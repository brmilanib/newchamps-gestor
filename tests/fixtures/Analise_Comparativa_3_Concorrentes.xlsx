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Oportunidades" sheetId="2" state="visible" r:id="rId4"/>
    <sheet name="Comparativo de Marcas" sheetId="3" state="visible" r:id="rId5"/>
    <sheet name="Por Categoria" sheetId="4" state="visible" r:id="rId6"/>
    <sheet name="Produtos por GTIN" sheetId="5" state="visible" r:id="rId7"/>
    <sheet name="Dados Bru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<sst xmlns="http://schemas.openxmlformats.org/spreadsheetml/2006/main" count="80841" uniqueCount="6430">
  <si>
    <t xml:space="preserve">Análise Comparativa de 3 Concorrentes — SIENO, BAGATELLE e AUMA</t>
  </si>
  <si>
    <t xml:space="preserve">Catálogos completos anunciados no Mercado Livre · gerado a partir dos 3 arquivos enviados</t>
  </si>
  <si>
    <t xml:space="preserve">Indicador</t>
  </si>
  <si>
    <t xml:space="preserve">SIENO</t>
  </si>
  <si>
    <t xml:space="preserve">BAGATELLE</t>
  </si>
  <si>
    <t xml:space="preserve">AUMA</t>
  </si>
  <si>
    <t xml:space="preserve">Total (3 concorrentes)</t>
  </si>
  <si>
    <t xml:space="preserve">Receita (R$)</t>
  </si>
  <si>
    <t xml:space="preserve">Unidades vendidas</t>
  </si>
  <si>
    <t xml:space="preserve">Anúncios (SKUs)</t>
  </si>
  <si>
    <t xml:space="preserve">Marcas distintas</t>
  </si>
  <si>
    <t xml:space="preserve">Marcas vendidas pelos 3 concorrentes</t>
  </si>
  <si>
    <t xml:space="preserve">Marcas sinalizadas como oportunidade*</t>
  </si>
  <si>
    <t xml:space="preserve">Marca líder em receita combinada</t>
  </si>
  <si>
    <t xml:space="preserve">* Critério de oportunidade (heurística do Bruno)</t>
  </si>
  <si>
    <t xml:space="preserve">Marca com ticket médio combinado &gt;= R$100 (faixa em que a concorrência costuma ser menor) e demanda validada (&gt;= 100 unidades vendidas somando os 3 catálogos). É um filtro de partida — cruzar sempre com margem, fornecedor e exclusividade de marca antes de decidir.</t>
  </si>
  <si>
    <t xml:space="preserve">Como usar este relatório</t>
  </si>
  <si>
    <t xml:space="preserve">•</t>
  </si>
  <si>
    <t xml:space="preserve">Aba "Oportunidades": só as marcas que passam no seu critério (ticket/volume), já filtradas — sem depender de cor —, e logo abaixo os anúncios individuais dessas marcas nos 3 concorrentes, ordenados por receita.</t>
  </si>
  <si>
    <t xml:space="preserve">Aba "Comparativo de Marcas": a visão completa — todas as marcas dos 3 concorrentes lado a lado, com a receita em cada um, quantos concorrentes vendem cada marca e o sinalizador de oportunidade (linhas amarelas = vendida pelos 3; linhas verdes = passa no critério).</t>
  </si>
  <si>
    <t xml:space="preserve">Aba "Por Categoria": mesma base, agrupada por categoria de produto (a SIENO vende outras coisas além de perfume; BAGATELLE e AUMA são quase 100% perfumaria).</t>
  </si>
  <si>
    <t xml:space="preserve">Aba "Produtos por GTIN": junta os anúncios que são o mesmo produto (mesmo código de barras), já recuperando o tamanho certo ao cruzar as variações de título — e mostra, lado a lado, o preço de cada concorrente quando o mesmo GTIN aparece em mais de um.</t>
  </si>
  <si>
    <t xml:space="preserve">Aba "Dados Brutos": os 3.988 anúncios originais dos 3 concorrentes, com a coluna "Categoria" classificada automaticamente. Corrigir uma linha aqui recalcula "Comparativo de Marcas", "Por Categoria" e a lista de marcas em "Oportunidades" — a lista de produtos em "Oportunidades" é fixa e precisa ser regenerada se os dados mudarem.</t>
  </si>
  <si>
    <t xml:space="preserve">Limitações e observações importantes</t>
  </si>
  <si>
    <t xml:space="preserve">Os títulos dos anúncios vêm truncados em 40 caracteres na exportação de origem — a classificação por categoria usa apenas esse trecho, então uma parcela cai em "Outros/Diversos" por não bater com nenhuma palavra-chave.</t>
  </si>
  <si>
    <t xml:space="preserve">SIENO tem um catálogo multi-categoria (perfumaria é ~29% da receita dela); BAGATELLE e AUMA são especializadas em perfumaria — a comparação de receita entre marcas é mais direta para as marcas de perfumaria presentes nos 3.</t>
  </si>
  <si>
    <t xml:space="preserve">Isso mostra o que cada concorrente vende e fatura — não a margem deles, nem se há espaço real (exclusividade de marca, nº de outros vendedores, MSRP) pra você entrar. Ponto de partida pro garimpo, não decisão final.</t>
  </si>
  <si>
    <t xml:space="preserve">Os números refletem o período coberto por cada exportação enviada (não informado nos arquivos, e pode não ser o mesmo período nos 3) — comparação pontual, não uma série histórica sincronizada.</t>
  </si>
  <si>
    <t xml:space="preserve">Marcas oportunidade (64) — ticket médio combinado ≥ R$100 e ≥100 unidades vendidas (critério do Bruno)</t>
  </si>
  <si>
    <t xml:space="preserve">Marca</t>
  </si>
  <si>
    <t xml:space="preserve">Categoria</t>
  </si>
  <si>
    <t xml:space="preserve">Receita SIENO (R$)</t>
  </si>
  <si>
    <t xml:space="preserve">Receita BAGATELLE (R$)</t>
  </si>
  <si>
    <t xml:space="preserve">Receita AUMA (R$)</t>
  </si>
  <si>
    <t xml:space="preserve">Receita Total (R$)</t>
  </si>
  <si>
    <t xml:space="preserve">Unidades Total</t>
  </si>
  <si>
    <t xml:space="preserve">Ticket Médio (R$)</t>
  </si>
  <si>
    <t xml:space="preserve">Produtos (anúncios) das marcas oportunidade — 2908 itens, ordenados por receita · lista fixa gerada nesta versão do relatório (não recalcula sozinha se os Dados Brutos forem editados)</t>
  </si>
  <si>
    <t xml:space="preserve">Concorrente</t>
  </si>
  <si>
    <t xml:space="preserve">Título do Anúncio</t>
  </si>
  <si>
    <t xml:space="preserve">Preço Médio (R$)</t>
  </si>
  <si>
    <t xml:space="preserve">Unidades Vendidas</t>
  </si>
  <si>
    <t xml:space="preserve">CAROLINA HERRERA</t>
  </si>
  <si>
    <t xml:space="preserve">Perfumaria/Colonia</t>
  </si>
  <si>
    <t xml:space="preserve">Perfume Carolina Herrera Good Girl Eau D</t>
  </si>
  <si>
    <t xml:space="preserve">JEAN PAUL GAULTIER</t>
  </si>
  <si>
    <t xml:space="preserve">Perfume Jean Paul Gaultier Le Male Elixi</t>
  </si>
  <si>
    <t xml:space="preserve">Perfume Carolina Herrera 212 Vip Black E</t>
  </si>
  <si>
    <t xml:space="preserve">Perfume 212 Vip Rosé Carolina Herrera Ea</t>
  </si>
  <si>
    <t xml:space="preserve">Perfume Jean Paul Gaultier Le Male Le Pa</t>
  </si>
  <si>
    <t xml:space="preserve">RABANNE</t>
  </si>
  <si>
    <t xml:space="preserve">Perfume Rabanne Invictus Eau De Toilette</t>
  </si>
  <si>
    <t xml:space="preserve">Perfume Rabanne 1 Million Eau De Toilett</t>
  </si>
  <si>
    <t xml:space="preserve">Perfume Carolina Herrera 212 Men Heroes </t>
  </si>
  <si>
    <t xml:space="preserve">SHISEIDO</t>
  </si>
  <si>
    <t xml:space="preserve">Shiseido Bb For Sports Fps 50 Medium Bas</t>
  </si>
  <si>
    <t xml:space="preserve">MAIS - GTECH</t>
  </si>
  <si>
    <t xml:space="preserve">Saude/Bem-estar</t>
  </si>
  <si>
    <t xml:space="preserve">Aparelho Medidor De Pressão Arterial Dig</t>
  </si>
  <si>
    <t xml:space="preserve">NAUTICA</t>
  </si>
  <si>
    <t xml:space="preserve">Perfume Nautica Voyage Eau De Toilette M</t>
  </si>
  <si>
    <t xml:space="preserve">LANCÔME</t>
  </si>
  <si>
    <t xml:space="preserve">Perfume Feminino L' Eau De Parfum Fragrâ</t>
  </si>
  <si>
    <t xml:space="preserve">Perfume Rabanne 1 Million Parfum 200 Ml </t>
  </si>
  <si>
    <t xml:space="preserve">Perfume Rabanne Invictus Victory Elixir </t>
  </si>
  <si>
    <t xml:space="preserve">MARURI</t>
  </si>
  <si>
    <t xml:space="preserve">Pesca/Nautica</t>
  </si>
  <si>
    <t xml:space="preserve">Carretilha Maruri Black Tamba Bg 11 Rol;</t>
  </si>
  <si>
    <t xml:space="preserve">Perfume Rabanne Invictus Parfum 200 Ml M</t>
  </si>
  <si>
    <t xml:space="preserve">YVES SAINT LAURENT</t>
  </si>
  <si>
    <t xml:space="preserve">Yves Saint Laurent Y Edp 100ml Para Masc</t>
  </si>
  <si>
    <t xml:space="preserve">Perfume Rabanne Invictus Victory Eau De </t>
  </si>
  <si>
    <t xml:space="preserve">PRADA</t>
  </si>
  <si>
    <t xml:space="preserve">Prada Paradoxe Edp 90ml</t>
  </si>
  <si>
    <t xml:space="preserve">BRITNEY SPEARS</t>
  </si>
  <si>
    <t xml:space="preserve">Perfume Britney Spears Fantasy Eau De Pa</t>
  </si>
  <si>
    <t xml:space="preserve">Yves Saint Laurent Myslf Edp - Perfume M</t>
  </si>
  <si>
    <t xml:space="preserve">Rabanne Lady Million Edp 80ml Para Femin</t>
  </si>
  <si>
    <t xml:space="preserve">Yves Saint Laurent Libre Intense Feminin</t>
  </si>
  <si>
    <t xml:space="preserve">DOLCE &amp; GABBANA</t>
  </si>
  <si>
    <t xml:space="preserve">Dolce &amp; Gabbana The One For Men Masculin</t>
  </si>
  <si>
    <t xml:space="preserve">BESTFER</t>
  </si>
  <si>
    <t xml:space="preserve">Utensilios Cozinha/Jardim</t>
  </si>
  <si>
    <t xml:space="preserve">Cilindro P/ Massas Aço Inox Massa Caseir</t>
  </si>
  <si>
    <t xml:space="preserve">Carolina Herrera 212 Vip Black Eau De Pa</t>
  </si>
  <si>
    <t xml:space="preserve">Outros/Diversos</t>
  </si>
  <si>
    <t xml:space="preserve">Moedor Carne Bestfer Fazer Hambúrguer Ma</t>
  </si>
  <si>
    <t xml:space="preserve">SHIMANO</t>
  </si>
  <si>
    <t xml:space="preserve">Molinete Shimano Fx Fc 4000 Cor Preto/do</t>
  </si>
  <si>
    <t xml:space="preserve">Perfume Carolina Herrera 212 Men Nyc Eau</t>
  </si>
  <si>
    <t xml:space="preserve">Shiseido Bb For Sports Fps 50 Light - Ba</t>
  </si>
  <si>
    <t xml:space="preserve">Perfume Carolina Herrera Ch Men Eau De T</t>
  </si>
  <si>
    <t xml:space="preserve">CHLOÉ</t>
  </si>
  <si>
    <t xml:space="preserve">Perfume Chloé Eau De Parfum ( Edp ) 100m</t>
  </si>
  <si>
    <t xml:space="preserve">Molinete Shimano Ix 4000r Traseiro Cor P</t>
  </si>
  <si>
    <t xml:space="preserve">Olympéa Edp 80ml Para Feminino</t>
  </si>
  <si>
    <t xml:space="preserve">Prada Paradigme Eau De Parfum Perfume Ma</t>
  </si>
  <si>
    <t xml:space="preserve">BLACK &amp; DECKER</t>
  </si>
  <si>
    <t xml:space="preserve">Ferramentas</t>
  </si>
  <si>
    <t xml:space="preserve">Ferro De Passar Roupa À Seco Ou Vapor Bl</t>
  </si>
  <si>
    <t xml:space="preserve">Carretilha Pesca Black Tamba Bg 12kg Dra</t>
  </si>
  <si>
    <t xml:space="preserve">Perfume Jean Paul Gaultier Le Male Eau D</t>
  </si>
  <si>
    <t xml:space="preserve">Carretilha Maruri Black Tamba Pro 11 Rol</t>
  </si>
  <si>
    <t xml:space="preserve">BANDERAS</t>
  </si>
  <si>
    <t xml:space="preserve">Perfume Banderas Blue Seduction Eau De T</t>
  </si>
  <si>
    <t xml:space="preserve">HUGO BOSS</t>
  </si>
  <si>
    <t xml:space="preserve">Perfume Masculino Boss Bottled Eau De To</t>
  </si>
  <si>
    <t xml:space="preserve">WELLA</t>
  </si>
  <si>
    <t xml:space="preserve">Condicionador Wella Invigo Nutri-enrich </t>
  </si>
  <si>
    <t xml:space="preserve">Yves Saint Laurent Libre Eau De Toilette</t>
  </si>
  <si>
    <t xml:space="preserve">Perfume Rabanne Million Gold Elixir Parf</t>
  </si>
  <si>
    <t xml:space="preserve">MERCEDES-BENZ</t>
  </si>
  <si>
    <t xml:space="preserve">Perfume Mercedes-benz Club Black Eau De </t>
  </si>
  <si>
    <t xml:space="preserve">Perfume Jean Paul Gaultier Scandal Eau D</t>
  </si>
  <si>
    <t xml:space="preserve">SOFT99</t>
  </si>
  <si>
    <t xml:space="preserve">Automotivo</t>
  </si>
  <si>
    <t xml:space="preserve">Glaco Big 120ml - Cristalizador Vidros R</t>
  </si>
  <si>
    <t xml:space="preserve">DEWALT</t>
  </si>
  <si>
    <t xml:space="preserve">Parafusadeira De Impacto 1/4  À Bateria </t>
  </si>
  <si>
    <t xml:space="preserve">Perfume De Perfume Jean Paul Gaultier Le</t>
  </si>
  <si>
    <t xml:space="preserve">Libre Intense Yves Saint Laurent Fem Edp</t>
  </si>
  <si>
    <t xml:space="preserve">MAHOGANY</t>
  </si>
  <si>
    <t xml:space="preserve">Fragrãncia Desodorante Corporal Make Me </t>
  </si>
  <si>
    <t xml:space="preserve">Martelete Perfurador E Rompedor Dewalt M</t>
  </si>
  <si>
    <t xml:space="preserve">ARMANI BEAUTY</t>
  </si>
  <si>
    <t xml:space="preserve">Armani Beauty, Perfume Masculino, Acqua </t>
  </si>
  <si>
    <t xml:space="preserve">JOOP!</t>
  </si>
  <si>
    <t xml:space="preserve">Perfume Masculino Homme Eau De Toilette </t>
  </si>
  <si>
    <t xml:space="preserve">LORENZETTI</t>
  </si>
  <si>
    <t xml:space="preserve">Casa/Eletrodomesticos</t>
  </si>
  <si>
    <t xml:space="preserve">Pressurizador De Água Lorenzetti Pl-20 3</t>
  </si>
  <si>
    <t xml:space="preserve">MARINE SPORTS</t>
  </si>
  <si>
    <t xml:space="preserve">Carretilha Marine Sports Master Ex60 Man</t>
  </si>
  <si>
    <t xml:space="preserve">Carretilha Marine Sports Brisa Bg Dbs 9k</t>
  </si>
  <si>
    <t xml:space="preserve">Yves Saint Laurent Myslf Le Parfum Amade</t>
  </si>
  <si>
    <t xml:space="preserve">KOMECO</t>
  </si>
  <si>
    <t xml:space="preserve">Bomba Pressurizadora De Agua Komeco Tp80</t>
  </si>
  <si>
    <t xml:space="preserve">Perfume Carolina Herrera La Bomba Eau De</t>
  </si>
  <si>
    <t xml:space="preserve">Yves Saint Laurent Libre Eau De Parfum R</t>
  </si>
  <si>
    <t xml:space="preserve">CENTRAL NUTRITION</t>
  </si>
  <si>
    <t xml:space="preserve">Suplementos/Nutricao</t>
  </si>
  <si>
    <t xml:space="preserve">Aminnu Tradicional - 10g 30 Sachês - Cen</t>
  </si>
  <si>
    <t xml:space="preserve">Komeco Tp Bronze Tp 80 Bronze 220v</t>
  </si>
  <si>
    <t xml:space="preserve">PLAYSTATION</t>
  </si>
  <si>
    <t xml:space="preserve">Eletronicos/Games</t>
  </si>
  <si>
    <t xml:space="preserve">Controle Sony Dualsense Sem Fio White Ps</t>
  </si>
  <si>
    <t xml:space="preserve">Kit Presente Perfume Carolina Herrera Fe</t>
  </si>
  <si>
    <t xml:space="preserve">Carretilha Black Tamba S2 12 Rolamentos </t>
  </si>
  <si>
    <t xml:space="preserve">Perfume Masculino Rabanne 1 Million 100m</t>
  </si>
  <si>
    <t xml:space="preserve">Descascador De Laranjas Máquina De Desca</t>
  </si>
  <si>
    <t xml:space="preserve">Perfume Masculino Mercedes-benz Select N</t>
  </si>
  <si>
    <t xml:space="preserve">Perfume Carolina Herrera 212 Vip Men Eau</t>
  </si>
  <si>
    <t xml:space="preserve">212 Vip Rose Edp 30ml Feminino - Carolin</t>
  </si>
  <si>
    <t xml:space="preserve">VERSACE</t>
  </si>
  <si>
    <t xml:space="preserve">Versace Eros Parfum Masculino Amadeirado</t>
  </si>
  <si>
    <t xml:space="preserve">GABRIELA SABATINI</t>
  </si>
  <si>
    <t xml:space="preserve">Perfume Gabriela Sabatini Feminino Edt 6</t>
  </si>
  <si>
    <t xml:space="preserve">MARINE</t>
  </si>
  <si>
    <t xml:space="preserve">Carretilha Marine Brisa Ls 8000 - Drag 5</t>
  </si>
  <si>
    <t xml:space="preserve">Prada Paradoxe Intense Edp - Perfume Fem</t>
  </si>
  <si>
    <t xml:space="preserve">Rabanne Phantom Parfum Perfume 150ml Ref</t>
  </si>
  <si>
    <t xml:space="preserve">JACQUES BOGART</t>
  </si>
  <si>
    <t xml:space="preserve">Perfume + Body Spray Jacques Bogart Silv</t>
  </si>
  <si>
    <t xml:space="preserve">Jacques Bogart Silver Scent Intense Edt </t>
  </si>
  <si>
    <t xml:space="preserve">Carretilha Shimano New Tekota 800pg Dire</t>
  </si>
  <si>
    <t xml:space="preserve">AZZARO</t>
  </si>
  <si>
    <t xml:space="preserve">Perfume Masculino Eau De Toilette Azzaro</t>
  </si>
  <si>
    <t xml:space="preserve">CHAOYANG</t>
  </si>
  <si>
    <t xml:space="preserve">Bike/Ciclismo</t>
  </si>
  <si>
    <t xml:space="preserve">Pneu Mtb Chaoyang Phantom Wet Aro 29x2.2</t>
  </si>
  <si>
    <t xml:space="preserve">Carretel Carretilha Shimano Slx Slx151xg</t>
  </si>
  <si>
    <t xml:space="preserve">Jacques Bogart Silver Scent Eau De Toile</t>
  </si>
  <si>
    <t xml:space="preserve">Invictus De Rabanne Eau De Toilette 100 </t>
  </si>
  <si>
    <t xml:space="preserve">Perfumes Libre Yves Saint Laurent Eau De</t>
  </si>
  <si>
    <t xml:space="preserve">Jacques Bogart Silver Scent ( Tradiciona</t>
  </si>
  <si>
    <t xml:space="preserve">WESCO</t>
  </si>
  <si>
    <t xml:space="preserve">Parafusadeira A Bateria 3,6v C/ Estojo E</t>
  </si>
  <si>
    <t xml:space="preserve">GUCCI</t>
  </si>
  <si>
    <t xml:space="preserve">Perfume Gucci Guilty Pour Femme Elixir D</t>
  </si>
  <si>
    <t xml:space="preserve">INVICTUS</t>
  </si>
  <si>
    <t xml:space="preserve">Tatico/Outdoor</t>
  </si>
  <si>
    <t xml:space="preserve">Canivete Tático Invictus Phanton Black A</t>
  </si>
  <si>
    <t xml:space="preserve">MAVALA</t>
  </si>
  <si>
    <t xml:space="preserve">Cosmeticos/Skincare</t>
  </si>
  <si>
    <t xml:space="preserve">Mavala Stop Parar De Roer Unha 10ml Tran</t>
  </si>
  <si>
    <t xml:space="preserve">1 Million Elixir Rabanne Masc Edp 200ml</t>
  </si>
  <si>
    <t xml:space="preserve">CALVIN KLEIN</t>
  </si>
  <si>
    <t xml:space="preserve">Perfume Feminino Euphoria Eau De Parfum </t>
  </si>
  <si>
    <t xml:space="preserve">Base Shiseido Bb For Sports Fps 50 Mediu</t>
  </si>
  <si>
    <t xml:space="preserve">Perfume Rabanne Phantom Eau De Toilette </t>
  </si>
  <si>
    <t xml:space="preserve">Perfume Masculino Versace Eros Eau De Pa</t>
  </si>
  <si>
    <t xml:space="preserve">ADA TINA ITALY</t>
  </si>
  <si>
    <t xml:space="preserve">Protetor Solar Clareador Manchas Biosole</t>
  </si>
  <si>
    <t xml:space="preserve">GIORGIO ARMANI</t>
  </si>
  <si>
    <t xml:space="preserve">Armani Code Feminino Edp 50ml Para Femin</t>
  </si>
  <si>
    <t xml:space="preserve">BURBERRY</t>
  </si>
  <si>
    <t xml:space="preserve">Burberry Goddess Perfume Feminino Edp 10</t>
  </si>
  <si>
    <t xml:space="preserve">Wella Professionals Oil Reflections - Má</t>
  </si>
  <si>
    <t xml:space="preserve">Pressurizador Mini Bomba Komeco Tp 40 Br</t>
  </si>
  <si>
    <t xml:space="preserve">Giorgio Armani Eau Pour Homme Pour Homme</t>
  </si>
  <si>
    <t xml:space="preserve">Carretilha Maruri Avante Bg By Denis Gar</t>
  </si>
  <si>
    <t xml:space="preserve">Perfume Silver Scent Intense Eau De Toil</t>
  </si>
  <si>
    <t xml:space="preserve">Molinete Shimano Fx Fc C3000 Cor Preto L</t>
  </si>
  <si>
    <t xml:space="preserve">Dolce &amp; Gabbana Light Blue Pour Homme Ed</t>
  </si>
  <si>
    <t xml:space="preserve">TOMMY HILFIGER</t>
  </si>
  <si>
    <t xml:space="preserve">Tommy Hilfiger Tommy Girl Edt 200ml Para</t>
  </si>
  <si>
    <t xml:space="preserve">Carolina Herrera Very Good Girl Edp 80ml</t>
  </si>
  <si>
    <t xml:space="preserve">Wella Invigo Nutri Enrich Shampoo - 1000</t>
  </si>
  <si>
    <t xml:space="preserve">Parafusadeira E Furadeira De Impacto 13m</t>
  </si>
  <si>
    <t xml:space="preserve">Perfume Masculino 212 Vip Men De Carolin</t>
  </si>
  <si>
    <t xml:space="preserve">Armani Beauty Perfume Feminino Acqua Di </t>
  </si>
  <si>
    <t xml:space="preserve">Perfume Feminino Dolce&amp;gabbana My Devoti</t>
  </si>
  <si>
    <t xml:space="preserve">Perfume Feminino Eau De Parfum Fragrânci</t>
  </si>
  <si>
    <t xml:space="preserve">Perfume 212 Sexy Carolina Herreira</t>
  </si>
  <si>
    <t xml:space="preserve">Carretilha New Ventura Vt10 Marine Sport</t>
  </si>
  <si>
    <t xml:space="preserve">Parafusadeira De Impacto 1/4'' Atomic Br</t>
  </si>
  <si>
    <t xml:space="preserve">Guardian® 8,5g 30 Sachês Em Pó Central N</t>
  </si>
  <si>
    <t xml:space="preserve">Perfume Calvin Klein Euphoria ( Tradicio</t>
  </si>
  <si>
    <t xml:space="preserve">Jean Paul Gaultier Le Beau Perfume Eau D</t>
  </si>
  <si>
    <t xml:space="preserve">Perfume Carolina Herrera 212 Vip Rosé El</t>
  </si>
  <si>
    <t xml:space="preserve">Rabanne Calandre Eau De Toilette Feminin</t>
  </si>
  <si>
    <t xml:space="preserve">Prada Paradoxe Virtual Flower Edp - Perf</t>
  </si>
  <si>
    <t xml:space="preserve">Máscara Invigo Nutri-enrich 500ml Wella </t>
  </si>
  <si>
    <t xml:space="preserve">Perfume Masculino Azzaro Forever Wanted </t>
  </si>
  <si>
    <t xml:space="preserve">Kit Presente Perfume Carolina Herrera Go</t>
  </si>
  <si>
    <t xml:space="preserve">Perfume Rabanne 1 Million Elixir Parfum </t>
  </si>
  <si>
    <t xml:space="preserve">Carretilha Avenger 11000 Marine Sports V</t>
  </si>
  <si>
    <t xml:space="preserve">TEND SKIN</t>
  </si>
  <si>
    <t xml:space="preserve">Tend Skin Solution Líquido 236ml Loção P</t>
  </si>
  <si>
    <t xml:space="preserve">DAVIDOFF</t>
  </si>
  <si>
    <t xml:space="preserve">Cool Water Davidoff Eau De Toilette - Pe</t>
  </si>
  <si>
    <t xml:space="preserve">Perfume Feminino Lancôme La Vie Est Bell</t>
  </si>
  <si>
    <t xml:space="preserve">Perfume Feminino Eau De Parfum, Fragrânc</t>
  </si>
  <si>
    <t xml:space="preserve">MIKATOS</t>
  </si>
  <si>
    <t xml:space="preserve">Mini Otoscópio Luz De Led C/ Espéculos M</t>
  </si>
  <si>
    <t xml:space="preserve">Hugo Boss Bottled Infinite Edp 200ml Par</t>
  </si>
  <si>
    <t xml:space="preserve">Armani Beauty, Perfume Feminino, Acqua D</t>
  </si>
  <si>
    <t xml:space="preserve">Perfume Carolina Herrera Ch Eau De Toile</t>
  </si>
  <si>
    <t xml:space="preserve">Armani Beauty Perfume Masculino Stronger</t>
  </si>
  <si>
    <t xml:space="preserve">Perfume Rabanne Pour Homme Eau De Toilet</t>
  </si>
  <si>
    <t xml:space="preserve">Conjunto Perfume Masculino 212 Nyc Men D</t>
  </si>
  <si>
    <t xml:space="preserve">Carretilha Pesca Maruri Black Tamba Pro </t>
  </si>
  <si>
    <t xml:space="preserve">Ch Carolina Herrera Edt 100 Ml Para Mulh</t>
  </si>
  <si>
    <t xml:space="preserve">Marine Sports Arena 4000fd Prateado Dire</t>
  </si>
  <si>
    <t xml:space="preserve">Carolina Herrera La Bomba Edp Perfume Fe</t>
  </si>
  <si>
    <t xml:space="preserve">Idôle Lancôme, Perfume Feminino Eau De P</t>
  </si>
  <si>
    <t xml:space="preserve">Perfume Carolina Herrera Good Girl Blush</t>
  </si>
  <si>
    <t xml:space="preserve">Perfume Jean Paul Gaultier Ultra Male Ea</t>
  </si>
  <si>
    <t xml:space="preserve">ESTRELA</t>
  </si>
  <si>
    <t xml:space="preserve">Jogo Genius Multicores Estrela</t>
  </si>
  <si>
    <t xml:space="preserve">LANSINOH</t>
  </si>
  <si>
    <t xml:space="preserve">Pomada Para Cuidado Dos Seios Com Lanoli</t>
  </si>
  <si>
    <t xml:space="preserve">Perfume Masculino Armani Code Eau De Toi</t>
  </si>
  <si>
    <t xml:space="preserve">Perfume Feminino La Vie Est Belle Vanill</t>
  </si>
  <si>
    <t xml:space="preserve">212 Vip Men Carolina Herrera Edt 200ml M</t>
  </si>
  <si>
    <t xml:space="preserve">AL WATANIAH</t>
  </si>
  <si>
    <t xml:space="preserve">Perfume Masculino Attar Árabe Al Wesal W</t>
  </si>
  <si>
    <t xml:space="preserve">Oil Reflections Luminous Óleo 30ml</t>
  </si>
  <si>
    <t xml:space="preserve">Molinete Shimano Sienna Fg 4000 Preto Di</t>
  </si>
  <si>
    <t xml:space="preserve">Marine Sports Arena Fd Arena 2000 Fd Pra</t>
  </si>
  <si>
    <t xml:space="preserve">Perfume Giorgio Armani Masculino Parfum </t>
  </si>
  <si>
    <t xml:space="preserve">Perfume Masculino Armani Code Eau De Par</t>
  </si>
  <si>
    <t xml:space="preserve">Molinete Marine Sports Elite Gold 4000 -</t>
  </si>
  <si>
    <t xml:space="preserve">Perfume Azzaro The Most Wanted 100ml Mas</t>
  </si>
  <si>
    <t xml:space="preserve">Mavala Scientifique 5ml - Endurecedor De</t>
  </si>
  <si>
    <t xml:space="preserve">Kit Good Girl 80ml + Body Lotion 100ml +</t>
  </si>
  <si>
    <t xml:space="preserve">Dolce&amp;gabbana Light Blue Eau De Parfum 1</t>
  </si>
  <si>
    <t xml:space="preserve">Marine Sports Ventura Vt10 Preto Direito</t>
  </si>
  <si>
    <t xml:space="preserve">Bandoleira Tática 1 Ponta Strap Com Enca</t>
  </si>
  <si>
    <t xml:space="preserve">Perfume Le Male Elixir Parfum Jean Paul </t>
  </si>
  <si>
    <t xml:space="preserve">ANIMALE</t>
  </si>
  <si>
    <t xml:space="preserve">Perfume Feminino Animale For Women Edp 1</t>
  </si>
  <si>
    <t xml:space="preserve">Rabanne Olympéa Flora Eau De Parfum Inte</t>
  </si>
  <si>
    <t xml:space="preserve">Perfume Calvin Klein Ck One ( Tradiciona</t>
  </si>
  <si>
    <t xml:space="preserve">Carolina Herrera 212 Nyc Men Edt 200ml P</t>
  </si>
  <si>
    <t xml:space="preserve">Perfume Calvin Klein Ck One 200ml</t>
  </si>
  <si>
    <t xml:space="preserve">Calvin Klein Ck One Essence Parfum Inten</t>
  </si>
  <si>
    <t xml:space="preserve">Esmerilhadeira Angular 4.1/2 115mm 800w </t>
  </si>
  <si>
    <t xml:space="preserve">Esmerilhadeira Angular 115mm Dewalt Mode</t>
  </si>
  <si>
    <t xml:space="preserve">Perfume Jean Paul Gaultier Scandal Inten</t>
  </si>
  <si>
    <t xml:space="preserve">Carolina Herrera Bad Boy Edt Refilavel -</t>
  </si>
  <si>
    <t xml:space="preserve">Perfume Masculino Emporio Armani Stronge</t>
  </si>
  <si>
    <t xml:space="preserve">Azzaro The Most Wanted Eau De Parfum Int</t>
  </si>
  <si>
    <t xml:space="preserve">Dolce&amp;gabbana Light Blue Eau De Parfum 2</t>
  </si>
  <si>
    <t xml:space="preserve">Bad Boy Carolina Herrera Edt 100ml Para </t>
  </si>
  <si>
    <t xml:space="preserve">Canivete Tático Camuflado Digital Phanto</t>
  </si>
  <si>
    <t xml:space="preserve">ARMAF</t>
  </si>
  <si>
    <t xml:space="preserve">Armaf Tag Her Eau De Parfum 100ml | Orig</t>
  </si>
  <si>
    <t xml:space="preserve">Perfume Boss Bottled ( Cinza - Tradicion</t>
  </si>
  <si>
    <t xml:space="preserve">Perfume Rabanne Million Gold Eau De Parf</t>
  </si>
  <si>
    <t xml:space="preserve">Carolina Herrera Ch Pasíon 100ml Le2023</t>
  </si>
  <si>
    <t xml:space="preserve">Versace Crystal Emerald Eau De Parfum Fe</t>
  </si>
  <si>
    <t xml:space="preserve">Perfume Jean Paul Gaultier Scandal Absol</t>
  </si>
  <si>
    <t xml:space="preserve">Cera De Carnaúba Premium - 300g Soft99 D</t>
  </si>
  <si>
    <t xml:space="preserve">Perfume Rabanne Invictus Victory Absolu </t>
  </si>
  <si>
    <t xml:space="preserve">Armani Power Of You Eau De Parfum Femini</t>
  </si>
  <si>
    <t xml:space="preserve">Carolina Herrera 212 Sexy Eau De Toilett</t>
  </si>
  <si>
    <t xml:space="preserve">Kit Light Blue 100ml + Body Lotion 50ml </t>
  </si>
  <si>
    <t xml:space="preserve">Yves Saint Laurent Libre Feminino Eau De</t>
  </si>
  <si>
    <t xml:space="preserve">Bandoleira Tática Attach 2.0 2 Pontas In</t>
  </si>
  <si>
    <t xml:space="preserve">L'homme Prada Masculino Edt Volume Da Un</t>
  </si>
  <si>
    <t xml:space="preserve">Perfume Jean Paul Gaultier Gaultier Divi</t>
  </si>
  <si>
    <t xml:space="preserve">GIVENCHY</t>
  </si>
  <si>
    <t xml:space="preserve">Givenchy Gentleman Society Ambrèe 100ml</t>
  </si>
  <si>
    <t xml:space="preserve">Molinete Marine Sports Venza 5000 Direit</t>
  </si>
  <si>
    <t xml:space="preserve">Givenchy L'interdit Edp 35ml Para Femini</t>
  </si>
  <si>
    <t xml:space="preserve">Body Spray 212 Nyc Seductive Feminino 25</t>
  </si>
  <si>
    <t xml:space="preserve">Carolina Herrera 212 Sexy Eau De Parfum </t>
  </si>
  <si>
    <t xml:space="preserve">Carretilha Pesca Marine Sports Versus 12</t>
  </si>
  <si>
    <t xml:space="preserve">Shiseido Hydrobb Compact For Sports Spf5</t>
  </si>
  <si>
    <t xml:space="preserve">Perfume Carolina Herrera 212 Vip Men Bla</t>
  </si>
  <si>
    <t xml:space="preserve">Jean Paul Le Male Le Parfum - Perfume Ma</t>
  </si>
  <si>
    <t xml:space="preserve">GILLES CANTUEL</t>
  </si>
  <si>
    <t xml:space="preserve">Perfume Arsenal Gold 100ml Edp</t>
  </si>
  <si>
    <t xml:space="preserve">Perfume Chloé Edp 100ml</t>
  </si>
  <si>
    <t xml:space="preserve">RALPH LAUREN</t>
  </si>
  <si>
    <t xml:space="preserve">Perfume Masculino Eau De Toilette Ralph </t>
  </si>
  <si>
    <t xml:space="preserve">Perfume Rabanne Fame Eau De Parfum 150 M</t>
  </si>
  <si>
    <t xml:space="preserve">Perfume Masculino Prada L'homme Eau De T</t>
  </si>
  <si>
    <t xml:space="preserve">Yves Saint Laurent Y Edp 60ml Para Mascu</t>
  </si>
  <si>
    <t xml:space="preserve">Carretilha Avante Slim 12 Rolamentos Esq</t>
  </si>
  <si>
    <t xml:space="preserve">Martelete Perfurador 5/8  Dewalt Modelo </t>
  </si>
  <si>
    <t xml:space="preserve">Libre Yves Saint Laurent Fem Edp 50ml Vo</t>
  </si>
  <si>
    <t xml:space="preserve">Shimano Slx Carretilha Shimano 0.195kg P</t>
  </si>
  <si>
    <t xml:space="preserve">Perfume Carolina Herrera Good Girl Jasmi</t>
  </si>
  <si>
    <t xml:space="preserve">Carretilha Shimano Curado Dc 201xg 8.5:1</t>
  </si>
  <si>
    <t xml:space="preserve">Perfume Versace Eros Energy Edp Masculin</t>
  </si>
  <si>
    <t xml:space="preserve">Perfume Feminino Floral Almiscarado Com </t>
  </si>
  <si>
    <t xml:space="preserve">212 Vip Rose Carolina Herrera Edp 125ml </t>
  </si>
  <si>
    <t xml:space="preserve">NINA RICCI</t>
  </si>
  <si>
    <t xml:space="preserve">Perfume Nina Ricci Nina Illusion Eau De </t>
  </si>
  <si>
    <t xml:space="preserve">Perfume Masculino Dolce &amp; Gabbana The On</t>
  </si>
  <si>
    <t xml:space="preserve">Mavala Scientifique K+ Durcisseur D´ongl</t>
  </si>
  <si>
    <t xml:space="preserve">Perfume Calvin Klein Ck One Eau De Toile</t>
  </si>
  <si>
    <t xml:space="preserve">Carolina Herrera Good Girl Eau De Parfum</t>
  </si>
  <si>
    <t xml:space="preserve">ELIZABETH ARDEN</t>
  </si>
  <si>
    <t xml:space="preserve">Perfume Feminino 5th Avenue Edp 125ml El</t>
  </si>
  <si>
    <t xml:space="preserve">Kit Silver Scent Intense 100ml + Body Sp</t>
  </si>
  <si>
    <t xml:space="preserve">Perfume Para Cabelos Carolina Herrera Go</t>
  </si>
  <si>
    <t xml:space="preserve">Dolce&amp;gabbana Light Blue Eau De Parfum 3</t>
  </si>
  <si>
    <t xml:space="preserve">Perfume Masculino The Scent Magnetic For</t>
  </si>
  <si>
    <t xml:space="preserve">4711</t>
  </si>
  <si>
    <t xml:space="preserve">4711 Echt Kölnisch Wasser Eau De Cologne</t>
  </si>
  <si>
    <t xml:space="preserve">Dolce&amp;gabbana Light Blue Eau De Parfum 5</t>
  </si>
  <si>
    <t xml:space="preserve">Creme Anti-idade Lancôme Rénergie Multi-</t>
  </si>
  <si>
    <t xml:space="preserve">Perfume Carolina Herrera For Men Eau De </t>
  </si>
  <si>
    <t xml:space="preserve">Armani Acqua Di Gi Profondo Eau De Parfu</t>
  </si>
  <si>
    <t xml:space="preserve">Libre Yves Saint Laurent Perfume Feminin</t>
  </si>
  <si>
    <t xml:space="preserve">Perfume Para Os Cabelos Carolina Herrera</t>
  </si>
  <si>
    <t xml:space="preserve">Esmerilhadeira Angular Wesco 115mm Ws475</t>
  </si>
  <si>
    <t xml:space="preserve">Calvin Klein Euphoria Eau De Parfum ( Ed</t>
  </si>
  <si>
    <t xml:space="preserve">Perfume Carolina Herrera 212 Nyc Eau De </t>
  </si>
  <si>
    <t xml:space="preserve">Furadeira E Parafusadeira 10mm Dewalt Mo</t>
  </si>
  <si>
    <t xml:space="preserve">Perfume Good Girl Blush Carolina Herrera</t>
  </si>
  <si>
    <t xml:space="preserve">Perfume Chloé Eau De Parfum ( Edp ) 30ml</t>
  </si>
  <si>
    <t xml:space="preserve">Resistência Lorenzetti Acqua Ultra 220/7</t>
  </si>
  <si>
    <t xml:space="preserve">Carolina Herrera Good Girl Edp 50ml Femi</t>
  </si>
  <si>
    <t xml:space="preserve">Prada Paradoxe Virtual Flower Feminino E</t>
  </si>
  <si>
    <t xml:space="preserve">Perfume Carolina Herrera 212 Sexy Eau De</t>
  </si>
  <si>
    <t xml:space="preserve">Chloe Signature Edp 30ml Volume</t>
  </si>
  <si>
    <t xml:space="preserve">Burberry Goddess Perfume Feminino Edp 30</t>
  </si>
  <si>
    <t xml:space="preserve">Calvin Klein Eternity ( Tradicional ) Ed</t>
  </si>
  <si>
    <t xml:space="preserve">MONTBLANC</t>
  </si>
  <si>
    <t xml:space="preserve">Montblanc Explorer Extreme Parfum 100ml </t>
  </si>
  <si>
    <t xml:space="preserve">Perfume Feminino Givenchy Ange Ou Démon </t>
  </si>
  <si>
    <t xml:space="preserve">LATTAFA</t>
  </si>
  <si>
    <t xml:space="preserve">Perfume Lattafa Atheeri Eau De Parfum Fe</t>
  </si>
  <si>
    <t xml:space="preserve">Carolina Herreira 212 Vip Rose Femme- 50</t>
  </si>
  <si>
    <t xml:space="preserve">Jean Paul Divine Eau De Parfum - Perfume</t>
  </si>
  <si>
    <t xml:space="preserve">Perfume Yves Saint Laurent Myslf Le Parf</t>
  </si>
  <si>
    <t xml:space="preserve">Armani Beauty Perfume Masculino Acqua Di</t>
  </si>
  <si>
    <t xml:space="preserve">Rabanne Invictus Eau De Toilette 200 Ml </t>
  </si>
  <si>
    <t xml:space="preserve">Gentleman Givenchy Edp 100ml Para Mascul</t>
  </si>
  <si>
    <t xml:space="preserve">Perfume Ck In2u Edt Feminino 100ml Calvi</t>
  </si>
  <si>
    <t xml:space="preserve">Carolina Herrera 212 Vip Black Elixir Ed</t>
  </si>
  <si>
    <t xml:space="preserve">Mercedes-benz Club Black Eau De Parfum 1</t>
  </si>
  <si>
    <t xml:space="preserve">Perfume Feminino Green Tea De Elizabeth </t>
  </si>
  <si>
    <t xml:space="preserve">Perfume Masculino Zino Eau De Toilette S</t>
  </si>
  <si>
    <t xml:space="preserve">Phantom Parfum Rabanne Eau De Parfum - P</t>
  </si>
  <si>
    <t xml:space="preserve">Armani Beauty Perfume Feminino My Way Ea</t>
  </si>
  <si>
    <t xml:space="preserve">Mavala Double-lash Gel Fortalecedor Para</t>
  </si>
  <si>
    <t xml:space="preserve">Protetor Solar 12hs Clareador Com Vitami</t>
  </si>
  <si>
    <t xml:space="preserve">Perfume Rabanne 1 Million Golden Oud Par</t>
  </si>
  <si>
    <t xml:space="preserve">Perfume Masculino Yves Saint Laurent Mys</t>
  </si>
  <si>
    <t xml:space="preserve">Perfume Nina Ricci Nina Eau De Toilette </t>
  </si>
  <si>
    <t xml:space="preserve">Rabanne 1 Million Eau De Toilette 200 Ml</t>
  </si>
  <si>
    <t xml:space="preserve">Perfume Dolce &amp; Gabbana The One Edp Inte</t>
  </si>
  <si>
    <t xml:space="preserve">Lattafa Dalal Lattafa Perfumes Feminino </t>
  </si>
  <si>
    <t xml:space="preserve">Joop Homme 75ml Masculino | Original + A</t>
  </si>
  <si>
    <t xml:space="preserve">Carolina Herrera 212 Vip Rose Hair 30ml </t>
  </si>
  <si>
    <t xml:space="preserve">Aminnu® Tradicional - 10g 30 Sachês - Ce</t>
  </si>
  <si>
    <t xml:space="preserve">Shimano Ix2000r Clampack Preto Direito/e</t>
  </si>
  <si>
    <t xml:space="preserve">Refil Shiseido Sp25 Light Ivory Pó Compa</t>
  </si>
  <si>
    <t xml:space="preserve">Compre E Ganhe- 212 Vip Rosé 80ml= Body </t>
  </si>
  <si>
    <t xml:space="preserve">Perfume Hugo Boss Bottled Masculino 200m</t>
  </si>
  <si>
    <t xml:space="preserve">212 Vip Men Edt 100 ml Para Masculino</t>
  </si>
  <si>
    <t xml:space="preserve">Carretilha Marine Sports Master 60 Drag </t>
  </si>
  <si>
    <t xml:space="preserve">Yves Saint Laurent Mon Paris Feminino Ea</t>
  </si>
  <si>
    <t xml:space="preserve">Animale ( Tradicional ) 100ml Masculino</t>
  </si>
  <si>
    <t xml:space="preserve">Cera Automotiva Soft99 White Cleaner Car</t>
  </si>
  <si>
    <t xml:space="preserve">Refil Shiseido Sp50 Medium Ivory Pó Comp</t>
  </si>
  <si>
    <t xml:space="preserve">Jean Paul Classique Edt 100ml - 100% Ori</t>
  </si>
  <si>
    <t xml:space="preserve">Perfume Hugo Boss Bottled Night Masculin</t>
  </si>
  <si>
    <t xml:space="preserve">Mochila Táctica Militar Invictus Duster </t>
  </si>
  <si>
    <t xml:space="preserve">Perfume Rabanne 1 Million Royal Parfum 1</t>
  </si>
  <si>
    <t xml:space="preserve">Calvin Klein In2u Perfume In2u Edt Femin</t>
  </si>
  <si>
    <t xml:space="preserve">Algema De Corrente Invictus Aço Carbono </t>
  </si>
  <si>
    <t xml:space="preserve">Dolce &amp; Gabbana The One For Men Parfum 1</t>
  </si>
  <si>
    <t xml:space="preserve">Ralph's Club New York Eau De Parfum 110m</t>
  </si>
  <si>
    <t xml:space="preserve">Perfume Jean Paul Gaultier La Belle Para</t>
  </si>
  <si>
    <t xml:space="preserve">Lanterna Tática Sigma 1000 Lumens Invict</t>
  </si>
  <si>
    <t xml:space="preserve">Canivete Tático Militar Exército Polícia</t>
  </si>
  <si>
    <t xml:space="preserve">Perfume Rabanne Black Xs Eau De Toilette</t>
  </si>
  <si>
    <t xml:space="preserve">La Vie Est Belle Lancôme Eau De Parfum F</t>
  </si>
  <si>
    <t xml:space="preserve">Perfume Chloé Feminino Edp 50ml</t>
  </si>
  <si>
    <t xml:space="preserve">Versace Eros Flame Eau De Parfum 200ml M</t>
  </si>
  <si>
    <t xml:space="preserve">Ada Tina Biosole Bb Fps 60 Vaniglia - Pr</t>
  </si>
  <si>
    <t xml:space="preserve">Rabanne Million Gold For Her Edp Feminin</t>
  </si>
  <si>
    <t xml:space="preserve">Perfume Armani Acqua Di Giò Masculino Ea</t>
  </si>
  <si>
    <t xml:space="preserve">Perfume Feminino  Prada Paradoxe Eau De </t>
  </si>
  <si>
    <t xml:space="preserve">Perfume Banderas The Golden Secret Eau D</t>
  </si>
  <si>
    <t xml:space="preserve">Hugo Boss Bottled Infinite Masc Edp 200m</t>
  </si>
  <si>
    <t xml:space="preserve">Carolina Herrera 212 Men 100ml Eau De To</t>
  </si>
  <si>
    <t xml:space="preserve">Perfume Ysl Yves Saint Laurent Libre Flo</t>
  </si>
  <si>
    <t xml:space="preserve">Perfume Jean Paul Gaultier Le Beau Eau D</t>
  </si>
  <si>
    <t xml:space="preserve">Carretel Carretilha Shimano Corvalus 400</t>
  </si>
  <si>
    <t xml:space="preserve">Dolce&amp;gabbana Light Blue For Men Eau De </t>
  </si>
  <si>
    <t xml:space="preserve">Carolina Herrera Chic For Men Edt 100ml </t>
  </si>
  <si>
    <t xml:space="preserve">Refil Scandal Le Parfum 200ml Masculino</t>
  </si>
  <si>
    <t xml:space="preserve">Controle Dualsense Sem Fio Playstation 5</t>
  </si>
  <si>
    <t xml:space="preserve">Perfume Jean Paul Gaultier La Belle Eau </t>
  </si>
  <si>
    <t xml:space="preserve">Arsenal Gold Eau De Parfum ( Edp ) 100ml</t>
  </si>
  <si>
    <t xml:space="preserve">Perfume Idôle Power 100 Ml Lancôme</t>
  </si>
  <si>
    <t xml:space="preserve">Perfume Rabanne Fame Femme Edp 80ml Para</t>
  </si>
  <si>
    <t xml:space="preserve">Prada Perfume Paradoxe Edp 50ml</t>
  </si>
  <si>
    <t xml:space="preserve">Man Mercedes Benz Edt Masculino 100ml</t>
  </si>
  <si>
    <t xml:space="preserve">Perfume Jean Paul Gaultier Le Beau Parad</t>
  </si>
  <si>
    <t xml:space="preserve">Perfume Rabanne Invictus Elixir Eau De P</t>
  </si>
  <si>
    <t xml:space="preserve">Molinete Shimano Fx 2000 - 3 Rolamentos </t>
  </si>
  <si>
    <t xml:space="preserve">Shiseido Bb For Sports Fps 50 Dark  Base</t>
  </si>
  <si>
    <t xml:space="preserve">Compre 212 Vip Black 100ml Ganhe Shower </t>
  </si>
  <si>
    <t xml:space="preserve">Perfume Lancôme La Vie Est Belle Rosa Ex</t>
  </si>
  <si>
    <t xml:space="preserve">Carolina Herrera Bad Boy Extreme Masculi</t>
  </si>
  <si>
    <t xml:space="preserve">Black Xs For Her Rabanne Feminino Edp 80</t>
  </si>
  <si>
    <t xml:space="preserve">212 Men Mtv Edição Limitada 100ml Mascul</t>
  </si>
  <si>
    <t xml:space="preserve">Montblanc Legend Eau De Parfum ( Edp ) 1</t>
  </si>
  <si>
    <t xml:space="preserve">Perfume Animale For Men ( Edt ) 100ml Ma</t>
  </si>
  <si>
    <t xml:space="preserve">Jean Paul Scandal Le Parfum - Perfume Ma</t>
  </si>
  <si>
    <t xml:space="preserve">Versace Eros Edt 30ml Para Masculino</t>
  </si>
  <si>
    <t xml:space="preserve">Perfume Davidoff Cool Water ( Tradiciona</t>
  </si>
  <si>
    <t xml:space="preserve">Versace Eros Edt 200ml Para Masculino</t>
  </si>
  <si>
    <t xml:space="preserve">Gucci Guilty Elixir 60ml Masculino | Ori</t>
  </si>
  <si>
    <t xml:space="preserve">Perfume Rabanne Million Gold For Her Eau</t>
  </si>
  <si>
    <t xml:space="preserve">Perfume Rabanne Invictus Elixir Parfum 2</t>
  </si>
  <si>
    <t xml:space="preserve">Dolce &amp; Gabbana The One Edp 75ml Perfume</t>
  </si>
  <si>
    <t xml:space="preserve">My Way Giorgio Armani Perfume Feminino -</t>
  </si>
  <si>
    <t xml:space="preserve">Banderas Her Secret Pink Absolu Eau De P</t>
  </si>
  <si>
    <t xml:space="preserve">Rabanne One 1 Million ( Tradicional ) 10</t>
  </si>
  <si>
    <t xml:space="preserve">Boss Bottled ( Cinza ) Eau De Toilette 2</t>
  </si>
  <si>
    <t xml:space="preserve">Carolina Herrera Bad Boy Extreme Edp 50m</t>
  </si>
  <si>
    <t xml:space="preserve">Perfume Carolina Herrera Bad Boy Extreme</t>
  </si>
  <si>
    <t xml:space="preserve">Kit Perfume Invictus Eau De Toilete - Co</t>
  </si>
  <si>
    <t xml:space="preserve">Molinete Shimano Fx 2500 - 3 Rolamentos </t>
  </si>
  <si>
    <t xml:space="preserve">Davidoff Cool Water Eau De Toilette 125m</t>
  </si>
  <si>
    <t xml:space="preserve">Kit Wella Professionals Invigo Color Bri</t>
  </si>
  <si>
    <t xml:space="preserve">Carretilha Shimano Curado 301 Hg Esquerd</t>
  </si>
  <si>
    <t xml:space="preserve">Giorgio Armani Code Perfume Masculino Pa</t>
  </si>
  <si>
    <t xml:space="preserve">Gucci Guilty Femme Edp 90ml - Original</t>
  </si>
  <si>
    <t xml:space="preserve">Kit Presente Perfume Carolina Herrera 21</t>
  </si>
  <si>
    <t xml:space="preserve">Perfume Light Blue Eau De Parfum ( Edp )</t>
  </si>
  <si>
    <t xml:space="preserve">PHILIPS</t>
  </si>
  <si>
    <t xml:space="preserve">Headset Over-ear P/ Músico Dj Téc De Som</t>
  </si>
  <si>
    <t xml:space="preserve">Protetor Solar 12hs Pele Oleosa Normaliz</t>
  </si>
  <si>
    <t xml:space="preserve">Perfume Masculino Bottled Infinite Eau D</t>
  </si>
  <si>
    <t xml:space="preserve">Kit Presente Carolina Herrera Perfume Fe</t>
  </si>
  <si>
    <t xml:space="preserve">Faca Preta 6 Lâminas Do Liquidificador P</t>
  </si>
  <si>
    <t xml:space="preserve">Soprador Térmico Wesco 2000w 220v 3 Níve</t>
  </si>
  <si>
    <t xml:space="preserve">Mala Mochila Expedition 2.0 Militar Invi</t>
  </si>
  <si>
    <t xml:space="preserve">Perfume Davidoff Cool Water Eau De Toile</t>
  </si>
  <si>
    <t xml:space="preserve">Perfume Animale For Men Edt 100ml</t>
  </si>
  <si>
    <t xml:space="preserve">Perfume Rabanne Phantom Intense Eau De P</t>
  </si>
  <si>
    <t xml:space="preserve">Invictus Victory ( Tradicional ) Edp Ext</t>
  </si>
  <si>
    <t xml:space="preserve">Carretilha Pesca Maruri Bronx Wr Tamba D</t>
  </si>
  <si>
    <t xml:space="preserve">Perfume Versace Bright Crystal Absolu Ed</t>
  </si>
  <si>
    <t xml:space="preserve">Wella Kit Oil Reflections (shampoo + Con</t>
  </si>
  <si>
    <t xml:space="preserve">Perfume Masculino Homme Joop! Eau De Toi</t>
  </si>
  <si>
    <t xml:space="preserve">Perfume Dolce &amp; Gabbana Light Blue Femin</t>
  </si>
  <si>
    <t xml:space="preserve">Protetor Solar Fluido Ácido Tranexâmico </t>
  </si>
  <si>
    <t xml:space="preserve">Armaf Tag Her Edp 100ml Feminino | Origi</t>
  </si>
  <si>
    <t xml:space="preserve">Perfume Rabanne Olympéa 30ml Feminino</t>
  </si>
  <si>
    <t xml:space="preserve">MOSCHINO</t>
  </si>
  <si>
    <t xml:space="preserve">Toy Boy Moschino Eau De Parfum - Perfume</t>
  </si>
  <si>
    <t xml:space="preserve">Rabanne Phantom Elixir - Perfume Masculi</t>
  </si>
  <si>
    <t xml:space="preserve">Good Girl Carolina Herrera Feminino Eau </t>
  </si>
  <si>
    <t xml:space="preserve">Armani Beauty Code Classic Armani Beauty</t>
  </si>
  <si>
    <t xml:space="preserve">Lancome La Vie Est Belle Eau De Parfum 3</t>
  </si>
  <si>
    <t xml:space="preserve">Fone De Ouvido Ear Cuff Sem Fio Philips </t>
  </si>
  <si>
    <t xml:space="preserve">Perfume Carolina Herrera 212 Vip Eau De </t>
  </si>
  <si>
    <t xml:space="preserve">Carretilha Maruri Bronx 300 Drag 15kg 7 </t>
  </si>
  <si>
    <t xml:space="preserve">Perfume Jean Paul Gaultier Scandal Le Pa</t>
  </si>
  <si>
    <t xml:space="preserve">Kit Presente Perfume Feminino Good Girl </t>
  </si>
  <si>
    <t xml:space="preserve">Carolina Herrera Ch Men ( Tradicional ) </t>
  </si>
  <si>
    <t xml:space="preserve">Protetor Solar Ada Tina Normalize Hydra </t>
  </si>
  <si>
    <t xml:space="preserve">Kit Light Blue Edt 100ml + Creme + Trave</t>
  </si>
  <si>
    <t xml:space="preserve">Hugo Man Hugo Boss Eau De Toilette - Per</t>
  </si>
  <si>
    <t xml:space="preserve">Perfume La Vie Est Belle Lancôme Eau De </t>
  </si>
  <si>
    <t xml:space="preserve">Protetor Clareador Ada Tina Biosole Oxy </t>
  </si>
  <si>
    <t xml:space="preserve">Perfume Nautica Voyage Edt 100ml Masculi</t>
  </si>
  <si>
    <t xml:space="preserve">Perfume Jean Paul Gaultier Le Male In Bl</t>
  </si>
  <si>
    <t xml:space="preserve">Edição Limitada Fame In Love Edp 80ml Pa</t>
  </si>
  <si>
    <t xml:space="preserve">Carolina Herrera 212 Nyc Edt Fem 100ml</t>
  </si>
  <si>
    <t xml:space="preserve">Banderas King Of Seduction Absolute Edt </t>
  </si>
  <si>
    <t xml:space="preserve">Burberry Her Eau De Parfum - Perfume Fem</t>
  </si>
  <si>
    <t xml:space="preserve">Bottled Triumph Elixir Hugo Boss Parfum </t>
  </si>
  <si>
    <t xml:space="preserve">Perfume Versace Dylan Blue Pour Homme 10</t>
  </si>
  <si>
    <t xml:space="preserve">Carolina Herrera Bad Boy Cobalt Elixir E</t>
  </si>
  <si>
    <t xml:space="preserve">Mavala Nail Shield - Proteção Mecânica P</t>
  </si>
  <si>
    <t xml:space="preserve">Perfume Feminino Givenchy L'interdit Eau</t>
  </si>
  <si>
    <t xml:space="preserve">Perfume Myslf Le Parfum 60ml Masculino |</t>
  </si>
  <si>
    <t xml:space="preserve">Giorgio Armani Code Eau De Parfum Perfum</t>
  </si>
  <si>
    <t xml:space="preserve">Olympéa Edp 80ml + Creme Corporal ( Body</t>
  </si>
  <si>
    <t xml:space="preserve">Coffret Lancome La Vie Est Belle (3 Prod</t>
  </si>
  <si>
    <t xml:space="preserve">Dolce &amp; Gabbana My Devotion Edp Intense </t>
  </si>
  <si>
    <t xml:space="preserve">Perfume Rabanne Pure Xs Edt ( Tradiciona</t>
  </si>
  <si>
    <t xml:space="preserve">Hugo Boss Bottled Absolu Parfum - Perfum</t>
  </si>
  <si>
    <t xml:space="preserve">Invigo Sun Uv Hair Color Protection Spra</t>
  </si>
  <si>
    <t xml:space="preserve">Rabanne Phantom Elixir Parfum Intense 15</t>
  </si>
  <si>
    <t xml:space="preserve">Shiseido Refil Pó Compacto Spf 30 - Medi</t>
  </si>
  <si>
    <t xml:space="preserve">Burberry Her Intense Eau De Parfum - Per</t>
  </si>
  <si>
    <t xml:space="preserve">Perfume Calvin Klein Ck Be ( Clássico ) </t>
  </si>
  <si>
    <t xml:space="preserve">Perfume Animale Animale Masculino Eau De</t>
  </si>
  <si>
    <t xml:space="preserve">Chloe Sign Lumineuse Edp 30ml Volume Da </t>
  </si>
  <si>
    <t xml:space="preserve">Fragrância Voyage Intense Nautica Spray </t>
  </si>
  <si>
    <t xml:space="preserve">Maruri Black Tamba Bg Preto Direito</t>
  </si>
  <si>
    <t xml:space="preserve">Perfume Prada Paradoxe Edp 90 Ml</t>
  </si>
  <si>
    <t xml:space="preserve">Boss Bottled Eau De Parfum ( Edp ) 200ml</t>
  </si>
  <si>
    <t xml:space="preserve">Prada Paradoxe Edp30ml</t>
  </si>
  <si>
    <t xml:space="preserve">Refil Shiseido Sp30 Light Ochre Pó Compa</t>
  </si>
  <si>
    <t xml:space="preserve">Signature Eau De Parfum Feminino 30ml Mo</t>
  </si>
  <si>
    <t xml:space="preserve">Perfume Calvin Klein Ck Be ( Tradicional</t>
  </si>
  <si>
    <t xml:space="preserve">Molinete Ultralight Maruri Triton 500 14</t>
  </si>
  <si>
    <t xml:space="preserve">Kit Presente Rabanne Olympéa Eau De Parf</t>
  </si>
  <si>
    <t xml:space="preserve">Molinete Fx Fc 1000 - Shimano Cor Preto </t>
  </si>
  <si>
    <t xml:space="preserve">Versace Eros Energy Eau De Parfum ( Edp </t>
  </si>
  <si>
    <t xml:space="preserve">Perfume Gabriela Sabatini ( Tradicional </t>
  </si>
  <si>
    <t xml:space="preserve">Perfume Yves Saint Laurent Libre Flowers</t>
  </si>
  <si>
    <t xml:space="preserve">Perfume Rabanne Invictus Parfum 100 Ml M</t>
  </si>
  <si>
    <t xml:space="preserve">Perfume Versace Eros Eau De Toilette Ama</t>
  </si>
  <si>
    <t xml:space="preserve">Perfume Masculino Sport Edt 100ml Azzaro</t>
  </si>
  <si>
    <t xml:space="preserve">Moschino Toy 2 Edp 30ml Para Feminino</t>
  </si>
  <si>
    <t xml:space="preserve">Perfume Eternity For Men Calvin Klein 10</t>
  </si>
  <si>
    <t xml:space="preserve">Protetor Solar 12hs Bloqueio Anti-mancha</t>
  </si>
  <si>
    <t xml:space="preserve">Tommy Girl ( Tradicional ) 200ml Feminin</t>
  </si>
  <si>
    <t xml:space="preserve">Coldre Invictus Glock G19 G25 G23 Porte </t>
  </si>
  <si>
    <t xml:space="preserve">Perfume Masculino Eau De Parfum Ralph La</t>
  </si>
  <si>
    <t xml:space="preserve">Hero Burberry Edp - Perfume Masculino 15</t>
  </si>
  <si>
    <t xml:space="preserve">Perfume Givenchy Gentleman Reserve Prive</t>
  </si>
  <si>
    <t xml:space="preserve">Perfume Masculino Hugo Boss Bottled Elix</t>
  </si>
  <si>
    <t xml:space="preserve">Perfume Versace Crystal Noir Feminino Ea</t>
  </si>
  <si>
    <t xml:space="preserve">Perfume Carolina Herrera 212 Vip Rosé Ed</t>
  </si>
  <si>
    <t xml:space="preserve">Alicate Tático Multitool Precision Invic</t>
  </si>
  <si>
    <t xml:space="preserve">Creme Corporal Carolina Herrera Good Gir</t>
  </si>
  <si>
    <t xml:space="preserve">Molinete Shimano New Sienna 1000 Fg 4 Ro</t>
  </si>
  <si>
    <t xml:space="preserve">Perfume Jean Paul Gaultier Classique Eau</t>
  </si>
  <si>
    <t xml:space="preserve">Versace Crystal Noir Parfum - Perfume Fe</t>
  </si>
  <si>
    <t xml:space="preserve">Perfume Feminino Nina De Nina Ricci 80ml</t>
  </si>
  <si>
    <t xml:space="preserve">Rabanne Lady Million Eau De Parfum 80ml </t>
  </si>
  <si>
    <t xml:space="preserve">Shiseido Ultimune Power Infusing - Serum</t>
  </si>
  <si>
    <t xml:space="preserve">Hugo Boss Bottled Parfum Perfume Para Ma</t>
  </si>
  <si>
    <t xml:space="preserve">Dolce &amp; Gabbana Pour Femme Edp - Perfume</t>
  </si>
  <si>
    <t xml:space="preserve">Animale Feminino Eau De Parfum 30 Ml</t>
  </si>
  <si>
    <t xml:space="preserve">Perfume Calvin Klein Euphoria Bold Elixi</t>
  </si>
  <si>
    <t xml:space="preserve">Versace Crystal Noir Edt 90ml Feminino |</t>
  </si>
  <si>
    <t xml:space="preserve">Perfume Masculino Eau De Parfum Azzaro T</t>
  </si>
  <si>
    <t xml:space="preserve">Leave In Wella Enrich Balm Hidratante 15</t>
  </si>
  <si>
    <t xml:space="preserve">Perfume Nina Ricci Vénus De Nina Ricci E</t>
  </si>
  <si>
    <t xml:space="preserve">Perfume Anotnio Banderas Black Seduction</t>
  </si>
  <si>
    <t xml:space="preserve">Perfume Masculino Dolce &amp; Gabbana Light </t>
  </si>
  <si>
    <t xml:space="preserve">Chloe Kit Signature Eau De Parfum 100ml </t>
  </si>
  <si>
    <t xml:space="preserve">Eau De Toilette Masculino Ralph Lauren P</t>
  </si>
  <si>
    <t xml:space="preserve">Devotion Dolce &amp; Gabbana Eau De Parfum -</t>
  </si>
  <si>
    <t xml:space="preserve">Armani Acqua Di Gio Masculino Eau De Toi</t>
  </si>
  <si>
    <t xml:space="preserve">Protetor Solar Antiacne Normalizer Pore </t>
  </si>
  <si>
    <t xml:space="preserve">Algema De Pulso Invictus Aço Carbono Cor</t>
  </si>
  <si>
    <t xml:space="preserve">Perfume Dolce &amp; Gabbana The One Eau De P</t>
  </si>
  <si>
    <t xml:space="preserve">Perfume Jacques Bogart Silver Scent Inte</t>
  </si>
  <si>
    <t xml:space="preserve">Ultra Glaco Fusso 70ml Repelente De Água</t>
  </si>
  <si>
    <t xml:space="preserve">Soft99 Glaco Compound 100ml Limpador E P</t>
  </si>
  <si>
    <t xml:space="preserve">Marine Sports Versus 8000 Carretilha Rec</t>
  </si>
  <si>
    <t xml:space="preserve">Dolce &amp; Gabbana My Devotion Eau De Parfu</t>
  </si>
  <si>
    <t xml:space="preserve">Perfume Glam 100ml Mahogany +</t>
  </si>
  <si>
    <t xml:space="preserve">Carolina Herrera La Bomba Eau De Parfum </t>
  </si>
  <si>
    <t xml:space="preserve">Perfume Versace Dylan Turquoise Feminino</t>
  </si>
  <si>
    <t xml:space="preserve">Perfume Versace Man Eau Fraîche Masculin</t>
  </si>
  <si>
    <t xml:space="preserve">Carolina Herrera Desodorante 212 Masculi</t>
  </si>
  <si>
    <t xml:space="preserve">Headphone Philips Sport Bluetooth Preto </t>
  </si>
  <si>
    <t xml:space="preserve">Perfume Rabanne Pure Xs For Her Eau De P</t>
  </si>
  <si>
    <t xml:space="preserve">Perfume Rabanne 1 Million Parfum 100 Ml </t>
  </si>
  <si>
    <t xml:space="preserve">Perfume One 1 Million Eau De Toilette 20</t>
  </si>
  <si>
    <t xml:space="preserve">Tommy Hilfiger Tommy Tradicional Edt 200</t>
  </si>
  <si>
    <t xml:space="preserve">Rabanne Invictus Parfum Elixir 100ml</t>
  </si>
  <si>
    <t xml:space="preserve">Body Spray Carolina Herrera 212 Men Nyc </t>
  </si>
  <si>
    <t xml:space="preserve">212 Vip Rosé Carolina Herrera Edp 50ml P</t>
  </si>
  <si>
    <t xml:space="preserve">Shiseido Men Ultimune Power Infusing Ser</t>
  </si>
  <si>
    <t xml:space="preserve">Burberry Goddess Perfume Feminino Edp 50</t>
  </si>
  <si>
    <t xml:space="preserve">Versace Eros Pour Femme Eau De Parfum 10</t>
  </si>
  <si>
    <t xml:space="preserve">Perfume Versace Eros Energy Edp 100ml Ma</t>
  </si>
  <si>
    <t xml:space="preserve">Carolina Herrera Good Girl Very Glam - P</t>
  </si>
  <si>
    <t xml:space="preserve">Perfume Montblanc Legend Elixir Parfum 1</t>
  </si>
  <si>
    <t xml:space="preserve">Kit Presente Rabanne Invictus Victory El</t>
  </si>
  <si>
    <t xml:space="preserve">Conjunto De Perfume Jean Paul Gaultier L</t>
  </si>
  <si>
    <t xml:space="preserve">Abafador Invictus Mute Preto</t>
  </si>
  <si>
    <t xml:space="preserve">Dolce&amp;gabbana Light Blue Eau De Toilette</t>
  </si>
  <si>
    <t xml:space="preserve">Dylan Blue Edp 100ml Feminino Versace</t>
  </si>
  <si>
    <t xml:space="preserve">Rabanne Eau De Toilette Pour Homme 100 M</t>
  </si>
  <si>
    <t xml:space="preserve">Refil Perfume Jean Paul Gaultier Scandal</t>
  </si>
  <si>
    <t xml:space="preserve">Tommy Girl ( Tradicional ) 30ml Feminino</t>
  </si>
  <si>
    <t xml:space="preserve">Perfume Feminino Signature Elixir Montbl</t>
  </si>
  <si>
    <t xml:space="preserve">Rabanne Pure Xs Edt 100ml Para Masculino</t>
  </si>
  <si>
    <t xml:space="preserve">Coffret Jean Paul Gaultier Divine Edp 50</t>
  </si>
  <si>
    <t xml:space="preserve">Máscara De Cílios Com Volume De Até 12x </t>
  </si>
  <si>
    <t xml:space="preserve">Perfume Versace Versense Eau De Toilette</t>
  </si>
  <si>
    <t xml:space="preserve">Jean Paul Gaultier Scandal Pour Homme Ab</t>
  </si>
  <si>
    <t xml:space="preserve">Protetor Solar 12hs Anti-idade E Anti-ma</t>
  </si>
  <si>
    <t xml:space="preserve">Bolsa Mochila Tática De Ombro Agility 2.</t>
  </si>
  <si>
    <t xml:space="preserve">Perfume Davidoff Cool Elixir Oud Aromati</t>
  </si>
  <si>
    <t xml:space="preserve">Yves Saint Laurent Libre Berry Crush Eau</t>
  </si>
  <si>
    <t xml:space="preserve">Perfume Masculino Gucci Guilty Pour Homm</t>
  </si>
  <si>
    <t xml:space="preserve">Perfume Carolina Herrera Bad Boy Cobalt </t>
  </si>
  <si>
    <t xml:space="preserve">Máscara De Cílios Hypnôse Drama À Prova </t>
  </si>
  <si>
    <t xml:space="preserve">BENETTON</t>
  </si>
  <si>
    <t xml:space="preserve">Perfume Benetton United Dreams Aim High </t>
  </si>
  <si>
    <t xml:space="preserve">Cinto Hanger Invictus Tático Velado Perf</t>
  </si>
  <si>
    <t xml:space="preserve">Cinto Tático Modular Rigger Extreme Fast</t>
  </si>
  <si>
    <t xml:space="preserve">Carolina Herrera 212 Men ( Tradicional )</t>
  </si>
  <si>
    <t xml:space="preserve">Perfume Nina Ricci Nina Rouge Eau De Toi</t>
  </si>
  <si>
    <t xml:space="preserve">L'interdit Eau De Parfum Rouge Ultime 80</t>
  </si>
  <si>
    <t xml:space="preserve">Canivete Tático Invictus Rapid Cor Preto</t>
  </si>
  <si>
    <t xml:space="preserve">Armani Beauty Perfume Feminino My Way In</t>
  </si>
  <si>
    <t xml:space="preserve">Perfume Shiseido Ginza Eau De Parfum 90m</t>
  </si>
  <si>
    <t xml:space="preserve">D &amp; G The One For Men Eau De Parfum ( Ed</t>
  </si>
  <si>
    <t xml:space="preserve">Shiseido Refil Pó Compacto - Dark Ivory </t>
  </si>
  <si>
    <t xml:space="preserve">Fragrância Desodorante Corporal Mel Das </t>
  </si>
  <si>
    <t xml:space="preserve">Compre Perfume Eganhe Kit Completo - Per</t>
  </si>
  <si>
    <t xml:space="preserve">Perfume Masculino Rabanne Phantom In Red</t>
  </si>
  <si>
    <t xml:space="preserve">Protetor Solar Ada Tina Pure C Fps 50 50</t>
  </si>
  <si>
    <t xml:space="preserve">Kit Olympéa Edp 80ml + Creme Corporal ( </t>
  </si>
  <si>
    <t xml:space="preserve">Saco De Descarte Tático Dispose Invictus</t>
  </si>
  <si>
    <t xml:space="preserve">Tommy Girl ( Tradicional ) 100ml Feminin</t>
  </si>
  <si>
    <t xml:space="preserve">Wella Oil Reflections 30ml</t>
  </si>
  <si>
    <t xml:space="preserve">Pressurizador Chuveiro Mini Bomba Komeco</t>
  </si>
  <si>
    <t xml:space="preserve">Perfume Mercedes Benz Select Night 100ml</t>
  </si>
  <si>
    <t xml:space="preserve">Rabanne Lady Million Edp 80ml Feminino (</t>
  </si>
  <si>
    <t xml:space="preserve">Perfume Dolce &amp; Gabbana The Only One Int</t>
  </si>
  <si>
    <t xml:space="preserve">Perfume Carolina Herrera Ch Men Carolina</t>
  </si>
  <si>
    <t xml:space="preserve">Wella Invigo Sun Leave In 150ml</t>
  </si>
  <si>
    <t xml:space="preserve">Shiseido Uv Protective Compact Foundatio</t>
  </si>
  <si>
    <t xml:space="preserve">Carolina Herrera Bad Boy Edp Extreme - M</t>
  </si>
  <si>
    <t xml:space="preserve">Perfume Masculino Versace Eros Energy Ea</t>
  </si>
  <si>
    <t xml:space="preserve">Carolina Herrera 212 Men Nyc Eau De Toil</t>
  </si>
  <si>
    <t xml:space="preserve">Dolce &amp; Gabbana K Edt 150ml Masculino | </t>
  </si>
  <si>
    <t xml:space="preserve">Elizabeth Arden Red Door ( Tradicional )</t>
  </si>
  <si>
    <t xml:space="preserve">Mahogany Perfume Feminino Style Pleasure</t>
  </si>
  <si>
    <t xml:space="preserve">Perfume Masculino Alta Fixação, The Most</t>
  </si>
  <si>
    <t xml:space="preserve">Shiseido Treatment Softener - Loção Hidr</t>
  </si>
  <si>
    <t xml:space="preserve">Perfume Animale Seduction Feminino Eau D</t>
  </si>
  <si>
    <t xml:space="preserve">Perfume Rabanne Invictus ( Tradicional )</t>
  </si>
  <si>
    <t xml:space="preserve">Cera Fusso Coat Soft99 200g Para Carros </t>
  </si>
  <si>
    <t xml:space="preserve">Britney Spears Midnight Fantasy Edp 100m</t>
  </si>
  <si>
    <t xml:space="preserve">Sabonete Líquido Refil Lavanda &amp; Algodão</t>
  </si>
  <si>
    <t xml:space="preserve">Gucci Guilty Love Edition Eau De Parfum </t>
  </si>
  <si>
    <t xml:space="preserve">Chloé Eau De Parfum Refil 150ml Floral O</t>
  </si>
  <si>
    <t xml:space="preserve">Shiseido Future Solution Lx Sfs Regenera</t>
  </si>
  <si>
    <t xml:space="preserve">Perfume Masculino Bad Boy Cobalt Carolin</t>
  </si>
  <si>
    <t xml:space="preserve">Wella Kit Invigo Sun Shampoo+condicionad</t>
  </si>
  <si>
    <t xml:space="preserve">Rabanne Invictus Victory Extreme Edp 100</t>
  </si>
  <si>
    <t xml:space="preserve">Perfume Versace Bright Crystal Feminino </t>
  </si>
  <si>
    <t xml:space="preserve">Gucci Guilty Pour Homme Edp 150ml Mascul</t>
  </si>
  <si>
    <t xml:space="preserve">Antonio Banderas The Icon Edt 100ml Para</t>
  </si>
  <si>
    <t xml:space="preserve">La Belle 100ml + Body Lotion ( Creme Cor</t>
  </si>
  <si>
    <t xml:space="preserve">Kit Calvin Klein Ck One ( Tradicional ) </t>
  </si>
  <si>
    <t xml:space="preserve">Armani Beauty Perfume Feminino Sì Eau De</t>
  </si>
  <si>
    <t xml:space="preserve">Algema De Pulso Invictus Dobradiça Prate</t>
  </si>
  <si>
    <t xml:space="preserve">Perfume Club De Nuit Iconic Armaf 105ml </t>
  </si>
  <si>
    <t xml:space="preserve">Armani Beauty Perfume Feminino Sì Passio</t>
  </si>
  <si>
    <t xml:space="preserve">Perfume Masculino Prada Luna Rossa Eau D</t>
  </si>
  <si>
    <t xml:space="preserve">Hugo Boss Hugo Intense Eau De Parfum Per</t>
  </si>
  <si>
    <t xml:space="preserve">Esmerilhadeira Angular Black+decker G720</t>
  </si>
  <si>
    <t xml:space="preserve">Mont Blanc Signature Fem Edp 90ml</t>
  </si>
  <si>
    <t xml:space="preserve">Perfume Masculino Legend Montblanc 200ml</t>
  </si>
  <si>
    <t xml:space="preserve">Carretel Molinete Shimano Sienna Fg Sn50</t>
  </si>
  <si>
    <t xml:space="preserve">Perfume Scandal Eau De Parfum ( Tradicio</t>
  </si>
  <si>
    <t xml:space="preserve">Montblanc Signature Elixir Edp 90ml | Or</t>
  </si>
  <si>
    <t xml:space="preserve">Body Spray Carolina Herrera 212 Vip Blac</t>
  </si>
  <si>
    <t xml:space="preserve">Yves Saint Laurent Perfume Masculino  Ea</t>
  </si>
  <si>
    <t xml:space="preserve">Perfume Benetton United Colors Black Eau</t>
  </si>
  <si>
    <t xml:space="preserve">Máscara Wella Fusion Reconstrutora 500ml</t>
  </si>
  <si>
    <t xml:space="preserve">Elizabeth Arden Green Tea ( Tradicional </t>
  </si>
  <si>
    <t xml:space="preserve">Perfume Calvin Klein Euphoria Solar Elix</t>
  </si>
  <si>
    <t xml:space="preserve">Rabanne Lady Million Fabulous Edp 80ml P</t>
  </si>
  <si>
    <t xml:space="preserve">Protetor Solar Biosole E+ Fps99 Stick An</t>
  </si>
  <si>
    <t xml:space="preserve">Desodorante Spray Invictus 150ml | Origi</t>
  </si>
  <si>
    <t xml:space="preserve">Jean Paul Scandal Absolu Parfum - Perfum</t>
  </si>
  <si>
    <t xml:space="preserve">Perfume Gucci Guilty Pour Femme Eau De P</t>
  </si>
  <si>
    <t xml:space="preserve">Mont Blanc Signature Fem Edp 90ml Para F</t>
  </si>
  <si>
    <t xml:space="preserve">Mont Blanc Signature Eau De Parfum 90ml </t>
  </si>
  <si>
    <t xml:space="preserve">Perfume Moschino I Love Love Eau De Toil</t>
  </si>
  <si>
    <t xml:space="preserve">Perfume Masculino Antonio Banderas The S</t>
  </si>
  <si>
    <t xml:space="preserve">Carolina Herrera Eau De Toilette 100ml</t>
  </si>
  <si>
    <t xml:space="preserve">Prada Perfume Luna Rossa Ocean Edp 100ml</t>
  </si>
  <si>
    <t xml:space="preserve">Mont Blanc Explorer Eau De Parfum ( Edp </t>
  </si>
  <si>
    <t xml:space="preserve">Mercedes Benz Select Night Eau De Parfum</t>
  </si>
  <si>
    <t xml:space="preserve">Lanterna Invictus Storm T6 280 Lumens Re</t>
  </si>
  <si>
    <t xml:space="preserve">Perfume Rabanne One 1 Million Parfum 100</t>
  </si>
  <si>
    <t xml:space="preserve">Gucci Guilty Intense Pour Femme 90ml Fem</t>
  </si>
  <si>
    <t xml:space="preserve">Armaf Club De Nuit Intense Man 105ml Mas</t>
  </si>
  <si>
    <t xml:space="preserve">Shiseido Future Solution Lx - Creme Faci</t>
  </si>
  <si>
    <t xml:space="preserve">Dolce&amp;gabbana The One Feminino Edp 30ml</t>
  </si>
  <si>
    <t xml:space="preserve">Shiseido Bb For Sports Fps 50 Light Base</t>
  </si>
  <si>
    <t xml:space="preserve">Chloé Edp 75ml Feminino | Original + Amo</t>
  </si>
  <si>
    <t xml:space="preserve">Chloe L'eau De Parfum Intense - Perfume </t>
  </si>
  <si>
    <t xml:space="preserve">Protetor Solar Ada Tina Biosole Bb Fps 6</t>
  </si>
  <si>
    <t xml:space="preserve">Perfume Gucci Guilty Femme Floral Edt 50</t>
  </si>
  <si>
    <t xml:space="preserve">Perfume Versace Crystal Noir Parfum Femi</t>
  </si>
  <si>
    <t xml:space="preserve">Moschino Toy 2 Edp 100ml Para Feminino</t>
  </si>
  <si>
    <t xml:space="preserve">Rabanne Invictus Original Edp 100,55 Ml </t>
  </si>
  <si>
    <t xml:space="preserve">Armaf Club De Nuit Man 105ml Masculino |</t>
  </si>
  <si>
    <t xml:space="preserve">212 Vip Men Carolina Herrera Edt 100ml M</t>
  </si>
  <si>
    <t xml:space="preserve">Dolce &amp; Gabbana Pour Homme Tradicional E</t>
  </si>
  <si>
    <t xml:space="preserve">Jean Paul Ultra Male Edt - Perfume Mascu</t>
  </si>
  <si>
    <t xml:space="preserve">Shiseido Essential Energy Hydrating Crea</t>
  </si>
  <si>
    <t xml:space="preserve">Des. Corporal Mahogany Spray For Men 200</t>
  </si>
  <si>
    <t xml:space="preserve">Burberry Goddess Parfum Feminino 50ml Ve</t>
  </si>
  <si>
    <t xml:space="preserve">Perfume Versace Eau Fraiche Extreme Edp </t>
  </si>
  <si>
    <t xml:space="preserve">Al Wataniah Eqaab Eau De Parfum 100ml Ma</t>
  </si>
  <si>
    <t xml:space="preserve">Rabanne One 1 Million ( Tradicional ) 20</t>
  </si>
  <si>
    <t xml:space="preserve">Versace Pour Homme (tradicional) 200ml M</t>
  </si>
  <si>
    <t xml:space="preserve">Carolina Herrera 212 Vip Rosé Edp 80ml P</t>
  </si>
  <si>
    <t xml:space="preserve">Armaf Club De Nuit Woman Edp 105ml | Ori</t>
  </si>
  <si>
    <t xml:space="preserve">Perfume Animale Seduction Masculino Eau </t>
  </si>
  <si>
    <t xml:space="preserve">Hugo Boss Jeans Edt Perfume Masculino 12</t>
  </si>
  <si>
    <t xml:space="preserve">Perfume Burberry Her Eau De Parfum Inten</t>
  </si>
  <si>
    <t xml:space="preserve">Mahogany Fragrância Python &amp; Flowers 100</t>
  </si>
  <si>
    <t xml:space="preserve">Perfume Gucci Bloom Feminino Eau De Toil</t>
  </si>
  <si>
    <t xml:space="preserve">Lápis Delineador Drama Liqui Lancôme 02 </t>
  </si>
  <si>
    <t xml:space="preserve">Yellow Diamond Versace Eau De Toilette -</t>
  </si>
  <si>
    <t xml:space="preserve">Perfume Prada Luna Rossa Ocean Eau De To</t>
  </si>
  <si>
    <t xml:space="preserve">Armani Beauty Acqua Di Giò Masculino Edt</t>
  </si>
  <si>
    <t xml:space="preserve">Hugo Boss Bottled Beyond Eau De Parfum M</t>
  </si>
  <si>
    <t xml:space="preserve">Invictus Victory Eau De Parfum Extrême 2</t>
  </si>
  <si>
    <t xml:space="preserve">Perfume Rabanne Olympéa Parfum 80ml Femi</t>
  </si>
  <si>
    <t xml:space="preserve">Dolce &amp; Gabbana Light Blue Eau De Parfum</t>
  </si>
  <si>
    <t xml:space="preserve">Kit Scandal Edp 50ml + Body Lotion ( Cre</t>
  </si>
  <si>
    <t xml:space="preserve">Coldre Velado Iwb Kydex Beretta Apx Dest</t>
  </si>
  <si>
    <t xml:space="preserve">Perfume Rabanne Black Xs ( Tradicional )</t>
  </si>
  <si>
    <t xml:space="preserve">Jean Paul Gaultier Le Male Le Parfum 200</t>
  </si>
  <si>
    <t xml:space="preserve">Perfume Rabanne Fame Intense Eau De Parf</t>
  </si>
  <si>
    <t xml:space="preserve">Rabanne Lady Million Edp 30ml Para Femin</t>
  </si>
  <si>
    <t xml:space="preserve">Perfume Gucci Bloom Parfum Feminino 50ml</t>
  </si>
  <si>
    <t xml:space="preserve">Prada Luna Rossa Carbon Edt 150ml + Brin</t>
  </si>
  <si>
    <t xml:space="preserve">Refil De Base Pó Compacto Uv Protective </t>
  </si>
  <si>
    <t xml:space="preserve">Mahogany Fragrância Des. Make Me Fever G</t>
  </si>
  <si>
    <t xml:space="preserve">Rabanne Invictus Victory Absolu 200ml</t>
  </si>
  <si>
    <t xml:space="preserve">Perfume Chloé Le Parfum Feminino De 100 </t>
  </si>
  <si>
    <t xml:space="preserve">Loção Corporal La Vie Est Belle Lait Cor</t>
  </si>
  <si>
    <t xml:space="preserve">Perfume Rabanne Olympéa Parfum 50 Ml Fem</t>
  </si>
  <si>
    <t xml:space="preserve">Invictus Bandoleira Tática 1 Ponta Strap</t>
  </si>
  <si>
    <t xml:space="preserve">Silver Scent Infinite Silver 100ml</t>
  </si>
  <si>
    <t xml:space="preserve">Coldre Velado Invictus Para Glock G17 G2</t>
  </si>
  <si>
    <t xml:space="preserve">Perfume Árabe Durrat Al Aroos Al Watania</t>
  </si>
  <si>
    <t xml:space="preserve">Perfume 4711 Original 400ml Unissex | Or</t>
  </si>
  <si>
    <t xml:space="preserve">Kit Jean Paul Gaultier Le Male Elixir 12</t>
  </si>
  <si>
    <t xml:space="preserve">Versace Dylan Blush Pink Eau De Parfum 1</t>
  </si>
  <si>
    <t xml:space="preserve">Perfume Chloé Eau De Parfum ( Tradiciona</t>
  </si>
  <si>
    <t xml:space="preserve">Animale Animale For Men Eau De Toilette </t>
  </si>
  <si>
    <t xml:space="preserve">Jean Paul Scandal Intense Edp Intense 80</t>
  </si>
  <si>
    <t xml:space="preserve">Perfume 212 Sexy Men Eau De Toilette 100</t>
  </si>
  <si>
    <t xml:space="preserve">Rabanne 1 Million Desodorante Perfumado </t>
  </si>
  <si>
    <t xml:space="preserve">La Bomba Carolina Herrera Eau De Parfum </t>
  </si>
  <si>
    <t xml:space="preserve">Versace Dylan Turquoise 100ml | Original</t>
  </si>
  <si>
    <t xml:space="preserve">Jean Paul Le Male Elixir - Perfume Mascu</t>
  </si>
  <si>
    <t xml:space="preserve">Dolce &amp; Gabbana Light Blue Edt 200ml Par</t>
  </si>
  <si>
    <t xml:space="preserve">Wella Nutri Enrich Mask Cond 500ml </t>
  </si>
  <si>
    <t xml:space="preserve">Myslf Yves Saint Laurent Perfume Masc Ea</t>
  </si>
  <si>
    <t xml:space="preserve">Lâncome La Vie Est Belle Vanille Nude Ea</t>
  </si>
  <si>
    <t xml:space="preserve">Rabanne Invictus Victory Elixir Parfum I</t>
  </si>
  <si>
    <t xml:space="preserve">Banderas King Of Seduction Edt 200ml Par</t>
  </si>
  <si>
    <t xml:space="preserve">Burberry Her Edp 100ml Para Feminino</t>
  </si>
  <si>
    <t xml:space="preserve">Perfume Masculino Azzaro Wanted Edt 50ml</t>
  </si>
  <si>
    <t xml:space="preserve">Acqua Di Giò Giorgio Armani Perfume Eau </t>
  </si>
  <si>
    <t xml:space="preserve">Burberry Her Eau De Parfum Feminino 100m</t>
  </si>
  <si>
    <t xml:space="preserve">Máscara Invigo Color Brilliance 500ml - </t>
  </si>
  <si>
    <t xml:space="preserve">Jean Paul Scandal Le Parfum - Perfume Fe</t>
  </si>
  <si>
    <t xml:space="preserve">Perfume Rabanne Invictus Parfum 50 Ml Ma</t>
  </si>
  <si>
    <t xml:space="preserve">Armani Acqua Di Giò Profondo - Perfume M</t>
  </si>
  <si>
    <t xml:space="preserve">Armani Beauty Perfume Feminino My Way Ne</t>
  </si>
  <si>
    <t xml:space="preserve">Idôle Body Up Scented Body Lotion 200ml </t>
  </si>
  <si>
    <t xml:space="preserve">Ralph Lauren Polo Sport Masculino Eau De</t>
  </si>
  <si>
    <t xml:space="preserve">Burberry Hero Edp - Perfume Masculino 10</t>
  </si>
  <si>
    <t xml:space="preserve">Perfume Masculino Versace Eros Najim Par</t>
  </si>
  <si>
    <t xml:space="preserve">Perfume Feminino La Nuit Trésor Lancôme </t>
  </si>
  <si>
    <t xml:space="preserve">Gucci Guilty Elixir De Parfum 60ml Femin</t>
  </si>
  <si>
    <t xml:space="preserve">Jean Paul Gaultier Scandal Eau De Parfum</t>
  </si>
  <si>
    <t xml:space="preserve">Jean Paul Gaultier Divine 100ml + Body L</t>
  </si>
  <si>
    <t xml:space="preserve">Animale Animale For Men 100ml Masculino</t>
  </si>
  <si>
    <t xml:space="preserve">Cinto Rigger Extreme Invictus Preto Fast</t>
  </si>
  <si>
    <t xml:space="preserve">Ralph Lauren Polo Blue Parfum 125ml</t>
  </si>
  <si>
    <t xml:space="preserve">Paradoxe Intense Prada Eau De Parfum Per</t>
  </si>
  <si>
    <t xml:space="preserve">Perfume Masculino Rabanne Phantom 200 Ml</t>
  </si>
  <si>
    <t xml:space="preserve">Elizabeth Arden Sunflower Sunflowers Fem</t>
  </si>
  <si>
    <t xml:space="preserve">212 Nyc Body Spray 250ml Feminino + Amos</t>
  </si>
  <si>
    <t xml:space="preserve">Molinete Shimano Ix 1000r Traseiro Preto</t>
  </si>
  <si>
    <t xml:space="preserve">Perfume Masculino Jean Paul Gaultier Sca</t>
  </si>
  <si>
    <t xml:space="preserve">Montblanc Signature Elixir Eau De Parfum</t>
  </si>
  <si>
    <t xml:space="preserve">Rabanne Million Gold Parfum 50ml Feminin</t>
  </si>
  <si>
    <t xml:space="preserve">Creme Advanced Génifique Crema De Día 50</t>
  </si>
  <si>
    <t xml:space="preserve">Body Spray Carolina Herrera 212 Vip Rosé</t>
  </si>
  <si>
    <t xml:space="preserve">Kit Rabanne Olympéa 80ml + Loção Corpora</t>
  </si>
  <si>
    <t xml:space="preserve">Perfume Feminino Rabanne Fame In Love Pa</t>
  </si>
  <si>
    <t xml:space="preserve">Good Girl Body Cream ( Creme Hidratante </t>
  </si>
  <si>
    <t xml:space="preserve">Furadeira De Impacto 1/2 1000w Wesco Ws3</t>
  </si>
  <si>
    <t xml:space="preserve">Perfume Rabanne Olympéa Eau De Parfum 30</t>
  </si>
  <si>
    <t xml:space="preserve">Jean Paul Gaultier Scandal ( Tradicional</t>
  </si>
  <si>
    <t xml:space="preserve">Perfume Carolina Herrera 212 Sexy Men 10</t>
  </si>
  <si>
    <t xml:space="preserve">Carolina Herrera Ch Men Wild Love Edição</t>
  </si>
  <si>
    <t xml:space="preserve">Jean Paul Gaultier Scandal Absolu Pour H</t>
  </si>
  <si>
    <t xml:space="preserve">Hair Mist Good Girl Blush ( Perfume Para</t>
  </si>
  <si>
    <t xml:space="preserve">Perfume Versace Dylan Blue Eau De Toilet</t>
  </si>
  <si>
    <t xml:space="preserve">Armaf Club De Nuit Intense Man 105ml | O</t>
  </si>
  <si>
    <t xml:space="preserve">Porta Carregador Fura Reload 5.56 Preto </t>
  </si>
  <si>
    <t xml:space="preserve">Fantasy Britney Spears Eau De Parfum ( E</t>
  </si>
  <si>
    <t xml:space="preserve">Boss Bottled Beyond Eau De Parfum 100ml </t>
  </si>
  <si>
    <t xml:space="preserve">Shiseido Vital Perfection Uplifting And </t>
  </si>
  <si>
    <t xml:space="preserve">Shiseido Ultimune Eye Power - Sérum P/ Á</t>
  </si>
  <si>
    <t xml:space="preserve">Carolina Herrera La Bomba Shimmering Bod</t>
  </si>
  <si>
    <t xml:space="preserve">212 Sexy Carolina Herrera Edp 100ml Perf</t>
  </si>
  <si>
    <t xml:space="preserve">Jean Paul Scandal Intense - Perfume Femi</t>
  </si>
  <si>
    <t xml:space="preserve">Rabanne Invictus Parfum 200 Ml - Perfume</t>
  </si>
  <si>
    <t xml:space="preserve">Perfume Carolina Herrera 212 Heroes Eau </t>
  </si>
  <si>
    <t xml:space="preserve">Guilty Intense Gucci Edp - Perfume Femin</t>
  </si>
  <si>
    <t xml:space="preserve">Perfume Feminino Lancôme Miracle Edp 50m</t>
  </si>
  <si>
    <t xml:space="preserve">Versace Crystal Noir Edt - Perfume Femin</t>
  </si>
  <si>
    <t xml:space="preserve">Yves Saint Laurent Myslf L'absolu Eau De</t>
  </si>
  <si>
    <t xml:space="preserve">Gucci Flora Gorgeous Orchid Edp 100ml Fe</t>
  </si>
  <si>
    <t xml:space="preserve">Perfume Calvin Klein Euphoria Magnetic E</t>
  </si>
  <si>
    <t xml:space="preserve">Versace Eau Fraîche Edt 30ml Para Mascul</t>
  </si>
  <si>
    <t xml:space="preserve">Faca Invictus Explorer Black + Bainha Ta</t>
  </si>
  <si>
    <t xml:space="preserve">Carolina Herrera Good Girl Blush Elixir </t>
  </si>
  <si>
    <t xml:space="preserve">United Dreams Live Free Benetton Fem Edt</t>
  </si>
  <si>
    <t xml:space="preserve">Perfume Gucci Bloom Parfum 100ml Floral </t>
  </si>
  <si>
    <t xml:space="preserve">Versace Versense 100ml Feminino | Origin</t>
  </si>
  <si>
    <t xml:space="preserve">Perfume Giorgio Armani Sì Intense Femini</t>
  </si>
  <si>
    <t xml:space="preserve">Olympéa Solar Eau De Parfum Intense 80ml</t>
  </si>
  <si>
    <t xml:space="preserve">Gucci Guilty Fem Elixir Edp 60ml</t>
  </si>
  <si>
    <t xml:space="preserve">Coffret Armani Beauty My Way Edp Feminin</t>
  </si>
  <si>
    <t xml:space="preserve">Versace Bright Crystal Parfum - Perfume </t>
  </si>
  <si>
    <t xml:space="preserve">Compre Perfume Eganhe Kit Completo - Kit</t>
  </si>
  <si>
    <t xml:space="preserve">Carolina Herrera La Bomba Body Cream 200</t>
  </si>
  <si>
    <t xml:space="preserve">Carolina Herrera 212 Vip Black - Perfume</t>
  </si>
  <si>
    <t xml:space="preserve">Moschino Toy 2 Eau De Parfum Floral Amad</t>
  </si>
  <si>
    <t xml:space="preserve">Perfume Lancome Idole Power Eau De Parfu</t>
  </si>
  <si>
    <t xml:space="preserve">212 Vip Black Elixir Carolina Herrera Ed</t>
  </si>
  <si>
    <t xml:space="preserve">Kit Wella Professionals Oil Reflections </t>
  </si>
  <si>
    <t xml:space="preserve">Animale Eau De Parfum 100ml Feminino</t>
  </si>
  <si>
    <t xml:space="preserve">Versace Eros 100ml Masculino | Original </t>
  </si>
  <si>
    <t xml:space="preserve">Bomba Pressurizadora Tp40 (120w Komeco 2</t>
  </si>
  <si>
    <t xml:space="preserve">Perfume Dolce &amp; Gabbana Intenso Masculin</t>
  </si>
  <si>
    <t xml:space="preserve">Bandoleira Tática Universal Com Duas Pon</t>
  </si>
  <si>
    <t xml:space="preserve">Maruri Avante Bg Prata Esquerdo</t>
  </si>
  <si>
    <t xml:space="preserve">Arsenal Gold Eau De Parfum 100 Ml Gilles</t>
  </si>
  <si>
    <t xml:space="preserve">Perfume Feminino La Belle Le Parfum De J</t>
  </si>
  <si>
    <t xml:space="preserve">Ck Everyone Eau De Parfum ( Edp ) 200ml </t>
  </si>
  <si>
    <t xml:space="preserve">Jean Paul Gaultier Le Beau Eau De Parfum</t>
  </si>
  <si>
    <t xml:space="preserve">212 Vip Black Carolina Herrera Body Spra</t>
  </si>
  <si>
    <t xml:space="preserve">Yves Saint Laurent Libre 90 Ml-original+</t>
  </si>
  <si>
    <t xml:space="preserve">Perfume Rabanne Invictus Elixir Parfum M</t>
  </si>
  <si>
    <t xml:space="preserve">Yves Saint Laurent Libre Le Parfum Perfu</t>
  </si>
  <si>
    <t xml:space="preserve">Perfume Rabanne Lady Million Royal Eau D</t>
  </si>
  <si>
    <t xml:space="preserve">Gucci Flora Gorgeous Orchid Eau De Parfu</t>
  </si>
  <si>
    <t xml:space="preserve">4711 Original Eau De Cologne 800ml | Ori</t>
  </si>
  <si>
    <t xml:space="preserve">Perfume Masculino Banderas The Icon Eau </t>
  </si>
  <si>
    <t xml:space="preserve">Jean Paul Divine Elixir Parfum - Perfume</t>
  </si>
  <si>
    <t xml:space="preserve">Wella Kit Nutri Enrich (shampoo + Condic</t>
  </si>
  <si>
    <t xml:space="preserve">Perfume Masculino Calvin Klein Ck In2u F</t>
  </si>
  <si>
    <t xml:space="preserve">Chave De Impacto 13mm 20v Dewalt Dcf922d</t>
  </si>
  <si>
    <t xml:space="preserve">Shampoo Amplexe Ada Tina Antiqueda Tripl</t>
  </si>
  <si>
    <t xml:space="preserve">Shiseido Urban Environment Age Defense S</t>
  </si>
  <si>
    <t xml:space="preserve">Perfume Feminino Lancôme Miracle Edp 30m</t>
  </si>
  <si>
    <t xml:space="preserve">Jean Paul Le Beau Eau De Toilette - Perf</t>
  </si>
  <si>
    <t xml:space="preserve">Banderas King Of Seduction Edt 100ml Par</t>
  </si>
  <si>
    <t xml:space="preserve">Burberry Hero Parfum Refil Masculino Edp</t>
  </si>
  <si>
    <t xml:space="preserve">Yellow Diamods Edt 90ml Para Feminino</t>
  </si>
  <si>
    <t xml:space="preserve">Jean Paul Gaultier Le Beau Le Parfum Edp</t>
  </si>
  <si>
    <t xml:space="preserve">Perfume Rabanne One 1 Million Edt 30ml M</t>
  </si>
  <si>
    <t xml:space="preserve">Carolina Herrera 212 Vip Rosé Body Fragr</t>
  </si>
  <si>
    <t xml:space="preserve">Moschino Toy 2 Eau De Parfum 100ml | Ori</t>
  </si>
  <si>
    <t xml:space="preserve">Desodorante Spray 212 Men 150ml | + Amos</t>
  </si>
  <si>
    <t xml:space="preserve">Gucci Flora Orquidea Edp - Perfume Femin</t>
  </si>
  <si>
    <t xml:space="preserve">Carolina Herrera 212 Nyc Men Desodorante</t>
  </si>
  <si>
    <t xml:space="preserve">Rabanne 1 Million Eau De Toilette 30 Ml </t>
  </si>
  <si>
    <t xml:space="preserve">Dolce &amp; Gabbana Pour Homme Eau De Toilet</t>
  </si>
  <si>
    <t xml:space="preserve">Desodorante Spray Carolina Herrera 212 M</t>
  </si>
  <si>
    <t xml:space="preserve">Carolina Herrera Good Girl Jasmine Absol</t>
  </si>
  <si>
    <t xml:space="preserve">Perfume Chloé Feminino Edp 75ml</t>
  </si>
  <si>
    <t xml:space="preserve">Shiseido Hydrobb Compact Medium Dark</t>
  </si>
  <si>
    <t xml:space="preserve">Y Le Parfum Yves Saint Lauren Edp - Perf</t>
  </si>
  <si>
    <t xml:space="preserve">Perfume Ralph Lauren Ralph Feminino Edt </t>
  </si>
  <si>
    <t xml:space="preserve">Rabanne 1 Million Parfum 200 Ml - Perfum</t>
  </si>
  <si>
    <t xml:space="preserve">Delineador Lancôme Le Stylo À Prova Dágu</t>
  </si>
  <si>
    <t xml:space="preserve">Perfume Tommy Hilfiger 100ml Masculino |</t>
  </si>
  <si>
    <t xml:space="preserve">Benetton Colors Man Black Intenso Edp 20</t>
  </si>
  <si>
    <t xml:space="preserve">Perfume Paco Rabanne Fame In Love Edp 50</t>
  </si>
  <si>
    <t xml:space="preserve">Perfume Carolina Herrera Very Good Girl </t>
  </si>
  <si>
    <t xml:space="preserve">Dolce Gabbana The One For Men Gold Inten</t>
  </si>
  <si>
    <t xml:space="preserve">Carolina Herrera Very Good Girl Edp 30ml</t>
  </si>
  <si>
    <t xml:space="preserve">Faca Prowl Com Bainha De Kydex Preto - I</t>
  </si>
  <si>
    <t xml:space="preserve">Mochila Tática Seal 2.0 40 Litros - Invi</t>
  </si>
  <si>
    <t xml:space="preserve">Faca Shimano Fileteira 7 Azul-celeste</t>
  </si>
  <si>
    <t xml:space="preserve">Perfume Arsenal Grey Gilles Cantuel Edp </t>
  </si>
  <si>
    <t xml:space="preserve">Wella Kit Ultimate Repair Shampoo 1l+ Ma</t>
  </si>
  <si>
    <t xml:space="preserve">Versace Dylan Turquoise 30ml Feminino | </t>
  </si>
  <si>
    <t xml:space="preserve">Perfume Eau De Parfum Versace Eros Flame</t>
  </si>
  <si>
    <t xml:space="preserve">Jacques Bogart Silver Scent Intense Inte</t>
  </si>
  <si>
    <t xml:space="preserve">Protetor Solar Ada Tina Normalizer Oil C</t>
  </si>
  <si>
    <t xml:space="preserve">Prada Paradoxe Virtual Flower Edp Perfum</t>
  </si>
  <si>
    <t xml:space="preserve">Carolina Herrera 212 Vip Rosé Eau De Par</t>
  </si>
  <si>
    <t xml:space="preserve">Rabanne One 1 Million Eau De Toilette 10</t>
  </si>
  <si>
    <t xml:space="preserve">Devotion Edp 30ml Feminino | Original + </t>
  </si>
  <si>
    <t xml:space="preserve">Refil Scandal Pour Homme Le Parfum 200ml</t>
  </si>
  <si>
    <t xml:space="preserve">Lady Million Edp ( Tradicional ) 30ml Fe</t>
  </si>
  <si>
    <t xml:space="preserve">Perfume Carolina Herrera 212 Men Edt 100</t>
  </si>
  <si>
    <t xml:space="preserve">Perfume Le Male Elixir Parfum 200ml Masc</t>
  </si>
  <si>
    <t xml:space="preserve">Burberry Her Petals Edp - Perfume Femini</t>
  </si>
  <si>
    <t xml:space="preserve">Gucci Bamboo Eau De Parfum - Perfume Fem</t>
  </si>
  <si>
    <t xml:space="preserve">Armani Beauty Perfume Feminino My Way Yl</t>
  </si>
  <si>
    <t xml:space="preserve">Rabanne Phantom Eau De Toilette 100 Ml -</t>
  </si>
  <si>
    <t xml:space="preserve">Compre E Ganhe - Rabanne Olympéa Eau De </t>
  </si>
  <si>
    <t xml:space="preserve">Arsenal Platinum Edp 100ml Masculino | O</t>
  </si>
  <si>
    <t xml:space="preserve">Perfume Eau De Toilette Animale Black Am</t>
  </si>
  <si>
    <t xml:space="preserve">Idôle Cocoon Me - Creme Corporal Perfuma</t>
  </si>
  <si>
    <t xml:space="preserve">Óleo Capilar Oil Reflections Light 30ml </t>
  </si>
  <si>
    <t xml:space="preserve">Armaf Club De Nuit Maleka Eau De Parfum </t>
  </si>
  <si>
    <t xml:space="preserve">Giorgio Armani Acqua Di Giò Profondo Eau</t>
  </si>
  <si>
    <t xml:space="preserve">Perfume 4711 Original 200ml Unissex | Or</t>
  </si>
  <si>
    <t xml:space="preserve">Carolina Herrera Good Girl Blush Edp 30m</t>
  </si>
  <si>
    <t xml:space="preserve">Kit La Belle 100ml + Body Lotion 75ml + </t>
  </si>
  <si>
    <t xml:space="preserve">Perfume Scandal Pour Homme Elixir Parfum</t>
  </si>
  <si>
    <t xml:space="preserve">Perfume Feminino - Million Gold Pure Dia</t>
  </si>
  <si>
    <t xml:space="preserve">Rabanne Phantom In Red Parfum Elixir 150</t>
  </si>
  <si>
    <t xml:space="preserve">Perfume Idôle Power 50 Ml Lancôme</t>
  </si>
  <si>
    <t xml:space="preserve">Refil Perfume Feminino Eau De Parfum, Fr</t>
  </si>
  <si>
    <t xml:space="preserve">Perfume Tiara Pink 100ml Edp Al Wataniah</t>
  </si>
  <si>
    <t xml:space="preserve">Cabo Chupeta Bestfer 1500a Bateria Carro</t>
  </si>
  <si>
    <t xml:space="preserve">Rabanne Olympéa Eau De Parfum 50ml Femin</t>
  </si>
  <si>
    <t xml:space="preserve">Shiseido Vital Perfection Uplifting Adva</t>
  </si>
  <si>
    <t xml:space="preserve">Carolina Herrera 212 Sexy Masculino 100m</t>
  </si>
  <si>
    <t xml:space="preserve">Kit Wella Brilliance Sh 250ml + Cond 200</t>
  </si>
  <si>
    <t xml:space="preserve">Libre Yves Saint Laurent Fem Edt 50ml Vo</t>
  </si>
  <si>
    <t xml:space="preserve">Banderas The Icon Edp 100ml Para Feminin</t>
  </si>
  <si>
    <t xml:space="preserve">Perfume Masc Eau De Toilette Ralph Laure</t>
  </si>
  <si>
    <t xml:space="preserve">Refil Óleo Em Creme 300ml Mahogany Neutr</t>
  </si>
  <si>
    <t xml:space="preserve">Perfume Shiseido Ginza Night Eau De Parf</t>
  </si>
  <si>
    <t xml:space="preserve">Prada Candy Eau De Parfum - Perfume Femi</t>
  </si>
  <si>
    <t xml:space="preserve">Shampoo De Volume Para Cabelos Finos Inv</t>
  </si>
  <si>
    <t xml:space="preserve">Prada Paradigme Perfume Refilável Eau De</t>
  </si>
  <si>
    <t xml:space="preserve">Fogareiro Portátil Fogão Á Gás Ingnição </t>
  </si>
  <si>
    <t xml:space="preserve">Molinete Marine Sports Venza 4000 Preto </t>
  </si>
  <si>
    <t xml:space="preserve">Jean Paul Gaultier La Belle ( Tradiciona</t>
  </si>
  <si>
    <t xml:space="preserve">Mont Blanc Legend Blue ( Azul ) Eau De P</t>
  </si>
  <si>
    <t xml:space="preserve">Shiseido Vital Perfection Liftdefine Rad</t>
  </si>
  <si>
    <t xml:space="preserve">Kit Chloé Edp 50ml + Travel Spray ( Perf</t>
  </si>
  <si>
    <t xml:space="preserve">Perfume Versace Yellow Diamond Edt 30ml </t>
  </si>
  <si>
    <t xml:space="preserve">Perfume Good Girl Blush Polka Paradise E</t>
  </si>
  <si>
    <t xml:space="preserve">Paco Rabanne Phantom Parfum - Perfume Ma</t>
  </si>
  <si>
    <t xml:space="preserve">Al Wataniah Sultan Al Lail Edp 100ml Mas</t>
  </si>
  <si>
    <t xml:space="preserve">Perfume Armaf Infinity Silver Edp 100ml </t>
  </si>
  <si>
    <t xml:space="preserve">Boss The Scent Magnetic Edp 100ml Mascul</t>
  </si>
  <si>
    <t xml:space="preserve">Kit Good Girl 80ml + Loção 100ml + Perfu</t>
  </si>
  <si>
    <t xml:space="preserve">Jean Paul Le Male Eau De Toilette - Perf</t>
  </si>
  <si>
    <t xml:space="preserve">Multitool Invictus Nordic Aço Inox Cinza</t>
  </si>
  <si>
    <t xml:space="preserve">La Belle Le Parfum Eau De Parfum Intense</t>
  </si>
  <si>
    <t xml:space="preserve">Carolina Herrera Very Good Girl Eau De P</t>
  </si>
  <si>
    <t xml:space="preserve">Giorgio Armani Acqua Di Giò Parfum - Per</t>
  </si>
  <si>
    <t xml:space="preserve">Benetton Sisterland Blue Neroli Edt 80ml</t>
  </si>
  <si>
    <t xml:space="preserve">Perfume Mont Blanc Legend Elixir Parfum </t>
  </si>
  <si>
    <t xml:space="preserve">Perfume Rabanne Invictus Elixir 100ml Ma</t>
  </si>
  <si>
    <t xml:space="preserve">Versace Eau Fraîche Extrême Eau De Parfu</t>
  </si>
  <si>
    <t xml:space="preserve">Perfume Shiseido Ginza Datura Eau De Par</t>
  </si>
  <si>
    <t xml:space="preserve">Perfume Masculino Aromático Cítrico Fres</t>
  </si>
  <si>
    <t xml:space="preserve">Synchro Skin Invisible Silk Loose Powder</t>
  </si>
  <si>
    <t xml:space="preserve">Moschino Toy Boy Moschino Toy Boy Hombre</t>
  </si>
  <si>
    <t xml:space="preserve">Carolina Herrera Ch Eau De Toilette 100m</t>
  </si>
  <si>
    <t xml:space="preserve">Rabanne Million Gold Elixir Parfum Inten</t>
  </si>
  <si>
    <t xml:space="preserve">Versace Edp Eros Tradicional 100 Ml Perf</t>
  </si>
  <si>
    <t xml:space="preserve">Mahogany Fragância Des. Chardonnay 250ml</t>
  </si>
  <si>
    <t xml:space="preserve">Bright Crystal Versace Edt - Perfume Fem</t>
  </si>
  <si>
    <t xml:space="preserve">Blondorplex Original Descolorante Wella </t>
  </si>
  <si>
    <t xml:space="preserve">Y Yves Saint Laurent Eau De Toilette Per</t>
  </si>
  <si>
    <t xml:space="preserve">Kit Rotina Génifique Ultimate 30 Ml + Gé</t>
  </si>
  <si>
    <t xml:space="preserve">Shiseido Benefiance Overnight Wrinkle Re</t>
  </si>
  <si>
    <t xml:space="preserve">Lancome La Vie Est Belle 30ml - Original</t>
  </si>
  <si>
    <t xml:space="preserve">Guilty Pour Homme Gucci Edp - Perfume Ma</t>
  </si>
  <si>
    <t xml:space="preserve">Yves Saint Laurent Y Intense Masculino E</t>
  </si>
  <si>
    <t xml:space="preserve">Kit Lancôme Hydrazen Sérum + Creme Diurn</t>
  </si>
  <si>
    <t xml:space="preserve">Rabanne Olympéa Parfum 50ml - Perfume Fe</t>
  </si>
  <si>
    <t xml:space="preserve">Gucci Guilty Perfume Masculino Amadeirad</t>
  </si>
  <si>
    <t xml:space="preserve">Perfume Masculino Invictus Victory Elixi</t>
  </si>
  <si>
    <t xml:space="preserve">Verscase Crystal Emerald Eau De Parfum F</t>
  </si>
  <si>
    <t xml:space="preserve">Versace Dylan Blush Pink Eau De Parfum 5</t>
  </si>
  <si>
    <t xml:space="preserve">Gucci Flora Gorgeous Gardenia Intense Ea</t>
  </si>
  <si>
    <t xml:space="preserve">1 Million Elixir Parfum Intense Rabanne </t>
  </si>
  <si>
    <t xml:space="preserve">Shiseido Refil Pó Compacto Spf 35 - Fair</t>
  </si>
  <si>
    <t xml:space="preserve">Prada Paradoxe Eau De Parfum Intense Per</t>
  </si>
  <si>
    <t xml:space="preserve">Perfume Masculino Moschino Toy Boy Eau D</t>
  </si>
  <si>
    <t xml:space="preserve">Wella Fusion Shampoo 250ml+cond 200ml-ga</t>
  </si>
  <si>
    <t xml:space="preserve">Perfume Gucci Flora Eau De Parfum Floral</t>
  </si>
  <si>
    <t xml:space="preserve">Kit Invictus ( Tradicional ) 200ml + Tra</t>
  </si>
  <si>
    <t xml:space="preserve">Rabanne Million Gold For Her Parfum 30ml</t>
  </si>
  <si>
    <t xml:space="preserve">Y Elixir Yves Saint Laurent Parfum Inten</t>
  </si>
  <si>
    <t xml:space="preserve">Jean Paul Gaultier Classique 30ml Femini</t>
  </si>
  <si>
    <t xml:space="preserve">Montblanc Legend Eau De Toilette ( Edt )</t>
  </si>
  <si>
    <t xml:space="preserve">Perfume Rabanne Olympéa Edp ( Tradiciona</t>
  </si>
  <si>
    <t xml:space="preserve">Jean Paul Gaultier Le Male Elixir Parfum</t>
  </si>
  <si>
    <t xml:space="preserve">Jean Paul Gaultier Scandal Absolu 80ml F</t>
  </si>
  <si>
    <t xml:space="preserve">Rabanne Fame Parfum 30ml Feminino | Orig</t>
  </si>
  <si>
    <t xml:space="preserve">Versace Crystal Noir Eau De Toilette ( E</t>
  </si>
  <si>
    <t xml:space="preserve">Versace Eros Energy Eau De Parfum 200ml </t>
  </si>
  <si>
    <t xml:space="preserve">Calandre Eau De Toilette Feminino 100ml</t>
  </si>
  <si>
    <t xml:space="preserve">Rabanne Black Xs For Her Edp 30ml Para F</t>
  </si>
  <si>
    <t xml:space="preserve">Burberry Her Elixir Parfum - Perfume Fem</t>
  </si>
  <si>
    <t xml:space="preserve">Perfume Chloé Nomade Lumière D'égypte Fe</t>
  </si>
  <si>
    <t xml:space="preserve">Rabanne Phantom Eau De Toilette Refillab</t>
  </si>
  <si>
    <t xml:space="preserve">My Way Ylang Armani Eau De Parfum - Perf</t>
  </si>
  <si>
    <t xml:space="preserve">Shiseido Future Solution Lx Eye And Lip </t>
  </si>
  <si>
    <t xml:space="preserve">Armani New Code Eau De Toilette Recarreg</t>
  </si>
  <si>
    <t xml:space="preserve">Gucci Guilty Masc 90ml</t>
  </si>
  <si>
    <t xml:space="preserve">Perfume Burberry Goddess Intense Edp Ama</t>
  </si>
  <si>
    <t xml:space="preserve">Chloé Nomade Eau De Parfum 75ml</t>
  </si>
  <si>
    <t xml:space="preserve">Shiseido Refil Pó - Medium Ivory Origina</t>
  </si>
  <si>
    <t xml:space="preserve">Versace Man Eau Fraiche 200ml Masculino </t>
  </si>
  <si>
    <t xml:space="preserve">Mochila Tática Invictus Giant Pro 72 Hor</t>
  </si>
  <si>
    <t xml:space="preserve">Jean Paul Gaultier Divine Le Parfum Edp </t>
  </si>
  <si>
    <t xml:space="preserve">Good Girl Bowtastic Edp 80 Ml</t>
  </si>
  <si>
    <t xml:space="preserve">Perfume Carolina Herrera 212 Sexy Edp 10</t>
  </si>
  <si>
    <t xml:space="preserve">Gucci Flora Gorgeous Magnolia Eau De Par</t>
  </si>
  <si>
    <t xml:space="preserve">Perfume Silver Scent Eau De Toilette 200</t>
  </si>
  <si>
    <t xml:space="preserve">Shiseido Bb For Sports Fps 50 Medium Dar</t>
  </si>
  <si>
    <t xml:space="preserve">Perfume Gucci Guilty Pour Homme 90ml Edt</t>
  </si>
  <si>
    <t xml:space="preserve">Prada Paradoxe Edp 30ml</t>
  </si>
  <si>
    <t xml:space="preserve">Burberry Goddess Intense Edp 50ml</t>
  </si>
  <si>
    <t xml:space="preserve">Antonio Banderas The Secret Eau De Toile</t>
  </si>
  <si>
    <t xml:space="preserve">Fragrância Corporal Zanzibar 100ml Mahog</t>
  </si>
  <si>
    <t xml:space="preserve">Perfume Masculino Parfum Ralph's Club Ra</t>
  </si>
  <si>
    <t xml:space="preserve">Le Beau Le Parfum Eau De Parfum Intense </t>
  </si>
  <si>
    <t xml:space="preserve">Kit 212 Vip Rosé 80ml + Body Lotion 100m</t>
  </si>
  <si>
    <t xml:space="preserve">Le Male Le Parfum Eau De Parfum Intense </t>
  </si>
  <si>
    <t xml:space="preserve">Perfume Dolce &amp; Gabbana The One For Men </t>
  </si>
  <si>
    <t xml:space="preserve">Mahogany For Men Eau De Toilette 100 Ml</t>
  </si>
  <si>
    <t xml:space="preserve">Perfume Versace Crystal Noir Edp 30ml Fe</t>
  </si>
  <si>
    <t xml:space="preserve">Stronger With You Armani Parfum - Perfum</t>
  </si>
  <si>
    <t xml:space="preserve">Carolina Herrera Body Cream Good Girl 20</t>
  </si>
  <si>
    <t xml:space="preserve">Mahogany Desodorante Roll On English Ros</t>
  </si>
  <si>
    <t xml:space="preserve">Armaf Odyssey Mandarin Sky Elixir Edp 10</t>
  </si>
  <si>
    <t xml:space="preserve">Scandal Intense 50ml Feminino | Original</t>
  </si>
  <si>
    <t xml:space="preserve">Perfume Good Girl Jasmine Absolute 50ml </t>
  </si>
  <si>
    <t xml:space="preserve">Fragrância Jasmin D'egypte 100ml Mahogan</t>
  </si>
  <si>
    <t xml:space="preserve">Shiseido Refil Pó Compacto Spf 30 - Ligh</t>
  </si>
  <si>
    <t xml:space="preserve">Fragrância Desodorante Corporal Índia Mi</t>
  </si>
  <si>
    <t xml:space="preserve">Shiseido Benefiance Wrinkle Smoothing Da</t>
  </si>
  <si>
    <t xml:space="preserve">Carolina Herrera Good Girl Edp Fem 50ml </t>
  </si>
  <si>
    <t xml:space="preserve">Shiseido Benefiance Wrinkle Smoothing Cr</t>
  </si>
  <si>
    <t xml:space="preserve">Dylan Blue Pour Femme Versace Edp 30ml</t>
  </si>
  <si>
    <t xml:space="preserve">Refil Sabonete Líquido English Rose 1,2 </t>
  </si>
  <si>
    <t xml:space="preserve">Eau De Parfum Versace Eros Pour Femme 50</t>
  </si>
  <si>
    <t xml:space="preserve">Ada Tina Pure C 20 Hyalo Clareador Vitam</t>
  </si>
  <si>
    <t xml:space="preserve">Mavala Stop Base Para Unhas Roidas 10ml </t>
  </si>
  <si>
    <t xml:space="preserve">Azzaro Pour Homme Azzaro Pour Homme Trad</t>
  </si>
  <si>
    <t xml:space="preserve">Canivete Tático Cuvier Invictus Cor Verd</t>
  </si>
  <si>
    <t xml:space="preserve">Perfume Prada Paradigme Eau De Parfum 50</t>
  </si>
  <si>
    <t xml:space="preserve">Rabanne Olympéa Flora Edp Perfume Femini</t>
  </si>
  <si>
    <t xml:space="preserve">Carolina Herrera 212 Nyc Eau De Toilette</t>
  </si>
  <si>
    <t xml:space="preserve">Rabanne Million Gold For Her Feminino Pa</t>
  </si>
  <si>
    <t xml:space="preserve">Dolce Gabbana Devotion Edp Intense - Per</t>
  </si>
  <si>
    <t xml:space="preserve">Armani Acqua Di Gioia Feminino 100ml</t>
  </si>
  <si>
    <t xml:space="preserve">Versace Crystal Absolu 90ml</t>
  </si>
  <si>
    <t xml:space="preserve">Mahogany Fragrância Des. Make Me Fever R</t>
  </si>
  <si>
    <t xml:space="preserve">Shiseido Future Solution Lx Total Radian</t>
  </si>
  <si>
    <t xml:space="preserve">Dolce &amp; Gabbana The One Pour Homme Eau D</t>
  </si>
  <si>
    <t xml:space="preserve">Perfume Ck One Calvin Klein Edt 200ml Or</t>
  </si>
  <si>
    <t xml:space="preserve">Perfume Gucci Flora Gorgeous Magnolia Ed</t>
  </si>
  <si>
    <t xml:space="preserve">Jean Paul Scandal Eau De Parfum - Perfum</t>
  </si>
  <si>
    <t xml:space="preserve">Perfume Le Male Elixir Absolu Parfum Int</t>
  </si>
  <si>
    <t xml:space="preserve">Perfume Benetton United Colors Blue Eau </t>
  </si>
  <si>
    <t xml:space="preserve">We Are Tribe Intense Eau De Parfum ( Edp</t>
  </si>
  <si>
    <t xml:space="preserve">Armaf Club De Nuit Woman 105ml Feminino </t>
  </si>
  <si>
    <t xml:space="preserve">Jean Paul Gaultier Le Male In Blue Edp 1</t>
  </si>
  <si>
    <t xml:space="preserve">Mercedes Benz Sign Edp 100ml Masculino |</t>
  </si>
  <si>
    <t xml:space="preserve">212 Vip Rosé Body Spray 250ml Feminino |</t>
  </si>
  <si>
    <t xml:space="preserve">Signature Elixir Eau De Parfum 90ml | Or</t>
  </si>
  <si>
    <t xml:space="preserve">Desodorante Em Spray Jean Paul Gaultier </t>
  </si>
  <si>
    <t xml:space="preserve">4711 Original ( Tradicional ) 200ml | Or</t>
  </si>
  <si>
    <t xml:space="preserve">Rabanne Phantom In Red Parfum Elixir 100</t>
  </si>
  <si>
    <t xml:space="preserve">Perfume Banderas The Icon Supreme Intens</t>
  </si>
  <si>
    <t xml:space="preserve">Rabanne Phantom Parfum Refillable 150 Ml</t>
  </si>
  <si>
    <t xml:space="preserve">Fragrância Desodorante Corporal Wild Cat</t>
  </si>
  <si>
    <t xml:space="preserve">Eau Fraiche Extreme Versace Edp Masculin</t>
  </si>
  <si>
    <t xml:space="preserve">Shiseido Expert Sun Protector Spf50+ Pro</t>
  </si>
  <si>
    <t xml:space="preserve">Armani Eau Pour Homme Giorgio Armani Eau</t>
  </si>
  <si>
    <t xml:space="preserve">Kit Wella Fusion Shampoo 1l+ Condicionad</t>
  </si>
  <si>
    <t xml:space="preserve">Yves Saint Laurent Libre L'eau Nue Eau D</t>
  </si>
  <si>
    <t xml:space="preserve">Perfume Para Cabelo Prada Paradoxe Hair </t>
  </si>
  <si>
    <t xml:space="preserve">Perfume Idôle Eau De Parfum 100ml Refil </t>
  </si>
  <si>
    <t xml:space="preserve">212 Vip Men Black Carolina Herrera Edp 1</t>
  </si>
  <si>
    <t xml:space="preserve">Shiseido Expert Sun Protector Clear Stic</t>
  </si>
  <si>
    <t xml:space="preserve">Divine Le Parfum Eau De Parfum Intense 1</t>
  </si>
  <si>
    <t xml:space="preserve">Perfume Versace Versense 30ml Eau De Toi</t>
  </si>
  <si>
    <t xml:space="preserve">Versace Eros Najim Parfum - Perfume Masc</t>
  </si>
  <si>
    <t xml:space="preserve">Montblanc Explorer Extreme Parfum - Perf</t>
  </si>
  <si>
    <t xml:space="preserve">Lancome Genifique Yeux Ultimate - Eye Cr</t>
  </si>
  <si>
    <t xml:space="preserve">Flora Gorgeous Orchid Gucci Eau De Parfu</t>
  </si>
  <si>
    <t xml:space="preserve">212 Vip Black Edp ( Tradicional ) Edp 10</t>
  </si>
  <si>
    <t xml:space="preserve">Perfume Versace Eros Eau De Parfum ( Edp</t>
  </si>
  <si>
    <t xml:space="preserve">Molinete Pesca Maruri Ultra Light Joker </t>
  </si>
  <si>
    <t xml:space="preserve">Soft99 The King Of Gloss Renova O Branco</t>
  </si>
  <si>
    <t xml:space="preserve">Molinete Marine Sports Elite 8000 Dourad</t>
  </si>
  <si>
    <t xml:space="preserve">Invictus Victory Eau De Parfum ( Edp ) 1</t>
  </si>
  <si>
    <t xml:space="preserve">La Belle Jean Paul Gaultier ( Tradiciona</t>
  </si>
  <si>
    <t xml:space="preserve">Gilles Cantuel Arsenal Black Eau De Parf</t>
  </si>
  <si>
    <t xml:space="preserve">Armaf Le Parfait Pour Homme Edp 100ml | </t>
  </si>
  <si>
    <t xml:space="preserve">Perfume Feminino Moschino I Love Love Ea</t>
  </si>
  <si>
    <t xml:space="preserve">Jean Paul Gaultier La Belle Eau De Parfu</t>
  </si>
  <si>
    <t xml:space="preserve">Perfume Feminino Edp Yves Saint Laurent </t>
  </si>
  <si>
    <t xml:space="preserve">Mahogany Bulgarian Rose - Perfume Femini</t>
  </si>
  <si>
    <t xml:space="preserve">Polo Blue Ralph Lauren Masculino Eau De </t>
  </si>
  <si>
    <t xml:space="preserve">Anti-idade Noturno Lancôme Rénergie Nuit</t>
  </si>
  <si>
    <t xml:space="preserve">Óleo Para Banho Marigold 240ml Mahogany</t>
  </si>
  <si>
    <t xml:space="preserve">Versace Eau Fraîche Edt 200ml Para Mascu</t>
  </si>
  <si>
    <t xml:space="preserve">Lancome Tonique Confort 200ml</t>
  </si>
  <si>
    <t xml:space="preserve">Carolina Herrera Ch Edt - Perfume Femini</t>
  </si>
  <si>
    <t xml:space="preserve">Perfume Rabanne Xs For Him Eau De Toilet</t>
  </si>
  <si>
    <t xml:space="preserve">Perfume Scandal Eau De Parfum ( Edp ) 50</t>
  </si>
  <si>
    <t xml:space="preserve">Jacques Bogart Silver Scent Intense 100m</t>
  </si>
  <si>
    <t xml:space="preserve">Perfume Banderas The Icon The Parfum Eau</t>
  </si>
  <si>
    <t xml:space="preserve">Perfume Dolce &amp; Gabbana K ( Tradicional </t>
  </si>
  <si>
    <t xml:space="preserve">Britney Spears Fantasy Edt 30ml Para Fem</t>
  </si>
  <si>
    <t xml:space="preserve">Acessório Soltura Rápida Quick Release I</t>
  </si>
  <si>
    <t xml:space="preserve">Vitrificador Pintura Glass Coat H7 Profi</t>
  </si>
  <si>
    <t xml:space="preserve">Dylan Blue Pour Femme Versace Edp 100ml</t>
  </si>
  <si>
    <t xml:space="preserve">Máscara De Cílios Hypnôse Drama Lancôme </t>
  </si>
  <si>
    <t xml:space="preserve">Versace Yellow Diamond ( Tradicional ) 9</t>
  </si>
  <si>
    <t xml:space="preserve">Moschino Toy Boy 2 Eau De Parfum ( Edp )</t>
  </si>
  <si>
    <t xml:space="preserve">Gucci Guilty Pour Femme Edp ( Tradiciona</t>
  </si>
  <si>
    <t xml:space="preserve">Boss Bottled Triumph Elixir Parfum Inten</t>
  </si>
  <si>
    <t xml:space="preserve">Gucci Guilty Love Edition 50ml Feminino </t>
  </si>
  <si>
    <t xml:space="preserve">Lattafa Khamrah Eau De Parfum 100ml | Or</t>
  </si>
  <si>
    <t xml:space="preserve">Perfume Ck One Essence Parfum Intense 10</t>
  </si>
  <si>
    <t xml:space="preserve">Carolina Herrera Chic For Men 100ml Masc</t>
  </si>
  <si>
    <t xml:space="preserve">212 Vip Rosé Eau De Parfum ( Edp ) 50ml </t>
  </si>
  <si>
    <t xml:space="preserve">Perfume 212 Vip Black Eau De Parfum ( Ed</t>
  </si>
  <si>
    <t xml:space="preserve">Carolina Herrera 212 Eau De Toilette 30m</t>
  </si>
  <si>
    <t xml:space="preserve">Perfume Dolce &amp; Gabbana The Only One Edp</t>
  </si>
  <si>
    <t xml:space="preserve">Mont Blanc Explorer Platinum Edp 100ml M</t>
  </si>
  <si>
    <t xml:space="preserve">Perfume Moschino Toy Pearl Eau De Parfum</t>
  </si>
  <si>
    <t xml:space="preserve">Banderas For Women Blue Seduction Edt 80</t>
  </si>
  <si>
    <t xml:space="preserve">Chloe Nomade Eau De Parfum 50ml</t>
  </si>
  <si>
    <t xml:space="preserve">Mahogany Fragrância Make Me Fever Rouge </t>
  </si>
  <si>
    <t xml:space="preserve">Chloé Nomade Feminino Eau De Parfum 50ml</t>
  </si>
  <si>
    <t xml:space="preserve">Condicionador Invigo Color Brilliance We</t>
  </si>
  <si>
    <t xml:space="preserve">Y Yves Saint Laurent Perfume Masculino E</t>
  </si>
  <si>
    <t xml:space="preserve">Wella Fusion Mask Cond 500ml Sc</t>
  </si>
  <si>
    <t xml:space="preserve">Perfume Feminino Lancôme Tresor Edp 30ml</t>
  </si>
  <si>
    <t xml:space="preserve">Carolina Herrera Good Girl Very - Perfum</t>
  </si>
  <si>
    <t xml:space="preserve">Dolce Gabbana The One Edp 50ml Volume Da</t>
  </si>
  <si>
    <t xml:space="preserve">Versace Crystal Noir Eau De Toilette - P</t>
  </si>
  <si>
    <t xml:space="preserve">Spray Leave In Invigo Color Brilliance M</t>
  </si>
  <si>
    <t xml:space="preserve">Shiseido Eudermine Activating Essence - </t>
  </si>
  <si>
    <t xml:space="preserve">Versace Bright Crystal Eau De Toilette F</t>
  </si>
  <si>
    <t xml:space="preserve">Calvin Klein Ck Everyone Eau De Parfum (</t>
  </si>
  <si>
    <t xml:space="preserve">Olympéa Solar Eau De Parfum Intense 50ml</t>
  </si>
  <si>
    <t xml:space="preserve">Perfume Rabanne Pure Xs Eau De Parfum 50</t>
  </si>
  <si>
    <t xml:space="preserve">Dolce &amp; Gabbana K Eau De Parfum ( Edp ) </t>
  </si>
  <si>
    <t xml:space="preserve">Devotion Eau De Parfum 30ml Feminino | O</t>
  </si>
  <si>
    <t xml:space="preserve">Dolce&amp;gabbana Pour Homme Edt 125ml</t>
  </si>
  <si>
    <t xml:space="preserve">Good Girl Body Mist Carolina Herrera Edt</t>
  </si>
  <si>
    <t xml:space="preserve">Perfume Dylan Blue Pour Femme Versace Ea</t>
  </si>
  <si>
    <t xml:space="preserve">Perfume Masculino Boss Bottled Eua De Pa</t>
  </si>
  <si>
    <t xml:space="preserve">Versace Pour Homme ( Tradicional ) 30ml </t>
  </si>
  <si>
    <t xml:space="preserve">Desodorante Carolina Herrera 212 Nyc 150</t>
  </si>
  <si>
    <t xml:space="preserve">Nautica Voyage N-83 100ml Masculino | Or</t>
  </si>
  <si>
    <t xml:space="preserve">Perfume Carolina Herrera 212 Sexy Edp 60</t>
  </si>
  <si>
    <t xml:space="preserve">Eau De Toilette Feminino Moschino I Love</t>
  </si>
  <si>
    <t xml:space="preserve">Jean Paul Le Beau Paradise Garden - Perf</t>
  </si>
  <si>
    <t xml:space="preserve">Mahogany Fragrância Des. Stark 100ml Vol</t>
  </si>
  <si>
    <t xml:space="preserve">Ysl Y Edp 100ml - Original</t>
  </si>
  <si>
    <t xml:space="preserve">Perfume Carolina Herrera Bad Boy Le Parf</t>
  </si>
  <si>
    <t xml:space="preserve">Perfume Idôle Power Feminino Eau De Parf</t>
  </si>
  <si>
    <t xml:space="preserve">Contorno De Ojos Génifique Ultimate 20ml</t>
  </si>
  <si>
    <t xml:space="preserve">Wella Kit Nutri Enrich Shampoo 1l+condic</t>
  </si>
  <si>
    <t xml:space="preserve">Versace Eros Eau De Parfum Para Mujer 10</t>
  </si>
  <si>
    <t xml:space="preserve">Chloé Feminino - Eau De Parfum 50ml + 10</t>
  </si>
  <si>
    <t xml:space="preserve">Creme Antienvelhecimento Lancôme Renergi</t>
  </si>
  <si>
    <t xml:space="preserve">Libre Feminino Eau De Parfum Intense Yve</t>
  </si>
  <si>
    <t xml:space="preserve">Nina Ricci Nina Le Parfum Edp 80ml Para </t>
  </si>
  <si>
    <t xml:space="preserve">Stronger With You Giorgio Armani Perfume</t>
  </si>
  <si>
    <t xml:space="preserve">Parafusadeira Portátil 4v Black+decker M</t>
  </si>
  <si>
    <t xml:space="preserve">Fones De Ouvido Sem Fio Pulse Explore So</t>
  </si>
  <si>
    <t xml:space="preserve">Cinto Tático Invictus Fasten 2.0 Fivela </t>
  </si>
  <si>
    <t xml:space="preserve">Faca De Pescoço Invictus Command Full Ta</t>
  </si>
  <si>
    <t xml:space="preserve">Perfume Nina Ricci Nina Eau De Parfum 50</t>
  </si>
  <si>
    <t xml:space="preserve">Canivete Tático Indominus Invictus Preto</t>
  </si>
  <si>
    <t xml:space="preserve">Givenchy Pi 100ml Masculino | Original +</t>
  </si>
  <si>
    <t xml:space="preserve">Eros Versace Eau De Parfum - Perfume Mas</t>
  </si>
  <si>
    <t xml:space="preserve">Nina Ricci Nina Eau De Toilette - Femini</t>
  </si>
  <si>
    <t xml:space="preserve">Yves Saint Laurent Free Berry Crush Edp </t>
  </si>
  <si>
    <t xml:space="preserve">Chloe Rose Naturelle Intense Edp - Perfu</t>
  </si>
  <si>
    <t xml:space="preserve">Sérum Rejuvenescedor Lancôme Rénergie Hc</t>
  </si>
  <si>
    <t xml:space="preserve">Perfume Davidoff Cool Water Masculino Ea</t>
  </si>
  <si>
    <t xml:space="preserve">Perfume Rabanne 1 Million Edt 50ml Mascu</t>
  </si>
  <si>
    <t xml:space="preserve">Shiseido Synchro Skin Soft Blurring Prim</t>
  </si>
  <si>
    <t xml:space="preserve">Versace Eros Energy Eau De Parfum 50ml |</t>
  </si>
  <si>
    <t xml:space="preserve">Dolce &amp; Gabbana Light Blue Eau De Toilet</t>
  </si>
  <si>
    <t xml:space="preserve">Perfume Animale Animale Eau De Toilette </t>
  </si>
  <si>
    <t xml:space="preserve">Perfume Mercedes Benz Club Black Edp 100</t>
  </si>
  <si>
    <t xml:space="preserve">Chloé Nomade Nuit D'égypte Eau De Parfum</t>
  </si>
  <si>
    <t xml:space="preserve">Herrera For Men ( Tradicional ) Edt 100m</t>
  </si>
  <si>
    <t xml:space="preserve">Rabanne Lady Million Body Lotion Hidrata</t>
  </si>
  <si>
    <t xml:space="preserve">Martelete Eletropneumático Wesco Ws3160k</t>
  </si>
  <si>
    <t xml:space="preserve">Loção Tonico Adstringente Antioleosidade</t>
  </si>
  <si>
    <t xml:space="preserve">Burberry Hero Eau De Toilette Perfume Ma</t>
  </si>
  <si>
    <t xml:space="preserve">Givenchy Ange Ou Démon Edp 30ml Para Fem</t>
  </si>
  <si>
    <t xml:space="preserve">Prada Luna Rossa Ocean Eau De Parfum Mas</t>
  </si>
  <si>
    <t xml:space="preserve">Perfume Dolce &amp; Gabbana Pour Homme Eau D</t>
  </si>
  <si>
    <t xml:space="preserve">Animale Black 100ml Masculino | Original</t>
  </si>
  <si>
    <t xml:space="preserve">Her Burberry Perfume Fem Edt 50ml</t>
  </si>
  <si>
    <t xml:space="preserve">Perfume Rabanne Fame Parfum 80 Ml Femini</t>
  </si>
  <si>
    <t xml:space="preserve">Moschino I Love Love 30ml</t>
  </si>
  <si>
    <t xml:space="preserve">Signature Chloé Edp Refilável - Perfume </t>
  </si>
  <si>
    <t xml:space="preserve">Rabanne Olympéa Edp 30ml Feminino</t>
  </si>
  <si>
    <t xml:space="preserve">Dolce Gabbana The One Gold Intense Edp P</t>
  </si>
  <si>
    <t xml:space="preserve">Fragrância Desodorante Style Pleasures 1</t>
  </si>
  <si>
    <t xml:space="preserve">Lancome La Nuit Trésor Eau De Parfum 100</t>
  </si>
  <si>
    <t xml:space="preserve">Perfume Versace Bright Crystal Parfum Fe</t>
  </si>
  <si>
    <t xml:space="preserve">Body Splash Árabe Lattafa Mayar Cherry I</t>
  </si>
  <si>
    <t xml:space="preserve">Rabanne One 1 Million ( Tradicional ) 30</t>
  </si>
  <si>
    <t xml:space="preserve">Perfume Eternity Feminino 100ml Calvin K</t>
  </si>
  <si>
    <t xml:space="preserve">Wella Kit Nutri Enrich Shampoo 1l+ Masc </t>
  </si>
  <si>
    <t xml:space="preserve">Kouros Yves Saint Laurent Masc Edt 100ml</t>
  </si>
  <si>
    <t xml:space="preserve">Lápis Delineador Lancôme Le Stylo À Prov</t>
  </si>
  <si>
    <t xml:space="preserve">Kit Very Good Girl Elixir 80ml + Loção H</t>
  </si>
  <si>
    <t xml:space="preserve">Boss The Scent Magnetic Eau De Parfum 10</t>
  </si>
  <si>
    <t xml:space="preserve">Calvin Klein Ckin2u Him 100ml Masculino </t>
  </si>
  <si>
    <t xml:space="preserve">Lancome Renergie Triple Serum Face 20ml </t>
  </si>
  <si>
    <t xml:space="preserve">Prada Luna Rossa Ocean Le Parfum Perfume</t>
  </si>
  <si>
    <t xml:space="preserve">Hugo Boss The Scent 100ml Masculino | Or</t>
  </si>
  <si>
    <t xml:space="preserve">Perfume Jean Paul Gaultier Scandal Elixi</t>
  </si>
  <si>
    <t xml:space="preserve">Perfume Good Girl Blush Elixir 80ml Femi</t>
  </si>
  <si>
    <t xml:space="preserve">Rabanne 1 Million Royal Parfum 200 Ml - </t>
  </si>
  <si>
    <t xml:space="preserve">Shiseido Sun Care Uv Protective Fps 35 L</t>
  </si>
  <si>
    <t xml:space="preserve">Versace Versense Perfume Fem Edt 100ml</t>
  </si>
  <si>
    <t xml:space="preserve">Dolce Gabbana Q By Dg Intense Edp - Perf</t>
  </si>
  <si>
    <t xml:space="preserve">Rabanne Phantom Intense Eau De Parfum In</t>
  </si>
  <si>
    <t xml:space="preserve">Carolina Herrera 212 Vip Black Body Spra</t>
  </si>
  <si>
    <t xml:space="preserve">Carretilha Marine Sports Black Eagle Gts</t>
  </si>
  <si>
    <t xml:space="preserve">Vital Perfection Uplifting &amp; Firming Day</t>
  </si>
  <si>
    <t xml:space="preserve">Versace Bright Crystal Absolu Edp 90ml P</t>
  </si>
  <si>
    <t xml:space="preserve">Perfume Rabanne Million Gold Elixir 200m</t>
  </si>
  <si>
    <t xml:space="preserve">Yves Saint Laurent Libre Edp Refil - Per</t>
  </si>
  <si>
    <t xml:space="preserve">Rabanne Desodorante Invictus 150 Ml Masc</t>
  </si>
  <si>
    <t xml:space="preserve">Burberry Her Parfum Perfume Feminino 100</t>
  </si>
  <si>
    <t xml:space="preserve">Dolce&amp;gabbana The One Feminino Edp 75ml</t>
  </si>
  <si>
    <t xml:space="preserve">Shiseido Espuma De Limpeza Cleansing Mic</t>
  </si>
  <si>
    <t xml:space="preserve">Jean Paul Scandal Intense Him Edp 50ml</t>
  </si>
  <si>
    <t xml:space="preserve">Perfume Rabanne Million Gold Edp Intense</t>
  </si>
  <si>
    <t xml:space="preserve">Perfume Giorgio Armani Sí Feminino Eau D</t>
  </si>
  <si>
    <t xml:space="preserve">Mahogany Sabonete Liquido Make Me Fever </t>
  </si>
  <si>
    <t xml:space="preserve">Desodorante Spray Phantom Rabanne 150ml </t>
  </si>
  <si>
    <t xml:space="preserve">Perfume Good Girl Jasmine Absolute 80ml </t>
  </si>
  <si>
    <t xml:space="preserve">Prada Luna Rossa Ocean Le Parfum 100ml |</t>
  </si>
  <si>
    <t xml:space="preserve">Perfume Rabanne One 1 Million Parfum 200</t>
  </si>
  <si>
    <t xml:space="preserve">Perfume Burberry Hero Parfum 150ml Mascu</t>
  </si>
  <si>
    <t xml:space="preserve">Versace Versense Feminino Eau De Toilett</t>
  </si>
  <si>
    <t xml:space="preserve">Perfume Versace Yellow Diamond Edt 50ml </t>
  </si>
  <si>
    <t xml:space="preserve">Perfume Banderas The Icon Splendid Eau D</t>
  </si>
  <si>
    <t xml:space="preserve">1 Million Rabanne  Eau De Toilette 100ml</t>
  </si>
  <si>
    <t xml:space="preserve">Perfume Benetton We Are Tribe Edt 90ml</t>
  </si>
  <si>
    <t xml:space="preserve">Carolina Herrera Bad Boy Edp Extreme 150</t>
  </si>
  <si>
    <t xml:space="preserve">Rabanne Fame Parfum 80ml  | Original + A</t>
  </si>
  <si>
    <t xml:space="preserve">Perfume Elizabeth Arden Red Door Edt 100</t>
  </si>
  <si>
    <t xml:space="preserve">Versace Crystal Noir Eau De Toilette 30m</t>
  </si>
  <si>
    <t xml:space="preserve">Perfume Mahogany Frag Make Me Fever Off </t>
  </si>
  <si>
    <t xml:space="preserve">Perfume Eau De Parfum La Belle Jean Paul</t>
  </si>
  <si>
    <t xml:space="preserve">Boss Bottled Night 100ml Masculino | Ori</t>
  </si>
  <si>
    <t xml:space="preserve">Scandal Le Parfum Eau De Parfum Intense </t>
  </si>
  <si>
    <t xml:space="preserve">Perfume Feminino Rabanne Olympéa Elixir </t>
  </si>
  <si>
    <t xml:space="preserve">Perfume Tommy Girl Edt Feminino 100ml To</t>
  </si>
  <si>
    <t xml:space="preserve">Invictus Victory Elixir Parfum Intense 2</t>
  </si>
  <si>
    <t xml:space="preserve">Prada Paradoxe Radical Essence Parfum Pe</t>
  </si>
  <si>
    <t xml:space="preserve">Perfume Floral Versace Dylan Purple Edp </t>
  </si>
  <si>
    <t xml:space="preserve">Jpg Le Male Elixir Absolu Parfum Intense</t>
  </si>
  <si>
    <t xml:space="preserve">4711 Original ( Tradicional ) 400ml | Or</t>
  </si>
  <si>
    <t xml:space="preserve">Lenço Shemagh Militar Invictus Mirage Du</t>
  </si>
  <si>
    <t xml:space="preserve">Alicate Super Longo Bico Curvo Bestfer 2</t>
  </si>
  <si>
    <t xml:space="preserve">Armaf Infinity Silver 100ml Masculino | </t>
  </si>
  <si>
    <t xml:space="preserve">Devotion Edp 100ml Feminino | Original +</t>
  </si>
  <si>
    <t xml:space="preserve">Refil De Hidratação Invictus Viper 2 Lit</t>
  </si>
  <si>
    <t xml:space="preserve">Protetor Solar Com Cor Biosole Fluid Fps</t>
  </si>
  <si>
    <t xml:space="preserve">Coffret Versace Eros + Shower + Body Lot</t>
  </si>
  <si>
    <t xml:space="preserve">Lancôme Gel Éclat - Gel De Limpeza Facia</t>
  </si>
  <si>
    <t xml:space="preserve">Perfume Good Girl Edp 10ml - Carolina He</t>
  </si>
  <si>
    <t xml:space="preserve">Mahogany Glam White Mist Perfume 100ml</t>
  </si>
  <si>
    <t xml:space="preserve">Lancôme La Vie Est Belle Vanille Nude Ea</t>
  </si>
  <si>
    <t xml:space="preserve">Touca Balaclava Tática Máscara Invictus </t>
  </si>
  <si>
    <t xml:space="preserve">Base De Maquiagem Em Pó Shiseido Compact</t>
  </si>
  <si>
    <t xml:space="preserve">Moschino Cheap &amp; Chic Eau De Toilette Fe</t>
  </si>
  <si>
    <t xml:space="preserve">Perfume Feminino My Way Eau De Parfum Po</t>
  </si>
  <si>
    <t xml:space="preserve">Rabanne Million Gold For Her Eau De Parf</t>
  </si>
  <si>
    <t xml:space="preserve">Perfume One 1 Million Elixir Parfum Inte</t>
  </si>
  <si>
    <t xml:space="preserve">Carolina Herrera Good Girl Midnight Edp </t>
  </si>
  <si>
    <t xml:space="preserve">Creme Para Olhos Lancôme Barrier Night 5</t>
  </si>
  <si>
    <t xml:space="preserve">Lancome Advanced Genifique Night Cream 5</t>
  </si>
  <si>
    <t xml:space="preserve">Carolina Herrera Good Girl Óleo Para Per</t>
  </si>
  <si>
    <t xml:space="preserve">Jean Paul Scandal Eau De Toilette - Perf</t>
  </si>
  <si>
    <t xml:space="preserve">Refil Perfume Rabanne Million Gold For H</t>
  </si>
  <si>
    <t xml:space="preserve">Dolce &amp; Gabbana Q Edp 100ml Feminino | O</t>
  </si>
  <si>
    <t xml:space="preserve">Versace Red Jeans 75ml Feminino | Origin</t>
  </si>
  <si>
    <t xml:space="preserve">Divine Jean Paul Gaultier Edp 100ml Femi</t>
  </si>
  <si>
    <t xml:space="preserve">Perfume Rabanne Invictus Parfum 200ml Ma</t>
  </si>
  <si>
    <t xml:space="preserve">Perfume Jean Paul Gaultier Divine Coutur</t>
  </si>
  <si>
    <t xml:space="preserve">Perfume Moschino I Love Love ( Tradicion</t>
  </si>
  <si>
    <t xml:space="preserve">Perfume Burberry Goddess Parfum 100ml | </t>
  </si>
  <si>
    <t xml:space="preserve">Perfume Banderas Blue Seduction Edt 100m</t>
  </si>
  <si>
    <t xml:space="preserve">Dolce &amp; Gabbana The One For Men Edp 150m</t>
  </si>
  <si>
    <t xml:space="preserve">Shiseido Uv Compact Foundation Fair Ivor</t>
  </si>
  <si>
    <t xml:space="preserve">Versace Eros Energy Eau De Parfum - Perf</t>
  </si>
  <si>
    <t xml:space="preserve">Glaco Repele Água Do Parabrisa Cristaliz</t>
  </si>
  <si>
    <t xml:space="preserve">Burberry Goddess Intense Edp Feminino 30</t>
  </si>
  <si>
    <t xml:space="preserve">Jean Paul Le Male Elixir Absolu Intense </t>
  </si>
  <si>
    <t xml:space="preserve">Kit Wella Oil Reflections Shampoo 1l E C</t>
  </si>
  <si>
    <t xml:space="preserve">Shiseido Waso Yuzu-c Eye Awakening - Cre</t>
  </si>
  <si>
    <t xml:space="preserve">Perfume Versace Eau Fraîche Extrême Edp </t>
  </si>
  <si>
    <t xml:space="preserve">Shiseido Ginza Datura Eau De Parfum 30ml</t>
  </si>
  <si>
    <t xml:space="preserve">Sabonete Líquido Masculino Mahogany For </t>
  </si>
  <si>
    <t xml:space="preserve">Montblanc Kit Explorer Eau De Parfum + T</t>
  </si>
  <si>
    <t xml:space="preserve">Trena A Laser Verde Alcance De 30 Metros</t>
  </si>
  <si>
    <t xml:space="preserve">Rabanne Fame Parfum 80ml Feminino | Orig</t>
  </si>
  <si>
    <t xml:space="preserve">Armaf Island Bliss Delights Edp 100ml + </t>
  </si>
  <si>
    <t xml:space="preserve">Perfume Rabanne Phantom In Red Parfum El</t>
  </si>
  <si>
    <t xml:space="preserve">Rabanne Olympéa Absolu Parfum Intense 80</t>
  </si>
  <si>
    <t xml:space="preserve">Mercedes Benz Sign Eau De Parfum 100ml |</t>
  </si>
  <si>
    <t xml:space="preserve">Yves Saint Laurent Ysl Libre Le Parfum 5</t>
  </si>
  <si>
    <t xml:space="preserve">Cool Elixir Oud Aromatique Parfum Intens</t>
  </si>
  <si>
    <t xml:space="preserve">Canivete Tático Venator Aço D2 Invictus </t>
  </si>
  <si>
    <t xml:space="preserve">Carolina Herrera Ch Eau De Toilette 30ml</t>
  </si>
  <si>
    <t xml:space="preserve">Perfume Mr Burberry Eau De Parfum Mascul</t>
  </si>
  <si>
    <t xml:space="preserve">Wella Condicionador Invigo Color Brillia</t>
  </si>
  <si>
    <t xml:space="preserve">Kit Rabanne Invictus Edt 200ml + Travel </t>
  </si>
  <si>
    <t xml:space="preserve">Mercedes Benz Man Private Edp 100ml Masc</t>
  </si>
  <si>
    <t xml:space="preserve">Eau De Toilette Moschino Cheap And Chic </t>
  </si>
  <si>
    <t xml:space="preserve">Calandre Rabanne Eau De Toilette 100ml F</t>
  </si>
  <si>
    <t xml:space="preserve">Jean Paul Gaultier Classique ( Tradicion</t>
  </si>
  <si>
    <t xml:space="preserve">Dolce &amp; Gabbana Dolce Eau De Parfum Perf</t>
  </si>
  <si>
    <t xml:space="preserve">Gucci Guilty Masc Elixir Edt 60ml</t>
  </si>
  <si>
    <t xml:space="preserve">Rabanne Million Gold For Her Edp (tradic</t>
  </si>
  <si>
    <t xml:space="preserve">Perfume Armaf Tag Her Pour Femme 100 Ml </t>
  </si>
  <si>
    <t xml:space="preserve">Pó Descolorante Blondor Wella Profession</t>
  </si>
  <si>
    <t xml:space="preserve">Dolce E Gabanna Light Blue Pour Homme Ed</t>
  </si>
  <si>
    <t xml:space="preserve">Versace Eros Eau De Parfum ( Edp ) 200ml</t>
  </si>
  <si>
    <t xml:space="preserve">Perfume Euphoria Bold Elixir Parfum Inte</t>
  </si>
  <si>
    <t xml:space="preserve">Shiseido Imperiallash Mascaraink Waterpr</t>
  </si>
  <si>
    <t xml:space="preserve">Mochila Assault Urban Coyote 35 Litros I</t>
  </si>
  <si>
    <t xml:space="preserve">Perfume Masculino Ralph Lauren Polo Blue</t>
  </si>
  <si>
    <t xml:space="preserve">Her Golden Secret Banderas Edt - Perfume</t>
  </si>
  <si>
    <t xml:space="preserve">Armani Beauty Perfume Masculino Armani C</t>
  </si>
  <si>
    <t xml:space="preserve">Rabanne Lady Million ( Tradicional ) 80m</t>
  </si>
  <si>
    <t xml:space="preserve">Refil - Perfume Rabanne Phantom Parfum 2</t>
  </si>
  <si>
    <t xml:space="preserve">Perfume Rabanne Olympéa Parfum 30 Ml Fem</t>
  </si>
  <si>
    <t xml:space="preserve">Kit Invictus Victory Elixir 100ml + Deso</t>
  </si>
  <si>
    <t xml:space="preserve">Perfume Boss Bottled Parfum 200ml Mascul</t>
  </si>
  <si>
    <t xml:space="preserve">Bomba Pressurizador De Água Komeko Tp80 </t>
  </si>
  <si>
    <t xml:space="preserve">Rabanne Million Gold For Her Parfum 50ml</t>
  </si>
  <si>
    <t xml:space="preserve">Yves Saint Lauren Libre Le Parfum Edp Pe</t>
  </si>
  <si>
    <t xml:space="preserve">Idôle Lancôme Perfume Feminino Eau De Pa</t>
  </si>
  <si>
    <t xml:space="preserve">Lancôme Le Stylo Waterproof Noir Intense</t>
  </si>
  <si>
    <t xml:space="preserve">Calvin Klein Eternity Amber Essence For </t>
  </si>
  <si>
    <t xml:space="preserve">Shiseido Vital Perfection Intensive Wrin</t>
  </si>
  <si>
    <t xml:space="preserve">212 Vip Black Eau De Parfum ( Tradiciona</t>
  </si>
  <si>
    <t xml:space="preserve">212 Vip Rosé Body Spray 250ml | Original</t>
  </si>
  <si>
    <t xml:space="preserve">Davidoff Cool Water 125ml Masculino | Or</t>
  </si>
  <si>
    <t xml:space="preserve">Rabanne Fame Eau De Parfum 150 Ml - Perf</t>
  </si>
  <si>
    <t xml:space="preserve">Versace Pour Homme Eau De Toilette 200ml</t>
  </si>
  <si>
    <t xml:space="preserve">Carolina Herrera 212 Vip Men Eau De Toil</t>
  </si>
  <si>
    <t xml:space="preserve">Gucci Guilty Elixir 60ml Feminino | Orig</t>
  </si>
  <si>
    <t xml:space="preserve">Perfume Rabanne Olympéa Solar Edp Intens</t>
  </si>
  <si>
    <t xml:space="preserve">Y Le Parfum Yves Saint Laurent  Perfume </t>
  </si>
  <si>
    <t xml:space="preserve">Armaf Club De Nuit Urban Man Elixir Edp </t>
  </si>
  <si>
    <t xml:space="preserve">Bad Boy Extreme Eau De Parfum 100ml Masc</t>
  </si>
  <si>
    <t xml:space="preserve">Ysl Libre Le Parfum 50ml Feminino | Orig</t>
  </si>
  <si>
    <t xml:space="preserve">212 Vip Rosé Eau De Parfum ( Tradicional</t>
  </si>
  <si>
    <t xml:space="preserve">Hugo Man Revamp Eau De Toilette 125ml</t>
  </si>
  <si>
    <t xml:space="preserve">Carolina Herrera 212 Men Nyc Body Fragra</t>
  </si>
  <si>
    <t xml:space="preserve">Rabanne Invictus Elixir Parfum Elixir 10</t>
  </si>
  <si>
    <t xml:space="preserve">Mahogany Frangipani Flower Fragrância Co</t>
  </si>
  <si>
    <t xml:space="preserve">Nina Ricci Vénus De Nina Ricci Eau De Pa</t>
  </si>
  <si>
    <t xml:space="preserve">Lancôme Hypnose Drama Máscara De Cílios </t>
  </si>
  <si>
    <t xml:space="preserve">Dolce &amp; Gabbana Dolce Lily 75ml | Origin</t>
  </si>
  <si>
    <t xml:space="preserve">Armaf Dunescape 100ml Unissex | Original</t>
  </si>
  <si>
    <t xml:space="preserve">The One ( Tradicional ) 75ml Feminino | </t>
  </si>
  <si>
    <t xml:space="preserve">Shiseido Nutriperfect Eye Serum 15ml Tip</t>
  </si>
  <si>
    <t xml:space="preserve">Carolina Herrera Good Girl Blush Eau De </t>
  </si>
  <si>
    <t xml:space="preserve">Perfume Masculino Ralph Lauren Ralph's C</t>
  </si>
  <si>
    <t xml:space="preserve">Perfume Eau De Parfum Versace Crystal No</t>
  </si>
  <si>
    <t xml:space="preserve">Dolce &amp; Gabbana Devotion Eau De Parfum F</t>
  </si>
  <si>
    <t xml:space="preserve">Chloé Signature Lumineuse Edp - Perfume </t>
  </si>
  <si>
    <t xml:space="preserve">Versace Eau Fraîche Edt 50ml Para Mascul</t>
  </si>
  <si>
    <t xml:space="preserve">Rabanne 1 Million Parfum 100 Ml Perfume </t>
  </si>
  <si>
    <t xml:space="preserve">Gucci Guilty Pour Homme Eau De Parfum ( </t>
  </si>
  <si>
    <t xml:space="preserve">Carolina Herrera Bad Boy Cobalt Eau De P</t>
  </si>
  <si>
    <t xml:space="preserve">Shampoo Líquido Soft99 Extra Gold 750ml </t>
  </si>
  <si>
    <t xml:space="preserve">Shiseido Sun Care Uv Protective Case Ori</t>
  </si>
  <si>
    <t xml:space="preserve">Chlóe Nomade Eau De Parfum 75ml</t>
  </si>
  <si>
    <t xml:space="preserve">Kit 212 Vip Rosé 80ml + Body Lotion ( Hi</t>
  </si>
  <si>
    <t xml:space="preserve">Armaf Club De Nuit Impériale Edp 105ml |</t>
  </si>
  <si>
    <t xml:space="preserve">Burberry Goddess Intense 100ml Feminino </t>
  </si>
  <si>
    <t xml:space="preserve">Martelete Perfurador Rompedor 3 Modos 1.</t>
  </si>
  <si>
    <t xml:space="preserve">Protetor Solar Biosole Hyal Fps 60</t>
  </si>
  <si>
    <t xml:space="preserve">Lancôme Génifique Ultimate - Sérum Facia</t>
  </si>
  <si>
    <t xml:space="preserve">Perfume Banderas The Icon Eau De Toilett</t>
  </si>
  <si>
    <t xml:space="preserve">La Belle Paradise Garden Eau De Parfum (</t>
  </si>
  <si>
    <t xml:space="preserve">Emulsão Hidratante Make Me Fever Gold Ma</t>
  </si>
  <si>
    <t xml:space="preserve">Rabanne Olympéa Eau De Parfum 30 Ml - Pe</t>
  </si>
  <si>
    <t xml:space="preserve">Burberry Hero Parfum 100ml Volume Da Uni</t>
  </si>
  <si>
    <t xml:space="preserve">Kit Wella Invigo Sun Shampoo+ Cond+ Leav</t>
  </si>
  <si>
    <t xml:space="preserve">Jean Paul La Belle Le Parfum - Perfume F</t>
  </si>
  <si>
    <t xml:space="preserve">Burberry My Burberry Blush Edp 90ml - Or</t>
  </si>
  <si>
    <t xml:space="preserve">Jean Paul Scandal Intense - Perfume Masc</t>
  </si>
  <si>
    <t xml:space="preserve">Burberry Hero Parfum 100ml</t>
  </si>
  <si>
    <t xml:space="preserve">Versace Eros Flame Eau De Parfum ( Edp )</t>
  </si>
  <si>
    <t xml:space="preserve">Jean Paul Le Male Elixir Parfum - Perfum</t>
  </si>
  <si>
    <t xml:space="preserve">Fortificante Mavala Scientifique 5ml K+ </t>
  </si>
  <si>
    <t xml:space="preserve">Kit 212 Heroes Feminino 80ml + Body Loti</t>
  </si>
  <si>
    <t xml:space="preserve">Carolina Herrera 212 Heroes Eau De Parfu</t>
  </si>
  <si>
    <t xml:space="preserve">Lancome La Vie Est Belle L'elixir L'eau </t>
  </si>
  <si>
    <t xml:space="preserve">Kit Rabanne Perfume Fame Eau De Parfum -</t>
  </si>
  <si>
    <t xml:space="preserve">Giorgio Armani Si Eau De Parfum Intense </t>
  </si>
  <si>
    <t xml:space="preserve">Perfume Rabanne Lady Million Royal Edp 8</t>
  </si>
  <si>
    <t xml:space="preserve">Perfume Feminino Dolce &amp; Gabbana Devotio</t>
  </si>
  <si>
    <t xml:space="preserve">Perfume Árabe Lattafa Fakhar Gold Extrai</t>
  </si>
  <si>
    <t xml:space="preserve">Armaf Club De Nuit Iconic Eau De Parfum </t>
  </si>
  <si>
    <t xml:space="preserve">Explorer Extreme Parfum 100ml Masculino </t>
  </si>
  <si>
    <t xml:space="preserve">Chloé Nomade Edp ( Tradicional ) 75ml | </t>
  </si>
  <si>
    <t xml:space="preserve">Jean Paul Gaultier Le Male Le Parfum 125</t>
  </si>
  <si>
    <t xml:space="preserve">Perfume Givenchy Gentleman Society Sport</t>
  </si>
  <si>
    <t xml:space="preserve">Versace Eros Najim Pour Homme Parfum 100</t>
  </si>
  <si>
    <t xml:space="preserve">Rabanne Fame Edp ( Tradicional ) 150ml F</t>
  </si>
  <si>
    <t xml:space="preserve">Armani Acqua Di Gioia Intense Perfume Fe</t>
  </si>
  <si>
    <t xml:space="preserve">Carolina Herrera Good Girl Very Elixir -</t>
  </si>
  <si>
    <t xml:space="preserve">Perfume Gucci Bloom Feminino Eau De Parf</t>
  </si>
  <si>
    <t xml:space="preserve">Al Wataniah Ghala Eau De Parfum 100ml Fe</t>
  </si>
  <si>
    <t xml:space="preserve">Gucci Flora Gorgeous Magnolia Edp 100ml </t>
  </si>
  <si>
    <t xml:space="preserve">Gucci Flora Gorgeous Jasmine Edp 100ml |</t>
  </si>
  <si>
    <t xml:space="preserve">Boss Bottled Elixir Parfum Intense 100ml</t>
  </si>
  <si>
    <t xml:space="preserve">Versace Crystal Emerald Eau De Parfum ( </t>
  </si>
  <si>
    <t xml:space="preserve">Rabanne Million Gold For Her Parfum 90ml</t>
  </si>
  <si>
    <t xml:space="preserve">Nautica Tradicional Voyage Clasico Edt 2</t>
  </si>
  <si>
    <t xml:space="preserve">Joelheira Tática Invictus Protec Preto</t>
  </si>
  <si>
    <t xml:space="preserve">Armani Acqua Di Gio Profondo Parfum Masc</t>
  </si>
  <si>
    <t xml:space="preserve">Burberry Brit For Him Edt 100ml</t>
  </si>
  <si>
    <t xml:space="preserve">Versace Dylan Purple Perfume Feminino Ea</t>
  </si>
  <si>
    <t xml:space="preserve">Perfume Nina Ricci Nina Rouge Crush Eau </t>
  </si>
  <si>
    <t xml:space="preserve">Perfume Rabanne 1 Million Royal Parfum 5</t>
  </si>
  <si>
    <t xml:space="preserve">Perfume My Way Intense Giorgio Armani Fe</t>
  </si>
  <si>
    <t xml:space="preserve">Armani Acqua Di Gio Eau De Parfum Perfum</t>
  </si>
  <si>
    <t xml:space="preserve">Rabanne Invictus Victory Extreme Edp 50m</t>
  </si>
  <si>
    <t xml:space="preserve">Nina Ricci Lair Du Temps Edt - Perfume F</t>
  </si>
  <si>
    <t xml:space="preserve">Animale Gold 100ml Masculino | Original </t>
  </si>
  <si>
    <t xml:space="preserve">Lanterna Tática 100 Lúmens Bolt Invictus</t>
  </si>
  <si>
    <t xml:space="preserve">Cabo Chupeta Bateria 2000a 5 Metros Refo</t>
  </si>
  <si>
    <t xml:space="preserve">Prada Luna Rossa Ocean Edt 100ml Para Ma</t>
  </si>
  <si>
    <t xml:space="preserve">Shiseido Benefiance Brightening Gel Crea</t>
  </si>
  <si>
    <t xml:space="preserve">Burberry Her Eau De Toilette ( Edt ) 100</t>
  </si>
  <si>
    <t xml:space="preserve">Armani Code Giorgio Armani Feminino Eau </t>
  </si>
  <si>
    <t xml:space="preserve">Versace Eros Edp Perfume Masculino 200ml</t>
  </si>
  <si>
    <t xml:space="preserve">Lancôme Trésor Eau De Parfum 30ml</t>
  </si>
  <si>
    <t xml:space="preserve">Kit 212 Men 100ml + Gel Pós Barba 100ml </t>
  </si>
  <si>
    <t xml:space="preserve">Versace Versense 30ml Feminino | Origina</t>
  </si>
  <si>
    <t xml:space="preserve">Givenchy Clasico Amarige Tradicional Edt</t>
  </si>
  <si>
    <t xml:space="preserve">Jpg Scandal Absolu Parfum Concentré 80ml</t>
  </si>
  <si>
    <t xml:space="preserve">Perfume The One Eau De Parfum ( Tradicio</t>
  </si>
  <si>
    <t xml:space="preserve">Carolina Herrera Ch Men Eau De Toilette </t>
  </si>
  <si>
    <t xml:space="preserve">Perfume Boss Bottled Infinite Edp 200ml </t>
  </si>
  <si>
    <t xml:space="preserve">Silver Scent Platinum Eau De Parfum ( Ed</t>
  </si>
  <si>
    <t xml:space="preserve">Burberry Elixir Her Edp - Perfume Femini</t>
  </si>
  <si>
    <t xml:space="preserve">Cera Sintética Tons Escuros Soft99 The K</t>
  </si>
  <si>
    <t xml:space="preserve">Mochila Tática Assault 30 Litros Invictu</t>
  </si>
  <si>
    <t xml:space="preserve">212 Vip Black Elixir Eau De Parfum ( Edp</t>
  </si>
  <si>
    <t xml:space="preserve">Givenchy L'interdit Rouge Ultime 80ml Fe</t>
  </si>
  <si>
    <t xml:space="preserve">Canivete Tático Cuvier Invictus Cor Pret</t>
  </si>
  <si>
    <t xml:space="preserve">Perfume Armaf Club De Nuit Maleka Eau De</t>
  </si>
  <si>
    <t xml:space="preserve">Shiseido Men Face Cleanser 125ml Todo Ti</t>
  </si>
  <si>
    <t xml:space="preserve">Carolina Herrera 212 Men Heroes Eau De T</t>
  </si>
  <si>
    <t xml:space="preserve">The Most Wanted Azzaro Masculino Eau De </t>
  </si>
  <si>
    <t xml:space="preserve">Rabanne Black Xs For Her Eau De Parfum 8</t>
  </si>
  <si>
    <t xml:space="preserve">Perfume Benetton United Dreams Live Free</t>
  </si>
  <si>
    <t xml:space="preserve">Rabanne Black Xs For Her Edp 80ml Para F</t>
  </si>
  <si>
    <t xml:space="preserve">Wella Professionals Blondorplex N°1 - Pó</t>
  </si>
  <si>
    <t xml:space="preserve">Perfume Rabanne Fame Eau De Parfum Inten</t>
  </si>
  <si>
    <t xml:space="preserve">1 Million Elixir Paco Rabanne Intense Pa</t>
  </si>
  <si>
    <t xml:space="preserve">Ferro A Vapor Black+decker Cor Preto Pra</t>
  </si>
  <si>
    <t xml:space="preserve">Mochila Tática Defender 55 Litros Invict</t>
  </si>
  <si>
    <t xml:space="preserve">Animale Seduction 100ml Masculino | Orig</t>
  </si>
  <si>
    <t xml:space="preserve">Perfume Feminino In Love With You Eau De</t>
  </si>
  <si>
    <t xml:space="preserve">Carolina Herrera Very Good Girl Glam Par</t>
  </si>
  <si>
    <t xml:space="preserve">Versace Eros Eau De Parfum ( Edp ) 100ml</t>
  </si>
  <si>
    <t xml:space="preserve">Perfume Dolce &amp; Gabbana Light Blue Capri</t>
  </si>
  <si>
    <t xml:space="preserve">The Only One Eau De Parfum ( Tradicional</t>
  </si>
  <si>
    <t xml:space="preserve">Very Good Girl Eau De Parfum ( Edp ) 50m</t>
  </si>
  <si>
    <t xml:space="preserve">Sérum Lancôme Genifique Light Pearl 20ml</t>
  </si>
  <si>
    <t xml:space="preserve">Rabanne Invictus Victory Eau De Parfum E</t>
  </si>
  <si>
    <t xml:space="preserve">Perfume Mont Blanc Starwalker 75ml Para </t>
  </si>
  <si>
    <t xml:space="preserve">Ralph Lauren Polo 67 Edp 125ml </t>
  </si>
  <si>
    <t xml:space="preserve">Rabanne Invictus Victory Absolu 100ml</t>
  </si>
  <si>
    <t xml:space="preserve">Al Wataniah Duha Edp 100ml Feminino | Or</t>
  </si>
  <si>
    <t xml:space="preserve">Perfume Le Beau Jean Paul Gaultier Edt 1</t>
  </si>
  <si>
    <t xml:space="preserve">Armaf Tag Him Uomo Rosso Edp 100ml | Ori</t>
  </si>
  <si>
    <t xml:space="preserve">Rabanne Fame Edp 50ml Para Feminino</t>
  </si>
  <si>
    <t xml:space="preserve">Versace Bright Crystal 90ml Feminino | O</t>
  </si>
  <si>
    <t xml:space="preserve">Carolina Herrera Good Girl Gel De Banho </t>
  </si>
  <si>
    <t xml:space="preserve">Gucci Guilty Pour Femme Love Edition 50m</t>
  </si>
  <si>
    <t xml:space="preserve">Protetor Solar Fluido Com Cor Fps 98 Méd</t>
  </si>
  <si>
    <t xml:space="preserve">Perfume Wanted Azzaro Masculino Eau De T</t>
  </si>
  <si>
    <t xml:space="preserve">Carolina Herrera Good Girl Body Mist 100</t>
  </si>
  <si>
    <t xml:space="preserve">The One ( Tradicional ) 100ml Masculino </t>
  </si>
  <si>
    <t xml:space="preserve">So Real Cheap And Chic Moschino 50ml | O</t>
  </si>
  <si>
    <t xml:space="preserve">Versace Eros Najim Parfum 100ml Masculin</t>
  </si>
  <si>
    <t xml:space="preserve">Lancôme Nutrix Royal - Creme Hidratante </t>
  </si>
  <si>
    <t xml:space="preserve">Brit For Her Burberry Fem Edt 50ml</t>
  </si>
  <si>
    <t xml:space="preserve">Scandal Absolu Pour Homme 50ml Masculino</t>
  </si>
  <si>
    <t xml:space="preserve">Ck Euphoria Magnetic Elixir Parfum Inten</t>
  </si>
  <si>
    <t xml:space="preserve">Boss Bottled Parfum 100ml Masculino | Or</t>
  </si>
  <si>
    <t xml:space="preserve">Carolina Herrera 212 Vip Eau De Parfum 5</t>
  </si>
  <si>
    <t xml:space="preserve">Givenchy L'interdit Edp 50ml Para Femini</t>
  </si>
  <si>
    <t xml:space="preserve">Gucci Bloom Feminino Eau De Parfum 50ml</t>
  </si>
  <si>
    <t xml:space="preserve">Spray Brilho E Perfumação Para Cabelos W</t>
  </si>
  <si>
    <t xml:space="preserve">Ralph Lauren Ralph's Club New York Eau D</t>
  </si>
  <si>
    <t xml:space="preserve">Gucci Guilty Intense Eau De Parfum - Per</t>
  </si>
  <si>
    <t xml:space="preserve">Mont Blanc Legend Eau De Parfum ( Edp ) </t>
  </si>
  <si>
    <t xml:space="preserve">Mont Blanc Signature Absolue Edp 90ml Fe</t>
  </si>
  <si>
    <t xml:space="preserve">Montblanc Legend Blue ( Azul ) Edp 100ml</t>
  </si>
  <si>
    <t xml:space="preserve">Dolce &amp; Gabbana The One Edp ( Tradiciona</t>
  </si>
  <si>
    <t xml:space="preserve">Perfume Carolina Herrera Good Girl Edp 5</t>
  </si>
  <si>
    <t xml:space="preserve">Gucci Guilty Pour Femme Eau De Parfum ( </t>
  </si>
  <si>
    <t xml:space="preserve">Perfume Carolina Herrera 212 ( Tradicion</t>
  </si>
  <si>
    <t xml:space="preserve">Carolina Herrera Bad Boy Le Parfum Edp 5</t>
  </si>
  <si>
    <t xml:space="preserve">Perfume My Devotion Eau De Parfum Intens</t>
  </si>
  <si>
    <t xml:space="preserve">Body Splash Yara Lattafa Perfume Mist 25</t>
  </si>
  <si>
    <t xml:space="preserve">Gentleman Society Parfum 100ml Para Home</t>
  </si>
  <si>
    <t xml:space="preserve">Rabanne Black Xs Her Eau De Parfum 50ml </t>
  </si>
  <si>
    <t xml:space="preserve">Jean Paul Gaultier Divine Edp Intense Fe</t>
  </si>
  <si>
    <t xml:space="preserve">Perfume Burberry Her Edt Amadeirado Spra</t>
  </si>
  <si>
    <t xml:space="preserve">Perfume Rabanne Lady Million Eau De Parf</t>
  </si>
  <si>
    <t xml:space="preserve">Ysl Libre Le Parfum 30ml</t>
  </si>
  <si>
    <t xml:space="preserve">Perfume Gucci Guilty Love Edition Edp Fe</t>
  </si>
  <si>
    <t xml:space="preserve">Perfume Benetton United Colors Black Int</t>
  </si>
  <si>
    <t xml:space="preserve">Lancome Kit Genefique Eye Routine </t>
  </si>
  <si>
    <t xml:space="preserve">Perfume Rabanne Fame Intense 50ml Femini</t>
  </si>
  <si>
    <t xml:space="preserve">Versace Eros Energy Eau De Parfum 100ml </t>
  </si>
  <si>
    <t xml:space="preserve">Moschino Toy 2 30ml Feminino | Original </t>
  </si>
  <si>
    <t xml:space="preserve">Versace Versense Eau De Toilette 100ml |</t>
  </si>
  <si>
    <t xml:space="preserve">Kit Scandal Eau De Parfum 50ml + Body Lo</t>
  </si>
  <si>
    <t xml:space="preserve">Dolce &amp; Gabbana Q Edp - Perfume Feminino</t>
  </si>
  <si>
    <t xml:space="preserve">Calvin Klein Eternity For Men - Fragrânc</t>
  </si>
  <si>
    <t xml:space="preserve">212 Vip Man Black Carolina Herrera Edp 1</t>
  </si>
  <si>
    <t xml:space="preserve">Lancôme Miracle Eau De Parfum 50ml</t>
  </si>
  <si>
    <t xml:space="preserve">Perfume Joop Homme 75ml Masculino | Orig</t>
  </si>
  <si>
    <t xml:space="preserve">Versace Dylan Turquoise 100ml Feminino |</t>
  </si>
  <si>
    <t xml:space="preserve">Perfume Masculino Eau De Parfum Gilles C</t>
  </si>
  <si>
    <t xml:space="preserve">Tommy Girl Eau De Toilette ( Edt ) 30ml </t>
  </si>
  <si>
    <t xml:space="preserve">Hair Mist Rabanne Fame Perfume Para O Ca</t>
  </si>
  <si>
    <t xml:space="preserve">Body Splash Lattafa Badee Al Noble Blush</t>
  </si>
  <si>
    <t xml:space="preserve">Giorgio Armani Acqua Di Gio Elixir - Per</t>
  </si>
  <si>
    <t xml:space="preserve">Nina Ricci L'air Du Temps Edt 100ml + Cr</t>
  </si>
  <si>
    <t xml:space="preserve">Wella Blondor Multi Blonde - Pó Descolor</t>
  </si>
  <si>
    <t xml:space="preserve">Rabanne Phantom Elixir Parfum Intense 50</t>
  </si>
  <si>
    <t xml:space="preserve">La Belle Paradise Garden Eau De Parfum 5</t>
  </si>
  <si>
    <t xml:space="preserve">Davidoff Cool Water Intense Eau De Parfu</t>
  </si>
  <si>
    <t xml:space="preserve">Sérum Para Os Olhos Lancôme Advanced Gén</t>
  </si>
  <si>
    <t xml:space="preserve">Nina Ricci Nina Le Parfum Feminino Eau D</t>
  </si>
  <si>
    <t xml:space="preserve">Mahogany Fragrancia Rosewood 100ml Volum</t>
  </si>
  <si>
    <t xml:space="preserve">Giorgio Armani New Code Edt - Perfume Ma</t>
  </si>
  <si>
    <t xml:space="preserve">Faca Tática Invictus Force Coyote Com Lâ</t>
  </si>
  <si>
    <t xml:space="preserve">Invictus Balaclava Chacao Air Proteção S</t>
  </si>
  <si>
    <t xml:space="preserve">Lancôme Lápis Delineador Le Stylo Waterp</t>
  </si>
  <si>
    <t xml:space="preserve">Canivete Tático Falken Preto / Laranja E</t>
  </si>
  <si>
    <t xml:space="preserve">Fortificante Mavala Scientifique 5ml</t>
  </si>
  <si>
    <t xml:space="preserve">Jean Paul Gaultier Le Male Le Parfum 75m</t>
  </si>
  <si>
    <t xml:space="preserve">Givenchy Gentleman Boisée Edp - Perfume </t>
  </si>
  <si>
    <t xml:space="preserve">Berry Fruits Loção Antioxidante Ada Tina</t>
  </si>
  <si>
    <t xml:space="preserve">Eau De Toilette Jean Paul Gaultier Le Be</t>
  </si>
  <si>
    <t xml:space="preserve">Perfume Carolina Herrera Eau De Toilette</t>
  </si>
  <si>
    <t xml:space="preserve">1 Million Rabanne Eau De Toilette 200ml </t>
  </si>
  <si>
    <t xml:space="preserve">Chloé Signature Eau De Parfum Feminino 7</t>
  </si>
  <si>
    <t xml:space="preserve">Carolina Herrera Good Girl Body Cream 20</t>
  </si>
  <si>
    <t xml:space="preserve">Shiseido Hydro Bb Compact For Sports Fps</t>
  </si>
  <si>
    <t xml:space="preserve">Perfume Scandal Fem Edp 50ml Jean Paul O</t>
  </si>
  <si>
    <t xml:space="preserve">212 Men Mtv ( Edição Limitada ) Edt 100m</t>
  </si>
  <si>
    <t xml:space="preserve">Armaf Tag Uomo Nero Edp 100ml Masculino </t>
  </si>
  <si>
    <t xml:space="preserve">Rabanne 1 Million Parfum 50ml Para Mascu</t>
  </si>
  <si>
    <t xml:space="preserve">Ch Men Pasión Eau De Parfum ( Edp ) 100m</t>
  </si>
  <si>
    <t xml:space="preserve">Hugo Boss Hugo Iced Edt 75 Ml</t>
  </si>
  <si>
    <t xml:space="preserve">Perfume Montblanc Signature Absolue Para</t>
  </si>
  <si>
    <t xml:space="preserve">Perfume Fantasy Eau De Parfum ( Tradicio</t>
  </si>
  <si>
    <t xml:space="preserve">Eros Flame Edp 100 Ml+spray De Viagem 10</t>
  </si>
  <si>
    <t xml:space="preserve">Perfume My Burberry Blush Eau De Parfum </t>
  </si>
  <si>
    <t xml:space="preserve">Carolina  Herrera Desodorante Spray Ch M</t>
  </si>
  <si>
    <t xml:space="preserve">Perfume Feminino Carolina Herrera Very G</t>
  </si>
  <si>
    <t xml:space="preserve">Perfume Versace Dylan Turquoise Eau De T</t>
  </si>
  <si>
    <t xml:space="preserve">Base Compacta Shiseido Hydrobb Compact F</t>
  </si>
  <si>
    <t xml:space="preserve">Ck One Essence Calvin Klein Parfum Inten</t>
  </si>
  <si>
    <t xml:space="preserve">Versace Eros Flame Eau De Parfum 100ml M</t>
  </si>
  <si>
    <t xml:space="preserve">Scandal Pour Homme Eau De Toilette 50ml </t>
  </si>
  <si>
    <t xml:space="preserve">Burberry Her Eau De Toilette ( Edt ) 50m</t>
  </si>
  <si>
    <t xml:space="preserve">Toy 2 Moschino Eau De Parfum - Perfume F</t>
  </si>
  <si>
    <t xml:space="preserve">Perfume Feminino Burberry Her Parfum De </t>
  </si>
  <si>
    <t xml:space="preserve">Perfume Gucci Bloom Eau De Parfum Floral</t>
  </si>
  <si>
    <t xml:space="preserve">Gentleman Givenchy Perfume Masculino Eau</t>
  </si>
  <si>
    <t xml:space="preserve">Rabanne Fame Parfum Perfume Feminino 50m</t>
  </si>
  <si>
    <t xml:space="preserve">Shampoo Wella Professionals Oil Reflecti</t>
  </si>
  <si>
    <t xml:space="preserve">Headphone Philips Wireless Bluetooth Até</t>
  </si>
  <si>
    <t xml:space="preserve">Rabanne Olympéa Absolu Parfum Intense 30</t>
  </si>
  <si>
    <t xml:space="preserve">Rabanne Pure Xs For Her Eau De Parfum 50</t>
  </si>
  <si>
    <t xml:space="preserve">Rabanne Black Xs For Her Edp 50ml Para F</t>
  </si>
  <si>
    <t xml:space="preserve">Light Blue Eau De Toilette ( Tradicional</t>
  </si>
  <si>
    <t xml:space="preserve">Moschino Toy 2 100ml Feminino | Original</t>
  </si>
  <si>
    <t xml:space="preserve">Shiseido Hydro Bb Case</t>
  </si>
  <si>
    <t xml:space="preserve">Mercedes Benz Amg Red Thrill Eau De Parf</t>
  </si>
  <si>
    <t xml:space="preserve">Mahogany Óleo Em Creme - Pós Banho 400ml</t>
  </si>
  <si>
    <t xml:space="preserve">Óleo Capilar Oil Reflections Wella 100ml</t>
  </si>
  <si>
    <t xml:space="preserve">Lancôme Miracle Eau De Parfum 30ml</t>
  </si>
  <si>
    <t xml:space="preserve">Mercedes-benz Amg Black Thrill Eau De Pa</t>
  </si>
  <si>
    <t xml:space="preserve">Mercedes Benz Amg Silver Thrill Eau De P</t>
  </si>
  <si>
    <t xml:space="preserve">Perfume Banderas The Icon Attitude Eau D</t>
  </si>
  <si>
    <t xml:space="preserve">Máscara De Cílios Lancôme Hypnose 01 Noi</t>
  </si>
  <si>
    <t xml:space="preserve">Dolce &amp; Gabbana K Edt 100ml Para Masculi</t>
  </si>
  <si>
    <t xml:space="preserve">Caneta Tática Invictus Iron Com Quebra V</t>
  </si>
  <si>
    <t xml:space="preserve">Hugo Boss The Scent Elixir Parfum - Perf</t>
  </si>
  <si>
    <t xml:space="preserve">Desodorante Spray Jean Paul Gaultier Sca</t>
  </si>
  <si>
    <t xml:space="preserve">Al Wataniah Attar Al Wesal Edp 100ml Mas</t>
  </si>
  <si>
    <t xml:space="preserve">Hugo Boss Bottled Edp 100ml</t>
  </si>
  <si>
    <t xml:space="preserve">Boss The Scent Elixir Parfum Intense For</t>
  </si>
  <si>
    <t xml:space="preserve">Primer Future Solution Lx Fps30 Shiseido</t>
  </si>
  <si>
    <t xml:space="preserve">Shiseido Expert Sun Protector Lotion Spf</t>
  </si>
  <si>
    <t xml:space="preserve">Giorgio Armani Code Eau De Toilette Perf</t>
  </si>
  <si>
    <t xml:space="preserve">Perfume Rabanne Million Gold Parfum 30ml</t>
  </si>
  <si>
    <t xml:space="preserve">Carolina Herrera 212 Men Nyc Edt 50ml Ma</t>
  </si>
  <si>
    <t xml:space="preserve">Good Girl Very Elixir Eau De Parfum - Pe</t>
  </si>
  <si>
    <t xml:space="preserve">Devotion Dolce &amp; Gabbana Edp - Perfume F</t>
  </si>
  <si>
    <t xml:space="preserve">Nutri Enrich Condicionador 1000ml </t>
  </si>
  <si>
    <t xml:space="preserve">Carolina Herrera Ch Pasión Eau De Parfum</t>
  </si>
  <si>
    <t xml:space="preserve">Furadeira Impacto 3/8 Pol. + Maleta Tm50</t>
  </si>
  <si>
    <t xml:space="preserve">212 Vip Rosé Hair Mist - Perfume Para Ca</t>
  </si>
  <si>
    <t xml:space="preserve">Versace Bright Crystal 50ml + Bl 100ml</t>
  </si>
  <si>
    <t xml:space="preserve">Kit Perfume Calvin Klein Ck One 200ml + </t>
  </si>
  <si>
    <t xml:space="preserve">Jacques Bogart Silver Scent Infinite Sil</t>
  </si>
  <si>
    <t xml:space="preserve">Perfume Rabanne Olympéa Elixir Eau De Pa</t>
  </si>
  <si>
    <t xml:space="preserve">Perfume Yves Saint Laurent Kouros Masc E</t>
  </si>
  <si>
    <t xml:space="preserve">Perfume Feminino Jean Paul Gaultier Scan</t>
  </si>
  <si>
    <t xml:space="preserve">Boss The Scent Hugo Boss Masc Edt 100ml</t>
  </si>
  <si>
    <t xml:space="preserve">Perfume Good Girl Blush Eau De Parfum 30</t>
  </si>
  <si>
    <t xml:space="preserve">Gucci Guilty Pour Homme Edt 50ml Masculi</t>
  </si>
  <si>
    <t xml:space="preserve">Tommy ( Tradicional ) 200ml Masculino | </t>
  </si>
  <si>
    <t xml:space="preserve">Rabanne Invictus Parfum 50ml - Perfume M</t>
  </si>
  <si>
    <t xml:space="preserve">Dolce &amp; Gabbana Pour Homme ( Tradicional</t>
  </si>
  <si>
    <t xml:space="preserve">Nutri Enrich Shampoo 1000ml </t>
  </si>
  <si>
    <t xml:space="preserve">Kit Le Male ( Tradicional ) 75ml + Showe</t>
  </si>
  <si>
    <t xml:space="preserve">Pure C Glow Tônico Vitamina C Iluminador</t>
  </si>
  <si>
    <t xml:space="preserve">Carolina Herrera Herrera Masculino 100ml</t>
  </si>
  <si>
    <t xml:space="preserve">Jean Paul La Belle Paradise Garden - Per</t>
  </si>
  <si>
    <t xml:space="preserve">Perfume Versace Eros Eau De Toilette 100</t>
  </si>
  <si>
    <t xml:space="preserve">Boss Bottled Hugo Boss Masc Edt 100ml</t>
  </si>
  <si>
    <t xml:space="preserve">Kit Presente Rabanne 1 Million Eau De Pa</t>
  </si>
  <si>
    <t xml:space="preserve">Burberry Goddess Edp Intense - Perfume F</t>
  </si>
  <si>
    <t xml:space="preserve">Máscara De Cílios Lancôme Monsieur Big 1</t>
  </si>
  <si>
    <t xml:space="preserve">Jean Paul Gaultier Scandal Le Parfum 30m</t>
  </si>
  <si>
    <t xml:space="preserve">Desodorante Spray Scandal Pour Homme 150</t>
  </si>
  <si>
    <t xml:space="preserve">Azzaro The Most Wanted Parfum Masculino </t>
  </si>
  <si>
    <t xml:space="preserve">Wella Oleo Oil Reflections Light 100ml</t>
  </si>
  <si>
    <t xml:space="preserve">Moschino So Real 30ml Feminino + Amostra</t>
  </si>
  <si>
    <t xml:space="preserve">Jean Paul Gaultier Scandal Intense 30ml </t>
  </si>
  <si>
    <t xml:space="preserve">Perfume Al Wataniah Thahaani Edp 100ml U</t>
  </si>
  <si>
    <t xml:space="preserve">Prada Paradoxe Eau De Parfum Perfume Fem</t>
  </si>
  <si>
    <t xml:space="preserve">Máscara De Reparação Wella Professionals</t>
  </si>
  <si>
    <t xml:space="preserve">Bad Boy Carolina Herrera Eau De Toilette</t>
  </si>
  <si>
    <t xml:space="preserve">Montblanc Signature Elixir Edp 50ml | Or</t>
  </si>
  <si>
    <t xml:space="preserve">Refil Vela P/filtro Acqua Bella E Vitale</t>
  </si>
  <si>
    <t xml:space="preserve">Jean Paul Classique Eau De Toilette - Fe</t>
  </si>
  <si>
    <t xml:space="preserve">Lancome La Nuit Trésor Eau De Parfum 30m</t>
  </si>
  <si>
    <t xml:space="preserve">Escencia Lancôme Génifique Ultimate Esse</t>
  </si>
  <si>
    <t xml:space="preserve">Perfume Herrera For Men Eau De Toilette </t>
  </si>
  <si>
    <t xml:space="preserve">Mon Paris Yves Saint Laurent Feminino Ea</t>
  </si>
  <si>
    <t xml:space="preserve">Perfume Body Splash Lattafa Eclaire 250m</t>
  </si>
  <si>
    <t xml:space="preserve">Perfume Versace Bright Crystal Absolu Ea</t>
  </si>
  <si>
    <t xml:space="preserve">Gucci Flora Orquidea - Perfume Feminino </t>
  </si>
  <si>
    <t xml:space="preserve">Gucci Bloom Eau De Parfum 30ml Feminino </t>
  </si>
  <si>
    <t xml:space="preserve">Versace Eros Masculino Edt 100ml</t>
  </si>
  <si>
    <t xml:space="preserve">Perfume Shiseido Ginza Eau De Parfum 30m</t>
  </si>
  <si>
    <t xml:space="preserve">Controle Joystick Sem Fio Sony Playstati</t>
  </si>
  <si>
    <t xml:space="preserve">Perfume Moschino Cheap &amp; Chic Eau De Toi</t>
  </si>
  <si>
    <t xml:space="preserve">Armani Si Eau De Parfum Intense - Perfum</t>
  </si>
  <si>
    <t xml:space="preserve">Lancôme La Vie Est Belle Lait Corps De P</t>
  </si>
  <si>
    <t xml:space="preserve">Perfume Gabriela Sabatini ( Clássico ) 6</t>
  </si>
  <si>
    <t xml:space="preserve">Tommy Girl Eau De Toilette ( Edt ) 200ml</t>
  </si>
  <si>
    <t xml:space="preserve">Versace Eros Perfume Masculino Edt 50ml</t>
  </si>
  <si>
    <t xml:space="preserve">Perfume Versace Pour Homme Masculino Eau</t>
  </si>
  <si>
    <t xml:space="preserve">Perfume Rabanne Fame Eau De Parfum 30 Ml</t>
  </si>
  <si>
    <t xml:space="preserve">Mahogany Wild E Free Fem 100ml Volume Da</t>
  </si>
  <si>
    <t xml:space="preserve">Máscara De Cílios À Prova D'água Com Até</t>
  </si>
  <si>
    <t xml:space="preserve">Desodorante Roll On Lancôme Bocage 50ml </t>
  </si>
  <si>
    <t xml:space="preserve">Lancôme Bocage Spray Déodorant 125ml</t>
  </si>
  <si>
    <t xml:space="preserve">Lápis Delineador Drama Liquid-pencil Lan</t>
  </si>
  <si>
    <t xml:space="preserve">Kit Jean Paul Gaultier Le Male Edt 75ml </t>
  </si>
  <si>
    <t xml:space="preserve">Pretinho Pneu Black Magic 150ml Soft99 A</t>
  </si>
  <si>
    <t xml:space="preserve">Burberry Hero 50ml Masculino | Original </t>
  </si>
  <si>
    <t xml:space="preserve">Perfume Eau De Cologne 800ml 4711</t>
  </si>
  <si>
    <t xml:space="preserve">Chloé Intense 30ml Feminino | Original +</t>
  </si>
  <si>
    <t xml:space="preserve">Versace Crystal Noir Edt 50ml Feminino |</t>
  </si>
  <si>
    <t xml:space="preserve">Eau De Toilette Masculino Benetton Color</t>
  </si>
  <si>
    <t xml:space="preserve">Óleo Para Pernas Good Girl Feminino 200m</t>
  </si>
  <si>
    <t xml:space="preserve">Nina Ricci Nina Eau De Parfum 30ml</t>
  </si>
  <si>
    <t xml:space="preserve">Wella Pó Descolorante Blondor 400g Blond</t>
  </si>
  <si>
    <t xml:space="preserve">Giorgio Armani Acqua Di Gioia Feminino E</t>
  </si>
  <si>
    <t xml:space="preserve">Burberry Goddess Parfum - Perfume Femini</t>
  </si>
  <si>
    <t xml:space="preserve">Burberry Her Eau De Parfum ( Tradicional</t>
  </si>
  <si>
    <t xml:space="preserve">Rabanne Lady Million Eau De Parfum ( Edp</t>
  </si>
  <si>
    <t xml:space="preserve">Hidratante Corporal Wild Cat 350ml Mahog</t>
  </si>
  <si>
    <t xml:space="preserve">Hidratante Emulsão Corporal Lavanda E Al</t>
  </si>
  <si>
    <t xml:space="preserve">Mahogany After Shave Balm Stark 120g</t>
  </si>
  <si>
    <t xml:space="preserve">Chloe Nomade Nuit D Egypte Edp 30ml</t>
  </si>
  <si>
    <t xml:space="preserve">Perfume Banderas Queen Of Seduction Live</t>
  </si>
  <si>
    <t xml:space="preserve">Gucci Guilty Pour Femme Edp 30ml</t>
  </si>
  <si>
    <t xml:space="preserve">Givenchy Pi Pour Homme Edt - Perfume Mas</t>
  </si>
  <si>
    <t xml:space="preserve">Carolina Herrera 212 ( Tradicional ) 30m</t>
  </si>
  <si>
    <t xml:space="preserve">Montblanc Explorer ( Tradicional ) 30ml </t>
  </si>
  <si>
    <t xml:space="preserve">Mont Blanc Explore Masc Edp 30ml Volume </t>
  </si>
  <si>
    <t xml:space="preserve">Mahogany Fragrância Des. Keen 100ml</t>
  </si>
  <si>
    <t xml:space="preserve">Perfume Feminino Brit Sheer De Burberry </t>
  </si>
  <si>
    <t xml:space="preserve">Lancome Pó Compacto Teint Idole Ultra We</t>
  </si>
  <si>
    <t xml:space="preserve">Jean Paul Divine Elixir 15ml</t>
  </si>
  <si>
    <t xml:space="preserve">Mahogany Sab Refil Style Pleasures 1.2l </t>
  </si>
  <si>
    <t xml:space="preserve">Perfume Masc Eau De Parfum - Ralph Laure</t>
  </si>
  <si>
    <t xml:space="preserve">Base Em Stick Lancôme Teint Idôle Ultra </t>
  </si>
  <si>
    <t xml:space="preserve">Lady Million Royal Rabanne Edp Feminino </t>
  </si>
  <si>
    <t xml:space="preserve">Rabanne Lady Million Royal Eau De Parfum</t>
  </si>
  <si>
    <t xml:space="preserve">Armaf Delights Island Bliss Edp 100ml | </t>
  </si>
  <si>
    <t xml:space="preserve">Arsenal Blue Edp 100ml Masculino | Origi</t>
  </si>
  <si>
    <t xml:space="preserve">Animale Eau De Parfum ( Edp ) 100ml Femi</t>
  </si>
  <si>
    <t xml:space="preserve">Shiseido Synchro Skin Radiant Lifting Ba</t>
  </si>
  <si>
    <t xml:space="preserve">Perfume Versace Blue Jeans 75ml</t>
  </si>
  <si>
    <t xml:space="preserve">Chloé Nomade Eau De Parfum 30ml Feminino</t>
  </si>
  <si>
    <t xml:space="preserve">Perfume Arsenal Gold Eau De Parfum 100ml</t>
  </si>
  <si>
    <t xml:space="preserve">Perfume Zino Davidoff 125ml Masculino | </t>
  </si>
  <si>
    <t xml:space="preserve">Nina Le Perfume 50 Ml</t>
  </si>
  <si>
    <t xml:space="preserve">Mercedes Benz Man 100ml Masculino | Orig</t>
  </si>
  <si>
    <t xml:space="preserve">Shiseido Synchro Skin Self-refreshing Ba</t>
  </si>
  <si>
    <t xml:space="preserve">Armaf Dunescape Extrait De Parfum 100ml </t>
  </si>
  <si>
    <t xml:space="preserve">Perfume Nina Ricci L'air Du Temps Eau De</t>
  </si>
  <si>
    <t xml:space="preserve">Mercedes Benz Sign Your Power Eau De Par</t>
  </si>
  <si>
    <t xml:space="preserve">Amarige ( Tradicional ) 30ml Feminino | </t>
  </si>
  <si>
    <t xml:space="preserve">Wella Oleo Oil Reflections 100ml</t>
  </si>
  <si>
    <t xml:space="preserve">Perfume Armaf Club De Nuit Woman 105ml E</t>
  </si>
  <si>
    <t xml:space="preserve">Perfume Yara Candy Lattafa Edp 100 Ml</t>
  </si>
  <si>
    <t xml:space="preserve">Wella Ultimate Luxoil Máscara Capilar Co</t>
  </si>
  <si>
    <t xml:space="preserve">Hugo Boss Bottled The Scent Elixir Femin</t>
  </si>
  <si>
    <t xml:space="preserve">Moschino Fresh Couture Original Edt 100m</t>
  </si>
  <si>
    <t xml:space="preserve">Perfume Davidoff Cool Elixir Parfum Inte</t>
  </si>
  <si>
    <t xml:space="preserve">Chloé Nomade Lumière D'égypte - Perfume </t>
  </si>
  <si>
    <t xml:space="preserve">Moschino Toy Boy Edp - Perfume Masculino</t>
  </si>
  <si>
    <t xml:space="preserve">Dolce &amp; Gabbana Light Blue ( Tradicional</t>
  </si>
  <si>
    <t xml:space="preserve">Perfume Nina Ricci Nina Eau De Parfum 30</t>
  </si>
  <si>
    <t xml:space="preserve">Chloé Nomade Lumière D'égypte Eau De Par</t>
  </si>
  <si>
    <t xml:space="preserve">Perfume Nautica Voyage Heritage Masculin</t>
  </si>
  <si>
    <t xml:space="preserve">Perfume Chloé Nómade Eau De Parfum 30ml </t>
  </si>
  <si>
    <t xml:space="preserve">Dylan Blue Pour Homme Versace Edt - Perf</t>
  </si>
  <si>
    <t xml:space="preserve">Perfume Masculino Versace Dylan Blue Edt</t>
  </si>
  <si>
    <t xml:space="preserve">Jean Paul Le Male Eau De Toilette Mascul</t>
  </si>
  <si>
    <t xml:space="preserve">Shampoo Silver Gray Intense 300ml Mahoga</t>
  </si>
  <si>
    <t xml:space="preserve">Shiseido Skin Glow Foundation Pine 320 -</t>
  </si>
  <si>
    <t xml:space="preserve">Mahogany Deo Stark Body Spray 200ml Volu</t>
  </si>
  <si>
    <t xml:space="preserve">Mahogany Mel Das Flores - Perfume Femini</t>
  </si>
  <si>
    <t xml:space="preserve">Antonio Banderas The Secret Absolu Edp M</t>
  </si>
  <si>
    <t xml:space="preserve">Perfume Masculino Hugo Man Eau De Toilet</t>
  </si>
  <si>
    <t xml:space="preserve">Perfume Versace Dylan Purple Pour Femme </t>
  </si>
  <si>
    <t xml:space="preserve">Dolce&amp;gabbana Light Blue Edt - Perfume F</t>
  </si>
  <si>
    <t xml:space="preserve">Mercedes Benz Man Private Eau De Parfum </t>
  </si>
  <si>
    <t xml:space="preserve">Versace Dylan Blue Pour Femme Edp 30ml F</t>
  </si>
  <si>
    <t xml:space="preserve">Cutelo Profissional Bestfer Aço Manganês</t>
  </si>
  <si>
    <t xml:space="preserve">Antonio Banderas Seduction In Black Edt </t>
  </si>
  <si>
    <t xml:space="preserve">Lancome Base La Base Pro 25ml Prateado</t>
  </si>
  <si>
    <t xml:space="preserve">Rabanne Calandre Eau De Toilette 100ml -</t>
  </si>
  <si>
    <t xml:space="preserve">Coffret Azzaro Pour Homme Eau De Toilett</t>
  </si>
  <si>
    <t xml:space="preserve">Perfume Armaf Odyssey Mandarin Sky Elixi</t>
  </si>
  <si>
    <t xml:space="preserve">Perfume Nautica Blue Eau De Toilette Mas</t>
  </si>
  <si>
    <t xml:space="preserve">Queen Of Seduction Lively Muse Antonio B</t>
  </si>
  <si>
    <t xml:space="preserve">Lancôme La Vie Est Belle Rose Extraordin</t>
  </si>
  <si>
    <t xml:space="preserve">Armaf Club De Nuit Sillage Edp 105ml | O</t>
  </si>
  <si>
    <t xml:space="preserve">Versace Bright Crystal Eau De Toilette (</t>
  </si>
  <si>
    <t xml:space="preserve">Perfume Versace Crystal Emerald Eau De P</t>
  </si>
  <si>
    <t xml:space="preserve">Armaf Club De Nuit Milestone Edp 105ml |</t>
  </si>
  <si>
    <t xml:space="preserve">Perfume Ange Ou Démon Eau De Parfum 30ml</t>
  </si>
  <si>
    <t xml:space="preserve"> Shiseido Clarifying Cleansing - Espuma </t>
  </si>
  <si>
    <t xml:space="preserve">Shiseido Espuma De Limpeza Profunda - De</t>
  </si>
  <si>
    <t xml:space="preserve">Good Girl Body Mist Carolina Herrera Eau</t>
  </si>
  <si>
    <t xml:space="preserve">Shiseido Revitalessence Skin Glow Primer</t>
  </si>
  <si>
    <t xml:space="preserve">Banderas Blue Seduction For Men 200ml</t>
  </si>
  <si>
    <t xml:space="preserve">Perfume Nautica Rose Island Feminino Eau</t>
  </si>
  <si>
    <t xml:space="preserve">Versace Eros Parfum Masculino - 200ml</t>
  </si>
  <si>
    <t xml:space="preserve">Animale Seduction Edp 100ml Feminino | O</t>
  </si>
  <si>
    <t xml:space="preserve">Sabonete Liquido Style Mahogany</t>
  </si>
  <si>
    <t xml:space="preserve">Shiseido Clarifying Cleansing - Espuma D</t>
  </si>
  <si>
    <t xml:space="preserve">Nautica Rose Island Eau De Parfum - Perf</t>
  </si>
  <si>
    <t xml:space="preserve">Blush Em Pó Lancôme Blush Subtl Aie Aie </t>
  </si>
  <si>
    <t xml:space="preserve">Shiseido Uv Protective Spf 36 - Pó Facia</t>
  </si>
  <si>
    <t xml:space="preserve">Banderas The Golden Secret Masculino Edt</t>
  </si>
  <si>
    <t xml:space="preserve">Eau De Toilette Mahogany Orquídea Sublim</t>
  </si>
  <si>
    <t xml:space="preserve">Wella Blondorplex Lotion 145ml</t>
  </si>
  <si>
    <t xml:space="preserve">Perfume Femino Her Secret Pink Absolu Ea</t>
  </si>
  <si>
    <t xml:space="preserve">Burberry Her Edp 30ml</t>
  </si>
  <si>
    <t xml:space="preserve">Carolina Herrera 212 Men Eau De Toilette</t>
  </si>
  <si>
    <t xml:space="preserve">Versace Pour Homme Eau De Toilette 30ml </t>
  </si>
  <si>
    <t xml:space="preserve">Cera Extreme Gloss Black &amp; Dark 200g Sof</t>
  </si>
  <si>
    <t xml:space="preserve">Canivete Phanton Coyote Invictus Aço Que</t>
  </si>
  <si>
    <t xml:space="preserve">Protetor Solar Biosole Fluido Fps 98 Méd</t>
  </si>
  <si>
    <t xml:space="preserve">Perfume Burberry Brit For Men 100ml - Ea</t>
  </si>
  <si>
    <t xml:space="preserve">Lancôme Demaquilante Bi Facil 125ml - Or</t>
  </si>
  <si>
    <t xml:space="preserve">Perfume Feminino Lancôme Idôle Nectar Ed</t>
  </si>
  <si>
    <t xml:space="preserve">Mochila Invictus Assault Urban 35 Litros</t>
  </si>
  <si>
    <t xml:space="preserve">Elizabeth Arden Green Tea Eau De Toilett</t>
  </si>
  <si>
    <t xml:space="preserve">Lattafa Victoria Eau De Parfum 100ml | O</t>
  </si>
  <si>
    <t xml:space="preserve">Lattafa Asad Asad Masculino Eau De Parfu</t>
  </si>
  <si>
    <t xml:space="preserve">Joop Homme Masculino 200ml</t>
  </si>
  <si>
    <t xml:space="preserve">Perfume Sisterland Yellow Peony Benetton</t>
  </si>
  <si>
    <t xml:space="preserve">Perfume Feminino Signature Absolue Montb</t>
  </si>
  <si>
    <t xml:space="preserve">Kit Jacques Bogart Silver Scent 100ml + </t>
  </si>
  <si>
    <t xml:space="preserve">Shiseido Synchro Skin Radiant Lifting Co</t>
  </si>
  <si>
    <t xml:space="preserve">Óleo Para Banho Mahogany English Rose 24</t>
  </si>
  <si>
    <t xml:space="preserve">Perfume Nina Eau De Toilette ( Edt ) 30m</t>
  </si>
  <si>
    <t xml:space="preserve">Calvin Klein Defy 100ml Masculino | Orig</t>
  </si>
  <si>
    <t xml:space="preserve">Perfume Calvin Klein Defy Edt 100ml Calv</t>
  </si>
  <si>
    <t xml:space="preserve">Base De Maquiagem Em Pó Shiseido Synchro</t>
  </si>
  <si>
    <t xml:space="preserve">Idôle Body Up Scented Body Lotion 200ml</t>
  </si>
  <si>
    <t xml:space="preserve">Versace Tradicional Pour Homme Ph Edt 30</t>
  </si>
  <si>
    <t xml:space="preserve">Benetton Dreams Love Yourself Edt - Perf</t>
  </si>
  <si>
    <t xml:space="preserve">Fragrância Uma Tarde Na Toscana 100ml Ma</t>
  </si>
  <si>
    <t xml:space="preserve">Soquete Flexível Bestfer E27 60cm Bivolt</t>
  </si>
  <si>
    <t xml:space="preserve">Body Splash Lattafa 250ml - Angham Mist</t>
  </si>
  <si>
    <t xml:space="preserve">Kit Davidoff Cool Water Woman 100ml Femi</t>
  </si>
  <si>
    <t xml:space="preserve">Davidoff Cool Water Woman Edt Feminino +</t>
  </si>
  <si>
    <t xml:space="preserve">Perfume The Scent Magnetic For Her Femin</t>
  </si>
  <si>
    <t xml:space="preserve">Moschino Toy 2 Bubble Gum Edt Feminino 3</t>
  </si>
  <si>
    <t xml:space="preserve">Shiseido Refil Pó Compacto - Light Ochre</t>
  </si>
  <si>
    <t xml:space="preserve">Perfume Armaf Tag Uomo Rosso Edp 100ml |</t>
  </si>
  <si>
    <t xml:space="preserve">5th Avenue Elizabeth Arden Eau De Parfum</t>
  </si>
  <si>
    <t xml:space="preserve">Hair Mist Rabanne Fame ( Perfume Para O </t>
  </si>
  <si>
    <t xml:space="preserve">Tommy Girl ( Tradicional ) 50ml Feminino</t>
  </si>
  <si>
    <t xml:space="preserve">Calvin Klein Ck One Reflections 100ml | </t>
  </si>
  <si>
    <t xml:space="preserve">Hugo Boss Hugo Iced 75ml Masculino | Ori</t>
  </si>
  <si>
    <t xml:space="preserve">Perfume Affection Love Lattafa Pride Eau</t>
  </si>
  <si>
    <t xml:space="preserve">Perfume Armaf Club De Nuit Milestone 105</t>
  </si>
  <si>
    <t xml:space="preserve">Perfume Hugo Man Eau De Toilette 75ml Ma</t>
  </si>
  <si>
    <t xml:space="preserve">Perfume Masculino E Feminino One Reflect</t>
  </si>
  <si>
    <t xml:space="preserve">Perfume Nina Ricci Nina Rouge ( Tradicio</t>
  </si>
  <si>
    <t xml:space="preserve">Toy 2 Moschino Edp - Perfume Feminino 30</t>
  </si>
  <si>
    <t xml:space="preserve">Idôle Lancôme, Perfume Feminino, Eau De </t>
  </si>
  <si>
    <t xml:space="preserve">Demaquilante Shiseido Water 180ml</t>
  </si>
  <si>
    <t xml:space="preserve">Shiseido Ginza Tokyo - Demaquilante P/ O</t>
  </si>
  <si>
    <t xml:space="preserve">Hugo Jeans 75ml Masculino | Original + A</t>
  </si>
  <si>
    <t xml:space="preserve">Davidoff Cool Water 30ml Feminino | Orig</t>
  </si>
  <si>
    <t xml:space="preserve">Sabonete Facial Super Fluido Hyaluronic </t>
  </si>
  <si>
    <t xml:space="preserve">Mont Blanc Signature Fem Edp 30ml</t>
  </si>
  <si>
    <t xml:space="preserve">Shiseido Serum De Volume Para Cilios E S</t>
  </si>
  <si>
    <t xml:space="preserve">Eros Flame Versace Masculino Edp 30ml</t>
  </si>
  <si>
    <t xml:space="preserve">Desodorante Em Spray Carolina Herrera Fr</t>
  </si>
  <si>
    <t xml:space="preserve">Versace Fraiche Masc 30ml</t>
  </si>
  <si>
    <t xml:space="preserve">Perfume Masculino Benetton We Are Tribe </t>
  </si>
  <si>
    <t xml:space="preserve">Wella Professionals Blondor Multi Blonde</t>
  </si>
  <si>
    <t xml:space="preserve">Banderas Her Golden  Secret Eau De Toile</t>
  </si>
  <si>
    <t xml:space="preserve">Versace Eros Flame Original Edp 30ml Par</t>
  </si>
  <si>
    <t xml:space="preserve">Perfume Versace Red Jeans Eau De Toilett</t>
  </si>
  <si>
    <t xml:space="preserve">Nautica Voyage Intense Masculino Eau De </t>
  </si>
  <si>
    <t xml:space="preserve">Polo 67 Ralph Lauren Perfume Masculino E</t>
  </si>
  <si>
    <t xml:space="preserve">Wella Professionals Ultimate Repair Leav</t>
  </si>
  <si>
    <t xml:space="preserve">Davidoof Coolwater Men Edt - Perfume Mas</t>
  </si>
  <si>
    <t xml:space="preserve">Silver Scent Aqua Edp 100ml Masculino | </t>
  </si>
  <si>
    <t xml:space="preserve">Wella Oil Reflections Shampoo 1l</t>
  </si>
  <si>
    <t xml:space="preserve">Sabonete Líquido Jardin Des Roses 400ml </t>
  </si>
  <si>
    <t xml:space="preserve">Mahogany Fragrância Dsgn Woman 100ml</t>
  </si>
  <si>
    <t xml:space="preserve">Hidratante Corporal Maximum Care Vital D</t>
  </si>
  <si>
    <t xml:space="preserve">Lattafa Yara Candy Eau De Parfum 100ml |</t>
  </si>
  <si>
    <t xml:space="preserve">Silver Scent Aqua Jacques Bogart Eau De </t>
  </si>
  <si>
    <t xml:space="preserve">Lancome Confort Hand Cream 75ml</t>
  </si>
  <si>
    <t xml:space="preserve">Hugo Man Hugo Boss Edt - Perfume Masculi</t>
  </si>
  <si>
    <t xml:space="preserve">Mahogany Refil Sab Liq Calendula 1.2l</t>
  </si>
  <si>
    <t xml:space="preserve">Hair Mist Good Girl ( Perfume Para O Cab</t>
  </si>
  <si>
    <t xml:space="preserve">Nina Ricci Nina Le Parfum Edp - Perfume </t>
  </si>
  <si>
    <t xml:space="preserve">Perfume Legend Eau De Toilette Masculino</t>
  </si>
  <si>
    <t xml:space="preserve">Shiseido Refil Pó Compacto - Fair Ivory </t>
  </si>
  <si>
    <t xml:space="preserve">Lápis Delineador Drama Liquid Lancôme 06</t>
  </si>
  <si>
    <t xml:space="preserve">Perfume Armaf Island Bliss Delights 100 </t>
  </si>
  <si>
    <t xml:space="preserve">Shiseido Refil Pó Compacto - Medium Ochr</t>
  </si>
  <si>
    <t xml:space="preserve">Hair Mist Good Girl - Perfume Para O Cab</t>
  </si>
  <si>
    <t xml:space="preserve">Wella Professionals Kit Invigo Sun Shamp</t>
  </si>
  <si>
    <t xml:space="preserve">Moschino I Love Love Edt 50ml</t>
  </si>
  <si>
    <t xml:space="preserve">Carolina Herrera 212 Vip Rosé Fragranced</t>
  </si>
  <si>
    <t xml:space="preserve">Shiseido Controlledchaos Mascaraink - 01</t>
  </si>
  <si>
    <t xml:space="preserve">Attar Al Wesal Eau De Parfum 100ml | Ori</t>
  </si>
  <si>
    <t xml:space="preserve">Lattafa Asad ( Tradicional ) 100ml | Ori</t>
  </si>
  <si>
    <t xml:space="preserve">Hair Mist 212 Vip Rosé ( Perfume Para Ca</t>
  </si>
  <si>
    <t xml:space="preserve">Desodorante Spray Carolina Herrera Ch Me</t>
  </si>
  <si>
    <t xml:space="preserve">Al Wataniah Watani Edp 100ml Feminino | </t>
  </si>
  <si>
    <t xml:space="preserve">Lattafa Fakhar Extrait ( Gold ) 100ml | </t>
  </si>
  <si>
    <t xml:space="preserve">Wella Professionals Ultimate Repair Nigh</t>
  </si>
  <si>
    <t xml:space="preserve">Mahogany Sab Liq Lavanda E Algodao 1.2l</t>
  </si>
  <si>
    <t xml:space="preserve">Davidoff Cool Water Woman Edt - Perfume </t>
  </si>
  <si>
    <t xml:space="preserve">The Icon Banderas Eau De Parfum - Perfum</t>
  </si>
  <si>
    <t xml:space="preserve">Chloé Signature Intense L'eau De Parfum </t>
  </si>
  <si>
    <t xml:space="preserve">Burberry Goddess Parfum Perfume Feminino</t>
  </si>
  <si>
    <t xml:space="preserve">Nautica Voyage Nautica Edt - Perfume Mas</t>
  </si>
  <si>
    <t xml:space="preserve">Compressas Para Seios 3 Em 1 Therapearl </t>
  </si>
  <si>
    <t xml:space="preserve">Mahogany Emulsão Perfumada English Rose </t>
  </si>
  <si>
    <t xml:space="preserve">Lattafa Perfume Yara Tous Eau De Parfum </t>
  </si>
  <si>
    <t xml:space="preserve">Mahogany Óleo Em Creme Pós Banho 400 Ml </t>
  </si>
  <si>
    <t xml:space="preserve">Al Wataniah Sabah Al Ward Eau De Parfum </t>
  </si>
  <si>
    <t xml:space="preserve">Desodorante 212 150ml Feminino 212</t>
  </si>
  <si>
    <t xml:space="preserve">Moschino I Love Love 30ml Feminino | Ori</t>
  </si>
  <si>
    <t xml:space="preserve">Carolina Herrera Good Girl Hair Mist 30m</t>
  </si>
  <si>
    <t xml:space="preserve">Shiseido Pincel Base Hasu - 1und Cor Pre</t>
  </si>
  <si>
    <t xml:space="preserve">Mahogany Hidratante Glam 300ml - Origina</t>
  </si>
  <si>
    <t xml:space="preserve">Al Wataniah Ghala Edp 100ml Feminino | O</t>
  </si>
  <si>
    <t xml:space="preserve">Mahogany Style Pleasures Oleo Para Banho</t>
  </si>
  <si>
    <t xml:space="preserve">Blue Jeans Versace Masc Edp 75ml</t>
  </si>
  <si>
    <t xml:space="preserve">Shiseido The Skincare Facial Cotton - Al</t>
  </si>
  <si>
    <t xml:space="preserve">Al Wataniah Watani Eau De Parfum 100ml F</t>
  </si>
  <si>
    <t xml:space="preserve">Al Wataniah Kenz Al Malik Edp 100ml Masc</t>
  </si>
  <si>
    <t xml:space="preserve">Carolina Herrera 212 Men Body Spray 250m</t>
  </si>
  <si>
    <t xml:space="preserve">Desodorante Spray Phantom 150ml | Origin</t>
  </si>
  <si>
    <t xml:space="preserve">Banho Perfumado Desodorante Corporal Lav</t>
  </si>
  <si>
    <t xml:space="preserve">Wella Nutri-enrich Warming Express Másc </t>
  </si>
  <si>
    <t xml:space="preserve">Sabonete Líquido Masculino Multifunciona</t>
  </si>
  <si>
    <t xml:space="preserve">Perfume Armaf Tag-him Pour Homme 100ml -</t>
  </si>
  <si>
    <t xml:space="preserve">Perfume Moschino Funny! Edt 25ml Feminin</t>
  </si>
  <si>
    <t xml:space="preserve">Batom Matte 217 Nude Shot, L'absolu Roug</t>
  </si>
  <si>
    <t xml:space="preserve">Boss The Scent Magnetic For Him 50ml</t>
  </si>
  <si>
    <t xml:space="preserve">Al Wataniah Duha Eau De Parfum 100ml Fem</t>
  </si>
  <si>
    <t xml:space="preserve">Moschino I Love Love Eau De Toilette 30m</t>
  </si>
  <si>
    <t xml:space="preserve">Belt Clip Invictus Cor Preto Tamanho U</t>
  </si>
  <si>
    <t xml:space="preserve">Saco De Armazenamento De Leite Materno 2</t>
  </si>
  <si>
    <t xml:space="preserve">Antonio Banderas The Icon Elixir Edp - M</t>
  </si>
  <si>
    <t xml:space="preserve">Benetton Colors Man Black Eau De Toilett</t>
  </si>
  <si>
    <t xml:space="preserve">Good Girl Carolina Herrera Perfume Femin</t>
  </si>
  <si>
    <t xml:space="preserve">Antonio Bandeiras The Icon Attitude Edp </t>
  </si>
  <si>
    <t xml:space="preserve">Manteiga Hidratante Corporal Mahogany Gl</t>
  </si>
  <si>
    <t xml:space="preserve">Fragrância Bitter Flower 100 Ml Mahogany</t>
  </si>
  <si>
    <t xml:space="preserve">Batom Absolu Rouge Intimatte 247 Lâncome</t>
  </si>
  <si>
    <t xml:space="preserve">Banderas Seduction In Black 200ml | Ganh</t>
  </si>
  <si>
    <t xml:space="preserve">Perfume Gabriela Sabatini Eau De Toilett</t>
  </si>
  <si>
    <t xml:space="preserve">Al Wataniah Sabah Al Ward Edp 100ml Femi</t>
  </si>
  <si>
    <t xml:space="preserve">Ultimate Repair Passo 5 Night Serum 30ml</t>
  </si>
  <si>
    <t xml:space="preserve">Perfume Cool Water Woman Eau De Toilette</t>
  </si>
  <si>
    <t xml:space="preserve">Antonio Bandeiras Blue Seduction Masc 10</t>
  </si>
  <si>
    <t xml:space="preserve">Banderas Her Secret Desire 80ml Feminino</t>
  </si>
  <si>
    <t xml:space="preserve">212 Men Body Spray 250ml | Original + Am</t>
  </si>
  <si>
    <t xml:space="preserve">Banderas Blue Seduction Eau De Toilette </t>
  </si>
  <si>
    <t xml:space="preserve">Al Wataniah Eqaab Edp 100ml Masculino</t>
  </si>
  <si>
    <t xml:space="preserve">The Icon Attitude Eau De Parfum ( Edp ) </t>
  </si>
  <si>
    <t xml:space="preserve">Jacques Bogart Silver Scent Gel De Banho</t>
  </si>
  <si>
    <t xml:space="preserve">Benetton Sisterland Yellow Peony 80ml Fe</t>
  </si>
  <si>
    <t xml:space="preserve">Benetton We Are Tribe Intense Edp 90ml M</t>
  </si>
  <si>
    <t xml:space="preserve">Benetton Colors Man Black Intenso Mascul</t>
  </si>
  <si>
    <t xml:space="preserve">Banderas King Of Seduction Absolute 200m</t>
  </si>
  <si>
    <t xml:space="preserve">Lanterna Tática Corvus U2 C/ Bateria Rec</t>
  </si>
  <si>
    <t xml:space="preserve">Perfume Antonio Banderas Seduction In Bl</t>
  </si>
  <si>
    <t xml:space="preserve">Wella Oleo Ultimate Luxeoil Oleo Capilar</t>
  </si>
  <si>
    <t xml:space="preserve">Benetton Colors Black Man Intenso Edp 10</t>
  </si>
  <si>
    <t xml:space="preserve">Color Brilliance Mask Cond 500ml Sc</t>
  </si>
  <si>
    <t xml:space="preserve">Perfume Banderas Black Seduction Edt 100</t>
  </si>
  <si>
    <t xml:space="preserve">The Secret Antonio Banderas Edt 200ml Or</t>
  </si>
  <si>
    <t xml:space="preserve">Antonio Banderas The Secret Masculino 20</t>
  </si>
  <si>
    <t xml:space="preserve">Antonio Banderas Her Golden Secret Edt -</t>
  </si>
  <si>
    <t xml:space="preserve">Mini Otoscopio Mikatos Led Cor Azul</t>
  </si>
  <si>
    <t xml:space="preserve">Mahogany Glam Perfume 100ml</t>
  </si>
  <si>
    <t xml:space="preserve">Power Of Seduction Intense Ice 100ml | O</t>
  </si>
  <si>
    <t xml:space="preserve">Canivete Tático Javi Aço D2 Invictus Cor</t>
  </si>
  <si>
    <t xml:space="preserve">Fragrância Desodorante Corporal Glam 100</t>
  </si>
  <si>
    <t xml:space="preserve">Perfume Benetton United Dreams Love Your</t>
  </si>
  <si>
    <t xml:space="preserve">Mahogany Fragrancia Belle Pour Amour Edt</t>
  </si>
  <si>
    <t xml:space="preserve">Benetton Tribe Play Edt  - Perfume Mascu</t>
  </si>
  <si>
    <t xml:space="preserve">Gabriela Sabatini Eau De Toilette - Perf</t>
  </si>
  <si>
    <t xml:space="preserve">Wella Enrich Wonder Balm 150ml</t>
  </si>
  <si>
    <t xml:space="preserve">Wella Máscara Oil Reflections 500ml</t>
  </si>
  <si>
    <t xml:space="preserve">Mahogany Fragrância Flor De Cerejeira 10</t>
  </si>
  <si>
    <t xml:space="preserve">Perfume Queen Of Seduction 80ml Feminino</t>
  </si>
  <si>
    <t xml:space="preserve">Joop! Wow! 60ml Masculino | Original + A</t>
  </si>
  <si>
    <t xml:space="preserve">King Of Seduction Absolute Antonio Bande</t>
  </si>
  <si>
    <t xml:space="preserve">Wella Oil Reflections Mask 150 Ml </t>
  </si>
  <si>
    <t xml:space="preserve">Al Wataniah Durrat Al Aroos Edp Mujer 85</t>
  </si>
  <si>
    <t xml:space="preserve">Mahogany Creme Tratamento Pes Foot Care </t>
  </si>
  <si>
    <t xml:space="preserve">Perfume Benetton United Colors Sisterlan</t>
  </si>
  <si>
    <t xml:space="preserve">Moschino So Real Cheap &amp; Chic Feminino 3</t>
  </si>
  <si>
    <t xml:space="preserve">Mahogany Frag Make Me Fever Off White 10</t>
  </si>
  <si>
    <t xml:space="preserve">Mahogany Vital Dermo Hidratante Reparado</t>
  </si>
  <si>
    <t xml:space="preserve">Mahogany Fragrancia Orquidea Sublime 100</t>
  </si>
  <si>
    <t xml:space="preserve">Mahogany Fragrancia La Bella Italia 100m</t>
  </si>
  <si>
    <t xml:space="preserve">Seduction In Black Antonio Banderas 200m</t>
  </si>
  <si>
    <t xml:space="preserve">Mahogany Fragrância Desodorante Style Pl</t>
  </si>
  <si>
    <t xml:space="preserve">Perfume Nautica For Her Jasmine Coast Ea</t>
  </si>
  <si>
    <t xml:space="preserve">Hidratante Corporal Glam 300ml Mahogany </t>
  </si>
  <si>
    <t xml:space="preserve">Mahogany Creme Para Barbear Stark 110g  </t>
  </si>
  <si>
    <t xml:space="preserve">Mahogany Fragrância Des. For Men 100ml</t>
  </si>
  <si>
    <t xml:space="preserve">Mahogany Fragrância Des. English Rose 10</t>
  </si>
  <si>
    <t xml:space="preserve">Mahogany Kit Make Me Fever Rose Sab Liq </t>
  </si>
  <si>
    <t xml:space="preserve">Mahogany Kit Flor De Cerejeira Splash 25</t>
  </si>
  <si>
    <t xml:space="preserve">Perfume Banderas The Secret Absolu Eau D</t>
  </si>
  <si>
    <t xml:space="preserve">Mahogany Perfume Feminino Jardin Des Ros</t>
  </si>
  <si>
    <t xml:space="preserve">Nautica Voyage Edt Masculino 100ml</t>
  </si>
  <si>
    <t xml:space="preserve">Mahogany Jadin Des Roses 100ml</t>
  </si>
  <si>
    <t xml:space="preserve">Perfume Benetton United Colors We Are Tr</t>
  </si>
  <si>
    <t xml:space="preserve">Blue Seduction For Woman Antonio Bandera</t>
  </si>
  <si>
    <t xml:space="preserve">Acqua Micellare Ada Tina Solução Micelar</t>
  </si>
  <si>
    <t xml:space="preserve">Nautica Voyage 100ml Masculino | Origina</t>
  </si>
  <si>
    <t xml:space="preserve">Ameeri Al Wataniah Eau De Parfum 100ml M</t>
  </si>
  <si>
    <t xml:space="preserve">Queen Of Seduction Antonio Banderas Edt </t>
  </si>
  <si>
    <t xml:space="preserve">Mahogany Fragrância Rosewood 100ml</t>
  </si>
  <si>
    <t xml:space="preserve">Hidratante Corporal Style Pleasures 350m</t>
  </si>
  <si>
    <t xml:space="preserve">Mahogany Fragrância Desodorante Corporal</t>
  </si>
  <si>
    <t xml:space="preserve">Perfume Banderas The Icon Eau De Parfum </t>
  </si>
  <si>
    <t xml:space="preserve">Mahogany Mirage Woman 100ml </t>
  </si>
  <si>
    <t xml:space="preserve">Protetor Solar Pure C Fps 50 Vitamina C </t>
  </si>
  <si>
    <t xml:space="preserve">Fones De Ouvido True Wireless Tat1139bk/</t>
  </si>
  <si>
    <t xml:space="preserve">Ferro Seco Black+decker Cromado Alumínio</t>
  </si>
  <si>
    <t xml:space="preserve">Mahogany Wild E Free Fem 100ml</t>
  </si>
  <si>
    <t xml:space="preserve">Mahogany Fragrância Desodorante Zanzibar</t>
  </si>
  <si>
    <t xml:space="preserve">Voyage N-83 Nautica Edt - Perfume Mascul</t>
  </si>
  <si>
    <t xml:space="preserve">Wella Oleo Oil Reflections Light 30ml</t>
  </si>
  <si>
    <t xml:space="preserve">Mahogany Óleo Iluminador Corporal Charlo</t>
  </si>
  <si>
    <t xml:space="preserve">Perfume Jasmin D'egypte Mahogany</t>
  </si>
  <si>
    <t xml:space="preserve">Mahogany Deo Roll-on For Men 85ml Fragrâ</t>
  </si>
  <si>
    <t xml:space="preserve">Body Spray Silver Scent Intense 200ml | </t>
  </si>
  <si>
    <t xml:space="preserve">Kit Gabriela Sabatini Edt 30ml + Necessa</t>
  </si>
  <si>
    <t xml:space="preserve">Wella Professionals Invigo Volume Boost </t>
  </si>
  <si>
    <t xml:space="preserve">Mahogany Fragrância Bitter Flower 100ml</t>
  </si>
  <si>
    <t xml:space="preserve">Mahogany Style Pleasures - Óleo Para Ban</t>
  </si>
  <si>
    <t xml:space="preserve">Mahogany Zanzibar Óleo Em Creme Corporal</t>
  </si>
  <si>
    <t xml:space="preserve">Mahogany Hid Uma Tarde Na Toscana 350ml </t>
  </si>
  <si>
    <t xml:space="preserve">Mahogany Refil Style Pleasures - Hidrata</t>
  </si>
  <si>
    <t xml:space="preserve">Tonalizante Wella Color Touch Profession</t>
  </si>
  <si>
    <t xml:space="preserve">Silver Scent Intense Body Spray 200ml Ma</t>
  </si>
  <si>
    <t xml:space="preserve">Soft99 Extreme Gloss Kiwami 200g Carnaúb</t>
  </si>
  <si>
    <t xml:space="preserve">Silver Scent Body Spray 200ml Masculino </t>
  </si>
  <si>
    <t xml:space="preserve">Gabriela Sabatini 30ml Feminino</t>
  </si>
  <si>
    <t xml:space="preserve">Mahogany Sabonete Liquido La Bella Itali</t>
  </si>
  <si>
    <t xml:space="preserve">Mahogany Fragrância Índia Misteriosa 100</t>
  </si>
  <si>
    <t xml:space="preserve">Wella Color Touch 4% - Emulsão Revelador</t>
  </si>
  <si>
    <t xml:space="preserve">Grampeador Pinador Tapaceiro Profissiona</t>
  </si>
  <si>
    <t xml:space="preserve">Mahogany Óleo Para Banho Marigold 240ml</t>
  </si>
  <si>
    <t xml:space="preserve">Hidratante Make Me Fever Off White 300ml</t>
  </si>
  <si>
    <t xml:space="preserve">Lattafa Mayar Natural Intense Body Splas</t>
  </si>
  <si>
    <t xml:space="preserve">Mahogany Hidratante Glam 300ml Glam</t>
  </si>
  <si>
    <t xml:space="preserve">Mahogany Hidratante Make Me Fever Gold 3</t>
  </si>
  <si>
    <t xml:space="preserve">Mahogany Sab Liq English Rose 400ml</t>
  </si>
  <si>
    <t xml:space="preserve">Mahogany Silver Gray Intense - Shampoo 3</t>
  </si>
  <si>
    <t xml:space="preserve">Tintura Wella Professionals Color Touch </t>
  </si>
  <si>
    <t xml:space="preserve">Hidratante Corporal Jardin Des Roses 350</t>
  </si>
  <si>
    <t xml:space="preserve">Mahogany Hid Manteiga Style Pleasures 20</t>
  </si>
  <si>
    <t xml:space="preserve">Tintura Wella Professionals Color Perfec</t>
  </si>
  <si>
    <t xml:space="preserve">Tintura Wella Color Touchtom 3/0 Castanh</t>
  </si>
  <si>
    <t xml:space="preserve">Mahogany Desodorante Roll-on For Men 85m</t>
  </si>
  <si>
    <t xml:space="preserve">Desentupidor Aço 10m Manual P/ Cano Ralo</t>
  </si>
  <si>
    <t xml:space="preserve">Mahogany Jasmin D'egypte - Hidratante Co</t>
  </si>
  <si>
    <t xml:space="preserve">Mahogany Deo Vital Roll-on Effect Protec</t>
  </si>
  <si>
    <t xml:space="preserve">Mahogany Hidratante Orquidea Sublime 120</t>
  </si>
  <si>
    <t xml:space="preserve">Hidratante Corporal Masculino Stark 300m</t>
  </si>
  <si>
    <t xml:space="preserve">Wella Color Perfect 5-0 Castanho Claro 6</t>
  </si>
  <si>
    <t xml:space="preserve">Sacos De Armazenamento De Leite Lansinoh</t>
  </si>
  <si>
    <t xml:space="preserve">Mahogany Desodorante Roll-on Clinical Pr</t>
  </si>
  <si>
    <t xml:space="preserve">Desodorante Roll On Mahogany English Ros</t>
  </si>
  <si>
    <t xml:space="preserve">Gabriela Sabatini Body Spray - 75ml</t>
  </si>
  <si>
    <t xml:space="preserve">Tintura Wella Color Perfect Deep Brownst</t>
  </si>
  <si>
    <t xml:space="preserve">Wella Color Perfect Pure N. 6/0 60ml - C</t>
  </si>
  <si>
    <t xml:space="preserve">Wella Welloxon Perfect Oxidante 6% 20v 6</t>
  </si>
  <si>
    <t xml:space="preserve">Categoria (predominante)</t>
  </si>
  <si>
    <t xml:space="preserve">Nº Anúncios Total</t>
  </si>
  <si>
    <t xml:space="preserve">Nº Concorrentes que vendem</t>
  </si>
  <si>
    <t xml:space="preserve">Vendida pelos 3?</t>
  </si>
  <si>
    <t xml:space="preserve">Oportunidade (ticket&gt;=R$100 e &gt;=100 unid.)</t>
  </si>
  <si>
    <t xml:space="preserve">Rank Oportunidade (auxiliar)</t>
  </si>
  <si>
    <t xml:space="preserve">G-TECH</t>
  </si>
  <si>
    <t xml:space="preserve">VITAFOR</t>
  </si>
  <si>
    <t xml:space="preserve">EUDORA</t>
  </si>
  <si>
    <t xml:space="preserve">RITUÁRIA</t>
  </si>
  <si>
    <t xml:space="preserve">PREMIUM</t>
  </si>
  <si>
    <t xml:space="preserve">JEQUITI</t>
  </si>
  <si>
    <t xml:space="preserve">CICLO</t>
  </si>
  <si>
    <t xml:space="preserve">ELGIN</t>
  </si>
  <si>
    <t xml:space="preserve">HADALABO</t>
  </si>
  <si>
    <t xml:space="preserve">REVLON</t>
  </si>
  <si>
    <t xml:space="preserve">LIKLUC</t>
  </si>
  <si>
    <t xml:space="preserve">CASIO</t>
  </si>
  <si>
    <t xml:space="preserve">BOSCH</t>
  </si>
  <si>
    <t xml:space="preserve">MANASIK</t>
  </si>
  <si>
    <t xml:space="preserve">TRAMONTINA</t>
  </si>
  <si>
    <t xml:space="preserve">MUGLER</t>
  </si>
  <si>
    <t xml:space="preserve">LACOSTE</t>
  </si>
  <si>
    <t xml:space="preserve">JIMMY CHOO</t>
  </si>
  <si>
    <t xml:space="preserve">CUBA PARIS</t>
  </si>
  <si>
    <t xml:space="preserve">BRUNA TAVARES</t>
  </si>
  <si>
    <t xml:space="preserve">MEISSEN</t>
  </si>
  <si>
    <t xml:space="preserve">SUPER NUTRITION</t>
  </si>
  <si>
    <t xml:space="preserve">BIOLAND</t>
  </si>
  <si>
    <t xml:space="preserve">THÉRAPI</t>
  </si>
  <si>
    <t xml:space="preserve">YSL</t>
  </si>
  <si>
    <t xml:space="preserve">DESINCHÁ</t>
  </si>
  <si>
    <t xml:space="preserve">ISSEY MIYAKE</t>
  </si>
  <si>
    <t xml:space="preserve">FORTREK</t>
  </si>
  <si>
    <t xml:space="preserve">FRENCH AVENUE</t>
  </si>
  <si>
    <t xml:space="preserve">BASE SHISEIDO BB</t>
  </si>
  <si>
    <t xml:space="preserve">NEW BRAND</t>
  </si>
  <si>
    <t xml:space="preserve">MOR</t>
  </si>
  <si>
    <t xml:space="preserve">KAMALEÃO COLOR</t>
  </si>
  <si>
    <t xml:space="preserve">BAN</t>
  </si>
  <si>
    <t xml:space="preserve">ULRIC DE VARENS</t>
  </si>
  <si>
    <t xml:space="preserve">AURA BEAUTY</t>
  </si>
  <si>
    <t xml:space="preserve">THIERRY MUGLER</t>
  </si>
  <si>
    <t xml:space="preserve">NARCISO RODRIGUEZ</t>
  </si>
  <si>
    <t xml:space="preserve">DANCOR</t>
  </si>
  <si>
    <t xml:space="preserve">BVLGARI</t>
  </si>
  <si>
    <t xml:space="preserve">COACH</t>
  </si>
  <si>
    <t xml:space="preserve">SALVADOR DALÍ</t>
  </si>
  <si>
    <t xml:space="preserve">KALIPSO</t>
  </si>
  <si>
    <t xml:space="preserve">OTOSCÓPIO PROFISSIONAL</t>
  </si>
  <si>
    <t xml:space="preserve">BOUCHERON</t>
  </si>
  <si>
    <t xml:space="preserve">VICTORIO &amp; LUCCHINO</t>
  </si>
  <si>
    <t xml:space="preserve">MOLYNEUX</t>
  </si>
  <si>
    <t xml:space="preserve">ZIRCONIA</t>
  </si>
  <si>
    <t xml:space="preserve">FOREVER LISS PROFESSIONAL</t>
  </si>
  <si>
    <t xml:space="preserve">KENZO</t>
  </si>
  <si>
    <t xml:space="preserve">GIORGIO BEVERLY HILLS</t>
  </si>
  <si>
    <t xml:space="preserve">KYLIE JENNER</t>
  </si>
  <si>
    <t xml:space="preserve">CLESS</t>
  </si>
  <si>
    <t xml:space="preserve">PDR</t>
  </si>
  <si>
    <t xml:space="preserve">O.U.I PARIS</t>
  </si>
  <si>
    <t xml:space="preserve">WORX</t>
  </si>
  <si>
    <t xml:space="preserve">SHAKIRA</t>
  </si>
  <si>
    <t xml:space="preserve">SKELT</t>
  </si>
  <si>
    <t xml:space="preserve">RIIFFS</t>
  </si>
  <si>
    <t xml:space="preserve">ADA TINA</t>
  </si>
  <si>
    <t xml:space="preserve">CACHAREL</t>
  </si>
  <si>
    <t xml:space="preserve">TANGLE TEEZER</t>
  </si>
  <si>
    <t xml:space="preserve">O.U.I</t>
  </si>
  <si>
    <t xml:space="preserve">O.U.I. PARIS</t>
  </si>
  <si>
    <t xml:space="preserve">EUDORA | PULSE</t>
  </si>
  <si>
    <t xml:space="preserve">HINODE</t>
  </si>
  <si>
    <t xml:space="preserve">HOMEOPAST</t>
  </si>
  <si>
    <t xml:space="preserve">STANLEY</t>
  </si>
  <si>
    <t xml:space="preserve">CHLOROPHYLLA</t>
  </si>
  <si>
    <t xml:space="preserve">PHILIPS | SAECO</t>
  </si>
  <si>
    <t xml:space="preserve">ADIDAS</t>
  </si>
  <si>
    <t xml:space="preserve">CRISTIANO RONALDO</t>
  </si>
  <si>
    <t xml:space="preserve">KISS</t>
  </si>
  <si>
    <t xml:space="preserve">JOHN VARVATOS</t>
  </si>
  <si>
    <t xml:space="preserve">SHAKIRA PERFUMES</t>
  </si>
  <si>
    <t xml:space="preserve">DELLA E DELLE</t>
  </si>
  <si>
    <t xml:space="preserve">MERHEJE</t>
  </si>
  <si>
    <t xml:space="preserve">KERASYS</t>
  </si>
  <si>
    <t xml:space="preserve">GALAPAGOS</t>
  </si>
  <si>
    <t xml:space="preserve">NAUTIKA</t>
  </si>
  <si>
    <t xml:space="preserve">PRINCESSE MARINA DE BOURBON</t>
  </si>
  <si>
    <t xml:space="preserve">AL ABSAR</t>
  </si>
  <si>
    <t xml:space="preserve">TED LAPIDUS</t>
  </si>
  <si>
    <t xml:space="preserve">WOLFF</t>
  </si>
  <si>
    <t xml:space="preserve">VGR</t>
  </si>
  <si>
    <t xml:space="preserve">ADOLFO DOMINGUEZ</t>
  </si>
  <si>
    <t xml:space="preserve">MULTI SAÚDE</t>
  </si>
  <si>
    <t xml:space="preserve">ROCHAS</t>
  </si>
  <si>
    <t xml:space="preserve">INCOTERM</t>
  </si>
  <si>
    <t xml:space="preserve">MAHASIK</t>
  </si>
  <si>
    <t xml:space="preserve">KRESS</t>
  </si>
  <si>
    <t xml:space="preserve">AEROCOOL ADVANCED TECHNOLOGIES</t>
  </si>
  <si>
    <t xml:space="preserve">BABY BRINK</t>
  </si>
  <si>
    <t xml:space="preserve">CREAMY SKINCARE</t>
  </si>
  <si>
    <t xml:space="preserve">SHISEIDO - PERF.</t>
  </si>
  <si>
    <t xml:space="preserve">NYSOS PARFUM</t>
  </si>
  <si>
    <t xml:space="preserve">ZIRCONIA PRIVE</t>
  </si>
  <si>
    <t xml:space="preserve">DREMEL</t>
  </si>
  <si>
    <t xml:space="preserve">MOROCCANOIL</t>
  </si>
  <si>
    <t xml:space="preserve">KATE SPADE</t>
  </si>
  <si>
    <t xml:space="preserve">OCÉANE</t>
  </si>
  <si>
    <t xml:space="preserve">SENTEC</t>
  </si>
  <si>
    <t xml:space="preserve">SKIN AQUA</t>
  </si>
  <si>
    <t xml:space="preserve">KALYPSO</t>
  </si>
  <si>
    <t xml:space="preserve">MARINA DE BOURBON</t>
  </si>
  <si>
    <t xml:space="preserve">MICHAEL KORS</t>
  </si>
  <si>
    <t xml:space="preserve">L'ORÉAL PROFESSIONNEL</t>
  </si>
  <si>
    <t xml:space="preserve">L'OCCITANE</t>
  </si>
  <si>
    <t xml:space="preserve">MUWIZ</t>
  </si>
  <si>
    <t xml:space="preserve">JUICY COUTURE</t>
  </si>
  <si>
    <t xml:space="preserve">TECHLINE</t>
  </si>
  <si>
    <t xml:space="preserve">PARFUMS GRÈS</t>
  </si>
  <si>
    <t xml:space="preserve">PILBOX</t>
  </si>
  <si>
    <t xml:space="preserve">ELECTROLUX</t>
  </si>
  <si>
    <t xml:space="preserve">DAVID BECKHAM</t>
  </si>
  <si>
    <t xml:space="preserve">ANTONIO BANDERAS</t>
  </si>
  <si>
    <t xml:space="preserve">LÍDER BRINQUEDOS</t>
  </si>
  <si>
    <t xml:space="preserve">KEMEI</t>
  </si>
  <si>
    <t xml:space="preserve">GALAXY CONCEPT</t>
  </si>
  <si>
    <t xml:space="preserve">MARINE SPORTS | NEO</t>
  </si>
  <si>
    <t xml:space="preserve">PLUS SIZE GIGANTE HIGH ONE</t>
  </si>
  <si>
    <t xml:space="preserve">L'ORÉAL PARIS</t>
  </si>
  <si>
    <t xml:space="preserve">WOMEN'SECRET</t>
  </si>
  <si>
    <t xml:space="preserve">SALLES PROFISSIONAL</t>
  </si>
  <si>
    <t xml:space="preserve">CATHARINE HILL</t>
  </si>
  <si>
    <t xml:space="preserve">CHANSON D'EAU</t>
  </si>
  <si>
    <t xml:space="preserve">FELISA</t>
  </si>
  <si>
    <t xml:space="preserve">MQ</t>
  </si>
  <si>
    <t xml:space="preserve">SYNTHESIZE NUTRITION SCIENCE</t>
  </si>
  <si>
    <t xml:space="preserve">RBKOLLORS</t>
  </si>
  <si>
    <t xml:space="preserve">MESTRI</t>
  </si>
  <si>
    <t xml:space="preserve">COSCENTRA</t>
  </si>
  <si>
    <t xml:space="preserve">MTX</t>
  </si>
  <si>
    <t xml:space="preserve">LATIKA</t>
  </si>
  <si>
    <t xml:space="preserve">GALAXY PLUS CONCEPTS</t>
  </si>
  <si>
    <t xml:space="preserve">LÉ CHARME'S COSMÉTICOS</t>
  </si>
  <si>
    <t xml:space="preserve">LINN YOUNG</t>
  </si>
  <si>
    <t xml:space="preserve">PRO SIZE NUTRITION</t>
  </si>
  <si>
    <t xml:space="preserve">JOLI JOLI PARFUMS</t>
  </si>
  <si>
    <t xml:space="preserve">ORYGENS FRAGRANCES</t>
  </si>
  <si>
    <t xml:space="preserve">NEM BRAND</t>
  </si>
  <si>
    <t xml:space="preserve">PEPE JEANS</t>
  </si>
  <si>
    <t xml:space="preserve">ANIMALE PARFUMS</t>
  </si>
  <si>
    <t xml:space="preserve">EQUALIV</t>
  </si>
  <si>
    <t xml:space="preserve">NUK</t>
  </si>
  <si>
    <t xml:space="preserve">BRINOX</t>
  </si>
  <si>
    <t xml:space="preserve">PERFUME</t>
  </si>
  <si>
    <t xml:space="preserve">FISCHER</t>
  </si>
  <si>
    <t xml:space="preserve">CLINIQUE</t>
  </si>
  <si>
    <t xml:space="preserve">KATY PERRY</t>
  </si>
  <si>
    <t xml:space="preserve">SIN MARCA</t>
  </si>
  <si>
    <t xml:space="preserve">1902</t>
  </si>
  <si>
    <t xml:space="preserve">RISALA</t>
  </si>
  <si>
    <t xml:space="preserve">OIVIDA</t>
  </si>
  <si>
    <t xml:space="preserve">PESCA BRASIL</t>
  </si>
  <si>
    <t xml:space="preserve">DENAVITA</t>
  </si>
  <si>
    <t xml:space="preserve">BERDOUES 1902</t>
  </si>
  <si>
    <t xml:space="preserve">CONSCENTRA</t>
  </si>
  <si>
    <t xml:space="preserve">TIRTIR</t>
  </si>
  <si>
    <t xml:space="preserve">MISE EN SCÈNE</t>
  </si>
  <si>
    <t xml:space="preserve">SHISEIDO - TRAT. E MAQ.</t>
  </si>
  <si>
    <t xml:space="preserve">MIRADA</t>
  </si>
  <si>
    <t xml:space="preserve">LANCOME</t>
  </si>
  <si>
    <t xml:space="preserve">NOVA PELE</t>
  </si>
  <si>
    <t xml:space="preserve">NUSUK</t>
  </si>
  <si>
    <t xml:space="preserve">ROCHEDO</t>
  </si>
  <si>
    <t xml:space="preserve">ARSENAL</t>
  </si>
  <si>
    <t xml:space="preserve">V &amp; L</t>
  </si>
  <si>
    <t xml:space="preserve">MONT'ANNE PARFUMS</t>
  </si>
  <si>
    <t xml:space="preserve">FOREVER</t>
  </si>
  <si>
    <t xml:space="preserve">KAJIMA</t>
  </si>
  <si>
    <t xml:space="preserve">BUBA</t>
  </si>
  <si>
    <t xml:space="preserve">KARL LAGERFELD</t>
  </si>
  <si>
    <t xml:space="preserve">CHANSON</t>
  </si>
  <si>
    <t xml:space="preserve">RED APPLE</t>
  </si>
  <si>
    <t xml:space="preserve">JEAN PAUL</t>
  </si>
  <si>
    <t xml:space="preserve">BIORÉ</t>
  </si>
  <si>
    <t xml:space="preserve">DAVID BECKMAM</t>
  </si>
  <si>
    <t xml:space="preserve">PINK CHEEKS</t>
  </si>
  <si>
    <t xml:space="preserve">TSUBAKI</t>
  </si>
  <si>
    <t xml:space="preserve">ZIMAYA</t>
  </si>
  <si>
    <t xml:space="preserve">MULTILASER</t>
  </si>
  <si>
    <t xml:space="preserve">FAME</t>
  </si>
  <si>
    <t xml:space="preserve">ADOLFO DOMINGEZ</t>
  </si>
  <si>
    <t xml:space="preserve">MAIS - ELGIN</t>
  </si>
  <si>
    <t xml:space="preserve">TELCA</t>
  </si>
  <si>
    <t xml:space="preserve">GROSS</t>
  </si>
  <si>
    <t xml:space="preserve">WOFF ROJEMAC</t>
  </si>
  <si>
    <t xml:space="preserve">REDKEN</t>
  </si>
  <si>
    <t xml:space="preserve">FRAGRANCIARIA</t>
  </si>
  <si>
    <t xml:space="preserve">AL WATANNIAH</t>
  </si>
  <si>
    <t xml:space="preserve">MEDICLINI</t>
  </si>
  <si>
    <t xml:space="preserve">BANILA CO</t>
  </si>
  <si>
    <t xml:space="preserve">ADERE</t>
  </si>
  <si>
    <t xml:space="preserve">IMAGIC PROFESSIONAL COSMETICS</t>
  </si>
  <si>
    <t xml:space="preserve">PROSIZE</t>
  </si>
  <si>
    <t xml:space="preserve">TRUSS</t>
  </si>
  <si>
    <t xml:space="preserve">KUKA</t>
  </si>
  <si>
    <t xml:space="preserve">GUSTTAVO LIMA</t>
  </si>
  <si>
    <t xml:space="preserve">YASMIN BEAUTY</t>
  </si>
  <si>
    <t xml:space="preserve">PERFUMES</t>
  </si>
  <si>
    <t xml:space="preserve">ULRIC DE VARENS UDV</t>
  </si>
  <si>
    <t xml:space="preserve">LA RIVE</t>
  </si>
  <si>
    <t xml:space="preserve">GUSTAVO LIMA</t>
  </si>
  <si>
    <t xml:space="preserve">SARATH</t>
  </si>
  <si>
    <t xml:space="preserve">MUVIN</t>
  </si>
  <si>
    <t xml:space="preserve">SPARTA</t>
  </si>
  <si>
    <t xml:space="preserve">GL EMBAIXADOR</t>
  </si>
  <si>
    <t xml:space="preserve">MAGIC COLOR</t>
  </si>
  <si>
    <t xml:space="preserve">DELICE SOLAIRE</t>
  </si>
  <si>
    <t xml:space="preserve">A BOTICA BRASIL</t>
  </si>
  <si>
    <t xml:space="preserve">TOTAL</t>
  </si>
  <si>
    <t xml:space="preserve">Nº de Marcas</t>
  </si>
  <si>
    <t xml:space="preserve">Nº Anúncios (SKUs)</t>
  </si>
  <si>
    <t xml:space="preserve">% da Receita Total</t>
  </si>
  <si>
    <t xml:space="preserve">Produtos consolidados por GTIN (código de barras) — 2142 produtos únicos, a partir de 3988 anúncios (351 sem GTIN válido no cadastro, não entraram aqui)</t>
  </si>
  <si>
    <t xml:space="preserve">310 desses GTINs aparecem em mais de um concorrente — o mesmo produto físico, permitindo comparar o preço de cada um lado a lado. Tabela fixa gerada nesta versão do relatório (não recalcula sozinha se os Dados Brutos forem editados).</t>
  </si>
  <si>
    <t xml:space="preserve">GTIN</t>
  </si>
  <si>
    <t xml:space="preserve">Tamanho (detectado)</t>
  </si>
  <si>
    <t xml:space="preserve">Título representativo</t>
  </si>
  <si>
    <t xml:space="preserve">Nº Concorrentes</t>
  </si>
  <si>
    <t xml:space="preserve">Nº Anúncios consolidados</t>
  </si>
  <si>
    <t xml:space="preserve">Preço Médio Ponderado (R$)</t>
  </si>
  <si>
    <t xml:space="preserve">Preço Médio SIENO (R$)</t>
  </si>
  <si>
    <t xml:space="preserve">Preço Médio BAGATELLE (R$)</t>
  </si>
  <si>
    <t xml:space="preserve">Preço Médio AUMA (R$)</t>
  </si>
  <si>
    <t xml:space="preserve">Diferença de Preço entre Concorrentes (%)</t>
  </si>
  <si>
    <t xml:space="preserve">8411061838778</t>
  </si>
  <si>
    <t xml:space="preserve">125ml</t>
  </si>
  <si>
    <t xml:space="preserve">7898639690388</t>
  </si>
  <si>
    <t xml:space="preserve">Não identificado no título</t>
  </si>
  <si>
    <t xml:space="preserve">Aparelho De Medir Pressão Digital De Bra</t>
  </si>
  <si>
    <t xml:space="preserve">3349668566372</t>
  </si>
  <si>
    <t xml:space="preserve">200ml</t>
  </si>
  <si>
    <t xml:space="preserve">8435415032360</t>
  </si>
  <si>
    <t xml:space="preserve">8435415076906</t>
  </si>
  <si>
    <t xml:space="preserve">7898301059895</t>
  </si>
  <si>
    <t xml:space="preserve">Oxímetro De Dedo Digital Portátil Pulso </t>
  </si>
  <si>
    <t xml:space="preserve">8411061120620</t>
  </si>
  <si>
    <t xml:space="preserve">3349668592388</t>
  </si>
  <si>
    <t xml:space="preserve">3349668589678</t>
  </si>
  <si>
    <t xml:space="preserve">7898639692924</t>
  </si>
  <si>
    <t xml:space="preserve">3614273760164</t>
  </si>
  <si>
    <t xml:space="preserve">90ml</t>
  </si>
  <si>
    <t xml:space="preserve">3349666007921</t>
  </si>
  <si>
    <t xml:space="preserve">100ml</t>
  </si>
  <si>
    <t xml:space="preserve">8411061023655</t>
  </si>
  <si>
    <t xml:space="preserve">729238146587</t>
  </si>
  <si>
    <t xml:space="preserve">3349668614530</t>
  </si>
  <si>
    <t xml:space="preserve">8411061853207</t>
  </si>
  <si>
    <t xml:space="preserve">7908407005693</t>
  </si>
  <si>
    <t xml:space="preserve">Suplemento Fibras Alimentares Prebiótica</t>
  </si>
  <si>
    <t xml:space="preserve">3349668581948</t>
  </si>
  <si>
    <t xml:space="preserve">8435415076937</t>
  </si>
  <si>
    <t xml:space="preserve">3614273069557</t>
  </si>
  <si>
    <t xml:space="preserve">7898301054494</t>
  </si>
  <si>
    <t xml:space="preserve">Aparelho De Pressão Arterial Manual Esfi</t>
  </si>
  <si>
    <t xml:space="preserve">7898639690999</t>
  </si>
  <si>
    <t xml:space="preserve">Oxímetro Led G-tech Branco/azul</t>
  </si>
  <si>
    <t xml:space="preserve">3605533286555</t>
  </si>
  <si>
    <t xml:space="preserve">729238146570</t>
  </si>
  <si>
    <t xml:space="preserve">7899952324523</t>
  </si>
  <si>
    <t xml:space="preserve">Perfumes Colônia Miniatura Cebolinha Tur</t>
  </si>
  <si>
    <t xml:space="preserve">3614273852814</t>
  </si>
  <si>
    <t xml:space="preserve">3349668627547</t>
  </si>
  <si>
    <t xml:space="preserve">3349668508587</t>
  </si>
  <si>
    <t xml:space="preserve">80ml</t>
  </si>
  <si>
    <t xml:space="preserve">4710206002185</t>
  </si>
  <si>
    <t xml:space="preserve">7898639692849</t>
  </si>
  <si>
    <t xml:space="preserve">Termômetro Infravermelho Ultracompacto D</t>
  </si>
  <si>
    <t xml:space="preserve">7898919865567</t>
  </si>
  <si>
    <t xml:space="preserve">Suplemento Alimentar Em Pó Glutamax Sem </t>
  </si>
  <si>
    <t xml:space="preserve">8411061786161</t>
  </si>
  <si>
    <t xml:space="preserve">7898953272826</t>
  </si>
  <si>
    <t xml:space="preserve">Demaquilante Hada Labo Gokujyun Oil Clea</t>
  </si>
  <si>
    <t xml:space="preserve">7899206170791</t>
  </si>
  <si>
    <t xml:space="preserve">3616302038633</t>
  </si>
  <si>
    <t xml:space="preserve">7898639691279</t>
  </si>
  <si>
    <t xml:space="preserve">Oxímetro Pediátrico G-tech Verde E Cinza</t>
  </si>
  <si>
    <t xml:space="preserve">3614272648425</t>
  </si>
  <si>
    <t xml:space="preserve">7899206169504</t>
  </si>
  <si>
    <t xml:space="preserve">7898301056412</t>
  </si>
  <si>
    <t xml:space="preserve">Esfigmomanômetro Premium Aneróide Azul +</t>
  </si>
  <si>
    <t xml:space="preserve">8411061105016</t>
  </si>
  <si>
    <t xml:space="preserve">7898639690630</t>
  </si>
  <si>
    <t xml:space="preserve">G-tech Eletroestimulador Massageador Ten</t>
  </si>
  <si>
    <t xml:space="preserve">8411061782347</t>
  </si>
  <si>
    <t xml:space="preserve">8435415059060</t>
  </si>
  <si>
    <t xml:space="preserve">751320866073</t>
  </si>
  <si>
    <t xml:space="preserve">Xô Febre Compressa Refrescante - Baixar </t>
  </si>
  <si>
    <t xml:space="preserve">3349668596348</t>
  </si>
  <si>
    <t xml:space="preserve">8435415012690</t>
  </si>
  <si>
    <t xml:space="preserve">3614274172997</t>
  </si>
  <si>
    <t xml:space="preserve">4710206002192</t>
  </si>
  <si>
    <t xml:space="preserve">3355991004672</t>
  </si>
  <si>
    <t xml:space="preserve">3349668515660</t>
  </si>
  <si>
    <t xml:space="preserve">8411061041673</t>
  </si>
  <si>
    <t xml:space="preserve">7794290370754</t>
  </si>
  <si>
    <t xml:space="preserve">3349668644940</t>
  </si>
  <si>
    <t xml:space="preserve">3614272648401</t>
  </si>
  <si>
    <t xml:space="preserve">3614273321891</t>
  </si>
  <si>
    <t xml:space="preserve">7898665435397</t>
  </si>
  <si>
    <t xml:space="preserve">Suplemento Alimentar Colagentek Tipo Ii </t>
  </si>
  <si>
    <t xml:space="preserve">3614273069533</t>
  </si>
  <si>
    <t xml:space="preserve">7898639692948</t>
  </si>
  <si>
    <t xml:space="preserve">Aparelho De Pressão Digital G-tech Gp400</t>
  </si>
  <si>
    <t xml:space="preserve">4710206002208</t>
  </si>
  <si>
    <t xml:space="preserve">7896235353690</t>
  </si>
  <si>
    <t xml:space="preserve">1000ml</t>
  </si>
  <si>
    <t xml:space="preserve">3614273953672</t>
  </si>
  <si>
    <t xml:space="preserve">737052351100</t>
  </si>
  <si>
    <t xml:space="preserve">8005610325507</t>
  </si>
  <si>
    <t xml:space="preserve">3614274114645</t>
  </si>
  <si>
    <t xml:space="preserve">7898936769473</t>
  </si>
  <si>
    <t xml:space="preserve">Ciclo Hello Hello! Lata Eau De Cologne F</t>
  </si>
  <si>
    <t xml:space="preserve">3349668600298</t>
  </si>
  <si>
    <t xml:space="preserve">8411061077160</t>
  </si>
  <si>
    <t xml:space="preserve">7898639693594</t>
  </si>
  <si>
    <t xml:space="preserve">Tiras Reagentes G-tech Vita Para Monitor</t>
  </si>
  <si>
    <t xml:space="preserve">8411061088173</t>
  </si>
  <si>
    <t xml:space="preserve">3616302020652</t>
  </si>
  <si>
    <t xml:space="preserve">8435415076944</t>
  </si>
  <si>
    <t xml:space="preserve">7898639692955</t>
  </si>
  <si>
    <t xml:space="preserve">Medidor De Pressão Digital De Pulso G-te</t>
  </si>
  <si>
    <t xml:space="preserve">8435415050760</t>
  </si>
  <si>
    <t xml:space="preserve">3595471041197</t>
  </si>
  <si>
    <t xml:space="preserve">3614273852821</t>
  </si>
  <si>
    <t xml:space="preserve">8411061781197</t>
  </si>
  <si>
    <t xml:space="preserve">30ml</t>
  </si>
  <si>
    <t xml:space="preserve">7898665430071</t>
  </si>
  <si>
    <t xml:space="preserve">Vitamina D3 60 Cápsulas Vitafor Compra G</t>
  </si>
  <si>
    <t xml:space="preserve">7908412515507</t>
  </si>
  <si>
    <t xml:space="preserve">Fogão Cooktop Elétrico Elgin 2 Bocas Pre</t>
  </si>
  <si>
    <t xml:space="preserve">8435415062190</t>
  </si>
  <si>
    <t xml:space="preserve">8432225129778</t>
  </si>
  <si>
    <t xml:space="preserve">150ml</t>
  </si>
  <si>
    <t xml:space="preserve">Spray Revlon Uniq One De 150ml</t>
  </si>
  <si>
    <t xml:space="preserve">4975759103158</t>
  </si>
  <si>
    <t xml:space="preserve">120ml</t>
  </si>
  <si>
    <t xml:space="preserve">885911467629</t>
  </si>
  <si>
    <t xml:space="preserve">8435415032315</t>
  </si>
  <si>
    <t xml:space="preserve">3614274091885</t>
  </si>
  <si>
    <t xml:space="preserve">3355991004665</t>
  </si>
  <si>
    <t xml:space="preserve">7896086911919</t>
  </si>
  <si>
    <t xml:space="preserve">4549526616860</t>
  </si>
  <si>
    <t xml:space="preserve">Calculadora Científica 252 Funções Fx-82</t>
  </si>
  <si>
    <t xml:space="preserve">8411061043844</t>
  </si>
  <si>
    <t xml:space="preserve">3614273953832</t>
  </si>
  <si>
    <t xml:space="preserve">8411061865583</t>
  </si>
  <si>
    <t xml:space="preserve">8435415032278</t>
  </si>
  <si>
    <t xml:space="preserve">885911606134</t>
  </si>
  <si>
    <t xml:space="preserve">3355991002319</t>
  </si>
  <si>
    <t xml:space="preserve">3595471081032</t>
  </si>
  <si>
    <t xml:space="preserve">3614273521307</t>
  </si>
  <si>
    <t xml:space="preserve">3165140799690</t>
  </si>
  <si>
    <t xml:space="preserve">Bolsa Para Ferramentas Bosch Mini Softca</t>
  </si>
  <si>
    <t xml:space="preserve">8056669925798</t>
  </si>
  <si>
    <t xml:space="preserve">8435415102346</t>
  </si>
  <si>
    <t xml:space="preserve">3349668582297</t>
  </si>
  <si>
    <t xml:space="preserve">3607345809915</t>
  </si>
  <si>
    <t xml:space="preserve">3616304175916</t>
  </si>
  <si>
    <t xml:space="preserve">60ml</t>
  </si>
  <si>
    <t xml:space="preserve">7896451842145</t>
  </si>
  <si>
    <t xml:space="preserve">3349668600304</t>
  </si>
  <si>
    <t xml:space="preserve">7898480944913</t>
  </si>
  <si>
    <t xml:space="preserve">7908137907984</t>
  </si>
  <si>
    <t xml:space="preserve">8435415012669</t>
  </si>
  <si>
    <t xml:space="preserve">7898301052674</t>
  </si>
  <si>
    <t xml:space="preserve">8411061088166</t>
  </si>
  <si>
    <t xml:space="preserve">3349668614608</t>
  </si>
  <si>
    <t xml:space="preserve">3614228220880</t>
  </si>
  <si>
    <t xml:space="preserve">8435415102353</t>
  </si>
  <si>
    <t xml:space="preserve">7896873186506</t>
  </si>
  <si>
    <t xml:space="preserve">7898962163214</t>
  </si>
  <si>
    <t xml:space="preserve">10g</t>
  </si>
  <si>
    <t xml:space="preserve">7908407008557</t>
  </si>
  <si>
    <t xml:space="preserve">Rituária Magnésio 4mag 180 Cápsulas Sem </t>
  </si>
  <si>
    <t xml:space="preserve">8411061995754</t>
  </si>
  <si>
    <t xml:space="preserve">7896873186520</t>
  </si>
  <si>
    <t xml:space="preserve">3349668616237</t>
  </si>
  <si>
    <t xml:space="preserve">3614273837828</t>
  </si>
  <si>
    <t xml:space="preserve">7640496670245</t>
  </si>
  <si>
    <t xml:space="preserve">8411061067895</t>
  </si>
  <si>
    <t xml:space="preserve">8411061056776</t>
  </si>
  <si>
    <t xml:space="preserve">3614273961707</t>
  </si>
  <si>
    <t xml:space="preserve">3614274000597</t>
  </si>
  <si>
    <t xml:space="preserve">4710122017409</t>
  </si>
  <si>
    <t xml:space="preserve">7891033507528</t>
  </si>
  <si>
    <t xml:space="preserve">Perfume Masculino Eudora Club 6 Exclusiv</t>
  </si>
  <si>
    <t xml:space="preserve">737052189765</t>
  </si>
  <si>
    <t xml:space="preserve">7899206165001</t>
  </si>
  <si>
    <t xml:space="preserve">8011003877904</t>
  </si>
  <si>
    <t xml:space="preserve">7908137908370</t>
  </si>
  <si>
    <t xml:space="preserve">8056669927136</t>
  </si>
  <si>
    <t xml:space="preserve">3355991005174</t>
  </si>
  <si>
    <t xml:space="preserve">3605521544353</t>
  </si>
  <si>
    <t xml:space="preserve">729238146594</t>
  </si>
  <si>
    <t xml:space="preserve">3349668566730</t>
  </si>
  <si>
    <t xml:space="preserve">3351500011476</t>
  </si>
  <si>
    <t xml:space="preserve">8011003861910</t>
  </si>
  <si>
    <t xml:space="preserve">3414202000572</t>
  </si>
  <si>
    <t xml:space="preserve">8411061077146</t>
  </si>
  <si>
    <t xml:space="preserve">7618900903081</t>
  </si>
  <si>
    <t xml:space="preserve">10ml</t>
  </si>
  <si>
    <t xml:space="preserve">3349668021345</t>
  </si>
  <si>
    <t xml:space="preserve">3360375004056</t>
  </si>
  <si>
    <t xml:space="preserve">50ml</t>
  </si>
  <si>
    <t xml:space="preserve">8435415080392</t>
  </si>
  <si>
    <t xml:space="preserve">8411061055199</t>
  </si>
  <si>
    <t xml:space="preserve">6943475888671</t>
  </si>
  <si>
    <t xml:space="preserve">4549526616884</t>
  </si>
  <si>
    <t xml:space="preserve">Calculadora Científica Casio Fx-82ms 2nd</t>
  </si>
  <si>
    <t xml:space="preserve">7908005385913</t>
  </si>
  <si>
    <t xml:space="preserve">5425017732389</t>
  </si>
  <si>
    <t xml:space="preserve">Perfume Cuba Gold Masculino 100ml</t>
  </si>
  <si>
    <t xml:space="preserve">8411061134481</t>
  </si>
  <si>
    <t xml:space="preserve">3605532612768</t>
  </si>
  <si>
    <t xml:space="preserve">7896235353775</t>
  </si>
  <si>
    <t xml:space="preserve">500ml</t>
  </si>
  <si>
    <t xml:space="preserve">8435137749607</t>
  </si>
  <si>
    <t xml:space="preserve">7896873179881</t>
  </si>
  <si>
    <t xml:space="preserve">3614273636513</t>
  </si>
  <si>
    <t xml:space="preserve">3605521172525</t>
  </si>
  <si>
    <t xml:space="preserve">4710122008117</t>
  </si>
  <si>
    <t xml:space="preserve">7896235353706</t>
  </si>
  <si>
    <t xml:space="preserve">6290360375694</t>
  </si>
  <si>
    <t xml:space="preserve">Perfume Árabe Masculino French Avenue Li</t>
  </si>
  <si>
    <t xml:space="preserve">8057971188116</t>
  </si>
  <si>
    <t xml:space="preserve">8435415012027</t>
  </si>
  <si>
    <t xml:space="preserve">8411061063392</t>
  </si>
  <si>
    <t xml:space="preserve">885911769174</t>
  </si>
  <si>
    <t xml:space="preserve">8435415055963</t>
  </si>
  <si>
    <t xml:space="preserve">8411061083482</t>
  </si>
  <si>
    <t xml:space="preserve">8411061083659</t>
  </si>
  <si>
    <t xml:space="preserve">688575201901</t>
  </si>
  <si>
    <t xml:space="preserve">7908137904020</t>
  </si>
  <si>
    <t xml:space="preserve">8056669925774</t>
  </si>
  <si>
    <t xml:space="preserve">7898962163504</t>
  </si>
  <si>
    <t xml:space="preserve">8.5g</t>
  </si>
  <si>
    <t xml:space="preserve">3614274397246</t>
  </si>
  <si>
    <t xml:space="preserve">3349668636648</t>
  </si>
  <si>
    <t xml:space="preserve">3700608300010</t>
  </si>
  <si>
    <t xml:space="preserve">3614273636384</t>
  </si>
  <si>
    <t xml:space="preserve">7898639692856</t>
  </si>
  <si>
    <t xml:space="preserve">Inalador E Neb G-tech Nebmesh2 Adulto E </t>
  </si>
  <si>
    <t xml:space="preserve">8411061607176</t>
  </si>
  <si>
    <t xml:space="preserve">7899592821017</t>
  </si>
  <si>
    <t xml:space="preserve">Chá Funcional Desinchá Dia Original 60 S</t>
  </si>
  <si>
    <t xml:space="preserve">6085010094991</t>
  </si>
  <si>
    <t xml:space="preserve">3614274219579</t>
  </si>
  <si>
    <t xml:space="preserve">3614272050358</t>
  </si>
  <si>
    <t xml:space="preserve">3614274258073</t>
  </si>
  <si>
    <t xml:space="preserve">8411061134474</t>
  </si>
  <si>
    <t xml:space="preserve">3349668641840</t>
  </si>
  <si>
    <t xml:space="preserve">8435415091169</t>
  </si>
  <si>
    <t xml:space="preserve">8411061122488</t>
  </si>
  <si>
    <t xml:space="preserve">7898665431320</t>
  </si>
  <si>
    <t xml:space="preserve">Omegafor Family 120 Cápsulas Vitafor Sem</t>
  </si>
  <si>
    <t xml:space="preserve">3349668614479</t>
  </si>
  <si>
    <t xml:space="preserve">7891117064190</t>
  </si>
  <si>
    <t xml:space="preserve">Tesoura De Poda Profissional Com Lâmina </t>
  </si>
  <si>
    <t xml:space="preserve">7896027543353</t>
  </si>
  <si>
    <t xml:space="preserve">7898639690524</t>
  </si>
  <si>
    <t xml:space="preserve">Aparelho De Pressão Digital De Pulso Pre</t>
  </si>
  <si>
    <t xml:space="preserve">3614274169706</t>
  </si>
  <si>
    <t xml:space="preserve">8435415080422</t>
  </si>
  <si>
    <t xml:space="preserve">8411061077153</t>
  </si>
  <si>
    <t xml:space="preserve">8439627624306</t>
  </si>
  <si>
    <t xml:space="preserve">Perfume Manasik Lilac 100ml Eau De Parfu</t>
  </si>
  <si>
    <t xml:space="preserve">8411061026335</t>
  </si>
  <si>
    <t xml:space="preserve">7899524418872</t>
  </si>
  <si>
    <t xml:space="preserve">3614273069175</t>
  </si>
  <si>
    <t xml:space="preserve">3605972793317</t>
  </si>
  <si>
    <t xml:space="preserve">8411061123607</t>
  </si>
  <si>
    <t xml:space="preserve">8056669925897</t>
  </si>
  <si>
    <t xml:space="preserve">3326240816698</t>
  </si>
  <si>
    <t xml:space="preserve">Perfume Ulric De Varens Udv For Men Eau </t>
  </si>
  <si>
    <t xml:space="preserve">8056669923992</t>
  </si>
  <si>
    <t xml:space="preserve">4710206002215</t>
  </si>
  <si>
    <t xml:space="preserve">7908137907168</t>
  </si>
  <si>
    <t xml:space="preserve">8411061945858</t>
  </si>
  <si>
    <t xml:space="preserve">3614273953696</t>
  </si>
  <si>
    <t xml:space="preserve">7898706990236</t>
  </si>
  <si>
    <t xml:space="preserve">Colchao Mor Camping Casa Multi Casal Com</t>
  </si>
  <si>
    <t xml:space="preserve">892456000037</t>
  </si>
  <si>
    <t xml:space="preserve">7898410311808</t>
  </si>
  <si>
    <t xml:space="preserve">Ciclo Body Splash Feminino Nah Cardoso H</t>
  </si>
  <si>
    <t xml:space="preserve">5055810014933</t>
  </si>
  <si>
    <t xml:space="preserve">8435415030885</t>
  </si>
  <si>
    <t xml:space="preserve">3614274000610</t>
  </si>
  <si>
    <t xml:space="preserve">7898554605528</t>
  </si>
  <si>
    <t xml:space="preserve">Fonte Atx 200w Real Fortrek Pws-2003 Biv</t>
  </si>
  <si>
    <t xml:space="preserve">8411061043868</t>
  </si>
  <si>
    <t xml:space="preserve">3349668630356</t>
  </si>
  <si>
    <t xml:space="preserve">742832706285</t>
  </si>
  <si>
    <t xml:space="preserve">8411061777183</t>
  </si>
  <si>
    <t xml:space="preserve">3349668667024</t>
  </si>
  <si>
    <t xml:space="preserve">7898684484369</t>
  </si>
  <si>
    <t xml:space="preserve">220g</t>
  </si>
  <si>
    <t xml:space="preserve">Supercáfe Palha Italiana 220g Super Nutr</t>
  </si>
  <si>
    <t xml:space="preserve">7891033539796</t>
  </si>
  <si>
    <t xml:space="preserve">Perfume Feminino Eudora Diva Absoluta Co</t>
  </si>
  <si>
    <t xml:space="preserve">3614274361322</t>
  </si>
  <si>
    <t xml:space="preserve">8435415080385</t>
  </si>
  <si>
    <t xml:space="preserve">7891117043577</t>
  </si>
  <si>
    <t xml:space="preserve">Aspersor De Impulso Setorial Plast - Tra</t>
  </si>
  <si>
    <t xml:space="preserve">8435415065214</t>
  </si>
  <si>
    <t xml:space="preserve">7618900900080</t>
  </si>
  <si>
    <t xml:space="preserve">5ml</t>
  </si>
  <si>
    <t xml:space="preserve">7891009857909</t>
  </si>
  <si>
    <t xml:space="preserve">Furadeira De Impacto Gsb 450 Re 450w 3/8</t>
  </si>
  <si>
    <t xml:space="preserve">8411061021538</t>
  </si>
  <si>
    <t xml:space="preserve">250ml</t>
  </si>
  <si>
    <t xml:space="preserve">3349668664733</t>
  </si>
  <si>
    <t xml:space="preserve">8411061083505</t>
  </si>
  <si>
    <t xml:space="preserve">7908410309054</t>
  </si>
  <si>
    <t xml:space="preserve">Motobomba Periferica Auto Aspirante Danc</t>
  </si>
  <si>
    <t xml:space="preserve">7908137907144</t>
  </si>
  <si>
    <t xml:space="preserve">7898047200377</t>
  </si>
  <si>
    <t xml:space="preserve">Malato De Magnesio 120 Capsulas Meissen </t>
  </si>
  <si>
    <t xml:space="preserve">3616303473396</t>
  </si>
  <si>
    <t xml:space="preserve">3605522040588</t>
  </si>
  <si>
    <t xml:space="preserve">7908005320624</t>
  </si>
  <si>
    <t xml:space="preserve">7908137904013</t>
  </si>
  <si>
    <t xml:space="preserve">8411061081600</t>
  </si>
  <si>
    <t xml:space="preserve">7898665434123</t>
  </si>
  <si>
    <t xml:space="preserve">Vita D3 Líquida 2.000ui 10ml Vitafor Sem</t>
  </si>
  <si>
    <t xml:space="preserve">8435415091244</t>
  </si>
  <si>
    <t xml:space="preserve">8411061123614</t>
  </si>
  <si>
    <t xml:space="preserve">8056669925712</t>
  </si>
  <si>
    <t xml:space="preserve">8011003901647</t>
  </si>
  <si>
    <t xml:space="preserve">892456000174</t>
  </si>
  <si>
    <t xml:space="preserve">885911571470</t>
  </si>
  <si>
    <t xml:space="preserve">885911274845</t>
  </si>
  <si>
    <t xml:space="preserve">7908412514418</t>
  </si>
  <si>
    <t xml:space="preserve">Lâmpada Led Rgb Bulbo 30w Inteligente Sm</t>
  </si>
  <si>
    <t xml:space="preserve">3614274397239</t>
  </si>
  <si>
    <t xml:space="preserve">7898410319668</t>
  </si>
  <si>
    <t xml:space="preserve">Ciclo Deo Colônia Kiss Feminino 100ml</t>
  </si>
  <si>
    <t xml:space="preserve">7898665433423</t>
  </si>
  <si>
    <t xml:space="preserve">Ômega 3 Vegano Omegafor Vitafor 60 Cápsu</t>
  </si>
  <si>
    <t xml:space="preserve">3607342359789</t>
  </si>
  <si>
    <t xml:space="preserve">8411061099728</t>
  </si>
  <si>
    <t xml:space="preserve">8411061954966</t>
  </si>
  <si>
    <t xml:space="preserve">7899524418834</t>
  </si>
  <si>
    <t xml:space="preserve">Otoscópio + 14 Espe Lâmpada Led Luz Bran</t>
  </si>
  <si>
    <t xml:space="preserve">7898618487015</t>
  </si>
  <si>
    <t xml:space="preserve">8411061057193</t>
  </si>
  <si>
    <t xml:space="preserve">3614272907676</t>
  </si>
  <si>
    <t xml:space="preserve">4975759103448</t>
  </si>
  <si>
    <t xml:space="preserve">300g</t>
  </si>
  <si>
    <t xml:space="preserve">3614272050341</t>
  </si>
  <si>
    <t xml:space="preserve">8435415091251</t>
  </si>
  <si>
    <t xml:space="preserve">3614272648418</t>
  </si>
  <si>
    <t xml:space="preserve">3614274114652</t>
  </si>
  <si>
    <t xml:space="preserve">7891033495405</t>
  </si>
  <si>
    <t xml:space="preserve">Eudora Feminino Eau De Parfum Spray</t>
  </si>
  <si>
    <t xml:space="preserve">8411061056752</t>
  </si>
  <si>
    <t xml:space="preserve">8435415102735</t>
  </si>
  <si>
    <t xml:space="preserve">7899952330463</t>
  </si>
  <si>
    <t xml:space="preserve">Perfume Cebolinha Deo Colônia Jequiti 50</t>
  </si>
  <si>
    <t xml:space="preserve">3349668576111</t>
  </si>
  <si>
    <t xml:space="preserve">4011700740062</t>
  </si>
  <si>
    <t xml:space="preserve">3614273760652</t>
  </si>
  <si>
    <t xml:space="preserve">5425017736363</t>
  </si>
  <si>
    <t xml:space="preserve">Cuba Royal Edt 100ml Para Masculino</t>
  </si>
  <si>
    <t xml:space="preserve">3614274752717</t>
  </si>
  <si>
    <t xml:space="preserve">716393009581</t>
  </si>
  <si>
    <t xml:space="preserve">Eau De Toilette Feminino Giorgio Beverly</t>
  </si>
  <si>
    <t xml:space="preserve">3614273694797</t>
  </si>
  <si>
    <t xml:space="preserve">7908005329665</t>
  </si>
  <si>
    <t xml:space="preserve">3616304247644</t>
  </si>
  <si>
    <t xml:space="preserve">8435415102728</t>
  </si>
  <si>
    <t xml:space="preserve">3274872480810</t>
  </si>
  <si>
    <t xml:space="preserve">7908137901883</t>
  </si>
  <si>
    <t xml:space="preserve">3274872372139</t>
  </si>
  <si>
    <t xml:space="preserve">35ml</t>
  </si>
  <si>
    <t xml:space="preserve">8411061093252</t>
  </si>
  <si>
    <t xml:space="preserve">3614274143751</t>
  </si>
  <si>
    <t xml:space="preserve">3614272907690</t>
  </si>
  <si>
    <t xml:space="preserve">3616302020645</t>
  </si>
  <si>
    <t xml:space="preserve">3614273069540</t>
  </si>
  <si>
    <t xml:space="preserve">3614272639638</t>
  </si>
  <si>
    <t xml:space="preserve">7891839917392</t>
  </si>
  <si>
    <t xml:space="preserve">Pistola De Pintura Hvmp Pdr Pro-531p Bic</t>
  </si>
  <si>
    <t xml:space="preserve">4710122017416</t>
  </si>
  <si>
    <t xml:space="preserve">7891033517831</t>
  </si>
  <si>
    <t xml:space="preserve">Perfume Eau De Parfum O.u.i Paris Scapin</t>
  </si>
  <si>
    <t xml:space="preserve">6943475854355</t>
  </si>
  <si>
    <t xml:space="preserve">Parafusadeira Bivolt 4,0v Com Led E Kit </t>
  </si>
  <si>
    <t xml:space="preserve">7898949730781</t>
  </si>
  <si>
    <t xml:space="preserve">400g</t>
  </si>
  <si>
    <t xml:space="preserve">Carbofor Fonte De Carboidratos 400g Vita</t>
  </si>
  <si>
    <t xml:space="preserve">8056669925767</t>
  </si>
  <si>
    <t xml:space="preserve">7897013516801</t>
  </si>
  <si>
    <t xml:space="preserve">Calculadora Bobina Elgin Mr 6125 Cor Bra</t>
  </si>
  <si>
    <t xml:space="preserve">7908137904884</t>
  </si>
  <si>
    <t xml:space="preserve">3349668630257</t>
  </si>
  <si>
    <t xml:space="preserve">729238154940</t>
  </si>
  <si>
    <t xml:space="preserve">309974700030</t>
  </si>
  <si>
    <t xml:space="preserve">Revlon Colorstay Fps15 180 Sand Beige - </t>
  </si>
  <si>
    <t xml:space="preserve">7908654009376</t>
  </si>
  <si>
    <t xml:space="preserve">Body Splash Afrodite Garden Aura Beauty </t>
  </si>
  <si>
    <t xml:space="preserve">3349668617050</t>
  </si>
  <si>
    <t xml:space="preserve">8435415017244</t>
  </si>
  <si>
    <t xml:space="preserve">8435415102698</t>
  </si>
  <si>
    <t xml:space="preserve">3614274397253</t>
  </si>
  <si>
    <t xml:space="preserve">3349668662685</t>
  </si>
  <si>
    <t xml:space="preserve">8435415076838</t>
  </si>
  <si>
    <t xml:space="preserve">7618900995086</t>
  </si>
  <si>
    <t xml:space="preserve">3137370361336</t>
  </si>
  <si>
    <t xml:space="preserve">4710122017386</t>
  </si>
  <si>
    <t xml:space="preserve">885911706100</t>
  </si>
  <si>
    <t xml:space="preserve">3614270264900</t>
  </si>
  <si>
    <t xml:space="preserve">8439627620025</t>
  </si>
  <si>
    <t xml:space="preserve">Malikat Al Arab Manasik Edp Unissex 100m</t>
  </si>
  <si>
    <t xml:space="preserve">8411061906651</t>
  </si>
  <si>
    <t xml:space="preserve">7891033502684</t>
  </si>
  <si>
    <t xml:space="preserve">Eudora Kiss Me Cabernet Deo Colônia 50ml</t>
  </si>
  <si>
    <t xml:space="preserve">8435415102339</t>
  </si>
  <si>
    <t xml:space="preserve">8411061067925</t>
  </si>
  <si>
    <t xml:space="preserve">3614274299229</t>
  </si>
  <si>
    <t xml:space="preserve">3349668622009</t>
  </si>
  <si>
    <t xml:space="preserve">8411061853115</t>
  </si>
  <si>
    <t xml:space="preserve">3614273953849</t>
  </si>
  <si>
    <t xml:space="preserve">7908407004412</t>
  </si>
  <si>
    <t xml:space="preserve">Fórmula Antioxi Nutri Suplemento Claread</t>
  </si>
  <si>
    <t xml:space="preserve">7908407008533</t>
  </si>
  <si>
    <t xml:space="preserve">Suplemento Picolinato Cromo Rituária Ene</t>
  </si>
  <si>
    <t xml:space="preserve">3386460119252</t>
  </si>
  <si>
    <t xml:space="preserve">Perfume I Want Choo Jimmy Choo 100ml Eau</t>
  </si>
  <si>
    <t xml:space="preserve">7891033562190</t>
  </si>
  <si>
    <t xml:space="preserve">Eudora Club 6 Fever Deo Colônia Masculin</t>
  </si>
  <si>
    <t xml:space="preserve">7898965429645</t>
  </si>
  <si>
    <t xml:space="preserve">200g</t>
  </si>
  <si>
    <t xml:space="preserve">Skelt Hidratante Amalfi Sunset 200g | Hi</t>
  </si>
  <si>
    <t xml:space="preserve">3349668579839</t>
  </si>
  <si>
    <t xml:space="preserve">3605971100413</t>
  </si>
  <si>
    <t xml:space="preserve">3355991005181</t>
  </si>
  <si>
    <t xml:space="preserve">8411061057056</t>
  </si>
  <si>
    <t xml:space="preserve">7898410319675</t>
  </si>
  <si>
    <t xml:space="preserve">Body Splash Kiss Ciclo - 200ml</t>
  </si>
  <si>
    <t xml:space="preserve">7898410315028</t>
  </si>
  <si>
    <t xml:space="preserve">Ciclo Hello Hello! By Nah Cardoso Deo Co</t>
  </si>
  <si>
    <t xml:space="preserve">3614273954341</t>
  </si>
  <si>
    <t xml:space="preserve">6943475883935</t>
  </si>
  <si>
    <t xml:space="preserve">3386460153720</t>
  </si>
  <si>
    <t xml:space="preserve">8411061134450</t>
  </si>
  <si>
    <t xml:space="preserve">3349668630264</t>
  </si>
  <si>
    <t xml:space="preserve">8056669927112</t>
  </si>
  <si>
    <t xml:space="preserve">3614270561634</t>
  </si>
  <si>
    <t xml:space="preserve">7898665435953</t>
  </si>
  <si>
    <t xml:space="preserve">Omegafor Memory Vitafor 60 Cápsulas Sem </t>
  </si>
  <si>
    <t xml:space="preserve">885911435116</t>
  </si>
  <si>
    <t xml:space="preserve">8411061906804</t>
  </si>
  <si>
    <t xml:space="preserve">8435415065191</t>
  </si>
  <si>
    <t xml:space="preserve">7891033820597</t>
  </si>
  <si>
    <t xml:space="preserve">75ml</t>
  </si>
  <si>
    <t xml:space="preserve">Oui Scapin 245 Eau De Parfum 75ml</t>
  </si>
  <si>
    <t xml:space="preserve">7898735581580</t>
  </si>
  <si>
    <t xml:space="preserve">3614274000566</t>
  </si>
  <si>
    <t xml:space="preserve">7908407008250</t>
  </si>
  <si>
    <t xml:space="preserve">Glutationa Fórmula Nac Rituária 30 Cápsu</t>
  </si>
  <si>
    <t xml:space="preserve">3595471036292</t>
  </si>
  <si>
    <t xml:space="preserve">3349668661640</t>
  </si>
  <si>
    <t xml:space="preserve">3614227693241</t>
  </si>
  <si>
    <t xml:space="preserve">8411061093849</t>
  </si>
  <si>
    <t xml:space="preserve">8411061711804</t>
  </si>
  <si>
    <t xml:space="preserve">3423473020233</t>
  </si>
  <si>
    <t xml:space="preserve">3349668642717</t>
  </si>
  <si>
    <t xml:space="preserve">3614274169720</t>
  </si>
  <si>
    <t xml:space="preserve">3274872396197</t>
  </si>
  <si>
    <t xml:space="preserve">8435415062213</t>
  </si>
  <si>
    <t xml:space="preserve">3605975047240</t>
  </si>
  <si>
    <t xml:space="preserve">3349668576173</t>
  </si>
  <si>
    <t xml:space="preserve">8057971183715</t>
  </si>
  <si>
    <t xml:space="preserve">3349668614592</t>
  </si>
  <si>
    <t xml:space="preserve">7891033541911</t>
  </si>
  <si>
    <t xml:space="preserve">Colônia Eudora Pulse Boost Amadeirado Fr</t>
  </si>
  <si>
    <t xml:space="preserve">6290360598918</t>
  </si>
  <si>
    <t xml:space="preserve">7898665434666</t>
  </si>
  <si>
    <t xml:space="preserve">Suplemento Alimentar Simcaps 60 Cápsulas</t>
  </si>
  <si>
    <t xml:space="preserve">8435415064637</t>
  </si>
  <si>
    <t xml:space="preserve">3349668644933</t>
  </si>
  <si>
    <t xml:space="preserve">8011003890804</t>
  </si>
  <si>
    <t xml:space="preserve">3414206000592</t>
  </si>
  <si>
    <t xml:space="preserve">3414202000534</t>
  </si>
  <si>
    <t xml:space="preserve">7898665435588</t>
  </si>
  <si>
    <t xml:space="preserve">Hyaluronic Hair 60 Cápsulas Vitafor Sem </t>
  </si>
  <si>
    <t xml:space="preserve">8439627603110</t>
  </si>
  <si>
    <t xml:space="preserve">Perfume Manasik Cash Oud 100ml Eau De Pa</t>
  </si>
  <si>
    <t xml:space="preserve">3616304175893</t>
  </si>
  <si>
    <t xml:space="preserve">8056669925781</t>
  </si>
  <si>
    <t xml:space="preserve">7891033495115</t>
  </si>
  <si>
    <t xml:space="preserve">Eudora Rouge Eau De Parfum Feminino 75ml</t>
  </si>
  <si>
    <t xml:space="preserve">3274872441033</t>
  </si>
  <si>
    <t xml:space="preserve">3349668613427</t>
  </si>
  <si>
    <t xml:space="preserve">892456000525</t>
  </si>
  <si>
    <t xml:space="preserve">7895339020514</t>
  </si>
  <si>
    <t xml:space="preserve">Creme Hidratação Homeopast Para Pele Asp</t>
  </si>
  <si>
    <t xml:space="preserve">7898665433843</t>
  </si>
  <si>
    <t xml:space="preserve">120g</t>
  </si>
  <si>
    <t xml:space="preserve">Colosfort Premium Colostrum Protein 120g</t>
  </si>
  <si>
    <t xml:space="preserve">3386460149280</t>
  </si>
  <si>
    <t xml:space="preserve">Lacoste Booster Eau De Toilette Perfume </t>
  </si>
  <si>
    <t xml:space="preserve">3614273953856</t>
  </si>
  <si>
    <t xml:space="preserve">8056669925927</t>
  </si>
  <si>
    <t xml:space="preserve">7618900931046</t>
  </si>
  <si>
    <t xml:space="preserve">3423222056063</t>
  </si>
  <si>
    <t xml:space="preserve">Perfume Narciso Rodriguez Bleu Noir For </t>
  </si>
  <si>
    <t xml:space="preserve">3439600056815</t>
  </si>
  <si>
    <t xml:space="preserve">Mugler Body Lotion Angel Feminino Hidrat</t>
  </si>
  <si>
    <t xml:space="preserve">7898962163443</t>
  </si>
  <si>
    <t xml:space="preserve">3614274521368</t>
  </si>
  <si>
    <t xml:space="preserve">3331845850862</t>
  </si>
  <si>
    <t xml:space="preserve">Quartz Pour Femme Eau De Parfum ( Edp ) </t>
  </si>
  <si>
    <t xml:space="preserve">8411061945308</t>
  </si>
  <si>
    <t xml:space="preserve">7891033917150</t>
  </si>
  <si>
    <t xml:space="preserve">Eudora Lyra Colônia 75ml</t>
  </si>
  <si>
    <t xml:space="preserve">3605973038189</t>
  </si>
  <si>
    <t xml:space="preserve">3616307110136</t>
  </si>
  <si>
    <t xml:space="preserve">8411061056769</t>
  </si>
  <si>
    <t xml:space="preserve">3614274151701</t>
  </si>
  <si>
    <t xml:space="preserve">7898747480055</t>
  </si>
  <si>
    <t xml:space="preserve">Floral Kids Thérapi Tranquilito De 30 Ml</t>
  </si>
  <si>
    <t xml:space="preserve">7898480944906</t>
  </si>
  <si>
    <t xml:space="preserve">7898936769947</t>
  </si>
  <si>
    <t xml:space="preserve">Perfume Deo Colônia Iman Gold Masculino </t>
  </si>
  <si>
    <t xml:space="preserve">8057971188178</t>
  </si>
  <si>
    <t xml:space="preserve">8011003846627</t>
  </si>
  <si>
    <t xml:space="preserve">4975759103431</t>
  </si>
  <si>
    <t xml:space="preserve">7898047200742</t>
  </si>
  <si>
    <t xml:space="preserve">Magnésio Quelato 433mg 120 Cápsulas - Me</t>
  </si>
  <si>
    <t xml:space="preserve">8411061023167</t>
  </si>
  <si>
    <t xml:space="preserve">3349668555062</t>
  </si>
  <si>
    <t xml:space="preserve">8411061894026</t>
  </si>
  <si>
    <t xml:space="preserve">8411061026250</t>
  </si>
  <si>
    <t xml:space="preserve">8411061104897</t>
  </si>
  <si>
    <t xml:space="preserve">8411061026342</t>
  </si>
  <si>
    <t xml:space="preserve">8411061058466</t>
  </si>
  <si>
    <t xml:space="preserve">8411061134559</t>
  </si>
  <si>
    <t xml:space="preserve">7898618487169</t>
  </si>
  <si>
    <t xml:space="preserve">3386460155397</t>
  </si>
  <si>
    <t xml:space="preserve">7908005330838</t>
  </si>
  <si>
    <t xml:space="preserve">3386460113588</t>
  </si>
  <si>
    <t xml:space="preserve">3595471061010</t>
  </si>
  <si>
    <t xml:space="preserve">3616305480620</t>
  </si>
  <si>
    <t xml:space="preserve">7898618486995</t>
  </si>
  <si>
    <t xml:space="preserve">8411061870518</t>
  </si>
  <si>
    <t xml:space="preserve">8411061959367</t>
  </si>
  <si>
    <t xml:space="preserve">7898973267352</t>
  </si>
  <si>
    <t xml:space="preserve">3386460118125</t>
  </si>
  <si>
    <t xml:space="preserve">8018365071469</t>
  </si>
  <si>
    <t xml:space="preserve">8435415012607</t>
  </si>
  <si>
    <t xml:space="preserve">7908985904470</t>
  </si>
  <si>
    <t xml:space="preserve">I-envy By Kiss Ny Cola Para Cílios Posti</t>
  </si>
  <si>
    <t xml:space="preserve">3349668644049</t>
  </si>
  <si>
    <t xml:space="preserve">8411061085301</t>
  </si>
  <si>
    <t xml:space="preserve">Eau De Toilette Shakira Dance Midnight S</t>
  </si>
  <si>
    <t xml:space="preserve">3614229823776</t>
  </si>
  <si>
    <t xml:space="preserve">8411061123591</t>
  </si>
  <si>
    <t xml:space="preserve">3614228220897</t>
  </si>
  <si>
    <t xml:space="preserve">3349668627530</t>
  </si>
  <si>
    <t xml:space="preserve">100.55ml</t>
  </si>
  <si>
    <t xml:space="preserve">8011003825745</t>
  </si>
  <si>
    <t xml:space="preserve">3614274219548</t>
  </si>
  <si>
    <t xml:space="preserve">8057971180493</t>
  </si>
  <si>
    <t xml:space="preserve">3605532612690</t>
  </si>
  <si>
    <t xml:space="preserve">711719572688</t>
  </si>
  <si>
    <t xml:space="preserve">3349668666850</t>
  </si>
  <si>
    <t xml:space="preserve">3349668594412</t>
  </si>
  <si>
    <t xml:space="preserve">8435415114363</t>
  </si>
  <si>
    <t xml:space="preserve">8411061083666</t>
  </si>
  <si>
    <t xml:space="preserve">8011003895755</t>
  </si>
  <si>
    <t xml:space="preserve">8011003997022</t>
  </si>
  <si>
    <t xml:space="preserve">3386460113601</t>
  </si>
  <si>
    <t xml:space="preserve">8411061041802</t>
  </si>
  <si>
    <t xml:space="preserve">8411061134351</t>
  </si>
  <si>
    <t xml:space="preserve">729238146600</t>
  </si>
  <si>
    <t xml:space="preserve">8435415091275</t>
  </si>
  <si>
    <t xml:space="preserve">8411061109953</t>
  </si>
  <si>
    <t xml:space="preserve">3614274104370</t>
  </si>
  <si>
    <t xml:space="preserve">8411061930878</t>
  </si>
  <si>
    <t xml:space="preserve">8011003861224</t>
  </si>
  <si>
    <t xml:space="preserve">3614274347968</t>
  </si>
  <si>
    <t xml:space="preserve">8433982003400</t>
  </si>
  <si>
    <t xml:space="preserve">8011003809196</t>
  </si>
  <si>
    <t xml:space="preserve">8011003813858</t>
  </si>
  <si>
    <t xml:space="preserve">3614273760713</t>
  </si>
  <si>
    <t xml:space="preserve">8435415080378</t>
  </si>
  <si>
    <t xml:space="preserve">3386460156875</t>
  </si>
  <si>
    <t xml:space="preserve">Lacoste Original Eau De Parfum ( Edp ) 1</t>
  </si>
  <si>
    <t xml:space="preserve">8011003819423</t>
  </si>
  <si>
    <t xml:space="preserve">3349668545636</t>
  </si>
  <si>
    <t xml:space="preserve">3360373063703</t>
  </si>
  <si>
    <t xml:space="preserve">Eau De Toilette Cacharel Amor Amor Para </t>
  </si>
  <si>
    <t xml:space="preserve">8011003839308</t>
  </si>
  <si>
    <t xml:space="preserve">3614273604932</t>
  </si>
  <si>
    <t xml:space="preserve">3614227758162</t>
  </si>
  <si>
    <t xml:space="preserve">8435415091268</t>
  </si>
  <si>
    <t xml:space="preserve">7896075702023</t>
  </si>
  <si>
    <t xml:space="preserve">Pinça De Sobrancelha Merheje Lisa Em Aço</t>
  </si>
  <si>
    <t xml:space="preserve">3349668644025</t>
  </si>
  <si>
    <t xml:space="preserve">9000250236410</t>
  </si>
  <si>
    <t xml:space="preserve">8011003839285</t>
  </si>
  <si>
    <t xml:space="preserve">7908966570472</t>
  </si>
  <si>
    <t xml:space="preserve">3614229135145</t>
  </si>
  <si>
    <t xml:space="preserve">719346646550</t>
  </si>
  <si>
    <t xml:space="preserve">Perfume Masculino John Varvatos Artisan </t>
  </si>
  <si>
    <t xml:space="preserve">3614274103007</t>
  </si>
  <si>
    <t xml:space="preserve">3386460141703</t>
  </si>
  <si>
    <t xml:space="preserve">Perfume Jimmy Choo I Want Choo Feminino </t>
  </si>
  <si>
    <t xml:space="preserve">8011003845132</t>
  </si>
  <si>
    <t xml:space="preserve">3614273954167</t>
  </si>
  <si>
    <t xml:space="preserve">3614272907652</t>
  </si>
  <si>
    <t xml:space="preserve">3616305160584</t>
  </si>
  <si>
    <t xml:space="preserve">7898973267826</t>
  </si>
  <si>
    <t xml:space="preserve">3439600056655</t>
  </si>
  <si>
    <t xml:space="preserve">Angel Mugler Perfume Feminino Eau De Par</t>
  </si>
  <si>
    <t xml:space="preserve">6924328316749</t>
  </si>
  <si>
    <t xml:space="preserve">8801046426982</t>
  </si>
  <si>
    <t xml:space="preserve">Kerasys Mascara Propolis Hair Bonding Pr</t>
  </si>
  <si>
    <t xml:space="preserve">7908896603752</t>
  </si>
  <si>
    <t xml:space="preserve">4206136755517</t>
  </si>
  <si>
    <t xml:space="preserve">8411061865439</t>
  </si>
  <si>
    <t xml:space="preserve">3414206000608</t>
  </si>
  <si>
    <t xml:space="preserve">8411061896259</t>
  </si>
  <si>
    <t xml:space="preserve">3349668630035</t>
  </si>
  <si>
    <t xml:space="preserve">3616305169273</t>
  </si>
  <si>
    <t xml:space="preserve">7898973267918</t>
  </si>
  <si>
    <t xml:space="preserve">Creme Clareador Íntimo E Corporal Gliven</t>
  </si>
  <si>
    <t xml:space="preserve">4710122017157</t>
  </si>
  <si>
    <t xml:space="preserve">5060524511142</t>
  </si>
  <si>
    <t xml:space="preserve">Cristiano Ronaldo Origins Edt - Perfume </t>
  </si>
  <si>
    <t xml:space="preserve">3349668612611</t>
  </si>
  <si>
    <t xml:space="preserve">8411061083772</t>
  </si>
  <si>
    <t xml:space="preserve">3605973048416</t>
  </si>
  <si>
    <t xml:space="preserve">9000250313913</t>
  </si>
  <si>
    <t xml:space="preserve">7897013536090</t>
  </si>
  <si>
    <t xml:space="preserve">Pilha Recarregável Aa Comum Elgin 2.500m</t>
  </si>
  <si>
    <t xml:space="preserve">3274872372153</t>
  </si>
  <si>
    <t xml:space="preserve">3614228837996</t>
  </si>
  <si>
    <t xml:space="preserve">7898973267406</t>
  </si>
  <si>
    <t xml:space="preserve">3386460129879</t>
  </si>
  <si>
    <t xml:space="preserve">Perfume Jimmy Choo I Want Choo Forever E</t>
  </si>
  <si>
    <t xml:space="preserve">7895730719345</t>
  </si>
  <si>
    <t xml:space="preserve">Wolff Wolff Mesa 71934 Prateado</t>
  </si>
  <si>
    <t xml:space="preserve">3137370360926</t>
  </si>
  <si>
    <t xml:space="preserve">3349668661657</t>
  </si>
  <si>
    <t xml:space="preserve">7898741806011</t>
  </si>
  <si>
    <t xml:space="preserve">Base De Maquiagem Líquida Bruna Tavares </t>
  </si>
  <si>
    <t xml:space="preserve">8011003804566</t>
  </si>
  <si>
    <t xml:space="preserve">8011003891092</t>
  </si>
  <si>
    <t xml:space="preserve">8011003901623</t>
  </si>
  <si>
    <t xml:space="preserve">3274872427204</t>
  </si>
  <si>
    <t xml:space="preserve">Perfume Feminino Flower By Kenzo Edp 100</t>
  </si>
  <si>
    <t xml:space="preserve">7618900908086</t>
  </si>
  <si>
    <t xml:space="preserve">8411061097922</t>
  </si>
  <si>
    <t xml:space="preserve">4895229159167</t>
  </si>
  <si>
    <t xml:space="preserve">8435415011280</t>
  </si>
  <si>
    <t xml:space="preserve">3614274151145</t>
  </si>
  <si>
    <t xml:space="preserve">8011003823536</t>
  </si>
  <si>
    <t xml:space="preserve">8435415017206</t>
  </si>
  <si>
    <t xml:space="preserve">3616305181053</t>
  </si>
  <si>
    <t xml:space="preserve">3614229828542</t>
  </si>
  <si>
    <t xml:space="preserve">8411061081358</t>
  </si>
  <si>
    <t xml:space="preserve">4710122009855</t>
  </si>
  <si>
    <t xml:space="preserve">8056669925866</t>
  </si>
  <si>
    <t xml:space="preserve">8435415011341</t>
  </si>
  <si>
    <t xml:space="preserve">7908407006577</t>
  </si>
  <si>
    <t xml:space="preserve">Fórmula Fabulosa Rituária 30 Cápsulas Su</t>
  </si>
  <si>
    <t xml:space="preserve">3349668641833</t>
  </si>
  <si>
    <t xml:space="preserve">3355991003019</t>
  </si>
  <si>
    <t xml:space="preserve">7908005386859</t>
  </si>
  <si>
    <t xml:space="preserve">Mochila Galapagos Pelican 30 Litros Cor </t>
  </si>
  <si>
    <t xml:space="preserve">7898681497997</t>
  </si>
  <si>
    <t xml:space="preserve">Máquina De Cortar Cabelo 9000rpm V-001 V</t>
  </si>
  <si>
    <t xml:space="preserve">7896768499858</t>
  </si>
  <si>
    <t xml:space="preserve">3386460066082</t>
  </si>
  <si>
    <t xml:space="preserve">Boucheron Quatre Pour Femme Eau De Parfu</t>
  </si>
  <si>
    <t xml:space="preserve">3386460169950</t>
  </si>
  <si>
    <t xml:space="preserve">5425017735793</t>
  </si>
  <si>
    <t xml:space="preserve">New Brand 4 Men 100ml Edt - Volume Da Un</t>
  </si>
  <si>
    <t xml:space="preserve">3423222118396</t>
  </si>
  <si>
    <t xml:space="preserve">Issey Miyake L'eau D'issey Eau De Parfum</t>
  </si>
  <si>
    <t xml:space="preserve">8011003839117</t>
  </si>
  <si>
    <t xml:space="preserve">7896235353744</t>
  </si>
  <si>
    <t xml:space="preserve">7899838874869</t>
  </si>
  <si>
    <t xml:space="preserve">Aparelho De Pressão Arterial Digital De </t>
  </si>
  <si>
    <t xml:space="preserve">7898973267864</t>
  </si>
  <si>
    <t xml:space="preserve">3349668643929</t>
  </si>
  <si>
    <t xml:space="preserve">8411061088180</t>
  </si>
  <si>
    <t xml:space="preserve">751320866066</t>
  </si>
  <si>
    <t xml:space="preserve">Aspirador Sugador Nasal Para Bebês Liklu</t>
  </si>
  <si>
    <t xml:space="preserve">3614229382167</t>
  </si>
  <si>
    <t xml:space="preserve">3331845870877</t>
  </si>
  <si>
    <t xml:space="preserve">Molyneux Quartz Pour Homme 100ml Masculi</t>
  </si>
  <si>
    <t xml:space="preserve">3349668614523</t>
  </si>
  <si>
    <t xml:space="preserve">3616304691645</t>
  </si>
  <si>
    <t xml:space="preserve">7908407007789</t>
  </si>
  <si>
    <t xml:space="preserve">Suplemento Fórmula Coenzima Q10 Rituária</t>
  </si>
  <si>
    <t xml:space="preserve">3355992000260</t>
  </si>
  <si>
    <t xml:space="preserve">Lapidus Pour Homme 100ml Masculino | Ori</t>
  </si>
  <si>
    <t xml:space="preserve">8011003809202</t>
  </si>
  <si>
    <t xml:space="preserve">3360372058861</t>
  </si>
  <si>
    <t xml:space="preserve">7908966525076</t>
  </si>
  <si>
    <t xml:space="preserve">3614272629370</t>
  </si>
  <si>
    <t xml:space="preserve">7896086944337</t>
  </si>
  <si>
    <t xml:space="preserve">3616305965639</t>
  </si>
  <si>
    <t xml:space="preserve">3605975050882</t>
  </si>
  <si>
    <t xml:space="preserve">7898665435380</t>
  </si>
  <si>
    <t xml:space="preserve">20ml</t>
  </si>
  <si>
    <t xml:space="preserve">Vitamina B12 Vitafor Em Gotas Vitamina B</t>
  </si>
  <si>
    <t xml:space="preserve">7898949730675</t>
  </si>
  <si>
    <t xml:space="preserve">Glutamax - 30 Sachês 10g - Vitafor Sabor</t>
  </si>
  <si>
    <t xml:space="preserve">6085010044712</t>
  </si>
  <si>
    <t xml:space="preserve">105ml</t>
  </si>
  <si>
    <t xml:space="preserve">8435415050777</t>
  </si>
  <si>
    <t xml:space="preserve">8011003890798</t>
  </si>
  <si>
    <t xml:space="preserve">309974700085</t>
  </si>
  <si>
    <t xml:space="preserve">Base Revlon Colorstay 300 Golden Beige 3</t>
  </si>
  <si>
    <t xml:space="preserve">8435415049542</t>
  </si>
  <si>
    <t xml:space="preserve">3616301794639</t>
  </si>
  <si>
    <t xml:space="preserve">3616303475413</t>
  </si>
  <si>
    <t xml:space="preserve">7897013526107</t>
  </si>
  <si>
    <t xml:space="preserve">Calculadora Impressão Térmica Elgin Esco</t>
  </si>
  <si>
    <t xml:space="preserve">7898301059635</t>
  </si>
  <si>
    <t xml:space="preserve">Tiras Reagentes G-tech Lite 50 Tiras Bra</t>
  </si>
  <si>
    <t xml:space="preserve">8018365070264</t>
  </si>
  <si>
    <t xml:space="preserve">3616303173098</t>
  </si>
  <si>
    <t xml:space="preserve">3614227693876</t>
  </si>
  <si>
    <t xml:space="preserve">3423222119485</t>
  </si>
  <si>
    <t xml:space="preserve">Issey Miyake Le Sel D'issey Eau De Parfu</t>
  </si>
  <si>
    <t xml:space="preserve">3614274289527</t>
  </si>
  <si>
    <t xml:space="preserve">Perfume Masculino Ysl Myslf Eau De Parfu</t>
  </si>
  <si>
    <t xml:space="preserve">7898665431580</t>
  </si>
  <si>
    <t xml:space="preserve">Vita Bear Vitafor Multivitamínico Infant</t>
  </si>
  <si>
    <t xml:space="preserve">4710214000067</t>
  </si>
  <si>
    <t xml:space="preserve">7896768470147</t>
  </si>
  <si>
    <t xml:space="preserve">Protetor Solar Facial Ada Tina Soleize M</t>
  </si>
  <si>
    <t xml:space="preserve">3349668627479</t>
  </si>
  <si>
    <t xml:space="preserve">4710122009848</t>
  </si>
  <si>
    <t xml:space="preserve">7898741806059</t>
  </si>
  <si>
    <t xml:space="preserve">Bruna Tavares Bt Skin Base Líquida Cor M</t>
  </si>
  <si>
    <t xml:space="preserve">8435415116664</t>
  </si>
  <si>
    <t xml:space="preserve">3614274752038</t>
  </si>
  <si>
    <t xml:space="preserve">7891033838455</t>
  </si>
  <si>
    <t xml:space="preserve">Perfume Feminino Oui Paris Paradis Rouge</t>
  </si>
  <si>
    <t xml:space="preserve">8435415103121</t>
  </si>
  <si>
    <t xml:space="preserve">7896768470666</t>
  </si>
  <si>
    <t xml:space="preserve">7896086960788</t>
  </si>
  <si>
    <t xml:space="preserve">8439627620537</t>
  </si>
  <si>
    <t xml:space="preserve">Perfume Manasik Malikat Al Arab Rose 100</t>
  </si>
  <si>
    <t xml:space="preserve">3274872404328</t>
  </si>
  <si>
    <t xml:space="preserve">Flower By Kenzo Légère Feminino - Edt 30</t>
  </si>
  <si>
    <t xml:space="preserve">7898449395022</t>
  </si>
  <si>
    <t xml:space="preserve">Máscara Pigmentante Vegano Kamaleão 150m</t>
  </si>
  <si>
    <t xml:space="preserve">7898390942436</t>
  </si>
  <si>
    <t xml:space="preserve">Óculos De Segurança Cinza Espelhado Vene</t>
  </si>
  <si>
    <t xml:space="preserve">7898665431610</t>
  </si>
  <si>
    <t xml:space="preserve">Arginofor Vitafor 120 Cápsulas Sem Sabor</t>
  </si>
  <si>
    <t xml:space="preserve">6294015164152</t>
  </si>
  <si>
    <t xml:space="preserve">5055810015169</t>
  </si>
  <si>
    <t xml:space="preserve">Perfume Masculino Magnata Eau De Parfum </t>
  </si>
  <si>
    <t xml:space="preserve">7898684482730</t>
  </si>
  <si>
    <t xml:space="preserve">Desincoffee Supercafé Chocolate Belga</t>
  </si>
  <si>
    <t xml:space="preserve">3274872439078</t>
  </si>
  <si>
    <t xml:space="preserve">7898665433171</t>
  </si>
  <si>
    <t xml:space="preserve">L-carnitina + B6 Vitafor 120 Cápsulas Se</t>
  </si>
  <si>
    <t xml:space="preserve">7898684484925</t>
  </si>
  <si>
    <t xml:space="preserve">Desincoffee Supercafé Chocolate Branco 2</t>
  </si>
  <si>
    <t xml:space="preserve">8056669925705</t>
  </si>
  <si>
    <t xml:space="preserve">7908005352397</t>
  </si>
  <si>
    <t xml:space="preserve">8411061067901</t>
  </si>
  <si>
    <t xml:space="preserve">3386460025478</t>
  </si>
  <si>
    <t xml:space="preserve">Jimmy Choo Eau De Parfum 100ml Feminino </t>
  </si>
  <si>
    <t xml:space="preserve">8435415055956</t>
  </si>
  <si>
    <t xml:space="preserve">3349668627462</t>
  </si>
  <si>
    <t xml:space="preserve">8411061123911</t>
  </si>
  <si>
    <t xml:space="preserve">7898618486964</t>
  </si>
  <si>
    <t xml:space="preserve">8005610643885</t>
  </si>
  <si>
    <t xml:space="preserve">3616305181046</t>
  </si>
  <si>
    <t xml:space="preserve">4975759103080</t>
  </si>
  <si>
    <t xml:space="preserve">768614224464</t>
  </si>
  <si>
    <t xml:space="preserve">7898684482778</t>
  </si>
  <si>
    <t xml:space="preserve">Desincoffee Supercafé Caramelo Flor Sal</t>
  </si>
  <si>
    <t xml:space="preserve">8435415011310</t>
  </si>
  <si>
    <t xml:space="preserve">8011003891498</t>
  </si>
  <si>
    <t xml:space="preserve">6925387193685</t>
  </si>
  <si>
    <t xml:space="preserve">Parafusadeira Impacto 12v 2x 2ah Brushle</t>
  </si>
  <si>
    <t xml:space="preserve">3616305638625</t>
  </si>
  <si>
    <t xml:space="preserve">4711530962046</t>
  </si>
  <si>
    <t xml:space="preserve">Fonte Atx Aerocool Vx-350w 350w Bivolt C</t>
  </si>
  <si>
    <t xml:space="preserve">7640496670115</t>
  </si>
  <si>
    <t xml:space="preserve">7898449394971</t>
  </si>
  <si>
    <t xml:space="preserve">Kamaleão Color Máscara Pigmentante Tonal</t>
  </si>
  <si>
    <t xml:space="preserve">892456000013</t>
  </si>
  <si>
    <t xml:space="preserve">3386460066075</t>
  </si>
  <si>
    <t xml:space="preserve">Perfume Boucheron Quatre Pour Femme Edp </t>
  </si>
  <si>
    <t xml:space="preserve">7898554606402</t>
  </si>
  <si>
    <t xml:space="preserve">Fonte Gamer Fortrek Black Hawk 500w 80 P</t>
  </si>
  <si>
    <t xml:space="preserve">6085010094151</t>
  </si>
  <si>
    <t xml:space="preserve">8057971180400</t>
  </si>
  <si>
    <t xml:space="preserve">3616307200240</t>
  </si>
  <si>
    <t xml:space="preserve">8411061122709</t>
  </si>
  <si>
    <t xml:space="preserve">3349668630110</t>
  </si>
  <si>
    <t xml:space="preserve">8011003845347</t>
  </si>
  <si>
    <t xml:space="preserve">7640496670139</t>
  </si>
  <si>
    <t xml:space="preserve">3423470311365</t>
  </si>
  <si>
    <t xml:space="preserve">Issey Miyake L'eau D'issey 125ml Masculi</t>
  </si>
  <si>
    <t xml:space="preserve">8439627611603</t>
  </si>
  <si>
    <t xml:space="preserve">Perfume Manasik Faras 100ml Eau De Parfu</t>
  </si>
  <si>
    <t xml:space="preserve">3614270754074</t>
  </si>
  <si>
    <t xml:space="preserve">8057971180479</t>
  </si>
  <si>
    <t xml:space="preserve">3137370357476</t>
  </si>
  <si>
    <t xml:space="preserve">7898618487121</t>
  </si>
  <si>
    <t xml:space="preserve">7896460318754</t>
  </si>
  <si>
    <t xml:space="preserve">Boneca Lady Bug Musical 45 Cm</t>
  </si>
  <si>
    <t xml:space="preserve">7896768499469</t>
  </si>
  <si>
    <t xml:space="preserve">783320427152</t>
  </si>
  <si>
    <t xml:space="preserve">Bvlgari Aqva Pour Homme ( Tradicional ) </t>
  </si>
  <si>
    <t xml:space="preserve">3614273638869</t>
  </si>
  <si>
    <t xml:space="preserve">4895229117563</t>
  </si>
  <si>
    <t xml:space="preserve">7908137904907</t>
  </si>
  <si>
    <t xml:space="preserve">8011003858545</t>
  </si>
  <si>
    <t xml:space="preserve">4975759103103</t>
  </si>
  <si>
    <t xml:space="preserve">70ml</t>
  </si>
  <si>
    <t xml:space="preserve">3614274192278</t>
  </si>
  <si>
    <t xml:space="preserve">4064941156840</t>
  </si>
  <si>
    <t xml:space="preserve">Perfume Feminino Kylie Jenner Cosmic 2.0</t>
  </si>
  <si>
    <t xml:space="preserve">3439600056969</t>
  </si>
  <si>
    <t xml:space="preserve">Perfume Feminino Amadeirado Floral Fragr</t>
  </si>
  <si>
    <t xml:space="preserve">7898936770974</t>
  </si>
  <si>
    <t xml:space="preserve">Perfume Deo Colônia Kiss Com Caixa Femin</t>
  </si>
  <si>
    <t xml:space="preserve">3614271682369</t>
  </si>
  <si>
    <t xml:space="preserve">3274872456341</t>
  </si>
  <si>
    <t xml:space="preserve">8435415076814</t>
  </si>
  <si>
    <t xml:space="preserve">3386460160827</t>
  </si>
  <si>
    <t xml:space="preserve">Perfume Jimmy Choo I Want Choo With Love</t>
  </si>
  <si>
    <t xml:space="preserve">3614273347846</t>
  </si>
  <si>
    <t xml:space="preserve">3614228838016</t>
  </si>
  <si>
    <t xml:space="preserve">7898390944478</t>
  </si>
  <si>
    <t xml:space="preserve">Oculos Segurança Para Colocar Lente Grau</t>
  </si>
  <si>
    <t xml:space="preserve">3349668530564</t>
  </si>
  <si>
    <t xml:space="preserve">8057971180509</t>
  </si>
  <si>
    <t xml:space="preserve">8435415049405</t>
  </si>
  <si>
    <t xml:space="preserve">3607346232385</t>
  </si>
  <si>
    <t xml:space="preserve">3616302020676</t>
  </si>
  <si>
    <t xml:space="preserve">3349668630042</t>
  </si>
  <si>
    <t xml:space="preserve">7898449393639</t>
  </si>
  <si>
    <t xml:space="preserve">Máscara Pigmentante Kamaleão Color Cor M</t>
  </si>
  <si>
    <t xml:space="preserve">3616304967115</t>
  </si>
  <si>
    <t xml:space="preserve">768614228455</t>
  </si>
  <si>
    <t xml:space="preserve">3616306096219</t>
  </si>
  <si>
    <t xml:space="preserve">7896086904492</t>
  </si>
  <si>
    <t xml:space="preserve">3147758029390</t>
  </si>
  <si>
    <t xml:space="preserve">3423470485547</t>
  </si>
  <si>
    <t xml:space="preserve">40ml</t>
  </si>
  <si>
    <t xml:space="preserve">Perfume Issey Miyake L'eau D'issey Pour </t>
  </si>
  <si>
    <t xml:space="preserve">3614273768832</t>
  </si>
  <si>
    <t xml:space="preserve">7908005344019</t>
  </si>
  <si>
    <t xml:space="preserve">885911984911</t>
  </si>
  <si>
    <t xml:space="preserve">Parafusadeira Furadeira De Impacto Stanl</t>
  </si>
  <si>
    <t xml:space="preserve">3616302514298</t>
  </si>
  <si>
    <t xml:space="preserve">7898301058140</t>
  </si>
  <si>
    <t xml:space="preserve">Tensiômetro Digital De Pulso Premium Lp2</t>
  </si>
  <si>
    <t xml:space="preserve">8011003803132</t>
  </si>
  <si>
    <t xml:space="preserve">8411061088197</t>
  </si>
  <si>
    <t xml:space="preserve">7908654009383</t>
  </si>
  <si>
    <t xml:space="preserve">Body Splash Aurora Shine Aura Beauty Jad</t>
  </si>
  <si>
    <t xml:space="preserve">8435415103152</t>
  </si>
  <si>
    <t xml:space="preserve">7898684482747</t>
  </si>
  <si>
    <t xml:space="preserve">Super Coffee Desincoffee 220g Café Termo</t>
  </si>
  <si>
    <t xml:space="preserve">3614227758063</t>
  </si>
  <si>
    <t xml:space="preserve">3616306130012</t>
  </si>
  <si>
    <t xml:space="preserve">8411061869406</t>
  </si>
  <si>
    <t xml:space="preserve">7908966560985</t>
  </si>
  <si>
    <t xml:space="preserve">8411061027820</t>
  </si>
  <si>
    <t xml:space="preserve">7891033580569</t>
  </si>
  <si>
    <t xml:space="preserve">Eudora - Pulse Power Colônia 100ml</t>
  </si>
  <si>
    <t xml:space="preserve">3386460109567</t>
  </si>
  <si>
    <t xml:space="preserve">Coach Dreams Edp ( Tradicional ) 90ml Fe</t>
  </si>
  <si>
    <t xml:space="preserve">3614229382129</t>
  </si>
  <si>
    <t xml:space="preserve">3614273667418</t>
  </si>
  <si>
    <t xml:space="preserve">3614274521245</t>
  </si>
  <si>
    <t xml:space="preserve">7898410313789</t>
  </si>
  <si>
    <t xml:space="preserve">Ciclo Deo Colônia Feminina Athina 100ml</t>
  </si>
  <si>
    <t xml:space="preserve">7908896603554</t>
  </si>
  <si>
    <t xml:space="preserve">7898665434888</t>
  </si>
  <si>
    <t xml:space="preserve">Resveratrol Plus 60 Cápsulas Vitafor Sem</t>
  </si>
  <si>
    <t xml:space="preserve">8411061024164</t>
  </si>
  <si>
    <t xml:space="preserve">7898449393660</t>
  </si>
  <si>
    <t xml:space="preserve">Máscara Pigmentante Kamaleão Color Guará</t>
  </si>
  <si>
    <t xml:space="preserve">878813000063</t>
  </si>
  <si>
    <t xml:space="preserve">8011003890996</t>
  </si>
  <si>
    <t xml:space="preserve">7896768497076</t>
  </si>
  <si>
    <t xml:space="preserve">8435415017213</t>
  </si>
  <si>
    <t xml:space="preserve">309974700054</t>
  </si>
  <si>
    <t xml:space="preserve">Base De Maquiagem Bege Natural Revlon Co</t>
  </si>
  <si>
    <t xml:space="preserve">3760040114217</t>
  </si>
  <si>
    <t xml:space="preserve">Perfume Salvador Dalí Laguna Edt 100ml F</t>
  </si>
  <si>
    <t xml:space="preserve">3349668614516</t>
  </si>
  <si>
    <t xml:space="preserve">7908992003449</t>
  </si>
  <si>
    <t xml:space="preserve">7898390944034</t>
  </si>
  <si>
    <t xml:space="preserve">Óculos Cancun Cinza Kalipso Ca 45873</t>
  </si>
  <si>
    <t xml:space="preserve">3605970416089</t>
  </si>
  <si>
    <t xml:space="preserve">3349668515653</t>
  </si>
  <si>
    <t xml:space="preserve">7898665431641</t>
  </si>
  <si>
    <t xml:space="preserve">Mct 500ml Vitafor Sem Sabor</t>
  </si>
  <si>
    <t xml:space="preserve">749355833726</t>
  </si>
  <si>
    <t xml:space="preserve">Perfume Deo Colônia Gl Embaixador Gustta</t>
  </si>
  <si>
    <t xml:space="preserve">7908412523564</t>
  </si>
  <si>
    <t xml:space="preserve">Campainha Sem Fio Elgin 127v/220v Bivolt</t>
  </si>
  <si>
    <t xml:space="preserve">3137370357681</t>
  </si>
  <si>
    <t xml:space="preserve">7908005327302</t>
  </si>
  <si>
    <t xml:space="preserve">3614273734882</t>
  </si>
  <si>
    <t xml:space="preserve">3614273961738</t>
  </si>
  <si>
    <t xml:space="preserve">8011003801619</t>
  </si>
  <si>
    <t xml:space="preserve">4064666578798</t>
  </si>
  <si>
    <t xml:space="preserve">3349668614660</t>
  </si>
  <si>
    <t xml:space="preserve">3616303470791</t>
  </si>
  <si>
    <t xml:space="preserve">7908005300763</t>
  </si>
  <si>
    <t xml:space="preserve">7908005320587</t>
  </si>
  <si>
    <t xml:space="preserve">768614155249</t>
  </si>
  <si>
    <t xml:space="preserve">3614274299212</t>
  </si>
  <si>
    <t xml:space="preserve">7896558460426</t>
  </si>
  <si>
    <t xml:space="preserve">Mochila De Ataque Gávea 25l Preto Campin</t>
  </si>
  <si>
    <t xml:space="preserve">7908416500028</t>
  </si>
  <si>
    <t xml:space="preserve">8411061934524</t>
  </si>
  <si>
    <t xml:space="preserve">8433982025891</t>
  </si>
  <si>
    <t xml:space="preserve">8435415050753</t>
  </si>
  <si>
    <t xml:space="preserve">7896086993816</t>
  </si>
  <si>
    <t xml:space="preserve">3616303445560</t>
  </si>
  <si>
    <t xml:space="preserve">4011700740048</t>
  </si>
  <si>
    <t xml:space="preserve">400ml</t>
  </si>
  <si>
    <t xml:space="preserve">7899651850095</t>
  </si>
  <si>
    <t xml:space="preserve">Mini Bomba Ar Sentec C/ Mangueira 120 Ps</t>
  </si>
  <si>
    <t xml:space="preserve">3605521816511</t>
  </si>
  <si>
    <t xml:space="preserve">3349668667086</t>
  </si>
  <si>
    <t xml:space="preserve">4710122008100</t>
  </si>
  <si>
    <t xml:space="preserve">3614274182897</t>
  </si>
  <si>
    <t xml:space="preserve">8057971186679</t>
  </si>
  <si>
    <t xml:space="preserve">892456000310</t>
  </si>
  <si>
    <t xml:space="preserve">7891033518340</t>
  </si>
  <si>
    <t xml:space="preserve">Eudora Pulse Action Perfume Masculino 10</t>
  </si>
  <si>
    <t xml:space="preserve">7896873179904</t>
  </si>
  <si>
    <t xml:space="preserve">3423473049654</t>
  </si>
  <si>
    <t xml:space="preserve">3349668630349</t>
  </si>
  <si>
    <t xml:space="preserve">7898967229021</t>
  </si>
  <si>
    <t xml:space="preserve">Protetor Solar Skin Aqua Uv Super Moistu</t>
  </si>
  <si>
    <t xml:space="preserve">7896046700669</t>
  </si>
  <si>
    <t xml:space="preserve">Mousse Modeladora Capilar Extra Forte 14</t>
  </si>
  <si>
    <t xml:space="preserve">3616305181060</t>
  </si>
  <si>
    <t xml:space="preserve">3616303445577</t>
  </si>
  <si>
    <t xml:space="preserve">3616305271556</t>
  </si>
  <si>
    <t xml:space="preserve">3349668627523</t>
  </si>
  <si>
    <t xml:space="preserve">878813000025</t>
  </si>
  <si>
    <t xml:space="preserve">7898390941453</t>
  </si>
  <si>
    <t xml:space="preserve">Óculos De Segurança Kalipso Capri Cinza </t>
  </si>
  <si>
    <t xml:space="preserve">3614270561665</t>
  </si>
  <si>
    <t xml:space="preserve">3349668641826</t>
  </si>
  <si>
    <t xml:space="preserve">8435415102681</t>
  </si>
  <si>
    <t xml:space="preserve">3386460155403</t>
  </si>
  <si>
    <t xml:space="preserve">8435415116558</t>
  </si>
  <si>
    <t xml:space="preserve">3616305259448</t>
  </si>
  <si>
    <t xml:space="preserve">7891033934508</t>
  </si>
  <si>
    <t xml:space="preserve">Eudora Pulse Colônia 100ml</t>
  </si>
  <si>
    <t xml:space="preserve">8435415082686</t>
  </si>
  <si>
    <t xml:space="preserve">6290171073796</t>
  </si>
  <si>
    <t xml:space="preserve">Perfume Riiffs Goodness Oud Blanc 100ml </t>
  </si>
  <si>
    <t xml:space="preserve">7898554605733</t>
  </si>
  <si>
    <t xml:space="preserve">Headset Gamer Fortrek H2 Conexão P2 + Us</t>
  </si>
  <si>
    <t xml:space="preserve">4975759103462</t>
  </si>
  <si>
    <t xml:space="preserve">8435415114011</t>
  </si>
  <si>
    <t xml:space="preserve">730852145313</t>
  </si>
  <si>
    <t xml:space="preserve">7896235353652</t>
  </si>
  <si>
    <t xml:space="preserve">3423478807655</t>
  </si>
  <si>
    <t xml:space="preserve">Narciso Rodriguez Bleu Noir Eau De Parfu</t>
  </si>
  <si>
    <t xml:space="preserve">5425039220154</t>
  </si>
  <si>
    <t xml:space="preserve">Perfume New Brand Strong Masc. 100ml</t>
  </si>
  <si>
    <t xml:space="preserve">5055810028640</t>
  </si>
  <si>
    <t xml:space="preserve">Zirconia Privé V12 Perfume Masculino 100</t>
  </si>
  <si>
    <t xml:space="preserve">3614274329384</t>
  </si>
  <si>
    <t xml:space="preserve">7898665434789</t>
  </si>
  <si>
    <t xml:space="preserve">Laczyme - 60 Cap - Vitafor Sabor Sem Sab</t>
  </si>
  <si>
    <t xml:space="preserve">729238182851</t>
  </si>
  <si>
    <t xml:space="preserve">3605972696984</t>
  </si>
  <si>
    <t xml:space="preserve">3616303312428</t>
  </si>
  <si>
    <t xml:space="preserve">8411061085295</t>
  </si>
  <si>
    <t xml:space="preserve">8011003991143</t>
  </si>
  <si>
    <t xml:space="preserve">8435415030908</t>
  </si>
  <si>
    <t xml:space="preserve">3386460149297</t>
  </si>
  <si>
    <t xml:space="preserve">Perfume Lacoste Essential 125ml Masculin</t>
  </si>
  <si>
    <t xml:space="preserve">3605522040281</t>
  </si>
  <si>
    <t xml:space="preserve">8011003858552</t>
  </si>
  <si>
    <t xml:space="preserve">3147758034905</t>
  </si>
  <si>
    <t xml:space="preserve">3616304697364</t>
  </si>
  <si>
    <t xml:space="preserve">3349668614615</t>
  </si>
  <si>
    <t xml:space="preserve">7893595770662</t>
  </si>
  <si>
    <t xml:space="preserve">Floral - Controle Da Agitação 30ml Calmi</t>
  </si>
  <si>
    <t xml:space="preserve">3386460074797</t>
  </si>
  <si>
    <t xml:space="preserve">7896010175615</t>
  </si>
  <si>
    <t xml:space="preserve">Spray Gloss Extra Brilho Cless Charming </t>
  </si>
  <si>
    <t xml:space="preserve">3614274150926</t>
  </si>
  <si>
    <t xml:space="preserve">3349668645213</t>
  </si>
  <si>
    <t xml:space="preserve">7898735581900</t>
  </si>
  <si>
    <t xml:space="preserve">7898976350020</t>
  </si>
  <si>
    <t xml:space="preserve">Body Splash Athena Glow Aura Beauty Jade</t>
  </si>
  <si>
    <t xml:space="preserve">7898618487152</t>
  </si>
  <si>
    <t xml:space="preserve">3423470485448</t>
  </si>
  <si>
    <t xml:space="preserve">Issey Miyake L'eau D'issey Pour Homme ( </t>
  </si>
  <si>
    <t xml:space="preserve">7898665433256</t>
  </si>
  <si>
    <t xml:space="preserve">Simfort® Plus Vitafor Probióticos Ativos</t>
  </si>
  <si>
    <t xml:space="preserve">768614209973</t>
  </si>
  <si>
    <t xml:space="preserve">3605521816580</t>
  </si>
  <si>
    <t xml:space="preserve">3614273638852</t>
  </si>
  <si>
    <t xml:space="preserve">3614273478755</t>
  </si>
  <si>
    <t xml:space="preserve">8011003890811</t>
  </si>
  <si>
    <t xml:space="preserve">878813001251</t>
  </si>
  <si>
    <t xml:space="preserve">3614271579423</t>
  </si>
  <si>
    <t xml:space="preserve">8011003809219</t>
  </si>
  <si>
    <t xml:space="preserve">3355991005846</t>
  </si>
  <si>
    <t xml:space="preserve">3494800300038</t>
  </si>
  <si>
    <t xml:space="preserve">Perfume Rouge Royal Eau De Parfum ( Edp </t>
  </si>
  <si>
    <t xml:space="preserve">783320420566</t>
  </si>
  <si>
    <t xml:space="preserve">Perfume Bvlgari Omnia Crystalline Edt 10</t>
  </si>
  <si>
    <t xml:space="preserve">7898973267222</t>
  </si>
  <si>
    <t xml:space="preserve">3349668592371</t>
  </si>
  <si>
    <t xml:space="preserve">3137370360940</t>
  </si>
  <si>
    <t xml:space="preserve">3607346232347</t>
  </si>
  <si>
    <t xml:space="preserve">768614223900</t>
  </si>
  <si>
    <t xml:space="preserve">7898665260036</t>
  </si>
  <si>
    <t xml:space="preserve">Suplemento V-fort Pré-treino Frutas Verm</t>
  </si>
  <si>
    <t xml:space="preserve">3616306701960</t>
  </si>
  <si>
    <t xml:space="preserve">5055810015183</t>
  </si>
  <si>
    <t xml:space="preserve">Eau De Parfum Zirconia Prive Wild Mascul</t>
  </si>
  <si>
    <t xml:space="preserve">7897013561238</t>
  </si>
  <si>
    <t xml:space="preserve">Carregador De Tomada Com 1 Saída Usb 5v </t>
  </si>
  <si>
    <t xml:space="preserve">7640111494027</t>
  </si>
  <si>
    <t xml:space="preserve">Perfume Cabotine ( Tradicional ) 100ml |</t>
  </si>
  <si>
    <t xml:space="preserve">3349668599417</t>
  </si>
  <si>
    <t xml:space="preserve">7898973267369</t>
  </si>
  <si>
    <t xml:space="preserve">8435415114356</t>
  </si>
  <si>
    <t xml:space="preserve">8435415105316</t>
  </si>
  <si>
    <t xml:space="preserve">7896086997500</t>
  </si>
  <si>
    <t xml:space="preserve">7898618488463</t>
  </si>
  <si>
    <t xml:space="preserve">783320419461</t>
  </si>
  <si>
    <t xml:space="preserve">Perfume Bvlgari Man Rain Essence Edp 100</t>
  </si>
  <si>
    <t xml:space="preserve">7891009795324</t>
  </si>
  <si>
    <t xml:space="preserve">Martelete Rompedor Bosch Gbh 2-24d 820w </t>
  </si>
  <si>
    <t xml:space="preserve">729238212640</t>
  </si>
  <si>
    <t xml:space="preserve">737052339047</t>
  </si>
  <si>
    <t xml:space="preserve">7898706990229</t>
  </si>
  <si>
    <t xml:space="preserve">Colchão, Inflavel Solteiro Mor Com Infla</t>
  </si>
  <si>
    <t xml:space="preserve">3386460101035</t>
  </si>
  <si>
    <t xml:space="preserve">8011003804542</t>
  </si>
  <si>
    <t xml:space="preserve">8411061994702</t>
  </si>
  <si>
    <t xml:space="preserve">7891114053623</t>
  </si>
  <si>
    <t xml:space="preserve">Ferro De Solda Profissional 70w C/ Supor</t>
  </si>
  <si>
    <t xml:space="preserve">8011003890989</t>
  </si>
  <si>
    <t xml:space="preserve">3614274292237</t>
  </si>
  <si>
    <t xml:space="preserve">Perfume Feminino Gourmand Ambarado Com P</t>
  </si>
  <si>
    <t xml:space="preserve">3614223113347</t>
  </si>
  <si>
    <t xml:space="preserve">3386460149969</t>
  </si>
  <si>
    <t xml:space="preserve">Perfume Lacoste Eau De Parfum Masculino </t>
  </si>
  <si>
    <t xml:space="preserve">8411061041659</t>
  </si>
  <si>
    <t xml:space="preserve">8433982017100</t>
  </si>
  <si>
    <t xml:space="preserve">3616304679438</t>
  </si>
  <si>
    <t xml:space="preserve">8057971180462</t>
  </si>
  <si>
    <t xml:space="preserve">3614274091908</t>
  </si>
  <si>
    <t xml:space="preserve">3616306128965</t>
  </si>
  <si>
    <t xml:space="preserve">3616301976110</t>
  </si>
  <si>
    <t xml:space="preserve">7891033473786</t>
  </si>
  <si>
    <t xml:space="preserve">O.u.i Élegance Royale 115 Eau De Parfum </t>
  </si>
  <si>
    <t xml:space="preserve">8011003891061</t>
  </si>
  <si>
    <t xml:space="preserve">6294015151596</t>
  </si>
  <si>
    <t xml:space="preserve">5055810035273</t>
  </si>
  <si>
    <t xml:space="preserve">3386460149174</t>
  </si>
  <si>
    <t xml:space="preserve">Lacoste L.12.12 Noir 100ml Masculino | O</t>
  </si>
  <si>
    <t xml:space="preserve">8011003839094</t>
  </si>
  <si>
    <t xml:space="preserve">3386460119276</t>
  </si>
  <si>
    <t xml:space="preserve">I Want Choo Eau De Parfum ( Edp ) 40ml |</t>
  </si>
  <si>
    <t xml:space="preserve">7640372090037</t>
  </si>
  <si>
    <t xml:space="preserve">8018365500013</t>
  </si>
  <si>
    <t xml:space="preserve">8411061001844</t>
  </si>
  <si>
    <t xml:space="preserve">3349668530502</t>
  </si>
  <si>
    <t xml:space="preserve">3614274376630</t>
  </si>
  <si>
    <t xml:space="preserve">3349668617173</t>
  </si>
  <si>
    <t xml:space="preserve">850049716307</t>
  </si>
  <si>
    <t xml:space="preserve">Michael Kors Pour Femme Edp - Perfume Fe</t>
  </si>
  <si>
    <t xml:space="preserve">3614273556637</t>
  </si>
  <si>
    <t xml:space="preserve">3614273436663</t>
  </si>
  <si>
    <t xml:space="preserve">783320423802</t>
  </si>
  <si>
    <t xml:space="preserve">Bvlgari Man In Black Eau De Parfum ( Edp</t>
  </si>
  <si>
    <t xml:space="preserve">3616304062490</t>
  </si>
  <si>
    <t xml:space="preserve">7896086911995</t>
  </si>
  <si>
    <t xml:space="preserve">5055810012786</t>
  </si>
  <si>
    <t xml:space="preserve">3137370357704</t>
  </si>
  <si>
    <t xml:space="preserve">3365440003866</t>
  </si>
  <si>
    <t xml:space="preserve">3614273776134</t>
  </si>
  <si>
    <t xml:space="preserve">3349668643943</t>
  </si>
  <si>
    <t xml:space="preserve">7908005352311</t>
  </si>
  <si>
    <t xml:space="preserve">7908412504631</t>
  </si>
  <si>
    <t xml:space="preserve">Secador De Cabelo Elgin Glossy Color Glo</t>
  </si>
  <si>
    <t xml:space="preserve">8439627638181</t>
  </si>
  <si>
    <t xml:space="preserve">Manasik Manasik Oud Amber Rouge Sem Gêne</t>
  </si>
  <si>
    <t xml:space="preserve">3360372078500</t>
  </si>
  <si>
    <t xml:space="preserve">7898665434338</t>
  </si>
  <si>
    <t xml:space="preserve">Suplemento Em Gotas Própolis Vitafor Ext</t>
  </si>
  <si>
    <t xml:space="preserve">3616306110885</t>
  </si>
  <si>
    <t xml:space="preserve">3616306115927</t>
  </si>
  <si>
    <t xml:space="preserve">8435137772704</t>
  </si>
  <si>
    <t xml:space="preserve">7899828200210</t>
  </si>
  <si>
    <t xml:space="preserve">Medidor De Pressao Arterial E Pulsacao M</t>
  </si>
  <si>
    <t xml:space="preserve">8011003901630</t>
  </si>
  <si>
    <t xml:space="preserve">8411061043820</t>
  </si>
  <si>
    <t xml:space="preserve">8057971188727</t>
  </si>
  <si>
    <t xml:space="preserve">3147758029406</t>
  </si>
  <si>
    <t xml:space="preserve">3614274376623</t>
  </si>
  <si>
    <t xml:space="preserve">8435415114028</t>
  </si>
  <si>
    <t xml:space="preserve">8433982026218</t>
  </si>
  <si>
    <t xml:space="preserve">5425039220161</t>
  </si>
  <si>
    <t xml:space="preserve">Perfume Invincible For Men 100ml Edt - N</t>
  </si>
  <si>
    <t xml:space="preserve">7908005320631</t>
  </si>
  <si>
    <t xml:space="preserve">7896020680581</t>
  </si>
  <si>
    <t xml:space="preserve">750ml</t>
  </si>
  <si>
    <t xml:space="preserve">Garrafa Água De Aço Inox 750ml Mor Capa </t>
  </si>
  <si>
    <t xml:space="preserve">7908005352373</t>
  </si>
  <si>
    <t xml:space="preserve">3360377032767</t>
  </si>
  <si>
    <t xml:space="preserve">3351500016600</t>
  </si>
  <si>
    <t xml:space="preserve">3423473020493</t>
  </si>
  <si>
    <t xml:space="preserve">8411061819685</t>
  </si>
  <si>
    <t xml:space="preserve">8435415116534</t>
  </si>
  <si>
    <t xml:space="preserve">309974700047</t>
  </si>
  <si>
    <t xml:space="preserve">Revlon Colorstay 24horas Fps15 200 Nude </t>
  </si>
  <si>
    <t xml:space="preserve">3386460135177</t>
  </si>
  <si>
    <t xml:space="preserve">Boucheron Singulier Edp 100ml Masculino </t>
  </si>
  <si>
    <t xml:space="preserve">8435415116572</t>
  </si>
  <si>
    <t xml:space="preserve">8435415100496</t>
  </si>
  <si>
    <t xml:space="preserve">8011003890699</t>
  </si>
  <si>
    <t xml:space="preserve">6294015183641</t>
  </si>
  <si>
    <t xml:space="preserve">8435415102704</t>
  </si>
  <si>
    <t xml:space="preserve">8011003991136</t>
  </si>
  <si>
    <t xml:space="preserve">8054754407280</t>
  </si>
  <si>
    <t xml:space="preserve">7896540792757</t>
  </si>
  <si>
    <t xml:space="preserve">Medidor De Pressão Digital Pulso Mp100 I</t>
  </si>
  <si>
    <t xml:space="preserve">6295199801116</t>
  </si>
  <si>
    <t xml:space="preserve">8011003858538</t>
  </si>
  <si>
    <t xml:space="preserve">3700608301543</t>
  </si>
  <si>
    <t xml:space="preserve">Nysos Parfum Le Oud Eau De Parfum 80ml U</t>
  </si>
  <si>
    <t xml:space="preserve">3614273774413</t>
  </si>
  <si>
    <t xml:space="preserve">4011700740031</t>
  </si>
  <si>
    <t xml:space="preserve">800ml</t>
  </si>
  <si>
    <t xml:space="preserve">3616305447197</t>
  </si>
  <si>
    <t xml:space="preserve">Perfume adidas Vibes Chill Zone Eau De P</t>
  </si>
  <si>
    <t xml:space="preserve">3386460149082</t>
  </si>
  <si>
    <t xml:space="preserve">Lacoste Blanc ( Tradicional ) 100ml | Or</t>
  </si>
  <si>
    <t xml:space="preserve">8018365071162</t>
  </si>
  <si>
    <t xml:space="preserve">8011003993819</t>
  </si>
  <si>
    <t xml:space="preserve">5060173376215</t>
  </si>
  <si>
    <t xml:space="preserve">Escova De Cabelo Desembaraçadora The Wet</t>
  </si>
  <si>
    <t xml:space="preserve">3360377027619</t>
  </si>
  <si>
    <t xml:space="preserve">3614273947763</t>
  </si>
  <si>
    <t xml:space="preserve">8435415103169</t>
  </si>
  <si>
    <t xml:space="preserve">3349668576081</t>
  </si>
  <si>
    <t xml:space="preserve">7908896607217</t>
  </si>
  <si>
    <t xml:space="preserve">3360377009356</t>
  </si>
  <si>
    <t xml:space="preserve">8411061876008</t>
  </si>
  <si>
    <t xml:space="preserve">Perfume Shakira Shakira Dance Diamonds E</t>
  </si>
  <si>
    <t xml:space="preserve">3616305259462</t>
  </si>
  <si>
    <t xml:space="preserve">3605533315163</t>
  </si>
  <si>
    <t xml:space="preserve">3386460144230</t>
  </si>
  <si>
    <t xml:space="preserve">8056669927129</t>
  </si>
  <si>
    <t xml:space="preserve">3614273776110</t>
  </si>
  <si>
    <t xml:space="preserve">3386460160841</t>
  </si>
  <si>
    <t xml:space="preserve">3614273749381</t>
  </si>
  <si>
    <t xml:space="preserve">3605532024844</t>
  </si>
  <si>
    <t xml:space="preserve">3614272225718</t>
  </si>
  <si>
    <t xml:space="preserve">8411061106389</t>
  </si>
  <si>
    <t xml:space="preserve">6291108732052</t>
  </si>
  <si>
    <t xml:space="preserve">Perfume Riiffs Imperial Blue 100ml Eau D</t>
  </si>
  <si>
    <t xml:space="preserve">8011003845125</t>
  </si>
  <si>
    <t xml:space="preserve">6924328332220</t>
  </si>
  <si>
    <t xml:space="preserve">7899651833319</t>
  </si>
  <si>
    <t xml:space="preserve">Selim Bicicleta High One Airflow Gel 2 M</t>
  </si>
  <si>
    <t xml:space="preserve">8439627602939</t>
  </si>
  <si>
    <t xml:space="preserve">Manasik Musk Abiyad - Edp 100ml Edp Sem </t>
  </si>
  <si>
    <t xml:space="preserve">3349668643936</t>
  </si>
  <si>
    <t xml:space="preserve">7898699846787</t>
  </si>
  <si>
    <t xml:space="preserve">Máscara Tonalizante Kamaleão Carpa Laran</t>
  </si>
  <si>
    <t xml:space="preserve">5425017734277</t>
  </si>
  <si>
    <t xml:space="preserve">Eau De Toilette New Brand Gold Masculino</t>
  </si>
  <si>
    <t xml:space="preserve">7891009805863</t>
  </si>
  <si>
    <t xml:space="preserve">Dremel 3000-n/10 Corrente Doméstica 220v</t>
  </si>
  <si>
    <t xml:space="preserve">3439600048162</t>
  </si>
  <si>
    <t xml:space="preserve">Angel Mugler Perfume Feminino Eau De Toi</t>
  </si>
  <si>
    <t xml:space="preserve">3614274308464</t>
  </si>
  <si>
    <t xml:space="preserve">7898480957739</t>
  </si>
  <si>
    <t xml:space="preserve">Bolsa De Pesca Neo Plus Fishing Marine S</t>
  </si>
  <si>
    <t xml:space="preserve">5055810030186</t>
  </si>
  <si>
    <t xml:space="preserve">Perfume Galaxy Concept Knockout Eau De P</t>
  </si>
  <si>
    <t xml:space="preserve">3614273961752</t>
  </si>
  <si>
    <t xml:space="preserve">9000250313838</t>
  </si>
  <si>
    <t xml:space="preserve">3614273955416</t>
  </si>
  <si>
    <t xml:space="preserve">3349668555123</t>
  </si>
  <si>
    <t xml:space="preserve">8011003818112</t>
  </si>
  <si>
    <t xml:space="preserve">3605972698742</t>
  </si>
  <si>
    <t xml:space="preserve">8411061113851</t>
  </si>
  <si>
    <t xml:space="preserve">7896086930293</t>
  </si>
  <si>
    <t xml:space="preserve">7896086939517</t>
  </si>
  <si>
    <t xml:space="preserve">240ml</t>
  </si>
  <si>
    <t xml:space="preserve">3616303445584</t>
  </si>
  <si>
    <t xml:space="preserve">3616306096202</t>
  </si>
  <si>
    <t xml:space="preserve">3616306701953</t>
  </si>
  <si>
    <t xml:space="preserve">8411061111369</t>
  </si>
  <si>
    <t xml:space="preserve">768614222828</t>
  </si>
  <si>
    <t xml:space="preserve">5055810015145</t>
  </si>
  <si>
    <t xml:space="preserve">Perfume Zirconia Beautiful Life Eau De P</t>
  </si>
  <si>
    <t xml:space="preserve">7908005320549</t>
  </si>
  <si>
    <t xml:space="preserve">7898700160352</t>
  </si>
  <si>
    <t xml:space="preserve">Chapinha Prancha Titanium Bivolt Azul Sa</t>
  </si>
  <si>
    <t xml:space="preserve">7898618486896</t>
  </si>
  <si>
    <t xml:space="preserve">3700608320230</t>
  </si>
  <si>
    <t xml:space="preserve">3616306115934</t>
  </si>
  <si>
    <t xml:space="preserve">7898047200797</t>
  </si>
  <si>
    <t xml:space="preserve">Cloreto De Magnésio P.a. Display Com 10 </t>
  </si>
  <si>
    <t xml:space="preserve">3595471111012</t>
  </si>
  <si>
    <t xml:space="preserve">9000250236397</t>
  </si>
  <si>
    <t xml:space="preserve">4064941111719</t>
  </si>
  <si>
    <t xml:space="preserve">Perfume Feminino Kylie Cosmetics Cosmic </t>
  </si>
  <si>
    <t xml:space="preserve">4064941178613</t>
  </si>
  <si>
    <t xml:space="preserve">Kylie Jenner Cosmic Intense Eau De Parfu</t>
  </si>
  <si>
    <t xml:space="preserve">6291108730461</t>
  </si>
  <si>
    <t xml:space="preserve">Perfume Eau De Parfum Riiffs Wonder Of Y</t>
  </si>
  <si>
    <t xml:space="preserve">8011003839292</t>
  </si>
  <si>
    <t xml:space="preserve">8411061111352</t>
  </si>
  <si>
    <t xml:space="preserve">7896873179911</t>
  </si>
  <si>
    <t xml:space="preserve">9000250382759</t>
  </si>
  <si>
    <t xml:space="preserve">7891033940912</t>
  </si>
  <si>
    <t xml:space="preserve">95ml</t>
  </si>
  <si>
    <t xml:space="preserve">Club 6 Desodorante Colônia 95ml</t>
  </si>
  <si>
    <t xml:space="preserve">5425039220123</t>
  </si>
  <si>
    <t xml:space="preserve">Volcano New Brand Masculino Eau De Toile</t>
  </si>
  <si>
    <t xml:space="preserve">7908005329658</t>
  </si>
  <si>
    <t xml:space="preserve">3616301781172</t>
  </si>
  <si>
    <t xml:space="preserve">5055810037024</t>
  </si>
  <si>
    <t xml:space="preserve">Al Absar Saqar Eau De Parfum Perfume Uni</t>
  </si>
  <si>
    <t xml:space="preserve">6917189026063</t>
  </si>
  <si>
    <t xml:space="preserve">Maquina Cortador De Cabelos Profissional</t>
  </si>
  <si>
    <t xml:space="preserve">8411061829530</t>
  </si>
  <si>
    <t xml:space="preserve">8011003991457</t>
  </si>
  <si>
    <t xml:space="preserve">3349668645220</t>
  </si>
  <si>
    <t xml:space="preserve">3605521172648</t>
  </si>
  <si>
    <t xml:space="preserve">8411061067291</t>
  </si>
  <si>
    <t xml:space="preserve">Perfume Victorio &amp; Lucchino Nº18 Cítrico</t>
  </si>
  <si>
    <t xml:space="preserve">8411061823026</t>
  </si>
  <si>
    <t xml:space="preserve">Perfume Shakira Shakira Dance Eau De Toi</t>
  </si>
  <si>
    <t xml:space="preserve">8411061106211</t>
  </si>
  <si>
    <t xml:space="preserve">3386460165969</t>
  </si>
  <si>
    <t xml:space="preserve">Lacoste Parfum 100ml</t>
  </si>
  <si>
    <t xml:space="preserve">7896086912909</t>
  </si>
  <si>
    <t xml:space="preserve">3349668645206</t>
  </si>
  <si>
    <t xml:space="preserve">7908038600939</t>
  </si>
  <si>
    <t xml:space="preserve">500g</t>
  </si>
  <si>
    <t xml:space="preserve">Máscara Capilar Cauter Restore 500g Fore</t>
  </si>
  <si>
    <t xml:space="preserve">3605533315224</t>
  </si>
  <si>
    <t xml:space="preserve">7898973267796</t>
  </si>
  <si>
    <t xml:space="preserve">6291106908435</t>
  </si>
  <si>
    <t xml:space="preserve">Perfume Riiffs Goodness Oud Black 100ml </t>
  </si>
  <si>
    <t xml:space="preserve">7898702040799</t>
  </si>
  <si>
    <t xml:space="preserve">Magnésios 5 Fontes - Quelato + Malato + </t>
  </si>
  <si>
    <t xml:space="preserve">3616304679476</t>
  </si>
  <si>
    <t xml:space="preserve">768614182092</t>
  </si>
  <si>
    <t xml:space="preserve">885911725699</t>
  </si>
  <si>
    <t xml:space="preserve">7898684482754</t>
  </si>
  <si>
    <t xml:space="preserve">Super Cafe Termogenico Diuretico Natural</t>
  </si>
  <si>
    <t xml:space="preserve">8439627606708</t>
  </si>
  <si>
    <t xml:space="preserve">Perfume Manasik Ameer Al Oud Arabian Nig</t>
  </si>
  <si>
    <t xml:space="preserve">729238157972</t>
  </si>
  <si>
    <t xml:space="preserve">8011003993802</t>
  </si>
  <si>
    <t xml:space="preserve">3616305169297</t>
  </si>
  <si>
    <t xml:space="preserve">7898047200469</t>
  </si>
  <si>
    <t xml:space="preserve">Cloreto De Magnésio P.a - 120 Cáps - Mei</t>
  </si>
  <si>
    <t xml:space="preserve">783320420627</t>
  </si>
  <si>
    <t xml:space="preserve">Bvlgari Omnia Amethyste Eau De Toilette </t>
  </si>
  <si>
    <t xml:space="preserve">7896235353645</t>
  </si>
  <si>
    <t xml:space="preserve">3274872423336</t>
  </si>
  <si>
    <t xml:space="preserve">110ml</t>
  </si>
  <si>
    <t xml:space="preserve">Kenzo Homme Eau De Toilette 110ml | Orig</t>
  </si>
  <si>
    <t xml:space="preserve">4064666306155</t>
  </si>
  <si>
    <t xml:space="preserve">8411061876039</t>
  </si>
  <si>
    <t xml:space="preserve">Perfume Shakira Dance Diamonds Eau De To</t>
  </si>
  <si>
    <t xml:space="preserve">5060926686714</t>
  </si>
  <si>
    <t xml:space="preserve">Tangle Teezer The Ultimate Detangler - E</t>
  </si>
  <si>
    <t xml:space="preserve">8011003876266</t>
  </si>
  <si>
    <t xml:space="preserve">8057971180417</t>
  </si>
  <si>
    <t xml:space="preserve">8411061083499</t>
  </si>
  <si>
    <t xml:space="preserve">885911482394</t>
  </si>
  <si>
    <t xml:space="preserve">Martelete Perfurador Rompedor 22mm 20v S</t>
  </si>
  <si>
    <t xml:space="preserve">5425017735076</t>
  </si>
  <si>
    <t xml:space="preserve">Perfume New Brand Princess Dreaming 100m</t>
  </si>
  <si>
    <t xml:space="preserve">7898556790628</t>
  </si>
  <si>
    <t xml:space="preserve">Creatina Monohidratada 100% Pura Pote 30</t>
  </si>
  <si>
    <t xml:space="preserve">3439600049862</t>
  </si>
  <si>
    <t xml:space="preserve">Perfume Feminino Com Rosa Damascena E Fr</t>
  </si>
  <si>
    <t xml:space="preserve">5055810038090</t>
  </si>
  <si>
    <t xml:space="preserve">Perfume Al Absar Freya Feminino Eau De P</t>
  </si>
  <si>
    <t xml:space="preserve">7896768499476</t>
  </si>
  <si>
    <t xml:space="preserve">7640496670160</t>
  </si>
  <si>
    <t xml:space="preserve">9415291022616</t>
  </si>
  <si>
    <t xml:space="preserve">3614274151152</t>
  </si>
  <si>
    <t xml:space="preserve">3614274266801</t>
  </si>
  <si>
    <t xml:space="preserve">3614273954150</t>
  </si>
  <si>
    <t xml:space="preserve">729238154957</t>
  </si>
  <si>
    <t xml:space="preserve">9000250295875</t>
  </si>
  <si>
    <t xml:space="preserve">7908412512193</t>
  </si>
  <si>
    <t xml:space="preserve">Idr 30ma Bipolar 40a Elgin - Interruptor</t>
  </si>
  <si>
    <t xml:space="preserve">3614273436380</t>
  </si>
  <si>
    <t xml:space="preserve">8011003997008</t>
  </si>
  <si>
    <t xml:space="preserve">3616301975755</t>
  </si>
  <si>
    <t xml:space="preserve">8411061972656</t>
  </si>
  <si>
    <t xml:space="preserve">3616305265784</t>
  </si>
  <si>
    <t xml:space="preserve">Perfume adidas Uefa Champions League Edi</t>
  </si>
  <si>
    <t xml:space="preserve">8433982018701</t>
  </si>
  <si>
    <t xml:space="preserve">8011003845118</t>
  </si>
  <si>
    <t xml:space="preserve">3614273436366</t>
  </si>
  <si>
    <t xml:space="preserve">3614274293845</t>
  </si>
  <si>
    <t xml:space="preserve">7898665435823</t>
  </si>
  <si>
    <t xml:space="preserve">Simfort Ultra 60 Capsulas Vitafor Sem Sa</t>
  </si>
  <si>
    <t xml:space="preserve">3614274089356</t>
  </si>
  <si>
    <t xml:space="preserve">7896235353843</t>
  </si>
  <si>
    <t xml:space="preserve">3700608320339</t>
  </si>
  <si>
    <t xml:space="preserve">Arsenal Black Edp - Perfume Masculino 10</t>
  </si>
  <si>
    <t xml:space="preserve">8011003823529</t>
  </si>
  <si>
    <t xml:space="preserve">3494800300243</t>
  </si>
  <si>
    <t xml:space="preserve">Kit Rouge Royal 100ml + Creme Corporal 1</t>
  </si>
  <si>
    <t xml:space="preserve">7898665431436</t>
  </si>
  <si>
    <t xml:space="preserve">Gel De Cafeína Vitafor Endurance Sabor M</t>
  </si>
  <si>
    <t xml:space="preserve">737052925127</t>
  </si>
  <si>
    <t xml:space="preserve">3616304248825</t>
  </si>
  <si>
    <t xml:space="preserve">7898962932216</t>
  </si>
  <si>
    <t xml:space="preserve">Kamaleão Color Máscara Pigmentante Iguan</t>
  </si>
  <si>
    <t xml:space="preserve">7893595770655</t>
  </si>
  <si>
    <t xml:space="preserve">Floral Sonho Bom Thérapi Sabor Natural S</t>
  </si>
  <si>
    <t xml:space="preserve">5055121801192</t>
  </si>
  <si>
    <t xml:space="preserve">7893595771041</t>
  </si>
  <si>
    <t xml:space="preserve">Floral Thérapi Serenide 30ml Sabor Neutr</t>
  </si>
  <si>
    <t xml:space="preserve">7898665435526</t>
  </si>
  <si>
    <t xml:space="preserve">Vitafor Bem Estar Vitamina D E K Vita D3</t>
  </si>
  <si>
    <t xml:space="preserve">7908654009390</t>
  </si>
  <si>
    <t xml:space="preserve">Body Splash Radiant Hera Aura Beauty Jad</t>
  </si>
  <si>
    <t xml:space="preserve">3614274192292</t>
  </si>
  <si>
    <t xml:space="preserve">768614212348</t>
  </si>
  <si>
    <t xml:space="preserve">730852212848</t>
  </si>
  <si>
    <t xml:space="preserve">7898952577588</t>
  </si>
  <si>
    <t xml:space="preserve">950g</t>
  </si>
  <si>
    <t xml:space="preserve">Forever Liss Professional Máscara Ultra </t>
  </si>
  <si>
    <t xml:space="preserve">8057971188284</t>
  </si>
  <si>
    <t xml:space="preserve">3423478805958</t>
  </si>
  <si>
    <t xml:space="preserve">Narciso Rodriguez For Him Bleu Noir Edt </t>
  </si>
  <si>
    <t xml:space="preserve">8057971184903</t>
  </si>
  <si>
    <t xml:space="preserve">737052352060</t>
  </si>
  <si>
    <t xml:space="preserve">3616302038312</t>
  </si>
  <si>
    <t xml:space="preserve">7896086905680</t>
  </si>
  <si>
    <t xml:space="preserve">8411061057209</t>
  </si>
  <si>
    <t xml:space="preserve">8433982026331</t>
  </si>
  <si>
    <t xml:space="preserve">3614227758117</t>
  </si>
  <si>
    <t xml:space="preserve">8011003997015</t>
  </si>
  <si>
    <t xml:space="preserve">3700608301550</t>
  </si>
  <si>
    <t xml:space="preserve">Nysos Parfum Le Neroli Edp 80ml Unissex </t>
  </si>
  <si>
    <t xml:space="preserve">3137370364191</t>
  </si>
  <si>
    <t xml:space="preserve">3616306128996</t>
  </si>
  <si>
    <t xml:space="preserve">8651794845487</t>
  </si>
  <si>
    <t xml:space="preserve">Fechadura Eletrônica Inteligente Wifi No</t>
  </si>
  <si>
    <t xml:space="preserve">5055810042844</t>
  </si>
  <si>
    <t xml:space="preserve">7896046700607</t>
  </si>
  <si>
    <t xml:space="preserve">Charming Black Hair Extra Forte 400ml</t>
  </si>
  <si>
    <t xml:space="preserve">3360377022928</t>
  </si>
  <si>
    <t xml:space="preserve">7896086997630</t>
  </si>
  <si>
    <t xml:space="preserve">300ml</t>
  </si>
  <si>
    <t xml:space="preserve">3349668663187</t>
  </si>
  <si>
    <t xml:space="preserve">5055810028657</t>
  </si>
  <si>
    <t xml:space="preserve">Zirconia Perfume Oriental Masculino Priv</t>
  </si>
  <si>
    <t xml:space="preserve">7898410319934</t>
  </si>
  <si>
    <t xml:space="preserve">Cici Mel Ciclo Cosmeticos Deo Colonia Fe</t>
  </si>
  <si>
    <t xml:space="preserve">7898639690586</t>
  </si>
  <si>
    <t xml:space="preserve">Aparelho De Pressão Digital Automático P</t>
  </si>
  <si>
    <t xml:space="preserve">7908137901876</t>
  </si>
  <si>
    <t xml:space="preserve">8435137727087</t>
  </si>
  <si>
    <t xml:space="preserve">768614212492</t>
  </si>
  <si>
    <t xml:space="preserve">7899455914870</t>
  </si>
  <si>
    <t xml:space="preserve">Boneco Do Chaves Fandom Box Da Turma Do </t>
  </si>
  <si>
    <t xml:space="preserve">768614168713</t>
  </si>
  <si>
    <t xml:space="preserve">3349668568093</t>
  </si>
  <si>
    <t xml:space="preserve">7899206186587</t>
  </si>
  <si>
    <t xml:space="preserve">3614273321792</t>
  </si>
  <si>
    <t xml:space="preserve">7899206158515</t>
  </si>
  <si>
    <t xml:space="preserve">736532470300</t>
  </si>
  <si>
    <t xml:space="preserve">Kit Iniciantes Com 4 Pigmentos Orgânicos</t>
  </si>
  <si>
    <t xml:space="preserve">8011003995943</t>
  </si>
  <si>
    <t xml:space="preserve">8411061813973</t>
  </si>
  <si>
    <t xml:space="preserve">6295199805022</t>
  </si>
  <si>
    <t xml:space="preserve">8433982024283</t>
  </si>
  <si>
    <t xml:space="preserve">3386460126571</t>
  </si>
  <si>
    <t xml:space="preserve">Coach Wild Rose Edp 90ml Feminino | Orig</t>
  </si>
  <si>
    <t xml:space="preserve">8411061000915</t>
  </si>
  <si>
    <t xml:space="preserve">Shakira Dance Red Midnight 80ml Feminino</t>
  </si>
  <si>
    <t xml:space="preserve">8411061130179</t>
  </si>
  <si>
    <t xml:space="preserve">7896086955890</t>
  </si>
  <si>
    <t xml:space="preserve">3386460102926</t>
  </si>
  <si>
    <t xml:space="preserve">Rochas Moustache Eau De Parfum ( Edp ) 1</t>
  </si>
  <si>
    <t xml:space="preserve">7908005327289</t>
  </si>
  <si>
    <t xml:space="preserve">8411061124802</t>
  </si>
  <si>
    <t xml:space="preserve">3614273683401</t>
  </si>
  <si>
    <t xml:space="preserve">3614274772005</t>
  </si>
  <si>
    <t xml:space="preserve">7898665433188</t>
  </si>
  <si>
    <t xml:space="preserve">Suplemento De Melatonina 20ml Vitafor Me</t>
  </si>
  <si>
    <t xml:space="preserve">7891033129676</t>
  </si>
  <si>
    <t xml:space="preserve">La Victorie Creme Acetinado Hidratante 2</t>
  </si>
  <si>
    <t xml:space="preserve">768614220497</t>
  </si>
  <si>
    <t xml:space="preserve">3349668614585</t>
  </si>
  <si>
    <t xml:space="preserve">8411061136843</t>
  </si>
  <si>
    <t xml:space="preserve">5055810012168</t>
  </si>
  <si>
    <t xml:space="preserve">8411061081037</t>
  </si>
  <si>
    <t xml:space="preserve">7896086913005</t>
  </si>
  <si>
    <t xml:space="preserve">3423470890129</t>
  </si>
  <si>
    <t xml:space="preserve">Narciso Rodriguez For Her Eau De Parfum </t>
  </si>
  <si>
    <t xml:space="preserve">5055810030162</t>
  </si>
  <si>
    <t xml:space="preserve">Perfume Eau De Parfum Masculino Galaxy P</t>
  </si>
  <si>
    <t xml:space="preserve">7898047200278</t>
  </si>
  <si>
    <t xml:space="preserve">Malato De Magnésio Pote De 60 Cápsulas 5</t>
  </si>
  <si>
    <t xml:space="preserve">7898390940647</t>
  </si>
  <si>
    <t xml:space="preserve">Óculos Segurança Para Colocar Lente De G</t>
  </si>
  <si>
    <t xml:space="preserve">7896046716226</t>
  </si>
  <si>
    <t xml:space="preserve">Cless Charming Hair Spray Argan 300ml</t>
  </si>
  <si>
    <t xml:space="preserve">3386460119948</t>
  </si>
  <si>
    <t xml:space="preserve">Kate Spade Eau De Parfum 100ml Feminino </t>
  </si>
  <si>
    <t xml:space="preserve">7891033579655</t>
  </si>
  <si>
    <t xml:space="preserve">O.u.i Madeleine 862 La Pistacherie - Eau</t>
  </si>
  <si>
    <t xml:space="preserve">3605972910288</t>
  </si>
  <si>
    <t xml:space="preserve">8435415017190</t>
  </si>
  <si>
    <t xml:space="preserve">3349668599448</t>
  </si>
  <si>
    <t xml:space="preserve">3386460151979</t>
  </si>
  <si>
    <t xml:space="preserve">Coach Dreams Moonlight Eau De Parfum ( E</t>
  </si>
  <si>
    <t xml:space="preserve">3474636975181</t>
  </si>
  <si>
    <t xml:space="preserve">L'oréal Absolut Repair Máscara 500ml Nut</t>
  </si>
  <si>
    <t xml:space="preserve">729238196476</t>
  </si>
  <si>
    <t xml:space="preserve">309973212039</t>
  </si>
  <si>
    <t xml:space="preserve">Revlon Photoready Fps 20 Light Medium - </t>
  </si>
  <si>
    <t xml:space="preserve">4064941111504</t>
  </si>
  <si>
    <t xml:space="preserve">Kylie Jenner Cosmic Eau De Parfum - Perf</t>
  </si>
  <si>
    <t xml:space="preserve">8411061805893</t>
  </si>
  <si>
    <t xml:space="preserve">3349668545667</t>
  </si>
  <si>
    <t xml:space="preserve">7896086927002</t>
  </si>
  <si>
    <t xml:space="preserve">8057971183739</t>
  </si>
  <si>
    <t xml:space="preserve">3614229828535</t>
  </si>
  <si>
    <t xml:space="preserve">4064941156833</t>
  </si>
  <si>
    <t xml:space="preserve">Eau De Parfum Kylie Jenner Cosmic 2.0 50</t>
  </si>
  <si>
    <t xml:space="preserve">9000250226404</t>
  </si>
  <si>
    <t xml:space="preserve">8411061124277</t>
  </si>
  <si>
    <t xml:space="preserve">9000250313821</t>
  </si>
  <si>
    <t xml:space="preserve">7891112284869</t>
  </si>
  <si>
    <t xml:space="preserve">Jogo De Utensílios Tramontina Ability Em</t>
  </si>
  <si>
    <t xml:space="preserve">7896010177305</t>
  </si>
  <si>
    <t xml:space="preserve">Pasta Capilar Modeladora Charming Extra </t>
  </si>
  <si>
    <t xml:space="preserve">3349668614646</t>
  </si>
  <si>
    <t xml:space="preserve">3614274426458</t>
  </si>
  <si>
    <t xml:space="preserve">3614273898478</t>
  </si>
  <si>
    <t xml:space="preserve">3614274025637</t>
  </si>
  <si>
    <t xml:space="preserve">8011003890682</t>
  </si>
  <si>
    <t xml:space="preserve">7908412509377</t>
  </si>
  <si>
    <t xml:space="preserve">Refletor Projetor Uso Externo Elgin Led </t>
  </si>
  <si>
    <t xml:space="preserve">3137370361343</t>
  </si>
  <si>
    <t xml:space="preserve">3349668612635</t>
  </si>
  <si>
    <t xml:space="preserve">3494800028031</t>
  </si>
  <si>
    <t xml:space="preserve">Royal Marina Diamond Eau De Parfum ( Edp</t>
  </si>
  <si>
    <t xml:space="preserve">3616305275745</t>
  </si>
  <si>
    <t xml:space="preserve">7898664340845</t>
  </si>
  <si>
    <t xml:space="preserve">8g</t>
  </si>
  <si>
    <t xml:space="preserve">Henna Para Sobrancelha 8g - Della E Dell</t>
  </si>
  <si>
    <t xml:space="preserve">7898665435786</t>
  </si>
  <si>
    <t xml:space="preserve">Suplemento Multivitamínico Imunomult 120</t>
  </si>
  <si>
    <t xml:space="preserve">768614224457</t>
  </si>
  <si>
    <t xml:space="preserve">768614166597</t>
  </si>
  <si>
    <t xml:space="preserve">3386460109581</t>
  </si>
  <si>
    <t xml:space="preserve">Coach Dreams Eau De Parfum Perfume Femin</t>
  </si>
  <si>
    <t xml:space="preserve">5055810036966</t>
  </si>
  <si>
    <t xml:space="preserve">Perfume Al Absar Kasuf Dhahabi Eau De Pa</t>
  </si>
  <si>
    <t xml:space="preserve">885911723275</t>
  </si>
  <si>
    <t xml:space="preserve">Tupia Profissional Stanley 550w 35000rpm</t>
  </si>
  <si>
    <t xml:space="preserve">3386460032681</t>
  </si>
  <si>
    <t xml:space="preserve">3349668630448</t>
  </si>
  <si>
    <t xml:space="preserve">3349668630332</t>
  </si>
  <si>
    <t xml:space="preserve">7896558440015</t>
  </si>
  <si>
    <t xml:space="preserve">Colchão Inflável Solteiro Nautika 185cm </t>
  </si>
  <si>
    <t xml:space="preserve">7895097903357</t>
  </si>
  <si>
    <t xml:space="preserve">Máscara Matizadora Intensy Color Platinu</t>
  </si>
  <si>
    <t xml:space="preserve">3137370359494</t>
  </si>
  <si>
    <t xml:space="preserve">729238222946</t>
  </si>
  <si>
    <t xml:space="preserve">7896086996176</t>
  </si>
  <si>
    <t xml:space="preserve">3616301975748</t>
  </si>
  <si>
    <t xml:space="preserve">6295199800942</t>
  </si>
  <si>
    <t xml:space="preserve">7896086998958</t>
  </si>
  <si>
    <t xml:space="preserve">7896086909657</t>
  </si>
  <si>
    <t xml:space="preserve">7896086909633</t>
  </si>
  <si>
    <t xml:space="preserve">8056669925699</t>
  </si>
  <si>
    <t xml:space="preserve">8011003878598</t>
  </si>
  <si>
    <t xml:space="preserve">3616305186119</t>
  </si>
  <si>
    <t xml:space="preserve">3616304061929</t>
  </si>
  <si>
    <t xml:space="preserve">7908896605084</t>
  </si>
  <si>
    <t xml:space="preserve">7891009858302</t>
  </si>
  <si>
    <t xml:space="preserve">Micro Retífica Dremel 2050-11 Stylo+ 127</t>
  </si>
  <si>
    <t xml:space="preserve">7895140755360</t>
  </si>
  <si>
    <t xml:space="preserve">Testo Pro + Maca Peruana Pro Size Nutrit</t>
  </si>
  <si>
    <t xml:space="preserve">5055810015176</t>
  </si>
  <si>
    <t xml:space="preserve">Perfume Eau De Parfum Zirconia Forbidden</t>
  </si>
  <si>
    <t xml:space="preserve">729238212596</t>
  </si>
  <si>
    <t xml:space="preserve">5060926686011</t>
  </si>
  <si>
    <t xml:space="preserve">Escova De Cabelo Ultimate Detangler Chro</t>
  </si>
  <si>
    <t xml:space="preserve">7896086927019</t>
  </si>
  <si>
    <t xml:space="preserve">3439600056242</t>
  </si>
  <si>
    <t xml:space="preserve">Hidratante Corporal Thierry Mugler Body </t>
  </si>
  <si>
    <t xml:space="preserve">3616303462062</t>
  </si>
  <si>
    <t xml:space="preserve">David Beckham Classic Homme Edt - Perfum</t>
  </si>
  <si>
    <t xml:space="preserve">729238154933</t>
  </si>
  <si>
    <t xml:space="preserve">8011003891467</t>
  </si>
  <si>
    <t xml:space="preserve">8057971188277</t>
  </si>
  <si>
    <t xml:space="preserve">3616304679445</t>
  </si>
  <si>
    <t xml:space="preserve">8411061114209</t>
  </si>
  <si>
    <t xml:space="preserve">Victorio &amp; Lucchino Nº15 Flor Oriental E</t>
  </si>
  <si>
    <t xml:space="preserve">8411061084076</t>
  </si>
  <si>
    <t xml:space="preserve">3614274299205</t>
  </si>
  <si>
    <t xml:space="preserve">8435415017237</t>
  </si>
  <si>
    <t xml:space="preserve">3616303477936</t>
  </si>
  <si>
    <t xml:space="preserve">7896086988010</t>
  </si>
  <si>
    <t xml:space="preserve">8436581941982</t>
  </si>
  <si>
    <t xml:space="preserve">Women'secret Intimate Edp 100ml Feminino</t>
  </si>
  <si>
    <t xml:space="preserve">3349668614462</t>
  </si>
  <si>
    <t xml:space="preserve">7896086944146</t>
  </si>
  <si>
    <t xml:space="preserve">9000250213657</t>
  </si>
  <si>
    <t xml:space="preserve">8435415012843</t>
  </si>
  <si>
    <t xml:space="preserve">768614149521</t>
  </si>
  <si>
    <t xml:space="preserve">5425017735809</t>
  </si>
  <si>
    <t xml:space="preserve">Perfume 4 Women 100ml Edt - New Brand</t>
  </si>
  <si>
    <t xml:space="preserve">730852149533</t>
  </si>
  <si>
    <t xml:space="preserve">735201084169</t>
  </si>
  <si>
    <t xml:space="preserve">Floral Thérapi Resgate Sos Fortes Impact</t>
  </si>
  <si>
    <t xml:space="preserve">4064941178637</t>
  </si>
  <si>
    <t xml:space="preserve">4971850099659</t>
  </si>
  <si>
    <t xml:space="preserve">Calculadora Casio Hr-100 Com Rolo Preto </t>
  </si>
  <si>
    <t xml:space="preserve">729238139367</t>
  </si>
  <si>
    <t xml:space="preserve">730852149519</t>
  </si>
  <si>
    <t xml:space="preserve">3137370364207</t>
  </si>
  <si>
    <t xml:space="preserve">8439627646643</t>
  </si>
  <si>
    <t xml:space="preserve">Orygens Arad Eau De Parfum 100ml Amadeir</t>
  </si>
  <si>
    <t xml:space="preserve">7897013578571</t>
  </si>
  <si>
    <t xml:space="preserve">Carregador De Pilhas Usb Com 2x Aa1500ma</t>
  </si>
  <si>
    <t xml:space="preserve">8011003810338</t>
  </si>
  <si>
    <t xml:space="preserve">7908992000691</t>
  </si>
  <si>
    <t xml:space="preserve">7896086902160</t>
  </si>
  <si>
    <t xml:space="preserve">7899952325834</t>
  </si>
  <si>
    <t xml:space="preserve">Perfume Colônia Patrícia Abravanel 90ml </t>
  </si>
  <si>
    <t xml:space="preserve">3386460165884</t>
  </si>
  <si>
    <t xml:space="preserve">Lacoste L.12.12 Silver Grey Eau De Parfu</t>
  </si>
  <si>
    <t xml:space="preserve">7908038604753</t>
  </si>
  <si>
    <t xml:space="preserve">Xô Frizz Modelador De Fios 10g Forever L</t>
  </si>
  <si>
    <t xml:space="preserve">3616305629418</t>
  </si>
  <si>
    <t xml:space="preserve">Chanson D Eau Lemon Edt - Perfume Femini</t>
  </si>
  <si>
    <t xml:space="preserve">3614274169713</t>
  </si>
  <si>
    <t xml:space="preserve">7896768470512</t>
  </si>
  <si>
    <t xml:space="preserve">8435415091190</t>
  </si>
  <si>
    <t xml:space="preserve">3607348938230</t>
  </si>
  <si>
    <t xml:space="preserve">3274872396203</t>
  </si>
  <si>
    <t xml:space="preserve">730852167629</t>
  </si>
  <si>
    <t xml:space="preserve">7908412515422</t>
  </si>
  <si>
    <t xml:space="preserve">Secador De Cabelo Elgin Glossy Color To </t>
  </si>
  <si>
    <t xml:space="preserve">3614273636582</t>
  </si>
  <si>
    <t xml:space="preserve">8057971180486</t>
  </si>
  <si>
    <t xml:space="preserve">3137370361121</t>
  </si>
  <si>
    <t xml:space="preserve">7898946433784</t>
  </si>
  <si>
    <t xml:space="preserve">Reinforce Equaliv 30 Cápsulas Vitamina P</t>
  </si>
  <si>
    <t xml:space="preserve">3616305169266</t>
  </si>
  <si>
    <t xml:space="preserve">17896098810498</t>
  </si>
  <si>
    <t xml:space="preserve">Canguru Baby Carrier Natural Fit 3 Em 1 </t>
  </si>
  <si>
    <t xml:space="preserve">7898949730880</t>
  </si>
  <si>
    <t xml:space="preserve">Glutamax L-glutamina Alta Pureza 30 Sach</t>
  </si>
  <si>
    <t xml:space="preserve">3349668588732</t>
  </si>
  <si>
    <t xml:space="preserve">3614274024975</t>
  </si>
  <si>
    <t xml:space="preserve">3147758030303</t>
  </si>
  <si>
    <t xml:space="preserve">8411061112175</t>
  </si>
  <si>
    <t xml:space="preserve">Eau De Parfum Victorio &amp; Lucchino Nº8 At</t>
  </si>
  <si>
    <t xml:space="preserve">7908137906437</t>
  </si>
  <si>
    <t xml:space="preserve">3605972910240</t>
  </si>
  <si>
    <t xml:space="preserve">7898684483072</t>
  </si>
  <si>
    <t xml:space="preserve">Desincoffee Supercafé Vanilla Latte</t>
  </si>
  <si>
    <t xml:space="preserve">3386460097345</t>
  </si>
  <si>
    <t xml:space="preserve">Fever Jimmy Choo Eau De Parfum - Perfume</t>
  </si>
  <si>
    <t xml:space="preserve">729238222991</t>
  </si>
  <si>
    <t xml:space="preserve">3614274076776</t>
  </si>
  <si>
    <t xml:space="preserve">Hidratante Corporal Mugler Angel Body Lo</t>
  </si>
  <si>
    <t xml:space="preserve">4975759001713</t>
  </si>
  <si>
    <t xml:space="preserve">7908038600724</t>
  </si>
  <si>
    <t xml:space="preserve">Bye Bye Volume E No Frizz Liso Mágico 20</t>
  </si>
  <si>
    <t xml:space="preserve">3423470300161</t>
  </si>
  <si>
    <t xml:space="preserve">Issey Miyake L'eau D'issey ( Tradicional</t>
  </si>
  <si>
    <t xml:space="preserve">3614274344318</t>
  </si>
  <si>
    <t xml:space="preserve">7891033940516</t>
  </si>
  <si>
    <t xml:space="preserve">Deo Colônia Masculina Eudora H Tradicion</t>
  </si>
  <si>
    <t xml:space="preserve">5060926684406</t>
  </si>
  <si>
    <t xml:space="preserve">Escova De Cabelo The Ultimate Detangler </t>
  </si>
  <si>
    <t xml:space="preserve">6294015102239</t>
  </si>
  <si>
    <t xml:space="preserve">3386460153737</t>
  </si>
  <si>
    <t xml:space="preserve">4710218001091</t>
  </si>
  <si>
    <t xml:space="preserve">3494800710035</t>
  </si>
  <si>
    <t xml:space="preserve">Marina De Bourbon Monsieur Le Prince Ele</t>
  </si>
  <si>
    <t xml:space="preserve">9000250226299</t>
  </si>
  <si>
    <t xml:space="preserve">730852212855</t>
  </si>
  <si>
    <t xml:space="preserve">3605972975874</t>
  </si>
  <si>
    <t xml:space="preserve">5425039222127</t>
  </si>
  <si>
    <t xml:space="preserve">Joli Mademoiselle For Women Edp 100ml Vo</t>
  </si>
  <si>
    <t xml:space="preserve">3614273660440</t>
  </si>
  <si>
    <t xml:space="preserve">3616304061936</t>
  </si>
  <si>
    <t xml:space="preserve">3386460153867</t>
  </si>
  <si>
    <t xml:space="preserve">Rochas Audace Eau De Parfum - Perfume Fe</t>
  </si>
  <si>
    <t xml:space="preserve">3349668589982</t>
  </si>
  <si>
    <t xml:space="preserve">8011003612802</t>
  </si>
  <si>
    <t xml:space="preserve">7898952577212</t>
  </si>
  <si>
    <t xml:space="preserve">Reconstrutor Sos Antiemborrachamento 300</t>
  </si>
  <si>
    <t xml:space="preserve">3253581756454</t>
  </si>
  <si>
    <t xml:space="preserve">Perfume Feminino L'occitane Bergamota E </t>
  </si>
  <si>
    <t xml:space="preserve">3595471061096</t>
  </si>
  <si>
    <t xml:space="preserve">3386460132763</t>
  </si>
  <si>
    <t xml:space="preserve">8411061090855</t>
  </si>
  <si>
    <t xml:space="preserve">Perfume V&amp;l Aguas Sport V&amp;l Nº12 Energía</t>
  </si>
  <si>
    <t xml:space="preserve">7891033502714</t>
  </si>
  <si>
    <t xml:space="preserve">Perfume Feminino Eudora Kiss Me Now Colo</t>
  </si>
  <si>
    <t xml:space="preserve">3614273987714</t>
  </si>
  <si>
    <t xml:space="preserve">3701171701396</t>
  </si>
  <si>
    <t xml:space="preserve">Porta Comprimidos Semanal Pilbox Mini Ch</t>
  </si>
  <si>
    <t xml:space="preserve">7908005388747</t>
  </si>
  <si>
    <t xml:space="preserve">7896086997708</t>
  </si>
  <si>
    <t xml:space="preserve">6291108737194</t>
  </si>
  <si>
    <t xml:space="preserve">3614273316149</t>
  </si>
  <si>
    <t xml:space="preserve">8057971181544</t>
  </si>
  <si>
    <t xml:space="preserve">3614223111565</t>
  </si>
  <si>
    <t xml:space="preserve">8011003906345</t>
  </si>
  <si>
    <t xml:space="preserve">8005610644233</t>
  </si>
  <si>
    <t xml:space="preserve">892456000518</t>
  </si>
  <si>
    <t xml:space="preserve">Perfume Animale Masculino Edt 200ml</t>
  </si>
  <si>
    <t xml:space="preserve">3614274150988</t>
  </si>
  <si>
    <t xml:space="preserve">4975759105282</t>
  </si>
  <si>
    <t xml:space="preserve">7891033820603</t>
  </si>
  <si>
    <t xml:space="preserve">Perfume Feminino Lamouresse 142 Eau De P</t>
  </si>
  <si>
    <t xml:space="preserve">8005610481043</t>
  </si>
  <si>
    <t xml:space="preserve">3386460135818</t>
  </si>
  <si>
    <t xml:space="preserve">7898555609235</t>
  </si>
  <si>
    <t xml:space="preserve">Latika Protetor Solar Transparente Em Ba</t>
  </si>
  <si>
    <t xml:space="preserve">7891133025625</t>
  </si>
  <si>
    <t xml:space="preserve">Bucha De Nylon Fischer 8 Mm Ux8a - Pacot</t>
  </si>
  <si>
    <t xml:space="preserve">3349668583485</t>
  </si>
  <si>
    <t xml:space="preserve">6295199815496</t>
  </si>
  <si>
    <t xml:space="preserve">3349668555093</t>
  </si>
  <si>
    <t xml:space="preserve">3614228834032</t>
  </si>
  <si>
    <t xml:space="preserve">3614229823806</t>
  </si>
  <si>
    <t xml:space="preserve">8018365270756</t>
  </si>
  <si>
    <t xml:space="preserve">3349668579822</t>
  </si>
  <si>
    <t xml:space="preserve">8411114057187</t>
  </si>
  <si>
    <t xml:space="preserve">Pepe Jeans For Her Edp 80ml Feminino | O</t>
  </si>
  <si>
    <t xml:space="preserve">8411061102879</t>
  </si>
  <si>
    <t xml:space="preserve">3386460123501</t>
  </si>
  <si>
    <t xml:space="preserve">Coach Dreams Sunset Eau De Parfum ( Edp </t>
  </si>
  <si>
    <t xml:space="preserve">8433982019562</t>
  </si>
  <si>
    <t xml:space="preserve">3616305488879</t>
  </si>
  <si>
    <t xml:space="preserve">7908992003432</t>
  </si>
  <si>
    <t xml:space="preserve">3274872495586</t>
  </si>
  <si>
    <t xml:space="preserve">3614273852807</t>
  </si>
  <si>
    <t xml:space="preserve">9000250226381</t>
  </si>
  <si>
    <t xml:space="preserve">3401054229299</t>
  </si>
  <si>
    <t xml:space="preserve">Porta Comprimidos Semanal Pilbox Liberty</t>
  </si>
  <si>
    <t xml:space="preserve">7891182019767</t>
  </si>
  <si>
    <t xml:space="preserve">5425039221076</t>
  </si>
  <si>
    <t xml:space="preserve">Perfume Feminino Sensual New Brand Eau D</t>
  </si>
  <si>
    <t xml:space="preserve">7896086909640</t>
  </si>
  <si>
    <t xml:space="preserve">8411061105009</t>
  </si>
  <si>
    <t xml:space="preserve">8411061129661</t>
  </si>
  <si>
    <t xml:space="preserve">Banderas Kit The Golden Secret Eau De To</t>
  </si>
  <si>
    <t xml:space="preserve">8411061030004</t>
  </si>
  <si>
    <t xml:space="preserve">Victorio &amp; Lucchino Aguas Intensas Mascu</t>
  </si>
  <si>
    <t xml:space="preserve">3386460066099</t>
  </si>
  <si>
    <t xml:space="preserve">Boucheron Quatre Pour Femme Edp 30ml Par</t>
  </si>
  <si>
    <t xml:space="preserve">8411061002865</t>
  </si>
  <si>
    <t xml:space="preserve">3386460149211</t>
  </si>
  <si>
    <t xml:space="preserve">Lacoste L.12.12 Rose Edp 100ml Feminino </t>
  </si>
  <si>
    <t xml:space="preserve">5425017730712</t>
  </si>
  <si>
    <t xml:space="preserve">Perfume New Brand Oh Light 100ml Edp</t>
  </si>
  <si>
    <t xml:space="preserve">3137370365174</t>
  </si>
  <si>
    <t xml:space="preserve">7896010177114</t>
  </si>
  <si>
    <t xml:space="preserve">Pomada Cera Pasta Extra Forte</t>
  </si>
  <si>
    <t xml:space="preserve">3616301781127</t>
  </si>
  <si>
    <t xml:space="preserve">7898702041925</t>
  </si>
  <si>
    <t xml:space="preserve">5 Magnésios Muwiz 120 Cápsulas 500mg Sem</t>
  </si>
  <si>
    <t xml:space="preserve">7898965429478</t>
  </si>
  <si>
    <t xml:space="preserve">Creamy Skincare Anti-aging Peptide Cream</t>
  </si>
  <si>
    <t xml:space="preserve">3386460078306</t>
  </si>
  <si>
    <t xml:space="preserve">Coach Woman Edp ( Tradicional ) 90ml | O</t>
  </si>
  <si>
    <t xml:space="preserve">7908005390481</t>
  </si>
  <si>
    <t xml:space="preserve">8057971183937</t>
  </si>
  <si>
    <t xml:space="preserve">3614274420364</t>
  </si>
  <si>
    <t xml:space="preserve">711719587996</t>
  </si>
  <si>
    <t xml:space="preserve">885911674928</t>
  </si>
  <si>
    <t xml:space="preserve">3605971512612</t>
  </si>
  <si>
    <t xml:space="preserve">7898618486810</t>
  </si>
  <si>
    <t xml:space="preserve">7898639691477</t>
  </si>
  <si>
    <t xml:space="preserve">Braçadeira Aparelho Digital G-tech Adult</t>
  </si>
  <si>
    <t xml:space="preserve">8411061106204</t>
  </si>
  <si>
    <t xml:space="preserve">3386460097321</t>
  </si>
  <si>
    <t xml:space="preserve">Jimmy Choo Fever Edp 100ml Feminino | Or</t>
  </si>
  <si>
    <t xml:space="preserve">8057971180424</t>
  </si>
  <si>
    <t xml:space="preserve">7908422601689</t>
  </si>
  <si>
    <t xml:space="preserve">Chapinha Profissional De Alisamento Pro </t>
  </si>
  <si>
    <t xml:space="preserve">3607348816552</t>
  </si>
  <si>
    <t xml:space="preserve">Katy Perry Killer Queen Edp 100ml Femini</t>
  </si>
  <si>
    <t xml:space="preserve">7896086994943</t>
  </si>
  <si>
    <t xml:space="preserve">3349668641758</t>
  </si>
  <si>
    <t xml:space="preserve">8411061697290</t>
  </si>
  <si>
    <t xml:space="preserve">Perfume Shakira S By Shakira Eau De Toil</t>
  </si>
  <si>
    <t xml:space="preserve">3253581756478</t>
  </si>
  <si>
    <t xml:space="preserve">L'occitane Citrus Verbena Deo Colônia Pe</t>
  </si>
  <si>
    <t xml:space="preserve">3614226905154</t>
  </si>
  <si>
    <t xml:space="preserve">3616305041005</t>
  </si>
  <si>
    <t xml:space="preserve">7891182019774</t>
  </si>
  <si>
    <t xml:space="preserve">4064666944111</t>
  </si>
  <si>
    <t xml:space="preserve">145ml</t>
  </si>
  <si>
    <t xml:space="preserve">3423470311358</t>
  </si>
  <si>
    <t xml:space="preserve">3700608323330</t>
  </si>
  <si>
    <t xml:space="preserve">8435415052375</t>
  </si>
  <si>
    <t xml:space="preserve">3137370359487</t>
  </si>
  <si>
    <t xml:space="preserve">3614229820799</t>
  </si>
  <si>
    <t xml:space="preserve">3349668661916</t>
  </si>
  <si>
    <t xml:space="preserve">8057971188123</t>
  </si>
  <si>
    <t xml:space="preserve">3423473020783</t>
  </si>
  <si>
    <t xml:space="preserve">8018365500037</t>
  </si>
  <si>
    <t xml:space="preserve">3386460078320</t>
  </si>
  <si>
    <t xml:space="preserve">Coach Woman Eau De Parfum 30ml | Origina</t>
  </si>
  <si>
    <t xml:space="preserve">7908038600762</t>
  </si>
  <si>
    <t xml:space="preserve">Máscara Ultra Hidratante Desmaia Cabelo </t>
  </si>
  <si>
    <t xml:space="preserve">3614274329391</t>
  </si>
  <si>
    <t xml:space="preserve">7898973267697</t>
  </si>
  <si>
    <t xml:space="preserve">3414202000510</t>
  </si>
  <si>
    <t xml:space="preserve">7908038600731</t>
  </si>
  <si>
    <t xml:space="preserve">Forever Hair Crescimento Capilar Tratame</t>
  </si>
  <si>
    <t xml:space="preserve">5425039221489</t>
  </si>
  <si>
    <t xml:space="preserve">New Brand Hola Edp 100 Ml Para Feminino</t>
  </si>
  <si>
    <t xml:space="preserve">3386460151962</t>
  </si>
  <si>
    <t xml:space="preserve">Perfume Coach Dreams Moonlight Edp 90 Ml</t>
  </si>
  <si>
    <t xml:space="preserve">3253581756461</t>
  </si>
  <si>
    <t xml:space="preserve">Eau De Toilette Lavande De Haute-provenc</t>
  </si>
  <si>
    <t xml:space="preserve">3614272860377</t>
  </si>
  <si>
    <t xml:space="preserve">6290360593166</t>
  </si>
  <si>
    <t xml:space="preserve">5425017730774</t>
  </si>
  <si>
    <t xml:space="preserve">Perfume World Champion 100ml Edt - New B</t>
  </si>
  <si>
    <t xml:space="preserve">7896558413866</t>
  </si>
  <si>
    <t xml:space="preserve">Nautika Camping Timber Tática Verde/prat</t>
  </si>
  <si>
    <t xml:space="preserve">3614274521238</t>
  </si>
  <si>
    <t xml:space="preserve">8057971188680</t>
  </si>
  <si>
    <t xml:space="preserve">3386460142021</t>
  </si>
  <si>
    <t xml:space="preserve">Jimmy Choo I Want Choo Le Parfum 40ml | </t>
  </si>
  <si>
    <t xml:space="preserve">9000250227029</t>
  </si>
  <si>
    <t xml:space="preserve">3439600056204</t>
  </si>
  <si>
    <t xml:space="preserve">Perfume Feminino Alien Eau De Toilette 3</t>
  </si>
  <si>
    <t xml:space="preserve">7908412511516</t>
  </si>
  <si>
    <t xml:space="preserve">Kit Maquininha Cortar Aparar Cabelo Barb</t>
  </si>
  <si>
    <t xml:space="preserve">3614273436373</t>
  </si>
  <si>
    <t xml:space="preserve">8411061083970</t>
  </si>
  <si>
    <t xml:space="preserve">6290362348788</t>
  </si>
  <si>
    <t xml:space="preserve">7899706205177</t>
  </si>
  <si>
    <t xml:space="preserve">L'oreal Nutrioil Leave-in 150ml</t>
  </si>
  <si>
    <t xml:space="preserve">3349668630059</t>
  </si>
  <si>
    <t xml:space="preserve">3349668617067</t>
  </si>
  <si>
    <t xml:space="preserve">3616305040480</t>
  </si>
  <si>
    <t xml:space="preserve">3137370357636</t>
  </si>
  <si>
    <t xml:space="preserve">8435415113960</t>
  </si>
  <si>
    <t xml:space="preserve">729238157989</t>
  </si>
  <si>
    <t xml:space="preserve">8435415080408</t>
  </si>
  <si>
    <t xml:space="preserve">5425017736431</t>
  </si>
  <si>
    <t xml:space="preserve">Perfume 4 Women Delicious 100ml Edp - Ne</t>
  </si>
  <si>
    <t xml:space="preserve">5425039221748</t>
  </si>
  <si>
    <t xml:space="preserve">Perfume New Brand Prestige Pure Sense Ea</t>
  </si>
  <si>
    <t xml:space="preserve">8057971187843</t>
  </si>
  <si>
    <t xml:space="preserve">3614274170191</t>
  </si>
  <si>
    <t xml:space="preserve">768614149385</t>
  </si>
  <si>
    <t xml:space="preserve">5055810014919</t>
  </si>
  <si>
    <t xml:space="preserve">6294015163889</t>
  </si>
  <si>
    <t xml:space="preserve">3137370364214</t>
  </si>
  <si>
    <t xml:space="preserve">3439600040920</t>
  </si>
  <si>
    <t xml:space="preserve">Perfume Feminino Mugler Angel Eau De Toi</t>
  </si>
  <si>
    <t xml:space="preserve">7908137905683</t>
  </si>
  <si>
    <t xml:space="preserve">768614210269</t>
  </si>
  <si>
    <t xml:space="preserve">3386460102933</t>
  </si>
  <si>
    <t xml:space="preserve">Rochas Moustache Eau De Parfum ( Edp ) 7</t>
  </si>
  <si>
    <t xml:space="preserve">768614155942</t>
  </si>
  <si>
    <t xml:space="preserve">3616305447166</t>
  </si>
  <si>
    <t xml:space="preserve">adidas Vibes Get Comfy Edp - Perfume Uni</t>
  </si>
  <si>
    <t xml:space="preserve">7898952577380</t>
  </si>
  <si>
    <t xml:space="preserve">Forever Liss Professional Uti Máscara Re</t>
  </si>
  <si>
    <t xml:space="preserve">3423473021001</t>
  </si>
  <si>
    <t xml:space="preserve">3614273941136</t>
  </si>
  <si>
    <t xml:space="preserve">3616305947291</t>
  </si>
  <si>
    <t xml:space="preserve">8435415102711</t>
  </si>
  <si>
    <t xml:space="preserve">3423222143930</t>
  </si>
  <si>
    <t xml:space="preserve">Narciso Rodriguez For Her Pure Musc Blan</t>
  </si>
  <si>
    <t xml:space="preserve">8011003804559</t>
  </si>
  <si>
    <t xml:space="preserve">8411061084922</t>
  </si>
  <si>
    <t xml:space="preserve">3614226404084</t>
  </si>
  <si>
    <t xml:space="preserve">7896086920133</t>
  </si>
  <si>
    <t xml:space="preserve">3386460098472</t>
  </si>
  <si>
    <t xml:space="preserve">Perfume Boucheron Quatre En Rose Eau De </t>
  </si>
  <si>
    <t xml:space="preserve">4975759103189</t>
  </si>
  <si>
    <t xml:space="preserve">8410190627185</t>
  </si>
  <si>
    <t xml:space="preserve">Perfume Adolfo Dominguez Vetiver Terra 1</t>
  </si>
  <si>
    <t xml:space="preserve">5060524511494</t>
  </si>
  <si>
    <t xml:space="preserve">Cristiano Ronaldo Discover 100ml Masculi</t>
  </si>
  <si>
    <t xml:space="preserve">3614274305388</t>
  </si>
  <si>
    <t xml:space="preserve">3349668662937</t>
  </si>
  <si>
    <t xml:space="preserve">7896086934253</t>
  </si>
  <si>
    <t xml:space="preserve">8435415114776</t>
  </si>
  <si>
    <t xml:space="preserve">3331849022630</t>
  </si>
  <si>
    <t xml:space="preserve">480ml</t>
  </si>
  <si>
    <t xml:space="preserve">Berdoues 1902 Naturelle 480ml Unissex | </t>
  </si>
  <si>
    <t xml:space="preserve">3349668637669</t>
  </si>
  <si>
    <t xml:space="preserve">8411061106228</t>
  </si>
  <si>
    <t xml:space="preserve">7898952577090</t>
  </si>
  <si>
    <t xml:space="preserve">Máscara Matizadora Platinum Blond Foreve</t>
  </si>
  <si>
    <t xml:space="preserve">7908005324165</t>
  </si>
  <si>
    <t xml:space="preserve">7899206176489</t>
  </si>
  <si>
    <t xml:space="preserve">8018365071261</t>
  </si>
  <si>
    <t xml:space="preserve">7896558449872</t>
  </si>
  <si>
    <t xml:space="preserve">Molinete Pesca Brasil Orbital Surf 8000 </t>
  </si>
  <si>
    <t xml:space="preserve">5055810029838</t>
  </si>
  <si>
    <t xml:space="preserve">8011003902880</t>
  </si>
  <si>
    <t xml:space="preserve">7898618487190</t>
  </si>
  <si>
    <t xml:space="preserve">7891033935413</t>
  </si>
  <si>
    <t xml:space="preserve">Diva Esplêndida Desodorante Colônia 100m</t>
  </si>
  <si>
    <t xml:space="preserve">8439627623750</t>
  </si>
  <si>
    <t xml:space="preserve">Perfume Manasik Ward Al Ghar'am - 100 Ml</t>
  </si>
  <si>
    <t xml:space="preserve">3605530741507</t>
  </si>
  <si>
    <t xml:space="preserve">7908725500115</t>
  </si>
  <si>
    <t xml:space="preserve">Corretivo Líquido Claro Concealer Editio</t>
  </si>
  <si>
    <t xml:space="preserve">8011003995950</t>
  </si>
  <si>
    <t xml:space="preserve">7896768470048</t>
  </si>
  <si>
    <t xml:space="preserve">7898410312683</t>
  </si>
  <si>
    <t xml:space="preserve">Perfume Deo Colônia Kiss You More Lata D</t>
  </si>
  <si>
    <t xml:space="preserve">7908785478409</t>
  </si>
  <si>
    <t xml:space="preserve">8011003061303</t>
  </si>
  <si>
    <t xml:space="preserve">7908005376690</t>
  </si>
  <si>
    <t xml:space="preserve">7908005345467</t>
  </si>
  <si>
    <t xml:space="preserve">Garrafa Térmica Cascade Galapagos Branco</t>
  </si>
  <si>
    <t xml:space="preserve">3616301623410</t>
  </si>
  <si>
    <t xml:space="preserve">8411061045497</t>
  </si>
  <si>
    <t xml:space="preserve">7898449393677</t>
  </si>
  <si>
    <t xml:space="preserve">Kamaleão Color Máscara Pigmentante Louva</t>
  </si>
  <si>
    <t xml:space="preserve">3616305447050</t>
  </si>
  <si>
    <t xml:space="preserve">adidas Vibes Full Recharge Edp - Perfume</t>
  </si>
  <si>
    <t xml:space="preserve">3349668594603</t>
  </si>
  <si>
    <t xml:space="preserve">8057971183661</t>
  </si>
  <si>
    <t xml:space="preserve">7898965700942</t>
  </si>
  <si>
    <t xml:space="preserve">3616305271563</t>
  </si>
  <si>
    <t xml:space="preserve">7896086999689</t>
  </si>
  <si>
    <t xml:space="preserve">3349668630271</t>
  </si>
  <si>
    <t xml:space="preserve">8435415114790</t>
  </si>
  <si>
    <t xml:space="preserve">768614189947</t>
  </si>
  <si>
    <t xml:space="preserve">9000250381646</t>
  </si>
  <si>
    <t xml:space="preserve">3386460101059</t>
  </si>
  <si>
    <t xml:space="preserve">7899952321416</t>
  </si>
  <si>
    <t xml:space="preserve">Sabrina Sato Desodorante Colônia Feminin</t>
  </si>
  <si>
    <t xml:space="preserve">768614220473</t>
  </si>
  <si>
    <t xml:space="preserve">3616304967108</t>
  </si>
  <si>
    <t xml:space="preserve">3386460154277</t>
  </si>
  <si>
    <t xml:space="preserve">Coach For Men Eau De Parfum ( Edp ) 100m</t>
  </si>
  <si>
    <t xml:space="preserve">3423470317152</t>
  </si>
  <si>
    <t xml:space="preserve">783320421297</t>
  </si>
  <si>
    <t xml:space="preserve">Perfume Bvlgari Pour Homme Eau De Parfum</t>
  </si>
  <si>
    <t xml:space="preserve">8715658999195</t>
  </si>
  <si>
    <t xml:space="preserve">Mixed Emotions 100ml Edp - Linn Young Vo</t>
  </si>
  <si>
    <t xml:space="preserve">8411061805879</t>
  </si>
  <si>
    <t xml:space="preserve">3386460139120</t>
  </si>
  <si>
    <t xml:space="preserve">7896086991539</t>
  </si>
  <si>
    <t xml:space="preserve">8411061996539</t>
  </si>
  <si>
    <t xml:space="preserve">5060630044046</t>
  </si>
  <si>
    <t xml:space="preserve">Exfoliante E Massageador De Couro Cabelu</t>
  </si>
  <si>
    <t xml:space="preserve">3349668641772</t>
  </si>
  <si>
    <t xml:space="preserve">3137370365181</t>
  </si>
  <si>
    <t xml:space="preserve">3616305447159</t>
  </si>
  <si>
    <t xml:space="preserve">adidas Vibes Happy Feels Edp - Perfume U</t>
  </si>
  <si>
    <t xml:space="preserve">7908992000721</t>
  </si>
  <si>
    <t xml:space="preserve">3349668617159</t>
  </si>
  <si>
    <t xml:space="preserve">3616301838210</t>
  </si>
  <si>
    <t xml:space="preserve">7898965429348</t>
  </si>
  <si>
    <t xml:space="preserve">Creamy Skincare Intensive Repair Cream 4</t>
  </si>
  <si>
    <t xml:space="preserve">7899952326343</t>
  </si>
  <si>
    <t xml:space="preserve">25ml</t>
  </si>
  <si>
    <t xml:space="preserve">Colônia Fabio Jr Legacy 25ml - Jequiti</t>
  </si>
  <si>
    <t xml:space="preserve">8411061972229</t>
  </si>
  <si>
    <t xml:space="preserve">Perfume Shakira Shakira Dance Midnight E</t>
  </si>
  <si>
    <t xml:space="preserve">8057971180295</t>
  </si>
  <si>
    <t xml:space="preserve">8809679696468</t>
  </si>
  <si>
    <t xml:space="preserve">18g</t>
  </si>
  <si>
    <t xml:space="preserve">Tirtir Base Red Cushion 23n Sand 18g </t>
  </si>
  <si>
    <t xml:space="preserve">7891117102045</t>
  </si>
  <si>
    <t xml:space="preserve">Kit Carretel, Tampa E Mola P/ Aparadores</t>
  </si>
  <si>
    <t xml:space="preserve">7898600996150</t>
  </si>
  <si>
    <t xml:space="preserve">Corretivo Camuflagem Pri Lessa Catharine</t>
  </si>
  <si>
    <t xml:space="preserve">8411061101605</t>
  </si>
  <si>
    <t xml:space="preserve">Aguas De Victorio &amp; Lucchino N°6 Magnoli</t>
  </si>
  <si>
    <t xml:space="preserve">8715658400714</t>
  </si>
  <si>
    <t xml:space="preserve">Pink Linn Young Club 420 Edp Feminino 10</t>
  </si>
  <si>
    <t xml:space="preserve">309973978010</t>
  </si>
  <si>
    <t xml:space="preserve">Revlon Colorstay Lapis De Olhos Black No</t>
  </si>
  <si>
    <t xml:space="preserve">7290011521424</t>
  </si>
  <si>
    <t xml:space="preserve">Moroccanoil Creme Modelador De Cachos 25</t>
  </si>
  <si>
    <t xml:space="preserve">730852147713</t>
  </si>
  <si>
    <t xml:space="preserve">7896525011095</t>
  </si>
  <si>
    <t xml:space="preserve">8411061011195</t>
  </si>
  <si>
    <t xml:space="preserve">6291108734049</t>
  </si>
  <si>
    <t xml:space="preserve">Perfume Riiffs Imperial Rouge 100ml Eau </t>
  </si>
  <si>
    <t xml:space="preserve">3614223111404</t>
  </si>
  <si>
    <t xml:space="preserve">3616305488626</t>
  </si>
  <si>
    <t xml:space="preserve">3494800042235</t>
  </si>
  <si>
    <t xml:space="preserve">Kit Marina De Bourbon Classique 100ml + </t>
  </si>
  <si>
    <t xml:space="preserve">3349668627486</t>
  </si>
  <si>
    <t xml:space="preserve">3616305186096</t>
  </si>
  <si>
    <t xml:space="preserve">3616303173104</t>
  </si>
  <si>
    <t xml:space="preserve">7891033129614</t>
  </si>
  <si>
    <t xml:space="preserve">Hidratante Desodorante Corporal Indulgen</t>
  </si>
  <si>
    <t xml:space="preserve">783320423796</t>
  </si>
  <si>
    <t xml:space="preserve">Perfume Bvlgari Man In Black Eau De Parf</t>
  </si>
  <si>
    <t xml:space="preserve">7891033529438</t>
  </si>
  <si>
    <t xml:space="preserve">Colônia Magnific Rouge Camélia 75ml - Eu</t>
  </si>
  <si>
    <t xml:space="preserve">7898301055842</t>
  </si>
  <si>
    <t xml:space="preserve">Bomba Manual Tira Leite Materno Confort </t>
  </si>
  <si>
    <t xml:space="preserve">3614274182293</t>
  </si>
  <si>
    <t xml:space="preserve">Ysl Libre Holiday Eau De Parfum Feminino</t>
  </si>
  <si>
    <t xml:space="preserve">8715658997283</t>
  </si>
  <si>
    <t xml:space="preserve">Perfume Feminino Just For Me Eau De Parf</t>
  </si>
  <si>
    <t xml:space="preserve">8011003825721</t>
  </si>
  <si>
    <t xml:space="preserve">5425039220239</t>
  </si>
  <si>
    <t xml:space="preserve">New Brand Cool Woman Acompanha Nota Fisc</t>
  </si>
  <si>
    <t xml:space="preserve">6294015163513</t>
  </si>
  <si>
    <t xml:space="preserve">7908787700461</t>
  </si>
  <si>
    <t xml:space="preserve">Felisa Velvet Tobacco 100ml Unissex | Or</t>
  </si>
  <si>
    <t xml:space="preserve">8411061099780</t>
  </si>
  <si>
    <t xml:space="preserve">3614273316132</t>
  </si>
  <si>
    <t xml:space="preserve">7908412515460</t>
  </si>
  <si>
    <t xml:space="preserve">Fogão Cooktop - Elgin Cook For You Cor P</t>
  </si>
  <si>
    <t xml:space="preserve">3605972698780</t>
  </si>
  <si>
    <t xml:space="preserve">8057971183029</t>
  </si>
  <si>
    <t xml:space="preserve">729238191129</t>
  </si>
  <si>
    <t xml:space="preserve">15ml</t>
  </si>
  <si>
    <t xml:space="preserve">7896086943378</t>
  </si>
  <si>
    <t xml:space="preserve">3616304967122</t>
  </si>
  <si>
    <t xml:space="preserve">8018365070462</t>
  </si>
  <si>
    <t xml:space="preserve">3616303475468</t>
  </si>
  <si>
    <t xml:space="preserve">730852144569</t>
  </si>
  <si>
    <t xml:space="preserve">3439600056181</t>
  </si>
  <si>
    <t xml:space="preserve">Thierry Mugler Alien Casual Edt 60ml Par</t>
  </si>
  <si>
    <t xml:space="preserve">3423222118310</t>
  </si>
  <si>
    <t xml:space="preserve">L'eau D'issey Eau De Parfum Intense 30ml</t>
  </si>
  <si>
    <t xml:space="preserve">4975759042877</t>
  </si>
  <si>
    <t xml:space="preserve">6294015164169</t>
  </si>
  <si>
    <t xml:space="preserve">8057971188345</t>
  </si>
  <si>
    <t xml:space="preserve">3351500011469</t>
  </si>
  <si>
    <t xml:space="preserve">8018365500020</t>
  </si>
  <si>
    <t xml:space="preserve">8436581942620</t>
  </si>
  <si>
    <t xml:space="preserve">Kit Women'secret Intimate Edp 100ml + Bo</t>
  </si>
  <si>
    <t xml:space="preserve">8411061099759</t>
  </si>
  <si>
    <t xml:space="preserve">885911387101</t>
  </si>
  <si>
    <t xml:space="preserve">7898973267437</t>
  </si>
  <si>
    <t xml:space="preserve">8411061029619</t>
  </si>
  <si>
    <t xml:space="preserve">Perfume Eau De Toilette Feminino Shakira</t>
  </si>
  <si>
    <t xml:space="preserve">7908038607808</t>
  </si>
  <si>
    <t xml:space="preserve">Máscara De Nutrição Intensa Magia De Uni</t>
  </si>
  <si>
    <t xml:space="preserve">7896086932433</t>
  </si>
  <si>
    <t xml:space="preserve">3614273636445</t>
  </si>
  <si>
    <t xml:space="preserve">8411061124079</t>
  </si>
  <si>
    <t xml:space="preserve">Banderas Her Secret Pink Absolu - Perfum</t>
  </si>
  <si>
    <t xml:space="preserve">3614274142358</t>
  </si>
  <si>
    <t xml:space="preserve">8011003826711</t>
  </si>
  <si>
    <t xml:space="preserve">8435415114783</t>
  </si>
  <si>
    <t xml:space="preserve">3274872505759</t>
  </si>
  <si>
    <t xml:space="preserve">Flower By Kenzo Le Rouge Eau De Parfum (</t>
  </si>
  <si>
    <t xml:space="preserve">3614229829044</t>
  </si>
  <si>
    <t xml:space="preserve">6290171073802</t>
  </si>
  <si>
    <t xml:space="preserve">Perfume Eau De Parfum Goodness Oud Rouge</t>
  </si>
  <si>
    <t xml:space="preserve">730852145290</t>
  </si>
  <si>
    <t xml:space="preserve">3349668642878</t>
  </si>
  <si>
    <t xml:space="preserve">729238139350</t>
  </si>
  <si>
    <t xml:space="preserve">8410190637627</t>
  </si>
  <si>
    <t xml:space="preserve">Perfume Adolfo Dominguez Pomelo Eau De T</t>
  </si>
  <si>
    <t xml:space="preserve">7897013566257</t>
  </si>
  <si>
    <t xml:space="preserve">Fonte Carregador Universal Notebook Elgi</t>
  </si>
  <si>
    <t xml:space="preserve">3614274425796</t>
  </si>
  <si>
    <t xml:space="preserve">Lancôme Kit Rotina Génifique Ultimate </t>
  </si>
  <si>
    <t xml:space="preserve">3614273734790</t>
  </si>
  <si>
    <t xml:space="preserve">8411061994696</t>
  </si>
  <si>
    <t xml:space="preserve">3423470480986</t>
  </si>
  <si>
    <t xml:space="preserve">Perfume Issey Miyake L'eau D'issey Edt 2</t>
  </si>
  <si>
    <t xml:space="preserve">7896032657144</t>
  </si>
  <si>
    <t xml:space="preserve">7896086930842</t>
  </si>
  <si>
    <t xml:space="preserve">3274872502598</t>
  </si>
  <si>
    <t xml:space="preserve">7896086912053</t>
  </si>
  <si>
    <t xml:space="preserve">8411061112151</t>
  </si>
  <si>
    <t xml:space="preserve">Perfume Victorio &amp; Lucchino Nº9 Noche Ea</t>
  </si>
  <si>
    <t xml:space="preserve">8005610481005</t>
  </si>
  <si>
    <t xml:space="preserve">7898741806028</t>
  </si>
  <si>
    <t xml:space="preserve">3386460171083</t>
  </si>
  <si>
    <t xml:space="preserve">Coach For Men Pure Platinum Parfum 100ml</t>
  </si>
  <si>
    <t xml:space="preserve">3616303048181</t>
  </si>
  <si>
    <t xml:space="preserve">3331849022814</t>
  </si>
  <si>
    <t xml:space="preserve">Berdoues 1902 Tonique 480ml Unissex | + </t>
  </si>
  <si>
    <t xml:space="preserve">8435415080415</t>
  </si>
  <si>
    <t xml:space="preserve">8011003878604</t>
  </si>
  <si>
    <t xml:space="preserve">8410190612525</t>
  </si>
  <si>
    <t xml:space="preserve">Adolfo Dominguez Agua Fresca De Rosas Bl</t>
  </si>
  <si>
    <t xml:space="preserve">7898618489941</t>
  </si>
  <si>
    <t xml:space="preserve">8011003878611</t>
  </si>
  <si>
    <t xml:space="preserve">3614273556620</t>
  </si>
  <si>
    <t xml:space="preserve">7908005376638</t>
  </si>
  <si>
    <t xml:space="preserve">3349668588749</t>
  </si>
  <si>
    <t xml:space="preserve">3349668617043</t>
  </si>
  <si>
    <t xml:space="preserve">3137370207016</t>
  </si>
  <si>
    <t xml:space="preserve">878813000094</t>
  </si>
  <si>
    <t xml:space="preserve">7891033531448</t>
  </si>
  <si>
    <t xml:space="preserve">Eudora Imensi 100ml Para Feminino</t>
  </si>
  <si>
    <t xml:space="preserve">7898952577250</t>
  </si>
  <si>
    <t xml:space="preserve">Máscara Banho De Verniz Forever Liss 250</t>
  </si>
  <si>
    <t xml:space="preserve">3137370363156</t>
  </si>
  <si>
    <t xml:space="preserve">8411061114223</t>
  </si>
  <si>
    <t xml:space="preserve">Perfume Feminino Flor Exótica Nº 16 De V</t>
  </si>
  <si>
    <t xml:space="preserve">729238222588</t>
  </si>
  <si>
    <t xml:space="preserve">8410190631168</t>
  </si>
  <si>
    <t xml:space="preserve">Adolfo Dominguez 1993 Agua Fresca 120ml </t>
  </si>
  <si>
    <t xml:space="preserve">3423222055615</t>
  </si>
  <si>
    <t xml:space="preserve">Narciso Rodriguez Cristal Edp 50ml</t>
  </si>
  <si>
    <t xml:space="preserve">7899601701125</t>
  </si>
  <si>
    <t xml:space="preserve">Colônia Feminina Jequiti Claudia Leitte </t>
  </si>
  <si>
    <t xml:space="preserve">8433982002243</t>
  </si>
  <si>
    <t xml:space="preserve">7899206171866</t>
  </si>
  <si>
    <t xml:space="preserve">3355991001671</t>
  </si>
  <si>
    <t xml:space="preserve">3274878122561</t>
  </si>
  <si>
    <t xml:space="preserve">5055810030513</t>
  </si>
  <si>
    <t xml:space="preserve">Zirconia Privé Famous Eau De Parfum - Pe</t>
  </si>
  <si>
    <t xml:space="preserve">730852145283</t>
  </si>
  <si>
    <t xml:space="preserve">6294015132120</t>
  </si>
  <si>
    <t xml:space="preserve">8435415105361</t>
  </si>
  <si>
    <t xml:space="preserve">4975759001775</t>
  </si>
  <si>
    <t xml:space="preserve">7898600994132</t>
  </si>
  <si>
    <t xml:space="preserve">Base Alta Cobertura Angel Wings Catharin</t>
  </si>
  <si>
    <t xml:space="preserve">6297001574027</t>
  </si>
  <si>
    <t xml:space="preserve">Perfume Nusuk Al Mukhtalif 100ml - Extra</t>
  </si>
  <si>
    <t xml:space="preserve">7891117004479</t>
  </si>
  <si>
    <t xml:space="preserve">Serrote De Poda Dobrável Tramontina Aço </t>
  </si>
  <si>
    <t xml:space="preserve">6290360599168</t>
  </si>
  <si>
    <t xml:space="preserve">768614171522</t>
  </si>
  <si>
    <t xml:space="preserve">3614273521345</t>
  </si>
  <si>
    <t xml:space="preserve">8433982017124</t>
  </si>
  <si>
    <t xml:space="preserve">7908992000707</t>
  </si>
  <si>
    <t xml:space="preserve">3614272225664</t>
  </si>
  <si>
    <t xml:space="preserve">8054754407242</t>
  </si>
  <si>
    <t xml:space="preserve">8410190609105</t>
  </si>
  <si>
    <t xml:space="preserve">Adolfo Dominguez Agua Fresca De Azahar A</t>
  </si>
  <si>
    <t xml:space="preserve">3349668601073</t>
  </si>
  <si>
    <t xml:space="preserve">309974784061</t>
  </si>
  <si>
    <t xml:space="preserve">Revlon Powder Blush Powder Blush Naughty</t>
  </si>
  <si>
    <t xml:space="preserve">8018365260757</t>
  </si>
  <si>
    <t xml:space="preserve">3386460028462</t>
  </si>
  <si>
    <t xml:space="preserve">8411061043875</t>
  </si>
  <si>
    <t xml:space="preserve">3605972975850</t>
  </si>
  <si>
    <t xml:space="preserve">3616301296669</t>
  </si>
  <si>
    <t xml:space="preserve">719346253260</t>
  </si>
  <si>
    <t xml:space="preserve">John Varvatos Xx Artisan Teal Edt 125ml </t>
  </si>
  <si>
    <t xml:space="preserve">3701171701235</t>
  </si>
  <si>
    <t xml:space="preserve">Pilbox Semanal Liberty Porta Comprimidos</t>
  </si>
  <si>
    <t xml:space="preserve">3137370360933</t>
  </si>
  <si>
    <t xml:space="preserve">8011003838387</t>
  </si>
  <si>
    <t xml:space="preserve">3351500016617</t>
  </si>
  <si>
    <t xml:space="preserve">3355992009577</t>
  </si>
  <si>
    <t xml:space="preserve">Lapidus Cool Night Eau De Parfum ( Edp )</t>
  </si>
  <si>
    <t xml:space="preserve">3386460145060</t>
  </si>
  <si>
    <t xml:space="preserve">Kate Spade Bloom Edt 100ml Feminino | Or</t>
  </si>
  <si>
    <t xml:space="preserve">3386460120630</t>
  </si>
  <si>
    <t xml:space="preserve">Kate Spade Sparkle Eau De Parfum Intense</t>
  </si>
  <si>
    <t xml:space="preserve">309973212022</t>
  </si>
  <si>
    <t xml:space="preserve">8011003838394</t>
  </si>
  <si>
    <t xml:space="preserve">3614272225701</t>
  </si>
  <si>
    <t xml:space="preserve">3605530314176</t>
  </si>
  <si>
    <t xml:space="preserve">8411061841655</t>
  </si>
  <si>
    <t xml:space="preserve">3616303461966</t>
  </si>
  <si>
    <t xml:space="preserve">David Beckham Classic Edt 100ml Volume D</t>
  </si>
  <si>
    <t xml:space="preserve">3349668594429</t>
  </si>
  <si>
    <t xml:space="preserve">3616303461980</t>
  </si>
  <si>
    <t xml:space="preserve">Perfume Classic Blue Masculino Eau De To</t>
  </si>
  <si>
    <t xml:space="preserve">7896768470055</t>
  </si>
  <si>
    <t xml:space="preserve">8435415114004</t>
  </si>
  <si>
    <t xml:space="preserve">8011003993826</t>
  </si>
  <si>
    <t xml:space="preserve">3616304990458</t>
  </si>
  <si>
    <t xml:space="preserve">3616301794646</t>
  </si>
  <si>
    <t xml:space="preserve">3616306702073</t>
  </si>
  <si>
    <t xml:space="preserve">3614226904980</t>
  </si>
  <si>
    <t xml:space="preserve">3274872372146</t>
  </si>
  <si>
    <t xml:space="preserve">7898920039971</t>
  </si>
  <si>
    <t xml:space="preserve">Felisa Fabulous Vanilla Eau De Parfum 10</t>
  </si>
  <si>
    <t xml:space="preserve">3274872448780</t>
  </si>
  <si>
    <t xml:space="preserve">3614274752106</t>
  </si>
  <si>
    <t xml:space="preserve">7899952325827</t>
  </si>
  <si>
    <t xml:space="preserve">Perfume Colônia Patrícia Abravanel Inten</t>
  </si>
  <si>
    <t xml:space="preserve">7896046702656</t>
  </si>
  <si>
    <t xml:space="preserve">Creme Gloss Defrizante Eu Amo Charming C</t>
  </si>
  <si>
    <t xml:space="preserve">5425017734314</t>
  </si>
  <si>
    <t xml:space="preserve">Perfume New Brand Gold Women 100ml Edp V</t>
  </si>
  <si>
    <t xml:space="preserve">8411061991909</t>
  </si>
  <si>
    <t xml:space="preserve">7899612705778</t>
  </si>
  <si>
    <t xml:space="preserve">Bolsa Cinto Mtx 7 Bolsos Ideal Para Elét</t>
  </si>
  <si>
    <t xml:space="preserve">4064666939766</t>
  </si>
  <si>
    <t xml:space="preserve">4053423348033</t>
  </si>
  <si>
    <t xml:space="preserve">Esmerilhadeira Angular Bosch Gws 770 4.1</t>
  </si>
  <si>
    <t xml:space="preserve">6290362348757</t>
  </si>
  <si>
    <t xml:space="preserve">3386460149198</t>
  </si>
  <si>
    <t xml:space="preserve">Lacoste L.12.12 Rose Sparkling 100ml | O</t>
  </si>
  <si>
    <t xml:space="preserve">3614273636568</t>
  </si>
  <si>
    <t xml:space="preserve">3616305277442</t>
  </si>
  <si>
    <t xml:space="preserve">3349668612604</t>
  </si>
  <si>
    <t xml:space="preserve">6294015190618</t>
  </si>
  <si>
    <t xml:space="preserve">Risala Amalia Eau De Parfum Unissex 100m</t>
  </si>
  <si>
    <t xml:space="preserve">3614274772029</t>
  </si>
  <si>
    <t xml:space="preserve">8435415091152</t>
  </si>
  <si>
    <t xml:space="preserve">3386460076265</t>
  </si>
  <si>
    <t xml:space="preserve">Eau De Toilette Feminino Rochas 100ml Cí</t>
  </si>
  <si>
    <t xml:space="preserve">6290360375687</t>
  </si>
  <si>
    <t xml:space="preserve">Perfume French Avenue Azzure Oud Eau De </t>
  </si>
  <si>
    <t xml:space="preserve">6290362348849</t>
  </si>
  <si>
    <t xml:space="preserve">3614228174275</t>
  </si>
  <si>
    <t xml:space="preserve">3616303463359</t>
  </si>
  <si>
    <t xml:space="preserve">8057971183654</t>
  </si>
  <si>
    <t xml:space="preserve">8411061988152</t>
  </si>
  <si>
    <t xml:space="preserve">Nº7 Mediterraneo Victorio &amp; Lucchino Edt</t>
  </si>
  <si>
    <t xml:space="preserve">3349668644063</t>
  </si>
  <si>
    <t xml:space="preserve">5055810030520</t>
  </si>
  <si>
    <t xml:space="preserve">Zirconia Privé Princess Eau De Parfum Fl</t>
  </si>
  <si>
    <t xml:space="preserve">6291108735411</t>
  </si>
  <si>
    <t xml:space="preserve">3137370363033</t>
  </si>
  <si>
    <t xml:space="preserve">3349668582365</t>
  </si>
  <si>
    <t xml:space="preserve">309975424034</t>
  </si>
  <si>
    <t xml:space="preserve">Pó Compacto Revlon Colorstay Pressed Pow</t>
  </si>
  <si>
    <t xml:space="preserve">7898618486858</t>
  </si>
  <si>
    <t xml:space="preserve">7898920039995</t>
  </si>
  <si>
    <t xml:space="preserve">Felisa Majestic Rose Eau De Parfum 100ml</t>
  </si>
  <si>
    <t xml:space="preserve">8410190635883</t>
  </si>
  <si>
    <t xml:space="preserve">Adolfo Dominguez Bambú Eau De Parfum 120</t>
  </si>
  <si>
    <t xml:space="preserve">7908005376683</t>
  </si>
  <si>
    <t xml:space="preserve">8411061105344</t>
  </si>
  <si>
    <t xml:space="preserve">Perfume Shakira Amarillo Shakira Eau De </t>
  </si>
  <si>
    <t xml:space="preserve">7908992000714</t>
  </si>
  <si>
    <t xml:space="preserve">8411061114186</t>
  </si>
  <si>
    <t xml:space="preserve">Victorio &amp; Lucchino N°17 Flor Sensual 15</t>
  </si>
  <si>
    <t xml:space="preserve">3349666007891</t>
  </si>
  <si>
    <t xml:space="preserve">3326240040024</t>
  </si>
  <si>
    <t xml:space="preserve">Udv Flash 100ml Masculino | Original E L</t>
  </si>
  <si>
    <t xml:space="preserve">3423222118372</t>
  </si>
  <si>
    <t xml:space="preserve">6294015163896</t>
  </si>
  <si>
    <t xml:space="preserve">3386460136334</t>
  </si>
  <si>
    <t xml:space="preserve">Kate Spade Chérie Edp 100ml Feminino | O</t>
  </si>
  <si>
    <t xml:space="preserve">7898973267758</t>
  </si>
  <si>
    <t xml:space="preserve">7908791000359</t>
  </si>
  <si>
    <t xml:space="preserve">Skelt Body Splash Urban Beat 100ml | Fra</t>
  </si>
  <si>
    <t xml:space="preserve">3274872441057</t>
  </si>
  <si>
    <t xml:space="preserve">8054754403282</t>
  </si>
  <si>
    <t xml:space="preserve">3386460142175</t>
  </si>
  <si>
    <t xml:space="preserve">Coach Love Eau De Parfum 90ml Feminino |</t>
  </si>
  <si>
    <t xml:space="preserve">8411061083673</t>
  </si>
  <si>
    <t xml:space="preserve">4064941120209</t>
  </si>
  <si>
    <t xml:space="preserve">Coffret Kylie Jenner Cosmic Eau De Parfu</t>
  </si>
  <si>
    <t xml:space="preserve">3614229829037</t>
  </si>
  <si>
    <t xml:space="preserve">8011003845330</t>
  </si>
  <si>
    <t xml:space="preserve">8411061055182</t>
  </si>
  <si>
    <t xml:space="preserve">850049716321</t>
  </si>
  <si>
    <t xml:space="preserve">8011003903146</t>
  </si>
  <si>
    <t xml:space="preserve">8011003845354</t>
  </si>
  <si>
    <t xml:space="preserve">3616303473402</t>
  </si>
  <si>
    <t xml:space="preserve">729238154964</t>
  </si>
  <si>
    <t xml:space="preserve">719346094665</t>
  </si>
  <si>
    <t xml:space="preserve">7898965429232</t>
  </si>
  <si>
    <t xml:space="preserve">Creamy Skincare Ácido Salicílico 90ml | </t>
  </si>
  <si>
    <t xml:space="preserve">3349668614653</t>
  </si>
  <si>
    <t xml:space="preserve">7895293668968</t>
  </si>
  <si>
    <t xml:space="preserve">Kajima Mt120 Armadilha Anti Mosquitos E </t>
  </si>
  <si>
    <t xml:space="preserve">3274872424982</t>
  </si>
  <si>
    <t xml:space="preserve">6949509226983</t>
  </si>
  <si>
    <t xml:space="preserve">Kit De Pontas E Brocas Bosch V-line 41 P</t>
  </si>
  <si>
    <t xml:space="preserve">8433982024122</t>
  </si>
  <si>
    <t xml:space="preserve">5060524511333</t>
  </si>
  <si>
    <t xml:space="preserve">Cristiano Ronaldo Fearless 100ml Masculi</t>
  </si>
  <si>
    <t xml:space="preserve">7899952322789</t>
  </si>
  <si>
    <t xml:space="preserve">Deo Colônia Bem Me Quer Com Magia 25ml -</t>
  </si>
  <si>
    <t xml:space="preserve">3355991006003</t>
  </si>
  <si>
    <t xml:space="preserve">8411061088562</t>
  </si>
  <si>
    <t xml:space="preserve">3616305947277</t>
  </si>
  <si>
    <t xml:space="preserve">7290011521103</t>
  </si>
  <si>
    <t xml:space="preserve">Moroccanoil Óleo Para Todos Os Tipos De </t>
  </si>
  <si>
    <t xml:space="preserve">3386460149822</t>
  </si>
  <si>
    <t xml:space="preserve">Karl Lagerfeld Ikonik Eau De Parfum 100m</t>
  </si>
  <si>
    <t xml:space="preserve">3386460149112</t>
  </si>
  <si>
    <t xml:space="preserve">175ml</t>
  </si>
  <si>
    <t xml:space="preserve">Lacoste L1212 Blanc Edt Masculino 175ml </t>
  </si>
  <si>
    <t xml:space="preserve">3386460149129</t>
  </si>
  <si>
    <t xml:space="preserve">Lacoste L.12.12 Blanc Edp 100ml Para Mas</t>
  </si>
  <si>
    <t xml:space="preserve">8411061982105</t>
  </si>
  <si>
    <t xml:space="preserve">729238154988</t>
  </si>
  <si>
    <t xml:space="preserve">8057971188185</t>
  </si>
  <si>
    <t xml:space="preserve">3349668614455</t>
  </si>
  <si>
    <t xml:space="preserve">3595471095367</t>
  </si>
  <si>
    <t xml:space="preserve">7290011521028</t>
  </si>
  <si>
    <t xml:space="preserve">Moroccanoil Creme Hidratante Para Pentea</t>
  </si>
  <si>
    <t xml:space="preserve">3614272161788</t>
  </si>
  <si>
    <t xml:space="preserve">3412242508027</t>
  </si>
  <si>
    <t xml:space="preserve">3595471095282</t>
  </si>
  <si>
    <t xml:space="preserve">3595471095329</t>
  </si>
  <si>
    <t xml:space="preserve">7898618488500</t>
  </si>
  <si>
    <t xml:space="preserve">7908615060859</t>
  </si>
  <si>
    <t xml:space="preserve">Loreal Se Pro Longer Condicionador 750ml</t>
  </si>
  <si>
    <t xml:space="preserve">768614212324</t>
  </si>
  <si>
    <t xml:space="preserve">737052662664</t>
  </si>
  <si>
    <t xml:space="preserve">Lacoste L.12.12 Noir Intense Eau De Toil</t>
  </si>
  <si>
    <t xml:space="preserve">7891033922192</t>
  </si>
  <si>
    <t xml:space="preserve">Colônia Desodorante Volpe 100ml Volume D</t>
  </si>
  <si>
    <t xml:space="preserve">3614224686833</t>
  </si>
  <si>
    <t xml:space="preserve">3274872454460</t>
  </si>
  <si>
    <t xml:space="preserve">Flower Ikebana By Kenzo Eau De Parfum 40</t>
  </si>
  <si>
    <t xml:space="preserve">7290013627216</t>
  </si>
  <si>
    <t xml:space="preserve">Máscara Moroccanoil Light Hidratação Lev</t>
  </si>
  <si>
    <t xml:space="preserve">7899612702500</t>
  </si>
  <si>
    <t xml:space="preserve">Jogo De Chaves Allen Curta 1.5 A 10mm C/</t>
  </si>
  <si>
    <t xml:space="preserve">3386460126625</t>
  </si>
  <si>
    <t xml:space="preserve">Coach Open Road 100ml Masculino | Origin</t>
  </si>
  <si>
    <t xml:space="preserve">729238181205</t>
  </si>
  <si>
    <t xml:space="preserve">8411061067932</t>
  </si>
  <si>
    <t xml:space="preserve">8011003876280</t>
  </si>
  <si>
    <t xml:space="preserve">5060630048013</t>
  </si>
  <si>
    <t xml:space="preserve">Tangle Teezer The Ultimate Styler Escova</t>
  </si>
  <si>
    <t xml:space="preserve">8057971183722</t>
  </si>
  <si>
    <t xml:space="preserve">7899952331552</t>
  </si>
  <si>
    <t xml:space="preserve">Jequiti Cascão Masculino Água De Colônia</t>
  </si>
  <si>
    <t xml:space="preserve">5055810012274</t>
  </si>
  <si>
    <t xml:space="preserve">309970213466</t>
  </si>
  <si>
    <t xml:space="preserve">Corretor De Desgaste Revlon Colorstay Fl</t>
  </si>
  <si>
    <t xml:space="preserve">8715658390237</t>
  </si>
  <si>
    <t xml:space="preserve">Perfume Masculino Blue Window Eau De Toi</t>
  </si>
  <si>
    <t xml:space="preserve">3423478806054</t>
  </si>
  <si>
    <t xml:space="preserve">7896086946423</t>
  </si>
  <si>
    <t xml:space="preserve">5060926687568</t>
  </si>
  <si>
    <t xml:space="preserve">Escova De Cabelo Tangle Teezer Extra Gen</t>
  </si>
  <si>
    <t xml:space="preserve">3386460165921</t>
  </si>
  <si>
    <t xml:space="preserve">Perfume Lacoste L.12.12 Silver Rose Edp </t>
  </si>
  <si>
    <t xml:space="preserve">8011003994427</t>
  </si>
  <si>
    <t xml:space="preserve">3616303445553</t>
  </si>
  <si>
    <t xml:space="preserve">3349668662913</t>
  </si>
  <si>
    <t xml:space="preserve">7898965429041</t>
  </si>
  <si>
    <t xml:space="preserve">30g</t>
  </si>
  <si>
    <t xml:space="preserve">Creamy Skincare Ácido Mandélico 30g Redu</t>
  </si>
  <si>
    <t xml:space="preserve">737052972305</t>
  </si>
  <si>
    <t xml:space="preserve">7898555602199</t>
  </si>
  <si>
    <t xml:space="preserve">Bb Cream Latika Clareador Fps 44 - Bege </t>
  </si>
  <si>
    <t xml:space="preserve">7640496670238</t>
  </si>
  <si>
    <t xml:space="preserve">737052339207</t>
  </si>
  <si>
    <t xml:space="preserve">6291107454894</t>
  </si>
  <si>
    <t xml:space="preserve">Perfume Riiffs Bleu Absolu Eau De Parfum</t>
  </si>
  <si>
    <t xml:space="preserve">8435415113984</t>
  </si>
  <si>
    <t xml:space="preserve">7896086992178</t>
  </si>
  <si>
    <t xml:space="preserve">729238212473</t>
  </si>
  <si>
    <t xml:space="preserve">3349668642496</t>
  </si>
  <si>
    <t xml:space="preserve">8057971180431</t>
  </si>
  <si>
    <t xml:space="preserve">5055810013110</t>
  </si>
  <si>
    <t xml:space="preserve">3616304967153</t>
  </si>
  <si>
    <t xml:space="preserve">3137370357711</t>
  </si>
  <si>
    <t xml:space="preserve">3386460154291</t>
  </si>
  <si>
    <t xml:space="preserve">Coach For Men Eau De Parfum Masculino 40</t>
  </si>
  <si>
    <t xml:space="preserve">4064666435459</t>
  </si>
  <si>
    <t xml:space="preserve">7898973267741</t>
  </si>
  <si>
    <t xml:space="preserve">5055810014926</t>
  </si>
  <si>
    <t xml:space="preserve">7898390941170</t>
  </si>
  <si>
    <t xml:space="preserve">Óculos De Proteção Para Segurança Paraty</t>
  </si>
  <si>
    <t xml:space="preserve">3414202011752</t>
  </si>
  <si>
    <t xml:space="preserve">7899952324615</t>
  </si>
  <si>
    <t xml:space="preserve">Perfume Feminino Bem Me Quer Paradise Je</t>
  </si>
  <si>
    <t xml:space="preserve">8411061926093</t>
  </si>
  <si>
    <t xml:space="preserve">7891114053616</t>
  </si>
  <si>
    <t xml:space="preserve">3614274684001</t>
  </si>
  <si>
    <t xml:space="preserve">8715658400721</t>
  </si>
  <si>
    <t xml:space="preserve">Perfume Rosiale Eau De Parfum 100 Ml - S</t>
  </si>
  <si>
    <t xml:space="preserve">3494800028048</t>
  </si>
  <si>
    <t xml:space="preserve">Marina De Bourbon Royal Marina Diamond E</t>
  </si>
  <si>
    <t xml:space="preserve">3614274151008</t>
  </si>
  <si>
    <t xml:space="preserve">8435415091145</t>
  </si>
  <si>
    <t xml:space="preserve">8411061081563</t>
  </si>
  <si>
    <t xml:space="preserve">7896451813862</t>
  </si>
  <si>
    <t xml:space="preserve">7290015485357</t>
  </si>
  <si>
    <t xml:space="preserve">Moroccanoil Hidratante Condicionador 1l</t>
  </si>
  <si>
    <t xml:space="preserve">8411061823033</t>
  </si>
  <si>
    <t xml:space="preserve">6290362348801</t>
  </si>
  <si>
    <t xml:space="preserve">7908038605057</t>
  </si>
  <si>
    <t xml:space="preserve">Forever Liss Xô Frizz Amaciante Capilar </t>
  </si>
  <si>
    <t xml:space="preserve">8411061832578</t>
  </si>
  <si>
    <t xml:space="preserve">Nº 6 Magnolia Sensual Victorio&amp;lucchino </t>
  </si>
  <si>
    <t xml:space="preserve">8011003061327</t>
  </si>
  <si>
    <t xml:space="preserve">8011003906338</t>
  </si>
  <si>
    <t xml:space="preserve">8011003818174</t>
  </si>
  <si>
    <t xml:space="preserve">8005610481081</t>
  </si>
  <si>
    <t xml:space="preserve">768614155225</t>
  </si>
  <si>
    <t xml:space="preserve">3137370363149</t>
  </si>
  <si>
    <t xml:space="preserve">711719574316</t>
  </si>
  <si>
    <t xml:space="preserve">3349668630028</t>
  </si>
  <si>
    <t xml:space="preserve">8435415059084</t>
  </si>
  <si>
    <t xml:space="preserve">3386460123518</t>
  </si>
  <si>
    <t xml:space="preserve">7899952323564</t>
  </si>
  <si>
    <t xml:space="preserve">Jequiti Colônia Feminina Rebeca Abravane</t>
  </si>
  <si>
    <t xml:space="preserve">4975759020660</t>
  </si>
  <si>
    <t xml:space="preserve">3386460172691</t>
  </si>
  <si>
    <t xml:space="preserve">Perfume Lacoste Original Aqua Eau De Par</t>
  </si>
  <si>
    <t xml:space="preserve">3605530931663</t>
  </si>
  <si>
    <t xml:space="preserve">8057971186686</t>
  </si>
  <si>
    <t xml:space="preserve">7891117107606</t>
  </si>
  <si>
    <t xml:space="preserve">Serrote De Poda Profissional Tramontina </t>
  </si>
  <si>
    <t xml:space="preserve">3614273436656</t>
  </si>
  <si>
    <t xml:space="preserve">3614229820782</t>
  </si>
  <si>
    <t xml:space="preserve">7898390942443</t>
  </si>
  <si>
    <t xml:space="preserve">Óculos Proteção Veneza Azul Espelhado Ka</t>
  </si>
  <si>
    <t xml:space="preserve">7897013514166</t>
  </si>
  <si>
    <t xml:space="preserve">Calculadora De Mesa Com Bobina 12 Dígito</t>
  </si>
  <si>
    <t xml:space="preserve">8715658400363</t>
  </si>
  <si>
    <t xml:space="preserve">Coeur Frivole 100ml Edp - Linn Young Vol</t>
  </si>
  <si>
    <t xml:space="preserve">3147758051216</t>
  </si>
  <si>
    <t xml:space="preserve">3614271774712</t>
  </si>
  <si>
    <t xml:space="preserve">3386460103015</t>
  </si>
  <si>
    <t xml:space="preserve">Rochas Byzance Eau De Parfum 40ml Femini</t>
  </si>
  <si>
    <t xml:space="preserve">729238193444</t>
  </si>
  <si>
    <t xml:space="preserve">Base Liquida Revitalessence Skin Glow Sh</t>
  </si>
  <si>
    <t xml:space="preserve">7896010175950</t>
  </si>
  <si>
    <t xml:space="preserve">Pó Volumador Extra Forte Charming Efeito</t>
  </si>
  <si>
    <t xml:space="preserve">8433982017094</t>
  </si>
  <si>
    <t xml:space="preserve">3616305271549</t>
  </si>
  <si>
    <t xml:space="preserve">711719572671</t>
  </si>
  <si>
    <t xml:space="preserve">5060630047801</t>
  </si>
  <si>
    <t xml:space="preserve">Escova Tangle Teezer Easy Dry &amp; Go Vente</t>
  </si>
  <si>
    <t xml:space="preserve">7896086960382</t>
  </si>
  <si>
    <t xml:space="preserve">7896086945143</t>
  </si>
  <si>
    <t xml:space="preserve">350ml</t>
  </si>
  <si>
    <t xml:space="preserve">7896086987969</t>
  </si>
  <si>
    <t xml:space="preserve">7899952325605</t>
  </si>
  <si>
    <t xml:space="preserve">Colônia Feminina Florasense Rose 25 Ml</t>
  </si>
  <si>
    <t xml:space="preserve">3274872395503</t>
  </si>
  <si>
    <t xml:space="preserve">3616305629357</t>
  </si>
  <si>
    <t xml:space="preserve">Chanson D Eau Rose Edt - Perfume Feminin</t>
  </si>
  <si>
    <t xml:space="preserve">3614226905031</t>
  </si>
  <si>
    <t xml:space="preserve">3474637292423</t>
  </si>
  <si>
    <t xml:space="preserve">L'oréal Professionnel Absolut Repair Oil</t>
  </si>
  <si>
    <t xml:space="preserve">309970215750</t>
  </si>
  <si>
    <t xml:space="preserve">Batom Líquido Fosco Colorstay Limitless </t>
  </si>
  <si>
    <t xml:space="preserve">3614272827868</t>
  </si>
  <si>
    <t xml:space="preserve">3614274297003</t>
  </si>
  <si>
    <t xml:space="preserve">7896086901460</t>
  </si>
  <si>
    <t xml:space="preserve">8433982020575</t>
  </si>
  <si>
    <t xml:space="preserve">8433982013201</t>
  </si>
  <si>
    <t xml:space="preserve">729238216426</t>
  </si>
  <si>
    <t xml:space="preserve">729238215993</t>
  </si>
  <si>
    <t xml:space="preserve">729238217614</t>
  </si>
  <si>
    <t xml:space="preserve">5060630040185</t>
  </si>
  <si>
    <t xml:space="preserve">Escova The Original Mini Aqua Tangle Tee</t>
  </si>
  <si>
    <t xml:space="preserve">7898600993234</t>
  </si>
  <si>
    <t xml:space="preserve">Blindagem Maquiagem Catharine Hill Angel</t>
  </si>
  <si>
    <t xml:space="preserve">3137370357667</t>
  </si>
  <si>
    <t xml:space="preserve">3616305040992</t>
  </si>
  <si>
    <t xml:space="preserve">3274872505780</t>
  </si>
  <si>
    <t xml:space="preserve">3386460129411</t>
  </si>
  <si>
    <t xml:space="preserve">Boucheron Quatre Iconic Edp 30ml Feminin</t>
  </si>
  <si>
    <t xml:space="preserve">3137370207030</t>
  </si>
  <si>
    <t xml:space="preserve">3595471028334</t>
  </si>
  <si>
    <t xml:space="preserve">8410190632172</t>
  </si>
  <si>
    <t xml:space="preserve">Adolfo Dominguez Jazmín Tonka Eau De Par</t>
  </si>
  <si>
    <t xml:space="preserve">3616305270160</t>
  </si>
  <si>
    <t xml:space="preserve">6294015185058</t>
  </si>
  <si>
    <t xml:space="preserve">Perfume Risala Valley Of Love Eau De Par</t>
  </si>
  <si>
    <t xml:space="preserve">4064666593609</t>
  </si>
  <si>
    <t xml:space="preserve">7908038607396</t>
  </si>
  <si>
    <t xml:space="preserve">Acidificante Vinagre Capilar De Maçã For</t>
  </si>
  <si>
    <t xml:space="preserve">309973978027</t>
  </si>
  <si>
    <t xml:space="preserve">Delineador De Olhos Retrátil Revlon Colo</t>
  </si>
  <si>
    <t xml:space="preserve">5055810015152</t>
  </si>
  <si>
    <t xml:space="preserve">Perfume Zirconia Privé Fairy Tale Eau De</t>
  </si>
  <si>
    <t xml:space="preserve">3494800250036</t>
  </si>
  <si>
    <t xml:space="preserve">Marina De Bourbon Royal Style 100ml | Or</t>
  </si>
  <si>
    <t xml:space="preserve">729238193550</t>
  </si>
  <si>
    <t xml:space="preserve">7899952323663</t>
  </si>
  <si>
    <t xml:space="preserve">Deo Colônia Jolie 25ml - Jequiti</t>
  </si>
  <si>
    <t xml:space="preserve">3616305447067</t>
  </si>
  <si>
    <t xml:space="preserve">Perfume adidas Vibes Energy Drive Eau De</t>
  </si>
  <si>
    <t xml:space="preserve">3423222126803</t>
  </si>
  <si>
    <t xml:space="preserve">7899952325148</t>
  </si>
  <si>
    <t xml:space="preserve">Perfume Desodorante Colônia Feminina Hel</t>
  </si>
  <si>
    <t xml:space="preserve">7899206171989</t>
  </si>
  <si>
    <t xml:space="preserve">3616304892783</t>
  </si>
  <si>
    <t xml:space="preserve">Perfume David Beckham Instinct Eau De Pa</t>
  </si>
  <si>
    <t xml:space="preserve">729238217591</t>
  </si>
  <si>
    <t xml:space="preserve">5060173370008</t>
  </si>
  <si>
    <t xml:space="preserve">Escova De Cabelo The Original Tangle Tee</t>
  </si>
  <si>
    <t xml:space="preserve">7898919865697</t>
  </si>
  <si>
    <t xml:space="preserve">Suplemento Nutricional Vitafor Mct Age 2</t>
  </si>
  <si>
    <t xml:space="preserve">3614274412796</t>
  </si>
  <si>
    <t xml:space="preserve">6294015136470</t>
  </si>
  <si>
    <t xml:space="preserve">309974784030</t>
  </si>
  <si>
    <t xml:space="preserve">Revlon Powder Blush Powder Blush, Acabam</t>
  </si>
  <si>
    <t xml:space="preserve">7908791000007</t>
  </si>
  <si>
    <t xml:space="preserve">Creamy Skincare Niacinamide B Complex 20</t>
  </si>
  <si>
    <t xml:space="preserve">3605530398381</t>
  </si>
  <si>
    <t xml:space="preserve">8809925167490</t>
  </si>
  <si>
    <t xml:space="preserve">Serum Magic Straight 80ml Perfect Serum </t>
  </si>
  <si>
    <t xml:space="preserve">7896086931986</t>
  </si>
  <si>
    <t xml:space="preserve">729238212824</t>
  </si>
  <si>
    <t xml:space="preserve">8411061043530</t>
  </si>
  <si>
    <t xml:space="preserve">729238722026</t>
  </si>
  <si>
    <t xml:space="preserve">7898973267468</t>
  </si>
  <si>
    <t xml:space="preserve">7908896602519</t>
  </si>
  <si>
    <t xml:space="preserve">3147758030334</t>
  </si>
  <si>
    <t xml:space="preserve">730852144422</t>
  </si>
  <si>
    <t xml:space="preserve">7896086921024</t>
  </si>
  <si>
    <t xml:space="preserve">7908791001424</t>
  </si>
  <si>
    <t xml:space="preserve">Skelt Iluminador Corporal Glow 120ml | P</t>
  </si>
  <si>
    <t xml:space="preserve">309974700078</t>
  </si>
  <si>
    <t xml:space="preserve">Revlon Base Colorstay Oily Skin Fresh Be</t>
  </si>
  <si>
    <t xml:space="preserve">3614274337891</t>
  </si>
  <si>
    <t xml:space="preserve">3614273749428</t>
  </si>
  <si>
    <t xml:space="preserve">3349668630127</t>
  </si>
  <si>
    <t xml:space="preserve">3386460137560</t>
  </si>
  <si>
    <t xml:space="preserve">Perfume Jimmy Choo Rose Passion Edp 40ml</t>
  </si>
  <si>
    <t xml:space="preserve">3386460124256</t>
  </si>
  <si>
    <t xml:space="preserve">Perfume Rochas Girl Eau De Toilette 40ml</t>
  </si>
  <si>
    <t xml:space="preserve">719346629379</t>
  </si>
  <si>
    <t xml:space="preserve">John Varvatos Artisan Blu Eau De Toilett</t>
  </si>
  <si>
    <t xml:space="preserve">6290171075639</t>
  </si>
  <si>
    <t xml:space="preserve">Zimaya Tiramisu Coco Edp 100ml Unissex |</t>
  </si>
  <si>
    <t xml:space="preserve">7908412553356</t>
  </si>
  <si>
    <t xml:space="preserve">Ferro De Passar Iron Press 2 Em 1 Elgin </t>
  </si>
  <si>
    <t xml:space="preserve">6290360598789</t>
  </si>
  <si>
    <t xml:space="preserve">7908005386781</t>
  </si>
  <si>
    <t xml:space="preserve">7891350047240</t>
  </si>
  <si>
    <t xml:space="preserve">8433982027383</t>
  </si>
  <si>
    <t xml:space="preserve">309970166076</t>
  </si>
  <si>
    <t xml:space="preserve">Corretor Liquido Revlon Colorstay Skin A</t>
  </si>
  <si>
    <t xml:space="preserve">7896086927064</t>
  </si>
  <si>
    <t xml:space="preserve">7896039709679</t>
  </si>
  <si>
    <t xml:space="preserve">Torneira Elétrica Cozinha Parede Bica Re</t>
  </si>
  <si>
    <t xml:space="preserve">3137370205029</t>
  </si>
  <si>
    <t xml:space="preserve">3386460132787</t>
  </si>
  <si>
    <t xml:space="preserve">729238187078</t>
  </si>
  <si>
    <t xml:space="preserve">8410190627888</t>
  </si>
  <si>
    <t xml:space="preserve">Adolfo Dominguez Terracota Musk Edp 120m</t>
  </si>
  <si>
    <t xml:space="preserve">8011003906321</t>
  </si>
  <si>
    <t xml:space="preserve">3331849022920</t>
  </si>
  <si>
    <t xml:space="preserve">245ml</t>
  </si>
  <si>
    <t xml:space="preserve">Berdoues 1902 Thé Vert 245ml | Original </t>
  </si>
  <si>
    <t xml:space="preserve">8410190620414</t>
  </si>
  <si>
    <t xml:space="preserve">Perfume Feminino Adolfo Dominguez Agua F</t>
  </si>
  <si>
    <t xml:space="preserve">8410190634176</t>
  </si>
  <si>
    <t xml:space="preserve">Adolfo Dominguez Ámbar Negro Edp Masculi</t>
  </si>
  <si>
    <t xml:space="preserve">3474637335687</t>
  </si>
  <si>
    <t xml:space="preserve">L'oréal Professionnel Keratin Alpha Slee</t>
  </si>
  <si>
    <t xml:space="preserve">5055810036959</t>
  </si>
  <si>
    <t xml:space="preserve">Al Absar Oud Damascus Eau De Parfum Amad</t>
  </si>
  <si>
    <t xml:space="preserve">7899952324486</t>
  </si>
  <si>
    <t xml:space="preserve">Perfume Infantil Menino Buzz Toy Story D</t>
  </si>
  <si>
    <t xml:space="preserve">7896086917881</t>
  </si>
  <si>
    <t xml:space="preserve">8715658969594</t>
  </si>
  <si>
    <t xml:space="preserve">Oso Man 100ml Edt - Linn Young Volume Da</t>
  </si>
  <si>
    <t xml:space="preserve">7899206179589</t>
  </si>
  <si>
    <t xml:space="preserve">729238187061</t>
  </si>
  <si>
    <t xml:space="preserve">Corretivo Synchro Skin Radiant Lifting S</t>
  </si>
  <si>
    <t xml:space="preserve">7896086957986</t>
  </si>
  <si>
    <t xml:space="preserve">6290362348832</t>
  </si>
  <si>
    <t xml:space="preserve">7898965700973</t>
  </si>
  <si>
    <t xml:space="preserve">6290360592695</t>
  </si>
  <si>
    <t xml:space="preserve">3616305040589</t>
  </si>
  <si>
    <t xml:space="preserve">7898600993005</t>
  </si>
  <si>
    <t xml:space="preserve">Corretivo Camuflagem Catharine Hill Ange</t>
  </si>
  <si>
    <t xml:space="preserve">8411061105238</t>
  </si>
  <si>
    <t xml:space="preserve">Perfume Shakira Shakira Dance Stellar Ea</t>
  </si>
  <si>
    <t xml:space="preserve">4550516485250</t>
  </si>
  <si>
    <t xml:space="preserve">Tsubaki Premium Moist &amp; Repair - Condici</t>
  </si>
  <si>
    <t xml:space="preserve">7640496670122</t>
  </si>
  <si>
    <t xml:space="preserve">8011003864065</t>
  </si>
  <si>
    <t xml:space="preserve">7896086916303</t>
  </si>
  <si>
    <t xml:space="preserve">7899706189729</t>
  </si>
  <si>
    <t xml:space="preserve">Loréal Professionnel Magnesium Silver Sh</t>
  </si>
  <si>
    <t xml:space="preserve">3414202011820</t>
  </si>
  <si>
    <t xml:space="preserve">3616304062483</t>
  </si>
  <si>
    <t xml:space="preserve">7896086936073</t>
  </si>
  <si>
    <t xml:space="preserve">3614229823790</t>
  </si>
  <si>
    <t xml:space="preserve">729238141681</t>
  </si>
  <si>
    <t xml:space="preserve">180ml</t>
  </si>
  <si>
    <t xml:space="preserve">6924574517228</t>
  </si>
  <si>
    <t xml:space="preserve">Perfume Eau De Parfum I Love Montanne Lu</t>
  </si>
  <si>
    <t xml:space="preserve">729238118881</t>
  </si>
  <si>
    <t xml:space="preserve">7908412514425</t>
  </si>
  <si>
    <t xml:space="preserve">Lâmpada Smart Color Bulb Led 15w Biv. El</t>
  </si>
  <si>
    <t xml:space="preserve">730852143449</t>
  </si>
  <si>
    <t xml:space="preserve">7290011521141</t>
  </si>
  <si>
    <t xml:space="preserve">Moroccanoil Máscara Capilar Restauradora</t>
  </si>
  <si>
    <t xml:space="preserve">7896768470871</t>
  </si>
  <si>
    <t xml:space="preserve">3386460142182</t>
  </si>
  <si>
    <t xml:space="preserve">Coach Love Perfume Feminino Eau De Parfu</t>
  </si>
  <si>
    <t xml:space="preserve">8005610325538</t>
  </si>
  <si>
    <t xml:space="preserve">4064666337128</t>
  </si>
  <si>
    <t xml:space="preserve">8433982028519</t>
  </si>
  <si>
    <t xml:space="preserve">7898930772752</t>
  </si>
  <si>
    <t xml:space="preserve">Máscara Facial Esfoliante, Purifying Scr</t>
  </si>
  <si>
    <t xml:space="preserve">7897013513725</t>
  </si>
  <si>
    <t xml:space="preserve">Calculadora De Mesa Elgin Ma-5121 Impres</t>
  </si>
  <si>
    <t xml:space="preserve">7896086994356</t>
  </si>
  <si>
    <t xml:space="preserve">8411061875766</t>
  </si>
  <si>
    <t xml:space="preserve">Nº 2 Frescor Extremo Victorio&amp;lucchino M</t>
  </si>
  <si>
    <t xml:space="preserve">4064666946610</t>
  </si>
  <si>
    <t xml:space="preserve">Água Oxigênada Wella Creme Welloxon Perf</t>
  </si>
  <si>
    <t xml:space="preserve">7908038607488</t>
  </si>
  <si>
    <t xml:space="preserve">Protetor Térmico Magia De Unicórnio Fore</t>
  </si>
  <si>
    <t xml:space="preserve">3137370359500</t>
  </si>
  <si>
    <t xml:space="preserve">3614273492874</t>
  </si>
  <si>
    <t xml:space="preserve">7898952577472</t>
  </si>
  <si>
    <t xml:space="preserve">Queratina Hidrolisada Banho De Verniz Fo</t>
  </si>
  <si>
    <t xml:space="preserve">3386460064132</t>
  </si>
  <si>
    <t xml:space="preserve">Jimmy Choo Man Masc Edt Perfume 30 Ml</t>
  </si>
  <si>
    <t xml:space="preserve">3386460032704</t>
  </si>
  <si>
    <t xml:space="preserve">3614229823783</t>
  </si>
  <si>
    <t xml:space="preserve">7898740530535</t>
  </si>
  <si>
    <t xml:space="preserve">Telca 74300 74308 Saboneteira Polido Uni</t>
  </si>
  <si>
    <t xml:space="preserve">3614273436700</t>
  </si>
  <si>
    <t xml:space="preserve">7896086944290</t>
  </si>
  <si>
    <t xml:space="preserve">7896086992710</t>
  </si>
  <si>
    <t xml:space="preserve">7891114157567</t>
  </si>
  <si>
    <t xml:space="preserve">Cadeado Trava De Segurança Com Chave Bic</t>
  </si>
  <si>
    <t xml:space="preserve">7896086956286</t>
  </si>
  <si>
    <t xml:space="preserve">3351500011483</t>
  </si>
  <si>
    <t xml:space="preserve">3474637277765</t>
  </si>
  <si>
    <t xml:space="preserve">190ml</t>
  </si>
  <si>
    <t xml:space="preserve">L'oréal Flex Waves Tecni Art Spray 190ml</t>
  </si>
  <si>
    <t xml:space="preserve">6924574591006</t>
  </si>
  <si>
    <t xml:space="preserve">Perfume Mont'anne Divine Woman Luxe Eau </t>
  </si>
  <si>
    <t xml:space="preserve">7899612725745</t>
  </si>
  <si>
    <t xml:space="preserve">Alicate Decapador Crimpador Gross Autoaj</t>
  </si>
  <si>
    <t xml:space="preserve">7899952328835</t>
  </si>
  <si>
    <t xml:space="preserve">Colônia Jequiti Aire Altitude 25 Ml</t>
  </si>
  <si>
    <t xml:space="preserve">730852147669</t>
  </si>
  <si>
    <t xml:space="preserve">7908791000366</t>
  </si>
  <si>
    <t xml:space="preserve">Creamy Skincare Sérum Facial Retinal 30g</t>
  </si>
  <si>
    <t xml:space="preserve">8411061105337</t>
  </si>
  <si>
    <t xml:space="preserve">8411061120590</t>
  </si>
  <si>
    <t xml:space="preserve">7896032657052</t>
  </si>
  <si>
    <t xml:space="preserve">Bt Skin Base Líquida Ultra Fluida Bruna </t>
  </si>
  <si>
    <t xml:space="preserve">7896558462604</t>
  </si>
  <si>
    <t xml:space="preserve">Fogareiro Átomo C/regulagem De Chamas Co</t>
  </si>
  <si>
    <t xml:space="preserve">7899612718228</t>
  </si>
  <si>
    <t xml:space="preserve">Paquímetro Digital 150mm Inox Rastreável</t>
  </si>
  <si>
    <t xml:space="preserve">7898741806042</t>
  </si>
  <si>
    <t xml:space="preserve">Base Líquida Bt Skin M10 Bruna Tavares T</t>
  </si>
  <si>
    <t xml:space="preserve">6290360594552</t>
  </si>
  <si>
    <t xml:space="preserve">3616305271587</t>
  </si>
  <si>
    <t xml:space="preserve">7908725504021</t>
  </si>
  <si>
    <t xml:space="preserve">Blush Em Bastão Océane Glow Stick Terrac</t>
  </si>
  <si>
    <t xml:space="preserve">7908725502676</t>
  </si>
  <si>
    <t xml:space="preserve">Océane Apontador Duplo Sharpener- 1 Unid</t>
  </si>
  <si>
    <t xml:space="preserve">729238147027</t>
  </si>
  <si>
    <t xml:space="preserve">8411061067192</t>
  </si>
  <si>
    <t xml:space="preserve">Perfume V&amp;l Aguas Sport V&amp;l Nº10 Liberta</t>
  </si>
  <si>
    <t xml:space="preserve">7896086930712</t>
  </si>
  <si>
    <t xml:space="preserve">3474636919963</t>
  </si>
  <si>
    <t xml:space="preserve">Redken All Soft - Shampoo 1l</t>
  </si>
  <si>
    <t xml:space="preserve">5055810007935</t>
  </si>
  <si>
    <t xml:space="preserve">Al Wataniah Bareeq Al Dhahab Edp 100ml M</t>
  </si>
  <si>
    <t xml:space="preserve">5055810024925</t>
  </si>
  <si>
    <t xml:space="preserve">727295088130</t>
  </si>
  <si>
    <t xml:space="preserve">Mediclini Ligth Preto</t>
  </si>
  <si>
    <t xml:space="preserve">8411061129821</t>
  </si>
  <si>
    <t xml:space="preserve">Banderas Kit Blue Seduction Eau De Toile</t>
  </si>
  <si>
    <t xml:space="preserve">7896086999658</t>
  </si>
  <si>
    <t xml:space="preserve">7899706203579</t>
  </si>
  <si>
    <t xml:space="preserve">L'oréal Curl Expression Rich - Máscara D</t>
  </si>
  <si>
    <t xml:space="preserve">3474637217884</t>
  </si>
  <si>
    <t xml:space="preserve">L'oréal Absolut Repair Molecular - Másca</t>
  </si>
  <si>
    <t xml:space="preserve">7908005319062</t>
  </si>
  <si>
    <t xml:space="preserve">3616304247743</t>
  </si>
  <si>
    <t xml:space="preserve">7898919865079</t>
  </si>
  <si>
    <t xml:space="preserve">2g</t>
  </si>
  <si>
    <t xml:space="preserve">Suplemento Simfort Com 30 Sachês De 2g V</t>
  </si>
  <si>
    <t xml:space="preserve">8436581942545</t>
  </si>
  <si>
    <t xml:space="preserve">Pepe Jeans Cocktail Edition 100ml Mascul</t>
  </si>
  <si>
    <t xml:space="preserve">3614274196184</t>
  </si>
  <si>
    <t xml:space="preserve">8800248701095</t>
  </si>
  <si>
    <t xml:space="preserve">Banila Co - Skin Care Starter Kit</t>
  </si>
  <si>
    <t xml:space="preserve">8011003991594</t>
  </si>
  <si>
    <t xml:space="preserve">7896086916495</t>
  </si>
  <si>
    <t xml:space="preserve">8411061109687</t>
  </si>
  <si>
    <t xml:space="preserve">6085010090030</t>
  </si>
  <si>
    <t xml:space="preserve">8005610644394</t>
  </si>
  <si>
    <t xml:space="preserve">3614274334937</t>
  </si>
  <si>
    <t xml:space="preserve">309970166052</t>
  </si>
  <si>
    <t xml:space="preserve">Revlon | Colorstay Skin Awaken - Correti</t>
  </si>
  <si>
    <t xml:space="preserve">3355991005129</t>
  </si>
  <si>
    <t xml:space="preserve">7896086955838</t>
  </si>
  <si>
    <t xml:space="preserve">110g</t>
  </si>
  <si>
    <t xml:space="preserve">7891116159040</t>
  </si>
  <si>
    <t xml:space="preserve">Frigideira Tramontina Grano 20cm Aço Ino</t>
  </si>
  <si>
    <t xml:space="preserve">3360373063697</t>
  </si>
  <si>
    <t xml:space="preserve">Perfume Feminino Eau De Toilette Cachare</t>
  </si>
  <si>
    <t xml:space="preserve">3494800300045</t>
  </si>
  <si>
    <t xml:space="preserve">Perfume Rouge Royal Edp 30ml Feminino | </t>
  </si>
  <si>
    <t xml:space="preserve">309970107932</t>
  </si>
  <si>
    <t xml:space="preserve">Revlon Colorstay Full Cover 175 Natural </t>
  </si>
  <si>
    <t xml:space="preserve">7899706189606</t>
  </si>
  <si>
    <t xml:space="preserve">Absolut Repair Gold Quinoa Shampoo 300ml</t>
  </si>
  <si>
    <t xml:space="preserve">8411061034972</t>
  </si>
  <si>
    <t xml:space="preserve">7897013533754</t>
  </si>
  <si>
    <t xml:space="preserve">Calculadora Elgin Compacta Com Bobina 12</t>
  </si>
  <si>
    <t xml:space="preserve">8411061636268</t>
  </si>
  <si>
    <t xml:space="preserve">3355991005532</t>
  </si>
  <si>
    <t xml:space="preserve">7891114124941</t>
  </si>
  <si>
    <t xml:space="preserve">Mini Compressor De Ar Portatil Tramontin</t>
  </si>
  <si>
    <t xml:space="preserve">8411061080771</t>
  </si>
  <si>
    <t xml:space="preserve">309970107987</t>
  </si>
  <si>
    <t xml:space="preserve">Revlon Base Colorstay Full Cover Warm Go</t>
  </si>
  <si>
    <t xml:space="preserve">7908103726496</t>
  </si>
  <si>
    <t xml:space="preserve">Buba Copo 360° Com Alça Verde</t>
  </si>
  <si>
    <t xml:space="preserve">5425039222110</t>
  </si>
  <si>
    <t xml:space="preserve">Joli Femme Eau De Parfum ( Edp ) 100ml F</t>
  </si>
  <si>
    <t xml:space="preserve">5055810015138</t>
  </si>
  <si>
    <t xml:space="preserve">Perfume Zirconia Black Diamond Eau De Pa</t>
  </si>
  <si>
    <t xml:space="preserve">7290116974163</t>
  </si>
  <si>
    <t xml:space="preserve">Moroccanoil Shampoo De Tratamento Do Cou</t>
  </si>
  <si>
    <t xml:space="preserve">4064666594231</t>
  </si>
  <si>
    <t xml:space="preserve">5060524511517</t>
  </si>
  <si>
    <t xml:space="preserve">Cristiano Ronaldo Discover 30ml Masculin</t>
  </si>
  <si>
    <t xml:space="preserve">5055810037017</t>
  </si>
  <si>
    <t xml:space="preserve">Al Absar Mudiyah Edp 100ml Feminino</t>
  </si>
  <si>
    <t xml:space="preserve">7898618488456</t>
  </si>
  <si>
    <t xml:space="preserve">8411061081006</t>
  </si>
  <si>
    <t xml:space="preserve">8411061057254</t>
  </si>
  <si>
    <t xml:space="preserve">192505237835</t>
  </si>
  <si>
    <t xml:space="preserve">Suplemento Glucosamina Em Cápsulas Msm P</t>
  </si>
  <si>
    <t xml:space="preserve">8413144541117</t>
  </si>
  <si>
    <t xml:space="preserve">Perfume Women'secret Eau My Delice Eau D</t>
  </si>
  <si>
    <t xml:space="preserve">7908992000684</t>
  </si>
  <si>
    <t xml:space="preserve">7896020615118</t>
  </si>
  <si>
    <t xml:space="preserve">Bomba Filtro Para Piscina 2.200l/h 110v </t>
  </si>
  <si>
    <t xml:space="preserve">8433982017070</t>
  </si>
  <si>
    <t xml:space="preserve">7899706205252</t>
  </si>
  <si>
    <t xml:space="preserve">L'oreal Professionnel Nutrioil - Máscara</t>
  </si>
  <si>
    <t xml:space="preserve">7896235353782</t>
  </si>
  <si>
    <t xml:space="preserve">6294019001293</t>
  </si>
  <si>
    <t xml:space="preserve">Mirada Perla Passion Feminino Eau De Par</t>
  </si>
  <si>
    <t xml:space="preserve">7896086989819</t>
  </si>
  <si>
    <t xml:space="preserve">7898947943756</t>
  </si>
  <si>
    <t xml:space="preserve">Protetor Truss Day By Day Spray 250ml</t>
  </si>
  <si>
    <t xml:space="preserve">7896086997401</t>
  </si>
  <si>
    <t xml:space="preserve">7898665434130</t>
  </si>
  <si>
    <t xml:space="preserve">Suplemento Vitamínico Vita D3 + C + Zinc</t>
  </si>
  <si>
    <t xml:space="preserve">3614222571667</t>
  </si>
  <si>
    <t xml:space="preserve">7896086911711</t>
  </si>
  <si>
    <t xml:space="preserve">85ml</t>
  </si>
  <si>
    <t xml:space="preserve">7898965429379</t>
  </si>
  <si>
    <t xml:space="preserve">Creamy Skincare Sérum Hidratante 30ml | </t>
  </si>
  <si>
    <t xml:space="preserve">4901301259660</t>
  </si>
  <si>
    <t xml:space="preserve">130g</t>
  </si>
  <si>
    <t xml:space="preserve">Sabonete De Limpeza Facial 130g Bioré To</t>
  </si>
  <si>
    <t xml:space="preserve">7896086992659</t>
  </si>
  <si>
    <t xml:space="preserve">7898047200353</t>
  </si>
  <si>
    <t xml:space="preserve">Óleo De Alho Meissen 120 Cápsulas Sabor </t>
  </si>
  <si>
    <t xml:space="preserve">7898952577236</t>
  </si>
  <si>
    <t xml:space="preserve">Máscara Capilar Anabolizante Forever Lis</t>
  </si>
  <si>
    <t xml:space="preserve">7896193243408</t>
  </si>
  <si>
    <t xml:space="preserve">Fita Adesiva Antiderrapante Preta 50mm X</t>
  </si>
  <si>
    <t xml:space="preserve">8439627638204</t>
  </si>
  <si>
    <t xml:space="preserve">Perfume Manasik Oud Amber Noir 100ml Eau</t>
  </si>
  <si>
    <t xml:space="preserve">3616305279538</t>
  </si>
  <si>
    <t xml:space="preserve">adidas Vibes Smooth Pace 100 Ml</t>
  </si>
  <si>
    <t xml:space="preserve">7896086996459</t>
  </si>
  <si>
    <t xml:space="preserve">6294019001309</t>
  </si>
  <si>
    <t xml:space="preserve">Perfume Mirada Verato White Musk Feminin</t>
  </si>
  <si>
    <t xml:space="preserve">8433982018749</t>
  </si>
  <si>
    <t xml:space="preserve">7896086920423</t>
  </si>
  <si>
    <t xml:space="preserve">7891182018845</t>
  </si>
  <si>
    <t xml:space="preserve">7908103726489</t>
  </si>
  <si>
    <t xml:space="preserve">Buba Copo 360° Com Alça Azul</t>
  </si>
  <si>
    <t xml:space="preserve">5060630048761</t>
  </si>
  <si>
    <t xml:space="preserve">Tangle Teezer Mini Ultimate Detangler Mi</t>
  </si>
  <si>
    <t xml:space="preserve">7908038600922</t>
  </si>
  <si>
    <t xml:space="preserve">Blindagem Capilar Biomimética 500g Forev</t>
  </si>
  <si>
    <t xml:space="preserve">6291107921433</t>
  </si>
  <si>
    <t xml:space="preserve">Mirada No Aplica Eau De Parfum</t>
  </si>
  <si>
    <t xml:space="preserve">6291109843023</t>
  </si>
  <si>
    <t xml:space="preserve">Perfume Mirada Eau De Parfum Feminino 10</t>
  </si>
  <si>
    <t xml:space="preserve">8800283640359</t>
  </si>
  <si>
    <t xml:space="preserve">Mise En Scène Perfect Serum Super Rich S</t>
  </si>
  <si>
    <t xml:space="preserve">7899952330166</t>
  </si>
  <si>
    <t xml:space="preserve">Ana Castela Boiadeira Body Splash | 200 </t>
  </si>
  <si>
    <t xml:space="preserve">3616304895685</t>
  </si>
  <si>
    <t xml:space="preserve">David Beckham True Instinct Edp - Perfum</t>
  </si>
  <si>
    <t xml:space="preserve">7896086929365</t>
  </si>
  <si>
    <t xml:space="preserve">7891112214873</t>
  </si>
  <si>
    <t xml:space="preserve">Tramontina Churrasco Cor Do Punho Marrom</t>
  </si>
  <si>
    <t xml:space="preserve">7896086928825</t>
  </si>
  <si>
    <t xml:space="preserve">8411061105771</t>
  </si>
  <si>
    <t xml:space="preserve">Victorio &amp; Lucchino Aguas Intensas Nº13 </t>
  </si>
  <si>
    <t xml:space="preserve">8411061105986</t>
  </si>
  <si>
    <t xml:space="preserve">V&amp;l Aguas Masculinas V&amp;l Jungla Salvaje </t>
  </si>
  <si>
    <t xml:space="preserve">5060630040635</t>
  </si>
  <si>
    <t xml:space="preserve">The Wet Detangler Fine &amp; Fragile Pink - </t>
  </si>
  <si>
    <t xml:space="preserve">5060926680545</t>
  </si>
  <si>
    <t xml:space="preserve">Tangle Teezer Wet Detangler Naturally Cu</t>
  </si>
  <si>
    <t xml:space="preserve">8411061697283</t>
  </si>
  <si>
    <t xml:space="preserve">3616305259042</t>
  </si>
  <si>
    <t xml:space="preserve">7896000629081</t>
  </si>
  <si>
    <t xml:space="preserve">Chupeta Kuka Rosa 100% Silicone Soft Con</t>
  </si>
  <si>
    <t xml:space="preserve">5060926687582</t>
  </si>
  <si>
    <t xml:space="preserve">Tangle Teezer The Ultimate Detangler Ext</t>
  </si>
  <si>
    <t xml:space="preserve">8433982013164</t>
  </si>
  <si>
    <t xml:space="preserve">7290113142947</t>
  </si>
  <si>
    <t xml:space="preserve">Moroccanoil Leave-in Condicionador Tudo </t>
  </si>
  <si>
    <t xml:space="preserve">7891114062717</t>
  </si>
  <si>
    <t xml:space="preserve">Chave Inglesa Boca Ajustável Tramontina </t>
  </si>
  <si>
    <t xml:space="preserve">8801046316696</t>
  </si>
  <si>
    <t xml:space="preserve">Kerasys Keratin Bond Silky Moisture - Má</t>
  </si>
  <si>
    <t xml:space="preserve">892456000150</t>
  </si>
  <si>
    <t xml:space="preserve">Animale For Men Edt 30ml</t>
  </si>
  <si>
    <t xml:space="preserve">7908103713854</t>
  </si>
  <si>
    <t xml:space="preserve">Garrafa Térmica Azul 400ml Bpa Free Com </t>
  </si>
  <si>
    <t xml:space="preserve">3474637328900</t>
  </si>
  <si>
    <t xml:space="preserve">L'oreal Professionnel Shampoo Metal Deto</t>
  </si>
  <si>
    <t xml:space="preserve">5055810029807</t>
  </si>
  <si>
    <t xml:space="preserve">8411061124239</t>
  </si>
  <si>
    <t xml:space="preserve">7896768499827</t>
  </si>
  <si>
    <t xml:space="preserve">7896086956156</t>
  </si>
  <si>
    <t xml:space="preserve">7908725500542</t>
  </si>
  <si>
    <t xml:space="preserve">Océane Iluminador Multicolor Powder High</t>
  </si>
  <si>
    <t xml:space="preserve">8411061082928</t>
  </si>
  <si>
    <t xml:space="preserve">309974209014</t>
  </si>
  <si>
    <t xml:space="preserve">Revlon Delineador Líquido Colorstay 16h </t>
  </si>
  <si>
    <t xml:space="preserve">8411061103036</t>
  </si>
  <si>
    <t xml:space="preserve">Perfume Victorio &amp; Lucchino Águas Frutal</t>
  </si>
  <si>
    <t xml:space="preserve">7290011521653</t>
  </si>
  <si>
    <t xml:space="preserve">Moroccanoil Óleo De Tratamento Light 25m</t>
  </si>
  <si>
    <t xml:space="preserve">309970187095</t>
  </si>
  <si>
    <t xml:space="preserve">Batom Revlon Colorstay Suede Ink Hot Gir</t>
  </si>
  <si>
    <t xml:space="preserve">5425017735069</t>
  </si>
  <si>
    <t xml:space="preserve">New Brand Prestige Princess For Women Ch</t>
  </si>
  <si>
    <t xml:space="preserve">309970050382</t>
  </si>
  <si>
    <t xml:space="preserve">Revlon Colorstay Medium Brown 303 - Másc</t>
  </si>
  <si>
    <t xml:space="preserve">7898410319644</t>
  </si>
  <si>
    <t xml:space="preserve">Ciclo Mini Pingucho Deo Colônia 100ml</t>
  </si>
  <si>
    <t xml:space="preserve">7898301059932</t>
  </si>
  <si>
    <t xml:space="preserve">Monitor Pré-natal Batimentos Cardíacos G</t>
  </si>
  <si>
    <t xml:space="preserve">7896086901170</t>
  </si>
  <si>
    <t xml:space="preserve">741527445973</t>
  </si>
  <si>
    <t xml:space="preserve">Perfume Masculino Gusttavo Lima Gl Embai</t>
  </si>
  <si>
    <t xml:space="preserve">7899952328804</t>
  </si>
  <si>
    <t xml:space="preserve">Colônia Aire Azure 25ml- Jequiti</t>
  </si>
  <si>
    <t xml:space="preserve">7898952466257</t>
  </si>
  <si>
    <t xml:space="preserve">Pink Cheeks Protetor Solar Pink Stick Fp</t>
  </si>
  <si>
    <t xml:space="preserve">7898576398941</t>
  </si>
  <si>
    <t xml:space="preserve">Paleta De Sombras To Go Trendy Nadia Tam</t>
  </si>
  <si>
    <t xml:space="preserve">5425039221731</t>
  </si>
  <si>
    <t xml:space="preserve">Perfume Pure Sense 100ml Edp Feminino</t>
  </si>
  <si>
    <t xml:space="preserve">8411061103043</t>
  </si>
  <si>
    <t xml:space="preserve">7898593735798</t>
  </si>
  <si>
    <t xml:space="preserve">Pink Cheeks Duo Stick Malva E Bronzer Or</t>
  </si>
  <si>
    <t xml:space="preserve">4895229150140</t>
  </si>
  <si>
    <t xml:space="preserve">5060630049874</t>
  </si>
  <si>
    <t xml:space="preserve">Pente Wide Tooth Comb Para Desembaraçar </t>
  </si>
  <si>
    <t xml:space="preserve">8411061999264</t>
  </si>
  <si>
    <t xml:space="preserve">3326240027407</t>
  </si>
  <si>
    <t xml:space="preserve">Perfume Ulric De Varens Udv Night Mascul</t>
  </si>
  <si>
    <t xml:space="preserve">7908654010631</t>
  </si>
  <si>
    <t xml:space="preserve">Body Splash Venus Love Aura Beauty Jade </t>
  </si>
  <si>
    <t xml:space="preserve">7908725500689</t>
  </si>
  <si>
    <t xml:space="preserve">Blush Cremoso Océane Fluffy Coral Pink D</t>
  </si>
  <si>
    <t xml:space="preserve">7908625100200</t>
  </si>
  <si>
    <t xml:space="preserve">Body Splash Yasmin Beauty Summer Vibes 2</t>
  </si>
  <si>
    <t xml:space="preserve">7896014070725</t>
  </si>
  <si>
    <t xml:space="preserve">Óleo Bronzeador Red Apple Cenoura Fps6 B</t>
  </si>
  <si>
    <t xml:space="preserve">8411061822906</t>
  </si>
  <si>
    <t xml:space="preserve">Victorio &amp; Lucchino Azahar Radiante Edt </t>
  </si>
  <si>
    <t xml:space="preserve">7908412510755</t>
  </si>
  <si>
    <t xml:space="preserve">Ferro De Passar Roupas Seco Antiaderente</t>
  </si>
  <si>
    <t xml:space="preserve">3474637052263</t>
  </si>
  <si>
    <t xml:space="preserve">6938112688509</t>
  </si>
  <si>
    <t xml:space="preserve">7908785404996</t>
  </si>
  <si>
    <t xml:space="preserve">Shampoo Refil 240ml Vitamino Color L'oré</t>
  </si>
  <si>
    <t xml:space="preserve">3616305279415</t>
  </si>
  <si>
    <t xml:space="preserve">adidas Vibes Wonder Force Eau De Parfum </t>
  </si>
  <si>
    <t xml:space="preserve">7896014073009</t>
  </si>
  <si>
    <t xml:space="preserve">Protetor Solar Facial Red Apple Fps30 Mi</t>
  </si>
  <si>
    <t xml:space="preserve">7896086928542</t>
  </si>
  <si>
    <t xml:space="preserve">309970117115</t>
  </si>
  <si>
    <t xml:space="preserve">Batom Líquido Revlon Colorstay Com Tinta</t>
  </si>
  <si>
    <t xml:space="preserve">8411061832585</t>
  </si>
  <si>
    <t xml:space="preserve">Perfume Feminino Águas Florales Nº5 Jazm</t>
  </si>
  <si>
    <t xml:space="preserve">8800283662733</t>
  </si>
  <si>
    <t xml:space="preserve">Mise En Scène - Perfect Serum - Sérum Hy</t>
  </si>
  <si>
    <t xml:space="preserve">8801046413685</t>
  </si>
  <si>
    <t xml:space="preserve">Shampoo Kerasys Própolis Energy 180ml</t>
  </si>
  <si>
    <t xml:space="preserve">7898699845353</t>
  </si>
  <si>
    <t xml:space="preserve">Tintura Kamaleão Color Máscara Pigmentan</t>
  </si>
  <si>
    <t xml:space="preserve">3616305279446</t>
  </si>
  <si>
    <t xml:space="preserve">adidas Vibes Power Zone Eau De Parfum 10</t>
  </si>
  <si>
    <t xml:space="preserve">4550516485632</t>
  </si>
  <si>
    <t xml:space="preserve">Condicionador Premium Volume Repair Tsub</t>
  </si>
  <si>
    <t xml:space="preserve">5060926682549</t>
  </si>
  <si>
    <t xml:space="preserve">Pente Cabelo Tangle Teezer Back Combing </t>
  </si>
  <si>
    <t xml:space="preserve">4901301303844</t>
  </si>
  <si>
    <t xml:space="preserve">Protetor Solar Uv Perfect Milk Fps 50 Pa</t>
  </si>
  <si>
    <t xml:space="preserve">309974700108</t>
  </si>
  <si>
    <t xml:space="preserve">Revlon Colorstay Fps15 320 True Beige - </t>
  </si>
  <si>
    <t xml:space="preserve">8410190635821</t>
  </si>
  <si>
    <t xml:space="preserve">Perfume De Água De Bambu De 120 Ml Para </t>
  </si>
  <si>
    <t xml:space="preserve">7898665434567</t>
  </si>
  <si>
    <t xml:space="preserve">240g</t>
  </si>
  <si>
    <t xml:space="preserve">Aminovita Vitafor 240g Maracujá Suplemen</t>
  </si>
  <si>
    <t xml:space="preserve">7908725504236</t>
  </si>
  <si>
    <t xml:space="preserve">Iluminador Em Stick Glow Natural Océane </t>
  </si>
  <si>
    <t xml:space="preserve">7896086934826</t>
  </si>
  <si>
    <t xml:space="preserve">7896014080403</t>
  </si>
  <si>
    <t xml:space="preserve">Red Apple Desodorante Antitranspirante C</t>
  </si>
  <si>
    <t xml:space="preserve">3355991005112</t>
  </si>
  <si>
    <t xml:space="preserve">8809925173835</t>
  </si>
  <si>
    <t xml:space="preserve">Condicionador Mise En Scène Perfect Seru</t>
  </si>
  <si>
    <t xml:space="preserve">309970126490</t>
  </si>
  <si>
    <t xml:space="preserve">Revlon Máscara De Cílios So Fierce! Big </t>
  </si>
  <si>
    <t xml:space="preserve">7896086910882</t>
  </si>
  <si>
    <t xml:space="preserve">7898576398163</t>
  </si>
  <si>
    <t xml:space="preserve">Oceane 4 Palette Edition - Paleta De Som</t>
  </si>
  <si>
    <t xml:space="preserve">7896086997661</t>
  </si>
  <si>
    <t xml:space="preserve">3616305279477</t>
  </si>
  <si>
    <t xml:space="preserve">Perfume adidas Vibes Dream Glaze Eau De </t>
  </si>
  <si>
    <t xml:space="preserve">7896086978776</t>
  </si>
  <si>
    <t xml:space="preserve">4975759001911</t>
  </si>
  <si>
    <t xml:space="preserve">7898593730267</t>
  </si>
  <si>
    <t xml:space="preserve">Pink Cheeks Antiatrito Spray Redless Coa</t>
  </si>
  <si>
    <t xml:space="preserve">7898954042640</t>
  </si>
  <si>
    <t xml:space="preserve">Bioré Óleo De Limpeza Demaquilante 150ml</t>
  </si>
  <si>
    <t xml:space="preserve">309975424058</t>
  </si>
  <si>
    <t xml:space="preserve">Pó Compacto Revlon Colorstay Claro/médio</t>
  </si>
  <si>
    <t xml:space="preserve">7891182019064</t>
  </si>
  <si>
    <t xml:space="preserve">7899838899961</t>
  </si>
  <si>
    <t xml:space="preserve">Oxímetro De Pulso 2 Pilhas Aaa Multi Saú</t>
  </si>
  <si>
    <t xml:space="preserve">309970215866</t>
  </si>
  <si>
    <t xml:space="preserve">Batom Revlon Colorstay Limitless Matte C</t>
  </si>
  <si>
    <t xml:space="preserve">7908725503383</t>
  </si>
  <si>
    <t xml:space="preserve">Océane Base 010 Edition Cushion Foundati</t>
  </si>
  <si>
    <t xml:space="preserve">3616306128170</t>
  </si>
  <si>
    <t xml:space="preserve">adidas Uefa 12 Champions League Pro Play</t>
  </si>
  <si>
    <t xml:space="preserve">7891182019842</t>
  </si>
  <si>
    <t xml:space="preserve">7896014072804</t>
  </si>
  <si>
    <t xml:space="preserve">Red Apple Protetor Facial Daily Fps 60 P</t>
  </si>
  <si>
    <t xml:space="preserve">736532216106</t>
  </si>
  <si>
    <t xml:space="preserve">Paleta De Sombras Nádia Tambasco By Océa</t>
  </si>
  <si>
    <t xml:space="preserve">736532217356</t>
  </si>
  <si>
    <t xml:space="preserve">15g</t>
  </si>
  <si>
    <t xml:space="preserve">Hidratante Labial Lip Balm Menta 15g Océ</t>
  </si>
  <si>
    <t xml:space="preserve">309970215774</t>
  </si>
  <si>
    <t xml:space="preserve">Revlon Batom Liquido Colorstay Limitless</t>
  </si>
  <si>
    <t xml:space="preserve">7896086992642</t>
  </si>
  <si>
    <t xml:space="preserve">7898576397869</t>
  </si>
  <si>
    <t xml:space="preserve">Paleta De Sombras Océane Edition Pocket </t>
  </si>
  <si>
    <t xml:space="preserve">7899206119288</t>
  </si>
  <si>
    <t xml:space="preserve">309970050375</t>
  </si>
  <si>
    <t xml:space="preserve">Revlon Colorstay Blonde 301 - Máscara So</t>
  </si>
  <si>
    <t xml:space="preserve">7898410315035</t>
  </si>
  <si>
    <t xml:space="preserve">Perfume Deo Colônia Sunset Feminino Com </t>
  </si>
  <si>
    <t xml:space="preserve">7899612725776</t>
  </si>
  <si>
    <t xml:space="preserve">Alicate Universal Profissional 8 Pol 200</t>
  </si>
  <si>
    <t xml:space="preserve">7899612796028</t>
  </si>
  <si>
    <t xml:space="preserve">Trena De Aco Caixa Plastica Emborrachada</t>
  </si>
  <si>
    <t xml:space="preserve">7908725500443</t>
  </si>
  <si>
    <t xml:space="preserve">Océane Edition 4 Eyeshadow Palette Cosmi</t>
  </si>
  <si>
    <t xml:space="preserve">7898684484208</t>
  </si>
  <si>
    <t xml:space="preserve">Gominhas De Creatina Monohidratada Super</t>
  </si>
  <si>
    <t xml:space="preserve">5060926685472</t>
  </si>
  <si>
    <t xml:space="preserve">Escova De Cabelo Mini Ultimate Detangler</t>
  </si>
  <si>
    <t xml:space="preserve">3701171701242</t>
  </si>
  <si>
    <t xml:space="preserve">Porta Comprimidos Organizador De Supleme</t>
  </si>
  <si>
    <t xml:space="preserve">7897013567698</t>
  </si>
  <si>
    <t xml:space="preserve">Luminária De Emergência 60 Leds 4w 6500k</t>
  </si>
  <si>
    <t xml:space="preserve">7899612700759</t>
  </si>
  <si>
    <t xml:space="preserve">Jogo Kit Chave Soquete Curto 3/8 Sextava</t>
  </si>
  <si>
    <t xml:space="preserve">309970215828</t>
  </si>
  <si>
    <t xml:space="preserve">8439627613959</t>
  </si>
  <si>
    <t xml:space="preserve">Manasik Al Noble Safeer Edp - Perfume 10</t>
  </si>
  <si>
    <t xml:space="preserve">7898410319620</t>
  </si>
  <si>
    <t xml:space="preserve">Ciclo Mini Dc Rino Infantil Água De  Col</t>
  </si>
  <si>
    <t xml:space="preserve">6290362348771</t>
  </si>
  <si>
    <t xml:space="preserve">7908725504526</t>
  </si>
  <si>
    <t xml:space="preserve">Esponja De Maquiagem Flat Blend Nude Esc</t>
  </si>
  <si>
    <t xml:space="preserve">7898930769189</t>
  </si>
  <si>
    <t xml:space="preserve">Esponja Para Maquiagem Special Diamond B</t>
  </si>
  <si>
    <t xml:space="preserve">7908725500719</t>
  </si>
  <si>
    <t xml:space="preserve">Océane 4 You Shimmer Highlighter Gold - </t>
  </si>
  <si>
    <t xml:space="preserve">7908725500696</t>
  </si>
  <si>
    <t xml:space="preserve">Océane Fluffy Blush Brink Peach Pêssego</t>
  </si>
  <si>
    <t xml:space="preserve">7908412518829</t>
  </si>
  <si>
    <t xml:space="preserve">Sanduicheira Brunch Time 2 Em 1 Elgin An</t>
  </si>
  <si>
    <t xml:space="preserve">7899952326220</t>
  </si>
  <si>
    <t xml:space="preserve">Colônia Minions Agnes Meu Malvado Favori</t>
  </si>
  <si>
    <t xml:space="preserve">5903719647045</t>
  </si>
  <si>
    <t xml:space="preserve">Perfume La Rive Fleur Antique Eau De Par</t>
  </si>
  <si>
    <t xml:space="preserve">7896086932174</t>
  </si>
  <si>
    <t xml:space="preserve">7891182019279</t>
  </si>
  <si>
    <t xml:space="preserve">7896086996718</t>
  </si>
  <si>
    <t xml:space="preserve">7896086917775</t>
  </si>
  <si>
    <t xml:space="preserve">7891182017398</t>
  </si>
  <si>
    <t xml:space="preserve">7891182017442</t>
  </si>
  <si>
    <t xml:space="preserve">7896086931962</t>
  </si>
  <si>
    <t xml:space="preserve">7896193250567</t>
  </si>
  <si>
    <t xml:space="preserve">Fita Antiderrapante Escada Piso Adere 50</t>
  </si>
  <si>
    <t xml:space="preserve">7896086960696</t>
  </si>
  <si>
    <t xml:space="preserve">4901301265678</t>
  </si>
  <si>
    <t xml:space="preserve">Bioré Sabonete Facial Acne Care Facial W</t>
  </si>
  <si>
    <t xml:space="preserve">7908725500870</t>
  </si>
  <si>
    <t xml:space="preserve">Blush Océane Edition Mini Em Bastão Clou</t>
  </si>
  <si>
    <t xml:space="preserve">7908725504229</t>
  </si>
  <si>
    <t xml:space="preserve">Iluminador Em Bastão Shine Highlight Sti</t>
  </si>
  <si>
    <t xml:space="preserve">7899206179473</t>
  </si>
  <si>
    <t xml:space="preserve">7898684530080</t>
  </si>
  <si>
    <t xml:space="preserve">Pink Cheeks Lapis Para Olhos Sport Eyepe</t>
  </si>
  <si>
    <t xml:space="preserve">7898576398781</t>
  </si>
  <si>
    <t xml:space="preserve">Máscara Facial Océane Rose Water Mask 8g</t>
  </si>
  <si>
    <t xml:space="preserve">7891182017411</t>
  </si>
  <si>
    <t xml:space="preserve">5903719647397</t>
  </si>
  <si>
    <t xml:space="preserve">La Rive Wild Kiss Eau De Parfum 90ml</t>
  </si>
  <si>
    <t xml:space="preserve">7896086920355</t>
  </si>
  <si>
    <t xml:space="preserve">7908725500764</t>
  </si>
  <si>
    <t xml:space="preserve">Blush Líquido Océane 4 You - Flush Blush</t>
  </si>
  <si>
    <t xml:space="preserve">7898449395039</t>
  </si>
  <si>
    <t xml:space="preserve">Máscara Pigmentante 150ml - Kamaleão Col</t>
  </si>
  <si>
    <t xml:space="preserve">7908725501037</t>
  </si>
  <si>
    <t xml:space="preserve">1.8g</t>
  </si>
  <si>
    <t xml:space="preserve">Mini Lip Oil Rosa Punch Océane 4you 1,8g</t>
  </si>
  <si>
    <t xml:space="preserve">7896086999115</t>
  </si>
  <si>
    <t xml:space="preserve">7898554605603</t>
  </si>
  <si>
    <t xml:space="preserve">Headset Gamer Fortrek Hsl-102 Over-ear P</t>
  </si>
  <si>
    <t xml:space="preserve">8005610325309</t>
  </si>
  <si>
    <t xml:space="preserve">7908725501686</t>
  </si>
  <si>
    <t xml:space="preserve">Hidratante Corporal Macadâmia - Travel B</t>
  </si>
  <si>
    <t xml:space="preserve">7908725501020</t>
  </si>
  <si>
    <t xml:space="preserve">Mini Brilho Labial Rosa - Glossy Me Rose</t>
  </si>
  <si>
    <t xml:space="preserve">8004120083341</t>
  </si>
  <si>
    <t xml:space="preserve">Óleo Bronzeador Spray Delice Solaire Coc</t>
  </si>
  <si>
    <t xml:space="preserve">7896014000296</t>
  </si>
  <si>
    <t xml:space="preserve">Red Apple Hidratante Facial Gel Acalmo 1</t>
  </si>
  <si>
    <t xml:space="preserve">7891182018098</t>
  </si>
  <si>
    <t xml:space="preserve">3616306727595</t>
  </si>
  <si>
    <t xml:space="preserve">Body Splash Cherry Chanson D'eau 75ml Fr</t>
  </si>
  <si>
    <t xml:space="preserve">7891182017275</t>
  </si>
  <si>
    <t xml:space="preserve">7898583342548</t>
  </si>
  <si>
    <t xml:space="preserve">Shampoo Matizador 3d Magic Color</t>
  </si>
  <si>
    <t xml:space="preserve">7898410310399</t>
  </si>
  <si>
    <t xml:space="preserve">Body Splash La Vida Ciclo 200ml</t>
  </si>
  <si>
    <t xml:space="preserve">7899706169707</t>
  </si>
  <si>
    <t xml:space="preserve">L'oréal Repair Cortex Lipidium Power Rep</t>
  </si>
  <si>
    <t xml:space="preserve">7908725501570</t>
  </si>
  <si>
    <t xml:space="preserve">Océane Esponja De Sister Blend Esponja D</t>
  </si>
  <si>
    <t xml:space="preserve">Observação: quando nenhuma das variações de título de um GTIN mostra o tamanho dentro dos 40 caracteres exportados, a coluna "Tamanho (detectado)" fica como "Não identificado no título" — vale conferir manualmente esses casos antes de decidir preço/compra.</t>
  </si>
  <si>
    <t xml:space="preserve">Título</t>
  </si>
  <si>
    <t xml:space="preserve">Vendas em $</t>
  </si>
  <si>
    <t xml:space="preserve">Vendas em Unid.</t>
  </si>
  <si>
    <t xml:space="preserve">Preço Médio</t>
  </si>
  <si>
    <t xml:space="preserve">Tipo de Publicação</t>
  </si>
  <si>
    <t xml:space="preserve">Fulfillment</t>
  </si>
  <si>
    <t xml:space="preserve">Catálogo.</t>
  </si>
  <si>
    <t xml:space="preserve">Com Frete grátis</t>
  </si>
  <si>
    <t xml:space="preserve">Com Mercado Envios</t>
  </si>
  <si>
    <t xml:space="preserve">Com desconto</t>
  </si>
  <si>
    <t xml:space="preserve">SKU</t>
  </si>
  <si>
    <t xml:space="preserve">OEM</t>
  </si>
  <si>
    <t xml:space="preserve">N° PEÇA</t>
  </si>
  <si>
    <t xml:space="preserve">Estado</t>
  </si>
  <si>
    <t xml:space="preserve">MercadoPago</t>
  </si>
  <si>
    <t xml:space="preserve">Republicada</t>
  </si>
  <si>
    <t xml:space="preserve">Condição</t>
  </si>
  <si>
    <t xml:space="preserve">1a Ocorrencia Marca (geral)</t>
  </si>
  <si>
    <t xml:space="preserve">1a Ocorrencia Marca+Concorrente</t>
  </si>
  <si>
    <t xml:space="preserve">Clássico</t>
  </si>
  <si>
    <t xml:space="preserve">Sim</t>
  </si>
  <si>
    <t xml:space="preserve">11438</t>
  </si>
  <si>
    <t xml:space="preserve">active</t>
  </si>
  <si>
    <t xml:space="preserve">Não</t>
  </si>
  <si>
    <t xml:space="preserve">new</t>
  </si>
  <si>
    <t xml:space="preserve">Oxímetro Oled G-tech Púrpura</t>
  </si>
  <si>
    <t xml:space="preserve">11426</t>
  </si>
  <si>
    <t xml:space="preserve">Aparelho Medidor De Pressão Digital De B</t>
  </si>
  <si>
    <t xml:space="preserve">paused</t>
  </si>
  <si>
    <t xml:space="preserve">Eudora Club 6 Voyage Deo-colônia 95ml Pa</t>
  </si>
  <si>
    <t xml:space="preserve">19578</t>
  </si>
  <si>
    <t xml:space="preserve">15101</t>
  </si>
  <si>
    <t xml:space="preserve">11317</t>
  </si>
  <si>
    <t xml:space="preserve">15219</t>
  </si>
  <si>
    <t xml:space="preserve">19712</t>
  </si>
  <si>
    <t xml:space="preserve">under_review</t>
  </si>
  <si>
    <t xml:space="preserve">21777</t>
  </si>
  <si>
    <t xml:space="preserve">07640372090037</t>
  </si>
  <si>
    <t xml:space="preserve">15928</t>
  </si>
  <si>
    <t xml:space="preserve">8056669925859</t>
  </si>
  <si>
    <t xml:space="preserve">12309</t>
  </si>
  <si>
    <t xml:space="preserve">Aparelho De Pressão Digital De Braço G-t</t>
  </si>
  <si>
    <t xml:space="preserve">22118</t>
  </si>
  <si>
    <t xml:space="preserve">022255233699</t>
  </si>
  <si>
    <t xml:space="preserve">18455</t>
  </si>
  <si>
    <t xml:space="preserve">13486</t>
  </si>
  <si>
    <t xml:space="preserve">7898735581641</t>
  </si>
  <si>
    <t xml:space="preserve">Suplemento Fórmula 4mag Magnésio Rituári</t>
  </si>
  <si>
    <t xml:space="preserve">7908407007796</t>
  </si>
  <si>
    <t xml:space="preserve">18853</t>
  </si>
  <si>
    <t xml:space="preserve">19986</t>
  </si>
  <si>
    <t xml:space="preserve">15760</t>
  </si>
  <si>
    <t xml:space="preserve">Club 6 Voyage Eudora Deo Colônia 95ml Co</t>
  </si>
  <si>
    <t xml:space="preserve">7891033872923</t>
  </si>
  <si>
    <t xml:space="preserve">15823</t>
  </si>
  <si>
    <t xml:space="preserve">10911</t>
  </si>
  <si>
    <t xml:space="preserve">Premium</t>
  </si>
  <si>
    <t xml:space="preserve">22673</t>
  </si>
  <si>
    <t xml:space="preserve">5167</t>
  </si>
  <si>
    <t xml:space="preserve">14758</t>
  </si>
  <si>
    <t xml:space="preserve">711719574293</t>
  </si>
  <si>
    <t xml:space="preserve">12209</t>
  </si>
  <si>
    <t xml:space="preserve">5111</t>
  </si>
  <si>
    <t xml:space="preserve">22137</t>
  </si>
  <si>
    <t xml:space="preserve">022255241779</t>
  </si>
  <si>
    <t xml:space="preserve">7794290341679</t>
  </si>
  <si>
    <t xml:space="preserve">19419</t>
  </si>
  <si>
    <t xml:space="preserve">5646</t>
  </si>
  <si>
    <t xml:space="preserve">88300162505</t>
  </si>
  <si>
    <t xml:space="preserve">21838</t>
  </si>
  <si>
    <t xml:space="preserve">22255233682</t>
  </si>
  <si>
    <t xml:space="preserve">Fita Para Teste De Glicose Code Free G-4</t>
  </si>
  <si>
    <t xml:space="preserve">6939184632414</t>
  </si>
  <si>
    <t xml:space="preserve">885911912204</t>
  </si>
  <si>
    <t xml:space="preserve">15336</t>
  </si>
  <si>
    <t xml:space="preserve">16455</t>
  </si>
  <si>
    <t xml:space="preserve">7908137911493</t>
  </si>
  <si>
    <t xml:space="preserve">9866</t>
  </si>
  <si>
    <t xml:space="preserve">11785</t>
  </si>
  <si>
    <t xml:space="preserve">4793</t>
  </si>
  <si>
    <t xml:space="preserve">18541</t>
  </si>
  <si>
    <t xml:space="preserve">Base Líquida Bt Skin L30 40ml Bruna Tava</t>
  </si>
  <si>
    <t xml:space="preserve">7908985912314</t>
  </si>
  <si>
    <t xml:space="preserve">18344</t>
  </si>
  <si>
    <t xml:space="preserve">21179</t>
  </si>
  <si>
    <t xml:space="preserve">022255232661</t>
  </si>
  <si>
    <t xml:space="preserve">12403</t>
  </si>
  <si>
    <t xml:space="preserve">7908137906413</t>
  </si>
  <si>
    <t xml:space="preserve">5641</t>
  </si>
  <si>
    <t xml:space="preserve">088300107438</t>
  </si>
  <si>
    <t xml:space="preserve">18851</t>
  </si>
  <si>
    <t xml:space="preserve">Eletroestimulador Tens G-tech Alívio Já</t>
  </si>
  <si>
    <t xml:space="preserve">21513</t>
  </si>
  <si>
    <t xml:space="preserve">DARKBLACKWAX</t>
  </si>
  <si>
    <t xml:space="preserve">16757</t>
  </si>
  <si>
    <t xml:space="preserve">Floral Thérapi Kids Sonequita Equilibrio</t>
  </si>
  <si>
    <t xml:space="preserve">7898747480062</t>
  </si>
  <si>
    <t xml:space="preserve">15707</t>
  </si>
  <si>
    <t xml:space="preserve">19511</t>
  </si>
  <si>
    <t xml:space="preserve">Perfume Feminino Salvador Dalí Laguna Ap</t>
  </si>
  <si>
    <t xml:space="preserve">5236</t>
  </si>
  <si>
    <t xml:space="preserve">78527500</t>
  </si>
  <si>
    <t xml:space="preserve">Colônia Turma Da Mônica Cebolinha Jequit</t>
  </si>
  <si>
    <t xml:space="preserve">022255274920</t>
  </si>
  <si>
    <t xml:space="preserve">19590</t>
  </si>
  <si>
    <t xml:space="preserve">22255268547</t>
  </si>
  <si>
    <t xml:space="preserve">9726</t>
  </si>
  <si>
    <t xml:space="preserve">21080</t>
  </si>
  <si>
    <t xml:space="preserve">20174</t>
  </si>
  <si>
    <t xml:space="preserve">085805390600</t>
  </si>
  <si>
    <t xml:space="preserve">Esteira Massageadora Bioland Com 10 Moto</t>
  </si>
  <si>
    <t xml:space="preserve">7899480862849</t>
  </si>
  <si>
    <t xml:space="preserve">6458</t>
  </si>
  <si>
    <t xml:space="preserve">7896451864062</t>
  </si>
  <si>
    <t xml:space="preserve">5422</t>
  </si>
  <si>
    <t xml:space="preserve">21073</t>
  </si>
  <si>
    <t xml:space="preserve">18600</t>
  </si>
  <si>
    <t xml:space="preserve">088300196814</t>
  </si>
  <si>
    <t xml:space="preserve">21093</t>
  </si>
  <si>
    <t xml:space="preserve">19171</t>
  </si>
  <si>
    <t xml:space="preserve">21473</t>
  </si>
  <si>
    <t xml:space="preserve">5980</t>
  </si>
  <si>
    <t xml:space="preserve">19627</t>
  </si>
  <si>
    <t xml:space="preserve">22255341189</t>
  </si>
  <si>
    <t xml:space="preserve">6290360598925</t>
  </si>
  <si>
    <t xml:space="preserve">21056</t>
  </si>
  <si>
    <t xml:space="preserve">11040</t>
  </si>
  <si>
    <t xml:space="preserve">DER7458</t>
  </si>
  <si>
    <t xml:space="preserve">9860</t>
  </si>
  <si>
    <t xml:space="preserve">Deocolonia Marro Chlorophylla Tradiciona</t>
  </si>
  <si>
    <t xml:space="preserve">19774</t>
  </si>
  <si>
    <t xml:space="preserve">7908896603653</t>
  </si>
  <si>
    <t xml:space="preserve">Philips Saeco Ca6700/10</t>
  </si>
  <si>
    <t xml:space="preserve">8720389000362</t>
  </si>
  <si>
    <t xml:space="preserve">22298</t>
  </si>
  <si>
    <t xml:space="preserve">022255066945</t>
  </si>
  <si>
    <t xml:space="preserve">022255233651</t>
  </si>
  <si>
    <t xml:space="preserve">7908985911911</t>
  </si>
  <si>
    <t xml:space="preserve">5864</t>
  </si>
  <si>
    <t xml:space="preserve">17702</t>
  </si>
  <si>
    <t xml:space="preserve">022255233668</t>
  </si>
  <si>
    <t xml:space="preserve">022255242530</t>
  </si>
  <si>
    <t xml:space="preserve">Bateria Selada Elgin 12v Vrla - Para Uso</t>
  </si>
  <si>
    <t xml:space="preserve">7897013582233</t>
  </si>
  <si>
    <t xml:space="preserve">4895229109988</t>
  </si>
  <si>
    <t xml:space="preserve">7896768499537</t>
  </si>
  <si>
    <t xml:space="preserve">5170</t>
  </si>
  <si>
    <t xml:space="preserve">22780</t>
  </si>
  <si>
    <t xml:space="preserve">Aparelho Medir Pressão Pulso G-tech Gp40</t>
  </si>
  <si>
    <t xml:space="preserve">0751320866066</t>
  </si>
  <si>
    <t xml:space="preserve">6638</t>
  </si>
  <si>
    <t xml:space="preserve">9707</t>
  </si>
  <si>
    <t xml:space="preserve">15346</t>
  </si>
  <si>
    <t xml:space="preserve">11858</t>
  </si>
  <si>
    <t xml:space="preserve">22255233644</t>
  </si>
  <si>
    <t xml:space="preserve">4899</t>
  </si>
  <si>
    <t xml:space="preserve">Aspersor De Impulso Setorial 30° A 360° </t>
  </si>
  <si>
    <t xml:space="preserve">17977</t>
  </si>
  <si>
    <t xml:space="preserve">22255232616</t>
  </si>
  <si>
    <t xml:space="preserve">19947</t>
  </si>
  <si>
    <t xml:space="preserve">22610</t>
  </si>
  <si>
    <t xml:space="preserve">22186</t>
  </si>
  <si>
    <t xml:space="preserve">Magnésio Taurato 120 Cápsulas - Meissen </t>
  </si>
  <si>
    <t xml:space="preserve">17137</t>
  </si>
  <si>
    <t xml:space="preserve">Gl Gold Embaixador Gusttavo Lima Deo Col</t>
  </si>
  <si>
    <t xml:space="preserve">21947</t>
  </si>
  <si>
    <t xml:space="preserve">19949</t>
  </si>
  <si>
    <t xml:space="preserve">21058</t>
  </si>
  <si>
    <t xml:space="preserve">7896768470376</t>
  </si>
  <si>
    <t xml:space="preserve">19359</t>
  </si>
  <si>
    <t xml:space="preserve">16497</t>
  </si>
  <si>
    <t xml:space="preserve">Perfume Eau De Toilette Cacharel Amor Am</t>
  </si>
  <si>
    <t xml:space="preserve">5418</t>
  </si>
  <si>
    <t xml:space="preserve">19592</t>
  </si>
  <si>
    <t xml:space="preserve">04975759103462</t>
  </si>
  <si>
    <t xml:space="preserve">FUSSODARK</t>
  </si>
  <si>
    <t xml:space="preserve">17458</t>
  </si>
  <si>
    <t xml:space="preserve">22189</t>
  </si>
  <si>
    <t xml:space="preserve">022255232609</t>
  </si>
  <si>
    <t xml:space="preserve">Monitor De Pressão Arterial De Pulso Bp-</t>
  </si>
  <si>
    <t xml:space="preserve">17061</t>
  </si>
  <si>
    <t xml:space="preserve">16298</t>
  </si>
  <si>
    <t xml:space="preserve">Boraprim 60 Cápsulas Vitafor Sem Sabor</t>
  </si>
  <si>
    <t xml:space="preserve">12349</t>
  </si>
  <si>
    <t xml:space="preserve">Ferro Passar Roupa Electrolux A Vapor E </t>
  </si>
  <si>
    <t xml:space="preserve">7896347184229</t>
  </si>
  <si>
    <t xml:space="preserve">43752507</t>
  </si>
  <si>
    <t xml:space="preserve">7908005327326</t>
  </si>
  <si>
    <t xml:space="preserve">Xo Compressa Refrescante 4 Unidades Bran</t>
  </si>
  <si>
    <t xml:space="preserve">Juicy Couture Viva La Juicy Edp 100ml Pa</t>
  </si>
  <si>
    <t xml:space="preserve">098691047718</t>
  </si>
  <si>
    <t xml:space="preserve">16788</t>
  </si>
  <si>
    <t xml:space="preserve">18752</t>
  </si>
  <si>
    <t xml:space="preserve">18794</t>
  </si>
  <si>
    <t xml:space="preserve">0085805757748</t>
  </si>
  <si>
    <t xml:space="preserve">22255341172</t>
  </si>
  <si>
    <t xml:space="preserve">Perfume Manasik Oud Amber Gold 100ml Eau</t>
  </si>
  <si>
    <t xml:space="preserve">18439627638198</t>
  </si>
  <si>
    <t xml:space="preserve">16916</t>
  </si>
  <si>
    <t xml:space="preserve">16755</t>
  </si>
  <si>
    <t xml:space="preserve">Henna Para Sobrancelha Della E Delle 8g </t>
  </si>
  <si>
    <t xml:space="preserve">7898664340517</t>
  </si>
  <si>
    <t xml:space="preserve">19625</t>
  </si>
  <si>
    <t xml:space="preserve">16792</t>
  </si>
  <si>
    <t xml:space="preserve">17755</t>
  </si>
  <si>
    <t xml:space="preserve">88300196890</t>
  </si>
  <si>
    <t xml:space="preserve">21457</t>
  </si>
  <si>
    <t xml:space="preserve">Colosfort Premium Colostrum Protein Vita</t>
  </si>
  <si>
    <t xml:space="preserve">7908896605107</t>
  </si>
  <si>
    <t xml:space="preserve">7908005390474</t>
  </si>
  <si>
    <t xml:space="preserve">21650</t>
  </si>
  <si>
    <t xml:space="preserve">16364</t>
  </si>
  <si>
    <t xml:space="preserve">22106</t>
  </si>
  <si>
    <t xml:space="preserve">11598</t>
  </si>
  <si>
    <t xml:space="preserve">19380</t>
  </si>
  <si>
    <t xml:space="preserve">15781</t>
  </si>
  <si>
    <t xml:space="preserve">Henna Para Sobrancelha Della E Delle Cas</t>
  </si>
  <si>
    <t xml:space="preserve">7898664340524</t>
  </si>
  <si>
    <t xml:space="preserve">13497</t>
  </si>
  <si>
    <t xml:space="preserve">14903</t>
  </si>
  <si>
    <t xml:space="preserve">16910</t>
  </si>
  <si>
    <t xml:space="preserve">19584</t>
  </si>
  <si>
    <t xml:space="preserve">8130</t>
  </si>
  <si>
    <t xml:space="preserve">Ciclo Body Splash Kiss 200ml</t>
  </si>
  <si>
    <t xml:space="preserve">11042</t>
  </si>
  <si>
    <t xml:space="preserve">Vitamina B12 Menta 20ml Vitafor Menta Me</t>
  </si>
  <si>
    <t xml:space="preserve">0735201084169</t>
  </si>
  <si>
    <t xml:space="preserve">Henna Para Sobrancelhas 8g Della &amp; Delle</t>
  </si>
  <si>
    <t xml:space="preserve">7898664340531</t>
  </si>
  <si>
    <t xml:space="preserve">Panela De Pressão Brinox Pressure Induçã</t>
  </si>
  <si>
    <t xml:space="preserve">7896502889037</t>
  </si>
  <si>
    <t xml:space="preserve">15789</t>
  </si>
  <si>
    <t xml:space="preserve">19370</t>
  </si>
  <si>
    <t xml:space="preserve">17497</t>
  </si>
  <si>
    <t xml:space="preserve">7896098810491</t>
  </si>
  <si>
    <t xml:space="preserve">21753</t>
  </si>
  <si>
    <t xml:space="preserve">SOFT99THEKINGOFGLOSS</t>
  </si>
  <si>
    <t xml:space="preserve">19946</t>
  </si>
  <si>
    <t xml:space="preserve">17014</t>
  </si>
  <si>
    <t xml:space="preserve">Colônia Splash Ana Castela Vai Te Viciar</t>
  </si>
  <si>
    <t xml:space="preserve">7899952330173</t>
  </si>
  <si>
    <t xml:space="preserve">20746</t>
  </si>
  <si>
    <t xml:space="preserve">7640372090044</t>
  </si>
  <si>
    <t xml:space="preserve">21955</t>
  </si>
  <si>
    <t xml:space="preserve">21992</t>
  </si>
  <si>
    <t xml:space="preserve">Lixadeira De Cinta Profissional Stanley </t>
  </si>
  <si>
    <t xml:space="preserve">885911593045</t>
  </si>
  <si>
    <t xml:space="preserve">21977</t>
  </si>
  <si>
    <t xml:space="preserve">6924328312550</t>
  </si>
  <si>
    <t xml:space="preserve">5424</t>
  </si>
  <si>
    <t xml:space="preserve">Perfume Manasik Musk Abiyad 100ml Eau De</t>
  </si>
  <si>
    <t xml:space="preserve">Cortador De Cabelo Oivida Oiv-030 V-030 </t>
  </si>
  <si>
    <t xml:space="preserve">7898614977442</t>
  </si>
  <si>
    <t xml:space="preserve">Óculos De Segurança Capri Lente Cinza Ep</t>
  </si>
  <si>
    <t xml:space="preserve">15791</t>
  </si>
  <si>
    <t xml:space="preserve">22116</t>
  </si>
  <si>
    <t xml:space="preserve">17487</t>
  </si>
  <si>
    <t xml:space="preserve">22618</t>
  </si>
  <si>
    <t xml:space="preserve">22172</t>
  </si>
  <si>
    <t xml:space="preserve">888317002159</t>
  </si>
  <si>
    <t xml:space="preserve">21953</t>
  </si>
  <si>
    <t xml:space="preserve">13120</t>
  </si>
  <si>
    <t xml:space="preserve">17908005386804</t>
  </si>
  <si>
    <t xml:space="preserve">07896873186490</t>
  </si>
  <si>
    <t xml:space="preserve">15304</t>
  </si>
  <si>
    <t xml:space="preserve">19580</t>
  </si>
  <si>
    <t xml:space="preserve">Boneco Silvinho 091 - Fandom Box - Líder</t>
  </si>
  <si>
    <t xml:space="preserve">7899455914863</t>
  </si>
  <si>
    <t xml:space="preserve">7897013548345</t>
  </si>
  <si>
    <t xml:space="preserve">12201</t>
  </si>
  <si>
    <t xml:space="preserve">Creme Hidratante Para Pele Ressacada Hom</t>
  </si>
  <si>
    <t xml:space="preserve">Creme Facial Clareador Nova Pele 25g Mel</t>
  </si>
  <si>
    <t xml:space="preserve">10995</t>
  </si>
  <si>
    <t xml:space="preserve">00177</t>
  </si>
  <si>
    <t xml:space="preserve">7898618485585</t>
  </si>
  <si>
    <t xml:space="preserve">7908896604148</t>
  </si>
  <si>
    <t xml:space="preserve">15815</t>
  </si>
  <si>
    <t xml:space="preserve">Rochedo Turbo Ckw Panela De Pressão Poli</t>
  </si>
  <si>
    <t xml:space="preserve">7896075033974</t>
  </si>
  <si>
    <t xml:space="preserve">21991</t>
  </si>
  <si>
    <t xml:space="preserve">6248</t>
  </si>
  <si>
    <t xml:space="preserve">6249</t>
  </si>
  <si>
    <t xml:space="preserve">Mq Professional Turbo Point Rosa 220v</t>
  </si>
  <si>
    <t xml:space="preserve">0040232896750</t>
  </si>
  <si>
    <t xml:space="preserve">20723</t>
  </si>
  <si>
    <t xml:space="preserve">Forever Liss Sos Reconstrutor Antiemborr</t>
  </si>
  <si>
    <t xml:space="preserve">20318</t>
  </si>
  <si>
    <t xml:space="preserve">Creamy Skincare Ácido Tranexâmico 90ml S</t>
  </si>
  <si>
    <t xml:space="preserve">20314</t>
  </si>
  <si>
    <t xml:space="preserve">4895229150225</t>
  </si>
  <si>
    <t xml:space="preserve">Aparelho De Glicemia G-tech Vita Ultra K</t>
  </si>
  <si>
    <t xml:space="preserve">7898639694713</t>
  </si>
  <si>
    <t xml:space="preserve">19598</t>
  </si>
  <si>
    <t xml:space="preserve">21827</t>
  </si>
  <si>
    <t xml:space="preserve">Protetor Solar 12hs Físico Natural Solei</t>
  </si>
  <si>
    <t xml:space="preserve">885911155281</t>
  </si>
  <si>
    <t xml:space="preserve">20658</t>
  </si>
  <si>
    <t xml:space="preserve">5543</t>
  </si>
  <si>
    <t xml:space="preserve">Medidor De Pressao Digital Mp100 Pulso I</t>
  </si>
  <si>
    <t xml:space="preserve">Esfigmomanômetro Aneróide Com Estetoscóp</t>
  </si>
  <si>
    <t xml:space="preserve">9292</t>
  </si>
  <si>
    <t xml:space="preserve">7908992008420</t>
  </si>
  <si>
    <t xml:space="preserve">Henna Della E Delle Castanho Escuro Sobr</t>
  </si>
  <si>
    <t xml:space="preserve">7898664340449</t>
  </si>
  <si>
    <t xml:space="preserve">5456</t>
  </si>
  <si>
    <t xml:space="preserve">Deo Colônia Iman Camper 100ml Perfume Ma</t>
  </si>
  <si>
    <t xml:space="preserve">7898936771360</t>
  </si>
  <si>
    <t xml:space="preserve">Perfume Eau De Parfum Juicy Couture Femi</t>
  </si>
  <si>
    <t xml:space="preserve">098691036491</t>
  </si>
  <si>
    <t xml:space="preserve">19418</t>
  </si>
  <si>
    <t xml:space="preserve">20888</t>
  </si>
  <si>
    <t xml:space="preserve">Tramontina 78799648 - Ap500, Ap600, Ap70</t>
  </si>
  <si>
    <t xml:space="preserve">4975759001935</t>
  </si>
  <si>
    <t xml:space="preserve">UNIDADE</t>
  </si>
  <si>
    <t xml:space="preserve">22181</t>
  </si>
  <si>
    <t xml:space="preserve">0719346629379</t>
  </si>
  <si>
    <t xml:space="preserve">10209</t>
  </si>
  <si>
    <t xml:space="preserve">Laranja Moro Morosil + Cromo + Café Verd</t>
  </si>
  <si>
    <t xml:space="preserve">070341102985</t>
  </si>
  <si>
    <t xml:space="preserve">Denavita Terapia De Reposição Hormonal Ó</t>
  </si>
  <si>
    <t xml:space="preserve">040141385642</t>
  </si>
  <si>
    <t xml:space="preserve">9281</t>
  </si>
  <si>
    <t xml:space="preserve">Henna Sobrancelha Preto Della E Delle Ve</t>
  </si>
  <si>
    <t xml:space="preserve">7898664340548</t>
  </si>
  <si>
    <t xml:space="preserve">Bomba De Bike Sentec Com Mangueira Mtb S</t>
  </si>
  <si>
    <t xml:space="preserve">Secador De Cabelo Mq Professional Turbo </t>
  </si>
  <si>
    <t xml:space="preserve">9064</t>
  </si>
  <si>
    <t xml:space="preserve">21048</t>
  </si>
  <si>
    <t xml:space="preserve">15888</t>
  </si>
  <si>
    <t xml:space="preserve">Oui Scapin 245 Intense Eau De Parfum 75m</t>
  </si>
  <si>
    <t xml:space="preserve">21959</t>
  </si>
  <si>
    <t xml:space="preserve">17703</t>
  </si>
  <si>
    <t xml:space="preserve">Aparelho De Pressão Manual Esfigmomanôme</t>
  </si>
  <si>
    <t xml:space="preserve">20448</t>
  </si>
  <si>
    <t xml:space="preserve">044677102001</t>
  </si>
  <si>
    <t xml:space="preserve">Faqueiro 30 Peças Wolff Avalon Aço Inox </t>
  </si>
  <si>
    <t xml:space="preserve">7895730714159</t>
  </si>
  <si>
    <t xml:space="preserve">0727295088130</t>
  </si>
  <si>
    <t xml:space="preserve">044677204200</t>
  </si>
  <si>
    <t xml:space="preserve">Denavita Clareador De Tons Pinus Pinaste</t>
  </si>
  <si>
    <t xml:space="preserve">070341449288</t>
  </si>
  <si>
    <t xml:space="preserve">Aparelho De Medir Pressão Arterial Digit</t>
  </si>
  <si>
    <t xml:space="preserve">Barbeador Sem Fio Vgr Kemei Km-2024 2 Ca</t>
  </si>
  <si>
    <t xml:space="preserve">6973224083316</t>
  </si>
  <si>
    <t xml:space="preserve">Elgin Glossy To Go Glossy Togo Sect0 Lil</t>
  </si>
  <si>
    <t xml:space="preserve">42330001</t>
  </si>
  <si>
    <t xml:space="preserve">22322</t>
  </si>
  <si>
    <t xml:space="preserve">7899524418865</t>
  </si>
  <si>
    <t xml:space="preserve">MLB19704976</t>
  </si>
  <si>
    <t xml:space="preserve">Pinça Depilatória Descartável Com 12 Uni</t>
  </si>
  <si>
    <t xml:space="preserve">7896075701040</t>
  </si>
  <si>
    <t xml:space="preserve">18756</t>
  </si>
  <si>
    <t xml:space="preserve">20316</t>
  </si>
  <si>
    <t xml:space="preserve">Armadilha Para Insetos Mt120 Kajima 127v</t>
  </si>
  <si>
    <t xml:space="preserve">15803</t>
  </si>
  <si>
    <t xml:space="preserve">Aparelho Medidor De Pressão Digital Puls</t>
  </si>
  <si>
    <t xml:space="preserve">Colônia Bem-me-quer Magia 25ml - Jequiti</t>
  </si>
  <si>
    <t xml:space="preserve">41016510</t>
  </si>
  <si>
    <t xml:space="preserve">10272</t>
  </si>
  <si>
    <t xml:space="preserve">20415</t>
  </si>
  <si>
    <t xml:space="preserve">Simfort Ultra 60 Capsulas Vitafor Neutro</t>
  </si>
  <si>
    <t xml:space="preserve">Alicate De Bico 1/2 Cana Reto 6  Mtx</t>
  </si>
  <si>
    <t xml:space="preserve">7899612721822</t>
  </si>
  <si>
    <t xml:space="preserve">Óculos Kalipso Jamaica De Segurança Lent</t>
  </si>
  <si>
    <t xml:space="preserve">7898390942573</t>
  </si>
  <si>
    <t xml:space="preserve">00191</t>
  </si>
  <si>
    <t xml:space="preserve">Perfume Gustavo Lima Embaixador Paraiso </t>
  </si>
  <si>
    <t xml:space="preserve">20413</t>
  </si>
  <si>
    <t xml:space="preserve">Perfume Sarath Feminino Eau De Parfum 10</t>
  </si>
  <si>
    <t xml:space="preserve">8439627646742</t>
  </si>
  <si>
    <t xml:space="preserve">21054</t>
  </si>
  <si>
    <t xml:space="preserve">21993</t>
  </si>
  <si>
    <t xml:space="preserve">7898741806066</t>
  </si>
  <si>
    <t xml:space="preserve">Bola De Pilates 65cm Muvin  Antiestouro </t>
  </si>
  <si>
    <t xml:space="preserve">7898571291896</t>
  </si>
  <si>
    <t xml:space="preserve">Ultra Hidratante Desmaia 950g</t>
  </si>
  <si>
    <t xml:space="preserve">Perfume Masculino Spray 100ml Gl Embaixa</t>
  </si>
  <si>
    <t xml:space="preserve">22580</t>
  </si>
  <si>
    <t xml:space="preserve">Espaçador Para Medicamento Em Aerossol P</t>
  </si>
  <si>
    <t xml:space="preserve">12317</t>
  </si>
  <si>
    <t xml:space="preserve">Henna Para Sobrancelhas Della E Delle Ca</t>
  </si>
  <si>
    <t xml:space="preserve">7898664340425</t>
  </si>
  <si>
    <t xml:space="preserve">Creme Facial Clareador Nova Pele 25g Tod</t>
  </si>
  <si>
    <t xml:space="preserve">4828</t>
  </si>
  <si>
    <t xml:space="preserve">984929529</t>
  </si>
  <si>
    <t xml:space="preserve">862705848</t>
  </si>
  <si>
    <t xml:space="preserve">696704216</t>
  </si>
  <si>
    <t xml:space="preserve">696726863</t>
  </si>
  <si>
    <t xml:space="preserve">5874412883</t>
  </si>
  <si>
    <t xml:space="preserve">711600251</t>
  </si>
  <si>
    <t xml:space="preserve">2039673953</t>
  </si>
  <si>
    <t xml:space="preserve">5874413049</t>
  </si>
  <si>
    <t xml:space="preserve">5874414110</t>
  </si>
  <si>
    <t xml:space="preserve">1950453352</t>
  </si>
  <si>
    <t xml:space="preserve">3899917992</t>
  </si>
  <si>
    <t xml:space="preserve">3203743864</t>
  </si>
  <si>
    <t xml:space="preserve">696779507</t>
  </si>
  <si>
    <t xml:space="preserve">800648324</t>
  </si>
  <si>
    <t xml:space="preserve">2696510250</t>
  </si>
  <si>
    <t xml:space="preserve">4126679100</t>
  </si>
  <si>
    <t xml:space="preserve">1053623905</t>
  </si>
  <si>
    <t xml:space="preserve">723335398</t>
  </si>
  <si>
    <t xml:space="preserve">768757131</t>
  </si>
  <si>
    <t xml:space="preserve">2176979678</t>
  </si>
  <si>
    <t xml:space="preserve">5874413811</t>
  </si>
  <si>
    <t xml:space="preserve">714986423</t>
  </si>
  <si>
    <t xml:space="preserve">884028258</t>
  </si>
  <si>
    <t xml:space="preserve">5874414111</t>
  </si>
  <si>
    <t xml:space="preserve">755616133</t>
  </si>
  <si>
    <t xml:space="preserve">5874412900</t>
  </si>
  <si>
    <t xml:space="preserve">1309711374</t>
  </si>
  <si>
    <t xml:space="preserve">5874412631</t>
  </si>
  <si>
    <t xml:space="preserve">5874412802</t>
  </si>
  <si>
    <t xml:space="preserve">3274171873</t>
  </si>
  <si>
    <t xml:space="preserve">1001579689</t>
  </si>
  <si>
    <t xml:space="preserve">5874412950</t>
  </si>
  <si>
    <t xml:space="preserve">5874414281</t>
  </si>
  <si>
    <t xml:space="preserve">868966675</t>
  </si>
  <si>
    <t xml:space="preserve">5874412881</t>
  </si>
  <si>
    <t xml:space="preserve">1696001509</t>
  </si>
  <si>
    <t xml:space="preserve">1667482824</t>
  </si>
  <si>
    <t xml:space="preserve">2006263952</t>
  </si>
  <si>
    <t xml:space="preserve">962704032</t>
  </si>
  <si>
    <t xml:space="preserve">5874413186</t>
  </si>
  <si>
    <t xml:space="preserve">711547207</t>
  </si>
  <si>
    <t xml:space="preserve">5874414098</t>
  </si>
  <si>
    <t xml:space="preserve">2068174991</t>
  </si>
  <si>
    <t xml:space="preserve">3203735320</t>
  </si>
  <si>
    <t xml:space="preserve">5874412765</t>
  </si>
  <si>
    <t xml:space="preserve">717966359</t>
  </si>
  <si>
    <t xml:space="preserve">736642856</t>
  </si>
  <si>
    <t xml:space="preserve">1112009467</t>
  </si>
  <si>
    <t xml:space="preserve">799281012</t>
  </si>
  <si>
    <t xml:space="preserve">733138520</t>
  </si>
  <si>
    <t xml:space="preserve">733089456</t>
  </si>
  <si>
    <t xml:space="preserve">795837853</t>
  </si>
  <si>
    <t xml:space="preserve">5874413791</t>
  </si>
  <si>
    <t xml:space="preserve">5874413383</t>
  </si>
  <si>
    <t xml:space="preserve">988270024</t>
  </si>
  <si>
    <t xml:space="preserve">1953741241</t>
  </si>
  <si>
    <t xml:space="preserve">5874414255</t>
  </si>
  <si>
    <t xml:space="preserve">3860925090</t>
  </si>
  <si>
    <t xml:space="preserve">1331301725</t>
  </si>
  <si>
    <t xml:space="preserve">2006242197</t>
  </si>
  <si>
    <t xml:space="preserve">761220360</t>
  </si>
  <si>
    <t xml:space="preserve">1667497182</t>
  </si>
  <si>
    <t xml:space="preserve">3327836133</t>
  </si>
  <si>
    <t xml:space="preserve">5874414198</t>
  </si>
  <si>
    <t xml:space="preserve">3546020533</t>
  </si>
  <si>
    <t xml:space="preserve">750434859</t>
  </si>
  <si>
    <t xml:space="preserve">799278497</t>
  </si>
  <si>
    <t xml:space="preserve">5874413633</t>
  </si>
  <si>
    <t xml:space="preserve">5874412812</t>
  </si>
  <si>
    <t xml:space="preserve">5874414100</t>
  </si>
  <si>
    <t xml:space="preserve">732778191</t>
  </si>
  <si>
    <t xml:space="preserve">5874413666</t>
  </si>
  <si>
    <t xml:space="preserve">781993662</t>
  </si>
  <si>
    <t xml:space="preserve">3365283329</t>
  </si>
  <si>
    <t xml:space="preserve">1436012120</t>
  </si>
  <si>
    <t xml:space="preserve">742555455</t>
  </si>
  <si>
    <t xml:space="preserve">5874414205</t>
  </si>
  <si>
    <t xml:space="preserve">Lacoste L.12.12 Blanc Eau De Toillete 10</t>
  </si>
  <si>
    <t xml:space="preserve">744336479</t>
  </si>
  <si>
    <t xml:space="preserve">715766545</t>
  </si>
  <si>
    <t xml:space="preserve">1722511437</t>
  </si>
  <si>
    <t xml:space="preserve">5874412701</t>
  </si>
  <si>
    <t xml:space="preserve">3757058466</t>
  </si>
  <si>
    <t xml:space="preserve">1179641863</t>
  </si>
  <si>
    <t xml:space="preserve">717739826</t>
  </si>
  <si>
    <t xml:space="preserve">5874413481</t>
  </si>
  <si>
    <t xml:space="preserve">5874414273</t>
  </si>
  <si>
    <t xml:space="preserve">5874412811</t>
  </si>
  <si>
    <t xml:space="preserve">5874414236</t>
  </si>
  <si>
    <t xml:space="preserve">718421993</t>
  </si>
  <si>
    <t xml:space="preserve">5874414131</t>
  </si>
  <si>
    <t xml:space="preserve">5874413553</t>
  </si>
  <si>
    <t xml:space="preserve">5874413692</t>
  </si>
  <si>
    <t xml:space="preserve">4113276602</t>
  </si>
  <si>
    <t xml:space="preserve">5874412732</t>
  </si>
  <si>
    <t xml:space="preserve">744359337</t>
  </si>
  <si>
    <t xml:space="preserve">5874412897</t>
  </si>
  <si>
    <t xml:space="preserve">743756047</t>
  </si>
  <si>
    <t xml:space="preserve">5874413664</t>
  </si>
  <si>
    <t xml:space="preserve">2927421265</t>
  </si>
  <si>
    <t xml:space="preserve">3494559116</t>
  </si>
  <si>
    <t xml:space="preserve">5874414113</t>
  </si>
  <si>
    <t xml:space="preserve">5874414097</t>
  </si>
  <si>
    <t xml:space="preserve">734661007</t>
  </si>
  <si>
    <t xml:space="preserve">3204356377</t>
  </si>
  <si>
    <t xml:space="preserve">5874414164</t>
  </si>
  <si>
    <t xml:space="preserve">765295359</t>
  </si>
  <si>
    <t xml:space="preserve">5874414190</t>
  </si>
  <si>
    <t xml:space="preserve">732771052</t>
  </si>
  <si>
    <t xml:space="preserve">3500701737</t>
  </si>
  <si>
    <t xml:space="preserve">5874412854</t>
  </si>
  <si>
    <t xml:space="preserve">690604048</t>
  </si>
  <si>
    <t xml:space="preserve">5874413289</t>
  </si>
  <si>
    <t xml:space="preserve">5874413382</t>
  </si>
  <si>
    <t xml:space="preserve">981186696</t>
  </si>
  <si>
    <t xml:space="preserve">5874414253</t>
  </si>
  <si>
    <t xml:space="preserve">1179645244</t>
  </si>
  <si>
    <t xml:space="preserve">795792932</t>
  </si>
  <si>
    <t xml:space="preserve">2039558626</t>
  </si>
  <si>
    <t xml:space="preserve">1436812534</t>
  </si>
  <si>
    <t xml:space="preserve">5874413930</t>
  </si>
  <si>
    <t xml:space="preserve">3274156695</t>
  </si>
  <si>
    <t xml:space="preserve">5874413417</t>
  </si>
  <si>
    <t xml:space="preserve">5874414149</t>
  </si>
  <si>
    <t xml:space="preserve">5874414252</t>
  </si>
  <si>
    <t xml:space="preserve">741326803</t>
  </si>
  <si>
    <t xml:space="preserve">2039628669</t>
  </si>
  <si>
    <t xml:space="preserve">1882476160</t>
  </si>
  <si>
    <t xml:space="preserve">5874412675</t>
  </si>
  <si>
    <t xml:space="preserve">989900661</t>
  </si>
  <si>
    <t xml:space="preserve">5874414258</t>
  </si>
  <si>
    <t xml:space="preserve">709179604</t>
  </si>
  <si>
    <t xml:space="preserve">5874413665</t>
  </si>
  <si>
    <t xml:space="preserve">5874412956</t>
  </si>
  <si>
    <t xml:space="preserve">751955303</t>
  </si>
  <si>
    <t xml:space="preserve">892446231</t>
  </si>
  <si>
    <t xml:space="preserve">772117156</t>
  </si>
  <si>
    <t xml:space="preserve">1589069468</t>
  </si>
  <si>
    <t xml:space="preserve">1202699507</t>
  </si>
  <si>
    <t xml:space="preserve">1882560393</t>
  </si>
  <si>
    <t xml:space="preserve">717951148</t>
  </si>
  <si>
    <t xml:space="preserve">717947838</t>
  </si>
  <si>
    <t xml:space="preserve">707600591</t>
  </si>
  <si>
    <t xml:space="preserve">5874413434</t>
  </si>
  <si>
    <t xml:space="preserve">Giorgio Beverly Hills ( Tradicional ) 90</t>
  </si>
  <si>
    <t xml:space="preserve">697383938</t>
  </si>
  <si>
    <t xml:space="preserve">5874414284</t>
  </si>
  <si>
    <t xml:space="preserve">5874414204</t>
  </si>
  <si>
    <t xml:space="preserve">5874414235</t>
  </si>
  <si>
    <t xml:space="preserve">1836006726</t>
  </si>
  <si>
    <t xml:space="preserve">5874414132</t>
  </si>
  <si>
    <t xml:space="preserve">739520586</t>
  </si>
  <si>
    <t xml:space="preserve">5874413999</t>
  </si>
  <si>
    <t xml:space="preserve">3505128701</t>
  </si>
  <si>
    <t xml:space="preserve">5874414234</t>
  </si>
  <si>
    <t xml:space="preserve">5874414264</t>
  </si>
  <si>
    <t xml:space="preserve">783342045</t>
  </si>
  <si>
    <t xml:space="preserve">5874413440</t>
  </si>
  <si>
    <t xml:space="preserve">753481477</t>
  </si>
  <si>
    <t xml:space="preserve">2865398536</t>
  </si>
  <si>
    <t xml:space="preserve">1517881026</t>
  </si>
  <si>
    <t xml:space="preserve">3925077434</t>
  </si>
  <si>
    <t xml:space="preserve">1432946716</t>
  </si>
  <si>
    <t xml:space="preserve">714973446</t>
  </si>
  <si>
    <t xml:space="preserve">5874413439</t>
  </si>
  <si>
    <t xml:space="preserve">5874414161</t>
  </si>
  <si>
    <t xml:space="preserve">5874414005</t>
  </si>
  <si>
    <t xml:space="preserve">739534795</t>
  </si>
  <si>
    <t xml:space="preserve">5874414150</t>
  </si>
  <si>
    <t xml:space="preserve">5874412809</t>
  </si>
  <si>
    <t xml:space="preserve">5874413672</t>
  </si>
  <si>
    <t xml:space="preserve">2861485673</t>
  </si>
  <si>
    <t xml:space="preserve">2868072730</t>
  </si>
  <si>
    <t xml:space="preserve">4223509314</t>
  </si>
  <si>
    <t xml:space="preserve">3388328164</t>
  </si>
  <si>
    <t xml:space="preserve">5874413149</t>
  </si>
  <si>
    <t xml:space="preserve">1177140418</t>
  </si>
  <si>
    <t xml:space="preserve">1902408214</t>
  </si>
  <si>
    <t xml:space="preserve">5874414147</t>
  </si>
  <si>
    <t xml:space="preserve">5874414050</t>
  </si>
  <si>
    <t xml:space="preserve">4102392920</t>
  </si>
  <si>
    <t xml:space="preserve">1659838034</t>
  </si>
  <si>
    <t xml:space="preserve">782000598</t>
  </si>
  <si>
    <t xml:space="preserve">Jimmy Choo I Want Choo Edp 100ml | Origi</t>
  </si>
  <si>
    <t xml:space="preserve">1909796014</t>
  </si>
  <si>
    <t xml:space="preserve">5874413998</t>
  </si>
  <si>
    <t xml:space="preserve">1479408819</t>
  </si>
  <si>
    <t xml:space="preserve">4130784052</t>
  </si>
  <si>
    <t xml:space="preserve">1112015995</t>
  </si>
  <si>
    <t xml:space="preserve">5874414262</t>
  </si>
  <si>
    <t xml:space="preserve">5874413124</t>
  </si>
  <si>
    <t xml:space="preserve">1478199667</t>
  </si>
  <si>
    <t xml:space="preserve">960364844</t>
  </si>
  <si>
    <t xml:space="preserve">1896840631</t>
  </si>
  <si>
    <t xml:space="preserve">1874407760</t>
  </si>
  <si>
    <t xml:space="preserve">5874414001</t>
  </si>
  <si>
    <t xml:space="preserve">5874412622</t>
  </si>
  <si>
    <t xml:space="preserve">5874412601</t>
  </si>
  <si>
    <t xml:space="preserve">5874413492</t>
  </si>
  <si>
    <t xml:space="preserve">1813279517</t>
  </si>
  <si>
    <t xml:space="preserve">1242459215</t>
  </si>
  <si>
    <t xml:space="preserve">763368328</t>
  </si>
  <si>
    <t xml:space="preserve">5874413832</t>
  </si>
  <si>
    <t xml:space="preserve">3394996759</t>
  </si>
  <si>
    <t xml:space="preserve">5874412647</t>
  </si>
  <si>
    <t xml:space="preserve">5874412625</t>
  </si>
  <si>
    <t xml:space="preserve">744337216</t>
  </si>
  <si>
    <t xml:space="preserve">717372876</t>
  </si>
  <si>
    <t xml:space="preserve">5874414332</t>
  </si>
  <si>
    <t xml:space="preserve">2927378476</t>
  </si>
  <si>
    <t xml:space="preserve">5874412624</t>
  </si>
  <si>
    <t xml:space="preserve">5874412644</t>
  </si>
  <si>
    <t xml:space="preserve">1266500188</t>
  </si>
  <si>
    <t xml:space="preserve">732765766</t>
  </si>
  <si>
    <t xml:space="preserve">5874414143</t>
  </si>
  <si>
    <t xml:space="preserve">717374753</t>
  </si>
  <si>
    <t xml:space="preserve">5874413035</t>
  </si>
  <si>
    <t xml:space="preserve">5874413687</t>
  </si>
  <si>
    <t xml:space="preserve">5874414363</t>
  </si>
  <si>
    <t xml:space="preserve">5874414162</t>
  </si>
  <si>
    <t xml:space="preserve">759000816</t>
  </si>
  <si>
    <t xml:space="preserve">3243634959</t>
  </si>
  <si>
    <t xml:space="preserve">5874414186</t>
  </si>
  <si>
    <t xml:space="preserve">742565655</t>
  </si>
  <si>
    <t xml:space="preserve">5874413435</t>
  </si>
  <si>
    <t xml:space="preserve">5874413288</t>
  </si>
  <si>
    <t xml:space="preserve">5874414187</t>
  </si>
  <si>
    <t xml:space="preserve">841887333</t>
  </si>
  <si>
    <t xml:space="preserve">5874414195</t>
  </si>
  <si>
    <t xml:space="preserve">5874413814</t>
  </si>
  <si>
    <t xml:space="preserve">769736987</t>
  </si>
  <si>
    <t xml:space="preserve">763150750</t>
  </si>
  <si>
    <t xml:space="preserve">5874413482</t>
  </si>
  <si>
    <t xml:space="preserve">Udv For Men 100ml Masculino | Original +</t>
  </si>
  <si>
    <t xml:space="preserve">1180386461</t>
  </si>
  <si>
    <t xml:space="preserve">Giorgio Beverly Hills 90ml Feminino | Or</t>
  </si>
  <si>
    <t xml:space="preserve">4094194200</t>
  </si>
  <si>
    <t xml:space="preserve">5874413694</t>
  </si>
  <si>
    <t xml:space="preserve">5874412673</t>
  </si>
  <si>
    <t xml:space="preserve">2927376969</t>
  </si>
  <si>
    <t xml:space="preserve">Laguna Salvador Dalí 100ml Feminino | Or</t>
  </si>
  <si>
    <t xml:space="preserve">757490880</t>
  </si>
  <si>
    <t xml:space="preserve">5874414189</t>
  </si>
  <si>
    <t xml:space="preserve">3767756920</t>
  </si>
  <si>
    <t xml:space="preserve">5874414165</t>
  </si>
  <si>
    <t xml:space="preserve">5874413689</t>
  </si>
  <si>
    <t xml:space="preserve">2197474366</t>
  </si>
  <si>
    <t xml:space="preserve">5874414260</t>
  </si>
  <si>
    <t xml:space="preserve">776252906</t>
  </si>
  <si>
    <t xml:space="preserve">5874413714</t>
  </si>
  <si>
    <t xml:space="preserve">732766149</t>
  </si>
  <si>
    <t xml:space="preserve">2629291247</t>
  </si>
  <si>
    <t xml:space="preserve">5874413545</t>
  </si>
  <si>
    <t xml:space="preserve">Issey Miyake L'eau D'issey Pour Homme Ea</t>
  </si>
  <si>
    <t xml:space="preserve">717951795</t>
  </si>
  <si>
    <t xml:space="preserve">5874413625</t>
  </si>
  <si>
    <t xml:space="preserve">1360166514</t>
  </si>
  <si>
    <t xml:space="preserve">5874413472</t>
  </si>
  <si>
    <t xml:space="preserve">1695953571</t>
  </si>
  <si>
    <t xml:space="preserve">5874413860</t>
  </si>
  <si>
    <t xml:space="preserve">3761425048</t>
  </si>
  <si>
    <t xml:space="preserve">1617537983</t>
  </si>
  <si>
    <t xml:space="preserve">1838264779</t>
  </si>
  <si>
    <t xml:space="preserve">761212197</t>
  </si>
  <si>
    <t xml:space="preserve">736299392</t>
  </si>
  <si>
    <t xml:space="preserve">759002576</t>
  </si>
  <si>
    <t xml:space="preserve">3327968757</t>
  </si>
  <si>
    <t xml:space="preserve">1432927273</t>
  </si>
  <si>
    <t xml:space="preserve">1484360062</t>
  </si>
  <si>
    <t xml:space="preserve">2660759775</t>
  </si>
  <si>
    <t xml:space="preserve">1299814595</t>
  </si>
  <si>
    <t xml:space="preserve">1444366952</t>
  </si>
  <si>
    <t xml:space="preserve">4437115766</t>
  </si>
  <si>
    <t xml:space="preserve">2604327764</t>
  </si>
  <si>
    <t xml:space="preserve">739549522</t>
  </si>
  <si>
    <t xml:space="preserve">5874412677</t>
  </si>
  <si>
    <t xml:space="preserve">5874414160</t>
  </si>
  <si>
    <t xml:space="preserve">5874413588</t>
  </si>
  <si>
    <t xml:space="preserve">Cristiano Ronaldo Origins Eau De Toilett</t>
  </si>
  <si>
    <t xml:space="preserve">5874413416</t>
  </si>
  <si>
    <t xml:space="preserve">2860730406</t>
  </si>
  <si>
    <t xml:space="preserve">5874414002</t>
  </si>
  <si>
    <t xml:space="preserve">5874413634</t>
  </si>
  <si>
    <t xml:space="preserve">5874413442</t>
  </si>
  <si>
    <t xml:space="preserve">5874412822</t>
  </si>
  <si>
    <t xml:space="preserve">773819150</t>
  </si>
  <si>
    <t xml:space="preserve">Quartz Pour Femme Eau De Parfum 100ml Fe</t>
  </si>
  <si>
    <t xml:space="preserve">5874414254</t>
  </si>
  <si>
    <t xml:space="preserve">5874413428</t>
  </si>
  <si>
    <t xml:space="preserve">743753590</t>
  </si>
  <si>
    <t xml:space="preserve">5874414136</t>
  </si>
  <si>
    <t xml:space="preserve">1484399062</t>
  </si>
  <si>
    <t xml:space="preserve">5874414107</t>
  </si>
  <si>
    <t xml:space="preserve">5874414103</t>
  </si>
  <si>
    <t xml:space="preserve">758996318</t>
  </si>
  <si>
    <t xml:space="preserve">5874414116</t>
  </si>
  <si>
    <t xml:space="preserve">1436786065</t>
  </si>
  <si>
    <t xml:space="preserve">5874412762</t>
  </si>
  <si>
    <t xml:space="preserve">799285986</t>
  </si>
  <si>
    <t xml:space="preserve">1838253620</t>
  </si>
  <si>
    <t xml:space="preserve">5874414119</t>
  </si>
  <si>
    <t xml:space="preserve">3270197247</t>
  </si>
  <si>
    <t xml:space="preserve">3559839109</t>
  </si>
  <si>
    <t xml:space="preserve">3899696026</t>
  </si>
  <si>
    <t xml:space="preserve">2966102764</t>
  </si>
  <si>
    <t xml:space="preserve">3396582841</t>
  </si>
  <si>
    <t xml:space="preserve">5874414095</t>
  </si>
  <si>
    <t xml:space="preserve">1874414246</t>
  </si>
  <si>
    <t xml:space="preserve">John Varvatos Artisan Pure 125ml Masculi</t>
  </si>
  <si>
    <t xml:space="preserve">3266008444</t>
  </si>
  <si>
    <t xml:space="preserve">3392640517</t>
  </si>
  <si>
    <t xml:space="preserve">5874414134</t>
  </si>
  <si>
    <t xml:space="preserve">5874414222</t>
  </si>
  <si>
    <t xml:space="preserve">920701904</t>
  </si>
  <si>
    <t xml:space="preserve">770080774</t>
  </si>
  <si>
    <t xml:space="preserve">3363417373</t>
  </si>
  <si>
    <t xml:space="preserve">5874414056</t>
  </si>
  <si>
    <t xml:space="preserve">742543508</t>
  </si>
  <si>
    <t xml:space="preserve">2865407846</t>
  </si>
  <si>
    <t xml:space="preserve">709202191</t>
  </si>
  <si>
    <t xml:space="preserve">5874413456</t>
  </si>
  <si>
    <t xml:space="preserve">3860943684</t>
  </si>
  <si>
    <t xml:space="preserve">1455784703</t>
  </si>
  <si>
    <t xml:space="preserve">765141167</t>
  </si>
  <si>
    <t xml:space="preserve">Coach Dreams Eau De Parfum ( Edp ) 90ml </t>
  </si>
  <si>
    <t xml:space="preserve">2698213004</t>
  </si>
  <si>
    <t xml:space="preserve">763134474</t>
  </si>
  <si>
    <t xml:space="preserve">1617562650</t>
  </si>
  <si>
    <t xml:space="preserve">5874413193</t>
  </si>
  <si>
    <t xml:space="preserve">5874413290</t>
  </si>
  <si>
    <t xml:space="preserve">Perfume Eau De Toilette Masculino Issey </t>
  </si>
  <si>
    <t xml:space="preserve">1436829086</t>
  </si>
  <si>
    <t xml:space="preserve">5874413690</t>
  </si>
  <si>
    <t xml:space="preserve">2006306877</t>
  </si>
  <si>
    <t xml:space="preserve">Lacoste Booster ( Tradicional ) 125ml Ma</t>
  </si>
  <si>
    <t xml:space="preserve">779307292</t>
  </si>
  <si>
    <t xml:space="preserve">2647127007</t>
  </si>
  <si>
    <t xml:space="preserve">3546201089</t>
  </si>
  <si>
    <t xml:space="preserve">1068158622</t>
  </si>
  <si>
    <t xml:space="preserve">5874413122</t>
  </si>
  <si>
    <t xml:space="preserve">5874413484</t>
  </si>
  <si>
    <t xml:space="preserve">5874412805</t>
  </si>
  <si>
    <t xml:space="preserve">Cabotine De Grès 100ml Feminino | Origin</t>
  </si>
  <si>
    <t xml:space="preserve">5874413812</t>
  </si>
  <si>
    <t xml:space="preserve">3359379173</t>
  </si>
  <si>
    <t xml:space="preserve">5874413321</t>
  </si>
  <si>
    <t xml:space="preserve">1478224635</t>
  </si>
  <si>
    <t xml:space="preserve">1479436854</t>
  </si>
  <si>
    <t xml:space="preserve">5874413190</t>
  </si>
  <si>
    <t xml:space="preserve">5874414193</t>
  </si>
  <si>
    <t xml:space="preserve">5874414123</t>
  </si>
  <si>
    <t xml:space="preserve">2795731858</t>
  </si>
  <si>
    <t xml:space="preserve">783324002</t>
  </si>
  <si>
    <t xml:space="preserve">3380734249</t>
  </si>
  <si>
    <t xml:space="preserve">1798523696</t>
  </si>
  <si>
    <t xml:space="preserve">1683155917</t>
  </si>
  <si>
    <t xml:space="preserve">801771605</t>
  </si>
  <si>
    <t xml:space="preserve">JCHOOFEVER40ML</t>
  </si>
  <si>
    <t xml:space="preserve">5874414135</t>
  </si>
  <si>
    <t xml:space="preserve">Boucheron Quatre Eau De Parfum 100ml Fem</t>
  </si>
  <si>
    <t xml:space="preserve">773799280</t>
  </si>
  <si>
    <t xml:space="preserve">5874413418</t>
  </si>
  <si>
    <t xml:space="preserve">Jimmy Choo I Want Choo With Love Eau De </t>
  </si>
  <si>
    <t xml:space="preserve">5874412626</t>
  </si>
  <si>
    <t xml:space="preserve">757602586</t>
  </si>
  <si>
    <t xml:space="preserve">1860917041</t>
  </si>
  <si>
    <t xml:space="preserve">3768004754</t>
  </si>
  <si>
    <t xml:space="preserve">1177183850</t>
  </si>
  <si>
    <t xml:space="preserve">988383323</t>
  </si>
  <si>
    <t xml:space="preserve">1788770487</t>
  </si>
  <si>
    <t xml:space="preserve">750412593</t>
  </si>
  <si>
    <t xml:space="preserve">1279222965</t>
  </si>
  <si>
    <t xml:space="preserve">3729934430</t>
  </si>
  <si>
    <t xml:space="preserve">5874413914</t>
  </si>
  <si>
    <t xml:space="preserve">Women'secret Intimate Fem Edp 100ml</t>
  </si>
  <si>
    <t xml:space="preserve">5874412570</t>
  </si>
  <si>
    <t xml:space="preserve">732756445</t>
  </si>
  <si>
    <t xml:space="preserve">Jimmy Choo Edp 100ml Feminino | Original</t>
  </si>
  <si>
    <t xml:space="preserve">Lapidus Pour Homme ( Tradicional ) 100ml</t>
  </si>
  <si>
    <t xml:space="preserve">1405832200</t>
  </si>
  <si>
    <t xml:space="preserve">5874412676</t>
  </si>
  <si>
    <t xml:space="preserve">1478127055</t>
  </si>
  <si>
    <t xml:space="preserve">5874413571</t>
  </si>
  <si>
    <t xml:space="preserve">5874413849</t>
  </si>
  <si>
    <t xml:space="preserve">738502972</t>
  </si>
  <si>
    <t xml:space="preserve">5874414306</t>
  </si>
  <si>
    <t xml:space="preserve">5874413048</t>
  </si>
  <si>
    <t xml:space="preserve">5874413569</t>
  </si>
  <si>
    <t xml:space="preserve">3360661651</t>
  </si>
  <si>
    <t xml:space="preserve">3525069512</t>
  </si>
  <si>
    <t xml:space="preserve">3204298234</t>
  </si>
  <si>
    <t xml:space="preserve">5874414203</t>
  </si>
  <si>
    <t xml:space="preserve">1245581511</t>
  </si>
  <si>
    <t xml:space="preserve">5874412847</t>
  </si>
  <si>
    <t xml:space="preserve">3266127703</t>
  </si>
  <si>
    <t xml:space="preserve">718079796</t>
  </si>
  <si>
    <t xml:space="preserve">709232024</t>
  </si>
  <si>
    <t xml:space="preserve">5874413596</t>
  </si>
  <si>
    <t xml:space="preserve">2629306584</t>
  </si>
  <si>
    <t xml:space="preserve">PRPUREXS50MLFEM</t>
  </si>
  <si>
    <t xml:space="preserve">Lacoste Booster Eau De Toilette 125ml Ma</t>
  </si>
  <si>
    <t xml:space="preserve">3499611326</t>
  </si>
  <si>
    <t xml:space="preserve">3055669384</t>
  </si>
  <si>
    <t xml:space="preserve">5874412966</t>
  </si>
  <si>
    <t xml:space="preserve">5874413455</t>
  </si>
  <si>
    <t xml:space="preserve">5874413626</t>
  </si>
  <si>
    <t xml:space="preserve">1245571949</t>
  </si>
  <si>
    <t xml:space="preserve">5874414163</t>
  </si>
  <si>
    <t xml:space="preserve">5874414102</t>
  </si>
  <si>
    <t xml:space="preserve">3661792374</t>
  </si>
  <si>
    <t xml:space="preserve">2021455109</t>
  </si>
  <si>
    <t xml:space="preserve">5874413688</t>
  </si>
  <si>
    <t xml:space="preserve">5874413581</t>
  </si>
  <si>
    <t xml:space="preserve">832013233</t>
  </si>
  <si>
    <t xml:space="preserve">5874414104</t>
  </si>
  <si>
    <t xml:space="preserve">5874412585</t>
  </si>
  <si>
    <t xml:space="preserve">1242498199</t>
  </si>
  <si>
    <t xml:space="preserve">5874414073</t>
  </si>
  <si>
    <t xml:space="preserve">3194089977</t>
  </si>
  <si>
    <t xml:space="preserve">4344602504</t>
  </si>
  <si>
    <t xml:space="preserve">5874414115</t>
  </si>
  <si>
    <t xml:space="preserve">1667482255</t>
  </si>
  <si>
    <t xml:space="preserve">1836017842</t>
  </si>
  <si>
    <t xml:space="preserve">1977055877</t>
  </si>
  <si>
    <t xml:space="preserve">5874413436</t>
  </si>
  <si>
    <t xml:space="preserve">5874412910</t>
  </si>
  <si>
    <t xml:space="preserve">3285550325</t>
  </si>
  <si>
    <t xml:space="preserve">5874414287</t>
  </si>
  <si>
    <t xml:space="preserve">1436773464</t>
  </si>
  <si>
    <t xml:space="preserve">5874412960</t>
  </si>
  <si>
    <t xml:space="preserve">3860898808</t>
  </si>
  <si>
    <t xml:space="preserve">761346669</t>
  </si>
  <si>
    <t xml:space="preserve">4437170402</t>
  </si>
  <si>
    <t xml:space="preserve">5874414209</t>
  </si>
  <si>
    <t xml:space="preserve">5874413191</t>
  </si>
  <si>
    <t xml:space="preserve">5874414188</t>
  </si>
  <si>
    <t xml:space="preserve">3741166370</t>
  </si>
  <si>
    <t xml:space="preserve">5874412589</t>
  </si>
  <si>
    <t xml:space="preserve">5874413130</t>
  </si>
  <si>
    <t xml:space="preserve">3593057005</t>
  </si>
  <si>
    <t xml:space="preserve">5874412967</t>
  </si>
  <si>
    <t xml:space="preserve">714970601</t>
  </si>
  <si>
    <t xml:space="preserve">5874414288</t>
  </si>
  <si>
    <t xml:space="preserve">5874412952</t>
  </si>
  <si>
    <t xml:space="preserve">5874414109</t>
  </si>
  <si>
    <t xml:space="preserve">Perfume Nysos Parfum Le Neroli Eau De Pa</t>
  </si>
  <si>
    <t xml:space="preserve">Nysos Parfum Le Oud Edp 80ml Para Sem Gê</t>
  </si>
  <si>
    <t xml:space="preserve">1027974522</t>
  </si>
  <si>
    <t xml:space="preserve">5874413133</t>
  </si>
  <si>
    <t xml:space="preserve">5874413719</t>
  </si>
  <si>
    <t xml:space="preserve">5874412706</t>
  </si>
  <si>
    <t xml:space="preserve">5874414120</t>
  </si>
  <si>
    <t xml:space="preserve">3141096290</t>
  </si>
  <si>
    <t xml:space="preserve">5874413584</t>
  </si>
  <si>
    <t xml:space="preserve">2197423152</t>
  </si>
  <si>
    <t xml:space="preserve">5874413430</t>
  </si>
  <si>
    <t xml:space="preserve">5874413668</t>
  </si>
  <si>
    <t xml:space="preserve">5874414053</t>
  </si>
  <si>
    <t xml:space="preserve">3437049740</t>
  </si>
  <si>
    <t xml:space="preserve">5874412983</t>
  </si>
  <si>
    <t xml:space="preserve">3292656019</t>
  </si>
  <si>
    <t xml:space="preserve">5874414072</t>
  </si>
  <si>
    <t xml:space="preserve">3266053371</t>
  </si>
  <si>
    <t xml:space="preserve">5874413454</t>
  </si>
  <si>
    <t xml:space="preserve">Marina De Bourbon Rouge Royal Eau De Par</t>
  </si>
  <si>
    <t xml:space="preserve">5874413037</t>
  </si>
  <si>
    <t xml:space="preserve">5874413441</t>
  </si>
  <si>
    <t xml:space="preserve">3381204944</t>
  </si>
  <si>
    <t xml:space="preserve">3506349819</t>
  </si>
  <si>
    <t xml:space="preserve">5874412645</t>
  </si>
  <si>
    <t xml:space="preserve">5874412898</t>
  </si>
  <si>
    <t xml:space="preserve">1311185519</t>
  </si>
  <si>
    <t xml:space="preserve">Clinique Happy Eau De Parfum 100ml Femin</t>
  </si>
  <si>
    <t xml:space="preserve">3786179506</t>
  </si>
  <si>
    <t xml:space="preserve">5874413828</t>
  </si>
  <si>
    <t xml:space="preserve">5874414055</t>
  </si>
  <si>
    <t xml:space="preserve">Coach Dreams Moonlight Edp 60ml Feminino</t>
  </si>
  <si>
    <t xml:space="preserve">5874414125</t>
  </si>
  <si>
    <t xml:space="preserve">777479915</t>
  </si>
  <si>
    <t xml:space="preserve">2868020694</t>
  </si>
  <si>
    <t xml:space="preserve">3525186724</t>
  </si>
  <si>
    <t xml:space="preserve">5874413722</t>
  </si>
  <si>
    <t xml:space="preserve">2662114285</t>
  </si>
  <si>
    <t xml:space="preserve">5874413670</t>
  </si>
  <si>
    <t xml:space="preserve">5874412572</t>
  </si>
  <si>
    <t xml:space="preserve">5874413891</t>
  </si>
  <si>
    <t xml:space="preserve">3749377714</t>
  </si>
  <si>
    <t xml:space="preserve">5874414285</t>
  </si>
  <si>
    <t xml:space="preserve">5874414108</t>
  </si>
  <si>
    <t xml:space="preserve">2197487577</t>
  </si>
  <si>
    <t xml:space="preserve">5874412586</t>
  </si>
  <si>
    <t xml:space="preserve">2865353255</t>
  </si>
  <si>
    <t xml:space="preserve">5874413284</t>
  </si>
  <si>
    <t xml:space="preserve">3546441541</t>
  </si>
  <si>
    <t xml:space="preserve">5874414266</t>
  </si>
  <si>
    <t xml:space="preserve">Jimmy Choo I Want Choo Le Parfum 100ml F</t>
  </si>
  <si>
    <t xml:space="preserve">5874412965</t>
  </si>
  <si>
    <t xml:space="preserve">1177088065</t>
  </si>
  <si>
    <t xml:space="preserve">Flower By Kenzo Edp 100ml Feminino | Ori</t>
  </si>
  <si>
    <t xml:space="preserve">710975525</t>
  </si>
  <si>
    <t xml:space="preserve">5874413727</t>
  </si>
  <si>
    <t xml:space="preserve">5874413479</t>
  </si>
  <si>
    <t xml:space="preserve">Perfume Lacoste Essential Eau De Toilett</t>
  </si>
  <si>
    <t xml:space="preserve">3614052371</t>
  </si>
  <si>
    <t xml:space="preserve">5874414201</t>
  </si>
  <si>
    <t xml:space="preserve">3355794489</t>
  </si>
  <si>
    <t xml:space="preserve">1654000950</t>
  </si>
  <si>
    <t xml:space="preserve">5874413421</t>
  </si>
  <si>
    <t xml:space="preserve">3259690113</t>
  </si>
  <si>
    <t xml:space="preserve">1784023950</t>
  </si>
  <si>
    <t xml:space="preserve">5874413195</t>
  </si>
  <si>
    <t xml:space="preserve">1911135513</t>
  </si>
  <si>
    <t xml:space="preserve">5874413904</t>
  </si>
  <si>
    <t xml:space="preserve">738490988</t>
  </si>
  <si>
    <t xml:space="preserve">1355593390</t>
  </si>
  <si>
    <t xml:space="preserve">713400033</t>
  </si>
  <si>
    <t xml:space="preserve">3164711421</t>
  </si>
  <si>
    <t xml:space="preserve">I Want Choo Forever Eau De Parfum 100ml </t>
  </si>
  <si>
    <t xml:space="preserve">2874001403</t>
  </si>
  <si>
    <t xml:space="preserve">1685393440</t>
  </si>
  <si>
    <t xml:space="preserve">5874412612</t>
  </si>
  <si>
    <t xml:space="preserve">5874413574</t>
  </si>
  <si>
    <t xml:space="preserve">3389874496</t>
  </si>
  <si>
    <t xml:space="preserve">1262605673</t>
  </si>
  <si>
    <t xml:space="preserve">Bvlgari Aqva Pour Homme Eau De Toilette </t>
  </si>
  <si>
    <t xml:space="preserve">5874413036</t>
  </si>
  <si>
    <t xml:space="preserve">3394808437</t>
  </si>
  <si>
    <t xml:space="preserve">5874413894</t>
  </si>
  <si>
    <t xml:space="preserve">1836015314</t>
  </si>
  <si>
    <t xml:space="preserve">3239720085</t>
  </si>
  <si>
    <t xml:space="preserve">5874414101</t>
  </si>
  <si>
    <t xml:space="preserve">751956064</t>
  </si>
  <si>
    <t xml:space="preserve">5874412806</t>
  </si>
  <si>
    <t xml:space="preserve">3366823146</t>
  </si>
  <si>
    <t xml:space="preserve">5874412798</t>
  </si>
  <si>
    <t xml:space="preserve">1016343897</t>
  </si>
  <si>
    <t xml:space="preserve">709527642</t>
  </si>
  <si>
    <t xml:space="preserve">707593977</t>
  </si>
  <si>
    <t xml:space="preserve">2740042269</t>
  </si>
  <si>
    <t xml:space="preserve">3577519716</t>
  </si>
  <si>
    <t xml:space="preserve">5874412672</t>
  </si>
  <si>
    <t xml:space="preserve">3381094034</t>
  </si>
  <si>
    <t xml:space="preserve">5874414261</t>
  </si>
  <si>
    <t xml:space="preserve">5874413824</t>
  </si>
  <si>
    <t xml:space="preserve">1894314259</t>
  </si>
  <si>
    <t xml:space="preserve">3749696730</t>
  </si>
  <si>
    <t xml:space="preserve">3531867352</t>
  </si>
  <si>
    <t xml:space="preserve">5874413567</t>
  </si>
  <si>
    <t xml:space="preserve">1299815731</t>
  </si>
  <si>
    <t xml:space="preserve">5874412566</t>
  </si>
  <si>
    <t xml:space="preserve">5874414259</t>
  </si>
  <si>
    <t xml:space="preserve">3196788535</t>
  </si>
  <si>
    <t xml:space="preserve">5874414170</t>
  </si>
  <si>
    <t xml:space="preserve">4307051680</t>
  </si>
  <si>
    <t xml:space="preserve">Rochas Moustache Eau De Parfum 125ml Mas</t>
  </si>
  <si>
    <t xml:space="preserve">5874413194</t>
  </si>
  <si>
    <t xml:space="preserve">5874414148</t>
  </si>
  <si>
    <t xml:space="preserve">5874412768</t>
  </si>
  <si>
    <t xml:space="preserve">5874413826</t>
  </si>
  <si>
    <t xml:space="preserve">I Want Choo Eau De Parfum ( Edp ) 100ml </t>
  </si>
  <si>
    <t xml:space="preserve">1180407013</t>
  </si>
  <si>
    <t xml:space="preserve">1611268766</t>
  </si>
  <si>
    <t xml:space="preserve">5874413890</t>
  </si>
  <si>
    <t xml:space="preserve">1436807130</t>
  </si>
  <si>
    <t xml:space="preserve">2865244582</t>
  </si>
  <si>
    <t xml:space="preserve">3404003191</t>
  </si>
  <si>
    <t xml:space="preserve">5874413674</t>
  </si>
  <si>
    <t xml:space="preserve">5874413471</t>
  </si>
  <si>
    <t xml:space="preserve">735289319</t>
  </si>
  <si>
    <t xml:space="preserve">5874412619</t>
  </si>
  <si>
    <t xml:space="preserve">3165328113</t>
  </si>
  <si>
    <t xml:space="preserve">3239704789</t>
  </si>
  <si>
    <t xml:space="preserve">JCHOOFEVER100ML</t>
  </si>
  <si>
    <t xml:space="preserve">1276793127</t>
  </si>
  <si>
    <t xml:space="preserve">2177332106</t>
  </si>
  <si>
    <t xml:space="preserve">3164771829</t>
  </si>
  <si>
    <t xml:space="preserve">5874414200</t>
  </si>
  <si>
    <t xml:space="preserve">5874412693</t>
  </si>
  <si>
    <t xml:space="preserve">5874412958</t>
  </si>
  <si>
    <t xml:space="preserve">715761319</t>
  </si>
  <si>
    <t xml:space="preserve">5874412962</t>
  </si>
  <si>
    <t xml:space="preserve">5874413432</t>
  </si>
  <si>
    <t xml:space="preserve">5874414137</t>
  </si>
  <si>
    <t xml:space="preserve">Perfume Bvlgari Omnia Amethyste Edt 50ml</t>
  </si>
  <si>
    <t xml:space="preserve">Coach Wild Rose Eau De Parfum 90ml | Ori</t>
  </si>
  <si>
    <t xml:space="preserve">Coach Dreams Sunset Edp 90ml Para Femini</t>
  </si>
  <si>
    <t xml:space="preserve">5874413580</t>
  </si>
  <si>
    <t xml:space="preserve">Kenzo Homme 110ml Masculino | Original +</t>
  </si>
  <si>
    <t xml:space="preserve">5874413997</t>
  </si>
  <si>
    <t xml:space="preserve">5874412745</t>
  </si>
  <si>
    <t xml:space="preserve">5874412743</t>
  </si>
  <si>
    <t xml:space="preserve">5874412744</t>
  </si>
  <si>
    <t xml:space="preserve">Jimmy Choo Fever Eau De Parfum ( Edp ) 1</t>
  </si>
  <si>
    <t xml:space="preserve">2874176659</t>
  </si>
  <si>
    <t xml:space="preserve">2006339596</t>
  </si>
  <si>
    <t xml:space="preserve">1654170778</t>
  </si>
  <si>
    <t xml:space="preserve">3419505271</t>
  </si>
  <si>
    <t xml:space="preserve">2963189758</t>
  </si>
  <si>
    <t xml:space="preserve">5874413792</t>
  </si>
  <si>
    <t xml:space="preserve">1714575013</t>
  </si>
  <si>
    <t xml:space="preserve">Issey Miyake L'eau D'issey 75ml Masculin</t>
  </si>
  <si>
    <t xml:space="preserve">707622039</t>
  </si>
  <si>
    <t xml:space="preserve">5874414207</t>
  </si>
  <si>
    <t xml:space="preserve">3191107542</t>
  </si>
  <si>
    <t xml:space="preserve">5874414194</t>
  </si>
  <si>
    <t xml:space="preserve">5874413564</t>
  </si>
  <si>
    <t xml:space="preserve">5874414106</t>
  </si>
  <si>
    <t xml:space="preserve">1210116715</t>
  </si>
  <si>
    <t xml:space="preserve">1432934608</t>
  </si>
  <si>
    <t xml:space="preserve">Perfume Marina De Bourbon Monsieur Le Pr</t>
  </si>
  <si>
    <t xml:space="preserve">1016341589</t>
  </si>
  <si>
    <t xml:space="preserve">718075859</t>
  </si>
  <si>
    <t xml:space="preserve">2963609094</t>
  </si>
  <si>
    <t xml:space="preserve">1621356410</t>
  </si>
  <si>
    <t xml:space="preserve">3120871687</t>
  </si>
  <si>
    <t xml:space="preserve">5874412882</t>
  </si>
  <si>
    <t xml:space="preserve">3899913676</t>
  </si>
  <si>
    <t xml:space="preserve">5874414305</t>
  </si>
  <si>
    <t xml:space="preserve">Quatre En Rose 50ml Feminino | Original </t>
  </si>
  <si>
    <t xml:space="preserve">988381764</t>
  </si>
  <si>
    <t xml:space="preserve">5874414139</t>
  </si>
  <si>
    <t xml:space="preserve">5874414196</t>
  </si>
  <si>
    <t xml:space="preserve">5874413004</t>
  </si>
  <si>
    <t xml:space="preserve">5874413494</t>
  </si>
  <si>
    <t xml:space="preserve">5874413470</t>
  </si>
  <si>
    <t xml:space="preserve">709192626</t>
  </si>
  <si>
    <t xml:space="preserve">3193640737</t>
  </si>
  <si>
    <t xml:space="preserve">1651900749</t>
  </si>
  <si>
    <t xml:space="preserve">5874412917</t>
  </si>
  <si>
    <t xml:space="preserve">5874414124</t>
  </si>
  <si>
    <t xml:space="preserve">1242460966</t>
  </si>
  <si>
    <t xml:space="preserve">Udv For Men ( Tradicional ) 100ml Mascul</t>
  </si>
  <si>
    <t xml:space="preserve">Joli Mademoiselle Eau De Parfum ( Edp ) </t>
  </si>
  <si>
    <t xml:space="preserve">Perfume Clinique Happy Edp 100ml Feminin</t>
  </si>
  <si>
    <t xml:space="preserve">3665784276</t>
  </si>
  <si>
    <t xml:space="preserve">776399553</t>
  </si>
  <si>
    <t xml:space="preserve">5874412902</t>
  </si>
  <si>
    <t xml:space="preserve">1115607786</t>
  </si>
  <si>
    <t xml:space="preserve">3411209809</t>
  </si>
  <si>
    <t xml:space="preserve">793114939</t>
  </si>
  <si>
    <t xml:space="preserve">5874414192</t>
  </si>
  <si>
    <t xml:space="preserve">751954496</t>
  </si>
  <si>
    <t xml:space="preserve">1276070568</t>
  </si>
  <si>
    <t xml:space="preserve">3206033821</t>
  </si>
  <si>
    <t xml:space="preserve">691300520</t>
  </si>
  <si>
    <t xml:space="preserve">1654014042</t>
  </si>
  <si>
    <t xml:space="preserve">2807904494</t>
  </si>
  <si>
    <t xml:space="preserve">5874412746</t>
  </si>
  <si>
    <t xml:space="preserve">5874413577</t>
  </si>
  <si>
    <t xml:space="preserve">5874414265</t>
  </si>
  <si>
    <t xml:space="preserve">5874413319</t>
  </si>
  <si>
    <t xml:space="preserve">1059166450</t>
  </si>
  <si>
    <t xml:space="preserve">5874413673</t>
  </si>
  <si>
    <t xml:space="preserve">3264850879</t>
  </si>
  <si>
    <t xml:space="preserve">737703800</t>
  </si>
  <si>
    <t xml:space="preserve">5874413895</t>
  </si>
  <si>
    <t xml:space="preserve">5874414199</t>
  </si>
  <si>
    <t xml:space="preserve">Issey Miyake L'eau D'issey 40ml Masculin</t>
  </si>
  <si>
    <t xml:space="preserve">5874413889</t>
  </si>
  <si>
    <t xml:space="preserve">1262608105</t>
  </si>
  <si>
    <t xml:space="preserve">719784669</t>
  </si>
  <si>
    <t xml:space="preserve">5874412614</t>
  </si>
  <si>
    <t xml:space="preserve">5874413835</t>
  </si>
  <si>
    <t xml:space="preserve">3196530581</t>
  </si>
  <si>
    <t xml:space="preserve">5874413851</t>
  </si>
  <si>
    <t xml:space="preserve">5874414304</t>
  </si>
  <si>
    <t xml:space="preserve">3285520701</t>
  </si>
  <si>
    <t xml:space="preserve">4454822374</t>
  </si>
  <si>
    <t xml:space="preserve">3278475637</t>
  </si>
  <si>
    <t xml:space="preserve">5874412687</t>
  </si>
  <si>
    <t xml:space="preserve">2039656820</t>
  </si>
  <si>
    <t xml:space="preserve">5874413388</t>
  </si>
  <si>
    <t xml:space="preserve">3318815591</t>
  </si>
  <si>
    <t xml:space="preserve">739529881</t>
  </si>
  <si>
    <t xml:space="preserve">5874412936</t>
  </si>
  <si>
    <t xml:space="preserve">1902367954</t>
  </si>
  <si>
    <t xml:space="preserve">1285841187</t>
  </si>
  <si>
    <t xml:space="preserve">3363431877</t>
  </si>
  <si>
    <t xml:space="preserve">5874413210</t>
  </si>
  <si>
    <t xml:space="preserve">5874412797</t>
  </si>
  <si>
    <t xml:space="preserve">5874413841</t>
  </si>
  <si>
    <t xml:space="preserve">Pepe Jeans Eau De Parfum 80ml Feminino |</t>
  </si>
  <si>
    <t xml:space="preserve">5874413837</t>
  </si>
  <si>
    <t xml:space="preserve">3137256648</t>
  </si>
  <si>
    <t xml:space="preserve">5874413847</t>
  </si>
  <si>
    <t xml:space="preserve">1778286117</t>
  </si>
  <si>
    <t xml:space="preserve">2963533061</t>
  </si>
  <si>
    <t xml:space="preserve">1284502118</t>
  </si>
  <si>
    <t xml:space="preserve">3112006924</t>
  </si>
  <si>
    <t xml:space="preserve">1895388400</t>
  </si>
  <si>
    <t xml:space="preserve">2963484227</t>
  </si>
  <si>
    <t xml:space="preserve">3208362465</t>
  </si>
  <si>
    <t xml:space="preserve">5874412887</t>
  </si>
  <si>
    <t xml:space="preserve">1054426565</t>
  </si>
  <si>
    <t xml:space="preserve">758189583</t>
  </si>
  <si>
    <t xml:space="preserve">1992347066</t>
  </si>
  <si>
    <t xml:space="preserve">Joli Joli Parfums Joli Mademoiselle Edp </t>
  </si>
  <si>
    <t xml:space="preserve">1650857366</t>
  </si>
  <si>
    <t xml:space="preserve">5874412688</t>
  </si>
  <si>
    <t xml:space="preserve">5874412843</t>
  </si>
  <si>
    <t xml:space="preserve">3389615524</t>
  </si>
  <si>
    <t xml:space="preserve">5874412567</t>
  </si>
  <si>
    <t xml:space="preserve">5874412961</t>
  </si>
  <si>
    <t xml:space="preserve">2003104617</t>
  </si>
  <si>
    <t xml:space="preserve">3332406329</t>
  </si>
  <si>
    <t xml:space="preserve">4040426142</t>
  </si>
  <si>
    <t xml:space="preserve">Perfume Victorio &amp; Lucchino N°17 Flor Se</t>
  </si>
  <si>
    <t xml:space="preserve">1933466770</t>
  </si>
  <si>
    <t xml:space="preserve">2794651727</t>
  </si>
  <si>
    <t xml:space="preserve">3306502667</t>
  </si>
  <si>
    <t xml:space="preserve">4179162954</t>
  </si>
  <si>
    <t xml:space="preserve">Berdoues 1902 Thé Vert 245ml Unissex</t>
  </si>
  <si>
    <t xml:space="preserve">1180416930</t>
  </si>
  <si>
    <t xml:space="preserve">3206234677</t>
  </si>
  <si>
    <t xml:space="preserve">3206215378</t>
  </si>
  <si>
    <t xml:space="preserve">Creme Corporal Perfumado Hidratante De N</t>
  </si>
  <si>
    <t xml:space="preserve">Perfume Masculino Yves Saint Laurent  My</t>
  </si>
  <si>
    <t xml:space="preserve">Ban Desodorante Antitranspirante Roll-on</t>
  </si>
  <si>
    <t xml:space="preserve">Eau De Parfum Feminino Zen Shiseido 100m</t>
  </si>
  <si>
    <t xml:space="preserve">Desodorante Ban Antitranspirante Satin</t>
  </si>
  <si>
    <t xml:space="preserve">Myslf Yves Saint Laurent Perfume Masc - </t>
  </si>
  <si>
    <t xml:space="preserve">Ban Desodorante Roll On Antitranspirante</t>
  </si>
  <si>
    <t xml:space="preserve">Lacoste Pour Femme Eau De Parfum 100ml</t>
  </si>
  <si>
    <t xml:space="preserve">Thierry Mugler Alien Eau De Parfum 90ml</t>
  </si>
  <si>
    <t xml:space="preserve">Ban Desodorante Sólido 73g - Unscented F</t>
  </si>
  <si>
    <t xml:space="preserve">Desodorante Antitranspirante Sólido Ban </t>
  </si>
  <si>
    <t xml:space="preserve">Lacoste Essential Edt Masculino 125ml Vo</t>
  </si>
  <si>
    <t xml:space="preserve">Victorio &amp; Lucchino Iris Luminoso Femini</t>
  </si>
  <si>
    <t xml:space="preserve">Edição Shakira Dance Red Midnight 80ml</t>
  </si>
  <si>
    <t xml:space="preserve">Carolina Herrera  Ch  Men Eau De Toilett</t>
  </si>
  <si>
    <t xml:space="preserve">Chanson D'eau Lemon Edt - 100ml</t>
  </si>
  <si>
    <t xml:space="preserve">Revlon Colorstay Fps15 300 Golden Beige </t>
  </si>
  <si>
    <t xml:space="preserve">Rabanne Invictus Eau De Toilette 50 Ml -</t>
  </si>
  <si>
    <t xml:space="preserve">Perfume Lacoste L.12.12 Blanc Edt Perfum</t>
  </si>
  <si>
    <t xml:space="preserve">Thierry Mugler Angel Stellar Eau De Parf</t>
  </si>
  <si>
    <t xml:space="preserve">Ban Desodorante Roll-on 103ml - Unscente</t>
  </si>
  <si>
    <t xml:space="preserve">Jimmy Choo I Want Choo Eau De Parfum 40m</t>
  </si>
  <si>
    <t xml:space="preserve">Ban Desodorante Antitranspirante Sólido </t>
  </si>
  <si>
    <t xml:space="preserve">Revlon Colorstay Colorstay Makeup Combin</t>
  </si>
  <si>
    <t xml:space="preserve">Lacoste Original Pour Femme Eau De Parfu</t>
  </si>
  <si>
    <t xml:space="preserve">Desodorante Antitranspirante Ban Sweet S</t>
  </si>
  <si>
    <t xml:space="preserve">Jimmy Choo I Want Choo Le Parfum Parfum </t>
  </si>
  <si>
    <t xml:space="preserve">Lacoste Booster Edt Masculino 125ml</t>
  </si>
  <si>
    <t xml:space="preserve">Jimmy Choo Want Choo Edp Parfum 40ml Par</t>
  </si>
  <si>
    <t xml:space="preserve">Desodorante Roll On Ban Regular Antitran</t>
  </si>
  <si>
    <t xml:space="preserve">Revlon Base Colorstay 220 Natural Beige </t>
  </si>
  <si>
    <t xml:space="preserve">adidas Uefa11 Goal Eau De Toilette - Per</t>
  </si>
  <si>
    <t xml:space="preserve">Dance Midnight Shakira Eau De Toilette -</t>
  </si>
  <si>
    <t xml:space="preserve">Água De Perfume Kylie Cosmetics Cosmic 5</t>
  </si>
  <si>
    <t xml:space="preserve">L'oréal Serie Expert Absolut Repair Gold</t>
  </si>
  <si>
    <t xml:space="preserve">V&amp;l Aguas Frutales Nº 18 Vitamina Cítric</t>
  </si>
  <si>
    <t xml:space="preserve">Ban Deo Roll-on Antiperspirante Satin Br</t>
  </si>
  <si>
    <t xml:space="preserve">Victorio&amp;lucchino No 2 Frescor Extremo M</t>
  </si>
  <si>
    <t xml:space="preserve">Condicionador Pro Longer 750ml - L'oréal</t>
  </si>
  <si>
    <t xml:space="preserve">Perfume Anaïs Anaïs L'original Cacharel,</t>
  </si>
  <si>
    <t xml:space="preserve">Tangle Teezer The Ultimate Detangler -  </t>
  </si>
  <si>
    <t xml:space="preserve">Desodorante Ban Powder Fresh Roll-on 103</t>
  </si>
  <si>
    <t xml:space="preserve">Loreal Professionnel Absolut Repair Mole</t>
  </si>
  <si>
    <t xml:space="preserve">Victorio &amp; Lucchino Águas Frutales Nº 18</t>
  </si>
  <si>
    <t xml:space="preserve">Victorio &amp; Lucchino Nº 20 Vit Exótica Ed</t>
  </si>
  <si>
    <t xml:space="preserve">Ban Desodorante Sólido 73g - Unscented S</t>
  </si>
  <si>
    <t xml:space="preserve"> Victorio &amp; Lucchino Frescor Mediterrâne</t>
  </si>
  <si>
    <t xml:space="preserve">V&amp;l Águas Frutales Nº 20 Vitamina Exótic</t>
  </si>
  <si>
    <t xml:space="preserve">Shakira Dance Diamonds Feminino Eau De T</t>
  </si>
  <si>
    <t xml:space="preserve">Dance Midnight Muse Shakira Fem Edt 80ml</t>
  </si>
  <si>
    <t xml:space="preserve">David Beckham Instinct Edp - Perfume Mas</t>
  </si>
  <si>
    <t xml:space="preserve">Shakira Dance Red Midnight  Edt 80ml</t>
  </si>
  <si>
    <t xml:space="preserve">The Original Tangle Teezer - Escova Para</t>
  </si>
  <si>
    <t xml:space="preserve">Shakira Dance Edt Feminino 50ml</t>
  </si>
  <si>
    <t xml:space="preserve">Shakira Dance Midnight Edt 80ml </t>
  </si>
  <si>
    <t xml:space="preserve">Revlon Colorstay Light/medium 830 - Pó C</t>
  </si>
  <si>
    <t xml:space="preserve">Desodorante Antiperspirante Ban Roll-on </t>
  </si>
  <si>
    <t xml:space="preserve">Revlon Photoready Concealer Fps 20 Light</t>
  </si>
  <si>
    <t xml:space="preserve">Escova Tangle Teezer The Original Mini A</t>
  </si>
  <si>
    <t xml:space="preserve">Revlon Colorstay 5 Em 1 Skin Awaken 30 L</t>
  </si>
  <si>
    <t xml:space="preserve">Loreal Refil Shampoo Vitamino Color Resv</t>
  </si>
  <si>
    <t xml:space="preserve">Desodorante Antitransp Creme Red Apple 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</si>
</sst>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"/>
    <numFmt numFmtId="166" formatCode="#,##0"/>
    <numFmt numFmtId="167" formatCode="General"/>
    <numFmt numFmtId="168" formatCode="&quot;R$ &quot;#,##0.0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arativoMarcas" displayName="ComparativoMarcas" ref="A1:L276" headerRowCount="1" totalsRowCount="0" totalsRowShown="0">
  <autoFilter ref="A1:L276"/>
  <tableColumns count="12">
    <tableColumn id="1" name="Marca"/>
    <tableColumn id="2" name="Categoria (predominante)"/>
    <tableColumn id="3" name="Receita SIENO (R$)"/>
    <tableColumn id="4" name="Receita BAGATELLE (R$)"/>
    <tableColumn id="5" name="Receita AUMA (R$)"/>
    <tableColumn id="6" name="Receita Total (R$)"/>
    <tableColumn id="7" name="Unidades Total"/>
    <tableColumn id="8" name="Nº Anúncios Total"/>
    <tableColumn id="9" name="Ticket Médio (R$)"/>
    <tableColumn id="10" name="Nº Concorrentes que vendem"/>
    <tableColumn id="11" name="Vendida pelos 3?"/>
    <tableColumn id="12" name="Oportunidade (ticket&gt;=R$100 e &gt;=100 unid.)"/>
  </tableColumns>
</table>
</file>

<file path=xl/tables/table2.xml><?xml version="1.0" encoding="utf-8"?>
<table xmlns="http://schemas.openxmlformats.org/spreadsheetml/2006/main" id="2" name="DadosBrutos" displayName="DadosBrutos" ref="A1:W3989" headerRowCount="1" totalsRowCount="0" totalsRowShown="0">
  <autoFilter ref="A1:W3989"/>
  <tableColumns count="23">
    <tableColumn id="1" name="Título"/>
    <tableColumn id="2" name="Marca"/>
    <tableColumn id="3" name="Vendas em $"/>
    <tableColumn id="4" name="Vendas em Unid."/>
    <tableColumn id="5" name="Preço Médio"/>
    <tableColumn id="6" name="Tipo de Publicação"/>
    <tableColumn id="7" name="Fulfillment"/>
    <tableColumn id="8" name="Catálogo."/>
    <tableColumn id="9" name="Com Frete grátis"/>
    <tableColumn id="10" name="Com Mercado Envios"/>
    <tableColumn id="11" name="Com desconto"/>
    <tableColumn id="12" name="SKU"/>
    <tableColumn id="13" name="OEM"/>
    <tableColumn id="14" name="GTIN"/>
    <tableColumn id="15" name="N° PEÇA"/>
    <tableColumn id="16" name="Estado"/>
    <tableColumn id="17" name="MercadoPago"/>
    <tableColumn id="18" name="Republicada"/>
    <tableColumn id="19" name="Condição"/>
    <tableColumn id="20" name="Concorrente"/>
    <tableColumn id="21" name="Categoria"/>
    <tableColumn id="22" name="1a Ocorrencia Marca (geral)"/>
    <tableColumn id="23" name="1a Ocorrencia Marca+Concorrente"/>
  </tableColumns>
</table>
</file>

<file path=xl/tables/table3.xml><?xml version="1.0" encoding="utf-8"?>
<table xmlns="http://schemas.openxmlformats.org/spreadsheetml/2006/main" id="3" name="OportunidadeMarcas" displayName="OportunidadeMarcas" ref="A2:H81" headerRowCount="1" totalsRowCount="0" totalsRowShown="0">
  <autoFilter ref="A2:H81"/>
  <tableColumns count="8">
    <tableColumn id="1" name="Marca"/>
    <tableColumn id="2" name="Categoria"/>
    <tableColumn id="3" name="Receita SIENO (R$)"/>
    <tableColumn id="4" name="Receita BAGATELLE (R$)"/>
    <tableColumn id="5" name="Receita AUMA (R$)"/>
    <tableColumn id="6" name="Receita Total (R$)"/>
    <tableColumn id="7" name="Unidades Total"/>
    <tableColumn id="8" name="Ticket Médio (R$)"/>
  </tableColumns>
</table>
</file>

<file path=xl/tables/table4.xml><?xml version="1.0" encoding="utf-8"?>
<table xmlns="http://schemas.openxmlformats.org/spreadsheetml/2006/main" id="4" name="OportunidadeProdutos" displayName="OportunidadeProdutos" ref="A85:G2993" headerRowCount="1" totalsRowCount="0" totalsRowShown="0">
  <autoFilter ref="A85:G2993"/>
  <tableColumns count="7">
    <tableColumn id="1" name="Marca"/>
    <tableColumn id="2" name="Categoria"/>
    <tableColumn id="3" name="Concorrente"/>
    <tableColumn id="4" name="Título do Anúncio"/>
    <tableColumn id="5" name="Preço Médio (R$)"/>
    <tableColumn id="6" name="Unidades Vendidas"/>
    <tableColumn id="7" name="Receita (R$)"/>
  </tableColumns>
</table>
</file>

<file path=xl/tables/table5.xml><?xml version="1.0" encoding="utf-8"?>
<table xmlns="http://schemas.openxmlformats.org/spreadsheetml/2006/main" id="5" name="PorCategoria" displayName="PorCategoria" ref="A1:G14" headerRowCount="1" totalsRowCount="0" totalsRowShown="0">
  <autoFilter ref="A1:G14"/>
  <tableColumns count="7">
    <tableColumn id="1" name="Categoria"/>
    <tableColumn id="2" name="Nº de Marcas"/>
    <tableColumn id="3" name="Receita (R$)"/>
    <tableColumn id="4" name="Unidades Vendidas"/>
    <tableColumn id="5" name="Nº Anúncios (SKUs)"/>
    <tableColumn id="6" name="Ticket Médio (R$)"/>
    <tableColumn id="7" name="% da Receita Total"/>
  </tableColumns>
</table>
</file>

<file path=xl/tables/table6.xml><?xml version="1.0" encoding="utf-8"?>
<table xmlns="http://schemas.openxmlformats.org/spreadsheetml/2006/main" id="6" name="ProdutosPorGTIN" displayName="ProdutosPorGTIN" ref="A4:N2146" headerRowCount="1" totalsRowCount="0" totalsRowShown="0">
  <autoFilter ref="A4:N2146"/>
  <tableColumns count="14">
    <tableColumn id="1" name="GTIN"/>
    <tableColumn id="2" name="Marca"/>
    <tableColumn id="3" name="Categoria"/>
    <tableColumn id="4" name="Tamanho (detectado)"/>
    <tableColumn id="5" name="Título representativo"/>
    <tableColumn id="6" name="Nº Concorrentes"/>
    <tableColumn id="7" name="Nº Anúncios consolidados"/>
    <tableColumn id="8" name="Receita Total (R$)"/>
    <tableColumn id="9" name="Unidades Total"/>
    <tableColumn id="10" name="Preço Médio Ponderado (R$)"/>
    <tableColumn id="11" name="Preço Médio SIENO (R$)"/>
    <tableColumn id="12" name="Preço Médio BAGATELLE (R$)"/>
    <tableColumn id="13" name="Preço Médio AUMA (R$)"/>
    <tableColumn id="14" name="Diferença de Preço entre Concorrentes (%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" hidden="false" customHeight="false" outlineLevel="0" collapsed="false">
      <c r="B6" s="4" t="s">
        <v>7</v>
      </c>
      <c r="C6" s="5" t="n">
        <f aca="false">SUMIF('Dados Brutos'!$T:$T,C$5,'Dados Brutos'!$C:$C)</f>
        <v>8228730</v>
      </c>
      <c r="D6" s="5" t="n">
        <f aca="false">SUMIF('Dados Brutos'!$T:$T,D$5,'Dados Brutos'!$C:$C)</f>
        <v>3808650</v>
      </c>
      <c r="E6" s="5" t="n">
        <f aca="false">SUMIF('Dados Brutos'!$T:$T,E$5,'Dados Brutos'!$C:$C)</f>
        <v>9294080</v>
      </c>
      <c r="F6" s="6" t="n">
        <f aca="false">SUM(C6:E6)</f>
        <v>21331460</v>
      </c>
    </row>
    <row r="7" customFormat="false" ht="15" hidden="false" customHeight="false" outlineLevel="0" collapsed="false">
      <c r="B7" s="4" t="s">
        <v>8</v>
      </c>
      <c r="C7" s="7" t="n">
        <f aca="false">SUMIF('Dados Brutos'!$T:$T,C$5,'Dados Brutos'!$D:$D)</f>
        <v>79159</v>
      </c>
      <c r="D7" s="7" t="n">
        <f aca="false">SUMIF('Dados Brutos'!$T:$T,D$5,'Dados Brutos'!$D:$D)</f>
        <v>6513</v>
      </c>
      <c r="E7" s="7" t="n">
        <f aca="false">SUMIF('Dados Brutos'!$T:$T,E$5,'Dados Brutos'!$D:$D)</f>
        <v>18578</v>
      </c>
      <c r="F7" s="8" t="n">
        <f aca="false">SUM(C7:E7)</f>
        <v>104250</v>
      </c>
    </row>
    <row r="8" customFormat="false" ht="15" hidden="false" customHeight="false" outlineLevel="0" collapsed="false">
      <c r="B8" s="4" t="s">
        <v>9</v>
      </c>
      <c r="C8" s="7" t="n">
        <f aca="false">COUNTIF('Dados Brutos'!$T:$T,C$5)</f>
        <v>893</v>
      </c>
      <c r="D8" s="7" t="n">
        <f aca="false">COUNTIF('Dados Brutos'!$T:$T,D$5)</f>
        <v>1089</v>
      </c>
      <c r="E8" s="7" t="n">
        <f aca="false">COUNTIF('Dados Brutos'!$T:$T,E$5)</f>
        <v>2006</v>
      </c>
      <c r="F8" s="8" t="n">
        <f aca="false">SUM(C8:E8)</f>
        <v>3988</v>
      </c>
    </row>
    <row r="9" customFormat="false" ht="15" hidden="false" customHeight="false" outlineLevel="0" collapsed="false">
      <c r="B9" s="4" t="s">
        <v>10</v>
      </c>
      <c r="C9" s="7" t="n">
        <f aca="false">SUMIFS('Dados Brutos'!$W:$W,'Dados Brutos'!$T:$T,C$5)</f>
        <v>187</v>
      </c>
      <c r="D9" s="7" t="n">
        <f aca="false">SUMIFS('Dados Brutos'!$W:$W,'Dados Brutos'!$T:$T,D$5)</f>
        <v>70</v>
      </c>
      <c r="E9" s="7" t="n">
        <f aca="false">SUMIFS('Dados Brutos'!$W:$W,'Dados Brutos'!$T:$T,E$5)</f>
        <v>89</v>
      </c>
      <c r="F9" s="8" t="n">
        <v>275</v>
      </c>
    </row>
    <row r="11" customFormat="false" ht="22.05" hidden="false" customHeight="false" outlineLevel="0" collapsed="false">
      <c r="B11" s="4" t="s">
        <v>11</v>
      </c>
      <c r="C11" s="9" t="n">
        <f aca="false">COUNTIF('Comparativo de Marcas'!K2:K276,"Sim")</f>
        <v>19</v>
      </c>
      <c r="D11" s="9"/>
    </row>
    <row r="12" customFormat="false" ht="22.05" hidden="false" customHeight="false" outlineLevel="0" collapsed="false">
      <c r="B12" s="4" t="s">
        <v>12</v>
      </c>
      <c r="C12" s="9" t="n">
        <f aca="false">COUNTIF('Comparativo de Marcas'!L2:L276,"Sim")</f>
        <v>64</v>
      </c>
      <c r="D12" s="9"/>
    </row>
    <row r="13" customFormat="false" ht="15" hidden="false" customHeight="false" outlineLevel="0" collapsed="false">
      <c r="B13" s="4" t="s">
        <v>13</v>
      </c>
      <c r="C13" s="10" t="str">
        <f aca="false">'Comparativo de Marcas'!A2</f>
        <v>CAROLINA HERRERA</v>
      </c>
      <c r="D13" s="10"/>
    </row>
    <row r="15" customFormat="false" ht="15" hidden="false" customHeight="false" outlineLevel="0" collapsed="false">
      <c r="B15" s="11" t="s">
        <v>14</v>
      </c>
      <c r="C15" s="11"/>
      <c r="D15" s="11"/>
      <c r="E15" s="11"/>
      <c r="F15" s="11"/>
    </row>
    <row r="16" customFormat="false" ht="43.5" hidden="false" customHeight="true" outlineLevel="0" collapsed="false">
      <c r="B16" s="12" t="s">
        <v>15</v>
      </c>
      <c r="C16" s="12"/>
      <c r="D16" s="12"/>
      <c r="E16" s="12"/>
      <c r="F16" s="12"/>
    </row>
    <row r="18" customFormat="false" ht="15" hidden="false" customHeight="false" outlineLevel="0" collapsed="false">
      <c r="B18" s="11" t="s">
        <v>16</v>
      </c>
      <c r="C18" s="11"/>
      <c r="D18" s="11"/>
      <c r="E18" s="11"/>
      <c r="F18" s="11"/>
    </row>
    <row r="19" customFormat="false" ht="39.75" hidden="false" customHeight="true" outlineLevel="0" collapsed="false">
      <c r="B19" s="13" t="s">
        <v>17</v>
      </c>
      <c r="C19" s="12" t="s">
        <v>18</v>
      </c>
      <c r="D19" s="12"/>
      <c r="E19" s="12"/>
      <c r="F19" s="12"/>
    </row>
    <row r="20" customFormat="false" ht="39.75" hidden="false" customHeight="true" outlineLevel="0" collapsed="false">
      <c r="B20" s="13" t="s">
        <v>17</v>
      </c>
      <c r="C20" s="12" t="s">
        <v>19</v>
      </c>
      <c r="D20" s="12"/>
      <c r="E20" s="12"/>
      <c r="F20" s="12"/>
    </row>
    <row r="21" customFormat="false" ht="39.75" hidden="false" customHeight="true" outlineLevel="0" collapsed="false">
      <c r="B21" s="13" t="s">
        <v>17</v>
      </c>
      <c r="C21" s="12" t="s">
        <v>20</v>
      </c>
      <c r="D21" s="12"/>
      <c r="E21" s="12"/>
      <c r="F21" s="12"/>
    </row>
    <row r="22" customFormat="false" ht="39.75" hidden="false" customHeight="true" outlineLevel="0" collapsed="false">
      <c r="B22" s="13" t="s">
        <v>17</v>
      </c>
      <c r="C22" s="12" t="s">
        <v>21</v>
      </c>
      <c r="D22" s="12"/>
      <c r="E22" s="12"/>
      <c r="F22" s="12"/>
    </row>
    <row r="23" customFormat="false" ht="39.75" hidden="false" customHeight="true" outlineLevel="0" collapsed="false">
      <c r="B23" s="13" t="s">
        <v>17</v>
      </c>
      <c r="C23" s="12" t="s">
        <v>22</v>
      </c>
      <c r="D23" s="12"/>
      <c r="E23" s="12"/>
      <c r="F23" s="12"/>
    </row>
    <row r="25" customFormat="false" ht="15" hidden="false" customHeight="false" outlineLevel="0" collapsed="false">
      <c r="B25" s="11" t="s">
        <v>23</v>
      </c>
      <c r="C25" s="11"/>
      <c r="D25" s="11"/>
      <c r="E25" s="11"/>
      <c r="F25" s="11"/>
    </row>
    <row r="26" customFormat="false" ht="49.5" hidden="false" customHeight="true" outlineLevel="0" collapsed="false">
      <c r="B26" s="13" t="s">
        <v>17</v>
      </c>
      <c r="C26" s="12" t="s">
        <v>24</v>
      </c>
      <c r="D26" s="12"/>
      <c r="E26" s="12"/>
      <c r="F26" s="12"/>
    </row>
    <row r="27" customFormat="false" ht="49.5" hidden="false" customHeight="true" outlineLevel="0" collapsed="false">
      <c r="B27" s="13" t="s">
        <v>17</v>
      </c>
      <c r="C27" s="12" t="s">
        <v>25</v>
      </c>
      <c r="D27" s="12"/>
      <c r="E27" s="12"/>
      <c r="F27" s="12"/>
    </row>
    <row r="28" customFormat="false" ht="49.5" hidden="false" customHeight="true" outlineLevel="0" collapsed="false">
      <c r="B28" s="13" t="s">
        <v>17</v>
      </c>
      <c r="C28" s="12" t="s">
        <v>26</v>
      </c>
      <c r="D28" s="12"/>
      <c r="E28" s="12"/>
      <c r="F28" s="12"/>
    </row>
    <row r="29" customFormat="false" ht="49.5" hidden="false" customHeight="true" outlineLevel="0" collapsed="false">
      <c r="B29" s="13" t="s">
        <v>17</v>
      </c>
      <c r="C29" s="12" t="s">
        <v>27</v>
      </c>
      <c r="D29" s="12"/>
      <c r="E29" s="12"/>
      <c r="F29" s="12"/>
    </row>
  </sheetData>
  <mergeCells count="18">
    <mergeCell ref="B2:F2"/>
    <mergeCell ref="B3:F3"/>
    <mergeCell ref="C11:D11"/>
    <mergeCell ref="C12:D12"/>
    <mergeCell ref="C13:D13"/>
    <mergeCell ref="B15:F15"/>
    <mergeCell ref="B16:F16"/>
    <mergeCell ref="B18:F18"/>
    <mergeCell ref="C19:F19"/>
    <mergeCell ref="C20:F20"/>
    <mergeCell ref="C21:F21"/>
    <mergeCell ref="C22:F22"/>
    <mergeCell ref="C23:F23"/>
    <mergeCell ref="B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8" hidden="false" customHeight="true" outlineLevel="0" collapsed="false">
      <c r="A1" s="14" t="s">
        <v>28</v>
      </c>
      <c r="B1" s="14"/>
      <c r="C1" s="14"/>
      <c r="D1" s="14"/>
      <c r="E1" s="14"/>
      <c r="F1" s="14"/>
      <c r="G1" s="14"/>
      <c r="H1" s="14"/>
    </row>
    <row r="2" customFormat="false" ht="23.85" hidden="false" customHeight="false" outlineLevel="0" collapsed="false">
      <c r="A2" s="15" t="s">
        <v>29</v>
      </c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</row>
    <row r="3" customFormat="false" ht="15" hidden="false" customHeight="false" outlineLevel="0" collapsed="false">
      <c r="A3" s="13" t="str">
        <f aca="false">IFERROR(INDEX('Comparativo de Marcas'!$A:$A,MATCH(1,'Comparativo de Marcas'!$M:$M,0)),"")</f>
        <v>CAROLINA HERRERA</v>
      </c>
      <c r="B3" s="13" t="str">
        <f aca="false">IFERROR(INDEX('Comparativo de Marcas'!$B:$B,MATCH(1,'Comparativo de Marcas'!$M:$M,0)),"")</f>
        <v>Perfumaria/Colonia</v>
      </c>
      <c r="C3" s="5" t="n">
        <f aca="false">IFERROR(INDEX('Comparativo de Marcas'!$C:$C,MATCH(1,'Comparativo de Marcas'!$M:$M,0)),"")</f>
        <v>0</v>
      </c>
      <c r="D3" s="5" t="n">
        <f aca="false">IFERROR(INDEX('Comparativo de Marcas'!$D:$D,MATCH(1,'Comparativo de Marcas'!$M:$M,0)),"")</f>
        <v>1332020</v>
      </c>
      <c r="E3" s="5" t="n">
        <f aca="false">IFERROR(INDEX('Comparativo de Marcas'!$E:$E,MATCH(1,'Comparativo de Marcas'!$M:$M,0)),"")</f>
        <v>2191200</v>
      </c>
      <c r="F3" s="5" t="n">
        <f aca="false">IFERROR(INDEX('Comparativo de Marcas'!$F:$F,MATCH(1,'Comparativo de Marcas'!$M:$M,0)),"")</f>
        <v>3523220</v>
      </c>
      <c r="G3" s="7" t="n">
        <f aca="false">IFERROR(INDEX('Comparativo de Marcas'!$G:$G,MATCH(1,'Comparativo de Marcas'!$M:$M,0)),"")</f>
        <v>5687</v>
      </c>
      <c r="H3" s="16" t="n">
        <f aca="false">IFERROR(INDEX('Comparativo de Marcas'!$I:$I,MATCH(1,'Comparativo de Marcas'!$M:$M,0)),"")</f>
        <v>619.52171619483</v>
      </c>
    </row>
    <row r="4" customFormat="false" ht="15" hidden="false" customHeight="false" outlineLevel="0" collapsed="false">
      <c r="A4" s="13" t="str">
        <f aca="false">IFERROR(INDEX('Comparativo de Marcas'!$A:$A,MATCH(2,'Comparativo de Marcas'!$M:$M,0)),"")</f>
        <v>RABANNE</v>
      </c>
      <c r="B4" s="13" t="str">
        <f aca="false">IFERROR(INDEX('Comparativo de Marcas'!$B:$B,MATCH(2,'Comparativo de Marcas'!$M:$M,0)),"")</f>
        <v>Perfumaria/Colonia</v>
      </c>
      <c r="C4" s="5" t="n">
        <f aca="false">IFERROR(INDEX('Comparativo de Marcas'!$C:$C,MATCH(2,'Comparativo de Marcas'!$M:$M,0)),"")</f>
        <v>0</v>
      </c>
      <c r="D4" s="5" t="n">
        <f aca="false">IFERROR(INDEX('Comparativo de Marcas'!$D:$D,MATCH(2,'Comparativo de Marcas'!$M:$M,0)),"")</f>
        <v>921250</v>
      </c>
      <c r="E4" s="5" t="n">
        <f aca="false">IFERROR(INDEX('Comparativo de Marcas'!$E:$E,MATCH(2,'Comparativo de Marcas'!$M:$M,0)),"")</f>
        <v>1517680</v>
      </c>
      <c r="F4" s="5" t="n">
        <f aca="false">IFERROR(INDEX('Comparativo de Marcas'!$F:$F,MATCH(2,'Comparativo de Marcas'!$M:$M,0)),"")</f>
        <v>2438930</v>
      </c>
      <c r="G4" s="7" t="n">
        <f aca="false">IFERROR(INDEX('Comparativo de Marcas'!$G:$G,MATCH(2,'Comparativo de Marcas'!$M:$M,0)),"")</f>
        <v>3685</v>
      </c>
      <c r="H4" s="16" t="n">
        <f aca="false">IFERROR(INDEX('Comparativo de Marcas'!$I:$I,MATCH(2,'Comparativo de Marcas'!$M:$M,0)),"")</f>
        <v>661.853459972863</v>
      </c>
    </row>
    <row r="5" customFormat="false" ht="15" hidden="false" customHeight="false" outlineLevel="0" collapsed="false">
      <c r="A5" s="13" t="str">
        <f aca="false">IFERROR(INDEX('Comparativo de Marcas'!$A:$A,MATCH(3,'Comparativo de Marcas'!$M:$M,0)),"")</f>
        <v>JEAN PAUL GAULTIER</v>
      </c>
      <c r="B5" s="13" t="str">
        <f aca="false">IFERROR(INDEX('Comparativo de Marcas'!$B:$B,MATCH(3,'Comparativo de Marcas'!$M:$M,0)),"")</f>
        <v>Perfumaria/Colonia</v>
      </c>
      <c r="C5" s="5" t="n">
        <f aca="false">IFERROR(INDEX('Comparativo de Marcas'!$C:$C,MATCH(3,'Comparativo de Marcas'!$M:$M,0)),"")</f>
        <v>0</v>
      </c>
      <c r="D5" s="5" t="n">
        <f aca="false">IFERROR(INDEX('Comparativo de Marcas'!$D:$D,MATCH(3,'Comparativo de Marcas'!$M:$M,0)),"")</f>
        <v>387830</v>
      </c>
      <c r="E5" s="5" t="n">
        <f aca="false">IFERROR(INDEX('Comparativo de Marcas'!$E:$E,MATCH(3,'Comparativo de Marcas'!$M:$M,0)),"")</f>
        <v>1397570</v>
      </c>
      <c r="F5" s="5" t="n">
        <f aca="false">IFERROR(INDEX('Comparativo de Marcas'!$F:$F,MATCH(3,'Comparativo de Marcas'!$M:$M,0)),"")</f>
        <v>1785400</v>
      </c>
      <c r="G5" s="7" t="n">
        <f aca="false">IFERROR(INDEX('Comparativo de Marcas'!$G:$G,MATCH(3,'Comparativo de Marcas'!$M:$M,0)),"")</f>
        <v>2595</v>
      </c>
      <c r="H5" s="16" t="n">
        <f aca="false">IFERROR(INDEX('Comparativo de Marcas'!$I:$I,MATCH(3,'Comparativo de Marcas'!$M:$M,0)),"")</f>
        <v>688.015414258189</v>
      </c>
    </row>
    <row r="6" customFormat="false" ht="15" hidden="false" customHeight="false" outlineLevel="0" collapsed="false">
      <c r="A6" s="13" t="str">
        <f aca="false">IFERROR(INDEX('Comparativo de Marcas'!$A:$A,MATCH(4,'Comparativo de Marcas'!$M:$M,0)),"")</f>
        <v>YVES SAINT LAURENT</v>
      </c>
      <c r="B6" s="13" t="str">
        <f aca="false">IFERROR(INDEX('Comparativo de Marcas'!$B:$B,MATCH(4,'Comparativo de Marcas'!$M:$M,0)),"")</f>
        <v>Perfumaria/Colonia</v>
      </c>
      <c r="C6" s="5" t="n">
        <f aca="false">IFERROR(INDEX('Comparativo de Marcas'!$C:$C,MATCH(4,'Comparativo de Marcas'!$M:$M,0)),"")</f>
        <v>253760</v>
      </c>
      <c r="D6" s="5" t="n">
        <f aca="false">IFERROR(INDEX('Comparativo de Marcas'!$D:$D,MATCH(4,'Comparativo de Marcas'!$M:$M,0)),"")</f>
        <v>17620</v>
      </c>
      <c r="E6" s="5" t="n">
        <f aca="false">IFERROR(INDEX('Comparativo de Marcas'!$E:$E,MATCH(4,'Comparativo de Marcas'!$M:$M,0)),"")</f>
        <v>521750</v>
      </c>
      <c r="F6" s="5" t="n">
        <f aca="false">IFERROR(INDEX('Comparativo de Marcas'!$F:$F,MATCH(4,'Comparativo de Marcas'!$M:$M,0)),"")</f>
        <v>793130</v>
      </c>
      <c r="G6" s="7" t="n">
        <f aca="false">IFERROR(INDEX('Comparativo de Marcas'!$G:$G,MATCH(4,'Comparativo de Marcas'!$M:$M,0)),"")</f>
        <v>1123</v>
      </c>
      <c r="H6" s="16" t="n">
        <f aca="false">IFERROR(INDEX('Comparativo de Marcas'!$I:$I,MATCH(4,'Comparativo de Marcas'!$M:$M,0)),"")</f>
        <v>706.260017809439</v>
      </c>
    </row>
    <row r="7" customFormat="false" ht="15" hidden="false" customHeight="false" outlineLevel="0" collapsed="false">
      <c r="A7" s="13" t="str">
        <f aca="false">IFERROR(INDEX('Comparativo de Marcas'!$A:$A,MATCH(5,'Comparativo de Marcas'!$M:$M,0)),"")</f>
        <v>DOLCE &amp; GABBANA</v>
      </c>
      <c r="B7" s="13" t="str">
        <f aca="false">IFERROR(INDEX('Comparativo de Marcas'!$B:$B,MATCH(5,'Comparativo de Marcas'!$M:$M,0)),"")</f>
        <v>Perfumaria/Colonia</v>
      </c>
      <c r="C7" s="5" t="n">
        <f aca="false">IFERROR(INDEX('Comparativo de Marcas'!$C:$C,MATCH(5,'Comparativo de Marcas'!$M:$M,0)),"")</f>
        <v>178890</v>
      </c>
      <c r="D7" s="5" t="n">
        <f aca="false">IFERROR(INDEX('Comparativo de Marcas'!$D:$D,MATCH(5,'Comparativo de Marcas'!$M:$M,0)),"")</f>
        <v>99900</v>
      </c>
      <c r="E7" s="5" t="n">
        <f aca="false">IFERROR(INDEX('Comparativo de Marcas'!$E:$E,MATCH(5,'Comparativo de Marcas'!$M:$M,0)),"")</f>
        <v>170460</v>
      </c>
      <c r="F7" s="5" t="n">
        <f aca="false">IFERROR(INDEX('Comparativo de Marcas'!$F:$F,MATCH(5,'Comparativo de Marcas'!$M:$M,0)),"")</f>
        <v>449250</v>
      </c>
      <c r="G7" s="7" t="n">
        <f aca="false">IFERROR(INDEX('Comparativo de Marcas'!$G:$G,MATCH(5,'Comparativo de Marcas'!$M:$M,0)),"")</f>
        <v>670</v>
      </c>
      <c r="H7" s="16" t="n">
        <f aca="false">IFERROR(INDEX('Comparativo de Marcas'!$I:$I,MATCH(5,'Comparativo de Marcas'!$M:$M,0)),"")</f>
        <v>670.522388059702</v>
      </c>
    </row>
    <row r="8" customFormat="false" ht="15" hidden="false" customHeight="false" outlineLevel="0" collapsed="false">
      <c r="A8" s="13" t="str">
        <f aca="false">IFERROR(INDEX('Comparativo de Marcas'!$A:$A,MATCH(6,'Comparativo de Marcas'!$M:$M,0)),"")</f>
        <v>SHISEIDO</v>
      </c>
      <c r="B8" s="13" t="str">
        <f aca="false">IFERROR(INDEX('Comparativo de Marcas'!$B:$B,MATCH(6,'Comparativo de Marcas'!$M:$M,0)),"")</f>
        <v>Perfumaria/Colonia</v>
      </c>
      <c r="C8" s="5" t="n">
        <f aca="false">IFERROR(INDEX('Comparativo de Marcas'!$C:$C,MATCH(6,'Comparativo de Marcas'!$M:$M,0)),"")</f>
        <v>0</v>
      </c>
      <c r="D8" s="5" t="n">
        <f aca="false">IFERROR(INDEX('Comparativo de Marcas'!$D:$D,MATCH(6,'Comparativo de Marcas'!$M:$M,0)),"")</f>
        <v>0</v>
      </c>
      <c r="E8" s="5" t="n">
        <f aca="false">IFERROR(INDEX('Comparativo de Marcas'!$E:$E,MATCH(6,'Comparativo de Marcas'!$M:$M,0)),"")</f>
        <v>447230</v>
      </c>
      <c r="F8" s="5" t="n">
        <f aca="false">IFERROR(INDEX('Comparativo de Marcas'!$F:$F,MATCH(6,'Comparativo de Marcas'!$M:$M,0)),"")</f>
        <v>447230</v>
      </c>
      <c r="G8" s="7" t="n">
        <f aca="false">IFERROR(INDEX('Comparativo de Marcas'!$G:$G,MATCH(6,'Comparativo de Marcas'!$M:$M,0)),"")</f>
        <v>1310</v>
      </c>
      <c r="H8" s="16" t="n">
        <f aca="false">IFERROR(INDEX('Comparativo de Marcas'!$I:$I,MATCH(6,'Comparativo de Marcas'!$M:$M,0)),"")</f>
        <v>341.396946564885</v>
      </c>
    </row>
    <row r="9" customFormat="false" ht="15" hidden="false" customHeight="false" outlineLevel="0" collapsed="false">
      <c r="A9" s="13" t="str">
        <f aca="false">IFERROR(INDEX('Comparativo de Marcas'!$A:$A,MATCH(7,'Comparativo de Marcas'!$M:$M,0)),"")</f>
        <v>LANCÔME</v>
      </c>
      <c r="B9" s="13" t="str">
        <f aca="false">IFERROR(INDEX('Comparativo de Marcas'!$B:$B,MATCH(7,'Comparativo de Marcas'!$M:$M,0)),"")</f>
        <v>Perfumaria/Colonia</v>
      </c>
      <c r="C9" s="5" t="n">
        <f aca="false">IFERROR(INDEX('Comparativo de Marcas'!$C:$C,MATCH(7,'Comparativo de Marcas'!$M:$M,0)),"")</f>
        <v>0</v>
      </c>
      <c r="D9" s="5" t="n">
        <f aca="false">IFERROR(INDEX('Comparativo de Marcas'!$D:$D,MATCH(7,'Comparativo de Marcas'!$M:$M,0)),"")</f>
        <v>0</v>
      </c>
      <c r="E9" s="5" t="n">
        <f aca="false">IFERROR(INDEX('Comparativo de Marcas'!$E:$E,MATCH(7,'Comparativo de Marcas'!$M:$M,0)),"")</f>
        <v>443410</v>
      </c>
      <c r="F9" s="5" t="n">
        <f aca="false">IFERROR(INDEX('Comparativo de Marcas'!$F:$F,MATCH(7,'Comparativo de Marcas'!$M:$M,0)),"")</f>
        <v>443410</v>
      </c>
      <c r="G9" s="7" t="n">
        <f aca="false">IFERROR(INDEX('Comparativo de Marcas'!$G:$G,MATCH(7,'Comparativo de Marcas'!$M:$M,0)),"")</f>
        <v>774</v>
      </c>
      <c r="H9" s="16" t="n">
        <f aca="false">IFERROR(INDEX('Comparativo de Marcas'!$I:$I,MATCH(7,'Comparativo de Marcas'!$M:$M,0)),"")</f>
        <v>572.881136950904</v>
      </c>
    </row>
    <row r="10" customFormat="false" ht="15" hidden="false" customHeight="false" outlineLevel="0" collapsed="false">
      <c r="A10" s="13" t="str">
        <f aca="false">IFERROR(INDEX('Comparativo de Marcas'!$A:$A,MATCH(8,'Comparativo de Marcas'!$M:$M,0)),"")</f>
        <v>PRADA</v>
      </c>
      <c r="B10" s="13" t="str">
        <f aca="false">IFERROR(INDEX('Comparativo de Marcas'!$B:$B,MATCH(8,'Comparativo de Marcas'!$M:$M,0)),"")</f>
        <v>Perfumaria/Colonia</v>
      </c>
      <c r="C10" s="5" t="n">
        <f aca="false">IFERROR(INDEX('Comparativo de Marcas'!$C:$C,MATCH(8,'Comparativo de Marcas'!$M:$M,0)),"")</f>
        <v>33000</v>
      </c>
      <c r="D10" s="5" t="n">
        <f aca="false">IFERROR(INDEX('Comparativo de Marcas'!$D:$D,MATCH(8,'Comparativo de Marcas'!$M:$M,0)),"")</f>
        <v>940</v>
      </c>
      <c r="E10" s="5" t="n">
        <f aca="false">IFERROR(INDEX('Comparativo de Marcas'!$E:$E,MATCH(8,'Comparativo de Marcas'!$M:$M,0)),"")</f>
        <v>372630</v>
      </c>
      <c r="F10" s="5" t="n">
        <f aca="false">IFERROR(INDEX('Comparativo de Marcas'!$F:$F,MATCH(8,'Comparativo de Marcas'!$M:$M,0)),"")</f>
        <v>406570</v>
      </c>
      <c r="G10" s="7" t="n">
        <f aca="false">IFERROR(INDEX('Comparativo de Marcas'!$G:$G,MATCH(8,'Comparativo de Marcas'!$M:$M,0)),"")</f>
        <v>519</v>
      </c>
      <c r="H10" s="16" t="n">
        <f aca="false">IFERROR(INDEX('Comparativo de Marcas'!$I:$I,MATCH(8,'Comparativo de Marcas'!$M:$M,0)),"")</f>
        <v>783.371868978805</v>
      </c>
    </row>
    <row r="11" customFormat="false" ht="15" hidden="false" customHeight="false" outlineLevel="0" collapsed="false">
      <c r="A11" s="13" t="str">
        <f aca="false">IFERROR(INDEX('Comparativo de Marcas'!$A:$A,MATCH(9,'Comparativo de Marcas'!$M:$M,0)),"")</f>
        <v>ARMANI BEAUTY</v>
      </c>
      <c r="B11" s="13" t="str">
        <f aca="false">IFERROR(INDEX('Comparativo de Marcas'!$B:$B,MATCH(9,'Comparativo de Marcas'!$M:$M,0)),"")</f>
        <v>Perfumaria/Colonia</v>
      </c>
      <c r="C11" s="5" t="n">
        <f aca="false">IFERROR(INDEX('Comparativo de Marcas'!$C:$C,MATCH(9,'Comparativo de Marcas'!$M:$M,0)),"")</f>
        <v>0</v>
      </c>
      <c r="D11" s="5" t="n">
        <f aca="false">IFERROR(INDEX('Comparativo de Marcas'!$D:$D,MATCH(9,'Comparativo de Marcas'!$M:$M,0)),"")</f>
        <v>0</v>
      </c>
      <c r="E11" s="5" t="n">
        <f aca="false">IFERROR(INDEX('Comparativo de Marcas'!$E:$E,MATCH(9,'Comparativo de Marcas'!$M:$M,0)),"")</f>
        <v>402220</v>
      </c>
      <c r="F11" s="5" t="n">
        <f aca="false">IFERROR(INDEX('Comparativo de Marcas'!$F:$F,MATCH(9,'Comparativo de Marcas'!$M:$M,0)),"")</f>
        <v>402220</v>
      </c>
      <c r="G11" s="7" t="n">
        <f aca="false">IFERROR(INDEX('Comparativo de Marcas'!$G:$G,MATCH(9,'Comparativo de Marcas'!$M:$M,0)),"")</f>
        <v>540</v>
      </c>
      <c r="H11" s="16" t="n">
        <f aca="false">IFERROR(INDEX('Comparativo de Marcas'!$I:$I,MATCH(9,'Comparativo de Marcas'!$M:$M,0)),"")</f>
        <v>744.851851851852</v>
      </c>
    </row>
    <row r="12" customFormat="false" ht="15" hidden="false" customHeight="false" outlineLevel="0" collapsed="false">
      <c r="A12" s="13" t="str">
        <f aca="false">IFERROR(INDEX('Comparativo de Marcas'!$A:$A,MATCH(10,'Comparativo de Marcas'!$M:$M,0)),"")</f>
        <v>MARURI</v>
      </c>
      <c r="B12" s="13" t="str">
        <f aca="false">IFERROR(INDEX('Comparativo de Marcas'!$B:$B,MATCH(10,'Comparativo de Marcas'!$M:$M,0)),"")</f>
        <v>Pesca/Nautica</v>
      </c>
      <c r="C12" s="5" t="n">
        <f aca="false">IFERROR(INDEX('Comparativo de Marcas'!$C:$C,MATCH(10,'Comparativo de Marcas'!$M:$M,0)),"")</f>
        <v>344600</v>
      </c>
      <c r="D12" s="5" t="n">
        <f aca="false">IFERROR(INDEX('Comparativo de Marcas'!$D:$D,MATCH(10,'Comparativo de Marcas'!$M:$M,0)),"")</f>
        <v>0</v>
      </c>
      <c r="E12" s="5" t="n">
        <f aca="false">IFERROR(INDEX('Comparativo de Marcas'!$E:$E,MATCH(10,'Comparativo de Marcas'!$M:$M,0)),"")</f>
        <v>0</v>
      </c>
      <c r="F12" s="5" t="n">
        <f aca="false">IFERROR(INDEX('Comparativo de Marcas'!$F:$F,MATCH(10,'Comparativo de Marcas'!$M:$M,0)),"")</f>
        <v>344600</v>
      </c>
      <c r="G12" s="7" t="n">
        <f aca="false">IFERROR(INDEX('Comparativo de Marcas'!$G:$G,MATCH(10,'Comparativo de Marcas'!$M:$M,0)),"")</f>
        <v>1042</v>
      </c>
      <c r="H12" s="16" t="n">
        <f aca="false">IFERROR(INDEX('Comparativo de Marcas'!$I:$I,MATCH(10,'Comparativo de Marcas'!$M:$M,0)),"")</f>
        <v>330.710172744722</v>
      </c>
    </row>
    <row r="13" customFormat="false" ht="15" hidden="false" customHeight="false" outlineLevel="0" collapsed="false">
      <c r="A13" s="13" t="str">
        <f aca="false">IFERROR(INDEX('Comparativo de Marcas'!$A:$A,MATCH(11,'Comparativo de Marcas'!$M:$M,0)),"")</f>
        <v>SHIMANO</v>
      </c>
      <c r="B13" s="13" t="str">
        <f aca="false">IFERROR(INDEX('Comparativo de Marcas'!$B:$B,MATCH(11,'Comparativo de Marcas'!$M:$M,0)),"")</f>
        <v>Pesca/Nautica</v>
      </c>
      <c r="C13" s="5" t="n">
        <f aca="false">IFERROR(INDEX('Comparativo de Marcas'!$C:$C,MATCH(11,'Comparativo de Marcas'!$M:$M,0)),"")</f>
        <v>314200</v>
      </c>
      <c r="D13" s="5" t="n">
        <f aca="false">IFERROR(INDEX('Comparativo de Marcas'!$D:$D,MATCH(11,'Comparativo de Marcas'!$M:$M,0)),"")</f>
        <v>0</v>
      </c>
      <c r="E13" s="5" t="n">
        <f aca="false">IFERROR(INDEX('Comparativo de Marcas'!$E:$E,MATCH(11,'Comparativo de Marcas'!$M:$M,0)),"")</f>
        <v>0</v>
      </c>
      <c r="F13" s="5" t="n">
        <f aca="false">IFERROR(INDEX('Comparativo de Marcas'!$F:$F,MATCH(11,'Comparativo de Marcas'!$M:$M,0)),"")</f>
        <v>314200</v>
      </c>
      <c r="G13" s="7" t="n">
        <f aca="false">IFERROR(INDEX('Comparativo de Marcas'!$G:$G,MATCH(11,'Comparativo de Marcas'!$M:$M,0)),"")</f>
        <v>1307</v>
      </c>
      <c r="H13" s="16" t="n">
        <f aca="false">IFERROR(INDEX('Comparativo de Marcas'!$I:$I,MATCH(11,'Comparativo de Marcas'!$M:$M,0)),"")</f>
        <v>240.397857689365</v>
      </c>
    </row>
    <row r="14" customFormat="false" ht="15" hidden="false" customHeight="false" outlineLevel="0" collapsed="false">
      <c r="A14" s="13" t="str">
        <f aca="false">IFERROR(INDEX('Comparativo de Marcas'!$A:$A,MATCH(12,'Comparativo de Marcas'!$M:$M,0)),"")</f>
        <v>VERSACE</v>
      </c>
      <c r="B14" s="13" t="str">
        <f aca="false">IFERROR(INDEX('Comparativo de Marcas'!$B:$B,MATCH(12,'Comparativo de Marcas'!$M:$M,0)),"")</f>
        <v>Perfumaria/Colonia</v>
      </c>
      <c r="C14" s="5" t="n">
        <f aca="false">IFERROR(INDEX('Comparativo de Marcas'!$C:$C,MATCH(12,'Comparativo de Marcas'!$M:$M,0)),"")</f>
        <v>0</v>
      </c>
      <c r="D14" s="5" t="n">
        <f aca="false">IFERROR(INDEX('Comparativo de Marcas'!$D:$D,MATCH(12,'Comparativo de Marcas'!$M:$M,0)),"")</f>
        <v>77180</v>
      </c>
      <c r="E14" s="5" t="n">
        <f aca="false">IFERROR(INDEX('Comparativo de Marcas'!$E:$E,MATCH(12,'Comparativo de Marcas'!$M:$M,0)),"")</f>
        <v>235620</v>
      </c>
      <c r="F14" s="5" t="n">
        <f aca="false">IFERROR(INDEX('Comparativo de Marcas'!$F:$F,MATCH(12,'Comparativo de Marcas'!$M:$M,0)),"")</f>
        <v>312800</v>
      </c>
      <c r="G14" s="7" t="n">
        <f aca="false">IFERROR(INDEX('Comparativo de Marcas'!$G:$G,MATCH(12,'Comparativo de Marcas'!$M:$M,0)),"")</f>
        <v>534</v>
      </c>
      <c r="H14" s="16" t="n">
        <f aca="false">IFERROR(INDEX('Comparativo de Marcas'!$I:$I,MATCH(12,'Comparativo de Marcas'!$M:$M,0)),"")</f>
        <v>585.767790262172</v>
      </c>
    </row>
    <row r="15" customFormat="false" ht="15" hidden="false" customHeight="false" outlineLevel="0" collapsed="false">
      <c r="A15" s="13" t="str">
        <f aca="false">IFERROR(INDEX('Comparativo de Marcas'!$A:$A,MATCH(13,'Comparativo de Marcas'!$M:$M,0)),"")</f>
        <v>WELLA</v>
      </c>
      <c r="B15" s="13" t="str">
        <f aca="false">IFERROR(INDEX('Comparativo de Marcas'!$B:$B,MATCH(13,'Comparativo de Marcas'!$M:$M,0)),"")</f>
        <v>Perfumaria/Colonia</v>
      </c>
      <c r="C15" s="5" t="n">
        <f aca="false">IFERROR(INDEX('Comparativo de Marcas'!$C:$C,MATCH(13,'Comparativo de Marcas'!$M:$M,0)),"")</f>
        <v>0</v>
      </c>
      <c r="D15" s="5" t="n">
        <f aca="false">IFERROR(INDEX('Comparativo de Marcas'!$D:$D,MATCH(13,'Comparativo de Marcas'!$M:$M,0)),"")</f>
        <v>0</v>
      </c>
      <c r="E15" s="5" t="n">
        <f aca="false">IFERROR(INDEX('Comparativo de Marcas'!$E:$E,MATCH(13,'Comparativo de Marcas'!$M:$M,0)),"")</f>
        <v>233560</v>
      </c>
      <c r="F15" s="5" t="n">
        <f aca="false">IFERROR(INDEX('Comparativo de Marcas'!$F:$F,MATCH(13,'Comparativo de Marcas'!$M:$M,0)),"")</f>
        <v>233560</v>
      </c>
      <c r="G15" s="7" t="n">
        <f aca="false">IFERROR(INDEX('Comparativo de Marcas'!$G:$G,MATCH(13,'Comparativo de Marcas'!$M:$M,0)),"")</f>
        <v>1501</v>
      </c>
      <c r="H15" s="16" t="n">
        <f aca="false">IFERROR(INDEX('Comparativo de Marcas'!$I:$I,MATCH(13,'Comparativo de Marcas'!$M:$M,0)),"")</f>
        <v>155.602931379081</v>
      </c>
    </row>
    <row r="16" customFormat="false" ht="15" hidden="false" customHeight="false" outlineLevel="0" collapsed="false">
      <c r="A16" s="13" t="str">
        <f aca="false">IFERROR(INDEX('Comparativo de Marcas'!$A:$A,MATCH(14,'Comparativo de Marcas'!$M:$M,0)),"")</f>
        <v>HUGO BOSS</v>
      </c>
      <c r="B16" s="13" t="str">
        <f aca="false">IFERROR(INDEX('Comparativo de Marcas'!$B:$B,MATCH(14,'Comparativo de Marcas'!$M:$M,0)),"")</f>
        <v>Perfumaria/Colonia</v>
      </c>
      <c r="C16" s="5" t="n">
        <f aca="false">IFERROR(INDEX('Comparativo de Marcas'!$C:$C,MATCH(14,'Comparativo de Marcas'!$M:$M,0)),"")</f>
        <v>85500</v>
      </c>
      <c r="D16" s="5" t="n">
        <f aca="false">IFERROR(INDEX('Comparativo de Marcas'!$D:$D,MATCH(14,'Comparativo de Marcas'!$M:$M,0)),"")</f>
        <v>49190</v>
      </c>
      <c r="E16" s="5" t="n">
        <f aca="false">IFERROR(INDEX('Comparativo de Marcas'!$E:$E,MATCH(14,'Comparativo de Marcas'!$M:$M,0)),"")</f>
        <v>76360</v>
      </c>
      <c r="F16" s="5" t="n">
        <f aca="false">IFERROR(INDEX('Comparativo de Marcas'!$F:$F,MATCH(14,'Comparativo de Marcas'!$M:$M,0)),"")</f>
        <v>211050</v>
      </c>
      <c r="G16" s="7" t="n">
        <f aca="false">IFERROR(INDEX('Comparativo de Marcas'!$G:$G,MATCH(14,'Comparativo de Marcas'!$M:$M,0)),"")</f>
        <v>426</v>
      </c>
      <c r="H16" s="16" t="n">
        <f aca="false">IFERROR(INDEX('Comparativo de Marcas'!$I:$I,MATCH(14,'Comparativo de Marcas'!$M:$M,0)),"")</f>
        <v>495.422535211268</v>
      </c>
    </row>
    <row r="17" customFormat="false" ht="15" hidden="false" customHeight="false" outlineLevel="0" collapsed="false">
      <c r="A17" s="13" t="str">
        <f aca="false">IFERROR(INDEX('Comparativo de Marcas'!$A:$A,MATCH(15,'Comparativo de Marcas'!$M:$M,0)),"")</f>
        <v>MARINE SPORTS</v>
      </c>
      <c r="B17" s="13" t="str">
        <f aca="false">IFERROR(INDEX('Comparativo de Marcas'!$B:$B,MATCH(15,'Comparativo de Marcas'!$M:$M,0)),"")</f>
        <v>Pesca/Nautica</v>
      </c>
      <c r="C17" s="5" t="n">
        <f aca="false">IFERROR(INDEX('Comparativo de Marcas'!$C:$C,MATCH(15,'Comparativo de Marcas'!$M:$M,0)),"")</f>
        <v>207870</v>
      </c>
      <c r="D17" s="5" t="n">
        <f aca="false">IFERROR(INDEX('Comparativo de Marcas'!$D:$D,MATCH(15,'Comparativo de Marcas'!$M:$M,0)),"")</f>
        <v>0</v>
      </c>
      <c r="E17" s="5" t="n">
        <f aca="false">IFERROR(INDEX('Comparativo de Marcas'!$E:$E,MATCH(15,'Comparativo de Marcas'!$M:$M,0)),"")</f>
        <v>0</v>
      </c>
      <c r="F17" s="5" t="n">
        <f aca="false">IFERROR(INDEX('Comparativo de Marcas'!$F:$F,MATCH(15,'Comparativo de Marcas'!$M:$M,0)),"")</f>
        <v>207870</v>
      </c>
      <c r="G17" s="7" t="n">
        <f aca="false">IFERROR(INDEX('Comparativo de Marcas'!$G:$G,MATCH(15,'Comparativo de Marcas'!$M:$M,0)),"")</f>
        <v>1351</v>
      </c>
      <c r="H17" s="16" t="n">
        <f aca="false">IFERROR(INDEX('Comparativo de Marcas'!$I:$I,MATCH(15,'Comparativo de Marcas'!$M:$M,0)),"")</f>
        <v>153.863804589193</v>
      </c>
    </row>
    <row r="18" customFormat="false" ht="15" hidden="false" customHeight="false" outlineLevel="0" collapsed="false">
      <c r="A18" s="13" t="str">
        <f aca="false">IFERROR(INDEX('Comparativo de Marcas'!$A:$A,MATCH(16,'Comparativo de Marcas'!$M:$M,0)),"")</f>
        <v>INVICTUS</v>
      </c>
      <c r="B18" s="13" t="str">
        <f aca="false">IFERROR(INDEX('Comparativo de Marcas'!$B:$B,MATCH(16,'Comparativo de Marcas'!$M:$M,0)),"")</f>
        <v>Tatico/Outdoor</v>
      </c>
      <c r="C18" s="5" t="n">
        <f aca="false">IFERROR(INDEX('Comparativo de Marcas'!$C:$C,MATCH(16,'Comparativo de Marcas'!$M:$M,0)),"")</f>
        <v>202830</v>
      </c>
      <c r="D18" s="5" t="n">
        <f aca="false">IFERROR(INDEX('Comparativo de Marcas'!$D:$D,MATCH(16,'Comparativo de Marcas'!$M:$M,0)),"")</f>
        <v>0</v>
      </c>
      <c r="E18" s="5" t="n">
        <f aca="false">IFERROR(INDEX('Comparativo de Marcas'!$E:$E,MATCH(16,'Comparativo de Marcas'!$M:$M,0)),"")</f>
        <v>0</v>
      </c>
      <c r="F18" s="5" t="n">
        <f aca="false">IFERROR(INDEX('Comparativo de Marcas'!$F:$F,MATCH(16,'Comparativo de Marcas'!$M:$M,0)),"")</f>
        <v>202830</v>
      </c>
      <c r="G18" s="7" t="n">
        <f aca="false">IFERROR(INDEX('Comparativo de Marcas'!$G:$G,MATCH(16,'Comparativo de Marcas'!$M:$M,0)),"")</f>
        <v>1208</v>
      </c>
      <c r="H18" s="16" t="n">
        <f aca="false">IFERROR(INDEX('Comparativo de Marcas'!$I:$I,MATCH(16,'Comparativo de Marcas'!$M:$M,0)),"")</f>
        <v>167.905629139073</v>
      </c>
    </row>
    <row r="19" customFormat="false" ht="15" hidden="false" customHeight="false" outlineLevel="0" collapsed="false">
      <c r="A19" s="13" t="str">
        <f aca="false">IFERROR(INDEX('Comparativo de Marcas'!$A:$A,MATCH(17,'Comparativo de Marcas'!$M:$M,0)),"")</f>
        <v>CALVIN KLEIN</v>
      </c>
      <c r="B19" s="13" t="str">
        <f aca="false">IFERROR(INDEX('Comparativo de Marcas'!$B:$B,MATCH(17,'Comparativo de Marcas'!$M:$M,0)),"")</f>
        <v>Perfumaria/Colonia</v>
      </c>
      <c r="C19" s="5" t="n">
        <f aca="false">IFERROR(INDEX('Comparativo de Marcas'!$C:$C,MATCH(17,'Comparativo de Marcas'!$M:$M,0)),"")</f>
        <v>65700</v>
      </c>
      <c r="D19" s="5" t="n">
        <f aca="false">IFERROR(INDEX('Comparativo de Marcas'!$D:$D,MATCH(17,'Comparativo de Marcas'!$M:$M,0)),"")</f>
        <v>128030</v>
      </c>
      <c r="E19" s="5" t="n">
        <f aca="false">IFERROR(INDEX('Comparativo de Marcas'!$E:$E,MATCH(17,'Comparativo de Marcas'!$M:$M,0)),"")</f>
        <v>5280</v>
      </c>
      <c r="F19" s="5" t="n">
        <f aca="false">IFERROR(INDEX('Comparativo de Marcas'!$F:$F,MATCH(17,'Comparativo de Marcas'!$M:$M,0)),"")</f>
        <v>199010</v>
      </c>
      <c r="G19" s="7" t="n">
        <f aca="false">IFERROR(INDEX('Comparativo de Marcas'!$G:$G,MATCH(17,'Comparativo de Marcas'!$M:$M,0)),"")</f>
        <v>507</v>
      </c>
      <c r="H19" s="16" t="n">
        <f aca="false">IFERROR(INDEX('Comparativo de Marcas'!$I:$I,MATCH(17,'Comparativo de Marcas'!$M:$M,0)),"")</f>
        <v>392.524654832347</v>
      </c>
    </row>
    <row r="20" customFormat="false" ht="15" hidden="false" customHeight="false" outlineLevel="0" collapsed="false">
      <c r="A20" s="13" t="str">
        <f aca="false">IFERROR(INDEX('Comparativo de Marcas'!$A:$A,MATCH(18,'Comparativo de Marcas'!$M:$M,0)),"")</f>
        <v>BESTFER</v>
      </c>
      <c r="B20" s="13" t="str">
        <f aca="false">IFERROR(INDEX('Comparativo de Marcas'!$B:$B,MATCH(18,'Comparativo de Marcas'!$M:$M,0)),"")</f>
        <v>Outros/Diversos</v>
      </c>
      <c r="C20" s="5" t="n">
        <f aca="false">IFERROR(INDEX('Comparativo de Marcas'!$C:$C,MATCH(18,'Comparativo de Marcas'!$M:$M,0)),"")</f>
        <v>196270</v>
      </c>
      <c r="D20" s="5" t="n">
        <f aca="false">IFERROR(INDEX('Comparativo de Marcas'!$D:$D,MATCH(18,'Comparativo de Marcas'!$M:$M,0)),"")</f>
        <v>0</v>
      </c>
      <c r="E20" s="5" t="n">
        <f aca="false">IFERROR(INDEX('Comparativo de Marcas'!$E:$E,MATCH(18,'Comparativo de Marcas'!$M:$M,0)),"")</f>
        <v>0</v>
      </c>
      <c r="F20" s="5" t="n">
        <f aca="false">IFERROR(INDEX('Comparativo de Marcas'!$F:$F,MATCH(18,'Comparativo de Marcas'!$M:$M,0)),"")</f>
        <v>196270</v>
      </c>
      <c r="G20" s="7" t="n">
        <f aca="false">IFERROR(INDEX('Comparativo de Marcas'!$G:$G,MATCH(18,'Comparativo de Marcas'!$M:$M,0)),"")</f>
        <v>1905</v>
      </c>
      <c r="H20" s="16" t="n">
        <f aca="false">IFERROR(INDEX('Comparativo de Marcas'!$I:$I,MATCH(18,'Comparativo de Marcas'!$M:$M,0)),"")</f>
        <v>103.028871391076</v>
      </c>
    </row>
    <row r="21" customFormat="false" ht="15" hidden="false" customHeight="false" outlineLevel="0" collapsed="false">
      <c r="A21" s="13" t="str">
        <f aca="false">IFERROR(INDEX('Comparativo de Marcas'!$A:$A,MATCH(19,'Comparativo de Marcas'!$M:$M,0)),"")</f>
        <v>GIORGIO ARMANI</v>
      </c>
      <c r="B21" s="13" t="str">
        <f aca="false">IFERROR(INDEX('Comparativo de Marcas'!$B:$B,MATCH(19,'Comparativo de Marcas'!$M:$M,0)),"")</f>
        <v>Perfumaria/Colonia</v>
      </c>
      <c r="C21" s="5" t="n">
        <f aca="false">IFERROR(INDEX('Comparativo de Marcas'!$C:$C,MATCH(19,'Comparativo de Marcas'!$M:$M,0)),"")</f>
        <v>0</v>
      </c>
      <c r="D21" s="5" t="n">
        <f aca="false">IFERROR(INDEX('Comparativo de Marcas'!$D:$D,MATCH(19,'Comparativo de Marcas'!$M:$M,0)),"")</f>
        <v>0</v>
      </c>
      <c r="E21" s="5" t="n">
        <f aca="false">IFERROR(INDEX('Comparativo de Marcas'!$E:$E,MATCH(19,'Comparativo de Marcas'!$M:$M,0)),"")</f>
        <v>193570</v>
      </c>
      <c r="F21" s="5" t="n">
        <f aca="false">IFERROR(INDEX('Comparativo de Marcas'!$F:$F,MATCH(19,'Comparativo de Marcas'!$M:$M,0)),"")</f>
        <v>193570</v>
      </c>
      <c r="G21" s="7" t="n">
        <f aca="false">IFERROR(INDEX('Comparativo de Marcas'!$G:$G,MATCH(19,'Comparativo de Marcas'!$M:$M,0)),"")</f>
        <v>270</v>
      </c>
      <c r="H21" s="16" t="n">
        <f aca="false">IFERROR(INDEX('Comparativo de Marcas'!$I:$I,MATCH(19,'Comparativo de Marcas'!$M:$M,0)),"")</f>
        <v>716.925925925926</v>
      </c>
    </row>
    <row r="22" customFormat="false" ht="15" hidden="false" customHeight="false" outlineLevel="0" collapsed="false">
      <c r="A22" s="13" t="str">
        <f aca="false">IFERROR(INDEX('Comparativo de Marcas'!$A:$A,MATCH(20,'Comparativo de Marcas'!$M:$M,0)),"")</f>
        <v>JACQUES BOGART</v>
      </c>
      <c r="B22" s="13" t="str">
        <f aca="false">IFERROR(INDEX('Comparativo de Marcas'!$B:$B,MATCH(20,'Comparativo de Marcas'!$M:$M,0)),"")</f>
        <v>Perfumaria/Colonia</v>
      </c>
      <c r="C22" s="5" t="n">
        <f aca="false">IFERROR(INDEX('Comparativo de Marcas'!$C:$C,MATCH(20,'Comparativo de Marcas'!$M:$M,0)),"")</f>
        <v>64100</v>
      </c>
      <c r="D22" s="5" t="n">
        <f aca="false">IFERROR(INDEX('Comparativo de Marcas'!$D:$D,MATCH(20,'Comparativo de Marcas'!$M:$M,0)),"")</f>
        <v>128360</v>
      </c>
      <c r="E22" s="5" t="n">
        <f aca="false">IFERROR(INDEX('Comparativo de Marcas'!$E:$E,MATCH(20,'Comparativo de Marcas'!$M:$M,0)),"")</f>
        <v>0</v>
      </c>
      <c r="F22" s="5" t="n">
        <f aca="false">IFERROR(INDEX('Comparativo de Marcas'!$F:$F,MATCH(20,'Comparativo de Marcas'!$M:$M,0)),"")</f>
        <v>192460</v>
      </c>
      <c r="G22" s="7" t="n">
        <f aca="false">IFERROR(INDEX('Comparativo de Marcas'!$G:$G,MATCH(20,'Comparativo de Marcas'!$M:$M,0)),"")</f>
        <v>635</v>
      </c>
      <c r="H22" s="16" t="n">
        <f aca="false">IFERROR(INDEX('Comparativo de Marcas'!$I:$I,MATCH(20,'Comparativo de Marcas'!$M:$M,0)),"")</f>
        <v>303.086614173228</v>
      </c>
    </row>
    <row r="23" customFormat="false" ht="15" hidden="false" customHeight="false" outlineLevel="0" collapsed="false">
      <c r="A23" s="13" t="str">
        <f aca="false">IFERROR(INDEX('Comparativo de Marcas'!$A:$A,MATCH(21,'Comparativo de Marcas'!$M:$M,0)),"")</f>
        <v>DEWALT</v>
      </c>
      <c r="B23" s="13" t="str">
        <f aca="false">IFERROR(INDEX('Comparativo de Marcas'!$B:$B,MATCH(21,'Comparativo de Marcas'!$M:$M,0)),"")</f>
        <v>Ferramentas</v>
      </c>
      <c r="C23" s="5" t="n">
        <f aca="false">IFERROR(INDEX('Comparativo de Marcas'!$C:$C,MATCH(21,'Comparativo de Marcas'!$M:$M,0)),"")</f>
        <v>190000</v>
      </c>
      <c r="D23" s="5" t="n">
        <f aca="false">IFERROR(INDEX('Comparativo de Marcas'!$D:$D,MATCH(21,'Comparativo de Marcas'!$M:$M,0)),"")</f>
        <v>0</v>
      </c>
      <c r="E23" s="5" t="n">
        <f aca="false">IFERROR(INDEX('Comparativo de Marcas'!$E:$E,MATCH(21,'Comparativo de Marcas'!$M:$M,0)),"")</f>
        <v>0</v>
      </c>
      <c r="F23" s="5" t="n">
        <f aca="false">IFERROR(INDEX('Comparativo de Marcas'!$F:$F,MATCH(21,'Comparativo de Marcas'!$M:$M,0)),"")</f>
        <v>190000</v>
      </c>
      <c r="G23" s="7" t="n">
        <f aca="false">IFERROR(INDEX('Comparativo de Marcas'!$G:$G,MATCH(21,'Comparativo de Marcas'!$M:$M,0)),"")</f>
        <v>218</v>
      </c>
      <c r="H23" s="16" t="n">
        <f aca="false">IFERROR(INDEX('Comparativo de Marcas'!$I:$I,MATCH(21,'Comparativo de Marcas'!$M:$M,0)),"")</f>
        <v>871.559633027523</v>
      </c>
    </row>
    <row r="24" customFormat="false" ht="15" hidden="false" customHeight="false" outlineLevel="0" collapsed="false">
      <c r="A24" s="13" t="str">
        <f aca="false">IFERROR(INDEX('Comparativo de Marcas'!$A:$A,MATCH(22,'Comparativo de Marcas'!$M:$M,0)),"")</f>
        <v>CHLOÉ</v>
      </c>
      <c r="B24" s="13" t="str">
        <f aca="false">IFERROR(INDEX('Comparativo de Marcas'!$B:$B,MATCH(22,'Comparativo de Marcas'!$M:$M,0)),"")</f>
        <v>Perfumaria/Colonia</v>
      </c>
      <c r="C24" s="5" t="n">
        <f aca="false">IFERROR(INDEX('Comparativo de Marcas'!$C:$C,MATCH(22,'Comparativo de Marcas'!$M:$M,0)),"")</f>
        <v>22240</v>
      </c>
      <c r="D24" s="5" t="n">
        <f aca="false">IFERROR(INDEX('Comparativo de Marcas'!$D:$D,MATCH(22,'Comparativo de Marcas'!$M:$M,0)),"")</f>
        <v>86960</v>
      </c>
      <c r="E24" s="5" t="n">
        <f aca="false">IFERROR(INDEX('Comparativo de Marcas'!$E:$E,MATCH(22,'Comparativo de Marcas'!$M:$M,0)),"")</f>
        <v>60830</v>
      </c>
      <c r="F24" s="5" t="n">
        <f aca="false">IFERROR(INDEX('Comparativo de Marcas'!$F:$F,MATCH(22,'Comparativo de Marcas'!$M:$M,0)),"")</f>
        <v>170030</v>
      </c>
      <c r="G24" s="7" t="n">
        <f aca="false">IFERROR(INDEX('Comparativo de Marcas'!$G:$G,MATCH(22,'Comparativo de Marcas'!$M:$M,0)),"")</f>
        <v>267</v>
      </c>
      <c r="H24" s="16" t="n">
        <f aca="false">IFERROR(INDEX('Comparativo de Marcas'!$I:$I,MATCH(22,'Comparativo de Marcas'!$M:$M,0)),"")</f>
        <v>636.816479400749</v>
      </c>
    </row>
    <row r="25" customFormat="false" ht="15" hidden="false" customHeight="false" outlineLevel="0" collapsed="false">
      <c r="A25" s="13" t="str">
        <f aca="false">IFERROR(INDEX('Comparativo de Marcas'!$A:$A,MATCH(23,'Comparativo de Marcas'!$M:$M,0)),"")</f>
        <v>BURBERRY</v>
      </c>
      <c r="B25" s="13" t="str">
        <f aca="false">IFERROR(INDEX('Comparativo de Marcas'!$B:$B,MATCH(23,'Comparativo de Marcas'!$M:$M,0)),"")</f>
        <v>Perfumaria/Colonia</v>
      </c>
      <c r="C25" s="5" t="n">
        <f aca="false">IFERROR(INDEX('Comparativo de Marcas'!$C:$C,MATCH(23,'Comparativo de Marcas'!$M:$M,0)),"")</f>
        <v>33700</v>
      </c>
      <c r="D25" s="5" t="n">
        <f aca="false">IFERROR(INDEX('Comparativo de Marcas'!$D:$D,MATCH(23,'Comparativo de Marcas'!$M:$M,0)),"")</f>
        <v>5390</v>
      </c>
      <c r="E25" s="5" t="n">
        <f aca="false">IFERROR(INDEX('Comparativo de Marcas'!$E:$E,MATCH(23,'Comparativo de Marcas'!$M:$M,0)),"")</f>
        <v>100410</v>
      </c>
      <c r="F25" s="5" t="n">
        <f aca="false">IFERROR(INDEX('Comparativo de Marcas'!$F:$F,MATCH(23,'Comparativo de Marcas'!$M:$M,0)),"")</f>
        <v>139500</v>
      </c>
      <c r="G25" s="7" t="n">
        <f aca="false">IFERROR(INDEX('Comparativo de Marcas'!$G:$G,MATCH(23,'Comparativo de Marcas'!$M:$M,0)),"")</f>
        <v>238</v>
      </c>
      <c r="H25" s="16" t="n">
        <f aca="false">IFERROR(INDEX('Comparativo de Marcas'!$I:$I,MATCH(23,'Comparativo de Marcas'!$M:$M,0)),"")</f>
        <v>586.134453781513</v>
      </c>
    </row>
    <row r="26" customFormat="false" ht="15" hidden="false" customHeight="false" outlineLevel="0" collapsed="false">
      <c r="A26" s="13" t="str">
        <f aca="false">IFERROR(INDEX('Comparativo de Marcas'!$A:$A,MATCH(24,'Comparativo de Marcas'!$M:$M,0)),"")</f>
        <v>BANDERAS</v>
      </c>
      <c r="B26" s="13" t="str">
        <f aca="false">IFERROR(INDEX('Comparativo de Marcas'!$B:$B,MATCH(24,'Comparativo de Marcas'!$M:$M,0)),"")</f>
        <v>Perfumaria/Colonia</v>
      </c>
      <c r="C26" s="5" t="n">
        <f aca="false">IFERROR(INDEX('Comparativo de Marcas'!$C:$C,MATCH(24,'Comparativo de Marcas'!$M:$M,0)),"")</f>
        <v>0</v>
      </c>
      <c r="D26" s="5" t="n">
        <f aca="false">IFERROR(INDEX('Comparativo de Marcas'!$D:$D,MATCH(24,'Comparativo de Marcas'!$M:$M,0)),"")</f>
        <v>17780</v>
      </c>
      <c r="E26" s="5" t="n">
        <f aca="false">IFERROR(INDEX('Comparativo de Marcas'!$E:$E,MATCH(24,'Comparativo de Marcas'!$M:$M,0)),"")</f>
        <v>113580</v>
      </c>
      <c r="F26" s="5" t="n">
        <f aca="false">IFERROR(INDEX('Comparativo de Marcas'!$F:$F,MATCH(24,'Comparativo de Marcas'!$M:$M,0)),"")</f>
        <v>131360</v>
      </c>
      <c r="G26" s="7" t="n">
        <f aca="false">IFERROR(INDEX('Comparativo de Marcas'!$G:$G,MATCH(24,'Comparativo de Marcas'!$M:$M,0)),"")</f>
        <v>653</v>
      </c>
      <c r="H26" s="16" t="n">
        <f aca="false">IFERROR(INDEX('Comparativo de Marcas'!$I:$I,MATCH(24,'Comparativo de Marcas'!$M:$M,0)),"")</f>
        <v>201.163859111792</v>
      </c>
    </row>
    <row r="27" customFormat="false" ht="15" hidden="false" customHeight="false" outlineLevel="0" collapsed="false">
      <c r="A27" s="13" t="str">
        <f aca="false">IFERROR(INDEX('Comparativo de Marcas'!$A:$A,MATCH(25,'Comparativo de Marcas'!$M:$M,0)),"")</f>
        <v>NAUTICA</v>
      </c>
      <c r="B27" s="13" t="str">
        <f aca="false">IFERROR(INDEX('Comparativo de Marcas'!$B:$B,MATCH(25,'Comparativo de Marcas'!$M:$M,0)),"")</f>
        <v>Perfumaria/Colonia</v>
      </c>
      <c r="C27" s="5" t="n">
        <f aca="false">IFERROR(INDEX('Comparativo de Marcas'!$C:$C,MATCH(25,'Comparativo de Marcas'!$M:$M,0)),"")</f>
        <v>114510</v>
      </c>
      <c r="D27" s="5" t="n">
        <f aca="false">IFERROR(INDEX('Comparativo de Marcas'!$D:$D,MATCH(25,'Comparativo de Marcas'!$M:$M,0)),"")</f>
        <v>7270</v>
      </c>
      <c r="E27" s="5" t="n">
        <f aca="false">IFERROR(INDEX('Comparativo de Marcas'!$E:$E,MATCH(25,'Comparativo de Marcas'!$M:$M,0)),"")</f>
        <v>7260</v>
      </c>
      <c r="F27" s="5" t="n">
        <f aca="false">IFERROR(INDEX('Comparativo de Marcas'!$F:$F,MATCH(25,'Comparativo de Marcas'!$M:$M,0)),"")</f>
        <v>129040</v>
      </c>
      <c r="G27" s="7" t="n">
        <f aca="false">IFERROR(INDEX('Comparativo de Marcas'!$G:$G,MATCH(25,'Comparativo de Marcas'!$M:$M,0)),"")</f>
        <v>1224</v>
      </c>
      <c r="H27" s="16" t="n">
        <f aca="false">IFERROR(INDEX('Comparativo de Marcas'!$I:$I,MATCH(25,'Comparativo de Marcas'!$M:$M,0)),"")</f>
        <v>105.424836601307</v>
      </c>
    </row>
    <row r="28" customFormat="false" ht="15" hidden="false" customHeight="false" outlineLevel="0" collapsed="false">
      <c r="A28" s="13" t="str">
        <f aca="false">IFERROR(INDEX('Comparativo de Marcas'!$A:$A,MATCH(26,'Comparativo de Marcas'!$M:$M,0)),"")</f>
        <v>MAHOGANY</v>
      </c>
      <c r="B28" s="13" t="str">
        <f aca="false">IFERROR(INDEX('Comparativo de Marcas'!$B:$B,MATCH(26,'Comparativo de Marcas'!$M:$M,0)),"")</f>
        <v>Perfumaria/Colonia</v>
      </c>
      <c r="C28" s="5" t="n">
        <f aca="false">IFERROR(INDEX('Comparativo de Marcas'!$C:$C,MATCH(26,'Comparativo de Marcas'!$M:$M,0)),"")</f>
        <v>0</v>
      </c>
      <c r="D28" s="5" t="n">
        <f aca="false">IFERROR(INDEX('Comparativo de Marcas'!$D:$D,MATCH(26,'Comparativo de Marcas'!$M:$M,0)),"")</f>
        <v>0</v>
      </c>
      <c r="E28" s="5" t="n">
        <f aca="false">IFERROR(INDEX('Comparativo de Marcas'!$E:$E,MATCH(26,'Comparativo de Marcas'!$M:$M,0)),"")</f>
        <v>114270</v>
      </c>
      <c r="F28" s="5" t="n">
        <f aca="false">IFERROR(INDEX('Comparativo de Marcas'!$F:$F,MATCH(26,'Comparativo de Marcas'!$M:$M,0)),"")</f>
        <v>114270</v>
      </c>
      <c r="G28" s="7" t="n">
        <f aca="false">IFERROR(INDEX('Comparativo de Marcas'!$G:$G,MATCH(26,'Comparativo de Marcas'!$M:$M,0)),"")</f>
        <v>807</v>
      </c>
      <c r="H28" s="16" t="n">
        <f aca="false">IFERROR(INDEX('Comparativo de Marcas'!$I:$I,MATCH(26,'Comparativo de Marcas'!$M:$M,0)),"")</f>
        <v>141.598513011152</v>
      </c>
    </row>
    <row r="29" customFormat="false" ht="15" hidden="false" customHeight="false" outlineLevel="0" collapsed="false">
      <c r="A29" s="13" t="str">
        <f aca="false">IFERROR(INDEX('Comparativo de Marcas'!$A:$A,MATCH(27,'Comparativo de Marcas'!$M:$M,0)),"")</f>
        <v>GUCCI</v>
      </c>
      <c r="B29" s="13" t="str">
        <f aca="false">IFERROR(INDEX('Comparativo de Marcas'!$B:$B,MATCH(27,'Comparativo de Marcas'!$M:$M,0)),"")</f>
        <v>Perfumaria/Colonia</v>
      </c>
      <c r="C29" s="5" t="n">
        <f aca="false">IFERROR(INDEX('Comparativo de Marcas'!$C:$C,MATCH(27,'Comparativo de Marcas'!$M:$M,0)),"")</f>
        <v>0</v>
      </c>
      <c r="D29" s="5" t="n">
        <f aca="false">IFERROR(INDEX('Comparativo de Marcas'!$D:$D,MATCH(27,'Comparativo de Marcas'!$M:$M,0)),"")</f>
        <v>29140</v>
      </c>
      <c r="E29" s="5" t="n">
        <f aca="false">IFERROR(INDEX('Comparativo de Marcas'!$E:$E,MATCH(27,'Comparativo de Marcas'!$M:$M,0)),"")</f>
        <v>85100</v>
      </c>
      <c r="F29" s="5" t="n">
        <f aca="false">IFERROR(INDEX('Comparativo de Marcas'!$F:$F,MATCH(27,'Comparativo de Marcas'!$M:$M,0)),"")</f>
        <v>114240</v>
      </c>
      <c r="G29" s="7" t="n">
        <f aca="false">IFERROR(INDEX('Comparativo de Marcas'!$G:$G,MATCH(27,'Comparativo de Marcas'!$M:$M,0)),"")</f>
        <v>144</v>
      </c>
      <c r="H29" s="16" t="n">
        <f aca="false">IFERROR(INDEX('Comparativo de Marcas'!$I:$I,MATCH(27,'Comparativo de Marcas'!$M:$M,0)),"")</f>
        <v>793.333333333333</v>
      </c>
    </row>
    <row r="30" customFormat="false" ht="15" hidden="false" customHeight="false" outlineLevel="0" collapsed="false">
      <c r="A30" s="13" t="str">
        <f aca="false">IFERROR(INDEX('Comparativo de Marcas'!$A:$A,MATCH(28,'Comparativo de Marcas'!$M:$M,0)),"")</f>
        <v>AZZARO</v>
      </c>
      <c r="B30" s="13" t="str">
        <f aca="false">IFERROR(INDEX('Comparativo de Marcas'!$B:$B,MATCH(28,'Comparativo de Marcas'!$M:$M,0)),"")</f>
        <v>Perfumaria/Colonia</v>
      </c>
      <c r="C30" s="5" t="n">
        <f aca="false">IFERROR(INDEX('Comparativo de Marcas'!$C:$C,MATCH(28,'Comparativo de Marcas'!$M:$M,0)),"")</f>
        <v>67300</v>
      </c>
      <c r="D30" s="5" t="n">
        <f aca="false">IFERROR(INDEX('Comparativo de Marcas'!$D:$D,MATCH(28,'Comparativo de Marcas'!$M:$M,0)),"")</f>
        <v>0</v>
      </c>
      <c r="E30" s="5" t="n">
        <f aca="false">IFERROR(INDEX('Comparativo de Marcas'!$E:$E,MATCH(28,'Comparativo de Marcas'!$M:$M,0)),"")</f>
        <v>46690</v>
      </c>
      <c r="F30" s="5" t="n">
        <f aca="false">IFERROR(INDEX('Comparativo de Marcas'!$F:$F,MATCH(28,'Comparativo de Marcas'!$M:$M,0)),"")</f>
        <v>113990</v>
      </c>
      <c r="G30" s="7" t="n">
        <f aca="false">IFERROR(INDEX('Comparativo de Marcas'!$G:$G,MATCH(28,'Comparativo de Marcas'!$M:$M,0)),"")</f>
        <v>297</v>
      </c>
      <c r="H30" s="16" t="n">
        <f aca="false">IFERROR(INDEX('Comparativo de Marcas'!$I:$I,MATCH(28,'Comparativo de Marcas'!$M:$M,0)),"")</f>
        <v>383.804713804714</v>
      </c>
    </row>
    <row r="31" customFormat="false" ht="15" hidden="false" customHeight="false" outlineLevel="0" collapsed="false">
      <c r="A31" s="13" t="str">
        <f aca="false">IFERROR(INDEX('Comparativo de Marcas'!$A:$A,MATCH(29,'Comparativo de Marcas'!$M:$M,0)),"")</f>
        <v>MAIS - GTECH</v>
      </c>
      <c r="B31" s="13" t="str">
        <f aca="false">IFERROR(INDEX('Comparativo de Marcas'!$B:$B,MATCH(29,'Comparativo de Marcas'!$M:$M,0)),"")</f>
        <v>Saude/Bem-estar</v>
      </c>
      <c r="C31" s="5" t="n">
        <f aca="false">IFERROR(INDEX('Comparativo de Marcas'!$C:$C,MATCH(29,'Comparativo de Marcas'!$M:$M,0)),"")</f>
        <v>110000</v>
      </c>
      <c r="D31" s="5" t="n">
        <f aca="false">IFERROR(INDEX('Comparativo de Marcas'!$D:$D,MATCH(29,'Comparativo de Marcas'!$M:$M,0)),"")</f>
        <v>0</v>
      </c>
      <c r="E31" s="5" t="n">
        <f aca="false">IFERROR(INDEX('Comparativo de Marcas'!$E:$E,MATCH(29,'Comparativo de Marcas'!$M:$M,0)),"")</f>
        <v>0</v>
      </c>
      <c r="F31" s="5" t="n">
        <f aca="false">IFERROR(INDEX('Comparativo de Marcas'!$F:$F,MATCH(29,'Comparativo de Marcas'!$M:$M,0)),"")</f>
        <v>110000</v>
      </c>
      <c r="G31" s="7" t="n">
        <f aca="false">IFERROR(INDEX('Comparativo de Marcas'!$G:$G,MATCH(29,'Comparativo de Marcas'!$M:$M,0)),"")</f>
        <v>820</v>
      </c>
      <c r="H31" s="16" t="n">
        <f aca="false">IFERROR(INDEX('Comparativo de Marcas'!$I:$I,MATCH(29,'Comparativo de Marcas'!$M:$M,0)),"")</f>
        <v>134.146341463415</v>
      </c>
    </row>
    <row r="32" customFormat="false" ht="15" hidden="false" customHeight="false" outlineLevel="0" collapsed="false">
      <c r="A32" s="13" t="str">
        <f aca="false">IFERROR(INDEX('Comparativo de Marcas'!$A:$A,MATCH(30,'Comparativo de Marcas'!$M:$M,0)),"")</f>
        <v>MERCEDES-BENZ</v>
      </c>
      <c r="B32" s="13" t="str">
        <f aca="false">IFERROR(INDEX('Comparativo de Marcas'!$B:$B,MATCH(30,'Comparativo de Marcas'!$M:$M,0)),"")</f>
        <v>Perfumaria/Colonia</v>
      </c>
      <c r="C32" s="5" t="n">
        <f aca="false">IFERROR(INDEX('Comparativo de Marcas'!$C:$C,MATCH(30,'Comparativo de Marcas'!$M:$M,0)),"")</f>
        <v>98400</v>
      </c>
      <c r="D32" s="5" t="n">
        <f aca="false">IFERROR(INDEX('Comparativo de Marcas'!$D:$D,MATCH(30,'Comparativo de Marcas'!$M:$M,0)),"")</f>
        <v>10310</v>
      </c>
      <c r="E32" s="5" t="n">
        <f aca="false">IFERROR(INDEX('Comparativo de Marcas'!$E:$E,MATCH(30,'Comparativo de Marcas'!$M:$M,0)),"")</f>
        <v>0</v>
      </c>
      <c r="F32" s="5" t="n">
        <f aca="false">IFERROR(INDEX('Comparativo de Marcas'!$F:$F,MATCH(30,'Comparativo de Marcas'!$M:$M,0)),"")</f>
        <v>108710</v>
      </c>
      <c r="G32" s="7" t="n">
        <f aca="false">IFERROR(INDEX('Comparativo de Marcas'!$G:$G,MATCH(30,'Comparativo de Marcas'!$M:$M,0)),"")</f>
        <v>340</v>
      </c>
      <c r="H32" s="16" t="n">
        <f aca="false">IFERROR(INDEX('Comparativo de Marcas'!$I:$I,MATCH(30,'Comparativo de Marcas'!$M:$M,0)),"")</f>
        <v>319.735294117647</v>
      </c>
    </row>
    <row r="33" customFormat="false" ht="15" hidden="false" customHeight="false" outlineLevel="0" collapsed="false">
      <c r="A33" s="13" t="str">
        <f aca="false">IFERROR(INDEX('Comparativo de Marcas'!$A:$A,MATCH(31,'Comparativo de Marcas'!$M:$M,0)),"")</f>
        <v>ADA TINA ITALY</v>
      </c>
      <c r="B33" s="13" t="str">
        <f aca="false">IFERROR(INDEX('Comparativo de Marcas'!$B:$B,MATCH(31,'Comparativo de Marcas'!$M:$M,0)),"")</f>
        <v>Cosmeticos/Skincare</v>
      </c>
      <c r="C33" s="5" t="n">
        <f aca="false">IFERROR(INDEX('Comparativo de Marcas'!$C:$C,MATCH(31,'Comparativo de Marcas'!$M:$M,0)),"")</f>
        <v>102490</v>
      </c>
      <c r="D33" s="5" t="n">
        <f aca="false">IFERROR(INDEX('Comparativo de Marcas'!$D:$D,MATCH(31,'Comparativo de Marcas'!$M:$M,0)),"")</f>
        <v>0</v>
      </c>
      <c r="E33" s="5" t="n">
        <f aca="false">IFERROR(INDEX('Comparativo de Marcas'!$E:$E,MATCH(31,'Comparativo de Marcas'!$M:$M,0)),"")</f>
        <v>0</v>
      </c>
      <c r="F33" s="5" t="n">
        <f aca="false">IFERROR(INDEX('Comparativo de Marcas'!$F:$F,MATCH(31,'Comparativo de Marcas'!$M:$M,0)),"")</f>
        <v>102490</v>
      </c>
      <c r="G33" s="7" t="n">
        <f aca="false">IFERROR(INDEX('Comparativo de Marcas'!$G:$G,MATCH(31,'Comparativo de Marcas'!$M:$M,0)),"")</f>
        <v>859</v>
      </c>
      <c r="H33" s="16" t="n">
        <f aca="false">IFERROR(INDEX('Comparativo de Marcas'!$I:$I,MATCH(31,'Comparativo de Marcas'!$M:$M,0)),"")</f>
        <v>119.313154831199</v>
      </c>
    </row>
    <row r="34" customFormat="false" ht="15" hidden="false" customHeight="false" outlineLevel="0" collapsed="false">
      <c r="A34" s="13" t="str">
        <f aca="false">IFERROR(INDEX('Comparativo de Marcas'!$A:$A,MATCH(32,'Comparativo de Marcas'!$M:$M,0)),"")</f>
        <v>BRITNEY SPEARS</v>
      </c>
      <c r="B34" s="13" t="str">
        <f aca="false">IFERROR(INDEX('Comparativo de Marcas'!$B:$B,MATCH(32,'Comparativo de Marcas'!$M:$M,0)),"")</f>
        <v>Perfumaria/Colonia</v>
      </c>
      <c r="C34" s="5" t="n">
        <f aca="false">IFERROR(INDEX('Comparativo de Marcas'!$C:$C,MATCH(32,'Comparativo de Marcas'!$M:$M,0)),"")</f>
        <v>97000</v>
      </c>
      <c r="D34" s="5" t="n">
        <f aca="false">IFERROR(INDEX('Comparativo de Marcas'!$D:$D,MATCH(32,'Comparativo de Marcas'!$M:$M,0)),"")</f>
        <v>2880</v>
      </c>
      <c r="E34" s="5" t="n">
        <f aca="false">IFERROR(INDEX('Comparativo de Marcas'!$E:$E,MATCH(32,'Comparativo de Marcas'!$M:$M,0)),"")</f>
        <v>570</v>
      </c>
      <c r="F34" s="5" t="n">
        <f aca="false">IFERROR(INDEX('Comparativo de Marcas'!$F:$F,MATCH(32,'Comparativo de Marcas'!$M:$M,0)),"")</f>
        <v>100450</v>
      </c>
      <c r="G34" s="7" t="n">
        <f aca="false">IFERROR(INDEX('Comparativo de Marcas'!$G:$G,MATCH(32,'Comparativo de Marcas'!$M:$M,0)),"")</f>
        <v>514</v>
      </c>
      <c r="H34" s="16" t="n">
        <f aca="false">IFERROR(INDEX('Comparativo de Marcas'!$I:$I,MATCH(32,'Comparativo de Marcas'!$M:$M,0)),"")</f>
        <v>195.428015564202</v>
      </c>
    </row>
    <row r="35" customFormat="false" ht="15" hidden="false" customHeight="false" outlineLevel="0" collapsed="false">
      <c r="A35" s="13" t="str">
        <f aca="false">IFERROR(INDEX('Comparativo de Marcas'!$A:$A,MATCH(33,'Comparativo de Marcas'!$M:$M,0)),"")</f>
        <v>KOMECO</v>
      </c>
      <c r="B35" s="13" t="str">
        <f aca="false">IFERROR(INDEX('Comparativo de Marcas'!$B:$B,MATCH(33,'Comparativo de Marcas'!$M:$M,0)),"")</f>
        <v>Casa/Eletrodomesticos</v>
      </c>
      <c r="C35" s="5" t="n">
        <f aca="false">IFERROR(INDEX('Comparativo de Marcas'!$C:$C,MATCH(33,'Comparativo de Marcas'!$M:$M,0)),"")</f>
        <v>98500</v>
      </c>
      <c r="D35" s="5" t="n">
        <f aca="false">IFERROR(INDEX('Comparativo de Marcas'!$D:$D,MATCH(33,'Comparativo de Marcas'!$M:$M,0)),"")</f>
        <v>0</v>
      </c>
      <c r="E35" s="5" t="n">
        <f aca="false">IFERROR(INDEX('Comparativo de Marcas'!$E:$E,MATCH(33,'Comparativo de Marcas'!$M:$M,0)),"")</f>
        <v>0</v>
      </c>
      <c r="F35" s="5" t="n">
        <f aca="false">IFERROR(INDEX('Comparativo de Marcas'!$F:$F,MATCH(33,'Comparativo de Marcas'!$M:$M,0)),"")</f>
        <v>98500</v>
      </c>
      <c r="G35" s="7" t="n">
        <f aca="false">IFERROR(INDEX('Comparativo de Marcas'!$G:$G,MATCH(33,'Comparativo de Marcas'!$M:$M,0)),"")</f>
        <v>186</v>
      </c>
      <c r="H35" s="16" t="n">
        <f aca="false">IFERROR(INDEX('Comparativo de Marcas'!$I:$I,MATCH(33,'Comparativo de Marcas'!$M:$M,0)),"")</f>
        <v>529.569892473118</v>
      </c>
    </row>
    <row r="36" customFormat="false" ht="15" hidden="false" customHeight="false" outlineLevel="0" collapsed="false">
      <c r="A36" s="13" t="str">
        <f aca="false">IFERROR(INDEX('Comparativo de Marcas'!$A:$A,MATCH(34,'Comparativo de Marcas'!$M:$M,0)),"")</f>
        <v>RALPH LAUREN</v>
      </c>
      <c r="B36" s="13" t="str">
        <f aca="false">IFERROR(INDEX('Comparativo de Marcas'!$B:$B,MATCH(34,'Comparativo de Marcas'!$M:$M,0)),"")</f>
        <v>Perfumaria/Colonia</v>
      </c>
      <c r="C36" s="5" t="n">
        <f aca="false">IFERROR(INDEX('Comparativo de Marcas'!$C:$C,MATCH(34,'Comparativo de Marcas'!$M:$M,0)),"")</f>
        <v>0</v>
      </c>
      <c r="D36" s="5" t="n">
        <f aca="false">IFERROR(INDEX('Comparativo de Marcas'!$D:$D,MATCH(34,'Comparativo de Marcas'!$M:$M,0)),"")</f>
        <v>0</v>
      </c>
      <c r="E36" s="5" t="n">
        <f aca="false">IFERROR(INDEX('Comparativo de Marcas'!$E:$E,MATCH(34,'Comparativo de Marcas'!$M:$M,0)),"")</f>
        <v>88440</v>
      </c>
      <c r="F36" s="5" t="n">
        <f aca="false">IFERROR(INDEX('Comparativo de Marcas'!$F:$F,MATCH(34,'Comparativo de Marcas'!$M:$M,0)),"")</f>
        <v>88440</v>
      </c>
      <c r="G36" s="7" t="n">
        <f aca="false">IFERROR(INDEX('Comparativo de Marcas'!$G:$G,MATCH(34,'Comparativo de Marcas'!$M:$M,0)),"")</f>
        <v>125</v>
      </c>
      <c r="H36" s="16" t="n">
        <f aca="false">IFERROR(INDEX('Comparativo de Marcas'!$I:$I,MATCH(34,'Comparativo de Marcas'!$M:$M,0)),"")</f>
        <v>707.52</v>
      </c>
    </row>
    <row r="37" customFormat="false" ht="15" hidden="false" customHeight="false" outlineLevel="0" collapsed="false">
      <c r="A37" s="13" t="str">
        <f aca="false">IFERROR(INDEX('Comparativo de Marcas'!$A:$A,MATCH(35,'Comparativo de Marcas'!$M:$M,0)),"")</f>
        <v>SOFT99</v>
      </c>
      <c r="B37" s="13" t="str">
        <f aca="false">IFERROR(INDEX('Comparativo de Marcas'!$B:$B,MATCH(35,'Comparativo de Marcas'!$M:$M,0)),"")</f>
        <v>Automotivo</v>
      </c>
      <c r="C37" s="5" t="n">
        <f aca="false">IFERROR(INDEX('Comparativo de Marcas'!$C:$C,MATCH(35,'Comparativo de Marcas'!$M:$M,0)),"")</f>
        <v>86100</v>
      </c>
      <c r="D37" s="5" t="n">
        <f aca="false">IFERROR(INDEX('Comparativo de Marcas'!$D:$D,MATCH(35,'Comparativo de Marcas'!$M:$M,0)),"")</f>
        <v>0</v>
      </c>
      <c r="E37" s="5" t="n">
        <f aca="false">IFERROR(INDEX('Comparativo de Marcas'!$E:$E,MATCH(35,'Comparativo de Marcas'!$M:$M,0)),"")</f>
        <v>0</v>
      </c>
      <c r="F37" s="5" t="n">
        <f aca="false">IFERROR(INDEX('Comparativo de Marcas'!$F:$F,MATCH(35,'Comparativo de Marcas'!$M:$M,0)),"")</f>
        <v>86100</v>
      </c>
      <c r="G37" s="7" t="n">
        <f aca="false">IFERROR(INDEX('Comparativo de Marcas'!$G:$G,MATCH(35,'Comparativo de Marcas'!$M:$M,0)),"")</f>
        <v>816</v>
      </c>
      <c r="H37" s="16" t="n">
        <f aca="false">IFERROR(INDEX('Comparativo de Marcas'!$I:$I,MATCH(35,'Comparativo de Marcas'!$M:$M,0)),"")</f>
        <v>105.514705882353</v>
      </c>
    </row>
    <row r="38" customFormat="false" ht="15" hidden="false" customHeight="false" outlineLevel="0" collapsed="false">
      <c r="A38" s="13" t="str">
        <f aca="false">IFERROR(INDEX('Comparativo de Marcas'!$A:$A,MATCH(36,'Comparativo de Marcas'!$M:$M,0)),"")</f>
        <v>MAVALA</v>
      </c>
      <c r="B38" s="13" t="str">
        <f aca="false">IFERROR(INDEX('Comparativo de Marcas'!$B:$B,MATCH(36,'Comparativo de Marcas'!$M:$M,0)),"")</f>
        <v>Outros/Diversos</v>
      </c>
      <c r="C38" s="5" t="n">
        <f aca="false">IFERROR(INDEX('Comparativo de Marcas'!$C:$C,MATCH(36,'Comparativo de Marcas'!$M:$M,0)),"")</f>
        <v>74560</v>
      </c>
      <c r="D38" s="5" t="n">
        <f aca="false">IFERROR(INDEX('Comparativo de Marcas'!$D:$D,MATCH(36,'Comparativo de Marcas'!$M:$M,0)),"")</f>
        <v>0</v>
      </c>
      <c r="E38" s="5" t="n">
        <f aca="false">IFERROR(INDEX('Comparativo de Marcas'!$E:$E,MATCH(36,'Comparativo de Marcas'!$M:$M,0)),"")</f>
        <v>0</v>
      </c>
      <c r="F38" s="5" t="n">
        <f aca="false">IFERROR(INDEX('Comparativo de Marcas'!$F:$F,MATCH(36,'Comparativo de Marcas'!$M:$M,0)),"")</f>
        <v>74560</v>
      </c>
      <c r="G38" s="7" t="n">
        <f aca="false">IFERROR(INDEX('Comparativo de Marcas'!$G:$G,MATCH(36,'Comparativo de Marcas'!$M:$M,0)),"")</f>
        <v>662</v>
      </c>
      <c r="H38" s="16" t="n">
        <f aca="false">IFERROR(INDEX('Comparativo de Marcas'!$I:$I,MATCH(36,'Comparativo de Marcas'!$M:$M,0)),"")</f>
        <v>112.628398791541</v>
      </c>
    </row>
    <row r="39" customFormat="false" ht="15" hidden="false" customHeight="false" outlineLevel="0" collapsed="false">
      <c r="A39" s="13" t="str">
        <f aca="false">IFERROR(INDEX('Comparativo de Marcas'!$A:$A,MATCH(37,'Comparativo de Marcas'!$M:$M,0)),"")</f>
        <v>MONTBLANC</v>
      </c>
      <c r="B39" s="13" t="str">
        <f aca="false">IFERROR(INDEX('Comparativo de Marcas'!$B:$B,MATCH(37,'Comparativo de Marcas'!$M:$M,0)),"")</f>
        <v>Perfumaria/Colonia</v>
      </c>
      <c r="C39" s="5" t="n">
        <f aca="false">IFERROR(INDEX('Comparativo de Marcas'!$C:$C,MATCH(37,'Comparativo de Marcas'!$M:$M,0)),"")</f>
        <v>3000</v>
      </c>
      <c r="D39" s="5" t="n">
        <f aca="false">IFERROR(INDEX('Comparativo de Marcas'!$D:$D,MATCH(37,'Comparativo de Marcas'!$M:$M,0)),"")</f>
        <v>45370</v>
      </c>
      <c r="E39" s="5" t="n">
        <f aca="false">IFERROR(INDEX('Comparativo de Marcas'!$E:$E,MATCH(37,'Comparativo de Marcas'!$M:$M,0)),"")</f>
        <v>24380</v>
      </c>
      <c r="F39" s="5" t="n">
        <f aca="false">IFERROR(INDEX('Comparativo de Marcas'!$F:$F,MATCH(37,'Comparativo de Marcas'!$M:$M,0)),"")</f>
        <v>72750</v>
      </c>
      <c r="G39" s="7" t="n">
        <f aca="false">IFERROR(INDEX('Comparativo de Marcas'!$G:$G,MATCH(37,'Comparativo de Marcas'!$M:$M,0)),"")</f>
        <v>131</v>
      </c>
      <c r="H39" s="16" t="n">
        <f aca="false">IFERROR(INDEX('Comparativo de Marcas'!$I:$I,MATCH(37,'Comparativo de Marcas'!$M:$M,0)),"")</f>
        <v>555.343511450382</v>
      </c>
    </row>
    <row r="40" customFormat="false" ht="15" hidden="false" customHeight="false" outlineLevel="0" collapsed="false">
      <c r="A40" s="13" t="str">
        <f aca="false">IFERROR(INDEX('Comparativo de Marcas'!$A:$A,MATCH(38,'Comparativo de Marcas'!$M:$M,0)),"")</f>
        <v>BLACK &amp; DECKER</v>
      </c>
      <c r="B40" s="13" t="str">
        <f aca="false">IFERROR(INDEX('Comparativo de Marcas'!$B:$B,MATCH(38,'Comparativo de Marcas'!$M:$M,0)),"")</f>
        <v>Ferramentas</v>
      </c>
      <c r="C40" s="5" t="n">
        <f aca="false">IFERROR(INDEX('Comparativo de Marcas'!$C:$C,MATCH(38,'Comparativo de Marcas'!$M:$M,0)),"")</f>
        <v>71620</v>
      </c>
      <c r="D40" s="5" t="n">
        <f aca="false">IFERROR(INDEX('Comparativo de Marcas'!$D:$D,MATCH(38,'Comparativo de Marcas'!$M:$M,0)),"")</f>
        <v>0</v>
      </c>
      <c r="E40" s="5" t="n">
        <f aca="false">IFERROR(INDEX('Comparativo de Marcas'!$E:$E,MATCH(38,'Comparativo de Marcas'!$M:$M,0)),"")</f>
        <v>0</v>
      </c>
      <c r="F40" s="5" t="n">
        <f aca="false">IFERROR(INDEX('Comparativo de Marcas'!$F:$F,MATCH(38,'Comparativo de Marcas'!$M:$M,0)),"")</f>
        <v>71620</v>
      </c>
      <c r="G40" s="7" t="n">
        <f aca="false">IFERROR(INDEX('Comparativo de Marcas'!$G:$G,MATCH(38,'Comparativo de Marcas'!$M:$M,0)),"")</f>
        <v>563</v>
      </c>
      <c r="H40" s="16" t="n">
        <f aca="false">IFERROR(INDEX('Comparativo de Marcas'!$I:$I,MATCH(38,'Comparativo de Marcas'!$M:$M,0)),"")</f>
        <v>127.211367673179</v>
      </c>
    </row>
    <row r="41" customFormat="false" ht="15" hidden="false" customHeight="false" outlineLevel="0" collapsed="false">
      <c r="A41" s="13" t="str">
        <f aca="false">IFERROR(INDEX('Comparativo de Marcas'!$A:$A,MATCH(39,'Comparativo de Marcas'!$M:$M,0)),"")</f>
        <v>ANIMALE</v>
      </c>
      <c r="B41" s="13" t="str">
        <f aca="false">IFERROR(INDEX('Comparativo de Marcas'!$B:$B,MATCH(39,'Comparativo de Marcas'!$M:$M,0)),"")</f>
        <v>Perfumaria/Colonia</v>
      </c>
      <c r="C41" s="5" t="n">
        <f aca="false">IFERROR(INDEX('Comparativo de Marcas'!$C:$C,MATCH(39,'Comparativo de Marcas'!$M:$M,0)),"")</f>
        <v>42900</v>
      </c>
      <c r="D41" s="5" t="n">
        <f aca="false">IFERROR(INDEX('Comparativo de Marcas'!$D:$D,MATCH(39,'Comparativo de Marcas'!$M:$M,0)),"")</f>
        <v>28130</v>
      </c>
      <c r="E41" s="5" t="n">
        <f aca="false">IFERROR(INDEX('Comparativo de Marcas'!$E:$E,MATCH(39,'Comparativo de Marcas'!$M:$M,0)),"")</f>
        <v>0</v>
      </c>
      <c r="F41" s="5" t="n">
        <f aca="false">IFERROR(INDEX('Comparativo de Marcas'!$F:$F,MATCH(39,'Comparativo de Marcas'!$M:$M,0)),"")</f>
        <v>71030</v>
      </c>
      <c r="G41" s="7" t="n">
        <f aca="false">IFERROR(INDEX('Comparativo de Marcas'!$G:$G,MATCH(39,'Comparativo de Marcas'!$M:$M,0)),"")</f>
        <v>256</v>
      </c>
      <c r="H41" s="16" t="n">
        <f aca="false">IFERROR(INDEX('Comparativo de Marcas'!$I:$I,MATCH(39,'Comparativo de Marcas'!$M:$M,0)),"")</f>
        <v>277.4609375</v>
      </c>
    </row>
    <row r="42" customFormat="false" ht="15" hidden="false" customHeight="false" outlineLevel="0" collapsed="false">
      <c r="A42" s="13" t="str">
        <f aca="false">IFERROR(INDEX('Comparativo de Marcas'!$A:$A,MATCH(40,'Comparativo de Marcas'!$M:$M,0)),"")</f>
        <v>GIVENCHY</v>
      </c>
      <c r="B42" s="13" t="str">
        <f aca="false">IFERROR(INDEX('Comparativo de Marcas'!$B:$B,MATCH(40,'Comparativo de Marcas'!$M:$M,0)),"")</f>
        <v>Perfumaria/Colonia</v>
      </c>
      <c r="C42" s="5" t="n">
        <f aca="false">IFERROR(INDEX('Comparativo de Marcas'!$C:$C,MATCH(40,'Comparativo de Marcas'!$M:$M,0)),"")</f>
        <v>60550</v>
      </c>
      <c r="D42" s="5" t="n">
        <f aca="false">IFERROR(INDEX('Comparativo de Marcas'!$D:$D,MATCH(40,'Comparativo de Marcas'!$M:$M,0)),"")</f>
        <v>7660</v>
      </c>
      <c r="E42" s="5" t="n">
        <f aca="false">IFERROR(INDEX('Comparativo de Marcas'!$E:$E,MATCH(40,'Comparativo de Marcas'!$M:$M,0)),"")</f>
        <v>1980</v>
      </c>
      <c r="F42" s="5" t="n">
        <f aca="false">IFERROR(INDEX('Comparativo de Marcas'!$F:$F,MATCH(40,'Comparativo de Marcas'!$M:$M,0)),"")</f>
        <v>70190</v>
      </c>
      <c r="G42" s="7" t="n">
        <f aca="false">IFERROR(INDEX('Comparativo de Marcas'!$G:$G,MATCH(40,'Comparativo de Marcas'!$M:$M,0)),"")</f>
        <v>130</v>
      </c>
      <c r="H42" s="16" t="n">
        <f aca="false">IFERROR(INDEX('Comparativo de Marcas'!$I:$I,MATCH(40,'Comparativo de Marcas'!$M:$M,0)),"")</f>
        <v>539.923076923077</v>
      </c>
    </row>
    <row r="43" customFormat="false" ht="15" hidden="false" customHeight="false" outlineLevel="0" collapsed="false">
      <c r="A43" s="13" t="str">
        <f aca="false">IFERROR(INDEX('Comparativo de Marcas'!$A:$A,MATCH(41,'Comparativo de Marcas'!$M:$M,0)),"")</f>
        <v>NINA RICCI</v>
      </c>
      <c r="B43" s="13" t="str">
        <f aca="false">IFERROR(INDEX('Comparativo de Marcas'!$B:$B,MATCH(41,'Comparativo de Marcas'!$M:$M,0)),"")</f>
        <v>Perfumaria/Colonia</v>
      </c>
      <c r="C43" s="5" t="n">
        <f aca="false">IFERROR(INDEX('Comparativo de Marcas'!$C:$C,MATCH(41,'Comparativo de Marcas'!$M:$M,0)),"")</f>
        <v>0</v>
      </c>
      <c r="D43" s="5" t="n">
        <f aca="false">IFERROR(INDEX('Comparativo de Marcas'!$D:$D,MATCH(41,'Comparativo de Marcas'!$M:$M,0)),"")</f>
        <v>23210</v>
      </c>
      <c r="E43" s="5" t="n">
        <f aca="false">IFERROR(INDEX('Comparativo de Marcas'!$E:$E,MATCH(41,'Comparativo de Marcas'!$M:$M,0)),"")</f>
        <v>44890</v>
      </c>
      <c r="F43" s="5" t="n">
        <f aca="false">IFERROR(INDEX('Comparativo de Marcas'!$F:$F,MATCH(41,'Comparativo de Marcas'!$M:$M,0)),"")</f>
        <v>68100</v>
      </c>
      <c r="G43" s="7" t="n">
        <f aca="false">IFERROR(INDEX('Comparativo de Marcas'!$G:$G,MATCH(41,'Comparativo de Marcas'!$M:$M,0)),"")</f>
        <v>149</v>
      </c>
      <c r="H43" s="16" t="n">
        <f aca="false">IFERROR(INDEX('Comparativo de Marcas'!$I:$I,MATCH(41,'Comparativo de Marcas'!$M:$M,0)),"")</f>
        <v>457.046979865772</v>
      </c>
    </row>
    <row r="44" customFormat="false" ht="15" hidden="false" customHeight="false" outlineLevel="0" collapsed="false">
      <c r="A44" s="13" t="str">
        <f aca="false">IFERROR(INDEX('Comparativo de Marcas'!$A:$A,MATCH(42,'Comparativo de Marcas'!$M:$M,0)),"")</f>
        <v>CENTRAL NUTRITION</v>
      </c>
      <c r="B44" s="13" t="str">
        <f aca="false">IFERROR(INDEX('Comparativo de Marcas'!$B:$B,MATCH(42,'Comparativo de Marcas'!$M:$M,0)),"")</f>
        <v>Suplementos/Nutricao</v>
      </c>
      <c r="C44" s="5" t="n">
        <f aca="false">IFERROR(INDEX('Comparativo de Marcas'!$C:$C,MATCH(42,'Comparativo de Marcas'!$M:$M,0)),"")</f>
        <v>65400</v>
      </c>
      <c r="D44" s="5" t="n">
        <f aca="false">IFERROR(INDEX('Comparativo de Marcas'!$D:$D,MATCH(42,'Comparativo de Marcas'!$M:$M,0)),"")</f>
        <v>0</v>
      </c>
      <c r="E44" s="5" t="n">
        <f aca="false">IFERROR(INDEX('Comparativo de Marcas'!$E:$E,MATCH(42,'Comparativo de Marcas'!$M:$M,0)),"")</f>
        <v>0</v>
      </c>
      <c r="F44" s="5" t="n">
        <f aca="false">IFERROR(INDEX('Comparativo de Marcas'!$F:$F,MATCH(42,'Comparativo de Marcas'!$M:$M,0)),"")</f>
        <v>65400</v>
      </c>
      <c r="G44" s="7" t="n">
        <f aca="false">IFERROR(INDEX('Comparativo de Marcas'!$G:$G,MATCH(42,'Comparativo de Marcas'!$M:$M,0)),"")</f>
        <v>300</v>
      </c>
      <c r="H44" s="16" t="n">
        <f aca="false">IFERROR(INDEX('Comparativo de Marcas'!$I:$I,MATCH(42,'Comparativo de Marcas'!$M:$M,0)),"")</f>
        <v>218</v>
      </c>
    </row>
    <row r="45" customFormat="false" ht="15" hidden="false" customHeight="false" outlineLevel="0" collapsed="false">
      <c r="A45" s="13" t="str">
        <f aca="false">IFERROR(INDEX('Comparativo de Marcas'!$A:$A,MATCH(43,'Comparativo de Marcas'!$M:$M,0)),"")</f>
        <v>DAVIDOFF</v>
      </c>
      <c r="B45" s="13" t="str">
        <f aca="false">IFERROR(INDEX('Comparativo de Marcas'!$B:$B,MATCH(43,'Comparativo de Marcas'!$M:$M,0)),"")</f>
        <v>Perfumaria/Colonia</v>
      </c>
      <c r="C45" s="5" t="n">
        <f aca="false">IFERROR(INDEX('Comparativo de Marcas'!$C:$C,MATCH(43,'Comparativo de Marcas'!$M:$M,0)),"")</f>
        <v>30800</v>
      </c>
      <c r="D45" s="5" t="n">
        <f aca="false">IFERROR(INDEX('Comparativo de Marcas'!$D:$D,MATCH(43,'Comparativo de Marcas'!$M:$M,0)),"")</f>
        <v>28790</v>
      </c>
      <c r="E45" s="5" t="n">
        <f aca="false">IFERROR(INDEX('Comparativo de Marcas'!$E:$E,MATCH(43,'Comparativo de Marcas'!$M:$M,0)),"")</f>
        <v>3160</v>
      </c>
      <c r="F45" s="5" t="n">
        <f aca="false">IFERROR(INDEX('Comparativo de Marcas'!$F:$F,MATCH(43,'Comparativo de Marcas'!$M:$M,0)),"")</f>
        <v>62750</v>
      </c>
      <c r="G45" s="7" t="n">
        <f aca="false">IFERROR(INDEX('Comparativo de Marcas'!$G:$G,MATCH(43,'Comparativo de Marcas'!$M:$M,0)),"")</f>
        <v>281</v>
      </c>
      <c r="H45" s="16" t="n">
        <f aca="false">IFERROR(INDEX('Comparativo de Marcas'!$I:$I,MATCH(43,'Comparativo de Marcas'!$M:$M,0)),"")</f>
        <v>223.309608540925</v>
      </c>
    </row>
    <row r="46" customFormat="false" ht="15" hidden="false" customHeight="false" outlineLevel="0" collapsed="false">
      <c r="A46" s="13" t="str">
        <f aca="false">IFERROR(INDEX('Comparativo de Marcas'!$A:$A,MATCH(44,'Comparativo de Marcas'!$M:$M,0)),"")</f>
        <v>ARMAF</v>
      </c>
      <c r="B46" s="13" t="str">
        <f aca="false">IFERROR(INDEX('Comparativo de Marcas'!$B:$B,MATCH(44,'Comparativo de Marcas'!$M:$M,0)),"")</f>
        <v>Perfumaria/Colonia</v>
      </c>
      <c r="C46" s="5" t="n">
        <f aca="false">IFERROR(INDEX('Comparativo de Marcas'!$C:$C,MATCH(44,'Comparativo de Marcas'!$M:$M,0)),"")</f>
        <v>1810</v>
      </c>
      <c r="D46" s="5" t="n">
        <f aca="false">IFERROR(INDEX('Comparativo de Marcas'!$D:$D,MATCH(44,'Comparativo de Marcas'!$M:$M,0)),"")</f>
        <v>46710</v>
      </c>
      <c r="E46" s="5" t="n">
        <f aca="false">IFERROR(INDEX('Comparativo de Marcas'!$E:$E,MATCH(44,'Comparativo de Marcas'!$M:$M,0)),"")</f>
        <v>7670</v>
      </c>
      <c r="F46" s="5" t="n">
        <f aca="false">IFERROR(INDEX('Comparativo de Marcas'!$F:$F,MATCH(44,'Comparativo de Marcas'!$M:$M,0)),"")</f>
        <v>56190</v>
      </c>
      <c r="G46" s="7" t="n">
        <f aca="false">IFERROR(INDEX('Comparativo de Marcas'!$G:$G,MATCH(44,'Comparativo de Marcas'!$M:$M,0)),"")</f>
        <v>161</v>
      </c>
      <c r="H46" s="16" t="n">
        <f aca="false">IFERROR(INDEX('Comparativo de Marcas'!$I:$I,MATCH(44,'Comparativo de Marcas'!$M:$M,0)),"")</f>
        <v>349.006211180124</v>
      </c>
    </row>
    <row r="47" customFormat="false" ht="15" hidden="false" customHeight="false" outlineLevel="0" collapsed="false">
      <c r="A47" s="13" t="str">
        <f aca="false">IFERROR(INDEX('Comparativo de Marcas'!$A:$A,MATCH(45,'Comparativo de Marcas'!$M:$M,0)),"")</f>
        <v>MARINE</v>
      </c>
      <c r="B47" s="13" t="str">
        <f aca="false">IFERROR(INDEX('Comparativo de Marcas'!$B:$B,MATCH(45,'Comparativo de Marcas'!$M:$M,0)),"")</f>
        <v>Pesca/Nautica</v>
      </c>
      <c r="C47" s="5" t="n">
        <f aca="false">IFERROR(INDEX('Comparativo de Marcas'!$C:$C,MATCH(45,'Comparativo de Marcas'!$M:$M,0)),"")</f>
        <v>52600</v>
      </c>
      <c r="D47" s="5" t="n">
        <f aca="false">IFERROR(INDEX('Comparativo de Marcas'!$D:$D,MATCH(45,'Comparativo de Marcas'!$M:$M,0)),"")</f>
        <v>0</v>
      </c>
      <c r="E47" s="5" t="n">
        <f aca="false">IFERROR(INDEX('Comparativo de Marcas'!$E:$E,MATCH(45,'Comparativo de Marcas'!$M:$M,0)),"")</f>
        <v>0</v>
      </c>
      <c r="F47" s="5" t="n">
        <f aca="false">IFERROR(INDEX('Comparativo de Marcas'!$F:$F,MATCH(45,'Comparativo de Marcas'!$M:$M,0)),"")</f>
        <v>52600</v>
      </c>
      <c r="G47" s="7" t="n">
        <f aca="false">IFERROR(INDEX('Comparativo de Marcas'!$G:$G,MATCH(45,'Comparativo de Marcas'!$M:$M,0)),"")</f>
        <v>150</v>
      </c>
      <c r="H47" s="16" t="n">
        <f aca="false">IFERROR(INDEX('Comparativo de Marcas'!$I:$I,MATCH(45,'Comparativo de Marcas'!$M:$M,0)),"")</f>
        <v>350.666666666667</v>
      </c>
    </row>
    <row r="48" customFormat="false" ht="15" hidden="false" customHeight="false" outlineLevel="0" collapsed="false">
      <c r="A48" s="13" t="str">
        <f aca="false">IFERROR(INDEX('Comparativo de Marcas'!$A:$A,MATCH(46,'Comparativo de Marcas'!$M:$M,0)),"")</f>
        <v>GABRIELA SABATINI</v>
      </c>
      <c r="B48" s="13" t="str">
        <f aca="false">IFERROR(INDEX('Comparativo de Marcas'!$B:$B,MATCH(46,'Comparativo de Marcas'!$M:$M,0)),"")</f>
        <v>Perfumaria/Colonia</v>
      </c>
      <c r="C48" s="5" t="n">
        <f aca="false">IFERROR(INDEX('Comparativo de Marcas'!$C:$C,MATCH(46,'Comparativo de Marcas'!$M:$M,0)),"")</f>
        <v>45700</v>
      </c>
      <c r="D48" s="5" t="n">
        <f aca="false">IFERROR(INDEX('Comparativo de Marcas'!$D:$D,MATCH(46,'Comparativo de Marcas'!$M:$M,0)),"")</f>
        <v>5710</v>
      </c>
      <c r="E48" s="5" t="n">
        <f aca="false">IFERROR(INDEX('Comparativo de Marcas'!$E:$E,MATCH(46,'Comparativo de Marcas'!$M:$M,0)),"")</f>
        <v>680</v>
      </c>
      <c r="F48" s="5" t="n">
        <f aca="false">IFERROR(INDEX('Comparativo de Marcas'!$F:$F,MATCH(46,'Comparativo de Marcas'!$M:$M,0)),"")</f>
        <v>52090</v>
      </c>
      <c r="G48" s="7" t="n">
        <f aca="false">IFERROR(INDEX('Comparativo de Marcas'!$G:$G,MATCH(46,'Comparativo de Marcas'!$M:$M,0)),"")</f>
        <v>520</v>
      </c>
      <c r="H48" s="16" t="n">
        <f aca="false">IFERROR(INDEX('Comparativo de Marcas'!$I:$I,MATCH(46,'Comparativo de Marcas'!$M:$M,0)),"")</f>
        <v>100.173076923077</v>
      </c>
    </row>
    <row r="49" customFormat="false" ht="15" hidden="false" customHeight="false" outlineLevel="0" collapsed="false">
      <c r="A49" s="13" t="str">
        <f aca="false">IFERROR(INDEX('Comparativo de Marcas'!$A:$A,MATCH(47,'Comparativo de Marcas'!$M:$M,0)),"")</f>
        <v>JOOP!</v>
      </c>
      <c r="B49" s="13" t="str">
        <f aca="false">IFERROR(INDEX('Comparativo de Marcas'!$B:$B,MATCH(47,'Comparativo de Marcas'!$M:$M,0)),"")</f>
        <v>Perfumaria/Colonia</v>
      </c>
      <c r="C49" s="5" t="n">
        <f aca="false">IFERROR(INDEX('Comparativo de Marcas'!$C:$C,MATCH(47,'Comparativo de Marcas'!$M:$M,0)),"")</f>
        <v>41400</v>
      </c>
      <c r="D49" s="5" t="n">
        <f aca="false">IFERROR(INDEX('Comparativo de Marcas'!$D:$D,MATCH(47,'Comparativo de Marcas'!$M:$M,0)),"")</f>
        <v>10000</v>
      </c>
      <c r="E49" s="5" t="n">
        <f aca="false">IFERROR(INDEX('Comparativo de Marcas'!$E:$E,MATCH(47,'Comparativo de Marcas'!$M:$M,0)),"")</f>
        <v>510</v>
      </c>
      <c r="F49" s="5" t="n">
        <f aca="false">IFERROR(INDEX('Comparativo de Marcas'!$F:$F,MATCH(47,'Comparativo de Marcas'!$M:$M,0)),"")</f>
        <v>51910</v>
      </c>
      <c r="G49" s="7" t="n">
        <f aca="false">IFERROR(INDEX('Comparativo de Marcas'!$G:$G,MATCH(47,'Comparativo de Marcas'!$M:$M,0)),"")</f>
        <v>235</v>
      </c>
      <c r="H49" s="16" t="n">
        <f aca="false">IFERROR(INDEX('Comparativo de Marcas'!$I:$I,MATCH(47,'Comparativo de Marcas'!$M:$M,0)),"")</f>
        <v>220.893617021277</v>
      </c>
    </row>
    <row r="50" customFormat="false" ht="15" hidden="false" customHeight="false" outlineLevel="0" collapsed="false">
      <c r="A50" s="13" t="str">
        <f aca="false">IFERROR(INDEX('Comparativo de Marcas'!$A:$A,MATCH(48,'Comparativo de Marcas'!$M:$M,0)),"")</f>
        <v>WESCO</v>
      </c>
      <c r="B50" s="13" t="str">
        <f aca="false">IFERROR(INDEX('Comparativo de Marcas'!$B:$B,MATCH(48,'Comparativo de Marcas'!$M:$M,0)),"")</f>
        <v>Ferramentas</v>
      </c>
      <c r="C50" s="5" t="n">
        <f aca="false">IFERROR(INDEX('Comparativo de Marcas'!$C:$C,MATCH(48,'Comparativo de Marcas'!$M:$M,0)),"")</f>
        <v>49300</v>
      </c>
      <c r="D50" s="5" t="n">
        <f aca="false">IFERROR(INDEX('Comparativo de Marcas'!$D:$D,MATCH(48,'Comparativo de Marcas'!$M:$M,0)),"")</f>
        <v>0</v>
      </c>
      <c r="E50" s="5" t="n">
        <f aca="false">IFERROR(INDEX('Comparativo de Marcas'!$E:$E,MATCH(48,'Comparativo de Marcas'!$M:$M,0)),"")</f>
        <v>0</v>
      </c>
      <c r="F50" s="5" t="n">
        <f aca="false">IFERROR(INDEX('Comparativo de Marcas'!$F:$F,MATCH(48,'Comparativo de Marcas'!$M:$M,0)),"")</f>
        <v>49300</v>
      </c>
      <c r="G50" s="7" t="n">
        <f aca="false">IFERROR(INDEX('Comparativo de Marcas'!$G:$G,MATCH(48,'Comparativo de Marcas'!$M:$M,0)),"")</f>
        <v>267</v>
      </c>
      <c r="H50" s="16" t="n">
        <f aca="false">IFERROR(INDEX('Comparativo de Marcas'!$I:$I,MATCH(48,'Comparativo de Marcas'!$M:$M,0)),"")</f>
        <v>184.644194756554</v>
      </c>
    </row>
    <row r="51" customFormat="false" ht="15" hidden="false" customHeight="false" outlineLevel="0" collapsed="false">
      <c r="A51" s="13" t="str">
        <f aca="false">IFERROR(INDEX('Comparativo de Marcas'!$A:$A,MATCH(49,'Comparativo de Marcas'!$M:$M,0)),"")</f>
        <v>TOMMY HILFIGER</v>
      </c>
      <c r="B51" s="13" t="str">
        <f aca="false">IFERROR(INDEX('Comparativo de Marcas'!$B:$B,MATCH(49,'Comparativo de Marcas'!$M:$M,0)),"")</f>
        <v>Perfumaria/Colonia</v>
      </c>
      <c r="C51" s="5" t="n">
        <f aca="false">IFERROR(INDEX('Comparativo de Marcas'!$C:$C,MATCH(49,'Comparativo de Marcas'!$M:$M,0)),"")</f>
        <v>26220</v>
      </c>
      <c r="D51" s="5" t="n">
        <f aca="false">IFERROR(INDEX('Comparativo de Marcas'!$D:$D,MATCH(49,'Comparativo de Marcas'!$M:$M,0)),"")</f>
        <v>22580</v>
      </c>
      <c r="E51" s="5" t="n">
        <f aca="false">IFERROR(INDEX('Comparativo de Marcas'!$E:$E,MATCH(49,'Comparativo de Marcas'!$M:$M,0)),"")</f>
        <v>0</v>
      </c>
      <c r="F51" s="5" t="n">
        <f aca="false">IFERROR(INDEX('Comparativo de Marcas'!$F:$F,MATCH(49,'Comparativo de Marcas'!$M:$M,0)),"")</f>
        <v>48800</v>
      </c>
      <c r="G51" s="7" t="n">
        <f aca="false">IFERROR(INDEX('Comparativo de Marcas'!$G:$G,MATCH(49,'Comparativo de Marcas'!$M:$M,0)),"")</f>
        <v>119</v>
      </c>
      <c r="H51" s="16" t="n">
        <f aca="false">IFERROR(INDEX('Comparativo de Marcas'!$I:$I,MATCH(49,'Comparativo de Marcas'!$M:$M,0)),"")</f>
        <v>410.084033613445</v>
      </c>
    </row>
    <row r="52" customFormat="false" ht="15" hidden="false" customHeight="false" outlineLevel="0" collapsed="false">
      <c r="A52" s="13" t="str">
        <f aca="false">IFERROR(INDEX('Comparativo de Marcas'!$A:$A,MATCH(50,'Comparativo de Marcas'!$M:$M,0)),"")</f>
        <v>MOSCHINO</v>
      </c>
      <c r="B52" s="13" t="str">
        <f aca="false">IFERROR(INDEX('Comparativo de Marcas'!$B:$B,MATCH(50,'Comparativo de Marcas'!$M:$M,0)),"")</f>
        <v>Perfumaria/Colonia</v>
      </c>
      <c r="C52" s="5" t="n">
        <f aca="false">IFERROR(INDEX('Comparativo de Marcas'!$C:$C,MATCH(50,'Comparativo de Marcas'!$M:$M,0)),"")</f>
        <v>6540</v>
      </c>
      <c r="D52" s="5" t="n">
        <f aca="false">IFERROR(INDEX('Comparativo de Marcas'!$D:$D,MATCH(50,'Comparativo de Marcas'!$M:$M,0)),"")</f>
        <v>9470</v>
      </c>
      <c r="E52" s="5" t="n">
        <f aca="false">IFERROR(INDEX('Comparativo de Marcas'!$E:$E,MATCH(50,'Comparativo de Marcas'!$M:$M,0)),"")</f>
        <v>29510</v>
      </c>
      <c r="F52" s="5" t="n">
        <f aca="false">IFERROR(INDEX('Comparativo de Marcas'!$F:$F,MATCH(50,'Comparativo de Marcas'!$M:$M,0)),"")</f>
        <v>45520</v>
      </c>
      <c r="G52" s="7" t="n">
        <f aca="false">IFERROR(INDEX('Comparativo de Marcas'!$G:$G,MATCH(50,'Comparativo de Marcas'!$M:$M,0)),"")</f>
        <v>125</v>
      </c>
      <c r="H52" s="16" t="n">
        <f aca="false">IFERROR(INDEX('Comparativo de Marcas'!$I:$I,MATCH(50,'Comparativo de Marcas'!$M:$M,0)),"")</f>
        <v>364.16</v>
      </c>
    </row>
    <row r="53" customFormat="false" ht="15" hidden="false" customHeight="false" outlineLevel="0" collapsed="false">
      <c r="A53" s="13" t="str">
        <f aca="false">IFERROR(INDEX('Comparativo de Marcas'!$A:$A,MATCH(51,'Comparativo de Marcas'!$M:$M,0)),"")</f>
        <v>LORENZETTI</v>
      </c>
      <c r="B53" s="13" t="str">
        <f aca="false">IFERROR(INDEX('Comparativo de Marcas'!$B:$B,MATCH(51,'Comparativo de Marcas'!$M:$M,0)),"")</f>
        <v>Casa/Eletrodomesticos</v>
      </c>
      <c r="C53" s="5" t="n">
        <f aca="false">IFERROR(INDEX('Comparativo de Marcas'!$C:$C,MATCH(51,'Comparativo de Marcas'!$M:$M,0)),"")</f>
        <v>45270</v>
      </c>
      <c r="D53" s="5" t="n">
        <f aca="false">IFERROR(INDEX('Comparativo de Marcas'!$D:$D,MATCH(51,'Comparativo de Marcas'!$M:$M,0)),"")</f>
        <v>0</v>
      </c>
      <c r="E53" s="5" t="n">
        <f aca="false">IFERROR(INDEX('Comparativo de Marcas'!$E:$E,MATCH(51,'Comparativo de Marcas'!$M:$M,0)),"")</f>
        <v>0</v>
      </c>
      <c r="F53" s="5" t="n">
        <f aca="false">IFERROR(INDEX('Comparativo de Marcas'!$F:$F,MATCH(51,'Comparativo de Marcas'!$M:$M,0)),"")</f>
        <v>45270</v>
      </c>
      <c r="G53" s="7" t="n">
        <f aca="false">IFERROR(INDEX('Comparativo de Marcas'!$G:$G,MATCH(51,'Comparativo de Marcas'!$M:$M,0)),"")</f>
        <v>175</v>
      </c>
      <c r="H53" s="16" t="n">
        <f aca="false">IFERROR(INDEX('Comparativo de Marcas'!$I:$I,MATCH(51,'Comparativo de Marcas'!$M:$M,0)),"")</f>
        <v>258.685714285714</v>
      </c>
    </row>
    <row r="54" customFormat="false" ht="15" hidden="false" customHeight="false" outlineLevel="0" collapsed="false">
      <c r="A54" s="13" t="str">
        <f aca="false">IFERROR(INDEX('Comparativo de Marcas'!$A:$A,MATCH(52,'Comparativo de Marcas'!$M:$M,0)),"")</f>
        <v>PLAYSTATION</v>
      </c>
      <c r="B54" s="13" t="str">
        <f aca="false">IFERROR(INDEX('Comparativo de Marcas'!$B:$B,MATCH(52,'Comparativo de Marcas'!$M:$M,0)),"")</f>
        <v>Eletronicos/Games</v>
      </c>
      <c r="C54" s="5" t="n">
        <f aca="false">IFERROR(INDEX('Comparativo de Marcas'!$C:$C,MATCH(52,'Comparativo de Marcas'!$M:$M,0)),"")</f>
        <v>42000</v>
      </c>
      <c r="D54" s="5" t="n">
        <f aca="false">IFERROR(INDEX('Comparativo de Marcas'!$D:$D,MATCH(52,'Comparativo de Marcas'!$M:$M,0)),"")</f>
        <v>0</v>
      </c>
      <c r="E54" s="5" t="n">
        <f aca="false">IFERROR(INDEX('Comparativo de Marcas'!$E:$E,MATCH(52,'Comparativo de Marcas'!$M:$M,0)),"")</f>
        <v>0</v>
      </c>
      <c r="F54" s="5" t="n">
        <f aca="false">IFERROR(INDEX('Comparativo de Marcas'!$F:$F,MATCH(52,'Comparativo de Marcas'!$M:$M,0)),"")</f>
        <v>42000</v>
      </c>
      <c r="G54" s="7" t="n">
        <f aca="false">IFERROR(INDEX('Comparativo de Marcas'!$G:$G,MATCH(52,'Comparativo de Marcas'!$M:$M,0)),"")</f>
        <v>103</v>
      </c>
      <c r="H54" s="16" t="n">
        <f aca="false">IFERROR(INDEX('Comparativo de Marcas'!$I:$I,MATCH(52,'Comparativo de Marcas'!$M:$M,0)),"")</f>
        <v>407.766990291262</v>
      </c>
    </row>
    <row r="55" customFormat="false" ht="15" hidden="false" customHeight="false" outlineLevel="0" collapsed="false">
      <c r="A55" s="13" t="str">
        <f aca="false">IFERROR(INDEX('Comparativo de Marcas'!$A:$A,MATCH(53,'Comparativo de Marcas'!$M:$M,0)),"")</f>
        <v>AL WATANIAH</v>
      </c>
      <c r="B55" s="13" t="str">
        <f aca="false">IFERROR(INDEX('Comparativo de Marcas'!$B:$B,MATCH(53,'Comparativo de Marcas'!$M:$M,0)),"")</f>
        <v>Perfumaria/Colonia</v>
      </c>
      <c r="C55" s="5" t="n">
        <f aca="false">IFERROR(INDEX('Comparativo de Marcas'!$C:$C,MATCH(53,'Comparativo de Marcas'!$M:$M,0)),"")</f>
        <v>23250</v>
      </c>
      <c r="D55" s="5" t="n">
        <f aca="false">IFERROR(INDEX('Comparativo de Marcas'!$D:$D,MATCH(53,'Comparativo de Marcas'!$M:$M,0)),"")</f>
        <v>9230</v>
      </c>
      <c r="E55" s="5" t="n">
        <f aca="false">IFERROR(INDEX('Comparativo de Marcas'!$E:$E,MATCH(53,'Comparativo de Marcas'!$M:$M,0)),"")</f>
        <v>0</v>
      </c>
      <c r="F55" s="5" t="n">
        <f aca="false">IFERROR(INDEX('Comparativo de Marcas'!$F:$F,MATCH(53,'Comparativo de Marcas'!$M:$M,0)),"")</f>
        <v>32480</v>
      </c>
      <c r="G55" s="7" t="n">
        <f aca="false">IFERROR(INDEX('Comparativo de Marcas'!$G:$G,MATCH(53,'Comparativo de Marcas'!$M:$M,0)),"")</f>
        <v>184</v>
      </c>
      <c r="H55" s="16" t="n">
        <f aca="false">IFERROR(INDEX('Comparativo de Marcas'!$I:$I,MATCH(53,'Comparativo de Marcas'!$M:$M,0)),"")</f>
        <v>176.521739130435</v>
      </c>
    </row>
    <row r="56" customFormat="false" ht="15" hidden="false" customHeight="false" outlineLevel="0" collapsed="false">
      <c r="A56" s="13" t="str">
        <f aca="false">IFERROR(INDEX('Comparativo de Marcas'!$A:$A,MATCH(54,'Comparativo de Marcas'!$M:$M,0)),"")</f>
        <v>ELIZABETH ARDEN</v>
      </c>
      <c r="B56" s="13" t="str">
        <f aca="false">IFERROR(INDEX('Comparativo de Marcas'!$B:$B,MATCH(54,'Comparativo de Marcas'!$M:$M,0)),"")</f>
        <v>Perfumaria/Colonia</v>
      </c>
      <c r="C56" s="5" t="n">
        <f aca="false">IFERROR(INDEX('Comparativo de Marcas'!$C:$C,MATCH(54,'Comparativo de Marcas'!$M:$M,0)),"")</f>
        <v>23300</v>
      </c>
      <c r="D56" s="5" t="n">
        <f aca="false">IFERROR(INDEX('Comparativo de Marcas'!$D:$D,MATCH(54,'Comparativo de Marcas'!$M:$M,0)),"")</f>
        <v>8390</v>
      </c>
      <c r="E56" s="5" t="n">
        <f aca="false">IFERROR(INDEX('Comparativo de Marcas'!$E:$E,MATCH(54,'Comparativo de Marcas'!$M:$M,0)),"")</f>
        <v>0</v>
      </c>
      <c r="F56" s="5" t="n">
        <f aca="false">IFERROR(INDEX('Comparativo de Marcas'!$F:$F,MATCH(54,'Comparativo de Marcas'!$M:$M,0)),"")</f>
        <v>31690</v>
      </c>
      <c r="G56" s="7" t="n">
        <f aca="false">IFERROR(INDEX('Comparativo de Marcas'!$G:$G,MATCH(54,'Comparativo de Marcas'!$M:$M,0)),"")</f>
        <v>191</v>
      </c>
      <c r="H56" s="16" t="n">
        <f aca="false">IFERROR(INDEX('Comparativo de Marcas'!$I:$I,MATCH(54,'Comparativo de Marcas'!$M:$M,0)),"")</f>
        <v>165.916230366492</v>
      </c>
    </row>
    <row r="57" customFormat="false" ht="15" hidden="false" customHeight="false" outlineLevel="0" collapsed="false">
      <c r="A57" s="13" t="str">
        <f aca="false">IFERROR(INDEX('Comparativo de Marcas'!$A:$A,MATCH(55,'Comparativo de Marcas'!$M:$M,0)),"")</f>
        <v>GILLES CANTUEL</v>
      </c>
      <c r="B57" s="13" t="str">
        <f aca="false">IFERROR(INDEX('Comparativo de Marcas'!$B:$B,MATCH(55,'Comparativo de Marcas'!$M:$M,0)),"")</f>
        <v>Perfumaria/Colonia</v>
      </c>
      <c r="C57" s="5" t="n">
        <f aca="false">IFERROR(INDEX('Comparativo de Marcas'!$C:$C,MATCH(55,'Comparativo de Marcas'!$M:$M,0)),"")</f>
        <v>17410</v>
      </c>
      <c r="D57" s="5" t="n">
        <f aca="false">IFERROR(INDEX('Comparativo de Marcas'!$D:$D,MATCH(55,'Comparativo de Marcas'!$M:$M,0)),"")</f>
        <v>11930</v>
      </c>
      <c r="E57" s="5" t="n">
        <f aca="false">IFERROR(INDEX('Comparativo de Marcas'!$E:$E,MATCH(55,'Comparativo de Marcas'!$M:$M,0)),"")</f>
        <v>300</v>
      </c>
      <c r="F57" s="5" t="n">
        <f aca="false">IFERROR(INDEX('Comparativo de Marcas'!$F:$F,MATCH(55,'Comparativo de Marcas'!$M:$M,0)),"")</f>
        <v>29640</v>
      </c>
      <c r="G57" s="7" t="n">
        <f aca="false">IFERROR(INDEX('Comparativo de Marcas'!$G:$G,MATCH(55,'Comparativo de Marcas'!$M:$M,0)),"")</f>
        <v>158</v>
      </c>
      <c r="H57" s="16" t="n">
        <f aca="false">IFERROR(INDEX('Comparativo de Marcas'!$I:$I,MATCH(55,'Comparativo de Marcas'!$M:$M,0)),"")</f>
        <v>187.594936708861</v>
      </c>
    </row>
    <row r="58" customFormat="false" ht="15" hidden="false" customHeight="false" outlineLevel="0" collapsed="false">
      <c r="A58" s="13" t="str">
        <f aca="false">IFERROR(INDEX('Comparativo de Marcas'!$A:$A,MATCH(56,'Comparativo de Marcas'!$M:$M,0)),"")</f>
        <v>CHAOYANG</v>
      </c>
      <c r="B58" s="13" t="str">
        <f aca="false">IFERROR(INDEX('Comparativo de Marcas'!$B:$B,MATCH(56,'Comparativo de Marcas'!$M:$M,0)),"")</f>
        <v>Bike/Ciclismo</v>
      </c>
      <c r="C58" s="5" t="n">
        <f aca="false">IFERROR(INDEX('Comparativo de Marcas'!$C:$C,MATCH(56,'Comparativo de Marcas'!$M:$M,0)),"")</f>
        <v>29440</v>
      </c>
      <c r="D58" s="5" t="n">
        <f aca="false">IFERROR(INDEX('Comparativo de Marcas'!$D:$D,MATCH(56,'Comparativo de Marcas'!$M:$M,0)),"")</f>
        <v>0</v>
      </c>
      <c r="E58" s="5" t="n">
        <f aca="false">IFERROR(INDEX('Comparativo de Marcas'!$E:$E,MATCH(56,'Comparativo de Marcas'!$M:$M,0)),"")</f>
        <v>0</v>
      </c>
      <c r="F58" s="5" t="n">
        <f aca="false">IFERROR(INDEX('Comparativo de Marcas'!$F:$F,MATCH(56,'Comparativo de Marcas'!$M:$M,0)),"")</f>
        <v>29440</v>
      </c>
      <c r="G58" s="7" t="n">
        <f aca="false">IFERROR(INDEX('Comparativo de Marcas'!$G:$G,MATCH(56,'Comparativo de Marcas'!$M:$M,0)),"")</f>
        <v>211</v>
      </c>
      <c r="H58" s="16" t="n">
        <f aca="false">IFERROR(INDEX('Comparativo de Marcas'!$I:$I,MATCH(56,'Comparativo de Marcas'!$M:$M,0)),"")</f>
        <v>139.526066350711</v>
      </c>
    </row>
    <row r="59" customFormat="false" ht="15" hidden="false" customHeight="false" outlineLevel="0" collapsed="false">
      <c r="A59" s="13" t="str">
        <f aca="false">IFERROR(INDEX('Comparativo de Marcas'!$A:$A,MATCH(57,'Comparativo de Marcas'!$M:$M,0)),"")</f>
        <v>BENETTON</v>
      </c>
      <c r="B59" s="13" t="str">
        <f aca="false">IFERROR(INDEX('Comparativo de Marcas'!$B:$B,MATCH(57,'Comparativo de Marcas'!$M:$M,0)),"")</f>
        <v>Perfumaria/Colonia</v>
      </c>
      <c r="C59" s="5" t="n">
        <f aca="false">IFERROR(INDEX('Comparativo de Marcas'!$C:$C,MATCH(57,'Comparativo de Marcas'!$M:$M,0)),"")</f>
        <v>0</v>
      </c>
      <c r="D59" s="5" t="n">
        <f aca="false">IFERROR(INDEX('Comparativo de Marcas'!$D:$D,MATCH(57,'Comparativo de Marcas'!$M:$M,0)),"")</f>
        <v>10060</v>
      </c>
      <c r="E59" s="5" t="n">
        <f aca="false">IFERROR(INDEX('Comparativo de Marcas'!$E:$E,MATCH(57,'Comparativo de Marcas'!$M:$M,0)),"")</f>
        <v>17330</v>
      </c>
      <c r="F59" s="5" t="n">
        <f aca="false">IFERROR(INDEX('Comparativo de Marcas'!$F:$F,MATCH(57,'Comparativo de Marcas'!$M:$M,0)),"")</f>
        <v>27390</v>
      </c>
      <c r="G59" s="7" t="n">
        <f aca="false">IFERROR(INDEX('Comparativo de Marcas'!$G:$G,MATCH(57,'Comparativo de Marcas'!$M:$M,0)),"")</f>
        <v>127</v>
      </c>
      <c r="H59" s="16" t="n">
        <f aca="false">IFERROR(INDEX('Comparativo de Marcas'!$I:$I,MATCH(57,'Comparativo de Marcas'!$M:$M,0)),"")</f>
        <v>215.669291338583</v>
      </c>
    </row>
    <row r="60" customFormat="false" ht="15" hidden="false" customHeight="false" outlineLevel="0" collapsed="false">
      <c r="A60" s="13" t="str">
        <f aca="false">IFERROR(INDEX('Comparativo de Marcas'!$A:$A,MATCH(58,'Comparativo de Marcas'!$M:$M,0)),"")</f>
        <v>LATTAFA</v>
      </c>
      <c r="B60" s="13" t="str">
        <f aca="false">IFERROR(INDEX('Comparativo de Marcas'!$B:$B,MATCH(58,'Comparativo de Marcas'!$M:$M,0)),"")</f>
        <v>Perfumaria/Colonia</v>
      </c>
      <c r="C60" s="5" t="n">
        <f aca="false">IFERROR(INDEX('Comparativo de Marcas'!$C:$C,MATCH(58,'Comparativo de Marcas'!$M:$M,0)),"")</f>
        <v>22610</v>
      </c>
      <c r="D60" s="5" t="n">
        <f aca="false">IFERROR(INDEX('Comparativo de Marcas'!$D:$D,MATCH(58,'Comparativo de Marcas'!$M:$M,0)),"")</f>
        <v>2370</v>
      </c>
      <c r="E60" s="5" t="n">
        <f aca="false">IFERROR(INDEX('Comparativo de Marcas'!$E:$E,MATCH(58,'Comparativo de Marcas'!$M:$M,0)),"")</f>
        <v>1730</v>
      </c>
      <c r="F60" s="5" t="n">
        <f aca="false">IFERROR(INDEX('Comparativo de Marcas'!$F:$F,MATCH(58,'Comparativo de Marcas'!$M:$M,0)),"")</f>
        <v>26710</v>
      </c>
      <c r="G60" s="7" t="n">
        <f aca="false">IFERROR(INDEX('Comparativo de Marcas'!$G:$G,MATCH(58,'Comparativo de Marcas'!$M:$M,0)),"")</f>
        <v>100</v>
      </c>
      <c r="H60" s="16" t="n">
        <f aca="false">IFERROR(INDEX('Comparativo de Marcas'!$I:$I,MATCH(58,'Comparativo de Marcas'!$M:$M,0)),"")</f>
        <v>267.1</v>
      </c>
    </row>
    <row r="61" customFormat="false" ht="15" hidden="false" customHeight="false" outlineLevel="0" collapsed="false">
      <c r="A61" s="13" t="str">
        <f aca="false">IFERROR(INDEX('Comparativo de Marcas'!$A:$A,MATCH(59,'Comparativo de Marcas'!$M:$M,0)),"")</f>
        <v>PHILIPS</v>
      </c>
      <c r="B61" s="13" t="str">
        <f aca="false">IFERROR(INDEX('Comparativo de Marcas'!$B:$B,MATCH(59,'Comparativo de Marcas'!$M:$M,0)),"")</f>
        <v>Outros/Diversos</v>
      </c>
      <c r="C61" s="5" t="n">
        <f aca="false">IFERROR(INDEX('Comparativo de Marcas'!$C:$C,MATCH(59,'Comparativo de Marcas'!$M:$M,0)),"")</f>
        <v>24400</v>
      </c>
      <c r="D61" s="5" t="n">
        <f aca="false">IFERROR(INDEX('Comparativo de Marcas'!$D:$D,MATCH(59,'Comparativo de Marcas'!$M:$M,0)),"")</f>
        <v>0</v>
      </c>
      <c r="E61" s="5" t="n">
        <f aca="false">IFERROR(INDEX('Comparativo de Marcas'!$E:$E,MATCH(59,'Comparativo de Marcas'!$M:$M,0)),"")</f>
        <v>0</v>
      </c>
      <c r="F61" s="5" t="n">
        <f aca="false">IFERROR(INDEX('Comparativo de Marcas'!$F:$F,MATCH(59,'Comparativo de Marcas'!$M:$M,0)),"")</f>
        <v>24400</v>
      </c>
      <c r="G61" s="7" t="n">
        <f aca="false">IFERROR(INDEX('Comparativo de Marcas'!$G:$G,MATCH(59,'Comparativo de Marcas'!$M:$M,0)),"")</f>
        <v>226</v>
      </c>
      <c r="H61" s="16" t="n">
        <f aca="false">IFERROR(INDEX('Comparativo de Marcas'!$I:$I,MATCH(59,'Comparativo de Marcas'!$M:$M,0)),"")</f>
        <v>107.964601769912</v>
      </c>
    </row>
    <row r="62" customFormat="false" ht="15" hidden="false" customHeight="false" outlineLevel="0" collapsed="false">
      <c r="A62" s="13" t="str">
        <f aca="false">IFERROR(INDEX('Comparativo de Marcas'!$A:$A,MATCH(60,'Comparativo de Marcas'!$M:$M,0)),"")</f>
        <v>TEND SKIN</v>
      </c>
      <c r="B62" s="13" t="str">
        <f aca="false">IFERROR(INDEX('Comparativo de Marcas'!$B:$B,MATCH(60,'Comparativo de Marcas'!$M:$M,0)),"")</f>
        <v>Outros/Diversos</v>
      </c>
      <c r="C62" s="5" t="n">
        <f aca="false">IFERROR(INDEX('Comparativo de Marcas'!$C:$C,MATCH(60,'Comparativo de Marcas'!$M:$M,0)),"")</f>
        <v>22000</v>
      </c>
      <c r="D62" s="5" t="n">
        <f aca="false">IFERROR(INDEX('Comparativo de Marcas'!$D:$D,MATCH(60,'Comparativo de Marcas'!$M:$M,0)),"")</f>
        <v>0</v>
      </c>
      <c r="E62" s="5" t="n">
        <f aca="false">IFERROR(INDEX('Comparativo de Marcas'!$E:$E,MATCH(60,'Comparativo de Marcas'!$M:$M,0)),"")</f>
        <v>0</v>
      </c>
      <c r="F62" s="5" t="n">
        <f aca="false">IFERROR(INDEX('Comparativo de Marcas'!$F:$F,MATCH(60,'Comparativo de Marcas'!$M:$M,0)),"")</f>
        <v>22000</v>
      </c>
      <c r="G62" s="7" t="n">
        <f aca="false">IFERROR(INDEX('Comparativo de Marcas'!$G:$G,MATCH(60,'Comparativo de Marcas'!$M:$M,0)),"")</f>
        <v>100</v>
      </c>
      <c r="H62" s="16" t="n">
        <f aca="false">IFERROR(INDEX('Comparativo de Marcas'!$I:$I,MATCH(60,'Comparativo de Marcas'!$M:$M,0)),"")</f>
        <v>220</v>
      </c>
    </row>
    <row r="63" customFormat="false" ht="15" hidden="false" customHeight="false" outlineLevel="0" collapsed="false">
      <c r="A63" s="13" t="str">
        <f aca="false">IFERROR(INDEX('Comparativo de Marcas'!$A:$A,MATCH(61,'Comparativo de Marcas'!$M:$M,0)),"")</f>
        <v>ESTRELA</v>
      </c>
      <c r="B63" s="13" t="str">
        <f aca="false">IFERROR(INDEX('Comparativo de Marcas'!$B:$B,MATCH(61,'Comparativo de Marcas'!$M:$M,0)),"")</f>
        <v>Outros/Diversos</v>
      </c>
      <c r="C63" s="5" t="n">
        <f aca="false">IFERROR(INDEX('Comparativo de Marcas'!$C:$C,MATCH(61,'Comparativo de Marcas'!$M:$M,0)),"")</f>
        <v>21700</v>
      </c>
      <c r="D63" s="5" t="n">
        <f aca="false">IFERROR(INDEX('Comparativo de Marcas'!$D:$D,MATCH(61,'Comparativo de Marcas'!$M:$M,0)),"")</f>
        <v>0</v>
      </c>
      <c r="E63" s="5" t="n">
        <f aca="false">IFERROR(INDEX('Comparativo de Marcas'!$E:$E,MATCH(61,'Comparativo de Marcas'!$M:$M,0)),"")</f>
        <v>0</v>
      </c>
      <c r="F63" s="5" t="n">
        <f aca="false">IFERROR(INDEX('Comparativo de Marcas'!$F:$F,MATCH(61,'Comparativo de Marcas'!$M:$M,0)),"")</f>
        <v>21700</v>
      </c>
      <c r="G63" s="7" t="n">
        <f aca="false">IFERROR(INDEX('Comparativo de Marcas'!$G:$G,MATCH(61,'Comparativo de Marcas'!$M:$M,0)),"")</f>
        <v>110</v>
      </c>
      <c r="H63" s="16" t="n">
        <f aca="false">IFERROR(INDEX('Comparativo de Marcas'!$I:$I,MATCH(61,'Comparativo de Marcas'!$M:$M,0)),"")</f>
        <v>197.272727272727</v>
      </c>
    </row>
    <row r="64" customFormat="false" ht="15" hidden="false" customHeight="false" outlineLevel="0" collapsed="false">
      <c r="A64" s="13" t="str">
        <f aca="false">IFERROR(INDEX('Comparativo de Marcas'!$A:$A,MATCH(62,'Comparativo de Marcas'!$M:$M,0)),"")</f>
        <v>MIKATOS</v>
      </c>
      <c r="B64" s="13" t="str">
        <f aca="false">IFERROR(INDEX('Comparativo de Marcas'!$B:$B,MATCH(62,'Comparativo de Marcas'!$M:$M,0)),"")</f>
        <v>Saude/Bem-estar</v>
      </c>
      <c r="C64" s="5" t="n">
        <f aca="false">IFERROR(INDEX('Comparativo de Marcas'!$C:$C,MATCH(62,'Comparativo de Marcas'!$M:$M,0)),"")</f>
        <v>21000</v>
      </c>
      <c r="D64" s="5" t="n">
        <f aca="false">IFERROR(INDEX('Comparativo de Marcas'!$D:$D,MATCH(62,'Comparativo de Marcas'!$M:$M,0)),"")</f>
        <v>0</v>
      </c>
      <c r="E64" s="5" t="n">
        <f aca="false">IFERROR(INDEX('Comparativo de Marcas'!$E:$E,MATCH(62,'Comparativo de Marcas'!$M:$M,0)),"")</f>
        <v>0</v>
      </c>
      <c r="F64" s="5" t="n">
        <f aca="false">IFERROR(INDEX('Comparativo de Marcas'!$F:$F,MATCH(62,'Comparativo de Marcas'!$M:$M,0)),"")</f>
        <v>21000</v>
      </c>
      <c r="G64" s="7" t="n">
        <f aca="false">IFERROR(INDEX('Comparativo de Marcas'!$G:$G,MATCH(62,'Comparativo de Marcas'!$M:$M,0)),"")</f>
        <v>101</v>
      </c>
      <c r="H64" s="16" t="n">
        <f aca="false">IFERROR(INDEX('Comparativo de Marcas'!$I:$I,MATCH(62,'Comparativo de Marcas'!$M:$M,0)),"")</f>
        <v>207.920792079208</v>
      </c>
    </row>
    <row r="65" customFormat="false" ht="15" hidden="false" customHeight="false" outlineLevel="0" collapsed="false">
      <c r="A65" s="13" t="str">
        <f aca="false">IFERROR(INDEX('Comparativo de Marcas'!$A:$A,MATCH(63,'Comparativo de Marcas'!$M:$M,0)),"")</f>
        <v>4711</v>
      </c>
      <c r="B65" s="13" t="str">
        <f aca="false">IFERROR(INDEX('Comparativo de Marcas'!$B:$B,MATCH(63,'Comparativo de Marcas'!$M:$M,0)),"")</f>
        <v>Perfumaria/Colonia</v>
      </c>
      <c r="C65" s="5" t="n">
        <f aca="false">IFERROR(INDEX('Comparativo de Marcas'!$C:$C,MATCH(63,'Comparativo de Marcas'!$M:$M,0)),"")</f>
        <v>11200</v>
      </c>
      <c r="D65" s="5" t="n">
        <f aca="false">IFERROR(INDEX('Comparativo de Marcas'!$D:$D,MATCH(63,'Comparativo de Marcas'!$M:$M,0)),"")</f>
        <v>9260</v>
      </c>
      <c r="E65" s="5" t="n">
        <f aca="false">IFERROR(INDEX('Comparativo de Marcas'!$E:$E,MATCH(63,'Comparativo de Marcas'!$M:$M,0)),"")</f>
        <v>0</v>
      </c>
      <c r="F65" s="5" t="n">
        <f aca="false">IFERROR(INDEX('Comparativo de Marcas'!$F:$F,MATCH(63,'Comparativo de Marcas'!$M:$M,0)),"")</f>
        <v>20460</v>
      </c>
      <c r="G65" s="7" t="n">
        <f aca="false">IFERROR(INDEX('Comparativo de Marcas'!$G:$G,MATCH(63,'Comparativo de Marcas'!$M:$M,0)),"")</f>
        <v>135</v>
      </c>
      <c r="H65" s="16" t="n">
        <f aca="false">IFERROR(INDEX('Comparativo de Marcas'!$I:$I,MATCH(63,'Comparativo de Marcas'!$M:$M,0)),"")</f>
        <v>151.555555555556</v>
      </c>
    </row>
    <row r="66" customFormat="false" ht="15" hidden="false" customHeight="false" outlineLevel="0" collapsed="false">
      <c r="A66" s="13" t="str">
        <f aca="false">IFERROR(INDEX('Comparativo de Marcas'!$A:$A,MATCH(64,'Comparativo de Marcas'!$M:$M,0)),"")</f>
        <v>LANSINOH</v>
      </c>
      <c r="B66" s="13" t="str">
        <f aca="false">IFERROR(INDEX('Comparativo de Marcas'!$B:$B,MATCH(64,'Comparativo de Marcas'!$M:$M,0)),"")</f>
        <v>Outros/Diversos</v>
      </c>
      <c r="C66" s="5" t="n">
        <f aca="false">IFERROR(INDEX('Comparativo de Marcas'!$C:$C,MATCH(64,'Comparativo de Marcas'!$M:$M,0)),"")</f>
        <v>19360</v>
      </c>
      <c r="D66" s="5" t="n">
        <f aca="false">IFERROR(INDEX('Comparativo de Marcas'!$D:$D,MATCH(64,'Comparativo de Marcas'!$M:$M,0)),"")</f>
        <v>0</v>
      </c>
      <c r="E66" s="5" t="n">
        <f aca="false">IFERROR(INDEX('Comparativo de Marcas'!$E:$E,MATCH(64,'Comparativo de Marcas'!$M:$M,0)),"")</f>
        <v>0</v>
      </c>
      <c r="F66" s="5" t="n">
        <f aca="false">IFERROR(INDEX('Comparativo de Marcas'!$F:$F,MATCH(64,'Comparativo de Marcas'!$M:$M,0)),"")</f>
        <v>19360</v>
      </c>
      <c r="G66" s="7" t="n">
        <f aca="false">IFERROR(INDEX('Comparativo de Marcas'!$G:$G,MATCH(64,'Comparativo de Marcas'!$M:$M,0)),"")</f>
        <v>175</v>
      </c>
      <c r="H66" s="16" t="n">
        <f aca="false">IFERROR(INDEX('Comparativo de Marcas'!$I:$I,MATCH(64,'Comparativo de Marcas'!$M:$M,0)),"")</f>
        <v>110.628571428571</v>
      </c>
    </row>
    <row r="67" customFormat="false" ht="15" hidden="false" customHeight="false" outlineLevel="0" collapsed="false">
      <c r="A67" s="13" t="str">
        <f aca="false">IFERROR(INDEX('Comparativo de Marcas'!$A:$A,MATCH(65,'Comparativo de Marcas'!$M:$M,0)),"")</f>
        <v/>
      </c>
      <c r="B67" s="13" t="str">
        <f aca="false">IFERROR(INDEX('Comparativo de Marcas'!$B:$B,MATCH(65,'Comparativo de Marcas'!$M:$M,0)),"")</f>
        <v/>
      </c>
      <c r="C67" s="5" t="str">
        <f aca="false">IFERROR(INDEX('Comparativo de Marcas'!$C:$C,MATCH(65,'Comparativo de Marcas'!$M:$M,0)),"")</f>
        <v/>
      </c>
      <c r="D67" s="5" t="str">
        <f aca="false">IFERROR(INDEX('Comparativo de Marcas'!$D:$D,MATCH(65,'Comparativo de Marcas'!$M:$M,0)),"")</f>
        <v/>
      </c>
      <c r="E67" s="5" t="str">
        <f aca="false">IFERROR(INDEX('Comparativo de Marcas'!$E:$E,MATCH(65,'Comparativo de Marcas'!$M:$M,0)),"")</f>
        <v/>
      </c>
      <c r="F67" s="5" t="str">
        <f aca="false">IFERROR(INDEX('Comparativo de Marcas'!$F:$F,MATCH(65,'Comparativo de Marcas'!$M:$M,0)),"")</f>
        <v/>
      </c>
      <c r="G67" s="7" t="str">
        <f aca="false">IFERROR(INDEX('Comparativo de Marcas'!$G:$G,MATCH(65,'Comparativo de Marcas'!$M:$M,0)),"")</f>
        <v/>
      </c>
      <c r="H67" s="16" t="str">
        <f aca="false">IFERROR(INDEX('Comparativo de Marcas'!$I:$I,MATCH(65,'Comparativo de Marcas'!$M:$M,0)),"")</f>
        <v/>
      </c>
    </row>
    <row r="68" customFormat="false" ht="15" hidden="false" customHeight="false" outlineLevel="0" collapsed="false">
      <c r="A68" s="13" t="str">
        <f aca="false">IFERROR(INDEX('Comparativo de Marcas'!$A:$A,MATCH(66,'Comparativo de Marcas'!$M:$M,0)),"")</f>
        <v/>
      </c>
      <c r="B68" s="13" t="str">
        <f aca="false">IFERROR(INDEX('Comparativo de Marcas'!$B:$B,MATCH(66,'Comparativo de Marcas'!$M:$M,0)),"")</f>
        <v/>
      </c>
      <c r="C68" s="5" t="str">
        <f aca="false">IFERROR(INDEX('Comparativo de Marcas'!$C:$C,MATCH(66,'Comparativo de Marcas'!$M:$M,0)),"")</f>
        <v/>
      </c>
      <c r="D68" s="5" t="str">
        <f aca="false">IFERROR(INDEX('Comparativo de Marcas'!$D:$D,MATCH(66,'Comparativo de Marcas'!$M:$M,0)),"")</f>
        <v/>
      </c>
      <c r="E68" s="5" t="str">
        <f aca="false">IFERROR(INDEX('Comparativo de Marcas'!$E:$E,MATCH(66,'Comparativo de Marcas'!$M:$M,0)),"")</f>
        <v/>
      </c>
      <c r="F68" s="5" t="str">
        <f aca="false">IFERROR(INDEX('Comparativo de Marcas'!$F:$F,MATCH(66,'Comparativo de Marcas'!$M:$M,0)),"")</f>
        <v/>
      </c>
      <c r="G68" s="7" t="str">
        <f aca="false">IFERROR(INDEX('Comparativo de Marcas'!$G:$G,MATCH(66,'Comparativo de Marcas'!$M:$M,0)),"")</f>
        <v/>
      </c>
      <c r="H68" s="16" t="str">
        <f aca="false">IFERROR(INDEX('Comparativo de Marcas'!$I:$I,MATCH(66,'Comparativo de Marcas'!$M:$M,0)),"")</f>
        <v/>
      </c>
    </row>
    <row r="69" customFormat="false" ht="15" hidden="false" customHeight="false" outlineLevel="0" collapsed="false">
      <c r="A69" s="13" t="str">
        <f aca="false">IFERROR(INDEX('Comparativo de Marcas'!$A:$A,MATCH(67,'Comparativo de Marcas'!$M:$M,0)),"")</f>
        <v/>
      </c>
      <c r="B69" s="13" t="str">
        <f aca="false">IFERROR(INDEX('Comparativo de Marcas'!$B:$B,MATCH(67,'Comparativo de Marcas'!$M:$M,0)),"")</f>
        <v/>
      </c>
      <c r="C69" s="5" t="str">
        <f aca="false">IFERROR(INDEX('Comparativo de Marcas'!$C:$C,MATCH(67,'Comparativo de Marcas'!$M:$M,0)),"")</f>
        <v/>
      </c>
      <c r="D69" s="5" t="str">
        <f aca="false">IFERROR(INDEX('Comparativo de Marcas'!$D:$D,MATCH(67,'Comparativo de Marcas'!$M:$M,0)),"")</f>
        <v/>
      </c>
      <c r="E69" s="5" t="str">
        <f aca="false">IFERROR(INDEX('Comparativo de Marcas'!$E:$E,MATCH(67,'Comparativo de Marcas'!$M:$M,0)),"")</f>
        <v/>
      </c>
      <c r="F69" s="5" t="str">
        <f aca="false">IFERROR(INDEX('Comparativo de Marcas'!$F:$F,MATCH(67,'Comparativo de Marcas'!$M:$M,0)),"")</f>
        <v/>
      </c>
      <c r="G69" s="7" t="str">
        <f aca="false">IFERROR(INDEX('Comparativo de Marcas'!$G:$G,MATCH(67,'Comparativo de Marcas'!$M:$M,0)),"")</f>
        <v/>
      </c>
      <c r="H69" s="16" t="str">
        <f aca="false">IFERROR(INDEX('Comparativo de Marcas'!$I:$I,MATCH(67,'Comparativo de Marcas'!$M:$M,0)),"")</f>
        <v/>
      </c>
    </row>
    <row r="70" customFormat="false" ht="15" hidden="false" customHeight="false" outlineLevel="0" collapsed="false">
      <c r="A70" s="13" t="str">
        <f aca="false">IFERROR(INDEX('Comparativo de Marcas'!$A:$A,MATCH(68,'Comparativo de Marcas'!$M:$M,0)),"")</f>
        <v/>
      </c>
      <c r="B70" s="13" t="str">
        <f aca="false">IFERROR(INDEX('Comparativo de Marcas'!$B:$B,MATCH(68,'Comparativo de Marcas'!$M:$M,0)),"")</f>
        <v/>
      </c>
      <c r="C70" s="5" t="str">
        <f aca="false">IFERROR(INDEX('Comparativo de Marcas'!$C:$C,MATCH(68,'Comparativo de Marcas'!$M:$M,0)),"")</f>
        <v/>
      </c>
      <c r="D70" s="5" t="str">
        <f aca="false">IFERROR(INDEX('Comparativo de Marcas'!$D:$D,MATCH(68,'Comparativo de Marcas'!$M:$M,0)),"")</f>
        <v/>
      </c>
      <c r="E70" s="5" t="str">
        <f aca="false">IFERROR(INDEX('Comparativo de Marcas'!$E:$E,MATCH(68,'Comparativo de Marcas'!$M:$M,0)),"")</f>
        <v/>
      </c>
      <c r="F70" s="5" t="str">
        <f aca="false">IFERROR(INDEX('Comparativo de Marcas'!$F:$F,MATCH(68,'Comparativo de Marcas'!$M:$M,0)),"")</f>
        <v/>
      </c>
      <c r="G70" s="7" t="str">
        <f aca="false">IFERROR(INDEX('Comparativo de Marcas'!$G:$G,MATCH(68,'Comparativo de Marcas'!$M:$M,0)),"")</f>
        <v/>
      </c>
      <c r="H70" s="16" t="str">
        <f aca="false">IFERROR(INDEX('Comparativo de Marcas'!$I:$I,MATCH(68,'Comparativo de Marcas'!$M:$M,0)),"")</f>
        <v/>
      </c>
    </row>
    <row r="71" customFormat="false" ht="15" hidden="false" customHeight="false" outlineLevel="0" collapsed="false">
      <c r="A71" s="13" t="str">
        <f aca="false">IFERROR(INDEX('Comparativo de Marcas'!$A:$A,MATCH(69,'Comparativo de Marcas'!$M:$M,0)),"")</f>
        <v/>
      </c>
      <c r="B71" s="13" t="str">
        <f aca="false">IFERROR(INDEX('Comparativo de Marcas'!$B:$B,MATCH(69,'Comparativo de Marcas'!$M:$M,0)),"")</f>
        <v/>
      </c>
      <c r="C71" s="5" t="str">
        <f aca="false">IFERROR(INDEX('Comparativo de Marcas'!$C:$C,MATCH(69,'Comparativo de Marcas'!$M:$M,0)),"")</f>
        <v/>
      </c>
      <c r="D71" s="5" t="str">
        <f aca="false">IFERROR(INDEX('Comparativo de Marcas'!$D:$D,MATCH(69,'Comparativo de Marcas'!$M:$M,0)),"")</f>
        <v/>
      </c>
      <c r="E71" s="5" t="str">
        <f aca="false">IFERROR(INDEX('Comparativo de Marcas'!$E:$E,MATCH(69,'Comparativo de Marcas'!$M:$M,0)),"")</f>
        <v/>
      </c>
      <c r="F71" s="5" t="str">
        <f aca="false">IFERROR(INDEX('Comparativo de Marcas'!$F:$F,MATCH(69,'Comparativo de Marcas'!$M:$M,0)),"")</f>
        <v/>
      </c>
      <c r="G71" s="7" t="str">
        <f aca="false">IFERROR(INDEX('Comparativo de Marcas'!$G:$G,MATCH(69,'Comparativo de Marcas'!$M:$M,0)),"")</f>
        <v/>
      </c>
      <c r="H71" s="16" t="str">
        <f aca="false">IFERROR(INDEX('Comparativo de Marcas'!$I:$I,MATCH(69,'Comparativo de Marcas'!$M:$M,0)),"")</f>
        <v/>
      </c>
    </row>
    <row r="72" customFormat="false" ht="15" hidden="false" customHeight="false" outlineLevel="0" collapsed="false">
      <c r="A72" s="13" t="str">
        <f aca="false">IFERROR(INDEX('Comparativo de Marcas'!$A:$A,MATCH(70,'Comparativo de Marcas'!$M:$M,0)),"")</f>
        <v/>
      </c>
      <c r="B72" s="13" t="str">
        <f aca="false">IFERROR(INDEX('Comparativo de Marcas'!$B:$B,MATCH(70,'Comparativo de Marcas'!$M:$M,0)),"")</f>
        <v/>
      </c>
      <c r="C72" s="5" t="str">
        <f aca="false">IFERROR(INDEX('Comparativo de Marcas'!$C:$C,MATCH(70,'Comparativo de Marcas'!$M:$M,0)),"")</f>
        <v/>
      </c>
      <c r="D72" s="5" t="str">
        <f aca="false">IFERROR(INDEX('Comparativo de Marcas'!$D:$D,MATCH(70,'Comparativo de Marcas'!$M:$M,0)),"")</f>
        <v/>
      </c>
      <c r="E72" s="5" t="str">
        <f aca="false">IFERROR(INDEX('Comparativo de Marcas'!$E:$E,MATCH(70,'Comparativo de Marcas'!$M:$M,0)),"")</f>
        <v/>
      </c>
      <c r="F72" s="5" t="str">
        <f aca="false">IFERROR(INDEX('Comparativo de Marcas'!$F:$F,MATCH(70,'Comparativo de Marcas'!$M:$M,0)),"")</f>
        <v/>
      </c>
      <c r="G72" s="7" t="str">
        <f aca="false">IFERROR(INDEX('Comparativo de Marcas'!$G:$G,MATCH(70,'Comparativo de Marcas'!$M:$M,0)),"")</f>
        <v/>
      </c>
      <c r="H72" s="16" t="str">
        <f aca="false">IFERROR(INDEX('Comparativo de Marcas'!$I:$I,MATCH(70,'Comparativo de Marcas'!$M:$M,0)),"")</f>
        <v/>
      </c>
    </row>
    <row r="73" customFormat="false" ht="15" hidden="false" customHeight="false" outlineLevel="0" collapsed="false">
      <c r="A73" s="13" t="str">
        <f aca="false">IFERROR(INDEX('Comparativo de Marcas'!$A:$A,MATCH(71,'Comparativo de Marcas'!$M:$M,0)),"")</f>
        <v/>
      </c>
      <c r="B73" s="13" t="str">
        <f aca="false">IFERROR(INDEX('Comparativo de Marcas'!$B:$B,MATCH(71,'Comparativo de Marcas'!$M:$M,0)),"")</f>
        <v/>
      </c>
      <c r="C73" s="5" t="str">
        <f aca="false">IFERROR(INDEX('Comparativo de Marcas'!$C:$C,MATCH(71,'Comparativo de Marcas'!$M:$M,0)),"")</f>
        <v/>
      </c>
      <c r="D73" s="5" t="str">
        <f aca="false">IFERROR(INDEX('Comparativo de Marcas'!$D:$D,MATCH(71,'Comparativo de Marcas'!$M:$M,0)),"")</f>
        <v/>
      </c>
      <c r="E73" s="5" t="str">
        <f aca="false">IFERROR(INDEX('Comparativo de Marcas'!$E:$E,MATCH(71,'Comparativo de Marcas'!$M:$M,0)),"")</f>
        <v/>
      </c>
      <c r="F73" s="5" t="str">
        <f aca="false">IFERROR(INDEX('Comparativo de Marcas'!$F:$F,MATCH(71,'Comparativo de Marcas'!$M:$M,0)),"")</f>
        <v/>
      </c>
      <c r="G73" s="7" t="str">
        <f aca="false">IFERROR(INDEX('Comparativo de Marcas'!$G:$G,MATCH(71,'Comparativo de Marcas'!$M:$M,0)),"")</f>
        <v/>
      </c>
      <c r="H73" s="16" t="str">
        <f aca="false">IFERROR(INDEX('Comparativo de Marcas'!$I:$I,MATCH(71,'Comparativo de Marcas'!$M:$M,0)),"")</f>
        <v/>
      </c>
    </row>
    <row r="74" customFormat="false" ht="15" hidden="false" customHeight="false" outlineLevel="0" collapsed="false">
      <c r="A74" s="13" t="str">
        <f aca="false">IFERROR(INDEX('Comparativo de Marcas'!$A:$A,MATCH(72,'Comparativo de Marcas'!$M:$M,0)),"")</f>
        <v/>
      </c>
      <c r="B74" s="13" t="str">
        <f aca="false">IFERROR(INDEX('Comparativo de Marcas'!$B:$B,MATCH(72,'Comparativo de Marcas'!$M:$M,0)),"")</f>
        <v/>
      </c>
      <c r="C74" s="5" t="str">
        <f aca="false">IFERROR(INDEX('Comparativo de Marcas'!$C:$C,MATCH(72,'Comparativo de Marcas'!$M:$M,0)),"")</f>
        <v/>
      </c>
      <c r="D74" s="5" t="str">
        <f aca="false">IFERROR(INDEX('Comparativo de Marcas'!$D:$D,MATCH(72,'Comparativo de Marcas'!$M:$M,0)),"")</f>
        <v/>
      </c>
      <c r="E74" s="5" t="str">
        <f aca="false">IFERROR(INDEX('Comparativo de Marcas'!$E:$E,MATCH(72,'Comparativo de Marcas'!$M:$M,0)),"")</f>
        <v/>
      </c>
      <c r="F74" s="5" t="str">
        <f aca="false">IFERROR(INDEX('Comparativo de Marcas'!$F:$F,MATCH(72,'Comparativo de Marcas'!$M:$M,0)),"")</f>
        <v/>
      </c>
      <c r="G74" s="7" t="str">
        <f aca="false">IFERROR(INDEX('Comparativo de Marcas'!$G:$G,MATCH(72,'Comparativo de Marcas'!$M:$M,0)),"")</f>
        <v/>
      </c>
      <c r="H74" s="16" t="str">
        <f aca="false">IFERROR(INDEX('Comparativo de Marcas'!$I:$I,MATCH(72,'Comparativo de Marcas'!$M:$M,0)),"")</f>
        <v/>
      </c>
    </row>
    <row r="75" customFormat="false" ht="15" hidden="false" customHeight="false" outlineLevel="0" collapsed="false">
      <c r="A75" s="13" t="str">
        <f aca="false">IFERROR(INDEX('Comparativo de Marcas'!$A:$A,MATCH(73,'Comparativo de Marcas'!$M:$M,0)),"")</f>
        <v/>
      </c>
      <c r="B75" s="13" t="str">
        <f aca="false">IFERROR(INDEX('Comparativo de Marcas'!$B:$B,MATCH(73,'Comparativo de Marcas'!$M:$M,0)),"")</f>
        <v/>
      </c>
      <c r="C75" s="5" t="str">
        <f aca="false">IFERROR(INDEX('Comparativo de Marcas'!$C:$C,MATCH(73,'Comparativo de Marcas'!$M:$M,0)),"")</f>
        <v/>
      </c>
      <c r="D75" s="5" t="str">
        <f aca="false">IFERROR(INDEX('Comparativo de Marcas'!$D:$D,MATCH(73,'Comparativo de Marcas'!$M:$M,0)),"")</f>
        <v/>
      </c>
      <c r="E75" s="5" t="str">
        <f aca="false">IFERROR(INDEX('Comparativo de Marcas'!$E:$E,MATCH(73,'Comparativo de Marcas'!$M:$M,0)),"")</f>
        <v/>
      </c>
      <c r="F75" s="5" t="str">
        <f aca="false">IFERROR(INDEX('Comparativo de Marcas'!$F:$F,MATCH(73,'Comparativo de Marcas'!$M:$M,0)),"")</f>
        <v/>
      </c>
      <c r="G75" s="7" t="str">
        <f aca="false">IFERROR(INDEX('Comparativo de Marcas'!$G:$G,MATCH(73,'Comparativo de Marcas'!$M:$M,0)),"")</f>
        <v/>
      </c>
      <c r="H75" s="16" t="str">
        <f aca="false">IFERROR(INDEX('Comparativo de Marcas'!$I:$I,MATCH(73,'Comparativo de Marcas'!$M:$M,0)),"")</f>
        <v/>
      </c>
    </row>
    <row r="76" customFormat="false" ht="15" hidden="false" customHeight="false" outlineLevel="0" collapsed="false">
      <c r="A76" s="13" t="str">
        <f aca="false">IFERROR(INDEX('Comparativo de Marcas'!$A:$A,MATCH(74,'Comparativo de Marcas'!$M:$M,0)),"")</f>
        <v/>
      </c>
      <c r="B76" s="13" t="str">
        <f aca="false">IFERROR(INDEX('Comparativo de Marcas'!$B:$B,MATCH(74,'Comparativo de Marcas'!$M:$M,0)),"")</f>
        <v/>
      </c>
      <c r="C76" s="5" t="str">
        <f aca="false">IFERROR(INDEX('Comparativo de Marcas'!$C:$C,MATCH(74,'Comparativo de Marcas'!$M:$M,0)),"")</f>
        <v/>
      </c>
      <c r="D76" s="5" t="str">
        <f aca="false">IFERROR(INDEX('Comparativo de Marcas'!$D:$D,MATCH(74,'Comparativo de Marcas'!$M:$M,0)),"")</f>
        <v/>
      </c>
      <c r="E76" s="5" t="str">
        <f aca="false">IFERROR(INDEX('Comparativo de Marcas'!$E:$E,MATCH(74,'Comparativo de Marcas'!$M:$M,0)),"")</f>
        <v/>
      </c>
      <c r="F76" s="5" t="str">
        <f aca="false">IFERROR(INDEX('Comparativo de Marcas'!$F:$F,MATCH(74,'Comparativo de Marcas'!$M:$M,0)),"")</f>
        <v/>
      </c>
      <c r="G76" s="7" t="str">
        <f aca="false">IFERROR(INDEX('Comparativo de Marcas'!$G:$G,MATCH(74,'Comparativo de Marcas'!$M:$M,0)),"")</f>
        <v/>
      </c>
      <c r="H76" s="16" t="str">
        <f aca="false">IFERROR(INDEX('Comparativo de Marcas'!$I:$I,MATCH(74,'Comparativo de Marcas'!$M:$M,0)),"")</f>
        <v/>
      </c>
    </row>
    <row r="77" customFormat="false" ht="15" hidden="false" customHeight="false" outlineLevel="0" collapsed="false">
      <c r="A77" s="13" t="str">
        <f aca="false">IFERROR(INDEX('Comparativo de Marcas'!$A:$A,MATCH(75,'Comparativo de Marcas'!$M:$M,0)),"")</f>
        <v/>
      </c>
      <c r="B77" s="13" t="str">
        <f aca="false">IFERROR(INDEX('Comparativo de Marcas'!$B:$B,MATCH(75,'Comparativo de Marcas'!$M:$M,0)),"")</f>
        <v/>
      </c>
      <c r="C77" s="5" t="str">
        <f aca="false">IFERROR(INDEX('Comparativo de Marcas'!$C:$C,MATCH(75,'Comparativo de Marcas'!$M:$M,0)),"")</f>
        <v/>
      </c>
      <c r="D77" s="5" t="str">
        <f aca="false">IFERROR(INDEX('Comparativo de Marcas'!$D:$D,MATCH(75,'Comparativo de Marcas'!$M:$M,0)),"")</f>
        <v/>
      </c>
      <c r="E77" s="5" t="str">
        <f aca="false">IFERROR(INDEX('Comparativo de Marcas'!$E:$E,MATCH(75,'Comparativo de Marcas'!$M:$M,0)),"")</f>
        <v/>
      </c>
      <c r="F77" s="5" t="str">
        <f aca="false">IFERROR(INDEX('Comparativo de Marcas'!$F:$F,MATCH(75,'Comparativo de Marcas'!$M:$M,0)),"")</f>
        <v/>
      </c>
      <c r="G77" s="7" t="str">
        <f aca="false">IFERROR(INDEX('Comparativo de Marcas'!$G:$G,MATCH(75,'Comparativo de Marcas'!$M:$M,0)),"")</f>
        <v/>
      </c>
      <c r="H77" s="16" t="str">
        <f aca="false">IFERROR(INDEX('Comparativo de Marcas'!$I:$I,MATCH(75,'Comparativo de Marcas'!$M:$M,0)),"")</f>
        <v/>
      </c>
    </row>
    <row r="78" customFormat="false" ht="15" hidden="false" customHeight="false" outlineLevel="0" collapsed="false">
      <c r="A78" s="13" t="str">
        <f aca="false">IFERROR(INDEX('Comparativo de Marcas'!$A:$A,MATCH(76,'Comparativo de Marcas'!$M:$M,0)),"")</f>
        <v/>
      </c>
      <c r="B78" s="13" t="str">
        <f aca="false">IFERROR(INDEX('Comparativo de Marcas'!$B:$B,MATCH(76,'Comparativo de Marcas'!$M:$M,0)),"")</f>
        <v/>
      </c>
      <c r="C78" s="5" t="str">
        <f aca="false">IFERROR(INDEX('Comparativo de Marcas'!$C:$C,MATCH(76,'Comparativo de Marcas'!$M:$M,0)),"")</f>
        <v/>
      </c>
      <c r="D78" s="5" t="str">
        <f aca="false">IFERROR(INDEX('Comparativo de Marcas'!$D:$D,MATCH(76,'Comparativo de Marcas'!$M:$M,0)),"")</f>
        <v/>
      </c>
      <c r="E78" s="5" t="str">
        <f aca="false">IFERROR(INDEX('Comparativo de Marcas'!$E:$E,MATCH(76,'Comparativo de Marcas'!$M:$M,0)),"")</f>
        <v/>
      </c>
      <c r="F78" s="5" t="str">
        <f aca="false">IFERROR(INDEX('Comparativo de Marcas'!$F:$F,MATCH(76,'Comparativo de Marcas'!$M:$M,0)),"")</f>
        <v/>
      </c>
      <c r="G78" s="7" t="str">
        <f aca="false">IFERROR(INDEX('Comparativo de Marcas'!$G:$G,MATCH(76,'Comparativo de Marcas'!$M:$M,0)),"")</f>
        <v/>
      </c>
      <c r="H78" s="16" t="str">
        <f aca="false">IFERROR(INDEX('Comparativo de Marcas'!$I:$I,MATCH(76,'Comparativo de Marcas'!$M:$M,0)),"")</f>
        <v/>
      </c>
    </row>
    <row r="79" customFormat="false" ht="15" hidden="false" customHeight="false" outlineLevel="0" collapsed="false">
      <c r="A79" s="13" t="str">
        <f aca="false">IFERROR(INDEX('Comparativo de Marcas'!$A:$A,MATCH(77,'Comparativo de Marcas'!$M:$M,0)),"")</f>
        <v/>
      </c>
      <c r="B79" s="13" t="str">
        <f aca="false">IFERROR(INDEX('Comparativo de Marcas'!$B:$B,MATCH(77,'Comparativo de Marcas'!$M:$M,0)),"")</f>
        <v/>
      </c>
      <c r="C79" s="5" t="str">
        <f aca="false">IFERROR(INDEX('Comparativo de Marcas'!$C:$C,MATCH(77,'Comparativo de Marcas'!$M:$M,0)),"")</f>
        <v/>
      </c>
      <c r="D79" s="5" t="str">
        <f aca="false">IFERROR(INDEX('Comparativo de Marcas'!$D:$D,MATCH(77,'Comparativo de Marcas'!$M:$M,0)),"")</f>
        <v/>
      </c>
      <c r="E79" s="5" t="str">
        <f aca="false">IFERROR(INDEX('Comparativo de Marcas'!$E:$E,MATCH(77,'Comparativo de Marcas'!$M:$M,0)),"")</f>
        <v/>
      </c>
      <c r="F79" s="5" t="str">
        <f aca="false">IFERROR(INDEX('Comparativo de Marcas'!$F:$F,MATCH(77,'Comparativo de Marcas'!$M:$M,0)),"")</f>
        <v/>
      </c>
      <c r="G79" s="7" t="str">
        <f aca="false">IFERROR(INDEX('Comparativo de Marcas'!$G:$G,MATCH(77,'Comparativo de Marcas'!$M:$M,0)),"")</f>
        <v/>
      </c>
      <c r="H79" s="16" t="str">
        <f aca="false">IFERROR(INDEX('Comparativo de Marcas'!$I:$I,MATCH(77,'Comparativo de Marcas'!$M:$M,0)),"")</f>
        <v/>
      </c>
    </row>
    <row r="80" customFormat="false" ht="15" hidden="false" customHeight="false" outlineLevel="0" collapsed="false">
      <c r="A80" s="13" t="str">
        <f aca="false">IFERROR(INDEX('Comparativo de Marcas'!$A:$A,MATCH(78,'Comparativo de Marcas'!$M:$M,0)),"")</f>
        <v/>
      </c>
      <c r="B80" s="13" t="str">
        <f aca="false">IFERROR(INDEX('Comparativo de Marcas'!$B:$B,MATCH(78,'Comparativo de Marcas'!$M:$M,0)),"")</f>
        <v/>
      </c>
      <c r="C80" s="5" t="str">
        <f aca="false">IFERROR(INDEX('Comparativo de Marcas'!$C:$C,MATCH(78,'Comparativo de Marcas'!$M:$M,0)),"")</f>
        <v/>
      </c>
      <c r="D80" s="5" t="str">
        <f aca="false">IFERROR(INDEX('Comparativo de Marcas'!$D:$D,MATCH(78,'Comparativo de Marcas'!$M:$M,0)),"")</f>
        <v/>
      </c>
      <c r="E80" s="5" t="str">
        <f aca="false">IFERROR(INDEX('Comparativo de Marcas'!$E:$E,MATCH(78,'Comparativo de Marcas'!$M:$M,0)),"")</f>
        <v/>
      </c>
      <c r="F80" s="5" t="str">
        <f aca="false">IFERROR(INDEX('Comparativo de Marcas'!$F:$F,MATCH(78,'Comparativo de Marcas'!$M:$M,0)),"")</f>
        <v/>
      </c>
      <c r="G80" s="7" t="str">
        <f aca="false">IFERROR(INDEX('Comparativo de Marcas'!$G:$G,MATCH(78,'Comparativo de Marcas'!$M:$M,0)),"")</f>
        <v/>
      </c>
      <c r="H80" s="16" t="str">
        <f aca="false">IFERROR(INDEX('Comparativo de Marcas'!$I:$I,MATCH(78,'Comparativo de Marcas'!$M:$M,0)),"")</f>
        <v/>
      </c>
    </row>
    <row r="81" customFormat="false" ht="15" hidden="false" customHeight="false" outlineLevel="0" collapsed="false">
      <c r="A81" s="13" t="str">
        <f aca="false">IFERROR(INDEX('Comparativo de Marcas'!$A:$A,MATCH(79,'Comparativo de Marcas'!$M:$M,0)),"")</f>
        <v/>
      </c>
      <c r="B81" s="13" t="str">
        <f aca="false">IFERROR(INDEX('Comparativo de Marcas'!$B:$B,MATCH(79,'Comparativo de Marcas'!$M:$M,0)),"")</f>
        <v/>
      </c>
      <c r="C81" s="5" t="str">
        <f aca="false">IFERROR(INDEX('Comparativo de Marcas'!$C:$C,MATCH(79,'Comparativo de Marcas'!$M:$M,0)),"")</f>
        <v/>
      </c>
      <c r="D81" s="5" t="str">
        <f aca="false">IFERROR(INDEX('Comparativo de Marcas'!$D:$D,MATCH(79,'Comparativo de Marcas'!$M:$M,0)),"")</f>
        <v/>
      </c>
      <c r="E81" s="5" t="str">
        <f aca="false">IFERROR(INDEX('Comparativo de Marcas'!$E:$E,MATCH(79,'Comparativo de Marcas'!$M:$M,0)),"")</f>
        <v/>
      </c>
      <c r="F81" s="5" t="str">
        <f aca="false">IFERROR(INDEX('Comparativo de Marcas'!$F:$F,MATCH(79,'Comparativo de Marcas'!$M:$M,0)),"")</f>
        <v/>
      </c>
      <c r="G81" s="7" t="str">
        <f aca="false">IFERROR(INDEX('Comparativo de Marcas'!$G:$G,MATCH(79,'Comparativo de Marcas'!$M:$M,0)),"")</f>
        <v/>
      </c>
      <c r="H81" s="16" t="str">
        <f aca="false">IFERROR(INDEX('Comparativo de Marcas'!$I:$I,MATCH(79,'Comparativo de Marcas'!$M:$M,0)),"")</f>
        <v/>
      </c>
    </row>
    <row r="84" customFormat="false" ht="18" hidden="false" customHeight="true" outlineLevel="0" collapsed="false">
      <c r="A84" s="14" t="s">
        <v>37</v>
      </c>
      <c r="B84" s="14"/>
      <c r="C84" s="14"/>
      <c r="D84" s="14"/>
      <c r="E84" s="14"/>
      <c r="F84" s="14"/>
      <c r="G84" s="14"/>
      <c r="H84" s="14"/>
    </row>
    <row r="85" customFormat="false" ht="23.85" hidden="false" customHeight="false" outlineLevel="0" collapsed="false">
      <c r="A85" s="15" t="s">
        <v>29</v>
      </c>
      <c r="B85" s="15" t="s">
        <v>30</v>
      </c>
      <c r="C85" s="15" t="s">
        <v>38</v>
      </c>
      <c r="D85" s="15" t="s">
        <v>39</v>
      </c>
      <c r="E85" s="15" t="s">
        <v>40</v>
      </c>
      <c r="F85" s="15" t="s">
        <v>41</v>
      </c>
      <c r="G85" s="15" t="s">
        <v>7</v>
      </c>
    </row>
    <row r="86" customFormat="false" ht="15" hidden="false" customHeight="false" outlineLevel="0" collapsed="false">
      <c r="A86" s="13" t="s">
        <v>42</v>
      </c>
      <c r="B86" s="13" t="s">
        <v>43</v>
      </c>
      <c r="C86" s="13" t="s">
        <v>5</v>
      </c>
      <c r="D86" s="13" t="s">
        <v>44</v>
      </c>
      <c r="E86" s="16" t="n">
        <v>698.995593705293</v>
      </c>
      <c r="F86" s="7" t="n">
        <v>700</v>
      </c>
      <c r="G86" s="5" t="n">
        <v>489000</v>
      </c>
    </row>
    <row r="87" customFormat="false" ht="15" hidden="false" customHeight="false" outlineLevel="0" collapsed="false">
      <c r="A87" s="13" t="s">
        <v>45</v>
      </c>
      <c r="B87" s="13" t="s">
        <v>43</v>
      </c>
      <c r="C87" s="13" t="s">
        <v>5</v>
      </c>
      <c r="D87" s="13" t="s">
        <v>46</v>
      </c>
      <c r="E87" s="16" t="n">
        <v>660.301976744186</v>
      </c>
      <c r="F87" s="7" t="n">
        <v>430</v>
      </c>
      <c r="G87" s="5" t="n">
        <v>284000</v>
      </c>
    </row>
    <row r="88" customFormat="false" ht="15" hidden="false" customHeight="false" outlineLevel="0" collapsed="false">
      <c r="A88" s="13" t="s">
        <v>42</v>
      </c>
      <c r="B88" s="13" t="s">
        <v>43</v>
      </c>
      <c r="C88" s="13" t="s">
        <v>4</v>
      </c>
      <c r="D88" s="13" t="s">
        <v>47</v>
      </c>
      <c r="E88" s="16" t="n">
        <v>585.616875</v>
      </c>
      <c r="F88" s="7" t="n">
        <v>480</v>
      </c>
      <c r="G88" s="5" t="n">
        <v>281000</v>
      </c>
    </row>
    <row r="89" customFormat="false" ht="15" hidden="false" customHeight="false" outlineLevel="0" collapsed="false">
      <c r="A89" s="13" t="s">
        <v>42</v>
      </c>
      <c r="B89" s="13" t="s">
        <v>43</v>
      </c>
      <c r="C89" s="13" t="s">
        <v>4</v>
      </c>
      <c r="D89" s="13" t="s">
        <v>48</v>
      </c>
      <c r="E89" s="16" t="n">
        <v>616.123732718894</v>
      </c>
      <c r="F89" s="7" t="n">
        <v>430</v>
      </c>
      <c r="G89" s="5" t="n">
        <v>267000</v>
      </c>
    </row>
    <row r="90" customFormat="false" ht="15" hidden="false" customHeight="false" outlineLevel="0" collapsed="false">
      <c r="A90" s="13" t="s">
        <v>45</v>
      </c>
      <c r="B90" s="13" t="s">
        <v>43</v>
      </c>
      <c r="C90" s="13" t="s">
        <v>5</v>
      </c>
      <c r="D90" s="13" t="s">
        <v>49</v>
      </c>
      <c r="E90" s="16" t="n">
        <v>696.457847769029</v>
      </c>
      <c r="F90" s="7" t="n">
        <v>380</v>
      </c>
      <c r="G90" s="5" t="n">
        <v>265000</v>
      </c>
    </row>
    <row r="91" customFormat="false" ht="15" hidden="false" customHeight="false" outlineLevel="0" collapsed="false">
      <c r="A91" s="13" t="s">
        <v>42</v>
      </c>
      <c r="B91" s="13" t="s">
        <v>43</v>
      </c>
      <c r="C91" s="13" t="s">
        <v>5</v>
      </c>
      <c r="D91" s="13" t="s">
        <v>47</v>
      </c>
      <c r="E91" s="16" t="n">
        <v>637.723047619048</v>
      </c>
      <c r="F91" s="7" t="n">
        <v>320</v>
      </c>
      <c r="G91" s="5" t="n">
        <v>201000</v>
      </c>
    </row>
    <row r="92" customFormat="false" ht="15" hidden="false" customHeight="false" outlineLevel="0" collapsed="false">
      <c r="A92" s="13" t="s">
        <v>50</v>
      </c>
      <c r="B92" s="13" t="s">
        <v>43</v>
      </c>
      <c r="C92" s="13" t="s">
        <v>5</v>
      </c>
      <c r="D92" s="13" t="s">
        <v>51</v>
      </c>
      <c r="E92" s="16" t="n">
        <v>648.209353741497</v>
      </c>
      <c r="F92" s="7" t="n">
        <v>290</v>
      </c>
      <c r="G92" s="5" t="n">
        <v>191000</v>
      </c>
    </row>
    <row r="93" customFormat="false" ht="15" hidden="false" customHeight="false" outlineLevel="0" collapsed="false">
      <c r="A93" s="13" t="s">
        <v>50</v>
      </c>
      <c r="B93" s="13" t="s">
        <v>43</v>
      </c>
      <c r="C93" s="13" t="s">
        <v>4</v>
      </c>
      <c r="D93" s="13" t="s">
        <v>52</v>
      </c>
      <c r="E93" s="16" t="n">
        <v>598.496196721312</v>
      </c>
      <c r="F93" s="7" t="n">
        <v>300</v>
      </c>
      <c r="G93" s="5" t="n">
        <v>183000</v>
      </c>
    </row>
    <row r="94" customFormat="false" ht="15" hidden="false" customHeight="false" outlineLevel="0" collapsed="false">
      <c r="A94" s="13" t="s">
        <v>50</v>
      </c>
      <c r="B94" s="13" t="s">
        <v>43</v>
      </c>
      <c r="C94" s="13" t="s">
        <v>5</v>
      </c>
      <c r="D94" s="13" t="s">
        <v>52</v>
      </c>
      <c r="E94" s="16" t="n">
        <v>638.642704918033</v>
      </c>
      <c r="F94" s="7" t="n">
        <v>240</v>
      </c>
      <c r="G94" s="5" t="n">
        <v>156000</v>
      </c>
    </row>
    <row r="95" customFormat="false" ht="15" hidden="false" customHeight="false" outlineLevel="0" collapsed="false">
      <c r="A95" s="13" t="s">
        <v>42</v>
      </c>
      <c r="B95" s="13" t="s">
        <v>43</v>
      </c>
      <c r="C95" s="13" t="s">
        <v>5</v>
      </c>
      <c r="D95" s="13" t="s">
        <v>53</v>
      </c>
      <c r="E95" s="16" t="n">
        <v>582.395348837209</v>
      </c>
      <c r="F95" s="7" t="n">
        <v>260</v>
      </c>
      <c r="G95" s="5" t="n">
        <v>150000</v>
      </c>
    </row>
    <row r="96" customFormat="false" ht="15" hidden="false" customHeight="false" outlineLevel="0" collapsed="false">
      <c r="A96" s="13" t="s">
        <v>54</v>
      </c>
      <c r="B96" s="13" t="s">
        <v>43</v>
      </c>
      <c r="C96" s="13" t="s">
        <v>5</v>
      </c>
      <c r="D96" s="13" t="s">
        <v>55</v>
      </c>
      <c r="E96" s="16" t="n">
        <v>302.814384133612</v>
      </c>
      <c r="F96" s="7" t="n">
        <v>480</v>
      </c>
      <c r="G96" s="5" t="n">
        <v>145000</v>
      </c>
    </row>
    <row r="97" customFormat="false" ht="15" hidden="false" customHeight="false" outlineLevel="0" collapsed="false">
      <c r="A97" s="13" t="s">
        <v>42</v>
      </c>
      <c r="B97" s="13" t="s">
        <v>43</v>
      </c>
      <c r="C97" s="13" t="s">
        <v>5</v>
      </c>
      <c r="D97" s="13" t="s">
        <v>48</v>
      </c>
      <c r="E97" s="16" t="n">
        <v>641.043015873016</v>
      </c>
      <c r="F97" s="7" t="n">
        <v>190</v>
      </c>
      <c r="G97" s="5" t="n">
        <v>121000</v>
      </c>
    </row>
    <row r="98" customFormat="false" ht="15" hidden="false" customHeight="false" outlineLevel="0" collapsed="false">
      <c r="A98" s="13" t="s">
        <v>45</v>
      </c>
      <c r="B98" s="13" t="s">
        <v>43</v>
      </c>
      <c r="C98" s="13" t="s">
        <v>5</v>
      </c>
      <c r="D98" s="13" t="s">
        <v>46</v>
      </c>
      <c r="E98" s="16" t="n">
        <v>478.229230769231</v>
      </c>
      <c r="F98" s="7" t="n">
        <v>230</v>
      </c>
      <c r="G98" s="5" t="n">
        <v>112000</v>
      </c>
    </row>
    <row r="99" customFormat="false" ht="15" hidden="false" customHeight="false" outlineLevel="0" collapsed="false">
      <c r="A99" s="13" t="s">
        <v>56</v>
      </c>
      <c r="B99" s="13" t="s">
        <v>57</v>
      </c>
      <c r="C99" s="13" t="s">
        <v>3</v>
      </c>
      <c r="D99" s="13" t="s">
        <v>58</v>
      </c>
      <c r="E99" s="16" t="n">
        <v>134.041711491442</v>
      </c>
      <c r="F99" s="7" t="n">
        <v>820</v>
      </c>
      <c r="G99" s="5" t="n">
        <v>110000</v>
      </c>
    </row>
    <row r="100" customFormat="false" ht="15" hidden="false" customHeight="false" outlineLevel="0" collapsed="false">
      <c r="A100" s="13" t="s">
        <v>59</v>
      </c>
      <c r="B100" s="13" t="s">
        <v>43</v>
      </c>
      <c r="C100" s="13" t="s">
        <v>3</v>
      </c>
      <c r="D100" s="13" t="s">
        <v>60</v>
      </c>
      <c r="E100" s="16" t="n">
        <v>102.558923512748</v>
      </c>
      <c r="F100" s="7" t="n">
        <v>1100</v>
      </c>
      <c r="G100" s="5" t="n">
        <v>109000</v>
      </c>
    </row>
    <row r="101" customFormat="false" ht="15" hidden="false" customHeight="false" outlineLevel="0" collapsed="false">
      <c r="A101" s="13" t="s">
        <v>61</v>
      </c>
      <c r="B101" s="13" t="s">
        <v>43</v>
      </c>
      <c r="C101" s="13" t="s">
        <v>5</v>
      </c>
      <c r="D101" s="13" t="s">
        <v>62</v>
      </c>
      <c r="E101" s="16" t="n">
        <v>661.426603773585</v>
      </c>
      <c r="F101" s="7" t="n">
        <v>160</v>
      </c>
      <c r="G101" s="5" t="n">
        <v>105000</v>
      </c>
    </row>
    <row r="102" customFormat="false" ht="15" hidden="false" customHeight="false" outlineLevel="0" collapsed="false">
      <c r="A102" s="13" t="s">
        <v>50</v>
      </c>
      <c r="B102" s="13" t="s">
        <v>43</v>
      </c>
      <c r="C102" s="13" t="s">
        <v>5</v>
      </c>
      <c r="D102" s="13" t="s">
        <v>63</v>
      </c>
      <c r="E102" s="16" t="n">
        <v>796.79303030303</v>
      </c>
      <c r="F102" s="7" t="n">
        <v>130</v>
      </c>
      <c r="G102" s="5" t="n">
        <v>105000</v>
      </c>
    </row>
    <row r="103" customFormat="false" ht="15" hidden="false" customHeight="false" outlineLevel="0" collapsed="false">
      <c r="A103" s="13" t="s">
        <v>50</v>
      </c>
      <c r="B103" s="13" t="s">
        <v>43</v>
      </c>
      <c r="C103" s="13" t="s">
        <v>5</v>
      </c>
      <c r="D103" s="13" t="s">
        <v>64</v>
      </c>
      <c r="E103" s="16" t="n">
        <v>683.47537414966</v>
      </c>
      <c r="F103" s="7" t="n">
        <v>150</v>
      </c>
      <c r="G103" s="5" t="n">
        <v>100000</v>
      </c>
    </row>
    <row r="104" customFormat="false" ht="15" hidden="false" customHeight="false" outlineLevel="0" collapsed="false">
      <c r="A104" s="13" t="s">
        <v>65</v>
      </c>
      <c r="B104" s="13" t="s">
        <v>66</v>
      </c>
      <c r="C104" s="13" t="s">
        <v>3</v>
      </c>
      <c r="D104" s="13" t="s">
        <v>67</v>
      </c>
      <c r="E104" s="16" t="n">
        <v>379.201406844106</v>
      </c>
      <c r="F104" s="7" t="n">
        <v>260</v>
      </c>
      <c r="G104" s="5" t="n">
        <v>99700</v>
      </c>
    </row>
    <row r="105" customFormat="false" ht="15" hidden="false" customHeight="false" outlineLevel="0" collapsed="false">
      <c r="A105" s="13" t="s">
        <v>50</v>
      </c>
      <c r="B105" s="13" t="s">
        <v>43</v>
      </c>
      <c r="C105" s="13" t="s">
        <v>5</v>
      </c>
      <c r="D105" s="13" t="s">
        <v>68</v>
      </c>
      <c r="E105" s="16" t="n">
        <v>778.93828125</v>
      </c>
      <c r="F105" s="7" t="n">
        <v>130</v>
      </c>
      <c r="G105" s="5" t="n">
        <v>99700</v>
      </c>
    </row>
    <row r="106" customFormat="false" ht="15" hidden="false" customHeight="false" outlineLevel="0" collapsed="false">
      <c r="A106" s="13" t="s">
        <v>42</v>
      </c>
      <c r="B106" s="13" t="s">
        <v>43</v>
      </c>
      <c r="C106" s="13" t="s">
        <v>5</v>
      </c>
      <c r="D106" s="13" t="s">
        <v>48</v>
      </c>
      <c r="E106" s="16" t="n">
        <v>688.528881118881</v>
      </c>
      <c r="F106" s="7" t="n">
        <v>140</v>
      </c>
      <c r="G106" s="5" t="n">
        <v>98500</v>
      </c>
    </row>
    <row r="107" customFormat="false" ht="15" hidden="false" customHeight="false" outlineLevel="0" collapsed="false">
      <c r="A107" s="13" t="s">
        <v>50</v>
      </c>
      <c r="B107" s="13" t="s">
        <v>43</v>
      </c>
      <c r="C107" s="13" t="s">
        <v>4</v>
      </c>
      <c r="D107" s="13" t="s">
        <v>52</v>
      </c>
      <c r="E107" s="16" t="n">
        <v>483.691776649746</v>
      </c>
      <c r="F107" s="7" t="n">
        <v>200</v>
      </c>
      <c r="G107" s="5" t="n">
        <v>95300</v>
      </c>
    </row>
    <row r="108" customFormat="false" ht="15" hidden="false" customHeight="false" outlineLevel="0" collapsed="false">
      <c r="A108" s="13" t="s">
        <v>69</v>
      </c>
      <c r="B108" s="13" t="s">
        <v>43</v>
      </c>
      <c r="C108" s="13" t="s">
        <v>3</v>
      </c>
      <c r="D108" s="13" t="s">
        <v>70</v>
      </c>
      <c r="E108" s="16" t="n">
        <v>689.285547445256</v>
      </c>
      <c r="F108" s="7" t="n">
        <v>140</v>
      </c>
      <c r="G108" s="5" t="n">
        <v>94400</v>
      </c>
    </row>
    <row r="109" customFormat="false" ht="15" hidden="false" customHeight="false" outlineLevel="0" collapsed="false">
      <c r="A109" s="13" t="s">
        <v>50</v>
      </c>
      <c r="B109" s="13" t="s">
        <v>43</v>
      </c>
      <c r="C109" s="13" t="s">
        <v>5</v>
      </c>
      <c r="D109" s="13" t="s">
        <v>71</v>
      </c>
      <c r="E109" s="16" t="n">
        <v>665.491631205674</v>
      </c>
      <c r="F109" s="7" t="n">
        <v>140</v>
      </c>
      <c r="G109" s="5" t="n">
        <v>93800</v>
      </c>
    </row>
    <row r="110" customFormat="false" ht="15" hidden="false" customHeight="false" outlineLevel="0" collapsed="false">
      <c r="A110" s="13" t="s">
        <v>72</v>
      </c>
      <c r="B110" s="13" t="s">
        <v>43</v>
      </c>
      <c r="C110" s="13" t="s">
        <v>5</v>
      </c>
      <c r="D110" s="13" t="s">
        <v>73</v>
      </c>
      <c r="E110" s="16" t="n">
        <v>743.28</v>
      </c>
      <c r="F110" s="7" t="n">
        <v>120</v>
      </c>
      <c r="G110" s="5" t="n">
        <v>92900</v>
      </c>
    </row>
    <row r="111" customFormat="false" ht="15" hidden="false" customHeight="false" outlineLevel="0" collapsed="false">
      <c r="A111" s="13" t="s">
        <v>74</v>
      </c>
      <c r="B111" s="13" t="s">
        <v>43</v>
      </c>
      <c r="C111" s="13" t="s">
        <v>3</v>
      </c>
      <c r="D111" s="13" t="s">
        <v>75</v>
      </c>
      <c r="E111" s="16" t="n">
        <v>192.931858037578</v>
      </c>
      <c r="F111" s="7" t="n">
        <v>480</v>
      </c>
      <c r="G111" s="5" t="n">
        <v>92400</v>
      </c>
    </row>
    <row r="112" customFormat="false" ht="15" hidden="false" customHeight="false" outlineLevel="0" collapsed="false">
      <c r="A112" s="13" t="s">
        <v>69</v>
      </c>
      <c r="B112" s="13" t="s">
        <v>43</v>
      </c>
      <c r="C112" s="13" t="s">
        <v>3</v>
      </c>
      <c r="D112" s="13" t="s">
        <v>76</v>
      </c>
      <c r="E112" s="16" t="n">
        <v>707.433153846154</v>
      </c>
      <c r="F112" s="7" t="n">
        <v>130</v>
      </c>
      <c r="G112" s="5" t="n">
        <v>92000</v>
      </c>
    </row>
    <row r="113" customFormat="false" ht="15" hidden="false" customHeight="false" outlineLevel="0" collapsed="false">
      <c r="A113" s="13" t="s">
        <v>50</v>
      </c>
      <c r="B113" s="13" t="s">
        <v>43</v>
      </c>
      <c r="C113" s="13" t="s">
        <v>5</v>
      </c>
      <c r="D113" s="13" t="s">
        <v>77</v>
      </c>
      <c r="E113" s="16" t="n">
        <v>542</v>
      </c>
      <c r="F113" s="7" t="n">
        <v>160</v>
      </c>
      <c r="G113" s="5" t="n">
        <v>88900</v>
      </c>
    </row>
    <row r="114" customFormat="false" ht="15" hidden="false" customHeight="false" outlineLevel="0" collapsed="false">
      <c r="A114" s="13" t="s">
        <v>69</v>
      </c>
      <c r="B114" s="13" t="s">
        <v>43</v>
      </c>
      <c r="C114" s="13" t="s">
        <v>5</v>
      </c>
      <c r="D114" s="13" t="s">
        <v>78</v>
      </c>
      <c r="E114" s="16" t="n">
        <v>909.687368421053</v>
      </c>
      <c r="F114" s="7" t="n">
        <v>100</v>
      </c>
      <c r="G114" s="5" t="n">
        <v>86400</v>
      </c>
    </row>
    <row r="115" customFormat="false" ht="15" hidden="false" customHeight="false" outlineLevel="0" collapsed="false">
      <c r="A115" s="13" t="s">
        <v>79</v>
      </c>
      <c r="B115" s="13" t="s">
        <v>43</v>
      </c>
      <c r="C115" s="13" t="s">
        <v>3</v>
      </c>
      <c r="D115" s="13" t="s">
        <v>80</v>
      </c>
      <c r="E115" s="16" t="n">
        <v>571.462162162162</v>
      </c>
      <c r="F115" s="7" t="n">
        <v>150</v>
      </c>
      <c r="G115" s="5" t="n">
        <v>84600</v>
      </c>
    </row>
    <row r="116" customFormat="false" ht="15" hidden="false" customHeight="false" outlineLevel="0" collapsed="false">
      <c r="A116" s="13" t="s">
        <v>81</v>
      </c>
      <c r="B116" s="13" t="s">
        <v>82</v>
      </c>
      <c r="C116" s="13" t="s">
        <v>3</v>
      </c>
      <c r="D116" s="13" t="s">
        <v>83</v>
      </c>
      <c r="E116" s="16" t="n">
        <v>111.575291777188</v>
      </c>
      <c r="F116" s="7" t="n">
        <v>750</v>
      </c>
      <c r="G116" s="5" t="n">
        <v>84100</v>
      </c>
    </row>
    <row r="117" customFormat="false" ht="15" hidden="false" customHeight="false" outlineLevel="0" collapsed="false">
      <c r="A117" s="13" t="s">
        <v>42</v>
      </c>
      <c r="B117" s="13" t="s">
        <v>43</v>
      </c>
      <c r="C117" s="13" t="s">
        <v>5</v>
      </c>
      <c r="D117" s="13" t="s">
        <v>84</v>
      </c>
      <c r="E117" s="16" t="n">
        <v>673.261607142857</v>
      </c>
      <c r="F117" s="7" t="n">
        <v>110</v>
      </c>
      <c r="G117" s="5" t="n">
        <v>75400</v>
      </c>
    </row>
    <row r="118" customFormat="false" ht="15" hidden="false" customHeight="false" outlineLevel="0" collapsed="false">
      <c r="A118" s="13" t="s">
        <v>81</v>
      </c>
      <c r="B118" s="13" t="s">
        <v>85</v>
      </c>
      <c r="C118" s="13" t="s">
        <v>3</v>
      </c>
      <c r="D118" s="13" t="s">
        <v>86</v>
      </c>
      <c r="E118" s="16" t="n">
        <v>104.450699300699</v>
      </c>
      <c r="F118" s="7" t="n">
        <v>720</v>
      </c>
      <c r="G118" s="5" t="n">
        <v>74700</v>
      </c>
    </row>
    <row r="119" customFormat="false" ht="15" hidden="false" customHeight="false" outlineLevel="0" collapsed="false">
      <c r="A119" s="13" t="s">
        <v>87</v>
      </c>
      <c r="B119" s="13" t="s">
        <v>66</v>
      </c>
      <c r="C119" s="13" t="s">
        <v>3</v>
      </c>
      <c r="D119" s="13" t="s">
        <v>88</v>
      </c>
      <c r="E119" s="16" t="n">
        <v>195.00656167979</v>
      </c>
      <c r="F119" s="7" t="n">
        <v>380</v>
      </c>
      <c r="G119" s="5" t="n">
        <v>74300</v>
      </c>
    </row>
    <row r="120" customFormat="false" ht="15" hidden="false" customHeight="false" outlineLevel="0" collapsed="false">
      <c r="A120" s="13" t="s">
        <v>42</v>
      </c>
      <c r="B120" s="13" t="s">
        <v>43</v>
      </c>
      <c r="C120" s="13" t="s">
        <v>5</v>
      </c>
      <c r="D120" s="13" t="s">
        <v>89</v>
      </c>
      <c r="E120" s="16" t="n">
        <v>631.985175438596</v>
      </c>
      <c r="F120" s="7" t="n">
        <v>110</v>
      </c>
      <c r="G120" s="5" t="n">
        <v>72000</v>
      </c>
    </row>
    <row r="121" customFormat="false" ht="15" hidden="false" customHeight="false" outlineLevel="0" collapsed="false">
      <c r="A121" s="13" t="s">
        <v>50</v>
      </c>
      <c r="B121" s="13" t="s">
        <v>43</v>
      </c>
      <c r="C121" s="13" t="s">
        <v>5</v>
      </c>
      <c r="D121" s="13" t="s">
        <v>71</v>
      </c>
      <c r="E121" s="16" t="n">
        <v>661.076037735849</v>
      </c>
      <c r="F121" s="7" t="n">
        <v>110</v>
      </c>
      <c r="G121" s="5" t="n">
        <v>70100</v>
      </c>
    </row>
    <row r="122" customFormat="false" ht="15" hidden="false" customHeight="false" outlineLevel="0" collapsed="false">
      <c r="A122" s="13" t="s">
        <v>54</v>
      </c>
      <c r="B122" s="13" t="s">
        <v>43</v>
      </c>
      <c r="C122" s="13" t="s">
        <v>5</v>
      </c>
      <c r="D122" s="13" t="s">
        <v>90</v>
      </c>
      <c r="E122" s="16" t="n">
        <v>301.778812785388</v>
      </c>
      <c r="F122" s="7" t="n">
        <v>220</v>
      </c>
      <c r="G122" s="5" t="n">
        <v>66100</v>
      </c>
    </row>
    <row r="123" customFormat="false" ht="15" hidden="false" customHeight="false" outlineLevel="0" collapsed="false">
      <c r="A123" s="13" t="s">
        <v>42</v>
      </c>
      <c r="B123" s="13" t="s">
        <v>43</v>
      </c>
      <c r="C123" s="13" t="s">
        <v>5</v>
      </c>
      <c r="D123" s="13" t="s">
        <v>91</v>
      </c>
      <c r="E123" s="16" t="n">
        <v>649</v>
      </c>
      <c r="F123" s="7" t="n">
        <v>100</v>
      </c>
      <c r="G123" s="5" t="n">
        <v>64300</v>
      </c>
    </row>
    <row r="124" customFormat="false" ht="15" hidden="false" customHeight="false" outlineLevel="0" collapsed="false">
      <c r="A124" s="13" t="s">
        <v>92</v>
      </c>
      <c r="B124" s="13" t="s">
        <v>43</v>
      </c>
      <c r="C124" s="13" t="s">
        <v>4</v>
      </c>
      <c r="D124" s="13" t="s">
        <v>93</v>
      </c>
      <c r="E124" s="16" t="n">
        <v>766.915454545454</v>
      </c>
      <c r="F124" s="7" t="n">
        <v>80</v>
      </c>
      <c r="G124" s="5" t="n">
        <v>59100</v>
      </c>
    </row>
    <row r="125" customFormat="false" ht="15" hidden="false" customHeight="false" outlineLevel="0" collapsed="false">
      <c r="A125" s="13" t="s">
        <v>87</v>
      </c>
      <c r="B125" s="13" t="s">
        <v>66</v>
      </c>
      <c r="C125" s="13" t="s">
        <v>3</v>
      </c>
      <c r="D125" s="13" t="s">
        <v>94</v>
      </c>
      <c r="E125" s="16" t="n">
        <v>131.309658314351</v>
      </c>
      <c r="F125" s="7" t="n">
        <v>440</v>
      </c>
      <c r="G125" s="5" t="n">
        <v>57600</v>
      </c>
    </row>
    <row r="126" customFormat="false" ht="15" hidden="false" customHeight="false" outlineLevel="0" collapsed="false">
      <c r="A126" s="13" t="s">
        <v>50</v>
      </c>
      <c r="B126" s="13" t="s">
        <v>43</v>
      </c>
      <c r="C126" s="13" t="s">
        <v>5</v>
      </c>
      <c r="D126" s="13" t="s">
        <v>95</v>
      </c>
      <c r="E126" s="16" t="n">
        <v>488.357692307692</v>
      </c>
      <c r="F126" s="7" t="n">
        <v>120</v>
      </c>
      <c r="G126" s="5" t="n">
        <v>57100</v>
      </c>
    </row>
    <row r="127" customFormat="false" ht="15" hidden="false" customHeight="false" outlineLevel="0" collapsed="false">
      <c r="A127" s="13" t="s">
        <v>72</v>
      </c>
      <c r="B127" s="13" t="s">
        <v>43</v>
      </c>
      <c r="C127" s="13" t="s">
        <v>5</v>
      </c>
      <c r="D127" s="13" t="s">
        <v>96</v>
      </c>
      <c r="E127" s="16" t="n">
        <v>737.77</v>
      </c>
      <c r="F127" s="7" t="n">
        <v>80</v>
      </c>
      <c r="G127" s="5" t="n">
        <v>56100</v>
      </c>
    </row>
    <row r="128" customFormat="false" ht="15" hidden="false" customHeight="false" outlineLevel="0" collapsed="false">
      <c r="A128" s="13" t="s">
        <v>97</v>
      </c>
      <c r="B128" s="13" t="s">
        <v>98</v>
      </c>
      <c r="C128" s="13" t="s">
        <v>3</v>
      </c>
      <c r="D128" s="13" t="s">
        <v>99</v>
      </c>
      <c r="E128" s="16" t="n">
        <v>127.092654462243</v>
      </c>
      <c r="F128" s="7" t="n">
        <v>440</v>
      </c>
      <c r="G128" s="5" t="n">
        <v>55500</v>
      </c>
    </row>
    <row r="129" customFormat="false" ht="15" hidden="false" customHeight="false" outlineLevel="0" collapsed="false">
      <c r="A129" s="13" t="s">
        <v>65</v>
      </c>
      <c r="B129" s="13" t="s">
        <v>66</v>
      </c>
      <c r="C129" s="13" t="s">
        <v>3</v>
      </c>
      <c r="D129" s="13" t="s">
        <v>100</v>
      </c>
      <c r="E129" s="16" t="n">
        <v>407.28205882353</v>
      </c>
      <c r="F129" s="7" t="n">
        <v>140</v>
      </c>
      <c r="G129" s="5" t="n">
        <v>55400</v>
      </c>
    </row>
    <row r="130" customFormat="false" ht="15" hidden="false" customHeight="false" outlineLevel="0" collapsed="false">
      <c r="A130" s="13" t="s">
        <v>45</v>
      </c>
      <c r="B130" s="13" t="s">
        <v>43</v>
      </c>
      <c r="C130" s="13" t="s">
        <v>5</v>
      </c>
      <c r="D130" s="13" t="s">
        <v>101</v>
      </c>
      <c r="E130" s="16" t="n">
        <v>689.010253164557</v>
      </c>
      <c r="F130" s="7" t="n">
        <v>80</v>
      </c>
      <c r="G130" s="5" t="n">
        <v>54400</v>
      </c>
    </row>
    <row r="131" customFormat="false" ht="15" hidden="false" customHeight="false" outlineLevel="0" collapsed="false">
      <c r="A131" s="13" t="s">
        <v>65</v>
      </c>
      <c r="B131" s="13" t="s">
        <v>66</v>
      </c>
      <c r="C131" s="13" t="s">
        <v>3</v>
      </c>
      <c r="D131" s="13" t="s">
        <v>102</v>
      </c>
      <c r="E131" s="16" t="n">
        <v>284.313829787234</v>
      </c>
      <c r="F131" s="7" t="n">
        <v>190</v>
      </c>
      <c r="G131" s="5" t="n">
        <v>53500</v>
      </c>
    </row>
    <row r="132" customFormat="false" ht="15" hidden="false" customHeight="false" outlineLevel="0" collapsed="false">
      <c r="A132" s="13" t="s">
        <v>103</v>
      </c>
      <c r="B132" s="13" t="s">
        <v>43</v>
      </c>
      <c r="C132" s="13" t="s">
        <v>5</v>
      </c>
      <c r="D132" s="13" t="s">
        <v>104</v>
      </c>
      <c r="E132" s="16" t="n">
        <v>189.572310469314</v>
      </c>
      <c r="F132" s="7" t="n">
        <v>280</v>
      </c>
      <c r="G132" s="5" t="n">
        <v>52500</v>
      </c>
    </row>
    <row r="133" customFormat="false" ht="15" hidden="false" customHeight="false" outlineLevel="0" collapsed="false">
      <c r="A133" s="13" t="s">
        <v>105</v>
      </c>
      <c r="B133" s="13" t="s">
        <v>43</v>
      </c>
      <c r="C133" s="13" t="s">
        <v>3</v>
      </c>
      <c r="D133" s="13" t="s">
        <v>106</v>
      </c>
      <c r="E133" s="16" t="n">
        <v>354.281914893617</v>
      </c>
      <c r="F133" s="7" t="n">
        <v>140</v>
      </c>
      <c r="G133" s="5" t="n">
        <v>50000</v>
      </c>
    </row>
    <row r="134" customFormat="false" ht="15" hidden="false" customHeight="false" outlineLevel="0" collapsed="false">
      <c r="A134" s="13" t="s">
        <v>107</v>
      </c>
      <c r="B134" s="13" t="s">
        <v>43</v>
      </c>
      <c r="C134" s="13" t="s">
        <v>5</v>
      </c>
      <c r="D134" s="13" t="s">
        <v>108</v>
      </c>
      <c r="E134" s="16" t="n">
        <v>162.322240802676</v>
      </c>
      <c r="F134" s="7" t="n">
        <v>300</v>
      </c>
      <c r="G134" s="5" t="n">
        <v>48500</v>
      </c>
    </row>
    <row r="135" customFormat="false" ht="15" hidden="false" customHeight="false" outlineLevel="0" collapsed="false">
      <c r="A135" s="13" t="s">
        <v>69</v>
      </c>
      <c r="B135" s="13" t="s">
        <v>43</v>
      </c>
      <c r="C135" s="13" t="s">
        <v>5</v>
      </c>
      <c r="D135" s="13" t="s">
        <v>109</v>
      </c>
      <c r="E135" s="16" t="n">
        <v>740.233384615385</v>
      </c>
      <c r="F135" s="7" t="n">
        <v>60</v>
      </c>
      <c r="G135" s="5" t="n">
        <v>48100</v>
      </c>
    </row>
    <row r="136" customFormat="false" ht="15" hidden="false" customHeight="false" outlineLevel="0" collapsed="false">
      <c r="A136" s="13" t="s">
        <v>50</v>
      </c>
      <c r="B136" s="13" t="s">
        <v>43</v>
      </c>
      <c r="C136" s="13" t="s">
        <v>5</v>
      </c>
      <c r="D136" s="13" t="s">
        <v>110</v>
      </c>
      <c r="E136" s="16" t="n">
        <v>871.449074074074</v>
      </c>
      <c r="F136" s="7" t="n">
        <v>50</v>
      </c>
      <c r="G136" s="5" t="n">
        <v>47100</v>
      </c>
    </row>
    <row r="137" customFormat="false" ht="15" hidden="false" customHeight="false" outlineLevel="0" collapsed="false">
      <c r="A137" s="13" t="s">
        <v>111</v>
      </c>
      <c r="B137" s="13" t="s">
        <v>43</v>
      </c>
      <c r="C137" s="13" t="s">
        <v>3</v>
      </c>
      <c r="D137" s="13" t="s">
        <v>112</v>
      </c>
      <c r="E137" s="16" t="n">
        <v>305.471776315789</v>
      </c>
      <c r="F137" s="7" t="n">
        <v>150</v>
      </c>
      <c r="G137" s="5" t="n">
        <v>46400</v>
      </c>
    </row>
    <row r="138" customFormat="false" ht="15" hidden="false" customHeight="false" outlineLevel="0" collapsed="false">
      <c r="A138" s="13" t="s">
        <v>42</v>
      </c>
      <c r="B138" s="13" t="s">
        <v>43</v>
      </c>
      <c r="C138" s="13" t="s">
        <v>4</v>
      </c>
      <c r="D138" s="13" t="s">
        <v>89</v>
      </c>
      <c r="E138" s="16" t="n">
        <v>673.121343283582</v>
      </c>
      <c r="F138" s="7" t="n">
        <v>70</v>
      </c>
      <c r="G138" s="5" t="n">
        <v>45100</v>
      </c>
    </row>
    <row r="139" customFormat="false" ht="15" hidden="false" customHeight="false" outlineLevel="0" collapsed="false">
      <c r="A139" s="13" t="s">
        <v>45</v>
      </c>
      <c r="B139" s="13" t="s">
        <v>43</v>
      </c>
      <c r="C139" s="13" t="s">
        <v>5</v>
      </c>
      <c r="D139" s="13" t="s">
        <v>113</v>
      </c>
      <c r="E139" s="16" t="n">
        <v>691.533846153846</v>
      </c>
      <c r="F139" s="7" t="n">
        <v>60</v>
      </c>
      <c r="G139" s="5" t="n">
        <v>44900</v>
      </c>
    </row>
    <row r="140" customFormat="false" ht="15" hidden="false" customHeight="false" outlineLevel="0" collapsed="false">
      <c r="A140" s="13" t="s">
        <v>54</v>
      </c>
      <c r="B140" s="13" t="s">
        <v>43</v>
      </c>
      <c r="C140" s="13" t="s">
        <v>5</v>
      </c>
      <c r="D140" s="13" t="s">
        <v>90</v>
      </c>
      <c r="E140" s="16" t="n">
        <v>310.207832167832</v>
      </c>
      <c r="F140" s="7" t="n">
        <v>140</v>
      </c>
      <c r="G140" s="5" t="n">
        <v>44400</v>
      </c>
    </row>
    <row r="141" customFormat="false" ht="15" hidden="false" customHeight="false" outlineLevel="0" collapsed="false">
      <c r="A141" s="13" t="s">
        <v>114</v>
      </c>
      <c r="B141" s="13" t="s">
        <v>115</v>
      </c>
      <c r="C141" s="13" t="s">
        <v>3</v>
      </c>
      <c r="D141" s="13" t="s">
        <v>116</v>
      </c>
      <c r="E141" s="16" t="n">
        <v>104.99</v>
      </c>
      <c r="F141" s="7" t="n">
        <v>420</v>
      </c>
      <c r="G141" s="5" t="n">
        <v>44000</v>
      </c>
    </row>
    <row r="142" customFormat="false" ht="15" hidden="false" customHeight="false" outlineLevel="0" collapsed="false">
      <c r="A142" s="13" t="s">
        <v>117</v>
      </c>
      <c r="B142" s="13" t="s">
        <v>98</v>
      </c>
      <c r="C142" s="13" t="s">
        <v>3</v>
      </c>
      <c r="D142" s="13" t="s">
        <v>118</v>
      </c>
      <c r="E142" s="16" t="n">
        <v>792</v>
      </c>
      <c r="F142" s="7" t="n">
        <v>60</v>
      </c>
      <c r="G142" s="5" t="n">
        <v>43600</v>
      </c>
    </row>
    <row r="143" customFormat="false" ht="15" hidden="false" customHeight="false" outlineLevel="0" collapsed="false">
      <c r="A143" s="13" t="s">
        <v>50</v>
      </c>
      <c r="B143" s="13" t="s">
        <v>43</v>
      </c>
      <c r="C143" s="13" t="s">
        <v>4</v>
      </c>
      <c r="D143" s="13" t="s">
        <v>71</v>
      </c>
      <c r="E143" s="16" t="n">
        <v>688.138571428571</v>
      </c>
      <c r="F143" s="7" t="n">
        <v>60</v>
      </c>
      <c r="G143" s="5" t="n">
        <v>43400</v>
      </c>
    </row>
    <row r="144" customFormat="false" ht="15" hidden="false" customHeight="false" outlineLevel="0" collapsed="false">
      <c r="A144" s="13" t="s">
        <v>45</v>
      </c>
      <c r="B144" s="13" t="s">
        <v>43</v>
      </c>
      <c r="C144" s="13" t="s">
        <v>5</v>
      </c>
      <c r="D144" s="13" t="s">
        <v>119</v>
      </c>
      <c r="E144" s="16" t="n">
        <v>705.696721311475</v>
      </c>
      <c r="F144" s="7" t="n">
        <v>60</v>
      </c>
      <c r="G144" s="5" t="n">
        <v>43000</v>
      </c>
    </row>
    <row r="145" customFormat="false" ht="15" hidden="false" customHeight="false" outlineLevel="0" collapsed="false">
      <c r="A145" s="13" t="s">
        <v>42</v>
      </c>
      <c r="B145" s="13" t="s">
        <v>43</v>
      </c>
      <c r="C145" s="13" t="s">
        <v>5</v>
      </c>
      <c r="D145" s="13" t="s">
        <v>44</v>
      </c>
      <c r="E145" s="16" t="n">
        <v>406.613809523809</v>
      </c>
      <c r="F145" s="7" t="n">
        <v>100</v>
      </c>
      <c r="G145" s="5" t="n">
        <v>42700</v>
      </c>
    </row>
    <row r="146" customFormat="false" ht="15" hidden="false" customHeight="false" outlineLevel="0" collapsed="false">
      <c r="A146" s="13" t="s">
        <v>69</v>
      </c>
      <c r="B146" s="13" t="s">
        <v>43</v>
      </c>
      <c r="C146" s="13" t="s">
        <v>5</v>
      </c>
      <c r="D146" s="13" t="s">
        <v>76</v>
      </c>
      <c r="E146" s="16" t="n">
        <v>572.608493150685</v>
      </c>
      <c r="F146" s="7" t="n">
        <v>70</v>
      </c>
      <c r="G146" s="5" t="n">
        <v>41800</v>
      </c>
    </row>
    <row r="147" customFormat="false" ht="15" hidden="false" customHeight="false" outlineLevel="0" collapsed="false">
      <c r="A147" s="13" t="s">
        <v>69</v>
      </c>
      <c r="B147" s="13" t="s">
        <v>43</v>
      </c>
      <c r="C147" s="13" t="s">
        <v>5</v>
      </c>
      <c r="D147" s="13" t="s">
        <v>120</v>
      </c>
      <c r="E147" s="16" t="n">
        <v>468.215977011494</v>
      </c>
      <c r="F147" s="7" t="n">
        <v>90</v>
      </c>
      <c r="G147" s="5" t="n">
        <v>40700</v>
      </c>
    </row>
    <row r="148" customFormat="false" ht="15" hidden="false" customHeight="false" outlineLevel="0" collapsed="false">
      <c r="A148" s="13" t="s">
        <v>121</v>
      </c>
      <c r="B148" s="13" t="s">
        <v>43</v>
      </c>
      <c r="C148" s="13" t="s">
        <v>5</v>
      </c>
      <c r="D148" s="13" t="s">
        <v>122</v>
      </c>
      <c r="E148" s="16" t="n">
        <v>198.204545454545</v>
      </c>
      <c r="F148" s="7" t="n">
        <v>200</v>
      </c>
      <c r="G148" s="5" t="n">
        <v>39200</v>
      </c>
    </row>
    <row r="149" customFormat="false" ht="15" hidden="false" customHeight="false" outlineLevel="0" collapsed="false">
      <c r="A149" s="13" t="s">
        <v>117</v>
      </c>
      <c r="B149" s="13" t="s">
        <v>98</v>
      </c>
      <c r="C149" s="13" t="s">
        <v>3</v>
      </c>
      <c r="D149" s="13" t="s">
        <v>123</v>
      </c>
      <c r="E149" s="16" t="n">
        <v>1769.99090909091</v>
      </c>
      <c r="F149" s="7" t="n">
        <v>20</v>
      </c>
      <c r="G149" s="5" t="n">
        <v>38900</v>
      </c>
    </row>
    <row r="150" customFormat="false" ht="15" hidden="false" customHeight="false" outlineLevel="0" collapsed="false">
      <c r="A150" s="13" t="s">
        <v>45</v>
      </c>
      <c r="B150" s="13" t="s">
        <v>43</v>
      </c>
      <c r="C150" s="13" t="s">
        <v>5</v>
      </c>
      <c r="D150" s="13" t="s">
        <v>46</v>
      </c>
      <c r="E150" s="16" t="n">
        <v>644.227142857143</v>
      </c>
      <c r="F150" s="7" t="n">
        <v>60</v>
      </c>
      <c r="G150" s="5" t="n">
        <v>36100</v>
      </c>
    </row>
    <row r="151" customFormat="false" ht="15" hidden="false" customHeight="false" outlineLevel="0" collapsed="false">
      <c r="A151" s="13" t="s">
        <v>124</v>
      </c>
      <c r="B151" s="13" t="s">
        <v>43</v>
      </c>
      <c r="C151" s="13" t="s">
        <v>5</v>
      </c>
      <c r="D151" s="13" t="s">
        <v>125</v>
      </c>
      <c r="E151" s="16" t="n">
        <v>779</v>
      </c>
      <c r="F151" s="7" t="n">
        <v>40</v>
      </c>
      <c r="G151" s="5" t="n">
        <v>35100</v>
      </c>
    </row>
    <row r="152" customFormat="false" ht="15" hidden="false" customHeight="false" outlineLevel="0" collapsed="false">
      <c r="A152" s="13" t="s">
        <v>126</v>
      </c>
      <c r="B152" s="13" t="s">
        <v>43</v>
      </c>
      <c r="C152" s="13" t="s">
        <v>3</v>
      </c>
      <c r="D152" s="13" t="s">
        <v>127</v>
      </c>
      <c r="E152" s="16" t="n">
        <v>229.99</v>
      </c>
      <c r="F152" s="7" t="n">
        <v>150</v>
      </c>
      <c r="G152" s="5" t="n">
        <v>35000</v>
      </c>
    </row>
    <row r="153" customFormat="false" ht="15" hidden="false" customHeight="false" outlineLevel="0" collapsed="false">
      <c r="A153" s="13" t="s">
        <v>42</v>
      </c>
      <c r="B153" s="13" t="s">
        <v>43</v>
      </c>
      <c r="C153" s="13" t="s">
        <v>5</v>
      </c>
      <c r="D153" s="13" t="s">
        <v>89</v>
      </c>
      <c r="E153" s="16" t="n">
        <v>633.914545454545</v>
      </c>
      <c r="F153" s="7" t="n">
        <v>60</v>
      </c>
      <c r="G153" s="5" t="n">
        <v>34900</v>
      </c>
    </row>
    <row r="154" customFormat="false" ht="15" hidden="false" customHeight="false" outlineLevel="0" collapsed="false">
      <c r="A154" s="13" t="s">
        <v>128</v>
      </c>
      <c r="B154" s="13" t="s">
        <v>129</v>
      </c>
      <c r="C154" s="13" t="s">
        <v>3</v>
      </c>
      <c r="D154" s="13" t="s">
        <v>130</v>
      </c>
      <c r="E154" s="16" t="n">
        <v>1070.3875</v>
      </c>
      <c r="F154" s="7" t="n">
        <v>30</v>
      </c>
      <c r="G154" s="5" t="n">
        <v>34300</v>
      </c>
    </row>
    <row r="155" customFormat="false" ht="15" hidden="false" customHeight="false" outlineLevel="0" collapsed="false">
      <c r="A155" s="13" t="s">
        <v>131</v>
      </c>
      <c r="B155" s="13" t="s">
        <v>66</v>
      </c>
      <c r="C155" s="13" t="s">
        <v>3</v>
      </c>
      <c r="D155" s="13" t="s">
        <v>132</v>
      </c>
      <c r="E155" s="16" t="n">
        <v>567.753333333333</v>
      </c>
      <c r="F155" s="7" t="n">
        <v>60</v>
      </c>
      <c r="G155" s="5" t="n">
        <v>34100</v>
      </c>
    </row>
    <row r="156" customFormat="false" ht="15" hidden="false" customHeight="false" outlineLevel="0" collapsed="false">
      <c r="A156" s="13" t="s">
        <v>131</v>
      </c>
      <c r="B156" s="13" t="s">
        <v>66</v>
      </c>
      <c r="C156" s="13" t="s">
        <v>3</v>
      </c>
      <c r="D156" s="13" t="s">
        <v>133</v>
      </c>
      <c r="E156" s="16" t="n">
        <v>620.019636363636</v>
      </c>
      <c r="F156" s="7" t="n">
        <v>60</v>
      </c>
      <c r="G156" s="5" t="n">
        <v>34100</v>
      </c>
    </row>
    <row r="157" customFormat="false" ht="15" hidden="false" customHeight="false" outlineLevel="0" collapsed="false">
      <c r="A157" s="13" t="s">
        <v>42</v>
      </c>
      <c r="B157" s="13" t="s">
        <v>43</v>
      </c>
      <c r="C157" s="13" t="s">
        <v>4</v>
      </c>
      <c r="D157" s="13" t="s">
        <v>47</v>
      </c>
      <c r="E157" s="16" t="n">
        <v>679.2</v>
      </c>
      <c r="F157" s="7" t="n">
        <v>50</v>
      </c>
      <c r="G157" s="5" t="n">
        <v>34000</v>
      </c>
    </row>
    <row r="158" customFormat="false" ht="15" hidden="false" customHeight="false" outlineLevel="0" collapsed="false">
      <c r="A158" s="13" t="s">
        <v>69</v>
      </c>
      <c r="B158" s="13" t="s">
        <v>43</v>
      </c>
      <c r="C158" s="13" t="s">
        <v>5</v>
      </c>
      <c r="D158" s="13" t="s">
        <v>134</v>
      </c>
      <c r="E158" s="16" t="n">
        <v>909.405675675676</v>
      </c>
      <c r="F158" s="7" t="n">
        <v>40</v>
      </c>
      <c r="G158" s="5" t="n">
        <v>33600</v>
      </c>
    </row>
    <row r="159" customFormat="false" ht="15" hidden="false" customHeight="false" outlineLevel="0" collapsed="false">
      <c r="A159" s="13" t="s">
        <v>69</v>
      </c>
      <c r="B159" s="13" t="s">
        <v>43</v>
      </c>
      <c r="C159" s="13" t="s">
        <v>5</v>
      </c>
      <c r="D159" s="13" t="s">
        <v>78</v>
      </c>
      <c r="E159" s="16" t="n">
        <v>893.516486486487</v>
      </c>
      <c r="F159" s="7" t="n">
        <v>40</v>
      </c>
      <c r="G159" s="5" t="n">
        <v>33100</v>
      </c>
    </row>
    <row r="160" customFormat="false" ht="15" hidden="false" customHeight="false" outlineLevel="0" collapsed="false">
      <c r="A160" s="13" t="s">
        <v>135</v>
      </c>
      <c r="B160" s="13" t="s">
        <v>129</v>
      </c>
      <c r="C160" s="13" t="s">
        <v>3</v>
      </c>
      <c r="D160" s="13" t="s">
        <v>136</v>
      </c>
      <c r="E160" s="16" t="n">
        <v>649.99</v>
      </c>
      <c r="F160" s="7" t="n">
        <v>50</v>
      </c>
      <c r="G160" s="5" t="n">
        <v>33100</v>
      </c>
    </row>
    <row r="161" customFormat="false" ht="15" hidden="false" customHeight="false" outlineLevel="0" collapsed="false">
      <c r="A161" s="13" t="s">
        <v>72</v>
      </c>
      <c r="B161" s="13" t="s">
        <v>43</v>
      </c>
      <c r="C161" s="13" t="s">
        <v>3</v>
      </c>
      <c r="D161" s="13" t="s">
        <v>73</v>
      </c>
      <c r="E161" s="16" t="n">
        <v>686.51</v>
      </c>
      <c r="F161" s="7" t="n">
        <v>50</v>
      </c>
      <c r="G161" s="5" t="n">
        <v>33000</v>
      </c>
    </row>
    <row r="162" customFormat="false" ht="15" hidden="false" customHeight="false" outlineLevel="0" collapsed="false">
      <c r="A162" s="13" t="s">
        <v>42</v>
      </c>
      <c r="B162" s="13" t="s">
        <v>43</v>
      </c>
      <c r="C162" s="13" t="s">
        <v>5</v>
      </c>
      <c r="D162" s="13" t="s">
        <v>137</v>
      </c>
      <c r="E162" s="16" t="n">
        <v>786.357142857143</v>
      </c>
      <c r="F162" s="7" t="n">
        <v>40</v>
      </c>
      <c r="G162" s="5" t="n">
        <v>33000</v>
      </c>
    </row>
    <row r="163" customFormat="false" ht="15" hidden="false" customHeight="false" outlineLevel="0" collapsed="false">
      <c r="A163" s="13" t="s">
        <v>69</v>
      </c>
      <c r="B163" s="13" t="s">
        <v>43</v>
      </c>
      <c r="C163" s="13" t="s">
        <v>3</v>
      </c>
      <c r="D163" s="13" t="s">
        <v>138</v>
      </c>
      <c r="E163" s="16" t="n">
        <v>716.381304347826</v>
      </c>
      <c r="F163" s="7" t="n">
        <v>50</v>
      </c>
      <c r="G163" s="5" t="n">
        <v>33000</v>
      </c>
    </row>
    <row r="164" customFormat="false" ht="15" hidden="false" customHeight="false" outlineLevel="0" collapsed="false">
      <c r="A164" s="13" t="s">
        <v>139</v>
      </c>
      <c r="B164" s="13" t="s">
        <v>140</v>
      </c>
      <c r="C164" s="13" t="s">
        <v>3</v>
      </c>
      <c r="D164" s="13" t="s">
        <v>141</v>
      </c>
      <c r="E164" s="16" t="n">
        <v>210.105095541401</v>
      </c>
      <c r="F164" s="7" t="n">
        <v>160</v>
      </c>
      <c r="G164" s="5" t="n">
        <v>33000</v>
      </c>
    </row>
    <row r="165" customFormat="false" ht="15" hidden="false" customHeight="false" outlineLevel="0" collapsed="false">
      <c r="A165" s="13" t="s">
        <v>135</v>
      </c>
      <c r="B165" s="13" t="s">
        <v>85</v>
      </c>
      <c r="C165" s="13" t="s">
        <v>3</v>
      </c>
      <c r="D165" s="13" t="s">
        <v>142</v>
      </c>
      <c r="E165" s="16" t="n">
        <v>629.99</v>
      </c>
      <c r="F165" s="7" t="n">
        <v>50</v>
      </c>
      <c r="G165" s="5" t="n">
        <v>32800</v>
      </c>
    </row>
    <row r="166" customFormat="false" ht="15" hidden="false" customHeight="false" outlineLevel="0" collapsed="false">
      <c r="A166" s="13" t="s">
        <v>143</v>
      </c>
      <c r="B166" s="13" t="s">
        <v>144</v>
      </c>
      <c r="C166" s="13" t="s">
        <v>3</v>
      </c>
      <c r="D166" s="13" t="s">
        <v>145</v>
      </c>
      <c r="E166" s="16" t="n">
        <v>401.865</v>
      </c>
      <c r="F166" s="7" t="n">
        <v>80</v>
      </c>
      <c r="G166" s="5" t="n">
        <v>32100</v>
      </c>
    </row>
    <row r="167" customFormat="false" ht="15" hidden="false" customHeight="false" outlineLevel="0" collapsed="false">
      <c r="A167" s="13" t="s">
        <v>72</v>
      </c>
      <c r="B167" s="13" t="s">
        <v>43</v>
      </c>
      <c r="C167" s="13" t="s">
        <v>5</v>
      </c>
      <c r="D167" s="13" t="s">
        <v>73</v>
      </c>
      <c r="E167" s="16" t="n">
        <v>762.234523809524</v>
      </c>
      <c r="F167" s="7" t="n">
        <v>40</v>
      </c>
      <c r="G167" s="5" t="n">
        <v>32000</v>
      </c>
    </row>
    <row r="168" customFormat="false" ht="15" hidden="false" customHeight="false" outlineLevel="0" collapsed="false">
      <c r="A168" s="13" t="s">
        <v>42</v>
      </c>
      <c r="B168" s="13" t="s">
        <v>43</v>
      </c>
      <c r="C168" s="13" t="s">
        <v>4</v>
      </c>
      <c r="D168" s="13" t="s">
        <v>146</v>
      </c>
      <c r="E168" s="16" t="n">
        <v>740.717441860465</v>
      </c>
      <c r="F168" s="7" t="n">
        <v>40</v>
      </c>
      <c r="G168" s="5" t="n">
        <v>31900</v>
      </c>
    </row>
    <row r="169" customFormat="false" ht="15" hidden="false" customHeight="false" outlineLevel="0" collapsed="false">
      <c r="A169" s="13" t="s">
        <v>65</v>
      </c>
      <c r="B169" s="13" t="s">
        <v>66</v>
      </c>
      <c r="C169" s="13" t="s">
        <v>3</v>
      </c>
      <c r="D169" s="13" t="s">
        <v>147</v>
      </c>
      <c r="E169" s="16" t="n">
        <v>334</v>
      </c>
      <c r="F169" s="7" t="n">
        <v>100</v>
      </c>
      <c r="G169" s="5" t="n">
        <v>31700</v>
      </c>
    </row>
    <row r="170" customFormat="false" ht="15" hidden="false" customHeight="false" outlineLevel="0" collapsed="false">
      <c r="A170" s="13" t="s">
        <v>50</v>
      </c>
      <c r="B170" s="13" t="s">
        <v>43</v>
      </c>
      <c r="C170" s="13" t="s">
        <v>4</v>
      </c>
      <c r="D170" s="13" t="s">
        <v>148</v>
      </c>
      <c r="E170" s="16" t="n">
        <v>505.70064516129</v>
      </c>
      <c r="F170" s="7" t="n">
        <v>60</v>
      </c>
      <c r="G170" s="5" t="n">
        <v>31400</v>
      </c>
    </row>
    <row r="171" customFormat="false" ht="15" hidden="false" customHeight="false" outlineLevel="0" collapsed="false">
      <c r="A171" s="13" t="s">
        <v>81</v>
      </c>
      <c r="B171" s="13" t="s">
        <v>82</v>
      </c>
      <c r="C171" s="13" t="s">
        <v>3</v>
      </c>
      <c r="D171" s="13" t="s">
        <v>149</v>
      </c>
      <c r="E171" s="16" t="n">
        <v>99</v>
      </c>
      <c r="F171" s="7" t="n">
        <v>320</v>
      </c>
      <c r="G171" s="5" t="n">
        <v>31400</v>
      </c>
    </row>
    <row r="172" customFormat="false" ht="15" hidden="false" customHeight="false" outlineLevel="0" collapsed="false">
      <c r="A172" s="13" t="s">
        <v>111</v>
      </c>
      <c r="B172" s="13" t="s">
        <v>43</v>
      </c>
      <c r="C172" s="13" t="s">
        <v>3</v>
      </c>
      <c r="D172" s="13" t="s">
        <v>150</v>
      </c>
      <c r="E172" s="16" t="n">
        <v>291.276915887851</v>
      </c>
      <c r="F172" s="7" t="n">
        <v>110</v>
      </c>
      <c r="G172" s="5" t="n">
        <v>31200</v>
      </c>
    </row>
    <row r="173" customFormat="false" ht="15" hidden="false" customHeight="false" outlineLevel="0" collapsed="false">
      <c r="A173" s="13" t="s">
        <v>45</v>
      </c>
      <c r="B173" s="13" t="s">
        <v>43</v>
      </c>
      <c r="C173" s="13" t="s">
        <v>4</v>
      </c>
      <c r="D173" s="13" t="s">
        <v>49</v>
      </c>
      <c r="E173" s="16" t="n">
        <v>844.503783783784</v>
      </c>
      <c r="F173" s="7" t="n">
        <v>40</v>
      </c>
      <c r="G173" s="5" t="n">
        <v>31200</v>
      </c>
    </row>
    <row r="174" customFormat="false" ht="15" hidden="false" customHeight="false" outlineLevel="0" collapsed="false">
      <c r="A174" s="13" t="s">
        <v>42</v>
      </c>
      <c r="B174" s="13" t="s">
        <v>43</v>
      </c>
      <c r="C174" s="13" t="s">
        <v>5</v>
      </c>
      <c r="D174" s="13" t="s">
        <v>151</v>
      </c>
      <c r="E174" s="16" t="n">
        <v>707.921590909091</v>
      </c>
      <c r="F174" s="7" t="n">
        <v>40</v>
      </c>
      <c r="G174" s="5" t="n">
        <v>31100</v>
      </c>
    </row>
    <row r="175" customFormat="false" ht="15" hidden="false" customHeight="false" outlineLevel="0" collapsed="false">
      <c r="A175" s="13" t="s">
        <v>42</v>
      </c>
      <c r="B175" s="13" t="s">
        <v>43</v>
      </c>
      <c r="C175" s="13" t="s">
        <v>5</v>
      </c>
      <c r="D175" s="13" t="s">
        <v>152</v>
      </c>
      <c r="E175" s="16" t="n">
        <v>328.359361702128</v>
      </c>
      <c r="F175" s="7" t="n">
        <v>90</v>
      </c>
      <c r="G175" s="5" t="n">
        <v>30900</v>
      </c>
    </row>
    <row r="176" customFormat="false" ht="15" hidden="false" customHeight="false" outlineLevel="0" collapsed="false">
      <c r="A176" s="13" t="s">
        <v>153</v>
      </c>
      <c r="B176" s="13" t="s">
        <v>43</v>
      </c>
      <c r="C176" s="13" t="s">
        <v>5</v>
      </c>
      <c r="D176" s="13" t="s">
        <v>154</v>
      </c>
      <c r="E176" s="16" t="n">
        <v>379.818395061728</v>
      </c>
      <c r="F176" s="7" t="n">
        <v>80</v>
      </c>
      <c r="G176" s="5" t="n">
        <v>30800</v>
      </c>
    </row>
    <row r="177" customFormat="false" ht="15" hidden="false" customHeight="false" outlineLevel="0" collapsed="false">
      <c r="A177" s="13" t="s">
        <v>155</v>
      </c>
      <c r="B177" s="13" t="s">
        <v>43</v>
      </c>
      <c r="C177" s="13" t="s">
        <v>3</v>
      </c>
      <c r="D177" s="13" t="s">
        <v>156</v>
      </c>
      <c r="E177" s="16" t="n">
        <v>97.4969523809523</v>
      </c>
      <c r="F177" s="7" t="n">
        <v>320</v>
      </c>
      <c r="G177" s="5" t="n">
        <v>30700</v>
      </c>
    </row>
    <row r="178" customFormat="false" ht="15" hidden="false" customHeight="false" outlineLevel="0" collapsed="false">
      <c r="A178" s="13" t="s">
        <v>157</v>
      </c>
      <c r="B178" s="13" t="s">
        <v>66</v>
      </c>
      <c r="C178" s="13" t="s">
        <v>3</v>
      </c>
      <c r="D178" s="13" t="s">
        <v>158</v>
      </c>
      <c r="E178" s="16" t="n">
        <v>355.255813953488</v>
      </c>
      <c r="F178" s="7" t="n">
        <v>90</v>
      </c>
      <c r="G178" s="5" t="n">
        <v>30600</v>
      </c>
    </row>
    <row r="179" customFormat="false" ht="15" hidden="false" customHeight="false" outlineLevel="0" collapsed="false">
      <c r="A179" s="13" t="s">
        <v>50</v>
      </c>
      <c r="B179" s="13" t="s">
        <v>43</v>
      </c>
      <c r="C179" s="13" t="s">
        <v>4</v>
      </c>
      <c r="D179" s="13" t="s">
        <v>64</v>
      </c>
      <c r="E179" s="16" t="n">
        <v>781.110256410256</v>
      </c>
      <c r="F179" s="7" t="n">
        <v>40</v>
      </c>
      <c r="G179" s="5" t="n">
        <v>30500</v>
      </c>
    </row>
    <row r="180" customFormat="false" ht="15" hidden="false" customHeight="false" outlineLevel="0" collapsed="false">
      <c r="A180" s="13" t="s">
        <v>124</v>
      </c>
      <c r="B180" s="13" t="s">
        <v>43</v>
      </c>
      <c r="C180" s="13" t="s">
        <v>5</v>
      </c>
      <c r="D180" s="13" t="s">
        <v>125</v>
      </c>
      <c r="E180" s="16" t="n">
        <v>918.036363636364</v>
      </c>
      <c r="F180" s="7" t="n">
        <v>30</v>
      </c>
      <c r="G180" s="5" t="n">
        <v>30300</v>
      </c>
    </row>
    <row r="181" customFormat="false" ht="15" hidden="false" customHeight="false" outlineLevel="0" collapsed="false">
      <c r="A181" s="13" t="s">
        <v>72</v>
      </c>
      <c r="B181" s="13" t="s">
        <v>43</v>
      </c>
      <c r="C181" s="13" t="s">
        <v>5</v>
      </c>
      <c r="D181" s="13" t="s">
        <v>159</v>
      </c>
      <c r="E181" s="16" t="n">
        <v>864.805714285714</v>
      </c>
      <c r="F181" s="7" t="n">
        <v>40</v>
      </c>
      <c r="G181" s="5" t="n">
        <v>30300</v>
      </c>
    </row>
    <row r="182" customFormat="false" ht="15" hidden="false" customHeight="false" outlineLevel="0" collapsed="false">
      <c r="A182" s="13" t="s">
        <v>50</v>
      </c>
      <c r="B182" s="13" t="s">
        <v>43</v>
      </c>
      <c r="C182" s="13" t="s">
        <v>5</v>
      </c>
      <c r="D182" s="13" t="s">
        <v>160</v>
      </c>
      <c r="E182" s="16" t="n">
        <v>689.519318181818</v>
      </c>
      <c r="F182" s="7" t="n">
        <v>40</v>
      </c>
      <c r="G182" s="5" t="n">
        <v>30300</v>
      </c>
    </row>
    <row r="183" customFormat="false" ht="15" hidden="false" customHeight="false" outlineLevel="0" collapsed="false">
      <c r="A183" s="13" t="s">
        <v>161</v>
      </c>
      <c r="B183" s="13" t="s">
        <v>43</v>
      </c>
      <c r="C183" s="13" t="s">
        <v>4</v>
      </c>
      <c r="D183" s="13" t="s">
        <v>162</v>
      </c>
      <c r="E183" s="16" t="n">
        <v>303.675918367347</v>
      </c>
      <c r="F183" s="7" t="n">
        <v>100</v>
      </c>
      <c r="G183" s="5" t="n">
        <v>29800</v>
      </c>
    </row>
    <row r="184" customFormat="false" ht="15" hidden="false" customHeight="false" outlineLevel="0" collapsed="false">
      <c r="A184" s="13" t="s">
        <v>50</v>
      </c>
      <c r="B184" s="13" t="s">
        <v>43</v>
      </c>
      <c r="C184" s="13" t="s">
        <v>5</v>
      </c>
      <c r="D184" s="13" t="s">
        <v>52</v>
      </c>
      <c r="E184" s="16" t="n">
        <v>455.567538461538</v>
      </c>
      <c r="F184" s="7" t="n">
        <v>60</v>
      </c>
      <c r="G184" s="5" t="n">
        <v>29600</v>
      </c>
    </row>
    <row r="185" customFormat="false" ht="15" hidden="false" customHeight="false" outlineLevel="0" collapsed="false">
      <c r="A185" s="13" t="s">
        <v>161</v>
      </c>
      <c r="B185" s="13" t="s">
        <v>43</v>
      </c>
      <c r="C185" s="13" t="s">
        <v>3</v>
      </c>
      <c r="D185" s="13" t="s">
        <v>163</v>
      </c>
      <c r="E185" s="16" t="n">
        <v>307.542604166667</v>
      </c>
      <c r="F185" s="7" t="n">
        <v>100</v>
      </c>
      <c r="G185" s="5" t="n">
        <v>29500</v>
      </c>
    </row>
    <row r="186" customFormat="false" ht="15" hidden="false" customHeight="false" outlineLevel="0" collapsed="false">
      <c r="A186" s="13" t="s">
        <v>87</v>
      </c>
      <c r="B186" s="13" t="s">
        <v>66</v>
      </c>
      <c r="C186" s="13" t="s">
        <v>3</v>
      </c>
      <c r="D186" s="13" t="s">
        <v>164</v>
      </c>
      <c r="E186" s="16" t="n">
        <v>2270.18461538462</v>
      </c>
      <c r="F186" s="7" t="n">
        <v>10</v>
      </c>
      <c r="G186" s="5" t="n">
        <v>29500</v>
      </c>
    </row>
    <row r="187" customFormat="false" ht="15" hidden="false" customHeight="false" outlineLevel="0" collapsed="false">
      <c r="A187" s="13" t="s">
        <v>165</v>
      </c>
      <c r="B187" s="13" t="s">
        <v>43</v>
      </c>
      <c r="C187" s="13" t="s">
        <v>3</v>
      </c>
      <c r="D187" s="13" t="s">
        <v>166</v>
      </c>
      <c r="E187" s="16" t="n">
        <v>255.565130434783</v>
      </c>
      <c r="F187" s="7" t="n">
        <v>120</v>
      </c>
      <c r="G187" s="5" t="n">
        <v>29400</v>
      </c>
    </row>
    <row r="188" customFormat="false" ht="15" hidden="false" customHeight="false" outlineLevel="0" collapsed="false">
      <c r="A188" s="13" t="s">
        <v>167</v>
      </c>
      <c r="B188" s="13" t="s">
        <v>168</v>
      </c>
      <c r="C188" s="13" t="s">
        <v>3</v>
      </c>
      <c r="D188" s="13" t="s">
        <v>169</v>
      </c>
      <c r="E188" s="16" t="n">
        <v>140.805384615385</v>
      </c>
      <c r="F188" s="7" t="n">
        <v>210</v>
      </c>
      <c r="G188" s="5" t="n">
        <v>29300</v>
      </c>
    </row>
    <row r="189" customFormat="false" ht="15" hidden="false" customHeight="false" outlineLevel="0" collapsed="false">
      <c r="A189" s="13" t="s">
        <v>45</v>
      </c>
      <c r="B189" s="13" t="s">
        <v>43</v>
      </c>
      <c r="C189" s="13" t="s">
        <v>5</v>
      </c>
      <c r="D189" s="13" t="s">
        <v>101</v>
      </c>
      <c r="E189" s="16" t="n">
        <v>510.996315789474</v>
      </c>
      <c r="F189" s="7" t="n">
        <v>60</v>
      </c>
      <c r="G189" s="5" t="n">
        <v>29100</v>
      </c>
    </row>
    <row r="190" customFormat="false" ht="15" hidden="false" customHeight="false" outlineLevel="0" collapsed="false">
      <c r="A190" s="13" t="s">
        <v>87</v>
      </c>
      <c r="B190" s="13" t="s">
        <v>66</v>
      </c>
      <c r="C190" s="13" t="s">
        <v>3</v>
      </c>
      <c r="D190" s="13" t="s">
        <v>170</v>
      </c>
      <c r="E190" s="16" t="n">
        <v>801.628888888889</v>
      </c>
      <c r="F190" s="7" t="n">
        <v>40</v>
      </c>
      <c r="G190" s="5" t="n">
        <v>28900</v>
      </c>
    </row>
    <row r="191" customFormat="false" ht="15" hidden="false" customHeight="false" outlineLevel="0" collapsed="false">
      <c r="A191" s="13" t="s">
        <v>161</v>
      </c>
      <c r="B191" s="13" t="s">
        <v>43</v>
      </c>
      <c r="C191" s="13" t="s">
        <v>3</v>
      </c>
      <c r="D191" s="13" t="s">
        <v>171</v>
      </c>
      <c r="E191" s="16" t="n">
        <v>282.88431372549</v>
      </c>
      <c r="F191" s="7" t="n">
        <v>100</v>
      </c>
      <c r="G191" s="5" t="n">
        <v>28900</v>
      </c>
    </row>
    <row r="192" customFormat="false" ht="15" hidden="false" customHeight="false" outlineLevel="0" collapsed="false">
      <c r="A192" s="13" t="s">
        <v>45</v>
      </c>
      <c r="B192" s="13" t="s">
        <v>43</v>
      </c>
      <c r="C192" s="13" t="s">
        <v>5</v>
      </c>
      <c r="D192" s="13" t="s">
        <v>101</v>
      </c>
      <c r="E192" s="16" t="n">
        <v>552</v>
      </c>
      <c r="F192" s="7" t="n">
        <v>50</v>
      </c>
      <c r="G192" s="5" t="n">
        <v>28700</v>
      </c>
    </row>
    <row r="193" customFormat="false" ht="15" hidden="false" customHeight="false" outlineLevel="0" collapsed="false">
      <c r="A193" s="13" t="s">
        <v>50</v>
      </c>
      <c r="B193" s="13" t="s">
        <v>43</v>
      </c>
      <c r="C193" s="13" t="s">
        <v>4</v>
      </c>
      <c r="D193" s="13" t="s">
        <v>172</v>
      </c>
      <c r="E193" s="16" t="n">
        <v>512.445357142857</v>
      </c>
      <c r="F193" s="7" t="n">
        <v>60</v>
      </c>
      <c r="G193" s="5" t="n">
        <v>28700</v>
      </c>
    </row>
    <row r="194" customFormat="false" ht="15" hidden="false" customHeight="false" outlineLevel="0" collapsed="false">
      <c r="A194" s="13" t="s">
        <v>69</v>
      </c>
      <c r="B194" s="13" t="s">
        <v>43</v>
      </c>
      <c r="C194" s="13" t="s">
        <v>5</v>
      </c>
      <c r="D194" s="13" t="s">
        <v>173</v>
      </c>
      <c r="E194" s="16" t="n">
        <v>445.18390625</v>
      </c>
      <c r="F194" s="7" t="n">
        <v>60</v>
      </c>
      <c r="G194" s="5" t="n">
        <v>28500</v>
      </c>
    </row>
    <row r="195" customFormat="false" ht="15" hidden="false" customHeight="false" outlineLevel="0" collapsed="false">
      <c r="A195" s="13" t="s">
        <v>161</v>
      </c>
      <c r="B195" s="13" t="s">
        <v>43</v>
      </c>
      <c r="C195" s="13" t="s">
        <v>4</v>
      </c>
      <c r="D195" s="13" t="s">
        <v>174</v>
      </c>
      <c r="E195" s="16" t="n">
        <v>294.300833333333</v>
      </c>
      <c r="F195" s="7" t="n">
        <v>100</v>
      </c>
      <c r="G195" s="5" t="n">
        <v>28300</v>
      </c>
    </row>
    <row r="196" customFormat="false" ht="15" hidden="false" customHeight="false" outlineLevel="0" collapsed="false">
      <c r="A196" s="13" t="s">
        <v>175</v>
      </c>
      <c r="B196" s="13" t="s">
        <v>98</v>
      </c>
      <c r="C196" s="13" t="s">
        <v>3</v>
      </c>
      <c r="D196" s="13" t="s">
        <v>176</v>
      </c>
      <c r="E196" s="16" t="n">
        <v>170.692469879518</v>
      </c>
      <c r="F196" s="7" t="n">
        <v>170</v>
      </c>
      <c r="G196" s="5" t="n">
        <v>28300</v>
      </c>
    </row>
    <row r="197" customFormat="false" ht="15" hidden="false" customHeight="false" outlineLevel="0" collapsed="false">
      <c r="A197" s="13" t="s">
        <v>177</v>
      </c>
      <c r="B197" s="13" t="s">
        <v>43</v>
      </c>
      <c r="C197" s="13" t="s">
        <v>5</v>
      </c>
      <c r="D197" s="13" t="s">
        <v>178</v>
      </c>
      <c r="E197" s="16" t="n">
        <v>724.218717948718</v>
      </c>
      <c r="F197" s="7" t="n">
        <v>40</v>
      </c>
      <c r="G197" s="5" t="n">
        <v>28200</v>
      </c>
    </row>
    <row r="198" customFormat="false" ht="15" hidden="false" customHeight="false" outlineLevel="0" collapsed="false">
      <c r="A198" s="13" t="s">
        <v>179</v>
      </c>
      <c r="B198" s="13" t="s">
        <v>180</v>
      </c>
      <c r="C198" s="13" t="s">
        <v>3</v>
      </c>
      <c r="D198" s="13" t="s">
        <v>181</v>
      </c>
      <c r="E198" s="16" t="n">
        <v>178.687096774194</v>
      </c>
      <c r="F198" s="7" t="n">
        <v>160</v>
      </c>
      <c r="G198" s="5" t="n">
        <v>27700</v>
      </c>
    </row>
    <row r="199" customFormat="false" ht="15" hidden="false" customHeight="false" outlineLevel="0" collapsed="false">
      <c r="A199" s="13" t="s">
        <v>45</v>
      </c>
      <c r="B199" s="13" t="s">
        <v>43</v>
      </c>
      <c r="C199" s="13" t="s">
        <v>5</v>
      </c>
      <c r="D199" s="13" t="s">
        <v>49</v>
      </c>
      <c r="E199" s="16" t="n">
        <v>562.312244897959</v>
      </c>
      <c r="F199" s="7" t="n">
        <v>50</v>
      </c>
      <c r="G199" s="5" t="n">
        <v>27600</v>
      </c>
    </row>
    <row r="200" customFormat="false" ht="15" hidden="false" customHeight="false" outlineLevel="0" collapsed="false">
      <c r="A200" s="13" t="s">
        <v>182</v>
      </c>
      <c r="B200" s="13" t="s">
        <v>183</v>
      </c>
      <c r="C200" s="13" t="s">
        <v>3</v>
      </c>
      <c r="D200" s="13" t="s">
        <v>184</v>
      </c>
      <c r="E200" s="16" t="n">
        <v>97.5495759717314</v>
      </c>
      <c r="F200" s="7" t="n">
        <v>280</v>
      </c>
      <c r="G200" s="5" t="n">
        <v>27600</v>
      </c>
    </row>
    <row r="201" customFormat="false" ht="15" hidden="false" customHeight="false" outlineLevel="0" collapsed="false">
      <c r="A201" s="13" t="s">
        <v>50</v>
      </c>
      <c r="B201" s="13" t="s">
        <v>43</v>
      </c>
      <c r="C201" s="13" t="s">
        <v>4</v>
      </c>
      <c r="D201" s="13" t="s">
        <v>185</v>
      </c>
      <c r="E201" s="16" t="n">
        <v>948.27</v>
      </c>
      <c r="F201" s="7" t="n">
        <v>30</v>
      </c>
      <c r="G201" s="5" t="n">
        <v>27500</v>
      </c>
    </row>
    <row r="202" customFormat="false" ht="15" hidden="false" customHeight="false" outlineLevel="0" collapsed="false">
      <c r="A202" s="13" t="s">
        <v>186</v>
      </c>
      <c r="B202" s="13" t="s">
        <v>43</v>
      </c>
      <c r="C202" s="13" t="s">
        <v>3</v>
      </c>
      <c r="D202" s="13" t="s">
        <v>187</v>
      </c>
      <c r="E202" s="16" t="n">
        <v>408.120895522388</v>
      </c>
      <c r="F202" s="7" t="n">
        <v>70</v>
      </c>
      <c r="G202" s="5" t="n">
        <v>27300</v>
      </c>
    </row>
    <row r="203" customFormat="false" ht="15" hidden="false" customHeight="false" outlineLevel="0" collapsed="false">
      <c r="A203" s="13" t="s">
        <v>54</v>
      </c>
      <c r="B203" s="13" t="s">
        <v>43</v>
      </c>
      <c r="C203" s="13" t="s">
        <v>5</v>
      </c>
      <c r="D203" s="13" t="s">
        <v>188</v>
      </c>
      <c r="E203" s="16" t="n">
        <v>313.001724137931</v>
      </c>
      <c r="F203" s="7" t="n">
        <v>90</v>
      </c>
      <c r="G203" s="5" t="n">
        <v>27200</v>
      </c>
    </row>
    <row r="204" customFormat="false" ht="15" hidden="false" customHeight="false" outlineLevel="0" collapsed="false">
      <c r="A204" s="13" t="s">
        <v>50</v>
      </c>
      <c r="B204" s="13" t="s">
        <v>43</v>
      </c>
      <c r="C204" s="13" t="s">
        <v>5</v>
      </c>
      <c r="D204" s="13" t="s">
        <v>189</v>
      </c>
      <c r="E204" s="16" t="n">
        <v>775.11</v>
      </c>
      <c r="F204" s="7" t="n">
        <v>40</v>
      </c>
      <c r="G204" s="5" t="n">
        <v>27100</v>
      </c>
    </row>
    <row r="205" customFormat="false" ht="15" hidden="false" customHeight="false" outlineLevel="0" collapsed="false">
      <c r="A205" s="13" t="s">
        <v>153</v>
      </c>
      <c r="B205" s="13" t="s">
        <v>43</v>
      </c>
      <c r="C205" s="13" t="s">
        <v>5</v>
      </c>
      <c r="D205" s="13" t="s">
        <v>190</v>
      </c>
      <c r="E205" s="16" t="n">
        <v>692</v>
      </c>
      <c r="F205" s="7" t="n">
        <v>40</v>
      </c>
      <c r="G205" s="5" t="n">
        <v>27000</v>
      </c>
    </row>
    <row r="206" customFormat="false" ht="15" hidden="false" customHeight="false" outlineLevel="0" collapsed="false">
      <c r="A206" s="13" t="s">
        <v>191</v>
      </c>
      <c r="B206" s="13" t="s">
        <v>183</v>
      </c>
      <c r="C206" s="13" t="s">
        <v>3</v>
      </c>
      <c r="D206" s="13" t="s">
        <v>192</v>
      </c>
      <c r="E206" s="16" t="n">
        <v>139.99</v>
      </c>
      <c r="F206" s="7" t="n">
        <v>190</v>
      </c>
      <c r="G206" s="5" t="n">
        <v>26600</v>
      </c>
    </row>
    <row r="207" customFormat="false" ht="15" hidden="false" customHeight="false" outlineLevel="0" collapsed="false">
      <c r="A207" s="13" t="s">
        <v>193</v>
      </c>
      <c r="B207" s="13" t="s">
        <v>43</v>
      </c>
      <c r="C207" s="13" t="s">
        <v>5</v>
      </c>
      <c r="D207" s="13" t="s">
        <v>194</v>
      </c>
      <c r="E207" s="16" t="n">
        <v>700.455263157895</v>
      </c>
      <c r="F207" s="7" t="n">
        <v>40</v>
      </c>
      <c r="G207" s="5" t="n">
        <v>26600</v>
      </c>
    </row>
    <row r="208" customFormat="false" ht="15" hidden="false" customHeight="false" outlineLevel="0" collapsed="false">
      <c r="A208" s="13" t="s">
        <v>195</v>
      </c>
      <c r="B208" s="13" t="s">
        <v>43</v>
      </c>
      <c r="C208" s="13" t="s">
        <v>3</v>
      </c>
      <c r="D208" s="13" t="s">
        <v>196</v>
      </c>
      <c r="E208" s="16" t="n">
        <v>577.195</v>
      </c>
      <c r="F208" s="7" t="n">
        <v>50</v>
      </c>
      <c r="G208" s="5" t="n">
        <v>26600</v>
      </c>
    </row>
    <row r="209" customFormat="false" ht="15" hidden="false" customHeight="false" outlineLevel="0" collapsed="false">
      <c r="A209" s="13" t="s">
        <v>107</v>
      </c>
      <c r="B209" s="13" t="s">
        <v>43</v>
      </c>
      <c r="C209" s="13" t="s">
        <v>5</v>
      </c>
      <c r="D209" s="13" t="s">
        <v>197</v>
      </c>
      <c r="E209" s="16" t="n">
        <v>190.945107913669</v>
      </c>
      <c r="F209" s="7" t="n">
        <v>140</v>
      </c>
      <c r="G209" s="5" t="n">
        <v>26500</v>
      </c>
    </row>
    <row r="210" customFormat="false" ht="15" hidden="false" customHeight="false" outlineLevel="0" collapsed="false">
      <c r="A210" s="13" t="s">
        <v>45</v>
      </c>
      <c r="B210" s="13" t="s">
        <v>43</v>
      </c>
      <c r="C210" s="13" t="s">
        <v>5</v>
      </c>
      <c r="D210" s="13" t="s">
        <v>46</v>
      </c>
      <c r="E210" s="16" t="n">
        <v>818.466875</v>
      </c>
      <c r="F210" s="7" t="n">
        <v>30</v>
      </c>
      <c r="G210" s="5" t="n">
        <v>26200</v>
      </c>
    </row>
    <row r="211" customFormat="false" ht="15" hidden="false" customHeight="false" outlineLevel="0" collapsed="false">
      <c r="A211" s="13" t="s">
        <v>135</v>
      </c>
      <c r="B211" s="13" t="s">
        <v>129</v>
      </c>
      <c r="C211" s="13" t="s">
        <v>3</v>
      </c>
      <c r="D211" s="13" t="s">
        <v>198</v>
      </c>
      <c r="E211" s="16" t="n">
        <v>353.112837837838</v>
      </c>
      <c r="F211" s="7" t="n">
        <v>70</v>
      </c>
      <c r="G211" s="5" t="n">
        <v>26100</v>
      </c>
    </row>
    <row r="212" customFormat="false" ht="15" hidden="false" customHeight="false" outlineLevel="0" collapsed="false">
      <c r="A212" s="13" t="s">
        <v>193</v>
      </c>
      <c r="B212" s="13" t="s">
        <v>43</v>
      </c>
      <c r="C212" s="13" t="s">
        <v>5</v>
      </c>
      <c r="D212" s="13" t="s">
        <v>199</v>
      </c>
      <c r="E212" s="16" t="n">
        <v>1183.81363636364</v>
      </c>
      <c r="F212" s="7" t="n">
        <v>20</v>
      </c>
      <c r="G212" s="5" t="n">
        <v>26000</v>
      </c>
    </row>
    <row r="213" customFormat="false" ht="15" hidden="false" customHeight="false" outlineLevel="0" collapsed="false">
      <c r="A213" s="13" t="s">
        <v>65</v>
      </c>
      <c r="B213" s="13" t="s">
        <v>66</v>
      </c>
      <c r="C213" s="13" t="s">
        <v>3</v>
      </c>
      <c r="D213" s="13" t="s">
        <v>200</v>
      </c>
      <c r="E213" s="16" t="n">
        <v>435.56</v>
      </c>
      <c r="F213" s="7" t="n">
        <v>60</v>
      </c>
      <c r="G213" s="5" t="n">
        <v>25700</v>
      </c>
    </row>
    <row r="214" customFormat="false" ht="15" hidden="false" customHeight="false" outlineLevel="0" collapsed="false">
      <c r="A214" s="13" t="s">
        <v>161</v>
      </c>
      <c r="B214" s="13" t="s">
        <v>43</v>
      </c>
      <c r="C214" s="13" t="s">
        <v>4</v>
      </c>
      <c r="D214" s="13" t="s">
        <v>201</v>
      </c>
      <c r="E214" s="16" t="n">
        <v>387.551818181818</v>
      </c>
      <c r="F214" s="7" t="n">
        <v>70</v>
      </c>
      <c r="G214" s="5" t="n">
        <v>25600</v>
      </c>
    </row>
    <row r="215" customFormat="false" ht="15" hidden="false" customHeight="false" outlineLevel="0" collapsed="false">
      <c r="A215" s="13" t="s">
        <v>87</v>
      </c>
      <c r="B215" s="13" t="s">
        <v>66</v>
      </c>
      <c r="C215" s="13" t="s">
        <v>3</v>
      </c>
      <c r="D215" s="13" t="s">
        <v>202</v>
      </c>
      <c r="E215" s="16" t="n">
        <v>193.184318181818</v>
      </c>
      <c r="F215" s="7" t="n">
        <v>130</v>
      </c>
      <c r="G215" s="5" t="n">
        <v>25500</v>
      </c>
    </row>
    <row r="216" customFormat="false" ht="15" hidden="false" customHeight="false" outlineLevel="0" collapsed="false">
      <c r="A216" s="13" t="s">
        <v>79</v>
      </c>
      <c r="B216" s="13" t="s">
        <v>43</v>
      </c>
      <c r="C216" s="13" t="s">
        <v>3</v>
      </c>
      <c r="D216" s="13" t="s">
        <v>203</v>
      </c>
      <c r="E216" s="16" t="n">
        <v>500.686078431373</v>
      </c>
      <c r="F216" s="7" t="n">
        <v>50</v>
      </c>
      <c r="G216" s="5" t="n">
        <v>25500</v>
      </c>
    </row>
    <row r="217" customFormat="false" ht="15" hidden="false" customHeight="false" outlineLevel="0" collapsed="false">
      <c r="A217" s="13" t="s">
        <v>50</v>
      </c>
      <c r="B217" s="13" t="s">
        <v>43</v>
      </c>
      <c r="C217" s="13" t="s">
        <v>4</v>
      </c>
      <c r="D217" s="13" t="s">
        <v>172</v>
      </c>
      <c r="E217" s="16" t="n">
        <v>555.308695652174</v>
      </c>
      <c r="F217" s="7" t="n">
        <v>50</v>
      </c>
      <c r="G217" s="5" t="n">
        <v>25500</v>
      </c>
    </row>
    <row r="218" customFormat="false" ht="15" hidden="false" customHeight="false" outlineLevel="0" collapsed="false">
      <c r="A218" s="13" t="s">
        <v>204</v>
      </c>
      <c r="B218" s="13" t="s">
        <v>43</v>
      </c>
      <c r="C218" s="13" t="s">
        <v>3</v>
      </c>
      <c r="D218" s="13" t="s">
        <v>205</v>
      </c>
      <c r="E218" s="16" t="n">
        <v>361.763857142857</v>
      </c>
      <c r="F218" s="7" t="n">
        <v>70</v>
      </c>
      <c r="G218" s="5" t="n">
        <v>25300</v>
      </c>
    </row>
    <row r="219" customFormat="false" ht="15" hidden="false" customHeight="false" outlineLevel="0" collapsed="false">
      <c r="A219" s="13" t="s">
        <v>42</v>
      </c>
      <c r="B219" s="13" t="s">
        <v>43</v>
      </c>
      <c r="C219" s="13" t="s">
        <v>5</v>
      </c>
      <c r="D219" s="13" t="s">
        <v>206</v>
      </c>
      <c r="E219" s="16" t="n">
        <v>684.295405405406</v>
      </c>
      <c r="F219" s="7" t="n">
        <v>40</v>
      </c>
      <c r="G219" s="5" t="n">
        <v>25300</v>
      </c>
    </row>
    <row r="220" customFormat="false" ht="15" hidden="false" customHeight="false" outlineLevel="0" collapsed="false">
      <c r="A220" s="13" t="s">
        <v>107</v>
      </c>
      <c r="B220" s="13" t="s">
        <v>183</v>
      </c>
      <c r="C220" s="13" t="s">
        <v>5</v>
      </c>
      <c r="D220" s="13" t="s">
        <v>207</v>
      </c>
      <c r="E220" s="16" t="n">
        <v>163</v>
      </c>
      <c r="F220" s="7" t="n">
        <v>160</v>
      </c>
      <c r="G220" s="5" t="n">
        <v>25300</v>
      </c>
    </row>
    <row r="221" customFormat="false" ht="15" hidden="false" customHeight="false" outlineLevel="0" collapsed="false">
      <c r="A221" s="13" t="s">
        <v>117</v>
      </c>
      <c r="B221" s="13" t="s">
        <v>98</v>
      </c>
      <c r="C221" s="13" t="s">
        <v>3</v>
      </c>
      <c r="D221" s="13" t="s">
        <v>208</v>
      </c>
      <c r="E221" s="16" t="n">
        <v>1379</v>
      </c>
      <c r="F221" s="7" t="n">
        <v>20</v>
      </c>
      <c r="G221" s="5" t="n">
        <v>24800</v>
      </c>
    </row>
    <row r="222" customFormat="false" ht="15" hidden="false" customHeight="false" outlineLevel="0" collapsed="false">
      <c r="A222" s="13" t="s">
        <v>42</v>
      </c>
      <c r="B222" s="13" t="s">
        <v>43</v>
      </c>
      <c r="C222" s="13" t="s">
        <v>4</v>
      </c>
      <c r="D222" s="13" t="s">
        <v>209</v>
      </c>
      <c r="E222" s="16" t="n">
        <v>687.27</v>
      </c>
      <c r="F222" s="7" t="n">
        <v>40</v>
      </c>
      <c r="G222" s="5" t="n">
        <v>24700</v>
      </c>
    </row>
    <row r="223" customFormat="false" ht="15" hidden="false" customHeight="false" outlineLevel="0" collapsed="false">
      <c r="A223" s="13" t="s">
        <v>124</v>
      </c>
      <c r="B223" s="13" t="s">
        <v>43</v>
      </c>
      <c r="C223" s="13" t="s">
        <v>5</v>
      </c>
      <c r="D223" s="13" t="s">
        <v>210</v>
      </c>
      <c r="E223" s="16" t="n">
        <v>727.220882352941</v>
      </c>
      <c r="F223" s="7" t="n">
        <v>30</v>
      </c>
      <c r="G223" s="5" t="n">
        <v>24700</v>
      </c>
    </row>
    <row r="224" customFormat="false" ht="15" hidden="false" customHeight="false" outlineLevel="0" collapsed="false">
      <c r="A224" s="13" t="s">
        <v>45</v>
      </c>
      <c r="B224" s="13" t="s">
        <v>43</v>
      </c>
      <c r="C224" s="13" t="s">
        <v>5</v>
      </c>
      <c r="D224" s="13" t="s">
        <v>113</v>
      </c>
      <c r="E224" s="16" t="n">
        <v>560</v>
      </c>
      <c r="F224" s="7" t="n">
        <v>40</v>
      </c>
      <c r="G224" s="5" t="n">
        <v>24600</v>
      </c>
    </row>
    <row r="225" customFormat="false" ht="15" hidden="false" customHeight="false" outlineLevel="0" collapsed="false">
      <c r="A225" s="13" t="s">
        <v>42</v>
      </c>
      <c r="B225" s="13" t="s">
        <v>43</v>
      </c>
      <c r="C225" s="13" t="s">
        <v>5</v>
      </c>
      <c r="D225" s="13" t="s">
        <v>47</v>
      </c>
      <c r="E225" s="16" t="n">
        <v>611.51775</v>
      </c>
      <c r="F225" s="7" t="n">
        <v>40</v>
      </c>
      <c r="G225" s="5" t="n">
        <v>24500</v>
      </c>
    </row>
    <row r="226" customFormat="false" ht="15" hidden="false" customHeight="false" outlineLevel="0" collapsed="false">
      <c r="A226" s="13" t="s">
        <v>79</v>
      </c>
      <c r="B226" s="13" t="s">
        <v>43</v>
      </c>
      <c r="C226" s="13" t="s">
        <v>5</v>
      </c>
      <c r="D226" s="13" t="s">
        <v>211</v>
      </c>
      <c r="E226" s="16" t="n">
        <v>814.399</v>
      </c>
      <c r="F226" s="7" t="n">
        <v>30</v>
      </c>
      <c r="G226" s="5" t="n">
        <v>24400</v>
      </c>
    </row>
    <row r="227" customFormat="false" ht="15" hidden="false" customHeight="false" outlineLevel="0" collapsed="false">
      <c r="A227" s="13" t="s">
        <v>61</v>
      </c>
      <c r="B227" s="13" t="s">
        <v>43</v>
      </c>
      <c r="C227" s="13" t="s">
        <v>5</v>
      </c>
      <c r="D227" s="13" t="s">
        <v>212</v>
      </c>
      <c r="E227" s="16" t="n">
        <v>566.2</v>
      </c>
      <c r="F227" s="7" t="n">
        <v>40</v>
      </c>
      <c r="G227" s="5" t="n">
        <v>24300</v>
      </c>
    </row>
    <row r="228" customFormat="false" ht="15" hidden="false" customHeight="false" outlineLevel="0" collapsed="false">
      <c r="A228" s="13" t="s">
        <v>42</v>
      </c>
      <c r="B228" s="13" t="s">
        <v>43</v>
      </c>
      <c r="C228" s="13" t="s">
        <v>4</v>
      </c>
      <c r="D228" s="13" t="s">
        <v>213</v>
      </c>
      <c r="E228" s="16" t="n">
        <v>691.249142857143</v>
      </c>
      <c r="F228" s="7" t="n">
        <v>40</v>
      </c>
      <c r="G228" s="5" t="n">
        <v>24200</v>
      </c>
    </row>
    <row r="229" customFormat="false" ht="15" hidden="false" customHeight="false" outlineLevel="0" collapsed="false">
      <c r="A229" s="13" t="s">
        <v>131</v>
      </c>
      <c r="B229" s="13" t="s">
        <v>66</v>
      </c>
      <c r="C229" s="13" t="s">
        <v>3</v>
      </c>
      <c r="D229" s="13" t="s">
        <v>214</v>
      </c>
      <c r="E229" s="16" t="n">
        <v>244.432989690722</v>
      </c>
      <c r="F229" s="7" t="n">
        <v>100</v>
      </c>
      <c r="G229" s="5" t="n">
        <v>23700</v>
      </c>
    </row>
    <row r="230" customFormat="false" ht="15" hidden="false" customHeight="false" outlineLevel="0" collapsed="false">
      <c r="A230" s="13" t="s">
        <v>117</v>
      </c>
      <c r="B230" s="13" t="s">
        <v>98</v>
      </c>
      <c r="C230" s="13" t="s">
        <v>3</v>
      </c>
      <c r="D230" s="13" t="s">
        <v>215</v>
      </c>
      <c r="E230" s="16" t="n">
        <v>899</v>
      </c>
      <c r="F230" s="7" t="n">
        <v>30</v>
      </c>
      <c r="G230" s="5" t="n">
        <v>23400</v>
      </c>
    </row>
    <row r="231" customFormat="false" ht="15" hidden="false" customHeight="false" outlineLevel="0" collapsed="false">
      <c r="A231" s="13" t="s">
        <v>139</v>
      </c>
      <c r="B231" s="13" t="s">
        <v>140</v>
      </c>
      <c r="C231" s="13" t="s">
        <v>3</v>
      </c>
      <c r="D231" s="13" t="s">
        <v>216</v>
      </c>
      <c r="E231" s="16" t="n">
        <v>220.94</v>
      </c>
      <c r="F231" s="7" t="n">
        <v>100</v>
      </c>
      <c r="G231" s="5" t="n">
        <v>23200</v>
      </c>
    </row>
    <row r="232" customFormat="false" ht="15" hidden="false" customHeight="false" outlineLevel="0" collapsed="false">
      <c r="A232" s="13" t="s">
        <v>186</v>
      </c>
      <c r="B232" s="13" t="s">
        <v>43</v>
      </c>
      <c r="C232" s="13" t="s">
        <v>4</v>
      </c>
      <c r="D232" s="13" t="s">
        <v>217</v>
      </c>
      <c r="E232" s="16" t="n">
        <v>472.167346938776</v>
      </c>
      <c r="F232" s="7" t="n">
        <v>50</v>
      </c>
      <c r="G232" s="5" t="n">
        <v>23100</v>
      </c>
    </row>
    <row r="233" customFormat="false" ht="15" hidden="false" customHeight="false" outlineLevel="0" collapsed="false">
      <c r="A233" s="13" t="s">
        <v>45</v>
      </c>
      <c r="B233" s="13" t="s">
        <v>43</v>
      </c>
      <c r="C233" s="13" t="s">
        <v>5</v>
      </c>
      <c r="D233" s="13" t="s">
        <v>218</v>
      </c>
      <c r="E233" s="16" t="n">
        <v>675.774705882353</v>
      </c>
      <c r="F233" s="7" t="n">
        <v>30</v>
      </c>
      <c r="G233" s="5" t="n">
        <v>23000</v>
      </c>
    </row>
    <row r="234" customFormat="false" ht="15" hidden="false" customHeight="false" outlineLevel="0" collapsed="false">
      <c r="A234" s="13" t="s">
        <v>42</v>
      </c>
      <c r="B234" s="13" t="s">
        <v>43</v>
      </c>
      <c r="C234" s="13" t="s">
        <v>5</v>
      </c>
      <c r="D234" s="13" t="s">
        <v>219</v>
      </c>
      <c r="E234" s="16" t="n">
        <v>695.725151515151</v>
      </c>
      <c r="F234" s="7" t="n">
        <v>30</v>
      </c>
      <c r="G234" s="5" t="n">
        <v>23000</v>
      </c>
    </row>
    <row r="235" customFormat="false" ht="15" hidden="false" customHeight="false" outlineLevel="0" collapsed="false">
      <c r="A235" s="13" t="s">
        <v>50</v>
      </c>
      <c r="B235" s="13" t="s">
        <v>43</v>
      </c>
      <c r="C235" s="13" t="s">
        <v>5</v>
      </c>
      <c r="D235" s="13" t="s">
        <v>220</v>
      </c>
      <c r="E235" s="16" t="n">
        <v>369.060161290323</v>
      </c>
      <c r="F235" s="7" t="n">
        <v>60</v>
      </c>
      <c r="G235" s="5" t="n">
        <v>22900</v>
      </c>
    </row>
    <row r="236" customFormat="false" ht="15" hidden="false" customHeight="false" outlineLevel="0" collapsed="false">
      <c r="A236" s="13" t="s">
        <v>72</v>
      </c>
      <c r="B236" s="13" t="s">
        <v>43</v>
      </c>
      <c r="C236" s="13" t="s">
        <v>5</v>
      </c>
      <c r="D236" s="13" t="s">
        <v>221</v>
      </c>
      <c r="E236" s="16" t="n">
        <v>909.9728</v>
      </c>
      <c r="F236" s="7" t="n">
        <v>20</v>
      </c>
      <c r="G236" s="5" t="n">
        <v>22700</v>
      </c>
    </row>
    <row r="237" customFormat="false" ht="15" hidden="false" customHeight="false" outlineLevel="0" collapsed="false">
      <c r="A237" s="13" t="s">
        <v>107</v>
      </c>
      <c r="B237" s="13" t="s">
        <v>43</v>
      </c>
      <c r="C237" s="13" t="s">
        <v>5</v>
      </c>
      <c r="D237" s="13" t="s">
        <v>222</v>
      </c>
      <c r="E237" s="16" t="n">
        <v>197.81701754386</v>
      </c>
      <c r="F237" s="7" t="n">
        <v>110</v>
      </c>
      <c r="G237" s="5" t="n">
        <v>22600</v>
      </c>
    </row>
    <row r="238" customFormat="false" ht="15" hidden="false" customHeight="false" outlineLevel="0" collapsed="false">
      <c r="A238" s="13" t="s">
        <v>165</v>
      </c>
      <c r="B238" s="13" t="s">
        <v>43</v>
      </c>
      <c r="C238" s="13" t="s">
        <v>3</v>
      </c>
      <c r="D238" s="13" t="s">
        <v>223</v>
      </c>
      <c r="E238" s="16" t="n">
        <v>620.229722222222</v>
      </c>
      <c r="F238" s="7" t="n">
        <v>40</v>
      </c>
      <c r="G238" s="5" t="n">
        <v>22300</v>
      </c>
    </row>
    <row r="239" customFormat="false" ht="15" hidden="false" customHeight="false" outlineLevel="0" collapsed="false">
      <c r="A239" s="13" t="s">
        <v>69</v>
      </c>
      <c r="B239" s="13" t="s">
        <v>43</v>
      </c>
      <c r="C239" s="13" t="s">
        <v>5</v>
      </c>
      <c r="D239" s="13" t="s">
        <v>138</v>
      </c>
      <c r="E239" s="16" t="n">
        <v>827.21</v>
      </c>
      <c r="F239" s="7" t="n">
        <v>30</v>
      </c>
      <c r="G239" s="5" t="n">
        <v>22300</v>
      </c>
    </row>
    <row r="240" customFormat="false" ht="15" hidden="false" customHeight="false" outlineLevel="0" collapsed="false">
      <c r="A240" s="13" t="s">
        <v>42</v>
      </c>
      <c r="B240" s="13" t="s">
        <v>43</v>
      </c>
      <c r="C240" s="13" t="s">
        <v>5</v>
      </c>
      <c r="D240" s="13" t="s">
        <v>224</v>
      </c>
      <c r="E240" s="16" t="n">
        <v>720</v>
      </c>
      <c r="F240" s="7" t="n">
        <v>30</v>
      </c>
      <c r="G240" s="5" t="n">
        <v>22300</v>
      </c>
    </row>
    <row r="241" customFormat="false" ht="15" hidden="false" customHeight="false" outlineLevel="0" collapsed="false">
      <c r="A241" s="13" t="s">
        <v>50</v>
      </c>
      <c r="B241" s="13" t="s">
        <v>43</v>
      </c>
      <c r="C241" s="13" t="s">
        <v>4</v>
      </c>
      <c r="D241" s="13" t="s">
        <v>225</v>
      </c>
      <c r="E241" s="16" t="n">
        <v>764.15</v>
      </c>
      <c r="F241" s="7" t="n">
        <v>30</v>
      </c>
      <c r="G241" s="5" t="n">
        <v>22200</v>
      </c>
    </row>
    <row r="242" customFormat="false" ht="15" hidden="false" customHeight="false" outlineLevel="0" collapsed="false">
      <c r="A242" s="13" t="s">
        <v>124</v>
      </c>
      <c r="B242" s="13" t="s">
        <v>43</v>
      </c>
      <c r="C242" s="13" t="s">
        <v>5</v>
      </c>
      <c r="D242" s="13" t="s">
        <v>125</v>
      </c>
      <c r="E242" s="16" t="n">
        <v>850.884615384615</v>
      </c>
      <c r="F242" s="7" t="n">
        <v>30</v>
      </c>
      <c r="G242" s="5" t="n">
        <v>22100</v>
      </c>
    </row>
    <row r="243" customFormat="false" ht="15" hidden="false" customHeight="false" outlineLevel="0" collapsed="false">
      <c r="A243" s="13" t="s">
        <v>157</v>
      </c>
      <c r="B243" s="13" t="s">
        <v>66</v>
      </c>
      <c r="C243" s="13" t="s">
        <v>3</v>
      </c>
      <c r="D243" s="13" t="s">
        <v>226</v>
      </c>
      <c r="E243" s="16" t="n">
        <v>349.438888888889</v>
      </c>
      <c r="F243" s="7" t="n">
        <v>60</v>
      </c>
      <c r="G243" s="5" t="n">
        <v>22000</v>
      </c>
    </row>
    <row r="244" customFormat="false" ht="15" hidden="false" customHeight="false" outlineLevel="0" collapsed="false">
      <c r="A244" s="13" t="s">
        <v>227</v>
      </c>
      <c r="B244" s="13" t="s">
        <v>85</v>
      </c>
      <c r="C244" s="13" t="s">
        <v>3</v>
      </c>
      <c r="D244" s="13" t="s">
        <v>228</v>
      </c>
      <c r="E244" s="16" t="n">
        <v>231.331578947368</v>
      </c>
      <c r="F244" s="7" t="n">
        <v>100</v>
      </c>
      <c r="G244" s="5" t="n">
        <v>22000</v>
      </c>
    </row>
    <row r="245" customFormat="false" ht="15" hidden="false" customHeight="false" outlineLevel="0" collapsed="false">
      <c r="A245" s="13" t="s">
        <v>229</v>
      </c>
      <c r="B245" s="13" t="s">
        <v>43</v>
      </c>
      <c r="C245" s="13" t="s">
        <v>3</v>
      </c>
      <c r="D245" s="13" t="s">
        <v>230</v>
      </c>
      <c r="E245" s="16" t="n">
        <v>184.47275862069</v>
      </c>
      <c r="F245" s="7" t="n">
        <v>120</v>
      </c>
      <c r="G245" s="5" t="n">
        <v>21400</v>
      </c>
    </row>
    <row r="246" customFormat="false" ht="15" hidden="false" customHeight="false" outlineLevel="0" collapsed="false">
      <c r="A246" s="13" t="s">
        <v>61</v>
      </c>
      <c r="B246" s="13" t="s">
        <v>43</v>
      </c>
      <c r="C246" s="13" t="s">
        <v>5</v>
      </c>
      <c r="D246" s="13" t="s">
        <v>231</v>
      </c>
      <c r="E246" s="16" t="n">
        <v>761.728928571429</v>
      </c>
      <c r="F246" s="7" t="n">
        <v>30</v>
      </c>
      <c r="G246" s="5" t="n">
        <v>21300</v>
      </c>
    </row>
    <row r="247" customFormat="false" ht="15" hidden="false" customHeight="false" outlineLevel="0" collapsed="false">
      <c r="A247" s="13" t="s">
        <v>42</v>
      </c>
      <c r="B247" s="13" t="s">
        <v>43</v>
      </c>
      <c r="C247" s="13" t="s">
        <v>5</v>
      </c>
      <c r="D247" s="13" t="s">
        <v>47</v>
      </c>
      <c r="E247" s="16" t="n">
        <v>684.890967741935</v>
      </c>
      <c r="F247" s="7" t="n">
        <v>30</v>
      </c>
      <c r="G247" s="5" t="n">
        <v>21200</v>
      </c>
    </row>
    <row r="248" customFormat="false" ht="15" hidden="false" customHeight="false" outlineLevel="0" collapsed="false">
      <c r="A248" s="13" t="s">
        <v>45</v>
      </c>
      <c r="B248" s="13" t="s">
        <v>43</v>
      </c>
      <c r="C248" s="13" t="s">
        <v>5</v>
      </c>
      <c r="D248" s="13" t="s">
        <v>46</v>
      </c>
      <c r="E248" s="16" t="n">
        <v>455</v>
      </c>
      <c r="F248" s="7" t="n">
        <v>50</v>
      </c>
      <c r="G248" s="5" t="n">
        <v>20900</v>
      </c>
    </row>
    <row r="249" customFormat="false" ht="15" hidden="false" customHeight="false" outlineLevel="0" collapsed="false">
      <c r="A249" s="13" t="s">
        <v>61</v>
      </c>
      <c r="B249" s="13" t="s">
        <v>43</v>
      </c>
      <c r="C249" s="13" t="s">
        <v>5</v>
      </c>
      <c r="D249" s="13" t="s">
        <v>232</v>
      </c>
      <c r="E249" s="16" t="n">
        <v>348.83</v>
      </c>
      <c r="F249" s="7" t="n">
        <v>60</v>
      </c>
      <c r="G249" s="5" t="n">
        <v>20900</v>
      </c>
    </row>
    <row r="250" customFormat="false" ht="15" hidden="false" customHeight="false" outlineLevel="0" collapsed="false">
      <c r="A250" s="13" t="s">
        <v>233</v>
      </c>
      <c r="B250" s="13" t="s">
        <v>57</v>
      </c>
      <c r="C250" s="13" t="s">
        <v>3</v>
      </c>
      <c r="D250" s="13" t="s">
        <v>234</v>
      </c>
      <c r="E250" s="16" t="n">
        <v>200.322211538462</v>
      </c>
      <c r="F250" s="7" t="n">
        <v>100</v>
      </c>
      <c r="G250" s="5" t="n">
        <v>20800</v>
      </c>
    </row>
    <row r="251" customFormat="false" ht="15" hidden="false" customHeight="false" outlineLevel="0" collapsed="false">
      <c r="A251" s="13" t="s">
        <v>50</v>
      </c>
      <c r="B251" s="13" t="s">
        <v>43</v>
      </c>
      <c r="C251" s="13" t="s">
        <v>5</v>
      </c>
      <c r="D251" s="13" t="s">
        <v>63</v>
      </c>
      <c r="E251" s="16" t="n">
        <v>718.725517241379</v>
      </c>
      <c r="F251" s="7" t="n">
        <v>30</v>
      </c>
      <c r="G251" s="5" t="n">
        <v>20800</v>
      </c>
    </row>
    <row r="252" customFormat="false" ht="15" hidden="false" customHeight="false" outlineLevel="0" collapsed="false">
      <c r="A252" s="13" t="s">
        <v>105</v>
      </c>
      <c r="B252" s="13" t="s">
        <v>43</v>
      </c>
      <c r="C252" s="13" t="s">
        <v>5</v>
      </c>
      <c r="D252" s="13" t="s">
        <v>235</v>
      </c>
      <c r="E252" s="16" t="n">
        <v>545.100789473684</v>
      </c>
      <c r="F252" s="7" t="n">
        <v>40</v>
      </c>
      <c r="G252" s="5" t="n">
        <v>20700</v>
      </c>
    </row>
    <row r="253" customFormat="false" ht="15" hidden="false" customHeight="false" outlineLevel="0" collapsed="false">
      <c r="A253" s="13" t="s">
        <v>193</v>
      </c>
      <c r="B253" s="13" t="s">
        <v>43</v>
      </c>
      <c r="C253" s="13" t="s">
        <v>5</v>
      </c>
      <c r="D253" s="13" t="s">
        <v>236</v>
      </c>
      <c r="E253" s="16" t="n">
        <v>767.277037037037</v>
      </c>
      <c r="F253" s="7" t="n">
        <v>30</v>
      </c>
      <c r="G253" s="5" t="n">
        <v>20700</v>
      </c>
    </row>
    <row r="254" customFormat="false" ht="15" hidden="false" customHeight="false" outlineLevel="0" collapsed="false">
      <c r="A254" s="13" t="s">
        <v>45</v>
      </c>
      <c r="B254" s="13" t="s">
        <v>43</v>
      </c>
      <c r="C254" s="13" t="s">
        <v>5</v>
      </c>
      <c r="D254" s="13" t="s">
        <v>113</v>
      </c>
      <c r="E254" s="16" t="n">
        <v>529.75641025641</v>
      </c>
      <c r="F254" s="7" t="n">
        <v>40</v>
      </c>
      <c r="G254" s="5" t="n">
        <v>20700</v>
      </c>
    </row>
    <row r="255" customFormat="false" ht="15" hidden="false" customHeight="false" outlineLevel="0" collapsed="false">
      <c r="A255" s="13" t="s">
        <v>42</v>
      </c>
      <c r="B255" s="13" t="s">
        <v>43</v>
      </c>
      <c r="C255" s="13" t="s">
        <v>5</v>
      </c>
      <c r="D255" s="13" t="s">
        <v>237</v>
      </c>
      <c r="E255" s="16" t="n">
        <v>396.368076923077</v>
      </c>
      <c r="F255" s="7" t="n">
        <v>50</v>
      </c>
      <c r="G255" s="5" t="n">
        <v>20600</v>
      </c>
    </row>
    <row r="256" customFormat="false" ht="15" hidden="false" customHeight="false" outlineLevel="0" collapsed="false">
      <c r="A256" s="13" t="s">
        <v>124</v>
      </c>
      <c r="B256" s="13" t="s">
        <v>43</v>
      </c>
      <c r="C256" s="13" t="s">
        <v>5</v>
      </c>
      <c r="D256" s="13" t="s">
        <v>238</v>
      </c>
      <c r="E256" s="16" t="n">
        <v>683.444666666667</v>
      </c>
      <c r="F256" s="7" t="n">
        <v>30</v>
      </c>
      <c r="G256" s="5" t="n">
        <v>20500</v>
      </c>
    </row>
    <row r="257" customFormat="false" ht="15" hidden="false" customHeight="false" outlineLevel="0" collapsed="false">
      <c r="A257" s="13" t="s">
        <v>50</v>
      </c>
      <c r="B257" s="13" t="s">
        <v>43</v>
      </c>
      <c r="C257" s="13" t="s">
        <v>5</v>
      </c>
      <c r="D257" s="13" t="s">
        <v>239</v>
      </c>
      <c r="E257" s="16" t="n">
        <v>399</v>
      </c>
      <c r="F257" s="7" t="n">
        <v>50</v>
      </c>
      <c r="G257" s="5" t="n">
        <v>20300</v>
      </c>
    </row>
    <row r="258" customFormat="false" ht="15" hidden="false" customHeight="false" outlineLevel="0" collapsed="false">
      <c r="A258" s="13" t="s">
        <v>42</v>
      </c>
      <c r="B258" s="13" t="s">
        <v>43</v>
      </c>
      <c r="C258" s="13" t="s">
        <v>4</v>
      </c>
      <c r="D258" s="13" t="s">
        <v>240</v>
      </c>
      <c r="E258" s="16" t="n">
        <v>625.908125</v>
      </c>
      <c r="F258" s="7" t="n">
        <v>30</v>
      </c>
      <c r="G258" s="5" t="n">
        <v>20000</v>
      </c>
    </row>
    <row r="259" customFormat="false" ht="15" hidden="false" customHeight="false" outlineLevel="0" collapsed="false">
      <c r="A259" s="13" t="s">
        <v>65</v>
      </c>
      <c r="B259" s="13" t="s">
        <v>66</v>
      </c>
      <c r="C259" s="13" t="s">
        <v>3</v>
      </c>
      <c r="D259" s="13" t="s">
        <v>241</v>
      </c>
      <c r="E259" s="16" t="n">
        <v>302.552878787879</v>
      </c>
      <c r="F259" s="7" t="n">
        <v>70</v>
      </c>
      <c r="G259" s="5" t="n">
        <v>20000</v>
      </c>
    </row>
    <row r="260" customFormat="false" ht="15" hidden="false" customHeight="false" outlineLevel="0" collapsed="false">
      <c r="A260" s="13" t="s">
        <v>42</v>
      </c>
      <c r="B260" s="13" t="s">
        <v>43</v>
      </c>
      <c r="C260" s="13" t="s">
        <v>4</v>
      </c>
      <c r="D260" s="13" t="s">
        <v>242</v>
      </c>
      <c r="E260" s="16" t="n">
        <v>764.15</v>
      </c>
      <c r="F260" s="7" t="n">
        <v>30</v>
      </c>
      <c r="G260" s="5" t="n">
        <v>19900</v>
      </c>
    </row>
    <row r="261" customFormat="false" ht="15" hidden="false" customHeight="false" outlineLevel="0" collapsed="false">
      <c r="A261" s="13" t="s">
        <v>131</v>
      </c>
      <c r="B261" s="13" t="s">
        <v>85</v>
      </c>
      <c r="C261" s="13" t="s">
        <v>3</v>
      </c>
      <c r="D261" s="13" t="s">
        <v>243</v>
      </c>
      <c r="E261" s="16" t="n">
        <v>57.6365797101449</v>
      </c>
      <c r="F261" s="7" t="n">
        <v>340</v>
      </c>
      <c r="G261" s="5" t="n">
        <v>19900</v>
      </c>
    </row>
    <row r="262" customFormat="false" ht="15" hidden="false" customHeight="false" outlineLevel="0" collapsed="false">
      <c r="A262" s="13" t="s">
        <v>42</v>
      </c>
      <c r="B262" s="13" t="s">
        <v>43</v>
      </c>
      <c r="C262" s="13" t="s">
        <v>5</v>
      </c>
      <c r="D262" s="13" t="s">
        <v>244</v>
      </c>
      <c r="E262" s="16" t="n">
        <v>421.907872340426</v>
      </c>
      <c r="F262" s="7" t="n">
        <v>50</v>
      </c>
      <c r="G262" s="5" t="n">
        <v>19800</v>
      </c>
    </row>
    <row r="263" customFormat="false" ht="15" hidden="false" customHeight="false" outlineLevel="0" collapsed="false">
      <c r="A263" s="13" t="s">
        <v>61</v>
      </c>
      <c r="B263" s="13" t="s">
        <v>43</v>
      </c>
      <c r="C263" s="13" t="s">
        <v>5</v>
      </c>
      <c r="D263" s="13" t="s">
        <v>245</v>
      </c>
      <c r="E263" s="16" t="n">
        <v>705.333571428571</v>
      </c>
      <c r="F263" s="7" t="n">
        <v>30</v>
      </c>
      <c r="G263" s="5" t="n">
        <v>19700</v>
      </c>
    </row>
    <row r="264" customFormat="false" ht="15" hidden="false" customHeight="false" outlineLevel="0" collapsed="false">
      <c r="A264" s="13" t="s">
        <v>42</v>
      </c>
      <c r="B264" s="13" t="s">
        <v>43</v>
      </c>
      <c r="C264" s="13" t="s">
        <v>5</v>
      </c>
      <c r="D264" s="13" t="s">
        <v>246</v>
      </c>
      <c r="E264" s="16" t="n">
        <v>789.942</v>
      </c>
      <c r="F264" s="7" t="n">
        <v>20</v>
      </c>
      <c r="G264" s="5" t="n">
        <v>19700</v>
      </c>
    </row>
    <row r="265" customFormat="false" ht="15" hidden="false" customHeight="false" outlineLevel="0" collapsed="false">
      <c r="A265" s="13" t="s">
        <v>45</v>
      </c>
      <c r="B265" s="13" t="s">
        <v>43</v>
      </c>
      <c r="C265" s="13" t="s">
        <v>4</v>
      </c>
      <c r="D265" s="13" t="s">
        <v>247</v>
      </c>
      <c r="E265" s="16" t="n">
        <v>678.54</v>
      </c>
      <c r="F265" s="7" t="n">
        <v>30</v>
      </c>
      <c r="G265" s="5" t="n">
        <v>19700</v>
      </c>
    </row>
    <row r="266" customFormat="false" ht="15" hidden="false" customHeight="false" outlineLevel="0" collapsed="false">
      <c r="A266" s="13" t="s">
        <v>248</v>
      </c>
      <c r="B266" s="13" t="s">
        <v>85</v>
      </c>
      <c r="C266" s="13" t="s">
        <v>3</v>
      </c>
      <c r="D266" s="13" t="s">
        <v>249</v>
      </c>
      <c r="E266" s="16" t="n">
        <v>192.250606060606</v>
      </c>
      <c r="F266" s="7" t="n">
        <v>100</v>
      </c>
      <c r="G266" s="5" t="n">
        <v>19000</v>
      </c>
    </row>
    <row r="267" customFormat="false" ht="15" hidden="false" customHeight="false" outlineLevel="0" collapsed="false">
      <c r="A267" s="13" t="s">
        <v>250</v>
      </c>
      <c r="B267" s="13" t="s">
        <v>85</v>
      </c>
      <c r="C267" s="13" t="s">
        <v>3</v>
      </c>
      <c r="D267" s="13" t="s">
        <v>251</v>
      </c>
      <c r="E267" s="16" t="n">
        <v>107.953448275862</v>
      </c>
      <c r="F267" s="7" t="n">
        <v>170</v>
      </c>
      <c r="G267" s="5" t="n">
        <v>18800</v>
      </c>
    </row>
    <row r="268" customFormat="false" ht="15" hidden="false" customHeight="false" outlineLevel="0" collapsed="false">
      <c r="A268" s="13" t="s">
        <v>42</v>
      </c>
      <c r="B268" s="13" t="s">
        <v>43</v>
      </c>
      <c r="C268" s="13" t="s">
        <v>5</v>
      </c>
      <c r="D268" s="13" t="s">
        <v>44</v>
      </c>
      <c r="E268" s="16" t="n">
        <v>671</v>
      </c>
      <c r="F268" s="7" t="n">
        <v>30</v>
      </c>
      <c r="G268" s="5" t="n">
        <v>18800</v>
      </c>
    </row>
    <row r="269" customFormat="false" ht="15" hidden="false" customHeight="false" outlineLevel="0" collapsed="false">
      <c r="A269" s="13" t="s">
        <v>124</v>
      </c>
      <c r="B269" s="13" t="s">
        <v>43</v>
      </c>
      <c r="C269" s="13" t="s">
        <v>5</v>
      </c>
      <c r="D269" s="13" t="s">
        <v>252</v>
      </c>
      <c r="E269" s="16" t="n">
        <v>624.31</v>
      </c>
      <c r="F269" s="7" t="n">
        <v>30</v>
      </c>
      <c r="G269" s="5" t="n">
        <v>18700</v>
      </c>
    </row>
    <row r="270" customFormat="false" ht="15" hidden="false" customHeight="false" outlineLevel="0" collapsed="false">
      <c r="A270" s="13" t="s">
        <v>61</v>
      </c>
      <c r="B270" s="13" t="s">
        <v>43</v>
      </c>
      <c r="C270" s="13" t="s">
        <v>5</v>
      </c>
      <c r="D270" s="13" t="s">
        <v>253</v>
      </c>
      <c r="E270" s="16" t="n">
        <v>667.84</v>
      </c>
      <c r="F270" s="7" t="n">
        <v>30</v>
      </c>
      <c r="G270" s="5" t="n">
        <v>18700</v>
      </c>
    </row>
    <row r="271" customFormat="false" ht="15" hidden="false" customHeight="false" outlineLevel="0" collapsed="false">
      <c r="A271" s="13" t="s">
        <v>72</v>
      </c>
      <c r="B271" s="13" t="s">
        <v>43</v>
      </c>
      <c r="C271" s="13" t="s">
        <v>5</v>
      </c>
      <c r="D271" s="13" t="s">
        <v>221</v>
      </c>
      <c r="E271" s="16" t="n">
        <v>477.564615384615</v>
      </c>
      <c r="F271" s="7" t="n">
        <v>40</v>
      </c>
      <c r="G271" s="5" t="n">
        <v>18600</v>
      </c>
    </row>
    <row r="272" customFormat="false" ht="15" hidden="false" customHeight="false" outlineLevel="0" collapsed="false">
      <c r="A272" s="13" t="s">
        <v>42</v>
      </c>
      <c r="B272" s="13" t="s">
        <v>43</v>
      </c>
      <c r="C272" s="13" t="s">
        <v>5</v>
      </c>
      <c r="D272" s="13" t="s">
        <v>254</v>
      </c>
      <c r="E272" s="16" t="n">
        <v>713.550769230769</v>
      </c>
      <c r="F272" s="7" t="n">
        <v>30</v>
      </c>
      <c r="G272" s="5" t="n">
        <v>18600</v>
      </c>
    </row>
    <row r="273" customFormat="false" ht="15" hidden="false" customHeight="false" outlineLevel="0" collapsed="false">
      <c r="A273" s="13" t="s">
        <v>255</v>
      </c>
      <c r="B273" s="13" t="s">
        <v>43</v>
      </c>
      <c r="C273" s="13" t="s">
        <v>3</v>
      </c>
      <c r="D273" s="13" t="s">
        <v>256</v>
      </c>
      <c r="E273" s="16" t="n">
        <v>159.853706896552</v>
      </c>
      <c r="F273" s="7" t="n">
        <v>120</v>
      </c>
      <c r="G273" s="5" t="n">
        <v>18500</v>
      </c>
    </row>
    <row r="274" customFormat="false" ht="15" hidden="false" customHeight="false" outlineLevel="0" collapsed="false">
      <c r="A274" s="13" t="s">
        <v>69</v>
      </c>
      <c r="B274" s="13" t="s">
        <v>43</v>
      </c>
      <c r="C274" s="13" t="s">
        <v>5</v>
      </c>
      <c r="D274" s="13" t="s">
        <v>70</v>
      </c>
      <c r="E274" s="16" t="n">
        <v>611.190666666667</v>
      </c>
      <c r="F274" s="7" t="n">
        <v>30</v>
      </c>
      <c r="G274" s="5" t="n">
        <v>18300</v>
      </c>
    </row>
    <row r="275" customFormat="false" ht="15" hidden="false" customHeight="false" outlineLevel="0" collapsed="false">
      <c r="A275" s="13" t="s">
        <v>107</v>
      </c>
      <c r="B275" s="13" t="s">
        <v>43</v>
      </c>
      <c r="C275" s="13" t="s">
        <v>5</v>
      </c>
      <c r="D275" s="13" t="s">
        <v>257</v>
      </c>
      <c r="E275" s="16" t="n">
        <v>66.4491304347826</v>
      </c>
      <c r="F275" s="7" t="n">
        <v>280</v>
      </c>
      <c r="G275" s="5" t="n">
        <v>18300</v>
      </c>
    </row>
    <row r="276" customFormat="false" ht="15" hidden="false" customHeight="false" outlineLevel="0" collapsed="false">
      <c r="A276" s="13" t="s">
        <v>50</v>
      </c>
      <c r="B276" s="13" t="s">
        <v>43</v>
      </c>
      <c r="C276" s="13" t="s">
        <v>5</v>
      </c>
      <c r="D276" s="13" t="s">
        <v>189</v>
      </c>
      <c r="E276" s="16" t="n">
        <v>751</v>
      </c>
      <c r="F276" s="7" t="n">
        <v>20</v>
      </c>
      <c r="G276" s="5" t="n">
        <v>18000</v>
      </c>
    </row>
    <row r="277" customFormat="false" ht="15" hidden="false" customHeight="false" outlineLevel="0" collapsed="false">
      <c r="A277" s="13" t="s">
        <v>87</v>
      </c>
      <c r="B277" s="13" t="s">
        <v>66</v>
      </c>
      <c r="C277" s="13" t="s">
        <v>3</v>
      </c>
      <c r="D277" s="13" t="s">
        <v>258</v>
      </c>
      <c r="E277" s="16" t="n">
        <v>330.923333333333</v>
      </c>
      <c r="F277" s="7" t="n">
        <v>50</v>
      </c>
      <c r="G277" s="5" t="n">
        <v>17900</v>
      </c>
    </row>
    <row r="278" customFormat="false" ht="15" hidden="false" customHeight="false" outlineLevel="0" collapsed="false">
      <c r="A278" s="13" t="s">
        <v>131</v>
      </c>
      <c r="B278" s="13" t="s">
        <v>85</v>
      </c>
      <c r="C278" s="13" t="s">
        <v>3</v>
      </c>
      <c r="D278" s="13" t="s">
        <v>259</v>
      </c>
      <c r="E278" s="16" t="n">
        <v>49.6741456582633</v>
      </c>
      <c r="F278" s="7" t="n">
        <v>360</v>
      </c>
      <c r="G278" s="5" t="n">
        <v>17700</v>
      </c>
    </row>
    <row r="279" customFormat="false" ht="15" hidden="false" customHeight="false" outlineLevel="0" collapsed="false">
      <c r="A279" s="13" t="s">
        <v>193</v>
      </c>
      <c r="B279" s="13" t="s">
        <v>43</v>
      </c>
      <c r="C279" s="13" t="s">
        <v>5</v>
      </c>
      <c r="D279" s="13" t="s">
        <v>260</v>
      </c>
      <c r="E279" s="16" t="n">
        <v>669</v>
      </c>
      <c r="F279" s="7" t="n">
        <v>30</v>
      </c>
      <c r="G279" s="5" t="n">
        <v>17400</v>
      </c>
    </row>
    <row r="280" customFormat="false" ht="15" hidden="false" customHeight="false" outlineLevel="0" collapsed="false">
      <c r="A280" s="13" t="s">
        <v>124</v>
      </c>
      <c r="B280" s="13" t="s">
        <v>43</v>
      </c>
      <c r="C280" s="13" t="s">
        <v>5</v>
      </c>
      <c r="D280" s="13" t="s">
        <v>210</v>
      </c>
      <c r="E280" s="16" t="n">
        <v>599.99</v>
      </c>
      <c r="F280" s="7" t="n">
        <v>30</v>
      </c>
      <c r="G280" s="5" t="n">
        <v>17400</v>
      </c>
    </row>
    <row r="281" customFormat="false" ht="15" hidden="false" customHeight="false" outlineLevel="0" collapsed="false">
      <c r="A281" s="13" t="s">
        <v>124</v>
      </c>
      <c r="B281" s="13" t="s">
        <v>43</v>
      </c>
      <c r="C281" s="13" t="s">
        <v>5</v>
      </c>
      <c r="D281" s="13" t="s">
        <v>261</v>
      </c>
      <c r="E281" s="16" t="n">
        <v>790.67</v>
      </c>
      <c r="F281" s="7" t="n">
        <v>20</v>
      </c>
      <c r="G281" s="5" t="n">
        <v>17400</v>
      </c>
    </row>
    <row r="282" customFormat="false" ht="15" hidden="false" customHeight="false" outlineLevel="0" collapsed="false">
      <c r="A282" s="13" t="s">
        <v>124</v>
      </c>
      <c r="B282" s="13" t="s">
        <v>43</v>
      </c>
      <c r="C282" s="13" t="s">
        <v>5</v>
      </c>
      <c r="D282" s="13" t="s">
        <v>125</v>
      </c>
      <c r="E282" s="16" t="n">
        <v>697.4752</v>
      </c>
      <c r="F282" s="7" t="n">
        <v>20</v>
      </c>
      <c r="G282" s="5" t="n">
        <v>17400</v>
      </c>
    </row>
    <row r="283" customFormat="false" ht="15" hidden="false" customHeight="false" outlineLevel="0" collapsed="false">
      <c r="A283" s="13" t="s">
        <v>131</v>
      </c>
      <c r="B283" s="13" t="s">
        <v>66</v>
      </c>
      <c r="C283" s="13" t="s">
        <v>3</v>
      </c>
      <c r="D283" s="13" t="s">
        <v>262</v>
      </c>
      <c r="E283" s="16" t="n">
        <v>78.0080995475113</v>
      </c>
      <c r="F283" s="7" t="n">
        <v>220</v>
      </c>
      <c r="G283" s="5" t="n">
        <v>17200</v>
      </c>
    </row>
    <row r="284" customFormat="false" ht="15" hidden="false" customHeight="false" outlineLevel="0" collapsed="false">
      <c r="A284" s="13" t="s">
        <v>165</v>
      </c>
      <c r="B284" s="13" t="s">
        <v>43</v>
      </c>
      <c r="C284" s="13" t="s">
        <v>5</v>
      </c>
      <c r="D284" s="13" t="s">
        <v>263</v>
      </c>
      <c r="E284" s="16" t="n">
        <v>537.683125</v>
      </c>
      <c r="F284" s="7" t="n">
        <v>30</v>
      </c>
      <c r="G284" s="5" t="n">
        <v>17200</v>
      </c>
    </row>
    <row r="285" customFormat="false" ht="15" hidden="false" customHeight="false" outlineLevel="0" collapsed="false">
      <c r="A285" s="13" t="s">
        <v>124</v>
      </c>
      <c r="B285" s="13" t="s">
        <v>43</v>
      </c>
      <c r="C285" s="13" t="s">
        <v>5</v>
      </c>
      <c r="D285" s="13" t="s">
        <v>252</v>
      </c>
      <c r="E285" s="16" t="n">
        <v>782.190909090909</v>
      </c>
      <c r="F285" s="7" t="n">
        <v>20</v>
      </c>
      <c r="G285" s="5" t="n">
        <v>17200</v>
      </c>
    </row>
    <row r="286" customFormat="false" ht="15" hidden="false" customHeight="false" outlineLevel="0" collapsed="false">
      <c r="A286" s="13" t="s">
        <v>50</v>
      </c>
      <c r="B286" s="13" t="s">
        <v>43</v>
      </c>
      <c r="C286" s="13" t="s">
        <v>5</v>
      </c>
      <c r="D286" s="13" t="s">
        <v>189</v>
      </c>
      <c r="E286" s="16" t="n">
        <v>661.501538461539</v>
      </c>
      <c r="F286" s="7" t="n">
        <v>30</v>
      </c>
      <c r="G286" s="5" t="n">
        <v>17200</v>
      </c>
    </row>
    <row r="287" customFormat="false" ht="15" hidden="false" customHeight="false" outlineLevel="0" collapsed="false">
      <c r="A287" s="13" t="s">
        <v>182</v>
      </c>
      <c r="B287" s="13" t="s">
        <v>183</v>
      </c>
      <c r="C287" s="13" t="s">
        <v>3</v>
      </c>
      <c r="D287" s="13" t="s">
        <v>264</v>
      </c>
      <c r="E287" s="16" t="n">
        <v>104.122848484848</v>
      </c>
      <c r="F287" s="7" t="n">
        <v>160</v>
      </c>
      <c r="G287" s="5" t="n">
        <v>17200</v>
      </c>
    </row>
    <row r="288" customFormat="false" ht="15" hidden="false" customHeight="false" outlineLevel="0" collapsed="false">
      <c r="A288" s="13" t="s">
        <v>45</v>
      </c>
      <c r="B288" s="13" t="s">
        <v>43</v>
      </c>
      <c r="C288" s="13" t="s">
        <v>5</v>
      </c>
      <c r="D288" s="13" t="s">
        <v>218</v>
      </c>
      <c r="E288" s="16" t="n">
        <v>685.576</v>
      </c>
      <c r="F288" s="7" t="n">
        <v>20</v>
      </c>
      <c r="G288" s="5" t="n">
        <v>17100</v>
      </c>
    </row>
    <row r="289" customFormat="false" ht="15" hidden="false" customHeight="false" outlineLevel="0" collapsed="false">
      <c r="A289" s="13" t="s">
        <v>42</v>
      </c>
      <c r="B289" s="13" t="s">
        <v>43</v>
      </c>
      <c r="C289" s="13" t="s">
        <v>4</v>
      </c>
      <c r="D289" s="13" t="s">
        <v>265</v>
      </c>
      <c r="E289" s="16" t="n">
        <v>901.17</v>
      </c>
      <c r="F289" s="7" t="n">
        <v>20</v>
      </c>
      <c r="G289" s="5" t="n">
        <v>17100</v>
      </c>
    </row>
    <row r="290" customFormat="false" ht="15" hidden="false" customHeight="false" outlineLevel="0" collapsed="false">
      <c r="A290" s="13" t="s">
        <v>79</v>
      </c>
      <c r="B290" s="13" t="s">
        <v>43</v>
      </c>
      <c r="C290" s="13" t="s">
        <v>3</v>
      </c>
      <c r="D290" s="13" t="s">
        <v>266</v>
      </c>
      <c r="E290" s="16" t="n">
        <v>588.90724137931</v>
      </c>
      <c r="F290" s="7" t="n">
        <v>30</v>
      </c>
      <c r="G290" s="5" t="n">
        <v>17100</v>
      </c>
    </row>
    <row r="291" customFormat="false" ht="15" hidden="false" customHeight="false" outlineLevel="0" collapsed="false">
      <c r="A291" s="13" t="s">
        <v>131</v>
      </c>
      <c r="B291" s="13" t="s">
        <v>85</v>
      </c>
      <c r="C291" s="13" t="s">
        <v>3</v>
      </c>
      <c r="D291" s="13" t="s">
        <v>267</v>
      </c>
      <c r="E291" s="16" t="n">
        <v>246.04347826087</v>
      </c>
      <c r="F291" s="7" t="n">
        <v>70</v>
      </c>
      <c r="G291" s="5" t="n">
        <v>17000</v>
      </c>
    </row>
    <row r="292" customFormat="false" ht="15" hidden="false" customHeight="false" outlineLevel="0" collapsed="false">
      <c r="A292" s="13" t="s">
        <v>179</v>
      </c>
      <c r="B292" s="13" t="s">
        <v>180</v>
      </c>
      <c r="C292" s="13" t="s">
        <v>3</v>
      </c>
      <c r="D292" s="13" t="s">
        <v>268</v>
      </c>
      <c r="E292" s="16" t="n">
        <v>102.253012048193</v>
      </c>
      <c r="F292" s="7" t="n">
        <v>170</v>
      </c>
      <c r="G292" s="5" t="n">
        <v>17000</v>
      </c>
    </row>
    <row r="293" customFormat="false" ht="15" hidden="false" customHeight="false" outlineLevel="0" collapsed="false">
      <c r="A293" s="13" t="s">
        <v>45</v>
      </c>
      <c r="B293" s="13" t="s">
        <v>43</v>
      </c>
      <c r="C293" s="13" t="s">
        <v>5</v>
      </c>
      <c r="D293" s="13" t="s">
        <v>269</v>
      </c>
      <c r="E293" s="16" t="n">
        <v>645.406538461539</v>
      </c>
      <c r="F293" s="7" t="n">
        <v>30</v>
      </c>
      <c r="G293" s="5" t="n">
        <v>16800</v>
      </c>
    </row>
    <row r="294" customFormat="false" ht="15" hidden="false" customHeight="false" outlineLevel="0" collapsed="false">
      <c r="A294" s="13" t="s">
        <v>270</v>
      </c>
      <c r="B294" s="13" t="s">
        <v>43</v>
      </c>
      <c r="C294" s="13" t="s">
        <v>3</v>
      </c>
      <c r="D294" s="13" t="s">
        <v>271</v>
      </c>
      <c r="E294" s="16" t="n">
        <v>245.511470588235</v>
      </c>
      <c r="F294" s="7" t="n">
        <v>70</v>
      </c>
      <c r="G294" s="5" t="n">
        <v>16700</v>
      </c>
    </row>
    <row r="295" customFormat="false" ht="15" hidden="false" customHeight="false" outlineLevel="0" collapsed="false">
      <c r="A295" s="13" t="s">
        <v>50</v>
      </c>
      <c r="B295" s="13" t="s">
        <v>43</v>
      </c>
      <c r="C295" s="13" t="s">
        <v>5</v>
      </c>
      <c r="D295" s="13" t="s">
        <v>272</v>
      </c>
      <c r="E295" s="16" t="n">
        <v>475.485714285714</v>
      </c>
      <c r="F295" s="7" t="n">
        <v>40</v>
      </c>
      <c r="G295" s="5" t="n">
        <v>16600</v>
      </c>
    </row>
    <row r="296" customFormat="false" ht="15" hidden="false" customHeight="false" outlineLevel="0" collapsed="false">
      <c r="A296" s="13" t="s">
        <v>186</v>
      </c>
      <c r="B296" s="13" t="s">
        <v>43</v>
      </c>
      <c r="C296" s="13" t="s">
        <v>4</v>
      </c>
      <c r="D296" s="13" t="s">
        <v>273</v>
      </c>
      <c r="E296" s="16" t="n">
        <v>404.763170731707</v>
      </c>
      <c r="F296" s="7" t="n">
        <v>40</v>
      </c>
      <c r="G296" s="5" t="n">
        <v>16600</v>
      </c>
    </row>
    <row r="297" customFormat="false" ht="15" hidden="false" customHeight="false" outlineLevel="0" collapsed="false">
      <c r="A297" s="13" t="s">
        <v>42</v>
      </c>
      <c r="B297" s="13" t="s">
        <v>43</v>
      </c>
      <c r="C297" s="13" t="s">
        <v>5</v>
      </c>
      <c r="D297" s="13" t="s">
        <v>274</v>
      </c>
      <c r="E297" s="16" t="n">
        <v>717.67</v>
      </c>
      <c r="F297" s="7" t="n">
        <v>20</v>
      </c>
      <c r="G297" s="5" t="n">
        <v>16500</v>
      </c>
    </row>
    <row r="298" customFormat="false" ht="15" hidden="false" customHeight="false" outlineLevel="0" collapsed="false">
      <c r="A298" s="13" t="s">
        <v>186</v>
      </c>
      <c r="B298" s="13" t="s">
        <v>43</v>
      </c>
      <c r="C298" s="13" t="s">
        <v>3</v>
      </c>
      <c r="D298" s="13" t="s">
        <v>275</v>
      </c>
      <c r="E298" s="16" t="n">
        <v>292.230535714286</v>
      </c>
      <c r="F298" s="7" t="n">
        <v>60</v>
      </c>
      <c r="G298" s="5" t="n">
        <v>16400</v>
      </c>
    </row>
    <row r="299" customFormat="false" ht="15" hidden="false" customHeight="false" outlineLevel="0" collapsed="false">
      <c r="A299" s="13" t="s">
        <v>186</v>
      </c>
      <c r="B299" s="13" t="s">
        <v>43</v>
      </c>
      <c r="C299" s="13" t="s">
        <v>4</v>
      </c>
      <c r="D299" s="13" t="s">
        <v>276</v>
      </c>
      <c r="E299" s="16" t="n">
        <v>365.518666666667</v>
      </c>
      <c r="F299" s="7" t="n">
        <v>40</v>
      </c>
      <c r="G299" s="5" t="n">
        <v>16400</v>
      </c>
    </row>
    <row r="300" customFormat="false" ht="15" hidden="false" customHeight="false" outlineLevel="0" collapsed="false">
      <c r="A300" s="13" t="s">
        <v>42</v>
      </c>
      <c r="B300" s="13" t="s">
        <v>43</v>
      </c>
      <c r="C300" s="13" t="s">
        <v>5</v>
      </c>
      <c r="D300" s="13" t="s">
        <v>219</v>
      </c>
      <c r="E300" s="16" t="n">
        <v>373.4925</v>
      </c>
      <c r="F300" s="7" t="n">
        <v>40</v>
      </c>
      <c r="G300" s="5" t="n">
        <v>16400</v>
      </c>
    </row>
    <row r="301" customFormat="false" ht="15" hidden="false" customHeight="false" outlineLevel="0" collapsed="false">
      <c r="A301" s="13" t="s">
        <v>117</v>
      </c>
      <c r="B301" s="13" t="s">
        <v>98</v>
      </c>
      <c r="C301" s="13" t="s">
        <v>3</v>
      </c>
      <c r="D301" s="13" t="s">
        <v>277</v>
      </c>
      <c r="E301" s="16" t="n">
        <v>387.261666666667</v>
      </c>
      <c r="F301" s="7" t="n">
        <v>40</v>
      </c>
      <c r="G301" s="5" t="n">
        <v>16300</v>
      </c>
    </row>
    <row r="302" customFormat="false" ht="15" hidden="false" customHeight="false" outlineLevel="0" collapsed="false">
      <c r="A302" s="13" t="s">
        <v>117</v>
      </c>
      <c r="B302" s="13" t="s">
        <v>98</v>
      </c>
      <c r="C302" s="13" t="s">
        <v>3</v>
      </c>
      <c r="D302" s="13" t="s">
        <v>278</v>
      </c>
      <c r="E302" s="16" t="n">
        <v>602</v>
      </c>
      <c r="F302" s="7" t="n">
        <v>30</v>
      </c>
      <c r="G302" s="5" t="n">
        <v>16300</v>
      </c>
    </row>
    <row r="303" customFormat="false" ht="15" hidden="false" customHeight="false" outlineLevel="0" collapsed="false">
      <c r="A303" s="13" t="s">
        <v>45</v>
      </c>
      <c r="B303" s="13" t="s">
        <v>43</v>
      </c>
      <c r="C303" s="13" t="s">
        <v>5</v>
      </c>
      <c r="D303" s="13" t="s">
        <v>279</v>
      </c>
      <c r="E303" s="16" t="n">
        <v>771.242857142857</v>
      </c>
      <c r="F303" s="7" t="n">
        <v>20</v>
      </c>
      <c r="G303" s="5" t="n">
        <v>16200</v>
      </c>
    </row>
    <row r="304" customFormat="false" ht="15" hidden="false" customHeight="false" outlineLevel="0" collapsed="false">
      <c r="A304" s="13" t="s">
        <v>42</v>
      </c>
      <c r="B304" s="13" t="s">
        <v>43</v>
      </c>
      <c r="C304" s="13" t="s">
        <v>5</v>
      </c>
      <c r="D304" s="13" t="s">
        <v>280</v>
      </c>
      <c r="E304" s="16" t="n">
        <v>732.094545454545</v>
      </c>
      <c r="F304" s="7" t="n">
        <v>20</v>
      </c>
      <c r="G304" s="5" t="n">
        <v>16100</v>
      </c>
    </row>
    <row r="305" customFormat="false" ht="15" hidden="false" customHeight="false" outlineLevel="0" collapsed="false">
      <c r="A305" s="13" t="s">
        <v>193</v>
      </c>
      <c r="B305" s="13" t="s">
        <v>43</v>
      </c>
      <c r="C305" s="13" t="s">
        <v>5</v>
      </c>
      <c r="D305" s="13" t="s">
        <v>281</v>
      </c>
      <c r="E305" s="16" t="n">
        <v>503.3803125</v>
      </c>
      <c r="F305" s="7" t="n">
        <v>30</v>
      </c>
      <c r="G305" s="5" t="n">
        <v>16100</v>
      </c>
    </row>
    <row r="306" customFormat="false" ht="15" hidden="false" customHeight="false" outlineLevel="0" collapsed="false">
      <c r="A306" s="13" t="s">
        <v>165</v>
      </c>
      <c r="B306" s="13" t="s">
        <v>43</v>
      </c>
      <c r="C306" s="13" t="s">
        <v>5</v>
      </c>
      <c r="D306" s="13" t="s">
        <v>282</v>
      </c>
      <c r="E306" s="16" t="n">
        <v>546.099310344828</v>
      </c>
      <c r="F306" s="7" t="n">
        <v>30</v>
      </c>
      <c r="G306" s="5" t="n">
        <v>15800</v>
      </c>
    </row>
    <row r="307" customFormat="false" ht="15" hidden="false" customHeight="false" outlineLevel="0" collapsed="false">
      <c r="A307" s="13" t="s">
        <v>79</v>
      </c>
      <c r="B307" s="13" t="s">
        <v>43</v>
      </c>
      <c r="C307" s="13" t="s">
        <v>5</v>
      </c>
      <c r="D307" s="13" t="s">
        <v>283</v>
      </c>
      <c r="E307" s="16" t="n">
        <v>744</v>
      </c>
      <c r="F307" s="7" t="n">
        <v>20</v>
      </c>
      <c r="G307" s="5" t="n">
        <v>15600</v>
      </c>
    </row>
    <row r="308" customFormat="false" ht="15" hidden="false" customHeight="false" outlineLevel="0" collapsed="false">
      <c r="A308" s="13" t="s">
        <v>42</v>
      </c>
      <c r="B308" s="13" t="s">
        <v>43</v>
      </c>
      <c r="C308" s="13" t="s">
        <v>4</v>
      </c>
      <c r="D308" s="13" t="s">
        <v>284</v>
      </c>
      <c r="E308" s="16" t="n">
        <v>678.54</v>
      </c>
      <c r="F308" s="7" t="n">
        <v>20</v>
      </c>
      <c r="G308" s="5" t="n">
        <v>15600</v>
      </c>
    </row>
    <row r="309" customFormat="false" ht="15" hidden="false" customHeight="false" outlineLevel="0" collapsed="false">
      <c r="A309" s="13" t="s">
        <v>179</v>
      </c>
      <c r="B309" s="13" t="s">
        <v>180</v>
      </c>
      <c r="C309" s="13" t="s">
        <v>3</v>
      </c>
      <c r="D309" s="13" t="s">
        <v>285</v>
      </c>
      <c r="E309" s="16" t="n">
        <v>129</v>
      </c>
      <c r="F309" s="7" t="n">
        <v>120</v>
      </c>
      <c r="G309" s="5" t="n">
        <v>15500</v>
      </c>
    </row>
    <row r="310" customFormat="false" ht="15" hidden="false" customHeight="false" outlineLevel="0" collapsed="false">
      <c r="A310" s="13" t="s">
        <v>286</v>
      </c>
      <c r="B310" s="13" t="s">
        <v>43</v>
      </c>
      <c r="C310" s="13" t="s">
        <v>4</v>
      </c>
      <c r="D310" s="13" t="s">
        <v>287</v>
      </c>
      <c r="E310" s="16" t="n">
        <v>246.654920634921</v>
      </c>
      <c r="F310" s="7" t="n">
        <v>60</v>
      </c>
      <c r="G310" s="5" t="n">
        <v>15500</v>
      </c>
    </row>
    <row r="311" customFormat="false" ht="15" hidden="false" customHeight="false" outlineLevel="0" collapsed="false">
      <c r="A311" s="13" t="s">
        <v>105</v>
      </c>
      <c r="B311" s="13" t="s">
        <v>43</v>
      </c>
      <c r="C311" s="13" t="s">
        <v>4</v>
      </c>
      <c r="D311" s="13" t="s">
        <v>288</v>
      </c>
      <c r="E311" s="16" t="n">
        <v>612.7296</v>
      </c>
      <c r="F311" s="7" t="n">
        <v>20</v>
      </c>
      <c r="G311" s="5" t="n">
        <v>15300</v>
      </c>
    </row>
    <row r="312" customFormat="false" ht="15" hidden="false" customHeight="false" outlineLevel="0" collapsed="false">
      <c r="A312" s="13" t="s">
        <v>42</v>
      </c>
      <c r="B312" s="13" t="s">
        <v>43</v>
      </c>
      <c r="C312" s="13" t="s">
        <v>4</v>
      </c>
      <c r="D312" s="13" t="s">
        <v>246</v>
      </c>
      <c r="E312" s="16" t="n">
        <v>448.674117647059</v>
      </c>
      <c r="F312" s="7" t="n">
        <v>30</v>
      </c>
      <c r="G312" s="5" t="n">
        <v>15300</v>
      </c>
    </row>
    <row r="313" customFormat="false" ht="15" hidden="false" customHeight="false" outlineLevel="0" collapsed="false">
      <c r="A313" s="13" t="s">
        <v>42</v>
      </c>
      <c r="B313" s="13" t="s">
        <v>43</v>
      </c>
      <c r="C313" s="13" t="s">
        <v>5</v>
      </c>
      <c r="D313" s="13" t="s">
        <v>137</v>
      </c>
      <c r="E313" s="16" t="n">
        <v>633.825</v>
      </c>
      <c r="F313" s="7" t="n">
        <v>20</v>
      </c>
      <c r="G313" s="5" t="n">
        <v>15200</v>
      </c>
    </row>
    <row r="314" customFormat="false" ht="15" hidden="false" customHeight="false" outlineLevel="0" collapsed="false">
      <c r="A314" s="13" t="s">
        <v>50</v>
      </c>
      <c r="B314" s="13" t="s">
        <v>43</v>
      </c>
      <c r="C314" s="13" t="s">
        <v>5</v>
      </c>
      <c r="D314" s="13" t="s">
        <v>289</v>
      </c>
      <c r="E314" s="16" t="n">
        <v>659</v>
      </c>
      <c r="F314" s="7" t="n">
        <v>20</v>
      </c>
      <c r="G314" s="5" t="n">
        <v>15200</v>
      </c>
    </row>
    <row r="315" customFormat="false" ht="15" hidden="false" customHeight="false" outlineLevel="0" collapsed="false">
      <c r="A315" s="13" t="s">
        <v>42</v>
      </c>
      <c r="B315" s="13" t="s">
        <v>43</v>
      </c>
      <c r="C315" s="13" t="s">
        <v>5</v>
      </c>
      <c r="D315" s="13" t="s">
        <v>290</v>
      </c>
      <c r="E315" s="16" t="n">
        <v>523.52275862069</v>
      </c>
      <c r="F315" s="7" t="n">
        <v>30</v>
      </c>
      <c r="G315" s="5" t="n">
        <v>15200</v>
      </c>
    </row>
    <row r="316" customFormat="false" ht="15" hidden="false" customHeight="false" outlineLevel="0" collapsed="false">
      <c r="A316" s="13" t="s">
        <v>42</v>
      </c>
      <c r="B316" s="13" t="s">
        <v>43</v>
      </c>
      <c r="C316" s="13" t="s">
        <v>4</v>
      </c>
      <c r="D316" s="13" t="s">
        <v>151</v>
      </c>
      <c r="E316" s="16" t="n">
        <v>720.3</v>
      </c>
      <c r="F316" s="7" t="n">
        <v>20</v>
      </c>
      <c r="G316" s="5" t="n">
        <v>15100</v>
      </c>
    </row>
    <row r="317" customFormat="false" ht="15" hidden="false" customHeight="false" outlineLevel="0" collapsed="false">
      <c r="A317" s="13" t="s">
        <v>153</v>
      </c>
      <c r="B317" s="13" t="s">
        <v>43</v>
      </c>
      <c r="C317" s="13" t="s">
        <v>5</v>
      </c>
      <c r="D317" s="13" t="s">
        <v>291</v>
      </c>
      <c r="E317" s="16" t="n">
        <v>684.811363636364</v>
      </c>
      <c r="F317" s="7" t="n">
        <v>20</v>
      </c>
      <c r="G317" s="5" t="n">
        <v>15100</v>
      </c>
    </row>
    <row r="318" customFormat="false" ht="15" hidden="false" customHeight="false" outlineLevel="0" collapsed="false">
      <c r="A318" s="13" t="s">
        <v>45</v>
      </c>
      <c r="B318" s="13" t="s">
        <v>43</v>
      </c>
      <c r="C318" s="13" t="s">
        <v>4</v>
      </c>
      <c r="D318" s="13" t="s">
        <v>292</v>
      </c>
      <c r="E318" s="16" t="n">
        <v>935.824375</v>
      </c>
      <c r="F318" s="7" t="n">
        <v>20</v>
      </c>
      <c r="G318" s="5" t="n">
        <v>15000</v>
      </c>
    </row>
    <row r="319" customFormat="false" ht="15" hidden="false" customHeight="false" outlineLevel="0" collapsed="false">
      <c r="A319" s="13" t="s">
        <v>114</v>
      </c>
      <c r="B319" s="13" t="s">
        <v>115</v>
      </c>
      <c r="C319" s="13" t="s">
        <v>3</v>
      </c>
      <c r="D319" s="13" t="s">
        <v>293</v>
      </c>
      <c r="E319" s="16" t="n">
        <v>117.895238095238</v>
      </c>
      <c r="F319" s="7" t="n">
        <v>130</v>
      </c>
      <c r="G319" s="5" t="n">
        <v>14900</v>
      </c>
    </row>
    <row r="320" customFormat="false" ht="15" hidden="false" customHeight="false" outlineLevel="0" collapsed="false">
      <c r="A320" s="13" t="s">
        <v>50</v>
      </c>
      <c r="B320" s="13" t="s">
        <v>43</v>
      </c>
      <c r="C320" s="13" t="s">
        <v>5</v>
      </c>
      <c r="D320" s="13" t="s">
        <v>294</v>
      </c>
      <c r="E320" s="16" t="n">
        <v>908</v>
      </c>
      <c r="F320" s="7" t="n">
        <v>20</v>
      </c>
      <c r="G320" s="5" t="n">
        <v>14500</v>
      </c>
    </row>
    <row r="321" customFormat="false" ht="15" hidden="false" customHeight="false" outlineLevel="0" collapsed="false">
      <c r="A321" s="13" t="s">
        <v>193</v>
      </c>
      <c r="B321" s="13" t="s">
        <v>43</v>
      </c>
      <c r="C321" s="13" t="s">
        <v>5</v>
      </c>
      <c r="D321" s="13" t="s">
        <v>295</v>
      </c>
      <c r="E321" s="16" t="n">
        <v>750.848947368421</v>
      </c>
      <c r="F321" s="7" t="n">
        <v>20</v>
      </c>
      <c r="G321" s="5" t="n">
        <v>14300</v>
      </c>
    </row>
    <row r="322" customFormat="false" ht="15" hidden="false" customHeight="false" outlineLevel="0" collapsed="false">
      <c r="A322" s="13" t="s">
        <v>42</v>
      </c>
      <c r="B322" s="13" t="s">
        <v>43</v>
      </c>
      <c r="C322" s="13" t="s">
        <v>5</v>
      </c>
      <c r="D322" s="13" t="s">
        <v>296</v>
      </c>
      <c r="E322" s="16" t="n">
        <v>594.974166666667</v>
      </c>
      <c r="F322" s="7" t="n">
        <v>20</v>
      </c>
      <c r="G322" s="5" t="n">
        <v>14300</v>
      </c>
    </row>
    <row r="323" customFormat="false" ht="15" hidden="false" customHeight="false" outlineLevel="0" collapsed="false">
      <c r="A323" s="13" t="s">
        <v>79</v>
      </c>
      <c r="B323" s="13" t="s">
        <v>43</v>
      </c>
      <c r="C323" s="13" t="s">
        <v>4</v>
      </c>
      <c r="D323" s="13" t="s">
        <v>297</v>
      </c>
      <c r="E323" s="16" t="n">
        <v>794.2</v>
      </c>
      <c r="F323" s="7" t="n">
        <v>20</v>
      </c>
      <c r="G323" s="5" t="n">
        <v>14300</v>
      </c>
    </row>
    <row r="324" customFormat="false" ht="15" hidden="false" customHeight="false" outlineLevel="0" collapsed="false">
      <c r="A324" s="13" t="s">
        <v>69</v>
      </c>
      <c r="B324" s="13" t="s">
        <v>43</v>
      </c>
      <c r="C324" s="13" t="s">
        <v>5</v>
      </c>
      <c r="D324" s="13" t="s">
        <v>76</v>
      </c>
      <c r="E324" s="16" t="n">
        <v>837.979411764706</v>
      </c>
      <c r="F324" s="7" t="n">
        <v>20</v>
      </c>
      <c r="G324" s="5" t="n">
        <v>14200</v>
      </c>
    </row>
    <row r="325" customFormat="false" ht="15" hidden="false" customHeight="false" outlineLevel="0" collapsed="false">
      <c r="A325" s="13" t="s">
        <v>69</v>
      </c>
      <c r="B325" s="13" t="s">
        <v>43</v>
      </c>
      <c r="C325" s="13" t="s">
        <v>3</v>
      </c>
      <c r="D325" s="13" t="s">
        <v>298</v>
      </c>
      <c r="E325" s="16" t="n">
        <v>456.891290322581</v>
      </c>
      <c r="F325" s="7" t="n">
        <v>30</v>
      </c>
      <c r="G325" s="5" t="n">
        <v>14200</v>
      </c>
    </row>
    <row r="326" customFormat="false" ht="15" hidden="false" customHeight="false" outlineLevel="0" collapsed="false">
      <c r="A326" s="13" t="s">
        <v>50</v>
      </c>
      <c r="B326" s="13" t="s">
        <v>43</v>
      </c>
      <c r="C326" s="13" t="s">
        <v>4</v>
      </c>
      <c r="D326" s="13" t="s">
        <v>52</v>
      </c>
      <c r="E326" s="16" t="n">
        <v>295.059375</v>
      </c>
      <c r="F326" s="7" t="n">
        <v>50</v>
      </c>
      <c r="G326" s="5" t="n">
        <v>14200</v>
      </c>
    </row>
    <row r="327" customFormat="false" ht="15" hidden="false" customHeight="false" outlineLevel="0" collapsed="false">
      <c r="A327" s="13" t="s">
        <v>179</v>
      </c>
      <c r="B327" s="13" t="s">
        <v>180</v>
      </c>
      <c r="C327" s="13" t="s">
        <v>3</v>
      </c>
      <c r="D327" s="13" t="s">
        <v>299</v>
      </c>
      <c r="E327" s="16" t="n">
        <v>139.99</v>
      </c>
      <c r="F327" s="7" t="n">
        <v>100</v>
      </c>
      <c r="G327" s="5" t="n">
        <v>14100</v>
      </c>
    </row>
    <row r="328" customFormat="false" ht="15" hidden="false" customHeight="false" outlineLevel="0" collapsed="false">
      <c r="A328" s="13" t="s">
        <v>72</v>
      </c>
      <c r="B328" s="13" t="s">
        <v>43</v>
      </c>
      <c r="C328" s="13" t="s">
        <v>5</v>
      </c>
      <c r="D328" s="13" t="s">
        <v>300</v>
      </c>
      <c r="E328" s="16" t="n">
        <v>938.91</v>
      </c>
      <c r="F328" s="7" t="n">
        <v>20</v>
      </c>
      <c r="G328" s="5" t="n">
        <v>14100</v>
      </c>
    </row>
    <row r="329" customFormat="false" ht="15" hidden="false" customHeight="false" outlineLevel="0" collapsed="false">
      <c r="A329" s="13" t="s">
        <v>45</v>
      </c>
      <c r="B329" s="13" t="s">
        <v>43</v>
      </c>
      <c r="C329" s="13" t="s">
        <v>4</v>
      </c>
      <c r="D329" s="13" t="s">
        <v>301</v>
      </c>
      <c r="E329" s="16" t="n">
        <v>666.72</v>
      </c>
      <c r="F329" s="7" t="n">
        <v>20</v>
      </c>
      <c r="G329" s="5" t="n">
        <v>14000</v>
      </c>
    </row>
    <row r="330" customFormat="false" ht="15" hidden="false" customHeight="false" outlineLevel="0" collapsed="false">
      <c r="A330" s="13" t="s">
        <v>42</v>
      </c>
      <c r="B330" s="13" t="s">
        <v>43</v>
      </c>
      <c r="C330" s="13" t="s">
        <v>5</v>
      </c>
      <c r="D330" s="13" t="s">
        <v>246</v>
      </c>
      <c r="E330" s="16" t="n">
        <v>368.907105263158</v>
      </c>
      <c r="F330" s="7" t="n">
        <v>40</v>
      </c>
      <c r="G330" s="5" t="n">
        <v>14000</v>
      </c>
    </row>
    <row r="331" customFormat="false" ht="15" hidden="false" customHeight="false" outlineLevel="0" collapsed="false">
      <c r="A331" s="13" t="s">
        <v>302</v>
      </c>
      <c r="B331" s="13" t="s">
        <v>43</v>
      </c>
      <c r="C331" s="13" t="s">
        <v>3</v>
      </c>
      <c r="D331" s="13" t="s">
        <v>303</v>
      </c>
      <c r="E331" s="16" t="n">
        <v>603.304347826087</v>
      </c>
      <c r="F331" s="7" t="n">
        <v>20</v>
      </c>
      <c r="G331" s="5" t="n">
        <v>13900</v>
      </c>
    </row>
    <row r="332" customFormat="false" ht="15" hidden="false" customHeight="false" outlineLevel="0" collapsed="false">
      <c r="A332" s="13" t="s">
        <v>131</v>
      </c>
      <c r="B332" s="13" t="s">
        <v>66</v>
      </c>
      <c r="C332" s="13" t="s">
        <v>3</v>
      </c>
      <c r="D332" s="13" t="s">
        <v>304</v>
      </c>
      <c r="E332" s="16" t="n">
        <v>245.14125</v>
      </c>
      <c r="F332" s="7" t="n">
        <v>60</v>
      </c>
      <c r="G332" s="5" t="n">
        <v>13700</v>
      </c>
    </row>
    <row r="333" customFormat="false" ht="15" hidden="false" customHeight="false" outlineLevel="0" collapsed="false">
      <c r="A333" s="13" t="s">
        <v>302</v>
      </c>
      <c r="B333" s="13" t="s">
        <v>43</v>
      </c>
      <c r="C333" s="13" t="s">
        <v>3</v>
      </c>
      <c r="D333" s="13" t="s">
        <v>305</v>
      </c>
      <c r="E333" s="16" t="n">
        <v>392.828285714286</v>
      </c>
      <c r="F333" s="7" t="n">
        <v>40</v>
      </c>
      <c r="G333" s="5" t="n">
        <v>13700</v>
      </c>
    </row>
    <row r="334" customFormat="false" ht="15" hidden="false" customHeight="false" outlineLevel="0" collapsed="false">
      <c r="A334" s="13" t="s">
        <v>65</v>
      </c>
      <c r="B334" s="13" t="s">
        <v>66</v>
      </c>
      <c r="C334" s="13" t="s">
        <v>3</v>
      </c>
      <c r="D334" s="13" t="s">
        <v>147</v>
      </c>
      <c r="E334" s="16" t="n">
        <v>326.25243902439</v>
      </c>
      <c r="F334" s="7" t="n">
        <v>40</v>
      </c>
      <c r="G334" s="5" t="n">
        <v>13400</v>
      </c>
    </row>
    <row r="335" customFormat="false" ht="15" hidden="false" customHeight="false" outlineLevel="0" collapsed="false">
      <c r="A335" s="13" t="s">
        <v>195</v>
      </c>
      <c r="B335" s="13" t="s">
        <v>43</v>
      </c>
      <c r="C335" s="13" t="s">
        <v>5</v>
      </c>
      <c r="D335" s="13" t="s">
        <v>196</v>
      </c>
      <c r="E335" s="16" t="n">
        <v>580</v>
      </c>
      <c r="F335" s="7" t="n">
        <v>20</v>
      </c>
      <c r="G335" s="5" t="n">
        <v>13300</v>
      </c>
    </row>
    <row r="336" customFormat="false" ht="15" hidden="false" customHeight="false" outlineLevel="0" collapsed="false">
      <c r="A336" s="13" t="s">
        <v>50</v>
      </c>
      <c r="B336" s="13" t="s">
        <v>43</v>
      </c>
      <c r="C336" s="13" t="s">
        <v>4</v>
      </c>
      <c r="D336" s="13" t="s">
        <v>185</v>
      </c>
      <c r="E336" s="16" t="n">
        <v>883.32</v>
      </c>
      <c r="F336" s="7" t="n">
        <v>20</v>
      </c>
      <c r="G336" s="5" t="n">
        <v>13200</v>
      </c>
    </row>
    <row r="337" customFormat="false" ht="15" hidden="false" customHeight="false" outlineLevel="0" collapsed="false">
      <c r="A337" s="13" t="s">
        <v>42</v>
      </c>
      <c r="B337" s="13" t="s">
        <v>43</v>
      </c>
      <c r="C337" s="13" t="s">
        <v>4</v>
      </c>
      <c r="D337" s="13" t="s">
        <v>306</v>
      </c>
      <c r="E337" s="16" t="n">
        <v>223.22186440678</v>
      </c>
      <c r="F337" s="7" t="n">
        <v>60</v>
      </c>
      <c r="G337" s="5" t="n">
        <v>13200</v>
      </c>
    </row>
    <row r="338" customFormat="false" ht="15" hidden="false" customHeight="false" outlineLevel="0" collapsed="false">
      <c r="A338" s="13" t="s">
        <v>45</v>
      </c>
      <c r="B338" s="13" t="s">
        <v>43</v>
      </c>
      <c r="C338" s="13" t="s">
        <v>5</v>
      </c>
      <c r="D338" s="13" t="s">
        <v>279</v>
      </c>
      <c r="E338" s="16" t="n">
        <v>658.272</v>
      </c>
      <c r="F338" s="7" t="n">
        <v>20</v>
      </c>
      <c r="G338" s="5" t="n">
        <v>13200</v>
      </c>
    </row>
    <row r="339" customFormat="false" ht="15" hidden="false" customHeight="false" outlineLevel="0" collapsed="false">
      <c r="A339" s="13" t="s">
        <v>42</v>
      </c>
      <c r="B339" s="13" t="s">
        <v>43</v>
      </c>
      <c r="C339" s="13" t="s">
        <v>4</v>
      </c>
      <c r="D339" s="13" t="s">
        <v>307</v>
      </c>
      <c r="E339" s="16" t="n">
        <v>690.504210526316</v>
      </c>
      <c r="F339" s="7" t="n">
        <v>20</v>
      </c>
      <c r="G339" s="5" t="n">
        <v>13100</v>
      </c>
    </row>
    <row r="340" customFormat="false" ht="15" hidden="false" customHeight="false" outlineLevel="0" collapsed="false">
      <c r="A340" s="13" t="s">
        <v>45</v>
      </c>
      <c r="B340" s="13" t="s">
        <v>43</v>
      </c>
      <c r="C340" s="13" t="s">
        <v>4</v>
      </c>
      <c r="D340" s="13" t="s">
        <v>49</v>
      </c>
      <c r="E340" s="16" t="n">
        <v>721.54</v>
      </c>
      <c r="F340" s="7" t="n">
        <v>20</v>
      </c>
      <c r="G340" s="5" t="n">
        <v>13000</v>
      </c>
    </row>
    <row r="341" customFormat="false" ht="15" hidden="false" customHeight="false" outlineLevel="0" collapsed="false">
      <c r="A341" s="13" t="s">
        <v>131</v>
      </c>
      <c r="B341" s="13" t="s">
        <v>66</v>
      </c>
      <c r="C341" s="13" t="s">
        <v>3</v>
      </c>
      <c r="D341" s="13" t="s">
        <v>308</v>
      </c>
      <c r="E341" s="16" t="n">
        <v>352.014054054054</v>
      </c>
      <c r="F341" s="7" t="n">
        <v>40</v>
      </c>
      <c r="G341" s="5" t="n">
        <v>13000</v>
      </c>
    </row>
    <row r="342" customFormat="false" ht="15" hidden="false" customHeight="false" outlineLevel="0" collapsed="false">
      <c r="A342" s="13" t="s">
        <v>45</v>
      </c>
      <c r="B342" s="13" t="s">
        <v>43</v>
      </c>
      <c r="C342" s="13" t="s">
        <v>4</v>
      </c>
      <c r="D342" s="13" t="s">
        <v>113</v>
      </c>
      <c r="E342" s="16" t="n">
        <v>613.853809523809</v>
      </c>
      <c r="F342" s="7" t="n">
        <v>20</v>
      </c>
      <c r="G342" s="5" t="n">
        <v>12900</v>
      </c>
    </row>
    <row r="343" customFormat="false" ht="15" hidden="false" customHeight="false" outlineLevel="0" collapsed="false">
      <c r="A343" s="13" t="s">
        <v>54</v>
      </c>
      <c r="B343" s="13" t="s">
        <v>43</v>
      </c>
      <c r="C343" s="13" t="s">
        <v>5</v>
      </c>
      <c r="D343" s="13" t="s">
        <v>309</v>
      </c>
      <c r="E343" s="16" t="n">
        <v>299.711395348837</v>
      </c>
      <c r="F343" s="7" t="n">
        <v>40</v>
      </c>
      <c r="G343" s="5" t="n">
        <v>12900</v>
      </c>
    </row>
    <row r="344" customFormat="false" ht="15" hidden="false" customHeight="false" outlineLevel="0" collapsed="false">
      <c r="A344" s="13" t="s">
        <v>42</v>
      </c>
      <c r="B344" s="13" t="s">
        <v>43</v>
      </c>
      <c r="C344" s="13" t="s">
        <v>5</v>
      </c>
      <c r="D344" s="13" t="s">
        <v>310</v>
      </c>
      <c r="E344" s="16" t="n">
        <v>184.14</v>
      </c>
      <c r="F344" s="7" t="n">
        <v>70</v>
      </c>
      <c r="G344" s="5" t="n">
        <v>12700</v>
      </c>
    </row>
    <row r="345" customFormat="false" ht="15" hidden="false" customHeight="false" outlineLevel="0" collapsed="false">
      <c r="A345" s="13" t="s">
        <v>42</v>
      </c>
      <c r="B345" s="13" t="s">
        <v>43</v>
      </c>
      <c r="C345" s="13" t="s">
        <v>4</v>
      </c>
      <c r="D345" s="13" t="s">
        <v>47</v>
      </c>
      <c r="E345" s="16" t="n">
        <v>705.87</v>
      </c>
      <c r="F345" s="7" t="n">
        <v>20</v>
      </c>
      <c r="G345" s="5" t="n">
        <v>12700</v>
      </c>
    </row>
    <row r="346" customFormat="false" ht="15" hidden="false" customHeight="false" outlineLevel="0" collapsed="false">
      <c r="A346" s="13" t="s">
        <v>45</v>
      </c>
      <c r="B346" s="13" t="s">
        <v>43</v>
      </c>
      <c r="C346" s="13" t="s">
        <v>5</v>
      </c>
      <c r="D346" s="13" t="s">
        <v>311</v>
      </c>
      <c r="E346" s="16" t="n">
        <v>706.89</v>
      </c>
      <c r="F346" s="7" t="n">
        <v>20</v>
      </c>
      <c r="G346" s="5" t="n">
        <v>12700</v>
      </c>
    </row>
    <row r="347" customFormat="false" ht="15" hidden="false" customHeight="false" outlineLevel="0" collapsed="false">
      <c r="A347" s="13" t="s">
        <v>312</v>
      </c>
      <c r="B347" s="13" t="s">
        <v>43</v>
      </c>
      <c r="C347" s="13" t="s">
        <v>3</v>
      </c>
      <c r="D347" s="13" t="s">
        <v>313</v>
      </c>
      <c r="E347" s="16" t="n">
        <v>157.845</v>
      </c>
      <c r="F347" s="7" t="n">
        <v>80</v>
      </c>
      <c r="G347" s="5" t="n">
        <v>12600</v>
      </c>
    </row>
    <row r="348" customFormat="false" ht="15" hidden="false" customHeight="false" outlineLevel="0" collapsed="false">
      <c r="A348" s="13" t="s">
        <v>92</v>
      </c>
      <c r="B348" s="13" t="s">
        <v>43</v>
      </c>
      <c r="C348" s="13" t="s">
        <v>5</v>
      </c>
      <c r="D348" s="13" t="s">
        <v>314</v>
      </c>
      <c r="E348" s="16" t="n">
        <v>661.663157894737</v>
      </c>
      <c r="F348" s="7" t="n">
        <v>20</v>
      </c>
      <c r="G348" s="5" t="n">
        <v>12600</v>
      </c>
    </row>
    <row r="349" customFormat="false" ht="15" hidden="false" customHeight="false" outlineLevel="0" collapsed="false">
      <c r="A349" s="13" t="s">
        <v>315</v>
      </c>
      <c r="B349" s="13" t="s">
        <v>43</v>
      </c>
      <c r="C349" s="13" t="s">
        <v>5</v>
      </c>
      <c r="D349" s="13" t="s">
        <v>316</v>
      </c>
      <c r="E349" s="16" t="n">
        <v>660.865789473684</v>
      </c>
      <c r="F349" s="7" t="n">
        <v>20</v>
      </c>
      <c r="G349" s="5" t="n">
        <v>12600</v>
      </c>
    </row>
    <row r="350" customFormat="false" ht="15" hidden="false" customHeight="false" outlineLevel="0" collapsed="false">
      <c r="A350" s="13" t="s">
        <v>50</v>
      </c>
      <c r="B350" s="13" t="s">
        <v>43</v>
      </c>
      <c r="C350" s="13" t="s">
        <v>4</v>
      </c>
      <c r="D350" s="13" t="s">
        <v>317</v>
      </c>
      <c r="E350" s="16" t="n">
        <v>727.002352941177</v>
      </c>
      <c r="F350" s="7" t="n">
        <v>20</v>
      </c>
      <c r="G350" s="5" t="n">
        <v>12400</v>
      </c>
    </row>
    <row r="351" customFormat="false" ht="15" hidden="false" customHeight="false" outlineLevel="0" collapsed="false">
      <c r="A351" s="13" t="s">
        <v>72</v>
      </c>
      <c r="B351" s="13" t="s">
        <v>43</v>
      </c>
      <c r="C351" s="13" t="s">
        <v>5</v>
      </c>
      <c r="D351" s="13" t="s">
        <v>318</v>
      </c>
      <c r="E351" s="16" t="n">
        <v>951.213076923077</v>
      </c>
      <c r="F351" s="7" t="n">
        <v>10</v>
      </c>
      <c r="G351" s="5" t="n">
        <v>12400</v>
      </c>
    </row>
    <row r="352" customFormat="false" ht="15" hidden="false" customHeight="false" outlineLevel="0" collapsed="false">
      <c r="A352" s="13" t="s">
        <v>69</v>
      </c>
      <c r="B352" s="13" t="s">
        <v>43</v>
      </c>
      <c r="C352" s="13" t="s">
        <v>5</v>
      </c>
      <c r="D352" s="13" t="s">
        <v>319</v>
      </c>
      <c r="E352" s="16" t="n">
        <v>591.733333333333</v>
      </c>
      <c r="F352" s="7" t="n">
        <v>20</v>
      </c>
      <c r="G352" s="5" t="n">
        <v>12400</v>
      </c>
    </row>
    <row r="353" customFormat="false" ht="15" hidden="false" customHeight="false" outlineLevel="0" collapsed="false">
      <c r="A353" s="13" t="s">
        <v>65</v>
      </c>
      <c r="B353" s="13" t="s">
        <v>66</v>
      </c>
      <c r="C353" s="13" t="s">
        <v>3</v>
      </c>
      <c r="D353" s="13" t="s">
        <v>320</v>
      </c>
      <c r="E353" s="16" t="n">
        <v>317.871025641026</v>
      </c>
      <c r="F353" s="7" t="n">
        <v>40</v>
      </c>
      <c r="G353" s="5" t="n">
        <v>12400</v>
      </c>
    </row>
    <row r="354" customFormat="false" ht="15" hidden="false" customHeight="false" outlineLevel="0" collapsed="false">
      <c r="A354" s="13" t="s">
        <v>117</v>
      </c>
      <c r="B354" s="13" t="s">
        <v>98</v>
      </c>
      <c r="C354" s="13" t="s">
        <v>3</v>
      </c>
      <c r="D354" s="13" t="s">
        <v>321</v>
      </c>
      <c r="E354" s="16" t="n">
        <v>1380.88888888889</v>
      </c>
      <c r="F354" s="7" t="n">
        <v>5</v>
      </c>
      <c r="G354" s="5" t="n">
        <v>12400</v>
      </c>
    </row>
    <row r="355" customFormat="false" ht="15" hidden="false" customHeight="false" outlineLevel="0" collapsed="false">
      <c r="A355" s="13" t="s">
        <v>69</v>
      </c>
      <c r="B355" s="13" t="s">
        <v>43</v>
      </c>
      <c r="C355" s="13" t="s">
        <v>5</v>
      </c>
      <c r="D355" s="13" t="s">
        <v>322</v>
      </c>
      <c r="E355" s="16" t="n">
        <v>731.653529411765</v>
      </c>
      <c r="F355" s="7" t="n">
        <v>20</v>
      </c>
      <c r="G355" s="5" t="n">
        <v>12400</v>
      </c>
    </row>
    <row r="356" customFormat="false" ht="15" hidden="false" customHeight="false" outlineLevel="0" collapsed="false">
      <c r="A356" s="13" t="s">
        <v>87</v>
      </c>
      <c r="B356" s="13" t="s">
        <v>66</v>
      </c>
      <c r="C356" s="13" t="s">
        <v>3</v>
      </c>
      <c r="D356" s="13" t="s">
        <v>323</v>
      </c>
      <c r="E356" s="16" t="n">
        <v>760.74</v>
      </c>
      <c r="F356" s="7" t="n">
        <v>20</v>
      </c>
      <c r="G356" s="5" t="n">
        <v>12200</v>
      </c>
    </row>
    <row r="357" customFormat="false" ht="15" hidden="false" customHeight="false" outlineLevel="0" collapsed="false">
      <c r="A357" s="13" t="s">
        <v>45</v>
      </c>
      <c r="B357" s="13" t="s">
        <v>43</v>
      </c>
      <c r="C357" s="13" t="s">
        <v>5</v>
      </c>
      <c r="D357" s="13" t="s">
        <v>292</v>
      </c>
      <c r="E357" s="16" t="n">
        <v>811.581333333333</v>
      </c>
      <c r="F357" s="7" t="n">
        <v>20</v>
      </c>
      <c r="G357" s="5" t="n">
        <v>12200</v>
      </c>
    </row>
    <row r="358" customFormat="false" ht="15" hidden="false" customHeight="false" outlineLevel="0" collapsed="false">
      <c r="A358" s="13" t="s">
        <v>42</v>
      </c>
      <c r="B358" s="13" t="s">
        <v>43</v>
      </c>
      <c r="C358" s="13" t="s">
        <v>5</v>
      </c>
      <c r="D358" s="13" t="s">
        <v>290</v>
      </c>
      <c r="E358" s="16" t="n">
        <v>448.714074074074</v>
      </c>
      <c r="F358" s="7" t="n">
        <v>30</v>
      </c>
      <c r="G358" s="5" t="n">
        <v>12100</v>
      </c>
    </row>
    <row r="359" customFormat="false" ht="15" hidden="false" customHeight="false" outlineLevel="0" collapsed="false">
      <c r="A359" s="13" t="s">
        <v>42</v>
      </c>
      <c r="B359" s="13" t="s">
        <v>43</v>
      </c>
      <c r="C359" s="13" t="s">
        <v>4</v>
      </c>
      <c r="D359" s="13" t="s">
        <v>91</v>
      </c>
      <c r="E359" s="16" t="n">
        <v>757.02125</v>
      </c>
      <c r="F359" s="7" t="n">
        <v>20</v>
      </c>
      <c r="G359" s="5" t="n">
        <v>12100</v>
      </c>
    </row>
    <row r="360" customFormat="false" ht="15" hidden="false" customHeight="false" outlineLevel="0" collapsed="false">
      <c r="A360" s="13" t="s">
        <v>42</v>
      </c>
      <c r="B360" s="13" t="s">
        <v>43</v>
      </c>
      <c r="C360" s="13" t="s">
        <v>4</v>
      </c>
      <c r="D360" s="13" t="s">
        <v>324</v>
      </c>
      <c r="E360" s="16" t="n">
        <v>665.753333333333</v>
      </c>
      <c r="F360" s="7" t="n">
        <v>20</v>
      </c>
      <c r="G360" s="5" t="n">
        <v>12000</v>
      </c>
    </row>
    <row r="361" customFormat="false" ht="15" hidden="false" customHeight="false" outlineLevel="0" collapsed="false">
      <c r="A361" s="13" t="s">
        <v>87</v>
      </c>
      <c r="B361" s="13" t="s">
        <v>66</v>
      </c>
      <c r="C361" s="13" t="s">
        <v>3</v>
      </c>
      <c r="D361" s="13" t="s">
        <v>325</v>
      </c>
      <c r="E361" s="16" t="n">
        <v>2398.104</v>
      </c>
      <c r="F361" s="7" t="n">
        <v>5</v>
      </c>
      <c r="G361" s="5" t="n">
        <v>12000</v>
      </c>
    </row>
    <row r="362" customFormat="false" ht="15" hidden="false" customHeight="false" outlineLevel="0" collapsed="false">
      <c r="A362" s="13" t="s">
        <v>153</v>
      </c>
      <c r="B362" s="13" t="s">
        <v>43</v>
      </c>
      <c r="C362" s="13" t="s">
        <v>5</v>
      </c>
      <c r="D362" s="13" t="s">
        <v>326</v>
      </c>
      <c r="E362" s="16" t="n">
        <v>633</v>
      </c>
      <c r="F362" s="7" t="n">
        <v>20</v>
      </c>
      <c r="G362" s="5" t="n">
        <v>12000</v>
      </c>
    </row>
    <row r="363" customFormat="false" ht="15" hidden="false" customHeight="false" outlineLevel="0" collapsed="false">
      <c r="A363" s="13" t="s">
        <v>61</v>
      </c>
      <c r="B363" s="13" t="s">
        <v>43</v>
      </c>
      <c r="C363" s="13" t="s">
        <v>5</v>
      </c>
      <c r="D363" s="13" t="s">
        <v>327</v>
      </c>
      <c r="E363" s="16" t="n">
        <v>441.187777777778</v>
      </c>
      <c r="F363" s="7" t="n">
        <v>30</v>
      </c>
      <c r="G363" s="5" t="n">
        <v>11900</v>
      </c>
    </row>
    <row r="364" customFormat="false" ht="15" hidden="false" customHeight="false" outlineLevel="0" collapsed="false">
      <c r="A364" s="13" t="s">
        <v>69</v>
      </c>
      <c r="B364" s="13" t="s">
        <v>43</v>
      </c>
      <c r="C364" s="13" t="s">
        <v>5</v>
      </c>
      <c r="D364" s="13" t="s">
        <v>120</v>
      </c>
      <c r="E364" s="16" t="n">
        <v>793.666666666667</v>
      </c>
      <c r="F364" s="7" t="n">
        <v>20</v>
      </c>
      <c r="G364" s="5" t="n">
        <v>11900</v>
      </c>
    </row>
    <row r="365" customFormat="false" ht="15" hidden="false" customHeight="false" outlineLevel="0" collapsed="false">
      <c r="A365" s="13" t="s">
        <v>42</v>
      </c>
      <c r="B365" s="13" t="s">
        <v>43</v>
      </c>
      <c r="C365" s="13" t="s">
        <v>5</v>
      </c>
      <c r="D365" s="13" t="s">
        <v>328</v>
      </c>
      <c r="E365" s="16" t="n">
        <v>697.794117647059</v>
      </c>
      <c r="F365" s="7" t="n">
        <v>20</v>
      </c>
      <c r="G365" s="5" t="n">
        <v>11900</v>
      </c>
    </row>
    <row r="366" customFormat="false" ht="15" hidden="false" customHeight="false" outlineLevel="0" collapsed="false">
      <c r="A366" s="13" t="s">
        <v>329</v>
      </c>
      <c r="B366" s="13" t="s">
        <v>43</v>
      </c>
      <c r="C366" s="13" t="s">
        <v>5</v>
      </c>
      <c r="D366" s="13" t="s">
        <v>330</v>
      </c>
      <c r="E366" s="16" t="n">
        <v>329</v>
      </c>
      <c r="F366" s="7" t="n">
        <v>40</v>
      </c>
      <c r="G366" s="5" t="n">
        <v>11800</v>
      </c>
    </row>
    <row r="367" customFormat="false" ht="15" hidden="false" customHeight="false" outlineLevel="0" collapsed="false">
      <c r="A367" s="13" t="s">
        <v>79</v>
      </c>
      <c r="B367" s="13" t="s">
        <v>43</v>
      </c>
      <c r="C367" s="13" t="s">
        <v>5</v>
      </c>
      <c r="D367" s="13" t="s">
        <v>331</v>
      </c>
      <c r="E367" s="16" t="n">
        <v>979.3075</v>
      </c>
      <c r="F367" s="7" t="n">
        <v>10</v>
      </c>
      <c r="G367" s="5" t="n">
        <v>11800</v>
      </c>
    </row>
    <row r="368" customFormat="false" ht="15" hidden="false" customHeight="false" outlineLevel="0" collapsed="false">
      <c r="A368" s="13" t="s">
        <v>182</v>
      </c>
      <c r="B368" s="13" t="s">
        <v>183</v>
      </c>
      <c r="C368" s="13" t="s">
        <v>3</v>
      </c>
      <c r="D368" s="13" t="s">
        <v>332</v>
      </c>
      <c r="E368" s="16" t="n">
        <v>123.17</v>
      </c>
      <c r="F368" s="7" t="n">
        <v>100</v>
      </c>
      <c r="G368" s="5" t="n">
        <v>11700</v>
      </c>
    </row>
    <row r="369" customFormat="false" ht="15" hidden="false" customHeight="false" outlineLevel="0" collapsed="false">
      <c r="A369" s="13" t="s">
        <v>50</v>
      </c>
      <c r="B369" s="13" t="s">
        <v>43</v>
      </c>
      <c r="C369" s="13" t="s">
        <v>4</v>
      </c>
      <c r="D369" s="13" t="s">
        <v>189</v>
      </c>
      <c r="E369" s="16" t="n">
        <v>829.17</v>
      </c>
      <c r="F369" s="7" t="n">
        <v>10</v>
      </c>
      <c r="G369" s="5" t="n">
        <v>11600</v>
      </c>
    </row>
    <row r="370" customFormat="false" ht="15" hidden="false" customHeight="false" outlineLevel="0" collapsed="false">
      <c r="A370" s="13" t="s">
        <v>186</v>
      </c>
      <c r="B370" s="13" t="s">
        <v>43</v>
      </c>
      <c r="C370" s="13" t="s">
        <v>4</v>
      </c>
      <c r="D370" s="13" t="s">
        <v>333</v>
      </c>
      <c r="E370" s="16" t="n">
        <v>447.197692307692</v>
      </c>
      <c r="F370" s="7" t="n">
        <v>30</v>
      </c>
      <c r="G370" s="5" t="n">
        <v>11600</v>
      </c>
    </row>
    <row r="371" customFormat="false" ht="15" hidden="false" customHeight="false" outlineLevel="0" collapsed="false">
      <c r="A371" s="13" t="s">
        <v>45</v>
      </c>
      <c r="B371" s="13" t="s">
        <v>43</v>
      </c>
      <c r="C371" s="13" t="s">
        <v>5</v>
      </c>
      <c r="D371" s="13" t="s">
        <v>113</v>
      </c>
      <c r="E371" s="16" t="n">
        <v>767</v>
      </c>
      <c r="F371" s="7" t="n">
        <v>20</v>
      </c>
      <c r="G371" s="5" t="n">
        <v>11500</v>
      </c>
    </row>
    <row r="372" customFormat="false" ht="15" hidden="false" customHeight="false" outlineLevel="0" collapsed="false">
      <c r="A372" s="13" t="s">
        <v>42</v>
      </c>
      <c r="B372" s="13" t="s">
        <v>43</v>
      </c>
      <c r="C372" s="13" t="s">
        <v>5</v>
      </c>
      <c r="D372" s="13" t="s">
        <v>334</v>
      </c>
      <c r="E372" s="16" t="n">
        <v>720.90625</v>
      </c>
      <c r="F372" s="7" t="n">
        <v>20</v>
      </c>
      <c r="G372" s="5" t="n">
        <v>11500</v>
      </c>
    </row>
    <row r="373" customFormat="false" ht="15" hidden="false" customHeight="false" outlineLevel="0" collapsed="false">
      <c r="A373" s="13" t="s">
        <v>42</v>
      </c>
      <c r="B373" s="13" t="s">
        <v>43</v>
      </c>
      <c r="C373" s="13" t="s">
        <v>5</v>
      </c>
      <c r="D373" s="13" t="s">
        <v>328</v>
      </c>
      <c r="E373" s="16" t="n">
        <v>673.634117647059</v>
      </c>
      <c r="F373" s="7" t="n">
        <v>20</v>
      </c>
      <c r="G373" s="5" t="n">
        <v>11500</v>
      </c>
    </row>
    <row r="374" customFormat="false" ht="15" hidden="false" customHeight="false" outlineLevel="0" collapsed="false">
      <c r="A374" s="13" t="s">
        <v>335</v>
      </c>
      <c r="B374" s="13" t="s">
        <v>43</v>
      </c>
      <c r="C374" s="13" t="s">
        <v>3</v>
      </c>
      <c r="D374" s="13" t="s">
        <v>336</v>
      </c>
      <c r="E374" s="16" t="n">
        <v>230.96</v>
      </c>
      <c r="F374" s="7" t="n">
        <v>50</v>
      </c>
      <c r="G374" s="5" t="n">
        <v>11500</v>
      </c>
    </row>
    <row r="375" customFormat="false" ht="15" hidden="false" customHeight="false" outlineLevel="0" collapsed="false">
      <c r="A375" s="13" t="s">
        <v>161</v>
      </c>
      <c r="B375" s="13" t="s">
        <v>43</v>
      </c>
      <c r="C375" s="13" t="s">
        <v>4</v>
      </c>
      <c r="D375" s="13" t="s">
        <v>337</v>
      </c>
      <c r="E375" s="16" t="n">
        <v>308.45</v>
      </c>
      <c r="F375" s="7" t="n">
        <v>40</v>
      </c>
      <c r="G375" s="5" t="n">
        <v>11400</v>
      </c>
    </row>
    <row r="376" customFormat="false" ht="15" hidden="false" customHeight="false" outlineLevel="0" collapsed="false">
      <c r="A376" s="13" t="s">
        <v>45</v>
      </c>
      <c r="B376" s="13" t="s">
        <v>43</v>
      </c>
      <c r="C376" s="13" t="s">
        <v>5</v>
      </c>
      <c r="D376" s="13" t="s">
        <v>292</v>
      </c>
      <c r="E376" s="16" t="n">
        <v>673</v>
      </c>
      <c r="F376" s="7" t="n">
        <v>20</v>
      </c>
      <c r="G376" s="5" t="n">
        <v>11400</v>
      </c>
    </row>
    <row r="377" customFormat="false" ht="15" hidden="false" customHeight="false" outlineLevel="0" collapsed="false">
      <c r="A377" s="13" t="s">
        <v>42</v>
      </c>
      <c r="B377" s="13" t="s">
        <v>43</v>
      </c>
      <c r="C377" s="13" t="s">
        <v>4</v>
      </c>
      <c r="D377" s="13" t="s">
        <v>338</v>
      </c>
      <c r="E377" s="16" t="n">
        <v>281.993</v>
      </c>
      <c r="F377" s="7" t="n">
        <v>40</v>
      </c>
      <c r="G377" s="5" t="n">
        <v>11300</v>
      </c>
    </row>
    <row r="378" customFormat="false" ht="15" hidden="false" customHeight="false" outlineLevel="0" collapsed="false">
      <c r="A378" s="13" t="s">
        <v>79</v>
      </c>
      <c r="B378" s="13" t="s">
        <v>43</v>
      </c>
      <c r="C378" s="13" t="s">
        <v>5</v>
      </c>
      <c r="D378" s="13" t="s">
        <v>339</v>
      </c>
      <c r="E378" s="16" t="n">
        <v>364.322580645161</v>
      </c>
      <c r="F378" s="7" t="n">
        <v>30</v>
      </c>
      <c r="G378" s="5" t="n">
        <v>11300</v>
      </c>
    </row>
    <row r="379" customFormat="false" ht="15" hidden="false" customHeight="false" outlineLevel="0" collapsed="false">
      <c r="A379" s="13" t="s">
        <v>105</v>
      </c>
      <c r="B379" s="13" t="s">
        <v>43</v>
      </c>
      <c r="C379" s="13" t="s">
        <v>3</v>
      </c>
      <c r="D379" s="13" t="s">
        <v>340</v>
      </c>
      <c r="E379" s="16" t="n">
        <v>469</v>
      </c>
      <c r="F379" s="7" t="n">
        <v>20</v>
      </c>
      <c r="G379" s="5" t="n">
        <v>11300</v>
      </c>
    </row>
    <row r="380" customFormat="false" ht="15" hidden="false" customHeight="false" outlineLevel="0" collapsed="false">
      <c r="A380" s="13" t="s">
        <v>341</v>
      </c>
      <c r="B380" s="13" t="s">
        <v>43</v>
      </c>
      <c r="C380" s="13" t="s">
        <v>3</v>
      </c>
      <c r="D380" s="13" t="s">
        <v>342</v>
      </c>
      <c r="E380" s="16" t="n">
        <v>103.576759259259</v>
      </c>
      <c r="F380" s="7" t="n">
        <v>110</v>
      </c>
      <c r="G380" s="5" t="n">
        <v>11200</v>
      </c>
    </row>
    <row r="381" customFormat="false" ht="15" hidden="false" customHeight="false" outlineLevel="0" collapsed="false">
      <c r="A381" s="13" t="s">
        <v>79</v>
      </c>
      <c r="B381" s="13" t="s">
        <v>43</v>
      </c>
      <c r="C381" s="13" t="s">
        <v>5</v>
      </c>
      <c r="D381" s="13" t="s">
        <v>343</v>
      </c>
      <c r="E381" s="16" t="n">
        <v>429.72</v>
      </c>
      <c r="F381" s="7" t="n">
        <v>30</v>
      </c>
      <c r="G381" s="5" t="n">
        <v>11200</v>
      </c>
    </row>
    <row r="382" customFormat="false" ht="15" hidden="false" customHeight="false" outlineLevel="0" collapsed="false">
      <c r="A382" s="13" t="s">
        <v>61</v>
      </c>
      <c r="B382" s="13" t="s">
        <v>183</v>
      </c>
      <c r="C382" s="13" t="s">
        <v>5</v>
      </c>
      <c r="D382" s="13" t="s">
        <v>344</v>
      </c>
      <c r="E382" s="16" t="n">
        <v>1112.961</v>
      </c>
      <c r="F382" s="7" t="n">
        <v>5</v>
      </c>
      <c r="G382" s="5" t="n">
        <v>11100</v>
      </c>
    </row>
    <row r="383" customFormat="false" ht="15" hidden="false" customHeight="false" outlineLevel="0" collapsed="false">
      <c r="A383" s="13" t="s">
        <v>42</v>
      </c>
      <c r="B383" s="13" t="s">
        <v>43</v>
      </c>
      <c r="C383" s="13" t="s">
        <v>4</v>
      </c>
      <c r="D383" s="13" t="s">
        <v>345</v>
      </c>
      <c r="E383" s="16" t="n">
        <v>461.565</v>
      </c>
      <c r="F383" s="7" t="n">
        <v>20</v>
      </c>
      <c r="G383" s="5" t="n">
        <v>11100</v>
      </c>
    </row>
    <row r="384" customFormat="false" ht="15" hidden="false" customHeight="false" outlineLevel="0" collapsed="false">
      <c r="A384" s="13" t="s">
        <v>124</v>
      </c>
      <c r="B384" s="13" t="s">
        <v>43</v>
      </c>
      <c r="C384" s="13" t="s">
        <v>5</v>
      </c>
      <c r="D384" s="13" t="s">
        <v>346</v>
      </c>
      <c r="E384" s="16" t="n">
        <v>739.324</v>
      </c>
      <c r="F384" s="7" t="n">
        <v>20</v>
      </c>
      <c r="G384" s="5" t="n">
        <v>11100</v>
      </c>
    </row>
    <row r="385" customFormat="false" ht="15" hidden="false" customHeight="false" outlineLevel="0" collapsed="false">
      <c r="A385" s="13" t="s">
        <v>69</v>
      </c>
      <c r="B385" s="13" t="s">
        <v>43</v>
      </c>
      <c r="C385" s="13" t="s">
        <v>5</v>
      </c>
      <c r="D385" s="13" t="s">
        <v>347</v>
      </c>
      <c r="E385" s="16" t="n">
        <v>847.485384615385</v>
      </c>
      <c r="F385" s="7" t="n">
        <v>10</v>
      </c>
      <c r="G385" s="5" t="n">
        <v>11000</v>
      </c>
    </row>
    <row r="386" customFormat="false" ht="15" hidden="false" customHeight="false" outlineLevel="0" collapsed="false">
      <c r="A386" s="13" t="s">
        <v>42</v>
      </c>
      <c r="B386" s="13" t="s">
        <v>43</v>
      </c>
      <c r="C386" s="13" t="s">
        <v>5</v>
      </c>
      <c r="D386" s="13" t="s">
        <v>348</v>
      </c>
      <c r="E386" s="16" t="n">
        <v>207.62679245283</v>
      </c>
      <c r="F386" s="7" t="n">
        <v>50</v>
      </c>
      <c r="G386" s="5" t="n">
        <v>11000</v>
      </c>
    </row>
    <row r="387" customFormat="false" ht="15" hidden="false" customHeight="false" outlineLevel="0" collapsed="false">
      <c r="A387" s="13" t="s">
        <v>175</v>
      </c>
      <c r="B387" s="13" t="s">
        <v>98</v>
      </c>
      <c r="C387" s="13" t="s">
        <v>3</v>
      </c>
      <c r="D387" s="13" t="s">
        <v>349</v>
      </c>
      <c r="E387" s="16" t="n">
        <v>233.932765957447</v>
      </c>
      <c r="F387" s="7" t="n">
        <v>50</v>
      </c>
      <c r="G387" s="5" t="n">
        <v>11000</v>
      </c>
    </row>
    <row r="388" customFormat="false" ht="15" hidden="false" customHeight="false" outlineLevel="0" collapsed="false">
      <c r="A388" s="13" t="s">
        <v>186</v>
      </c>
      <c r="B388" s="13" t="s">
        <v>43</v>
      </c>
      <c r="C388" s="13" t="s">
        <v>4</v>
      </c>
      <c r="D388" s="13" t="s">
        <v>350</v>
      </c>
      <c r="E388" s="16" t="n">
        <v>497.661363636364</v>
      </c>
      <c r="F388" s="7" t="n">
        <v>20</v>
      </c>
      <c r="G388" s="5" t="n">
        <v>10900</v>
      </c>
    </row>
    <row r="389" customFormat="false" ht="15" hidden="false" customHeight="false" outlineLevel="0" collapsed="false">
      <c r="A389" s="13" t="s">
        <v>42</v>
      </c>
      <c r="B389" s="13" t="s">
        <v>43</v>
      </c>
      <c r="C389" s="13" t="s">
        <v>5</v>
      </c>
      <c r="D389" s="13" t="s">
        <v>351</v>
      </c>
      <c r="E389" s="16" t="n">
        <v>323.636363636364</v>
      </c>
      <c r="F389" s="7" t="n">
        <v>30</v>
      </c>
      <c r="G389" s="5" t="n">
        <v>10700</v>
      </c>
    </row>
    <row r="390" customFormat="false" ht="15" hidden="false" customHeight="false" outlineLevel="0" collapsed="false">
      <c r="A390" s="13" t="s">
        <v>42</v>
      </c>
      <c r="B390" s="13" t="s">
        <v>43</v>
      </c>
      <c r="C390" s="13" t="s">
        <v>4</v>
      </c>
      <c r="D390" s="13" t="s">
        <v>91</v>
      </c>
      <c r="E390" s="16" t="n">
        <v>661.34</v>
      </c>
      <c r="F390" s="7" t="n">
        <v>20</v>
      </c>
      <c r="G390" s="5" t="n">
        <v>10600</v>
      </c>
    </row>
    <row r="391" customFormat="false" ht="15" hidden="false" customHeight="false" outlineLevel="0" collapsed="false">
      <c r="A391" s="13" t="s">
        <v>117</v>
      </c>
      <c r="B391" s="13" t="s">
        <v>98</v>
      </c>
      <c r="C391" s="13" t="s">
        <v>3</v>
      </c>
      <c r="D391" s="13" t="s">
        <v>352</v>
      </c>
      <c r="E391" s="16" t="n">
        <v>815.686923076923</v>
      </c>
      <c r="F391" s="7" t="n">
        <v>10</v>
      </c>
      <c r="G391" s="5" t="n">
        <v>10600</v>
      </c>
    </row>
    <row r="392" customFormat="false" ht="15" hidden="false" customHeight="false" outlineLevel="0" collapsed="false">
      <c r="A392" s="13" t="s">
        <v>42</v>
      </c>
      <c r="B392" s="13" t="s">
        <v>43</v>
      </c>
      <c r="C392" s="13" t="s">
        <v>5</v>
      </c>
      <c r="D392" s="13" t="s">
        <v>353</v>
      </c>
      <c r="E392" s="16" t="n">
        <v>810.669230769231</v>
      </c>
      <c r="F392" s="7" t="n">
        <v>10</v>
      </c>
      <c r="G392" s="5" t="n">
        <v>10500</v>
      </c>
    </row>
    <row r="393" customFormat="false" ht="15" hidden="false" customHeight="false" outlineLevel="0" collapsed="false">
      <c r="A393" s="13" t="s">
        <v>92</v>
      </c>
      <c r="B393" s="13" t="s">
        <v>43</v>
      </c>
      <c r="C393" s="13" t="s">
        <v>4</v>
      </c>
      <c r="D393" s="13" t="s">
        <v>354</v>
      </c>
      <c r="E393" s="16" t="n">
        <v>457.995217391304</v>
      </c>
      <c r="F393" s="7" t="n">
        <v>20</v>
      </c>
      <c r="G393" s="5" t="n">
        <v>10500</v>
      </c>
    </row>
    <row r="394" customFormat="false" ht="15" hidden="false" customHeight="false" outlineLevel="0" collapsed="false">
      <c r="A394" s="13" t="s">
        <v>42</v>
      </c>
      <c r="B394" s="13" t="s">
        <v>43</v>
      </c>
      <c r="C394" s="13" t="s">
        <v>4</v>
      </c>
      <c r="D394" s="13" t="s">
        <v>44</v>
      </c>
      <c r="E394" s="16" t="n">
        <v>456.72</v>
      </c>
      <c r="F394" s="7" t="n">
        <v>20</v>
      </c>
      <c r="G394" s="5" t="n">
        <v>10500</v>
      </c>
    </row>
    <row r="395" customFormat="false" ht="15" hidden="false" customHeight="false" outlineLevel="0" collapsed="false">
      <c r="A395" s="13" t="s">
        <v>128</v>
      </c>
      <c r="B395" s="13" t="s">
        <v>129</v>
      </c>
      <c r="C395" s="13" t="s">
        <v>3</v>
      </c>
      <c r="D395" s="13" t="s">
        <v>355</v>
      </c>
      <c r="E395" s="16" t="n">
        <v>72.6361111111111</v>
      </c>
      <c r="F395" s="7" t="n">
        <v>140</v>
      </c>
      <c r="G395" s="5" t="n">
        <v>10500</v>
      </c>
    </row>
    <row r="396" customFormat="false" ht="15" hidden="false" customHeight="false" outlineLevel="0" collapsed="false">
      <c r="A396" s="13" t="s">
        <v>97</v>
      </c>
      <c r="B396" s="13" t="s">
        <v>98</v>
      </c>
      <c r="C396" s="13" t="s">
        <v>3</v>
      </c>
      <c r="D396" s="13" t="s">
        <v>99</v>
      </c>
      <c r="E396" s="16" t="n">
        <v>100.132857142857</v>
      </c>
      <c r="F396" s="7" t="n">
        <v>100</v>
      </c>
      <c r="G396" s="5" t="n">
        <v>10500</v>
      </c>
    </row>
    <row r="397" customFormat="false" ht="15" hidden="false" customHeight="false" outlineLevel="0" collapsed="false">
      <c r="A397" s="13" t="s">
        <v>42</v>
      </c>
      <c r="B397" s="13" t="s">
        <v>43</v>
      </c>
      <c r="C397" s="13" t="s">
        <v>5</v>
      </c>
      <c r="D397" s="13" t="s">
        <v>356</v>
      </c>
      <c r="E397" s="16" t="n">
        <v>648.1425</v>
      </c>
      <c r="F397" s="7" t="n">
        <v>20</v>
      </c>
      <c r="G397" s="5" t="n">
        <v>10400</v>
      </c>
    </row>
    <row r="398" customFormat="false" ht="15" hidden="false" customHeight="false" outlineLevel="0" collapsed="false">
      <c r="A398" s="13" t="s">
        <v>42</v>
      </c>
      <c r="B398" s="13" t="s">
        <v>43</v>
      </c>
      <c r="C398" s="13" t="s">
        <v>4</v>
      </c>
      <c r="D398" s="13" t="s">
        <v>296</v>
      </c>
      <c r="E398" s="16" t="n">
        <v>647.66</v>
      </c>
      <c r="F398" s="7" t="n">
        <v>20</v>
      </c>
      <c r="G398" s="5" t="n">
        <v>10400</v>
      </c>
    </row>
    <row r="399" customFormat="false" ht="15" hidden="false" customHeight="false" outlineLevel="0" collapsed="false">
      <c r="A399" s="13" t="s">
        <v>61</v>
      </c>
      <c r="B399" s="13" t="s">
        <v>43</v>
      </c>
      <c r="C399" s="13" t="s">
        <v>5</v>
      </c>
      <c r="D399" s="13" t="s">
        <v>245</v>
      </c>
      <c r="E399" s="16" t="n">
        <v>297</v>
      </c>
      <c r="F399" s="7" t="n">
        <v>40</v>
      </c>
      <c r="G399" s="5" t="n">
        <v>10400</v>
      </c>
    </row>
    <row r="400" customFormat="false" ht="15" hidden="false" customHeight="false" outlineLevel="0" collapsed="false">
      <c r="A400" s="13" t="s">
        <v>72</v>
      </c>
      <c r="B400" s="13" t="s">
        <v>43</v>
      </c>
      <c r="C400" s="13" t="s">
        <v>5</v>
      </c>
      <c r="D400" s="13" t="s">
        <v>357</v>
      </c>
      <c r="E400" s="16" t="n">
        <v>744.878571428571</v>
      </c>
      <c r="F400" s="7" t="n">
        <v>10</v>
      </c>
      <c r="G400" s="5" t="n">
        <v>10400</v>
      </c>
    </row>
    <row r="401" customFormat="false" ht="15" hidden="false" customHeight="false" outlineLevel="0" collapsed="false">
      <c r="A401" s="13" t="s">
        <v>42</v>
      </c>
      <c r="B401" s="13" t="s">
        <v>43</v>
      </c>
      <c r="C401" s="13" t="s">
        <v>4</v>
      </c>
      <c r="D401" s="13" t="s">
        <v>358</v>
      </c>
      <c r="E401" s="16" t="n">
        <v>571.12</v>
      </c>
      <c r="F401" s="7" t="n">
        <v>20</v>
      </c>
      <c r="G401" s="5" t="n">
        <v>10300</v>
      </c>
    </row>
    <row r="402" customFormat="false" ht="15" hidden="false" customHeight="false" outlineLevel="0" collapsed="false">
      <c r="A402" s="13" t="s">
        <v>92</v>
      </c>
      <c r="B402" s="13" t="s">
        <v>43</v>
      </c>
      <c r="C402" s="13" t="s">
        <v>3</v>
      </c>
      <c r="D402" s="13" t="s">
        <v>359</v>
      </c>
      <c r="E402" s="16" t="n">
        <v>355.426551724138</v>
      </c>
      <c r="F402" s="7" t="n">
        <v>30</v>
      </c>
      <c r="G402" s="5" t="n">
        <v>10300</v>
      </c>
    </row>
    <row r="403" customFormat="false" ht="15" hidden="false" customHeight="false" outlineLevel="0" collapsed="false">
      <c r="A403" s="13" t="s">
        <v>195</v>
      </c>
      <c r="B403" s="13" t="s">
        <v>43</v>
      </c>
      <c r="C403" s="13" t="s">
        <v>5</v>
      </c>
      <c r="D403" s="13" t="s">
        <v>360</v>
      </c>
      <c r="E403" s="16" t="n">
        <v>365.357142857143</v>
      </c>
      <c r="F403" s="7" t="n">
        <v>30</v>
      </c>
      <c r="G403" s="5" t="n">
        <v>10200</v>
      </c>
    </row>
    <row r="404" customFormat="false" ht="15" hidden="false" customHeight="false" outlineLevel="0" collapsed="false">
      <c r="A404" s="13" t="s">
        <v>186</v>
      </c>
      <c r="B404" s="13" t="s">
        <v>43</v>
      </c>
      <c r="C404" s="13" t="s">
        <v>4</v>
      </c>
      <c r="D404" s="13" t="s">
        <v>361</v>
      </c>
      <c r="E404" s="16" t="n">
        <v>508.0015</v>
      </c>
      <c r="F404" s="7" t="n">
        <v>20</v>
      </c>
      <c r="G404" s="5" t="n">
        <v>10200</v>
      </c>
    </row>
    <row r="405" customFormat="false" ht="15" hidden="false" customHeight="false" outlineLevel="0" collapsed="false">
      <c r="A405" s="13" t="s">
        <v>362</v>
      </c>
      <c r="B405" s="13" t="s">
        <v>43</v>
      </c>
      <c r="C405" s="13" t="s">
        <v>4</v>
      </c>
      <c r="D405" s="13" t="s">
        <v>363</v>
      </c>
      <c r="E405" s="16" t="n">
        <v>671.778666666667</v>
      </c>
      <c r="F405" s="7" t="n">
        <v>20</v>
      </c>
      <c r="G405" s="5" t="n">
        <v>10100</v>
      </c>
    </row>
    <row r="406" customFormat="false" ht="15" hidden="false" customHeight="false" outlineLevel="0" collapsed="false">
      <c r="A406" s="13" t="s">
        <v>302</v>
      </c>
      <c r="B406" s="13" t="s">
        <v>43</v>
      </c>
      <c r="C406" s="13" t="s">
        <v>3</v>
      </c>
      <c r="D406" s="13" t="s">
        <v>364</v>
      </c>
      <c r="E406" s="16" t="n">
        <v>529.99</v>
      </c>
      <c r="F406" s="7" t="n">
        <v>20</v>
      </c>
      <c r="G406" s="5" t="n">
        <v>10100</v>
      </c>
    </row>
    <row r="407" customFormat="false" ht="15" hidden="false" customHeight="false" outlineLevel="0" collapsed="false">
      <c r="A407" s="13" t="s">
        <v>155</v>
      </c>
      <c r="B407" s="13" t="s">
        <v>43</v>
      </c>
      <c r="C407" s="13" t="s">
        <v>3</v>
      </c>
      <c r="D407" s="13" t="s">
        <v>156</v>
      </c>
      <c r="E407" s="16" t="n">
        <v>95.2947619047619</v>
      </c>
      <c r="F407" s="7" t="n">
        <v>100</v>
      </c>
      <c r="G407" s="5" t="n">
        <v>10000</v>
      </c>
    </row>
    <row r="408" customFormat="false" ht="15" hidden="false" customHeight="false" outlineLevel="0" collapsed="false">
      <c r="A408" s="13" t="s">
        <v>42</v>
      </c>
      <c r="B408" s="13" t="s">
        <v>43</v>
      </c>
      <c r="C408" s="13" t="s">
        <v>5</v>
      </c>
      <c r="D408" s="13" t="s">
        <v>351</v>
      </c>
      <c r="E408" s="16" t="n">
        <v>712.039285714286</v>
      </c>
      <c r="F408" s="7" t="n">
        <v>10</v>
      </c>
      <c r="G408" s="5" t="n">
        <v>10000</v>
      </c>
    </row>
    <row r="409" customFormat="false" ht="15" hidden="false" customHeight="false" outlineLevel="0" collapsed="false">
      <c r="A409" s="13" t="s">
        <v>365</v>
      </c>
      <c r="B409" s="13" t="s">
        <v>43</v>
      </c>
      <c r="C409" s="13" t="s">
        <v>3</v>
      </c>
      <c r="D409" s="13" t="s">
        <v>366</v>
      </c>
      <c r="E409" s="16" t="n">
        <v>369.628888888889</v>
      </c>
      <c r="F409" s="7" t="n">
        <v>30</v>
      </c>
      <c r="G409" s="5" t="n">
        <v>10000</v>
      </c>
    </row>
    <row r="410" customFormat="false" ht="15" hidden="false" customHeight="false" outlineLevel="0" collapsed="false">
      <c r="A410" s="13" t="s">
        <v>161</v>
      </c>
      <c r="B410" s="13" t="s">
        <v>43</v>
      </c>
      <c r="C410" s="13" t="s">
        <v>4</v>
      </c>
      <c r="D410" s="13" t="s">
        <v>171</v>
      </c>
      <c r="E410" s="16" t="n">
        <v>269.658108108108</v>
      </c>
      <c r="F410" s="7" t="n">
        <v>40</v>
      </c>
      <c r="G410" s="5" t="n">
        <v>10000</v>
      </c>
    </row>
    <row r="411" customFormat="false" ht="15" hidden="false" customHeight="false" outlineLevel="0" collapsed="false">
      <c r="A411" s="13" t="s">
        <v>42</v>
      </c>
      <c r="B411" s="13" t="s">
        <v>43</v>
      </c>
      <c r="C411" s="13" t="s">
        <v>5</v>
      </c>
      <c r="D411" s="13" t="s">
        <v>367</v>
      </c>
      <c r="E411" s="16" t="n">
        <v>628.095</v>
      </c>
      <c r="F411" s="7" t="n">
        <v>20</v>
      </c>
      <c r="G411" s="5" t="n">
        <v>10000</v>
      </c>
    </row>
    <row r="412" customFormat="false" ht="15" hidden="false" customHeight="false" outlineLevel="0" collapsed="false">
      <c r="A412" s="13" t="s">
        <v>50</v>
      </c>
      <c r="B412" s="13" t="s">
        <v>43</v>
      </c>
      <c r="C412" s="13" t="s">
        <v>5</v>
      </c>
      <c r="D412" s="13" t="s">
        <v>110</v>
      </c>
      <c r="E412" s="16" t="n">
        <v>703.599285714286</v>
      </c>
      <c r="F412" s="7" t="n">
        <v>10</v>
      </c>
      <c r="G412" s="5" t="n">
        <v>9900</v>
      </c>
    </row>
    <row r="413" customFormat="false" ht="15" hidden="false" customHeight="false" outlineLevel="0" collapsed="false">
      <c r="A413" s="13" t="s">
        <v>45</v>
      </c>
      <c r="B413" s="13" t="s">
        <v>43</v>
      </c>
      <c r="C413" s="13" t="s">
        <v>5</v>
      </c>
      <c r="D413" s="13" t="s">
        <v>368</v>
      </c>
      <c r="E413" s="16" t="n">
        <v>707.761428571429</v>
      </c>
      <c r="F413" s="7" t="n">
        <v>10</v>
      </c>
      <c r="G413" s="5" t="n">
        <v>9900</v>
      </c>
    </row>
    <row r="414" customFormat="false" ht="15" hidden="false" customHeight="false" outlineLevel="0" collapsed="false">
      <c r="A414" s="13" t="s">
        <v>45</v>
      </c>
      <c r="B414" s="13" t="s">
        <v>43</v>
      </c>
      <c r="C414" s="13" t="s">
        <v>4</v>
      </c>
      <c r="D414" s="13" t="s">
        <v>49</v>
      </c>
      <c r="E414" s="16" t="n">
        <v>900.859090909091</v>
      </c>
      <c r="F414" s="7" t="n">
        <v>10</v>
      </c>
      <c r="G414" s="5" t="n">
        <v>9900</v>
      </c>
    </row>
    <row r="415" customFormat="false" ht="15" hidden="false" customHeight="false" outlineLevel="0" collapsed="false">
      <c r="A415" s="13" t="s">
        <v>42</v>
      </c>
      <c r="B415" s="13" t="s">
        <v>43</v>
      </c>
      <c r="C415" s="13" t="s">
        <v>5</v>
      </c>
      <c r="D415" s="13" t="s">
        <v>242</v>
      </c>
      <c r="E415" s="16" t="n">
        <v>658.398</v>
      </c>
      <c r="F415" s="7" t="n">
        <v>20</v>
      </c>
      <c r="G415" s="5" t="n">
        <v>9900</v>
      </c>
    </row>
    <row r="416" customFormat="false" ht="15" hidden="false" customHeight="false" outlineLevel="0" collapsed="false">
      <c r="A416" s="13" t="s">
        <v>69</v>
      </c>
      <c r="B416" s="13" t="s">
        <v>43</v>
      </c>
      <c r="C416" s="13" t="s">
        <v>4</v>
      </c>
      <c r="D416" s="13" t="s">
        <v>369</v>
      </c>
      <c r="E416" s="16" t="n">
        <v>983.956</v>
      </c>
      <c r="F416" s="7" t="n">
        <v>5</v>
      </c>
      <c r="G416" s="5" t="n">
        <v>9800</v>
      </c>
    </row>
    <row r="417" customFormat="false" ht="15" hidden="false" customHeight="false" outlineLevel="0" collapsed="false">
      <c r="A417" s="13" t="s">
        <v>124</v>
      </c>
      <c r="B417" s="13" t="s">
        <v>43</v>
      </c>
      <c r="C417" s="13" t="s">
        <v>5</v>
      </c>
      <c r="D417" s="13" t="s">
        <v>370</v>
      </c>
      <c r="E417" s="16" t="n">
        <v>576.105294117647</v>
      </c>
      <c r="F417" s="7" t="n">
        <v>20</v>
      </c>
      <c r="G417" s="5" t="n">
        <v>9800</v>
      </c>
    </row>
    <row r="418" customFormat="false" ht="15" hidden="false" customHeight="false" outlineLevel="0" collapsed="false">
      <c r="A418" s="13" t="s">
        <v>50</v>
      </c>
      <c r="B418" s="13" t="s">
        <v>43</v>
      </c>
      <c r="C418" s="13" t="s">
        <v>5</v>
      </c>
      <c r="D418" s="13" t="s">
        <v>371</v>
      </c>
      <c r="E418" s="16" t="n">
        <v>692.325714285714</v>
      </c>
      <c r="F418" s="7" t="n">
        <v>10</v>
      </c>
      <c r="G418" s="5" t="n">
        <v>9700</v>
      </c>
    </row>
    <row r="419" customFormat="false" ht="15" hidden="false" customHeight="false" outlineLevel="0" collapsed="false">
      <c r="A419" s="13" t="s">
        <v>302</v>
      </c>
      <c r="B419" s="13" t="s">
        <v>43</v>
      </c>
      <c r="C419" s="13" t="s">
        <v>3</v>
      </c>
      <c r="D419" s="13" t="s">
        <v>372</v>
      </c>
      <c r="E419" s="16" t="n">
        <v>604.665625</v>
      </c>
      <c r="F419" s="7" t="n">
        <v>20</v>
      </c>
      <c r="G419" s="5" t="n">
        <v>9700</v>
      </c>
    </row>
    <row r="420" customFormat="false" ht="15" hidden="false" customHeight="false" outlineLevel="0" collapsed="false">
      <c r="A420" s="13" t="s">
        <v>42</v>
      </c>
      <c r="B420" s="13" t="s">
        <v>43</v>
      </c>
      <c r="C420" s="13" t="s">
        <v>4</v>
      </c>
      <c r="D420" s="13" t="s">
        <v>213</v>
      </c>
      <c r="E420" s="16" t="n">
        <v>735.08</v>
      </c>
      <c r="F420" s="7" t="n">
        <v>10</v>
      </c>
      <c r="G420" s="5" t="n">
        <v>9600</v>
      </c>
    </row>
    <row r="421" customFormat="false" ht="15" hidden="false" customHeight="false" outlineLevel="0" collapsed="false">
      <c r="A421" s="13" t="s">
        <v>186</v>
      </c>
      <c r="B421" s="13" t="s">
        <v>43</v>
      </c>
      <c r="C421" s="13" t="s">
        <v>3</v>
      </c>
      <c r="D421" s="13" t="s">
        <v>373</v>
      </c>
      <c r="E421" s="16" t="n">
        <v>192.6596</v>
      </c>
      <c r="F421" s="7" t="n">
        <v>50</v>
      </c>
      <c r="G421" s="5" t="n">
        <v>9600</v>
      </c>
    </row>
    <row r="422" customFormat="false" ht="15" hidden="false" customHeight="false" outlineLevel="0" collapsed="false">
      <c r="A422" s="13" t="s">
        <v>61</v>
      </c>
      <c r="B422" s="13" t="s">
        <v>43</v>
      </c>
      <c r="C422" s="13" t="s">
        <v>5</v>
      </c>
      <c r="D422" s="13" t="s">
        <v>231</v>
      </c>
      <c r="E422" s="16" t="n">
        <v>365</v>
      </c>
      <c r="F422" s="7" t="n">
        <v>30</v>
      </c>
      <c r="G422" s="5" t="n">
        <v>9500</v>
      </c>
    </row>
    <row r="423" customFormat="false" ht="15" hidden="false" customHeight="false" outlineLevel="0" collapsed="false">
      <c r="A423" s="13" t="s">
        <v>45</v>
      </c>
      <c r="B423" s="13" t="s">
        <v>43</v>
      </c>
      <c r="C423" s="13" t="s">
        <v>4</v>
      </c>
      <c r="D423" s="13" t="s">
        <v>113</v>
      </c>
      <c r="E423" s="16" t="n">
        <v>789.65</v>
      </c>
      <c r="F423" s="7" t="n">
        <v>10</v>
      </c>
      <c r="G423" s="5" t="n">
        <v>9500</v>
      </c>
    </row>
    <row r="424" customFormat="false" ht="15" hidden="false" customHeight="false" outlineLevel="0" collapsed="false">
      <c r="A424" s="13" t="s">
        <v>42</v>
      </c>
      <c r="B424" s="13" t="s">
        <v>43</v>
      </c>
      <c r="C424" s="13" t="s">
        <v>4</v>
      </c>
      <c r="D424" s="13" t="s">
        <v>374</v>
      </c>
      <c r="E424" s="16" t="n">
        <v>730.14</v>
      </c>
      <c r="F424" s="7" t="n">
        <v>10</v>
      </c>
      <c r="G424" s="5" t="n">
        <v>9500</v>
      </c>
    </row>
    <row r="425" customFormat="false" ht="15" hidden="false" customHeight="false" outlineLevel="0" collapsed="false">
      <c r="A425" s="13" t="s">
        <v>45</v>
      </c>
      <c r="B425" s="13" t="s">
        <v>43</v>
      </c>
      <c r="C425" s="13" t="s">
        <v>5</v>
      </c>
      <c r="D425" s="13" t="s">
        <v>101</v>
      </c>
      <c r="E425" s="16" t="n">
        <v>680.735</v>
      </c>
      <c r="F425" s="7" t="n">
        <v>10</v>
      </c>
      <c r="G425" s="5" t="n">
        <v>9500</v>
      </c>
    </row>
    <row r="426" customFormat="false" ht="15" hidden="false" customHeight="false" outlineLevel="0" collapsed="false">
      <c r="A426" s="13" t="s">
        <v>111</v>
      </c>
      <c r="B426" s="13" t="s">
        <v>43</v>
      </c>
      <c r="C426" s="13" t="s">
        <v>3</v>
      </c>
      <c r="D426" s="13" t="s">
        <v>375</v>
      </c>
      <c r="E426" s="16" t="n">
        <v>392.495416666667</v>
      </c>
      <c r="F426" s="7" t="n">
        <v>20</v>
      </c>
      <c r="G426" s="5" t="n">
        <v>9400</v>
      </c>
    </row>
    <row r="427" customFormat="false" ht="15" hidden="false" customHeight="false" outlineLevel="0" collapsed="false">
      <c r="A427" s="13" t="s">
        <v>335</v>
      </c>
      <c r="B427" s="13" t="s">
        <v>43</v>
      </c>
      <c r="C427" s="13" t="s">
        <v>3</v>
      </c>
      <c r="D427" s="13" t="s">
        <v>376</v>
      </c>
      <c r="E427" s="16" t="n">
        <v>109.104069767442</v>
      </c>
      <c r="F427" s="7" t="n">
        <v>90</v>
      </c>
      <c r="G427" s="5" t="n">
        <v>9400</v>
      </c>
    </row>
    <row r="428" customFormat="false" ht="15" hidden="false" customHeight="false" outlineLevel="0" collapsed="false">
      <c r="A428" s="13" t="s">
        <v>229</v>
      </c>
      <c r="B428" s="13" t="s">
        <v>43</v>
      </c>
      <c r="C428" s="13" t="s">
        <v>3</v>
      </c>
      <c r="D428" s="13" t="s">
        <v>377</v>
      </c>
      <c r="E428" s="16" t="n">
        <v>145</v>
      </c>
      <c r="F428" s="7" t="n">
        <v>60</v>
      </c>
      <c r="G428" s="5" t="n">
        <v>9400</v>
      </c>
    </row>
    <row r="429" customFormat="false" ht="15" hidden="false" customHeight="false" outlineLevel="0" collapsed="false">
      <c r="A429" s="13" t="s">
        <v>50</v>
      </c>
      <c r="B429" s="13" t="s">
        <v>43</v>
      </c>
      <c r="C429" s="13" t="s">
        <v>4</v>
      </c>
      <c r="D429" s="13" t="s">
        <v>378</v>
      </c>
      <c r="E429" s="16" t="n">
        <v>712.94</v>
      </c>
      <c r="F429" s="7" t="n">
        <v>10</v>
      </c>
      <c r="G429" s="5" t="n">
        <v>9300</v>
      </c>
    </row>
    <row r="430" customFormat="false" ht="15" hidden="false" customHeight="false" outlineLevel="0" collapsed="false">
      <c r="A430" s="13" t="s">
        <v>193</v>
      </c>
      <c r="B430" s="13" t="s">
        <v>43</v>
      </c>
      <c r="C430" s="13" t="s">
        <v>5</v>
      </c>
      <c r="D430" s="13" t="s">
        <v>379</v>
      </c>
      <c r="E430" s="16" t="n">
        <v>581.9</v>
      </c>
      <c r="F430" s="7" t="n">
        <v>20</v>
      </c>
      <c r="G430" s="5" t="n">
        <v>9300</v>
      </c>
    </row>
    <row r="431" customFormat="false" ht="15" hidden="false" customHeight="false" outlineLevel="0" collapsed="false">
      <c r="A431" s="13" t="s">
        <v>182</v>
      </c>
      <c r="B431" s="13" t="s">
        <v>183</v>
      </c>
      <c r="C431" s="13" t="s">
        <v>3</v>
      </c>
      <c r="D431" s="13" t="s">
        <v>380</v>
      </c>
      <c r="E431" s="16" t="n">
        <v>166.530178571429</v>
      </c>
      <c r="F431" s="7" t="n">
        <v>60</v>
      </c>
      <c r="G431" s="5" t="n">
        <v>9300</v>
      </c>
    </row>
    <row r="432" customFormat="false" ht="15" hidden="false" customHeight="false" outlineLevel="0" collapsed="false">
      <c r="A432" s="13" t="s">
        <v>191</v>
      </c>
      <c r="B432" s="13" t="s">
        <v>183</v>
      </c>
      <c r="C432" s="13" t="s">
        <v>3</v>
      </c>
      <c r="D432" s="13" t="s">
        <v>381</v>
      </c>
      <c r="E432" s="16" t="n">
        <v>131.39985915493</v>
      </c>
      <c r="F432" s="7" t="n">
        <v>70</v>
      </c>
      <c r="G432" s="5" t="n">
        <v>9300</v>
      </c>
    </row>
    <row r="433" customFormat="false" ht="15" hidden="false" customHeight="false" outlineLevel="0" collapsed="false">
      <c r="A433" s="13" t="s">
        <v>50</v>
      </c>
      <c r="B433" s="13" t="s">
        <v>43</v>
      </c>
      <c r="C433" s="13" t="s">
        <v>4</v>
      </c>
      <c r="D433" s="13" t="s">
        <v>189</v>
      </c>
      <c r="E433" s="16" t="n">
        <v>715.17</v>
      </c>
      <c r="F433" s="7" t="n">
        <v>10</v>
      </c>
      <c r="G433" s="5" t="n">
        <v>9300</v>
      </c>
    </row>
    <row r="434" customFormat="false" ht="15" hidden="false" customHeight="false" outlineLevel="0" collapsed="false">
      <c r="A434" s="13" t="s">
        <v>50</v>
      </c>
      <c r="B434" s="13" t="s">
        <v>43</v>
      </c>
      <c r="C434" s="13" t="s">
        <v>5</v>
      </c>
      <c r="D434" s="13" t="s">
        <v>382</v>
      </c>
      <c r="E434" s="16" t="n">
        <v>664.919285714286</v>
      </c>
      <c r="F434" s="7" t="n">
        <v>10</v>
      </c>
      <c r="G434" s="5" t="n">
        <v>9300</v>
      </c>
    </row>
    <row r="435" customFormat="false" ht="15" hidden="false" customHeight="false" outlineLevel="0" collapsed="false">
      <c r="A435" s="13" t="s">
        <v>69</v>
      </c>
      <c r="B435" s="13" t="s">
        <v>43</v>
      </c>
      <c r="C435" s="13" t="s">
        <v>5</v>
      </c>
      <c r="D435" s="13" t="s">
        <v>383</v>
      </c>
      <c r="E435" s="16" t="n">
        <v>714.666923076923</v>
      </c>
      <c r="F435" s="7" t="n">
        <v>10</v>
      </c>
      <c r="G435" s="5" t="n">
        <v>9300</v>
      </c>
    </row>
    <row r="436" customFormat="false" ht="15" hidden="false" customHeight="false" outlineLevel="0" collapsed="false">
      <c r="A436" s="13" t="s">
        <v>329</v>
      </c>
      <c r="B436" s="13" t="s">
        <v>43</v>
      </c>
      <c r="C436" s="13" t="s">
        <v>5</v>
      </c>
      <c r="D436" s="13" t="s">
        <v>384</v>
      </c>
      <c r="E436" s="16" t="n">
        <v>272.138823529412</v>
      </c>
      <c r="F436" s="7" t="n">
        <v>30</v>
      </c>
      <c r="G436" s="5" t="n">
        <v>9300</v>
      </c>
    </row>
    <row r="437" customFormat="false" ht="15" hidden="false" customHeight="false" outlineLevel="0" collapsed="false">
      <c r="A437" s="13" t="s">
        <v>50</v>
      </c>
      <c r="B437" s="13" t="s">
        <v>43</v>
      </c>
      <c r="C437" s="13" t="s">
        <v>5</v>
      </c>
      <c r="D437" s="13" t="s">
        <v>385</v>
      </c>
      <c r="E437" s="16" t="n">
        <v>660.879285714286</v>
      </c>
      <c r="F437" s="7" t="n">
        <v>10</v>
      </c>
      <c r="G437" s="5" t="n">
        <v>9300</v>
      </c>
    </row>
    <row r="438" customFormat="false" ht="15" hidden="false" customHeight="false" outlineLevel="0" collapsed="false">
      <c r="A438" s="13" t="s">
        <v>79</v>
      </c>
      <c r="B438" s="13" t="s">
        <v>43</v>
      </c>
      <c r="C438" s="13" t="s">
        <v>4</v>
      </c>
      <c r="D438" s="13" t="s">
        <v>386</v>
      </c>
      <c r="E438" s="16" t="n">
        <v>488.863684210526</v>
      </c>
      <c r="F438" s="7" t="n">
        <v>20</v>
      </c>
      <c r="G438" s="5" t="n">
        <v>9300</v>
      </c>
    </row>
    <row r="439" customFormat="false" ht="15" hidden="false" customHeight="false" outlineLevel="0" collapsed="false">
      <c r="A439" s="13" t="s">
        <v>365</v>
      </c>
      <c r="B439" s="13" t="s">
        <v>43</v>
      </c>
      <c r="C439" s="13" t="s">
        <v>3</v>
      </c>
      <c r="D439" s="13" t="s">
        <v>387</v>
      </c>
      <c r="E439" s="16" t="n">
        <v>327.2425</v>
      </c>
      <c r="F439" s="7" t="n">
        <v>30</v>
      </c>
      <c r="G439" s="5" t="n">
        <v>9200</v>
      </c>
    </row>
    <row r="440" customFormat="false" ht="15" hidden="false" customHeight="false" outlineLevel="0" collapsed="false">
      <c r="A440" s="13" t="s">
        <v>126</v>
      </c>
      <c r="B440" s="13" t="s">
        <v>43</v>
      </c>
      <c r="C440" s="13" t="s">
        <v>4</v>
      </c>
      <c r="D440" s="13" t="s">
        <v>388</v>
      </c>
      <c r="E440" s="16" t="n">
        <v>186.993673469388</v>
      </c>
      <c r="F440" s="7" t="n">
        <v>50</v>
      </c>
      <c r="G440" s="5" t="n">
        <v>9200</v>
      </c>
    </row>
    <row r="441" customFormat="false" ht="15" hidden="false" customHeight="false" outlineLevel="0" collapsed="false">
      <c r="A441" s="13" t="s">
        <v>42</v>
      </c>
      <c r="B441" s="13" t="s">
        <v>43</v>
      </c>
      <c r="C441" s="13" t="s">
        <v>5</v>
      </c>
      <c r="D441" s="13" t="s">
        <v>389</v>
      </c>
      <c r="E441" s="16" t="n">
        <v>223.532195121951</v>
      </c>
      <c r="F441" s="7" t="n">
        <v>40</v>
      </c>
      <c r="G441" s="5" t="n">
        <v>9200</v>
      </c>
    </row>
    <row r="442" customFormat="false" ht="15" hidden="false" customHeight="false" outlineLevel="0" collapsed="false">
      <c r="A442" s="13" t="s">
        <v>139</v>
      </c>
      <c r="B442" s="13" t="s">
        <v>140</v>
      </c>
      <c r="C442" s="13" t="s">
        <v>3</v>
      </c>
      <c r="D442" s="13" t="s">
        <v>390</v>
      </c>
      <c r="E442" s="16" t="n">
        <v>209.9</v>
      </c>
      <c r="F442" s="7" t="n">
        <v>40</v>
      </c>
      <c r="G442" s="5" t="n">
        <v>9200</v>
      </c>
    </row>
    <row r="443" customFormat="false" ht="15" hidden="false" customHeight="false" outlineLevel="0" collapsed="false">
      <c r="A443" s="13" t="s">
        <v>87</v>
      </c>
      <c r="B443" s="13" t="s">
        <v>85</v>
      </c>
      <c r="C443" s="13" t="s">
        <v>3</v>
      </c>
      <c r="D443" s="13" t="s">
        <v>391</v>
      </c>
      <c r="E443" s="16" t="n">
        <v>127.51375</v>
      </c>
      <c r="F443" s="7" t="n">
        <v>70</v>
      </c>
      <c r="G443" s="5" t="n">
        <v>9200</v>
      </c>
    </row>
    <row r="444" customFormat="false" ht="15" hidden="false" customHeight="false" outlineLevel="0" collapsed="false">
      <c r="A444" s="13" t="s">
        <v>54</v>
      </c>
      <c r="B444" s="13" t="s">
        <v>43</v>
      </c>
      <c r="C444" s="13" t="s">
        <v>5</v>
      </c>
      <c r="D444" s="13" t="s">
        <v>392</v>
      </c>
      <c r="E444" s="16" t="n">
        <v>286.07</v>
      </c>
      <c r="F444" s="7" t="n">
        <v>30</v>
      </c>
      <c r="G444" s="5" t="n">
        <v>9200</v>
      </c>
    </row>
    <row r="445" customFormat="false" ht="15" hidden="false" customHeight="false" outlineLevel="0" collapsed="false">
      <c r="A445" s="13" t="s">
        <v>45</v>
      </c>
      <c r="B445" s="13" t="s">
        <v>43</v>
      </c>
      <c r="C445" s="13" t="s">
        <v>4</v>
      </c>
      <c r="D445" s="13" t="s">
        <v>113</v>
      </c>
      <c r="E445" s="16" t="n">
        <v>824.25</v>
      </c>
      <c r="F445" s="7" t="n">
        <v>10</v>
      </c>
      <c r="G445" s="5" t="n">
        <v>9100</v>
      </c>
    </row>
    <row r="446" customFormat="false" ht="15" hidden="false" customHeight="false" outlineLevel="0" collapsed="false">
      <c r="A446" s="13" t="s">
        <v>42</v>
      </c>
      <c r="B446" s="13" t="s">
        <v>43</v>
      </c>
      <c r="C446" s="13" t="s">
        <v>5</v>
      </c>
      <c r="D446" s="13" t="s">
        <v>393</v>
      </c>
      <c r="E446" s="16" t="n">
        <v>756.203333333333</v>
      </c>
      <c r="F446" s="7" t="n">
        <v>10</v>
      </c>
      <c r="G446" s="5" t="n">
        <v>9100</v>
      </c>
    </row>
    <row r="447" customFormat="false" ht="15" hidden="false" customHeight="false" outlineLevel="0" collapsed="false">
      <c r="A447" s="13" t="s">
        <v>105</v>
      </c>
      <c r="B447" s="13" t="s">
        <v>43</v>
      </c>
      <c r="C447" s="13" t="s">
        <v>5</v>
      </c>
      <c r="D447" s="13" t="s">
        <v>394</v>
      </c>
      <c r="E447" s="16" t="n">
        <v>536</v>
      </c>
      <c r="F447" s="7" t="n">
        <v>20</v>
      </c>
      <c r="G447" s="5" t="n">
        <v>9100</v>
      </c>
    </row>
    <row r="448" customFormat="false" ht="15" hidden="false" customHeight="false" outlineLevel="0" collapsed="false">
      <c r="A448" s="13" t="s">
        <v>42</v>
      </c>
      <c r="B448" s="13" t="s">
        <v>43</v>
      </c>
      <c r="C448" s="13" t="s">
        <v>4</v>
      </c>
      <c r="D448" s="13" t="s">
        <v>395</v>
      </c>
      <c r="E448" s="16" t="n">
        <v>642.93</v>
      </c>
      <c r="F448" s="7" t="n">
        <v>10</v>
      </c>
      <c r="G448" s="5" t="n">
        <v>9000</v>
      </c>
    </row>
    <row r="449" customFormat="false" ht="15" hidden="false" customHeight="false" outlineLevel="0" collapsed="false">
      <c r="A449" s="13" t="s">
        <v>131</v>
      </c>
      <c r="B449" s="13" t="s">
        <v>66</v>
      </c>
      <c r="C449" s="13" t="s">
        <v>3</v>
      </c>
      <c r="D449" s="13" t="s">
        <v>396</v>
      </c>
      <c r="E449" s="16" t="n">
        <v>559.89625</v>
      </c>
      <c r="F449" s="7" t="n">
        <v>20</v>
      </c>
      <c r="G449" s="5" t="n">
        <v>9000</v>
      </c>
    </row>
    <row r="450" customFormat="false" ht="15" hidden="false" customHeight="false" outlineLevel="0" collapsed="false">
      <c r="A450" s="13" t="s">
        <v>69</v>
      </c>
      <c r="B450" s="13" t="s">
        <v>43</v>
      </c>
      <c r="C450" s="13" t="s">
        <v>5</v>
      </c>
      <c r="D450" s="13" t="s">
        <v>397</v>
      </c>
      <c r="E450" s="16" t="n">
        <v>903.485</v>
      </c>
      <c r="F450" s="7" t="n">
        <v>5</v>
      </c>
      <c r="G450" s="5" t="n">
        <v>9000</v>
      </c>
    </row>
    <row r="451" customFormat="false" ht="15" hidden="false" customHeight="false" outlineLevel="0" collapsed="false">
      <c r="A451" s="13" t="s">
        <v>270</v>
      </c>
      <c r="B451" s="13" t="s">
        <v>43</v>
      </c>
      <c r="C451" s="13" t="s">
        <v>4</v>
      </c>
      <c r="D451" s="13" t="s">
        <v>398</v>
      </c>
      <c r="E451" s="16" t="n">
        <v>310.972068965517</v>
      </c>
      <c r="F451" s="7" t="n">
        <v>30</v>
      </c>
      <c r="G451" s="5" t="n">
        <v>9000</v>
      </c>
    </row>
    <row r="452" customFormat="false" ht="15" hidden="false" customHeight="false" outlineLevel="0" collapsed="false">
      <c r="A452" s="13" t="s">
        <v>114</v>
      </c>
      <c r="B452" s="13" t="s">
        <v>115</v>
      </c>
      <c r="C452" s="13" t="s">
        <v>3</v>
      </c>
      <c r="D452" s="13" t="s">
        <v>399</v>
      </c>
      <c r="E452" s="16" t="n">
        <v>97</v>
      </c>
      <c r="F452" s="7" t="n">
        <v>90</v>
      </c>
      <c r="G452" s="5" t="n">
        <v>8900</v>
      </c>
    </row>
    <row r="453" customFormat="false" ht="15" hidden="false" customHeight="false" outlineLevel="0" collapsed="false">
      <c r="A453" s="13" t="s">
        <v>124</v>
      </c>
      <c r="B453" s="13" t="s">
        <v>43</v>
      </c>
      <c r="C453" s="13" t="s">
        <v>5</v>
      </c>
      <c r="D453" s="13" t="s">
        <v>252</v>
      </c>
      <c r="E453" s="16" t="n">
        <v>739.233333333333</v>
      </c>
      <c r="F453" s="7" t="n">
        <v>10</v>
      </c>
      <c r="G453" s="5" t="n">
        <v>8900</v>
      </c>
    </row>
    <row r="454" customFormat="false" ht="15" hidden="false" customHeight="false" outlineLevel="0" collapsed="false">
      <c r="A454" s="13" t="s">
        <v>54</v>
      </c>
      <c r="B454" s="13" t="s">
        <v>43</v>
      </c>
      <c r="C454" s="13" t="s">
        <v>5</v>
      </c>
      <c r="D454" s="13" t="s">
        <v>400</v>
      </c>
      <c r="E454" s="16" t="n">
        <v>262.87</v>
      </c>
      <c r="F454" s="7" t="n">
        <v>30</v>
      </c>
      <c r="G454" s="5" t="n">
        <v>8900</v>
      </c>
    </row>
    <row r="455" customFormat="false" ht="15" hidden="false" customHeight="false" outlineLevel="0" collapsed="false">
      <c r="A455" s="13" t="s">
        <v>45</v>
      </c>
      <c r="B455" s="13" t="s">
        <v>43</v>
      </c>
      <c r="C455" s="13" t="s">
        <v>5</v>
      </c>
      <c r="D455" s="13" t="s">
        <v>401</v>
      </c>
      <c r="E455" s="16" t="n">
        <v>637.995714285714</v>
      </c>
      <c r="F455" s="7" t="n">
        <v>10</v>
      </c>
      <c r="G455" s="5" t="n">
        <v>8900</v>
      </c>
    </row>
    <row r="456" customFormat="false" ht="15" hidden="false" customHeight="false" outlineLevel="0" collapsed="false">
      <c r="A456" s="13" t="s">
        <v>315</v>
      </c>
      <c r="B456" s="13" t="s">
        <v>43</v>
      </c>
      <c r="C456" s="13" t="s">
        <v>5</v>
      </c>
      <c r="D456" s="13" t="s">
        <v>316</v>
      </c>
      <c r="E456" s="16" t="n">
        <v>627.802857142857</v>
      </c>
      <c r="F456" s="7" t="n">
        <v>10</v>
      </c>
      <c r="G456" s="5" t="n">
        <v>8800</v>
      </c>
    </row>
    <row r="457" customFormat="false" ht="15" hidden="false" customHeight="false" outlineLevel="0" collapsed="false">
      <c r="A457" s="13" t="s">
        <v>79</v>
      </c>
      <c r="B457" s="13" t="s">
        <v>43</v>
      </c>
      <c r="C457" s="13" t="s">
        <v>5</v>
      </c>
      <c r="D457" s="13" t="s">
        <v>283</v>
      </c>
      <c r="E457" s="16" t="n">
        <v>884.819</v>
      </c>
      <c r="F457" s="7" t="n">
        <v>5</v>
      </c>
      <c r="G457" s="5" t="n">
        <v>8800</v>
      </c>
    </row>
    <row r="458" customFormat="false" ht="15" hidden="false" customHeight="false" outlineLevel="0" collapsed="false">
      <c r="A458" s="13" t="s">
        <v>45</v>
      </c>
      <c r="B458" s="13" t="s">
        <v>43</v>
      </c>
      <c r="C458" s="13" t="s">
        <v>4</v>
      </c>
      <c r="D458" s="13" t="s">
        <v>101</v>
      </c>
      <c r="E458" s="16" t="n">
        <v>585.65</v>
      </c>
      <c r="F458" s="7" t="n">
        <v>20</v>
      </c>
      <c r="G458" s="5" t="n">
        <v>8800</v>
      </c>
    </row>
    <row r="459" customFormat="false" ht="15" hidden="false" customHeight="false" outlineLevel="0" collapsed="false">
      <c r="A459" s="13" t="s">
        <v>105</v>
      </c>
      <c r="B459" s="13" t="s">
        <v>43</v>
      </c>
      <c r="C459" s="13" t="s">
        <v>3</v>
      </c>
      <c r="D459" s="13" t="s">
        <v>402</v>
      </c>
      <c r="E459" s="16" t="n">
        <v>300.236551724138</v>
      </c>
      <c r="F459" s="7" t="n">
        <v>30</v>
      </c>
      <c r="G459" s="5" t="n">
        <v>8700</v>
      </c>
    </row>
    <row r="460" customFormat="false" ht="15" hidden="false" customHeight="false" outlineLevel="0" collapsed="false">
      <c r="A460" s="13" t="s">
        <v>50</v>
      </c>
      <c r="B460" s="13" t="s">
        <v>43</v>
      </c>
      <c r="C460" s="13" t="s">
        <v>5</v>
      </c>
      <c r="D460" s="13" t="s">
        <v>225</v>
      </c>
      <c r="E460" s="16" t="n">
        <v>728.07</v>
      </c>
      <c r="F460" s="7" t="n">
        <v>10</v>
      </c>
      <c r="G460" s="5" t="n">
        <v>8700</v>
      </c>
    </row>
    <row r="461" customFormat="false" ht="15" hidden="false" customHeight="false" outlineLevel="0" collapsed="false">
      <c r="A461" s="13" t="s">
        <v>42</v>
      </c>
      <c r="B461" s="13" t="s">
        <v>43</v>
      </c>
      <c r="C461" s="13" t="s">
        <v>5</v>
      </c>
      <c r="D461" s="13" t="s">
        <v>280</v>
      </c>
      <c r="E461" s="16" t="n">
        <v>728.676666666667</v>
      </c>
      <c r="F461" s="7" t="n">
        <v>10</v>
      </c>
      <c r="G461" s="5" t="n">
        <v>8700</v>
      </c>
    </row>
    <row r="462" customFormat="false" ht="15" hidden="false" customHeight="false" outlineLevel="0" collapsed="false">
      <c r="A462" s="13" t="s">
        <v>45</v>
      </c>
      <c r="B462" s="13" t="s">
        <v>43</v>
      </c>
      <c r="C462" s="13" t="s">
        <v>5</v>
      </c>
      <c r="D462" s="13" t="s">
        <v>279</v>
      </c>
      <c r="E462" s="16" t="n">
        <v>574</v>
      </c>
      <c r="F462" s="7" t="n">
        <v>20</v>
      </c>
      <c r="G462" s="5" t="n">
        <v>8600</v>
      </c>
    </row>
    <row r="463" customFormat="false" ht="15" hidden="false" customHeight="false" outlineLevel="0" collapsed="false">
      <c r="A463" s="13" t="s">
        <v>179</v>
      </c>
      <c r="B463" s="13" t="s">
        <v>85</v>
      </c>
      <c r="C463" s="13" t="s">
        <v>3</v>
      </c>
      <c r="D463" s="13" t="s">
        <v>403</v>
      </c>
      <c r="E463" s="16" t="n">
        <v>452.621578947368</v>
      </c>
      <c r="F463" s="7" t="n">
        <v>20</v>
      </c>
      <c r="G463" s="5" t="n">
        <v>8600</v>
      </c>
    </row>
    <row r="464" customFormat="false" ht="15" hidden="false" customHeight="false" outlineLevel="0" collapsed="false">
      <c r="A464" s="13" t="s">
        <v>61</v>
      </c>
      <c r="B464" s="13" t="s">
        <v>43</v>
      </c>
      <c r="C464" s="13" t="s">
        <v>5</v>
      </c>
      <c r="D464" s="13" t="s">
        <v>232</v>
      </c>
      <c r="E464" s="16" t="n">
        <v>958.3</v>
      </c>
      <c r="F464" s="7" t="n">
        <v>5</v>
      </c>
      <c r="G464" s="5" t="n">
        <v>8600</v>
      </c>
    </row>
    <row r="465" customFormat="false" ht="15" hidden="false" customHeight="false" outlineLevel="0" collapsed="false">
      <c r="A465" s="13" t="s">
        <v>50</v>
      </c>
      <c r="B465" s="13" t="s">
        <v>43</v>
      </c>
      <c r="C465" s="13" t="s">
        <v>4</v>
      </c>
      <c r="D465" s="13" t="s">
        <v>404</v>
      </c>
      <c r="E465" s="16" t="n">
        <v>712.94</v>
      </c>
      <c r="F465" s="7" t="n">
        <v>10</v>
      </c>
      <c r="G465" s="5" t="n">
        <v>8600</v>
      </c>
    </row>
    <row r="466" customFormat="false" ht="15" hidden="false" customHeight="false" outlineLevel="0" collapsed="false">
      <c r="A466" s="13" t="s">
        <v>186</v>
      </c>
      <c r="B466" s="13" t="s">
        <v>43</v>
      </c>
      <c r="C466" s="13" t="s">
        <v>3</v>
      </c>
      <c r="D466" s="13" t="s">
        <v>405</v>
      </c>
      <c r="E466" s="16" t="n">
        <v>195.136136363636</v>
      </c>
      <c r="F466" s="7" t="n">
        <v>40</v>
      </c>
      <c r="G466" s="5" t="n">
        <v>8600</v>
      </c>
    </row>
    <row r="467" customFormat="false" ht="15" hidden="false" customHeight="false" outlineLevel="0" collapsed="false">
      <c r="A467" s="13" t="s">
        <v>179</v>
      </c>
      <c r="B467" s="13" t="s">
        <v>180</v>
      </c>
      <c r="C467" s="13" t="s">
        <v>3</v>
      </c>
      <c r="D467" s="13" t="s">
        <v>406</v>
      </c>
      <c r="E467" s="16" t="n">
        <v>157.181818181818</v>
      </c>
      <c r="F467" s="7" t="n">
        <v>60</v>
      </c>
      <c r="G467" s="5" t="n">
        <v>8600</v>
      </c>
    </row>
    <row r="468" customFormat="false" ht="15" hidden="false" customHeight="false" outlineLevel="0" collapsed="false">
      <c r="A468" s="13" t="s">
        <v>79</v>
      </c>
      <c r="B468" s="13" t="s">
        <v>43</v>
      </c>
      <c r="C468" s="13" t="s">
        <v>4</v>
      </c>
      <c r="D468" s="13" t="s">
        <v>407</v>
      </c>
      <c r="E468" s="16" t="n">
        <v>1066.6125</v>
      </c>
      <c r="F468" s="7" t="n">
        <v>5</v>
      </c>
      <c r="G468" s="5" t="n">
        <v>8500</v>
      </c>
    </row>
    <row r="469" customFormat="false" ht="15" hidden="false" customHeight="false" outlineLevel="0" collapsed="false">
      <c r="A469" s="13" t="s">
        <v>315</v>
      </c>
      <c r="B469" s="13" t="s">
        <v>43</v>
      </c>
      <c r="C469" s="13" t="s">
        <v>5</v>
      </c>
      <c r="D469" s="13" t="s">
        <v>408</v>
      </c>
      <c r="E469" s="16" t="n">
        <v>651.858461538461</v>
      </c>
      <c r="F469" s="7" t="n">
        <v>10</v>
      </c>
      <c r="G469" s="5" t="n">
        <v>8500</v>
      </c>
    </row>
    <row r="470" customFormat="false" ht="15" hidden="false" customHeight="false" outlineLevel="0" collapsed="false">
      <c r="A470" s="13" t="s">
        <v>45</v>
      </c>
      <c r="B470" s="13" t="s">
        <v>43</v>
      </c>
      <c r="C470" s="13" t="s">
        <v>5</v>
      </c>
      <c r="D470" s="13" t="s">
        <v>279</v>
      </c>
      <c r="E470" s="16" t="n">
        <v>775.688181818182</v>
      </c>
      <c r="F470" s="7" t="n">
        <v>10</v>
      </c>
      <c r="G470" s="5" t="n">
        <v>8500</v>
      </c>
    </row>
    <row r="471" customFormat="false" ht="15" hidden="false" customHeight="false" outlineLevel="0" collapsed="false">
      <c r="A471" s="13" t="s">
        <v>45</v>
      </c>
      <c r="B471" s="13" t="s">
        <v>43</v>
      </c>
      <c r="C471" s="13" t="s">
        <v>4</v>
      </c>
      <c r="D471" s="13" t="s">
        <v>409</v>
      </c>
      <c r="E471" s="16" t="n">
        <v>761.607272727273</v>
      </c>
      <c r="F471" s="7" t="n">
        <v>10</v>
      </c>
      <c r="G471" s="5" t="n">
        <v>8400</v>
      </c>
    </row>
    <row r="472" customFormat="false" ht="15" hidden="false" customHeight="false" outlineLevel="0" collapsed="false">
      <c r="A472" s="13" t="s">
        <v>179</v>
      </c>
      <c r="B472" s="13" t="s">
        <v>180</v>
      </c>
      <c r="C472" s="13" t="s">
        <v>3</v>
      </c>
      <c r="D472" s="13" t="s">
        <v>410</v>
      </c>
      <c r="E472" s="16" t="n">
        <v>239</v>
      </c>
      <c r="F472" s="7" t="n">
        <v>40</v>
      </c>
      <c r="G472" s="5" t="n">
        <v>8400</v>
      </c>
    </row>
    <row r="473" customFormat="false" ht="15" hidden="false" customHeight="false" outlineLevel="0" collapsed="false">
      <c r="A473" s="13" t="s">
        <v>42</v>
      </c>
      <c r="B473" s="13" t="s">
        <v>43</v>
      </c>
      <c r="C473" s="13" t="s">
        <v>5</v>
      </c>
      <c r="D473" s="13" t="s">
        <v>89</v>
      </c>
      <c r="E473" s="16" t="n">
        <v>323.219615384615</v>
      </c>
      <c r="F473" s="7" t="n">
        <v>30</v>
      </c>
      <c r="G473" s="5" t="n">
        <v>8400</v>
      </c>
    </row>
    <row r="474" customFormat="false" ht="15" hidden="false" customHeight="false" outlineLevel="0" collapsed="false">
      <c r="A474" s="13" t="s">
        <v>42</v>
      </c>
      <c r="B474" s="13" t="s">
        <v>43</v>
      </c>
      <c r="C474" s="13" t="s">
        <v>4</v>
      </c>
      <c r="D474" s="13" t="s">
        <v>296</v>
      </c>
      <c r="E474" s="16" t="n">
        <v>599.43</v>
      </c>
      <c r="F474" s="7" t="n">
        <v>10</v>
      </c>
      <c r="G474" s="5" t="n">
        <v>8400</v>
      </c>
    </row>
    <row r="475" customFormat="false" ht="15" hidden="false" customHeight="false" outlineLevel="0" collapsed="false">
      <c r="A475" s="13" t="s">
        <v>179</v>
      </c>
      <c r="B475" s="13" t="s">
        <v>180</v>
      </c>
      <c r="C475" s="13" t="s">
        <v>3</v>
      </c>
      <c r="D475" s="13" t="s">
        <v>411</v>
      </c>
      <c r="E475" s="16" t="n">
        <v>129</v>
      </c>
      <c r="F475" s="7" t="n">
        <v>60</v>
      </c>
      <c r="G475" s="5" t="n">
        <v>8300</v>
      </c>
    </row>
    <row r="476" customFormat="false" ht="15" hidden="false" customHeight="false" outlineLevel="0" collapsed="false">
      <c r="A476" s="13" t="s">
        <v>50</v>
      </c>
      <c r="B476" s="13" t="s">
        <v>43</v>
      </c>
      <c r="C476" s="13" t="s">
        <v>4</v>
      </c>
      <c r="D476" s="13" t="s">
        <v>412</v>
      </c>
      <c r="E476" s="16" t="n">
        <v>636.994615384615</v>
      </c>
      <c r="F476" s="7" t="n">
        <v>10</v>
      </c>
      <c r="G476" s="5" t="n">
        <v>8300</v>
      </c>
    </row>
    <row r="477" customFormat="false" ht="15" hidden="false" customHeight="false" outlineLevel="0" collapsed="false">
      <c r="A477" s="13" t="s">
        <v>61</v>
      </c>
      <c r="B477" s="13" t="s">
        <v>43</v>
      </c>
      <c r="C477" s="13" t="s">
        <v>5</v>
      </c>
      <c r="D477" s="13" t="s">
        <v>413</v>
      </c>
      <c r="E477" s="16" t="n">
        <v>832.925</v>
      </c>
      <c r="F477" s="7" t="n">
        <v>5</v>
      </c>
      <c r="G477" s="5" t="n">
        <v>8300</v>
      </c>
    </row>
    <row r="478" customFormat="false" ht="15" hidden="false" customHeight="false" outlineLevel="0" collapsed="false">
      <c r="A478" s="13" t="s">
        <v>69</v>
      </c>
      <c r="B478" s="13" t="s">
        <v>43</v>
      </c>
      <c r="C478" s="13" t="s">
        <v>5</v>
      </c>
      <c r="D478" s="13" t="s">
        <v>347</v>
      </c>
      <c r="E478" s="16" t="n">
        <v>830.191</v>
      </c>
      <c r="F478" s="7" t="n">
        <v>5</v>
      </c>
      <c r="G478" s="5" t="n">
        <v>8300</v>
      </c>
    </row>
    <row r="479" customFormat="false" ht="15" hidden="false" customHeight="false" outlineLevel="0" collapsed="false">
      <c r="A479" s="13" t="s">
        <v>92</v>
      </c>
      <c r="B479" s="13" t="s">
        <v>43</v>
      </c>
      <c r="C479" s="13" t="s">
        <v>5</v>
      </c>
      <c r="D479" s="13" t="s">
        <v>414</v>
      </c>
      <c r="E479" s="16" t="n">
        <v>592.985714285714</v>
      </c>
      <c r="F479" s="7" t="n">
        <v>10</v>
      </c>
      <c r="G479" s="5" t="n">
        <v>8300</v>
      </c>
    </row>
    <row r="480" customFormat="false" ht="15" hidden="false" customHeight="false" outlineLevel="0" collapsed="false">
      <c r="A480" s="13" t="s">
        <v>153</v>
      </c>
      <c r="B480" s="13" t="s">
        <v>43</v>
      </c>
      <c r="C480" s="13" t="s">
        <v>4</v>
      </c>
      <c r="D480" s="13" t="s">
        <v>415</v>
      </c>
      <c r="E480" s="16" t="n">
        <v>683.42</v>
      </c>
      <c r="F480" s="7" t="n">
        <v>10</v>
      </c>
      <c r="G480" s="5" t="n">
        <v>8200</v>
      </c>
    </row>
    <row r="481" customFormat="false" ht="15" hidden="false" customHeight="false" outlineLevel="0" collapsed="false">
      <c r="A481" s="13" t="s">
        <v>191</v>
      </c>
      <c r="B481" s="13" t="s">
        <v>85</v>
      </c>
      <c r="C481" s="13" t="s">
        <v>3</v>
      </c>
      <c r="D481" s="13" t="s">
        <v>416</v>
      </c>
      <c r="E481" s="16" t="n">
        <v>128.115</v>
      </c>
      <c r="F481" s="7" t="n">
        <v>60</v>
      </c>
      <c r="G481" s="5" t="n">
        <v>8200</v>
      </c>
    </row>
    <row r="482" customFormat="false" ht="15" hidden="false" customHeight="false" outlineLevel="0" collapsed="false">
      <c r="A482" s="13" t="s">
        <v>50</v>
      </c>
      <c r="B482" s="13" t="s">
        <v>43</v>
      </c>
      <c r="C482" s="13" t="s">
        <v>4</v>
      </c>
      <c r="D482" s="13" t="s">
        <v>417</v>
      </c>
      <c r="E482" s="16" t="n">
        <v>819.18</v>
      </c>
      <c r="F482" s="7" t="n">
        <v>5</v>
      </c>
      <c r="G482" s="5" t="n">
        <v>8200</v>
      </c>
    </row>
    <row r="483" customFormat="false" ht="15" hidden="false" customHeight="false" outlineLevel="0" collapsed="false">
      <c r="A483" s="13" t="s">
        <v>42</v>
      </c>
      <c r="B483" s="13" t="s">
        <v>43</v>
      </c>
      <c r="C483" s="13" t="s">
        <v>4</v>
      </c>
      <c r="D483" s="13" t="s">
        <v>324</v>
      </c>
      <c r="E483" s="16" t="n">
        <v>818.59</v>
      </c>
      <c r="F483" s="7" t="n">
        <v>5</v>
      </c>
      <c r="G483" s="5" t="n">
        <v>8200</v>
      </c>
    </row>
    <row r="484" customFormat="false" ht="15" hidden="false" customHeight="false" outlineLevel="0" collapsed="false">
      <c r="A484" s="13" t="s">
        <v>124</v>
      </c>
      <c r="B484" s="13" t="s">
        <v>43</v>
      </c>
      <c r="C484" s="13" t="s">
        <v>5</v>
      </c>
      <c r="D484" s="13" t="s">
        <v>418</v>
      </c>
      <c r="E484" s="16" t="n">
        <v>746.334545454545</v>
      </c>
      <c r="F484" s="7" t="n">
        <v>10</v>
      </c>
      <c r="G484" s="5" t="n">
        <v>8200</v>
      </c>
    </row>
    <row r="485" customFormat="false" ht="15" hidden="false" customHeight="false" outlineLevel="0" collapsed="false">
      <c r="A485" s="13" t="s">
        <v>72</v>
      </c>
      <c r="B485" s="13" t="s">
        <v>43</v>
      </c>
      <c r="C485" s="13" t="s">
        <v>5</v>
      </c>
      <c r="D485" s="13" t="s">
        <v>419</v>
      </c>
      <c r="E485" s="16" t="n">
        <v>743.28</v>
      </c>
      <c r="F485" s="7" t="n">
        <v>10</v>
      </c>
      <c r="G485" s="5" t="n">
        <v>8200</v>
      </c>
    </row>
    <row r="486" customFormat="false" ht="15" hidden="false" customHeight="false" outlineLevel="0" collapsed="false">
      <c r="A486" s="13" t="s">
        <v>42</v>
      </c>
      <c r="B486" s="13" t="s">
        <v>43</v>
      </c>
      <c r="C486" s="13" t="s">
        <v>4</v>
      </c>
      <c r="D486" s="13" t="s">
        <v>356</v>
      </c>
      <c r="E486" s="16" t="n">
        <v>634.23</v>
      </c>
      <c r="F486" s="7" t="n">
        <v>10</v>
      </c>
      <c r="G486" s="5" t="n">
        <v>8200</v>
      </c>
    </row>
    <row r="487" customFormat="false" ht="15" hidden="false" customHeight="false" outlineLevel="0" collapsed="false">
      <c r="A487" s="13" t="s">
        <v>103</v>
      </c>
      <c r="B487" s="13" t="s">
        <v>43</v>
      </c>
      <c r="C487" s="13" t="s">
        <v>5</v>
      </c>
      <c r="D487" s="13" t="s">
        <v>420</v>
      </c>
      <c r="E487" s="16" t="n">
        <v>211.967894736842</v>
      </c>
      <c r="F487" s="7" t="n">
        <v>40</v>
      </c>
      <c r="G487" s="5" t="n">
        <v>8100</v>
      </c>
    </row>
    <row r="488" customFormat="false" ht="15" hidden="false" customHeight="false" outlineLevel="0" collapsed="false">
      <c r="A488" s="13" t="s">
        <v>42</v>
      </c>
      <c r="B488" s="13" t="s">
        <v>43</v>
      </c>
      <c r="C488" s="13" t="s">
        <v>4</v>
      </c>
      <c r="D488" s="13" t="s">
        <v>137</v>
      </c>
      <c r="E488" s="16" t="n">
        <v>813.099</v>
      </c>
      <c r="F488" s="7" t="n">
        <v>5</v>
      </c>
      <c r="G488" s="5" t="n">
        <v>8100</v>
      </c>
    </row>
    <row r="489" customFormat="false" ht="15" hidden="false" customHeight="false" outlineLevel="0" collapsed="false">
      <c r="A489" s="13" t="s">
        <v>105</v>
      </c>
      <c r="B489" s="13" t="s">
        <v>43</v>
      </c>
      <c r="C489" s="13" t="s">
        <v>5</v>
      </c>
      <c r="D489" s="13" t="s">
        <v>421</v>
      </c>
      <c r="E489" s="16" t="n">
        <v>539</v>
      </c>
      <c r="F489" s="7" t="n">
        <v>20</v>
      </c>
      <c r="G489" s="5" t="n">
        <v>8100</v>
      </c>
    </row>
    <row r="490" customFormat="false" ht="15" hidden="false" customHeight="false" outlineLevel="0" collapsed="false">
      <c r="A490" s="13" t="s">
        <v>42</v>
      </c>
      <c r="B490" s="13" t="s">
        <v>43</v>
      </c>
      <c r="C490" s="13" t="s">
        <v>4</v>
      </c>
      <c r="D490" s="13" t="s">
        <v>422</v>
      </c>
      <c r="E490" s="16" t="n">
        <v>677.97</v>
      </c>
      <c r="F490" s="7" t="n">
        <v>10</v>
      </c>
      <c r="G490" s="5" t="n">
        <v>8100</v>
      </c>
    </row>
    <row r="491" customFormat="false" ht="15" hidden="false" customHeight="false" outlineLevel="0" collapsed="false">
      <c r="A491" s="13" t="s">
        <v>69</v>
      </c>
      <c r="B491" s="13" t="s">
        <v>43</v>
      </c>
      <c r="C491" s="13" t="s">
        <v>3</v>
      </c>
      <c r="D491" s="13" t="s">
        <v>423</v>
      </c>
      <c r="E491" s="16" t="n">
        <v>809.56</v>
      </c>
      <c r="F491" s="7" t="n">
        <v>5</v>
      </c>
      <c r="G491" s="5" t="n">
        <v>8100</v>
      </c>
    </row>
    <row r="492" customFormat="false" ht="15" hidden="false" customHeight="false" outlineLevel="0" collapsed="false">
      <c r="A492" s="13" t="s">
        <v>45</v>
      </c>
      <c r="B492" s="13" t="s">
        <v>43</v>
      </c>
      <c r="C492" s="13" t="s">
        <v>5</v>
      </c>
      <c r="D492" s="13" t="s">
        <v>424</v>
      </c>
      <c r="E492" s="16" t="n">
        <v>572</v>
      </c>
      <c r="F492" s="7" t="n">
        <v>10</v>
      </c>
      <c r="G492" s="5" t="n">
        <v>8000</v>
      </c>
    </row>
    <row r="493" customFormat="false" ht="15" hidden="false" customHeight="false" outlineLevel="0" collapsed="false">
      <c r="A493" s="13" t="s">
        <v>87</v>
      </c>
      <c r="B493" s="13" t="s">
        <v>66</v>
      </c>
      <c r="C493" s="13" t="s">
        <v>3</v>
      </c>
      <c r="D493" s="13" t="s">
        <v>425</v>
      </c>
      <c r="E493" s="16" t="n">
        <v>1137.79142857143</v>
      </c>
      <c r="F493" s="7" t="n">
        <v>5</v>
      </c>
      <c r="G493" s="5" t="n">
        <v>8000</v>
      </c>
    </row>
    <row r="494" customFormat="false" ht="15" hidden="false" customHeight="false" outlineLevel="0" collapsed="false">
      <c r="A494" s="13" t="s">
        <v>79</v>
      </c>
      <c r="B494" s="13" t="s">
        <v>43</v>
      </c>
      <c r="C494" s="13" t="s">
        <v>5</v>
      </c>
      <c r="D494" s="13" t="s">
        <v>426</v>
      </c>
      <c r="E494" s="16" t="n">
        <v>795.163</v>
      </c>
      <c r="F494" s="7" t="n">
        <v>5</v>
      </c>
      <c r="G494" s="5" t="n">
        <v>8000</v>
      </c>
    </row>
    <row r="495" customFormat="false" ht="15" hidden="false" customHeight="false" outlineLevel="0" collapsed="false">
      <c r="A495" s="13" t="s">
        <v>50</v>
      </c>
      <c r="B495" s="13" t="s">
        <v>43</v>
      </c>
      <c r="C495" s="13" t="s">
        <v>5</v>
      </c>
      <c r="D495" s="13" t="s">
        <v>52</v>
      </c>
      <c r="E495" s="16" t="n">
        <v>295.49</v>
      </c>
      <c r="F495" s="7" t="n">
        <v>30</v>
      </c>
      <c r="G495" s="5" t="n">
        <v>8000</v>
      </c>
    </row>
    <row r="496" customFormat="false" ht="15" hidden="false" customHeight="false" outlineLevel="0" collapsed="false">
      <c r="A496" s="13" t="s">
        <v>42</v>
      </c>
      <c r="B496" s="13" t="s">
        <v>43</v>
      </c>
      <c r="C496" s="13" t="s">
        <v>4</v>
      </c>
      <c r="D496" s="13" t="s">
        <v>427</v>
      </c>
      <c r="E496" s="16" t="n">
        <v>571.12</v>
      </c>
      <c r="F496" s="7" t="n">
        <v>10</v>
      </c>
      <c r="G496" s="5" t="n">
        <v>8000</v>
      </c>
    </row>
    <row r="497" customFormat="false" ht="15" hidden="false" customHeight="false" outlineLevel="0" collapsed="false">
      <c r="A497" s="13" t="s">
        <v>92</v>
      </c>
      <c r="B497" s="13" t="s">
        <v>43</v>
      </c>
      <c r="C497" s="13" t="s">
        <v>3</v>
      </c>
      <c r="D497" s="13" t="s">
        <v>314</v>
      </c>
      <c r="E497" s="16" t="n">
        <v>669.925833333333</v>
      </c>
      <c r="F497" s="7" t="n">
        <v>10</v>
      </c>
      <c r="G497" s="5" t="n">
        <v>8000</v>
      </c>
    </row>
    <row r="498" customFormat="false" ht="15" hidden="false" customHeight="false" outlineLevel="0" collapsed="false">
      <c r="A498" s="13" t="s">
        <v>45</v>
      </c>
      <c r="B498" s="13" t="s">
        <v>43</v>
      </c>
      <c r="C498" s="13" t="s">
        <v>4</v>
      </c>
      <c r="D498" s="13" t="s">
        <v>428</v>
      </c>
      <c r="E498" s="16" t="n">
        <v>887.908888888889</v>
      </c>
      <c r="F498" s="7" t="n">
        <v>5</v>
      </c>
      <c r="G498" s="5" t="n">
        <v>8000</v>
      </c>
    </row>
    <row r="499" customFormat="false" ht="15" hidden="false" customHeight="false" outlineLevel="0" collapsed="false">
      <c r="A499" s="13" t="s">
        <v>143</v>
      </c>
      <c r="B499" s="13" t="s">
        <v>144</v>
      </c>
      <c r="C499" s="13" t="s">
        <v>3</v>
      </c>
      <c r="D499" s="13" t="s">
        <v>429</v>
      </c>
      <c r="E499" s="16" t="n">
        <v>440.046111111111</v>
      </c>
      <c r="F499" s="7" t="n">
        <v>20</v>
      </c>
      <c r="G499" s="5" t="n">
        <v>7900</v>
      </c>
    </row>
    <row r="500" customFormat="false" ht="15" hidden="false" customHeight="false" outlineLevel="0" collapsed="false">
      <c r="A500" s="13" t="s">
        <v>45</v>
      </c>
      <c r="B500" s="13" t="s">
        <v>43</v>
      </c>
      <c r="C500" s="13" t="s">
        <v>4</v>
      </c>
      <c r="D500" s="13" t="s">
        <v>430</v>
      </c>
      <c r="E500" s="16" t="n">
        <v>792.336</v>
      </c>
      <c r="F500" s="7" t="n">
        <v>5</v>
      </c>
      <c r="G500" s="5" t="n">
        <v>7900</v>
      </c>
    </row>
    <row r="501" customFormat="false" ht="15" hidden="false" customHeight="false" outlineLevel="0" collapsed="false">
      <c r="A501" s="13" t="s">
        <v>312</v>
      </c>
      <c r="B501" s="13" t="s">
        <v>43</v>
      </c>
      <c r="C501" s="13" t="s">
        <v>4</v>
      </c>
      <c r="D501" s="13" t="s">
        <v>431</v>
      </c>
      <c r="E501" s="16" t="n">
        <v>188.49380952381</v>
      </c>
      <c r="F501" s="7" t="n">
        <v>40</v>
      </c>
      <c r="G501" s="5" t="n">
        <v>7900</v>
      </c>
    </row>
    <row r="502" customFormat="false" ht="15" hidden="false" customHeight="false" outlineLevel="0" collapsed="false">
      <c r="A502" s="13" t="s">
        <v>61</v>
      </c>
      <c r="B502" s="13" t="s">
        <v>43</v>
      </c>
      <c r="C502" s="13" t="s">
        <v>5</v>
      </c>
      <c r="D502" s="13" t="s">
        <v>432</v>
      </c>
      <c r="E502" s="16" t="n">
        <v>719.09</v>
      </c>
      <c r="F502" s="7" t="n">
        <v>10</v>
      </c>
      <c r="G502" s="5" t="n">
        <v>7900</v>
      </c>
    </row>
    <row r="503" customFormat="false" ht="15" hidden="false" customHeight="false" outlineLevel="0" collapsed="false">
      <c r="A503" s="13" t="s">
        <v>42</v>
      </c>
      <c r="B503" s="13" t="s">
        <v>43</v>
      </c>
      <c r="C503" s="13" t="s">
        <v>5</v>
      </c>
      <c r="D503" s="13" t="s">
        <v>152</v>
      </c>
      <c r="E503" s="16" t="n">
        <v>415.52</v>
      </c>
      <c r="F503" s="7" t="n">
        <v>20</v>
      </c>
      <c r="G503" s="5" t="n">
        <v>7900</v>
      </c>
    </row>
    <row r="504" customFormat="false" ht="15" hidden="false" customHeight="false" outlineLevel="0" collapsed="false">
      <c r="A504" s="13" t="s">
        <v>50</v>
      </c>
      <c r="B504" s="13" t="s">
        <v>43</v>
      </c>
      <c r="C504" s="13" t="s">
        <v>5</v>
      </c>
      <c r="D504" s="13" t="s">
        <v>433</v>
      </c>
      <c r="E504" s="16" t="n">
        <v>657.2</v>
      </c>
      <c r="F504" s="7" t="n">
        <v>10</v>
      </c>
      <c r="G504" s="5" t="n">
        <v>7900</v>
      </c>
    </row>
    <row r="505" customFormat="false" ht="15" hidden="false" customHeight="false" outlineLevel="0" collapsed="false">
      <c r="A505" s="13" t="s">
        <v>72</v>
      </c>
      <c r="B505" s="13" t="s">
        <v>43</v>
      </c>
      <c r="C505" s="13" t="s">
        <v>5</v>
      </c>
      <c r="D505" s="13" t="s">
        <v>434</v>
      </c>
      <c r="E505" s="16" t="n">
        <v>719.300909090909</v>
      </c>
      <c r="F505" s="7" t="n">
        <v>10</v>
      </c>
      <c r="G505" s="5" t="n">
        <v>7900</v>
      </c>
    </row>
    <row r="506" customFormat="false" ht="15" hidden="false" customHeight="false" outlineLevel="0" collapsed="false">
      <c r="A506" s="13" t="s">
        <v>111</v>
      </c>
      <c r="B506" s="13" t="s">
        <v>43</v>
      </c>
      <c r="C506" s="13" t="s">
        <v>3</v>
      </c>
      <c r="D506" s="13" t="s">
        <v>435</v>
      </c>
      <c r="E506" s="16" t="n">
        <v>293.28962962963</v>
      </c>
      <c r="F506" s="7" t="n">
        <v>30</v>
      </c>
      <c r="G506" s="5" t="n">
        <v>7900</v>
      </c>
    </row>
    <row r="507" customFormat="false" ht="15" hidden="false" customHeight="false" outlineLevel="0" collapsed="false">
      <c r="A507" s="13" t="s">
        <v>45</v>
      </c>
      <c r="B507" s="13" t="s">
        <v>43</v>
      </c>
      <c r="C507" s="13" t="s">
        <v>5</v>
      </c>
      <c r="D507" s="13" t="s">
        <v>436</v>
      </c>
      <c r="E507" s="16" t="n">
        <v>558.541428571429</v>
      </c>
      <c r="F507" s="7" t="n">
        <v>10</v>
      </c>
      <c r="G507" s="5" t="n">
        <v>7800</v>
      </c>
    </row>
    <row r="508" customFormat="false" ht="15" hidden="false" customHeight="false" outlineLevel="0" collapsed="false">
      <c r="A508" s="13" t="s">
        <v>50</v>
      </c>
      <c r="B508" s="13" t="s">
        <v>43</v>
      </c>
      <c r="C508" s="13" t="s">
        <v>4</v>
      </c>
      <c r="D508" s="13" t="s">
        <v>437</v>
      </c>
      <c r="E508" s="16" t="n">
        <v>769.579</v>
      </c>
      <c r="F508" s="7" t="n">
        <v>5</v>
      </c>
      <c r="G508" s="5" t="n">
        <v>7700</v>
      </c>
    </row>
    <row r="509" customFormat="false" ht="15" hidden="false" customHeight="false" outlineLevel="0" collapsed="false">
      <c r="A509" s="13" t="s">
        <v>42</v>
      </c>
      <c r="B509" s="13" t="s">
        <v>43</v>
      </c>
      <c r="C509" s="13" t="s">
        <v>5</v>
      </c>
      <c r="D509" s="13" t="s">
        <v>84</v>
      </c>
      <c r="E509" s="16" t="n">
        <v>592.99</v>
      </c>
      <c r="F509" s="7" t="n">
        <v>10</v>
      </c>
      <c r="G509" s="5" t="n">
        <v>7700</v>
      </c>
    </row>
    <row r="510" customFormat="false" ht="15" hidden="false" customHeight="false" outlineLevel="0" collapsed="false">
      <c r="A510" s="13" t="s">
        <v>87</v>
      </c>
      <c r="B510" s="13" t="s">
        <v>66</v>
      </c>
      <c r="C510" s="13" t="s">
        <v>3</v>
      </c>
      <c r="D510" s="13" t="s">
        <v>438</v>
      </c>
      <c r="E510" s="16" t="n">
        <v>203.745263157895</v>
      </c>
      <c r="F510" s="7" t="n">
        <v>40</v>
      </c>
      <c r="G510" s="5" t="n">
        <v>7700</v>
      </c>
    </row>
    <row r="511" customFormat="false" ht="15" hidden="false" customHeight="false" outlineLevel="0" collapsed="false">
      <c r="A511" s="13" t="s">
        <v>54</v>
      </c>
      <c r="B511" s="13" t="s">
        <v>43</v>
      </c>
      <c r="C511" s="13" t="s">
        <v>5</v>
      </c>
      <c r="D511" s="13" t="s">
        <v>439</v>
      </c>
      <c r="E511" s="16" t="n">
        <v>306.25</v>
      </c>
      <c r="F511" s="7" t="n">
        <v>20</v>
      </c>
      <c r="G511" s="5" t="n">
        <v>7700</v>
      </c>
    </row>
    <row r="512" customFormat="false" ht="15" hidden="false" customHeight="false" outlineLevel="0" collapsed="false">
      <c r="A512" s="13" t="s">
        <v>42</v>
      </c>
      <c r="B512" s="13" t="s">
        <v>43</v>
      </c>
      <c r="C512" s="13" t="s">
        <v>5</v>
      </c>
      <c r="D512" s="13" t="s">
        <v>440</v>
      </c>
      <c r="E512" s="16" t="n">
        <v>703.203636363636</v>
      </c>
      <c r="F512" s="7" t="n">
        <v>10</v>
      </c>
      <c r="G512" s="5" t="n">
        <v>7700</v>
      </c>
    </row>
    <row r="513" customFormat="false" ht="15" hidden="false" customHeight="false" outlineLevel="0" collapsed="false">
      <c r="A513" s="13" t="s">
        <v>61</v>
      </c>
      <c r="B513" s="13" t="s">
        <v>43</v>
      </c>
      <c r="C513" s="13" t="s">
        <v>5</v>
      </c>
      <c r="D513" s="13" t="s">
        <v>441</v>
      </c>
      <c r="E513" s="16" t="n">
        <v>692.7</v>
      </c>
      <c r="F513" s="7" t="n">
        <v>10</v>
      </c>
      <c r="G513" s="5" t="n">
        <v>7600</v>
      </c>
    </row>
    <row r="514" customFormat="false" ht="15" hidden="false" customHeight="false" outlineLevel="0" collapsed="false">
      <c r="A514" s="13" t="s">
        <v>42</v>
      </c>
      <c r="B514" s="13" t="s">
        <v>43</v>
      </c>
      <c r="C514" s="13" t="s">
        <v>5</v>
      </c>
      <c r="D514" s="13" t="s">
        <v>442</v>
      </c>
      <c r="E514" s="16" t="n">
        <v>472.62625</v>
      </c>
      <c r="F514" s="7" t="n">
        <v>20</v>
      </c>
      <c r="G514" s="5" t="n">
        <v>7600</v>
      </c>
    </row>
    <row r="515" customFormat="false" ht="15" hidden="false" customHeight="false" outlineLevel="0" collapsed="false">
      <c r="A515" s="13" t="s">
        <v>69</v>
      </c>
      <c r="B515" s="13" t="s">
        <v>43</v>
      </c>
      <c r="C515" s="13" t="s">
        <v>5</v>
      </c>
      <c r="D515" s="13" t="s">
        <v>120</v>
      </c>
      <c r="E515" s="16" t="n">
        <v>446.649411764706</v>
      </c>
      <c r="F515" s="7" t="n">
        <v>20</v>
      </c>
      <c r="G515" s="5" t="n">
        <v>7600</v>
      </c>
    </row>
    <row r="516" customFormat="false" ht="15" hidden="false" customHeight="false" outlineLevel="0" collapsed="false">
      <c r="A516" s="13" t="s">
        <v>50</v>
      </c>
      <c r="B516" s="13" t="s">
        <v>43</v>
      </c>
      <c r="C516" s="13" t="s">
        <v>4</v>
      </c>
      <c r="D516" s="13" t="s">
        <v>189</v>
      </c>
      <c r="E516" s="16" t="n">
        <v>763.236</v>
      </c>
      <c r="F516" s="7" t="n">
        <v>5</v>
      </c>
      <c r="G516" s="5" t="n">
        <v>7600</v>
      </c>
    </row>
    <row r="517" customFormat="false" ht="15" hidden="false" customHeight="false" outlineLevel="0" collapsed="false">
      <c r="A517" s="13" t="s">
        <v>50</v>
      </c>
      <c r="B517" s="13" t="s">
        <v>43</v>
      </c>
      <c r="C517" s="13" t="s">
        <v>4</v>
      </c>
      <c r="D517" s="13" t="s">
        <v>443</v>
      </c>
      <c r="E517" s="16" t="n">
        <v>627.886666666667</v>
      </c>
      <c r="F517" s="7" t="n">
        <v>10</v>
      </c>
      <c r="G517" s="5" t="n">
        <v>7500</v>
      </c>
    </row>
    <row r="518" customFormat="false" ht="15" hidden="false" customHeight="false" outlineLevel="0" collapsed="false">
      <c r="A518" s="13" t="s">
        <v>45</v>
      </c>
      <c r="B518" s="13" t="s">
        <v>43</v>
      </c>
      <c r="C518" s="13" t="s">
        <v>5</v>
      </c>
      <c r="D518" s="13" t="s">
        <v>436</v>
      </c>
      <c r="E518" s="16" t="n">
        <v>533.272857142857</v>
      </c>
      <c r="F518" s="7" t="n">
        <v>10</v>
      </c>
      <c r="G518" s="5" t="n">
        <v>7500</v>
      </c>
    </row>
    <row r="519" customFormat="false" ht="15" hidden="false" customHeight="false" outlineLevel="0" collapsed="false">
      <c r="A519" s="13" t="s">
        <v>42</v>
      </c>
      <c r="B519" s="13" t="s">
        <v>43</v>
      </c>
      <c r="C519" s="13" t="s">
        <v>4</v>
      </c>
      <c r="D519" s="13" t="s">
        <v>444</v>
      </c>
      <c r="E519" s="16" t="n">
        <v>534.371428571428</v>
      </c>
      <c r="F519" s="7" t="n">
        <v>10</v>
      </c>
      <c r="G519" s="5" t="n">
        <v>7500</v>
      </c>
    </row>
    <row r="520" customFormat="false" ht="15" hidden="false" customHeight="false" outlineLevel="0" collapsed="false">
      <c r="A520" s="13" t="s">
        <v>69</v>
      </c>
      <c r="B520" s="13" t="s">
        <v>43</v>
      </c>
      <c r="C520" s="13" t="s">
        <v>3</v>
      </c>
      <c r="D520" s="13" t="s">
        <v>109</v>
      </c>
      <c r="E520" s="16" t="n">
        <v>754.08</v>
      </c>
      <c r="F520" s="7" t="n">
        <v>5</v>
      </c>
      <c r="G520" s="5" t="n">
        <v>7500</v>
      </c>
    </row>
    <row r="521" customFormat="false" ht="15" hidden="false" customHeight="false" outlineLevel="0" collapsed="false">
      <c r="A521" s="13" t="s">
        <v>124</v>
      </c>
      <c r="B521" s="13" t="s">
        <v>43</v>
      </c>
      <c r="C521" s="13" t="s">
        <v>5</v>
      </c>
      <c r="D521" s="13" t="s">
        <v>125</v>
      </c>
      <c r="E521" s="16" t="n">
        <v>444</v>
      </c>
      <c r="F521" s="7" t="n">
        <v>20</v>
      </c>
      <c r="G521" s="5" t="n">
        <v>7500</v>
      </c>
    </row>
    <row r="522" customFormat="false" ht="15" hidden="false" customHeight="false" outlineLevel="0" collapsed="false">
      <c r="A522" s="13" t="s">
        <v>42</v>
      </c>
      <c r="B522" s="13" t="s">
        <v>43</v>
      </c>
      <c r="C522" s="13" t="s">
        <v>4</v>
      </c>
      <c r="D522" s="13" t="s">
        <v>324</v>
      </c>
      <c r="E522" s="16" t="n">
        <v>936.39</v>
      </c>
      <c r="F522" s="7" t="n">
        <v>5</v>
      </c>
      <c r="G522" s="5" t="n">
        <v>7500</v>
      </c>
    </row>
    <row r="523" customFormat="false" ht="15" hidden="false" customHeight="false" outlineLevel="0" collapsed="false">
      <c r="A523" s="13" t="s">
        <v>362</v>
      </c>
      <c r="B523" s="13" t="s">
        <v>43</v>
      </c>
      <c r="C523" s="13" t="s">
        <v>4</v>
      </c>
      <c r="D523" s="13" t="s">
        <v>445</v>
      </c>
      <c r="E523" s="16" t="n">
        <v>578.840769230769</v>
      </c>
      <c r="F523" s="7" t="n">
        <v>10</v>
      </c>
      <c r="G523" s="5" t="n">
        <v>7500</v>
      </c>
    </row>
    <row r="524" customFormat="false" ht="15" hidden="false" customHeight="false" outlineLevel="0" collapsed="false">
      <c r="A524" s="13" t="s">
        <v>50</v>
      </c>
      <c r="B524" s="13" t="s">
        <v>43</v>
      </c>
      <c r="C524" s="13" t="s">
        <v>4</v>
      </c>
      <c r="D524" s="13" t="s">
        <v>95</v>
      </c>
      <c r="E524" s="16" t="n">
        <v>738.65</v>
      </c>
      <c r="F524" s="7" t="n">
        <v>5</v>
      </c>
      <c r="G524" s="5" t="n">
        <v>7400</v>
      </c>
    </row>
    <row r="525" customFormat="false" ht="15" hidden="false" customHeight="false" outlineLevel="0" collapsed="false">
      <c r="A525" s="13" t="s">
        <v>270</v>
      </c>
      <c r="B525" s="13" t="s">
        <v>43</v>
      </c>
      <c r="C525" s="13" t="s">
        <v>4</v>
      </c>
      <c r="D525" s="13" t="s">
        <v>446</v>
      </c>
      <c r="E525" s="16" t="n">
        <v>352.055714285714</v>
      </c>
      <c r="F525" s="7" t="n">
        <v>20</v>
      </c>
      <c r="G525" s="5" t="n">
        <v>7400</v>
      </c>
    </row>
    <row r="526" customFormat="false" ht="15" hidden="false" customHeight="false" outlineLevel="0" collapsed="false">
      <c r="A526" s="13" t="s">
        <v>45</v>
      </c>
      <c r="B526" s="13" t="s">
        <v>43</v>
      </c>
      <c r="C526" s="13" t="s">
        <v>5</v>
      </c>
      <c r="D526" s="13" t="s">
        <v>292</v>
      </c>
      <c r="E526" s="16" t="n">
        <v>922.2</v>
      </c>
      <c r="F526" s="7" t="n">
        <v>5</v>
      </c>
      <c r="G526" s="5" t="n">
        <v>7400</v>
      </c>
    </row>
    <row r="527" customFormat="false" ht="15" hidden="false" customHeight="false" outlineLevel="0" collapsed="false">
      <c r="A527" s="13" t="s">
        <v>45</v>
      </c>
      <c r="B527" s="13" t="s">
        <v>43</v>
      </c>
      <c r="C527" s="13" t="s">
        <v>5</v>
      </c>
      <c r="D527" s="13" t="s">
        <v>447</v>
      </c>
      <c r="E527" s="16" t="n">
        <v>816.697777777778</v>
      </c>
      <c r="F527" s="7" t="n">
        <v>5</v>
      </c>
      <c r="G527" s="5" t="n">
        <v>7400</v>
      </c>
    </row>
    <row r="528" customFormat="false" ht="15" hidden="false" customHeight="false" outlineLevel="0" collapsed="false">
      <c r="A528" s="13" t="s">
        <v>153</v>
      </c>
      <c r="B528" s="13" t="s">
        <v>43</v>
      </c>
      <c r="C528" s="13" t="s">
        <v>5</v>
      </c>
      <c r="D528" s="13" t="s">
        <v>448</v>
      </c>
      <c r="E528" s="16" t="n">
        <v>274.448148148148</v>
      </c>
      <c r="F528" s="7" t="n">
        <v>30</v>
      </c>
      <c r="G528" s="5" t="n">
        <v>7400</v>
      </c>
    </row>
    <row r="529" customFormat="false" ht="15" hidden="false" customHeight="false" outlineLevel="0" collapsed="false">
      <c r="A529" s="13" t="s">
        <v>229</v>
      </c>
      <c r="B529" s="13" t="s">
        <v>43</v>
      </c>
      <c r="C529" s="13" t="s">
        <v>4</v>
      </c>
      <c r="D529" s="13" t="s">
        <v>449</v>
      </c>
      <c r="E529" s="16" t="n">
        <v>338.137272727273</v>
      </c>
      <c r="F529" s="7" t="n">
        <v>20</v>
      </c>
      <c r="G529" s="5" t="n">
        <v>7400</v>
      </c>
    </row>
    <row r="530" customFormat="false" ht="15" hidden="false" customHeight="false" outlineLevel="0" collapsed="false">
      <c r="A530" s="13" t="s">
        <v>61</v>
      </c>
      <c r="B530" s="13" t="s">
        <v>43</v>
      </c>
      <c r="C530" s="13" t="s">
        <v>5</v>
      </c>
      <c r="D530" s="13" t="s">
        <v>327</v>
      </c>
      <c r="E530" s="16" t="n">
        <v>824.13</v>
      </c>
      <c r="F530" s="7" t="n">
        <v>5</v>
      </c>
      <c r="G530" s="5" t="n">
        <v>7400</v>
      </c>
    </row>
    <row r="531" customFormat="false" ht="15" hidden="false" customHeight="false" outlineLevel="0" collapsed="false">
      <c r="A531" s="13" t="s">
        <v>153</v>
      </c>
      <c r="B531" s="13" t="s">
        <v>43</v>
      </c>
      <c r="C531" s="13" t="s">
        <v>5</v>
      </c>
      <c r="D531" s="13" t="s">
        <v>450</v>
      </c>
      <c r="E531" s="16" t="n">
        <v>610.943333333333</v>
      </c>
      <c r="F531" s="7" t="n">
        <v>10</v>
      </c>
      <c r="G531" s="5" t="n">
        <v>7300</v>
      </c>
    </row>
    <row r="532" customFormat="false" ht="15" hidden="false" customHeight="false" outlineLevel="0" collapsed="false">
      <c r="A532" s="13" t="s">
        <v>177</v>
      </c>
      <c r="B532" s="13" t="s">
        <v>43</v>
      </c>
      <c r="C532" s="13" t="s">
        <v>4</v>
      </c>
      <c r="D532" s="13" t="s">
        <v>451</v>
      </c>
      <c r="E532" s="16" t="n">
        <v>815.265555555555</v>
      </c>
      <c r="F532" s="7" t="n">
        <v>5</v>
      </c>
      <c r="G532" s="5" t="n">
        <v>7300</v>
      </c>
    </row>
    <row r="533" customFormat="false" ht="15" hidden="false" customHeight="false" outlineLevel="0" collapsed="false">
      <c r="A533" s="13" t="s">
        <v>50</v>
      </c>
      <c r="B533" s="13" t="s">
        <v>43</v>
      </c>
      <c r="C533" s="13" t="s">
        <v>4</v>
      </c>
      <c r="D533" s="13" t="s">
        <v>452</v>
      </c>
      <c r="E533" s="16" t="n">
        <v>665.970909090909</v>
      </c>
      <c r="F533" s="7" t="n">
        <v>10</v>
      </c>
      <c r="G533" s="5" t="n">
        <v>7300</v>
      </c>
    </row>
    <row r="534" customFormat="false" ht="15" hidden="false" customHeight="false" outlineLevel="0" collapsed="false">
      <c r="A534" s="13" t="s">
        <v>50</v>
      </c>
      <c r="B534" s="13" t="s">
        <v>43</v>
      </c>
      <c r="C534" s="13" t="s">
        <v>4</v>
      </c>
      <c r="D534" s="13" t="s">
        <v>453</v>
      </c>
      <c r="E534" s="16" t="n">
        <v>1047.64</v>
      </c>
      <c r="F534" s="7" t="n">
        <v>5</v>
      </c>
      <c r="G534" s="5" t="n">
        <v>7300</v>
      </c>
    </row>
    <row r="535" customFormat="false" ht="15" hidden="false" customHeight="false" outlineLevel="0" collapsed="false">
      <c r="A535" s="13" t="s">
        <v>79</v>
      </c>
      <c r="B535" s="13" t="s">
        <v>43</v>
      </c>
      <c r="C535" s="13" t="s">
        <v>3</v>
      </c>
      <c r="D535" s="13" t="s">
        <v>454</v>
      </c>
      <c r="E535" s="16" t="n">
        <v>599.996666666667</v>
      </c>
      <c r="F535" s="7" t="n">
        <v>10</v>
      </c>
      <c r="G535" s="5" t="n">
        <v>7200</v>
      </c>
    </row>
    <row r="536" customFormat="false" ht="15" hidden="false" customHeight="false" outlineLevel="0" collapsed="false">
      <c r="A536" s="13" t="s">
        <v>124</v>
      </c>
      <c r="B536" s="13" t="s">
        <v>43</v>
      </c>
      <c r="C536" s="13" t="s">
        <v>5</v>
      </c>
      <c r="D536" s="13" t="s">
        <v>455</v>
      </c>
      <c r="E536" s="16" t="n">
        <v>717.55</v>
      </c>
      <c r="F536" s="7" t="n">
        <v>5</v>
      </c>
      <c r="G536" s="5" t="n">
        <v>7200</v>
      </c>
    </row>
    <row r="537" customFormat="false" ht="15" hidden="false" customHeight="false" outlineLevel="0" collapsed="false">
      <c r="A537" s="13" t="s">
        <v>50</v>
      </c>
      <c r="B537" s="13" t="s">
        <v>43</v>
      </c>
      <c r="C537" s="13" t="s">
        <v>5</v>
      </c>
      <c r="D537" s="13" t="s">
        <v>185</v>
      </c>
      <c r="E537" s="16" t="n">
        <v>800</v>
      </c>
      <c r="F537" s="7" t="n">
        <v>5</v>
      </c>
      <c r="G537" s="5" t="n">
        <v>7200</v>
      </c>
    </row>
    <row r="538" customFormat="false" ht="15" hidden="false" customHeight="false" outlineLevel="0" collapsed="false">
      <c r="A538" s="13" t="s">
        <v>103</v>
      </c>
      <c r="B538" s="13" t="s">
        <v>43</v>
      </c>
      <c r="C538" s="13" t="s">
        <v>5</v>
      </c>
      <c r="D538" s="13" t="s">
        <v>456</v>
      </c>
      <c r="E538" s="16" t="n">
        <v>172.288048780488</v>
      </c>
      <c r="F538" s="7" t="n">
        <v>40</v>
      </c>
      <c r="G538" s="5" t="n">
        <v>7100</v>
      </c>
    </row>
    <row r="539" customFormat="false" ht="15" hidden="false" customHeight="false" outlineLevel="0" collapsed="false">
      <c r="A539" s="13" t="s">
        <v>50</v>
      </c>
      <c r="B539" s="13" t="s">
        <v>43</v>
      </c>
      <c r="C539" s="13" t="s">
        <v>4</v>
      </c>
      <c r="D539" s="13" t="s">
        <v>457</v>
      </c>
      <c r="E539" s="16" t="n">
        <v>471.194666666667</v>
      </c>
      <c r="F539" s="7" t="n">
        <v>20</v>
      </c>
      <c r="G539" s="5" t="n">
        <v>7100</v>
      </c>
    </row>
    <row r="540" customFormat="false" ht="15" hidden="false" customHeight="false" outlineLevel="0" collapsed="false">
      <c r="A540" s="13" t="s">
        <v>105</v>
      </c>
      <c r="B540" s="13" t="s">
        <v>43</v>
      </c>
      <c r="C540" s="13" t="s">
        <v>4</v>
      </c>
      <c r="D540" s="13" t="s">
        <v>458</v>
      </c>
      <c r="E540" s="16" t="n">
        <v>648.441818181818</v>
      </c>
      <c r="F540" s="7" t="n">
        <v>10</v>
      </c>
      <c r="G540" s="5" t="n">
        <v>7100</v>
      </c>
    </row>
    <row r="541" customFormat="false" ht="15" hidden="false" customHeight="false" outlineLevel="0" collapsed="false">
      <c r="A541" s="13" t="s">
        <v>42</v>
      </c>
      <c r="B541" s="13" t="s">
        <v>43</v>
      </c>
      <c r="C541" s="13" t="s">
        <v>5</v>
      </c>
      <c r="D541" s="13" t="s">
        <v>459</v>
      </c>
      <c r="E541" s="16" t="n">
        <v>470.546666666667</v>
      </c>
      <c r="F541" s="7" t="n">
        <v>20</v>
      </c>
      <c r="G541" s="5" t="n">
        <v>7100</v>
      </c>
    </row>
    <row r="542" customFormat="false" ht="15" hidden="false" customHeight="false" outlineLevel="0" collapsed="false">
      <c r="A542" s="13" t="s">
        <v>42</v>
      </c>
      <c r="B542" s="13" t="s">
        <v>43</v>
      </c>
      <c r="C542" s="13" t="s">
        <v>5</v>
      </c>
      <c r="D542" s="13" t="s">
        <v>460</v>
      </c>
      <c r="E542" s="16" t="n">
        <v>708.464</v>
      </c>
      <c r="F542" s="7" t="n">
        <v>5</v>
      </c>
      <c r="G542" s="5" t="n">
        <v>7100</v>
      </c>
    </row>
    <row r="543" customFormat="false" ht="15" hidden="false" customHeight="false" outlineLevel="0" collapsed="false">
      <c r="A543" s="13" t="s">
        <v>50</v>
      </c>
      <c r="B543" s="13" t="s">
        <v>43</v>
      </c>
      <c r="C543" s="13" t="s">
        <v>4</v>
      </c>
      <c r="D543" s="13" t="s">
        <v>461</v>
      </c>
      <c r="E543" s="16" t="n">
        <v>781.915555555556</v>
      </c>
      <c r="F543" s="7" t="n">
        <v>5</v>
      </c>
      <c r="G543" s="5" t="n">
        <v>7000</v>
      </c>
    </row>
    <row r="544" customFormat="false" ht="15" hidden="false" customHeight="false" outlineLevel="0" collapsed="false">
      <c r="A544" s="13" t="s">
        <v>87</v>
      </c>
      <c r="B544" s="13" t="s">
        <v>66</v>
      </c>
      <c r="C544" s="13" t="s">
        <v>3</v>
      </c>
      <c r="D544" s="13" t="s">
        <v>462</v>
      </c>
      <c r="E544" s="16" t="n">
        <v>189.567027027027</v>
      </c>
      <c r="F544" s="7" t="n">
        <v>40</v>
      </c>
      <c r="G544" s="5" t="n">
        <v>7000</v>
      </c>
    </row>
    <row r="545" customFormat="false" ht="15" hidden="false" customHeight="false" outlineLevel="0" collapsed="false">
      <c r="A545" s="13" t="s">
        <v>229</v>
      </c>
      <c r="B545" s="13" t="s">
        <v>43</v>
      </c>
      <c r="C545" s="13" t="s">
        <v>4</v>
      </c>
      <c r="D545" s="13" t="s">
        <v>463</v>
      </c>
      <c r="E545" s="16" t="n">
        <v>260.321111111111</v>
      </c>
      <c r="F545" s="7" t="n">
        <v>30</v>
      </c>
      <c r="G545" s="5" t="n">
        <v>7000</v>
      </c>
    </row>
    <row r="546" customFormat="false" ht="15" hidden="false" customHeight="false" outlineLevel="0" collapsed="false">
      <c r="A546" s="13" t="s">
        <v>72</v>
      </c>
      <c r="B546" s="13" t="s">
        <v>43</v>
      </c>
      <c r="C546" s="13" t="s">
        <v>5</v>
      </c>
      <c r="D546" s="13" t="s">
        <v>221</v>
      </c>
      <c r="E546" s="16" t="n">
        <v>872</v>
      </c>
      <c r="F546" s="7" t="n">
        <v>5</v>
      </c>
      <c r="G546" s="5" t="n">
        <v>7000</v>
      </c>
    </row>
    <row r="547" customFormat="false" ht="15" hidden="false" customHeight="false" outlineLevel="0" collapsed="false">
      <c r="A547" s="13" t="s">
        <v>107</v>
      </c>
      <c r="B547" s="13" t="s">
        <v>43</v>
      </c>
      <c r="C547" s="13" t="s">
        <v>5</v>
      </c>
      <c r="D547" s="13" t="s">
        <v>464</v>
      </c>
      <c r="E547" s="16" t="n">
        <v>366.6</v>
      </c>
      <c r="F547" s="7" t="n">
        <v>20</v>
      </c>
      <c r="G547" s="5" t="n">
        <v>7000</v>
      </c>
    </row>
    <row r="548" customFormat="false" ht="15" hidden="false" customHeight="false" outlineLevel="0" collapsed="false">
      <c r="A548" s="13" t="s">
        <v>42</v>
      </c>
      <c r="B548" s="13" t="s">
        <v>43</v>
      </c>
      <c r="C548" s="13" t="s">
        <v>4</v>
      </c>
      <c r="D548" s="13" t="s">
        <v>48</v>
      </c>
      <c r="E548" s="16" t="n">
        <v>782.04</v>
      </c>
      <c r="F548" s="7" t="n">
        <v>5</v>
      </c>
      <c r="G548" s="5" t="n">
        <v>7000</v>
      </c>
    </row>
    <row r="549" customFormat="false" ht="15" hidden="false" customHeight="false" outlineLevel="0" collapsed="false">
      <c r="A549" s="13" t="s">
        <v>87</v>
      </c>
      <c r="B549" s="13" t="s">
        <v>66</v>
      </c>
      <c r="C549" s="13" t="s">
        <v>3</v>
      </c>
      <c r="D549" s="13" t="s">
        <v>465</v>
      </c>
      <c r="E549" s="16" t="n">
        <v>1745.115</v>
      </c>
      <c r="F549" s="7" t="n">
        <v>2</v>
      </c>
      <c r="G549" s="5" t="n">
        <v>7000</v>
      </c>
    </row>
    <row r="550" customFormat="false" ht="15" hidden="false" customHeight="false" outlineLevel="0" collapsed="false">
      <c r="A550" s="13" t="s">
        <v>124</v>
      </c>
      <c r="B550" s="13" t="s">
        <v>43</v>
      </c>
      <c r="C550" s="13" t="s">
        <v>5</v>
      </c>
      <c r="D550" s="13" t="s">
        <v>466</v>
      </c>
      <c r="E550" s="16" t="n">
        <v>1002.16</v>
      </c>
      <c r="F550" s="7" t="n">
        <v>5</v>
      </c>
      <c r="G550" s="5" t="n">
        <v>7000</v>
      </c>
    </row>
    <row r="551" customFormat="false" ht="15" hidden="false" customHeight="false" outlineLevel="0" collapsed="false">
      <c r="A551" s="13" t="s">
        <v>177</v>
      </c>
      <c r="B551" s="13" t="s">
        <v>43</v>
      </c>
      <c r="C551" s="13" t="s">
        <v>5</v>
      </c>
      <c r="D551" s="13" t="s">
        <v>467</v>
      </c>
      <c r="E551" s="16" t="n">
        <v>699</v>
      </c>
      <c r="F551" s="7" t="n">
        <v>5</v>
      </c>
      <c r="G551" s="5" t="n">
        <v>7000</v>
      </c>
    </row>
    <row r="552" customFormat="false" ht="15" hidden="false" customHeight="false" outlineLevel="0" collapsed="false">
      <c r="A552" s="13" t="s">
        <v>42</v>
      </c>
      <c r="B552" s="13" t="s">
        <v>43</v>
      </c>
      <c r="C552" s="13" t="s">
        <v>4</v>
      </c>
      <c r="D552" s="13" t="s">
        <v>468</v>
      </c>
      <c r="E552" s="16" t="n">
        <v>762.866666666667</v>
      </c>
      <c r="F552" s="7" t="n">
        <v>5</v>
      </c>
      <c r="G552" s="5" t="n">
        <v>6900</v>
      </c>
    </row>
    <row r="553" customFormat="false" ht="15" hidden="false" customHeight="false" outlineLevel="0" collapsed="false">
      <c r="A553" s="13" t="s">
        <v>50</v>
      </c>
      <c r="B553" s="13" t="s">
        <v>43</v>
      </c>
      <c r="C553" s="13" t="s">
        <v>4</v>
      </c>
      <c r="D553" s="13" t="s">
        <v>110</v>
      </c>
      <c r="E553" s="16" t="n">
        <v>864.46</v>
      </c>
      <c r="F553" s="7" t="n">
        <v>5</v>
      </c>
      <c r="G553" s="5" t="n">
        <v>6900</v>
      </c>
    </row>
    <row r="554" customFormat="false" ht="15" hidden="false" customHeight="false" outlineLevel="0" collapsed="false">
      <c r="A554" s="13" t="s">
        <v>195</v>
      </c>
      <c r="B554" s="13" t="s">
        <v>43</v>
      </c>
      <c r="C554" s="13" t="s">
        <v>5</v>
      </c>
      <c r="D554" s="13" t="s">
        <v>196</v>
      </c>
      <c r="E554" s="16" t="n">
        <v>625.876363636364</v>
      </c>
      <c r="F554" s="7" t="n">
        <v>10</v>
      </c>
      <c r="G554" s="5" t="n">
        <v>6900</v>
      </c>
    </row>
    <row r="555" customFormat="false" ht="15" hidden="false" customHeight="false" outlineLevel="0" collapsed="false">
      <c r="A555" s="13" t="s">
        <v>79</v>
      </c>
      <c r="B555" s="13" t="s">
        <v>43</v>
      </c>
      <c r="C555" s="13" t="s">
        <v>4</v>
      </c>
      <c r="D555" s="13" t="s">
        <v>469</v>
      </c>
      <c r="E555" s="16" t="n">
        <v>769.196666666666</v>
      </c>
      <c r="F555" s="7" t="n">
        <v>5</v>
      </c>
      <c r="G555" s="5" t="n">
        <v>6900</v>
      </c>
    </row>
    <row r="556" customFormat="false" ht="15" hidden="false" customHeight="false" outlineLevel="0" collapsed="false">
      <c r="A556" s="13" t="s">
        <v>45</v>
      </c>
      <c r="B556" s="13" t="s">
        <v>43</v>
      </c>
      <c r="C556" s="13" t="s">
        <v>5</v>
      </c>
      <c r="D556" s="13" t="s">
        <v>113</v>
      </c>
      <c r="E556" s="16" t="n">
        <v>750</v>
      </c>
      <c r="F556" s="7" t="n">
        <v>5</v>
      </c>
      <c r="G556" s="5" t="n">
        <v>6800</v>
      </c>
    </row>
    <row r="557" customFormat="false" ht="15" hidden="false" customHeight="false" outlineLevel="0" collapsed="false">
      <c r="A557" s="13" t="s">
        <v>124</v>
      </c>
      <c r="B557" s="13" t="s">
        <v>43</v>
      </c>
      <c r="C557" s="13" t="s">
        <v>5</v>
      </c>
      <c r="D557" s="13" t="s">
        <v>125</v>
      </c>
      <c r="E557" s="16" t="n">
        <v>426.716875</v>
      </c>
      <c r="F557" s="7" t="n">
        <v>20</v>
      </c>
      <c r="G557" s="5" t="n">
        <v>6800</v>
      </c>
    </row>
    <row r="558" customFormat="false" ht="15" hidden="false" customHeight="false" outlineLevel="0" collapsed="false">
      <c r="A558" s="13" t="s">
        <v>470</v>
      </c>
      <c r="B558" s="13" t="s">
        <v>144</v>
      </c>
      <c r="C558" s="13" t="s">
        <v>3</v>
      </c>
      <c r="D558" s="13" t="s">
        <v>471</v>
      </c>
      <c r="E558" s="16" t="n">
        <v>103.722615384615</v>
      </c>
      <c r="F558" s="7" t="n">
        <v>60</v>
      </c>
      <c r="G558" s="5" t="n">
        <v>6700</v>
      </c>
    </row>
    <row r="559" customFormat="false" ht="15" hidden="false" customHeight="false" outlineLevel="0" collapsed="false">
      <c r="A559" s="13" t="s">
        <v>191</v>
      </c>
      <c r="B559" s="13" t="s">
        <v>183</v>
      </c>
      <c r="C559" s="13" t="s">
        <v>3</v>
      </c>
      <c r="D559" s="13" t="s">
        <v>472</v>
      </c>
      <c r="E559" s="16" t="n">
        <v>113.58813559322</v>
      </c>
      <c r="F559" s="7" t="n">
        <v>60</v>
      </c>
      <c r="G559" s="5" t="n">
        <v>6700</v>
      </c>
    </row>
    <row r="560" customFormat="false" ht="15" hidden="false" customHeight="false" outlineLevel="0" collapsed="false">
      <c r="A560" s="13" t="s">
        <v>105</v>
      </c>
      <c r="B560" s="13" t="s">
        <v>43</v>
      </c>
      <c r="C560" s="13" t="s">
        <v>5</v>
      </c>
      <c r="D560" s="13" t="s">
        <v>473</v>
      </c>
      <c r="E560" s="16" t="n">
        <v>445.724</v>
      </c>
      <c r="F560" s="7" t="n">
        <v>20</v>
      </c>
      <c r="G560" s="5" t="n">
        <v>6700</v>
      </c>
    </row>
    <row r="561" customFormat="false" ht="15" hidden="false" customHeight="false" outlineLevel="0" collapsed="false">
      <c r="A561" s="13" t="s">
        <v>42</v>
      </c>
      <c r="B561" s="13" t="s">
        <v>43</v>
      </c>
      <c r="C561" s="13" t="s">
        <v>4</v>
      </c>
      <c r="D561" s="13" t="s">
        <v>474</v>
      </c>
      <c r="E561" s="16" t="n">
        <v>833.34</v>
      </c>
      <c r="F561" s="7" t="n">
        <v>5</v>
      </c>
      <c r="G561" s="5" t="n">
        <v>6700</v>
      </c>
    </row>
    <row r="562" customFormat="false" ht="15" hidden="false" customHeight="false" outlineLevel="0" collapsed="false">
      <c r="A562" s="13" t="s">
        <v>161</v>
      </c>
      <c r="B562" s="13" t="s">
        <v>43</v>
      </c>
      <c r="C562" s="13" t="s">
        <v>4</v>
      </c>
      <c r="D562" s="13" t="s">
        <v>171</v>
      </c>
      <c r="E562" s="16" t="n">
        <v>373.45</v>
      </c>
      <c r="F562" s="7" t="n">
        <v>20</v>
      </c>
      <c r="G562" s="5" t="n">
        <v>6700</v>
      </c>
    </row>
    <row r="563" customFormat="false" ht="15" hidden="false" customHeight="false" outlineLevel="0" collapsed="false">
      <c r="A563" s="13" t="s">
        <v>470</v>
      </c>
      <c r="B563" s="13" t="s">
        <v>129</v>
      </c>
      <c r="C563" s="13" t="s">
        <v>3</v>
      </c>
      <c r="D563" s="13" t="s">
        <v>475</v>
      </c>
      <c r="E563" s="16" t="n">
        <v>59.0164285714286</v>
      </c>
      <c r="F563" s="7" t="n">
        <v>110</v>
      </c>
      <c r="G563" s="5" t="n">
        <v>6600</v>
      </c>
    </row>
    <row r="564" customFormat="false" ht="15" hidden="false" customHeight="false" outlineLevel="0" collapsed="false">
      <c r="A564" s="13" t="s">
        <v>175</v>
      </c>
      <c r="B564" s="13" t="s">
        <v>85</v>
      </c>
      <c r="C564" s="13" t="s">
        <v>3</v>
      </c>
      <c r="D564" s="13" t="s">
        <v>476</v>
      </c>
      <c r="E564" s="16" t="n">
        <v>169</v>
      </c>
      <c r="F564" s="7" t="n">
        <v>40</v>
      </c>
      <c r="G564" s="5" t="n">
        <v>6600</v>
      </c>
    </row>
    <row r="565" customFormat="false" ht="15" hidden="false" customHeight="false" outlineLevel="0" collapsed="false">
      <c r="A565" s="13" t="s">
        <v>179</v>
      </c>
      <c r="B565" s="13" t="s">
        <v>85</v>
      </c>
      <c r="C565" s="13" t="s">
        <v>3</v>
      </c>
      <c r="D565" s="13" t="s">
        <v>477</v>
      </c>
      <c r="E565" s="16" t="n">
        <v>599</v>
      </c>
      <c r="F565" s="7" t="n">
        <v>10</v>
      </c>
      <c r="G565" s="5" t="n">
        <v>6600</v>
      </c>
    </row>
    <row r="566" customFormat="false" ht="15" hidden="false" customHeight="false" outlineLevel="0" collapsed="false">
      <c r="A566" s="13" t="s">
        <v>229</v>
      </c>
      <c r="B566" s="13" t="s">
        <v>43</v>
      </c>
      <c r="C566" s="13" t="s">
        <v>4</v>
      </c>
      <c r="D566" s="13" t="s">
        <v>478</v>
      </c>
      <c r="E566" s="16" t="n">
        <v>316.659047619048</v>
      </c>
      <c r="F566" s="7" t="n">
        <v>20</v>
      </c>
      <c r="G566" s="5" t="n">
        <v>6600</v>
      </c>
    </row>
    <row r="567" customFormat="false" ht="15" hidden="false" customHeight="false" outlineLevel="0" collapsed="false">
      <c r="A567" s="13" t="s">
        <v>270</v>
      </c>
      <c r="B567" s="13" t="s">
        <v>43</v>
      </c>
      <c r="C567" s="13" t="s">
        <v>3</v>
      </c>
      <c r="D567" s="13" t="s">
        <v>479</v>
      </c>
      <c r="E567" s="16" t="n">
        <v>202.638125</v>
      </c>
      <c r="F567" s="7" t="n">
        <v>30</v>
      </c>
      <c r="G567" s="5" t="n">
        <v>6500</v>
      </c>
    </row>
    <row r="568" customFormat="false" ht="15" hidden="false" customHeight="false" outlineLevel="0" collapsed="false">
      <c r="A568" s="13" t="s">
        <v>42</v>
      </c>
      <c r="B568" s="13" t="s">
        <v>43</v>
      </c>
      <c r="C568" s="13" t="s">
        <v>4</v>
      </c>
      <c r="D568" s="13" t="s">
        <v>91</v>
      </c>
      <c r="E568" s="16" t="n">
        <v>717.062222222222</v>
      </c>
      <c r="F568" s="7" t="n">
        <v>5</v>
      </c>
      <c r="G568" s="5" t="n">
        <v>6500</v>
      </c>
    </row>
    <row r="569" customFormat="false" ht="15" hidden="false" customHeight="false" outlineLevel="0" collapsed="false">
      <c r="A569" s="13" t="s">
        <v>50</v>
      </c>
      <c r="B569" s="13" t="s">
        <v>43</v>
      </c>
      <c r="C569" s="13" t="s">
        <v>4</v>
      </c>
      <c r="D569" s="13" t="s">
        <v>480</v>
      </c>
      <c r="E569" s="16" t="n">
        <v>648.098</v>
      </c>
      <c r="F569" s="7" t="n">
        <v>5</v>
      </c>
      <c r="G569" s="5" t="n">
        <v>6500</v>
      </c>
    </row>
    <row r="570" customFormat="false" ht="15" hidden="false" customHeight="false" outlineLevel="0" collapsed="false">
      <c r="A570" s="13" t="s">
        <v>50</v>
      </c>
      <c r="B570" s="13" t="s">
        <v>43</v>
      </c>
      <c r="C570" s="13" t="s">
        <v>4</v>
      </c>
      <c r="D570" s="13" t="s">
        <v>481</v>
      </c>
      <c r="E570" s="16" t="n">
        <v>816.895</v>
      </c>
      <c r="F570" s="7" t="n">
        <v>5</v>
      </c>
      <c r="G570" s="5" t="n">
        <v>6500</v>
      </c>
    </row>
    <row r="571" customFormat="false" ht="15" hidden="false" customHeight="false" outlineLevel="0" collapsed="false">
      <c r="A571" s="13" t="s">
        <v>65</v>
      </c>
      <c r="B571" s="13" t="s">
        <v>66</v>
      </c>
      <c r="C571" s="13" t="s">
        <v>3</v>
      </c>
      <c r="D571" s="13" t="s">
        <v>482</v>
      </c>
      <c r="E571" s="16" t="n">
        <v>268.756666666667</v>
      </c>
      <c r="F571" s="7" t="n">
        <v>20</v>
      </c>
      <c r="G571" s="5" t="n">
        <v>6500</v>
      </c>
    </row>
    <row r="572" customFormat="false" ht="15" hidden="false" customHeight="false" outlineLevel="0" collapsed="false">
      <c r="A572" s="13" t="s">
        <v>72</v>
      </c>
      <c r="B572" s="13" t="s">
        <v>43</v>
      </c>
      <c r="C572" s="13" t="s">
        <v>5</v>
      </c>
      <c r="D572" s="13" t="s">
        <v>434</v>
      </c>
      <c r="E572" s="16" t="n">
        <v>594.545454545455</v>
      </c>
      <c r="F572" s="7" t="n">
        <v>10</v>
      </c>
      <c r="G572" s="5" t="n">
        <v>6500</v>
      </c>
    </row>
    <row r="573" customFormat="false" ht="15" hidden="false" customHeight="false" outlineLevel="0" collapsed="false">
      <c r="A573" s="13" t="s">
        <v>61</v>
      </c>
      <c r="B573" s="13" t="s">
        <v>43</v>
      </c>
      <c r="C573" s="13" t="s">
        <v>5</v>
      </c>
      <c r="D573" s="13" t="s">
        <v>441</v>
      </c>
      <c r="E573" s="16" t="n">
        <v>344.647368421053</v>
      </c>
      <c r="F573" s="7" t="n">
        <v>20</v>
      </c>
      <c r="G573" s="5" t="n">
        <v>6500</v>
      </c>
    </row>
    <row r="574" customFormat="false" ht="15" hidden="false" customHeight="false" outlineLevel="0" collapsed="false">
      <c r="A574" s="13" t="s">
        <v>153</v>
      </c>
      <c r="B574" s="13" t="s">
        <v>43</v>
      </c>
      <c r="C574" s="13" t="s">
        <v>5</v>
      </c>
      <c r="D574" s="13" t="s">
        <v>483</v>
      </c>
      <c r="E574" s="16" t="n">
        <v>294.659545454545</v>
      </c>
      <c r="F574" s="7" t="n">
        <v>20</v>
      </c>
      <c r="G574" s="5" t="n">
        <v>6500</v>
      </c>
    </row>
    <row r="575" customFormat="false" ht="15" hidden="false" customHeight="false" outlineLevel="0" collapsed="false">
      <c r="A575" s="13" t="s">
        <v>193</v>
      </c>
      <c r="B575" s="13" t="s">
        <v>43</v>
      </c>
      <c r="C575" s="13" t="s">
        <v>5</v>
      </c>
      <c r="D575" s="13" t="s">
        <v>379</v>
      </c>
      <c r="E575" s="16" t="n">
        <v>705.706666666666</v>
      </c>
      <c r="F575" s="7" t="n">
        <v>5</v>
      </c>
      <c r="G575" s="5" t="n">
        <v>6400</v>
      </c>
    </row>
    <row r="576" customFormat="false" ht="15" hidden="false" customHeight="false" outlineLevel="0" collapsed="false">
      <c r="A576" s="13" t="s">
        <v>42</v>
      </c>
      <c r="B576" s="13" t="s">
        <v>43</v>
      </c>
      <c r="C576" s="13" t="s">
        <v>5</v>
      </c>
      <c r="D576" s="13" t="s">
        <v>246</v>
      </c>
      <c r="E576" s="16" t="n">
        <v>636.64</v>
      </c>
      <c r="F576" s="7" t="n">
        <v>5</v>
      </c>
      <c r="G576" s="5" t="n">
        <v>6400</v>
      </c>
    </row>
    <row r="577" customFormat="false" ht="15" hidden="false" customHeight="false" outlineLevel="0" collapsed="false">
      <c r="A577" s="13" t="s">
        <v>107</v>
      </c>
      <c r="B577" s="13" t="s">
        <v>183</v>
      </c>
      <c r="C577" s="13" t="s">
        <v>5</v>
      </c>
      <c r="D577" s="13" t="s">
        <v>484</v>
      </c>
      <c r="E577" s="16" t="n">
        <v>289.968181818182</v>
      </c>
      <c r="F577" s="7" t="n">
        <v>20</v>
      </c>
      <c r="G577" s="5" t="n">
        <v>6400</v>
      </c>
    </row>
    <row r="578" customFormat="false" ht="15" hidden="false" customHeight="false" outlineLevel="0" collapsed="false">
      <c r="A578" s="13" t="s">
        <v>103</v>
      </c>
      <c r="B578" s="13" t="s">
        <v>43</v>
      </c>
      <c r="C578" s="13" t="s">
        <v>4</v>
      </c>
      <c r="D578" s="13" t="s">
        <v>104</v>
      </c>
      <c r="E578" s="16" t="n">
        <v>227.107857142857</v>
      </c>
      <c r="F578" s="7" t="n">
        <v>30</v>
      </c>
      <c r="G578" s="5" t="n">
        <v>6400</v>
      </c>
    </row>
    <row r="579" customFormat="false" ht="15" hidden="false" customHeight="false" outlineLevel="0" collapsed="false">
      <c r="A579" s="13" t="s">
        <v>126</v>
      </c>
      <c r="B579" s="13" t="s">
        <v>43</v>
      </c>
      <c r="C579" s="13" t="s">
        <v>3</v>
      </c>
      <c r="D579" s="13" t="s">
        <v>485</v>
      </c>
      <c r="E579" s="16" t="n">
        <v>188.815588235294</v>
      </c>
      <c r="F579" s="7" t="n">
        <v>30</v>
      </c>
      <c r="G579" s="5" t="n">
        <v>6400</v>
      </c>
    </row>
    <row r="580" customFormat="false" ht="15" hidden="false" customHeight="false" outlineLevel="0" collapsed="false">
      <c r="A580" s="13" t="s">
        <v>42</v>
      </c>
      <c r="B580" s="13" t="s">
        <v>43</v>
      </c>
      <c r="C580" s="13" t="s">
        <v>4</v>
      </c>
      <c r="D580" s="13" t="s">
        <v>422</v>
      </c>
      <c r="E580" s="16" t="n">
        <v>634.23</v>
      </c>
      <c r="F580" s="7" t="n">
        <v>5</v>
      </c>
      <c r="G580" s="5" t="n">
        <v>6300</v>
      </c>
    </row>
    <row r="581" customFormat="false" ht="15" hidden="false" customHeight="false" outlineLevel="0" collapsed="false">
      <c r="A581" s="13" t="s">
        <v>79</v>
      </c>
      <c r="B581" s="13" t="s">
        <v>43</v>
      </c>
      <c r="C581" s="13" t="s">
        <v>5</v>
      </c>
      <c r="D581" s="13" t="s">
        <v>486</v>
      </c>
      <c r="E581" s="16" t="n">
        <v>575.545454545455</v>
      </c>
      <c r="F581" s="7" t="n">
        <v>10</v>
      </c>
      <c r="G581" s="5" t="n">
        <v>6300</v>
      </c>
    </row>
    <row r="582" customFormat="false" ht="15" hidden="false" customHeight="false" outlineLevel="0" collapsed="false">
      <c r="A582" s="13" t="s">
        <v>191</v>
      </c>
      <c r="B582" s="13" t="s">
        <v>183</v>
      </c>
      <c r="C582" s="13" t="s">
        <v>3</v>
      </c>
      <c r="D582" s="13" t="s">
        <v>487</v>
      </c>
      <c r="E582" s="16" t="n">
        <v>149.895238095238</v>
      </c>
      <c r="F582" s="7" t="n">
        <v>40</v>
      </c>
      <c r="G582" s="5" t="n">
        <v>6300</v>
      </c>
    </row>
    <row r="583" customFormat="false" ht="15" hidden="false" customHeight="false" outlineLevel="0" collapsed="false">
      <c r="A583" s="13" t="s">
        <v>286</v>
      </c>
      <c r="B583" s="13" t="s">
        <v>43</v>
      </c>
      <c r="C583" s="13" t="s">
        <v>4</v>
      </c>
      <c r="D583" s="13" t="s">
        <v>488</v>
      </c>
      <c r="E583" s="16" t="n">
        <v>264.305</v>
      </c>
      <c r="F583" s="7" t="n">
        <v>20</v>
      </c>
      <c r="G583" s="5" t="n">
        <v>6300</v>
      </c>
    </row>
    <row r="584" customFormat="false" ht="15" hidden="false" customHeight="false" outlineLevel="0" collapsed="false">
      <c r="A584" s="13" t="s">
        <v>42</v>
      </c>
      <c r="B584" s="13" t="s">
        <v>43</v>
      </c>
      <c r="C584" s="13" t="s">
        <v>4</v>
      </c>
      <c r="D584" s="13" t="s">
        <v>151</v>
      </c>
      <c r="E584" s="16" t="n">
        <v>782.04</v>
      </c>
      <c r="F584" s="7" t="n">
        <v>5</v>
      </c>
      <c r="G584" s="5" t="n">
        <v>6300</v>
      </c>
    </row>
    <row r="585" customFormat="false" ht="15" hidden="false" customHeight="false" outlineLevel="0" collapsed="false">
      <c r="A585" s="13" t="s">
        <v>124</v>
      </c>
      <c r="B585" s="13" t="s">
        <v>43</v>
      </c>
      <c r="C585" s="13" t="s">
        <v>5</v>
      </c>
      <c r="D585" s="13" t="s">
        <v>238</v>
      </c>
      <c r="E585" s="16" t="n">
        <v>567.100909090909</v>
      </c>
      <c r="F585" s="7" t="n">
        <v>10</v>
      </c>
      <c r="G585" s="5" t="n">
        <v>6200</v>
      </c>
    </row>
    <row r="586" customFormat="false" ht="15" hidden="false" customHeight="false" outlineLevel="0" collapsed="false">
      <c r="A586" s="13" t="s">
        <v>50</v>
      </c>
      <c r="B586" s="13" t="s">
        <v>43</v>
      </c>
      <c r="C586" s="13" t="s">
        <v>4</v>
      </c>
      <c r="D586" s="13" t="s">
        <v>489</v>
      </c>
      <c r="E586" s="16" t="n">
        <v>444.11</v>
      </c>
      <c r="F586" s="7" t="n">
        <v>10</v>
      </c>
      <c r="G586" s="5" t="n">
        <v>6200</v>
      </c>
    </row>
    <row r="587" customFormat="false" ht="15" hidden="false" customHeight="false" outlineLevel="0" collapsed="false">
      <c r="A587" s="13" t="s">
        <v>490</v>
      </c>
      <c r="B587" s="13" t="s">
        <v>43</v>
      </c>
      <c r="C587" s="13" t="s">
        <v>3</v>
      </c>
      <c r="D587" s="13" t="s">
        <v>491</v>
      </c>
      <c r="E587" s="16" t="n">
        <v>416.536</v>
      </c>
      <c r="F587" s="7" t="n">
        <v>20</v>
      </c>
      <c r="G587" s="5" t="n">
        <v>6200</v>
      </c>
    </row>
    <row r="588" customFormat="false" ht="15" hidden="false" customHeight="false" outlineLevel="0" collapsed="false">
      <c r="A588" s="13" t="s">
        <v>50</v>
      </c>
      <c r="B588" s="13" t="s">
        <v>43</v>
      </c>
      <c r="C588" s="13" t="s">
        <v>5</v>
      </c>
      <c r="D588" s="13" t="s">
        <v>492</v>
      </c>
      <c r="E588" s="16" t="n">
        <v>622.2</v>
      </c>
      <c r="F588" s="7" t="n">
        <v>5</v>
      </c>
      <c r="G588" s="5" t="n">
        <v>6200</v>
      </c>
    </row>
    <row r="589" customFormat="false" ht="15" hidden="false" customHeight="false" outlineLevel="0" collapsed="false">
      <c r="A589" s="13" t="s">
        <v>42</v>
      </c>
      <c r="B589" s="13" t="s">
        <v>43</v>
      </c>
      <c r="C589" s="13" t="s">
        <v>5</v>
      </c>
      <c r="D589" s="13" t="s">
        <v>493</v>
      </c>
      <c r="E589" s="16" t="n">
        <v>414.98</v>
      </c>
      <c r="F589" s="7" t="n">
        <v>20</v>
      </c>
      <c r="G589" s="5" t="n">
        <v>6200</v>
      </c>
    </row>
    <row r="590" customFormat="false" ht="15" hidden="false" customHeight="false" outlineLevel="0" collapsed="false">
      <c r="A590" s="13" t="s">
        <v>50</v>
      </c>
      <c r="B590" s="13" t="s">
        <v>43</v>
      </c>
      <c r="C590" s="13" t="s">
        <v>4</v>
      </c>
      <c r="D590" s="13" t="s">
        <v>189</v>
      </c>
      <c r="E590" s="16" t="n">
        <v>661.34</v>
      </c>
      <c r="F590" s="7" t="n">
        <v>5</v>
      </c>
      <c r="G590" s="5" t="n">
        <v>6000</v>
      </c>
    </row>
    <row r="591" customFormat="false" ht="15" hidden="false" customHeight="false" outlineLevel="0" collapsed="false">
      <c r="A591" s="13" t="s">
        <v>124</v>
      </c>
      <c r="B591" s="13" t="s">
        <v>43</v>
      </c>
      <c r="C591" s="13" t="s">
        <v>5</v>
      </c>
      <c r="D591" s="13" t="s">
        <v>494</v>
      </c>
      <c r="E591" s="16" t="n">
        <v>670.852222222222</v>
      </c>
      <c r="F591" s="7" t="n">
        <v>5</v>
      </c>
      <c r="G591" s="5" t="n">
        <v>6000</v>
      </c>
    </row>
    <row r="592" customFormat="false" ht="15" hidden="false" customHeight="false" outlineLevel="0" collapsed="false">
      <c r="A592" s="13" t="s">
        <v>42</v>
      </c>
      <c r="B592" s="13" t="s">
        <v>43</v>
      </c>
      <c r="C592" s="13" t="s">
        <v>5</v>
      </c>
      <c r="D592" s="13" t="s">
        <v>89</v>
      </c>
      <c r="E592" s="16" t="n">
        <v>501.69</v>
      </c>
      <c r="F592" s="7" t="n">
        <v>10</v>
      </c>
      <c r="G592" s="5" t="n">
        <v>6000</v>
      </c>
    </row>
    <row r="593" customFormat="false" ht="15" hidden="false" customHeight="false" outlineLevel="0" collapsed="false">
      <c r="A593" s="13" t="s">
        <v>193</v>
      </c>
      <c r="B593" s="13" t="s">
        <v>43</v>
      </c>
      <c r="C593" s="13" t="s">
        <v>5</v>
      </c>
      <c r="D593" s="13" t="s">
        <v>379</v>
      </c>
      <c r="E593" s="16" t="n">
        <v>600.16</v>
      </c>
      <c r="F593" s="7" t="n">
        <v>5</v>
      </c>
      <c r="G593" s="5" t="n">
        <v>6000</v>
      </c>
    </row>
    <row r="594" customFormat="false" ht="15" hidden="false" customHeight="false" outlineLevel="0" collapsed="false">
      <c r="A594" s="13" t="s">
        <v>61</v>
      </c>
      <c r="B594" s="13" t="s">
        <v>43</v>
      </c>
      <c r="C594" s="13" t="s">
        <v>5</v>
      </c>
      <c r="D594" s="13" t="s">
        <v>495</v>
      </c>
      <c r="E594" s="16" t="n">
        <v>332.281666666667</v>
      </c>
      <c r="F594" s="7" t="n">
        <v>20</v>
      </c>
      <c r="G594" s="5" t="n">
        <v>6000</v>
      </c>
    </row>
    <row r="595" customFormat="false" ht="15" hidden="false" customHeight="false" outlineLevel="0" collapsed="false">
      <c r="A595" s="13" t="s">
        <v>42</v>
      </c>
      <c r="B595" s="13" t="s">
        <v>43</v>
      </c>
      <c r="C595" s="13" t="s">
        <v>5</v>
      </c>
      <c r="D595" s="13" t="s">
        <v>246</v>
      </c>
      <c r="E595" s="16" t="n">
        <v>857.528571428572</v>
      </c>
      <c r="F595" s="7" t="n">
        <v>5</v>
      </c>
      <c r="G595" s="5" t="n">
        <v>6000</v>
      </c>
    </row>
    <row r="596" customFormat="false" ht="15" hidden="false" customHeight="false" outlineLevel="0" collapsed="false">
      <c r="A596" s="13" t="s">
        <v>42</v>
      </c>
      <c r="B596" s="13" t="s">
        <v>43</v>
      </c>
      <c r="C596" s="13" t="s">
        <v>4</v>
      </c>
      <c r="D596" s="13" t="s">
        <v>244</v>
      </c>
      <c r="E596" s="16" t="n">
        <v>464.796153846154</v>
      </c>
      <c r="F596" s="7" t="n">
        <v>10</v>
      </c>
      <c r="G596" s="5" t="n">
        <v>6000</v>
      </c>
    </row>
    <row r="597" customFormat="false" ht="15" hidden="false" customHeight="false" outlineLevel="0" collapsed="false">
      <c r="A597" s="13" t="s">
        <v>470</v>
      </c>
      <c r="B597" s="13" t="s">
        <v>85</v>
      </c>
      <c r="C597" s="13" t="s">
        <v>3</v>
      </c>
      <c r="D597" s="13" t="s">
        <v>496</v>
      </c>
      <c r="E597" s="16" t="n">
        <v>163</v>
      </c>
      <c r="F597" s="7" t="n">
        <v>40</v>
      </c>
      <c r="G597" s="5" t="n">
        <v>6000</v>
      </c>
    </row>
    <row r="598" customFormat="false" ht="15" hidden="false" customHeight="false" outlineLevel="0" collapsed="false">
      <c r="A598" s="13" t="s">
        <v>42</v>
      </c>
      <c r="B598" s="13" t="s">
        <v>43</v>
      </c>
      <c r="C598" s="13" t="s">
        <v>5</v>
      </c>
      <c r="D598" s="13" t="s">
        <v>351</v>
      </c>
      <c r="E598" s="16" t="n">
        <v>593.263</v>
      </c>
      <c r="F598" s="7" t="n">
        <v>5</v>
      </c>
      <c r="G598" s="5" t="n">
        <v>5900</v>
      </c>
    </row>
    <row r="599" customFormat="false" ht="15" hidden="false" customHeight="false" outlineLevel="0" collapsed="false">
      <c r="A599" s="13" t="s">
        <v>45</v>
      </c>
      <c r="B599" s="13" t="s">
        <v>43</v>
      </c>
      <c r="C599" s="13" t="s">
        <v>5</v>
      </c>
      <c r="D599" s="13" t="s">
        <v>409</v>
      </c>
      <c r="E599" s="16" t="n">
        <v>491</v>
      </c>
      <c r="F599" s="7" t="n">
        <v>10</v>
      </c>
      <c r="G599" s="5" t="n">
        <v>5900</v>
      </c>
    </row>
    <row r="600" customFormat="false" ht="15" hidden="false" customHeight="false" outlineLevel="0" collapsed="false">
      <c r="A600" s="13" t="s">
        <v>45</v>
      </c>
      <c r="B600" s="13" t="s">
        <v>43</v>
      </c>
      <c r="C600" s="13" t="s">
        <v>5</v>
      </c>
      <c r="D600" s="13" t="s">
        <v>113</v>
      </c>
      <c r="E600" s="16" t="n">
        <v>656</v>
      </c>
      <c r="F600" s="7" t="n">
        <v>5</v>
      </c>
      <c r="G600" s="5" t="n">
        <v>5900</v>
      </c>
    </row>
    <row r="601" customFormat="false" ht="15" hidden="false" customHeight="false" outlineLevel="0" collapsed="false">
      <c r="A601" s="13" t="s">
        <v>42</v>
      </c>
      <c r="B601" s="13" t="s">
        <v>43</v>
      </c>
      <c r="C601" s="13" t="s">
        <v>4</v>
      </c>
      <c r="D601" s="13" t="s">
        <v>324</v>
      </c>
      <c r="E601" s="16" t="n">
        <v>489.575</v>
      </c>
      <c r="F601" s="7" t="n">
        <v>10</v>
      </c>
      <c r="G601" s="5" t="n">
        <v>5900</v>
      </c>
    </row>
    <row r="602" customFormat="false" ht="15" hidden="false" customHeight="false" outlineLevel="0" collapsed="false">
      <c r="A602" s="13" t="s">
        <v>45</v>
      </c>
      <c r="B602" s="13" t="s">
        <v>43</v>
      </c>
      <c r="C602" s="13" t="s">
        <v>4</v>
      </c>
      <c r="D602" s="13" t="s">
        <v>113</v>
      </c>
      <c r="E602" s="16" t="n">
        <v>849.708571428571</v>
      </c>
      <c r="F602" s="7" t="n">
        <v>5</v>
      </c>
      <c r="G602" s="5" t="n">
        <v>5900</v>
      </c>
    </row>
    <row r="603" customFormat="false" ht="15" hidden="false" customHeight="false" outlineLevel="0" collapsed="false">
      <c r="A603" s="13" t="s">
        <v>50</v>
      </c>
      <c r="B603" s="13" t="s">
        <v>43</v>
      </c>
      <c r="C603" s="13" t="s">
        <v>5</v>
      </c>
      <c r="D603" s="13" t="s">
        <v>52</v>
      </c>
      <c r="E603" s="16" t="n">
        <v>589</v>
      </c>
      <c r="F603" s="7" t="n">
        <v>5</v>
      </c>
      <c r="G603" s="5" t="n">
        <v>5900</v>
      </c>
    </row>
    <row r="604" customFormat="false" ht="15" hidden="false" customHeight="false" outlineLevel="0" collapsed="false">
      <c r="A604" s="13" t="s">
        <v>79</v>
      </c>
      <c r="B604" s="13" t="s">
        <v>43</v>
      </c>
      <c r="C604" s="13" t="s">
        <v>3</v>
      </c>
      <c r="D604" s="13" t="s">
        <v>343</v>
      </c>
      <c r="E604" s="16" t="n">
        <v>457.504615384615</v>
      </c>
      <c r="F604" s="7" t="n">
        <v>10</v>
      </c>
      <c r="G604" s="5" t="n">
        <v>5900</v>
      </c>
    </row>
    <row r="605" customFormat="false" ht="15" hidden="false" customHeight="false" outlineLevel="0" collapsed="false">
      <c r="A605" s="13" t="s">
        <v>42</v>
      </c>
      <c r="B605" s="13" t="s">
        <v>43</v>
      </c>
      <c r="C605" s="13" t="s">
        <v>4</v>
      </c>
      <c r="D605" s="13" t="s">
        <v>497</v>
      </c>
      <c r="E605" s="16" t="n">
        <v>652.41</v>
      </c>
      <c r="F605" s="7" t="n">
        <v>5</v>
      </c>
      <c r="G605" s="5" t="n">
        <v>5900</v>
      </c>
    </row>
    <row r="606" customFormat="false" ht="15" hidden="false" customHeight="false" outlineLevel="0" collapsed="false">
      <c r="A606" s="13" t="s">
        <v>65</v>
      </c>
      <c r="B606" s="13" t="s">
        <v>66</v>
      </c>
      <c r="C606" s="13" t="s">
        <v>3</v>
      </c>
      <c r="D606" s="13" t="s">
        <v>498</v>
      </c>
      <c r="E606" s="16" t="n">
        <v>308</v>
      </c>
      <c r="F606" s="7" t="n">
        <v>20</v>
      </c>
      <c r="G606" s="5" t="n">
        <v>5900</v>
      </c>
    </row>
    <row r="607" customFormat="false" ht="15" hidden="false" customHeight="false" outlineLevel="0" collapsed="false">
      <c r="A607" s="13" t="s">
        <v>45</v>
      </c>
      <c r="B607" s="13" t="s">
        <v>43</v>
      </c>
      <c r="C607" s="13" t="s">
        <v>4</v>
      </c>
      <c r="D607" s="13" t="s">
        <v>499</v>
      </c>
      <c r="E607" s="16" t="n">
        <v>846.815714285714</v>
      </c>
      <c r="F607" s="7" t="n">
        <v>5</v>
      </c>
      <c r="G607" s="5" t="n">
        <v>5900</v>
      </c>
    </row>
    <row r="608" customFormat="false" ht="15" hidden="false" customHeight="false" outlineLevel="0" collapsed="false">
      <c r="A608" s="13" t="s">
        <v>42</v>
      </c>
      <c r="B608" s="13" t="s">
        <v>43</v>
      </c>
      <c r="C608" s="13" t="s">
        <v>4</v>
      </c>
      <c r="D608" s="13" t="s">
        <v>500</v>
      </c>
      <c r="E608" s="16" t="n">
        <v>841.181428571429</v>
      </c>
      <c r="F608" s="7" t="n">
        <v>5</v>
      </c>
      <c r="G608" s="5" t="n">
        <v>5900</v>
      </c>
    </row>
    <row r="609" customFormat="false" ht="15" hidden="false" customHeight="false" outlineLevel="0" collapsed="false">
      <c r="A609" s="13" t="s">
        <v>42</v>
      </c>
      <c r="B609" s="13" t="s">
        <v>43</v>
      </c>
      <c r="C609" s="13" t="s">
        <v>4</v>
      </c>
      <c r="D609" s="13" t="s">
        <v>501</v>
      </c>
      <c r="E609" s="16" t="n">
        <v>719.37125</v>
      </c>
      <c r="F609" s="7" t="n">
        <v>5</v>
      </c>
      <c r="G609" s="5" t="n">
        <v>5800</v>
      </c>
    </row>
    <row r="610" customFormat="false" ht="15" hidden="false" customHeight="false" outlineLevel="0" collapsed="false">
      <c r="A610" s="13" t="s">
        <v>191</v>
      </c>
      <c r="B610" s="13" t="s">
        <v>183</v>
      </c>
      <c r="C610" s="13" t="s">
        <v>3</v>
      </c>
      <c r="D610" s="13" t="s">
        <v>502</v>
      </c>
      <c r="E610" s="16" t="n">
        <v>118.509183673469</v>
      </c>
      <c r="F610" s="7" t="n">
        <v>50</v>
      </c>
      <c r="G610" s="5" t="n">
        <v>5800</v>
      </c>
    </row>
    <row r="611" customFormat="false" ht="15" hidden="false" customHeight="false" outlineLevel="0" collapsed="false">
      <c r="A611" s="13" t="s">
        <v>42</v>
      </c>
      <c r="B611" s="13" t="s">
        <v>43</v>
      </c>
      <c r="C611" s="13" t="s">
        <v>4</v>
      </c>
      <c r="D611" s="13" t="s">
        <v>47</v>
      </c>
      <c r="E611" s="16" t="n">
        <v>730.14</v>
      </c>
      <c r="F611" s="7" t="n">
        <v>5</v>
      </c>
      <c r="G611" s="5" t="n">
        <v>5800</v>
      </c>
    </row>
    <row r="612" customFormat="false" ht="15" hidden="false" customHeight="false" outlineLevel="0" collapsed="false">
      <c r="A612" s="13" t="s">
        <v>79</v>
      </c>
      <c r="B612" s="13" t="s">
        <v>43</v>
      </c>
      <c r="C612" s="13" t="s">
        <v>4</v>
      </c>
      <c r="D612" s="13" t="s">
        <v>503</v>
      </c>
      <c r="E612" s="16" t="n">
        <v>835.46</v>
      </c>
      <c r="F612" s="7" t="n">
        <v>5</v>
      </c>
      <c r="G612" s="5" t="n">
        <v>5800</v>
      </c>
    </row>
    <row r="613" customFormat="false" ht="15" hidden="false" customHeight="false" outlineLevel="0" collapsed="false">
      <c r="A613" s="13" t="s">
        <v>79</v>
      </c>
      <c r="B613" s="13" t="s">
        <v>43</v>
      </c>
      <c r="C613" s="13" t="s">
        <v>5</v>
      </c>
      <c r="D613" s="13" t="s">
        <v>426</v>
      </c>
      <c r="E613" s="16" t="n">
        <v>831</v>
      </c>
      <c r="F613" s="7" t="n">
        <v>5</v>
      </c>
      <c r="G613" s="5" t="n">
        <v>5800</v>
      </c>
    </row>
    <row r="614" customFormat="false" ht="15" hidden="false" customHeight="false" outlineLevel="0" collapsed="false">
      <c r="A614" s="13" t="s">
        <v>105</v>
      </c>
      <c r="B614" s="13" t="s">
        <v>43</v>
      </c>
      <c r="C614" s="13" t="s">
        <v>5</v>
      </c>
      <c r="D614" s="13" t="s">
        <v>504</v>
      </c>
      <c r="E614" s="16" t="n">
        <v>436.77</v>
      </c>
      <c r="F614" s="7" t="n">
        <v>10</v>
      </c>
      <c r="G614" s="5" t="n">
        <v>5700</v>
      </c>
    </row>
    <row r="615" customFormat="false" ht="15" hidden="false" customHeight="false" outlineLevel="0" collapsed="false">
      <c r="A615" s="13" t="s">
        <v>61</v>
      </c>
      <c r="B615" s="13" t="s">
        <v>43</v>
      </c>
      <c r="C615" s="13" t="s">
        <v>5</v>
      </c>
      <c r="D615" s="13" t="s">
        <v>505</v>
      </c>
      <c r="E615" s="16" t="n">
        <v>958.3</v>
      </c>
      <c r="F615" s="7" t="n">
        <v>5</v>
      </c>
      <c r="G615" s="5" t="n">
        <v>5700</v>
      </c>
    </row>
    <row r="616" customFormat="false" ht="15" hidden="false" customHeight="false" outlineLevel="0" collapsed="false">
      <c r="A616" s="13" t="s">
        <v>191</v>
      </c>
      <c r="B616" s="13" t="s">
        <v>85</v>
      </c>
      <c r="C616" s="13" t="s">
        <v>3</v>
      </c>
      <c r="D616" s="13" t="s">
        <v>506</v>
      </c>
      <c r="E616" s="16" t="n">
        <v>132.886511627907</v>
      </c>
      <c r="F616" s="7" t="n">
        <v>40</v>
      </c>
      <c r="G616" s="5" t="n">
        <v>5700</v>
      </c>
    </row>
    <row r="617" customFormat="false" ht="15" hidden="false" customHeight="false" outlineLevel="0" collapsed="false">
      <c r="A617" s="13" t="s">
        <v>59</v>
      </c>
      <c r="B617" s="13" t="s">
        <v>43</v>
      </c>
      <c r="C617" s="13" t="s">
        <v>4</v>
      </c>
      <c r="D617" s="13" t="s">
        <v>507</v>
      </c>
      <c r="E617" s="16" t="n">
        <v>149.797894736842</v>
      </c>
      <c r="F617" s="7" t="n">
        <v>40</v>
      </c>
      <c r="G617" s="5" t="n">
        <v>5700</v>
      </c>
    </row>
    <row r="618" customFormat="false" ht="15" hidden="false" customHeight="false" outlineLevel="0" collapsed="false">
      <c r="A618" s="13" t="s">
        <v>42</v>
      </c>
      <c r="B618" s="13" t="s">
        <v>43</v>
      </c>
      <c r="C618" s="13" t="s">
        <v>5</v>
      </c>
      <c r="D618" s="13" t="s">
        <v>427</v>
      </c>
      <c r="E618" s="16" t="n">
        <v>519.99</v>
      </c>
      <c r="F618" s="7" t="n">
        <v>10</v>
      </c>
      <c r="G618" s="5" t="n">
        <v>5700</v>
      </c>
    </row>
    <row r="619" customFormat="false" ht="15" hidden="false" customHeight="false" outlineLevel="0" collapsed="false">
      <c r="A619" s="13" t="s">
        <v>45</v>
      </c>
      <c r="B619" s="13" t="s">
        <v>43</v>
      </c>
      <c r="C619" s="13" t="s">
        <v>4</v>
      </c>
      <c r="D619" s="13" t="s">
        <v>508</v>
      </c>
      <c r="E619" s="16" t="n">
        <v>713.25875</v>
      </c>
      <c r="F619" s="7" t="n">
        <v>5</v>
      </c>
      <c r="G619" s="5" t="n">
        <v>5700</v>
      </c>
    </row>
    <row r="620" customFormat="false" ht="15" hidden="false" customHeight="false" outlineLevel="0" collapsed="false">
      <c r="A620" s="13" t="s">
        <v>50</v>
      </c>
      <c r="B620" s="13" t="s">
        <v>43</v>
      </c>
      <c r="C620" s="13" t="s">
        <v>4</v>
      </c>
      <c r="D620" s="13" t="s">
        <v>509</v>
      </c>
      <c r="E620" s="16" t="n">
        <v>818.271428571428</v>
      </c>
      <c r="F620" s="7" t="n">
        <v>5</v>
      </c>
      <c r="G620" s="5" t="n">
        <v>5700</v>
      </c>
    </row>
    <row r="621" customFormat="false" ht="15" hidden="false" customHeight="false" outlineLevel="0" collapsed="false">
      <c r="A621" s="13" t="s">
        <v>42</v>
      </c>
      <c r="B621" s="13" t="s">
        <v>43</v>
      </c>
      <c r="C621" s="13" t="s">
        <v>4</v>
      </c>
      <c r="D621" s="13" t="s">
        <v>510</v>
      </c>
      <c r="E621" s="16" t="n">
        <v>712.94</v>
      </c>
      <c r="F621" s="7" t="n">
        <v>5</v>
      </c>
      <c r="G621" s="5" t="n">
        <v>5700</v>
      </c>
    </row>
    <row r="622" customFormat="false" ht="15" hidden="false" customHeight="false" outlineLevel="0" collapsed="false">
      <c r="A622" s="13" t="s">
        <v>103</v>
      </c>
      <c r="B622" s="13" t="s">
        <v>43</v>
      </c>
      <c r="C622" s="13" t="s">
        <v>4</v>
      </c>
      <c r="D622" s="13" t="s">
        <v>511</v>
      </c>
      <c r="E622" s="16" t="n">
        <v>197.417586206897</v>
      </c>
      <c r="F622" s="7" t="n">
        <v>30</v>
      </c>
      <c r="G622" s="5" t="n">
        <v>5700</v>
      </c>
    </row>
    <row r="623" customFormat="false" ht="15" hidden="false" customHeight="false" outlineLevel="0" collapsed="false">
      <c r="A623" s="13" t="s">
        <v>195</v>
      </c>
      <c r="B623" s="13" t="s">
        <v>43</v>
      </c>
      <c r="C623" s="13" t="s">
        <v>5</v>
      </c>
      <c r="D623" s="13" t="s">
        <v>512</v>
      </c>
      <c r="E623" s="16" t="n">
        <v>355</v>
      </c>
      <c r="F623" s="7" t="n">
        <v>20</v>
      </c>
      <c r="G623" s="5" t="n">
        <v>5700</v>
      </c>
    </row>
    <row r="624" customFormat="false" ht="15" hidden="false" customHeight="false" outlineLevel="0" collapsed="false">
      <c r="A624" s="13" t="s">
        <v>105</v>
      </c>
      <c r="B624" s="13" t="s">
        <v>43</v>
      </c>
      <c r="C624" s="13" t="s">
        <v>4</v>
      </c>
      <c r="D624" s="13" t="s">
        <v>513</v>
      </c>
      <c r="E624" s="16" t="n">
        <v>560.746</v>
      </c>
      <c r="F624" s="7" t="n">
        <v>5</v>
      </c>
      <c r="G624" s="5" t="n">
        <v>5600</v>
      </c>
    </row>
    <row r="625" customFormat="false" ht="15" hidden="false" customHeight="false" outlineLevel="0" collapsed="false">
      <c r="A625" s="13" t="s">
        <v>45</v>
      </c>
      <c r="B625" s="13" t="s">
        <v>43</v>
      </c>
      <c r="C625" s="13" t="s">
        <v>4</v>
      </c>
      <c r="D625" s="13" t="s">
        <v>46</v>
      </c>
      <c r="E625" s="16" t="n">
        <v>926.44</v>
      </c>
      <c r="F625" s="7" t="n">
        <v>5</v>
      </c>
      <c r="G625" s="5" t="n">
        <v>5600</v>
      </c>
    </row>
    <row r="626" customFormat="false" ht="15" hidden="false" customHeight="false" outlineLevel="0" collapsed="false">
      <c r="A626" s="13" t="s">
        <v>153</v>
      </c>
      <c r="B626" s="13" t="s">
        <v>43</v>
      </c>
      <c r="C626" s="13" t="s">
        <v>4</v>
      </c>
      <c r="D626" s="13" t="s">
        <v>514</v>
      </c>
      <c r="E626" s="16" t="n">
        <v>560.495</v>
      </c>
      <c r="F626" s="7" t="n">
        <v>5</v>
      </c>
      <c r="G626" s="5" t="n">
        <v>5600</v>
      </c>
    </row>
    <row r="627" customFormat="false" ht="15" hidden="false" customHeight="false" outlineLevel="0" collapsed="false">
      <c r="A627" s="13" t="s">
        <v>45</v>
      </c>
      <c r="B627" s="13" t="s">
        <v>43</v>
      </c>
      <c r="C627" s="13" t="s">
        <v>5</v>
      </c>
      <c r="D627" s="13" t="s">
        <v>311</v>
      </c>
      <c r="E627" s="16" t="n">
        <v>704.935</v>
      </c>
      <c r="F627" s="7" t="n">
        <v>5</v>
      </c>
      <c r="G627" s="5" t="n">
        <v>5600</v>
      </c>
    </row>
    <row r="628" customFormat="false" ht="15" hidden="false" customHeight="false" outlineLevel="0" collapsed="false">
      <c r="A628" s="13" t="s">
        <v>42</v>
      </c>
      <c r="B628" s="13" t="s">
        <v>43</v>
      </c>
      <c r="C628" s="13" t="s">
        <v>5</v>
      </c>
      <c r="D628" s="13" t="s">
        <v>515</v>
      </c>
      <c r="E628" s="16" t="n">
        <v>619</v>
      </c>
      <c r="F628" s="7" t="n">
        <v>5</v>
      </c>
      <c r="G628" s="5" t="n">
        <v>5600</v>
      </c>
    </row>
    <row r="629" customFormat="false" ht="15" hidden="false" customHeight="false" outlineLevel="0" collapsed="false">
      <c r="A629" s="13" t="s">
        <v>182</v>
      </c>
      <c r="B629" s="13" t="s">
        <v>85</v>
      </c>
      <c r="C629" s="13" t="s">
        <v>3</v>
      </c>
      <c r="D629" s="13" t="s">
        <v>516</v>
      </c>
      <c r="E629" s="16" t="n">
        <v>139.956</v>
      </c>
      <c r="F629" s="7" t="n">
        <v>40</v>
      </c>
      <c r="G629" s="5" t="n">
        <v>5600</v>
      </c>
    </row>
    <row r="630" customFormat="false" ht="15" hidden="false" customHeight="false" outlineLevel="0" collapsed="false">
      <c r="A630" s="13" t="s">
        <v>302</v>
      </c>
      <c r="B630" s="13" t="s">
        <v>43</v>
      </c>
      <c r="C630" s="13" t="s">
        <v>3</v>
      </c>
      <c r="D630" s="13" t="s">
        <v>517</v>
      </c>
      <c r="E630" s="16" t="n">
        <v>623.993333333333</v>
      </c>
      <c r="F630" s="7" t="n">
        <v>5</v>
      </c>
      <c r="G630" s="5" t="n">
        <v>5600</v>
      </c>
    </row>
    <row r="631" customFormat="false" ht="15" hidden="false" customHeight="false" outlineLevel="0" collapsed="false">
      <c r="A631" s="13" t="s">
        <v>69</v>
      </c>
      <c r="B631" s="13" t="s">
        <v>43</v>
      </c>
      <c r="C631" s="13" t="s">
        <v>4</v>
      </c>
      <c r="D631" s="13" t="s">
        <v>518</v>
      </c>
      <c r="E631" s="16" t="n">
        <v>788.105714285714</v>
      </c>
      <c r="F631" s="7" t="n">
        <v>5</v>
      </c>
      <c r="G631" s="5" t="n">
        <v>5500</v>
      </c>
    </row>
    <row r="632" customFormat="false" ht="15" hidden="false" customHeight="false" outlineLevel="0" collapsed="false">
      <c r="A632" s="13" t="s">
        <v>124</v>
      </c>
      <c r="B632" s="13" t="s">
        <v>43</v>
      </c>
      <c r="C632" s="13" t="s">
        <v>5</v>
      </c>
      <c r="D632" s="13" t="s">
        <v>519</v>
      </c>
      <c r="E632" s="16" t="n">
        <v>789.651428571429</v>
      </c>
      <c r="F632" s="7" t="n">
        <v>5</v>
      </c>
      <c r="G632" s="5" t="n">
        <v>5500</v>
      </c>
    </row>
    <row r="633" customFormat="false" ht="15" hidden="false" customHeight="false" outlineLevel="0" collapsed="false">
      <c r="A633" s="13" t="s">
        <v>50</v>
      </c>
      <c r="B633" s="13" t="s">
        <v>43</v>
      </c>
      <c r="C633" s="13" t="s">
        <v>5</v>
      </c>
      <c r="D633" s="13" t="s">
        <v>317</v>
      </c>
      <c r="E633" s="16" t="n">
        <v>686</v>
      </c>
      <c r="F633" s="7" t="n">
        <v>5</v>
      </c>
      <c r="G633" s="5" t="n">
        <v>5500</v>
      </c>
    </row>
    <row r="634" customFormat="false" ht="15" hidden="false" customHeight="false" outlineLevel="0" collapsed="false">
      <c r="A634" s="13" t="s">
        <v>124</v>
      </c>
      <c r="B634" s="13" t="s">
        <v>43</v>
      </c>
      <c r="C634" s="13" t="s">
        <v>5</v>
      </c>
      <c r="D634" s="13" t="s">
        <v>370</v>
      </c>
      <c r="E634" s="16" t="n">
        <v>459.16</v>
      </c>
      <c r="F634" s="7" t="n">
        <v>10</v>
      </c>
      <c r="G634" s="5" t="n">
        <v>5500</v>
      </c>
    </row>
    <row r="635" customFormat="false" ht="15" hidden="false" customHeight="false" outlineLevel="0" collapsed="false">
      <c r="A635" s="13" t="s">
        <v>50</v>
      </c>
      <c r="B635" s="13" t="s">
        <v>43</v>
      </c>
      <c r="C635" s="13" t="s">
        <v>5</v>
      </c>
      <c r="D635" s="13" t="s">
        <v>520</v>
      </c>
      <c r="E635" s="16" t="n">
        <v>552</v>
      </c>
      <c r="F635" s="7" t="n">
        <v>5</v>
      </c>
      <c r="G635" s="5" t="n">
        <v>5500</v>
      </c>
    </row>
    <row r="636" customFormat="false" ht="15" hidden="false" customHeight="false" outlineLevel="0" collapsed="false">
      <c r="A636" s="13" t="s">
        <v>61</v>
      </c>
      <c r="B636" s="13" t="s">
        <v>43</v>
      </c>
      <c r="C636" s="13" t="s">
        <v>5</v>
      </c>
      <c r="D636" s="13" t="s">
        <v>521</v>
      </c>
      <c r="E636" s="16" t="n">
        <v>911</v>
      </c>
      <c r="F636" s="7" t="n">
        <v>5</v>
      </c>
      <c r="G636" s="5" t="n">
        <v>5500</v>
      </c>
    </row>
    <row r="637" customFormat="false" ht="15" hidden="false" customHeight="false" outlineLevel="0" collapsed="false">
      <c r="A637" s="13" t="s">
        <v>79</v>
      </c>
      <c r="B637" s="13" t="s">
        <v>43</v>
      </c>
      <c r="C637" s="13" t="s">
        <v>4</v>
      </c>
      <c r="D637" s="13" t="s">
        <v>522</v>
      </c>
      <c r="E637" s="16" t="n">
        <v>391.795714285714</v>
      </c>
      <c r="F637" s="7" t="n">
        <v>10</v>
      </c>
      <c r="G637" s="5" t="n">
        <v>5500</v>
      </c>
    </row>
    <row r="638" customFormat="false" ht="15" hidden="false" customHeight="false" outlineLevel="0" collapsed="false">
      <c r="A638" s="13" t="s">
        <v>50</v>
      </c>
      <c r="B638" s="13" t="s">
        <v>43</v>
      </c>
      <c r="C638" s="13" t="s">
        <v>4</v>
      </c>
      <c r="D638" s="13" t="s">
        <v>523</v>
      </c>
      <c r="E638" s="16" t="n">
        <v>687.27</v>
      </c>
      <c r="F638" s="7" t="n">
        <v>5</v>
      </c>
      <c r="G638" s="5" t="n">
        <v>5500</v>
      </c>
    </row>
    <row r="639" customFormat="false" ht="15" hidden="false" customHeight="false" outlineLevel="0" collapsed="false">
      <c r="A639" s="13" t="s">
        <v>42</v>
      </c>
      <c r="B639" s="13" t="s">
        <v>43</v>
      </c>
      <c r="C639" s="13" t="s">
        <v>5</v>
      </c>
      <c r="D639" s="13" t="s">
        <v>44</v>
      </c>
      <c r="E639" s="16" t="n">
        <v>599.99</v>
      </c>
      <c r="F639" s="7" t="n">
        <v>5</v>
      </c>
      <c r="G639" s="5" t="n">
        <v>5400</v>
      </c>
    </row>
    <row r="640" customFormat="false" ht="15" hidden="false" customHeight="false" outlineLevel="0" collapsed="false">
      <c r="A640" s="13" t="s">
        <v>105</v>
      </c>
      <c r="B640" s="13" t="s">
        <v>43</v>
      </c>
      <c r="C640" s="13" t="s">
        <v>5</v>
      </c>
      <c r="D640" s="13" t="s">
        <v>524</v>
      </c>
      <c r="E640" s="16" t="n">
        <v>672.25625</v>
      </c>
      <c r="F640" s="7" t="n">
        <v>5</v>
      </c>
      <c r="G640" s="5" t="n">
        <v>5400</v>
      </c>
    </row>
    <row r="641" customFormat="false" ht="15" hidden="false" customHeight="false" outlineLevel="0" collapsed="false">
      <c r="A641" s="13" t="s">
        <v>107</v>
      </c>
      <c r="B641" s="13" t="s">
        <v>43</v>
      </c>
      <c r="C641" s="13" t="s">
        <v>5</v>
      </c>
      <c r="D641" s="13" t="s">
        <v>525</v>
      </c>
      <c r="E641" s="16" t="n">
        <v>101.476226415094</v>
      </c>
      <c r="F641" s="7" t="n">
        <v>50</v>
      </c>
      <c r="G641" s="5" t="n">
        <v>5400</v>
      </c>
    </row>
    <row r="642" customFormat="false" ht="15" hidden="false" customHeight="false" outlineLevel="0" collapsed="false">
      <c r="A642" s="13" t="s">
        <v>50</v>
      </c>
      <c r="B642" s="13" t="s">
        <v>43</v>
      </c>
      <c r="C642" s="13" t="s">
        <v>5</v>
      </c>
      <c r="D642" s="13" t="s">
        <v>526</v>
      </c>
      <c r="E642" s="16" t="n">
        <v>766.214285714286</v>
      </c>
      <c r="F642" s="7" t="n">
        <v>5</v>
      </c>
      <c r="G642" s="5" t="n">
        <v>5400</v>
      </c>
    </row>
    <row r="643" customFormat="false" ht="15" hidden="false" customHeight="false" outlineLevel="0" collapsed="false">
      <c r="A643" s="13" t="s">
        <v>54</v>
      </c>
      <c r="B643" s="13" t="s">
        <v>43</v>
      </c>
      <c r="C643" s="13" t="s">
        <v>5</v>
      </c>
      <c r="D643" s="13" t="s">
        <v>527</v>
      </c>
      <c r="E643" s="16" t="n">
        <v>298.062777777778</v>
      </c>
      <c r="F643" s="7" t="n">
        <v>20</v>
      </c>
      <c r="G643" s="5" t="n">
        <v>5400</v>
      </c>
    </row>
    <row r="644" customFormat="false" ht="15" hidden="false" customHeight="false" outlineLevel="0" collapsed="false">
      <c r="A644" s="13" t="s">
        <v>195</v>
      </c>
      <c r="B644" s="13" t="s">
        <v>43</v>
      </c>
      <c r="C644" s="13" t="s">
        <v>5</v>
      </c>
      <c r="D644" s="13" t="s">
        <v>528</v>
      </c>
      <c r="E644" s="16" t="n">
        <v>544.294</v>
      </c>
      <c r="F644" s="7" t="n">
        <v>5</v>
      </c>
      <c r="G644" s="5" t="n">
        <v>5400</v>
      </c>
    </row>
    <row r="645" customFormat="false" ht="15" hidden="false" customHeight="false" outlineLevel="0" collapsed="false">
      <c r="A645" s="13" t="s">
        <v>79</v>
      </c>
      <c r="B645" s="13" t="s">
        <v>43</v>
      </c>
      <c r="C645" s="13" t="s">
        <v>3</v>
      </c>
      <c r="D645" s="13" t="s">
        <v>283</v>
      </c>
      <c r="E645" s="16" t="n">
        <v>774.57</v>
      </c>
      <c r="F645" s="7" t="n">
        <v>5</v>
      </c>
      <c r="G645" s="5" t="n">
        <v>5400</v>
      </c>
    </row>
    <row r="646" customFormat="false" ht="15" hidden="false" customHeight="false" outlineLevel="0" collapsed="false">
      <c r="A646" s="13" t="s">
        <v>42</v>
      </c>
      <c r="B646" s="13" t="s">
        <v>43</v>
      </c>
      <c r="C646" s="13" t="s">
        <v>5</v>
      </c>
      <c r="D646" s="13" t="s">
        <v>474</v>
      </c>
      <c r="E646" s="16" t="n">
        <v>897.796666666667</v>
      </c>
      <c r="F646" s="7" t="n">
        <v>5</v>
      </c>
      <c r="G646" s="5" t="n">
        <v>5400</v>
      </c>
    </row>
    <row r="647" customFormat="false" ht="15" hidden="false" customHeight="false" outlineLevel="0" collapsed="false">
      <c r="A647" s="13" t="s">
        <v>186</v>
      </c>
      <c r="B647" s="13" t="s">
        <v>43</v>
      </c>
      <c r="C647" s="13" t="s">
        <v>4</v>
      </c>
      <c r="D647" s="13" t="s">
        <v>529</v>
      </c>
      <c r="E647" s="16" t="n">
        <v>418.766923076923</v>
      </c>
      <c r="F647" s="7" t="n">
        <v>10</v>
      </c>
      <c r="G647" s="5" t="n">
        <v>5400</v>
      </c>
    </row>
    <row r="648" customFormat="false" ht="15" hidden="false" customHeight="false" outlineLevel="0" collapsed="false">
      <c r="A648" s="13" t="s">
        <v>270</v>
      </c>
      <c r="B648" s="13" t="s">
        <v>43</v>
      </c>
      <c r="C648" s="13" t="s">
        <v>3</v>
      </c>
      <c r="D648" s="13" t="s">
        <v>530</v>
      </c>
      <c r="E648" s="16" t="n">
        <v>294.99</v>
      </c>
      <c r="F648" s="7" t="n">
        <v>20</v>
      </c>
      <c r="G648" s="5" t="n">
        <v>5300</v>
      </c>
    </row>
    <row r="649" customFormat="false" ht="15" hidden="false" customHeight="false" outlineLevel="0" collapsed="false">
      <c r="A649" s="13" t="s">
        <v>92</v>
      </c>
      <c r="B649" s="13" t="s">
        <v>43</v>
      </c>
      <c r="C649" s="13" t="s">
        <v>5</v>
      </c>
      <c r="D649" s="13" t="s">
        <v>531</v>
      </c>
      <c r="E649" s="16" t="n">
        <v>408.492307692308</v>
      </c>
      <c r="F649" s="7" t="n">
        <v>10</v>
      </c>
      <c r="G649" s="5" t="n">
        <v>5300</v>
      </c>
    </row>
    <row r="650" customFormat="false" ht="15" hidden="false" customHeight="false" outlineLevel="0" collapsed="false">
      <c r="A650" s="13" t="s">
        <v>59</v>
      </c>
      <c r="B650" s="13" t="s">
        <v>43</v>
      </c>
      <c r="C650" s="13" t="s">
        <v>3</v>
      </c>
      <c r="D650" s="13" t="s">
        <v>532</v>
      </c>
      <c r="E650" s="16" t="n">
        <v>129.99</v>
      </c>
      <c r="F650" s="7" t="n">
        <v>40</v>
      </c>
      <c r="G650" s="5" t="n">
        <v>5300</v>
      </c>
    </row>
    <row r="651" customFormat="false" ht="15" hidden="false" customHeight="false" outlineLevel="0" collapsed="false">
      <c r="A651" s="13" t="s">
        <v>65</v>
      </c>
      <c r="B651" s="13" t="s">
        <v>85</v>
      </c>
      <c r="C651" s="13" t="s">
        <v>3</v>
      </c>
      <c r="D651" s="13" t="s">
        <v>533</v>
      </c>
      <c r="E651" s="16" t="n">
        <v>404.516153846154</v>
      </c>
      <c r="F651" s="7" t="n">
        <v>10</v>
      </c>
      <c r="G651" s="5" t="n">
        <v>5300</v>
      </c>
    </row>
    <row r="652" customFormat="false" ht="15" hidden="false" customHeight="false" outlineLevel="0" collapsed="false">
      <c r="A652" s="13" t="s">
        <v>72</v>
      </c>
      <c r="B652" s="13" t="s">
        <v>43</v>
      </c>
      <c r="C652" s="13" t="s">
        <v>5</v>
      </c>
      <c r="D652" s="13" t="s">
        <v>534</v>
      </c>
      <c r="E652" s="16" t="n">
        <v>757.77</v>
      </c>
      <c r="F652" s="7" t="n">
        <v>5</v>
      </c>
      <c r="G652" s="5" t="n">
        <v>5300</v>
      </c>
    </row>
    <row r="653" customFormat="false" ht="15" hidden="false" customHeight="false" outlineLevel="0" collapsed="false">
      <c r="A653" s="13" t="s">
        <v>105</v>
      </c>
      <c r="B653" s="13" t="s">
        <v>43</v>
      </c>
      <c r="C653" s="13" t="s">
        <v>4</v>
      </c>
      <c r="D653" s="13" t="s">
        <v>535</v>
      </c>
      <c r="E653" s="16" t="n">
        <v>666.135</v>
      </c>
      <c r="F653" s="7" t="n">
        <v>5</v>
      </c>
      <c r="G653" s="5" t="n">
        <v>5300</v>
      </c>
    </row>
    <row r="654" customFormat="false" ht="15" hidden="false" customHeight="false" outlineLevel="0" collapsed="false">
      <c r="A654" s="13" t="s">
        <v>45</v>
      </c>
      <c r="B654" s="13" t="s">
        <v>43</v>
      </c>
      <c r="C654" s="13" t="s">
        <v>4</v>
      </c>
      <c r="D654" s="13" t="s">
        <v>424</v>
      </c>
      <c r="E654" s="16" t="n">
        <v>663.17</v>
      </c>
      <c r="F654" s="7" t="n">
        <v>5</v>
      </c>
      <c r="G654" s="5" t="n">
        <v>5300</v>
      </c>
    </row>
    <row r="655" customFormat="false" ht="15" hidden="false" customHeight="false" outlineLevel="0" collapsed="false">
      <c r="A655" s="13" t="s">
        <v>72</v>
      </c>
      <c r="B655" s="13" t="s">
        <v>43</v>
      </c>
      <c r="C655" s="13" t="s">
        <v>5</v>
      </c>
      <c r="D655" s="13" t="s">
        <v>536</v>
      </c>
      <c r="E655" s="16" t="n">
        <v>594.02</v>
      </c>
      <c r="F655" s="7" t="n">
        <v>5</v>
      </c>
      <c r="G655" s="5" t="n">
        <v>5300</v>
      </c>
    </row>
    <row r="656" customFormat="false" ht="15" hidden="false" customHeight="false" outlineLevel="0" collapsed="false">
      <c r="A656" s="13" t="s">
        <v>54</v>
      </c>
      <c r="B656" s="13" t="s">
        <v>43</v>
      </c>
      <c r="C656" s="13" t="s">
        <v>5</v>
      </c>
      <c r="D656" s="13" t="s">
        <v>537</v>
      </c>
      <c r="E656" s="16" t="n">
        <v>291.581666666667</v>
      </c>
      <c r="F656" s="7" t="n">
        <v>20</v>
      </c>
      <c r="G656" s="5" t="n">
        <v>5200</v>
      </c>
    </row>
    <row r="657" customFormat="false" ht="15" hidden="false" customHeight="false" outlineLevel="0" collapsed="false">
      <c r="A657" s="13" t="s">
        <v>124</v>
      </c>
      <c r="B657" s="13" t="s">
        <v>43</v>
      </c>
      <c r="C657" s="13" t="s">
        <v>5</v>
      </c>
      <c r="D657" s="13" t="s">
        <v>125</v>
      </c>
      <c r="E657" s="16" t="n">
        <v>867.125</v>
      </c>
      <c r="F657" s="7" t="n">
        <v>5</v>
      </c>
      <c r="G657" s="5" t="n">
        <v>5200</v>
      </c>
    </row>
    <row r="658" customFormat="false" ht="15" hidden="false" customHeight="false" outlineLevel="0" collapsed="false">
      <c r="A658" s="13" t="s">
        <v>362</v>
      </c>
      <c r="B658" s="13" t="s">
        <v>43</v>
      </c>
      <c r="C658" s="13" t="s">
        <v>5</v>
      </c>
      <c r="D658" s="13" t="s">
        <v>538</v>
      </c>
      <c r="E658" s="16" t="n">
        <v>303.064705882353</v>
      </c>
      <c r="F658" s="7" t="n">
        <v>20</v>
      </c>
      <c r="G658" s="5" t="n">
        <v>5200</v>
      </c>
    </row>
    <row r="659" customFormat="false" ht="15" hidden="false" customHeight="false" outlineLevel="0" collapsed="false">
      <c r="A659" s="13" t="s">
        <v>186</v>
      </c>
      <c r="B659" s="13" t="s">
        <v>43</v>
      </c>
      <c r="C659" s="13" t="s">
        <v>4</v>
      </c>
      <c r="D659" s="13" t="s">
        <v>539</v>
      </c>
      <c r="E659" s="16" t="n">
        <v>403.670769230769</v>
      </c>
      <c r="F659" s="7" t="n">
        <v>10</v>
      </c>
      <c r="G659" s="5" t="n">
        <v>5200</v>
      </c>
    </row>
    <row r="660" customFormat="false" ht="15" hidden="false" customHeight="false" outlineLevel="0" collapsed="false">
      <c r="A660" s="13" t="s">
        <v>65</v>
      </c>
      <c r="B660" s="13" t="s">
        <v>66</v>
      </c>
      <c r="C660" s="13" t="s">
        <v>3</v>
      </c>
      <c r="D660" s="13" t="s">
        <v>540</v>
      </c>
      <c r="E660" s="16" t="n">
        <v>94</v>
      </c>
      <c r="F660" s="7" t="n">
        <v>60</v>
      </c>
      <c r="G660" s="5" t="n">
        <v>5200</v>
      </c>
    </row>
    <row r="661" customFormat="false" ht="15" hidden="false" customHeight="false" outlineLevel="0" collapsed="false">
      <c r="A661" s="13" t="s">
        <v>50</v>
      </c>
      <c r="B661" s="13" t="s">
        <v>43</v>
      </c>
      <c r="C661" s="13" t="s">
        <v>4</v>
      </c>
      <c r="D661" s="13" t="s">
        <v>541</v>
      </c>
      <c r="E661" s="16" t="n">
        <v>728.46</v>
      </c>
      <c r="F661" s="7" t="n">
        <v>5</v>
      </c>
      <c r="G661" s="5" t="n">
        <v>5100</v>
      </c>
    </row>
    <row r="662" customFormat="false" ht="15" hidden="false" customHeight="false" outlineLevel="0" collapsed="false">
      <c r="A662" s="13" t="s">
        <v>87</v>
      </c>
      <c r="B662" s="13" t="s">
        <v>66</v>
      </c>
      <c r="C662" s="13" t="s">
        <v>3</v>
      </c>
      <c r="D662" s="13" t="s">
        <v>542</v>
      </c>
      <c r="E662" s="16" t="n">
        <v>194.806153846154</v>
      </c>
      <c r="F662" s="7" t="n">
        <v>30</v>
      </c>
      <c r="G662" s="5" t="n">
        <v>5100</v>
      </c>
    </row>
    <row r="663" customFormat="false" ht="15" hidden="false" customHeight="false" outlineLevel="0" collapsed="false">
      <c r="A663" s="13" t="s">
        <v>65</v>
      </c>
      <c r="B663" s="13" t="s">
        <v>66</v>
      </c>
      <c r="C663" s="13" t="s">
        <v>3</v>
      </c>
      <c r="D663" s="13" t="s">
        <v>498</v>
      </c>
      <c r="E663" s="16" t="n">
        <v>338.663333333333</v>
      </c>
      <c r="F663" s="7" t="n">
        <v>20</v>
      </c>
      <c r="G663" s="5" t="n">
        <v>5100</v>
      </c>
    </row>
    <row r="664" customFormat="false" ht="15" hidden="false" customHeight="false" outlineLevel="0" collapsed="false">
      <c r="A664" s="13" t="s">
        <v>42</v>
      </c>
      <c r="B664" s="13" t="s">
        <v>43</v>
      </c>
      <c r="C664" s="13" t="s">
        <v>4</v>
      </c>
      <c r="D664" s="13" t="s">
        <v>246</v>
      </c>
      <c r="E664" s="16" t="n">
        <v>735.08</v>
      </c>
      <c r="F664" s="7" t="n">
        <v>5</v>
      </c>
      <c r="G664" s="5" t="n">
        <v>5100</v>
      </c>
    </row>
    <row r="665" customFormat="false" ht="15" hidden="false" customHeight="false" outlineLevel="0" collapsed="false">
      <c r="A665" s="13" t="s">
        <v>153</v>
      </c>
      <c r="B665" s="13" t="s">
        <v>43</v>
      </c>
      <c r="C665" s="13" t="s">
        <v>4</v>
      </c>
      <c r="D665" s="13" t="s">
        <v>543</v>
      </c>
      <c r="E665" s="16" t="n">
        <v>571.711111111111</v>
      </c>
      <c r="F665" s="7" t="n">
        <v>5</v>
      </c>
      <c r="G665" s="5" t="n">
        <v>5100</v>
      </c>
    </row>
    <row r="666" customFormat="false" ht="15" hidden="false" customHeight="false" outlineLevel="0" collapsed="false">
      <c r="A666" s="13" t="s">
        <v>79</v>
      </c>
      <c r="B666" s="13" t="s">
        <v>43</v>
      </c>
      <c r="C666" s="13" t="s">
        <v>4</v>
      </c>
      <c r="D666" s="13" t="s">
        <v>522</v>
      </c>
      <c r="E666" s="16" t="n">
        <v>845.376666666667</v>
      </c>
      <c r="F666" s="7" t="n">
        <v>5</v>
      </c>
      <c r="G666" s="5" t="n">
        <v>5100</v>
      </c>
    </row>
    <row r="667" customFormat="false" ht="15" hidden="false" customHeight="false" outlineLevel="0" collapsed="false">
      <c r="A667" s="13" t="s">
        <v>155</v>
      </c>
      <c r="B667" s="13" t="s">
        <v>43</v>
      </c>
      <c r="C667" s="13" t="s">
        <v>4</v>
      </c>
      <c r="D667" s="13" t="s">
        <v>544</v>
      </c>
      <c r="E667" s="16" t="n">
        <v>136.995405405405</v>
      </c>
      <c r="F667" s="7" t="n">
        <v>40</v>
      </c>
      <c r="G667" s="5" t="n">
        <v>5100</v>
      </c>
    </row>
    <row r="668" customFormat="false" ht="15" hidden="false" customHeight="false" outlineLevel="0" collapsed="false">
      <c r="A668" s="13" t="s">
        <v>107</v>
      </c>
      <c r="B668" s="13" t="s">
        <v>183</v>
      </c>
      <c r="C668" s="13" t="s">
        <v>5</v>
      </c>
      <c r="D668" s="13" t="s">
        <v>207</v>
      </c>
      <c r="E668" s="16" t="n">
        <v>182.498214285714</v>
      </c>
      <c r="F668" s="7" t="n">
        <v>30</v>
      </c>
      <c r="G668" s="5" t="n">
        <v>5100</v>
      </c>
    </row>
    <row r="669" customFormat="false" ht="15" hidden="false" customHeight="false" outlineLevel="0" collapsed="false">
      <c r="A669" s="13" t="s">
        <v>193</v>
      </c>
      <c r="B669" s="13" t="s">
        <v>43</v>
      </c>
      <c r="C669" s="13" t="s">
        <v>5</v>
      </c>
      <c r="D669" s="13" t="s">
        <v>295</v>
      </c>
      <c r="E669" s="16" t="n">
        <v>421</v>
      </c>
      <c r="F669" s="7" t="n">
        <v>10</v>
      </c>
      <c r="G669" s="5" t="n">
        <v>5100</v>
      </c>
    </row>
    <row r="670" customFormat="false" ht="15" hidden="false" customHeight="false" outlineLevel="0" collapsed="false">
      <c r="A670" s="13" t="s">
        <v>69</v>
      </c>
      <c r="B670" s="13" t="s">
        <v>43</v>
      </c>
      <c r="C670" s="13" t="s">
        <v>5</v>
      </c>
      <c r="D670" s="13" t="s">
        <v>545</v>
      </c>
      <c r="E670" s="16" t="n">
        <v>466.622727272727</v>
      </c>
      <c r="F670" s="7" t="n">
        <v>10</v>
      </c>
      <c r="G670" s="5" t="n">
        <v>5100</v>
      </c>
    </row>
    <row r="671" customFormat="false" ht="15" hidden="false" customHeight="false" outlineLevel="0" collapsed="false">
      <c r="A671" s="13" t="s">
        <v>50</v>
      </c>
      <c r="B671" s="13" t="s">
        <v>43</v>
      </c>
      <c r="C671" s="13" t="s">
        <v>5</v>
      </c>
      <c r="D671" s="13" t="s">
        <v>546</v>
      </c>
      <c r="E671" s="16" t="n">
        <v>721.52</v>
      </c>
      <c r="F671" s="7" t="n">
        <v>5</v>
      </c>
      <c r="G671" s="5" t="n">
        <v>5100</v>
      </c>
    </row>
    <row r="672" customFormat="false" ht="15" hidden="false" customHeight="false" outlineLevel="0" collapsed="false">
      <c r="A672" s="13" t="s">
        <v>153</v>
      </c>
      <c r="B672" s="13" t="s">
        <v>43</v>
      </c>
      <c r="C672" s="13" t="s">
        <v>5</v>
      </c>
      <c r="D672" s="13" t="s">
        <v>547</v>
      </c>
      <c r="E672" s="16" t="n">
        <v>423.7825</v>
      </c>
      <c r="F672" s="7" t="n">
        <v>10</v>
      </c>
      <c r="G672" s="5" t="n">
        <v>5100</v>
      </c>
    </row>
    <row r="673" customFormat="false" ht="15" hidden="false" customHeight="false" outlineLevel="0" collapsed="false">
      <c r="A673" s="13" t="s">
        <v>165</v>
      </c>
      <c r="B673" s="13" t="s">
        <v>43</v>
      </c>
      <c r="C673" s="13" t="s">
        <v>5</v>
      </c>
      <c r="D673" s="13" t="s">
        <v>548</v>
      </c>
      <c r="E673" s="16" t="n">
        <v>283.48</v>
      </c>
      <c r="F673" s="7" t="n">
        <v>20</v>
      </c>
      <c r="G673" s="5" t="n">
        <v>5100</v>
      </c>
    </row>
    <row r="674" customFormat="false" ht="15" hidden="false" customHeight="false" outlineLevel="0" collapsed="false">
      <c r="A674" s="13" t="s">
        <v>490</v>
      </c>
      <c r="B674" s="13" t="s">
        <v>43</v>
      </c>
      <c r="C674" s="13" t="s">
        <v>5</v>
      </c>
      <c r="D674" s="13" t="s">
        <v>549</v>
      </c>
      <c r="E674" s="16" t="n">
        <v>282.027777777778</v>
      </c>
      <c r="F674" s="7" t="n">
        <v>20</v>
      </c>
      <c r="G674" s="5" t="n">
        <v>5100</v>
      </c>
    </row>
    <row r="675" customFormat="false" ht="15" hidden="false" customHeight="false" outlineLevel="0" collapsed="false">
      <c r="A675" s="13" t="s">
        <v>193</v>
      </c>
      <c r="B675" s="13" t="s">
        <v>43</v>
      </c>
      <c r="C675" s="13" t="s">
        <v>5</v>
      </c>
      <c r="D675" s="13" t="s">
        <v>125</v>
      </c>
      <c r="E675" s="16" t="n">
        <v>729.16</v>
      </c>
      <c r="F675" s="7" t="n">
        <v>5</v>
      </c>
      <c r="G675" s="5" t="n">
        <v>5100</v>
      </c>
    </row>
    <row r="676" customFormat="false" ht="15" hidden="false" customHeight="false" outlineLevel="0" collapsed="false">
      <c r="A676" s="13" t="s">
        <v>155</v>
      </c>
      <c r="B676" s="13" t="s">
        <v>43</v>
      </c>
      <c r="C676" s="13" t="s">
        <v>3</v>
      </c>
      <c r="D676" s="13" t="s">
        <v>156</v>
      </c>
      <c r="E676" s="16" t="n">
        <v>96.0669230769231</v>
      </c>
      <c r="F676" s="7" t="n">
        <v>50</v>
      </c>
      <c r="G676" s="5" t="n">
        <v>5000</v>
      </c>
    </row>
    <row r="677" customFormat="false" ht="15" hidden="false" customHeight="false" outlineLevel="0" collapsed="false">
      <c r="A677" s="13" t="s">
        <v>45</v>
      </c>
      <c r="B677" s="13" t="s">
        <v>43</v>
      </c>
      <c r="C677" s="13" t="s">
        <v>5</v>
      </c>
      <c r="D677" s="13" t="s">
        <v>409</v>
      </c>
      <c r="E677" s="16" t="n">
        <v>721</v>
      </c>
      <c r="F677" s="7" t="n">
        <v>5</v>
      </c>
      <c r="G677" s="5" t="n">
        <v>5000</v>
      </c>
    </row>
    <row r="678" customFormat="false" ht="15" hidden="false" customHeight="false" outlineLevel="0" collapsed="false">
      <c r="A678" s="13" t="s">
        <v>50</v>
      </c>
      <c r="B678" s="13" t="s">
        <v>43</v>
      </c>
      <c r="C678" s="13" t="s">
        <v>5</v>
      </c>
      <c r="D678" s="13" t="s">
        <v>489</v>
      </c>
      <c r="E678" s="16" t="n">
        <v>388.257692307692</v>
      </c>
      <c r="F678" s="7" t="n">
        <v>10</v>
      </c>
      <c r="G678" s="5" t="n">
        <v>5000</v>
      </c>
    </row>
    <row r="679" customFormat="false" ht="15" hidden="false" customHeight="false" outlineLevel="0" collapsed="false">
      <c r="A679" s="13" t="s">
        <v>124</v>
      </c>
      <c r="B679" s="13" t="s">
        <v>43</v>
      </c>
      <c r="C679" s="13" t="s">
        <v>5</v>
      </c>
      <c r="D679" s="13" t="s">
        <v>252</v>
      </c>
      <c r="E679" s="16" t="n">
        <v>828.61</v>
      </c>
      <c r="F679" s="7" t="n">
        <v>5</v>
      </c>
      <c r="G679" s="5" t="n">
        <v>5000</v>
      </c>
    </row>
    <row r="680" customFormat="false" ht="15" hidden="false" customHeight="false" outlineLevel="0" collapsed="false">
      <c r="A680" s="13" t="s">
        <v>186</v>
      </c>
      <c r="B680" s="13" t="s">
        <v>43</v>
      </c>
      <c r="C680" s="13" t="s">
        <v>4</v>
      </c>
      <c r="D680" s="13" t="s">
        <v>550</v>
      </c>
      <c r="E680" s="16" t="n">
        <v>451.222727272727</v>
      </c>
      <c r="F680" s="7" t="n">
        <v>10</v>
      </c>
      <c r="G680" s="5" t="n">
        <v>5000</v>
      </c>
    </row>
    <row r="681" customFormat="false" ht="15" hidden="false" customHeight="false" outlineLevel="0" collapsed="false">
      <c r="A681" s="13" t="s">
        <v>191</v>
      </c>
      <c r="B681" s="13" t="s">
        <v>183</v>
      </c>
      <c r="C681" s="13" t="s">
        <v>3</v>
      </c>
      <c r="D681" s="13" t="s">
        <v>551</v>
      </c>
      <c r="E681" s="16" t="n">
        <v>137.903611111111</v>
      </c>
      <c r="F681" s="7" t="n">
        <v>40</v>
      </c>
      <c r="G681" s="5" t="n">
        <v>5000</v>
      </c>
    </row>
    <row r="682" customFormat="false" ht="15" hidden="false" customHeight="false" outlineLevel="0" collapsed="false">
      <c r="A682" s="13" t="s">
        <v>204</v>
      </c>
      <c r="B682" s="13" t="s">
        <v>43</v>
      </c>
      <c r="C682" s="13" t="s">
        <v>4</v>
      </c>
      <c r="D682" s="13" t="s">
        <v>552</v>
      </c>
      <c r="E682" s="16" t="n">
        <v>495.937</v>
      </c>
      <c r="F682" s="7" t="n">
        <v>5</v>
      </c>
      <c r="G682" s="5" t="n">
        <v>5000</v>
      </c>
    </row>
    <row r="683" customFormat="false" ht="15" hidden="false" customHeight="false" outlineLevel="0" collapsed="false">
      <c r="A683" s="13" t="s">
        <v>42</v>
      </c>
      <c r="B683" s="13" t="s">
        <v>43</v>
      </c>
      <c r="C683" s="13" t="s">
        <v>4</v>
      </c>
      <c r="D683" s="13" t="s">
        <v>324</v>
      </c>
      <c r="E683" s="16" t="n">
        <v>705.868571428571</v>
      </c>
      <c r="F683" s="7" t="n">
        <v>5</v>
      </c>
      <c r="G683" s="5" t="n">
        <v>4900</v>
      </c>
    </row>
    <row r="684" customFormat="false" ht="15" hidden="false" customHeight="false" outlineLevel="0" collapsed="false">
      <c r="A684" s="13" t="s">
        <v>124</v>
      </c>
      <c r="B684" s="13" t="s">
        <v>43</v>
      </c>
      <c r="C684" s="13" t="s">
        <v>5</v>
      </c>
      <c r="D684" s="13" t="s">
        <v>125</v>
      </c>
      <c r="E684" s="16" t="n">
        <v>607.23</v>
      </c>
      <c r="F684" s="7" t="n">
        <v>5</v>
      </c>
      <c r="G684" s="5" t="n">
        <v>4900</v>
      </c>
    </row>
    <row r="685" customFormat="false" ht="15" hidden="false" customHeight="false" outlineLevel="0" collapsed="false">
      <c r="A685" s="13" t="s">
        <v>42</v>
      </c>
      <c r="B685" s="13" t="s">
        <v>43</v>
      </c>
      <c r="C685" s="13" t="s">
        <v>5</v>
      </c>
      <c r="D685" s="13" t="s">
        <v>237</v>
      </c>
      <c r="E685" s="16" t="n">
        <v>698.85</v>
      </c>
      <c r="F685" s="7" t="n">
        <v>5</v>
      </c>
      <c r="G685" s="5" t="n">
        <v>4900</v>
      </c>
    </row>
    <row r="686" customFormat="false" ht="15" hidden="false" customHeight="false" outlineLevel="0" collapsed="false">
      <c r="A686" s="13" t="s">
        <v>179</v>
      </c>
      <c r="B686" s="13" t="s">
        <v>85</v>
      </c>
      <c r="C686" s="13" t="s">
        <v>3</v>
      </c>
      <c r="D686" s="13" t="s">
        <v>553</v>
      </c>
      <c r="E686" s="16" t="n">
        <v>159</v>
      </c>
      <c r="F686" s="7" t="n">
        <v>30</v>
      </c>
      <c r="G686" s="5" t="n">
        <v>4900</v>
      </c>
    </row>
    <row r="687" customFormat="false" ht="15" hidden="false" customHeight="false" outlineLevel="0" collapsed="false">
      <c r="A687" s="13" t="s">
        <v>315</v>
      </c>
      <c r="B687" s="13" t="s">
        <v>43</v>
      </c>
      <c r="C687" s="13" t="s">
        <v>5</v>
      </c>
      <c r="D687" s="13" t="s">
        <v>554</v>
      </c>
      <c r="E687" s="16" t="n">
        <v>817.22</v>
      </c>
      <c r="F687" s="7" t="n">
        <v>5</v>
      </c>
      <c r="G687" s="5" t="n">
        <v>4900</v>
      </c>
    </row>
    <row r="688" customFormat="false" ht="15" hidden="false" customHeight="false" outlineLevel="0" collapsed="false">
      <c r="A688" s="13" t="s">
        <v>195</v>
      </c>
      <c r="B688" s="13" t="s">
        <v>43</v>
      </c>
      <c r="C688" s="13" t="s">
        <v>5</v>
      </c>
      <c r="D688" s="13" t="s">
        <v>555</v>
      </c>
      <c r="E688" s="16" t="n">
        <v>707.1</v>
      </c>
      <c r="F688" s="7" t="n">
        <v>5</v>
      </c>
      <c r="G688" s="5" t="n">
        <v>4900</v>
      </c>
    </row>
    <row r="689" customFormat="false" ht="15" hidden="false" customHeight="false" outlineLevel="0" collapsed="false">
      <c r="A689" s="13" t="s">
        <v>302</v>
      </c>
      <c r="B689" s="13" t="s">
        <v>43</v>
      </c>
      <c r="C689" s="13" t="s">
        <v>3</v>
      </c>
      <c r="D689" s="13" t="s">
        <v>556</v>
      </c>
      <c r="E689" s="16" t="n">
        <v>618.11625</v>
      </c>
      <c r="F689" s="7" t="n">
        <v>5</v>
      </c>
      <c r="G689" s="5" t="n">
        <v>4900</v>
      </c>
    </row>
    <row r="690" customFormat="false" ht="15" hidden="false" customHeight="false" outlineLevel="0" collapsed="false">
      <c r="A690" s="13" t="s">
        <v>105</v>
      </c>
      <c r="B690" s="13" t="s">
        <v>43</v>
      </c>
      <c r="C690" s="13" t="s">
        <v>3</v>
      </c>
      <c r="D690" s="13" t="s">
        <v>557</v>
      </c>
      <c r="E690" s="16" t="n">
        <v>539.99</v>
      </c>
      <c r="F690" s="7" t="n">
        <v>5</v>
      </c>
      <c r="G690" s="5" t="n">
        <v>4900</v>
      </c>
    </row>
    <row r="691" customFormat="false" ht="15" hidden="false" customHeight="false" outlineLevel="0" collapsed="false">
      <c r="A691" s="13" t="s">
        <v>45</v>
      </c>
      <c r="B691" s="13" t="s">
        <v>43</v>
      </c>
      <c r="C691" s="13" t="s">
        <v>4</v>
      </c>
      <c r="D691" s="13" t="s">
        <v>292</v>
      </c>
      <c r="E691" s="16" t="n">
        <v>794.97</v>
      </c>
      <c r="F691" s="7" t="n">
        <v>5</v>
      </c>
      <c r="G691" s="5" t="n">
        <v>4800</v>
      </c>
    </row>
    <row r="692" customFormat="false" ht="15" hidden="false" customHeight="false" outlineLevel="0" collapsed="false">
      <c r="A692" s="13" t="s">
        <v>153</v>
      </c>
      <c r="B692" s="13" t="s">
        <v>43</v>
      </c>
      <c r="C692" s="13" t="s">
        <v>5</v>
      </c>
      <c r="D692" s="13" t="s">
        <v>558</v>
      </c>
      <c r="E692" s="16" t="n">
        <v>482.79</v>
      </c>
      <c r="F692" s="7" t="n">
        <v>5</v>
      </c>
      <c r="G692" s="5" t="n">
        <v>4800</v>
      </c>
    </row>
    <row r="693" customFormat="false" ht="15" hidden="false" customHeight="false" outlineLevel="0" collapsed="false">
      <c r="A693" s="13" t="s">
        <v>42</v>
      </c>
      <c r="B693" s="13" t="s">
        <v>43</v>
      </c>
      <c r="C693" s="13" t="s">
        <v>4</v>
      </c>
      <c r="D693" s="13" t="s">
        <v>559</v>
      </c>
      <c r="E693" s="16" t="n">
        <v>605.77</v>
      </c>
      <c r="F693" s="7" t="n">
        <v>5</v>
      </c>
      <c r="G693" s="5" t="n">
        <v>4800</v>
      </c>
    </row>
    <row r="694" customFormat="false" ht="15" hidden="false" customHeight="false" outlineLevel="0" collapsed="false">
      <c r="A694" s="13" t="s">
        <v>179</v>
      </c>
      <c r="B694" s="13" t="s">
        <v>180</v>
      </c>
      <c r="C694" s="13" t="s">
        <v>3</v>
      </c>
      <c r="D694" s="13" t="s">
        <v>560</v>
      </c>
      <c r="E694" s="16" t="n">
        <v>179</v>
      </c>
      <c r="F694" s="7" t="n">
        <v>30</v>
      </c>
      <c r="G694" s="5" t="n">
        <v>4800</v>
      </c>
    </row>
    <row r="695" customFormat="false" ht="15" hidden="false" customHeight="false" outlineLevel="0" collapsed="false">
      <c r="A695" s="13" t="s">
        <v>42</v>
      </c>
      <c r="B695" s="13" t="s">
        <v>43</v>
      </c>
      <c r="C695" s="13" t="s">
        <v>5</v>
      </c>
      <c r="D695" s="13" t="s">
        <v>395</v>
      </c>
      <c r="E695" s="16" t="n">
        <v>683.958571428571</v>
      </c>
      <c r="F695" s="7" t="n">
        <v>5</v>
      </c>
      <c r="G695" s="5" t="n">
        <v>4800</v>
      </c>
    </row>
    <row r="696" customFormat="false" ht="15" hidden="false" customHeight="false" outlineLevel="0" collapsed="false">
      <c r="A696" s="13" t="s">
        <v>69</v>
      </c>
      <c r="B696" s="13" t="s">
        <v>43</v>
      </c>
      <c r="C696" s="13" t="s">
        <v>5</v>
      </c>
      <c r="D696" s="13" t="s">
        <v>173</v>
      </c>
      <c r="E696" s="16" t="n">
        <v>535.777777777778</v>
      </c>
      <c r="F696" s="7" t="n">
        <v>5</v>
      </c>
      <c r="G696" s="5" t="n">
        <v>4800</v>
      </c>
    </row>
    <row r="697" customFormat="false" ht="15" hidden="false" customHeight="false" outlineLevel="0" collapsed="false">
      <c r="A697" s="13" t="s">
        <v>79</v>
      </c>
      <c r="B697" s="13" t="s">
        <v>43</v>
      </c>
      <c r="C697" s="13" t="s">
        <v>5</v>
      </c>
      <c r="D697" s="13" t="s">
        <v>486</v>
      </c>
      <c r="E697" s="16" t="n">
        <v>388</v>
      </c>
      <c r="F697" s="7" t="n">
        <v>10</v>
      </c>
      <c r="G697" s="5" t="n">
        <v>4700</v>
      </c>
    </row>
    <row r="698" customFormat="false" ht="15" hidden="false" customHeight="false" outlineLevel="0" collapsed="false">
      <c r="A698" s="13" t="s">
        <v>42</v>
      </c>
      <c r="B698" s="13" t="s">
        <v>183</v>
      </c>
      <c r="C698" s="13" t="s">
        <v>5</v>
      </c>
      <c r="D698" s="13" t="s">
        <v>561</v>
      </c>
      <c r="E698" s="16" t="n">
        <v>666.241428571429</v>
      </c>
      <c r="F698" s="7" t="n">
        <v>5</v>
      </c>
      <c r="G698" s="5" t="n">
        <v>4700</v>
      </c>
    </row>
    <row r="699" customFormat="false" ht="15" hidden="false" customHeight="false" outlineLevel="0" collapsed="false">
      <c r="A699" s="13" t="s">
        <v>87</v>
      </c>
      <c r="B699" s="13" t="s">
        <v>66</v>
      </c>
      <c r="C699" s="13" t="s">
        <v>3</v>
      </c>
      <c r="D699" s="13" t="s">
        <v>562</v>
      </c>
      <c r="E699" s="16" t="n">
        <v>390.055</v>
      </c>
      <c r="F699" s="7" t="n">
        <v>10</v>
      </c>
      <c r="G699" s="5" t="n">
        <v>4700</v>
      </c>
    </row>
    <row r="700" customFormat="false" ht="15" hidden="false" customHeight="false" outlineLevel="0" collapsed="false">
      <c r="A700" s="13" t="s">
        <v>42</v>
      </c>
      <c r="B700" s="13" t="s">
        <v>183</v>
      </c>
      <c r="C700" s="13" t="s">
        <v>4</v>
      </c>
      <c r="D700" s="13" t="s">
        <v>561</v>
      </c>
      <c r="E700" s="16" t="n">
        <v>585.6375</v>
      </c>
      <c r="F700" s="7" t="n">
        <v>5</v>
      </c>
      <c r="G700" s="5" t="n">
        <v>4700</v>
      </c>
    </row>
    <row r="701" customFormat="false" ht="15" hidden="false" customHeight="false" outlineLevel="0" collapsed="false">
      <c r="A701" s="13" t="s">
        <v>45</v>
      </c>
      <c r="B701" s="13" t="s">
        <v>43</v>
      </c>
      <c r="C701" s="13" t="s">
        <v>5</v>
      </c>
      <c r="D701" s="13" t="s">
        <v>563</v>
      </c>
      <c r="E701" s="16" t="n">
        <v>468.926</v>
      </c>
      <c r="F701" s="7" t="n">
        <v>5</v>
      </c>
      <c r="G701" s="5" t="n">
        <v>4700</v>
      </c>
    </row>
    <row r="702" customFormat="false" ht="15" hidden="false" customHeight="false" outlineLevel="0" collapsed="false">
      <c r="A702" s="13" t="s">
        <v>153</v>
      </c>
      <c r="B702" s="13" t="s">
        <v>43</v>
      </c>
      <c r="C702" s="13" t="s">
        <v>5</v>
      </c>
      <c r="D702" s="13" t="s">
        <v>564</v>
      </c>
      <c r="E702" s="16" t="n">
        <v>469</v>
      </c>
      <c r="F702" s="7" t="n">
        <v>5</v>
      </c>
      <c r="G702" s="5" t="n">
        <v>4700</v>
      </c>
    </row>
    <row r="703" customFormat="false" ht="15" hidden="false" customHeight="false" outlineLevel="0" collapsed="false">
      <c r="A703" s="13" t="s">
        <v>329</v>
      </c>
      <c r="B703" s="13" t="s">
        <v>43</v>
      </c>
      <c r="C703" s="13" t="s">
        <v>5</v>
      </c>
      <c r="D703" s="13" t="s">
        <v>565</v>
      </c>
      <c r="E703" s="16" t="n">
        <v>527</v>
      </c>
      <c r="F703" s="7" t="n">
        <v>5</v>
      </c>
      <c r="G703" s="5" t="n">
        <v>4700</v>
      </c>
    </row>
    <row r="704" customFormat="false" ht="15" hidden="false" customHeight="false" outlineLevel="0" collapsed="false">
      <c r="A704" s="13" t="s">
        <v>50</v>
      </c>
      <c r="B704" s="13" t="s">
        <v>43</v>
      </c>
      <c r="C704" s="13" t="s">
        <v>5</v>
      </c>
      <c r="D704" s="13" t="s">
        <v>566</v>
      </c>
      <c r="E704" s="16" t="n">
        <v>582.85625</v>
      </c>
      <c r="F704" s="7" t="n">
        <v>5</v>
      </c>
      <c r="G704" s="5" t="n">
        <v>4700</v>
      </c>
    </row>
    <row r="705" customFormat="false" ht="15" hidden="false" customHeight="false" outlineLevel="0" collapsed="false">
      <c r="A705" s="13" t="s">
        <v>54</v>
      </c>
      <c r="B705" s="13" t="s">
        <v>43</v>
      </c>
      <c r="C705" s="13" t="s">
        <v>5</v>
      </c>
      <c r="D705" s="13" t="s">
        <v>567</v>
      </c>
      <c r="E705" s="16" t="n">
        <v>789.266666666667</v>
      </c>
      <c r="F705" s="7" t="n">
        <v>5</v>
      </c>
      <c r="G705" s="5" t="n">
        <v>4700</v>
      </c>
    </row>
    <row r="706" customFormat="false" ht="15" hidden="false" customHeight="false" outlineLevel="0" collapsed="false">
      <c r="A706" s="13" t="s">
        <v>92</v>
      </c>
      <c r="B706" s="13" t="s">
        <v>43</v>
      </c>
      <c r="C706" s="13" t="s">
        <v>5</v>
      </c>
      <c r="D706" s="13" t="s">
        <v>359</v>
      </c>
      <c r="E706" s="16" t="n">
        <v>428.359090909091</v>
      </c>
      <c r="F706" s="7" t="n">
        <v>10</v>
      </c>
      <c r="G706" s="5" t="n">
        <v>4700</v>
      </c>
    </row>
    <row r="707" customFormat="false" ht="15" hidden="false" customHeight="false" outlineLevel="0" collapsed="false">
      <c r="A707" s="13" t="s">
        <v>50</v>
      </c>
      <c r="B707" s="13" t="s">
        <v>43</v>
      </c>
      <c r="C707" s="13" t="s">
        <v>5</v>
      </c>
      <c r="D707" s="13" t="s">
        <v>64</v>
      </c>
      <c r="E707" s="16" t="n">
        <v>671.125714285714</v>
      </c>
      <c r="F707" s="7" t="n">
        <v>5</v>
      </c>
      <c r="G707" s="5" t="n">
        <v>4700</v>
      </c>
    </row>
    <row r="708" customFormat="false" ht="15" hidden="false" customHeight="false" outlineLevel="0" collapsed="false">
      <c r="A708" s="13" t="s">
        <v>153</v>
      </c>
      <c r="B708" s="13" t="s">
        <v>43</v>
      </c>
      <c r="C708" s="13" t="s">
        <v>5</v>
      </c>
      <c r="D708" s="13" t="s">
        <v>291</v>
      </c>
      <c r="E708" s="16" t="n">
        <v>379.86</v>
      </c>
      <c r="F708" s="7" t="n">
        <v>10</v>
      </c>
      <c r="G708" s="5" t="n">
        <v>4600</v>
      </c>
    </row>
    <row r="709" customFormat="false" ht="15" hidden="false" customHeight="false" outlineLevel="0" collapsed="false">
      <c r="A709" s="13" t="s">
        <v>50</v>
      </c>
      <c r="B709" s="13" t="s">
        <v>43</v>
      </c>
      <c r="C709" s="13" t="s">
        <v>4</v>
      </c>
      <c r="D709" s="13" t="s">
        <v>64</v>
      </c>
      <c r="E709" s="16" t="n">
        <v>921.75</v>
      </c>
      <c r="F709" s="7" t="n">
        <v>5</v>
      </c>
      <c r="G709" s="5" t="n">
        <v>4600</v>
      </c>
    </row>
    <row r="710" customFormat="false" ht="15" hidden="false" customHeight="false" outlineLevel="0" collapsed="false">
      <c r="A710" s="13" t="s">
        <v>105</v>
      </c>
      <c r="B710" s="13" t="s">
        <v>43</v>
      </c>
      <c r="C710" s="13" t="s">
        <v>3</v>
      </c>
      <c r="D710" s="13" t="s">
        <v>568</v>
      </c>
      <c r="E710" s="16" t="n">
        <v>515</v>
      </c>
      <c r="F710" s="7" t="n">
        <v>5</v>
      </c>
      <c r="G710" s="5" t="n">
        <v>4600</v>
      </c>
    </row>
    <row r="711" customFormat="false" ht="15" hidden="false" customHeight="false" outlineLevel="0" collapsed="false">
      <c r="A711" s="13" t="s">
        <v>79</v>
      </c>
      <c r="B711" s="13" t="s">
        <v>43</v>
      </c>
      <c r="C711" s="13" t="s">
        <v>3</v>
      </c>
      <c r="D711" s="13" t="s">
        <v>569</v>
      </c>
      <c r="E711" s="16" t="n">
        <v>658.435714285714</v>
      </c>
      <c r="F711" s="7" t="n">
        <v>5</v>
      </c>
      <c r="G711" s="5" t="n">
        <v>4600</v>
      </c>
    </row>
    <row r="712" customFormat="false" ht="15" hidden="false" customHeight="false" outlineLevel="0" collapsed="false">
      <c r="A712" s="13" t="s">
        <v>270</v>
      </c>
      <c r="B712" s="13" t="s">
        <v>43</v>
      </c>
      <c r="C712" s="13" t="s">
        <v>3</v>
      </c>
      <c r="D712" s="13" t="s">
        <v>570</v>
      </c>
      <c r="E712" s="16" t="n">
        <v>142.445625</v>
      </c>
      <c r="F712" s="7" t="n">
        <v>30</v>
      </c>
      <c r="G712" s="5" t="n">
        <v>4600</v>
      </c>
    </row>
    <row r="713" customFormat="false" ht="15" hidden="false" customHeight="false" outlineLevel="0" collapsed="false">
      <c r="A713" s="13" t="s">
        <v>186</v>
      </c>
      <c r="B713" s="13" t="s">
        <v>43</v>
      </c>
      <c r="C713" s="13" t="s">
        <v>4</v>
      </c>
      <c r="D713" s="13" t="s">
        <v>571</v>
      </c>
      <c r="E713" s="16" t="n">
        <v>769.365</v>
      </c>
      <c r="F713" s="7" t="n">
        <v>5</v>
      </c>
      <c r="G713" s="5" t="n">
        <v>4600</v>
      </c>
    </row>
    <row r="714" customFormat="false" ht="15" hidden="false" customHeight="false" outlineLevel="0" collapsed="false">
      <c r="A714" s="13" t="s">
        <v>42</v>
      </c>
      <c r="B714" s="13" t="s">
        <v>43</v>
      </c>
      <c r="C714" s="13" t="s">
        <v>4</v>
      </c>
      <c r="D714" s="13" t="s">
        <v>137</v>
      </c>
      <c r="E714" s="16" t="n">
        <v>653.121428571429</v>
      </c>
      <c r="F714" s="7" t="n">
        <v>5</v>
      </c>
      <c r="G714" s="5" t="n">
        <v>4600</v>
      </c>
    </row>
    <row r="715" customFormat="false" ht="15" hidden="false" customHeight="false" outlineLevel="0" collapsed="false">
      <c r="A715" s="13" t="s">
        <v>153</v>
      </c>
      <c r="B715" s="13" t="s">
        <v>43</v>
      </c>
      <c r="C715" s="13" t="s">
        <v>4</v>
      </c>
      <c r="D715" s="13" t="s">
        <v>572</v>
      </c>
      <c r="E715" s="16" t="n">
        <v>572.2225</v>
      </c>
      <c r="F715" s="7" t="n">
        <v>5</v>
      </c>
      <c r="G715" s="5" t="n">
        <v>4600</v>
      </c>
    </row>
    <row r="716" customFormat="false" ht="15" hidden="false" customHeight="false" outlineLevel="0" collapsed="false">
      <c r="A716" s="13" t="s">
        <v>165</v>
      </c>
      <c r="B716" s="13" t="s">
        <v>43</v>
      </c>
      <c r="C716" s="13" t="s">
        <v>3</v>
      </c>
      <c r="D716" s="13" t="s">
        <v>573</v>
      </c>
      <c r="E716" s="16" t="n">
        <v>463</v>
      </c>
      <c r="F716" s="7" t="n">
        <v>5</v>
      </c>
      <c r="G716" s="5" t="n">
        <v>4600</v>
      </c>
    </row>
    <row r="717" customFormat="false" ht="15" hidden="false" customHeight="false" outlineLevel="0" collapsed="false">
      <c r="A717" s="13" t="s">
        <v>107</v>
      </c>
      <c r="B717" s="13" t="s">
        <v>183</v>
      </c>
      <c r="C717" s="13" t="s">
        <v>5</v>
      </c>
      <c r="D717" s="13" t="s">
        <v>574</v>
      </c>
      <c r="E717" s="16" t="n">
        <v>97.16</v>
      </c>
      <c r="F717" s="7" t="n">
        <v>50</v>
      </c>
      <c r="G717" s="5" t="n">
        <v>4600</v>
      </c>
    </row>
    <row r="718" customFormat="false" ht="15" hidden="false" customHeight="false" outlineLevel="0" collapsed="false">
      <c r="A718" s="13" t="s">
        <v>329</v>
      </c>
      <c r="B718" s="13" t="s">
        <v>43</v>
      </c>
      <c r="C718" s="13" t="s">
        <v>5</v>
      </c>
      <c r="D718" s="13" t="s">
        <v>575</v>
      </c>
      <c r="E718" s="16" t="n">
        <v>769</v>
      </c>
      <c r="F718" s="7" t="n">
        <v>5</v>
      </c>
      <c r="G718" s="5" t="n">
        <v>4600</v>
      </c>
    </row>
    <row r="719" customFormat="false" ht="15" hidden="false" customHeight="false" outlineLevel="0" collapsed="false">
      <c r="A719" s="13" t="s">
        <v>103</v>
      </c>
      <c r="B719" s="13" t="s">
        <v>43</v>
      </c>
      <c r="C719" s="13" t="s">
        <v>5</v>
      </c>
      <c r="D719" s="13" t="s">
        <v>576</v>
      </c>
      <c r="E719" s="16" t="n">
        <v>175</v>
      </c>
      <c r="F719" s="7" t="n">
        <v>30</v>
      </c>
      <c r="G719" s="5" t="n">
        <v>4600</v>
      </c>
    </row>
    <row r="720" customFormat="false" ht="15" hidden="false" customHeight="false" outlineLevel="0" collapsed="false">
      <c r="A720" s="13" t="s">
        <v>79</v>
      </c>
      <c r="B720" s="13" t="s">
        <v>43</v>
      </c>
      <c r="C720" s="13" t="s">
        <v>3</v>
      </c>
      <c r="D720" s="13" t="s">
        <v>577</v>
      </c>
      <c r="E720" s="16" t="n">
        <v>761.456666666667</v>
      </c>
      <c r="F720" s="7" t="n">
        <v>5</v>
      </c>
      <c r="G720" s="5" t="n">
        <v>4600</v>
      </c>
    </row>
    <row r="721" customFormat="false" ht="15" hidden="false" customHeight="false" outlineLevel="0" collapsed="false">
      <c r="A721" s="13" t="s">
        <v>124</v>
      </c>
      <c r="B721" s="13" t="s">
        <v>43</v>
      </c>
      <c r="C721" s="13" t="s">
        <v>5</v>
      </c>
      <c r="D721" s="13" t="s">
        <v>370</v>
      </c>
      <c r="E721" s="16" t="n">
        <v>577.48125</v>
      </c>
      <c r="F721" s="7" t="n">
        <v>5</v>
      </c>
      <c r="G721" s="5" t="n">
        <v>4600</v>
      </c>
    </row>
    <row r="722" customFormat="false" ht="15" hidden="false" customHeight="false" outlineLevel="0" collapsed="false">
      <c r="A722" s="13" t="s">
        <v>92</v>
      </c>
      <c r="B722" s="13" t="s">
        <v>43</v>
      </c>
      <c r="C722" s="13" t="s">
        <v>5</v>
      </c>
      <c r="D722" s="13" t="s">
        <v>578</v>
      </c>
      <c r="E722" s="16" t="n">
        <v>925.916</v>
      </c>
      <c r="F722" s="7" t="n">
        <v>5</v>
      </c>
      <c r="G722" s="5" t="n">
        <v>4600</v>
      </c>
    </row>
    <row r="723" customFormat="false" ht="15" hidden="false" customHeight="false" outlineLevel="0" collapsed="false">
      <c r="A723" s="13" t="s">
        <v>315</v>
      </c>
      <c r="B723" s="13" t="s">
        <v>43</v>
      </c>
      <c r="C723" s="13" t="s">
        <v>5</v>
      </c>
      <c r="D723" s="13" t="s">
        <v>579</v>
      </c>
      <c r="E723" s="16" t="n">
        <v>660.357142857143</v>
      </c>
      <c r="F723" s="7" t="n">
        <v>5</v>
      </c>
      <c r="G723" s="5" t="n">
        <v>4600</v>
      </c>
    </row>
    <row r="724" customFormat="false" ht="15" hidden="false" customHeight="false" outlineLevel="0" collapsed="false">
      <c r="A724" s="13" t="s">
        <v>45</v>
      </c>
      <c r="B724" s="13" t="s">
        <v>43</v>
      </c>
      <c r="C724" s="13" t="s">
        <v>5</v>
      </c>
      <c r="D724" s="13" t="s">
        <v>436</v>
      </c>
      <c r="E724" s="16" t="n">
        <v>758.5</v>
      </c>
      <c r="F724" s="7" t="n">
        <v>5</v>
      </c>
      <c r="G724" s="5" t="n">
        <v>4600</v>
      </c>
    </row>
    <row r="725" customFormat="false" ht="15" hidden="false" customHeight="false" outlineLevel="0" collapsed="false">
      <c r="A725" s="13" t="s">
        <v>79</v>
      </c>
      <c r="B725" s="13" t="s">
        <v>43</v>
      </c>
      <c r="C725" s="13" t="s">
        <v>5</v>
      </c>
      <c r="D725" s="13" t="s">
        <v>580</v>
      </c>
      <c r="E725" s="16" t="n">
        <v>375</v>
      </c>
      <c r="F725" s="7" t="n">
        <v>10</v>
      </c>
      <c r="G725" s="5" t="n">
        <v>4500</v>
      </c>
    </row>
    <row r="726" customFormat="false" ht="15" hidden="false" customHeight="false" outlineLevel="0" collapsed="false">
      <c r="A726" s="13" t="s">
        <v>50</v>
      </c>
      <c r="B726" s="13" t="s">
        <v>43</v>
      </c>
      <c r="C726" s="13" t="s">
        <v>5</v>
      </c>
      <c r="D726" s="13" t="s">
        <v>452</v>
      </c>
      <c r="E726" s="16" t="n">
        <v>649.991428571429</v>
      </c>
      <c r="F726" s="7" t="n">
        <v>5</v>
      </c>
      <c r="G726" s="5" t="n">
        <v>4500</v>
      </c>
    </row>
    <row r="727" customFormat="false" ht="15" hidden="false" customHeight="false" outlineLevel="0" collapsed="false">
      <c r="A727" s="13" t="s">
        <v>69</v>
      </c>
      <c r="B727" s="13" t="s">
        <v>43</v>
      </c>
      <c r="C727" s="13" t="s">
        <v>5</v>
      </c>
      <c r="D727" s="13" t="s">
        <v>120</v>
      </c>
      <c r="E727" s="16" t="n">
        <v>504.1</v>
      </c>
      <c r="F727" s="7" t="n">
        <v>5</v>
      </c>
      <c r="G727" s="5" t="n">
        <v>4500</v>
      </c>
    </row>
    <row r="728" customFormat="false" ht="15" hidden="false" customHeight="false" outlineLevel="0" collapsed="false">
      <c r="A728" s="13" t="s">
        <v>193</v>
      </c>
      <c r="B728" s="13" t="s">
        <v>43</v>
      </c>
      <c r="C728" s="13" t="s">
        <v>5</v>
      </c>
      <c r="D728" s="13" t="s">
        <v>581</v>
      </c>
      <c r="E728" s="16" t="n">
        <v>567.08</v>
      </c>
      <c r="F728" s="7" t="n">
        <v>5</v>
      </c>
      <c r="G728" s="5" t="n">
        <v>4500</v>
      </c>
    </row>
    <row r="729" customFormat="false" ht="15" hidden="false" customHeight="false" outlineLevel="0" collapsed="false">
      <c r="A729" s="13" t="s">
        <v>329</v>
      </c>
      <c r="B729" s="13" t="s">
        <v>43</v>
      </c>
      <c r="C729" s="13" t="s">
        <v>4</v>
      </c>
      <c r="D729" s="13" t="s">
        <v>565</v>
      </c>
      <c r="E729" s="16" t="n">
        <v>565.10375</v>
      </c>
      <c r="F729" s="7" t="n">
        <v>5</v>
      </c>
      <c r="G729" s="5" t="n">
        <v>4500</v>
      </c>
    </row>
    <row r="730" customFormat="false" ht="15" hidden="false" customHeight="false" outlineLevel="0" collapsed="false">
      <c r="A730" s="13" t="s">
        <v>191</v>
      </c>
      <c r="B730" s="13" t="s">
        <v>183</v>
      </c>
      <c r="C730" s="13" t="s">
        <v>3</v>
      </c>
      <c r="D730" s="13" t="s">
        <v>582</v>
      </c>
      <c r="E730" s="16" t="n">
        <v>139.99</v>
      </c>
      <c r="F730" s="7" t="n">
        <v>30</v>
      </c>
      <c r="G730" s="5" t="n">
        <v>4500</v>
      </c>
    </row>
    <row r="731" customFormat="false" ht="15" hidden="false" customHeight="false" outlineLevel="0" collapsed="false">
      <c r="A731" s="13" t="s">
        <v>179</v>
      </c>
      <c r="B731" s="13" t="s">
        <v>180</v>
      </c>
      <c r="C731" s="13" t="s">
        <v>3</v>
      </c>
      <c r="D731" s="13" t="s">
        <v>583</v>
      </c>
      <c r="E731" s="16" t="n">
        <v>159</v>
      </c>
      <c r="F731" s="7" t="n">
        <v>30</v>
      </c>
      <c r="G731" s="5" t="n">
        <v>4500</v>
      </c>
    </row>
    <row r="732" customFormat="false" ht="15" hidden="false" customHeight="false" outlineLevel="0" collapsed="false">
      <c r="A732" s="13" t="s">
        <v>45</v>
      </c>
      <c r="B732" s="13" t="s">
        <v>43</v>
      </c>
      <c r="C732" s="13" t="s">
        <v>5</v>
      </c>
      <c r="D732" s="13" t="s">
        <v>113</v>
      </c>
      <c r="E732" s="16" t="n">
        <v>755.03</v>
      </c>
      <c r="F732" s="7" t="n">
        <v>5</v>
      </c>
      <c r="G732" s="5" t="n">
        <v>4500</v>
      </c>
    </row>
    <row r="733" customFormat="false" ht="15" hidden="false" customHeight="false" outlineLevel="0" collapsed="false">
      <c r="A733" s="13" t="s">
        <v>79</v>
      </c>
      <c r="B733" s="13" t="s">
        <v>43</v>
      </c>
      <c r="C733" s="13" t="s">
        <v>3</v>
      </c>
      <c r="D733" s="13" t="s">
        <v>584</v>
      </c>
      <c r="E733" s="16" t="n">
        <v>454.677</v>
      </c>
      <c r="F733" s="7" t="n">
        <v>5</v>
      </c>
      <c r="G733" s="5" t="n">
        <v>4500</v>
      </c>
    </row>
    <row r="734" customFormat="false" ht="15" hidden="false" customHeight="false" outlineLevel="0" collapsed="false">
      <c r="A734" s="13" t="s">
        <v>161</v>
      </c>
      <c r="B734" s="13" t="s">
        <v>43</v>
      </c>
      <c r="C734" s="13" t="s">
        <v>4</v>
      </c>
      <c r="D734" s="13" t="s">
        <v>585</v>
      </c>
      <c r="E734" s="16" t="n">
        <v>297.058</v>
      </c>
      <c r="F734" s="7" t="n">
        <v>20</v>
      </c>
      <c r="G734" s="5" t="n">
        <v>4500</v>
      </c>
    </row>
    <row r="735" customFormat="false" ht="15" hidden="false" customHeight="false" outlineLevel="0" collapsed="false">
      <c r="A735" s="13" t="s">
        <v>114</v>
      </c>
      <c r="B735" s="13" t="s">
        <v>115</v>
      </c>
      <c r="C735" s="13" t="s">
        <v>3</v>
      </c>
      <c r="D735" s="13" t="s">
        <v>586</v>
      </c>
      <c r="E735" s="16" t="n">
        <v>167.9</v>
      </c>
      <c r="F735" s="7" t="n">
        <v>30</v>
      </c>
      <c r="G735" s="5" t="n">
        <v>4400</v>
      </c>
    </row>
    <row r="736" customFormat="false" ht="15" hidden="false" customHeight="false" outlineLevel="0" collapsed="false">
      <c r="A736" s="13" t="s">
        <v>114</v>
      </c>
      <c r="B736" s="13" t="s">
        <v>115</v>
      </c>
      <c r="C736" s="13" t="s">
        <v>3</v>
      </c>
      <c r="D736" s="13" t="s">
        <v>587</v>
      </c>
      <c r="E736" s="16" t="n">
        <v>59.1</v>
      </c>
      <c r="F736" s="7" t="n">
        <v>80</v>
      </c>
      <c r="G736" s="5" t="n">
        <v>4400</v>
      </c>
    </row>
    <row r="737" customFormat="false" ht="15" hidden="false" customHeight="false" outlineLevel="0" collapsed="false">
      <c r="A737" s="13" t="s">
        <v>131</v>
      </c>
      <c r="B737" s="13" t="s">
        <v>66</v>
      </c>
      <c r="C737" s="13" t="s">
        <v>3</v>
      </c>
      <c r="D737" s="13" t="s">
        <v>588</v>
      </c>
      <c r="E737" s="16" t="n">
        <v>312.99</v>
      </c>
      <c r="F737" s="7" t="n">
        <v>10</v>
      </c>
      <c r="G737" s="5" t="n">
        <v>4400</v>
      </c>
    </row>
    <row r="738" customFormat="false" ht="15" hidden="false" customHeight="false" outlineLevel="0" collapsed="false">
      <c r="A738" s="13" t="s">
        <v>79</v>
      </c>
      <c r="B738" s="13" t="s">
        <v>43</v>
      </c>
      <c r="C738" s="13" t="s">
        <v>5</v>
      </c>
      <c r="D738" s="13" t="s">
        <v>589</v>
      </c>
      <c r="E738" s="16" t="n">
        <v>369.808333333333</v>
      </c>
      <c r="F738" s="7" t="n">
        <v>10</v>
      </c>
      <c r="G738" s="5" t="n">
        <v>4400</v>
      </c>
    </row>
    <row r="739" customFormat="false" ht="15" hidden="false" customHeight="false" outlineLevel="0" collapsed="false">
      <c r="A739" s="13" t="s">
        <v>121</v>
      </c>
      <c r="B739" s="13" t="s">
        <v>43</v>
      </c>
      <c r="C739" s="13" t="s">
        <v>5</v>
      </c>
      <c r="D739" s="13" t="s">
        <v>590</v>
      </c>
      <c r="E739" s="16" t="n">
        <v>199.114090909091</v>
      </c>
      <c r="F739" s="7" t="n">
        <v>20</v>
      </c>
      <c r="G739" s="5" t="n">
        <v>4400</v>
      </c>
    </row>
    <row r="740" customFormat="false" ht="15" hidden="false" customHeight="false" outlineLevel="0" collapsed="false">
      <c r="A740" s="13" t="s">
        <v>42</v>
      </c>
      <c r="B740" s="13" t="s">
        <v>43</v>
      </c>
      <c r="C740" s="13" t="s">
        <v>5</v>
      </c>
      <c r="D740" s="13" t="s">
        <v>591</v>
      </c>
      <c r="E740" s="16" t="n">
        <v>880.44</v>
      </c>
      <c r="F740" s="7" t="n">
        <v>5</v>
      </c>
      <c r="G740" s="5" t="n">
        <v>4400</v>
      </c>
    </row>
    <row r="741" customFormat="false" ht="15" hidden="false" customHeight="false" outlineLevel="0" collapsed="false">
      <c r="A741" s="13" t="s">
        <v>45</v>
      </c>
      <c r="B741" s="13" t="s">
        <v>43</v>
      </c>
      <c r="C741" s="13" t="s">
        <v>5</v>
      </c>
      <c r="D741" s="13" t="s">
        <v>46</v>
      </c>
      <c r="E741" s="16" t="n">
        <v>625.727142857143</v>
      </c>
      <c r="F741" s="7" t="n">
        <v>5</v>
      </c>
      <c r="G741" s="5" t="n">
        <v>4400</v>
      </c>
    </row>
    <row r="742" customFormat="false" ht="15" hidden="false" customHeight="false" outlineLevel="0" collapsed="false">
      <c r="A742" s="13" t="s">
        <v>193</v>
      </c>
      <c r="B742" s="13" t="s">
        <v>43</v>
      </c>
      <c r="C742" s="13" t="s">
        <v>5</v>
      </c>
      <c r="D742" s="13" t="s">
        <v>379</v>
      </c>
      <c r="E742" s="16" t="n">
        <v>396.193636363636</v>
      </c>
      <c r="F742" s="7" t="n">
        <v>10</v>
      </c>
      <c r="G742" s="5" t="n">
        <v>4400</v>
      </c>
    </row>
    <row r="743" customFormat="false" ht="15" hidden="false" customHeight="false" outlineLevel="0" collapsed="false">
      <c r="A743" s="13" t="s">
        <v>153</v>
      </c>
      <c r="B743" s="13" t="s">
        <v>43</v>
      </c>
      <c r="C743" s="13" t="s">
        <v>5</v>
      </c>
      <c r="D743" s="13" t="s">
        <v>592</v>
      </c>
      <c r="E743" s="16" t="n">
        <v>396.8</v>
      </c>
      <c r="F743" s="7" t="n">
        <v>10</v>
      </c>
      <c r="G743" s="5" t="n">
        <v>4400</v>
      </c>
    </row>
    <row r="744" customFormat="false" ht="15" hidden="false" customHeight="false" outlineLevel="0" collapsed="false">
      <c r="A744" s="13" t="s">
        <v>153</v>
      </c>
      <c r="B744" s="13" t="s">
        <v>43</v>
      </c>
      <c r="C744" s="13" t="s">
        <v>5</v>
      </c>
      <c r="D744" s="13" t="s">
        <v>593</v>
      </c>
      <c r="E744" s="16" t="n">
        <v>547.42875</v>
      </c>
      <c r="F744" s="7" t="n">
        <v>5</v>
      </c>
      <c r="G744" s="5" t="n">
        <v>4400</v>
      </c>
    </row>
    <row r="745" customFormat="false" ht="15" hidden="false" customHeight="false" outlineLevel="0" collapsed="false">
      <c r="A745" s="13" t="s">
        <v>42</v>
      </c>
      <c r="B745" s="13" t="s">
        <v>43</v>
      </c>
      <c r="C745" s="13" t="s">
        <v>5</v>
      </c>
      <c r="D745" s="13" t="s">
        <v>594</v>
      </c>
      <c r="E745" s="16" t="n">
        <v>256.54</v>
      </c>
      <c r="F745" s="7" t="n">
        <v>20</v>
      </c>
      <c r="G745" s="5" t="n">
        <v>4400</v>
      </c>
    </row>
    <row r="746" customFormat="false" ht="15" hidden="false" customHeight="false" outlineLevel="0" collapsed="false">
      <c r="A746" s="13" t="s">
        <v>470</v>
      </c>
      <c r="B746" s="13" t="s">
        <v>85</v>
      </c>
      <c r="C746" s="13" t="s">
        <v>3</v>
      </c>
      <c r="D746" s="13" t="s">
        <v>595</v>
      </c>
      <c r="E746" s="16" t="n">
        <v>336.99</v>
      </c>
      <c r="F746" s="7" t="n">
        <v>10</v>
      </c>
      <c r="G746" s="5" t="n">
        <v>4400</v>
      </c>
    </row>
    <row r="747" customFormat="false" ht="15" hidden="false" customHeight="false" outlineLevel="0" collapsed="false">
      <c r="A747" s="13" t="s">
        <v>50</v>
      </c>
      <c r="B747" s="13" t="s">
        <v>43</v>
      </c>
      <c r="C747" s="13" t="s">
        <v>4</v>
      </c>
      <c r="D747" s="13" t="s">
        <v>596</v>
      </c>
      <c r="E747" s="16" t="n">
        <v>623.355714285714</v>
      </c>
      <c r="F747" s="7" t="n">
        <v>5</v>
      </c>
      <c r="G747" s="5" t="n">
        <v>4400</v>
      </c>
    </row>
    <row r="748" customFormat="false" ht="15" hidden="false" customHeight="false" outlineLevel="0" collapsed="false">
      <c r="A748" s="13" t="s">
        <v>50</v>
      </c>
      <c r="B748" s="13" t="s">
        <v>43</v>
      </c>
      <c r="C748" s="13" t="s">
        <v>4</v>
      </c>
      <c r="D748" s="13" t="s">
        <v>597</v>
      </c>
      <c r="E748" s="16" t="n">
        <v>738.65</v>
      </c>
      <c r="F748" s="7" t="n">
        <v>5</v>
      </c>
      <c r="G748" s="5" t="n">
        <v>4400</v>
      </c>
    </row>
    <row r="749" customFormat="false" ht="15" hidden="false" customHeight="false" outlineLevel="0" collapsed="false">
      <c r="A749" s="13" t="s">
        <v>79</v>
      </c>
      <c r="B749" s="13" t="s">
        <v>43</v>
      </c>
      <c r="C749" s="13" t="s">
        <v>3</v>
      </c>
      <c r="D749" s="13" t="s">
        <v>331</v>
      </c>
      <c r="E749" s="16" t="n">
        <v>541.7425</v>
      </c>
      <c r="F749" s="7" t="n">
        <v>5</v>
      </c>
      <c r="G749" s="5" t="n">
        <v>4300</v>
      </c>
    </row>
    <row r="750" customFormat="false" ht="15" hidden="false" customHeight="false" outlineLevel="0" collapsed="false">
      <c r="A750" s="13" t="s">
        <v>50</v>
      </c>
      <c r="B750" s="13" t="s">
        <v>43</v>
      </c>
      <c r="C750" s="13" t="s">
        <v>4</v>
      </c>
      <c r="D750" s="13" t="s">
        <v>598</v>
      </c>
      <c r="E750" s="16" t="n">
        <v>615.325714285714</v>
      </c>
      <c r="F750" s="7" t="n">
        <v>5</v>
      </c>
      <c r="G750" s="5" t="n">
        <v>4300</v>
      </c>
    </row>
    <row r="751" customFormat="false" ht="15" hidden="false" customHeight="false" outlineLevel="0" collapsed="false">
      <c r="A751" s="13" t="s">
        <v>204</v>
      </c>
      <c r="B751" s="13" t="s">
        <v>43</v>
      </c>
      <c r="C751" s="13" t="s">
        <v>4</v>
      </c>
      <c r="D751" s="13" t="s">
        <v>599</v>
      </c>
      <c r="E751" s="16" t="n">
        <v>475.9</v>
      </c>
      <c r="F751" s="7" t="n">
        <v>5</v>
      </c>
      <c r="G751" s="5" t="n">
        <v>4300</v>
      </c>
    </row>
    <row r="752" customFormat="false" ht="15" hidden="false" customHeight="false" outlineLevel="0" collapsed="false">
      <c r="A752" s="13" t="s">
        <v>50</v>
      </c>
      <c r="B752" s="13" t="s">
        <v>43</v>
      </c>
      <c r="C752" s="13" t="s">
        <v>5</v>
      </c>
      <c r="D752" s="13" t="s">
        <v>600</v>
      </c>
      <c r="E752" s="16" t="n">
        <v>853.9</v>
      </c>
      <c r="F752" s="7" t="n">
        <v>5</v>
      </c>
      <c r="G752" s="5" t="n">
        <v>4300</v>
      </c>
    </row>
    <row r="753" customFormat="false" ht="15" hidden="false" customHeight="false" outlineLevel="0" collapsed="false">
      <c r="A753" s="13" t="s">
        <v>42</v>
      </c>
      <c r="B753" s="13" t="s">
        <v>43</v>
      </c>
      <c r="C753" s="13" t="s">
        <v>5</v>
      </c>
      <c r="D753" s="13" t="s">
        <v>601</v>
      </c>
      <c r="E753" s="16" t="n">
        <v>194.021363636364</v>
      </c>
      <c r="F753" s="7" t="n">
        <v>20</v>
      </c>
      <c r="G753" s="5" t="n">
        <v>4300</v>
      </c>
    </row>
    <row r="754" customFormat="false" ht="15" hidden="false" customHeight="false" outlineLevel="0" collapsed="false">
      <c r="A754" s="13" t="s">
        <v>195</v>
      </c>
      <c r="B754" s="13" t="s">
        <v>43</v>
      </c>
      <c r="C754" s="13" t="s">
        <v>5</v>
      </c>
      <c r="D754" s="13" t="s">
        <v>528</v>
      </c>
      <c r="E754" s="16" t="n">
        <v>395.24</v>
      </c>
      <c r="F754" s="7" t="n">
        <v>10</v>
      </c>
      <c r="G754" s="5" t="n">
        <v>4300</v>
      </c>
    </row>
    <row r="755" customFormat="false" ht="15" hidden="false" customHeight="false" outlineLevel="0" collapsed="false">
      <c r="A755" s="13" t="s">
        <v>42</v>
      </c>
      <c r="B755" s="13" t="s">
        <v>43</v>
      </c>
      <c r="C755" s="13" t="s">
        <v>4</v>
      </c>
      <c r="D755" s="13" t="s">
        <v>602</v>
      </c>
      <c r="E755" s="16" t="n">
        <v>608.13</v>
      </c>
      <c r="F755" s="7" t="n">
        <v>5</v>
      </c>
      <c r="G755" s="5" t="n">
        <v>4300</v>
      </c>
    </row>
    <row r="756" customFormat="false" ht="15" hidden="false" customHeight="false" outlineLevel="0" collapsed="false">
      <c r="A756" s="13" t="s">
        <v>42</v>
      </c>
      <c r="B756" s="13" t="s">
        <v>43</v>
      </c>
      <c r="C756" s="13" t="s">
        <v>5</v>
      </c>
      <c r="D756" s="13" t="s">
        <v>213</v>
      </c>
      <c r="E756" s="16" t="n">
        <v>710.97</v>
      </c>
      <c r="F756" s="7" t="n">
        <v>5</v>
      </c>
      <c r="G756" s="5" t="n">
        <v>4300</v>
      </c>
    </row>
    <row r="757" customFormat="false" ht="15" hidden="false" customHeight="false" outlineLevel="0" collapsed="false">
      <c r="A757" s="13" t="s">
        <v>50</v>
      </c>
      <c r="B757" s="13" t="s">
        <v>43</v>
      </c>
      <c r="C757" s="13" t="s">
        <v>5</v>
      </c>
      <c r="D757" s="13" t="s">
        <v>63</v>
      </c>
      <c r="E757" s="16" t="n">
        <v>869.13</v>
      </c>
      <c r="F757" s="7" t="n">
        <v>5</v>
      </c>
      <c r="G757" s="5" t="n">
        <v>4300</v>
      </c>
    </row>
    <row r="758" customFormat="false" ht="15" hidden="false" customHeight="false" outlineLevel="0" collapsed="false">
      <c r="A758" s="13" t="s">
        <v>54</v>
      </c>
      <c r="B758" s="13" t="s">
        <v>43</v>
      </c>
      <c r="C758" s="13" t="s">
        <v>5</v>
      </c>
      <c r="D758" s="13" t="s">
        <v>603</v>
      </c>
      <c r="E758" s="16" t="n">
        <v>527.5325</v>
      </c>
      <c r="F758" s="7" t="n">
        <v>5</v>
      </c>
      <c r="G758" s="5" t="n">
        <v>4200</v>
      </c>
    </row>
    <row r="759" customFormat="false" ht="15" hidden="false" customHeight="false" outlineLevel="0" collapsed="false">
      <c r="A759" s="13" t="s">
        <v>195</v>
      </c>
      <c r="B759" s="13" t="s">
        <v>43</v>
      </c>
      <c r="C759" s="13" t="s">
        <v>5</v>
      </c>
      <c r="D759" s="13" t="s">
        <v>604</v>
      </c>
      <c r="E759" s="16" t="n">
        <v>528</v>
      </c>
      <c r="F759" s="7" t="n">
        <v>5</v>
      </c>
      <c r="G759" s="5" t="n">
        <v>4200</v>
      </c>
    </row>
    <row r="760" customFormat="false" ht="15" hidden="false" customHeight="false" outlineLevel="0" collapsed="false">
      <c r="A760" s="13" t="s">
        <v>42</v>
      </c>
      <c r="B760" s="13" t="s">
        <v>43</v>
      </c>
      <c r="C760" s="13" t="s">
        <v>4</v>
      </c>
      <c r="D760" s="13" t="s">
        <v>152</v>
      </c>
      <c r="E760" s="16" t="n">
        <v>421.012</v>
      </c>
      <c r="F760" s="7" t="n">
        <v>5</v>
      </c>
      <c r="G760" s="5" t="n">
        <v>4200</v>
      </c>
    </row>
    <row r="761" customFormat="false" ht="15" hidden="false" customHeight="false" outlineLevel="0" collapsed="false">
      <c r="A761" s="13" t="s">
        <v>79</v>
      </c>
      <c r="B761" s="13" t="s">
        <v>43</v>
      </c>
      <c r="C761" s="13" t="s">
        <v>5</v>
      </c>
      <c r="D761" s="13" t="s">
        <v>343</v>
      </c>
      <c r="E761" s="16" t="n">
        <v>416.8</v>
      </c>
      <c r="F761" s="7" t="n">
        <v>5</v>
      </c>
      <c r="G761" s="5" t="n">
        <v>4200</v>
      </c>
    </row>
    <row r="762" customFormat="false" ht="15" hidden="false" customHeight="false" outlineLevel="0" collapsed="false">
      <c r="A762" s="13" t="s">
        <v>45</v>
      </c>
      <c r="B762" s="13" t="s">
        <v>43</v>
      </c>
      <c r="C762" s="13" t="s">
        <v>4</v>
      </c>
      <c r="D762" s="13" t="s">
        <v>279</v>
      </c>
      <c r="E762" s="16" t="n">
        <v>839.11</v>
      </c>
      <c r="F762" s="7" t="n">
        <v>5</v>
      </c>
      <c r="G762" s="5" t="n">
        <v>4200</v>
      </c>
    </row>
    <row r="763" customFormat="false" ht="15" hidden="false" customHeight="false" outlineLevel="0" collapsed="false">
      <c r="A763" s="13" t="s">
        <v>153</v>
      </c>
      <c r="B763" s="13" t="s">
        <v>43</v>
      </c>
      <c r="C763" s="13" t="s">
        <v>4</v>
      </c>
      <c r="D763" s="13" t="s">
        <v>605</v>
      </c>
      <c r="E763" s="16" t="n">
        <v>701.603333333333</v>
      </c>
      <c r="F763" s="7" t="n">
        <v>5</v>
      </c>
      <c r="G763" s="5" t="n">
        <v>4200</v>
      </c>
    </row>
    <row r="764" customFormat="false" ht="15" hidden="false" customHeight="false" outlineLevel="0" collapsed="false">
      <c r="A764" s="13" t="s">
        <v>79</v>
      </c>
      <c r="B764" s="13" t="s">
        <v>43</v>
      </c>
      <c r="C764" s="13" t="s">
        <v>4</v>
      </c>
      <c r="D764" s="13" t="s">
        <v>469</v>
      </c>
      <c r="E764" s="16" t="n">
        <v>1017.44</v>
      </c>
      <c r="F764" s="7" t="n">
        <v>2</v>
      </c>
      <c r="G764" s="5" t="n">
        <v>4100</v>
      </c>
    </row>
    <row r="765" customFormat="false" ht="15" hidden="false" customHeight="false" outlineLevel="0" collapsed="false">
      <c r="A765" s="13" t="s">
        <v>153</v>
      </c>
      <c r="B765" s="13" t="s">
        <v>43</v>
      </c>
      <c r="C765" s="13" t="s">
        <v>5</v>
      </c>
      <c r="D765" s="13" t="s">
        <v>606</v>
      </c>
      <c r="E765" s="16" t="n">
        <v>514</v>
      </c>
      <c r="F765" s="7" t="n">
        <v>5</v>
      </c>
      <c r="G765" s="5" t="n">
        <v>4100</v>
      </c>
    </row>
    <row r="766" customFormat="false" ht="15" hidden="false" customHeight="false" outlineLevel="0" collapsed="false">
      <c r="A766" s="13" t="s">
        <v>315</v>
      </c>
      <c r="B766" s="13" t="s">
        <v>43</v>
      </c>
      <c r="C766" s="13" t="s">
        <v>5</v>
      </c>
      <c r="D766" s="13" t="s">
        <v>554</v>
      </c>
      <c r="E766" s="16" t="n">
        <v>814.59</v>
      </c>
      <c r="F766" s="7" t="n">
        <v>5</v>
      </c>
      <c r="G766" s="5" t="n">
        <v>4100</v>
      </c>
    </row>
    <row r="767" customFormat="false" ht="15" hidden="false" customHeight="false" outlineLevel="0" collapsed="false">
      <c r="A767" s="13" t="s">
        <v>42</v>
      </c>
      <c r="B767" s="13" t="s">
        <v>43</v>
      </c>
      <c r="C767" s="13" t="s">
        <v>5</v>
      </c>
      <c r="D767" s="13" t="s">
        <v>607</v>
      </c>
      <c r="E767" s="16" t="n">
        <v>588.201428571429</v>
      </c>
      <c r="F767" s="7" t="n">
        <v>5</v>
      </c>
      <c r="G767" s="5" t="n">
        <v>4100</v>
      </c>
    </row>
    <row r="768" customFormat="false" ht="15" hidden="false" customHeight="false" outlineLevel="0" collapsed="false">
      <c r="A768" s="13" t="s">
        <v>362</v>
      </c>
      <c r="B768" s="13" t="s">
        <v>43</v>
      </c>
      <c r="C768" s="13" t="s">
        <v>4</v>
      </c>
      <c r="D768" s="13" t="s">
        <v>608</v>
      </c>
      <c r="E768" s="16" t="n">
        <v>820.696</v>
      </c>
      <c r="F768" s="7" t="n">
        <v>5</v>
      </c>
      <c r="G768" s="5" t="n">
        <v>4100</v>
      </c>
    </row>
    <row r="769" customFormat="false" ht="15" hidden="false" customHeight="false" outlineLevel="0" collapsed="false">
      <c r="A769" s="13" t="s">
        <v>50</v>
      </c>
      <c r="B769" s="13" t="s">
        <v>183</v>
      </c>
      <c r="C769" s="13" t="s">
        <v>4</v>
      </c>
      <c r="D769" s="13" t="s">
        <v>609</v>
      </c>
      <c r="E769" s="16" t="n">
        <v>817.156</v>
      </c>
      <c r="F769" s="7" t="n">
        <v>5</v>
      </c>
      <c r="G769" s="5" t="n">
        <v>4100</v>
      </c>
    </row>
    <row r="770" customFormat="false" ht="15" hidden="false" customHeight="false" outlineLevel="0" collapsed="false">
      <c r="A770" s="13" t="s">
        <v>45</v>
      </c>
      <c r="B770" s="13" t="s">
        <v>43</v>
      </c>
      <c r="C770" s="13" t="s">
        <v>4</v>
      </c>
      <c r="D770" s="13" t="s">
        <v>610</v>
      </c>
      <c r="E770" s="16" t="n">
        <v>453.025555555556</v>
      </c>
      <c r="F770" s="7" t="n">
        <v>5</v>
      </c>
      <c r="G770" s="5" t="n">
        <v>4100</v>
      </c>
    </row>
    <row r="771" customFormat="false" ht="15" hidden="false" customHeight="false" outlineLevel="0" collapsed="false">
      <c r="A771" s="13" t="s">
        <v>42</v>
      </c>
      <c r="B771" s="13" t="s">
        <v>43</v>
      </c>
      <c r="C771" s="13" t="s">
        <v>4</v>
      </c>
      <c r="D771" s="13" t="s">
        <v>206</v>
      </c>
      <c r="E771" s="16" t="n">
        <v>813.99</v>
      </c>
      <c r="F771" s="7" t="n">
        <v>5</v>
      </c>
      <c r="G771" s="5" t="n">
        <v>4100</v>
      </c>
    </row>
    <row r="772" customFormat="false" ht="15" hidden="false" customHeight="false" outlineLevel="0" collapsed="false">
      <c r="A772" s="13" t="s">
        <v>179</v>
      </c>
      <c r="B772" s="13" t="s">
        <v>85</v>
      </c>
      <c r="C772" s="13" t="s">
        <v>3</v>
      </c>
      <c r="D772" s="13" t="s">
        <v>611</v>
      </c>
      <c r="E772" s="16" t="n">
        <v>399</v>
      </c>
      <c r="F772" s="7" t="n">
        <v>5</v>
      </c>
      <c r="G772" s="5" t="n">
        <v>4000</v>
      </c>
    </row>
    <row r="773" customFormat="false" ht="15" hidden="false" customHeight="false" outlineLevel="0" collapsed="false">
      <c r="A773" s="13" t="s">
        <v>79</v>
      </c>
      <c r="B773" s="13" t="s">
        <v>43</v>
      </c>
      <c r="C773" s="13" t="s">
        <v>5</v>
      </c>
      <c r="D773" s="13" t="s">
        <v>612</v>
      </c>
      <c r="E773" s="16" t="n">
        <v>669.641666666667</v>
      </c>
      <c r="F773" s="7" t="n">
        <v>5</v>
      </c>
      <c r="G773" s="5" t="n">
        <v>4000</v>
      </c>
    </row>
    <row r="774" customFormat="false" ht="15" hidden="false" customHeight="false" outlineLevel="0" collapsed="false">
      <c r="A774" s="13" t="s">
        <v>153</v>
      </c>
      <c r="B774" s="13" t="s">
        <v>43</v>
      </c>
      <c r="C774" s="13" t="s">
        <v>5</v>
      </c>
      <c r="D774" s="13" t="s">
        <v>613</v>
      </c>
      <c r="E774" s="16" t="n">
        <v>668.643333333333</v>
      </c>
      <c r="F774" s="7" t="n">
        <v>5</v>
      </c>
      <c r="G774" s="5" t="n">
        <v>4000</v>
      </c>
    </row>
    <row r="775" customFormat="false" ht="15" hidden="false" customHeight="false" outlineLevel="0" collapsed="false">
      <c r="A775" s="13" t="s">
        <v>42</v>
      </c>
      <c r="B775" s="13" t="s">
        <v>43</v>
      </c>
      <c r="C775" s="13" t="s">
        <v>5</v>
      </c>
      <c r="D775" s="13" t="s">
        <v>47</v>
      </c>
      <c r="E775" s="16" t="n">
        <v>665.24</v>
      </c>
      <c r="F775" s="7" t="n">
        <v>5</v>
      </c>
      <c r="G775" s="5" t="n">
        <v>4000</v>
      </c>
    </row>
    <row r="776" customFormat="false" ht="15" hidden="false" customHeight="false" outlineLevel="0" collapsed="false">
      <c r="A776" s="13" t="s">
        <v>50</v>
      </c>
      <c r="B776" s="13" t="s">
        <v>43</v>
      </c>
      <c r="C776" s="13" t="s">
        <v>5</v>
      </c>
      <c r="D776" s="13" t="s">
        <v>614</v>
      </c>
      <c r="E776" s="16" t="n">
        <v>399</v>
      </c>
      <c r="F776" s="7" t="n">
        <v>5</v>
      </c>
      <c r="G776" s="5" t="n">
        <v>4000</v>
      </c>
    </row>
    <row r="777" customFormat="false" ht="15" hidden="false" customHeight="false" outlineLevel="0" collapsed="false">
      <c r="A777" s="13" t="s">
        <v>45</v>
      </c>
      <c r="B777" s="13" t="s">
        <v>43</v>
      </c>
      <c r="C777" s="13" t="s">
        <v>4</v>
      </c>
      <c r="D777" s="13" t="s">
        <v>615</v>
      </c>
      <c r="E777" s="16" t="n">
        <v>791.476</v>
      </c>
      <c r="F777" s="7" t="n">
        <v>5</v>
      </c>
      <c r="G777" s="5" t="n">
        <v>4000</v>
      </c>
    </row>
    <row r="778" customFormat="false" ht="15" hidden="false" customHeight="false" outlineLevel="0" collapsed="false">
      <c r="A778" s="13" t="s">
        <v>204</v>
      </c>
      <c r="B778" s="13" t="s">
        <v>43</v>
      </c>
      <c r="C778" s="13" t="s">
        <v>4</v>
      </c>
      <c r="D778" s="13" t="s">
        <v>616</v>
      </c>
      <c r="E778" s="16" t="n">
        <v>191.686666666667</v>
      </c>
      <c r="F778" s="7" t="n">
        <v>20</v>
      </c>
      <c r="G778" s="5" t="n">
        <v>4000</v>
      </c>
    </row>
    <row r="779" customFormat="false" ht="15" hidden="false" customHeight="false" outlineLevel="0" collapsed="false">
      <c r="A779" s="13" t="s">
        <v>45</v>
      </c>
      <c r="B779" s="13" t="s">
        <v>43</v>
      </c>
      <c r="C779" s="13" t="s">
        <v>5</v>
      </c>
      <c r="D779" s="13" t="s">
        <v>101</v>
      </c>
      <c r="E779" s="16" t="n">
        <v>385.96</v>
      </c>
      <c r="F779" s="7" t="n">
        <v>5</v>
      </c>
      <c r="G779" s="5" t="n">
        <v>3900</v>
      </c>
    </row>
    <row r="780" customFormat="false" ht="15" hidden="false" customHeight="false" outlineLevel="0" collapsed="false">
      <c r="A780" s="13" t="s">
        <v>362</v>
      </c>
      <c r="B780" s="13" t="s">
        <v>43</v>
      </c>
      <c r="C780" s="13" t="s">
        <v>5</v>
      </c>
      <c r="D780" s="13" t="s">
        <v>617</v>
      </c>
      <c r="E780" s="16" t="n">
        <v>643.946666666667</v>
      </c>
      <c r="F780" s="7" t="n">
        <v>5</v>
      </c>
      <c r="G780" s="5" t="n">
        <v>3900</v>
      </c>
    </row>
    <row r="781" customFormat="false" ht="15" hidden="false" customHeight="false" outlineLevel="0" collapsed="false">
      <c r="A781" s="13" t="s">
        <v>50</v>
      </c>
      <c r="B781" s="13" t="s">
        <v>43</v>
      </c>
      <c r="C781" s="13" t="s">
        <v>4</v>
      </c>
      <c r="D781" s="13" t="s">
        <v>618</v>
      </c>
      <c r="E781" s="16" t="n">
        <v>642.93</v>
      </c>
      <c r="F781" s="7" t="n">
        <v>5</v>
      </c>
      <c r="G781" s="5" t="n">
        <v>3900</v>
      </c>
    </row>
    <row r="782" customFormat="false" ht="15" hidden="false" customHeight="false" outlineLevel="0" collapsed="false">
      <c r="A782" s="13" t="s">
        <v>45</v>
      </c>
      <c r="B782" s="13" t="s">
        <v>43</v>
      </c>
      <c r="C782" s="13" t="s">
        <v>4</v>
      </c>
      <c r="D782" s="13" t="s">
        <v>619</v>
      </c>
      <c r="E782" s="16" t="n">
        <v>552.665714285714</v>
      </c>
      <c r="F782" s="7" t="n">
        <v>5</v>
      </c>
      <c r="G782" s="5" t="n">
        <v>3900</v>
      </c>
    </row>
    <row r="783" customFormat="false" ht="15" hidden="false" customHeight="false" outlineLevel="0" collapsed="false">
      <c r="A783" s="13" t="s">
        <v>42</v>
      </c>
      <c r="B783" s="13" t="s">
        <v>43</v>
      </c>
      <c r="C783" s="13" t="s">
        <v>4</v>
      </c>
      <c r="D783" s="13" t="s">
        <v>47</v>
      </c>
      <c r="E783" s="16" t="n">
        <v>786.75</v>
      </c>
      <c r="F783" s="7" t="n">
        <v>5</v>
      </c>
      <c r="G783" s="5" t="n">
        <v>3900</v>
      </c>
    </row>
    <row r="784" customFormat="false" ht="15" hidden="false" customHeight="false" outlineLevel="0" collapsed="false">
      <c r="A784" s="13" t="s">
        <v>61</v>
      </c>
      <c r="B784" s="13" t="s">
        <v>43</v>
      </c>
      <c r="C784" s="13" t="s">
        <v>5</v>
      </c>
      <c r="D784" s="13" t="s">
        <v>620</v>
      </c>
      <c r="E784" s="16" t="n">
        <v>258.833333333333</v>
      </c>
      <c r="F784" s="7" t="n">
        <v>20</v>
      </c>
      <c r="G784" s="5" t="n">
        <v>3900</v>
      </c>
    </row>
    <row r="785" customFormat="false" ht="15" hidden="false" customHeight="false" outlineLevel="0" collapsed="false">
      <c r="A785" s="13" t="s">
        <v>153</v>
      </c>
      <c r="B785" s="13" t="s">
        <v>43</v>
      </c>
      <c r="C785" s="13" t="s">
        <v>5</v>
      </c>
      <c r="D785" s="13" t="s">
        <v>621</v>
      </c>
      <c r="E785" s="16" t="n">
        <v>489</v>
      </c>
      <c r="F785" s="7" t="n">
        <v>5</v>
      </c>
      <c r="G785" s="5" t="n">
        <v>3900</v>
      </c>
    </row>
    <row r="786" customFormat="false" ht="15" hidden="false" customHeight="false" outlineLevel="0" collapsed="false">
      <c r="A786" s="13" t="s">
        <v>105</v>
      </c>
      <c r="B786" s="13" t="s">
        <v>43</v>
      </c>
      <c r="C786" s="13" t="s">
        <v>5</v>
      </c>
      <c r="D786" s="13" t="s">
        <v>235</v>
      </c>
      <c r="E786" s="16" t="n">
        <v>558</v>
      </c>
      <c r="F786" s="7" t="n">
        <v>5</v>
      </c>
      <c r="G786" s="5" t="n">
        <v>3900</v>
      </c>
    </row>
    <row r="787" customFormat="false" ht="15" hidden="false" customHeight="false" outlineLevel="0" collapsed="false">
      <c r="A787" s="13" t="s">
        <v>45</v>
      </c>
      <c r="B787" s="13" t="s">
        <v>43</v>
      </c>
      <c r="C787" s="13" t="s">
        <v>5</v>
      </c>
      <c r="D787" s="13" t="s">
        <v>622</v>
      </c>
      <c r="E787" s="16" t="n">
        <v>646.05</v>
      </c>
      <c r="F787" s="7" t="n">
        <v>5</v>
      </c>
      <c r="G787" s="5" t="n">
        <v>3900</v>
      </c>
    </row>
    <row r="788" customFormat="false" ht="15" hidden="false" customHeight="false" outlineLevel="0" collapsed="false">
      <c r="A788" s="13" t="s">
        <v>50</v>
      </c>
      <c r="B788" s="13" t="s">
        <v>43</v>
      </c>
      <c r="C788" s="13" t="s">
        <v>4</v>
      </c>
      <c r="D788" s="13" t="s">
        <v>317</v>
      </c>
      <c r="E788" s="16" t="n">
        <v>765</v>
      </c>
      <c r="F788" s="7" t="n">
        <v>5</v>
      </c>
      <c r="G788" s="5" t="n">
        <v>3800</v>
      </c>
    </row>
    <row r="789" customFormat="false" ht="15" hidden="false" customHeight="false" outlineLevel="0" collapsed="false">
      <c r="A789" s="13" t="s">
        <v>69</v>
      </c>
      <c r="B789" s="13" t="s">
        <v>43</v>
      </c>
      <c r="C789" s="13" t="s">
        <v>3</v>
      </c>
      <c r="D789" s="13" t="s">
        <v>173</v>
      </c>
      <c r="E789" s="16" t="n">
        <v>478.74</v>
      </c>
      <c r="F789" s="7" t="n">
        <v>5</v>
      </c>
      <c r="G789" s="5" t="n">
        <v>3800</v>
      </c>
    </row>
    <row r="790" customFormat="false" ht="15" hidden="false" customHeight="false" outlineLevel="0" collapsed="false">
      <c r="A790" s="13" t="s">
        <v>191</v>
      </c>
      <c r="B790" s="13" t="s">
        <v>183</v>
      </c>
      <c r="C790" s="13" t="s">
        <v>3</v>
      </c>
      <c r="D790" s="13" t="s">
        <v>623</v>
      </c>
      <c r="E790" s="16" t="n">
        <v>139.99</v>
      </c>
      <c r="F790" s="7" t="n">
        <v>30</v>
      </c>
      <c r="G790" s="5" t="n">
        <v>3800</v>
      </c>
    </row>
    <row r="791" customFormat="false" ht="15" hidden="false" customHeight="false" outlineLevel="0" collapsed="false">
      <c r="A791" s="13" t="s">
        <v>179</v>
      </c>
      <c r="B791" s="13" t="s">
        <v>180</v>
      </c>
      <c r="C791" s="13" t="s">
        <v>3</v>
      </c>
      <c r="D791" s="13" t="s">
        <v>624</v>
      </c>
      <c r="E791" s="16" t="n">
        <v>320.833333333333</v>
      </c>
      <c r="F791" s="7" t="n">
        <v>10</v>
      </c>
      <c r="G791" s="5" t="n">
        <v>3800</v>
      </c>
    </row>
    <row r="792" customFormat="false" ht="15" hidden="false" customHeight="false" outlineLevel="0" collapsed="false">
      <c r="A792" s="13" t="s">
        <v>165</v>
      </c>
      <c r="B792" s="13" t="s">
        <v>43</v>
      </c>
      <c r="C792" s="13" t="s">
        <v>3</v>
      </c>
      <c r="D792" s="13" t="s">
        <v>548</v>
      </c>
      <c r="E792" s="16" t="n">
        <v>256.311333333333</v>
      </c>
      <c r="F792" s="7" t="n">
        <v>20</v>
      </c>
      <c r="G792" s="5" t="n">
        <v>3800</v>
      </c>
    </row>
    <row r="793" customFormat="false" ht="15" hidden="false" customHeight="false" outlineLevel="0" collapsed="false">
      <c r="A793" s="13" t="s">
        <v>61</v>
      </c>
      <c r="B793" s="13" t="s">
        <v>43</v>
      </c>
      <c r="C793" s="13" t="s">
        <v>5</v>
      </c>
      <c r="D793" s="13" t="s">
        <v>253</v>
      </c>
      <c r="E793" s="16" t="n">
        <v>638.325</v>
      </c>
      <c r="F793" s="7" t="n">
        <v>5</v>
      </c>
      <c r="G793" s="5" t="n">
        <v>3800</v>
      </c>
    </row>
    <row r="794" customFormat="false" ht="15" hidden="false" customHeight="false" outlineLevel="0" collapsed="false">
      <c r="A794" s="13" t="s">
        <v>161</v>
      </c>
      <c r="B794" s="13" t="s">
        <v>43</v>
      </c>
      <c r="C794" s="13" t="s">
        <v>4</v>
      </c>
      <c r="D794" s="13" t="s">
        <v>174</v>
      </c>
      <c r="E794" s="16" t="n">
        <v>379.566</v>
      </c>
      <c r="F794" s="7" t="n">
        <v>5</v>
      </c>
      <c r="G794" s="5" t="n">
        <v>3800</v>
      </c>
    </row>
    <row r="795" customFormat="false" ht="15" hidden="false" customHeight="false" outlineLevel="0" collapsed="false">
      <c r="A795" s="13" t="s">
        <v>229</v>
      </c>
      <c r="B795" s="13" t="s">
        <v>43</v>
      </c>
      <c r="C795" s="13" t="s">
        <v>4</v>
      </c>
      <c r="D795" s="13" t="s">
        <v>625</v>
      </c>
      <c r="E795" s="16" t="n">
        <v>380.17</v>
      </c>
      <c r="F795" s="7" t="n">
        <v>5</v>
      </c>
      <c r="G795" s="5" t="n">
        <v>3800</v>
      </c>
    </row>
    <row r="796" customFormat="false" ht="15" hidden="false" customHeight="false" outlineLevel="0" collapsed="false">
      <c r="A796" s="13" t="s">
        <v>69</v>
      </c>
      <c r="B796" s="13" t="s">
        <v>43</v>
      </c>
      <c r="C796" s="13" t="s">
        <v>5</v>
      </c>
      <c r="D796" s="13" t="s">
        <v>626</v>
      </c>
      <c r="E796" s="16" t="n">
        <v>940.735</v>
      </c>
      <c r="F796" s="7" t="n">
        <v>2</v>
      </c>
      <c r="G796" s="5" t="n">
        <v>3800</v>
      </c>
    </row>
    <row r="797" customFormat="false" ht="15" hidden="false" customHeight="false" outlineLevel="0" collapsed="false">
      <c r="A797" s="13" t="s">
        <v>177</v>
      </c>
      <c r="B797" s="13" t="s">
        <v>43</v>
      </c>
      <c r="C797" s="13" t="s">
        <v>5</v>
      </c>
      <c r="D797" s="13" t="s">
        <v>627</v>
      </c>
      <c r="E797" s="16" t="n">
        <v>640</v>
      </c>
      <c r="F797" s="7" t="n">
        <v>5</v>
      </c>
      <c r="G797" s="5" t="n">
        <v>3800</v>
      </c>
    </row>
    <row r="798" customFormat="false" ht="15" hidden="false" customHeight="false" outlineLevel="0" collapsed="false">
      <c r="A798" s="13" t="s">
        <v>45</v>
      </c>
      <c r="B798" s="13" t="s">
        <v>43</v>
      </c>
      <c r="C798" s="13" t="s">
        <v>4</v>
      </c>
      <c r="D798" s="13" t="s">
        <v>46</v>
      </c>
      <c r="E798" s="16" t="n">
        <v>625.8</v>
      </c>
      <c r="F798" s="7" t="n">
        <v>5</v>
      </c>
      <c r="G798" s="5" t="n">
        <v>3800</v>
      </c>
    </row>
    <row r="799" customFormat="false" ht="15" hidden="false" customHeight="false" outlineLevel="0" collapsed="false">
      <c r="A799" s="13" t="s">
        <v>45</v>
      </c>
      <c r="B799" s="13" t="s">
        <v>43</v>
      </c>
      <c r="C799" s="13" t="s">
        <v>5</v>
      </c>
      <c r="D799" s="13" t="s">
        <v>113</v>
      </c>
      <c r="E799" s="16" t="n">
        <v>378</v>
      </c>
      <c r="F799" s="7" t="n">
        <v>5</v>
      </c>
      <c r="G799" s="5" t="n">
        <v>3800</v>
      </c>
    </row>
    <row r="800" customFormat="false" ht="15" hidden="false" customHeight="false" outlineLevel="0" collapsed="false">
      <c r="A800" s="13" t="s">
        <v>45</v>
      </c>
      <c r="B800" s="13" t="s">
        <v>43</v>
      </c>
      <c r="C800" s="13" t="s">
        <v>5</v>
      </c>
      <c r="D800" s="13" t="s">
        <v>101</v>
      </c>
      <c r="E800" s="16" t="n">
        <v>540.195714285714</v>
      </c>
      <c r="F800" s="7" t="n">
        <v>5</v>
      </c>
      <c r="G800" s="5" t="n">
        <v>3800</v>
      </c>
    </row>
    <row r="801" customFormat="false" ht="15" hidden="false" customHeight="false" outlineLevel="0" collapsed="false">
      <c r="A801" s="13" t="s">
        <v>50</v>
      </c>
      <c r="B801" s="13" t="s">
        <v>43</v>
      </c>
      <c r="C801" s="13" t="s">
        <v>5</v>
      </c>
      <c r="D801" s="13" t="s">
        <v>566</v>
      </c>
      <c r="E801" s="16" t="n">
        <v>542.23</v>
      </c>
      <c r="F801" s="7" t="n">
        <v>5</v>
      </c>
      <c r="G801" s="5" t="n">
        <v>3800</v>
      </c>
    </row>
    <row r="802" customFormat="false" ht="15" hidden="false" customHeight="false" outlineLevel="0" collapsed="false">
      <c r="A802" s="13" t="s">
        <v>42</v>
      </c>
      <c r="B802" s="13" t="s">
        <v>43</v>
      </c>
      <c r="C802" s="13" t="s">
        <v>5</v>
      </c>
      <c r="D802" s="13" t="s">
        <v>628</v>
      </c>
      <c r="E802" s="16" t="n">
        <v>639.99</v>
      </c>
      <c r="F802" s="7" t="n">
        <v>5</v>
      </c>
      <c r="G802" s="5" t="n">
        <v>3800</v>
      </c>
    </row>
    <row r="803" customFormat="false" ht="15" hidden="false" customHeight="false" outlineLevel="0" collapsed="false">
      <c r="A803" s="13" t="s">
        <v>61</v>
      </c>
      <c r="B803" s="13" t="s">
        <v>43</v>
      </c>
      <c r="C803" s="13" t="s">
        <v>5</v>
      </c>
      <c r="D803" s="13" t="s">
        <v>629</v>
      </c>
      <c r="E803" s="16" t="n">
        <v>255.836</v>
      </c>
      <c r="F803" s="7" t="n">
        <v>20</v>
      </c>
      <c r="G803" s="5" t="n">
        <v>3800</v>
      </c>
    </row>
    <row r="804" customFormat="false" ht="15" hidden="false" customHeight="false" outlineLevel="0" collapsed="false">
      <c r="A804" s="13" t="s">
        <v>42</v>
      </c>
      <c r="B804" s="13" t="s">
        <v>43</v>
      </c>
      <c r="C804" s="13" t="s">
        <v>4</v>
      </c>
      <c r="D804" s="13" t="s">
        <v>497</v>
      </c>
      <c r="E804" s="16" t="n">
        <v>636.09</v>
      </c>
      <c r="F804" s="7" t="n">
        <v>5</v>
      </c>
      <c r="G804" s="5" t="n">
        <v>3800</v>
      </c>
    </row>
    <row r="805" customFormat="false" ht="15" hidden="false" customHeight="false" outlineLevel="0" collapsed="false">
      <c r="A805" s="13" t="s">
        <v>630</v>
      </c>
      <c r="B805" s="13" t="s">
        <v>43</v>
      </c>
      <c r="C805" s="13" t="s">
        <v>4</v>
      </c>
      <c r="D805" s="13" t="s">
        <v>631</v>
      </c>
      <c r="E805" s="16" t="n">
        <v>196.491052631579</v>
      </c>
      <c r="F805" s="7" t="n">
        <v>20</v>
      </c>
      <c r="G805" s="5" t="n">
        <v>3700</v>
      </c>
    </row>
    <row r="806" customFormat="false" ht="15" hidden="false" customHeight="false" outlineLevel="0" collapsed="false">
      <c r="A806" s="13" t="s">
        <v>179</v>
      </c>
      <c r="B806" s="13" t="s">
        <v>180</v>
      </c>
      <c r="C806" s="13" t="s">
        <v>3</v>
      </c>
      <c r="D806" s="13" t="s">
        <v>632</v>
      </c>
      <c r="E806" s="16" t="n">
        <v>149</v>
      </c>
      <c r="F806" s="7" t="n">
        <v>20</v>
      </c>
      <c r="G806" s="5" t="n">
        <v>3700</v>
      </c>
    </row>
    <row r="807" customFormat="false" ht="15" hidden="false" customHeight="false" outlineLevel="0" collapsed="false">
      <c r="A807" s="13" t="s">
        <v>315</v>
      </c>
      <c r="B807" s="13" t="s">
        <v>43</v>
      </c>
      <c r="C807" s="13" t="s">
        <v>5</v>
      </c>
      <c r="D807" s="13" t="s">
        <v>316</v>
      </c>
      <c r="E807" s="16" t="n">
        <v>529.277142857143</v>
      </c>
      <c r="F807" s="7" t="n">
        <v>5</v>
      </c>
      <c r="G807" s="5" t="n">
        <v>3700</v>
      </c>
    </row>
    <row r="808" customFormat="false" ht="15" hidden="false" customHeight="false" outlineLevel="0" collapsed="false">
      <c r="A808" s="13" t="s">
        <v>50</v>
      </c>
      <c r="B808" s="13" t="s">
        <v>43</v>
      </c>
      <c r="C808" s="13" t="s">
        <v>5</v>
      </c>
      <c r="D808" s="13" t="s">
        <v>64</v>
      </c>
      <c r="E808" s="16" t="n">
        <v>534</v>
      </c>
      <c r="F808" s="7" t="n">
        <v>5</v>
      </c>
      <c r="G808" s="5" t="n">
        <v>3700</v>
      </c>
    </row>
    <row r="809" customFormat="false" ht="15" hidden="false" customHeight="false" outlineLevel="0" collapsed="false">
      <c r="A809" s="13" t="s">
        <v>179</v>
      </c>
      <c r="B809" s="13" t="s">
        <v>180</v>
      </c>
      <c r="C809" s="13" t="s">
        <v>3</v>
      </c>
      <c r="D809" s="13" t="s">
        <v>633</v>
      </c>
      <c r="E809" s="16" t="n">
        <v>281.692307692308</v>
      </c>
      <c r="F809" s="7" t="n">
        <v>10</v>
      </c>
      <c r="G809" s="5" t="n">
        <v>3700</v>
      </c>
    </row>
    <row r="810" customFormat="false" ht="15" hidden="false" customHeight="false" outlineLevel="0" collapsed="false">
      <c r="A810" s="13" t="s">
        <v>42</v>
      </c>
      <c r="B810" s="13" t="s">
        <v>43</v>
      </c>
      <c r="C810" s="13" t="s">
        <v>4</v>
      </c>
      <c r="D810" s="13" t="s">
        <v>358</v>
      </c>
      <c r="E810" s="16" t="n">
        <v>610.06</v>
      </c>
      <c r="F810" s="7" t="n">
        <v>5</v>
      </c>
      <c r="G810" s="5" t="n">
        <v>3700</v>
      </c>
    </row>
    <row r="811" customFormat="false" ht="15" hidden="false" customHeight="false" outlineLevel="0" collapsed="false">
      <c r="A811" s="13" t="s">
        <v>42</v>
      </c>
      <c r="B811" s="13" t="s">
        <v>43</v>
      </c>
      <c r="C811" s="13" t="s">
        <v>4</v>
      </c>
      <c r="D811" s="13" t="s">
        <v>634</v>
      </c>
      <c r="E811" s="16" t="n">
        <v>743.256</v>
      </c>
      <c r="F811" s="7" t="n">
        <v>5</v>
      </c>
      <c r="G811" s="5" t="n">
        <v>3700</v>
      </c>
    </row>
    <row r="812" customFormat="false" ht="15" hidden="false" customHeight="false" outlineLevel="0" collapsed="false">
      <c r="A812" s="13" t="s">
        <v>45</v>
      </c>
      <c r="B812" s="13" t="s">
        <v>43</v>
      </c>
      <c r="C812" s="13" t="s">
        <v>4</v>
      </c>
      <c r="D812" s="13" t="s">
        <v>301</v>
      </c>
      <c r="E812" s="16" t="n">
        <v>735.56</v>
      </c>
      <c r="F812" s="7" t="n">
        <v>5</v>
      </c>
      <c r="G812" s="5" t="n">
        <v>3700</v>
      </c>
    </row>
    <row r="813" customFormat="false" ht="15" hidden="false" customHeight="false" outlineLevel="0" collapsed="false">
      <c r="A813" s="13" t="s">
        <v>329</v>
      </c>
      <c r="B813" s="13" t="s">
        <v>43</v>
      </c>
      <c r="C813" s="13" t="s">
        <v>4</v>
      </c>
      <c r="D813" s="13" t="s">
        <v>635</v>
      </c>
      <c r="E813" s="16" t="n">
        <v>524.357142857143</v>
      </c>
      <c r="F813" s="7" t="n">
        <v>5</v>
      </c>
      <c r="G813" s="5" t="n">
        <v>3700</v>
      </c>
    </row>
    <row r="814" customFormat="false" ht="15" hidden="false" customHeight="false" outlineLevel="0" collapsed="false">
      <c r="A814" s="13" t="s">
        <v>302</v>
      </c>
      <c r="B814" s="13" t="s">
        <v>43</v>
      </c>
      <c r="C814" s="13" t="s">
        <v>4</v>
      </c>
      <c r="D814" s="13" t="s">
        <v>636</v>
      </c>
      <c r="E814" s="16" t="n">
        <v>734.434</v>
      </c>
      <c r="F814" s="7" t="n">
        <v>5</v>
      </c>
      <c r="G814" s="5" t="n">
        <v>3700</v>
      </c>
    </row>
    <row r="815" customFormat="false" ht="15" hidden="false" customHeight="false" outlineLevel="0" collapsed="false">
      <c r="A815" s="13" t="s">
        <v>179</v>
      </c>
      <c r="B815" s="13" t="s">
        <v>180</v>
      </c>
      <c r="C815" s="13" t="s">
        <v>3</v>
      </c>
      <c r="D815" s="13" t="s">
        <v>637</v>
      </c>
      <c r="E815" s="16" t="n">
        <v>119.99</v>
      </c>
      <c r="F815" s="7" t="n">
        <v>30</v>
      </c>
      <c r="G815" s="5" t="n">
        <v>3600</v>
      </c>
    </row>
    <row r="816" customFormat="false" ht="15" hidden="false" customHeight="false" outlineLevel="0" collapsed="false">
      <c r="A816" s="13" t="s">
        <v>193</v>
      </c>
      <c r="B816" s="13" t="s">
        <v>43</v>
      </c>
      <c r="C816" s="13" t="s">
        <v>5</v>
      </c>
      <c r="D816" s="13" t="s">
        <v>638</v>
      </c>
      <c r="E816" s="16" t="n">
        <v>724.274</v>
      </c>
      <c r="F816" s="7" t="n">
        <v>5</v>
      </c>
      <c r="G816" s="5" t="n">
        <v>3600</v>
      </c>
    </row>
    <row r="817" customFormat="false" ht="15" hidden="false" customHeight="false" outlineLevel="0" collapsed="false">
      <c r="A817" s="13" t="s">
        <v>54</v>
      </c>
      <c r="B817" s="13" t="s">
        <v>43</v>
      </c>
      <c r="C817" s="13" t="s">
        <v>5</v>
      </c>
      <c r="D817" s="13" t="s">
        <v>639</v>
      </c>
      <c r="E817" s="16" t="n">
        <v>724.652</v>
      </c>
      <c r="F817" s="7" t="n">
        <v>5</v>
      </c>
      <c r="G817" s="5" t="n">
        <v>3600</v>
      </c>
    </row>
    <row r="818" customFormat="false" ht="15" hidden="false" customHeight="false" outlineLevel="0" collapsed="false">
      <c r="A818" s="13" t="s">
        <v>79</v>
      </c>
      <c r="B818" s="13" t="s">
        <v>43</v>
      </c>
      <c r="C818" s="13" t="s">
        <v>5</v>
      </c>
      <c r="D818" s="13" t="s">
        <v>640</v>
      </c>
      <c r="E818" s="16" t="n">
        <v>910.83</v>
      </c>
      <c r="F818" s="7" t="n">
        <v>2</v>
      </c>
      <c r="G818" s="5" t="n">
        <v>3600</v>
      </c>
    </row>
    <row r="819" customFormat="false" ht="15" hidden="false" customHeight="false" outlineLevel="0" collapsed="false">
      <c r="A819" s="13" t="s">
        <v>315</v>
      </c>
      <c r="B819" s="13" t="s">
        <v>43</v>
      </c>
      <c r="C819" s="13" t="s">
        <v>5</v>
      </c>
      <c r="D819" s="13" t="s">
        <v>316</v>
      </c>
      <c r="E819" s="16" t="n">
        <v>897.83</v>
      </c>
      <c r="F819" s="7" t="n">
        <v>2</v>
      </c>
      <c r="G819" s="5" t="n">
        <v>3600</v>
      </c>
    </row>
    <row r="820" customFormat="false" ht="15" hidden="false" customHeight="false" outlineLevel="0" collapsed="false">
      <c r="A820" s="13" t="s">
        <v>54</v>
      </c>
      <c r="B820" s="13" t="s">
        <v>43</v>
      </c>
      <c r="C820" s="13" t="s">
        <v>5</v>
      </c>
      <c r="D820" s="13" t="s">
        <v>641</v>
      </c>
      <c r="E820" s="16" t="n">
        <v>328.204545454545</v>
      </c>
      <c r="F820" s="7" t="n">
        <v>10</v>
      </c>
      <c r="G820" s="5" t="n">
        <v>3600</v>
      </c>
    </row>
    <row r="821" customFormat="false" ht="15" hidden="false" customHeight="false" outlineLevel="0" collapsed="false">
      <c r="A821" s="13" t="s">
        <v>193</v>
      </c>
      <c r="B821" s="13" t="s">
        <v>43</v>
      </c>
      <c r="C821" s="13" t="s">
        <v>5</v>
      </c>
      <c r="D821" s="13" t="s">
        <v>236</v>
      </c>
      <c r="E821" s="16" t="n">
        <v>722.87</v>
      </c>
      <c r="F821" s="7" t="n">
        <v>5</v>
      </c>
      <c r="G821" s="5" t="n">
        <v>3600</v>
      </c>
    </row>
    <row r="822" customFormat="false" ht="15" hidden="false" customHeight="false" outlineLevel="0" collapsed="false">
      <c r="A822" s="13" t="s">
        <v>121</v>
      </c>
      <c r="B822" s="13" t="s">
        <v>43</v>
      </c>
      <c r="C822" s="13" t="s">
        <v>5</v>
      </c>
      <c r="D822" s="13" t="s">
        <v>642</v>
      </c>
      <c r="E822" s="16" t="n">
        <v>152</v>
      </c>
      <c r="F822" s="7" t="n">
        <v>20</v>
      </c>
      <c r="G822" s="5" t="n">
        <v>3600</v>
      </c>
    </row>
    <row r="823" customFormat="false" ht="15" hidden="false" customHeight="false" outlineLevel="0" collapsed="false">
      <c r="A823" s="13" t="s">
        <v>42</v>
      </c>
      <c r="B823" s="13" t="s">
        <v>43</v>
      </c>
      <c r="C823" s="13" t="s">
        <v>4</v>
      </c>
      <c r="D823" s="13" t="s">
        <v>643</v>
      </c>
      <c r="E823" s="16" t="n">
        <v>892.1675</v>
      </c>
      <c r="F823" s="7" t="n">
        <v>2</v>
      </c>
      <c r="G823" s="5" t="n">
        <v>3600</v>
      </c>
    </row>
    <row r="824" customFormat="false" ht="15" hidden="false" customHeight="false" outlineLevel="0" collapsed="false">
      <c r="A824" s="13" t="s">
        <v>50</v>
      </c>
      <c r="B824" s="13" t="s">
        <v>43</v>
      </c>
      <c r="C824" s="13" t="s">
        <v>4</v>
      </c>
      <c r="D824" s="13" t="s">
        <v>644</v>
      </c>
      <c r="E824" s="16" t="n">
        <v>715.17</v>
      </c>
      <c r="F824" s="7" t="n">
        <v>5</v>
      </c>
      <c r="G824" s="5" t="n">
        <v>3600</v>
      </c>
    </row>
    <row r="825" customFormat="false" ht="15" hidden="false" customHeight="false" outlineLevel="0" collapsed="false">
      <c r="A825" s="13" t="s">
        <v>45</v>
      </c>
      <c r="B825" s="13" t="s">
        <v>43</v>
      </c>
      <c r="C825" s="13" t="s">
        <v>4</v>
      </c>
      <c r="D825" s="13" t="s">
        <v>46</v>
      </c>
      <c r="E825" s="16" t="n">
        <v>910.53</v>
      </c>
      <c r="F825" s="7" t="n">
        <v>2</v>
      </c>
      <c r="G825" s="5" t="n">
        <v>3600</v>
      </c>
    </row>
    <row r="826" customFormat="false" ht="15" hidden="false" customHeight="false" outlineLevel="0" collapsed="false">
      <c r="A826" s="13" t="s">
        <v>191</v>
      </c>
      <c r="B826" s="13" t="s">
        <v>183</v>
      </c>
      <c r="C826" s="13" t="s">
        <v>3</v>
      </c>
      <c r="D826" s="13" t="s">
        <v>645</v>
      </c>
      <c r="E826" s="16" t="n">
        <v>134.423703703704</v>
      </c>
      <c r="F826" s="7" t="n">
        <v>30</v>
      </c>
      <c r="G826" s="5" t="n">
        <v>3600</v>
      </c>
    </row>
    <row r="827" customFormat="false" ht="15" hidden="false" customHeight="false" outlineLevel="0" collapsed="false">
      <c r="A827" s="13" t="s">
        <v>50</v>
      </c>
      <c r="B827" s="13" t="s">
        <v>43</v>
      </c>
      <c r="C827" s="13" t="s">
        <v>4</v>
      </c>
      <c r="D827" s="13" t="s">
        <v>646</v>
      </c>
      <c r="E827" s="16" t="n">
        <v>728.46</v>
      </c>
      <c r="F827" s="7" t="n">
        <v>5</v>
      </c>
      <c r="G827" s="5" t="n">
        <v>3600</v>
      </c>
    </row>
    <row r="828" customFormat="false" ht="15" hidden="false" customHeight="false" outlineLevel="0" collapsed="false">
      <c r="A828" s="13" t="s">
        <v>42</v>
      </c>
      <c r="B828" s="13" t="s">
        <v>43</v>
      </c>
      <c r="C828" s="13" t="s">
        <v>4</v>
      </c>
      <c r="D828" s="13" t="s">
        <v>237</v>
      </c>
      <c r="E828" s="16" t="n">
        <v>608.13</v>
      </c>
      <c r="F828" s="7" t="n">
        <v>5</v>
      </c>
      <c r="G828" s="5" t="n">
        <v>3600</v>
      </c>
    </row>
    <row r="829" customFormat="false" ht="15" hidden="false" customHeight="false" outlineLevel="0" collapsed="false">
      <c r="A829" s="13" t="s">
        <v>179</v>
      </c>
      <c r="B829" s="13" t="s">
        <v>180</v>
      </c>
      <c r="C829" s="13" t="s">
        <v>3</v>
      </c>
      <c r="D829" s="13" t="s">
        <v>647</v>
      </c>
      <c r="E829" s="16" t="n">
        <v>115.612903225806</v>
      </c>
      <c r="F829" s="7" t="n">
        <v>30</v>
      </c>
      <c r="G829" s="5" t="n">
        <v>3600</v>
      </c>
    </row>
    <row r="830" customFormat="false" ht="15" hidden="false" customHeight="false" outlineLevel="0" collapsed="false">
      <c r="A830" s="13" t="s">
        <v>204</v>
      </c>
      <c r="B830" s="13" t="s">
        <v>43</v>
      </c>
      <c r="C830" s="13" t="s">
        <v>4</v>
      </c>
      <c r="D830" s="13" t="s">
        <v>648</v>
      </c>
      <c r="E830" s="16" t="n">
        <v>394.79</v>
      </c>
      <c r="F830" s="7" t="n">
        <v>5</v>
      </c>
      <c r="G830" s="5" t="n">
        <v>3600</v>
      </c>
    </row>
    <row r="831" customFormat="false" ht="15" hidden="false" customHeight="false" outlineLevel="0" collapsed="false">
      <c r="A831" s="13" t="s">
        <v>107</v>
      </c>
      <c r="B831" s="13" t="s">
        <v>43</v>
      </c>
      <c r="C831" s="13" t="s">
        <v>5</v>
      </c>
      <c r="D831" s="13" t="s">
        <v>649</v>
      </c>
      <c r="E831" s="16" t="n">
        <v>73.6342857142857</v>
      </c>
      <c r="F831" s="7" t="n">
        <v>50</v>
      </c>
      <c r="G831" s="5" t="n">
        <v>3600</v>
      </c>
    </row>
    <row r="832" customFormat="false" ht="15" hidden="false" customHeight="false" outlineLevel="0" collapsed="false">
      <c r="A832" s="13" t="s">
        <v>45</v>
      </c>
      <c r="B832" s="13" t="s">
        <v>43</v>
      </c>
      <c r="C832" s="13" t="s">
        <v>4</v>
      </c>
      <c r="D832" s="13" t="s">
        <v>430</v>
      </c>
      <c r="E832" s="16" t="n">
        <v>694.002</v>
      </c>
      <c r="F832" s="7" t="n">
        <v>5</v>
      </c>
      <c r="G832" s="5" t="n">
        <v>3500</v>
      </c>
    </row>
    <row r="833" customFormat="false" ht="15" hidden="false" customHeight="false" outlineLevel="0" collapsed="false">
      <c r="A833" s="13" t="s">
        <v>135</v>
      </c>
      <c r="B833" s="13" t="s">
        <v>129</v>
      </c>
      <c r="C833" s="13" t="s">
        <v>3</v>
      </c>
      <c r="D833" s="13" t="s">
        <v>650</v>
      </c>
      <c r="E833" s="16" t="n">
        <v>315.94</v>
      </c>
      <c r="F833" s="7" t="n">
        <v>10</v>
      </c>
      <c r="G833" s="5" t="n">
        <v>3500</v>
      </c>
    </row>
    <row r="834" customFormat="false" ht="15" hidden="false" customHeight="false" outlineLevel="0" collapsed="false">
      <c r="A834" s="13" t="s">
        <v>111</v>
      </c>
      <c r="B834" s="13" t="s">
        <v>43</v>
      </c>
      <c r="C834" s="13" t="s">
        <v>3</v>
      </c>
      <c r="D834" s="13" t="s">
        <v>651</v>
      </c>
      <c r="E834" s="16" t="n">
        <v>289.99</v>
      </c>
      <c r="F834" s="7" t="n">
        <v>10</v>
      </c>
      <c r="G834" s="5" t="n">
        <v>3500</v>
      </c>
    </row>
    <row r="835" customFormat="false" ht="15" hidden="false" customHeight="false" outlineLevel="0" collapsed="false">
      <c r="A835" s="13" t="s">
        <v>195</v>
      </c>
      <c r="B835" s="13" t="s">
        <v>43</v>
      </c>
      <c r="C835" s="13" t="s">
        <v>3</v>
      </c>
      <c r="D835" s="13" t="s">
        <v>512</v>
      </c>
      <c r="E835" s="16" t="n">
        <v>386.403333333333</v>
      </c>
      <c r="F835" s="7" t="n">
        <v>5</v>
      </c>
      <c r="G835" s="5" t="n">
        <v>3500</v>
      </c>
    </row>
    <row r="836" customFormat="false" ht="15" hidden="false" customHeight="false" outlineLevel="0" collapsed="false">
      <c r="A836" s="13" t="s">
        <v>50</v>
      </c>
      <c r="B836" s="13" t="s">
        <v>43</v>
      </c>
      <c r="C836" s="13" t="s">
        <v>4</v>
      </c>
      <c r="D836" s="13" t="s">
        <v>289</v>
      </c>
      <c r="E836" s="16" t="n">
        <v>704.65</v>
      </c>
      <c r="F836" s="7" t="n">
        <v>5</v>
      </c>
      <c r="G836" s="5" t="n">
        <v>3500</v>
      </c>
    </row>
    <row r="837" customFormat="false" ht="15" hidden="false" customHeight="false" outlineLevel="0" collapsed="false">
      <c r="A837" s="13" t="s">
        <v>50</v>
      </c>
      <c r="B837" s="13" t="s">
        <v>43</v>
      </c>
      <c r="C837" s="13" t="s">
        <v>4</v>
      </c>
      <c r="D837" s="13" t="s">
        <v>652</v>
      </c>
      <c r="E837" s="16" t="n">
        <v>706</v>
      </c>
      <c r="F837" s="7" t="n">
        <v>5</v>
      </c>
      <c r="G837" s="5" t="n">
        <v>3500</v>
      </c>
    </row>
    <row r="838" customFormat="false" ht="15" hidden="false" customHeight="false" outlineLevel="0" collapsed="false">
      <c r="A838" s="13" t="s">
        <v>79</v>
      </c>
      <c r="B838" s="13" t="s">
        <v>43</v>
      </c>
      <c r="C838" s="13" t="s">
        <v>4</v>
      </c>
      <c r="D838" s="13" t="s">
        <v>653</v>
      </c>
      <c r="E838" s="16" t="n">
        <v>575.325</v>
      </c>
      <c r="F838" s="7" t="n">
        <v>5</v>
      </c>
      <c r="G838" s="5" t="n">
        <v>3500</v>
      </c>
    </row>
    <row r="839" customFormat="false" ht="15" hidden="false" customHeight="false" outlineLevel="0" collapsed="false">
      <c r="A839" s="13" t="s">
        <v>79</v>
      </c>
      <c r="B839" s="13" t="s">
        <v>43</v>
      </c>
      <c r="C839" s="13" t="s">
        <v>5</v>
      </c>
      <c r="D839" s="13" t="s">
        <v>486</v>
      </c>
      <c r="E839" s="16" t="n">
        <v>384.666666666667</v>
      </c>
      <c r="F839" s="7" t="n">
        <v>5</v>
      </c>
      <c r="G839" s="5" t="n">
        <v>3500</v>
      </c>
    </row>
    <row r="840" customFormat="false" ht="15" hidden="false" customHeight="false" outlineLevel="0" collapsed="false">
      <c r="A840" s="13" t="s">
        <v>45</v>
      </c>
      <c r="B840" s="13" t="s">
        <v>43</v>
      </c>
      <c r="C840" s="13" t="s">
        <v>5</v>
      </c>
      <c r="D840" s="13" t="s">
        <v>113</v>
      </c>
      <c r="E840" s="16" t="n">
        <v>692</v>
      </c>
      <c r="F840" s="7" t="n">
        <v>5</v>
      </c>
      <c r="G840" s="5" t="n">
        <v>3500</v>
      </c>
    </row>
    <row r="841" customFormat="false" ht="15" hidden="false" customHeight="false" outlineLevel="0" collapsed="false">
      <c r="A841" s="13" t="s">
        <v>42</v>
      </c>
      <c r="B841" s="13" t="s">
        <v>43</v>
      </c>
      <c r="C841" s="13" t="s">
        <v>5</v>
      </c>
      <c r="D841" s="13" t="s">
        <v>654</v>
      </c>
      <c r="E841" s="16" t="n">
        <v>691.96</v>
      </c>
      <c r="F841" s="7" t="n">
        <v>5</v>
      </c>
      <c r="G841" s="5" t="n">
        <v>3500</v>
      </c>
    </row>
    <row r="842" customFormat="false" ht="15" hidden="false" customHeight="false" outlineLevel="0" collapsed="false">
      <c r="A842" s="13" t="s">
        <v>107</v>
      </c>
      <c r="B842" s="13" t="s">
        <v>43</v>
      </c>
      <c r="C842" s="13" t="s">
        <v>5</v>
      </c>
      <c r="D842" s="13" t="s">
        <v>655</v>
      </c>
      <c r="E842" s="16" t="n">
        <v>101.843235294118</v>
      </c>
      <c r="F842" s="7" t="n">
        <v>30</v>
      </c>
      <c r="G842" s="5" t="n">
        <v>3500</v>
      </c>
    </row>
    <row r="843" customFormat="false" ht="15" hidden="false" customHeight="false" outlineLevel="0" collapsed="false">
      <c r="A843" s="13" t="s">
        <v>54</v>
      </c>
      <c r="B843" s="13" t="s">
        <v>43</v>
      </c>
      <c r="C843" s="13" t="s">
        <v>5</v>
      </c>
      <c r="D843" s="13" t="s">
        <v>656</v>
      </c>
      <c r="E843" s="16" t="n">
        <v>289.265</v>
      </c>
      <c r="F843" s="7" t="n">
        <v>10</v>
      </c>
      <c r="G843" s="5" t="n">
        <v>3500</v>
      </c>
    </row>
    <row r="844" customFormat="false" ht="15" hidden="false" customHeight="false" outlineLevel="0" collapsed="false">
      <c r="A844" s="13" t="s">
        <v>42</v>
      </c>
      <c r="B844" s="13" t="s">
        <v>43</v>
      </c>
      <c r="C844" s="13" t="s">
        <v>5</v>
      </c>
      <c r="D844" s="13" t="s">
        <v>657</v>
      </c>
      <c r="E844" s="16" t="n">
        <v>707.156</v>
      </c>
      <c r="F844" s="7" t="n">
        <v>5</v>
      </c>
      <c r="G844" s="5" t="n">
        <v>3500</v>
      </c>
    </row>
    <row r="845" customFormat="false" ht="15" hidden="false" customHeight="false" outlineLevel="0" collapsed="false">
      <c r="A845" s="13" t="s">
        <v>153</v>
      </c>
      <c r="B845" s="13" t="s">
        <v>43</v>
      </c>
      <c r="C845" s="13" t="s">
        <v>5</v>
      </c>
      <c r="D845" s="13" t="s">
        <v>658</v>
      </c>
      <c r="E845" s="16" t="n">
        <v>438.49875</v>
      </c>
      <c r="F845" s="7" t="n">
        <v>5</v>
      </c>
      <c r="G845" s="5" t="n">
        <v>3500</v>
      </c>
    </row>
    <row r="846" customFormat="false" ht="15" hidden="false" customHeight="false" outlineLevel="0" collapsed="false">
      <c r="A846" s="13" t="s">
        <v>42</v>
      </c>
      <c r="B846" s="13" t="s">
        <v>43</v>
      </c>
      <c r="C846" s="13" t="s">
        <v>5</v>
      </c>
      <c r="D846" s="13" t="s">
        <v>659</v>
      </c>
      <c r="E846" s="16" t="n">
        <v>582.245</v>
      </c>
      <c r="F846" s="7" t="n">
        <v>5</v>
      </c>
      <c r="G846" s="5" t="n">
        <v>3500</v>
      </c>
    </row>
    <row r="847" customFormat="false" ht="15" hidden="false" customHeight="false" outlineLevel="0" collapsed="false">
      <c r="A847" s="13" t="s">
        <v>79</v>
      </c>
      <c r="B847" s="13" t="s">
        <v>43</v>
      </c>
      <c r="C847" s="13" t="s">
        <v>4</v>
      </c>
      <c r="D847" s="13" t="s">
        <v>660</v>
      </c>
      <c r="E847" s="16" t="n">
        <v>585.61</v>
      </c>
      <c r="F847" s="7" t="n">
        <v>5</v>
      </c>
      <c r="G847" s="5" t="n">
        <v>3500</v>
      </c>
    </row>
    <row r="848" customFormat="false" ht="15" hidden="false" customHeight="false" outlineLevel="0" collapsed="false">
      <c r="A848" s="13" t="s">
        <v>335</v>
      </c>
      <c r="B848" s="13" t="s">
        <v>43</v>
      </c>
      <c r="C848" s="13" t="s">
        <v>4</v>
      </c>
      <c r="D848" s="13" t="s">
        <v>661</v>
      </c>
      <c r="E848" s="16" t="n">
        <v>336.51</v>
      </c>
      <c r="F848" s="7" t="n">
        <v>5</v>
      </c>
      <c r="G848" s="5" t="n">
        <v>3400</v>
      </c>
    </row>
    <row r="849" customFormat="false" ht="15" hidden="false" customHeight="false" outlineLevel="0" collapsed="false">
      <c r="A849" s="13" t="s">
        <v>195</v>
      </c>
      <c r="B849" s="13" t="s">
        <v>43</v>
      </c>
      <c r="C849" s="13" t="s">
        <v>5</v>
      </c>
      <c r="D849" s="13" t="s">
        <v>360</v>
      </c>
      <c r="E849" s="16" t="n">
        <v>380.903333333333</v>
      </c>
      <c r="F849" s="7" t="n">
        <v>5</v>
      </c>
      <c r="G849" s="5" t="n">
        <v>3400</v>
      </c>
    </row>
    <row r="850" customFormat="false" ht="15" hidden="false" customHeight="false" outlineLevel="0" collapsed="false">
      <c r="A850" s="13" t="s">
        <v>121</v>
      </c>
      <c r="B850" s="13" t="s">
        <v>43</v>
      </c>
      <c r="C850" s="13" t="s">
        <v>5</v>
      </c>
      <c r="D850" s="13" t="s">
        <v>662</v>
      </c>
      <c r="E850" s="16" t="n">
        <v>149.31</v>
      </c>
      <c r="F850" s="7" t="n">
        <v>20</v>
      </c>
      <c r="G850" s="5" t="n">
        <v>3400</v>
      </c>
    </row>
    <row r="851" customFormat="false" ht="15" hidden="false" customHeight="false" outlineLevel="0" collapsed="false">
      <c r="A851" s="13" t="s">
        <v>50</v>
      </c>
      <c r="B851" s="13" t="s">
        <v>43</v>
      </c>
      <c r="C851" s="13" t="s">
        <v>5</v>
      </c>
      <c r="D851" s="13" t="s">
        <v>404</v>
      </c>
      <c r="E851" s="16" t="n">
        <v>690</v>
      </c>
      <c r="F851" s="7" t="n">
        <v>5</v>
      </c>
      <c r="G851" s="5" t="n">
        <v>3400</v>
      </c>
    </row>
    <row r="852" customFormat="false" ht="15" hidden="false" customHeight="false" outlineLevel="0" collapsed="false">
      <c r="A852" s="13" t="s">
        <v>42</v>
      </c>
      <c r="B852" s="13" t="s">
        <v>43</v>
      </c>
      <c r="C852" s="13" t="s">
        <v>5</v>
      </c>
      <c r="D852" s="13" t="s">
        <v>345</v>
      </c>
      <c r="E852" s="16" t="n">
        <v>488.47</v>
      </c>
      <c r="F852" s="7" t="n">
        <v>5</v>
      </c>
      <c r="G852" s="5" t="n">
        <v>3400</v>
      </c>
    </row>
    <row r="853" customFormat="false" ht="15" hidden="false" customHeight="false" outlineLevel="0" collapsed="false">
      <c r="A853" s="13" t="s">
        <v>165</v>
      </c>
      <c r="B853" s="13" t="s">
        <v>43</v>
      </c>
      <c r="C853" s="13" t="s">
        <v>5</v>
      </c>
      <c r="D853" s="13" t="s">
        <v>663</v>
      </c>
      <c r="E853" s="16" t="n">
        <v>485</v>
      </c>
      <c r="F853" s="7" t="n">
        <v>5</v>
      </c>
      <c r="G853" s="5" t="n">
        <v>3400</v>
      </c>
    </row>
    <row r="854" customFormat="false" ht="15" hidden="false" customHeight="false" outlineLevel="0" collapsed="false">
      <c r="A854" s="13" t="s">
        <v>54</v>
      </c>
      <c r="B854" s="13" t="s">
        <v>43</v>
      </c>
      <c r="C854" s="13" t="s">
        <v>5</v>
      </c>
      <c r="D854" s="13" t="s">
        <v>664</v>
      </c>
      <c r="E854" s="16" t="n">
        <v>336.54</v>
      </c>
      <c r="F854" s="7" t="n">
        <v>5</v>
      </c>
      <c r="G854" s="5" t="n">
        <v>3400</v>
      </c>
    </row>
    <row r="855" customFormat="false" ht="15" hidden="false" customHeight="false" outlineLevel="0" collapsed="false">
      <c r="A855" s="13" t="s">
        <v>270</v>
      </c>
      <c r="B855" s="13" t="s">
        <v>43</v>
      </c>
      <c r="C855" s="13" t="s">
        <v>3</v>
      </c>
      <c r="D855" s="13" t="s">
        <v>665</v>
      </c>
      <c r="E855" s="16" t="n">
        <v>260.740769230769</v>
      </c>
      <c r="F855" s="7" t="n">
        <v>10</v>
      </c>
      <c r="G855" s="5" t="n">
        <v>3400</v>
      </c>
    </row>
    <row r="856" customFormat="false" ht="15" hidden="false" customHeight="false" outlineLevel="0" collapsed="false">
      <c r="A856" s="13" t="s">
        <v>50</v>
      </c>
      <c r="B856" s="13" t="s">
        <v>43</v>
      </c>
      <c r="C856" s="13" t="s">
        <v>4</v>
      </c>
      <c r="D856" s="13" t="s">
        <v>666</v>
      </c>
      <c r="E856" s="16" t="n">
        <v>569.06</v>
      </c>
      <c r="F856" s="7" t="n">
        <v>5</v>
      </c>
      <c r="G856" s="5" t="n">
        <v>3400</v>
      </c>
    </row>
    <row r="857" customFormat="false" ht="15" hidden="false" customHeight="false" outlineLevel="0" collapsed="false">
      <c r="A857" s="13" t="s">
        <v>42</v>
      </c>
      <c r="B857" s="13" t="s">
        <v>43</v>
      </c>
      <c r="C857" s="13" t="s">
        <v>4</v>
      </c>
      <c r="D857" s="13" t="s">
        <v>353</v>
      </c>
      <c r="E857" s="16" t="n">
        <v>856.8475</v>
      </c>
      <c r="F857" s="7" t="n">
        <v>2</v>
      </c>
      <c r="G857" s="5" t="n">
        <v>3400</v>
      </c>
    </row>
    <row r="858" customFormat="false" ht="15" hidden="false" customHeight="false" outlineLevel="0" collapsed="false">
      <c r="A858" s="13" t="s">
        <v>45</v>
      </c>
      <c r="B858" s="13" t="s">
        <v>43</v>
      </c>
      <c r="C858" s="13" t="s">
        <v>4</v>
      </c>
      <c r="D858" s="13" t="s">
        <v>301</v>
      </c>
      <c r="E858" s="16" t="n">
        <v>861.3375</v>
      </c>
      <c r="F858" s="7" t="n">
        <v>2</v>
      </c>
      <c r="G858" s="5" t="n">
        <v>3400</v>
      </c>
    </row>
    <row r="859" customFormat="false" ht="15" hidden="false" customHeight="false" outlineLevel="0" collapsed="false">
      <c r="A859" s="13" t="s">
        <v>45</v>
      </c>
      <c r="B859" s="13" t="s">
        <v>43</v>
      </c>
      <c r="C859" s="13" t="s">
        <v>4</v>
      </c>
      <c r="D859" s="13" t="s">
        <v>101</v>
      </c>
      <c r="E859" s="16" t="n">
        <v>375.186666666667</v>
      </c>
      <c r="F859" s="7" t="n">
        <v>5</v>
      </c>
      <c r="G859" s="5" t="n">
        <v>3400</v>
      </c>
    </row>
    <row r="860" customFormat="false" ht="15" hidden="false" customHeight="false" outlineLevel="0" collapsed="false">
      <c r="A860" s="13" t="s">
        <v>114</v>
      </c>
      <c r="B860" s="13" t="s">
        <v>85</v>
      </c>
      <c r="C860" s="13" t="s">
        <v>3</v>
      </c>
      <c r="D860" s="13" t="s">
        <v>667</v>
      </c>
      <c r="E860" s="16" t="n">
        <v>160.876190476191</v>
      </c>
      <c r="F860" s="7" t="n">
        <v>20</v>
      </c>
      <c r="G860" s="5" t="n">
        <v>3400</v>
      </c>
    </row>
    <row r="861" customFormat="false" ht="15" hidden="false" customHeight="false" outlineLevel="0" collapsed="false">
      <c r="A861" s="13" t="s">
        <v>74</v>
      </c>
      <c r="B861" s="13" t="s">
        <v>43</v>
      </c>
      <c r="C861" s="13" t="s">
        <v>3</v>
      </c>
      <c r="D861" s="13" t="s">
        <v>668</v>
      </c>
      <c r="E861" s="16" t="n">
        <v>189</v>
      </c>
      <c r="F861" s="7" t="n">
        <v>20</v>
      </c>
      <c r="G861" s="5" t="n">
        <v>3400</v>
      </c>
    </row>
    <row r="862" customFormat="false" ht="15" hidden="false" customHeight="false" outlineLevel="0" collapsed="false">
      <c r="A862" s="13" t="s">
        <v>121</v>
      </c>
      <c r="B862" s="13" t="s">
        <v>183</v>
      </c>
      <c r="C862" s="13" t="s">
        <v>5</v>
      </c>
      <c r="D862" s="13" t="s">
        <v>669</v>
      </c>
      <c r="E862" s="16" t="n">
        <v>99.7741176470589</v>
      </c>
      <c r="F862" s="7" t="n">
        <v>30</v>
      </c>
      <c r="G862" s="5" t="n">
        <v>3400</v>
      </c>
    </row>
    <row r="863" customFormat="false" ht="15" hidden="false" customHeight="false" outlineLevel="0" collapsed="false">
      <c r="A863" s="13" t="s">
        <v>177</v>
      </c>
      <c r="B863" s="13" t="s">
        <v>43</v>
      </c>
      <c r="C863" s="13" t="s">
        <v>5</v>
      </c>
      <c r="D863" s="13" t="s">
        <v>670</v>
      </c>
      <c r="E863" s="16" t="n">
        <v>848.28</v>
      </c>
      <c r="F863" s="7" t="n">
        <v>2</v>
      </c>
      <c r="G863" s="5" t="n">
        <v>3400</v>
      </c>
    </row>
    <row r="864" customFormat="false" ht="15" hidden="false" customHeight="false" outlineLevel="0" collapsed="false">
      <c r="A864" s="13" t="s">
        <v>92</v>
      </c>
      <c r="B864" s="13" t="s">
        <v>43</v>
      </c>
      <c r="C864" s="13" t="s">
        <v>3</v>
      </c>
      <c r="D864" s="13" t="s">
        <v>671</v>
      </c>
      <c r="E864" s="16" t="n">
        <v>661.95</v>
      </c>
      <c r="F864" s="7" t="n">
        <v>5</v>
      </c>
      <c r="G864" s="5" t="n">
        <v>3300</v>
      </c>
    </row>
    <row r="865" customFormat="false" ht="15" hidden="false" customHeight="false" outlineLevel="0" collapsed="false">
      <c r="A865" s="13" t="s">
        <v>54</v>
      </c>
      <c r="B865" s="13" t="s">
        <v>43</v>
      </c>
      <c r="C865" s="13" t="s">
        <v>5</v>
      </c>
      <c r="D865" s="13" t="s">
        <v>672</v>
      </c>
      <c r="E865" s="16" t="n">
        <v>1643.695</v>
      </c>
      <c r="F865" s="7" t="n">
        <v>2</v>
      </c>
      <c r="G865" s="5" t="n">
        <v>3300</v>
      </c>
    </row>
    <row r="866" customFormat="false" ht="15" hidden="false" customHeight="false" outlineLevel="0" collapsed="false">
      <c r="A866" s="13" t="s">
        <v>45</v>
      </c>
      <c r="B866" s="13" t="s">
        <v>43</v>
      </c>
      <c r="C866" s="13" t="s">
        <v>5</v>
      </c>
      <c r="D866" s="13" t="s">
        <v>113</v>
      </c>
      <c r="E866" s="16" t="n">
        <v>818.1575</v>
      </c>
      <c r="F866" s="7" t="n">
        <v>2</v>
      </c>
      <c r="G866" s="5" t="n">
        <v>3300</v>
      </c>
    </row>
    <row r="867" customFormat="false" ht="15" hidden="false" customHeight="false" outlineLevel="0" collapsed="false">
      <c r="A867" s="13" t="s">
        <v>42</v>
      </c>
      <c r="B867" s="13" t="s">
        <v>43</v>
      </c>
      <c r="C867" s="13" t="s">
        <v>5</v>
      </c>
      <c r="D867" s="13" t="s">
        <v>673</v>
      </c>
      <c r="E867" s="16" t="n">
        <v>664.14</v>
      </c>
      <c r="F867" s="7" t="n">
        <v>5</v>
      </c>
      <c r="G867" s="5" t="n">
        <v>3300</v>
      </c>
    </row>
    <row r="868" customFormat="false" ht="15" hidden="false" customHeight="false" outlineLevel="0" collapsed="false">
      <c r="A868" s="13" t="s">
        <v>107</v>
      </c>
      <c r="B868" s="13" t="s">
        <v>183</v>
      </c>
      <c r="C868" s="13" t="s">
        <v>5</v>
      </c>
      <c r="D868" s="13" t="s">
        <v>674</v>
      </c>
      <c r="E868" s="16" t="n">
        <v>277.085833333333</v>
      </c>
      <c r="F868" s="7" t="n">
        <v>10</v>
      </c>
      <c r="G868" s="5" t="n">
        <v>3300</v>
      </c>
    </row>
    <row r="869" customFormat="false" ht="15" hidden="false" customHeight="false" outlineLevel="0" collapsed="false">
      <c r="A869" s="13" t="s">
        <v>50</v>
      </c>
      <c r="B869" s="13" t="s">
        <v>43</v>
      </c>
      <c r="C869" s="13" t="s">
        <v>5</v>
      </c>
      <c r="D869" s="13" t="s">
        <v>71</v>
      </c>
      <c r="E869" s="16" t="n">
        <v>666.2</v>
      </c>
      <c r="F869" s="7" t="n">
        <v>5</v>
      </c>
      <c r="G869" s="5" t="n">
        <v>3300</v>
      </c>
    </row>
    <row r="870" customFormat="false" ht="15" hidden="false" customHeight="false" outlineLevel="0" collapsed="false">
      <c r="A870" s="13" t="s">
        <v>50</v>
      </c>
      <c r="B870" s="13" t="s">
        <v>43</v>
      </c>
      <c r="C870" s="13" t="s">
        <v>4</v>
      </c>
      <c r="D870" s="13" t="s">
        <v>644</v>
      </c>
      <c r="E870" s="16" t="n">
        <v>661.34</v>
      </c>
      <c r="F870" s="7" t="n">
        <v>5</v>
      </c>
      <c r="G870" s="5" t="n">
        <v>3300</v>
      </c>
    </row>
    <row r="871" customFormat="false" ht="15" hidden="false" customHeight="false" outlineLevel="0" collapsed="false">
      <c r="A871" s="13" t="s">
        <v>107</v>
      </c>
      <c r="B871" s="13" t="s">
        <v>43</v>
      </c>
      <c r="C871" s="13" t="s">
        <v>5</v>
      </c>
      <c r="D871" s="13" t="s">
        <v>108</v>
      </c>
      <c r="E871" s="16" t="n">
        <v>174.36</v>
      </c>
      <c r="F871" s="7" t="n">
        <v>20</v>
      </c>
      <c r="G871" s="5" t="n">
        <v>3300</v>
      </c>
    </row>
    <row r="872" customFormat="false" ht="15" hidden="false" customHeight="false" outlineLevel="0" collapsed="false">
      <c r="A872" s="13" t="s">
        <v>50</v>
      </c>
      <c r="B872" s="13" t="s">
        <v>43</v>
      </c>
      <c r="C872" s="13" t="s">
        <v>5</v>
      </c>
      <c r="D872" s="13" t="s">
        <v>675</v>
      </c>
      <c r="E872" s="16" t="n">
        <v>658.04</v>
      </c>
      <c r="F872" s="7" t="n">
        <v>5</v>
      </c>
      <c r="G872" s="5" t="n">
        <v>3300</v>
      </c>
    </row>
    <row r="873" customFormat="false" ht="15" hidden="false" customHeight="false" outlineLevel="0" collapsed="false">
      <c r="A873" s="13" t="s">
        <v>153</v>
      </c>
      <c r="B873" s="13" t="s">
        <v>43</v>
      </c>
      <c r="C873" s="13" t="s">
        <v>5</v>
      </c>
      <c r="D873" s="13" t="s">
        <v>676</v>
      </c>
      <c r="E873" s="16" t="n">
        <v>658.09</v>
      </c>
      <c r="F873" s="7" t="n">
        <v>5</v>
      </c>
      <c r="G873" s="5" t="n">
        <v>3300</v>
      </c>
    </row>
    <row r="874" customFormat="false" ht="15" hidden="false" customHeight="false" outlineLevel="0" collapsed="false">
      <c r="A874" s="13" t="s">
        <v>177</v>
      </c>
      <c r="B874" s="13" t="s">
        <v>43</v>
      </c>
      <c r="C874" s="13" t="s">
        <v>4</v>
      </c>
      <c r="D874" s="13" t="s">
        <v>677</v>
      </c>
      <c r="E874" s="16" t="n">
        <v>816.72</v>
      </c>
      <c r="F874" s="7" t="n">
        <v>2</v>
      </c>
      <c r="G874" s="5" t="n">
        <v>3300</v>
      </c>
    </row>
    <row r="875" customFormat="false" ht="15" hidden="false" customHeight="false" outlineLevel="0" collapsed="false">
      <c r="A875" s="13" t="s">
        <v>50</v>
      </c>
      <c r="B875" s="13" t="s">
        <v>43</v>
      </c>
      <c r="C875" s="13" t="s">
        <v>4</v>
      </c>
      <c r="D875" s="13" t="s">
        <v>239</v>
      </c>
      <c r="E875" s="16" t="n">
        <v>464.764285714286</v>
      </c>
      <c r="F875" s="7" t="n">
        <v>5</v>
      </c>
      <c r="G875" s="5" t="n">
        <v>3300</v>
      </c>
    </row>
    <row r="876" customFormat="false" ht="15" hidden="false" customHeight="false" outlineLevel="0" collapsed="false">
      <c r="A876" s="13" t="s">
        <v>103</v>
      </c>
      <c r="B876" s="13" t="s">
        <v>43</v>
      </c>
      <c r="C876" s="13" t="s">
        <v>5</v>
      </c>
      <c r="D876" s="13" t="s">
        <v>678</v>
      </c>
      <c r="E876" s="16" t="n">
        <v>184.264444444444</v>
      </c>
      <c r="F876" s="7" t="n">
        <v>20</v>
      </c>
      <c r="G876" s="5" t="n">
        <v>3300</v>
      </c>
    </row>
    <row r="877" customFormat="false" ht="15" hidden="false" customHeight="false" outlineLevel="0" collapsed="false">
      <c r="A877" s="13" t="s">
        <v>50</v>
      </c>
      <c r="B877" s="13" t="s">
        <v>43</v>
      </c>
      <c r="C877" s="13" t="s">
        <v>4</v>
      </c>
      <c r="D877" s="13" t="s">
        <v>437</v>
      </c>
      <c r="E877" s="16" t="n">
        <v>836.07</v>
      </c>
      <c r="F877" s="7" t="n">
        <v>2</v>
      </c>
      <c r="G877" s="5" t="n">
        <v>3300</v>
      </c>
    </row>
    <row r="878" customFormat="false" ht="15" hidden="false" customHeight="false" outlineLevel="0" collapsed="false">
      <c r="A878" s="13" t="s">
        <v>45</v>
      </c>
      <c r="B878" s="13" t="s">
        <v>43</v>
      </c>
      <c r="C878" s="13" t="s">
        <v>4</v>
      </c>
      <c r="D878" s="13" t="s">
        <v>113</v>
      </c>
      <c r="E878" s="16" t="n">
        <v>832.515</v>
      </c>
      <c r="F878" s="7" t="n">
        <v>2</v>
      </c>
      <c r="G878" s="5" t="n">
        <v>3300</v>
      </c>
    </row>
    <row r="879" customFormat="false" ht="15" hidden="false" customHeight="false" outlineLevel="0" collapsed="false">
      <c r="A879" s="13" t="s">
        <v>45</v>
      </c>
      <c r="B879" s="13" t="s">
        <v>183</v>
      </c>
      <c r="C879" s="13" t="s">
        <v>4</v>
      </c>
      <c r="D879" s="13" t="s">
        <v>679</v>
      </c>
      <c r="E879" s="16" t="n">
        <v>837.045</v>
      </c>
      <c r="F879" s="7" t="n">
        <v>2</v>
      </c>
      <c r="G879" s="5" t="n">
        <v>3300</v>
      </c>
    </row>
    <row r="880" customFormat="false" ht="15" hidden="false" customHeight="false" outlineLevel="0" collapsed="false">
      <c r="A880" s="13" t="s">
        <v>186</v>
      </c>
      <c r="B880" s="13" t="s">
        <v>43</v>
      </c>
      <c r="C880" s="13" t="s">
        <v>4</v>
      </c>
      <c r="D880" s="13" t="s">
        <v>680</v>
      </c>
      <c r="E880" s="16" t="n">
        <v>469.171428571429</v>
      </c>
      <c r="F880" s="7" t="n">
        <v>5</v>
      </c>
      <c r="G880" s="5" t="n">
        <v>3300</v>
      </c>
    </row>
    <row r="881" customFormat="false" ht="15" hidden="false" customHeight="false" outlineLevel="0" collapsed="false">
      <c r="A881" s="13" t="s">
        <v>193</v>
      </c>
      <c r="B881" s="13" t="s">
        <v>43</v>
      </c>
      <c r="C881" s="13" t="s">
        <v>5</v>
      </c>
      <c r="D881" s="13" t="s">
        <v>681</v>
      </c>
      <c r="E881" s="16" t="n">
        <v>643.4</v>
      </c>
      <c r="F881" s="7" t="n">
        <v>5</v>
      </c>
      <c r="G881" s="5" t="n">
        <v>3200</v>
      </c>
    </row>
    <row r="882" customFormat="false" ht="15" hidden="false" customHeight="false" outlineLevel="0" collapsed="false">
      <c r="A882" s="13" t="s">
        <v>179</v>
      </c>
      <c r="B882" s="13" t="s">
        <v>180</v>
      </c>
      <c r="C882" s="13" t="s">
        <v>3</v>
      </c>
      <c r="D882" s="13" t="s">
        <v>682</v>
      </c>
      <c r="E882" s="16" t="n">
        <v>159.99</v>
      </c>
      <c r="F882" s="7" t="n">
        <v>20</v>
      </c>
      <c r="G882" s="5" t="n">
        <v>3200</v>
      </c>
    </row>
    <row r="883" customFormat="false" ht="15" hidden="false" customHeight="false" outlineLevel="0" collapsed="false">
      <c r="A883" s="13" t="s">
        <v>286</v>
      </c>
      <c r="B883" s="13" t="s">
        <v>43</v>
      </c>
      <c r="C883" s="13" t="s">
        <v>5</v>
      </c>
      <c r="D883" s="13" t="s">
        <v>683</v>
      </c>
      <c r="E883" s="16" t="n">
        <v>291.84</v>
      </c>
      <c r="F883" s="7" t="n">
        <v>10</v>
      </c>
      <c r="G883" s="5" t="n">
        <v>3200</v>
      </c>
    </row>
    <row r="884" customFormat="false" ht="15" hidden="false" customHeight="false" outlineLevel="0" collapsed="false">
      <c r="A884" s="13" t="s">
        <v>45</v>
      </c>
      <c r="B884" s="13" t="s">
        <v>43</v>
      </c>
      <c r="C884" s="13" t="s">
        <v>5</v>
      </c>
      <c r="D884" s="13" t="s">
        <v>113</v>
      </c>
      <c r="E884" s="16" t="n">
        <v>637.844</v>
      </c>
      <c r="F884" s="7" t="n">
        <v>5</v>
      </c>
      <c r="G884" s="5" t="n">
        <v>3200</v>
      </c>
    </row>
    <row r="885" customFormat="false" ht="15" hidden="false" customHeight="false" outlineLevel="0" collapsed="false">
      <c r="A885" s="13" t="s">
        <v>61</v>
      </c>
      <c r="B885" s="13" t="s">
        <v>43</v>
      </c>
      <c r="C885" s="13" t="s">
        <v>5</v>
      </c>
      <c r="D885" s="13" t="s">
        <v>245</v>
      </c>
      <c r="E885" s="16" t="n">
        <v>637.83</v>
      </c>
      <c r="F885" s="7" t="n">
        <v>5</v>
      </c>
      <c r="G885" s="5" t="n">
        <v>3200</v>
      </c>
    </row>
    <row r="886" customFormat="false" ht="15" hidden="false" customHeight="false" outlineLevel="0" collapsed="false">
      <c r="A886" s="13" t="s">
        <v>124</v>
      </c>
      <c r="B886" s="13" t="s">
        <v>43</v>
      </c>
      <c r="C886" s="13" t="s">
        <v>5</v>
      </c>
      <c r="D886" s="13" t="s">
        <v>684</v>
      </c>
      <c r="E886" s="16" t="n">
        <v>790</v>
      </c>
      <c r="F886" s="7" t="n">
        <v>2</v>
      </c>
      <c r="G886" s="5" t="n">
        <v>3200</v>
      </c>
    </row>
    <row r="887" customFormat="false" ht="15" hidden="false" customHeight="false" outlineLevel="0" collapsed="false">
      <c r="A887" s="13" t="s">
        <v>72</v>
      </c>
      <c r="B887" s="13" t="s">
        <v>43</v>
      </c>
      <c r="C887" s="13" t="s">
        <v>5</v>
      </c>
      <c r="D887" s="13" t="s">
        <v>685</v>
      </c>
      <c r="E887" s="16" t="n">
        <v>799</v>
      </c>
      <c r="F887" s="7" t="n">
        <v>2</v>
      </c>
      <c r="G887" s="5" t="n">
        <v>3200</v>
      </c>
    </row>
    <row r="888" customFormat="false" ht="15" hidden="false" customHeight="false" outlineLevel="0" collapsed="false">
      <c r="A888" s="13" t="s">
        <v>165</v>
      </c>
      <c r="B888" s="13" t="s">
        <v>43</v>
      </c>
      <c r="C888" s="13" t="s">
        <v>3</v>
      </c>
      <c r="D888" s="13" t="s">
        <v>663</v>
      </c>
      <c r="E888" s="16" t="n">
        <v>535.998333333333</v>
      </c>
      <c r="F888" s="7" t="n">
        <v>5</v>
      </c>
      <c r="G888" s="5" t="n">
        <v>3200</v>
      </c>
    </row>
    <row r="889" customFormat="false" ht="15" hidden="false" customHeight="false" outlineLevel="0" collapsed="false">
      <c r="A889" s="13" t="s">
        <v>105</v>
      </c>
      <c r="B889" s="13" t="s">
        <v>43</v>
      </c>
      <c r="C889" s="13" t="s">
        <v>3</v>
      </c>
      <c r="D889" s="13" t="s">
        <v>686</v>
      </c>
      <c r="E889" s="16" t="n">
        <v>401</v>
      </c>
      <c r="F889" s="7" t="n">
        <v>5</v>
      </c>
      <c r="G889" s="5" t="n">
        <v>3200</v>
      </c>
    </row>
    <row r="890" customFormat="false" ht="15" hidden="false" customHeight="false" outlineLevel="0" collapsed="false">
      <c r="A890" s="13" t="s">
        <v>97</v>
      </c>
      <c r="B890" s="13" t="s">
        <v>98</v>
      </c>
      <c r="C890" s="13" t="s">
        <v>3</v>
      </c>
      <c r="D890" s="13" t="s">
        <v>687</v>
      </c>
      <c r="E890" s="16" t="n">
        <v>269.833333333333</v>
      </c>
      <c r="F890" s="7" t="n">
        <v>10</v>
      </c>
      <c r="G890" s="5" t="n">
        <v>3200</v>
      </c>
    </row>
    <row r="891" customFormat="false" ht="15" hidden="false" customHeight="false" outlineLevel="0" collapsed="false">
      <c r="A891" s="13" t="s">
        <v>362</v>
      </c>
      <c r="B891" s="13" t="s">
        <v>43</v>
      </c>
      <c r="C891" s="13" t="s">
        <v>5</v>
      </c>
      <c r="D891" s="13" t="s">
        <v>688</v>
      </c>
      <c r="E891" s="16" t="n">
        <v>539</v>
      </c>
      <c r="F891" s="7" t="n">
        <v>5</v>
      </c>
      <c r="G891" s="5" t="n">
        <v>3200</v>
      </c>
    </row>
    <row r="892" customFormat="false" ht="15" hidden="false" customHeight="false" outlineLevel="0" collapsed="false">
      <c r="A892" s="13" t="s">
        <v>362</v>
      </c>
      <c r="B892" s="13" t="s">
        <v>43</v>
      </c>
      <c r="C892" s="13" t="s">
        <v>5</v>
      </c>
      <c r="D892" s="13" t="s">
        <v>689</v>
      </c>
      <c r="E892" s="16" t="n">
        <v>538.73</v>
      </c>
      <c r="F892" s="7" t="n">
        <v>5</v>
      </c>
      <c r="G892" s="5" t="n">
        <v>3200</v>
      </c>
    </row>
    <row r="893" customFormat="false" ht="15" hidden="false" customHeight="false" outlineLevel="0" collapsed="false">
      <c r="A893" s="13" t="s">
        <v>87</v>
      </c>
      <c r="B893" s="13" t="s">
        <v>66</v>
      </c>
      <c r="C893" s="13" t="s">
        <v>3</v>
      </c>
      <c r="D893" s="13" t="s">
        <v>690</v>
      </c>
      <c r="E893" s="16" t="n">
        <v>350.19</v>
      </c>
      <c r="F893" s="7" t="n">
        <v>5</v>
      </c>
      <c r="G893" s="5" t="n">
        <v>3200</v>
      </c>
    </row>
    <row r="894" customFormat="false" ht="15" hidden="false" customHeight="false" outlineLevel="0" collapsed="false">
      <c r="A894" s="13" t="s">
        <v>45</v>
      </c>
      <c r="B894" s="13" t="s">
        <v>43</v>
      </c>
      <c r="C894" s="13" t="s">
        <v>4</v>
      </c>
      <c r="D894" s="13" t="s">
        <v>691</v>
      </c>
      <c r="E894" s="16" t="n">
        <v>789.65</v>
      </c>
      <c r="F894" s="7" t="n">
        <v>2</v>
      </c>
      <c r="G894" s="5" t="n">
        <v>3200</v>
      </c>
    </row>
    <row r="895" customFormat="false" ht="15" hidden="false" customHeight="false" outlineLevel="0" collapsed="false">
      <c r="A895" s="13" t="s">
        <v>362</v>
      </c>
      <c r="B895" s="13" t="s">
        <v>43</v>
      </c>
      <c r="C895" s="13" t="s">
        <v>4</v>
      </c>
      <c r="D895" s="13" t="s">
        <v>692</v>
      </c>
      <c r="E895" s="16" t="n">
        <v>645.3</v>
      </c>
      <c r="F895" s="7" t="n">
        <v>5</v>
      </c>
      <c r="G895" s="5" t="n">
        <v>3200</v>
      </c>
    </row>
    <row r="896" customFormat="false" ht="15" hidden="false" customHeight="false" outlineLevel="0" collapsed="false">
      <c r="A896" s="13" t="s">
        <v>50</v>
      </c>
      <c r="B896" s="13" t="s">
        <v>43</v>
      </c>
      <c r="C896" s="13" t="s">
        <v>4</v>
      </c>
      <c r="D896" s="13" t="s">
        <v>225</v>
      </c>
      <c r="E896" s="16" t="n">
        <v>808.4725</v>
      </c>
      <c r="F896" s="7" t="n">
        <v>2</v>
      </c>
      <c r="G896" s="5" t="n">
        <v>3200</v>
      </c>
    </row>
    <row r="897" customFormat="false" ht="15" hidden="false" customHeight="false" outlineLevel="0" collapsed="false">
      <c r="A897" s="13" t="s">
        <v>42</v>
      </c>
      <c r="B897" s="13" t="s">
        <v>43</v>
      </c>
      <c r="C897" s="13" t="s">
        <v>4</v>
      </c>
      <c r="D897" s="13" t="s">
        <v>693</v>
      </c>
      <c r="E897" s="16" t="n">
        <v>245.52</v>
      </c>
      <c r="F897" s="7" t="n">
        <v>10</v>
      </c>
      <c r="G897" s="5" t="n">
        <v>3200</v>
      </c>
    </row>
    <row r="898" customFormat="false" ht="15" hidden="false" customHeight="false" outlineLevel="0" collapsed="false">
      <c r="A898" s="13" t="s">
        <v>69</v>
      </c>
      <c r="B898" s="13" t="s">
        <v>43</v>
      </c>
      <c r="C898" s="13" t="s">
        <v>5</v>
      </c>
      <c r="D898" s="13" t="s">
        <v>694</v>
      </c>
      <c r="E898" s="16" t="n">
        <v>767.86</v>
      </c>
      <c r="F898" s="7" t="n">
        <v>2</v>
      </c>
      <c r="G898" s="5" t="n">
        <v>3100</v>
      </c>
    </row>
    <row r="899" customFormat="false" ht="15" hidden="false" customHeight="false" outlineLevel="0" collapsed="false">
      <c r="A899" s="13" t="s">
        <v>630</v>
      </c>
      <c r="B899" s="13" t="s">
        <v>43</v>
      </c>
      <c r="C899" s="13" t="s">
        <v>5</v>
      </c>
      <c r="D899" s="13" t="s">
        <v>695</v>
      </c>
      <c r="E899" s="16" t="n">
        <v>224.941428571429</v>
      </c>
      <c r="F899" s="7" t="n">
        <v>10</v>
      </c>
      <c r="G899" s="5" t="n">
        <v>3100</v>
      </c>
    </row>
    <row r="900" customFormat="false" ht="15" hidden="false" customHeight="false" outlineLevel="0" collapsed="false">
      <c r="A900" s="13" t="s">
        <v>107</v>
      </c>
      <c r="B900" s="13" t="s">
        <v>43</v>
      </c>
      <c r="C900" s="13" t="s">
        <v>5</v>
      </c>
      <c r="D900" s="13" t="s">
        <v>696</v>
      </c>
      <c r="E900" s="16" t="n">
        <v>241.951538461538</v>
      </c>
      <c r="F900" s="7" t="n">
        <v>10</v>
      </c>
      <c r="G900" s="5" t="n">
        <v>3100</v>
      </c>
    </row>
    <row r="901" customFormat="false" ht="15" hidden="false" customHeight="false" outlineLevel="0" collapsed="false">
      <c r="A901" s="13" t="s">
        <v>335</v>
      </c>
      <c r="B901" s="13" t="s">
        <v>43</v>
      </c>
      <c r="C901" s="13" t="s">
        <v>4</v>
      </c>
      <c r="D901" s="13" t="s">
        <v>697</v>
      </c>
      <c r="E901" s="16" t="n">
        <v>157.3685</v>
      </c>
      <c r="F901" s="7" t="n">
        <v>20</v>
      </c>
      <c r="G901" s="5" t="n">
        <v>3100</v>
      </c>
    </row>
    <row r="902" customFormat="false" ht="15" hidden="false" customHeight="false" outlineLevel="0" collapsed="false">
      <c r="A902" s="13" t="s">
        <v>186</v>
      </c>
      <c r="B902" s="13" t="s">
        <v>43</v>
      </c>
      <c r="C902" s="13" t="s">
        <v>4</v>
      </c>
      <c r="D902" s="13" t="s">
        <v>698</v>
      </c>
      <c r="E902" s="16" t="n">
        <v>781.08</v>
      </c>
      <c r="F902" s="7" t="n">
        <v>2</v>
      </c>
      <c r="G902" s="5" t="n">
        <v>3100</v>
      </c>
    </row>
    <row r="903" customFormat="false" ht="15" hidden="false" customHeight="false" outlineLevel="0" collapsed="false">
      <c r="A903" s="13" t="s">
        <v>54</v>
      </c>
      <c r="B903" s="13" t="s">
        <v>43</v>
      </c>
      <c r="C903" s="13" t="s">
        <v>5</v>
      </c>
      <c r="D903" s="13" t="s">
        <v>567</v>
      </c>
      <c r="E903" s="16" t="n">
        <v>626.522</v>
      </c>
      <c r="F903" s="7" t="n">
        <v>5</v>
      </c>
      <c r="G903" s="5" t="n">
        <v>3100</v>
      </c>
    </row>
    <row r="904" customFormat="false" ht="15" hidden="false" customHeight="false" outlineLevel="0" collapsed="false">
      <c r="A904" s="13" t="s">
        <v>50</v>
      </c>
      <c r="B904" s="13" t="s">
        <v>43</v>
      </c>
      <c r="C904" s="13" t="s">
        <v>4</v>
      </c>
      <c r="D904" s="13" t="s">
        <v>699</v>
      </c>
      <c r="E904" s="16" t="n">
        <v>764.15</v>
      </c>
      <c r="F904" s="7" t="n">
        <v>2</v>
      </c>
      <c r="G904" s="5" t="n">
        <v>3100</v>
      </c>
    </row>
    <row r="905" customFormat="false" ht="15" hidden="false" customHeight="false" outlineLevel="0" collapsed="false">
      <c r="A905" s="13" t="s">
        <v>45</v>
      </c>
      <c r="B905" s="13" t="s">
        <v>43</v>
      </c>
      <c r="C905" s="13" t="s">
        <v>4</v>
      </c>
      <c r="D905" s="13" t="s">
        <v>401</v>
      </c>
      <c r="E905" s="16" t="n">
        <v>764.15</v>
      </c>
      <c r="F905" s="7" t="n">
        <v>2</v>
      </c>
      <c r="G905" s="5" t="n">
        <v>3100</v>
      </c>
    </row>
    <row r="906" customFormat="false" ht="15" hidden="false" customHeight="false" outlineLevel="0" collapsed="false">
      <c r="A906" s="13" t="s">
        <v>191</v>
      </c>
      <c r="B906" s="13" t="s">
        <v>183</v>
      </c>
      <c r="C906" s="13" t="s">
        <v>3</v>
      </c>
      <c r="D906" s="13" t="s">
        <v>700</v>
      </c>
      <c r="E906" s="16" t="n">
        <v>119.99</v>
      </c>
      <c r="F906" s="7" t="n">
        <v>30</v>
      </c>
      <c r="G906" s="5" t="n">
        <v>3100</v>
      </c>
    </row>
    <row r="907" customFormat="false" ht="15" hidden="false" customHeight="false" outlineLevel="0" collapsed="false">
      <c r="A907" s="13" t="s">
        <v>50</v>
      </c>
      <c r="B907" s="13" t="s">
        <v>43</v>
      </c>
      <c r="C907" s="13" t="s">
        <v>4</v>
      </c>
      <c r="D907" s="13" t="s">
        <v>701</v>
      </c>
      <c r="E907" s="16" t="n">
        <v>235.509230769231</v>
      </c>
      <c r="F907" s="7" t="n">
        <v>10</v>
      </c>
      <c r="G907" s="5" t="n">
        <v>3100</v>
      </c>
    </row>
    <row r="908" customFormat="false" ht="15" hidden="false" customHeight="false" outlineLevel="0" collapsed="false">
      <c r="A908" s="13" t="s">
        <v>92</v>
      </c>
      <c r="B908" s="13" t="s">
        <v>43</v>
      </c>
      <c r="C908" s="13" t="s">
        <v>4</v>
      </c>
      <c r="D908" s="13" t="s">
        <v>414</v>
      </c>
      <c r="E908" s="16" t="n">
        <v>628.26</v>
      </c>
      <c r="F908" s="7" t="n">
        <v>5</v>
      </c>
      <c r="G908" s="5" t="n">
        <v>3100</v>
      </c>
    </row>
    <row r="909" customFormat="false" ht="15" hidden="false" customHeight="false" outlineLevel="0" collapsed="false">
      <c r="A909" s="13" t="s">
        <v>45</v>
      </c>
      <c r="B909" s="13" t="s">
        <v>43</v>
      </c>
      <c r="C909" s="13" t="s">
        <v>5</v>
      </c>
      <c r="D909" s="13" t="s">
        <v>702</v>
      </c>
      <c r="E909" s="16" t="n">
        <v>1037.75</v>
      </c>
      <c r="F909" s="7" t="n">
        <v>2</v>
      </c>
      <c r="G909" s="5" t="n">
        <v>3100</v>
      </c>
    </row>
    <row r="910" customFormat="false" ht="15" hidden="false" customHeight="false" outlineLevel="0" collapsed="false">
      <c r="A910" s="13" t="s">
        <v>177</v>
      </c>
      <c r="B910" s="13" t="s">
        <v>43</v>
      </c>
      <c r="C910" s="13" t="s">
        <v>5</v>
      </c>
      <c r="D910" s="13" t="s">
        <v>703</v>
      </c>
      <c r="E910" s="16" t="n">
        <v>449.907142857143</v>
      </c>
      <c r="F910" s="7" t="n">
        <v>5</v>
      </c>
      <c r="G910" s="5" t="n">
        <v>3100</v>
      </c>
    </row>
    <row r="911" customFormat="false" ht="15" hidden="false" customHeight="false" outlineLevel="0" collapsed="false">
      <c r="A911" s="13" t="s">
        <v>362</v>
      </c>
      <c r="B911" s="13" t="s">
        <v>43</v>
      </c>
      <c r="C911" s="13" t="s">
        <v>3</v>
      </c>
      <c r="D911" s="13" t="s">
        <v>704</v>
      </c>
      <c r="E911" s="16" t="n">
        <v>493.47</v>
      </c>
      <c r="F911" s="7" t="n">
        <v>5</v>
      </c>
      <c r="G911" s="5" t="n">
        <v>3000</v>
      </c>
    </row>
    <row r="912" customFormat="false" ht="15" hidden="false" customHeight="false" outlineLevel="0" collapsed="false">
      <c r="A912" s="13" t="s">
        <v>362</v>
      </c>
      <c r="B912" s="13" t="s">
        <v>43</v>
      </c>
      <c r="C912" s="13" t="s">
        <v>4</v>
      </c>
      <c r="D912" s="13" t="s">
        <v>705</v>
      </c>
      <c r="E912" s="16" t="n">
        <v>602.538</v>
      </c>
      <c r="F912" s="7" t="n">
        <v>5</v>
      </c>
      <c r="G912" s="5" t="n">
        <v>3000</v>
      </c>
    </row>
    <row r="913" customFormat="false" ht="15" hidden="false" customHeight="false" outlineLevel="0" collapsed="false">
      <c r="A913" s="13" t="s">
        <v>50</v>
      </c>
      <c r="B913" s="13" t="s">
        <v>183</v>
      </c>
      <c r="C913" s="13" t="s">
        <v>4</v>
      </c>
      <c r="D913" s="13" t="s">
        <v>609</v>
      </c>
      <c r="E913" s="16" t="n">
        <v>746.96</v>
      </c>
      <c r="F913" s="7" t="n">
        <v>2</v>
      </c>
      <c r="G913" s="5" t="n">
        <v>3000</v>
      </c>
    </row>
    <row r="914" customFormat="false" ht="15" hidden="false" customHeight="false" outlineLevel="0" collapsed="false">
      <c r="A914" s="13" t="s">
        <v>490</v>
      </c>
      <c r="B914" s="13" t="s">
        <v>43</v>
      </c>
      <c r="C914" s="13" t="s">
        <v>5</v>
      </c>
      <c r="D914" s="13" t="s">
        <v>706</v>
      </c>
      <c r="E914" s="16" t="n">
        <v>277.080909090909</v>
      </c>
      <c r="F914" s="7" t="n">
        <v>10</v>
      </c>
      <c r="G914" s="5" t="n">
        <v>3000</v>
      </c>
    </row>
    <row r="915" customFormat="false" ht="15" hidden="false" customHeight="false" outlineLevel="0" collapsed="false">
      <c r="A915" s="13" t="s">
        <v>103</v>
      </c>
      <c r="B915" s="13" t="s">
        <v>43</v>
      </c>
      <c r="C915" s="13" t="s">
        <v>5</v>
      </c>
      <c r="D915" s="13" t="s">
        <v>707</v>
      </c>
      <c r="E915" s="16" t="n">
        <v>198.53</v>
      </c>
      <c r="F915" s="7" t="n">
        <v>20</v>
      </c>
      <c r="G915" s="5" t="n">
        <v>3000</v>
      </c>
    </row>
    <row r="916" customFormat="false" ht="15" hidden="false" customHeight="false" outlineLevel="0" collapsed="false">
      <c r="A916" s="13" t="s">
        <v>42</v>
      </c>
      <c r="B916" s="13" t="s">
        <v>43</v>
      </c>
      <c r="C916" s="13" t="s">
        <v>5</v>
      </c>
      <c r="D916" s="13" t="s">
        <v>673</v>
      </c>
      <c r="E916" s="16" t="n">
        <v>502</v>
      </c>
      <c r="F916" s="7" t="n">
        <v>5</v>
      </c>
      <c r="G916" s="5" t="n">
        <v>3000</v>
      </c>
    </row>
    <row r="917" customFormat="false" ht="15" hidden="false" customHeight="false" outlineLevel="0" collapsed="false">
      <c r="A917" s="13" t="s">
        <v>42</v>
      </c>
      <c r="B917" s="13" t="s">
        <v>43</v>
      </c>
      <c r="C917" s="13" t="s">
        <v>5</v>
      </c>
      <c r="D917" s="13" t="s">
        <v>708</v>
      </c>
      <c r="E917" s="16" t="n">
        <v>594.028</v>
      </c>
      <c r="F917" s="7" t="n">
        <v>5</v>
      </c>
      <c r="G917" s="5" t="n">
        <v>3000</v>
      </c>
    </row>
    <row r="918" customFormat="false" ht="15" hidden="false" customHeight="false" outlineLevel="0" collapsed="false">
      <c r="A918" s="13" t="s">
        <v>72</v>
      </c>
      <c r="B918" s="13" t="s">
        <v>43</v>
      </c>
      <c r="C918" s="13" t="s">
        <v>5</v>
      </c>
      <c r="D918" s="13" t="s">
        <v>709</v>
      </c>
      <c r="E918" s="16" t="n">
        <v>740</v>
      </c>
      <c r="F918" s="7" t="n">
        <v>2</v>
      </c>
      <c r="G918" s="5" t="n">
        <v>3000</v>
      </c>
    </row>
    <row r="919" customFormat="false" ht="15" hidden="false" customHeight="false" outlineLevel="0" collapsed="false">
      <c r="A919" s="13" t="s">
        <v>45</v>
      </c>
      <c r="B919" s="13" t="s">
        <v>43</v>
      </c>
      <c r="C919" s="13" t="s">
        <v>4</v>
      </c>
      <c r="D919" s="13" t="s">
        <v>292</v>
      </c>
      <c r="E919" s="16" t="n">
        <v>1015.2</v>
      </c>
      <c r="F919" s="7" t="n">
        <v>2</v>
      </c>
      <c r="G919" s="5" t="n">
        <v>3000</v>
      </c>
    </row>
    <row r="920" customFormat="false" ht="15" hidden="false" customHeight="false" outlineLevel="0" collapsed="false">
      <c r="A920" s="13" t="s">
        <v>362</v>
      </c>
      <c r="B920" s="13" t="s">
        <v>43</v>
      </c>
      <c r="C920" s="13" t="s">
        <v>4</v>
      </c>
      <c r="D920" s="13" t="s">
        <v>710</v>
      </c>
      <c r="E920" s="16" t="n">
        <v>596.12</v>
      </c>
      <c r="F920" s="7" t="n">
        <v>5</v>
      </c>
      <c r="G920" s="5" t="n">
        <v>3000</v>
      </c>
    </row>
    <row r="921" customFormat="false" ht="15" hidden="false" customHeight="false" outlineLevel="0" collapsed="false">
      <c r="A921" s="13" t="s">
        <v>111</v>
      </c>
      <c r="B921" s="13" t="s">
        <v>43</v>
      </c>
      <c r="C921" s="13" t="s">
        <v>4</v>
      </c>
      <c r="D921" s="13" t="s">
        <v>711</v>
      </c>
      <c r="E921" s="16" t="n">
        <v>373.39</v>
      </c>
      <c r="F921" s="7" t="n">
        <v>5</v>
      </c>
      <c r="G921" s="5" t="n">
        <v>3000</v>
      </c>
    </row>
    <row r="922" customFormat="false" ht="15" hidden="false" customHeight="false" outlineLevel="0" collapsed="false">
      <c r="A922" s="13" t="s">
        <v>42</v>
      </c>
      <c r="B922" s="13" t="s">
        <v>43</v>
      </c>
      <c r="C922" s="13" t="s">
        <v>4</v>
      </c>
      <c r="D922" s="13" t="s">
        <v>44</v>
      </c>
      <c r="E922" s="16" t="n">
        <v>493.05</v>
      </c>
      <c r="F922" s="7" t="n">
        <v>5</v>
      </c>
      <c r="G922" s="5" t="n">
        <v>3000</v>
      </c>
    </row>
    <row r="923" customFormat="false" ht="15" hidden="false" customHeight="false" outlineLevel="0" collapsed="false">
      <c r="A923" s="13" t="s">
        <v>179</v>
      </c>
      <c r="B923" s="13" t="s">
        <v>85</v>
      </c>
      <c r="C923" s="13" t="s">
        <v>3</v>
      </c>
      <c r="D923" s="13" t="s">
        <v>712</v>
      </c>
      <c r="E923" s="16" t="n">
        <v>169</v>
      </c>
      <c r="F923" s="7" t="n">
        <v>20</v>
      </c>
      <c r="G923" s="5" t="n">
        <v>3000</v>
      </c>
    </row>
    <row r="924" customFormat="false" ht="15" hidden="false" customHeight="false" outlineLevel="0" collapsed="false">
      <c r="A924" s="13" t="s">
        <v>50</v>
      </c>
      <c r="B924" s="13" t="s">
        <v>43</v>
      </c>
      <c r="C924" s="13" t="s">
        <v>4</v>
      </c>
      <c r="D924" s="13" t="s">
        <v>713</v>
      </c>
      <c r="E924" s="16" t="n">
        <v>738.65</v>
      </c>
      <c r="F924" s="7" t="n">
        <v>2</v>
      </c>
      <c r="G924" s="5" t="n">
        <v>3000</v>
      </c>
    </row>
    <row r="925" customFormat="false" ht="15" hidden="false" customHeight="false" outlineLevel="0" collapsed="false">
      <c r="A925" s="13" t="s">
        <v>177</v>
      </c>
      <c r="B925" s="13" t="s">
        <v>43</v>
      </c>
      <c r="C925" s="13" t="s">
        <v>4</v>
      </c>
      <c r="D925" s="13" t="s">
        <v>714</v>
      </c>
      <c r="E925" s="16" t="n">
        <v>750.8025</v>
      </c>
      <c r="F925" s="7" t="n">
        <v>2</v>
      </c>
      <c r="G925" s="5" t="n">
        <v>3000</v>
      </c>
    </row>
    <row r="926" customFormat="false" ht="15" hidden="false" customHeight="false" outlineLevel="0" collapsed="false">
      <c r="A926" s="13" t="s">
        <v>286</v>
      </c>
      <c r="B926" s="13" t="s">
        <v>43</v>
      </c>
      <c r="C926" s="13" t="s">
        <v>4</v>
      </c>
      <c r="D926" s="13" t="s">
        <v>715</v>
      </c>
      <c r="E926" s="16" t="n">
        <v>334.145555555556</v>
      </c>
      <c r="F926" s="7" t="n">
        <v>5</v>
      </c>
      <c r="G926" s="5" t="n">
        <v>3000</v>
      </c>
    </row>
    <row r="927" customFormat="false" ht="15" hidden="false" customHeight="false" outlineLevel="0" collapsed="false">
      <c r="A927" s="13" t="s">
        <v>54</v>
      </c>
      <c r="B927" s="13" t="s">
        <v>183</v>
      </c>
      <c r="C927" s="13" t="s">
        <v>5</v>
      </c>
      <c r="D927" s="13" t="s">
        <v>716</v>
      </c>
      <c r="E927" s="16" t="n">
        <v>3022.85</v>
      </c>
      <c r="F927" s="7" t="n">
        <v>1</v>
      </c>
      <c r="G927" s="5" t="n">
        <v>3000</v>
      </c>
    </row>
    <row r="928" customFormat="false" ht="15" hidden="false" customHeight="false" outlineLevel="0" collapsed="false">
      <c r="A928" s="13" t="s">
        <v>79</v>
      </c>
      <c r="B928" s="13" t="s">
        <v>43</v>
      </c>
      <c r="C928" s="13" t="s">
        <v>5</v>
      </c>
      <c r="D928" s="13" t="s">
        <v>717</v>
      </c>
      <c r="E928" s="16" t="n">
        <v>505.935</v>
      </c>
      <c r="F928" s="7" t="n">
        <v>5</v>
      </c>
      <c r="G928" s="5" t="n">
        <v>3000</v>
      </c>
    </row>
    <row r="929" customFormat="false" ht="15" hidden="false" customHeight="false" outlineLevel="0" collapsed="false">
      <c r="A929" s="13" t="s">
        <v>54</v>
      </c>
      <c r="B929" s="13" t="s">
        <v>43</v>
      </c>
      <c r="C929" s="13" t="s">
        <v>5</v>
      </c>
      <c r="D929" s="13" t="s">
        <v>718</v>
      </c>
      <c r="E929" s="16" t="n">
        <v>301.277</v>
      </c>
      <c r="F929" s="7" t="n">
        <v>5</v>
      </c>
      <c r="G929" s="5" t="n">
        <v>3000</v>
      </c>
    </row>
    <row r="930" customFormat="false" ht="15" hidden="false" customHeight="false" outlineLevel="0" collapsed="false">
      <c r="A930" s="13" t="s">
        <v>179</v>
      </c>
      <c r="B930" s="13" t="s">
        <v>180</v>
      </c>
      <c r="C930" s="13" t="s">
        <v>3</v>
      </c>
      <c r="D930" s="13" t="s">
        <v>632</v>
      </c>
      <c r="E930" s="16" t="n">
        <v>149.99</v>
      </c>
      <c r="F930" s="7" t="n">
        <v>20</v>
      </c>
      <c r="G930" s="5" t="n">
        <v>3000</v>
      </c>
    </row>
    <row r="931" customFormat="false" ht="15" hidden="false" customHeight="false" outlineLevel="0" collapsed="false">
      <c r="A931" s="13" t="s">
        <v>45</v>
      </c>
      <c r="B931" s="13" t="s">
        <v>43</v>
      </c>
      <c r="C931" s="13" t="s">
        <v>5</v>
      </c>
      <c r="D931" s="13" t="s">
        <v>113</v>
      </c>
      <c r="E931" s="16" t="n">
        <v>377</v>
      </c>
      <c r="F931" s="7" t="n">
        <v>5</v>
      </c>
      <c r="G931" s="5" t="n">
        <v>3000</v>
      </c>
    </row>
    <row r="932" customFormat="false" ht="15" hidden="false" customHeight="false" outlineLevel="0" collapsed="false">
      <c r="A932" s="13" t="s">
        <v>92</v>
      </c>
      <c r="B932" s="13" t="s">
        <v>43</v>
      </c>
      <c r="C932" s="13" t="s">
        <v>4</v>
      </c>
      <c r="D932" s="13" t="s">
        <v>719</v>
      </c>
      <c r="E932" s="16" t="n">
        <v>741.58</v>
      </c>
      <c r="F932" s="7" t="n">
        <v>2</v>
      </c>
      <c r="G932" s="5" t="n">
        <v>3000</v>
      </c>
    </row>
    <row r="933" customFormat="false" ht="15" hidden="false" customHeight="false" outlineLevel="0" collapsed="false">
      <c r="A933" s="13" t="s">
        <v>92</v>
      </c>
      <c r="B933" s="13" t="s">
        <v>43</v>
      </c>
      <c r="C933" s="13" t="s">
        <v>5</v>
      </c>
      <c r="D933" s="13" t="s">
        <v>720</v>
      </c>
      <c r="E933" s="16" t="n">
        <v>586.198</v>
      </c>
      <c r="F933" s="7" t="n">
        <v>5</v>
      </c>
      <c r="G933" s="5" t="n">
        <v>2900</v>
      </c>
    </row>
    <row r="934" customFormat="false" ht="15" hidden="false" customHeight="false" outlineLevel="0" collapsed="false">
      <c r="A934" s="13" t="s">
        <v>191</v>
      </c>
      <c r="B934" s="13" t="s">
        <v>183</v>
      </c>
      <c r="C934" s="13" t="s">
        <v>3</v>
      </c>
      <c r="D934" s="13" t="s">
        <v>721</v>
      </c>
      <c r="E934" s="16" t="n">
        <v>152.449473684211</v>
      </c>
      <c r="F934" s="7" t="n">
        <v>20</v>
      </c>
      <c r="G934" s="5" t="n">
        <v>2900</v>
      </c>
    </row>
    <row r="935" customFormat="false" ht="15" hidden="false" customHeight="false" outlineLevel="0" collapsed="false">
      <c r="A935" s="13" t="s">
        <v>177</v>
      </c>
      <c r="B935" s="13" t="s">
        <v>43</v>
      </c>
      <c r="C935" s="13" t="s">
        <v>5</v>
      </c>
      <c r="D935" s="13" t="s">
        <v>722</v>
      </c>
      <c r="E935" s="16" t="n">
        <v>420.51</v>
      </c>
      <c r="F935" s="7" t="n">
        <v>5</v>
      </c>
      <c r="G935" s="5" t="n">
        <v>2900</v>
      </c>
    </row>
    <row r="936" customFormat="false" ht="15" hidden="false" customHeight="false" outlineLevel="0" collapsed="false">
      <c r="A936" s="13" t="s">
        <v>153</v>
      </c>
      <c r="B936" s="13" t="s">
        <v>43</v>
      </c>
      <c r="C936" s="13" t="s">
        <v>5</v>
      </c>
      <c r="D936" s="13" t="s">
        <v>723</v>
      </c>
      <c r="E936" s="16" t="n">
        <v>734.89</v>
      </c>
      <c r="F936" s="7" t="n">
        <v>2</v>
      </c>
      <c r="G936" s="5" t="n">
        <v>2900</v>
      </c>
    </row>
    <row r="937" customFormat="false" ht="15" hidden="false" customHeight="false" outlineLevel="0" collapsed="false">
      <c r="A937" s="13" t="s">
        <v>490</v>
      </c>
      <c r="B937" s="13" t="s">
        <v>43</v>
      </c>
      <c r="C937" s="13" t="s">
        <v>5</v>
      </c>
      <c r="D937" s="13" t="s">
        <v>724</v>
      </c>
      <c r="E937" s="16" t="n">
        <v>484.808333333333</v>
      </c>
      <c r="F937" s="7" t="n">
        <v>5</v>
      </c>
      <c r="G937" s="5" t="n">
        <v>2900</v>
      </c>
    </row>
    <row r="938" customFormat="false" ht="15" hidden="false" customHeight="false" outlineLevel="0" collapsed="false">
      <c r="A938" s="13" t="s">
        <v>50</v>
      </c>
      <c r="B938" s="13" t="s">
        <v>43</v>
      </c>
      <c r="C938" s="13" t="s">
        <v>4</v>
      </c>
      <c r="D938" s="13" t="s">
        <v>725</v>
      </c>
      <c r="E938" s="16" t="n">
        <v>719.19</v>
      </c>
      <c r="F938" s="7" t="n">
        <v>2</v>
      </c>
      <c r="G938" s="5" t="n">
        <v>2900</v>
      </c>
    </row>
    <row r="939" customFormat="false" ht="15" hidden="false" customHeight="false" outlineLevel="0" collapsed="false">
      <c r="A939" s="13" t="s">
        <v>50</v>
      </c>
      <c r="B939" s="13" t="s">
        <v>43</v>
      </c>
      <c r="C939" s="13" t="s">
        <v>4</v>
      </c>
      <c r="D939" s="13" t="s">
        <v>77</v>
      </c>
      <c r="E939" s="16" t="n">
        <v>716.49</v>
      </c>
      <c r="F939" s="7" t="n">
        <v>2</v>
      </c>
      <c r="G939" s="5" t="n">
        <v>2900</v>
      </c>
    </row>
    <row r="940" customFormat="false" ht="15" hidden="false" customHeight="false" outlineLevel="0" collapsed="false">
      <c r="A940" s="13" t="s">
        <v>286</v>
      </c>
      <c r="B940" s="13" t="s">
        <v>43</v>
      </c>
      <c r="C940" s="13" t="s">
        <v>4</v>
      </c>
      <c r="D940" s="13" t="s">
        <v>726</v>
      </c>
      <c r="E940" s="16" t="n">
        <v>287.516</v>
      </c>
      <c r="F940" s="7" t="n">
        <v>5</v>
      </c>
      <c r="G940" s="5" t="n">
        <v>2900</v>
      </c>
    </row>
    <row r="941" customFormat="false" ht="15" hidden="false" customHeight="false" outlineLevel="0" collapsed="false">
      <c r="A941" s="13" t="s">
        <v>79</v>
      </c>
      <c r="B941" s="13" t="s">
        <v>43</v>
      </c>
      <c r="C941" s="13" t="s">
        <v>5</v>
      </c>
      <c r="D941" s="13" t="s">
        <v>569</v>
      </c>
      <c r="E941" s="16" t="n">
        <v>582</v>
      </c>
      <c r="F941" s="7" t="n">
        <v>5</v>
      </c>
      <c r="G941" s="5" t="n">
        <v>2900</v>
      </c>
    </row>
    <row r="942" customFormat="false" ht="15" hidden="false" customHeight="false" outlineLevel="0" collapsed="false">
      <c r="A942" s="13" t="s">
        <v>42</v>
      </c>
      <c r="B942" s="13" t="s">
        <v>43</v>
      </c>
      <c r="C942" s="13" t="s">
        <v>5</v>
      </c>
      <c r="D942" s="13" t="s">
        <v>727</v>
      </c>
      <c r="E942" s="16" t="n">
        <v>714.835</v>
      </c>
      <c r="F942" s="7" t="n">
        <v>2</v>
      </c>
      <c r="G942" s="5" t="n">
        <v>2900</v>
      </c>
    </row>
    <row r="943" customFormat="false" ht="15" hidden="false" customHeight="false" outlineLevel="0" collapsed="false">
      <c r="A943" s="13" t="s">
        <v>79</v>
      </c>
      <c r="B943" s="13" t="s">
        <v>43</v>
      </c>
      <c r="C943" s="13" t="s">
        <v>3</v>
      </c>
      <c r="D943" s="13" t="s">
        <v>728</v>
      </c>
      <c r="E943" s="16" t="n">
        <v>715.85</v>
      </c>
      <c r="F943" s="7" t="n">
        <v>2</v>
      </c>
      <c r="G943" s="5" t="n">
        <v>2900</v>
      </c>
    </row>
    <row r="944" customFormat="false" ht="15" hidden="false" customHeight="false" outlineLevel="0" collapsed="false">
      <c r="A944" s="13" t="s">
        <v>50</v>
      </c>
      <c r="B944" s="13" t="s">
        <v>43</v>
      </c>
      <c r="C944" s="13" t="s">
        <v>5</v>
      </c>
      <c r="D944" s="13" t="s">
        <v>294</v>
      </c>
      <c r="E944" s="16" t="n">
        <v>582.598</v>
      </c>
      <c r="F944" s="7" t="n">
        <v>5</v>
      </c>
      <c r="G944" s="5" t="n">
        <v>2900</v>
      </c>
    </row>
    <row r="945" customFormat="false" ht="15" hidden="false" customHeight="false" outlineLevel="0" collapsed="false">
      <c r="A945" s="13" t="s">
        <v>45</v>
      </c>
      <c r="B945" s="13" t="s">
        <v>43</v>
      </c>
      <c r="C945" s="13" t="s">
        <v>5</v>
      </c>
      <c r="D945" s="13" t="s">
        <v>729</v>
      </c>
      <c r="E945" s="16" t="n">
        <v>731.6375</v>
      </c>
      <c r="F945" s="7" t="n">
        <v>2</v>
      </c>
      <c r="G945" s="5" t="n">
        <v>2900</v>
      </c>
    </row>
    <row r="946" customFormat="false" ht="15" hidden="false" customHeight="false" outlineLevel="0" collapsed="false">
      <c r="A946" s="13" t="s">
        <v>54</v>
      </c>
      <c r="B946" s="13" t="s">
        <v>43</v>
      </c>
      <c r="C946" s="13" t="s">
        <v>5</v>
      </c>
      <c r="D946" s="13" t="s">
        <v>730</v>
      </c>
      <c r="E946" s="16" t="n">
        <v>478.97</v>
      </c>
      <c r="F946" s="7" t="n">
        <v>5</v>
      </c>
      <c r="G946" s="5" t="n">
        <v>2900</v>
      </c>
    </row>
    <row r="947" customFormat="false" ht="15" hidden="false" customHeight="false" outlineLevel="0" collapsed="false">
      <c r="A947" s="13" t="s">
        <v>61</v>
      </c>
      <c r="B947" s="13" t="s">
        <v>43</v>
      </c>
      <c r="C947" s="13" t="s">
        <v>5</v>
      </c>
      <c r="D947" s="13" t="s">
        <v>327</v>
      </c>
      <c r="E947" s="16" t="n">
        <v>360</v>
      </c>
      <c r="F947" s="7" t="n">
        <v>5</v>
      </c>
      <c r="G947" s="5" t="n">
        <v>2900</v>
      </c>
    </row>
    <row r="948" customFormat="false" ht="15" hidden="false" customHeight="false" outlineLevel="0" collapsed="false">
      <c r="A948" s="13" t="s">
        <v>124</v>
      </c>
      <c r="B948" s="13" t="s">
        <v>43</v>
      </c>
      <c r="C948" s="13" t="s">
        <v>5</v>
      </c>
      <c r="D948" s="13" t="s">
        <v>210</v>
      </c>
      <c r="E948" s="16" t="n">
        <v>571.6</v>
      </c>
      <c r="F948" s="7" t="n">
        <v>5</v>
      </c>
      <c r="G948" s="5" t="n">
        <v>2900</v>
      </c>
    </row>
    <row r="949" customFormat="false" ht="15" hidden="false" customHeight="false" outlineLevel="0" collapsed="false">
      <c r="A949" s="13" t="s">
        <v>50</v>
      </c>
      <c r="B949" s="13" t="s">
        <v>43</v>
      </c>
      <c r="C949" s="13" t="s">
        <v>4</v>
      </c>
      <c r="D949" s="13" t="s">
        <v>52</v>
      </c>
      <c r="E949" s="16" t="n">
        <v>728.0175</v>
      </c>
      <c r="F949" s="7" t="n">
        <v>2</v>
      </c>
      <c r="G949" s="5" t="n">
        <v>2900</v>
      </c>
    </row>
    <row r="950" customFormat="false" ht="15" hidden="false" customHeight="false" outlineLevel="0" collapsed="false">
      <c r="A950" s="13" t="s">
        <v>121</v>
      </c>
      <c r="B950" s="13" t="s">
        <v>43</v>
      </c>
      <c r="C950" s="13" t="s">
        <v>5</v>
      </c>
      <c r="D950" s="13" t="s">
        <v>731</v>
      </c>
      <c r="E950" s="16" t="n">
        <v>76</v>
      </c>
      <c r="F950" s="7" t="n">
        <v>40</v>
      </c>
      <c r="G950" s="5" t="n">
        <v>2900</v>
      </c>
    </row>
    <row r="951" customFormat="false" ht="15" hidden="false" customHeight="false" outlineLevel="0" collapsed="false">
      <c r="A951" s="13" t="s">
        <v>195</v>
      </c>
      <c r="B951" s="13" t="s">
        <v>43</v>
      </c>
      <c r="C951" s="13" t="s">
        <v>5</v>
      </c>
      <c r="D951" s="13" t="s">
        <v>732</v>
      </c>
      <c r="E951" s="16" t="n">
        <v>580</v>
      </c>
      <c r="F951" s="7" t="n">
        <v>5</v>
      </c>
      <c r="G951" s="5" t="n">
        <v>2900</v>
      </c>
    </row>
    <row r="952" customFormat="false" ht="15" hidden="false" customHeight="false" outlineLevel="0" collapsed="false">
      <c r="A952" s="13" t="s">
        <v>45</v>
      </c>
      <c r="B952" s="13" t="s">
        <v>43</v>
      </c>
      <c r="C952" s="13" t="s">
        <v>5</v>
      </c>
      <c r="D952" s="13" t="s">
        <v>113</v>
      </c>
      <c r="E952" s="16" t="n">
        <v>725</v>
      </c>
      <c r="F952" s="7" t="n">
        <v>2</v>
      </c>
      <c r="G952" s="5" t="n">
        <v>2900</v>
      </c>
    </row>
    <row r="953" customFormat="false" ht="15" hidden="false" customHeight="false" outlineLevel="0" collapsed="false">
      <c r="A953" s="13" t="s">
        <v>153</v>
      </c>
      <c r="B953" s="13" t="s">
        <v>43</v>
      </c>
      <c r="C953" s="13" t="s">
        <v>5</v>
      </c>
      <c r="D953" s="13" t="s">
        <v>733</v>
      </c>
      <c r="E953" s="16" t="n">
        <v>721</v>
      </c>
      <c r="F953" s="7" t="n">
        <v>2</v>
      </c>
      <c r="G953" s="5" t="n">
        <v>2900</v>
      </c>
    </row>
    <row r="954" customFormat="false" ht="15" hidden="false" customHeight="false" outlineLevel="0" collapsed="false">
      <c r="A954" s="13" t="s">
        <v>255</v>
      </c>
      <c r="B954" s="13" t="s">
        <v>43</v>
      </c>
      <c r="C954" s="13" t="s">
        <v>4</v>
      </c>
      <c r="D954" s="13" t="s">
        <v>734</v>
      </c>
      <c r="E954" s="16" t="n">
        <v>240.273333333333</v>
      </c>
      <c r="F954" s="7" t="n">
        <v>10</v>
      </c>
      <c r="G954" s="5" t="n">
        <v>2900</v>
      </c>
    </row>
    <row r="955" customFormat="false" ht="15" hidden="false" customHeight="false" outlineLevel="0" collapsed="false">
      <c r="A955" s="13" t="s">
        <v>50</v>
      </c>
      <c r="B955" s="13" t="s">
        <v>43</v>
      </c>
      <c r="C955" s="13" t="s">
        <v>4</v>
      </c>
      <c r="D955" s="13" t="s">
        <v>735</v>
      </c>
      <c r="E955" s="16" t="n">
        <v>728.0175</v>
      </c>
      <c r="F955" s="7" t="n">
        <v>2</v>
      </c>
      <c r="G955" s="5" t="n">
        <v>2900</v>
      </c>
    </row>
    <row r="956" customFormat="false" ht="15" hidden="false" customHeight="false" outlineLevel="0" collapsed="false">
      <c r="A956" s="13" t="s">
        <v>153</v>
      </c>
      <c r="B956" s="13" t="s">
        <v>43</v>
      </c>
      <c r="C956" s="13" t="s">
        <v>4</v>
      </c>
      <c r="D956" s="13" t="s">
        <v>736</v>
      </c>
      <c r="E956" s="16" t="n">
        <v>726.75</v>
      </c>
      <c r="F956" s="7" t="n">
        <v>2</v>
      </c>
      <c r="G956" s="5" t="n">
        <v>2900</v>
      </c>
    </row>
    <row r="957" customFormat="false" ht="15" hidden="false" customHeight="false" outlineLevel="0" collapsed="false">
      <c r="A957" s="13" t="s">
        <v>42</v>
      </c>
      <c r="B957" s="13" t="s">
        <v>43</v>
      </c>
      <c r="C957" s="13" t="s">
        <v>5</v>
      </c>
      <c r="D957" s="13" t="s">
        <v>737</v>
      </c>
      <c r="E957" s="16" t="n">
        <v>734</v>
      </c>
      <c r="F957" s="7" t="n">
        <v>2</v>
      </c>
      <c r="G957" s="5" t="n">
        <v>2900</v>
      </c>
    </row>
    <row r="958" customFormat="false" ht="15" hidden="false" customHeight="false" outlineLevel="0" collapsed="false">
      <c r="A958" s="13" t="s">
        <v>286</v>
      </c>
      <c r="B958" s="13" t="s">
        <v>43</v>
      </c>
      <c r="C958" s="13" t="s">
        <v>4</v>
      </c>
      <c r="D958" s="13" t="s">
        <v>738</v>
      </c>
      <c r="E958" s="16" t="n">
        <v>312.54</v>
      </c>
      <c r="F958" s="7" t="n">
        <v>5</v>
      </c>
      <c r="G958" s="5" t="n">
        <v>2800</v>
      </c>
    </row>
    <row r="959" customFormat="false" ht="15" hidden="false" customHeight="false" outlineLevel="0" collapsed="false">
      <c r="A959" s="13" t="s">
        <v>42</v>
      </c>
      <c r="B959" s="13" t="s">
        <v>43</v>
      </c>
      <c r="C959" s="13" t="s">
        <v>4</v>
      </c>
      <c r="D959" s="13" t="s">
        <v>500</v>
      </c>
      <c r="E959" s="16" t="n">
        <v>927.026666666667</v>
      </c>
      <c r="F959" s="7" t="n">
        <v>2</v>
      </c>
      <c r="G959" s="5" t="n">
        <v>2800</v>
      </c>
    </row>
    <row r="960" customFormat="false" ht="15" hidden="false" customHeight="false" outlineLevel="0" collapsed="false">
      <c r="A960" s="13" t="s">
        <v>270</v>
      </c>
      <c r="B960" s="13" t="s">
        <v>43</v>
      </c>
      <c r="C960" s="13" t="s">
        <v>3</v>
      </c>
      <c r="D960" s="13" t="s">
        <v>739</v>
      </c>
      <c r="E960" s="16" t="n">
        <v>251.069090909091</v>
      </c>
      <c r="F960" s="7" t="n">
        <v>10</v>
      </c>
      <c r="G960" s="5" t="n">
        <v>2800</v>
      </c>
    </row>
    <row r="961" customFormat="false" ht="15" hidden="false" customHeight="false" outlineLevel="0" collapsed="false">
      <c r="A961" s="13" t="s">
        <v>105</v>
      </c>
      <c r="B961" s="13" t="s">
        <v>43</v>
      </c>
      <c r="C961" s="13" t="s">
        <v>3</v>
      </c>
      <c r="D961" s="13" t="s">
        <v>740</v>
      </c>
      <c r="E961" s="16" t="n">
        <v>353.99375</v>
      </c>
      <c r="F961" s="7" t="n">
        <v>5</v>
      </c>
      <c r="G961" s="5" t="n">
        <v>2800</v>
      </c>
    </row>
    <row r="962" customFormat="false" ht="15" hidden="false" customHeight="false" outlineLevel="0" collapsed="false">
      <c r="A962" s="13" t="s">
        <v>195</v>
      </c>
      <c r="B962" s="13" t="s">
        <v>43</v>
      </c>
      <c r="C962" s="13" t="s">
        <v>5</v>
      </c>
      <c r="D962" s="13" t="s">
        <v>741</v>
      </c>
      <c r="E962" s="16" t="n">
        <v>688.25</v>
      </c>
      <c r="F962" s="7" t="n">
        <v>2</v>
      </c>
      <c r="G962" s="5" t="n">
        <v>2800</v>
      </c>
    </row>
    <row r="963" customFormat="false" ht="15" hidden="false" customHeight="false" outlineLevel="0" collapsed="false">
      <c r="A963" s="13" t="s">
        <v>121</v>
      </c>
      <c r="B963" s="13" t="s">
        <v>43</v>
      </c>
      <c r="C963" s="13" t="s">
        <v>5</v>
      </c>
      <c r="D963" s="13" t="s">
        <v>742</v>
      </c>
      <c r="E963" s="16" t="n">
        <v>175.003125</v>
      </c>
      <c r="F963" s="7" t="n">
        <v>20</v>
      </c>
      <c r="G963" s="5" t="n">
        <v>2800</v>
      </c>
    </row>
    <row r="964" customFormat="false" ht="15" hidden="false" customHeight="false" outlineLevel="0" collapsed="false">
      <c r="A964" s="13" t="s">
        <v>45</v>
      </c>
      <c r="B964" s="13" t="s">
        <v>43</v>
      </c>
      <c r="C964" s="13" t="s">
        <v>5</v>
      </c>
      <c r="D964" s="13" t="s">
        <v>301</v>
      </c>
      <c r="E964" s="16" t="n">
        <v>473.82</v>
      </c>
      <c r="F964" s="7" t="n">
        <v>5</v>
      </c>
      <c r="G964" s="5" t="n">
        <v>2800</v>
      </c>
    </row>
    <row r="965" customFormat="false" ht="15" hidden="false" customHeight="false" outlineLevel="0" collapsed="false">
      <c r="A965" s="13" t="s">
        <v>177</v>
      </c>
      <c r="B965" s="13" t="s">
        <v>43</v>
      </c>
      <c r="C965" s="13" t="s">
        <v>5</v>
      </c>
      <c r="D965" s="13" t="s">
        <v>743</v>
      </c>
      <c r="E965" s="16" t="n">
        <v>566.08</v>
      </c>
      <c r="F965" s="7" t="n">
        <v>5</v>
      </c>
      <c r="G965" s="5" t="n">
        <v>2800</v>
      </c>
    </row>
    <row r="966" customFormat="false" ht="15" hidden="false" customHeight="false" outlineLevel="0" collapsed="false">
      <c r="A966" s="13" t="s">
        <v>61</v>
      </c>
      <c r="B966" s="13" t="s">
        <v>43</v>
      </c>
      <c r="C966" s="13" t="s">
        <v>5</v>
      </c>
      <c r="D966" s="13" t="s">
        <v>744</v>
      </c>
      <c r="E966" s="16" t="n">
        <v>284.722</v>
      </c>
      <c r="F966" s="7" t="n">
        <v>5</v>
      </c>
      <c r="G966" s="5" t="n">
        <v>2800</v>
      </c>
    </row>
    <row r="967" customFormat="false" ht="15" hidden="false" customHeight="false" outlineLevel="0" collapsed="false">
      <c r="A967" s="13" t="s">
        <v>72</v>
      </c>
      <c r="B967" s="13" t="s">
        <v>43</v>
      </c>
      <c r="C967" s="13" t="s">
        <v>5</v>
      </c>
      <c r="D967" s="13" t="s">
        <v>419</v>
      </c>
      <c r="E967" s="16" t="n">
        <v>916.95</v>
      </c>
      <c r="F967" s="7" t="n">
        <v>2</v>
      </c>
      <c r="G967" s="5" t="n">
        <v>2800</v>
      </c>
    </row>
    <row r="968" customFormat="false" ht="15" hidden="false" customHeight="false" outlineLevel="0" collapsed="false">
      <c r="A968" s="13" t="s">
        <v>153</v>
      </c>
      <c r="B968" s="13" t="s">
        <v>43</v>
      </c>
      <c r="C968" s="13" t="s">
        <v>5</v>
      </c>
      <c r="D968" s="13" t="s">
        <v>745</v>
      </c>
      <c r="E968" s="16" t="n">
        <v>710.97</v>
      </c>
      <c r="F968" s="7" t="n">
        <v>2</v>
      </c>
      <c r="G968" s="5" t="n">
        <v>2800</v>
      </c>
    </row>
    <row r="969" customFormat="false" ht="15" hidden="false" customHeight="false" outlineLevel="0" collapsed="false">
      <c r="A969" s="13" t="s">
        <v>72</v>
      </c>
      <c r="B969" s="13" t="s">
        <v>43</v>
      </c>
      <c r="C969" s="13" t="s">
        <v>5</v>
      </c>
      <c r="D969" s="13" t="s">
        <v>746</v>
      </c>
      <c r="E969" s="16" t="n">
        <v>699</v>
      </c>
      <c r="F969" s="7" t="n">
        <v>2</v>
      </c>
      <c r="G969" s="5" t="n">
        <v>2800</v>
      </c>
    </row>
    <row r="970" customFormat="false" ht="15" hidden="false" customHeight="false" outlineLevel="0" collapsed="false">
      <c r="A970" s="13" t="s">
        <v>45</v>
      </c>
      <c r="B970" s="13" t="s">
        <v>43</v>
      </c>
      <c r="C970" s="13" t="s">
        <v>4</v>
      </c>
      <c r="D970" s="13" t="s">
        <v>292</v>
      </c>
      <c r="E970" s="16" t="n">
        <v>705.88</v>
      </c>
      <c r="F970" s="7" t="n">
        <v>2</v>
      </c>
      <c r="G970" s="5" t="n">
        <v>2800</v>
      </c>
    </row>
    <row r="971" customFormat="false" ht="15" hidden="false" customHeight="false" outlineLevel="0" collapsed="false">
      <c r="A971" s="13" t="s">
        <v>45</v>
      </c>
      <c r="B971" s="13" t="s">
        <v>43</v>
      </c>
      <c r="C971" s="13" t="s">
        <v>4</v>
      </c>
      <c r="D971" s="13" t="s">
        <v>113</v>
      </c>
      <c r="E971" s="16" t="n">
        <v>704.65</v>
      </c>
      <c r="F971" s="7" t="n">
        <v>2</v>
      </c>
      <c r="G971" s="5" t="n">
        <v>2800</v>
      </c>
    </row>
    <row r="972" customFormat="false" ht="15" hidden="false" customHeight="false" outlineLevel="0" collapsed="false">
      <c r="A972" s="13" t="s">
        <v>61</v>
      </c>
      <c r="B972" s="13" t="s">
        <v>43</v>
      </c>
      <c r="C972" s="13" t="s">
        <v>5</v>
      </c>
      <c r="D972" s="13" t="s">
        <v>245</v>
      </c>
      <c r="E972" s="16" t="n">
        <v>344.935</v>
      </c>
      <c r="F972" s="7" t="n">
        <v>5</v>
      </c>
      <c r="G972" s="5" t="n">
        <v>2800</v>
      </c>
    </row>
    <row r="973" customFormat="false" ht="15" hidden="false" customHeight="false" outlineLevel="0" collapsed="false">
      <c r="A973" s="13" t="s">
        <v>124</v>
      </c>
      <c r="B973" s="13" t="s">
        <v>43</v>
      </c>
      <c r="C973" s="13" t="s">
        <v>5</v>
      </c>
      <c r="D973" s="13" t="s">
        <v>747</v>
      </c>
      <c r="E973" s="16" t="n">
        <v>692.9025</v>
      </c>
      <c r="F973" s="7" t="n">
        <v>2</v>
      </c>
      <c r="G973" s="5" t="n">
        <v>2800</v>
      </c>
    </row>
    <row r="974" customFormat="false" ht="15" hidden="false" customHeight="false" outlineLevel="0" collapsed="false">
      <c r="A974" s="13" t="s">
        <v>105</v>
      </c>
      <c r="B974" s="13" t="s">
        <v>43</v>
      </c>
      <c r="C974" s="13" t="s">
        <v>5</v>
      </c>
      <c r="D974" s="13" t="s">
        <v>748</v>
      </c>
      <c r="E974" s="16" t="n">
        <v>688.16</v>
      </c>
      <c r="F974" s="7" t="n">
        <v>2</v>
      </c>
      <c r="G974" s="5" t="n">
        <v>2800</v>
      </c>
    </row>
    <row r="975" customFormat="false" ht="15" hidden="false" customHeight="false" outlineLevel="0" collapsed="false">
      <c r="A975" s="13" t="s">
        <v>45</v>
      </c>
      <c r="B975" s="13" t="s">
        <v>43</v>
      </c>
      <c r="C975" s="13" t="s">
        <v>4</v>
      </c>
      <c r="D975" s="13" t="s">
        <v>499</v>
      </c>
      <c r="E975" s="16" t="n">
        <v>923.51</v>
      </c>
      <c r="F975" s="7" t="n">
        <v>2</v>
      </c>
      <c r="G975" s="5" t="n">
        <v>2800</v>
      </c>
    </row>
    <row r="976" customFormat="false" ht="15" hidden="false" customHeight="false" outlineLevel="0" collapsed="false">
      <c r="A976" s="13" t="s">
        <v>42</v>
      </c>
      <c r="B976" s="13" t="s">
        <v>43</v>
      </c>
      <c r="C976" s="13" t="s">
        <v>4</v>
      </c>
      <c r="D976" s="13" t="s">
        <v>89</v>
      </c>
      <c r="E976" s="16" t="n">
        <v>346.0075</v>
      </c>
      <c r="F976" s="7" t="n">
        <v>5</v>
      </c>
      <c r="G976" s="5" t="n">
        <v>2800</v>
      </c>
    </row>
    <row r="977" customFormat="false" ht="15" hidden="false" customHeight="false" outlineLevel="0" collapsed="false">
      <c r="A977" s="13" t="s">
        <v>50</v>
      </c>
      <c r="B977" s="13" t="s">
        <v>43</v>
      </c>
      <c r="C977" s="13" t="s">
        <v>4</v>
      </c>
      <c r="D977" s="13" t="s">
        <v>749</v>
      </c>
      <c r="E977" s="16" t="n">
        <v>691.2575</v>
      </c>
      <c r="F977" s="7" t="n">
        <v>2</v>
      </c>
      <c r="G977" s="5" t="n">
        <v>2800</v>
      </c>
    </row>
    <row r="978" customFormat="false" ht="15" hidden="false" customHeight="false" outlineLevel="0" collapsed="false">
      <c r="A978" s="13" t="s">
        <v>161</v>
      </c>
      <c r="B978" s="13" t="s">
        <v>43</v>
      </c>
      <c r="C978" s="13" t="s">
        <v>4</v>
      </c>
      <c r="D978" s="13" t="s">
        <v>585</v>
      </c>
      <c r="E978" s="16" t="n">
        <v>350.2</v>
      </c>
      <c r="F978" s="7" t="n">
        <v>5</v>
      </c>
      <c r="G978" s="5" t="n">
        <v>2800</v>
      </c>
    </row>
    <row r="979" customFormat="false" ht="15" hidden="false" customHeight="false" outlineLevel="0" collapsed="false">
      <c r="A979" s="13" t="s">
        <v>50</v>
      </c>
      <c r="B979" s="13" t="s">
        <v>43</v>
      </c>
      <c r="C979" s="13" t="s">
        <v>4</v>
      </c>
      <c r="D979" s="13" t="s">
        <v>750</v>
      </c>
      <c r="E979" s="16" t="n">
        <v>700.31</v>
      </c>
      <c r="F979" s="7" t="n">
        <v>2</v>
      </c>
      <c r="G979" s="5" t="n">
        <v>2800</v>
      </c>
    </row>
    <row r="980" customFormat="false" ht="15" hidden="false" customHeight="false" outlineLevel="0" collapsed="false">
      <c r="A980" s="13" t="s">
        <v>79</v>
      </c>
      <c r="B980" s="13" t="s">
        <v>43</v>
      </c>
      <c r="C980" s="13" t="s">
        <v>4</v>
      </c>
      <c r="D980" s="13" t="s">
        <v>751</v>
      </c>
      <c r="E980" s="16" t="n">
        <v>703.45</v>
      </c>
      <c r="F980" s="7" t="n">
        <v>2</v>
      </c>
      <c r="G980" s="5" t="n">
        <v>2800</v>
      </c>
    </row>
    <row r="981" customFormat="false" ht="15" hidden="false" customHeight="false" outlineLevel="0" collapsed="false">
      <c r="A981" s="13" t="s">
        <v>45</v>
      </c>
      <c r="B981" s="13" t="s">
        <v>43</v>
      </c>
      <c r="C981" s="13" t="s">
        <v>4</v>
      </c>
      <c r="D981" s="13" t="s">
        <v>752</v>
      </c>
      <c r="E981" s="16" t="n">
        <v>568.62</v>
      </c>
      <c r="F981" s="7" t="n">
        <v>5</v>
      </c>
      <c r="G981" s="5" t="n">
        <v>2800</v>
      </c>
    </row>
    <row r="982" customFormat="false" ht="15" hidden="false" customHeight="false" outlineLevel="0" collapsed="false">
      <c r="A982" s="13" t="s">
        <v>179</v>
      </c>
      <c r="B982" s="13" t="s">
        <v>85</v>
      </c>
      <c r="C982" s="13" t="s">
        <v>3</v>
      </c>
      <c r="D982" s="13" t="s">
        <v>753</v>
      </c>
      <c r="E982" s="16" t="n">
        <v>387.99</v>
      </c>
      <c r="F982" s="7" t="n">
        <v>5</v>
      </c>
      <c r="G982" s="5" t="n">
        <v>2700</v>
      </c>
    </row>
    <row r="983" customFormat="false" ht="15" hidden="false" customHeight="false" outlineLevel="0" collapsed="false">
      <c r="A983" s="13" t="s">
        <v>248</v>
      </c>
      <c r="B983" s="13" t="s">
        <v>85</v>
      </c>
      <c r="C983" s="13" t="s">
        <v>3</v>
      </c>
      <c r="D983" s="13" t="s">
        <v>249</v>
      </c>
      <c r="E983" s="16" t="n">
        <v>193.784285714286</v>
      </c>
      <c r="F983" s="7" t="n">
        <v>10</v>
      </c>
      <c r="G983" s="5" t="n">
        <v>2700</v>
      </c>
    </row>
    <row r="984" customFormat="false" ht="15" hidden="false" customHeight="false" outlineLevel="0" collapsed="false">
      <c r="A984" s="13" t="s">
        <v>45</v>
      </c>
      <c r="B984" s="13" t="s">
        <v>43</v>
      </c>
      <c r="C984" s="13" t="s">
        <v>4</v>
      </c>
      <c r="D984" s="13" t="s">
        <v>113</v>
      </c>
      <c r="E984" s="16" t="n">
        <v>911.106666666667</v>
      </c>
      <c r="F984" s="7" t="n">
        <v>2</v>
      </c>
      <c r="G984" s="5" t="n">
        <v>2700</v>
      </c>
    </row>
    <row r="985" customFormat="false" ht="15" hidden="false" customHeight="false" outlineLevel="0" collapsed="false">
      <c r="A985" s="13" t="s">
        <v>50</v>
      </c>
      <c r="B985" s="13" t="s">
        <v>43</v>
      </c>
      <c r="C985" s="13" t="s">
        <v>4</v>
      </c>
      <c r="D985" s="13" t="s">
        <v>754</v>
      </c>
      <c r="E985" s="16" t="n">
        <v>687.27</v>
      </c>
      <c r="F985" s="7" t="n">
        <v>2</v>
      </c>
      <c r="G985" s="5" t="n">
        <v>2700</v>
      </c>
    </row>
    <row r="986" customFormat="false" ht="15" hidden="false" customHeight="false" outlineLevel="0" collapsed="false">
      <c r="A986" s="13" t="s">
        <v>45</v>
      </c>
      <c r="B986" s="13" t="s">
        <v>43</v>
      </c>
      <c r="C986" s="13" t="s">
        <v>5</v>
      </c>
      <c r="D986" s="13" t="s">
        <v>622</v>
      </c>
      <c r="E986" s="16" t="n">
        <v>548.84</v>
      </c>
      <c r="F986" s="7" t="n">
        <v>5</v>
      </c>
      <c r="G986" s="5" t="n">
        <v>2700</v>
      </c>
    </row>
    <row r="987" customFormat="false" ht="15" hidden="false" customHeight="false" outlineLevel="0" collapsed="false">
      <c r="A987" s="13" t="s">
        <v>45</v>
      </c>
      <c r="B987" s="13" t="s">
        <v>43</v>
      </c>
      <c r="C987" s="13" t="s">
        <v>4</v>
      </c>
      <c r="D987" s="13" t="s">
        <v>755</v>
      </c>
      <c r="E987" s="16" t="n">
        <v>900.156666666667</v>
      </c>
      <c r="F987" s="7" t="n">
        <v>2</v>
      </c>
      <c r="G987" s="5" t="n">
        <v>2700</v>
      </c>
    </row>
    <row r="988" customFormat="false" ht="15" hidden="false" customHeight="false" outlineLevel="0" collapsed="false">
      <c r="A988" s="13" t="s">
        <v>50</v>
      </c>
      <c r="B988" s="13" t="s">
        <v>43</v>
      </c>
      <c r="C988" s="13" t="s">
        <v>4</v>
      </c>
      <c r="D988" s="13" t="s">
        <v>596</v>
      </c>
      <c r="E988" s="16" t="n">
        <v>677.97</v>
      </c>
      <c r="F988" s="7" t="n">
        <v>2</v>
      </c>
      <c r="G988" s="5" t="n">
        <v>2700</v>
      </c>
    </row>
    <row r="989" customFormat="false" ht="15" hidden="false" customHeight="false" outlineLevel="0" collapsed="false">
      <c r="A989" s="13" t="s">
        <v>50</v>
      </c>
      <c r="B989" s="13" t="s">
        <v>43</v>
      </c>
      <c r="C989" s="13" t="s">
        <v>5</v>
      </c>
      <c r="D989" s="13" t="s">
        <v>756</v>
      </c>
      <c r="E989" s="16" t="n">
        <v>457</v>
      </c>
      <c r="F989" s="7" t="n">
        <v>5</v>
      </c>
      <c r="G989" s="5" t="n">
        <v>2700</v>
      </c>
    </row>
    <row r="990" customFormat="false" ht="15" hidden="false" customHeight="false" outlineLevel="0" collapsed="false">
      <c r="A990" s="13" t="s">
        <v>72</v>
      </c>
      <c r="B990" s="13" t="s">
        <v>43</v>
      </c>
      <c r="C990" s="13" t="s">
        <v>5</v>
      </c>
      <c r="D990" s="13" t="s">
        <v>96</v>
      </c>
      <c r="E990" s="16" t="n">
        <v>907.59</v>
      </c>
      <c r="F990" s="7" t="n">
        <v>2</v>
      </c>
      <c r="G990" s="5" t="n">
        <v>2700</v>
      </c>
    </row>
    <row r="991" customFormat="false" ht="15" hidden="false" customHeight="false" outlineLevel="0" collapsed="false">
      <c r="A991" s="13" t="s">
        <v>42</v>
      </c>
      <c r="B991" s="13" t="s">
        <v>43</v>
      </c>
      <c r="C991" s="13" t="s">
        <v>4</v>
      </c>
      <c r="D991" s="13" t="s">
        <v>474</v>
      </c>
      <c r="E991" s="16" t="n">
        <v>901.17</v>
      </c>
      <c r="F991" s="7" t="n">
        <v>2</v>
      </c>
      <c r="G991" s="5" t="n">
        <v>2700</v>
      </c>
    </row>
    <row r="992" customFormat="false" ht="15" hidden="false" customHeight="false" outlineLevel="0" collapsed="false">
      <c r="A992" s="13" t="s">
        <v>50</v>
      </c>
      <c r="B992" s="13" t="s">
        <v>43</v>
      </c>
      <c r="C992" s="13" t="s">
        <v>4</v>
      </c>
      <c r="D992" s="13" t="s">
        <v>382</v>
      </c>
      <c r="E992" s="16" t="n">
        <v>669.6625</v>
      </c>
      <c r="F992" s="7" t="n">
        <v>2</v>
      </c>
      <c r="G992" s="5" t="n">
        <v>2700</v>
      </c>
    </row>
    <row r="993" customFormat="false" ht="15" hidden="false" customHeight="false" outlineLevel="0" collapsed="false">
      <c r="A993" s="13" t="s">
        <v>50</v>
      </c>
      <c r="B993" s="13" t="s">
        <v>43</v>
      </c>
      <c r="C993" s="13" t="s">
        <v>4</v>
      </c>
      <c r="D993" s="13" t="s">
        <v>757</v>
      </c>
      <c r="E993" s="16" t="n">
        <v>444.11</v>
      </c>
      <c r="F993" s="7" t="n">
        <v>5</v>
      </c>
      <c r="G993" s="5" t="n">
        <v>2700</v>
      </c>
    </row>
    <row r="994" customFormat="false" ht="15" hidden="false" customHeight="false" outlineLevel="0" collapsed="false">
      <c r="A994" s="13" t="s">
        <v>177</v>
      </c>
      <c r="B994" s="13" t="s">
        <v>43</v>
      </c>
      <c r="C994" s="13" t="s">
        <v>5</v>
      </c>
      <c r="D994" s="13" t="s">
        <v>758</v>
      </c>
      <c r="E994" s="16" t="n">
        <v>534.376</v>
      </c>
      <c r="F994" s="7" t="n">
        <v>5</v>
      </c>
      <c r="G994" s="5" t="n">
        <v>2700</v>
      </c>
    </row>
    <row r="995" customFormat="false" ht="15" hidden="false" customHeight="false" outlineLevel="0" collapsed="false">
      <c r="A995" s="13" t="s">
        <v>630</v>
      </c>
      <c r="B995" s="13" t="s">
        <v>43</v>
      </c>
      <c r="C995" s="13" t="s">
        <v>5</v>
      </c>
      <c r="D995" s="13" t="s">
        <v>631</v>
      </c>
      <c r="E995" s="16" t="n">
        <v>191.09</v>
      </c>
      <c r="F995" s="7" t="n">
        <v>10</v>
      </c>
      <c r="G995" s="5" t="n">
        <v>2700</v>
      </c>
    </row>
    <row r="996" customFormat="false" ht="15" hidden="false" customHeight="false" outlineLevel="0" collapsed="false">
      <c r="A996" s="13" t="s">
        <v>50</v>
      </c>
      <c r="B996" s="13" t="s">
        <v>43</v>
      </c>
      <c r="C996" s="13" t="s">
        <v>5</v>
      </c>
      <c r="D996" s="13" t="s">
        <v>597</v>
      </c>
      <c r="E996" s="16" t="n">
        <v>669.4575</v>
      </c>
      <c r="F996" s="7" t="n">
        <v>2</v>
      </c>
      <c r="G996" s="5" t="n">
        <v>2700</v>
      </c>
    </row>
    <row r="997" customFormat="false" ht="15" hidden="false" customHeight="false" outlineLevel="0" collapsed="false">
      <c r="A997" s="13" t="s">
        <v>72</v>
      </c>
      <c r="B997" s="13" t="s">
        <v>43</v>
      </c>
      <c r="C997" s="13" t="s">
        <v>5</v>
      </c>
      <c r="D997" s="13" t="s">
        <v>759</v>
      </c>
      <c r="E997" s="16" t="n">
        <v>1328.49</v>
      </c>
      <c r="F997" s="7" t="n">
        <v>2</v>
      </c>
      <c r="G997" s="5" t="n">
        <v>2700</v>
      </c>
    </row>
    <row r="998" customFormat="false" ht="15" hidden="false" customHeight="false" outlineLevel="0" collapsed="false">
      <c r="A998" s="13" t="s">
        <v>54</v>
      </c>
      <c r="B998" s="13" t="s">
        <v>43</v>
      </c>
      <c r="C998" s="13" t="s">
        <v>5</v>
      </c>
      <c r="D998" s="13" t="s">
        <v>760</v>
      </c>
      <c r="E998" s="16" t="n">
        <v>296.678888888889</v>
      </c>
      <c r="F998" s="7" t="n">
        <v>5</v>
      </c>
      <c r="G998" s="5" t="n">
        <v>2700</v>
      </c>
    </row>
    <row r="999" customFormat="false" ht="15" hidden="false" customHeight="false" outlineLevel="0" collapsed="false">
      <c r="A999" s="13" t="s">
        <v>50</v>
      </c>
      <c r="B999" s="13" t="s">
        <v>43</v>
      </c>
      <c r="C999" s="13" t="s">
        <v>5</v>
      </c>
      <c r="D999" s="13" t="s">
        <v>480</v>
      </c>
      <c r="E999" s="16" t="n">
        <v>671</v>
      </c>
      <c r="F999" s="7" t="n">
        <v>2</v>
      </c>
      <c r="G999" s="5" t="n">
        <v>2700</v>
      </c>
    </row>
    <row r="1000" customFormat="false" ht="15" hidden="false" customHeight="false" outlineLevel="0" collapsed="false">
      <c r="A1000" s="13" t="s">
        <v>45</v>
      </c>
      <c r="B1000" s="13" t="s">
        <v>43</v>
      </c>
      <c r="C1000" s="13" t="s">
        <v>5</v>
      </c>
      <c r="D1000" s="13" t="s">
        <v>247</v>
      </c>
      <c r="E1000" s="16" t="n">
        <v>674.425</v>
      </c>
      <c r="F1000" s="7" t="n">
        <v>2</v>
      </c>
      <c r="G1000" s="5" t="n">
        <v>2700</v>
      </c>
    </row>
    <row r="1001" customFormat="false" ht="15" hidden="false" customHeight="false" outlineLevel="0" collapsed="false">
      <c r="A1001" s="13" t="s">
        <v>121</v>
      </c>
      <c r="B1001" s="13" t="s">
        <v>43</v>
      </c>
      <c r="C1001" s="13" t="s">
        <v>5</v>
      </c>
      <c r="D1001" s="13" t="s">
        <v>761</v>
      </c>
      <c r="E1001" s="16" t="n">
        <v>192.14</v>
      </c>
      <c r="F1001" s="7" t="n">
        <v>10</v>
      </c>
      <c r="G1001" s="5" t="n">
        <v>2700</v>
      </c>
    </row>
    <row r="1002" customFormat="false" ht="15" hidden="false" customHeight="false" outlineLevel="0" collapsed="false">
      <c r="A1002" s="13" t="s">
        <v>124</v>
      </c>
      <c r="B1002" s="13" t="s">
        <v>43</v>
      </c>
      <c r="C1002" s="13" t="s">
        <v>5</v>
      </c>
      <c r="D1002" s="13" t="s">
        <v>747</v>
      </c>
      <c r="E1002" s="16" t="n">
        <v>892.68</v>
      </c>
      <c r="F1002" s="7" t="n">
        <v>2</v>
      </c>
      <c r="G1002" s="5" t="n">
        <v>2700</v>
      </c>
    </row>
    <row r="1003" customFormat="false" ht="15" hidden="false" customHeight="false" outlineLevel="0" collapsed="false">
      <c r="A1003" s="13" t="s">
        <v>61</v>
      </c>
      <c r="B1003" s="13" t="s">
        <v>43</v>
      </c>
      <c r="C1003" s="13" t="s">
        <v>5</v>
      </c>
      <c r="D1003" s="13" t="s">
        <v>413</v>
      </c>
      <c r="E1003" s="16" t="n">
        <v>669.085</v>
      </c>
      <c r="F1003" s="7" t="n">
        <v>2</v>
      </c>
      <c r="G1003" s="5" t="n">
        <v>2700</v>
      </c>
    </row>
    <row r="1004" customFormat="false" ht="15" hidden="false" customHeight="false" outlineLevel="0" collapsed="false">
      <c r="A1004" s="13" t="s">
        <v>45</v>
      </c>
      <c r="B1004" s="13" t="s">
        <v>43</v>
      </c>
      <c r="C1004" s="13" t="s">
        <v>5</v>
      </c>
      <c r="D1004" s="13" t="s">
        <v>563</v>
      </c>
      <c r="E1004" s="16" t="n">
        <v>391.508571428571</v>
      </c>
      <c r="F1004" s="7" t="n">
        <v>5</v>
      </c>
      <c r="G1004" s="5" t="n">
        <v>2700</v>
      </c>
    </row>
    <row r="1005" customFormat="false" ht="15" hidden="false" customHeight="false" outlineLevel="0" collapsed="false">
      <c r="A1005" s="13" t="s">
        <v>50</v>
      </c>
      <c r="B1005" s="13" t="s">
        <v>43</v>
      </c>
      <c r="C1005" s="13" t="s">
        <v>5</v>
      </c>
      <c r="D1005" s="13" t="s">
        <v>762</v>
      </c>
      <c r="E1005" s="16" t="n">
        <v>903.496666666667</v>
      </c>
      <c r="F1005" s="7" t="n">
        <v>2</v>
      </c>
      <c r="G1005" s="5" t="n">
        <v>2700</v>
      </c>
    </row>
    <row r="1006" customFormat="false" ht="15" hidden="false" customHeight="false" outlineLevel="0" collapsed="false">
      <c r="A1006" s="13" t="s">
        <v>92</v>
      </c>
      <c r="B1006" s="13" t="s">
        <v>43</v>
      </c>
      <c r="C1006" s="13" t="s">
        <v>5</v>
      </c>
      <c r="D1006" s="13" t="s">
        <v>763</v>
      </c>
      <c r="E1006" s="16" t="n">
        <v>908.656666666667</v>
      </c>
      <c r="F1006" s="7" t="n">
        <v>2</v>
      </c>
      <c r="G1006" s="5" t="n">
        <v>2700</v>
      </c>
    </row>
    <row r="1007" customFormat="false" ht="15" hidden="false" customHeight="false" outlineLevel="0" collapsed="false">
      <c r="A1007" s="13" t="s">
        <v>61</v>
      </c>
      <c r="B1007" s="13" t="s">
        <v>43</v>
      </c>
      <c r="C1007" s="13" t="s">
        <v>5</v>
      </c>
      <c r="D1007" s="13" t="s">
        <v>764</v>
      </c>
      <c r="E1007" s="16" t="n">
        <v>458</v>
      </c>
      <c r="F1007" s="7" t="n">
        <v>5</v>
      </c>
      <c r="G1007" s="5" t="n">
        <v>2700</v>
      </c>
    </row>
    <row r="1008" customFormat="false" ht="15" hidden="false" customHeight="false" outlineLevel="0" collapsed="false">
      <c r="A1008" s="13" t="s">
        <v>50</v>
      </c>
      <c r="B1008" s="13" t="s">
        <v>43</v>
      </c>
      <c r="C1008" s="13" t="s">
        <v>5</v>
      </c>
      <c r="D1008" s="13" t="s">
        <v>765</v>
      </c>
      <c r="E1008" s="16" t="n">
        <v>542</v>
      </c>
      <c r="F1008" s="7" t="n">
        <v>5</v>
      </c>
      <c r="G1008" s="5" t="n">
        <v>2700</v>
      </c>
    </row>
    <row r="1009" customFormat="false" ht="15" hidden="false" customHeight="false" outlineLevel="0" collapsed="false">
      <c r="A1009" s="13" t="s">
        <v>329</v>
      </c>
      <c r="B1009" s="13" t="s">
        <v>43</v>
      </c>
      <c r="C1009" s="13" t="s">
        <v>5</v>
      </c>
      <c r="D1009" s="13" t="s">
        <v>384</v>
      </c>
      <c r="E1009" s="16" t="n">
        <v>450.366666666667</v>
      </c>
      <c r="F1009" s="7" t="n">
        <v>5</v>
      </c>
      <c r="G1009" s="5" t="n">
        <v>2700</v>
      </c>
    </row>
    <row r="1010" customFormat="false" ht="15" hidden="false" customHeight="false" outlineLevel="0" collapsed="false">
      <c r="A1010" s="13" t="s">
        <v>79</v>
      </c>
      <c r="B1010" s="13" t="s">
        <v>43</v>
      </c>
      <c r="C1010" s="13" t="s">
        <v>3</v>
      </c>
      <c r="D1010" s="13" t="s">
        <v>577</v>
      </c>
      <c r="E1010" s="16" t="n">
        <v>659.72</v>
      </c>
      <c r="F1010" s="7" t="n">
        <v>2</v>
      </c>
      <c r="G1010" s="5" t="n">
        <v>2600</v>
      </c>
    </row>
    <row r="1011" customFormat="false" ht="15" hidden="false" customHeight="false" outlineLevel="0" collapsed="false">
      <c r="A1011" s="13" t="s">
        <v>179</v>
      </c>
      <c r="B1011" s="13" t="s">
        <v>180</v>
      </c>
      <c r="C1011" s="13" t="s">
        <v>3</v>
      </c>
      <c r="D1011" s="13" t="s">
        <v>766</v>
      </c>
      <c r="E1011" s="16" t="n">
        <v>99</v>
      </c>
      <c r="F1011" s="7" t="n">
        <v>30</v>
      </c>
      <c r="G1011" s="5" t="n">
        <v>2600</v>
      </c>
    </row>
    <row r="1012" customFormat="false" ht="15" hidden="false" customHeight="false" outlineLevel="0" collapsed="false">
      <c r="A1012" s="13" t="s">
        <v>161</v>
      </c>
      <c r="B1012" s="13" t="s">
        <v>43</v>
      </c>
      <c r="C1012" s="13" t="s">
        <v>3</v>
      </c>
      <c r="D1012" s="13" t="s">
        <v>767</v>
      </c>
      <c r="E1012" s="16" t="n">
        <v>239.850909090909</v>
      </c>
      <c r="F1012" s="7" t="n">
        <v>10</v>
      </c>
      <c r="G1012" s="5" t="n">
        <v>2600</v>
      </c>
    </row>
    <row r="1013" customFormat="false" ht="15" hidden="false" customHeight="false" outlineLevel="0" collapsed="false">
      <c r="A1013" s="13" t="s">
        <v>179</v>
      </c>
      <c r="B1013" s="13" t="s">
        <v>85</v>
      </c>
      <c r="C1013" s="13" t="s">
        <v>3</v>
      </c>
      <c r="D1013" s="13" t="s">
        <v>768</v>
      </c>
      <c r="E1013" s="16" t="n">
        <v>154.294117647059</v>
      </c>
      <c r="F1013" s="7" t="n">
        <v>20</v>
      </c>
      <c r="G1013" s="5" t="n">
        <v>2600</v>
      </c>
    </row>
    <row r="1014" customFormat="false" ht="15" hidden="false" customHeight="false" outlineLevel="0" collapsed="false">
      <c r="A1014" s="13" t="s">
        <v>255</v>
      </c>
      <c r="B1014" s="13" t="s">
        <v>43</v>
      </c>
      <c r="C1014" s="13" t="s">
        <v>3</v>
      </c>
      <c r="D1014" s="13" t="s">
        <v>769</v>
      </c>
      <c r="E1014" s="16" t="n">
        <v>152.04</v>
      </c>
      <c r="F1014" s="7" t="n">
        <v>20</v>
      </c>
      <c r="G1014" s="5" t="n">
        <v>2600</v>
      </c>
    </row>
    <row r="1015" customFormat="false" ht="15" hidden="false" customHeight="false" outlineLevel="0" collapsed="false">
      <c r="A1015" s="13" t="s">
        <v>341</v>
      </c>
      <c r="B1015" s="13" t="s">
        <v>43</v>
      </c>
      <c r="C1015" s="13" t="s">
        <v>4</v>
      </c>
      <c r="D1015" s="13" t="s">
        <v>770</v>
      </c>
      <c r="E1015" s="16" t="n">
        <v>288.828888888889</v>
      </c>
      <c r="F1015" s="7" t="n">
        <v>5</v>
      </c>
      <c r="G1015" s="5" t="n">
        <v>2600</v>
      </c>
    </row>
    <row r="1016" customFormat="false" ht="15" hidden="false" customHeight="false" outlineLevel="0" collapsed="false">
      <c r="A1016" s="13" t="s">
        <v>45</v>
      </c>
      <c r="B1016" s="13" t="s">
        <v>43</v>
      </c>
      <c r="C1016" s="13" t="s">
        <v>4</v>
      </c>
      <c r="D1016" s="13" t="s">
        <v>771</v>
      </c>
      <c r="E1016" s="16" t="n">
        <v>863.97</v>
      </c>
      <c r="F1016" s="7" t="n">
        <v>2</v>
      </c>
      <c r="G1016" s="5" t="n">
        <v>2600</v>
      </c>
    </row>
    <row r="1017" customFormat="false" ht="15" hidden="false" customHeight="false" outlineLevel="0" collapsed="false">
      <c r="A1017" s="13" t="s">
        <v>153</v>
      </c>
      <c r="B1017" s="13" t="s">
        <v>43</v>
      </c>
      <c r="C1017" s="13" t="s">
        <v>4</v>
      </c>
      <c r="D1017" s="13" t="s">
        <v>772</v>
      </c>
      <c r="E1017" s="16" t="n">
        <v>652.84</v>
      </c>
      <c r="F1017" s="7" t="n">
        <v>2</v>
      </c>
      <c r="G1017" s="5" t="n">
        <v>2600</v>
      </c>
    </row>
    <row r="1018" customFormat="false" ht="15" hidden="false" customHeight="false" outlineLevel="0" collapsed="false">
      <c r="A1018" s="13" t="s">
        <v>92</v>
      </c>
      <c r="B1018" s="13" t="s">
        <v>43</v>
      </c>
      <c r="C1018" s="13" t="s">
        <v>4</v>
      </c>
      <c r="D1018" s="13" t="s">
        <v>773</v>
      </c>
      <c r="E1018" s="16" t="n">
        <v>434.063333333333</v>
      </c>
      <c r="F1018" s="7" t="n">
        <v>5</v>
      </c>
      <c r="G1018" s="5" t="n">
        <v>2600</v>
      </c>
    </row>
    <row r="1019" customFormat="false" ht="15" hidden="false" customHeight="false" outlineLevel="0" collapsed="false">
      <c r="A1019" s="13" t="s">
        <v>50</v>
      </c>
      <c r="B1019" s="13" t="s">
        <v>43</v>
      </c>
      <c r="C1019" s="13" t="s">
        <v>4</v>
      </c>
      <c r="D1019" s="13" t="s">
        <v>644</v>
      </c>
      <c r="E1019" s="16" t="n">
        <v>870.33</v>
      </c>
      <c r="F1019" s="7" t="n">
        <v>2</v>
      </c>
      <c r="G1019" s="5" t="n">
        <v>2600</v>
      </c>
    </row>
    <row r="1020" customFormat="false" ht="15" hidden="false" customHeight="false" outlineLevel="0" collapsed="false">
      <c r="A1020" s="13" t="s">
        <v>45</v>
      </c>
      <c r="B1020" s="13" t="s">
        <v>43</v>
      </c>
      <c r="C1020" s="13" t="s">
        <v>4</v>
      </c>
      <c r="D1020" s="13" t="s">
        <v>279</v>
      </c>
      <c r="E1020" s="16" t="n">
        <v>855.96</v>
      </c>
      <c r="F1020" s="7" t="n">
        <v>2</v>
      </c>
      <c r="G1020" s="5" t="n">
        <v>2600</v>
      </c>
    </row>
    <row r="1021" customFormat="false" ht="15" hidden="false" customHeight="false" outlineLevel="0" collapsed="false">
      <c r="A1021" s="13" t="s">
        <v>270</v>
      </c>
      <c r="B1021" s="13" t="s">
        <v>43</v>
      </c>
      <c r="C1021" s="13" t="s">
        <v>4</v>
      </c>
      <c r="D1021" s="13" t="s">
        <v>774</v>
      </c>
      <c r="E1021" s="16" t="n">
        <v>366.447142857143</v>
      </c>
      <c r="F1021" s="7" t="n">
        <v>5</v>
      </c>
      <c r="G1021" s="5" t="n">
        <v>2600</v>
      </c>
    </row>
    <row r="1022" customFormat="false" ht="15" hidden="false" customHeight="false" outlineLevel="0" collapsed="false">
      <c r="A1022" s="13" t="s">
        <v>45</v>
      </c>
      <c r="B1022" s="13" t="s">
        <v>43</v>
      </c>
      <c r="C1022" s="13" t="s">
        <v>4</v>
      </c>
      <c r="D1022" s="13" t="s">
        <v>775</v>
      </c>
      <c r="E1022" s="16" t="n">
        <v>855.953333333333</v>
      </c>
      <c r="F1022" s="7" t="n">
        <v>2</v>
      </c>
      <c r="G1022" s="5" t="n">
        <v>2600</v>
      </c>
    </row>
    <row r="1023" customFormat="false" ht="15" hidden="false" customHeight="false" outlineLevel="0" collapsed="false">
      <c r="A1023" s="13" t="s">
        <v>45</v>
      </c>
      <c r="B1023" s="13" t="s">
        <v>43</v>
      </c>
      <c r="C1023" s="13" t="s">
        <v>4</v>
      </c>
      <c r="D1023" s="13" t="s">
        <v>279</v>
      </c>
      <c r="E1023" s="16" t="n">
        <v>644.18</v>
      </c>
      <c r="F1023" s="7" t="n">
        <v>2</v>
      </c>
      <c r="G1023" s="5" t="n">
        <v>2600</v>
      </c>
    </row>
    <row r="1024" customFormat="false" ht="15" hidden="false" customHeight="false" outlineLevel="0" collapsed="false">
      <c r="A1024" s="13" t="s">
        <v>329</v>
      </c>
      <c r="B1024" s="13" t="s">
        <v>43</v>
      </c>
      <c r="C1024" s="13" t="s">
        <v>4</v>
      </c>
      <c r="D1024" s="13" t="s">
        <v>575</v>
      </c>
      <c r="E1024" s="16" t="n">
        <v>440.863333333333</v>
      </c>
      <c r="F1024" s="7" t="n">
        <v>5</v>
      </c>
      <c r="G1024" s="5" t="n">
        <v>2600</v>
      </c>
    </row>
    <row r="1025" customFormat="false" ht="15" hidden="false" customHeight="false" outlineLevel="0" collapsed="false">
      <c r="A1025" s="13" t="s">
        <v>42</v>
      </c>
      <c r="B1025" s="13" t="s">
        <v>43</v>
      </c>
      <c r="C1025" s="13" t="s">
        <v>4</v>
      </c>
      <c r="D1025" s="13" t="s">
        <v>776</v>
      </c>
      <c r="E1025" s="16" t="n">
        <v>647.66</v>
      </c>
      <c r="F1025" s="7" t="n">
        <v>2</v>
      </c>
      <c r="G1025" s="5" t="n">
        <v>2600</v>
      </c>
    </row>
    <row r="1026" customFormat="false" ht="15" hidden="false" customHeight="false" outlineLevel="0" collapsed="false">
      <c r="A1026" s="13" t="s">
        <v>50</v>
      </c>
      <c r="B1026" s="13" t="s">
        <v>43</v>
      </c>
      <c r="C1026" s="13" t="s">
        <v>4</v>
      </c>
      <c r="D1026" s="13" t="s">
        <v>777</v>
      </c>
      <c r="E1026" s="16" t="n">
        <v>234.454545454545</v>
      </c>
      <c r="F1026" s="7" t="n">
        <v>10</v>
      </c>
      <c r="G1026" s="5" t="n">
        <v>2600</v>
      </c>
    </row>
    <row r="1027" customFormat="false" ht="15" hidden="false" customHeight="false" outlineLevel="0" collapsed="false">
      <c r="A1027" s="13" t="s">
        <v>42</v>
      </c>
      <c r="B1027" s="13" t="s">
        <v>43</v>
      </c>
      <c r="C1027" s="13" t="s">
        <v>4</v>
      </c>
      <c r="D1027" s="13" t="s">
        <v>778</v>
      </c>
      <c r="E1027" s="16" t="n">
        <v>874.65</v>
      </c>
      <c r="F1027" s="7" t="n">
        <v>2</v>
      </c>
      <c r="G1027" s="5" t="n">
        <v>2600</v>
      </c>
    </row>
    <row r="1028" customFormat="false" ht="15" hidden="false" customHeight="false" outlineLevel="0" collapsed="false">
      <c r="A1028" s="13" t="s">
        <v>153</v>
      </c>
      <c r="B1028" s="13" t="s">
        <v>43</v>
      </c>
      <c r="C1028" s="13" t="s">
        <v>4</v>
      </c>
      <c r="D1028" s="13" t="s">
        <v>779</v>
      </c>
      <c r="E1028" s="16" t="n">
        <v>655.17</v>
      </c>
      <c r="F1028" s="7" t="n">
        <v>2</v>
      </c>
      <c r="G1028" s="5" t="n">
        <v>2600</v>
      </c>
    </row>
    <row r="1029" customFormat="false" ht="15" hidden="false" customHeight="false" outlineLevel="0" collapsed="false">
      <c r="A1029" s="13" t="s">
        <v>45</v>
      </c>
      <c r="B1029" s="13" t="s">
        <v>43</v>
      </c>
      <c r="C1029" s="13" t="s">
        <v>5</v>
      </c>
      <c r="D1029" s="13" t="s">
        <v>780</v>
      </c>
      <c r="E1029" s="16" t="n">
        <v>877.57</v>
      </c>
      <c r="F1029" s="7" t="n">
        <v>2</v>
      </c>
      <c r="G1029" s="5" t="n">
        <v>2600</v>
      </c>
    </row>
    <row r="1030" customFormat="false" ht="15" hidden="false" customHeight="false" outlineLevel="0" collapsed="false">
      <c r="A1030" s="13" t="s">
        <v>50</v>
      </c>
      <c r="B1030" s="13" t="s">
        <v>43</v>
      </c>
      <c r="C1030" s="13" t="s">
        <v>5</v>
      </c>
      <c r="D1030" s="13" t="s">
        <v>294</v>
      </c>
      <c r="E1030" s="16" t="n">
        <v>658.03</v>
      </c>
      <c r="F1030" s="7" t="n">
        <v>2</v>
      </c>
      <c r="G1030" s="5" t="n">
        <v>2600</v>
      </c>
    </row>
    <row r="1031" customFormat="false" ht="15" hidden="false" customHeight="false" outlineLevel="0" collapsed="false">
      <c r="A1031" s="13" t="s">
        <v>79</v>
      </c>
      <c r="B1031" s="13" t="s">
        <v>43</v>
      </c>
      <c r="C1031" s="13" t="s">
        <v>5</v>
      </c>
      <c r="D1031" s="13" t="s">
        <v>781</v>
      </c>
      <c r="E1031" s="16" t="n">
        <v>656</v>
      </c>
      <c r="F1031" s="7" t="n">
        <v>2</v>
      </c>
      <c r="G1031" s="5" t="n">
        <v>2600</v>
      </c>
    </row>
    <row r="1032" customFormat="false" ht="15" hidden="false" customHeight="false" outlineLevel="0" collapsed="false">
      <c r="A1032" s="13" t="s">
        <v>107</v>
      </c>
      <c r="B1032" s="13" t="s">
        <v>43</v>
      </c>
      <c r="C1032" s="13" t="s">
        <v>5</v>
      </c>
      <c r="D1032" s="13" t="s">
        <v>782</v>
      </c>
      <c r="E1032" s="16" t="n">
        <v>231.981818181818</v>
      </c>
      <c r="F1032" s="7" t="n">
        <v>10</v>
      </c>
      <c r="G1032" s="5" t="n">
        <v>2600</v>
      </c>
    </row>
    <row r="1033" customFormat="false" ht="15" hidden="false" customHeight="false" outlineLevel="0" collapsed="false">
      <c r="A1033" s="13" t="s">
        <v>69</v>
      </c>
      <c r="B1033" s="13" t="s">
        <v>43</v>
      </c>
      <c r="C1033" s="13" t="s">
        <v>5</v>
      </c>
      <c r="D1033" s="13" t="s">
        <v>783</v>
      </c>
      <c r="E1033" s="16" t="n">
        <v>850.143333333333</v>
      </c>
      <c r="F1033" s="7" t="n">
        <v>2</v>
      </c>
      <c r="G1033" s="5" t="n">
        <v>2600</v>
      </c>
    </row>
    <row r="1034" customFormat="false" ht="15" hidden="false" customHeight="false" outlineLevel="0" collapsed="false">
      <c r="A1034" s="13" t="s">
        <v>69</v>
      </c>
      <c r="B1034" s="13" t="s">
        <v>43</v>
      </c>
      <c r="C1034" s="13" t="s">
        <v>5</v>
      </c>
      <c r="D1034" s="13" t="s">
        <v>347</v>
      </c>
      <c r="E1034" s="16" t="n">
        <v>524.13</v>
      </c>
      <c r="F1034" s="7" t="n">
        <v>5</v>
      </c>
      <c r="G1034" s="5" t="n">
        <v>2600</v>
      </c>
    </row>
    <row r="1035" customFormat="false" ht="15" hidden="false" customHeight="false" outlineLevel="0" collapsed="false">
      <c r="A1035" s="13" t="s">
        <v>61</v>
      </c>
      <c r="B1035" s="13" t="s">
        <v>43</v>
      </c>
      <c r="C1035" s="13" t="s">
        <v>5</v>
      </c>
      <c r="D1035" s="13" t="s">
        <v>784</v>
      </c>
      <c r="E1035" s="16" t="n">
        <v>860.44</v>
      </c>
      <c r="F1035" s="7" t="n">
        <v>2</v>
      </c>
      <c r="G1035" s="5" t="n">
        <v>2600</v>
      </c>
    </row>
    <row r="1036" customFormat="false" ht="15" hidden="false" customHeight="false" outlineLevel="0" collapsed="false">
      <c r="A1036" s="13" t="s">
        <v>50</v>
      </c>
      <c r="B1036" s="13" t="s">
        <v>43</v>
      </c>
      <c r="C1036" s="13" t="s">
        <v>5</v>
      </c>
      <c r="D1036" s="13" t="s">
        <v>785</v>
      </c>
      <c r="E1036" s="16" t="n">
        <v>646.615</v>
      </c>
      <c r="F1036" s="7" t="n">
        <v>2</v>
      </c>
      <c r="G1036" s="5" t="n">
        <v>2600</v>
      </c>
    </row>
    <row r="1037" customFormat="false" ht="15" hidden="false" customHeight="false" outlineLevel="0" collapsed="false">
      <c r="A1037" s="13" t="s">
        <v>103</v>
      </c>
      <c r="B1037" s="13" t="s">
        <v>43</v>
      </c>
      <c r="C1037" s="13" t="s">
        <v>5</v>
      </c>
      <c r="D1037" s="13" t="s">
        <v>786</v>
      </c>
      <c r="E1037" s="16" t="n">
        <v>215.998333333333</v>
      </c>
      <c r="F1037" s="7" t="n">
        <v>10</v>
      </c>
      <c r="G1037" s="5" t="n">
        <v>2600</v>
      </c>
    </row>
    <row r="1038" customFormat="false" ht="15" hidden="false" customHeight="false" outlineLevel="0" collapsed="false">
      <c r="A1038" s="13" t="s">
        <v>50</v>
      </c>
      <c r="B1038" s="13" t="s">
        <v>43</v>
      </c>
      <c r="C1038" s="13" t="s">
        <v>5</v>
      </c>
      <c r="D1038" s="13" t="s">
        <v>51</v>
      </c>
      <c r="E1038" s="16" t="n">
        <v>519.386</v>
      </c>
      <c r="F1038" s="7" t="n">
        <v>5</v>
      </c>
      <c r="G1038" s="5" t="n">
        <v>2600</v>
      </c>
    </row>
    <row r="1039" customFormat="false" ht="15" hidden="false" customHeight="false" outlineLevel="0" collapsed="false">
      <c r="A1039" s="13" t="s">
        <v>195</v>
      </c>
      <c r="B1039" s="13" t="s">
        <v>43</v>
      </c>
      <c r="C1039" s="13" t="s">
        <v>3</v>
      </c>
      <c r="D1039" s="13" t="s">
        <v>787</v>
      </c>
      <c r="E1039" s="16" t="n">
        <v>639</v>
      </c>
      <c r="F1039" s="7" t="n">
        <v>2</v>
      </c>
      <c r="G1039" s="5" t="n">
        <v>2600</v>
      </c>
    </row>
    <row r="1040" customFormat="false" ht="15" hidden="false" customHeight="false" outlineLevel="0" collapsed="false">
      <c r="A1040" s="13" t="s">
        <v>165</v>
      </c>
      <c r="B1040" s="13" t="s">
        <v>43</v>
      </c>
      <c r="C1040" s="13" t="s">
        <v>3</v>
      </c>
      <c r="D1040" s="13" t="s">
        <v>788</v>
      </c>
      <c r="E1040" s="16" t="n">
        <v>378.411428571429</v>
      </c>
      <c r="F1040" s="7" t="n">
        <v>5</v>
      </c>
      <c r="G1040" s="5" t="n">
        <v>2600</v>
      </c>
    </row>
    <row r="1041" customFormat="false" ht="15" hidden="false" customHeight="false" outlineLevel="0" collapsed="false">
      <c r="A1041" s="13" t="s">
        <v>124</v>
      </c>
      <c r="B1041" s="13" t="s">
        <v>43</v>
      </c>
      <c r="C1041" s="13" t="s">
        <v>5</v>
      </c>
      <c r="D1041" s="13" t="s">
        <v>789</v>
      </c>
      <c r="E1041" s="16" t="n">
        <v>851.54</v>
      </c>
      <c r="F1041" s="7" t="n">
        <v>2</v>
      </c>
      <c r="G1041" s="5" t="n">
        <v>2600</v>
      </c>
    </row>
    <row r="1042" customFormat="false" ht="15" hidden="false" customHeight="false" outlineLevel="0" collapsed="false">
      <c r="A1042" s="13" t="s">
        <v>195</v>
      </c>
      <c r="B1042" s="13" t="s">
        <v>43</v>
      </c>
      <c r="C1042" s="13" t="s">
        <v>5</v>
      </c>
      <c r="D1042" s="13" t="s">
        <v>790</v>
      </c>
      <c r="E1042" s="16" t="n">
        <v>659.58</v>
      </c>
      <c r="F1042" s="7" t="n">
        <v>2</v>
      </c>
      <c r="G1042" s="5" t="n">
        <v>2600</v>
      </c>
    </row>
    <row r="1043" customFormat="false" ht="15" hidden="false" customHeight="false" outlineLevel="0" collapsed="false">
      <c r="A1043" s="13" t="s">
        <v>107</v>
      </c>
      <c r="B1043" s="13" t="s">
        <v>43</v>
      </c>
      <c r="C1043" s="13" t="s">
        <v>5</v>
      </c>
      <c r="D1043" s="13" t="s">
        <v>791</v>
      </c>
      <c r="E1043" s="16" t="n">
        <v>202.643846153846</v>
      </c>
      <c r="F1043" s="7" t="n">
        <v>10</v>
      </c>
      <c r="G1043" s="5" t="n">
        <v>2600</v>
      </c>
    </row>
    <row r="1044" customFormat="false" ht="15" hidden="false" customHeight="false" outlineLevel="0" collapsed="false">
      <c r="A1044" s="13" t="s">
        <v>61</v>
      </c>
      <c r="B1044" s="13" t="s">
        <v>43</v>
      </c>
      <c r="C1044" s="13" t="s">
        <v>5</v>
      </c>
      <c r="D1044" s="13" t="s">
        <v>327</v>
      </c>
      <c r="E1044" s="16" t="n">
        <v>877.806666666667</v>
      </c>
      <c r="F1044" s="7" t="n">
        <v>2</v>
      </c>
      <c r="G1044" s="5" t="n">
        <v>2600</v>
      </c>
    </row>
    <row r="1045" customFormat="false" ht="15" hidden="false" customHeight="false" outlineLevel="0" collapsed="false">
      <c r="A1045" s="13" t="s">
        <v>42</v>
      </c>
      <c r="B1045" s="13" t="s">
        <v>43</v>
      </c>
      <c r="C1045" s="13" t="s">
        <v>5</v>
      </c>
      <c r="D1045" s="13" t="s">
        <v>44</v>
      </c>
      <c r="E1045" s="16" t="n">
        <v>834.676666666667</v>
      </c>
      <c r="F1045" s="7" t="n">
        <v>2</v>
      </c>
      <c r="G1045" s="5" t="n">
        <v>2500</v>
      </c>
    </row>
    <row r="1046" customFormat="false" ht="15" hidden="false" customHeight="false" outlineLevel="0" collapsed="false">
      <c r="A1046" s="13" t="s">
        <v>45</v>
      </c>
      <c r="B1046" s="13" t="s">
        <v>43</v>
      </c>
      <c r="C1046" s="13" t="s">
        <v>5</v>
      </c>
      <c r="D1046" s="13" t="s">
        <v>113</v>
      </c>
      <c r="E1046" s="16" t="n">
        <v>836</v>
      </c>
      <c r="F1046" s="7" t="n">
        <v>2</v>
      </c>
      <c r="G1046" s="5" t="n">
        <v>2500</v>
      </c>
    </row>
    <row r="1047" customFormat="false" ht="15" hidden="false" customHeight="false" outlineLevel="0" collapsed="false">
      <c r="A1047" s="13" t="s">
        <v>45</v>
      </c>
      <c r="B1047" s="13" t="s">
        <v>43</v>
      </c>
      <c r="C1047" s="13" t="s">
        <v>5</v>
      </c>
      <c r="D1047" s="13" t="s">
        <v>792</v>
      </c>
      <c r="E1047" s="16" t="n">
        <v>493.96</v>
      </c>
      <c r="F1047" s="7" t="n">
        <v>5</v>
      </c>
      <c r="G1047" s="5" t="n">
        <v>2500</v>
      </c>
    </row>
    <row r="1048" customFormat="false" ht="15" hidden="false" customHeight="false" outlineLevel="0" collapsed="false">
      <c r="A1048" s="13" t="s">
        <v>50</v>
      </c>
      <c r="B1048" s="13" t="s">
        <v>43</v>
      </c>
      <c r="C1048" s="13" t="s">
        <v>5</v>
      </c>
      <c r="D1048" s="13" t="s">
        <v>793</v>
      </c>
      <c r="E1048" s="16" t="n">
        <v>494.7</v>
      </c>
      <c r="F1048" s="7" t="n">
        <v>5</v>
      </c>
      <c r="G1048" s="5" t="n">
        <v>2500</v>
      </c>
    </row>
    <row r="1049" customFormat="false" ht="15" hidden="false" customHeight="false" outlineLevel="0" collapsed="false">
      <c r="A1049" s="13" t="s">
        <v>45</v>
      </c>
      <c r="B1049" s="13" t="s">
        <v>43</v>
      </c>
      <c r="C1049" s="13" t="s">
        <v>5</v>
      </c>
      <c r="D1049" s="13" t="s">
        <v>780</v>
      </c>
      <c r="E1049" s="16" t="n">
        <v>845.616666666667</v>
      </c>
      <c r="F1049" s="7" t="n">
        <v>2</v>
      </c>
      <c r="G1049" s="5" t="n">
        <v>2500</v>
      </c>
    </row>
    <row r="1050" customFormat="false" ht="15" hidden="false" customHeight="false" outlineLevel="0" collapsed="false">
      <c r="A1050" s="13" t="s">
        <v>315</v>
      </c>
      <c r="B1050" s="13" t="s">
        <v>43</v>
      </c>
      <c r="C1050" s="13" t="s">
        <v>5</v>
      </c>
      <c r="D1050" s="13" t="s">
        <v>316</v>
      </c>
      <c r="E1050" s="16" t="n">
        <v>421.04</v>
      </c>
      <c r="F1050" s="7" t="n">
        <v>5</v>
      </c>
      <c r="G1050" s="5" t="n">
        <v>2500</v>
      </c>
    </row>
    <row r="1051" customFormat="false" ht="15" hidden="false" customHeight="false" outlineLevel="0" collapsed="false">
      <c r="A1051" s="13" t="s">
        <v>54</v>
      </c>
      <c r="B1051" s="13" t="s">
        <v>43</v>
      </c>
      <c r="C1051" s="13" t="s">
        <v>5</v>
      </c>
      <c r="D1051" s="13" t="s">
        <v>55</v>
      </c>
      <c r="E1051" s="16" t="n">
        <v>314.765</v>
      </c>
      <c r="F1051" s="7" t="n">
        <v>5</v>
      </c>
      <c r="G1051" s="5" t="n">
        <v>2500</v>
      </c>
    </row>
    <row r="1052" customFormat="false" ht="15" hidden="false" customHeight="false" outlineLevel="0" collapsed="false">
      <c r="A1052" s="13" t="s">
        <v>124</v>
      </c>
      <c r="B1052" s="13" t="s">
        <v>43</v>
      </c>
      <c r="C1052" s="13" t="s">
        <v>5</v>
      </c>
      <c r="D1052" s="13" t="s">
        <v>794</v>
      </c>
      <c r="E1052" s="16" t="n">
        <v>628.805</v>
      </c>
      <c r="F1052" s="7" t="n">
        <v>2</v>
      </c>
      <c r="G1052" s="5" t="n">
        <v>2500</v>
      </c>
    </row>
    <row r="1053" customFormat="false" ht="15" hidden="false" customHeight="false" outlineLevel="0" collapsed="false">
      <c r="A1053" s="13" t="s">
        <v>193</v>
      </c>
      <c r="B1053" s="13" t="s">
        <v>43</v>
      </c>
      <c r="C1053" s="13" t="s">
        <v>5</v>
      </c>
      <c r="D1053" s="13" t="s">
        <v>199</v>
      </c>
      <c r="E1053" s="16" t="n">
        <v>1262.44</v>
      </c>
      <c r="F1053" s="7" t="n">
        <v>2</v>
      </c>
      <c r="G1053" s="5" t="n">
        <v>2500</v>
      </c>
    </row>
    <row r="1054" customFormat="false" ht="15" hidden="false" customHeight="false" outlineLevel="0" collapsed="false">
      <c r="A1054" s="13" t="s">
        <v>124</v>
      </c>
      <c r="B1054" s="13" t="s">
        <v>43</v>
      </c>
      <c r="C1054" s="13" t="s">
        <v>5</v>
      </c>
      <c r="D1054" s="13" t="s">
        <v>795</v>
      </c>
      <c r="E1054" s="16" t="n">
        <v>843.45</v>
      </c>
      <c r="F1054" s="7" t="n">
        <v>2</v>
      </c>
      <c r="G1054" s="5" t="n">
        <v>2500</v>
      </c>
    </row>
    <row r="1055" customFormat="false" ht="15" hidden="false" customHeight="false" outlineLevel="0" collapsed="false">
      <c r="A1055" s="13" t="s">
        <v>61</v>
      </c>
      <c r="B1055" s="13" t="s">
        <v>43</v>
      </c>
      <c r="C1055" s="13" t="s">
        <v>5</v>
      </c>
      <c r="D1055" s="13" t="s">
        <v>796</v>
      </c>
      <c r="E1055" s="16" t="n">
        <v>318.56875</v>
      </c>
      <c r="F1055" s="7" t="n">
        <v>5</v>
      </c>
      <c r="G1055" s="5" t="n">
        <v>2500</v>
      </c>
    </row>
    <row r="1056" customFormat="false" ht="15" hidden="false" customHeight="false" outlineLevel="0" collapsed="false">
      <c r="A1056" s="13" t="s">
        <v>315</v>
      </c>
      <c r="B1056" s="13" t="s">
        <v>43</v>
      </c>
      <c r="C1056" s="13" t="s">
        <v>5</v>
      </c>
      <c r="D1056" s="13" t="s">
        <v>797</v>
      </c>
      <c r="E1056" s="16" t="n">
        <v>281.271111111111</v>
      </c>
      <c r="F1056" s="7" t="n">
        <v>5</v>
      </c>
      <c r="G1056" s="5" t="n">
        <v>2500</v>
      </c>
    </row>
    <row r="1057" customFormat="false" ht="15" hidden="false" customHeight="false" outlineLevel="0" collapsed="false">
      <c r="A1057" s="13" t="s">
        <v>195</v>
      </c>
      <c r="B1057" s="13" t="s">
        <v>43</v>
      </c>
      <c r="C1057" s="13" t="s">
        <v>5</v>
      </c>
      <c r="D1057" s="13" t="s">
        <v>798</v>
      </c>
      <c r="E1057" s="16" t="n">
        <v>615.94</v>
      </c>
      <c r="F1057" s="7" t="n">
        <v>2</v>
      </c>
      <c r="G1057" s="5" t="n">
        <v>2500</v>
      </c>
    </row>
    <row r="1058" customFormat="false" ht="15" hidden="false" customHeight="false" outlineLevel="0" collapsed="false">
      <c r="A1058" s="13" t="s">
        <v>153</v>
      </c>
      <c r="B1058" s="13" t="s">
        <v>43</v>
      </c>
      <c r="C1058" s="13" t="s">
        <v>5</v>
      </c>
      <c r="D1058" s="13" t="s">
        <v>799</v>
      </c>
      <c r="E1058" s="16" t="n">
        <v>616.0475</v>
      </c>
      <c r="F1058" s="7" t="n">
        <v>2</v>
      </c>
      <c r="G1058" s="5" t="n">
        <v>2500</v>
      </c>
    </row>
    <row r="1059" customFormat="false" ht="15" hidden="false" customHeight="false" outlineLevel="0" collapsed="false">
      <c r="A1059" s="13" t="s">
        <v>61</v>
      </c>
      <c r="B1059" s="13" t="s">
        <v>43</v>
      </c>
      <c r="C1059" s="13" t="s">
        <v>5</v>
      </c>
      <c r="D1059" s="13" t="s">
        <v>800</v>
      </c>
      <c r="E1059" s="16" t="n">
        <v>829.99</v>
      </c>
      <c r="F1059" s="7" t="n">
        <v>2</v>
      </c>
      <c r="G1059" s="5" t="n">
        <v>2500</v>
      </c>
    </row>
    <row r="1060" customFormat="false" ht="15" hidden="false" customHeight="false" outlineLevel="0" collapsed="false">
      <c r="A1060" s="13" t="s">
        <v>50</v>
      </c>
      <c r="B1060" s="13" t="s">
        <v>43</v>
      </c>
      <c r="C1060" s="13" t="s">
        <v>5</v>
      </c>
      <c r="D1060" s="13" t="s">
        <v>272</v>
      </c>
      <c r="E1060" s="16" t="n">
        <v>500</v>
      </c>
      <c r="F1060" s="7" t="n">
        <v>5</v>
      </c>
      <c r="G1060" s="5" t="n">
        <v>2500</v>
      </c>
    </row>
    <row r="1061" customFormat="false" ht="15" hidden="false" customHeight="false" outlineLevel="0" collapsed="false">
      <c r="A1061" s="13" t="s">
        <v>177</v>
      </c>
      <c r="B1061" s="13" t="s">
        <v>43</v>
      </c>
      <c r="C1061" s="13" t="s">
        <v>4</v>
      </c>
      <c r="D1061" s="13" t="s">
        <v>801</v>
      </c>
      <c r="E1061" s="16" t="n">
        <v>831.5</v>
      </c>
      <c r="F1061" s="7" t="n">
        <v>2</v>
      </c>
      <c r="G1061" s="5" t="n">
        <v>2500</v>
      </c>
    </row>
    <row r="1062" customFormat="false" ht="15" hidden="false" customHeight="false" outlineLevel="0" collapsed="false">
      <c r="A1062" s="13" t="s">
        <v>45</v>
      </c>
      <c r="B1062" s="13" t="s">
        <v>43</v>
      </c>
      <c r="C1062" s="13" t="s">
        <v>4</v>
      </c>
      <c r="D1062" s="13" t="s">
        <v>802</v>
      </c>
      <c r="E1062" s="16" t="n">
        <v>845.39</v>
      </c>
      <c r="F1062" s="7" t="n">
        <v>2</v>
      </c>
      <c r="G1062" s="5" t="n">
        <v>2500</v>
      </c>
    </row>
    <row r="1063" customFormat="false" ht="15" hidden="false" customHeight="false" outlineLevel="0" collapsed="false">
      <c r="A1063" s="13" t="s">
        <v>50</v>
      </c>
      <c r="B1063" s="13" t="s">
        <v>43</v>
      </c>
      <c r="C1063" s="13" t="s">
        <v>4</v>
      </c>
      <c r="D1063" s="13" t="s">
        <v>699</v>
      </c>
      <c r="E1063" s="16" t="n">
        <v>827.08</v>
      </c>
      <c r="F1063" s="7" t="n">
        <v>2</v>
      </c>
      <c r="G1063" s="5" t="n">
        <v>2500</v>
      </c>
    </row>
    <row r="1064" customFormat="false" ht="15" hidden="false" customHeight="false" outlineLevel="0" collapsed="false">
      <c r="A1064" s="13" t="s">
        <v>45</v>
      </c>
      <c r="B1064" s="13" t="s">
        <v>43</v>
      </c>
      <c r="C1064" s="13" t="s">
        <v>4</v>
      </c>
      <c r="D1064" s="13" t="s">
        <v>803</v>
      </c>
      <c r="E1064" s="16" t="n">
        <v>844.153333333333</v>
      </c>
      <c r="F1064" s="7" t="n">
        <v>2</v>
      </c>
      <c r="G1064" s="5" t="n">
        <v>2500</v>
      </c>
    </row>
    <row r="1065" customFormat="false" ht="15" hidden="false" customHeight="false" outlineLevel="0" collapsed="false">
      <c r="A1065" s="13" t="s">
        <v>270</v>
      </c>
      <c r="B1065" s="13" t="s">
        <v>43</v>
      </c>
      <c r="C1065" s="13" t="s">
        <v>4</v>
      </c>
      <c r="D1065" s="13" t="s">
        <v>804</v>
      </c>
      <c r="E1065" s="16" t="n">
        <v>315.63375</v>
      </c>
      <c r="F1065" s="7" t="n">
        <v>5</v>
      </c>
      <c r="G1065" s="5" t="n">
        <v>2500</v>
      </c>
    </row>
    <row r="1066" customFormat="false" ht="15" hidden="false" customHeight="false" outlineLevel="0" collapsed="false">
      <c r="A1066" s="13" t="s">
        <v>179</v>
      </c>
      <c r="B1066" s="13" t="s">
        <v>85</v>
      </c>
      <c r="C1066" s="13" t="s">
        <v>3</v>
      </c>
      <c r="D1066" s="13" t="s">
        <v>805</v>
      </c>
      <c r="E1066" s="16" t="n">
        <v>279</v>
      </c>
      <c r="F1066" s="7" t="n">
        <v>5</v>
      </c>
      <c r="G1066" s="5" t="n">
        <v>2500</v>
      </c>
    </row>
    <row r="1067" customFormat="false" ht="15" hidden="false" customHeight="false" outlineLevel="0" collapsed="false">
      <c r="A1067" s="13" t="s">
        <v>315</v>
      </c>
      <c r="B1067" s="13" t="s">
        <v>43</v>
      </c>
      <c r="C1067" s="13" t="s">
        <v>5</v>
      </c>
      <c r="D1067" s="13" t="s">
        <v>806</v>
      </c>
      <c r="E1067" s="16" t="n">
        <v>817.32</v>
      </c>
      <c r="F1067" s="7" t="n">
        <v>2</v>
      </c>
      <c r="G1067" s="5" t="n">
        <v>2500</v>
      </c>
    </row>
    <row r="1068" customFormat="false" ht="15" hidden="false" customHeight="false" outlineLevel="0" collapsed="false">
      <c r="A1068" s="13" t="s">
        <v>72</v>
      </c>
      <c r="B1068" s="13" t="s">
        <v>43</v>
      </c>
      <c r="C1068" s="13" t="s">
        <v>5</v>
      </c>
      <c r="D1068" s="13" t="s">
        <v>807</v>
      </c>
      <c r="E1068" s="16" t="n">
        <v>613.715</v>
      </c>
      <c r="F1068" s="7" t="n">
        <v>2</v>
      </c>
      <c r="G1068" s="5" t="n">
        <v>2500</v>
      </c>
    </row>
    <row r="1069" customFormat="false" ht="15" hidden="false" customHeight="false" outlineLevel="0" collapsed="false">
      <c r="A1069" s="13" t="s">
        <v>50</v>
      </c>
      <c r="B1069" s="13" t="s">
        <v>43</v>
      </c>
      <c r="C1069" s="13" t="s">
        <v>5</v>
      </c>
      <c r="D1069" s="13" t="s">
        <v>785</v>
      </c>
      <c r="E1069" s="16" t="n">
        <v>826.936666666667</v>
      </c>
      <c r="F1069" s="7" t="n">
        <v>2</v>
      </c>
      <c r="G1069" s="5" t="n">
        <v>2500</v>
      </c>
    </row>
    <row r="1070" customFormat="false" ht="15" hidden="false" customHeight="false" outlineLevel="0" collapsed="false">
      <c r="A1070" s="13" t="s">
        <v>69</v>
      </c>
      <c r="B1070" s="13" t="s">
        <v>43</v>
      </c>
      <c r="C1070" s="13" t="s">
        <v>5</v>
      </c>
      <c r="D1070" s="13" t="s">
        <v>397</v>
      </c>
      <c r="E1070" s="16" t="n">
        <v>497.368</v>
      </c>
      <c r="F1070" s="7" t="n">
        <v>5</v>
      </c>
      <c r="G1070" s="5" t="n">
        <v>2500</v>
      </c>
    </row>
    <row r="1071" customFormat="false" ht="15" hidden="false" customHeight="false" outlineLevel="0" collapsed="false">
      <c r="A1071" s="13" t="s">
        <v>50</v>
      </c>
      <c r="B1071" s="13" t="s">
        <v>43</v>
      </c>
      <c r="C1071" s="13" t="s">
        <v>4</v>
      </c>
      <c r="D1071" s="13" t="s">
        <v>808</v>
      </c>
      <c r="E1071" s="16" t="n">
        <v>812.993333333333</v>
      </c>
      <c r="F1071" s="7" t="n">
        <v>2</v>
      </c>
      <c r="G1071" s="5" t="n">
        <v>2400</v>
      </c>
    </row>
    <row r="1072" customFormat="false" ht="15" hidden="false" customHeight="false" outlineLevel="0" collapsed="false">
      <c r="A1072" s="13" t="s">
        <v>335</v>
      </c>
      <c r="B1072" s="13" t="s">
        <v>43</v>
      </c>
      <c r="C1072" s="13" t="s">
        <v>3</v>
      </c>
      <c r="D1072" s="13" t="s">
        <v>809</v>
      </c>
      <c r="E1072" s="16" t="n">
        <v>162.512</v>
      </c>
      <c r="F1072" s="7" t="n">
        <v>20</v>
      </c>
      <c r="G1072" s="5" t="n">
        <v>2400</v>
      </c>
    </row>
    <row r="1073" customFormat="false" ht="15" hidden="false" customHeight="false" outlineLevel="0" collapsed="false">
      <c r="A1073" s="13" t="s">
        <v>79</v>
      </c>
      <c r="B1073" s="13" t="s">
        <v>43</v>
      </c>
      <c r="C1073" s="13" t="s">
        <v>3</v>
      </c>
      <c r="D1073" s="13" t="s">
        <v>266</v>
      </c>
      <c r="E1073" s="16" t="n">
        <v>604.705</v>
      </c>
      <c r="F1073" s="7" t="n">
        <v>2</v>
      </c>
      <c r="G1073" s="5" t="n">
        <v>2400</v>
      </c>
    </row>
    <row r="1074" customFormat="false" ht="15" hidden="false" customHeight="false" outlineLevel="0" collapsed="false">
      <c r="A1074" s="13" t="s">
        <v>42</v>
      </c>
      <c r="B1074" s="13" t="s">
        <v>43</v>
      </c>
      <c r="C1074" s="13" t="s">
        <v>4</v>
      </c>
      <c r="D1074" s="13" t="s">
        <v>810</v>
      </c>
      <c r="E1074" s="16" t="n">
        <v>244.82</v>
      </c>
      <c r="F1074" s="7" t="n">
        <v>5</v>
      </c>
      <c r="G1074" s="5" t="n">
        <v>2400</v>
      </c>
    </row>
    <row r="1075" customFormat="false" ht="15" hidden="false" customHeight="false" outlineLevel="0" collapsed="false">
      <c r="A1075" s="13" t="s">
        <v>87</v>
      </c>
      <c r="B1075" s="13" t="s">
        <v>66</v>
      </c>
      <c r="C1075" s="13" t="s">
        <v>3</v>
      </c>
      <c r="D1075" s="13" t="s">
        <v>811</v>
      </c>
      <c r="E1075" s="16" t="n">
        <v>151.495</v>
      </c>
      <c r="F1075" s="7" t="n">
        <v>20</v>
      </c>
      <c r="G1075" s="5" t="n">
        <v>2400</v>
      </c>
    </row>
    <row r="1076" customFormat="false" ht="15" hidden="false" customHeight="false" outlineLevel="0" collapsed="false">
      <c r="A1076" s="13" t="s">
        <v>50</v>
      </c>
      <c r="B1076" s="13" t="s">
        <v>43</v>
      </c>
      <c r="C1076" s="13" t="s">
        <v>5</v>
      </c>
      <c r="D1076" s="13" t="s">
        <v>294</v>
      </c>
      <c r="E1076" s="16" t="n">
        <v>786</v>
      </c>
      <c r="F1076" s="7" t="n">
        <v>2</v>
      </c>
      <c r="G1076" s="5" t="n">
        <v>2400</v>
      </c>
    </row>
    <row r="1077" customFormat="false" ht="15" hidden="false" customHeight="false" outlineLevel="0" collapsed="false">
      <c r="A1077" s="13" t="s">
        <v>124</v>
      </c>
      <c r="B1077" s="13" t="s">
        <v>43</v>
      </c>
      <c r="C1077" s="13" t="s">
        <v>5</v>
      </c>
      <c r="D1077" s="13" t="s">
        <v>455</v>
      </c>
      <c r="E1077" s="16" t="n">
        <v>402.933333333333</v>
      </c>
      <c r="F1077" s="7" t="n">
        <v>5</v>
      </c>
      <c r="G1077" s="5" t="n">
        <v>2400</v>
      </c>
    </row>
    <row r="1078" customFormat="false" ht="15" hidden="false" customHeight="false" outlineLevel="0" collapsed="false">
      <c r="A1078" s="13" t="s">
        <v>45</v>
      </c>
      <c r="B1078" s="13" t="s">
        <v>43</v>
      </c>
      <c r="C1078" s="13" t="s">
        <v>5</v>
      </c>
      <c r="D1078" s="13" t="s">
        <v>812</v>
      </c>
      <c r="E1078" s="16" t="n">
        <v>786</v>
      </c>
      <c r="F1078" s="7" t="n">
        <v>2</v>
      </c>
      <c r="G1078" s="5" t="n">
        <v>2400</v>
      </c>
    </row>
    <row r="1079" customFormat="false" ht="15" hidden="false" customHeight="false" outlineLevel="0" collapsed="false">
      <c r="A1079" s="13" t="s">
        <v>50</v>
      </c>
      <c r="B1079" s="13" t="s">
        <v>43</v>
      </c>
      <c r="C1079" s="13" t="s">
        <v>5</v>
      </c>
      <c r="D1079" s="13" t="s">
        <v>52</v>
      </c>
      <c r="E1079" s="16" t="n">
        <v>299.98</v>
      </c>
      <c r="F1079" s="7" t="n">
        <v>5</v>
      </c>
      <c r="G1079" s="5" t="n">
        <v>2400</v>
      </c>
    </row>
    <row r="1080" customFormat="false" ht="15" hidden="false" customHeight="false" outlineLevel="0" collapsed="false">
      <c r="A1080" s="13" t="s">
        <v>193</v>
      </c>
      <c r="B1080" s="13" t="s">
        <v>43</v>
      </c>
      <c r="C1080" s="13" t="s">
        <v>5</v>
      </c>
      <c r="D1080" s="13" t="s">
        <v>581</v>
      </c>
      <c r="E1080" s="16" t="n">
        <v>595.43</v>
      </c>
      <c r="F1080" s="7" t="n">
        <v>2</v>
      </c>
      <c r="G1080" s="5" t="n">
        <v>2400</v>
      </c>
    </row>
    <row r="1081" customFormat="false" ht="15" hidden="false" customHeight="false" outlineLevel="0" collapsed="false">
      <c r="A1081" s="13" t="s">
        <v>362</v>
      </c>
      <c r="B1081" s="13" t="s">
        <v>43</v>
      </c>
      <c r="C1081" s="13" t="s">
        <v>5</v>
      </c>
      <c r="D1081" s="13" t="s">
        <v>813</v>
      </c>
      <c r="E1081" s="16" t="n">
        <v>487.64</v>
      </c>
      <c r="F1081" s="7" t="n">
        <v>5</v>
      </c>
      <c r="G1081" s="5" t="n">
        <v>2400</v>
      </c>
    </row>
    <row r="1082" customFormat="false" ht="15" hidden="false" customHeight="false" outlineLevel="0" collapsed="false">
      <c r="A1082" s="13" t="s">
        <v>69</v>
      </c>
      <c r="B1082" s="13" t="s">
        <v>43</v>
      </c>
      <c r="C1082" s="13" t="s">
        <v>5</v>
      </c>
      <c r="D1082" s="13" t="s">
        <v>347</v>
      </c>
      <c r="E1082" s="16" t="n">
        <v>806.013333333333</v>
      </c>
      <c r="F1082" s="7" t="n">
        <v>2</v>
      </c>
      <c r="G1082" s="5" t="n">
        <v>2400</v>
      </c>
    </row>
    <row r="1083" customFormat="false" ht="15" hidden="false" customHeight="false" outlineLevel="0" collapsed="false">
      <c r="A1083" s="13" t="s">
        <v>50</v>
      </c>
      <c r="B1083" s="13" t="s">
        <v>43</v>
      </c>
      <c r="C1083" s="13" t="s">
        <v>4</v>
      </c>
      <c r="D1083" s="13" t="s">
        <v>814</v>
      </c>
      <c r="E1083" s="16" t="n">
        <v>783.493333333333</v>
      </c>
      <c r="F1083" s="7" t="n">
        <v>2</v>
      </c>
      <c r="G1083" s="5" t="n">
        <v>2400</v>
      </c>
    </row>
    <row r="1084" customFormat="false" ht="15" hidden="false" customHeight="false" outlineLevel="0" collapsed="false">
      <c r="A1084" s="13" t="s">
        <v>61</v>
      </c>
      <c r="B1084" s="13" t="s">
        <v>183</v>
      </c>
      <c r="C1084" s="13" t="s">
        <v>5</v>
      </c>
      <c r="D1084" s="13" t="s">
        <v>815</v>
      </c>
      <c r="E1084" s="16" t="n">
        <v>808.306666666667</v>
      </c>
      <c r="F1084" s="7" t="n">
        <v>2</v>
      </c>
      <c r="G1084" s="5" t="n">
        <v>2400</v>
      </c>
    </row>
    <row r="1085" customFormat="false" ht="15" hidden="false" customHeight="false" outlineLevel="0" collapsed="false">
      <c r="A1085" s="13" t="s">
        <v>50</v>
      </c>
      <c r="B1085" s="13" t="s">
        <v>43</v>
      </c>
      <c r="C1085" s="13" t="s">
        <v>5</v>
      </c>
      <c r="D1085" s="13" t="s">
        <v>272</v>
      </c>
      <c r="E1085" s="16" t="n">
        <v>474</v>
      </c>
      <c r="F1085" s="7" t="n">
        <v>5</v>
      </c>
      <c r="G1085" s="5" t="n">
        <v>2400</v>
      </c>
    </row>
    <row r="1086" customFormat="false" ht="15" hidden="false" customHeight="false" outlineLevel="0" collapsed="false">
      <c r="A1086" s="13" t="s">
        <v>42</v>
      </c>
      <c r="B1086" s="13" t="s">
        <v>43</v>
      </c>
      <c r="C1086" s="13" t="s">
        <v>5</v>
      </c>
      <c r="D1086" s="13" t="s">
        <v>816</v>
      </c>
      <c r="E1086" s="16" t="n">
        <v>236.08</v>
      </c>
      <c r="F1086" s="7" t="n">
        <v>5</v>
      </c>
      <c r="G1086" s="5" t="n">
        <v>2400</v>
      </c>
    </row>
    <row r="1087" customFormat="false" ht="15" hidden="false" customHeight="false" outlineLevel="0" collapsed="false">
      <c r="A1087" s="13" t="s">
        <v>50</v>
      </c>
      <c r="B1087" s="13" t="s">
        <v>43</v>
      </c>
      <c r="C1087" s="13" t="s">
        <v>4</v>
      </c>
      <c r="D1087" s="13" t="s">
        <v>817</v>
      </c>
      <c r="E1087" s="16" t="n">
        <v>783.51</v>
      </c>
      <c r="F1087" s="7" t="n">
        <v>2</v>
      </c>
      <c r="G1087" s="5" t="n">
        <v>2400</v>
      </c>
    </row>
    <row r="1088" customFormat="false" ht="15" hidden="false" customHeight="false" outlineLevel="0" collapsed="false">
      <c r="A1088" s="13" t="s">
        <v>50</v>
      </c>
      <c r="B1088" s="13" t="s">
        <v>43</v>
      </c>
      <c r="C1088" s="13" t="s">
        <v>4</v>
      </c>
      <c r="D1088" s="13" t="s">
        <v>818</v>
      </c>
      <c r="E1088" s="16" t="n">
        <v>471.752</v>
      </c>
      <c r="F1088" s="7" t="n">
        <v>5</v>
      </c>
      <c r="G1088" s="5" t="n">
        <v>2400</v>
      </c>
    </row>
    <row r="1089" customFormat="false" ht="15" hidden="false" customHeight="false" outlineLevel="0" collapsed="false">
      <c r="A1089" s="13" t="s">
        <v>42</v>
      </c>
      <c r="B1089" s="13" t="s">
        <v>183</v>
      </c>
      <c r="C1089" s="13" t="s">
        <v>4</v>
      </c>
      <c r="D1089" s="13" t="s">
        <v>819</v>
      </c>
      <c r="E1089" s="16" t="n">
        <v>590.73</v>
      </c>
      <c r="F1089" s="7" t="n">
        <v>2</v>
      </c>
      <c r="G1089" s="5" t="n">
        <v>2400</v>
      </c>
    </row>
    <row r="1090" customFormat="false" ht="15" hidden="false" customHeight="false" outlineLevel="0" collapsed="false">
      <c r="A1090" s="13" t="s">
        <v>175</v>
      </c>
      <c r="B1090" s="13" t="s">
        <v>98</v>
      </c>
      <c r="C1090" s="13" t="s">
        <v>3</v>
      </c>
      <c r="D1090" s="13" t="s">
        <v>820</v>
      </c>
      <c r="E1090" s="16" t="n">
        <v>406.99</v>
      </c>
      <c r="F1090" s="7" t="n">
        <v>5</v>
      </c>
      <c r="G1090" s="5" t="n">
        <v>2400</v>
      </c>
    </row>
    <row r="1091" customFormat="false" ht="15" hidden="false" customHeight="false" outlineLevel="0" collapsed="false">
      <c r="A1091" s="13" t="s">
        <v>50</v>
      </c>
      <c r="B1091" s="13" t="s">
        <v>43</v>
      </c>
      <c r="C1091" s="13" t="s">
        <v>4</v>
      </c>
      <c r="D1091" s="13" t="s">
        <v>821</v>
      </c>
      <c r="E1091" s="16" t="n">
        <v>474.05</v>
      </c>
      <c r="F1091" s="7" t="n">
        <v>5</v>
      </c>
      <c r="G1091" s="5" t="n">
        <v>2400</v>
      </c>
    </row>
    <row r="1092" customFormat="false" ht="15" hidden="false" customHeight="false" outlineLevel="0" collapsed="false">
      <c r="A1092" s="13" t="s">
        <v>45</v>
      </c>
      <c r="B1092" s="13" t="s">
        <v>43</v>
      </c>
      <c r="C1092" s="13" t="s">
        <v>4</v>
      </c>
      <c r="D1092" s="13" t="s">
        <v>508</v>
      </c>
      <c r="E1092" s="16" t="n">
        <v>593.78</v>
      </c>
      <c r="F1092" s="7" t="n">
        <v>2</v>
      </c>
      <c r="G1092" s="5" t="n">
        <v>2400</v>
      </c>
    </row>
    <row r="1093" customFormat="false" ht="15" hidden="false" customHeight="false" outlineLevel="0" collapsed="false">
      <c r="A1093" s="13" t="s">
        <v>45</v>
      </c>
      <c r="B1093" s="13" t="s">
        <v>43</v>
      </c>
      <c r="C1093" s="13" t="s">
        <v>4</v>
      </c>
      <c r="D1093" s="13" t="s">
        <v>822</v>
      </c>
      <c r="E1093" s="16" t="n">
        <v>594.575</v>
      </c>
      <c r="F1093" s="7" t="n">
        <v>2</v>
      </c>
      <c r="G1093" s="5" t="n">
        <v>2400</v>
      </c>
    </row>
    <row r="1094" customFormat="false" ht="15" hidden="false" customHeight="false" outlineLevel="0" collapsed="false">
      <c r="A1094" s="13" t="s">
        <v>45</v>
      </c>
      <c r="B1094" s="13" t="s">
        <v>43</v>
      </c>
      <c r="C1094" s="13" t="s">
        <v>4</v>
      </c>
      <c r="D1094" s="13" t="s">
        <v>119</v>
      </c>
      <c r="E1094" s="16" t="n">
        <v>789.65</v>
      </c>
      <c r="F1094" s="7" t="n">
        <v>2</v>
      </c>
      <c r="G1094" s="5" t="n">
        <v>2400</v>
      </c>
    </row>
    <row r="1095" customFormat="false" ht="15" hidden="false" customHeight="false" outlineLevel="0" collapsed="false">
      <c r="A1095" s="13" t="s">
        <v>42</v>
      </c>
      <c r="B1095" s="13" t="s">
        <v>43</v>
      </c>
      <c r="C1095" s="13" t="s">
        <v>4</v>
      </c>
      <c r="D1095" s="13" t="s">
        <v>823</v>
      </c>
      <c r="E1095" s="16" t="n">
        <v>599.43</v>
      </c>
      <c r="F1095" s="7" t="n">
        <v>2</v>
      </c>
      <c r="G1095" s="5" t="n">
        <v>2400</v>
      </c>
    </row>
    <row r="1096" customFormat="false" ht="15" hidden="false" customHeight="false" outlineLevel="0" collapsed="false">
      <c r="A1096" s="13" t="s">
        <v>42</v>
      </c>
      <c r="B1096" s="13" t="s">
        <v>43</v>
      </c>
      <c r="C1096" s="13" t="s">
        <v>4</v>
      </c>
      <c r="D1096" s="13" t="s">
        <v>824</v>
      </c>
      <c r="E1096" s="16" t="n">
        <v>607.18</v>
      </c>
      <c r="F1096" s="7" t="n">
        <v>2</v>
      </c>
      <c r="G1096" s="5" t="n">
        <v>2400</v>
      </c>
    </row>
    <row r="1097" customFormat="false" ht="15" hidden="false" customHeight="false" outlineLevel="0" collapsed="false">
      <c r="A1097" s="13" t="s">
        <v>45</v>
      </c>
      <c r="B1097" s="13" t="s">
        <v>43</v>
      </c>
      <c r="C1097" s="13" t="s">
        <v>4</v>
      </c>
      <c r="D1097" s="13" t="s">
        <v>825</v>
      </c>
      <c r="E1097" s="16" t="n">
        <v>809.216666666667</v>
      </c>
      <c r="F1097" s="7" t="n">
        <v>2</v>
      </c>
      <c r="G1097" s="5" t="n">
        <v>2400</v>
      </c>
    </row>
    <row r="1098" customFormat="false" ht="15" hidden="false" customHeight="false" outlineLevel="0" collapsed="false">
      <c r="A1098" s="13" t="s">
        <v>42</v>
      </c>
      <c r="B1098" s="13" t="s">
        <v>43</v>
      </c>
      <c r="C1098" s="13" t="s">
        <v>4</v>
      </c>
      <c r="D1098" s="13" t="s">
        <v>826</v>
      </c>
      <c r="E1098" s="16" t="n">
        <v>303.05</v>
      </c>
      <c r="F1098" s="7" t="n">
        <v>5</v>
      </c>
      <c r="G1098" s="5" t="n">
        <v>2400</v>
      </c>
    </row>
    <row r="1099" customFormat="false" ht="15" hidden="false" customHeight="false" outlineLevel="0" collapsed="false">
      <c r="A1099" s="13" t="s">
        <v>153</v>
      </c>
      <c r="B1099" s="13" t="s">
        <v>43</v>
      </c>
      <c r="C1099" s="13" t="s">
        <v>4</v>
      </c>
      <c r="D1099" s="13" t="s">
        <v>827</v>
      </c>
      <c r="E1099" s="16" t="n">
        <v>601.435</v>
      </c>
      <c r="F1099" s="7" t="n">
        <v>2</v>
      </c>
      <c r="G1099" s="5" t="n">
        <v>2400</v>
      </c>
    </row>
    <row r="1100" customFormat="false" ht="15" hidden="false" customHeight="false" outlineLevel="0" collapsed="false">
      <c r="A1100" s="13" t="s">
        <v>286</v>
      </c>
      <c r="B1100" s="13" t="s">
        <v>43</v>
      </c>
      <c r="C1100" s="13" t="s">
        <v>4</v>
      </c>
      <c r="D1100" s="13" t="s">
        <v>828</v>
      </c>
      <c r="E1100" s="16" t="n">
        <v>299.93125</v>
      </c>
      <c r="F1100" s="7" t="n">
        <v>5</v>
      </c>
      <c r="G1100" s="5" t="n">
        <v>2400</v>
      </c>
    </row>
    <row r="1101" customFormat="false" ht="15" hidden="false" customHeight="false" outlineLevel="0" collapsed="false">
      <c r="A1101" s="13" t="s">
        <v>45</v>
      </c>
      <c r="B1101" s="13" t="s">
        <v>43</v>
      </c>
      <c r="C1101" s="13" t="s">
        <v>4</v>
      </c>
      <c r="D1101" s="13" t="s">
        <v>113</v>
      </c>
      <c r="E1101" s="16" t="n">
        <v>483.12</v>
      </c>
      <c r="F1101" s="7" t="n">
        <v>5</v>
      </c>
      <c r="G1101" s="5" t="n">
        <v>2400</v>
      </c>
    </row>
    <row r="1102" customFormat="false" ht="15" hidden="false" customHeight="false" outlineLevel="0" collapsed="false">
      <c r="A1102" s="13" t="s">
        <v>179</v>
      </c>
      <c r="B1102" s="13" t="s">
        <v>85</v>
      </c>
      <c r="C1102" s="13" t="s">
        <v>3</v>
      </c>
      <c r="D1102" s="13" t="s">
        <v>829</v>
      </c>
      <c r="E1102" s="16" t="n">
        <v>129</v>
      </c>
      <c r="F1102" s="7" t="n">
        <v>20</v>
      </c>
      <c r="G1102" s="5" t="n">
        <v>2300</v>
      </c>
    </row>
    <row r="1103" customFormat="false" ht="15" hidden="false" customHeight="false" outlineLevel="0" collapsed="false">
      <c r="A1103" s="13" t="s">
        <v>74</v>
      </c>
      <c r="B1103" s="13" t="s">
        <v>43</v>
      </c>
      <c r="C1103" s="13" t="s">
        <v>4</v>
      </c>
      <c r="D1103" s="13" t="s">
        <v>830</v>
      </c>
      <c r="E1103" s="16" t="n">
        <v>292.275</v>
      </c>
      <c r="F1103" s="7" t="n">
        <v>5</v>
      </c>
      <c r="G1103" s="5" t="n">
        <v>2300</v>
      </c>
    </row>
    <row r="1104" customFormat="false" ht="15" hidden="false" customHeight="false" outlineLevel="0" collapsed="false">
      <c r="A1104" s="13" t="s">
        <v>105</v>
      </c>
      <c r="B1104" s="13" t="s">
        <v>43</v>
      </c>
      <c r="C1104" s="13" t="s">
        <v>4</v>
      </c>
      <c r="D1104" s="13" t="s">
        <v>831</v>
      </c>
      <c r="E1104" s="16" t="n">
        <v>584.26</v>
      </c>
      <c r="F1104" s="7" t="n">
        <v>2</v>
      </c>
      <c r="G1104" s="5" t="n">
        <v>2300</v>
      </c>
    </row>
    <row r="1105" customFormat="false" ht="15" hidden="false" customHeight="false" outlineLevel="0" collapsed="false">
      <c r="A1105" s="13" t="s">
        <v>42</v>
      </c>
      <c r="B1105" s="13" t="s">
        <v>43</v>
      </c>
      <c r="C1105" s="13" t="s">
        <v>4</v>
      </c>
      <c r="D1105" s="13" t="s">
        <v>351</v>
      </c>
      <c r="E1105" s="16" t="n">
        <v>582.03</v>
      </c>
      <c r="F1105" s="7" t="n">
        <v>2</v>
      </c>
      <c r="G1105" s="5" t="n">
        <v>2300</v>
      </c>
    </row>
    <row r="1106" customFormat="false" ht="15" hidden="false" customHeight="false" outlineLevel="0" collapsed="false">
      <c r="A1106" s="13" t="s">
        <v>50</v>
      </c>
      <c r="B1106" s="13" t="s">
        <v>43</v>
      </c>
      <c r="C1106" s="13" t="s">
        <v>4</v>
      </c>
      <c r="D1106" s="13" t="s">
        <v>71</v>
      </c>
      <c r="E1106" s="16" t="n">
        <v>771.54</v>
      </c>
      <c r="F1106" s="7" t="n">
        <v>2</v>
      </c>
      <c r="G1106" s="5" t="n">
        <v>2300</v>
      </c>
    </row>
    <row r="1107" customFormat="false" ht="15" hidden="false" customHeight="false" outlineLevel="0" collapsed="false">
      <c r="A1107" s="13" t="s">
        <v>92</v>
      </c>
      <c r="B1107" s="13" t="s">
        <v>43</v>
      </c>
      <c r="C1107" s="13" t="s">
        <v>4</v>
      </c>
      <c r="D1107" s="13" t="s">
        <v>720</v>
      </c>
      <c r="E1107" s="16" t="n">
        <v>753.856666666667</v>
      </c>
      <c r="F1107" s="7" t="n">
        <v>2</v>
      </c>
      <c r="G1107" s="5" t="n">
        <v>2300</v>
      </c>
    </row>
    <row r="1108" customFormat="false" ht="15" hidden="false" customHeight="false" outlineLevel="0" collapsed="false">
      <c r="A1108" s="13" t="s">
        <v>54</v>
      </c>
      <c r="B1108" s="13" t="s">
        <v>43</v>
      </c>
      <c r="C1108" s="13" t="s">
        <v>5</v>
      </c>
      <c r="D1108" s="13" t="s">
        <v>832</v>
      </c>
      <c r="E1108" s="16" t="n">
        <v>754.85</v>
      </c>
      <c r="F1108" s="7" t="n">
        <v>2</v>
      </c>
      <c r="G1108" s="5" t="n">
        <v>2300</v>
      </c>
    </row>
    <row r="1109" customFormat="false" ht="15" hidden="false" customHeight="false" outlineLevel="0" collapsed="false">
      <c r="A1109" s="13" t="s">
        <v>54</v>
      </c>
      <c r="B1109" s="13" t="s">
        <v>43</v>
      </c>
      <c r="C1109" s="13" t="s">
        <v>5</v>
      </c>
      <c r="D1109" s="13" t="s">
        <v>833</v>
      </c>
      <c r="E1109" s="16" t="n">
        <v>571.85</v>
      </c>
      <c r="F1109" s="7" t="n">
        <v>2</v>
      </c>
      <c r="G1109" s="5" t="n">
        <v>2300</v>
      </c>
    </row>
    <row r="1110" customFormat="false" ht="15" hidden="false" customHeight="false" outlineLevel="0" collapsed="false">
      <c r="A1110" s="13" t="s">
        <v>42</v>
      </c>
      <c r="B1110" s="13" t="s">
        <v>129</v>
      </c>
      <c r="C1110" s="13" t="s">
        <v>5</v>
      </c>
      <c r="D1110" s="13" t="s">
        <v>834</v>
      </c>
      <c r="E1110" s="16" t="n">
        <v>468.85</v>
      </c>
      <c r="F1110" s="7" t="n">
        <v>5</v>
      </c>
      <c r="G1110" s="5" t="n">
        <v>2300</v>
      </c>
    </row>
    <row r="1111" customFormat="false" ht="15" hidden="false" customHeight="false" outlineLevel="0" collapsed="false">
      <c r="A1111" s="13" t="s">
        <v>61</v>
      </c>
      <c r="B1111" s="13" t="s">
        <v>43</v>
      </c>
      <c r="C1111" s="13" t="s">
        <v>5</v>
      </c>
      <c r="D1111" s="13" t="s">
        <v>245</v>
      </c>
      <c r="E1111" s="16" t="n">
        <v>587.3075</v>
      </c>
      <c r="F1111" s="7" t="n">
        <v>2</v>
      </c>
      <c r="G1111" s="5" t="n">
        <v>2300</v>
      </c>
    </row>
    <row r="1112" customFormat="false" ht="15" hidden="false" customHeight="false" outlineLevel="0" collapsed="false">
      <c r="A1112" s="13" t="s">
        <v>42</v>
      </c>
      <c r="B1112" s="13" t="s">
        <v>43</v>
      </c>
      <c r="C1112" s="13" t="s">
        <v>5</v>
      </c>
      <c r="D1112" s="13" t="s">
        <v>835</v>
      </c>
      <c r="E1112" s="16" t="n">
        <v>769.556666666667</v>
      </c>
      <c r="F1112" s="7" t="n">
        <v>2</v>
      </c>
      <c r="G1112" s="5" t="n">
        <v>2300</v>
      </c>
    </row>
    <row r="1113" customFormat="false" ht="15" hidden="false" customHeight="false" outlineLevel="0" collapsed="false">
      <c r="A1113" s="13" t="s">
        <v>105</v>
      </c>
      <c r="B1113" s="13" t="s">
        <v>43</v>
      </c>
      <c r="C1113" s="13" t="s">
        <v>5</v>
      </c>
      <c r="D1113" s="13" t="s">
        <v>504</v>
      </c>
      <c r="E1113" s="16" t="n">
        <v>390.07</v>
      </c>
      <c r="F1113" s="7" t="n">
        <v>5</v>
      </c>
      <c r="G1113" s="5" t="n">
        <v>2300</v>
      </c>
    </row>
    <row r="1114" customFormat="false" ht="15" hidden="false" customHeight="false" outlineLevel="0" collapsed="false">
      <c r="A1114" s="13" t="s">
        <v>45</v>
      </c>
      <c r="B1114" s="13" t="s">
        <v>43</v>
      </c>
      <c r="C1114" s="13" t="s">
        <v>5</v>
      </c>
      <c r="D1114" s="13" t="s">
        <v>836</v>
      </c>
      <c r="E1114" s="16" t="n">
        <v>776.283333333333</v>
      </c>
      <c r="F1114" s="7" t="n">
        <v>2</v>
      </c>
      <c r="G1114" s="5" t="n">
        <v>2300</v>
      </c>
    </row>
    <row r="1115" customFormat="false" ht="15" hidden="false" customHeight="false" outlineLevel="0" collapsed="false">
      <c r="A1115" s="13" t="s">
        <v>50</v>
      </c>
      <c r="B1115" s="13" t="s">
        <v>43</v>
      </c>
      <c r="C1115" s="13" t="s">
        <v>5</v>
      </c>
      <c r="D1115" s="13" t="s">
        <v>837</v>
      </c>
      <c r="E1115" s="16" t="n">
        <v>774</v>
      </c>
      <c r="F1115" s="7" t="n">
        <v>2</v>
      </c>
      <c r="G1115" s="5" t="n">
        <v>2300</v>
      </c>
    </row>
    <row r="1116" customFormat="false" ht="15" hidden="false" customHeight="false" outlineLevel="0" collapsed="false">
      <c r="A1116" s="13" t="s">
        <v>42</v>
      </c>
      <c r="B1116" s="13" t="s">
        <v>43</v>
      </c>
      <c r="C1116" s="13" t="s">
        <v>4</v>
      </c>
      <c r="D1116" s="13" t="s">
        <v>737</v>
      </c>
      <c r="E1116" s="16" t="n">
        <v>764.15</v>
      </c>
      <c r="F1116" s="7" t="n">
        <v>2</v>
      </c>
      <c r="G1116" s="5" t="n">
        <v>2300</v>
      </c>
    </row>
    <row r="1117" customFormat="false" ht="15" hidden="false" customHeight="false" outlineLevel="0" collapsed="false">
      <c r="A1117" s="13" t="s">
        <v>42</v>
      </c>
      <c r="B1117" s="13" t="s">
        <v>43</v>
      </c>
      <c r="C1117" s="13" t="s">
        <v>4</v>
      </c>
      <c r="D1117" s="13" t="s">
        <v>838</v>
      </c>
      <c r="E1117" s="16" t="n">
        <v>587.16</v>
      </c>
      <c r="F1117" s="7" t="n">
        <v>2</v>
      </c>
      <c r="G1117" s="5" t="n">
        <v>2300</v>
      </c>
    </row>
    <row r="1118" customFormat="false" ht="15" hidden="false" customHeight="false" outlineLevel="0" collapsed="false">
      <c r="A1118" s="13" t="s">
        <v>42</v>
      </c>
      <c r="B1118" s="13" t="s">
        <v>43</v>
      </c>
      <c r="C1118" s="13" t="s">
        <v>4</v>
      </c>
      <c r="D1118" s="13" t="s">
        <v>444</v>
      </c>
      <c r="E1118" s="16" t="n">
        <v>585.695</v>
      </c>
      <c r="F1118" s="7" t="n">
        <v>2</v>
      </c>
      <c r="G1118" s="5" t="n">
        <v>2300</v>
      </c>
    </row>
    <row r="1119" customFormat="false" ht="15" hidden="false" customHeight="false" outlineLevel="0" collapsed="false">
      <c r="A1119" s="13" t="s">
        <v>177</v>
      </c>
      <c r="B1119" s="13" t="s">
        <v>43</v>
      </c>
      <c r="C1119" s="13" t="s">
        <v>5</v>
      </c>
      <c r="D1119" s="13" t="s">
        <v>839</v>
      </c>
      <c r="E1119" s="16" t="n">
        <v>755.613333333333</v>
      </c>
      <c r="F1119" s="7" t="n">
        <v>2</v>
      </c>
      <c r="G1119" s="5" t="n">
        <v>2300</v>
      </c>
    </row>
    <row r="1120" customFormat="false" ht="15" hidden="false" customHeight="false" outlineLevel="0" collapsed="false">
      <c r="A1120" s="13" t="s">
        <v>61</v>
      </c>
      <c r="B1120" s="13" t="s">
        <v>43</v>
      </c>
      <c r="C1120" s="13" t="s">
        <v>5</v>
      </c>
      <c r="D1120" s="13" t="s">
        <v>840</v>
      </c>
      <c r="E1120" s="16" t="n">
        <v>755.73</v>
      </c>
      <c r="F1120" s="7" t="n">
        <v>2</v>
      </c>
      <c r="G1120" s="5" t="n">
        <v>2300</v>
      </c>
    </row>
    <row r="1121" customFormat="false" ht="15" hidden="false" customHeight="false" outlineLevel="0" collapsed="false">
      <c r="A1121" s="13" t="s">
        <v>153</v>
      </c>
      <c r="B1121" s="13" t="s">
        <v>43</v>
      </c>
      <c r="C1121" s="13" t="s">
        <v>5</v>
      </c>
      <c r="D1121" s="13" t="s">
        <v>841</v>
      </c>
      <c r="E1121" s="16" t="n">
        <v>575.17</v>
      </c>
      <c r="F1121" s="7" t="n">
        <v>2</v>
      </c>
      <c r="G1121" s="5" t="n">
        <v>2300</v>
      </c>
    </row>
    <row r="1122" customFormat="false" ht="15" hidden="false" customHeight="false" outlineLevel="0" collapsed="false">
      <c r="A1122" s="13" t="s">
        <v>69</v>
      </c>
      <c r="B1122" s="13" t="s">
        <v>43</v>
      </c>
      <c r="C1122" s="13" t="s">
        <v>5</v>
      </c>
      <c r="D1122" s="13" t="s">
        <v>842</v>
      </c>
      <c r="E1122" s="16" t="n">
        <v>1149.24</v>
      </c>
      <c r="F1122" s="7" t="n">
        <v>2</v>
      </c>
      <c r="G1122" s="5" t="n">
        <v>2300</v>
      </c>
    </row>
    <row r="1123" customFormat="false" ht="15" hidden="false" customHeight="false" outlineLevel="0" collapsed="false">
      <c r="A1123" s="13" t="s">
        <v>177</v>
      </c>
      <c r="B1123" s="13" t="s">
        <v>43</v>
      </c>
      <c r="C1123" s="13" t="s">
        <v>4</v>
      </c>
      <c r="D1123" s="13" t="s">
        <v>843</v>
      </c>
      <c r="E1123" s="16" t="n">
        <v>755.84</v>
      </c>
      <c r="F1123" s="7" t="n">
        <v>2</v>
      </c>
      <c r="G1123" s="5" t="n">
        <v>2300</v>
      </c>
    </row>
    <row r="1124" customFormat="false" ht="15" hidden="false" customHeight="false" outlineLevel="0" collapsed="false">
      <c r="A1124" s="13" t="s">
        <v>42</v>
      </c>
      <c r="B1124" s="13" t="s">
        <v>43</v>
      </c>
      <c r="C1124" s="13" t="s">
        <v>4</v>
      </c>
      <c r="D1124" s="13" t="s">
        <v>601</v>
      </c>
      <c r="E1124" s="16" t="n">
        <v>225.104</v>
      </c>
      <c r="F1124" s="7" t="n">
        <v>5</v>
      </c>
      <c r="G1124" s="5" t="n">
        <v>2300</v>
      </c>
    </row>
    <row r="1125" customFormat="false" ht="15" hidden="false" customHeight="false" outlineLevel="0" collapsed="false">
      <c r="A1125" s="13" t="s">
        <v>186</v>
      </c>
      <c r="B1125" s="13" t="s">
        <v>43</v>
      </c>
      <c r="C1125" s="13" t="s">
        <v>4</v>
      </c>
      <c r="D1125" s="13" t="s">
        <v>844</v>
      </c>
      <c r="E1125" s="16" t="n">
        <v>781.08</v>
      </c>
      <c r="F1125" s="7" t="n">
        <v>2</v>
      </c>
      <c r="G1125" s="5" t="n">
        <v>2300</v>
      </c>
    </row>
    <row r="1126" customFormat="false" ht="15" hidden="false" customHeight="false" outlineLevel="0" collapsed="false">
      <c r="A1126" s="13" t="s">
        <v>153</v>
      </c>
      <c r="B1126" s="13" t="s">
        <v>43</v>
      </c>
      <c r="C1126" s="13" t="s">
        <v>5</v>
      </c>
      <c r="D1126" s="13" t="s">
        <v>845</v>
      </c>
      <c r="E1126" s="16" t="n">
        <v>285.84</v>
      </c>
      <c r="F1126" s="7" t="n">
        <v>5</v>
      </c>
      <c r="G1126" s="5" t="n">
        <v>2300</v>
      </c>
    </row>
    <row r="1127" customFormat="false" ht="15" hidden="false" customHeight="false" outlineLevel="0" collapsed="false">
      <c r="A1127" s="13" t="s">
        <v>179</v>
      </c>
      <c r="B1127" s="13" t="s">
        <v>85</v>
      </c>
      <c r="C1127" s="13" t="s">
        <v>3</v>
      </c>
      <c r="D1127" s="13" t="s">
        <v>846</v>
      </c>
      <c r="E1127" s="16" t="n">
        <v>389</v>
      </c>
      <c r="F1127" s="7" t="n">
        <v>5</v>
      </c>
      <c r="G1127" s="5" t="n">
        <v>2300</v>
      </c>
    </row>
    <row r="1128" customFormat="false" ht="15" hidden="false" customHeight="false" outlineLevel="0" collapsed="false">
      <c r="A1128" s="13" t="s">
        <v>42</v>
      </c>
      <c r="B1128" s="13" t="s">
        <v>43</v>
      </c>
      <c r="C1128" s="13" t="s">
        <v>5</v>
      </c>
      <c r="D1128" s="13" t="s">
        <v>847</v>
      </c>
      <c r="E1128" s="16" t="n">
        <v>771</v>
      </c>
      <c r="F1128" s="7" t="n">
        <v>2</v>
      </c>
      <c r="G1128" s="5" t="n">
        <v>2300</v>
      </c>
    </row>
    <row r="1129" customFormat="false" ht="15" hidden="false" customHeight="false" outlineLevel="0" collapsed="false">
      <c r="A1129" s="13" t="s">
        <v>630</v>
      </c>
      <c r="B1129" s="13" t="s">
        <v>43</v>
      </c>
      <c r="C1129" s="13" t="s">
        <v>5</v>
      </c>
      <c r="D1129" s="13" t="s">
        <v>848</v>
      </c>
      <c r="E1129" s="16" t="n">
        <v>145</v>
      </c>
      <c r="F1129" s="7" t="n">
        <v>20</v>
      </c>
      <c r="G1129" s="5" t="n">
        <v>2300</v>
      </c>
    </row>
    <row r="1130" customFormat="false" ht="15" hidden="false" customHeight="false" outlineLevel="0" collapsed="false">
      <c r="A1130" s="13" t="s">
        <v>177</v>
      </c>
      <c r="B1130" s="13" t="s">
        <v>43</v>
      </c>
      <c r="C1130" s="13" t="s">
        <v>5</v>
      </c>
      <c r="D1130" s="13" t="s">
        <v>849</v>
      </c>
      <c r="E1130" s="16" t="n">
        <v>773.1</v>
      </c>
      <c r="F1130" s="7" t="n">
        <v>2</v>
      </c>
      <c r="G1130" s="5" t="n">
        <v>2300</v>
      </c>
    </row>
    <row r="1131" customFormat="false" ht="15" hidden="false" customHeight="false" outlineLevel="0" collapsed="false">
      <c r="A1131" s="13" t="s">
        <v>153</v>
      </c>
      <c r="B1131" s="13" t="s">
        <v>43</v>
      </c>
      <c r="C1131" s="13" t="s">
        <v>4</v>
      </c>
      <c r="D1131" s="13" t="s">
        <v>850</v>
      </c>
      <c r="E1131" s="16" t="n">
        <v>573.68</v>
      </c>
      <c r="F1131" s="7" t="n">
        <v>2</v>
      </c>
      <c r="G1131" s="5" t="n">
        <v>2300</v>
      </c>
    </row>
    <row r="1132" customFormat="false" ht="15" hidden="false" customHeight="false" outlineLevel="0" collapsed="false">
      <c r="A1132" s="13" t="s">
        <v>50</v>
      </c>
      <c r="B1132" s="13" t="s">
        <v>43</v>
      </c>
      <c r="C1132" s="13" t="s">
        <v>4</v>
      </c>
      <c r="D1132" s="13" t="s">
        <v>750</v>
      </c>
      <c r="E1132" s="16" t="n">
        <v>765.47</v>
      </c>
      <c r="F1132" s="7" t="n">
        <v>2</v>
      </c>
      <c r="G1132" s="5" t="n">
        <v>2300</v>
      </c>
    </row>
    <row r="1133" customFormat="false" ht="15" hidden="false" customHeight="false" outlineLevel="0" collapsed="false">
      <c r="A1133" s="13" t="s">
        <v>124</v>
      </c>
      <c r="B1133" s="13" t="s">
        <v>43</v>
      </c>
      <c r="C1133" s="13" t="s">
        <v>5</v>
      </c>
      <c r="D1133" s="13" t="s">
        <v>851</v>
      </c>
      <c r="E1133" s="16" t="n">
        <v>468.51</v>
      </c>
      <c r="F1133" s="7" t="n">
        <v>5</v>
      </c>
      <c r="G1133" s="5" t="n">
        <v>2300</v>
      </c>
    </row>
    <row r="1134" customFormat="false" ht="15" hidden="false" customHeight="false" outlineLevel="0" collapsed="false">
      <c r="A1134" s="13" t="s">
        <v>50</v>
      </c>
      <c r="B1134" s="13" t="s">
        <v>43</v>
      </c>
      <c r="C1134" s="13" t="s">
        <v>4</v>
      </c>
      <c r="D1134" s="13" t="s">
        <v>852</v>
      </c>
      <c r="E1134" s="16" t="n">
        <v>767.99</v>
      </c>
      <c r="F1134" s="7" t="n">
        <v>2</v>
      </c>
      <c r="G1134" s="5" t="n">
        <v>2300</v>
      </c>
    </row>
    <row r="1135" customFormat="false" ht="15" hidden="false" customHeight="false" outlineLevel="0" collapsed="false">
      <c r="A1135" s="13" t="s">
        <v>42</v>
      </c>
      <c r="B1135" s="13" t="s">
        <v>43</v>
      </c>
      <c r="C1135" s="13" t="s">
        <v>5</v>
      </c>
      <c r="D1135" s="13" t="s">
        <v>206</v>
      </c>
      <c r="E1135" s="16" t="n">
        <v>733.053333333333</v>
      </c>
      <c r="F1135" s="7" t="n">
        <v>2</v>
      </c>
      <c r="G1135" s="5" t="n">
        <v>2200</v>
      </c>
    </row>
    <row r="1136" customFormat="false" ht="15" hidden="false" customHeight="false" outlineLevel="0" collapsed="false">
      <c r="A1136" s="13" t="s">
        <v>177</v>
      </c>
      <c r="B1136" s="13" t="s">
        <v>43</v>
      </c>
      <c r="C1136" s="13" t="s">
        <v>5</v>
      </c>
      <c r="D1136" s="13" t="s">
        <v>853</v>
      </c>
      <c r="E1136" s="16" t="n">
        <v>721</v>
      </c>
      <c r="F1136" s="7" t="n">
        <v>2</v>
      </c>
      <c r="G1136" s="5" t="n">
        <v>2200</v>
      </c>
    </row>
    <row r="1137" customFormat="false" ht="15" hidden="false" customHeight="false" outlineLevel="0" collapsed="false">
      <c r="A1137" s="13" t="s">
        <v>50</v>
      </c>
      <c r="B1137" s="13" t="s">
        <v>43</v>
      </c>
      <c r="C1137" s="13" t="s">
        <v>5</v>
      </c>
      <c r="D1137" s="13" t="s">
        <v>220</v>
      </c>
      <c r="E1137" s="16" t="n">
        <v>312</v>
      </c>
      <c r="F1137" s="7" t="n">
        <v>5</v>
      </c>
      <c r="G1137" s="5" t="n">
        <v>2200</v>
      </c>
    </row>
    <row r="1138" customFormat="false" ht="15" hidden="false" customHeight="false" outlineLevel="0" collapsed="false">
      <c r="A1138" s="13" t="s">
        <v>124</v>
      </c>
      <c r="B1138" s="13" t="s">
        <v>43</v>
      </c>
      <c r="C1138" s="13" t="s">
        <v>5</v>
      </c>
      <c r="D1138" s="13" t="s">
        <v>854</v>
      </c>
      <c r="E1138" s="16" t="n">
        <v>747.21</v>
      </c>
      <c r="F1138" s="7" t="n">
        <v>2</v>
      </c>
      <c r="G1138" s="5" t="n">
        <v>2200</v>
      </c>
    </row>
    <row r="1139" customFormat="false" ht="15" hidden="false" customHeight="false" outlineLevel="0" collapsed="false">
      <c r="A1139" s="13" t="s">
        <v>153</v>
      </c>
      <c r="B1139" s="13" t="s">
        <v>43</v>
      </c>
      <c r="C1139" s="13" t="s">
        <v>5</v>
      </c>
      <c r="D1139" s="13" t="s">
        <v>855</v>
      </c>
      <c r="E1139" s="16" t="n">
        <v>737.1</v>
      </c>
      <c r="F1139" s="7" t="n">
        <v>2</v>
      </c>
      <c r="G1139" s="5" t="n">
        <v>2200</v>
      </c>
    </row>
    <row r="1140" customFormat="false" ht="15" hidden="false" customHeight="false" outlineLevel="0" collapsed="false">
      <c r="A1140" s="13" t="s">
        <v>42</v>
      </c>
      <c r="B1140" s="13" t="s">
        <v>43</v>
      </c>
      <c r="C1140" s="13" t="s">
        <v>5</v>
      </c>
      <c r="D1140" s="13" t="s">
        <v>284</v>
      </c>
      <c r="E1140" s="16" t="n">
        <v>730.996666666667</v>
      </c>
      <c r="F1140" s="7" t="n">
        <v>2</v>
      </c>
      <c r="G1140" s="5" t="n">
        <v>2200</v>
      </c>
    </row>
    <row r="1141" customFormat="false" ht="15" hidden="false" customHeight="false" outlineLevel="0" collapsed="false">
      <c r="A1141" s="13" t="s">
        <v>42</v>
      </c>
      <c r="B1141" s="13" t="s">
        <v>43</v>
      </c>
      <c r="C1141" s="13" t="s">
        <v>4</v>
      </c>
      <c r="D1141" s="13" t="s">
        <v>856</v>
      </c>
      <c r="E1141" s="16" t="n">
        <v>748.87</v>
      </c>
      <c r="F1141" s="7" t="n">
        <v>2</v>
      </c>
      <c r="G1141" s="5" t="n">
        <v>2200</v>
      </c>
    </row>
    <row r="1142" customFormat="false" ht="15" hidden="false" customHeight="false" outlineLevel="0" collapsed="false">
      <c r="A1142" s="13" t="s">
        <v>42</v>
      </c>
      <c r="B1142" s="13" t="s">
        <v>129</v>
      </c>
      <c r="C1142" s="13" t="s">
        <v>5</v>
      </c>
      <c r="D1142" s="13" t="s">
        <v>857</v>
      </c>
      <c r="E1142" s="16" t="n">
        <v>728.85</v>
      </c>
      <c r="F1142" s="7" t="n">
        <v>2</v>
      </c>
      <c r="G1142" s="5" t="n">
        <v>2200</v>
      </c>
    </row>
    <row r="1143" customFormat="false" ht="15" hidden="false" customHeight="false" outlineLevel="0" collapsed="false">
      <c r="A1143" s="13" t="s">
        <v>42</v>
      </c>
      <c r="B1143" s="13" t="s">
        <v>43</v>
      </c>
      <c r="C1143" s="13" t="s">
        <v>5</v>
      </c>
      <c r="D1143" s="13" t="s">
        <v>858</v>
      </c>
      <c r="E1143" s="16" t="n">
        <v>547.09</v>
      </c>
      <c r="F1143" s="7" t="n">
        <v>2</v>
      </c>
      <c r="G1143" s="5" t="n">
        <v>2200</v>
      </c>
    </row>
    <row r="1144" customFormat="false" ht="15" hidden="false" customHeight="false" outlineLevel="0" collapsed="false">
      <c r="A1144" s="13" t="s">
        <v>490</v>
      </c>
      <c r="B1144" s="13" t="s">
        <v>43</v>
      </c>
      <c r="C1144" s="13" t="s">
        <v>5</v>
      </c>
      <c r="D1144" s="13" t="s">
        <v>859</v>
      </c>
      <c r="E1144" s="16" t="n">
        <v>369.726666666667</v>
      </c>
      <c r="F1144" s="7" t="n">
        <v>5</v>
      </c>
      <c r="G1144" s="5" t="n">
        <v>2200</v>
      </c>
    </row>
    <row r="1145" customFormat="false" ht="15" hidden="false" customHeight="false" outlineLevel="0" collapsed="false">
      <c r="A1145" s="13" t="s">
        <v>61</v>
      </c>
      <c r="B1145" s="13" t="s">
        <v>43</v>
      </c>
      <c r="C1145" s="13" t="s">
        <v>5</v>
      </c>
      <c r="D1145" s="13" t="s">
        <v>860</v>
      </c>
      <c r="E1145" s="16" t="n">
        <v>719.09</v>
      </c>
      <c r="F1145" s="7" t="n">
        <v>2</v>
      </c>
      <c r="G1145" s="5" t="n">
        <v>2200</v>
      </c>
    </row>
    <row r="1146" customFormat="false" ht="15" hidden="false" customHeight="false" outlineLevel="0" collapsed="false">
      <c r="A1146" s="13" t="s">
        <v>50</v>
      </c>
      <c r="B1146" s="13" t="s">
        <v>43</v>
      </c>
      <c r="C1146" s="13" t="s">
        <v>5</v>
      </c>
      <c r="D1146" s="13" t="s">
        <v>757</v>
      </c>
      <c r="E1146" s="16" t="n">
        <v>448.96</v>
      </c>
      <c r="F1146" s="7" t="n">
        <v>5</v>
      </c>
      <c r="G1146" s="5" t="n">
        <v>2200</v>
      </c>
    </row>
    <row r="1147" customFormat="false" ht="15" hidden="false" customHeight="false" outlineLevel="0" collapsed="false">
      <c r="A1147" s="13" t="s">
        <v>42</v>
      </c>
      <c r="B1147" s="13" t="s">
        <v>43</v>
      </c>
      <c r="C1147" s="13" t="s">
        <v>5</v>
      </c>
      <c r="D1147" s="13" t="s">
        <v>861</v>
      </c>
      <c r="E1147" s="16" t="n">
        <v>734.12</v>
      </c>
      <c r="F1147" s="7" t="n">
        <v>2</v>
      </c>
      <c r="G1147" s="5" t="n">
        <v>2200</v>
      </c>
    </row>
    <row r="1148" customFormat="false" ht="15" hidden="false" customHeight="false" outlineLevel="0" collapsed="false">
      <c r="A1148" s="13" t="s">
        <v>107</v>
      </c>
      <c r="B1148" s="13" t="s">
        <v>43</v>
      </c>
      <c r="C1148" s="13" t="s">
        <v>5</v>
      </c>
      <c r="D1148" s="13" t="s">
        <v>862</v>
      </c>
      <c r="E1148" s="16" t="n">
        <v>268.9</v>
      </c>
      <c r="F1148" s="7" t="n">
        <v>5</v>
      </c>
      <c r="G1148" s="5" t="n">
        <v>2200</v>
      </c>
    </row>
    <row r="1149" customFormat="false" ht="15" hidden="false" customHeight="false" outlineLevel="0" collapsed="false">
      <c r="A1149" s="13" t="s">
        <v>270</v>
      </c>
      <c r="B1149" s="13" t="s">
        <v>43</v>
      </c>
      <c r="C1149" s="13" t="s">
        <v>4</v>
      </c>
      <c r="D1149" s="13" t="s">
        <v>863</v>
      </c>
      <c r="E1149" s="16" t="n">
        <v>359.685</v>
      </c>
      <c r="F1149" s="7" t="n">
        <v>5</v>
      </c>
      <c r="G1149" s="5" t="n">
        <v>2200</v>
      </c>
    </row>
    <row r="1150" customFormat="false" ht="15" hidden="false" customHeight="false" outlineLevel="0" collapsed="false">
      <c r="A1150" s="13" t="s">
        <v>153</v>
      </c>
      <c r="B1150" s="13" t="s">
        <v>43</v>
      </c>
      <c r="C1150" s="13" t="s">
        <v>4</v>
      </c>
      <c r="D1150" s="13" t="s">
        <v>864</v>
      </c>
      <c r="E1150" s="16" t="n">
        <v>537.7425</v>
      </c>
      <c r="F1150" s="7" t="n">
        <v>2</v>
      </c>
      <c r="G1150" s="5" t="n">
        <v>2200</v>
      </c>
    </row>
    <row r="1151" customFormat="false" ht="15" hidden="false" customHeight="false" outlineLevel="0" collapsed="false">
      <c r="A1151" s="13" t="s">
        <v>135</v>
      </c>
      <c r="B1151" s="13" t="s">
        <v>129</v>
      </c>
      <c r="C1151" s="13" t="s">
        <v>3</v>
      </c>
      <c r="D1151" s="13" t="s">
        <v>865</v>
      </c>
      <c r="E1151" s="16" t="n">
        <v>309.99</v>
      </c>
      <c r="F1151" s="7" t="n">
        <v>5</v>
      </c>
      <c r="G1151" s="5" t="n">
        <v>2200</v>
      </c>
    </row>
    <row r="1152" customFormat="false" ht="15" hidden="false" customHeight="false" outlineLevel="0" collapsed="false">
      <c r="A1152" s="13" t="s">
        <v>79</v>
      </c>
      <c r="B1152" s="13" t="s">
        <v>43</v>
      </c>
      <c r="C1152" s="13" t="s">
        <v>3</v>
      </c>
      <c r="D1152" s="13" t="s">
        <v>866</v>
      </c>
      <c r="E1152" s="16" t="n">
        <v>725.406666666667</v>
      </c>
      <c r="F1152" s="7" t="n">
        <v>2</v>
      </c>
      <c r="G1152" s="5" t="n">
        <v>2200</v>
      </c>
    </row>
    <row r="1153" customFormat="false" ht="15" hidden="false" customHeight="false" outlineLevel="0" collapsed="false">
      <c r="A1153" s="13" t="s">
        <v>179</v>
      </c>
      <c r="B1153" s="13" t="s">
        <v>180</v>
      </c>
      <c r="C1153" s="13" t="s">
        <v>3</v>
      </c>
      <c r="D1153" s="13" t="s">
        <v>867</v>
      </c>
      <c r="E1153" s="16" t="n">
        <v>139</v>
      </c>
      <c r="F1153" s="7" t="n">
        <v>20</v>
      </c>
      <c r="G1153" s="5" t="n">
        <v>2200</v>
      </c>
    </row>
    <row r="1154" customFormat="false" ht="15" hidden="false" customHeight="false" outlineLevel="0" collapsed="false">
      <c r="A1154" s="13" t="s">
        <v>65</v>
      </c>
      <c r="B1154" s="13" t="s">
        <v>85</v>
      </c>
      <c r="C1154" s="13" t="s">
        <v>3</v>
      </c>
      <c r="D1154" s="13" t="s">
        <v>868</v>
      </c>
      <c r="E1154" s="16" t="n">
        <v>433.56</v>
      </c>
      <c r="F1154" s="7" t="n">
        <v>5</v>
      </c>
      <c r="G1154" s="5" t="n">
        <v>2200</v>
      </c>
    </row>
    <row r="1155" customFormat="false" ht="15" hidden="false" customHeight="false" outlineLevel="0" collapsed="false">
      <c r="A1155" s="13" t="s">
        <v>312</v>
      </c>
      <c r="B1155" s="13" t="s">
        <v>43</v>
      </c>
      <c r="C1155" s="13" t="s">
        <v>3</v>
      </c>
      <c r="D1155" s="13" t="s">
        <v>869</v>
      </c>
      <c r="E1155" s="16" t="n">
        <v>155.67</v>
      </c>
      <c r="F1155" s="7" t="n">
        <v>10</v>
      </c>
      <c r="G1155" s="5" t="n">
        <v>2200</v>
      </c>
    </row>
    <row r="1156" customFormat="false" ht="15" hidden="false" customHeight="false" outlineLevel="0" collapsed="false">
      <c r="A1156" s="13" t="s">
        <v>45</v>
      </c>
      <c r="B1156" s="13" t="s">
        <v>43</v>
      </c>
      <c r="C1156" s="13" t="s">
        <v>4</v>
      </c>
      <c r="D1156" s="13" t="s">
        <v>870</v>
      </c>
      <c r="E1156" s="16" t="n">
        <v>721.65</v>
      </c>
      <c r="F1156" s="7" t="n">
        <v>2</v>
      </c>
      <c r="G1156" s="5" t="n">
        <v>2200</v>
      </c>
    </row>
    <row r="1157" customFormat="false" ht="15" hidden="false" customHeight="false" outlineLevel="0" collapsed="false">
      <c r="A1157" s="13" t="s">
        <v>186</v>
      </c>
      <c r="B1157" s="13" t="s">
        <v>43</v>
      </c>
      <c r="C1157" s="13" t="s">
        <v>4</v>
      </c>
      <c r="D1157" s="13" t="s">
        <v>871</v>
      </c>
      <c r="E1157" s="16" t="n">
        <v>436.424</v>
      </c>
      <c r="F1157" s="7" t="n">
        <v>5</v>
      </c>
      <c r="G1157" s="5" t="n">
        <v>2200</v>
      </c>
    </row>
    <row r="1158" customFormat="false" ht="15" hidden="false" customHeight="false" outlineLevel="0" collapsed="false">
      <c r="A1158" s="13" t="s">
        <v>42</v>
      </c>
      <c r="B1158" s="13" t="s">
        <v>43</v>
      </c>
      <c r="C1158" s="13" t="s">
        <v>4</v>
      </c>
      <c r="D1158" s="13" t="s">
        <v>306</v>
      </c>
      <c r="E1158" s="16" t="n">
        <v>244.683333333333</v>
      </c>
      <c r="F1158" s="7" t="n">
        <v>5</v>
      </c>
      <c r="G1158" s="5" t="n">
        <v>2200</v>
      </c>
    </row>
    <row r="1159" customFormat="false" ht="15" hidden="false" customHeight="false" outlineLevel="0" collapsed="false">
      <c r="A1159" s="13" t="s">
        <v>103</v>
      </c>
      <c r="B1159" s="13" t="s">
        <v>43</v>
      </c>
      <c r="C1159" s="13" t="s">
        <v>5</v>
      </c>
      <c r="D1159" s="13" t="s">
        <v>786</v>
      </c>
      <c r="E1159" s="16" t="n">
        <v>215.9</v>
      </c>
      <c r="F1159" s="7" t="n">
        <v>5</v>
      </c>
      <c r="G1159" s="5" t="n">
        <v>2200</v>
      </c>
    </row>
    <row r="1160" customFormat="false" ht="15" hidden="false" customHeight="false" outlineLevel="0" collapsed="false">
      <c r="A1160" s="13" t="s">
        <v>45</v>
      </c>
      <c r="B1160" s="13" t="s">
        <v>43</v>
      </c>
      <c r="C1160" s="13" t="s">
        <v>5</v>
      </c>
      <c r="D1160" s="13" t="s">
        <v>872</v>
      </c>
      <c r="E1160" s="16" t="n">
        <v>749.27</v>
      </c>
      <c r="F1160" s="7" t="n">
        <v>2</v>
      </c>
      <c r="G1160" s="5" t="n">
        <v>2200</v>
      </c>
    </row>
    <row r="1161" customFormat="false" ht="15" hidden="false" customHeight="false" outlineLevel="0" collapsed="false">
      <c r="A1161" s="13" t="s">
        <v>42</v>
      </c>
      <c r="B1161" s="13" t="s">
        <v>43</v>
      </c>
      <c r="C1161" s="13" t="s">
        <v>5</v>
      </c>
      <c r="D1161" s="13" t="s">
        <v>873</v>
      </c>
      <c r="E1161" s="16" t="n">
        <v>184.14</v>
      </c>
      <c r="F1161" s="7" t="n">
        <v>10</v>
      </c>
      <c r="G1161" s="5" t="n">
        <v>2200</v>
      </c>
    </row>
    <row r="1162" customFormat="false" ht="15" hidden="false" customHeight="false" outlineLevel="0" collapsed="false">
      <c r="A1162" s="13" t="s">
        <v>61</v>
      </c>
      <c r="B1162" s="13" t="s">
        <v>43</v>
      </c>
      <c r="C1162" s="13" t="s">
        <v>5</v>
      </c>
      <c r="D1162" s="13" t="s">
        <v>629</v>
      </c>
      <c r="E1162" s="16" t="n">
        <v>245.471111111111</v>
      </c>
      <c r="F1162" s="7" t="n">
        <v>5</v>
      </c>
      <c r="G1162" s="5" t="n">
        <v>2200</v>
      </c>
    </row>
    <row r="1163" customFormat="false" ht="15" hidden="false" customHeight="false" outlineLevel="0" collapsed="false">
      <c r="A1163" s="13" t="s">
        <v>362</v>
      </c>
      <c r="B1163" s="13" t="s">
        <v>43</v>
      </c>
      <c r="C1163" s="13" t="s">
        <v>5</v>
      </c>
      <c r="D1163" s="13" t="s">
        <v>704</v>
      </c>
      <c r="E1163" s="16" t="n">
        <v>539</v>
      </c>
      <c r="F1163" s="7" t="n">
        <v>2</v>
      </c>
      <c r="G1163" s="5" t="n">
        <v>2200</v>
      </c>
    </row>
    <row r="1164" customFormat="false" ht="15" hidden="false" customHeight="false" outlineLevel="0" collapsed="false">
      <c r="A1164" s="13" t="s">
        <v>69</v>
      </c>
      <c r="B1164" s="13" t="s">
        <v>43</v>
      </c>
      <c r="C1164" s="13" t="s">
        <v>5</v>
      </c>
      <c r="D1164" s="13" t="s">
        <v>874</v>
      </c>
      <c r="E1164" s="16" t="n">
        <v>725</v>
      </c>
      <c r="F1164" s="7" t="n">
        <v>2</v>
      </c>
      <c r="G1164" s="5" t="n">
        <v>2200</v>
      </c>
    </row>
    <row r="1165" customFormat="false" ht="15" hidden="false" customHeight="false" outlineLevel="0" collapsed="false">
      <c r="A1165" s="13" t="s">
        <v>50</v>
      </c>
      <c r="B1165" s="13" t="s">
        <v>43</v>
      </c>
      <c r="C1165" s="13" t="s">
        <v>5</v>
      </c>
      <c r="D1165" s="13" t="s">
        <v>875</v>
      </c>
      <c r="E1165" s="16" t="n">
        <v>1051.96</v>
      </c>
      <c r="F1165" s="7" t="n">
        <v>2</v>
      </c>
      <c r="G1165" s="5" t="n">
        <v>2100</v>
      </c>
    </row>
    <row r="1166" customFormat="false" ht="15" hidden="false" customHeight="false" outlineLevel="0" collapsed="false">
      <c r="A1166" s="13" t="s">
        <v>69</v>
      </c>
      <c r="B1166" s="13" t="s">
        <v>43</v>
      </c>
      <c r="C1166" s="13" t="s">
        <v>5</v>
      </c>
      <c r="D1166" s="13" t="s">
        <v>876</v>
      </c>
      <c r="E1166" s="16" t="n">
        <v>700</v>
      </c>
      <c r="F1166" s="7" t="n">
        <v>2</v>
      </c>
      <c r="G1166" s="5" t="n">
        <v>2100</v>
      </c>
    </row>
    <row r="1167" customFormat="false" ht="15" hidden="false" customHeight="false" outlineLevel="0" collapsed="false">
      <c r="A1167" s="13" t="s">
        <v>50</v>
      </c>
      <c r="B1167" s="13" t="s">
        <v>43</v>
      </c>
      <c r="C1167" s="13" t="s">
        <v>4</v>
      </c>
      <c r="D1167" s="13" t="s">
        <v>877</v>
      </c>
      <c r="E1167" s="16" t="n">
        <v>706.883333333333</v>
      </c>
      <c r="F1167" s="7" t="n">
        <v>2</v>
      </c>
      <c r="G1167" s="5" t="n">
        <v>2100</v>
      </c>
    </row>
    <row r="1168" customFormat="false" ht="15" hidden="false" customHeight="false" outlineLevel="0" collapsed="false">
      <c r="A1168" s="13" t="s">
        <v>177</v>
      </c>
      <c r="B1168" s="13" t="s">
        <v>43</v>
      </c>
      <c r="C1168" s="13" t="s">
        <v>4</v>
      </c>
      <c r="D1168" s="13" t="s">
        <v>878</v>
      </c>
      <c r="E1168" s="16" t="n">
        <v>707.39</v>
      </c>
      <c r="F1168" s="7" t="n">
        <v>2</v>
      </c>
      <c r="G1168" s="5" t="n">
        <v>2100</v>
      </c>
    </row>
    <row r="1169" customFormat="false" ht="15" hidden="false" customHeight="false" outlineLevel="0" collapsed="false">
      <c r="A1169" s="13" t="s">
        <v>341</v>
      </c>
      <c r="B1169" s="13" t="s">
        <v>43</v>
      </c>
      <c r="C1169" s="13" t="s">
        <v>4</v>
      </c>
      <c r="D1169" s="13" t="s">
        <v>879</v>
      </c>
      <c r="E1169" s="16" t="n">
        <v>532.35</v>
      </c>
      <c r="F1169" s="7" t="n">
        <v>2</v>
      </c>
      <c r="G1169" s="5" t="n">
        <v>2100</v>
      </c>
    </row>
    <row r="1170" customFormat="false" ht="15" hidden="false" customHeight="false" outlineLevel="0" collapsed="false">
      <c r="A1170" s="13" t="s">
        <v>103</v>
      </c>
      <c r="B1170" s="13" t="s">
        <v>43</v>
      </c>
      <c r="C1170" s="13" t="s">
        <v>5</v>
      </c>
      <c r="D1170" s="13" t="s">
        <v>880</v>
      </c>
      <c r="E1170" s="16" t="n">
        <v>232.65</v>
      </c>
      <c r="F1170" s="7" t="n">
        <v>5</v>
      </c>
      <c r="G1170" s="5" t="n">
        <v>2100</v>
      </c>
    </row>
    <row r="1171" customFormat="false" ht="15" hidden="false" customHeight="false" outlineLevel="0" collapsed="false">
      <c r="A1171" s="13" t="s">
        <v>61</v>
      </c>
      <c r="B1171" s="13" t="s">
        <v>43</v>
      </c>
      <c r="C1171" s="13" t="s">
        <v>5</v>
      </c>
      <c r="D1171" s="13" t="s">
        <v>212</v>
      </c>
      <c r="E1171" s="16" t="n">
        <v>698.61</v>
      </c>
      <c r="F1171" s="7" t="n">
        <v>2</v>
      </c>
      <c r="G1171" s="5" t="n">
        <v>2100</v>
      </c>
    </row>
    <row r="1172" customFormat="false" ht="15" hidden="false" customHeight="false" outlineLevel="0" collapsed="false">
      <c r="A1172" s="13" t="s">
        <v>45</v>
      </c>
      <c r="B1172" s="13" t="s">
        <v>43</v>
      </c>
      <c r="C1172" s="13" t="s">
        <v>5</v>
      </c>
      <c r="D1172" s="13" t="s">
        <v>881</v>
      </c>
      <c r="E1172" s="16" t="n">
        <v>1034.925</v>
      </c>
      <c r="F1172" s="7" t="n">
        <v>2</v>
      </c>
      <c r="G1172" s="5" t="n">
        <v>2100</v>
      </c>
    </row>
    <row r="1173" customFormat="false" ht="15" hidden="false" customHeight="false" outlineLevel="0" collapsed="false">
      <c r="A1173" s="13" t="s">
        <v>50</v>
      </c>
      <c r="B1173" s="13" t="s">
        <v>43</v>
      </c>
      <c r="C1173" s="13" t="s">
        <v>5</v>
      </c>
      <c r="D1173" s="13" t="s">
        <v>644</v>
      </c>
      <c r="E1173" s="16" t="n">
        <v>691.963333333333</v>
      </c>
      <c r="F1173" s="7" t="n">
        <v>2</v>
      </c>
      <c r="G1173" s="5" t="n">
        <v>2100</v>
      </c>
    </row>
    <row r="1174" customFormat="false" ht="15" hidden="false" customHeight="false" outlineLevel="0" collapsed="false">
      <c r="A1174" s="13" t="s">
        <v>107</v>
      </c>
      <c r="B1174" s="13" t="s">
        <v>183</v>
      </c>
      <c r="C1174" s="13" t="s">
        <v>5</v>
      </c>
      <c r="D1174" s="13" t="s">
        <v>882</v>
      </c>
      <c r="E1174" s="16" t="n">
        <v>259.125</v>
      </c>
      <c r="F1174" s="7" t="n">
        <v>5</v>
      </c>
      <c r="G1174" s="5" t="n">
        <v>2100</v>
      </c>
    </row>
    <row r="1175" customFormat="false" ht="15" hidden="false" customHeight="false" outlineLevel="0" collapsed="false">
      <c r="A1175" s="13" t="s">
        <v>186</v>
      </c>
      <c r="B1175" s="13" t="s">
        <v>43</v>
      </c>
      <c r="C1175" s="13" t="s">
        <v>3</v>
      </c>
      <c r="D1175" s="13" t="s">
        <v>883</v>
      </c>
      <c r="E1175" s="16" t="n">
        <v>229.287777777778</v>
      </c>
      <c r="F1175" s="7" t="n">
        <v>5</v>
      </c>
      <c r="G1175" s="5" t="n">
        <v>2100</v>
      </c>
    </row>
    <row r="1176" customFormat="false" ht="15" hidden="false" customHeight="false" outlineLevel="0" collapsed="false">
      <c r="A1176" s="13" t="s">
        <v>117</v>
      </c>
      <c r="B1176" s="13" t="s">
        <v>85</v>
      </c>
      <c r="C1176" s="13" t="s">
        <v>3</v>
      </c>
      <c r="D1176" s="13" t="s">
        <v>884</v>
      </c>
      <c r="E1176" s="16" t="n">
        <v>2086</v>
      </c>
      <c r="F1176" s="7" t="n">
        <v>1</v>
      </c>
      <c r="G1176" s="5" t="n">
        <v>2100</v>
      </c>
    </row>
    <row r="1177" customFormat="false" ht="15" hidden="false" customHeight="false" outlineLevel="0" collapsed="false">
      <c r="A1177" s="13" t="s">
        <v>191</v>
      </c>
      <c r="B1177" s="13" t="s">
        <v>183</v>
      </c>
      <c r="C1177" s="13" t="s">
        <v>3</v>
      </c>
      <c r="D1177" s="13" t="s">
        <v>885</v>
      </c>
      <c r="E1177" s="16" t="n">
        <v>140</v>
      </c>
      <c r="F1177" s="7" t="n">
        <v>20</v>
      </c>
      <c r="G1177" s="5" t="n">
        <v>2100</v>
      </c>
    </row>
    <row r="1178" customFormat="false" ht="15" hidden="false" customHeight="false" outlineLevel="0" collapsed="false">
      <c r="A1178" s="13" t="s">
        <v>54</v>
      </c>
      <c r="B1178" s="13" t="s">
        <v>43</v>
      </c>
      <c r="C1178" s="13" t="s">
        <v>5</v>
      </c>
      <c r="D1178" s="13" t="s">
        <v>886</v>
      </c>
      <c r="E1178" s="16" t="n">
        <v>350.85</v>
      </c>
      <c r="F1178" s="7" t="n">
        <v>5</v>
      </c>
      <c r="G1178" s="5" t="n">
        <v>2100</v>
      </c>
    </row>
    <row r="1179" customFormat="false" ht="15" hidden="false" customHeight="false" outlineLevel="0" collapsed="false">
      <c r="A1179" s="13" t="s">
        <v>61</v>
      </c>
      <c r="B1179" s="13" t="s">
        <v>43</v>
      </c>
      <c r="C1179" s="13" t="s">
        <v>5</v>
      </c>
      <c r="D1179" s="13" t="s">
        <v>887</v>
      </c>
      <c r="E1179" s="16" t="n">
        <v>537.38</v>
      </c>
      <c r="F1179" s="7" t="n">
        <v>2</v>
      </c>
      <c r="G1179" s="5" t="n">
        <v>2100</v>
      </c>
    </row>
    <row r="1180" customFormat="false" ht="15" hidden="false" customHeight="false" outlineLevel="0" collapsed="false">
      <c r="A1180" s="13" t="s">
        <v>45</v>
      </c>
      <c r="B1180" s="13" t="s">
        <v>43</v>
      </c>
      <c r="C1180" s="13" t="s">
        <v>5</v>
      </c>
      <c r="D1180" s="13" t="s">
        <v>888</v>
      </c>
      <c r="E1180" s="16" t="n">
        <v>710.97</v>
      </c>
      <c r="F1180" s="7" t="n">
        <v>2</v>
      </c>
      <c r="G1180" s="5" t="n">
        <v>2100</v>
      </c>
    </row>
    <row r="1181" customFormat="false" ht="15" hidden="false" customHeight="false" outlineLevel="0" collapsed="false">
      <c r="A1181" s="13" t="s">
        <v>103</v>
      </c>
      <c r="B1181" s="13" t="s">
        <v>43</v>
      </c>
      <c r="C1181" s="13" t="s">
        <v>5</v>
      </c>
      <c r="D1181" s="13" t="s">
        <v>889</v>
      </c>
      <c r="E1181" s="16" t="n">
        <v>194.640909090909</v>
      </c>
      <c r="F1181" s="7" t="n">
        <v>10</v>
      </c>
      <c r="G1181" s="5" t="n">
        <v>2100</v>
      </c>
    </row>
    <row r="1182" customFormat="false" ht="15" hidden="false" customHeight="false" outlineLevel="0" collapsed="false">
      <c r="A1182" s="13" t="s">
        <v>195</v>
      </c>
      <c r="B1182" s="13" t="s">
        <v>43</v>
      </c>
      <c r="C1182" s="13" t="s">
        <v>5</v>
      </c>
      <c r="D1182" s="13" t="s">
        <v>890</v>
      </c>
      <c r="E1182" s="16" t="n">
        <v>1070.85</v>
      </c>
      <c r="F1182" s="7" t="n">
        <v>2</v>
      </c>
      <c r="G1182" s="5" t="n">
        <v>2100</v>
      </c>
    </row>
    <row r="1183" customFormat="false" ht="15" hidden="false" customHeight="false" outlineLevel="0" collapsed="false">
      <c r="A1183" s="13" t="s">
        <v>153</v>
      </c>
      <c r="B1183" s="13" t="s">
        <v>43</v>
      </c>
      <c r="C1183" s="13" t="s">
        <v>5</v>
      </c>
      <c r="D1183" s="13" t="s">
        <v>891</v>
      </c>
      <c r="E1183" s="16" t="n">
        <v>710.97</v>
      </c>
      <c r="F1183" s="7" t="n">
        <v>2</v>
      </c>
      <c r="G1183" s="5" t="n">
        <v>2100</v>
      </c>
    </row>
    <row r="1184" customFormat="false" ht="15" hidden="false" customHeight="false" outlineLevel="0" collapsed="false">
      <c r="A1184" s="13" t="s">
        <v>45</v>
      </c>
      <c r="B1184" s="13" t="s">
        <v>43</v>
      </c>
      <c r="C1184" s="13" t="s">
        <v>4</v>
      </c>
      <c r="D1184" s="13" t="s">
        <v>892</v>
      </c>
      <c r="E1184" s="16" t="n">
        <v>698.28</v>
      </c>
      <c r="F1184" s="7" t="n">
        <v>2</v>
      </c>
      <c r="G1184" s="5" t="n">
        <v>2100</v>
      </c>
    </row>
    <row r="1185" customFormat="false" ht="15" hidden="false" customHeight="false" outlineLevel="0" collapsed="false">
      <c r="A1185" s="13" t="s">
        <v>50</v>
      </c>
      <c r="B1185" s="13" t="s">
        <v>43</v>
      </c>
      <c r="C1185" s="13" t="s">
        <v>4</v>
      </c>
      <c r="D1185" s="13" t="s">
        <v>893</v>
      </c>
      <c r="E1185" s="16" t="n">
        <v>300.622857142857</v>
      </c>
      <c r="F1185" s="7" t="n">
        <v>5</v>
      </c>
      <c r="G1185" s="5" t="n">
        <v>2100</v>
      </c>
    </row>
    <row r="1186" customFormat="false" ht="15" hidden="false" customHeight="false" outlineLevel="0" collapsed="false">
      <c r="A1186" s="13" t="s">
        <v>329</v>
      </c>
      <c r="B1186" s="13" t="s">
        <v>43</v>
      </c>
      <c r="C1186" s="13" t="s">
        <v>4</v>
      </c>
      <c r="D1186" s="13" t="s">
        <v>635</v>
      </c>
      <c r="E1186" s="16" t="n">
        <v>301.208571428571</v>
      </c>
      <c r="F1186" s="7" t="n">
        <v>5</v>
      </c>
      <c r="G1186" s="5" t="n">
        <v>2100</v>
      </c>
    </row>
    <row r="1187" customFormat="false" ht="15" hidden="false" customHeight="false" outlineLevel="0" collapsed="false">
      <c r="A1187" s="13" t="s">
        <v>42</v>
      </c>
      <c r="B1187" s="13" t="s">
        <v>43</v>
      </c>
      <c r="C1187" s="13" t="s">
        <v>5</v>
      </c>
      <c r="D1187" s="13" t="s">
        <v>894</v>
      </c>
      <c r="E1187" s="16" t="n">
        <v>211.9</v>
      </c>
      <c r="F1187" s="7" t="n">
        <v>5</v>
      </c>
      <c r="G1187" s="5" t="n">
        <v>2100</v>
      </c>
    </row>
    <row r="1188" customFormat="false" ht="15" hidden="false" customHeight="false" outlineLevel="0" collapsed="false">
      <c r="A1188" s="13" t="s">
        <v>42</v>
      </c>
      <c r="B1188" s="13" t="s">
        <v>43</v>
      </c>
      <c r="C1188" s="13" t="s">
        <v>4</v>
      </c>
      <c r="D1188" s="13" t="s">
        <v>348</v>
      </c>
      <c r="E1188" s="16" t="n">
        <v>262.97875</v>
      </c>
      <c r="F1188" s="7" t="n">
        <v>5</v>
      </c>
      <c r="G1188" s="5" t="n">
        <v>2100</v>
      </c>
    </row>
    <row r="1189" customFormat="false" ht="15" hidden="false" customHeight="false" outlineLevel="0" collapsed="false">
      <c r="A1189" s="13" t="s">
        <v>50</v>
      </c>
      <c r="B1189" s="13" t="s">
        <v>43</v>
      </c>
      <c r="C1189" s="13" t="s">
        <v>4</v>
      </c>
      <c r="D1189" s="13" t="s">
        <v>412</v>
      </c>
      <c r="E1189" s="16" t="n">
        <v>687.27</v>
      </c>
      <c r="F1189" s="7" t="n">
        <v>2</v>
      </c>
      <c r="G1189" s="5" t="n">
        <v>2100</v>
      </c>
    </row>
    <row r="1190" customFormat="false" ht="15" hidden="false" customHeight="false" outlineLevel="0" collapsed="false">
      <c r="A1190" s="13" t="s">
        <v>490</v>
      </c>
      <c r="B1190" s="13" t="s">
        <v>43</v>
      </c>
      <c r="C1190" s="13" t="s">
        <v>4</v>
      </c>
      <c r="D1190" s="13" t="s">
        <v>895</v>
      </c>
      <c r="E1190" s="16" t="n">
        <v>521.5</v>
      </c>
      <c r="F1190" s="7" t="n">
        <v>2</v>
      </c>
      <c r="G1190" s="5" t="n">
        <v>2100</v>
      </c>
    </row>
    <row r="1191" customFormat="false" ht="15" hidden="false" customHeight="false" outlineLevel="0" collapsed="false">
      <c r="A1191" s="13" t="s">
        <v>42</v>
      </c>
      <c r="B1191" s="13" t="s">
        <v>43</v>
      </c>
      <c r="C1191" s="13" t="s">
        <v>4</v>
      </c>
      <c r="D1191" s="13" t="s">
        <v>896</v>
      </c>
      <c r="E1191" s="16" t="n">
        <v>257.24</v>
      </c>
      <c r="F1191" s="7" t="n">
        <v>5</v>
      </c>
      <c r="G1191" s="5" t="n">
        <v>2100</v>
      </c>
    </row>
    <row r="1192" customFormat="false" ht="15" hidden="false" customHeight="false" outlineLevel="0" collapsed="false">
      <c r="A1192" s="13" t="s">
        <v>42</v>
      </c>
      <c r="B1192" s="13" t="s">
        <v>43</v>
      </c>
      <c r="C1192" s="13" t="s">
        <v>4</v>
      </c>
      <c r="D1192" s="13" t="s">
        <v>246</v>
      </c>
      <c r="E1192" s="16" t="n">
        <v>687.14</v>
      </c>
      <c r="F1192" s="7" t="n">
        <v>2</v>
      </c>
      <c r="G1192" s="5" t="n">
        <v>2100</v>
      </c>
    </row>
    <row r="1193" customFormat="false" ht="15" hidden="false" customHeight="false" outlineLevel="0" collapsed="false">
      <c r="A1193" s="13" t="s">
        <v>79</v>
      </c>
      <c r="B1193" s="13" t="s">
        <v>43</v>
      </c>
      <c r="C1193" s="13" t="s">
        <v>5</v>
      </c>
      <c r="D1193" s="13" t="s">
        <v>580</v>
      </c>
      <c r="E1193" s="16" t="n">
        <v>341.773333333333</v>
      </c>
      <c r="F1193" s="7" t="n">
        <v>5</v>
      </c>
      <c r="G1193" s="5" t="n">
        <v>2100</v>
      </c>
    </row>
    <row r="1194" customFormat="false" ht="15" hidden="false" customHeight="false" outlineLevel="0" collapsed="false">
      <c r="A1194" s="13" t="s">
        <v>177</v>
      </c>
      <c r="B1194" s="13" t="s">
        <v>43</v>
      </c>
      <c r="C1194" s="13" t="s">
        <v>5</v>
      </c>
      <c r="D1194" s="13" t="s">
        <v>897</v>
      </c>
      <c r="E1194" s="16" t="n">
        <v>1028.85</v>
      </c>
      <c r="F1194" s="7" t="n">
        <v>2</v>
      </c>
      <c r="G1194" s="5" t="n">
        <v>2100</v>
      </c>
    </row>
    <row r="1195" customFormat="false" ht="15" hidden="false" customHeight="false" outlineLevel="0" collapsed="false">
      <c r="A1195" s="13" t="s">
        <v>42</v>
      </c>
      <c r="B1195" s="13" t="s">
        <v>43</v>
      </c>
      <c r="C1195" s="13" t="s">
        <v>5</v>
      </c>
      <c r="D1195" s="13" t="s">
        <v>898</v>
      </c>
      <c r="E1195" s="16" t="n">
        <v>258.0375</v>
      </c>
      <c r="F1195" s="7" t="n">
        <v>5</v>
      </c>
      <c r="G1195" s="5" t="n">
        <v>2100</v>
      </c>
    </row>
    <row r="1196" customFormat="false" ht="15" hidden="false" customHeight="false" outlineLevel="0" collapsed="false">
      <c r="A1196" s="13" t="s">
        <v>72</v>
      </c>
      <c r="B1196" s="13" t="s">
        <v>43</v>
      </c>
      <c r="C1196" s="13" t="s">
        <v>5</v>
      </c>
      <c r="D1196" s="13" t="s">
        <v>96</v>
      </c>
      <c r="E1196" s="16" t="n">
        <v>689</v>
      </c>
      <c r="F1196" s="7" t="n">
        <v>2</v>
      </c>
      <c r="G1196" s="5" t="n">
        <v>2100</v>
      </c>
    </row>
    <row r="1197" customFormat="false" ht="15" hidden="false" customHeight="false" outlineLevel="0" collapsed="false">
      <c r="A1197" s="13" t="s">
        <v>50</v>
      </c>
      <c r="B1197" s="13" t="s">
        <v>43</v>
      </c>
      <c r="C1197" s="13" t="s">
        <v>5</v>
      </c>
      <c r="D1197" s="13" t="s">
        <v>899</v>
      </c>
      <c r="E1197" s="16" t="n">
        <v>295.49</v>
      </c>
      <c r="F1197" s="7" t="n">
        <v>5</v>
      </c>
      <c r="G1197" s="5" t="n">
        <v>2100</v>
      </c>
    </row>
    <row r="1198" customFormat="false" ht="15" hidden="false" customHeight="false" outlineLevel="0" collapsed="false">
      <c r="A1198" s="13" t="s">
        <v>50</v>
      </c>
      <c r="B1198" s="13" t="s">
        <v>43</v>
      </c>
      <c r="C1198" s="13" t="s">
        <v>5</v>
      </c>
      <c r="D1198" s="13" t="s">
        <v>899</v>
      </c>
      <c r="E1198" s="16" t="n">
        <v>295.49</v>
      </c>
      <c r="F1198" s="7" t="n">
        <v>5</v>
      </c>
      <c r="G1198" s="5" t="n">
        <v>2100</v>
      </c>
    </row>
    <row r="1199" customFormat="false" ht="15" hidden="false" customHeight="false" outlineLevel="0" collapsed="false">
      <c r="A1199" s="13" t="s">
        <v>79</v>
      </c>
      <c r="B1199" s="13" t="s">
        <v>43</v>
      </c>
      <c r="C1199" s="13" t="s">
        <v>4</v>
      </c>
      <c r="D1199" s="13" t="s">
        <v>900</v>
      </c>
      <c r="E1199" s="16" t="n">
        <v>991.105</v>
      </c>
      <c r="F1199" s="7" t="n">
        <v>2</v>
      </c>
      <c r="G1199" s="5" t="n">
        <v>2000</v>
      </c>
    </row>
    <row r="1200" customFormat="false" ht="15" hidden="false" customHeight="false" outlineLevel="0" collapsed="false">
      <c r="A1200" s="13" t="s">
        <v>42</v>
      </c>
      <c r="B1200" s="13" t="s">
        <v>43</v>
      </c>
      <c r="C1200" s="13" t="s">
        <v>4</v>
      </c>
      <c r="D1200" s="13" t="s">
        <v>901</v>
      </c>
      <c r="E1200" s="16" t="n">
        <v>281.295714285714</v>
      </c>
      <c r="F1200" s="7" t="n">
        <v>5</v>
      </c>
      <c r="G1200" s="5" t="n">
        <v>2000</v>
      </c>
    </row>
    <row r="1201" customFormat="false" ht="15" hidden="false" customHeight="false" outlineLevel="0" collapsed="false">
      <c r="A1201" s="13" t="s">
        <v>42</v>
      </c>
      <c r="B1201" s="13" t="s">
        <v>43</v>
      </c>
      <c r="C1201" s="13" t="s">
        <v>4</v>
      </c>
      <c r="D1201" s="13" t="s">
        <v>902</v>
      </c>
      <c r="E1201" s="16" t="n">
        <v>660.333333333333</v>
      </c>
      <c r="F1201" s="7" t="n">
        <v>2</v>
      </c>
      <c r="G1201" s="5" t="n">
        <v>2000</v>
      </c>
    </row>
    <row r="1202" customFormat="false" ht="15" hidden="false" customHeight="false" outlineLevel="0" collapsed="false">
      <c r="A1202" s="13" t="s">
        <v>92</v>
      </c>
      <c r="B1202" s="13" t="s">
        <v>43</v>
      </c>
      <c r="C1202" s="13" t="s">
        <v>5</v>
      </c>
      <c r="D1202" s="13" t="s">
        <v>903</v>
      </c>
      <c r="E1202" s="16" t="n">
        <v>656.786666666667</v>
      </c>
      <c r="F1202" s="7" t="n">
        <v>2</v>
      </c>
      <c r="G1202" s="5" t="n">
        <v>2000</v>
      </c>
    </row>
    <row r="1203" customFormat="false" ht="15" hidden="false" customHeight="false" outlineLevel="0" collapsed="false">
      <c r="A1203" s="13" t="s">
        <v>54</v>
      </c>
      <c r="B1203" s="13" t="s">
        <v>43</v>
      </c>
      <c r="C1203" s="13" t="s">
        <v>5</v>
      </c>
      <c r="D1203" s="13" t="s">
        <v>904</v>
      </c>
      <c r="E1203" s="16" t="n">
        <v>327.2</v>
      </c>
      <c r="F1203" s="7" t="n">
        <v>5</v>
      </c>
      <c r="G1203" s="5" t="n">
        <v>2000</v>
      </c>
    </row>
    <row r="1204" customFormat="false" ht="15" hidden="false" customHeight="false" outlineLevel="0" collapsed="false">
      <c r="A1204" s="13" t="s">
        <v>69</v>
      </c>
      <c r="B1204" s="13" t="s">
        <v>43</v>
      </c>
      <c r="C1204" s="13" t="s">
        <v>5</v>
      </c>
      <c r="D1204" s="13" t="s">
        <v>905</v>
      </c>
      <c r="E1204" s="16" t="n">
        <v>987.53</v>
      </c>
      <c r="F1204" s="7" t="n">
        <v>2</v>
      </c>
      <c r="G1204" s="5" t="n">
        <v>2000</v>
      </c>
    </row>
    <row r="1205" customFormat="false" ht="15" hidden="false" customHeight="false" outlineLevel="0" collapsed="false">
      <c r="A1205" s="13" t="s">
        <v>61</v>
      </c>
      <c r="B1205" s="13" t="s">
        <v>43</v>
      </c>
      <c r="C1205" s="13" t="s">
        <v>5</v>
      </c>
      <c r="D1205" s="13" t="s">
        <v>62</v>
      </c>
      <c r="E1205" s="16" t="n">
        <v>659</v>
      </c>
      <c r="F1205" s="7" t="n">
        <v>2</v>
      </c>
      <c r="G1205" s="5" t="n">
        <v>2000</v>
      </c>
    </row>
    <row r="1206" customFormat="false" ht="15" hidden="false" customHeight="false" outlineLevel="0" collapsed="false">
      <c r="A1206" s="13" t="s">
        <v>315</v>
      </c>
      <c r="B1206" s="13" t="s">
        <v>43</v>
      </c>
      <c r="C1206" s="13" t="s">
        <v>5</v>
      </c>
      <c r="D1206" s="13" t="s">
        <v>906</v>
      </c>
      <c r="E1206" s="16" t="n">
        <v>500.85</v>
      </c>
      <c r="F1206" s="7" t="n">
        <v>2</v>
      </c>
      <c r="G1206" s="5" t="n">
        <v>2000</v>
      </c>
    </row>
    <row r="1207" customFormat="false" ht="15" hidden="false" customHeight="false" outlineLevel="0" collapsed="false">
      <c r="A1207" s="13" t="s">
        <v>50</v>
      </c>
      <c r="B1207" s="13" t="s">
        <v>43</v>
      </c>
      <c r="C1207" s="13" t="s">
        <v>5</v>
      </c>
      <c r="D1207" s="13" t="s">
        <v>907</v>
      </c>
      <c r="E1207" s="16" t="n">
        <v>669</v>
      </c>
      <c r="F1207" s="7" t="n">
        <v>2</v>
      </c>
      <c r="G1207" s="5" t="n">
        <v>2000</v>
      </c>
    </row>
    <row r="1208" customFormat="false" ht="15" hidden="false" customHeight="false" outlineLevel="0" collapsed="false">
      <c r="A1208" s="13" t="s">
        <v>50</v>
      </c>
      <c r="B1208" s="13" t="s">
        <v>43</v>
      </c>
      <c r="C1208" s="13" t="s">
        <v>5</v>
      </c>
      <c r="D1208" s="13" t="s">
        <v>875</v>
      </c>
      <c r="E1208" s="16" t="n">
        <v>1013.15</v>
      </c>
      <c r="F1208" s="7" t="n">
        <v>2</v>
      </c>
      <c r="G1208" s="5" t="n">
        <v>2000</v>
      </c>
    </row>
    <row r="1209" customFormat="false" ht="15" hidden="false" customHeight="false" outlineLevel="0" collapsed="false">
      <c r="A1209" s="13" t="s">
        <v>61</v>
      </c>
      <c r="B1209" s="13" t="s">
        <v>43</v>
      </c>
      <c r="C1209" s="13" t="s">
        <v>5</v>
      </c>
      <c r="D1209" s="13" t="s">
        <v>212</v>
      </c>
      <c r="E1209" s="16" t="n">
        <v>508.09</v>
      </c>
      <c r="F1209" s="7" t="n">
        <v>2</v>
      </c>
      <c r="G1209" s="5" t="n">
        <v>2000</v>
      </c>
    </row>
    <row r="1210" customFormat="false" ht="15" hidden="false" customHeight="false" outlineLevel="0" collapsed="false">
      <c r="A1210" s="13" t="s">
        <v>61</v>
      </c>
      <c r="B1210" s="13" t="s">
        <v>43</v>
      </c>
      <c r="C1210" s="13" t="s">
        <v>5</v>
      </c>
      <c r="D1210" s="13" t="s">
        <v>908</v>
      </c>
      <c r="E1210" s="16" t="n">
        <v>252.48875</v>
      </c>
      <c r="F1210" s="7" t="n">
        <v>5</v>
      </c>
      <c r="G1210" s="5" t="n">
        <v>2000</v>
      </c>
    </row>
    <row r="1211" customFormat="false" ht="15" hidden="false" customHeight="false" outlineLevel="0" collapsed="false">
      <c r="A1211" s="13" t="s">
        <v>195</v>
      </c>
      <c r="B1211" s="13" t="s">
        <v>43</v>
      </c>
      <c r="C1211" s="13" t="s">
        <v>5</v>
      </c>
      <c r="D1211" s="13" t="s">
        <v>555</v>
      </c>
      <c r="E1211" s="16" t="n">
        <v>675</v>
      </c>
      <c r="F1211" s="7" t="n">
        <v>2</v>
      </c>
      <c r="G1211" s="5" t="n">
        <v>2000</v>
      </c>
    </row>
    <row r="1212" customFormat="false" ht="15" hidden="false" customHeight="false" outlineLevel="0" collapsed="false">
      <c r="A1212" s="13" t="s">
        <v>204</v>
      </c>
      <c r="B1212" s="13" t="s">
        <v>43</v>
      </c>
      <c r="C1212" s="13" t="s">
        <v>4</v>
      </c>
      <c r="D1212" s="13" t="s">
        <v>909</v>
      </c>
      <c r="E1212" s="16" t="n">
        <v>403.638</v>
      </c>
      <c r="F1212" s="7" t="n">
        <v>5</v>
      </c>
      <c r="G1212" s="5" t="n">
        <v>2000</v>
      </c>
    </row>
    <row r="1213" customFormat="false" ht="15" hidden="false" customHeight="false" outlineLevel="0" collapsed="false">
      <c r="A1213" s="13" t="s">
        <v>630</v>
      </c>
      <c r="B1213" s="13" t="s">
        <v>43</v>
      </c>
      <c r="C1213" s="13" t="s">
        <v>4</v>
      </c>
      <c r="D1213" s="13" t="s">
        <v>910</v>
      </c>
      <c r="E1213" s="16" t="n">
        <v>223.814444444444</v>
      </c>
      <c r="F1213" s="7" t="n">
        <v>5</v>
      </c>
      <c r="G1213" s="5" t="n">
        <v>2000</v>
      </c>
    </row>
    <row r="1214" customFormat="false" ht="15" hidden="false" customHeight="false" outlineLevel="0" collapsed="false">
      <c r="A1214" s="13" t="s">
        <v>50</v>
      </c>
      <c r="B1214" s="13" t="s">
        <v>43</v>
      </c>
      <c r="C1214" s="13" t="s">
        <v>4</v>
      </c>
      <c r="D1214" s="13" t="s">
        <v>911</v>
      </c>
      <c r="E1214" s="16" t="n">
        <v>666.366666666667</v>
      </c>
      <c r="F1214" s="7" t="n">
        <v>2</v>
      </c>
      <c r="G1214" s="5" t="n">
        <v>2000</v>
      </c>
    </row>
    <row r="1215" customFormat="false" ht="15" hidden="false" customHeight="false" outlineLevel="0" collapsed="false">
      <c r="A1215" s="13" t="s">
        <v>42</v>
      </c>
      <c r="B1215" s="13" t="s">
        <v>43</v>
      </c>
      <c r="C1215" s="13" t="s">
        <v>4</v>
      </c>
      <c r="D1215" s="13" t="s">
        <v>912</v>
      </c>
      <c r="E1215" s="16" t="n">
        <v>673.4</v>
      </c>
      <c r="F1215" s="7" t="n">
        <v>2</v>
      </c>
      <c r="G1215" s="5" t="n">
        <v>2000</v>
      </c>
    </row>
    <row r="1216" customFormat="false" ht="15" hidden="false" customHeight="false" outlineLevel="0" collapsed="false">
      <c r="A1216" s="13" t="s">
        <v>79</v>
      </c>
      <c r="B1216" s="13" t="s">
        <v>43</v>
      </c>
      <c r="C1216" s="13" t="s">
        <v>5</v>
      </c>
      <c r="D1216" s="13" t="s">
        <v>913</v>
      </c>
      <c r="E1216" s="16" t="n">
        <v>498.69</v>
      </c>
      <c r="F1216" s="7" t="n">
        <v>2</v>
      </c>
      <c r="G1216" s="5" t="n">
        <v>2000</v>
      </c>
    </row>
    <row r="1217" customFormat="false" ht="15" hidden="false" customHeight="false" outlineLevel="0" collapsed="false">
      <c r="A1217" s="13" t="s">
        <v>42</v>
      </c>
      <c r="B1217" s="13" t="s">
        <v>43</v>
      </c>
      <c r="C1217" s="13" t="s">
        <v>5</v>
      </c>
      <c r="D1217" s="13" t="s">
        <v>914</v>
      </c>
      <c r="E1217" s="16" t="n">
        <v>496.54</v>
      </c>
      <c r="F1217" s="7" t="n">
        <v>2</v>
      </c>
      <c r="G1217" s="5" t="n">
        <v>2000</v>
      </c>
    </row>
    <row r="1218" customFormat="false" ht="15" hidden="false" customHeight="false" outlineLevel="0" collapsed="false">
      <c r="A1218" s="13" t="s">
        <v>179</v>
      </c>
      <c r="B1218" s="13" t="s">
        <v>85</v>
      </c>
      <c r="C1218" s="13" t="s">
        <v>3</v>
      </c>
      <c r="D1218" s="13" t="s">
        <v>915</v>
      </c>
      <c r="E1218" s="16" t="n">
        <v>329</v>
      </c>
      <c r="F1218" s="7" t="n">
        <v>5</v>
      </c>
      <c r="G1218" s="5" t="n">
        <v>2000</v>
      </c>
    </row>
    <row r="1219" customFormat="false" ht="15" hidden="false" customHeight="false" outlineLevel="0" collapsed="false">
      <c r="A1219" s="13" t="s">
        <v>179</v>
      </c>
      <c r="B1219" s="13" t="s">
        <v>180</v>
      </c>
      <c r="C1219" s="13" t="s">
        <v>3</v>
      </c>
      <c r="D1219" s="13" t="s">
        <v>916</v>
      </c>
      <c r="E1219" s="16" t="n">
        <v>499</v>
      </c>
      <c r="F1219" s="7" t="n">
        <v>2</v>
      </c>
      <c r="G1219" s="5" t="n">
        <v>2000</v>
      </c>
    </row>
    <row r="1220" customFormat="false" ht="15" hidden="false" customHeight="false" outlineLevel="0" collapsed="false">
      <c r="A1220" s="13" t="s">
        <v>193</v>
      </c>
      <c r="B1220" s="13" t="s">
        <v>43</v>
      </c>
      <c r="C1220" s="13" t="s">
        <v>5</v>
      </c>
      <c r="D1220" s="13" t="s">
        <v>125</v>
      </c>
      <c r="E1220" s="16" t="n">
        <v>1003.82</v>
      </c>
      <c r="F1220" s="7" t="n">
        <v>2</v>
      </c>
      <c r="G1220" s="5" t="n">
        <v>2000</v>
      </c>
    </row>
    <row r="1221" customFormat="false" ht="15" hidden="false" customHeight="false" outlineLevel="0" collapsed="false">
      <c r="A1221" s="13" t="s">
        <v>315</v>
      </c>
      <c r="B1221" s="13" t="s">
        <v>43</v>
      </c>
      <c r="C1221" s="13" t="s">
        <v>5</v>
      </c>
      <c r="D1221" s="13" t="s">
        <v>316</v>
      </c>
      <c r="E1221" s="16" t="n">
        <v>669.516666666667</v>
      </c>
      <c r="F1221" s="7" t="n">
        <v>2</v>
      </c>
      <c r="G1221" s="5" t="n">
        <v>2000</v>
      </c>
    </row>
    <row r="1222" customFormat="false" ht="15" hidden="false" customHeight="false" outlineLevel="0" collapsed="false">
      <c r="A1222" s="13" t="s">
        <v>42</v>
      </c>
      <c r="B1222" s="13" t="s">
        <v>43</v>
      </c>
      <c r="C1222" s="13" t="s">
        <v>5</v>
      </c>
      <c r="D1222" s="13" t="s">
        <v>334</v>
      </c>
      <c r="E1222" s="16" t="n">
        <v>671</v>
      </c>
      <c r="F1222" s="7" t="n">
        <v>2</v>
      </c>
      <c r="G1222" s="5" t="n">
        <v>2000</v>
      </c>
    </row>
    <row r="1223" customFormat="false" ht="15" hidden="false" customHeight="false" outlineLevel="0" collapsed="false">
      <c r="A1223" s="13" t="s">
        <v>92</v>
      </c>
      <c r="B1223" s="13" t="s">
        <v>43</v>
      </c>
      <c r="C1223" s="13" t="s">
        <v>5</v>
      </c>
      <c r="D1223" s="13" t="s">
        <v>720</v>
      </c>
      <c r="E1223" s="16" t="n">
        <v>402.55</v>
      </c>
      <c r="F1223" s="7" t="n">
        <v>5</v>
      </c>
      <c r="G1223" s="5" t="n">
        <v>2000</v>
      </c>
    </row>
    <row r="1224" customFormat="false" ht="15" hidden="false" customHeight="false" outlineLevel="0" collapsed="false">
      <c r="A1224" s="13" t="s">
        <v>87</v>
      </c>
      <c r="B1224" s="13" t="s">
        <v>85</v>
      </c>
      <c r="C1224" s="13" t="s">
        <v>3</v>
      </c>
      <c r="D1224" s="13" t="s">
        <v>917</v>
      </c>
      <c r="E1224" s="16" t="n">
        <v>145.49</v>
      </c>
      <c r="F1224" s="7" t="n">
        <v>10</v>
      </c>
      <c r="G1224" s="5" t="n">
        <v>2000</v>
      </c>
    </row>
    <row r="1225" customFormat="false" ht="15" hidden="false" customHeight="false" outlineLevel="0" collapsed="false">
      <c r="A1225" s="13" t="s">
        <v>79</v>
      </c>
      <c r="B1225" s="13" t="s">
        <v>43</v>
      </c>
      <c r="C1225" s="13" t="s">
        <v>3</v>
      </c>
      <c r="D1225" s="13" t="s">
        <v>426</v>
      </c>
      <c r="E1225" s="16" t="n">
        <v>508.07</v>
      </c>
      <c r="F1225" s="7" t="n">
        <v>2</v>
      </c>
      <c r="G1225" s="5" t="n">
        <v>2000</v>
      </c>
    </row>
    <row r="1226" customFormat="false" ht="15" hidden="false" customHeight="false" outlineLevel="0" collapsed="false">
      <c r="A1226" s="13" t="s">
        <v>312</v>
      </c>
      <c r="B1226" s="13" t="s">
        <v>43</v>
      </c>
      <c r="C1226" s="13" t="s">
        <v>3</v>
      </c>
      <c r="D1226" s="13" t="s">
        <v>918</v>
      </c>
      <c r="E1226" s="16" t="n">
        <v>155.446923076923</v>
      </c>
      <c r="F1226" s="7" t="n">
        <v>10</v>
      </c>
      <c r="G1226" s="5" t="n">
        <v>2000</v>
      </c>
    </row>
    <row r="1227" customFormat="false" ht="15" hidden="false" customHeight="false" outlineLevel="0" collapsed="false">
      <c r="A1227" s="13" t="s">
        <v>107</v>
      </c>
      <c r="B1227" s="13" t="s">
        <v>183</v>
      </c>
      <c r="C1227" s="13" t="s">
        <v>5</v>
      </c>
      <c r="D1227" s="13" t="s">
        <v>919</v>
      </c>
      <c r="E1227" s="16" t="n">
        <v>512</v>
      </c>
      <c r="F1227" s="7" t="n">
        <v>2</v>
      </c>
      <c r="G1227" s="5" t="n">
        <v>2000</v>
      </c>
    </row>
    <row r="1228" customFormat="false" ht="15" hidden="false" customHeight="false" outlineLevel="0" collapsed="false">
      <c r="A1228" s="13" t="s">
        <v>153</v>
      </c>
      <c r="B1228" s="13" t="s">
        <v>43</v>
      </c>
      <c r="C1228" s="13" t="s">
        <v>4</v>
      </c>
      <c r="D1228" s="13" t="s">
        <v>920</v>
      </c>
      <c r="E1228" s="16" t="n">
        <v>330.516666666667</v>
      </c>
      <c r="F1228" s="7" t="n">
        <v>5</v>
      </c>
      <c r="G1228" s="5" t="n">
        <v>2000</v>
      </c>
    </row>
    <row r="1229" customFormat="false" ht="15" hidden="false" customHeight="false" outlineLevel="0" collapsed="false">
      <c r="A1229" s="13" t="s">
        <v>42</v>
      </c>
      <c r="B1229" s="13" t="s">
        <v>43</v>
      </c>
      <c r="C1229" s="13" t="s">
        <v>4</v>
      </c>
      <c r="D1229" s="13" t="s">
        <v>219</v>
      </c>
      <c r="E1229" s="16" t="n">
        <v>679.15</v>
      </c>
      <c r="F1229" s="7" t="n">
        <v>2</v>
      </c>
      <c r="G1229" s="5" t="n">
        <v>2000</v>
      </c>
    </row>
    <row r="1230" customFormat="false" ht="15" hidden="false" customHeight="false" outlineLevel="0" collapsed="false">
      <c r="A1230" s="13" t="s">
        <v>42</v>
      </c>
      <c r="B1230" s="13" t="s">
        <v>43</v>
      </c>
      <c r="C1230" s="13" t="s">
        <v>4</v>
      </c>
      <c r="D1230" s="13" t="s">
        <v>778</v>
      </c>
      <c r="E1230" s="16" t="n">
        <v>496.4525</v>
      </c>
      <c r="F1230" s="7" t="n">
        <v>2</v>
      </c>
      <c r="G1230" s="5" t="n">
        <v>2000</v>
      </c>
    </row>
    <row r="1231" customFormat="false" ht="15" hidden="false" customHeight="false" outlineLevel="0" collapsed="false">
      <c r="A1231" s="13" t="s">
        <v>153</v>
      </c>
      <c r="B1231" s="13" t="s">
        <v>43</v>
      </c>
      <c r="C1231" s="13" t="s">
        <v>5</v>
      </c>
      <c r="D1231" s="13" t="s">
        <v>921</v>
      </c>
      <c r="E1231" s="16" t="n">
        <v>407.664</v>
      </c>
      <c r="F1231" s="7" t="n">
        <v>5</v>
      </c>
      <c r="G1231" s="5" t="n">
        <v>2000</v>
      </c>
    </row>
    <row r="1232" customFormat="false" ht="15" hidden="false" customHeight="false" outlineLevel="0" collapsed="false">
      <c r="A1232" s="13" t="s">
        <v>161</v>
      </c>
      <c r="B1232" s="13" t="s">
        <v>43</v>
      </c>
      <c r="C1232" s="13" t="s">
        <v>3</v>
      </c>
      <c r="D1232" s="13" t="s">
        <v>922</v>
      </c>
      <c r="E1232" s="16" t="n">
        <v>287.132857142857</v>
      </c>
      <c r="F1232" s="7" t="n">
        <v>5</v>
      </c>
      <c r="G1232" s="5" t="n">
        <v>2000</v>
      </c>
    </row>
    <row r="1233" customFormat="false" ht="15" hidden="false" customHeight="false" outlineLevel="0" collapsed="false">
      <c r="A1233" s="13" t="s">
        <v>191</v>
      </c>
      <c r="B1233" s="13" t="s">
        <v>183</v>
      </c>
      <c r="C1233" s="13" t="s">
        <v>3</v>
      </c>
      <c r="D1233" s="13" t="s">
        <v>923</v>
      </c>
      <c r="E1233" s="16" t="n">
        <v>139.99</v>
      </c>
      <c r="F1233" s="7" t="n">
        <v>10</v>
      </c>
      <c r="G1233" s="5" t="n">
        <v>2000</v>
      </c>
    </row>
    <row r="1234" customFormat="false" ht="15" hidden="false" customHeight="false" outlineLevel="0" collapsed="false">
      <c r="A1234" s="13" t="s">
        <v>72</v>
      </c>
      <c r="B1234" s="13" t="s">
        <v>43</v>
      </c>
      <c r="C1234" s="13" t="s">
        <v>5</v>
      </c>
      <c r="D1234" s="13" t="s">
        <v>924</v>
      </c>
      <c r="E1234" s="16" t="n">
        <v>1020.72</v>
      </c>
      <c r="F1234" s="7" t="n">
        <v>2</v>
      </c>
      <c r="G1234" s="5" t="n">
        <v>2000</v>
      </c>
    </row>
    <row r="1235" customFormat="false" ht="15" hidden="false" customHeight="false" outlineLevel="0" collapsed="false">
      <c r="A1235" s="13" t="s">
        <v>42</v>
      </c>
      <c r="B1235" s="13" t="s">
        <v>43</v>
      </c>
      <c r="C1235" s="13" t="s">
        <v>5</v>
      </c>
      <c r="D1235" s="13" t="s">
        <v>925</v>
      </c>
      <c r="E1235" s="16" t="n">
        <v>489.9925</v>
      </c>
      <c r="F1235" s="7" t="n">
        <v>2</v>
      </c>
      <c r="G1235" s="5" t="n">
        <v>2000</v>
      </c>
    </row>
    <row r="1236" customFormat="false" ht="15" hidden="false" customHeight="false" outlineLevel="0" collapsed="false">
      <c r="A1236" s="13" t="s">
        <v>50</v>
      </c>
      <c r="B1236" s="13" t="s">
        <v>43</v>
      </c>
      <c r="C1236" s="13" t="s">
        <v>4</v>
      </c>
      <c r="D1236" s="13" t="s">
        <v>926</v>
      </c>
      <c r="E1236" s="16" t="n">
        <v>497.99</v>
      </c>
      <c r="F1236" s="7" t="n">
        <v>2</v>
      </c>
      <c r="G1236" s="5" t="n">
        <v>2000</v>
      </c>
    </row>
    <row r="1237" customFormat="false" ht="15" hidden="false" customHeight="false" outlineLevel="0" collapsed="false">
      <c r="A1237" s="13" t="s">
        <v>79</v>
      </c>
      <c r="B1237" s="13" t="s">
        <v>43</v>
      </c>
      <c r="C1237" s="13" t="s">
        <v>4</v>
      </c>
      <c r="D1237" s="13" t="s">
        <v>927</v>
      </c>
      <c r="E1237" s="16" t="n">
        <v>399.4</v>
      </c>
      <c r="F1237" s="7" t="n">
        <v>5</v>
      </c>
      <c r="G1237" s="5" t="n">
        <v>2000</v>
      </c>
    </row>
    <row r="1238" customFormat="false" ht="15" hidden="false" customHeight="false" outlineLevel="0" collapsed="false">
      <c r="A1238" s="13" t="s">
        <v>186</v>
      </c>
      <c r="B1238" s="13" t="s">
        <v>43</v>
      </c>
      <c r="C1238" s="13" t="s">
        <v>5</v>
      </c>
      <c r="D1238" s="13" t="s">
        <v>550</v>
      </c>
      <c r="E1238" s="16" t="n">
        <v>371</v>
      </c>
      <c r="F1238" s="7" t="n">
        <v>5</v>
      </c>
      <c r="G1238" s="5" t="n">
        <v>1900</v>
      </c>
    </row>
    <row r="1239" customFormat="false" ht="15" hidden="false" customHeight="false" outlineLevel="0" collapsed="false">
      <c r="A1239" s="13" t="s">
        <v>50</v>
      </c>
      <c r="B1239" s="13" t="s">
        <v>43</v>
      </c>
      <c r="C1239" s="13" t="s">
        <v>5</v>
      </c>
      <c r="D1239" s="13" t="s">
        <v>907</v>
      </c>
      <c r="E1239" s="16" t="n">
        <v>928.925</v>
      </c>
      <c r="F1239" s="7" t="n">
        <v>2</v>
      </c>
      <c r="G1239" s="5" t="n">
        <v>1900</v>
      </c>
    </row>
    <row r="1240" customFormat="false" ht="15" hidden="false" customHeight="false" outlineLevel="0" collapsed="false">
      <c r="A1240" s="13" t="s">
        <v>42</v>
      </c>
      <c r="B1240" s="13" t="s">
        <v>43</v>
      </c>
      <c r="C1240" s="13" t="s">
        <v>5</v>
      </c>
      <c r="D1240" s="13" t="s">
        <v>334</v>
      </c>
      <c r="E1240" s="16" t="n">
        <v>462.9425</v>
      </c>
      <c r="F1240" s="7" t="n">
        <v>2</v>
      </c>
      <c r="G1240" s="5" t="n">
        <v>1900</v>
      </c>
    </row>
    <row r="1241" customFormat="false" ht="15" hidden="false" customHeight="false" outlineLevel="0" collapsed="false">
      <c r="A1241" s="13" t="s">
        <v>59</v>
      </c>
      <c r="B1241" s="13" t="s">
        <v>43</v>
      </c>
      <c r="C1241" s="13" t="s">
        <v>5</v>
      </c>
      <c r="D1241" s="13" t="s">
        <v>532</v>
      </c>
      <c r="E1241" s="16" t="n">
        <v>144</v>
      </c>
      <c r="F1241" s="7" t="n">
        <v>10</v>
      </c>
      <c r="G1241" s="5" t="n">
        <v>1900</v>
      </c>
    </row>
    <row r="1242" customFormat="false" ht="15" hidden="false" customHeight="false" outlineLevel="0" collapsed="false">
      <c r="A1242" s="13" t="s">
        <v>153</v>
      </c>
      <c r="B1242" s="13" t="s">
        <v>43</v>
      </c>
      <c r="C1242" s="13" t="s">
        <v>4</v>
      </c>
      <c r="D1242" s="13" t="s">
        <v>799</v>
      </c>
      <c r="E1242" s="16" t="n">
        <v>648.59</v>
      </c>
      <c r="F1242" s="7" t="n">
        <v>2</v>
      </c>
      <c r="G1242" s="5" t="n">
        <v>1900</v>
      </c>
    </row>
    <row r="1243" customFormat="false" ht="15" hidden="false" customHeight="false" outlineLevel="0" collapsed="false">
      <c r="A1243" s="13" t="s">
        <v>45</v>
      </c>
      <c r="B1243" s="13" t="s">
        <v>43</v>
      </c>
      <c r="C1243" s="13" t="s">
        <v>4</v>
      </c>
      <c r="D1243" s="13" t="s">
        <v>928</v>
      </c>
      <c r="E1243" s="16" t="n">
        <v>967.16</v>
      </c>
      <c r="F1243" s="7" t="n">
        <v>2</v>
      </c>
      <c r="G1243" s="5" t="n">
        <v>1900</v>
      </c>
    </row>
    <row r="1244" customFormat="false" ht="15" hidden="false" customHeight="false" outlineLevel="0" collapsed="false">
      <c r="A1244" s="13" t="s">
        <v>50</v>
      </c>
      <c r="B1244" s="13" t="s">
        <v>43</v>
      </c>
      <c r="C1244" s="13" t="s">
        <v>4</v>
      </c>
      <c r="D1244" s="13" t="s">
        <v>929</v>
      </c>
      <c r="E1244" s="16" t="n">
        <v>474.05</v>
      </c>
      <c r="F1244" s="7" t="n">
        <v>2</v>
      </c>
      <c r="G1244" s="5" t="n">
        <v>1900</v>
      </c>
    </row>
    <row r="1245" customFormat="false" ht="15" hidden="false" customHeight="false" outlineLevel="0" collapsed="false">
      <c r="A1245" s="13" t="s">
        <v>42</v>
      </c>
      <c r="B1245" s="13" t="s">
        <v>43</v>
      </c>
      <c r="C1245" s="13" t="s">
        <v>4</v>
      </c>
      <c r="D1245" s="13" t="s">
        <v>930</v>
      </c>
      <c r="E1245" s="16" t="n">
        <v>627.886666666667</v>
      </c>
      <c r="F1245" s="7" t="n">
        <v>2</v>
      </c>
      <c r="G1245" s="5" t="n">
        <v>1900</v>
      </c>
    </row>
    <row r="1246" customFormat="false" ht="15" hidden="false" customHeight="false" outlineLevel="0" collapsed="false">
      <c r="A1246" s="13" t="s">
        <v>61</v>
      </c>
      <c r="B1246" s="13" t="s">
        <v>43</v>
      </c>
      <c r="C1246" s="13" t="s">
        <v>5</v>
      </c>
      <c r="D1246" s="13" t="s">
        <v>432</v>
      </c>
      <c r="E1246" s="16" t="n">
        <v>630</v>
      </c>
      <c r="F1246" s="7" t="n">
        <v>2</v>
      </c>
      <c r="G1246" s="5" t="n">
        <v>1900</v>
      </c>
    </row>
    <row r="1247" customFormat="false" ht="15" hidden="false" customHeight="false" outlineLevel="0" collapsed="false">
      <c r="A1247" s="13" t="s">
        <v>45</v>
      </c>
      <c r="B1247" s="13" t="s">
        <v>43</v>
      </c>
      <c r="C1247" s="13" t="s">
        <v>4</v>
      </c>
      <c r="D1247" s="13" t="s">
        <v>931</v>
      </c>
      <c r="E1247" s="16" t="n">
        <v>926.44</v>
      </c>
      <c r="F1247" s="7" t="n">
        <v>2</v>
      </c>
      <c r="G1247" s="5" t="n">
        <v>1900</v>
      </c>
    </row>
    <row r="1248" customFormat="false" ht="15" hidden="false" customHeight="false" outlineLevel="0" collapsed="false">
      <c r="A1248" s="13" t="s">
        <v>195</v>
      </c>
      <c r="B1248" s="13" t="s">
        <v>43</v>
      </c>
      <c r="C1248" s="13" t="s">
        <v>5</v>
      </c>
      <c r="D1248" s="13" t="s">
        <v>932</v>
      </c>
      <c r="E1248" s="16" t="n">
        <v>630</v>
      </c>
      <c r="F1248" s="7" t="n">
        <v>2</v>
      </c>
      <c r="G1248" s="5" t="n">
        <v>1900</v>
      </c>
    </row>
    <row r="1249" customFormat="false" ht="15" hidden="false" customHeight="false" outlineLevel="0" collapsed="false">
      <c r="A1249" s="13" t="s">
        <v>177</v>
      </c>
      <c r="B1249" s="13" t="s">
        <v>43</v>
      </c>
      <c r="C1249" s="13" t="s">
        <v>5</v>
      </c>
      <c r="D1249" s="13" t="s">
        <v>933</v>
      </c>
      <c r="E1249" s="16" t="n">
        <v>633.21</v>
      </c>
      <c r="F1249" s="7" t="n">
        <v>2</v>
      </c>
      <c r="G1249" s="5" t="n">
        <v>1900</v>
      </c>
    </row>
    <row r="1250" customFormat="false" ht="15" hidden="false" customHeight="false" outlineLevel="0" collapsed="false">
      <c r="A1250" s="13" t="s">
        <v>45</v>
      </c>
      <c r="B1250" s="13" t="s">
        <v>43</v>
      </c>
      <c r="C1250" s="13" t="s">
        <v>5</v>
      </c>
      <c r="D1250" s="13" t="s">
        <v>401</v>
      </c>
      <c r="E1250" s="16" t="n">
        <v>630</v>
      </c>
      <c r="F1250" s="7" t="n">
        <v>2</v>
      </c>
      <c r="G1250" s="5" t="n">
        <v>1900</v>
      </c>
    </row>
    <row r="1251" customFormat="false" ht="15" hidden="false" customHeight="false" outlineLevel="0" collapsed="false">
      <c r="A1251" s="13" t="s">
        <v>124</v>
      </c>
      <c r="B1251" s="13" t="s">
        <v>43</v>
      </c>
      <c r="C1251" s="13" t="s">
        <v>5</v>
      </c>
      <c r="D1251" s="13" t="s">
        <v>934</v>
      </c>
      <c r="E1251" s="16" t="n">
        <v>389.498</v>
      </c>
      <c r="F1251" s="7" t="n">
        <v>5</v>
      </c>
      <c r="G1251" s="5" t="n">
        <v>1900</v>
      </c>
    </row>
    <row r="1252" customFormat="false" ht="15" hidden="false" customHeight="false" outlineLevel="0" collapsed="false">
      <c r="A1252" s="13" t="s">
        <v>50</v>
      </c>
      <c r="B1252" s="13" t="s">
        <v>43</v>
      </c>
      <c r="C1252" s="13" t="s">
        <v>5</v>
      </c>
      <c r="D1252" s="13" t="s">
        <v>935</v>
      </c>
      <c r="E1252" s="16" t="n">
        <v>645.83</v>
      </c>
      <c r="F1252" s="7" t="n">
        <v>2</v>
      </c>
      <c r="G1252" s="5" t="n">
        <v>1900</v>
      </c>
    </row>
    <row r="1253" customFormat="false" ht="15" hidden="false" customHeight="false" outlineLevel="0" collapsed="false">
      <c r="A1253" s="13" t="s">
        <v>50</v>
      </c>
      <c r="B1253" s="13" t="s">
        <v>43</v>
      </c>
      <c r="C1253" s="13" t="s">
        <v>5</v>
      </c>
      <c r="D1253" s="13" t="s">
        <v>936</v>
      </c>
      <c r="E1253" s="16" t="n">
        <v>643.133333333333</v>
      </c>
      <c r="F1253" s="7" t="n">
        <v>2</v>
      </c>
      <c r="G1253" s="5" t="n">
        <v>1900</v>
      </c>
    </row>
    <row r="1254" customFormat="false" ht="15" hidden="false" customHeight="false" outlineLevel="0" collapsed="false">
      <c r="A1254" s="13" t="s">
        <v>312</v>
      </c>
      <c r="B1254" s="13" t="s">
        <v>43</v>
      </c>
      <c r="C1254" s="13" t="s">
        <v>4</v>
      </c>
      <c r="D1254" s="13" t="s">
        <v>937</v>
      </c>
      <c r="E1254" s="16" t="n">
        <v>189.573</v>
      </c>
      <c r="F1254" s="7" t="n">
        <v>5</v>
      </c>
      <c r="G1254" s="5" t="n">
        <v>1900</v>
      </c>
    </row>
    <row r="1255" customFormat="false" ht="15" hidden="false" customHeight="false" outlineLevel="0" collapsed="false">
      <c r="A1255" s="13" t="s">
        <v>50</v>
      </c>
      <c r="B1255" s="13" t="s">
        <v>43</v>
      </c>
      <c r="C1255" s="13" t="s">
        <v>4</v>
      </c>
      <c r="D1255" s="13" t="s">
        <v>289</v>
      </c>
      <c r="E1255" s="16" t="n">
        <v>950.38</v>
      </c>
      <c r="F1255" s="7" t="n">
        <v>2</v>
      </c>
      <c r="G1255" s="5" t="n">
        <v>1900</v>
      </c>
    </row>
    <row r="1256" customFormat="false" ht="15" hidden="false" customHeight="false" outlineLevel="0" collapsed="false">
      <c r="A1256" s="13" t="s">
        <v>270</v>
      </c>
      <c r="B1256" s="13" t="s">
        <v>43</v>
      </c>
      <c r="C1256" s="13" t="s">
        <v>3</v>
      </c>
      <c r="D1256" s="13" t="s">
        <v>938</v>
      </c>
      <c r="E1256" s="16" t="n">
        <v>194.811</v>
      </c>
      <c r="F1256" s="7" t="n">
        <v>5</v>
      </c>
      <c r="G1256" s="5" t="n">
        <v>1900</v>
      </c>
    </row>
    <row r="1257" customFormat="false" ht="15" hidden="false" customHeight="false" outlineLevel="0" collapsed="false">
      <c r="A1257" s="13" t="s">
        <v>61</v>
      </c>
      <c r="B1257" s="13" t="s">
        <v>43</v>
      </c>
      <c r="C1257" s="13" t="s">
        <v>5</v>
      </c>
      <c r="D1257" s="13" t="s">
        <v>939</v>
      </c>
      <c r="E1257" s="16" t="n">
        <v>388.022</v>
      </c>
      <c r="F1257" s="7" t="n">
        <v>5</v>
      </c>
      <c r="G1257" s="5" t="n">
        <v>1900</v>
      </c>
    </row>
    <row r="1258" customFormat="false" ht="15" hidden="false" customHeight="false" outlineLevel="0" collapsed="false">
      <c r="A1258" s="13" t="s">
        <v>107</v>
      </c>
      <c r="B1258" s="13" t="s">
        <v>43</v>
      </c>
      <c r="C1258" s="13" t="s">
        <v>5</v>
      </c>
      <c r="D1258" s="13" t="s">
        <v>940</v>
      </c>
      <c r="E1258" s="16" t="n">
        <v>67.02</v>
      </c>
      <c r="F1258" s="7" t="n">
        <v>30</v>
      </c>
      <c r="G1258" s="5" t="n">
        <v>1900</v>
      </c>
    </row>
    <row r="1259" customFormat="false" ht="15" hidden="false" customHeight="false" outlineLevel="0" collapsed="false">
      <c r="A1259" s="13" t="s">
        <v>42</v>
      </c>
      <c r="B1259" s="13" t="s">
        <v>43</v>
      </c>
      <c r="C1259" s="13" t="s">
        <v>5</v>
      </c>
      <c r="D1259" s="13" t="s">
        <v>246</v>
      </c>
      <c r="E1259" s="16" t="n">
        <v>631.09</v>
      </c>
      <c r="F1259" s="7" t="n">
        <v>2</v>
      </c>
      <c r="G1259" s="5" t="n">
        <v>1900</v>
      </c>
    </row>
    <row r="1260" customFormat="false" ht="15" hidden="false" customHeight="false" outlineLevel="0" collapsed="false">
      <c r="A1260" s="13" t="s">
        <v>286</v>
      </c>
      <c r="B1260" s="13" t="s">
        <v>43</v>
      </c>
      <c r="C1260" s="13" t="s">
        <v>5</v>
      </c>
      <c r="D1260" s="13" t="s">
        <v>941</v>
      </c>
      <c r="E1260" s="16" t="n">
        <v>234</v>
      </c>
      <c r="F1260" s="7" t="n">
        <v>5</v>
      </c>
      <c r="G1260" s="5" t="n">
        <v>1900</v>
      </c>
    </row>
    <row r="1261" customFormat="false" ht="15" hidden="false" customHeight="false" outlineLevel="0" collapsed="false">
      <c r="A1261" s="13" t="s">
        <v>45</v>
      </c>
      <c r="B1261" s="13" t="s">
        <v>43</v>
      </c>
      <c r="C1261" s="13" t="s">
        <v>4</v>
      </c>
      <c r="D1261" s="13" t="s">
        <v>279</v>
      </c>
      <c r="E1261" s="16" t="n">
        <v>932.685</v>
      </c>
      <c r="F1261" s="7" t="n">
        <v>2</v>
      </c>
      <c r="G1261" s="5" t="n">
        <v>1900</v>
      </c>
    </row>
    <row r="1262" customFormat="false" ht="15" hidden="false" customHeight="false" outlineLevel="0" collapsed="false">
      <c r="A1262" s="13" t="s">
        <v>69</v>
      </c>
      <c r="B1262" s="13" t="s">
        <v>43</v>
      </c>
      <c r="C1262" s="13" t="s">
        <v>5</v>
      </c>
      <c r="D1262" s="13" t="s">
        <v>78</v>
      </c>
      <c r="E1262" s="16" t="n">
        <v>917.505</v>
      </c>
      <c r="F1262" s="7" t="n">
        <v>2</v>
      </c>
      <c r="G1262" s="5" t="n">
        <v>1800</v>
      </c>
    </row>
    <row r="1263" customFormat="false" ht="15" hidden="false" customHeight="false" outlineLevel="0" collapsed="false">
      <c r="A1263" s="13" t="s">
        <v>195</v>
      </c>
      <c r="B1263" s="13" t="s">
        <v>43</v>
      </c>
      <c r="C1263" s="13" t="s">
        <v>5</v>
      </c>
      <c r="D1263" s="13" t="s">
        <v>798</v>
      </c>
      <c r="E1263" s="16" t="n">
        <v>613.856666666667</v>
      </c>
      <c r="F1263" s="7" t="n">
        <v>2</v>
      </c>
      <c r="G1263" s="5" t="n">
        <v>1800</v>
      </c>
    </row>
    <row r="1264" customFormat="false" ht="15" hidden="false" customHeight="false" outlineLevel="0" collapsed="false">
      <c r="A1264" s="13" t="s">
        <v>124</v>
      </c>
      <c r="B1264" s="13" t="s">
        <v>43</v>
      </c>
      <c r="C1264" s="13" t="s">
        <v>5</v>
      </c>
      <c r="D1264" s="13" t="s">
        <v>942</v>
      </c>
      <c r="E1264" s="16" t="n">
        <v>613.9</v>
      </c>
      <c r="F1264" s="7" t="n">
        <v>2</v>
      </c>
      <c r="G1264" s="5" t="n">
        <v>1800</v>
      </c>
    </row>
    <row r="1265" customFormat="false" ht="15" hidden="false" customHeight="false" outlineLevel="0" collapsed="false">
      <c r="A1265" s="13" t="s">
        <v>204</v>
      </c>
      <c r="B1265" s="13" t="s">
        <v>43</v>
      </c>
      <c r="C1265" s="13" t="s">
        <v>4</v>
      </c>
      <c r="D1265" s="13" t="s">
        <v>205</v>
      </c>
      <c r="E1265" s="16" t="n">
        <v>460.63</v>
      </c>
      <c r="F1265" s="7" t="n">
        <v>2</v>
      </c>
      <c r="G1265" s="5" t="n">
        <v>1800</v>
      </c>
    </row>
    <row r="1266" customFormat="false" ht="15" hidden="false" customHeight="false" outlineLevel="0" collapsed="false">
      <c r="A1266" s="13" t="s">
        <v>341</v>
      </c>
      <c r="B1266" s="13" t="s">
        <v>43</v>
      </c>
      <c r="C1266" s="13" t="s">
        <v>4</v>
      </c>
      <c r="D1266" s="13" t="s">
        <v>943</v>
      </c>
      <c r="E1266" s="16" t="n">
        <v>160.97</v>
      </c>
      <c r="F1266" s="7" t="n">
        <v>10</v>
      </c>
      <c r="G1266" s="5" t="n">
        <v>1800</v>
      </c>
    </row>
    <row r="1267" customFormat="false" ht="15" hidden="false" customHeight="false" outlineLevel="0" collapsed="false">
      <c r="A1267" s="13" t="s">
        <v>42</v>
      </c>
      <c r="B1267" s="13" t="s">
        <v>43</v>
      </c>
      <c r="C1267" s="13" t="s">
        <v>4</v>
      </c>
      <c r="D1267" s="13" t="s">
        <v>944</v>
      </c>
      <c r="E1267" s="16" t="n">
        <v>451.505</v>
      </c>
      <c r="F1267" s="7" t="n">
        <v>2</v>
      </c>
      <c r="G1267" s="5" t="n">
        <v>1800</v>
      </c>
    </row>
    <row r="1268" customFormat="false" ht="15" hidden="false" customHeight="false" outlineLevel="0" collapsed="false">
      <c r="A1268" s="13" t="s">
        <v>45</v>
      </c>
      <c r="B1268" s="13" t="s">
        <v>43</v>
      </c>
      <c r="C1268" s="13" t="s">
        <v>4</v>
      </c>
      <c r="D1268" s="13" t="s">
        <v>945</v>
      </c>
      <c r="E1268" s="16" t="n">
        <v>895.785</v>
      </c>
      <c r="F1268" s="7" t="n">
        <v>2</v>
      </c>
      <c r="G1268" s="5" t="n">
        <v>1800</v>
      </c>
    </row>
    <row r="1269" customFormat="false" ht="15" hidden="false" customHeight="false" outlineLevel="0" collapsed="false">
      <c r="A1269" s="13" t="s">
        <v>45</v>
      </c>
      <c r="B1269" s="13" t="s">
        <v>43</v>
      </c>
      <c r="C1269" s="13" t="s">
        <v>4</v>
      </c>
      <c r="D1269" s="13" t="s">
        <v>946</v>
      </c>
      <c r="E1269" s="16" t="n">
        <v>891.87</v>
      </c>
      <c r="F1269" s="7" t="n">
        <v>2</v>
      </c>
      <c r="G1269" s="5" t="n">
        <v>1800</v>
      </c>
    </row>
    <row r="1270" customFormat="false" ht="15" hidden="false" customHeight="false" outlineLevel="0" collapsed="false">
      <c r="A1270" s="13" t="s">
        <v>45</v>
      </c>
      <c r="B1270" s="13" t="s">
        <v>43</v>
      </c>
      <c r="C1270" s="13" t="s">
        <v>4</v>
      </c>
      <c r="D1270" s="13" t="s">
        <v>430</v>
      </c>
      <c r="E1270" s="16" t="n">
        <v>876.215</v>
      </c>
      <c r="F1270" s="7" t="n">
        <v>2</v>
      </c>
      <c r="G1270" s="5" t="n">
        <v>1800</v>
      </c>
    </row>
    <row r="1271" customFormat="false" ht="15" hidden="false" customHeight="false" outlineLevel="0" collapsed="false">
      <c r="A1271" s="13" t="s">
        <v>45</v>
      </c>
      <c r="B1271" s="13" t="s">
        <v>183</v>
      </c>
      <c r="C1271" s="13" t="s">
        <v>4</v>
      </c>
      <c r="D1271" s="13" t="s">
        <v>679</v>
      </c>
      <c r="E1271" s="16" t="n">
        <v>896.815</v>
      </c>
      <c r="F1271" s="7" t="n">
        <v>2</v>
      </c>
      <c r="G1271" s="5" t="n">
        <v>1800</v>
      </c>
    </row>
    <row r="1272" customFormat="false" ht="15" hidden="false" customHeight="false" outlineLevel="0" collapsed="false">
      <c r="A1272" s="13" t="s">
        <v>50</v>
      </c>
      <c r="B1272" s="13" t="s">
        <v>43</v>
      </c>
      <c r="C1272" s="13" t="s">
        <v>4</v>
      </c>
      <c r="D1272" s="13" t="s">
        <v>947</v>
      </c>
      <c r="E1272" s="16" t="n">
        <v>900</v>
      </c>
      <c r="F1272" s="7" t="n">
        <v>2</v>
      </c>
      <c r="G1272" s="5" t="n">
        <v>1800</v>
      </c>
    </row>
    <row r="1273" customFormat="false" ht="15" hidden="false" customHeight="false" outlineLevel="0" collapsed="false">
      <c r="A1273" s="13" t="s">
        <v>50</v>
      </c>
      <c r="B1273" s="13" t="s">
        <v>43</v>
      </c>
      <c r="C1273" s="13" t="s">
        <v>4</v>
      </c>
      <c r="D1273" s="13" t="s">
        <v>294</v>
      </c>
      <c r="E1273" s="16" t="n">
        <v>903.825</v>
      </c>
      <c r="F1273" s="7" t="n">
        <v>2</v>
      </c>
      <c r="G1273" s="5" t="n">
        <v>1800</v>
      </c>
    </row>
    <row r="1274" customFormat="false" ht="15" hidden="false" customHeight="false" outlineLevel="0" collapsed="false">
      <c r="A1274" s="13" t="s">
        <v>50</v>
      </c>
      <c r="B1274" s="13" t="s">
        <v>43</v>
      </c>
      <c r="C1274" s="13" t="s">
        <v>4</v>
      </c>
      <c r="D1274" s="13" t="s">
        <v>948</v>
      </c>
      <c r="E1274" s="16" t="n">
        <v>919.08</v>
      </c>
      <c r="F1274" s="7" t="n">
        <v>2</v>
      </c>
      <c r="G1274" s="5" t="n">
        <v>1800</v>
      </c>
    </row>
    <row r="1275" customFormat="false" ht="15" hidden="false" customHeight="false" outlineLevel="0" collapsed="false">
      <c r="A1275" s="13" t="s">
        <v>79</v>
      </c>
      <c r="B1275" s="13" t="s">
        <v>43</v>
      </c>
      <c r="C1275" s="13" t="s">
        <v>4</v>
      </c>
      <c r="D1275" s="13" t="s">
        <v>522</v>
      </c>
      <c r="E1275" s="16" t="n">
        <v>608.3</v>
      </c>
      <c r="F1275" s="7" t="n">
        <v>2</v>
      </c>
      <c r="G1275" s="5" t="n">
        <v>1800</v>
      </c>
    </row>
    <row r="1276" customFormat="false" ht="15" hidden="false" customHeight="false" outlineLevel="0" collapsed="false">
      <c r="A1276" s="13" t="s">
        <v>61</v>
      </c>
      <c r="B1276" s="13" t="s">
        <v>43</v>
      </c>
      <c r="C1276" s="13" t="s">
        <v>5</v>
      </c>
      <c r="D1276" s="13" t="s">
        <v>949</v>
      </c>
      <c r="E1276" s="16" t="n">
        <v>606.003333333333</v>
      </c>
      <c r="F1276" s="7" t="n">
        <v>2</v>
      </c>
      <c r="G1276" s="5" t="n">
        <v>1800</v>
      </c>
    </row>
    <row r="1277" customFormat="false" ht="15" hidden="false" customHeight="false" outlineLevel="0" collapsed="false">
      <c r="A1277" s="13" t="s">
        <v>61</v>
      </c>
      <c r="B1277" s="13" t="s">
        <v>43</v>
      </c>
      <c r="C1277" s="13" t="s">
        <v>5</v>
      </c>
      <c r="D1277" s="13" t="s">
        <v>950</v>
      </c>
      <c r="E1277" s="16" t="n">
        <v>611</v>
      </c>
      <c r="F1277" s="7" t="n">
        <v>2</v>
      </c>
      <c r="G1277" s="5" t="n">
        <v>1800</v>
      </c>
    </row>
    <row r="1278" customFormat="false" ht="15" hidden="false" customHeight="false" outlineLevel="0" collapsed="false">
      <c r="A1278" s="13" t="s">
        <v>255</v>
      </c>
      <c r="B1278" s="13" t="s">
        <v>43</v>
      </c>
      <c r="C1278" s="13" t="s">
        <v>3</v>
      </c>
      <c r="D1278" s="13" t="s">
        <v>951</v>
      </c>
      <c r="E1278" s="16" t="n">
        <v>159.99</v>
      </c>
      <c r="F1278" s="7" t="n">
        <v>10</v>
      </c>
      <c r="G1278" s="5" t="n">
        <v>1800</v>
      </c>
    </row>
    <row r="1279" customFormat="false" ht="15" hidden="false" customHeight="false" outlineLevel="0" collapsed="false">
      <c r="A1279" s="13" t="s">
        <v>81</v>
      </c>
      <c r="B1279" s="13" t="s">
        <v>85</v>
      </c>
      <c r="C1279" s="13" t="s">
        <v>3</v>
      </c>
      <c r="D1279" s="13" t="s">
        <v>952</v>
      </c>
      <c r="E1279" s="16" t="n">
        <v>62.87</v>
      </c>
      <c r="F1279" s="7" t="n">
        <v>30</v>
      </c>
      <c r="G1279" s="5" t="n">
        <v>1800</v>
      </c>
    </row>
    <row r="1280" customFormat="false" ht="15" hidden="false" customHeight="false" outlineLevel="0" collapsed="false">
      <c r="A1280" s="13" t="s">
        <v>50</v>
      </c>
      <c r="B1280" s="13" t="s">
        <v>43</v>
      </c>
      <c r="C1280" s="13" t="s">
        <v>4</v>
      </c>
      <c r="D1280" s="13" t="s">
        <v>953</v>
      </c>
      <c r="E1280" s="16" t="n">
        <v>601.14</v>
      </c>
      <c r="F1280" s="7" t="n">
        <v>2</v>
      </c>
      <c r="G1280" s="5" t="n">
        <v>1800</v>
      </c>
    </row>
    <row r="1281" customFormat="false" ht="15" hidden="false" customHeight="false" outlineLevel="0" collapsed="false">
      <c r="A1281" s="13" t="s">
        <v>54</v>
      </c>
      <c r="B1281" s="13" t="s">
        <v>43</v>
      </c>
      <c r="C1281" s="13" t="s">
        <v>5</v>
      </c>
      <c r="D1281" s="13" t="s">
        <v>954</v>
      </c>
      <c r="E1281" s="16" t="n">
        <v>881.71</v>
      </c>
      <c r="F1281" s="7" t="n">
        <v>2</v>
      </c>
      <c r="G1281" s="5" t="n">
        <v>1800</v>
      </c>
    </row>
    <row r="1282" customFormat="false" ht="15" hidden="false" customHeight="false" outlineLevel="0" collapsed="false">
      <c r="A1282" s="13" t="s">
        <v>42</v>
      </c>
      <c r="B1282" s="13" t="s">
        <v>43</v>
      </c>
      <c r="C1282" s="13" t="s">
        <v>4</v>
      </c>
      <c r="D1282" s="13" t="s">
        <v>389</v>
      </c>
      <c r="E1282" s="16" t="n">
        <v>257.21</v>
      </c>
      <c r="F1282" s="7" t="n">
        <v>5</v>
      </c>
      <c r="G1282" s="5" t="n">
        <v>1800</v>
      </c>
    </row>
    <row r="1283" customFormat="false" ht="15" hidden="false" customHeight="false" outlineLevel="0" collapsed="false">
      <c r="A1283" s="13" t="s">
        <v>79</v>
      </c>
      <c r="B1283" s="13" t="s">
        <v>43</v>
      </c>
      <c r="C1283" s="13" t="s">
        <v>4</v>
      </c>
      <c r="D1283" s="13" t="s">
        <v>469</v>
      </c>
      <c r="E1283" s="16" t="n">
        <v>900.51</v>
      </c>
      <c r="F1283" s="7" t="n">
        <v>2</v>
      </c>
      <c r="G1283" s="5" t="n">
        <v>1800</v>
      </c>
    </row>
    <row r="1284" customFormat="false" ht="15" hidden="false" customHeight="false" outlineLevel="0" collapsed="false">
      <c r="A1284" s="13" t="s">
        <v>45</v>
      </c>
      <c r="B1284" s="13" t="s">
        <v>43</v>
      </c>
      <c r="C1284" s="13" t="s">
        <v>5</v>
      </c>
      <c r="D1284" s="13" t="s">
        <v>46</v>
      </c>
      <c r="E1284" s="16" t="n">
        <v>585</v>
      </c>
      <c r="F1284" s="7" t="n">
        <v>2</v>
      </c>
      <c r="G1284" s="5" t="n">
        <v>1800</v>
      </c>
    </row>
    <row r="1285" customFormat="false" ht="15" hidden="false" customHeight="false" outlineLevel="0" collapsed="false">
      <c r="A1285" s="13" t="s">
        <v>42</v>
      </c>
      <c r="B1285" s="13" t="s">
        <v>43</v>
      </c>
      <c r="C1285" s="13" t="s">
        <v>5</v>
      </c>
      <c r="D1285" s="13" t="s">
        <v>955</v>
      </c>
      <c r="E1285" s="16" t="n">
        <v>586.44</v>
      </c>
      <c r="F1285" s="7" t="n">
        <v>2</v>
      </c>
      <c r="G1285" s="5" t="n">
        <v>1800</v>
      </c>
    </row>
    <row r="1286" customFormat="false" ht="15" hidden="false" customHeight="false" outlineLevel="0" collapsed="false">
      <c r="A1286" s="13" t="s">
        <v>107</v>
      </c>
      <c r="B1286" s="13" t="s">
        <v>43</v>
      </c>
      <c r="C1286" s="13" t="s">
        <v>5</v>
      </c>
      <c r="D1286" s="13" t="s">
        <v>956</v>
      </c>
      <c r="E1286" s="16" t="n">
        <v>220</v>
      </c>
      <c r="F1286" s="7" t="n">
        <v>5</v>
      </c>
      <c r="G1286" s="5" t="n">
        <v>1800</v>
      </c>
    </row>
    <row r="1287" customFormat="false" ht="15" hidden="false" customHeight="false" outlineLevel="0" collapsed="false">
      <c r="A1287" s="13" t="s">
        <v>69</v>
      </c>
      <c r="B1287" s="13" t="s">
        <v>43</v>
      </c>
      <c r="C1287" s="13" t="s">
        <v>5</v>
      </c>
      <c r="D1287" s="13" t="s">
        <v>957</v>
      </c>
      <c r="E1287" s="16" t="n">
        <v>900.98</v>
      </c>
      <c r="F1287" s="7" t="n">
        <v>2</v>
      </c>
      <c r="G1287" s="5" t="n">
        <v>1800</v>
      </c>
    </row>
    <row r="1288" customFormat="false" ht="15" hidden="false" customHeight="false" outlineLevel="0" collapsed="false">
      <c r="A1288" s="13" t="s">
        <v>54</v>
      </c>
      <c r="B1288" s="13" t="s">
        <v>43</v>
      </c>
      <c r="C1288" s="13" t="s">
        <v>5</v>
      </c>
      <c r="D1288" s="13" t="s">
        <v>718</v>
      </c>
      <c r="E1288" s="16" t="n">
        <v>307.083333333333</v>
      </c>
      <c r="F1288" s="7" t="n">
        <v>5</v>
      </c>
      <c r="G1288" s="5" t="n">
        <v>1800</v>
      </c>
    </row>
    <row r="1289" customFormat="false" ht="15" hidden="false" customHeight="false" outlineLevel="0" collapsed="false">
      <c r="A1289" s="13" t="s">
        <v>103</v>
      </c>
      <c r="B1289" s="13" t="s">
        <v>43</v>
      </c>
      <c r="C1289" s="13" t="s">
        <v>5</v>
      </c>
      <c r="D1289" s="13" t="s">
        <v>958</v>
      </c>
      <c r="E1289" s="16" t="n">
        <v>230.43</v>
      </c>
      <c r="F1289" s="7" t="n">
        <v>5</v>
      </c>
      <c r="G1289" s="5" t="n">
        <v>1800</v>
      </c>
    </row>
    <row r="1290" customFormat="false" ht="15" hidden="false" customHeight="false" outlineLevel="0" collapsed="false">
      <c r="A1290" s="13" t="s">
        <v>315</v>
      </c>
      <c r="B1290" s="13" t="s">
        <v>43</v>
      </c>
      <c r="C1290" s="13" t="s">
        <v>5</v>
      </c>
      <c r="D1290" s="13" t="s">
        <v>959</v>
      </c>
      <c r="E1290" s="16" t="n">
        <v>897.83</v>
      </c>
      <c r="F1290" s="7" t="n">
        <v>2</v>
      </c>
      <c r="G1290" s="5" t="n">
        <v>1800</v>
      </c>
    </row>
    <row r="1291" customFormat="false" ht="15" hidden="false" customHeight="false" outlineLevel="0" collapsed="false">
      <c r="A1291" s="13" t="s">
        <v>193</v>
      </c>
      <c r="B1291" s="13" t="s">
        <v>43</v>
      </c>
      <c r="C1291" s="13" t="s">
        <v>5</v>
      </c>
      <c r="D1291" s="13" t="s">
        <v>681</v>
      </c>
      <c r="E1291" s="16" t="n">
        <v>447.525</v>
      </c>
      <c r="F1291" s="7" t="n">
        <v>2</v>
      </c>
      <c r="G1291" s="5" t="n">
        <v>1800</v>
      </c>
    </row>
    <row r="1292" customFormat="false" ht="15" hidden="false" customHeight="false" outlineLevel="0" collapsed="false">
      <c r="A1292" s="13" t="s">
        <v>42</v>
      </c>
      <c r="B1292" s="13" t="s">
        <v>43</v>
      </c>
      <c r="C1292" s="13" t="s">
        <v>5</v>
      </c>
      <c r="D1292" s="13" t="s">
        <v>925</v>
      </c>
      <c r="E1292" s="16" t="n">
        <v>452.185</v>
      </c>
      <c r="F1292" s="7" t="n">
        <v>2</v>
      </c>
      <c r="G1292" s="5" t="n">
        <v>1800</v>
      </c>
    </row>
    <row r="1293" customFormat="false" ht="15" hidden="false" customHeight="false" outlineLevel="0" collapsed="false">
      <c r="A1293" s="13" t="s">
        <v>45</v>
      </c>
      <c r="B1293" s="13" t="s">
        <v>43</v>
      </c>
      <c r="C1293" s="13" t="s">
        <v>5</v>
      </c>
      <c r="D1293" s="13" t="s">
        <v>430</v>
      </c>
      <c r="E1293" s="16" t="n">
        <v>903.83</v>
      </c>
      <c r="F1293" s="7" t="n">
        <v>2</v>
      </c>
      <c r="G1293" s="5" t="n">
        <v>1800</v>
      </c>
    </row>
    <row r="1294" customFormat="false" ht="15" hidden="false" customHeight="false" outlineLevel="0" collapsed="false">
      <c r="A1294" s="13" t="s">
        <v>121</v>
      </c>
      <c r="B1294" s="13" t="s">
        <v>183</v>
      </c>
      <c r="C1294" s="13" t="s">
        <v>5</v>
      </c>
      <c r="D1294" s="13" t="s">
        <v>960</v>
      </c>
      <c r="E1294" s="16" t="n">
        <v>50.4608333333333</v>
      </c>
      <c r="F1294" s="7" t="n">
        <v>40</v>
      </c>
      <c r="G1294" s="5" t="n">
        <v>1800</v>
      </c>
    </row>
    <row r="1295" customFormat="false" ht="15" hidden="false" customHeight="false" outlineLevel="0" collapsed="false">
      <c r="A1295" s="13" t="s">
        <v>315</v>
      </c>
      <c r="B1295" s="13" t="s">
        <v>43</v>
      </c>
      <c r="C1295" s="13" t="s">
        <v>5</v>
      </c>
      <c r="D1295" s="13" t="s">
        <v>316</v>
      </c>
      <c r="E1295" s="16" t="n">
        <v>599</v>
      </c>
      <c r="F1295" s="7" t="n">
        <v>2</v>
      </c>
      <c r="G1295" s="5" t="n">
        <v>1800</v>
      </c>
    </row>
    <row r="1296" customFormat="false" ht="15" hidden="false" customHeight="false" outlineLevel="0" collapsed="false">
      <c r="A1296" s="13" t="s">
        <v>54</v>
      </c>
      <c r="B1296" s="13" t="s">
        <v>43</v>
      </c>
      <c r="C1296" s="13" t="s">
        <v>5</v>
      </c>
      <c r="D1296" s="13" t="s">
        <v>961</v>
      </c>
      <c r="E1296" s="16" t="n">
        <v>449.545</v>
      </c>
      <c r="F1296" s="7" t="n">
        <v>2</v>
      </c>
      <c r="G1296" s="5" t="n">
        <v>1800</v>
      </c>
    </row>
    <row r="1297" customFormat="false" ht="15" hidden="false" customHeight="false" outlineLevel="0" collapsed="false">
      <c r="A1297" s="13" t="s">
        <v>121</v>
      </c>
      <c r="B1297" s="13" t="s">
        <v>183</v>
      </c>
      <c r="C1297" s="13" t="s">
        <v>5</v>
      </c>
      <c r="D1297" s="13" t="s">
        <v>669</v>
      </c>
      <c r="E1297" s="16" t="n">
        <v>99.9</v>
      </c>
      <c r="F1297" s="7" t="n">
        <v>20</v>
      </c>
      <c r="G1297" s="5" t="n">
        <v>1800</v>
      </c>
    </row>
    <row r="1298" customFormat="false" ht="15" hidden="false" customHeight="false" outlineLevel="0" collapsed="false">
      <c r="A1298" s="13" t="s">
        <v>72</v>
      </c>
      <c r="B1298" s="13" t="s">
        <v>43</v>
      </c>
      <c r="C1298" s="13" t="s">
        <v>5</v>
      </c>
      <c r="D1298" s="13" t="s">
        <v>962</v>
      </c>
      <c r="E1298" s="16" t="n">
        <v>884</v>
      </c>
      <c r="F1298" s="7" t="n">
        <v>2</v>
      </c>
      <c r="G1298" s="5" t="n">
        <v>1800</v>
      </c>
    </row>
    <row r="1299" customFormat="false" ht="15" hidden="false" customHeight="false" outlineLevel="0" collapsed="false">
      <c r="A1299" s="13" t="s">
        <v>107</v>
      </c>
      <c r="B1299" s="13" t="s">
        <v>183</v>
      </c>
      <c r="C1299" s="13" t="s">
        <v>5</v>
      </c>
      <c r="D1299" s="13" t="s">
        <v>963</v>
      </c>
      <c r="E1299" s="16" t="n">
        <v>73</v>
      </c>
      <c r="F1299" s="7" t="n">
        <v>20</v>
      </c>
      <c r="G1299" s="5" t="n">
        <v>1800</v>
      </c>
    </row>
    <row r="1300" customFormat="false" ht="15" hidden="false" customHeight="false" outlineLevel="0" collapsed="false">
      <c r="A1300" s="13" t="s">
        <v>72</v>
      </c>
      <c r="B1300" s="13" t="s">
        <v>43</v>
      </c>
      <c r="C1300" s="13" t="s">
        <v>5</v>
      </c>
      <c r="D1300" s="13" t="s">
        <v>964</v>
      </c>
      <c r="E1300" s="16" t="n">
        <v>907.59</v>
      </c>
      <c r="F1300" s="7" t="n">
        <v>2</v>
      </c>
      <c r="G1300" s="5" t="n">
        <v>1800</v>
      </c>
    </row>
    <row r="1301" customFormat="false" ht="15" hidden="false" customHeight="false" outlineLevel="0" collapsed="false">
      <c r="A1301" s="13" t="s">
        <v>81</v>
      </c>
      <c r="B1301" s="13" t="s">
        <v>129</v>
      </c>
      <c r="C1301" s="13" t="s">
        <v>3</v>
      </c>
      <c r="D1301" s="13" t="s">
        <v>965</v>
      </c>
      <c r="E1301" s="16" t="n">
        <v>40.1073913043478</v>
      </c>
      <c r="F1301" s="7" t="n">
        <v>50</v>
      </c>
      <c r="G1301" s="5" t="n">
        <v>1800</v>
      </c>
    </row>
    <row r="1302" customFormat="false" ht="15" hidden="false" customHeight="false" outlineLevel="0" collapsed="false">
      <c r="A1302" s="13" t="s">
        <v>131</v>
      </c>
      <c r="B1302" s="13" t="s">
        <v>66</v>
      </c>
      <c r="C1302" s="13" t="s">
        <v>3</v>
      </c>
      <c r="D1302" s="13" t="s">
        <v>966</v>
      </c>
      <c r="E1302" s="16" t="n">
        <v>219.9</v>
      </c>
      <c r="F1302" s="7" t="n">
        <v>5</v>
      </c>
      <c r="G1302" s="5" t="n">
        <v>1800</v>
      </c>
    </row>
    <row r="1303" customFormat="false" ht="15" hidden="false" customHeight="false" outlineLevel="0" collapsed="false">
      <c r="A1303" s="13" t="s">
        <v>45</v>
      </c>
      <c r="B1303" s="13" t="s">
        <v>43</v>
      </c>
      <c r="C1303" s="13" t="s">
        <v>4</v>
      </c>
      <c r="D1303" s="13" t="s">
        <v>967</v>
      </c>
      <c r="E1303" s="16" t="n">
        <v>589</v>
      </c>
      <c r="F1303" s="7" t="n">
        <v>2</v>
      </c>
      <c r="G1303" s="5" t="n">
        <v>1800</v>
      </c>
    </row>
    <row r="1304" customFormat="false" ht="15" hidden="false" customHeight="false" outlineLevel="0" collapsed="false">
      <c r="A1304" s="13" t="s">
        <v>362</v>
      </c>
      <c r="B1304" s="13" t="s">
        <v>43</v>
      </c>
      <c r="C1304" s="13" t="s">
        <v>4</v>
      </c>
      <c r="D1304" s="13" t="s">
        <v>968</v>
      </c>
      <c r="E1304" s="16" t="n">
        <v>588.31</v>
      </c>
      <c r="F1304" s="7" t="n">
        <v>2</v>
      </c>
      <c r="G1304" s="5" t="n">
        <v>1800</v>
      </c>
    </row>
    <row r="1305" customFormat="false" ht="15" hidden="false" customHeight="false" outlineLevel="0" collapsed="false">
      <c r="A1305" s="13" t="s">
        <v>42</v>
      </c>
      <c r="B1305" s="13" t="s">
        <v>43</v>
      </c>
      <c r="C1305" s="13" t="s">
        <v>4</v>
      </c>
      <c r="D1305" s="13" t="s">
        <v>44</v>
      </c>
      <c r="E1305" s="16" t="n">
        <v>881.79</v>
      </c>
      <c r="F1305" s="7" t="n">
        <v>2</v>
      </c>
      <c r="G1305" s="5" t="n">
        <v>1800</v>
      </c>
    </row>
    <row r="1306" customFormat="false" ht="15" hidden="false" customHeight="false" outlineLevel="0" collapsed="false">
      <c r="A1306" s="13" t="s">
        <v>54</v>
      </c>
      <c r="B1306" s="13" t="s">
        <v>43</v>
      </c>
      <c r="C1306" s="13" t="s">
        <v>5</v>
      </c>
      <c r="D1306" s="13" t="s">
        <v>969</v>
      </c>
      <c r="E1306" s="16" t="n">
        <v>906.85</v>
      </c>
      <c r="F1306" s="7" t="n">
        <v>2</v>
      </c>
      <c r="G1306" s="5" t="n">
        <v>1800</v>
      </c>
    </row>
    <row r="1307" customFormat="false" ht="15" hidden="false" customHeight="false" outlineLevel="0" collapsed="false">
      <c r="A1307" s="13" t="s">
        <v>92</v>
      </c>
      <c r="B1307" s="13" t="s">
        <v>43</v>
      </c>
      <c r="C1307" s="13" t="s">
        <v>4</v>
      </c>
      <c r="D1307" s="13" t="s">
        <v>970</v>
      </c>
      <c r="E1307" s="16" t="n">
        <v>589.193333333333</v>
      </c>
      <c r="F1307" s="7" t="n">
        <v>2</v>
      </c>
      <c r="G1307" s="5" t="n">
        <v>1800</v>
      </c>
    </row>
    <row r="1308" customFormat="false" ht="15" hidden="false" customHeight="false" outlineLevel="0" collapsed="false">
      <c r="A1308" s="13" t="s">
        <v>103</v>
      </c>
      <c r="B1308" s="13" t="s">
        <v>43</v>
      </c>
      <c r="C1308" s="13" t="s">
        <v>4</v>
      </c>
      <c r="D1308" s="13" t="s">
        <v>420</v>
      </c>
      <c r="E1308" s="16" t="n">
        <v>240.17</v>
      </c>
      <c r="F1308" s="7" t="n">
        <v>5</v>
      </c>
      <c r="G1308" s="5" t="n">
        <v>1700</v>
      </c>
    </row>
    <row r="1309" customFormat="false" ht="15" hidden="false" customHeight="false" outlineLevel="0" collapsed="false">
      <c r="A1309" s="13" t="s">
        <v>153</v>
      </c>
      <c r="B1309" s="13" t="s">
        <v>43</v>
      </c>
      <c r="C1309" s="13" t="s">
        <v>4</v>
      </c>
      <c r="D1309" s="13" t="s">
        <v>971</v>
      </c>
      <c r="E1309" s="16" t="n">
        <v>335.332</v>
      </c>
      <c r="F1309" s="7" t="n">
        <v>5</v>
      </c>
      <c r="G1309" s="5" t="n">
        <v>1700</v>
      </c>
    </row>
    <row r="1310" customFormat="false" ht="15" hidden="false" customHeight="false" outlineLevel="0" collapsed="false">
      <c r="A1310" s="13" t="s">
        <v>362</v>
      </c>
      <c r="B1310" s="13" t="s">
        <v>43</v>
      </c>
      <c r="C1310" s="13" t="s">
        <v>4</v>
      </c>
      <c r="D1310" s="13" t="s">
        <v>538</v>
      </c>
      <c r="E1310" s="16" t="n">
        <v>340.494</v>
      </c>
      <c r="F1310" s="7" t="n">
        <v>5</v>
      </c>
      <c r="G1310" s="5" t="n">
        <v>1700</v>
      </c>
    </row>
    <row r="1311" customFormat="false" ht="15" hidden="false" customHeight="false" outlineLevel="0" collapsed="false">
      <c r="A1311" s="13" t="s">
        <v>42</v>
      </c>
      <c r="B1311" s="13" t="s">
        <v>43</v>
      </c>
      <c r="C1311" s="13" t="s">
        <v>4</v>
      </c>
      <c r="D1311" s="13" t="s">
        <v>972</v>
      </c>
      <c r="E1311" s="16" t="n">
        <v>852.72</v>
      </c>
      <c r="F1311" s="7" t="n">
        <v>2</v>
      </c>
      <c r="G1311" s="5" t="n">
        <v>1700</v>
      </c>
    </row>
    <row r="1312" customFormat="false" ht="15" hidden="false" customHeight="false" outlineLevel="0" collapsed="false">
      <c r="A1312" s="13" t="s">
        <v>50</v>
      </c>
      <c r="B1312" s="13" t="s">
        <v>43</v>
      </c>
      <c r="C1312" s="13" t="s">
        <v>4</v>
      </c>
      <c r="D1312" s="13" t="s">
        <v>973</v>
      </c>
      <c r="E1312" s="16" t="n">
        <v>568.65</v>
      </c>
      <c r="F1312" s="7" t="n">
        <v>2</v>
      </c>
      <c r="G1312" s="5" t="n">
        <v>1700</v>
      </c>
    </row>
    <row r="1313" customFormat="false" ht="15" hidden="false" customHeight="false" outlineLevel="0" collapsed="false">
      <c r="A1313" s="13" t="s">
        <v>255</v>
      </c>
      <c r="B1313" s="13" t="s">
        <v>43</v>
      </c>
      <c r="C1313" s="13" t="s">
        <v>4</v>
      </c>
      <c r="D1313" s="13" t="s">
        <v>974</v>
      </c>
      <c r="E1313" s="16" t="n">
        <v>244.071428571429</v>
      </c>
      <c r="F1313" s="7" t="n">
        <v>5</v>
      </c>
      <c r="G1313" s="5" t="n">
        <v>1700</v>
      </c>
    </row>
    <row r="1314" customFormat="false" ht="15" hidden="false" customHeight="false" outlineLevel="0" collapsed="false">
      <c r="A1314" s="13" t="s">
        <v>286</v>
      </c>
      <c r="B1314" s="13" t="s">
        <v>43</v>
      </c>
      <c r="C1314" s="13" t="s">
        <v>4</v>
      </c>
      <c r="D1314" s="13" t="s">
        <v>975</v>
      </c>
      <c r="E1314" s="16" t="n">
        <v>418.52</v>
      </c>
      <c r="F1314" s="7" t="n">
        <v>2</v>
      </c>
      <c r="G1314" s="5" t="n">
        <v>1700</v>
      </c>
    </row>
    <row r="1315" customFormat="false" ht="15" hidden="false" customHeight="false" outlineLevel="0" collapsed="false">
      <c r="A1315" s="13" t="s">
        <v>105</v>
      </c>
      <c r="B1315" s="13" t="s">
        <v>43</v>
      </c>
      <c r="C1315" s="13" t="s">
        <v>4</v>
      </c>
      <c r="D1315" s="13" t="s">
        <v>976</v>
      </c>
      <c r="E1315" s="16" t="n">
        <v>558.35</v>
      </c>
      <c r="F1315" s="7" t="n">
        <v>2</v>
      </c>
      <c r="G1315" s="5" t="n">
        <v>1700</v>
      </c>
    </row>
    <row r="1316" customFormat="false" ht="15" hidden="false" customHeight="false" outlineLevel="0" collapsed="false">
      <c r="A1316" s="13" t="s">
        <v>79</v>
      </c>
      <c r="B1316" s="13" t="s">
        <v>43</v>
      </c>
      <c r="C1316" s="13" t="s">
        <v>4</v>
      </c>
      <c r="D1316" s="13" t="s">
        <v>469</v>
      </c>
      <c r="E1316" s="16" t="n">
        <v>562.213333333333</v>
      </c>
      <c r="F1316" s="7" t="n">
        <v>2</v>
      </c>
      <c r="G1316" s="5" t="n">
        <v>1700</v>
      </c>
    </row>
    <row r="1317" customFormat="false" ht="15" hidden="false" customHeight="false" outlineLevel="0" collapsed="false">
      <c r="A1317" s="13" t="s">
        <v>42</v>
      </c>
      <c r="B1317" s="13" t="s">
        <v>43</v>
      </c>
      <c r="C1317" s="13" t="s">
        <v>4</v>
      </c>
      <c r="D1317" s="13" t="s">
        <v>977</v>
      </c>
      <c r="E1317" s="16" t="n">
        <v>833.34</v>
      </c>
      <c r="F1317" s="7" t="n">
        <v>2</v>
      </c>
      <c r="G1317" s="5" t="n">
        <v>1700</v>
      </c>
    </row>
    <row r="1318" customFormat="false" ht="15" hidden="false" customHeight="false" outlineLevel="0" collapsed="false">
      <c r="A1318" s="13" t="s">
        <v>45</v>
      </c>
      <c r="B1318" s="13" t="s">
        <v>43</v>
      </c>
      <c r="C1318" s="13" t="s">
        <v>5</v>
      </c>
      <c r="D1318" s="13" t="s">
        <v>978</v>
      </c>
      <c r="E1318" s="16" t="n">
        <v>570</v>
      </c>
      <c r="F1318" s="7" t="n">
        <v>2</v>
      </c>
      <c r="G1318" s="5" t="n">
        <v>1700</v>
      </c>
    </row>
    <row r="1319" customFormat="false" ht="15" hidden="false" customHeight="false" outlineLevel="0" collapsed="false">
      <c r="A1319" s="13" t="s">
        <v>270</v>
      </c>
      <c r="B1319" s="13" t="s">
        <v>43</v>
      </c>
      <c r="C1319" s="13" t="s">
        <v>3</v>
      </c>
      <c r="D1319" s="13" t="s">
        <v>530</v>
      </c>
      <c r="E1319" s="16" t="n">
        <v>291.656666666667</v>
      </c>
      <c r="F1319" s="7" t="n">
        <v>5</v>
      </c>
      <c r="G1319" s="5" t="n">
        <v>1700</v>
      </c>
    </row>
    <row r="1320" customFormat="false" ht="15" hidden="false" customHeight="false" outlineLevel="0" collapsed="false">
      <c r="A1320" s="13" t="s">
        <v>179</v>
      </c>
      <c r="B1320" s="13" t="s">
        <v>85</v>
      </c>
      <c r="C1320" s="13" t="s">
        <v>3</v>
      </c>
      <c r="D1320" s="13" t="s">
        <v>979</v>
      </c>
      <c r="E1320" s="16" t="n">
        <v>349</v>
      </c>
      <c r="F1320" s="7" t="n">
        <v>5</v>
      </c>
      <c r="G1320" s="5" t="n">
        <v>1700</v>
      </c>
    </row>
    <row r="1321" customFormat="false" ht="15" hidden="false" customHeight="false" outlineLevel="0" collapsed="false">
      <c r="A1321" s="13" t="s">
        <v>45</v>
      </c>
      <c r="B1321" s="13" t="s">
        <v>43</v>
      </c>
      <c r="C1321" s="13" t="s">
        <v>4</v>
      </c>
      <c r="D1321" s="13" t="s">
        <v>980</v>
      </c>
      <c r="E1321" s="16" t="n">
        <v>866.575</v>
      </c>
      <c r="F1321" s="7" t="n">
        <v>2</v>
      </c>
      <c r="G1321" s="5" t="n">
        <v>1700</v>
      </c>
    </row>
    <row r="1322" customFormat="false" ht="15" hidden="false" customHeight="false" outlineLevel="0" collapsed="false">
      <c r="A1322" s="13" t="s">
        <v>42</v>
      </c>
      <c r="B1322" s="13" t="s">
        <v>43</v>
      </c>
      <c r="C1322" s="13" t="s">
        <v>4</v>
      </c>
      <c r="D1322" s="13" t="s">
        <v>737</v>
      </c>
      <c r="E1322" s="16" t="n">
        <v>827.08</v>
      </c>
      <c r="F1322" s="7" t="n">
        <v>2</v>
      </c>
      <c r="G1322" s="5" t="n">
        <v>1700</v>
      </c>
    </row>
    <row r="1323" customFormat="false" ht="15" hidden="false" customHeight="false" outlineLevel="0" collapsed="false">
      <c r="A1323" s="13" t="s">
        <v>42</v>
      </c>
      <c r="B1323" s="13" t="s">
        <v>43</v>
      </c>
      <c r="C1323" s="13" t="s">
        <v>4</v>
      </c>
      <c r="D1323" s="13" t="s">
        <v>981</v>
      </c>
      <c r="E1323" s="16" t="n">
        <v>831.57</v>
      </c>
      <c r="F1323" s="7" t="n">
        <v>2</v>
      </c>
      <c r="G1323" s="5" t="n">
        <v>1700</v>
      </c>
    </row>
    <row r="1324" customFormat="false" ht="15" hidden="false" customHeight="false" outlineLevel="0" collapsed="false">
      <c r="A1324" s="13" t="s">
        <v>124</v>
      </c>
      <c r="B1324" s="13" t="s">
        <v>43</v>
      </c>
      <c r="C1324" s="13" t="s">
        <v>5</v>
      </c>
      <c r="D1324" s="13" t="s">
        <v>982</v>
      </c>
      <c r="E1324" s="16" t="n">
        <v>864.005</v>
      </c>
      <c r="F1324" s="7" t="n">
        <v>2</v>
      </c>
      <c r="G1324" s="5" t="n">
        <v>1700</v>
      </c>
    </row>
    <row r="1325" customFormat="false" ht="15" hidden="false" customHeight="false" outlineLevel="0" collapsed="false">
      <c r="A1325" s="13" t="s">
        <v>630</v>
      </c>
      <c r="B1325" s="13" t="s">
        <v>43</v>
      </c>
      <c r="C1325" s="13" t="s">
        <v>5</v>
      </c>
      <c r="D1325" s="13" t="s">
        <v>983</v>
      </c>
      <c r="E1325" s="16" t="n">
        <v>156.55</v>
      </c>
      <c r="F1325" s="7" t="n">
        <v>10</v>
      </c>
      <c r="G1325" s="5" t="n">
        <v>1700</v>
      </c>
    </row>
    <row r="1326" customFormat="false" ht="15" hidden="false" customHeight="false" outlineLevel="0" collapsed="false">
      <c r="A1326" s="13" t="s">
        <v>193</v>
      </c>
      <c r="B1326" s="13" t="s">
        <v>43</v>
      </c>
      <c r="C1326" s="13" t="s">
        <v>5</v>
      </c>
      <c r="D1326" s="13" t="s">
        <v>681</v>
      </c>
      <c r="E1326" s="16" t="n">
        <v>429.71</v>
      </c>
      <c r="F1326" s="7" t="n">
        <v>2</v>
      </c>
      <c r="G1326" s="5" t="n">
        <v>1700</v>
      </c>
    </row>
    <row r="1327" customFormat="false" ht="15" hidden="false" customHeight="false" outlineLevel="0" collapsed="false">
      <c r="A1327" s="13" t="s">
        <v>193</v>
      </c>
      <c r="B1327" s="13" t="s">
        <v>43</v>
      </c>
      <c r="C1327" s="13" t="s">
        <v>5</v>
      </c>
      <c r="D1327" s="13" t="s">
        <v>236</v>
      </c>
      <c r="E1327" s="16" t="n">
        <v>432.7125</v>
      </c>
      <c r="F1327" s="7" t="n">
        <v>2</v>
      </c>
      <c r="G1327" s="5" t="n">
        <v>1700</v>
      </c>
    </row>
    <row r="1328" customFormat="false" ht="15" hidden="false" customHeight="false" outlineLevel="0" collapsed="false">
      <c r="A1328" s="13" t="s">
        <v>45</v>
      </c>
      <c r="B1328" s="13" t="s">
        <v>43</v>
      </c>
      <c r="C1328" s="13" t="s">
        <v>4</v>
      </c>
      <c r="D1328" s="13" t="s">
        <v>301</v>
      </c>
      <c r="E1328" s="16" t="n">
        <v>866.72</v>
      </c>
      <c r="F1328" s="7" t="n">
        <v>2</v>
      </c>
      <c r="G1328" s="5" t="n">
        <v>1700</v>
      </c>
    </row>
    <row r="1329" customFormat="false" ht="15" hidden="false" customHeight="false" outlineLevel="0" collapsed="false">
      <c r="A1329" s="13" t="s">
        <v>50</v>
      </c>
      <c r="B1329" s="13" t="s">
        <v>43</v>
      </c>
      <c r="C1329" s="13" t="s">
        <v>4</v>
      </c>
      <c r="D1329" s="13" t="s">
        <v>220</v>
      </c>
      <c r="E1329" s="16" t="n">
        <v>413.0575</v>
      </c>
      <c r="F1329" s="7" t="n">
        <v>2</v>
      </c>
      <c r="G1329" s="5" t="n">
        <v>1700</v>
      </c>
    </row>
    <row r="1330" customFormat="false" ht="15" hidden="false" customHeight="false" outlineLevel="0" collapsed="false">
      <c r="A1330" s="13" t="s">
        <v>186</v>
      </c>
      <c r="B1330" s="13" t="s">
        <v>43</v>
      </c>
      <c r="C1330" s="13" t="s">
        <v>3</v>
      </c>
      <c r="D1330" s="13" t="s">
        <v>275</v>
      </c>
      <c r="E1330" s="16" t="n">
        <v>339.99</v>
      </c>
      <c r="F1330" s="7" t="n">
        <v>5</v>
      </c>
      <c r="G1330" s="5" t="n">
        <v>1700</v>
      </c>
    </row>
    <row r="1331" customFormat="false" ht="15" hidden="false" customHeight="false" outlineLevel="0" collapsed="false">
      <c r="A1331" s="13" t="s">
        <v>42</v>
      </c>
      <c r="B1331" s="13" t="s">
        <v>43</v>
      </c>
      <c r="C1331" s="13" t="s">
        <v>4</v>
      </c>
      <c r="D1331" s="13" t="s">
        <v>146</v>
      </c>
      <c r="E1331" s="16" t="n">
        <v>827.08</v>
      </c>
      <c r="F1331" s="7" t="n">
        <v>2</v>
      </c>
      <c r="G1331" s="5" t="n">
        <v>1700</v>
      </c>
    </row>
    <row r="1332" customFormat="false" ht="15" hidden="false" customHeight="false" outlineLevel="0" collapsed="false">
      <c r="A1332" s="13" t="s">
        <v>362</v>
      </c>
      <c r="B1332" s="13" t="s">
        <v>43</v>
      </c>
      <c r="C1332" s="13" t="s">
        <v>4</v>
      </c>
      <c r="D1332" s="13" t="s">
        <v>984</v>
      </c>
      <c r="E1332" s="16" t="n">
        <v>845.45</v>
      </c>
      <c r="F1332" s="7" t="n">
        <v>2</v>
      </c>
      <c r="G1332" s="5" t="n">
        <v>1700</v>
      </c>
    </row>
    <row r="1333" customFormat="false" ht="15" hidden="false" customHeight="false" outlineLevel="0" collapsed="false">
      <c r="A1333" s="13" t="s">
        <v>50</v>
      </c>
      <c r="B1333" s="13" t="s">
        <v>43</v>
      </c>
      <c r="C1333" s="13" t="s">
        <v>4</v>
      </c>
      <c r="D1333" s="13" t="s">
        <v>985</v>
      </c>
      <c r="E1333" s="16" t="n">
        <v>845.06</v>
      </c>
      <c r="F1333" s="7" t="n">
        <v>2</v>
      </c>
      <c r="G1333" s="5" t="n">
        <v>1700</v>
      </c>
    </row>
    <row r="1334" customFormat="false" ht="15" hidden="false" customHeight="false" outlineLevel="0" collapsed="false">
      <c r="A1334" s="13" t="s">
        <v>50</v>
      </c>
      <c r="B1334" s="13" t="s">
        <v>43</v>
      </c>
      <c r="C1334" s="13" t="s">
        <v>4</v>
      </c>
      <c r="D1334" s="13" t="s">
        <v>160</v>
      </c>
      <c r="E1334" s="16" t="n">
        <v>846.23</v>
      </c>
      <c r="F1334" s="7" t="n">
        <v>2</v>
      </c>
      <c r="G1334" s="5" t="n">
        <v>1700</v>
      </c>
    </row>
    <row r="1335" customFormat="false" ht="15" hidden="false" customHeight="false" outlineLevel="0" collapsed="false">
      <c r="A1335" s="13" t="s">
        <v>153</v>
      </c>
      <c r="B1335" s="13" t="s">
        <v>43</v>
      </c>
      <c r="C1335" s="13" t="s">
        <v>4</v>
      </c>
      <c r="D1335" s="13" t="s">
        <v>986</v>
      </c>
      <c r="E1335" s="16" t="n">
        <v>582.496666666667</v>
      </c>
      <c r="F1335" s="7" t="n">
        <v>2</v>
      </c>
      <c r="G1335" s="5" t="n">
        <v>1700</v>
      </c>
    </row>
    <row r="1336" customFormat="false" ht="15" hidden="false" customHeight="false" outlineLevel="0" collapsed="false">
      <c r="A1336" s="13" t="s">
        <v>54</v>
      </c>
      <c r="B1336" s="13" t="s">
        <v>43</v>
      </c>
      <c r="C1336" s="13" t="s">
        <v>5</v>
      </c>
      <c r="D1336" s="13" t="s">
        <v>987</v>
      </c>
      <c r="E1336" s="16" t="n">
        <v>835.52</v>
      </c>
      <c r="F1336" s="7" t="n">
        <v>2</v>
      </c>
      <c r="G1336" s="5" t="n">
        <v>1700</v>
      </c>
    </row>
    <row r="1337" customFormat="false" ht="15" hidden="false" customHeight="false" outlineLevel="0" collapsed="false">
      <c r="A1337" s="13" t="s">
        <v>315</v>
      </c>
      <c r="B1337" s="13" t="s">
        <v>43</v>
      </c>
      <c r="C1337" s="13" t="s">
        <v>5</v>
      </c>
      <c r="D1337" s="13" t="s">
        <v>988</v>
      </c>
      <c r="E1337" s="16" t="n">
        <v>333.864</v>
      </c>
      <c r="F1337" s="7" t="n">
        <v>5</v>
      </c>
      <c r="G1337" s="5" t="n">
        <v>1700</v>
      </c>
    </row>
    <row r="1338" customFormat="false" ht="15" hidden="false" customHeight="false" outlineLevel="0" collapsed="false">
      <c r="A1338" s="13" t="s">
        <v>54</v>
      </c>
      <c r="B1338" s="13" t="s">
        <v>43</v>
      </c>
      <c r="C1338" s="13" t="s">
        <v>5</v>
      </c>
      <c r="D1338" s="13" t="s">
        <v>989</v>
      </c>
      <c r="E1338" s="16" t="n">
        <v>342.248</v>
      </c>
      <c r="F1338" s="7" t="n">
        <v>5</v>
      </c>
      <c r="G1338" s="5" t="n">
        <v>1700</v>
      </c>
    </row>
    <row r="1339" customFormat="false" ht="15" hidden="false" customHeight="false" outlineLevel="0" collapsed="false">
      <c r="A1339" s="13" t="s">
        <v>61</v>
      </c>
      <c r="B1339" s="13" t="s">
        <v>43</v>
      </c>
      <c r="C1339" s="13" t="s">
        <v>5</v>
      </c>
      <c r="D1339" s="13" t="s">
        <v>796</v>
      </c>
      <c r="E1339" s="16" t="n">
        <v>285</v>
      </c>
      <c r="F1339" s="7" t="n">
        <v>5</v>
      </c>
      <c r="G1339" s="5" t="n">
        <v>1700</v>
      </c>
    </row>
    <row r="1340" customFormat="false" ht="15" hidden="false" customHeight="false" outlineLevel="0" collapsed="false">
      <c r="A1340" s="13" t="s">
        <v>490</v>
      </c>
      <c r="B1340" s="13" t="s">
        <v>43</v>
      </c>
      <c r="C1340" s="13" t="s">
        <v>5</v>
      </c>
      <c r="D1340" s="13" t="s">
        <v>990</v>
      </c>
      <c r="E1340" s="16" t="n">
        <v>242.857142857143</v>
      </c>
      <c r="F1340" s="7" t="n">
        <v>5</v>
      </c>
      <c r="G1340" s="5" t="n">
        <v>1700</v>
      </c>
    </row>
    <row r="1341" customFormat="false" ht="15" hidden="false" customHeight="false" outlineLevel="0" collapsed="false">
      <c r="A1341" s="13" t="s">
        <v>42</v>
      </c>
      <c r="B1341" s="13" t="s">
        <v>43</v>
      </c>
      <c r="C1341" s="13" t="s">
        <v>5</v>
      </c>
      <c r="D1341" s="13" t="s">
        <v>991</v>
      </c>
      <c r="E1341" s="16" t="n">
        <v>848.33</v>
      </c>
      <c r="F1341" s="7" t="n">
        <v>2</v>
      </c>
      <c r="G1341" s="5" t="n">
        <v>1700</v>
      </c>
    </row>
    <row r="1342" customFormat="false" ht="15" hidden="false" customHeight="false" outlineLevel="0" collapsed="false">
      <c r="A1342" s="13" t="s">
        <v>45</v>
      </c>
      <c r="B1342" s="13" t="s">
        <v>43</v>
      </c>
      <c r="C1342" s="13" t="s">
        <v>5</v>
      </c>
      <c r="D1342" s="13" t="s">
        <v>978</v>
      </c>
      <c r="E1342" s="16" t="n">
        <v>552</v>
      </c>
      <c r="F1342" s="7" t="n">
        <v>2</v>
      </c>
      <c r="G1342" s="5" t="n">
        <v>1700</v>
      </c>
    </row>
    <row r="1343" customFormat="false" ht="15" hidden="false" customHeight="false" outlineLevel="0" collapsed="false">
      <c r="A1343" s="13" t="s">
        <v>50</v>
      </c>
      <c r="B1343" s="13" t="s">
        <v>43</v>
      </c>
      <c r="C1343" s="13" t="s">
        <v>5</v>
      </c>
      <c r="D1343" s="13" t="s">
        <v>992</v>
      </c>
      <c r="E1343" s="16" t="n">
        <v>828.03</v>
      </c>
      <c r="F1343" s="7" t="n">
        <v>2</v>
      </c>
      <c r="G1343" s="5" t="n">
        <v>1700</v>
      </c>
    </row>
    <row r="1344" customFormat="false" ht="15" hidden="false" customHeight="false" outlineLevel="0" collapsed="false">
      <c r="A1344" s="13" t="s">
        <v>153</v>
      </c>
      <c r="B1344" s="13" t="s">
        <v>43</v>
      </c>
      <c r="C1344" s="13" t="s">
        <v>5</v>
      </c>
      <c r="D1344" s="13" t="s">
        <v>993</v>
      </c>
      <c r="E1344" s="16" t="n">
        <v>559.19</v>
      </c>
      <c r="F1344" s="7" t="n">
        <v>2</v>
      </c>
      <c r="G1344" s="5" t="n">
        <v>1700</v>
      </c>
    </row>
    <row r="1345" customFormat="false" ht="15" hidden="false" customHeight="false" outlineLevel="0" collapsed="false">
      <c r="A1345" s="13" t="s">
        <v>121</v>
      </c>
      <c r="B1345" s="13" t="s">
        <v>43</v>
      </c>
      <c r="C1345" s="13" t="s">
        <v>5</v>
      </c>
      <c r="D1345" s="13" t="s">
        <v>994</v>
      </c>
      <c r="E1345" s="16" t="n">
        <v>139.903333333333</v>
      </c>
      <c r="F1345" s="7" t="n">
        <v>10</v>
      </c>
      <c r="G1345" s="5" t="n">
        <v>1700</v>
      </c>
    </row>
    <row r="1346" customFormat="false" ht="15" hidden="false" customHeight="false" outlineLevel="0" collapsed="false">
      <c r="A1346" s="13" t="s">
        <v>153</v>
      </c>
      <c r="B1346" s="13" t="s">
        <v>43</v>
      </c>
      <c r="C1346" s="13" t="s">
        <v>5</v>
      </c>
      <c r="D1346" s="13" t="s">
        <v>995</v>
      </c>
      <c r="E1346" s="16" t="n">
        <v>335.26</v>
      </c>
      <c r="F1346" s="7" t="n">
        <v>5</v>
      </c>
      <c r="G1346" s="5" t="n">
        <v>1700</v>
      </c>
    </row>
    <row r="1347" customFormat="false" ht="15" hidden="false" customHeight="false" outlineLevel="0" collapsed="false">
      <c r="A1347" s="13" t="s">
        <v>107</v>
      </c>
      <c r="B1347" s="13" t="s">
        <v>43</v>
      </c>
      <c r="C1347" s="13" t="s">
        <v>5</v>
      </c>
      <c r="D1347" s="13" t="s">
        <v>996</v>
      </c>
      <c r="E1347" s="16" t="n">
        <v>279.226666666667</v>
      </c>
      <c r="F1347" s="7" t="n">
        <v>5</v>
      </c>
      <c r="G1347" s="5" t="n">
        <v>1700</v>
      </c>
    </row>
    <row r="1348" customFormat="false" ht="15" hidden="false" customHeight="false" outlineLevel="0" collapsed="false">
      <c r="A1348" s="13" t="s">
        <v>69</v>
      </c>
      <c r="B1348" s="13" t="s">
        <v>43</v>
      </c>
      <c r="C1348" s="13" t="s">
        <v>5</v>
      </c>
      <c r="D1348" s="13" t="s">
        <v>997</v>
      </c>
      <c r="E1348" s="16" t="n">
        <v>828.95</v>
      </c>
      <c r="F1348" s="7" t="n">
        <v>2</v>
      </c>
      <c r="G1348" s="5" t="n">
        <v>1700</v>
      </c>
    </row>
    <row r="1349" customFormat="false" ht="15" hidden="false" customHeight="false" outlineLevel="0" collapsed="false">
      <c r="A1349" s="13" t="s">
        <v>79</v>
      </c>
      <c r="B1349" s="13" t="s">
        <v>43</v>
      </c>
      <c r="C1349" s="13" t="s">
        <v>5</v>
      </c>
      <c r="D1349" s="13" t="s">
        <v>283</v>
      </c>
      <c r="E1349" s="16" t="n">
        <v>872</v>
      </c>
      <c r="F1349" s="7" t="n">
        <v>2</v>
      </c>
      <c r="G1349" s="5" t="n">
        <v>1700</v>
      </c>
    </row>
    <row r="1350" customFormat="false" ht="15" hidden="false" customHeight="false" outlineLevel="0" collapsed="false">
      <c r="A1350" s="13" t="s">
        <v>61</v>
      </c>
      <c r="B1350" s="13" t="s">
        <v>43</v>
      </c>
      <c r="C1350" s="13" t="s">
        <v>5</v>
      </c>
      <c r="D1350" s="13" t="s">
        <v>998</v>
      </c>
      <c r="E1350" s="16" t="n">
        <v>583.24</v>
      </c>
      <c r="F1350" s="7" t="n">
        <v>2</v>
      </c>
      <c r="G1350" s="5" t="n">
        <v>1700</v>
      </c>
    </row>
    <row r="1351" customFormat="false" ht="15" hidden="false" customHeight="false" outlineLevel="0" collapsed="false">
      <c r="A1351" s="13" t="s">
        <v>69</v>
      </c>
      <c r="B1351" s="13" t="s">
        <v>43</v>
      </c>
      <c r="C1351" s="13" t="s">
        <v>5</v>
      </c>
      <c r="D1351" s="13" t="s">
        <v>397</v>
      </c>
      <c r="E1351" s="16" t="n">
        <v>854.81</v>
      </c>
      <c r="F1351" s="7" t="n">
        <v>2</v>
      </c>
      <c r="G1351" s="5" t="n">
        <v>1700</v>
      </c>
    </row>
    <row r="1352" customFormat="false" ht="15" hidden="false" customHeight="false" outlineLevel="0" collapsed="false">
      <c r="A1352" s="13" t="s">
        <v>72</v>
      </c>
      <c r="B1352" s="13" t="s">
        <v>43</v>
      </c>
      <c r="C1352" s="13" t="s">
        <v>5</v>
      </c>
      <c r="D1352" s="13" t="s">
        <v>159</v>
      </c>
      <c r="E1352" s="16" t="n">
        <v>789.8</v>
      </c>
      <c r="F1352" s="7" t="n">
        <v>2</v>
      </c>
      <c r="G1352" s="5" t="n">
        <v>1600</v>
      </c>
    </row>
    <row r="1353" customFormat="false" ht="15" hidden="false" customHeight="false" outlineLevel="0" collapsed="false">
      <c r="A1353" s="13" t="s">
        <v>50</v>
      </c>
      <c r="B1353" s="13" t="s">
        <v>43</v>
      </c>
      <c r="C1353" s="13" t="s">
        <v>5</v>
      </c>
      <c r="D1353" s="13" t="s">
        <v>756</v>
      </c>
      <c r="E1353" s="16" t="n">
        <v>809.065</v>
      </c>
      <c r="F1353" s="7" t="n">
        <v>2</v>
      </c>
      <c r="G1353" s="5" t="n">
        <v>1600</v>
      </c>
    </row>
    <row r="1354" customFormat="false" ht="15" hidden="false" customHeight="false" outlineLevel="0" collapsed="false">
      <c r="A1354" s="13" t="s">
        <v>54</v>
      </c>
      <c r="B1354" s="13" t="s">
        <v>43</v>
      </c>
      <c r="C1354" s="13" t="s">
        <v>5</v>
      </c>
      <c r="D1354" s="13" t="s">
        <v>999</v>
      </c>
      <c r="E1354" s="16" t="n">
        <v>808.85</v>
      </c>
      <c r="F1354" s="7" t="n">
        <v>2</v>
      </c>
      <c r="G1354" s="5" t="n">
        <v>1600</v>
      </c>
    </row>
    <row r="1355" customFormat="false" ht="15" hidden="false" customHeight="false" outlineLevel="0" collapsed="false">
      <c r="A1355" s="13" t="s">
        <v>193</v>
      </c>
      <c r="B1355" s="13" t="s">
        <v>43</v>
      </c>
      <c r="C1355" s="13" t="s">
        <v>5</v>
      </c>
      <c r="D1355" s="13" t="s">
        <v>238</v>
      </c>
      <c r="E1355" s="16" t="n">
        <v>538.96</v>
      </c>
      <c r="F1355" s="7" t="n">
        <v>2</v>
      </c>
      <c r="G1355" s="5" t="n">
        <v>1600</v>
      </c>
    </row>
    <row r="1356" customFormat="false" ht="15" hidden="false" customHeight="false" outlineLevel="0" collapsed="false">
      <c r="A1356" s="13" t="s">
        <v>45</v>
      </c>
      <c r="B1356" s="13" t="s">
        <v>43</v>
      </c>
      <c r="C1356" s="13" t="s">
        <v>5</v>
      </c>
      <c r="D1356" s="13" t="s">
        <v>301</v>
      </c>
      <c r="E1356" s="16" t="n">
        <v>824.14</v>
      </c>
      <c r="F1356" s="7" t="n">
        <v>2</v>
      </c>
      <c r="G1356" s="5" t="n">
        <v>1600</v>
      </c>
    </row>
    <row r="1357" customFormat="false" ht="15" hidden="false" customHeight="false" outlineLevel="0" collapsed="false">
      <c r="A1357" s="13" t="s">
        <v>61</v>
      </c>
      <c r="B1357" s="13" t="s">
        <v>43</v>
      </c>
      <c r="C1357" s="13" t="s">
        <v>5</v>
      </c>
      <c r="D1357" s="13" t="s">
        <v>1000</v>
      </c>
      <c r="E1357" s="16" t="n">
        <v>329.99</v>
      </c>
      <c r="F1357" s="7" t="n">
        <v>5</v>
      </c>
      <c r="G1357" s="5" t="n">
        <v>1600</v>
      </c>
    </row>
    <row r="1358" customFormat="false" ht="15" hidden="false" customHeight="false" outlineLevel="0" collapsed="false">
      <c r="A1358" s="13" t="s">
        <v>50</v>
      </c>
      <c r="B1358" s="13" t="s">
        <v>43</v>
      </c>
      <c r="C1358" s="13" t="s">
        <v>4</v>
      </c>
      <c r="D1358" s="13" t="s">
        <v>526</v>
      </c>
      <c r="E1358" s="16" t="n">
        <v>791.72</v>
      </c>
      <c r="F1358" s="7" t="n">
        <v>2</v>
      </c>
      <c r="G1358" s="5" t="n">
        <v>1600</v>
      </c>
    </row>
    <row r="1359" customFormat="false" ht="15" hidden="false" customHeight="false" outlineLevel="0" collapsed="false">
      <c r="A1359" s="13" t="s">
        <v>177</v>
      </c>
      <c r="B1359" s="13" t="s">
        <v>43</v>
      </c>
      <c r="C1359" s="13" t="s">
        <v>5</v>
      </c>
      <c r="D1359" s="13" t="s">
        <v>1001</v>
      </c>
      <c r="E1359" s="16" t="n">
        <v>823.82</v>
      </c>
      <c r="F1359" s="7" t="n">
        <v>2</v>
      </c>
      <c r="G1359" s="5" t="n">
        <v>1600</v>
      </c>
    </row>
    <row r="1360" customFormat="false" ht="15" hidden="false" customHeight="false" outlineLevel="0" collapsed="false">
      <c r="A1360" s="13" t="s">
        <v>315</v>
      </c>
      <c r="B1360" s="13" t="s">
        <v>43</v>
      </c>
      <c r="C1360" s="13" t="s">
        <v>5</v>
      </c>
      <c r="D1360" s="13" t="s">
        <v>988</v>
      </c>
      <c r="E1360" s="16" t="n">
        <v>262.4</v>
      </c>
      <c r="F1360" s="7" t="n">
        <v>5</v>
      </c>
      <c r="G1360" s="5" t="n">
        <v>1600</v>
      </c>
    </row>
    <row r="1361" customFormat="false" ht="15" hidden="false" customHeight="false" outlineLevel="0" collapsed="false">
      <c r="A1361" s="13" t="s">
        <v>69</v>
      </c>
      <c r="B1361" s="13" t="s">
        <v>43</v>
      </c>
      <c r="C1361" s="13" t="s">
        <v>5</v>
      </c>
      <c r="D1361" s="13" t="s">
        <v>1002</v>
      </c>
      <c r="E1361" s="16" t="n">
        <v>809.96</v>
      </c>
      <c r="F1361" s="7" t="n">
        <v>2</v>
      </c>
      <c r="G1361" s="5" t="n">
        <v>1600</v>
      </c>
    </row>
    <row r="1362" customFormat="false" ht="15" hidden="false" customHeight="false" outlineLevel="0" collapsed="false">
      <c r="A1362" s="13" t="s">
        <v>315</v>
      </c>
      <c r="B1362" s="13" t="s">
        <v>43</v>
      </c>
      <c r="C1362" s="13" t="s">
        <v>5</v>
      </c>
      <c r="D1362" s="13" t="s">
        <v>316</v>
      </c>
      <c r="E1362" s="16" t="n">
        <v>810.85</v>
      </c>
      <c r="F1362" s="7" t="n">
        <v>2</v>
      </c>
      <c r="G1362" s="5" t="n">
        <v>1600</v>
      </c>
    </row>
    <row r="1363" customFormat="false" ht="15" hidden="false" customHeight="false" outlineLevel="0" collapsed="false">
      <c r="A1363" s="13" t="s">
        <v>124</v>
      </c>
      <c r="B1363" s="13" t="s">
        <v>43</v>
      </c>
      <c r="C1363" s="13" t="s">
        <v>5</v>
      </c>
      <c r="D1363" s="13" t="s">
        <v>854</v>
      </c>
      <c r="E1363" s="16" t="n">
        <v>780.18</v>
      </c>
      <c r="F1363" s="7" t="n">
        <v>2</v>
      </c>
      <c r="G1363" s="5" t="n">
        <v>1600</v>
      </c>
    </row>
    <row r="1364" customFormat="false" ht="15" hidden="false" customHeight="false" outlineLevel="0" collapsed="false">
      <c r="A1364" s="13" t="s">
        <v>193</v>
      </c>
      <c r="B1364" s="13" t="s">
        <v>43</v>
      </c>
      <c r="C1364" s="13" t="s">
        <v>5</v>
      </c>
      <c r="D1364" s="13" t="s">
        <v>238</v>
      </c>
      <c r="E1364" s="16" t="n">
        <v>798.85</v>
      </c>
      <c r="F1364" s="7" t="n">
        <v>2</v>
      </c>
      <c r="G1364" s="5" t="n">
        <v>1600</v>
      </c>
    </row>
    <row r="1365" customFormat="false" ht="15" hidden="false" customHeight="false" outlineLevel="0" collapsed="false">
      <c r="A1365" s="13" t="s">
        <v>61</v>
      </c>
      <c r="B1365" s="13" t="s">
        <v>183</v>
      </c>
      <c r="C1365" s="13" t="s">
        <v>5</v>
      </c>
      <c r="D1365" s="13" t="s">
        <v>1003</v>
      </c>
      <c r="E1365" s="16" t="n">
        <v>542.526666666667</v>
      </c>
      <c r="F1365" s="7" t="n">
        <v>2</v>
      </c>
      <c r="G1365" s="5" t="n">
        <v>1600</v>
      </c>
    </row>
    <row r="1366" customFormat="false" ht="15" hidden="false" customHeight="false" outlineLevel="0" collapsed="false">
      <c r="A1366" s="13" t="s">
        <v>315</v>
      </c>
      <c r="B1366" s="13" t="s">
        <v>43</v>
      </c>
      <c r="C1366" s="13" t="s">
        <v>5</v>
      </c>
      <c r="D1366" s="13" t="s">
        <v>554</v>
      </c>
      <c r="E1366" s="16" t="n">
        <v>814.59</v>
      </c>
      <c r="F1366" s="7" t="n">
        <v>2</v>
      </c>
      <c r="G1366" s="5" t="n">
        <v>1600</v>
      </c>
    </row>
    <row r="1367" customFormat="false" ht="15" hidden="false" customHeight="false" outlineLevel="0" collapsed="false">
      <c r="A1367" s="13" t="s">
        <v>50</v>
      </c>
      <c r="B1367" s="13" t="s">
        <v>43</v>
      </c>
      <c r="C1367" s="13" t="s">
        <v>5</v>
      </c>
      <c r="D1367" s="13" t="s">
        <v>1004</v>
      </c>
      <c r="E1367" s="16" t="n">
        <v>798.85</v>
      </c>
      <c r="F1367" s="7" t="n">
        <v>2</v>
      </c>
      <c r="G1367" s="5" t="n">
        <v>1600</v>
      </c>
    </row>
    <row r="1368" customFormat="false" ht="15" hidden="false" customHeight="false" outlineLevel="0" collapsed="false">
      <c r="A1368" s="13" t="s">
        <v>42</v>
      </c>
      <c r="B1368" s="13" t="s">
        <v>43</v>
      </c>
      <c r="C1368" s="13" t="s">
        <v>5</v>
      </c>
      <c r="D1368" s="13" t="s">
        <v>47</v>
      </c>
      <c r="E1368" s="16" t="n">
        <v>547.09</v>
      </c>
      <c r="F1368" s="7" t="n">
        <v>2</v>
      </c>
      <c r="G1368" s="5" t="n">
        <v>1600</v>
      </c>
    </row>
    <row r="1369" customFormat="false" ht="15" hidden="false" customHeight="false" outlineLevel="0" collapsed="false">
      <c r="A1369" s="13" t="s">
        <v>177</v>
      </c>
      <c r="B1369" s="13" t="s">
        <v>43</v>
      </c>
      <c r="C1369" s="13" t="s">
        <v>5</v>
      </c>
      <c r="D1369" s="13" t="s">
        <v>1005</v>
      </c>
      <c r="E1369" s="16" t="n">
        <v>819.76</v>
      </c>
      <c r="F1369" s="7" t="n">
        <v>2</v>
      </c>
      <c r="G1369" s="5" t="n">
        <v>1600</v>
      </c>
    </row>
    <row r="1370" customFormat="false" ht="15" hidden="false" customHeight="false" outlineLevel="0" collapsed="false">
      <c r="A1370" s="13" t="s">
        <v>50</v>
      </c>
      <c r="B1370" s="13" t="s">
        <v>43</v>
      </c>
      <c r="C1370" s="13" t="s">
        <v>5</v>
      </c>
      <c r="D1370" s="13" t="s">
        <v>289</v>
      </c>
      <c r="E1370" s="16" t="n">
        <v>533.45</v>
      </c>
      <c r="F1370" s="7" t="n">
        <v>2</v>
      </c>
      <c r="G1370" s="5" t="n">
        <v>1600</v>
      </c>
    </row>
    <row r="1371" customFormat="false" ht="15" hidden="false" customHeight="false" outlineLevel="0" collapsed="false">
      <c r="A1371" s="13" t="s">
        <v>50</v>
      </c>
      <c r="B1371" s="13" t="s">
        <v>43</v>
      </c>
      <c r="C1371" s="13" t="s">
        <v>5</v>
      </c>
      <c r="D1371" s="13" t="s">
        <v>1006</v>
      </c>
      <c r="E1371" s="16" t="n">
        <v>790.98</v>
      </c>
      <c r="F1371" s="7" t="n">
        <v>2</v>
      </c>
      <c r="G1371" s="5" t="n">
        <v>1600</v>
      </c>
    </row>
    <row r="1372" customFormat="false" ht="15" hidden="false" customHeight="false" outlineLevel="0" collapsed="false">
      <c r="A1372" s="13" t="s">
        <v>153</v>
      </c>
      <c r="B1372" s="13" t="s">
        <v>43</v>
      </c>
      <c r="C1372" s="13" t="s">
        <v>5</v>
      </c>
      <c r="D1372" s="13" t="s">
        <v>1007</v>
      </c>
      <c r="E1372" s="16" t="n">
        <v>528</v>
      </c>
      <c r="F1372" s="7" t="n">
        <v>2</v>
      </c>
      <c r="G1372" s="5" t="n">
        <v>1600</v>
      </c>
    </row>
    <row r="1373" customFormat="false" ht="15" hidden="false" customHeight="false" outlineLevel="0" collapsed="false">
      <c r="A1373" s="13" t="s">
        <v>153</v>
      </c>
      <c r="B1373" s="13" t="s">
        <v>43</v>
      </c>
      <c r="C1373" s="13" t="s">
        <v>5</v>
      </c>
      <c r="D1373" s="13" t="s">
        <v>1008</v>
      </c>
      <c r="E1373" s="16" t="n">
        <v>535.44</v>
      </c>
      <c r="F1373" s="7" t="n">
        <v>2</v>
      </c>
      <c r="G1373" s="5" t="n">
        <v>1600</v>
      </c>
    </row>
    <row r="1374" customFormat="false" ht="15" hidden="false" customHeight="false" outlineLevel="0" collapsed="false">
      <c r="A1374" s="13" t="s">
        <v>315</v>
      </c>
      <c r="B1374" s="13" t="s">
        <v>43</v>
      </c>
      <c r="C1374" s="13" t="s">
        <v>5</v>
      </c>
      <c r="D1374" s="13" t="s">
        <v>316</v>
      </c>
      <c r="E1374" s="16" t="n">
        <v>808.85</v>
      </c>
      <c r="F1374" s="7" t="n">
        <v>2</v>
      </c>
      <c r="G1374" s="5" t="n">
        <v>1600</v>
      </c>
    </row>
    <row r="1375" customFormat="false" ht="15" hidden="false" customHeight="false" outlineLevel="0" collapsed="false">
      <c r="A1375" s="13" t="s">
        <v>177</v>
      </c>
      <c r="B1375" s="13" t="s">
        <v>43</v>
      </c>
      <c r="C1375" s="13" t="s">
        <v>5</v>
      </c>
      <c r="D1375" s="13" t="s">
        <v>1009</v>
      </c>
      <c r="E1375" s="16" t="n">
        <v>795.37</v>
      </c>
      <c r="F1375" s="7" t="n">
        <v>2</v>
      </c>
      <c r="G1375" s="5" t="n">
        <v>1600</v>
      </c>
    </row>
    <row r="1376" customFormat="false" ht="15" hidden="false" customHeight="false" outlineLevel="0" collapsed="false">
      <c r="A1376" s="13" t="s">
        <v>329</v>
      </c>
      <c r="B1376" s="13" t="s">
        <v>43</v>
      </c>
      <c r="C1376" s="13" t="s">
        <v>5</v>
      </c>
      <c r="D1376" s="13" t="s">
        <v>330</v>
      </c>
      <c r="E1376" s="16" t="n">
        <v>310.212</v>
      </c>
      <c r="F1376" s="7" t="n">
        <v>5</v>
      </c>
      <c r="G1376" s="5" t="n">
        <v>1600</v>
      </c>
    </row>
    <row r="1377" customFormat="false" ht="15" hidden="false" customHeight="false" outlineLevel="0" collapsed="false">
      <c r="A1377" s="13" t="s">
        <v>50</v>
      </c>
      <c r="B1377" s="13" t="s">
        <v>43</v>
      </c>
      <c r="C1377" s="13" t="s">
        <v>5</v>
      </c>
      <c r="D1377" s="13" t="s">
        <v>1010</v>
      </c>
      <c r="E1377" s="16" t="n">
        <v>800</v>
      </c>
      <c r="F1377" s="7" t="n">
        <v>2</v>
      </c>
      <c r="G1377" s="5" t="n">
        <v>1600</v>
      </c>
    </row>
    <row r="1378" customFormat="false" ht="15" hidden="false" customHeight="false" outlineLevel="0" collapsed="false">
      <c r="A1378" s="13" t="s">
        <v>54</v>
      </c>
      <c r="B1378" s="13" t="s">
        <v>43</v>
      </c>
      <c r="C1378" s="13" t="s">
        <v>5</v>
      </c>
      <c r="D1378" s="13" t="s">
        <v>1011</v>
      </c>
      <c r="E1378" s="16" t="n">
        <v>270.026666666667</v>
      </c>
      <c r="F1378" s="7" t="n">
        <v>5</v>
      </c>
      <c r="G1378" s="5" t="n">
        <v>1600</v>
      </c>
    </row>
    <row r="1379" customFormat="false" ht="15" hidden="false" customHeight="false" outlineLevel="0" collapsed="false">
      <c r="A1379" s="13" t="s">
        <v>54</v>
      </c>
      <c r="B1379" s="13" t="s">
        <v>43</v>
      </c>
      <c r="C1379" s="13" t="s">
        <v>5</v>
      </c>
      <c r="D1379" s="13" t="s">
        <v>567</v>
      </c>
      <c r="E1379" s="16" t="n">
        <v>521.703333333333</v>
      </c>
      <c r="F1379" s="7" t="n">
        <v>2</v>
      </c>
      <c r="G1379" s="5" t="n">
        <v>1600</v>
      </c>
    </row>
    <row r="1380" customFormat="false" ht="15" hidden="false" customHeight="false" outlineLevel="0" collapsed="false">
      <c r="A1380" s="13" t="s">
        <v>72</v>
      </c>
      <c r="B1380" s="13" t="s">
        <v>43</v>
      </c>
      <c r="C1380" s="13" t="s">
        <v>5</v>
      </c>
      <c r="D1380" s="13" t="s">
        <v>1012</v>
      </c>
      <c r="E1380" s="16" t="n">
        <v>800</v>
      </c>
      <c r="F1380" s="7" t="n">
        <v>2</v>
      </c>
      <c r="G1380" s="5" t="n">
        <v>1600</v>
      </c>
    </row>
    <row r="1381" customFormat="false" ht="15" hidden="false" customHeight="false" outlineLevel="0" collapsed="false">
      <c r="A1381" s="13" t="s">
        <v>490</v>
      </c>
      <c r="B1381" s="13" t="s">
        <v>43</v>
      </c>
      <c r="C1381" s="13" t="s">
        <v>5</v>
      </c>
      <c r="D1381" s="13" t="s">
        <v>1013</v>
      </c>
      <c r="E1381" s="16" t="n">
        <v>397.4675</v>
      </c>
      <c r="F1381" s="7" t="n">
        <v>2</v>
      </c>
      <c r="G1381" s="5" t="n">
        <v>1600</v>
      </c>
    </row>
    <row r="1382" customFormat="false" ht="15" hidden="false" customHeight="false" outlineLevel="0" collapsed="false">
      <c r="A1382" s="13" t="s">
        <v>45</v>
      </c>
      <c r="B1382" s="13" t="s">
        <v>43</v>
      </c>
      <c r="C1382" s="13" t="s">
        <v>5</v>
      </c>
      <c r="D1382" s="13" t="s">
        <v>279</v>
      </c>
      <c r="E1382" s="16" t="n">
        <v>399</v>
      </c>
      <c r="F1382" s="7" t="n">
        <v>2</v>
      </c>
      <c r="G1382" s="5" t="n">
        <v>1600</v>
      </c>
    </row>
    <row r="1383" customFormat="false" ht="15" hidden="false" customHeight="false" outlineLevel="0" collapsed="false">
      <c r="A1383" s="13" t="s">
        <v>107</v>
      </c>
      <c r="B1383" s="13" t="s">
        <v>183</v>
      </c>
      <c r="C1383" s="13" t="s">
        <v>5</v>
      </c>
      <c r="D1383" s="13" t="s">
        <v>1014</v>
      </c>
      <c r="E1383" s="16" t="n">
        <v>271</v>
      </c>
      <c r="F1383" s="7" t="n">
        <v>5</v>
      </c>
      <c r="G1383" s="5" t="n">
        <v>1600</v>
      </c>
    </row>
    <row r="1384" customFormat="false" ht="15" hidden="false" customHeight="false" outlineLevel="0" collapsed="false">
      <c r="A1384" s="13" t="s">
        <v>177</v>
      </c>
      <c r="B1384" s="13" t="s">
        <v>43</v>
      </c>
      <c r="C1384" s="13" t="s">
        <v>5</v>
      </c>
      <c r="D1384" s="13" t="s">
        <v>1015</v>
      </c>
      <c r="E1384" s="16" t="n">
        <v>155.61</v>
      </c>
      <c r="F1384" s="7" t="n">
        <v>5</v>
      </c>
      <c r="G1384" s="5" t="n">
        <v>1600</v>
      </c>
    </row>
    <row r="1385" customFormat="false" ht="15" hidden="false" customHeight="false" outlineLevel="0" collapsed="false">
      <c r="A1385" s="13" t="s">
        <v>45</v>
      </c>
      <c r="B1385" s="13" t="s">
        <v>43</v>
      </c>
      <c r="C1385" s="13" t="s">
        <v>4</v>
      </c>
      <c r="D1385" s="13" t="s">
        <v>822</v>
      </c>
      <c r="E1385" s="16" t="n">
        <v>520.02</v>
      </c>
      <c r="F1385" s="7" t="n">
        <v>2</v>
      </c>
      <c r="G1385" s="5" t="n">
        <v>1600</v>
      </c>
    </row>
    <row r="1386" customFormat="false" ht="15" hidden="false" customHeight="false" outlineLevel="0" collapsed="false">
      <c r="A1386" s="13" t="s">
        <v>50</v>
      </c>
      <c r="B1386" s="13" t="s">
        <v>43</v>
      </c>
      <c r="C1386" s="13" t="s">
        <v>4</v>
      </c>
      <c r="D1386" s="13" t="s">
        <v>1016</v>
      </c>
      <c r="E1386" s="16" t="n">
        <v>776</v>
      </c>
      <c r="F1386" s="7" t="n">
        <v>2</v>
      </c>
      <c r="G1386" s="5" t="n">
        <v>1600</v>
      </c>
    </row>
    <row r="1387" customFormat="false" ht="15" hidden="false" customHeight="false" outlineLevel="0" collapsed="false">
      <c r="A1387" s="13" t="s">
        <v>50</v>
      </c>
      <c r="B1387" s="13" t="s">
        <v>43</v>
      </c>
      <c r="C1387" s="13" t="s">
        <v>4</v>
      </c>
      <c r="D1387" s="13" t="s">
        <v>1017</v>
      </c>
      <c r="E1387" s="16" t="n">
        <v>521.13</v>
      </c>
      <c r="F1387" s="7" t="n">
        <v>2</v>
      </c>
      <c r="G1387" s="5" t="n">
        <v>1600</v>
      </c>
    </row>
    <row r="1388" customFormat="false" ht="15" hidden="false" customHeight="false" outlineLevel="0" collapsed="false">
      <c r="A1388" s="13" t="s">
        <v>50</v>
      </c>
      <c r="B1388" s="13" t="s">
        <v>43</v>
      </c>
      <c r="C1388" s="13" t="s">
        <v>4</v>
      </c>
      <c r="D1388" s="13" t="s">
        <v>294</v>
      </c>
      <c r="E1388" s="16" t="n">
        <v>789.95</v>
      </c>
      <c r="F1388" s="7" t="n">
        <v>2</v>
      </c>
      <c r="G1388" s="5" t="n">
        <v>1600</v>
      </c>
    </row>
    <row r="1389" customFormat="false" ht="15" hidden="false" customHeight="false" outlineLevel="0" collapsed="false">
      <c r="A1389" s="13" t="s">
        <v>79</v>
      </c>
      <c r="B1389" s="13" t="s">
        <v>43</v>
      </c>
      <c r="C1389" s="13" t="s">
        <v>5</v>
      </c>
      <c r="D1389" s="13" t="s">
        <v>339</v>
      </c>
      <c r="E1389" s="16" t="n">
        <v>407.3275</v>
      </c>
      <c r="F1389" s="7" t="n">
        <v>2</v>
      </c>
      <c r="G1389" s="5" t="n">
        <v>1600</v>
      </c>
    </row>
    <row r="1390" customFormat="false" ht="15" hidden="false" customHeight="false" outlineLevel="0" collapsed="false">
      <c r="A1390" s="13" t="s">
        <v>69</v>
      </c>
      <c r="B1390" s="13" t="s">
        <v>43</v>
      </c>
      <c r="C1390" s="13" t="s">
        <v>5</v>
      </c>
      <c r="D1390" s="13" t="s">
        <v>1018</v>
      </c>
      <c r="E1390" s="16" t="n">
        <v>817</v>
      </c>
      <c r="F1390" s="7" t="n">
        <v>2</v>
      </c>
      <c r="G1390" s="5" t="n">
        <v>1600</v>
      </c>
    </row>
    <row r="1391" customFormat="false" ht="15" hidden="false" customHeight="false" outlineLevel="0" collapsed="false">
      <c r="A1391" s="13" t="s">
        <v>45</v>
      </c>
      <c r="B1391" s="13" t="s">
        <v>43</v>
      </c>
      <c r="C1391" s="13" t="s">
        <v>4</v>
      </c>
      <c r="D1391" s="13" t="s">
        <v>1019</v>
      </c>
      <c r="E1391" s="16" t="n">
        <v>391.27</v>
      </c>
      <c r="F1391" s="7" t="n">
        <v>2</v>
      </c>
      <c r="G1391" s="5" t="n">
        <v>1600</v>
      </c>
    </row>
    <row r="1392" customFormat="false" ht="15" hidden="false" customHeight="false" outlineLevel="0" collapsed="false">
      <c r="A1392" s="13" t="s">
        <v>362</v>
      </c>
      <c r="B1392" s="13" t="s">
        <v>43</v>
      </c>
      <c r="C1392" s="13" t="s">
        <v>4</v>
      </c>
      <c r="D1392" s="13" t="s">
        <v>1020</v>
      </c>
      <c r="E1392" s="16" t="n">
        <v>534.85</v>
      </c>
      <c r="F1392" s="7" t="n">
        <v>2</v>
      </c>
      <c r="G1392" s="5" t="n">
        <v>1600</v>
      </c>
    </row>
    <row r="1393" customFormat="false" ht="15" hidden="false" customHeight="false" outlineLevel="0" collapsed="false">
      <c r="A1393" s="13" t="s">
        <v>50</v>
      </c>
      <c r="B1393" s="13" t="s">
        <v>43</v>
      </c>
      <c r="C1393" s="13" t="s">
        <v>4</v>
      </c>
      <c r="D1393" s="13" t="s">
        <v>1021</v>
      </c>
      <c r="E1393" s="16" t="n">
        <v>799.48</v>
      </c>
      <c r="F1393" s="7" t="n">
        <v>2</v>
      </c>
      <c r="G1393" s="5" t="n">
        <v>1600</v>
      </c>
    </row>
    <row r="1394" customFormat="false" ht="15" hidden="false" customHeight="false" outlineLevel="0" collapsed="false">
      <c r="A1394" s="13" t="s">
        <v>45</v>
      </c>
      <c r="B1394" s="13" t="s">
        <v>43</v>
      </c>
      <c r="C1394" s="13" t="s">
        <v>4</v>
      </c>
      <c r="D1394" s="13" t="s">
        <v>1022</v>
      </c>
      <c r="E1394" s="16" t="n">
        <v>789.65</v>
      </c>
      <c r="F1394" s="7" t="n">
        <v>2</v>
      </c>
      <c r="G1394" s="5" t="n">
        <v>1600</v>
      </c>
    </row>
    <row r="1395" customFormat="false" ht="15" hidden="false" customHeight="false" outlineLevel="0" collapsed="false">
      <c r="A1395" s="13" t="s">
        <v>45</v>
      </c>
      <c r="B1395" s="13" t="s">
        <v>43</v>
      </c>
      <c r="C1395" s="13" t="s">
        <v>4</v>
      </c>
      <c r="D1395" s="13" t="s">
        <v>292</v>
      </c>
      <c r="E1395" s="16" t="n">
        <v>797.75</v>
      </c>
      <c r="F1395" s="7" t="n">
        <v>2</v>
      </c>
      <c r="G1395" s="5" t="n">
        <v>1600</v>
      </c>
    </row>
    <row r="1396" customFormat="false" ht="15" hidden="false" customHeight="false" outlineLevel="0" collapsed="false">
      <c r="A1396" s="13" t="s">
        <v>42</v>
      </c>
      <c r="B1396" s="13" t="s">
        <v>43</v>
      </c>
      <c r="C1396" s="13" t="s">
        <v>4</v>
      </c>
      <c r="D1396" s="13" t="s">
        <v>324</v>
      </c>
      <c r="E1396" s="16" t="n">
        <v>531.05</v>
      </c>
      <c r="F1396" s="7" t="n">
        <v>2</v>
      </c>
      <c r="G1396" s="5" t="n">
        <v>1600</v>
      </c>
    </row>
    <row r="1397" customFormat="false" ht="15" hidden="false" customHeight="false" outlineLevel="0" collapsed="false">
      <c r="A1397" s="13" t="s">
        <v>45</v>
      </c>
      <c r="B1397" s="13" t="s">
        <v>43</v>
      </c>
      <c r="C1397" s="13" t="s">
        <v>4</v>
      </c>
      <c r="D1397" s="13" t="s">
        <v>1023</v>
      </c>
      <c r="E1397" s="16" t="n">
        <v>794.97</v>
      </c>
      <c r="F1397" s="7" t="n">
        <v>2</v>
      </c>
      <c r="G1397" s="5" t="n">
        <v>1600</v>
      </c>
    </row>
    <row r="1398" customFormat="false" ht="15" hidden="false" customHeight="false" outlineLevel="0" collapsed="false">
      <c r="A1398" s="13" t="s">
        <v>50</v>
      </c>
      <c r="B1398" s="13" t="s">
        <v>43</v>
      </c>
      <c r="C1398" s="13" t="s">
        <v>4</v>
      </c>
      <c r="D1398" s="13" t="s">
        <v>1024</v>
      </c>
      <c r="E1398" s="16" t="n">
        <v>403.34</v>
      </c>
      <c r="F1398" s="7" t="n">
        <v>2</v>
      </c>
      <c r="G1398" s="5" t="n">
        <v>1600</v>
      </c>
    </row>
    <row r="1399" customFormat="false" ht="15" hidden="false" customHeight="false" outlineLevel="0" collapsed="false">
      <c r="A1399" s="13" t="s">
        <v>42</v>
      </c>
      <c r="B1399" s="13" t="s">
        <v>43</v>
      </c>
      <c r="C1399" s="13" t="s">
        <v>4</v>
      </c>
      <c r="D1399" s="13" t="s">
        <v>44</v>
      </c>
      <c r="E1399" s="16" t="n">
        <v>823.65</v>
      </c>
      <c r="F1399" s="7" t="n">
        <v>2</v>
      </c>
      <c r="G1399" s="5" t="n">
        <v>1600</v>
      </c>
    </row>
    <row r="1400" customFormat="false" ht="15" hidden="false" customHeight="false" outlineLevel="0" collapsed="false">
      <c r="A1400" s="13" t="s">
        <v>153</v>
      </c>
      <c r="B1400" s="13" t="s">
        <v>43</v>
      </c>
      <c r="C1400" s="13" t="s">
        <v>4</v>
      </c>
      <c r="D1400" s="13" t="s">
        <v>1025</v>
      </c>
      <c r="E1400" s="16" t="n">
        <v>326.978</v>
      </c>
      <c r="F1400" s="7" t="n">
        <v>5</v>
      </c>
      <c r="G1400" s="5" t="n">
        <v>1600</v>
      </c>
    </row>
    <row r="1401" customFormat="false" ht="15" hidden="false" customHeight="false" outlineLevel="0" collapsed="false">
      <c r="A1401" s="13" t="s">
        <v>153</v>
      </c>
      <c r="B1401" s="13" t="s">
        <v>43</v>
      </c>
      <c r="C1401" s="13" t="s">
        <v>4</v>
      </c>
      <c r="D1401" s="13" t="s">
        <v>1026</v>
      </c>
      <c r="E1401" s="16" t="n">
        <v>815.24</v>
      </c>
      <c r="F1401" s="7" t="n">
        <v>2</v>
      </c>
      <c r="G1401" s="5" t="n">
        <v>1600</v>
      </c>
    </row>
    <row r="1402" customFormat="false" ht="15" hidden="false" customHeight="false" outlineLevel="0" collapsed="false">
      <c r="A1402" s="13" t="s">
        <v>50</v>
      </c>
      <c r="B1402" s="13" t="s">
        <v>43</v>
      </c>
      <c r="C1402" s="13" t="s">
        <v>4</v>
      </c>
      <c r="D1402" s="13" t="s">
        <v>541</v>
      </c>
      <c r="E1402" s="16" t="n">
        <v>787.93</v>
      </c>
      <c r="F1402" s="7" t="n">
        <v>2</v>
      </c>
      <c r="G1402" s="5" t="n">
        <v>1600</v>
      </c>
    </row>
    <row r="1403" customFormat="false" ht="15" hidden="false" customHeight="false" outlineLevel="0" collapsed="false">
      <c r="A1403" s="13" t="s">
        <v>50</v>
      </c>
      <c r="B1403" s="13" t="s">
        <v>43</v>
      </c>
      <c r="C1403" s="13" t="s">
        <v>5</v>
      </c>
      <c r="D1403" s="13" t="s">
        <v>1027</v>
      </c>
      <c r="E1403" s="16" t="n">
        <v>384.9625</v>
      </c>
      <c r="F1403" s="7" t="n">
        <v>2</v>
      </c>
      <c r="G1403" s="5" t="n">
        <v>1500</v>
      </c>
    </row>
    <row r="1404" customFormat="false" ht="15" hidden="false" customHeight="false" outlineLevel="0" collapsed="false">
      <c r="A1404" s="13" t="s">
        <v>50</v>
      </c>
      <c r="B1404" s="13" t="s">
        <v>43</v>
      </c>
      <c r="C1404" s="13" t="s">
        <v>4</v>
      </c>
      <c r="D1404" s="13" t="s">
        <v>1028</v>
      </c>
      <c r="E1404" s="16" t="n">
        <v>381.81</v>
      </c>
      <c r="F1404" s="7" t="n">
        <v>2</v>
      </c>
      <c r="G1404" s="5" t="n">
        <v>1500</v>
      </c>
    </row>
    <row r="1405" customFormat="false" ht="15" hidden="false" customHeight="false" outlineLevel="0" collapsed="false">
      <c r="A1405" s="13" t="s">
        <v>45</v>
      </c>
      <c r="B1405" s="13" t="s">
        <v>43</v>
      </c>
      <c r="C1405" s="13" t="s">
        <v>4</v>
      </c>
      <c r="D1405" s="13" t="s">
        <v>436</v>
      </c>
      <c r="E1405" s="16" t="n">
        <v>764.15</v>
      </c>
      <c r="F1405" s="7" t="n">
        <v>2</v>
      </c>
      <c r="G1405" s="5" t="n">
        <v>1500</v>
      </c>
    </row>
    <row r="1406" customFormat="false" ht="15" hidden="false" customHeight="false" outlineLevel="0" collapsed="false">
      <c r="A1406" s="13" t="s">
        <v>195</v>
      </c>
      <c r="B1406" s="13" t="s">
        <v>43</v>
      </c>
      <c r="C1406" s="13" t="s">
        <v>5</v>
      </c>
      <c r="D1406" s="13" t="s">
        <v>1029</v>
      </c>
      <c r="E1406" s="16" t="n">
        <v>382</v>
      </c>
      <c r="F1406" s="7" t="n">
        <v>2</v>
      </c>
      <c r="G1406" s="5" t="n">
        <v>1500</v>
      </c>
    </row>
    <row r="1407" customFormat="false" ht="15" hidden="false" customHeight="false" outlineLevel="0" collapsed="false">
      <c r="A1407" s="13" t="s">
        <v>105</v>
      </c>
      <c r="B1407" s="13" t="s">
        <v>43</v>
      </c>
      <c r="C1407" s="13" t="s">
        <v>5</v>
      </c>
      <c r="D1407" s="13" t="s">
        <v>524</v>
      </c>
      <c r="E1407" s="16" t="n">
        <v>770.225</v>
      </c>
      <c r="F1407" s="7" t="n">
        <v>2</v>
      </c>
      <c r="G1407" s="5" t="n">
        <v>1500</v>
      </c>
    </row>
    <row r="1408" customFormat="false" ht="15" hidden="false" customHeight="false" outlineLevel="0" collapsed="false">
      <c r="A1408" s="13" t="s">
        <v>61</v>
      </c>
      <c r="B1408" s="13" t="s">
        <v>43</v>
      </c>
      <c r="C1408" s="13" t="s">
        <v>5</v>
      </c>
      <c r="D1408" s="13" t="s">
        <v>505</v>
      </c>
      <c r="E1408" s="16" t="n">
        <v>372.68</v>
      </c>
      <c r="F1408" s="7" t="n">
        <v>2</v>
      </c>
      <c r="G1408" s="5" t="n">
        <v>1500</v>
      </c>
    </row>
    <row r="1409" customFormat="false" ht="15" hidden="false" customHeight="false" outlineLevel="0" collapsed="false">
      <c r="A1409" s="13" t="s">
        <v>92</v>
      </c>
      <c r="B1409" s="13" t="s">
        <v>43</v>
      </c>
      <c r="C1409" s="13" t="s">
        <v>5</v>
      </c>
      <c r="D1409" s="13" t="s">
        <v>1030</v>
      </c>
      <c r="E1409" s="16" t="n">
        <v>741.39</v>
      </c>
      <c r="F1409" s="7" t="n">
        <v>2</v>
      </c>
      <c r="G1409" s="5" t="n">
        <v>1500</v>
      </c>
    </row>
    <row r="1410" customFormat="false" ht="15" hidden="false" customHeight="false" outlineLevel="0" collapsed="false">
      <c r="A1410" s="13" t="s">
        <v>50</v>
      </c>
      <c r="B1410" s="13" t="s">
        <v>43</v>
      </c>
      <c r="C1410" s="13" t="s">
        <v>5</v>
      </c>
      <c r="D1410" s="13" t="s">
        <v>1031</v>
      </c>
      <c r="E1410" s="16" t="n">
        <v>751</v>
      </c>
      <c r="F1410" s="7" t="n">
        <v>2</v>
      </c>
      <c r="G1410" s="5" t="n">
        <v>1500</v>
      </c>
    </row>
    <row r="1411" customFormat="false" ht="15" hidden="false" customHeight="false" outlineLevel="0" collapsed="false">
      <c r="A1411" s="13" t="s">
        <v>124</v>
      </c>
      <c r="B1411" s="13" t="s">
        <v>43</v>
      </c>
      <c r="C1411" s="13" t="s">
        <v>5</v>
      </c>
      <c r="D1411" s="13" t="s">
        <v>1032</v>
      </c>
      <c r="E1411" s="16" t="n">
        <v>746.75</v>
      </c>
      <c r="F1411" s="7" t="n">
        <v>2</v>
      </c>
      <c r="G1411" s="5" t="n">
        <v>1500</v>
      </c>
    </row>
    <row r="1412" customFormat="false" ht="15" hidden="false" customHeight="false" outlineLevel="0" collapsed="false">
      <c r="A1412" s="13" t="s">
        <v>54</v>
      </c>
      <c r="B1412" s="13" t="s">
        <v>43</v>
      </c>
      <c r="C1412" s="13" t="s">
        <v>5</v>
      </c>
      <c r="D1412" s="13" t="s">
        <v>1033</v>
      </c>
      <c r="E1412" s="16" t="n">
        <v>1547.4</v>
      </c>
      <c r="F1412" s="7" t="n">
        <v>1</v>
      </c>
      <c r="G1412" s="5" t="n">
        <v>1500</v>
      </c>
    </row>
    <row r="1413" customFormat="false" ht="15" hidden="false" customHeight="false" outlineLevel="0" collapsed="false">
      <c r="A1413" s="13" t="s">
        <v>50</v>
      </c>
      <c r="B1413" s="13" t="s">
        <v>43</v>
      </c>
      <c r="C1413" s="13" t="s">
        <v>5</v>
      </c>
      <c r="D1413" s="13" t="s">
        <v>480</v>
      </c>
      <c r="E1413" s="16" t="n">
        <v>734.19</v>
      </c>
      <c r="F1413" s="7" t="n">
        <v>2</v>
      </c>
      <c r="G1413" s="5" t="n">
        <v>1500</v>
      </c>
    </row>
    <row r="1414" customFormat="false" ht="15" hidden="false" customHeight="false" outlineLevel="0" collapsed="false">
      <c r="A1414" s="13" t="s">
        <v>124</v>
      </c>
      <c r="B1414" s="13" t="s">
        <v>43</v>
      </c>
      <c r="C1414" s="13" t="s">
        <v>5</v>
      </c>
      <c r="D1414" s="13" t="s">
        <v>1034</v>
      </c>
      <c r="E1414" s="16" t="n">
        <v>761.99</v>
      </c>
      <c r="F1414" s="7" t="n">
        <v>2</v>
      </c>
      <c r="G1414" s="5" t="n">
        <v>1500</v>
      </c>
    </row>
    <row r="1415" customFormat="false" ht="15" hidden="false" customHeight="false" outlineLevel="0" collapsed="false">
      <c r="A1415" s="13" t="s">
        <v>177</v>
      </c>
      <c r="B1415" s="13" t="s">
        <v>43</v>
      </c>
      <c r="C1415" s="13" t="s">
        <v>5</v>
      </c>
      <c r="D1415" s="13" t="s">
        <v>1035</v>
      </c>
      <c r="E1415" s="16" t="n">
        <v>726</v>
      </c>
      <c r="F1415" s="7" t="n">
        <v>2</v>
      </c>
      <c r="G1415" s="5" t="n">
        <v>1500</v>
      </c>
    </row>
    <row r="1416" customFormat="false" ht="15" hidden="false" customHeight="false" outlineLevel="0" collapsed="false">
      <c r="A1416" s="13" t="s">
        <v>124</v>
      </c>
      <c r="B1416" s="13" t="s">
        <v>43</v>
      </c>
      <c r="C1416" s="13" t="s">
        <v>5</v>
      </c>
      <c r="D1416" s="13" t="s">
        <v>418</v>
      </c>
      <c r="E1416" s="16" t="n">
        <v>749.29</v>
      </c>
      <c r="F1416" s="7" t="n">
        <v>2</v>
      </c>
      <c r="G1416" s="5" t="n">
        <v>1500</v>
      </c>
    </row>
    <row r="1417" customFormat="false" ht="15" hidden="false" customHeight="false" outlineLevel="0" collapsed="false">
      <c r="A1417" s="13" t="s">
        <v>124</v>
      </c>
      <c r="B1417" s="13" t="s">
        <v>43</v>
      </c>
      <c r="C1417" s="13" t="s">
        <v>5</v>
      </c>
      <c r="D1417" s="13" t="s">
        <v>1032</v>
      </c>
      <c r="E1417" s="16" t="n">
        <v>749.73</v>
      </c>
      <c r="F1417" s="7" t="n">
        <v>2</v>
      </c>
      <c r="G1417" s="5" t="n">
        <v>1500</v>
      </c>
    </row>
    <row r="1418" customFormat="false" ht="15" hidden="false" customHeight="false" outlineLevel="0" collapsed="false">
      <c r="A1418" s="13" t="s">
        <v>50</v>
      </c>
      <c r="B1418" s="13" t="s">
        <v>43</v>
      </c>
      <c r="C1418" s="13" t="s">
        <v>5</v>
      </c>
      <c r="D1418" s="13" t="s">
        <v>785</v>
      </c>
      <c r="E1418" s="16" t="n">
        <v>773.94</v>
      </c>
      <c r="F1418" s="7" t="n">
        <v>2</v>
      </c>
      <c r="G1418" s="5" t="n">
        <v>1500</v>
      </c>
    </row>
    <row r="1419" customFormat="false" ht="15" hidden="false" customHeight="false" outlineLevel="0" collapsed="false">
      <c r="A1419" s="13" t="s">
        <v>195</v>
      </c>
      <c r="B1419" s="13" t="s">
        <v>43</v>
      </c>
      <c r="C1419" s="13" t="s">
        <v>5</v>
      </c>
      <c r="D1419" s="13" t="s">
        <v>1036</v>
      </c>
      <c r="E1419" s="16" t="n">
        <v>509.31</v>
      </c>
      <c r="F1419" s="7" t="n">
        <v>2</v>
      </c>
      <c r="G1419" s="5" t="n">
        <v>1500</v>
      </c>
    </row>
    <row r="1420" customFormat="false" ht="15" hidden="false" customHeight="false" outlineLevel="0" collapsed="false">
      <c r="A1420" s="13" t="s">
        <v>124</v>
      </c>
      <c r="B1420" s="13" t="s">
        <v>43</v>
      </c>
      <c r="C1420" s="13" t="s">
        <v>5</v>
      </c>
      <c r="D1420" s="13" t="s">
        <v>418</v>
      </c>
      <c r="E1420" s="16" t="n">
        <v>746.22</v>
      </c>
      <c r="F1420" s="7" t="n">
        <v>2</v>
      </c>
      <c r="G1420" s="5" t="n">
        <v>1500</v>
      </c>
    </row>
    <row r="1421" customFormat="false" ht="15" hidden="false" customHeight="false" outlineLevel="0" collapsed="false">
      <c r="A1421" s="13" t="s">
        <v>92</v>
      </c>
      <c r="B1421" s="13" t="s">
        <v>43</v>
      </c>
      <c r="C1421" s="13" t="s">
        <v>5</v>
      </c>
      <c r="D1421" s="13" t="s">
        <v>1037</v>
      </c>
      <c r="E1421" s="16" t="n">
        <v>752.68</v>
      </c>
      <c r="F1421" s="7" t="n">
        <v>2</v>
      </c>
      <c r="G1421" s="5" t="n">
        <v>1500</v>
      </c>
    </row>
    <row r="1422" customFormat="false" ht="15" hidden="false" customHeight="false" outlineLevel="0" collapsed="false">
      <c r="A1422" s="13" t="s">
        <v>54</v>
      </c>
      <c r="B1422" s="13" t="s">
        <v>43</v>
      </c>
      <c r="C1422" s="13" t="s">
        <v>5</v>
      </c>
      <c r="D1422" s="13" t="s">
        <v>1038</v>
      </c>
      <c r="E1422" s="16" t="n">
        <v>295.168</v>
      </c>
      <c r="F1422" s="7" t="n">
        <v>5</v>
      </c>
      <c r="G1422" s="5" t="n">
        <v>1500</v>
      </c>
    </row>
    <row r="1423" customFormat="false" ht="15" hidden="false" customHeight="false" outlineLevel="0" collapsed="false">
      <c r="A1423" s="13" t="s">
        <v>42</v>
      </c>
      <c r="B1423" s="13" t="s">
        <v>43</v>
      </c>
      <c r="C1423" s="13" t="s">
        <v>4</v>
      </c>
      <c r="D1423" s="13" t="s">
        <v>460</v>
      </c>
      <c r="E1423" s="16" t="n">
        <v>730.14</v>
      </c>
      <c r="F1423" s="7" t="n">
        <v>2</v>
      </c>
      <c r="G1423" s="5" t="n">
        <v>1500</v>
      </c>
    </row>
    <row r="1424" customFormat="false" ht="15" hidden="false" customHeight="false" outlineLevel="0" collapsed="false">
      <c r="A1424" s="13" t="s">
        <v>153</v>
      </c>
      <c r="B1424" s="13" t="s">
        <v>43</v>
      </c>
      <c r="C1424" s="13" t="s">
        <v>4</v>
      </c>
      <c r="D1424" s="13" t="s">
        <v>1039</v>
      </c>
      <c r="E1424" s="16" t="n">
        <v>727.55</v>
      </c>
      <c r="F1424" s="7" t="n">
        <v>2</v>
      </c>
      <c r="G1424" s="5" t="n">
        <v>1500</v>
      </c>
    </row>
    <row r="1425" customFormat="false" ht="15" hidden="false" customHeight="false" outlineLevel="0" collapsed="false">
      <c r="A1425" s="13" t="s">
        <v>179</v>
      </c>
      <c r="B1425" s="13" t="s">
        <v>180</v>
      </c>
      <c r="C1425" s="13" t="s">
        <v>3</v>
      </c>
      <c r="D1425" s="13" t="s">
        <v>1040</v>
      </c>
      <c r="E1425" s="16" t="n">
        <v>759</v>
      </c>
      <c r="F1425" s="7" t="n">
        <v>2</v>
      </c>
      <c r="G1425" s="5" t="n">
        <v>1500</v>
      </c>
    </row>
    <row r="1426" customFormat="false" ht="15" hidden="false" customHeight="false" outlineLevel="0" collapsed="false">
      <c r="A1426" s="13" t="s">
        <v>45</v>
      </c>
      <c r="B1426" s="13" t="s">
        <v>43</v>
      </c>
      <c r="C1426" s="13" t="s">
        <v>4</v>
      </c>
      <c r="D1426" s="13" t="s">
        <v>1041</v>
      </c>
      <c r="E1426" s="16" t="n">
        <v>735.56</v>
      </c>
      <c r="F1426" s="7" t="n">
        <v>2</v>
      </c>
      <c r="G1426" s="5" t="n">
        <v>1500</v>
      </c>
    </row>
    <row r="1427" customFormat="false" ht="15" hidden="false" customHeight="false" outlineLevel="0" collapsed="false">
      <c r="A1427" s="13" t="s">
        <v>42</v>
      </c>
      <c r="B1427" s="13" t="s">
        <v>43</v>
      </c>
      <c r="C1427" s="13" t="s">
        <v>4</v>
      </c>
      <c r="D1427" s="13" t="s">
        <v>1042</v>
      </c>
      <c r="E1427" s="16" t="n">
        <v>733.18</v>
      </c>
      <c r="F1427" s="7" t="n">
        <v>2</v>
      </c>
      <c r="G1427" s="5" t="n">
        <v>1500</v>
      </c>
    </row>
    <row r="1428" customFormat="false" ht="15" hidden="false" customHeight="false" outlineLevel="0" collapsed="false">
      <c r="A1428" s="13" t="s">
        <v>42</v>
      </c>
      <c r="B1428" s="13" t="s">
        <v>43</v>
      </c>
      <c r="C1428" s="13" t="s">
        <v>4</v>
      </c>
      <c r="D1428" s="13" t="s">
        <v>1043</v>
      </c>
      <c r="E1428" s="16" t="n">
        <v>747.065</v>
      </c>
      <c r="F1428" s="7" t="n">
        <v>2</v>
      </c>
      <c r="G1428" s="5" t="n">
        <v>1500</v>
      </c>
    </row>
    <row r="1429" customFormat="false" ht="15" hidden="false" customHeight="false" outlineLevel="0" collapsed="false">
      <c r="A1429" s="13" t="s">
        <v>50</v>
      </c>
      <c r="B1429" s="13" t="s">
        <v>43</v>
      </c>
      <c r="C1429" s="13" t="s">
        <v>4</v>
      </c>
      <c r="D1429" s="13" t="s">
        <v>785</v>
      </c>
      <c r="E1429" s="16" t="n">
        <v>750</v>
      </c>
      <c r="F1429" s="7" t="n">
        <v>2</v>
      </c>
      <c r="G1429" s="5" t="n">
        <v>1500</v>
      </c>
    </row>
    <row r="1430" customFormat="false" ht="15" hidden="false" customHeight="false" outlineLevel="0" collapsed="false">
      <c r="A1430" s="13" t="s">
        <v>42</v>
      </c>
      <c r="B1430" s="13" t="s">
        <v>43</v>
      </c>
      <c r="C1430" s="13" t="s">
        <v>4</v>
      </c>
      <c r="D1430" s="13" t="s">
        <v>237</v>
      </c>
      <c r="E1430" s="16" t="n">
        <v>764.15</v>
      </c>
      <c r="F1430" s="7" t="n">
        <v>2</v>
      </c>
      <c r="G1430" s="5" t="n">
        <v>1500</v>
      </c>
    </row>
    <row r="1431" customFormat="false" ht="15" hidden="false" customHeight="false" outlineLevel="0" collapsed="false">
      <c r="A1431" s="13" t="s">
        <v>177</v>
      </c>
      <c r="B1431" s="13" t="s">
        <v>43</v>
      </c>
      <c r="C1431" s="13" t="s">
        <v>4</v>
      </c>
      <c r="D1431" s="13" t="s">
        <v>1044</v>
      </c>
      <c r="E1431" s="16" t="n">
        <v>760.315</v>
      </c>
      <c r="F1431" s="7" t="n">
        <v>2</v>
      </c>
      <c r="G1431" s="5" t="n">
        <v>1500</v>
      </c>
    </row>
    <row r="1432" customFormat="false" ht="15" hidden="false" customHeight="false" outlineLevel="0" collapsed="false">
      <c r="A1432" s="13" t="s">
        <v>161</v>
      </c>
      <c r="B1432" s="13" t="s">
        <v>43</v>
      </c>
      <c r="C1432" s="13" t="s">
        <v>4</v>
      </c>
      <c r="D1432" s="13" t="s">
        <v>1045</v>
      </c>
      <c r="E1432" s="16" t="n">
        <v>373.45</v>
      </c>
      <c r="F1432" s="7" t="n">
        <v>2</v>
      </c>
      <c r="G1432" s="5" t="n">
        <v>1500</v>
      </c>
    </row>
    <row r="1433" customFormat="false" ht="15" hidden="false" customHeight="false" outlineLevel="0" collapsed="false">
      <c r="A1433" s="13" t="s">
        <v>54</v>
      </c>
      <c r="B1433" s="13" t="s">
        <v>43</v>
      </c>
      <c r="C1433" s="13" t="s">
        <v>5</v>
      </c>
      <c r="D1433" s="13" t="s">
        <v>1046</v>
      </c>
      <c r="E1433" s="16" t="n">
        <v>295.386</v>
      </c>
      <c r="F1433" s="7" t="n">
        <v>5</v>
      </c>
      <c r="G1433" s="5" t="n">
        <v>1500</v>
      </c>
    </row>
    <row r="1434" customFormat="false" ht="15" hidden="false" customHeight="false" outlineLevel="0" collapsed="false">
      <c r="A1434" s="13" t="s">
        <v>177</v>
      </c>
      <c r="B1434" s="13" t="s">
        <v>43</v>
      </c>
      <c r="C1434" s="13" t="s">
        <v>5</v>
      </c>
      <c r="D1434" s="13" t="s">
        <v>1047</v>
      </c>
      <c r="E1434" s="16" t="n">
        <v>726</v>
      </c>
      <c r="F1434" s="7" t="n">
        <v>2</v>
      </c>
      <c r="G1434" s="5" t="n">
        <v>1500</v>
      </c>
    </row>
    <row r="1435" customFormat="false" ht="15" hidden="false" customHeight="false" outlineLevel="0" collapsed="false">
      <c r="A1435" s="13" t="s">
        <v>124</v>
      </c>
      <c r="B1435" s="13" t="s">
        <v>43</v>
      </c>
      <c r="C1435" s="13" t="s">
        <v>5</v>
      </c>
      <c r="D1435" s="13" t="s">
        <v>125</v>
      </c>
      <c r="E1435" s="16" t="n">
        <v>728.5</v>
      </c>
      <c r="F1435" s="7" t="n">
        <v>2</v>
      </c>
      <c r="G1435" s="5" t="n">
        <v>1500</v>
      </c>
    </row>
    <row r="1436" customFormat="false" ht="15" hidden="false" customHeight="false" outlineLevel="0" collapsed="false">
      <c r="A1436" s="13" t="s">
        <v>72</v>
      </c>
      <c r="B1436" s="13" t="s">
        <v>43</v>
      </c>
      <c r="C1436" s="13" t="s">
        <v>5</v>
      </c>
      <c r="D1436" s="13" t="s">
        <v>1048</v>
      </c>
      <c r="E1436" s="16" t="n">
        <v>513.41</v>
      </c>
      <c r="F1436" s="7" t="n">
        <v>2</v>
      </c>
      <c r="G1436" s="5" t="n">
        <v>1500</v>
      </c>
    </row>
    <row r="1437" customFormat="false" ht="15" hidden="false" customHeight="false" outlineLevel="0" collapsed="false">
      <c r="A1437" s="13" t="s">
        <v>195</v>
      </c>
      <c r="B1437" s="13" t="s">
        <v>43</v>
      </c>
      <c r="C1437" s="13" t="s">
        <v>5</v>
      </c>
      <c r="D1437" s="13" t="s">
        <v>1049</v>
      </c>
      <c r="E1437" s="16" t="n">
        <v>509.31</v>
      </c>
      <c r="F1437" s="7" t="n">
        <v>2</v>
      </c>
      <c r="G1437" s="5" t="n">
        <v>1500</v>
      </c>
    </row>
    <row r="1438" customFormat="false" ht="15" hidden="false" customHeight="false" outlineLevel="0" collapsed="false">
      <c r="A1438" s="13" t="s">
        <v>103</v>
      </c>
      <c r="B1438" s="13" t="s">
        <v>43</v>
      </c>
      <c r="C1438" s="13" t="s">
        <v>5</v>
      </c>
      <c r="D1438" s="13" t="s">
        <v>1050</v>
      </c>
      <c r="E1438" s="16" t="n">
        <v>184.9775</v>
      </c>
      <c r="F1438" s="7" t="n">
        <v>5</v>
      </c>
      <c r="G1438" s="5" t="n">
        <v>1500</v>
      </c>
    </row>
    <row r="1439" customFormat="false" ht="15" hidden="false" customHeight="false" outlineLevel="0" collapsed="false">
      <c r="A1439" s="13" t="s">
        <v>121</v>
      </c>
      <c r="B1439" s="13" t="s">
        <v>43</v>
      </c>
      <c r="C1439" s="13" t="s">
        <v>5</v>
      </c>
      <c r="D1439" s="13" t="s">
        <v>1051</v>
      </c>
      <c r="E1439" s="16" t="n">
        <v>112.458461538462</v>
      </c>
      <c r="F1439" s="7" t="n">
        <v>10</v>
      </c>
      <c r="G1439" s="5" t="n">
        <v>1500</v>
      </c>
    </row>
    <row r="1440" customFormat="false" ht="15" hidden="false" customHeight="false" outlineLevel="0" collapsed="false">
      <c r="A1440" s="13" t="s">
        <v>315</v>
      </c>
      <c r="B1440" s="13" t="s">
        <v>43</v>
      </c>
      <c r="C1440" s="13" t="s">
        <v>5</v>
      </c>
      <c r="D1440" s="13" t="s">
        <v>1052</v>
      </c>
      <c r="E1440" s="16" t="n">
        <v>728.11</v>
      </c>
      <c r="F1440" s="7" t="n">
        <v>2</v>
      </c>
      <c r="G1440" s="5" t="n">
        <v>1500</v>
      </c>
    </row>
    <row r="1441" customFormat="false" ht="15" hidden="false" customHeight="false" outlineLevel="0" collapsed="false">
      <c r="A1441" s="13" t="s">
        <v>45</v>
      </c>
      <c r="B1441" s="13" t="s">
        <v>43</v>
      </c>
      <c r="C1441" s="13" t="s">
        <v>4</v>
      </c>
      <c r="D1441" s="13" t="s">
        <v>1053</v>
      </c>
      <c r="E1441" s="16" t="n">
        <v>756.8</v>
      </c>
      <c r="F1441" s="7" t="n">
        <v>2</v>
      </c>
      <c r="G1441" s="5" t="n">
        <v>1500</v>
      </c>
    </row>
    <row r="1442" customFormat="false" ht="15" hidden="false" customHeight="false" outlineLevel="0" collapsed="false">
      <c r="A1442" s="13" t="s">
        <v>42</v>
      </c>
      <c r="B1442" s="13" t="s">
        <v>43</v>
      </c>
      <c r="C1442" s="13" t="s">
        <v>4</v>
      </c>
      <c r="D1442" s="13" t="s">
        <v>1054</v>
      </c>
      <c r="E1442" s="16" t="n">
        <v>752.79</v>
      </c>
      <c r="F1442" s="7" t="n">
        <v>2</v>
      </c>
      <c r="G1442" s="5" t="n">
        <v>1500</v>
      </c>
    </row>
    <row r="1443" customFormat="false" ht="15" hidden="false" customHeight="false" outlineLevel="0" collapsed="false">
      <c r="A1443" s="13" t="s">
        <v>45</v>
      </c>
      <c r="B1443" s="13" t="s">
        <v>43</v>
      </c>
      <c r="C1443" s="13" t="s">
        <v>4</v>
      </c>
      <c r="D1443" s="13" t="s">
        <v>1055</v>
      </c>
      <c r="E1443" s="16" t="n">
        <v>771.88</v>
      </c>
      <c r="F1443" s="7" t="n">
        <v>2</v>
      </c>
      <c r="G1443" s="5" t="n">
        <v>1500</v>
      </c>
    </row>
    <row r="1444" customFormat="false" ht="15" hidden="false" customHeight="false" outlineLevel="0" collapsed="false">
      <c r="A1444" s="13" t="s">
        <v>79</v>
      </c>
      <c r="B1444" s="13" t="s">
        <v>43</v>
      </c>
      <c r="C1444" s="13" t="s">
        <v>4</v>
      </c>
      <c r="D1444" s="13" t="s">
        <v>1056</v>
      </c>
      <c r="E1444" s="16" t="n">
        <v>771.695</v>
      </c>
      <c r="F1444" s="7" t="n">
        <v>2</v>
      </c>
      <c r="G1444" s="5" t="n">
        <v>1500</v>
      </c>
    </row>
    <row r="1445" customFormat="false" ht="15" hidden="false" customHeight="false" outlineLevel="0" collapsed="false">
      <c r="A1445" s="13" t="s">
        <v>121</v>
      </c>
      <c r="B1445" s="13" t="s">
        <v>43</v>
      </c>
      <c r="C1445" s="13" t="s">
        <v>5</v>
      </c>
      <c r="D1445" s="13" t="s">
        <v>1057</v>
      </c>
      <c r="E1445" s="16" t="n">
        <v>169.5525</v>
      </c>
      <c r="F1445" s="7" t="n">
        <v>5</v>
      </c>
      <c r="G1445" s="5" t="n">
        <v>1400</v>
      </c>
    </row>
    <row r="1446" customFormat="false" ht="15" hidden="false" customHeight="false" outlineLevel="0" collapsed="false">
      <c r="A1446" s="13" t="s">
        <v>45</v>
      </c>
      <c r="B1446" s="13" t="s">
        <v>43</v>
      </c>
      <c r="C1446" s="13" t="s">
        <v>5</v>
      </c>
      <c r="D1446" s="13" t="s">
        <v>113</v>
      </c>
      <c r="E1446" s="16" t="n">
        <v>695</v>
      </c>
      <c r="F1446" s="7" t="n">
        <v>2</v>
      </c>
      <c r="G1446" s="5" t="n">
        <v>1400</v>
      </c>
    </row>
    <row r="1447" customFormat="false" ht="15" hidden="false" customHeight="false" outlineLevel="0" collapsed="false">
      <c r="A1447" s="13" t="s">
        <v>153</v>
      </c>
      <c r="B1447" s="13" t="s">
        <v>43</v>
      </c>
      <c r="C1447" s="13" t="s">
        <v>5</v>
      </c>
      <c r="D1447" s="13" t="s">
        <v>1058</v>
      </c>
      <c r="E1447" s="16" t="n">
        <v>338</v>
      </c>
      <c r="F1447" s="7" t="n">
        <v>2</v>
      </c>
      <c r="G1447" s="5" t="n">
        <v>1400</v>
      </c>
    </row>
    <row r="1448" customFormat="false" ht="15" hidden="false" customHeight="false" outlineLevel="0" collapsed="false">
      <c r="A1448" s="13" t="s">
        <v>124</v>
      </c>
      <c r="B1448" s="13" t="s">
        <v>43</v>
      </c>
      <c r="C1448" s="13" t="s">
        <v>5</v>
      </c>
      <c r="D1448" s="13" t="s">
        <v>1059</v>
      </c>
      <c r="E1448" s="16" t="n">
        <v>680.48</v>
      </c>
      <c r="F1448" s="7" t="n">
        <v>2</v>
      </c>
      <c r="G1448" s="5" t="n">
        <v>1400</v>
      </c>
    </row>
    <row r="1449" customFormat="false" ht="15" hidden="false" customHeight="false" outlineLevel="0" collapsed="false">
      <c r="A1449" s="13" t="s">
        <v>105</v>
      </c>
      <c r="B1449" s="13" t="s">
        <v>43</v>
      </c>
      <c r="C1449" s="13" t="s">
        <v>5</v>
      </c>
      <c r="D1449" s="13" t="s">
        <v>524</v>
      </c>
      <c r="E1449" s="16" t="n">
        <v>719.2</v>
      </c>
      <c r="F1449" s="7" t="n">
        <v>2</v>
      </c>
      <c r="G1449" s="5" t="n">
        <v>1400</v>
      </c>
    </row>
    <row r="1450" customFormat="false" ht="15" hidden="false" customHeight="false" outlineLevel="0" collapsed="false">
      <c r="A1450" s="13" t="s">
        <v>329</v>
      </c>
      <c r="B1450" s="13" t="s">
        <v>43</v>
      </c>
      <c r="C1450" s="13" t="s">
        <v>5</v>
      </c>
      <c r="D1450" s="13" t="s">
        <v>575</v>
      </c>
      <c r="E1450" s="16" t="n">
        <v>680</v>
      </c>
      <c r="F1450" s="7" t="n">
        <v>2</v>
      </c>
      <c r="G1450" s="5" t="n">
        <v>1400</v>
      </c>
    </row>
    <row r="1451" customFormat="false" ht="15" hidden="false" customHeight="false" outlineLevel="0" collapsed="false">
      <c r="A1451" s="13" t="s">
        <v>42</v>
      </c>
      <c r="B1451" s="13" t="s">
        <v>43</v>
      </c>
      <c r="C1451" s="13" t="s">
        <v>5</v>
      </c>
      <c r="D1451" s="13" t="s">
        <v>1060</v>
      </c>
      <c r="E1451" s="16" t="n">
        <v>678.85</v>
      </c>
      <c r="F1451" s="7" t="n">
        <v>2</v>
      </c>
      <c r="G1451" s="5" t="n">
        <v>1400</v>
      </c>
    </row>
    <row r="1452" customFormat="false" ht="15" hidden="false" customHeight="false" outlineLevel="0" collapsed="false">
      <c r="A1452" s="13" t="s">
        <v>45</v>
      </c>
      <c r="B1452" s="13" t="s">
        <v>43</v>
      </c>
      <c r="C1452" s="13" t="s">
        <v>5</v>
      </c>
      <c r="D1452" s="13" t="s">
        <v>447</v>
      </c>
      <c r="E1452" s="16" t="n">
        <v>725</v>
      </c>
      <c r="F1452" s="7" t="n">
        <v>2</v>
      </c>
      <c r="G1452" s="5" t="n">
        <v>1400</v>
      </c>
    </row>
    <row r="1453" customFormat="false" ht="15" hidden="false" customHeight="false" outlineLevel="0" collapsed="false">
      <c r="A1453" s="13" t="s">
        <v>54</v>
      </c>
      <c r="B1453" s="13" t="s">
        <v>43</v>
      </c>
      <c r="C1453" s="13" t="s">
        <v>5</v>
      </c>
      <c r="D1453" s="13" t="s">
        <v>954</v>
      </c>
      <c r="E1453" s="16" t="n">
        <v>725</v>
      </c>
      <c r="F1453" s="7" t="n">
        <v>2</v>
      </c>
      <c r="G1453" s="5" t="n">
        <v>1400</v>
      </c>
    </row>
    <row r="1454" customFormat="false" ht="15" hidden="false" customHeight="false" outlineLevel="0" collapsed="false">
      <c r="A1454" s="13" t="s">
        <v>105</v>
      </c>
      <c r="B1454" s="13" t="s">
        <v>43</v>
      </c>
      <c r="C1454" s="13" t="s">
        <v>4</v>
      </c>
      <c r="D1454" s="13" t="s">
        <v>106</v>
      </c>
      <c r="E1454" s="16" t="n">
        <v>458.966666666667</v>
      </c>
      <c r="F1454" s="7" t="n">
        <v>2</v>
      </c>
      <c r="G1454" s="5" t="n">
        <v>1400</v>
      </c>
    </row>
    <row r="1455" customFormat="false" ht="15" hidden="false" customHeight="false" outlineLevel="0" collapsed="false">
      <c r="A1455" s="13" t="s">
        <v>121</v>
      </c>
      <c r="B1455" s="13" t="s">
        <v>43</v>
      </c>
      <c r="C1455" s="13" t="s">
        <v>5</v>
      </c>
      <c r="D1455" s="13" t="s">
        <v>1061</v>
      </c>
      <c r="E1455" s="16" t="n">
        <v>46.4096774193548</v>
      </c>
      <c r="F1455" s="7" t="n">
        <v>30</v>
      </c>
      <c r="G1455" s="5" t="n">
        <v>1400</v>
      </c>
    </row>
    <row r="1456" customFormat="false" ht="15" hidden="false" customHeight="false" outlineLevel="0" collapsed="false">
      <c r="A1456" s="13" t="s">
        <v>286</v>
      </c>
      <c r="B1456" s="13" t="s">
        <v>43</v>
      </c>
      <c r="C1456" s="13" t="s">
        <v>4</v>
      </c>
      <c r="D1456" s="13" t="s">
        <v>1062</v>
      </c>
      <c r="E1456" s="16" t="n">
        <v>348.11</v>
      </c>
      <c r="F1456" s="7" t="n">
        <v>2</v>
      </c>
      <c r="G1456" s="5" t="n">
        <v>1400</v>
      </c>
    </row>
    <row r="1457" customFormat="false" ht="15" hidden="false" customHeight="false" outlineLevel="0" collapsed="false">
      <c r="A1457" s="13" t="s">
        <v>42</v>
      </c>
      <c r="B1457" s="13" t="s">
        <v>43</v>
      </c>
      <c r="C1457" s="13" t="s">
        <v>4</v>
      </c>
      <c r="D1457" s="13" t="s">
        <v>912</v>
      </c>
      <c r="E1457" s="16" t="n">
        <v>704.67</v>
      </c>
      <c r="F1457" s="7" t="n">
        <v>2</v>
      </c>
      <c r="G1457" s="5" t="n">
        <v>1400</v>
      </c>
    </row>
    <row r="1458" customFormat="false" ht="15" hidden="false" customHeight="false" outlineLevel="0" collapsed="false">
      <c r="A1458" s="13" t="s">
        <v>45</v>
      </c>
      <c r="B1458" s="13" t="s">
        <v>43</v>
      </c>
      <c r="C1458" s="13" t="s">
        <v>4</v>
      </c>
      <c r="D1458" s="13" t="s">
        <v>1063</v>
      </c>
      <c r="E1458" s="16" t="n">
        <v>704.65</v>
      </c>
      <c r="F1458" s="7" t="n">
        <v>2</v>
      </c>
      <c r="G1458" s="5" t="n">
        <v>1400</v>
      </c>
    </row>
    <row r="1459" customFormat="false" ht="15" hidden="false" customHeight="false" outlineLevel="0" collapsed="false">
      <c r="A1459" s="13" t="s">
        <v>42</v>
      </c>
      <c r="B1459" s="13" t="s">
        <v>43</v>
      </c>
      <c r="C1459" s="13" t="s">
        <v>4</v>
      </c>
      <c r="D1459" s="13" t="s">
        <v>1064</v>
      </c>
      <c r="E1459" s="16" t="n">
        <v>701</v>
      </c>
      <c r="F1459" s="7" t="n">
        <v>2</v>
      </c>
      <c r="G1459" s="5" t="n">
        <v>1400</v>
      </c>
    </row>
    <row r="1460" customFormat="false" ht="15" hidden="false" customHeight="false" outlineLevel="0" collapsed="false">
      <c r="A1460" s="13" t="s">
        <v>124</v>
      </c>
      <c r="B1460" s="13" t="s">
        <v>43</v>
      </c>
      <c r="C1460" s="13" t="s">
        <v>5</v>
      </c>
      <c r="D1460" s="13" t="s">
        <v>934</v>
      </c>
      <c r="E1460" s="16" t="n">
        <v>724.35</v>
      </c>
      <c r="F1460" s="7" t="n">
        <v>2</v>
      </c>
      <c r="G1460" s="5" t="n">
        <v>1400</v>
      </c>
    </row>
    <row r="1461" customFormat="false" ht="15" hidden="false" customHeight="false" outlineLevel="0" collapsed="false">
      <c r="A1461" s="13" t="s">
        <v>103</v>
      </c>
      <c r="B1461" s="13" t="s">
        <v>43</v>
      </c>
      <c r="C1461" s="13" t="s">
        <v>5</v>
      </c>
      <c r="D1461" s="13" t="s">
        <v>576</v>
      </c>
      <c r="E1461" s="16" t="n">
        <v>198.245714285714</v>
      </c>
      <c r="F1461" s="7" t="n">
        <v>5</v>
      </c>
      <c r="G1461" s="5" t="n">
        <v>1400</v>
      </c>
    </row>
    <row r="1462" customFormat="false" ht="15" hidden="false" customHeight="false" outlineLevel="0" collapsed="false">
      <c r="A1462" s="13" t="s">
        <v>121</v>
      </c>
      <c r="B1462" s="13" t="s">
        <v>43</v>
      </c>
      <c r="C1462" s="13" t="s">
        <v>5</v>
      </c>
      <c r="D1462" s="13" t="s">
        <v>1065</v>
      </c>
      <c r="E1462" s="16" t="n">
        <v>130.469090909091</v>
      </c>
      <c r="F1462" s="7" t="n">
        <v>10</v>
      </c>
      <c r="G1462" s="5" t="n">
        <v>1400</v>
      </c>
    </row>
    <row r="1463" customFormat="false" ht="15" hidden="false" customHeight="false" outlineLevel="0" collapsed="false">
      <c r="A1463" s="13" t="s">
        <v>54</v>
      </c>
      <c r="B1463" s="13" t="s">
        <v>43</v>
      </c>
      <c r="C1463" s="13" t="s">
        <v>5</v>
      </c>
      <c r="D1463" s="13" t="s">
        <v>1066</v>
      </c>
      <c r="E1463" s="16" t="n">
        <v>286.036</v>
      </c>
      <c r="F1463" s="7" t="n">
        <v>5</v>
      </c>
      <c r="G1463" s="5" t="n">
        <v>1400</v>
      </c>
    </row>
    <row r="1464" customFormat="false" ht="15" hidden="false" customHeight="false" outlineLevel="0" collapsed="false">
      <c r="A1464" s="13" t="s">
        <v>121</v>
      </c>
      <c r="B1464" s="13" t="s">
        <v>43</v>
      </c>
      <c r="C1464" s="13" t="s">
        <v>5</v>
      </c>
      <c r="D1464" s="13" t="s">
        <v>1067</v>
      </c>
      <c r="E1464" s="16" t="n">
        <v>102.635</v>
      </c>
      <c r="F1464" s="7" t="n">
        <v>10</v>
      </c>
      <c r="G1464" s="5" t="n">
        <v>1400</v>
      </c>
    </row>
    <row r="1465" customFormat="false" ht="15" hidden="false" customHeight="false" outlineLevel="0" collapsed="false">
      <c r="A1465" s="13" t="s">
        <v>54</v>
      </c>
      <c r="B1465" s="13" t="s">
        <v>43</v>
      </c>
      <c r="C1465" s="13" t="s">
        <v>5</v>
      </c>
      <c r="D1465" s="13" t="s">
        <v>1068</v>
      </c>
      <c r="E1465" s="16" t="n">
        <v>717.925</v>
      </c>
      <c r="F1465" s="7" t="n">
        <v>2</v>
      </c>
      <c r="G1465" s="5" t="n">
        <v>1400</v>
      </c>
    </row>
    <row r="1466" customFormat="false" ht="15" hidden="false" customHeight="false" outlineLevel="0" collapsed="false">
      <c r="A1466" s="13" t="s">
        <v>42</v>
      </c>
      <c r="B1466" s="13" t="s">
        <v>43</v>
      </c>
      <c r="C1466" s="13" t="s">
        <v>5</v>
      </c>
      <c r="D1466" s="13" t="s">
        <v>1069</v>
      </c>
      <c r="E1466" s="16" t="n">
        <v>1407.85</v>
      </c>
      <c r="F1466" s="7" t="n">
        <v>1</v>
      </c>
      <c r="G1466" s="5" t="n">
        <v>1400</v>
      </c>
    </row>
    <row r="1467" customFormat="false" ht="15" hidden="false" customHeight="false" outlineLevel="0" collapsed="false">
      <c r="A1467" s="13" t="s">
        <v>54</v>
      </c>
      <c r="B1467" s="13" t="s">
        <v>43</v>
      </c>
      <c r="C1467" s="13" t="s">
        <v>5</v>
      </c>
      <c r="D1467" s="13" t="s">
        <v>1070</v>
      </c>
      <c r="E1467" s="16" t="n">
        <v>718.555</v>
      </c>
      <c r="F1467" s="7" t="n">
        <v>2</v>
      </c>
      <c r="G1467" s="5" t="n">
        <v>1400</v>
      </c>
    </row>
    <row r="1468" customFormat="false" ht="15" hidden="false" customHeight="false" outlineLevel="0" collapsed="false">
      <c r="A1468" s="13" t="s">
        <v>153</v>
      </c>
      <c r="B1468" s="13" t="s">
        <v>43</v>
      </c>
      <c r="C1468" s="13" t="s">
        <v>5</v>
      </c>
      <c r="D1468" s="13" t="s">
        <v>1071</v>
      </c>
      <c r="E1468" s="16" t="n">
        <v>355</v>
      </c>
      <c r="F1468" s="7" t="n">
        <v>2</v>
      </c>
      <c r="G1468" s="5" t="n">
        <v>1400</v>
      </c>
    </row>
    <row r="1469" customFormat="false" ht="15" hidden="false" customHeight="false" outlineLevel="0" collapsed="false">
      <c r="A1469" s="13" t="s">
        <v>121</v>
      </c>
      <c r="B1469" s="13" t="s">
        <v>183</v>
      </c>
      <c r="C1469" s="13" t="s">
        <v>5</v>
      </c>
      <c r="D1469" s="13" t="s">
        <v>1072</v>
      </c>
      <c r="E1469" s="16" t="n">
        <v>99.5214285714286</v>
      </c>
      <c r="F1469" s="7" t="n">
        <v>10</v>
      </c>
      <c r="G1469" s="5" t="n">
        <v>1400</v>
      </c>
    </row>
    <row r="1470" customFormat="false" ht="15" hidden="false" customHeight="false" outlineLevel="0" collapsed="false">
      <c r="A1470" s="13" t="s">
        <v>153</v>
      </c>
      <c r="B1470" s="13" t="s">
        <v>43</v>
      </c>
      <c r="C1470" s="13" t="s">
        <v>5</v>
      </c>
      <c r="D1470" s="13" t="s">
        <v>1073</v>
      </c>
      <c r="E1470" s="16" t="n">
        <v>464</v>
      </c>
      <c r="F1470" s="7" t="n">
        <v>2</v>
      </c>
      <c r="G1470" s="5" t="n">
        <v>1400</v>
      </c>
    </row>
    <row r="1471" customFormat="false" ht="15" hidden="false" customHeight="false" outlineLevel="0" collapsed="false">
      <c r="A1471" s="13" t="s">
        <v>315</v>
      </c>
      <c r="B1471" s="13" t="s">
        <v>43</v>
      </c>
      <c r="C1471" s="13" t="s">
        <v>5</v>
      </c>
      <c r="D1471" s="13" t="s">
        <v>316</v>
      </c>
      <c r="E1471" s="16" t="n">
        <v>287</v>
      </c>
      <c r="F1471" s="7" t="n">
        <v>5</v>
      </c>
      <c r="G1471" s="5" t="n">
        <v>1400</v>
      </c>
    </row>
    <row r="1472" customFormat="false" ht="15" hidden="false" customHeight="false" outlineLevel="0" collapsed="false">
      <c r="A1472" s="13" t="s">
        <v>45</v>
      </c>
      <c r="B1472" s="13" t="s">
        <v>43</v>
      </c>
      <c r="C1472" s="13" t="s">
        <v>5</v>
      </c>
      <c r="D1472" s="13" t="s">
        <v>409</v>
      </c>
      <c r="E1472" s="16" t="n">
        <v>358</v>
      </c>
      <c r="F1472" s="7" t="n">
        <v>2</v>
      </c>
      <c r="G1472" s="5" t="n">
        <v>1400</v>
      </c>
    </row>
    <row r="1473" customFormat="false" ht="15" hidden="false" customHeight="false" outlineLevel="0" collapsed="false">
      <c r="A1473" s="13" t="s">
        <v>191</v>
      </c>
      <c r="B1473" s="13" t="s">
        <v>85</v>
      </c>
      <c r="C1473" s="13" t="s">
        <v>3</v>
      </c>
      <c r="D1473" s="13" t="s">
        <v>1074</v>
      </c>
      <c r="E1473" s="16" t="n">
        <v>232.9</v>
      </c>
      <c r="F1473" s="7" t="n">
        <v>5</v>
      </c>
      <c r="G1473" s="5" t="n">
        <v>1400</v>
      </c>
    </row>
    <row r="1474" customFormat="false" ht="15" hidden="false" customHeight="false" outlineLevel="0" collapsed="false">
      <c r="A1474" s="13" t="s">
        <v>182</v>
      </c>
      <c r="B1474" s="13" t="s">
        <v>85</v>
      </c>
      <c r="C1474" s="13" t="s">
        <v>3</v>
      </c>
      <c r="D1474" s="13" t="s">
        <v>1075</v>
      </c>
      <c r="E1474" s="16" t="n">
        <v>99.6328571428571</v>
      </c>
      <c r="F1474" s="7" t="n">
        <v>10</v>
      </c>
      <c r="G1474" s="5" t="n">
        <v>1400</v>
      </c>
    </row>
    <row r="1475" customFormat="false" ht="15" hidden="false" customHeight="false" outlineLevel="0" collapsed="false">
      <c r="A1475" s="13" t="s">
        <v>165</v>
      </c>
      <c r="B1475" s="13" t="s">
        <v>43</v>
      </c>
      <c r="C1475" s="13" t="s">
        <v>3</v>
      </c>
      <c r="D1475" s="13" t="s">
        <v>1076</v>
      </c>
      <c r="E1475" s="16" t="n">
        <v>169.99</v>
      </c>
      <c r="F1475" s="7" t="n">
        <v>5</v>
      </c>
      <c r="G1475" s="5" t="n">
        <v>1400</v>
      </c>
    </row>
    <row r="1476" customFormat="false" ht="15" hidden="false" customHeight="false" outlineLevel="0" collapsed="false">
      <c r="A1476" s="13" t="s">
        <v>179</v>
      </c>
      <c r="B1476" s="13" t="s">
        <v>180</v>
      </c>
      <c r="C1476" s="13" t="s">
        <v>3</v>
      </c>
      <c r="D1476" s="13" t="s">
        <v>1077</v>
      </c>
      <c r="E1476" s="16" t="n">
        <v>169</v>
      </c>
      <c r="F1476" s="7" t="n">
        <v>5</v>
      </c>
      <c r="G1476" s="5" t="n">
        <v>1400</v>
      </c>
    </row>
    <row r="1477" customFormat="false" ht="15" hidden="false" customHeight="false" outlineLevel="0" collapsed="false">
      <c r="A1477" s="13" t="s">
        <v>72</v>
      </c>
      <c r="B1477" s="13" t="s">
        <v>43</v>
      </c>
      <c r="C1477" s="13" t="s">
        <v>5</v>
      </c>
      <c r="D1477" s="13" t="s">
        <v>1078</v>
      </c>
      <c r="E1477" s="16" t="n">
        <v>689</v>
      </c>
      <c r="F1477" s="7" t="n">
        <v>2</v>
      </c>
      <c r="G1477" s="5" t="n">
        <v>1400</v>
      </c>
    </row>
    <row r="1478" customFormat="false" ht="15" hidden="false" customHeight="false" outlineLevel="0" collapsed="false">
      <c r="A1478" s="13" t="s">
        <v>50</v>
      </c>
      <c r="B1478" s="13" t="s">
        <v>43</v>
      </c>
      <c r="C1478" s="13" t="s">
        <v>5</v>
      </c>
      <c r="D1478" s="13" t="s">
        <v>1079</v>
      </c>
      <c r="E1478" s="16" t="n">
        <v>459</v>
      </c>
      <c r="F1478" s="7" t="n">
        <v>2</v>
      </c>
      <c r="G1478" s="5" t="n">
        <v>1400</v>
      </c>
    </row>
    <row r="1479" customFormat="false" ht="15" hidden="false" customHeight="false" outlineLevel="0" collapsed="false">
      <c r="A1479" s="13" t="s">
        <v>42</v>
      </c>
      <c r="B1479" s="13" t="s">
        <v>43</v>
      </c>
      <c r="C1479" s="13" t="s">
        <v>5</v>
      </c>
      <c r="D1479" s="13" t="s">
        <v>1080</v>
      </c>
      <c r="E1479" s="16" t="n">
        <v>710.97</v>
      </c>
      <c r="F1479" s="7" t="n">
        <v>2</v>
      </c>
      <c r="G1479" s="5" t="n">
        <v>1400</v>
      </c>
    </row>
    <row r="1480" customFormat="false" ht="15" hidden="false" customHeight="false" outlineLevel="0" collapsed="false">
      <c r="A1480" s="13" t="s">
        <v>177</v>
      </c>
      <c r="B1480" s="13" t="s">
        <v>43</v>
      </c>
      <c r="C1480" s="13" t="s">
        <v>5</v>
      </c>
      <c r="D1480" s="13" t="s">
        <v>178</v>
      </c>
      <c r="E1480" s="16" t="n">
        <v>715</v>
      </c>
      <c r="F1480" s="7" t="n">
        <v>2</v>
      </c>
      <c r="G1480" s="5" t="n">
        <v>1400</v>
      </c>
    </row>
    <row r="1481" customFormat="false" ht="15" hidden="false" customHeight="false" outlineLevel="0" collapsed="false">
      <c r="A1481" s="13" t="s">
        <v>50</v>
      </c>
      <c r="B1481" s="13" t="s">
        <v>43</v>
      </c>
      <c r="C1481" s="13" t="s">
        <v>5</v>
      </c>
      <c r="D1481" s="13" t="s">
        <v>1081</v>
      </c>
      <c r="E1481" s="16" t="n">
        <v>724</v>
      </c>
      <c r="F1481" s="7" t="n">
        <v>2</v>
      </c>
      <c r="G1481" s="5" t="n">
        <v>1400</v>
      </c>
    </row>
    <row r="1482" customFormat="false" ht="15" hidden="false" customHeight="false" outlineLevel="0" collapsed="false">
      <c r="A1482" s="13" t="s">
        <v>79</v>
      </c>
      <c r="B1482" s="13" t="s">
        <v>43</v>
      </c>
      <c r="C1482" s="13" t="s">
        <v>5</v>
      </c>
      <c r="D1482" s="13" t="s">
        <v>1082</v>
      </c>
      <c r="E1482" s="16" t="n">
        <v>482</v>
      </c>
      <c r="F1482" s="7" t="n">
        <v>2</v>
      </c>
      <c r="G1482" s="5" t="n">
        <v>1400</v>
      </c>
    </row>
    <row r="1483" customFormat="false" ht="15" hidden="false" customHeight="false" outlineLevel="0" collapsed="false">
      <c r="A1483" s="13" t="s">
        <v>124</v>
      </c>
      <c r="B1483" s="13" t="s">
        <v>43</v>
      </c>
      <c r="C1483" s="13" t="s">
        <v>5</v>
      </c>
      <c r="D1483" s="13" t="s">
        <v>1083</v>
      </c>
      <c r="E1483" s="16" t="n">
        <v>722.87</v>
      </c>
      <c r="F1483" s="7" t="n">
        <v>2</v>
      </c>
      <c r="G1483" s="5" t="n">
        <v>1400</v>
      </c>
    </row>
    <row r="1484" customFormat="false" ht="15" hidden="false" customHeight="false" outlineLevel="0" collapsed="false">
      <c r="A1484" s="13" t="s">
        <v>54</v>
      </c>
      <c r="B1484" s="13" t="s">
        <v>43</v>
      </c>
      <c r="C1484" s="13" t="s">
        <v>5</v>
      </c>
      <c r="D1484" s="13" t="s">
        <v>1068</v>
      </c>
      <c r="E1484" s="16" t="n">
        <v>722.385</v>
      </c>
      <c r="F1484" s="7" t="n">
        <v>2</v>
      </c>
      <c r="G1484" s="5" t="n">
        <v>1400</v>
      </c>
    </row>
    <row r="1485" customFormat="false" ht="15" hidden="false" customHeight="false" outlineLevel="0" collapsed="false">
      <c r="A1485" s="13" t="s">
        <v>165</v>
      </c>
      <c r="B1485" s="13" t="s">
        <v>43</v>
      </c>
      <c r="C1485" s="13" t="s">
        <v>5</v>
      </c>
      <c r="D1485" s="13" t="s">
        <v>166</v>
      </c>
      <c r="E1485" s="16" t="n">
        <v>283.48</v>
      </c>
      <c r="F1485" s="7" t="n">
        <v>5</v>
      </c>
      <c r="G1485" s="5" t="n">
        <v>1400</v>
      </c>
    </row>
    <row r="1486" customFormat="false" ht="15" hidden="false" customHeight="false" outlineLevel="0" collapsed="false">
      <c r="A1486" s="13" t="s">
        <v>61</v>
      </c>
      <c r="B1486" s="13" t="s">
        <v>43</v>
      </c>
      <c r="C1486" s="13" t="s">
        <v>5</v>
      </c>
      <c r="D1486" s="13" t="s">
        <v>231</v>
      </c>
      <c r="E1486" s="16" t="n">
        <v>707.67</v>
      </c>
      <c r="F1486" s="7" t="n">
        <v>2</v>
      </c>
      <c r="G1486" s="5" t="n">
        <v>1400</v>
      </c>
    </row>
    <row r="1487" customFormat="false" ht="15" hidden="false" customHeight="false" outlineLevel="0" collapsed="false">
      <c r="A1487" s="13" t="s">
        <v>153</v>
      </c>
      <c r="B1487" s="13" t="s">
        <v>43</v>
      </c>
      <c r="C1487" s="13" t="s">
        <v>5</v>
      </c>
      <c r="D1487" s="13" t="s">
        <v>1084</v>
      </c>
      <c r="E1487" s="16" t="n">
        <v>720.68</v>
      </c>
      <c r="F1487" s="7" t="n">
        <v>2</v>
      </c>
      <c r="G1487" s="5" t="n">
        <v>1400</v>
      </c>
    </row>
    <row r="1488" customFormat="false" ht="15" hidden="false" customHeight="false" outlineLevel="0" collapsed="false">
      <c r="A1488" s="13" t="s">
        <v>59</v>
      </c>
      <c r="B1488" s="13" t="s">
        <v>43</v>
      </c>
      <c r="C1488" s="13" t="s">
        <v>5</v>
      </c>
      <c r="D1488" s="13" t="s">
        <v>532</v>
      </c>
      <c r="E1488" s="16" t="n">
        <v>144</v>
      </c>
      <c r="F1488" s="7" t="n">
        <v>5</v>
      </c>
      <c r="G1488" s="5" t="n">
        <v>1400</v>
      </c>
    </row>
    <row r="1489" customFormat="false" ht="15" hidden="false" customHeight="false" outlineLevel="0" collapsed="false">
      <c r="A1489" s="13" t="s">
        <v>121</v>
      </c>
      <c r="B1489" s="13" t="s">
        <v>43</v>
      </c>
      <c r="C1489" s="13" t="s">
        <v>5</v>
      </c>
      <c r="D1489" s="13" t="s">
        <v>1085</v>
      </c>
      <c r="E1489" s="16" t="n">
        <v>234.75</v>
      </c>
      <c r="F1489" s="7" t="n">
        <v>5</v>
      </c>
      <c r="G1489" s="5" t="n">
        <v>1400</v>
      </c>
    </row>
    <row r="1490" customFormat="false" ht="15" hidden="false" customHeight="false" outlineLevel="0" collapsed="false">
      <c r="A1490" s="13" t="s">
        <v>229</v>
      </c>
      <c r="B1490" s="13" t="s">
        <v>43</v>
      </c>
      <c r="C1490" s="13" t="s">
        <v>5</v>
      </c>
      <c r="D1490" s="13" t="s">
        <v>478</v>
      </c>
      <c r="E1490" s="16" t="n">
        <v>283</v>
      </c>
      <c r="F1490" s="7" t="n">
        <v>5</v>
      </c>
      <c r="G1490" s="5" t="n">
        <v>1400</v>
      </c>
    </row>
    <row r="1491" customFormat="false" ht="15" hidden="false" customHeight="false" outlineLevel="0" collapsed="false">
      <c r="A1491" s="13" t="s">
        <v>54</v>
      </c>
      <c r="B1491" s="13" t="s">
        <v>43</v>
      </c>
      <c r="C1491" s="13" t="s">
        <v>5</v>
      </c>
      <c r="D1491" s="13" t="s">
        <v>1086</v>
      </c>
      <c r="E1491" s="16" t="n">
        <v>706.35</v>
      </c>
      <c r="F1491" s="7" t="n">
        <v>2</v>
      </c>
      <c r="G1491" s="5" t="n">
        <v>1400</v>
      </c>
    </row>
    <row r="1492" customFormat="false" ht="15" hidden="false" customHeight="false" outlineLevel="0" collapsed="false">
      <c r="A1492" s="13" t="s">
        <v>61</v>
      </c>
      <c r="B1492" s="13" t="s">
        <v>43</v>
      </c>
      <c r="C1492" s="13" t="s">
        <v>5</v>
      </c>
      <c r="D1492" s="13" t="s">
        <v>212</v>
      </c>
      <c r="E1492" s="16" t="n">
        <v>468.89</v>
      </c>
      <c r="F1492" s="7" t="n">
        <v>2</v>
      </c>
      <c r="G1492" s="5" t="n">
        <v>1400</v>
      </c>
    </row>
    <row r="1493" customFormat="false" ht="15" hidden="false" customHeight="false" outlineLevel="0" collapsed="false">
      <c r="A1493" s="13" t="s">
        <v>79</v>
      </c>
      <c r="B1493" s="13" t="s">
        <v>43</v>
      </c>
      <c r="C1493" s="13" t="s">
        <v>5</v>
      </c>
      <c r="D1493" s="13" t="s">
        <v>1087</v>
      </c>
      <c r="E1493" s="16" t="n">
        <v>1398.85</v>
      </c>
      <c r="F1493" s="7" t="n">
        <v>1</v>
      </c>
      <c r="G1493" s="5" t="n">
        <v>1400</v>
      </c>
    </row>
    <row r="1494" customFormat="false" ht="15" hidden="false" customHeight="false" outlineLevel="0" collapsed="false">
      <c r="A1494" s="13" t="s">
        <v>186</v>
      </c>
      <c r="B1494" s="13" t="s">
        <v>43</v>
      </c>
      <c r="C1494" s="13" t="s">
        <v>5</v>
      </c>
      <c r="D1494" s="13" t="s">
        <v>1088</v>
      </c>
      <c r="E1494" s="16" t="n">
        <v>456.94</v>
      </c>
      <c r="F1494" s="7" t="n">
        <v>2</v>
      </c>
      <c r="G1494" s="5" t="n">
        <v>1400</v>
      </c>
    </row>
    <row r="1495" customFormat="false" ht="15" hidden="false" customHeight="false" outlineLevel="0" collapsed="false">
      <c r="A1495" s="13" t="s">
        <v>103</v>
      </c>
      <c r="B1495" s="13" t="s">
        <v>43</v>
      </c>
      <c r="C1495" s="13" t="s">
        <v>5</v>
      </c>
      <c r="D1495" s="13" t="s">
        <v>511</v>
      </c>
      <c r="E1495" s="16" t="n">
        <v>196.448571428571</v>
      </c>
      <c r="F1495" s="7" t="n">
        <v>5</v>
      </c>
      <c r="G1495" s="5" t="n">
        <v>1400</v>
      </c>
    </row>
    <row r="1496" customFormat="false" ht="15" hidden="false" customHeight="false" outlineLevel="0" collapsed="false">
      <c r="A1496" s="13" t="s">
        <v>177</v>
      </c>
      <c r="B1496" s="13" t="s">
        <v>43</v>
      </c>
      <c r="C1496" s="13" t="s">
        <v>5</v>
      </c>
      <c r="D1496" s="13" t="s">
        <v>1089</v>
      </c>
      <c r="E1496" s="16" t="n">
        <v>684</v>
      </c>
      <c r="F1496" s="7" t="n">
        <v>2</v>
      </c>
      <c r="G1496" s="5" t="n">
        <v>1400</v>
      </c>
    </row>
    <row r="1497" customFormat="false" ht="15" hidden="false" customHeight="false" outlineLevel="0" collapsed="false">
      <c r="A1497" s="13" t="s">
        <v>45</v>
      </c>
      <c r="B1497" s="13" t="s">
        <v>43</v>
      </c>
      <c r="C1497" s="13" t="s">
        <v>5</v>
      </c>
      <c r="D1497" s="13" t="s">
        <v>1090</v>
      </c>
      <c r="E1497" s="16" t="n">
        <v>684</v>
      </c>
      <c r="F1497" s="7" t="n">
        <v>2</v>
      </c>
      <c r="G1497" s="5" t="n">
        <v>1400</v>
      </c>
    </row>
    <row r="1498" customFormat="false" ht="15" hidden="false" customHeight="false" outlineLevel="0" collapsed="false">
      <c r="A1498" s="13" t="s">
        <v>50</v>
      </c>
      <c r="B1498" s="13" t="s">
        <v>43</v>
      </c>
      <c r="C1498" s="13" t="s">
        <v>4</v>
      </c>
      <c r="D1498" s="13" t="s">
        <v>51</v>
      </c>
      <c r="E1498" s="16" t="n">
        <v>680</v>
      </c>
      <c r="F1498" s="7" t="n">
        <v>2</v>
      </c>
      <c r="G1498" s="5" t="n">
        <v>1400</v>
      </c>
    </row>
    <row r="1499" customFormat="false" ht="15" hidden="false" customHeight="false" outlineLevel="0" collapsed="false">
      <c r="A1499" s="13" t="s">
        <v>45</v>
      </c>
      <c r="B1499" s="13" t="s">
        <v>43</v>
      </c>
      <c r="C1499" s="13" t="s">
        <v>4</v>
      </c>
      <c r="D1499" s="13" t="s">
        <v>1091</v>
      </c>
      <c r="E1499" s="16" t="n">
        <v>680.33</v>
      </c>
      <c r="F1499" s="7" t="n">
        <v>2</v>
      </c>
      <c r="G1499" s="5" t="n">
        <v>1400</v>
      </c>
    </row>
    <row r="1500" customFormat="false" ht="15" hidden="false" customHeight="false" outlineLevel="0" collapsed="false">
      <c r="A1500" s="13" t="s">
        <v>42</v>
      </c>
      <c r="B1500" s="13" t="s">
        <v>43</v>
      </c>
      <c r="C1500" s="13" t="s">
        <v>4</v>
      </c>
      <c r="D1500" s="13" t="s">
        <v>240</v>
      </c>
      <c r="E1500" s="16" t="n">
        <v>692.55</v>
      </c>
      <c r="F1500" s="7" t="n">
        <v>2</v>
      </c>
      <c r="G1500" s="5" t="n">
        <v>1400</v>
      </c>
    </row>
    <row r="1501" customFormat="false" ht="15" hidden="false" customHeight="false" outlineLevel="0" collapsed="false">
      <c r="A1501" s="13" t="s">
        <v>92</v>
      </c>
      <c r="B1501" s="13" t="s">
        <v>43</v>
      </c>
      <c r="C1501" s="13" t="s">
        <v>4</v>
      </c>
      <c r="D1501" s="13" t="s">
        <v>773</v>
      </c>
      <c r="E1501" s="16" t="n">
        <v>707.74</v>
      </c>
      <c r="F1501" s="7" t="n">
        <v>2</v>
      </c>
      <c r="G1501" s="5" t="n">
        <v>1400</v>
      </c>
    </row>
    <row r="1502" customFormat="false" ht="15" hidden="false" customHeight="false" outlineLevel="0" collapsed="false">
      <c r="A1502" s="13" t="s">
        <v>630</v>
      </c>
      <c r="B1502" s="13" t="s">
        <v>43</v>
      </c>
      <c r="C1502" s="13" t="s">
        <v>4</v>
      </c>
      <c r="D1502" s="13" t="s">
        <v>1092</v>
      </c>
      <c r="E1502" s="16" t="n">
        <v>225.186666666667</v>
      </c>
      <c r="F1502" s="7" t="n">
        <v>5</v>
      </c>
      <c r="G1502" s="5" t="n">
        <v>1400</v>
      </c>
    </row>
    <row r="1503" customFormat="false" ht="15" hidden="false" customHeight="false" outlineLevel="0" collapsed="false">
      <c r="A1503" s="13" t="s">
        <v>42</v>
      </c>
      <c r="B1503" s="13" t="s">
        <v>43</v>
      </c>
      <c r="C1503" s="13" t="s">
        <v>4</v>
      </c>
      <c r="D1503" s="13" t="s">
        <v>634</v>
      </c>
      <c r="E1503" s="16" t="n">
        <v>677.97</v>
      </c>
      <c r="F1503" s="7" t="n">
        <v>2</v>
      </c>
      <c r="G1503" s="5" t="n">
        <v>1400</v>
      </c>
    </row>
    <row r="1504" customFormat="false" ht="15" hidden="false" customHeight="false" outlineLevel="0" collapsed="false">
      <c r="A1504" s="13" t="s">
        <v>630</v>
      </c>
      <c r="B1504" s="13" t="s">
        <v>43</v>
      </c>
      <c r="C1504" s="13" t="s">
        <v>4</v>
      </c>
      <c r="D1504" s="13" t="s">
        <v>1093</v>
      </c>
      <c r="E1504" s="16" t="n">
        <v>195.952857142857</v>
      </c>
      <c r="F1504" s="7" t="n">
        <v>5</v>
      </c>
      <c r="G1504" s="5" t="n">
        <v>1400</v>
      </c>
    </row>
    <row r="1505" customFormat="false" ht="15" hidden="false" customHeight="false" outlineLevel="0" collapsed="false">
      <c r="A1505" s="13" t="s">
        <v>286</v>
      </c>
      <c r="B1505" s="13" t="s">
        <v>43</v>
      </c>
      <c r="C1505" s="13" t="s">
        <v>4</v>
      </c>
      <c r="D1505" s="13" t="s">
        <v>1094</v>
      </c>
      <c r="E1505" s="16" t="n">
        <v>342.81</v>
      </c>
      <c r="F1505" s="7" t="n">
        <v>2</v>
      </c>
      <c r="G1505" s="5" t="n">
        <v>1400</v>
      </c>
    </row>
    <row r="1506" customFormat="false" ht="15" hidden="false" customHeight="false" outlineLevel="0" collapsed="false">
      <c r="A1506" s="13" t="s">
        <v>45</v>
      </c>
      <c r="B1506" s="13" t="s">
        <v>43</v>
      </c>
      <c r="C1506" s="13" t="s">
        <v>4</v>
      </c>
      <c r="D1506" s="13" t="s">
        <v>1095</v>
      </c>
      <c r="E1506" s="16" t="n">
        <v>714.915</v>
      </c>
      <c r="F1506" s="7" t="n">
        <v>2</v>
      </c>
      <c r="G1506" s="5" t="n">
        <v>1400</v>
      </c>
    </row>
    <row r="1507" customFormat="false" ht="15" hidden="false" customHeight="false" outlineLevel="0" collapsed="false">
      <c r="A1507" s="13" t="s">
        <v>111</v>
      </c>
      <c r="B1507" s="13" t="s">
        <v>43</v>
      </c>
      <c r="C1507" s="13" t="s">
        <v>4</v>
      </c>
      <c r="D1507" s="13" t="s">
        <v>1096</v>
      </c>
      <c r="E1507" s="16" t="n">
        <v>460.8</v>
      </c>
      <c r="F1507" s="7" t="n">
        <v>2</v>
      </c>
      <c r="G1507" s="5" t="n">
        <v>1400</v>
      </c>
    </row>
    <row r="1508" customFormat="false" ht="15" hidden="false" customHeight="false" outlineLevel="0" collapsed="false">
      <c r="A1508" s="13" t="s">
        <v>50</v>
      </c>
      <c r="B1508" s="13" t="s">
        <v>43</v>
      </c>
      <c r="C1508" s="13" t="s">
        <v>4</v>
      </c>
      <c r="D1508" s="13" t="s">
        <v>757</v>
      </c>
      <c r="E1508" s="16" t="n">
        <v>474.05</v>
      </c>
      <c r="F1508" s="7" t="n">
        <v>2</v>
      </c>
      <c r="G1508" s="5" t="n">
        <v>1400</v>
      </c>
    </row>
    <row r="1509" customFormat="false" ht="15" hidden="false" customHeight="false" outlineLevel="0" collapsed="false">
      <c r="A1509" s="13" t="s">
        <v>42</v>
      </c>
      <c r="B1509" s="13" t="s">
        <v>43</v>
      </c>
      <c r="C1509" s="13" t="s">
        <v>4</v>
      </c>
      <c r="D1509" s="13" t="s">
        <v>1097</v>
      </c>
      <c r="E1509" s="16" t="n">
        <v>236.653333333333</v>
      </c>
      <c r="F1509" s="7" t="n">
        <v>5</v>
      </c>
      <c r="G1509" s="5" t="n">
        <v>1400</v>
      </c>
    </row>
    <row r="1510" customFormat="false" ht="15" hidden="false" customHeight="false" outlineLevel="0" collapsed="false">
      <c r="A1510" s="13" t="s">
        <v>362</v>
      </c>
      <c r="B1510" s="13" t="s">
        <v>43</v>
      </c>
      <c r="C1510" s="13" t="s">
        <v>4</v>
      </c>
      <c r="D1510" s="13" t="s">
        <v>1098</v>
      </c>
      <c r="E1510" s="16" t="n">
        <v>688.755</v>
      </c>
      <c r="F1510" s="7" t="n">
        <v>2</v>
      </c>
      <c r="G1510" s="5" t="n">
        <v>1400</v>
      </c>
    </row>
    <row r="1511" customFormat="false" ht="15" hidden="false" customHeight="false" outlineLevel="0" collapsed="false">
      <c r="A1511" s="13" t="s">
        <v>45</v>
      </c>
      <c r="B1511" s="13" t="s">
        <v>43</v>
      </c>
      <c r="C1511" s="13" t="s">
        <v>4</v>
      </c>
      <c r="D1511" s="13" t="s">
        <v>1099</v>
      </c>
      <c r="E1511" s="16" t="n">
        <v>239.41</v>
      </c>
      <c r="F1511" s="7" t="n">
        <v>5</v>
      </c>
      <c r="G1511" s="5" t="n">
        <v>1400</v>
      </c>
    </row>
    <row r="1512" customFormat="false" ht="15" hidden="false" customHeight="false" outlineLevel="0" collapsed="false">
      <c r="A1512" s="13" t="s">
        <v>341</v>
      </c>
      <c r="B1512" s="13" t="s">
        <v>85</v>
      </c>
      <c r="C1512" s="13" t="s">
        <v>4</v>
      </c>
      <c r="D1512" s="13" t="s">
        <v>1100</v>
      </c>
      <c r="E1512" s="16" t="n">
        <v>179.07375</v>
      </c>
      <c r="F1512" s="7" t="n">
        <v>5</v>
      </c>
      <c r="G1512" s="5" t="n">
        <v>1400</v>
      </c>
    </row>
    <row r="1513" customFormat="false" ht="15" hidden="false" customHeight="false" outlineLevel="0" collapsed="false">
      <c r="A1513" s="13" t="s">
        <v>50</v>
      </c>
      <c r="B1513" s="13" t="s">
        <v>43</v>
      </c>
      <c r="C1513" s="13" t="s">
        <v>4</v>
      </c>
      <c r="D1513" s="13" t="s">
        <v>1101</v>
      </c>
      <c r="E1513" s="16" t="n">
        <v>715.17</v>
      </c>
      <c r="F1513" s="7" t="n">
        <v>2</v>
      </c>
      <c r="G1513" s="5" t="n">
        <v>1400</v>
      </c>
    </row>
    <row r="1514" customFormat="false" ht="15" hidden="false" customHeight="false" outlineLevel="0" collapsed="false">
      <c r="A1514" s="13" t="s">
        <v>103</v>
      </c>
      <c r="B1514" s="13" t="s">
        <v>43</v>
      </c>
      <c r="C1514" s="13" t="s">
        <v>5</v>
      </c>
      <c r="D1514" s="13" t="s">
        <v>1102</v>
      </c>
      <c r="E1514" s="16" t="n">
        <v>170</v>
      </c>
      <c r="F1514" s="7" t="n">
        <v>5</v>
      </c>
      <c r="G1514" s="5" t="n">
        <v>1400</v>
      </c>
    </row>
    <row r="1515" customFormat="false" ht="15" hidden="false" customHeight="false" outlineLevel="0" collapsed="false">
      <c r="A1515" s="13" t="s">
        <v>50</v>
      </c>
      <c r="B1515" s="13" t="s">
        <v>43</v>
      </c>
      <c r="C1515" s="13" t="s">
        <v>5</v>
      </c>
      <c r="D1515" s="13" t="s">
        <v>1103</v>
      </c>
      <c r="E1515" s="16" t="n">
        <v>680</v>
      </c>
      <c r="F1515" s="7" t="n">
        <v>2</v>
      </c>
      <c r="G1515" s="5" t="n">
        <v>1400</v>
      </c>
    </row>
    <row r="1516" customFormat="false" ht="15" hidden="false" customHeight="false" outlineLevel="0" collapsed="false">
      <c r="A1516" s="13" t="s">
        <v>121</v>
      </c>
      <c r="B1516" s="13" t="s">
        <v>43</v>
      </c>
      <c r="C1516" s="13" t="s">
        <v>5</v>
      </c>
      <c r="D1516" s="13" t="s">
        <v>1104</v>
      </c>
      <c r="E1516" s="16" t="n">
        <v>147.07</v>
      </c>
      <c r="F1516" s="7" t="n">
        <v>5</v>
      </c>
      <c r="G1516" s="5" t="n">
        <v>1300</v>
      </c>
    </row>
    <row r="1517" customFormat="false" ht="15" hidden="false" customHeight="false" outlineLevel="0" collapsed="false">
      <c r="A1517" s="13" t="s">
        <v>69</v>
      </c>
      <c r="B1517" s="13" t="s">
        <v>43</v>
      </c>
      <c r="C1517" s="13" t="s">
        <v>5</v>
      </c>
      <c r="D1517" s="13" t="s">
        <v>347</v>
      </c>
      <c r="E1517" s="16" t="n">
        <v>440.27</v>
      </c>
      <c r="F1517" s="7" t="n">
        <v>2</v>
      </c>
      <c r="G1517" s="5" t="n">
        <v>1300</v>
      </c>
    </row>
    <row r="1518" customFormat="false" ht="15" hidden="false" customHeight="false" outlineLevel="0" collapsed="false">
      <c r="A1518" s="13" t="s">
        <v>153</v>
      </c>
      <c r="B1518" s="13" t="s">
        <v>43</v>
      </c>
      <c r="C1518" s="13" t="s">
        <v>5</v>
      </c>
      <c r="D1518" s="13" t="s">
        <v>1105</v>
      </c>
      <c r="E1518" s="16" t="n">
        <v>660.275</v>
      </c>
      <c r="F1518" s="7" t="n">
        <v>2</v>
      </c>
      <c r="G1518" s="5" t="n">
        <v>1300</v>
      </c>
    </row>
    <row r="1519" customFormat="false" ht="15" hidden="false" customHeight="false" outlineLevel="0" collapsed="false">
      <c r="A1519" s="13" t="s">
        <v>54</v>
      </c>
      <c r="B1519" s="13" t="s">
        <v>43</v>
      </c>
      <c r="C1519" s="13" t="s">
        <v>5</v>
      </c>
      <c r="D1519" s="13" t="s">
        <v>1106</v>
      </c>
      <c r="E1519" s="16" t="n">
        <v>329.42</v>
      </c>
      <c r="F1519" s="7" t="n">
        <v>2</v>
      </c>
      <c r="G1519" s="5" t="n">
        <v>1300</v>
      </c>
    </row>
    <row r="1520" customFormat="false" ht="15" hidden="false" customHeight="false" outlineLevel="0" collapsed="false">
      <c r="A1520" s="13" t="s">
        <v>124</v>
      </c>
      <c r="B1520" s="13" t="s">
        <v>43</v>
      </c>
      <c r="C1520" s="13" t="s">
        <v>5</v>
      </c>
      <c r="D1520" s="13" t="s">
        <v>1107</v>
      </c>
      <c r="E1520" s="16" t="n">
        <v>1317</v>
      </c>
      <c r="F1520" s="7" t="n">
        <v>1</v>
      </c>
      <c r="G1520" s="5" t="n">
        <v>1300</v>
      </c>
    </row>
    <row r="1521" customFormat="false" ht="15" hidden="false" customHeight="false" outlineLevel="0" collapsed="false">
      <c r="A1521" s="13" t="s">
        <v>107</v>
      </c>
      <c r="B1521" s="13" t="s">
        <v>183</v>
      </c>
      <c r="C1521" s="13" t="s">
        <v>5</v>
      </c>
      <c r="D1521" s="13" t="s">
        <v>1108</v>
      </c>
      <c r="E1521" s="16" t="n">
        <v>329</v>
      </c>
      <c r="F1521" s="7" t="n">
        <v>2</v>
      </c>
      <c r="G1521" s="5" t="n">
        <v>1300</v>
      </c>
    </row>
    <row r="1522" customFormat="false" ht="15" hidden="false" customHeight="false" outlineLevel="0" collapsed="false">
      <c r="A1522" s="13" t="s">
        <v>69</v>
      </c>
      <c r="B1522" s="13" t="s">
        <v>43</v>
      </c>
      <c r="C1522" s="13" t="s">
        <v>5</v>
      </c>
      <c r="D1522" s="13" t="s">
        <v>1109</v>
      </c>
      <c r="E1522" s="16" t="n">
        <v>657.86</v>
      </c>
      <c r="F1522" s="7" t="n">
        <v>2</v>
      </c>
      <c r="G1522" s="5" t="n">
        <v>1300</v>
      </c>
    </row>
    <row r="1523" customFormat="false" ht="15" hidden="false" customHeight="false" outlineLevel="0" collapsed="false">
      <c r="A1523" s="13" t="s">
        <v>72</v>
      </c>
      <c r="B1523" s="13" t="s">
        <v>43</v>
      </c>
      <c r="C1523" s="13" t="s">
        <v>5</v>
      </c>
      <c r="D1523" s="13" t="s">
        <v>1110</v>
      </c>
      <c r="E1523" s="16" t="n">
        <v>438.44</v>
      </c>
      <c r="F1523" s="7" t="n">
        <v>2</v>
      </c>
      <c r="G1523" s="5" t="n">
        <v>1300</v>
      </c>
    </row>
    <row r="1524" customFormat="false" ht="15" hidden="false" customHeight="false" outlineLevel="0" collapsed="false">
      <c r="A1524" s="13" t="s">
        <v>61</v>
      </c>
      <c r="B1524" s="13" t="s">
        <v>43</v>
      </c>
      <c r="C1524" s="13" t="s">
        <v>5</v>
      </c>
      <c r="D1524" s="13" t="s">
        <v>1111</v>
      </c>
      <c r="E1524" s="16" t="n">
        <v>673.045</v>
      </c>
      <c r="F1524" s="7" t="n">
        <v>2</v>
      </c>
      <c r="G1524" s="5" t="n">
        <v>1300</v>
      </c>
    </row>
    <row r="1525" customFormat="false" ht="15" hidden="false" customHeight="false" outlineLevel="0" collapsed="false">
      <c r="A1525" s="13" t="s">
        <v>42</v>
      </c>
      <c r="B1525" s="13" t="s">
        <v>43</v>
      </c>
      <c r="C1525" s="13" t="s">
        <v>5</v>
      </c>
      <c r="D1525" s="13" t="s">
        <v>1112</v>
      </c>
      <c r="E1525" s="16" t="n">
        <v>665.24</v>
      </c>
      <c r="F1525" s="7" t="n">
        <v>2</v>
      </c>
      <c r="G1525" s="5" t="n">
        <v>1300</v>
      </c>
    </row>
    <row r="1526" customFormat="false" ht="15" hidden="false" customHeight="false" outlineLevel="0" collapsed="false">
      <c r="A1526" s="13" t="s">
        <v>54</v>
      </c>
      <c r="B1526" s="13" t="s">
        <v>43</v>
      </c>
      <c r="C1526" s="13" t="s">
        <v>5</v>
      </c>
      <c r="D1526" s="13" t="s">
        <v>1113</v>
      </c>
      <c r="E1526" s="16" t="n">
        <v>331.2225</v>
      </c>
      <c r="F1526" s="7" t="n">
        <v>2</v>
      </c>
      <c r="G1526" s="5" t="n">
        <v>1300</v>
      </c>
    </row>
    <row r="1527" customFormat="false" ht="15" hidden="false" customHeight="false" outlineLevel="0" collapsed="false">
      <c r="A1527" s="13" t="s">
        <v>42</v>
      </c>
      <c r="B1527" s="13" t="s">
        <v>43</v>
      </c>
      <c r="C1527" s="13" t="s">
        <v>5</v>
      </c>
      <c r="D1527" s="13" t="s">
        <v>44</v>
      </c>
      <c r="E1527" s="16" t="n">
        <v>665</v>
      </c>
      <c r="F1527" s="7" t="n">
        <v>2</v>
      </c>
      <c r="G1527" s="5" t="n">
        <v>1300</v>
      </c>
    </row>
    <row r="1528" customFormat="false" ht="15" hidden="false" customHeight="false" outlineLevel="0" collapsed="false">
      <c r="A1528" s="13" t="s">
        <v>45</v>
      </c>
      <c r="B1528" s="13" t="s">
        <v>43</v>
      </c>
      <c r="C1528" s="13" t="s">
        <v>4</v>
      </c>
      <c r="D1528" s="13" t="s">
        <v>46</v>
      </c>
      <c r="E1528" s="16" t="n">
        <v>642.93</v>
      </c>
      <c r="F1528" s="7" t="n">
        <v>2</v>
      </c>
      <c r="G1528" s="5" t="n">
        <v>1300</v>
      </c>
    </row>
    <row r="1529" customFormat="false" ht="15" hidden="false" customHeight="false" outlineLevel="0" collapsed="false">
      <c r="A1529" s="13" t="s">
        <v>45</v>
      </c>
      <c r="B1529" s="13" t="s">
        <v>43</v>
      </c>
      <c r="C1529" s="13" t="s">
        <v>4</v>
      </c>
      <c r="D1529" s="13" t="s">
        <v>1114</v>
      </c>
      <c r="E1529" s="16" t="n">
        <v>646</v>
      </c>
      <c r="F1529" s="7" t="n">
        <v>2</v>
      </c>
      <c r="G1529" s="5" t="n">
        <v>1300</v>
      </c>
    </row>
    <row r="1530" customFormat="false" ht="15" hidden="false" customHeight="false" outlineLevel="0" collapsed="false">
      <c r="A1530" s="13" t="s">
        <v>153</v>
      </c>
      <c r="B1530" s="13" t="s">
        <v>43</v>
      </c>
      <c r="C1530" s="13" t="s">
        <v>5</v>
      </c>
      <c r="D1530" s="13" t="s">
        <v>1115</v>
      </c>
      <c r="E1530" s="16" t="n">
        <v>328</v>
      </c>
      <c r="F1530" s="7" t="n">
        <v>2</v>
      </c>
      <c r="G1530" s="5" t="n">
        <v>1300</v>
      </c>
    </row>
    <row r="1531" customFormat="false" ht="15" hidden="false" customHeight="false" outlineLevel="0" collapsed="false">
      <c r="A1531" s="13" t="s">
        <v>79</v>
      </c>
      <c r="B1531" s="13" t="s">
        <v>43</v>
      </c>
      <c r="C1531" s="13" t="s">
        <v>5</v>
      </c>
      <c r="D1531" s="13" t="s">
        <v>569</v>
      </c>
      <c r="E1531" s="16" t="n">
        <v>655</v>
      </c>
      <c r="F1531" s="7" t="n">
        <v>2</v>
      </c>
      <c r="G1531" s="5" t="n">
        <v>1300</v>
      </c>
    </row>
    <row r="1532" customFormat="false" ht="15" hidden="false" customHeight="false" outlineLevel="0" collapsed="false">
      <c r="A1532" s="13" t="s">
        <v>153</v>
      </c>
      <c r="B1532" s="13" t="s">
        <v>43</v>
      </c>
      <c r="C1532" s="13" t="s">
        <v>5</v>
      </c>
      <c r="D1532" s="13" t="s">
        <v>971</v>
      </c>
      <c r="E1532" s="16" t="n">
        <v>317.4025</v>
      </c>
      <c r="F1532" s="7" t="n">
        <v>2</v>
      </c>
      <c r="G1532" s="5" t="n">
        <v>1300</v>
      </c>
    </row>
    <row r="1533" customFormat="false" ht="15" hidden="false" customHeight="false" outlineLevel="0" collapsed="false">
      <c r="A1533" s="13" t="s">
        <v>193</v>
      </c>
      <c r="B1533" s="13" t="s">
        <v>43</v>
      </c>
      <c r="C1533" s="13" t="s">
        <v>5</v>
      </c>
      <c r="D1533" s="13" t="s">
        <v>194</v>
      </c>
      <c r="E1533" s="16" t="n">
        <v>634</v>
      </c>
      <c r="F1533" s="7" t="n">
        <v>2</v>
      </c>
      <c r="G1533" s="5" t="n">
        <v>1300</v>
      </c>
    </row>
    <row r="1534" customFormat="false" ht="15" hidden="false" customHeight="false" outlineLevel="0" collapsed="false">
      <c r="A1534" s="13" t="s">
        <v>153</v>
      </c>
      <c r="B1534" s="13" t="s">
        <v>43</v>
      </c>
      <c r="C1534" s="13" t="s">
        <v>5</v>
      </c>
      <c r="D1534" s="13" t="s">
        <v>1116</v>
      </c>
      <c r="E1534" s="16" t="n">
        <v>632.095</v>
      </c>
      <c r="F1534" s="7" t="n">
        <v>2</v>
      </c>
      <c r="G1534" s="5" t="n">
        <v>1300</v>
      </c>
    </row>
    <row r="1535" customFormat="false" ht="15" hidden="false" customHeight="false" outlineLevel="0" collapsed="false">
      <c r="A1535" s="13" t="s">
        <v>362</v>
      </c>
      <c r="B1535" s="13" t="s">
        <v>43</v>
      </c>
      <c r="C1535" s="13" t="s">
        <v>5</v>
      </c>
      <c r="D1535" s="13" t="s">
        <v>1117</v>
      </c>
      <c r="E1535" s="16" t="n">
        <v>631.775</v>
      </c>
      <c r="F1535" s="7" t="n">
        <v>2</v>
      </c>
      <c r="G1535" s="5" t="n">
        <v>1300</v>
      </c>
    </row>
    <row r="1536" customFormat="false" ht="15" hidden="false" customHeight="false" outlineLevel="0" collapsed="false">
      <c r="A1536" s="13" t="s">
        <v>61</v>
      </c>
      <c r="B1536" s="13" t="s">
        <v>43</v>
      </c>
      <c r="C1536" s="13" t="s">
        <v>5</v>
      </c>
      <c r="D1536" s="13" t="s">
        <v>1118</v>
      </c>
      <c r="E1536" s="16" t="n">
        <v>634.925</v>
      </c>
      <c r="F1536" s="7" t="n">
        <v>2</v>
      </c>
      <c r="G1536" s="5" t="n">
        <v>1300</v>
      </c>
    </row>
    <row r="1537" customFormat="false" ht="15" hidden="false" customHeight="false" outlineLevel="0" collapsed="false">
      <c r="A1537" s="13" t="s">
        <v>177</v>
      </c>
      <c r="B1537" s="13" t="s">
        <v>43</v>
      </c>
      <c r="C1537" s="13" t="s">
        <v>5</v>
      </c>
      <c r="D1537" s="13" t="s">
        <v>1119</v>
      </c>
      <c r="E1537" s="16" t="n">
        <v>634.845</v>
      </c>
      <c r="F1537" s="7" t="n">
        <v>2</v>
      </c>
      <c r="G1537" s="5" t="n">
        <v>1300</v>
      </c>
    </row>
    <row r="1538" customFormat="false" ht="15" hidden="false" customHeight="false" outlineLevel="0" collapsed="false">
      <c r="A1538" s="13" t="s">
        <v>42</v>
      </c>
      <c r="B1538" s="13" t="s">
        <v>43</v>
      </c>
      <c r="C1538" s="13" t="s">
        <v>4</v>
      </c>
      <c r="D1538" s="13" t="s">
        <v>1120</v>
      </c>
      <c r="E1538" s="16" t="n">
        <v>652.74</v>
      </c>
      <c r="F1538" s="7" t="n">
        <v>2</v>
      </c>
      <c r="G1538" s="5" t="n">
        <v>1300</v>
      </c>
    </row>
    <row r="1539" customFormat="false" ht="15" hidden="false" customHeight="false" outlineLevel="0" collapsed="false">
      <c r="A1539" s="13" t="s">
        <v>153</v>
      </c>
      <c r="B1539" s="13" t="s">
        <v>43</v>
      </c>
      <c r="C1539" s="13" t="s">
        <v>4</v>
      </c>
      <c r="D1539" s="13" t="s">
        <v>1121</v>
      </c>
      <c r="E1539" s="16" t="n">
        <v>655.17</v>
      </c>
      <c r="F1539" s="7" t="n">
        <v>2</v>
      </c>
      <c r="G1539" s="5" t="n">
        <v>1300</v>
      </c>
    </row>
    <row r="1540" customFormat="false" ht="15" hidden="false" customHeight="false" outlineLevel="0" collapsed="false">
      <c r="A1540" s="13" t="s">
        <v>65</v>
      </c>
      <c r="B1540" s="13" t="s">
        <v>66</v>
      </c>
      <c r="C1540" s="13" t="s">
        <v>3</v>
      </c>
      <c r="D1540" s="13" t="s">
        <v>200</v>
      </c>
      <c r="E1540" s="16" t="n">
        <v>433.56</v>
      </c>
      <c r="F1540" s="7" t="n">
        <v>2</v>
      </c>
      <c r="G1540" s="5" t="n">
        <v>1300</v>
      </c>
    </row>
    <row r="1541" customFormat="false" ht="15" hidden="false" customHeight="false" outlineLevel="0" collapsed="false">
      <c r="A1541" s="13" t="s">
        <v>65</v>
      </c>
      <c r="B1541" s="13" t="s">
        <v>66</v>
      </c>
      <c r="C1541" s="13" t="s">
        <v>3</v>
      </c>
      <c r="D1541" s="13" t="s">
        <v>1122</v>
      </c>
      <c r="E1541" s="16" t="n">
        <v>184.804285714286</v>
      </c>
      <c r="F1541" s="7" t="n">
        <v>5</v>
      </c>
      <c r="G1541" s="5" t="n">
        <v>1300</v>
      </c>
    </row>
    <row r="1542" customFormat="false" ht="15" hidden="false" customHeight="false" outlineLevel="0" collapsed="false">
      <c r="A1542" s="13" t="s">
        <v>114</v>
      </c>
      <c r="B1542" s="13" t="s">
        <v>85</v>
      </c>
      <c r="C1542" s="13" t="s">
        <v>3</v>
      </c>
      <c r="D1542" s="13" t="s">
        <v>1123</v>
      </c>
      <c r="E1542" s="16" t="n">
        <v>128.6</v>
      </c>
      <c r="F1542" s="7" t="n">
        <v>5</v>
      </c>
      <c r="G1542" s="5" t="n">
        <v>1300</v>
      </c>
    </row>
    <row r="1543" customFormat="false" ht="15" hidden="false" customHeight="false" outlineLevel="0" collapsed="false">
      <c r="A1543" s="13" t="s">
        <v>131</v>
      </c>
      <c r="B1543" s="13" t="s">
        <v>66</v>
      </c>
      <c r="C1543" s="13" t="s">
        <v>3</v>
      </c>
      <c r="D1543" s="13" t="s">
        <v>1124</v>
      </c>
      <c r="E1543" s="16" t="n">
        <v>129.191</v>
      </c>
      <c r="F1543" s="7" t="n">
        <v>5</v>
      </c>
      <c r="G1543" s="5" t="n">
        <v>1300</v>
      </c>
    </row>
    <row r="1544" customFormat="false" ht="15" hidden="false" customHeight="false" outlineLevel="0" collapsed="false">
      <c r="A1544" s="13" t="s">
        <v>50</v>
      </c>
      <c r="B1544" s="13" t="s">
        <v>43</v>
      </c>
      <c r="C1544" s="13" t="s">
        <v>4</v>
      </c>
      <c r="D1544" s="13" t="s">
        <v>412</v>
      </c>
      <c r="E1544" s="16" t="n">
        <v>642.93</v>
      </c>
      <c r="F1544" s="7" t="n">
        <v>2</v>
      </c>
      <c r="G1544" s="5" t="n">
        <v>1300</v>
      </c>
    </row>
    <row r="1545" customFormat="false" ht="15" hidden="false" customHeight="false" outlineLevel="0" collapsed="false">
      <c r="A1545" s="13" t="s">
        <v>50</v>
      </c>
      <c r="B1545" s="13" t="s">
        <v>43</v>
      </c>
      <c r="C1545" s="13" t="s">
        <v>4</v>
      </c>
      <c r="D1545" s="13" t="s">
        <v>1125</v>
      </c>
      <c r="E1545" s="16" t="n">
        <v>645.24</v>
      </c>
      <c r="F1545" s="7" t="n">
        <v>2</v>
      </c>
      <c r="G1545" s="5" t="n">
        <v>1300</v>
      </c>
    </row>
    <row r="1546" customFormat="false" ht="15" hidden="false" customHeight="false" outlineLevel="0" collapsed="false">
      <c r="A1546" s="13" t="s">
        <v>45</v>
      </c>
      <c r="B1546" s="13" t="s">
        <v>43</v>
      </c>
      <c r="C1546" s="13" t="s">
        <v>4</v>
      </c>
      <c r="D1546" s="13" t="s">
        <v>1126</v>
      </c>
      <c r="E1546" s="16" t="n">
        <v>663.27</v>
      </c>
      <c r="F1546" s="7" t="n">
        <v>2</v>
      </c>
      <c r="G1546" s="5" t="n">
        <v>1300</v>
      </c>
    </row>
    <row r="1547" customFormat="false" ht="15" hidden="false" customHeight="false" outlineLevel="0" collapsed="false">
      <c r="A1547" s="13" t="s">
        <v>312</v>
      </c>
      <c r="B1547" s="13" t="s">
        <v>43</v>
      </c>
      <c r="C1547" s="13" t="s">
        <v>4</v>
      </c>
      <c r="D1547" s="13" t="s">
        <v>1127</v>
      </c>
      <c r="E1547" s="16" t="n">
        <v>188.561428571429</v>
      </c>
      <c r="F1547" s="7" t="n">
        <v>5</v>
      </c>
      <c r="G1547" s="5" t="n">
        <v>1300</v>
      </c>
    </row>
    <row r="1548" customFormat="false" ht="15" hidden="false" customHeight="false" outlineLevel="0" collapsed="false">
      <c r="A1548" s="13" t="s">
        <v>286</v>
      </c>
      <c r="B1548" s="13" t="s">
        <v>43</v>
      </c>
      <c r="C1548" s="13" t="s">
        <v>4</v>
      </c>
      <c r="D1548" s="13" t="s">
        <v>1128</v>
      </c>
      <c r="E1548" s="16" t="n">
        <v>260.89</v>
      </c>
      <c r="F1548" s="7" t="n">
        <v>5</v>
      </c>
      <c r="G1548" s="5" t="n">
        <v>1300</v>
      </c>
    </row>
    <row r="1549" customFormat="false" ht="15" hidden="false" customHeight="false" outlineLevel="0" collapsed="false">
      <c r="A1549" s="13" t="s">
        <v>490</v>
      </c>
      <c r="B1549" s="13" t="s">
        <v>43</v>
      </c>
      <c r="C1549" s="13" t="s">
        <v>4</v>
      </c>
      <c r="D1549" s="13" t="s">
        <v>1129</v>
      </c>
      <c r="E1549" s="16" t="n">
        <v>433.71</v>
      </c>
      <c r="F1549" s="7" t="n">
        <v>2</v>
      </c>
      <c r="G1549" s="5" t="n">
        <v>1300</v>
      </c>
    </row>
    <row r="1550" customFormat="false" ht="15" hidden="false" customHeight="false" outlineLevel="0" collapsed="false">
      <c r="A1550" s="13" t="s">
        <v>45</v>
      </c>
      <c r="B1550" s="13" t="s">
        <v>43</v>
      </c>
      <c r="C1550" s="13" t="s">
        <v>4</v>
      </c>
      <c r="D1550" s="13" t="s">
        <v>1130</v>
      </c>
      <c r="E1550" s="16" t="n">
        <v>650.56</v>
      </c>
      <c r="F1550" s="7" t="n">
        <v>2</v>
      </c>
      <c r="G1550" s="5" t="n">
        <v>1300</v>
      </c>
    </row>
    <row r="1551" customFormat="false" ht="15" hidden="false" customHeight="false" outlineLevel="0" collapsed="false">
      <c r="A1551" s="13" t="s">
        <v>69</v>
      </c>
      <c r="B1551" s="13" t="s">
        <v>43</v>
      </c>
      <c r="C1551" s="13" t="s">
        <v>5</v>
      </c>
      <c r="D1551" s="13" t="s">
        <v>1131</v>
      </c>
      <c r="E1551" s="16" t="n">
        <v>660</v>
      </c>
      <c r="F1551" s="7" t="n">
        <v>2</v>
      </c>
      <c r="G1551" s="5" t="n">
        <v>1300</v>
      </c>
    </row>
    <row r="1552" customFormat="false" ht="15" hidden="false" customHeight="false" outlineLevel="0" collapsed="false">
      <c r="A1552" s="13" t="s">
        <v>121</v>
      </c>
      <c r="B1552" s="13" t="s">
        <v>43</v>
      </c>
      <c r="C1552" s="13" t="s">
        <v>5</v>
      </c>
      <c r="D1552" s="13" t="s">
        <v>1132</v>
      </c>
      <c r="E1552" s="16" t="n">
        <v>111.308333333333</v>
      </c>
      <c r="F1552" s="7" t="n">
        <v>10</v>
      </c>
      <c r="G1552" s="5" t="n">
        <v>1300</v>
      </c>
    </row>
    <row r="1553" customFormat="false" ht="15" hidden="false" customHeight="false" outlineLevel="0" collapsed="false">
      <c r="A1553" s="13" t="s">
        <v>79</v>
      </c>
      <c r="B1553" s="13" t="s">
        <v>43</v>
      </c>
      <c r="C1553" s="13" t="s">
        <v>5</v>
      </c>
      <c r="D1553" s="13" t="s">
        <v>728</v>
      </c>
      <c r="E1553" s="16" t="n">
        <v>659</v>
      </c>
      <c r="F1553" s="7" t="n">
        <v>2</v>
      </c>
      <c r="G1553" s="5" t="n">
        <v>1300</v>
      </c>
    </row>
    <row r="1554" customFormat="false" ht="15" hidden="false" customHeight="false" outlineLevel="0" collapsed="false">
      <c r="A1554" s="13" t="s">
        <v>69</v>
      </c>
      <c r="B1554" s="13" t="s">
        <v>43</v>
      </c>
      <c r="C1554" s="13" t="s">
        <v>5</v>
      </c>
      <c r="D1554" s="13" t="s">
        <v>319</v>
      </c>
      <c r="E1554" s="16" t="n">
        <v>656.69</v>
      </c>
      <c r="F1554" s="7" t="n">
        <v>2</v>
      </c>
      <c r="G1554" s="5" t="n">
        <v>1300</v>
      </c>
    </row>
    <row r="1555" customFormat="false" ht="15" hidden="false" customHeight="false" outlineLevel="0" collapsed="false">
      <c r="A1555" s="13" t="s">
        <v>315</v>
      </c>
      <c r="B1555" s="13" t="s">
        <v>43</v>
      </c>
      <c r="C1555" s="13" t="s">
        <v>5</v>
      </c>
      <c r="D1555" s="13" t="s">
        <v>1133</v>
      </c>
      <c r="E1555" s="16" t="n">
        <v>669.61</v>
      </c>
      <c r="F1555" s="7" t="n">
        <v>2</v>
      </c>
      <c r="G1555" s="5" t="n">
        <v>1300</v>
      </c>
    </row>
    <row r="1556" customFormat="false" ht="15" hidden="false" customHeight="false" outlineLevel="0" collapsed="false">
      <c r="A1556" s="13" t="s">
        <v>124</v>
      </c>
      <c r="B1556" s="13" t="s">
        <v>43</v>
      </c>
      <c r="C1556" s="13" t="s">
        <v>5</v>
      </c>
      <c r="D1556" s="13" t="s">
        <v>125</v>
      </c>
      <c r="E1556" s="16" t="n">
        <v>651</v>
      </c>
      <c r="F1556" s="7" t="n">
        <v>2</v>
      </c>
      <c r="G1556" s="5" t="n">
        <v>1300</v>
      </c>
    </row>
    <row r="1557" customFormat="false" ht="15" hidden="false" customHeight="false" outlineLevel="0" collapsed="false">
      <c r="A1557" s="13" t="s">
        <v>45</v>
      </c>
      <c r="B1557" s="13" t="s">
        <v>43</v>
      </c>
      <c r="C1557" s="13" t="s">
        <v>5</v>
      </c>
      <c r="D1557" s="13" t="s">
        <v>113</v>
      </c>
      <c r="E1557" s="16" t="n">
        <v>652</v>
      </c>
      <c r="F1557" s="7" t="n">
        <v>2</v>
      </c>
      <c r="G1557" s="5" t="n">
        <v>1300</v>
      </c>
    </row>
    <row r="1558" customFormat="false" ht="15" hidden="false" customHeight="false" outlineLevel="0" collapsed="false">
      <c r="A1558" s="13" t="s">
        <v>45</v>
      </c>
      <c r="B1558" s="13" t="s">
        <v>43</v>
      </c>
      <c r="C1558" s="13" t="s">
        <v>4</v>
      </c>
      <c r="D1558" s="13" t="s">
        <v>101</v>
      </c>
      <c r="E1558" s="16" t="n">
        <v>669.94</v>
      </c>
      <c r="F1558" s="7" t="n">
        <v>2</v>
      </c>
      <c r="G1558" s="5" t="n">
        <v>1300</v>
      </c>
    </row>
    <row r="1559" customFormat="false" ht="15" hidden="false" customHeight="false" outlineLevel="0" collapsed="false">
      <c r="A1559" s="13" t="s">
        <v>79</v>
      </c>
      <c r="B1559" s="13" t="s">
        <v>43</v>
      </c>
      <c r="C1559" s="13" t="s">
        <v>4</v>
      </c>
      <c r="D1559" s="13" t="s">
        <v>426</v>
      </c>
      <c r="E1559" s="16" t="n">
        <v>666.255</v>
      </c>
      <c r="F1559" s="7" t="n">
        <v>2</v>
      </c>
      <c r="G1559" s="5" t="n">
        <v>1300</v>
      </c>
    </row>
    <row r="1560" customFormat="false" ht="15" hidden="false" customHeight="false" outlineLevel="0" collapsed="false">
      <c r="A1560" s="13" t="s">
        <v>61</v>
      </c>
      <c r="B1560" s="13" t="s">
        <v>43</v>
      </c>
      <c r="C1560" s="13" t="s">
        <v>5</v>
      </c>
      <c r="D1560" s="13" t="s">
        <v>1134</v>
      </c>
      <c r="E1560" s="16" t="n">
        <v>1298.85</v>
      </c>
      <c r="F1560" s="7" t="n">
        <v>1</v>
      </c>
      <c r="G1560" s="5" t="n">
        <v>1300</v>
      </c>
    </row>
    <row r="1561" customFormat="false" ht="15" hidden="false" customHeight="false" outlineLevel="0" collapsed="false">
      <c r="A1561" s="13" t="s">
        <v>121</v>
      </c>
      <c r="B1561" s="13" t="s">
        <v>43</v>
      </c>
      <c r="C1561" s="13" t="s">
        <v>5</v>
      </c>
      <c r="D1561" s="13" t="s">
        <v>1135</v>
      </c>
      <c r="E1561" s="16" t="n">
        <v>71.2938888888889</v>
      </c>
      <c r="F1561" s="7" t="n">
        <v>20</v>
      </c>
      <c r="G1561" s="5" t="n">
        <v>1300</v>
      </c>
    </row>
    <row r="1562" customFormat="false" ht="15" hidden="false" customHeight="false" outlineLevel="0" collapsed="false">
      <c r="A1562" s="13" t="s">
        <v>315</v>
      </c>
      <c r="B1562" s="13" t="s">
        <v>43</v>
      </c>
      <c r="C1562" s="13" t="s">
        <v>5</v>
      </c>
      <c r="D1562" s="13" t="s">
        <v>316</v>
      </c>
      <c r="E1562" s="16" t="n">
        <v>418</v>
      </c>
      <c r="F1562" s="7" t="n">
        <v>2</v>
      </c>
      <c r="G1562" s="5" t="n">
        <v>1300</v>
      </c>
    </row>
    <row r="1563" customFormat="false" ht="15" hidden="false" customHeight="false" outlineLevel="0" collapsed="false">
      <c r="A1563" s="13" t="s">
        <v>153</v>
      </c>
      <c r="B1563" s="13" t="s">
        <v>43</v>
      </c>
      <c r="C1563" s="13" t="s">
        <v>5</v>
      </c>
      <c r="D1563" s="13" t="s">
        <v>1136</v>
      </c>
      <c r="E1563" s="16" t="n">
        <v>628</v>
      </c>
      <c r="F1563" s="7" t="n">
        <v>2</v>
      </c>
      <c r="G1563" s="5" t="n">
        <v>1300</v>
      </c>
    </row>
    <row r="1564" customFormat="false" ht="15" hidden="false" customHeight="false" outlineLevel="0" collapsed="false">
      <c r="A1564" s="13" t="s">
        <v>107</v>
      </c>
      <c r="B1564" s="13" t="s">
        <v>43</v>
      </c>
      <c r="C1564" s="13" t="s">
        <v>5</v>
      </c>
      <c r="D1564" s="13" t="s">
        <v>996</v>
      </c>
      <c r="E1564" s="16" t="n">
        <v>418.85</v>
      </c>
      <c r="F1564" s="7" t="n">
        <v>2</v>
      </c>
      <c r="G1564" s="5" t="n">
        <v>1300</v>
      </c>
    </row>
    <row r="1565" customFormat="false" ht="15" hidden="false" customHeight="false" outlineLevel="0" collapsed="false">
      <c r="A1565" s="13" t="s">
        <v>61</v>
      </c>
      <c r="B1565" s="13" t="s">
        <v>43</v>
      </c>
      <c r="C1565" s="13" t="s">
        <v>5</v>
      </c>
      <c r="D1565" s="13" t="s">
        <v>1137</v>
      </c>
      <c r="E1565" s="16" t="n">
        <v>419.85</v>
      </c>
      <c r="F1565" s="7" t="n">
        <v>2</v>
      </c>
      <c r="G1565" s="5" t="n">
        <v>1300</v>
      </c>
    </row>
    <row r="1566" customFormat="false" ht="15" hidden="false" customHeight="false" outlineLevel="0" collapsed="false">
      <c r="A1566" s="13" t="s">
        <v>42</v>
      </c>
      <c r="B1566" s="13" t="s">
        <v>43</v>
      </c>
      <c r="C1566" s="13" t="s">
        <v>5</v>
      </c>
      <c r="D1566" s="13" t="s">
        <v>89</v>
      </c>
      <c r="E1566" s="16" t="n">
        <v>648.85</v>
      </c>
      <c r="F1566" s="7" t="n">
        <v>2</v>
      </c>
      <c r="G1566" s="5" t="n">
        <v>1300</v>
      </c>
    </row>
    <row r="1567" customFormat="false" ht="15" hidden="false" customHeight="false" outlineLevel="0" collapsed="false">
      <c r="A1567" s="13" t="s">
        <v>42</v>
      </c>
      <c r="B1567" s="13" t="s">
        <v>43</v>
      </c>
      <c r="C1567" s="13" t="s">
        <v>5</v>
      </c>
      <c r="D1567" s="13" t="s">
        <v>358</v>
      </c>
      <c r="E1567" s="16" t="n">
        <v>648.85</v>
      </c>
      <c r="F1567" s="7" t="n">
        <v>2</v>
      </c>
      <c r="G1567" s="5" t="n">
        <v>1300</v>
      </c>
    </row>
    <row r="1568" customFormat="false" ht="15" hidden="false" customHeight="false" outlineLevel="0" collapsed="false">
      <c r="A1568" s="13" t="s">
        <v>153</v>
      </c>
      <c r="B1568" s="13" t="s">
        <v>43</v>
      </c>
      <c r="C1568" s="13" t="s">
        <v>5</v>
      </c>
      <c r="D1568" s="13" t="s">
        <v>921</v>
      </c>
      <c r="E1568" s="16" t="n">
        <v>426.65</v>
      </c>
      <c r="F1568" s="7" t="n">
        <v>2</v>
      </c>
      <c r="G1568" s="5" t="n">
        <v>1300</v>
      </c>
    </row>
    <row r="1569" customFormat="false" ht="15" hidden="false" customHeight="false" outlineLevel="0" collapsed="false">
      <c r="A1569" s="13" t="s">
        <v>105</v>
      </c>
      <c r="B1569" s="13" t="s">
        <v>43</v>
      </c>
      <c r="C1569" s="13" t="s">
        <v>5</v>
      </c>
      <c r="D1569" s="13" t="s">
        <v>473</v>
      </c>
      <c r="E1569" s="16" t="n">
        <v>432</v>
      </c>
      <c r="F1569" s="7" t="n">
        <v>2</v>
      </c>
      <c r="G1569" s="5" t="n">
        <v>1300</v>
      </c>
    </row>
    <row r="1570" customFormat="false" ht="15" hidden="false" customHeight="false" outlineLevel="0" collapsed="false">
      <c r="A1570" s="13" t="s">
        <v>45</v>
      </c>
      <c r="B1570" s="13" t="s">
        <v>43</v>
      </c>
      <c r="C1570" s="13" t="s">
        <v>4</v>
      </c>
      <c r="D1570" s="13" t="s">
        <v>113</v>
      </c>
      <c r="E1570" s="16" t="n">
        <v>634.23</v>
      </c>
      <c r="F1570" s="7" t="n">
        <v>2</v>
      </c>
      <c r="G1570" s="5" t="n">
        <v>1300</v>
      </c>
    </row>
    <row r="1571" customFormat="false" ht="15" hidden="false" customHeight="false" outlineLevel="0" collapsed="false">
      <c r="A1571" s="13" t="s">
        <v>42</v>
      </c>
      <c r="B1571" s="13" t="s">
        <v>43</v>
      </c>
      <c r="C1571" s="13" t="s">
        <v>4</v>
      </c>
      <c r="D1571" s="13" t="s">
        <v>1138</v>
      </c>
      <c r="E1571" s="16" t="n">
        <v>650.07</v>
      </c>
      <c r="F1571" s="7" t="n">
        <v>2</v>
      </c>
      <c r="G1571" s="5" t="n">
        <v>1300</v>
      </c>
    </row>
    <row r="1572" customFormat="false" ht="15" hidden="false" customHeight="false" outlineLevel="0" collapsed="false">
      <c r="A1572" s="13" t="s">
        <v>50</v>
      </c>
      <c r="B1572" s="13" t="s">
        <v>43</v>
      </c>
      <c r="C1572" s="13" t="s">
        <v>4</v>
      </c>
      <c r="D1572" s="13" t="s">
        <v>1139</v>
      </c>
      <c r="E1572" s="16" t="n">
        <v>633.88</v>
      </c>
      <c r="F1572" s="7" t="n">
        <v>2</v>
      </c>
      <c r="G1572" s="5" t="n">
        <v>1300</v>
      </c>
    </row>
    <row r="1573" customFormat="false" ht="15" hidden="false" customHeight="false" outlineLevel="0" collapsed="false">
      <c r="A1573" s="13" t="s">
        <v>45</v>
      </c>
      <c r="B1573" s="13" t="s">
        <v>43</v>
      </c>
      <c r="C1573" s="13" t="s">
        <v>4</v>
      </c>
      <c r="D1573" s="13" t="s">
        <v>1140</v>
      </c>
      <c r="E1573" s="16" t="n">
        <v>634.23</v>
      </c>
      <c r="F1573" s="7" t="n">
        <v>2</v>
      </c>
      <c r="G1573" s="5" t="n">
        <v>1300</v>
      </c>
    </row>
    <row r="1574" customFormat="false" ht="15" hidden="false" customHeight="false" outlineLevel="0" collapsed="false">
      <c r="A1574" s="13" t="s">
        <v>42</v>
      </c>
      <c r="B1574" s="13" t="s">
        <v>43</v>
      </c>
      <c r="C1574" s="13" t="s">
        <v>4</v>
      </c>
      <c r="D1574" s="13" t="s">
        <v>53</v>
      </c>
      <c r="E1574" s="16" t="n">
        <v>634.23</v>
      </c>
      <c r="F1574" s="7" t="n">
        <v>2</v>
      </c>
      <c r="G1574" s="5" t="n">
        <v>1300</v>
      </c>
    </row>
    <row r="1575" customFormat="false" ht="15" hidden="false" customHeight="false" outlineLevel="0" collapsed="false">
      <c r="A1575" s="13" t="s">
        <v>161</v>
      </c>
      <c r="B1575" s="13" t="s">
        <v>43</v>
      </c>
      <c r="C1575" s="13" t="s">
        <v>4</v>
      </c>
      <c r="D1575" s="13" t="s">
        <v>1141</v>
      </c>
      <c r="E1575" s="16" t="n">
        <v>253.168</v>
      </c>
      <c r="F1575" s="7" t="n">
        <v>5</v>
      </c>
      <c r="G1575" s="5" t="n">
        <v>1300</v>
      </c>
    </row>
    <row r="1576" customFormat="false" ht="15" hidden="false" customHeight="false" outlineLevel="0" collapsed="false">
      <c r="A1576" s="13" t="s">
        <v>103</v>
      </c>
      <c r="B1576" s="13" t="s">
        <v>43</v>
      </c>
      <c r="C1576" s="13" t="s">
        <v>4</v>
      </c>
      <c r="D1576" s="13" t="s">
        <v>1142</v>
      </c>
      <c r="E1576" s="16" t="n">
        <v>236.178</v>
      </c>
      <c r="F1576" s="7" t="n">
        <v>5</v>
      </c>
      <c r="G1576" s="5" t="n">
        <v>1200</v>
      </c>
    </row>
    <row r="1577" customFormat="false" ht="15" hidden="false" customHeight="false" outlineLevel="0" collapsed="false">
      <c r="A1577" s="13" t="s">
        <v>79</v>
      </c>
      <c r="B1577" s="13" t="s">
        <v>43</v>
      </c>
      <c r="C1577" s="13" t="s">
        <v>4</v>
      </c>
      <c r="D1577" s="13" t="s">
        <v>1143</v>
      </c>
      <c r="E1577" s="16" t="n">
        <v>595.68</v>
      </c>
      <c r="F1577" s="7" t="n">
        <v>2</v>
      </c>
      <c r="G1577" s="5" t="n">
        <v>1200</v>
      </c>
    </row>
    <row r="1578" customFormat="false" ht="15" hidden="false" customHeight="false" outlineLevel="0" collapsed="false">
      <c r="A1578" s="13" t="s">
        <v>74</v>
      </c>
      <c r="B1578" s="13" t="s">
        <v>43</v>
      </c>
      <c r="C1578" s="13" t="s">
        <v>3</v>
      </c>
      <c r="D1578" s="13" t="s">
        <v>1144</v>
      </c>
      <c r="E1578" s="16" t="n">
        <v>130.083333333333</v>
      </c>
      <c r="F1578" s="7" t="n">
        <v>5</v>
      </c>
      <c r="G1578" s="5" t="n">
        <v>1200</v>
      </c>
    </row>
    <row r="1579" customFormat="false" ht="15" hidden="false" customHeight="false" outlineLevel="0" collapsed="false">
      <c r="A1579" s="13" t="s">
        <v>179</v>
      </c>
      <c r="B1579" s="13" t="s">
        <v>85</v>
      </c>
      <c r="C1579" s="13" t="s">
        <v>3</v>
      </c>
      <c r="D1579" s="13" t="s">
        <v>1145</v>
      </c>
      <c r="E1579" s="16" t="n">
        <v>78</v>
      </c>
      <c r="F1579" s="7" t="n">
        <v>20</v>
      </c>
      <c r="G1579" s="5" t="n">
        <v>1200</v>
      </c>
    </row>
    <row r="1580" customFormat="false" ht="15" hidden="false" customHeight="false" outlineLevel="0" collapsed="false">
      <c r="A1580" s="13" t="s">
        <v>114</v>
      </c>
      <c r="B1580" s="13" t="s">
        <v>85</v>
      </c>
      <c r="C1580" s="13" t="s">
        <v>3</v>
      </c>
      <c r="D1580" s="13" t="s">
        <v>1146</v>
      </c>
      <c r="E1580" s="16" t="n">
        <v>109.9</v>
      </c>
      <c r="F1580" s="7" t="n">
        <v>10</v>
      </c>
      <c r="G1580" s="5" t="n">
        <v>1200</v>
      </c>
    </row>
    <row r="1581" customFormat="false" ht="15" hidden="false" customHeight="false" outlineLevel="0" collapsed="false">
      <c r="A1581" s="13" t="s">
        <v>153</v>
      </c>
      <c r="B1581" s="13" t="s">
        <v>43</v>
      </c>
      <c r="C1581" s="13" t="s">
        <v>5</v>
      </c>
      <c r="D1581" s="13" t="s">
        <v>1136</v>
      </c>
      <c r="E1581" s="16" t="n">
        <v>584.99</v>
      </c>
      <c r="F1581" s="7" t="n">
        <v>2</v>
      </c>
      <c r="G1581" s="5" t="n">
        <v>1200</v>
      </c>
    </row>
    <row r="1582" customFormat="false" ht="15" hidden="false" customHeight="false" outlineLevel="0" collapsed="false">
      <c r="A1582" s="13" t="s">
        <v>153</v>
      </c>
      <c r="B1582" s="13" t="s">
        <v>43</v>
      </c>
      <c r="C1582" s="13" t="s">
        <v>5</v>
      </c>
      <c r="D1582" s="13" t="s">
        <v>1147</v>
      </c>
      <c r="E1582" s="16" t="n">
        <v>583.86</v>
      </c>
      <c r="F1582" s="7" t="n">
        <v>2</v>
      </c>
      <c r="G1582" s="5" t="n">
        <v>1200</v>
      </c>
    </row>
    <row r="1583" customFormat="false" ht="15" hidden="false" customHeight="false" outlineLevel="0" collapsed="false">
      <c r="A1583" s="13" t="s">
        <v>42</v>
      </c>
      <c r="B1583" s="13" t="s">
        <v>43</v>
      </c>
      <c r="C1583" s="13" t="s">
        <v>5</v>
      </c>
      <c r="D1583" s="13" t="s">
        <v>53</v>
      </c>
      <c r="E1583" s="16" t="n">
        <v>600</v>
      </c>
      <c r="F1583" s="7" t="n">
        <v>2</v>
      </c>
      <c r="G1583" s="5" t="n">
        <v>1200</v>
      </c>
    </row>
    <row r="1584" customFormat="false" ht="15" hidden="false" customHeight="false" outlineLevel="0" collapsed="false">
      <c r="A1584" s="13" t="s">
        <v>61</v>
      </c>
      <c r="B1584" s="13" t="s">
        <v>43</v>
      </c>
      <c r="C1584" s="13" t="s">
        <v>5</v>
      </c>
      <c r="D1584" s="13" t="s">
        <v>1148</v>
      </c>
      <c r="E1584" s="16" t="n">
        <v>300.85</v>
      </c>
      <c r="F1584" s="7" t="n">
        <v>2</v>
      </c>
      <c r="G1584" s="5" t="n">
        <v>1200</v>
      </c>
    </row>
    <row r="1585" customFormat="false" ht="15" hidden="false" customHeight="false" outlineLevel="0" collapsed="false">
      <c r="A1585" s="13" t="s">
        <v>153</v>
      </c>
      <c r="B1585" s="13" t="s">
        <v>43</v>
      </c>
      <c r="C1585" s="13" t="s">
        <v>4</v>
      </c>
      <c r="D1585" s="13" t="s">
        <v>1149</v>
      </c>
      <c r="E1585" s="16" t="n">
        <v>581.27</v>
      </c>
      <c r="F1585" s="7" t="n">
        <v>2</v>
      </c>
      <c r="G1585" s="5" t="n">
        <v>1200</v>
      </c>
    </row>
    <row r="1586" customFormat="false" ht="15" hidden="false" customHeight="false" outlineLevel="0" collapsed="false">
      <c r="A1586" s="13" t="s">
        <v>490</v>
      </c>
      <c r="B1586" s="13" t="s">
        <v>43</v>
      </c>
      <c r="C1586" s="13" t="s">
        <v>4</v>
      </c>
      <c r="D1586" s="13" t="s">
        <v>1150</v>
      </c>
      <c r="E1586" s="16" t="n">
        <v>580.17</v>
      </c>
      <c r="F1586" s="7" t="n">
        <v>2</v>
      </c>
      <c r="G1586" s="5" t="n">
        <v>1200</v>
      </c>
    </row>
    <row r="1587" customFormat="false" ht="15" hidden="false" customHeight="false" outlineLevel="0" collapsed="false">
      <c r="A1587" s="13" t="s">
        <v>177</v>
      </c>
      <c r="B1587" s="13" t="s">
        <v>43</v>
      </c>
      <c r="C1587" s="13" t="s">
        <v>4</v>
      </c>
      <c r="D1587" s="13" t="s">
        <v>1151</v>
      </c>
      <c r="E1587" s="16" t="n">
        <v>588.55</v>
      </c>
      <c r="F1587" s="7" t="n">
        <v>2</v>
      </c>
      <c r="G1587" s="5" t="n">
        <v>1200</v>
      </c>
    </row>
    <row r="1588" customFormat="false" ht="15" hidden="false" customHeight="false" outlineLevel="0" collapsed="false">
      <c r="A1588" s="13" t="s">
        <v>105</v>
      </c>
      <c r="B1588" s="13" t="s">
        <v>43</v>
      </c>
      <c r="C1588" s="13" t="s">
        <v>4</v>
      </c>
      <c r="D1588" s="13" t="s">
        <v>1152</v>
      </c>
      <c r="E1588" s="16" t="n">
        <v>602.72</v>
      </c>
      <c r="F1588" s="7" t="n">
        <v>2</v>
      </c>
      <c r="G1588" s="5" t="n">
        <v>1200</v>
      </c>
    </row>
    <row r="1589" customFormat="false" ht="15" hidden="false" customHeight="false" outlineLevel="0" collapsed="false">
      <c r="A1589" s="13" t="s">
        <v>177</v>
      </c>
      <c r="B1589" s="13" t="s">
        <v>43</v>
      </c>
      <c r="C1589" s="13" t="s">
        <v>4</v>
      </c>
      <c r="D1589" s="13" t="s">
        <v>1153</v>
      </c>
      <c r="E1589" s="16" t="n">
        <v>606.75</v>
      </c>
      <c r="F1589" s="7" t="n">
        <v>2</v>
      </c>
      <c r="G1589" s="5" t="n">
        <v>1200</v>
      </c>
    </row>
    <row r="1590" customFormat="false" ht="15" hidden="false" customHeight="false" outlineLevel="0" collapsed="false">
      <c r="A1590" s="13" t="s">
        <v>365</v>
      </c>
      <c r="B1590" s="13" t="s">
        <v>43</v>
      </c>
      <c r="C1590" s="13" t="s">
        <v>4</v>
      </c>
      <c r="D1590" s="13" t="s">
        <v>1154</v>
      </c>
      <c r="E1590" s="16" t="n">
        <v>389.5</v>
      </c>
      <c r="F1590" s="7" t="n">
        <v>2</v>
      </c>
      <c r="G1590" s="5" t="n">
        <v>1200</v>
      </c>
    </row>
    <row r="1591" customFormat="false" ht="15" hidden="false" customHeight="false" outlineLevel="0" collapsed="false">
      <c r="A1591" s="13" t="s">
        <v>186</v>
      </c>
      <c r="B1591" s="13" t="s">
        <v>43</v>
      </c>
      <c r="C1591" s="13" t="s">
        <v>4</v>
      </c>
      <c r="D1591" s="13" t="s">
        <v>1155</v>
      </c>
      <c r="E1591" s="16" t="n">
        <v>406.72</v>
      </c>
      <c r="F1591" s="7" t="n">
        <v>2</v>
      </c>
      <c r="G1591" s="5" t="n">
        <v>1200</v>
      </c>
    </row>
    <row r="1592" customFormat="false" ht="15" hidden="false" customHeight="false" outlineLevel="0" collapsed="false">
      <c r="A1592" s="13" t="s">
        <v>42</v>
      </c>
      <c r="B1592" s="13" t="s">
        <v>43</v>
      </c>
      <c r="C1592" s="13" t="s">
        <v>4</v>
      </c>
      <c r="D1592" s="13" t="s">
        <v>1156</v>
      </c>
      <c r="E1592" s="16" t="n">
        <v>610.06</v>
      </c>
      <c r="F1592" s="7" t="n">
        <v>2</v>
      </c>
      <c r="G1592" s="5" t="n">
        <v>1200</v>
      </c>
    </row>
    <row r="1593" customFormat="false" ht="15" hidden="false" customHeight="false" outlineLevel="0" collapsed="false">
      <c r="A1593" s="13" t="s">
        <v>42</v>
      </c>
      <c r="B1593" s="13" t="s">
        <v>43</v>
      </c>
      <c r="C1593" s="13" t="s">
        <v>4</v>
      </c>
      <c r="D1593" s="13" t="s">
        <v>1157</v>
      </c>
      <c r="E1593" s="16" t="n">
        <v>608.13</v>
      </c>
      <c r="F1593" s="7" t="n">
        <v>2</v>
      </c>
      <c r="G1593" s="5" t="n">
        <v>1200</v>
      </c>
    </row>
    <row r="1594" customFormat="false" ht="15" hidden="false" customHeight="false" outlineLevel="0" collapsed="false">
      <c r="A1594" s="13" t="s">
        <v>42</v>
      </c>
      <c r="B1594" s="13" t="s">
        <v>43</v>
      </c>
      <c r="C1594" s="13" t="s">
        <v>4</v>
      </c>
      <c r="D1594" s="13" t="s">
        <v>1158</v>
      </c>
      <c r="E1594" s="16" t="n">
        <v>577</v>
      </c>
      <c r="F1594" s="7" t="n">
        <v>2</v>
      </c>
      <c r="G1594" s="5" t="n">
        <v>1200</v>
      </c>
    </row>
    <row r="1595" customFormat="false" ht="15" hidden="false" customHeight="false" outlineLevel="0" collapsed="false">
      <c r="A1595" s="13" t="s">
        <v>153</v>
      </c>
      <c r="B1595" s="13" t="s">
        <v>43</v>
      </c>
      <c r="C1595" s="13" t="s">
        <v>4</v>
      </c>
      <c r="D1595" s="13" t="s">
        <v>993</v>
      </c>
      <c r="E1595" s="16" t="n">
        <v>578.72</v>
      </c>
      <c r="F1595" s="7" t="n">
        <v>2</v>
      </c>
      <c r="G1595" s="5" t="n">
        <v>1200</v>
      </c>
    </row>
    <row r="1596" customFormat="false" ht="15" hidden="false" customHeight="false" outlineLevel="0" collapsed="false">
      <c r="A1596" s="13" t="s">
        <v>50</v>
      </c>
      <c r="B1596" s="13" t="s">
        <v>43</v>
      </c>
      <c r="C1596" s="13" t="s">
        <v>4</v>
      </c>
      <c r="D1596" s="13" t="s">
        <v>1139</v>
      </c>
      <c r="E1596" s="16" t="n">
        <v>599.43</v>
      </c>
      <c r="F1596" s="7" t="n">
        <v>2</v>
      </c>
      <c r="G1596" s="5" t="n">
        <v>1200</v>
      </c>
    </row>
    <row r="1597" customFormat="false" ht="15" hidden="false" customHeight="false" outlineLevel="0" collapsed="false">
      <c r="A1597" s="13" t="s">
        <v>42</v>
      </c>
      <c r="B1597" s="13" t="s">
        <v>43</v>
      </c>
      <c r="C1597" s="13" t="s">
        <v>4</v>
      </c>
      <c r="D1597" s="13" t="s">
        <v>1159</v>
      </c>
      <c r="E1597" s="16" t="n">
        <v>399.61</v>
      </c>
      <c r="F1597" s="7" t="n">
        <v>2</v>
      </c>
      <c r="G1597" s="5" t="n">
        <v>1200</v>
      </c>
    </row>
    <row r="1598" customFormat="false" ht="15" hidden="false" customHeight="false" outlineLevel="0" collapsed="false">
      <c r="A1598" s="13" t="s">
        <v>79</v>
      </c>
      <c r="B1598" s="13" t="s">
        <v>43</v>
      </c>
      <c r="C1598" s="13" t="s">
        <v>4</v>
      </c>
      <c r="D1598" s="13" t="s">
        <v>1160</v>
      </c>
      <c r="E1598" s="16" t="n">
        <v>613.655</v>
      </c>
      <c r="F1598" s="7" t="n">
        <v>2</v>
      </c>
      <c r="G1598" s="5" t="n">
        <v>1200</v>
      </c>
    </row>
    <row r="1599" customFormat="false" ht="15" hidden="false" customHeight="false" outlineLevel="0" collapsed="false">
      <c r="A1599" s="13" t="s">
        <v>362</v>
      </c>
      <c r="B1599" s="13" t="s">
        <v>43</v>
      </c>
      <c r="C1599" s="13" t="s">
        <v>4</v>
      </c>
      <c r="D1599" s="13" t="s">
        <v>1161</v>
      </c>
      <c r="E1599" s="16" t="n">
        <v>613.51</v>
      </c>
      <c r="F1599" s="7" t="n">
        <v>2</v>
      </c>
      <c r="G1599" s="5" t="n">
        <v>1200</v>
      </c>
    </row>
    <row r="1600" customFormat="false" ht="15" hidden="false" customHeight="false" outlineLevel="0" collapsed="false">
      <c r="A1600" s="13" t="s">
        <v>490</v>
      </c>
      <c r="B1600" s="13" t="s">
        <v>43</v>
      </c>
      <c r="C1600" s="13" t="s">
        <v>5</v>
      </c>
      <c r="D1600" s="13" t="s">
        <v>1162</v>
      </c>
      <c r="E1600" s="16" t="n">
        <v>245.41</v>
      </c>
      <c r="F1600" s="7" t="n">
        <v>5</v>
      </c>
      <c r="G1600" s="5" t="n">
        <v>1200</v>
      </c>
    </row>
    <row r="1601" customFormat="false" ht="15" hidden="false" customHeight="false" outlineLevel="0" collapsed="false">
      <c r="A1601" s="13" t="s">
        <v>103</v>
      </c>
      <c r="B1601" s="13" t="s">
        <v>43</v>
      </c>
      <c r="C1601" s="13" t="s">
        <v>5</v>
      </c>
      <c r="D1601" s="13" t="s">
        <v>1163</v>
      </c>
      <c r="E1601" s="16" t="n">
        <v>205</v>
      </c>
      <c r="F1601" s="7" t="n">
        <v>5</v>
      </c>
      <c r="G1601" s="5" t="n">
        <v>1200</v>
      </c>
    </row>
    <row r="1602" customFormat="false" ht="15" hidden="false" customHeight="false" outlineLevel="0" collapsed="false">
      <c r="A1602" s="13" t="s">
        <v>124</v>
      </c>
      <c r="B1602" s="13" t="s">
        <v>43</v>
      </c>
      <c r="C1602" s="13" t="s">
        <v>5</v>
      </c>
      <c r="D1602" s="13" t="s">
        <v>684</v>
      </c>
      <c r="E1602" s="16" t="n">
        <v>610.475</v>
      </c>
      <c r="F1602" s="7" t="n">
        <v>2</v>
      </c>
      <c r="G1602" s="5" t="n">
        <v>1200</v>
      </c>
    </row>
    <row r="1603" customFormat="false" ht="15" hidden="false" customHeight="false" outlineLevel="0" collapsed="false">
      <c r="A1603" s="13" t="s">
        <v>42</v>
      </c>
      <c r="B1603" s="13" t="s">
        <v>43</v>
      </c>
      <c r="C1603" s="13" t="s">
        <v>5</v>
      </c>
      <c r="D1603" s="13" t="s">
        <v>47</v>
      </c>
      <c r="E1603" s="16" t="n">
        <v>607.74</v>
      </c>
      <c r="F1603" s="7" t="n">
        <v>2</v>
      </c>
      <c r="G1603" s="5" t="n">
        <v>1200</v>
      </c>
    </row>
    <row r="1604" customFormat="false" ht="15" hidden="false" customHeight="false" outlineLevel="0" collapsed="false">
      <c r="A1604" s="13" t="s">
        <v>92</v>
      </c>
      <c r="B1604" s="13" t="s">
        <v>43</v>
      </c>
      <c r="C1604" s="13" t="s">
        <v>5</v>
      </c>
      <c r="D1604" s="13" t="s">
        <v>1164</v>
      </c>
      <c r="E1604" s="16" t="n">
        <v>595.82</v>
      </c>
      <c r="F1604" s="7" t="n">
        <v>2</v>
      </c>
      <c r="G1604" s="5" t="n">
        <v>1200</v>
      </c>
    </row>
    <row r="1605" customFormat="false" ht="15" hidden="false" customHeight="false" outlineLevel="0" collapsed="false">
      <c r="A1605" s="13" t="s">
        <v>121</v>
      </c>
      <c r="B1605" s="13" t="s">
        <v>43</v>
      </c>
      <c r="C1605" s="13" t="s">
        <v>5</v>
      </c>
      <c r="D1605" s="13" t="s">
        <v>1165</v>
      </c>
      <c r="E1605" s="16" t="n">
        <v>168.9</v>
      </c>
      <c r="F1605" s="7" t="n">
        <v>5</v>
      </c>
      <c r="G1605" s="5" t="n">
        <v>1200</v>
      </c>
    </row>
    <row r="1606" customFormat="false" ht="15" hidden="false" customHeight="false" outlineLevel="0" collapsed="false">
      <c r="A1606" s="13" t="s">
        <v>92</v>
      </c>
      <c r="B1606" s="13" t="s">
        <v>43</v>
      </c>
      <c r="C1606" s="13" t="s">
        <v>5</v>
      </c>
      <c r="D1606" s="13" t="s">
        <v>1166</v>
      </c>
      <c r="E1606" s="16" t="n">
        <v>597.5</v>
      </c>
      <c r="F1606" s="7" t="n">
        <v>2</v>
      </c>
      <c r="G1606" s="5" t="n">
        <v>1200</v>
      </c>
    </row>
    <row r="1607" customFormat="false" ht="15" hidden="false" customHeight="false" outlineLevel="0" collapsed="false">
      <c r="A1607" s="13" t="s">
        <v>107</v>
      </c>
      <c r="B1607" s="13" t="s">
        <v>43</v>
      </c>
      <c r="C1607" s="13" t="s">
        <v>5</v>
      </c>
      <c r="D1607" s="13" t="s">
        <v>1167</v>
      </c>
      <c r="E1607" s="16" t="n">
        <v>170.351428571429</v>
      </c>
      <c r="F1607" s="7" t="n">
        <v>5</v>
      </c>
      <c r="G1607" s="5" t="n">
        <v>1200</v>
      </c>
    </row>
    <row r="1608" customFormat="false" ht="15" hidden="false" customHeight="false" outlineLevel="0" collapsed="false">
      <c r="A1608" s="13" t="s">
        <v>61</v>
      </c>
      <c r="B1608" s="13" t="s">
        <v>43</v>
      </c>
      <c r="C1608" s="13" t="s">
        <v>5</v>
      </c>
      <c r="D1608" s="13" t="s">
        <v>949</v>
      </c>
      <c r="E1608" s="16" t="n">
        <v>599.82</v>
      </c>
      <c r="F1608" s="7" t="n">
        <v>2</v>
      </c>
      <c r="G1608" s="5" t="n">
        <v>1200</v>
      </c>
    </row>
    <row r="1609" customFormat="false" ht="15" hidden="false" customHeight="false" outlineLevel="0" collapsed="false">
      <c r="A1609" s="13" t="s">
        <v>124</v>
      </c>
      <c r="B1609" s="13" t="s">
        <v>43</v>
      </c>
      <c r="C1609" s="13" t="s">
        <v>5</v>
      </c>
      <c r="D1609" s="13" t="s">
        <v>238</v>
      </c>
      <c r="E1609" s="16" t="n">
        <v>399.99</v>
      </c>
      <c r="F1609" s="7" t="n">
        <v>2</v>
      </c>
      <c r="G1609" s="5" t="n">
        <v>1200</v>
      </c>
    </row>
    <row r="1610" customFormat="false" ht="15" hidden="false" customHeight="false" outlineLevel="0" collapsed="false">
      <c r="A1610" s="13" t="s">
        <v>69</v>
      </c>
      <c r="B1610" s="13" t="s">
        <v>43</v>
      </c>
      <c r="C1610" s="13" t="s">
        <v>5</v>
      </c>
      <c r="D1610" s="13" t="s">
        <v>1168</v>
      </c>
      <c r="E1610" s="16" t="n">
        <v>606.575</v>
      </c>
      <c r="F1610" s="7" t="n">
        <v>2</v>
      </c>
      <c r="G1610" s="5" t="n">
        <v>1200</v>
      </c>
    </row>
    <row r="1611" customFormat="false" ht="15" hidden="false" customHeight="false" outlineLevel="0" collapsed="false">
      <c r="A1611" s="13" t="s">
        <v>103</v>
      </c>
      <c r="B1611" s="13" t="s">
        <v>43</v>
      </c>
      <c r="C1611" s="13" t="s">
        <v>5</v>
      </c>
      <c r="D1611" s="13" t="s">
        <v>1163</v>
      </c>
      <c r="E1611" s="16" t="n">
        <v>200.82</v>
      </c>
      <c r="F1611" s="7" t="n">
        <v>5</v>
      </c>
      <c r="G1611" s="5" t="n">
        <v>1200</v>
      </c>
    </row>
    <row r="1612" customFormat="false" ht="15" hidden="false" customHeight="false" outlineLevel="0" collapsed="false">
      <c r="A1612" s="13" t="s">
        <v>107</v>
      </c>
      <c r="B1612" s="13" t="s">
        <v>43</v>
      </c>
      <c r="C1612" s="13" t="s">
        <v>5</v>
      </c>
      <c r="D1612" s="13" t="s">
        <v>1169</v>
      </c>
      <c r="E1612" s="16" t="n">
        <v>246.25</v>
      </c>
      <c r="F1612" s="7" t="n">
        <v>5</v>
      </c>
      <c r="G1612" s="5" t="n">
        <v>1200</v>
      </c>
    </row>
    <row r="1613" customFormat="false" ht="15" hidden="false" customHeight="false" outlineLevel="0" collapsed="false">
      <c r="A1613" s="13" t="s">
        <v>61</v>
      </c>
      <c r="B1613" s="13" t="s">
        <v>43</v>
      </c>
      <c r="C1613" s="13" t="s">
        <v>5</v>
      </c>
      <c r="D1613" s="13" t="s">
        <v>1170</v>
      </c>
      <c r="E1613" s="16" t="n">
        <v>621.45</v>
      </c>
      <c r="F1613" s="7" t="n">
        <v>2</v>
      </c>
      <c r="G1613" s="5" t="n">
        <v>1200</v>
      </c>
    </row>
    <row r="1614" customFormat="false" ht="15" hidden="false" customHeight="false" outlineLevel="0" collapsed="false">
      <c r="A1614" s="13" t="s">
        <v>42</v>
      </c>
      <c r="B1614" s="13" t="s">
        <v>43</v>
      </c>
      <c r="C1614" s="13" t="s">
        <v>5</v>
      </c>
      <c r="D1614" s="13" t="s">
        <v>1171</v>
      </c>
      <c r="E1614" s="16" t="n">
        <v>625</v>
      </c>
      <c r="F1614" s="7" t="n">
        <v>2</v>
      </c>
      <c r="G1614" s="5" t="n">
        <v>1200</v>
      </c>
    </row>
    <row r="1615" customFormat="false" ht="15" hidden="false" customHeight="false" outlineLevel="0" collapsed="false">
      <c r="A1615" s="13" t="s">
        <v>50</v>
      </c>
      <c r="B1615" s="13" t="s">
        <v>43</v>
      </c>
      <c r="C1615" s="13" t="s">
        <v>5</v>
      </c>
      <c r="D1615" s="13" t="s">
        <v>492</v>
      </c>
      <c r="E1615" s="16" t="n">
        <v>622.2</v>
      </c>
      <c r="F1615" s="7" t="n">
        <v>2</v>
      </c>
      <c r="G1615" s="5" t="n">
        <v>1200</v>
      </c>
    </row>
    <row r="1616" customFormat="false" ht="15" hidden="false" customHeight="false" outlineLevel="0" collapsed="false">
      <c r="A1616" s="13" t="s">
        <v>42</v>
      </c>
      <c r="B1616" s="13" t="s">
        <v>43</v>
      </c>
      <c r="C1616" s="13" t="s">
        <v>5</v>
      </c>
      <c r="D1616" s="13" t="s">
        <v>912</v>
      </c>
      <c r="E1616" s="16" t="n">
        <v>612</v>
      </c>
      <c r="F1616" s="7" t="n">
        <v>2</v>
      </c>
      <c r="G1616" s="5" t="n">
        <v>1200</v>
      </c>
    </row>
    <row r="1617" customFormat="false" ht="15" hidden="false" customHeight="false" outlineLevel="0" collapsed="false">
      <c r="A1617" s="13" t="s">
        <v>79</v>
      </c>
      <c r="B1617" s="13" t="s">
        <v>43</v>
      </c>
      <c r="C1617" s="13" t="s">
        <v>5</v>
      </c>
      <c r="D1617" s="13" t="s">
        <v>1172</v>
      </c>
      <c r="E1617" s="16" t="n">
        <v>613.04</v>
      </c>
      <c r="F1617" s="7" t="n">
        <v>2</v>
      </c>
      <c r="G1617" s="5" t="n">
        <v>1200</v>
      </c>
    </row>
    <row r="1618" customFormat="false" ht="15" hidden="false" customHeight="false" outlineLevel="0" collapsed="false">
      <c r="A1618" s="13" t="s">
        <v>50</v>
      </c>
      <c r="B1618" s="13" t="s">
        <v>43</v>
      </c>
      <c r="C1618" s="13" t="s">
        <v>5</v>
      </c>
      <c r="D1618" s="13" t="s">
        <v>452</v>
      </c>
      <c r="E1618" s="16" t="n">
        <v>575</v>
      </c>
      <c r="F1618" s="7" t="n">
        <v>2</v>
      </c>
      <c r="G1618" s="5" t="n">
        <v>1200</v>
      </c>
    </row>
    <row r="1619" customFormat="false" ht="15" hidden="false" customHeight="false" outlineLevel="0" collapsed="false">
      <c r="A1619" s="13" t="s">
        <v>153</v>
      </c>
      <c r="B1619" s="13" t="s">
        <v>43</v>
      </c>
      <c r="C1619" s="13" t="s">
        <v>5</v>
      </c>
      <c r="D1619" s="13" t="s">
        <v>1173</v>
      </c>
      <c r="E1619" s="16" t="n">
        <v>575.17</v>
      </c>
      <c r="F1619" s="7" t="n">
        <v>2</v>
      </c>
      <c r="G1619" s="5" t="n">
        <v>1200</v>
      </c>
    </row>
    <row r="1620" customFormat="false" ht="15" hidden="false" customHeight="false" outlineLevel="0" collapsed="false">
      <c r="A1620" s="13" t="s">
        <v>195</v>
      </c>
      <c r="B1620" s="13" t="s">
        <v>43</v>
      </c>
      <c r="C1620" s="13" t="s">
        <v>5</v>
      </c>
      <c r="D1620" s="13" t="s">
        <v>1036</v>
      </c>
      <c r="E1620" s="16" t="n">
        <v>577.21</v>
      </c>
      <c r="F1620" s="7" t="n">
        <v>2</v>
      </c>
      <c r="G1620" s="5" t="n">
        <v>1200</v>
      </c>
    </row>
    <row r="1621" customFormat="false" ht="15" hidden="false" customHeight="false" outlineLevel="0" collapsed="false">
      <c r="A1621" s="13" t="s">
        <v>69</v>
      </c>
      <c r="B1621" s="13" t="s">
        <v>43</v>
      </c>
      <c r="C1621" s="13" t="s">
        <v>5</v>
      </c>
      <c r="D1621" s="13" t="s">
        <v>109</v>
      </c>
      <c r="E1621" s="16" t="n">
        <v>576.76</v>
      </c>
      <c r="F1621" s="7" t="n">
        <v>2</v>
      </c>
      <c r="G1621" s="5" t="n">
        <v>1200</v>
      </c>
    </row>
    <row r="1622" customFormat="false" ht="15" hidden="false" customHeight="false" outlineLevel="0" collapsed="false">
      <c r="A1622" s="13" t="s">
        <v>107</v>
      </c>
      <c r="B1622" s="13" t="s">
        <v>43</v>
      </c>
      <c r="C1622" s="13" t="s">
        <v>5</v>
      </c>
      <c r="D1622" s="13" t="s">
        <v>1174</v>
      </c>
      <c r="E1622" s="16" t="n">
        <v>97</v>
      </c>
      <c r="F1622" s="7" t="n">
        <v>10</v>
      </c>
      <c r="G1622" s="5" t="n">
        <v>1200</v>
      </c>
    </row>
    <row r="1623" customFormat="false" ht="15" hidden="false" customHeight="false" outlineLevel="0" collapsed="false">
      <c r="A1623" s="13" t="s">
        <v>177</v>
      </c>
      <c r="B1623" s="13" t="s">
        <v>43</v>
      </c>
      <c r="C1623" s="13" t="s">
        <v>5</v>
      </c>
      <c r="D1623" s="13" t="s">
        <v>743</v>
      </c>
      <c r="E1623" s="16" t="n">
        <v>579.5</v>
      </c>
      <c r="F1623" s="7" t="n">
        <v>2</v>
      </c>
      <c r="G1623" s="5" t="n">
        <v>1200</v>
      </c>
    </row>
    <row r="1624" customFormat="false" ht="15" hidden="false" customHeight="false" outlineLevel="0" collapsed="false">
      <c r="A1624" s="13" t="s">
        <v>54</v>
      </c>
      <c r="B1624" s="13" t="s">
        <v>43</v>
      </c>
      <c r="C1624" s="13" t="s">
        <v>5</v>
      </c>
      <c r="D1624" s="13" t="s">
        <v>1175</v>
      </c>
      <c r="E1624" s="16" t="n">
        <v>573.035</v>
      </c>
      <c r="F1624" s="7" t="n">
        <v>2</v>
      </c>
      <c r="G1624" s="5" t="n">
        <v>1100</v>
      </c>
    </row>
    <row r="1625" customFormat="false" ht="15" hidden="false" customHeight="false" outlineLevel="0" collapsed="false">
      <c r="A1625" s="13" t="s">
        <v>153</v>
      </c>
      <c r="B1625" s="13" t="s">
        <v>43</v>
      </c>
      <c r="C1625" s="13" t="s">
        <v>5</v>
      </c>
      <c r="D1625" s="13" t="s">
        <v>1176</v>
      </c>
      <c r="E1625" s="16" t="n">
        <v>382</v>
      </c>
      <c r="F1625" s="7" t="n">
        <v>2</v>
      </c>
      <c r="G1625" s="5" t="n">
        <v>1100</v>
      </c>
    </row>
    <row r="1626" customFormat="false" ht="15" hidden="false" customHeight="false" outlineLevel="0" collapsed="false">
      <c r="A1626" s="13" t="s">
        <v>186</v>
      </c>
      <c r="B1626" s="13" t="s">
        <v>43</v>
      </c>
      <c r="C1626" s="13" t="s">
        <v>4</v>
      </c>
      <c r="D1626" s="13" t="s">
        <v>1177</v>
      </c>
      <c r="E1626" s="16" t="n">
        <v>350.3</v>
      </c>
      <c r="F1626" s="7" t="n">
        <v>2</v>
      </c>
      <c r="G1626" s="5" t="n">
        <v>1100</v>
      </c>
    </row>
    <row r="1627" customFormat="false" ht="15" hidden="false" customHeight="false" outlineLevel="0" collapsed="false">
      <c r="A1627" s="13" t="s">
        <v>50</v>
      </c>
      <c r="B1627" s="13" t="s">
        <v>43</v>
      </c>
      <c r="C1627" s="13" t="s">
        <v>4</v>
      </c>
      <c r="D1627" s="13" t="s">
        <v>1178</v>
      </c>
      <c r="E1627" s="16" t="n">
        <v>535.275</v>
      </c>
      <c r="F1627" s="7" t="n">
        <v>2</v>
      </c>
      <c r="G1627" s="5" t="n">
        <v>1100</v>
      </c>
    </row>
    <row r="1628" customFormat="false" ht="15" hidden="false" customHeight="false" outlineLevel="0" collapsed="false">
      <c r="A1628" s="13" t="s">
        <v>45</v>
      </c>
      <c r="B1628" s="13" t="s">
        <v>43</v>
      </c>
      <c r="C1628" s="13" t="s">
        <v>4</v>
      </c>
      <c r="D1628" s="13" t="s">
        <v>113</v>
      </c>
      <c r="E1628" s="16" t="n">
        <v>530.53</v>
      </c>
      <c r="F1628" s="7" t="n">
        <v>2</v>
      </c>
      <c r="G1628" s="5" t="n">
        <v>1100</v>
      </c>
    </row>
    <row r="1629" customFormat="false" ht="15" hidden="false" customHeight="false" outlineLevel="0" collapsed="false">
      <c r="A1629" s="13" t="s">
        <v>50</v>
      </c>
      <c r="B1629" s="13" t="s">
        <v>43</v>
      </c>
      <c r="C1629" s="13" t="s">
        <v>4</v>
      </c>
      <c r="D1629" s="13" t="s">
        <v>1179</v>
      </c>
      <c r="E1629" s="16" t="n">
        <v>530</v>
      </c>
      <c r="F1629" s="7" t="n">
        <v>2</v>
      </c>
      <c r="G1629" s="5" t="n">
        <v>1100</v>
      </c>
    </row>
    <row r="1630" customFormat="false" ht="15" hidden="false" customHeight="false" outlineLevel="0" collapsed="false">
      <c r="A1630" s="13" t="s">
        <v>79</v>
      </c>
      <c r="B1630" s="13" t="s">
        <v>43</v>
      </c>
      <c r="C1630" s="13" t="s">
        <v>4</v>
      </c>
      <c r="D1630" s="13" t="s">
        <v>1180</v>
      </c>
      <c r="E1630" s="16" t="n">
        <v>1072.8</v>
      </c>
      <c r="F1630" s="7" t="n">
        <v>1</v>
      </c>
      <c r="G1630" s="5" t="n">
        <v>1100</v>
      </c>
    </row>
    <row r="1631" customFormat="false" ht="15" hidden="false" customHeight="false" outlineLevel="0" collapsed="false">
      <c r="A1631" s="13" t="s">
        <v>50</v>
      </c>
      <c r="B1631" s="13" t="s">
        <v>43</v>
      </c>
      <c r="C1631" s="13" t="s">
        <v>4</v>
      </c>
      <c r="D1631" s="13" t="s">
        <v>1017</v>
      </c>
      <c r="E1631" s="16" t="n">
        <v>557.07</v>
      </c>
      <c r="F1631" s="7" t="n">
        <v>2</v>
      </c>
      <c r="G1631" s="5" t="n">
        <v>1100</v>
      </c>
    </row>
    <row r="1632" customFormat="false" ht="15" hidden="false" customHeight="false" outlineLevel="0" collapsed="false">
      <c r="A1632" s="13" t="s">
        <v>79</v>
      </c>
      <c r="B1632" s="13" t="s">
        <v>43</v>
      </c>
      <c r="C1632" s="13" t="s">
        <v>4</v>
      </c>
      <c r="D1632" s="13" t="s">
        <v>1181</v>
      </c>
      <c r="E1632" s="16" t="n">
        <v>372.413333333333</v>
      </c>
      <c r="F1632" s="7" t="n">
        <v>2</v>
      </c>
      <c r="G1632" s="5" t="n">
        <v>1100</v>
      </c>
    </row>
    <row r="1633" customFormat="false" ht="15" hidden="false" customHeight="false" outlineLevel="0" collapsed="false">
      <c r="A1633" s="13" t="s">
        <v>79</v>
      </c>
      <c r="B1633" s="13" t="s">
        <v>43</v>
      </c>
      <c r="C1633" s="13" t="s">
        <v>3</v>
      </c>
      <c r="D1633" s="13" t="s">
        <v>1182</v>
      </c>
      <c r="E1633" s="16" t="n">
        <v>531</v>
      </c>
      <c r="F1633" s="7" t="n">
        <v>2</v>
      </c>
      <c r="G1633" s="5" t="n">
        <v>1100</v>
      </c>
    </row>
    <row r="1634" customFormat="false" ht="15" hidden="false" customHeight="false" outlineLevel="0" collapsed="false">
      <c r="A1634" s="13" t="s">
        <v>50</v>
      </c>
      <c r="B1634" s="13" t="s">
        <v>43</v>
      </c>
      <c r="C1634" s="13" t="s">
        <v>4</v>
      </c>
      <c r="D1634" s="13" t="s">
        <v>453</v>
      </c>
      <c r="E1634" s="16" t="n">
        <v>1110.55</v>
      </c>
      <c r="F1634" s="7" t="n">
        <v>1</v>
      </c>
      <c r="G1634" s="5" t="n">
        <v>1100</v>
      </c>
    </row>
    <row r="1635" customFormat="false" ht="15" hidden="false" customHeight="false" outlineLevel="0" collapsed="false">
      <c r="A1635" s="13" t="s">
        <v>42</v>
      </c>
      <c r="B1635" s="13" t="s">
        <v>43</v>
      </c>
      <c r="C1635" s="13" t="s">
        <v>5</v>
      </c>
      <c r="D1635" s="13" t="s">
        <v>1183</v>
      </c>
      <c r="E1635" s="16" t="n">
        <v>356.55</v>
      </c>
      <c r="F1635" s="7" t="n">
        <v>2</v>
      </c>
      <c r="G1635" s="5" t="n">
        <v>1100</v>
      </c>
    </row>
    <row r="1636" customFormat="false" ht="15" hidden="false" customHeight="false" outlineLevel="0" collapsed="false">
      <c r="A1636" s="13" t="s">
        <v>153</v>
      </c>
      <c r="B1636" s="13" t="s">
        <v>43</v>
      </c>
      <c r="C1636" s="13" t="s">
        <v>5</v>
      </c>
      <c r="D1636" s="13" t="s">
        <v>1184</v>
      </c>
      <c r="E1636" s="16" t="n">
        <v>355</v>
      </c>
      <c r="F1636" s="7" t="n">
        <v>2</v>
      </c>
      <c r="G1636" s="5" t="n">
        <v>1100</v>
      </c>
    </row>
    <row r="1637" customFormat="false" ht="15" hidden="false" customHeight="false" outlineLevel="0" collapsed="false">
      <c r="A1637" s="13" t="s">
        <v>124</v>
      </c>
      <c r="B1637" s="13" t="s">
        <v>43</v>
      </c>
      <c r="C1637" s="13" t="s">
        <v>5</v>
      </c>
      <c r="D1637" s="13" t="s">
        <v>747</v>
      </c>
      <c r="E1637" s="16" t="n">
        <v>532.85</v>
      </c>
      <c r="F1637" s="7" t="n">
        <v>2</v>
      </c>
      <c r="G1637" s="5" t="n">
        <v>1100</v>
      </c>
    </row>
    <row r="1638" customFormat="false" ht="15" hidden="false" customHeight="false" outlineLevel="0" collapsed="false">
      <c r="A1638" s="13" t="s">
        <v>153</v>
      </c>
      <c r="B1638" s="13" t="s">
        <v>43</v>
      </c>
      <c r="C1638" s="13" t="s">
        <v>5</v>
      </c>
      <c r="D1638" s="13" t="s">
        <v>993</v>
      </c>
      <c r="E1638" s="16" t="n">
        <v>533.225</v>
      </c>
      <c r="F1638" s="7" t="n">
        <v>2</v>
      </c>
      <c r="G1638" s="5" t="n">
        <v>1100</v>
      </c>
    </row>
    <row r="1639" customFormat="false" ht="15" hidden="false" customHeight="false" outlineLevel="0" collapsed="false">
      <c r="A1639" s="13" t="s">
        <v>315</v>
      </c>
      <c r="B1639" s="13" t="s">
        <v>43</v>
      </c>
      <c r="C1639" s="13" t="s">
        <v>5</v>
      </c>
      <c r="D1639" s="13" t="s">
        <v>554</v>
      </c>
      <c r="E1639" s="16" t="n">
        <v>355</v>
      </c>
      <c r="F1639" s="7" t="n">
        <v>2</v>
      </c>
      <c r="G1639" s="5" t="n">
        <v>1100</v>
      </c>
    </row>
    <row r="1640" customFormat="false" ht="15" hidden="false" customHeight="false" outlineLevel="0" collapsed="false">
      <c r="A1640" s="13" t="s">
        <v>105</v>
      </c>
      <c r="B1640" s="13" t="s">
        <v>43</v>
      </c>
      <c r="C1640" s="13" t="s">
        <v>5</v>
      </c>
      <c r="D1640" s="13" t="s">
        <v>1185</v>
      </c>
      <c r="E1640" s="16" t="n">
        <v>528.52</v>
      </c>
      <c r="F1640" s="7" t="n">
        <v>2</v>
      </c>
      <c r="G1640" s="5" t="n">
        <v>1100</v>
      </c>
    </row>
    <row r="1641" customFormat="false" ht="15" hidden="false" customHeight="false" outlineLevel="0" collapsed="false">
      <c r="A1641" s="13" t="s">
        <v>92</v>
      </c>
      <c r="B1641" s="13" t="s">
        <v>43</v>
      </c>
      <c r="C1641" s="13" t="s">
        <v>5</v>
      </c>
      <c r="D1641" s="13" t="s">
        <v>720</v>
      </c>
      <c r="E1641" s="16" t="n">
        <v>526.02</v>
      </c>
      <c r="F1641" s="7" t="n">
        <v>2</v>
      </c>
      <c r="G1641" s="5" t="n">
        <v>1100</v>
      </c>
    </row>
    <row r="1642" customFormat="false" ht="15" hidden="false" customHeight="false" outlineLevel="0" collapsed="false">
      <c r="A1642" s="13" t="s">
        <v>153</v>
      </c>
      <c r="B1642" s="13" t="s">
        <v>43</v>
      </c>
      <c r="C1642" s="13" t="s">
        <v>4</v>
      </c>
      <c r="D1642" s="13" t="s">
        <v>1186</v>
      </c>
      <c r="E1642" s="16" t="n">
        <v>361.31</v>
      </c>
      <c r="F1642" s="7" t="n">
        <v>2</v>
      </c>
      <c r="G1642" s="5" t="n">
        <v>1100</v>
      </c>
    </row>
    <row r="1643" customFormat="false" ht="15" hidden="false" customHeight="false" outlineLevel="0" collapsed="false">
      <c r="A1643" s="13" t="s">
        <v>42</v>
      </c>
      <c r="B1643" s="13" t="s">
        <v>43</v>
      </c>
      <c r="C1643" s="13" t="s">
        <v>4</v>
      </c>
      <c r="D1643" s="13" t="s">
        <v>1187</v>
      </c>
      <c r="E1643" s="16" t="n">
        <v>273</v>
      </c>
      <c r="F1643" s="7" t="n">
        <v>2</v>
      </c>
      <c r="G1643" s="5" t="n">
        <v>1100</v>
      </c>
    </row>
    <row r="1644" customFormat="false" ht="15" hidden="false" customHeight="false" outlineLevel="0" collapsed="false">
      <c r="A1644" s="13" t="s">
        <v>42</v>
      </c>
      <c r="B1644" s="13" t="s">
        <v>43</v>
      </c>
      <c r="C1644" s="13" t="s">
        <v>4</v>
      </c>
      <c r="D1644" s="13" t="s">
        <v>47</v>
      </c>
      <c r="E1644" s="16" t="n">
        <v>574.76</v>
      </c>
      <c r="F1644" s="7" t="n">
        <v>2</v>
      </c>
      <c r="G1644" s="5" t="n">
        <v>1100</v>
      </c>
    </row>
    <row r="1645" customFormat="false" ht="15" hidden="false" customHeight="false" outlineLevel="0" collapsed="false">
      <c r="A1645" s="13" t="s">
        <v>59</v>
      </c>
      <c r="B1645" s="13" t="s">
        <v>43</v>
      </c>
      <c r="C1645" s="13" t="s">
        <v>4</v>
      </c>
      <c r="D1645" s="13" t="s">
        <v>1188</v>
      </c>
      <c r="E1645" s="16" t="n">
        <v>156.004285714286</v>
      </c>
      <c r="F1645" s="7" t="n">
        <v>5</v>
      </c>
      <c r="G1645" s="5" t="n">
        <v>1100</v>
      </c>
    </row>
    <row r="1646" customFormat="false" ht="15" hidden="false" customHeight="false" outlineLevel="0" collapsed="false">
      <c r="A1646" s="13" t="s">
        <v>42</v>
      </c>
      <c r="B1646" s="13" t="s">
        <v>43</v>
      </c>
      <c r="C1646" s="13" t="s">
        <v>4</v>
      </c>
      <c r="D1646" s="13" t="s">
        <v>1189</v>
      </c>
      <c r="E1646" s="16" t="n">
        <v>571.12</v>
      </c>
      <c r="F1646" s="7" t="n">
        <v>2</v>
      </c>
      <c r="G1646" s="5" t="n">
        <v>1100</v>
      </c>
    </row>
    <row r="1647" customFormat="false" ht="15" hidden="false" customHeight="false" outlineLevel="0" collapsed="false">
      <c r="A1647" s="13" t="s">
        <v>490</v>
      </c>
      <c r="B1647" s="13" t="s">
        <v>43</v>
      </c>
      <c r="C1647" s="13" t="s">
        <v>5</v>
      </c>
      <c r="D1647" s="13" t="s">
        <v>1190</v>
      </c>
      <c r="E1647" s="16" t="n">
        <v>189</v>
      </c>
      <c r="F1647" s="7" t="n">
        <v>5</v>
      </c>
      <c r="G1647" s="5" t="n">
        <v>1100</v>
      </c>
    </row>
    <row r="1648" customFormat="false" ht="15" hidden="false" customHeight="false" outlineLevel="0" collapsed="false">
      <c r="A1648" s="13" t="s">
        <v>45</v>
      </c>
      <c r="B1648" s="13" t="s">
        <v>43</v>
      </c>
      <c r="C1648" s="13" t="s">
        <v>5</v>
      </c>
      <c r="D1648" s="13" t="s">
        <v>1191</v>
      </c>
      <c r="E1648" s="16" t="n">
        <v>559</v>
      </c>
      <c r="F1648" s="7" t="n">
        <v>2</v>
      </c>
      <c r="G1648" s="5" t="n">
        <v>1100</v>
      </c>
    </row>
    <row r="1649" customFormat="false" ht="15" hidden="false" customHeight="false" outlineLevel="0" collapsed="false">
      <c r="A1649" s="13" t="s">
        <v>193</v>
      </c>
      <c r="B1649" s="13" t="s">
        <v>43</v>
      </c>
      <c r="C1649" s="13" t="s">
        <v>5</v>
      </c>
      <c r="D1649" s="13" t="s">
        <v>370</v>
      </c>
      <c r="E1649" s="16" t="n">
        <v>552.09</v>
      </c>
      <c r="F1649" s="7" t="n">
        <v>2</v>
      </c>
      <c r="G1649" s="5" t="n">
        <v>1100</v>
      </c>
    </row>
    <row r="1650" customFormat="false" ht="15" hidden="false" customHeight="false" outlineLevel="0" collapsed="false">
      <c r="A1650" s="13" t="s">
        <v>121</v>
      </c>
      <c r="B1650" s="13" t="s">
        <v>43</v>
      </c>
      <c r="C1650" s="13" t="s">
        <v>5</v>
      </c>
      <c r="D1650" s="13" t="s">
        <v>1192</v>
      </c>
      <c r="E1650" s="16" t="n">
        <v>138</v>
      </c>
      <c r="F1650" s="7" t="n">
        <v>5</v>
      </c>
      <c r="G1650" s="5" t="n">
        <v>1100</v>
      </c>
    </row>
    <row r="1651" customFormat="false" ht="15" hidden="false" customHeight="false" outlineLevel="0" collapsed="false">
      <c r="A1651" s="13" t="s">
        <v>69</v>
      </c>
      <c r="B1651" s="13" t="s">
        <v>43</v>
      </c>
      <c r="C1651" s="13" t="s">
        <v>5</v>
      </c>
      <c r="D1651" s="13" t="s">
        <v>1193</v>
      </c>
      <c r="E1651" s="16" t="n">
        <v>1098.85</v>
      </c>
      <c r="F1651" s="7" t="n">
        <v>1</v>
      </c>
      <c r="G1651" s="5" t="n">
        <v>1100</v>
      </c>
    </row>
    <row r="1652" customFormat="false" ht="15" hidden="false" customHeight="false" outlineLevel="0" collapsed="false">
      <c r="A1652" s="13" t="s">
        <v>79</v>
      </c>
      <c r="B1652" s="13" t="s">
        <v>43</v>
      </c>
      <c r="C1652" s="13" t="s">
        <v>5</v>
      </c>
      <c r="D1652" s="13" t="s">
        <v>1082</v>
      </c>
      <c r="E1652" s="16" t="n">
        <v>383.13</v>
      </c>
      <c r="F1652" s="7" t="n">
        <v>2</v>
      </c>
      <c r="G1652" s="5" t="n">
        <v>1100</v>
      </c>
    </row>
    <row r="1653" customFormat="false" ht="15" hidden="false" customHeight="false" outlineLevel="0" collapsed="false">
      <c r="A1653" s="13" t="s">
        <v>42</v>
      </c>
      <c r="B1653" s="13" t="s">
        <v>43</v>
      </c>
      <c r="C1653" s="13" t="s">
        <v>5</v>
      </c>
      <c r="D1653" s="13" t="s">
        <v>1194</v>
      </c>
      <c r="E1653" s="16" t="n">
        <v>1098.85</v>
      </c>
      <c r="F1653" s="7" t="n">
        <v>1</v>
      </c>
      <c r="G1653" s="5" t="n">
        <v>1100</v>
      </c>
    </row>
    <row r="1654" customFormat="false" ht="15" hidden="false" customHeight="false" outlineLevel="0" collapsed="false">
      <c r="A1654" s="13" t="s">
        <v>61</v>
      </c>
      <c r="B1654" s="13" t="s">
        <v>43</v>
      </c>
      <c r="C1654" s="13" t="s">
        <v>5</v>
      </c>
      <c r="D1654" s="13" t="s">
        <v>1195</v>
      </c>
      <c r="E1654" s="16" t="n">
        <v>362.24</v>
      </c>
      <c r="F1654" s="7" t="n">
        <v>2</v>
      </c>
      <c r="G1654" s="5" t="n">
        <v>1100</v>
      </c>
    </row>
    <row r="1655" customFormat="false" ht="15" hidden="false" customHeight="false" outlineLevel="0" collapsed="false">
      <c r="A1655" s="13" t="s">
        <v>61</v>
      </c>
      <c r="B1655" s="13" t="s">
        <v>43</v>
      </c>
      <c r="C1655" s="13" t="s">
        <v>5</v>
      </c>
      <c r="D1655" s="13" t="s">
        <v>1196</v>
      </c>
      <c r="E1655" s="16" t="n">
        <v>569</v>
      </c>
      <c r="F1655" s="7" t="n">
        <v>2</v>
      </c>
      <c r="G1655" s="5" t="n">
        <v>1100</v>
      </c>
    </row>
    <row r="1656" customFormat="false" ht="15" hidden="false" customHeight="false" outlineLevel="0" collapsed="false">
      <c r="A1656" s="13" t="s">
        <v>107</v>
      </c>
      <c r="B1656" s="13" t="s">
        <v>183</v>
      </c>
      <c r="C1656" s="13" t="s">
        <v>5</v>
      </c>
      <c r="D1656" s="13" t="s">
        <v>1197</v>
      </c>
      <c r="E1656" s="16" t="n">
        <v>285.725</v>
      </c>
      <c r="F1656" s="7" t="n">
        <v>2</v>
      </c>
      <c r="G1656" s="5" t="n">
        <v>1100</v>
      </c>
    </row>
    <row r="1657" customFormat="false" ht="15" hidden="false" customHeight="false" outlineLevel="0" collapsed="false">
      <c r="A1657" s="13" t="s">
        <v>153</v>
      </c>
      <c r="B1657" s="13" t="s">
        <v>43</v>
      </c>
      <c r="C1657" s="13" t="s">
        <v>5</v>
      </c>
      <c r="D1657" s="13" t="s">
        <v>291</v>
      </c>
      <c r="E1657" s="16" t="n">
        <v>379.86</v>
      </c>
      <c r="F1657" s="7" t="n">
        <v>2</v>
      </c>
      <c r="G1657" s="5" t="n">
        <v>1100</v>
      </c>
    </row>
    <row r="1658" customFormat="false" ht="15" hidden="false" customHeight="false" outlineLevel="0" collapsed="false">
      <c r="A1658" s="13" t="s">
        <v>153</v>
      </c>
      <c r="B1658" s="13" t="s">
        <v>43</v>
      </c>
      <c r="C1658" s="13" t="s">
        <v>5</v>
      </c>
      <c r="D1658" s="13" t="s">
        <v>1198</v>
      </c>
      <c r="E1658" s="16" t="n">
        <v>539.99</v>
      </c>
      <c r="F1658" s="7" t="n">
        <v>2</v>
      </c>
      <c r="G1658" s="5" t="n">
        <v>1100</v>
      </c>
    </row>
    <row r="1659" customFormat="false" ht="15" hidden="false" customHeight="false" outlineLevel="0" collapsed="false">
      <c r="A1659" s="13" t="s">
        <v>92</v>
      </c>
      <c r="B1659" s="13" t="s">
        <v>43</v>
      </c>
      <c r="C1659" s="13" t="s">
        <v>5</v>
      </c>
      <c r="D1659" s="13" t="s">
        <v>1199</v>
      </c>
      <c r="E1659" s="16" t="n">
        <v>540</v>
      </c>
      <c r="F1659" s="7" t="n">
        <v>2</v>
      </c>
      <c r="G1659" s="5" t="n">
        <v>1100</v>
      </c>
    </row>
    <row r="1660" customFormat="false" ht="15" hidden="false" customHeight="false" outlineLevel="0" collapsed="false">
      <c r="A1660" s="13" t="s">
        <v>61</v>
      </c>
      <c r="B1660" s="13" t="s">
        <v>183</v>
      </c>
      <c r="C1660" s="13" t="s">
        <v>5</v>
      </c>
      <c r="D1660" s="13" t="s">
        <v>1200</v>
      </c>
      <c r="E1660" s="16" t="n">
        <v>1080.22</v>
      </c>
      <c r="F1660" s="7" t="n">
        <v>1</v>
      </c>
      <c r="G1660" s="5" t="n">
        <v>1100</v>
      </c>
    </row>
    <row r="1661" customFormat="false" ht="15" hidden="false" customHeight="false" outlineLevel="0" collapsed="false">
      <c r="A1661" s="13" t="s">
        <v>42</v>
      </c>
      <c r="B1661" s="13" t="s">
        <v>43</v>
      </c>
      <c r="C1661" s="13" t="s">
        <v>5</v>
      </c>
      <c r="D1661" s="13" t="s">
        <v>925</v>
      </c>
      <c r="E1661" s="16" t="n">
        <v>540.34</v>
      </c>
      <c r="F1661" s="7" t="n">
        <v>2</v>
      </c>
      <c r="G1661" s="5" t="n">
        <v>1100</v>
      </c>
    </row>
    <row r="1662" customFormat="false" ht="15" hidden="false" customHeight="false" outlineLevel="0" collapsed="false">
      <c r="A1662" s="13" t="s">
        <v>630</v>
      </c>
      <c r="B1662" s="13" t="s">
        <v>43</v>
      </c>
      <c r="C1662" s="13" t="s">
        <v>5</v>
      </c>
      <c r="D1662" s="13" t="s">
        <v>631</v>
      </c>
      <c r="E1662" s="16" t="n">
        <v>191.09</v>
      </c>
      <c r="F1662" s="7" t="n">
        <v>5</v>
      </c>
      <c r="G1662" s="5" t="n">
        <v>1100</v>
      </c>
    </row>
    <row r="1663" customFormat="false" ht="15" hidden="false" customHeight="false" outlineLevel="0" collapsed="false">
      <c r="A1663" s="13" t="s">
        <v>69</v>
      </c>
      <c r="B1663" s="13" t="s">
        <v>43</v>
      </c>
      <c r="C1663" s="13" t="s">
        <v>5</v>
      </c>
      <c r="D1663" s="13" t="s">
        <v>1201</v>
      </c>
      <c r="E1663" s="16" t="n">
        <v>563.72</v>
      </c>
      <c r="F1663" s="7" t="n">
        <v>2</v>
      </c>
      <c r="G1663" s="5" t="n">
        <v>1100</v>
      </c>
    </row>
    <row r="1664" customFormat="false" ht="15" hidden="false" customHeight="false" outlineLevel="0" collapsed="false">
      <c r="A1664" s="13" t="s">
        <v>329</v>
      </c>
      <c r="B1664" s="13" t="s">
        <v>43</v>
      </c>
      <c r="C1664" s="13" t="s">
        <v>5</v>
      </c>
      <c r="D1664" s="13" t="s">
        <v>1202</v>
      </c>
      <c r="E1664" s="16" t="n">
        <v>535.37</v>
      </c>
      <c r="F1664" s="7" t="n">
        <v>2</v>
      </c>
      <c r="G1664" s="5" t="n">
        <v>1100</v>
      </c>
    </row>
    <row r="1665" customFormat="false" ht="15" hidden="false" customHeight="false" outlineLevel="0" collapsed="false">
      <c r="A1665" s="13" t="s">
        <v>124</v>
      </c>
      <c r="B1665" s="13" t="s">
        <v>43</v>
      </c>
      <c r="C1665" s="13" t="s">
        <v>5</v>
      </c>
      <c r="D1665" s="13" t="s">
        <v>1203</v>
      </c>
      <c r="E1665" s="16" t="n">
        <v>538.96</v>
      </c>
      <c r="F1665" s="7" t="n">
        <v>2</v>
      </c>
      <c r="G1665" s="5" t="n">
        <v>1100</v>
      </c>
    </row>
    <row r="1666" customFormat="false" ht="15" hidden="false" customHeight="false" outlineLevel="0" collapsed="false">
      <c r="A1666" s="13" t="s">
        <v>97</v>
      </c>
      <c r="B1666" s="13" t="s">
        <v>98</v>
      </c>
      <c r="C1666" s="13" t="s">
        <v>3</v>
      </c>
      <c r="D1666" s="13" t="s">
        <v>1204</v>
      </c>
      <c r="E1666" s="16" t="n">
        <v>212.574</v>
      </c>
      <c r="F1666" s="7" t="n">
        <v>5</v>
      </c>
      <c r="G1666" s="5" t="n">
        <v>1100</v>
      </c>
    </row>
    <row r="1667" customFormat="false" ht="15" hidden="false" customHeight="false" outlineLevel="0" collapsed="false">
      <c r="A1667" s="13" t="s">
        <v>143</v>
      </c>
      <c r="B1667" s="13" t="s">
        <v>85</v>
      </c>
      <c r="C1667" s="13" t="s">
        <v>3</v>
      </c>
      <c r="D1667" s="13" t="s">
        <v>1205</v>
      </c>
      <c r="E1667" s="16" t="n">
        <v>1088.48</v>
      </c>
      <c r="F1667" s="7" t="n">
        <v>1</v>
      </c>
      <c r="G1667" s="5" t="n">
        <v>1100</v>
      </c>
    </row>
    <row r="1668" customFormat="false" ht="15" hidden="false" customHeight="false" outlineLevel="0" collapsed="false">
      <c r="A1668" s="13" t="s">
        <v>179</v>
      </c>
      <c r="B1668" s="13" t="s">
        <v>180</v>
      </c>
      <c r="C1668" s="13" t="s">
        <v>3</v>
      </c>
      <c r="D1668" s="13" t="s">
        <v>1206</v>
      </c>
      <c r="E1668" s="16" t="n">
        <v>229</v>
      </c>
      <c r="F1668" s="7" t="n">
        <v>5</v>
      </c>
      <c r="G1668" s="5" t="n">
        <v>1100</v>
      </c>
    </row>
    <row r="1669" customFormat="false" ht="15" hidden="false" customHeight="false" outlineLevel="0" collapsed="false">
      <c r="A1669" s="13" t="s">
        <v>179</v>
      </c>
      <c r="B1669" s="13" t="s">
        <v>85</v>
      </c>
      <c r="C1669" s="13" t="s">
        <v>3</v>
      </c>
      <c r="D1669" s="13" t="s">
        <v>1207</v>
      </c>
      <c r="E1669" s="16" t="n">
        <v>159</v>
      </c>
      <c r="F1669" s="7" t="n">
        <v>5</v>
      </c>
      <c r="G1669" s="5" t="n">
        <v>1100</v>
      </c>
    </row>
    <row r="1670" customFormat="false" ht="15" hidden="false" customHeight="false" outlineLevel="0" collapsed="false">
      <c r="A1670" s="13" t="s">
        <v>161</v>
      </c>
      <c r="B1670" s="13" t="s">
        <v>43</v>
      </c>
      <c r="C1670" s="13" t="s">
        <v>3</v>
      </c>
      <c r="D1670" s="13" t="s">
        <v>171</v>
      </c>
      <c r="E1670" s="16" t="n">
        <v>271.59</v>
      </c>
      <c r="F1670" s="7" t="n">
        <v>2</v>
      </c>
      <c r="G1670" s="5" t="n">
        <v>1100</v>
      </c>
    </row>
    <row r="1671" customFormat="false" ht="15" hidden="false" customHeight="false" outlineLevel="0" collapsed="false">
      <c r="A1671" s="13" t="s">
        <v>329</v>
      </c>
      <c r="B1671" s="13" t="s">
        <v>43</v>
      </c>
      <c r="C1671" s="13" t="s">
        <v>4</v>
      </c>
      <c r="D1671" s="13" t="s">
        <v>1208</v>
      </c>
      <c r="E1671" s="16" t="n">
        <v>551.08</v>
      </c>
      <c r="F1671" s="7" t="n">
        <v>2</v>
      </c>
      <c r="G1671" s="5" t="n">
        <v>1100</v>
      </c>
    </row>
    <row r="1672" customFormat="false" ht="15" hidden="false" customHeight="false" outlineLevel="0" collapsed="false">
      <c r="A1672" s="13" t="s">
        <v>179</v>
      </c>
      <c r="B1672" s="13" t="s">
        <v>180</v>
      </c>
      <c r="C1672" s="13" t="s">
        <v>3</v>
      </c>
      <c r="D1672" s="13" t="s">
        <v>1209</v>
      </c>
      <c r="E1672" s="16" t="n">
        <v>182.333333333333</v>
      </c>
      <c r="F1672" s="7" t="n">
        <v>5</v>
      </c>
      <c r="G1672" s="5" t="n">
        <v>1100</v>
      </c>
    </row>
    <row r="1673" customFormat="false" ht="15" hidden="false" customHeight="false" outlineLevel="0" collapsed="false">
      <c r="A1673" s="13" t="s">
        <v>302</v>
      </c>
      <c r="B1673" s="13" t="s">
        <v>43</v>
      </c>
      <c r="C1673" s="13" t="s">
        <v>4</v>
      </c>
      <c r="D1673" s="13" t="s">
        <v>1210</v>
      </c>
      <c r="E1673" s="16" t="n">
        <v>539.47</v>
      </c>
      <c r="F1673" s="7" t="n">
        <v>2</v>
      </c>
      <c r="G1673" s="5" t="n">
        <v>1100</v>
      </c>
    </row>
    <row r="1674" customFormat="false" ht="15" hidden="false" customHeight="false" outlineLevel="0" collapsed="false">
      <c r="A1674" s="13" t="s">
        <v>153</v>
      </c>
      <c r="B1674" s="13" t="s">
        <v>43</v>
      </c>
      <c r="C1674" s="13" t="s">
        <v>5</v>
      </c>
      <c r="D1674" s="13" t="s">
        <v>1211</v>
      </c>
      <c r="E1674" s="16" t="n">
        <v>559.19</v>
      </c>
      <c r="F1674" s="7" t="n">
        <v>2</v>
      </c>
      <c r="G1674" s="5" t="n">
        <v>1100</v>
      </c>
    </row>
    <row r="1675" customFormat="false" ht="15" hidden="false" customHeight="false" outlineLevel="0" collapsed="false">
      <c r="A1675" s="13" t="s">
        <v>329</v>
      </c>
      <c r="B1675" s="13" t="s">
        <v>43</v>
      </c>
      <c r="C1675" s="13" t="s">
        <v>5</v>
      </c>
      <c r="D1675" s="13" t="s">
        <v>1212</v>
      </c>
      <c r="E1675" s="16" t="n">
        <v>271.52</v>
      </c>
      <c r="F1675" s="7" t="n">
        <v>2</v>
      </c>
      <c r="G1675" s="5" t="n">
        <v>1100</v>
      </c>
    </row>
    <row r="1676" customFormat="false" ht="15" hidden="false" customHeight="false" outlineLevel="0" collapsed="false">
      <c r="A1676" s="13" t="s">
        <v>103</v>
      </c>
      <c r="B1676" s="13" t="s">
        <v>43</v>
      </c>
      <c r="C1676" s="13" t="s">
        <v>5</v>
      </c>
      <c r="D1676" s="13" t="s">
        <v>511</v>
      </c>
      <c r="E1676" s="16" t="n">
        <v>180.48</v>
      </c>
      <c r="F1676" s="7" t="n">
        <v>5</v>
      </c>
      <c r="G1676" s="5" t="n">
        <v>1100</v>
      </c>
    </row>
    <row r="1677" customFormat="false" ht="15" hidden="false" customHeight="false" outlineLevel="0" collapsed="false">
      <c r="A1677" s="13" t="s">
        <v>50</v>
      </c>
      <c r="B1677" s="13" t="s">
        <v>43</v>
      </c>
      <c r="C1677" s="13" t="s">
        <v>5</v>
      </c>
      <c r="D1677" s="13" t="s">
        <v>95</v>
      </c>
      <c r="E1677" s="16" t="n">
        <v>517.99</v>
      </c>
      <c r="F1677" s="7" t="n">
        <v>2</v>
      </c>
      <c r="G1677" s="5" t="n">
        <v>1000</v>
      </c>
    </row>
    <row r="1678" customFormat="false" ht="15" hidden="false" customHeight="false" outlineLevel="0" collapsed="false">
      <c r="A1678" s="13" t="s">
        <v>42</v>
      </c>
      <c r="B1678" s="13" t="s">
        <v>43</v>
      </c>
      <c r="C1678" s="13" t="s">
        <v>5</v>
      </c>
      <c r="D1678" s="13" t="s">
        <v>137</v>
      </c>
      <c r="E1678" s="16" t="n">
        <v>1028.85</v>
      </c>
      <c r="F1678" s="7" t="n">
        <v>1</v>
      </c>
      <c r="G1678" s="5" t="n">
        <v>1000</v>
      </c>
    </row>
    <row r="1679" customFormat="false" ht="15" hidden="false" customHeight="false" outlineLevel="0" collapsed="false">
      <c r="A1679" s="13" t="s">
        <v>69</v>
      </c>
      <c r="B1679" s="13" t="s">
        <v>43</v>
      </c>
      <c r="C1679" s="13" t="s">
        <v>5</v>
      </c>
      <c r="D1679" s="13" t="s">
        <v>1213</v>
      </c>
      <c r="E1679" s="16" t="n">
        <v>1039.08</v>
      </c>
      <c r="F1679" s="7" t="n">
        <v>1</v>
      </c>
      <c r="G1679" s="5" t="n">
        <v>1000</v>
      </c>
    </row>
    <row r="1680" customFormat="false" ht="15" hidden="false" customHeight="false" outlineLevel="0" collapsed="false">
      <c r="A1680" s="13" t="s">
        <v>92</v>
      </c>
      <c r="B1680" s="13" t="s">
        <v>43</v>
      </c>
      <c r="C1680" s="13" t="s">
        <v>5</v>
      </c>
      <c r="D1680" s="13" t="s">
        <v>1214</v>
      </c>
      <c r="E1680" s="16" t="n">
        <v>523.8</v>
      </c>
      <c r="F1680" s="7" t="n">
        <v>2</v>
      </c>
      <c r="G1680" s="5" t="n">
        <v>1000</v>
      </c>
    </row>
    <row r="1681" customFormat="false" ht="15" hidden="false" customHeight="false" outlineLevel="0" collapsed="false">
      <c r="A1681" s="13" t="s">
        <v>61</v>
      </c>
      <c r="B1681" s="13" t="s">
        <v>43</v>
      </c>
      <c r="C1681" s="13" t="s">
        <v>5</v>
      </c>
      <c r="D1681" s="13" t="s">
        <v>1215</v>
      </c>
      <c r="E1681" s="16" t="n">
        <v>1047.12</v>
      </c>
      <c r="F1681" s="7" t="n">
        <v>1</v>
      </c>
      <c r="G1681" s="5" t="n">
        <v>1000</v>
      </c>
    </row>
    <row r="1682" customFormat="false" ht="15" hidden="false" customHeight="false" outlineLevel="0" collapsed="false">
      <c r="A1682" s="13" t="s">
        <v>229</v>
      </c>
      <c r="B1682" s="13" t="s">
        <v>43</v>
      </c>
      <c r="C1682" s="13" t="s">
        <v>5</v>
      </c>
      <c r="D1682" s="13" t="s">
        <v>1216</v>
      </c>
      <c r="E1682" s="16" t="n">
        <v>115.95</v>
      </c>
      <c r="F1682" s="7" t="n">
        <v>5</v>
      </c>
      <c r="G1682" s="5" t="n">
        <v>1000</v>
      </c>
    </row>
    <row r="1683" customFormat="false" ht="15" hidden="false" customHeight="false" outlineLevel="0" collapsed="false">
      <c r="A1683" s="13" t="s">
        <v>50</v>
      </c>
      <c r="B1683" s="13" t="s">
        <v>43</v>
      </c>
      <c r="C1683" s="13" t="s">
        <v>5</v>
      </c>
      <c r="D1683" s="13" t="s">
        <v>1217</v>
      </c>
      <c r="E1683" s="16" t="n">
        <v>520.99</v>
      </c>
      <c r="F1683" s="7" t="n">
        <v>2</v>
      </c>
      <c r="G1683" s="5" t="n">
        <v>1000</v>
      </c>
    </row>
    <row r="1684" customFormat="false" ht="15" hidden="false" customHeight="false" outlineLevel="0" collapsed="false">
      <c r="A1684" s="13" t="s">
        <v>54</v>
      </c>
      <c r="B1684" s="13" t="s">
        <v>43</v>
      </c>
      <c r="C1684" s="13" t="s">
        <v>5</v>
      </c>
      <c r="D1684" s="13" t="s">
        <v>1218</v>
      </c>
      <c r="E1684" s="16" t="n">
        <v>347.283333333333</v>
      </c>
      <c r="F1684" s="7" t="n">
        <v>2</v>
      </c>
      <c r="G1684" s="5" t="n">
        <v>1000</v>
      </c>
    </row>
    <row r="1685" customFormat="false" ht="15" hidden="false" customHeight="false" outlineLevel="0" collapsed="false">
      <c r="A1685" s="13" t="s">
        <v>61</v>
      </c>
      <c r="B1685" s="13" t="s">
        <v>43</v>
      </c>
      <c r="C1685" s="13" t="s">
        <v>5</v>
      </c>
      <c r="D1685" s="13" t="s">
        <v>800</v>
      </c>
      <c r="E1685" s="16" t="n">
        <v>1039.08</v>
      </c>
      <c r="F1685" s="7" t="n">
        <v>1</v>
      </c>
      <c r="G1685" s="5" t="n">
        <v>1000</v>
      </c>
    </row>
    <row r="1686" customFormat="false" ht="15" hidden="false" customHeight="false" outlineLevel="0" collapsed="false">
      <c r="A1686" s="13" t="s">
        <v>124</v>
      </c>
      <c r="B1686" s="13" t="s">
        <v>43</v>
      </c>
      <c r="C1686" s="13" t="s">
        <v>5</v>
      </c>
      <c r="D1686" s="13" t="s">
        <v>1203</v>
      </c>
      <c r="E1686" s="16" t="n">
        <v>524.13</v>
      </c>
      <c r="F1686" s="7" t="n">
        <v>2</v>
      </c>
      <c r="G1686" s="5" t="n">
        <v>1000</v>
      </c>
    </row>
    <row r="1687" customFormat="false" ht="15" hidden="false" customHeight="false" outlineLevel="0" collapsed="false">
      <c r="A1687" s="13" t="s">
        <v>153</v>
      </c>
      <c r="B1687" s="13" t="s">
        <v>43</v>
      </c>
      <c r="C1687" s="13" t="s">
        <v>4</v>
      </c>
      <c r="D1687" s="13" t="s">
        <v>1219</v>
      </c>
      <c r="E1687" s="16" t="n">
        <v>524.195</v>
      </c>
      <c r="F1687" s="7" t="n">
        <v>2</v>
      </c>
      <c r="G1687" s="5" t="n">
        <v>1000</v>
      </c>
    </row>
    <row r="1688" customFormat="false" ht="15" hidden="false" customHeight="false" outlineLevel="0" collapsed="false">
      <c r="A1688" s="13" t="s">
        <v>79</v>
      </c>
      <c r="B1688" s="13" t="s">
        <v>43</v>
      </c>
      <c r="C1688" s="13" t="s">
        <v>4</v>
      </c>
      <c r="D1688" s="13" t="s">
        <v>1220</v>
      </c>
      <c r="E1688" s="16" t="n">
        <v>1006.2</v>
      </c>
      <c r="F1688" s="7" t="n">
        <v>1</v>
      </c>
      <c r="G1688" s="5" t="n">
        <v>1000</v>
      </c>
    </row>
    <row r="1689" customFormat="false" ht="15" hidden="false" customHeight="false" outlineLevel="0" collapsed="false">
      <c r="A1689" s="13" t="s">
        <v>270</v>
      </c>
      <c r="B1689" s="13" t="s">
        <v>43</v>
      </c>
      <c r="C1689" s="13" t="s">
        <v>4</v>
      </c>
      <c r="D1689" s="13" t="s">
        <v>1221</v>
      </c>
      <c r="E1689" s="16" t="n">
        <v>332.376666666667</v>
      </c>
      <c r="F1689" s="7" t="n">
        <v>2</v>
      </c>
      <c r="G1689" s="5" t="n">
        <v>1000</v>
      </c>
    </row>
    <row r="1690" customFormat="false" ht="15" hidden="false" customHeight="false" outlineLevel="0" collapsed="false">
      <c r="A1690" s="13" t="s">
        <v>111</v>
      </c>
      <c r="B1690" s="13" t="s">
        <v>43</v>
      </c>
      <c r="C1690" s="13" t="s">
        <v>4</v>
      </c>
      <c r="D1690" s="13" t="s">
        <v>1222</v>
      </c>
      <c r="E1690" s="16" t="n">
        <v>508.44</v>
      </c>
      <c r="F1690" s="7" t="n">
        <v>2</v>
      </c>
      <c r="G1690" s="5" t="n">
        <v>1000</v>
      </c>
    </row>
    <row r="1691" customFormat="false" ht="15" hidden="false" customHeight="false" outlineLevel="0" collapsed="false">
      <c r="A1691" s="13" t="s">
        <v>92</v>
      </c>
      <c r="B1691" s="13" t="s">
        <v>43</v>
      </c>
      <c r="C1691" s="13" t="s">
        <v>4</v>
      </c>
      <c r="D1691" s="13" t="s">
        <v>1223</v>
      </c>
      <c r="E1691" s="16" t="n">
        <v>521.265</v>
      </c>
      <c r="F1691" s="7" t="n">
        <v>2</v>
      </c>
      <c r="G1691" s="5" t="n">
        <v>1000</v>
      </c>
    </row>
    <row r="1692" customFormat="false" ht="15" hidden="false" customHeight="false" outlineLevel="0" collapsed="false">
      <c r="A1692" s="13" t="s">
        <v>42</v>
      </c>
      <c r="B1692" s="13" t="s">
        <v>43</v>
      </c>
      <c r="C1692" s="13" t="s">
        <v>4</v>
      </c>
      <c r="D1692" s="13" t="s">
        <v>1224</v>
      </c>
      <c r="E1692" s="16" t="n">
        <v>521.55</v>
      </c>
      <c r="F1692" s="7" t="n">
        <v>2</v>
      </c>
      <c r="G1692" s="5" t="n">
        <v>1000</v>
      </c>
    </row>
    <row r="1693" customFormat="false" ht="15" hidden="false" customHeight="false" outlineLevel="0" collapsed="false">
      <c r="A1693" s="13" t="s">
        <v>50</v>
      </c>
      <c r="B1693" s="13" t="s">
        <v>43</v>
      </c>
      <c r="C1693" s="13" t="s">
        <v>4</v>
      </c>
      <c r="D1693" s="13" t="s">
        <v>644</v>
      </c>
      <c r="E1693" s="16" t="n">
        <v>515.14</v>
      </c>
      <c r="F1693" s="7" t="n">
        <v>2</v>
      </c>
      <c r="G1693" s="5" t="n">
        <v>1000</v>
      </c>
    </row>
    <row r="1694" customFormat="false" ht="15" hidden="false" customHeight="false" outlineLevel="0" collapsed="false">
      <c r="A1694" s="13" t="s">
        <v>50</v>
      </c>
      <c r="B1694" s="13" t="s">
        <v>43</v>
      </c>
      <c r="C1694" s="13" t="s">
        <v>5</v>
      </c>
      <c r="D1694" s="13" t="s">
        <v>1225</v>
      </c>
      <c r="E1694" s="16" t="n">
        <v>248.85</v>
      </c>
      <c r="F1694" s="7" t="n">
        <v>2</v>
      </c>
      <c r="G1694" s="5" t="n">
        <v>1000</v>
      </c>
    </row>
    <row r="1695" customFormat="false" ht="15" hidden="false" customHeight="false" outlineLevel="0" collapsed="false">
      <c r="A1695" s="13" t="s">
        <v>175</v>
      </c>
      <c r="B1695" s="13" t="s">
        <v>98</v>
      </c>
      <c r="C1695" s="13" t="s">
        <v>3</v>
      </c>
      <c r="D1695" s="13" t="s">
        <v>1226</v>
      </c>
      <c r="E1695" s="16" t="n">
        <v>341</v>
      </c>
      <c r="F1695" s="7" t="n">
        <v>2</v>
      </c>
      <c r="G1695" s="5" t="n">
        <v>1000</v>
      </c>
    </row>
    <row r="1696" customFormat="false" ht="15" hidden="false" customHeight="false" outlineLevel="0" collapsed="false">
      <c r="A1696" s="13" t="s">
        <v>191</v>
      </c>
      <c r="B1696" s="13" t="s">
        <v>85</v>
      </c>
      <c r="C1696" s="13" t="s">
        <v>3</v>
      </c>
      <c r="D1696" s="13" t="s">
        <v>1227</v>
      </c>
      <c r="E1696" s="16" t="n">
        <v>25.99</v>
      </c>
      <c r="F1696" s="7" t="n">
        <v>40</v>
      </c>
      <c r="G1696" s="5" t="n">
        <v>1000</v>
      </c>
    </row>
    <row r="1697" customFormat="false" ht="15" hidden="false" customHeight="false" outlineLevel="0" collapsed="false">
      <c r="A1697" s="13" t="s">
        <v>195</v>
      </c>
      <c r="B1697" s="13" t="s">
        <v>43</v>
      </c>
      <c r="C1697" s="13" t="s">
        <v>3</v>
      </c>
      <c r="D1697" s="13" t="s">
        <v>1228</v>
      </c>
      <c r="E1697" s="16" t="n">
        <v>514.13</v>
      </c>
      <c r="F1697" s="7" t="n">
        <v>2</v>
      </c>
      <c r="G1697" s="5" t="n">
        <v>1000</v>
      </c>
    </row>
    <row r="1698" customFormat="false" ht="15" hidden="false" customHeight="false" outlineLevel="0" collapsed="false">
      <c r="A1698" s="13" t="s">
        <v>302</v>
      </c>
      <c r="B1698" s="13" t="s">
        <v>43</v>
      </c>
      <c r="C1698" s="13" t="s">
        <v>3</v>
      </c>
      <c r="D1698" s="13" t="s">
        <v>1229</v>
      </c>
      <c r="E1698" s="16" t="n">
        <v>340.143333333333</v>
      </c>
      <c r="F1698" s="7" t="n">
        <v>2</v>
      </c>
      <c r="G1698" s="5" t="n">
        <v>1000</v>
      </c>
    </row>
    <row r="1699" customFormat="false" ht="15" hidden="false" customHeight="false" outlineLevel="0" collapsed="false">
      <c r="A1699" s="13" t="s">
        <v>72</v>
      </c>
      <c r="B1699" s="13" t="s">
        <v>43</v>
      </c>
      <c r="C1699" s="13" t="s">
        <v>5</v>
      </c>
      <c r="D1699" s="13" t="s">
        <v>1230</v>
      </c>
      <c r="E1699" s="16" t="n">
        <v>1049.14</v>
      </c>
      <c r="F1699" s="7" t="n">
        <v>1</v>
      </c>
      <c r="G1699" s="5" t="n">
        <v>1000</v>
      </c>
    </row>
    <row r="1700" customFormat="false" ht="15" hidden="false" customHeight="false" outlineLevel="0" collapsed="false">
      <c r="A1700" s="13" t="s">
        <v>45</v>
      </c>
      <c r="B1700" s="13" t="s">
        <v>43</v>
      </c>
      <c r="C1700" s="13" t="s">
        <v>4</v>
      </c>
      <c r="D1700" s="13" t="s">
        <v>812</v>
      </c>
      <c r="E1700" s="16" t="n">
        <v>1029.8</v>
      </c>
      <c r="F1700" s="7" t="n">
        <v>1</v>
      </c>
      <c r="G1700" s="5" t="n">
        <v>1000</v>
      </c>
    </row>
    <row r="1701" customFormat="false" ht="15" hidden="false" customHeight="false" outlineLevel="0" collapsed="false">
      <c r="A1701" s="13" t="s">
        <v>79</v>
      </c>
      <c r="B1701" s="13" t="s">
        <v>43</v>
      </c>
      <c r="C1701" s="13" t="s">
        <v>4</v>
      </c>
      <c r="D1701" s="13" t="s">
        <v>1231</v>
      </c>
      <c r="E1701" s="16" t="n">
        <v>508.67</v>
      </c>
      <c r="F1701" s="7" t="n">
        <v>2</v>
      </c>
      <c r="G1701" s="5" t="n">
        <v>1000</v>
      </c>
    </row>
    <row r="1702" customFormat="false" ht="15" hidden="false" customHeight="false" outlineLevel="0" collapsed="false">
      <c r="A1702" s="13" t="s">
        <v>270</v>
      </c>
      <c r="B1702" s="13" t="s">
        <v>43</v>
      </c>
      <c r="C1702" s="13" t="s">
        <v>4</v>
      </c>
      <c r="D1702" s="13" t="s">
        <v>1232</v>
      </c>
      <c r="E1702" s="16" t="n">
        <v>256.2</v>
      </c>
      <c r="F1702" s="7" t="n">
        <v>2</v>
      </c>
      <c r="G1702" s="5" t="n">
        <v>1000</v>
      </c>
    </row>
    <row r="1703" customFormat="false" ht="15" hidden="false" customHeight="false" outlineLevel="0" collapsed="false">
      <c r="A1703" s="13" t="s">
        <v>195</v>
      </c>
      <c r="B1703" s="13" t="s">
        <v>43</v>
      </c>
      <c r="C1703" s="13" t="s">
        <v>5</v>
      </c>
      <c r="D1703" s="13" t="s">
        <v>1233</v>
      </c>
      <c r="E1703" s="16" t="n">
        <v>523.9</v>
      </c>
      <c r="F1703" s="7" t="n">
        <v>2</v>
      </c>
      <c r="G1703" s="5" t="n">
        <v>1000</v>
      </c>
    </row>
    <row r="1704" customFormat="false" ht="15" hidden="false" customHeight="false" outlineLevel="0" collapsed="false">
      <c r="A1704" s="13" t="s">
        <v>50</v>
      </c>
      <c r="B1704" s="13" t="s">
        <v>43</v>
      </c>
      <c r="C1704" s="13" t="s">
        <v>5</v>
      </c>
      <c r="D1704" s="13" t="s">
        <v>1234</v>
      </c>
      <c r="E1704" s="16" t="n">
        <v>1028.85</v>
      </c>
      <c r="F1704" s="7" t="n">
        <v>1</v>
      </c>
      <c r="G1704" s="5" t="n">
        <v>1000</v>
      </c>
    </row>
    <row r="1705" customFormat="false" ht="15" hidden="false" customHeight="false" outlineLevel="0" collapsed="false">
      <c r="A1705" s="13" t="s">
        <v>490</v>
      </c>
      <c r="B1705" s="13" t="s">
        <v>43</v>
      </c>
      <c r="C1705" s="13" t="s">
        <v>5</v>
      </c>
      <c r="D1705" s="13" t="s">
        <v>1235</v>
      </c>
      <c r="E1705" s="16" t="n">
        <v>255.62</v>
      </c>
      <c r="F1705" s="7" t="n">
        <v>2</v>
      </c>
      <c r="G1705" s="5" t="n">
        <v>1000</v>
      </c>
    </row>
    <row r="1706" customFormat="false" ht="15" hidden="false" customHeight="false" outlineLevel="0" collapsed="false">
      <c r="A1706" s="13" t="s">
        <v>92</v>
      </c>
      <c r="B1706" s="13" t="s">
        <v>43</v>
      </c>
      <c r="C1706" s="13" t="s">
        <v>5</v>
      </c>
      <c r="D1706" s="13" t="s">
        <v>1236</v>
      </c>
      <c r="E1706" s="16" t="n">
        <v>996.4</v>
      </c>
      <c r="F1706" s="7" t="n">
        <v>1</v>
      </c>
      <c r="G1706" s="5" t="n">
        <v>1000</v>
      </c>
    </row>
    <row r="1707" customFormat="false" ht="15" hidden="false" customHeight="false" outlineLevel="0" collapsed="false">
      <c r="A1707" s="13" t="s">
        <v>50</v>
      </c>
      <c r="B1707" s="13" t="s">
        <v>43</v>
      </c>
      <c r="C1707" s="13" t="s">
        <v>5</v>
      </c>
      <c r="D1707" s="13" t="s">
        <v>1237</v>
      </c>
      <c r="E1707" s="16" t="n">
        <v>498.85</v>
      </c>
      <c r="F1707" s="7" t="n">
        <v>2</v>
      </c>
      <c r="G1707" s="5" t="n">
        <v>1000</v>
      </c>
    </row>
    <row r="1708" customFormat="false" ht="15" hidden="false" customHeight="false" outlineLevel="0" collapsed="false">
      <c r="A1708" s="13" t="s">
        <v>329</v>
      </c>
      <c r="B1708" s="13" t="s">
        <v>43</v>
      </c>
      <c r="C1708" s="13" t="s">
        <v>5</v>
      </c>
      <c r="D1708" s="13" t="s">
        <v>575</v>
      </c>
      <c r="E1708" s="16" t="n">
        <v>998.85</v>
      </c>
      <c r="F1708" s="7" t="n">
        <v>1</v>
      </c>
      <c r="G1708" s="5" t="n">
        <v>1000</v>
      </c>
    </row>
    <row r="1709" customFormat="false" ht="15" hidden="false" customHeight="false" outlineLevel="0" collapsed="false">
      <c r="A1709" s="13" t="s">
        <v>79</v>
      </c>
      <c r="B1709" s="13" t="s">
        <v>43</v>
      </c>
      <c r="C1709" s="13" t="s">
        <v>5</v>
      </c>
      <c r="D1709" s="13" t="s">
        <v>1238</v>
      </c>
      <c r="E1709" s="16" t="n">
        <v>1000.31</v>
      </c>
      <c r="F1709" s="7" t="n">
        <v>1</v>
      </c>
      <c r="G1709" s="5" t="n">
        <v>1000</v>
      </c>
    </row>
    <row r="1710" customFormat="false" ht="15" hidden="false" customHeight="false" outlineLevel="0" collapsed="false">
      <c r="A1710" s="13" t="s">
        <v>121</v>
      </c>
      <c r="B1710" s="13" t="s">
        <v>43</v>
      </c>
      <c r="C1710" s="13" t="s">
        <v>5</v>
      </c>
      <c r="D1710" s="13" t="s">
        <v>1239</v>
      </c>
      <c r="E1710" s="16" t="n">
        <v>167.2</v>
      </c>
      <c r="F1710" s="7" t="n">
        <v>5</v>
      </c>
      <c r="G1710" s="5" t="n">
        <v>1000</v>
      </c>
    </row>
    <row r="1711" customFormat="false" ht="15" hidden="false" customHeight="false" outlineLevel="0" collapsed="false">
      <c r="A1711" s="13" t="s">
        <v>61</v>
      </c>
      <c r="B1711" s="13" t="s">
        <v>43</v>
      </c>
      <c r="C1711" s="13" t="s">
        <v>5</v>
      </c>
      <c r="D1711" s="13" t="s">
        <v>1240</v>
      </c>
      <c r="E1711" s="16" t="n">
        <v>1007.91</v>
      </c>
      <c r="F1711" s="7" t="n">
        <v>1</v>
      </c>
      <c r="G1711" s="5" t="n">
        <v>1000</v>
      </c>
    </row>
    <row r="1712" customFormat="false" ht="15" hidden="false" customHeight="false" outlineLevel="0" collapsed="false">
      <c r="A1712" s="13" t="s">
        <v>153</v>
      </c>
      <c r="B1712" s="13" t="s">
        <v>43</v>
      </c>
      <c r="C1712" s="13" t="s">
        <v>5</v>
      </c>
      <c r="D1712" s="13" t="s">
        <v>1241</v>
      </c>
      <c r="E1712" s="16" t="n">
        <v>507.31</v>
      </c>
      <c r="F1712" s="7" t="n">
        <v>2</v>
      </c>
      <c r="G1712" s="5" t="n">
        <v>1000</v>
      </c>
    </row>
    <row r="1713" customFormat="false" ht="15" hidden="false" customHeight="false" outlineLevel="0" collapsed="false">
      <c r="A1713" s="13" t="s">
        <v>153</v>
      </c>
      <c r="B1713" s="13" t="s">
        <v>43</v>
      </c>
      <c r="C1713" s="13" t="s">
        <v>5</v>
      </c>
      <c r="D1713" s="13" t="s">
        <v>593</v>
      </c>
      <c r="E1713" s="16" t="n">
        <v>519</v>
      </c>
      <c r="F1713" s="7" t="n">
        <v>2</v>
      </c>
      <c r="G1713" s="5" t="n">
        <v>1000</v>
      </c>
    </row>
    <row r="1714" customFormat="false" ht="15" hidden="false" customHeight="false" outlineLevel="0" collapsed="false">
      <c r="A1714" s="13" t="s">
        <v>107</v>
      </c>
      <c r="B1714" s="13" t="s">
        <v>43</v>
      </c>
      <c r="C1714" s="13" t="s">
        <v>5</v>
      </c>
      <c r="D1714" s="13" t="s">
        <v>696</v>
      </c>
      <c r="E1714" s="16" t="n">
        <v>247.7475</v>
      </c>
      <c r="F1714" s="7" t="n">
        <v>2</v>
      </c>
      <c r="G1714" s="5" t="n">
        <v>990</v>
      </c>
    </row>
    <row r="1715" customFormat="false" ht="15" hidden="false" customHeight="false" outlineLevel="0" collapsed="false">
      <c r="A1715" s="13" t="s">
        <v>365</v>
      </c>
      <c r="B1715" s="13" t="s">
        <v>43</v>
      </c>
      <c r="C1715" s="13" t="s">
        <v>3</v>
      </c>
      <c r="D1715" s="13" t="s">
        <v>1242</v>
      </c>
      <c r="E1715" s="16" t="n">
        <v>89.9</v>
      </c>
      <c r="F1715" s="7" t="n">
        <v>10</v>
      </c>
      <c r="G1715" s="5" t="n">
        <v>990</v>
      </c>
    </row>
    <row r="1716" customFormat="false" ht="15" hidden="false" customHeight="false" outlineLevel="0" collapsed="false">
      <c r="A1716" s="13" t="s">
        <v>50</v>
      </c>
      <c r="B1716" s="13" t="s">
        <v>43</v>
      </c>
      <c r="C1716" s="13" t="s">
        <v>4</v>
      </c>
      <c r="D1716" s="13" t="s">
        <v>1243</v>
      </c>
      <c r="E1716" s="16" t="n">
        <v>331.186666666667</v>
      </c>
      <c r="F1716" s="7" t="n">
        <v>2</v>
      </c>
      <c r="G1716" s="5" t="n">
        <v>990</v>
      </c>
    </row>
    <row r="1717" customFormat="false" ht="15" hidden="false" customHeight="false" outlineLevel="0" collapsed="false">
      <c r="A1717" s="13" t="s">
        <v>186</v>
      </c>
      <c r="B1717" s="13" t="s">
        <v>43</v>
      </c>
      <c r="C1717" s="13" t="s">
        <v>4</v>
      </c>
      <c r="D1717" s="13" t="s">
        <v>1244</v>
      </c>
      <c r="E1717" s="16" t="n">
        <v>497.07</v>
      </c>
      <c r="F1717" s="7" t="n">
        <v>2</v>
      </c>
      <c r="G1717" s="5" t="n">
        <v>990</v>
      </c>
    </row>
    <row r="1718" customFormat="false" ht="15" hidden="false" customHeight="false" outlineLevel="0" collapsed="false">
      <c r="A1718" s="13" t="s">
        <v>107</v>
      </c>
      <c r="B1718" s="13" t="s">
        <v>183</v>
      </c>
      <c r="C1718" s="13" t="s">
        <v>5</v>
      </c>
      <c r="D1718" s="13" t="s">
        <v>1245</v>
      </c>
      <c r="E1718" s="16" t="n">
        <v>329.9</v>
      </c>
      <c r="F1718" s="7" t="n">
        <v>2</v>
      </c>
      <c r="G1718" s="5" t="n">
        <v>990</v>
      </c>
    </row>
    <row r="1719" customFormat="false" ht="15" hidden="false" customHeight="false" outlineLevel="0" collapsed="false">
      <c r="A1719" s="13" t="s">
        <v>69</v>
      </c>
      <c r="B1719" s="13" t="s">
        <v>43</v>
      </c>
      <c r="C1719" s="13" t="s">
        <v>5</v>
      </c>
      <c r="D1719" s="13" t="s">
        <v>1246</v>
      </c>
      <c r="E1719" s="16" t="n">
        <v>492.59</v>
      </c>
      <c r="F1719" s="7" t="n">
        <v>2</v>
      </c>
      <c r="G1719" s="5" t="n">
        <v>990</v>
      </c>
    </row>
    <row r="1720" customFormat="false" ht="15" hidden="false" customHeight="false" outlineLevel="0" collapsed="false">
      <c r="A1720" s="13" t="s">
        <v>61</v>
      </c>
      <c r="B1720" s="13" t="s">
        <v>43</v>
      </c>
      <c r="C1720" s="13" t="s">
        <v>5</v>
      </c>
      <c r="D1720" s="13" t="s">
        <v>1247</v>
      </c>
      <c r="E1720" s="16" t="n">
        <v>328.85</v>
      </c>
      <c r="F1720" s="7" t="n">
        <v>2</v>
      </c>
      <c r="G1720" s="5" t="n">
        <v>990</v>
      </c>
    </row>
    <row r="1721" customFormat="false" ht="15" hidden="false" customHeight="false" outlineLevel="0" collapsed="false">
      <c r="A1721" s="13" t="s">
        <v>42</v>
      </c>
      <c r="B1721" s="13" t="s">
        <v>43</v>
      </c>
      <c r="C1721" s="13" t="s">
        <v>4</v>
      </c>
      <c r="D1721" s="13" t="s">
        <v>1248</v>
      </c>
      <c r="E1721" s="16" t="n">
        <v>992.68</v>
      </c>
      <c r="F1721" s="7" t="n">
        <v>1</v>
      </c>
      <c r="G1721" s="5" t="n">
        <v>990</v>
      </c>
    </row>
    <row r="1722" customFormat="false" ht="15" hidden="false" customHeight="false" outlineLevel="0" collapsed="false">
      <c r="A1722" s="13" t="s">
        <v>50</v>
      </c>
      <c r="B1722" s="13" t="s">
        <v>43</v>
      </c>
      <c r="C1722" s="13" t="s">
        <v>4</v>
      </c>
      <c r="D1722" s="13" t="s">
        <v>239</v>
      </c>
      <c r="E1722" s="16" t="n">
        <v>497.26</v>
      </c>
      <c r="F1722" s="7" t="n">
        <v>2</v>
      </c>
      <c r="G1722" s="5" t="n">
        <v>990</v>
      </c>
    </row>
    <row r="1723" customFormat="false" ht="15" hidden="false" customHeight="false" outlineLevel="0" collapsed="false">
      <c r="A1723" s="13" t="s">
        <v>105</v>
      </c>
      <c r="B1723" s="13" t="s">
        <v>43</v>
      </c>
      <c r="C1723" s="13" t="s">
        <v>4</v>
      </c>
      <c r="D1723" s="13" t="s">
        <v>1249</v>
      </c>
      <c r="E1723" s="16" t="n">
        <v>494.94</v>
      </c>
      <c r="F1723" s="7" t="n">
        <v>2</v>
      </c>
      <c r="G1723" s="5" t="n">
        <v>990</v>
      </c>
    </row>
    <row r="1724" customFormat="false" ht="15" hidden="false" customHeight="false" outlineLevel="0" collapsed="false">
      <c r="A1724" s="13" t="s">
        <v>186</v>
      </c>
      <c r="B1724" s="13" t="s">
        <v>43</v>
      </c>
      <c r="C1724" s="13" t="s">
        <v>4</v>
      </c>
      <c r="D1724" s="13" t="s">
        <v>1250</v>
      </c>
      <c r="E1724" s="16" t="n">
        <v>329.4</v>
      </c>
      <c r="F1724" s="7" t="n">
        <v>2</v>
      </c>
      <c r="G1724" s="5" t="n">
        <v>990</v>
      </c>
    </row>
    <row r="1725" customFormat="false" ht="15" hidden="false" customHeight="false" outlineLevel="0" collapsed="false">
      <c r="A1725" s="13" t="s">
        <v>61</v>
      </c>
      <c r="B1725" s="13" t="s">
        <v>43</v>
      </c>
      <c r="C1725" s="13" t="s">
        <v>5</v>
      </c>
      <c r="D1725" s="13" t="s">
        <v>1251</v>
      </c>
      <c r="E1725" s="16" t="n">
        <v>491.96</v>
      </c>
      <c r="F1725" s="7" t="n">
        <v>2</v>
      </c>
      <c r="G1725" s="5" t="n">
        <v>980</v>
      </c>
    </row>
    <row r="1726" customFormat="false" ht="15" hidden="false" customHeight="false" outlineLevel="0" collapsed="false">
      <c r="A1726" s="13" t="s">
        <v>72</v>
      </c>
      <c r="B1726" s="13" t="s">
        <v>43</v>
      </c>
      <c r="C1726" s="13" t="s">
        <v>5</v>
      </c>
      <c r="D1726" s="13" t="s">
        <v>1252</v>
      </c>
      <c r="E1726" s="16" t="n">
        <v>975.63</v>
      </c>
      <c r="F1726" s="7" t="n">
        <v>1</v>
      </c>
      <c r="G1726" s="5" t="n">
        <v>980</v>
      </c>
    </row>
    <row r="1727" customFormat="false" ht="15" hidden="false" customHeight="false" outlineLevel="0" collapsed="false">
      <c r="A1727" s="13" t="s">
        <v>45</v>
      </c>
      <c r="B1727" s="13" t="s">
        <v>43</v>
      </c>
      <c r="C1727" s="13" t="s">
        <v>4</v>
      </c>
      <c r="D1727" s="13" t="s">
        <v>46</v>
      </c>
      <c r="E1727" s="16" t="n">
        <v>975</v>
      </c>
      <c r="F1727" s="7" t="n">
        <v>1</v>
      </c>
      <c r="G1727" s="5" t="n">
        <v>980</v>
      </c>
    </row>
    <row r="1728" customFormat="false" ht="15" hidden="false" customHeight="false" outlineLevel="0" collapsed="false">
      <c r="A1728" s="13" t="s">
        <v>105</v>
      </c>
      <c r="B1728" s="13" t="s">
        <v>43</v>
      </c>
      <c r="C1728" s="13" t="s">
        <v>4</v>
      </c>
      <c r="D1728" s="13" t="s">
        <v>1253</v>
      </c>
      <c r="E1728" s="16" t="n">
        <v>489.28</v>
      </c>
      <c r="F1728" s="7" t="n">
        <v>2</v>
      </c>
      <c r="G1728" s="5" t="n">
        <v>980</v>
      </c>
    </row>
    <row r="1729" customFormat="false" ht="15" hidden="false" customHeight="false" outlineLevel="0" collapsed="false">
      <c r="A1729" s="13" t="s">
        <v>45</v>
      </c>
      <c r="B1729" s="13" t="s">
        <v>43</v>
      </c>
      <c r="C1729" s="13" t="s">
        <v>4</v>
      </c>
      <c r="D1729" s="13" t="s">
        <v>1254</v>
      </c>
      <c r="E1729" s="16" t="n">
        <v>983.48</v>
      </c>
      <c r="F1729" s="7" t="n">
        <v>1</v>
      </c>
      <c r="G1729" s="5" t="n">
        <v>980</v>
      </c>
    </row>
    <row r="1730" customFormat="false" ht="15" hidden="false" customHeight="false" outlineLevel="0" collapsed="false">
      <c r="A1730" s="13" t="s">
        <v>42</v>
      </c>
      <c r="B1730" s="13" t="s">
        <v>43</v>
      </c>
      <c r="C1730" s="13" t="s">
        <v>4</v>
      </c>
      <c r="D1730" s="13" t="s">
        <v>1255</v>
      </c>
      <c r="E1730" s="16" t="n">
        <v>981.89</v>
      </c>
      <c r="F1730" s="7" t="n">
        <v>1</v>
      </c>
      <c r="G1730" s="5" t="n">
        <v>980</v>
      </c>
    </row>
    <row r="1731" customFormat="false" ht="15" hidden="false" customHeight="false" outlineLevel="0" collapsed="false">
      <c r="A1731" s="13" t="s">
        <v>50</v>
      </c>
      <c r="B1731" s="13" t="s">
        <v>43</v>
      </c>
      <c r="C1731" s="13" t="s">
        <v>5</v>
      </c>
      <c r="D1731" s="13" t="s">
        <v>1256</v>
      </c>
      <c r="E1731" s="16" t="n">
        <v>981.83</v>
      </c>
      <c r="F1731" s="7" t="n">
        <v>1</v>
      </c>
      <c r="G1731" s="5" t="n">
        <v>980</v>
      </c>
    </row>
    <row r="1732" customFormat="false" ht="15" hidden="false" customHeight="false" outlineLevel="0" collapsed="false">
      <c r="A1732" s="13" t="s">
        <v>54</v>
      </c>
      <c r="B1732" s="13" t="s">
        <v>43</v>
      </c>
      <c r="C1732" s="13" t="s">
        <v>5</v>
      </c>
      <c r="D1732" s="13" t="s">
        <v>1257</v>
      </c>
      <c r="E1732" s="16" t="n">
        <v>325.56</v>
      </c>
      <c r="F1732" s="7" t="n">
        <v>2</v>
      </c>
      <c r="G1732" s="5" t="n">
        <v>980</v>
      </c>
    </row>
    <row r="1733" customFormat="false" ht="15" hidden="false" customHeight="false" outlineLevel="0" collapsed="false">
      <c r="A1733" s="13" t="s">
        <v>153</v>
      </c>
      <c r="B1733" s="13" t="s">
        <v>43</v>
      </c>
      <c r="C1733" s="13" t="s">
        <v>5</v>
      </c>
      <c r="D1733" s="13" t="s">
        <v>1258</v>
      </c>
      <c r="E1733" s="16" t="n">
        <v>489</v>
      </c>
      <c r="F1733" s="7" t="n">
        <v>2</v>
      </c>
      <c r="G1733" s="5" t="n">
        <v>980</v>
      </c>
    </row>
    <row r="1734" customFormat="false" ht="15" hidden="false" customHeight="false" outlineLevel="0" collapsed="false">
      <c r="A1734" s="13" t="s">
        <v>79</v>
      </c>
      <c r="B1734" s="13" t="s">
        <v>43</v>
      </c>
      <c r="C1734" s="13" t="s">
        <v>5</v>
      </c>
      <c r="D1734" s="13" t="s">
        <v>1259</v>
      </c>
      <c r="E1734" s="16" t="n">
        <v>976.85</v>
      </c>
      <c r="F1734" s="7" t="n">
        <v>1</v>
      </c>
      <c r="G1734" s="5" t="n">
        <v>980</v>
      </c>
    </row>
    <row r="1735" customFormat="false" ht="15" hidden="false" customHeight="false" outlineLevel="0" collapsed="false">
      <c r="A1735" s="13" t="s">
        <v>50</v>
      </c>
      <c r="B1735" s="13" t="s">
        <v>43</v>
      </c>
      <c r="C1735" s="13" t="s">
        <v>5</v>
      </c>
      <c r="D1735" s="13" t="s">
        <v>1260</v>
      </c>
      <c r="E1735" s="16" t="n">
        <v>978.85</v>
      </c>
      <c r="F1735" s="7" t="n">
        <v>1</v>
      </c>
      <c r="G1735" s="5" t="n">
        <v>980</v>
      </c>
    </row>
    <row r="1736" customFormat="false" ht="15" hidden="false" customHeight="false" outlineLevel="0" collapsed="false">
      <c r="A1736" s="13" t="s">
        <v>69</v>
      </c>
      <c r="B1736" s="13" t="s">
        <v>43</v>
      </c>
      <c r="C1736" s="13" t="s">
        <v>5</v>
      </c>
      <c r="D1736" s="13" t="s">
        <v>1201</v>
      </c>
      <c r="E1736" s="16" t="n">
        <v>484.5</v>
      </c>
      <c r="F1736" s="7" t="n">
        <v>2</v>
      </c>
      <c r="G1736" s="5" t="n">
        <v>970</v>
      </c>
    </row>
    <row r="1737" customFormat="false" ht="15" hidden="false" customHeight="false" outlineLevel="0" collapsed="false">
      <c r="A1737" s="13" t="s">
        <v>42</v>
      </c>
      <c r="B1737" s="13" t="s">
        <v>43</v>
      </c>
      <c r="C1737" s="13" t="s">
        <v>4</v>
      </c>
      <c r="D1737" s="13" t="s">
        <v>1261</v>
      </c>
      <c r="E1737" s="16" t="n">
        <v>242.45</v>
      </c>
      <c r="F1737" s="7" t="n">
        <v>2</v>
      </c>
      <c r="G1737" s="5" t="n">
        <v>970</v>
      </c>
    </row>
    <row r="1738" customFormat="false" ht="15" hidden="false" customHeight="false" outlineLevel="0" collapsed="false">
      <c r="A1738" s="13" t="s">
        <v>131</v>
      </c>
      <c r="B1738" s="13" t="s">
        <v>66</v>
      </c>
      <c r="C1738" s="13" t="s">
        <v>3</v>
      </c>
      <c r="D1738" s="13" t="s">
        <v>1262</v>
      </c>
      <c r="E1738" s="16" t="n">
        <v>971.99</v>
      </c>
      <c r="F1738" s="7" t="n">
        <v>1</v>
      </c>
      <c r="G1738" s="5" t="n">
        <v>970</v>
      </c>
    </row>
    <row r="1739" customFormat="false" ht="15" hidden="false" customHeight="false" outlineLevel="0" collapsed="false">
      <c r="A1739" s="13" t="s">
        <v>329</v>
      </c>
      <c r="B1739" s="13" t="s">
        <v>43</v>
      </c>
      <c r="C1739" s="13" t="s">
        <v>4</v>
      </c>
      <c r="D1739" s="13" t="s">
        <v>575</v>
      </c>
      <c r="E1739" s="16" t="n">
        <v>485.63</v>
      </c>
      <c r="F1739" s="7" t="n">
        <v>2</v>
      </c>
      <c r="G1739" s="5" t="n">
        <v>970</v>
      </c>
    </row>
    <row r="1740" customFormat="false" ht="15" hidden="false" customHeight="false" outlineLevel="0" collapsed="false">
      <c r="A1740" s="13" t="s">
        <v>45</v>
      </c>
      <c r="B1740" s="13" t="s">
        <v>43</v>
      </c>
      <c r="C1740" s="13" t="s">
        <v>5</v>
      </c>
      <c r="D1740" s="13" t="s">
        <v>780</v>
      </c>
      <c r="E1740" s="16" t="n">
        <v>484</v>
      </c>
      <c r="F1740" s="7" t="n">
        <v>2</v>
      </c>
      <c r="G1740" s="5" t="n">
        <v>970</v>
      </c>
    </row>
    <row r="1741" customFormat="false" ht="15" hidden="false" customHeight="false" outlineLevel="0" collapsed="false">
      <c r="A1741" s="13" t="s">
        <v>54</v>
      </c>
      <c r="B1741" s="13" t="s">
        <v>43</v>
      </c>
      <c r="C1741" s="13" t="s">
        <v>5</v>
      </c>
      <c r="D1741" s="13" t="s">
        <v>1263</v>
      </c>
      <c r="E1741" s="16" t="n">
        <v>970.85</v>
      </c>
      <c r="F1741" s="7" t="n">
        <v>1</v>
      </c>
      <c r="G1741" s="5" t="n">
        <v>970</v>
      </c>
    </row>
    <row r="1742" customFormat="false" ht="15" hidden="false" customHeight="false" outlineLevel="0" collapsed="false">
      <c r="A1742" s="13" t="s">
        <v>153</v>
      </c>
      <c r="B1742" s="13" t="s">
        <v>43</v>
      </c>
      <c r="C1742" s="13" t="s">
        <v>5</v>
      </c>
      <c r="D1742" s="13" t="s">
        <v>1176</v>
      </c>
      <c r="E1742" s="16" t="n">
        <v>485.48</v>
      </c>
      <c r="F1742" s="7" t="n">
        <v>2</v>
      </c>
      <c r="G1742" s="5" t="n">
        <v>970</v>
      </c>
    </row>
    <row r="1743" customFormat="false" ht="15" hidden="false" customHeight="false" outlineLevel="0" collapsed="false">
      <c r="A1743" s="13" t="s">
        <v>54</v>
      </c>
      <c r="B1743" s="13" t="s">
        <v>43</v>
      </c>
      <c r="C1743" s="13" t="s">
        <v>5</v>
      </c>
      <c r="D1743" s="13" t="s">
        <v>832</v>
      </c>
      <c r="E1743" s="16" t="n">
        <v>968.85</v>
      </c>
      <c r="F1743" s="7" t="n">
        <v>1</v>
      </c>
      <c r="G1743" s="5" t="n">
        <v>970</v>
      </c>
    </row>
    <row r="1744" customFormat="false" ht="15" hidden="false" customHeight="false" outlineLevel="0" collapsed="false">
      <c r="A1744" s="13" t="s">
        <v>153</v>
      </c>
      <c r="B1744" s="13" t="s">
        <v>43</v>
      </c>
      <c r="C1744" s="13" t="s">
        <v>5</v>
      </c>
      <c r="D1744" s="13" t="s">
        <v>1264</v>
      </c>
      <c r="E1744" s="16" t="n">
        <v>480</v>
      </c>
      <c r="F1744" s="7" t="n">
        <v>2</v>
      </c>
      <c r="G1744" s="5" t="n">
        <v>960</v>
      </c>
    </row>
    <row r="1745" customFormat="false" ht="15" hidden="false" customHeight="false" outlineLevel="0" collapsed="false">
      <c r="A1745" s="13" t="s">
        <v>50</v>
      </c>
      <c r="B1745" s="13" t="s">
        <v>43</v>
      </c>
      <c r="C1745" s="13" t="s">
        <v>4</v>
      </c>
      <c r="D1745" s="13" t="s">
        <v>1265</v>
      </c>
      <c r="E1745" s="16" t="n">
        <v>961.73</v>
      </c>
      <c r="F1745" s="7" t="n">
        <v>1</v>
      </c>
      <c r="G1745" s="5" t="n">
        <v>960</v>
      </c>
    </row>
    <row r="1746" customFormat="false" ht="15" hidden="false" customHeight="false" outlineLevel="0" collapsed="false">
      <c r="A1746" s="13" t="s">
        <v>79</v>
      </c>
      <c r="B1746" s="13" t="s">
        <v>43</v>
      </c>
      <c r="C1746" s="13" t="s">
        <v>4</v>
      </c>
      <c r="D1746" s="13" t="s">
        <v>426</v>
      </c>
      <c r="E1746" s="16" t="n">
        <v>962</v>
      </c>
      <c r="F1746" s="7" t="n">
        <v>1</v>
      </c>
      <c r="G1746" s="5" t="n">
        <v>960</v>
      </c>
    </row>
    <row r="1747" customFormat="false" ht="15" hidden="false" customHeight="false" outlineLevel="0" collapsed="false">
      <c r="A1747" s="13" t="s">
        <v>42</v>
      </c>
      <c r="B1747" s="13" t="s">
        <v>43</v>
      </c>
      <c r="C1747" s="13" t="s">
        <v>4</v>
      </c>
      <c r="D1747" s="13" t="s">
        <v>816</v>
      </c>
      <c r="E1747" s="16" t="n">
        <v>239.125</v>
      </c>
      <c r="F1747" s="7" t="n">
        <v>2</v>
      </c>
      <c r="G1747" s="5" t="n">
        <v>960</v>
      </c>
    </row>
    <row r="1748" customFormat="false" ht="15" hidden="false" customHeight="false" outlineLevel="0" collapsed="false">
      <c r="A1748" s="13" t="s">
        <v>69</v>
      </c>
      <c r="B1748" s="13" t="s">
        <v>43</v>
      </c>
      <c r="C1748" s="13" t="s">
        <v>5</v>
      </c>
      <c r="D1748" s="13" t="s">
        <v>1266</v>
      </c>
      <c r="E1748" s="16" t="n">
        <v>958.85</v>
      </c>
      <c r="F1748" s="7" t="n">
        <v>1</v>
      </c>
      <c r="G1748" s="5" t="n">
        <v>960</v>
      </c>
    </row>
    <row r="1749" customFormat="false" ht="15" hidden="false" customHeight="false" outlineLevel="0" collapsed="false">
      <c r="A1749" s="13" t="s">
        <v>50</v>
      </c>
      <c r="B1749" s="13" t="s">
        <v>43</v>
      </c>
      <c r="C1749" s="13" t="s">
        <v>5</v>
      </c>
      <c r="D1749" s="13" t="s">
        <v>1267</v>
      </c>
      <c r="E1749" s="16" t="n">
        <v>238.85</v>
      </c>
      <c r="F1749" s="7" t="n">
        <v>2</v>
      </c>
      <c r="G1749" s="5" t="n">
        <v>960</v>
      </c>
    </row>
    <row r="1750" customFormat="false" ht="15" hidden="false" customHeight="false" outlineLevel="0" collapsed="false">
      <c r="A1750" s="13" t="s">
        <v>195</v>
      </c>
      <c r="B1750" s="13" t="s">
        <v>43</v>
      </c>
      <c r="C1750" s="13" t="s">
        <v>5</v>
      </c>
      <c r="D1750" s="13" t="s">
        <v>1268</v>
      </c>
      <c r="E1750" s="16" t="n">
        <v>959.29</v>
      </c>
      <c r="F1750" s="7" t="n">
        <v>1</v>
      </c>
      <c r="G1750" s="5" t="n">
        <v>960</v>
      </c>
    </row>
    <row r="1751" customFormat="false" ht="15" hidden="false" customHeight="false" outlineLevel="0" collapsed="false">
      <c r="A1751" s="13" t="s">
        <v>79</v>
      </c>
      <c r="B1751" s="13" t="s">
        <v>43</v>
      </c>
      <c r="C1751" s="13" t="s">
        <v>5</v>
      </c>
      <c r="D1751" s="13" t="s">
        <v>1269</v>
      </c>
      <c r="E1751" s="16" t="n">
        <v>955.93</v>
      </c>
      <c r="F1751" s="7" t="n">
        <v>1</v>
      </c>
      <c r="G1751" s="5" t="n">
        <v>960</v>
      </c>
    </row>
    <row r="1752" customFormat="false" ht="15" hidden="false" customHeight="false" outlineLevel="0" collapsed="false">
      <c r="A1752" s="13" t="s">
        <v>54</v>
      </c>
      <c r="B1752" s="13" t="s">
        <v>43</v>
      </c>
      <c r="C1752" s="13" t="s">
        <v>5</v>
      </c>
      <c r="D1752" s="13" t="s">
        <v>1270</v>
      </c>
      <c r="E1752" s="16" t="n">
        <v>320.08</v>
      </c>
      <c r="F1752" s="7" t="n">
        <v>2</v>
      </c>
      <c r="G1752" s="5" t="n">
        <v>960</v>
      </c>
    </row>
    <row r="1753" customFormat="false" ht="15" hidden="false" customHeight="false" outlineLevel="0" collapsed="false">
      <c r="A1753" s="13" t="s">
        <v>45</v>
      </c>
      <c r="B1753" s="13" t="s">
        <v>43</v>
      </c>
      <c r="C1753" s="13" t="s">
        <v>5</v>
      </c>
      <c r="D1753" s="13" t="s">
        <v>1271</v>
      </c>
      <c r="E1753" s="16" t="n">
        <v>473.75</v>
      </c>
      <c r="F1753" s="7" t="n">
        <v>2</v>
      </c>
      <c r="G1753" s="5" t="n">
        <v>950</v>
      </c>
    </row>
    <row r="1754" customFormat="false" ht="15" hidden="false" customHeight="false" outlineLevel="0" collapsed="false">
      <c r="A1754" s="13" t="s">
        <v>50</v>
      </c>
      <c r="B1754" s="13" t="s">
        <v>43</v>
      </c>
      <c r="C1754" s="13" t="s">
        <v>5</v>
      </c>
      <c r="D1754" s="13" t="s">
        <v>52</v>
      </c>
      <c r="E1754" s="16" t="n">
        <v>475</v>
      </c>
      <c r="F1754" s="7" t="n">
        <v>2</v>
      </c>
      <c r="G1754" s="5" t="n">
        <v>950</v>
      </c>
    </row>
    <row r="1755" customFormat="false" ht="15" hidden="false" customHeight="false" outlineLevel="0" collapsed="false">
      <c r="A1755" s="13" t="s">
        <v>50</v>
      </c>
      <c r="B1755" s="13" t="s">
        <v>43</v>
      </c>
      <c r="C1755" s="13" t="s">
        <v>5</v>
      </c>
      <c r="D1755" s="13" t="s">
        <v>294</v>
      </c>
      <c r="E1755" s="16" t="n">
        <v>948.85</v>
      </c>
      <c r="F1755" s="7" t="n">
        <v>1</v>
      </c>
      <c r="G1755" s="5" t="n">
        <v>950</v>
      </c>
    </row>
    <row r="1756" customFormat="false" ht="15" hidden="false" customHeight="false" outlineLevel="0" collapsed="false">
      <c r="A1756" s="13" t="s">
        <v>50</v>
      </c>
      <c r="B1756" s="13" t="s">
        <v>43</v>
      </c>
      <c r="C1756" s="13" t="s">
        <v>4</v>
      </c>
      <c r="D1756" s="13" t="s">
        <v>1272</v>
      </c>
      <c r="E1756" s="16" t="n">
        <v>950.38</v>
      </c>
      <c r="F1756" s="7" t="n">
        <v>1</v>
      </c>
      <c r="G1756" s="5" t="n">
        <v>950</v>
      </c>
    </row>
    <row r="1757" customFormat="false" ht="15" hidden="false" customHeight="false" outlineLevel="0" collapsed="false">
      <c r="A1757" s="13" t="s">
        <v>193</v>
      </c>
      <c r="B1757" s="13" t="s">
        <v>43</v>
      </c>
      <c r="C1757" s="13" t="s">
        <v>5</v>
      </c>
      <c r="D1757" s="13" t="s">
        <v>1273</v>
      </c>
      <c r="E1757" s="16" t="n">
        <v>951.08</v>
      </c>
      <c r="F1757" s="7" t="n">
        <v>1</v>
      </c>
      <c r="G1757" s="5" t="n">
        <v>950</v>
      </c>
    </row>
    <row r="1758" customFormat="false" ht="15" hidden="false" customHeight="false" outlineLevel="0" collapsed="false">
      <c r="A1758" s="13" t="s">
        <v>121</v>
      </c>
      <c r="B1758" s="13" t="s">
        <v>183</v>
      </c>
      <c r="C1758" s="13" t="s">
        <v>5</v>
      </c>
      <c r="D1758" s="13" t="s">
        <v>1274</v>
      </c>
      <c r="E1758" s="16" t="n">
        <v>72.4807692307693</v>
      </c>
      <c r="F1758" s="7" t="n">
        <v>10</v>
      </c>
      <c r="G1758" s="5" t="n">
        <v>940</v>
      </c>
    </row>
    <row r="1759" customFormat="false" ht="15" hidden="false" customHeight="false" outlineLevel="0" collapsed="false">
      <c r="A1759" s="13" t="s">
        <v>42</v>
      </c>
      <c r="B1759" s="13" t="s">
        <v>43</v>
      </c>
      <c r="C1759" s="13" t="s">
        <v>4</v>
      </c>
      <c r="D1759" s="13" t="s">
        <v>914</v>
      </c>
      <c r="E1759" s="16" t="n">
        <v>468.93</v>
      </c>
      <c r="F1759" s="7" t="n">
        <v>2</v>
      </c>
      <c r="G1759" s="5" t="n">
        <v>940</v>
      </c>
    </row>
    <row r="1760" customFormat="false" ht="15" hidden="false" customHeight="false" outlineLevel="0" collapsed="false">
      <c r="A1760" s="13" t="s">
        <v>45</v>
      </c>
      <c r="B1760" s="13" t="s">
        <v>43</v>
      </c>
      <c r="C1760" s="13" t="s">
        <v>4</v>
      </c>
      <c r="D1760" s="13" t="s">
        <v>279</v>
      </c>
      <c r="E1760" s="16" t="n">
        <v>468.63</v>
      </c>
      <c r="F1760" s="7" t="n">
        <v>2</v>
      </c>
      <c r="G1760" s="5" t="n">
        <v>940</v>
      </c>
    </row>
    <row r="1761" customFormat="false" ht="15" hidden="false" customHeight="false" outlineLevel="0" collapsed="false">
      <c r="A1761" s="13" t="s">
        <v>50</v>
      </c>
      <c r="B1761" s="13" t="s">
        <v>43</v>
      </c>
      <c r="C1761" s="13" t="s">
        <v>4</v>
      </c>
      <c r="D1761" s="13" t="s">
        <v>63</v>
      </c>
      <c r="E1761" s="16" t="n">
        <v>938.79</v>
      </c>
      <c r="F1761" s="7" t="n">
        <v>1</v>
      </c>
      <c r="G1761" s="5" t="n">
        <v>940</v>
      </c>
    </row>
    <row r="1762" customFormat="false" ht="15" hidden="false" customHeight="false" outlineLevel="0" collapsed="false">
      <c r="A1762" s="13" t="s">
        <v>50</v>
      </c>
      <c r="B1762" s="13" t="s">
        <v>43</v>
      </c>
      <c r="C1762" s="13" t="s">
        <v>4</v>
      </c>
      <c r="D1762" s="13" t="s">
        <v>1275</v>
      </c>
      <c r="E1762" s="16" t="n">
        <v>234.36</v>
      </c>
      <c r="F1762" s="7" t="n">
        <v>2</v>
      </c>
      <c r="G1762" s="5" t="n">
        <v>940</v>
      </c>
    </row>
    <row r="1763" customFormat="false" ht="15" hidden="false" customHeight="false" outlineLevel="0" collapsed="false">
      <c r="A1763" s="13" t="s">
        <v>42</v>
      </c>
      <c r="B1763" s="13" t="s">
        <v>43</v>
      </c>
      <c r="C1763" s="13" t="s">
        <v>4</v>
      </c>
      <c r="D1763" s="13" t="s">
        <v>1276</v>
      </c>
      <c r="E1763" s="16" t="n">
        <v>936.39</v>
      </c>
      <c r="F1763" s="7" t="n">
        <v>1</v>
      </c>
      <c r="G1763" s="5" t="n">
        <v>940</v>
      </c>
    </row>
    <row r="1764" customFormat="false" ht="15" hidden="false" customHeight="false" outlineLevel="0" collapsed="false">
      <c r="A1764" s="13" t="s">
        <v>72</v>
      </c>
      <c r="B1764" s="13" t="s">
        <v>43</v>
      </c>
      <c r="C1764" s="13" t="s">
        <v>4</v>
      </c>
      <c r="D1764" s="13" t="s">
        <v>1277</v>
      </c>
      <c r="E1764" s="16" t="n">
        <v>935.28</v>
      </c>
      <c r="F1764" s="7" t="n">
        <v>1</v>
      </c>
      <c r="G1764" s="5" t="n">
        <v>940</v>
      </c>
    </row>
    <row r="1765" customFormat="false" ht="15" hidden="false" customHeight="false" outlineLevel="0" collapsed="false">
      <c r="A1765" s="13" t="s">
        <v>50</v>
      </c>
      <c r="B1765" s="13" t="s">
        <v>43</v>
      </c>
      <c r="C1765" s="13" t="s">
        <v>4</v>
      </c>
      <c r="D1765" s="13" t="s">
        <v>1278</v>
      </c>
      <c r="E1765" s="16" t="n">
        <v>938.79</v>
      </c>
      <c r="F1765" s="7" t="n">
        <v>1</v>
      </c>
      <c r="G1765" s="5" t="n">
        <v>940</v>
      </c>
    </row>
    <row r="1766" customFormat="false" ht="15" hidden="false" customHeight="false" outlineLevel="0" collapsed="false">
      <c r="A1766" s="13" t="s">
        <v>195</v>
      </c>
      <c r="B1766" s="13" t="s">
        <v>43</v>
      </c>
      <c r="C1766" s="13" t="s">
        <v>4</v>
      </c>
      <c r="D1766" s="13" t="s">
        <v>1279</v>
      </c>
      <c r="E1766" s="16" t="n">
        <v>944.3</v>
      </c>
      <c r="F1766" s="7" t="n">
        <v>1</v>
      </c>
      <c r="G1766" s="5" t="n">
        <v>940</v>
      </c>
    </row>
    <row r="1767" customFormat="false" ht="15" hidden="false" customHeight="false" outlineLevel="0" collapsed="false">
      <c r="A1767" s="13" t="s">
        <v>153</v>
      </c>
      <c r="B1767" s="13" t="s">
        <v>43</v>
      </c>
      <c r="C1767" s="13" t="s">
        <v>5</v>
      </c>
      <c r="D1767" s="13" t="s">
        <v>1280</v>
      </c>
      <c r="E1767" s="16" t="n">
        <v>472</v>
      </c>
      <c r="F1767" s="7" t="n">
        <v>2</v>
      </c>
      <c r="G1767" s="5" t="n">
        <v>940</v>
      </c>
    </row>
    <row r="1768" customFormat="false" ht="15" hidden="false" customHeight="false" outlineLevel="0" collapsed="false">
      <c r="A1768" s="13" t="s">
        <v>153</v>
      </c>
      <c r="B1768" s="13" t="s">
        <v>43</v>
      </c>
      <c r="C1768" s="13" t="s">
        <v>5</v>
      </c>
      <c r="D1768" s="13" t="s">
        <v>1281</v>
      </c>
      <c r="E1768" s="16" t="n">
        <v>469.48</v>
      </c>
      <c r="F1768" s="7" t="n">
        <v>2</v>
      </c>
      <c r="G1768" s="5" t="n">
        <v>940</v>
      </c>
    </row>
    <row r="1769" customFormat="false" ht="15" hidden="false" customHeight="false" outlineLevel="0" collapsed="false">
      <c r="A1769" s="13" t="s">
        <v>79</v>
      </c>
      <c r="B1769" s="13" t="s">
        <v>43</v>
      </c>
      <c r="C1769" s="13" t="s">
        <v>5</v>
      </c>
      <c r="D1769" s="13" t="s">
        <v>426</v>
      </c>
      <c r="E1769" s="16" t="n">
        <v>470</v>
      </c>
      <c r="F1769" s="7" t="n">
        <v>2</v>
      </c>
      <c r="G1769" s="5" t="n">
        <v>940</v>
      </c>
    </row>
    <row r="1770" customFormat="false" ht="15" hidden="false" customHeight="false" outlineLevel="0" collapsed="false">
      <c r="A1770" s="13" t="s">
        <v>103</v>
      </c>
      <c r="B1770" s="13" t="s">
        <v>43</v>
      </c>
      <c r="C1770" s="13" t="s">
        <v>5</v>
      </c>
      <c r="D1770" s="13" t="s">
        <v>1282</v>
      </c>
      <c r="E1770" s="16" t="n">
        <v>187</v>
      </c>
      <c r="F1770" s="7" t="n">
        <v>5</v>
      </c>
      <c r="G1770" s="5" t="n">
        <v>940</v>
      </c>
    </row>
    <row r="1771" customFormat="false" ht="15" hidden="false" customHeight="false" outlineLevel="0" collapsed="false">
      <c r="A1771" s="13" t="s">
        <v>50</v>
      </c>
      <c r="B1771" s="13" t="s">
        <v>43</v>
      </c>
      <c r="C1771" s="13" t="s">
        <v>5</v>
      </c>
      <c r="D1771" s="13" t="s">
        <v>1283</v>
      </c>
      <c r="E1771" s="16" t="n">
        <v>463</v>
      </c>
      <c r="F1771" s="7" t="n">
        <v>2</v>
      </c>
      <c r="G1771" s="5" t="n">
        <v>930</v>
      </c>
    </row>
    <row r="1772" customFormat="false" ht="15" hidden="false" customHeight="false" outlineLevel="0" collapsed="false">
      <c r="A1772" s="13" t="s">
        <v>630</v>
      </c>
      <c r="B1772" s="13" t="s">
        <v>43</v>
      </c>
      <c r="C1772" s="13" t="s">
        <v>5</v>
      </c>
      <c r="D1772" s="13" t="s">
        <v>1284</v>
      </c>
      <c r="E1772" s="16" t="n">
        <v>185.724</v>
      </c>
      <c r="F1772" s="7" t="n">
        <v>5</v>
      </c>
      <c r="G1772" s="5" t="n">
        <v>930</v>
      </c>
    </row>
    <row r="1773" customFormat="false" ht="15" hidden="false" customHeight="false" outlineLevel="0" collapsed="false">
      <c r="A1773" s="13" t="s">
        <v>42</v>
      </c>
      <c r="B1773" s="13" t="s">
        <v>43</v>
      </c>
      <c r="C1773" s="13" t="s">
        <v>4</v>
      </c>
      <c r="D1773" s="13" t="s">
        <v>1285</v>
      </c>
      <c r="E1773" s="16" t="n">
        <v>934.15</v>
      </c>
      <c r="F1773" s="7" t="n">
        <v>1</v>
      </c>
      <c r="G1773" s="5" t="n">
        <v>930</v>
      </c>
    </row>
    <row r="1774" customFormat="false" ht="15" hidden="false" customHeight="false" outlineLevel="0" collapsed="false">
      <c r="A1774" s="13" t="s">
        <v>50</v>
      </c>
      <c r="B1774" s="13" t="s">
        <v>43</v>
      </c>
      <c r="C1774" s="13" t="s">
        <v>4</v>
      </c>
      <c r="D1774" s="13" t="s">
        <v>1286</v>
      </c>
      <c r="E1774" s="16" t="n">
        <v>926.1</v>
      </c>
      <c r="F1774" s="7" t="n">
        <v>1</v>
      </c>
      <c r="G1774" s="5" t="n">
        <v>930</v>
      </c>
    </row>
    <row r="1775" customFormat="false" ht="15" hidden="false" customHeight="false" outlineLevel="0" collapsed="false">
      <c r="A1775" s="13" t="s">
        <v>42</v>
      </c>
      <c r="B1775" s="13" t="s">
        <v>43</v>
      </c>
      <c r="C1775" s="13" t="s">
        <v>4</v>
      </c>
      <c r="D1775" s="13" t="s">
        <v>137</v>
      </c>
      <c r="E1775" s="16" t="n">
        <v>926.1</v>
      </c>
      <c r="F1775" s="7" t="n">
        <v>1</v>
      </c>
      <c r="G1775" s="5" t="n">
        <v>930</v>
      </c>
    </row>
    <row r="1776" customFormat="false" ht="15" hidden="false" customHeight="false" outlineLevel="0" collapsed="false">
      <c r="A1776" s="13" t="s">
        <v>335</v>
      </c>
      <c r="B1776" s="13" t="s">
        <v>43</v>
      </c>
      <c r="C1776" s="13" t="s">
        <v>4</v>
      </c>
      <c r="D1776" s="13" t="s">
        <v>1287</v>
      </c>
      <c r="E1776" s="16" t="n">
        <v>308.9</v>
      </c>
      <c r="F1776" s="7" t="n">
        <v>2</v>
      </c>
      <c r="G1776" s="5" t="n">
        <v>930</v>
      </c>
    </row>
    <row r="1777" customFormat="false" ht="15" hidden="false" customHeight="false" outlineLevel="0" collapsed="false">
      <c r="A1777" s="13" t="s">
        <v>153</v>
      </c>
      <c r="B1777" s="13" t="s">
        <v>43</v>
      </c>
      <c r="C1777" s="13" t="s">
        <v>5</v>
      </c>
      <c r="D1777" s="13" t="s">
        <v>1288</v>
      </c>
      <c r="E1777" s="16" t="n">
        <v>309.3</v>
      </c>
      <c r="F1777" s="7" t="n">
        <v>2</v>
      </c>
      <c r="G1777" s="5" t="n">
        <v>930</v>
      </c>
    </row>
    <row r="1778" customFormat="false" ht="15" hidden="false" customHeight="false" outlineLevel="0" collapsed="false">
      <c r="A1778" s="13" t="s">
        <v>50</v>
      </c>
      <c r="B1778" s="13" t="s">
        <v>43</v>
      </c>
      <c r="C1778" s="13" t="s">
        <v>5</v>
      </c>
      <c r="D1778" s="13" t="s">
        <v>907</v>
      </c>
      <c r="E1778" s="16" t="n">
        <v>927.07</v>
      </c>
      <c r="F1778" s="7" t="n">
        <v>1</v>
      </c>
      <c r="G1778" s="5" t="n">
        <v>930</v>
      </c>
    </row>
    <row r="1779" customFormat="false" ht="15" hidden="false" customHeight="false" outlineLevel="0" collapsed="false">
      <c r="A1779" s="13" t="s">
        <v>54</v>
      </c>
      <c r="B1779" s="13" t="s">
        <v>43</v>
      </c>
      <c r="C1779" s="13" t="s">
        <v>5</v>
      </c>
      <c r="D1779" s="13" t="s">
        <v>1046</v>
      </c>
      <c r="E1779" s="16" t="n">
        <v>310.28</v>
      </c>
      <c r="F1779" s="7" t="n">
        <v>2</v>
      </c>
      <c r="G1779" s="5" t="n">
        <v>930</v>
      </c>
    </row>
    <row r="1780" customFormat="false" ht="15" hidden="false" customHeight="false" outlineLevel="0" collapsed="false">
      <c r="A1780" s="13" t="s">
        <v>121</v>
      </c>
      <c r="B1780" s="13" t="s">
        <v>43</v>
      </c>
      <c r="C1780" s="13" t="s">
        <v>5</v>
      </c>
      <c r="D1780" s="13" t="s">
        <v>1289</v>
      </c>
      <c r="E1780" s="16" t="n">
        <v>186.162</v>
      </c>
      <c r="F1780" s="7" t="n">
        <v>5</v>
      </c>
      <c r="G1780" s="5" t="n">
        <v>930</v>
      </c>
    </row>
    <row r="1781" customFormat="false" ht="15" hidden="false" customHeight="false" outlineLevel="0" collapsed="false">
      <c r="A1781" s="13" t="s">
        <v>45</v>
      </c>
      <c r="B1781" s="13" t="s">
        <v>43</v>
      </c>
      <c r="C1781" s="13" t="s">
        <v>4</v>
      </c>
      <c r="D1781" s="13" t="s">
        <v>1290</v>
      </c>
      <c r="E1781" s="16" t="n">
        <v>466.94</v>
      </c>
      <c r="F1781" s="7" t="n">
        <v>2</v>
      </c>
      <c r="G1781" s="5" t="n">
        <v>930</v>
      </c>
    </row>
    <row r="1782" customFormat="false" ht="15" hidden="false" customHeight="false" outlineLevel="0" collapsed="false">
      <c r="A1782" s="13" t="s">
        <v>45</v>
      </c>
      <c r="B1782" s="13" t="s">
        <v>43</v>
      </c>
      <c r="C1782" s="13" t="s">
        <v>4</v>
      </c>
      <c r="D1782" s="13" t="s">
        <v>499</v>
      </c>
      <c r="E1782" s="16" t="n">
        <v>927.29</v>
      </c>
      <c r="F1782" s="7" t="n">
        <v>1</v>
      </c>
      <c r="G1782" s="5" t="n">
        <v>930</v>
      </c>
    </row>
    <row r="1783" customFormat="false" ht="15" hidden="false" customHeight="false" outlineLevel="0" collapsed="false">
      <c r="A1783" s="13" t="s">
        <v>124</v>
      </c>
      <c r="B1783" s="13" t="s">
        <v>43</v>
      </c>
      <c r="C1783" s="13" t="s">
        <v>5</v>
      </c>
      <c r="D1783" s="13" t="s">
        <v>851</v>
      </c>
      <c r="E1783" s="16" t="n">
        <v>462.6</v>
      </c>
      <c r="F1783" s="7" t="n">
        <v>2</v>
      </c>
      <c r="G1783" s="5" t="n">
        <v>930</v>
      </c>
    </row>
    <row r="1784" customFormat="false" ht="15" hidden="false" customHeight="false" outlineLevel="0" collapsed="false">
      <c r="A1784" s="13" t="s">
        <v>105</v>
      </c>
      <c r="B1784" s="13" t="s">
        <v>43</v>
      </c>
      <c r="C1784" s="13" t="s">
        <v>4</v>
      </c>
      <c r="D1784" s="13" t="s">
        <v>1291</v>
      </c>
      <c r="E1784" s="16" t="n">
        <v>460.3</v>
      </c>
      <c r="F1784" s="7" t="n">
        <v>2</v>
      </c>
      <c r="G1784" s="5" t="n">
        <v>920</v>
      </c>
    </row>
    <row r="1785" customFormat="false" ht="15" hidden="false" customHeight="false" outlineLevel="0" collapsed="false">
      <c r="A1785" s="13" t="s">
        <v>45</v>
      </c>
      <c r="B1785" s="13" t="s">
        <v>43</v>
      </c>
      <c r="C1785" s="13" t="s">
        <v>4</v>
      </c>
      <c r="D1785" s="13" t="s">
        <v>1292</v>
      </c>
      <c r="E1785" s="16" t="n">
        <v>923.51</v>
      </c>
      <c r="F1785" s="7" t="n">
        <v>1</v>
      </c>
      <c r="G1785" s="5" t="n">
        <v>920</v>
      </c>
    </row>
    <row r="1786" customFormat="false" ht="15" hidden="false" customHeight="false" outlineLevel="0" collapsed="false">
      <c r="A1786" s="13" t="s">
        <v>50</v>
      </c>
      <c r="B1786" s="13" t="s">
        <v>43</v>
      </c>
      <c r="C1786" s="13" t="s">
        <v>4</v>
      </c>
      <c r="D1786" s="13" t="s">
        <v>1293</v>
      </c>
      <c r="E1786" s="16" t="n">
        <v>919.08</v>
      </c>
      <c r="F1786" s="7" t="n">
        <v>1</v>
      </c>
      <c r="G1786" s="5" t="n">
        <v>920</v>
      </c>
    </row>
    <row r="1787" customFormat="false" ht="15" hidden="false" customHeight="false" outlineLevel="0" collapsed="false">
      <c r="A1787" s="13" t="s">
        <v>45</v>
      </c>
      <c r="B1787" s="13" t="s">
        <v>43</v>
      </c>
      <c r="C1787" s="13" t="s">
        <v>5</v>
      </c>
      <c r="D1787" s="13" t="s">
        <v>881</v>
      </c>
      <c r="E1787" s="16" t="n">
        <v>921</v>
      </c>
      <c r="F1787" s="7" t="n">
        <v>1</v>
      </c>
      <c r="G1787" s="5" t="n">
        <v>920</v>
      </c>
    </row>
    <row r="1788" customFormat="false" ht="15" hidden="false" customHeight="false" outlineLevel="0" collapsed="false">
      <c r="A1788" s="13" t="s">
        <v>45</v>
      </c>
      <c r="B1788" s="13" t="s">
        <v>43</v>
      </c>
      <c r="C1788" s="13" t="s">
        <v>4</v>
      </c>
      <c r="D1788" s="13" t="s">
        <v>301</v>
      </c>
      <c r="E1788" s="16" t="n">
        <v>458.31</v>
      </c>
      <c r="F1788" s="7" t="n">
        <v>2</v>
      </c>
      <c r="G1788" s="5" t="n">
        <v>920</v>
      </c>
    </row>
    <row r="1789" customFormat="false" ht="15" hidden="false" customHeight="false" outlineLevel="0" collapsed="false">
      <c r="A1789" s="13" t="s">
        <v>204</v>
      </c>
      <c r="B1789" s="13" t="s">
        <v>43</v>
      </c>
      <c r="C1789" s="13" t="s">
        <v>3</v>
      </c>
      <c r="D1789" s="13" t="s">
        <v>1294</v>
      </c>
      <c r="E1789" s="16" t="n">
        <v>306</v>
      </c>
      <c r="F1789" s="7" t="n">
        <v>2</v>
      </c>
      <c r="G1789" s="5" t="n">
        <v>920</v>
      </c>
    </row>
    <row r="1790" customFormat="false" ht="15" hidden="false" customHeight="false" outlineLevel="0" collapsed="false">
      <c r="A1790" s="13" t="s">
        <v>50</v>
      </c>
      <c r="B1790" s="13" t="s">
        <v>43</v>
      </c>
      <c r="C1790" s="13" t="s">
        <v>4</v>
      </c>
      <c r="D1790" s="13" t="s">
        <v>1295</v>
      </c>
      <c r="E1790" s="16" t="n">
        <v>921.75</v>
      </c>
      <c r="F1790" s="7" t="n">
        <v>1</v>
      </c>
      <c r="G1790" s="5" t="n">
        <v>920</v>
      </c>
    </row>
    <row r="1791" customFormat="false" ht="15" hidden="false" customHeight="false" outlineLevel="0" collapsed="false">
      <c r="A1791" s="13" t="s">
        <v>42</v>
      </c>
      <c r="B1791" s="13" t="s">
        <v>43</v>
      </c>
      <c r="C1791" s="13" t="s">
        <v>4</v>
      </c>
      <c r="D1791" s="13" t="s">
        <v>912</v>
      </c>
      <c r="E1791" s="16" t="n">
        <v>917.15</v>
      </c>
      <c r="F1791" s="7" t="n">
        <v>1</v>
      </c>
      <c r="G1791" s="5" t="n">
        <v>920</v>
      </c>
    </row>
    <row r="1792" customFormat="false" ht="15" hidden="false" customHeight="false" outlineLevel="0" collapsed="false">
      <c r="A1792" s="13" t="s">
        <v>72</v>
      </c>
      <c r="B1792" s="13" t="s">
        <v>43</v>
      </c>
      <c r="C1792" s="13" t="s">
        <v>5</v>
      </c>
      <c r="D1792" s="13" t="s">
        <v>1296</v>
      </c>
      <c r="E1792" s="16" t="n">
        <v>918.85</v>
      </c>
      <c r="F1792" s="7" t="n">
        <v>1</v>
      </c>
      <c r="G1792" s="5" t="n">
        <v>920</v>
      </c>
    </row>
    <row r="1793" customFormat="false" ht="15" hidden="false" customHeight="false" outlineLevel="0" collapsed="false">
      <c r="A1793" s="13" t="s">
        <v>153</v>
      </c>
      <c r="B1793" s="13" t="s">
        <v>43</v>
      </c>
      <c r="C1793" s="13" t="s">
        <v>5</v>
      </c>
      <c r="D1793" s="13" t="s">
        <v>1297</v>
      </c>
      <c r="E1793" s="16" t="n">
        <v>307.66</v>
      </c>
      <c r="F1793" s="7" t="n">
        <v>2</v>
      </c>
      <c r="G1793" s="5" t="n">
        <v>920</v>
      </c>
    </row>
    <row r="1794" customFormat="false" ht="15" hidden="false" customHeight="false" outlineLevel="0" collapsed="false">
      <c r="A1794" s="13" t="s">
        <v>42</v>
      </c>
      <c r="B1794" s="13" t="s">
        <v>43</v>
      </c>
      <c r="C1794" s="13" t="s">
        <v>4</v>
      </c>
      <c r="D1794" s="13" t="s">
        <v>219</v>
      </c>
      <c r="E1794" s="16" t="n">
        <v>460.23</v>
      </c>
      <c r="F1794" s="7" t="n">
        <v>2</v>
      </c>
      <c r="G1794" s="5" t="n">
        <v>920</v>
      </c>
    </row>
    <row r="1795" customFormat="false" ht="15" hidden="false" customHeight="false" outlineLevel="0" collapsed="false">
      <c r="A1795" s="13" t="s">
        <v>45</v>
      </c>
      <c r="B1795" s="13" t="s">
        <v>43</v>
      </c>
      <c r="C1795" s="13" t="s">
        <v>4</v>
      </c>
      <c r="D1795" s="13" t="s">
        <v>1298</v>
      </c>
      <c r="E1795" s="16" t="n">
        <v>910.53</v>
      </c>
      <c r="F1795" s="7" t="n">
        <v>1</v>
      </c>
      <c r="G1795" s="5" t="n">
        <v>910</v>
      </c>
    </row>
    <row r="1796" customFormat="false" ht="15" hidden="false" customHeight="false" outlineLevel="0" collapsed="false">
      <c r="A1796" s="13" t="s">
        <v>341</v>
      </c>
      <c r="B1796" s="13" t="s">
        <v>85</v>
      </c>
      <c r="C1796" s="13" t="s">
        <v>4</v>
      </c>
      <c r="D1796" s="13" t="s">
        <v>1299</v>
      </c>
      <c r="E1796" s="16" t="n">
        <v>304.87</v>
      </c>
      <c r="F1796" s="7" t="n">
        <v>2</v>
      </c>
      <c r="G1796" s="5" t="n">
        <v>910</v>
      </c>
    </row>
    <row r="1797" customFormat="false" ht="15" hidden="false" customHeight="false" outlineLevel="0" collapsed="false">
      <c r="A1797" s="13" t="s">
        <v>42</v>
      </c>
      <c r="B1797" s="13" t="s">
        <v>43</v>
      </c>
      <c r="C1797" s="13" t="s">
        <v>4</v>
      </c>
      <c r="D1797" s="13" t="s">
        <v>460</v>
      </c>
      <c r="E1797" s="16" t="n">
        <v>906.13</v>
      </c>
      <c r="F1797" s="7" t="n">
        <v>1</v>
      </c>
      <c r="G1797" s="5" t="n">
        <v>910</v>
      </c>
    </row>
    <row r="1798" customFormat="false" ht="15" hidden="false" customHeight="false" outlineLevel="0" collapsed="false">
      <c r="A1798" s="13" t="s">
        <v>329</v>
      </c>
      <c r="B1798" s="13" t="s">
        <v>43</v>
      </c>
      <c r="C1798" s="13" t="s">
        <v>4</v>
      </c>
      <c r="D1798" s="13" t="s">
        <v>330</v>
      </c>
      <c r="E1798" s="16" t="n">
        <v>457.41</v>
      </c>
      <c r="F1798" s="7" t="n">
        <v>2</v>
      </c>
      <c r="G1798" s="5" t="n">
        <v>910</v>
      </c>
    </row>
    <row r="1799" customFormat="false" ht="15" hidden="false" customHeight="false" outlineLevel="0" collapsed="false">
      <c r="A1799" s="13" t="s">
        <v>179</v>
      </c>
      <c r="B1799" s="13" t="s">
        <v>85</v>
      </c>
      <c r="C1799" s="13" t="s">
        <v>3</v>
      </c>
      <c r="D1799" s="13" t="s">
        <v>1300</v>
      </c>
      <c r="E1799" s="16" t="n">
        <v>129.99</v>
      </c>
      <c r="F1799" s="7" t="n">
        <v>5</v>
      </c>
      <c r="G1799" s="5" t="n">
        <v>910</v>
      </c>
    </row>
    <row r="1800" customFormat="false" ht="15" hidden="false" customHeight="false" outlineLevel="0" collapsed="false">
      <c r="A1800" s="13" t="s">
        <v>81</v>
      </c>
      <c r="B1800" s="13" t="s">
        <v>85</v>
      </c>
      <c r="C1800" s="13" t="s">
        <v>3</v>
      </c>
      <c r="D1800" s="13" t="s">
        <v>1301</v>
      </c>
      <c r="E1800" s="16" t="n">
        <v>37.99</v>
      </c>
      <c r="F1800" s="7" t="n">
        <v>20</v>
      </c>
      <c r="G1800" s="5" t="n">
        <v>910</v>
      </c>
    </row>
    <row r="1801" customFormat="false" ht="15" hidden="false" customHeight="false" outlineLevel="0" collapsed="false">
      <c r="A1801" s="13" t="s">
        <v>45</v>
      </c>
      <c r="B1801" s="13" t="s">
        <v>43</v>
      </c>
      <c r="C1801" s="13" t="s">
        <v>5</v>
      </c>
      <c r="D1801" s="13" t="s">
        <v>780</v>
      </c>
      <c r="E1801" s="16" t="n">
        <v>455</v>
      </c>
      <c r="F1801" s="7" t="n">
        <v>2</v>
      </c>
      <c r="G1801" s="5" t="n">
        <v>910</v>
      </c>
    </row>
    <row r="1802" customFormat="false" ht="15" hidden="false" customHeight="false" outlineLevel="0" collapsed="false">
      <c r="A1802" s="13" t="s">
        <v>69</v>
      </c>
      <c r="B1802" s="13" t="s">
        <v>43</v>
      </c>
      <c r="C1802" s="13" t="s">
        <v>5</v>
      </c>
      <c r="D1802" s="13" t="s">
        <v>423</v>
      </c>
      <c r="E1802" s="16" t="n">
        <v>909.55</v>
      </c>
      <c r="F1802" s="7" t="n">
        <v>1</v>
      </c>
      <c r="G1802" s="5" t="n">
        <v>910</v>
      </c>
    </row>
    <row r="1803" customFormat="false" ht="15" hidden="false" customHeight="false" outlineLevel="0" collapsed="false">
      <c r="A1803" s="13" t="s">
        <v>50</v>
      </c>
      <c r="B1803" s="13" t="s">
        <v>43</v>
      </c>
      <c r="C1803" s="13" t="s">
        <v>5</v>
      </c>
      <c r="D1803" s="13" t="s">
        <v>899</v>
      </c>
      <c r="E1803" s="16" t="n">
        <v>304.47</v>
      </c>
      <c r="F1803" s="7" t="n">
        <v>2</v>
      </c>
      <c r="G1803" s="5" t="n">
        <v>910</v>
      </c>
    </row>
    <row r="1804" customFormat="false" ht="15" hidden="false" customHeight="false" outlineLevel="0" collapsed="false">
      <c r="A1804" s="13" t="s">
        <v>286</v>
      </c>
      <c r="B1804" s="13" t="s">
        <v>43</v>
      </c>
      <c r="C1804" s="13" t="s">
        <v>4</v>
      </c>
      <c r="D1804" s="13" t="s">
        <v>1302</v>
      </c>
      <c r="E1804" s="16" t="n">
        <v>449.52</v>
      </c>
      <c r="F1804" s="7" t="n">
        <v>2</v>
      </c>
      <c r="G1804" s="5" t="n">
        <v>900</v>
      </c>
    </row>
    <row r="1805" customFormat="false" ht="15" hidden="false" customHeight="false" outlineLevel="0" collapsed="false">
      <c r="A1805" s="13" t="s">
        <v>42</v>
      </c>
      <c r="B1805" s="13" t="s">
        <v>43</v>
      </c>
      <c r="C1805" s="13" t="s">
        <v>4</v>
      </c>
      <c r="D1805" s="13" t="s">
        <v>219</v>
      </c>
      <c r="E1805" s="16" t="n">
        <v>898.32</v>
      </c>
      <c r="F1805" s="7" t="n">
        <v>1</v>
      </c>
      <c r="G1805" s="5" t="n">
        <v>900</v>
      </c>
    </row>
    <row r="1806" customFormat="false" ht="15" hidden="false" customHeight="false" outlineLevel="0" collapsed="false">
      <c r="A1806" s="13" t="s">
        <v>79</v>
      </c>
      <c r="B1806" s="13" t="s">
        <v>43</v>
      </c>
      <c r="C1806" s="13" t="s">
        <v>4</v>
      </c>
      <c r="D1806" s="13" t="s">
        <v>1303</v>
      </c>
      <c r="E1806" s="16" t="n">
        <v>900.35</v>
      </c>
      <c r="F1806" s="7" t="n">
        <v>1</v>
      </c>
      <c r="G1806" s="5" t="n">
        <v>900</v>
      </c>
    </row>
    <row r="1807" customFormat="false" ht="15" hidden="false" customHeight="false" outlineLevel="0" collapsed="false">
      <c r="A1807" s="13" t="s">
        <v>45</v>
      </c>
      <c r="B1807" s="13" t="s">
        <v>43</v>
      </c>
      <c r="C1807" s="13" t="s">
        <v>5</v>
      </c>
      <c r="D1807" s="13" t="s">
        <v>447</v>
      </c>
      <c r="E1807" s="16" t="n">
        <v>898.85</v>
      </c>
      <c r="F1807" s="7" t="n">
        <v>1</v>
      </c>
      <c r="G1807" s="5" t="n">
        <v>900</v>
      </c>
    </row>
    <row r="1808" customFormat="false" ht="15" hidden="false" customHeight="false" outlineLevel="0" collapsed="false">
      <c r="A1808" s="13" t="s">
        <v>179</v>
      </c>
      <c r="B1808" s="13" t="s">
        <v>85</v>
      </c>
      <c r="C1808" s="13" t="s">
        <v>3</v>
      </c>
      <c r="D1808" s="13" t="s">
        <v>1304</v>
      </c>
      <c r="E1808" s="16" t="n">
        <v>179</v>
      </c>
      <c r="F1808" s="7" t="n">
        <v>5</v>
      </c>
      <c r="G1808" s="5" t="n">
        <v>900</v>
      </c>
    </row>
    <row r="1809" customFormat="false" ht="15" hidden="false" customHeight="false" outlineLevel="0" collapsed="false">
      <c r="A1809" s="13" t="s">
        <v>191</v>
      </c>
      <c r="B1809" s="13" t="s">
        <v>183</v>
      </c>
      <c r="C1809" s="13" t="s">
        <v>3</v>
      </c>
      <c r="D1809" s="13" t="s">
        <v>1305</v>
      </c>
      <c r="E1809" s="16" t="n">
        <v>99.99</v>
      </c>
      <c r="F1809" s="7" t="n">
        <v>5</v>
      </c>
      <c r="G1809" s="5" t="n">
        <v>900</v>
      </c>
    </row>
    <row r="1810" customFormat="false" ht="15" hidden="false" customHeight="false" outlineLevel="0" collapsed="false">
      <c r="A1810" s="13" t="s">
        <v>490</v>
      </c>
      <c r="B1810" s="13" t="s">
        <v>43</v>
      </c>
      <c r="C1810" s="13" t="s">
        <v>5</v>
      </c>
      <c r="D1810" s="13" t="s">
        <v>549</v>
      </c>
      <c r="E1810" s="16" t="n">
        <v>298.9</v>
      </c>
      <c r="F1810" s="7" t="n">
        <v>2</v>
      </c>
      <c r="G1810" s="5" t="n">
        <v>900</v>
      </c>
    </row>
    <row r="1811" customFormat="false" ht="15" hidden="false" customHeight="false" outlineLevel="0" collapsed="false">
      <c r="A1811" s="13" t="s">
        <v>103</v>
      </c>
      <c r="B1811" s="13" t="s">
        <v>43</v>
      </c>
      <c r="C1811" s="13" t="s">
        <v>5</v>
      </c>
      <c r="D1811" s="13" t="s">
        <v>511</v>
      </c>
      <c r="E1811" s="16" t="n">
        <v>179.46</v>
      </c>
      <c r="F1811" s="7" t="n">
        <v>5</v>
      </c>
      <c r="G1811" s="5" t="n">
        <v>900</v>
      </c>
    </row>
    <row r="1812" customFormat="false" ht="15" hidden="false" customHeight="false" outlineLevel="0" collapsed="false">
      <c r="A1812" s="13" t="s">
        <v>153</v>
      </c>
      <c r="B1812" s="13" t="s">
        <v>43</v>
      </c>
      <c r="C1812" s="13" t="s">
        <v>5</v>
      </c>
      <c r="D1812" s="13" t="s">
        <v>1306</v>
      </c>
      <c r="E1812" s="16" t="n">
        <v>898.85</v>
      </c>
      <c r="F1812" s="7" t="n">
        <v>1</v>
      </c>
      <c r="G1812" s="5" t="n">
        <v>900</v>
      </c>
    </row>
    <row r="1813" customFormat="false" ht="15" hidden="false" customHeight="false" outlineLevel="0" collapsed="false">
      <c r="A1813" s="13" t="s">
        <v>61</v>
      </c>
      <c r="B1813" s="13" t="s">
        <v>43</v>
      </c>
      <c r="C1813" s="13" t="s">
        <v>5</v>
      </c>
      <c r="D1813" s="13" t="s">
        <v>1307</v>
      </c>
      <c r="E1813" s="16" t="n">
        <v>450.85</v>
      </c>
      <c r="F1813" s="7" t="n">
        <v>2</v>
      </c>
      <c r="G1813" s="5" t="n">
        <v>900</v>
      </c>
    </row>
    <row r="1814" customFormat="false" ht="15" hidden="false" customHeight="false" outlineLevel="0" collapsed="false">
      <c r="A1814" s="13" t="s">
        <v>42</v>
      </c>
      <c r="B1814" s="13" t="s">
        <v>43</v>
      </c>
      <c r="C1814" s="13" t="s">
        <v>5</v>
      </c>
      <c r="D1814" s="13" t="s">
        <v>1308</v>
      </c>
      <c r="E1814" s="16" t="n">
        <v>225.9875</v>
      </c>
      <c r="F1814" s="7" t="n">
        <v>2</v>
      </c>
      <c r="G1814" s="5" t="n">
        <v>900</v>
      </c>
    </row>
    <row r="1815" customFormat="false" ht="15" hidden="false" customHeight="false" outlineLevel="0" collapsed="false">
      <c r="A1815" s="13" t="s">
        <v>50</v>
      </c>
      <c r="B1815" s="13" t="s">
        <v>43</v>
      </c>
      <c r="C1815" s="13" t="s">
        <v>4</v>
      </c>
      <c r="D1815" s="13" t="s">
        <v>644</v>
      </c>
      <c r="E1815" s="16" t="n">
        <v>891.51</v>
      </c>
      <c r="F1815" s="7" t="n">
        <v>1</v>
      </c>
      <c r="G1815" s="5" t="n">
        <v>890</v>
      </c>
    </row>
    <row r="1816" customFormat="false" ht="15" hidden="false" customHeight="false" outlineLevel="0" collapsed="false">
      <c r="A1816" s="13" t="s">
        <v>121</v>
      </c>
      <c r="B1816" s="13" t="s">
        <v>43</v>
      </c>
      <c r="C1816" s="13" t="s">
        <v>5</v>
      </c>
      <c r="D1816" s="13" t="s">
        <v>1309</v>
      </c>
      <c r="E1816" s="16" t="n">
        <v>149</v>
      </c>
      <c r="F1816" s="7" t="n">
        <v>5</v>
      </c>
      <c r="G1816" s="5" t="n">
        <v>890</v>
      </c>
    </row>
    <row r="1817" customFormat="false" ht="15" hidden="false" customHeight="false" outlineLevel="0" collapsed="false">
      <c r="A1817" s="13" t="s">
        <v>61</v>
      </c>
      <c r="B1817" s="13" t="s">
        <v>43</v>
      </c>
      <c r="C1817" s="13" t="s">
        <v>5</v>
      </c>
      <c r="D1817" s="13" t="s">
        <v>1310</v>
      </c>
      <c r="E1817" s="16" t="n">
        <v>445.425</v>
      </c>
      <c r="F1817" s="7" t="n">
        <v>2</v>
      </c>
      <c r="G1817" s="5" t="n">
        <v>890</v>
      </c>
    </row>
    <row r="1818" customFormat="false" ht="15" hidden="false" customHeight="false" outlineLevel="0" collapsed="false">
      <c r="A1818" s="13" t="s">
        <v>179</v>
      </c>
      <c r="B1818" s="13" t="s">
        <v>180</v>
      </c>
      <c r="C1818" s="13" t="s">
        <v>3</v>
      </c>
      <c r="D1818" s="13" t="s">
        <v>1311</v>
      </c>
      <c r="E1818" s="16" t="n">
        <v>99</v>
      </c>
      <c r="F1818" s="7" t="n">
        <v>5</v>
      </c>
      <c r="G1818" s="5" t="n">
        <v>890</v>
      </c>
    </row>
    <row r="1819" customFormat="false" ht="15" hidden="false" customHeight="false" outlineLevel="0" collapsed="false">
      <c r="A1819" s="13" t="s">
        <v>42</v>
      </c>
      <c r="B1819" s="13" t="s">
        <v>43</v>
      </c>
      <c r="C1819" s="13" t="s">
        <v>4</v>
      </c>
      <c r="D1819" s="13" t="s">
        <v>237</v>
      </c>
      <c r="E1819" s="16" t="n">
        <v>444.11</v>
      </c>
      <c r="F1819" s="7" t="n">
        <v>2</v>
      </c>
      <c r="G1819" s="5" t="n">
        <v>890</v>
      </c>
    </row>
    <row r="1820" customFormat="false" ht="15" hidden="false" customHeight="false" outlineLevel="0" collapsed="false">
      <c r="A1820" s="13" t="s">
        <v>54</v>
      </c>
      <c r="B1820" s="13" t="s">
        <v>183</v>
      </c>
      <c r="C1820" s="13" t="s">
        <v>5</v>
      </c>
      <c r="D1820" s="13" t="s">
        <v>1312</v>
      </c>
      <c r="E1820" s="16" t="n">
        <v>296</v>
      </c>
      <c r="F1820" s="7" t="n">
        <v>2</v>
      </c>
      <c r="G1820" s="5" t="n">
        <v>890</v>
      </c>
    </row>
    <row r="1821" customFormat="false" ht="15" hidden="false" customHeight="false" outlineLevel="0" collapsed="false">
      <c r="A1821" s="13" t="s">
        <v>490</v>
      </c>
      <c r="B1821" s="13" t="s">
        <v>43</v>
      </c>
      <c r="C1821" s="13" t="s">
        <v>5</v>
      </c>
      <c r="D1821" s="13" t="s">
        <v>1313</v>
      </c>
      <c r="E1821" s="16" t="n">
        <v>298</v>
      </c>
      <c r="F1821" s="7" t="n">
        <v>2</v>
      </c>
      <c r="G1821" s="5" t="n">
        <v>890</v>
      </c>
    </row>
    <row r="1822" customFormat="false" ht="15" hidden="false" customHeight="false" outlineLevel="0" collapsed="false">
      <c r="A1822" s="13" t="s">
        <v>124</v>
      </c>
      <c r="B1822" s="13" t="s">
        <v>43</v>
      </c>
      <c r="C1822" s="13" t="s">
        <v>5</v>
      </c>
      <c r="D1822" s="13" t="s">
        <v>1314</v>
      </c>
      <c r="E1822" s="16" t="n">
        <v>892.66</v>
      </c>
      <c r="F1822" s="7" t="n">
        <v>1</v>
      </c>
      <c r="G1822" s="5" t="n">
        <v>890</v>
      </c>
    </row>
    <row r="1823" customFormat="false" ht="15" hidden="false" customHeight="false" outlineLevel="0" collapsed="false">
      <c r="A1823" s="13" t="s">
        <v>45</v>
      </c>
      <c r="B1823" s="13" t="s">
        <v>43</v>
      </c>
      <c r="C1823" s="13" t="s">
        <v>4</v>
      </c>
      <c r="D1823" s="13" t="s">
        <v>292</v>
      </c>
      <c r="E1823" s="16" t="n">
        <v>890.89</v>
      </c>
      <c r="F1823" s="7" t="n">
        <v>1</v>
      </c>
      <c r="G1823" s="5" t="n">
        <v>890</v>
      </c>
    </row>
    <row r="1824" customFormat="false" ht="15" hidden="false" customHeight="false" outlineLevel="0" collapsed="false">
      <c r="A1824" s="13" t="s">
        <v>42</v>
      </c>
      <c r="B1824" s="13" t="s">
        <v>43</v>
      </c>
      <c r="C1824" s="13" t="s">
        <v>4</v>
      </c>
      <c r="D1824" s="13" t="s">
        <v>246</v>
      </c>
      <c r="E1824" s="16" t="n">
        <v>879.17</v>
      </c>
      <c r="F1824" s="7" t="n">
        <v>1</v>
      </c>
      <c r="G1824" s="5" t="n">
        <v>880</v>
      </c>
    </row>
    <row r="1825" customFormat="false" ht="15" hidden="false" customHeight="false" outlineLevel="0" collapsed="false">
      <c r="A1825" s="13" t="s">
        <v>50</v>
      </c>
      <c r="B1825" s="13" t="s">
        <v>43</v>
      </c>
      <c r="C1825" s="13" t="s">
        <v>4</v>
      </c>
      <c r="D1825" s="13" t="s">
        <v>1315</v>
      </c>
      <c r="E1825" s="16" t="n">
        <v>879.12</v>
      </c>
      <c r="F1825" s="7" t="n">
        <v>1</v>
      </c>
      <c r="G1825" s="5" t="n">
        <v>880</v>
      </c>
    </row>
    <row r="1826" customFormat="false" ht="15" hidden="false" customHeight="false" outlineLevel="0" collapsed="false">
      <c r="A1826" s="13" t="s">
        <v>50</v>
      </c>
      <c r="B1826" s="13" t="s">
        <v>43</v>
      </c>
      <c r="C1826" s="13" t="s">
        <v>4</v>
      </c>
      <c r="D1826" s="13" t="s">
        <v>289</v>
      </c>
      <c r="E1826" s="16" t="n">
        <v>880.84</v>
      </c>
      <c r="F1826" s="7" t="n">
        <v>1</v>
      </c>
      <c r="G1826" s="5" t="n">
        <v>880</v>
      </c>
    </row>
    <row r="1827" customFormat="false" ht="15" hidden="false" customHeight="false" outlineLevel="0" collapsed="false">
      <c r="A1827" s="13" t="s">
        <v>50</v>
      </c>
      <c r="B1827" s="13" t="s">
        <v>43</v>
      </c>
      <c r="C1827" s="13" t="s">
        <v>4</v>
      </c>
      <c r="D1827" s="13" t="s">
        <v>1316</v>
      </c>
      <c r="E1827" s="16" t="n">
        <v>883.32</v>
      </c>
      <c r="F1827" s="7" t="n">
        <v>1</v>
      </c>
      <c r="G1827" s="5" t="n">
        <v>880</v>
      </c>
    </row>
    <row r="1828" customFormat="false" ht="15" hidden="false" customHeight="false" outlineLevel="0" collapsed="false">
      <c r="A1828" s="13" t="s">
        <v>50</v>
      </c>
      <c r="B1828" s="13" t="s">
        <v>43</v>
      </c>
      <c r="C1828" s="13" t="s">
        <v>4</v>
      </c>
      <c r="D1828" s="13" t="s">
        <v>417</v>
      </c>
      <c r="E1828" s="16" t="n">
        <v>879.12</v>
      </c>
      <c r="F1828" s="7" t="n">
        <v>1</v>
      </c>
      <c r="G1828" s="5" t="n">
        <v>880</v>
      </c>
    </row>
    <row r="1829" customFormat="false" ht="15" hidden="false" customHeight="false" outlineLevel="0" collapsed="false">
      <c r="A1829" s="13" t="s">
        <v>42</v>
      </c>
      <c r="B1829" s="13" t="s">
        <v>43</v>
      </c>
      <c r="C1829" s="13" t="s">
        <v>4</v>
      </c>
      <c r="D1829" s="13" t="s">
        <v>1317</v>
      </c>
      <c r="E1829" s="16" t="n">
        <v>876.34</v>
      </c>
      <c r="F1829" s="7" t="n">
        <v>1</v>
      </c>
      <c r="G1829" s="5" t="n">
        <v>880</v>
      </c>
    </row>
    <row r="1830" customFormat="false" ht="15" hidden="false" customHeight="false" outlineLevel="0" collapsed="false">
      <c r="A1830" s="13" t="s">
        <v>45</v>
      </c>
      <c r="B1830" s="13" t="s">
        <v>43</v>
      </c>
      <c r="C1830" s="13" t="s">
        <v>4</v>
      </c>
      <c r="D1830" s="13" t="s">
        <v>615</v>
      </c>
      <c r="E1830" s="16" t="n">
        <v>881.79</v>
      </c>
      <c r="F1830" s="7" t="n">
        <v>1</v>
      </c>
      <c r="G1830" s="5" t="n">
        <v>880</v>
      </c>
    </row>
    <row r="1831" customFormat="false" ht="15" hidden="false" customHeight="false" outlineLevel="0" collapsed="false">
      <c r="A1831" s="13" t="s">
        <v>61</v>
      </c>
      <c r="B1831" s="13" t="s">
        <v>43</v>
      </c>
      <c r="C1831" s="13" t="s">
        <v>5</v>
      </c>
      <c r="D1831" s="13" t="s">
        <v>413</v>
      </c>
      <c r="E1831" s="16" t="n">
        <v>879.99</v>
      </c>
      <c r="F1831" s="7" t="n">
        <v>1</v>
      </c>
      <c r="G1831" s="5" t="n">
        <v>880</v>
      </c>
    </row>
    <row r="1832" customFormat="false" ht="15" hidden="false" customHeight="false" outlineLevel="0" collapsed="false">
      <c r="A1832" s="13" t="s">
        <v>45</v>
      </c>
      <c r="B1832" s="13" t="s">
        <v>43</v>
      </c>
      <c r="C1832" s="13" t="s">
        <v>4</v>
      </c>
      <c r="D1832" s="13" t="s">
        <v>113</v>
      </c>
      <c r="E1832" s="16" t="n">
        <v>879.2</v>
      </c>
      <c r="F1832" s="7" t="n">
        <v>1</v>
      </c>
      <c r="G1832" s="5" t="n">
        <v>880</v>
      </c>
    </row>
    <row r="1833" customFormat="false" ht="15" hidden="false" customHeight="false" outlineLevel="0" collapsed="false">
      <c r="A1833" s="13" t="s">
        <v>61</v>
      </c>
      <c r="B1833" s="13" t="s">
        <v>183</v>
      </c>
      <c r="C1833" s="13" t="s">
        <v>5</v>
      </c>
      <c r="D1833" s="13" t="s">
        <v>1318</v>
      </c>
      <c r="E1833" s="16" t="n">
        <v>879.85</v>
      </c>
      <c r="F1833" s="7" t="n">
        <v>1</v>
      </c>
      <c r="G1833" s="5" t="n">
        <v>880</v>
      </c>
    </row>
    <row r="1834" customFormat="false" ht="15" hidden="false" customHeight="false" outlineLevel="0" collapsed="false">
      <c r="A1834" s="13" t="s">
        <v>61</v>
      </c>
      <c r="B1834" s="13" t="s">
        <v>43</v>
      </c>
      <c r="C1834" s="13" t="s">
        <v>5</v>
      </c>
      <c r="D1834" s="13" t="s">
        <v>1319</v>
      </c>
      <c r="E1834" s="16" t="n">
        <v>879.85</v>
      </c>
      <c r="F1834" s="7" t="n">
        <v>1</v>
      </c>
      <c r="G1834" s="5" t="n">
        <v>880</v>
      </c>
    </row>
    <row r="1835" customFormat="false" ht="15" hidden="false" customHeight="false" outlineLevel="0" collapsed="false">
      <c r="A1835" s="13" t="s">
        <v>42</v>
      </c>
      <c r="B1835" s="13" t="s">
        <v>43</v>
      </c>
      <c r="C1835" s="13" t="s">
        <v>5</v>
      </c>
      <c r="D1835" s="13" t="s">
        <v>1320</v>
      </c>
      <c r="E1835" s="16" t="n">
        <v>438.85</v>
      </c>
      <c r="F1835" s="7" t="n">
        <v>2</v>
      </c>
      <c r="G1835" s="5" t="n">
        <v>880</v>
      </c>
    </row>
    <row r="1836" customFormat="false" ht="15" hidden="false" customHeight="false" outlineLevel="0" collapsed="false">
      <c r="A1836" s="13" t="s">
        <v>45</v>
      </c>
      <c r="B1836" s="13" t="s">
        <v>43</v>
      </c>
      <c r="C1836" s="13" t="s">
        <v>5</v>
      </c>
      <c r="D1836" s="13" t="s">
        <v>1321</v>
      </c>
      <c r="E1836" s="16" t="n">
        <v>879.08</v>
      </c>
      <c r="F1836" s="7" t="n">
        <v>1</v>
      </c>
      <c r="G1836" s="5" t="n">
        <v>880</v>
      </c>
    </row>
    <row r="1837" customFormat="false" ht="15" hidden="false" customHeight="false" outlineLevel="0" collapsed="false">
      <c r="A1837" s="13" t="s">
        <v>69</v>
      </c>
      <c r="B1837" s="13" t="s">
        <v>43</v>
      </c>
      <c r="C1837" s="13" t="s">
        <v>5</v>
      </c>
      <c r="D1837" s="13" t="s">
        <v>120</v>
      </c>
      <c r="E1837" s="16" t="n">
        <v>879.08</v>
      </c>
      <c r="F1837" s="7" t="n">
        <v>1</v>
      </c>
      <c r="G1837" s="5" t="n">
        <v>880</v>
      </c>
    </row>
    <row r="1838" customFormat="false" ht="15" hidden="false" customHeight="false" outlineLevel="0" collapsed="false">
      <c r="A1838" s="13" t="s">
        <v>69</v>
      </c>
      <c r="B1838" s="13" t="s">
        <v>43</v>
      </c>
      <c r="C1838" s="13" t="s">
        <v>5</v>
      </c>
      <c r="D1838" s="13" t="s">
        <v>545</v>
      </c>
      <c r="E1838" s="16" t="n">
        <v>438.44</v>
      </c>
      <c r="F1838" s="7" t="n">
        <v>2</v>
      </c>
      <c r="G1838" s="5" t="n">
        <v>880</v>
      </c>
    </row>
    <row r="1839" customFormat="false" ht="15" hidden="false" customHeight="false" outlineLevel="0" collapsed="false">
      <c r="A1839" s="13" t="s">
        <v>50</v>
      </c>
      <c r="B1839" s="13" t="s">
        <v>43</v>
      </c>
      <c r="C1839" s="13" t="s">
        <v>4</v>
      </c>
      <c r="D1839" s="13" t="s">
        <v>1322</v>
      </c>
      <c r="E1839" s="16" t="n">
        <v>874</v>
      </c>
      <c r="F1839" s="7" t="n">
        <v>1</v>
      </c>
      <c r="G1839" s="5" t="n">
        <v>870</v>
      </c>
    </row>
    <row r="1840" customFormat="false" ht="15" hidden="false" customHeight="false" outlineLevel="0" collapsed="false">
      <c r="A1840" s="13" t="s">
        <v>79</v>
      </c>
      <c r="B1840" s="13" t="s">
        <v>43</v>
      </c>
      <c r="C1840" s="13" t="s">
        <v>4</v>
      </c>
      <c r="D1840" s="13" t="s">
        <v>1323</v>
      </c>
      <c r="E1840" s="16" t="n">
        <v>868.7</v>
      </c>
      <c r="F1840" s="7" t="n">
        <v>1</v>
      </c>
      <c r="G1840" s="5" t="n">
        <v>870</v>
      </c>
    </row>
    <row r="1841" customFormat="false" ht="15" hidden="false" customHeight="false" outlineLevel="0" collapsed="false">
      <c r="A1841" s="13" t="s">
        <v>153</v>
      </c>
      <c r="B1841" s="13" t="s">
        <v>43</v>
      </c>
      <c r="C1841" s="13" t="s">
        <v>4</v>
      </c>
      <c r="D1841" s="13" t="s">
        <v>1324</v>
      </c>
      <c r="E1841" s="16" t="n">
        <v>289.67</v>
      </c>
      <c r="F1841" s="7" t="n">
        <v>2</v>
      </c>
      <c r="G1841" s="5" t="n">
        <v>870</v>
      </c>
    </row>
    <row r="1842" customFormat="false" ht="15" hidden="false" customHeight="false" outlineLevel="0" collapsed="false">
      <c r="A1842" s="13" t="s">
        <v>45</v>
      </c>
      <c r="B1842" s="13" t="s">
        <v>43</v>
      </c>
      <c r="C1842" s="13" t="s">
        <v>4</v>
      </c>
      <c r="D1842" s="13" t="s">
        <v>1325</v>
      </c>
      <c r="E1842" s="16" t="n">
        <v>866.72</v>
      </c>
      <c r="F1842" s="7" t="n">
        <v>1</v>
      </c>
      <c r="G1842" s="5" t="n">
        <v>870</v>
      </c>
    </row>
    <row r="1843" customFormat="false" ht="15" hidden="false" customHeight="false" outlineLevel="0" collapsed="false">
      <c r="A1843" s="13" t="s">
        <v>50</v>
      </c>
      <c r="B1843" s="13" t="s">
        <v>43</v>
      </c>
      <c r="C1843" s="13" t="s">
        <v>4</v>
      </c>
      <c r="D1843" s="13" t="s">
        <v>1326</v>
      </c>
      <c r="E1843" s="16" t="n">
        <v>865.06</v>
      </c>
      <c r="F1843" s="7" t="n">
        <v>1</v>
      </c>
      <c r="G1843" s="5" t="n">
        <v>870</v>
      </c>
    </row>
    <row r="1844" customFormat="false" ht="15" hidden="false" customHeight="false" outlineLevel="0" collapsed="false">
      <c r="A1844" s="13" t="s">
        <v>45</v>
      </c>
      <c r="B1844" s="13" t="s">
        <v>43</v>
      </c>
      <c r="C1844" s="13" t="s">
        <v>4</v>
      </c>
      <c r="D1844" s="13" t="s">
        <v>1327</v>
      </c>
      <c r="E1844" s="16" t="n">
        <v>869.13</v>
      </c>
      <c r="F1844" s="7" t="n">
        <v>1</v>
      </c>
      <c r="G1844" s="5" t="n">
        <v>870</v>
      </c>
    </row>
    <row r="1845" customFormat="false" ht="15" hidden="false" customHeight="false" outlineLevel="0" collapsed="false">
      <c r="A1845" s="13" t="s">
        <v>490</v>
      </c>
      <c r="B1845" s="13" t="s">
        <v>43</v>
      </c>
      <c r="C1845" s="13" t="s">
        <v>4</v>
      </c>
      <c r="D1845" s="13" t="s">
        <v>1328</v>
      </c>
      <c r="E1845" s="16" t="n">
        <v>433.71</v>
      </c>
      <c r="F1845" s="7" t="n">
        <v>2</v>
      </c>
      <c r="G1845" s="5" t="n">
        <v>870</v>
      </c>
    </row>
    <row r="1846" customFormat="false" ht="15" hidden="false" customHeight="false" outlineLevel="0" collapsed="false">
      <c r="A1846" s="13" t="s">
        <v>195</v>
      </c>
      <c r="B1846" s="13" t="s">
        <v>43</v>
      </c>
      <c r="C1846" s="13" t="s">
        <v>4</v>
      </c>
      <c r="D1846" s="13" t="s">
        <v>1329</v>
      </c>
      <c r="E1846" s="16" t="n">
        <v>868.21</v>
      </c>
      <c r="F1846" s="7" t="n">
        <v>1</v>
      </c>
      <c r="G1846" s="5" t="n">
        <v>870</v>
      </c>
    </row>
    <row r="1847" customFormat="false" ht="15" hidden="false" customHeight="false" outlineLevel="0" collapsed="false">
      <c r="A1847" s="13" t="s">
        <v>103</v>
      </c>
      <c r="B1847" s="13" t="s">
        <v>43</v>
      </c>
      <c r="C1847" s="13" t="s">
        <v>5</v>
      </c>
      <c r="D1847" s="13" t="s">
        <v>1330</v>
      </c>
      <c r="E1847" s="16" t="n">
        <v>216.435</v>
      </c>
      <c r="F1847" s="7" t="n">
        <v>2</v>
      </c>
      <c r="G1847" s="5" t="n">
        <v>870</v>
      </c>
    </row>
    <row r="1848" customFormat="false" ht="15" hidden="false" customHeight="false" outlineLevel="0" collapsed="false">
      <c r="A1848" s="13" t="s">
        <v>79</v>
      </c>
      <c r="B1848" s="13" t="s">
        <v>43</v>
      </c>
      <c r="C1848" s="13" t="s">
        <v>3</v>
      </c>
      <c r="D1848" s="13" t="s">
        <v>1331</v>
      </c>
      <c r="E1848" s="16" t="n">
        <v>868.75</v>
      </c>
      <c r="F1848" s="7" t="n">
        <v>1</v>
      </c>
      <c r="G1848" s="5" t="n">
        <v>870</v>
      </c>
    </row>
    <row r="1849" customFormat="false" ht="15" hidden="false" customHeight="false" outlineLevel="0" collapsed="false">
      <c r="A1849" s="13" t="s">
        <v>50</v>
      </c>
      <c r="B1849" s="13" t="s">
        <v>43</v>
      </c>
      <c r="C1849" s="13" t="s">
        <v>5</v>
      </c>
      <c r="D1849" s="13" t="s">
        <v>907</v>
      </c>
      <c r="E1849" s="16" t="n">
        <v>869.13</v>
      </c>
      <c r="F1849" s="7" t="n">
        <v>1</v>
      </c>
      <c r="G1849" s="5" t="n">
        <v>870</v>
      </c>
    </row>
    <row r="1850" customFormat="false" ht="15" hidden="false" customHeight="false" outlineLevel="0" collapsed="false">
      <c r="A1850" s="13" t="s">
        <v>42</v>
      </c>
      <c r="B1850" s="13" t="s">
        <v>43</v>
      </c>
      <c r="C1850" s="13" t="s">
        <v>5</v>
      </c>
      <c r="D1850" s="13" t="s">
        <v>242</v>
      </c>
      <c r="E1850" s="16" t="n">
        <v>871.88</v>
      </c>
      <c r="F1850" s="7" t="n">
        <v>1</v>
      </c>
      <c r="G1850" s="5" t="n">
        <v>870</v>
      </c>
    </row>
    <row r="1851" customFormat="false" ht="15" hidden="false" customHeight="false" outlineLevel="0" collapsed="false">
      <c r="A1851" s="13" t="s">
        <v>54</v>
      </c>
      <c r="B1851" s="13" t="s">
        <v>43</v>
      </c>
      <c r="C1851" s="13" t="s">
        <v>5</v>
      </c>
      <c r="D1851" s="13" t="s">
        <v>1332</v>
      </c>
      <c r="E1851" s="16" t="n">
        <v>290.676666666667</v>
      </c>
      <c r="F1851" s="7" t="n">
        <v>2</v>
      </c>
      <c r="G1851" s="5" t="n">
        <v>870</v>
      </c>
    </row>
    <row r="1852" customFormat="false" ht="15" hidden="false" customHeight="false" outlineLevel="0" collapsed="false">
      <c r="A1852" s="13" t="s">
        <v>153</v>
      </c>
      <c r="B1852" s="13" t="s">
        <v>43</v>
      </c>
      <c r="C1852" s="13" t="s">
        <v>5</v>
      </c>
      <c r="D1852" s="13" t="s">
        <v>1333</v>
      </c>
      <c r="E1852" s="16" t="n">
        <v>433.47</v>
      </c>
      <c r="F1852" s="7" t="n">
        <v>2</v>
      </c>
      <c r="G1852" s="5" t="n">
        <v>870</v>
      </c>
    </row>
    <row r="1853" customFormat="false" ht="15" hidden="false" customHeight="false" outlineLevel="0" collapsed="false">
      <c r="A1853" s="13" t="s">
        <v>114</v>
      </c>
      <c r="B1853" s="13" t="s">
        <v>115</v>
      </c>
      <c r="C1853" s="13" t="s">
        <v>3</v>
      </c>
      <c r="D1853" s="13" t="s">
        <v>1334</v>
      </c>
      <c r="E1853" s="16" t="n">
        <v>71.5966666666667</v>
      </c>
      <c r="F1853" s="7" t="n">
        <v>10</v>
      </c>
      <c r="G1853" s="5" t="n">
        <v>860</v>
      </c>
    </row>
    <row r="1854" customFormat="false" ht="15" hidden="false" customHeight="false" outlineLevel="0" collapsed="false">
      <c r="A1854" s="13" t="s">
        <v>79</v>
      </c>
      <c r="B1854" s="13" t="s">
        <v>43</v>
      </c>
      <c r="C1854" s="13" t="s">
        <v>5</v>
      </c>
      <c r="D1854" s="13" t="s">
        <v>589</v>
      </c>
      <c r="E1854" s="16" t="n">
        <v>856.94</v>
      </c>
      <c r="F1854" s="7" t="n">
        <v>1</v>
      </c>
      <c r="G1854" s="5" t="n">
        <v>860</v>
      </c>
    </row>
    <row r="1855" customFormat="false" ht="15" hidden="false" customHeight="false" outlineLevel="0" collapsed="false">
      <c r="A1855" s="13" t="s">
        <v>79</v>
      </c>
      <c r="B1855" s="13" t="s">
        <v>43</v>
      </c>
      <c r="C1855" s="13" t="s">
        <v>5</v>
      </c>
      <c r="D1855" s="13" t="s">
        <v>589</v>
      </c>
      <c r="E1855" s="16" t="n">
        <v>428</v>
      </c>
      <c r="F1855" s="7" t="n">
        <v>2</v>
      </c>
      <c r="G1855" s="5" t="n">
        <v>860</v>
      </c>
    </row>
    <row r="1856" customFormat="false" ht="15" hidden="false" customHeight="false" outlineLevel="0" collapsed="false">
      <c r="A1856" s="13" t="s">
        <v>121</v>
      </c>
      <c r="B1856" s="13" t="s">
        <v>43</v>
      </c>
      <c r="C1856" s="13" t="s">
        <v>5</v>
      </c>
      <c r="D1856" s="13" t="s">
        <v>1061</v>
      </c>
      <c r="E1856" s="16" t="n">
        <v>42.872</v>
      </c>
      <c r="F1856" s="7" t="n">
        <v>20</v>
      </c>
      <c r="G1856" s="5" t="n">
        <v>860</v>
      </c>
    </row>
    <row r="1857" customFormat="false" ht="15" hidden="false" customHeight="false" outlineLevel="0" collapsed="false">
      <c r="A1857" s="13" t="s">
        <v>195</v>
      </c>
      <c r="B1857" s="13" t="s">
        <v>43</v>
      </c>
      <c r="C1857" s="13" t="s">
        <v>5</v>
      </c>
      <c r="D1857" s="13" t="s">
        <v>1335</v>
      </c>
      <c r="E1857" s="16" t="n">
        <v>431.17</v>
      </c>
      <c r="F1857" s="7" t="n">
        <v>2</v>
      </c>
      <c r="G1857" s="5" t="n">
        <v>860</v>
      </c>
    </row>
    <row r="1858" customFormat="false" ht="15" hidden="false" customHeight="false" outlineLevel="0" collapsed="false">
      <c r="A1858" s="13" t="s">
        <v>45</v>
      </c>
      <c r="B1858" s="13" t="s">
        <v>43</v>
      </c>
      <c r="C1858" s="13" t="s">
        <v>5</v>
      </c>
      <c r="D1858" s="13" t="s">
        <v>1336</v>
      </c>
      <c r="E1858" s="16" t="n">
        <v>860.42</v>
      </c>
      <c r="F1858" s="7" t="n">
        <v>1</v>
      </c>
      <c r="G1858" s="5" t="n">
        <v>860</v>
      </c>
    </row>
    <row r="1859" customFormat="false" ht="15" hidden="false" customHeight="false" outlineLevel="0" collapsed="false">
      <c r="A1859" s="13" t="s">
        <v>107</v>
      </c>
      <c r="B1859" s="13" t="s">
        <v>183</v>
      </c>
      <c r="C1859" s="13" t="s">
        <v>5</v>
      </c>
      <c r="D1859" s="13" t="s">
        <v>1337</v>
      </c>
      <c r="E1859" s="16" t="n">
        <v>287.12</v>
      </c>
      <c r="F1859" s="7" t="n">
        <v>2</v>
      </c>
      <c r="G1859" s="5" t="n">
        <v>860</v>
      </c>
    </row>
    <row r="1860" customFormat="false" ht="15" hidden="false" customHeight="false" outlineLevel="0" collapsed="false">
      <c r="A1860" s="13" t="s">
        <v>54</v>
      </c>
      <c r="B1860" s="13" t="s">
        <v>43</v>
      </c>
      <c r="C1860" s="13" t="s">
        <v>5</v>
      </c>
      <c r="D1860" s="13" t="s">
        <v>1338</v>
      </c>
      <c r="E1860" s="16" t="n">
        <v>215.82</v>
      </c>
      <c r="F1860" s="7" t="n">
        <v>2</v>
      </c>
      <c r="G1860" s="5" t="n">
        <v>860</v>
      </c>
    </row>
    <row r="1861" customFormat="false" ht="15" hidden="false" customHeight="false" outlineLevel="0" collapsed="false">
      <c r="A1861" s="13" t="s">
        <v>153</v>
      </c>
      <c r="B1861" s="13" t="s">
        <v>43</v>
      </c>
      <c r="C1861" s="13" t="s">
        <v>4</v>
      </c>
      <c r="D1861" s="13" t="s">
        <v>1339</v>
      </c>
      <c r="E1861" s="16" t="n">
        <v>857.22</v>
      </c>
      <c r="F1861" s="7" t="n">
        <v>1</v>
      </c>
      <c r="G1861" s="5" t="n">
        <v>860</v>
      </c>
    </row>
    <row r="1862" customFormat="false" ht="15" hidden="false" customHeight="false" outlineLevel="0" collapsed="false">
      <c r="A1862" s="13" t="s">
        <v>50</v>
      </c>
      <c r="B1862" s="13" t="s">
        <v>43</v>
      </c>
      <c r="C1862" s="13" t="s">
        <v>5</v>
      </c>
      <c r="D1862" s="13" t="s">
        <v>1028</v>
      </c>
      <c r="E1862" s="16" t="n">
        <v>428.85</v>
      </c>
      <c r="F1862" s="7" t="n">
        <v>2</v>
      </c>
      <c r="G1862" s="5" t="n">
        <v>860</v>
      </c>
    </row>
    <row r="1863" customFormat="false" ht="15" hidden="false" customHeight="false" outlineLevel="0" collapsed="false">
      <c r="A1863" s="13" t="s">
        <v>54</v>
      </c>
      <c r="B1863" s="13" t="s">
        <v>43</v>
      </c>
      <c r="C1863" s="13" t="s">
        <v>5</v>
      </c>
      <c r="D1863" s="13" t="s">
        <v>1340</v>
      </c>
      <c r="E1863" s="16" t="n">
        <v>429.98</v>
      </c>
      <c r="F1863" s="7" t="n">
        <v>2</v>
      </c>
      <c r="G1863" s="5" t="n">
        <v>860</v>
      </c>
    </row>
    <row r="1864" customFormat="false" ht="15" hidden="false" customHeight="false" outlineLevel="0" collapsed="false">
      <c r="A1864" s="13" t="s">
        <v>42</v>
      </c>
      <c r="B1864" s="13" t="s">
        <v>43</v>
      </c>
      <c r="C1864" s="13" t="s">
        <v>4</v>
      </c>
      <c r="D1864" s="13" t="s">
        <v>838</v>
      </c>
      <c r="E1864" s="16" t="n">
        <v>425.43</v>
      </c>
      <c r="F1864" s="7" t="n">
        <v>2</v>
      </c>
      <c r="G1864" s="5" t="n">
        <v>850</v>
      </c>
    </row>
    <row r="1865" customFormat="false" ht="15" hidden="false" customHeight="false" outlineLevel="0" collapsed="false">
      <c r="A1865" s="13" t="s">
        <v>45</v>
      </c>
      <c r="B1865" s="13" t="s">
        <v>43</v>
      </c>
      <c r="C1865" s="13" t="s">
        <v>4</v>
      </c>
      <c r="D1865" s="13" t="s">
        <v>499</v>
      </c>
      <c r="E1865" s="16" t="n">
        <v>853.37</v>
      </c>
      <c r="F1865" s="7" t="n">
        <v>1</v>
      </c>
      <c r="G1865" s="5" t="n">
        <v>850</v>
      </c>
    </row>
    <row r="1866" customFormat="false" ht="15" hidden="false" customHeight="false" outlineLevel="0" collapsed="false">
      <c r="A1866" s="13" t="s">
        <v>121</v>
      </c>
      <c r="B1866" s="13" t="s">
        <v>183</v>
      </c>
      <c r="C1866" s="13" t="s">
        <v>5</v>
      </c>
      <c r="D1866" s="13" t="s">
        <v>1341</v>
      </c>
      <c r="E1866" s="16" t="n">
        <v>94.5833333333333</v>
      </c>
      <c r="F1866" s="7" t="n">
        <v>5</v>
      </c>
      <c r="G1866" s="5" t="n">
        <v>850</v>
      </c>
    </row>
    <row r="1867" customFormat="false" ht="15" hidden="false" customHeight="false" outlineLevel="0" collapsed="false">
      <c r="A1867" s="13" t="s">
        <v>45</v>
      </c>
      <c r="B1867" s="13" t="s">
        <v>43</v>
      </c>
      <c r="C1867" s="13" t="s">
        <v>5</v>
      </c>
      <c r="D1867" s="13" t="s">
        <v>563</v>
      </c>
      <c r="E1867" s="16" t="n">
        <v>426</v>
      </c>
      <c r="F1867" s="7" t="n">
        <v>2</v>
      </c>
      <c r="G1867" s="5" t="n">
        <v>850</v>
      </c>
    </row>
    <row r="1868" customFormat="false" ht="15" hidden="false" customHeight="false" outlineLevel="0" collapsed="false">
      <c r="A1868" s="13" t="s">
        <v>315</v>
      </c>
      <c r="B1868" s="13" t="s">
        <v>43</v>
      </c>
      <c r="C1868" s="13" t="s">
        <v>5</v>
      </c>
      <c r="D1868" s="13" t="s">
        <v>316</v>
      </c>
      <c r="E1868" s="16" t="n">
        <v>425</v>
      </c>
      <c r="F1868" s="7" t="n">
        <v>2</v>
      </c>
      <c r="G1868" s="5" t="n">
        <v>850</v>
      </c>
    </row>
    <row r="1869" customFormat="false" ht="15" hidden="false" customHeight="false" outlineLevel="0" collapsed="false">
      <c r="A1869" s="13" t="s">
        <v>362</v>
      </c>
      <c r="B1869" s="13" t="s">
        <v>43</v>
      </c>
      <c r="C1869" s="13" t="s">
        <v>5</v>
      </c>
      <c r="D1869" s="13" t="s">
        <v>1342</v>
      </c>
      <c r="E1869" s="16" t="n">
        <v>850.36</v>
      </c>
      <c r="F1869" s="7" t="n">
        <v>1</v>
      </c>
      <c r="G1869" s="5" t="n">
        <v>850</v>
      </c>
    </row>
    <row r="1870" customFormat="false" ht="15" hidden="false" customHeight="false" outlineLevel="0" collapsed="false">
      <c r="A1870" s="13" t="s">
        <v>315</v>
      </c>
      <c r="B1870" s="13" t="s">
        <v>43</v>
      </c>
      <c r="C1870" s="13" t="s">
        <v>5</v>
      </c>
      <c r="D1870" s="13" t="s">
        <v>1052</v>
      </c>
      <c r="E1870" s="16" t="n">
        <v>850.72</v>
      </c>
      <c r="F1870" s="7" t="n">
        <v>1</v>
      </c>
      <c r="G1870" s="5" t="n">
        <v>850</v>
      </c>
    </row>
    <row r="1871" customFormat="false" ht="15" hidden="false" customHeight="false" outlineLevel="0" collapsed="false">
      <c r="A1871" s="13" t="s">
        <v>92</v>
      </c>
      <c r="B1871" s="13" t="s">
        <v>43</v>
      </c>
      <c r="C1871" s="13" t="s">
        <v>5</v>
      </c>
      <c r="D1871" s="13" t="s">
        <v>1214</v>
      </c>
      <c r="E1871" s="16" t="n">
        <v>850.85</v>
      </c>
      <c r="F1871" s="7" t="n">
        <v>1</v>
      </c>
      <c r="G1871" s="5" t="n">
        <v>850</v>
      </c>
    </row>
    <row r="1872" customFormat="false" ht="15" hidden="false" customHeight="false" outlineLevel="0" collapsed="false">
      <c r="A1872" s="13" t="s">
        <v>153</v>
      </c>
      <c r="B1872" s="13" t="s">
        <v>43</v>
      </c>
      <c r="C1872" s="13" t="s">
        <v>5</v>
      </c>
      <c r="D1872" s="13" t="s">
        <v>921</v>
      </c>
      <c r="E1872" s="16" t="n">
        <v>423.36</v>
      </c>
      <c r="F1872" s="7" t="n">
        <v>2</v>
      </c>
      <c r="G1872" s="5" t="n">
        <v>850</v>
      </c>
    </row>
    <row r="1873" customFormat="false" ht="15" hidden="false" customHeight="false" outlineLevel="0" collapsed="false">
      <c r="A1873" s="13" t="s">
        <v>117</v>
      </c>
      <c r="B1873" s="13" t="s">
        <v>85</v>
      </c>
      <c r="C1873" s="13" t="s">
        <v>3</v>
      </c>
      <c r="D1873" s="13" t="s">
        <v>1343</v>
      </c>
      <c r="E1873" s="16" t="n">
        <v>849</v>
      </c>
      <c r="F1873" s="7" t="n">
        <v>1</v>
      </c>
      <c r="G1873" s="5" t="n">
        <v>850</v>
      </c>
    </row>
    <row r="1874" customFormat="false" ht="15" hidden="false" customHeight="false" outlineLevel="0" collapsed="false">
      <c r="A1874" s="13" t="s">
        <v>50</v>
      </c>
      <c r="B1874" s="13" t="s">
        <v>43</v>
      </c>
      <c r="C1874" s="13" t="s">
        <v>4</v>
      </c>
      <c r="D1874" s="13" t="s">
        <v>1344</v>
      </c>
      <c r="E1874" s="16" t="n">
        <v>854.07</v>
      </c>
      <c r="F1874" s="7" t="n">
        <v>1</v>
      </c>
      <c r="G1874" s="5" t="n">
        <v>850</v>
      </c>
    </row>
    <row r="1875" customFormat="false" ht="15" hidden="false" customHeight="false" outlineLevel="0" collapsed="false">
      <c r="A1875" s="13" t="s">
        <v>286</v>
      </c>
      <c r="B1875" s="13" t="s">
        <v>43</v>
      </c>
      <c r="C1875" s="13" t="s">
        <v>4</v>
      </c>
      <c r="D1875" s="13" t="s">
        <v>1345</v>
      </c>
      <c r="E1875" s="16" t="n">
        <v>422.92</v>
      </c>
      <c r="F1875" s="7" t="n">
        <v>2</v>
      </c>
      <c r="G1875" s="5" t="n">
        <v>850</v>
      </c>
    </row>
    <row r="1876" customFormat="false" ht="15" hidden="false" customHeight="false" outlineLevel="0" collapsed="false">
      <c r="A1876" s="13" t="s">
        <v>50</v>
      </c>
      <c r="B1876" s="13" t="s">
        <v>43</v>
      </c>
      <c r="C1876" s="13" t="s">
        <v>4</v>
      </c>
      <c r="D1876" s="13" t="s">
        <v>1346</v>
      </c>
      <c r="E1876" s="16" t="n">
        <v>848</v>
      </c>
      <c r="F1876" s="7" t="n">
        <v>1</v>
      </c>
      <c r="G1876" s="5" t="n">
        <v>850</v>
      </c>
    </row>
    <row r="1877" customFormat="false" ht="15" hidden="false" customHeight="false" outlineLevel="0" collapsed="false">
      <c r="A1877" s="13" t="s">
        <v>50</v>
      </c>
      <c r="B1877" s="13" t="s">
        <v>43</v>
      </c>
      <c r="C1877" s="13" t="s">
        <v>4</v>
      </c>
      <c r="D1877" s="13" t="s">
        <v>1347</v>
      </c>
      <c r="E1877" s="16" t="n">
        <v>849.15</v>
      </c>
      <c r="F1877" s="7" t="n">
        <v>1</v>
      </c>
      <c r="G1877" s="5" t="n">
        <v>850</v>
      </c>
    </row>
    <row r="1878" customFormat="false" ht="15" hidden="false" customHeight="false" outlineLevel="0" collapsed="false">
      <c r="A1878" s="13" t="s">
        <v>111</v>
      </c>
      <c r="B1878" s="13" t="s">
        <v>43</v>
      </c>
      <c r="C1878" s="13" t="s">
        <v>4</v>
      </c>
      <c r="D1878" s="13" t="s">
        <v>1348</v>
      </c>
      <c r="E1878" s="16" t="n">
        <v>422.37</v>
      </c>
      <c r="F1878" s="7" t="n">
        <v>2</v>
      </c>
      <c r="G1878" s="5" t="n">
        <v>840</v>
      </c>
    </row>
    <row r="1879" customFormat="false" ht="15" hidden="false" customHeight="false" outlineLevel="0" collapsed="false">
      <c r="A1879" s="13" t="s">
        <v>69</v>
      </c>
      <c r="B1879" s="13" t="s">
        <v>43</v>
      </c>
      <c r="C1879" s="13" t="s">
        <v>4</v>
      </c>
      <c r="D1879" s="13" t="s">
        <v>1349</v>
      </c>
      <c r="E1879" s="16" t="n">
        <v>835.9</v>
      </c>
      <c r="F1879" s="7" t="n">
        <v>1</v>
      </c>
      <c r="G1879" s="5" t="n">
        <v>840</v>
      </c>
    </row>
    <row r="1880" customFormat="false" ht="15" hidden="false" customHeight="false" outlineLevel="0" collapsed="false">
      <c r="A1880" s="13" t="s">
        <v>229</v>
      </c>
      <c r="B1880" s="13" t="s">
        <v>43</v>
      </c>
      <c r="C1880" s="13" t="s">
        <v>4</v>
      </c>
      <c r="D1880" s="13" t="s">
        <v>1350</v>
      </c>
      <c r="E1880" s="16" t="n">
        <v>418.68</v>
      </c>
      <c r="F1880" s="7" t="n">
        <v>2</v>
      </c>
      <c r="G1880" s="5" t="n">
        <v>840</v>
      </c>
    </row>
    <row r="1881" customFormat="false" ht="15" hidden="false" customHeight="false" outlineLevel="0" collapsed="false">
      <c r="A1881" s="13" t="s">
        <v>50</v>
      </c>
      <c r="B1881" s="13" t="s">
        <v>43</v>
      </c>
      <c r="C1881" s="13" t="s">
        <v>4</v>
      </c>
      <c r="D1881" s="13" t="s">
        <v>461</v>
      </c>
      <c r="E1881" s="16" t="n">
        <v>838.43</v>
      </c>
      <c r="F1881" s="7" t="n">
        <v>1</v>
      </c>
      <c r="G1881" s="5" t="n">
        <v>840</v>
      </c>
    </row>
    <row r="1882" customFormat="false" ht="15" hidden="false" customHeight="false" outlineLevel="0" collapsed="false">
      <c r="A1882" s="13" t="s">
        <v>179</v>
      </c>
      <c r="B1882" s="13" t="s">
        <v>180</v>
      </c>
      <c r="C1882" s="13" t="s">
        <v>3</v>
      </c>
      <c r="D1882" s="13" t="s">
        <v>1351</v>
      </c>
      <c r="E1882" s="16" t="n">
        <v>209</v>
      </c>
      <c r="F1882" s="7" t="n">
        <v>2</v>
      </c>
      <c r="G1882" s="5" t="n">
        <v>840</v>
      </c>
    </row>
    <row r="1883" customFormat="false" ht="15" hidden="false" customHeight="false" outlineLevel="0" collapsed="false">
      <c r="A1883" s="13" t="s">
        <v>121</v>
      </c>
      <c r="B1883" s="13" t="s">
        <v>43</v>
      </c>
      <c r="C1883" s="13" t="s">
        <v>5</v>
      </c>
      <c r="D1883" s="13" t="s">
        <v>1135</v>
      </c>
      <c r="E1883" s="16" t="n">
        <v>69.9</v>
      </c>
      <c r="F1883" s="7" t="n">
        <v>10</v>
      </c>
      <c r="G1883" s="5" t="n">
        <v>840</v>
      </c>
    </row>
    <row r="1884" customFormat="false" ht="15" hidden="false" customHeight="false" outlineLevel="0" collapsed="false">
      <c r="A1884" s="13" t="s">
        <v>42</v>
      </c>
      <c r="B1884" s="13" t="s">
        <v>43</v>
      </c>
      <c r="C1884" s="13" t="s">
        <v>5</v>
      </c>
      <c r="D1884" s="13" t="s">
        <v>1352</v>
      </c>
      <c r="E1884" s="16" t="n">
        <v>420.34</v>
      </c>
      <c r="F1884" s="7" t="n">
        <v>2</v>
      </c>
      <c r="G1884" s="5" t="n">
        <v>840</v>
      </c>
    </row>
    <row r="1885" customFormat="false" ht="15" hidden="false" customHeight="false" outlineLevel="0" collapsed="false">
      <c r="A1885" s="13" t="s">
        <v>195</v>
      </c>
      <c r="B1885" s="13" t="s">
        <v>43</v>
      </c>
      <c r="C1885" s="13" t="s">
        <v>5</v>
      </c>
      <c r="D1885" s="13" t="s">
        <v>1353</v>
      </c>
      <c r="E1885" s="16" t="n">
        <v>835.45</v>
      </c>
      <c r="F1885" s="7" t="n">
        <v>1</v>
      </c>
      <c r="G1885" s="5" t="n">
        <v>840</v>
      </c>
    </row>
    <row r="1886" customFormat="false" ht="15" hidden="false" customHeight="false" outlineLevel="0" collapsed="false">
      <c r="A1886" s="13" t="s">
        <v>107</v>
      </c>
      <c r="B1886" s="13" t="s">
        <v>43</v>
      </c>
      <c r="C1886" s="13" t="s">
        <v>5</v>
      </c>
      <c r="D1886" s="13" t="s">
        <v>1354</v>
      </c>
      <c r="E1886" s="16" t="n">
        <v>167.06</v>
      </c>
      <c r="F1886" s="7" t="n">
        <v>5</v>
      </c>
      <c r="G1886" s="5" t="n">
        <v>840</v>
      </c>
    </row>
    <row r="1887" customFormat="false" ht="15" hidden="false" customHeight="false" outlineLevel="0" collapsed="false">
      <c r="A1887" s="13" t="s">
        <v>50</v>
      </c>
      <c r="B1887" s="13" t="s">
        <v>43</v>
      </c>
      <c r="C1887" s="13" t="s">
        <v>4</v>
      </c>
      <c r="D1887" s="13" t="s">
        <v>1355</v>
      </c>
      <c r="E1887" s="16" t="n">
        <v>838.43</v>
      </c>
      <c r="F1887" s="7" t="n">
        <v>1</v>
      </c>
      <c r="G1887" s="5" t="n">
        <v>840</v>
      </c>
    </row>
    <row r="1888" customFormat="false" ht="15" hidden="false" customHeight="false" outlineLevel="0" collapsed="false">
      <c r="A1888" s="13" t="s">
        <v>50</v>
      </c>
      <c r="B1888" s="13" t="s">
        <v>43</v>
      </c>
      <c r="C1888" s="13" t="s">
        <v>5</v>
      </c>
      <c r="D1888" s="13" t="s">
        <v>1234</v>
      </c>
      <c r="E1888" s="16" t="n">
        <v>844.22</v>
      </c>
      <c r="F1888" s="7" t="n">
        <v>1</v>
      </c>
      <c r="G1888" s="5" t="n">
        <v>840</v>
      </c>
    </row>
    <row r="1889" customFormat="false" ht="15" hidden="false" customHeight="false" outlineLevel="0" collapsed="false">
      <c r="A1889" s="13" t="s">
        <v>45</v>
      </c>
      <c r="B1889" s="13" t="s">
        <v>43</v>
      </c>
      <c r="C1889" s="13" t="s">
        <v>4</v>
      </c>
      <c r="D1889" s="13" t="s">
        <v>436</v>
      </c>
      <c r="E1889" s="16" t="n">
        <v>827.08</v>
      </c>
      <c r="F1889" s="7" t="n">
        <v>1</v>
      </c>
      <c r="G1889" s="5" t="n">
        <v>830</v>
      </c>
    </row>
    <row r="1890" customFormat="false" ht="15" hidden="false" customHeight="false" outlineLevel="0" collapsed="false">
      <c r="A1890" s="13" t="s">
        <v>42</v>
      </c>
      <c r="B1890" s="13" t="s">
        <v>43</v>
      </c>
      <c r="C1890" s="13" t="s">
        <v>4</v>
      </c>
      <c r="D1890" s="13" t="s">
        <v>242</v>
      </c>
      <c r="E1890" s="16" t="n">
        <v>827.08</v>
      </c>
      <c r="F1890" s="7" t="n">
        <v>1</v>
      </c>
      <c r="G1890" s="5" t="n">
        <v>830</v>
      </c>
    </row>
    <row r="1891" customFormat="false" ht="15" hidden="false" customHeight="false" outlineLevel="0" collapsed="false">
      <c r="A1891" s="13" t="s">
        <v>72</v>
      </c>
      <c r="B1891" s="13" t="s">
        <v>43</v>
      </c>
      <c r="C1891" s="13" t="s">
        <v>5</v>
      </c>
      <c r="D1891" s="13" t="s">
        <v>96</v>
      </c>
      <c r="E1891" s="16" t="n">
        <v>828.98</v>
      </c>
      <c r="F1891" s="7" t="n">
        <v>1</v>
      </c>
      <c r="G1891" s="5" t="n">
        <v>830</v>
      </c>
    </row>
    <row r="1892" customFormat="false" ht="15" hidden="false" customHeight="false" outlineLevel="0" collapsed="false">
      <c r="A1892" s="13" t="s">
        <v>111</v>
      </c>
      <c r="B1892" s="13" t="s">
        <v>43</v>
      </c>
      <c r="C1892" s="13" t="s">
        <v>4</v>
      </c>
      <c r="D1892" s="13" t="s">
        <v>1356</v>
      </c>
      <c r="E1892" s="16" t="n">
        <v>414.87</v>
      </c>
      <c r="F1892" s="7" t="n">
        <v>2</v>
      </c>
      <c r="G1892" s="5" t="n">
        <v>830</v>
      </c>
    </row>
    <row r="1893" customFormat="false" ht="15" hidden="false" customHeight="false" outlineLevel="0" collapsed="false">
      <c r="A1893" s="13" t="s">
        <v>490</v>
      </c>
      <c r="B1893" s="13" t="s">
        <v>43</v>
      </c>
      <c r="C1893" s="13" t="s">
        <v>5</v>
      </c>
      <c r="D1893" s="13" t="s">
        <v>1357</v>
      </c>
      <c r="E1893" s="16" t="n">
        <v>207.4025</v>
      </c>
      <c r="F1893" s="7" t="n">
        <v>2</v>
      </c>
      <c r="G1893" s="5" t="n">
        <v>830</v>
      </c>
    </row>
    <row r="1894" customFormat="false" ht="15" hidden="false" customHeight="false" outlineLevel="0" collapsed="false">
      <c r="A1894" s="13" t="s">
        <v>50</v>
      </c>
      <c r="B1894" s="13" t="s">
        <v>43</v>
      </c>
      <c r="C1894" s="13" t="s">
        <v>4</v>
      </c>
      <c r="D1894" s="13" t="s">
        <v>1358</v>
      </c>
      <c r="E1894" s="16" t="n">
        <v>417.41</v>
      </c>
      <c r="F1894" s="7" t="n">
        <v>2</v>
      </c>
      <c r="G1894" s="5" t="n">
        <v>830</v>
      </c>
    </row>
    <row r="1895" customFormat="false" ht="15" hidden="false" customHeight="false" outlineLevel="0" collapsed="false">
      <c r="A1895" s="13" t="s">
        <v>45</v>
      </c>
      <c r="B1895" s="13" t="s">
        <v>43</v>
      </c>
      <c r="C1895" s="13" t="s">
        <v>4</v>
      </c>
      <c r="D1895" s="13" t="s">
        <v>1359</v>
      </c>
      <c r="E1895" s="16" t="n">
        <v>827.08</v>
      </c>
      <c r="F1895" s="7" t="n">
        <v>1</v>
      </c>
      <c r="G1895" s="5" t="n">
        <v>830</v>
      </c>
    </row>
    <row r="1896" customFormat="false" ht="15" hidden="false" customHeight="false" outlineLevel="0" collapsed="false">
      <c r="A1896" s="13" t="s">
        <v>79</v>
      </c>
      <c r="B1896" s="13" t="s">
        <v>43</v>
      </c>
      <c r="C1896" s="13" t="s">
        <v>5</v>
      </c>
      <c r="D1896" s="13" t="s">
        <v>1360</v>
      </c>
      <c r="E1896" s="16" t="n">
        <v>828.28</v>
      </c>
      <c r="F1896" s="7" t="n">
        <v>1</v>
      </c>
      <c r="G1896" s="5" t="n">
        <v>830</v>
      </c>
    </row>
    <row r="1897" customFormat="false" ht="15" hidden="false" customHeight="false" outlineLevel="0" collapsed="false">
      <c r="A1897" s="13" t="s">
        <v>45</v>
      </c>
      <c r="B1897" s="13" t="s">
        <v>43</v>
      </c>
      <c r="C1897" s="13" t="s">
        <v>4</v>
      </c>
      <c r="D1897" s="13" t="s">
        <v>113</v>
      </c>
      <c r="E1897" s="16" t="n">
        <v>827.08</v>
      </c>
      <c r="F1897" s="7" t="n">
        <v>1</v>
      </c>
      <c r="G1897" s="5" t="n">
        <v>830</v>
      </c>
    </row>
    <row r="1898" customFormat="false" ht="15" hidden="false" customHeight="false" outlineLevel="0" collapsed="false">
      <c r="A1898" s="13" t="s">
        <v>45</v>
      </c>
      <c r="B1898" s="13" t="s">
        <v>43</v>
      </c>
      <c r="C1898" s="13" t="s">
        <v>5</v>
      </c>
      <c r="D1898" s="13" t="s">
        <v>46</v>
      </c>
      <c r="E1898" s="16" t="n">
        <v>829</v>
      </c>
      <c r="F1898" s="7" t="n">
        <v>1</v>
      </c>
      <c r="G1898" s="5" t="n">
        <v>830</v>
      </c>
    </row>
    <row r="1899" customFormat="false" ht="15" hidden="false" customHeight="false" outlineLevel="0" collapsed="false">
      <c r="A1899" s="13" t="s">
        <v>42</v>
      </c>
      <c r="B1899" s="13" t="s">
        <v>43</v>
      </c>
      <c r="C1899" s="13" t="s">
        <v>5</v>
      </c>
      <c r="D1899" s="13" t="s">
        <v>515</v>
      </c>
      <c r="E1899" s="16" t="n">
        <v>826.67</v>
      </c>
      <c r="F1899" s="7" t="n">
        <v>1</v>
      </c>
      <c r="G1899" s="5" t="n">
        <v>830</v>
      </c>
    </row>
    <row r="1900" customFormat="false" ht="15" hidden="false" customHeight="false" outlineLevel="0" collapsed="false">
      <c r="A1900" s="13" t="s">
        <v>177</v>
      </c>
      <c r="B1900" s="13" t="s">
        <v>43</v>
      </c>
      <c r="C1900" s="13" t="s">
        <v>5</v>
      </c>
      <c r="D1900" s="13" t="s">
        <v>1361</v>
      </c>
      <c r="E1900" s="16" t="n">
        <v>823</v>
      </c>
      <c r="F1900" s="7" t="n">
        <v>1</v>
      </c>
      <c r="G1900" s="5" t="n">
        <v>820</v>
      </c>
    </row>
    <row r="1901" customFormat="false" ht="15" hidden="false" customHeight="false" outlineLevel="0" collapsed="false">
      <c r="A1901" s="13" t="s">
        <v>50</v>
      </c>
      <c r="B1901" s="13" t="s">
        <v>43</v>
      </c>
      <c r="C1901" s="13" t="s">
        <v>4</v>
      </c>
      <c r="D1901" s="13" t="s">
        <v>1362</v>
      </c>
      <c r="E1901" s="16" t="n">
        <v>819.18</v>
      </c>
      <c r="F1901" s="7" t="n">
        <v>1</v>
      </c>
      <c r="G1901" s="5" t="n">
        <v>820</v>
      </c>
    </row>
    <row r="1902" customFormat="false" ht="15" hidden="false" customHeight="false" outlineLevel="0" collapsed="false">
      <c r="A1902" s="13" t="s">
        <v>69</v>
      </c>
      <c r="B1902" s="13" t="s">
        <v>43</v>
      </c>
      <c r="C1902" s="13" t="s">
        <v>5</v>
      </c>
      <c r="D1902" s="13" t="s">
        <v>138</v>
      </c>
      <c r="E1902" s="16" t="n">
        <v>815.87</v>
      </c>
      <c r="F1902" s="7" t="n">
        <v>1</v>
      </c>
      <c r="G1902" s="5" t="n">
        <v>820</v>
      </c>
    </row>
    <row r="1903" customFormat="false" ht="15" hidden="false" customHeight="false" outlineLevel="0" collapsed="false">
      <c r="A1903" s="13" t="s">
        <v>286</v>
      </c>
      <c r="B1903" s="13" t="s">
        <v>43</v>
      </c>
      <c r="C1903" s="13" t="s">
        <v>3</v>
      </c>
      <c r="D1903" s="13" t="s">
        <v>1363</v>
      </c>
      <c r="E1903" s="16" t="n">
        <v>274</v>
      </c>
      <c r="F1903" s="7" t="n">
        <v>2</v>
      </c>
      <c r="G1903" s="5" t="n">
        <v>820</v>
      </c>
    </row>
    <row r="1904" customFormat="false" ht="15" hidden="false" customHeight="false" outlineLevel="0" collapsed="false">
      <c r="A1904" s="13" t="s">
        <v>45</v>
      </c>
      <c r="B1904" s="13" t="s">
        <v>43</v>
      </c>
      <c r="C1904" s="13" t="s">
        <v>5</v>
      </c>
      <c r="D1904" s="13" t="s">
        <v>702</v>
      </c>
      <c r="E1904" s="16" t="n">
        <v>819.09</v>
      </c>
      <c r="F1904" s="7" t="n">
        <v>1</v>
      </c>
      <c r="G1904" s="5" t="n">
        <v>820</v>
      </c>
    </row>
    <row r="1905" customFormat="false" ht="15" hidden="false" customHeight="false" outlineLevel="0" collapsed="false">
      <c r="A1905" s="13" t="s">
        <v>315</v>
      </c>
      <c r="B1905" s="13" t="s">
        <v>43</v>
      </c>
      <c r="C1905" s="13" t="s">
        <v>5</v>
      </c>
      <c r="D1905" s="13" t="s">
        <v>554</v>
      </c>
      <c r="E1905" s="16" t="n">
        <v>817.22</v>
      </c>
      <c r="F1905" s="7" t="n">
        <v>1</v>
      </c>
      <c r="G1905" s="5" t="n">
        <v>820</v>
      </c>
    </row>
    <row r="1906" customFormat="false" ht="15" hidden="false" customHeight="false" outlineLevel="0" collapsed="false">
      <c r="A1906" s="13" t="s">
        <v>45</v>
      </c>
      <c r="B1906" s="13" t="s">
        <v>43</v>
      </c>
      <c r="C1906" s="13" t="s">
        <v>4</v>
      </c>
      <c r="D1906" s="13" t="s">
        <v>812</v>
      </c>
      <c r="E1906" s="16" t="n">
        <v>824.74</v>
      </c>
      <c r="F1906" s="7" t="n">
        <v>1</v>
      </c>
      <c r="G1906" s="5" t="n">
        <v>820</v>
      </c>
    </row>
    <row r="1907" customFormat="false" ht="15" hidden="false" customHeight="false" outlineLevel="0" collapsed="false">
      <c r="A1907" s="13" t="s">
        <v>329</v>
      </c>
      <c r="B1907" s="13" t="s">
        <v>43</v>
      </c>
      <c r="C1907" s="13" t="s">
        <v>4</v>
      </c>
      <c r="D1907" s="13" t="s">
        <v>575</v>
      </c>
      <c r="E1907" s="16" t="n">
        <v>815.97</v>
      </c>
      <c r="F1907" s="7" t="n">
        <v>1</v>
      </c>
      <c r="G1907" s="5" t="n">
        <v>820</v>
      </c>
    </row>
    <row r="1908" customFormat="false" ht="15" hidden="false" customHeight="false" outlineLevel="0" collapsed="false">
      <c r="A1908" s="13" t="s">
        <v>107</v>
      </c>
      <c r="B1908" s="13" t="s">
        <v>43</v>
      </c>
      <c r="C1908" s="13" t="s">
        <v>5</v>
      </c>
      <c r="D1908" s="13" t="s">
        <v>1364</v>
      </c>
      <c r="E1908" s="16" t="n">
        <v>268.96</v>
      </c>
      <c r="F1908" s="7" t="n">
        <v>2</v>
      </c>
      <c r="G1908" s="5" t="n">
        <v>810</v>
      </c>
    </row>
    <row r="1909" customFormat="false" ht="15" hidden="false" customHeight="false" outlineLevel="0" collapsed="false">
      <c r="A1909" s="13" t="s">
        <v>79</v>
      </c>
      <c r="B1909" s="13" t="s">
        <v>43</v>
      </c>
      <c r="C1909" s="13" t="s">
        <v>5</v>
      </c>
      <c r="D1909" s="13" t="s">
        <v>1365</v>
      </c>
      <c r="E1909" s="16" t="n">
        <v>808</v>
      </c>
      <c r="F1909" s="7" t="n">
        <v>1</v>
      </c>
      <c r="G1909" s="5" t="n">
        <v>810</v>
      </c>
    </row>
    <row r="1910" customFormat="false" ht="15" hidden="false" customHeight="false" outlineLevel="0" collapsed="false">
      <c r="A1910" s="13" t="s">
        <v>153</v>
      </c>
      <c r="B1910" s="13" t="s">
        <v>43</v>
      </c>
      <c r="C1910" s="13" t="s">
        <v>4</v>
      </c>
      <c r="D1910" s="13" t="s">
        <v>190</v>
      </c>
      <c r="E1910" s="16" t="n">
        <v>813.26</v>
      </c>
      <c r="F1910" s="7" t="n">
        <v>1</v>
      </c>
      <c r="G1910" s="5" t="n">
        <v>810</v>
      </c>
    </row>
    <row r="1911" customFormat="false" ht="15" hidden="false" customHeight="false" outlineLevel="0" collapsed="false">
      <c r="A1911" s="13" t="s">
        <v>42</v>
      </c>
      <c r="B1911" s="13" t="s">
        <v>43</v>
      </c>
      <c r="C1911" s="13" t="s">
        <v>4</v>
      </c>
      <c r="D1911" s="13" t="s">
        <v>1042</v>
      </c>
      <c r="E1911" s="16" t="n">
        <v>808.23</v>
      </c>
      <c r="F1911" s="7" t="n">
        <v>1</v>
      </c>
      <c r="G1911" s="5" t="n">
        <v>810</v>
      </c>
    </row>
    <row r="1912" customFormat="false" ht="15" hidden="false" customHeight="false" outlineLevel="0" collapsed="false">
      <c r="A1912" s="13" t="s">
        <v>329</v>
      </c>
      <c r="B1912" s="13" t="s">
        <v>43</v>
      </c>
      <c r="C1912" s="13" t="s">
        <v>4</v>
      </c>
      <c r="D1912" s="13" t="s">
        <v>575</v>
      </c>
      <c r="E1912" s="16" t="n">
        <v>807.49</v>
      </c>
      <c r="F1912" s="7" t="n">
        <v>1</v>
      </c>
      <c r="G1912" s="5" t="n">
        <v>810</v>
      </c>
    </row>
    <row r="1913" customFormat="false" ht="15" hidden="false" customHeight="false" outlineLevel="0" collapsed="false">
      <c r="A1913" s="13" t="s">
        <v>153</v>
      </c>
      <c r="B1913" s="13" t="s">
        <v>43</v>
      </c>
      <c r="C1913" s="13" t="s">
        <v>4</v>
      </c>
      <c r="D1913" s="13" t="s">
        <v>1366</v>
      </c>
      <c r="E1913" s="16" t="n">
        <v>813.26</v>
      </c>
      <c r="F1913" s="7" t="n">
        <v>1</v>
      </c>
      <c r="G1913" s="5" t="n">
        <v>810</v>
      </c>
    </row>
    <row r="1914" customFormat="false" ht="15" hidden="false" customHeight="false" outlineLevel="0" collapsed="false">
      <c r="A1914" s="13" t="s">
        <v>186</v>
      </c>
      <c r="B1914" s="13" t="s">
        <v>43</v>
      </c>
      <c r="C1914" s="13" t="s">
        <v>4</v>
      </c>
      <c r="D1914" s="13" t="s">
        <v>1367</v>
      </c>
      <c r="E1914" s="16" t="n">
        <v>806.55</v>
      </c>
      <c r="F1914" s="7" t="n">
        <v>1</v>
      </c>
      <c r="G1914" s="5" t="n">
        <v>810</v>
      </c>
    </row>
    <row r="1915" customFormat="false" ht="15" hidden="false" customHeight="false" outlineLevel="0" collapsed="false">
      <c r="A1915" s="13" t="s">
        <v>54</v>
      </c>
      <c r="B1915" s="13" t="s">
        <v>43</v>
      </c>
      <c r="C1915" s="13" t="s">
        <v>5</v>
      </c>
      <c r="D1915" s="13" t="s">
        <v>1368</v>
      </c>
      <c r="E1915" s="16" t="n">
        <v>268.85</v>
      </c>
      <c r="F1915" s="7" t="n">
        <v>2</v>
      </c>
      <c r="G1915" s="5" t="n">
        <v>810</v>
      </c>
    </row>
    <row r="1916" customFormat="false" ht="15" hidden="false" customHeight="false" outlineLevel="0" collapsed="false">
      <c r="A1916" s="13" t="s">
        <v>179</v>
      </c>
      <c r="B1916" s="13" t="s">
        <v>85</v>
      </c>
      <c r="C1916" s="13" t="s">
        <v>3</v>
      </c>
      <c r="D1916" s="13" t="s">
        <v>1369</v>
      </c>
      <c r="E1916" s="16" t="n">
        <v>404</v>
      </c>
      <c r="F1916" s="7" t="n">
        <v>2</v>
      </c>
      <c r="G1916" s="5" t="n">
        <v>810</v>
      </c>
    </row>
    <row r="1917" customFormat="false" ht="15" hidden="false" customHeight="false" outlineLevel="0" collapsed="false">
      <c r="A1917" s="13" t="s">
        <v>315</v>
      </c>
      <c r="B1917" s="13" t="s">
        <v>43</v>
      </c>
      <c r="C1917" s="13" t="s">
        <v>5</v>
      </c>
      <c r="D1917" s="13" t="s">
        <v>1370</v>
      </c>
      <c r="E1917" s="16" t="n">
        <v>808.98</v>
      </c>
      <c r="F1917" s="7" t="n">
        <v>1</v>
      </c>
      <c r="G1917" s="5" t="n">
        <v>810</v>
      </c>
    </row>
    <row r="1918" customFormat="false" ht="15" hidden="false" customHeight="false" outlineLevel="0" collapsed="false">
      <c r="A1918" s="13" t="s">
        <v>153</v>
      </c>
      <c r="B1918" s="13" t="s">
        <v>43</v>
      </c>
      <c r="C1918" s="13" t="s">
        <v>4</v>
      </c>
      <c r="D1918" s="13" t="s">
        <v>543</v>
      </c>
      <c r="E1918" s="16" t="n">
        <v>813.26</v>
      </c>
      <c r="F1918" s="7" t="n">
        <v>1</v>
      </c>
      <c r="G1918" s="5" t="n">
        <v>810</v>
      </c>
    </row>
    <row r="1919" customFormat="false" ht="15" hidden="false" customHeight="false" outlineLevel="0" collapsed="false">
      <c r="A1919" s="13" t="s">
        <v>103</v>
      </c>
      <c r="B1919" s="13" t="s">
        <v>43</v>
      </c>
      <c r="C1919" s="13" t="s">
        <v>5</v>
      </c>
      <c r="D1919" s="13" t="s">
        <v>1371</v>
      </c>
      <c r="E1919" s="16" t="n">
        <v>160.82</v>
      </c>
      <c r="F1919" s="7" t="n">
        <v>5</v>
      </c>
      <c r="G1919" s="5" t="n">
        <v>800</v>
      </c>
    </row>
    <row r="1920" customFormat="false" ht="15" hidden="false" customHeight="false" outlineLevel="0" collapsed="false">
      <c r="A1920" s="13" t="s">
        <v>124</v>
      </c>
      <c r="B1920" s="13" t="s">
        <v>43</v>
      </c>
      <c r="C1920" s="13" t="s">
        <v>5</v>
      </c>
      <c r="D1920" s="13" t="s">
        <v>1372</v>
      </c>
      <c r="E1920" s="16" t="n">
        <v>399.33</v>
      </c>
      <c r="F1920" s="7" t="n">
        <v>2</v>
      </c>
      <c r="G1920" s="5" t="n">
        <v>800</v>
      </c>
    </row>
    <row r="1921" customFormat="false" ht="15" hidden="false" customHeight="false" outlineLevel="0" collapsed="false">
      <c r="A1921" s="13" t="s">
        <v>50</v>
      </c>
      <c r="B1921" s="13" t="s">
        <v>43</v>
      </c>
      <c r="C1921" s="13" t="s">
        <v>4</v>
      </c>
      <c r="D1921" s="13" t="s">
        <v>1373</v>
      </c>
      <c r="E1921" s="16" t="n">
        <v>799.48</v>
      </c>
      <c r="F1921" s="7" t="n">
        <v>1</v>
      </c>
      <c r="G1921" s="5" t="n">
        <v>800</v>
      </c>
    </row>
    <row r="1922" customFormat="false" ht="15" hidden="false" customHeight="false" outlineLevel="0" collapsed="false">
      <c r="A1922" s="13" t="s">
        <v>50</v>
      </c>
      <c r="B1922" s="13" t="s">
        <v>43</v>
      </c>
      <c r="C1922" s="13" t="s">
        <v>4</v>
      </c>
      <c r="D1922" s="13" t="s">
        <v>1374</v>
      </c>
      <c r="E1922" s="16" t="n">
        <v>799.64</v>
      </c>
      <c r="F1922" s="7" t="n">
        <v>1</v>
      </c>
      <c r="G1922" s="5" t="n">
        <v>800</v>
      </c>
    </row>
    <row r="1923" customFormat="false" ht="15" hidden="false" customHeight="false" outlineLevel="0" collapsed="false">
      <c r="A1923" s="13" t="s">
        <v>50</v>
      </c>
      <c r="B1923" s="13" t="s">
        <v>43</v>
      </c>
      <c r="C1923" s="13" t="s">
        <v>4</v>
      </c>
      <c r="D1923" s="13" t="s">
        <v>1375</v>
      </c>
      <c r="E1923" s="16" t="n">
        <v>400</v>
      </c>
      <c r="F1923" s="7" t="n">
        <v>2</v>
      </c>
      <c r="G1923" s="5" t="n">
        <v>800</v>
      </c>
    </row>
    <row r="1924" customFormat="false" ht="15" hidden="false" customHeight="false" outlineLevel="0" collapsed="false">
      <c r="A1924" s="13" t="s">
        <v>50</v>
      </c>
      <c r="B1924" s="13" t="s">
        <v>43</v>
      </c>
      <c r="C1924" s="13" t="s">
        <v>4</v>
      </c>
      <c r="D1924" s="13" t="s">
        <v>1376</v>
      </c>
      <c r="E1924" s="16" t="n">
        <v>802.27</v>
      </c>
      <c r="F1924" s="7" t="n">
        <v>1</v>
      </c>
      <c r="G1924" s="5" t="n">
        <v>800</v>
      </c>
    </row>
    <row r="1925" customFormat="false" ht="15" hidden="false" customHeight="false" outlineLevel="0" collapsed="false">
      <c r="A1925" s="13" t="s">
        <v>105</v>
      </c>
      <c r="B1925" s="13" t="s">
        <v>43</v>
      </c>
      <c r="C1925" s="13" t="s">
        <v>4</v>
      </c>
      <c r="D1925" s="13" t="s">
        <v>1377</v>
      </c>
      <c r="E1925" s="16" t="n">
        <v>802.27</v>
      </c>
      <c r="F1925" s="7" t="n">
        <v>1</v>
      </c>
      <c r="G1925" s="5" t="n">
        <v>800</v>
      </c>
    </row>
    <row r="1926" customFormat="false" ht="15" hidden="false" customHeight="false" outlineLevel="0" collapsed="false">
      <c r="A1926" s="13" t="s">
        <v>135</v>
      </c>
      <c r="B1926" s="13" t="s">
        <v>129</v>
      </c>
      <c r="C1926" s="13" t="s">
        <v>3</v>
      </c>
      <c r="D1926" s="13" t="s">
        <v>1378</v>
      </c>
      <c r="E1926" s="16" t="n">
        <v>799</v>
      </c>
      <c r="F1926" s="7" t="n">
        <v>1</v>
      </c>
      <c r="G1926" s="5" t="n">
        <v>800</v>
      </c>
    </row>
    <row r="1927" customFormat="false" ht="15" hidden="false" customHeight="false" outlineLevel="0" collapsed="false">
      <c r="A1927" s="13" t="s">
        <v>50</v>
      </c>
      <c r="B1927" s="13" t="s">
        <v>43</v>
      </c>
      <c r="C1927" s="13" t="s">
        <v>4</v>
      </c>
      <c r="D1927" s="13" t="s">
        <v>1379</v>
      </c>
      <c r="E1927" s="16" t="n">
        <v>799.48</v>
      </c>
      <c r="F1927" s="7" t="n">
        <v>1</v>
      </c>
      <c r="G1927" s="5" t="n">
        <v>800</v>
      </c>
    </row>
    <row r="1928" customFormat="false" ht="15" hidden="false" customHeight="false" outlineLevel="0" collapsed="false">
      <c r="A1928" s="13" t="s">
        <v>61</v>
      </c>
      <c r="B1928" s="13" t="s">
        <v>43</v>
      </c>
      <c r="C1928" s="13" t="s">
        <v>5</v>
      </c>
      <c r="D1928" s="13" t="s">
        <v>1319</v>
      </c>
      <c r="E1928" s="16" t="n">
        <v>799</v>
      </c>
      <c r="F1928" s="7" t="n">
        <v>1</v>
      </c>
      <c r="G1928" s="5" t="n">
        <v>800</v>
      </c>
    </row>
    <row r="1929" customFormat="false" ht="15" hidden="false" customHeight="false" outlineLevel="0" collapsed="false">
      <c r="A1929" s="13" t="s">
        <v>69</v>
      </c>
      <c r="B1929" s="13" t="s">
        <v>43</v>
      </c>
      <c r="C1929" s="13" t="s">
        <v>5</v>
      </c>
      <c r="D1929" s="13" t="s">
        <v>1380</v>
      </c>
      <c r="E1929" s="16" t="n">
        <v>799</v>
      </c>
      <c r="F1929" s="7" t="n">
        <v>1</v>
      </c>
      <c r="G1929" s="5" t="n">
        <v>800</v>
      </c>
    </row>
    <row r="1930" customFormat="false" ht="15" hidden="false" customHeight="false" outlineLevel="0" collapsed="false">
      <c r="A1930" s="13" t="s">
        <v>61</v>
      </c>
      <c r="B1930" s="13" t="s">
        <v>43</v>
      </c>
      <c r="C1930" s="13" t="s">
        <v>5</v>
      </c>
      <c r="D1930" s="13" t="s">
        <v>1381</v>
      </c>
      <c r="E1930" s="16" t="n">
        <v>797</v>
      </c>
      <c r="F1930" s="7" t="n">
        <v>1</v>
      </c>
      <c r="G1930" s="5" t="n">
        <v>800</v>
      </c>
    </row>
    <row r="1931" customFormat="false" ht="15" hidden="false" customHeight="false" outlineLevel="0" collapsed="false">
      <c r="A1931" s="13" t="s">
        <v>193</v>
      </c>
      <c r="B1931" s="13" t="s">
        <v>43</v>
      </c>
      <c r="C1931" s="13" t="s">
        <v>5</v>
      </c>
      <c r="D1931" s="13" t="s">
        <v>238</v>
      </c>
      <c r="E1931" s="16" t="n">
        <v>798.85</v>
      </c>
      <c r="F1931" s="7" t="n">
        <v>1</v>
      </c>
      <c r="G1931" s="5" t="n">
        <v>800</v>
      </c>
    </row>
    <row r="1932" customFormat="false" ht="15" hidden="false" customHeight="false" outlineLevel="0" collapsed="false">
      <c r="A1932" s="13" t="s">
        <v>61</v>
      </c>
      <c r="B1932" s="13" t="s">
        <v>43</v>
      </c>
      <c r="C1932" s="13" t="s">
        <v>5</v>
      </c>
      <c r="D1932" s="13" t="s">
        <v>1382</v>
      </c>
      <c r="E1932" s="16" t="n">
        <v>267.01</v>
      </c>
      <c r="F1932" s="7" t="n">
        <v>2</v>
      </c>
      <c r="G1932" s="5" t="n">
        <v>800</v>
      </c>
    </row>
    <row r="1933" customFormat="false" ht="15" hidden="false" customHeight="false" outlineLevel="0" collapsed="false">
      <c r="A1933" s="13" t="s">
        <v>186</v>
      </c>
      <c r="B1933" s="13" t="s">
        <v>43</v>
      </c>
      <c r="C1933" s="13" t="s">
        <v>5</v>
      </c>
      <c r="D1933" s="13" t="s">
        <v>1383</v>
      </c>
      <c r="E1933" s="16" t="n">
        <v>400.23</v>
      </c>
      <c r="F1933" s="7" t="n">
        <v>2</v>
      </c>
      <c r="G1933" s="5" t="n">
        <v>800</v>
      </c>
    </row>
    <row r="1934" customFormat="false" ht="15" hidden="false" customHeight="false" outlineLevel="0" collapsed="false">
      <c r="A1934" s="13" t="s">
        <v>50</v>
      </c>
      <c r="B1934" s="13" t="s">
        <v>43</v>
      </c>
      <c r="C1934" s="13" t="s">
        <v>5</v>
      </c>
      <c r="D1934" s="13" t="s">
        <v>762</v>
      </c>
      <c r="E1934" s="16" t="n">
        <v>786</v>
      </c>
      <c r="F1934" s="7" t="n">
        <v>1</v>
      </c>
      <c r="G1934" s="5" t="n">
        <v>790</v>
      </c>
    </row>
    <row r="1935" customFormat="false" ht="15" hidden="false" customHeight="false" outlineLevel="0" collapsed="false">
      <c r="A1935" s="13" t="s">
        <v>54</v>
      </c>
      <c r="B1935" s="13" t="s">
        <v>43</v>
      </c>
      <c r="C1935" s="13" t="s">
        <v>5</v>
      </c>
      <c r="D1935" s="13" t="s">
        <v>1384</v>
      </c>
      <c r="E1935" s="16" t="n">
        <v>787.85</v>
      </c>
      <c r="F1935" s="7" t="n">
        <v>1</v>
      </c>
      <c r="G1935" s="5" t="n">
        <v>790</v>
      </c>
    </row>
    <row r="1936" customFormat="false" ht="15" hidden="false" customHeight="false" outlineLevel="0" collapsed="false">
      <c r="A1936" s="13" t="s">
        <v>50</v>
      </c>
      <c r="B1936" s="13" t="s">
        <v>43</v>
      </c>
      <c r="C1936" s="13" t="s">
        <v>4</v>
      </c>
      <c r="D1936" s="13" t="s">
        <v>68</v>
      </c>
      <c r="E1936" s="16" t="n">
        <v>790</v>
      </c>
      <c r="F1936" s="7" t="n">
        <v>1</v>
      </c>
      <c r="G1936" s="5" t="n">
        <v>790</v>
      </c>
    </row>
    <row r="1937" customFormat="false" ht="15" hidden="false" customHeight="false" outlineLevel="0" collapsed="false">
      <c r="A1937" s="13" t="s">
        <v>54</v>
      </c>
      <c r="B1937" s="13" t="s">
        <v>43</v>
      </c>
      <c r="C1937" s="13" t="s">
        <v>5</v>
      </c>
      <c r="D1937" s="13" t="s">
        <v>1384</v>
      </c>
      <c r="E1937" s="16" t="n">
        <v>787.85</v>
      </c>
      <c r="F1937" s="7" t="n">
        <v>1</v>
      </c>
      <c r="G1937" s="5" t="n">
        <v>790</v>
      </c>
    </row>
    <row r="1938" customFormat="false" ht="15" hidden="false" customHeight="false" outlineLevel="0" collapsed="false">
      <c r="A1938" s="13" t="s">
        <v>72</v>
      </c>
      <c r="B1938" s="13" t="s">
        <v>43</v>
      </c>
      <c r="C1938" s="13" t="s">
        <v>5</v>
      </c>
      <c r="D1938" s="13" t="s">
        <v>1012</v>
      </c>
      <c r="E1938" s="16" t="n">
        <v>789.8</v>
      </c>
      <c r="F1938" s="7" t="n">
        <v>1</v>
      </c>
      <c r="G1938" s="5" t="n">
        <v>790</v>
      </c>
    </row>
    <row r="1939" customFormat="false" ht="15" hidden="false" customHeight="false" outlineLevel="0" collapsed="false">
      <c r="A1939" s="13" t="s">
        <v>42</v>
      </c>
      <c r="B1939" s="13" t="s">
        <v>43</v>
      </c>
      <c r="C1939" s="13" t="s">
        <v>4</v>
      </c>
      <c r="D1939" s="13" t="s">
        <v>1385</v>
      </c>
      <c r="E1939" s="16" t="n">
        <v>786.75</v>
      </c>
      <c r="F1939" s="7" t="n">
        <v>1</v>
      </c>
      <c r="G1939" s="5" t="n">
        <v>790</v>
      </c>
    </row>
    <row r="1940" customFormat="false" ht="15" hidden="false" customHeight="false" outlineLevel="0" collapsed="false">
      <c r="A1940" s="13" t="s">
        <v>42</v>
      </c>
      <c r="B1940" s="13" t="s">
        <v>43</v>
      </c>
      <c r="C1940" s="13" t="s">
        <v>4</v>
      </c>
      <c r="D1940" s="13" t="s">
        <v>1386</v>
      </c>
      <c r="E1940" s="16" t="n">
        <v>262.26</v>
      </c>
      <c r="F1940" s="7" t="n">
        <v>2</v>
      </c>
      <c r="G1940" s="5" t="n">
        <v>790</v>
      </c>
    </row>
    <row r="1941" customFormat="false" ht="15" hidden="false" customHeight="false" outlineLevel="0" collapsed="false">
      <c r="A1941" s="13" t="s">
        <v>229</v>
      </c>
      <c r="B1941" s="13" t="s">
        <v>43</v>
      </c>
      <c r="C1941" s="13" t="s">
        <v>4</v>
      </c>
      <c r="D1941" s="13" t="s">
        <v>1387</v>
      </c>
      <c r="E1941" s="16" t="n">
        <v>263.83</v>
      </c>
      <c r="F1941" s="7" t="n">
        <v>2</v>
      </c>
      <c r="G1941" s="5" t="n">
        <v>790</v>
      </c>
    </row>
    <row r="1942" customFormat="false" ht="15" hidden="false" customHeight="false" outlineLevel="0" collapsed="false">
      <c r="A1942" s="13" t="s">
        <v>302</v>
      </c>
      <c r="B1942" s="13" t="s">
        <v>43</v>
      </c>
      <c r="C1942" s="13" t="s">
        <v>5</v>
      </c>
      <c r="D1942" s="13" t="s">
        <v>517</v>
      </c>
      <c r="E1942" s="16" t="n">
        <v>784.76</v>
      </c>
      <c r="F1942" s="7" t="n">
        <v>1</v>
      </c>
      <c r="G1942" s="5" t="n">
        <v>780</v>
      </c>
    </row>
    <row r="1943" customFormat="false" ht="15" hidden="false" customHeight="false" outlineLevel="0" collapsed="false">
      <c r="A1943" s="13" t="s">
        <v>50</v>
      </c>
      <c r="B1943" s="13" t="s">
        <v>43</v>
      </c>
      <c r="C1943" s="13" t="s">
        <v>5</v>
      </c>
      <c r="D1943" s="13" t="s">
        <v>1388</v>
      </c>
      <c r="E1943" s="16" t="n">
        <v>775.85</v>
      </c>
      <c r="F1943" s="7" t="n">
        <v>1</v>
      </c>
      <c r="G1943" s="5" t="n">
        <v>780</v>
      </c>
    </row>
    <row r="1944" customFormat="false" ht="15" hidden="false" customHeight="false" outlineLevel="0" collapsed="false">
      <c r="A1944" s="13" t="s">
        <v>153</v>
      </c>
      <c r="B1944" s="13" t="s">
        <v>43</v>
      </c>
      <c r="C1944" s="13" t="s">
        <v>4</v>
      </c>
      <c r="D1944" s="13" t="s">
        <v>1389</v>
      </c>
      <c r="E1944" s="16" t="n">
        <v>775.2</v>
      </c>
      <c r="F1944" s="7" t="n">
        <v>1</v>
      </c>
      <c r="G1944" s="5" t="n">
        <v>780</v>
      </c>
    </row>
    <row r="1945" customFormat="false" ht="15" hidden="false" customHeight="false" outlineLevel="0" collapsed="false">
      <c r="A1945" s="13" t="s">
        <v>42</v>
      </c>
      <c r="B1945" s="13" t="s">
        <v>43</v>
      </c>
      <c r="C1945" s="13" t="s">
        <v>4</v>
      </c>
      <c r="D1945" s="13" t="s">
        <v>1390</v>
      </c>
      <c r="E1945" s="16" t="n">
        <v>782.04</v>
      </c>
      <c r="F1945" s="7" t="n">
        <v>1</v>
      </c>
      <c r="G1945" s="5" t="n">
        <v>780</v>
      </c>
    </row>
    <row r="1946" customFormat="false" ht="15" hidden="false" customHeight="false" outlineLevel="0" collapsed="false">
      <c r="A1946" s="13" t="s">
        <v>177</v>
      </c>
      <c r="B1946" s="13" t="s">
        <v>43</v>
      </c>
      <c r="C1946" s="13" t="s">
        <v>4</v>
      </c>
      <c r="D1946" s="13" t="s">
        <v>1391</v>
      </c>
      <c r="E1946" s="16" t="n">
        <v>778.2</v>
      </c>
      <c r="F1946" s="7" t="n">
        <v>1</v>
      </c>
      <c r="G1946" s="5" t="n">
        <v>780</v>
      </c>
    </row>
    <row r="1947" customFormat="false" ht="15" hidden="false" customHeight="false" outlineLevel="0" collapsed="false">
      <c r="A1947" s="13" t="s">
        <v>50</v>
      </c>
      <c r="B1947" s="13" t="s">
        <v>43</v>
      </c>
      <c r="C1947" s="13" t="s">
        <v>4</v>
      </c>
      <c r="D1947" s="13" t="s">
        <v>1392</v>
      </c>
      <c r="E1947" s="16" t="n">
        <v>781.39</v>
      </c>
      <c r="F1947" s="7" t="n">
        <v>1</v>
      </c>
      <c r="G1947" s="5" t="n">
        <v>780</v>
      </c>
    </row>
    <row r="1948" customFormat="false" ht="15" hidden="false" customHeight="false" outlineLevel="0" collapsed="false">
      <c r="A1948" s="13" t="s">
        <v>69</v>
      </c>
      <c r="B1948" s="13" t="s">
        <v>43</v>
      </c>
      <c r="C1948" s="13" t="s">
        <v>5</v>
      </c>
      <c r="D1948" s="13" t="s">
        <v>1393</v>
      </c>
      <c r="E1948" s="16" t="n">
        <v>784</v>
      </c>
      <c r="F1948" s="7" t="n">
        <v>1</v>
      </c>
      <c r="G1948" s="5" t="n">
        <v>780</v>
      </c>
    </row>
    <row r="1949" customFormat="false" ht="15" hidden="false" customHeight="false" outlineLevel="0" collapsed="false">
      <c r="A1949" s="13" t="s">
        <v>286</v>
      </c>
      <c r="B1949" s="13" t="s">
        <v>43</v>
      </c>
      <c r="C1949" s="13" t="s">
        <v>4</v>
      </c>
      <c r="D1949" s="13" t="s">
        <v>1394</v>
      </c>
      <c r="E1949" s="16" t="n">
        <v>389.48</v>
      </c>
      <c r="F1949" s="7" t="n">
        <v>2</v>
      </c>
      <c r="G1949" s="5" t="n">
        <v>780</v>
      </c>
    </row>
    <row r="1950" customFormat="false" ht="15" hidden="false" customHeight="false" outlineLevel="0" collapsed="false">
      <c r="A1950" s="13" t="s">
        <v>42</v>
      </c>
      <c r="B1950" s="13" t="s">
        <v>43</v>
      </c>
      <c r="C1950" s="13" t="s">
        <v>4</v>
      </c>
      <c r="D1950" s="13" t="s">
        <v>1395</v>
      </c>
      <c r="E1950" s="16" t="n">
        <v>781.08</v>
      </c>
      <c r="F1950" s="7" t="n">
        <v>1</v>
      </c>
      <c r="G1950" s="5" t="n">
        <v>780</v>
      </c>
    </row>
    <row r="1951" customFormat="false" ht="15" hidden="false" customHeight="false" outlineLevel="0" collapsed="false">
      <c r="A1951" s="13" t="s">
        <v>69</v>
      </c>
      <c r="B1951" s="13" t="s">
        <v>43</v>
      </c>
      <c r="C1951" s="13" t="s">
        <v>4</v>
      </c>
      <c r="D1951" s="13" t="s">
        <v>1396</v>
      </c>
      <c r="E1951" s="16" t="n">
        <v>780.17</v>
      </c>
      <c r="F1951" s="7" t="n">
        <v>1</v>
      </c>
      <c r="G1951" s="5" t="n">
        <v>780</v>
      </c>
    </row>
    <row r="1952" customFormat="false" ht="15" hidden="false" customHeight="false" outlineLevel="0" collapsed="false">
      <c r="A1952" s="13" t="s">
        <v>42</v>
      </c>
      <c r="B1952" s="13" t="s">
        <v>43</v>
      </c>
      <c r="C1952" s="13" t="s">
        <v>4</v>
      </c>
      <c r="D1952" s="13" t="s">
        <v>1397</v>
      </c>
      <c r="E1952" s="16" t="n">
        <v>782.04</v>
      </c>
      <c r="F1952" s="7" t="n">
        <v>1</v>
      </c>
      <c r="G1952" s="5" t="n">
        <v>780</v>
      </c>
    </row>
    <row r="1953" customFormat="false" ht="15" hidden="false" customHeight="false" outlineLevel="0" collapsed="false">
      <c r="A1953" s="13" t="s">
        <v>153</v>
      </c>
      <c r="B1953" s="13" t="s">
        <v>43</v>
      </c>
      <c r="C1953" s="13" t="s">
        <v>5</v>
      </c>
      <c r="D1953" s="13" t="s">
        <v>326</v>
      </c>
      <c r="E1953" s="16" t="n">
        <v>781</v>
      </c>
      <c r="F1953" s="7" t="n">
        <v>1</v>
      </c>
      <c r="G1953" s="5" t="n">
        <v>780</v>
      </c>
    </row>
    <row r="1954" customFormat="false" ht="15" hidden="false" customHeight="false" outlineLevel="0" collapsed="false">
      <c r="A1954" s="13" t="s">
        <v>105</v>
      </c>
      <c r="B1954" s="13" t="s">
        <v>43</v>
      </c>
      <c r="C1954" s="13" t="s">
        <v>5</v>
      </c>
      <c r="D1954" s="13" t="s">
        <v>1398</v>
      </c>
      <c r="E1954" s="16" t="n">
        <v>390</v>
      </c>
      <c r="F1954" s="7" t="n">
        <v>2</v>
      </c>
      <c r="G1954" s="5" t="n">
        <v>780</v>
      </c>
    </row>
    <row r="1955" customFormat="false" ht="15" hidden="false" customHeight="false" outlineLevel="0" collapsed="false">
      <c r="A1955" s="13" t="s">
        <v>42</v>
      </c>
      <c r="B1955" s="13" t="s">
        <v>43</v>
      </c>
      <c r="C1955" s="13" t="s">
        <v>5</v>
      </c>
      <c r="D1955" s="13" t="s">
        <v>1399</v>
      </c>
      <c r="E1955" s="16" t="n">
        <v>194.77</v>
      </c>
      <c r="F1955" s="7" t="n">
        <v>2</v>
      </c>
      <c r="G1955" s="5" t="n">
        <v>780</v>
      </c>
    </row>
    <row r="1956" customFormat="false" ht="15" hidden="false" customHeight="false" outlineLevel="0" collapsed="false">
      <c r="A1956" s="13" t="s">
        <v>50</v>
      </c>
      <c r="B1956" s="13" t="s">
        <v>43</v>
      </c>
      <c r="C1956" s="13" t="s">
        <v>4</v>
      </c>
      <c r="D1956" s="13" t="s">
        <v>1400</v>
      </c>
      <c r="E1956" s="16" t="n">
        <v>782.13</v>
      </c>
      <c r="F1956" s="7" t="n">
        <v>1</v>
      </c>
      <c r="G1956" s="5" t="n">
        <v>780</v>
      </c>
    </row>
    <row r="1957" customFormat="false" ht="15" hidden="false" customHeight="false" outlineLevel="0" collapsed="false">
      <c r="A1957" s="13" t="s">
        <v>121</v>
      </c>
      <c r="B1957" s="13" t="s">
        <v>43</v>
      </c>
      <c r="C1957" s="13" t="s">
        <v>5</v>
      </c>
      <c r="D1957" s="13" t="s">
        <v>1401</v>
      </c>
      <c r="E1957" s="16" t="n">
        <v>110</v>
      </c>
      <c r="F1957" s="7" t="n">
        <v>5</v>
      </c>
      <c r="G1957" s="5" t="n">
        <v>770</v>
      </c>
    </row>
    <row r="1958" customFormat="false" ht="15" hidden="false" customHeight="false" outlineLevel="0" collapsed="false">
      <c r="A1958" s="13" t="s">
        <v>50</v>
      </c>
      <c r="B1958" s="13" t="s">
        <v>43</v>
      </c>
      <c r="C1958" s="13" t="s">
        <v>5</v>
      </c>
      <c r="D1958" s="13" t="s">
        <v>172</v>
      </c>
      <c r="E1958" s="16" t="n">
        <v>768.85</v>
      </c>
      <c r="F1958" s="7" t="n">
        <v>1</v>
      </c>
      <c r="G1958" s="5" t="n">
        <v>770</v>
      </c>
    </row>
    <row r="1959" customFormat="false" ht="15" hidden="false" customHeight="false" outlineLevel="0" collapsed="false">
      <c r="A1959" s="13" t="s">
        <v>329</v>
      </c>
      <c r="B1959" s="13" t="s">
        <v>43</v>
      </c>
      <c r="C1959" s="13" t="s">
        <v>5</v>
      </c>
      <c r="D1959" s="13" t="s">
        <v>1402</v>
      </c>
      <c r="E1959" s="16" t="n">
        <v>769</v>
      </c>
      <c r="F1959" s="7" t="n">
        <v>1</v>
      </c>
      <c r="G1959" s="5" t="n">
        <v>770</v>
      </c>
    </row>
    <row r="1960" customFormat="false" ht="15" hidden="false" customHeight="false" outlineLevel="0" collapsed="false">
      <c r="A1960" s="13" t="s">
        <v>61</v>
      </c>
      <c r="B1960" s="13" t="s">
        <v>43</v>
      </c>
      <c r="C1960" s="13" t="s">
        <v>5</v>
      </c>
      <c r="D1960" s="13" t="s">
        <v>1403</v>
      </c>
      <c r="E1960" s="16" t="n">
        <v>257.09</v>
      </c>
      <c r="F1960" s="7" t="n">
        <v>2</v>
      </c>
      <c r="G1960" s="5" t="n">
        <v>770</v>
      </c>
    </row>
    <row r="1961" customFormat="false" ht="15" hidden="false" customHeight="false" outlineLevel="0" collapsed="false">
      <c r="A1961" s="13" t="s">
        <v>79</v>
      </c>
      <c r="B1961" s="13" t="s">
        <v>43</v>
      </c>
      <c r="C1961" s="13" t="s">
        <v>4</v>
      </c>
      <c r="D1961" s="13" t="s">
        <v>1404</v>
      </c>
      <c r="E1961" s="16" t="n">
        <v>768.95</v>
      </c>
      <c r="F1961" s="7" t="n">
        <v>1</v>
      </c>
      <c r="G1961" s="5" t="n">
        <v>770</v>
      </c>
    </row>
    <row r="1962" customFormat="false" ht="15" hidden="false" customHeight="false" outlineLevel="0" collapsed="false">
      <c r="A1962" s="13" t="s">
        <v>286</v>
      </c>
      <c r="B1962" s="13" t="s">
        <v>43</v>
      </c>
      <c r="C1962" s="13" t="s">
        <v>4</v>
      </c>
      <c r="D1962" s="13" t="s">
        <v>1405</v>
      </c>
      <c r="E1962" s="16" t="n">
        <v>386.48</v>
      </c>
      <c r="F1962" s="7" t="n">
        <v>2</v>
      </c>
      <c r="G1962" s="5" t="n">
        <v>770</v>
      </c>
    </row>
    <row r="1963" customFormat="false" ht="15" hidden="false" customHeight="false" outlineLevel="0" collapsed="false">
      <c r="A1963" s="13" t="s">
        <v>45</v>
      </c>
      <c r="B1963" s="13" t="s">
        <v>43</v>
      </c>
      <c r="C1963" s="13" t="s">
        <v>4</v>
      </c>
      <c r="D1963" s="13" t="s">
        <v>49</v>
      </c>
      <c r="E1963" s="16" t="n">
        <v>771.88</v>
      </c>
      <c r="F1963" s="7" t="n">
        <v>1</v>
      </c>
      <c r="G1963" s="5" t="n">
        <v>770</v>
      </c>
    </row>
    <row r="1964" customFormat="false" ht="15" hidden="false" customHeight="false" outlineLevel="0" collapsed="false">
      <c r="A1964" s="13" t="s">
        <v>45</v>
      </c>
      <c r="B1964" s="13" t="s">
        <v>43</v>
      </c>
      <c r="C1964" s="13" t="s">
        <v>4</v>
      </c>
      <c r="D1964" s="13" t="s">
        <v>508</v>
      </c>
      <c r="E1964" s="16" t="n">
        <v>771.88</v>
      </c>
      <c r="F1964" s="7" t="n">
        <v>1</v>
      </c>
      <c r="G1964" s="5" t="n">
        <v>770</v>
      </c>
    </row>
    <row r="1965" customFormat="false" ht="15" hidden="false" customHeight="false" outlineLevel="0" collapsed="false">
      <c r="A1965" s="13" t="s">
        <v>79</v>
      </c>
      <c r="B1965" s="13" t="s">
        <v>43</v>
      </c>
      <c r="C1965" s="13" t="s">
        <v>4</v>
      </c>
      <c r="D1965" s="13" t="s">
        <v>1406</v>
      </c>
      <c r="E1965" s="16" t="n">
        <v>770.79</v>
      </c>
      <c r="F1965" s="7" t="n">
        <v>1</v>
      </c>
      <c r="G1965" s="5" t="n">
        <v>770</v>
      </c>
    </row>
    <row r="1966" customFormat="false" ht="15" hidden="false" customHeight="false" outlineLevel="0" collapsed="false">
      <c r="A1966" s="13" t="s">
        <v>45</v>
      </c>
      <c r="B1966" s="13" t="s">
        <v>43</v>
      </c>
      <c r="C1966" s="13" t="s">
        <v>4</v>
      </c>
      <c r="D1966" s="13" t="s">
        <v>218</v>
      </c>
      <c r="E1966" s="16" t="n">
        <v>765.96</v>
      </c>
      <c r="F1966" s="7" t="n">
        <v>1</v>
      </c>
      <c r="G1966" s="5" t="n">
        <v>770</v>
      </c>
    </row>
    <row r="1967" customFormat="false" ht="15" hidden="false" customHeight="false" outlineLevel="0" collapsed="false">
      <c r="A1967" s="13" t="s">
        <v>54</v>
      </c>
      <c r="B1967" s="13" t="s">
        <v>43</v>
      </c>
      <c r="C1967" s="13" t="s">
        <v>5</v>
      </c>
      <c r="D1967" s="13" t="s">
        <v>1407</v>
      </c>
      <c r="E1967" s="16" t="n">
        <v>766.85</v>
      </c>
      <c r="F1967" s="7" t="n">
        <v>1</v>
      </c>
      <c r="G1967" s="5" t="n">
        <v>770</v>
      </c>
    </row>
    <row r="1968" customFormat="false" ht="15" hidden="false" customHeight="false" outlineLevel="0" collapsed="false">
      <c r="A1968" s="13" t="s">
        <v>42</v>
      </c>
      <c r="B1968" s="13" t="s">
        <v>43</v>
      </c>
      <c r="C1968" s="13" t="s">
        <v>5</v>
      </c>
      <c r="D1968" s="13" t="s">
        <v>1408</v>
      </c>
      <c r="E1968" s="16" t="n">
        <v>771</v>
      </c>
      <c r="F1968" s="7" t="n">
        <v>1</v>
      </c>
      <c r="G1968" s="5" t="n">
        <v>770</v>
      </c>
    </row>
    <row r="1969" customFormat="false" ht="15" hidden="false" customHeight="false" outlineLevel="0" collapsed="false">
      <c r="A1969" s="13" t="s">
        <v>315</v>
      </c>
      <c r="B1969" s="13" t="s">
        <v>43</v>
      </c>
      <c r="C1969" s="13" t="s">
        <v>5</v>
      </c>
      <c r="D1969" s="13" t="s">
        <v>1409</v>
      </c>
      <c r="E1969" s="16" t="n">
        <v>770.85</v>
      </c>
      <c r="F1969" s="7" t="n">
        <v>1</v>
      </c>
      <c r="G1969" s="5" t="n">
        <v>770</v>
      </c>
    </row>
    <row r="1970" customFormat="false" ht="15" hidden="false" customHeight="false" outlineLevel="0" collapsed="false">
      <c r="A1970" s="13" t="s">
        <v>153</v>
      </c>
      <c r="B1970" s="13" t="s">
        <v>43</v>
      </c>
      <c r="C1970" s="13" t="s">
        <v>5</v>
      </c>
      <c r="D1970" s="13" t="s">
        <v>1410</v>
      </c>
      <c r="E1970" s="16" t="n">
        <v>764.02</v>
      </c>
      <c r="F1970" s="7" t="n">
        <v>1</v>
      </c>
      <c r="G1970" s="5" t="n">
        <v>760</v>
      </c>
    </row>
    <row r="1971" customFormat="false" ht="15" hidden="false" customHeight="false" outlineLevel="0" collapsed="false">
      <c r="A1971" s="13" t="s">
        <v>79</v>
      </c>
      <c r="B1971" s="13" t="s">
        <v>43</v>
      </c>
      <c r="C1971" s="13" t="s">
        <v>5</v>
      </c>
      <c r="D1971" s="13" t="s">
        <v>1411</v>
      </c>
      <c r="E1971" s="16" t="n">
        <v>378.905</v>
      </c>
      <c r="F1971" s="7" t="n">
        <v>2</v>
      </c>
      <c r="G1971" s="5" t="n">
        <v>760</v>
      </c>
    </row>
    <row r="1972" customFormat="false" ht="15" hidden="false" customHeight="false" outlineLevel="0" collapsed="false">
      <c r="A1972" s="13" t="s">
        <v>69</v>
      </c>
      <c r="B1972" s="13" t="s">
        <v>43</v>
      </c>
      <c r="C1972" s="13" t="s">
        <v>5</v>
      </c>
      <c r="D1972" s="13" t="s">
        <v>1201</v>
      </c>
      <c r="E1972" s="16" t="n">
        <v>755</v>
      </c>
      <c r="F1972" s="7" t="n">
        <v>1</v>
      </c>
      <c r="G1972" s="5" t="n">
        <v>760</v>
      </c>
    </row>
    <row r="1973" customFormat="false" ht="15" hidden="false" customHeight="false" outlineLevel="0" collapsed="false">
      <c r="A1973" s="13" t="s">
        <v>92</v>
      </c>
      <c r="B1973" s="13" t="s">
        <v>43</v>
      </c>
      <c r="C1973" s="13" t="s">
        <v>5</v>
      </c>
      <c r="D1973" s="13" t="s">
        <v>1412</v>
      </c>
      <c r="E1973" s="16" t="n">
        <v>253.023333333333</v>
      </c>
      <c r="F1973" s="7" t="n">
        <v>2</v>
      </c>
      <c r="G1973" s="5" t="n">
        <v>760</v>
      </c>
    </row>
    <row r="1974" customFormat="false" ht="15" hidden="false" customHeight="false" outlineLevel="0" collapsed="false">
      <c r="A1974" s="13" t="s">
        <v>153</v>
      </c>
      <c r="B1974" s="13" t="s">
        <v>43</v>
      </c>
      <c r="C1974" s="13" t="s">
        <v>5</v>
      </c>
      <c r="D1974" s="13" t="s">
        <v>1413</v>
      </c>
      <c r="E1974" s="16" t="n">
        <v>379.095</v>
      </c>
      <c r="F1974" s="7" t="n">
        <v>2</v>
      </c>
      <c r="G1974" s="5" t="n">
        <v>760</v>
      </c>
    </row>
    <row r="1975" customFormat="false" ht="15" hidden="false" customHeight="false" outlineLevel="0" collapsed="false">
      <c r="A1975" s="13" t="s">
        <v>50</v>
      </c>
      <c r="B1975" s="13" t="s">
        <v>43</v>
      </c>
      <c r="C1975" s="13" t="s">
        <v>5</v>
      </c>
      <c r="D1975" s="13" t="s">
        <v>1414</v>
      </c>
      <c r="E1975" s="16" t="n">
        <v>755.89</v>
      </c>
      <c r="F1975" s="7" t="n">
        <v>1</v>
      </c>
      <c r="G1975" s="5" t="n">
        <v>760</v>
      </c>
    </row>
    <row r="1976" customFormat="false" ht="15" hidden="false" customHeight="false" outlineLevel="0" collapsed="false">
      <c r="A1976" s="13" t="s">
        <v>177</v>
      </c>
      <c r="B1976" s="13" t="s">
        <v>43</v>
      </c>
      <c r="C1976" s="13" t="s">
        <v>4</v>
      </c>
      <c r="D1976" s="13" t="s">
        <v>1415</v>
      </c>
      <c r="E1976" s="16" t="n">
        <v>760.56</v>
      </c>
      <c r="F1976" s="7" t="n">
        <v>1</v>
      </c>
      <c r="G1976" s="5" t="n">
        <v>760</v>
      </c>
    </row>
    <row r="1977" customFormat="false" ht="15" hidden="false" customHeight="false" outlineLevel="0" collapsed="false">
      <c r="A1977" s="13" t="s">
        <v>50</v>
      </c>
      <c r="B1977" s="13" t="s">
        <v>43</v>
      </c>
      <c r="C1977" s="13" t="s">
        <v>4</v>
      </c>
      <c r="D1977" s="13" t="s">
        <v>378</v>
      </c>
      <c r="E1977" s="16" t="n">
        <v>762.68</v>
      </c>
      <c r="F1977" s="7" t="n">
        <v>1</v>
      </c>
      <c r="G1977" s="5" t="n">
        <v>760</v>
      </c>
    </row>
    <row r="1978" customFormat="false" ht="15" hidden="false" customHeight="false" outlineLevel="0" collapsed="false">
      <c r="A1978" s="13" t="s">
        <v>42</v>
      </c>
      <c r="B1978" s="13" t="s">
        <v>43</v>
      </c>
      <c r="C1978" s="13" t="s">
        <v>4</v>
      </c>
      <c r="D1978" s="13" t="s">
        <v>1416</v>
      </c>
      <c r="E1978" s="16" t="n">
        <v>762.68</v>
      </c>
      <c r="F1978" s="7" t="n">
        <v>1</v>
      </c>
      <c r="G1978" s="5" t="n">
        <v>760</v>
      </c>
    </row>
    <row r="1979" customFormat="false" ht="15" hidden="false" customHeight="false" outlineLevel="0" collapsed="false">
      <c r="A1979" s="13" t="s">
        <v>50</v>
      </c>
      <c r="B1979" s="13" t="s">
        <v>43</v>
      </c>
      <c r="C1979" s="13" t="s">
        <v>4</v>
      </c>
      <c r="D1979" s="13" t="s">
        <v>404</v>
      </c>
      <c r="E1979" s="16" t="n">
        <v>762.68</v>
      </c>
      <c r="F1979" s="7" t="n">
        <v>1</v>
      </c>
      <c r="G1979" s="5" t="n">
        <v>760</v>
      </c>
    </row>
    <row r="1980" customFormat="false" ht="15" hidden="false" customHeight="false" outlineLevel="0" collapsed="false">
      <c r="A1980" s="13" t="s">
        <v>114</v>
      </c>
      <c r="B1980" s="13" t="s">
        <v>183</v>
      </c>
      <c r="C1980" s="13" t="s">
        <v>3</v>
      </c>
      <c r="D1980" s="13" t="s">
        <v>1417</v>
      </c>
      <c r="E1980" s="16" t="n">
        <v>84.9</v>
      </c>
      <c r="F1980" s="7" t="n">
        <v>5</v>
      </c>
      <c r="G1980" s="5" t="n">
        <v>760</v>
      </c>
    </row>
    <row r="1981" customFormat="false" ht="15" hidden="false" customHeight="false" outlineLevel="0" collapsed="false">
      <c r="A1981" s="13" t="s">
        <v>54</v>
      </c>
      <c r="B1981" s="13" t="s">
        <v>43</v>
      </c>
      <c r="C1981" s="13" t="s">
        <v>5</v>
      </c>
      <c r="D1981" s="13" t="s">
        <v>1418</v>
      </c>
      <c r="E1981" s="16" t="n">
        <v>125.85</v>
      </c>
      <c r="F1981" s="7" t="n">
        <v>5</v>
      </c>
      <c r="G1981" s="5" t="n">
        <v>760</v>
      </c>
    </row>
    <row r="1982" customFormat="false" ht="15" hidden="false" customHeight="false" outlineLevel="0" collapsed="false">
      <c r="A1982" s="13" t="s">
        <v>92</v>
      </c>
      <c r="B1982" s="13" t="s">
        <v>43</v>
      </c>
      <c r="C1982" s="13" t="s">
        <v>5</v>
      </c>
      <c r="D1982" s="13" t="s">
        <v>1419</v>
      </c>
      <c r="E1982" s="16" t="n">
        <v>755.7</v>
      </c>
      <c r="F1982" s="7" t="n">
        <v>1</v>
      </c>
      <c r="G1982" s="5" t="n">
        <v>760</v>
      </c>
    </row>
    <row r="1983" customFormat="false" ht="15" hidden="false" customHeight="false" outlineLevel="0" collapsed="false">
      <c r="A1983" s="13" t="s">
        <v>45</v>
      </c>
      <c r="B1983" s="13" t="s">
        <v>43</v>
      </c>
      <c r="C1983" s="13" t="s">
        <v>4</v>
      </c>
      <c r="D1983" s="13" t="s">
        <v>563</v>
      </c>
      <c r="E1983" s="16" t="n">
        <v>379</v>
      </c>
      <c r="F1983" s="7" t="n">
        <v>2</v>
      </c>
      <c r="G1983" s="5" t="n">
        <v>760</v>
      </c>
    </row>
    <row r="1984" customFormat="false" ht="15" hidden="false" customHeight="false" outlineLevel="0" collapsed="false">
      <c r="A1984" s="13" t="s">
        <v>50</v>
      </c>
      <c r="B1984" s="13" t="s">
        <v>43</v>
      </c>
      <c r="C1984" s="13" t="s">
        <v>4</v>
      </c>
      <c r="D1984" s="13" t="s">
        <v>64</v>
      </c>
      <c r="E1984" s="16" t="n">
        <v>764.15</v>
      </c>
      <c r="F1984" s="7" t="n">
        <v>1</v>
      </c>
      <c r="G1984" s="5" t="n">
        <v>760</v>
      </c>
    </row>
    <row r="1985" customFormat="false" ht="15" hidden="false" customHeight="false" outlineLevel="0" collapsed="false">
      <c r="A1985" s="13" t="s">
        <v>50</v>
      </c>
      <c r="B1985" s="13" t="s">
        <v>43</v>
      </c>
      <c r="C1985" s="13" t="s">
        <v>4</v>
      </c>
      <c r="D1985" s="13" t="s">
        <v>1006</v>
      </c>
      <c r="E1985" s="16" t="n">
        <v>764.15</v>
      </c>
      <c r="F1985" s="7" t="n">
        <v>1</v>
      </c>
      <c r="G1985" s="5" t="n">
        <v>760</v>
      </c>
    </row>
    <row r="1986" customFormat="false" ht="15" hidden="false" customHeight="false" outlineLevel="0" collapsed="false">
      <c r="A1986" s="13" t="s">
        <v>42</v>
      </c>
      <c r="B1986" s="13" t="s">
        <v>43</v>
      </c>
      <c r="C1986" s="13" t="s">
        <v>4</v>
      </c>
      <c r="D1986" s="13" t="s">
        <v>1420</v>
      </c>
      <c r="E1986" s="16" t="n">
        <v>758.67</v>
      </c>
      <c r="F1986" s="7" t="n">
        <v>1</v>
      </c>
      <c r="G1986" s="5" t="n">
        <v>760</v>
      </c>
    </row>
    <row r="1987" customFormat="false" ht="15" hidden="false" customHeight="false" outlineLevel="0" collapsed="false">
      <c r="A1987" s="13" t="s">
        <v>69</v>
      </c>
      <c r="B1987" s="13" t="s">
        <v>43</v>
      </c>
      <c r="C1987" s="13" t="s">
        <v>3</v>
      </c>
      <c r="D1987" s="13" t="s">
        <v>1246</v>
      </c>
      <c r="E1987" s="16" t="n">
        <v>380.495</v>
      </c>
      <c r="F1987" s="7" t="n">
        <v>2</v>
      </c>
      <c r="G1987" s="5" t="n">
        <v>760</v>
      </c>
    </row>
    <row r="1988" customFormat="false" ht="15" hidden="false" customHeight="false" outlineLevel="0" collapsed="false">
      <c r="A1988" s="13" t="s">
        <v>286</v>
      </c>
      <c r="B1988" s="13" t="s">
        <v>43</v>
      </c>
      <c r="C1988" s="13" t="s">
        <v>4</v>
      </c>
      <c r="D1988" s="13" t="s">
        <v>1421</v>
      </c>
      <c r="E1988" s="16" t="n">
        <v>379.76</v>
      </c>
      <c r="F1988" s="7" t="n">
        <v>2</v>
      </c>
      <c r="G1988" s="5" t="n">
        <v>760</v>
      </c>
    </row>
    <row r="1989" customFormat="false" ht="15" hidden="false" customHeight="false" outlineLevel="0" collapsed="false">
      <c r="A1989" s="13" t="s">
        <v>195</v>
      </c>
      <c r="B1989" s="13" t="s">
        <v>43</v>
      </c>
      <c r="C1989" s="13" t="s">
        <v>4</v>
      </c>
      <c r="D1989" s="13" t="s">
        <v>1422</v>
      </c>
      <c r="E1989" s="16" t="n">
        <v>764.04</v>
      </c>
      <c r="F1989" s="7" t="n">
        <v>1</v>
      </c>
      <c r="G1989" s="5" t="n">
        <v>760</v>
      </c>
    </row>
    <row r="1990" customFormat="false" ht="15" hidden="false" customHeight="false" outlineLevel="0" collapsed="false">
      <c r="A1990" s="13" t="s">
        <v>165</v>
      </c>
      <c r="B1990" s="13" t="s">
        <v>43</v>
      </c>
      <c r="C1990" s="13" t="s">
        <v>5</v>
      </c>
      <c r="D1990" s="13" t="s">
        <v>166</v>
      </c>
      <c r="E1990" s="16" t="n">
        <v>756.76</v>
      </c>
      <c r="F1990" s="7" t="n">
        <v>1</v>
      </c>
      <c r="G1990" s="5" t="n">
        <v>760</v>
      </c>
    </row>
    <row r="1991" customFormat="false" ht="15" hidden="false" customHeight="false" outlineLevel="0" collapsed="false">
      <c r="A1991" s="13" t="s">
        <v>45</v>
      </c>
      <c r="B1991" s="13" t="s">
        <v>43</v>
      </c>
      <c r="C1991" s="13" t="s">
        <v>5</v>
      </c>
      <c r="D1991" s="13" t="s">
        <v>1090</v>
      </c>
      <c r="E1991" s="16" t="n">
        <v>378</v>
      </c>
      <c r="F1991" s="7" t="n">
        <v>2</v>
      </c>
      <c r="G1991" s="5" t="n">
        <v>760</v>
      </c>
    </row>
    <row r="1992" customFormat="false" ht="15" hidden="false" customHeight="false" outlineLevel="0" collapsed="false">
      <c r="A1992" s="13" t="s">
        <v>45</v>
      </c>
      <c r="B1992" s="13" t="s">
        <v>43</v>
      </c>
      <c r="C1992" s="13" t="s">
        <v>5</v>
      </c>
      <c r="D1992" s="13" t="s">
        <v>1191</v>
      </c>
      <c r="E1992" s="16" t="n">
        <v>747</v>
      </c>
      <c r="F1992" s="7" t="n">
        <v>1</v>
      </c>
      <c r="G1992" s="5" t="n">
        <v>750</v>
      </c>
    </row>
    <row r="1993" customFormat="false" ht="15" hidden="false" customHeight="false" outlineLevel="0" collapsed="false">
      <c r="A1993" s="13" t="s">
        <v>117</v>
      </c>
      <c r="B1993" s="13" t="s">
        <v>98</v>
      </c>
      <c r="C1993" s="13" t="s">
        <v>3</v>
      </c>
      <c r="D1993" s="13" t="s">
        <v>1423</v>
      </c>
      <c r="E1993" s="16" t="n">
        <v>751</v>
      </c>
      <c r="F1993" s="7" t="n">
        <v>1</v>
      </c>
      <c r="G1993" s="5" t="n">
        <v>750</v>
      </c>
    </row>
    <row r="1994" customFormat="false" ht="15" hidden="false" customHeight="false" outlineLevel="0" collapsed="false">
      <c r="A1994" s="13" t="s">
        <v>191</v>
      </c>
      <c r="B1994" s="13" t="s">
        <v>183</v>
      </c>
      <c r="C1994" s="13" t="s">
        <v>3</v>
      </c>
      <c r="D1994" s="13" t="s">
        <v>1424</v>
      </c>
      <c r="E1994" s="16" t="n">
        <v>124.971666666667</v>
      </c>
      <c r="F1994" s="7" t="n">
        <v>5</v>
      </c>
      <c r="G1994" s="5" t="n">
        <v>750</v>
      </c>
    </row>
    <row r="1995" customFormat="false" ht="15" hidden="false" customHeight="false" outlineLevel="0" collapsed="false">
      <c r="A1995" s="13" t="s">
        <v>61</v>
      </c>
      <c r="B1995" s="13" t="s">
        <v>43</v>
      </c>
      <c r="C1995" s="13" t="s">
        <v>5</v>
      </c>
      <c r="D1995" s="13" t="s">
        <v>1425</v>
      </c>
      <c r="E1995" s="16" t="n">
        <v>750.76</v>
      </c>
      <c r="F1995" s="7" t="n">
        <v>1</v>
      </c>
      <c r="G1995" s="5" t="n">
        <v>750</v>
      </c>
    </row>
    <row r="1996" customFormat="false" ht="15" hidden="false" customHeight="false" outlineLevel="0" collapsed="false">
      <c r="A1996" s="13" t="s">
        <v>103</v>
      </c>
      <c r="B1996" s="13" t="s">
        <v>43</v>
      </c>
      <c r="C1996" s="13" t="s">
        <v>4</v>
      </c>
      <c r="D1996" s="13" t="s">
        <v>1426</v>
      </c>
      <c r="E1996" s="16" t="n">
        <v>251.353333333333</v>
      </c>
      <c r="F1996" s="7" t="n">
        <v>2</v>
      </c>
      <c r="G1996" s="5" t="n">
        <v>750</v>
      </c>
    </row>
    <row r="1997" customFormat="false" ht="15" hidden="false" customHeight="false" outlineLevel="0" collapsed="false">
      <c r="A1997" s="13" t="s">
        <v>45</v>
      </c>
      <c r="B1997" s="13" t="s">
        <v>43</v>
      </c>
      <c r="C1997" s="13" t="s">
        <v>4</v>
      </c>
      <c r="D1997" s="13" t="s">
        <v>1427</v>
      </c>
      <c r="E1997" s="16" t="n">
        <v>747.09</v>
      </c>
      <c r="F1997" s="7" t="n">
        <v>1</v>
      </c>
      <c r="G1997" s="5" t="n">
        <v>750</v>
      </c>
    </row>
    <row r="1998" customFormat="false" ht="15" hidden="false" customHeight="false" outlineLevel="0" collapsed="false">
      <c r="A1998" s="13" t="s">
        <v>42</v>
      </c>
      <c r="B1998" s="13" t="s">
        <v>43</v>
      </c>
      <c r="C1998" s="13" t="s">
        <v>5</v>
      </c>
      <c r="D1998" s="13" t="s">
        <v>460</v>
      </c>
      <c r="E1998" s="16" t="n">
        <v>753.39</v>
      </c>
      <c r="F1998" s="7" t="n">
        <v>1</v>
      </c>
      <c r="G1998" s="5" t="n">
        <v>750</v>
      </c>
    </row>
    <row r="1999" customFormat="false" ht="15" hidden="false" customHeight="false" outlineLevel="0" collapsed="false">
      <c r="A1999" s="13" t="s">
        <v>124</v>
      </c>
      <c r="B1999" s="13" t="s">
        <v>43</v>
      </c>
      <c r="C1999" s="13" t="s">
        <v>5</v>
      </c>
      <c r="D1999" s="13" t="s">
        <v>519</v>
      </c>
      <c r="E1999" s="16" t="n">
        <v>750.85</v>
      </c>
      <c r="F1999" s="7" t="n">
        <v>1</v>
      </c>
      <c r="G1999" s="5" t="n">
        <v>750</v>
      </c>
    </row>
    <row r="2000" customFormat="false" ht="15" hidden="false" customHeight="false" outlineLevel="0" collapsed="false">
      <c r="A2000" s="13" t="s">
        <v>45</v>
      </c>
      <c r="B2000" s="13" t="s">
        <v>43</v>
      </c>
      <c r="C2000" s="13" t="s">
        <v>4</v>
      </c>
      <c r="D2000" s="13" t="s">
        <v>499</v>
      </c>
      <c r="E2000" s="16" t="n">
        <v>754.39</v>
      </c>
      <c r="F2000" s="7" t="n">
        <v>1</v>
      </c>
      <c r="G2000" s="5" t="n">
        <v>750</v>
      </c>
    </row>
    <row r="2001" customFormat="false" ht="15" hidden="false" customHeight="false" outlineLevel="0" collapsed="false">
      <c r="A2001" s="13" t="s">
        <v>50</v>
      </c>
      <c r="B2001" s="13" t="s">
        <v>43</v>
      </c>
      <c r="C2001" s="13" t="s">
        <v>5</v>
      </c>
      <c r="D2001" s="13" t="s">
        <v>64</v>
      </c>
      <c r="E2001" s="16" t="n">
        <v>750</v>
      </c>
      <c r="F2001" s="7" t="n">
        <v>1</v>
      </c>
      <c r="G2001" s="5" t="n">
        <v>750</v>
      </c>
    </row>
    <row r="2002" customFormat="false" ht="15" hidden="false" customHeight="false" outlineLevel="0" collapsed="false">
      <c r="A2002" s="13" t="s">
        <v>195</v>
      </c>
      <c r="B2002" s="13" t="s">
        <v>43</v>
      </c>
      <c r="C2002" s="13" t="s">
        <v>5</v>
      </c>
      <c r="D2002" s="13" t="s">
        <v>555</v>
      </c>
      <c r="E2002" s="16" t="n">
        <v>749.85</v>
      </c>
      <c r="F2002" s="7" t="n">
        <v>1</v>
      </c>
      <c r="G2002" s="5" t="n">
        <v>750</v>
      </c>
    </row>
    <row r="2003" customFormat="false" ht="15" hidden="false" customHeight="false" outlineLevel="0" collapsed="false">
      <c r="A2003" s="13" t="s">
        <v>121</v>
      </c>
      <c r="B2003" s="13" t="s">
        <v>183</v>
      </c>
      <c r="C2003" s="13" t="s">
        <v>5</v>
      </c>
      <c r="D2003" s="13" t="s">
        <v>1428</v>
      </c>
      <c r="E2003" s="16" t="n">
        <v>83.36</v>
      </c>
      <c r="F2003" s="7" t="n">
        <v>5</v>
      </c>
      <c r="G2003" s="5" t="n">
        <v>750</v>
      </c>
    </row>
    <row r="2004" customFormat="false" ht="15" hidden="false" customHeight="false" outlineLevel="0" collapsed="false">
      <c r="A2004" s="13" t="s">
        <v>153</v>
      </c>
      <c r="B2004" s="13" t="s">
        <v>43</v>
      </c>
      <c r="C2004" s="13" t="s">
        <v>5</v>
      </c>
      <c r="D2004" s="13" t="s">
        <v>799</v>
      </c>
      <c r="E2004" s="16" t="n">
        <v>740.13</v>
      </c>
      <c r="F2004" s="7" t="n">
        <v>1</v>
      </c>
      <c r="G2004" s="5" t="n">
        <v>740</v>
      </c>
    </row>
    <row r="2005" customFormat="false" ht="15" hidden="false" customHeight="false" outlineLevel="0" collapsed="false">
      <c r="A2005" s="13" t="s">
        <v>42</v>
      </c>
      <c r="B2005" s="13" t="s">
        <v>43</v>
      </c>
      <c r="C2005" s="13" t="s">
        <v>4</v>
      </c>
      <c r="D2005" s="13" t="s">
        <v>89</v>
      </c>
      <c r="E2005" s="16" t="n">
        <v>739.26</v>
      </c>
      <c r="F2005" s="7" t="n">
        <v>1</v>
      </c>
      <c r="G2005" s="5" t="n">
        <v>740</v>
      </c>
    </row>
    <row r="2006" customFormat="false" ht="15" hidden="false" customHeight="false" outlineLevel="0" collapsed="false">
      <c r="A2006" s="13" t="s">
        <v>50</v>
      </c>
      <c r="B2006" s="13" t="s">
        <v>43</v>
      </c>
      <c r="C2006" s="13" t="s">
        <v>5</v>
      </c>
      <c r="D2006" s="13" t="s">
        <v>1429</v>
      </c>
      <c r="E2006" s="16" t="n">
        <v>368.15</v>
      </c>
      <c r="F2006" s="7" t="n">
        <v>2</v>
      </c>
      <c r="G2006" s="5" t="n">
        <v>740</v>
      </c>
    </row>
    <row r="2007" customFormat="false" ht="15" hidden="false" customHeight="false" outlineLevel="0" collapsed="false">
      <c r="A2007" s="13" t="s">
        <v>42</v>
      </c>
      <c r="B2007" s="13" t="s">
        <v>43</v>
      </c>
      <c r="C2007" s="13" t="s">
        <v>4</v>
      </c>
      <c r="D2007" s="13" t="s">
        <v>591</v>
      </c>
      <c r="E2007" s="16" t="n">
        <v>735.08</v>
      </c>
      <c r="F2007" s="7" t="n">
        <v>1</v>
      </c>
      <c r="G2007" s="5" t="n">
        <v>740</v>
      </c>
    </row>
    <row r="2008" customFormat="false" ht="15" hidden="false" customHeight="false" outlineLevel="0" collapsed="false">
      <c r="A2008" s="13" t="s">
        <v>195</v>
      </c>
      <c r="B2008" s="13" t="s">
        <v>43</v>
      </c>
      <c r="C2008" s="13" t="s">
        <v>5</v>
      </c>
      <c r="D2008" s="13" t="s">
        <v>1430</v>
      </c>
      <c r="E2008" s="16" t="n">
        <v>735</v>
      </c>
      <c r="F2008" s="7" t="n">
        <v>1</v>
      </c>
      <c r="G2008" s="5" t="n">
        <v>740</v>
      </c>
    </row>
    <row r="2009" customFormat="false" ht="15" hidden="false" customHeight="false" outlineLevel="0" collapsed="false">
      <c r="A2009" s="13" t="s">
        <v>79</v>
      </c>
      <c r="B2009" s="13" t="s">
        <v>43</v>
      </c>
      <c r="C2009" s="13" t="s">
        <v>5</v>
      </c>
      <c r="D2009" s="13" t="s">
        <v>283</v>
      </c>
      <c r="E2009" s="16" t="n">
        <v>744</v>
      </c>
      <c r="F2009" s="7" t="n">
        <v>1</v>
      </c>
      <c r="G2009" s="5" t="n">
        <v>740</v>
      </c>
    </row>
    <row r="2010" customFormat="false" ht="15" hidden="false" customHeight="false" outlineLevel="0" collapsed="false">
      <c r="A2010" s="13" t="s">
        <v>124</v>
      </c>
      <c r="B2010" s="13" t="s">
        <v>43</v>
      </c>
      <c r="C2010" s="13" t="s">
        <v>5</v>
      </c>
      <c r="D2010" s="13" t="s">
        <v>942</v>
      </c>
      <c r="E2010" s="16" t="n">
        <v>740.92</v>
      </c>
      <c r="F2010" s="7" t="n">
        <v>1</v>
      </c>
      <c r="G2010" s="5" t="n">
        <v>740</v>
      </c>
    </row>
    <row r="2011" customFormat="false" ht="15" hidden="false" customHeight="false" outlineLevel="0" collapsed="false">
      <c r="A2011" s="13" t="s">
        <v>45</v>
      </c>
      <c r="B2011" s="13" t="s">
        <v>43</v>
      </c>
      <c r="C2011" s="13" t="s">
        <v>4</v>
      </c>
      <c r="D2011" s="13" t="s">
        <v>1327</v>
      </c>
      <c r="E2011" s="16" t="n">
        <v>735.08</v>
      </c>
      <c r="F2011" s="7" t="n">
        <v>1</v>
      </c>
      <c r="G2011" s="5" t="n">
        <v>740</v>
      </c>
    </row>
    <row r="2012" customFormat="false" ht="15" hidden="false" customHeight="false" outlineLevel="0" collapsed="false">
      <c r="A2012" s="13" t="s">
        <v>50</v>
      </c>
      <c r="B2012" s="13" t="s">
        <v>43</v>
      </c>
      <c r="C2012" s="13" t="s">
        <v>4</v>
      </c>
      <c r="D2012" s="13" t="s">
        <v>189</v>
      </c>
      <c r="E2012" s="16" t="n">
        <v>739.26</v>
      </c>
      <c r="F2012" s="7" t="n">
        <v>1</v>
      </c>
      <c r="G2012" s="5" t="n">
        <v>740</v>
      </c>
    </row>
    <row r="2013" customFormat="false" ht="15" hidden="false" customHeight="false" outlineLevel="0" collapsed="false">
      <c r="A2013" s="13" t="s">
        <v>107</v>
      </c>
      <c r="B2013" s="13" t="s">
        <v>183</v>
      </c>
      <c r="C2013" s="13" t="s">
        <v>5</v>
      </c>
      <c r="D2013" s="13" t="s">
        <v>1431</v>
      </c>
      <c r="E2013" s="16" t="n">
        <v>245.633333333333</v>
      </c>
      <c r="F2013" s="7" t="n">
        <v>2</v>
      </c>
      <c r="G2013" s="5" t="n">
        <v>740</v>
      </c>
    </row>
    <row r="2014" customFormat="false" ht="15" hidden="false" customHeight="false" outlineLevel="0" collapsed="false">
      <c r="A2014" s="13" t="s">
        <v>72</v>
      </c>
      <c r="B2014" s="13" t="s">
        <v>43</v>
      </c>
      <c r="C2014" s="13" t="s">
        <v>5</v>
      </c>
      <c r="D2014" s="13" t="s">
        <v>964</v>
      </c>
      <c r="E2014" s="16" t="n">
        <v>737.77</v>
      </c>
      <c r="F2014" s="7" t="n">
        <v>1</v>
      </c>
      <c r="G2014" s="5" t="n">
        <v>740</v>
      </c>
    </row>
    <row r="2015" customFormat="false" ht="15" hidden="false" customHeight="false" outlineLevel="0" collapsed="false">
      <c r="A2015" s="13" t="s">
        <v>45</v>
      </c>
      <c r="B2015" s="13" t="s">
        <v>43</v>
      </c>
      <c r="C2015" s="13" t="s">
        <v>5</v>
      </c>
      <c r="D2015" s="13" t="s">
        <v>1432</v>
      </c>
      <c r="E2015" s="16" t="n">
        <v>738.49</v>
      </c>
      <c r="F2015" s="7" t="n">
        <v>1</v>
      </c>
      <c r="G2015" s="5" t="n">
        <v>740</v>
      </c>
    </row>
    <row r="2016" customFormat="false" ht="15" hidden="false" customHeight="false" outlineLevel="0" collapsed="false">
      <c r="A2016" s="13" t="s">
        <v>195</v>
      </c>
      <c r="B2016" s="13" t="s">
        <v>43</v>
      </c>
      <c r="C2016" s="13" t="s">
        <v>5</v>
      </c>
      <c r="D2016" s="13" t="s">
        <v>1433</v>
      </c>
      <c r="E2016" s="16" t="n">
        <v>736.31</v>
      </c>
      <c r="F2016" s="7" t="n">
        <v>1</v>
      </c>
      <c r="G2016" s="5" t="n">
        <v>740</v>
      </c>
    </row>
    <row r="2017" customFormat="false" ht="15" hidden="false" customHeight="false" outlineLevel="0" collapsed="false">
      <c r="A2017" s="13" t="s">
        <v>45</v>
      </c>
      <c r="B2017" s="13" t="s">
        <v>43</v>
      </c>
      <c r="C2017" s="13" t="s">
        <v>5</v>
      </c>
      <c r="D2017" s="13" t="s">
        <v>1434</v>
      </c>
      <c r="E2017" s="16" t="n">
        <v>736.63</v>
      </c>
      <c r="F2017" s="7" t="n">
        <v>1</v>
      </c>
      <c r="G2017" s="5" t="n">
        <v>740</v>
      </c>
    </row>
    <row r="2018" customFormat="false" ht="15" hidden="false" customHeight="false" outlineLevel="0" collapsed="false">
      <c r="A2018" s="13" t="s">
        <v>61</v>
      </c>
      <c r="B2018" s="13" t="s">
        <v>43</v>
      </c>
      <c r="C2018" s="13" t="s">
        <v>5</v>
      </c>
      <c r="D2018" s="13" t="s">
        <v>939</v>
      </c>
      <c r="E2018" s="16" t="n">
        <v>368.265</v>
      </c>
      <c r="F2018" s="7" t="n">
        <v>2</v>
      </c>
      <c r="G2018" s="5" t="n">
        <v>740</v>
      </c>
    </row>
    <row r="2019" customFormat="false" ht="15" hidden="false" customHeight="false" outlineLevel="0" collapsed="false">
      <c r="A2019" s="13" t="s">
        <v>195</v>
      </c>
      <c r="B2019" s="13" t="s">
        <v>43</v>
      </c>
      <c r="C2019" s="13" t="s">
        <v>5</v>
      </c>
      <c r="D2019" s="13" t="s">
        <v>1435</v>
      </c>
      <c r="E2019" s="16" t="n">
        <v>735</v>
      </c>
      <c r="F2019" s="7" t="n">
        <v>1</v>
      </c>
      <c r="G2019" s="5" t="n">
        <v>740</v>
      </c>
    </row>
    <row r="2020" customFormat="false" ht="15" hidden="false" customHeight="false" outlineLevel="0" collapsed="false">
      <c r="A2020" s="13" t="s">
        <v>153</v>
      </c>
      <c r="B2020" s="13" t="s">
        <v>43</v>
      </c>
      <c r="C2020" s="13" t="s">
        <v>4</v>
      </c>
      <c r="D2020" s="13" t="s">
        <v>1436</v>
      </c>
      <c r="E2020" s="16" t="n">
        <v>742.22</v>
      </c>
      <c r="F2020" s="7" t="n">
        <v>1</v>
      </c>
      <c r="G2020" s="5" t="n">
        <v>740</v>
      </c>
    </row>
    <row r="2021" customFormat="false" ht="15" hidden="false" customHeight="false" outlineLevel="0" collapsed="false">
      <c r="A2021" s="13" t="s">
        <v>45</v>
      </c>
      <c r="B2021" s="13" t="s">
        <v>43</v>
      </c>
      <c r="C2021" s="13" t="s">
        <v>5</v>
      </c>
      <c r="D2021" s="13" t="s">
        <v>301</v>
      </c>
      <c r="E2021" s="16" t="n">
        <v>368.6</v>
      </c>
      <c r="F2021" s="7" t="n">
        <v>2</v>
      </c>
      <c r="G2021" s="5" t="n">
        <v>740</v>
      </c>
    </row>
    <row r="2022" customFormat="false" ht="15" hidden="false" customHeight="false" outlineLevel="0" collapsed="false">
      <c r="A2022" s="13" t="s">
        <v>45</v>
      </c>
      <c r="B2022" s="13" t="s">
        <v>43</v>
      </c>
      <c r="C2022" s="13" t="s">
        <v>5</v>
      </c>
      <c r="D2022" s="13" t="s">
        <v>1437</v>
      </c>
      <c r="E2022" s="16" t="n">
        <v>737</v>
      </c>
      <c r="F2022" s="7" t="n">
        <v>1</v>
      </c>
      <c r="G2022" s="5" t="n">
        <v>740</v>
      </c>
    </row>
    <row r="2023" customFormat="false" ht="15" hidden="false" customHeight="false" outlineLevel="0" collapsed="false">
      <c r="A2023" s="13" t="s">
        <v>182</v>
      </c>
      <c r="B2023" s="13" t="s">
        <v>85</v>
      </c>
      <c r="C2023" s="13" t="s">
        <v>3</v>
      </c>
      <c r="D2023" s="13" t="s">
        <v>1438</v>
      </c>
      <c r="E2023" s="16" t="n">
        <v>122.643333333333</v>
      </c>
      <c r="F2023" s="7" t="n">
        <v>5</v>
      </c>
      <c r="G2023" s="5" t="n">
        <v>740</v>
      </c>
    </row>
    <row r="2024" customFormat="false" ht="15" hidden="false" customHeight="false" outlineLevel="0" collapsed="false">
      <c r="A2024" s="13" t="s">
        <v>42</v>
      </c>
      <c r="B2024" s="13" t="s">
        <v>43</v>
      </c>
      <c r="C2024" s="13" t="s">
        <v>4</v>
      </c>
      <c r="D2024" s="13" t="s">
        <v>912</v>
      </c>
      <c r="E2024" s="16" t="n">
        <v>743.07</v>
      </c>
      <c r="F2024" s="7" t="n">
        <v>1</v>
      </c>
      <c r="G2024" s="5" t="n">
        <v>740</v>
      </c>
    </row>
    <row r="2025" customFormat="false" ht="15" hidden="false" customHeight="false" outlineLevel="0" collapsed="false">
      <c r="A2025" s="13" t="s">
        <v>42</v>
      </c>
      <c r="B2025" s="13" t="s">
        <v>43</v>
      </c>
      <c r="C2025" s="13" t="s">
        <v>4</v>
      </c>
      <c r="D2025" s="13" t="s">
        <v>1439</v>
      </c>
      <c r="E2025" s="16" t="n">
        <v>741.23</v>
      </c>
      <c r="F2025" s="7" t="n">
        <v>1</v>
      </c>
      <c r="G2025" s="5" t="n">
        <v>740</v>
      </c>
    </row>
    <row r="2026" customFormat="false" ht="15" hidden="false" customHeight="false" outlineLevel="0" collapsed="false">
      <c r="A2026" s="13" t="s">
        <v>42</v>
      </c>
      <c r="B2026" s="13" t="s">
        <v>43</v>
      </c>
      <c r="C2026" s="13" t="s">
        <v>4</v>
      </c>
      <c r="D2026" s="13" t="s">
        <v>246</v>
      </c>
      <c r="E2026" s="16" t="n">
        <v>730.14</v>
      </c>
      <c r="F2026" s="7" t="n">
        <v>1</v>
      </c>
      <c r="G2026" s="5" t="n">
        <v>730</v>
      </c>
    </row>
    <row r="2027" customFormat="false" ht="15" hidden="false" customHeight="false" outlineLevel="0" collapsed="false">
      <c r="A2027" s="13" t="s">
        <v>42</v>
      </c>
      <c r="B2027" s="13" t="s">
        <v>43</v>
      </c>
      <c r="C2027" s="13" t="s">
        <v>4</v>
      </c>
      <c r="D2027" s="13" t="s">
        <v>847</v>
      </c>
      <c r="E2027" s="16" t="n">
        <v>730.14</v>
      </c>
      <c r="F2027" s="7" t="n">
        <v>1</v>
      </c>
      <c r="G2027" s="5" t="n">
        <v>730</v>
      </c>
    </row>
    <row r="2028" customFormat="false" ht="15" hidden="false" customHeight="false" outlineLevel="0" collapsed="false">
      <c r="A2028" s="13" t="s">
        <v>42</v>
      </c>
      <c r="B2028" s="13" t="s">
        <v>43</v>
      </c>
      <c r="C2028" s="13" t="s">
        <v>4</v>
      </c>
      <c r="D2028" s="13" t="s">
        <v>1440</v>
      </c>
      <c r="E2028" s="16" t="n">
        <v>732.51</v>
      </c>
      <c r="F2028" s="7" t="n">
        <v>1</v>
      </c>
      <c r="G2028" s="5" t="n">
        <v>730</v>
      </c>
    </row>
    <row r="2029" customFormat="false" ht="15" hidden="false" customHeight="false" outlineLevel="0" collapsed="false">
      <c r="A2029" s="13" t="s">
        <v>61</v>
      </c>
      <c r="B2029" s="13" t="s">
        <v>43</v>
      </c>
      <c r="C2029" s="13" t="s">
        <v>5</v>
      </c>
      <c r="D2029" s="13" t="s">
        <v>1441</v>
      </c>
      <c r="E2029" s="16" t="n">
        <v>365</v>
      </c>
      <c r="F2029" s="7" t="n">
        <v>2</v>
      </c>
      <c r="G2029" s="5" t="n">
        <v>730</v>
      </c>
    </row>
    <row r="2030" customFormat="false" ht="15" hidden="false" customHeight="false" outlineLevel="0" collapsed="false">
      <c r="A2030" s="13" t="s">
        <v>50</v>
      </c>
      <c r="B2030" s="13" t="s">
        <v>43</v>
      </c>
      <c r="C2030" s="13" t="s">
        <v>4</v>
      </c>
      <c r="D2030" s="13" t="s">
        <v>1442</v>
      </c>
      <c r="E2030" s="16" t="n">
        <v>726.68</v>
      </c>
      <c r="F2030" s="7" t="n">
        <v>1</v>
      </c>
      <c r="G2030" s="5" t="n">
        <v>730</v>
      </c>
    </row>
    <row r="2031" customFormat="false" ht="15" hidden="false" customHeight="false" outlineLevel="0" collapsed="false">
      <c r="A2031" s="13" t="s">
        <v>45</v>
      </c>
      <c r="B2031" s="13" t="s">
        <v>43</v>
      </c>
      <c r="C2031" s="13" t="s">
        <v>5</v>
      </c>
      <c r="D2031" s="13" t="s">
        <v>870</v>
      </c>
      <c r="E2031" s="16" t="n">
        <v>727.03</v>
      </c>
      <c r="F2031" s="7" t="n">
        <v>1</v>
      </c>
      <c r="G2031" s="5" t="n">
        <v>730</v>
      </c>
    </row>
    <row r="2032" customFormat="false" ht="15" hidden="false" customHeight="false" outlineLevel="0" collapsed="false">
      <c r="A2032" s="13" t="s">
        <v>61</v>
      </c>
      <c r="B2032" s="13" t="s">
        <v>43</v>
      </c>
      <c r="C2032" s="13" t="s">
        <v>5</v>
      </c>
      <c r="D2032" s="13" t="s">
        <v>1403</v>
      </c>
      <c r="E2032" s="16" t="n">
        <v>243</v>
      </c>
      <c r="F2032" s="7" t="n">
        <v>2</v>
      </c>
      <c r="G2032" s="5" t="n">
        <v>730</v>
      </c>
    </row>
    <row r="2033" customFormat="false" ht="15" hidden="false" customHeight="false" outlineLevel="0" collapsed="false">
      <c r="A2033" s="13" t="s">
        <v>124</v>
      </c>
      <c r="B2033" s="13" t="s">
        <v>43</v>
      </c>
      <c r="C2033" s="13" t="s">
        <v>5</v>
      </c>
      <c r="D2033" s="13" t="s">
        <v>1443</v>
      </c>
      <c r="E2033" s="16" t="n">
        <v>731.21</v>
      </c>
      <c r="F2033" s="7" t="n">
        <v>1</v>
      </c>
      <c r="G2033" s="5" t="n">
        <v>730</v>
      </c>
    </row>
    <row r="2034" customFormat="false" ht="15" hidden="false" customHeight="false" outlineLevel="0" collapsed="false">
      <c r="A2034" s="13" t="s">
        <v>42</v>
      </c>
      <c r="B2034" s="13" t="s">
        <v>43</v>
      </c>
      <c r="C2034" s="13" t="s">
        <v>5</v>
      </c>
      <c r="D2034" s="13" t="s">
        <v>816</v>
      </c>
      <c r="E2034" s="16" t="n">
        <v>244.963333333333</v>
      </c>
      <c r="F2034" s="7" t="n">
        <v>2</v>
      </c>
      <c r="G2034" s="5" t="n">
        <v>730</v>
      </c>
    </row>
    <row r="2035" customFormat="false" ht="15" hidden="false" customHeight="false" outlineLevel="0" collapsed="false">
      <c r="A2035" s="13" t="s">
        <v>50</v>
      </c>
      <c r="B2035" s="13" t="s">
        <v>43</v>
      </c>
      <c r="C2035" s="13" t="s">
        <v>4</v>
      </c>
      <c r="D2035" s="13" t="s">
        <v>1444</v>
      </c>
      <c r="E2035" s="16" t="n">
        <v>734.13</v>
      </c>
      <c r="F2035" s="7" t="n">
        <v>1</v>
      </c>
      <c r="G2035" s="5" t="n">
        <v>730</v>
      </c>
    </row>
    <row r="2036" customFormat="false" ht="15" hidden="false" customHeight="false" outlineLevel="0" collapsed="false">
      <c r="A2036" s="13" t="s">
        <v>79</v>
      </c>
      <c r="B2036" s="13" t="s">
        <v>43</v>
      </c>
      <c r="C2036" s="13" t="s">
        <v>5</v>
      </c>
      <c r="D2036" s="13" t="s">
        <v>1445</v>
      </c>
      <c r="E2036" s="16" t="n">
        <v>726.51</v>
      </c>
      <c r="F2036" s="7" t="n">
        <v>1</v>
      </c>
      <c r="G2036" s="5" t="n">
        <v>730</v>
      </c>
    </row>
    <row r="2037" customFormat="false" ht="15" hidden="false" customHeight="false" outlineLevel="0" collapsed="false">
      <c r="A2037" s="13" t="s">
        <v>365</v>
      </c>
      <c r="B2037" s="13" t="s">
        <v>43</v>
      </c>
      <c r="C2037" s="13" t="s">
        <v>5</v>
      </c>
      <c r="D2037" s="13" t="s">
        <v>1446</v>
      </c>
      <c r="E2037" s="16" t="n">
        <v>366.49</v>
      </c>
      <c r="F2037" s="7" t="n">
        <v>2</v>
      </c>
      <c r="G2037" s="5" t="n">
        <v>730</v>
      </c>
    </row>
    <row r="2038" customFormat="false" ht="15" hidden="false" customHeight="false" outlineLevel="0" collapsed="false">
      <c r="A2038" s="13" t="s">
        <v>54</v>
      </c>
      <c r="B2038" s="13" t="s">
        <v>43</v>
      </c>
      <c r="C2038" s="13" t="s">
        <v>5</v>
      </c>
      <c r="D2038" s="13" t="s">
        <v>1086</v>
      </c>
      <c r="E2038" s="16" t="n">
        <v>733.85</v>
      </c>
      <c r="F2038" s="7" t="n">
        <v>1</v>
      </c>
      <c r="G2038" s="5" t="n">
        <v>730</v>
      </c>
    </row>
    <row r="2039" customFormat="false" ht="15" hidden="false" customHeight="false" outlineLevel="0" collapsed="false">
      <c r="A2039" s="13" t="s">
        <v>286</v>
      </c>
      <c r="B2039" s="13" t="s">
        <v>43</v>
      </c>
      <c r="C2039" s="13" t="s">
        <v>5</v>
      </c>
      <c r="D2039" s="13" t="s">
        <v>1447</v>
      </c>
      <c r="E2039" s="16" t="n">
        <v>362.975</v>
      </c>
      <c r="F2039" s="7" t="n">
        <v>2</v>
      </c>
      <c r="G2039" s="5" t="n">
        <v>730</v>
      </c>
    </row>
    <row r="2040" customFormat="false" ht="15" hidden="false" customHeight="false" outlineLevel="0" collapsed="false">
      <c r="A2040" s="13" t="s">
        <v>42</v>
      </c>
      <c r="B2040" s="13" t="s">
        <v>43</v>
      </c>
      <c r="C2040" s="13" t="s">
        <v>4</v>
      </c>
      <c r="D2040" s="13" t="s">
        <v>501</v>
      </c>
      <c r="E2040" s="16" t="n">
        <v>715.17</v>
      </c>
      <c r="F2040" s="7" t="n">
        <v>1</v>
      </c>
      <c r="G2040" s="5" t="n">
        <v>720</v>
      </c>
    </row>
    <row r="2041" customFormat="false" ht="15" hidden="false" customHeight="false" outlineLevel="0" collapsed="false">
      <c r="A2041" s="13" t="s">
        <v>42</v>
      </c>
      <c r="B2041" s="13" t="s">
        <v>43</v>
      </c>
      <c r="C2041" s="13" t="s">
        <v>4</v>
      </c>
      <c r="D2041" s="13" t="s">
        <v>91</v>
      </c>
      <c r="E2041" s="16" t="n">
        <v>715.17</v>
      </c>
      <c r="F2041" s="7" t="n">
        <v>1</v>
      </c>
      <c r="G2041" s="5" t="n">
        <v>720</v>
      </c>
    </row>
    <row r="2042" customFormat="false" ht="15" hidden="false" customHeight="false" outlineLevel="0" collapsed="false">
      <c r="A2042" s="13" t="s">
        <v>362</v>
      </c>
      <c r="B2042" s="13" t="s">
        <v>43</v>
      </c>
      <c r="C2042" s="13" t="s">
        <v>4</v>
      </c>
      <c r="D2042" s="13" t="s">
        <v>1448</v>
      </c>
      <c r="E2042" s="16" t="n">
        <v>717.08</v>
      </c>
      <c r="F2042" s="7" t="n">
        <v>1</v>
      </c>
      <c r="G2042" s="5" t="n">
        <v>720</v>
      </c>
    </row>
    <row r="2043" customFormat="false" ht="15" hidden="false" customHeight="false" outlineLevel="0" collapsed="false">
      <c r="A2043" s="13" t="s">
        <v>92</v>
      </c>
      <c r="B2043" s="13" t="s">
        <v>43</v>
      </c>
      <c r="C2043" s="13" t="s">
        <v>4</v>
      </c>
      <c r="D2043" s="13" t="s">
        <v>1449</v>
      </c>
      <c r="E2043" s="16" t="n">
        <v>717.06</v>
      </c>
      <c r="F2043" s="7" t="n">
        <v>1</v>
      </c>
      <c r="G2043" s="5" t="n">
        <v>720</v>
      </c>
    </row>
    <row r="2044" customFormat="false" ht="15" hidden="false" customHeight="false" outlineLevel="0" collapsed="false">
      <c r="A2044" s="13" t="s">
        <v>45</v>
      </c>
      <c r="B2044" s="13" t="s">
        <v>43</v>
      </c>
      <c r="C2044" s="13" t="s">
        <v>4</v>
      </c>
      <c r="D2044" s="13" t="s">
        <v>1450</v>
      </c>
      <c r="E2044" s="16" t="n">
        <v>721.54</v>
      </c>
      <c r="F2044" s="7" t="n">
        <v>1</v>
      </c>
      <c r="G2044" s="5" t="n">
        <v>720</v>
      </c>
    </row>
    <row r="2045" customFormat="false" ht="15" hidden="false" customHeight="false" outlineLevel="0" collapsed="false">
      <c r="A2045" s="13" t="s">
        <v>302</v>
      </c>
      <c r="B2045" s="13" t="s">
        <v>43</v>
      </c>
      <c r="C2045" s="13" t="s">
        <v>4</v>
      </c>
      <c r="D2045" s="13" t="s">
        <v>1451</v>
      </c>
      <c r="E2045" s="16" t="n">
        <v>721.16</v>
      </c>
      <c r="F2045" s="7" t="n">
        <v>1</v>
      </c>
      <c r="G2045" s="5" t="n">
        <v>720</v>
      </c>
    </row>
    <row r="2046" customFormat="false" ht="15" hidden="false" customHeight="false" outlineLevel="0" collapsed="false">
      <c r="A2046" s="13" t="s">
        <v>153</v>
      </c>
      <c r="B2046" s="13" t="s">
        <v>43</v>
      </c>
      <c r="C2046" s="13" t="s">
        <v>4</v>
      </c>
      <c r="D2046" s="13" t="s">
        <v>1452</v>
      </c>
      <c r="E2046" s="16" t="n">
        <v>718.55</v>
      </c>
      <c r="F2046" s="7" t="n">
        <v>1</v>
      </c>
      <c r="G2046" s="5" t="n">
        <v>720</v>
      </c>
    </row>
    <row r="2047" customFormat="false" ht="15" hidden="false" customHeight="false" outlineLevel="0" collapsed="false">
      <c r="A2047" s="13" t="s">
        <v>50</v>
      </c>
      <c r="B2047" s="13" t="s">
        <v>43</v>
      </c>
      <c r="C2047" s="13" t="s">
        <v>4</v>
      </c>
      <c r="D2047" s="13" t="s">
        <v>1453</v>
      </c>
      <c r="E2047" s="16" t="n">
        <v>724.44</v>
      </c>
      <c r="F2047" s="7" t="n">
        <v>1</v>
      </c>
      <c r="G2047" s="5" t="n">
        <v>720</v>
      </c>
    </row>
    <row r="2048" customFormat="false" ht="15" hidden="false" customHeight="false" outlineLevel="0" collapsed="false">
      <c r="A2048" s="13" t="s">
        <v>124</v>
      </c>
      <c r="B2048" s="13" t="s">
        <v>43</v>
      </c>
      <c r="C2048" s="13" t="s">
        <v>5</v>
      </c>
      <c r="D2048" s="13" t="s">
        <v>1454</v>
      </c>
      <c r="E2048" s="16" t="n">
        <v>722.87</v>
      </c>
      <c r="F2048" s="7" t="n">
        <v>1</v>
      </c>
      <c r="G2048" s="5" t="n">
        <v>720</v>
      </c>
    </row>
    <row r="2049" customFormat="false" ht="15" hidden="false" customHeight="false" outlineLevel="0" collapsed="false">
      <c r="A2049" s="13" t="s">
        <v>42</v>
      </c>
      <c r="B2049" s="13" t="s">
        <v>43</v>
      </c>
      <c r="C2049" s="13" t="s">
        <v>5</v>
      </c>
      <c r="D2049" s="13" t="s">
        <v>1455</v>
      </c>
      <c r="E2049" s="16" t="n">
        <v>721.52</v>
      </c>
      <c r="F2049" s="7" t="n">
        <v>1</v>
      </c>
      <c r="G2049" s="5" t="n">
        <v>720</v>
      </c>
    </row>
    <row r="2050" customFormat="false" ht="15" hidden="false" customHeight="false" outlineLevel="0" collapsed="false">
      <c r="A2050" s="13" t="s">
        <v>177</v>
      </c>
      <c r="B2050" s="13" t="s">
        <v>43</v>
      </c>
      <c r="C2050" s="13" t="s">
        <v>5</v>
      </c>
      <c r="D2050" s="13" t="s">
        <v>1456</v>
      </c>
      <c r="E2050" s="16" t="n">
        <v>716</v>
      </c>
      <c r="F2050" s="7" t="n">
        <v>1</v>
      </c>
      <c r="G2050" s="5" t="n">
        <v>720</v>
      </c>
    </row>
    <row r="2051" customFormat="false" ht="15" hidden="false" customHeight="false" outlineLevel="0" collapsed="false">
      <c r="A2051" s="13" t="s">
        <v>79</v>
      </c>
      <c r="B2051" s="13" t="s">
        <v>43</v>
      </c>
      <c r="C2051" s="13" t="s">
        <v>5</v>
      </c>
      <c r="D2051" s="13" t="s">
        <v>866</v>
      </c>
      <c r="E2051" s="16" t="n">
        <v>723</v>
      </c>
      <c r="F2051" s="7" t="n">
        <v>1</v>
      </c>
      <c r="G2051" s="5" t="n">
        <v>720</v>
      </c>
    </row>
    <row r="2052" customFormat="false" ht="15" hidden="false" customHeight="false" outlineLevel="0" collapsed="false">
      <c r="A2052" s="13" t="s">
        <v>255</v>
      </c>
      <c r="B2052" s="13" t="s">
        <v>43</v>
      </c>
      <c r="C2052" s="13" t="s">
        <v>4</v>
      </c>
      <c r="D2052" s="13" t="s">
        <v>1457</v>
      </c>
      <c r="E2052" s="16" t="n">
        <v>241.48</v>
      </c>
      <c r="F2052" s="7" t="n">
        <v>2</v>
      </c>
      <c r="G2052" s="5" t="n">
        <v>720</v>
      </c>
    </row>
    <row r="2053" customFormat="false" ht="15" hidden="false" customHeight="false" outlineLevel="0" collapsed="false">
      <c r="A2053" s="13" t="s">
        <v>105</v>
      </c>
      <c r="B2053" s="13" t="s">
        <v>43</v>
      </c>
      <c r="C2053" s="13" t="s">
        <v>5</v>
      </c>
      <c r="D2053" s="13" t="s">
        <v>748</v>
      </c>
      <c r="E2053" s="16" t="n">
        <v>711.01</v>
      </c>
      <c r="F2053" s="7" t="n">
        <v>1</v>
      </c>
      <c r="G2053" s="5" t="n">
        <v>710</v>
      </c>
    </row>
    <row r="2054" customFormat="false" ht="15" hidden="false" customHeight="false" outlineLevel="0" collapsed="false">
      <c r="A2054" s="13" t="s">
        <v>45</v>
      </c>
      <c r="B2054" s="13" t="s">
        <v>43</v>
      </c>
      <c r="C2054" s="13" t="s">
        <v>5</v>
      </c>
      <c r="D2054" s="13" t="s">
        <v>424</v>
      </c>
      <c r="E2054" s="16" t="n">
        <v>710.97</v>
      </c>
      <c r="F2054" s="7" t="n">
        <v>1</v>
      </c>
      <c r="G2054" s="5" t="n">
        <v>710</v>
      </c>
    </row>
    <row r="2055" customFormat="false" ht="15" hidden="false" customHeight="false" outlineLevel="0" collapsed="false">
      <c r="A2055" s="13" t="s">
        <v>124</v>
      </c>
      <c r="B2055" s="13" t="s">
        <v>43</v>
      </c>
      <c r="C2055" s="13" t="s">
        <v>5</v>
      </c>
      <c r="D2055" s="13" t="s">
        <v>238</v>
      </c>
      <c r="E2055" s="16" t="n">
        <v>710.19</v>
      </c>
      <c r="F2055" s="7" t="n">
        <v>1</v>
      </c>
      <c r="G2055" s="5" t="n">
        <v>710</v>
      </c>
    </row>
    <row r="2056" customFormat="false" ht="15" hidden="false" customHeight="false" outlineLevel="0" collapsed="false">
      <c r="A2056" s="13" t="s">
        <v>50</v>
      </c>
      <c r="B2056" s="13" t="s">
        <v>43</v>
      </c>
      <c r="C2056" s="13" t="s">
        <v>4</v>
      </c>
      <c r="D2056" s="13" t="s">
        <v>911</v>
      </c>
      <c r="E2056" s="16" t="n">
        <v>708.63</v>
      </c>
      <c r="F2056" s="7" t="n">
        <v>1</v>
      </c>
      <c r="G2056" s="5" t="n">
        <v>710</v>
      </c>
    </row>
    <row r="2057" customFormat="false" ht="15" hidden="false" customHeight="false" outlineLevel="0" collapsed="false">
      <c r="A2057" s="13" t="s">
        <v>177</v>
      </c>
      <c r="B2057" s="13" t="s">
        <v>43</v>
      </c>
      <c r="C2057" s="13" t="s">
        <v>4</v>
      </c>
      <c r="D2057" s="13" t="s">
        <v>1458</v>
      </c>
      <c r="E2057" s="16" t="n">
        <v>708.67</v>
      </c>
      <c r="F2057" s="7" t="n">
        <v>1</v>
      </c>
      <c r="G2057" s="5" t="n">
        <v>710</v>
      </c>
    </row>
    <row r="2058" customFormat="false" ht="15" hidden="false" customHeight="false" outlineLevel="0" collapsed="false">
      <c r="A2058" s="13" t="s">
        <v>177</v>
      </c>
      <c r="B2058" s="13" t="s">
        <v>43</v>
      </c>
      <c r="C2058" s="13" t="s">
        <v>4</v>
      </c>
      <c r="D2058" s="13" t="s">
        <v>1459</v>
      </c>
      <c r="E2058" s="16" t="n">
        <v>708.67</v>
      </c>
      <c r="F2058" s="7" t="n">
        <v>1</v>
      </c>
      <c r="G2058" s="5" t="n">
        <v>710</v>
      </c>
    </row>
    <row r="2059" customFormat="false" ht="15" hidden="false" customHeight="false" outlineLevel="0" collapsed="false">
      <c r="A2059" s="13" t="s">
        <v>105</v>
      </c>
      <c r="B2059" s="13" t="s">
        <v>43</v>
      </c>
      <c r="C2059" s="13" t="s">
        <v>4</v>
      </c>
      <c r="D2059" s="13" t="s">
        <v>1460</v>
      </c>
      <c r="E2059" s="16" t="n">
        <v>707.29</v>
      </c>
      <c r="F2059" s="7" t="n">
        <v>1</v>
      </c>
      <c r="G2059" s="5" t="n">
        <v>710</v>
      </c>
    </row>
    <row r="2060" customFormat="false" ht="15" hidden="false" customHeight="false" outlineLevel="0" collapsed="false">
      <c r="A2060" s="13" t="s">
        <v>153</v>
      </c>
      <c r="B2060" s="13" t="s">
        <v>43</v>
      </c>
      <c r="C2060" s="13" t="s">
        <v>4</v>
      </c>
      <c r="D2060" s="13" t="s">
        <v>1461</v>
      </c>
      <c r="E2060" s="16" t="n">
        <v>706.34</v>
      </c>
      <c r="F2060" s="7" t="n">
        <v>1</v>
      </c>
      <c r="G2060" s="5" t="n">
        <v>710</v>
      </c>
    </row>
    <row r="2061" customFormat="false" ht="15" hidden="false" customHeight="false" outlineLevel="0" collapsed="false">
      <c r="A2061" s="13" t="s">
        <v>50</v>
      </c>
      <c r="B2061" s="13" t="s">
        <v>43</v>
      </c>
      <c r="C2061" s="13" t="s">
        <v>4</v>
      </c>
      <c r="D2061" s="13" t="s">
        <v>1462</v>
      </c>
      <c r="E2061" s="16" t="n">
        <v>710.2</v>
      </c>
      <c r="F2061" s="7" t="n">
        <v>1</v>
      </c>
      <c r="G2061" s="5" t="n">
        <v>710</v>
      </c>
    </row>
    <row r="2062" customFormat="false" ht="15" hidden="false" customHeight="false" outlineLevel="0" collapsed="false">
      <c r="A2062" s="13" t="s">
        <v>59</v>
      </c>
      <c r="B2062" s="13" t="s">
        <v>43</v>
      </c>
      <c r="C2062" s="13" t="s">
        <v>5</v>
      </c>
      <c r="D2062" s="13" t="s">
        <v>1463</v>
      </c>
      <c r="E2062" s="16" t="n">
        <v>237</v>
      </c>
      <c r="F2062" s="7" t="n">
        <v>2</v>
      </c>
      <c r="G2062" s="5" t="n">
        <v>710</v>
      </c>
    </row>
    <row r="2063" customFormat="false" ht="15" hidden="false" customHeight="false" outlineLevel="0" collapsed="false">
      <c r="A2063" s="13" t="s">
        <v>179</v>
      </c>
      <c r="B2063" s="13" t="s">
        <v>180</v>
      </c>
      <c r="C2063" s="13" t="s">
        <v>3</v>
      </c>
      <c r="D2063" s="13" t="s">
        <v>1464</v>
      </c>
      <c r="E2063" s="16" t="n">
        <v>237.65</v>
      </c>
      <c r="F2063" s="7" t="n">
        <v>2</v>
      </c>
      <c r="G2063" s="5" t="n">
        <v>710</v>
      </c>
    </row>
    <row r="2064" customFormat="false" ht="15" hidden="false" customHeight="false" outlineLevel="0" collapsed="false">
      <c r="A2064" s="13" t="s">
        <v>45</v>
      </c>
      <c r="B2064" s="13" t="s">
        <v>43</v>
      </c>
      <c r="C2064" s="13" t="s">
        <v>5</v>
      </c>
      <c r="D2064" s="13" t="s">
        <v>702</v>
      </c>
      <c r="E2064" s="16" t="n">
        <v>711.15</v>
      </c>
      <c r="F2064" s="7" t="n">
        <v>1</v>
      </c>
      <c r="G2064" s="5" t="n">
        <v>710</v>
      </c>
    </row>
    <row r="2065" customFormat="false" ht="15" hidden="false" customHeight="false" outlineLevel="0" collapsed="false">
      <c r="A2065" s="13" t="s">
        <v>490</v>
      </c>
      <c r="B2065" s="13" t="s">
        <v>43</v>
      </c>
      <c r="C2065" s="13" t="s">
        <v>5</v>
      </c>
      <c r="D2065" s="13" t="s">
        <v>1162</v>
      </c>
      <c r="E2065" s="16" t="n">
        <v>356</v>
      </c>
      <c r="F2065" s="7" t="n">
        <v>2</v>
      </c>
      <c r="G2065" s="5" t="n">
        <v>710</v>
      </c>
    </row>
    <row r="2066" customFormat="false" ht="15" hidden="false" customHeight="false" outlineLevel="0" collapsed="false">
      <c r="A2066" s="13" t="s">
        <v>124</v>
      </c>
      <c r="B2066" s="13" t="s">
        <v>43</v>
      </c>
      <c r="C2066" s="13" t="s">
        <v>5</v>
      </c>
      <c r="D2066" s="13" t="s">
        <v>1465</v>
      </c>
      <c r="E2066" s="16" t="n">
        <v>712</v>
      </c>
      <c r="F2066" s="7" t="n">
        <v>1</v>
      </c>
      <c r="G2066" s="5" t="n">
        <v>710</v>
      </c>
    </row>
    <row r="2067" customFormat="false" ht="15" hidden="false" customHeight="false" outlineLevel="0" collapsed="false">
      <c r="A2067" s="13" t="s">
        <v>195</v>
      </c>
      <c r="B2067" s="13" t="s">
        <v>43</v>
      </c>
      <c r="C2067" s="13" t="s">
        <v>5</v>
      </c>
      <c r="D2067" s="13" t="s">
        <v>1466</v>
      </c>
      <c r="E2067" s="16" t="n">
        <v>356.3</v>
      </c>
      <c r="F2067" s="7" t="n">
        <v>2</v>
      </c>
      <c r="G2067" s="5" t="n">
        <v>710</v>
      </c>
    </row>
    <row r="2068" customFormat="false" ht="15" hidden="false" customHeight="false" outlineLevel="0" collapsed="false">
      <c r="A2068" s="13" t="s">
        <v>124</v>
      </c>
      <c r="B2068" s="13" t="s">
        <v>43</v>
      </c>
      <c r="C2068" s="13" t="s">
        <v>5</v>
      </c>
      <c r="D2068" s="13" t="s">
        <v>494</v>
      </c>
      <c r="E2068" s="16" t="n">
        <v>706.93</v>
      </c>
      <c r="F2068" s="7" t="n">
        <v>1</v>
      </c>
      <c r="G2068" s="5" t="n">
        <v>710</v>
      </c>
    </row>
    <row r="2069" customFormat="false" ht="15" hidden="false" customHeight="false" outlineLevel="0" collapsed="false">
      <c r="A2069" s="13" t="s">
        <v>153</v>
      </c>
      <c r="B2069" s="13" t="s">
        <v>43</v>
      </c>
      <c r="C2069" s="13" t="s">
        <v>5</v>
      </c>
      <c r="D2069" s="13" t="s">
        <v>1467</v>
      </c>
      <c r="E2069" s="16" t="n">
        <v>349.37</v>
      </c>
      <c r="F2069" s="7" t="n">
        <v>2</v>
      </c>
      <c r="G2069" s="5" t="n">
        <v>700</v>
      </c>
    </row>
    <row r="2070" customFormat="false" ht="15" hidden="false" customHeight="false" outlineLevel="0" collapsed="false">
      <c r="A2070" s="13" t="s">
        <v>329</v>
      </c>
      <c r="B2070" s="13" t="s">
        <v>43</v>
      </c>
      <c r="C2070" s="13" t="s">
        <v>5</v>
      </c>
      <c r="D2070" s="13" t="s">
        <v>1468</v>
      </c>
      <c r="E2070" s="16" t="n">
        <v>698.85</v>
      </c>
      <c r="F2070" s="7" t="n">
        <v>1</v>
      </c>
      <c r="G2070" s="5" t="n">
        <v>700</v>
      </c>
    </row>
    <row r="2071" customFormat="false" ht="15" hidden="false" customHeight="false" outlineLevel="0" collapsed="false">
      <c r="A2071" s="13" t="s">
        <v>50</v>
      </c>
      <c r="B2071" s="13" t="s">
        <v>43</v>
      </c>
      <c r="C2071" s="13" t="s">
        <v>5</v>
      </c>
      <c r="D2071" s="13" t="s">
        <v>1469</v>
      </c>
      <c r="E2071" s="16" t="n">
        <v>698.85</v>
      </c>
      <c r="F2071" s="7" t="n">
        <v>1</v>
      </c>
      <c r="G2071" s="5" t="n">
        <v>700</v>
      </c>
    </row>
    <row r="2072" customFormat="false" ht="15" hidden="false" customHeight="false" outlineLevel="0" collapsed="false">
      <c r="A2072" s="13" t="s">
        <v>124</v>
      </c>
      <c r="B2072" s="13" t="s">
        <v>43</v>
      </c>
      <c r="C2072" s="13" t="s">
        <v>5</v>
      </c>
      <c r="D2072" s="13" t="s">
        <v>1470</v>
      </c>
      <c r="E2072" s="16" t="n">
        <v>703.65</v>
      </c>
      <c r="F2072" s="7" t="n">
        <v>1</v>
      </c>
      <c r="G2072" s="5" t="n">
        <v>700</v>
      </c>
    </row>
    <row r="2073" customFormat="false" ht="15" hidden="false" customHeight="false" outlineLevel="0" collapsed="false">
      <c r="A2073" s="13" t="s">
        <v>124</v>
      </c>
      <c r="B2073" s="13" t="s">
        <v>43</v>
      </c>
      <c r="C2073" s="13" t="s">
        <v>5</v>
      </c>
      <c r="D2073" s="13" t="s">
        <v>1471</v>
      </c>
      <c r="E2073" s="16" t="n">
        <v>700.85</v>
      </c>
      <c r="F2073" s="7" t="n">
        <v>1</v>
      </c>
      <c r="G2073" s="5" t="n">
        <v>700</v>
      </c>
    </row>
    <row r="2074" customFormat="false" ht="15" hidden="false" customHeight="false" outlineLevel="0" collapsed="false">
      <c r="A2074" s="13" t="s">
        <v>50</v>
      </c>
      <c r="B2074" s="13" t="s">
        <v>43</v>
      </c>
      <c r="C2074" s="13" t="s">
        <v>5</v>
      </c>
      <c r="D2074" s="13" t="s">
        <v>1472</v>
      </c>
      <c r="E2074" s="16" t="n">
        <v>698.85</v>
      </c>
      <c r="F2074" s="7" t="n">
        <v>1</v>
      </c>
      <c r="G2074" s="5" t="n">
        <v>700</v>
      </c>
    </row>
    <row r="2075" customFormat="false" ht="15" hidden="false" customHeight="false" outlineLevel="0" collapsed="false">
      <c r="A2075" s="13" t="s">
        <v>50</v>
      </c>
      <c r="B2075" s="13" t="s">
        <v>43</v>
      </c>
      <c r="C2075" s="13" t="s">
        <v>4</v>
      </c>
      <c r="D2075" s="13" t="s">
        <v>492</v>
      </c>
      <c r="E2075" s="16" t="n">
        <v>695.79</v>
      </c>
      <c r="F2075" s="7" t="n">
        <v>1</v>
      </c>
      <c r="G2075" s="5" t="n">
        <v>700</v>
      </c>
    </row>
    <row r="2076" customFormat="false" ht="15" hidden="false" customHeight="false" outlineLevel="0" collapsed="false">
      <c r="A2076" s="13" t="s">
        <v>329</v>
      </c>
      <c r="B2076" s="13" t="s">
        <v>43</v>
      </c>
      <c r="C2076" s="13" t="s">
        <v>4</v>
      </c>
      <c r="D2076" s="13" t="s">
        <v>1473</v>
      </c>
      <c r="E2076" s="16" t="n">
        <v>700</v>
      </c>
      <c r="F2076" s="7" t="n">
        <v>1</v>
      </c>
      <c r="G2076" s="5" t="n">
        <v>700</v>
      </c>
    </row>
    <row r="2077" customFormat="false" ht="15" hidden="false" customHeight="false" outlineLevel="0" collapsed="false">
      <c r="A2077" s="13" t="s">
        <v>69</v>
      </c>
      <c r="B2077" s="13" t="s">
        <v>43</v>
      </c>
      <c r="C2077" s="13" t="s">
        <v>4</v>
      </c>
      <c r="D2077" s="13" t="s">
        <v>1131</v>
      </c>
      <c r="E2077" s="16" t="n">
        <v>698.69</v>
      </c>
      <c r="F2077" s="7" t="n">
        <v>1</v>
      </c>
      <c r="G2077" s="5" t="n">
        <v>700</v>
      </c>
    </row>
    <row r="2078" customFormat="false" ht="15" hidden="false" customHeight="false" outlineLevel="0" collapsed="false">
      <c r="A2078" s="13" t="s">
        <v>270</v>
      </c>
      <c r="B2078" s="13" t="s">
        <v>43</v>
      </c>
      <c r="C2078" s="13" t="s">
        <v>4</v>
      </c>
      <c r="D2078" s="13" t="s">
        <v>1474</v>
      </c>
      <c r="E2078" s="16" t="n">
        <v>348.45</v>
      </c>
      <c r="F2078" s="7" t="n">
        <v>2</v>
      </c>
      <c r="G2078" s="5" t="n">
        <v>700</v>
      </c>
    </row>
    <row r="2079" customFormat="false" ht="15" hidden="false" customHeight="false" outlineLevel="0" collapsed="false">
      <c r="A2079" s="13" t="s">
        <v>179</v>
      </c>
      <c r="B2079" s="13" t="s">
        <v>180</v>
      </c>
      <c r="C2079" s="13" t="s">
        <v>3</v>
      </c>
      <c r="D2079" s="13" t="s">
        <v>1475</v>
      </c>
      <c r="E2079" s="16" t="n">
        <v>139.99</v>
      </c>
      <c r="F2079" s="7" t="n">
        <v>5</v>
      </c>
      <c r="G2079" s="5" t="n">
        <v>700</v>
      </c>
    </row>
    <row r="2080" customFormat="false" ht="15" hidden="false" customHeight="false" outlineLevel="0" collapsed="false">
      <c r="A2080" s="13" t="s">
        <v>81</v>
      </c>
      <c r="B2080" s="13" t="s">
        <v>85</v>
      </c>
      <c r="C2080" s="13" t="s">
        <v>3</v>
      </c>
      <c r="D2080" s="13" t="s">
        <v>1476</v>
      </c>
      <c r="E2080" s="16" t="n">
        <v>174.5</v>
      </c>
      <c r="F2080" s="7" t="n">
        <v>2</v>
      </c>
      <c r="G2080" s="5" t="n">
        <v>700</v>
      </c>
    </row>
    <row r="2081" customFormat="false" ht="15" hidden="false" customHeight="false" outlineLevel="0" collapsed="false">
      <c r="A2081" s="13" t="s">
        <v>490</v>
      </c>
      <c r="B2081" s="13" t="s">
        <v>43</v>
      </c>
      <c r="C2081" s="13" t="s">
        <v>5</v>
      </c>
      <c r="D2081" s="13" t="s">
        <v>1162</v>
      </c>
      <c r="E2081" s="16" t="n">
        <v>698.85</v>
      </c>
      <c r="F2081" s="7" t="n">
        <v>1</v>
      </c>
      <c r="G2081" s="5" t="n">
        <v>700</v>
      </c>
    </row>
    <row r="2082" customFormat="false" ht="15" hidden="false" customHeight="false" outlineLevel="0" collapsed="false">
      <c r="A2082" s="13" t="s">
        <v>42</v>
      </c>
      <c r="B2082" s="13" t="s">
        <v>43</v>
      </c>
      <c r="C2082" s="13" t="s">
        <v>5</v>
      </c>
      <c r="D2082" s="13" t="s">
        <v>151</v>
      </c>
      <c r="E2082" s="16" t="n">
        <v>698.58</v>
      </c>
      <c r="F2082" s="7" t="n">
        <v>1</v>
      </c>
      <c r="G2082" s="5" t="n">
        <v>700</v>
      </c>
    </row>
    <row r="2083" customFormat="false" ht="15" hidden="false" customHeight="false" outlineLevel="0" collapsed="false">
      <c r="A2083" s="13" t="s">
        <v>72</v>
      </c>
      <c r="B2083" s="13" t="s">
        <v>43</v>
      </c>
      <c r="C2083" s="13" t="s">
        <v>5</v>
      </c>
      <c r="D2083" s="13" t="s">
        <v>1477</v>
      </c>
      <c r="E2083" s="16" t="n">
        <v>699</v>
      </c>
      <c r="F2083" s="7" t="n">
        <v>1</v>
      </c>
      <c r="G2083" s="5" t="n">
        <v>700</v>
      </c>
    </row>
    <row r="2084" customFormat="false" ht="15" hidden="false" customHeight="false" outlineLevel="0" collapsed="false">
      <c r="A2084" s="13" t="s">
        <v>61</v>
      </c>
      <c r="B2084" s="13" t="s">
        <v>43</v>
      </c>
      <c r="C2084" s="13" t="s">
        <v>5</v>
      </c>
      <c r="D2084" s="13" t="s">
        <v>253</v>
      </c>
      <c r="E2084" s="16" t="n">
        <v>699.85</v>
      </c>
      <c r="F2084" s="7" t="n">
        <v>1</v>
      </c>
      <c r="G2084" s="5" t="n">
        <v>700</v>
      </c>
    </row>
    <row r="2085" customFormat="false" ht="15" hidden="false" customHeight="false" outlineLevel="0" collapsed="false">
      <c r="A2085" s="13" t="s">
        <v>45</v>
      </c>
      <c r="B2085" s="13" t="s">
        <v>43</v>
      </c>
      <c r="C2085" s="13" t="s">
        <v>5</v>
      </c>
      <c r="D2085" s="13" t="s">
        <v>409</v>
      </c>
      <c r="E2085" s="16" t="n">
        <v>699.9</v>
      </c>
      <c r="F2085" s="7" t="n">
        <v>1</v>
      </c>
      <c r="G2085" s="5" t="n">
        <v>700</v>
      </c>
    </row>
    <row r="2086" customFormat="false" ht="15" hidden="false" customHeight="false" outlineLevel="0" collapsed="false">
      <c r="A2086" s="13" t="s">
        <v>103</v>
      </c>
      <c r="B2086" s="13" t="s">
        <v>43</v>
      </c>
      <c r="C2086" s="13" t="s">
        <v>5</v>
      </c>
      <c r="D2086" s="13" t="s">
        <v>1163</v>
      </c>
      <c r="E2086" s="16" t="n">
        <v>175.6375</v>
      </c>
      <c r="F2086" s="7" t="n">
        <v>2</v>
      </c>
      <c r="G2086" s="5" t="n">
        <v>700</v>
      </c>
    </row>
    <row r="2087" customFormat="false" ht="15" hidden="false" customHeight="false" outlineLevel="0" collapsed="false">
      <c r="A2087" s="13" t="s">
        <v>54</v>
      </c>
      <c r="B2087" s="13" t="s">
        <v>43</v>
      </c>
      <c r="C2087" s="13" t="s">
        <v>5</v>
      </c>
      <c r="D2087" s="13" t="s">
        <v>1478</v>
      </c>
      <c r="E2087" s="16" t="n">
        <v>700.85</v>
      </c>
      <c r="F2087" s="7" t="n">
        <v>1</v>
      </c>
      <c r="G2087" s="5" t="n">
        <v>700</v>
      </c>
    </row>
    <row r="2088" customFormat="false" ht="15" hidden="false" customHeight="false" outlineLevel="0" collapsed="false">
      <c r="A2088" s="13" t="s">
        <v>42</v>
      </c>
      <c r="B2088" s="13" t="s">
        <v>43</v>
      </c>
      <c r="C2088" s="13" t="s">
        <v>5</v>
      </c>
      <c r="D2088" s="13" t="s">
        <v>1440</v>
      </c>
      <c r="E2088" s="16" t="n">
        <v>698.85</v>
      </c>
      <c r="F2088" s="7" t="n">
        <v>1</v>
      </c>
      <c r="G2088" s="5" t="n">
        <v>700</v>
      </c>
    </row>
    <row r="2089" customFormat="false" ht="15" hidden="false" customHeight="false" outlineLevel="0" collapsed="false">
      <c r="A2089" s="13" t="s">
        <v>630</v>
      </c>
      <c r="B2089" s="13" t="s">
        <v>43</v>
      </c>
      <c r="C2089" s="13" t="s">
        <v>5</v>
      </c>
      <c r="D2089" s="13" t="s">
        <v>631</v>
      </c>
      <c r="E2089" s="16" t="n">
        <v>174.0925</v>
      </c>
      <c r="F2089" s="7" t="n">
        <v>2</v>
      </c>
      <c r="G2089" s="5" t="n">
        <v>700</v>
      </c>
    </row>
    <row r="2090" customFormat="false" ht="15" hidden="false" customHeight="false" outlineLevel="0" collapsed="false">
      <c r="A2090" s="13" t="s">
        <v>195</v>
      </c>
      <c r="B2090" s="13" t="s">
        <v>43</v>
      </c>
      <c r="C2090" s="13" t="s">
        <v>4</v>
      </c>
      <c r="D2090" s="13" t="s">
        <v>1479</v>
      </c>
      <c r="E2090" s="16" t="n">
        <v>687.75</v>
      </c>
      <c r="F2090" s="7" t="n">
        <v>1</v>
      </c>
      <c r="G2090" s="5" t="n">
        <v>690</v>
      </c>
    </row>
    <row r="2091" customFormat="false" ht="15" hidden="false" customHeight="false" outlineLevel="0" collapsed="false">
      <c r="A2091" s="13" t="s">
        <v>124</v>
      </c>
      <c r="B2091" s="13" t="s">
        <v>43</v>
      </c>
      <c r="C2091" s="13" t="s">
        <v>5</v>
      </c>
      <c r="D2091" s="13" t="s">
        <v>1480</v>
      </c>
      <c r="E2091" s="16" t="n">
        <v>685.94</v>
      </c>
      <c r="F2091" s="7" t="n">
        <v>1</v>
      </c>
      <c r="G2091" s="5" t="n">
        <v>690</v>
      </c>
    </row>
    <row r="2092" customFormat="false" ht="15" hidden="false" customHeight="false" outlineLevel="0" collapsed="false">
      <c r="A2092" s="13" t="s">
        <v>50</v>
      </c>
      <c r="B2092" s="13" t="s">
        <v>43</v>
      </c>
      <c r="C2092" s="13" t="s">
        <v>5</v>
      </c>
      <c r="D2092" s="13" t="s">
        <v>597</v>
      </c>
      <c r="E2092" s="16" t="n">
        <v>694.5</v>
      </c>
      <c r="F2092" s="7" t="n">
        <v>1</v>
      </c>
      <c r="G2092" s="5" t="n">
        <v>690</v>
      </c>
    </row>
    <row r="2093" customFormat="false" ht="15" hidden="false" customHeight="false" outlineLevel="0" collapsed="false">
      <c r="A2093" s="13" t="s">
        <v>153</v>
      </c>
      <c r="B2093" s="13" t="s">
        <v>43</v>
      </c>
      <c r="C2093" s="13" t="s">
        <v>5</v>
      </c>
      <c r="D2093" s="13" t="s">
        <v>1481</v>
      </c>
      <c r="E2093" s="16" t="n">
        <v>692</v>
      </c>
      <c r="F2093" s="7" t="n">
        <v>1</v>
      </c>
      <c r="G2093" s="5" t="n">
        <v>690</v>
      </c>
    </row>
    <row r="2094" customFormat="false" ht="15" hidden="false" customHeight="false" outlineLevel="0" collapsed="false">
      <c r="A2094" s="13" t="s">
        <v>45</v>
      </c>
      <c r="B2094" s="13" t="s">
        <v>43</v>
      </c>
      <c r="C2094" s="13" t="s">
        <v>5</v>
      </c>
      <c r="D2094" s="13" t="s">
        <v>978</v>
      </c>
      <c r="E2094" s="16" t="n">
        <v>690.46</v>
      </c>
      <c r="F2094" s="7" t="n">
        <v>1</v>
      </c>
      <c r="G2094" s="5" t="n">
        <v>690</v>
      </c>
    </row>
    <row r="2095" customFormat="false" ht="15" hidden="false" customHeight="false" outlineLevel="0" collapsed="false">
      <c r="A2095" s="13" t="s">
        <v>61</v>
      </c>
      <c r="B2095" s="13" t="s">
        <v>43</v>
      </c>
      <c r="C2095" s="13" t="s">
        <v>5</v>
      </c>
      <c r="D2095" s="13" t="s">
        <v>1170</v>
      </c>
      <c r="E2095" s="16" t="n">
        <v>687.01</v>
      </c>
      <c r="F2095" s="7" t="n">
        <v>1</v>
      </c>
      <c r="G2095" s="5" t="n">
        <v>690</v>
      </c>
    </row>
    <row r="2096" customFormat="false" ht="15" hidden="false" customHeight="false" outlineLevel="0" collapsed="false">
      <c r="A2096" s="13" t="s">
        <v>195</v>
      </c>
      <c r="B2096" s="13" t="s">
        <v>43</v>
      </c>
      <c r="C2096" s="13" t="s">
        <v>5</v>
      </c>
      <c r="D2096" s="13" t="s">
        <v>741</v>
      </c>
      <c r="E2096" s="16" t="n">
        <v>688.25</v>
      </c>
      <c r="F2096" s="7" t="n">
        <v>1</v>
      </c>
      <c r="G2096" s="5" t="n">
        <v>690</v>
      </c>
    </row>
    <row r="2097" customFormat="false" ht="15" hidden="false" customHeight="false" outlineLevel="0" collapsed="false">
      <c r="A2097" s="13" t="s">
        <v>61</v>
      </c>
      <c r="B2097" s="13" t="s">
        <v>43</v>
      </c>
      <c r="C2097" s="13" t="s">
        <v>5</v>
      </c>
      <c r="D2097" s="13" t="s">
        <v>1482</v>
      </c>
      <c r="E2097" s="16" t="n">
        <v>687.01</v>
      </c>
      <c r="F2097" s="7" t="n">
        <v>1</v>
      </c>
      <c r="G2097" s="5" t="n">
        <v>690</v>
      </c>
    </row>
    <row r="2098" customFormat="false" ht="15" hidden="false" customHeight="false" outlineLevel="0" collapsed="false">
      <c r="A2098" s="13" t="s">
        <v>42</v>
      </c>
      <c r="B2098" s="13" t="s">
        <v>43</v>
      </c>
      <c r="C2098" s="13" t="s">
        <v>4</v>
      </c>
      <c r="D2098" s="13" t="s">
        <v>1483</v>
      </c>
      <c r="E2098" s="16" t="n">
        <v>692.55</v>
      </c>
      <c r="F2098" s="7" t="n">
        <v>1</v>
      </c>
      <c r="G2098" s="5" t="n">
        <v>690</v>
      </c>
    </row>
    <row r="2099" customFormat="false" ht="15" hidden="false" customHeight="false" outlineLevel="0" collapsed="false">
      <c r="A2099" s="13" t="s">
        <v>153</v>
      </c>
      <c r="B2099" s="13" t="s">
        <v>43</v>
      </c>
      <c r="C2099" s="13" t="s">
        <v>4</v>
      </c>
      <c r="D2099" s="13" t="s">
        <v>1484</v>
      </c>
      <c r="E2099" s="16" t="n">
        <v>345.59</v>
      </c>
      <c r="F2099" s="7" t="n">
        <v>2</v>
      </c>
      <c r="G2099" s="5" t="n">
        <v>690</v>
      </c>
    </row>
    <row r="2100" customFormat="false" ht="15" hidden="false" customHeight="false" outlineLevel="0" collapsed="false">
      <c r="A2100" s="13" t="s">
        <v>302</v>
      </c>
      <c r="B2100" s="13" t="s">
        <v>43</v>
      </c>
      <c r="C2100" s="13" t="s">
        <v>4</v>
      </c>
      <c r="D2100" s="13" t="s">
        <v>1485</v>
      </c>
      <c r="E2100" s="16" t="n">
        <v>689.25</v>
      </c>
      <c r="F2100" s="7" t="n">
        <v>1</v>
      </c>
      <c r="G2100" s="5" t="n">
        <v>690</v>
      </c>
    </row>
    <row r="2101" customFormat="false" ht="15" hidden="false" customHeight="false" outlineLevel="0" collapsed="false">
      <c r="A2101" s="13" t="s">
        <v>45</v>
      </c>
      <c r="B2101" s="13" t="s">
        <v>43</v>
      </c>
      <c r="C2101" s="13" t="s">
        <v>4</v>
      </c>
      <c r="D2101" s="13" t="s">
        <v>1486</v>
      </c>
      <c r="E2101" s="16" t="n">
        <v>687</v>
      </c>
      <c r="F2101" s="7" t="n">
        <v>1</v>
      </c>
      <c r="G2101" s="5" t="n">
        <v>690</v>
      </c>
    </row>
    <row r="2102" customFormat="false" ht="15" hidden="false" customHeight="false" outlineLevel="0" collapsed="false">
      <c r="A2102" s="13" t="s">
        <v>50</v>
      </c>
      <c r="B2102" s="13" t="s">
        <v>43</v>
      </c>
      <c r="C2102" s="13" t="s">
        <v>4</v>
      </c>
      <c r="D2102" s="13" t="s">
        <v>618</v>
      </c>
      <c r="E2102" s="16" t="n">
        <v>687.27</v>
      </c>
      <c r="F2102" s="7" t="n">
        <v>1</v>
      </c>
      <c r="G2102" s="5" t="n">
        <v>690</v>
      </c>
    </row>
    <row r="2103" customFormat="false" ht="15" hidden="false" customHeight="false" outlineLevel="0" collapsed="false">
      <c r="A2103" s="13" t="s">
        <v>79</v>
      </c>
      <c r="B2103" s="13" t="s">
        <v>43</v>
      </c>
      <c r="C2103" s="13" t="s">
        <v>4</v>
      </c>
      <c r="D2103" s="13" t="s">
        <v>1487</v>
      </c>
      <c r="E2103" s="16" t="n">
        <v>689.25</v>
      </c>
      <c r="F2103" s="7" t="n">
        <v>1</v>
      </c>
      <c r="G2103" s="5" t="n">
        <v>690</v>
      </c>
    </row>
    <row r="2104" customFormat="false" ht="15" hidden="false" customHeight="false" outlineLevel="0" collapsed="false">
      <c r="A2104" s="13" t="s">
        <v>42</v>
      </c>
      <c r="B2104" s="13" t="s">
        <v>43</v>
      </c>
      <c r="C2104" s="13" t="s">
        <v>4</v>
      </c>
      <c r="D2104" s="13" t="s">
        <v>1488</v>
      </c>
      <c r="E2104" s="16" t="n">
        <v>689.99</v>
      </c>
      <c r="F2104" s="7" t="n">
        <v>1</v>
      </c>
      <c r="G2104" s="5" t="n">
        <v>690</v>
      </c>
    </row>
    <row r="2105" customFormat="false" ht="15" hidden="false" customHeight="false" outlineLevel="0" collapsed="false">
      <c r="A2105" s="13" t="s">
        <v>105</v>
      </c>
      <c r="B2105" s="13" t="s">
        <v>43</v>
      </c>
      <c r="C2105" s="13" t="s">
        <v>4</v>
      </c>
      <c r="D2105" s="13" t="s">
        <v>1489</v>
      </c>
      <c r="E2105" s="16" t="n">
        <v>692.92</v>
      </c>
      <c r="F2105" s="7" t="n">
        <v>1</v>
      </c>
      <c r="G2105" s="5" t="n">
        <v>690</v>
      </c>
    </row>
    <row r="2106" customFormat="false" ht="15" hidden="false" customHeight="false" outlineLevel="0" collapsed="false">
      <c r="A2106" s="13" t="s">
        <v>161</v>
      </c>
      <c r="B2106" s="13" t="s">
        <v>43</v>
      </c>
      <c r="C2106" s="13" t="s">
        <v>4</v>
      </c>
      <c r="D2106" s="13" t="s">
        <v>1490</v>
      </c>
      <c r="E2106" s="16" t="n">
        <v>346</v>
      </c>
      <c r="F2106" s="7" t="n">
        <v>2</v>
      </c>
      <c r="G2106" s="5" t="n">
        <v>690</v>
      </c>
    </row>
    <row r="2107" customFormat="false" ht="15" hidden="false" customHeight="false" outlineLevel="0" collapsed="false">
      <c r="A2107" s="13" t="s">
        <v>195</v>
      </c>
      <c r="B2107" s="13" t="s">
        <v>43</v>
      </c>
      <c r="C2107" s="13" t="s">
        <v>5</v>
      </c>
      <c r="D2107" s="13" t="s">
        <v>1491</v>
      </c>
      <c r="E2107" s="16" t="n">
        <v>687.08</v>
      </c>
      <c r="F2107" s="7" t="n">
        <v>1</v>
      </c>
      <c r="G2107" s="5" t="n">
        <v>690</v>
      </c>
    </row>
    <row r="2108" customFormat="false" ht="15" hidden="false" customHeight="false" outlineLevel="0" collapsed="false">
      <c r="A2108" s="13" t="s">
        <v>195</v>
      </c>
      <c r="B2108" s="13" t="s">
        <v>43</v>
      </c>
      <c r="C2108" s="13" t="s">
        <v>5</v>
      </c>
      <c r="D2108" s="13" t="s">
        <v>555</v>
      </c>
      <c r="E2108" s="16" t="n">
        <v>690</v>
      </c>
      <c r="F2108" s="7" t="n">
        <v>1</v>
      </c>
      <c r="G2108" s="5" t="n">
        <v>690</v>
      </c>
    </row>
    <row r="2109" customFormat="false" ht="15" hidden="false" customHeight="false" outlineLevel="0" collapsed="false">
      <c r="A2109" s="13" t="s">
        <v>114</v>
      </c>
      <c r="B2109" s="13" t="s">
        <v>85</v>
      </c>
      <c r="C2109" s="13" t="s">
        <v>3</v>
      </c>
      <c r="D2109" s="13" t="s">
        <v>1492</v>
      </c>
      <c r="E2109" s="16" t="n">
        <v>169.9</v>
      </c>
      <c r="F2109" s="7" t="n">
        <v>2</v>
      </c>
      <c r="G2109" s="5" t="n">
        <v>680</v>
      </c>
    </row>
    <row r="2110" customFormat="false" ht="15" hidden="false" customHeight="false" outlineLevel="0" collapsed="false">
      <c r="A2110" s="13" t="s">
        <v>179</v>
      </c>
      <c r="B2110" s="13" t="s">
        <v>180</v>
      </c>
      <c r="C2110" s="13" t="s">
        <v>3</v>
      </c>
      <c r="D2110" s="13" t="s">
        <v>1493</v>
      </c>
      <c r="E2110" s="16" t="n">
        <v>339</v>
      </c>
      <c r="F2110" s="7" t="n">
        <v>2</v>
      </c>
      <c r="G2110" s="5" t="n">
        <v>680</v>
      </c>
    </row>
    <row r="2111" customFormat="false" ht="15" hidden="false" customHeight="false" outlineLevel="0" collapsed="false">
      <c r="A2111" s="13" t="s">
        <v>42</v>
      </c>
      <c r="B2111" s="13" t="s">
        <v>43</v>
      </c>
      <c r="C2111" s="13" t="s">
        <v>4</v>
      </c>
      <c r="D2111" s="13" t="s">
        <v>1494</v>
      </c>
      <c r="E2111" s="16" t="n">
        <v>679.2</v>
      </c>
      <c r="F2111" s="7" t="n">
        <v>1</v>
      </c>
      <c r="G2111" s="5" t="n">
        <v>680</v>
      </c>
    </row>
    <row r="2112" customFormat="false" ht="15" hidden="false" customHeight="false" outlineLevel="0" collapsed="false">
      <c r="A2112" s="13" t="s">
        <v>302</v>
      </c>
      <c r="B2112" s="13" t="s">
        <v>43</v>
      </c>
      <c r="C2112" s="13" t="s">
        <v>4</v>
      </c>
      <c r="D2112" s="13" t="s">
        <v>1495</v>
      </c>
      <c r="E2112" s="16" t="n">
        <v>684.86</v>
      </c>
      <c r="F2112" s="7" t="n">
        <v>1</v>
      </c>
      <c r="G2112" s="5" t="n">
        <v>680</v>
      </c>
    </row>
    <row r="2113" customFormat="false" ht="15" hidden="false" customHeight="false" outlineLevel="0" collapsed="false">
      <c r="A2113" s="13" t="s">
        <v>179</v>
      </c>
      <c r="B2113" s="13" t="s">
        <v>180</v>
      </c>
      <c r="C2113" s="13" t="s">
        <v>3</v>
      </c>
      <c r="D2113" s="13" t="s">
        <v>1496</v>
      </c>
      <c r="E2113" s="16" t="n">
        <v>169</v>
      </c>
      <c r="F2113" s="7" t="n">
        <v>2</v>
      </c>
      <c r="G2113" s="5" t="n">
        <v>680</v>
      </c>
    </row>
    <row r="2114" customFormat="false" ht="15" hidden="false" customHeight="false" outlineLevel="0" collapsed="false">
      <c r="A2114" s="13" t="s">
        <v>286</v>
      </c>
      <c r="B2114" s="13" t="s">
        <v>43</v>
      </c>
      <c r="C2114" s="13" t="s">
        <v>3</v>
      </c>
      <c r="D2114" s="13" t="s">
        <v>1497</v>
      </c>
      <c r="E2114" s="16" t="n">
        <v>339.99</v>
      </c>
      <c r="F2114" s="7" t="n">
        <v>2</v>
      </c>
      <c r="G2114" s="5" t="n">
        <v>680</v>
      </c>
    </row>
    <row r="2115" customFormat="false" ht="15" hidden="false" customHeight="false" outlineLevel="0" collapsed="false">
      <c r="A2115" s="13" t="s">
        <v>54</v>
      </c>
      <c r="B2115" s="13" t="s">
        <v>43</v>
      </c>
      <c r="C2115" s="13" t="s">
        <v>5</v>
      </c>
      <c r="D2115" s="13" t="s">
        <v>1498</v>
      </c>
      <c r="E2115" s="16" t="n">
        <v>338.85</v>
      </c>
      <c r="F2115" s="7" t="n">
        <v>2</v>
      </c>
      <c r="G2115" s="5" t="n">
        <v>680</v>
      </c>
    </row>
    <row r="2116" customFormat="false" ht="15" hidden="false" customHeight="false" outlineLevel="0" collapsed="false">
      <c r="A2116" s="13" t="s">
        <v>42</v>
      </c>
      <c r="B2116" s="13" t="s">
        <v>43</v>
      </c>
      <c r="C2116" s="13" t="s">
        <v>4</v>
      </c>
      <c r="D2116" s="13" t="s">
        <v>1499</v>
      </c>
      <c r="E2116" s="16" t="n">
        <v>677.97</v>
      </c>
      <c r="F2116" s="7" t="n">
        <v>1</v>
      </c>
      <c r="G2116" s="5" t="n">
        <v>680</v>
      </c>
    </row>
    <row r="2117" customFormat="false" ht="15" hidden="false" customHeight="false" outlineLevel="0" collapsed="false">
      <c r="A2117" s="13" t="s">
        <v>165</v>
      </c>
      <c r="B2117" s="13" t="s">
        <v>43</v>
      </c>
      <c r="C2117" s="13" t="s">
        <v>5</v>
      </c>
      <c r="D2117" s="13" t="s">
        <v>1500</v>
      </c>
      <c r="E2117" s="16" t="n">
        <v>678.85</v>
      </c>
      <c r="F2117" s="7" t="n">
        <v>1</v>
      </c>
      <c r="G2117" s="5" t="n">
        <v>680</v>
      </c>
    </row>
    <row r="2118" customFormat="false" ht="15" hidden="false" customHeight="false" outlineLevel="0" collapsed="false">
      <c r="A2118" s="13" t="s">
        <v>105</v>
      </c>
      <c r="B2118" s="13" t="s">
        <v>43</v>
      </c>
      <c r="C2118" s="13" t="s">
        <v>5</v>
      </c>
      <c r="D2118" s="13" t="s">
        <v>748</v>
      </c>
      <c r="E2118" s="16" t="n">
        <v>682.88</v>
      </c>
      <c r="F2118" s="7" t="n">
        <v>1</v>
      </c>
      <c r="G2118" s="5" t="n">
        <v>680</v>
      </c>
    </row>
    <row r="2119" customFormat="false" ht="15" hidden="false" customHeight="false" outlineLevel="0" collapsed="false">
      <c r="A2119" s="13" t="s">
        <v>153</v>
      </c>
      <c r="B2119" s="13" t="s">
        <v>43</v>
      </c>
      <c r="C2119" s="13" t="s">
        <v>5</v>
      </c>
      <c r="D2119" s="13" t="s">
        <v>291</v>
      </c>
      <c r="E2119" s="16" t="n">
        <v>683.85</v>
      </c>
      <c r="F2119" s="7" t="n">
        <v>1</v>
      </c>
      <c r="G2119" s="5" t="n">
        <v>680</v>
      </c>
    </row>
    <row r="2120" customFormat="false" ht="15" hidden="false" customHeight="false" outlineLevel="0" collapsed="false">
      <c r="A2120" s="13" t="s">
        <v>50</v>
      </c>
      <c r="B2120" s="13" t="s">
        <v>43</v>
      </c>
      <c r="C2120" s="13" t="s">
        <v>5</v>
      </c>
      <c r="D2120" s="13" t="s">
        <v>1501</v>
      </c>
      <c r="E2120" s="16" t="n">
        <v>677.83</v>
      </c>
      <c r="F2120" s="7" t="n">
        <v>1</v>
      </c>
      <c r="G2120" s="5" t="n">
        <v>680</v>
      </c>
    </row>
    <row r="2121" customFormat="false" ht="15" hidden="false" customHeight="false" outlineLevel="0" collapsed="false">
      <c r="A2121" s="13" t="s">
        <v>630</v>
      </c>
      <c r="B2121" s="13" t="s">
        <v>43</v>
      </c>
      <c r="C2121" s="13" t="s">
        <v>4</v>
      </c>
      <c r="D2121" s="13" t="s">
        <v>1502</v>
      </c>
      <c r="E2121" s="16" t="n">
        <v>226.11</v>
      </c>
      <c r="F2121" s="7" t="n">
        <v>2</v>
      </c>
      <c r="G2121" s="5" t="n">
        <v>680</v>
      </c>
    </row>
    <row r="2122" customFormat="false" ht="15" hidden="false" customHeight="false" outlineLevel="0" collapsed="false">
      <c r="A2122" s="13" t="s">
        <v>50</v>
      </c>
      <c r="B2122" s="13" t="s">
        <v>43</v>
      </c>
      <c r="C2122" s="13" t="s">
        <v>4</v>
      </c>
      <c r="D2122" s="13" t="s">
        <v>1503</v>
      </c>
      <c r="E2122" s="16" t="n">
        <v>677.97</v>
      </c>
      <c r="F2122" s="7" t="n">
        <v>1</v>
      </c>
      <c r="G2122" s="5" t="n">
        <v>680</v>
      </c>
    </row>
    <row r="2123" customFormat="false" ht="15" hidden="false" customHeight="false" outlineLevel="0" collapsed="false">
      <c r="A2123" s="13" t="s">
        <v>107</v>
      </c>
      <c r="B2123" s="13" t="s">
        <v>43</v>
      </c>
      <c r="C2123" s="13" t="s">
        <v>5</v>
      </c>
      <c r="D2123" s="13" t="s">
        <v>1504</v>
      </c>
      <c r="E2123" s="16" t="n">
        <v>336.12</v>
      </c>
      <c r="F2123" s="7" t="n">
        <v>2</v>
      </c>
      <c r="G2123" s="5" t="n">
        <v>670</v>
      </c>
    </row>
    <row r="2124" customFormat="false" ht="15" hidden="false" customHeight="false" outlineLevel="0" collapsed="false">
      <c r="A2124" s="13" t="s">
        <v>195</v>
      </c>
      <c r="B2124" s="13" t="s">
        <v>43</v>
      </c>
      <c r="C2124" s="13" t="s">
        <v>4</v>
      </c>
      <c r="D2124" s="13" t="s">
        <v>1479</v>
      </c>
      <c r="E2124" s="16" t="n">
        <v>672.66</v>
      </c>
      <c r="F2124" s="7" t="n">
        <v>1</v>
      </c>
      <c r="G2124" s="5" t="n">
        <v>670</v>
      </c>
    </row>
    <row r="2125" customFormat="false" ht="15" hidden="false" customHeight="false" outlineLevel="0" collapsed="false">
      <c r="A2125" s="13" t="s">
        <v>50</v>
      </c>
      <c r="B2125" s="13" t="s">
        <v>43</v>
      </c>
      <c r="C2125" s="13" t="s">
        <v>4</v>
      </c>
      <c r="D2125" s="13" t="s">
        <v>1505</v>
      </c>
      <c r="E2125" s="16" t="n">
        <v>671.16</v>
      </c>
      <c r="F2125" s="7" t="n">
        <v>1</v>
      </c>
      <c r="G2125" s="5" t="n">
        <v>670</v>
      </c>
    </row>
    <row r="2126" customFormat="false" ht="15" hidden="false" customHeight="false" outlineLevel="0" collapsed="false">
      <c r="A2126" s="13" t="s">
        <v>121</v>
      </c>
      <c r="B2126" s="13" t="s">
        <v>43</v>
      </c>
      <c r="C2126" s="13" t="s">
        <v>5</v>
      </c>
      <c r="D2126" s="13" t="s">
        <v>1104</v>
      </c>
      <c r="E2126" s="16" t="n">
        <v>168.08</v>
      </c>
      <c r="F2126" s="7" t="n">
        <v>2</v>
      </c>
      <c r="G2126" s="5" t="n">
        <v>670</v>
      </c>
    </row>
    <row r="2127" customFormat="false" ht="15" hidden="false" customHeight="false" outlineLevel="0" collapsed="false">
      <c r="A2127" s="13" t="s">
        <v>50</v>
      </c>
      <c r="B2127" s="13" t="s">
        <v>43</v>
      </c>
      <c r="C2127" s="13" t="s">
        <v>5</v>
      </c>
      <c r="D2127" s="13" t="s">
        <v>1506</v>
      </c>
      <c r="E2127" s="16" t="n">
        <v>669.2</v>
      </c>
      <c r="F2127" s="7" t="n">
        <v>1</v>
      </c>
      <c r="G2127" s="5" t="n">
        <v>670</v>
      </c>
    </row>
    <row r="2128" customFormat="false" ht="15" hidden="false" customHeight="false" outlineLevel="0" collapsed="false">
      <c r="A2128" s="13" t="s">
        <v>50</v>
      </c>
      <c r="B2128" s="13" t="s">
        <v>43</v>
      </c>
      <c r="C2128" s="13" t="s">
        <v>5</v>
      </c>
      <c r="D2128" s="13" t="s">
        <v>189</v>
      </c>
      <c r="E2128" s="16" t="n">
        <v>668.89</v>
      </c>
      <c r="F2128" s="7" t="n">
        <v>1</v>
      </c>
      <c r="G2128" s="5" t="n">
        <v>670</v>
      </c>
    </row>
    <row r="2129" customFormat="false" ht="15" hidden="false" customHeight="false" outlineLevel="0" collapsed="false">
      <c r="A2129" s="13" t="s">
        <v>121</v>
      </c>
      <c r="B2129" s="13" t="s">
        <v>43</v>
      </c>
      <c r="C2129" s="13" t="s">
        <v>5</v>
      </c>
      <c r="D2129" s="13" t="s">
        <v>1239</v>
      </c>
      <c r="E2129" s="16" t="n">
        <v>168</v>
      </c>
      <c r="F2129" s="7" t="n">
        <v>2</v>
      </c>
      <c r="G2129" s="5" t="n">
        <v>670</v>
      </c>
    </row>
    <row r="2130" customFormat="false" ht="15" hidden="false" customHeight="false" outlineLevel="0" collapsed="false">
      <c r="A2130" s="13" t="s">
        <v>97</v>
      </c>
      <c r="B2130" s="13" t="s">
        <v>85</v>
      </c>
      <c r="C2130" s="13" t="s">
        <v>3</v>
      </c>
      <c r="D2130" s="13" t="s">
        <v>1507</v>
      </c>
      <c r="E2130" s="16" t="n">
        <v>133.99</v>
      </c>
      <c r="F2130" s="7" t="n">
        <v>5</v>
      </c>
      <c r="G2130" s="5" t="n">
        <v>670</v>
      </c>
    </row>
    <row r="2131" customFormat="false" ht="15" hidden="false" customHeight="false" outlineLevel="0" collapsed="false">
      <c r="A2131" s="13" t="s">
        <v>179</v>
      </c>
      <c r="B2131" s="13" t="s">
        <v>180</v>
      </c>
      <c r="C2131" s="13" t="s">
        <v>3</v>
      </c>
      <c r="D2131" s="13" t="s">
        <v>1508</v>
      </c>
      <c r="E2131" s="16" t="n">
        <v>669</v>
      </c>
      <c r="F2131" s="7" t="n">
        <v>1</v>
      </c>
      <c r="G2131" s="5" t="n">
        <v>670</v>
      </c>
    </row>
    <row r="2132" customFormat="false" ht="15" hidden="false" customHeight="false" outlineLevel="0" collapsed="false">
      <c r="A2132" s="13" t="s">
        <v>270</v>
      </c>
      <c r="B2132" s="13" t="s">
        <v>43</v>
      </c>
      <c r="C2132" s="13" t="s">
        <v>4</v>
      </c>
      <c r="D2132" s="13" t="s">
        <v>1509</v>
      </c>
      <c r="E2132" s="16" t="n">
        <v>333.1</v>
      </c>
      <c r="F2132" s="7" t="n">
        <v>2</v>
      </c>
      <c r="G2132" s="5" t="n">
        <v>670</v>
      </c>
    </row>
    <row r="2133" customFormat="false" ht="15" hidden="false" customHeight="false" outlineLevel="0" collapsed="false">
      <c r="A2133" s="13" t="s">
        <v>124</v>
      </c>
      <c r="B2133" s="13" t="s">
        <v>43</v>
      </c>
      <c r="C2133" s="13" t="s">
        <v>5</v>
      </c>
      <c r="D2133" s="13" t="s">
        <v>1510</v>
      </c>
      <c r="E2133" s="16" t="n">
        <v>674.34</v>
      </c>
      <c r="F2133" s="7" t="n">
        <v>1</v>
      </c>
      <c r="G2133" s="5" t="n">
        <v>670</v>
      </c>
    </row>
    <row r="2134" customFormat="false" ht="15" hidden="false" customHeight="false" outlineLevel="0" collapsed="false">
      <c r="A2134" s="13" t="s">
        <v>42</v>
      </c>
      <c r="B2134" s="13" t="s">
        <v>43</v>
      </c>
      <c r="C2134" s="13" t="s">
        <v>4</v>
      </c>
      <c r="D2134" s="13" t="s">
        <v>1511</v>
      </c>
      <c r="E2134" s="16" t="n">
        <v>666.53</v>
      </c>
      <c r="F2134" s="7" t="n">
        <v>1</v>
      </c>
      <c r="G2134" s="5" t="n">
        <v>670</v>
      </c>
    </row>
    <row r="2135" customFormat="false" ht="15" hidden="false" customHeight="false" outlineLevel="0" collapsed="false">
      <c r="A2135" s="13" t="s">
        <v>153</v>
      </c>
      <c r="B2135" s="13" t="s">
        <v>43</v>
      </c>
      <c r="C2135" s="13" t="s">
        <v>4</v>
      </c>
      <c r="D2135" s="13" t="s">
        <v>1512</v>
      </c>
      <c r="E2135" s="16" t="n">
        <v>674.25</v>
      </c>
      <c r="F2135" s="7" t="n">
        <v>1</v>
      </c>
      <c r="G2135" s="5" t="n">
        <v>670</v>
      </c>
    </row>
    <row r="2136" customFormat="false" ht="15" hidden="false" customHeight="false" outlineLevel="0" collapsed="false">
      <c r="A2136" s="13" t="s">
        <v>79</v>
      </c>
      <c r="B2136" s="13" t="s">
        <v>43</v>
      </c>
      <c r="C2136" s="13" t="s">
        <v>4</v>
      </c>
      <c r="D2136" s="13" t="s">
        <v>1513</v>
      </c>
      <c r="E2136" s="16" t="n">
        <v>667.5</v>
      </c>
      <c r="F2136" s="7" t="n">
        <v>1</v>
      </c>
      <c r="G2136" s="5" t="n">
        <v>670</v>
      </c>
    </row>
    <row r="2137" customFormat="false" ht="15" hidden="false" customHeight="false" outlineLevel="0" collapsed="false">
      <c r="A2137" s="13" t="s">
        <v>79</v>
      </c>
      <c r="B2137" s="13" t="s">
        <v>43</v>
      </c>
      <c r="C2137" s="13" t="s">
        <v>4</v>
      </c>
      <c r="D2137" s="13" t="s">
        <v>1514</v>
      </c>
      <c r="E2137" s="16" t="n">
        <v>667.5</v>
      </c>
      <c r="F2137" s="7" t="n">
        <v>1</v>
      </c>
      <c r="G2137" s="5" t="n">
        <v>670</v>
      </c>
    </row>
    <row r="2138" customFormat="false" ht="15" hidden="false" customHeight="false" outlineLevel="0" collapsed="false">
      <c r="A2138" s="13" t="s">
        <v>45</v>
      </c>
      <c r="B2138" s="13" t="s">
        <v>43</v>
      </c>
      <c r="C2138" s="13" t="s">
        <v>4</v>
      </c>
      <c r="D2138" s="13" t="s">
        <v>46</v>
      </c>
      <c r="E2138" s="16" t="n">
        <v>669.97</v>
      </c>
      <c r="F2138" s="7" t="n">
        <v>1</v>
      </c>
      <c r="G2138" s="5" t="n">
        <v>670</v>
      </c>
    </row>
    <row r="2139" customFormat="false" ht="15" hidden="false" customHeight="false" outlineLevel="0" collapsed="false">
      <c r="A2139" s="13" t="s">
        <v>42</v>
      </c>
      <c r="B2139" s="13" t="s">
        <v>43</v>
      </c>
      <c r="C2139" s="13" t="s">
        <v>4</v>
      </c>
      <c r="D2139" s="13" t="s">
        <v>1515</v>
      </c>
      <c r="E2139" s="16" t="n">
        <v>658</v>
      </c>
      <c r="F2139" s="7" t="n">
        <v>1</v>
      </c>
      <c r="G2139" s="5" t="n">
        <v>660</v>
      </c>
    </row>
    <row r="2140" customFormat="false" ht="15" hidden="false" customHeight="false" outlineLevel="0" collapsed="false">
      <c r="A2140" s="13" t="s">
        <v>61</v>
      </c>
      <c r="B2140" s="13" t="s">
        <v>43</v>
      </c>
      <c r="C2140" s="13" t="s">
        <v>5</v>
      </c>
      <c r="D2140" s="13" t="s">
        <v>1516</v>
      </c>
      <c r="E2140" s="16" t="n">
        <v>660.42</v>
      </c>
      <c r="F2140" s="7" t="n">
        <v>1</v>
      </c>
      <c r="G2140" s="5" t="n">
        <v>660</v>
      </c>
    </row>
    <row r="2141" customFormat="false" ht="15" hidden="false" customHeight="false" outlineLevel="0" collapsed="false">
      <c r="A2141" s="13" t="s">
        <v>79</v>
      </c>
      <c r="B2141" s="13" t="s">
        <v>43</v>
      </c>
      <c r="C2141" s="13" t="s">
        <v>4</v>
      </c>
      <c r="D2141" s="13" t="s">
        <v>469</v>
      </c>
      <c r="E2141" s="16" t="n">
        <v>656.11</v>
      </c>
      <c r="F2141" s="7" t="n">
        <v>1</v>
      </c>
      <c r="G2141" s="5" t="n">
        <v>660</v>
      </c>
    </row>
    <row r="2142" customFormat="false" ht="15" hidden="false" customHeight="false" outlineLevel="0" collapsed="false">
      <c r="A2142" s="13" t="s">
        <v>50</v>
      </c>
      <c r="B2142" s="13" t="s">
        <v>43</v>
      </c>
      <c r="C2142" s="13" t="s">
        <v>5</v>
      </c>
      <c r="D2142" s="13" t="s">
        <v>1517</v>
      </c>
      <c r="E2142" s="16" t="n">
        <v>658.04</v>
      </c>
      <c r="F2142" s="7" t="n">
        <v>1</v>
      </c>
      <c r="G2142" s="5" t="n">
        <v>660</v>
      </c>
    </row>
    <row r="2143" customFormat="false" ht="15" hidden="false" customHeight="false" outlineLevel="0" collapsed="false">
      <c r="A2143" s="13" t="s">
        <v>45</v>
      </c>
      <c r="B2143" s="13" t="s">
        <v>43</v>
      </c>
      <c r="C2143" s="13" t="s">
        <v>5</v>
      </c>
      <c r="D2143" s="13" t="s">
        <v>1321</v>
      </c>
      <c r="E2143" s="16" t="n">
        <v>663.08</v>
      </c>
      <c r="F2143" s="7" t="n">
        <v>1</v>
      </c>
      <c r="G2143" s="5" t="n">
        <v>660</v>
      </c>
    </row>
    <row r="2144" customFormat="false" ht="15" hidden="false" customHeight="false" outlineLevel="0" collapsed="false">
      <c r="A2144" s="13" t="s">
        <v>362</v>
      </c>
      <c r="B2144" s="13" t="s">
        <v>43</v>
      </c>
      <c r="C2144" s="13" t="s">
        <v>5</v>
      </c>
      <c r="D2144" s="13" t="s">
        <v>1518</v>
      </c>
      <c r="E2144" s="16" t="n">
        <v>329</v>
      </c>
      <c r="F2144" s="7" t="n">
        <v>2</v>
      </c>
      <c r="G2144" s="5" t="n">
        <v>660</v>
      </c>
    </row>
    <row r="2145" customFormat="false" ht="15" hidden="false" customHeight="false" outlineLevel="0" collapsed="false">
      <c r="A2145" s="13" t="s">
        <v>124</v>
      </c>
      <c r="B2145" s="13" t="s">
        <v>43</v>
      </c>
      <c r="C2145" s="13" t="s">
        <v>5</v>
      </c>
      <c r="D2145" s="13" t="s">
        <v>370</v>
      </c>
      <c r="E2145" s="16" t="n">
        <v>655.08</v>
      </c>
      <c r="F2145" s="7" t="n">
        <v>1</v>
      </c>
      <c r="G2145" s="5" t="n">
        <v>660</v>
      </c>
    </row>
    <row r="2146" customFormat="false" ht="15" hidden="false" customHeight="false" outlineLevel="0" collapsed="false">
      <c r="A2146" s="13" t="s">
        <v>315</v>
      </c>
      <c r="B2146" s="13" t="s">
        <v>43</v>
      </c>
      <c r="C2146" s="13" t="s">
        <v>5</v>
      </c>
      <c r="D2146" s="13" t="s">
        <v>1519</v>
      </c>
      <c r="E2146" s="16" t="n">
        <v>656.16</v>
      </c>
      <c r="F2146" s="7" t="n">
        <v>1</v>
      </c>
      <c r="G2146" s="5" t="n">
        <v>660</v>
      </c>
    </row>
    <row r="2147" customFormat="false" ht="15" hidden="false" customHeight="false" outlineLevel="0" collapsed="false">
      <c r="A2147" s="13" t="s">
        <v>50</v>
      </c>
      <c r="B2147" s="13" t="s">
        <v>43</v>
      </c>
      <c r="C2147" s="13" t="s">
        <v>5</v>
      </c>
      <c r="D2147" s="13" t="s">
        <v>1520</v>
      </c>
      <c r="E2147" s="16" t="n">
        <v>658.03</v>
      </c>
      <c r="F2147" s="7" t="n">
        <v>1</v>
      </c>
      <c r="G2147" s="5" t="n">
        <v>660</v>
      </c>
    </row>
    <row r="2148" customFormat="false" ht="15" hidden="false" customHeight="false" outlineLevel="0" collapsed="false">
      <c r="A2148" s="13" t="s">
        <v>329</v>
      </c>
      <c r="B2148" s="13" t="s">
        <v>43</v>
      </c>
      <c r="C2148" s="13" t="s">
        <v>4</v>
      </c>
      <c r="D2148" s="13" t="s">
        <v>575</v>
      </c>
      <c r="E2148" s="16" t="n">
        <v>661.34</v>
      </c>
      <c r="F2148" s="7" t="n">
        <v>1</v>
      </c>
      <c r="G2148" s="5" t="n">
        <v>660</v>
      </c>
    </row>
    <row r="2149" customFormat="false" ht="15" hidden="false" customHeight="false" outlineLevel="0" collapsed="false">
      <c r="A2149" s="13" t="s">
        <v>255</v>
      </c>
      <c r="B2149" s="13" t="s">
        <v>43</v>
      </c>
      <c r="C2149" s="13" t="s">
        <v>4</v>
      </c>
      <c r="D2149" s="13" t="s">
        <v>1521</v>
      </c>
      <c r="E2149" s="16" t="n">
        <v>220.42</v>
      </c>
      <c r="F2149" s="7" t="n">
        <v>2</v>
      </c>
      <c r="G2149" s="5" t="n">
        <v>660</v>
      </c>
    </row>
    <row r="2150" customFormat="false" ht="15" hidden="false" customHeight="false" outlineLevel="0" collapsed="false">
      <c r="A2150" s="13" t="s">
        <v>42</v>
      </c>
      <c r="B2150" s="13" t="s">
        <v>43</v>
      </c>
      <c r="C2150" s="13" t="s">
        <v>4</v>
      </c>
      <c r="D2150" s="13" t="s">
        <v>290</v>
      </c>
      <c r="E2150" s="16" t="n">
        <v>657.82</v>
      </c>
      <c r="F2150" s="7" t="n">
        <v>1</v>
      </c>
      <c r="G2150" s="5" t="n">
        <v>660</v>
      </c>
    </row>
    <row r="2151" customFormat="false" ht="15" hidden="false" customHeight="false" outlineLevel="0" collapsed="false">
      <c r="A2151" s="13" t="s">
        <v>45</v>
      </c>
      <c r="B2151" s="13" t="s">
        <v>43</v>
      </c>
      <c r="C2151" s="13" t="s">
        <v>4</v>
      </c>
      <c r="D2151" s="13" t="s">
        <v>1522</v>
      </c>
      <c r="E2151" s="16" t="n">
        <v>663.17</v>
      </c>
      <c r="F2151" s="7" t="n">
        <v>1</v>
      </c>
      <c r="G2151" s="5" t="n">
        <v>660</v>
      </c>
    </row>
    <row r="2152" customFormat="false" ht="15" hidden="false" customHeight="false" outlineLevel="0" collapsed="false">
      <c r="A2152" s="13" t="s">
        <v>286</v>
      </c>
      <c r="B2152" s="13" t="s">
        <v>43</v>
      </c>
      <c r="C2152" s="13" t="s">
        <v>4</v>
      </c>
      <c r="D2152" s="13" t="s">
        <v>1523</v>
      </c>
      <c r="E2152" s="16" t="n">
        <v>329.45</v>
      </c>
      <c r="F2152" s="7" t="n">
        <v>2</v>
      </c>
      <c r="G2152" s="5" t="n">
        <v>660</v>
      </c>
    </row>
    <row r="2153" customFormat="false" ht="15" hidden="false" customHeight="false" outlineLevel="0" collapsed="false">
      <c r="A2153" s="13" t="s">
        <v>50</v>
      </c>
      <c r="B2153" s="13" t="s">
        <v>43</v>
      </c>
      <c r="C2153" s="13" t="s">
        <v>4</v>
      </c>
      <c r="D2153" s="13" t="s">
        <v>1524</v>
      </c>
      <c r="E2153" s="16" t="n">
        <v>645.96</v>
      </c>
      <c r="F2153" s="7" t="n">
        <v>1</v>
      </c>
      <c r="G2153" s="5" t="n">
        <v>650</v>
      </c>
    </row>
    <row r="2154" customFormat="false" ht="15" hidden="false" customHeight="false" outlineLevel="0" collapsed="false">
      <c r="A2154" s="13" t="s">
        <v>153</v>
      </c>
      <c r="B2154" s="13" t="s">
        <v>43</v>
      </c>
      <c r="C2154" s="13" t="s">
        <v>4</v>
      </c>
      <c r="D2154" s="13" t="s">
        <v>1525</v>
      </c>
      <c r="E2154" s="16" t="n">
        <v>647.19</v>
      </c>
      <c r="F2154" s="7" t="n">
        <v>1</v>
      </c>
      <c r="G2154" s="5" t="n">
        <v>650</v>
      </c>
    </row>
    <row r="2155" customFormat="false" ht="15" hidden="false" customHeight="false" outlineLevel="0" collapsed="false">
      <c r="A2155" s="13" t="s">
        <v>42</v>
      </c>
      <c r="B2155" s="13" t="s">
        <v>43</v>
      </c>
      <c r="C2155" s="13" t="s">
        <v>5</v>
      </c>
      <c r="D2155" s="13" t="s">
        <v>1526</v>
      </c>
      <c r="E2155" s="16" t="n">
        <v>324.825</v>
      </c>
      <c r="F2155" s="7" t="n">
        <v>2</v>
      </c>
      <c r="G2155" s="5" t="n">
        <v>650</v>
      </c>
    </row>
    <row r="2156" customFormat="false" ht="15" hidden="false" customHeight="false" outlineLevel="0" collapsed="false">
      <c r="A2156" s="13" t="s">
        <v>72</v>
      </c>
      <c r="B2156" s="13" t="s">
        <v>43</v>
      </c>
      <c r="C2156" s="13" t="s">
        <v>5</v>
      </c>
      <c r="D2156" s="13" t="s">
        <v>1012</v>
      </c>
      <c r="E2156" s="16" t="n">
        <v>653.52</v>
      </c>
      <c r="F2156" s="7" t="n">
        <v>1</v>
      </c>
      <c r="G2156" s="5" t="n">
        <v>650</v>
      </c>
    </row>
    <row r="2157" customFormat="false" ht="15" hidden="false" customHeight="false" outlineLevel="0" collapsed="false">
      <c r="A2157" s="13" t="s">
        <v>42</v>
      </c>
      <c r="B2157" s="13" t="s">
        <v>43</v>
      </c>
      <c r="C2157" s="13" t="s">
        <v>5</v>
      </c>
      <c r="D2157" s="13" t="s">
        <v>358</v>
      </c>
      <c r="E2157" s="16" t="n">
        <v>648.85</v>
      </c>
      <c r="F2157" s="7" t="n">
        <v>1</v>
      </c>
      <c r="G2157" s="5" t="n">
        <v>650</v>
      </c>
    </row>
    <row r="2158" customFormat="false" ht="15" hidden="false" customHeight="false" outlineLevel="0" collapsed="false">
      <c r="A2158" s="13" t="s">
        <v>45</v>
      </c>
      <c r="B2158" s="13" t="s">
        <v>43</v>
      </c>
      <c r="C2158" s="13" t="s">
        <v>4</v>
      </c>
      <c r="D2158" s="13" t="s">
        <v>812</v>
      </c>
      <c r="E2158" s="16" t="n">
        <v>652.74</v>
      </c>
      <c r="F2158" s="7" t="n">
        <v>1</v>
      </c>
      <c r="G2158" s="5" t="n">
        <v>650</v>
      </c>
    </row>
    <row r="2159" customFormat="false" ht="15" hidden="false" customHeight="false" outlineLevel="0" collapsed="false">
      <c r="A2159" s="13" t="s">
        <v>177</v>
      </c>
      <c r="B2159" s="13" t="s">
        <v>43</v>
      </c>
      <c r="C2159" s="13" t="s">
        <v>4</v>
      </c>
      <c r="D2159" s="13" t="s">
        <v>1527</v>
      </c>
      <c r="E2159" s="16" t="n">
        <v>647.2</v>
      </c>
      <c r="F2159" s="7" t="n">
        <v>1</v>
      </c>
      <c r="G2159" s="5" t="n">
        <v>650</v>
      </c>
    </row>
    <row r="2160" customFormat="false" ht="15" hidden="false" customHeight="false" outlineLevel="0" collapsed="false">
      <c r="A2160" s="13" t="s">
        <v>191</v>
      </c>
      <c r="B2160" s="13" t="s">
        <v>183</v>
      </c>
      <c r="C2160" s="13" t="s">
        <v>3</v>
      </c>
      <c r="D2160" s="13" t="s">
        <v>1528</v>
      </c>
      <c r="E2160" s="16" t="n">
        <v>130.73</v>
      </c>
      <c r="F2160" s="7" t="n">
        <v>5</v>
      </c>
      <c r="G2160" s="5" t="n">
        <v>650</v>
      </c>
    </row>
    <row r="2161" customFormat="false" ht="15" hidden="false" customHeight="false" outlineLevel="0" collapsed="false">
      <c r="A2161" s="13" t="s">
        <v>165</v>
      </c>
      <c r="B2161" s="13" t="s">
        <v>43</v>
      </c>
      <c r="C2161" s="13" t="s">
        <v>5</v>
      </c>
      <c r="D2161" s="13" t="s">
        <v>1529</v>
      </c>
      <c r="E2161" s="16" t="n">
        <v>647.08</v>
      </c>
      <c r="F2161" s="7" t="n">
        <v>1</v>
      </c>
      <c r="G2161" s="5" t="n">
        <v>650</v>
      </c>
    </row>
    <row r="2162" customFormat="false" ht="15" hidden="false" customHeight="false" outlineLevel="0" collapsed="false">
      <c r="A2162" s="13" t="s">
        <v>42</v>
      </c>
      <c r="B2162" s="13" t="s">
        <v>43</v>
      </c>
      <c r="C2162" s="13" t="s">
        <v>4</v>
      </c>
      <c r="D2162" s="13" t="s">
        <v>1530</v>
      </c>
      <c r="E2162" s="16" t="n">
        <v>322.77</v>
      </c>
      <c r="F2162" s="7" t="n">
        <v>2</v>
      </c>
      <c r="G2162" s="5" t="n">
        <v>650</v>
      </c>
    </row>
    <row r="2163" customFormat="false" ht="15" hidden="false" customHeight="false" outlineLevel="0" collapsed="false">
      <c r="A2163" s="13" t="s">
        <v>42</v>
      </c>
      <c r="B2163" s="13" t="s">
        <v>43</v>
      </c>
      <c r="C2163" s="13" t="s">
        <v>4</v>
      </c>
      <c r="D2163" s="13" t="s">
        <v>778</v>
      </c>
      <c r="E2163" s="16" t="n">
        <v>651.41</v>
      </c>
      <c r="F2163" s="7" t="n">
        <v>1</v>
      </c>
      <c r="G2163" s="5" t="n">
        <v>650</v>
      </c>
    </row>
    <row r="2164" customFormat="false" ht="15" hidden="false" customHeight="false" outlineLevel="0" collapsed="false">
      <c r="A2164" s="13" t="s">
        <v>79</v>
      </c>
      <c r="B2164" s="13" t="s">
        <v>43</v>
      </c>
      <c r="C2164" s="13" t="s">
        <v>4</v>
      </c>
      <c r="D2164" s="13" t="s">
        <v>1531</v>
      </c>
      <c r="E2164" s="16" t="n">
        <v>647.48</v>
      </c>
      <c r="F2164" s="7" t="n">
        <v>1</v>
      </c>
      <c r="G2164" s="5" t="n">
        <v>650</v>
      </c>
    </row>
    <row r="2165" customFormat="false" ht="15" hidden="false" customHeight="false" outlineLevel="0" collapsed="false">
      <c r="A2165" s="13" t="s">
        <v>45</v>
      </c>
      <c r="B2165" s="13" t="s">
        <v>43</v>
      </c>
      <c r="C2165" s="13" t="s">
        <v>4</v>
      </c>
      <c r="D2165" s="13" t="s">
        <v>101</v>
      </c>
      <c r="E2165" s="16" t="n">
        <v>647.66</v>
      </c>
      <c r="F2165" s="7" t="n">
        <v>1</v>
      </c>
      <c r="G2165" s="5" t="n">
        <v>650</v>
      </c>
    </row>
    <row r="2166" customFormat="false" ht="15" hidden="false" customHeight="false" outlineLevel="0" collapsed="false">
      <c r="A2166" s="13" t="s">
        <v>490</v>
      </c>
      <c r="B2166" s="13" t="s">
        <v>43</v>
      </c>
      <c r="C2166" s="13" t="s">
        <v>4</v>
      </c>
      <c r="D2166" s="13" t="s">
        <v>1532</v>
      </c>
      <c r="E2166" s="16" t="n">
        <v>216</v>
      </c>
      <c r="F2166" s="7" t="n">
        <v>2</v>
      </c>
      <c r="G2166" s="5" t="n">
        <v>650</v>
      </c>
    </row>
    <row r="2167" customFormat="false" ht="15" hidden="false" customHeight="false" outlineLevel="0" collapsed="false">
      <c r="A2167" s="13" t="s">
        <v>329</v>
      </c>
      <c r="B2167" s="13" t="s">
        <v>43</v>
      </c>
      <c r="C2167" s="13" t="s">
        <v>4</v>
      </c>
      <c r="D2167" s="13" t="s">
        <v>384</v>
      </c>
      <c r="E2167" s="16" t="n">
        <v>325.91</v>
      </c>
      <c r="F2167" s="7" t="n">
        <v>2</v>
      </c>
      <c r="G2167" s="5" t="n">
        <v>650</v>
      </c>
    </row>
    <row r="2168" customFormat="false" ht="15" hidden="false" customHeight="false" outlineLevel="0" collapsed="false">
      <c r="A2168" s="13" t="s">
        <v>153</v>
      </c>
      <c r="B2168" s="13" t="s">
        <v>43</v>
      </c>
      <c r="C2168" s="13" t="s">
        <v>4</v>
      </c>
      <c r="D2168" s="13" t="s">
        <v>1533</v>
      </c>
      <c r="E2168" s="16" t="n">
        <v>648.59</v>
      </c>
      <c r="F2168" s="7" t="n">
        <v>1</v>
      </c>
      <c r="G2168" s="5" t="n">
        <v>650</v>
      </c>
    </row>
    <row r="2169" customFormat="false" ht="15" hidden="false" customHeight="false" outlineLevel="0" collapsed="false">
      <c r="A2169" s="13" t="s">
        <v>193</v>
      </c>
      <c r="B2169" s="13" t="s">
        <v>43</v>
      </c>
      <c r="C2169" s="13" t="s">
        <v>5</v>
      </c>
      <c r="D2169" s="13" t="s">
        <v>238</v>
      </c>
      <c r="E2169" s="16" t="n">
        <v>648.85</v>
      </c>
      <c r="F2169" s="7" t="n">
        <v>1</v>
      </c>
      <c r="G2169" s="5" t="n">
        <v>650</v>
      </c>
    </row>
    <row r="2170" customFormat="false" ht="15" hidden="false" customHeight="false" outlineLevel="0" collapsed="false">
      <c r="A2170" s="13" t="s">
        <v>61</v>
      </c>
      <c r="B2170" s="13" t="s">
        <v>183</v>
      </c>
      <c r="C2170" s="13" t="s">
        <v>5</v>
      </c>
      <c r="D2170" s="13" t="s">
        <v>1534</v>
      </c>
      <c r="E2170" s="16" t="n">
        <v>650.85</v>
      </c>
      <c r="F2170" s="7" t="n">
        <v>1</v>
      </c>
      <c r="G2170" s="5" t="n">
        <v>650</v>
      </c>
    </row>
    <row r="2171" customFormat="false" ht="15" hidden="false" customHeight="false" outlineLevel="0" collapsed="false">
      <c r="A2171" s="13" t="s">
        <v>92</v>
      </c>
      <c r="B2171" s="13" t="s">
        <v>43</v>
      </c>
      <c r="C2171" s="13" t="s">
        <v>3</v>
      </c>
      <c r="D2171" s="13" t="s">
        <v>903</v>
      </c>
      <c r="E2171" s="16" t="n">
        <v>639.99</v>
      </c>
      <c r="F2171" s="7" t="n">
        <v>1</v>
      </c>
      <c r="G2171" s="5" t="n">
        <v>640</v>
      </c>
    </row>
    <row r="2172" customFormat="false" ht="15" hidden="false" customHeight="false" outlineLevel="0" collapsed="false">
      <c r="A2172" s="13" t="s">
        <v>195</v>
      </c>
      <c r="B2172" s="13" t="s">
        <v>43</v>
      </c>
      <c r="C2172" s="13" t="s">
        <v>5</v>
      </c>
      <c r="D2172" s="13" t="s">
        <v>1535</v>
      </c>
      <c r="E2172" s="16" t="n">
        <v>321.99</v>
      </c>
      <c r="F2172" s="7" t="n">
        <v>2</v>
      </c>
      <c r="G2172" s="5" t="n">
        <v>640</v>
      </c>
    </row>
    <row r="2173" customFormat="false" ht="15" hidden="false" customHeight="false" outlineLevel="0" collapsed="false">
      <c r="A2173" s="13" t="s">
        <v>45</v>
      </c>
      <c r="B2173" s="13" t="s">
        <v>43</v>
      </c>
      <c r="C2173" s="13" t="s">
        <v>4</v>
      </c>
      <c r="D2173" s="13" t="s">
        <v>1536</v>
      </c>
      <c r="E2173" s="16" t="n">
        <v>642.29</v>
      </c>
      <c r="F2173" s="7" t="n">
        <v>1</v>
      </c>
      <c r="G2173" s="5" t="n">
        <v>640</v>
      </c>
    </row>
    <row r="2174" customFormat="false" ht="15" hidden="false" customHeight="false" outlineLevel="0" collapsed="false">
      <c r="A2174" s="13" t="s">
        <v>79</v>
      </c>
      <c r="B2174" s="13" t="s">
        <v>43</v>
      </c>
      <c r="C2174" s="13" t="s">
        <v>3</v>
      </c>
      <c r="D2174" s="13" t="s">
        <v>913</v>
      </c>
      <c r="E2174" s="16" t="n">
        <v>645</v>
      </c>
      <c r="F2174" s="7" t="n">
        <v>1</v>
      </c>
      <c r="G2174" s="5" t="n">
        <v>640</v>
      </c>
    </row>
    <row r="2175" customFormat="false" ht="15" hidden="false" customHeight="false" outlineLevel="0" collapsed="false">
      <c r="A2175" s="13" t="s">
        <v>186</v>
      </c>
      <c r="B2175" s="13" t="s">
        <v>43</v>
      </c>
      <c r="C2175" s="13" t="s">
        <v>4</v>
      </c>
      <c r="D2175" s="13" t="s">
        <v>1537</v>
      </c>
      <c r="E2175" s="16" t="n">
        <v>635.55</v>
      </c>
      <c r="F2175" s="7" t="n">
        <v>1</v>
      </c>
      <c r="G2175" s="5" t="n">
        <v>640</v>
      </c>
    </row>
    <row r="2176" customFormat="false" ht="15" hidden="false" customHeight="false" outlineLevel="0" collapsed="false">
      <c r="A2176" s="13" t="s">
        <v>105</v>
      </c>
      <c r="B2176" s="13" t="s">
        <v>43</v>
      </c>
      <c r="C2176" s="13" t="s">
        <v>4</v>
      </c>
      <c r="D2176" s="13" t="s">
        <v>1538</v>
      </c>
      <c r="E2176" s="16" t="n">
        <v>635.66</v>
      </c>
      <c r="F2176" s="7" t="n">
        <v>1</v>
      </c>
      <c r="G2176" s="5" t="n">
        <v>640</v>
      </c>
    </row>
    <row r="2177" customFormat="false" ht="15" hidden="false" customHeight="false" outlineLevel="0" collapsed="false">
      <c r="A2177" s="13" t="s">
        <v>45</v>
      </c>
      <c r="B2177" s="13" t="s">
        <v>43</v>
      </c>
      <c r="C2177" s="13" t="s">
        <v>4</v>
      </c>
      <c r="D2177" s="13" t="s">
        <v>46</v>
      </c>
      <c r="E2177" s="16" t="n">
        <v>642.93</v>
      </c>
      <c r="F2177" s="7" t="n">
        <v>1</v>
      </c>
      <c r="G2177" s="5" t="n">
        <v>640</v>
      </c>
    </row>
    <row r="2178" customFormat="false" ht="15" hidden="false" customHeight="false" outlineLevel="0" collapsed="false">
      <c r="A2178" s="13" t="s">
        <v>42</v>
      </c>
      <c r="B2178" s="13" t="s">
        <v>43</v>
      </c>
      <c r="C2178" s="13" t="s">
        <v>4</v>
      </c>
      <c r="D2178" s="13" t="s">
        <v>1539</v>
      </c>
      <c r="E2178" s="16" t="n">
        <v>636.09</v>
      </c>
      <c r="F2178" s="7" t="n">
        <v>1</v>
      </c>
      <c r="G2178" s="5" t="n">
        <v>640</v>
      </c>
    </row>
    <row r="2179" customFormat="false" ht="15" hidden="false" customHeight="false" outlineLevel="0" collapsed="false">
      <c r="A2179" s="13" t="s">
        <v>302</v>
      </c>
      <c r="B2179" s="13" t="s">
        <v>43</v>
      </c>
      <c r="C2179" s="13" t="s">
        <v>5</v>
      </c>
      <c r="D2179" s="13" t="s">
        <v>1540</v>
      </c>
      <c r="E2179" s="16" t="n">
        <v>639</v>
      </c>
      <c r="F2179" s="7" t="n">
        <v>1</v>
      </c>
      <c r="G2179" s="5" t="n">
        <v>640</v>
      </c>
    </row>
    <row r="2180" customFormat="false" ht="15" hidden="false" customHeight="false" outlineLevel="0" collapsed="false">
      <c r="A2180" s="13" t="s">
        <v>177</v>
      </c>
      <c r="B2180" s="13" t="s">
        <v>43</v>
      </c>
      <c r="C2180" s="13" t="s">
        <v>5</v>
      </c>
      <c r="D2180" s="13" t="s">
        <v>1541</v>
      </c>
      <c r="E2180" s="16" t="n">
        <v>637.52</v>
      </c>
      <c r="F2180" s="7" t="n">
        <v>1</v>
      </c>
      <c r="G2180" s="5" t="n">
        <v>640</v>
      </c>
    </row>
    <row r="2181" customFormat="false" ht="15" hidden="false" customHeight="false" outlineLevel="0" collapsed="false">
      <c r="A2181" s="13" t="s">
        <v>121</v>
      </c>
      <c r="B2181" s="13" t="s">
        <v>43</v>
      </c>
      <c r="C2181" s="13" t="s">
        <v>5</v>
      </c>
      <c r="D2181" s="13" t="s">
        <v>1542</v>
      </c>
      <c r="E2181" s="16" t="n">
        <v>58.4672727272727</v>
      </c>
      <c r="F2181" s="7" t="n">
        <v>10</v>
      </c>
      <c r="G2181" s="5" t="n">
        <v>640</v>
      </c>
    </row>
    <row r="2182" customFormat="false" ht="15" hidden="false" customHeight="false" outlineLevel="0" collapsed="false">
      <c r="A2182" s="13" t="s">
        <v>315</v>
      </c>
      <c r="B2182" s="13" t="s">
        <v>85</v>
      </c>
      <c r="C2182" s="13" t="s">
        <v>5</v>
      </c>
      <c r="D2182" s="13" t="s">
        <v>1543</v>
      </c>
      <c r="E2182" s="16" t="n">
        <v>642.99</v>
      </c>
      <c r="F2182" s="7" t="n">
        <v>1</v>
      </c>
      <c r="G2182" s="5" t="n">
        <v>640</v>
      </c>
    </row>
    <row r="2183" customFormat="false" ht="15" hidden="false" customHeight="false" outlineLevel="0" collapsed="false">
      <c r="A2183" s="13" t="s">
        <v>121</v>
      </c>
      <c r="B2183" s="13" t="s">
        <v>43</v>
      </c>
      <c r="C2183" s="13" t="s">
        <v>5</v>
      </c>
      <c r="D2183" s="13" t="s">
        <v>1309</v>
      </c>
      <c r="E2183" s="16" t="n">
        <v>127.07</v>
      </c>
      <c r="F2183" s="7" t="n">
        <v>5</v>
      </c>
      <c r="G2183" s="5" t="n">
        <v>640</v>
      </c>
    </row>
    <row r="2184" customFormat="false" ht="15" hidden="false" customHeight="false" outlineLevel="0" collapsed="false">
      <c r="A2184" s="13" t="s">
        <v>177</v>
      </c>
      <c r="B2184" s="13" t="s">
        <v>43</v>
      </c>
      <c r="C2184" s="13" t="s">
        <v>5</v>
      </c>
      <c r="D2184" s="13" t="s">
        <v>1544</v>
      </c>
      <c r="E2184" s="16" t="n">
        <v>638.63</v>
      </c>
      <c r="F2184" s="7" t="n">
        <v>1</v>
      </c>
      <c r="G2184" s="5" t="n">
        <v>640</v>
      </c>
    </row>
    <row r="2185" customFormat="false" ht="15" hidden="false" customHeight="false" outlineLevel="0" collapsed="false">
      <c r="A2185" s="13" t="s">
        <v>362</v>
      </c>
      <c r="B2185" s="13" t="s">
        <v>43</v>
      </c>
      <c r="C2185" s="13" t="s">
        <v>4</v>
      </c>
      <c r="D2185" s="13" t="s">
        <v>1545</v>
      </c>
      <c r="E2185" s="16" t="n">
        <v>626.67</v>
      </c>
      <c r="F2185" s="7" t="n">
        <v>1</v>
      </c>
      <c r="G2185" s="5" t="n">
        <v>630</v>
      </c>
    </row>
    <row r="2186" customFormat="false" ht="15" hidden="false" customHeight="false" outlineLevel="0" collapsed="false">
      <c r="A2186" s="13" t="s">
        <v>362</v>
      </c>
      <c r="B2186" s="13" t="s">
        <v>43</v>
      </c>
      <c r="C2186" s="13" t="s">
        <v>4</v>
      </c>
      <c r="D2186" s="13" t="s">
        <v>1546</v>
      </c>
      <c r="E2186" s="16" t="n">
        <v>625.5</v>
      </c>
      <c r="F2186" s="7" t="n">
        <v>1</v>
      </c>
      <c r="G2186" s="5" t="n">
        <v>630</v>
      </c>
    </row>
    <row r="2187" customFormat="false" ht="15" hidden="false" customHeight="false" outlineLevel="0" collapsed="false">
      <c r="A2187" s="13" t="s">
        <v>362</v>
      </c>
      <c r="B2187" s="13" t="s">
        <v>43</v>
      </c>
      <c r="C2187" s="13" t="s">
        <v>4</v>
      </c>
      <c r="D2187" s="13" t="s">
        <v>1547</v>
      </c>
      <c r="E2187" s="16" t="n">
        <v>630.95</v>
      </c>
      <c r="F2187" s="7" t="n">
        <v>1</v>
      </c>
      <c r="G2187" s="5" t="n">
        <v>630</v>
      </c>
    </row>
    <row r="2188" customFormat="false" ht="15" hidden="false" customHeight="false" outlineLevel="0" collapsed="false">
      <c r="A2188" s="13" t="s">
        <v>79</v>
      </c>
      <c r="B2188" s="13" t="s">
        <v>43</v>
      </c>
      <c r="C2188" s="13" t="s">
        <v>4</v>
      </c>
      <c r="D2188" s="13" t="s">
        <v>1548</v>
      </c>
      <c r="E2188" s="16" t="n">
        <v>632.61</v>
      </c>
      <c r="F2188" s="7" t="n">
        <v>1</v>
      </c>
      <c r="G2188" s="5" t="n">
        <v>630</v>
      </c>
    </row>
    <row r="2189" customFormat="false" ht="15" hidden="false" customHeight="false" outlineLevel="0" collapsed="false">
      <c r="A2189" s="13" t="s">
        <v>42</v>
      </c>
      <c r="B2189" s="13" t="s">
        <v>43</v>
      </c>
      <c r="C2189" s="13" t="s">
        <v>4</v>
      </c>
      <c r="D2189" s="13" t="s">
        <v>1549</v>
      </c>
      <c r="E2189" s="16" t="n">
        <v>634.23</v>
      </c>
      <c r="F2189" s="7" t="n">
        <v>1</v>
      </c>
      <c r="G2189" s="5" t="n">
        <v>630</v>
      </c>
    </row>
    <row r="2190" customFormat="false" ht="15" hidden="false" customHeight="false" outlineLevel="0" collapsed="false">
      <c r="A2190" s="13" t="s">
        <v>45</v>
      </c>
      <c r="B2190" s="13" t="s">
        <v>43</v>
      </c>
      <c r="C2190" s="13" t="s">
        <v>4</v>
      </c>
      <c r="D2190" s="13" t="s">
        <v>508</v>
      </c>
      <c r="E2190" s="16" t="n">
        <v>634.91</v>
      </c>
      <c r="F2190" s="7" t="n">
        <v>1</v>
      </c>
      <c r="G2190" s="5" t="n">
        <v>630</v>
      </c>
    </row>
    <row r="2191" customFormat="false" ht="15" hidden="false" customHeight="false" outlineLevel="0" collapsed="false">
      <c r="A2191" s="13" t="s">
        <v>177</v>
      </c>
      <c r="B2191" s="13" t="s">
        <v>43</v>
      </c>
      <c r="C2191" s="13" t="s">
        <v>4</v>
      </c>
      <c r="D2191" s="13" t="s">
        <v>1550</v>
      </c>
      <c r="E2191" s="16" t="n">
        <v>627.78</v>
      </c>
      <c r="F2191" s="7" t="n">
        <v>1</v>
      </c>
      <c r="G2191" s="5" t="n">
        <v>630</v>
      </c>
    </row>
    <row r="2192" customFormat="false" ht="15" hidden="false" customHeight="false" outlineLevel="0" collapsed="false">
      <c r="A2192" s="13" t="s">
        <v>42</v>
      </c>
      <c r="B2192" s="13" t="s">
        <v>43</v>
      </c>
      <c r="C2192" s="13" t="s">
        <v>4</v>
      </c>
      <c r="D2192" s="13" t="s">
        <v>442</v>
      </c>
      <c r="E2192" s="16" t="n">
        <v>626.99</v>
      </c>
      <c r="F2192" s="7" t="n">
        <v>1</v>
      </c>
      <c r="G2192" s="5" t="n">
        <v>630</v>
      </c>
    </row>
    <row r="2193" customFormat="false" ht="15" hidden="false" customHeight="false" outlineLevel="0" collapsed="false">
      <c r="A2193" s="13" t="s">
        <v>42</v>
      </c>
      <c r="B2193" s="13" t="s">
        <v>43</v>
      </c>
      <c r="C2193" s="13" t="s">
        <v>4</v>
      </c>
      <c r="D2193" s="13" t="s">
        <v>1551</v>
      </c>
      <c r="E2193" s="16" t="n">
        <v>628.86</v>
      </c>
      <c r="F2193" s="7" t="n">
        <v>1</v>
      </c>
      <c r="G2193" s="5" t="n">
        <v>630</v>
      </c>
    </row>
    <row r="2194" customFormat="false" ht="15" hidden="false" customHeight="false" outlineLevel="0" collapsed="false">
      <c r="A2194" s="13" t="s">
        <v>42</v>
      </c>
      <c r="B2194" s="13" t="s">
        <v>43</v>
      </c>
      <c r="C2194" s="13" t="s">
        <v>4</v>
      </c>
      <c r="D2194" s="13" t="s">
        <v>1552</v>
      </c>
      <c r="E2194" s="16" t="n">
        <v>628.23</v>
      </c>
      <c r="F2194" s="7" t="n">
        <v>1</v>
      </c>
      <c r="G2194" s="5" t="n">
        <v>630</v>
      </c>
    </row>
    <row r="2195" customFormat="false" ht="15" hidden="false" customHeight="false" outlineLevel="0" collapsed="false">
      <c r="A2195" s="13" t="s">
        <v>105</v>
      </c>
      <c r="B2195" s="13" t="s">
        <v>43</v>
      </c>
      <c r="C2195" s="13" t="s">
        <v>4</v>
      </c>
      <c r="D2195" s="13" t="s">
        <v>535</v>
      </c>
      <c r="E2195" s="16" t="n">
        <v>628.96</v>
      </c>
      <c r="F2195" s="7" t="n">
        <v>1</v>
      </c>
      <c r="G2195" s="5" t="n">
        <v>630</v>
      </c>
    </row>
    <row r="2196" customFormat="false" ht="15" hidden="false" customHeight="false" outlineLevel="0" collapsed="false">
      <c r="A2196" s="13" t="s">
        <v>79</v>
      </c>
      <c r="B2196" s="13" t="s">
        <v>43</v>
      </c>
      <c r="C2196" s="13" t="s">
        <v>4</v>
      </c>
      <c r="D2196" s="13" t="s">
        <v>1553</v>
      </c>
      <c r="E2196" s="16" t="n">
        <v>628.37</v>
      </c>
      <c r="F2196" s="7" t="n">
        <v>1</v>
      </c>
      <c r="G2196" s="5" t="n">
        <v>630</v>
      </c>
    </row>
    <row r="2197" customFormat="false" ht="15" hidden="false" customHeight="false" outlineLevel="0" collapsed="false">
      <c r="A2197" s="13" t="s">
        <v>365</v>
      </c>
      <c r="B2197" s="13" t="s">
        <v>43</v>
      </c>
      <c r="C2197" s="13" t="s">
        <v>3</v>
      </c>
      <c r="D2197" s="13" t="s">
        <v>1554</v>
      </c>
      <c r="E2197" s="16" t="n">
        <v>89.9</v>
      </c>
      <c r="F2197" s="7" t="n">
        <v>5</v>
      </c>
      <c r="G2197" s="5" t="n">
        <v>630</v>
      </c>
    </row>
    <row r="2198" customFormat="false" ht="15" hidden="false" customHeight="false" outlineLevel="0" collapsed="false">
      <c r="A2198" s="13" t="s">
        <v>302</v>
      </c>
      <c r="B2198" s="13" t="s">
        <v>43</v>
      </c>
      <c r="C2198" s="13" t="s">
        <v>3</v>
      </c>
      <c r="D2198" s="13" t="s">
        <v>1555</v>
      </c>
      <c r="E2198" s="16" t="n">
        <v>629.39</v>
      </c>
      <c r="F2198" s="7" t="n">
        <v>1</v>
      </c>
      <c r="G2198" s="5" t="n">
        <v>630</v>
      </c>
    </row>
    <row r="2199" customFormat="false" ht="15" hidden="false" customHeight="false" outlineLevel="0" collapsed="false">
      <c r="A2199" s="13" t="s">
        <v>315</v>
      </c>
      <c r="B2199" s="13" t="s">
        <v>43</v>
      </c>
      <c r="C2199" s="13" t="s">
        <v>5</v>
      </c>
      <c r="D2199" s="13" t="s">
        <v>797</v>
      </c>
      <c r="E2199" s="16" t="n">
        <v>313.36</v>
      </c>
      <c r="F2199" s="7" t="n">
        <v>2</v>
      </c>
      <c r="G2199" s="5" t="n">
        <v>630</v>
      </c>
    </row>
    <row r="2200" customFormat="false" ht="15" hidden="false" customHeight="false" outlineLevel="0" collapsed="false">
      <c r="A2200" s="13" t="s">
        <v>45</v>
      </c>
      <c r="B2200" s="13" t="s">
        <v>43</v>
      </c>
      <c r="C2200" s="13" t="s">
        <v>5</v>
      </c>
      <c r="D2200" s="13" t="s">
        <v>1130</v>
      </c>
      <c r="E2200" s="16" t="n">
        <v>627.85</v>
      </c>
      <c r="F2200" s="7" t="n">
        <v>1</v>
      </c>
      <c r="G2200" s="5" t="n">
        <v>630</v>
      </c>
    </row>
    <row r="2201" customFormat="false" ht="15" hidden="false" customHeight="false" outlineLevel="0" collapsed="false">
      <c r="A2201" s="13" t="s">
        <v>50</v>
      </c>
      <c r="B2201" s="13" t="s">
        <v>43</v>
      </c>
      <c r="C2201" s="13" t="s">
        <v>5</v>
      </c>
      <c r="D2201" s="13" t="s">
        <v>1556</v>
      </c>
      <c r="E2201" s="16" t="n">
        <v>628.85</v>
      </c>
      <c r="F2201" s="7" t="n">
        <v>1</v>
      </c>
      <c r="G2201" s="5" t="n">
        <v>630</v>
      </c>
    </row>
    <row r="2202" customFormat="false" ht="15" hidden="false" customHeight="false" outlineLevel="0" collapsed="false">
      <c r="A2202" s="13" t="s">
        <v>193</v>
      </c>
      <c r="B2202" s="13" t="s">
        <v>43</v>
      </c>
      <c r="C2202" s="13" t="s">
        <v>5</v>
      </c>
      <c r="D2202" s="13" t="s">
        <v>295</v>
      </c>
      <c r="E2202" s="16" t="n">
        <v>633.91</v>
      </c>
      <c r="F2202" s="7" t="n">
        <v>1</v>
      </c>
      <c r="G2202" s="5" t="n">
        <v>630</v>
      </c>
    </row>
    <row r="2203" customFormat="false" ht="15" hidden="false" customHeight="false" outlineLevel="0" collapsed="false">
      <c r="A2203" s="13" t="s">
        <v>45</v>
      </c>
      <c r="B2203" s="13" t="s">
        <v>43</v>
      </c>
      <c r="C2203" s="13" t="s">
        <v>5</v>
      </c>
      <c r="D2203" s="13" t="s">
        <v>1557</v>
      </c>
      <c r="E2203" s="16" t="n">
        <v>615.19</v>
      </c>
      <c r="F2203" s="7" t="n">
        <v>1</v>
      </c>
      <c r="G2203" s="5" t="n">
        <v>620</v>
      </c>
    </row>
    <row r="2204" customFormat="false" ht="15" hidden="false" customHeight="false" outlineLevel="0" collapsed="false">
      <c r="A2204" s="13" t="s">
        <v>124</v>
      </c>
      <c r="B2204" s="13" t="s">
        <v>43</v>
      </c>
      <c r="C2204" s="13" t="s">
        <v>5</v>
      </c>
      <c r="D2204" s="13" t="s">
        <v>1372</v>
      </c>
      <c r="E2204" s="16" t="n">
        <v>615.46</v>
      </c>
      <c r="F2204" s="7" t="n">
        <v>1</v>
      </c>
      <c r="G2204" s="5" t="n">
        <v>620</v>
      </c>
    </row>
    <row r="2205" customFormat="false" ht="15" hidden="false" customHeight="false" outlineLevel="0" collapsed="false">
      <c r="A2205" s="13" t="s">
        <v>195</v>
      </c>
      <c r="B2205" s="13" t="s">
        <v>43</v>
      </c>
      <c r="C2205" s="13" t="s">
        <v>5</v>
      </c>
      <c r="D2205" s="13" t="s">
        <v>1558</v>
      </c>
      <c r="E2205" s="16" t="n">
        <v>618.68</v>
      </c>
      <c r="F2205" s="7" t="n">
        <v>1</v>
      </c>
      <c r="G2205" s="5" t="n">
        <v>620</v>
      </c>
    </row>
    <row r="2206" customFormat="false" ht="15" hidden="false" customHeight="false" outlineLevel="0" collapsed="false">
      <c r="A2206" s="13" t="s">
        <v>61</v>
      </c>
      <c r="B2206" s="13" t="s">
        <v>43</v>
      </c>
      <c r="C2206" s="13" t="s">
        <v>5</v>
      </c>
      <c r="D2206" s="13" t="s">
        <v>1482</v>
      </c>
      <c r="E2206" s="16" t="n">
        <v>621.45</v>
      </c>
      <c r="F2206" s="7" t="n">
        <v>1</v>
      </c>
      <c r="G2206" s="5" t="n">
        <v>620</v>
      </c>
    </row>
    <row r="2207" customFormat="false" ht="15" hidden="false" customHeight="false" outlineLevel="0" collapsed="false">
      <c r="A2207" s="13" t="s">
        <v>50</v>
      </c>
      <c r="B2207" s="13" t="s">
        <v>43</v>
      </c>
      <c r="C2207" s="13" t="s">
        <v>5</v>
      </c>
      <c r="D2207" s="13" t="s">
        <v>1559</v>
      </c>
      <c r="E2207" s="16" t="n">
        <v>621.97</v>
      </c>
      <c r="F2207" s="7" t="n">
        <v>1</v>
      </c>
      <c r="G2207" s="5" t="n">
        <v>620</v>
      </c>
    </row>
    <row r="2208" customFormat="false" ht="15" hidden="false" customHeight="false" outlineLevel="0" collapsed="false">
      <c r="A2208" s="13" t="s">
        <v>50</v>
      </c>
      <c r="B2208" s="13" t="s">
        <v>43</v>
      </c>
      <c r="C2208" s="13" t="s">
        <v>5</v>
      </c>
      <c r="D2208" s="13" t="s">
        <v>935</v>
      </c>
      <c r="E2208" s="16" t="n">
        <v>622.76</v>
      </c>
      <c r="F2208" s="7" t="n">
        <v>1</v>
      </c>
      <c r="G2208" s="5" t="n">
        <v>620</v>
      </c>
    </row>
    <row r="2209" customFormat="false" ht="15" hidden="false" customHeight="false" outlineLevel="0" collapsed="false">
      <c r="A2209" s="13" t="s">
        <v>69</v>
      </c>
      <c r="B2209" s="13" t="s">
        <v>43</v>
      </c>
      <c r="C2209" s="13" t="s">
        <v>5</v>
      </c>
      <c r="D2209" s="13" t="s">
        <v>1560</v>
      </c>
      <c r="E2209" s="16" t="n">
        <v>622.81</v>
      </c>
      <c r="F2209" s="7" t="n">
        <v>1</v>
      </c>
      <c r="G2209" s="5" t="n">
        <v>620</v>
      </c>
    </row>
    <row r="2210" customFormat="false" ht="15" hidden="false" customHeight="false" outlineLevel="0" collapsed="false">
      <c r="A2210" s="13" t="s">
        <v>177</v>
      </c>
      <c r="B2210" s="13" t="s">
        <v>43</v>
      </c>
      <c r="C2210" s="13" t="s">
        <v>5</v>
      </c>
      <c r="D2210" s="13" t="s">
        <v>1561</v>
      </c>
      <c r="E2210" s="16" t="n">
        <v>623</v>
      </c>
      <c r="F2210" s="7" t="n">
        <v>1</v>
      </c>
      <c r="G2210" s="5" t="n">
        <v>620</v>
      </c>
    </row>
    <row r="2211" customFormat="false" ht="15" hidden="false" customHeight="false" outlineLevel="0" collapsed="false">
      <c r="A2211" s="13" t="s">
        <v>121</v>
      </c>
      <c r="B2211" s="13" t="s">
        <v>43</v>
      </c>
      <c r="C2211" s="13" t="s">
        <v>5</v>
      </c>
      <c r="D2211" s="13" t="s">
        <v>1289</v>
      </c>
      <c r="E2211" s="16" t="n">
        <v>207.82</v>
      </c>
      <c r="F2211" s="7" t="n">
        <v>2</v>
      </c>
      <c r="G2211" s="5" t="n">
        <v>620</v>
      </c>
    </row>
    <row r="2212" customFormat="false" ht="15" hidden="false" customHeight="false" outlineLevel="0" collapsed="false">
      <c r="A2212" s="13" t="s">
        <v>630</v>
      </c>
      <c r="B2212" s="13" t="s">
        <v>43</v>
      </c>
      <c r="C2212" s="13" t="s">
        <v>5</v>
      </c>
      <c r="D2212" s="13" t="s">
        <v>1562</v>
      </c>
      <c r="E2212" s="16" t="n">
        <v>208.08</v>
      </c>
      <c r="F2212" s="7" t="n">
        <v>2</v>
      </c>
      <c r="G2212" s="5" t="n">
        <v>620</v>
      </c>
    </row>
    <row r="2213" customFormat="false" ht="15" hidden="false" customHeight="false" outlineLevel="0" collapsed="false">
      <c r="A2213" s="13" t="s">
        <v>490</v>
      </c>
      <c r="B2213" s="13" t="s">
        <v>43</v>
      </c>
      <c r="C2213" s="13" t="s">
        <v>5</v>
      </c>
      <c r="D2213" s="13" t="s">
        <v>491</v>
      </c>
      <c r="E2213" s="16" t="n">
        <v>624.62</v>
      </c>
      <c r="F2213" s="7" t="n">
        <v>1</v>
      </c>
      <c r="G2213" s="5" t="n">
        <v>620</v>
      </c>
    </row>
    <row r="2214" customFormat="false" ht="15" hidden="false" customHeight="false" outlineLevel="0" collapsed="false">
      <c r="A2214" s="13" t="s">
        <v>61</v>
      </c>
      <c r="B2214" s="13" t="s">
        <v>43</v>
      </c>
      <c r="C2214" s="13" t="s">
        <v>5</v>
      </c>
      <c r="D2214" s="13" t="s">
        <v>1563</v>
      </c>
      <c r="E2214" s="16" t="n">
        <v>615.08</v>
      </c>
      <c r="F2214" s="7" t="n">
        <v>1</v>
      </c>
      <c r="G2214" s="5" t="n">
        <v>620</v>
      </c>
    </row>
    <row r="2215" customFormat="false" ht="15" hidden="false" customHeight="false" outlineLevel="0" collapsed="false">
      <c r="A2215" s="13" t="s">
        <v>50</v>
      </c>
      <c r="B2215" s="13" t="s">
        <v>43</v>
      </c>
      <c r="C2215" s="13" t="s">
        <v>4</v>
      </c>
      <c r="D2215" s="13" t="s">
        <v>1564</v>
      </c>
      <c r="E2215" s="16" t="n">
        <v>623.22</v>
      </c>
      <c r="F2215" s="7" t="n">
        <v>1</v>
      </c>
      <c r="G2215" s="5" t="n">
        <v>620</v>
      </c>
    </row>
    <row r="2216" customFormat="false" ht="15" hidden="false" customHeight="false" outlineLevel="0" collapsed="false">
      <c r="A2216" s="13" t="s">
        <v>42</v>
      </c>
      <c r="B2216" s="13" t="s">
        <v>183</v>
      </c>
      <c r="C2216" s="13" t="s">
        <v>4</v>
      </c>
      <c r="D2216" s="13" t="s">
        <v>561</v>
      </c>
      <c r="E2216" s="16" t="n">
        <v>619.11</v>
      </c>
      <c r="F2216" s="7" t="n">
        <v>1</v>
      </c>
      <c r="G2216" s="5" t="n">
        <v>620</v>
      </c>
    </row>
    <row r="2217" customFormat="false" ht="15" hidden="false" customHeight="false" outlineLevel="0" collapsed="false">
      <c r="A2217" s="13" t="s">
        <v>153</v>
      </c>
      <c r="B2217" s="13" t="s">
        <v>43</v>
      </c>
      <c r="C2217" s="13" t="s">
        <v>4</v>
      </c>
      <c r="D2217" s="13" t="s">
        <v>1565</v>
      </c>
      <c r="E2217" s="16" t="n">
        <v>620.02</v>
      </c>
      <c r="F2217" s="7" t="n">
        <v>1</v>
      </c>
      <c r="G2217" s="5" t="n">
        <v>620</v>
      </c>
    </row>
    <row r="2218" customFormat="false" ht="15" hidden="false" customHeight="false" outlineLevel="0" collapsed="false">
      <c r="A2218" s="13" t="s">
        <v>490</v>
      </c>
      <c r="B2218" s="13" t="s">
        <v>43</v>
      </c>
      <c r="C2218" s="13" t="s">
        <v>4</v>
      </c>
      <c r="D2218" s="13" t="s">
        <v>1566</v>
      </c>
      <c r="E2218" s="16" t="n">
        <v>309</v>
      </c>
      <c r="F2218" s="7" t="n">
        <v>2</v>
      </c>
      <c r="G2218" s="5" t="n">
        <v>620</v>
      </c>
    </row>
    <row r="2219" customFormat="false" ht="15" hidden="false" customHeight="false" outlineLevel="0" collapsed="false">
      <c r="A2219" s="13" t="s">
        <v>153</v>
      </c>
      <c r="B2219" s="13" t="s">
        <v>43</v>
      </c>
      <c r="C2219" s="13" t="s">
        <v>4</v>
      </c>
      <c r="D2219" s="13" t="s">
        <v>1567</v>
      </c>
      <c r="E2219" s="16" t="n">
        <v>618.77</v>
      </c>
      <c r="F2219" s="7" t="n">
        <v>1</v>
      </c>
      <c r="G2219" s="5" t="n">
        <v>620</v>
      </c>
    </row>
    <row r="2220" customFormat="false" ht="15" hidden="false" customHeight="false" outlineLevel="0" collapsed="false">
      <c r="A2220" s="13" t="s">
        <v>45</v>
      </c>
      <c r="B2220" s="13" t="s">
        <v>43</v>
      </c>
      <c r="C2220" s="13" t="s">
        <v>4</v>
      </c>
      <c r="D2220" s="13" t="s">
        <v>1568</v>
      </c>
      <c r="E2220" s="16" t="n">
        <v>619.65</v>
      </c>
      <c r="F2220" s="7" t="n">
        <v>1</v>
      </c>
      <c r="G2220" s="5" t="n">
        <v>620</v>
      </c>
    </row>
    <row r="2221" customFormat="false" ht="15" hidden="false" customHeight="false" outlineLevel="0" collapsed="false">
      <c r="A2221" s="13" t="s">
        <v>186</v>
      </c>
      <c r="B2221" s="13" t="s">
        <v>43</v>
      </c>
      <c r="C2221" s="13" t="s">
        <v>4</v>
      </c>
      <c r="D2221" s="13" t="s">
        <v>571</v>
      </c>
      <c r="E2221" s="16" t="n">
        <v>615.48</v>
      </c>
      <c r="F2221" s="7" t="n">
        <v>1</v>
      </c>
      <c r="G2221" s="5" t="n">
        <v>620</v>
      </c>
    </row>
    <row r="2222" customFormat="false" ht="15" hidden="false" customHeight="false" outlineLevel="0" collapsed="false">
      <c r="A2222" s="13" t="s">
        <v>79</v>
      </c>
      <c r="B2222" s="13" t="s">
        <v>43</v>
      </c>
      <c r="C2222" s="13" t="s">
        <v>5</v>
      </c>
      <c r="D2222" s="13" t="s">
        <v>1569</v>
      </c>
      <c r="E2222" s="16" t="n">
        <v>607.13</v>
      </c>
      <c r="F2222" s="7" t="n">
        <v>1</v>
      </c>
      <c r="G2222" s="5" t="n">
        <v>610</v>
      </c>
    </row>
    <row r="2223" customFormat="false" ht="15" hidden="false" customHeight="false" outlineLevel="0" collapsed="false">
      <c r="A2223" s="13" t="s">
        <v>186</v>
      </c>
      <c r="B2223" s="13" t="s">
        <v>43</v>
      </c>
      <c r="C2223" s="13" t="s">
        <v>5</v>
      </c>
      <c r="D2223" s="13" t="s">
        <v>1570</v>
      </c>
      <c r="E2223" s="16" t="n">
        <v>607.73</v>
      </c>
      <c r="F2223" s="7" t="n">
        <v>1</v>
      </c>
      <c r="G2223" s="5" t="n">
        <v>610</v>
      </c>
    </row>
    <row r="2224" customFormat="false" ht="15" hidden="false" customHeight="false" outlineLevel="0" collapsed="false">
      <c r="A2224" s="13" t="s">
        <v>42</v>
      </c>
      <c r="B2224" s="13" t="s">
        <v>43</v>
      </c>
      <c r="C2224" s="13" t="s">
        <v>5</v>
      </c>
      <c r="D2224" s="13" t="s">
        <v>1112</v>
      </c>
      <c r="E2224" s="16" t="n">
        <v>606.9</v>
      </c>
      <c r="F2224" s="7" t="n">
        <v>1</v>
      </c>
      <c r="G2224" s="5" t="n">
        <v>610</v>
      </c>
    </row>
    <row r="2225" customFormat="false" ht="15" hidden="false" customHeight="false" outlineLevel="0" collapsed="false">
      <c r="A2225" s="13" t="s">
        <v>329</v>
      </c>
      <c r="B2225" s="13" t="s">
        <v>43</v>
      </c>
      <c r="C2225" s="13" t="s">
        <v>5</v>
      </c>
      <c r="D2225" s="13" t="s">
        <v>330</v>
      </c>
      <c r="E2225" s="16" t="n">
        <v>607.99</v>
      </c>
      <c r="F2225" s="7" t="n">
        <v>1</v>
      </c>
      <c r="G2225" s="5" t="n">
        <v>610</v>
      </c>
    </row>
    <row r="2226" customFormat="false" ht="15" hidden="false" customHeight="false" outlineLevel="0" collapsed="false">
      <c r="A2226" s="13" t="s">
        <v>42</v>
      </c>
      <c r="B2226" s="13" t="s">
        <v>43</v>
      </c>
      <c r="C2226" s="13" t="s">
        <v>5</v>
      </c>
      <c r="D2226" s="13" t="s">
        <v>1571</v>
      </c>
      <c r="E2226" s="16" t="n">
        <v>607.74</v>
      </c>
      <c r="F2226" s="7" t="n">
        <v>1</v>
      </c>
      <c r="G2226" s="5" t="n">
        <v>610</v>
      </c>
    </row>
    <row r="2227" customFormat="false" ht="15" hidden="false" customHeight="false" outlineLevel="0" collapsed="false">
      <c r="A2227" s="13" t="s">
        <v>153</v>
      </c>
      <c r="B2227" s="13" t="s">
        <v>43</v>
      </c>
      <c r="C2227" s="13" t="s">
        <v>5</v>
      </c>
      <c r="D2227" s="13" t="s">
        <v>483</v>
      </c>
      <c r="E2227" s="16" t="n">
        <v>306</v>
      </c>
      <c r="F2227" s="7" t="n">
        <v>2</v>
      </c>
      <c r="G2227" s="5" t="n">
        <v>610</v>
      </c>
    </row>
    <row r="2228" customFormat="false" ht="15" hidden="false" customHeight="false" outlineLevel="0" collapsed="false">
      <c r="A2228" s="13" t="s">
        <v>61</v>
      </c>
      <c r="B2228" s="13" t="s">
        <v>43</v>
      </c>
      <c r="C2228" s="13" t="s">
        <v>5</v>
      </c>
      <c r="D2228" s="13" t="s">
        <v>1572</v>
      </c>
      <c r="E2228" s="16" t="n">
        <v>611.61</v>
      </c>
      <c r="F2228" s="7" t="n">
        <v>1</v>
      </c>
      <c r="G2228" s="5" t="n">
        <v>610</v>
      </c>
    </row>
    <row r="2229" customFormat="false" ht="15" hidden="false" customHeight="false" outlineLevel="0" collapsed="false">
      <c r="A2229" s="13" t="s">
        <v>61</v>
      </c>
      <c r="B2229" s="13" t="s">
        <v>43</v>
      </c>
      <c r="C2229" s="13" t="s">
        <v>5</v>
      </c>
      <c r="D2229" s="13" t="s">
        <v>840</v>
      </c>
      <c r="E2229" s="16" t="n">
        <v>611.61</v>
      </c>
      <c r="F2229" s="7" t="n">
        <v>1</v>
      </c>
      <c r="G2229" s="5" t="n">
        <v>610</v>
      </c>
    </row>
    <row r="2230" customFormat="false" ht="15" hidden="false" customHeight="false" outlineLevel="0" collapsed="false">
      <c r="A2230" s="13" t="s">
        <v>126</v>
      </c>
      <c r="B2230" s="13" t="s">
        <v>43</v>
      </c>
      <c r="C2230" s="13" t="s">
        <v>4</v>
      </c>
      <c r="D2230" s="13" t="s">
        <v>1573</v>
      </c>
      <c r="E2230" s="16" t="n">
        <v>203.85</v>
      </c>
      <c r="F2230" s="7" t="n">
        <v>2</v>
      </c>
      <c r="G2230" s="5" t="n">
        <v>610</v>
      </c>
    </row>
    <row r="2231" customFormat="false" ht="15" hidden="false" customHeight="false" outlineLevel="0" collapsed="false">
      <c r="A2231" s="13" t="s">
        <v>153</v>
      </c>
      <c r="B2231" s="13" t="s">
        <v>43</v>
      </c>
      <c r="C2231" s="13" t="s">
        <v>4</v>
      </c>
      <c r="D2231" s="13" t="s">
        <v>1574</v>
      </c>
      <c r="E2231" s="16" t="n">
        <v>607.24</v>
      </c>
      <c r="F2231" s="7" t="n">
        <v>1</v>
      </c>
      <c r="G2231" s="5" t="n">
        <v>610</v>
      </c>
    </row>
    <row r="2232" customFormat="false" ht="15" hidden="false" customHeight="false" outlineLevel="0" collapsed="false">
      <c r="A2232" s="13" t="s">
        <v>312</v>
      </c>
      <c r="B2232" s="13" t="s">
        <v>43</v>
      </c>
      <c r="C2232" s="13" t="s">
        <v>3</v>
      </c>
      <c r="D2232" s="13" t="s">
        <v>1575</v>
      </c>
      <c r="E2232" s="16" t="n">
        <v>153.2</v>
      </c>
      <c r="F2232" s="7" t="n">
        <v>2</v>
      </c>
      <c r="G2232" s="5" t="n">
        <v>610</v>
      </c>
    </row>
    <row r="2233" customFormat="false" ht="15" hidden="false" customHeight="false" outlineLevel="0" collapsed="false">
      <c r="A2233" s="13" t="s">
        <v>204</v>
      </c>
      <c r="B2233" s="13" t="s">
        <v>43</v>
      </c>
      <c r="C2233" s="13" t="s">
        <v>4</v>
      </c>
      <c r="D2233" s="13" t="s">
        <v>1576</v>
      </c>
      <c r="E2233" s="16" t="n">
        <v>202.32</v>
      </c>
      <c r="F2233" s="7" t="n">
        <v>2</v>
      </c>
      <c r="G2233" s="5" t="n">
        <v>610</v>
      </c>
    </row>
    <row r="2234" customFormat="false" ht="15" hidden="false" customHeight="false" outlineLevel="0" collapsed="false">
      <c r="A2234" s="13" t="s">
        <v>42</v>
      </c>
      <c r="B2234" s="13" t="s">
        <v>43</v>
      </c>
      <c r="C2234" s="13" t="s">
        <v>4</v>
      </c>
      <c r="D2234" s="13" t="s">
        <v>427</v>
      </c>
      <c r="E2234" s="16" t="n">
        <v>610.06</v>
      </c>
      <c r="F2234" s="7" t="n">
        <v>1</v>
      </c>
      <c r="G2234" s="5" t="n">
        <v>610</v>
      </c>
    </row>
    <row r="2235" customFormat="false" ht="15" hidden="false" customHeight="false" outlineLevel="0" collapsed="false">
      <c r="A2235" s="13" t="s">
        <v>50</v>
      </c>
      <c r="B2235" s="13" t="s">
        <v>43</v>
      </c>
      <c r="C2235" s="13" t="s">
        <v>5</v>
      </c>
      <c r="D2235" s="13" t="s">
        <v>1577</v>
      </c>
      <c r="E2235" s="16" t="n">
        <v>304</v>
      </c>
      <c r="F2235" s="7" t="n">
        <v>2</v>
      </c>
      <c r="G2235" s="5" t="n">
        <v>610</v>
      </c>
    </row>
    <row r="2236" customFormat="false" ht="15" hidden="false" customHeight="false" outlineLevel="0" collapsed="false">
      <c r="A2236" s="13" t="s">
        <v>61</v>
      </c>
      <c r="B2236" s="13" t="s">
        <v>43</v>
      </c>
      <c r="C2236" s="13" t="s">
        <v>5</v>
      </c>
      <c r="D2236" s="13" t="s">
        <v>840</v>
      </c>
      <c r="E2236" s="16" t="n">
        <v>609.29</v>
      </c>
      <c r="F2236" s="7" t="n">
        <v>1</v>
      </c>
      <c r="G2236" s="5" t="n">
        <v>610</v>
      </c>
    </row>
    <row r="2237" customFormat="false" ht="15" hidden="false" customHeight="false" outlineLevel="0" collapsed="false">
      <c r="A2237" s="13" t="s">
        <v>365</v>
      </c>
      <c r="B2237" s="13" t="s">
        <v>43</v>
      </c>
      <c r="C2237" s="13" t="s">
        <v>3</v>
      </c>
      <c r="D2237" s="13" t="s">
        <v>1578</v>
      </c>
      <c r="E2237" s="16" t="n">
        <v>87.29</v>
      </c>
      <c r="F2237" s="7" t="n">
        <v>5</v>
      </c>
      <c r="G2237" s="5" t="n">
        <v>610</v>
      </c>
    </row>
    <row r="2238" customFormat="false" ht="15" hidden="false" customHeight="false" outlineLevel="0" collapsed="false">
      <c r="A2238" s="13" t="s">
        <v>103</v>
      </c>
      <c r="B2238" s="13" t="s">
        <v>43</v>
      </c>
      <c r="C2238" s="13" t="s">
        <v>5</v>
      </c>
      <c r="D2238" s="13" t="s">
        <v>456</v>
      </c>
      <c r="E2238" s="16" t="n">
        <v>201.946666666667</v>
      </c>
      <c r="F2238" s="7" t="n">
        <v>2</v>
      </c>
      <c r="G2238" s="5" t="n">
        <v>610</v>
      </c>
    </row>
    <row r="2239" customFormat="false" ht="15" hidden="false" customHeight="false" outlineLevel="0" collapsed="false">
      <c r="A2239" s="13" t="s">
        <v>92</v>
      </c>
      <c r="B2239" s="13" t="s">
        <v>43</v>
      </c>
      <c r="C2239" s="13" t="s">
        <v>5</v>
      </c>
      <c r="D2239" s="13" t="s">
        <v>1166</v>
      </c>
      <c r="E2239" s="16" t="n">
        <v>606</v>
      </c>
      <c r="F2239" s="7" t="n">
        <v>1</v>
      </c>
      <c r="G2239" s="5" t="n">
        <v>610</v>
      </c>
    </row>
    <row r="2240" customFormat="false" ht="15" hidden="false" customHeight="false" outlineLevel="0" collapsed="false">
      <c r="A2240" s="13" t="s">
        <v>124</v>
      </c>
      <c r="B2240" s="13" t="s">
        <v>43</v>
      </c>
      <c r="C2240" s="13" t="s">
        <v>5</v>
      </c>
      <c r="D2240" s="13" t="s">
        <v>1579</v>
      </c>
      <c r="E2240" s="16" t="n">
        <v>606.39</v>
      </c>
      <c r="F2240" s="7" t="n">
        <v>1</v>
      </c>
      <c r="G2240" s="5" t="n">
        <v>610</v>
      </c>
    </row>
    <row r="2241" customFormat="false" ht="15" hidden="false" customHeight="false" outlineLevel="0" collapsed="false">
      <c r="A2241" s="13" t="s">
        <v>329</v>
      </c>
      <c r="B2241" s="13" t="s">
        <v>43</v>
      </c>
      <c r="C2241" s="13" t="s">
        <v>4</v>
      </c>
      <c r="D2241" s="13" t="s">
        <v>1580</v>
      </c>
      <c r="E2241" s="16" t="n">
        <v>605.44</v>
      </c>
      <c r="F2241" s="7" t="n">
        <v>1</v>
      </c>
      <c r="G2241" s="5" t="n">
        <v>610</v>
      </c>
    </row>
    <row r="2242" customFormat="false" ht="15" hidden="false" customHeight="false" outlineLevel="0" collapsed="false">
      <c r="A2242" s="13" t="s">
        <v>107</v>
      </c>
      <c r="B2242" s="13" t="s">
        <v>43</v>
      </c>
      <c r="C2242" s="13" t="s">
        <v>5</v>
      </c>
      <c r="D2242" s="13" t="s">
        <v>1581</v>
      </c>
      <c r="E2242" s="16" t="n">
        <v>153.685</v>
      </c>
      <c r="F2242" s="7" t="n">
        <v>2</v>
      </c>
      <c r="G2242" s="5" t="n">
        <v>610</v>
      </c>
    </row>
    <row r="2243" customFormat="false" ht="15" hidden="false" customHeight="false" outlineLevel="0" collapsed="false">
      <c r="A2243" s="13" t="s">
        <v>50</v>
      </c>
      <c r="B2243" s="13" t="s">
        <v>43</v>
      </c>
      <c r="C2243" s="13" t="s">
        <v>4</v>
      </c>
      <c r="D2243" s="13" t="s">
        <v>1582</v>
      </c>
      <c r="E2243" s="16" t="n">
        <v>606.32</v>
      </c>
      <c r="F2243" s="7" t="n">
        <v>1</v>
      </c>
      <c r="G2243" s="5" t="n">
        <v>610</v>
      </c>
    </row>
    <row r="2244" customFormat="false" ht="15" hidden="false" customHeight="false" outlineLevel="0" collapsed="false">
      <c r="A2244" s="13" t="s">
        <v>45</v>
      </c>
      <c r="B2244" s="13" t="s">
        <v>43</v>
      </c>
      <c r="C2244" s="13" t="s">
        <v>4</v>
      </c>
      <c r="D2244" s="13" t="s">
        <v>1583</v>
      </c>
      <c r="E2244" s="16" t="n">
        <v>607.53</v>
      </c>
      <c r="F2244" s="7" t="n">
        <v>1</v>
      </c>
      <c r="G2244" s="5" t="n">
        <v>610</v>
      </c>
    </row>
    <row r="2245" customFormat="false" ht="15" hidden="false" customHeight="false" outlineLevel="0" collapsed="false">
      <c r="A2245" s="13" t="s">
        <v>229</v>
      </c>
      <c r="B2245" s="13" t="s">
        <v>43</v>
      </c>
      <c r="C2245" s="13" t="s">
        <v>4</v>
      </c>
      <c r="D2245" s="13" t="s">
        <v>1584</v>
      </c>
      <c r="E2245" s="16" t="n">
        <v>307.3</v>
      </c>
      <c r="F2245" s="7" t="n">
        <v>2</v>
      </c>
      <c r="G2245" s="5" t="n">
        <v>610</v>
      </c>
    </row>
    <row r="2246" customFormat="false" ht="15" hidden="false" customHeight="false" outlineLevel="0" collapsed="false">
      <c r="A2246" s="13" t="s">
        <v>61</v>
      </c>
      <c r="B2246" s="13" t="s">
        <v>43</v>
      </c>
      <c r="C2246" s="13" t="s">
        <v>5</v>
      </c>
      <c r="D2246" s="13" t="s">
        <v>505</v>
      </c>
      <c r="E2246" s="16" t="n">
        <v>611</v>
      </c>
      <c r="F2246" s="7" t="n">
        <v>1</v>
      </c>
      <c r="G2246" s="5" t="n">
        <v>610</v>
      </c>
    </row>
    <row r="2247" customFormat="false" ht="15" hidden="false" customHeight="false" outlineLevel="0" collapsed="false">
      <c r="A2247" s="13" t="s">
        <v>315</v>
      </c>
      <c r="B2247" s="13" t="s">
        <v>43</v>
      </c>
      <c r="C2247" s="13" t="s">
        <v>5</v>
      </c>
      <c r="D2247" s="13" t="s">
        <v>959</v>
      </c>
      <c r="E2247" s="16" t="n">
        <v>599.85</v>
      </c>
      <c r="F2247" s="7" t="n">
        <v>1</v>
      </c>
      <c r="G2247" s="5" t="n">
        <v>600</v>
      </c>
    </row>
    <row r="2248" customFormat="false" ht="15" hidden="false" customHeight="false" outlineLevel="0" collapsed="false">
      <c r="A2248" s="13" t="s">
        <v>61</v>
      </c>
      <c r="B2248" s="13" t="s">
        <v>43</v>
      </c>
      <c r="C2248" s="13" t="s">
        <v>5</v>
      </c>
      <c r="D2248" s="13" t="s">
        <v>1585</v>
      </c>
      <c r="E2248" s="16" t="n">
        <v>599.14</v>
      </c>
      <c r="F2248" s="7" t="n">
        <v>1</v>
      </c>
      <c r="G2248" s="5" t="n">
        <v>600</v>
      </c>
    </row>
    <row r="2249" customFormat="false" ht="15" hidden="false" customHeight="false" outlineLevel="0" collapsed="false">
      <c r="A2249" s="13" t="s">
        <v>329</v>
      </c>
      <c r="B2249" s="13" t="s">
        <v>43</v>
      </c>
      <c r="C2249" s="13" t="s">
        <v>5</v>
      </c>
      <c r="D2249" s="13" t="s">
        <v>1586</v>
      </c>
      <c r="E2249" s="16" t="n">
        <v>598.85</v>
      </c>
      <c r="F2249" s="7" t="n">
        <v>1</v>
      </c>
      <c r="G2249" s="5" t="n">
        <v>600</v>
      </c>
    </row>
    <row r="2250" customFormat="false" ht="15" hidden="false" customHeight="false" outlineLevel="0" collapsed="false">
      <c r="A2250" s="13" t="s">
        <v>121</v>
      </c>
      <c r="B2250" s="13" t="s">
        <v>43</v>
      </c>
      <c r="C2250" s="13" t="s">
        <v>5</v>
      </c>
      <c r="D2250" s="13" t="s">
        <v>1587</v>
      </c>
      <c r="E2250" s="16" t="n">
        <v>150.4025</v>
      </c>
      <c r="F2250" s="7" t="n">
        <v>2</v>
      </c>
      <c r="G2250" s="5" t="n">
        <v>600</v>
      </c>
    </row>
    <row r="2251" customFormat="false" ht="15" hidden="false" customHeight="false" outlineLevel="0" collapsed="false">
      <c r="A2251" s="13" t="s">
        <v>124</v>
      </c>
      <c r="B2251" s="13" t="s">
        <v>43</v>
      </c>
      <c r="C2251" s="13" t="s">
        <v>5</v>
      </c>
      <c r="D2251" s="13" t="s">
        <v>1588</v>
      </c>
      <c r="E2251" s="16" t="n">
        <v>599.99</v>
      </c>
      <c r="F2251" s="7" t="n">
        <v>1</v>
      </c>
      <c r="G2251" s="5" t="n">
        <v>600</v>
      </c>
    </row>
    <row r="2252" customFormat="false" ht="15" hidden="false" customHeight="false" outlineLevel="0" collapsed="false">
      <c r="A2252" s="13" t="s">
        <v>153</v>
      </c>
      <c r="B2252" s="13" t="s">
        <v>43</v>
      </c>
      <c r="C2252" s="13" t="s">
        <v>5</v>
      </c>
      <c r="D2252" s="13" t="s">
        <v>676</v>
      </c>
      <c r="E2252" s="16" t="n">
        <v>602.9</v>
      </c>
      <c r="F2252" s="7" t="n">
        <v>1</v>
      </c>
      <c r="G2252" s="5" t="n">
        <v>600</v>
      </c>
    </row>
    <row r="2253" customFormat="false" ht="15" hidden="false" customHeight="false" outlineLevel="0" collapsed="false">
      <c r="A2253" s="13" t="s">
        <v>61</v>
      </c>
      <c r="B2253" s="13" t="s">
        <v>43</v>
      </c>
      <c r="C2253" s="13" t="s">
        <v>5</v>
      </c>
      <c r="D2253" s="13" t="s">
        <v>860</v>
      </c>
      <c r="E2253" s="16" t="n">
        <v>599.82</v>
      </c>
      <c r="F2253" s="7" t="n">
        <v>1</v>
      </c>
      <c r="G2253" s="5" t="n">
        <v>600</v>
      </c>
    </row>
    <row r="2254" customFormat="false" ht="15" hidden="false" customHeight="false" outlineLevel="0" collapsed="false">
      <c r="A2254" s="13" t="s">
        <v>179</v>
      </c>
      <c r="B2254" s="13" t="s">
        <v>180</v>
      </c>
      <c r="C2254" s="13" t="s">
        <v>3</v>
      </c>
      <c r="D2254" s="13" t="s">
        <v>1589</v>
      </c>
      <c r="E2254" s="16" t="n">
        <v>299.99</v>
      </c>
      <c r="F2254" s="7" t="n">
        <v>2</v>
      </c>
      <c r="G2254" s="5" t="n">
        <v>600</v>
      </c>
    </row>
    <row r="2255" customFormat="false" ht="15" hidden="false" customHeight="false" outlineLevel="0" collapsed="false">
      <c r="A2255" s="13" t="s">
        <v>179</v>
      </c>
      <c r="B2255" s="13" t="s">
        <v>85</v>
      </c>
      <c r="C2255" s="13" t="s">
        <v>3</v>
      </c>
      <c r="D2255" s="13" t="s">
        <v>1590</v>
      </c>
      <c r="E2255" s="16" t="n">
        <v>99.99</v>
      </c>
      <c r="F2255" s="7" t="n">
        <v>5</v>
      </c>
      <c r="G2255" s="5" t="n">
        <v>600</v>
      </c>
    </row>
    <row r="2256" customFormat="false" ht="15" hidden="false" customHeight="false" outlineLevel="0" collapsed="false">
      <c r="A2256" s="13" t="s">
        <v>195</v>
      </c>
      <c r="B2256" s="13" t="s">
        <v>43</v>
      </c>
      <c r="C2256" s="13" t="s">
        <v>5</v>
      </c>
      <c r="D2256" s="13" t="s">
        <v>196</v>
      </c>
      <c r="E2256" s="16" t="n">
        <v>595.96</v>
      </c>
      <c r="F2256" s="7" t="n">
        <v>1</v>
      </c>
      <c r="G2256" s="5" t="n">
        <v>600</v>
      </c>
    </row>
    <row r="2257" customFormat="false" ht="15" hidden="false" customHeight="false" outlineLevel="0" collapsed="false">
      <c r="A2257" s="13" t="s">
        <v>107</v>
      </c>
      <c r="B2257" s="13" t="s">
        <v>43</v>
      </c>
      <c r="C2257" s="13" t="s">
        <v>5</v>
      </c>
      <c r="D2257" s="13" t="s">
        <v>791</v>
      </c>
      <c r="E2257" s="16" t="n">
        <v>199.11</v>
      </c>
      <c r="F2257" s="7" t="n">
        <v>2</v>
      </c>
      <c r="G2257" s="5" t="n">
        <v>600</v>
      </c>
    </row>
    <row r="2258" customFormat="false" ht="15" hidden="false" customHeight="false" outlineLevel="0" collapsed="false">
      <c r="A2258" s="13" t="s">
        <v>45</v>
      </c>
      <c r="B2258" s="13" t="s">
        <v>43</v>
      </c>
      <c r="C2258" s="13" t="s">
        <v>5</v>
      </c>
      <c r="D2258" s="13" t="s">
        <v>870</v>
      </c>
      <c r="E2258" s="16" t="n">
        <v>598</v>
      </c>
      <c r="F2258" s="7" t="n">
        <v>1</v>
      </c>
      <c r="G2258" s="5" t="n">
        <v>600</v>
      </c>
    </row>
    <row r="2259" customFormat="false" ht="15" hidden="false" customHeight="false" outlineLevel="0" collapsed="false">
      <c r="A2259" s="13" t="s">
        <v>61</v>
      </c>
      <c r="B2259" s="13" t="s">
        <v>43</v>
      </c>
      <c r="C2259" s="13" t="s">
        <v>5</v>
      </c>
      <c r="D2259" s="13" t="s">
        <v>1591</v>
      </c>
      <c r="E2259" s="16" t="n">
        <v>298.93</v>
      </c>
      <c r="F2259" s="7" t="n">
        <v>2</v>
      </c>
      <c r="G2259" s="5" t="n">
        <v>600</v>
      </c>
    </row>
    <row r="2260" customFormat="false" ht="15" hidden="false" customHeight="false" outlineLevel="0" collapsed="false">
      <c r="A2260" s="13" t="s">
        <v>50</v>
      </c>
      <c r="B2260" s="13" t="s">
        <v>43</v>
      </c>
      <c r="C2260" s="13" t="s">
        <v>5</v>
      </c>
      <c r="D2260" s="13" t="s">
        <v>1217</v>
      </c>
      <c r="E2260" s="16" t="n">
        <v>598.85</v>
      </c>
      <c r="F2260" s="7" t="n">
        <v>1</v>
      </c>
      <c r="G2260" s="5" t="n">
        <v>600</v>
      </c>
    </row>
    <row r="2261" customFormat="false" ht="15" hidden="false" customHeight="false" outlineLevel="0" collapsed="false">
      <c r="A2261" s="13" t="s">
        <v>50</v>
      </c>
      <c r="B2261" s="13" t="s">
        <v>43</v>
      </c>
      <c r="C2261" s="13" t="s">
        <v>5</v>
      </c>
      <c r="D2261" s="13" t="s">
        <v>189</v>
      </c>
      <c r="E2261" s="16" t="n">
        <v>598.85</v>
      </c>
      <c r="F2261" s="7" t="n">
        <v>1</v>
      </c>
      <c r="G2261" s="5" t="n">
        <v>600</v>
      </c>
    </row>
    <row r="2262" customFormat="false" ht="15" hidden="false" customHeight="false" outlineLevel="0" collapsed="false">
      <c r="A2262" s="13" t="s">
        <v>50</v>
      </c>
      <c r="B2262" s="13" t="s">
        <v>43</v>
      </c>
      <c r="C2262" s="13" t="s">
        <v>4</v>
      </c>
      <c r="D2262" s="13" t="s">
        <v>756</v>
      </c>
      <c r="E2262" s="16" t="n">
        <v>599</v>
      </c>
      <c r="F2262" s="7" t="n">
        <v>1</v>
      </c>
      <c r="G2262" s="5" t="n">
        <v>600</v>
      </c>
    </row>
    <row r="2263" customFormat="false" ht="15" hidden="false" customHeight="false" outlineLevel="0" collapsed="false">
      <c r="A2263" s="13" t="s">
        <v>179</v>
      </c>
      <c r="B2263" s="13" t="s">
        <v>180</v>
      </c>
      <c r="C2263" s="13" t="s">
        <v>3</v>
      </c>
      <c r="D2263" s="13" t="s">
        <v>1592</v>
      </c>
      <c r="E2263" s="16" t="n">
        <v>149</v>
      </c>
      <c r="F2263" s="7" t="n">
        <v>2</v>
      </c>
      <c r="G2263" s="5" t="n">
        <v>600</v>
      </c>
    </row>
    <row r="2264" customFormat="false" ht="15" hidden="false" customHeight="false" outlineLevel="0" collapsed="false">
      <c r="A2264" s="13" t="s">
        <v>182</v>
      </c>
      <c r="B2264" s="13" t="s">
        <v>85</v>
      </c>
      <c r="C2264" s="13" t="s">
        <v>3</v>
      </c>
      <c r="D2264" s="13" t="s">
        <v>1593</v>
      </c>
      <c r="E2264" s="16" t="n">
        <v>100.823333333333</v>
      </c>
      <c r="F2264" s="7" t="n">
        <v>5</v>
      </c>
      <c r="G2264" s="5" t="n">
        <v>600</v>
      </c>
    </row>
    <row r="2265" customFormat="false" ht="15" hidden="false" customHeight="false" outlineLevel="0" collapsed="false">
      <c r="A2265" s="13" t="s">
        <v>45</v>
      </c>
      <c r="B2265" s="13" t="s">
        <v>43</v>
      </c>
      <c r="C2265" s="13" t="s">
        <v>4</v>
      </c>
      <c r="D2265" s="13" t="s">
        <v>1594</v>
      </c>
      <c r="E2265" s="16" t="n">
        <v>599.43</v>
      </c>
      <c r="F2265" s="7" t="n">
        <v>1</v>
      </c>
      <c r="G2265" s="5" t="n">
        <v>600</v>
      </c>
    </row>
    <row r="2266" customFormat="false" ht="15" hidden="false" customHeight="false" outlineLevel="0" collapsed="false">
      <c r="A2266" s="13" t="s">
        <v>302</v>
      </c>
      <c r="B2266" s="13" t="s">
        <v>43</v>
      </c>
      <c r="C2266" s="13" t="s">
        <v>3</v>
      </c>
      <c r="D2266" s="13" t="s">
        <v>1595</v>
      </c>
      <c r="E2266" s="16" t="n">
        <v>586.01</v>
      </c>
      <c r="F2266" s="7" t="n">
        <v>1</v>
      </c>
      <c r="G2266" s="5" t="n">
        <v>590</v>
      </c>
    </row>
    <row r="2267" customFormat="false" ht="15" hidden="false" customHeight="false" outlineLevel="0" collapsed="false">
      <c r="A2267" s="13" t="s">
        <v>191</v>
      </c>
      <c r="B2267" s="13" t="s">
        <v>85</v>
      </c>
      <c r="C2267" s="13" t="s">
        <v>3</v>
      </c>
      <c r="D2267" s="13" t="s">
        <v>1596</v>
      </c>
      <c r="E2267" s="16" t="n">
        <v>19</v>
      </c>
      <c r="F2267" s="7" t="n">
        <v>30</v>
      </c>
      <c r="G2267" s="5" t="n">
        <v>590</v>
      </c>
    </row>
    <row r="2268" customFormat="false" ht="15" hidden="false" customHeight="false" outlineLevel="0" collapsed="false">
      <c r="A2268" s="13" t="s">
        <v>50</v>
      </c>
      <c r="B2268" s="13" t="s">
        <v>43</v>
      </c>
      <c r="C2268" s="13" t="s">
        <v>4</v>
      </c>
      <c r="D2268" s="13" t="s">
        <v>1178</v>
      </c>
      <c r="E2268" s="16" t="n">
        <v>589.03</v>
      </c>
      <c r="F2268" s="7" t="n">
        <v>1</v>
      </c>
      <c r="G2268" s="5" t="n">
        <v>590</v>
      </c>
    </row>
    <row r="2269" customFormat="false" ht="15" hidden="false" customHeight="false" outlineLevel="0" collapsed="false">
      <c r="A2269" s="13" t="s">
        <v>79</v>
      </c>
      <c r="B2269" s="13" t="s">
        <v>43</v>
      </c>
      <c r="C2269" s="13" t="s">
        <v>4</v>
      </c>
      <c r="D2269" s="13" t="s">
        <v>1180</v>
      </c>
      <c r="E2269" s="16" t="n">
        <v>591.11</v>
      </c>
      <c r="F2269" s="7" t="n">
        <v>1</v>
      </c>
      <c r="G2269" s="5" t="n">
        <v>590</v>
      </c>
    </row>
    <row r="2270" customFormat="false" ht="15" hidden="false" customHeight="false" outlineLevel="0" collapsed="false">
      <c r="A2270" s="13" t="s">
        <v>92</v>
      </c>
      <c r="B2270" s="13" t="s">
        <v>43</v>
      </c>
      <c r="C2270" s="13" t="s">
        <v>4</v>
      </c>
      <c r="D2270" s="13" t="s">
        <v>720</v>
      </c>
      <c r="E2270" s="16" t="n">
        <v>587.49</v>
      </c>
      <c r="F2270" s="7" t="n">
        <v>1</v>
      </c>
      <c r="G2270" s="5" t="n">
        <v>590</v>
      </c>
    </row>
    <row r="2271" customFormat="false" ht="15" hidden="false" customHeight="false" outlineLevel="0" collapsed="false">
      <c r="A2271" s="13" t="s">
        <v>45</v>
      </c>
      <c r="B2271" s="13" t="s">
        <v>43</v>
      </c>
      <c r="C2271" s="13" t="s">
        <v>4</v>
      </c>
      <c r="D2271" s="13" t="s">
        <v>1597</v>
      </c>
      <c r="E2271" s="16" t="n">
        <v>592.54</v>
      </c>
      <c r="F2271" s="7" t="n">
        <v>1</v>
      </c>
      <c r="G2271" s="5" t="n">
        <v>590</v>
      </c>
    </row>
    <row r="2272" customFormat="false" ht="15" hidden="false" customHeight="false" outlineLevel="0" collapsed="false">
      <c r="A2272" s="13" t="s">
        <v>42</v>
      </c>
      <c r="B2272" s="13" t="s">
        <v>43</v>
      </c>
      <c r="C2272" s="13" t="s">
        <v>4</v>
      </c>
      <c r="D2272" s="13" t="s">
        <v>1598</v>
      </c>
      <c r="E2272" s="16" t="n">
        <v>587</v>
      </c>
      <c r="F2272" s="7" t="n">
        <v>1</v>
      </c>
      <c r="G2272" s="5" t="n">
        <v>590</v>
      </c>
    </row>
    <row r="2273" customFormat="false" ht="15" hidden="false" customHeight="false" outlineLevel="0" collapsed="false">
      <c r="A2273" s="13" t="s">
        <v>50</v>
      </c>
      <c r="B2273" s="13" t="s">
        <v>43</v>
      </c>
      <c r="C2273" s="13" t="s">
        <v>5</v>
      </c>
      <c r="D2273" s="13" t="s">
        <v>1599</v>
      </c>
      <c r="E2273" s="16" t="n">
        <v>589</v>
      </c>
      <c r="F2273" s="7" t="n">
        <v>1</v>
      </c>
      <c r="G2273" s="5" t="n">
        <v>590</v>
      </c>
    </row>
    <row r="2274" customFormat="false" ht="15" hidden="false" customHeight="false" outlineLevel="0" collapsed="false">
      <c r="A2274" s="13" t="s">
        <v>42</v>
      </c>
      <c r="B2274" s="13" t="s">
        <v>43</v>
      </c>
      <c r="C2274" s="13" t="s">
        <v>5</v>
      </c>
      <c r="D2274" s="13" t="s">
        <v>47</v>
      </c>
      <c r="E2274" s="16" t="n">
        <v>592.99</v>
      </c>
      <c r="F2274" s="7" t="n">
        <v>1</v>
      </c>
      <c r="G2274" s="5" t="n">
        <v>590</v>
      </c>
    </row>
    <row r="2275" customFormat="false" ht="15" hidden="false" customHeight="false" outlineLevel="0" collapsed="false">
      <c r="A2275" s="13" t="s">
        <v>153</v>
      </c>
      <c r="B2275" s="13" t="s">
        <v>43</v>
      </c>
      <c r="C2275" s="13" t="s">
        <v>5</v>
      </c>
      <c r="D2275" s="13" t="s">
        <v>613</v>
      </c>
      <c r="E2275" s="16" t="n">
        <v>591.94</v>
      </c>
      <c r="F2275" s="7" t="n">
        <v>1</v>
      </c>
      <c r="G2275" s="5" t="n">
        <v>590</v>
      </c>
    </row>
    <row r="2276" customFormat="false" ht="15" hidden="false" customHeight="false" outlineLevel="0" collapsed="false">
      <c r="A2276" s="13" t="s">
        <v>153</v>
      </c>
      <c r="B2276" s="13" t="s">
        <v>43</v>
      </c>
      <c r="C2276" s="13" t="s">
        <v>5</v>
      </c>
      <c r="D2276" s="13" t="s">
        <v>993</v>
      </c>
      <c r="E2276" s="16" t="n">
        <v>591.14</v>
      </c>
      <c r="F2276" s="7" t="n">
        <v>1</v>
      </c>
      <c r="G2276" s="5" t="n">
        <v>590</v>
      </c>
    </row>
    <row r="2277" customFormat="false" ht="15" hidden="false" customHeight="false" outlineLevel="0" collapsed="false">
      <c r="A2277" s="13" t="s">
        <v>92</v>
      </c>
      <c r="B2277" s="13" t="s">
        <v>43</v>
      </c>
      <c r="C2277" s="13" t="s">
        <v>5</v>
      </c>
      <c r="D2277" s="13" t="s">
        <v>1600</v>
      </c>
      <c r="E2277" s="16" t="n">
        <v>590.99</v>
      </c>
      <c r="F2277" s="7" t="n">
        <v>1</v>
      </c>
      <c r="G2277" s="5" t="n">
        <v>590</v>
      </c>
    </row>
    <row r="2278" customFormat="false" ht="15" hidden="false" customHeight="false" outlineLevel="0" collapsed="false">
      <c r="A2278" s="13" t="s">
        <v>54</v>
      </c>
      <c r="B2278" s="13" t="s">
        <v>43</v>
      </c>
      <c r="C2278" s="13" t="s">
        <v>5</v>
      </c>
      <c r="D2278" s="13" t="s">
        <v>90</v>
      </c>
      <c r="E2278" s="16" t="n">
        <v>295.35</v>
      </c>
      <c r="F2278" s="7" t="n">
        <v>2</v>
      </c>
      <c r="G2278" s="5" t="n">
        <v>590</v>
      </c>
    </row>
    <row r="2279" customFormat="false" ht="15" hidden="false" customHeight="false" outlineLevel="0" collapsed="false">
      <c r="A2279" s="13" t="s">
        <v>42</v>
      </c>
      <c r="B2279" s="13" t="s">
        <v>43</v>
      </c>
      <c r="C2279" s="13" t="s">
        <v>5</v>
      </c>
      <c r="D2279" s="13" t="s">
        <v>1601</v>
      </c>
      <c r="E2279" s="16" t="n">
        <v>590.59</v>
      </c>
      <c r="F2279" s="7" t="n">
        <v>1</v>
      </c>
      <c r="G2279" s="5" t="n">
        <v>590</v>
      </c>
    </row>
    <row r="2280" customFormat="false" ht="15" hidden="false" customHeight="false" outlineLevel="0" collapsed="false">
      <c r="A2280" s="13" t="s">
        <v>54</v>
      </c>
      <c r="B2280" s="13" t="s">
        <v>43</v>
      </c>
      <c r="C2280" s="13" t="s">
        <v>5</v>
      </c>
      <c r="D2280" s="13" t="s">
        <v>1602</v>
      </c>
      <c r="E2280" s="16" t="n">
        <v>294.74</v>
      </c>
      <c r="F2280" s="7" t="n">
        <v>2</v>
      </c>
      <c r="G2280" s="5" t="n">
        <v>590</v>
      </c>
    </row>
    <row r="2281" customFormat="false" ht="15" hidden="false" customHeight="false" outlineLevel="0" collapsed="false">
      <c r="A2281" s="13" t="s">
        <v>153</v>
      </c>
      <c r="B2281" s="13" t="s">
        <v>43</v>
      </c>
      <c r="C2281" s="13" t="s">
        <v>4</v>
      </c>
      <c r="D2281" s="13" t="s">
        <v>1512</v>
      </c>
      <c r="E2281" s="16" t="n">
        <v>587.81</v>
      </c>
      <c r="F2281" s="7" t="n">
        <v>1</v>
      </c>
      <c r="G2281" s="5" t="n">
        <v>590</v>
      </c>
    </row>
    <row r="2282" customFormat="false" ht="15" hidden="false" customHeight="false" outlineLevel="0" collapsed="false">
      <c r="A2282" s="13" t="s">
        <v>45</v>
      </c>
      <c r="B2282" s="13" t="s">
        <v>43</v>
      </c>
      <c r="C2282" s="13" t="s">
        <v>5</v>
      </c>
      <c r="D2282" s="13" t="s">
        <v>1603</v>
      </c>
      <c r="E2282" s="16" t="n">
        <v>589</v>
      </c>
      <c r="F2282" s="7" t="n">
        <v>1</v>
      </c>
      <c r="G2282" s="5" t="n">
        <v>590</v>
      </c>
    </row>
    <row r="2283" customFormat="false" ht="15" hidden="false" customHeight="false" outlineLevel="0" collapsed="false">
      <c r="A2283" s="13" t="s">
        <v>42</v>
      </c>
      <c r="B2283" s="13" t="s">
        <v>43</v>
      </c>
      <c r="C2283" s="13" t="s">
        <v>4</v>
      </c>
      <c r="D2283" s="13" t="s">
        <v>1604</v>
      </c>
      <c r="E2283" s="16" t="n">
        <v>591.26</v>
      </c>
      <c r="F2283" s="7" t="n">
        <v>1</v>
      </c>
      <c r="G2283" s="5" t="n">
        <v>590</v>
      </c>
    </row>
    <row r="2284" customFormat="false" ht="15" hidden="false" customHeight="false" outlineLevel="0" collapsed="false">
      <c r="A2284" s="13" t="s">
        <v>286</v>
      </c>
      <c r="B2284" s="13" t="s">
        <v>43</v>
      </c>
      <c r="C2284" s="13" t="s">
        <v>4</v>
      </c>
      <c r="D2284" s="13" t="s">
        <v>1605</v>
      </c>
      <c r="E2284" s="16" t="n">
        <v>296.33</v>
      </c>
      <c r="F2284" s="7" t="n">
        <v>2</v>
      </c>
      <c r="G2284" s="5" t="n">
        <v>590</v>
      </c>
    </row>
    <row r="2285" customFormat="false" ht="15" hidden="false" customHeight="false" outlineLevel="0" collapsed="false">
      <c r="A2285" s="13" t="s">
        <v>50</v>
      </c>
      <c r="B2285" s="13" t="s">
        <v>43</v>
      </c>
      <c r="C2285" s="13" t="s">
        <v>4</v>
      </c>
      <c r="D2285" s="13" t="s">
        <v>1606</v>
      </c>
      <c r="E2285" s="16" t="n">
        <v>594.15</v>
      </c>
      <c r="F2285" s="7" t="n">
        <v>1</v>
      </c>
      <c r="G2285" s="5" t="n">
        <v>590</v>
      </c>
    </row>
    <row r="2286" customFormat="false" ht="15" hidden="false" customHeight="false" outlineLevel="0" collapsed="false">
      <c r="A2286" s="13" t="s">
        <v>42</v>
      </c>
      <c r="B2286" s="13" t="s">
        <v>43</v>
      </c>
      <c r="C2286" s="13" t="s">
        <v>4</v>
      </c>
      <c r="D2286" s="13" t="s">
        <v>1607</v>
      </c>
      <c r="E2286" s="16" t="n">
        <v>576.75</v>
      </c>
      <c r="F2286" s="7" t="n">
        <v>1</v>
      </c>
      <c r="G2286" s="5" t="n">
        <v>580</v>
      </c>
    </row>
    <row r="2287" customFormat="false" ht="15" hidden="false" customHeight="false" outlineLevel="0" collapsed="false">
      <c r="A2287" s="13" t="s">
        <v>105</v>
      </c>
      <c r="B2287" s="13" t="s">
        <v>43</v>
      </c>
      <c r="C2287" s="13" t="s">
        <v>4</v>
      </c>
      <c r="D2287" s="13" t="s">
        <v>1608</v>
      </c>
      <c r="E2287" s="16" t="n">
        <v>289.34</v>
      </c>
      <c r="F2287" s="7" t="n">
        <v>2</v>
      </c>
      <c r="G2287" s="5" t="n">
        <v>580</v>
      </c>
    </row>
    <row r="2288" customFormat="false" ht="15" hidden="false" customHeight="false" outlineLevel="0" collapsed="false">
      <c r="A2288" s="13" t="s">
        <v>42</v>
      </c>
      <c r="B2288" s="13" t="s">
        <v>43</v>
      </c>
      <c r="C2288" s="13" t="s">
        <v>5</v>
      </c>
      <c r="D2288" s="13" t="s">
        <v>847</v>
      </c>
      <c r="E2288" s="16" t="n">
        <v>578.85</v>
      </c>
      <c r="F2288" s="7" t="n">
        <v>1</v>
      </c>
      <c r="G2288" s="5" t="n">
        <v>580</v>
      </c>
    </row>
    <row r="2289" customFormat="false" ht="15" hidden="false" customHeight="false" outlineLevel="0" collapsed="false">
      <c r="A2289" s="13" t="s">
        <v>362</v>
      </c>
      <c r="B2289" s="13" t="s">
        <v>43</v>
      </c>
      <c r="C2289" s="13" t="s">
        <v>4</v>
      </c>
      <c r="D2289" s="13" t="s">
        <v>1609</v>
      </c>
      <c r="E2289" s="16" t="n">
        <v>583.8</v>
      </c>
      <c r="F2289" s="7" t="n">
        <v>1</v>
      </c>
      <c r="G2289" s="5" t="n">
        <v>580</v>
      </c>
    </row>
    <row r="2290" customFormat="false" ht="15" hidden="false" customHeight="false" outlineLevel="0" collapsed="false">
      <c r="A2290" s="13" t="s">
        <v>74</v>
      </c>
      <c r="B2290" s="13" t="s">
        <v>43</v>
      </c>
      <c r="C2290" s="13" t="s">
        <v>4</v>
      </c>
      <c r="D2290" s="13" t="s">
        <v>1610</v>
      </c>
      <c r="E2290" s="16" t="n">
        <v>291.27</v>
      </c>
      <c r="F2290" s="7" t="n">
        <v>2</v>
      </c>
      <c r="G2290" s="5" t="n">
        <v>580</v>
      </c>
    </row>
    <row r="2291" customFormat="false" ht="15" hidden="false" customHeight="false" outlineLevel="0" collapsed="false">
      <c r="A2291" s="13" t="s">
        <v>153</v>
      </c>
      <c r="B2291" s="13" t="s">
        <v>43</v>
      </c>
      <c r="C2291" s="13" t="s">
        <v>5</v>
      </c>
      <c r="D2291" s="13" t="s">
        <v>1611</v>
      </c>
      <c r="E2291" s="16" t="n">
        <v>585</v>
      </c>
      <c r="F2291" s="7" t="n">
        <v>1</v>
      </c>
      <c r="G2291" s="5" t="n">
        <v>580</v>
      </c>
    </row>
    <row r="2292" customFormat="false" ht="15" hidden="false" customHeight="false" outlineLevel="0" collapsed="false">
      <c r="A2292" s="13" t="s">
        <v>286</v>
      </c>
      <c r="B2292" s="13" t="s">
        <v>43</v>
      </c>
      <c r="C2292" s="13" t="s">
        <v>5</v>
      </c>
      <c r="D2292" s="13" t="s">
        <v>1447</v>
      </c>
      <c r="E2292" s="16" t="n">
        <v>291.84</v>
      </c>
      <c r="F2292" s="7" t="n">
        <v>2</v>
      </c>
      <c r="G2292" s="5" t="n">
        <v>580</v>
      </c>
    </row>
    <row r="2293" customFormat="false" ht="15" hidden="false" customHeight="false" outlineLevel="0" collapsed="false">
      <c r="A2293" s="13" t="s">
        <v>195</v>
      </c>
      <c r="B2293" s="13" t="s">
        <v>43</v>
      </c>
      <c r="C2293" s="13" t="s">
        <v>5</v>
      </c>
      <c r="D2293" s="13" t="s">
        <v>1612</v>
      </c>
      <c r="E2293" s="16" t="n">
        <v>581.85</v>
      </c>
      <c r="F2293" s="7" t="n">
        <v>1</v>
      </c>
      <c r="G2293" s="5" t="n">
        <v>580</v>
      </c>
    </row>
    <row r="2294" customFormat="false" ht="15" hidden="false" customHeight="false" outlineLevel="0" collapsed="false">
      <c r="A2294" s="13" t="s">
        <v>195</v>
      </c>
      <c r="B2294" s="13" t="s">
        <v>43</v>
      </c>
      <c r="C2294" s="13" t="s">
        <v>5</v>
      </c>
      <c r="D2294" s="13" t="s">
        <v>732</v>
      </c>
      <c r="E2294" s="16" t="n">
        <v>580</v>
      </c>
      <c r="F2294" s="7" t="n">
        <v>1</v>
      </c>
      <c r="G2294" s="5" t="n">
        <v>580</v>
      </c>
    </row>
    <row r="2295" customFormat="false" ht="15" hidden="false" customHeight="false" outlineLevel="0" collapsed="false">
      <c r="A2295" s="13" t="s">
        <v>195</v>
      </c>
      <c r="B2295" s="13" t="s">
        <v>43</v>
      </c>
      <c r="C2295" s="13" t="s">
        <v>5</v>
      </c>
      <c r="D2295" s="13" t="s">
        <v>196</v>
      </c>
      <c r="E2295" s="16" t="n">
        <v>580</v>
      </c>
      <c r="F2295" s="7" t="n">
        <v>1</v>
      </c>
      <c r="G2295" s="5" t="n">
        <v>580</v>
      </c>
    </row>
    <row r="2296" customFormat="false" ht="15" hidden="false" customHeight="false" outlineLevel="0" collapsed="false">
      <c r="A2296" s="13" t="s">
        <v>42</v>
      </c>
      <c r="B2296" s="13" t="s">
        <v>43</v>
      </c>
      <c r="C2296" s="13" t="s">
        <v>5</v>
      </c>
      <c r="D2296" s="13" t="s">
        <v>1613</v>
      </c>
      <c r="E2296" s="16" t="n">
        <v>288.85</v>
      </c>
      <c r="F2296" s="7" t="n">
        <v>2</v>
      </c>
      <c r="G2296" s="5" t="n">
        <v>580</v>
      </c>
    </row>
    <row r="2297" customFormat="false" ht="15" hidden="false" customHeight="false" outlineLevel="0" collapsed="false">
      <c r="A2297" s="13" t="s">
        <v>42</v>
      </c>
      <c r="B2297" s="13" t="s">
        <v>43</v>
      </c>
      <c r="C2297" s="13" t="s">
        <v>5</v>
      </c>
      <c r="D2297" s="13" t="s">
        <v>1614</v>
      </c>
      <c r="E2297" s="16" t="n">
        <v>578.85</v>
      </c>
      <c r="F2297" s="7" t="n">
        <v>1</v>
      </c>
      <c r="G2297" s="5" t="n">
        <v>580</v>
      </c>
    </row>
    <row r="2298" customFormat="false" ht="15" hidden="false" customHeight="false" outlineLevel="0" collapsed="false">
      <c r="A2298" s="13" t="s">
        <v>50</v>
      </c>
      <c r="B2298" s="13" t="s">
        <v>43</v>
      </c>
      <c r="C2298" s="13" t="s">
        <v>5</v>
      </c>
      <c r="D2298" s="13" t="s">
        <v>1606</v>
      </c>
      <c r="E2298" s="16" t="n">
        <v>569.99</v>
      </c>
      <c r="F2298" s="7" t="n">
        <v>1</v>
      </c>
      <c r="G2298" s="5" t="n">
        <v>570</v>
      </c>
    </row>
    <row r="2299" customFormat="false" ht="15" hidden="false" customHeight="false" outlineLevel="0" collapsed="false">
      <c r="A2299" s="13" t="s">
        <v>124</v>
      </c>
      <c r="B2299" s="13" t="s">
        <v>43</v>
      </c>
      <c r="C2299" s="13" t="s">
        <v>5</v>
      </c>
      <c r="D2299" s="13" t="s">
        <v>1059</v>
      </c>
      <c r="E2299" s="16" t="n">
        <v>566.61</v>
      </c>
      <c r="F2299" s="7" t="n">
        <v>1</v>
      </c>
      <c r="G2299" s="5" t="n">
        <v>570</v>
      </c>
    </row>
    <row r="2300" customFormat="false" ht="15" hidden="false" customHeight="false" outlineLevel="0" collapsed="false">
      <c r="A2300" s="13" t="s">
        <v>153</v>
      </c>
      <c r="B2300" s="13" t="s">
        <v>43</v>
      </c>
      <c r="C2300" s="13" t="s">
        <v>5</v>
      </c>
      <c r="D2300" s="13" t="s">
        <v>1615</v>
      </c>
      <c r="E2300" s="16" t="n">
        <v>284</v>
      </c>
      <c r="F2300" s="7" t="n">
        <v>2</v>
      </c>
      <c r="G2300" s="5" t="n">
        <v>570</v>
      </c>
    </row>
    <row r="2301" customFormat="false" ht="15" hidden="false" customHeight="false" outlineLevel="0" collapsed="false">
      <c r="A2301" s="13" t="s">
        <v>54</v>
      </c>
      <c r="B2301" s="13" t="s">
        <v>43</v>
      </c>
      <c r="C2301" s="13" t="s">
        <v>5</v>
      </c>
      <c r="D2301" s="13" t="s">
        <v>1616</v>
      </c>
      <c r="E2301" s="16" t="n">
        <v>284.11</v>
      </c>
      <c r="F2301" s="7" t="n">
        <v>2</v>
      </c>
      <c r="G2301" s="5" t="n">
        <v>570</v>
      </c>
    </row>
    <row r="2302" customFormat="false" ht="15" hidden="false" customHeight="false" outlineLevel="0" collapsed="false">
      <c r="A2302" s="13" t="s">
        <v>61</v>
      </c>
      <c r="B2302" s="13" t="s">
        <v>43</v>
      </c>
      <c r="C2302" s="13" t="s">
        <v>5</v>
      </c>
      <c r="D2302" s="13" t="s">
        <v>505</v>
      </c>
      <c r="E2302" s="16" t="n">
        <v>566.2</v>
      </c>
      <c r="F2302" s="7" t="n">
        <v>1</v>
      </c>
      <c r="G2302" s="5" t="n">
        <v>570</v>
      </c>
    </row>
    <row r="2303" customFormat="false" ht="15" hidden="false" customHeight="false" outlineLevel="0" collapsed="false">
      <c r="A2303" s="13" t="s">
        <v>186</v>
      </c>
      <c r="B2303" s="13" t="s">
        <v>43</v>
      </c>
      <c r="C2303" s="13" t="s">
        <v>5</v>
      </c>
      <c r="D2303" s="13" t="s">
        <v>1617</v>
      </c>
      <c r="E2303" s="16" t="n">
        <v>284.24</v>
      </c>
      <c r="F2303" s="7" t="n">
        <v>2</v>
      </c>
      <c r="G2303" s="5" t="n">
        <v>570</v>
      </c>
    </row>
    <row r="2304" customFormat="false" ht="15" hidden="false" customHeight="false" outlineLevel="0" collapsed="false">
      <c r="A2304" s="13" t="s">
        <v>54</v>
      </c>
      <c r="B2304" s="13" t="s">
        <v>43</v>
      </c>
      <c r="C2304" s="13" t="s">
        <v>5</v>
      </c>
      <c r="D2304" s="13" t="s">
        <v>1175</v>
      </c>
      <c r="E2304" s="16" t="n">
        <v>570.9</v>
      </c>
      <c r="F2304" s="7" t="n">
        <v>1</v>
      </c>
      <c r="G2304" s="5" t="n">
        <v>570</v>
      </c>
    </row>
    <row r="2305" customFormat="false" ht="15" hidden="false" customHeight="false" outlineLevel="0" collapsed="false">
      <c r="A2305" s="13" t="s">
        <v>124</v>
      </c>
      <c r="B2305" s="13" t="s">
        <v>43</v>
      </c>
      <c r="C2305" s="13" t="s">
        <v>5</v>
      </c>
      <c r="D2305" s="13" t="s">
        <v>1471</v>
      </c>
      <c r="E2305" s="16" t="n">
        <v>569.86</v>
      </c>
      <c r="F2305" s="7" t="n">
        <v>1</v>
      </c>
      <c r="G2305" s="5" t="n">
        <v>570</v>
      </c>
    </row>
    <row r="2306" customFormat="false" ht="15" hidden="false" customHeight="false" outlineLevel="0" collapsed="false">
      <c r="A2306" s="13" t="s">
        <v>195</v>
      </c>
      <c r="B2306" s="13" t="s">
        <v>43</v>
      </c>
      <c r="C2306" s="13" t="s">
        <v>5</v>
      </c>
      <c r="D2306" s="13" t="s">
        <v>1491</v>
      </c>
      <c r="E2306" s="16" t="n">
        <v>569</v>
      </c>
      <c r="F2306" s="7" t="n">
        <v>1</v>
      </c>
      <c r="G2306" s="5" t="n">
        <v>570</v>
      </c>
    </row>
    <row r="2307" customFormat="false" ht="15" hidden="false" customHeight="false" outlineLevel="0" collapsed="false">
      <c r="A2307" s="13" t="s">
        <v>45</v>
      </c>
      <c r="B2307" s="13" t="s">
        <v>43</v>
      </c>
      <c r="C2307" s="13" t="s">
        <v>5</v>
      </c>
      <c r="D2307" s="13" t="s">
        <v>101</v>
      </c>
      <c r="E2307" s="16" t="n">
        <v>570</v>
      </c>
      <c r="F2307" s="7" t="n">
        <v>1</v>
      </c>
      <c r="G2307" s="5" t="n">
        <v>570</v>
      </c>
    </row>
    <row r="2308" customFormat="false" ht="15" hidden="false" customHeight="false" outlineLevel="0" collapsed="false">
      <c r="A2308" s="13" t="s">
        <v>153</v>
      </c>
      <c r="B2308" s="13" t="s">
        <v>43</v>
      </c>
      <c r="C2308" s="13" t="s">
        <v>4</v>
      </c>
      <c r="D2308" s="13" t="s">
        <v>1618</v>
      </c>
      <c r="E2308" s="16" t="n">
        <v>569.63</v>
      </c>
      <c r="F2308" s="7" t="n">
        <v>1</v>
      </c>
      <c r="G2308" s="5" t="n">
        <v>570</v>
      </c>
    </row>
    <row r="2309" customFormat="false" ht="15" hidden="false" customHeight="false" outlineLevel="0" collapsed="false">
      <c r="A2309" s="13" t="s">
        <v>165</v>
      </c>
      <c r="B2309" s="13" t="s">
        <v>43</v>
      </c>
      <c r="C2309" s="13" t="s">
        <v>5</v>
      </c>
      <c r="D2309" s="13" t="s">
        <v>663</v>
      </c>
      <c r="E2309" s="16" t="n">
        <v>572.3</v>
      </c>
      <c r="F2309" s="7" t="n">
        <v>1</v>
      </c>
      <c r="G2309" s="5" t="n">
        <v>570</v>
      </c>
    </row>
    <row r="2310" customFormat="false" ht="15" hidden="false" customHeight="false" outlineLevel="0" collapsed="false">
      <c r="A2310" s="13" t="s">
        <v>74</v>
      </c>
      <c r="B2310" s="13" t="s">
        <v>43</v>
      </c>
      <c r="C2310" s="13" t="s">
        <v>5</v>
      </c>
      <c r="D2310" s="13" t="s">
        <v>668</v>
      </c>
      <c r="E2310" s="16" t="n">
        <v>190</v>
      </c>
      <c r="F2310" s="7" t="n">
        <v>2</v>
      </c>
      <c r="G2310" s="5" t="n">
        <v>570</v>
      </c>
    </row>
    <row r="2311" customFormat="false" ht="15" hidden="false" customHeight="false" outlineLevel="0" collapsed="false">
      <c r="A2311" s="13" t="s">
        <v>45</v>
      </c>
      <c r="B2311" s="13" t="s">
        <v>43</v>
      </c>
      <c r="C2311" s="13" t="s">
        <v>4</v>
      </c>
      <c r="D2311" s="13" t="s">
        <v>1619</v>
      </c>
      <c r="E2311" s="16" t="n">
        <v>571.87</v>
      </c>
      <c r="F2311" s="7" t="n">
        <v>1</v>
      </c>
      <c r="G2311" s="5" t="n">
        <v>570</v>
      </c>
    </row>
    <row r="2312" customFormat="false" ht="15" hidden="false" customHeight="false" outlineLevel="0" collapsed="false">
      <c r="A2312" s="13" t="s">
        <v>195</v>
      </c>
      <c r="B2312" s="13" t="s">
        <v>43</v>
      </c>
      <c r="C2312" s="13" t="s">
        <v>4</v>
      </c>
      <c r="D2312" s="13" t="s">
        <v>1620</v>
      </c>
      <c r="E2312" s="16" t="n">
        <v>566.19</v>
      </c>
      <c r="F2312" s="7" t="n">
        <v>1</v>
      </c>
      <c r="G2312" s="5" t="n">
        <v>570</v>
      </c>
    </row>
    <row r="2313" customFormat="false" ht="15" hidden="false" customHeight="false" outlineLevel="0" collapsed="false">
      <c r="A2313" s="13" t="s">
        <v>153</v>
      </c>
      <c r="B2313" s="13" t="s">
        <v>43</v>
      </c>
      <c r="C2313" s="13" t="s">
        <v>4</v>
      </c>
      <c r="D2313" s="13" t="s">
        <v>1461</v>
      </c>
      <c r="E2313" s="16" t="n">
        <v>562.76</v>
      </c>
      <c r="F2313" s="7" t="n">
        <v>1</v>
      </c>
      <c r="G2313" s="5" t="n">
        <v>560</v>
      </c>
    </row>
    <row r="2314" customFormat="false" ht="15" hidden="false" customHeight="false" outlineLevel="0" collapsed="false">
      <c r="A2314" s="13" t="s">
        <v>45</v>
      </c>
      <c r="B2314" s="13" t="s">
        <v>43</v>
      </c>
      <c r="C2314" s="13" t="s">
        <v>4</v>
      </c>
      <c r="D2314" s="13" t="s">
        <v>702</v>
      </c>
      <c r="E2314" s="16" t="n">
        <v>559.55</v>
      </c>
      <c r="F2314" s="7" t="n">
        <v>1</v>
      </c>
      <c r="G2314" s="5" t="n">
        <v>560</v>
      </c>
    </row>
    <row r="2315" customFormat="false" ht="15" hidden="false" customHeight="false" outlineLevel="0" collapsed="false">
      <c r="A2315" s="13" t="s">
        <v>490</v>
      </c>
      <c r="B2315" s="13" t="s">
        <v>43</v>
      </c>
      <c r="C2315" s="13" t="s">
        <v>5</v>
      </c>
      <c r="D2315" s="13" t="s">
        <v>1621</v>
      </c>
      <c r="E2315" s="16" t="n">
        <v>559</v>
      </c>
      <c r="F2315" s="7" t="n">
        <v>1</v>
      </c>
      <c r="G2315" s="5" t="n">
        <v>560</v>
      </c>
    </row>
    <row r="2316" customFormat="false" ht="15" hidden="false" customHeight="false" outlineLevel="0" collapsed="false">
      <c r="A2316" s="13" t="s">
        <v>195</v>
      </c>
      <c r="B2316" s="13" t="s">
        <v>43</v>
      </c>
      <c r="C2316" s="13" t="s">
        <v>5</v>
      </c>
      <c r="D2316" s="13" t="s">
        <v>1622</v>
      </c>
      <c r="E2316" s="16" t="n">
        <v>557.86</v>
      </c>
      <c r="F2316" s="7" t="n">
        <v>1</v>
      </c>
      <c r="G2316" s="5" t="n">
        <v>560</v>
      </c>
    </row>
    <row r="2317" customFormat="false" ht="15" hidden="false" customHeight="false" outlineLevel="0" collapsed="false">
      <c r="A2317" s="13" t="s">
        <v>177</v>
      </c>
      <c r="B2317" s="13" t="s">
        <v>43</v>
      </c>
      <c r="C2317" s="13" t="s">
        <v>5</v>
      </c>
      <c r="D2317" s="13" t="s">
        <v>1623</v>
      </c>
      <c r="E2317" s="16" t="n">
        <v>565</v>
      </c>
      <c r="F2317" s="7" t="n">
        <v>1</v>
      </c>
      <c r="G2317" s="5" t="n">
        <v>560</v>
      </c>
    </row>
    <row r="2318" customFormat="false" ht="15" hidden="false" customHeight="false" outlineLevel="0" collapsed="false">
      <c r="A2318" s="13" t="s">
        <v>302</v>
      </c>
      <c r="B2318" s="13" t="s">
        <v>43</v>
      </c>
      <c r="C2318" s="13" t="s">
        <v>5</v>
      </c>
      <c r="D2318" s="13" t="s">
        <v>1624</v>
      </c>
      <c r="E2318" s="16" t="n">
        <v>560.66</v>
      </c>
      <c r="F2318" s="7" t="n">
        <v>1</v>
      </c>
      <c r="G2318" s="5" t="n">
        <v>560</v>
      </c>
    </row>
    <row r="2319" customFormat="false" ht="15" hidden="false" customHeight="false" outlineLevel="0" collapsed="false">
      <c r="A2319" s="13" t="s">
        <v>61</v>
      </c>
      <c r="B2319" s="13" t="s">
        <v>43</v>
      </c>
      <c r="C2319" s="13" t="s">
        <v>5</v>
      </c>
      <c r="D2319" s="13" t="s">
        <v>1382</v>
      </c>
      <c r="E2319" s="16" t="n">
        <v>278</v>
      </c>
      <c r="F2319" s="7" t="n">
        <v>2</v>
      </c>
      <c r="G2319" s="5" t="n">
        <v>560</v>
      </c>
    </row>
    <row r="2320" customFormat="false" ht="15" hidden="false" customHeight="false" outlineLevel="0" collapsed="false">
      <c r="A2320" s="13" t="s">
        <v>50</v>
      </c>
      <c r="B2320" s="13" t="s">
        <v>43</v>
      </c>
      <c r="C2320" s="13" t="s">
        <v>5</v>
      </c>
      <c r="D2320" s="13" t="s">
        <v>1625</v>
      </c>
      <c r="E2320" s="16" t="n">
        <v>563</v>
      </c>
      <c r="F2320" s="7" t="n">
        <v>1</v>
      </c>
      <c r="G2320" s="5" t="n">
        <v>560</v>
      </c>
    </row>
    <row r="2321" customFormat="false" ht="15" hidden="false" customHeight="false" outlineLevel="0" collapsed="false">
      <c r="A2321" s="13" t="s">
        <v>61</v>
      </c>
      <c r="B2321" s="13" t="s">
        <v>43</v>
      </c>
      <c r="C2321" s="13" t="s">
        <v>5</v>
      </c>
      <c r="D2321" s="13" t="s">
        <v>212</v>
      </c>
      <c r="E2321" s="16" t="n">
        <v>559.08</v>
      </c>
      <c r="F2321" s="7" t="n">
        <v>1</v>
      </c>
      <c r="G2321" s="5" t="n">
        <v>560</v>
      </c>
    </row>
    <row r="2322" customFormat="false" ht="15" hidden="false" customHeight="false" outlineLevel="0" collapsed="false">
      <c r="A2322" s="13" t="s">
        <v>107</v>
      </c>
      <c r="B2322" s="13" t="s">
        <v>183</v>
      </c>
      <c r="C2322" s="13" t="s">
        <v>5</v>
      </c>
      <c r="D2322" s="13" t="s">
        <v>1626</v>
      </c>
      <c r="E2322" s="16" t="n">
        <v>278.85</v>
      </c>
      <c r="F2322" s="7" t="n">
        <v>2</v>
      </c>
      <c r="G2322" s="5" t="n">
        <v>560</v>
      </c>
    </row>
    <row r="2323" customFormat="false" ht="15" hidden="false" customHeight="false" outlineLevel="0" collapsed="false">
      <c r="A2323" s="13" t="s">
        <v>470</v>
      </c>
      <c r="B2323" s="13" t="s">
        <v>85</v>
      </c>
      <c r="C2323" s="13" t="s">
        <v>3</v>
      </c>
      <c r="D2323" s="13" t="s">
        <v>1627</v>
      </c>
      <c r="E2323" s="16" t="n">
        <v>112.85</v>
      </c>
      <c r="F2323" s="7" t="n">
        <v>5</v>
      </c>
      <c r="G2323" s="5" t="n">
        <v>560</v>
      </c>
    </row>
    <row r="2324" customFormat="false" ht="15" hidden="false" customHeight="false" outlineLevel="0" collapsed="false">
      <c r="A2324" s="13" t="s">
        <v>124</v>
      </c>
      <c r="B2324" s="13" t="s">
        <v>43</v>
      </c>
      <c r="C2324" s="13" t="s">
        <v>5</v>
      </c>
      <c r="D2324" s="13" t="s">
        <v>370</v>
      </c>
      <c r="E2324" s="16" t="n">
        <v>549</v>
      </c>
      <c r="F2324" s="7" t="n">
        <v>1</v>
      </c>
      <c r="G2324" s="5" t="n">
        <v>550</v>
      </c>
    </row>
    <row r="2325" customFormat="false" ht="15" hidden="false" customHeight="false" outlineLevel="0" collapsed="false">
      <c r="A2325" s="13" t="s">
        <v>50</v>
      </c>
      <c r="B2325" s="13" t="s">
        <v>43</v>
      </c>
      <c r="C2325" s="13" t="s">
        <v>4</v>
      </c>
      <c r="D2325" s="13" t="s">
        <v>1628</v>
      </c>
      <c r="E2325" s="16" t="n">
        <v>551.08</v>
      </c>
      <c r="F2325" s="7" t="n">
        <v>1</v>
      </c>
      <c r="G2325" s="5" t="n">
        <v>550</v>
      </c>
    </row>
    <row r="2326" customFormat="false" ht="15" hidden="false" customHeight="false" outlineLevel="0" collapsed="false">
      <c r="A2326" s="13" t="s">
        <v>50</v>
      </c>
      <c r="B2326" s="13" t="s">
        <v>43</v>
      </c>
      <c r="C2326" s="13" t="s">
        <v>4</v>
      </c>
      <c r="D2326" s="13" t="s">
        <v>1629</v>
      </c>
      <c r="E2326" s="16" t="n">
        <v>553.52</v>
      </c>
      <c r="F2326" s="7" t="n">
        <v>1</v>
      </c>
      <c r="G2326" s="5" t="n">
        <v>550</v>
      </c>
    </row>
    <row r="2327" customFormat="false" ht="15" hidden="false" customHeight="false" outlineLevel="0" collapsed="false">
      <c r="A2327" s="13" t="s">
        <v>50</v>
      </c>
      <c r="B2327" s="13" t="s">
        <v>43</v>
      </c>
      <c r="C2327" s="13" t="s">
        <v>4</v>
      </c>
      <c r="D2327" s="13" t="s">
        <v>1630</v>
      </c>
      <c r="E2327" s="16" t="n">
        <v>553.52</v>
      </c>
      <c r="F2327" s="7" t="n">
        <v>1</v>
      </c>
      <c r="G2327" s="5" t="n">
        <v>550</v>
      </c>
    </row>
    <row r="2328" customFormat="false" ht="15" hidden="false" customHeight="false" outlineLevel="0" collapsed="false">
      <c r="A2328" s="13" t="s">
        <v>79</v>
      </c>
      <c r="B2328" s="13" t="s">
        <v>43</v>
      </c>
      <c r="C2328" s="13" t="s">
        <v>4</v>
      </c>
      <c r="D2328" s="13" t="s">
        <v>469</v>
      </c>
      <c r="E2328" s="16" t="n">
        <v>551</v>
      </c>
      <c r="F2328" s="7" t="n">
        <v>1</v>
      </c>
      <c r="G2328" s="5" t="n">
        <v>550</v>
      </c>
    </row>
    <row r="2329" customFormat="false" ht="15" hidden="false" customHeight="false" outlineLevel="0" collapsed="false">
      <c r="A2329" s="13" t="s">
        <v>79</v>
      </c>
      <c r="B2329" s="13" t="s">
        <v>43</v>
      </c>
      <c r="C2329" s="13" t="s">
        <v>4</v>
      </c>
      <c r="D2329" s="13" t="s">
        <v>1631</v>
      </c>
      <c r="E2329" s="16" t="n">
        <v>546</v>
      </c>
      <c r="F2329" s="7" t="n">
        <v>1</v>
      </c>
      <c r="G2329" s="5" t="n">
        <v>550</v>
      </c>
    </row>
    <row r="2330" customFormat="false" ht="15" hidden="false" customHeight="false" outlineLevel="0" collapsed="false">
      <c r="A2330" s="13" t="s">
        <v>490</v>
      </c>
      <c r="B2330" s="13" t="s">
        <v>43</v>
      </c>
      <c r="C2330" s="13" t="s">
        <v>4</v>
      </c>
      <c r="D2330" s="13" t="s">
        <v>1632</v>
      </c>
      <c r="E2330" s="16" t="n">
        <v>549.2</v>
      </c>
      <c r="F2330" s="7" t="n">
        <v>1</v>
      </c>
      <c r="G2330" s="5" t="n">
        <v>550</v>
      </c>
    </row>
    <row r="2331" customFormat="false" ht="15" hidden="false" customHeight="false" outlineLevel="0" collapsed="false">
      <c r="A2331" s="13" t="s">
        <v>69</v>
      </c>
      <c r="B2331" s="13" t="s">
        <v>43</v>
      </c>
      <c r="C2331" s="13" t="s">
        <v>5</v>
      </c>
      <c r="D2331" s="13" t="s">
        <v>347</v>
      </c>
      <c r="E2331" s="16" t="n">
        <v>545.1</v>
      </c>
      <c r="F2331" s="7" t="n">
        <v>1</v>
      </c>
      <c r="G2331" s="5" t="n">
        <v>550</v>
      </c>
    </row>
    <row r="2332" customFormat="false" ht="15" hidden="false" customHeight="false" outlineLevel="0" collapsed="false">
      <c r="A2332" s="13" t="s">
        <v>362</v>
      </c>
      <c r="B2332" s="13" t="s">
        <v>43</v>
      </c>
      <c r="C2332" s="13" t="s">
        <v>5</v>
      </c>
      <c r="D2332" s="13" t="s">
        <v>538</v>
      </c>
      <c r="E2332" s="16" t="n">
        <v>275</v>
      </c>
      <c r="F2332" s="7" t="n">
        <v>2</v>
      </c>
      <c r="G2332" s="5" t="n">
        <v>550</v>
      </c>
    </row>
    <row r="2333" customFormat="false" ht="15" hidden="false" customHeight="false" outlineLevel="0" collapsed="false">
      <c r="A2333" s="13" t="s">
        <v>54</v>
      </c>
      <c r="B2333" s="13" t="s">
        <v>43</v>
      </c>
      <c r="C2333" s="13" t="s">
        <v>5</v>
      </c>
      <c r="D2333" s="13" t="s">
        <v>1633</v>
      </c>
      <c r="E2333" s="16" t="n">
        <v>138.135</v>
      </c>
      <c r="F2333" s="7" t="n">
        <v>2</v>
      </c>
      <c r="G2333" s="5" t="n">
        <v>550</v>
      </c>
    </row>
    <row r="2334" customFormat="false" ht="15" hidden="false" customHeight="false" outlineLevel="0" collapsed="false">
      <c r="A2334" s="13" t="s">
        <v>45</v>
      </c>
      <c r="B2334" s="13" t="s">
        <v>43</v>
      </c>
      <c r="C2334" s="13" t="s">
        <v>5</v>
      </c>
      <c r="D2334" s="13" t="s">
        <v>1597</v>
      </c>
      <c r="E2334" s="16" t="n">
        <v>551.08</v>
      </c>
      <c r="F2334" s="7" t="n">
        <v>1</v>
      </c>
      <c r="G2334" s="5" t="n">
        <v>550</v>
      </c>
    </row>
    <row r="2335" customFormat="false" ht="15" hidden="false" customHeight="false" outlineLevel="0" collapsed="false">
      <c r="A2335" s="13" t="s">
        <v>103</v>
      </c>
      <c r="B2335" s="13" t="s">
        <v>43</v>
      </c>
      <c r="C2335" s="13" t="s">
        <v>5</v>
      </c>
      <c r="D2335" s="13" t="s">
        <v>420</v>
      </c>
      <c r="E2335" s="16" t="n">
        <v>182.85</v>
      </c>
      <c r="F2335" s="7" t="n">
        <v>2</v>
      </c>
      <c r="G2335" s="5" t="n">
        <v>550</v>
      </c>
    </row>
    <row r="2336" customFormat="false" ht="15" hidden="false" customHeight="false" outlineLevel="0" collapsed="false">
      <c r="A2336" s="13" t="s">
        <v>103</v>
      </c>
      <c r="B2336" s="13" t="s">
        <v>43</v>
      </c>
      <c r="C2336" s="13" t="s">
        <v>5</v>
      </c>
      <c r="D2336" s="13" t="s">
        <v>1163</v>
      </c>
      <c r="E2336" s="16" t="n">
        <v>183</v>
      </c>
      <c r="F2336" s="7" t="n">
        <v>2</v>
      </c>
      <c r="G2336" s="5" t="n">
        <v>550</v>
      </c>
    </row>
    <row r="2337" customFormat="false" ht="15" hidden="false" customHeight="false" outlineLevel="0" collapsed="false">
      <c r="A2337" s="13" t="s">
        <v>45</v>
      </c>
      <c r="B2337" s="13" t="s">
        <v>43</v>
      </c>
      <c r="C2337" s="13" t="s">
        <v>5</v>
      </c>
      <c r="D2337" s="13" t="s">
        <v>888</v>
      </c>
      <c r="E2337" s="16" t="n">
        <v>551.08</v>
      </c>
      <c r="F2337" s="7" t="n">
        <v>1</v>
      </c>
      <c r="G2337" s="5" t="n">
        <v>550</v>
      </c>
    </row>
    <row r="2338" customFormat="false" ht="15" hidden="false" customHeight="false" outlineLevel="0" collapsed="false">
      <c r="A2338" s="13" t="s">
        <v>111</v>
      </c>
      <c r="B2338" s="13" t="s">
        <v>43</v>
      </c>
      <c r="C2338" s="13" t="s">
        <v>4</v>
      </c>
      <c r="D2338" s="13" t="s">
        <v>1634</v>
      </c>
      <c r="E2338" s="16" t="n">
        <v>538.23</v>
      </c>
      <c r="F2338" s="7" t="n">
        <v>1</v>
      </c>
      <c r="G2338" s="5" t="n">
        <v>540</v>
      </c>
    </row>
    <row r="2339" customFormat="false" ht="15" hidden="false" customHeight="false" outlineLevel="0" collapsed="false">
      <c r="A2339" s="13" t="s">
        <v>50</v>
      </c>
      <c r="B2339" s="13" t="s">
        <v>43</v>
      </c>
      <c r="C2339" s="13" t="s">
        <v>5</v>
      </c>
      <c r="D2339" s="13" t="s">
        <v>1004</v>
      </c>
      <c r="E2339" s="16" t="n">
        <v>542</v>
      </c>
      <c r="F2339" s="7" t="n">
        <v>1</v>
      </c>
      <c r="G2339" s="5" t="n">
        <v>540</v>
      </c>
    </row>
    <row r="2340" customFormat="false" ht="15" hidden="false" customHeight="false" outlineLevel="0" collapsed="false">
      <c r="A2340" s="13" t="s">
        <v>121</v>
      </c>
      <c r="B2340" s="13" t="s">
        <v>183</v>
      </c>
      <c r="C2340" s="13" t="s">
        <v>5</v>
      </c>
      <c r="D2340" s="13" t="s">
        <v>1635</v>
      </c>
      <c r="E2340" s="16" t="n">
        <v>90.2366666666667</v>
      </c>
      <c r="F2340" s="7" t="n">
        <v>5</v>
      </c>
      <c r="G2340" s="5" t="n">
        <v>540</v>
      </c>
    </row>
    <row r="2341" customFormat="false" ht="15" hidden="false" customHeight="false" outlineLevel="0" collapsed="false">
      <c r="A2341" s="13" t="s">
        <v>50</v>
      </c>
      <c r="B2341" s="13" t="s">
        <v>43</v>
      </c>
      <c r="C2341" s="13" t="s">
        <v>5</v>
      </c>
      <c r="D2341" s="13" t="s">
        <v>1079</v>
      </c>
      <c r="E2341" s="16" t="n">
        <v>271</v>
      </c>
      <c r="F2341" s="7" t="n">
        <v>2</v>
      </c>
      <c r="G2341" s="5" t="n">
        <v>540</v>
      </c>
    </row>
    <row r="2342" customFormat="false" ht="15" hidden="false" customHeight="false" outlineLevel="0" collapsed="false">
      <c r="A2342" s="13" t="s">
        <v>50</v>
      </c>
      <c r="B2342" s="13" t="s">
        <v>43</v>
      </c>
      <c r="C2342" s="13" t="s">
        <v>5</v>
      </c>
      <c r="D2342" s="13" t="s">
        <v>294</v>
      </c>
      <c r="E2342" s="16" t="n">
        <v>541</v>
      </c>
      <c r="F2342" s="7" t="n">
        <v>1</v>
      </c>
      <c r="G2342" s="5" t="n">
        <v>540</v>
      </c>
    </row>
    <row r="2343" customFormat="false" ht="15" hidden="false" customHeight="false" outlineLevel="0" collapsed="false">
      <c r="A2343" s="13" t="s">
        <v>193</v>
      </c>
      <c r="B2343" s="13" t="s">
        <v>43</v>
      </c>
      <c r="C2343" s="13" t="s">
        <v>5</v>
      </c>
      <c r="D2343" s="13" t="s">
        <v>238</v>
      </c>
      <c r="E2343" s="16" t="n">
        <v>538.96</v>
      </c>
      <c r="F2343" s="7" t="n">
        <v>1</v>
      </c>
      <c r="G2343" s="5" t="n">
        <v>540</v>
      </c>
    </row>
    <row r="2344" customFormat="false" ht="15" hidden="false" customHeight="false" outlineLevel="0" collapsed="false">
      <c r="A2344" s="13" t="s">
        <v>107</v>
      </c>
      <c r="B2344" s="13" t="s">
        <v>43</v>
      </c>
      <c r="C2344" s="13" t="s">
        <v>5</v>
      </c>
      <c r="D2344" s="13" t="s">
        <v>1636</v>
      </c>
      <c r="E2344" s="16" t="n">
        <v>179.516666666667</v>
      </c>
      <c r="F2344" s="7" t="n">
        <v>2</v>
      </c>
      <c r="G2344" s="5" t="n">
        <v>540</v>
      </c>
    </row>
    <row r="2345" customFormat="false" ht="15" hidden="false" customHeight="false" outlineLevel="0" collapsed="false">
      <c r="A2345" s="13" t="s">
        <v>61</v>
      </c>
      <c r="B2345" s="13" t="s">
        <v>43</v>
      </c>
      <c r="C2345" s="13" t="s">
        <v>5</v>
      </c>
      <c r="D2345" s="13" t="s">
        <v>1637</v>
      </c>
      <c r="E2345" s="16" t="n">
        <v>537.25</v>
      </c>
      <c r="F2345" s="7" t="n">
        <v>1</v>
      </c>
      <c r="G2345" s="5" t="n">
        <v>540</v>
      </c>
    </row>
    <row r="2346" customFormat="false" ht="15" hidden="false" customHeight="false" outlineLevel="0" collapsed="false">
      <c r="A2346" s="13" t="s">
        <v>124</v>
      </c>
      <c r="B2346" s="13" t="s">
        <v>43</v>
      </c>
      <c r="C2346" s="13" t="s">
        <v>5</v>
      </c>
      <c r="D2346" s="13" t="s">
        <v>794</v>
      </c>
      <c r="E2346" s="16" t="n">
        <v>543</v>
      </c>
      <c r="F2346" s="7" t="n">
        <v>1</v>
      </c>
      <c r="G2346" s="5" t="n">
        <v>540</v>
      </c>
    </row>
    <row r="2347" customFormat="false" ht="15" hidden="false" customHeight="false" outlineLevel="0" collapsed="false">
      <c r="A2347" s="13" t="s">
        <v>195</v>
      </c>
      <c r="B2347" s="13" t="s">
        <v>43</v>
      </c>
      <c r="C2347" s="13" t="s">
        <v>5</v>
      </c>
      <c r="D2347" s="13" t="s">
        <v>528</v>
      </c>
      <c r="E2347" s="16" t="n">
        <v>537</v>
      </c>
      <c r="F2347" s="7" t="n">
        <v>1</v>
      </c>
      <c r="G2347" s="5" t="n">
        <v>540</v>
      </c>
    </row>
    <row r="2348" customFormat="false" ht="15" hidden="false" customHeight="false" outlineLevel="0" collapsed="false">
      <c r="A2348" s="13" t="s">
        <v>362</v>
      </c>
      <c r="B2348" s="13" t="s">
        <v>43</v>
      </c>
      <c r="C2348" s="13" t="s">
        <v>4</v>
      </c>
      <c r="D2348" s="13" t="s">
        <v>813</v>
      </c>
      <c r="E2348" s="16" t="n">
        <v>538.23</v>
      </c>
      <c r="F2348" s="7" t="n">
        <v>1</v>
      </c>
      <c r="G2348" s="5" t="n">
        <v>540</v>
      </c>
    </row>
    <row r="2349" customFormat="false" ht="15" hidden="false" customHeight="false" outlineLevel="0" collapsed="false">
      <c r="A2349" s="13" t="s">
        <v>111</v>
      </c>
      <c r="B2349" s="13" t="s">
        <v>43</v>
      </c>
      <c r="C2349" s="13" t="s">
        <v>4</v>
      </c>
      <c r="D2349" s="13" t="s">
        <v>1638</v>
      </c>
      <c r="E2349" s="16" t="n">
        <v>538.23</v>
      </c>
      <c r="F2349" s="7" t="n">
        <v>1</v>
      </c>
      <c r="G2349" s="5" t="n">
        <v>540</v>
      </c>
    </row>
    <row r="2350" customFormat="false" ht="15" hidden="false" customHeight="false" outlineLevel="0" collapsed="false">
      <c r="A2350" s="13" t="s">
        <v>111</v>
      </c>
      <c r="B2350" s="13" t="s">
        <v>43</v>
      </c>
      <c r="C2350" s="13" t="s">
        <v>4</v>
      </c>
      <c r="D2350" s="13" t="s">
        <v>1639</v>
      </c>
      <c r="E2350" s="16" t="n">
        <v>538.23</v>
      </c>
      <c r="F2350" s="7" t="n">
        <v>1</v>
      </c>
      <c r="G2350" s="5" t="n">
        <v>540</v>
      </c>
    </row>
    <row r="2351" customFormat="false" ht="15" hidden="false" customHeight="false" outlineLevel="0" collapsed="false">
      <c r="A2351" s="13" t="s">
        <v>103</v>
      </c>
      <c r="B2351" s="13" t="s">
        <v>43</v>
      </c>
      <c r="C2351" s="13" t="s">
        <v>5</v>
      </c>
      <c r="D2351" s="13" t="s">
        <v>1640</v>
      </c>
      <c r="E2351" s="16" t="n">
        <v>271.31</v>
      </c>
      <c r="F2351" s="7" t="n">
        <v>2</v>
      </c>
      <c r="G2351" s="5" t="n">
        <v>540</v>
      </c>
    </row>
    <row r="2352" customFormat="false" ht="15" hidden="false" customHeight="false" outlineLevel="0" collapsed="false">
      <c r="A2352" s="13" t="s">
        <v>61</v>
      </c>
      <c r="B2352" s="13" t="s">
        <v>43</v>
      </c>
      <c r="C2352" s="13" t="s">
        <v>5</v>
      </c>
      <c r="D2352" s="13" t="s">
        <v>1641</v>
      </c>
      <c r="E2352" s="16" t="n">
        <v>271.02</v>
      </c>
      <c r="F2352" s="7" t="n">
        <v>2</v>
      </c>
      <c r="G2352" s="5" t="n">
        <v>540</v>
      </c>
    </row>
    <row r="2353" customFormat="false" ht="15" hidden="false" customHeight="false" outlineLevel="0" collapsed="false">
      <c r="A2353" s="13" t="s">
        <v>79</v>
      </c>
      <c r="B2353" s="13" t="s">
        <v>43</v>
      </c>
      <c r="C2353" s="13" t="s">
        <v>5</v>
      </c>
      <c r="D2353" s="13" t="s">
        <v>1642</v>
      </c>
      <c r="E2353" s="16" t="n">
        <v>534</v>
      </c>
      <c r="F2353" s="7" t="n">
        <v>1</v>
      </c>
      <c r="G2353" s="5" t="n">
        <v>530</v>
      </c>
    </row>
    <row r="2354" customFormat="false" ht="15" hidden="false" customHeight="false" outlineLevel="0" collapsed="false">
      <c r="A2354" s="13" t="s">
        <v>179</v>
      </c>
      <c r="B2354" s="13" t="s">
        <v>180</v>
      </c>
      <c r="C2354" s="13" t="s">
        <v>3</v>
      </c>
      <c r="D2354" s="13" t="s">
        <v>1643</v>
      </c>
      <c r="E2354" s="16" t="n">
        <v>89</v>
      </c>
      <c r="F2354" s="7" t="n">
        <v>5</v>
      </c>
      <c r="G2354" s="5" t="n">
        <v>530</v>
      </c>
    </row>
    <row r="2355" customFormat="false" ht="15" hidden="false" customHeight="false" outlineLevel="0" collapsed="false">
      <c r="A2355" s="13" t="s">
        <v>50</v>
      </c>
      <c r="B2355" s="13" t="s">
        <v>43</v>
      </c>
      <c r="C2355" s="13" t="s">
        <v>5</v>
      </c>
      <c r="D2355" s="13" t="s">
        <v>1017</v>
      </c>
      <c r="E2355" s="16" t="n">
        <v>532.97</v>
      </c>
      <c r="F2355" s="7" t="n">
        <v>1</v>
      </c>
      <c r="G2355" s="5" t="n">
        <v>530</v>
      </c>
    </row>
    <row r="2356" customFormat="false" ht="15" hidden="false" customHeight="false" outlineLevel="0" collapsed="false">
      <c r="A2356" s="13" t="s">
        <v>105</v>
      </c>
      <c r="B2356" s="13" t="s">
        <v>43</v>
      </c>
      <c r="C2356" s="13" t="s">
        <v>5</v>
      </c>
      <c r="D2356" s="13" t="s">
        <v>1644</v>
      </c>
      <c r="E2356" s="16" t="n">
        <v>525.59</v>
      </c>
      <c r="F2356" s="7" t="n">
        <v>1</v>
      </c>
      <c r="G2356" s="5" t="n">
        <v>530</v>
      </c>
    </row>
    <row r="2357" customFormat="false" ht="15" hidden="false" customHeight="false" outlineLevel="0" collapsed="false">
      <c r="A2357" s="13" t="s">
        <v>72</v>
      </c>
      <c r="B2357" s="13" t="s">
        <v>43</v>
      </c>
      <c r="C2357" s="13" t="s">
        <v>5</v>
      </c>
      <c r="D2357" s="13" t="s">
        <v>807</v>
      </c>
      <c r="E2357" s="16" t="n">
        <v>526.03</v>
      </c>
      <c r="F2357" s="7" t="n">
        <v>1</v>
      </c>
      <c r="G2357" s="5" t="n">
        <v>530</v>
      </c>
    </row>
    <row r="2358" customFormat="false" ht="15" hidden="false" customHeight="false" outlineLevel="0" collapsed="false">
      <c r="A2358" s="13" t="s">
        <v>45</v>
      </c>
      <c r="B2358" s="13" t="s">
        <v>43</v>
      </c>
      <c r="C2358" s="13" t="s">
        <v>4</v>
      </c>
      <c r="D2358" s="13" t="s">
        <v>1645</v>
      </c>
      <c r="E2358" s="16" t="n">
        <v>265.05</v>
      </c>
      <c r="F2358" s="7" t="n">
        <v>2</v>
      </c>
      <c r="G2358" s="5" t="n">
        <v>530</v>
      </c>
    </row>
    <row r="2359" customFormat="false" ht="15" hidden="false" customHeight="false" outlineLevel="0" collapsed="false">
      <c r="A2359" s="13" t="s">
        <v>42</v>
      </c>
      <c r="B2359" s="13" t="s">
        <v>43</v>
      </c>
      <c r="C2359" s="13" t="s">
        <v>4</v>
      </c>
      <c r="D2359" s="13" t="s">
        <v>244</v>
      </c>
      <c r="E2359" s="16" t="n">
        <v>534.86</v>
      </c>
      <c r="F2359" s="7" t="n">
        <v>1</v>
      </c>
      <c r="G2359" s="5" t="n">
        <v>530</v>
      </c>
    </row>
    <row r="2360" customFormat="false" ht="15" hidden="false" customHeight="false" outlineLevel="0" collapsed="false">
      <c r="A2360" s="13" t="s">
        <v>255</v>
      </c>
      <c r="B2360" s="13" t="s">
        <v>43</v>
      </c>
      <c r="C2360" s="13" t="s">
        <v>4</v>
      </c>
      <c r="D2360" s="13" t="s">
        <v>1646</v>
      </c>
      <c r="E2360" s="16" t="n">
        <v>263.12</v>
      </c>
      <c r="F2360" s="7" t="n">
        <v>2</v>
      </c>
      <c r="G2360" s="5" t="n">
        <v>530</v>
      </c>
    </row>
    <row r="2361" customFormat="false" ht="15" hidden="false" customHeight="false" outlineLevel="0" collapsed="false">
      <c r="A2361" s="13" t="s">
        <v>42</v>
      </c>
      <c r="B2361" s="13" t="s">
        <v>43</v>
      </c>
      <c r="C2361" s="13" t="s">
        <v>4</v>
      </c>
      <c r="D2361" s="13" t="s">
        <v>91</v>
      </c>
      <c r="E2361" s="16" t="n">
        <v>528.36</v>
      </c>
      <c r="F2361" s="7" t="n">
        <v>1</v>
      </c>
      <c r="G2361" s="5" t="n">
        <v>530</v>
      </c>
    </row>
    <row r="2362" customFormat="false" ht="15" hidden="false" customHeight="false" outlineLevel="0" collapsed="false">
      <c r="A2362" s="13" t="s">
        <v>153</v>
      </c>
      <c r="B2362" s="13" t="s">
        <v>43</v>
      </c>
      <c r="C2362" s="13" t="s">
        <v>5</v>
      </c>
      <c r="D2362" s="13" t="s">
        <v>1007</v>
      </c>
      <c r="E2362" s="16" t="n">
        <v>528</v>
      </c>
      <c r="F2362" s="7" t="n">
        <v>1</v>
      </c>
      <c r="G2362" s="5" t="n">
        <v>530</v>
      </c>
    </row>
    <row r="2363" customFormat="false" ht="15" hidden="false" customHeight="false" outlineLevel="0" collapsed="false">
      <c r="A2363" s="13" t="s">
        <v>105</v>
      </c>
      <c r="B2363" s="13" t="s">
        <v>43</v>
      </c>
      <c r="C2363" s="13" t="s">
        <v>5</v>
      </c>
      <c r="D2363" s="13" t="s">
        <v>1647</v>
      </c>
      <c r="E2363" s="16" t="n">
        <v>528.52</v>
      </c>
      <c r="F2363" s="7" t="n">
        <v>1</v>
      </c>
      <c r="G2363" s="5" t="n">
        <v>530</v>
      </c>
    </row>
    <row r="2364" customFormat="false" ht="15" hidden="false" customHeight="false" outlineLevel="0" collapsed="false">
      <c r="A2364" s="13" t="s">
        <v>105</v>
      </c>
      <c r="B2364" s="13" t="s">
        <v>43</v>
      </c>
      <c r="C2364" s="13" t="s">
        <v>5</v>
      </c>
      <c r="D2364" s="13" t="s">
        <v>1648</v>
      </c>
      <c r="E2364" s="16" t="n">
        <v>525.59</v>
      </c>
      <c r="F2364" s="7" t="n">
        <v>1</v>
      </c>
      <c r="G2364" s="5" t="n">
        <v>530</v>
      </c>
    </row>
    <row r="2365" customFormat="false" ht="15" hidden="false" customHeight="false" outlineLevel="0" collapsed="false">
      <c r="A2365" s="13" t="s">
        <v>50</v>
      </c>
      <c r="B2365" s="13" t="s">
        <v>43</v>
      </c>
      <c r="C2365" s="13" t="s">
        <v>5</v>
      </c>
      <c r="D2365" s="13" t="s">
        <v>1628</v>
      </c>
      <c r="E2365" s="16" t="n">
        <v>532.97</v>
      </c>
      <c r="F2365" s="7" t="n">
        <v>1</v>
      </c>
      <c r="G2365" s="5" t="n">
        <v>530</v>
      </c>
    </row>
    <row r="2366" customFormat="false" ht="15" hidden="false" customHeight="false" outlineLevel="0" collapsed="false">
      <c r="A2366" s="13" t="s">
        <v>54</v>
      </c>
      <c r="B2366" s="13" t="s">
        <v>43</v>
      </c>
      <c r="C2366" s="13" t="s">
        <v>5</v>
      </c>
      <c r="D2366" s="13" t="s">
        <v>1649</v>
      </c>
      <c r="E2366" s="16" t="n">
        <v>528.85</v>
      </c>
      <c r="F2366" s="7" t="n">
        <v>1</v>
      </c>
      <c r="G2366" s="5" t="n">
        <v>530</v>
      </c>
    </row>
    <row r="2367" customFormat="false" ht="15" hidden="false" customHeight="false" outlineLevel="0" collapsed="false">
      <c r="A2367" s="13" t="s">
        <v>54</v>
      </c>
      <c r="B2367" s="13" t="s">
        <v>43</v>
      </c>
      <c r="C2367" s="13" t="s">
        <v>5</v>
      </c>
      <c r="D2367" s="13" t="s">
        <v>1650</v>
      </c>
      <c r="E2367" s="16" t="n">
        <v>530.9</v>
      </c>
      <c r="F2367" s="7" t="n">
        <v>1</v>
      </c>
      <c r="G2367" s="5" t="n">
        <v>530</v>
      </c>
    </row>
    <row r="2368" customFormat="false" ht="15" hidden="false" customHeight="false" outlineLevel="0" collapsed="false">
      <c r="A2368" s="13" t="s">
        <v>50</v>
      </c>
      <c r="B2368" s="13" t="s">
        <v>43</v>
      </c>
      <c r="C2368" s="13" t="s">
        <v>4</v>
      </c>
      <c r="D2368" s="13" t="s">
        <v>51</v>
      </c>
      <c r="E2368" s="16" t="n">
        <v>515.23</v>
      </c>
      <c r="F2368" s="7" t="n">
        <v>1</v>
      </c>
      <c r="G2368" s="5" t="n">
        <v>520</v>
      </c>
    </row>
    <row r="2369" customFormat="false" ht="15" hidden="false" customHeight="false" outlineLevel="0" collapsed="false">
      <c r="A2369" s="13" t="s">
        <v>124</v>
      </c>
      <c r="B2369" s="13" t="s">
        <v>43</v>
      </c>
      <c r="C2369" s="13" t="s">
        <v>5</v>
      </c>
      <c r="D2369" s="13" t="s">
        <v>1651</v>
      </c>
      <c r="E2369" s="16" t="n">
        <v>515.51</v>
      </c>
      <c r="F2369" s="7" t="n">
        <v>1</v>
      </c>
      <c r="G2369" s="5" t="n">
        <v>520</v>
      </c>
    </row>
    <row r="2370" customFormat="false" ht="15" hidden="false" customHeight="false" outlineLevel="0" collapsed="false">
      <c r="A2370" s="13" t="s">
        <v>153</v>
      </c>
      <c r="B2370" s="13" t="s">
        <v>43</v>
      </c>
      <c r="C2370" s="13" t="s">
        <v>4</v>
      </c>
      <c r="D2370" s="13" t="s">
        <v>1073</v>
      </c>
      <c r="E2370" s="16" t="n">
        <v>519.37</v>
      </c>
      <c r="F2370" s="7" t="n">
        <v>1</v>
      </c>
      <c r="G2370" s="5" t="n">
        <v>520</v>
      </c>
    </row>
    <row r="2371" customFormat="false" ht="15" hidden="false" customHeight="false" outlineLevel="0" collapsed="false">
      <c r="A2371" s="13" t="s">
        <v>50</v>
      </c>
      <c r="B2371" s="13" t="s">
        <v>43</v>
      </c>
      <c r="C2371" s="13" t="s">
        <v>4</v>
      </c>
      <c r="D2371" s="13" t="s">
        <v>1652</v>
      </c>
      <c r="E2371" s="16" t="n">
        <v>521.13</v>
      </c>
      <c r="F2371" s="7" t="n">
        <v>1</v>
      </c>
      <c r="G2371" s="5" t="n">
        <v>520</v>
      </c>
    </row>
    <row r="2372" customFormat="false" ht="15" hidden="false" customHeight="false" outlineLevel="0" collapsed="false">
      <c r="A2372" s="13" t="s">
        <v>42</v>
      </c>
      <c r="B2372" s="13" t="s">
        <v>43</v>
      </c>
      <c r="C2372" s="13" t="s">
        <v>5</v>
      </c>
      <c r="D2372" s="13" t="s">
        <v>873</v>
      </c>
      <c r="E2372" s="16" t="n">
        <v>260.72</v>
      </c>
      <c r="F2372" s="7" t="n">
        <v>2</v>
      </c>
      <c r="G2372" s="5" t="n">
        <v>520</v>
      </c>
    </row>
    <row r="2373" customFormat="false" ht="15" hidden="false" customHeight="false" outlineLevel="0" collapsed="false">
      <c r="A2373" s="13" t="s">
        <v>42</v>
      </c>
      <c r="B2373" s="13" t="s">
        <v>43</v>
      </c>
      <c r="C2373" s="13" t="s">
        <v>5</v>
      </c>
      <c r="D2373" s="13" t="s">
        <v>1653</v>
      </c>
      <c r="E2373" s="16" t="n">
        <v>520.97</v>
      </c>
      <c r="F2373" s="7" t="n">
        <v>1</v>
      </c>
      <c r="G2373" s="5" t="n">
        <v>520</v>
      </c>
    </row>
    <row r="2374" customFormat="false" ht="15" hidden="false" customHeight="false" outlineLevel="0" collapsed="false">
      <c r="A2374" s="13" t="s">
        <v>42</v>
      </c>
      <c r="B2374" s="13" t="s">
        <v>43</v>
      </c>
      <c r="C2374" s="13" t="s">
        <v>4</v>
      </c>
      <c r="D2374" s="13" t="s">
        <v>345</v>
      </c>
      <c r="E2374" s="16" t="n">
        <v>521.55</v>
      </c>
      <c r="F2374" s="7" t="n">
        <v>1</v>
      </c>
      <c r="G2374" s="5" t="n">
        <v>520</v>
      </c>
    </row>
    <row r="2375" customFormat="false" ht="15" hidden="false" customHeight="false" outlineLevel="0" collapsed="false">
      <c r="A2375" s="13" t="s">
        <v>42</v>
      </c>
      <c r="B2375" s="13" t="s">
        <v>43</v>
      </c>
      <c r="C2375" s="13" t="s">
        <v>5</v>
      </c>
      <c r="D2375" s="13" t="s">
        <v>1654</v>
      </c>
      <c r="E2375" s="16" t="n">
        <v>515.17</v>
      </c>
      <c r="F2375" s="7" t="n">
        <v>1</v>
      </c>
      <c r="G2375" s="5" t="n">
        <v>520</v>
      </c>
    </row>
    <row r="2376" customFormat="false" ht="15" hidden="false" customHeight="false" outlineLevel="0" collapsed="false">
      <c r="A2376" s="13" t="s">
        <v>50</v>
      </c>
      <c r="B2376" s="13" t="s">
        <v>43</v>
      </c>
      <c r="C2376" s="13" t="s">
        <v>5</v>
      </c>
      <c r="D2376" s="13" t="s">
        <v>95</v>
      </c>
      <c r="E2376" s="16" t="n">
        <v>517.99</v>
      </c>
      <c r="F2376" s="7" t="n">
        <v>1</v>
      </c>
      <c r="G2376" s="5" t="n">
        <v>520</v>
      </c>
    </row>
    <row r="2377" customFormat="false" ht="15" hidden="false" customHeight="false" outlineLevel="0" collapsed="false">
      <c r="A2377" s="13" t="s">
        <v>79</v>
      </c>
      <c r="B2377" s="13" t="s">
        <v>43</v>
      </c>
      <c r="C2377" s="13" t="s">
        <v>5</v>
      </c>
      <c r="D2377" s="13" t="s">
        <v>1655</v>
      </c>
      <c r="E2377" s="16" t="n">
        <v>524.55</v>
      </c>
      <c r="F2377" s="7" t="n">
        <v>1</v>
      </c>
      <c r="G2377" s="5" t="n">
        <v>520</v>
      </c>
    </row>
    <row r="2378" customFormat="false" ht="15" hidden="false" customHeight="false" outlineLevel="0" collapsed="false">
      <c r="A2378" s="13" t="s">
        <v>153</v>
      </c>
      <c r="B2378" s="13" t="s">
        <v>43</v>
      </c>
      <c r="C2378" s="13" t="s">
        <v>5</v>
      </c>
      <c r="D2378" s="13" t="s">
        <v>1467</v>
      </c>
      <c r="E2378" s="16" t="n">
        <v>525</v>
      </c>
      <c r="F2378" s="7" t="n">
        <v>1</v>
      </c>
      <c r="G2378" s="5" t="n">
        <v>520</v>
      </c>
    </row>
    <row r="2379" customFormat="false" ht="15" hidden="false" customHeight="false" outlineLevel="0" collapsed="false">
      <c r="A2379" s="13" t="s">
        <v>107</v>
      </c>
      <c r="B2379" s="13" t="s">
        <v>43</v>
      </c>
      <c r="C2379" s="13" t="s">
        <v>5</v>
      </c>
      <c r="D2379" s="13" t="s">
        <v>1656</v>
      </c>
      <c r="E2379" s="16" t="n">
        <v>174.36</v>
      </c>
      <c r="F2379" s="7" t="n">
        <v>2</v>
      </c>
      <c r="G2379" s="5" t="n">
        <v>520</v>
      </c>
    </row>
    <row r="2380" customFormat="false" ht="15" hidden="false" customHeight="false" outlineLevel="0" collapsed="false">
      <c r="A2380" s="13" t="s">
        <v>42</v>
      </c>
      <c r="B2380" s="13" t="s">
        <v>43</v>
      </c>
      <c r="C2380" s="13" t="s">
        <v>5</v>
      </c>
      <c r="D2380" s="13" t="s">
        <v>1657</v>
      </c>
      <c r="E2380" s="16" t="n">
        <v>522</v>
      </c>
      <c r="F2380" s="7" t="n">
        <v>1</v>
      </c>
      <c r="G2380" s="5" t="n">
        <v>520</v>
      </c>
    </row>
    <row r="2381" customFormat="false" ht="15" hidden="false" customHeight="false" outlineLevel="0" collapsed="false">
      <c r="A2381" s="13" t="s">
        <v>45</v>
      </c>
      <c r="B2381" s="13" t="s">
        <v>43</v>
      </c>
      <c r="C2381" s="13" t="s">
        <v>5</v>
      </c>
      <c r="D2381" s="13" t="s">
        <v>1191</v>
      </c>
      <c r="E2381" s="16" t="n">
        <v>516.5</v>
      </c>
      <c r="F2381" s="7" t="n">
        <v>1</v>
      </c>
      <c r="G2381" s="5" t="n">
        <v>520</v>
      </c>
    </row>
    <row r="2382" customFormat="false" ht="15" hidden="false" customHeight="false" outlineLevel="0" collapsed="false">
      <c r="A2382" s="13" t="s">
        <v>97</v>
      </c>
      <c r="B2382" s="13" t="s">
        <v>98</v>
      </c>
      <c r="C2382" s="13" t="s">
        <v>3</v>
      </c>
      <c r="D2382" s="13" t="s">
        <v>1658</v>
      </c>
      <c r="E2382" s="16" t="n">
        <v>169</v>
      </c>
      <c r="F2382" s="7" t="n">
        <v>2</v>
      </c>
      <c r="G2382" s="5" t="n">
        <v>510</v>
      </c>
    </row>
    <row r="2383" customFormat="false" ht="15" hidden="false" customHeight="false" outlineLevel="0" collapsed="false">
      <c r="A2383" s="13" t="s">
        <v>72</v>
      </c>
      <c r="B2383" s="13" t="s">
        <v>43</v>
      </c>
      <c r="C2383" s="13" t="s">
        <v>5</v>
      </c>
      <c r="D2383" s="13" t="s">
        <v>221</v>
      </c>
      <c r="E2383" s="16" t="n">
        <v>507.02</v>
      </c>
      <c r="F2383" s="7" t="n">
        <v>1</v>
      </c>
      <c r="G2383" s="5" t="n">
        <v>510</v>
      </c>
    </row>
    <row r="2384" customFormat="false" ht="15" hidden="false" customHeight="false" outlineLevel="0" collapsed="false">
      <c r="A2384" s="13" t="s">
        <v>42</v>
      </c>
      <c r="B2384" s="13" t="s">
        <v>43</v>
      </c>
      <c r="C2384" s="13" t="s">
        <v>4</v>
      </c>
      <c r="D2384" s="13" t="s">
        <v>1659</v>
      </c>
      <c r="E2384" s="16" t="n">
        <v>257.21</v>
      </c>
      <c r="F2384" s="7" t="n">
        <v>2</v>
      </c>
      <c r="G2384" s="5" t="n">
        <v>510</v>
      </c>
    </row>
    <row r="2385" customFormat="false" ht="15" hidden="false" customHeight="false" outlineLevel="0" collapsed="false">
      <c r="A2385" s="13" t="s">
        <v>153</v>
      </c>
      <c r="B2385" s="13" t="s">
        <v>43</v>
      </c>
      <c r="C2385" s="13" t="s">
        <v>5</v>
      </c>
      <c r="D2385" s="13" t="s">
        <v>1660</v>
      </c>
      <c r="E2385" s="16" t="n">
        <v>507.66</v>
      </c>
      <c r="F2385" s="7" t="n">
        <v>1</v>
      </c>
      <c r="G2385" s="5" t="n">
        <v>510</v>
      </c>
    </row>
    <row r="2386" customFormat="false" ht="15" hidden="false" customHeight="false" outlineLevel="0" collapsed="false">
      <c r="A2386" s="13" t="s">
        <v>490</v>
      </c>
      <c r="B2386" s="13" t="s">
        <v>43</v>
      </c>
      <c r="C2386" s="13" t="s">
        <v>5</v>
      </c>
      <c r="D2386" s="13" t="s">
        <v>1621</v>
      </c>
      <c r="E2386" s="16" t="n">
        <v>512</v>
      </c>
      <c r="F2386" s="7" t="n">
        <v>1</v>
      </c>
      <c r="G2386" s="5" t="n">
        <v>510</v>
      </c>
    </row>
    <row r="2387" customFormat="false" ht="15" hidden="false" customHeight="false" outlineLevel="0" collapsed="false">
      <c r="A2387" s="13" t="s">
        <v>186</v>
      </c>
      <c r="B2387" s="13" t="s">
        <v>43</v>
      </c>
      <c r="C2387" s="13" t="s">
        <v>4</v>
      </c>
      <c r="D2387" s="13" t="s">
        <v>1661</v>
      </c>
      <c r="E2387" s="16" t="n">
        <v>514.02</v>
      </c>
      <c r="F2387" s="7" t="n">
        <v>1</v>
      </c>
      <c r="G2387" s="5" t="n">
        <v>510</v>
      </c>
    </row>
    <row r="2388" customFormat="false" ht="15" hidden="false" customHeight="false" outlineLevel="0" collapsed="false">
      <c r="A2388" s="13" t="s">
        <v>161</v>
      </c>
      <c r="B2388" s="13" t="s">
        <v>43</v>
      </c>
      <c r="C2388" s="13" t="s">
        <v>4</v>
      </c>
      <c r="D2388" s="13" t="s">
        <v>1662</v>
      </c>
      <c r="E2388" s="16" t="n">
        <v>255.59</v>
      </c>
      <c r="F2388" s="7" t="n">
        <v>2</v>
      </c>
      <c r="G2388" s="5" t="n">
        <v>510</v>
      </c>
    </row>
    <row r="2389" customFormat="false" ht="15" hidden="false" customHeight="false" outlineLevel="0" collapsed="false">
      <c r="A2389" s="13" t="s">
        <v>50</v>
      </c>
      <c r="B2389" s="13" t="s">
        <v>43</v>
      </c>
      <c r="C2389" s="13" t="s">
        <v>4</v>
      </c>
      <c r="D2389" s="13" t="s">
        <v>1663</v>
      </c>
      <c r="E2389" s="16" t="n">
        <v>514.28</v>
      </c>
      <c r="F2389" s="7" t="n">
        <v>1</v>
      </c>
      <c r="G2389" s="5" t="n">
        <v>510</v>
      </c>
    </row>
    <row r="2390" customFormat="false" ht="15" hidden="false" customHeight="false" outlineLevel="0" collapsed="false">
      <c r="A2390" s="13" t="s">
        <v>329</v>
      </c>
      <c r="B2390" s="13" t="s">
        <v>43</v>
      </c>
      <c r="C2390" s="13" t="s">
        <v>5</v>
      </c>
      <c r="D2390" s="13" t="s">
        <v>1202</v>
      </c>
      <c r="E2390" s="16" t="n">
        <v>504</v>
      </c>
      <c r="F2390" s="7" t="n">
        <v>1</v>
      </c>
      <c r="G2390" s="5" t="n">
        <v>500</v>
      </c>
    </row>
    <row r="2391" customFormat="false" ht="15" hidden="false" customHeight="false" outlineLevel="0" collapsed="false">
      <c r="A2391" s="13" t="s">
        <v>329</v>
      </c>
      <c r="B2391" s="13" t="s">
        <v>43</v>
      </c>
      <c r="C2391" s="13" t="s">
        <v>5</v>
      </c>
      <c r="D2391" s="13" t="s">
        <v>575</v>
      </c>
      <c r="E2391" s="16" t="n">
        <v>497.11</v>
      </c>
      <c r="F2391" s="7" t="n">
        <v>1</v>
      </c>
      <c r="G2391" s="5" t="n">
        <v>500</v>
      </c>
    </row>
    <row r="2392" customFormat="false" ht="15" hidden="false" customHeight="false" outlineLevel="0" collapsed="false">
      <c r="A2392" s="13" t="s">
        <v>69</v>
      </c>
      <c r="B2392" s="13" t="s">
        <v>43</v>
      </c>
      <c r="C2392" s="13" t="s">
        <v>5</v>
      </c>
      <c r="D2392" s="13" t="s">
        <v>1664</v>
      </c>
      <c r="E2392" s="16" t="n">
        <v>495.49</v>
      </c>
      <c r="F2392" s="7" t="n">
        <v>1</v>
      </c>
      <c r="G2392" s="5" t="n">
        <v>500</v>
      </c>
    </row>
    <row r="2393" customFormat="false" ht="15" hidden="false" customHeight="false" outlineLevel="0" collapsed="false">
      <c r="A2393" s="13" t="s">
        <v>630</v>
      </c>
      <c r="B2393" s="13" t="s">
        <v>43</v>
      </c>
      <c r="C2393" s="13" t="s">
        <v>5</v>
      </c>
      <c r="D2393" s="13" t="s">
        <v>848</v>
      </c>
      <c r="E2393" s="16" t="n">
        <v>124.45</v>
      </c>
      <c r="F2393" s="7" t="n">
        <v>2</v>
      </c>
      <c r="G2393" s="5" t="n">
        <v>500</v>
      </c>
    </row>
    <row r="2394" customFormat="false" ht="15" hidden="false" customHeight="false" outlineLevel="0" collapsed="false">
      <c r="A2394" s="13" t="s">
        <v>50</v>
      </c>
      <c r="B2394" s="13" t="s">
        <v>43</v>
      </c>
      <c r="C2394" s="13" t="s">
        <v>5</v>
      </c>
      <c r="D2394" s="13" t="s">
        <v>272</v>
      </c>
      <c r="E2394" s="16" t="n">
        <v>500</v>
      </c>
      <c r="F2394" s="7" t="n">
        <v>1</v>
      </c>
      <c r="G2394" s="5" t="n">
        <v>500</v>
      </c>
    </row>
    <row r="2395" customFormat="false" ht="15" hidden="false" customHeight="false" outlineLevel="0" collapsed="false">
      <c r="A2395" s="13" t="s">
        <v>45</v>
      </c>
      <c r="B2395" s="13" t="s">
        <v>43</v>
      </c>
      <c r="C2395" s="13" t="s">
        <v>4</v>
      </c>
      <c r="D2395" s="13" t="s">
        <v>1665</v>
      </c>
      <c r="E2395" s="16" t="n">
        <v>502.77</v>
      </c>
      <c r="F2395" s="7" t="n">
        <v>1</v>
      </c>
      <c r="G2395" s="5" t="n">
        <v>500</v>
      </c>
    </row>
    <row r="2396" customFormat="false" ht="15" hidden="false" customHeight="false" outlineLevel="0" collapsed="false">
      <c r="A2396" s="13" t="s">
        <v>105</v>
      </c>
      <c r="B2396" s="13" t="s">
        <v>43</v>
      </c>
      <c r="C2396" s="13" t="s">
        <v>4</v>
      </c>
      <c r="D2396" s="13" t="s">
        <v>1666</v>
      </c>
      <c r="E2396" s="16" t="n">
        <v>495.41</v>
      </c>
      <c r="F2396" s="7" t="n">
        <v>1</v>
      </c>
      <c r="G2396" s="5" t="n">
        <v>500</v>
      </c>
    </row>
    <row r="2397" customFormat="false" ht="15" hidden="false" customHeight="false" outlineLevel="0" collapsed="false">
      <c r="A2397" s="13" t="s">
        <v>42</v>
      </c>
      <c r="B2397" s="13" t="s">
        <v>43</v>
      </c>
      <c r="C2397" s="13" t="s">
        <v>4</v>
      </c>
      <c r="D2397" s="13" t="s">
        <v>902</v>
      </c>
      <c r="E2397" s="16" t="n">
        <v>497.51</v>
      </c>
      <c r="F2397" s="7" t="n">
        <v>1</v>
      </c>
      <c r="G2397" s="5" t="n">
        <v>500</v>
      </c>
    </row>
    <row r="2398" customFormat="false" ht="15" hidden="false" customHeight="false" outlineLevel="0" collapsed="false">
      <c r="A2398" s="13" t="s">
        <v>315</v>
      </c>
      <c r="B2398" s="13" t="s">
        <v>43</v>
      </c>
      <c r="C2398" s="13" t="s">
        <v>5</v>
      </c>
      <c r="D2398" s="13" t="s">
        <v>906</v>
      </c>
      <c r="E2398" s="16" t="n">
        <v>500.85</v>
      </c>
      <c r="F2398" s="7" t="n">
        <v>1</v>
      </c>
      <c r="G2398" s="5" t="n">
        <v>500</v>
      </c>
    </row>
    <row r="2399" customFormat="false" ht="15" hidden="false" customHeight="false" outlineLevel="0" collapsed="false">
      <c r="A2399" s="13" t="s">
        <v>42</v>
      </c>
      <c r="B2399" s="13" t="s">
        <v>43</v>
      </c>
      <c r="C2399" s="13" t="s">
        <v>4</v>
      </c>
      <c r="D2399" s="13" t="s">
        <v>1667</v>
      </c>
      <c r="E2399" s="16" t="n">
        <v>497.51</v>
      </c>
      <c r="F2399" s="7" t="n">
        <v>1</v>
      </c>
      <c r="G2399" s="5" t="n">
        <v>500</v>
      </c>
    </row>
    <row r="2400" customFormat="false" ht="15" hidden="false" customHeight="false" outlineLevel="0" collapsed="false">
      <c r="A2400" s="13" t="s">
        <v>177</v>
      </c>
      <c r="B2400" s="13" t="s">
        <v>43</v>
      </c>
      <c r="C2400" s="13" t="s">
        <v>4</v>
      </c>
      <c r="D2400" s="13" t="s">
        <v>1668</v>
      </c>
      <c r="E2400" s="16" t="n">
        <v>498.6</v>
      </c>
      <c r="F2400" s="7" t="n">
        <v>1</v>
      </c>
      <c r="G2400" s="5" t="n">
        <v>500</v>
      </c>
    </row>
    <row r="2401" customFormat="false" ht="15" hidden="false" customHeight="false" outlineLevel="0" collapsed="false">
      <c r="A2401" s="13" t="s">
        <v>42</v>
      </c>
      <c r="B2401" s="13" t="s">
        <v>43</v>
      </c>
      <c r="C2401" s="13" t="s">
        <v>4</v>
      </c>
      <c r="D2401" s="13" t="s">
        <v>816</v>
      </c>
      <c r="E2401" s="16" t="n">
        <v>249.15</v>
      </c>
      <c r="F2401" s="7" t="n">
        <v>2</v>
      </c>
      <c r="G2401" s="5" t="n">
        <v>500</v>
      </c>
    </row>
    <row r="2402" customFormat="false" ht="15" hidden="false" customHeight="false" outlineLevel="0" collapsed="false">
      <c r="A2402" s="13" t="s">
        <v>204</v>
      </c>
      <c r="B2402" s="13" t="s">
        <v>43</v>
      </c>
      <c r="C2402" s="13" t="s">
        <v>4</v>
      </c>
      <c r="D2402" s="13" t="s">
        <v>1669</v>
      </c>
      <c r="E2402" s="16" t="n">
        <v>501.11</v>
      </c>
      <c r="F2402" s="7" t="n">
        <v>1</v>
      </c>
      <c r="G2402" s="5" t="n">
        <v>500</v>
      </c>
    </row>
    <row r="2403" customFormat="false" ht="15" hidden="false" customHeight="false" outlineLevel="0" collapsed="false">
      <c r="A2403" s="13" t="s">
        <v>54</v>
      </c>
      <c r="B2403" s="13" t="s">
        <v>43</v>
      </c>
      <c r="C2403" s="13" t="s">
        <v>5</v>
      </c>
      <c r="D2403" s="13" t="s">
        <v>1086</v>
      </c>
      <c r="E2403" s="16" t="n">
        <v>495.85</v>
      </c>
      <c r="F2403" s="7" t="n">
        <v>1</v>
      </c>
      <c r="G2403" s="5" t="n">
        <v>500</v>
      </c>
    </row>
    <row r="2404" customFormat="false" ht="15" hidden="false" customHeight="false" outlineLevel="0" collapsed="false">
      <c r="A2404" s="13" t="s">
        <v>50</v>
      </c>
      <c r="B2404" s="13" t="s">
        <v>43</v>
      </c>
      <c r="C2404" s="13" t="s">
        <v>5</v>
      </c>
      <c r="D2404" s="13" t="s">
        <v>1670</v>
      </c>
      <c r="E2404" s="16" t="n">
        <v>494</v>
      </c>
      <c r="F2404" s="7" t="n">
        <v>1</v>
      </c>
      <c r="G2404" s="5" t="n">
        <v>490</v>
      </c>
    </row>
    <row r="2405" customFormat="false" ht="15" hidden="false" customHeight="false" outlineLevel="0" collapsed="false">
      <c r="A2405" s="13" t="s">
        <v>105</v>
      </c>
      <c r="B2405" s="13" t="s">
        <v>43</v>
      </c>
      <c r="C2405" s="13" t="s">
        <v>4</v>
      </c>
      <c r="D2405" s="13" t="s">
        <v>288</v>
      </c>
      <c r="E2405" s="16" t="n">
        <v>494.34</v>
      </c>
      <c r="F2405" s="7" t="n">
        <v>1</v>
      </c>
      <c r="G2405" s="5" t="n">
        <v>490</v>
      </c>
    </row>
    <row r="2406" customFormat="false" ht="15" hidden="false" customHeight="false" outlineLevel="0" collapsed="false">
      <c r="A2406" s="13" t="s">
        <v>79</v>
      </c>
      <c r="B2406" s="13" t="s">
        <v>43</v>
      </c>
      <c r="C2406" s="13" t="s">
        <v>4</v>
      </c>
      <c r="D2406" s="13" t="s">
        <v>1671</v>
      </c>
      <c r="E2406" s="16" t="n">
        <v>492.55</v>
      </c>
      <c r="F2406" s="7" t="n">
        <v>1</v>
      </c>
      <c r="G2406" s="5" t="n">
        <v>490</v>
      </c>
    </row>
    <row r="2407" customFormat="false" ht="15" hidden="false" customHeight="false" outlineLevel="0" collapsed="false">
      <c r="A2407" s="13" t="s">
        <v>329</v>
      </c>
      <c r="B2407" s="13" t="s">
        <v>43</v>
      </c>
      <c r="C2407" s="13" t="s">
        <v>4</v>
      </c>
      <c r="D2407" s="13" t="s">
        <v>635</v>
      </c>
      <c r="E2407" s="16" t="n">
        <v>493.05</v>
      </c>
      <c r="F2407" s="7" t="n">
        <v>1</v>
      </c>
      <c r="G2407" s="5" t="n">
        <v>490</v>
      </c>
    </row>
    <row r="2408" customFormat="false" ht="15" hidden="false" customHeight="false" outlineLevel="0" collapsed="false">
      <c r="A2408" s="13" t="s">
        <v>107</v>
      </c>
      <c r="B2408" s="13" t="s">
        <v>183</v>
      </c>
      <c r="C2408" s="13" t="s">
        <v>5</v>
      </c>
      <c r="D2408" s="13" t="s">
        <v>1672</v>
      </c>
      <c r="E2408" s="16" t="n">
        <v>163</v>
      </c>
      <c r="F2408" s="7" t="n">
        <v>2</v>
      </c>
      <c r="G2408" s="5" t="n">
        <v>490</v>
      </c>
    </row>
    <row r="2409" customFormat="false" ht="15" hidden="false" customHeight="false" outlineLevel="0" collapsed="false">
      <c r="A2409" s="13" t="s">
        <v>45</v>
      </c>
      <c r="B2409" s="13" t="s">
        <v>43</v>
      </c>
      <c r="C2409" s="13" t="s">
        <v>4</v>
      </c>
      <c r="D2409" s="13" t="s">
        <v>1673</v>
      </c>
      <c r="E2409" s="16" t="n">
        <v>492.37</v>
      </c>
      <c r="F2409" s="7" t="n">
        <v>1</v>
      </c>
      <c r="G2409" s="5" t="n">
        <v>490</v>
      </c>
    </row>
    <row r="2410" customFormat="false" ht="15" hidden="false" customHeight="false" outlineLevel="0" collapsed="false">
      <c r="A2410" s="13" t="s">
        <v>191</v>
      </c>
      <c r="B2410" s="13" t="s">
        <v>140</v>
      </c>
      <c r="C2410" s="13" t="s">
        <v>3</v>
      </c>
      <c r="D2410" s="13" t="s">
        <v>1674</v>
      </c>
      <c r="E2410" s="16" t="n">
        <v>25.99</v>
      </c>
      <c r="F2410" s="7" t="n">
        <v>20</v>
      </c>
      <c r="G2410" s="5" t="n">
        <v>490</v>
      </c>
    </row>
    <row r="2411" customFormat="false" ht="15" hidden="false" customHeight="false" outlineLevel="0" collapsed="false">
      <c r="A2411" s="13" t="s">
        <v>42</v>
      </c>
      <c r="B2411" s="13" t="s">
        <v>43</v>
      </c>
      <c r="C2411" s="13" t="s">
        <v>5</v>
      </c>
      <c r="D2411" s="13" t="s">
        <v>1675</v>
      </c>
      <c r="E2411" s="16" t="n">
        <v>488.47</v>
      </c>
      <c r="F2411" s="7" t="n">
        <v>1</v>
      </c>
      <c r="G2411" s="5" t="n">
        <v>490</v>
      </c>
    </row>
    <row r="2412" customFormat="false" ht="15" hidden="false" customHeight="false" outlineLevel="0" collapsed="false">
      <c r="A2412" s="13" t="s">
        <v>45</v>
      </c>
      <c r="B2412" s="13" t="s">
        <v>43</v>
      </c>
      <c r="C2412" s="13" t="s">
        <v>5</v>
      </c>
      <c r="D2412" s="13" t="s">
        <v>1676</v>
      </c>
      <c r="E2412" s="16" t="n">
        <v>491</v>
      </c>
      <c r="F2412" s="7" t="n">
        <v>1</v>
      </c>
      <c r="G2412" s="5" t="n">
        <v>490</v>
      </c>
    </row>
    <row r="2413" customFormat="false" ht="15" hidden="false" customHeight="false" outlineLevel="0" collapsed="false">
      <c r="A2413" s="13" t="s">
        <v>69</v>
      </c>
      <c r="B2413" s="13" t="s">
        <v>43</v>
      </c>
      <c r="C2413" s="13" t="s">
        <v>5</v>
      </c>
      <c r="D2413" s="13" t="s">
        <v>1246</v>
      </c>
      <c r="E2413" s="16" t="n">
        <v>489.69</v>
      </c>
      <c r="F2413" s="7" t="n">
        <v>1</v>
      </c>
      <c r="G2413" s="5" t="n">
        <v>490</v>
      </c>
    </row>
    <row r="2414" customFormat="false" ht="15" hidden="false" customHeight="false" outlineLevel="0" collapsed="false">
      <c r="A2414" s="13" t="s">
        <v>153</v>
      </c>
      <c r="B2414" s="13" t="s">
        <v>43</v>
      </c>
      <c r="C2414" s="13" t="s">
        <v>5</v>
      </c>
      <c r="D2414" s="13" t="s">
        <v>1677</v>
      </c>
      <c r="E2414" s="16" t="n">
        <v>493.04</v>
      </c>
      <c r="F2414" s="7" t="n">
        <v>1</v>
      </c>
      <c r="G2414" s="5" t="n">
        <v>490</v>
      </c>
    </row>
    <row r="2415" customFormat="false" ht="15" hidden="false" customHeight="false" outlineLevel="0" collapsed="false">
      <c r="A2415" s="13" t="s">
        <v>79</v>
      </c>
      <c r="B2415" s="13" t="s">
        <v>43</v>
      </c>
      <c r="C2415" s="13" t="s">
        <v>5</v>
      </c>
      <c r="D2415" s="13" t="s">
        <v>426</v>
      </c>
      <c r="E2415" s="16" t="n">
        <v>489</v>
      </c>
      <c r="F2415" s="7" t="n">
        <v>1</v>
      </c>
      <c r="G2415" s="5" t="n">
        <v>490</v>
      </c>
    </row>
    <row r="2416" customFormat="false" ht="15" hidden="false" customHeight="false" outlineLevel="0" collapsed="false">
      <c r="A2416" s="13" t="s">
        <v>105</v>
      </c>
      <c r="B2416" s="13" t="s">
        <v>43</v>
      </c>
      <c r="C2416" s="13" t="s">
        <v>5</v>
      </c>
      <c r="D2416" s="13" t="s">
        <v>402</v>
      </c>
      <c r="E2416" s="16" t="n">
        <v>488.82</v>
      </c>
      <c r="F2416" s="7" t="n">
        <v>1</v>
      </c>
      <c r="G2416" s="5" t="n">
        <v>490</v>
      </c>
    </row>
    <row r="2417" customFormat="false" ht="15" hidden="false" customHeight="false" outlineLevel="0" collapsed="false">
      <c r="A2417" s="13" t="s">
        <v>105</v>
      </c>
      <c r="B2417" s="13" t="s">
        <v>43</v>
      </c>
      <c r="C2417" s="13" t="s">
        <v>5</v>
      </c>
      <c r="D2417" s="13" t="s">
        <v>1678</v>
      </c>
      <c r="E2417" s="16" t="n">
        <v>487.28</v>
      </c>
      <c r="F2417" s="7" t="n">
        <v>1</v>
      </c>
      <c r="G2417" s="5" t="n">
        <v>490</v>
      </c>
    </row>
    <row r="2418" customFormat="false" ht="15" hidden="false" customHeight="false" outlineLevel="0" collapsed="false">
      <c r="A2418" s="13" t="s">
        <v>50</v>
      </c>
      <c r="B2418" s="13" t="s">
        <v>43</v>
      </c>
      <c r="C2418" s="13" t="s">
        <v>5</v>
      </c>
      <c r="D2418" s="13" t="s">
        <v>1679</v>
      </c>
      <c r="E2418" s="16" t="n">
        <v>486.1</v>
      </c>
      <c r="F2418" s="7" t="n">
        <v>1</v>
      </c>
      <c r="G2418" s="5" t="n">
        <v>490</v>
      </c>
    </row>
    <row r="2419" customFormat="false" ht="15" hidden="false" customHeight="false" outlineLevel="0" collapsed="false">
      <c r="A2419" s="13" t="s">
        <v>50</v>
      </c>
      <c r="B2419" s="13" t="s">
        <v>43</v>
      </c>
      <c r="C2419" s="13" t="s">
        <v>5</v>
      </c>
      <c r="D2419" s="13" t="s">
        <v>793</v>
      </c>
      <c r="E2419" s="16" t="n">
        <v>494</v>
      </c>
      <c r="F2419" s="7" t="n">
        <v>1</v>
      </c>
      <c r="G2419" s="5" t="n">
        <v>490</v>
      </c>
    </row>
    <row r="2420" customFormat="false" ht="15" hidden="false" customHeight="false" outlineLevel="0" collapsed="false">
      <c r="A2420" s="13" t="s">
        <v>195</v>
      </c>
      <c r="B2420" s="13" t="s">
        <v>43</v>
      </c>
      <c r="C2420" s="13" t="s">
        <v>5</v>
      </c>
      <c r="D2420" s="13" t="s">
        <v>1680</v>
      </c>
      <c r="E2420" s="16" t="n">
        <v>243.385</v>
      </c>
      <c r="F2420" s="7" t="n">
        <v>2</v>
      </c>
      <c r="G2420" s="5" t="n">
        <v>490</v>
      </c>
    </row>
    <row r="2421" customFormat="false" ht="15" hidden="false" customHeight="false" outlineLevel="0" collapsed="false">
      <c r="A2421" s="13" t="s">
        <v>107</v>
      </c>
      <c r="B2421" s="13" t="s">
        <v>43</v>
      </c>
      <c r="C2421" s="13" t="s">
        <v>5</v>
      </c>
      <c r="D2421" s="13" t="s">
        <v>222</v>
      </c>
      <c r="E2421" s="16" t="n">
        <v>243.61</v>
      </c>
      <c r="F2421" s="7" t="n">
        <v>2</v>
      </c>
      <c r="G2421" s="5" t="n">
        <v>490</v>
      </c>
    </row>
    <row r="2422" customFormat="false" ht="15" hidden="false" customHeight="false" outlineLevel="0" collapsed="false">
      <c r="A2422" s="13" t="s">
        <v>61</v>
      </c>
      <c r="B2422" s="13" t="s">
        <v>43</v>
      </c>
      <c r="C2422" s="13" t="s">
        <v>5</v>
      </c>
      <c r="D2422" s="13" t="s">
        <v>1681</v>
      </c>
      <c r="E2422" s="16" t="n">
        <v>243.36</v>
      </c>
      <c r="F2422" s="7" t="n">
        <v>2</v>
      </c>
      <c r="G2422" s="5" t="n">
        <v>490</v>
      </c>
    </row>
    <row r="2423" customFormat="false" ht="15" hidden="false" customHeight="false" outlineLevel="0" collapsed="false">
      <c r="A2423" s="13" t="s">
        <v>45</v>
      </c>
      <c r="B2423" s="13" t="s">
        <v>43</v>
      </c>
      <c r="C2423" s="13" t="s">
        <v>4</v>
      </c>
      <c r="D2423" s="13" t="s">
        <v>1682</v>
      </c>
      <c r="E2423" s="16" t="n">
        <v>483.12</v>
      </c>
      <c r="F2423" s="7" t="n">
        <v>1</v>
      </c>
      <c r="G2423" s="5" t="n">
        <v>480</v>
      </c>
    </row>
    <row r="2424" customFormat="false" ht="15" hidden="false" customHeight="false" outlineLevel="0" collapsed="false">
      <c r="A2424" s="13" t="s">
        <v>45</v>
      </c>
      <c r="B2424" s="13" t="s">
        <v>43</v>
      </c>
      <c r="C2424" s="13" t="s">
        <v>4</v>
      </c>
      <c r="D2424" s="13" t="s">
        <v>1683</v>
      </c>
      <c r="E2424" s="16" t="n">
        <v>237.96</v>
      </c>
      <c r="F2424" s="7" t="n">
        <v>2</v>
      </c>
      <c r="G2424" s="5" t="n">
        <v>480</v>
      </c>
    </row>
    <row r="2425" customFormat="false" ht="15" hidden="false" customHeight="false" outlineLevel="0" collapsed="false">
      <c r="A2425" s="13" t="s">
        <v>165</v>
      </c>
      <c r="B2425" s="13" t="s">
        <v>43</v>
      </c>
      <c r="C2425" s="13" t="s">
        <v>5</v>
      </c>
      <c r="D2425" s="13" t="s">
        <v>1684</v>
      </c>
      <c r="E2425" s="16" t="n">
        <v>485</v>
      </c>
      <c r="F2425" s="7" t="n">
        <v>1</v>
      </c>
      <c r="G2425" s="5" t="n">
        <v>480</v>
      </c>
    </row>
    <row r="2426" customFormat="false" ht="15" hidden="false" customHeight="false" outlineLevel="0" collapsed="false">
      <c r="A2426" s="13" t="s">
        <v>107</v>
      </c>
      <c r="B2426" s="13" t="s">
        <v>43</v>
      </c>
      <c r="C2426" s="13" t="s">
        <v>5</v>
      </c>
      <c r="D2426" s="13" t="s">
        <v>1685</v>
      </c>
      <c r="E2426" s="16" t="n">
        <v>238.85</v>
      </c>
      <c r="F2426" s="7" t="n">
        <v>2</v>
      </c>
      <c r="G2426" s="5" t="n">
        <v>480</v>
      </c>
    </row>
    <row r="2427" customFormat="false" ht="15" hidden="false" customHeight="false" outlineLevel="0" collapsed="false">
      <c r="A2427" s="13" t="s">
        <v>490</v>
      </c>
      <c r="B2427" s="13" t="s">
        <v>43</v>
      </c>
      <c r="C2427" s="13" t="s">
        <v>4</v>
      </c>
      <c r="D2427" s="13" t="s">
        <v>1686</v>
      </c>
      <c r="E2427" s="16" t="n">
        <v>161.1</v>
      </c>
      <c r="F2427" s="7" t="n">
        <v>2</v>
      </c>
      <c r="G2427" s="5" t="n">
        <v>480</v>
      </c>
    </row>
    <row r="2428" customFormat="false" ht="15" hidden="false" customHeight="false" outlineLevel="0" collapsed="false">
      <c r="A2428" s="13" t="s">
        <v>45</v>
      </c>
      <c r="B2428" s="13" t="s">
        <v>43</v>
      </c>
      <c r="C2428" s="13" t="s">
        <v>4</v>
      </c>
      <c r="D2428" s="13" t="s">
        <v>1687</v>
      </c>
      <c r="E2428" s="16" t="n">
        <v>483.12</v>
      </c>
      <c r="F2428" s="7" t="n">
        <v>1</v>
      </c>
      <c r="G2428" s="5" t="n">
        <v>480</v>
      </c>
    </row>
    <row r="2429" customFormat="false" ht="15" hidden="false" customHeight="false" outlineLevel="0" collapsed="false">
      <c r="A2429" s="13" t="s">
        <v>255</v>
      </c>
      <c r="B2429" s="13" t="s">
        <v>43</v>
      </c>
      <c r="C2429" s="13" t="s">
        <v>4</v>
      </c>
      <c r="D2429" s="13" t="s">
        <v>1688</v>
      </c>
      <c r="E2429" s="16" t="n">
        <v>240.72</v>
      </c>
      <c r="F2429" s="7" t="n">
        <v>2</v>
      </c>
      <c r="G2429" s="5" t="n">
        <v>480</v>
      </c>
    </row>
    <row r="2430" customFormat="false" ht="15" hidden="false" customHeight="false" outlineLevel="0" collapsed="false">
      <c r="A2430" s="13" t="s">
        <v>72</v>
      </c>
      <c r="B2430" s="13" t="s">
        <v>43</v>
      </c>
      <c r="C2430" s="13" t="s">
        <v>5</v>
      </c>
      <c r="D2430" s="13" t="s">
        <v>1689</v>
      </c>
      <c r="E2430" s="16" t="n">
        <v>483.59</v>
      </c>
      <c r="F2430" s="7" t="n">
        <v>1</v>
      </c>
      <c r="G2430" s="5" t="n">
        <v>480</v>
      </c>
    </row>
    <row r="2431" customFormat="false" ht="15" hidden="false" customHeight="false" outlineLevel="0" collapsed="false">
      <c r="A2431" s="13" t="s">
        <v>153</v>
      </c>
      <c r="B2431" s="13" t="s">
        <v>43</v>
      </c>
      <c r="C2431" s="13" t="s">
        <v>5</v>
      </c>
      <c r="D2431" s="13" t="s">
        <v>1241</v>
      </c>
      <c r="E2431" s="16" t="n">
        <v>484.85</v>
      </c>
      <c r="F2431" s="7" t="n">
        <v>1</v>
      </c>
      <c r="G2431" s="5" t="n">
        <v>480</v>
      </c>
    </row>
    <row r="2432" customFormat="false" ht="15" hidden="false" customHeight="false" outlineLevel="0" collapsed="false">
      <c r="A2432" s="13" t="s">
        <v>79</v>
      </c>
      <c r="B2432" s="13" t="s">
        <v>43</v>
      </c>
      <c r="C2432" s="13" t="s">
        <v>3</v>
      </c>
      <c r="D2432" s="13" t="s">
        <v>426</v>
      </c>
      <c r="E2432" s="16" t="n">
        <v>475.29</v>
      </c>
      <c r="F2432" s="7" t="n">
        <v>1</v>
      </c>
      <c r="G2432" s="5" t="n">
        <v>480</v>
      </c>
    </row>
    <row r="2433" customFormat="false" ht="15" hidden="false" customHeight="false" outlineLevel="0" collapsed="false">
      <c r="A2433" s="13" t="s">
        <v>107</v>
      </c>
      <c r="B2433" s="13" t="s">
        <v>43</v>
      </c>
      <c r="C2433" s="13" t="s">
        <v>5</v>
      </c>
      <c r="D2433" s="13" t="s">
        <v>1690</v>
      </c>
      <c r="E2433" s="16" t="n">
        <v>239.9</v>
      </c>
      <c r="F2433" s="7" t="n">
        <v>2</v>
      </c>
      <c r="G2433" s="5" t="n">
        <v>480</v>
      </c>
    </row>
    <row r="2434" customFormat="false" ht="15" hidden="false" customHeight="false" outlineLevel="0" collapsed="false">
      <c r="A2434" s="13" t="s">
        <v>79</v>
      </c>
      <c r="B2434" s="13" t="s">
        <v>43</v>
      </c>
      <c r="C2434" s="13" t="s">
        <v>5</v>
      </c>
      <c r="D2434" s="13" t="s">
        <v>1082</v>
      </c>
      <c r="E2434" s="16" t="n">
        <v>482</v>
      </c>
      <c r="F2434" s="7" t="n">
        <v>1</v>
      </c>
      <c r="G2434" s="5" t="n">
        <v>480</v>
      </c>
    </row>
    <row r="2435" customFormat="false" ht="15" hidden="false" customHeight="false" outlineLevel="0" collapsed="false">
      <c r="A2435" s="13" t="s">
        <v>153</v>
      </c>
      <c r="B2435" s="13" t="s">
        <v>43</v>
      </c>
      <c r="C2435" s="13" t="s">
        <v>4</v>
      </c>
      <c r="D2435" s="13" t="s">
        <v>1280</v>
      </c>
      <c r="E2435" s="16" t="n">
        <v>482.82</v>
      </c>
      <c r="F2435" s="7" t="n">
        <v>1</v>
      </c>
      <c r="G2435" s="5" t="n">
        <v>480</v>
      </c>
    </row>
    <row r="2436" customFormat="false" ht="15" hidden="false" customHeight="false" outlineLevel="0" collapsed="false">
      <c r="A2436" s="13" t="s">
        <v>42</v>
      </c>
      <c r="B2436" s="13" t="s">
        <v>43</v>
      </c>
      <c r="C2436" s="13" t="s">
        <v>5</v>
      </c>
      <c r="D2436" s="13" t="s">
        <v>1691</v>
      </c>
      <c r="E2436" s="16" t="n">
        <v>481</v>
      </c>
      <c r="F2436" s="7" t="n">
        <v>1</v>
      </c>
      <c r="G2436" s="5" t="n">
        <v>480</v>
      </c>
    </row>
    <row r="2437" customFormat="false" ht="15" hidden="false" customHeight="false" outlineLevel="0" collapsed="false">
      <c r="A2437" s="13" t="s">
        <v>362</v>
      </c>
      <c r="B2437" s="13" t="s">
        <v>43</v>
      </c>
      <c r="C2437" s="13" t="s">
        <v>4</v>
      </c>
      <c r="D2437" s="13" t="s">
        <v>1692</v>
      </c>
      <c r="E2437" s="16" t="n">
        <v>481.4</v>
      </c>
      <c r="F2437" s="7" t="n">
        <v>1</v>
      </c>
      <c r="G2437" s="5" t="n">
        <v>480</v>
      </c>
    </row>
    <row r="2438" customFormat="false" ht="15" hidden="false" customHeight="false" outlineLevel="0" collapsed="false">
      <c r="A2438" s="13" t="s">
        <v>128</v>
      </c>
      <c r="B2438" s="13" t="s">
        <v>85</v>
      </c>
      <c r="C2438" s="13" t="s">
        <v>3</v>
      </c>
      <c r="D2438" s="13" t="s">
        <v>1693</v>
      </c>
      <c r="E2438" s="16" t="n">
        <v>78.99</v>
      </c>
      <c r="F2438" s="7" t="n">
        <v>5</v>
      </c>
      <c r="G2438" s="5" t="n">
        <v>470</v>
      </c>
    </row>
    <row r="2439" customFormat="false" ht="15" hidden="false" customHeight="false" outlineLevel="0" collapsed="false">
      <c r="A2439" s="13" t="s">
        <v>45</v>
      </c>
      <c r="B2439" s="13" t="s">
        <v>43</v>
      </c>
      <c r="C2439" s="13" t="s">
        <v>5</v>
      </c>
      <c r="D2439" s="13" t="s">
        <v>1694</v>
      </c>
      <c r="E2439" s="16" t="n">
        <v>468.85</v>
      </c>
      <c r="F2439" s="7" t="n">
        <v>1</v>
      </c>
      <c r="G2439" s="5" t="n">
        <v>470</v>
      </c>
    </row>
    <row r="2440" customFormat="false" ht="15" hidden="false" customHeight="false" outlineLevel="0" collapsed="false">
      <c r="A2440" s="13" t="s">
        <v>61</v>
      </c>
      <c r="B2440" s="13" t="s">
        <v>43</v>
      </c>
      <c r="C2440" s="13" t="s">
        <v>5</v>
      </c>
      <c r="D2440" s="13" t="s">
        <v>1695</v>
      </c>
      <c r="E2440" s="16" t="n">
        <v>468.89</v>
      </c>
      <c r="F2440" s="7" t="n">
        <v>1</v>
      </c>
      <c r="G2440" s="5" t="n">
        <v>470</v>
      </c>
    </row>
    <row r="2441" customFormat="false" ht="15" hidden="false" customHeight="false" outlineLevel="0" collapsed="false">
      <c r="A2441" s="13" t="s">
        <v>153</v>
      </c>
      <c r="B2441" s="13" t="s">
        <v>43</v>
      </c>
      <c r="C2441" s="13" t="s">
        <v>5</v>
      </c>
      <c r="D2441" s="13" t="s">
        <v>558</v>
      </c>
      <c r="E2441" s="16" t="n">
        <v>469</v>
      </c>
      <c r="F2441" s="7" t="n">
        <v>1</v>
      </c>
      <c r="G2441" s="5" t="n">
        <v>470</v>
      </c>
    </row>
    <row r="2442" customFormat="false" ht="15" hidden="false" customHeight="false" outlineLevel="0" collapsed="false">
      <c r="A2442" s="13" t="s">
        <v>61</v>
      </c>
      <c r="B2442" s="13" t="s">
        <v>43</v>
      </c>
      <c r="C2442" s="13" t="s">
        <v>5</v>
      </c>
      <c r="D2442" s="13" t="s">
        <v>1696</v>
      </c>
      <c r="E2442" s="16" t="n">
        <v>471.39</v>
      </c>
      <c r="F2442" s="7" t="n">
        <v>1</v>
      </c>
      <c r="G2442" s="5" t="n">
        <v>470</v>
      </c>
    </row>
    <row r="2443" customFormat="false" ht="15" hidden="false" customHeight="false" outlineLevel="0" collapsed="false">
      <c r="A2443" s="13" t="s">
        <v>42</v>
      </c>
      <c r="B2443" s="13" t="s">
        <v>43</v>
      </c>
      <c r="C2443" s="13" t="s">
        <v>4</v>
      </c>
      <c r="D2443" s="13" t="s">
        <v>1697</v>
      </c>
      <c r="E2443" s="16" t="n">
        <v>469</v>
      </c>
      <c r="F2443" s="7" t="n">
        <v>1</v>
      </c>
      <c r="G2443" s="5" t="n">
        <v>470</v>
      </c>
    </row>
    <row r="2444" customFormat="false" ht="15" hidden="false" customHeight="false" outlineLevel="0" collapsed="false">
      <c r="A2444" s="13" t="s">
        <v>69</v>
      </c>
      <c r="B2444" s="13" t="s">
        <v>43</v>
      </c>
      <c r="C2444" s="13" t="s">
        <v>5</v>
      </c>
      <c r="D2444" s="13" t="s">
        <v>1698</v>
      </c>
      <c r="E2444" s="16" t="n">
        <v>472</v>
      </c>
      <c r="F2444" s="7" t="n">
        <v>1</v>
      </c>
      <c r="G2444" s="5" t="n">
        <v>470</v>
      </c>
    </row>
    <row r="2445" customFormat="false" ht="15" hidden="false" customHeight="false" outlineLevel="0" collapsed="false">
      <c r="A2445" s="13" t="s">
        <v>45</v>
      </c>
      <c r="B2445" s="13" t="s">
        <v>43</v>
      </c>
      <c r="C2445" s="13" t="s">
        <v>4</v>
      </c>
      <c r="D2445" s="13" t="s">
        <v>301</v>
      </c>
      <c r="E2445" s="16" t="n">
        <v>471.2</v>
      </c>
      <c r="F2445" s="7" t="n">
        <v>1</v>
      </c>
      <c r="G2445" s="5" t="n">
        <v>470</v>
      </c>
    </row>
    <row r="2446" customFormat="false" ht="15" hidden="false" customHeight="false" outlineLevel="0" collapsed="false">
      <c r="A2446" s="13" t="s">
        <v>153</v>
      </c>
      <c r="B2446" s="13" t="s">
        <v>43</v>
      </c>
      <c r="C2446" s="13" t="s">
        <v>5</v>
      </c>
      <c r="D2446" s="13" t="s">
        <v>841</v>
      </c>
      <c r="E2446" s="16" t="n">
        <v>473.27</v>
      </c>
      <c r="F2446" s="7" t="n">
        <v>1</v>
      </c>
      <c r="G2446" s="5" t="n">
        <v>470</v>
      </c>
    </row>
    <row r="2447" customFormat="false" ht="15" hidden="false" customHeight="false" outlineLevel="0" collapsed="false">
      <c r="A2447" s="13" t="s">
        <v>124</v>
      </c>
      <c r="B2447" s="13" t="s">
        <v>43</v>
      </c>
      <c r="C2447" s="13" t="s">
        <v>5</v>
      </c>
      <c r="D2447" s="13" t="s">
        <v>684</v>
      </c>
      <c r="E2447" s="16" t="n">
        <v>467</v>
      </c>
      <c r="F2447" s="7" t="n">
        <v>1</v>
      </c>
      <c r="G2447" s="5" t="n">
        <v>470</v>
      </c>
    </row>
    <row r="2448" customFormat="false" ht="15" hidden="false" customHeight="false" outlineLevel="0" collapsed="false">
      <c r="A2448" s="13" t="s">
        <v>365</v>
      </c>
      <c r="B2448" s="13" t="s">
        <v>43</v>
      </c>
      <c r="C2448" s="13" t="s">
        <v>3</v>
      </c>
      <c r="D2448" s="13" t="s">
        <v>1699</v>
      </c>
      <c r="E2448" s="16" t="n">
        <v>78.99</v>
      </c>
      <c r="F2448" s="7" t="n">
        <v>5</v>
      </c>
      <c r="G2448" s="5" t="n">
        <v>470</v>
      </c>
    </row>
    <row r="2449" customFormat="false" ht="15" hidden="false" customHeight="false" outlineLevel="0" collapsed="false">
      <c r="A2449" s="13" t="s">
        <v>69</v>
      </c>
      <c r="B2449" s="13" t="s">
        <v>43</v>
      </c>
      <c r="C2449" s="13" t="s">
        <v>5</v>
      </c>
      <c r="D2449" s="13" t="s">
        <v>397</v>
      </c>
      <c r="E2449" s="16" t="n">
        <v>472</v>
      </c>
      <c r="F2449" s="7" t="n">
        <v>1</v>
      </c>
      <c r="G2449" s="5" t="n">
        <v>470</v>
      </c>
    </row>
    <row r="2450" customFormat="false" ht="15" hidden="false" customHeight="false" outlineLevel="0" collapsed="false">
      <c r="A2450" s="13" t="s">
        <v>153</v>
      </c>
      <c r="B2450" s="13" t="s">
        <v>43</v>
      </c>
      <c r="C2450" s="13" t="s">
        <v>5</v>
      </c>
      <c r="D2450" s="13" t="s">
        <v>1700</v>
      </c>
      <c r="E2450" s="16" t="n">
        <v>455</v>
      </c>
      <c r="F2450" s="7" t="n">
        <v>1</v>
      </c>
      <c r="G2450" s="5" t="n">
        <v>460</v>
      </c>
    </row>
    <row r="2451" customFormat="false" ht="15" hidden="false" customHeight="false" outlineLevel="0" collapsed="false">
      <c r="A2451" s="13" t="s">
        <v>177</v>
      </c>
      <c r="B2451" s="13" t="s">
        <v>43</v>
      </c>
      <c r="C2451" s="13" t="s">
        <v>5</v>
      </c>
      <c r="D2451" s="13" t="s">
        <v>1701</v>
      </c>
      <c r="E2451" s="16" t="n">
        <v>153.416666666667</v>
      </c>
      <c r="F2451" s="7" t="n">
        <v>2</v>
      </c>
      <c r="G2451" s="5" t="n">
        <v>460</v>
      </c>
    </row>
    <row r="2452" customFormat="false" ht="15" hidden="false" customHeight="false" outlineLevel="0" collapsed="false">
      <c r="A2452" s="13" t="s">
        <v>177</v>
      </c>
      <c r="B2452" s="13" t="s">
        <v>43</v>
      </c>
      <c r="C2452" s="13" t="s">
        <v>5</v>
      </c>
      <c r="D2452" s="13" t="s">
        <v>1702</v>
      </c>
      <c r="E2452" s="16" t="n">
        <v>458.07</v>
      </c>
      <c r="F2452" s="7" t="n">
        <v>1</v>
      </c>
      <c r="G2452" s="5" t="n">
        <v>460</v>
      </c>
    </row>
    <row r="2453" customFormat="false" ht="15" hidden="false" customHeight="false" outlineLevel="0" collapsed="false">
      <c r="A2453" s="13" t="s">
        <v>45</v>
      </c>
      <c r="B2453" s="13" t="s">
        <v>43</v>
      </c>
      <c r="C2453" s="13" t="s">
        <v>4</v>
      </c>
      <c r="D2453" s="13" t="s">
        <v>301</v>
      </c>
      <c r="E2453" s="16" t="n">
        <v>463.3</v>
      </c>
      <c r="F2453" s="7" t="n">
        <v>1</v>
      </c>
      <c r="G2453" s="5" t="n">
        <v>460</v>
      </c>
    </row>
    <row r="2454" customFormat="false" ht="15" hidden="false" customHeight="false" outlineLevel="0" collapsed="false">
      <c r="A2454" s="13" t="s">
        <v>45</v>
      </c>
      <c r="B2454" s="13" t="s">
        <v>43</v>
      </c>
      <c r="C2454" s="13" t="s">
        <v>4</v>
      </c>
      <c r="D2454" s="13" t="s">
        <v>113</v>
      </c>
      <c r="E2454" s="16" t="n">
        <v>456.72</v>
      </c>
      <c r="F2454" s="7" t="n">
        <v>1</v>
      </c>
      <c r="G2454" s="5" t="n">
        <v>460</v>
      </c>
    </row>
    <row r="2455" customFormat="false" ht="15" hidden="false" customHeight="false" outlineLevel="0" collapsed="false">
      <c r="A2455" s="13" t="s">
        <v>153</v>
      </c>
      <c r="B2455" s="13" t="s">
        <v>43</v>
      </c>
      <c r="C2455" s="13" t="s">
        <v>5</v>
      </c>
      <c r="D2455" s="13" t="s">
        <v>1703</v>
      </c>
      <c r="E2455" s="16" t="n">
        <v>460</v>
      </c>
      <c r="F2455" s="7" t="n">
        <v>1</v>
      </c>
      <c r="G2455" s="5" t="n">
        <v>460</v>
      </c>
    </row>
    <row r="2456" customFormat="false" ht="15" hidden="false" customHeight="false" outlineLevel="0" collapsed="false">
      <c r="A2456" s="13" t="s">
        <v>45</v>
      </c>
      <c r="B2456" s="13" t="s">
        <v>43</v>
      </c>
      <c r="C2456" s="13" t="s">
        <v>5</v>
      </c>
      <c r="D2456" s="13" t="s">
        <v>780</v>
      </c>
      <c r="E2456" s="16" t="n">
        <v>455</v>
      </c>
      <c r="F2456" s="7" t="n">
        <v>1</v>
      </c>
      <c r="G2456" s="5" t="n">
        <v>460</v>
      </c>
    </row>
    <row r="2457" customFormat="false" ht="15" hidden="false" customHeight="false" outlineLevel="0" collapsed="false">
      <c r="A2457" s="13" t="s">
        <v>54</v>
      </c>
      <c r="B2457" s="13" t="s">
        <v>43</v>
      </c>
      <c r="C2457" s="13" t="s">
        <v>5</v>
      </c>
      <c r="D2457" s="13" t="s">
        <v>1704</v>
      </c>
      <c r="E2457" s="16" t="n">
        <v>464.85</v>
      </c>
      <c r="F2457" s="7" t="n">
        <v>1</v>
      </c>
      <c r="G2457" s="5" t="n">
        <v>460</v>
      </c>
    </row>
    <row r="2458" customFormat="false" ht="15" hidden="false" customHeight="false" outlineLevel="0" collapsed="false">
      <c r="A2458" s="13" t="s">
        <v>50</v>
      </c>
      <c r="B2458" s="13" t="s">
        <v>43</v>
      </c>
      <c r="C2458" s="13" t="s">
        <v>5</v>
      </c>
      <c r="D2458" s="13" t="s">
        <v>480</v>
      </c>
      <c r="E2458" s="16" t="n">
        <v>465</v>
      </c>
      <c r="F2458" s="7" t="n">
        <v>1</v>
      </c>
      <c r="G2458" s="5" t="n">
        <v>460</v>
      </c>
    </row>
    <row r="2459" customFormat="false" ht="15" hidden="false" customHeight="false" outlineLevel="0" collapsed="false">
      <c r="A2459" s="13" t="s">
        <v>143</v>
      </c>
      <c r="B2459" s="13" t="s">
        <v>144</v>
      </c>
      <c r="C2459" s="13" t="s">
        <v>3</v>
      </c>
      <c r="D2459" s="13" t="s">
        <v>1705</v>
      </c>
      <c r="E2459" s="16" t="n">
        <v>456.21</v>
      </c>
      <c r="F2459" s="7" t="n">
        <v>1</v>
      </c>
      <c r="G2459" s="5" t="n">
        <v>460</v>
      </c>
    </row>
    <row r="2460" customFormat="false" ht="15" hidden="false" customHeight="false" outlineLevel="0" collapsed="false">
      <c r="A2460" s="13" t="s">
        <v>329</v>
      </c>
      <c r="B2460" s="13" t="s">
        <v>43</v>
      </c>
      <c r="C2460" s="13" t="s">
        <v>5</v>
      </c>
      <c r="D2460" s="13" t="s">
        <v>1468</v>
      </c>
      <c r="E2460" s="16" t="n">
        <v>464</v>
      </c>
      <c r="F2460" s="7" t="n">
        <v>1</v>
      </c>
      <c r="G2460" s="5" t="n">
        <v>460</v>
      </c>
    </row>
    <row r="2461" customFormat="false" ht="15" hidden="false" customHeight="false" outlineLevel="0" collapsed="false">
      <c r="A2461" s="13" t="s">
        <v>490</v>
      </c>
      <c r="B2461" s="13" t="s">
        <v>43</v>
      </c>
      <c r="C2461" s="13" t="s">
        <v>5</v>
      </c>
      <c r="D2461" s="13" t="s">
        <v>1706</v>
      </c>
      <c r="E2461" s="16" t="n">
        <v>461.48</v>
      </c>
      <c r="F2461" s="7" t="n">
        <v>1</v>
      </c>
      <c r="G2461" s="5" t="n">
        <v>460</v>
      </c>
    </row>
    <row r="2462" customFormat="false" ht="15" hidden="false" customHeight="false" outlineLevel="0" collapsed="false">
      <c r="A2462" s="13" t="s">
        <v>124</v>
      </c>
      <c r="B2462" s="13" t="s">
        <v>43</v>
      </c>
      <c r="C2462" s="13" t="s">
        <v>5</v>
      </c>
      <c r="D2462" s="13" t="s">
        <v>1707</v>
      </c>
      <c r="E2462" s="16" t="n">
        <v>462.6</v>
      </c>
      <c r="F2462" s="7" t="n">
        <v>1</v>
      </c>
      <c r="G2462" s="5" t="n">
        <v>460</v>
      </c>
    </row>
    <row r="2463" customFormat="false" ht="15" hidden="false" customHeight="false" outlineLevel="0" collapsed="false">
      <c r="A2463" s="13" t="s">
        <v>124</v>
      </c>
      <c r="B2463" s="13" t="s">
        <v>43</v>
      </c>
      <c r="C2463" s="13" t="s">
        <v>5</v>
      </c>
      <c r="D2463" s="13" t="s">
        <v>789</v>
      </c>
      <c r="E2463" s="16" t="n">
        <v>459.16</v>
      </c>
      <c r="F2463" s="7" t="n">
        <v>1</v>
      </c>
      <c r="G2463" s="5" t="n">
        <v>460</v>
      </c>
    </row>
    <row r="2464" customFormat="false" ht="15" hidden="false" customHeight="false" outlineLevel="0" collapsed="false">
      <c r="A2464" s="13" t="s">
        <v>490</v>
      </c>
      <c r="B2464" s="13" t="s">
        <v>43</v>
      </c>
      <c r="C2464" s="13" t="s">
        <v>4</v>
      </c>
      <c r="D2464" s="13" t="s">
        <v>1150</v>
      </c>
      <c r="E2464" s="16" t="n">
        <v>461.16</v>
      </c>
      <c r="F2464" s="7" t="n">
        <v>1</v>
      </c>
      <c r="G2464" s="5" t="n">
        <v>460</v>
      </c>
    </row>
    <row r="2465" customFormat="false" ht="15" hidden="false" customHeight="false" outlineLevel="0" collapsed="false">
      <c r="A2465" s="13" t="s">
        <v>61</v>
      </c>
      <c r="B2465" s="13" t="s">
        <v>43</v>
      </c>
      <c r="C2465" s="13" t="s">
        <v>5</v>
      </c>
      <c r="D2465" s="13" t="s">
        <v>1708</v>
      </c>
      <c r="E2465" s="16" t="n">
        <v>458</v>
      </c>
      <c r="F2465" s="7" t="n">
        <v>1</v>
      </c>
      <c r="G2465" s="5" t="n">
        <v>460</v>
      </c>
    </row>
    <row r="2466" customFormat="false" ht="15" hidden="false" customHeight="false" outlineLevel="0" collapsed="false">
      <c r="A2466" s="13" t="s">
        <v>153</v>
      </c>
      <c r="B2466" s="13" t="s">
        <v>43</v>
      </c>
      <c r="C2466" s="13" t="s">
        <v>5</v>
      </c>
      <c r="D2466" s="13" t="s">
        <v>1176</v>
      </c>
      <c r="E2466" s="16" t="n">
        <v>458.06</v>
      </c>
      <c r="F2466" s="7" t="n">
        <v>1</v>
      </c>
      <c r="G2466" s="5" t="n">
        <v>460</v>
      </c>
    </row>
    <row r="2467" customFormat="false" ht="15" hidden="false" customHeight="false" outlineLevel="0" collapsed="false">
      <c r="A2467" s="13" t="s">
        <v>155</v>
      </c>
      <c r="B2467" s="13" t="s">
        <v>43</v>
      </c>
      <c r="C2467" s="13" t="s">
        <v>4</v>
      </c>
      <c r="D2467" s="13" t="s">
        <v>1709</v>
      </c>
      <c r="E2467" s="16" t="n">
        <v>152.16</v>
      </c>
      <c r="F2467" s="7" t="n">
        <v>2</v>
      </c>
      <c r="G2467" s="5" t="n">
        <v>460</v>
      </c>
    </row>
    <row r="2468" customFormat="false" ht="15" hidden="false" customHeight="false" outlineLevel="0" collapsed="false">
      <c r="A2468" s="13" t="s">
        <v>42</v>
      </c>
      <c r="B2468" s="13" t="s">
        <v>43</v>
      </c>
      <c r="C2468" s="13" t="s">
        <v>4</v>
      </c>
      <c r="D2468" s="13" t="s">
        <v>334</v>
      </c>
      <c r="E2468" s="16" t="n">
        <v>456.72</v>
      </c>
      <c r="F2468" s="7" t="n">
        <v>1</v>
      </c>
      <c r="G2468" s="5" t="n">
        <v>460</v>
      </c>
    </row>
    <row r="2469" customFormat="false" ht="15" hidden="false" customHeight="false" outlineLevel="0" collapsed="false">
      <c r="A2469" s="13" t="s">
        <v>204</v>
      </c>
      <c r="B2469" s="13" t="s">
        <v>43</v>
      </c>
      <c r="C2469" s="13" t="s">
        <v>4</v>
      </c>
      <c r="D2469" s="13" t="s">
        <v>1710</v>
      </c>
      <c r="E2469" s="16" t="n">
        <v>455.89</v>
      </c>
      <c r="F2469" s="7" t="n">
        <v>1</v>
      </c>
      <c r="G2469" s="5" t="n">
        <v>460</v>
      </c>
    </row>
    <row r="2470" customFormat="false" ht="15" hidden="false" customHeight="false" outlineLevel="0" collapsed="false">
      <c r="A2470" s="13" t="s">
        <v>153</v>
      </c>
      <c r="B2470" s="13" t="s">
        <v>43</v>
      </c>
      <c r="C2470" s="13" t="s">
        <v>5</v>
      </c>
      <c r="D2470" s="13" t="s">
        <v>1711</v>
      </c>
      <c r="E2470" s="16" t="n">
        <v>455.59</v>
      </c>
      <c r="F2470" s="7" t="n">
        <v>1</v>
      </c>
      <c r="G2470" s="5" t="n">
        <v>460</v>
      </c>
    </row>
    <row r="2471" customFormat="false" ht="15" hidden="false" customHeight="false" outlineLevel="0" collapsed="false">
      <c r="A2471" s="13" t="s">
        <v>153</v>
      </c>
      <c r="B2471" s="13" t="s">
        <v>43</v>
      </c>
      <c r="C2471" s="13" t="s">
        <v>5</v>
      </c>
      <c r="D2471" s="13" t="s">
        <v>1712</v>
      </c>
      <c r="E2471" s="16" t="n">
        <v>447.25</v>
      </c>
      <c r="F2471" s="7" t="n">
        <v>1</v>
      </c>
      <c r="G2471" s="5" t="n">
        <v>450</v>
      </c>
    </row>
    <row r="2472" customFormat="false" ht="15" hidden="false" customHeight="false" outlineLevel="0" collapsed="false">
      <c r="A2472" s="13" t="s">
        <v>50</v>
      </c>
      <c r="B2472" s="13" t="s">
        <v>43</v>
      </c>
      <c r="C2472" s="13" t="s">
        <v>5</v>
      </c>
      <c r="D2472" s="13" t="s">
        <v>1713</v>
      </c>
      <c r="E2472" s="16" t="n">
        <v>446.21</v>
      </c>
      <c r="F2472" s="7" t="n">
        <v>1</v>
      </c>
      <c r="G2472" s="5" t="n">
        <v>450</v>
      </c>
    </row>
    <row r="2473" customFormat="false" ht="15" hidden="false" customHeight="false" outlineLevel="0" collapsed="false">
      <c r="A2473" s="13" t="s">
        <v>121</v>
      </c>
      <c r="B2473" s="13" t="s">
        <v>43</v>
      </c>
      <c r="C2473" s="13" t="s">
        <v>5</v>
      </c>
      <c r="D2473" s="13" t="s">
        <v>1714</v>
      </c>
      <c r="E2473" s="16" t="n">
        <v>151</v>
      </c>
      <c r="F2473" s="7" t="n">
        <v>2</v>
      </c>
      <c r="G2473" s="5" t="n">
        <v>450</v>
      </c>
    </row>
    <row r="2474" customFormat="false" ht="15" hidden="false" customHeight="false" outlineLevel="0" collapsed="false">
      <c r="A2474" s="13" t="s">
        <v>61</v>
      </c>
      <c r="B2474" s="13" t="s">
        <v>43</v>
      </c>
      <c r="C2474" s="13" t="s">
        <v>5</v>
      </c>
      <c r="D2474" s="13" t="s">
        <v>1715</v>
      </c>
      <c r="E2474" s="16" t="n">
        <v>227.3</v>
      </c>
      <c r="F2474" s="7" t="n">
        <v>2</v>
      </c>
      <c r="G2474" s="5" t="n">
        <v>450</v>
      </c>
    </row>
    <row r="2475" customFormat="false" ht="15" hidden="false" customHeight="false" outlineLevel="0" collapsed="false">
      <c r="A2475" s="13" t="s">
        <v>61</v>
      </c>
      <c r="B2475" s="13" t="s">
        <v>43</v>
      </c>
      <c r="C2475" s="13" t="s">
        <v>5</v>
      </c>
      <c r="D2475" s="13" t="s">
        <v>1716</v>
      </c>
      <c r="E2475" s="16" t="n">
        <v>448.85</v>
      </c>
      <c r="F2475" s="7" t="n">
        <v>1</v>
      </c>
      <c r="G2475" s="5" t="n">
        <v>450</v>
      </c>
    </row>
    <row r="2476" customFormat="false" ht="15" hidden="false" customHeight="false" outlineLevel="0" collapsed="false">
      <c r="A2476" s="13" t="s">
        <v>61</v>
      </c>
      <c r="B2476" s="13" t="s">
        <v>43</v>
      </c>
      <c r="C2476" s="13" t="s">
        <v>5</v>
      </c>
      <c r="D2476" s="13" t="s">
        <v>1717</v>
      </c>
      <c r="E2476" s="16" t="n">
        <v>448.85</v>
      </c>
      <c r="F2476" s="7" t="n">
        <v>1</v>
      </c>
      <c r="G2476" s="5" t="n">
        <v>450</v>
      </c>
    </row>
    <row r="2477" customFormat="false" ht="15" hidden="false" customHeight="false" outlineLevel="0" collapsed="false">
      <c r="A2477" s="13" t="s">
        <v>153</v>
      </c>
      <c r="B2477" s="13" t="s">
        <v>43</v>
      </c>
      <c r="C2477" s="13" t="s">
        <v>5</v>
      </c>
      <c r="D2477" s="13" t="s">
        <v>1712</v>
      </c>
      <c r="E2477" s="16" t="n">
        <v>447.25</v>
      </c>
      <c r="F2477" s="7" t="n">
        <v>1</v>
      </c>
      <c r="G2477" s="5" t="n">
        <v>450</v>
      </c>
    </row>
    <row r="2478" customFormat="false" ht="15" hidden="false" customHeight="false" outlineLevel="0" collapsed="false">
      <c r="A2478" s="13" t="s">
        <v>61</v>
      </c>
      <c r="B2478" s="13" t="s">
        <v>43</v>
      </c>
      <c r="C2478" s="13" t="s">
        <v>5</v>
      </c>
      <c r="D2478" s="13" t="s">
        <v>1718</v>
      </c>
      <c r="E2478" s="16" t="n">
        <v>226.635</v>
      </c>
      <c r="F2478" s="7" t="n">
        <v>2</v>
      </c>
      <c r="G2478" s="5" t="n">
        <v>450</v>
      </c>
    </row>
    <row r="2479" customFormat="false" ht="15" hidden="false" customHeight="false" outlineLevel="0" collapsed="false">
      <c r="A2479" s="13" t="s">
        <v>45</v>
      </c>
      <c r="B2479" s="13" t="s">
        <v>43</v>
      </c>
      <c r="C2479" s="13" t="s">
        <v>4</v>
      </c>
      <c r="D2479" s="13" t="s">
        <v>1719</v>
      </c>
      <c r="E2479" s="16" t="n">
        <v>451</v>
      </c>
      <c r="F2479" s="7" t="n">
        <v>1</v>
      </c>
      <c r="G2479" s="5" t="n">
        <v>450</v>
      </c>
    </row>
    <row r="2480" customFormat="false" ht="15" hidden="false" customHeight="false" outlineLevel="0" collapsed="false">
      <c r="A2480" s="13" t="s">
        <v>105</v>
      </c>
      <c r="B2480" s="13" t="s">
        <v>43</v>
      </c>
      <c r="C2480" s="13" t="s">
        <v>4</v>
      </c>
      <c r="D2480" s="13" t="s">
        <v>1291</v>
      </c>
      <c r="E2480" s="16" t="n">
        <v>445.78</v>
      </c>
      <c r="F2480" s="7" t="n">
        <v>1</v>
      </c>
      <c r="G2480" s="5" t="n">
        <v>450</v>
      </c>
    </row>
    <row r="2481" customFormat="false" ht="15" hidden="false" customHeight="false" outlineLevel="0" collapsed="false">
      <c r="A2481" s="13" t="s">
        <v>114</v>
      </c>
      <c r="B2481" s="13" t="s">
        <v>85</v>
      </c>
      <c r="C2481" s="13" t="s">
        <v>3</v>
      </c>
      <c r="D2481" s="13" t="s">
        <v>1720</v>
      </c>
      <c r="E2481" s="16" t="n">
        <v>74.4</v>
      </c>
      <c r="F2481" s="7" t="n">
        <v>5</v>
      </c>
      <c r="G2481" s="5" t="n">
        <v>450</v>
      </c>
    </row>
    <row r="2482" customFormat="false" ht="15" hidden="false" customHeight="false" outlineLevel="0" collapsed="false">
      <c r="A2482" s="13" t="s">
        <v>179</v>
      </c>
      <c r="B2482" s="13" t="s">
        <v>180</v>
      </c>
      <c r="C2482" s="13" t="s">
        <v>3</v>
      </c>
      <c r="D2482" s="13" t="s">
        <v>632</v>
      </c>
      <c r="E2482" s="16" t="n">
        <v>149</v>
      </c>
      <c r="F2482" s="7" t="n">
        <v>2</v>
      </c>
      <c r="G2482" s="5" t="n">
        <v>450</v>
      </c>
    </row>
    <row r="2483" customFormat="false" ht="15" hidden="false" customHeight="false" outlineLevel="0" collapsed="false">
      <c r="A2483" s="13" t="s">
        <v>195</v>
      </c>
      <c r="B2483" s="13" t="s">
        <v>43</v>
      </c>
      <c r="C2483" s="13" t="s">
        <v>4</v>
      </c>
      <c r="D2483" s="13" t="s">
        <v>1721</v>
      </c>
      <c r="E2483" s="16" t="n">
        <v>447.46</v>
      </c>
      <c r="F2483" s="7" t="n">
        <v>1</v>
      </c>
      <c r="G2483" s="5" t="n">
        <v>450</v>
      </c>
    </row>
    <row r="2484" customFormat="false" ht="15" hidden="false" customHeight="false" outlineLevel="0" collapsed="false">
      <c r="A2484" s="13" t="s">
        <v>45</v>
      </c>
      <c r="B2484" s="13" t="s">
        <v>43</v>
      </c>
      <c r="C2484" s="13" t="s">
        <v>4</v>
      </c>
      <c r="D2484" s="13" t="s">
        <v>1019</v>
      </c>
      <c r="E2484" s="16" t="n">
        <v>445.55</v>
      </c>
      <c r="F2484" s="7" t="n">
        <v>1</v>
      </c>
      <c r="G2484" s="5" t="n">
        <v>450</v>
      </c>
    </row>
    <row r="2485" customFormat="false" ht="15" hidden="false" customHeight="false" outlineLevel="0" collapsed="false">
      <c r="A2485" s="13" t="s">
        <v>341</v>
      </c>
      <c r="B2485" s="13" t="s">
        <v>43</v>
      </c>
      <c r="C2485" s="13" t="s">
        <v>4</v>
      </c>
      <c r="D2485" s="13" t="s">
        <v>1722</v>
      </c>
      <c r="E2485" s="16" t="n">
        <v>454.61</v>
      </c>
      <c r="F2485" s="7" t="n">
        <v>1</v>
      </c>
      <c r="G2485" s="5" t="n">
        <v>450</v>
      </c>
    </row>
    <row r="2486" customFormat="false" ht="15" hidden="false" customHeight="false" outlineLevel="0" collapsed="false">
      <c r="A2486" s="13" t="s">
        <v>79</v>
      </c>
      <c r="B2486" s="13" t="s">
        <v>43</v>
      </c>
      <c r="C2486" s="13" t="s">
        <v>4</v>
      </c>
      <c r="D2486" s="13" t="s">
        <v>653</v>
      </c>
      <c r="E2486" s="16" t="n">
        <v>454.3</v>
      </c>
      <c r="F2486" s="7" t="n">
        <v>1</v>
      </c>
      <c r="G2486" s="5" t="n">
        <v>450</v>
      </c>
    </row>
    <row r="2487" customFormat="false" ht="15" hidden="false" customHeight="false" outlineLevel="0" collapsed="false">
      <c r="A2487" s="13" t="s">
        <v>92</v>
      </c>
      <c r="B2487" s="13" t="s">
        <v>43</v>
      </c>
      <c r="C2487" s="13" t="s">
        <v>4</v>
      </c>
      <c r="D2487" s="13" t="s">
        <v>1723</v>
      </c>
      <c r="E2487" s="16" t="n">
        <v>444.32</v>
      </c>
      <c r="F2487" s="7" t="n">
        <v>1</v>
      </c>
      <c r="G2487" s="5" t="n">
        <v>440</v>
      </c>
    </row>
    <row r="2488" customFormat="false" ht="15" hidden="false" customHeight="false" outlineLevel="0" collapsed="false">
      <c r="A2488" s="13" t="s">
        <v>143</v>
      </c>
      <c r="B2488" s="13" t="s">
        <v>144</v>
      </c>
      <c r="C2488" s="13" t="s">
        <v>3</v>
      </c>
      <c r="D2488" s="13" t="s">
        <v>1705</v>
      </c>
      <c r="E2488" s="16" t="n">
        <v>441.52</v>
      </c>
      <c r="F2488" s="7" t="n">
        <v>1</v>
      </c>
      <c r="G2488" s="5" t="n">
        <v>440</v>
      </c>
    </row>
    <row r="2489" customFormat="false" ht="15" hidden="false" customHeight="false" outlineLevel="0" collapsed="false">
      <c r="A2489" s="13" t="s">
        <v>153</v>
      </c>
      <c r="B2489" s="13" t="s">
        <v>43</v>
      </c>
      <c r="C2489" s="13" t="s">
        <v>4</v>
      </c>
      <c r="D2489" s="13" t="s">
        <v>1724</v>
      </c>
      <c r="E2489" s="16" t="n">
        <v>443.88</v>
      </c>
      <c r="F2489" s="7" t="n">
        <v>1</v>
      </c>
      <c r="G2489" s="5" t="n">
        <v>440</v>
      </c>
    </row>
    <row r="2490" customFormat="false" ht="15" hidden="false" customHeight="false" outlineLevel="0" collapsed="false">
      <c r="A2490" s="13" t="s">
        <v>630</v>
      </c>
      <c r="B2490" s="13" t="s">
        <v>43</v>
      </c>
      <c r="C2490" s="13" t="s">
        <v>5</v>
      </c>
      <c r="D2490" s="13" t="s">
        <v>1725</v>
      </c>
      <c r="E2490" s="16" t="n">
        <v>220.215</v>
      </c>
      <c r="F2490" s="7" t="n">
        <v>2</v>
      </c>
      <c r="G2490" s="5" t="n">
        <v>440</v>
      </c>
    </row>
    <row r="2491" customFormat="false" ht="15" hidden="false" customHeight="false" outlineLevel="0" collapsed="false">
      <c r="A2491" s="13" t="s">
        <v>42</v>
      </c>
      <c r="B2491" s="13" t="s">
        <v>43</v>
      </c>
      <c r="C2491" s="13" t="s">
        <v>5</v>
      </c>
      <c r="D2491" s="13" t="s">
        <v>1726</v>
      </c>
      <c r="E2491" s="16" t="n">
        <v>438.85</v>
      </c>
      <c r="F2491" s="7" t="n">
        <v>1</v>
      </c>
      <c r="G2491" s="5" t="n">
        <v>440</v>
      </c>
    </row>
    <row r="2492" customFormat="false" ht="15" hidden="false" customHeight="false" outlineLevel="0" collapsed="false">
      <c r="A2492" s="13" t="s">
        <v>107</v>
      </c>
      <c r="B2492" s="13" t="s">
        <v>43</v>
      </c>
      <c r="C2492" s="13" t="s">
        <v>5</v>
      </c>
      <c r="D2492" s="13" t="s">
        <v>464</v>
      </c>
      <c r="E2492" s="16" t="n">
        <v>220</v>
      </c>
      <c r="F2492" s="7" t="n">
        <v>2</v>
      </c>
      <c r="G2492" s="5" t="n">
        <v>440</v>
      </c>
    </row>
    <row r="2493" customFormat="false" ht="15" hidden="false" customHeight="false" outlineLevel="0" collapsed="false">
      <c r="A2493" s="13" t="s">
        <v>329</v>
      </c>
      <c r="B2493" s="13" t="s">
        <v>43</v>
      </c>
      <c r="C2493" s="13" t="s">
        <v>5</v>
      </c>
      <c r="D2493" s="13" t="s">
        <v>1727</v>
      </c>
      <c r="E2493" s="16" t="n">
        <v>438.85</v>
      </c>
      <c r="F2493" s="7" t="n">
        <v>1</v>
      </c>
      <c r="G2493" s="5" t="n">
        <v>440</v>
      </c>
    </row>
    <row r="2494" customFormat="false" ht="15" hidden="false" customHeight="false" outlineLevel="0" collapsed="false">
      <c r="A2494" s="13" t="s">
        <v>42</v>
      </c>
      <c r="B2494" s="13" t="s">
        <v>43</v>
      </c>
      <c r="C2494" s="13" t="s">
        <v>5</v>
      </c>
      <c r="D2494" s="13" t="s">
        <v>925</v>
      </c>
      <c r="E2494" s="16" t="n">
        <v>435.07</v>
      </c>
      <c r="F2494" s="7" t="n">
        <v>1</v>
      </c>
      <c r="G2494" s="5" t="n">
        <v>440</v>
      </c>
    </row>
    <row r="2495" customFormat="false" ht="15" hidden="false" customHeight="false" outlineLevel="0" collapsed="false">
      <c r="A2495" s="13" t="s">
        <v>107</v>
      </c>
      <c r="B2495" s="13" t="s">
        <v>43</v>
      </c>
      <c r="C2495" s="13" t="s">
        <v>5</v>
      </c>
      <c r="D2495" s="13" t="s">
        <v>1728</v>
      </c>
      <c r="E2495" s="16" t="n">
        <v>145.076666666667</v>
      </c>
      <c r="F2495" s="7" t="n">
        <v>2</v>
      </c>
      <c r="G2495" s="5" t="n">
        <v>440</v>
      </c>
    </row>
    <row r="2496" customFormat="false" ht="15" hidden="false" customHeight="false" outlineLevel="0" collapsed="false">
      <c r="A2496" s="13" t="s">
        <v>124</v>
      </c>
      <c r="B2496" s="13" t="s">
        <v>43</v>
      </c>
      <c r="C2496" s="13" t="s">
        <v>5</v>
      </c>
      <c r="D2496" s="13" t="s">
        <v>1729</v>
      </c>
      <c r="E2496" s="16" t="n">
        <v>443</v>
      </c>
      <c r="F2496" s="7" t="n">
        <v>1</v>
      </c>
      <c r="G2496" s="5" t="n">
        <v>440</v>
      </c>
    </row>
    <row r="2497" customFormat="false" ht="15" hidden="false" customHeight="false" outlineLevel="0" collapsed="false">
      <c r="A2497" s="13" t="s">
        <v>490</v>
      </c>
      <c r="B2497" s="13" t="s">
        <v>43</v>
      </c>
      <c r="C2497" s="13" t="s">
        <v>5</v>
      </c>
      <c r="D2497" s="13" t="s">
        <v>724</v>
      </c>
      <c r="E2497" s="16" t="n">
        <v>442</v>
      </c>
      <c r="F2497" s="7" t="n">
        <v>1</v>
      </c>
      <c r="G2497" s="5" t="n">
        <v>440</v>
      </c>
    </row>
    <row r="2498" customFormat="false" ht="15" hidden="false" customHeight="false" outlineLevel="0" collapsed="false">
      <c r="A2498" s="13" t="s">
        <v>195</v>
      </c>
      <c r="B2498" s="13" t="s">
        <v>43</v>
      </c>
      <c r="C2498" s="13" t="s">
        <v>5</v>
      </c>
      <c r="D2498" s="13" t="s">
        <v>1730</v>
      </c>
      <c r="E2498" s="16" t="n">
        <v>445</v>
      </c>
      <c r="F2498" s="7" t="n">
        <v>1</v>
      </c>
      <c r="G2498" s="5" t="n">
        <v>440</v>
      </c>
    </row>
    <row r="2499" customFormat="false" ht="15" hidden="false" customHeight="false" outlineLevel="0" collapsed="false">
      <c r="A2499" s="13" t="s">
        <v>42</v>
      </c>
      <c r="B2499" s="13" t="s">
        <v>43</v>
      </c>
      <c r="C2499" s="13" t="s">
        <v>4</v>
      </c>
      <c r="D2499" s="13" t="s">
        <v>237</v>
      </c>
      <c r="E2499" s="16" t="n">
        <v>444.11</v>
      </c>
      <c r="F2499" s="7" t="n">
        <v>1</v>
      </c>
      <c r="G2499" s="5" t="n">
        <v>440</v>
      </c>
    </row>
    <row r="2500" customFormat="false" ht="15" hidden="false" customHeight="false" outlineLevel="0" collapsed="false">
      <c r="A2500" s="13" t="s">
        <v>195</v>
      </c>
      <c r="B2500" s="13" t="s">
        <v>43</v>
      </c>
      <c r="C2500" s="13" t="s">
        <v>4</v>
      </c>
      <c r="D2500" s="13" t="s">
        <v>1731</v>
      </c>
      <c r="E2500" s="16" t="n">
        <v>438.13</v>
      </c>
      <c r="F2500" s="7" t="n">
        <v>1</v>
      </c>
      <c r="G2500" s="5" t="n">
        <v>440</v>
      </c>
    </row>
    <row r="2501" customFormat="false" ht="15" hidden="false" customHeight="false" outlineLevel="0" collapsed="false">
      <c r="A2501" s="13" t="s">
        <v>50</v>
      </c>
      <c r="B2501" s="13" t="s">
        <v>43</v>
      </c>
      <c r="C2501" s="13" t="s">
        <v>4</v>
      </c>
      <c r="D2501" s="13" t="s">
        <v>1732</v>
      </c>
      <c r="E2501" s="16" t="n">
        <v>444.11</v>
      </c>
      <c r="F2501" s="7" t="n">
        <v>1</v>
      </c>
      <c r="G2501" s="5" t="n">
        <v>440</v>
      </c>
    </row>
    <row r="2502" customFormat="false" ht="15" hidden="false" customHeight="false" outlineLevel="0" collapsed="false">
      <c r="A2502" s="13" t="s">
        <v>121</v>
      </c>
      <c r="B2502" s="13" t="s">
        <v>183</v>
      </c>
      <c r="C2502" s="13" t="s">
        <v>5</v>
      </c>
      <c r="D2502" s="13" t="s">
        <v>1733</v>
      </c>
      <c r="E2502" s="16" t="n">
        <v>71.1</v>
      </c>
      <c r="F2502" s="7" t="n">
        <v>5</v>
      </c>
      <c r="G2502" s="5" t="n">
        <v>430</v>
      </c>
    </row>
    <row r="2503" customFormat="false" ht="15" hidden="false" customHeight="false" outlineLevel="0" collapsed="false">
      <c r="A2503" s="13" t="s">
        <v>121</v>
      </c>
      <c r="B2503" s="13" t="s">
        <v>183</v>
      </c>
      <c r="C2503" s="13" t="s">
        <v>5</v>
      </c>
      <c r="D2503" s="13" t="s">
        <v>1734</v>
      </c>
      <c r="E2503" s="16" t="n">
        <v>61.27</v>
      </c>
      <c r="F2503" s="7" t="n">
        <v>5</v>
      </c>
      <c r="G2503" s="5" t="n">
        <v>430</v>
      </c>
    </row>
    <row r="2504" customFormat="false" ht="15" hidden="false" customHeight="false" outlineLevel="0" collapsed="false">
      <c r="A2504" s="13" t="s">
        <v>121</v>
      </c>
      <c r="B2504" s="13" t="s">
        <v>43</v>
      </c>
      <c r="C2504" s="13" t="s">
        <v>5</v>
      </c>
      <c r="D2504" s="13" t="s">
        <v>1735</v>
      </c>
      <c r="E2504" s="16" t="n">
        <v>53.35</v>
      </c>
      <c r="F2504" s="7" t="n">
        <v>5</v>
      </c>
      <c r="G2504" s="5" t="n">
        <v>430</v>
      </c>
    </row>
    <row r="2505" customFormat="false" ht="15" hidden="false" customHeight="false" outlineLevel="0" collapsed="false">
      <c r="A2505" s="13" t="s">
        <v>92</v>
      </c>
      <c r="B2505" s="13" t="s">
        <v>43</v>
      </c>
      <c r="C2505" s="13" t="s">
        <v>5</v>
      </c>
      <c r="D2505" s="13" t="s">
        <v>1736</v>
      </c>
      <c r="E2505" s="16" t="n">
        <v>429.87</v>
      </c>
      <c r="F2505" s="7" t="n">
        <v>1</v>
      </c>
      <c r="G2505" s="5" t="n">
        <v>430</v>
      </c>
    </row>
    <row r="2506" customFormat="false" ht="15" hidden="false" customHeight="false" outlineLevel="0" collapsed="false">
      <c r="A2506" s="13" t="s">
        <v>103</v>
      </c>
      <c r="B2506" s="13" t="s">
        <v>43</v>
      </c>
      <c r="C2506" s="13" t="s">
        <v>5</v>
      </c>
      <c r="D2506" s="13" t="s">
        <v>1737</v>
      </c>
      <c r="E2506" s="16" t="n">
        <v>144</v>
      </c>
      <c r="F2506" s="7" t="n">
        <v>2</v>
      </c>
      <c r="G2506" s="5" t="n">
        <v>430</v>
      </c>
    </row>
    <row r="2507" customFormat="false" ht="15" hidden="false" customHeight="false" outlineLevel="0" collapsed="false">
      <c r="A2507" s="13" t="s">
        <v>177</v>
      </c>
      <c r="B2507" s="13" t="s">
        <v>43</v>
      </c>
      <c r="C2507" s="13" t="s">
        <v>5</v>
      </c>
      <c r="D2507" s="13" t="s">
        <v>1738</v>
      </c>
      <c r="E2507" s="16" t="n">
        <v>426.75</v>
      </c>
      <c r="F2507" s="7" t="n">
        <v>1</v>
      </c>
      <c r="G2507" s="5" t="n">
        <v>430</v>
      </c>
    </row>
    <row r="2508" customFormat="false" ht="15" hidden="false" customHeight="false" outlineLevel="0" collapsed="false">
      <c r="A2508" s="13" t="s">
        <v>61</v>
      </c>
      <c r="B2508" s="13" t="s">
        <v>43</v>
      </c>
      <c r="C2508" s="13" t="s">
        <v>5</v>
      </c>
      <c r="D2508" s="13" t="s">
        <v>1310</v>
      </c>
      <c r="E2508" s="16" t="n">
        <v>429.98</v>
      </c>
      <c r="F2508" s="7" t="n">
        <v>1</v>
      </c>
      <c r="G2508" s="5" t="n">
        <v>430</v>
      </c>
    </row>
    <row r="2509" customFormat="false" ht="15" hidden="false" customHeight="false" outlineLevel="0" collapsed="false">
      <c r="A2509" s="13" t="s">
        <v>302</v>
      </c>
      <c r="B2509" s="13" t="s">
        <v>43</v>
      </c>
      <c r="C2509" s="13" t="s">
        <v>3</v>
      </c>
      <c r="D2509" s="13" t="s">
        <v>1739</v>
      </c>
      <c r="E2509" s="16" t="n">
        <v>429.99</v>
      </c>
      <c r="F2509" s="7" t="n">
        <v>1</v>
      </c>
      <c r="G2509" s="5" t="n">
        <v>430</v>
      </c>
    </row>
    <row r="2510" customFormat="false" ht="15" hidden="false" customHeight="false" outlineLevel="0" collapsed="false">
      <c r="A2510" s="13" t="s">
        <v>42</v>
      </c>
      <c r="B2510" s="13" t="s">
        <v>43</v>
      </c>
      <c r="C2510" s="13" t="s">
        <v>4</v>
      </c>
      <c r="D2510" s="13" t="s">
        <v>1740</v>
      </c>
      <c r="E2510" s="16" t="n">
        <v>426.55</v>
      </c>
      <c r="F2510" s="7" t="n">
        <v>1</v>
      </c>
      <c r="G2510" s="5" t="n">
        <v>430</v>
      </c>
    </row>
    <row r="2511" customFormat="false" ht="15" hidden="false" customHeight="false" outlineLevel="0" collapsed="false">
      <c r="A2511" s="13" t="s">
        <v>50</v>
      </c>
      <c r="B2511" s="13" t="s">
        <v>43</v>
      </c>
      <c r="C2511" s="13" t="s">
        <v>4</v>
      </c>
      <c r="D2511" s="13" t="s">
        <v>1713</v>
      </c>
      <c r="E2511" s="16" t="n">
        <v>434.13</v>
      </c>
      <c r="F2511" s="7" t="n">
        <v>1</v>
      </c>
      <c r="G2511" s="5" t="n">
        <v>430</v>
      </c>
    </row>
    <row r="2512" customFormat="false" ht="15" hidden="false" customHeight="false" outlineLevel="0" collapsed="false">
      <c r="A2512" s="13" t="s">
        <v>362</v>
      </c>
      <c r="B2512" s="13" t="s">
        <v>43</v>
      </c>
      <c r="C2512" s="13" t="s">
        <v>4</v>
      </c>
      <c r="D2512" s="13" t="s">
        <v>1741</v>
      </c>
      <c r="E2512" s="16" t="n">
        <v>428.22</v>
      </c>
      <c r="F2512" s="7" t="n">
        <v>1</v>
      </c>
      <c r="G2512" s="5" t="n">
        <v>430</v>
      </c>
    </row>
    <row r="2513" customFormat="false" ht="15" hidden="false" customHeight="false" outlineLevel="0" collapsed="false">
      <c r="A2513" s="13" t="s">
        <v>362</v>
      </c>
      <c r="B2513" s="13" t="s">
        <v>43</v>
      </c>
      <c r="C2513" s="13" t="s">
        <v>4</v>
      </c>
      <c r="D2513" s="13" t="s">
        <v>1742</v>
      </c>
      <c r="E2513" s="16" t="n">
        <v>428.22</v>
      </c>
      <c r="F2513" s="7" t="n">
        <v>1</v>
      </c>
      <c r="G2513" s="5" t="n">
        <v>430</v>
      </c>
    </row>
    <row r="2514" customFormat="false" ht="15" hidden="false" customHeight="false" outlineLevel="0" collapsed="false">
      <c r="A2514" s="13" t="s">
        <v>286</v>
      </c>
      <c r="B2514" s="13" t="s">
        <v>43</v>
      </c>
      <c r="C2514" s="13" t="s">
        <v>4</v>
      </c>
      <c r="D2514" s="13" t="s">
        <v>1447</v>
      </c>
      <c r="E2514" s="16" t="n">
        <v>431.46</v>
      </c>
      <c r="F2514" s="7" t="n">
        <v>1</v>
      </c>
      <c r="G2514" s="5" t="n">
        <v>430</v>
      </c>
    </row>
    <row r="2515" customFormat="false" ht="15" hidden="false" customHeight="false" outlineLevel="0" collapsed="false">
      <c r="A2515" s="13" t="s">
        <v>182</v>
      </c>
      <c r="B2515" s="13" t="s">
        <v>85</v>
      </c>
      <c r="C2515" s="13" t="s">
        <v>3</v>
      </c>
      <c r="D2515" s="13" t="s">
        <v>516</v>
      </c>
      <c r="E2515" s="16" t="n">
        <v>140.763333333333</v>
      </c>
      <c r="F2515" s="7" t="n">
        <v>2</v>
      </c>
      <c r="G2515" s="5" t="n">
        <v>420</v>
      </c>
    </row>
    <row r="2516" customFormat="false" ht="15" hidden="false" customHeight="false" outlineLevel="0" collapsed="false">
      <c r="A2516" s="13" t="s">
        <v>79</v>
      </c>
      <c r="B2516" s="13" t="s">
        <v>43</v>
      </c>
      <c r="C2516" s="13" t="s">
        <v>5</v>
      </c>
      <c r="D2516" s="13" t="s">
        <v>343</v>
      </c>
      <c r="E2516" s="16" t="n">
        <v>422</v>
      </c>
      <c r="F2516" s="7" t="n">
        <v>1</v>
      </c>
      <c r="G2516" s="5" t="n">
        <v>420</v>
      </c>
    </row>
    <row r="2517" customFormat="false" ht="15" hidden="false" customHeight="false" outlineLevel="0" collapsed="false">
      <c r="A2517" s="13" t="s">
        <v>121</v>
      </c>
      <c r="B2517" s="13" t="s">
        <v>43</v>
      </c>
      <c r="C2517" s="13" t="s">
        <v>5</v>
      </c>
      <c r="D2517" s="13" t="s">
        <v>1743</v>
      </c>
      <c r="E2517" s="16" t="n">
        <v>139.9</v>
      </c>
      <c r="F2517" s="7" t="n">
        <v>2</v>
      </c>
      <c r="G2517" s="5" t="n">
        <v>420</v>
      </c>
    </row>
    <row r="2518" customFormat="false" ht="15" hidden="false" customHeight="false" outlineLevel="0" collapsed="false">
      <c r="A2518" s="13" t="s">
        <v>195</v>
      </c>
      <c r="B2518" s="13" t="s">
        <v>43</v>
      </c>
      <c r="C2518" s="13" t="s">
        <v>5</v>
      </c>
      <c r="D2518" s="13" t="s">
        <v>1744</v>
      </c>
      <c r="E2518" s="16" t="n">
        <v>419</v>
      </c>
      <c r="F2518" s="7" t="n">
        <v>1</v>
      </c>
      <c r="G2518" s="5" t="n">
        <v>420</v>
      </c>
    </row>
    <row r="2519" customFormat="false" ht="15" hidden="false" customHeight="false" outlineLevel="0" collapsed="false">
      <c r="A2519" s="13" t="s">
        <v>45</v>
      </c>
      <c r="B2519" s="13" t="s">
        <v>43</v>
      </c>
      <c r="C2519" s="13" t="s">
        <v>5</v>
      </c>
      <c r="D2519" s="13" t="s">
        <v>702</v>
      </c>
      <c r="E2519" s="16" t="n">
        <v>419.2</v>
      </c>
      <c r="F2519" s="7" t="n">
        <v>1</v>
      </c>
      <c r="G2519" s="5" t="n">
        <v>420</v>
      </c>
    </row>
    <row r="2520" customFormat="false" ht="15" hidden="false" customHeight="false" outlineLevel="0" collapsed="false">
      <c r="A2520" s="13" t="s">
        <v>61</v>
      </c>
      <c r="B2520" s="13" t="s">
        <v>43</v>
      </c>
      <c r="C2520" s="13" t="s">
        <v>5</v>
      </c>
      <c r="D2520" s="13" t="s">
        <v>1745</v>
      </c>
      <c r="E2520" s="16" t="n">
        <v>418.85</v>
      </c>
      <c r="F2520" s="7" t="n">
        <v>1</v>
      </c>
      <c r="G2520" s="5" t="n">
        <v>420</v>
      </c>
    </row>
    <row r="2521" customFormat="false" ht="15" hidden="false" customHeight="false" outlineLevel="0" collapsed="false">
      <c r="A2521" s="13" t="s">
        <v>92</v>
      </c>
      <c r="B2521" s="13" t="s">
        <v>43</v>
      </c>
      <c r="C2521" s="13" t="s">
        <v>5</v>
      </c>
      <c r="D2521" s="13" t="s">
        <v>359</v>
      </c>
      <c r="E2521" s="16" t="n">
        <v>416.13</v>
      </c>
      <c r="F2521" s="7" t="n">
        <v>1</v>
      </c>
      <c r="G2521" s="5" t="n">
        <v>420</v>
      </c>
    </row>
    <row r="2522" customFormat="false" ht="15" hidden="false" customHeight="false" outlineLevel="0" collapsed="false">
      <c r="A2522" s="13" t="s">
        <v>54</v>
      </c>
      <c r="B2522" s="13" t="s">
        <v>43</v>
      </c>
      <c r="C2522" s="13" t="s">
        <v>5</v>
      </c>
      <c r="D2522" s="13" t="s">
        <v>730</v>
      </c>
      <c r="E2522" s="16" t="n">
        <v>415.16</v>
      </c>
      <c r="F2522" s="7" t="n">
        <v>1</v>
      </c>
      <c r="G2522" s="5" t="n">
        <v>420</v>
      </c>
    </row>
    <row r="2523" customFormat="false" ht="15" hidden="false" customHeight="false" outlineLevel="0" collapsed="false">
      <c r="A2523" s="13" t="s">
        <v>45</v>
      </c>
      <c r="B2523" s="13" t="s">
        <v>43</v>
      </c>
      <c r="C2523" s="13" t="s">
        <v>5</v>
      </c>
      <c r="D2523" s="13" t="s">
        <v>1746</v>
      </c>
      <c r="E2523" s="16" t="n">
        <v>209.14</v>
      </c>
      <c r="F2523" s="7" t="n">
        <v>2</v>
      </c>
      <c r="G2523" s="5" t="n">
        <v>420</v>
      </c>
    </row>
    <row r="2524" customFormat="false" ht="15" hidden="false" customHeight="false" outlineLevel="0" collapsed="false">
      <c r="A2524" s="13" t="s">
        <v>121</v>
      </c>
      <c r="B2524" s="13" t="s">
        <v>43</v>
      </c>
      <c r="C2524" s="13" t="s">
        <v>5</v>
      </c>
      <c r="D2524" s="13" t="s">
        <v>1747</v>
      </c>
      <c r="E2524" s="16" t="n">
        <v>104.145</v>
      </c>
      <c r="F2524" s="7" t="n">
        <v>2</v>
      </c>
      <c r="G2524" s="5" t="n">
        <v>420</v>
      </c>
    </row>
    <row r="2525" customFormat="false" ht="15" hidden="false" customHeight="false" outlineLevel="0" collapsed="false">
      <c r="A2525" s="13" t="s">
        <v>315</v>
      </c>
      <c r="B2525" s="13" t="s">
        <v>43</v>
      </c>
      <c r="C2525" s="13" t="s">
        <v>5</v>
      </c>
      <c r="D2525" s="13" t="s">
        <v>1748</v>
      </c>
      <c r="E2525" s="16" t="n">
        <v>425</v>
      </c>
      <c r="F2525" s="7" t="n">
        <v>1</v>
      </c>
      <c r="G2525" s="5" t="n">
        <v>420</v>
      </c>
    </row>
    <row r="2526" customFormat="false" ht="15" hidden="false" customHeight="false" outlineLevel="0" collapsed="false">
      <c r="A2526" s="13" t="s">
        <v>61</v>
      </c>
      <c r="B2526" s="13" t="s">
        <v>43</v>
      </c>
      <c r="C2526" s="13" t="s">
        <v>5</v>
      </c>
      <c r="D2526" s="13" t="s">
        <v>1749</v>
      </c>
      <c r="E2526" s="16" t="n">
        <v>418.85</v>
      </c>
      <c r="F2526" s="7" t="n">
        <v>1</v>
      </c>
      <c r="G2526" s="5" t="n">
        <v>420</v>
      </c>
    </row>
    <row r="2527" customFormat="false" ht="15" hidden="false" customHeight="false" outlineLevel="0" collapsed="false">
      <c r="A2527" s="13" t="s">
        <v>630</v>
      </c>
      <c r="B2527" s="13" t="s">
        <v>43</v>
      </c>
      <c r="C2527" s="13" t="s">
        <v>5</v>
      </c>
      <c r="D2527" s="13" t="s">
        <v>695</v>
      </c>
      <c r="E2527" s="16" t="n">
        <v>138.52</v>
      </c>
      <c r="F2527" s="7" t="n">
        <v>2</v>
      </c>
      <c r="G2527" s="5" t="n">
        <v>420</v>
      </c>
    </row>
    <row r="2528" customFormat="false" ht="15" hidden="false" customHeight="false" outlineLevel="0" collapsed="false">
      <c r="A2528" s="13" t="s">
        <v>50</v>
      </c>
      <c r="B2528" s="13" t="s">
        <v>43</v>
      </c>
      <c r="C2528" s="13" t="s">
        <v>4</v>
      </c>
      <c r="D2528" s="13" t="s">
        <v>1750</v>
      </c>
      <c r="E2528" s="16" t="n">
        <v>418.45</v>
      </c>
      <c r="F2528" s="7" t="n">
        <v>1</v>
      </c>
      <c r="G2528" s="5" t="n">
        <v>420</v>
      </c>
    </row>
    <row r="2529" customFormat="false" ht="15" hidden="false" customHeight="false" outlineLevel="0" collapsed="false">
      <c r="A2529" s="13" t="s">
        <v>50</v>
      </c>
      <c r="B2529" s="13" t="s">
        <v>43</v>
      </c>
      <c r="C2529" s="13" t="s">
        <v>4</v>
      </c>
      <c r="D2529" s="13" t="s">
        <v>1751</v>
      </c>
      <c r="E2529" s="16" t="n">
        <v>418.45</v>
      </c>
      <c r="F2529" s="7" t="n">
        <v>1</v>
      </c>
      <c r="G2529" s="5" t="n">
        <v>420</v>
      </c>
    </row>
    <row r="2530" customFormat="false" ht="15" hidden="false" customHeight="false" outlineLevel="0" collapsed="false">
      <c r="A2530" s="13" t="s">
        <v>286</v>
      </c>
      <c r="B2530" s="13" t="s">
        <v>43</v>
      </c>
      <c r="C2530" s="13" t="s">
        <v>4</v>
      </c>
      <c r="D2530" s="13" t="s">
        <v>1752</v>
      </c>
      <c r="E2530" s="16" t="n">
        <v>415.48</v>
      </c>
      <c r="F2530" s="7" t="n">
        <v>1</v>
      </c>
      <c r="G2530" s="5" t="n">
        <v>420</v>
      </c>
    </row>
    <row r="2531" customFormat="false" ht="15" hidden="false" customHeight="false" outlineLevel="0" collapsed="false">
      <c r="A2531" s="13" t="s">
        <v>312</v>
      </c>
      <c r="B2531" s="13" t="s">
        <v>43</v>
      </c>
      <c r="C2531" s="13" t="s">
        <v>4</v>
      </c>
      <c r="D2531" s="13" t="s">
        <v>1753</v>
      </c>
      <c r="E2531" s="16" t="n">
        <v>208.385</v>
      </c>
      <c r="F2531" s="7" t="n">
        <v>2</v>
      </c>
      <c r="G2531" s="5" t="n">
        <v>420</v>
      </c>
    </row>
    <row r="2532" customFormat="false" ht="15" hidden="false" customHeight="false" outlineLevel="0" collapsed="false">
      <c r="A2532" s="13" t="s">
        <v>111</v>
      </c>
      <c r="B2532" s="13" t="s">
        <v>43</v>
      </c>
      <c r="C2532" s="13" t="s">
        <v>4</v>
      </c>
      <c r="D2532" s="13" t="s">
        <v>711</v>
      </c>
      <c r="E2532" s="16" t="n">
        <v>421.45</v>
      </c>
      <c r="F2532" s="7" t="n">
        <v>1</v>
      </c>
      <c r="G2532" s="5" t="n">
        <v>420</v>
      </c>
    </row>
    <row r="2533" customFormat="false" ht="15" hidden="false" customHeight="false" outlineLevel="0" collapsed="false">
      <c r="A2533" s="13" t="s">
        <v>270</v>
      </c>
      <c r="B2533" s="13" t="s">
        <v>43</v>
      </c>
      <c r="C2533" s="13" t="s">
        <v>4</v>
      </c>
      <c r="D2533" s="13" t="s">
        <v>1754</v>
      </c>
      <c r="E2533" s="16" t="n">
        <v>424.58</v>
      </c>
      <c r="F2533" s="7" t="n">
        <v>1</v>
      </c>
      <c r="G2533" s="5" t="n">
        <v>420</v>
      </c>
    </row>
    <row r="2534" customFormat="false" ht="15" hidden="false" customHeight="false" outlineLevel="0" collapsed="false">
      <c r="A2534" s="13" t="s">
        <v>153</v>
      </c>
      <c r="B2534" s="13" t="s">
        <v>43</v>
      </c>
      <c r="C2534" s="13" t="s">
        <v>5</v>
      </c>
      <c r="D2534" s="13" t="s">
        <v>921</v>
      </c>
      <c r="E2534" s="16" t="n">
        <v>422</v>
      </c>
      <c r="F2534" s="7" t="n">
        <v>1</v>
      </c>
      <c r="G2534" s="5" t="n">
        <v>420</v>
      </c>
    </row>
    <row r="2535" customFormat="false" ht="15" hidden="false" customHeight="false" outlineLevel="0" collapsed="false">
      <c r="A2535" s="13" t="s">
        <v>54</v>
      </c>
      <c r="B2535" s="13" t="s">
        <v>43</v>
      </c>
      <c r="C2535" s="13" t="s">
        <v>5</v>
      </c>
      <c r="D2535" s="13" t="s">
        <v>1755</v>
      </c>
      <c r="E2535" s="16" t="n">
        <v>409.85</v>
      </c>
      <c r="F2535" s="7" t="n">
        <v>1</v>
      </c>
      <c r="G2535" s="5" t="n">
        <v>410</v>
      </c>
    </row>
    <row r="2536" customFormat="false" ht="15" hidden="false" customHeight="false" outlineLevel="0" collapsed="false">
      <c r="A2536" s="13" t="s">
        <v>153</v>
      </c>
      <c r="B2536" s="13" t="s">
        <v>43</v>
      </c>
      <c r="C2536" s="13" t="s">
        <v>5</v>
      </c>
      <c r="D2536" s="13" t="s">
        <v>1756</v>
      </c>
      <c r="E2536" s="16" t="n">
        <v>207</v>
      </c>
      <c r="F2536" s="7" t="n">
        <v>2</v>
      </c>
      <c r="G2536" s="5" t="n">
        <v>410</v>
      </c>
    </row>
    <row r="2537" customFormat="false" ht="15" hidden="false" customHeight="false" outlineLevel="0" collapsed="false">
      <c r="A2537" s="13" t="s">
        <v>92</v>
      </c>
      <c r="B2537" s="13" t="s">
        <v>43</v>
      </c>
      <c r="C2537" s="13" t="s">
        <v>4</v>
      </c>
      <c r="D2537" s="13" t="s">
        <v>1757</v>
      </c>
      <c r="E2537" s="16" t="n">
        <v>413.95</v>
      </c>
      <c r="F2537" s="7" t="n">
        <v>1</v>
      </c>
      <c r="G2537" s="5" t="n">
        <v>410</v>
      </c>
    </row>
    <row r="2538" customFormat="false" ht="15" hidden="false" customHeight="false" outlineLevel="0" collapsed="false">
      <c r="A2538" s="13" t="s">
        <v>42</v>
      </c>
      <c r="B2538" s="13" t="s">
        <v>43</v>
      </c>
      <c r="C2538" s="13" t="s">
        <v>5</v>
      </c>
      <c r="D2538" s="13" t="s">
        <v>244</v>
      </c>
      <c r="E2538" s="16" t="n">
        <v>409.41</v>
      </c>
      <c r="F2538" s="7" t="n">
        <v>1</v>
      </c>
      <c r="G2538" s="5" t="n">
        <v>410</v>
      </c>
    </row>
    <row r="2539" customFormat="false" ht="15" hidden="false" customHeight="false" outlineLevel="0" collapsed="false">
      <c r="A2539" s="13" t="s">
        <v>312</v>
      </c>
      <c r="B2539" s="13" t="s">
        <v>43</v>
      </c>
      <c r="C2539" s="13" t="s">
        <v>4</v>
      </c>
      <c r="D2539" s="13" t="s">
        <v>1758</v>
      </c>
      <c r="E2539" s="16" t="n">
        <v>206.79</v>
      </c>
      <c r="F2539" s="7" t="n">
        <v>2</v>
      </c>
      <c r="G2539" s="5" t="n">
        <v>410</v>
      </c>
    </row>
    <row r="2540" customFormat="false" ht="15" hidden="false" customHeight="false" outlineLevel="0" collapsed="false">
      <c r="A2540" s="13" t="s">
        <v>45</v>
      </c>
      <c r="B2540" s="13" t="s">
        <v>43</v>
      </c>
      <c r="C2540" s="13" t="s">
        <v>4</v>
      </c>
      <c r="D2540" s="13" t="s">
        <v>101</v>
      </c>
      <c r="E2540" s="16" t="n">
        <v>407.55</v>
      </c>
      <c r="F2540" s="7" t="n">
        <v>1</v>
      </c>
      <c r="G2540" s="5" t="n">
        <v>410</v>
      </c>
    </row>
    <row r="2541" customFormat="false" ht="15" hidden="false" customHeight="false" outlineLevel="0" collapsed="false">
      <c r="A2541" s="13" t="s">
        <v>229</v>
      </c>
      <c r="B2541" s="13" t="s">
        <v>43</v>
      </c>
      <c r="C2541" s="13" t="s">
        <v>4</v>
      </c>
      <c r="D2541" s="13" t="s">
        <v>1759</v>
      </c>
      <c r="E2541" s="16" t="n">
        <v>207.195</v>
      </c>
      <c r="F2541" s="7" t="n">
        <v>2</v>
      </c>
      <c r="G2541" s="5" t="n">
        <v>410</v>
      </c>
    </row>
    <row r="2542" customFormat="false" ht="15" hidden="false" customHeight="false" outlineLevel="0" collapsed="false">
      <c r="A2542" s="13" t="s">
        <v>329</v>
      </c>
      <c r="B2542" s="13" t="s">
        <v>43</v>
      </c>
      <c r="C2542" s="13" t="s">
        <v>4</v>
      </c>
      <c r="D2542" s="13" t="s">
        <v>1760</v>
      </c>
      <c r="E2542" s="16" t="n">
        <v>412.29</v>
      </c>
      <c r="F2542" s="7" t="n">
        <v>1</v>
      </c>
      <c r="G2542" s="5" t="n">
        <v>410</v>
      </c>
    </row>
    <row r="2543" customFormat="false" ht="15" hidden="false" customHeight="false" outlineLevel="0" collapsed="false">
      <c r="A2543" s="13" t="s">
        <v>111</v>
      </c>
      <c r="B2543" s="13" t="s">
        <v>43</v>
      </c>
      <c r="C2543" s="13" t="s">
        <v>4</v>
      </c>
      <c r="D2543" s="13" t="s">
        <v>1761</v>
      </c>
      <c r="E2543" s="16" t="n">
        <v>408.1</v>
      </c>
      <c r="F2543" s="7" t="n">
        <v>1</v>
      </c>
      <c r="G2543" s="5" t="n">
        <v>410</v>
      </c>
    </row>
    <row r="2544" customFormat="false" ht="15" hidden="false" customHeight="false" outlineLevel="0" collapsed="false">
      <c r="A2544" s="13" t="s">
        <v>54</v>
      </c>
      <c r="B2544" s="13" t="s">
        <v>43</v>
      </c>
      <c r="C2544" s="13" t="s">
        <v>5</v>
      </c>
      <c r="D2544" s="13" t="s">
        <v>1755</v>
      </c>
      <c r="E2544" s="16" t="n">
        <v>409.85</v>
      </c>
      <c r="F2544" s="7" t="n">
        <v>1</v>
      </c>
      <c r="G2544" s="5" t="n">
        <v>410</v>
      </c>
    </row>
    <row r="2545" customFormat="false" ht="15" hidden="false" customHeight="false" outlineLevel="0" collapsed="false">
      <c r="A2545" s="13" t="s">
        <v>54</v>
      </c>
      <c r="B2545" s="13" t="s">
        <v>43</v>
      </c>
      <c r="C2545" s="13" t="s">
        <v>5</v>
      </c>
      <c r="D2545" s="13" t="s">
        <v>1762</v>
      </c>
      <c r="E2545" s="16" t="n">
        <v>409.85</v>
      </c>
      <c r="F2545" s="7" t="n">
        <v>1</v>
      </c>
      <c r="G2545" s="5" t="n">
        <v>410</v>
      </c>
    </row>
    <row r="2546" customFormat="false" ht="15" hidden="false" customHeight="false" outlineLevel="0" collapsed="false">
      <c r="A2546" s="13" t="s">
        <v>286</v>
      </c>
      <c r="B2546" s="13" t="s">
        <v>43</v>
      </c>
      <c r="C2546" s="13" t="s">
        <v>4</v>
      </c>
      <c r="D2546" s="13" t="s">
        <v>1763</v>
      </c>
      <c r="E2546" s="16" t="n">
        <v>413.6</v>
      </c>
      <c r="F2546" s="7" t="n">
        <v>1</v>
      </c>
      <c r="G2546" s="5" t="n">
        <v>410</v>
      </c>
    </row>
    <row r="2547" customFormat="false" ht="15" hidden="false" customHeight="false" outlineLevel="0" collapsed="false">
      <c r="A2547" s="13" t="s">
        <v>195</v>
      </c>
      <c r="B2547" s="13" t="s">
        <v>43</v>
      </c>
      <c r="C2547" s="13" t="s">
        <v>5</v>
      </c>
      <c r="D2547" s="13" t="s">
        <v>528</v>
      </c>
      <c r="E2547" s="16" t="n">
        <v>412.51</v>
      </c>
      <c r="F2547" s="7" t="n">
        <v>1</v>
      </c>
      <c r="G2547" s="5" t="n">
        <v>410</v>
      </c>
    </row>
    <row r="2548" customFormat="false" ht="15" hidden="false" customHeight="false" outlineLevel="0" collapsed="false">
      <c r="A2548" s="13" t="s">
        <v>42</v>
      </c>
      <c r="B2548" s="13" t="s">
        <v>43</v>
      </c>
      <c r="C2548" s="13" t="s">
        <v>5</v>
      </c>
      <c r="D2548" s="13" t="s">
        <v>591</v>
      </c>
      <c r="E2548" s="16" t="n">
        <v>409.41</v>
      </c>
      <c r="F2548" s="7" t="n">
        <v>1</v>
      </c>
      <c r="G2548" s="5" t="n">
        <v>410</v>
      </c>
    </row>
    <row r="2549" customFormat="false" ht="15" hidden="false" customHeight="false" outlineLevel="0" collapsed="false">
      <c r="A2549" s="13" t="s">
        <v>329</v>
      </c>
      <c r="B2549" s="13" t="s">
        <v>43</v>
      </c>
      <c r="C2549" s="13" t="s">
        <v>4</v>
      </c>
      <c r="D2549" s="13" t="s">
        <v>384</v>
      </c>
      <c r="E2549" s="16" t="n">
        <v>403</v>
      </c>
      <c r="F2549" s="7" t="n">
        <v>1</v>
      </c>
      <c r="G2549" s="5" t="n">
        <v>400</v>
      </c>
    </row>
    <row r="2550" customFormat="false" ht="15" hidden="false" customHeight="false" outlineLevel="0" collapsed="false">
      <c r="A2550" s="13" t="s">
        <v>329</v>
      </c>
      <c r="B2550" s="13" t="s">
        <v>43</v>
      </c>
      <c r="C2550" s="13" t="s">
        <v>4</v>
      </c>
      <c r="D2550" s="13" t="s">
        <v>1764</v>
      </c>
      <c r="E2550" s="16" t="n">
        <v>398.82</v>
      </c>
      <c r="F2550" s="7" t="n">
        <v>1</v>
      </c>
      <c r="G2550" s="5" t="n">
        <v>400</v>
      </c>
    </row>
    <row r="2551" customFormat="false" ht="15" hidden="false" customHeight="false" outlineLevel="0" collapsed="false">
      <c r="A2551" s="13" t="s">
        <v>111</v>
      </c>
      <c r="B2551" s="13" t="s">
        <v>43</v>
      </c>
      <c r="C2551" s="13" t="s">
        <v>4</v>
      </c>
      <c r="D2551" s="13" t="s">
        <v>1765</v>
      </c>
      <c r="E2551" s="16" t="n">
        <v>397</v>
      </c>
      <c r="F2551" s="7" t="n">
        <v>1</v>
      </c>
      <c r="G2551" s="5" t="n">
        <v>400</v>
      </c>
    </row>
    <row r="2552" customFormat="false" ht="15" hidden="false" customHeight="false" outlineLevel="0" collapsed="false">
      <c r="A2552" s="13" t="s">
        <v>302</v>
      </c>
      <c r="B2552" s="13" t="s">
        <v>43</v>
      </c>
      <c r="C2552" s="13" t="s">
        <v>4</v>
      </c>
      <c r="D2552" s="13" t="s">
        <v>1766</v>
      </c>
      <c r="E2552" s="16" t="n">
        <v>399.33</v>
      </c>
      <c r="F2552" s="7" t="n">
        <v>1</v>
      </c>
      <c r="G2552" s="5" t="n">
        <v>400</v>
      </c>
    </row>
    <row r="2553" customFormat="false" ht="15" hidden="false" customHeight="false" outlineLevel="0" collapsed="false">
      <c r="A2553" s="13" t="s">
        <v>45</v>
      </c>
      <c r="B2553" s="13" t="s">
        <v>43</v>
      </c>
      <c r="C2553" s="13" t="s">
        <v>5</v>
      </c>
      <c r="D2553" s="13" t="s">
        <v>279</v>
      </c>
      <c r="E2553" s="16" t="n">
        <v>399</v>
      </c>
      <c r="F2553" s="7" t="n">
        <v>1</v>
      </c>
      <c r="G2553" s="5" t="n">
        <v>400</v>
      </c>
    </row>
    <row r="2554" customFormat="false" ht="15" hidden="false" customHeight="false" outlineLevel="0" collapsed="false">
      <c r="A2554" s="13" t="s">
        <v>153</v>
      </c>
      <c r="B2554" s="13" t="s">
        <v>43</v>
      </c>
      <c r="C2554" s="13" t="s">
        <v>5</v>
      </c>
      <c r="D2554" s="13" t="s">
        <v>1280</v>
      </c>
      <c r="E2554" s="16" t="n">
        <v>399</v>
      </c>
      <c r="F2554" s="7" t="n">
        <v>1</v>
      </c>
      <c r="G2554" s="5" t="n">
        <v>400</v>
      </c>
    </row>
    <row r="2555" customFormat="false" ht="15" hidden="false" customHeight="false" outlineLevel="0" collapsed="false">
      <c r="A2555" s="13" t="s">
        <v>490</v>
      </c>
      <c r="B2555" s="13" t="s">
        <v>43</v>
      </c>
      <c r="C2555" s="13" t="s">
        <v>5</v>
      </c>
      <c r="D2555" s="13" t="s">
        <v>1357</v>
      </c>
      <c r="E2555" s="16" t="n">
        <v>198.35</v>
      </c>
      <c r="F2555" s="7" t="n">
        <v>2</v>
      </c>
      <c r="G2555" s="5" t="n">
        <v>400</v>
      </c>
    </row>
    <row r="2556" customFormat="false" ht="15" hidden="false" customHeight="false" outlineLevel="0" collapsed="false">
      <c r="A2556" s="13" t="s">
        <v>107</v>
      </c>
      <c r="B2556" s="13" t="s">
        <v>43</v>
      </c>
      <c r="C2556" s="13" t="s">
        <v>5</v>
      </c>
      <c r="D2556" s="13" t="s">
        <v>1767</v>
      </c>
      <c r="E2556" s="16" t="n">
        <v>198.85</v>
      </c>
      <c r="F2556" s="7" t="n">
        <v>2</v>
      </c>
      <c r="G2556" s="5" t="n">
        <v>400</v>
      </c>
    </row>
    <row r="2557" customFormat="false" ht="15" hidden="false" customHeight="false" outlineLevel="0" collapsed="false">
      <c r="A2557" s="13" t="s">
        <v>107</v>
      </c>
      <c r="B2557" s="13" t="s">
        <v>43</v>
      </c>
      <c r="C2557" s="13" t="s">
        <v>5</v>
      </c>
      <c r="D2557" s="13" t="s">
        <v>1636</v>
      </c>
      <c r="E2557" s="16" t="n">
        <v>198.85</v>
      </c>
      <c r="F2557" s="7" t="n">
        <v>2</v>
      </c>
      <c r="G2557" s="5" t="n">
        <v>400</v>
      </c>
    </row>
    <row r="2558" customFormat="false" ht="15" hidden="false" customHeight="false" outlineLevel="0" collapsed="false">
      <c r="A2558" s="13" t="s">
        <v>42</v>
      </c>
      <c r="B2558" s="13" t="s">
        <v>43</v>
      </c>
      <c r="C2558" s="13" t="s">
        <v>5</v>
      </c>
      <c r="D2558" s="13" t="s">
        <v>659</v>
      </c>
      <c r="E2558" s="16" t="n">
        <v>398.85</v>
      </c>
      <c r="F2558" s="7" t="n">
        <v>1</v>
      </c>
      <c r="G2558" s="5" t="n">
        <v>400</v>
      </c>
    </row>
    <row r="2559" customFormat="false" ht="15" hidden="false" customHeight="false" outlineLevel="0" collapsed="false">
      <c r="A2559" s="13" t="s">
        <v>286</v>
      </c>
      <c r="B2559" s="13" t="s">
        <v>43</v>
      </c>
      <c r="C2559" s="13" t="s">
        <v>5</v>
      </c>
      <c r="D2559" s="13" t="s">
        <v>1768</v>
      </c>
      <c r="E2559" s="16" t="n">
        <v>398.85</v>
      </c>
      <c r="F2559" s="7" t="n">
        <v>1</v>
      </c>
      <c r="G2559" s="5" t="n">
        <v>400</v>
      </c>
    </row>
    <row r="2560" customFormat="false" ht="15" hidden="false" customHeight="false" outlineLevel="0" collapsed="false">
      <c r="A2560" s="13" t="s">
        <v>42</v>
      </c>
      <c r="B2560" s="13" t="s">
        <v>43</v>
      </c>
      <c r="C2560" s="13" t="s">
        <v>5</v>
      </c>
      <c r="D2560" s="13" t="s">
        <v>334</v>
      </c>
      <c r="E2560" s="16" t="n">
        <v>399</v>
      </c>
      <c r="F2560" s="7" t="n">
        <v>1</v>
      </c>
      <c r="G2560" s="5" t="n">
        <v>400</v>
      </c>
    </row>
    <row r="2561" customFormat="false" ht="15" hidden="false" customHeight="false" outlineLevel="0" collapsed="false">
      <c r="A2561" s="13" t="s">
        <v>365</v>
      </c>
      <c r="B2561" s="13" t="s">
        <v>43</v>
      </c>
      <c r="C2561" s="13" t="s">
        <v>5</v>
      </c>
      <c r="D2561" s="13" t="s">
        <v>1769</v>
      </c>
      <c r="E2561" s="16" t="n">
        <v>397.9</v>
      </c>
      <c r="F2561" s="7" t="n">
        <v>1</v>
      </c>
      <c r="G2561" s="5" t="n">
        <v>400</v>
      </c>
    </row>
    <row r="2562" customFormat="false" ht="15" hidden="false" customHeight="false" outlineLevel="0" collapsed="false">
      <c r="A2562" s="13" t="s">
        <v>107</v>
      </c>
      <c r="B2562" s="13" t="s">
        <v>43</v>
      </c>
      <c r="C2562" s="13" t="s">
        <v>5</v>
      </c>
      <c r="D2562" s="13" t="s">
        <v>1770</v>
      </c>
      <c r="E2562" s="16" t="n">
        <v>199</v>
      </c>
      <c r="F2562" s="7" t="n">
        <v>2</v>
      </c>
      <c r="G2562" s="5" t="n">
        <v>400</v>
      </c>
    </row>
    <row r="2563" customFormat="false" ht="15" hidden="false" customHeight="false" outlineLevel="0" collapsed="false">
      <c r="A2563" s="13" t="s">
        <v>105</v>
      </c>
      <c r="B2563" s="13" t="s">
        <v>43</v>
      </c>
      <c r="C2563" s="13" t="s">
        <v>5</v>
      </c>
      <c r="D2563" s="13" t="s">
        <v>1771</v>
      </c>
      <c r="E2563" s="16" t="n">
        <v>398.81</v>
      </c>
      <c r="F2563" s="7" t="n">
        <v>1</v>
      </c>
      <c r="G2563" s="5" t="n">
        <v>400</v>
      </c>
    </row>
    <row r="2564" customFormat="false" ht="15" hidden="false" customHeight="false" outlineLevel="0" collapsed="false">
      <c r="A2564" s="13" t="s">
        <v>490</v>
      </c>
      <c r="B2564" s="13" t="s">
        <v>43</v>
      </c>
      <c r="C2564" s="13" t="s">
        <v>4</v>
      </c>
      <c r="D2564" s="13" t="s">
        <v>1772</v>
      </c>
      <c r="E2564" s="16" t="n">
        <v>399.99</v>
      </c>
      <c r="F2564" s="7" t="n">
        <v>1</v>
      </c>
      <c r="G2564" s="5" t="n">
        <v>400</v>
      </c>
    </row>
    <row r="2565" customFormat="false" ht="15" hidden="false" customHeight="false" outlineLevel="0" collapsed="false">
      <c r="A2565" s="13" t="s">
        <v>229</v>
      </c>
      <c r="B2565" s="13" t="s">
        <v>43</v>
      </c>
      <c r="C2565" s="13" t="s">
        <v>4</v>
      </c>
      <c r="D2565" s="13" t="s">
        <v>1773</v>
      </c>
      <c r="E2565" s="16" t="n">
        <v>395.11</v>
      </c>
      <c r="F2565" s="7" t="n">
        <v>1</v>
      </c>
      <c r="G2565" s="5" t="n">
        <v>400</v>
      </c>
    </row>
    <row r="2566" customFormat="false" ht="15" hidden="false" customHeight="false" outlineLevel="0" collapsed="false">
      <c r="A2566" s="13" t="s">
        <v>92</v>
      </c>
      <c r="B2566" s="13" t="s">
        <v>43</v>
      </c>
      <c r="C2566" s="13" t="s">
        <v>5</v>
      </c>
      <c r="D2566" s="13" t="s">
        <v>1774</v>
      </c>
      <c r="E2566" s="16" t="n">
        <v>395</v>
      </c>
      <c r="F2566" s="7" t="n">
        <v>1</v>
      </c>
      <c r="G2566" s="5" t="n">
        <v>400</v>
      </c>
    </row>
    <row r="2567" customFormat="false" ht="15" hidden="false" customHeight="false" outlineLevel="0" collapsed="false">
      <c r="A2567" s="13" t="s">
        <v>490</v>
      </c>
      <c r="B2567" s="13" t="s">
        <v>43</v>
      </c>
      <c r="C2567" s="13" t="s">
        <v>5</v>
      </c>
      <c r="D2567" s="13" t="s">
        <v>1013</v>
      </c>
      <c r="E2567" s="16" t="n">
        <v>399.99</v>
      </c>
      <c r="F2567" s="7" t="n">
        <v>1</v>
      </c>
      <c r="G2567" s="5" t="n">
        <v>400</v>
      </c>
    </row>
    <row r="2568" customFormat="false" ht="15" hidden="false" customHeight="false" outlineLevel="0" collapsed="false">
      <c r="A2568" s="13" t="s">
        <v>490</v>
      </c>
      <c r="B2568" s="13" t="s">
        <v>43</v>
      </c>
      <c r="C2568" s="13" t="s">
        <v>5</v>
      </c>
      <c r="D2568" s="13" t="s">
        <v>1775</v>
      </c>
      <c r="E2568" s="16" t="n">
        <v>399.99</v>
      </c>
      <c r="F2568" s="7" t="n">
        <v>1</v>
      </c>
      <c r="G2568" s="5" t="n">
        <v>400</v>
      </c>
    </row>
    <row r="2569" customFormat="false" ht="15" hidden="false" customHeight="false" outlineLevel="0" collapsed="false">
      <c r="A2569" s="13" t="s">
        <v>79</v>
      </c>
      <c r="B2569" s="13" t="s">
        <v>43</v>
      </c>
      <c r="C2569" s="13" t="s">
        <v>4</v>
      </c>
      <c r="D2569" s="13" t="s">
        <v>1776</v>
      </c>
      <c r="E2569" s="16" t="n">
        <v>396.9</v>
      </c>
      <c r="F2569" s="7" t="n">
        <v>1</v>
      </c>
      <c r="G2569" s="5" t="n">
        <v>400</v>
      </c>
    </row>
    <row r="2570" customFormat="false" ht="15" hidden="false" customHeight="false" outlineLevel="0" collapsed="false">
      <c r="A2570" s="13" t="s">
        <v>329</v>
      </c>
      <c r="B2570" s="13" t="s">
        <v>43</v>
      </c>
      <c r="C2570" s="13" t="s">
        <v>4</v>
      </c>
      <c r="D2570" s="13" t="s">
        <v>1777</v>
      </c>
      <c r="E2570" s="16" t="n">
        <v>403.88</v>
      </c>
      <c r="F2570" s="7" t="n">
        <v>1</v>
      </c>
      <c r="G2570" s="5" t="n">
        <v>400</v>
      </c>
    </row>
    <row r="2571" customFormat="false" ht="15" hidden="false" customHeight="false" outlineLevel="0" collapsed="false">
      <c r="A2571" s="13" t="s">
        <v>92</v>
      </c>
      <c r="B2571" s="13" t="s">
        <v>43</v>
      </c>
      <c r="C2571" s="13" t="s">
        <v>5</v>
      </c>
      <c r="D2571" s="13" t="s">
        <v>1778</v>
      </c>
      <c r="E2571" s="16" t="n">
        <v>395</v>
      </c>
      <c r="F2571" s="7" t="n">
        <v>1</v>
      </c>
      <c r="G2571" s="5" t="n">
        <v>400</v>
      </c>
    </row>
    <row r="2572" customFormat="false" ht="15" hidden="false" customHeight="false" outlineLevel="0" collapsed="false">
      <c r="A2572" s="13" t="s">
        <v>59</v>
      </c>
      <c r="B2572" s="13" t="s">
        <v>43</v>
      </c>
      <c r="C2572" s="13" t="s">
        <v>5</v>
      </c>
      <c r="D2572" s="13" t="s">
        <v>1779</v>
      </c>
      <c r="E2572" s="16" t="n">
        <v>134</v>
      </c>
      <c r="F2572" s="7" t="n">
        <v>2</v>
      </c>
      <c r="G2572" s="5" t="n">
        <v>400</v>
      </c>
    </row>
    <row r="2573" customFormat="false" ht="15" hidden="false" customHeight="false" outlineLevel="0" collapsed="false">
      <c r="A2573" s="13" t="s">
        <v>92</v>
      </c>
      <c r="B2573" s="13" t="s">
        <v>43</v>
      </c>
      <c r="C2573" s="13" t="s">
        <v>5</v>
      </c>
      <c r="D2573" s="13" t="s">
        <v>1780</v>
      </c>
      <c r="E2573" s="16" t="n">
        <v>395</v>
      </c>
      <c r="F2573" s="7" t="n">
        <v>1</v>
      </c>
      <c r="G2573" s="5" t="n">
        <v>400</v>
      </c>
    </row>
    <row r="2574" customFormat="false" ht="15" hidden="false" customHeight="false" outlineLevel="0" collapsed="false">
      <c r="A2574" s="13" t="s">
        <v>103</v>
      </c>
      <c r="B2574" s="13" t="s">
        <v>43</v>
      </c>
      <c r="C2574" s="13" t="s">
        <v>5</v>
      </c>
      <c r="D2574" s="13" t="s">
        <v>576</v>
      </c>
      <c r="E2574" s="16" t="n">
        <v>197.01</v>
      </c>
      <c r="F2574" s="7" t="n">
        <v>2</v>
      </c>
      <c r="G2574" s="5" t="n">
        <v>390</v>
      </c>
    </row>
    <row r="2575" customFormat="false" ht="15" hidden="false" customHeight="false" outlineLevel="0" collapsed="false">
      <c r="A2575" s="13" t="s">
        <v>153</v>
      </c>
      <c r="B2575" s="13" t="s">
        <v>43</v>
      </c>
      <c r="C2575" s="13" t="s">
        <v>5</v>
      </c>
      <c r="D2575" s="13" t="s">
        <v>1781</v>
      </c>
      <c r="E2575" s="16" t="n">
        <v>391.72</v>
      </c>
      <c r="F2575" s="7" t="n">
        <v>1</v>
      </c>
      <c r="G2575" s="5" t="n">
        <v>390</v>
      </c>
    </row>
    <row r="2576" customFormat="false" ht="15" hidden="false" customHeight="false" outlineLevel="0" collapsed="false">
      <c r="A2576" s="13" t="s">
        <v>329</v>
      </c>
      <c r="B2576" s="13" t="s">
        <v>43</v>
      </c>
      <c r="C2576" s="13" t="s">
        <v>5</v>
      </c>
      <c r="D2576" s="13" t="s">
        <v>330</v>
      </c>
      <c r="E2576" s="16" t="n">
        <v>389.85</v>
      </c>
      <c r="F2576" s="7" t="n">
        <v>1</v>
      </c>
      <c r="G2576" s="5" t="n">
        <v>390</v>
      </c>
    </row>
    <row r="2577" customFormat="false" ht="15" hidden="false" customHeight="false" outlineLevel="0" collapsed="false">
      <c r="A2577" s="13" t="s">
        <v>153</v>
      </c>
      <c r="B2577" s="13" t="s">
        <v>43</v>
      </c>
      <c r="C2577" s="13" t="s">
        <v>5</v>
      </c>
      <c r="D2577" s="13" t="s">
        <v>1782</v>
      </c>
      <c r="E2577" s="16" t="n">
        <v>391.72</v>
      </c>
      <c r="F2577" s="7" t="n">
        <v>1</v>
      </c>
      <c r="G2577" s="5" t="n">
        <v>390</v>
      </c>
    </row>
    <row r="2578" customFormat="false" ht="15" hidden="false" customHeight="false" outlineLevel="0" collapsed="false">
      <c r="A2578" s="13" t="s">
        <v>45</v>
      </c>
      <c r="B2578" s="13" t="s">
        <v>43</v>
      </c>
      <c r="C2578" s="13" t="s">
        <v>5</v>
      </c>
      <c r="D2578" s="13" t="s">
        <v>1783</v>
      </c>
      <c r="E2578" s="16" t="n">
        <v>385.96</v>
      </c>
      <c r="F2578" s="7" t="n">
        <v>1</v>
      </c>
      <c r="G2578" s="5" t="n">
        <v>390</v>
      </c>
    </row>
    <row r="2579" customFormat="false" ht="15" hidden="false" customHeight="false" outlineLevel="0" collapsed="false">
      <c r="A2579" s="13" t="s">
        <v>121</v>
      </c>
      <c r="B2579" s="13" t="s">
        <v>183</v>
      </c>
      <c r="C2579" s="13" t="s">
        <v>5</v>
      </c>
      <c r="D2579" s="13" t="s">
        <v>1784</v>
      </c>
      <c r="E2579" s="16" t="n">
        <v>64.37</v>
      </c>
      <c r="F2579" s="7" t="n">
        <v>5</v>
      </c>
      <c r="G2579" s="5" t="n">
        <v>390</v>
      </c>
    </row>
    <row r="2580" customFormat="false" ht="15" hidden="false" customHeight="false" outlineLevel="0" collapsed="false">
      <c r="A2580" s="13" t="s">
        <v>54</v>
      </c>
      <c r="B2580" s="13" t="s">
        <v>43</v>
      </c>
      <c r="C2580" s="13" t="s">
        <v>5</v>
      </c>
      <c r="D2580" s="13" t="s">
        <v>1785</v>
      </c>
      <c r="E2580" s="16" t="n">
        <v>388.4</v>
      </c>
      <c r="F2580" s="7" t="n">
        <v>1</v>
      </c>
      <c r="G2580" s="5" t="n">
        <v>390</v>
      </c>
    </row>
    <row r="2581" customFormat="false" ht="15" hidden="false" customHeight="false" outlineLevel="0" collapsed="false">
      <c r="A2581" s="13" t="s">
        <v>121</v>
      </c>
      <c r="B2581" s="13" t="s">
        <v>43</v>
      </c>
      <c r="C2581" s="13" t="s">
        <v>5</v>
      </c>
      <c r="D2581" s="13" t="s">
        <v>1786</v>
      </c>
      <c r="E2581" s="16" t="n">
        <v>97.1375</v>
      </c>
      <c r="F2581" s="7" t="n">
        <v>2</v>
      </c>
      <c r="G2581" s="5" t="n">
        <v>390</v>
      </c>
    </row>
    <row r="2582" customFormat="false" ht="15" hidden="false" customHeight="false" outlineLevel="0" collapsed="false">
      <c r="A2582" s="13" t="s">
        <v>42</v>
      </c>
      <c r="B2582" s="13" t="s">
        <v>43</v>
      </c>
      <c r="C2582" s="13" t="s">
        <v>5</v>
      </c>
      <c r="D2582" s="13" t="s">
        <v>601</v>
      </c>
      <c r="E2582" s="16" t="n">
        <v>194.47</v>
      </c>
      <c r="F2582" s="7" t="n">
        <v>2</v>
      </c>
      <c r="G2582" s="5" t="n">
        <v>390</v>
      </c>
    </row>
    <row r="2583" customFormat="false" ht="15" hidden="false" customHeight="false" outlineLevel="0" collapsed="false">
      <c r="A2583" s="13" t="s">
        <v>121</v>
      </c>
      <c r="B2583" s="13" t="s">
        <v>43</v>
      </c>
      <c r="C2583" s="13" t="s">
        <v>5</v>
      </c>
      <c r="D2583" s="13" t="s">
        <v>1787</v>
      </c>
      <c r="E2583" s="16" t="n">
        <v>194.57</v>
      </c>
      <c r="F2583" s="7" t="n">
        <v>2</v>
      </c>
      <c r="G2583" s="5" t="n">
        <v>390</v>
      </c>
    </row>
    <row r="2584" customFormat="false" ht="15" hidden="false" customHeight="false" outlineLevel="0" collapsed="false">
      <c r="A2584" s="13" t="s">
        <v>103</v>
      </c>
      <c r="B2584" s="13" t="s">
        <v>43</v>
      </c>
      <c r="C2584" s="13" t="s">
        <v>5</v>
      </c>
      <c r="D2584" s="13" t="s">
        <v>1788</v>
      </c>
      <c r="E2584" s="16" t="n">
        <v>195.715</v>
      </c>
      <c r="F2584" s="7" t="n">
        <v>2</v>
      </c>
      <c r="G2584" s="5" t="n">
        <v>390</v>
      </c>
    </row>
    <row r="2585" customFormat="false" ht="15" hidden="false" customHeight="false" outlineLevel="0" collapsed="false">
      <c r="A2585" s="13" t="s">
        <v>105</v>
      </c>
      <c r="B2585" s="13" t="s">
        <v>43</v>
      </c>
      <c r="C2585" s="13" t="s">
        <v>5</v>
      </c>
      <c r="D2585" s="13" t="s">
        <v>1789</v>
      </c>
      <c r="E2585" s="16" t="n">
        <v>390</v>
      </c>
      <c r="F2585" s="7" t="n">
        <v>1</v>
      </c>
      <c r="G2585" s="5" t="n">
        <v>390</v>
      </c>
    </row>
    <row r="2586" customFormat="false" ht="15" hidden="false" customHeight="false" outlineLevel="0" collapsed="false">
      <c r="A2586" s="13" t="s">
        <v>195</v>
      </c>
      <c r="B2586" s="13" t="s">
        <v>43</v>
      </c>
      <c r="C2586" s="13" t="s">
        <v>5</v>
      </c>
      <c r="D2586" s="13" t="s">
        <v>512</v>
      </c>
      <c r="E2586" s="16" t="n">
        <v>388.64</v>
      </c>
      <c r="F2586" s="7" t="n">
        <v>1</v>
      </c>
      <c r="G2586" s="5" t="n">
        <v>390</v>
      </c>
    </row>
    <row r="2587" customFormat="false" ht="15" hidden="false" customHeight="false" outlineLevel="0" collapsed="false">
      <c r="A2587" s="13" t="s">
        <v>153</v>
      </c>
      <c r="B2587" s="13" t="s">
        <v>43</v>
      </c>
      <c r="C2587" s="13" t="s">
        <v>4</v>
      </c>
      <c r="D2587" s="13" t="s">
        <v>1790</v>
      </c>
      <c r="E2587" s="16" t="n">
        <v>391.2</v>
      </c>
      <c r="F2587" s="7" t="n">
        <v>1</v>
      </c>
      <c r="G2587" s="5" t="n">
        <v>390</v>
      </c>
    </row>
    <row r="2588" customFormat="false" ht="15" hidden="false" customHeight="false" outlineLevel="0" collapsed="false">
      <c r="A2588" s="13" t="s">
        <v>42</v>
      </c>
      <c r="B2588" s="13" t="s">
        <v>43</v>
      </c>
      <c r="C2588" s="13" t="s">
        <v>5</v>
      </c>
      <c r="D2588" s="13" t="s">
        <v>219</v>
      </c>
      <c r="E2588" s="16" t="n">
        <v>386.08</v>
      </c>
      <c r="F2588" s="7" t="n">
        <v>1</v>
      </c>
      <c r="G2588" s="5" t="n">
        <v>390</v>
      </c>
    </row>
    <row r="2589" customFormat="false" ht="15" hidden="false" customHeight="false" outlineLevel="0" collapsed="false">
      <c r="A2589" s="13" t="s">
        <v>79</v>
      </c>
      <c r="B2589" s="13" t="s">
        <v>43</v>
      </c>
      <c r="C2589" s="13" t="s">
        <v>5</v>
      </c>
      <c r="D2589" s="13" t="s">
        <v>1791</v>
      </c>
      <c r="E2589" s="16" t="n">
        <v>391</v>
      </c>
      <c r="F2589" s="7" t="n">
        <v>1</v>
      </c>
      <c r="G2589" s="5" t="n">
        <v>390</v>
      </c>
    </row>
    <row r="2590" customFormat="false" ht="15" hidden="false" customHeight="false" outlineLevel="0" collapsed="false">
      <c r="A2590" s="13" t="s">
        <v>111</v>
      </c>
      <c r="B2590" s="13" t="s">
        <v>43</v>
      </c>
      <c r="C2590" s="13" t="s">
        <v>4</v>
      </c>
      <c r="D2590" s="13" t="s">
        <v>1792</v>
      </c>
      <c r="E2590" s="16" t="n">
        <v>389.34</v>
      </c>
      <c r="F2590" s="7" t="n">
        <v>1</v>
      </c>
      <c r="G2590" s="5" t="n">
        <v>390</v>
      </c>
    </row>
    <row r="2591" customFormat="false" ht="15" hidden="false" customHeight="false" outlineLevel="0" collapsed="false">
      <c r="A2591" s="13" t="s">
        <v>153</v>
      </c>
      <c r="B2591" s="13" t="s">
        <v>43</v>
      </c>
      <c r="C2591" s="13" t="s">
        <v>4</v>
      </c>
      <c r="D2591" s="13" t="s">
        <v>1793</v>
      </c>
      <c r="E2591" s="16" t="n">
        <v>391.2</v>
      </c>
      <c r="F2591" s="7" t="n">
        <v>1</v>
      </c>
      <c r="G2591" s="5" t="n">
        <v>390</v>
      </c>
    </row>
    <row r="2592" customFormat="false" ht="15" hidden="false" customHeight="false" outlineLevel="0" collapsed="false">
      <c r="A2592" s="13" t="s">
        <v>81</v>
      </c>
      <c r="B2592" s="13" t="s">
        <v>85</v>
      </c>
      <c r="C2592" s="13" t="s">
        <v>3</v>
      </c>
      <c r="D2592" s="13" t="s">
        <v>1794</v>
      </c>
      <c r="E2592" s="16" t="n">
        <v>37.582</v>
      </c>
      <c r="F2592" s="7" t="n">
        <v>5</v>
      </c>
      <c r="G2592" s="5" t="n">
        <v>380</v>
      </c>
    </row>
    <row r="2593" customFormat="false" ht="15" hidden="false" customHeight="false" outlineLevel="0" collapsed="false">
      <c r="A2593" s="13" t="s">
        <v>79</v>
      </c>
      <c r="B2593" s="13" t="s">
        <v>43</v>
      </c>
      <c r="C2593" s="13" t="s">
        <v>5</v>
      </c>
      <c r="D2593" s="13" t="s">
        <v>1082</v>
      </c>
      <c r="E2593" s="16" t="n">
        <v>379.28</v>
      </c>
      <c r="F2593" s="7" t="n">
        <v>1</v>
      </c>
      <c r="G2593" s="5" t="n">
        <v>380</v>
      </c>
    </row>
    <row r="2594" customFormat="false" ht="15" hidden="false" customHeight="false" outlineLevel="0" collapsed="false">
      <c r="A2594" s="13" t="s">
        <v>103</v>
      </c>
      <c r="B2594" s="13" t="s">
        <v>43</v>
      </c>
      <c r="C2594" s="13" t="s">
        <v>5</v>
      </c>
      <c r="D2594" s="13" t="s">
        <v>1795</v>
      </c>
      <c r="E2594" s="16" t="n">
        <v>190.71</v>
      </c>
      <c r="F2594" s="7" t="n">
        <v>2</v>
      </c>
      <c r="G2594" s="5" t="n">
        <v>380</v>
      </c>
    </row>
    <row r="2595" customFormat="false" ht="15" hidden="false" customHeight="false" outlineLevel="0" collapsed="false">
      <c r="A2595" s="13" t="s">
        <v>61</v>
      </c>
      <c r="B2595" s="13" t="s">
        <v>43</v>
      </c>
      <c r="C2595" s="13" t="s">
        <v>5</v>
      </c>
      <c r="D2595" s="13" t="s">
        <v>1796</v>
      </c>
      <c r="E2595" s="16" t="n">
        <v>378.85</v>
      </c>
      <c r="F2595" s="7" t="n">
        <v>1</v>
      </c>
      <c r="G2595" s="5" t="n">
        <v>380</v>
      </c>
    </row>
    <row r="2596" customFormat="false" ht="15" hidden="false" customHeight="false" outlineLevel="0" collapsed="false">
      <c r="A2596" s="13" t="s">
        <v>50</v>
      </c>
      <c r="B2596" s="13" t="s">
        <v>43</v>
      </c>
      <c r="C2596" s="13" t="s">
        <v>5</v>
      </c>
      <c r="D2596" s="13" t="s">
        <v>1797</v>
      </c>
      <c r="E2596" s="16" t="n">
        <v>379</v>
      </c>
      <c r="F2596" s="7" t="n">
        <v>1</v>
      </c>
      <c r="G2596" s="5" t="n">
        <v>380</v>
      </c>
    </row>
    <row r="2597" customFormat="false" ht="15" hidden="false" customHeight="false" outlineLevel="0" collapsed="false">
      <c r="A2597" s="13" t="s">
        <v>165</v>
      </c>
      <c r="B2597" s="13" t="s">
        <v>43</v>
      </c>
      <c r="C2597" s="13" t="s">
        <v>5</v>
      </c>
      <c r="D2597" s="13" t="s">
        <v>1798</v>
      </c>
      <c r="E2597" s="16" t="n">
        <v>378.89</v>
      </c>
      <c r="F2597" s="7" t="n">
        <v>1</v>
      </c>
      <c r="G2597" s="5" t="n">
        <v>380</v>
      </c>
    </row>
    <row r="2598" customFormat="false" ht="15" hidden="false" customHeight="false" outlineLevel="0" collapsed="false">
      <c r="A2598" s="13" t="s">
        <v>286</v>
      </c>
      <c r="B2598" s="13" t="s">
        <v>43</v>
      </c>
      <c r="C2598" s="13" t="s">
        <v>4</v>
      </c>
      <c r="D2598" s="13" t="s">
        <v>1799</v>
      </c>
      <c r="E2598" s="16" t="n">
        <v>378.81</v>
      </c>
      <c r="F2598" s="7" t="n">
        <v>1</v>
      </c>
      <c r="G2598" s="5" t="n">
        <v>380</v>
      </c>
    </row>
    <row r="2599" customFormat="false" ht="15" hidden="false" customHeight="false" outlineLevel="0" collapsed="false">
      <c r="A2599" s="13" t="s">
        <v>54</v>
      </c>
      <c r="B2599" s="13" t="s">
        <v>43</v>
      </c>
      <c r="C2599" s="13" t="s">
        <v>5</v>
      </c>
      <c r="D2599" s="13" t="s">
        <v>989</v>
      </c>
      <c r="E2599" s="16" t="n">
        <v>376.85</v>
      </c>
      <c r="F2599" s="7" t="n">
        <v>1</v>
      </c>
      <c r="G2599" s="5" t="n">
        <v>380</v>
      </c>
    </row>
    <row r="2600" customFormat="false" ht="15" hidden="false" customHeight="false" outlineLevel="0" collapsed="false">
      <c r="A2600" s="13" t="s">
        <v>59</v>
      </c>
      <c r="B2600" s="13" t="s">
        <v>43</v>
      </c>
      <c r="C2600" s="13" t="s">
        <v>5</v>
      </c>
      <c r="D2600" s="13" t="s">
        <v>1800</v>
      </c>
      <c r="E2600" s="16" t="n">
        <v>187.65</v>
      </c>
      <c r="F2600" s="7" t="n">
        <v>2</v>
      </c>
      <c r="G2600" s="5" t="n">
        <v>380</v>
      </c>
    </row>
    <row r="2601" customFormat="false" ht="15" hidden="false" customHeight="false" outlineLevel="0" collapsed="false">
      <c r="A2601" s="13" t="s">
        <v>103</v>
      </c>
      <c r="B2601" s="13" t="s">
        <v>43</v>
      </c>
      <c r="C2601" s="13" t="s">
        <v>5</v>
      </c>
      <c r="D2601" s="13" t="s">
        <v>1801</v>
      </c>
      <c r="E2601" s="16" t="n">
        <v>191.08</v>
      </c>
      <c r="F2601" s="7" t="n">
        <v>2</v>
      </c>
      <c r="G2601" s="5" t="n">
        <v>380</v>
      </c>
    </row>
    <row r="2602" customFormat="false" ht="15" hidden="false" customHeight="false" outlineLevel="0" collapsed="false">
      <c r="A2602" s="13" t="s">
        <v>54</v>
      </c>
      <c r="B2602" s="13" t="s">
        <v>43</v>
      </c>
      <c r="C2602" s="13" t="s">
        <v>5</v>
      </c>
      <c r="D2602" s="13" t="s">
        <v>1762</v>
      </c>
      <c r="E2602" s="16" t="n">
        <v>384.75</v>
      </c>
      <c r="F2602" s="7" t="n">
        <v>1</v>
      </c>
      <c r="G2602" s="5" t="n">
        <v>380</v>
      </c>
    </row>
    <row r="2603" customFormat="false" ht="15" hidden="false" customHeight="false" outlineLevel="0" collapsed="false">
      <c r="A2603" s="13" t="s">
        <v>61</v>
      </c>
      <c r="B2603" s="13" t="s">
        <v>43</v>
      </c>
      <c r="C2603" s="13" t="s">
        <v>5</v>
      </c>
      <c r="D2603" s="13" t="s">
        <v>1802</v>
      </c>
      <c r="E2603" s="16" t="n">
        <v>383.13</v>
      </c>
      <c r="F2603" s="7" t="n">
        <v>1</v>
      </c>
      <c r="G2603" s="5" t="n">
        <v>380</v>
      </c>
    </row>
    <row r="2604" customFormat="false" ht="15" hidden="false" customHeight="false" outlineLevel="0" collapsed="false">
      <c r="A2604" s="13" t="s">
        <v>286</v>
      </c>
      <c r="B2604" s="13" t="s">
        <v>43</v>
      </c>
      <c r="C2604" s="13" t="s">
        <v>4</v>
      </c>
      <c r="D2604" s="13" t="s">
        <v>1803</v>
      </c>
      <c r="E2604" s="16" t="n">
        <v>379.76</v>
      </c>
      <c r="F2604" s="7" t="n">
        <v>1</v>
      </c>
      <c r="G2604" s="5" t="n">
        <v>380</v>
      </c>
    </row>
    <row r="2605" customFormat="false" ht="15" hidden="false" customHeight="false" outlineLevel="0" collapsed="false">
      <c r="A2605" s="13" t="s">
        <v>153</v>
      </c>
      <c r="B2605" s="13" t="s">
        <v>43</v>
      </c>
      <c r="C2605" s="13" t="s">
        <v>4</v>
      </c>
      <c r="D2605" s="13" t="s">
        <v>1804</v>
      </c>
      <c r="E2605" s="16" t="n">
        <v>381.93</v>
      </c>
      <c r="F2605" s="7" t="n">
        <v>1</v>
      </c>
      <c r="G2605" s="5" t="n">
        <v>380</v>
      </c>
    </row>
    <row r="2606" customFormat="false" ht="15" hidden="false" customHeight="false" outlineLevel="0" collapsed="false">
      <c r="A2606" s="13" t="s">
        <v>153</v>
      </c>
      <c r="B2606" s="13" t="s">
        <v>43</v>
      </c>
      <c r="C2606" s="13" t="s">
        <v>4</v>
      </c>
      <c r="D2606" s="13" t="s">
        <v>1805</v>
      </c>
      <c r="E2606" s="16" t="n">
        <v>379.46</v>
      </c>
      <c r="F2606" s="7" t="n">
        <v>1</v>
      </c>
      <c r="G2606" s="5" t="n">
        <v>380</v>
      </c>
    </row>
    <row r="2607" customFormat="false" ht="15" hidden="false" customHeight="false" outlineLevel="0" collapsed="false">
      <c r="A2607" s="13" t="s">
        <v>79</v>
      </c>
      <c r="B2607" s="13" t="s">
        <v>43</v>
      </c>
      <c r="C2607" s="13" t="s">
        <v>5</v>
      </c>
      <c r="D2607" s="13" t="s">
        <v>580</v>
      </c>
      <c r="E2607" s="16" t="n">
        <v>375</v>
      </c>
      <c r="F2607" s="7" t="n">
        <v>1</v>
      </c>
      <c r="G2607" s="5" t="n">
        <v>380</v>
      </c>
    </row>
    <row r="2608" customFormat="false" ht="15" hidden="false" customHeight="false" outlineLevel="0" collapsed="false">
      <c r="A2608" s="13" t="s">
        <v>45</v>
      </c>
      <c r="B2608" s="13" t="s">
        <v>43</v>
      </c>
      <c r="C2608" s="13" t="s">
        <v>5</v>
      </c>
      <c r="D2608" s="13" t="s">
        <v>368</v>
      </c>
      <c r="E2608" s="16" t="n">
        <v>368.6</v>
      </c>
      <c r="F2608" s="7" t="n">
        <v>1</v>
      </c>
      <c r="G2608" s="5" t="n">
        <v>370</v>
      </c>
    </row>
    <row r="2609" customFormat="false" ht="15" hidden="false" customHeight="false" outlineLevel="0" collapsed="false">
      <c r="A2609" s="13" t="s">
        <v>286</v>
      </c>
      <c r="B2609" s="13" t="s">
        <v>43</v>
      </c>
      <c r="C2609" s="13" t="s">
        <v>4</v>
      </c>
      <c r="D2609" s="13" t="s">
        <v>1806</v>
      </c>
      <c r="E2609" s="16" t="n">
        <v>368.59</v>
      </c>
      <c r="F2609" s="7" t="n">
        <v>1</v>
      </c>
      <c r="G2609" s="5" t="n">
        <v>370</v>
      </c>
    </row>
    <row r="2610" customFormat="false" ht="15" hidden="false" customHeight="false" outlineLevel="0" collapsed="false">
      <c r="A2610" s="13" t="s">
        <v>302</v>
      </c>
      <c r="B2610" s="13" t="s">
        <v>43</v>
      </c>
      <c r="C2610" s="13" t="s">
        <v>4</v>
      </c>
      <c r="D2610" s="13" t="s">
        <v>1807</v>
      </c>
      <c r="E2610" s="16" t="n">
        <v>365.23</v>
      </c>
      <c r="F2610" s="7" t="n">
        <v>1</v>
      </c>
      <c r="G2610" s="5" t="n">
        <v>370</v>
      </c>
    </row>
    <row r="2611" customFormat="false" ht="15" hidden="false" customHeight="false" outlineLevel="0" collapsed="false">
      <c r="A2611" s="13" t="s">
        <v>54</v>
      </c>
      <c r="B2611" s="13" t="s">
        <v>43</v>
      </c>
      <c r="C2611" s="13" t="s">
        <v>5</v>
      </c>
      <c r="D2611" s="13" t="s">
        <v>1808</v>
      </c>
      <c r="E2611" s="16" t="n">
        <v>366.85</v>
      </c>
      <c r="F2611" s="7" t="n">
        <v>1</v>
      </c>
      <c r="G2611" s="5" t="n">
        <v>370</v>
      </c>
    </row>
    <row r="2612" customFormat="false" ht="15" hidden="false" customHeight="false" outlineLevel="0" collapsed="false">
      <c r="A2612" s="13" t="s">
        <v>54</v>
      </c>
      <c r="B2612" s="13" t="s">
        <v>43</v>
      </c>
      <c r="C2612" s="13" t="s">
        <v>5</v>
      </c>
      <c r="D2612" s="13" t="s">
        <v>1809</v>
      </c>
      <c r="E2612" s="16" t="n">
        <v>366.85</v>
      </c>
      <c r="F2612" s="7" t="n">
        <v>1</v>
      </c>
      <c r="G2612" s="5" t="n">
        <v>370</v>
      </c>
    </row>
    <row r="2613" customFormat="false" ht="15" hidden="false" customHeight="false" outlineLevel="0" collapsed="false">
      <c r="A2613" s="13" t="s">
        <v>42</v>
      </c>
      <c r="B2613" s="13" t="s">
        <v>43</v>
      </c>
      <c r="C2613" s="13" t="s">
        <v>5</v>
      </c>
      <c r="D2613" s="13" t="s">
        <v>1810</v>
      </c>
      <c r="E2613" s="16" t="n">
        <v>368.85</v>
      </c>
      <c r="F2613" s="7" t="n">
        <v>1</v>
      </c>
      <c r="G2613" s="5" t="n">
        <v>370</v>
      </c>
    </row>
    <row r="2614" customFormat="false" ht="15" hidden="false" customHeight="false" outlineLevel="0" collapsed="false">
      <c r="A2614" s="13" t="s">
        <v>54</v>
      </c>
      <c r="B2614" s="13" t="s">
        <v>43</v>
      </c>
      <c r="C2614" s="13" t="s">
        <v>5</v>
      </c>
      <c r="D2614" s="13" t="s">
        <v>1218</v>
      </c>
      <c r="E2614" s="16" t="n">
        <v>366.85</v>
      </c>
      <c r="F2614" s="7" t="n">
        <v>1</v>
      </c>
      <c r="G2614" s="5" t="n">
        <v>370</v>
      </c>
    </row>
    <row r="2615" customFormat="false" ht="15" hidden="false" customHeight="false" outlineLevel="0" collapsed="false">
      <c r="A2615" s="13" t="s">
        <v>54</v>
      </c>
      <c r="B2615" s="13" t="s">
        <v>43</v>
      </c>
      <c r="C2615" s="13" t="s">
        <v>5</v>
      </c>
      <c r="D2615" s="13" t="s">
        <v>1811</v>
      </c>
      <c r="E2615" s="16" t="n">
        <v>368.85</v>
      </c>
      <c r="F2615" s="7" t="n">
        <v>1</v>
      </c>
      <c r="G2615" s="5" t="n">
        <v>370</v>
      </c>
    </row>
    <row r="2616" customFormat="false" ht="15" hidden="false" customHeight="false" outlineLevel="0" collapsed="false">
      <c r="A2616" s="13" t="s">
        <v>79</v>
      </c>
      <c r="B2616" s="13" t="s">
        <v>43</v>
      </c>
      <c r="C2616" s="13" t="s">
        <v>5</v>
      </c>
      <c r="D2616" s="13" t="s">
        <v>339</v>
      </c>
      <c r="E2616" s="16" t="n">
        <v>374</v>
      </c>
      <c r="F2616" s="7" t="n">
        <v>1</v>
      </c>
      <c r="G2616" s="5" t="n">
        <v>370</v>
      </c>
    </row>
    <row r="2617" customFormat="false" ht="15" hidden="false" customHeight="false" outlineLevel="0" collapsed="false">
      <c r="A2617" s="13" t="s">
        <v>103</v>
      </c>
      <c r="B2617" s="13" t="s">
        <v>43</v>
      </c>
      <c r="C2617" s="13" t="s">
        <v>5</v>
      </c>
      <c r="D2617" s="13" t="s">
        <v>1812</v>
      </c>
      <c r="E2617" s="16" t="n">
        <v>184</v>
      </c>
      <c r="F2617" s="7" t="n">
        <v>2</v>
      </c>
      <c r="G2617" s="5" t="n">
        <v>370</v>
      </c>
    </row>
    <row r="2618" customFormat="false" ht="15" hidden="false" customHeight="false" outlineLevel="0" collapsed="false">
      <c r="A2618" s="13" t="s">
        <v>59</v>
      </c>
      <c r="B2618" s="13" t="s">
        <v>43</v>
      </c>
      <c r="C2618" s="13" t="s">
        <v>5</v>
      </c>
      <c r="D2618" s="13" t="s">
        <v>1813</v>
      </c>
      <c r="E2618" s="16" t="n">
        <v>183.5</v>
      </c>
      <c r="F2618" s="7" t="n">
        <v>2</v>
      </c>
      <c r="G2618" s="5" t="n">
        <v>370</v>
      </c>
    </row>
    <row r="2619" customFormat="false" ht="15" hidden="false" customHeight="false" outlineLevel="0" collapsed="false">
      <c r="A2619" s="13" t="s">
        <v>153</v>
      </c>
      <c r="B2619" s="13" t="s">
        <v>43</v>
      </c>
      <c r="C2619" s="13" t="s">
        <v>5</v>
      </c>
      <c r="D2619" s="13" t="s">
        <v>1814</v>
      </c>
      <c r="E2619" s="16" t="n">
        <v>367.21</v>
      </c>
      <c r="F2619" s="7" t="n">
        <v>1</v>
      </c>
      <c r="G2619" s="5" t="n">
        <v>370</v>
      </c>
    </row>
    <row r="2620" customFormat="false" ht="15" hidden="false" customHeight="false" outlineLevel="0" collapsed="false">
      <c r="A2620" s="13" t="s">
        <v>270</v>
      </c>
      <c r="B2620" s="13" t="s">
        <v>43</v>
      </c>
      <c r="C2620" s="13" t="s">
        <v>4</v>
      </c>
      <c r="D2620" s="13" t="s">
        <v>1815</v>
      </c>
      <c r="E2620" s="16" t="n">
        <v>366.59</v>
      </c>
      <c r="F2620" s="7" t="n">
        <v>1</v>
      </c>
      <c r="G2620" s="5" t="n">
        <v>370</v>
      </c>
    </row>
    <row r="2621" customFormat="false" ht="15" hidden="false" customHeight="false" outlineLevel="0" collapsed="false">
      <c r="A2621" s="13" t="s">
        <v>121</v>
      </c>
      <c r="B2621" s="13" t="s">
        <v>183</v>
      </c>
      <c r="C2621" s="13" t="s">
        <v>5</v>
      </c>
      <c r="D2621" s="13" t="s">
        <v>1816</v>
      </c>
      <c r="E2621" s="16" t="n">
        <v>61.4366666666667</v>
      </c>
      <c r="F2621" s="7" t="n">
        <v>5</v>
      </c>
      <c r="G2621" s="5" t="n">
        <v>370</v>
      </c>
    </row>
    <row r="2622" customFormat="false" ht="15" hidden="false" customHeight="false" outlineLevel="0" collapsed="false">
      <c r="A2622" s="13" t="s">
        <v>54</v>
      </c>
      <c r="B2622" s="13" t="s">
        <v>43</v>
      </c>
      <c r="C2622" s="13" t="s">
        <v>5</v>
      </c>
      <c r="D2622" s="13" t="s">
        <v>1817</v>
      </c>
      <c r="E2622" s="16" t="n">
        <v>366.85</v>
      </c>
      <c r="F2622" s="7" t="n">
        <v>1</v>
      </c>
      <c r="G2622" s="5" t="n">
        <v>370</v>
      </c>
    </row>
    <row r="2623" customFormat="false" ht="15" hidden="false" customHeight="false" outlineLevel="0" collapsed="false">
      <c r="A2623" s="13" t="s">
        <v>59</v>
      </c>
      <c r="B2623" s="13" t="s">
        <v>43</v>
      </c>
      <c r="C2623" s="13" t="s">
        <v>5</v>
      </c>
      <c r="D2623" s="13" t="s">
        <v>1818</v>
      </c>
      <c r="E2623" s="16" t="n">
        <v>187.44</v>
      </c>
      <c r="F2623" s="7" t="n">
        <v>2</v>
      </c>
      <c r="G2623" s="5" t="n">
        <v>370</v>
      </c>
    </row>
    <row r="2624" customFormat="false" ht="15" hidden="false" customHeight="false" outlineLevel="0" collapsed="false">
      <c r="A2624" s="13" t="s">
        <v>61</v>
      </c>
      <c r="B2624" s="13" t="s">
        <v>43</v>
      </c>
      <c r="C2624" s="13" t="s">
        <v>5</v>
      </c>
      <c r="D2624" s="13" t="s">
        <v>1819</v>
      </c>
      <c r="E2624" s="16" t="n">
        <v>355.9</v>
      </c>
      <c r="F2624" s="7" t="n">
        <v>1</v>
      </c>
      <c r="G2624" s="5" t="n">
        <v>360</v>
      </c>
    </row>
    <row r="2625" customFormat="false" ht="15" hidden="false" customHeight="false" outlineLevel="0" collapsed="false">
      <c r="A2625" s="13" t="s">
        <v>54</v>
      </c>
      <c r="B2625" s="13" t="s">
        <v>43</v>
      </c>
      <c r="C2625" s="13" t="s">
        <v>5</v>
      </c>
      <c r="D2625" s="13" t="s">
        <v>1820</v>
      </c>
      <c r="E2625" s="16" t="n">
        <v>355.85</v>
      </c>
      <c r="F2625" s="7" t="n">
        <v>1</v>
      </c>
      <c r="G2625" s="5" t="n">
        <v>360</v>
      </c>
    </row>
    <row r="2626" customFormat="false" ht="15" hidden="false" customHeight="false" outlineLevel="0" collapsed="false">
      <c r="A2626" s="13" t="s">
        <v>54</v>
      </c>
      <c r="B2626" s="13" t="s">
        <v>43</v>
      </c>
      <c r="C2626" s="13" t="s">
        <v>5</v>
      </c>
      <c r="D2626" s="13" t="s">
        <v>1106</v>
      </c>
      <c r="E2626" s="16" t="n">
        <v>361.85</v>
      </c>
      <c r="F2626" s="7" t="n">
        <v>1</v>
      </c>
      <c r="G2626" s="5" t="n">
        <v>360</v>
      </c>
    </row>
    <row r="2627" customFormat="false" ht="15" hidden="false" customHeight="false" outlineLevel="0" collapsed="false">
      <c r="A2627" s="13" t="s">
        <v>103</v>
      </c>
      <c r="B2627" s="13" t="s">
        <v>43</v>
      </c>
      <c r="C2627" s="13" t="s">
        <v>5</v>
      </c>
      <c r="D2627" s="13" t="s">
        <v>1821</v>
      </c>
      <c r="E2627" s="16" t="n">
        <v>180.85</v>
      </c>
      <c r="F2627" s="7" t="n">
        <v>2</v>
      </c>
      <c r="G2627" s="5" t="n">
        <v>360</v>
      </c>
    </row>
    <row r="2628" customFormat="false" ht="15" hidden="false" customHeight="false" outlineLevel="0" collapsed="false">
      <c r="A2628" s="13" t="s">
        <v>50</v>
      </c>
      <c r="B2628" s="13" t="s">
        <v>43</v>
      </c>
      <c r="C2628" s="13" t="s">
        <v>5</v>
      </c>
      <c r="D2628" s="13" t="s">
        <v>756</v>
      </c>
      <c r="E2628" s="16" t="n">
        <v>360</v>
      </c>
      <c r="F2628" s="7" t="n">
        <v>1</v>
      </c>
      <c r="G2628" s="5" t="n">
        <v>360</v>
      </c>
    </row>
    <row r="2629" customFormat="false" ht="15" hidden="false" customHeight="false" outlineLevel="0" collapsed="false">
      <c r="A2629" s="13" t="s">
        <v>42</v>
      </c>
      <c r="B2629" s="13" t="s">
        <v>43</v>
      </c>
      <c r="C2629" s="13" t="s">
        <v>5</v>
      </c>
      <c r="D2629" s="13" t="s">
        <v>1408</v>
      </c>
      <c r="E2629" s="16" t="n">
        <v>359.87</v>
      </c>
      <c r="F2629" s="7" t="n">
        <v>1</v>
      </c>
      <c r="G2629" s="5" t="n">
        <v>360</v>
      </c>
    </row>
    <row r="2630" customFormat="false" ht="15" hidden="false" customHeight="false" outlineLevel="0" collapsed="false">
      <c r="A2630" s="13" t="s">
        <v>121</v>
      </c>
      <c r="B2630" s="13" t="s">
        <v>43</v>
      </c>
      <c r="C2630" s="13" t="s">
        <v>5</v>
      </c>
      <c r="D2630" s="13" t="s">
        <v>1822</v>
      </c>
      <c r="E2630" s="16" t="n">
        <v>179.4</v>
      </c>
      <c r="F2630" s="7" t="n">
        <v>2</v>
      </c>
      <c r="G2630" s="5" t="n">
        <v>360</v>
      </c>
    </row>
    <row r="2631" customFormat="false" ht="15" hidden="false" customHeight="false" outlineLevel="0" collapsed="false">
      <c r="A2631" s="13" t="s">
        <v>107</v>
      </c>
      <c r="B2631" s="13" t="s">
        <v>43</v>
      </c>
      <c r="C2631" s="13" t="s">
        <v>5</v>
      </c>
      <c r="D2631" s="13" t="s">
        <v>1823</v>
      </c>
      <c r="E2631" s="16" t="n">
        <v>179.105</v>
      </c>
      <c r="F2631" s="7" t="n">
        <v>2</v>
      </c>
      <c r="G2631" s="5" t="n">
        <v>360</v>
      </c>
    </row>
    <row r="2632" customFormat="false" ht="15" hidden="false" customHeight="false" outlineLevel="0" collapsed="false">
      <c r="A2632" s="13" t="s">
        <v>103</v>
      </c>
      <c r="B2632" s="13" t="s">
        <v>43</v>
      </c>
      <c r="C2632" s="13" t="s">
        <v>5</v>
      </c>
      <c r="D2632" s="13" t="s">
        <v>1824</v>
      </c>
      <c r="E2632" s="16" t="n">
        <v>179.1</v>
      </c>
      <c r="F2632" s="7" t="n">
        <v>2</v>
      </c>
      <c r="G2632" s="5" t="n">
        <v>360</v>
      </c>
    </row>
    <row r="2633" customFormat="false" ht="15" hidden="false" customHeight="false" outlineLevel="0" collapsed="false">
      <c r="A2633" s="13" t="s">
        <v>195</v>
      </c>
      <c r="B2633" s="13" t="s">
        <v>43</v>
      </c>
      <c r="C2633" s="13" t="s">
        <v>5</v>
      </c>
      <c r="D2633" s="13" t="s">
        <v>1825</v>
      </c>
      <c r="E2633" s="16" t="n">
        <v>355</v>
      </c>
      <c r="F2633" s="7" t="n">
        <v>1</v>
      </c>
      <c r="G2633" s="5" t="n">
        <v>360</v>
      </c>
    </row>
    <row r="2634" customFormat="false" ht="15" hidden="false" customHeight="false" outlineLevel="0" collapsed="false">
      <c r="A2634" s="13" t="s">
        <v>42</v>
      </c>
      <c r="B2634" s="13" t="s">
        <v>43</v>
      </c>
      <c r="C2634" s="13" t="s">
        <v>4</v>
      </c>
      <c r="D2634" s="13" t="s">
        <v>1826</v>
      </c>
      <c r="E2634" s="16" t="n">
        <v>355.11</v>
      </c>
      <c r="F2634" s="7" t="n">
        <v>1</v>
      </c>
      <c r="G2634" s="5" t="n">
        <v>360</v>
      </c>
    </row>
    <row r="2635" customFormat="false" ht="15" hidden="false" customHeight="false" outlineLevel="0" collapsed="false">
      <c r="A2635" s="13" t="s">
        <v>153</v>
      </c>
      <c r="B2635" s="13" t="s">
        <v>43</v>
      </c>
      <c r="C2635" s="13" t="s">
        <v>4</v>
      </c>
      <c r="D2635" s="13" t="s">
        <v>1827</v>
      </c>
      <c r="E2635" s="16" t="n">
        <v>355.59</v>
      </c>
      <c r="F2635" s="7" t="n">
        <v>1</v>
      </c>
      <c r="G2635" s="5" t="n">
        <v>360</v>
      </c>
    </row>
    <row r="2636" customFormat="false" ht="15" hidden="false" customHeight="false" outlineLevel="0" collapsed="false">
      <c r="A2636" s="13" t="s">
        <v>114</v>
      </c>
      <c r="B2636" s="13" t="s">
        <v>85</v>
      </c>
      <c r="C2636" s="13" t="s">
        <v>3</v>
      </c>
      <c r="D2636" s="13" t="s">
        <v>1828</v>
      </c>
      <c r="E2636" s="16" t="n">
        <v>119.9</v>
      </c>
      <c r="F2636" s="7" t="n">
        <v>2</v>
      </c>
      <c r="G2636" s="5" t="n">
        <v>360</v>
      </c>
    </row>
    <row r="2637" customFormat="false" ht="15" hidden="false" customHeight="false" outlineLevel="0" collapsed="false">
      <c r="A2637" s="13" t="s">
        <v>179</v>
      </c>
      <c r="B2637" s="13" t="s">
        <v>180</v>
      </c>
      <c r="C2637" s="13" t="s">
        <v>3</v>
      </c>
      <c r="D2637" s="13" t="s">
        <v>1829</v>
      </c>
      <c r="E2637" s="16" t="n">
        <v>179</v>
      </c>
      <c r="F2637" s="7" t="n">
        <v>2</v>
      </c>
      <c r="G2637" s="5" t="n">
        <v>360</v>
      </c>
    </row>
    <row r="2638" customFormat="false" ht="15" hidden="false" customHeight="false" outlineLevel="0" collapsed="false">
      <c r="A2638" s="13" t="s">
        <v>191</v>
      </c>
      <c r="B2638" s="13" t="s">
        <v>183</v>
      </c>
      <c r="C2638" s="13" t="s">
        <v>3</v>
      </c>
      <c r="D2638" s="13" t="s">
        <v>1830</v>
      </c>
      <c r="E2638" s="16" t="n">
        <v>119</v>
      </c>
      <c r="F2638" s="7" t="n">
        <v>2</v>
      </c>
      <c r="G2638" s="5" t="n">
        <v>360</v>
      </c>
    </row>
    <row r="2639" customFormat="false" ht="15" hidden="false" customHeight="false" outlineLevel="0" collapsed="false">
      <c r="A2639" s="13" t="s">
        <v>61</v>
      </c>
      <c r="B2639" s="13" t="s">
        <v>43</v>
      </c>
      <c r="C2639" s="13" t="s">
        <v>5</v>
      </c>
      <c r="D2639" s="13" t="s">
        <v>860</v>
      </c>
      <c r="E2639" s="16" t="n">
        <v>362.24</v>
      </c>
      <c r="F2639" s="7" t="n">
        <v>1</v>
      </c>
      <c r="G2639" s="5" t="n">
        <v>360</v>
      </c>
    </row>
    <row r="2640" customFormat="false" ht="15" hidden="false" customHeight="false" outlineLevel="0" collapsed="false">
      <c r="A2640" s="13" t="s">
        <v>195</v>
      </c>
      <c r="B2640" s="13" t="s">
        <v>43</v>
      </c>
      <c r="C2640" s="13" t="s">
        <v>5</v>
      </c>
      <c r="D2640" s="13" t="s">
        <v>1831</v>
      </c>
      <c r="E2640" s="16" t="n">
        <v>362</v>
      </c>
      <c r="F2640" s="7" t="n">
        <v>1</v>
      </c>
      <c r="G2640" s="5" t="n">
        <v>360</v>
      </c>
    </row>
    <row r="2641" customFormat="false" ht="15" hidden="false" customHeight="false" outlineLevel="0" collapsed="false">
      <c r="A2641" s="13" t="s">
        <v>61</v>
      </c>
      <c r="B2641" s="13" t="s">
        <v>183</v>
      </c>
      <c r="C2641" s="13" t="s">
        <v>5</v>
      </c>
      <c r="D2641" s="13" t="s">
        <v>1832</v>
      </c>
      <c r="E2641" s="16" t="n">
        <v>362.55</v>
      </c>
      <c r="F2641" s="7" t="n">
        <v>1</v>
      </c>
      <c r="G2641" s="5" t="n">
        <v>360</v>
      </c>
    </row>
    <row r="2642" customFormat="false" ht="15" hidden="false" customHeight="false" outlineLevel="0" collapsed="false">
      <c r="A2642" s="13" t="s">
        <v>61</v>
      </c>
      <c r="B2642" s="13" t="s">
        <v>43</v>
      </c>
      <c r="C2642" s="13" t="s">
        <v>5</v>
      </c>
      <c r="D2642" s="13" t="s">
        <v>1833</v>
      </c>
      <c r="E2642" s="16" t="n">
        <v>357.44</v>
      </c>
      <c r="F2642" s="7" t="n">
        <v>1</v>
      </c>
      <c r="G2642" s="5" t="n">
        <v>360</v>
      </c>
    </row>
    <row r="2643" customFormat="false" ht="15" hidden="false" customHeight="false" outlineLevel="0" collapsed="false">
      <c r="A2643" s="13" t="s">
        <v>179</v>
      </c>
      <c r="B2643" s="13" t="s">
        <v>85</v>
      </c>
      <c r="C2643" s="13" t="s">
        <v>3</v>
      </c>
      <c r="D2643" s="13" t="s">
        <v>1834</v>
      </c>
      <c r="E2643" s="16" t="n">
        <v>349</v>
      </c>
      <c r="F2643" s="7" t="n">
        <v>1</v>
      </c>
      <c r="G2643" s="5" t="n">
        <v>350</v>
      </c>
    </row>
    <row r="2644" customFormat="false" ht="15" hidden="false" customHeight="false" outlineLevel="0" collapsed="false">
      <c r="A2644" s="13" t="s">
        <v>335</v>
      </c>
      <c r="B2644" s="13" t="s">
        <v>43</v>
      </c>
      <c r="C2644" s="13" t="s">
        <v>4</v>
      </c>
      <c r="D2644" s="13" t="s">
        <v>1835</v>
      </c>
      <c r="E2644" s="16" t="n">
        <v>175.77</v>
      </c>
      <c r="F2644" s="7" t="n">
        <v>2</v>
      </c>
      <c r="G2644" s="5" t="n">
        <v>350</v>
      </c>
    </row>
    <row r="2645" customFormat="false" ht="15" hidden="false" customHeight="false" outlineLevel="0" collapsed="false">
      <c r="A2645" s="13" t="s">
        <v>365</v>
      </c>
      <c r="B2645" s="13" t="s">
        <v>43</v>
      </c>
      <c r="C2645" s="13" t="s">
        <v>4</v>
      </c>
      <c r="D2645" s="13" t="s">
        <v>1836</v>
      </c>
      <c r="E2645" s="16" t="n">
        <v>345.39</v>
      </c>
      <c r="F2645" s="7" t="n">
        <v>1</v>
      </c>
      <c r="G2645" s="5" t="n">
        <v>350</v>
      </c>
    </row>
    <row r="2646" customFormat="false" ht="15" hidden="false" customHeight="false" outlineLevel="0" collapsed="false">
      <c r="A2646" s="13" t="s">
        <v>329</v>
      </c>
      <c r="B2646" s="13" t="s">
        <v>43</v>
      </c>
      <c r="C2646" s="13" t="s">
        <v>4</v>
      </c>
      <c r="D2646" s="13" t="s">
        <v>635</v>
      </c>
      <c r="E2646" s="16" t="n">
        <v>350.55</v>
      </c>
      <c r="F2646" s="7" t="n">
        <v>1</v>
      </c>
      <c r="G2646" s="5" t="n">
        <v>350</v>
      </c>
    </row>
    <row r="2647" customFormat="false" ht="15" hidden="false" customHeight="false" outlineLevel="0" collapsed="false">
      <c r="A2647" s="13" t="s">
        <v>177</v>
      </c>
      <c r="B2647" s="13" t="s">
        <v>43</v>
      </c>
      <c r="C2647" s="13" t="s">
        <v>5</v>
      </c>
      <c r="D2647" s="13" t="s">
        <v>703</v>
      </c>
      <c r="E2647" s="16" t="n">
        <v>351</v>
      </c>
      <c r="F2647" s="7" t="n">
        <v>1</v>
      </c>
      <c r="G2647" s="5" t="n">
        <v>350</v>
      </c>
    </row>
    <row r="2648" customFormat="false" ht="15" hidden="false" customHeight="false" outlineLevel="0" collapsed="false">
      <c r="A2648" s="13" t="s">
        <v>365</v>
      </c>
      <c r="B2648" s="13" t="s">
        <v>43</v>
      </c>
      <c r="C2648" s="13" t="s">
        <v>5</v>
      </c>
      <c r="D2648" s="13" t="s">
        <v>1837</v>
      </c>
      <c r="E2648" s="16" t="n">
        <v>335.08</v>
      </c>
      <c r="F2648" s="7" t="n">
        <v>1</v>
      </c>
      <c r="G2648" s="5" t="n">
        <v>340</v>
      </c>
    </row>
    <row r="2649" customFormat="false" ht="15" hidden="false" customHeight="false" outlineLevel="0" collapsed="false">
      <c r="A2649" s="13" t="s">
        <v>126</v>
      </c>
      <c r="B2649" s="13" t="s">
        <v>43</v>
      </c>
      <c r="C2649" s="13" t="s">
        <v>5</v>
      </c>
      <c r="D2649" s="13" t="s">
        <v>1838</v>
      </c>
      <c r="E2649" s="16" t="n">
        <v>335.5</v>
      </c>
      <c r="F2649" s="7" t="n">
        <v>1</v>
      </c>
      <c r="G2649" s="5" t="n">
        <v>340</v>
      </c>
    </row>
    <row r="2650" customFormat="false" ht="15" hidden="false" customHeight="false" outlineLevel="0" collapsed="false">
      <c r="A2650" s="13" t="s">
        <v>107</v>
      </c>
      <c r="B2650" s="13" t="s">
        <v>43</v>
      </c>
      <c r="C2650" s="13" t="s">
        <v>5</v>
      </c>
      <c r="D2650" s="13" t="s">
        <v>1823</v>
      </c>
      <c r="E2650" s="16" t="n">
        <v>168.235</v>
      </c>
      <c r="F2650" s="7" t="n">
        <v>2</v>
      </c>
      <c r="G2650" s="5" t="n">
        <v>340</v>
      </c>
    </row>
    <row r="2651" customFormat="false" ht="15" hidden="false" customHeight="false" outlineLevel="0" collapsed="false">
      <c r="A2651" s="13" t="s">
        <v>107</v>
      </c>
      <c r="B2651" s="13" t="s">
        <v>43</v>
      </c>
      <c r="C2651" s="13" t="s">
        <v>5</v>
      </c>
      <c r="D2651" s="13" t="s">
        <v>1767</v>
      </c>
      <c r="E2651" s="16" t="n">
        <v>169.85</v>
      </c>
      <c r="F2651" s="7" t="n">
        <v>2</v>
      </c>
      <c r="G2651" s="5" t="n">
        <v>340</v>
      </c>
    </row>
    <row r="2652" customFormat="false" ht="15" hidden="false" customHeight="false" outlineLevel="0" collapsed="false">
      <c r="A2652" s="13" t="s">
        <v>286</v>
      </c>
      <c r="B2652" s="13" t="s">
        <v>43</v>
      </c>
      <c r="C2652" s="13" t="s">
        <v>5</v>
      </c>
      <c r="D2652" s="13" t="s">
        <v>1839</v>
      </c>
      <c r="E2652" s="16" t="n">
        <v>170.33</v>
      </c>
      <c r="F2652" s="7" t="n">
        <v>2</v>
      </c>
      <c r="G2652" s="5" t="n">
        <v>340</v>
      </c>
    </row>
    <row r="2653" customFormat="false" ht="15" hidden="false" customHeight="false" outlineLevel="0" collapsed="false">
      <c r="A2653" s="13" t="s">
        <v>329</v>
      </c>
      <c r="B2653" s="13" t="s">
        <v>43</v>
      </c>
      <c r="C2653" s="13" t="s">
        <v>5</v>
      </c>
      <c r="D2653" s="13" t="s">
        <v>384</v>
      </c>
      <c r="E2653" s="16" t="n">
        <v>335</v>
      </c>
      <c r="F2653" s="7" t="n">
        <v>1</v>
      </c>
      <c r="G2653" s="5" t="n">
        <v>340</v>
      </c>
    </row>
    <row r="2654" customFormat="false" ht="15" hidden="false" customHeight="false" outlineLevel="0" collapsed="false">
      <c r="A2654" s="13" t="s">
        <v>362</v>
      </c>
      <c r="B2654" s="13" t="s">
        <v>43</v>
      </c>
      <c r="C2654" s="13" t="s">
        <v>5</v>
      </c>
      <c r="D2654" s="13" t="s">
        <v>1840</v>
      </c>
      <c r="E2654" s="16" t="n">
        <v>341.9</v>
      </c>
      <c r="F2654" s="7" t="n">
        <v>1</v>
      </c>
      <c r="G2654" s="5" t="n">
        <v>340</v>
      </c>
    </row>
    <row r="2655" customFormat="false" ht="15" hidden="false" customHeight="false" outlineLevel="0" collapsed="false">
      <c r="A2655" s="13" t="s">
        <v>161</v>
      </c>
      <c r="B2655" s="13" t="s">
        <v>43</v>
      </c>
      <c r="C2655" s="13" t="s">
        <v>4</v>
      </c>
      <c r="D2655" s="13" t="s">
        <v>1841</v>
      </c>
      <c r="E2655" s="16" t="n">
        <v>339.49</v>
      </c>
      <c r="F2655" s="7" t="n">
        <v>1</v>
      </c>
      <c r="G2655" s="5" t="n">
        <v>340</v>
      </c>
    </row>
    <row r="2656" customFormat="false" ht="15" hidden="false" customHeight="false" outlineLevel="0" collapsed="false">
      <c r="A2656" s="13" t="s">
        <v>107</v>
      </c>
      <c r="B2656" s="13" t="s">
        <v>43</v>
      </c>
      <c r="C2656" s="13" t="s">
        <v>5</v>
      </c>
      <c r="D2656" s="13" t="s">
        <v>1823</v>
      </c>
      <c r="E2656" s="16" t="n">
        <v>169.02</v>
      </c>
      <c r="F2656" s="7" t="n">
        <v>2</v>
      </c>
      <c r="G2656" s="5" t="n">
        <v>340</v>
      </c>
    </row>
    <row r="2657" customFormat="false" ht="15" hidden="false" customHeight="false" outlineLevel="0" collapsed="false">
      <c r="A2657" s="13" t="s">
        <v>54</v>
      </c>
      <c r="B2657" s="13" t="s">
        <v>43</v>
      </c>
      <c r="C2657" s="13" t="s">
        <v>5</v>
      </c>
      <c r="D2657" s="13" t="s">
        <v>1842</v>
      </c>
      <c r="E2657" s="16" t="n">
        <v>338.85</v>
      </c>
      <c r="F2657" s="7" t="n">
        <v>1</v>
      </c>
      <c r="G2657" s="5" t="n">
        <v>340</v>
      </c>
    </row>
    <row r="2658" customFormat="false" ht="15" hidden="false" customHeight="false" outlineLevel="0" collapsed="false">
      <c r="A2658" s="13" t="s">
        <v>490</v>
      </c>
      <c r="B2658" s="13" t="s">
        <v>43</v>
      </c>
      <c r="C2658" s="13" t="s">
        <v>3</v>
      </c>
      <c r="D2658" s="13" t="s">
        <v>1772</v>
      </c>
      <c r="E2658" s="16" t="n">
        <v>343.37</v>
      </c>
      <c r="F2658" s="7" t="n">
        <v>1</v>
      </c>
      <c r="G2658" s="5" t="n">
        <v>340</v>
      </c>
    </row>
    <row r="2659" customFormat="false" ht="15" hidden="false" customHeight="false" outlineLevel="0" collapsed="false">
      <c r="A2659" s="13" t="s">
        <v>490</v>
      </c>
      <c r="B2659" s="13" t="s">
        <v>43</v>
      </c>
      <c r="C2659" s="13" t="s">
        <v>4</v>
      </c>
      <c r="D2659" s="13" t="s">
        <v>1150</v>
      </c>
      <c r="E2659" s="16" t="n">
        <v>339.15</v>
      </c>
      <c r="F2659" s="7" t="n">
        <v>1</v>
      </c>
      <c r="G2659" s="5" t="n">
        <v>340</v>
      </c>
    </row>
    <row r="2660" customFormat="false" ht="15" hidden="false" customHeight="false" outlineLevel="0" collapsed="false">
      <c r="A2660" s="13" t="s">
        <v>61</v>
      </c>
      <c r="B2660" s="13" t="s">
        <v>43</v>
      </c>
      <c r="C2660" s="13" t="s">
        <v>5</v>
      </c>
      <c r="D2660" s="13" t="s">
        <v>232</v>
      </c>
      <c r="E2660" s="16" t="n">
        <v>329.99</v>
      </c>
      <c r="F2660" s="7" t="n">
        <v>1</v>
      </c>
      <c r="G2660" s="5" t="n">
        <v>330</v>
      </c>
    </row>
    <row r="2661" customFormat="false" ht="15" hidden="false" customHeight="false" outlineLevel="0" collapsed="false">
      <c r="A2661" s="13" t="s">
        <v>121</v>
      </c>
      <c r="B2661" s="13" t="s">
        <v>43</v>
      </c>
      <c r="C2661" s="13" t="s">
        <v>5</v>
      </c>
      <c r="D2661" s="13" t="s">
        <v>1843</v>
      </c>
      <c r="E2661" s="16" t="n">
        <v>82</v>
      </c>
      <c r="F2661" s="7" t="n">
        <v>2</v>
      </c>
      <c r="G2661" s="5" t="n">
        <v>330</v>
      </c>
    </row>
    <row r="2662" customFormat="false" ht="15" hidden="false" customHeight="false" outlineLevel="0" collapsed="false">
      <c r="A2662" s="13" t="s">
        <v>329</v>
      </c>
      <c r="B2662" s="13" t="s">
        <v>43</v>
      </c>
      <c r="C2662" s="13" t="s">
        <v>4</v>
      </c>
      <c r="D2662" s="13" t="s">
        <v>1844</v>
      </c>
      <c r="E2662" s="16" t="n">
        <v>325.91</v>
      </c>
      <c r="F2662" s="7" t="n">
        <v>1</v>
      </c>
      <c r="G2662" s="5" t="n">
        <v>330</v>
      </c>
    </row>
    <row r="2663" customFormat="false" ht="15" hidden="false" customHeight="false" outlineLevel="0" collapsed="false">
      <c r="A2663" s="13" t="s">
        <v>186</v>
      </c>
      <c r="B2663" s="13" t="s">
        <v>43</v>
      </c>
      <c r="C2663" s="13" t="s">
        <v>4</v>
      </c>
      <c r="D2663" s="13" t="s">
        <v>1845</v>
      </c>
      <c r="E2663" s="16" t="n">
        <v>328</v>
      </c>
      <c r="F2663" s="7" t="n">
        <v>1</v>
      </c>
      <c r="G2663" s="5" t="n">
        <v>330</v>
      </c>
    </row>
    <row r="2664" customFormat="false" ht="15" hidden="false" customHeight="false" outlineLevel="0" collapsed="false">
      <c r="A2664" s="13" t="s">
        <v>186</v>
      </c>
      <c r="B2664" s="13" t="s">
        <v>43</v>
      </c>
      <c r="C2664" s="13" t="s">
        <v>4</v>
      </c>
      <c r="D2664" s="13" t="s">
        <v>1846</v>
      </c>
      <c r="E2664" s="16" t="n">
        <v>328</v>
      </c>
      <c r="F2664" s="7" t="n">
        <v>1</v>
      </c>
      <c r="G2664" s="5" t="n">
        <v>330</v>
      </c>
    </row>
    <row r="2665" customFormat="false" ht="15" hidden="false" customHeight="false" outlineLevel="0" collapsed="false">
      <c r="A2665" s="13" t="s">
        <v>54</v>
      </c>
      <c r="B2665" s="13" t="s">
        <v>183</v>
      </c>
      <c r="C2665" s="13" t="s">
        <v>5</v>
      </c>
      <c r="D2665" s="13" t="s">
        <v>1847</v>
      </c>
      <c r="E2665" s="16" t="n">
        <v>331.55</v>
      </c>
      <c r="F2665" s="7" t="n">
        <v>1</v>
      </c>
      <c r="G2665" s="5" t="n">
        <v>330</v>
      </c>
    </row>
    <row r="2666" customFormat="false" ht="15" hidden="false" customHeight="false" outlineLevel="0" collapsed="false">
      <c r="A2666" s="13" t="s">
        <v>54</v>
      </c>
      <c r="B2666" s="13" t="s">
        <v>43</v>
      </c>
      <c r="C2666" s="13" t="s">
        <v>5</v>
      </c>
      <c r="D2666" s="13" t="s">
        <v>656</v>
      </c>
      <c r="E2666" s="16" t="n">
        <v>328.85</v>
      </c>
      <c r="F2666" s="7" t="n">
        <v>1</v>
      </c>
      <c r="G2666" s="5" t="n">
        <v>330</v>
      </c>
    </row>
    <row r="2667" customFormat="false" ht="15" hidden="false" customHeight="false" outlineLevel="0" collapsed="false">
      <c r="A2667" s="13" t="s">
        <v>61</v>
      </c>
      <c r="B2667" s="13" t="s">
        <v>43</v>
      </c>
      <c r="C2667" s="13" t="s">
        <v>5</v>
      </c>
      <c r="D2667" s="13" t="s">
        <v>1848</v>
      </c>
      <c r="E2667" s="16" t="n">
        <v>330.85</v>
      </c>
      <c r="F2667" s="7" t="n">
        <v>1</v>
      </c>
      <c r="G2667" s="5" t="n">
        <v>330</v>
      </c>
    </row>
    <row r="2668" customFormat="false" ht="15" hidden="false" customHeight="false" outlineLevel="0" collapsed="false">
      <c r="A2668" s="13" t="s">
        <v>121</v>
      </c>
      <c r="B2668" s="13" t="s">
        <v>43</v>
      </c>
      <c r="C2668" s="13" t="s">
        <v>5</v>
      </c>
      <c r="D2668" s="13" t="s">
        <v>1401</v>
      </c>
      <c r="E2668" s="16" t="n">
        <v>111</v>
      </c>
      <c r="F2668" s="7" t="n">
        <v>2</v>
      </c>
      <c r="G2668" s="5" t="n">
        <v>330</v>
      </c>
    </row>
    <row r="2669" customFormat="false" ht="15" hidden="false" customHeight="false" outlineLevel="0" collapsed="false">
      <c r="A2669" s="13" t="s">
        <v>153</v>
      </c>
      <c r="B2669" s="13" t="s">
        <v>43</v>
      </c>
      <c r="C2669" s="13" t="s">
        <v>5</v>
      </c>
      <c r="D2669" s="13" t="s">
        <v>1849</v>
      </c>
      <c r="E2669" s="16" t="n">
        <v>329</v>
      </c>
      <c r="F2669" s="7" t="n">
        <v>1</v>
      </c>
      <c r="G2669" s="5" t="n">
        <v>330</v>
      </c>
    </row>
    <row r="2670" customFormat="false" ht="15" hidden="false" customHeight="false" outlineLevel="0" collapsed="false">
      <c r="A2670" s="13" t="s">
        <v>54</v>
      </c>
      <c r="B2670" s="13" t="s">
        <v>43</v>
      </c>
      <c r="C2670" s="13" t="s">
        <v>5</v>
      </c>
      <c r="D2670" s="13" t="s">
        <v>989</v>
      </c>
      <c r="E2670" s="16" t="n">
        <v>331.4</v>
      </c>
      <c r="F2670" s="7" t="n">
        <v>1</v>
      </c>
      <c r="G2670" s="5" t="n">
        <v>330</v>
      </c>
    </row>
    <row r="2671" customFormat="false" ht="15" hidden="false" customHeight="false" outlineLevel="0" collapsed="false">
      <c r="A2671" s="13" t="s">
        <v>630</v>
      </c>
      <c r="B2671" s="13" t="s">
        <v>43</v>
      </c>
      <c r="C2671" s="13" t="s">
        <v>5</v>
      </c>
      <c r="D2671" s="13" t="s">
        <v>1850</v>
      </c>
      <c r="E2671" s="16" t="n">
        <v>158.73</v>
      </c>
      <c r="F2671" s="7" t="n">
        <v>2</v>
      </c>
      <c r="G2671" s="5" t="n">
        <v>320</v>
      </c>
    </row>
    <row r="2672" customFormat="false" ht="15" hidden="false" customHeight="false" outlineLevel="0" collapsed="false">
      <c r="A2672" s="13" t="s">
        <v>121</v>
      </c>
      <c r="B2672" s="13" t="s">
        <v>43</v>
      </c>
      <c r="C2672" s="13" t="s">
        <v>5</v>
      </c>
      <c r="D2672" s="13" t="s">
        <v>1851</v>
      </c>
      <c r="E2672" s="16" t="n">
        <v>158.76</v>
      </c>
      <c r="F2672" s="7" t="n">
        <v>2</v>
      </c>
      <c r="G2672" s="5" t="n">
        <v>320</v>
      </c>
    </row>
    <row r="2673" customFormat="false" ht="15" hidden="false" customHeight="false" outlineLevel="0" collapsed="false">
      <c r="A2673" s="13" t="s">
        <v>81</v>
      </c>
      <c r="B2673" s="13" t="s">
        <v>85</v>
      </c>
      <c r="C2673" s="13" t="s">
        <v>3</v>
      </c>
      <c r="D2673" s="13" t="s">
        <v>1852</v>
      </c>
      <c r="E2673" s="16" t="n">
        <v>31.99</v>
      </c>
      <c r="F2673" s="7" t="n">
        <v>5</v>
      </c>
      <c r="G2673" s="5" t="n">
        <v>320</v>
      </c>
    </row>
    <row r="2674" customFormat="false" ht="15" hidden="false" customHeight="false" outlineLevel="0" collapsed="false">
      <c r="A2674" s="13" t="s">
        <v>365</v>
      </c>
      <c r="B2674" s="13" t="s">
        <v>43</v>
      </c>
      <c r="C2674" s="13" t="s">
        <v>3</v>
      </c>
      <c r="D2674" s="13" t="s">
        <v>1853</v>
      </c>
      <c r="E2674" s="16" t="n">
        <v>78.99</v>
      </c>
      <c r="F2674" s="7" t="n">
        <v>2</v>
      </c>
      <c r="G2674" s="5" t="n">
        <v>320</v>
      </c>
    </row>
    <row r="2675" customFormat="false" ht="15" hidden="false" customHeight="false" outlineLevel="0" collapsed="false">
      <c r="A2675" s="13" t="s">
        <v>107</v>
      </c>
      <c r="B2675" s="13" t="s">
        <v>183</v>
      </c>
      <c r="C2675" s="13" t="s">
        <v>5</v>
      </c>
      <c r="D2675" s="13" t="s">
        <v>1108</v>
      </c>
      <c r="E2675" s="16" t="n">
        <v>324.9</v>
      </c>
      <c r="F2675" s="7" t="n">
        <v>1</v>
      </c>
      <c r="G2675" s="5" t="n">
        <v>320</v>
      </c>
    </row>
    <row r="2676" customFormat="false" ht="15" hidden="false" customHeight="false" outlineLevel="0" collapsed="false">
      <c r="A2676" s="13" t="s">
        <v>54</v>
      </c>
      <c r="B2676" s="13" t="s">
        <v>43</v>
      </c>
      <c r="C2676" s="13" t="s">
        <v>5</v>
      </c>
      <c r="D2676" s="13" t="s">
        <v>1809</v>
      </c>
      <c r="E2676" s="16" t="n">
        <v>321.99</v>
      </c>
      <c r="F2676" s="7" t="n">
        <v>1</v>
      </c>
      <c r="G2676" s="5" t="n">
        <v>320</v>
      </c>
    </row>
    <row r="2677" customFormat="false" ht="15" hidden="false" customHeight="false" outlineLevel="0" collapsed="false">
      <c r="A2677" s="13" t="s">
        <v>54</v>
      </c>
      <c r="B2677" s="13" t="s">
        <v>43</v>
      </c>
      <c r="C2677" s="13" t="s">
        <v>5</v>
      </c>
      <c r="D2677" s="13" t="s">
        <v>989</v>
      </c>
      <c r="E2677" s="16" t="n">
        <v>321.46</v>
      </c>
      <c r="F2677" s="7" t="n">
        <v>1</v>
      </c>
      <c r="G2677" s="5" t="n">
        <v>320</v>
      </c>
    </row>
    <row r="2678" customFormat="false" ht="15" hidden="false" customHeight="false" outlineLevel="0" collapsed="false">
      <c r="A2678" s="13" t="s">
        <v>229</v>
      </c>
      <c r="B2678" s="13" t="s">
        <v>43</v>
      </c>
      <c r="C2678" s="13" t="s">
        <v>4</v>
      </c>
      <c r="D2678" s="13" t="s">
        <v>1854</v>
      </c>
      <c r="E2678" s="16" t="n">
        <v>316.98</v>
      </c>
      <c r="F2678" s="7" t="n">
        <v>1</v>
      </c>
      <c r="G2678" s="5" t="n">
        <v>320</v>
      </c>
    </row>
    <row r="2679" customFormat="false" ht="15" hidden="false" customHeight="false" outlineLevel="0" collapsed="false">
      <c r="A2679" s="13" t="s">
        <v>229</v>
      </c>
      <c r="B2679" s="13" t="s">
        <v>43</v>
      </c>
      <c r="C2679" s="13" t="s">
        <v>4</v>
      </c>
      <c r="D2679" s="13" t="s">
        <v>1855</v>
      </c>
      <c r="E2679" s="16" t="n">
        <v>316.98</v>
      </c>
      <c r="F2679" s="7" t="n">
        <v>1</v>
      </c>
      <c r="G2679" s="5" t="n">
        <v>320</v>
      </c>
    </row>
    <row r="2680" customFormat="false" ht="15" hidden="false" customHeight="false" outlineLevel="0" collapsed="false">
      <c r="A2680" s="13" t="s">
        <v>105</v>
      </c>
      <c r="B2680" s="13" t="s">
        <v>43</v>
      </c>
      <c r="C2680" s="13" t="s">
        <v>5</v>
      </c>
      <c r="D2680" s="13" t="s">
        <v>1856</v>
      </c>
      <c r="E2680" s="16" t="n">
        <v>312</v>
      </c>
      <c r="F2680" s="7" t="n">
        <v>1</v>
      </c>
      <c r="G2680" s="5" t="n">
        <v>310</v>
      </c>
    </row>
    <row r="2681" customFormat="false" ht="15" hidden="false" customHeight="false" outlineLevel="0" collapsed="false">
      <c r="A2681" s="13" t="s">
        <v>490</v>
      </c>
      <c r="B2681" s="13" t="s">
        <v>43</v>
      </c>
      <c r="C2681" s="13" t="s">
        <v>5</v>
      </c>
      <c r="D2681" s="13" t="s">
        <v>1857</v>
      </c>
      <c r="E2681" s="16" t="n">
        <v>313.52</v>
      </c>
      <c r="F2681" s="7" t="n">
        <v>1</v>
      </c>
      <c r="G2681" s="5" t="n">
        <v>310</v>
      </c>
    </row>
    <row r="2682" customFormat="false" ht="15" hidden="false" customHeight="false" outlineLevel="0" collapsed="false">
      <c r="A2682" s="13" t="s">
        <v>121</v>
      </c>
      <c r="B2682" s="13" t="s">
        <v>43</v>
      </c>
      <c r="C2682" s="13" t="s">
        <v>5</v>
      </c>
      <c r="D2682" s="13" t="s">
        <v>1192</v>
      </c>
      <c r="E2682" s="16" t="n">
        <v>154.13</v>
      </c>
      <c r="F2682" s="7" t="n">
        <v>2</v>
      </c>
      <c r="G2682" s="5" t="n">
        <v>310</v>
      </c>
    </row>
    <row r="2683" customFormat="false" ht="15" hidden="false" customHeight="false" outlineLevel="0" collapsed="false">
      <c r="A2683" s="13" t="s">
        <v>54</v>
      </c>
      <c r="B2683" s="13" t="s">
        <v>43</v>
      </c>
      <c r="C2683" s="13" t="s">
        <v>5</v>
      </c>
      <c r="D2683" s="13" t="s">
        <v>1858</v>
      </c>
      <c r="E2683" s="16" t="n">
        <v>309.12</v>
      </c>
      <c r="F2683" s="7" t="n">
        <v>1</v>
      </c>
      <c r="G2683" s="5" t="n">
        <v>310</v>
      </c>
    </row>
    <row r="2684" customFormat="false" ht="15" hidden="false" customHeight="false" outlineLevel="0" collapsed="false">
      <c r="A2684" s="13" t="s">
        <v>490</v>
      </c>
      <c r="B2684" s="13" t="s">
        <v>43</v>
      </c>
      <c r="C2684" s="13" t="s">
        <v>5</v>
      </c>
      <c r="D2684" s="13" t="s">
        <v>1162</v>
      </c>
      <c r="E2684" s="16" t="n">
        <v>308.32</v>
      </c>
      <c r="F2684" s="7" t="n">
        <v>1</v>
      </c>
      <c r="G2684" s="5" t="n">
        <v>310</v>
      </c>
    </row>
    <row r="2685" customFormat="false" ht="15" hidden="false" customHeight="false" outlineLevel="0" collapsed="false">
      <c r="A2685" s="13" t="s">
        <v>286</v>
      </c>
      <c r="B2685" s="13" t="s">
        <v>43</v>
      </c>
      <c r="C2685" s="13" t="s">
        <v>4</v>
      </c>
      <c r="D2685" s="13" t="s">
        <v>1859</v>
      </c>
      <c r="E2685" s="16" t="n">
        <v>305.49</v>
      </c>
      <c r="F2685" s="7" t="n">
        <v>1</v>
      </c>
      <c r="G2685" s="5" t="n">
        <v>310</v>
      </c>
    </row>
    <row r="2686" customFormat="false" ht="15" hidden="false" customHeight="false" outlineLevel="0" collapsed="false">
      <c r="A2686" s="13" t="s">
        <v>335</v>
      </c>
      <c r="B2686" s="13" t="s">
        <v>43</v>
      </c>
      <c r="C2686" s="13" t="s">
        <v>4</v>
      </c>
      <c r="D2686" s="13" t="s">
        <v>1860</v>
      </c>
      <c r="E2686" s="16" t="n">
        <v>308.72</v>
      </c>
      <c r="F2686" s="7" t="n">
        <v>1</v>
      </c>
      <c r="G2686" s="5" t="n">
        <v>310</v>
      </c>
    </row>
    <row r="2687" customFormat="false" ht="15" hidden="false" customHeight="false" outlineLevel="0" collapsed="false">
      <c r="A2687" s="13" t="s">
        <v>50</v>
      </c>
      <c r="B2687" s="13" t="s">
        <v>43</v>
      </c>
      <c r="C2687" s="13" t="s">
        <v>4</v>
      </c>
      <c r="D2687" s="13" t="s">
        <v>1861</v>
      </c>
      <c r="E2687" s="16" t="n">
        <v>310.61</v>
      </c>
      <c r="F2687" s="7" t="n">
        <v>1</v>
      </c>
      <c r="G2687" s="5" t="n">
        <v>310</v>
      </c>
    </row>
    <row r="2688" customFormat="false" ht="15" hidden="false" customHeight="false" outlineLevel="0" collapsed="false">
      <c r="A2688" s="13" t="s">
        <v>204</v>
      </c>
      <c r="B2688" s="13" t="s">
        <v>43</v>
      </c>
      <c r="C2688" s="13" t="s">
        <v>4</v>
      </c>
      <c r="D2688" s="13" t="s">
        <v>1862</v>
      </c>
      <c r="E2688" s="16" t="n">
        <v>312.38</v>
      </c>
      <c r="F2688" s="7" t="n">
        <v>1</v>
      </c>
      <c r="G2688" s="5" t="n">
        <v>310</v>
      </c>
    </row>
    <row r="2689" customFormat="false" ht="15" hidden="false" customHeight="false" outlineLevel="0" collapsed="false">
      <c r="A2689" s="13" t="s">
        <v>186</v>
      </c>
      <c r="B2689" s="13" t="s">
        <v>43</v>
      </c>
      <c r="C2689" s="13" t="s">
        <v>4</v>
      </c>
      <c r="D2689" s="13" t="s">
        <v>1863</v>
      </c>
      <c r="E2689" s="16" t="n">
        <v>312.71</v>
      </c>
      <c r="F2689" s="7" t="n">
        <v>1</v>
      </c>
      <c r="G2689" s="5" t="n">
        <v>310</v>
      </c>
    </row>
    <row r="2690" customFormat="false" ht="15" hidden="false" customHeight="false" outlineLevel="0" collapsed="false">
      <c r="A2690" s="13" t="s">
        <v>105</v>
      </c>
      <c r="B2690" s="13" t="s">
        <v>43</v>
      </c>
      <c r="C2690" s="13" t="s">
        <v>4</v>
      </c>
      <c r="D2690" s="13" t="s">
        <v>1864</v>
      </c>
      <c r="E2690" s="16" t="n">
        <v>308.31</v>
      </c>
      <c r="F2690" s="7" t="n">
        <v>1</v>
      </c>
      <c r="G2690" s="5" t="n">
        <v>310</v>
      </c>
    </row>
    <row r="2691" customFormat="false" ht="15" hidden="false" customHeight="false" outlineLevel="0" collapsed="false">
      <c r="A2691" s="13" t="s">
        <v>114</v>
      </c>
      <c r="B2691" s="13" t="s">
        <v>115</v>
      </c>
      <c r="C2691" s="13" t="s">
        <v>3</v>
      </c>
      <c r="D2691" s="13" t="s">
        <v>587</v>
      </c>
      <c r="E2691" s="16" t="n">
        <v>61.9</v>
      </c>
      <c r="F2691" s="7" t="n">
        <v>5</v>
      </c>
      <c r="G2691" s="5" t="n">
        <v>310</v>
      </c>
    </row>
    <row r="2692" customFormat="false" ht="15" hidden="false" customHeight="false" outlineLevel="0" collapsed="false">
      <c r="A2692" s="13" t="s">
        <v>365</v>
      </c>
      <c r="B2692" s="13" t="s">
        <v>43</v>
      </c>
      <c r="C2692" s="13" t="s">
        <v>3</v>
      </c>
      <c r="D2692" s="13" t="s">
        <v>1865</v>
      </c>
      <c r="E2692" s="16" t="n">
        <v>307.99</v>
      </c>
      <c r="F2692" s="7" t="n">
        <v>1</v>
      </c>
      <c r="G2692" s="5" t="n">
        <v>310</v>
      </c>
    </row>
    <row r="2693" customFormat="false" ht="15" hidden="false" customHeight="false" outlineLevel="0" collapsed="false">
      <c r="A2693" s="13" t="s">
        <v>286</v>
      </c>
      <c r="B2693" s="13" t="s">
        <v>43</v>
      </c>
      <c r="C2693" s="13" t="s">
        <v>3</v>
      </c>
      <c r="D2693" s="13" t="s">
        <v>1866</v>
      </c>
      <c r="E2693" s="16" t="n">
        <v>311.99</v>
      </c>
      <c r="F2693" s="7" t="n">
        <v>1</v>
      </c>
      <c r="G2693" s="5" t="n">
        <v>310</v>
      </c>
    </row>
    <row r="2694" customFormat="false" ht="15" hidden="false" customHeight="false" outlineLevel="0" collapsed="false">
      <c r="A2694" s="13" t="s">
        <v>105</v>
      </c>
      <c r="B2694" s="13" t="s">
        <v>43</v>
      </c>
      <c r="C2694" s="13" t="s">
        <v>4</v>
      </c>
      <c r="D2694" s="13" t="s">
        <v>1867</v>
      </c>
      <c r="E2694" s="16" t="n">
        <v>297.36</v>
      </c>
      <c r="F2694" s="7" t="n">
        <v>1</v>
      </c>
      <c r="G2694" s="5" t="n">
        <v>300</v>
      </c>
    </row>
    <row r="2695" customFormat="false" ht="15" hidden="false" customHeight="false" outlineLevel="0" collapsed="false">
      <c r="A2695" s="13" t="s">
        <v>186</v>
      </c>
      <c r="B2695" s="13" t="s">
        <v>43</v>
      </c>
      <c r="C2695" s="13" t="s">
        <v>4</v>
      </c>
      <c r="D2695" s="13" t="s">
        <v>1868</v>
      </c>
      <c r="E2695" s="16" t="n">
        <v>302.94</v>
      </c>
      <c r="F2695" s="7" t="n">
        <v>1</v>
      </c>
      <c r="G2695" s="5" t="n">
        <v>300</v>
      </c>
    </row>
    <row r="2696" customFormat="false" ht="15" hidden="false" customHeight="false" outlineLevel="0" collapsed="false">
      <c r="A2696" s="13" t="s">
        <v>335</v>
      </c>
      <c r="B2696" s="13" t="s">
        <v>43</v>
      </c>
      <c r="C2696" s="13" t="s">
        <v>4</v>
      </c>
      <c r="D2696" s="13" t="s">
        <v>336</v>
      </c>
      <c r="E2696" s="16" t="n">
        <v>301.68</v>
      </c>
      <c r="F2696" s="7" t="n">
        <v>1</v>
      </c>
      <c r="G2696" s="5" t="n">
        <v>300</v>
      </c>
    </row>
    <row r="2697" customFormat="false" ht="15" hidden="false" customHeight="false" outlineLevel="0" collapsed="false">
      <c r="A2697" s="13" t="s">
        <v>329</v>
      </c>
      <c r="B2697" s="13" t="s">
        <v>43</v>
      </c>
      <c r="C2697" s="13" t="s">
        <v>4</v>
      </c>
      <c r="D2697" s="13" t="s">
        <v>1869</v>
      </c>
      <c r="E2697" s="16" t="n">
        <v>300</v>
      </c>
      <c r="F2697" s="7" t="n">
        <v>1</v>
      </c>
      <c r="G2697" s="5" t="n">
        <v>300</v>
      </c>
    </row>
    <row r="2698" customFormat="false" ht="15" hidden="false" customHeight="false" outlineLevel="0" collapsed="false">
      <c r="A2698" s="13" t="s">
        <v>54</v>
      </c>
      <c r="B2698" s="13" t="s">
        <v>43</v>
      </c>
      <c r="C2698" s="13" t="s">
        <v>5</v>
      </c>
      <c r="D2698" s="13" t="s">
        <v>1257</v>
      </c>
      <c r="E2698" s="16" t="n">
        <v>295.96</v>
      </c>
      <c r="F2698" s="7" t="n">
        <v>1</v>
      </c>
      <c r="G2698" s="5" t="n">
        <v>300</v>
      </c>
    </row>
    <row r="2699" customFormat="false" ht="15" hidden="false" customHeight="false" outlineLevel="0" collapsed="false">
      <c r="A2699" s="13" t="s">
        <v>312</v>
      </c>
      <c r="B2699" s="13" t="s">
        <v>43</v>
      </c>
      <c r="C2699" s="13" t="s">
        <v>5</v>
      </c>
      <c r="D2699" s="13" t="s">
        <v>918</v>
      </c>
      <c r="E2699" s="16" t="n">
        <v>148</v>
      </c>
      <c r="F2699" s="7" t="n">
        <v>2</v>
      </c>
      <c r="G2699" s="5" t="n">
        <v>300</v>
      </c>
    </row>
    <row r="2700" customFormat="false" ht="15" hidden="false" customHeight="false" outlineLevel="0" collapsed="false">
      <c r="A2700" s="13" t="s">
        <v>490</v>
      </c>
      <c r="B2700" s="13" t="s">
        <v>43</v>
      </c>
      <c r="C2700" s="13" t="s">
        <v>5</v>
      </c>
      <c r="D2700" s="13" t="s">
        <v>1870</v>
      </c>
      <c r="E2700" s="16" t="n">
        <v>301.77</v>
      </c>
      <c r="F2700" s="7" t="n">
        <v>1</v>
      </c>
      <c r="G2700" s="5" t="n">
        <v>300</v>
      </c>
    </row>
    <row r="2701" customFormat="false" ht="15" hidden="false" customHeight="false" outlineLevel="0" collapsed="false">
      <c r="A2701" s="13" t="s">
        <v>61</v>
      </c>
      <c r="B2701" s="13" t="s">
        <v>43</v>
      </c>
      <c r="C2701" s="13" t="s">
        <v>5</v>
      </c>
      <c r="D2701" s="13" t="s">
        <v>1871</v>
      </c>
      <c r="E2701" s="16" t="n">
        <v>297</v>
      </c>
      <c r="F2701" s="7" t="n">
        <v>1</v>
      </c>
      <c r="G2701" s="5" t="n">
        <v>300</v>
      </c>
    </row>
    <row r="2702" customFormat="false" ht="15" hidden="false" customHeight="false" outlineLevel="0" collapsed="false">
      <c r="A2702" s="13" t="s">
        <v>54</v>
      </c>
      <c r="B2702" s="13" t="s">
        <v>183</v>
      </c>
      <c r="C2702" s="13" t="s">
        <v>5</v>
      </c>
      <c r="D2702" s="13" t="s">
        <v>1872</v>
      </c>
      <c r="E2702" s="16" t="n">
        <v>301.85</v>
      </c>
      <c r="F2702" s="7" t="n">
        <v>1</v>
      </c>
      <c r="G2702" s="5" t="n">
        <v>300</v>
      </c>
    </row>
    <row r="2703" customFormat="false" ht="15" hidden="false" customHeight="false" outlineLevel="0" collapsed="false">
      <c r="A2703" s="13" t="s">
        <v>54</v>
      </c>
      <c r="B2703" s="13" t="s">
        <v>183</v>
      </c>
      <c r="C2703" s="13" t="s">
        <v>5</v>
      </c>
      <c r="D2703" s="13" t="s">
        <v>1873</v>
      </c>
      <c r="E2703" s="16" t="n">
        <v>301.85</v>
      </c>
      <c r="F2703" s="7" t="n">
        <v>1</v>
      </c>
      <c r="G2703" s="5" t="n">
        <v>300</v>
      </c>
    </row>
    <row r="2704" customFormat="false" ht="15" hidden="false" customHeight="false" outlineLevel="0" collapsed="false">
      <c r="A2704" s="13" t="s">
        <v>105</v>
      </c>
      <c r="B2704" s="13" t="s">
        <v>43</v>
      </c>
      <c r="C2704" s="13" t="s">
        <v>4</v>
      </c>
      <c r="D2704" s="13" t="s">
        <v>1874</v>
      </c>
      <c r="E2704" s="16" t="n">
        <v>297.36</v>
      </c>
      <c r="F2704" s="7" t="n">
        <v>1</v>
      </c>
      <c r="G2704" s="5" t="n">
        <v>300</v>
      </c>
    </row>
    <row r="2705" customFormat="false" ht="15" hidden="false" customHeight="false" outlineLevel="0" collapsed="false">
      <c r="A2705" s="13" t="s">
        <v>229</v>
      </c>
      <c r="B2705" s="13" t="s">
        <v>43</v>
      </c>
      <c r="C2705" s="13" t="s">
        <v>4</v>
      </c>
      <c r="D2705" s="13" t="s">
        <v>1875</v>
      </c>
      <c r="E2705" s="16" t="n">
        <v>148</v>
      </c>
      <c r="F2705" s="7" t="n">
        <v>2</v>
      </c>
      <c r="G2705" s="5" t="n">
        <v>300</v>
      </c>
    </row>
    <row r="2706" customFormat="false" ht="15" hidden="false" customHeight="false" outlineLevel="0" collapsed="false">
      <c r="A2706" s="13" t="s">
        <v>191</v>
      </c>
      <c r="B2706" s="13" t="s">
        <v>183</v>
      </c>
      <c r="C2706" s="13" t="s">
        <v>3</v>
      </c>
      <c r="D2706" s="13" t="s">
        <v>1876</v>
      </c>
      <c r="E2706" s="16" t="n">
        <v>19.99</v>
      </c>
      <c r="F2706" s="7" t="n">
        <v>20</v>
      </c>
      <c r="G2706" s="5" t="n">
        <v>300</v>
      </c>
    </row>
    <row r="2707" customFormat="false" ht="15" hidden="false" customHeight="false" outlineLevel="0" collapsed="false">
      <c r="A2707" s="13" t="s">
        <v>362</v>
      </c>
      <c r="B2707" s="13" t="s">
        <v>43</v>
      </c>
      <c r="C2707" s="13" t="s">
        <v>5</v>
      </c>
      <c r="D2707" s="13" t="s">
        <v>1877</v>
      </c>
      <c r="E2707" s="16" t="n">
        <v>302.3</v>
      </c>
      <c r="F2707" s="7" t="n">
        <v>1</v>
      </c>
      <c r="G2707" s="5" t="n">
        <v>300</v>
      </c>
    </row>
    <row r="2708" customFormat="false" ht="15" hidden="false" customHeight="false" outlineLevel="0" collapsed="false">
      <c r="A2708" s="13" t="s">
        <v>54</v>
      </c>
      <c r="B2708" s="13" t="s">
        <v>43</v>
      </c>
      <c r="C2708" s="13" t="s">
        <v>5</v>
      </c>
      <c r="D2708" s="13" t="s">
        <v>1878</v>
      </c>
      <c r="E2708" s="16" t="n">
        <v>301.85</v>
      </c>
      <c r="F2708" s="7" t="n">
        <v>1</v>
      </c>
      <c r="G2708" s="5" t="n">
        <v>300</v>
      </c>
    </row>
    <row r="2709" customFormat="false" ht="15" hidden="false" customHeight="false" outlineLevel="0" collapsed="false">
      <c r="A2709" s="13" t="s">
        <v>107</v>
      </c>
      <c r="B2709" s="13" t="s">
        <v>183</v>
      </c>
      <c r="C2709" s="13" t="s">
        <v>5</v>
      </c>
      <c r="D2709" s="13" t="s">
        <v>1245</v>
      </c>
      <c r="E2709" s="16" t="n">
        <v>304.1</v>
      </c>
      <c r="F2709" s="7" t="n">
        <v>1</v>
      </c>
      <c r="G2709" s="5" t="n">
        <v>300</v>
      </c>
    </row>
    <row r="2710" customFormat="false" ht="15" hidden="false" customHeight="false" outlineLevel="0" collapsed="false">
      <c r="A2710" s="13" t="s">
        <v>153</v>
      </c>
      <c r="B2710" s="13" t="s">
        <v>43</v>
      </c>
      <c r="C2710" s="13" t="s">
        <v>5</v>
      </c>
      <c r="D2710" s="13" t="s">
        <v>1879</v>
      </c>
      <c r="E2710" s="16" t="n">
        <v>294</v>
      </c>
      <c r="F2710" s="7" t="n">
        <v>1</v>
      </c>
      <c r="G2710" s="5" t="n">
        <v>290</v>
      </c>
    </row>
    <row r="2711" customFormat="false" ht="15" hidden="false" customHeight="false" outlineLevel="0" collapsed="false">
      <c r="A2711" s="13" t="s">
        <v>42</v>
      </c>
      <c r="B2711" s="13" t="s">
        <v>43</v>
      </c>
      <c r="C2711" s="13" t="s">
        <v>5</v>
      </c>
      <c r="D2711" s="13" t="s">
        <v>1880</v>
      </c>
      <c r="E2711" s="16" t="n">
        <v>288.85</v>
      </c>
      <c r="F2711" s="7" t="n">
        <v>1</v>
      </c>
      <c r="G2711" s="5" t="n">
        <v>290</v>
      </c>
    </row>
    <row r="2712" customFormat="false" ht="15" hidden="false" customHeight="false" outlineLevel="0" collapsed="false">
      <c r="A2712" s="13" t="s">
        <v>153</v>
      </c>
      <c r="B2712" s="13" t="s">
        <v>43</v>
      </c>
      <c r="C2712" s="13" t="s">
        <v>5</v>
      </c>
      <c r="D2712" s="13" t="s">
        <v>1881</v>
      </c>
      <c r="E2712" s="16" t="n">
        <v>285.84</v>
      </c>
      <c r="F2712" s="7" t="n">
        <v>1</v>
      </c>
      <c r="G2712" s="5" t="n">
        <v>290</v>
      </c>
    </row>
    <row r="2713" customFormat="false" ht="15" hidden="false" customHeight="false" outlineLevel="0" collapsed="false">
      <c r="A2713" s="13" t="s">
        <v>630</v>
      </c>
      <c r="B2713" s="13" t="s">
        <v>43</v>
      </c>
      <c r="C2713" s="13" t="s">
        <v>5</v>
      </c>
      <c r="D2713" s="13" t="s">
        <v>1882</v>
      </c>
      <c r="E2713" s="16" t="n">
        <v>288.85</v>
      </c>
      <c r="F2713" s="7" t="n">
        <v>1</v>
      </c>
      <c r="G2713" s="5" t="n">
        <v>290</v>
      </c>
    </row>
    <row r="2714" customFormat="false" ht="15" hidden="false" customHeight="false" outlineLevel="0" collapsed="false">
      <c r="A2714" s="13" t="s">
        <v>107</v>
      </c>
      <c r="B2714" s="13" t="s">
        <v>43</v>
      </c>
      <c r="C2714" s="13" t="s">
        <v>5</v>
      </c>
      <c r="D2714" s="13" t="s">
        <v>1883</v>
      </c>
      <c r="E2714" s="16" t="n">
        <v>286.96</v>
      </c>
      <c r="F2714" s="7" t="n">
        <v>1</v>
      </c>
      <c r="G2714" s="5" t="n">
        <v>290</v>
      </c>
    </row>
    <row r="2715" customFormat="false" ht="15" hidden="false" customHeight="false" outlineLevel="0" collapsed="false">
      <c r="A2715" s="13" t="s">
        <v>103</v>
      </c>
      <c r="B2715" s="13" t="s">
        <v>43</v>
      </c>
      <c r="C2715" s="13" t="s">
        <v>5</v>
      </c>
      <c r="D2715" s="13" t="s">
        <v>1884</v>
      </c>
      <c r="E2715" s="16" t="n">
        <v>145.47</v>
      </c>
      <c r="F2715" s="7" t="n">
        <v>2</v>
      </c>
      <c r="G2715" s="5" t="n">
        <v>290</v>
      </c>
    </row>
    <row r="2716" customFormat="false" ht="15" hidden="false" customHeight="false" outlineLevel="0" collapsed="false">
      <c r="A2716" s="13" t="s">
        <v>153</v>
      </c>
      <c r="B2716" s="13" t="s">
        <v>43</v>
      </c>
      <c r="C2716" s="13" t="s">
        <v>5</v>
      </c>
      <c r="D2716" s="13" t="s">
        <v>1885</v>
      </c>
      <c r="E2716" s="16" t="n">
        <v>294</v>
      </c>
      <c r="F2716" s="7" t="n">
        <v>1</v>
      </c>
      <c r="G2716" s="5" t="n">
        <v>290</v>
      </c>
    </row>
    <row r="2717" customFormat="false" ht="15" hidden="false" customHeight="false" outlineLevel="0" collapsed="false">
      <c r="A2717" s="13" t="s">
        <v>153</v>
      </c>
      <c r="B2717" s="13" t="s">
        <v>43</v>
      </c>
      <c r="C2717" s="13" t="s">
        <v>5</v>
      </c>
      <c r="D2717" s="13" t="s">
        <v>1886</v>
      </c>
      <c r="E2717" s="16" t="n">
        <v>287.88</v>
      </c>
      <c r="F2717" s="7" t="n">
        <v>1</v>
      </c>
      <c r="G2717" s="5" t="n">
        <v>290</v>
      </c>
    </row>
    <row r="2718" customFormat="false" ht="15" hidden="false" customHeight="false" outlineLevel="0" collapsed="false">
      <c r="A2718" s="13" t="s">
        <v>59</v>
      </c>
      <c r="B2718" s="13" t="s">
        <v>43</v>
      </c>
      <c r="C2718" s="13" t="s">
        <v>5</v>
      </c>
      <c r="D2718" s="13" t="s">
        <v>1887</v>
      </c>
      <c r="E2718" s="16" t="n">
        <v>144</v>
      </c>
      <c r="F2718" s="7" t="n">
        <v>2</v>
      </c>
      <c r="G2718" s="5" t="n">
        <v>290</v>
      </c>
    </row>
    <row r="2719" customFormat="false" ht="15" hidden="false" customHeight="false" outlineLevel="0" collapsed="false">
      <c r="A2719" s="13" t="s">
        <v>315</v>
      </c>
      <c r="B2719" s="13" t="s">
        <v>43</v>
      </c>
      <c r="C2719" s="13" t="s">
        <v>5</v>
      </c>
      <c r="D2719" s="13" t="s">
        <v>1888</v>
      </c>
      <c r="E2719" s="16" t="n">
        <v>287</v>
      </c>
      <c r="F2719" s="7" t="n">
        <v>1</v>
      </c>
      <c r="G2719" s="5" t="n">
        <v>290</v>
      </c>
    </row>
    <row r="2720" customFormat="false" ht="15" hidden="false" customHeight="false" outlineLevel="0" collapsed="false">
      <c r="A2720" s="13" t="s">
        <v>107</v>
      </c>
      <c r="B2720" s="13" t="s">
        <v>43</v>
      </c>
      <c r="C2720" s="13" t="s">
        <v>5</v>
      </c>
      <c r="D2720" s="13" t="s">
        <v>1889</v>
      </c>
      <c r="E2720" s="16" t="n">
        <v>289</v>
      </c>
      <c r="F2720" s="7" t="n">
        <v>1</v>
      </c>
      <c r="G2720" s="5" t="n">
        <v>290</v>
      </c>
    </row>
    <row r="2721" customFormat="false" ht="15" hidden="false" customHeight="false" outlineLevel="0" collapsed="false">
      <c r="A2721" s="13" t="s">
        <v>229</v>
      </c>
      <c r="B2721" s="13" t="s">
        <v>43</v>
      </c>
      <c r="C2721" s="13" t="s">
        <v>5</v>
      </c>
      <c r="D2721" s="13" t="s">
        <v>1890</v>
      </c>
      <c r="E2721" s="16" t="n">
        <v>283</v>
      </c>
      <c r="F2721" s="7" t="n">
        <v>1</v>
      </c>
      <c r="G2721" s="5" t="n">
        <v>280</v>
      </c>
    </row>
    <row r="2722" customFormat="false" ht="15" hidden="false" customHeight="false" outlineLevel="0" collapsed="false">
      <c r="A2722" s="13" t="s">
        <v>161</v>
      </c>
      <c r="B2722" s="13" t="s">
        <v>43</v>
      </c>
      <c r="C2722" s="13" t="s">
        <v>4</v>
      </c>
      <c r="D2722" s="13" t="s">
        <v>1891</v>
      </c>
      <c r="E2722" s="16" t="n">
        <v>279.44</v>
      </c>
      <c r="F2722" s="7" t="n">
        <v>1</v>
      </c>
      <c r="G2722" s="5" t="n">
        <v>280</v>
      </c>
    </row>
    <row r="2723" customFormat="false" ht="15" hidden="false" customHeight="false" outlineLevel="0" collapsed="false">
      <c r="A2723" s="13" t="s">
        <v>107</v>
      </c>
      <c r="B2723" s="13" t="s">
        <v>183</v>
      </c>
      <c r="C2723" s="13" t="s">
        <v>5</v>
      </c>
      <c r="D2723" s="13" t="s">
        <v>1892</v>
      </c>
      <c r="E2723" s="16" t="n">
        <v>278.85</v>
      </c>
      <c r="F2723" s="7" t="n">
        <v>1</v>
      </c>
      <c r="G2723" s="5" t="n">
        <v>280</v>
      </c>
    </row>
    <row r="2724" customFormat="false" ht="15" hidden="false" customHeight="false" outlineLevel="0" collapsed="false">
      <c r="A2724" s="13" t="s">
        <v>121</v>
      </c>
      <c r="B2724" s="13" t="s">
        <v>183</v>
      </c>
      <c r="C2724" s="13" t="s">
        <v>5</v>
      </c>
      <c r="D2724" s="13" t="s">
        <v>1893</v>
      </c>
      <c r="E2724" s="16" t="n">
        <v>69.8275</v>
      </c>
      <c r="F2724" s="7" t="n">
        <v>2</v>
      </c>
      <c r="G2724" s="5" t="n">
        <v>280</v>
      </c>
    </row>
    <row r="2725" customFormat="false" ht="15" hidden="false" customHeight="false" outlineLevel="0" collapsed="false">
      <c r="A2725" s="13" t="s">
        <v>121</v>
      </c>
      <c r="B2725" s="13" t="s">
        <v>43</v>
      </c>
      <c r="C2725" s="13" t="s">
        <v>5</v>
      </c>
      <c r="D2725" s="13" t="s">
        <v>1894</v>
      </c>
      <c r="E2725" s="16" t="n">
        <v>139.9</v>
      </c>
      <c r="F2725" s="7" t="n">
        <v>2</v>
      </c>
      <c r="G2725" s="5" t="n">
        <v>280</v>
      </c>
    </row>
    <row r="2726" customFormat="false" ht="15" hidden="false" customHeight="false" outlineLevel="0" collapsed="false">
      <c r="A2726" s="13" t="s">
        <v>121</v>
      </c>
      <c r="B2726" s="13" t="s">
        <v>183</v>
      </c>
      <c r="C2726" s="13" t="s">
        <v>5</v>
      </c>
      <c r="D2726" s="13" t="s">
        <v>1895</v>
      </c>
      <c r="E2726" s="16" t="n">
        <v>70.0275</v>
      </c>
      <c r="F2726" s="7" t="n">
        <v>2</v>
      </c>
      <c r="G2726" s="5" t="n">
        <v>280</v>
      </c>
    </row>
    <row r="2727" customFormat="false" ht="15" hidden="false" customHeight="false" outlineLevel="0" collapsed="false">
      <c r="A2727" s="13" t="s">
        <v>153</v>
      </c>
      <c r="B2727" s="13" t="s">
        <v>43</v>
      </c>
      <c r="C2727" s="13" t="s">
        <v>5</v>
      </c>
      <c r="D2727" s="13" t="s">
        <v>845</v>
      </c>
      <c r="E2727" s="16" t="n">
        <v>276</v>
      </c>
      <c r="F2727" s="7" t="n">
        <v>1</v>
      </c>
      <c r="G2727" s="5" t="n">
        <v>280</v>
      </c>
    </row>
    <row r="2728" customFormat="false" ht="15" hidden="false" customHeight="false" outlineLevel="0" collapsed="false">
      <c r="A2728" s="13" t="s">
        <v>365</v>
      </c>
      <c r="B2728" s="13" t="s">
        <v>43</v>
      </c>
      <c r="C2728" s="13" t="s">
        <v>4</v>
      </c>
      <c r="D2728" s="13" t="s">
        <v>1896</v>
      </c>
      <c r="E2728" s="16" t="n">
        <v>278.58</v>
      </c>
      <c r="F2728" s="7" t="n">
        <v>1</v>
      </c>
      <c r="G2728" s="5" t="n">
        <v>280</v>
      </c>
    </row>
    <row r="2729" customFormat="false" ht="15" hidden="false" customHeight="false" outlineLevel="0" collapsed="false">
      <c r="A2729" s="13" t="s">
        <v>161</v>
      </c>
      <c r="B2729" s="13" t="s">
        <v>43</v>
      </c>
      <c r="C2729" s="13" t="s">
        <v>4</v>
      </c>
      <c r="D2729" s="13" t="s">
        <v>1897</v>
      </c>
      <c r="E2729" s="16" t="n">
        <v>279.44</v>
      </c>
      <c r="F2729" s="7" t="n">
        <v>1</v>
      </c>
      <c r="G2729" s="5" t="n">
        <v>280</v>
      </c>
    </row>
    <row r="2730" customFormat="false" ht="15" hidden="false" customHeight="false" outlineLevel="0" collapsed="false">
      <c r="A2730" s="13" t="s">
        <v>61</v>
      </c>
      <c r="B2730" s="13" t="s">
        <v>43</v>
      </c>
      <c r="C2730" s="13" t="s">
        <v>5</v>
      </c>
      <c r="D2730" s="13" t="s">
        <v>1898</v>
      </c>
      <c r="E2730" s="16" t="n">
        <v>278.35</v>
      </c>
      <c r="F2730" s="7" t="n">
        <v>1</v>
      </c>
      <c r="G2730" s="5" t="n">
        <v>280</v>
      </c>
    </row>
    <row r="2731" customFormat="false" ht="15" hidden="false" customHeight="false" outlineLevel="0" collapsed="false">
      <c r="A2731" s="13" t="s">
        <v>105</v>
      </c>
      <c r="B2731" s="13" t="s">
        <v>43</v>
      </c>
      <c r="C2731" s="13" t="s">
        <v>5</v>
      </c>
      <c r="D2731" s="13" t="s">
        <v>1899</v>
      </c>
      <c r="E2731" s="16" t="n">
        <v>282.6</v>
      </c>
      <c r="F2731" s="7" t="n">
        <v>1</v>
      </c>
      <c r="G2731" s="5" t="n">
        <v>280</v>
      </c>
    </row>
    <row r="2732" customFormat="false" ht="15" hidden="false" customHeight="false" outlineLevel="0" collapsed="false">
      <c r="A2732" s="13" t="s">
        <v>54</v>
      </c>
      <c r="B2732" s="13" t="s">
        <v>43</v>
      </c>
      <c r="C2732" s="13" t="s">
        <v>5</v>
      </c>
      <c r="D2732" s="13" t="s">
        <v>1858</v>
      </c>
      <c r="E2732" s="16" t="n">
        <v>275.06</v>
      </c>
      <c r="F2732" s="7" t="n">
        <v>1</v>
      </c>
      <c r="G2732" s="5" t="n">
        <v>280</v>
      </c>
    </row>
    <row r="2733" customFormat="false" ht="15" hidden="false" customHeight="false" outlineLevel="0" collapsed="false">
      <c r="A2733" s="13" t="s">
        <v>107</v>
      </c>
      <c r="B2733" s="13" t="s">
        <v>183</v>
      </c>
      <c r="C2733" s="13" t="s">
        <v>5</v>
      </c>
      <c r="D2733" s="13" t="s">
        <v>882</v>
      </c>
      <c r="E2733" s="16" t="n">
        <v>281</v>
      </c>
      <c r="F2733" s="7" t="n">
        <v>1</v>
      </c>
      <c r="G2733" s="5" t="n">
        <v>280</v>
      </c>
    </row>
    <row r="2734" customFormat="false" ht="15" hidden="false" customHeight="false" outlineLevel="0" collapsed="false">
      <c r="A2734" s="13" t="s">
        <v>121</v>
      </c>
      <c r="B2734" s="13" t="s">
        <v>43</v>
      </c>
      <c r="C2734" s="13" t="s">
        <v>5</v>
      </c>
      <c r="D2734" s="13" t="s">
        <v>1900</v>
      </c>
      <c r="E2734" s="16" t="n">
        <v>91.9</v>
      </c>
      <c r="F2734" s="7" t="n">
        <v>2</v>
      </c>
      <c r="G2734" s="5" t="n">
        <v>280</v>
      </c>
    </row>
    <row r="2735" customFormat="false" ht="15" hidden="false" customHeight="false" outlineLevel="0" collapsed="false">
      <c r="A2735" s="13" t="s">
        <v>42</v>
      </c>
      <c r="B2735" s="13" t="s">
        <v>43</v>
      </c>
      <c r="C2735" s="13" t="s">
        <v>4</v>
      </c>
      <c r="D2735" s="13" t="s">
        <v>1901</v>
      </c>
      <c r="E2735" s="16" t="n">
        <v>275.01</v>
      </c>
      <c r="F2735" s="7" t="n">
        <v>1</v>
      </c>
      <c r="G2735" s="5" t="n">
        <v>280</v>
      </c>
    </row>
    <row r="2736" customFormat="false" ht="15" hidden="false" customHeight="false" outlineLevel="0" collapsed="false">
      <c r="A2736" s="13" t="s">
        <v>329</v>
      </c>
      <c r="B2736" s="13" t="s">
        <v>43</v>
      </c>
      <c r="C2736" s="13" t="s">
        <v>5</v>
      </c>
      <c r="D2736" s="13" t="s">
        <v>1902</v>
      </c>
      <c r="E2736" s="16" t="n">
        <v>285</v>
      </c>
      <c r="F2736" s="7" t="n">
        <v>1</v>
      </c>
      <c r="G2736" s="5" t="n">
        <v>280</v>
      </c>
    </row>
    <row r="2737" customFormat="false" ht="15" hidden="false" customHeight="false" outlineLevel="0" collapsed="false">
      <c r="A2737" s="13" t="s">
        <v>362</v>
      </c>
      <c r="B2737" s="13" t="s">
        <v>43</v>
      </c>
      <c r="C2737" s="13" t="s">
        <v>5</v>
      </c>
      <c r="D2737" s="13" t="s">
        <v>1903</v>
      </c>
      <c r="E2737" s="16" t="n">
        <v>285</v>
      </c>
      <c r="F2737" s="7" t="n">
        <v>1</v>
      </c>
      <c r="G2737" s="5" t="n">
        <v>280</v>
      </c>
    </row>
    <row r="2738" customFormat="false" ht="15" hidden="false" customHeight="false" outlineLevel="0" collapsed="false">
      <c r="A2738" s="13" t="s">
        <v>54</v>
      </c>
      <c r="B2738" s="13" t="s">
        <v>43</v>
      </c>
      <c r="C2738" s="13" t="s">
        <v>5</v>
      </c>
      <c r="D2738" s="13" t="s">
        <v>1904</v>
      </c>
      <c r="E2738" s="16" t="n">
        <v>283</v>
      </c>
      <c r="F2738" s="7" t="n">
        <v>1</v>
      </c>
      <c r="G2738" s="5" t="n">
        <v>280</v>
      </c>
    </row>
    <row r="2739" customFormat="false" ht="15" hidden="false" customHeight="false" outlineLevel="0" collapsed="false">
      <c r="A2739" s="13" t="s">
        <v>61</v>
      </c>
      <c r="B2739" s="13" t="s">
        <v>43</v>
      </c>
      <c r="C2739" s="13" t="s">
        <v>5</v>
      </c>
      <c r="D2739" s="13" t="s">
        <v>1905</v>
      </c>
      <c r="E2739" s="16" t="n">
        <v>283.9</v>
      </c>
      <c r="F2739" s="7" t="n">
        <v>1</v>
      </c>
      <c r="G2739" s="5" t="n">
        <v>280</v>
      </c>
    </row>
    <row r="2740" customFormat="false" ht="15" hidden="false" customHeight="false" outlineLevel="0" collapsed="false">
      <c r="A2740" s="13" t="s">
        <v>286</v>
      </c>
      <c r="B2740" s="13" t="s">
        <v>43</v>
      </c>
      <c r="C2740" s="13" t="s">
        <v>5</v>
      </c>
      <c r="D2740" s="13" t="s">
        <v>1906</v>
      </c>
      <c r="E2740" s="16" t="n">
        <v>284</v>
      </c>
      <c r="F2740" s="7" t="n">
        <v>1</v>
      </c>
      <c r="G2740" s="5" t="n">
        <v>280</v>
      </c>
    </row>
    <row r="2741" customFormat="false" ht="15" hidden="false" customHeight="false" outlineLevel="0" collapsed="false">
      <c r="A2741" s="13" t="s">
        <v>54</v>
      </c>
      <c r="B2741" s="13" t="s">
        <v>43</v>
      </c>
      <c r="C2741" s="13" t="s">
        <v>5</v>
      </c>
      <c r="D2741" s="13" t="s">
        <v>1907</v>
      </c>
      <c r="E2741" s="16" t="n">
        <v>284.86</v>
      </c>
      <c r="F2741" s="7" t="n">
        <v>1</v>
      </c>
      <c r="G2741" s="5" t="n">
        <v>280</v>
      </c>
    </row>
    <row r="2742" customFormat="false" ht="15" hidden="false" customHeight="false" outlineLevel="0" collapsed="false">
      <c r="A2742" s="13" t="s">
        <v>42</v>
      </c>
      <c r="B2742" s="13" t="s">
        <v>43</v>
      </c>
      <c r="C2742" s="13" t="s">
        <v>4</v>
      </c>
      <c r="D2742" s="13" t="s">
        <v>1908</v>
      </c>
      <c r="E2742" s="16" t="n">
        <v>278.87</v>
      </c>
      <c r="F2742" s="7" t="n">
        <v>1</v>
      </c>
      <c r="G2742" s="5" t="n">
        <v>280</v>
      </c>
    </row>
    <row r="2743" customFormat="false" ht="15" hidden="false" customHeight="false" outlineLevel="0" collapsed="false">
      <c r="A2743" s="13" t="s">
        <v>107</v>
      </c>
      <c r="B2743" s="13" t="s">
        <v>43</v>
      </c>
      <c r="C2743" s="13" t="s">
        <v>5</v>
      </c>
      <c r="D2743" s="13" t="s">
        <v>1909</v>
      </c>
      <c r="E2743" s="16" t="n">
        <v>276.6</v>
      </c>
      <c r="F2743" s="7" t="n">
        <v>1</v>
      </c>
      <c r="G2743" s="5" t="n">
        <v>280</v>
      </c>
    </row>
    <row r="2744" customFormat="false" ht="15" hidden="false" customHeight="false" outlineLevel="0" collapsed="false">
      <c r="A2744" s="13" t="s">
        <v>490</v>
      </c>
      <c r="B2744" s="13" t="s">
        <v>43</v>
      </c>
      <c r="C2744" s="13" t="s">
        <v>5</v>
      </c>
      <c r="D2744" s="13" t="s">
        <v>1910</v>
      </c>
      <c r="E2744" s="16" t="n">
        <v>277.83</v>
      </c>
      <c r="F2744" s="7" t="n">
        <v>1</v>
      </c>
      <c r="G2744" s="5" t="n">
        <v>280</v>
      </c>
    </row>
    <row r="2745" customFormat="false" ht="15" hidden="false" customHeight="false" outlineLevel="0" collapsed="false">
      <c r="A2745" s="13" t="s">
        <v>165</v>
      </c>
      <c r="B2745" s="13" t="s">
        <v>43</v>
      </c>
      <c r="C2745" s="13" t="s">
        <v>5</v>
      </c>
      <c r="D2745" s="13" t="s">
        <v>166</v>
      </c>
      <c r="E2745" s="16" t="n">
        <v>270.76</v>
      </c>
      <c r="F2745" s="7" t="n">
        <v>1</v>
      </c>
      <c r="G2745" s="5" t="n">
        <v>270</v>
      </c>
    </row>
    <row r="2746" customFormat="false" ht="15" hidden="false" customHeight="false" outlineLevel="0" collapsed="false">
      <c r="A2746" s="13" t="s">
        <v>42</v>
      </c>
      <c r="B2746" s="13" t="s">
        <v>43</v>
      </c>
      <c r="C2746" s="13" t="s">
        <v>5</v>
      </c>
      <c r="D2746" s="13" t="s">
        <v>1911</v>
      </c>
      <c r="E2746" s="16" t="n">
        <v>268.85</v>
      </c>
      <c r="F2746" s="7" t="n">
        <v>1</v>
      </c>
      <c r="G2746" s="5" t="n">
        <v>270</v>
      </c>
    </row>
    <row r="2747" customFormat="false" ht="15" hidden="false" customHeight="false" outlineLevel="0" collapsed="false">
      <c r="A2747" s="13" t="s">
        <v>42</v>
      </c>
      <c r="B2747" s="13" t="s">
        <v>43</v>
      </c>
      <c r="C2747" s="13" t="s">
        <v>5</v>
      </c>
      <c r="D2747" s="13" t="s">
        <v>1911</v>
      </c>
      <c r="E2747" s="16" t="n">
        <v>268.85</v>
      </c>
      <c r="F2747" s="7" t="n">
        <v>1</v>
      </c>
      <c r="G2747" s="5" t="n">
        <v>270</v>
      </c>
    </row>
    <row r="2748" customFormat="false" ht="15" hidden="false" customHeight="false" outlineLevel="0" collapsed="false">
      <c r="A2748" s="13" t="s">
        <v>54</v>
      </c>
      <c r="B2748" s="13" t="s">
        <v>43</v>
      </c>
      <c r="C2748" s="13" t="s">
        <v>5</v>
      </c>
      <c r="D2748" s="13" t="s">
        <v>1912</v>
      </c>
      <c r="E2748" s="16" t="n">
        <v>268.85</v>
      </c>
      <c r="F2748" s="7" t="n">
        <v>1</v>
      </c>
      <c r="G2748" s="5" t="n">
        <v>270</v>
      </c>
    </row>
    <row r="2749" customFormat="false" ht="15" hidden="false" customHeight="false" outlineLevel="0" collapsed="false">
      <c r="A2749" s="13" t="s">
        <v>255</v>
      </c>
      <c r="B2749" s="13" t="s">
        <v>43</v>
      </c>
      <c r="C2749" s="13" t="s">
        <v>4</v>
      </c>
      <c r="D2749" s="13" t="s">
        <v>1913</v>
      </c>
      <c r="E2749" s="16" t="n">
        <v>269.1</v>
      </c>
      <c r="F2749" s="7" t="n">
        <v>1</v>
      </c>
      <c r="G2749" s="5" t="n">
        <v>270</v>
      </c>
    </row>
    <row r="2750" customFormat="false" ht="15" hidden="false" customHeight="false" outlineLevel="0" collapsed="false">
      <c r="A2750" s="13" t="s">
        <v>490</v>
      </c>
      <c r="B2750" s="13" t="s">
        <v>43</v>
      </c>
      <c r="C2750" s="13" t="s">
        <v>5</v>
      </c>
      <c r="D2750" s="13" t="s">
        <v>1775</v>
      </c>
      <c r="E2750" s="16" t="n">
        <v>266</v>
      </c>
      <c r="F2750" s="7" t="n">
        <v>1</v>
      </c>
      <c r="G2750" s="5" t="n">
        <v>270</v>
      </c>
    </row>
    <row r="2751" customFormat="false" ht="15" hidden="false" customHeight="false" outlineLevel="0" collapsed="false">
      <c r="A2751" s="13" t="s">
        <v>365</v>
      </c>
      <c r="B2751" s="13" t="s">
        <v>43</v>
      </c>
      <c r="C2751" s="13" t="s">
        <v>4</v>
      </c>
      <c r="D2751" s="13" t="s">
        <v>1914</v>
      </c>
      <c r="E2751" s="16" t="n">
        <v>274.59</v>
      </c>
      <c r="F2751" s="7" t="n">
        <v>1</v>
      </c>
      <c r="G2751" s="5" t="n">
        <v>270</v>
      </c>
    </row>
    <row r="2752" customFormat="false" ht="15" hidden="false" customHeight="false" outlineLevel="0" collapsed="false">
      <c r="A2752" s="13" t="s">
        <v>42</v>
      </c>
      <c r="B2752" s="13" t="s">
        <v>43</v>
      </c>
      <c r="C2752" s="13" t="s">
        <v>4</v>
      </c>
      <c r="D2752" s="13" t="s">
        <v>1915</v>
      </c>
      <c r="E2752" s="16" t="n">
        <v>274.55</v>
      </c>
      <c r="F2752" s="7" t="n">
        <v>1</v>
      </c>
      <c r="G2752" s="5" t="n">
        <v>270</v>
      </c>
    </row>
    <row r="2753" customFormat="false" ht="15" hidden="false" customHeight="false" outlineLevel="0" collapsed="false">
      <c r="A2753" s="13" t="s">
        <v>270</v>
      </c>
      <c r="B2753" s="13" t="s">
        <v>43</v>
      </c>
      <c r="C2753" s="13" t="s">
        <v>4</v>
      </c>
      <c r="D2753" s="13" t="s">
        <v>1232</v>
      </c>
      <c r="E2753" s="16" t="n">
        <v>274.24</v>
      </c>
      <c r="F2753" s="7" t="n">
        <v>1</v>
      </c>
      <c r="G2753" s="5" t="n">
        <v>270</v>
      </c>
    </row>
    <row r="2754" customFormat="false" ht="15" hidden="false" customHeight="false" outlineLevel="0" collapsed="false">
      <c r="A2754" s="13" t="s">
        <v>42</v>
      </c>
      <c r="B2754" s="13" t="s">
        <v>43</v>
      </c>
      <c r="C2754" s="13" t="s">
        <v>4</v>
      </c>
      <c r="D2754" s="13" t="s">
        <v>1916</v>
      </c>
      <c r="E2754" s="16" t="n">
        <v>266.76</v>
      </c>
      <c r="F2754" s="7" t="n">
        <v>1</v>
      </c>
      <c r="G2754" s="5" t="n">
        <v>270</v>
      </c>
    </row>
    <row r="2755" customFormat="false" ht="15" hidden="false" customHeight="false" outlineLevel="0" collapsed="false">
      <c r="A2755" s="13" t="s">
        <v>255</v>
      </c>
      <c r="B2755" s="13" t="s">
        <v>43</v>
      </c>
      <c r="C2755" s="13" t="s">
        <v>4</v>
      </c>
      <c r="D2755" s="13" t="s">
        <v>1917</v>
      </c>
      <c r="E2755" s="16" t="n">
        <v>272.09</v>
      </c>
      <c r="F2755" s="7" t="n">
        <v>1</v>
      </c>
      <c r="G2755" s="5" t="n">
        <v>270</v>
      </c>
    </row>
    <row r="2756" customFormat="false" ht="15" hidden="false" customHeight="false" outlineLevel="0" collapsed="false">
      <c r="A2756" s="13" t="s">
        <v>365</v>
      </c>
      <c r="B2756" s="13" t="s">
        <v>43</v>
      </c>
      <c r="C2756" s="13" t="s">
        <v>4</v>
      </c>
      <c r="D2756" s="13" t="s">
        <v>1918</v>
      </c>
      <c r="E2756" s="16" t="n">
        <v>267.72</v>
      </c>
      <c r="F2756" s="7" t="n">
        <v>1</v>
      </c>
      <c r="G2756" s="5" t="n">
        <v>270</v>
      </c>
    </row>
    <row r="2757" customFormat="false" ht="15" hidden="false" customHeight="false" outlineLevel="0" collapsed="false">
      <c r="A2757" s="13" t="s">
        <v>630</v>
      </c>
      <c r="B2757" s="13" t="s">
        <v>43</v>
      </c>
      <c r="C2757" s="13" t="s">
        <v>5</v>
      </c>
      <c r="D2757" s="13" t="s">
        <v>983</v>
      </c>
      <c r="E2757" s="16" t="n">
        <v>134</v>
      </c>
      <c r="F2757" s="7" t="n">
        <v>2</v>
      </c>
      <c r="G2757" s="5" t="n">
        <v>270</v>
      </c>
    </row>
    <row r="2758" customFormat="false" ht="15" hidden="false" customHeight="false" outlineLevel="0" collapsed="false">
      <c r="A2758" s="13" t="s">
        <v>107</v>
      </c>
      <c r="B2758" s="13" t="s">
        <v>43</v>
      </c>
      <c r="C2758" s="13" t="s">
        <v>5</v>
      </c>
      <c r="D2758" s="13" t="s">
        <v>1919</v>
      </c>
      <c r="E2758" s="16" t="n">
        <v>132.475</v>
      </c>
      <c r="F2758" s="7" t="n">
        <v>2</v>
      </c>
      <c r="G2758" s="5" t="n">
        <v>260</v>
      </c>
    </row>
    <row r="2759" customFormat="false" ht="15" hidden="false" customHeight="false" outlineLevel="0" collapsed="false">
      <c r="A2759" s="13" t="s">
        <v>121</v>
      </c>
      <c r="B2759" s="13" t="s">
        <v>43</v>
      </c>
      <c r="C2759" s="13" t="s">
        <v>5</v>
      </c>
      <c r="D2759" s="13" t="s">
        <v>1920</v>
      </c>
      <c r="E2759" s="16" t="n">
        <v>130.85</v>
      </c>
      <c r="F2759" s="7" t="n">
        <v>2</v>
      </c>
      <c r="G2759" s="5" t="n">
        <v>260</v>
      </c>
    </row>
    <row r="2760" customFormat="false" ht="15" hidden="false" customHeight="false" outlineLevel="0" collapsed="false">
      <c r="A2760" s="13" t="s">
        <v>45</v>
      </c>
      <c r="B2760" s="13" t="s">
        <v>43</v>
      </c>
      <c r="C2760" s="13" t="s">
        <v>5</v>
      </c>
      <c r="D2760" s="13" t="s">
        <v>1746</v>
      </c>
      <c r="E2760" s="16" t="n">
        <v>263.17</v>
      </c>
      <c r="F2760" s="7" t="n">
        <v>1</v>
      </c>
      <c r="G2760" s="5" t="n">
        <v>260</v>
      </c>
    </row>
    <row r="2761" customFormat="false" ht="15" hidden="false" customHeight="false" outlineLevel="0" collapsed="false">
      <c r="A2761" s="13" t="s">
        <v>229</v>
      </c>
      <c r="B2761" s="13" t="s">
        <v>43</v>
      </c>
      <c r="C2761" s="13" t="s">
        <v>5</v>
      </c>
      <c r="D2761" s="13" t="s">
        <v>1921</v>
      </c>
      <c r="E2761" s="16" t="n">
        <v>263.53</v>
      </c>
      <c r="F2761" s="7" t="n">
        <v>1</v>
      </c>
      <c r="G2761" s="5" t="n">
        <v>260</v>
      </c>
    </row>
    <row r="2762" customFormat="false" ht="15" hidden="false" customHeight="false" outlineLevel="0" collapsed="false">
      <c r="A2762" s="13" t="s">
        <v>103</v>
      </c>
      <c r="B2762" s="13" t="s">
        <v>43</v>
      </c>
      <c r="C2762" s="13" t="s">
        <v>5</v>
      </c>
      <c r="D2762" s="13" t="s">
        <v>1922</v>
      </c>
      <c r="E2762" s="16" t="n">
        <v>264.41</v>
      </c>
      <c r="F2762" s="7" t="n">
        <v>1</v>
      </c>
      <c r="G2762" s="5" t="n">
        <v>260</v>
      </c>
    </row>
    <row r="2763" customFormat="false" ht="15" hidden="false" customHeight="false" outlineLevel="0" collapsed="false">
      <c r="A2763" s="13" t="s">
        <v>92</v>
      </c>
      <c r="B2763" s="13" t="s">
        <v>43</v>
      </c>
      <c r="C2763" s="13" t="s">
        <v>5</v>
      </c>
      <c r="D2763" s="13" t="s">
        <v>1923</v>
      </c>
      <c r="E2763" s="16" t="n">
        <v>264.9</v>
      </c>
      <c r="F2763" s="7" t="n">
        <v>1</v>
      </c>
      <c r="G2763" s="5" t="n">
        <v>260</v>
      </c>
    </row>
    <row r="2764" customFormat="false" ht="15" hidden="false" customHeight="false" outlineLevel="0" collapsed="false">
      <c r="A2764" s="13" t="s">
        <v>195</v>
      </c>
      <c r="B2764" s="13" t="s">
        <v>43</v>
      </c>
      <c r="C2764" s="13" t="s">
        <v>5</v>
      </c>
      <c r="D2764" s="13" t="s">
        <v>1924</v>
      </c>
      <c r="E2764" s="16" t="n">
        <v>264.9</v>
      </c>
      <c r="F2764" s="7" t="n">
        <v>1</v>
      </c>
      <c r="G2764" s="5" t="n">
        <v>260</v>
      </c>
    </row>
    <row r="2765" customFormat="false" ht="15" hidden="false" customHeight="false" outlineLevel="0" collapsed="false">
      <c r="A2765" s="13" t="s">
        <v>59</v>
      </c>
      <c r="B2765" s="13" t="s">
        <v>43</v>
      </c>
      <c r="C2765" s="13" t="s">
        <v>5</v>
      </c>
      <c r="D2765" s="13" t="s">
        <v>1925</v>
      </c>
      <c r="E2765" s="16" t="n">
        <v>255.72</v>
      </c>
      <c r="F2765" s="7" t="n">
        <v>1</v>
      </c>
      <c r="G2765" s="5" t="n">
        <v>260</v>
      </c>
    </row>
    <row r="2766" customFormat="false" ht="15" hidden="false" customHeight="false" outlineLevel="0" collapsed="false">
      <c r="A2766" s="13" t="s">
        <v>250</v>
      </c>
      <c r="B2766" s="13" t="s">
        <v>57</v>
      </c>
      <c r="C2766" s="13" t="s">
        <v>3</v>
      </c>
      <c r="D2766" s="13" t="s">
        <v>1926</v>
      </c>
      <c r="E2766" s="16" t="n">
        <v>131.95</v>
      </c>
      <c r="F2766" s="7" t="n">
        <v>2</v>
      </c>
      <c r="G2766" s="5" t="n">
        <v>260</v>
      </c>
    </row>
    <row r="2767" customFormat="false" ht="15" hidden="false" customHeight="false" outlineLevel="0" collapsed="false">
      <c r="A2767" s="13" t="s">
        <v>103</v>
      </c>
      <c r="B2767" s="13" t="s">
        <v>43</v>
      </c>
      <c r="C2767" s="13" t="s">
        <v>5</v>
      </c>
      <c r="D2767" s="13" t="s">
        <v>1371</v>
      </c>
      <c r="E2767" s="16" t="n">
        <v>129.99</v>
      </c>
      <c r="F2767" s="7" t="n">
        <v>2</v>
      </c>
      <c r="G2767" s="5" t="n">
        <v>260</v>
      </c>
    </row>
    <row r="2768" customFormat="false" ht="15" hidden="false" customHeight="false" outlineLevel="0" collapsed="false">
      <c r="A2768" s="13" t="s">
        <v>121</v>
      </c>
      <c r="B2768" s="13" t="s">
        <v>43</v>
      </c>
      <c r="C2768" s="13" t="s">
        <v>5</v>
      </c>
      <c r="D2768" s="13" t="s">
        <v>1927</v>
      </c>
      <c r="E2768" s="16" t="n">
        <v>28.85</v>
      </c>
      <c r="F2768" s="7" t="n">
        <v>5</v>
      </c>
      <c r="G2768" s="5" t="n">
        <v>260</v>
      </c>
    </row>
    <row r="2769" customFormat="false" ht="15" hidden="false" customHeight="false" outlineLevel="0" collapsed="false">
      <c r="A2769" s="13" t="s">
        <v>365</v>
      </c>
      <c r="B2769" s="13" t="s">
        <v>43</v>
      </c>
      <c r="C2769" s="13" t="s">
        <v>5</v>
      </c>
      <c r="D2769" s="13" t="s">
        <v>1928</v>
      </c>
      <c r="E2769" s="16" t="n">
        <v>259</v>
      </c>
      <c r="F2769" s="7" t="n">
        <v>1</v>
      </c>
      <c r="G2769" s="5" t="n">
        <v>260</v>
      </c>
    </row>
    <row r="2770" customFormat="false" ht="15" hidden="false" customHeight="false" outlineLevel="0" collapsed="false">
      <c r="A2770" s="13" t="s">
        <v>121</v>
      </c>
      <c r="B2770" s="13" t="s">
        <v>183</v>
      </c>
      <c r="C2770" s="13" t="s">
        <v>5</v>
      </c>
      <c r="D2770" s="13" t="s">
        <v>1428</v>
      </c>
      <c r="E2770" s="16" t="n">
        <v>85.2166666666667</v>
      </c>
      <c r="F2770" s="7" t="n">
        <v>2</v>
      </c>
      <c r="G2770" s="5" t="n">
        <v>260</v>
      </c>
    </row>
    <row r="2771" customFormat="false" ht="15" hidden="false" customHeight="false" outlineLevel="0" collapsed="false">
      <c r="A2771" s="13" t="s">
        <v>121</v>
      </c>
      <c r="B2771" s="13" t="s">
        <v>183</v>
      </c>
      <c r="C2771" s="13" t="s">
        <v>5</v>
      </c>
      <c r="D2771" s="13" t="s">
        <v>1929</v>
      </c>
      <c r="E2771" s="16" t="n">
        <v>86.2533333333333</v>
      </c>
      <c r="F2771" s="7" t="n">
        <v>2</v>
      </c>
      <c r="G2771" s="5" t="n">
        <v>260</v>
      </c>
    </row>
    <row r="2772" customFormat="false" ht="15" hidden="false" customHeight="false" outlineLevel="0" collapsed="false">
      <c r="A2772" s="13" t="s">
        <v>255</v>
      </c>
      <c r="B2772" s="13" t="s">
        <v>43</v>
      </c>
      <c r="C2772" s="13" t="s">
        <v>4</v>
      </c>
      <c r="D2772" s="13" t="s">
        <v>1930</v>
      </c>
      <c r="E2772" s="16" t="n">
        <v>263.33</v>
      </c>
      <c r="F2772" s="7" t="n">
        <v>1</v>
      </c>
      <c r="G2772" s="5" t="n">
        <v>260</v>
      </c>
    </row>
    <row r="2773" customFormat="false" ht="15" hidden="false" customHeight="false" outlineLevel="0" collapsed="false">
      <c r="A2773" s="13" t="s">
        <v>42</v>
      </c>
      <c r="B2773" s="13" t="s">
        <v>43</v>
      </c>
      <c r="C2773" s="13" t="s">
        <v>4</v>
      </c>
      <c r="D2773" s="13" t="s">
        <v>1931</v>
      </c>
      <c r="E2773" s="16" t="n">
        <v>255.39</v>
      </c>
      <c r="F2773" s="7" t="n">
        <v>1</v>
      </c>
      <c r="G2773" s="5" t="n">
        <v>260</v>
      </c>
    </row>
    <row r="2774" customFormat="false" ht="15" hidden="false" customHeight="false" outlineLevel="0" collapsed="false">
      <c r="A2774" s="13" t="s">
        <v>490</v>
      </c>
      <c r="B2774" s="13" t="s">
        <v>43</v>
      </c>
      <c r="C2774" s="13" t="s">
        <v>4</v>
      </c>
      <c r="D2774" s="13" t="s">
        <v>1932</v>
      </c>
      <c r="E2774" s="16" t="n">
        <v>258.49</v>
      </c>
      <c r="F2774" s="7" t="n">
        <v>1</v>
      </c>
      <c r="G2774" s="5" t="n">
        <v>260</v>
      </c>
    </row>
    <row r="2775" customFormat="false" ht="15" hidden="false" customHeight="false" outlineLevel="0" collapsed="false">
      <c r="A2775" s="13" t="s">
        <v>42</v>
      </c>
      <c r="B2775" s="13" t="s">
        <v>43</v>
      </c>
      <c r="C2775" s="13" t="s">
        <v>5</v>
      </c>
      <c r="D2775" s="13" t="s">
        <v>1933</v>
      </c>
      <c r="E2775" s="16" t="n">
        <v>257.07</v>
      </c>
      <c r="F2775" s="7" t="n">
        <v>1</v>
      </c>
      <c r="G2775" s="5" t="n">
        <v>260</v>
      </c>
    </row>
    <row r="2776" customFormat="false" ht="15" hidden="false" customHeight="false" outlineLevel="0" collapsed="false">
      <c r="A2776" s="13" t="s">
        <v>54</v>
      </c>
      <c r="B2776" s="13" t="s">
        <v>43</v>
      </c>
      <c r="C2776" s="13" t="s">
        <v>5</v>
      </c>
      <c r="D2776" s="13" t="s">
        <v>1934</v>
      </c>
      <c r="E2776" s="16" t="n">
        <v>258.03</v>
      </c>
      <c r="F2776" s="7" t="n">
        <v>1</v>
      </c>
      <c r="G2776" s="5" t="n">
        <v>260</v>
      </c>
    </row>
    <row r="2777" customFormat="false" ht="15" hidden="false" customHeight="false" outlineLevel="0" collapsed="false">
      <c r="A2777" s="13" t="s">
        <v>107</v>
      </c>
      <c r="B2777" s="13" t="s">
        <v>183</v>
      </c>
      <c r="C2777" s="13" t="s">
        <v>5</v>
      </c>
      <c r="D2777" s="13" t="s">
        <v>1431</v>
      </c>
      <c r="E2777" s="16" t="n">
        <v>254.9</v>
      </c>
      <c r="F2777" s="7" t="n">
        <v>1</v>
      </c>
      <c r="G2777" s="5" t="n">
        <v>250</v>
      </c>
    </row>
    <row r="2778" customFormat="false" ht="15" hidden="false" customHeight="false" outlineLevel="0" collapsed="false">
      <c r="A2778" s="13" t="s">
        <v>121</v>
      </c>
      <c r="B2778" s="13" t="s">
        <v>183</v>
      </c>
      <c r="C2778" s="13" t="s">
        <v>5</v>
      </c>
      <c r="D2778" s="13" t="s">
        <v>1935</v>
      </c>
      <c r="E2778" s="16" t="n">
        <v>83.8933333333333</v>
      </c>
      <c r="F2778" s="7" t="n">
        <v>2</v>
      </c>
      <c r="G2778" s="5" t="n">
        <v>250</v>
      </c>
    </row>
    <row r="2779" customFormat="false" ht="15" hidden="false" customHeight="false" outlineLevel="0" collapsed="false">
      <c r="A2779" s="13" t="s">
        <v>103</v>
      </c>
      <c r="B2779" s="13" t="s">
        <v>43</v>
      </c>
      <c r="C2779" s="13" t="s">
        <v>4</v>
      </c>
      <c r="D2779" s="13" t="s">
        <v>104</v>
      </c>
      <c r="E2779" s="16" t="n">
        <v>248.17</v>
      </c>
      <c r="F2779" s="7" t="n">
        <v>1</v>
      </c>
      <c r="G2779" s="5" t="n">
        <v>250</v>
      </c>
    </row>
    <row r="2780" customFormat="false" ht="15" hidden="false" customHeight="false" outlineLevel="0" collapsed="false">
      <c r="A2780" s="13" t="s">
        <v>255</v>
      </c>
      <c r="B2780" s="13" t="s">
        <v>43</v>
      </c>
      <c r="C2780" s="13" t="s">
        <v>4</v>
      </c>
      <c r="D2780" s="13" t="s">
        <v>1936</v>
      </c>
      <c r="E2780" s="16" t="n">
        <v>247.22</v>
      </c>
      <c r="F2780" s="7" t="n">
        <v>1</v>
      </c>
      <c r="G2780" s="5" t="n">
        <v>250</v>
      </c>
    </row>
    <row r="2781" customFormat="false" ht="15" hidden="false" customHeight="false" outlineLevel="0" collapsed="false">
      <c r="A2781" s="13" t="s">
        <v>103</v>
      </c>
      <c r="B2781" s="13" t="s">
        <v>43</v>
      </c>
      <c r="C2781" s="13" t="s">
        <v>4</v>
      </c>
      <c r="D2781" s="13" t="s">
        <v>678</v>
      </c>
      <c r="E2781" s="16" t="n">
        <v>251.43</v>
      </c>
      <c r="F2781" s="7" t="n">
        <v>1</v>
      </c>
      <c r="G2781" s="5" t="n">
        <v>250</v>
      </c>
    </row>
    <row r="2782" customFormat="false" ht="15" hidden="false" customHeight="false" outlineLevel="0" collapsed="false">
      <c r="A2782" s="13" t="s">
        <v>121</v>
      </c>
      <c r="B2782" s="13" t="s">
        <v>43</v>
      </c>
      <c r="C2782" s="13" t="s">
        <v>5</v>
      </c>
      <c r="D2782" s="13" t="s">
        <v>1937</v>
      </c>
      <c r="E2782" s="16" t="n">
        <v>84.8833333333333</v>
      </c>
      <c r="F2782" s="7" t="n">
        <v>2</v>
      </c>
      <c r="G2782" s="5" t="n">
        <v>250</v>
      </c>
    </row>
    <row r="2783" customFormat="false" ht="15" hidden="false" customHeight="false" outlineLevel="0" collapsed="false">
      <c r="A2783" s="13" t="s">
        <v>153</v>
      </c>
      <c r="B2783" s="13" t="s">
        <v>43</v>
      </c>
      <c r="C2783" s="13" t="s">
        <v>5</v>
      </c>
      <c r="D2783" s="13" t="s">
        <v>1938</v>
      </c>
      <c r="E2783" s="16" t="n">
        <v>246.86</v>
      </c>
      <c r="F2783" s="7" t="n">
        <v>1</v>
      </c>
      <c r="G2783" s="5" t="n">
        <v>250</v>
      </c>
    </row>
    <row r="2784" customFormat="false" ht="15" hidden="false" customHeight="false" outlineLevel="0" collapsed="false">
      <c r="A2784" s="13" t="s">
        <v>54</v>
      </c>
      <c r="B2784" s="13" t="s">
        <v>43</v>
      </c>
      <c r="C2784" s="13" t="s">
        <v>5</v>
      </c>
      <c r="D2784" s="13" t="s">
        <v>1939</v>
      </c>
      <c r="E2784" s="16" t="n">
        <v>123.85</v>
      </c>
      <c r="F2784" s="7" t="n">
        <v>2</v>
      </c>
      <c r="G2784" s="5" t="n">
        <v>250</v>
      </c>
    </row>
    <row r="2785" customFormat="false" ht="15" hidden="false" customHeight="false" outlineLevel="0" collapsed="false">
      <c r="A2785" s="13" t="s">
        <v>92</v>
      </c>
      <c r="B2785" s="13" t="s">
        <v>43</v>
      </c>
      <c r="C2785" s="13" t="s">
        <v>5</v>
      </c>
      <c r="D2785" s="13" t="s">
        <v>1923</v>
      </c>
      <c r="E2785" s="16" t="n">
        <v>253.41</v>
      </c>
      <c r="F2785" s="7" t="n">
        <v>1</v>
      </c>
      <c r="G2785" s="5" t="n">
        <v>250</v>
      </c>
    </row>
    <row r="2786" customFormat="false" ht="15" hidden="false" customHeight="false" outlineLevel="0" collapsed="false">
      <c r="A2786" s="13" t="s">
        <v>255</v>
      </c>
      <c r="B2786" s="13" t="s">
        <v>43</v>
      </c>
      <c r="C2786" s="13" t="s">
        <v>4</v>
      </c>
      <c r="D2786" s="13" t="s">
        <v>1940</v>
      </c>
      <c r="E2786" s="16" t="n">
        <v>246.22</v>
      </c>
      <c r="F2786" s="7" t="n">
        <v>1</v>
      </c>
      <c r="G2786" s="5" t="n">
        <v>250</v>
      </c>
    </row>
    <row r="2787" customFormat="false" ht="15" hidden="false" customHeight="false" outlineLevel="0" collapsed="false">
      <c r="A2787" s="13" t="s">
        <v>255</v>
      </c>
      <c r="B2787" s="13" t="s">
        <v>43</v>
      </c>
      <c r="C2787" s="13" t="s">
        <v>4</v>
      </c>
      <c r="D2787" s="13" t="s">
        <v>1941</v>
      </c>
      <c r="E2787" s="16" t="n">
        <v>254.15</v>
      </c>
      <c r="F2787" s="7" t="n">
        <v>1</v>
      </c>
      <c r="G2787" s="5" t="n">
        <v>250</v>
      </c>
    </row>
    <row r="2788" customFormat="false" ht="15" hidden="false" customHeight="false" outlineLevel="0" collapsed="false">
      <c r="A2788" s="13" t="s">
        <v>42</v>
      </c>
      <c r="B2788" s="13" t="s">
        <v>43</v>
      </c>
      <c r="C2788" s="13" t="s">
        <v>4</v>
      </c>
      <c r="D2788" s="13" t="s">
        <v>1942</v>
      </c>
      <c r="E2788" s="16" t="n">
        <v>246.05</v>
      </c>
      <c r="F2788" s="7" t="n">
        <v>1</v>
      </c>
      <c r="G2788" s="5" t="n">
        <v>250</v>
      </c>
    </row>
    <row r="2789" customFormat="false" ht="15" hidden="false" customHeight="false" outlineLevel="0" collapsed="false">
      <c r="A2789" s="13" t="s">
        <v>50</v>
      </c>
      <c r="B2789" s="13" t="s">
        <v>43</v>
      </c>
      <c r="C2789" s="13" t="s">
        <v>4</v>
      </c>
      <c r="D2789" s="13" t="s">
        <v>1943</v>
      </c>
      <c r="E2789" s="16" t="n">
        <v>253.89</v>
      </c>
      <c r="F2789" s="7" t="n">
        <v>1</v>
      </c>
      <c r="G2789" s="5" t="n">
        <v>250</v>
      </c>
    </row>
    <row r="2790" customFormat="false" ht="15" hidden="false" customHeight="false" outlineLevel="0" collapsed="false">
      <c r="A2790" s="13" t="s">
        <v>121</v>
      </c>
      <c r="B2790" s="13" t="s">
        <v>43</v>
      </c>
      <c r="C2790" s="13" t="s">
        <v>5</v>
      </c>
      <c r="D2790" s="13" t="s">
        <v>1944</v>
      </c>
      <c r="E2790" s="16" t="n">
        <v>124.78</v>
      </c>
      <c r="F2790" s="7" t="n">
        <v>2</v>
      </c>
      <c r="G2790" s="5" t="n">
        <v>250</v>
      </c>
    </row>
    <row r="2791" customFormat="false" ht="15" hidden="false" customHeight="false" outlineLevel="0" collapsed="false">
      <c r="A2791" s="13" t="s">
        <v>50</v>
      </c>
      <c r="B2791" s="13" t="s">
        <v>43</v>
      </c>
      <c r="C2791" s="13" t="s">
        <v>5</v>
      </c>
      <c r="D2791" s="13" t="s">
        <v>777</v>
      </c>
      <c r="E2791" s="16" t="n">
        <v>238.85</v>
      </c>
      <c r="F2791" s="7" t="n">
        <v>1</v>
      </c>
      <c r="G2791" s="5" t="n">
        <v>240</v>
      </c>
    </row>
    <row r="2792" customFormat="false" ht="15" hidden="false" customHeight="false" outlineLevel="0" collapsed="false">
      <c r="A2792" s="13" t="s">
        <v>103</v>
      </c>
      <c r="B2792" s="13" t="s">
        <v>43</v>
      </c>
      <c r="C2792" s="13" t="s">
        <v>5</v>
      </c>
      <c r="D2792" s="13" t="s">
        <v>1102</v>
      </c>
      <c r="E2792" s="16" t="n">
        <v>244.32</v>
      </c>
      <c r="F2792" s="7" t="n">
        <v>1</v>
      </c>
      <c r="G2792" s="5" t="n">
        <v>240</v>
      </c>
    </row>
    <row r="2793" customFormat="false" ht="15" hidden="false" customHeight="false" outlineLevel="0" collapsed="false">
      <c r="A2793" s="13" t="s">
        <v>107</v>
      </c>
      <c r="B2793" s="13" t="s">
        <v>43</v>
      </c>
      <c r="C2793" s="13" t="s">
        <v>5</v>
      </c>
      <c r="D2793" s="13" t="s">
        <v>1945</v>
      </c>
      <c r="E2793" s="16" t="n">
        <v>119</v>
      </c>
      <c r="F2793" s="7" t="n">
        <v>2</v>
      </c>
      <c r="G2793" s="5" t="n">
        <v>240</v>
      </c>
    </row>
    <row r="2794" customFormat="false" ht="15" hidden="false" customHeight="false" outlineLevel="0" collapsed="false">
      <c r="A2794" s="13" t="s">
        <v>121</v>
      </c>
      <c r="B2794" s="13" t="s">
        <v>183</v>
      </c>
      <c r="C2794" s="13" t="s">
        <v>5</v>
      </c>
      <c r="D2794" s="13" t="s">
        <v>1946</v>
      </c>
      <c r="E2794" s="16" t="n">
        <v>78.85</v>
      </c>
      <c r="F2794" s="7" t="n">
        <v>2</v>
      </c>
      <c r="G2794" s="5" t="n">
        <v>240</v>
      </c>
    </row>
    <row r="2795" customFormat="false" ht="15" hidden="false" customHeight="false" outlineLevel="0" collapsed="false">
      <c r="A2795" s="13" t="s">
        <v>286</v>
      </c>
      <c r="B2795" s="13" t="s">
        <v>43</v>
      </c>
      <c r="C2795" s="13" t="s">
        <v>5</v>
      </c>
      <c r="D2795" s="13" t="s">
        <v>1947</v>
      </c>
      <c r="E2795" s="16" t="n">
        <v>243.19</v>
      </c>
      <c r="F2795" s="7" t="n">
        <v>1</v>
      </c>
      <c r="G2795" s="5" t="n">
        <v>240</v>
      </c>
    </row>
    <row r="2796" customFormat="false" ht="15" hidden="false" customHeight="false" outlineLevel="0" collapsed="false">
      <c r="A2796" s="13" t="s">
        <v>490</v>
      </c>
      <c r="B2796" s="13" t="s">
        <v>43</v>
      </c>
      <c r="C2796" s="13" t="s">
        <v>5</v>
      </c>
      <c r="D2796" s="13" t="s">
        <v>1948</v>
      </c>
      <c r="E2796" s="16" t="n">
        <v>239.9</v>
      </c>
      <c r="F2796" s="7" t="n">
        <v>1</v>
      </c>
      <c r="G2796" s="5" t="n">
        <v>240</v>
      </c>
    </row>
    <row r="2797" customFormat="false" ht="15" hidden="false" customHeight="false" outlineLevel="0" collapsed="false">
      <c r="A2797" s="13" t="s">
        <v>61</v>
      </c>
      <c r="B2797" s="13" t="s">
        <v>183</v>
      </c>
      <c r="C2797" s="13" t="s">
        <v>5</v>
      </c>
      <c r="D2797" s="13" t="s">
        <v>1949</v>
      </c>
      <c r="E2797" s="16" t="n">
        <v>235.24</v>
      </c>
      <c r="F2797" s="7" t="n">
        <v>1</v>
      </c>
      <c r="G2797" s="5" t="n">
        <v>240</v>
      </c>
    </row>
    <row r="2798" customFormat="false" ht="15" hidden="false" customHeight="false" outlineLevel="0" collapsed="false">
      <c r="A2798" s="13" t="s">
        <v>105</v>
      </c>
      <c r="B2798" s="13" t="s">
        <v>43</v>
      </c>
      <c r="C2798" s="13" t="s">
        <v>5</v>
      </c>
      <c r="D2798" s="13" t="s">
        <v>1950</v>
      </c>
      <c r="E2798" s="16" t="n">
        <v>243</v>
      </c>
      <c r="F2798" s="7" t="n">
        <v>1</v>
      </c>
      <c r="G2798" s="5" t="n">
        <v>240</v>
      </c>
    </row>
    <row r="2799" customFormat="false" ht="15" hidden="false" customHeight="false" outlineLevel="0" collapsed="false">
      <c r="A2799" s="13" t="s">
        <v>50</v>
      </c>
      <c r="B2799" s="13" t="s">
        <v>43</v>
      </c>
      <c r="C2799" s="13" t="s">
        <v>4</v>
      </c>
      <c r="D2799" s="13" t="s">
        <v>1225</v>
      </c>
      <c r="E2799" s="16" t="n">
        <v>237.33</v>
      </c>
      <c r="F2799" s="7" t="n">
        <v>1</v>
      </c>
      <c r="G2799" s="5" t="n">
        <v>240</v>
      </c>
    </row>
    <row r="2800" customFormat="false" ht="15" hidden="false" customHeight="false" outlineLevel="0" collapsed="false">
      <c r="A2800" s="13" t="s">
        <v>255</v>
      </c>
      <c r="B2800" s="13" t="s">
        <v>43</v>
      </c>
      <c r="C2800" s="13" t="s">
        <v>4</v>
      </c>
      <c r="D2800" s="13" t="s">
        <v>1951</v>
      </c>
      <c r="E2800" s="16" t="n">
        <v>237.82</v>
      </c>
      <c r="F2800" s="7" t="n">
        <v>1</v>
      </c>
      <c r="G2800" s="5" t="n">
        <v>240</v>
      </c>
    </row>
    <row r="2801" customFormat="false" ht="15" hidden="false" customHeight="false" outlineLevel="0" collapsed="false">
      <c r="A2801" s="13" t="s">
        <v>630</v>
      </c>
      <c r="B2801" s="13" t="s">
        <v>43</v>
      </c>
      <c r="C2801" s="13" t="s">
        <v>4</v>
      </c>
      <c r="D2801" s="13" t="s">
        <v>695</v>
      </c>
      <c r="E2801" s="16" t="n">
        <v>239.14</v>
      </c>
      <c r="F2801" s="7" t="n">
        <v>1</v>
      </c>
      <c r="G2801" s="5" t="n">
        <v>240</v>
      </c>
    </row>
    <row r="2802" customFormat="false" ht="15" hidden="false" customHeight="false" outlineLevel="0" collapsed="false">
      <c r="A2802" s="13" t="s">
        <v>490</v>
      </c>
      <c r="B2802" s="13" t="s">
        <v>43</v>
      </c>
      <c r="C2802" s="13" t="s">
        <v>4</v>
      </c>
      <c r="D2802" s="13" t="s">
        <v>1952</v>
      </c>
      <c r="E2802" s="16" t="n">
        <v>244.28</v>
      </c>
      <c r="F2802" s="7" t="n">
        <v>1</v>
      </c>
      <c r="G2802" s="5" t="n">
        <v>240</v>
      </c>
    </row>
    <row r="2803" customFormat="false" ht="15" hidden="false" customHeight="false" outlineLevel="0" collapsed="false">
      <c r="A2803" s="13" t="s">
        <v>179</v>
      </c>
      <c r="B2803" s="13" t="s">
        <v>85</v>
      </c>
      <c r="C2803" s="13" t="s">
        <v>3</v>
      </c>
      <c r="D2803" s="13" t="s">
        <v>1953</v>
      </c>
      <c r="E2803" s="16" t="n">
        <v>59</v>
      </c>
      <c r="F2803" s="7" t="n">
        <v>2</v>
      </c>
      <c r="G2803" s="5" t="n">
        <v>240</v>
      </c>
    </row>
    <row r="2804" customFormat="false" ht="15" hidden="false" customHeight="false" outlineLevel="0" collapsed="false">
      <c r="A2804" s="13" t="s">
        <v>250</v>
      </c>
      <c r="B2804" s="13" t="s">
        <v>85</v>
      </c>
      <c r="C2804" s="13" t="s">
        <v>3</v>
      </c>
      <c r="D2804" s="13" t="s">
        <v>1954</v>
      </c>
      <c r="E2804" s="16" t="n">
        <v>59.9</v>
      </c>
      <c r="F2804" s="7" t="n">
        <v>2</v>
      </c>
      <c r="G2804" s="5" t="n">
        <v>240</v>
      </c>
    </row>
    <row r="2805" customFormat="false" ht="15" hidden="false" customHeight="false" outlineLevel="0" collapsed="false">
      <c r="A2805" s="13" t="s">
        <v>50</v>
      </c>
      <c r="B2805" s="13" t="s">
        <v>43</v>
      </c>
      <c r="C2805" s="13" t="s">
        <v>5</v>
      </c>
      <c r="D2805" s="13" t="s">
        <v>1267</v>
      </c>
      <c r="E2805" s="16" t="n">
        <v>238.85</v>
      </c>
      <c r="F2805" s="7" t="n">
        <v>1</v>
      </c>
      <c r="G2805" s="5" t="n">
        <v>240</v>
      </c>
    </row>
    <row r="2806" customFormat="false" ht="15" hidden="false" customHeight="false" outlineLevel="0" collapsed="false">
      <c r="A2806" s="13" t="s">
        <v>103</v>
      </c>
      <c r="B2806" s="13" t="s">
        <v>43</v>
      </c>
      <c r="C2806" s="13" t="s">
        <v>5</v>
      </c>
      <c r="D2806" s="13" t="s">
        <v>1955</v>
      </c>
      <c r="E2806" s="16" t="n">
        <v>234.66</v>
      </c>
      <c r="F2806" s="7" t="n">
        <v>1</v>
      </c>
      <c r="G2806" s="5" t="n">
        <v>230</v>
      </c>
    </row>
    <row r="2807" customFormat="false" ht="15" hidden="false" customHeight="false" outlineLevel="0" collapsed="false">
      <c r="A2807" s="13" t="s">
        <v>630</v>
      </c>
      <c r="B2807" s="13" t="s">
        <v>43</v>
      </c>
      <c r="C2807" s="13" t="s">
        <v>5</v>
      </c>
      <c r="D2807" s="13" t="s">
        <v>1956</v>
      </c>
      <c r="E2807" s="16" t="n">
        <v>225.67</v>
      </c>
      <c r="F2807" s="7" t="n">
        <v>1</v>
      </c>
      <c r="G2807" s="5" t="n">
        <v>230</v>
      </c>
    </row>
    <row r="2808" customFormat="false" ht="15" hidden="false" customHeight="false" outlineLevel="0" collapsed="false">
      <c r="A2808" s="13" t="s">
        <v>42</v>
      </c>
      <c r="B2808" s="13" t="s">
        <v>43</v>
      </c>
      <c r="C2808" s="13" t="s">
        <v>5</v>
      </c>
      <c r="D2808" s="13" t="s">
        <v>1957</v>
      </c>
      <c r="E2808" s="16" t="n">
        <v>228.85</v>
      </c>
      <c r="F2808" s="7" t="n">
        <v>1</v>
      </c>
      <c r="G2808" s="5" t="n">
        <v>230</v>
      </c>
    </row>
    <row r="2809" customFormat="false" ht="15" hidden="false" customHeight="false" outlineLevel="0" collapsed="false">
      <c r="A2809" s="13" t="s">
        <v>103</v>
      </c>
      <c r="B2809" s="13" t="s">
        <v>43</v>
      </c>
      <c r="C2809" s="13" t="s">
        <v>5</v>
      </c>
      <c r="D2809" s="13" t="s">
        <v>1958</v>
      </c>
      <c r="E2809" s="16" t="n">
        <v>228.64</v>
      </c>
      <c r="F2809" s="7" t="n">
        <v>1</v>
      </c>
      <c r="G2809" s="5" t="n">
        <v>230</v>
      </c>
    </row>
    <row r="2810" customFormat="false" ht="15" hidden="false" customHeight="false" outlineLevel="0" collapsed="false">
      <c r="A2810" s="13" t="s">
        <v>121</v>
      </c>
      <c r="B2810" s="13" t="s">
        <v>183</v>
      </c>
      <c r="C2810" s="13" t="s">
        <v>5</v>
      </c>
      <c r="D2810" s="13" t="s">
        <v>1959</v>
      </c>
      <c r="E2810" s="16" t="n">
        <v>75.51</v>
      </c>
      <c r="F2810" s="7" t="n">
        <v>2</v>
      </c>
      <c r="G2810" s="5" t="n">
        <v>230</v>
      </c>
    </row>
    <row r="2811" customFormat="false" ht="15" hidden="false" customHeight="false" outlineLevel="0" collapsed="false">
      <c r="A2811" s="13" t="s">
        <v>121</v>
      </c>
      <c r="B2811" s="13" t="s">
        <v>43</v>
      </c>
      <c r="C2811" s="13" t="s">
        <v>5</v>
      </c>
      <c r="D2811" s="13" t="s">
        <v>1960</v>
      </c>
      <c r="E2811" s="16" t="n">
        <v>112.9</v>
      </c>
      <c r="F2811" s="7" t="n">
        <v>2</v>
      </c>
      <c r="G2811" s="5" t="n">
        <v>230</v>
      </c>
    </row>
    <row r="2812" customFormat="false" ht="15" hidden="false" customHeight="false" outlineLevel="0" collapsed="false">
      <c r="A2812" s="13" t="s">
        <v>54</v>
      </c>
      <c r="B2812" s="13" t="s">
        <v>43</v>
      </c>
      <c r="C2812" s="13" t="s">
        <v>5</v>
      </c>
      <c r="D2812" s="13" t="s">
        <v>1106</v>
      </c>
      <c r="E2812" s="16" t="n">
        <v>232.65</v>
      </c>
      <c r="F2812" s="7" t="n">
        <v>1</v>
      </c>
      <c r="G2812" s="5" t="n">
        <v>230</v>
      </c>
    </row>
    <row r="2813" customFormat="false" ht="15" hidden="false" customHeight="false" outlineLevel="0" collapsed="false">
      <c r="A2813" s="13" t="s">
        <v>121</v>
      </c>
      <c r="B2813" s="13" t="s">
        <v>43</v>
      </c>
      <c r="C2813" s="13" t="s">
        <v>5</v>
      </c>
      <c r="D2813" s="13" t="s">
        <v>1132</v>
      </c>
      <c r="E2813" s="16" t="n">
        <v>115.925</v>
      </c>
      <c r="F2813" s="7" t="n">
        <v>2</v>
      </c>
      <c r="G2813" s="5" t="n">
        <v>230</v>
      </c>
    </row>
    <row r="2814" customFormat="false" ht="15" hidden="false" customHeight="false" outlineLevel="0" collapsed="false">
      <c r="A2814" s="13" t="s">
        <v>61</v>
      </c>
      <c r="B2814" s="13" t="s">
        <v>183</v>
      </c>
      <c r="C2814" s="13" t="s">
        <v>5</v>
      </c>
      <c r="D2814" s="13" t="s">
        <v>1961</v>
      </c>
      <c r="E2814" s="16" t="n">
        <v>232.22</v>
      </c>
      <c r="F2814" s="7" t="n">
        <v>1</v>
      </c>
      <c r="G2814" s="5" t="n">
        <v>230</v>
      </c>
    </row>
    <row r="2815" customFormat="false" ht="15" hidden="false" customHeight="false" outlineLevel="0" collapsed="false">
      <c r="A2815" s="13" t="s">
        <v>103</v>
      </c>
      <c r="B2815" s="13" t="s">
        <v>43</v>
      </c>
      <c r="C2815" s="13" t="s">
        <v>4</v>
      </c>
      <c r="D2815" s="13" t="s">
        <v>1962</v>
      </c>
      <c r="E2815" s="16" t="n">
        <v>233.22</v>
      </c>
      <c r="F2815" s="7" t="n">
        <v>1</v>
      </c>
      <c r="G2815" s="5" t="n">
        <v>230</v>
      </c>
    </row>
    <row r="2816" customFormat="false" ht="15" hidden="false" customHeight="false" outlineLevel="0" collapsed="false">
      <c r="A2816" s="13" t="s">
        <v>155</v>
      </c>
      <c r="B2816" s="13" t="s">
        <v>43</v>
      </c>
      <c r="C2816" s="13" t="s">
        <v>5</v>
      </c>
      <c r="D2816" s="13" t="s">
        <v>1963</v>
      </c>
      <c r="E2816" s="16" t="n">
        <v>116.9</v>
      </c>
      <c r="F2816" s="7" t="n">
        <v>2</v>
      </c>
      <c r="G2816" s="5" t="n">
        <v>230</v>
      </c>
    </row>
    <row r="2817" customFormat="false" ht="15" hidden="false" customHeight="false" outlineLevel="0" collapsed="false">
      <c r="A2817" s="13" t="s">
        <v>255</v>
      </c>
      <c r="B2817" s="13" t="s">
        <v>43</v>
      </c>
      <c r="C2817" s="13" t="s">
        <v>4</v>
      </c>
      <c r="D2817" s="13" t="s">
        <v>1964</v>
      </c>
      <c r="E2817" s="16" t="n">
        <v>232.17</v>
      </c>
      <c r="F2817" s="7" t="n">
        <v>1</v>
      </c>
      <c r="G2817" s="5" t="n">
        <v>230</v>
      </c>
    </row>
    <row r="2818" customFormat="false" ht="15" hidden="false" customHeight="false" outlineLevel="0" collapsed="false">
      <c r="A2818" s="13" t="s">
        <v>103</v>
      </c>
      <c r="B2818" s="13" t="s">
        <v>43</v>
      </c>
      <c r="C2818" s="13" t="s">
        <v>4</v>
      </c>
      <c r="D2818" s="13" t="s">
        <v>576</v>
      </c>
      <c r="E2818" s="16" t="n">
        <v>233.22</v>
      </c>
      <c r="F2818" s="7" t="n">
        <v>1</v>
      </c>
      <c r="G2818" s="5" t="n">
        <v>230</v>
      </c>
    </row>
    <row r="2819" customFormat="false" ht="15" hidden="false" customHeight="false" outlineLevel="0" collapsed="false">
      <c r="A2819" s="13" t="s">
        <v>107</v>
      </c>
      <c r="B2819" s="13" t="s">
        <v>43</v>
      </c>
      <c r="C2819" s="13" t="s">
        <v>5</v>
      </c>
      <c r="D2819" s="13" t="s">
        <v>1965</v>
      </c>
      <c r="E2819" s="16" t="n">
        <v>116.1</v>
      </c>
      <c r="F2819" s="7" t="n">
        <v>2</v>
      </c>
      <c r="G2819" s="5" t="n">
        <v>230</v>
      </c>
    </row>
    <row r="2820" customFormat="false" ht="15" hidden="false" customHeight="false" outlineLevel="0" collapsed="false">
      <c r="A2820" s="13" t="s">
        <v>103</v>
      </c>
      <c r="B2820" s="13" t="s">
        <v>43</v>
      </c>
      <c r="C2820" s="13" t="s">
        <v>5</v>
      </c>
      <c r="D2820" s="13" t="s">
        <v>958</v>
      </c>
      <c r="E2820" s="16" t="n">
        <v>218.36</v>
      </c>
      <c r="F2820" s="7" t="n">
        <v>1</v>
      </c>
      <c r="G2820" s="5" t="n">
        <v>220</v>
      </c>
    </row>
    <row r="2821" customFormat="false" ht="15" hidden="false" customHeight="false" outlineLevel="0" collapsed="false">
      <c r="A2821" s="13" t="s">
        <v>103</v>
      </c>
      <c r="B2821" s="13" t="s">
        <v>43</v>
      </c>
      <c r="C2821" s="13" t="s">
        <v>5</v>
      </c>
      <c r="D2821" s="13" t="s">
        <v>786</v>
      </c>
      <c r="E2821" s="16" t="n">
        <v>217.99</v>
      </c>
      <c r="F2821" s="7" t="n">
        <v>1</v>
      </c>
      <c r="G2821" s="5" t="n">
        <v>220</v>
      </c>
    </row>
    <row r="2822" customFormat="false" ht="15" hidden="false" customHeight="false" outlineLevel="0" collapsed="false">
      <c r="A2822" s="13" t="s">
        <v>229</v>
      </c>
      <c r="B2822" s="13" t="s">
        <v>43</v>
      </c>
      <c r="C2822" s="13" t="s">
        <v>5</v>
      </c>
      <c r="D2822" s="13" t="s">
        <v>1966</v>
      </c>
      <c r="E2822" s="16" t="n">
        <v>224</v>
      </c>
      <c r="F2822" s="7" t="n">
        <v>1</v>
      </c>
      <c r="G2822" s="5" t="n">
        <v>220</v>
      </c>
    </row>
    <row r="2823" customFormat="false" ht="15" hidden="false" customHeight="false" outlineLevel="0" collapsed="false">
      <c r="A2823" s="13" t="s">
        <v>103</v>
      </c>
      <c r="B2823" s="13" t="s">
        <v>43</v>
      </c>
      <c r="C2823" s="13" t="s">
        <v>5</v>
      </c>
      <c r="D2823" s="13" t="s">
        <v>1967</v>
      </c>
      <c r="E2823" s="16" t="n">
        <v>223.92</v>
      </c>
      <c r="F2823" s="7" t="n">
        <v>1</v>
      </c>
      <c r="G2823" s="5" t="n">
        <v>220</v>
      </c>
    </row>
    <row r="2824" customFormat="false" ht="15" hidden="false" customHeight="false" outlineLevel="0" collapsed="false">
      <c r="A2824" s="13" t="s">
        <v>103</v>
      </c>
      <c r="B2824" s="13" t="s">
        <v>43</v>
      </c>
      <c r="C2824" s="13" t="s">
        <v>4</v>
      </c>
      <c r="D2824" s="13" t="s">
        <v>1968</v>
      </c>
      <c r="E2824" s="16" t="n">
        <v>217.38</v>
      </c>
      <c r="F2824" s="7" t="n">
        <v>1</v>
      </c>
      <c r="G2824" s="5" t="n">
        <v>220</v>
      </c>
    </row>
    <row r="2825" customFormat="false" ht="15" hidden="false" customHeight="false" outlineLevel="0" collapsed="false">
      <c r="A2825" s="13" t="s">
        <v>42</v>
      </c>
      <c r="B2825" s="13" t="s">
        <v>43</v>
      </c>
      <c r="C2825" s="13" t="s">
        <v>4</v>
      </c>
      <c r="D2825" s="13" t="s">
        <v>1969</v>
      </c>
      <c r="E2825" s="16" t="n">
        <v>221.08</v>
      </c>
      <c r="F2825" s="7" t="n">
        <v>1</v>
      </c>
      <c r="G2825" s="5" t="n">
        <v>220</v>
      </c>
    </row>
    <row r="2826" customFormat="false" ht="15" hidden="false" customHeight="false" outlineLevel="0" collapsed="false">
      <c r="A2826" s="13" t="s">
        <v>103</v>
      </c>
      <c r="B2826" s="13" t="s">
        <v>43</v>
      </c>
      <c r="C2826" s="13" t="s">
        <v>4</v>
      </c>
      <c r="D2826" s="13" t="s">
        <v>1970</v>
      </c>
      <c r="E2826" s="16" t="n">
        <v>224.25</v>
      </c>
      <c r="F2826" s="7" t="n">
        <v>1</v>
      </c>
      <c r="G2826" s="5" t="n">
        <v>220</v>
      </c>
    </row>
    <row r="2827" customFormat="false" ht="15" hidden="false" customHeight="false" outlineLevel="0" collapsed="false">
      <c r="A2827" s="13" t="s">
        <v>255</v>
      </c>
      <c r="B2827" s="13" t="s">
        <v>43</v>
      </c>
      <c r="C2827" s="13" t="s">
        <v>4</v>
      </c>
      <c r="D2827" s="13" t="s">
        <v>1971</v>
      </c>
      <c r="E2827" s="16" t="n">
        <v>215.88</v>
      </c>
      <c r="F2827" s="7" t="n">
        <v>1</v>
      </c>
      <c r="G2827" s="5" t="n">
        <v>220</v>
      </c>
    </row>
    <row r="2828" customFormat="false" ht="15" hidden="false" customHeight="false" outlineLevel="0" collapsed="false">
      <c r="A2828" s="13" t="s">
        <v>103</v>
      </c>
      <c r="B2828" s="13" t="s">
        <v>43</v>
      </c>
      <c r="C2828" s="13" t="s">
        <v>4</v>
      </c>
      <c r="D2828" s="13" t="s">
        <v>1972</v>
      </c>
      <c r="E2828" s="16" t="n">
        <v>215.85</v>
      </c>
      <c r="F2828" s="7" t="n">
        <v>1</v>
      </c>
      <c r="G2828" s="5" t="n">
        <v>220</v>
      </c>
    </row>
    <row r="2829" customFormat="false" ht="15" hidden="false" customHeight="false" outlineLevel="0" collapsed="false">
      <c r="A2829" s="13" t="s">
        <v>161</v>
      </c>
      <c r="B2829" s="13" t="s">
        <v>43</v>
      </c>
      <c r="C2829" s="13" t="s">
        <v>4</v>
      </c>
      <c r="D2829" s="13" t="s">
        <v>1973</v>
      </c>
      <c r="E2829" s="16" t="n">
        <v>215.7</v>
      </c>
      <c r="F2829" s="7" t="n">
        <v>1</v>
      </c>
      <c r="G2829" s="5" t="n">
        <v>220</v>
      </c>
    </row>
    <row r="2830" customFormat="false" ht="15" hidden="false" customHeight="false" outlineLevel="0" collapsed="false">
      <c r="A2830" s="13" t="s">
        <v>630</v>
      </c>
      <c r="B2830" s="13" t="s">
        <v>85</v>
      </c>
      <c r="C2830" s="13" t="s">
        <v>4</v>
      </c>
      <c r="D2830" s="13" t="s">
        <v>1974</v>
      </c>
      <c r="E2830" s="16" t="n">
        <v>215.28</v>
      </c>
      <c r="F2830" s="7" t="n">
        <v>1</v>
      </c>
      <c r="G2830" s="5" t="n">
        <v>220</v>
      </c>
    </row>
    <row r="2831" customFormat="false" ht="15" hidden="false" customHeight="false" outlineLevel="0" collapsed="false">
      <c r="A2831" s="13" t="s">
        <v>630</v>
      </c>
      <c r="B2831" s="13" t="s">
        <v>43</v>
      </c>
      <c r="C2831" s="13" t="s">
        <v>4</v>
      </c>
      <c r="D2831" s="13" t="s">
        <v>1975</v>
      </c>
      <c r="E2831" s="16" t="n">
        <v>210.9</v>
      </c>
      <c r="F2831" s="7" t="n">
        <v>1</v>
      </c>
      <c r="G2831" s="5" t="n">
        <v>210</v>
      </c>
    </row>
    <row r="2832" customFormat="false" ht="15" hidden="false" customHeight="false" outlineLevel="0" collapsed="false">
      <c r="A2832" s="13" t="s">
        <v>630</v>
      </c>
      <c r="B2832" s="13" t="s">
        <v>85</v>
      </c>
      <c r="C2832" s="13" t="s">
        <v>4</v>
      </c>
      <c r="D2832" s="13" t="s">
        <v>1976</v>
      </c>
      <c r="E2832" s="16" t="n">
        <v>205.48</v>
      </c>
      <c r="F2832" s="7" t="n">
        <v>1</v>
      </c>
      <c r="G2832" s="5" t="n">
        <v>210</v>
      </c>
    </row>
    <row r="2833" customFormat="false" ht="15" hidden="false" customHeight="false" outlineLevel="0" collapsed="false">
      <c r="A2833" s="13" t="s">
        <v>103</v>
      </c>
      <c r="B2833" s="13" t="s">
        <v>43</v>
      </c>
      <c r="C2833" s="13" t="s">
        <v>4</v>
      </c>
      <c r="D2833" s="13" t="s">
        <v>1977</v>
      </c>
      <c r="E2833" s="16" t="n">
        <v>206.31</v>
      </c>
      <c r="F2833" s="7" t="n">
        <v>1</v>
      </c>
      <c r="G2833" s="5" t="n">
        <v>210</v>
      </c>
    </row>
    <row r="2834" customFormat="false" ht="15" hidden="false" customHeight="false" outlineLevel="0" collapsed="false">
      <c r="A2834" s="13" t="s">
        <v>59</v>
      </c>
      <c r="B2834" s="13" t="s">
        <v>43</v>
      </c>
      <c r="C2834" s="13" t="s">
        <v>3</v>
      </c>
      <c r="D2834" s="13" t="s">
        <v>1463</v>
      </c>
      <c r="E2834" s="16" t="n">
        <v>209.99</v>
      </c>
      <c r="F2834" s="7" t="n">
        <v>1</v>
      </c>
      <c r="G2834" s="5" t="n">
        <v>210</v>
      </c>
    </row>
    <row r="2835" customFormat="false" ht="15" hidden="false" customHeight="false" outlineLevel="0" collapsed="false">
      <c r="A2835" s="13" t="s">
        <v>179</v>
      </c>
      <c r="B2835" s="13" t="s">
        <v>180</v>
      </c>
      <c r="C2835" s="13" t="s">
        <v>3</v>
      </c>
      <c r="D2835" s="13" t="s">
        <v>1978</v>
      </c>
      <c r="E2835" s="16" t="n">
        <v>209</v>
      </c>
      <c r="F2835" s="7" t="n">
        <v>1</v>
      </c>
      <c r="G2835" s="5" t="n">
        <v>210</v>
      </c>
    </row>
    <row r="2836" customFormat="false" ht="15" hidden="false" customHeight="false" outlineLevel="0" collapsed="false">
      <c r="A2836" s="13" t="s">
        <v>103</v>
      </c>
      <c r="B2836" s="13" t="s">
        <v>43</v>
      </c>
      <c r="C2836" s="13" t="s">
        <v>5</v>
      </c>
      <c r="D2836" s="13" t="s">
        <v>1979</v>
      </c>
      <c r="E2836" s="16" t="n">
        <v>207.76</v>
      </c>
      <c r="F2836" s="7" t="n">
        <v>1</v>
      </c>
      <c r="G2836" s="5" t="n">
        <v>210</v>
      </c>
    </row>
    <row r="2837" customFormat="false" ht="15" hidden="false" customHeight="false" outlineLevel="0" collapsed="false">
      <c r="A2837" s="13" t="s">
        <v>42</v>
      </c>
      <c r="B2837" s="13" t="s">
        <v>43</v>
      </c>
      <c r="C2837" s="13" t="s">
        <v>5</v>
      </c>
      <c r="D2837" s="13" t="s">
        <v>873</v>
      </c>
      <c r="E2837" s="16" t="n">
        <v>207.65</v>
      </c>
      <c r="F2837" s="7" t="n">
        <v>1</v>
      </c>
      <c r="G2837" s="5" t="n">
        <v>210</v>
      </c>
    </row>
    <row r="2838" customFormat="false" ht="15" hidden="false" customHeight="false" outlineLevel="0" collapsed="false">
      <c r="A2838" s="13" t="s">
        <v>59</v>
      </c>
      <c r="B2838" s="13" t="s">
        <v>43</v>
      </c>
      <c r="C2838" s="13" t="s">
        <v>5</v>
      </c>
      <c r="D2838" s="13" t="s">
        <v>1887</v>
      </c>
      <c r="E2838" s="16" t="n">
        <v>210.85</v>
      </c>
      <c r="F2838" s="7" t="n">
        <v>1</v>
      </c>
      <c r="G2838" s="5" t="n">
        <v>210</v>
      </c>
    </row>
    <row r="2839" customFormat="false" ht="15" hidden="false" customHeight="false" outlineLevel="0" collapsed="false">
      <c r="A2839" s="13" t="s">
        <v>107</v>
      </c>
      <c r="B2839" s="13" t="s">
        <v>43</v>
      </c>
      <c r="C2839" s="13" t="s">
        <v>5</v>
      </c>
      <c r="D2839" s="13" t="s">
        <v>1980</v>
      </c>
      <c r="E2839" s="16" t="n">
        <v>208.85</v>
      </c>
      <c r="F2839" s="7" t="n">
        <v>1</v>
      </c>
      <c r="G2839" s="5" t="n">
        <v>210</v>
      </c>
    </row>
    <row r="2840" customFormat="false" ht="15" hidden="false" customHeight="false" outlineLevel="0" collapsed="false">
      <c r="A2840" s="13" t="s">
        <v>103</v>
      </c>
      <c r="B2840" s="13" t="s">
        <v>43</v>
      </c>
      <c r="C2840" s="13" t="s">
        <v>5</v>
      </c>
      <c r="D2840" s="13" t="s">
        <v>1102</v>
      </c>
      <c r="E2840" s="16" t="n">
        <v>212.16</v>
      </c>
      <c r="F2840" s="7" t="n">
        <v>1</v>
      </c>
      <c r="G2840" s="5" t="n">
        <v>210</v>
      </c>
    </row>
    <row r="2841" customFormat="false" ht="15" hidden="false" customHeight="false" outlineLevel="0" collapsed="false">
      <c r="A2841" s="13" t="s">
        <v>630</v>
      </c>
      <c r="B2841" s="13" t="s">
        <v>43</v>
      </c>
      <c r="C2841" s="13" t="s">
        <v>5</v>
      </c>
      <c r="D2841" s="13" t="s">
        <v>1981</v>
      </c>
      <c r="E2841" s="16" t="n">
        <v>211.52</v>
      </c>
      <c r="F2841" s="7" t="n">
        <v>1</v>
      </c>
      <c r="G2841" s="5" t="n">
        <v>210</v>
      </c>
    </row>
    <row r="2842" customFormat="false" ht="15" hidden="false" customHeight="false" outlineLevel="0" collapsed="false">
      <c r="A2842" s="13" t="s">
        <v>107</v>
      </c>
      <c r="B2842" s="13" t="s">
        <v>43</v>
      </c>
      <c r="C2842" s="13" t="s">
        <v>5</v>
      </c>
      <c r="D2842" s="13" t="s">
        <v>1982</v>
      </c>
      <c r="E2842" s="16" t="n">
        <v>199.11</v>
      </c>
      <c r="F2842" s="7" t="n">
        <v>1</v>
      </c>
      <c r="G2842" s="5" t="n">
        <v>200</v>
      </c>
    </row>
    <row r="2843" customFormat="false" ht="15" hidden="false" customHeight="false" outlineLevel="0" collapsed="false">
      <c r="A2843" s="13" t="s">
        <v>103</v>
      </c>
      <c r="B2843" s="13" t="s">
        <v>43</v>
      </c>
      <c r="C2843" s="13" t="s">
        <v>5</v>
      </c>
      <c r="D2843" s="13" t="s">
        <v>1983</v>
      </c>
      <c r="E2843" s="16" t="n">
        <v>203.14</v>
      </c>
      <c r="F2843" s="7" t="n">
        <v>1</v>
      </c>
      <c r="G2843" s="5" t="n">
        <v>200</v>
      </c>
    </row>
    <row r="2844" customFormat="false" ht="15" hidden="false" customHeight="false" outlineLevel="0" collapsed="false">
      <c r="A2844" s="13" t="s">
        <v>103</v>
      </c>
      <c r="B2844" s="13" t="s">
        <v>43</v>
      </c>
      <c r="C2844" s="13" t="s">
        <v>5</v>
      </c>
      <c r="D2844" s="13" t="s">
        <v>1984</v>
      </c>
      <c r="E2844" s="16" t="n">
        <v>204.47</v>
      </c>
      <c r="F2844" s="7" t="n">
        <v>1</v>
      </c>
      <c r="G2844" s="5" t="n">
        <v>200</v>
      </c>
    </row>
    <row r="2845" customFormat="false" ht="15" hidden="false" customHeight="false" outlineLevel="0" collapsed="false">
      <c r="A2845" s="13" t="s">
        <v>103</v>
      </c>
      <c r="B2845" s="13" t="s">
        <v>43</v>
      </c>
      <c r="C2845" s="13" t="s">
        <v>5</v>
      </c>
      <c r="D2845" s="13" t="s">
        <v>1985</v>
      </c>
      <c r="E2845" s="16" t="n">
        <v>198.53</v>
      </c>
      <c r="F2845" s="7" t="n">
        <v>1</v>
      </c>
      <c r="G2845" s="5" t="n">
        <v>200</v>
      </c>
    </row>
    <row r="2846" customFormat="false" ht="15" hidden="false" customHeight="false" outlineLevel="0" collapsed="false">
      <c r="A2846" s="13" t="s">
        <v>103</v>
      </c>
      <c r="B2846" s="13" t="s">
        <v>43</v>
      </c>
      <c r="C2846" s="13" t="s">
        <v>5</v>
      </c>
      <c r="D2846" s="13" t="s">
        <v>1986</v>
      </c>
      <c r="E2846" s="16" t="n">
        <v>204.56</v>
      </c>
      <c r="F2846" s="7" t="n">
        <v>1</v>
      </c>
      <c r="G2846" s="5" t="n">
        <v>200</v>
      </c>
    </row>
    <row r="2847" customFormat="false" ht="15" hidden="false" customHeight="false" outlineLevel="0" collapsed="false">
      <c r="A2847" s="13" t="s">
        <v>233</v>
      </c>
      <c r="B2847" s="13" t="s">
        <v>57</v>
      </c>
      <c r="C2847" s="13" t="s">
        <v>3</v>
      </c>
      <c r="D2847" s="13" t="s">
        <v>1987</v>
      </c>
      <c r="E2847" s="16" t="n">
        <v>199.99</v>
      </c>
      <c r="F2847" s="7" t="n">
        <v>1</v>
      </c>
      <c r="G2847" s="5" t="n">
        <v>200</v>
      </c>
    </row>
    <row r="2848" customFormat="false" ht="15" hidden="false" customHeight="false" outlineLevel="0" collapsed="false">
      <c r="A2848" s="13" t="s">
        <v>121</v>
      </c>
      <c r="B2848" s="13" t="s">
        <v>43</v>
      </c>
      <c r="C2848" s="13" t="s">
        <v>5</v>
      </c>
      <c r="D2848" s="13" t="s">
        <v>1988</v>
      </c>
      <c r="E2848" s="16" t="n">
        <v>195.65</v>
      </c>
      <c r="F2848" s="7" t="n">
        <v>1</v>
      </c>
      <c r="G2848" s="5" t="n">
        <v>200</v>
      </c>
    </row>
    <row r="2849" customFormat="false" ht="15" hidden="false" customHeight="false" outlineLevel="0" collapsed="false">
      <c r="A2849" s="13" t="s">
        <v>103</v>
      </c>
      <c r="B2849" s="13" t="s">
        <v>43</v>
      </c>
      <c r="C2849" s="13" t="s">
        <v>4</v>
      </c>
      <c r="D2849" s="13" t="s">
        <v>1989</v>
      </c>
      <c r="E2849" s="16" t="n">
        <v>203.67</v>
      </c>
      <c r="F2849" s="7" t="n">
        <v>1</v>
      </c>
      <c r="G2849" s="5" t="n">
        <v>200</v>
      </c>
    </row>
    <row r="2850" customFormat="false" ht="15" hidden="false" customHeight="false" outlineLevel="0" collapsed="false">
      <c r="A2850" s="13" t="s">
        <v>179</v>
      </c>
      <c r="B2850" s="13" t="s">
        <v>180</v>
      </c>
      <c r="C2850" s="13" t="s">
        <v>3</v>
      </c>
      <c r="D2850" s="13" t="s">
        <v>1990</v>
      </c>
      <c r="E2850" s="16" t="n">
        <v>199</v>
      </c>
      <c r="F2850" s="7" t="n">
        <v>1</v>
      </c>
      <c r="G2850" s="5" t="n">
        <v>200</v>
      </c>
    </row>
    <row r="2851" customFormat="false" ht="15" hidden="false" customHeight="false" outlineLevel="0" collapsed="false">
      <c r="A2851" s="13" t="s">
        <v>121</v>
      </c>
      <c r="B2851" s="13" t="s">
        <v>43</v>
      </c>
      <c r="C2851" s="13" t="s">
        <v>5</v>
      </c>
      <c r="D2851" s="13" t="s">
        <v>1991</v>
      </c>
      <c r="E2851" s="16" t="n">
        <v>204.85</v>
      </c>
      <c r="F2851" s="7" t="n">
        <v>1</v>
      </c>
      <c r="G2851" s="5" t="n">
        <v>200</v>
      </c>
    </row>
    <row r="2852" customFormat="false" ht="15" hidden="false" customHeight="false" outlineLevel="0" collapsed="false">
      <c r="A2852" s="13" t="s">
        <v>121</v>
      </c>
      <c r="B2852" s="13" t="s">
        <v>43</v>
      </c>
      <c r="C2852" s="13" t="s">
        <v>5</v>
      </c>
      <c r="D2852" s="13" t="s">
        <v>1988</v>
      </c>
      <c r="E2852" s="16" t="n">
        <v>204.85</v>
      </c>
      <c r="F2852" s="7" t="n">
        <v>1</v>
      </c>
      <c r="G2852" s="5" t="n">
        <v>200</v>
      </c>
    </row>
    <row r="2853" customFormat="false" ht="15" hidden="false" customHeight="false" outlineLevel="0" collapsed="false">
      <c r="A2853" s="13" t="s">
        <v>630</v>
      </c>
      <c r="B2853" s="13" t="s">
        <v>43</v>
      </c>
      <c r="C2853" s="13" t="s">
        <v>5</v>
      </c>
      <c r="D2853" s="13" t="s">
        <v>1992</v>
      </c>
      <c r="E2853" s="16" t="n">
        <v>204.88</v>
      </c>
      <c r="F2853" s="7" t="n">
        <v>1</v>
      </c>
      <c r="G2853" s="5" t="n">
        <v>200</v>
      </c>
    </row>
    <row r="2854" customFormat="false" ht="15" hidden="false" customHeight="false" outlineLevel="0" collapsed="false">
      <c r="A2854" s="13" t="s">
        <v>121</v>
      </c>
      <c r="B2854" s="13" t="s">
        <v>43</v>
      </c>
      <c r="C2854" s="13" t="s">
        <v>5</v>
      </c>
      <c r="D2854" s="13" t="s">
        <v>1993</v>
      </c>
      <c r="E2854" s="16" t="n">
        <v>194</v>
      </c>
      <c r="F2854" s="7" t="n">
        <v>1</v>
      </c>
      <c r="G2854" s="5" t="n">
        <v>190</v>
      </c>
    </row>
    <row r="2855" customFormat="false" ht="15" hidden="false" customHeight="false" outlineLevel="0" collapsed="false">
      <c r="A2855" s="13" t="s">
        <v>630</v>
      </c>
      <c r="B2855" s="13" t="s">
        <v>43</v>
      </c>
      <c r="C2855" s="13" t="s">
        <v>5</v>
      </c>
      <c r="D2855" s="13" t="s">
        <v>1994</v>
      </c>
      <c r="E2855" s="16" t="n">
        <v>190.98</v>
      </c>
      <c r="F2855" s="7" t="n">
        <v>1</v>
      </c>
      <c r="G2855" s="5" t="n">
        <v>190</v>
      </c>
    </row>
    <row r="2856" customFormat="false" ht="15" hidden="false" customHeight="false" outlineLevel="0" collapsed="false">
      <c r="A2856" s="13" t="s">
        <v>155</v>
      </c>
      <c r="B2856" s="13" t="s">
        <v>43</v>
      </c>
      <c r="C2856" s="13" t="s">
        <v>5</v>
      </c>
      <c r="D2856" s="13" t="s">
        <v>1995</v>
      </c>
      <c r="E2856" s="16" t="n">
        <v>95.29</v>
      </c>
      <c r="F2856" s="7" t="n">
        <v>2</v>
      </c>
      <c r="G2856" s="5" t="n">
        <v>190</v>
      </c>
    </row>
    <row r="2857" customFormat="false" ht="15" hidden="false" customHeight="false" outlineLevel="0" collapsed="false">
      <c r="A2857" s="13" t="s">
        <v>107</v>
      </c>
      <c r="B2857" s="13" t="s">
        <v>43</v>
      </c>
      <c r="C2857" s="13" t="s">
        <v>5</v>
      </c>
      <c r="D2857" s="13" t="s">
        <v>1996</v>
      </c>
      <c r="E2857" s="16" t="n">
        <v>97.16</v>
      </c>
      <c r="F2857" s="7" t="n">
        <v>2</v>
      </c>
      <c r="G2857" s="5" t="n">
        <v>190</v>
      </c>
    </row>
    <row r="2858" customFormat="false" ht="15" hidden="false" customHeight="false" outlineLevel="0" collapsed="false">
      <c r="A2858" s="13" t="s">
        <v>107</v>
      </c>
      <c r="B2858" s="13" t="s">
        <v>43</v>
      </c>
      <c r="C2858" s="13" t="s">
        <v>5</v>
      </c>
      <c r="D2858" s="13" t="s">
        <v>1997</v>
      </c>
      <c r="E2858" s="16" t="n">
        <v>190.01</v>
      </c>
      <c r="F2858" s="7" t="n">
        <v>1</v>
      </c>
      <c r="G2858" s="5" t="n">
        <v>190</v>
      </c>
    </row>
    <row r="2859" customFormat="false" ht="15" hidden="false" customHeight="false" outlineLevel="0" collapsed="false">
      <c r="A2859" s="13" t="s">
        <v>121</v>
      </c>
      <c r="B2859" s="13" t="s">
        <v>43</v>
      </c>
      <c r="C2859" s="13" t="s">
        <v>5</v>
      </c>
      <c r="D2859" s="13" t="s">
        <v>1998</v>
      </c>
      <c r="E2859" s="16" t="n">
        <v>189.06</v>
      </c>
      <c r="F2859" s="7" t="n">
        <v>1</v>
      </c>
      <c r="G2859" s="5" t="n">
        <v>190</v>
      </c>
    </row>
    <row r="2860" customFormat="false" ht="15" hidden="false" customHeight="false" outlineLevel="0" collapsed="false">
      <c r="A2860" s="13" t="s">
        <v>630</v>
      </c>
      <c r="B2860" s="13" t="s">
        <v>43</v>
      </c>
      <c r="C2860" s="13" t="s">
        <v>5</v>
      </c>
      <c r="D2860" s="13" t="s">
        <v>1284</v>
      </c>
      <c r="E2860" s="16" t="n">
        <v>185.54</v>
      </c>
      <c r="F2860" s="7" t="n">
        <v>1</v>
      </c>
      <c r="G2860" s="5" t="n">
        <v>190</v>
      </c>
    </row>
    <row r="2861" customFormat="false" ht="15" hidden="false" customHeight="false" outlineLevel="0" collapsed="false">
      <c r="A2861" s="13" t="s">
        <v>121</v>
      </c>
      <c r="B2861" s="13" t="s">
        <v>43</v>
      </c>
      <c r="C2861" s="13" t="s">
        <v>5</v>
      </c>
      <c r="D2861" s="13" t="s">
        <v>1851</v>
      </c>
      <c r="E2861" s="16" t="n">
        <v>187.96</v>
      </c>
      <c r="F2861" s="7" t="n">
        <v>1</v>
      </c>
      <c r="G2861" s="5" t="n">
        <v>190</v>
      </c>
    </row>
    <row r="2862" customFormat="false" ht="15" hidden="false" customHeight="false" outlineLevel="0" collapsed="false">
      <c r="A2862" s="13" t="s">
        <v>103</v>
      </c>
      <c r="B2862" s="13" t="s">
        <v>43</v>
      </c>
      <c r="C2862" s="13" t="s">
        <v>5</v>
      </c>
      <c r="D2862" s="13" t="s">
        <v>1999</v>
      </c>
      <c r="E2862" s="16" t="n">
        <v>194.48</v>
      </c>
      <c r="F2862" s="7" t="n">
        <v>1</v>
      </c>
      <c r="G2862" s="5" t="n">
        <v>190</v>
      </c>
    </row>
    <row r="2863" customFormat="false" ht="15" hidden="false" customHeight="false" outlineLevel="0" collapsed="false">
      <c r="A2863" s="13" t="s">
        <v>126</v>
      </c>
      <c r="B2863" s="13" t="s">
        <v>43</v>
      </c>
      <c r="C2863" s="13" t="s">
        <v>4</v>
      </c>
      <c r="D2863" s="13" t="s">
        <v>2000</v>
      </c>
      <c r="E2863" s="16" t="n">
        <v>188.81</v>
      </c>
      <c r="F2863" s="7" t="n">
        <v>1</v>
      </c>
      <c r="G2863" s="5" t="n">
        <v>190</v>
      </c>
    </row>
    <row r="2864" customFormat="false" ht="15" hidden="false" customHeight="false" outlineLevel="0" collapsed="false">
      <c r="A2864" s="13" t="s">
        <v>103</v>
      </c>
      <c r="B2864" s="13" t="s">
        <v>43</v>
      </c>
      <c r="C2864" s="13" t="s">
        <v>5</v>
      </c>
      <c r="D2864" s="13" t="s">
        <v>2001</v>
      </c>
      <c r="E2864" s="16" t="n">
        <v>190</v>
      </c>
      <c r="F2864" s="7" t="n">
        <v>1</v>
      </c>
      <c r="G2864" s="5" t="n">
        <v>190</v>
      </c>
    </row>
    <row r="2865" customFormat="false" ht="15" hidden="false" customHeight="false" outlineLevel="0" collapsed="false">
      <c r="A2865" s="13" t="s">
        <v>103</v>
      </c>
      <c r="B2865" s="13" t="s">
        <v>43</v>
      </c>
      <c r="C2865" s="13" t="s">
        <v>5</v>
      </c>
      <c r="D2865" s="13" t="s">
        <v>511</v>
      </c>
      <c r="E2865" s="16" t="n">
        <v>190</v>
      </c>
      <c r="F2865" s="7" t="n">
        <v>1</v>
      </c>
      <c r="G2865" s="5" t="n">
        <v>190</v>
      </c>
    </row>
    <row r="2866" customFormat="false" ht="15" hidden="false" customHeight="false" outlineLevel="0" collapsed="false">
      <c r="A2866" s="13" t="s">
        <v>107</v>
      </c>
      <c r="B2866" s="13" t="s">
        <v>43</v>
      </c>
      <c r="C2866" s="13" t="s">
        <v>5</v>
      </c>
      <c r="D2866" s="13" t="s">
        <v>2002</v>
      </c>
      <c r="E2866" s="16" t="n">
        <v>185.85</v>
      </c>
      <c r="F2866" s="7" t="n">
        <v>1</v>
      </c>
      <c r="G2866" s="5" t="n">
        <v>190</v>
      </c>
    </row>
    <row r="2867" customFormat="false" ht="15" hidden="false" customHeight="false" outlineLevel="0" collapsed="false">
      <c r="A2867" s="13" t="s">
        <v>255</v>
      </c>
      <c r="B2867" s="13" t="s">
        <v>43</v>
      </c>
      <c r="C2867" s="13" t="s">
        <v>3</v>
      </c>
      <c r="D2867" s="13" t="s">
        <v>2003</v>
      </c>
      <c r="E2867" s="16" t="n">
        <v>189.99</v>
      </c>
      <c r="F2867" s="7" t="n">
        <v>1</v>
      </c>
      <c r="G2867" s="5" t="n">
        <v>190</v>
      </c>
    </row>
    <row r="2868" customFormat="false" ht="15" hidden="false" customHeight="false" outlineLevel="0" collapsed="false">
      <c r="A2868" s="13" t="s">
        <v>59</v>
      </c>
      <c r="B2868" s="13" t="s">
        <v>43</v>
      </c>
      <c r="C2868" s="13" t="s">
        <v>5</v>
      </c>
      <c r="D2868" s="13" t="s">
        <v>1813</v>
      </c>
      <c r="E2868" s="16" t="n">
        <v>187.44</v>
      </c>
      <c r="F2868" s="7" t="n">
        <v>1</v>
      </c>
      <c r="G2868" s="5" t="n">
        <v>190</v>
      </c>
    </row>
    <row r="2869" customFormat="false" ht="15" hidden="false" customHeight="false" outlineLevel="0" collapsed="false">
      <c r="A2869" s="13" t="s">
        <v>121</v>
      </c>
      <c r="B2869" s="13" t="s">
        <v>43</v>
      </c>
      <c r="C2869" s="13" t="s">
        <v>5</v>
      </c>
      <c r="D2869" s="13" t="s">
        <v>1822</v>
      </c>
      <c r="E2869" s="16" t="n">
        <v>175.86</v>
      </c>
      <c r="F2869" s="7" t="n">
        <v>1</v>
      </c>
      <c r="G2869" s="5" t="n">
        <v>180</v>
      </c>
    </row>
    <row r="2870" customFormat="false" ht="15" hidden="false" customHeight="false" outlineLevel="0" collapsed="false">
      <c r="A2870" s="13" t="s">
        <v>103</v>
      </c>
      <c r="B2870" s="13" t="s">
        <v>43</v>
      </c>
      <c r="C2870" s="13" t="s">
        <v>5</v>
      </c>
      <c r="D2870" s="13" t="s">
        <v>511</v>
      </c>
      <c r="E2870" s="16" t="n">
        <v>175.64</v>
      </c>
      <c r="F2870" s="7" t="n">
        <v>1</v>
      </c>
      <c r="G2870" s="5" t="n">
        <v>180</v>
      </c>
    </row>
    <row r="2871" customFormat="false" ht="15" hidden="false" customHeight="false" outlineLevel="0" collapsed="false">
      <c r="A2871" s="13" t="s">
        <v>121</v>
      </c>
      <c r="B2871" s="13" t="s">
        <v>183</v>
      </c>
      <c r="C2871" s="13" t="s">
        <v>5</v>
      </c>
      <c r="D2871" s="13" t="s">
        <v>2004</v>
      </c>
      <c r="E2871" s="16" t="n">
        <v>59.4133333333333</v>
      </c>
      <c r="F2871" s="7" t="n">
        <v>2</v>
      </c>
      <c r="G2871" s="5" t="n">
        <v>180</v>
      </c>
    </row>
    <row r="2872" customFormat="false" ht="15" hidden="false" customHeight="false" outlineLevel="0" collapsed="false">
      <c r="A2872" s="13" t="s">
        <v>630</v>
      </c>
      <c r="B2872" s="13" t="s">
        <v>43</v>
      </c>
      <c r="C2872" s="13" t="s">
        <v>5</v>
      </c>
      <c r="D2872" s="13" t="s">
        <v>2005</v>
      </c>
      <c r="E2872" s="16" t="n">
        <v>176</v>
      </c>
      <c r="F2872" s="7" t="n">
        <v>1</v>
      </c>
      <c r="G2872" s="5" t="n">
        <v>180</v>
      </c>
    </row>
    <row r="2873" customFormat="false" ht="15" hidden="false" customHeight="false" outlineLevel="0" collapsed="false">
      <c r="A2873" s="13" t="s">
        <v>103</v>
      </c>
      <c r="B2873" s="13" t="s">
        <v>43</v>
      </c>
      <c r="C2873" s="13" t="s">
        <v>5</v>
      </c>
      <c r="D2873" s="13" t="s">
        <v>576</v>
      </c>
      <c r="E2873" s="16" t="n">
        <v>175</v>
      </c>
      <c r="F2873" s="7" t="n">
        <v>1</v>
      </c>
      <c r="G2873" s="5" t="n">
        <v>180</v>
      </c>
    </row>
    <row r="2874" customFormat="false" ht="15" hidden="false" customHeight="false" outlineLevel="0" collapsed="false">
      <c r="A2874" s="13" t="s">
        <v>490</v>
      </c>
      <c r="B2874" s="13" t="s">
        <v>43</v>
      </c>
      <c r="C2874" s="13" t="s">
        <v>5</v>
      </c>
      <c r="D2874" s="13" t="s">
        <v>2006</v>
      </c>
      <c r="E2874" s="16" t="n">
        <v>178.85</v>
      </c>
      <c r="F2874" s="7" t="n">
        <v>1</v>
      </c>
      <c r="G2874" s="5" t="n">
        <v>180</v>
      </c>
    </row>
    <row r="2875" customFormat="false" ht="15" hidden="false" customHeight="false" outlineLevel="0" collapsed="false">
      <c r="A2875" s="13" t="s">
        <v>121</v>
      </c>
      <c r="B2875" s="13" t="s">
        <v>43</v>
      </c>
      <c r="C2875" s="13" t="s">
        <v>5</v>
      </c>
      <c r="D2875" s="13" t="s">
        <v>2007</v>
      </c>
      <c r="E2875" s="16" t="n">
        <v>179.14</v>
      </c>
      <c r="F2875" s="7" t="n">
        <v>1</v>
      </c>
      <c r="G2875" s="5" t="n">
        <v>180</v>
      </c>
    </row>
    <row r="2876" customFormat="false" ht="15" hidden="false" customHeight="false" outlineLevel="0" collapsed="false">
      <c r="A2876" s="13" t="s">
        <v>121</v>
      </c>
      <c r="B2876" s="13" t="s">
        <v>183</v>
      </c>
      <c r="C2876" s="13" t="s">
        <v>5</v>
      </c>
      <c r="D2876" s="13" t="s">
        <v>2008</v>
      </c>
      <c r="E2876" s="16" t="n">
        <v>89.685</v>
      </c>
      <c r="F2876" s="7" t="n">
        <v>2</v>
      </c>
      <c r="G2876" s="5" t="n">
        <v>180</v>
      </c>
    </row>
    <row r="2877" customFormat="false" ht="15" hidden="false" customHeight="false" outlineLevel="0" collapsed="false">
      <c r="A2877" s="13" t="s">
        <v>59</v>
      </c>
      <c r="B2877" s="13" t="s">
        <v>43</v>
      </c>
      <c r="C2877" s="13" t="s">
        <v>5</v>
      </c>
      <c r="D2877" s="13" t="s">
        <v>1818</v>
      </c>
      <c r="E2877" s="16" t="n">
        <v>182</v>
      </c>
      <c r="F2877" s="7" t="n">
        <v>1</v>
      </c>
      <c r="G2877" s="5" t="n">
        <v>180</v>
      </c>
    </row>
    <row r="2878" customFormat="false" ht="15" hidden="false" customHeight="false" outlineLevel="0" collapsed="false">
      <c r="A2878" s="13" t="s">
        <v>121</v>
      </c>
      <c r="B2878" s="13" t="s">
        <v>43</v>
      </c>
      <c r="C2878" s="13" t="s">
        <v>5</v>
      </c>
      <c r="D2878" s="13" t="s">
        <v>2009</v>
      </c>
      <c r="E2878" s="16" t="n">
        <v>183.18</v>
      </c>
      <c r="F2878" s="7" t="n">
        <v>1</v>
      </c>
      <c r="G2878" s="5" t="n">
        <v>180</v>
      </c>
    </row>
    <row r="2879" customFormat="false" ht="15" hidden="false" customHeight="false" outlineLevel="0" collapsed="false">
      <c r="A2879" s="13" t="s">
        <v>121</v>
      </c>
      <c r="B2879" s="13" t="s">
        <v>43</v>
      </c>
      <c r="C2879" s="13" t="s">
        <v>5</v>
      </c>
      <c r="D2879" s="13" t="s">
        <v>2010</v>
      </c>
      <c r="E2879" s="16" t="n">
        <v>178.46</v>
      </c>
      <c r="F2879" s="7" t="n">
        <v>1</v>
      </c>
      <c r="G2879" s="5" t="n">
        <v>180</v>
      </c>
    </row>
    <row r="2880" customFormat="false" ht="15" hidden="false" customHeight="false" outlineLevel="0" collapsed="false">
      <c r="A2880" s="13" t="s">
        <v>103</v>
      </c>
      <c r="B2880" s="13" t="s">
        <v>43</v>
      </c>
      <c r="C2880" s="13" t="s">
        <v>5</v>
      </c>
      <c r="D2880" s="13" t="s">
        <v>707</v>
      </c>
      <c r="E2880" s="16" t="n">
        <v>177</v>
      </c>
      <c r="F2880" s="7" t="n">
        <v>1</v>
      </c>
      <c r="G2880" s="5" t="n">
        <v>180</v>
      </c>
    </row>
    <row r="2881" customFormat="false" ht="15" hidden="false" customHeight="false" outlineLevel="0" collapsed="false">
      <c r="A2881" s="13" t="s">
        <v>103</v>
      </c>
      <c r="B2881" s="13" t="s">
        <v>43</v>
      </c>
      <c r="C2881" s="13" t="s">
        <v>5</v>
      </c>
      <c r="D2881" s="13" t="s">
        <v>2011</v>
      </c>
      <c r="E2881" s="16" t="n">
        <v>175</v>
      </c>
      <c r="F2881" s="7" t="n">
        <v>1</v>
      </c>
      <c r="G2881" s="5" t="n">
        <v>180</v>
      </c>
    </row>
    <row r="2882" customFormat="false" ht="15" hidden="false" customHeight="false" outlineLevel="0" collapsed="false">
      <c r="A2882" s="13" t="s">
        <v>126</v>
      </c>
      <c r="B2882" s="13" t="s">
        <v>43</v>
      </c>
      <c r="C2882" s="13" t="s">
        <v>5</v>
      </c>
      <c r="D2882" s="13" t="s">
        <v>485</v>
      </c>
      <c r="E2882" s="16" t="n">
        <v>169</v>
      </c>
      <c r="F2882" s="7" t="n">
        <v>1</v>
      </c>
      <c r="G2882" s="5" t="n">
        <v>170</v>
      </c>
    </row>
    <row r="2883" customFormat="false" ht="15" hidden="false" customHeight="false" outlineLevel="0" collapsed="false">
      <c r="A2883" s="13" t="s">
        <v>121</v>
      </c>
      <c r="B2883" s="13" t="s">
        <v>43</v>
      </c>
      <c r="C2883" s="13" t="s">
        <v>5</v>
      </c>
      <c r="D2883" s="13" t="s">
        <v>2012</v>
      </c>
      <c r="E2883" s="16" t="n">
        <v>168</v>
      </c>
      <c r="F2883" s="7" t="n">
        <v>1</v>
      </c>
      <c r="G2883" s="5" t="n">
        <v>170</v>
      </c>
    </row>
    <row r="2884" customFormat="false" ht="15" hidden="false" customHeight="false" outlineLevel="0" collapsed="false">
      <c r="A2884" s="13" t="s">
        <v>59</v>
      </c>
      <c r="B2884" s="13" t="s">
        <v>43</v>
      </c>
      <c r="C2884" s="13" t="s">
        <v>5</v>
      </c>
      <c r="D2884" s="13" t="s">
        <v>2013</v>
      </c>
      <c r="E2884" s="16" t="n">
        <v>166</v>
      </c>
      <c r="F2884" s="7" t="n">
        <v>1</v>
      </c>
      <c r="G2884" s="5" t="n">
        <v>170</v>
      </c>
    </row>
    <row r="2885" customFormat="false" ht="15" hidden="false" customHeight="false" outlineLevel="0" collapsed="false">
      <c r="A2885" s="13" t="s">
        <v>121</v>
      </c>
      <c r="B2885" s="13" t="s">
        <v>183</v>
      </c>
      <c r="C2885" s="13" t="s">
        <v>5</v>
      </c>
      <c r="D2885" s="13" t="s">
        <v>2014</v>
      </c>
      <c r="E2885" s="16" t="n">
        <v>83.39</v>
      </c>
      <c r="F2885" s="7" t="n">
        <v>2</v>
      </c>
      <c r="G2885" s="5" t="n">
        <v>170</v>
      </c>
    </row>
    <row r="2886" customFormat="false" ht="15" hidden="false" customHeight="false" outlineLevel="0" collapsed="false">
      <c r="A2886" s="13" t="s">
        <v>121</v>
      </c>
      <c r="B2886" s="13" t="s">
        <v>183</v>
      </c>
      <c r="C2886" s="13" t="s">
        <v>5</v>
      </c>
      <c r="D2886" s="13" t="s">
        <v>2015</v>
      </c>
      <c r="E2886" s="16" t="n">
        <v>58.2833333333333</v>
      </c>
      <c r="F2886" s="7" t="n">
        <v>2</v>
      </c>
      <c r="G2886" s="5" t="n">
        <v>170</v>
      </c>
    </row>
    <row r="2887" customFormat="false" ht="15" hidden="false" customHeight="false" outlineLevel="0" collapsed="false">
      <c r="A2887" s="13" t="s">
        <v>121</v>
      </c>
      <c r="B2887" s="13" t="s">
        <v>43</v>
      </c>
      <c r="C2887" s="13" t="s">
        <v>5</v>
      </c>
      <c r="D2887" s="13" t="s">
        <v>2016</v>
      </c>
      <c r="E2887" s="16" t="n">
        <v>174.12</v>
      </c>
      <c r="F2887" s="7" t="n">
        <v>1</v>
      </c>
      <c r="G2887" s="5" t="n">
        <v>170</v>
      </c>
    </row>
    <row r="2888" customFormat="false" ht="15" hidden="false" customHeight="false" outlineLevel="0" collapsed="false">
      <c r="A2888" s="13" t="s">
        <v>121</v>
      </c>
      <c r="B2888" s="13" t="s">
        <v>43</v>
      </c>
      <c r="C2888" s="13" t="s">
        <v>5</v>
      </c>
      <c r="D2888" s="13" t="s">
        <v>2017</v>
      </c>
      <c r="E2888" s="16" t="n">
        <v>169.85</v>
      </c>
      <c r="F2888" s="7" t="n">
        <v>1</v>
      </c>
      <c r="G2888" s="5" t="n">
        <v>170</v>
      </c>
    </row>
    <row r="2889" customFormat="false" ht="15" hidden="false" customHeight="false" outlineLevel="0" collapsed="false">
      <c r="A2889" s="13" t="s">
        <v>121</v>
      </c>
      <c r="B2889" s="13" t="s">
        <v>43</v>
      </c>
      <c r="C2889" s="13" t="s">
        <v>5</v>
      </c>
      <c r="D2889" s="13" t="s">
        <v>2018</v>
      </c>
      <c r="E2889" s="16" t="n">
        <v>168.85</v>
      </c>
      <c r="F2889" s="7" t="n">
        <v>1</v>
      </c>
      <c r="G2889" s="5" t="n">
        <v>170</v>
      </c>
    </row>
    <row r="2890" customFormat="false" ht="15" hidden="false" customHeight="false" outlineLevel="0" collapsed="false">
      <c r="A2890" s="13" t="s">
        <v>121</v>
      </c>
      <c r="B2890" s="13" t="s">
        <v>43</v>
      </c>
      <c r="C2890" s="13" t="s">
        <v>5</v>
      </c>
      <c r="D2890" s="13" t="s">
        <v>2019</v>
      </c>
      <c r="E2890" s="16" t="n">
        <v>174.85</v>
      </c>
      <c r="F2890" s="7" t="n">
        <v>1</v>
      </c>
      <c r="G2890" s="5" t="n">
        <v>170</v>
      </c>
    </row>
    <row r="2891" customFormat="false" ht="15" hidden="false" customHeight="false" outlineLevel="0" collapsed="false">
      <c r="A2891" s="13" t="s">
        <v>103</v>
      </c>
      <c r="B2891" s="13" t="s">
        <v>43</v>
      </c>
      <c r="C2891" s="13" t="s">
        <v>5</v>
      </c>
      <c r="D2891" s="13" t="s">
        <v>2020</v>
      </c>
      <c r="E2891" s="16" t="n">
        <v>169.99</v>
      </c>
      <c r="F2891" s="7" t="n">
        <v>1</v>
      </c>
      <c r="G2891" s="5" t="n">
        <v>170</v>
      </c>
    </row>
    <row r="2892" customFormat="false" ht="15" hidden="false" customHeight="false" outlineLevel="0" collapsed="false">
      <c r="A2892" s="13" t="s">
        <v>107</v>
      </c>
      <c r="B2892" s="13" t="s">
        <v>43</v>
      </c>
      <c r="C2892" s="13" t="s">
        <v>5</v>
      </c>
      <c r="D2892" s="13" t="s">
        <v>1656</v>
      </c>
      <c r="E2892" s="16" t="n">
        <v>174.36</v>
      </c>
      <c r="F2892" s="7" t="n">
        <v>1</v>
      </c>
      <c r="G2892" s="5" t="n">
        <v>170</v>
      </c>
    </row>
    <row r="2893" customFormat="false" ht="15" hidden="false" customHeight="false" outlineLevel="0" collapsed="false">
      <c r="A2893" s="13" t="s">
        <v>121</v>
      </c>
      <c r="B2893" s="13" t="s">
        <v>43</v>
      </c>
      <c r="C2893" s="13" t="s">
        <v>5</v>
      </c>
      <c r="D2893" s="13" t="s">
        <v>2021</v>
      </c>
      <c r="E2893" s="16" t="n">
        <v>164.9</v>
      </c>
      <c r="F2893" s="7" t="n">
        <v>1</v>
      </c>
      <c r="G2893" s="5" t="n">
        <v>160</v>
      </c>
    </row>
    <row r="2894" customFormat="false" ht="15" hidden="false" customHeight="false" outlineLevel="0" collapsed="false">
      <c r="A2894" s="13" t="s">
        <v>59</v>
      </c>
      <c r="B2894" s="13" t="s">
        <v>43</v>
      </c>
      <c r="C2894" s="13" t="s">
        <v>5</v>
      </c>
      <c r="D2894" s="13" t="s">
        <v>2022</v>
      </c>
      <c r="E2894" s="16" t="n">
        <v>158.72</v>
      </c>
      <c r="F2894" s="7" t="n">
        <v>1</v>
      </c>
      <c r="G2894" s="5" t="n">
        <v>160</v>
      </c>
    </row>
    <row r="2895" customFormat="false" ht="15" hidden="false" customHeight="false" outlineLevel="0" collapsed="false">
      <c r="A2895" s="13" t="s">
        <v>103</v>
      </c>
      <c r="B2895" s="13" t="s">
        <v>43</v>
      </c>
      <c r="C2895" s="13" t="s">
        <v>5</v>
      </c>
      <c r="D2895" s="13" t="s">
        <v>1102</v>
      </c>
      <c r="E2895" s="16" t="n">
        <v>163.9</v>
      </c>
      <c r="F2895" s="7" t="n">
        <v>1</v>
      </c>
      <c r="G2895" s="5" t="n">
        <v>160</v>
      </c>
    </row>
    <row r="2896" customFormat="false" ht="15" hidden="false" customHeight="false" outlineLevel="0" collapsed="false">
      <c r="A2896" s="13" t="s">
        <v>630</v>
      </c>
      <c r="B2896" s="13" t="s">
        <v>43</v>
      </c>
      <c r="C2896" s="13" t="s">
        <v>5</v>
      </c>
      <c r="D2896" s="13" t="s">
        <v>695</v>
      </c>
      <c r="E2896" s="16" t="n">
        <v>160.21</v>
      </c>
      <c r="F2896" s="7" t="n">
        <v>1</v>
      </c>
      <c r="G2896" s="5" t="n">
        <v>160</v>
      </c>
    </row>
    <row r="2897" customFormat="false" ht="15" hidden="false" customHeight="false" outlineLevel="0" collapsed="false">
      <c r="A2897" s="13" t="s">
        <v>121</v>
      </c>
      <c r="B2897" s="13" t="s">
        <v>43</v>
      </c>
      <c r="C2897" s="13" t="s">
        <v>5</v>
      </c>
      <c r="D2897" s="13" t="s">
        <v>2023</v>
      </c>
      <c r="E2897" s="16" t="n">
        <v>164.9</v>
      </c>
      <c r="F2897" s="7" t="n">
        <v>1</v>
      </c>
      <c r="G2897" s="5" t="n">
        <v>160</v>
      </c>
    </row>
    <row r="2898" customFormat="false" ht="15" hidden="false" customHeight="false" outlineLevel="0" collapsed="false">
      <c r="A2898" s="13" t="s">
        <v>630</v>
      </c>
      <c r="B2898" s="13" t="s">
        <v>43</v>
      </c>
      <c r="C2898" s="13" t="s">
        <v>5</v>
      </c>
      <c r="D2898" s="13" t="s">
        <v>2024</v>
      </c>
      <c r="E2898" s="16" t="n">
        <v>158</v>
      </c>
      <c r="F2898" s="7" t="n">
        <v>1</v>
      </c>
      <c r="G2898" s="5" t="n">
        <v>160</v>
      </c>
    </row>
    <row r="2899" customFormat="false" ht="15" hidden="false" customHeight="false" outlineLevel="0" collapsed="false">
      <c r="A2899" s="13" t="s">
        <v>103</v>
      </c>
      <c r="B2899" s="13" t="s">
        <v>43</v>
      </c>
      <c r="C2899" s="13" t="s">
        <v>5</v>
      </c>
      <c r="D2899" s="13" t="s">
        <v>2025</v>
      </c>
      <c r="E2899" s="16" t="n">
        <v>157.9</v>
      </c>
      <c r="F2899" s="7" t="n">
        <v>1</v>
      </c>
      <c r="G2899" s="5" t="n">
        <v>160</v>
      </c>
    </row>
    <row r="2900" customFormat="false" ht="15" hidden="false" customHeight="false" outlineLevel="0" collapsed="false">
      <c r="A2900" s="13" t="s">
        <v>191</v>
      </c>
      <c r="B2900" s="13" t="s">
        <v>85</v>
      </c>
      <c r="C2900" s="13" t="s">
        <v>3</v>
      </c>
      <c r="D2900" s="13" t="s">
        <v>2026</v>
      </c>
      <c r="E2900" s="16" t="n">
        <v>19.9</v>
      </c>
      <c r="F2900" s="7" t="n">
        <v>5</v>
      </c>
      <c r="G2900" s="5" t="n">
        <v>160</v>
      </c>
    </row>
    <row r="2901" customFormat="false" ht="15" hidden="false" customHeight="false" outlineLevel="0" collapsed="false">
      <c r="A2901" s="13" t="s">
        <v>630</v>
      </c>
      <c r="B2901" s="13" t="s">
        <v>43</v>
      </c>
      <c r="C2901" s="13" t="s">
        <v>5</v>
      </c>
      <c r="D2901" s="13" t="s">
        <v>2024</v>
      </c>
      <c r="E2901" s="16" t="n">
        <v>155.25</v>
      </c>
      <c r="F2901" s="7" t="n">
        <v>1</v>
      </c>
      <c r="G2901" s="5" t="n">
        <v>160</v>
      </c>
    </row>
    <row r="2902" customFormat="false" ht="15" hidden="false" customHeight="false" outlineLevel="0" collapsed="false">
      <c r="A2902" s="13" t="s">
        <v>59</v>
      </c>
      <c r="B2902" s="13" t="s">
        <v>43</v>
      </c>
      <c r="C2902" s="13" t="s">
        <v>4</v>
      </c>
      <c r="D2902" s="13" t="s">
        <v>2027</v>
      </c>
      <c r="E2902" s="16" t="n">
        <v>158.64</v>
      </c>
      <c r="F2902" s="7" t="n">
        <v>1</v>
      </c>
      <c r="G2902" s="5" t="n">
        <v>160</v>
      </c>
    </row>
    <row r="2903" customFormat="false" ht="15" hidden="false" customHeight="false" outlineLevel="0" collapsed="false">
      <c r="A2903" s="13" t="s">
        <v>59</v>
      </c>
      <c r="B2903" s="13" t="s">
        <v>43</v>
      </c>
      <c r="C2903" s="13" t="s">
        <v>4</v>
      </c>
      <c r="D2903" s="13" t="s">
        <v>1800</v>
      </c>
      <c r="E2903" s="16" t="n">
        <v>160.93</v>
      </c>
      <c r="F2903" s="7" t="n">
        <v>1</v>
      </c>
      <c r="G2903" s="5" t="n">
        <v>160</v>
      </c>
    </row>
    <row r="2904" customFormat="false" ht="15" hidden="false" customHeight="false" outlineLevel="0" collapsed="false">
      <c r="A2904" s="13" t="s">
        <v>255</v>
      </c>
      <c r="B2904" s="13" t="s">
        <v>43</v>
      </c>
      <c r="C2904" s="13" t="s">
        <v>3</v>
      </c>
      <c r="D2904" s="13" t="s">
        <v>2028</v>
      </c>
      <c r="E2904" s="16" t="n">
        <v>159.99</v>
      </c>
      <c r="F2904" s="7" t="n">
        <v>1</v>
      </c>
      <c r="G2904" s="5" t="n">
        <v>160</v>
      </c>
    </row>
    <row r="2905" customFormat="false" ht="15" hidden="false" customHeight="false" outlineLevel="0" collapsed="false">
      <c r="A2905" s="13" t="s">
        <v>103</v>
      </c>
      <c r="B2905" s="13" t="s">
        <v>43</v>
      </c>
      <c r="C2905" s="13" t="s">
        <v>5</v>
      </c>
      <c r="D2905" s="13" t="s">
        <v>2029</v>
      </c>
      <c r="E2905" s="16" t="n">
        <v>152.19</v>
      </c>
      <c r="F2905" s="7" t="n">
        <v>1</v>
      </c>
      <c r="G2905" s="5" t="n">
        <v>150</v>
      </c>
    </row>
    <row r="2906" customFormat="false" ht="15" hidden="false" customHeight="false" outlineLevel="0" collapsed="false">
      <c r="A2906" s="13" t="s">
        <v>121</v>
      </c>
      <c r="B2906" s="13" t="s">
        <v>43</v>
      </c>
      <c r="C2906" s="13" t="s">
        <v>5</v>
      </c>
      <c r="D2906" s="13" t="s">
        <v>1743</v>
      </c>
      <c r="E2906" s="16" t="n">
        <v>149.9</v>
      </c>
      <c r="F2906" s="7" t="n">
        <v>1</v>
      </c>
      <c r="G2906" s="5" t="n">
        <v>150</v>
      </c>
    </row>
    <row r="2907" customFormat="false" ht="15" hidden="false" customHeight="false" outlineLevel="0" collapsed="false">
      <c r="A2907" s="13" t="s">
        <v>121</v>
      </c>
      <c r="B2907" s="13" t="s">
        <v>43</v>
      </c>
      <c r="C2907" s="13" t="s">
        <v>5</v>
      </c>
      <c r="D2907" s="13" t="s">
        <v>2030</v>
      </c>
      <c r="E2907" s="16" t="n">
        <v>150.42</v>
      </c>
      <c r="F2907" s="7" t="n">
        <v>1</v>
      </c>
      <c r="G2907" s="5" t="n">
        <v>150</v>
      </c>
    </row>
    <row r="2908" customFormat="false" ht="15" hidden="false" customHeight="false" outlineLevel="0" collapsed="false">
      <c r="A2908" s="13" t="s">
        <v>121</v>
      </c>
      <c r="B2908" s="13" t="s">
        <v>43</v>
      </c>
      <c r="C2908" s="13" t="s">
        <v>5</v>
      </c>
      <c r="D2908" s="13" t="s">
        <v>1787</v>
      </c>
      <c r="E2908" s="16" t="n">
        <v>152</v>
      </c>
      <c r="F2908" s="7" t="n">
        <v>1</v>
      </c>
      <c r="G2908" s="5" t="n">
        <v>150</v>
      </c>
    </row>
    <row r="2909" customFormat="false" ht="15" hidden="false" customHeight="false" outlineLevel="0" collapsed="false">
      <c r="A2909" s="13" t="s">
        <v>121</v>
      </c>
      <c r="B2909" s="13" t="s">
        <v>183</v>
      </c>
      <c r="C2909" s="13" t="s">
        <v>5</v>
      </c>
      <c r="D2909" s="13" t="s">
        <v>2031</v>
      </c>
      <c r="E2909" s="16" t="n">
        <v>74.85</v>
      </c>
      <c r="F2909" s="7" t="n">
        <v>2</v>
      </c>
      <c r="G2909" s="5" t="n">
        <v>150</v>
      </c>
    </row>
    <row r="2910" customFormat="false" ht="15" hidden="false" customHeight="false" outlineLevel="0" collapsed="false">
      <c r="A2910" s="13" t="s">
        <v>121</v>
      </c>
      <c r="B2910" s="13" t="s">
        <v>43</v>
      </c>
      <c r="C2910" s="13" t="s">
        <v>5</v>
      </c>
      <c r="D2910" s="13" t="s">
        <v>2032</v>
      </c>
      <c r="E2910" s="16" t="n">
        <v>149.31</v>
      </c>
      <c r="F2910" s="7" t="n">
        <v>1</v>
      </c>
      <c r="G2910" s="5" t="n">
        <v>150</v>
      </c>
    </row>
    <row r="2911" customFormat="false" ht="15" hidden="false" customHeight="false" outlineLevel="0" collapsed="false">
      <c r="A2911" s="13" t="s">
        <v>121</v>
      </c>
      <c r="B2911" s="13" t="s">
        <v>43</v>
      </c>
      <c r="C2911" s="13" t="s">
        <v>5</v>
      </c>
      <c r="D2911" s="13" t="s">
        <v>2032</v>
      </c>
      <c r="E2911" s="16" t="n">
        <v>147.07</v>
      </c>
      <c r="F2911" s="7" t="n">
        <v>1</v>
      </c>
      <c r="G2911" s="5" t="n">
        <v>150</v>
      </c>
    </row>
    <row r="2912" customFormat="false" ht="15" hidden="false" customHeight="false" outlineLevel="0" collapsed="false">
      <c r="A2912" s="13" t="s">
        <v>121</v>
      </c>
      <c r="B2912" s="13" t="s">
        <v>43</v>
      </c>
      <c r="C2912" s="13" t="s">
        <v>5</v>
      </c>
      <c r="D2912" s="13" t="s">
        <v>1743</v>
      </c>
      <c r="E2912" s="16" t="n">
        <v>153</v>
      </c>
      <c r="F2912" s="7" t="n">
        <v>1</v>
      </c>
      <c r="G2912" s="5" t="n">
        <v>150</v>
      </c>
    </row>
    <row r="2913" customFormat="false" ht="15" hidden="false" customHeight="false" outlineLevel="0" collapsed="false">
      <c r="A2913" s="13" t="s">
        <v>191</v>
      </c>
      <c r="B2913" s="13" t="s">
        <v>183</v>
      </c>
      <c r="C2913" s="13" t="s">
        <v>3</v>
      </c>
      <c r="D2913" s="13" t="s">
        <v>721</v>
      </c>
      <c r="E2913" s="16" t="n">
        <v>145.29</v>
      </c>
      <c r="F2913" s="7" t="n">
        <v>1</v>
      </c>
      <c r="G2913" s="5" t="n">
        <v>150</v>
      </c>
    </row>
    <row r="2914" customFormat="false" ht="15" hidden="false" customHeight="false" outlineLevel="0" collapsed="false">
      <c r="A2914" s="13" t="s">
        <v>155</v>
      </c>
      <c r="B2914" s="13" t="s">
        <v>43</v>
      </c>
      <c r="C2914" s="13" t="s">
        <v>4</v>
      </c>
      <c r="D2914" s="13" t="s">
        <v>1963</v>
      </c>
      <c r="E2914" s="16" t="n">
        <v>145.53</v>
      </c>
      <c r="F2914" s="7" t="n">
        <v>1</v>
      </c>
      <c r="G2914" s="5" t="n">
        <v>150</v>
      </c>
    </row>
    <row r="2915" customFormat="false" ht="15" hidden="false" customHeight="false" outlineLevel="0" collapsed="false">
      <c r="A2915" s="13" t="s">
        <v>59</v>
      </c>
      <c r="B2915" s="13" t="s">
        <v>43</v>
      </c>
      <c r="C2915" s="13" t="s">
        <v>4</v>
      </c>
      <c r="D2915" s="13" t="s">
        <v>1188</v>
      </c>
      <c r="E2915" s="16" t="n">
        <v>147.99</v>
      </c>
      <c r="F2915" s="7" t="n">
        <v>1</v>
      </c>
      <c r="G2915" s="5" t="n">
        <v>150</v>
      </c>
    </row>
    <row r="2916" customFormat="false" ht="15" hidden="false" customHeight="false" outlineLevel="0" collapsed="false">
      <c r="A2916" s="13" t="s">
        <v>167</v>
      </c>
      <c r="B2916" s="13" t="s">
        <v>168</v>
      </c>
      <c r="C2916" s="13" t="s">
        <v>3</v>
      </c>
      <c r="D2916" s="13" t="s">
        <v>169</v>
      </c>
      <c r="E2916" s="16" t="n">
        <v>139.26</v>
      </c>
      <c r="F2916" s="7" t="n">
        <v>1</v>
      </c>
      <c r="G2916" s="5" t="n">
        <v>140</v>
      </c>
    </row>
    <row r="2917" customFormat="false" ht="15" hidden="false" customHeight="false" outlineLevel="0" collapsed="false">
      <c r="A2917" s="13" t="s">
        <v>103</v>
      </c>
      <c r="B2917" s="13" t="s">
        <v>43</v>
      </c>
      <c r="C2917" s="13" t="s">
        <v>5</v>
      </c>
      <c r="D2917" s="13" t="s">
        <v>2033</v>
      </c>
      <c r="E2917" s="16" t="n">
        <v>142.58</v>
      </c>
      <c r="F2917" s="7" t="n">
        <v>1</v>
      </c>
      <c r="G2917" s="5" t="n">
        <v>140</v>
      </c>
    </row>
    <row r="2918" customFormat="false" ht="15" hidden="false" customHeight="false" outlineLevel="0" collapsed="false">
      <c r="A2918" s="13" t="s">
        <v>121</v>
      </c>
      <c r="B2918" s="13" t="s">
        <v>43</v>
      </c>
      <c r="C2918" s="13" t="s">
        <v>5</v>
      </c>
      <c r="D2918" s="13" t="s">
        <v>2034</v>
      </c>
      <c r="E2918" s="16" t="n">
        <v>142</v>
      </c>
      <c r="F2918" s="7" t="n">
        <v>1</v>
      </c>
      <c r="G2918" s="5" t="n">
        <v>140</v>
      </c>
    </row>
    <row r="2919" customFormat="false" ht="15" hidden="false" customHeight="false" outlineLevel="0" collapsed="false">
      <c r="A2919" s="13" t="s">
        <v>191</v>
      </c>
      <c r="B2919" s="13" t="s">
        <v>140</v>
      </c>
      <c r="C2919" s="13" t="s">
        <v>3</v>
      </c>
      <c r="D2919" s="13" t="s">
        <v>2035</v>
      </c>
      <c r="E2919" s="16" t="n">
        <v>139.99</v>
      </c>
      <c r="F2919" s="7" t="n">
        <v>1</v>
      </c>
      <c r="G2919" s="5" t="n">
        <v>140</v>
      </c>
    </row>
    <row r="2920" customFormat="false" ht="15" hidden="false" customHeight="false" outlineLevel="0" collapsed="false">
      <c r="A2920" s="13" t="s">
        <v>470</v>
      </c>
      <c r="B2920" s="13" t="s">
        <v>85</v>
      </c>
      <c r="C2920" s="13" t="s">
        <v>3</v>
      </c>
      <c r="D2920" s="13" t="s">
        <v>2036</v>
      </c>
      <c r="E2920" s="16" t="n">
        <v>141.99</v>
      </c>
      <c r="F2920" s="7" t="n">
        <v>1</v>
      </c>
      <c r="G2920" s="5" t="n">
        <v>140</v>
      </c>
    </row>
    <row r="2921" customFormat="false" ht="15" hidden="false" customHeight="false" outlineLevel="0" collapsed="false">
      <c r="A2921" s="13" t="s">
        <v>97</v>
      </c>
      <c r="B2921" s="13" t="s">
        <v>85</v>
      </c>
      <c r="C2921" s="13" t="s">
        <v>3</v>
      </c>
      <c r="D2921" s="13" t="s">
        <v>2037</v>
      </c>
      <c r="E2921" s="16" t="n">
        <v>139.99</v>
      </c>
      <c r="F2921" s="7" t="n">
        <v>1</v>
      </c>
      <c r="G2921" s="5" t="n">
        <v>140</v>
      </c>
    </row>
    <row r="2922" customFormat="false" ht="15" hidden="false" customHeight="false" outlineLevel="0" collapsed="false">
      <c r="A2922" s="13" t="s">
        <v>630</v>
      </c>
      <c r="B2922" s="13" t="s">
        <v>43</v>
      </c>
      <c r="C2922" s="13" t="s">
        <v>5</v>
      </c>
      <c r="D2922" s="13" t="s">
        <v>848</v>
      </c>
      <c r="E2922" s="16" t="n">
        <v>143.93</v>
      </c>
      <c r="F2922" s="7" t="n">
        <v>1</v>
      </c>
      <c r="G2922" s="5" t="n">
        <v>140</v>
      </c>
    </row>
    <row r="2923" customFormat="false" ht="15" hidden="false" customHeight="false" outlineLevel="0" collapsed="false">
      <c r="A2923" s="13" t="s">
        <v>121</v>
      </c>
      <c r="B2923" s="13" t="s">
        <v>43</v>
      </c>
      <c r="C2923" s="13" t="s">
        <v>5</v>
      </c>
      <c r="D2923" s="13" t="s">
        <v>1714</v>
      </c>
      <c r="E2923" s="16" t="n">
        <v>141.88</v>
      </c>
      <c r="F2923" s="7" t="n">
        <v>1</v>
      </c>
      <c r="G2923" s="5" t="n">
        <v>140</v>
      </c>
    </row>
    <row r="2924" customFormat="false" ht="15" hidden="false" customHeight="false" outlineLevel="0" collapsed="false">
      <c r="A2924" s="13" t="s">
        <v>121</v>
      </c>
      <c r="B2924" s="13" t="s">
        <v>43</v>
      </c>
      <c r="C2924" s="13" t="s">
        <v>5</v>
      </c>
      <c r="D2924" s="13" t="s">
        <v>2038</v>
      </c>
      <c r="E2924" s="16" t="n">
        <v>141.88</v>
      </c>
      <c r="F2924" s="7" t="n">
        <v>1</v>
      </c>
      <c r="G2924" s="5" t="n">
        <v>140</v>
      </c>
    </row>
    <row r="2925" customFormat="false" ht="15" hidden="false" customHeight="false" outlineLevel="0" collapsed="false">
      <c r="A2925" s="13" t="s">
        <v>121</v>
      </c>
      <c r="B2925" s="13" t="s">
        <v>43</v>
      </c>
      <c r="C2925" s="13" t="s">
        <v>5</v>
      </c>
      <c r="D2925" s="13" t="s">
        <v>2039</v>
      </c>
      <c r="E2925" s="16" t="n">
        <v>135.88</v>
      </c>
      <c r="F2925" s="7" t="n">
        <v>1</v>
      </c>
      <c r="G2925" s="5" t="n">
        <v>140</v>
      </c>
    </row>
    <row r="2926" customFormat="false" ht="15" hidden="false" customHeight="false" outlineLevel="0" collapsed="false">
      <c r="A2926" s="13" t="s">
        <v>121</v>
      </c>
      <c r="B2926" s="13" t="s">
        <v>43</v>
      </c>
      <c r="C2926" s="13" t="s">
        <v>5</v>
      </c>
      <c r="D2926" s="13" t="s">
        <v>2034</v>
      </c>
      <c r="E2926" s="16" t="n">
        <v>137.74</v>
      </c>
      <c r="F2926" s="7" t="n">
        <v>1</v>
      </c>
      <c r="G2926" s="5" t="n">
        <v>140</v>
      </c>
    </row>
    <row r="2927" customFormat="false" ht="15" hidden="false" customHeight="false" outlineLevel="0" collapsed="false">
      <c r="A2927" s="13" t="s">
        <v>121</v>
      </c>
      <c r="B2927" s="13" t="s">
        <v>43</v>
      </c>
      <c r="C2927" s="13" t="s">
        <v>5</v>
      </c>
      <c r="D2927" s="13" t="s">
        <v>1714</v>
      </c>
      <c r="E2927" s="16" t="n">
        <v>141.18</v>
      </c>
      <c r="F2927" s="7" t="n">
        <v>1</v>
      </c>
      <c r="G2927" s="5" t="n">
        <v>140</v>
      </c>
    </row>
    <row r="2928" customFormat="false" ht="15" hidden="false" customHeight="false" outlineLevel="0" collapsed="false">
      <c r="A2928" s="13" t="s">
        <v>59</v>
      </c>
      <c r="B2928" s="13" t="s">
        <v>43</v>
      </c>
      <c r="C2928" s="13" t="s">
        <v>5</v>
      </c>
      <c r="D2928" s="13" t="s">
        <v>2040</v>
      </c>
      <c r="E2928" s="16" t="n">
        <v>139.95</v>
      </c>
      <c r="F2928" s="7" t="n">
        <v>1</v>
      </c>
      <c r="G2928" s="5" t="n">
        <v>140</v>
      </c>
    </row>
    <row r="2929" customFormat="false" ht="15" hidden="false" customHeight="false" outlineLevel="0" collapsed="false">
      <c r="A2929" s="13" t="s">
        <v>107</v>
      </c>
      <c r="B2929" s="13" t="s">
        <v>43</v>
      </c>
      <c r="C2929" s="13" t="s">
        <v>5</v>
      </c>
      <c r="D2929" s="13" t="s">
        <v>1965</v>
      </c>
      <c r="E2929" s="16" t="n">
        <v>138.85</v>
      </c>
      <c r="F2929" s="7" t="n">
        <v>1</v>
      </c>
      <c r="G2929" s="5" t="n">
        <v>140</v>
      </c>
    </row>
    <row r="2930" customFormat="false" ht="15" hidden="false" customHeight="false" outlineLevel="0" collapsed="false">
      <c r="A2930" s="13" t="s">
        <v>107</v>
      </c>
      <c r="B2930" s="13" t="s">
        <v>43</v>
      </c>
      <c r="C2930" s="13" t="s">
        <v>5</v>
      </c>
      <c r="D2930" s="13" t="s">
        <v>2041</v>
      </c>
      <c r="E2930" s="16" t="n">
        <v>67.02</v>
      </c>
      <c r="F2930" s="7" t="n">
        <v>2</v>
      </c>
      <c r="G2930" s="5" t="n">
        <v>130</v>
      </c>
    </row>
    <row r="2931" customFormat="false" ht="15" hidden="false" customHeight="false" outlineLevel="0" collapsed="false">
      <c r="A2931" s="13" t="s">
        <v>59</v>
      </c>
      <c r="B2931" s="13" t="s">
        <v>43</v>
      </c>
      <c r="C2931" s="13" t="s">
        <v>5</v>
      </c>
      <c r="D2931" s="13" t="s">
        <v>1779</v>
      </c>
      <c r="E2931" s="16" t="n">
        <v>134.83</v>
      </c>
      <c r="F2931" s="7" t="n">
        <v>1</v>
      </c>
      <c r="G2931" s="5" t="n">
        <v>130</v>
      </c>
    </row>
    <row r="2932" customFormat="false" ht="15" hidden="false" customHeight="false" outlineLevel="0" collapsed="false">
      <c r="A2932" s="13" t="s">
        <v>121</v>
      </c>
      <c r="B2932" s="13" t="s">
        <v>43</v>
      </c>
      <c r="C2932" s="13" t="s">
        <v>5</v>
      </c>
      <c r="D2932" s="13" t="s">
        <v>2017</v>
      </c>
      <c r="E2932" s="16" t="n">
        <v>133.86</v>
      </c>
      <c r="F2932" s="7" t="n">
        <v>1</v>
      </c>
      <c r="G2932" s="5" t="n">
        <v>130</v>
      </c>
    </row>
    <row r="2933" customFormat="false" ht="15" hidden="false" customHeight="false" outlineLevel="0" collapsed="false">
      <c r="A2933" s="13" t="s">
        <v>121</v>
      </c>
      <c r="B2933" s="13" t="s">
        <v>43</v>
      </c>
      <c r="C2933" s="13" t="s">
        <v>5</v>
      </c>
      <c r="D2933" s="13" t="s">
        <v>2042</v>
      </c>
      <c r="E2933" s="16" t="n">
        <v>126.1</v>
      </c>
      <c r="F2933" s="7" t="n">
        <v>1</v>
      </c>
      <c r="G2933" s="5" t="n">
        <v>130</v>
      </c>
    </row>
    <row r="2934" customFormat="false" ht="15" hidden="false" customHeight="false" outlineLevel="0" collapsed="false">
      <c r="A2934" s="13" t="s">
        <v>121</v>
      </c>
      <c r="B2934" s="13" t="s">
        <v>43</v>
      </c>
      <c r="C2934" s="13" t="s">
        <v>5</v>
      </c>
      <c r="D2934" s="13" t="s">
        <v>2043</v>
      </c>
      <c r="E2934" s="16" t="n">
        <v>129.93</v>
      </c>
      <c r="F2934" s="7" t="n">
        <v>1</v>
      </c>
      <c r="G2934" s="5" t="n">
        <v>130</v>
      </c>
    </row>
    <row r="2935" customFormat="false" ht="15" hidden="false" customHeight="false" outlineLevel="0" collapsed="false">
      <c r="A2935" s="13" t="s">
        <v>121</v>
      </c>
      <c r="B2935" s="13" t="s">
        <v>43</v>
      </c>
      <c r="C2935" s="13" t="s">
        <v>5</v>
      </c>
      <c r="D2935" s="13" t="s">
        <v>2044</v>
      </c>
      <c r="E2935" s="16" t="n">
        <v>43.75</v>
      </c>
      <c r="F2935" s="7" t="n">
        <v>2</v>
      </c>
      <c r="G2935" s="5" t="n">
        <v>130</v>
      </c>
    </row>
    <row r="2936" customFormat="false" ht="15" hidden="false" customHeight="false" outlineLevel="0" collapsed="false">
      <c r="A2936" s="13" t="s">
        <v>121</v>
      </c>
      <c r="B2936" s="13" t="s">
        <v>43</v>
      </c>
      <c r="C2936" s="13" t="s">
        <v>5</v>
      </c>
      <c r="D2936" s="13" t="s">
        <v>1542</v>
      </c>
      <c r="E2936" s="16" t="n">
        <v>66.85</v>
      </c>
      <c r="F2936" s="7" t="n">
        <v>2</v>
      </c>
      <c r="G2936" s="5" t="n">
        <v>130</v>
      </c>
    </row>
    <row r="2937" customFormat="false" ht="15" hidden="false" customHeight="false" outlineLevel="0" collapsed="false">
      <c r="A2937" s="13" t="s">
        <v>121</v>
      </c>
      <c r="B2937" s="13" t="s">
        <v>183</v>
      </c>
      <c r="C2937" s="13" t="s">
        <v>5</v>
      </c>
      <c r="D2937" s="13" t="s">
        <v>1635</v>
      </c>
      <c r="E2937" s="16" t="n">
        <v>119.85</v>
      </c>
      <c r="F2937" s="7" t="n">
        <v>1</v>
      </c>
      <c r="G2937" s="5" t="n">
        <v>120</v>
      </c>
    </row>
    <row r="2938" customFormat="false" ht="15" hidden="false" customHeight="false" outlineLevel="0" collapsed="false">
      <c r="A2938" s="13" t="s">
        <v>121</v>
      </c>
      <c r="B2938" s="13" t="s">
        <v>43</v>
      </c>
      <c r="C2938" s="13" t="s">
        <v>5</v>
      </c>
      <c r="D2938" s="13" t="s">
        <v>731</v>
      </c>
      <c r="E2938" s="16" t="n">
        <v>119.85</v>
      </c>
      <c r="F2938" s="7" t="n">
        <v>1</v>
      </c>
      <c r="G2938" s="5" t="n">
        <v>120</v>
      </c>
    </row>
    <row r="2939" customFormat="false" ht="15" hidden="false" customHeight="false" outlineLevel="0" collapsed="false">
      <c r="A2939" s="13" t="s">
        <v>630</v>
      </c>
      <c r="B2939" s="13" t="s">
        <v>43</v>
      </c>
      <c r="C2939" s="13" t="s">
        <v>5</v>
      </c>
      <c r="D2939" s="13" t="s">
        <v>1850</v>
      </c>
      <c r="E2939" s="16" t="n">
        <v>121</v>
      </c>
      <c r="F2939" s="7" t="n">
        <v>1</v>
      </c>
      <c r="G2939" s="5" t="n">
        <v>120</v>
      </c>
    </row>
    <row r="2940" customFormat="false" ht="15" hidden="false" customHeight="false" outlineLevel="0" collapsed="false">
      <c r="A2940" s="13" t="s">
        <v>54</v>
      </c>
      <c r="B2940" s="13" t="s">
        <v>43</v>
      </c>
      <c r="C2940" s="13" t="s">
        <v>5</v>
      </c>
      <c r="D2940" s="13" t="s">
        <v>1939</v>
      </c>
      <c r="E2940" s="16" t="n">
        <v>123.85</v>
      </c>
      <c r="F2940" s="7" t="n">
        <v>1</v>
      </c>
      <c r="G2940" s="5" t="n">
        <v>120</v>
      </c>
    </row>
    <row r="2941" customFormat="false" ht="15" hidden="false" customHeight="false" outlineLevel="0" collapsed="false">
      <c r="A2941" s="13" t="s">
        <v>161</v>
      </c>
      <c r="B2941" s="13" t="s">
        <v>43</v>
      </c>
      <c r="C2941" s="13" t="s">
        <v>4</v>
      </c>
      <c r="D2941" s="13" t="s">
        <v>2045</v>
      </c>
      <c r="E2941" s="16" t="n">
        <v>118.68</v>
      </c>
      <c r="F2941" s="7" t="n">
        <v>1</v>
      </c>
      <c r="G2941" s="5" t="n">
        <v>120</v>
      </c>
    </row>
    <row r="2942" customFormat="false" ht="15" hidden="false" customHeight="false" outlineLevel="0" collapsed="false">
      <c r="A2942" s="13" t="s">
        <v>155</v>
      </c>
      <c r="B2942" s="13" t="s">
        <v>43</v>
      </c>
      <c r="C2942" s="13" t="s">
        <v>5</v>
      </c>
      <c r="D2942" s="13" t="s">
        <v>2046</v>
      </c>
      <c r="E2942" s="16" t="n">
        <v>116.9</v>
      </c>
      <c r="F2942" s="7" t="n">
        <v>1</v>
      </c>
      <c r="G2942" s="5" t="n">
        <v>120</v>
      </c>
    </row>
    <row r="2943" customFormat="false" ht="15" hidden="false" customHeight="false" outlineLevel="0" collapsed="false">
      <c r="A2943" s="13" t="s">
        <v>107</v>
      </c>
      <c r="B2943" s="13" t="s">
        <v>43</v>
      </c>
      <c r="C2943" s="13" t="s">
        <v>5</v>
      </c>
      <c r="D2943" s="13" t="s">
        <v>2047</v>
      </c>
      <c r="E2943" s="16" t="n">
        <v>118.85</v>
      </c>
      <c r="F2943" s="7" t="n">
        <v>1</v>
      </c>
      <c r="G2943" s="5" t="n">
        <v>120</v>
      </c>
    </row>
    <row r="2944" customFormat="false" ht="15" hidden="false" customHeight="false" outlineLevel="0" collapsed="false">
      <c r="A2944" s="13" t="s">
        <v>121</v>
      </c>
      <c r="B2944" s="13" t="s">
        <v>43</v>
      </c>
      <c r="C2944" s="13" t="s">
        <v>5</v>
      </c>
      <c r="D2944" s="13" t="s">
        <v>2048</v>
      </c>
      <c r="E2944" s="16" t="n">
        <v>112.9</v>
      </c>
      <c r="F2944" s="7" t="n">
        <v>1</v>
      </c>
      <c r="G2944" s="5" t="n">
        <v>110</v>
      </c>
    </row>
    <row r="2945" customFormat="false" ht="15" hidden="false" customHeight="false" outlineLevel="0" collapsed="false">
      <c r="A2945" s="13" t="s">
        <v>121</v>
      </c>
      <c r="B2945" s="13" t="s">
        <v>43</v>
      </c>
      <c r="C2945" s="13" t="s">
        <v>5</v>
      </c>
      <c r="D2945" s="13" t="s">
        <v>2049</v>
      </c>
      <c r="E2945" s="16" t="n">
        <v>112.9</v>
      </c>
      <c r="F2945" s="7" t="n">
        <v>1</v>
      </c>
      <c r="G2945" s="5" t="n">
        <v>110</v>
      </c>
    </row>
    <row r="2946" customFormat="false" ht="15" hidden="false" customHeight="false" outlineLevel="0" collapsed="false">
      <c r="A2946" s="13" t="s">
        <v>121</v>
      </c>
      <c r="B2946" s="13" t="s">
        <v>183</v>
      </c>
      <c r="C2946" s="13" t="s">
        <v>5</v>
      </c>
      <c r="D2946" s="13" t="s">
        <v>2050</v>
      </c>
      <c r="E2946" s="16" t="n">
        <v>107.52</v>
      </c>
      <c r="F2946" s="7" t="n">
        <v>1</v>
      </c>
      <c r="G2946" s="5" t="n">
        <v>110</v>
      </c>
    </row>
    <row r="2947" customFormat="false" ht="15" hidden="false" customHeight="false" outlineLevel="0" collapsed="false">
      <c r="A2947" s="13" t="s">
        <v>121</v>
      </c>
      <c r="B2947" s="13" t="s">
        <v>43</v>
      </c>
      <c r="C2947" s="13" t="s">
        <v>5</v>
      </c>
      <c r="D2947" s="13" t="s">
        <v>2051</v>
      </c>
      <c r="E2947" s="16" t="n">
        <v>108.85</v>
      </c>
      <c r="F2947" s="7" t="n">
        <v>1</v>
      </c>
      <c r="G2947" s="5" t="n">
        <v>110</v>
      </c>
    </row>
    <row r="2948" customFormat="false" ht="15" hidden="false" customHeight="false" outlineLevel="0" collapsed="false">
      <c r="A2948" s="13" t="s">
        <v>121</v>
      </c>
      <c r="B2948" s="13" t="s">
        <v>43</v>
      </c>
      <c r="C2948" s="13" t="s">
        <v>5</v>
      </c>
      <c r="D2948" s="13" t="s">
        <v>2052</v>
      </c>
      <c r="E2948" s="16" t="n">
        <v>54.85</v>
      </c>
      <c r="F2948" s="7" t="n">
        <v>2</v>
      </c>
      <c r="G2948" s="5" t="n">
        <v>110</v>
      </c>
    </row>
    <row r="2949" customFormat="false" ht="15" hidden="false" customHeight="false" outlineLevel="0" collapsed="false">
      <c r="A2949" s="13" t="s">
        <v>107</v>
      </c>
      <c r="B2949" s="13" t="s">
        <v>43</v>
      </c>
      <c r="C2949" s="13" t="s">
        <v>5</v>
      </c>
      <c r="D2949" s="13" t="s">
        <v>2053</v>
      </c>
      <c r="E2949" s="16" t="n">
        <v>35.3766666666667</v>
      </c>
      <c r="F2949" s="7" t="n">
        <v>2</v>
      </c>
      <c r="G2949" s="5" t="n">
        <v>110</v>
      </c>
    </row>
    <row r="2950" customFormat="false" ht="15" hidden="false" customHeight="false" outlineLevel="0" collapsed="false">
      <c r="A2950" s="13" t="s">
        <v>161</v>
      </c>
      <c r="B2950" s="13" t="s">
        <v>43</v>
      </c>
      <c r="C2950" s="13" t="s">
        <v>4</v>
      </c>
      <c r="D2950" s="13" t="s">
        <v>2054</v>
      </c>
      <c r="E2950" s="16" t="n">
        <v>109.65</v>
      </c>
      <c r="F2950" s="7" t="n">
        <v>1</v>
      </c>
      <c r="G2950" s="5" t="n">
        <v>110</v>
      </c>
    </row>
    <row r="2951" customFormat="false" ht="15" hidden="false" customHeight="false" outlineLevel="0" collapsed="false">
      <c r="A2951" s="13" t="s">
        <v>114</v>
      </c>
      <c r="B2951" s="13" t="s">
        <v>85</v>
      </c>
      <c r="C2951" s="13" t="s">
        <v>3</v>
      </c>
      <c r="D2951" s="13" t="s">
        <v>2055</v>
      </c>
      <c r="E2951" s="16" t="n">
        <v>114.9</v>
      </c>
      <c r="F2951" s="7" t="n">
        <v>1</v>
      </c>
      <c r="G2951" s="5" t="n">
        <v>110</v>
      </c>
    </row>
    <row r="2952" customFormat="false" ht="15" hidden="false" customHeight="false" outlineLevel="0" collapsed="false">
      <c r="A2952" s="13" t="s">
        <v>161</v>
      </c>
      <c r="B2952" s="13" t="s">
        <v>43</v>
      </c>
      <c r="C2952" s="13" t="s">
        <v>4</v>
      </c>
      <c r="D2952" s="13" t="s">
        <v>2056</v>
      </c>
      <c r="E2952" s="16" t="n">
        <v>109.65</v>
      </c>
      <c r="F2952" s="7" t="n">
        <v>1</v>
      </c>
      <c r="G2952" s="5" t="n">
        <v>110</v>
      </c>
    </row>
    <row r="2953" customFormat="false" ht="15" hidden="false" customHeight="false" outlineLevel="0" collapsed="false">
      <c r="A2953" s="13" t="s">
        <v>155</v>
      </c>
      <c r="B2953" s="13" t="s">
        <v>43</v>
      </c>
      <c r="C2953" s="13" t="s">
        <v>5</v>
      </c>
      <c r="D2953" s="13" t="s">
        <v>2057</v>
      </c>
      <c r="E2953" s="16" t="n">
        <v>95.29</v>
      </c>
      <c r="F2953" s="7" t="n">
        <v>1</v>
      </c>
      <c r="G2953" s="5" t="n">
        <v>100</v>
      </c>
    </row>
    <row r="2954" customFormat="false" ht="15" hidden="false" customHeight="false" outlineLevel="0" collapsed="false">
      <c r="A2954" s="13" t="s">
        <v>121</v>
      </c>
      <c r="B2954" s="13" t="s">
        <v>183</v>
      </c>
      <c r="C2954" s="13" t="s">
        <v>5</v>
      </c>
      <c r="D2954" s="13" t="s">
        <v>2058</v>
      </c>
      <c r="E2954" s="16" t="n">
        <v>95</v>
      </c>
      <c r="F2954" s="7" t="n">
        <v>1</v>
      </c>
      <c r="G2954" s="5" t="n">
        <v>100</v>
      </c>
    </row>
    <row r="2955" customFormat="false" ht="15" hidden="false" customHeight="false" outlineLevel="0" collapsed="false">
      <c r="A2955" s="13" t="s">
        <v>121</v>
      </c>
      <c r="B2955" s="13" t="s">
        <v>43</v>
      </c>
      <c r="C2955" s="13" t="s">
        <v>5</v>
      </c>
      <c r="D2955" s="13" t="s">
        <v>2059</v>
      </c>
      <c r="E2955" s="16" t="n">
        <v>99.9</v>
      </c>
      <c r="F2955" s="7" t="n">
        <v>1</v>
      </c>
      <c r="G2955" s="5" t="n">
        <v>100</v>
      </c>
    </row>
    <row r="2956" customFormat="false" ht="15" hidden="false" customHeight="false" outlineLevel="0" collapsed="false">
      <c r="A2956" s="13" t="s">
        <v>107</v>
      </c>
      <c r="B2956" s="13" t="s">
        <v>43</v>
      </c>
      <c r="C2956" s="13" t="s">
        <v>5</v>
      </c>
      <c r="D2956" s="13" t="s">
        <v>2060</v>
      </c>
      <c r="E2956" s="16" t="n">
        <v>32.85</v>
      </c>
      <c r="F2956" s="7" t="n">
        <v>2</v>
      </c>
      <c r="G2956" s="5" t="n">
        <v>100</v>
      </c>
    </row>
    <row r="2957" customFormat="false" ht="15" hidden="false" customHeight="false" outlineLevel="0" collapsed="false">
      <c r="A2957" s="13" t="s">
        <v>81</v>
      </c>
      <c r="B2957" s="13" t="s">
        <v>85</v>
      </c>
      <c r="C2957" s="13" t="s">
        <v>3</v>
      </c>
      <c r="D2957" s="13" t="s">
        <v>2061</v>
      </c>
      <c r="E2957" s="16" t="n">
        <v>51.99</v>
      </c>
      <c r="F2957" s="7" t="n">
        <v>2</v>
      </c>
      <c r="G2957" s="5" t="n">
        <v>100</v>
      </c>
    </row>
    <row r="2958" customFormat="false" ht="15" hidden="false" customHeight="false" outlineLevel="0" collapsed="false">
      <c r="A2958" s="13" t="s">
        <v>121</v>
      </c>
      <c r="B2958" s="13" t="s">
        <v>43</v>
      </c>
      <c r="C2958" s="13" t="s">
        <v>5</v>
      </c>
      <c r="D2958" s="13" t="s">
        <v>2062</v>
      </c>
      <c r="E2958" s="16" t="n">
        <v>94.99</v>
      </c>
      <c r="F2958" s="7" t="n">
        <v>1</v>
      </c>
      <c r="G2958" s="5" t="n">
        <v>90</v>
      </c>
    </row>
    <row r="2959" customFormat="false" ht="15" hidden="false" customHeight="false" outlineLevel="0" collapsed="false">
      <c r="A2959" s="13" t="s">
        <v>121</v>
      </c>
      <c r="B2959" s="13" t="s">
        <v>183</v>
      </c>
      <c r="C2959" s="13" t="s">
        <v>5</v>
      </c>
      <c r="D2959" s="13" t="s">
        <v>2063</v>
      </c>
      <c r="E2959" s="16" t="n">
        <v>77.99</v>
      </c>
      <c r="F2959" s="7" t="n">
        <v>1</v>
      </c>
      <c r="G2959" s="5" t="n">
        <v>80</v>
      </c>
    </row>
    <row r="2960" customFormat="false" ht="15" hidden="false" customHeight="false" outlineLevel="0" collapsed="false">
      <c r="A2960" s="13" t="s">
        <v>121</v>
      </c>
      <c r="B2960" s="13" t="s">
        <v>43</v>
      </c>
      <c r="C2960" s="13" t="s">
        <v>5</v>
      </c>
      <c r="D2960" s="13" t="s">
        <v>2062</v>
      </c>
      <c r="E2960" s="16" t="n">
        <v>81.69</v>
      </c>
      <c r="F2960" s="7" t="n">
        <v>1</v>
      </c>
      <c r="G2960" s="5" t="n">
        <v>80</v>
      </c>
    </row>
    <row r="2961" customFormat="false" ht="15" hidden="false" customHeight="false" outlineLevel="0" collapsed="false">
      <c r="A2961" s="13" t="s">
        <v>121</v>
      </c>
      <c r="B2961" s="13" t="s">
        <v>183</v>
      </c>
      <c r="C2961" s="13" t="s">
        <v>5</v>
      </c>
      <c r="D2961" s="13" t="s">
        <v>2063</v>
      </c>
      <c r="E2961" s="16" t="n">
        <v>79.09</v>
      </c>
      <c r="F2961" s="7" t="n">
        <v>1</v>
      </c>
      <c r="G2961" s="5" t="n">
        <v>80</v>
      </c>
    </row>
    <row r="2962" customFormat="false" ht="15" hidden="false" customHeight="false" outlineLevel="0" collapsed="false">
      <c r="A2962" s="13" t="s">
        <v>365</v>
      </c>
      <c r="B2962" s="13" t="s">
        <v>43</v>
      </c>
      <c r="C2962" s="13" t="s">
        <v>3</v>
      </c>
      <c r="D2962" s="13" t="s">
        <v>2064</v>
      </c>
      <c r="E2962" s="16" t="n">
        <v>78.99</v>
      </c>
      <c r="F2962" s="7" t="n">
        <v>1</v>
      </c>
      <c r="G2962" s="5" t="n">
        <v>80</v>
      </c>
    </row>
    <row r="2963" customFormat="false" ht="15" hidden="false" customHeight="false" outlineLevel="0" collapsed="false">
      <c r="A2963" s="13" t="s">
        <v>121</v>
      </c>
      <c r="B2963" s="13" t="s">
        <v>183</v>
      </c>
      <c r="C2963" s="13" t="s">
        <v>5</v>
      </c>
      <c r="D2963" s="13" t="s">
        <v>1959</v>
      </c>
      <c r="E2963" s="16" t="n">
        <v>77.85</v>
      </c>
      <c r="F2963" s="7" t="n">
        <v>1</v>
      </c>
      <c r="G2963" s="5" t="n">
        <v>80</v>
      </c>
    </row>
    <row r="2964" customFormat="false" ht="15" hidden="false" customHeight="false" outlineLevel="0" collapsed="false">
      <c r="A2964" s="13" t="s">
        <v>121</v>
      </c>
      <c r="B2964" s="13" t="s">
        <v>183</v>
      </c>
      <c r="C2964" s="13" t="s">
        <v>5</v>
      </c>
      <c r="D2964" s="13" t="s">
        <v>2065</v>
      </c>
      <c r="E2964" s="16" t="n">
        <v>77.5</v>
      </c>
      <c r="F2964" s="7" t="n">
        <v>1</v>
      </c>
      <c r="G2964" s="5" t="n">
        <v>80</v>
      </c>
    </row>
    <row r="2965" customFormat="false" ht="15" hidden="false" customHeight="false" outlineLevel="0" collapsed="false">
      <c r="A2965" s="13" t="s">
        <v>121</v>
      </c>
      <c r="B2965" s="13" t="s">
        <v>183</v>
      </c>
      <c r="C2965" s="13" t="s">
        <v>5</v>
      </c>
      <c r="D2965" s="13" t="s">
        <v>2066</v>
      </c>
      <c r="E2965" s="16" t="n">
        <v>75.92</v>
      </c>
      <c r="F2965" s="7" t="n">
        <v>1</v>
      </c>
      <c r="G2965" s="5" t="n">
        <v>80</v>
      </c>
    </row>
    <row r="2966" customFormat="false" ht="15" hidden="false" customHeight="false" outlineLevel="0" collapsed="false">
      <c r="A2966" s="13" t="s">
        <v>121</v>
      </c>
      <c r="B2966" s="13" t="s">
        <v>43</v>
      </c>
      <c r="C2966" s="13" t="s">
        <v>5</v>
      </c>
      <c r="D2966" s="13" t="s">
        <v>2067</v>
      </c>
      <c r="E2966" s="16" t="n">
        <v>73</v>
      </c>
      <c r="F2966" s="7" t="n">
        <v>1</v>
      </c>
      <c r="G2966" s="5" t="n">
        <v>70</v>
      </c>
    </row>
    <row r="2967" customFormat="false" ht="15" hidden="false" customHeight="false" outlineLevel="0" collapsed="false">
      <c r="A2967" s="13" t="s">
        <v>121</v>
      </c>
      <c r="B2967" s="13" t="s">
        <v>183</v>
      </c>
      <c r="C2967" s="13" t="s">
        <v>5</v>
      </c>
      <c r="D2967" s="13" t="s">
        <v>2068</v>
      </c>
      <c r="E2967" s="16" t="n">
        <v>74.85</v>
      </c>
      <c r="F2967" s="7" t="n">
        <v>1</v>
      </c>
      <c r="G2967" s="5" t="n">
        <v>70</v>
      </c>
    </row>
    <row r="2968" customFormat="false" ht="15" hidden="false" customHeight="false" outlineLevel="0" collapsed="false">
      <c r="A2968" s="13" t="s">
        <v>107</v>
      </c>
      <c r="B2968" s="13" t="s">
        <v>43</v>
      </c>
      <c r="C2968" s="13" t="s">
        <v>5</v>
      </c>
      <c r="D2968" s="13" t="s">
        <v>2069</v>
      </c>
      <c r="E2968" s="16" t="n">
        <v>35.13</v>
      </c>
      <c r="F2968" s="7" t="n">
        <v>2</v>
      </c>
      <c r="G2968" s="5" t="n">
        <v>70</v>
      </c>
    </row>
    <row r="2969" customFormat="false" ht="15" hidden="false" customHeight="false" outlineLevel="0" collapsed="false">
      <c r="A2969" s="13" t="s">
        <v>107</v>
      </c>
      <c r="B2969" s="13" t="s">
        <v>43</v>
      </c>
      <c r="C2969" s="13" t="s">
        <v>5</v>
      </c>
      <c r="D2969" s="13" t="s">
        <v>2053</v>
      </c>
      <c r="E2969" s="16" t="n">
        <v>36.24</v>
      </c>
      <c r="F2969" s="7" t="n">
        <v>2</v>
      </c>
      <c r="G2969" s="5" t="n">
        <v>70</v>
      </c>
    </row>
    <row r="2970" customFormat="false" ht="15" hidden="false" customHeight="false" outlineLevel="0" collapsed="false">
      <c r="A2970" s="13" t="s">
        <v>121</v>
      </c>
      <c r="B2970" s="13" t="s">
        <v>183</v>
      </c>
      <c r="C2970" s="13" t="s">
        <v>5</v>
      </c>
      <c r="D2970" s="13" t="s">
        <v>2070</v>
      </c>
      <c r="E2970" s="16" t="n">
        <v>74.9</v>
      </c>
      <c r="F2970" s="7" t="n">
        <v>1</v>
      </c>
      <c r="G2970" s="5" t="n">
        <v>70</v>
      </c>
    </row>
    <row r="2971" customFormat="false" ht="15" hidden="false" customHeight="false" outlineLevel="0" collapsed="false">
      <c r="A2971" s="13" t="s">
        <v>121</v>
      </c>
      <c r="B2971" s="13" t="s">
        <v>43</v>
      </c>
      <c r="C2971" s="13" t="s">
        <v>5</v>
      </c>
      <c r="D2971" s="13" t="s">
        <v>2071</v>
      </c>
      <c r="E2971" s="16" t="n">
        <v>66.09</v>
      </c>
      <c r="F2971" s="7" t="n">
        <v>1</v>
      </c>
      <c r="G2971" s="5" t="n">
        <v>70</v>
      </c>
    </row>
    <row r="2972" customFormat="false" ht="15" hidden="false" customHeight="false" outlineLevel="0" collapsed="false">
      <c r="A2972" s="13" t="s">
        <v>107</v>
      </c>
      <c r="B2972" s="13" t="s">
        <v>43</v>
      </c>
      <c r="C2972" s="13" t="s">
        <v>5</v>
      </c>
      <c r="D2972" s="13" t="s">
        <v>2072</v>
      </c>
      <c r="E2972" s="16" t="n">
        <v>34.89</v>
      </c>
      <c r="F2972" s="7" t="n">
        <v>2</v>
      </c>
      <c r="G2972" s="5" t="n">
        <v>70</v>
      </c>
    </row>
    <row r="2973" customFormat="false" ht="15" hidden="false" customHeight="false" outlineLevel="0" collapsed="false">
      <c r="A2973" s="13" t="s">
        <v>114</v>
      </c>
      <c r="B2973" s="13" t="s">
        <v>115</v>
      </c>
      <c r="C2973" s="13" t="s">
        <v>3</v>
      </c>
      <c r="D2973" s="13" t="s">
        <v>1334</v>
      </c>
      <c r="E2973" s="16" t="n">
        <v>69.9</v>
      </c>
      <c r="F2973" s="7" t="n">
        <v>1</v>
      </c>
      <c r="G2973" s="5" t="n">
        <v>70</v>
      </c>
    </row>
    <row r="2974" customFormat="false" ht="15" hidden="false" customHeight="false" outlineLevel="0" collapsed="false">
      <c r="A2974" s="13" t="s">
        <v>107</v>
      </c>
      <c r="B2974" s="13" t="s">
        <v>43</v>
      </c>
      <c r="C2974" s="13" t="s">
        <v>5</v>
      </c>
      <c r="D2974" s="13" t="s">
        <v>2073</v>
      </c>
      <c r="E2974" s="16" t="n">
        <v>34.28</v>
      </c>
      <c r="F2974" s="7" t="n">
        <v>2</v>
      </c>
      <c r="G2974" s="5" t="n">
        <v>70</v>
      </c>
    </row>
    <row r="2975" customFormat="false" ht="15" hidden="false" customHeight="false" outlineLevel="0" collapsed="false">
      <c r="A2975" s="13" t="s">
        <v>121</v>
      </c>
      <c r="B2975" s="13" t="s">
        <v>43</v>
      </c>
      <c r="C2975" s="13" t="s">
        <v>5</v>
      </c>
      <c r="D2975" s="13" t="s">
        <v>2074</v>
      </c>
      <c r="E2975" s="16" t="n">
        <v>56</v>
      </c>
      <c r="F2975" s="7" t="n">
        <v>1</v>
      </c>
      <c r="G2975" s="5" t="n">
        <v>60</v>
      </c>
    </row>
    <row r="2976" customFormat="false" ht="15" hidden="false" customHeight="false" outlineLevel="0" collapsed="false">
      <c r="A2976" s="13" t="s">
        <v>81</v>
      </c>
      <c r="B2976" s="13" t="s">
        <v>85</v>
      </c>
      <c r="C2976" s="13" t="s">
        <v>3</v>
      </c>
      <c r="D2976" s="13" t="s">
        <v>2075</v>
      </c>
      <c r="E2976" s="16" t="n">
        <v>59.99</v>
      </c>
      <c r="F2976" s="7" t="n">
        <v>1</v>
      </c>
      <c r="G2976" s="5" t="n">
        <v>60</v>
      </c>
    </row>
    <row r="2977" customFormat="false" ht="15" hidden="false" customHeight="false" outlineLevel="0" collapsed="false">
      <c r="A2977" s="13" t="s">
        <v>121</v>
      </c>
      <c r="B2977" s="13" t="s">
        <v>183</v>
      </c>
      <c r="C2977" s="13" t="s">
        <v>5</v>
      </c>
      <c r="D2977" s="13" t="s">
        <v>2015</v>
      </c>
      <c r="E2977" s="16" t="n">
        <v>57.54</v>
      </c>
      <c r="F2977" s="7" t="n">
        <v>1</v>
      </c>
      <c r="G2977" s="5" t="n">
        <v>60</v>
      </c>
    </row>
    <row r="2978" customFormat="false" ht="15" hidden="false" customHeight="false" outlineLevel="0" collapsed="false">
      <c r="A2978" s="13" t="s">
        <v>121</v>
      </c>
      <c r="B2978" s="13" t="s">
        <v>183</v>
      </c>
      <c r="C2978" s="13" t="s">
        <v>5</v>
      </c>
      <c r="D2978" s="13" t="s">
        <v>2076</v>
      </c>
      <c r="E2978" s="16" t="n">
        <v>59.85</v>
      </c>
      <c r="F2978" s="7" t="n">
        <v>1</v>
      </c>
      <c r="G2978" s="5" t="n">
        <v>60</v>
      </c>
    </row>
    <row r="2979" customFormat="false" ht="15" hidden="false" customHeight="false" outlineLevel="0" collapsed="false">
      <c r="A2979" s="13" t="s">
        <v>121</v>
      </c>
      <c r="B2979" s="13" t="s">
        <v>43</v>
      </c>
      <c r="C2979" s="13" t="s">
        <v>5</v>
      </c>
      <c r="D2979" s="13" t="s">
        <v>2077</v>
      </c>
      <c r="E2979" s="16" t="n">
        <v>58.85</v>
      </c>
      <c r="F2979" s="7" t="n">
        <v>1</v>
      </c>
      <c r="G2979" s="5" t="n">
        <v>60</v>
      </c>
    </row>
    <row r="2980" customFormat="false" ht="15" hidden="false" customHeight="false" outlineLevel="0" collapsed="false">
      <c r="A2980" s="13" t="s">
        <v>121</v>
      </c>
      <c r="B2980" s="13" t="s">
        <v>183</v>
      </c>
      <c r="C2980" s="13" t="s">
        <v>5</v>
      </c>
      <c r="D2980" s="13" t="s">
        <v>2078</v>
      </c>
      <c r="E2980" s="16" t="n">
        <v>62.85</v>
      </c>
      <c r="F2980" s="7" t="n">
        <v>1</v>
      </c>
      <c r="G2980" s="5" t="n">
        <v>60</v>
      </c>
    </row>
    <row r="2981" customFormat="false" ht="15" hidden="false" customHeight="false" outlineLevel="0" collapsed="false">
      <c r="A2981" s="13" t="s">
        <v>121</v>
      </c>
      <c r="B2981" s="13" t="s">
        <v>183</v>
      </c>
      <c r="C2981" s="13" t="s">
        <v>5</v>
      </c>
      <c r="D2981" s="13" t="s">
        <v>2079</v>
      </c>
      <c r="E2981" s="16" t="n">
        <v>62.85</v>
      </c>
      <c r="F2981" s="7" t="n">
        <v>1</v>
      </c>
      <c r="G2981" s="5" t="n">
        <v>60</v>
      </c>
    </row>
    <row r="2982" customFormat="false" ht="15" hidden="false" customHeight="false" outlineLevel="0" collapsed="false">
      <c r="A2982" s="13" t="s">
        <v>107</v>
      </c>
      <c r="B2982" s="13" t="s">
        <v>43</v>
      </c>
      <c r="C2982" s="13" t="s">
        <v>5</v>
      </c>
      <c r="D2982" s="13" t="s">
        <v>2080</v>
      </c>
      <c r="E2982" s="16" t="n">
        <v>32.35</v>
      </c>
      <c r="F2982" s="7" t="n">
        <v>2</v>
      </c>
      <c r="G2982" s="5" t="n">
        <v>60</v>
      </c>
    </row>
    <row r="2983" customFormat="false" ht="15" hidden="false" customHeight="false" outlineLevel="0" collapsed="false">
      <c r="A2983" s="13" t="s">
        <v>250</v>
      </c>
      <c r="B2983" s="13" t="s">
        <v>85</v>
      </c>
      <c r="C2983" s="13" t="s">
        <v>3</v>
      </c>
      <c r="D2983" s="13" t="s">
        <v>2081</v>
      </c>
      <c r="E2983" s="16" t="n">
        <v>59.9</v>
      </c>
      <c r="F2983" s="7" t="n">
        <v>1</v>
      </c>
      <c r="G2983" s="5" t="n">
        <v>60</v>
      </c>
    </row>
    <row r="2984" customFormat="false" ht="15" hidden="false" customHeight="false" outlineLevel="0" collapsed="false">
      <c r="A2984" s="13" t="s">
        <v>121</v>
      </c>
      <c r="B2984" s="13" t="s">
        <v>43</v>
      </c>
      <c r="C2984" s="13" t="s">
        <v>5</v>
      </c>
      <c r="D2984" s="13" t="s">
        <v>2082</v>
      </c>
      <c r="E2984" s="16" t="n">
        <v>51.26</v>
      </c>
      <c r="F2984" s="7" t="n">
        <v>1</v>
      </c>
      <c r="G2984" s="5" t="n">
        <v>50</v>
      </c>
    </row>
    <row r="2985" customFormat="false" ht="15" hidden="false" customHeight="false" outlineLevel="0" collapsed="false">
      <c r="A2985" s="13" t="s">
        <v>121</v>
      </c>
      <c r="B2985" s="13" t="s">
        <v>43</v>
      </c>
      <c r="C2985" s="13" t="s">
        <v>5</v>
      </c>
      <c r="D2985" s="13" t="s">
        <v>2083</v>
      </c>
      <c r="E2985" s="16" t="n">
        <v>45.9</v>
      </c>
      <c r="F2985" s="7" t="n">
        <v>1</v>
      </c>
      <c r="G2985" s="5" t="n">
        <v>50</v>
      </c>
    </row>
    <row r="2986" customFormat="false" ht="15" hidden="false" customHeight="false" outlineLevel="0" collapsed="false">
      <c r="A2986" s="13" t="s">
        <v>121</v>
      </c>
      <c r="B2986" s="13" t="s">
        <v>183</v>
      </c>
      <c r="C2986" s="13" t="s">
        <v>5</v>
      </c>
      <c r="D2986" s="13" t="s">
        <v>2078</v>
      </c>
      <c r="E2986" s="16" t="n">
        <v>48.89</v>
      </c>
      <c r="F2986" s="7" t="n">
        <v>1</v>
      </c>
      <c r="G2986" s="5" t="n">
        <v>50</v>
      </c>
    </row>
    <row r="2987" customFormat="false" ht="15" hidden="false" customHeight="false" outlineLevel="0" collapsed="false">
      <c r="A2987" s="13" t="s">
        <v>107</v>
      </c>
      <c r="B2987" s="13" t="s">
        <v>43</v>
      </c>
      <c r="C2987" s="13" t="s">
        <v>5</v>
      </c>
      <c r="D2987" s="13" t="s">
        <v>2072</v>
      </c>
      <c r="E2987" s="16" t="n">
        <v>38.9</v>
      </c>
      <c r="F2987" s="7" t="n">
        <v>1</v>
      </c>
      <c r="G2987" s="5" t="n">
        <v>40</v>
      </c>
    </row>
    <row r="2988" customFormat="false" ht="15" hidden="false" customHeight="false" outlineLevel="0" collapsed="false">
      <c r="A2988" s="13" t="s">
        <v>155</v>
      </c>
      <c r="B2988" s="13" t="s">
        <v>43</v>
      </c>
      <c r="C2988" s="13" t="s">
        <v>5</v>
      </c>
      <c r="D2988" s="13" t="s">
        <v>2084</v>
      </c>
      <c r="E2988" s="16" t="n">
        <v>43.21</v>
      </c>
      <c r="F2988" s="7" t="n">
        <v>1</v>
      </c>
      <c r="G2988" s="5" t="n">
        <v>40</v>
      </c>
    </row>
    <row r="2989" customFormat="false" ht="15" hidden="false" customHeight="false" outlineLevel="0" collapsed="false">
      <c r="A2989" s="13" t="s">
        <v>107</v>
      </c>
      <c r="B2989" s="13" t="s">
        <v>43</v>
      </c>
      <c r="C2989" s="13" t="s">
        <v>5</v>
      </c>
      <c r="D2989" s="13" t="s">
        <v>2072</v>
      </c>
      <c r="E2989" s="16" t="n">
        <v>39.9</v>
      </c>
      <c r="F2989" s="7" t="n">
        <v>1</v>
      </c>
      <c r="G2989" s="5" t="n">
        <v>40</v>
      </c>
    </row>
    <row r="2990" customFormat="false" ht="15" hidden="false" customHeight="false" outlineLevel="0" collapsed="false">
      <c r="A2990" s="13" t="s">
        <v>107</v>
      </c>
      <c r="B2990" s="13" t="s">
        <v>43</v>
      </c>
      <c r="C2990" s="13" t="s">
        <v>5</v>
      </c>
      <c r="D2990" s="13" t="s">
        <v>2085</v>
      </c>
      <c r="E2990" s="16" t="n">
        <v>39.51</v>
      </c>
      <c r="F2990" s="7" t="n">
        <v>1</v>
      </c>
      <c r="G2990" s="5" t="n">
        <v>40</v>
      </c>
    </row>
    <row r="2991" customFormat="false" ht="15" hidden="false" customHeight="false" outlineLevel="0" collapsed="false">
      <c r="A2991" s="13" t="s">
        <v>107</v>
      </c>
      <c r="B2991" s="13" t="s">
        <v>43</v>
      </c>
      <c r="C2991" s="13" t="s">
        <v>5</v>
      </c>
      <c r="D2991" s="13" t="s">
        <v>2069</v>
      </c>
      <c r="E2991" s="16" t="n">
        <v>36.7</v>
      </c>
      <c r="F2991" s="7" t="n">
        <v>1</v>
      </c>
      <c r="G2991" s="5" t="n">
        <v>40</v>
      </c>
    </row>
    <row r="2992" customFormat="false" ht="15" hidden="false" customHeight="false" outlineLevel="0" collapsed="false">
      <c r="A2992" s="13" t="s">
        <v>107</v>
      </c>
      <c r="B2992" s="13" t="s">
        <v>43</v>
      </c>
      <c r="C2992" s="13" t="s">
        <v>5</v>
      </c>
      <c r="D2992" s="13" t="s">
        <v>2086</v>
      </c>
      <c r="E2992" s="16" t="n">
        <v>32.21</v>
      </c>
      <c r="F2992" s="7" t="n">
        <v>1</v>
      </c>
      <c r="G2992" s="5" t="n">
        <v>30</v>
      </c>
    </row>
    <row r="2993" customFormat="false" ht="15" hidden="false" customHeight="false" outlineLevel="0" collapsed="false">
      <c r="A2993" s="13" t="s">
        <v>107</v>
      </c>
      <c r="B2993" s="13" t="s">
        <v>43</v>
      </c>
      <c r="C2993" s="13" t="s">
        <v>5</v>
      </c>
      <c r="D2993" s="13" t="s">
        <v>2087</v>
      </c>
      <c r="E2993" s="16" t="n">
        <v>28.26</v>
      </c>
      <c r="F2993" s="7" t="n">
        <v>1</v>
      </c>
      <c r="G2993" s="5" t="n">
        <v>30</v>
      </c>
    </row>
  </sheetData>
  <mergeCells count="2">
    <mergeCell ref="A1:H1"/>
    <mergeCell ref="A84:H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32"/>
    <col collapsed="false" customWidth="true" hidden="false" outlineLevel="0" max="13" min="13" style="0" width="20"/>
  </cols>
  <sheetData>
    <row r="1" customFormat="false" ht="46.25" hidden="false" customHeight="false" outlineLevel="0" collapsed="false">
      <c r="A1" s="15" t="s">
        <v>29</v>
      </c>
      <c r="B1" s="15" t="s">
        <v>2088</v>
      </c>
      <c r="C1" s="15" t="s">
        <v>31</v>
      </c>
      <c r="D1" s="15" t="s">
        <v>32</v>
      </c>
      <c r="E1" s="15" t="s">
        <v>33</v>
      </c>
      <c r="F1" s="15" t="s">
        <v>34</v>
      </c>
      <c r="G1" s="15" t="s">
        <v>35</v>
      </c>
      <c r="H1" s="15" t="s">
        <v>2089</v>
      </c>
      <c r="I1" s="15" t="s">
        <v>36</v>
      </c>
      <c r="J1" s="15" t="s">
        <v>2090</v>
      </c>
      <c r="K1" s="15" t="s">
        <v>2091</v>
      </c>
      <c r="L1" s="15" t="s">
        <v>2092</v>
      </c>
      <c r="M1" s="17" t="s">
        <v>2093</v>
      </c>
    </row>
    <row r="2" customFormat="false" ht="15" hidden="false" customHeight="false" outlineLevel="0" collapsed="false">
      <c r="A2" s="13" t="s">
        <v>42</v>
      </c>
      <c r="B2" s="13" t="s">
        <v>43</v>
      </c>
      <c r="C2" s="5" t="n">
        <f aca="false">SUMIFS('Dados Brutos'!$C:$C,'Dados Brutos'!$B:$B,A2,'Dados Brutos'!$T:$T,"SIENO")</f>
        <v>0</v>
      </c>
      <c r="D2" s="5" t="n">
        <f aca="false">SUMIFS('Dados Brutos'!$C:$C,'Dados Brutos'!$B:$B,A2,'Dados Brutos'!$T:$T,"BAGATELLE")</f>
        <v>1332020</v>
      </c>
      <c r="E2" s="5" t="n">
        <f aca="false">SUMIFS('Dados Brutos'!$C:$C,'Dados Brutos'!$B:$B,A2,'Dados Brutos'!$T:$T,"AUMA")</f>
        <v>2191200</v>
      </c>
      <c r="F2" s="5" t="n">
        <f aca="false">SUM(C2:E2)</f>
        <v>3523220</v>
      </c>
      <c r="G2" s="7" t="n">
        <f aca="false">SUMIF('Dados Brutos'!$B:$B,A2,'Dados Brutos'!$D:$D)</f>
        <v>5687</v>
      </c>
      <c r="H2" s="7" t="n">
        <f aca="false">COUNTIF('Dados Brutos'!$B:$B,A2)</f>
        <v>354</v>
      </c>
      <c r="I2" s="16" t="n">
        <f aca="false">IFERROR(F2/G2,0)</f>
        <v>619.52171619483</v>
      </c>
      <c r="J2" s="13" t="n">
        <f aca="false">(C2&gt;0)+(D2&gt;0)+(E2&gt;0)</f>
        <v>2</v>
      </c>
      <c r="K2" s="13" t="str">
        <f aca="false">IF(J2=3,"Sim","Não")</f>
        <v>Não</v>
      </c>
      <c r="L2" s="13" t="str">
        <f aca="false">IF(AND(I2&gt;=100,G2&gt;=100),"Sim","Não")</f>
        <v>Sim</v>
      </c>
      <c r="M2" s="13" t="n">
        <f aca="false">IF(L2="Sim",SUMPRODUCT(($L$2:L2="Sim")*1),"")</f>
        <v>1</v>
      </c>
    </row>
    <row r="3" customFormat="false" ht="15" hidden="false" customHeight="false" outlineLevel="0" collapsed="false">
      <c r="A3" s="13" t="s">
        <v>50</v>
      </c>
      <c r="B3" s="13" t="s">
        <v>43</v>
      </c>
      <c r="C3" s="5" t="n">
        <f aca="false">SUMIFS('Dados Brutos'!$C:$C,'Dados Brutos'!$B:$B,A3,'Dados Brutos'!$T:$T,"SIENO")</f>
        <v>0</v>
      </c>
      <c r="D3" s="5" t="n">
        <f aca="false">SUMIFS('Dados Brutos'!$C:$C,'Dados Brutos'!$B:$B,A3,'Dados Brutos'!$T:$T,"BAGATELLE")</f>
        <v>921250</v>
      </c>
      <c r="E3" s="5" t="n">
        <f aca="false">SUMIFS('Dados Brutos'!$C:$C,'Dados Brutos'!$B:$B,A3,'Dados Brutos'!$T:$T,"AUMA")</f>
        <v>1517680</v>
      </c>
      <c r="F3" s="5" t="n">
        <f aca="false">SUM(C3:E3)</f>
        <v>2438930</v>
      </c>
      <c r="G3" s="7" t="n">
        <f aca="false">SUMIF('Dados Brutos'!$B:$B,A3,'Dados Brutos'!$D:$D)</f>
        <v>3685</v>
      </c>
      <c r="H3" s="7" t="n">
        <f aca="false">COUNTIF('Dados Brutos'!$B:$B,A3)</f>
        <v>320</v>
      </c>
      <c r="I3" s="16" t="n">
        <f aca="false">IFERROR(F3/G3,0)</f>
        <v>661.853459972863</v>
      </c>
      <c r="J3" s="13" t="n">
        <f aca="false">(C3&gt;0)+(D3&gt;0)+(E3&gt;0)</f>
        <v>2</v>
      </c>
      <c r="K3" s="13" t="str">
        <f aca="false">IF(J3=3,"Sim","Não")</f>
        <v>Não</v>
      </c>
      <c r="L3" s="13" t="str">
        <f aca="false">IF(AND(I3&gt;=100,G3&gt;=100),"Sim","Não")</f>
        <v>Sim</v>
      </c>
      <c r="M3" s="13" t="n">
        <f aca="false">IF(L3="Sim",SUMPRODUCT(($L$2:L3="Sim")*1),"")</f>
        <v>2</v>
      </c>
    </row>
    <row r="4" customFormat="false" ht="15" hidden="false" customHeight="false" outlineLevel="0" collapsed="false">
      <c r="A4" s="13" t="s">
        <v>45</v>
      </c>
      <c r="B4" s="13" t="s">
        <v>43</v>
      </c>
      <c r="C4" s="5" t="n">
        <f aca="false">SUMIFS('Dados Brutos'!$C:$C,'Dados Brutos'!$B:$B,A4,'Dados Brutos'!$T:$T,"SIENO")</f>
        <v>0</v>
      </c>
      <c r="D4" s="5" t="n">
        <f aca="false">SUMIFS('Dados Brutos'!$C:$C,'Dados Brutos'!$B:$B,A4,'Dados Brutos'!$T:$T,"BAGATELLE")</f>
        <v>387830</v>
      </c>
      <c r="E4" s="5" t="n">
        <f aca="false">SUMIFS('Dados Brutos'!$C:$C,'Dados Brutos'!$B:$B,A4,'Dados Brutos'!$T:$T,"AUMA")</f>
        <v>1397570</v>
      </c>
      <c r="F4" s="5" t="n">
        <f aca="false">SUM(C4:E4)</f>
        <v>1785400</v>
      </c>
      <c r="G4" s="7" t="n">
        <f aca="false">SUMIF('Dados Brutos'!$B:$B,A4,'Dados Brutos'!$D:$D)</f>
        <v>2595</v>
      </c>
      <c r="H4" s="7" t="n">
        <f aca="false">COUNTIF('Dados Brutos'!$B:$B,A4)</f>
        <v>255</v>
      </c>
      <c r="I4" s="16" t="n">
        <f aca="false">IFERROR(F4/G4,0)</f>
        <v>688.015414258189</v>
      </c>
      <c r="J4" s="13" t="n">
        <f aca="false">(C4&gt;0)+(D4&gt;0)+(E4&gt;0)</f>
        <v>2</v>
      </c>
      <c r="K4" s="13" t="str">
        <f aca="false">IF(J4=3,"Sim","Não")</f>
        <v>Não</v>
      </c>
      <c r="L4" s="13" t="str">
        <f aca="false">IF(AND(I4&gt;=100,G4&gt;=100),"Sim","Não")</f>
        <v>Sim</v>
      </c>
      <c r="M4" s="13" t="n">
        <f aca="false">IF(L4="Sim",SUMPRODUCT(($L$2:L4="Sim")*1),"")</f>
        <v>3</v>
      </c>
    </row>
    <row r="5" customFormat="false" ht="15" hidden="false" customHeight="false" outlineLevel="0" collapsed="false">
      <c r="A5" s="13" t="s">
        <v>2094</v>
      </c>
      <c r="B5" s="13" t="s">
        <v>57</v>
      </c>
      <c r="C5" s="5" t="n">
        <f aca="false">SUMIFS('Dados Brutos'!$C:$C,'Dados Brutos'!$B:$B,A5,'Dados Brutos'!$T:$T,"SIENO")</f>
        <v>1429210</v>
      </c>
      <c r="D5" s="5" t="n">
        <f aca="false">SUMIFS('Dados Brutos'!$C:$C,'Dados Brutos'!$B:$B,A5,'Dados Brutos'!$T:$T,"BAGATELLE")</f>
        <v>0</v>
      </c>
      <c r="E5" s="5" t="n">
        <f aca="false">SUMIFS('Dados Brutos'!$C:$C,'Dados Brutos'!$B:$B,A5,'Dados Brutos'!$T:$T,"AUMA")</f>
        <v>0</v>
      </c>
      <c r="F5" s="5" t="n">
        <f aca="false">SUM(C5:E5)</f>
        <v>1429210</v>
      </c>
      <c r="G5" s="7" t="n">
        <f aca="false">SUMIF('Dados Brutos'!$B:$B,A5,'Dados Brutos'!$D:$D)</f>
        <v>16001</v>
      </c>
      <c r="H5" s="7" t="n">
        <f aca="false">COUNTIF('Dados Brutos'!$B:$B,A5)</f>
        <v>25</v>
      </c>
      <c r="I5" s="16" t="n">
        <f aca="false">IFERROR(F5/G5,0)</f>
        <v>89.3200424973439</v>
      </c>
      <c r="J5" s="13" t="n">
        <f aca="false">(C5&gt;0)+(D5&gt;0)+(E5&gt;0)</f>
        <v>1</v>
      </c>
      <c r="K5" s="13" t="str">
        <f aca="false">IF(J5=3,"Sim","Não")</f>
        <v>Não</v>
      </c>
      <c r="L5" s="13" t="str">
        <f aca="false">IF(AND(I5&gt;=100,G5&gt;=100),"Sim","Não")</f>
        <v>Não</v>
      </c>
      <c r="M5" s="13" t="str">
        <f aca="false">IF(L5="Sim",SUMPRODUCT(($L$2:L5="Sim")*1),"")</f>
        <v/>
      </c>
    </row>
    <row r="6" customFormat="false" ht="15" hidden="false" customHeight="false" outlineLevel="0" collapsed="false">
      <c r="A6" s="13" t="s">
        <v>69</v>
      </c>
      <c r="B6" s="13" t="s">
        <v>43</v>
      </c>
      <c r="C6" s="5" t="n">
        <f aca="false">SUMIFS('Dados Brutos'!$C:$C,'Dados Brutos'!$B:$B,A6,'Dados Brutos'!$T:$T,"SIENO")</f>
        <v>253760</v>
      </c>
      <c r="D6" s="5" t="n">
        <f aca="false">SUMIFS('Dados Brutos'!$C:$C,'Dados Brutos'!$B:$B,A6,'Dados Brutos'!$T:$T,"BAGATELLE")</f>
        <v>17620</v>
      </c>
      <c r="E6" s="5" t="n">
        <f aca="false">SUMIFS('Dados Brutos'!$C:$C,'Dados Brutos'!$B:$B,A6,'Dados Brutos'!$T:$T,"AUMA")</f>
        <v>521750</v>
      </c>
      <c r="F6" s="5" t="n">
        <f aca="false">SUM(C6:E6)</f>
        <v>793130</v>
      </c>
      <c r="G6" s="7" t="n">
        <f aca="false">SUMIF('Dados Brutos'!$B:$B,A6,'Dados Brutos'!$D:$D)</f>
        <v>1123</v>
      </c>
      <c r="H6" s="7" t="n">
        <f aca="false">COUNTIF('Dados Brutos'!$B:$B,A6)</f>
        <v>75</v>
      </c>
      <c r="I6" s="16" t="n">
        <f aca="false">IFERROR(F6/G6,0)</f>
        <v>706.260017809439</v>
      </c>
      <c r="J6" s="13" t="n">
        <f aca="false">(C6&gt;0)+(D6&gt;0)+(E6&gt;0)</f>
        <v>3</v>
      </c>
      <c r="K6" s="13" t="str">
        <f aca="false">IF(J6=3,"Sim","Não")</f>
        <v>Sim</v>
      </c>
      <c r="L6" s="13" t="str">
        <f aca="false">IF(AND(I6&gt;=100,G6&gt;=100),"Sim","Não")</f>
        <v>Sim</v>
      </c>
      <c r="M6" s="13" t="n">
        <f aca="false">IF(L6="Sim",SUMPRODUCT(($L$2:L6="Sim")*1),"")</f>
        <v>4</v>
      </c>
    </row>
    <row r="7" customFormat="false" ht="15" hidden="false" customHeight="false" outlineLevel="0" collapsed="false">
      <c r="A7" s="13" t="s">
        <v>79</v>
      </c>
      <c r="B7" s="13" t="s">
        <v>43</v>
      </c>
      <c r="C7" s="5" t="n">
        <f aca="false">SUMIFS('Dados Brutos'!$C:$C,'Dados Brutos'!$B:$B,A7,'Dados Brutos'!$T:$T,"SIENO")</f>
        <v>178890</v>
      </c>
      <c r="D7" s="5" t="n">
        <f aca="false">SUMIFS('Dados Brutos'!$C:$C,'Dados Brutos'!$B:$B,A7,'Dados Brutos'!$T:$T,"BAGATELLE")</f>
        <v>99900</v>
      </c>
      <c r="E7" s="5" t="n">
        <f aca="false">SUMIFS('Dados Brutos'!$C:$C,'Dados Brutos'!$B:$B,A7,'Dados Brutos'!$T:$T,"AUMA")</f>
        <v>170460</v>
      </c>
      <c r="F7" s="5" t="n">
        <f aca="false">SUM(C7:E7)</f>
        <v>449250</v>
      </c>
      <c r="G7" s="7" t="n">
        <f aca="false">SUMIF('Dados Brutos'!$B:$B,A7,'Dados Brutos'!$D:$D)</f>
        <v>670</v>
      </c>
      <c r="H7" s="7" t="n">
        <f aca="false">COUNTIF('Dados Brutos'!$B:$B,A7)</f>
        <v>112</v>
      </c>
      <c r="I7" s="16" t="n">
        <f aca="false">IFERROR(F7/G7,0)</f>
        <v>670.522388059702</v>
      </c>
      <c r="J7" s="13" t="n">
        <f aca="false">(C7&gt;0)+(D7&gt;0)+(E7&gt;0)</f>
        <v>3</v>
      </c>
      <c r="K7" s="13" t="str">
        <f aca="false">IF(J7=3,"Sim","Não")</f>
        <v>Sim</v>
      </c>
      <c r="L7" s="13" t="str">
        <f aca="false">IF(AND(I7&gt;=100,G7&gt;=100),"Sim","Não")</f>
        <v>Sim</v>
      </c>
      <c r="M7" s="13" t="n">
        <f aca="false">IF(L7="Sim",SUMPRODUCT(($L$2:L7="Sim")*1),"")</f>
        <v>5</v>
      </c>
    </row>
    <row r="8" customFormat="false" ht="15" hidden="false" customHeight="false" outlineLevel="0" collapsed="false">
      <c r="A8" s="13" t="s">
        <v>54</v>
      </c>
      <c r="B8" s="13" t="s">
        <v>43</v>
      </c>
      <c r="C8" s="5" t="n">
        <f aca="false">SUMIFS('Dados Brutos'!$C:$C,'Dados Brutos'!$B:$B,A8,'Dados Brutos'!$T:$T,"SIENO")</f>
        <v>0</v>
      </c>
      <c r="D8" s="5" t="n">
        <f aca="false">SUMIFS('Dados Brutos'!$C:$C,'Dados Brutos'!$B:$B,A8,'Dados Brutos'!$T:$T,"BAGATELLE")</f>
        <v>0</v>
      </c>
      <c r="E8" s="5" t="n">
        <f aca="false">SUMIFS('Dados Brutos'!$C:$C,'Dados Brutos'!$B:$B,A8,'Dados Brutos'!$T:$T,"AUMA")</f>
        <v>447230</v>
      </c>
      <c r="F8" s="5" t="n">
        <f aca="false">SUM(C8:E8)</f>
        <v>447230</v>
      </c>
      <c r="G8" s="7" t="n">
        <f aca="false">SUMIF('Dados Brutos'!$B:$B,A8,'Dados Brutos'!$D:$D)</f>
        <v>1310</v>
      </c>
      <c r="H8" s="7" t="n">
        <f aca="false">COUNTIF('Dados Brutos'!$B:$B,A8)</f>
        <v>108</v>
      </c>
      <c r="I8" s="16" t="n">
        <f aca="false">IFERROR(F8/G8,0)</f>
        <v>341.396946564885</v>
      </c>
      <c r="J8" s="13" t="n">
        <f aca="false">(C8&gt;0)+(D8&gt;0)+(E8&gt;0)</f>
        <v>1</v>
      </c>
      <c r="K8" s="13" t="str">
        <f aca="false">IF(J8=3,"Sim","Não")</f>
        <v>Não</v>
      </c>
      <c r="L8" s="13" t="str">
        <f aca="false">IF(AND(I8&gt;=100,G8&gt;=100),"Sim","Não")</f>
        <v>Sim</v>
      </c>
      <c r="M8" s="13" t="n">
        <f aca="false">IF(L8="Sim",SUMPRODUCT(($L$2:L8="Sim")*1),"")</f>
        <v>6</v>
      </c>
    </row>
    <row r="9" customFormat="false" ht="15" hidden="false" customHeight="false" outlineLevel="0" collapsed="false">
      <c r="A9" s="13" t="s">
        <v>61</v>
      </c>
      <c r="B9" s="13" t="s">
        <v>43</v>
      </c>
      <c r="C9" s="5" t="n">
        <f aca="false">SUMIFS('Dados Brutos'!$C:$C,'Dados Brutos'!$B:$B,A9,'Dados Brutos'!$T:$T,"SIENO")</f>
        <v>0</v>
      </c>
      <c r="D9" s="5" t="n">
        <f aca="false">SUMIFS('Dados Brutos'!$C:$C,'Dados Brutos'!$B:$B,A9,'Dados Brutos'!$T:$T,"BAGATELLE")</f>
        <v>0</v>
      </c>
      <c r="E9" s="5" t="n">
        <f aca="false">SUMIFS('Dados Brutos'!$C:$C,'Dados Brutos'!$B:$B,A9,'Dados Brutos'!$T:$T,"AUMA")</f>
        <v>443410</v>
      </c>
      <c r="F9" s="5" t="n">
        <f aca="false">SUM(C9:E9)</f>
        <v>443410</v>
      </c>
      <c r="G9" s="7" t="n">
        <f aca="false">SUMIF('Dados Brutos'!$B:$B,A9,'Dados Brutos'!$D:$D)</f>
        <v>774</v>
      </c>
      <c r="H9" s="7" t="n">
        <f aca="false">COUNTIF('Dados Brutos'!$B:$B,A9)</f>
        <v>124</v>
      </c>
      <c r="I9" s="16" t="n">
        <f aca="false">IFERROR(F9/G9,0)</f>
        <v>572.881136950904</v>
      </c>
      <c r="J9" s="13" t="n">
        <f aca="false">(C9&gt;0)+(D9&gt;0)+(E9&gt;0)</f>
        <v>1</v>
      </c>
      <c r="K9" s="13" t="str">
        <f aca="false">IF(J9=3,"Sim","Não")</f>
        <v>Não</v>
      </c>
      <c r="L9" s="13" t="str">
        <f aca="false">IF(AND(I9&gt;=100,G9&gt;=100),"Sim","Não")</f>
        <v>Sim</v>
      </c>
      <c r="M9" s="13" t="n">
        <f aca="false">IF(L9="Sim",SUMPRODUCT(($L$2:L9="Sim")*1),"")</f>
        <v>7</v>
      </c>
    </row>
    <row r="10" customFormat="false" ht="15" hidden="false" customHeight="false" outlineLevel="0" collapsed="false">
      <c r="A10" s="13" t="s">
        <v>72</v>
      </c>
      <c r="B10" s="13" t="s">
        <v>43</v>
      </c>
      <c r="C10" s="5" t="n">
        <f aca="false">SUMIFS('Dados Brutos'!$C:$C,'Dados Brutos'!$B:$B,A10,'Dados Brutos'!$T:$T,"SIENO")</f>
        <v>33000</v>
      </c>
      <c r="D10" s="5" t="n">
        <f aca="false">SUMIFS('Dados Brutos'!$C:$C,'Dados Brutos'!$B:$B,A10,'Dados Brutos'!$T:$T,"BAGATELLE")</f>
        <v>940</v>
      </c>
      <c r="E10" s="5" t="n">
        <f aca="false">SUMIFS('Dados Brutos'!$C:$C,'Dados Brutos'!$B:$B,A10,'Dados Brutos'!$T:$T,"AUMA")</f>
        <v>372630</v>
      </c>
      <c r="F10" s="5" t="n">
        <f aca="false">SUM(C10:E10)</f>
        <v>406570</v>
      </c>
      <c r="G10" s="7" t="n">
        <f aca="false">SUMIF('Dados Brutos'!$B:$B,A10,'Dados Brutos'!$D:$D)</f>
        <v>519</v>
      </c>
      <c r="H10" s="7" t="n">
        <f aca="false">COUNTIF('Dados Brutos'!$B:$B,A10)</f>
        <v>44</v>
      </c>
      <c r="I10" s="16" t="n">
        <f aca="false">IFERROR(F10/G10,0)</f>
        <v>783.371868978805</v>
      </c>
      <c r="J10" s="13" t="n">
        <f aca="false">(C10&gt;0)+(D10&gt;0)+(E10&gt;0)</f>
        <v>3</v>
      </c>
      <c r="K10" s="13" t="str">
        <f aca="false">IF(J10=3,"Sim","Não")</f>
        <v>Sim</v>
      </c>
      <c r="L10" s="13" t="str">
        <f aca="false">IF(AND(I10&gt;=100,G10&gt;=100),"Sim","Não")</f>
        <v>Sim</v>
      </c>
      <c r="M10" s="13" t="n">
        <f aca="false">IF(L10="Sim",SUMPRODUCT(($L$2:L10="Sim")*1),"")</f>
        <v>8</v>
      </c>
    </row>
    <row r="11" customFormat="false" ht="15" hidden="false" customHeight="false" outlineLevel="0" collapsed="false">
      <c r="A11" s="13" t="s">
        <v>124</v>
      </c>
      <c r="B11" s="13" t="s">
        <v>43</v>
      </c>
      <c r="C11" s="5" t="n">
        <f aca="false">SUMIFS('Dados Brutos'!$C:$C,'Dados Brutos'!$B:$B,A11,'Dados Brutos'!$T:$T,"SIENO")</f>
        <v>0</v>
      </c>
      <c r="D11" s="5" t="n">
        <f aca="false">SUMIFS('Dados Brutos'!$C:$C,'Dados Brutos'!$B:$B,A11,'Dados Brutos'!$T:$T,"BAGATELLE")</f>
        <v>0</v>
      </c>
      <c r="E11" s="5" t="n">
        <f aca="false">SUMIFS('Dados Brutos'!$C:$C,'Dados Brutos'!$B:$B,A11,'Dados Brutos'!$T:$T,"AUMA")</f>
        <v>402220</v>
      </c>
      <c r="F11" s="5" t="n">
        <f aca="false">SUM(C11:E11)</f>
        <v>402220</v>
      </c>
      <c r="G11" s="7" t="n">
        <f aca="false">SUMIF('Dados Brutos'!$B:$B,A11,'Dados Brutos'!$D:$D)</f>
        <v>540</v>
      </c>
      <c r="H11" s="7" t="n">
        <f aca="false">COUNTIF('Dados Brutos'!$B:$B,A11)</f>
        <v>83</v>
      </c>
      <c r="I11" s="16" t="n">
        <f aca="false">IFERROR(F11/G11,0)</f>
        <v>744.851851851852</v>
      </c>
      <c r="J11" s="13" t="n">
        <f aca="false">(C11&gt;0)+(D11&gt;0)+(E11&gt;0)</f>
        <v>1</v>
      </c>
      <c r="K11" s="13" t="str">
        <f aca="false">IF(J11=3,"Sim","Não")</f>
        <v>Não</v>
      </c>
      <c r="L11" s="13" t="str">
        <f aca="false">IF(AND(I11&gt;=100,G11&gt;=100),"Sim","Não")</f>
        <v>Sim</v>
      </c>
      <c r="M11" s="13" t="n">
        <f aca="false">IF(L11="Sim",SUMPRODUCT(($L$2:L11="Sim")*1),"")</f>
        <v>9</v>
      </c>
    </row>
    <row r="12" customFormat="false" ht="15" hidden="false" customHeight="false" outlineLevel="0" collapsed="false">
      <c r="A12" s="13" t="s">
        <v>2095</v>
      </c>
      <c r="B12" s="13" t="s">
        <v>140</v>
      </c>
      <c r="C12" s="5" t="n">
        <f aca="false">SUMIFS('Dados Brutos'!$C:$C,'Dados Brutos'!$B:$B,A12,'Dados Brutos'!$T:$T,"SIENO")</f>
        <v>358960</v>
      </c>
      <c r="D12" s="5" t="n">
        <f aca="false">SUMIFS('Dados Brutos'!$C:$C,'Dados Brutos'!$B:$B,A12,'Dados Brutos'!$T:$T,"BAGATELLE")</f>
        <v>0</v>
      </c>
      <c r="E12" s="5" t="n">
        <f aca="false">SUMIFS('Dados Brutos'!$C:$C,'Dados Brutos'!$B:$B,A12,'Dados Brutos'!$T:$T,"AUMA")</f>
        <v>0</v>
      </c>
      <c r="F12" s="5" t="n">
        <f aca="false">SUM(C12:E12)</f>
        <v>358960</v>
      </c>
      <c r="G12" s="7" t="n">
        <f aca="false">SUMIF('Dados Brutos'!$B:$B,A12,'Dados Brutos'!$D:$D)</f>
        <v>4666</v>
      </c>
      <c r="H12" s="7" t="n">
        <f aca="false">COUNTIF('Dados Brutos'!$B:$B,A12)</f>
        <v>40</v>
      </c>
      <c r="I12" s="16" t="n">
        <f aca="false">IFERROR(F12/G12,0)</f>
        <v>76.9309901414488</v>
      </c>
      <c r="J12" s="13" t="n">
        <f aca="false">(C12&gt;0)+(D12&gt;0)+(E12&gt;0)</f>
        <v>1</v>
      </c>
      <c r="K12" s="13" t="str">
        <f aca="false">IF(J12=3,"Sim","Não")</f>
        <v>Não</v>
      </c>
      <c r="L12" s="13" t="str">
        <f aca="false">IF(AND(I12&gt;=100,G12&gt;=100),"Sim","Não")</f>
        <v>Não</v>
      </c>
      <c r="M12" s="13" t="str">
        <f aca="false">IF(L12="Sim",SUMPRODUCT(($L$2:L12="Sim")*1),"")</f>
        <v/>
      </c>
    </row>
    <row r="13" customFormat="false" ht="15" hidden="false" customHeight="false" outlineLevel="0" collapsed="false">
      <c r="A13" s="13" t="s">
        <v>65</v>
      </c>
      <c r="B13" s="13" t="s">
        <v>66</v>
      </c>
      <c r="C13" s="5" t="n">
        <f aca="false">SUMIFS('Dados Brutos'!$C:$C,'Dados Brutos'!$B:$B,A13,'Dados Brutos'!$T:$T,"SIENO")</f>
        <v>344600</v>
      </c>
      <c r="D13" s="5" t="n">
        <f aca="false">SUMIFS('Dados Brutos'!$C:$C,'Dados Brutos'!$B:$B,A13,'Dados Brutos'!$T:$T,"BAGATELLE")</f>
        <v>0</v>
      </c>
      <c r="E13" s="5" t="n">
        <f aca="false">SUMIFS('Dados Brutos'!$C:$C,'Dados Brutos'!$B:$B,A13,'Dados Brutos'!$T:$T,"AUMA")</f>
        <v>0</v>
      </c>
      <c r="F13" s="5" t="n">
        <f aca="false">SUM(C13:E13)</f>
        <v>344600</v>
      </c>
      <c r="G13" s="7" t="n">
        <f aca="false">SUMIF('Dados Brutos'!$B:$B,A13,'Dados Brutos'!$D:$D)</f>
        <v>1042</v>
      </c>
      <c r="H13" s="7" t="n">
        <f aca="false">COUNTIF('Dados Brutos'!$B:$B,A13)</f>
        <v>16</v>
      </c>
      <c r="I13" s="16" t="n">
        <f aca="false">IFERROR(F13/G13,0)</f>
        <v>330.710172744722</v>
      </c>
      <c r="J13" s="13" t="n">
        <f aca="false">(C13&gt;0)+(D13&gt;0)+(E13&gt;0)</f>
        <v>1</v>
      </c>
      <c r="K13" s="13" t="str">
        <f aca="false">IF(J13=3,"Sim","Não")</f>
        <v>Não</v>
      </c>
      <c r="L13" s="13" t="str">
        <f aca="false">IF(AND(I13&gt;=100,G13&gt;=100),"Sim","Não")</f>
        <v>Sim</v>
      </c>
      <c r="M13" s="13" t="n">
        <f aca="false">IF(L13="Sim",SUMPRODUCT(($L$2:L13="Sim")*1),"")</f>
        <v>10</v>
      </c>
    </row>
    <row r="14" customFormat="false" ht="15" hidden="false" customHeight="false" outlineLevel="0" collapsed="false">
      <c r="A14" s="13" t="s">
        <v>2096</v>
      </c>
      <c r="B14" s="13" t="s">
        <v>43</v>
      </c>
      <c r="C14" s="5" t="n">
        <f aca="false">SUMIFS('Dados Brutos'!$C:$C,'Dados Brutos'!$B:$B,A14,'Dados Brutos'!$T:$T,"SIENO")</f>
        <v>322810</v>
      </c>
      <c r="D14" s="5" t="n">
        <f aca="false">SUMIFS('Dados Brutos'!$C:$C,'Dados Brutos'!$B:$B,A14,'Dados Brutos'!$T:$T,"BAGATELLE")</f>
        <v>0</v>
      </c>
      <c r="E14" s="5" t="n">
        <f aca="false">SUMIFS('Dados Brutos'!$C:$C,'Dados Brutos'!$B:$B,A14,'Dados Brutos'!$T:$T,"AUMA")</f>
        <v>0</v>
      </c>
      <c r="F14" s="5" t="n">
        <f aca="false">SUM(C14:E14)</f>
        <v>322810</v>
      </c>
      <c r="G14" s="7" t="n">
        <f aca="false">SUMIF('Dados Brutos'!$B:$B,A14,'Dados Brutos'!$D:$D)</f>
        <v>3235</v>
      </c>
      <c r="H14" s="7" t="n">
        <f aca="false">COUNTIF('Dados Brutos'!$B:$B,A14)</f>
        <v>23</v>
      </c>
      <c r="I14" s="16" t="n">
        <f aca="false">IFERROR(F14/G14,0)</f>
        <v>99.7867078825348</v>
      </c>
      <c r="J14" s="13" t="n">
        <f aca="false">(C14&gt;0)+(D14&gt;0)+(E14&gt;0)</f>
        <v>1</v>
      </c>
      <c r="K14" s="13" t="str">
        <f aca="false">IF(J14=3,"Sim","Não")</f>
        <v>Não</v>
      </c>
      <c r="L14" s="13" t="str">
        <f aca="false">IF(AND(I14&gt;=100,G14&gt;=100),"Sim","Não")</f>
        <v>Não</v>
      </c>
      <c r="M14" s="13" t="str">
        <f aca="false">IF(L14="Sim",SUMPRODUCT(($L$2:L14="Sim")*1),"")</f>
        <v/>
      </c>
    </row>
    <row r="15" customFormat="false" ht="15" hidden="false" customHeight="false" outlineLevel="0" collapsed="false">
      <c r="A15" s="13" t="s">
        <v>87</v>
      </c>
      <c r="B15" s="13" t="s">
        <v>66</v>
      </c>
      <c r="C15" s="5" t="n">
        <f aca="false">SUMIFS('Dados Brutos'!$C:$C,'Dados Brutos'!$B:$B,A15,'Dados Brutos'!$T:$T,"SIENO")</f>
        <v>314200</v>
      </c>
      <c r="D15" s="5" t="n">
        <f aca="false">SUMIFS('Dados Brutos'!$C:$C,'Dados Brutos'!$B:$B,A15,'Dados Brutos'!$T:$T,"BAGATELLE")</f>
        <v>0</v>
      </c>
      <c r="E15" s="5" t="n">
        <f aca="false">SUMIFS('Dados Brutos'!$C:$C,'Dados Brutos'!$B:$B,A15,'Dados Brutos'!$T:$T,"AUMA")</f>
        <v>0</v>
      </c>
      <c r="F15" s="5" t="n">
        <f aca="false">SUM(C15:E15)</f>
        <v>314200</v>
      </c>
      <c r="G15" s="7" t="n">
        <f aca="false">SUMIF('Dados Brutos'!$B:$B,A15,'Dados Brutos'!$D:$D)</f>
        <v>1307</v>
      </c>
      <c r="H15" s="7" t="n">
        <f aca="false">COUNTIF('Dados Brutos'!$B:$B,A15)</f>
        <v>18</v>
      </c>
      <c r="I15" s="16" t="n">
        <f aca="false">IFERROR(F15/G15,0)</f>
        <v>240.397857689365</v>
      </c>
      <c r="J15" s="13" t="n">
        <f aca="false">(C15&gt;0)+(D15&gt;0)+(E15&gt;0)</f>
        <v>1</v>
      </c>
      <c r="K15" s="13" t="str">
        <f aca="false">IF(J15=3,"Sim","Não")</f>
        <v>Não</v>
      </c>
      <c r="L15" s="13" t="str">
        <f aca="false">IF(AND(I15&gt;=100,G15&gt;=100),"Sim","Não")</f>
        <v>Sim</v>
      </c>
      <c r="M15" s="13" t="n">
        <f aca="false">IF(L15="Sim",SUMPRODUCT(($L$2:L15="Sim")*1),"")</f>
        <v>11</v>
      </c>
    </row>
    <row r="16" customFormat="false" ht="15" hidden="false" customHeight="false" outlineLevel="0" collapsed="false">
      <c r="A16" s="13" t="s">
        <v>153</v>
      </c>
      <c r="B16" s="13" t="s">
        <v>43</v>
      </c>
      <c r="C16" s="5" t="n">
        <f aca="false">SUMIFS('Dados Brutos'!$C:$C,'Dados Brutos'!$B:$B,A16,'Dados Brutos'!$T:$T,"SIENO")</f>
        <v>0</v>
      </c>
      <c r="D16" s="5" t="n">
        <f aca="false">SUMIFS('Dados Brutos'!$C:$C,'Dados Brutos'!$B:$B,A16,'Dados Brutos'!$T:$T,"BAGATELLE")</f>
        <v>77180</v>
      </c>
      <c r="E16" s="5" t="n">
        <f aca="false">SUMIFS('Dados Brutos'!$C:$C,'Dados Brutos'!$B:$B,A16,'Dados Brutos'!$T:$T,"AUMA")</f>
        <v>235620</v>
      </c>
      <c r="F16" s="5" t="n">
        <f aca="false">SUM(C16:E16)</f>
        <v>312800</v>
      </c>
      <c r="G16" s="7" t="n">
        <f aca="false">SUMIF('Dados Brutos'!$B:$B,A16,'Dados Brutos'!$D:$D)</f>
        <v>534</v>
      </c>
      <c r="H16" s="7" t="n">
        <f aca="false">COUNTIF('Dados Brutos'!$B:$B,A16)</f>
        <v>151</v>
      </c>
      <c r="I16" s="16" t="n">
        <f aca="false">IFERROR(F16/G16,0)</f>
        <v>585.767790262172</v>
      </c>
      <c r="J16" s="13" t="n">
        <f aca="false">(C16&gt;0)+(D16&gt;0)+(E16&gt;0)</f>
        <v>2</v>
      </c>
      <c r="K16" s="13" t="str">
        <f aca="false">IF(J16=3,"Sim","Não")</f>
        <v>Não</v>
      </c>
      <c r="L16" s="13" t="str">
        <f aca="false">IF(AND(I16&gt;=100,G16&gt;=100),"Sim","Não")</f>
        <v>Sim</v>
      </c>
      <c r="M16" s="13" t="n">
        <f aca="false">IF(L16="Sim",SUMPRODUCT(($L$2:L16="Sim")*1),"")</f>
        <v>12</v>
      </c>
    </row>
    <row r="17" customFormat="false" ht="15" hidden="false" customHeight="false" outlineLevel="0" collapsed="false">
      <c r="A17" s="13" t="s">
        <v>2097</v>
      </c>
      <c r="B17" s="13" t="s">
        <v>140</v>
      </c>
      <c r="C17" s="5" t="n">
        <f aca="false">SUMIFS('Dados Brutos'!$C:$C,'Dados Brutos'!$B:$B,A17,'Dados Brutos'!$T:$T,"SIENO")</f>
        <v>277490</v>
      </c>
      <c r="D17" s="5" t="n">
        <f aca="false">SUMIFS('Dados Brutos'!$C:$C,'Dados Brutos'!$B:$B,A17,'Dados Brutos'!$T:$T,"BAGATELLE")</f>
        <v>0</v>
      </c>
      <c r="E17" s="5" t="n">
        <f aca="false">SUMIFS('Dados Brutos'!$C:$C,'Dados Brutos'!$B:$B,A17,'Dados Brutos'!$T:$T,"AUMA")</f>
        <v>0</v>
      </c>
      <c r="F17" s="5" t="n">
        <f aca="false">SUM(C17:E17)</f>
        <v>277490</v>
      </c>
      <c r="G17" s="7" t="n">
        <f aca="false">SUMIF('Dados Brutos'!$B:$B,A17,'Dados Brutos'!$D:$D)</f>
        <v>4954</v>
      </c>
      <c r="H17" s="7" t="n">
        <f aca="false">COUNTIF('Dados Brutos'!$B:$B,A17)</f>
        <v>16</v>
      </c>
      <c r="I17" s="16" t="n">
        <f aca="false">IFERROR(F17/G17,0)</f>
        <v>56.0133225676221</v>
      </c>
      <c r="J17" s="13" t="n">
        <f aca="false">(C17&gt;0)+(D17&gt;0)+(E17&gt;0)</f>
        <v>1</v>
      </c>
      <c r="K17" s="13" t="str">
        <f aca="false">IF(J17=3,"Sim","Não")</f>
        <v>Não</v>
      </c>
      <c r="L17" s="13" t="str">
        <f aca="false">IF(AND(I17&gt;=100,G17&gt;=100),"Sim","Não")</f>
        <v>Não</v>
      </c>
      <c r="M17" s="13" t="str">
        <f aca="false">IF(L17="Sim",SUMPRODUCT(($L$2:L17="Sim")*1),"")</f>
        <v/>
      </c>
    </row>
    <row r="18" customFormat="false" ht="15" hidden="false" customHeight="false" outlineLevel="0" collapsed="false">
      <c r="A18" s="13" t="s">
        <v>2098</v>
      </c>
      <c r="B18" s="13" t="s">
        <v>57</v>
      </c>
      <c r="C18" s="5" t="n">
        <f aca="false">SUMIFS('Dados Brutos'!$C:$C,'Dados Brutos'!$B:$B,A18,'Dados Brutos'!$T:$T,"SIENO")</f>
        <v>256040</v>
      </c>
      <c r="D18" s="5" t="n">
        <f aca="false">SUMIFS('Dados Brutos'!$C:$C,'Dados Brutos'!$B:$B,A18,'Dados Brutos'!$T:$T,"BAGATELLE")</f>
        <v>0</v>
      </c>
      <c r="E18" s="5" t="n">
        <f aca="false">SUMIFS('Dados Brutos'!$C:$C,'Dados Brutos'!$B:$B,A18,'Dados Brutos'!$T:$T,"AUMA")</f>
        <v>0</v>
      </c>
      <c r="F18" s="5" t="n">
        <f aca="false">SUM(C18:E18)</f>
        <v>256040</v>
      </c>
      <c r="G18" s="7" t="n">
        <f aca="false">SUMIF('Dados Brutos'!$B:$B,A18,'Dados Brutos'!$D:$D)</f>
        <v>3577</v>
      </c>
      <c r="H18" s="7" t="n">
        <f aca="false">COUNTIF('Dados Brutos'!$B:$B,A18)</f>
        <v>7</v>
      </c>
      <c r="I18" s="16" t="n">
        <f aca="false">IFERROR(F18/G18,0)</f>
        <v>71.5795359239586</v>
      </c>
      <c r="J18" s="13" t="n">
        <f aca="false">(C18&gt;0)+(D18&gt;0)+(E18&gt;0)</f>
        <v>1</v>
      </c>
      <c r="K18" s="13" t="str">
        <f aca="false">IF(J18=3,"Sim","Não")</f>
        <v>Não</v>
      </c>
      <c r="L18" s="13" t="str">
        <f aca="false">IF(AND(I18&gt;=100,G18&gt;=100),"Sim","Não")</f>
        <v>Não</v>
      </c>
      <c r="M18" s="13" t="str">
        <f aca="false">IF(L18="Sim",SUMPRODUCT(($L$2:L18="Sim")*1),"")</f>
        <v/>
      </c>
    </row>
    <row r="19" customFormat="false" ht="15" hidden="false" customHeight="false" outlineLevel="0" collapsed="false">
      <c r="A19" s="13" t="s">
        <v>107</v>
      </c>
      <c r="B19" s="13" t="s">
        <v>43</v>
      </c>
      <c r="C19" s="5" t="n">
        <f aca="false">SUMIFS('Dados Brutos'!$C:$C,'Dados Brutos'!$B:$B,A19,'Dados Brutos'!$T:$T,"SIENO")</f>
        <v>0</v>
      </c>
      <c r="D19" s="5" t="n">
        <f aca="false">SUMIFS('Dados Brutos'!$C:$C,'Dados Brutos'!$B:$B,A19,'Dados Brutos'!$T:$T,"BAGATELLE")</f>
        <v>0</v>
      </c>
      <c r="E19" s="5" t="n">
        <f aca="false">SUMIFS('Dados Brutos'!$C:$C,'Dados Brutos'!$B:$B,A19,'Dados Brutos'!$T:$T,"AUMA")</f>
        <v>233560</v>
      </c>
      <c r="F19" s="5" t="n">
        <f aca="false">SUM(C19:E19)</f>
        <v>233560</v>
      </c>
      <c r="G19" s="7" t="n">
        <f aca="false">SUMIF('Dados Brutos'!$B:$B,A19,'Dados Brutos'!$D:$D)</f>
        <v>1501</v>
      </c>
      <c r="H19" s="7" t="n">
        <f aca="false">COUNTIF('Dados Brutos'!$B:$B,A19)</f>
        <v>89</v>
      </c>
      <c r="I19" s="16" t="n">
        <f aca="false">IFERROR(F19/G19,0)</f>
        <v>155.602931379081</v>
      </c>
      <c r="J19" s="13" t="n">
        <f aca="false">(C19&gt;0)+(D19&gt;0)+(E19&gt;0)</f>
        <v>1</v>
      </c>
      <c r="K19" s="13" t="str">
        <f aca="false">IF(J19=3,"Sim","Não")</f>
        <v>Não</v>
      </c>
      <c r="L19" s="13" t="str">
        <f aca="false">IF(AND(I19&gt;=100,G19&gt;=100),"Sim","Não")</f>
        <v>Sim</v>
      </c>
      <c r="M19" s="13" t="n">
        <f aca="false">IF(L19="Sim",SUMPRODUCT(($L$2:L19="Sim")*1),"")</f>
        <v>13</v>
      </c>
    </row>
    <row r="20" customFormat="false" ht="15" hidden="false" customHeight="false" outlineLevel="0" collapsed="false">
      <c r="A20" s="13" t="s">
        <v>105</v>
      </c>
      <c r="B20" s="13" t="s">
        <v>43</v>
      </c>
      <c r="C20" s="5" t="n">
        <f aca="false">SUMIFS('Dados Brutos'!$C:$C,'Dados Brutos'!$B:$B,A20,'Dados Brutos'!$T:$T,"SIENO")</f>
        <v>85500</v>
      </c>
      <c r="D20" s="5" t="n">
        <f aca="false">SUMIFS('Dados Brutos'!$C:$C,'Dados Brutos'!$B:$B,A20,'Dados Brutos'!$T:$T,"BAGATELLE")</f>
        <v>49190</v>
      </c>
      <c r="E20" s="5" t="n">
        <f aca="false">SUMIFS('Dados Brutos'!$C:$C,'Dados Brutos'!$B:$B,A20,'Dados Brutos'!$T:$T,"AUMA")</f>
        <v>76360</v>
      </c>
      <c r="F20" s="5" t="n">
        <f aca="false">SUM(C20:E20)</f>
        <v>211050</v>
      </c>
      <c r="G20" s="7" t="n">
        <f aca="false">SUMIF('Dados Brutos'!$B:$B,A20,'Dados Brutos'!$D:$D)</f>
        <v>426</v>
      </c>
      <c r="H20" s="7" t="n">
        <f aca="false">COUNTIF('Dados Brutos'!$B:$B,A20)</f>
        <v>56</v>
      </c>
      <c r="I20" s="16" t="n">
        <f aca="false">IFERROR(F20/G20,0)</f>
        <v>495.422535211268</v>
      </c>
      <c r="J20" s="13" t="n">
        <f aca="false">(C20&gt;0)+(D20&gt;0)+(E20&gt;0)</f>
        <v>3</v>
      </c>
      <c r="K20" s="13" t="str">
        <f aca="false">IF(J20=3,"Sim","Não")</f>
        <v>Sim</v>
      </c>
      <c r="L20" s="13" t="str">
        <f aca="false">IF(AND(I20&gt;=100,G20&gt;=100),"Sim","Não")</f>
        <v>Sim</v>
      </c>
      <c r="M20" s="13" t="n">
        <f aca="false">IF(L20="Sim",SUMPRODUCT(($L$2:L20="Sim")*1),"")</f>
        <v>14</v>
      </c>
    </row>
    <row r="21" customFormat="false" ht="15" hidden="false" customHeight="false" outlineLevel="0" collapsed="false">
      <c r="A21" s="13" t="s">
        <v>131</v>
      </c>
      <c r="B21" s="13" t="s">
        <v>66</v>
      </c>
      <c r="C21" s="5" t="n">
        <f aca="false">SUMIFS('Dados Brutos'!$C:$C,'Dados Brutos'!$B:$B,A21,'Dados Brutos'!$T:$T,"SIENO")</f>
        <v>207870</v>
      </c>
      <c r="D21" s="5" t="n">
        <f aca="false">SUMIFS('Dados Brutos'!$C:$C,'Dados Brutos'!$B:$B,A21,'Dados Brutos'!$T:$T,"BAGATELLE")</f>
        <v>0</v>
      </c>
      <c r="E21" s="5" t="n">
        <f aca="false">SUMIFS('Dados Brutos'!$C:$C,'Dados Brutos'!$B:$B,A21,'Dados Brutos'!$T:$T,"AUMA")</f>
        <v>0</v>
      </c>
      <c r="F21" s="5" t="n">
        <f aca="false">SUM(C21:E21)</f>
        <v>207870</v>
      </c>
      <c r="G21" s="7" t="n">
        <f aca="false">SUMIF('Dados Brutos'!$B:$B,A21,'Dados Brutos'!$D:$D)</f>
        <v>1351</v>
      </c>
      <c r="H21" s="7" t="n">
        <f aca="false">COUNTIF('Dados Brutos'!$B:$B,A21)</f>
        <v>14</v>
      </c>
      <c r="I21" s="16" t="n">
        <f aca="false">IFERROR(F21/G21,0)</f>
        <v>153.863804589193</v>
      </c>
      <c r="J21" s="13" t="n">
        <f aca="false">(C21&gt;0)+(D21&gt;0)+(E21&gt;0)</f>
        <v>1</v>
      </c>
      <c r="K21" s="13" t="str">
        <f aca="false">IF(J21=3,"Sim","Não")</f>
        <v>Não</v>
      </c>
      <c r="L21" s="13" t="str">
        <f aca="false">IF(AND(I21&gt;=100,G21&gt;=100),"Sim","Não")</f>
        <v>Sim</v>
      </c>
      <c r="M21" s="13" t="n">
        <f aca="false">IF(L21="Sim",SUMPRODUCT(($L$2:L21="Sim")*1),"")</f>
        <v>15</v>
      </c>
    </row>
    <row r="22" customFormat="false" ht="15" hidden="false" customHeight="false" outlineLevel="0" collapsed="false">
      <c r="A22" s="13" t="s">
        <v>179</v>
      </c>
      <c r="B22" s="13" t="s">
        <v>180</v>
      </c>
      <c r="C22" s="5" t="n">
        <f aca="false">SUMIFS('Dados Brutos'!$C:$C,'Dados Brutos'!$B:$B,A22,'Dados Brutos'!$T:$T,"SIENO")</f>
        <v>202830</v>
      </c>
      <c r="D22" s="5" t="n">
        <f aca="false">SUMIFS('Dados Brutos'!$C:$C,'Dados Brutos'!$B:$B,A22,'Dados Brutos'!$T:$T,"BAGATELLE")</f>
        <v>0</v>
      </c>
      <c r="E22" s="5" t="n">
        <f aca="false">SUMIFS('Dados Brutos'!$C:$C,'Dados Brutos'!$B:$B,A22,'Dados Brutos'!$T:$T,"AUMA")</f>
        <v>0</v>
      </c>
      <c r="F22" s="5" t="n">
        <f aca="false">SUM(C22:E22)</f>
        <v>202830</v>
      </c>
      <c r="G22" s="7" t="n">
        <f aca="false">SUMIF('Dados Brutos'!$B:$B,A22,'Dados Brutos'!$D:$D)</f>
        <v>1208</v>
      </c>
      <c r="H22" s="7" t="n">
        <f aca="false">COUNTIF('Dados Brutos'!$B:$B,A22)</f>
        <v>57</v>
      </c>
      <c r="I22" s="16" t="n">
        <f aca="false">IFERROR(F22/G22,0)</f>
        <v>167.905629139073</v>
      </c>
      <c r="J22" s="13" t="n">
        <f aca="false">(C22&gt;0)+(D22&gt;0)+(E22&gt;0)</f>
        <v>1</v>
      </c>
      <c r="K22" s="13" t="str">
        <f aca="false">IF(J22=3,"Sim","Não")</f>
        <v>Não</v>
      </c>
      <c r="L22" s="13" t="str">
        <f aca="false">IF(AND(I22&gt;=100,G22&gt;=100),"Sim","Não")</f>
        <v>Sim</v>
      </c>
      <c r="M22" s="13" t="n">
        <f aca="false">IF(L22="Sim",SUMPRODUCT(($L$2:L22="Sim")*1),"")</f>
        <v>16</v>
      </c>
    </row>
    <row r="23" customFormat="false" ht="15" hidden="false" customHeight="false" outlineLevel="0" collapsed="false">
      <c r="A23" s="13" t="s">
        <v>186</v>
      </c>
      <c r="B23" s="13" t="s">
        <v>43</v>
      </c>
      <c r="C23" s="5" t="n">
        <f aca="false">SUMIFS('Dados Brutos'!$C:$C,'Dados Brutos'!$B:$B,A23,'Dados Brutos'!$T:$T,"SIENO")</f>
        <v>65700</v>
      </c>
      <c r="D23" s="5" t="n">
        <f aca="false">SUMIFS('Dados Brutos'!$C:$C,'Dados Brutos'!$B:$B,A23,'Dados Brutos'!$T:$T,"BAGATELLE")</f>
        <v>128030</v>
      </c>
      <c r="E23" s="5" t="n">
        <f aca="false">SUMIFS('Dados Brutos'!$C:$C,'Dados Brutos'!$B:$B,A23,'Dados Brutos'!$T:$T,"AUMA")</f>
        <v>5280</v>
      </c>
      <c r="F23" s="5" t="n">
        <f aca="false">SUM(C23:E23)</f>
        <v>199010</v>
      </c>
      <c r="G23" s="7" t="n">
        <f aca="false">SUMIF('Dados Brutos'!$B:$B,A23,'Dados Brutos'!$D:$D)</f>
        <v>507</v>
      </c>
      <c r="H23" s="7" t="n">
        <f aca="false">COUNTIF('Dados Brutos'!$B:$B,A23)</f>
        <v>37</v>
      </c>
      <c r="I23" s="16" t="n">
        <f aca="false">IFERROR(F23/G23,0)</f>
        <v>392.524654832347</v>
      </c>
      <c r="J23" s="13" t="n">
        <f aca="false">(C23&gt;0)+(D23&gt;0)+(E23&gt;0)</f>
        <v>3</v>
      </c>
      <c r="K23" s="13" t="str">
        <f aca="false">IF(J23=3,"Sim","Não")</f>
        <v>Sim</v>
      </c>
      <c r="L23" s="13" t="str">
        <f aca="false">IF(AND(I23&gt;=100,G23&gt;=100),"Sim","Não")</f>
        <v>Sim</v>
      </c>
      <c r="M23" s="13" t="n">
        <f aca="false">IF(L23="Sim",SUMPRODUCT(($L$2:L23="Sim")*1),"")</f>
        <v>17</v>
      </c>
    </row>
    <row r="24" customFormat="false" ht="15" hidden="false" customHeight="false" outlineLevel="0" collapsed="false">
      <c r="A24" s="13" t="s">
        <v>81</v>
      </c>
      <c r="B24" s="13" t="s">
        <v>85</v>
      </c>
      <c r="C24" s="5" t="n">
        <f aca="false">SUMIFS('Dados Brutos'!$C:$C,'Dados Brutos'!$B:$B,A24,'Dados Brutos'!$T:$T,"SIENO")</f>
        <v>196270</v>
      </c>
      <c r="D24" s="5" t="n">
        <f aca="false">SUMIFS('Dados Brutos'!$C:$C,'Dados Brutos'!$B:$B,A24,'Dados Brutos'!$T:$T,"BAGATELLE")</f>
        <v>0</v>
      </c>
      <c r="E24" s="5" t="n">
        <f aca="false">SUMIFS('Dados Brutos'!$C:$C,'Dados Brutos'!$B:$B,A24,'Dados Brutos'!$T:$T,"AUMA")</f>
        <v>0</v>
      </c>
      <c r="F24" s="5" t="n">
        <f aca="false">SUM(C24:E24)</f>
        <v>196270</v>
      </c>
      <c r="G24" s="7" t="n">
        <f aca="false">SUMIF('Dados Brutos'!$B:$B,A24,'Dados Brutos'!$D:$D)</f>
        <v>1905</v>
      </c>
      <c r="H24" s="7" t="n">
        <f aca="false">COUNTIF('Dados Brutos'!$B:$B,A24)</f>
        <v>11</v>
      </c>
      <c r="I24" s="16" t="n">
        <f aca="false">IFERROR(F24/G24,0)</f>
        <v>103.028871391076</v>
      </c>
      <c r="J24" s="13" t="n">
        <f aca="false">(C24&gt;0)+(D24&gt;0)+(E24&gt;0)</f>
        <v>1</v>
      </c>
      <c r="K24" s="13" t="str">
        <f aca="false">IF(J24=3,"Sim","Não")</f>
        <v>Não</v>
      </c>
      <c r="L24" s="13" t="str">
        <f aca="false">IF(AND(I24&gt;=100,G24&gt;=100),"Sim","Não")</f>
        <v>Sim</v>
      </c>
      <c r="M24" s="13" t="n">
        <f aca="false">IF(L24="Sim",SUMPRODUCT(($L$2:L24="Sim")*1),"")</f>
        <v>18</v>
      </c>
    </row>
    <row r="25" customFormat="false" ht="15" hidden="false" customHeight="false" outlineLevel="0" collapsed="false">
      <c r="A25" s="13" t="s">
        <v>193</v>
      </c>
      <c r="B25" s="13" t="s">
        <v>43</v>
      </c>
      <c r="C25" s="5" t="n">
        <f aca="false">SUMIFS('Dados Brutos'!$C:$C,'Dados Brutos'!$B:$B,A25,'Dados Brutos'!$T:$T,"SIENO")</f>
        <v>0</v>
      </c>
      <c r="D25" s="5" t="n">
        <f aca="false">SUMIFS('Dados Brutos'!$C:$C,'Dados Brutos'!$B:$B,A25,'Dados Brutos'!$T:$T,"BAGATELLE")</f>
        <v>0</v>
      </c>
      <c r="E25" s="5" t="n">
        <f aca="false">SUMIFS('Dados Brutos'!$C:$C,'Dados Brutos'!$B:$B,A25,'Dados Brutos'!$T:$T,"AUMA")</f>
        <v>193570</v>
      </c>
      <c r="F25" s="5" t="n">
        <f aca="false">SUM(C25:E25)</f>
        <v>193570</v>
      </c>
      <c r="G25" s="7" t="n">
        <f aca="false">SUMIF('Dados Brutos'!$B:$B,A25,'Dados Brutos'!$D:$D)</f>
        <v>270</v>
      </c>
      <c r="H25" s="7" t="n">
        <f aca="false">COUNTIF('Dados Brutos'!$B:$B,A25)</f>
        <v>31</v>
      </c>
      <c r="I25" s="16" t="n">
        <f aca="false">IFERROR(F25/G25,0)</f>
        <v>716.925925925926</v>
      </c>
      <c r="J25" s="13" t="n">
        <f aca="false">(C25&gt;0)+(D25&gt;0)+(E25&gt;0)</f>
        <v>1</v>
      </c>
      <c r="K25" s="13" t="str">
        <f aca="false">IF(J25=3,"Sim","Não")</f>
        <v>Não</v>
      </c>
      <c r="L25" s="13" t="str">
        <f aca="false">IF(AND(I25&gt;=100,G25&gt;=100),"Sim","Não")</f>
        <v>Sim</v>
      </c>
      <c r="M25" s="13" t="n">
        <f aca="false">IF(L25="Sim",SUMPRODUCT(($L$2:L25="Sim")*1),"")</f>
        <v>19</v>
      </c>
    </row>
    <row r="26" customFormat="false" ht="15" hidden="false" customHeight="false" outlineLevel="0" collapsed="false">
      <c r="A26" s="13" t="s">
        <v>161</v>
      </c>
      <c r="B26" s="13" t="s">
        <v>43</v>
      </c>
      <c r="C26" s="5" t="n">
        <f aca="false">SUMIFS('Dados Brutos'!$C:$C,'Dados Brutos'!$B:$B,A26,'Dados Brutos'!$T:$T,"SIENO")</f>
        <v>64100</v>
      </c>
      <c r="D26" s="5" t="n">
        <f aca="false">SUMIFS('Dados Brutos'!$C:$C,'Dados Brutos'!$B:$B,A26,'Dados Brutos'!$T:$T,"BAGATELLE")</f>
        <v>128360</v>
      </c>
      <c r="E26" s="5" t="n">
        <f aca="false">SUMIFS('Dados Brutos'!$C:$C,'Dados Brutos'!$B:$B,A26,'Dados Brutos'!$T:$T,"AUMA")</f>
        <v>0</v>
      </c>
      <c r="F26" s="5" t="n">
        <f aca="false">SUM(C26:E26)</f>
        <v>192460</v>
      </c>
      <c r="G26" s="7" t="n">
        <f aca="false">SUMIF('Dados Brutos'!$B:$B,A26,'Dados Brutos'!$D:$D)</f>
        <v>635</v>
      </c>
      <c r="H26" s="7" t="n">
        <f aca="false">COUNTIF('Dados Brutos'!$B:$B,A26)</f>
        <v>25</v>
      </c>
      <c r="I26" s="16" t="n">
        <f aca="false">IFERROR(F26/G26,0)</f>
        <v>303.086614173228</v>
      </c>
      <c r="J26" s="13" t="n">
        <f aca="false">(C26&gt;0)+(D26&gt;0)+(E26&gt;0)</f>
        <v>2</v>
      </c>
      <c r="K26" s="13" t="str">
        <f aca="false">IF(J26=3,"Sim","Não")</f>
        <v>Não</v>
      </c>
      <c r="L26" s="13" t="str">
        <f aca="false">IF(AND(I26&gt;=100,G26&gt;=100),"Sim","Não")</f>
        <v>Sim</v>
      </c>
      <c r="M26" s="13" t="n">
        <f aca="false">IF(L26="Sim",SUMPRODUCT(($L$2:L26="Sim")*1),"")</f>
        <v>20</v>
      </c>
    </row>
    <row r="27" customFormat="false" ht="15" hidden="false" customHeight="false" outlineLevel="0" collapsed="false">
      <c r="A27" s="13" t="s">
        <v>117</v>
      </c>
      <c r="B27" s="13" t="s">
        <v>98</v>
      </c>
      <c r="C27" s="5" t="n">
        <f aca="false">SUMIFS('Dados Brutos'!$C:$C,'Dados Brutos'!$B:$B,A27,'Dados Brutos'!$T:$T,"SIENO")</f>
        <v>190000</v>
      </c>
      <c r="D27" s="5" t="n">
        <f aca="false">SUMIFS('Dados Brutos'!$C:$C,'Dados Brutos'!$B:$B,A27,'Dados Brutos'!$T:$T,"BAGATELLE")</f>
        <v>0</v>
      </c>
      <c r="E27" s="5" t="n">
        <f aca="false">SUMIFS('Dados Brutos'!$C:$C,'Dados Brutos'!$B:$B,A27,'Dados Brutos'!$T:$T,"AUMA")</f>
        <v>0</v>
      </c>
      <c r="F27" s="5" t="n">
        <f aca="false">SUM(C27:E27)</f>
        <v>190000</v>
      </c>
      <c r="G27" s="7" t="n">
        <f aca="false">SUMIF('Dados Brutos'!$B:$B,A27,'Dados Brutos'!$D:$D)</f>
        <v>218</v>
      </c>
      <c r="H27" s="7" t="n">
        <f aca="false">COUNTIF('Dados Brutos'!$B:$B,A27)</f>
        <v>11</v>
      </c>
      <c r="I27" s="16" t="n">
        <f aca="false">IFERROR(F27/G27,0)</f>
        <v>871.559633027523</v>
      </c>
      <c r="J27" s="13" t="n">
        <f aca="false">(C27&gt;0)+(D27&gt;0)+(E27&gt;0)</f>
        <v>1</v>
      </c>
      <c r="K27" s="13" t="str">
        <f aca="false">IF(J27=3,"Sim","Não")</f>
        <v>Não</v>
      </c>
      <c r="L27" s="13" t="str">
        <f aca="false">IF(AND(I27&gt;=100,G27&gt;=100),"Sim","Não")</f>
        <v>Sim</v>
      </c>
      <c r="M27" s="13" t="n">
        <f aca="false">IF(L27="Sim",SUMPRODUCT(($L$2:L27="Sim")*1),"")</f>
        <v>21</v>
      </c>
    </row>
    <row r="28" customFormat="false" ht="15" hidden="false" customHeight="false" outlineLevel="0" collapsed="false">
      <c r="A28" s="13" t="s">
        <v>92</v>
      </c>
      <c r="B28" s="13" t="s">
        <v>43</v>
      </c>
      <c r="C28" s="5" t="n">
        <f aca="false">SUMIFS('Dados Brutos'!$C:$C,'Dados Brutos'!$B:$B,A28,'Dados Brutos'!$T:$T,"SIENO")</f>
        <v>22240</v>
      </c>
      <c r="D28" s="5" t="n">
        <f aca="false">SUMIFS('Dados Brutos'!$C:$C,'Dados Brutos'!$B:$B,A28,'Dados Brutos'!$T:$T,"BAGATELLE")</f>
        <v>86960</v>
      </c>
      <c r="E28" s="5" t="n">
        <f aca="false">SUMIFS('Dados Brutos'!$C:$C,'Dados Brutos'!$B:$B,A28,'Dados Brutos'!$T:$T,"AUMA")</f>
        <v>60830</v>
      </c>
      <c r="F28" s="5" t="n">
        <f aca="false">SUM(C28:E28)</f>
        <v>170030</v>
      </c>
      <c r="G28" s="7" t="n">
        <f aca="false">SUMIF('Dados Brutos'!$B:$B,A28,'Dados Brutos'!$D:$D)</f>
        <v>267</v>
      </c>
      <c r="H28" s="7" t="n">
        <f aca="false">COUNTIF('Dados Brutos'!$B:$B,A28)</f>
        <v>46</v>
      </c>
      <c r="I28" s="16" t="n">
        <f aca="false">IFERROR(F28/G28,0)</f>
        <v>636.816479400749</v>
      </c>
      <c r="J28" s="13" t="n">
        <f aca="false">(C28&gt;0)+(D28&gt;0)+(E28&gt;0)</f>
        <v>3</v>
      </c>
      <c r="K28" s="13" t="str">
        <f aca="false">IF(J28=3,"Sim","Não")</f>
        <v>Sim</v>
      </c>
      <c r="L28" s="13" t="str">
        <f aca="false">IF(AND(I28&gt;=100,G28&gt;=100),"Sim","Não")</f>
        <v>Sim</v>
      </c>
      <c r="M28" s="13" t="n">
        <f aca="false">IF(L28="Sim",SUMPRODUCT(($L$2:L28="Sim")*1),"")</f>
        <v>22</v>
      </c>
    </row>
    <row r="29" customFormat="false" ht="15" hidden="false" customHeight="false" outlineLevel="0" collapsed="false">
      <c r="A29" s="13" t="s">
        <v>195</v>
      </c>
      <c r="B29" s="13" t="s">
        <v>43</v>
      </c>
      <c r="C29" s="5" t="n">
        <f aca="false">SUMIFS('Dados Brutos'!$C:$C,'Dados Brutos'!$B:$B,A29,'Dados Brutos'!$T:$T,"SIENO")</f>
        <v>33700</v>
      </c>
      <c r="D29" s="5" t="n">
        <f aca="false">SUMIFS('Dados Brutos'!$C:$C,'Dados Brutos'!$B:$B,A29,'Dados Brutos'!$T:$T,"BAGATELLE")</f>
        <v>5390</v>
      </c>
      <c r="E29" s="5" t="n">
        <f aca="false">SUMIFS('Dados Brutos'!$C:$C,'Dados Brutos'!$B:$B,A29,'Dados Brutos'!$T:$T,"AUMA")</f>
        <v>100410</v>
      </c>
      <c r="F29" s="5" t="n">
        <f aca="false">SUM(C29:E29)</f>
        <v>139500</v>
      </c>
      <c r="G29" s="7" t="n">
        <f aca="false">SUMIF('Dados Brutos'!$B:$B,A29,'Dados Brutos'!$D:$D)</f>
        <v>238</v>
      </c>
      <c r="H29" s="7" t="n">
        <f aca="false">COUNTIF('Dados Brutos'!$B:$B,A29)</f>
        <v>62</v>
      </c>
      <c r="I29" s="16" t="n">
        <f aca="false">IFERROR(F29/G29,0)</f>
        <v>586.134453781513</v>
      </c>
      <c r="J29" s="13" t="n">
        <f aca="false">(C29&gt;0)+(D29&gt;0)+(E29&gt;0)</f>
        <v>3</v>
      </c>
      <c r="K29" s="13" t="str">
        <f aca="false">IF(J29=3,"Sim","Não")</f>
        <v>Sim</v>
      </c>
      <c r="L29" s="13" t="str">
        <f aca="false">IF(AND(I29&gt;=100,G29&gt;=100),"Sim","Não")</f>
        <v>Sim</v>
      </c>
      <c r="M29" s="13" t="n">
        <f aca="false">IF(L29="Sim",SUMPRODUCT(($L$2:L29="Sim")*1),"")</f>
        <v>23</v>
      </c>
    </row>
    <row r="30" customFormat="false" ht="15" hidden="false" customHeight="false" outlineLevel="0" collapsed="false">
      <c r="A30" s="13" t="s">
        <v>2099</v>
      </c>
      <c r="B30" s="13" t="s">
        <v>43</v>
      </c>
      <c r="C30" s="5" t="n">
        <f aca="false">SUMIFS('Dados Brutos'!$C:$C,'Dados Brutos'!$B:$B,A30,'Dados Brutos'!$T:$T,"SIENO")</f>
        <v>134730</v>
      </c>
      <c r="D30" s="5" t="n">
        <f aca="false">SUMIFS('Dados Brutos'!$C:$C,'Dados Brutos'!$B:$B,A30,'Dados Brutos'!$T:$T,"BAGATELLE")</f>
        <v>0</v>
      </c>
      <c r="E30" s="5" t="n">
        <f aca="false">SUMIFS('Dados Brutos'!$C:$C,'Dados Brutos'!$B:$B,A30,'Dados Brutos'!$T:$T,"AUMA")</f>
        <v>0</v>
      </c>
      <c r="F30" s="5" t="n">
        <f aca="false">SUM(C30:E30)</f>
        <v>134730</v>
      </c>
      <c r="G30" s="7" t="n">
        <f aca="false">SUMIF('Dados Brutos'!$B:$B,A30,'Dados Brutos'!$D:$D)</f>
        <v>5538</v>
      </c>
      <c r="H30" s="7" t="n">
        <f aca="false">COUNTIF('Dados Brutos'!$B:$B,A30)</f>
        <v>25</v>
      </c>
      <c r="I30" s="16" t="n">
        <f aca="false">IFERROR(F30/G30,0)</f>
        <v>24.3282773564464</v>
      </c>
      <c r="J30" s="13" t="n">
        <f aca="false">(C30&gt;0)+(D30&gt;0)+(E30&gt;0)</f>
        <v>1</v>
      </c>
      <c r="K30" s="13" t="str">
        <f aca="false">IF(J30=3,"Sim","Não")</f>
        <v>Não</v>
      </c>
      <c r="L30" s="13" t="str">
        <f aca="false">IF(AND(I30&gt;=100,G30&gt;=100),"Sim","Não")</f>
        <v>Não</v>
      </c>
      <c r="M30" s="13" t="str">
        <f aca="false">IF(L30="Sim",SUMPRODUCT(($L$2:L30="Sim")*1),"")</f>
        <v/>
      </c>
    </row>
    <row r="31" customFormat="false" ht="15" hidden="false" customHeight="false" outlineLevel="0" collapsed="false">
      <c r="A31" s="13" t="s">
        <v>103</v>
      </c>
      <c r="B31" s="13" t="s">
        <v>43</v>
      </c>
      <c r="C31" s="5" t="n">
        <f aca="false">SUMIFS('Dados Brutos'!$C:$C,'Dados Brutos'!$B:$B,A31,'Dados Brutos'!$T:$T,"SIENO")</f>
        <v>0</v>
      </c>
      <c r="D31" s="5" t="n">
        <f aca="false">SUMIFS('Dados Brutos'!$C:$C,'Dados Brutos'!$B:$B,A31,'Dados Brutos'!$T:$T,"BAGATELLE")</f>
        <v>17780</v>
      </c>
      <c r="E31" s="5" t="n">
        <f aca="false">SUMIFS('Dados Brutos'!$C:$C,'Dados Brutos'!$B:$B,A31,'Dados Brutos'!$T:$T,"AUMA")</f>
        <v>113580</v>
      </c>
      <c r="F31" s="5" t="n">
        <f aca="false">SUM(C31:E31)</f>
        <v>131360</v>
      </c>
      <c r="G31" s="7" t="n">
        <f aca="false">SUMIF('Dados Brutos'!$B:$B,A31,'Dados Brutos'!$D:$D)</f>
        <v>653</v>
      </c>
      <c r="H31" s="7" t="n">
        <f aca="false">COUNTIF('Dados Brutos'!$B:$B,A31)</f>
        <v>76</v>
      </c>
      <c r="I31" s="16" t="n">
        <f aca="false">IFERROR(F31/G31,0)</f>
        <v>201.163859111792</v>
      </c>
      <c r="J31" s="13" t="n">
        <f aca="false">(C31&gt;0)+(D31&gt;0)+(E31&gt;0)</f>
        <v>2</v>
      </c>
      <c r="K31" s="13" t="str">
        <f aca="false">IF(J31=3,"Sim","Não")</f>
        <v>Não</v>
      </c>
      <c r="L31" s="13" t="str">
        <f aca="false">IF(AND(I31&gt;=100,G31&gt;=100),"Sim","Não")</f>
        <v>Sim</v>
      </c>
      <c r="M31" s="13" t="n">
        <f aca="false">IF(L31="Sim",SUMPRODUCT(($L$2:L31="Sim")*1),"")</f>
        <v>24</v>
      </c>
    </row>
    <row r="32" customFormat="false" ht="15" hidden="false" customHeight="false" outlineLevel="0" collapsed="false">
      <c r="A32" s="13" t="s">
        <v>2100</v>
      </c>
      <c r="B32" s="13" t="s">
        <v>43</v>
      </c>
      <c r="C32" s="5" t="n">
        <f aca="false">SUMIFS('Dados Brutos'!$C:$C,'Dados Brutos'!$B:$B,A32,'Dados Brutos'!$T:$T,"SIENO")</f>
        <v>129250</v>
      </c>
      <c r="D32" s="5" t="n">
        <f aca="false">SUMIFS('Dados Brutos'!$C:$C,'Dados Brutos'!$B:$B,A32,'Dados Brutos'!$T:$T,"BAGATELLE")</f>
        <v>0</v>
      </c>
      <c r="E32" s="5" t="n">
        <f aca="false">SUMIFS('Dados Brutos'!$C:$C,'Dados Brutos'!$B:$B,A32,'Dados Brutos'!$T:$T,"AUMA")</f>
        <v>370</v>
      </c>
      <c r="F32" s="5" t="n">
        <f aca="false">SUM(C32:E32)</f>
        <v>129620</v>
      </c>
      <c r="G32" s="7" t="n">
        <f aca="false">SUMIF('Dados Brutos'!$B:$B,A32,'Dados Brutos'!$D:$D)</f>
        <v>2375</v>
      </c>
      <c r="H32" s="7" t="n">
        <f aca="false">COUNTIF('Dados Brutos'!$B:$B,A32)</f>
        <v>17</v>
      </c>
      <c r="I32" s="16" t="n">
        <f aca="false">IFERROR(F32/G32,0)</f>
        <v>54.5768421052632</v>
      </c>
      <c r="J32" s="13" t="n">
        <f aca="false">(C32&gt;0)+(D32&gt;0)+(E32&gt;0)</f>
        <v>2</v>
      </c>
      <c r="K32" s="13" t="str">
        <f aca="false">IF(J32=3,"Sim","Não")</f>
        <v>Não</v>
      </c>
      <c r="L32" s="13" t="str">
        <f aca="false">IF(AND(I32&gt;=100,G32&gt;=100),"Sim","Não")</f>
        <v>Não</v>
      </c>
      <c r="M32" s="13" t="str">
        <f aca="false">IF(L32="Sim",SUMPRODUCT(($L$2:L32="Sim")*1),"")</f>
        <v/>
      </c>
    </row>
    <row r="33" customFormat="false" ht="15" hidden="false" customHeight="false" outlineLevel="0" collapsed="false">
      <c r="A33" s="13" t="s">
        <v>59</v>
      </c>
      <c r="B33" s="13" t="s">
        <v>43</v>
      </c>
      <c r="C33" s="5" t="n">
        <f aca="false">SUMIFS('Dados Brutos'!$C:$C,'Dados Brutos'!$B:$B,A33,'Dados Brutos'!$T:$T,"SIENO")</f>
        <v>114510</v>
      </c>
      <c r="D33" s="5" t="n">
        <f aca="false">SUMIFS('Dados Brutos'!$C:$C,'Dados Brutos'!$B:$B,A33,'Dados Brutos'!$T:$T,"BAGATELLE")</f>
        <v>7270</v>
      </c>
      <c r="E33" s="5" t="n">
        <f aca="false">SUMIFS('Dados Brutos'!$C:$C,'Dados Brutos'!$B:$B,A33,'Dados Brutos'!$T:$T,"AUMA")</f>
        <v>7260</v>
      </c>
      <c r="F33" s="5" t="n">
        <f aca="false">SUM(C33:E33)</f>
        <v>129040</v>
      </c>
      <c r="G33" s="7" t="n">
        <f aca="false">SUMIF('Dados Brutos'!$B:$B,A33,'Dados Brutos'!$D:$D)</f>
        <v>1224</v>
      </c>
      <c r="H33" s="7" t="n">
        <f aca="false">COUNTIF('Dados Brutos'!$B:$B,A33)</f>
        <v>24</v>
      </c>
      <c r="I33" s="16" t="n">
        <f aca="false">IFERROR(F33/G33,0)</f>
        <v>105.424836601307</v>
      </c>
      <c r="J33" s="13" t="n">
        <f aca="false">(C33&gt;0)+(D33&gt;0)+(E33&gt;0)</f>
        <v>3</v>
      </c>
      <c r="K33" s="13" t="str">
        <f aca="false">IF(J33=3,"Sim","Não")</f>
        <v>Sim</v>
      </c>
      <c r="L33" s="13" t="str">
        <f aca="false">IF(AND(I33&gt;=100,G33&gt;=100),"Sim","Não")</f>
        <v>Sim</v>
      </c>
      <c r="M33" s="13" t="n">
        <f aca="false">IF(L33="Sim",SUMPRODUCT(($L$2:L33="Sim")*1),"")</f>
        <v>25</v>
      </c>
    </row>
    <row r="34" customFormat="false" ht="15" hidden="false" customHeight="false" outlineLevel="0" collapsed="false">
      <c r="A34" s="13" t="s">
        <v>121</v>
      </c>
      <c r="B34" s="13" t="s">
        <v>43</v>
      </c>
      <c r="C34" s="5" t="n">
        <f aca="false">SUMIFS('Dados Brutos'!$C:$C,'Dados Brutos'!$B:$B,A34,'Dados Brutos'!$T:$T,"SIENO")</f>
        <v>0</v>
      </c>
      <c r="D34" s="5" t="n">
        <f aca="false">SUMIFS('Dados Brutos'!$C:$C,'Dados Brutos'!$B:$B,A34,'Dados Brutos'!$T:$T,"BAGATELLE")</f>
        <v>0</v>
      </c>
      <c r="E34" s="5" t="n">
        <f aca="false">SUMIFS('Dados Brutos'!$C:$C,'Dados Brutos'!$B:$B,A34,'Dados Brutos'!$T:$T,"AUMA")</f>
        <v>114270</v>
      </c>
      <c r="F34" s="5" t="n">
        <f aca="false">SUM(C34:E34)</f>
        <v>114270</v>
      </c>
      <c r="G34" s="7" t="n">
        <f aca="false">SUMIF('Dados Brutos'!$B:$B,A34,'Dados Brutos'!$D:$D)</f>
        <v>807</v>
      </c>
      <c r="H34" s="7" t="n">
        <f aca="false">COUNTIF('Dados Brutos'!$B:$B,A34)</f>
        <v>137</v>
      </c>
      <c r="I34" s="16" t="n">
        <f aca="false">IFERROR(F34/G34,0)</f>
        <v>141.598513011152</v>
      </c>
      <c r="J34" s="13" t="n">
        <f aca="false">(C34&gt;0)+(D34&gt;0)+(E34&gt;0)</f>
        <v>1</v>
      </c>
      <c r="K34" s="13" t="str">
        <f aca="false">IF(J34=3,"Sim","Não")</f>
        <v>Não</v>
      </c>
      <c r="L34" s="13" t="str">
        <f aca="false">IF(AND(I34&gt;=100,G34&gt;=100),"Sim","Não")</f>
        <v>Sim</v>
      </c>
      <c r="M34" s="13" t="n">
        <f aca="false">IF(L34="Sim",SUMPRODUCT(($L$2:L34="Sim")*1),"")</f>
        <v>26</v>
      </c>
    </row>
    <row r="35" customFormat="false" ht="15" hidden="false" customHeight="false" outlineLevel="0" collapsed="false">
      <c r="A35" s="13" t="s">
        <v>177</v>
      </c>
      <c r="B35" s="13" t="s">
        <v>43</v>
      </c>
      <c r="C35" s="5" t="n">
        <f aca="false">SUMIFS('Dados Brutos'!$C:$C,'Dados Brutos'!$B:$B,A35,'Dados Brutos'!$T:$T,"SIENO")</f>
        <v>0</v>
      </c>
      <c r="D35" s="5" t="n">
        <f aca="false">SUMIFS('Dados Brutos'!$C:$C,'Dados Brutos'!$B:$B,A35,'Dados Brutos'!$T:$T,"BAGATELLE")</f>
        <v>29140</v>
      </c>
      <c r="E35" s="5" t="n">
        <f aca="false">SUMIFS('Dados Brutos'!$C:$C,'Dados Brutos'!$B:$B,A35,'Dados Brutos'!$T:$T,"AUMA")</f>
        <v>85100</v>
      </c>
      <c r="F35" s="5" t="n">
        <f aca="false">SUM(C35:E35)</f>
        <v>114240</v>
      </c>
      <c r="G35" s="7" t="n">
        <f aca="false">SUMIF('Dados Brutos'!$B:$B,A35,'Dados Brutos'!$D:$D)</f>
        <v>144</v>
      </c>
      <c r="H35" s="7" t="n">
        <f aca="false">COUNTIF('Dados Brutos'!$B:$B,A35)</f>
        <v>49</v>
      </c>
      <c r="I35" s="16" t="n">
        <f aca="false">IFERROR(F35/G35,0)</f>
        <v>793.333333333333</v>
      </c>
      <c r="J35" s="13" t="n">
        <f aca="false">(C35&gt;0)+(D35&gt;0)+(E35&gt;0)</f>
        <v>2</v>
      </c>
      <c r="K35" s="13" t="str">
        <f aca="false">IF(J35=3,"Sim","Não")</f>
        <v>Não</v>
      </c>
      <c r="L35" s="13" t="str">
        <f aca="false">IF(AND(I35&gt;=100,G35&gt;=100),"Sim","Não")</f>
        <v>Sim</v>
      </c>
      <c r="M35" s="13" t="n">
        <f aca="false">IF(L35="Sim",SUMPRODUCT(($L$2:L35="Sim")*1),"")</f>
        <v>27</v>
      </c>
    </row>
    <row r="36" customFormat="false" ht="15" hidden="false" customHeight="false" outlineLevel="0" collapsed="false">
      <c r="A36" s="13" t="s">
        <v>165</v>
      </c>
      <c r="B36" s="13" t="s">
        <v>43</v>
      </c>
      <c r="C36" s="5" t="n">
        <f aca="false">SUMIFS('Dados Brutos'!$C:$C,'Dados Brutos'!$B:$B,A36,'Dados Brutos'!$T:$T,"SIENO")</f>
        <v>67300</v>
      </c>
      <c r="D36" s="5" t="n">
        <f aca="false">SUMIFS('Dados Brutos'!$C:$C,'Dados Brutos'!$B:$B,A36,'Dados Brutos'!$T:$T,"BAGATELLE")</f>
        <v>0</v>
      </c>
      <c r="E36" s="5" t="n">
        <f aca="false">SUMIFS('Dados Brutos'!$C:$C,'Dados Brutos'!$B:$B,A36,'Dados Brutos'!$T:$T,"AUMA")</f>
        <v>46690</v>
      </c>
      <c r="F36" s="5" t="n">
        <f aca="false">SUM(C36:E36)</f>
        <v>113990</v>
      </c>
      <c r="G36" s="7" t="n">
        <f aca="false">SUMIF('Dados Brutos'!$B:$B,A36,'Dados Brutos'!$D:$D)</f>
        <v>297</v>
      </c>
      <c r="H36" s="7" t="n">
        <f aca="false">COUNTIF('Dados Brutos'!$B:$B,A36)</f>
        <v>19</v>
      </c>
      <c r="I36" s="16" t="n">
        <f aca="false">IFERROR(F36/G36,0)</f>
        <v>383.804713804714</v>
      </c>
      <c r="J36" s="13" t="n">
        <f aca="false">(C36&gt;0)+(D36&gt;0)+(E36&gt;0)</f>
        <v>2</v>
      </c>
      <c r="K36" s="13" t="str">
        <f aca="false">IF(J36=3,"Sim","Não")</f>
        <v>Não</v>
      </c>
      <c r="L36" s="13" t="str">
        <f aca="false">IF(AND(I36&gt;=100,G36&gt;=100),"Sim","Não")</f>
        <v>Sim</v>
      </c>
      <c r="M36" s="13" t="n">
        <f aca="false">IF(L36="Sim",SUMPRODUCT(($L$2:L36="Sim")*1),"")</f>
        <v>28</v>
      </c>
    </row>
    <row r="37" customFormat="false" ht="15" hidden="false" customHeight="false" outlineLevel="0" collapsed="false">
      <c r="A37" s="13" t="s">
        <v>2101</v>
      </c>
      <c r="B37" s="13" t="s">
        <v>85</v>
      </c>
      <c r="C37" s="5" t="n">
        <f aca="false">SUMIFS('Dados Brutos'!$C:$C,'Dados Brutos'!$B:$B,A37,'Dados Brutos'!$T:$T,"SIENO")</f>
        <v>112720</v>
      </c>
      <c r="D37" s="5" t="n">
        <f aca="false">SUMIFS('Dados Brutos'!$C:$C,'Dados Brutos'!$B:$B,A37,'Dados Brutos'!$T:$T,"BAGATELLE")</f>
        <v>0</v>
      </c>
      <c r="E37" s="5" t="n">
        <f aca="false">SUMIFS('Dados Brutos'!$C:$C,'Dados Brutos'!$B:$B,A37,'Dados Brutos'!$T:$T,"AUMA")</f>
        <v>0</v>
      </c>
      <c r="F37" s="5" t="n">
        <f aca="false">SUM(C37:E37)</f>
        <v>112720</v>
      </c>
      <c r="G37" s="7" t="n">
        <f aca="false">SUMIF('Dados Brutos'!$B:$B,A37,'Dados Brutos'!$D:$D)</f>
        <v>1425</v>
      </c>
      <c r="H37" s="7" t="n">
        <f aca="false">COUNTIF('Dados Brutos'!$B:$B,A37)</f>
        <v>25</v>
      </c>
      <c r="I37" s="16" t="n">
        <f aca="false">IFERROR(F37/G37,0)</f>
        <v>79.1017543859649</v>
      </c>
      <c r="J37" s="13" t="n">
        <f aca="false">(C37&gt;0)+(D37&gt;0)+(E37&gt;0)</f>
        <v>1</v>
      </c>
      <c r="K37" s="13" t="str">
        <f aca="false">IF(J37=3,"Sim","Não")</f>
        <v>Não</v>
      </c>
      <c r="L37" s="13" t="str">
        <f aca="false">IF(AND(I37&gt;=100,G37&gt;=100),"Sim","Não")</f>
        <v>Não</v>
      </c>
      <c r="M37" s="13" t="str">
        <f aca="false">IF(L37="Sim",SUMPRODUCT(($L$2:L37="Sim")*1),"")</f>
        <v/>
      </c>
    </row>
    <row r="38" customFormat="false" ht="15" hidden="false" customHeight="false" outlineLevel="0" collapsed="false">
      <c r="A38" s="13" t="s">
        <v>56</v>
      </c>
      <c r="B38" s="13" t="s">
        <v>57</v>
      </c>
      <c r="C38" s="5" t="n">
        <f aca="false">SUMIFS('Dados Brutos'!$C:$C,'Dados Brutos'!$B:$B,A38,'Dados Brutos'!$T:$T,"SIENO")</f>
        <v>110000</v>
      </c>
      <c r="D38" s="5" t="n">
        <f aca="false">SUMIFS('Dados Brutos'!$C:$C,'Dados Brutos'!$B:$B,A38,'Dados Brutos'!$T:$T,"BAGATELLE")</f>
        <v>0</v>
      </c>
      <c r="E38" s="5" t="n">
        <f aca="false">SUMIFS('Dados Brutos'!$C:$C,'Dados Brutos'!$B:$B,A38,'Dados Brutos'!$T:$T,"AUMA")</f>
        <v>0</v>
      </c>
      <c r="F38" s="5" t="n">
        <f aca="false">SUM(C38:E38)</f>
        <v>110000</v>
      </c>
      <c r="G38" s="7" t="n">
        <f aca="false">SUMIF('Dados Brutos'!$B:$B,A38,'Dados Brutos'!$D:$D)</f>
        <v>820</v>
      </c>
      <c r="H38" s="7" t="n">
        <f aca="false">COUNTIF('Dados Brutos'!$B:$B,A38)</f>
        <v>1</v>
      </c>
      <c r="I38" s="16" t="n">
        <f aca="false">IFERROR(F38/G38,0)</f>
        <v>134.146341463415</v>
      </c>
      <c r="J38" s="13" t="n">
        <f aca="false">(C38&gt;0)+(D38&gt;0)+(E38&gt;0)</f>
        <v>1</v>
      </c>
      <c r="K38" s="13" t="str">
        <f aca="false">IF(J38=3,"Sim","Não")</f>
        <v>Não</v>
      </c>
      <c r="L38" s="13" t="str">
        <f aca="false">IF(AND(I38&gt;=100,G38&gt;=100),"Sim","Não")</f>
        <v>Sim</v>
      </c>
      <c r="M38" s="13" t="n">
        <f aca="false">IF(L38="Sim",SUMPRODUCT(($L$2:L38="Sim")*1),"")</f>
        <v>29</v>
      </c>
    </row>
    <row r="39" customFormat="false" ht="15" hidden="false" customHeight="false" outlineLevel="0" collapsed="false">
      <c r="A39" s="13" t="s">
        <v>111</v>
      </c>
      <c r="B39" s="13" t="s">
        <v>43</v>
      </c>
      <c r="C39" s="5" t="n">
        <f aca="false">SUMIFS('Dados Brutos'!$C:$C,'Dados Brutos'!$B:$B,A39,'Dados Brutos'!$T:$T,"SIENO")</f>
        <v>98400</v>
      </c>
      <c r="D39" s="5" t="n">
        <f aca="false">SUMIFS('Dados Brutos'!$C:$C,'Dados Brutos'!$B:$B,A39,'Dados Brutos'!$T:$T,"BAGATELLE")</f>
        <v>10310</v>
      </c>
      <c r="E39" s="5" t="n">
        <f aca="false">SUMIFS('Dados Brutos'!$C:$C,'Dados Brutos'!$B:$B,A39,'Dados Brutos'!$T:$T,"AUMA")</f>
        <v>0</v>
      </c>
      <c r="F39" s="5" t="n">
        <f aca="false">SUM(C39:E39)</f>
        <v>108710</v>
      </c>
      <c r="G39" s="7" t="n">
        <f aca="false">SUMIF('Dados Brutos'!$B:$B,A39,'Dados Brutos'!$D:$D)</f>
        <v>340</v>
      </c>
      <c r="H39" s="7" t="n">
        <f aca="false">COUNTIF('Dados Brutos'!$B:$B,A39)</f>
        <v>17</v>
      </c>
      <c r="I39" s="16" t="n">
        <f aca="false">IFERROR(F39/G39,0)</f>
        <v>319.735294117647</v>
      </c>
      <c r="J39" s="13" t="n">
        <f aca="false">(C39&gt;0)+(D39&gt;0)+(E39&gt;0)</f>
        <v>2</v>
      </c>
      <c r="K39" s="13" t="str">
        <f aca="false">IF(J39=3,"Sim","Não")</f>
        <v>Não</v>
      </c>
      <c r="L39" s="13" t="str">
        <f aca="false">IF(AND(I39&gt;=100,G39&gt;=100),"Sim","Não")</f>
        <v>Sim</v>
      </c>
      <c r="M39" s="13" t="n">
        <f aca="false">IF(L39="Sim",SUMPRODUCT(($L$2:L39="Sim")*1),"")</f>
        <v>30</v>
      </c>
    </row>
    <row r="40" customFormat="false" ht="15" hidden="false" customHeight="false" outlineLevel="0" collapsed="false">
      <c r="A40" s="13" t="s">
        <v>191</v>
      </c>
      <c r="B40" s="13" t="s">
        <v>183</v>
      </c>
      <c r="C40" s="5" t="n">
        <f aca="false">SUMIFS('Dados Brutos'!$C:$C,'Dados Brutos'!$B:$B,A40,'Dados Brutos'!$T:$T,"SIENO")</f>
        <v>102490</v>
      </c>
      <c r="D40" s="5" t="n">
        <f aca="false">SUMIFS('Dados Brutos'!$C:$C,'Dados Brutos'!$B:$B,A40,'Dados Brutos'!$T:$T,"BAGATELLE")</f>
        <v>0</v>
      </c>
      <c r="E40" s="5" t="n">
        <f aca="false">SUMIFS('Dados Brutos'!$C:$C,'Dados Brutos'!$B:$B,A40,'Dados Brutos'!$T:$T,"AUMA")</f>
        <v>0</v>
      </c>
      <c r="F40" s="5" t="n">
        <f aca="false">SUM(C40:E40)</f>
        <v>102490</v>
      </c>
      <c r="G40" s="7" t="n">
        <f aca="false">SUMIF('Dados Brutos'!$B:$B,A40,'Dados Brutos'!$D:$D)</f>
        <v>859</v>
      </c>
      <c r="H40" s="7" t="n">
        <f aca="false">COUNTIF('Dados Brutos'!$B:$B,A40)</f>
        <v>27</v>
      </c>
      <c r="I40" s="16" t="n">
        <f aca="false">IFERROR(F40/G40,0)</f>
        <v>119.313154831199</v>
      </c>
      <c r="J40" s="13" t="n">
        <f aca="false">(C40&gt;0)+(D40&gt;0)+(E40&gt;0)</f>
        <v>1</v>
      </c>
      <c r="K40" s="13" t="str">
        <f aca="false">IF(J40=3,"Sim","Não")</f>
        <v>Não</v>
      </c>
      <c r="L40" s="13" t="str">
        <f aca="false">IF(AND(I40&gt;=100,G40&gt;=100),"Sim","Não")</f>
        <v>Sim</v>
      </c>
      <c r="M40" s="13" t="n">
        <f aca="false">IF(L40="Sim",SUMPRODUCT(($L$2:L40="Sim")*1),"")</f>
        <v>31</v>
      </c>
    </row>
    <row r="41" customFormat="false" ht="15" hidden="false" customHeight="false" outlineLevel="0" collapsed="false">
      <c r="A41" s="13" t="s">
        <v>74</v>
      </c>
      <c r="B41" s="13" t="s">
        <v>43</v>
      </c>
      <c r="C41" s="5" t="n">
        <f aca="false">SUMIFS('Dados Brutos'!$C:$C,'Dados Brutos'!$B:$B,A41,'Dados Brutos'!$T:$T,"SIENO")</f>
        <v>97000</v>
      </c>
      <c r="D41" s="5" t="n">
        <f aca="false">SUMIFS('Dados Brutos'!$C:$C,'Dados Brutos'!$B:$B,A41,'Dados Brutos'!$T:$T,"BAGATELLE")</f>
        <v>2880</v>
      </c>
      <c r="E41" s="5" t="n">
        <f aca="false">SUMIFS('Dados Brutos'!$C:$C,'Dados Brutos'!$B:$B,A41,'Dados Brutos'!$T:$T,"AUMA")</f>
        <v>570</v>
      </c>
      <c r="F41" s="5" t="n">
        <f aca="false">SUM(C41:E41)</f>
        <v>100450</v>
      </c>
      <c r="G41" s="7" t="n">
        <f aca="false">SUMIF('Dados Brutos'!$B:$B,A41,'Dados Brutos'!$D:$D)</f>
        <v>514</v>
      </c>
      <c r="H41" s="7" t="n">
        <f aca="false">COUNTIF('Dados Brutos'!$B:$B,A41)</f>
        <v>6</v>
      </c>
      <c r="I41" s="16" t="n">
        <f aca="false">IFERROR(F41/G41,0)</f>
        <v>195.428015564202</v>
      </c>
      <c r="J41" s="13" t="n">
        <f aca="false">(C41&gt;0)+(D41&gt;0)+(E41&gt;0)</f>
        <v>3</v>
      </c>
      <c r="K41" s="13" t="str">
        <f aca="false">IF(J41=3,"Sim","Não")</f>
        <v>Sim</v>
      </c>
      <c r="L41" s="13" t="str">
        <f aca="false">IF(AND(I41&gt;=100,G41&gt;=100),"Sim","Não")</f>
        <v>Sim</v>
      </c>
      <c r="M41" s="13" t="n">
        <f aca="false">IF(L41="Sim",SUMPRODUCT(($L$2:L41="Sim")*1),"")</f>
        <v>32</v>
      </c>
    </row>
    <row r="42" customFormat="false" ht="15" hidden="false" customHeight="false" outlineLevel="0" collapsed="false">
      <c r="A42" s="13" t="s">
        <v>135</v>
      </c>
      <c r="B42" s="13" t="s">
        <v>129</v>
      </c>
      <c r="C42" s="5" t="n">
        <f aca="false">SUMIFS('Dados Brutos'!$C:$C,'Dados Brutos'!$B:$B,A42,'Dados Brutos'!$T:$T,"SIENO")</f>
        <v>98500</v>
      </c>
      <c r="D42" s="5" t="n">
        <f aca="false">SUMIFS('Dados Brutos'!$C:$C,'Dados Brutos'!$B:$B,A42,'Dados Brutos'!$T:$T,"BAGATELLE")</f>
        <v>0</v>
      </c>
      <c r="E42" s="5" t="n">
        <f aca="false">SUMIFS('Dados Brutos'!$C:$C,'Dados Brutos'!$B:$B,A42,'Dados Brutos'!$T:$T,"AUMA")</f>
        <v>0</v>
      </c>
      <c r="F42" s="5" t="n">
        <f aca="false">SUM(C42:E42)</f>
        <v>98500</v>
      </c>
      <c r="G42" s="7" t="n">
        <f aca="false">SUMIF('Dados Brutos'!$B:$B,A42,'Dados Brutos'!$D:$D)</f>
        <v>186</v>
      </c>
      <c r="H42" s="7" t="n">
        <f aca="false">COUNTIF('Dados Brutos'!$B:$B,A42)</f>
        <v>6</v>
      </c>
      <c r="I42" s="16" t="n">
        <f aca="false">IFERROR(F42/G42,0)</f>
        <v>529.569892473118</v>
      </c>
      <c r="J42" s="13" t="n">
        <f aca="false">(C42&gt;0)+(D42&gt;0)+(E42&gt;0)</f>
        <v>1</v>
      </c>
      <c r="K42" s="13" t="str">
        <f aca="false">IF(J42=3,"Sim","Não")</f>
        <v>Não</v>
      </c>
      <c r="L42" s="13" t="str">
        <f aca="false">IF(AND(I42&gt;=100,G42&gt;=100),"Sim","Não")</f>
        <v>Sim</v>
      </c>
      <c r="M42" s="13" t="n">
        <f aca="false">IF(L42="Sim",SUMPRODUCT(($L$2:L42="Sim")*1),"")</f>
        <v>33</v>
      </c>
    </row>
    <row r="43" customFormat="false" ht="15" hidden="false" customHeight="false" outlineLevel="0" collapsed="false">
      <c r="A43" s="13" t="s">
        <v>315</v>
      </c>
      <c r="B43" s="13" t="s">
        <v>43</v>
      </c>
      <c r="C43" s="5" t="n">
        <f aca="false">SUMIFS('Dados Brutos'!$C:$C,'Dados Brutos'!$B:$B,A43,'Dados Brutos'!$T:$T,"SIENO")</f>
        <v>0</v>
      </c>
      <c r="D43" s="5" t="n">
        <f aca="false">SUMIFS('Dados Brutos'!$C:$C,'Dados Brutos'!$B:$B,A43,'Dados Brutos'!$T:$T,"BAGATELLE")</f>
        <v>0</v>
      </c>
      <c r="E43" s="5" t="n">
        <f aca="false">SUMIFS('Dados Brutos'!$C:$C,'Dados Brutos'!$B:$B,A43,'Dados Brutos'!$T:$T,"AUMA")</f>
        <v>88440</v>
      </c>
      <c r="F43" s="5" t="n">
        <f aca="false">SUM(C43:E43)</f>
        <v>88440</v>
      </c>
      <c r="G43" s="7" t="n">
        <f aca="false">SUMIF('Dados Brutos'!$B:$B,A43,'Dados Brutos'!$D:$D)</f>
        <v>125</v>
      </c>
      <c r="H43" s="7" t="n">
        <f aca="false">COUNTIF('Dados Brutos'!$B:$B,A43)</f>
        <v>37</v>
      </c>
      <c r="I43" s="16" t="n">
        <f aca="false">IFERROR(F43/G43,0)</f>
        <v>707.52</v>
      </c>
      <c r="J43" s="13" t="n">
        <f aca="false">(C43&gt;0)+(D43&gt;0)+(E43&gt;0)</f>
        <v>1</v>
      </c>
      <c r="K43" s="13" t="str">
        <f aca="false">IF(J43=3,"Sim","Não")</f>
        <v>Não</v>
      </c>
      <c r="L43" s="13" t="str">
        <f aca="false">IF(AND(I43&gt;=100,G43&gt;=100),"Sim","Não")</f>
        <v>Sim</v>
      </c>
      <c r="M43" s="13" t="n">
        <f aca="false">IF(L43="Sim",SUMPRODUCT(($L$2:L43="Sim")*1),"")</f>
        <v>34</v>
      </c>
    </row>
    <row r="44" customFormat="false" ht="15" hidden="false" customHeight="false" outlineLevel="0" collapsed="false">
      <c r="A44" s="13" t="s">
        <v>2102</v>
      </c>
      <c r="B44" s="13" t="s">
        <v>183</v>
      </c>
      <c r="C44" s="5" t="n">
        <f aca="false">SUMIFS('Dados Brutos'!$C:$C,'Dados Brutos'!$B:$B,A44,'Dados Brutos'!$T:$T,"SIENO")</f>
        <v>87400</v>
      </c>
      <c r="D44" s="5" t="n">
        <f aca="false">SUMIFS('Dados Brutos'!$C:$C,'Dados Brutos'!$B:$B,A44,'Dados Brutos'!$T:$T,"BAGATELLE")</f>
        <v>0</v>
      </c>
      <c r="E44" s="5" t="n">
        <f aca="false">SUMIFS('Dados Brutos'!$C:$C,'Dados Brutos'!$B:$B,A44,'Dados Brutos'!$T:$T,"AUMA")</f>
        <v>0</v>
      </c>
      <c r="F44" s="5" t="n">
        <f aca="false">SUM(C44:E44)</f>
        <v>87400</v>
      </c>
      <c r="G44" s="7" t="n">
        <f aca="false">SUMIF('Dados Brutos'!$B:$B,A44,'Dados Brutos'!$D:$D)</f>
        <v>1420</v>
      </c>
      <c r="H44" s="7" t="n">
        <f aca="false">COUNTIF('Dados Brutos'!$B:$B,A44)</f>
        <v>2</v>
      </c>
      <c r="I44" s="16" t="n">
        <f aca="false">IFERROR(F44/G44,0)</f>
        <v>61.5492957746479</v>
      </c>
      <c r="J44" s="13" t="n">
        <f aca="false">(C44&gt;0)+(D44&gt;0)+(E44&gt;0)</f>
        <v>1</v>
      </c>
      <c r="K44" s="13" t="str">
        <f aca="false">IF(J44=3,"Sim","Não")</f>
        <v>Não</v>
      </c>
      <c r="L44" s="13" t="str">
        <f aca="false">IF(AND(I44&gt;=100,G44&gt;=100),"Sim","Não")</f>
        <v>Não</v>
      </c>
      <c r="M44" s="13" t="str">
        <f aca="false">IF(L44="Sim",SUMPRODUCT(($L$2:L44="Sim")*1),"")</f>
        <v/>
      </c>
    </row>
    <row r="45" customFormat="false" ht="15" hidden="false" customHeight="false" outlineLevel="0" collapsed="false">
      <c r="A45" s="13" t="s">
        <v>114</v>
      </c>
      <c r="B45" s="13" t="s">
        <v>115</v>
      </c>
      <c r="C45" s="5" t="n">
        <f aca="false">SUMIFS('Dados Brutos'!$C:$C,'Dados Brutos'!$B:$B,A45,'Dados Brutos'!$T:$T,"SIENO")</f>
        <v>86100</v>
      </c>
      <c r="D45" s="5" t="n">
        <f aca="false">SUMIFS('Dados Brutos'!$C:$C,'Dados Brutos'!$B:$B,A45,'Dados Brutos'!$T:$T,"BAGATELLE")</f>
        <v>0</v>
      </c>
      <c r="E45" s="5" t="n">
        <f aca="false">SUMIFS('Dados Brutos'!$C:$C,'Dados Brutos'!$B:$B,A45,'Dados Brutos'!$T:$T,"AUMA")</f>
        <v>0</v>
      </c>
      <c r="F45" s="5" t="n">
        <f aca="false">SUM(C45:E45)</f>
        <v>86100</v>
      </c>
      <c r="G45" s="7" t="n">
        <f aca="false">SUMIF('Dados Brutos'!$B:$B,A45,'Dados Brutos'!$D:$D)</f>
        <v>816</v>
      </c>
      <c r="H45" s="7" t="n">
        <f aca="false">COUNTIF('Dados Brutos'!$B:$B,A45)</f>
        <v>16</v>
      </c>
      <c r="I45" s="16" t="n">
        <f aca="false">IFERROR(F45/G45,0)</f>
        <v>105.514705882353</v>
      </c>
      <c r="J45" s="13" t="n">
        <f aca="false">(C45&gt;0)+(D45&gt;0)+(E45&gt;0)</f>
        <v>1</v>
      </c>
      <c r="K45" s="13" t="str">
        <f aca="false">IF(J45=3,"Sim","Não")</f>
        <v>Não</v>
      </c>
      <c r="L45" s="13" t="str">
        <f aca="false">IF(AND(I45&gt;=100,G45&gt;=100),"Sim","Não")</f>
        <v>Sim</v>
      </c>
      <c r="M45" s="13" t="n">
        <f aca="false">IF(L45="Sim",SUMPRODUCT(($L$2:L45="Sim")*1),"")</f>
        <v>35</v>
      </c>
    </row>
    <row r="46" customFormat="false" ht="15" hidden="false" customHeight="false" outlineLevel="0" collapsed="false">
      <c r="A46" s="13" t="s">
        <v>2103</v>
      </c>
      <c r="B46" s="13" t="s">
        <v>85</v>
      </c>
      <c r="C46" s="5" t="n">
        <f aca="false">SUMIFS('Dados Brutos'!$C:$C,'Dados Brutos'!$B:$B,A46,'Dados Brutos'!$T:$T,"SIENO")</f>
        <v>44200</v>
      </c>
      <c r="D46" s="5" t="n">
        <f aca="false">SUMIFS('Dados Brutos'!$C:$C,'Dados Brutos'!$B:$B,A46,'Dados Brutos'!$T:$T,"BAGATELLE")</f>
        <v>0</v>
      </c>
      <c r="E46" s="5" t="n">
        <f aca="false">SUMIFS('Dados Brutos'!$C:$C,'Dados Brutos'!$B:$B,A46,'Dados Brutos'!$T:$T,"AUMA")</f>
        <v>33260</v>
      </c>
      <c r="F46" s="5" t="n">
        <f aca="false">SUM(C46:E46)</f>
        <v>77460</v>
      </c>
      <c r="G46" s="7" t="n">
        <f aca="false">SUMIF('Dados Brutos'!$B:$B,A46,'Dados Brutos'!$D:$D)</f>
        <v>947</v>
      </c>
      <c r="H46" s="7" t="n">
        <f aca="false">COUNTIF('Dados Brutos'!$B:$B,A46)</f>
        <v>42</v>
      </c>
      <c r="I46" s="16" t="n">
        <f aca="false">IFERROR(F46/G46,0)</f>
        <v>81.7951425554382</v>
      </c>
      <c r="J46" s="13" t="n">
        <f aca="false">(C46&gt;0)+(D46&gt;0)+(E46&gt;0)</f>
        <v>2</v>
      </c>
      <c r="K46" s="13" t="str">
        <f aca="false">IF(J46=3,"Sim","Não")</f>
        <v>Não</v>
      </c>
      <c r="L46" s="13" t="str">
        <f aca="false">IF(AND(I46&gt;=100,G46&gt;=100),"Sim","Não")</f>
        <v>Não</v>
      </c>
      <c r="M46" s="13" t="str">
        <f aca="false">IF(L46="Sim",SUMPRODUCT(($L$2:L46="Sim")*1),"")</f>
        <v/>
      </c>
    </row>
    <row r="47" customFormat="false" ht="15" hidden="false" customHeight="false" outlineLevel="0" collapsed="false">
      <c r="A47" s="13" t="s">
        <v>2104</v>
      </c>
      <c r="B47" s="13" t="s">
        <v>57</v>
      </c>
      <c r="C47" s="5" t="n">
        <f aca="false">SUMIFS('Dados Brutos'!$C:$C,'Dados Brutos'!$B:$B,A47,'Dados Brutos'!$T:$T,"SIENO")</f>
        <v>75600</v>
      </c>
      <c r="D47" s="5" t="n">
        <f aca="false">SUMIFS('Dados Brutos'!$C:$C,'Dados Brutos'!$B:$B,A47,'Dados Brutos'!$T:$T,"BAGATELLE")</f>
        <v>0</v>
      </c>
      <c r="E47" s="5" t="n">
        <f aca="false">SUMIFS('Dados Brutos'!$C:$C,'Dados Brutos'!$B:$B,A47,'Dados Brutos'!$T:$T,"AUMA")</f>
        <v>0</v>
      </c>
      <c r="F47" s="5" t="n">
        <f aca="false">SUM(C47:E47)</f>
        <v>75600</v>
      </c>
      <c r="G47" s="7" t="n">
        <f aca="false">SUMIF('Dados Brutos'!$B:$B,A47,'Dados Brutos'!$D:$D)</f>
        <v>2060</v>
      </c>
      <c r="H47" s="7" t="n">
        <f aca="false">COUNTIF('Dados Brutos'!$B:$B,A47)</f>
        <v>3</v>
      </c>
      <c r="I47" s="16" t="n">
        <f aca="false">IFERROR(F47/G47,0)</f>
        <v>36.6990291262136</v>
      </c>
      <c r="J47" s="13" t="n">
        <f aca="false">(C47&gt;0)+(D47&gt;0)+(E47&gt;0)</f>
        <v>1</v>
      </c>
      <c r="K47" s="13" t="str">
        <f aca="false">IF(J47=3,"Sim","Não")</f>
        <v>Não</v>
      </c>
      <c r="L47" s="13" t="str">
        <f aca="false">IF(AND(I47&gt;=100,G47&gt;=100),"Sim","Não")</f>
        <v>Não</v>
      </c>
      <c r="M47" s="13" t="str">
        <f aca="false">IF(L47="Sim",SUMPRODUCT(($L$2:L47="Sim")*1),"")</f>
        <v/>
      </c>
    </row>
    <row r="48" customFormat="false" ht="15" hidden="false" customHeight="false" outlineLevel="0" collapsed="false">
      <c r="A48" s="13" t="s">
        <v>182</v>
      </c>
      <c r="B48" s="13" t="s">
        <v>85</v>
      </c>
      <c r="C48" s="5" t="n">
        <f aca="false">SUMIFS('Dados Brutos'!$C:$C,'Dados Brutos'!$B:$B,A48,'Dados Brutos'!$T:$T,"SIENO")</f>
        <v>74560</v>
      </c>
      <c r="D48" s="5" t="n">
        <f aca="false">SUMIFS('Dados Brutos'!$C:$C,'Dados Brutos'!$B:$B,A48,'Dados Brutos'!$T:$T,"BAGATELLE")</f>
        <v>0</v>
      </c>
      <c r="E48" s="5" t="n">
        <f aca="false">SUMIFS('Dados Brutos'!$C:$C,'Dados Brutos'!$B:$B,A48,'Dados Brutos'!$T:$T,"AUMA")</f>
        <v>0</v>
      </c>
      <c r="F48" s="5" t="n">
        <f aca="false">SUM(C48:E48)</f>
        <v>74560</v>
      </c>
      <c r="G48" s="7" t="n">
        <f aca="false">SUMIF('Dados Brutos'!$B:$B,A48,'Dados Brutos'!$D:$D)</f>
        <v>662</v>
      </c>
      <c r="H48" s="7" t="n">
        <f aca="false">COUNTIF('Dados Brutos'!$B:$B,A48)</f>
        <v>9</v>
      </c>
      <c r="I48" s="16" t="n">
        <f aca="false">IFERROR(F48/G48,0)</f>
        <v>112.628398791541</v>
      </c>
      <c r="J48" s="13" t="n">
        <f aca="false">(C48&gt;0)+(D48&gt;0)+(E48&gt;0)</f>
        <v>1</v>
      </c>
      <c r="K48" s="13" t="str">
        <f aca="false">IF(J48=3,"Sim","Não")</f>
        <v>Não</v>
      </c>
      <c r="L48" s="13" t="str">
        <f aca="false">IF(AND(I48&gt;=100,G48&gt;=100),"Sim","Não")</f>
        <v>Sim</v>
      </c>
      <c r="M48" s="13" t="n">
        <f aca="false">IF(L48="Sim",SUMPRODUCT(($L$2:L48="Sim")*1),"")</f>
        <v>36</v>
      </c>
    </row>
    <row r="49" customFormat="false" ht="15" hidden="false" customHeight="false" outlineLevel="0" collapsed="false">
      <c r="A49" s="13" t="s">
        <v>362</v>
      </c>
      <c r="B49" s="13" t="s">
        <v>43</v>
      </c>
      <c r="C49" s="5" t="n">
        <f aca="false">SUMIFS('Dados Brutos'!$C:$C,'Dados Brutos'!$B:$B,A49,'Dados Brutos'!$T:$T,"SIENO")</f>
        <v>3000</v>
      </c>
      <c r="D49" s="5" t="n">
        <f aca="false">SUMIFS('Dados Brutos'!$C:$C,'Dados Brutos'!$B:$B,A49,'Dados Brutos'!$T:$T,"BAGATELLE")</f>
        <v>45370</v>
      </c>
      <c r="E49" s="5" t="n">
        <f aca="false">SUMIFS('Dados Brutos'!$C:$C,'Dados Brutos'!$B:$B,A49,'Dados Brutos'!$T:$T,"AUMA")</f>
        <v>24380</v>
      </c>
      <c r="F49" s="5" t="n">
        <f aca="false">SUM(C49:E49)</f>
        <v>72750</v>
      </c>
      <c r="G49" s="7" t="n">
        <f aca="false">SUMIF('Dados Brutos'!$B:$B,A49,'Dados Brutos'!$D:$D)</f>
        <v>131</v>
      </c>
      <c r="H49" s="7" t="n">
        <f aca="false">COUNTIF('Dados Brutos'!$B:$B,A49)</f>
        <v>35</v>
      </c>
      <c r="I49" s="16" t="n">
        <f aca="false">IFERROR(F49/G49,0)</f>
        <v>555.343511450382</v>
      </c>
      <c r="J49" s="13" t="n">
        <f aca="false">(C49&gt;0)+(D49&gt;0)+(E49&gt;0)</f>
        <v>3</v>
      </c>
      <c r="K49" s="13" t="str">
        <f aca="false">IF(J49=3,"Sim","Não")</f>
        <v>Sim</v>
      </c>
      <c r="L49" s="13" t="str">
        <f aca="false">IF(AND(I49&gt;=100,G49&gt;=100),"Sim","Não")</f>
        <v>Sim</v>
      </c>
      <c r="M49" s="13" t="n">
        <f aca="false">IF(L49="Sim",SUMPRODUCT(($L$2:L49="Sim")*1),"")</f>
        <v>37</v>
      </c>
    </row>
    <row r="50" customFormat="false" ht="15" hidden="false" customHeight="false" outlineLevel="0" collapsed="false">
      <c r="A50" s="13" t="s">
        <v>97</v>
      </c>
      <c r="B50" s="13" t="s">
        <v>98</v>
      </c>
      <c r="C50" s="5" t="n">
        <f aca="false">SUMIFS('Dados Brutos'!$C:$C,'Dados Brutos'!$B:$B,A50,'Dados Brutos'!$T:$T,"SIENO")</f>
        <v>71620</v>
      </c>
      <c r="D50" s="5" t="n">
        <f aca="false">SUMIFS('Dados Brutos'!$C:$C,'Dados Brutos'!$B:$B,A50,'Dados Brutos'!$T:$T,"BAGATELLE")</f>
        <v>0</v>
      </c>
      <c r="E50" s="5" t="n">
        <f aca="false">SUMIFS('Dados Brutos'!$C:$C,'Dados Brutos'!$B:$B,A50,'Dados Brutos'!$T:$T,"AUMA")</f>
        <v>0</v>
      </c>
      <c r="F50" s="5" t="n">
        <f aca="false">SUM(C50:E50)</f>
        <v>71620</v>
      </c>
      <c r="G50" s="7" t="n">
        <f aca="false">SUMIF('Dados Brutos'!$B:$B,A50,'Dados Brutos'!$D:$D)</f>
        <v>563</v>
      </c>
      <c r="H50" s="7" t="n">
        <f aca="false">COUNTIF('Dados Brutos'!$B:$B,A50)</f>
        <v>7</v>
      </c>
      <c r="I50" s="16" t="n">
        <f aca="false">IFERROR(F50/G50,0)</f>
        <v>127.211367673179</v>
      </c>
      <c r="J50" s="13" t="n">
        <f aca="false">(C50&gt;0)+(D50&gt;0)+(E50&gt;0)</f>
        <v>1</v>
      </c>
      <c r="K50" s="13" t="str">
        <f aca="false">IF(J50=3,"Sim","Não")</f>
        <v>Não</v>
      </c>
      <c r="L50" s="13" t="str">
        <f aca="false">IF(AND(I50&gt;=100,G50&gt;=100),"Sim","Não")</f>
        <v>Sim</v>
      </c>
      <c r="M50" s="13" t="n">
        <f aca="false">IF(L50="Sim",SUMPRODUCT(($L$2:L50="Sim")*1),"")</f>
        <v>38</v>
      </c>
    </row>
    <row r="51" customFormat="false" ht="15" hidden="false" customHeight="false" outlineLevel="0" collapsed="false">
      <c r="A51" s="13" t="s">
        <v>270</v>
      </c>
      <c r="B51" s="13" t="s">
        <v>43</v>
      </c>
      <c r="C51" s="5" t="n">
        <f aca="false">SUMIFS('Dados Brutos'!$C:$C,'Dados Brutos'!$B:$B,A51,'Dados Brutos'!$T:$T,"SIENO")</f>
        <v>42900</v>
      </c>
      <c r="D51" s="5" t="n">
        <f aca="false">SUMIFS('Dados Brutos'!$C:$C,'Dados Brutos'!$B:$B,A51,'Dados Brutos'!$T:$T,"BAGATELLE")</f>
        <v>28130</v>
      </c>
      <c r="E51" s="5" t="n">
        <f aca="false">SUMIFS('Dados Brutos'!$C:$C,'Dados Brutos'!$B:$B,A51,'Dados Brutos'!$T:$T,"AUMA")</f>
        <v>0</v>
      </c>
      <c r="F51" s="5" t="n">
        <f aca="false">SUM(C51:E51)</f>
        <v>71030</v>
      </c>
      <c r="G51" s="7" t="n">
        <f aca="false">SUMIF('Dados Brutos'!$B:$B,A51,'Dados Brutos'!$D:$D)</f>
        <v>256</v>
      </c>
      <c r="H51" s="7" t="n">
        <f aca="false">COUNTIF('Dados Brutos'!$B:$B,A51)</f>
        <v>20</v>
      </c>
      <c r="I51" s="16" t="n">
        <f aca="false">IFERROR(F51/G51,0)</f>
        <v>277.4609375</v>
      </c>
      <c r="J51" s="13" t="n">
        <f aca="false">(C51&gt;0)+(D51&gt;0)+(E51&gt;0)</f>
        <v>2</v>
      </c>
      <c r="K51" s="13" t="str">
        <f aca="false">IF(J51=3,"Sim","Não")</f>
        <v>Não</v>
      </c>
      <c r="L51" s="13" t="str">
        <f aca="false">IF(AND(I51&gt;=100,G51&gt;=100),"Sim","Não")</f>
        <v>Sim</v>
      </c>
      <c r="M51" s="13" t="n">
        <f aca="false">IF(L51="Sim",SUMPRODUCT(($L$2:L51="Sim")*1),"")</f>
        <v>39</v>
      </c>
    </row>
    <row r="52" customFormat="false" ht="15" hidden="false" customHeight="false" outlineLevel="0" collapsed="false">
      <c r="A52" s="13" t="s">
        <v>2105</v>
      </c>
      <c r="B52" s="13" t="s">
        <v>144</v>
      </c>
      <c r="C52" s="5" t="n">
        <f aca="false">SUMIFS('Dados Brutos'!$C:$C,'Dados Brutos'!$B:$B,A52,'Dados Brutos'!$T:$T,"SIENO")</f>
        <v>70700</v>
      </c>
      <c r="D52" s="5" t="n">
        <f aca="false">SUMIFS('Dados Brutos'!$C:$C,'Dados Brutos'!$B:$B,A52,'Dados Brutos'!$T:$T,"BAGATELLE")</f>
        <v>0</v>
      </c>
      <c r="E52" s="5" t="n">
        <f aca="false">SUMIFS('Dados Brutos'!$C:$C,'Dados Brutos'!$B:$B,A52,'Dados Brutos'!$T:$T,"AUMA")</f>
        <v>0</v>
      </c>
      <c r="F52" s="5" t="n">
        <f aca="false">SUM(C52:E52)</f>
        <v>70700</v>
      </c>
      <c r="G52" s="7" t="n">
        <f aca="false">SUMIF('Dados Brutos'!$B:$B,A52,'Dados Brutos'!$D:$D)</f>
        <v>975</v>
      </c>
      <c r="H52" s="7" t="n">
        <f aca="false">COUNTIF('Dados Brutos'!$B:$B,A52)</f>
        <v>3</v>
      </c>
      <c r="I52" s="16" t="n">
        <f aca="false">IFERROR(F52/G52,0)</f>
        <v>72.5128205128205</v>
      </c>
      <c r="J52" s="13" t="n">
        <f aca="false">(C52&gt;0)+(D52&gt;0)+(E52&gt;0)</f>
        <v>1</v>
      </c>
      <c r="K52" s="13" t="str">
        <f aca="false">IF(J52=3,"Sim","Não")</f>
        <v>Não</v>
      </c>
      <c r="L52" s="13" t="str">
        <f aca="false">IF(AND(I52&gt;=100,G52&gt;=100),"Sim","Não")</f>
        <v>Não</v>
      </c>
      <c r="M52" s="13" t="str">
        <f aca="false">IF(L52="Sim",SUMPRODUCT(($L$2:L52="Sim")*1),"")</f>
        <v/>
      </c>
    </row>
    <row r="53" customFormat="false" ht="15" hidden="false" customHeight="false" outlineLevel="0" collapsed="false">
      <c r="A53" s="13" t="s">
        <v>302</v>
      </c>
      <c r="B53" s="13" t="s">
        <v>43</v>
      </c>
      <c r="C53" s="5" t="n">
        <f aca="false">SUMIFS('Dados Brutos'!$C:$C,'Dados Brutos'!$B:$B,A53,'Dados Brutos'!$T:$T,"SIENO")</f>
        <v>60550</v>
      </c>
      <c r="D53" s="5" t="n">
        <f aca="false">SUMIFS('Dados Brutos'!$C:$C,'Dados Brutos'!$B:$B,A53,'Dados Brutos'!$T:$T,"BAGATELLE")</f>
        <v>7660</v>
      </c>
      <c r="E53" s="5" t="n">
        <f aca="false">SUMIFS('Dados Brutos'!$C:$C,'Dados Brutos'!$B:$B,A53,'Dados Brutos'!$T:$T,"AUMA")</f>
        <v>1980</v>
      </c>
      <c r="F53" s="5" t="n">
        <f aca="false">SUM(C53:E53)</f>
        <v>70190</v>
      </c>
      <c r="G53" s="7" t="n">
        <f aca="false">SUMIF('Dados Brutos'!$B:$B,A53,'Dados Brutos'!$D:$D)</f>
        <v>130</v>
      </c>
      <c r="H53" s="7" t="n">
        <f aca="false">COUNTIF('Dados Brutos'!$B:$B,A53)</f>
        <v>20</v>
      </c>
      <c r="I53" s="16" t="n">
        <f aca="false">IFERROR(F53/G53,0)</f>
        <v>539.923076923077</v>
      </c>
      <c r="J53" s="13" t="n">
        <f aca="false">(C53&gt;0)+(D53&gt;0)+(E53&gt;0)</f>
        <v>3</v>
      </c>
      <c r="K53" s="13" t="str">
        <f aca="false">IF(J53=3,"Sim","Não")</f>
        <v>Sim</v>
      </c>
      <c r="L53" s="13" t="str">
        <f aca="false">IF(AND(I53&gt;=100,G53&gt;=100),"Sim","Não")</f>
        <v>Sim</v>
      </c>
      <c r="M53" s="13" t="n">
        <f aca="false">IF(L53="Sim",SUMPRODUCT(($L$2:L53="Sim")*1),"")</f>
        <v>40</v>
      </c>
    </row>
    <row r="54" customFormat="false" ht="15" hidden="false" customHeight="false" outlineLevel="0" collapsed="false">
      <c r="A54" s="13" t="s">
        <v>329</v>
      </c>
      <c r="B54" s="13" t="s">
        <v>43</v>
      </c>
      <c r="C54" s="5" t="n">
        <f aca="false">SUMIFS('Dados Brutos'!$C:$C,'Dados Brutos'!$B:$B,A54,'Dados Brutos'!$T:$T,"SIENO")</f>
        <v>0</v>
      </c>
      <c r="D54" s="5" t="n">
        <f aca="false">SUMIFS('Dados Brutos'!$C:$C,'Dados Brutos'!$B:$B,A54,'Dados Brutos'!$T:$T,"BAGATELLE")</f>
        <v>23210</v>
      </c>
      <c r="E54" s="5" t="n">
        <f aca="false">SUMIFS('Dados Brutos'!$C:$C,'Dados Brutos'!$B:$B,A54,'Dados Brutos'!$T:$T,"AUMA")</f>
        <v>44890</v>
      </c>
      <c r="F54" s="5" t="n">
        <f aca="false">SUM(C54:E54)</f>
        <v>68100</v>
      </c>
      <c r="G54" s="7" t="n">
        <f aca="false">SUMIF('Dados Brutos'!$B:$B,A54,'Dados Brutos'!$D:$D)</f>
        <v>149</v>
      </c>
      <c r="H54" s="7" t="n">
        <f aca="false">COUNTIF('Dados Brutos'!$B:$B,A54)</f>
        <v>42</v>
      </c>
      <c r="I54" s="16" t="n">
        <f aca="false">IFERROR(F54/G54,0)</f>
        <v>457.046979865772</v>
      </c>
      <c r="J54" s="13" t="n">
        <f aca="false">(C54&gt;0)+(D54&gt;0)+(E54&gt;0)</f>
        <v>2</v>
      </c>
      <c r="K54" s="13" t="str">
        <f aca="false">IF(J54=3,"Sim","Não")</f>
        <v>Não</v>
      </c>
      <c r="L54" s="13" t="str">
        <f aca="false">IF(AND(I54&gt;=100,G54&gt;=100),"Sim","Não")</f>
        <v>Sim</v>
      </c>
      <c r="M54" s="13" t="n">
        <f aca="false">IF(L54="Sim",SUMPRODUCT(($L$2:L54="Sim")*1),"")</f>
        <v>41</v>
      </c>
    </row>
    <row r="55" customFormat="false" ht="15" hidden="false" customHeight="false" outlineLevel="0" collapsed="false">
      <c r="A55" s="13" t="s">
        <v>139</v>
      </c>
      <c r="B55" s="13" t="s">
        <v>140</v>
      </c>
      <c r="C55" s="5" t="n">
        <f aca="false">SUMIFS('Dados Brutos'!$C:$C,'Dados Brutos'!$B:$B,A55,'Dados Brutos'!$T:$T,"SIENO")</f>
        <v>65400</v>
      </c>
      <c r="D55" s="5" t="n">
        <f aca="false">SUMIFS('Dados Brutos'!$C:$C,'Dados Brutos'!$B:$B,A55,'Dados Brutos'!$T:$T,"BAGATELLE")</f>
        <v>0</v>
      </c>
      <c r="E55" s="5" t="n">
        <f aca="false">SUMIFS('Dados Brutos'!$C:$C,'Dados Brutos'!$B:$B,A55,'Dados Brutos'!$T:$T,"AUMA")</f>
        <v>0</v>
      </c>
      <c r="F55" s="5" t="n">
        <f aca="false">SUM(C55:E55)</f>
        <v>65400</v>
      </c>
      <c r="G55" s="7" t="n">
        <f aca="false">SUMIF('Dados Brutos'!$B:$B,A55,'Dados Brutos'!$D:$D)</f>
        <v>300</v>
      </c>
      <c r="H55" s="7" t="n">
        <f aca="false">COUNTIF('Dados Brutos'!$B:$B,A55)</f>
        <v>3</v>
      </c>
      <c r="I55" s="16" t="n">
        <f aca="false">IFERROR(F55/G55,0)</f>
        <v>218</v>
      </c>
      <c r="J55" s="13" t="n">
        <f aca="false">(C55&gt;0)+(D55&gt;0)+(E55&gt;0)</f>
        <v>1</v>
      </c>
      <c r="K55" s="13" t="str">
        <f aca="false">IF(J55=3,"Sim","Não")</f>
        <v>Não</v>
      </c>
      <c r="L55" s="13" t="str">
        <f aca="false">IF(AND(I55&gt;=100,G55&gt;=100),"Sim","Não")</f>
        <v>Sim</v>
      </c>
      <c r="M55" s="13" t="n">
        <f aca="false">IF(L55="Sim",SUMPRODUCT(($L$2:L55="Sim")*1),"")</f>
        <v>42</v>
      </c>
    </row>
    <row r="56" customFormat="false" ht="15" hidden="false" customHeight="false" outlineLevel="0" collapsed="false">
      <c r="A56" s="13" t="s">
        <v>229</v>
      </c>
      <c r="B56" s="13" t="s">
        <v>43</v>
      </c>
      <c r="C56" s="5" t="n">
        <f aca="false">SUMIFS('Dados Brutos'!$C:$C,'Dados Brutos'!$B:$B,A56,'Dados Brutos'!$T:$T,"SIENO")</f>
        <v>30800</v>
      </c>
      <c r="D56" s="5" t="n">
        <f aca="false">SUMIFS('Dados Brutos'!$C:$C,'Dados Brutos'!$B:$B,A56,'Dados Brutos'!$T:$T,"BAGATELLE")</f>
        <v>28790</v>
      </c>
      <c r="E56" s="5" t="n">
        <f aca="false">SUMIFS('Dados Brutos'!$C:$C,'Dados Brutos'!$B:$B,A56,'Dados Brutos'!$T:$T,"AUMA")</f>
        <v>3160</v>
      </c>
      <c r="F56" s="5" t="n">
        <f aca="false">SUM(C56:E56)</f>
        <v>62750</v>
      </c>
      <c r="G56" s="7" t="n">
        <f aca="false">SUMIF('Dados Brutos'!$B:$B,A56,'Dados Brutos'!$D:$D)</f>
        <v>281</v>
      </c>
      <c r="H56" s="7" t="n">
        <f aca="false">COUNTIF('Dados Brutos'!$B:$B,A56)</f>
        <v>19</v>
      </c>
      <c r="I56" s="16" t="n">
        <f aca="false">IFERROR(F56/G56,0)</f>
        <v>223.309608540925</v>
      </c>
      <c r="J56" s="13" t="n">
        <f aca="false">(C56&gt;0)+(D56&gt;0)+(E56&gt;0)</f>
        <v>3</v>
      </c>
      <c r="K56" s="13" t="str">
        <f aca="false">IF(J56=3,"Sim","Não")</f>
        <v>Sim</v>
      </c>
      <c r="L56" s="13" t="str">
        <f aca="false">IF(AND(I56&gt;=100,G56&gt;=100),"Sim","Não")</f>
        <v>Sim</v>
      </c>
      <c r="M56" s="13" t="n">
        <f aca="false">IF(L56="Sim",SUMPRODUCT(($L$2:L56="Sim")*1),"")</f>
        <v>43</v>
      </c>
    </row>
    <row r="57" customFormat="false" ht="15" hidden="false" customHeight="false" outlineLevel="0" collapsed="false">
      <c r="A57" s="13" t="s">
        <v>2106</v>
      </c>
      <c r="B57" s="13" t="s">
        <v>98</v>
      </c>
      <c r="C57" s="5" t="n">
        <f aca="false">SUMIFS('Dados Brutos'!$C:$C,'Dados Brutos'!$B:$B,A57,'Dados Brutos'!$T:$T,"SIENO")</f>
        <v>58590</v>
      </c>
      <c r="D57" s="5" t="n">
        <f aca="false">SUMIFS('Dados Brutos'!$C:$C,'Dados Brutos'!$B:$B,A57,'Dados Brutos'!$T:$T,"BAGATELLE")</f>
        <v>0</v>
      </c>
      <c r="E57" s="5" t="n">
        <f aca="false">SUMIFS('Dados Brutos'!$C:$C,'Dados Brutos'!$B:$B,A57,'Dados Brutos'!$T:$T,"AUMA")</f>
        <v>0</v>
      </c>
      <c r="F57" s="5" t="n">
        <f aca="false">SUM(C57:E57)</f>
        <v>58590</v>
      </c>
      <c r="G57" s="7" t="n">
        <f aca="false">SUMIF('Dados Brutos'!$B:$B,A57,'Dados Brutos'!$D:$D)</f>
        <v>797</v>
      </c>
      <c r="H57" s="7" t="n">
        <f aca="false">COUNTIF('Dados Brutos'!$B:$B,A57)</f>
        <v>6</v>
      </c>
      <c r="I57" s="16" t="n">
        <f aca="false">IFERROR(F57/G57,0)</f>
        <v>73.5131744040151</v>
      </c>
      <c r="J57" s="13" t="n">
        <f aca="false">(C57&gt;0)+(D57&gt;0)+(E57&gt;0)</f>
        <v>1</v>
      </c>
      <c r="K57" s="13" t="str">
        <f aca="false">IF(J57=3,"Sim","Não")</f>
        <v>Não</v>
      </c>
      <c r="L57" s="13" t="str">
        <f aca="false">IF(AND(I57&gt;=100,G57&gt;=100),"Sim","Não")</f>
        <v>Não</v>
      </c>
      <c r="M57" s="13" t="str">
        <f aca="false">IF(L57="Sim",SUMPRODUCT(($L$2:L57="Sim")*1),"")</f>
        <v/>
      </c>
    </row>
    <row r="58" customFormat="false" ht="15" hidden="false" customHeight="false" outlineLevel="0" collapsed="false">
      <c r="A58" s="13" t="s">
        <v>2107</v>
      </c>
      <c r="B58" s="13" t="s">
        <v>43</v>
      </c>
      <c r="C58" s="5" t="n">
        <f aca="false">SUMIFS('Dados Brutos'!$C:$C,'Dados Brutos'!$B:$B,A58,'Dados Brutos'!$T:$T,"SIENO")</f>
        <v>58420</v>
      </c>
      <c r="D58" s="5" t="n">
        <f aca="false">SUMIFS('Dados Brutos'!$C:$C,'Dados Brutos'!$B:$B,A58,'Dados Brutos'!$T:$T,"BAGATELLE")</f>
        <v>0</v>
      </c>
      <c r="E58" s="5" t="n">
        <f aca="false">SUMIFS('Dados Brutos'!$C:$C,'Dados Brutos'!$B:$B,A58,'Dados Brutos'!$T:$T,"AUMA")</f>
        <v>0</v>
      </c>
      <c r="F58" s="5" t="n">
        <f aca="false">SUM(C58:E58)</f>
        <v>58420</v>
      </c>
      <c r="G58" s="7" t="n">
        <f aca="false">SUMIF('Dados Brutos'!$B:$B,A58,'Dados Brutos'!$D:$D)</f>
        <v>700</v>
      </c>
      <c r="H58" s="7" t="n">
        <f aca="false">COUNTIF('Dados Brutos'!$B:$B,A58)</f>
        <v>13</v>
      </c>
      <c r="I58" s="16" t="n">
        <f aca="false">IFERROR(F58/G58,0)</f>
        <v>83.4571428571429</v>
      </c>
      <c r="J58" s="13" t="n">
        <f aca="false">(C58&gt;0)+(D58&gt;0)+(E58&gt;0)</f>
        <v>1</v>
      </c>
      <c r="K58" s="13" t="str">
        <f aca="false">IF(J58=3,"Sim","Não")</f>
        <v>Não</v>
      </c>
      <c r="L58" s="13" t="str">
        <f aca="false">IF(AND(I58&gt;=100,G58&gt;=100),"Sim","Não")</f>
        <v>Não</v>
      </c>
      <c r="M58" s="13" t="str">
        <f aca="false">IF(L58="Sim",SUMPRODUCT(($L$2:L58="Sim")*1),"")</f>
        <v/>
      </c>
    </row>
    <row r="59" customFormat="false" ht="15" hidden="false" customHeight="false" outlineLevel="0" collapsed="false">
      <c r="A59" s="13" t="s">
        <v>286</v>
      </c>
      <c r="B59" s="13" t="s">
        <v>43</v>
      </c>
      <c r="C59" s="5" t="n">
        <f aca="false">SUMIFS('Dados Brutos'!$C:$C,'Dados Brutos'!$B:$B,A59,'Dados Brutos'!$T:$T,"SIENO")</f>
        <v>1810</v>
      </c>
      <c r="D59" s="5" t="n">
        <f aca="false">SUMIFS('Dados Brutos'!$C:$C,'Dados Brutos'!$B:$B,A59,'Dados Brutos'!$T:$T,"BAGATELLE")</f>
        <v>46710</v>
      </c>
      <c r="E59" s="5" t="n">
        <f aca="false">SUMIFS('Dados Brutos'!$C:$C,'Dados Brutos'!$B:$B,A59,'Dados Brutos'!$T:$T,"AUMA")</f>
        <v>7670</v>
      </c>
      <c r="F59" s="5" t="n">
        <f aca="false">SUM(C59:E59)</f>
        <v>56190</v>
      </c>
      <c r="G59" s="7" t="n">
        <f aca="false">SUMIF('Dados Brutos'!$B:$B,A59,'Dados Brutos'!$D:$D)</f>
        <v>161</v>
      </c>
      <c r="H59" s="7" t="n">
        <f aca="false">COUNTIF('Dados Brutos'!$B:$B,A59)</f>
        <v>35</v>
      </c>
      <c r="I59" s="16" t="n">
        <f aca="false">IFERROR(F59/G59,0)</f>
        <v>349.006211180124</v>
      </c>
      <c r="J59" s="13" t="n">
        <f aca="false">(C59&gt;0)+(D59&gt;0)+(E59&gt;0)</f>
        <v>3</v>
      </c>
      <c r="K59" s="13" t="str">
        <f aca="false">IF(J59=3,"Sim","Não")</f>
        <v>Sim</v>
      </c>
      <c r="L59" s="13" t="str">
        <f aca="false">IF(AND(I59&gt;=100,G59&gt;=100),"Sim","Não")</f>
        <v>Sim</v>
      </c>
      <c r="M59" s="13" t="n">
        <f aca="false">IF(L59="Sim",SUMPRODUCT(($L$2:L59="Sim")*1),"")</f>
        <v>44</v>
      </c>
    </row>
    <row r="60" customFormat="false" ht="15" hidden="false" customHeight="false" outlineLevel="0" collapsed="false">
      <c r="A60" s="13" t="s">
        <v>157</v>
      </c>
      <c r="B60" s="13" t="s">
        <v>66</v>
      </c>
      <c r="C60" s="5" t="n">
        <f aca="false">SUMIFS('Dados Brutos'!$C:$C,'Dados Brutos'!$B:$B,A60,'Dados Brutos'!$T:$T,"SIENO")</f>
        <v>52600</v>
      </c>
      <c r="D60" s="5" t="n">
        <f aca="false">SUMIFS('Dados Brutos'!$C:$C,'Dados Brutos'!$B:$B,A60,'Dados Brutos'!$T:$T,"BAGATELLE")</f>
        <v>0</v>
      </c>
      <c r="E60" s="5" t="n">
        <f aca="false">SUMIFS('Dados Brutos'!$C:$C,'Dados Brutos'!$B:$B,A60,'Dados Brutos'!$T:$T,"AUMA")</f>
        <v>0</v>
      </c>
      <c r="F60" s="5" t="n">
        <f aca="false">SUM(C60:E60)</f>
        <v>52600</v>
      </c>
      <c r="G60" s="7" t="n">
        <f aca="false">SUMIF('Dados Brutos'!$B:$B,A60,'Dados Brutos'!$D:$D)</f>
        <v>150</v>
      </c>
      <c r="H60" s="7" t="n">
        <f aca="false">COUNTIF('Dados Brutos'!$B:$B,A60)</f>
        <v>2</v>
      </c>
      <c r="I60" s="16" t="n">
        <f aca="false">IFERROR(F60/G60,0)</f>
        <v>350.666666666667</v>
      </c>
      <c r="J60" s="13" t="n">
        <f aca="false">(C60&gt;0)+(D60&gt;0)+(E60&gt;0)</f>
        <v>1</v>
      </c>
      <c r="K60" s="13" t="str">
        <f aca="false">IF(J60=3,"Sim","Não")</f>
        <v>Não</v>
      </c>
      <c r="L60" s="13" t="str">
        <f aca="false">IF(AND(I60&gt;=100,G60&gt;=100),"Sim","Não")</f>
        <v>Sim</v>
      </c>
      <c r="M60" s="13" t="n">
        <f aca="false">IF(L60="Sim",SUMPRODUCT(($L$2:L60="Sim")*1),"")</f>
        <v>45</v>
      </c>
    </row>
    <row r="61" customFormat="false" ht="15" hidden="false" customHeight="false" outlineLevel="0" collapsed="false">
      <c r="A61" s="13" t="s">
        <v>155</v>
      </c>
      <c r="B61" s="13" t="s">
        <v>43</v>
      </c>
      <c r="C61" s="5" t="n">
        <f aca="false">SUMIFS('Dados Brutos'!$C:$C,'Dados Brutos'!$B:$B,A61,'Dados Brutos'!$T:$T,"SIENO")</f>
        <v>45700</v>
      </c>
      <c r="D61" s="5" t="n">
        <f aca="false">SUMIFS('Dados Brutos'!$C:$C,'Dados Brutos'!$B:$B,A61,'Dados Brutos'!$T:$T,"BAGATELLE")</f>
        <v>5710</v>
      </c>
      <c r="E61" s="5" t="n">
        <f aca="false">SUMIFS('Dados Brutos'!$C:$C,'Dados Brutos'!$B:$B,A61,'Dados Brutos'!$T:$T,"AUMA")</f>
        <v>680</v>
      </c>
      <c r="F61" s="5" t="n">
        <f aca="false">SUM(C61:E61)</f>
        <v>52090</v>
      </c>
      <c r="G61" s="7" t="n">
        <f aca="false">SUMIF('Dados Brutos'!$B:$B,A61,'Dados Brutos'!$D:$D)</f>
        <v>520</v>
      </c>
      <c r="H61" s="7" t="n">
        <f aca="false">COUNTIF('Dados Brutos'!$B:$B,A61)</f>
        <v>11</v>
      </c>
      <c r="I61" s="16" t="n">
        <f aca="false">IFERROR(F61/G61,0)</f>
        <v>100.173076923077</v>
      </c>
      <c r="J61" s="13" t="n">
        <f aca="false">(C61&gt;0)+(D61&gt;0)+(E61&gt;0)</f>
        <v>3</v>
      </c>
      <c r="K61" s="13" t="str">
        <f aca="false">IF(J61=3,"Sim","Não")</f>
        <v>Sim</v>
      </c>
      <c r="L61" s="13" t="str">
        <f aca="false">IF(AND(I61&gt;=100,G61&gt;=100),"Sim","Não")</f>
        <v>Sim</v>
      </c>
      <c r="M61" s="13" t="n">
        <f aca="false">IF(L61="Sim",SUMPRODUCT(($L$2:L61="Sim")*1),"")</f>
        <v>46</v>
      </c>
    </row>
    <row r="62" customFormat="false" ht="15" hidden="false" customHeight="false" outlineLevel="0" collapsed="false">
      <c r="A62" s="13" t="s">
        <v>126</v>
      </c>
      <c r="B62" s="13" t="s">
        <v>43</v>
      </c>
      <c r="C62" s="5" t="n">
        <f aca="false">SUMIFS('Dados Brutos'!$C:$C,'Dados Brutos'!$B:$B,A62,'Dados Brutos'!$T:$T,"SIENO")</f>
        <v>41400</v>
      </c>
      <c r="D62" s="5" t="n">
        <f aca="false">SUMIFS('Dados Brutos'!$C:$C,'Dados Brutos'!$B:$B,A62,'Dados Brutos'!$T:$T,"BAGATELLE")</f>
        <v>10000</v>
      </c>
      <c r="E62" s="5" t="n">
        <f aca="false">SUMIFS('Dados Brutos'!$C:$C,'Dados Brutos'!$B:$B,A62,'Dados Brutos'!$T:$T,"AUMA")</f>
        <v>510</v>
      </c>
      <c r="F62" s="5" t="n">
        <f aca="false">SUM(C62:E62)</f>
        <v>51910</v>
      </c>
      <c r="G62" s="7" t="n">
        <f aca="false">SUMIF('Dados Brutos'!$B:$B,A62,'Dados Brutos'!$D:$D)</f>
        <v>235</v>
      </c>
      <c r="H62" s="7" t="n">
        <f aca="false">COUNTIF('Dados Brutos'!$B:$B,A62)</f>
        <v>7</v>
      </c>
      <c r="I62" s="16" t="n">
        <f aca="false">IFERROR(F62/G62,0)</f>
        <v>220.893617021277</v>
      </c>
      <c r="J62" s="13" t="n">
        <f aca="false">(C62&gt;0)+(D62&gt;0)+(E62&gt;0)</f>
        <v>3</v>
      </c>
      <c r="K62" s="13" t="str">
        <f aca="false">IF(J62=3,"Sim","Não")</f>
        <v>Sim</v>
      </c>
      <c r="L62" s="13" t="str">
        <f aca="false">IF(AND(I62&gt;=100,G62&gt;=100),"Sim","Não")</f>
        <v>Sim</v>
      </c>
      <c r="M62" s="13" t="n">
        <f aca="false">IF(L62="Sim",SUMPRODUCT(($L$2:L62="Sim")*1),"")</f>
        <v>47</v>
      </c>
    </row>
    <row r="63" customFormat="false" ht="15" hidden="false" customHeight="false" outlineLevel="0" collapsed="false">
      <c r="A63" s="13" t="s">
        <v>175</v>
      </c>
      <c r="B63" s="13" t="s">
        <v>98</v>
      </c>
      <c r="C63" s="5" t="n">
        <f aca="false">SUMIFS('Dados Brutos'!$C:$C,'Dados Brutos'!$B:$B,A63,'Dados Brutos'!$T:$T,"SIENO")</f>
        <v>49300</v>
      </c>
      <c r="D63" s="5" t="n">
        <f aca="false">SUMIFS('Dados Brutos'!$C:$C,'Dados Brutos'!$B:$B,A63,'Dados Brutos'!$T:$T,"BAGATELLE")</f>
        <v>0</v>
      </c>
      <c r="E63" s="5" t="n">
        <f aca="false">SUMIFS('Dados Brutos'!$C:$C,'Dados Brutos'!$B:$B,A63,'Dados Brutos'!$T:$T,"AUMA")</f>
        <v>0</v>
      </c>
      <c r="F63" s="5" t="n">
        <f aca="false">SUM(C63:E63)</f>
        <v>49300</v>
      </c>
      <c r="G63" s="7" t="n">
        <f aca="false">SUMIF('Dados Brutos'!$B:$B,A63,'Dados Brutos'!$D:$D)</f>
        <v>267</v>
      </c>
      <c r="H63" s="7" t="n">
        <f aca="false">COUNTIF('Dados Brutos'!$B:$B,A63)</f>
        <v>5</v>
      </c>
      <c r="I63" s="16" t="n">
        <f aca="false">IFERROR(F63/G63,0)</f>
        <v>184.644194756554</v>
      </c>
      <c r="J63" s="13" t="n">
        <f aca="false">(C63&gt;0)+(D63&gt;0)+(E63&gt;0)</f>
        <v>1</v>
      </c>
      <c r="K63" s="13" t="str">
        <f aca="false">IF(J63=3,"Sim","Não")</f>
        <v>Não</v>
      </c>
      <c r="L63" s="13" t="str">
        <f aca="false">IF(AND(I63&gt;=100,G63&gt;=100),"Sim","Não")</f>
        <v>Sim</v>
      </c>
      <c r="M63" s="13" t="n">
        <f aca="false">IF(L63="Sim",SUMPRODUCT(($L$2:L63="Sim")*1),"")</f>
        <v>48</v>
      </c>
    </row>
    <row r="64" customFormat="false" ht="15" hidden="false" customHeight="false" outlineLevel="0" collapsed="false">
      <c r="A64" s="13" t="s">
        <v>204</v>
      </c>
      <c r="B64" s="13" t="s">
        <v>43</v>
      </c>
      <c r="C64" s="5" t="n">
        <f aca="false">SUMIFS('Dados Brutos'!$C:$C,'Dados Brutos'!$B:$B,A64,'Dados Brutos'!$T:$T,"SIENO")</f>
        <v>26220</v>
      </c>
      <c r="D64" s="5" t="n">
        <f aca="false">SUMIFS('Dados Brutos'!$C:$C,'Dados Brutos'!$B:$B,A64,'Dados Brutos'!$T:$T,"BAGATELLE")</f>
        <v>22580</v>
      </c>
      <c r="E64" s="5" t="n">
        <f aca="false">SUMIFS('Dados Brutos'!$C:$C,'Dados Brutos'!$B:$B,A64,'Dados Brutos'!$T:$T,"AUMA")</f>
        <v>0</v>
      </c>
      <c r="F64" s="5" t="n">
        <f aca="false">SUM(C64:E64)</f>
        <v>48800</v>
      </c>
      <c r="G64" s="7" t="n">
        <f aca="false">SUMIF('Dados Brutos'!$B:$B,A64,'Dados Brutos'!$D:$D)</f>
        <v>119</v>
      </c>
      <c r="H64" s="7" t="n">
        <f aca="false">COUNTIF('Dados Brutos'!$B:$B,A64)</f>
        <v>12</v>
      </c>
      <c r="I64" s="16" t="n">
        <f aca="false">IFERROR(F64/G64,0)</f>
        <v>410.084033613445</v>
      </c>
      <c r="J64" s="13" t="n">
        <f aca="false">(C64&gt;0)+(D64&gt;0)+(E64&gt;0)</f>
        <v>2</v>
      </c>
      <c r="K64" s="13" t="str">
        <f aca="false">IF(J64=3,"Sim","Não")</f>
        <v>Não</v>
      </c>
      <c r="L64" s="13" t="str">
        <f aca="false">IF(AND(I64&gt;=100,G64&gt;=100),"Sim","Não")</f>
        <v>Sim</v>
      </c>
      <c r="M64" s="13" t="n">
        <f aca="false">IF(L64="Sim",SUMPRODUCT(($L$2:L64="Sim")*1),"")</f>
        <v>49</v>
      </c>
    </row>
    <row r="65" customFormat="false" ht="15" hidden="false" customHeight="false" outlineLevel="0" collapsed="false">
      <c r="A65" s="13" t="s">
        <v>2108</v>
      </c>
      <c r="B65" s="13" t="s">
        <v>85</v>
      </c>
      <c r="C65" s="5" t="n">
        <f aca="false">SUMIFS('Dados Brutos'!$C:$C,'Dados Brutos'!$B:$B,A65,'Dados Brutos'!$T:$T,"SIENO")</f>
        <v>47890</v>
      </c>
      <c r="D65" s="5" t="n">
        <f aca="false">SUMIFS('Dados Brutos'!$C:$C,'Dados Brutos'!$B:$B,A65,'Dados Brutos'!$T:$T,"BAGATELLE")</f>
        <v>0</v>
      </c>
      <c r="E65" s="5" t="n">
        <f aca="false">SUMIFS('Dados Brutos'!$C:$C,'Dados Brutos'!$B:$B,A65,'Dados Brutos'!$T:$T,"AUMA")</f>
        <v>0</v>
      </c>
      <c r="F65" s="5" t="n">
        <f aca="false">SUM(C65:E65)</f>
        <v>47890</v>
      </c>
      <c r="G65" s="7" t="n">
        <f aca="false">SUMIF('Dados Brutos'!$B:$B,A65,'Dados Brutos'!$D:$D)</f>
        <v>873</v>
      </c>
      <c r="H65" s="7" t="n">
        <f aca="false">COUNTIF('Dados Brutos'!$B:$B,A65)</f>
        <v>15</v>
      </c>
      <c r="I65" s="16" t="n">
        <f aca="false">IFERROR(F65/G65,0)</f>
        <v>54.8568155784651</v>
      </c>
      <c r="J65" s="13" t="n">
        <f aca="false">(C65&gt;0)+(D65&gt;0)+(E65&gt;0)</f>
        <v>1</v>
      </c>
      <c r="K65" s="13" t="str">
        <f aca="false">IF(J65=3,"Sim","Não")</f>
        <v>Não</v>
      </c>
      <c r="L65" s="13" t="str">
        <f aca="false">IF(AND(I65&gt;=100,G65&gt;=100),"Sim","Não")</f>
        <v>Não</v>
      </c>
      <c r="M65" s="13" t="str">
        <f aca="false">IF(L65="Sim",SUMPRODUCT(($L$2:L65="Sim")*1),"")</f>
        <v/>
      </c>
    </row>
    <row r="66" customFormat="false" ht="15" hidden="false" customHeight="false" outlineLevel="0" collapsed="false">
      <c r="A66" s="13" t="s">
        <v>2109</v>
      </c>
      <c r="B66" s="13" t="s">
        <v>43</v>
      </c>
      <c r="C66" s="5" t="n">
        <f aca="false">SUMIFS('Dados Brutos'!$C:$C,'Dados Brutos'!$B:$B,A66,'Dados Brutos'!$T:$T,"SIENO")</f>
        <v>0</v>
      </c>
      <c r="D66" s="5" t="n">
        <f aca="false">SUMIFS('Dados Brutos'!$C:$C,'Dados Brutos'!$B:$B,A66,'Dados Brutos'!$T:$T,"BAGATELLE")</f>
        <v>0</v>
      </c>
      <c r="E66" s="5" t="n">
        <f aca="false">SUMIFS('Dados Brutos'!$C:$C,'Dados Brutos'!$B:$B,A66,'Dados Brutos'!$T:$T,"AUMA")</f>
        <v>47000</v>
      </c>
      <c r="F66" s="5" t="n">
        <f aca="false">SUM(C66:E66)</f>
        <v>47000</v>
      </c>
      <c r="G66" s="7" t="n">
        <f aca="false">SUMIF('Dados Brutos'!$B:$B,A66,'Dados Brutos'!$D:$D)</f>
        <v>79</v>
      </c>
      <c r="H66" s="7" t="n">
        <f aca="false">COUNTIF('Dados Brutos'!$B:$B,A66)</f>
        <v>9</v>
      </c>
      <c r="I66" s="16" t="n">
        <f aca="false">IFERROR(F66/G66,0)</f>
        <v>594.93670886076</v>
      </c>
      <c r="J66" s="13" t="n">
        <f aca="false">(C66&gt;0)+(D66&gt;0)+(E66&gt;0)</f>
        <v>1</v>
      </c>
      <c r="K66" s="13" t="str">
        <f aca="false">IF(J66=3,"Sim","Não")</f>
        <v>Não</v>
      </c>
      <c r="L66" s="13" t="str">
        <f aca="false">IF(AND(I66&gt;=100,G66&gt;=100),"Sim","Não")</f>
        <v>Não</v>
      </c>
      <c r="M66" s="13" t="str">
        <f aca="false">IF(L66="Sim",SUMPRODUCT(($L$2:L66="Sim")*1),"")</f>
        <v/>
      </c>
    </row>
    <row r="67" customFormat="false" ht="15" hidden="false" customHeight="false" outlineLevel="0" collapsed="false">
      <c r="A67" s="13" t="s">
        <v>490</v>
      </c>
      <c r="B67" s="13" t="s">
        <v>43</v>
      </c>
      <c r="C67" s="5" t="n">
        <f aca="false">SUMIFS('Dados Brutos'!$C:$C,'Dados Brutos'!$B:$B,A67,'Dados Brutos'!$T:$T,"SIENO")</f>
        <v>6540</v>
      </c>
      <c r="D67" s="5" t="n">
        <f aca="false">SUMIFS('Dados Brutos'!$C:$C,'Dados Brutos'!$B:$B,A67,'Dados Brutos'!$T:$T,"BAGATELLE")</f>
        <v>9470</v>
      </c>
      <c r="E67" s="5" t="n">
        <f aca="false">SUMIFS('Dados Brutos'!$C:$C,'Dados Brutos'!$B:$B,A67,'Dados Brutos'!$T:$T,"AUMA")</f>
        <v>29510</v>
      </c>
      <c r="F67" s="5" t="n">
        <f aca="false">SUM(C67:E67)</f>
        <v>45520</v>
      </c>
      <c r="G67" s="7" t="n">
        <f aca="false">SUMIF('Dados Brutos'!$B:$B,A67,'Dados Brutos'!$D:$D)</f>
        <v>125</v>
      </c>
      <c r="H67" s="7" t="n">
        <f aca="false">COUNTIF('Dados Brutos'!$B:$B,A67)</f>
        <v>44</v>
      </c>
      <c r="I67" s="16" t="n">
        <f aca="false">IFERROR(F67/G67,0)</f>
        <v>364.16</v>
      </c>
      <c r="J67" s="13" t="n">
        <f aca="false">(C67&gt;0)+(D67&gt;0)+(E67&gt;0)</f>
        <v>3</v>
      </c>
      <c r="K67" s="13" t="str">
        <f aca="false">IF(J67=3,"Sim","Não")</f>
        <v>Sim</v>
      </c>
      <c r="L67" s="13" t="str">
        <f aca="false">IF(AND(I67&gt;=100,G67&gt;=100),"Sim","Não")</f>
        <v>Sim</v>
      </c>
      <c r="M67" s="13" t="n">
        <f aca="false">IF(L67="Sim",SUMPRODUCT(($L$2:L67="Sim")*1),"")</f>
        <v>50</v>
      </c>
    </row>
    <row r="68" customFormat="false" ht="15" hidden="false" customHeight="false" outlineLevel="0" collapsed="false">
      <c r="A68" s="13" t="s">
        <v>128</v>
      </c>
      <c r="B68" s="13" t="s">
        <v>129</v>
      </c>
      <c r="C68" s="5" t="n">
        <f aca="false">SUMIFS('Dados Brutos'!$C:$C,'Dados Brutos'!$B:$B,A68,'Dados Brutos'!$T:$T,"SIENO")</f>
        <v>45270</v>
      </c>
      <c r="D68" s="5" t="n">
        <f aca="false">SUMIFS('Dados Brutos'!$C:$C,'Dados Brutos'!$B:$B,A68,'Dados Brutos'!$T:$T,"BAGATELLE")</f>
        <v>0</v>
      </c>
      <c r="E68" s="5" t="n">
        <f aca="false">SUMIFS('Dados Brutos'!$C:$C,'Dados Brutos'!$B:$B,A68,'Dados Brutos'!$T:$T,"AUMA")</f>
        <v>0</v>
      </c>
      <c r="F68" s="5" t="n">
        <f aca="false">SUM(C68:E68)</f>
        <v>45270</v>
      </c>
      <c r="G68" s="7" t="n">
        <f aca="false">SUMIF('Dados Brutos'!$B:$B,A68,'Dados Brutos'!$D:$D)</f>
        <v>175</v>
      </c>
      <c r="H68" s="7" t="n">
        <f aca="false">COUNTIF('Dados Brutos'!$B:$B,A68)</f>
        <v>3</v>
      </c>
      <c r="I68" s="16" t="n">
        <f aca="false">IFERROR(F68/G68,0)</f>
        <v>258.685714285714</v>
      </c>
      <c r="J68" s="13" t="n">
        <f aca="false">(C68&gt;0)+(D68&gt;0)+(E68&gt;0)</f>
        <v>1</v>
      </c>
      <c r="K68" s="13" t="str">
        <f aca="false">IF(J68=3,"Sim","Não")</f>
        <v>Não</v>
      </c>
      <c r="L68" s="13" t="str">
        <f aca="false">IF(AND(I68&gt;=100,G68&gt;=100),"Sim","Não")</f>
        <v>Sim</v>
      </c>
      <c r="M68" s="13" t="n">
        <f aca="false">IF(L68="Sim",SUMPRODUCT(($L$2:L68="Sim")*1),"")</f>
        <v>51</v>
      </c>
    </row>
    <row r="69" customFormat="false" ht="15" hidden="false" customHeight="false" outlineLevel="0" collapsed="false">
      <c r="A69" s="13" t="s">
        <v>2110</v>
      </c>
      <c r="B69" s="13" t="s">
        <v>43</v>
      </c>
      <c r="C69" s="5" t="n">
        <f aca="false">SUMIFS('Dados Brutos'!$C:$C,'Dados Brutos'!$B:$B,A69,'Dados Brutos'!$T:$T,"SIENO")</f>
        <v>0</v>
      </c>
      <c r="D69" s="5" t="n">
        <f aca="false">SUMIFS('Dados Brutos'!$C:$C,'Dados Brutos'!$B:$B,A69,'Dados Brutos'!$T:$T,"BAGATELLE")</f>
        <v>32930</v>
      </c>
      <c r="E69" s="5" t="n">
        <f aca="false">SUMIFS('Dados Brutos'!$C:$C,'Dados Brutos'!$B:$B,A69,'Dados Brutos'!$T:$T,"AUMA")</f>
        <v>10790</v>
      </c>
      <c r="F69" s="5" t="n">
        <f aca="false">SUM(C69:E69)</f>
        <v>43720</v>
      </c>
      <c r="G69" s="7" t="n">
        <f aca="false">SUMIF('Dados Brutos'!$B:$B,A69,'Dados Brutos'!$D:$D)</f>
        <v>92</v>
      </c>
      <c r="H69" s="7" t="n">
        <f aca="false">COUNTIF('Dados Brutos'!$B:$B,A69)</f>
        <v>28</v>
      </c>
      <c r="I69" s="16" t="n">
        <f aca="false">IFERROR(F69/G69,0)</f>
        <v>475.217391304348</v>
      </c>
      <c r="J69" s="13" t="n">
        <f aca="false">(C69&gt;0)+(D69&gt;0)+(E69&gt;0)</f>
        <v>2</v>
      </c>
      <c r="K69" s="13" t="str">
        <f aca="false">IF(J69=3,"Sim","Não")</f>
        <v>Não</v>
      </c>
      <c r="L69" s="13" t="str">
        <f aca="false">IF(AND(I69&gt;=100,G69&gt;=100),"Sim","Não")</f>
        <v>Não</v>
      </c>
      <c r="M69" s="13" t="str">
        <f aca="false">IF(L69="Sim",SUMPRODUCT(($L$2:L69="Sim")*1),"")</f>
        <v/>
      </c>
    </row>
    <row r="70" customFormat="false" ht="15" hidden="false" customHeight="false" outlineLevel="0" collapsed="false">
      <c r="A70" s="13" t="s">
        <v>2111</v>
      </c>
      <c r="B70" s="13" t="s">
        <v>43</v>
      </c>
      <c r="C70" s="5" t="n">
        <f aca="false">SUMIFS('Dados Brutos'!$C:$C,'Dados Brutos'!$B:$B,A70,'Dados Brutos'!$T:$T,"SIENO")</f>
        <v>14600</v>
      </c>
      <c r="D70" s="5" t="n">
        <f aca="false">SUMIFS('Dados Brutos'!$C:$C,'Dados Brutos'!$B:$B,A70,'Dados Brutos'!$T:$T,"BAGATELLE")</f>
        <v>21670</v>
      </c>
      <c r="E70" s="5" t="n">
        <f aca="false">SUMIFS('Dados Brutos'!$C:$C,'Dados Brutos'!$B:$B,A70,'Dados Brutos'!$T:$T,"AUMA")</f>
        <v>7030</v>
      </c>
      <c r="F70" s="5" t="n">
        <f aca="false">SUM(C70:E70)</f>
        <v>43300</v>
      </c>
      <c r="G70" s="7" t="n">
        <f aca="false">SUMIF('Dados Brutos'!$B:$B,A70,'Dados Brutos'!$D:$D)</f>
        <v>65</v>
      </c>
      <c r="H70" s="7" t="n">
        <f aca="false">COUNTIF('Dados Brutos'!$B:$B,A70)</f>
        <v>26</v>
      </c>
      <c r="I70" s="16" t="n">
        <f aca="false">IFERROR(F70/G70,0)</f>
        <v>666.153846153846</v>
      </c>
      <c r="J70" s="13" t="n">
        <f aca="false">(C70&gt;0)+(D70&gt;0)+(E70&gt;0)</f>
        <v>3</v>
      </c>
      <c r="K70" s="13" t="str">
        <f aca="false">IF(J70=3,"Sim","Não")</f>
        <v>Sim</v>
      </c>
      <c r="L70" s="13" t="str">
        <f aca="false">IF(AND(I70&gt;=100,G70&gt;=100),"Sim","Não")</f>
        <v>Não</v>
      </c>
      <c r="M70" s="13" t="str">
        <f aca="false">IF(L70="Sim",SUMPRODUCT(($L$2:L70="Sim")*1),"")</f>
        <v/>
      </c>
    </row>
    <row r="71" customFormat="false" ht="15" hidden="false" customHeight="false" outlineLevel="0" collapsed="false">
      <c r="A71" s="13" t="s">
        <v>143</v>
      </c>
      <c r="B71" s="13" t="s">
        <v>144</v>
      </c>
      <c r="C71" s="5" t="n">
        <f aca="false">SUMIFS('Dados Brutos'!$C:$C,'Dados Brutos'!$B:$B,A71,'Dados Brutos'!$T:$T,"SIENO")</f>
        <v>42000</v>
      </c>
      <c r="D71" s="5" t="n">
        <f aca="false">SUMIFS('Dados Brutos'!$C:$C,'Dados Brutos'!$B:$B,A71,'Dados Brutos'!$T:$T,"BAGATELLE")</f>
        <v>0</v>
      </c>
      <c r="E71" s="5" t="n">
        <f aca="false">SUMIFS('Dados Brutos'!$C:$C,'Dados Brutos'!$B:$B,A71,'Dados Brutos'!$T:$T,"AUMA")</f>
        <v>0</v>
      </c>
      <c r="F71" s="5" t="n">
        <f aca="false">SUM(C71:E71)</f>
        <v>42000</v>
      </c>
      <c r="G71" s="7" t="n">
        <f aca="false">SUMIF('Dados Brutos'!$B:$B,A71,'Dados Brutos'!$D:$D)</f>
        <v>103</v>
      </c>
      <c r="H71" s="7" t="n">
        <f aca="false">COUNTIF('Dados Brutos'!$B:$B,A71)</f>
        <v>5</v>
      </c>
      <c r="I71" s="16" t="n">
        <f aca="false">IFERROR(F71/G71,0)</f>
        <v>407.766990291262</v>
      </c>
      <c r="J71" s="13" t="n">
        <f aca="false">(C71&gt;0)+(D71&gt;0)+(E71&gt;0)</f>
        <v>1</v>
      </c>
      <c r="K71" s="13" t="str">
        <f aca="false">IF(J71=3,"Sim","Não")</f>
        <v>Não</v>
      </c>
      <c r="L71" s="13" t="str">
        <f aca="false">IF(AND(I71&gt;=100,G71&gt;=100),"Sim","Não")</f>
        <v>Sim</v>
      </c>
      <c r="M71" s="13" t="n">
        <f aca="false">IF(L71="Sim",SUMPRODUCT(($L$2:L71="Sim")*1),"")</f>
        <v>52</v>
      </c>
    </row>
    <row r="72" customFormat="false" ht="15" hidden="false" customHeight="false" outlineLevel="0" collapsed="false">
      <c r="A72" s="13" t="s">
        <v>2112</v>
      </c>
      <c r="B72" s="13" t="s">
        <v>43</v>
      </c>
      <c r="C72" s="5" t="n">
        <f aca="false">SUMIFS('Dados Brutos'!$C:$C,'Dados Brutos'!$B:$B,A72,'Dados Brutos'!$T:$T,"SIENO")</f>
        <v>41600</v>
      </c>
      <c r="D72" s="5" t="n">
        <f aca="false">SUMIFS('Dados Brutos'!$C:$C,'Dados Brutos'!$B:$B,A72,'Dados Brutos'!$T:$T,"BAGATELLE")</f>
        <v>0</v>
      </c>
      <c r="E72" s="5" t="n">
        <f aca="false">SUMIFS('Dados Brutos'!$C:$C,'Dados Brutos'!$B:$B,A72,'Dados Brutos'!$T:$T,"AUMA")</f>
        <v>0</v>
      </c>
      <c r="F72" s="5" t="n">
        <f aca="false">SUM(C72:E72)</f>
        <v>41600</v>
      </c>
      <c r="G72" s="7" t="n">
        <f aca="false">SUMIF('Dados Brutos'!$B:$B,A72,'Dados Brutos'!$D:$D)</f>
        <v>700</v>
      </c>
      <c r="H72" s="7" t="n">
        <f aca="false">COUNTIF('Dados Brutos'!$B:$B,A72)</f>
        <v>2</v>
      </c>
      <c r="I72" s="16" t="n">
        <f aca="false">IFERROR(F72/G72,0)</f>
        <v>59.4285714285714</v>
      </c>
      <c r="J72" s="13" t="n">
        <f aca="false">(C72&gt;0)+(D72&gt;0)+(E72&gt;0)</f>
        <v>1</v>
      </c>
      <c r="K72" s="13" t="str">
        <f aca="false">IF(J72=3,"Sim","Não")</f>
        <v>Não</v>
      </c>
      <c r="L72" s="13" t="str">
        <f aca="false">IF(AND(I72&gt;=100,G72&gt;=100),"Sim","Não")</f>
        <v>Não</v>
      </c>
      <c r="M72" s="13" t="str">
        <f aca="false">IF(L72="Sim",SUMPRODUCT(($L$2:L72="Sim")*1),"")</f>
        <v/>
      </c>
    </row>
    <row r="73" customFormat="false" ht="15" hidden="false" customHeight="false" outlineLevel="0" collapsed="false">
      <c r="A73" s="13" t="s">
        <v>2113</v>
      </c>
      <c r="B73" s="13" t="s">
        <v>183</v>
      </c>
      <c r="C73" s="5" t="n">
        <f aca="false">SUMIFS('Dados Brutos'!$C:$C,'Dados Brutos'!$B:$B,A73,'Dados Brutos'!$T:$T,"SIENO")</f>
        <v>39570</v>
      </c>
      <c r="D73" s="5" t="n">
        <f aca="false">SUMIFS('Dados Brutos'!$C:$C,'Dados Brutos'!$B:$B,A73,'Dados Brutos'!$T:$T,"BAGATELLE")</f>
        <v>0</v>
      </c>
      <c r="E73" s="5" t="n">
        <f aca="false">SUMIFS('Dados Brutos'!$C:$C,'Dados Brutos'!$B:$B,A73,'Dados Brutos'!$T:$T,"AUMA")</f>
        <v>0</v>
      </c>
      <c r="F73" s="5" t="n">
        <f aca="false">SUM(C73:E73)</f>
        <v>39570</v>
      </c>
      <c r="G73" s="7" t="n">
        <f aca="false">SUMIF('Dados Brutos'!$B:$B,A73,'Dados Brutos'!$D:$D)</f>
        <v>445</v>
      </c>
      <c r="H73" s="7" t="n">
        <f aca="false">COUNTIF('Dados Brutos'!$B:$B,A73)</f>
        <v>9</v>
      </c>
      <c r="I73" s="16" t="n">
        <f aca="false">IFERROR(F73/G73,0)</f>
        <v>88.9213483146068</v>
      </c>
      <c r="J73" s="13" t="n">
        <f aca="false">(C73&gt;0)+(D73&gt;0)+(E73&gt;0)</f>
        <v>1</v>
      </c>
      <c r="K73" s="13" t="str">
        <f aca="false">IF(J73=3,"Sim","Não")</f>
        <v>Não</v>
      </c>
      <c r="L73" s="13" t="str">
        <f aca="false">IF(AND(I73&gt;=100,G73&gt;=100),"Sim","Não")</f>
        <v>Não</v>
      </c>
      <c r="M73" s="13" t="str">
        <f aca="false">IF(L73="Sim",SUMPRODUCT(($L$2:L73="Sim")*1),"")</f>
        <v/>
      </c>
    </row>
    <row r="74" customFormat="false" ht="15" hidden="false" customHeight="false" outlineLevel="0" collapsed="false">
      <c r="A74" s="13" t="s">
        <v>2114</v>
      </c>
      <c r="B74" s="13" t="s">
        <v>140</v>
      </c>
      <c r="C74" s="5" t="n">
        <f aca="false">SUMIFS('Dados Brutos'!$C:$C,'Dados Brutos'!$B:$B,A74,'Dados Brutos'!$T:$T,"SIENO")</f>
        <v>37030</v>
      </c>
      <c r="D74" s="5" t="n">
        <f aca="false">SUMIFS('Dados Brutos'!$C:$C,'Dados Brutos'!$B:$B,A74,'Dados Brutos'!$T:$T,"BAGATELLE")</f>
        <v>0</v>
      </c>
      <c r="E74" s="5" t="n">
        <f aca="false">SUMIFS('Dados Brutos'!$C:$C,'Dados Brutos'!$B:$B,A74,'Dados Brutos'!$T:$T,"AUMA")</f>
        <v>0</v>
      </c>
      <c r="F74" s="5" t="n">
        <f aca="false">SUM(C74:E74)</f>
        <v>37030</v>
      </c>
      <c r="G74" s="7" t="n">
        <f aca="false">SUMIF('Dados Brutos'!$B:$B,A74,'Dados Brutos'!$D:$D)</f>
        <v>705</v>
      </c>
      <c r="H74" s="7" t="n">
        <f aca="false">COUNTIF('Dados Brutos'!$B:$B,A74)</f>
        <v>8</v>
      </c>
      <c r="I74" s="16" t="n">
        <f aca="false">IFERROR(F74/G74,0)</f>
        <v>52.5248226950355</v>
      </c>
      <c r="J74" s="13" t="n">
        <f aca="false">(C74&gt;0)+(D74&gt;0)+(E74&gt;0)</f>
        <v>1</v>
      </c>
      <c r="K74" s="13" t="str">
        <f aca="false">IF(J74=3,"Sim","Não")</f>
        <v>Não</v>
      </c>
      <c r="L74" s="13" t="str">
        <f aca="false">IF(AND(I74&gt;=100,G74&gt;=100),"Sim","Não")</f>
        <v>Não</v>
      </c>
      <c r="M74" s="13" t="str">
        <f aca="false">IF(L74="Sim",SUMPRODUCT(($L$2:L74="Sim")*1),"")</f>
        <v/>
      </c>
    </row>
    <row r="75" customFormat="false" ht="15" hidden="false" customHeight="false" outlineLevel="0" collapsed="false">
      <c r="A75" s="13" t="s">
        <v>2115</v>
      </c>
      <c r="B75" s="13" t="s">
        <v>140</v>
      </c>
      <c r="C75" s="5" t="n">
        <f aca="false">SUMIFS('Dados Brutos'!$C:$C,'Dados Brutos'!$B:$B,A75,'Dados Brutos'!$T:$T,"SIENO")</f>
        <v>35390</v>
      </c>
      <c r="D75" s="5" t="n">
        <f aca="false">SUMIFS('Dados Brutos'!$C:$C,'Dados Brutos'!$B:$B,A75,'Dados Brutos'!$T:$T,"BAGATELLE")</f>
        <v>0</v>
      </c>
      <c r="E75" s="5" t="n">
        <f aca="false">SUMIFS('Dados Brutos'!$C:$C,'Dados Brutos'!$B:$B,A75,'Dados Brutos'!$T:$T,"AUMA")</f>
        <v>0</v>
      </c>
      <c r="F75" s="5" t="n">
        <f aca="false">SUM(C75:E75)</f>
        <v>35390</v>
      </c>
      <c r="G75" s="7" t="n">
        <f aca="false">SUMIF('Dados Brutos'!$B:$B,A75,'Dados Brutos'!$D:$D)</f>
        <v>411</v>
      </c>
      <c r="H75" s="7" t="n">
        <f aca="false">COUNTIF('Dados Brutos'!$B:$B,A75)</f>
        <v>7</v>
      </c>
      <c r="I75" s="16" t="n">
        <f aca="false">IFERROR(F75/G75,0)</f>
        <v>86.1070559610706</v>
      </c>
      <c r="J75" s="13" t="n">
        <f aca="false">(C75&gt;0)+(D75&gt;0)+(E75&gt;0)</f>
        <v>1</v>
      </c>
      <c r="K75" s="13" t="str">
        <f aca="false">IF(J75=3,"Sim","Não")</f>
        <v>Não</v>
      </c>
      <c r="L75" s="13" t="str">
        <f aca="false">IF(AND(I75&gt;=100,G75&gt;=100),"Sim","Não")</f>
        <v>Não</v>
      </c>
      <c r="M75" s="13" t="str">
        <f aca="false">IF(L75="Sim",SUMPRODUCT(($L$2:L75="Sim")*1),"")</f>
        <v/>
      </c>
    </row>
    <row r="76" customFormat="false" ht="15" hidden="false" customHeight="false" outlineLevel="0" collapsed="false">
      <c r="A76" s="13" t="s">
        <v>2116</v>
      </c>
      <c r="B76" s="13" t="s">
        <v>57</v>
      </c>
      <c r="C76" s="5" t="n">
        <f aca="false">SUMIFS('Dados Brutos'!$C:$C,'Dados Brutos'!$B:$B,A76,'Dados Brutos'!$T:$T,"SIENO")</f>
        <v>35100</v>
      </c>
      <c r="D76" s="5" t="n">
        <f aca="false">SUMIFS('Dados Brutos'!$C:$C,'Dados Brutos'!$B:$B,A76,'Dados Brutos'!$T:$T,"BAGATELLE")</f>
        <v>0</v>
      </c>
      <c r="E76" s="5" t="n">
        <f aca="false">SUMIFS('Dados Brutos'!$C:$C,'Dados Brutos'!$B:$B,A76,'Dados Brutos'!$T:$T,"AUMA")</f>
        <v>0</v>
      </c>
      <c r="F76" s="5" t="n">
        <f aca="false">SUM(C76:E76)</f>
        <v>35100</v>
      </c>
      <c r="G76" s="7" t="n">
        <f aca="false">SUMIF('Dados Brutos'!$B:$B,A76,'Dados Brutos'!$D:$D)</f>
        <v>770</v>
      </c>
      <c r="H76" s="7" t="n">
        <f aca="false">COUNTIF('Dados Brutos'!$B:$B,A76)</f>
        <v>2</v>
      </c>
      <c r="I76" s="16" t="n">
        <f aca="false">IFERROR(F76/G76,0)</f>
        <v>45.5844155844156</v>
      </c>
      <c r="J76" s="13" t="n">
        <f aca="false">(C76&gt;0)+(D76&gt;0)+(E76&gt;0)</f>
        <v>1</v>
      </c>
      <c r="K76" s="13" t="str">
        <f aca="false">IF(J76=3,"Sim","Não")</f>
        <v>Não</v>
      </c>
      <c r="L76" s="13" t="str">
        <f aca="false">IF(AND(I76&gt;=100,G76&gt;=100),"Sim","Não")</f>
        <v>Não</v>
      </c>
      <c r="M76" s="13" t="str">
        <f aca="false">IF(L76="Sim",SUMPRODUCT(($L$2:L76="Sim")*1),"")</f>
        <v/>
      </c>
    </row>
    <row r="77" customFormat="false" ht="15" hidden="false" customHeight="false" outlineLevel="0" collapsed="false">
      <c r="A77" s="13" t="s">
        <v>2117</v>
      </c>
      <c r="B77" s="13" t="s">
        <v>85</v>
      </c>
      <c r="C77" s="5" t="n">
        <f aca="false">SUMIFS('Dados Brutos'!$C:$C,'Dados Brutos'!$B:$B,A77,'Dados Brutos'!$T:$T,"SIENO")</f>
        <v>32940</v>
      </c>
      <c r="D77" s="5" t="n">
        <f aca="false">SUMIFS('Dados Brutos'!$C:$C,'Dados Brutos'!$B:$B,A77,'Dados Brutos'!$T:$T,"BAGATELLE")</f>
        <v>0</v>
      </c>
      <c r="E77" s="5" t="n">
        <f aca="false">SUMIFS('Dados Brutos'!$C:$C,'Dados Brutos'!$B:$B,A77,'Dados Brutos'!$T:$T,"AUMA")</f>
        <v>0</v>
      </c>
      <c r="F77" s="5" t="n">
        <f aca="false">SUM(C77:E77)</f>
        <v>32940</v>
      </c>
      <c r="G77" s="7" t="n">
        <f aca="false">SUMIF('Dados Brutos'!$B:$B,A77,'Dados Brutos'!$D:$D)</f>
        <v>1070</v>
      </c>
      <c r="H77" s="7" t="n">
        <f aca="false">COUNTIF('Dados Brutos'!$B:$B,A77)</f>
        <v>7</v>
      </c>
      <c r="I77" s="16" t="n">
        <f aca="false">IFERROR(F77/G77,0)</f>
        <v>30.785046728972</v>
      </c>
      <c r="J77" s="13" t="n">
        <f aca="false">(C77&gt;0)+(D77&gt;0)+(E77&gt;0)</f>
        <v>1</v>
      </c>
      <c r="K77" s="13" t="str">
        <f aca="false">IF(J77=3,"Sim","Não")</f>
        <v>Não</v>
      </c>
      <c r="L77" s="13" t="str">
        <f aca="false">IF(AND(I77&gt;=100,G77&gt;=100),"Sim","Não")</f>
        <v>Não</v>
      </c>
      <c r="M77" s="13" t="str">
        <f aca="false">IF(L77="Sim",SUMPRODUCT(($L$2:L77="Sim")*1),"")</f>
        <v/>
      </c>
    </row>
    <row r="78" customFormat="false" ht="15" hidden="false" customHeight="false" outlineLevel="0" collapsed="false">
      <c r="A78" s="13" t="s">
        <v>2118</v>
      </c>
      <c r="B78" s="13" t="s">
        <v>43</v>
      </c>
      <c r="C78" s="5" t="n">
        <f aca="false">SUMIFS('Dados Brutos'!$C:$C,'Dados Brutos'!$B:$B,A78,'Dados Brutos'!$T:$T,"SIENO")</f>
        <v>0</v>
      </c>
      <c r="D78" s="5" t="n">
        <f aca="false">SUMIFS('Dados Brutos'!$C:$C,'Dados Brutos'!$B:$B,A78,'Dados Brutos'!$T:$T,"BAGATELLE")</f>
        <v>0</v>
      </c>
      <c r="E78" s="5" t="n">
        <f aca="false">SUMIFS('Dados Brutos'!$C:$C,'Dados Brutos'!$B:$B,A78,'Dados Brutos'!$T:$T,"AUMA")</f>
        <v>32750</v>
      </c>
      <c r="F78" s="5" t="n">
        <f aca="false">SUM(C78:E78)</f>
        <v>32750</v>
      </c>
      <c r="G78" s="7" t="n">
        <f aca="false">SUMIF('Dados Brutos'!$B:$B,A78,'Dados Brutos'!$D:$D)</f>
        <v>41</v>
      </c>
      <c r="H78" s="7" t="n">
        <f aca="false">COUNTIF('Dados Brutos'!$B:$B,A78)</f>
        <v>11</v>
      </c>
      <c r="I78" s="16" t="n">
        <f aca="false">IFERROR(F78/G78,0)</f>
        <v>798.780487804878</v>
      </c>
      <c r="J78" s="13" t="n">
        <f aca="false">(C78&gt;0)+(D78&gt;0)+(E78&gt;0)</f>
        <v>1</v>
      </c>
      <c r="K78" s="13" t="str">
        <f aca="false">IF(J78=3,"Sim","Não")</f>
        <v>Não</v>
      </c>
      <c r="L78" s="13" t="str">
        <f aca="false">IF(AND(I78&gt;=100,G78&gt;=100),"Sim","Não")</f>
        <v>Não</v>
      </c>
      <c r="M78" s="13" t="str">
        <f aca="false">IF(L78="Sim",SUMPRODUCT(($L$2:L78="Sim")*1),"")</f>
        <v/>
      </c>
    </row>
    <row r="79" customFormat="false" ht="15" hidden="false" customHeight="false" outlineLevel="0" collapsed="false">
      <c r="A79" s="13" t="s">
        <v>255</v>
      </c>
      <c r="B79" s="13" t="s">
        <v>43</v>
      </c>
      <c r="C79" s="5" t="n">
        <f aca="false">SUMIFS('Dados Brutos'!$C:$C,'Dados Brutos'!$B:$B,A79,'Dados Brutos'!$T:$T,"SIENO")</f>
        <v>23250</v>
      </c>
      <c r="D79" s="5" t="n">
        <f aca="false">SUMIFS('Dados Brutos'!$C:$C,'Dados Brutos'!$B:$B,A79,'Dados Brutos'!$T:$T,"BAGATELLE")</f>
        <v>9230</v>
      </c>
      <c r="E79" s="5" t="n">
        <f aca="false">SUMIFS('Dados Brutos'!$C:$C,'Dados Brutos'!$B:$B,A79,'Dados Brutos'!$T:$T,"AUMA")</f>
        <v>0</v>
      </c>
      <c r="F79" s="5" t="n">
        <f aca="false">SUM(C79:E79)</f>
        <v>32480</v>
      </c>
      <c r="G79" s="7" t="n">
        <f aca="false">SUMIF('Dados Brutos'!$B:$B,A79,'Dados Brutos'!$D:$D)</f>
        <v>184</v>
      </c>
      <c r="H79" s="7" t="n">
        <f aca="false">COUNTIF('Dados Brutos'!$B:$B,A79)</f>
        <v>20</v>
      </c>
      <c r="I79" s="16" t="n">
        <f aca="false">IFERROR(F79/G79,0)</f>
        <v>176.521739130435</v>
      </c>
      <c r="J79" s="13" t="n">
        <f aca="false">(C79&gt;0)+(D79&gt;0)+(E79&gt;0)</f>
        <v>2</v>
      </c>
      <c r="K79" s="13" t="str">
        <f aca="false">IF(J79=3,"Sim","Não")</f>
        <v>Não</v>
      </c>
      <c r="L79" s="13" t="str">
        <f aca="false">IF(AND(I79&gt;=100,G79&gt;=100),"Sim","Não")</f>
        <v>Sim</v>
      </c>
      <c r="M79" s="13" t="n">
        <f aca="false">IF(L79="Sim",SUMPRODUCT(($L$2:L79="Sim")*1),"")</f>
        <v>53</v>
      </c>
    </row>
    <row r="80" customFormat="false" ht="15" hidden="false" customHeight="false" outlineLevel="0" collapsed="false">
      <c r="A80" s="13" t="s">
        <v>335</v>
      </c>
      <c r="B80" s="13" t="s">
        <v>43</v>
      </c>
      <c r="C80" s="5" t="n">
        <f aca="false">SUMIFS('Dados Brutos'!$C:$C,'Dados Brutos'!$B:$B,A80,'Dados Brutos'!$T:$T,"SIENO")</f>
        <v>23300</v>
      </c>
      <c r="D80" s="5" t="n">
        <f aca="false">SUMIFS('Dados Brutos'!$C:$C,'Dados Brutos'!$B:$B,A80,'Dados Brutos'!$T:$T,"BAGATELLE")</f>
        <v>8390</v>
      </c>
      <c r="E80" s="5" t="n">
        <f aca="false">SUMIFS('Dados Brutos'!$C:$C,'Dados Brutos'!$B:$B,A80,'Dados Brutos'!$T:$T,"AUMA")</f>
        <v>0</v>
      </c>
      <c r="F80" s="5" t="n">
        <f aca="false">SUM(C80:E80)</f>
        <v>31690</v>
      </c>
      <c r="G80" s="7" t="n">
        <f aca="false">SUMIF('Dados Brutos'!$B:$B,A80,'Dados Brutos'!$D:$D)</f>
        <v>191</v>
      </c>
      <c r="H80" s="7" t="n">
        <f aca="false">COUNTIF('Dados Brutos'!$B:$B,A80)</f>
        <v>9</v>
      </c>
      <c r="I80" s="16" t="n">
        <f aca="false">IFERROR(F80/G80,0)</f>
        <v>165.916230366492</v>
      </c>
      <c r="J80" s="13" t="n">
        <f aca="false">(C80&gt;0)+(D80&gt;0)+(E80&gt;0)</f>
        <v>2</v>
      </c>
      <c r="K80" s="13" t="str">
        <f aca="false">IF(J80=3,"Sim","Não")</f>
        <v>Não</v>
      </c>
      <c r="L80" s="13" t="str">
        <f aca="false">IF(AND(I80&gt;=100,G80&gt;=100),"Sim","Não")</f>
        <v>Sim</v>
      </c>
      <c r="M80" s="13" t="n">
        <f aca="false">IF(L80="Sim",SUMPRODUCT(($L$2:L80="Sim")*1),"")</f>
        <v>54</v>
      </c>
    </row>
    <row r="81" customFormat="false" ht="15" hidden="false" customHeight="false" outlineLevel="0" collapsed="false">
      <c r="A81" s="13" t="s">
        <v>312</v>
      </c>
      <c r="B81" s="13" t="s">
        <v>43</v>
      </c>
      <c r="C81" s="5" t="n">
        <f aca="false">SUMIFS('Dados Brutos'!$C:$C,'Dados Brutos'!$B:$B,A81,'Dados Brutos'!$T:$T,"SIENO")</f>
        <v>17410</v>
      </c>
      <c r="D81" s="5" t="n">
        <f aca="false">SUMIFS('Dados Brutos'!$C:$C,'Dados Brutos'!$B:$B,A81,'Dados Brutos'!$T:$T,"BAGATELLE")</f>
        <v>11930</v>
      </c>
      <c r="E81" s="5" t="n">
        <f aca="false">SUMIFS('Dados Brutos'!$C:$C,'Dados Brutos'!$B:$B,A81,'Dados Brutos'!$T:$T,"AUMA")</f>
        <v>300</v>
      </c>
      <c r="F81" s="5" t="n">
        <f aca="false">SUM(C81:E81)</f>
        <v>29640</v>
      </c>
      <c r="G81" s="7" t="n">
        <f aca="false">SUMIF('Dados Brutos'!$B:$B,A81,'Dados Brutos'!$D:$D)</f>
        <v>158</v>
      </c>
      <c r="H81" s="7" t="n">
        <f aca="false">COUNTIF('Dados Brutos'!$B:$B,A81)</f>
        <v>10</v>
      </c>
      <c r="I81" s="16" t="n">
        <f aca="false">IFERROR(F81/G81,0)</f>
        <v>187.594936708861</v>
      </c>
      <c r="J81" s="13" t="n">
        <f aca="false">(C81&gt;0)+(D81&gt;0)+(E81&gt;0)</f>
        <v>3</v>
      </c>
      <c r="K81" s="13" t="str">
        <f aca="false">IF(J81=3,"Sim","Não")</f>
        <v>Sim</v>
      </c>
      <c r="L81" s="13" t="str">
        <f aca="false">IF(AND(I81&gt;=100,G81&gt;=100),"Sim","Não")</f>
        <v>Sim</v>
      </c>
      <c r="M81" s="13" t="n">
        <f aca="false">IF(L81="Sim",SUMPRODUCT(($L$2:L81="Sim")*1),"")</f>
        <v>55</v>
      </c>
    </row>
    <row r="82" customFormat="false" ht="15" hidden="false" customHeight="false" outlineLevel="0" collapsed="false">
      <c r="A82" s="13" t="s">
        <v>167</v>
      </c>
      <c r="B82" s="13" t="s">
        <v>168</v>
      </c>
      <c r="C82" s="5" t="n">
        <f aca="false">SUMIFS('Dados Brutos'!$C:$C,'Dados Brutos'!$B:$B,A82,'Dados Brutos'!$T:$T,"SIENO")</f>
        <v>29440</v>
      </c>
      <c r="D82" s="5" t="n">
        <f aca="false">SUMIFS('Dados Brutos'!$C:$C,'Dados Brutos'!$B:$B,A82,'Dados Brutos'!$T:$T,"BAGATELLE")</f>
        <v>0</v>
      </c>
      <c r="E82" s="5" t="n">
        <f aca="false">SUMIFS('Dados Brutos'!$C:$C,'Dados Brutos'!$B:$B,A82,'Dados Brutos'!$T:$T,"AUMA")</f>
        <v>0</v>
      </c>
      <c r="F82" s="5" t="n">
        <f aca="false">SUM(C82:E82)</f>
        <v>29440</v>
      </c>
      <c r="G82" s="7" t="n">
        <f aca="false">SUMIF('Dados Brutos'!$B:$B,A82,'Dados Brutos'!$D:$D)</f>
        <v>211</v>
      </c>
      <c r="H82" s="7" t="n">
        <f aca="false">COUNTIF('Dados Brutos'!$B:$B,A82)</f>
        <v>2</v>
      </c>
      <c r="I82" s="16" t="n">
        <f aca="false">IFERROR(F82/G82,0)</f>
        <v>139.526066350711</v>
      </c>
      <c r="J82" s="13" t="n">
        <f aca="false">(C82&gt;0)+(D82&gt;0)+(E82&gt;0)</f>
        <v>1</v>
      </c>
      <c r="K82" s="13" t="str">
        <f aca="false">IF(J82=3,"Sim","Não")</f>
        <v>Não</v>
      </c>
      <c r="L82" s="13" t="str">
        <f aca="false">IF(AND(I82&gt;=100,G82&gt;=100),"Sim","Não")</f>
        <v>Sim</v>
      </c>
      <c r="M82" s="13" t="n">
        <f aca="false">IF(L82="Sim",SUMPRODUCT(($L$2:L82="Sim")*1),"")</f>
        <v>56</v>
      </c>
    </row>
    <row r="83" customFormat="false" ht="15" hidden="false" customHeight="false" outlineLevel="0" collapsed="false">
      <c r="A83" s="13" t="s">
        <v>2119</v>
      </c>
      <c r="B83" s="13" t="s">
        <v>140</v>
      </c>
      <c r="C83" s="5" t="n">
        <f aca="false">SUMIFS('Dados Brutos'!$C:$C,'Dados Brutos'!$B:$B,A83,'Dados Brutos'!$T:$T,"SIENO")</f>
        <v>27600</v>
      </c>
      <c r="D83" s="5" t="n">
        <f aca="false">SUMIFS('Dados Brutos'!$C:$C,'Dados Brutos'!$B:$B,A83,'Dados Brutos'!$T:$T,"BAGATELLE")</f>
        <v>0</v>
      </c>
      <c r="E83" s="5" t="n">
        <f aca="false">SUMIFS('Dados Brutos'!$C:$C,'Dados Brutos'!$B:$B,A83,'Dados Brutos'!$T:$T,"AUMA")</f>
        <v>0</v>
      </c>
      <c r="F83" s="5" t="n">
        <f aca="false">SUM(C83:E83)</f>
        <v>27600</v>
      </c>
      <c r="G83" s="7" t="n">
        <f aca="false">SUMIF('Dados Brutos'!$B:$B,A83,'Dados Brutos'!$D:$D)</f>
        <v>550</v>
      </c>
      <c r="H83" s="7" t="n">
        <f aca="false">COUNTIF('Dados Brutos'!$B:$B,A83)</f>
        <v>2</v>
      </c>
      <c r="I83" s="16" t="n">
        <f aca="false">IFERROR(F83/G83,0)</f>
        <v>50.1818181818182</v>
      </c>
      <c r="J83" s="13" t="n">
        <f aca="false">(C83&gt;0)+(D83&gt;0)+(E83&gt;0)</f>
        <v>1</v>
      </c>
      <c r="K83" s="13" t="str">
        <f aca="false">IF(J83=3,"Sim","Não")</f>
        <v>Não</v>
      </c>
      <c r="L83" s="13" t="str">
        <f aca="false">IF(AND(I83&gt;=100,G83&gt;=100),"Sim","Não")</f>
        <v>Não</v>
      </c>
      <c r="M83" s="13" t="str">
        <f aca="false">IF(L83="Sim",SUMPRODUCT(($L$2:L83="Sim")*1),"")</f>
        <v/>
      </c>
    </row>
    <row r="84" customFormat="false" ht="15" hidden="false" customHeight="false" outlineLevel="0" collapsed="false">
      <c r="A84" s="13" t="s">
        <v>2120</v>
      </c>
      <c r="B84" s="13" t="s">
        <v>43</v>
      </c>
      <c r="C84" s="5" t="n">
        <f aca="false">SUMIFS('Dados Brutos'!$C:$C,'Dados Brutos'!$B:$B,A84,'Dados Brutos'!$T:$T,"SIENO")</f>
        <v>0</v>
      </c>
      <c r="D84" s="5" t="n">
        <f aca="false">SUMIFS('Dados Brutos'!$C:$C,'Dados Brutos'!$B:$B,A84,'Dados Brutos'!$T:$T,"BAGATELLE")</f>
        <v>27580</v>
      </c>
      <c r="E84" s="5" t="n">
        <f aca="false">SUMIFS('Dados Brutos'!$C:$C,'Dados Brutos'!$B:$B,A84,'Dados Brutos'!$T:$T,"AUMA")</f>
        <v>0</v>
      </c>
      <c r="F84" s="5" t="n">
        <f aca="false">SUM(C84:E84)</f>
        <v>27580</v>
      </c>
      <c r="G84" s="7" t="n">
        <f aca="false">SUMIF('Dados Brutos'!$B:$B,A84,'Dados Brutos'!$D:$D)</f>
        <v>36</v>
      </c>
      <c r="H84" s="7" t="n">
        <f aca="false">COUNTIF('Dados Brutos'!$B:$B,A84)</f>
        <v>16</v>
      </c>
      <c r="I84" s="16" t="n">
        <f aca="false">IFERROR(F84/G84,0)</f>
        <v>766.111111111111</v>
      </c>
      <c r="J84" s="13" t="n">
        <f aca="false">(C84&gt;0)+(D84&gt;0)+(E84&gt;0)</f>
        <v>1</v>
      </c>
      <c r="K84" s="13" t="str">
        <f aca="false">IF(J84=3,"Sim","Não")</f>
        <v>Não</v>
      </c>
      <c r="L84" s="13" t="str">
        <f aca="false">IF(AND(I84&gt;=100,G84&gt;=100),"Sim","Não")</f>
        <v>Não</v>
      </c>
      <c r="M84" s="13" t="str">
        <f aca="false">IF(L84="Sim",SUMPRODUCT(($L$2:L84="Sim")*1),"")</f>
        <v/>
      </c>
    </row>
    <row r="85" customFormat="false" ht="15" hidden="false" customHeight="false" outlineLevel="0" collapsed="false">
      <c r="A85" s="13" t="s">
        <v>630</v>
      </c>
      <c r="B85" s="13" t="s">
        <v>43</v>
      </c>
      <c r="C85" s="5" t="n">
        <f aca="false">SUMIFS('Dados Brutos'!$C:$C,'Dados Brutos'!$B:$B,A85,'Dados Brutos'!$T:$T,"SIENO")</f>
        <v>0</v>
      </c>
      <c r="D85" s="5" t="n">
        <f aca="false">SUMIFS('Dados Brutos'!$C:$C,'Dados Brutos'!$B:$B,A85,'Dados Brutos'!$T:$T,"BAGATELLE")</f>
        <v>10060</v>
      </c>
      <c r="E85" s="5" t="n">
        <f aca="false">SUMIFS('Dados Brutos'!$C:$C,'Dados Brutos'!$B:$B,A85,'Dados Brutos'!$T:$T,"AUMA")</f>
        <v>17330</v>
      </c>
      <c r="F85" s="5" t="n">
        <f aca="false">SUM(C85:E85)</f>
        <v>27390</v>
      </c>
      <c r="G85" s="7" t="n">
        <f aca="false">SUMIF('Dados Brutos'!$B:$B,A85,'Dados Brutos'!$D:$D)</f>
        <v>127</v>
      </c>
      <c r="H85" s="7" t="n">
        <f aca="false">COUNTIF('Dados Brutos'!$B:$B,A85)</f>
        <v>34</v>
      </c>
      <c r="I85" s="16" t="n">
        <f aca="false">IFERROR(F85/G85,0)</f>
        <v>215.669291338583</v>
      </c>
      <c r="J85" s="13" t="n">
        <f aca="false">(C85&gt;0)+(D85&gt;0)+(E85&gt;0)</f>
        <v>2</v>
      </c>
      <c r="K85" s="13" t="str">
        <f aca="false">IF(J85=3,"Sim","Não")</f>
        <v>Não</v>
      </c>
      <c r="L85" s="13" t="str">
        <f aca="false">IF(AND(I85&gt;=100,G85&gt;=100),"Sim","Não")</f>
        <v>Sim</v>
      </c>
      <c r="M85" s="13" t="n">
        <f aca="false">IF(L85="Sim",SUMPRODUCT(($L$2:L85="Sim")*1),"")</f>
        <v>57</v>
      </c>
    </row>
    <row r="86" customFormat="false" ht="15" hidden="false" customHeight="false" outlineLevel="0" collapsed="false">
      <c r="A86" s="13" t="s">
        <v>2121</v>
      </c>
      <c r="B86" s="13" t="s">
        <v>144</v>
      </c>
      <c r="C86" s="5" t="n">
        <f aca="false">SUMIFS('Dados Brutos'!$C:$C,'Dados Brutos'!$B:$B,A86,'Dados Brutos'!$T:$T,"SIENO")</f>
        <v>27150</v>
      </c>
      <c r="D86" s="5" t="n">
        <f aca="false">SUMIFS('Dados Brutos'!$C:$C,'Dados Brutos'!$B:$B,A86,'Dados Brutos'!$T:$T,"BAGATELLE")</f>
        <v>0</v>
      </c>
      <c r="E86" s="5" t="n">
        <f aca="false">SUMIFS('Dados Brutos'!$C:$C,'Dados Brutos'!$B:$B,A86,'Dados Brutos'!$T:$T,"AUMA")</f>
        <v>0</v>
      </c>
      <c r="F86" s="5" t="n">
        <f aca="false">SUM(C86:E86)</f>
        <v>27150</v>
      </c>
      <c r="G86" s="7" t="n">
        <f aca="false">SUMIF('Dados Brutos'!$B:$B,A86,'Dados Brutos'!$D:$D)</f>
        <v>471</v>
      </c>
      <c r="H86" s="7" t="n">
        <f aca="false">COUNTIF('Dados Brutos'!$B:$B,A86)</f>
        <v>4</v>
      </c>
      <c r="I86" s="16" t="n">
        <f aca="false">IFERROR(F86/G86,0)</f>
        <v>57.6433121019108</v>
      </c>
      <c r="J86" s="13" t="n">
        <f aca="false">(C86&gt;0)+(D86&gt;0)+(E86&gt;0)</f>
        <v>1</v>
      </c>
      <c r="K86" s="13" t="str">
        <f aca="false">IF(J86=3,"Sim","Não")</f>
        <v>Não</v>
      </c>
      <c r="L86" s="13" t="str">
        <f aca="false">IF(AND(I86&gt;=100,G86&gt;=100),"Sim","Não")</f>
        <v>Não</v>
      </c>
      <c r="M86" s="13" t="str">
        <f aca="false">IF(L86="Sim",SUMPRODUCT(($L$2:L86="Sim")*1),"")</f>
        <v/>
      </c>
    </row>
    <row r="87" customFormat="false" ht="15" hidden="false" customHeight="false" outlineLevel="0" collapsed="false">
      <c r="A87" s="13" t="s">
        <v>365</v>
      </c>
      <c r="B87" s="13" t="s">
        <v>43</v>
      </c>
      <c r="C87" s="5" t="n">
        <f aca="false">SUMIFS('Dados Brutos'!$C:$C,'Dados Brutos'!$B:$B,A87,'Dados Brutos'!$T:$T,"SIENO")</f>
        <v>22610</v>
      </c>
      <c r="D87" s="5" t="n">
        <f aca="false">SUMIFS('Dados Brutos'!$C:$C,'Dados Brutos'!$B:$B,A87,'Dados Brutos'!$T:$T,"BAGATELLE")</f>
        <v>2370</v>
      </c>
      <c r="E87" s="5" t="n">
        <f aca="false">SUMIFS('Dados Brutos'!$C:$C,'Dados Brutos'!$B:$B,A87,'Dados Brutos'!$T:$T,"AUMA")</f>
        <v>1730</v>
      </c>
      <c r="F87" s="5" t="n">
        <f aca="false">SUM(C87:E87)</f>
        <v>26710</v>
      </c>
      <c r="G87" s="7" t="n">
        <f aca="false">SUMIF('Dados Brutos'!$B:$B,A87,'Dados Brutos'!$D:$D)</f>
        <v>100</v>
      </c>
      <c r="H87" s="7" t="n">
        <f aca="false">COUNTIF('Dados Brutos'!$B:$B,A87)</f>
        <v>18</v>
      </c>
      <c r="I87" s="16" t="n">
        <f aca="false">IFERROR(F87/G87,0)</f>
        <v>267.1</v>
      </c>
      <c r="J87" s="13" t="n">
        <f aca="false">(C87&gt;0)+(D87&gt;0)+(E87&gt;0)</f>
        <v>3</v>
      </c>
      <c r="K87" s="13" t="str">
        <f aca="false">IF(J87=3,"Sim","Não")</f>
        <v>Sim</v>
      </c>
      <c r="L87" s="13" t="str">
        <f aca="false">IF(AND(I87&gt;=100,G87&gt;=100),"Sim","Não")</f>
        <v>Sim</v>
      </c>
      <c r="M87" s="13" t="n">
        <f aca="false">IF(L87="Sim",SUMPRODUCT(($L$2:L87="Sim")*1),"")</f>
        <v>58</v>
      </c>
    </row>
    <row r="88" customFormat="false" ht="15" hidden="false" customHeight="false" outlineLevel="0" collapsed="false">
      <c r="A88" s="13" t="s">
        <v>2122</v>
      </c>
      <c r="B88" s="13" t="s">
        <v>43</v>
      </c>
      <c r="C88" s="5" t="n">
        <f aca="false">SUMIFS('Dados Brutos'!$C:$C,'Dados Brutos'!$B:$B,A88,'Dados Brutos'!$T:$T,"SIENO")</f>
        <v>26220</v>
      </c>
      <c r="D88" s="5" t="n">
        <f aca="false">SUMIFS('Dados Brutos'!$C:$C,'Dados Brutos'!$B:$B,A88,'Dados Brutos'!$T:$T,"BAGATELLE")</f>
        <v>0</v>
      </c>
      <c r="E88" s="5" t="n">
        <f aca="false">SUMIFS('Dados Brutos'!$C:$C,'Dados Brutos'!$B:$B,A88,'Dados Brutos'!$T:$T,"AUMA")</f>
        <v>0</v>
      </c>
      <c r="F88" s="5" t="n">
        <f aca="false">SUM(C88:E88)</f>
        <v>26220</v>
      </c>
      <c r="G88" s="7" t="n">
        <f aca="false">SUMIF('Dados Brutos'!$B:$B,A88,'Dados Brutos'!$D:$D)</f>
        <v>92</v>
      </c>
      <c r="H88" s="7" t="n">
        <f aca="false">COUNTIF('Dados Brutos'!$B:$B,A88)</f>
        <v>2</v>
      </c>
      <c r="I88" s="16" t="n">
        <f aca="false">IFERROR(F88/G88,0)</f>
        <v>285</v>
      </c>
      <c r="J88" s="13" t="n">
        <f aca="false">(C88&gt;0)+(D88&gt;0)+(E88&gt;0)</f>
        <v>1</v>
      </c>
      <c r="K88" s="13" t="str">
        <f aca="false">IF(J88=3,"Sim","Não")</f>
        <v>Não</v>
      </c>
      <c r="L88" s="13" t="str">
        <f aca="false">IF(AND(I88&gt;=100,G88&gt;=100),"Sim","Não")</f>
        <v>Não</v>
      </c>
      <c r="M88" s="13" t="str">
        <f aca="false">IF(L88="Sim",SUMPRODUCT(($L$2:L88="Sim")*1),"")</f>
        <v/>
      </c>
    </row>
    <row r="89" customFormat="false" ht="15" hidden="false" customHeight="false" outlineLevel="0" collapsed="false">
      <c r="A89" s="13" t="s">
        <v>2123</v>
      </c>
      <c r="B89" s="13" t="s">
        <v>85</v>
      </c>
      <c r="C89" s="5" t="n">
        <f aca="false">SUMIFS('Dados Brutos'!$C:$C,'Dados Brutos'!$B:$B,A89,'Dados Brutos'!$T:$T,"SIENO")</f>
        <v>0</v>
      </c>
      <c r="D89" s="5" t="n">
        <f aca="false">SUMIFS('Dados Brutos'!$C:$C,'Dados Brutos'!$B:$B,A89,'Dados Brutos'!$T:$T,"BAGATELLE")</f>
        <v>0</v>
      </c>
      <c r="E89" s="5" t="n">
        <f aca="false">SUMIFS('Dados Brutos'!$C:$C,'Dados Brutos'!$B:$B,A89,'Dados Brutos'!$T:$T,"AUMA")</f>
        <v>26200</v>
      </c>
      <c r="F89" s="5" t="n">
        <f aca="false">SUM(C89:E89)</f>
        <v>26200</v>
      </c>
      <c r="G89" s="7" t="n">
        <f aca="false">SUMIF('Dados Brutos'!$B:$B,A89,'Dados Brutos'!$D:$D)</f>
        <v>90</v>
      </c>
      <c r="H89" s="7" t="n">
        <f aca="false">COUNTIF('Dados Brutos'!$B:$B,A89)</f>
        <v>1</v>
      </c>
      <c r="I89" s="16" t="n">
        <f aca="false">IFERROR(F89/G89,0)</f>
        <v>291.111111111111</v>
      </c>
      <c r="J89" s="13" t="n">
        <f aca="false">(C89&gt;0)+(D89&gt;0)+(E89&gt;0)</f>
        <v>1</v>
      </c>
      <c r="K89" s="13" t="str">
        <f aca="false">IF(J89=3,"Sim","Não")</f>
        <v>Não</v>
      </c>
      <c r="L89" s="13" t="str">
        <f aca="false">IF(AND(I89&gt;=100,G89&gt;=100),"Sim","Não")</f>
        <v>Não</v>
      </c>
      <c r="M89" s="13" t="str">
        <f aca="false">IF(L89="Sim",SUMPRODUCT(($L$2:L89="Sim")*1),"")</f>
        <v/>
      </c>
    </row>
    <row r="90" customFormat="false" ht="15" hidden="false" customHeight="false" outlineLevel="0" collapsed="false">
      <c r="A90" s="13" t="s">
        <v>2124</v>
      </c>
      <c r="B90" s="13" t="s">
        <v>43</v>
      </c>
      <c r="C90" s="5" t="n">
        <f aca="false">SUMIFS('Dados Brutos'!$C:$C,'Dados Brutos'!$B:$B,A90,'Dados Brutos'!$T:$T,"SIENO")</f>
        <v>26120</v>
      </c>
      <c r="D90" s="5" t="n">
        <f aca="false">SUMIFS('Dados Brutos'!$C:$C,'Dados Brutos'!$B:$B,A90,'Dados Brutos'!$T:$T,"BAGATELLE")</f>
        <v>0</v>
      </c>
      <c r="E90" s="5" t="n">
        <f aca="false">SUMIFS('Dados Brutos'!$C:$C,'Dados Brutos'!$B:$B,A90,'Dados Brutos'!$T:$T,"AUMA")</f>
        <v>0</v>
      </c>
      <c r="F90" s="5" t="n">
        <f aca="false">SUM(C90:E90)</f>
        <v>26120</v>
      </c>
      <c r="G90" s="7" t="n">
        <f aca="false">SUMIF('Dados Brutos'!$B:$B,A90,'Dados Brutos'!$D:$D)</f>
        <v>367</v>
      </c>
      <c r="H90" s="7" t="n">
        <f aca="false">COUNTIF('Dados Brutos'!$B:$B,A90)</f>
        <v>15</v>
      </c>
      <c r="I90" s="16" t="n">
        <f aca="false">IFERROR(F90/G90,0)</f>
        <v>71.1716621253406</v>
      </c>
      <c r="J90" s="13" t="n">
        <f aca="false">(C90&gt;0)+(D90&gt;0)+(E90&gt;0)</f>
        <v>1</v>
      </c>
      <c r="K90" s="13" t="str">
        <f aca="false">IF(J90=3,"Sim","Não")</f>
        <v>Não</v>
      </c>
      <c r="L90" s="13" t="str">
        <f aca="false">IF(AND(I90&gt;=100,G90&gt;=100),"Sim","Não")</f>
        <v>Não</v>
      </c>
      <c r="M90" s="13" t="str">
        <f aca="false">IF(L90="Sim",SUMPRODUCT(($L$2:L90="Sim")*1),"")</f>
        <v/>
      </c>
    </row>
    <row r="91" customFormat="false" ht="15" hidden="false" customHeight="false" outlineLevel="0" collapsed="false">
      <c r="A91" s="13" t="s">
        <v>2125</v>
      </c>
      <c r="B91" s="13" t="s">
        <v>129</v>
      </c>
      <c r="C91" s="5" t="n">
        <f aca="false">SUMIFS('Dados Brutos'!$C:$C,'Dados Brutos'!$B:$B,A91,'Dados Brutos'!$T:$T,"SIENO")</f>
        <v>25200</v>
      </c>
      <c r="D91" s="5" t="n">
        <f aca="false">SUMIFS('Dados Brutos'!$C:$C,'Dados Brutos'!$B:$B,A91,'Dados Brutos'!$T:$T,"BAGATELLE")</f>
        <v>0</v>
      </c>
      <c r="E91" s="5" t="n">
        <f aca="false">SUMIFS('Dados Brutos'!$C:$C,'Dados Brutos'!$B:$B,A91,'Dados Brutos'!$T:$T,"AUMA")</f>
        <v>0</v>
      </c>
      <c r="F91" s="5" t="n">
        <f aca="false">SUM(C91:E91)</f>
        <v>25200</v>
      </c>
      <c r="G91" s="7" t="n">
        <f aca="false">SUMIF('Dados Brutos'!$B:$B,A91,'Dados Brutos'!$D:$D)</f>
        <v>261</v>
      </c>
      <c r="H91" s="7" t="n">
        <f aca="false">COUNTIF('Dados Brutos'!$B:$B,A91)</f>
        <v>4</v>
      </c>
      <c r="I91" s="16" t="n">
        <f aca="false">IFERROR(F91/G91,0)</f>
        <v>96.551724137931</v>
      </c>
      <c r="J91" s="13" t="n">
        <f aca="false">(C91&gt;0)+(D91&gt;0)+(E91&gt;0)</f>
        <v>1</v>
      </c>
      <c r="K91" s="13" t="str">
        <f aca="false">IF(J91=3,"Sim","Não")</f>
        <v>Não</v>
      </c>
      <c r="L91" s="13" t="str">
        <f aca="false">IF(AND(I91&gt;=100,G91&gt;=100),"Sim","Não")</f>
        <v>Não</v>
      </c>
      <c r="M91" s="13" t="str">
        <f aca="false">IF(L91="Sim",SUMPRODUCT(($L$2:L91="Sim")*1),"")</f>
        <v/>
      </c>
    </row>
    <row r="92" customFormat="false" ht="15" hidden="false" customHeight="false" outlineLevel="0" collapsed="false">
      <c r="A92" s="13" t="s">
        <v>470</v>
      </c>
      <c r="B92" s="13" t="s">
        <v>85</v>
      </c>
      <c r="C92" s="5" t="n">
        <f aca="false">SUMIFS('Dados Brutos'!$C:$C,'Dados Brutos'!$B:$B,A92,'Dados Brutos'!$T:$T,"SIENO")</f>
        <v>24400</v>
      </c>
      <c r="D92" s="5" t="n">
        <f aca="false">SUMIFS('Dados Brutos'!$C:$C,'Dados Brutos'!$B:$B,A92,'Dados Brutos'!$T:$T,"BAGATELLE")</f>
        <v>0</v>
      </c>
      <c r="E92" s="5" t="n">
        <f aca="false">SUMIFS('Dados Brutos'!$C:$C,'Dados Brutos'!$B:$B,A92,'Dados Brutos'!$T:$T,"AUMA")</f>
        <v>0</v>
      </c>
      <c r="F92" s="5" t="n">
        <f aca="false">SUM(C92:E92)</f>
        <v>24400</v>
      </c>
      <c r="G92" s="7" t="n">
        <f aca="false">SUMIF('Dados Brutos'!$B:$B,A92,'Dados Brutos'!$D:$D)</f>
        <v>226</v>
      </c>
      <c r="H92" s="7" t="n">
        <f aca="false">COUNTIF('Dados Brutos'!$B:$B,A92)</f>
        <v>6</v>
      </c>
      <c r="I92" s="16" t="n">
        <f aca="false">IFERROR(F92/G92,0)</f>
        <v>107.964601769912</v>
      </c>
      <c r="J92" s="13" t="n">
        <f aca="false">(C92&gt;0)+(D92&gt;0)+(E92&gt;0)</f>
        <v>1</v>
      </c>
      <c r="K92" s="13" t="str">
        <f aca="false">IF(J92=3,"Sim","Não")</f>
        <v>Não</v>
      </c>
      <c r="L92" s="13" t="str">
        <f aca="false">IF(AND(I92&gt;=100,G92&gt;=100),"Sim","Não")</f>
        <v>Sim</v>
      </c>
      <c r="M92" s="13" t="n">
        <f aca="false">IF(L92="Sim",SUMPRODUCT(($L$2:L92="Sim")*1),"")</f>
        <v>59</v>
      </c>
    </row>
    <row r="93" customFormat="false" ht="15" hidden="false" customHeight="false" outlineLevel="0" collapsed="false">
      <c r="A93" s="13" t="s">
        <v>2126</v>
      </c>
      <c r="B93" s="13" t="s">
        <v>183</v>
      </c>
      <c r="C93" s="5" t="n">
        <f aca="false">SUMIFS('Dados Brutos'!$C:$C,'Dados Brutos'!$B:$B,A93,'Dados Brutos'!$T:$T,"SIENO")</f>
        <v>22950</v>
      </c>
      <c r="D93" s="5" t="n">
        <f aca="false">SUMIFS('Dados Brutos'!$C:$C,'Dados Brutos'!$B:$B,A93,'Dados Brutos'!$T:$T,"BAGATELLE")</f>
        <v>0</v>
      </c>
      <c r="E93" s="5" t="n">
        <f aca="false">SUMIFS('Dados Brutos'!$C:$C,'Dados Brutos'!$B:$B,A93,'Dados Brutos'!$T:$T,"AUMA")</f>
        <v>0</v>
      </c>
      <c r="F93" s="5" t="n">
        <f aca="false">SUM(C93:E93)</f>
        <v>22950</v>
      </c>
      <c r="G93" s="7" t="n">
        <f aca="false">SUMIF('Dados Brutos'!$B:$B,A93,'Dados Brutos'!$D:$D)</f>
        <v>405</v>
      </c>
      <c r="H93" s="7" t="n">
        <f aca="false">COUNTIF('Dados Brutos'!$B:$B,A93)</f>
        <v>10</v>
      </c>
      <c r="I93" s="16" t="n">
        <f aca="false">IFERROR(F93/G93,0)</f>
        <v>56.6666666666667</v>
      </c>
      <c r="J93" s="13" t="n">
        <f aca="false">(C93&gt;0)+(D93&gt;0)+(E93&gt;0)</f>
        <v>1</v>
      </c>
      <c r="K93" s="13" t="str">
        <f aca="false">IF(J93=3,"Sim","Não")</f>
        <v>Não</v>
      </c>
      <c r="L93" s="13" t="str">
        <f aca="false">IF(AND(I93&gt;=100,G93&gt;=100),"Sim","Não")</f>
        <v>Não</v>
      </c>
      <c r="M93" s="13" t="str">
        <f aca="false">IF(L93="Sim",SUMPRODUCT(($L$2:L93="Sim")*1),"")</f>
        <v/>
      </c>
    </row>
    <row r="94" customFormat="false" ht="15" hidden="false" customHeight="false" outlineLevel="0" collapsed="false">
      <c r="A94" s="13" t="s">
        <v>2127</v>
      </c>
      <c r="B94" s="13" t="s">
        <v>85</v>
      </c>
      <c r="C94" s="5" t="n">
        <f aca="false">SUMIFS('Dados Brutos'!$C:$C,'Dados Brutos'!$B:$B,A94,'Dados Brutos'!$T:$T,"SIENO")</f>
        <v>0</v>
      </c>
      <c r="D94" s="5" t="n">
        <f aca="false">SUMIFS('Dados Brutos'!$C:$C,'Dados Brutos'!$B:$B,A94,'Dados Brutos'!$T:$T,"BAGATELLE")</f>
        <v>0</v>
      </c>
      <c r="E94" s="5" t="n">
        <f aca="false">SUMIFS('Dados Brutos'!$C:$C,'Dados Brutos'!$B:$B,A94,'Dados Brutos'!$T:$T,"AUMA")</f>
        <v>22930</v>
      </c>
      <c r="F94" s="5" t="n">
        <f aca="false">SUM(C94:E94)</f>
        <v>22930</v>
      </c>
      <c r="G94" s="7" t="n">
        <f aca="false">SUMIF('Dados Brutos'!$B:$B,A94,'Dados Brutos'!$D:$D)</f>
        <v>360</v>
      </c>
      <c r="H94" s="7" t="n">
        <f aca="false">COUNTIF('Dados Brutos'!$B:$B,A94)</f>
        <v>19</v>
      </c>
      <c r="I94" s="16" t="n">
        <f aca="false">IFERROR(F94/G94,0)</f>
        <v>63.6944444444444</v>
      </c>
      <c r="J94" s="13" t="n">
        <f aca="false">(C94&gt;0)+(D94&gt;0)+(E94&gt;0)</f>
        <v>1</v>
      </c>
      <c r="K94" s="13" t="str">
        <f aca="false">IF(J94=3,"Sim","Não")</f>
        <v>Não</v>
      </c>
      <c r="L94" s="13" t="str">
        <f aca="false">IF(AND(I94&gt;=100,G94&gt;=100),"Sim","Não")</f>
        <v>Não</v>
      </c>
      <c r="M94" s="13" t="str">
        <f aca="false">IF(L94="Sim",SUMPRODUCT(($L$2:L94="Sim")*1),"")</f>
        <v/>
      </c>
    </row>
    <row r="95" customFormat="false" ht="15" hidden="false" customHeight="false" outlineLevel="0" collapsed="false">
      <c r="A95" s="13" t="s">
        <v>227</v>
      </c>
      <c r="B95" s="13" t="s">
        <v>85</v>
      </c>
      <c r="C95" s="5" t="n">
        <f aca="false">SUMIFS('Dados Brutos'!$C:$C,'Dados Brutos'!$B:$B,A95,'Dados Brutos'!$T:$T,"SIENO")</f>
        <v>22000</v>
      </c>
      <c r="D95" s="5" t="n">
        <f aca="false">SUMIFS('Dados Brutos'!$C:$C,'Dados Brutos'!$B:$B,A95,'Dados Brutos'!$T:$T,"BAGATELLE")</f>
        <v>0</v>
      </c>
      <c r="E95" s="5" t="n">
        <f aca="false">SUMIFS('Dados Brutos'!$C:$C,'Dados Brutos'!$B:$B,A95,'Dados Brutos'!$T:$T,"AUMA")</f>
        <v>0</v>
      </c>
      <c r="F95" s="5" t="n">
        <f aca="false">SUM(C95:E95)</f>
        <v>22000</v>
      </c>
      <c r="G95" s="7" t="n">
        <f aca="false">SUMIF('Dados Brutos'!$B:$B,A95,'Dados Brutos'!$D:$D)</f>
        <v>100</v>
      </c>
      <c r="H95" s="7" t="n">
        <f aca="false">COUNTIF('Dados Brutos'!$B:$B,A95)</f>
        <v>1</v>
      </c>
      <c r="I95" s="16" t="n">
        <f aca="false">IFERROR(F95/G95,0)</f>
        <v>220</v>
      </c>
      <c r="J95" s="13" t="n">
        <f aca="false">(C95&gt;0)+(D95&gt;0)+(E95&gt;0)</f>
        <v>1</v>
      </c>
      <c r="K95" s="13" t="str">
        <f aca="false">IF(J95=3,"Sim","Não")</f>
        <v>Não</v>
      </c>
      <c r="L95" s="13" t="str">
        <f aca="false">IF(AND(I95&gt;=100,G95&gt;=100),"Sim","Não")</f>
        <v>Sim</v>
      </c>
      <c r="M95" s="13" t="n">
        <f aca="false">IF(L95="Sim",SUMPRODUCT(($L$2:L95="Sim")*1),"")</f>
        <v>60</v>
      </c>
    </row>
    <row r="96" customFormat="false" ht="15" hidden="false" customHeight="false" outlineLevel="0" collapsed="false">
      <c r="A96" s="13" t="s">
        <v>248</v>
      </c>
      <c r="B96" s="13" t="s">
        <v>85</v>
      </c>
      <c r="C96" s="5" t="n">
        <f aca="false">SUMIFS('Dados Brutos'!$C:$C,'Dados Brutos'!$B:$B,A96,'Dados Brutos'!$T:$T,"SIENO")</f>
        <v>21700</v>
      </c>
      <c r="D96" s="5" t="n">
        <f aca="false">SUMIFS('Dados Brutos'!$C:$C,'Dados Brutos'!$B:$B,A96,'Dados Brutos'!$T:$T,"BAGATELLE")</f>
        <v>0</v>
      </c>
      <c r="E96" s="5" t="n">
        <f aca="false">SUMIFS('Dados Brutos'!$C:$C,'Dados Brutos'!$B:$B,A96,'Dados Brutos'!$T:$T,"AUMA")</f>
        <v>0</v>
      </c>
      <c r="F96" s="5" t="n">
        <f aca="false">SUM(C96:E96)</f>
        <v>21700</v>
      </c>
      <c r="G96" s="7" t="n">
        <f aca="false">SUMIF('Dados Brutos'!$B:$B,A96,'Dados Brutos'!$D:$D)</f>
        <v>110</v>
      </c>
      <c r="H96" s="7" t="n">
        <f aca="false">COUNTIF('Dados Brutos'!$B:$B,A96)</f>
        <v>2</v>
      </c>
      <c r="I96" s="16" t="n">
        <f aca="false">IFERROR(F96/G96,0)</f>
        <v>197.272727272727</v>
      </c>
      <c r="J96" s="13" t="n">
        <f aca="false">(C96&gt;0)+(D96&gt;0)+(E96&gt;0)</f>
        <v>1</v>
      </c>
      <c r="K96" s="13" t="str">
        <f aca="false">IF(J96=3,"Sim","Não")</f>
        <v>Não</v>
      </c>
      <c r="L96" s="13" t="str">
        <f aca="false">IF(AND(I96&gt;=100,G96&gt;=100),"Sim","Não")</f>
        <v>Sim</v>
      </c>
      <c r="M96" s="13" t="n">
        <f aca="false">IF(L96="Sim",SUMPRODUCT(($L$2:L96="Sim")*1),"")</f>
        <v>61</v>
      </c>
    </row>
    <row r="97" customFormat="false" ht="15" hidden="false" customHeight="false" outlineLevel="0" collapsed="false">
      <c r="A97" s="13" t="s">
        <v>233</v>
      </c>
      <c r="B97" s="13" t="s">
        <v>57</v>
      </c>
      <c r="C97" s="5" t="n">
        <f aca="false">SUMIFS('Dados Brutos'!$C:$C,'Dados Brutos'!$B:$B,A97,'Dados Brutos'!$T:$T,"SIENO")</f>
        <v>21000</v>
      </c>
      <c r="D97" s="5" t="n">
        <f aca="false">SUMIFS('Dados Brutos'!$C:$C,'Dados Brutos'!$B:$B,A97,'Dados Brutos'!$T:$T,"BAGATELLE")</f>
        <v>0</v>
      </c>
      <c r="E97" s="5" t="n">
        <f aca="false">SUMIFS('Dados Brutos'!$C:$C,'Dados Brutos'!$B:$B,A97,'Dados Brutos'!$T:$T,"AUMA")</f>
        <v>0</v>
      </c>
      <c r="F97" s="5" t="n">
        <f aca="false">SUM(C97:E97)</f>
        <v>21000</v>
      </c>
      <c r="G97" s="7" t="n">
        <f aca="false">SUMIF('Dados Brutos'!$B:$B,A97,'Dados Brutos'!$D:$D)</f>
        <v>101</v>
      </c>
      <c r="H97" s="7" t="n">
        <f aca="false">COUNTIF('Dados Brutos'!$B:$B,A97)</f>
        <v>2</v>
      </c>
      <c r="I97" s="16" t="n">
        <f aca="false">IFERROR(F97/G97,0)</f>
        <v>207.920792079208</v>
      </c>
      <c r="J97" s="13" t="n">
        <f aca="false">(C97&gt;0)+(D97&gt;0)+(E97&gt;0)</f>
        <v>1</v>
      </c>
      <c r="K97" s="13" t="str">
        <f aca="false">IF(J97=3,"Sim","Não")</f>
        <v>Não</v>
      </c>
      <c r="L97" s="13" t="str">
        <f aca="false">IF(AND(I97&gt;=100,G97&gt;=100),"Sim","Não")</f>
        <v>Sim</v>
      </c>
      <c r="M97" s="13" t="n">
        <f aca="false">IF(L97="Sim",SUMPRODUCT(($L$2:L97="Sim")*1),"")</f>
        <v>62</v>
      </c>
    </row>
    <row r="98" customFormat="false" ht="15" hidden="false" customHeight="false" outlineLevel="0" collapsed="false">
      <c r="A98" s="13" t="s">
        <v>2128</v>
      </c>
      <c r="B98" s="13" t="s">
        <v>85</v>
      </c>
      <c r="C98" s="5" t="n">
        <f aca="false">SUMIFS('Dados Brutos'!$C:$C,'Dados Brutos'!$B:$B,A98,'Dados Brutos'!$T:$T,"SIENO")</f>
        <v>17300</v>
      </c>
      <c r="D98" s="5" t="n">
        <f aca="false">SUMIFS('Dados Brutos'!$C:$C,'Dados Brutos'!$B:$B,A98,'Dados Brutos'!$T:$T,"BAGATELLE")</f>
        <v>3530</v>
      </c>
      <c r="E98" s="5" t="n">
        <f aca="false">SUMIFS('Dados Brutos'!$C:$C,'Dados Brutos'!$B:$B,A98,'Dados Brutos'!$T:$T,"AUMA")</f>
        <v>0</v>
      </c>
      <c r="F98" s="5" t="n">
        <f aca="false">SUM(C98:E98)</f>
        <v>20830</v>
      </c>
      <c r="G98" s="7" t="n">
        <f aca="false">SUMIF('Dados Brutos'!$B:$B,A98,'Dados Brutos'!$D:$D)</f>
        <v>254</v>
      </c>
      <c r="H98" s="7" t="n">
        <f aca="false">COUNTIF('Dados Brutos'!$B:$B,A98)</f>
        <v>4</v>
      </c>
      <c r="I98" s="16" t="n">
        <f aca="false">IFERROR(F98/G98,0)</f>
        <v>82.007874015748</v>
      </c>
      <c r="J98" s="13" t="n">
        <f aca="false">(C98&gt;0)+(D98&gt;0)+(E98&gt;0)</f>
        <v>2</v>
      </c>
      <c r="K98" s="13" t="str">
        <f aca="false">IF(J98=3,"Sim","Não")</f>
        <v>Não</v>
      </c>
      <c r="L98" s="13" t="str">
        <f aca="false">IF(AND(I98&gt;=100,G98&gt;=100),"Sim","Não")</f>
        <v>Não</v>
      </c>
      <c r="M98" s="13" t="str">
        <f aca="false">IF(L98="Sim",SUMPRODUCT(($L$2:L98="Sim")*1),"")</f>
        <v/>
      </c>
    </row>
    <row r="99" customFormat="false" ht="15" hidden="false" customHeight="false" outlineLevel="0" collapsed="false">
      <c r="A99" s="13" t="s">
        <v>341</v>
      </c>
      <c r="B99" s="13" t="s">
        <v>43</v>
      </c>
      <c r="C99" s="5" t="n">
        <f aca="false">SUMIFS('Dados Brutos'!$C:$C,'Dados Brutos'!$B:$B,A99,'Dados Brutos'!$T:$T,"SIENO")</f>
        <v>11200</v>
      </c>
      <c r="D99" s="5" t="n">
        <f aca="false">SUMIFS('Dados Brutos'!$C:$C,'Dados Brutos'!$B:$B,A99,'Dados Brutos'!$T:$T,"BAGATELLE")</f>
        <v>9260</v>
      </c>
      <c r="E99" s="5" t="n">
        <f aca="false">SUMIFS('Dados Brutos'!$C:$C,'Dados Brutos'!$B:$B,A99,'Dados Brutos'!$T:$T,"AUMA")</f>
        <v>0</v>
      </c>
      <c r="F99" s="5" t="n">
        <f aca="false">SUM(C99:E99)</f>
        <v>20460</v>
      </c>
      <c r="G99" s="7" t="n">
        <f aca="false">SUMIF('Dados Brutos'!$B:$B,A99,'Dados Brutos'!$D:$D)</f>
        <v>135</v>
      </c>
      <c r="H99" s="7" t="n">
        <f aca="false">COUNTIF('Dados Brutos'!$B:$B,A99)</f>
        <v>7</v>
      </c>
      <c r="I99" s="16" t="n">
        <f aca="false">IFERROR(F99/G99,0)</f>
        <v>151.555555555556</v>
      </c>
      <c r="J99" s="13" t="n">
        <f aca="false">(C99&gt;0)+(D99&gt;0)+(E99&gt;0)</f>
        <v>2</v>
      </c>
      <c r="K99" s="13" t="str">
        <f aca="false">IF(J99=3,"Sim","Não")</f>
        <v>Não</v>
      </c>
      <c r="L99" s="13" t="str">
        <f aca="false">IF(AND(I99&gt;=100,G99&gt;=100),"Sim","Não")</f>
        <v>Sim</v>
      </c>
      <c r="M99" s="13" t="n">
        <f aca="false">IF(L99="Sim",SUMPRODUCT(($L$2:L99="Sim")*1),"")</f>
        <v>63</v>
      </c>
    </row>
    <row r="100" customFormat="false" ht="15" hidden="false" customHeight="false" outlineLevel="0" collapsed="false">
      <c r="A100" s="13" t="s">
        <v>2129</v>
      </c>
      <c r="B100" s="13" t="s">
        <v>43</v>
      </c>
      <c r="C100" s="5" t="n">
        <f aca="false">SUMIFS('Dados Brutos'!$C:$C,'Dados Brutos'!$B:$B,A100,'Dados Brutos'!$T:$T,"SIENO")</f>
        <v>20140</v>
      </c>
      <c r="D100" s="5" t="n">
        <f aca="false">SUMIFS('Dados Brutos'!$C:$C,'Dados Brutos'!$B:$B,A100,'Dados Brutos'!$T:$T,"BAGATELLE")</f>
        <v>0</v>
      </c>
      <c r="E100" s="5" t="n">
        <f aca="false">SUMIFS('Dados Brutos'!$C:$C,'Dados Brutos'!$B:$B,A100,'Dados Brutos'!$T:$T,"AUMA")</f>
        <v>0</v>
      </c>
      <c r="F100" s="5" t="n">
        <f aca="false">SUM(C100:E100)</f>
        <v>20140</v>
      </c>
      <c r="G100" s="7" t="n">
        <f aca="false">SUMIF('Dados Brutos'!$B:$B,A100,'Dados Brutos'!$D:$D)</f>
        <v>282</v>
      </c>
      <c r="H100" s="7" t="n">
        <f aca="false">COUNTIF('Dados Brutos'!$B:$B,A100)</f>
        <v>4</v>
      </c>
      <c r="I100" s="16" t="n">
        <f aca="false">IFERROR(F100/G100,0)</f>
        <v>71.4184397163121</v>
      </c>
      <c r="J100" s="13" t="n">
        <f aca="false">(C100&gt;0)+(D100&gt;0)+(E100&gt;0)</f>
        <v>1</v>
      </c>
      <c r="K100" s="13" t="str">
        <f aca="false">IF(J100=3,"Sim","Não")</f>
        <v>Não</v>
      </c>
      <c r="L100" s="13" t="str">
        <f aca="false">IF(AND(I100&gt;=100,G100&gt;=100),"Sim","Não")</f>
        <v>Não</v>
      </c>
      <c r="M100" s="13" t="str">
        <f aca="false">IF(L100="Sim",SUMPRODUCT(($L$2:L100="Sim")*1),"")</f>
        <v/>
      </c>
    </row>
    <row r="101" customFormat="false" ht="15" hidden="false" customHeight="false" outlineLevel="0" collapsed="false">
      <c r="A101" s="13" t="s">
        <v>250</v>
      </c>
      <c r="B101" s="13" t="s">
        <v>85</v>
      </c>
      <c r="C101" s="5" t="n">
        <f aca="false">SUMIFS('Dados Brutos'!$C:$C,'Dados Brutos'!$B:$B,A101,'Dados Brutos'!$T:$T,"SIENO")</f>
        <v>19360</v>
      </c>
      <c r="D101" s="5" t="n">
        <f aca="false">SUMIFS('Dados Brutos'!$C:$C,'Dados Brutos'!$B:$B,A101,'Dados Brutos'!$T:$T,"BAGATELLE")</f>
        <v>0</v>
      </c>
      <c r="E101" s="5" t="n">
        <f aca="false">SUMIFS('Dados Brutos'!$C:$C,'Dados Brutos'!$B:$B,A101,'Dados Brutos'!$T:$T,"AUMA")</f>
        <v>0</v>
      </c>
      <c r="F101" s="5" t="n">
        <f aca="false">SUM(C101:E101)</f>
        <v>19360</v>
      </c>
      <c r="G101" s="7" t="n">
        <f aca="false">SUMIF('Dados Brutos'!$B:$B,A101,'Dados Brutos'!$D:$D)</f>
        <v>175</v>
      </c>
      <c r="H101" s="7" t="n">
        <f aca="false">COUNTIF('Dados Brutos'!$B:$B,A101)</f>
        <v>4</v>
      </c>
      <c r="I101" s="16" t="n">
        <f aca="false">IFERROR(F101/G101,0)</f>
        <v>110.628571428571</v>
      </c>
      <c r="J101" s="13" t="n">
        <f aca="false">(C101&gt;0)+(D101&gt;0)+(E101&gt;0)</f>
        <v>1</v>
      </c>
      <c r="K101" s="13" t="str">
        <f aca="false">IF(J101=3,"Sim","Não")</f>
        <v>Não</v>
      </c>
      <c r="L101" s="13" t="str">
        <f aca="false">IF(AND(I101&gt;=100,G101&gt;=100),"Sim","Não")</f>
        <v>Sim</v>
      </c>
      <c r="M101" s="13" t="n">
        <f aca="false">IF(L101="Sim",SUMPRODUCT(($L$2:L101="Sim")*1),"")</f>
        <v>64</v>
      </c>
    </row>
    <row r="102" customFormat="false" ht="15" hidden="false" customHeight="false" outlineLevel="0" collapsed="false">
      <c r="A102" s="13" t="s">
        <v>2130</v>
      </c>
      <c r="B102" s="13" t="s">
        <v>43</v>
      </c>
      <c r="C102" s="5" t="n">
        <f aca="false">SUMIFS('Dados Brutos'!$C:$C,'Dados Brutos'!$B:$B,A102,'Dados Brutos'!$T:$T,"SIENO")</f>
        <v>0</v>
      </c>
      <c r="D102" s="5" t="n">
        <f aca="false">SUMIFS('Dados Brutos'!$C:$C,'Dados Brutos'!$B:$B,A102,'Dados Brutos'!$T:$T,"BAGATELLE")</f>
        <v>0</v>
      </c>
      <c r="E102" s="5" t="n">
        <f aca="false">SUMIFS('Dados Brutos'!$C:$C,'Dados Brutos'!$B:$B,A102,'Dados Brutos'!$T:$T,"AUMA")</f>
        <v>19060</v>
      </c>
      <c r="F102" s="5" t="n">
        <f aca="false">SUM(C102:E102)</f>
        <v>19060</v>
      </c>
      <c r="G102" s="7" t="n">
        <f aca="false">SUMIF('Dados Brutos'!$B:$B,A102,'Dados Brutos'!$D:$D)</f>
        <v>21</v>
      </c>
      <c r="H102" s="7" t="n">
        <f aca="false">COUNTIF('Dados Brutos'!$B:$B,A102)</f>
        <v>13</v>
      </c>
      <c r="I102" s="16" t="n">
        <f aca="false">IFERROR(F102/G102,0)</f>
        <v>907.619047619048</v>
      </c>
      <c r="J102" s="13" t="n">
        <f aca="false">(C102&gt;0)+(D102&gt;0)+(E102&gt;0)</f>
        <v>1</v>
      </c>
      <c r="K102" s="13" t="str">
        <f aca="false">IF(J102=3,"Sim","Não")</f>
        <v>Não</v>
      </c>
      <c r="L102" s="13" t="str">
        <f aca="false">IF(AND(I102&gt;=100,G102&gt;=100),"Sim","Não")</f>
        <v>Não</v>
      </c>
      <c r="M102" s="13" t="str">
        <f aca="false">IF(L102="Sim",SUMPRODUCT(($L$2:L102="Sim")*1),"")</f>
        <v/>
      </c>
    </row>
    <row r="103" customFormat="false" ht="15" hidden="false" customHeight="false" outlineLevel="0" collapsed="false">
      <c r="A103" s="13" t="s">
        <v>2131</v>
      </c>
      <c r="B103" s="13" t="s">
        <v>43</v>
      </c>
      <c r="C103" s="5" t="n">
        <f aca="false">SUMIFS('Dados Brutos'!$C:$C,'Dados Brutos'!$B:$B,A103,'Dados Brutos'!$T:$T,"SIENO")</f>
        <v>0</v>
      </c>
      <c r="D103" s="5" t="n">
        <f aca="false">SUMIFS('Dados Brutos'!$C:$C,'Dados Brutos'!$B:$B,A103,'Dados Brutos'!$T:$T,"BAGATELLE")</f>
        <v>5100</v>
      </c>
      <c r="E103" s="5" t="n">
        <f aca="false">SUMIFS('Dados Brutos'!$C:$C,'Dados Brutos'!$B:$B,A103,'Dados Brutos'!$T:$T,"AUMA")</f>
        <v>13340</v>
      </c>
      <c r="F103" s="5" t="n">
        <f aca="false">SUM(C103:E103)</f>
        <v>18440</v>
      </c>
      <c r="G103" s="7" t="n">
        <f aca="false">SUMIF('Dados Brutos'!$B:$B,A103,'Dados Brutos'!$D:$D)</f>
        <v>43</v>
      </c>
      <c r="H103" s="7" t="n">
        <f aca="false">COUNTIF('Dados Brutos'!$B:$B,A103)</f>
        <v>8</v>
      </c>
      <c r="I103" s="16" t="n">
        <f aca="false">IFERROR(F103/G103,0)</f>
        <v>428.837209302326</v>
      </c>
      <c r="J103" s="13" t="n">
        <f aca="false">(C103&gt;0)+(D103&gt;0)+(E103&gt;0)</f>
        <v>2</v>
      </c>
      <c r="K103" s="13" t="str">
        <f aca="false">IF(J103=3,"Sim","Não")</f>
        <v>Não</v>
      </c>
      <c r="L103" s="13" t="str">
        <f aca="false">IF(AND(I103&gt;=100,G103&gt;=100),"Sim","Não")</f>
        <v>Não</v>
      </c>
      <c r="M103" s="13" t="str">
        <f aca="false">IF(L103="Sim",SUMPRODUCT(($L$2:L103="Sim")*1),"")</f>
        <v/>
      </c>
    </row>
    <row r="104" customFormat="false" ht="15" hidden="false" customHeight="false" outlineLevel="0" collapsed="false">
      <c r="A104" s="13" t="s">
        <v>2132</v>
      </c>
      <c r="B104" s="13" t="s">
        <v>129</v>
      </c>
      <c r="C104" s="5" t="n">
        <f aca="false">SUMIFS('Dados Brutos'!$C:$C,'Dados Brutos'!$B:$B,A104,'Dados Brutos'!$T:$T,"SIENO")</f>
        <v>17700</v>
      </c>
      <c r="D104" s="5" t="n">
        <f aca="false">SUMIFS('Dados Brutos'!$C:$C,'Dados Brutos'!$B:$B,A104,'Dados Brutos'!$T:$T,"BAGATELLE")</f>
        <v>0</v>
      </c>
      <c r="E104" s="5" t="n">
        <f aca="false">SUMIFS('Dados Brutos'!$C:$C,'Dados Brutos'!$B:$B,A104,'Dados Brutos'!$T:$T,"AUMA")</f>
        <v>0</v>
      </c>
      <c r="F104" s="5" t="n">
        <f aca="false">SUM(C104:E104)</f>
        <v>17700</v>
      </c>
      <c r="G104" s="7" t="n">
        <f aca="false">SUMIF('Dados Brutos'!$B:$B,A104,'Dados Brutos'!$D:$D)</f>
        <v>70</v>
      </c>
      <c r="H104" s="7" t="n">
        <f aca="false">COUNTIF('Dados Brutos'!$B:$B,A104)</f>
        <v>1</v>
      </c>
      <c r="I104" s="16" t="n">
        <f aca="false">IFERROR(F104/G104,0)</f>
        <v>252.857142857143</v>
      </c>
      <c r="J104" s="13" t="n">
        <f aca="false">(C104&gt;0)+(D104&gt;0)+(E104&gt;0)</f>
        <v>1</v>
      </c>
      <c r="K104" s="13" t="str">
        <f aca="false">IF(J104=3,"Sim","Não")</f>
        <v>Não</v>
      </c>
      <c r="L104" s="13" t="str">
        <f aca="false">IF(AND(I104&gt;=100,G104&gt;=100),"Sim","Não")</f>
        <v>Não</v>
      </c>
      <c r="M104" s="13" t="str">
        <f aca="false">IF(L104="Sim",SUMPRODUCT(($L$2:L104="Sim")*1),"")</f>
        <v/>
      </c>
    </row>
    <row r="105" customFormat="false" ht="15" hidden="false" customHeight="false" outlineLevel="0" collapsed="false">
      <c r="A105" s="13" t="s">
        <v>2133</v>
      </c>
      <c r="B105" s="13" t="s">
        <v>43</v>
      </c>
      <c r="C105" s="5" t="n">
        <f aca="false">SUMIFS('Dados Brutos'!$C:$C,'Dados Brutos'!$B:$B,A105,'Dados Brutos'!$T:$T,"SIENO")</f>
        <v>0</v>
      </c>
      <c r="D105" s="5" t="n">
        <f aca="false">SUMIFS('Dados Brutos'!$C:$C,'Dados Brutos'!$B:$B,A105,'Dados Brutos'!$T:$T,"BAGATELLE")</f>
        <v>17050</v>
      </c>
      <c r="E105" s="5" t="n">
        <f aca="false">SUMIFS('Dados Brutos'!$C:$C,'Dados Brutos'!$B:$B,A105,'Dados Brutos'!$T:$T,"AUMA")</f>
        <v>0</v>
      </c>
      <c r="F105" s="5" t="n">
        <f aca="false">SUM(C105:E105)</f>
        <v>17050</v>
      </c>
      <c r="G105" s="7" t="n">
        <f aca="false">SUMIF('Dados Brutos'!$B:$B,A105,'Dados Brutos'!$D:$D)</f>
        <v>17</v>
      </c>
      <c r="H105" s="7" t="n">
        <f aca="false">COUNTIF('Dados Brutos'!$B:$B,A105)</f>
        <v>9</v>
      </c>
      <c r="I105" s="16" t="n">
        <f aca="false">IFERROR(F105/G105,0)</f>
        <v>1002.94117647059</v>
      </c>
      <c r="J105" s="13" t="n">
        <f aca="false">(C105&gt;0)+(D105&gt;0)+(E105&gt;0)</f>
        <v>1</v>
      </c>
      <c r="K105" s="13" t="str">
        <f aca="false">IF(J105=3,"Sim","Não")</f>
        <v>Não</v>
      </c>
      <c r="L105" s="13" t="str">
        <f aca="false">IF(AND(I105&gt;=100,G105&gt;=100),"Sim","Não")</f>
        <v>Não</v>
      </c>
      <c r="M105" s="13" t="str">
        <f aca="false">IF(L105="Sim",SUMPRODUCT(($L$2:L105="Sim")*1),"")</f>
        <v/>
      </c>
    </row>
    <row r="106" customFormat="false" ht="15" hidden="false" customHeight="false" outlineLevel="0" collapsed="false">
      <c r="A106" s="13" t="s">
        <v>2134</v>
      </c>
      <c r="B106" s="13" t="s">
        <v>43</v>
      </c>
      <c r="C106" s="5" t="n">
        <f aca="false">SUMIFS('Dados Brutos'!$C:$C,'Dados Brutos'!$B:$B,A106,'Dados Brutos'!$T:$T,"SIENO")</f>
        <v>0</v>
      </c>
      <c r="D106" s="5" t="n">
        <f aca="false">SUMIFS('Dados Brutos'!$C:$C,'Dados Brutos'!$B:$B,A106,'Dados Brutos'!$T:$T,"BAGATELLE")</f>
        <v>15450</v>
      </c>
      <c r="E106" s="5" t="n">
        <f aca="false">SUMIFS('Dados Brutos'!$C:$C,'Dados Brutos'!$B:$B,A106,'Dados Brutos'!$T:$T,"AUMA")</f>
        <v>1500</v>
      </c>
      <c r="F106" s="5" t="n">
        <f aca="false">SUM(C106:E106)</f>
        <v>16950</v>
      </c>
      <c r="G106" s="7" t="n">
        <f aca="false">SUMIF('Dados Brutos'!$B:$B,A106,'Dados Brutos'!$D:$D)</f>
        <v>31</v>
      </c>
      <c r="H106" s="7" t="n">
        <f aca="false">COUNTIF('Dados Brutos'!$B:$B,A106)</f>
        <v>19</v>
      </c>
      <c r="I106" s="16" t="n">
        <f aca="false">IFERROR(F106/G106,0)</f>
        <v>546.774193548387</v>
      </c>
      <c r="J106" s="13" t="n">
        <f aca="false">(C106&gt;0)+(D106&gt;0)+(E106&gt;0)</f>
        <v>2</v>
      </c>
      <c r="K106" s="13" t="str">
        <f aca="false">IF(J106=3,"Sim","Não")</f>
        <v>Não</v>
      </c>
      <c r="L106" s="13" t="str">
        <f aca="false">IF(AND(I106&gt;=100,G106&gt;=100),"Sim","Não")</f>
        <v>Não</v>
      </c>
      <c r="M106" s="13" t="str">
        <f aca="false">IF(L106="Sim",SUMPRODUCT(($L$2:L106="Sim")*1),"")</f>
        <v/>
      </c>
    </row>
    <row r="107" customFormat="false" ht="15" hidden="false" customHeight="false" outlineLevel="0" collapsed="false">
      <c r="A107" s="13" t="s">
        <v>2135</v>
      </c>
      <c r="B107" s="13" t="s">
        <v>43</v>
      </c>
      <c r="C107" s="5" t="n">
        <f aca="false">SUMIFS('Dados Brutos'!$C:$C,'Dados Brutos'!$B:$B,A107,'Dados Brutos'!$T:$T,"SIENO")</f>
        <v>14300</v>
      </c>
      <c r="D107" s="5" t="n">
        <f aca="false">SUMIFS('Dados Brutos'!$C:$C,'Dados Brutos'!$B:$B,A107,'Dados Brutos'!$T:$T,"BAGATELLE")</f>
        <v>2400</v>
      </c>
      <c r="E107" s="5" t="n">
        <f aca="false">SUMIFS('Dados Brutos'!$C:$C,'Dados Brutos'!$B:$B,A107,'Dados Brutos'!$T:$T,"AUMA")</f>
        <v>0</v>
      </c>
      <c r="F107" s="5" t="n">
        <f aca="false">SUM(C107:E107)</f>
        <v>16700</v>
      </c>
      <c r="G107" s="7" t="n">
        <f aca="false">SUMIF('Dados Brutos'!$B:$B,A107,'Dados Brutos'!$D:$D)</f>
        <v>190</v>
      </c>
      <c r="H107" s="7" t="n">
        <f aca="false">COUNTIF('Dados Brutos'!$B:$B,A107)</f>
        <v>3</v>
      </c>
      <c r="I107" s="16" t="n">
        <f aca="false">IFERROR(F107/G107,0)</f>
        <v>87.8947368421053</v>
      </c>
      <c r="J107" s="13" t="n">
        <f aca="false">(C107&gt;0)+(D107&gt;0)+(E107&gt;0)</f>
        <v>2</v>
      </c>
      <c r="K107" s="13" t="str">
        <f aca="false">IF(J107=3,"Sim","Não")</f>
        <v>Não</v>
      </c>
      <c r="L107" s="13" t="str">
        <f aca="false">IF(AND(I107&gt;=100,G107&gt;=100),"Sim","Não")</f>
        <v>Não</v>
      </c>
      <c r="M107" s="13" t="str">
        <f aca="false">IF(L107="Sim",SUMPRODUCT(($L$2:L107="Sim")*1),"")</f>
        <v/>
      </c>
    </row>
    <row r="108" customFormat="false" ht="15" hidden="false" customHeight="false" outlineLevel="0" collapsed="false">
      <c r="A108" s="13" t="s">
        <v>2136</v>
      </c>
      <c r="B108" s="13" t="s">
        <v>85</v>
      </c>
      <c r="C108" s="5" t="n">
        <f aca="false">SUMIFS('Dados Brutos'!$C:$C,'Dados Brutos'!$B:$B,A108,'Dados Brutos'!$T:$T,"SIENO")</f>
        <v>15790</v>
      </c>
      <c r="D108" s="5" t="n">
        <f aca="false">SUMIFS('Dados Brutos'!$C:$C,'Dados Brutos'!$B:$B,A108,'Dados Brutos'!$T:$T,"BAGATELLE")</f>
        <v>0</v>
      </c>
      <c r="E108" s="5" t="n">
        <f aca="false">SUMIFS('Dados Brutos'!$C:$C,'Dados Brutos'!$B:$B,A108,'Dados Brutos'!$T:$T,"AUMA")</f>
        <v>0</v>
      </c>
      <c r="F108" s="5" t="n">
        <f aca="false">SUM(C108:E108)</f>
        <v>15790</v>
      </c>
      <c r="G108" s="7" t="n">
        <f aca="false">SUMIF('Dados Brutos'!$B:$B,A108,'Dados Brutos'!$D:$D)</f>
        <v>348</v>
      </c>
      <c r="H108" s="7" t="n">
        <f aca="false">COUNTIF('Dados Brutos'!$B:$B,A108)</f>
        <v>8</v>
      </c>
      <c r="I108" s="16" t="n">
        <f aca="false">IFERROR(F108/G108,0)</f>
        <v>45.3735632183908</v>
      </c>
      <c r="J108" s="13" t="n">
        <f aca="false">(C108&gt;0)+(D108&gt;0)+(E108&gt;0)</f>
        <v>1</v>
      </c>
      <c r="K108" s="13" t="str">
        <f aca="false">IF(J108=3,"Sim","Não")</f>
        <v>Não</v>
      </c>
      <c r="L108" s="13" t="str">
        <f aca="false">IF(AND(I108&gt;=100,G108&gt;=100),"Sim","Não")</f>
        <v>Não</v>
      </c>
      <c r="M108" s="13" t="str">
        <f aca="false">IF(L108="Sim",SUMPRODUCT(($L$2:L108="Sim")*1),"")</f>
        <v/>
      </c>
    </row>
    <row r="109" customFormat="false" ht="15" hidden="false" customHeight="false" outlineLevel="0" collapsed="false">
      <c r="A109" s="13" t="s">
        <v>2137</v>
      </c>
      <c r="B109" s="13" t="s">
        <v>57</v>
      </c>
      <c r="C109" s="5" t="n">
        <f aca="false">SUMIFS('Dados Brutos'!$C:$C,'Dados Brutos'!$B:$B,A109,'Dados Brutos'!$T:$T,"SIENO")</f>
        <v>15500</v>
      </c>
      <c r="D109" s="5" t="n">
        <f aca="false">SUMIFS('Dados Brutos'!$C:$C,'Dados Brutos'!$B:$B,A109,'Dados Brutos'!$T:$T,"BAGATELLE")</f>
        <v>0</v>
      </c>
      <c r="E109" s="5" t="n">
        <f aca="false">SUMIFS('Dados Brutos'!$C:$C,'Dados Brutos'!$B:$B,A109,'Dados Brutos'!$T:$T,"AUMA")</f>
        <v>0</v>
      </c>
      <c r="F109" s="5" t="n">
        <f aca="false">SUM(C109:E109)</f>
        <v>15500</v>
      </c>
      <c r="G109" s="7" t="n">
        <f aca="false">SUMIF('Dados Brutos'!$B:$B,A109,'Dados Brutos'!$D:$D)</f>
        <v>80</v>
      </c>
      <c r="H109" s="7" t="n">
        <f aca="false">COUNTIF('Dados Brutos'!$B:$B,A109)</f>
        <v>1</v>
      </c>
      <c r="I109" s="16" t="n">
        <f aca="false">IFERROR(F109/G109,0)</f>
        <v>193.75</v>
      </c>
      <c r="J109" s="13" t="n">
        <f aca="false">(C109&gt;0)+(D109&gt;0)+(E109&gt;0)</f>
        <v>1</v>
      </c>
      <c r="K109" s="13" t="str">
        <f aca="false">IF(J109=3,"Sim","Não")</f>
        <v>Não</v>
      </c>
      <c r="L109" s="13" t="str">
        <f aca="false">IF(AND(I109&gt;=100,G109&gt;=100),"Sim","Não")</f>
        <v>Não</v>
      </c>
      <c r="M109" s="13" t="str">
        <f aca="false">IF(L109="Sim",SUMPRODUCT(($L$2:L109="Sim")*1),"")</f>
        <v/>
      </c>
    </row>
    <row r="110" customFormat="false" ht="15" hidden="false" customHeight="false" outlineLevel="0" collapsed="false">
      <c r="A110" s="13" t="s">
        <v>2138</v>
      </c>
      <c r="B110" s="13" t="s">
        <v>43</v>
      </c>
      <c r="C110" s="5" t="n">
        <f aca="false">SUMIFS('Dados Brutos'!$C:$C,'Dados Brutos'!$B:$B,A110,'Dados Brutos'!$T:$T,"SIENO")</f>
        <v>0</v>
      </c>
      <c r="D110" s="5" t="n">
        <f aca="false">SUMIFS('Dados Brutos'!$C:$C,'Dados Brutos'!$B:$B,A110,'Dados Brutos'!$T:$T,"BAGATELLE")</f>
        <v>15440</v>
      </c>
      <c r="E110" s="5" t="n">
        <f aca="false">SUMIFS('Dados Brutos'!$C:$C,'Dados Brutos'!$B:$B,A110,'Dados Brutos'!$T:$T,"AUMA")</f>
        <v>0</v>
      </c>
      <c r="F110" s="5" t="n">
        <f aca="false">SUM(C110:E110)</f>
        <v>15440</v>
      </c>
      <c r="G110" s="7" t="n">
        <f aca="false">SUMIF('Dados Brutos'!$B:$B,A110,'Dados Brutos'!$D:$D)</f>
        <v>24</v>
      </c>
      <c r="H110" s="7" t="n">
        <f aca="false">COUNTIF('Dados Brutos'!$B:$B,A110)</f>
        <v>8</v>
      </c>
      <c r="I110" s="16" t="n">
        <f aca="false">IFERROR(F110/G110,0)</f>
        <v>643.333333333333</v>
      </c>
      <c r="J110" s="13" t="n">
        <f aca="false">(C110&gt;0)+(D110&gt;0)+(E110&gt;0)</f>
        <v>1</v>
      </c>
      <c r="K110" s="13" t="str">
        <f aca="false">IF(J110=3,"Sim","Não")</f>
        <v>Não</v>
      </c>
      <c r="L110" s="13" t="str">
        <f aca="false">IF(AND(I110&gt;=100,G110&gt;=100),"Sim","Não")</f>
        <v>Não</v>
      </c>
      <c r="M110" s="13" t="str">
        <f aca="false">IF(L110="Sim",SUMPRODUCT(($L$2:L110="Sim")*1),"")</f>
        <v/>
      </c>
    </row>
    <row r="111" customFormat="false" ht="15" hidden="false" customHeight="false" outlineLevel="0" collapsed="false">
      <c r="A111" s="13" t="s">
        <v>2139</v>
      </c>
      <c r="B111" s="13" t="s">
        <v>85</v>
      </c>
      <c r="C111" s="5" t="n">
        <f aca="false">SUMIFS('Dados Brutos'!$C:$C,'Dados Brutos'!$B:$B,A111,'Dados Brutos'!$T:$T,"SIENO")</f>
        <v>0</v>
      </c>
      <c r="D111" s="5" t="n">
        <f aca="false">SUMIFS('Dados Brutos'!$C:$C,'Dados Brutos'!$B:$B,A111,'Dados Brutos'!$T:$T,"BAGATELLE")</f>
        <v>2700</v>
      </c>
      <c r="E111" s="5" t="n">
        <f aca="false">SUMIFS('Dados Brutos'!$C:$C,'Dados Brutos'!$B:$B,A111,'Dados Brutos'!$T:$T,"AUMA")</f>
        <v>12390</v>
      </c>
      <c r="F111" s="5" t="n">
        <f aca="false">SUM(C111:E111)</f>
        <v>15090</v>
      </c>
      <c r="G111" s="7" t="n">
        <f aca="false">SUMIF('Dados Brutos'!$B:$B,A111,'Dados Brutos'!$D:$D)</f>
        <v>82</v>
      </c>
      <c r="H111" s="7" t="n">
        <f aca="false">COUNTIF('Dados Brutos'!$B:$B,A111)</f>
        <v>32</v>
      </c>
      <c r="I111" s="16" t="n">
        <f aca="false">IFERROR(F111/G111,0)</f>
        <v>184.024390243902</v>
      </c>
      <c r="J111" s="13" t="n">
        <f aca="false">(C111&gt;0)+(D111&gt;0)+(E111&gt;0)</f>
        <v>2</v>
      </c>
      <c r="K111" s="13" t="str">
        <f aca="false">IF(J111=3,"Sim","Não")</f>
        <v>Não</v>
      </c>
      <c r="L111" s="13" t="str">
        <f aca="false">IF(AND(I111&gt;=100,G111&gt;=100),"Sim","Não")</f>
        <v>Não</v>
      </c>
      <c r="M111" s="13" t="str">
        <f aca="false">IF(L111="Sim",SUMPRODUCT(($L$2:L111="Sim")*1),"")</f>
        <v/>
      </c>
    </row>
    <row r="112" customFormat="false" ht="15" hidden="false" customHeight="false" outlineLevel="0" collapsed="false">
      <c r="A112" s="13" t="s">
        <v>2140</v>
      </c>
      <c r="B112" s="13" t="s">
        <v>43</v>
      </c>
      <c r="C112" s="5" t="n">
        <f aca="false">SUMIFS('Dados Brutos'!$C:$C,'Dados Brutos'!$B:$B,A112,'Dados Brutos'!$T:$T,"SIENO")</f>
        <v>0</v>
      </c>
      <c r="D112" s="5" t="n">
        <f aca="false">SUMIFS('Dados Brutos'!$C:$C,'Dados Brutos'!$B:$B,A112,'Dados Brutos'!$T:$T,"BAGATELLE")</f>
        <v>14850</v>
      </c>
      <c r="E112" s="5" t="n">
        <f aca="false">SUMIFS('Dados Brutos'!$C:$C,'Dados Brutos'!$B:$B,A112,'Dados Brutos'!$T:$T,"AUMA")</f>
        <v>0</v>
      </c>
      <c r="F112" s="5" t="n">
        <f aca="false">SUM(C112:E112)</f>
        <v>14850</v>
      </c>
      <c r="G112" s="7" t="n">
        <f aca="false">SUMIF('Dados Brutos'!$B:$B,A112,'Dados Brutos'!$D:$D)</f>
        <v>56</v>
      </c>
      <c r="H112" s="7" t="n">
        <f aca="false">COUNTIF('Dados Brutos'!$B:$B,A112)</f>
        <v>4</v>
      </c>
      <c r="I112" s="16" t="n">
        <f aca="false">IFERROR(F112/G112,0)</f>
        <v>265.178571428571</v>
      </c>
      <c r="J112" s="13" t="n">
        <f aca="false">(C112&gt;0)+(D112&gt;0)+(E112&gt;0)</f>
        <v>1</v>
      </c>
      <c r="K112" s="13" t="str">
        <f aca="false">IF(J112=3,"Sim","Não")</f>
        <v>Não</v>
      </c>
      <c r="L112" s="13" t="str">
        <f aca="false">IF(AND(I112&gt;=100,G112&gt;=100),"Sim","Não")</f>
        <v>Não</v>
      </c>
      <c r="M112" s="13" t="str">
        <f aca="false">IF(L112="Sim",SUMPRODUCT(($L$2:L112="Sim")*1),"")</f>
        <v/>
      </c>
    </row>
    <row r="113" customFormat="false" ht="15" hidden="false" customHeight="false" outlineLevel="0" collapsed="false">
      <c r="A113" s="13" t="s">
        <v>2141</v>
      </c>
      <c r="B113" s="13" t="s">
        <v>43</v>
      </c>
      <c r="C113" s="5" t="n">
        <f aca="false">SUMIFS('Dados Brutos'!$C:$C,'Dados Brutos'!$B:$B,A113,'Dados Brutos'!$T:$T,"SIENO")</f>
        <v>14760</v>
      </c>
      <c r="D113" s="5" t="n">
        <f aca="false">SUMIFS('Dados Brutos'!$C:$C,'Dados Brutos'!$B:$B,A113,'Dados Brutos'!$T:$T,"BAGATELLE")</f>
        <v>0</v>
      </c>
      <c r="E113" s="5" t="n">
        <f aca="false">SUMIFS('Dados Brutos'!$C:$C,'Dados Brutos'!$B:$B,A113,'Dados Brutos'!$T:$T,"AUMA")</f>
        <v>0</v>
      </c>
      <c r="F113" s="5" t="n">
        <f aca="false">SUM(C113:E113)</f>
        <v>14760</v>
      </c>
      <c r="G113" s="7" t="n">
        <f aca="false">SUMIF('Dados Brutos'!$B:$B,A113,'Dados Brutos'!$D:$D)</f>
        <v>209</v>
      </c>
      <c r="H113" s="7" t="n">
        <f aca="false">COUNTIF('Dados Brutos'!$B:$B,A113)</f>
        <v>8</v>
      </c>
      <c r="I113" s="16" t="n">
        <f aca="false">IFERROR(F113/G113,0)</f>
        <v>70.622009569378</v>
      </c>
      <c r="J113" s="13" t="n">
        <f aca="false">(C113&gt;0)+(D113&gt;0)+(E113&gt;0)</f>
        <v>1</v>
      </c>
      <c r="K113" s="13" t="str">
        <f aca="false">IF(J113=3,"Sim","Não")</f>
        <v>Não</v>
      </c>
      <c r="L113" s="13" t="str">
        <f aca="false">IF(AND(I113&gt;=100,G113&gt;=100),"Sim","Não")</f>
        <v>Não</v>
      </c>
      <c r="M113" s="13" t="str">
        <f aca="false">IF(L113="Sim",SUMPRODUCT(($L$2:L113="Sim")*1),"")</f>
        <v/>
      </c>
    </row>
    <row r="114" customFormat="false" ht="15" hidden="false" customHeight="false" outlineLevel="0" collapsed="false">
      <c r="A114" s="13" t="s">
        <v>2142</v>
      </c>
      <c r="B114" s="13" t="s">
        <v>85</v>
      </c>
      <c r="C114" s="5" t="n">
        <f aca="false">SUMIFS('Dados Brutos'!$C:$C,'Dados Brutos'!$B:$B,A114,'Dados Brutos'!$T:$T,"SIENO")</f>
        <v>14450</v>
      </c>
      <c r="D114" s="5" t="n">
        <f aca="false">SUMIFS('Dados Brutos'!$C:$C,'Dados Brutos'!$B:$B,A114,'Dados Brutos'!$T:$T,"BAGATELLE")</f>
        <v>0</v>
      </c>
      <c r="E114" s="5" t="n">
        <f aca="false">SUMIFS('Dados Brutos'!$C:$C,'Dados Brutos'!$B:$B,A114,'Dados Brutos'!$T:$T,"AUMA")</f>
        <v>0</v>
      </c>
      <c r="F114" s="5" t="n">
        <f aca="false">SUM(C114:E114)</f>
        <v>14450</v>
      </c>
      <c r="G114" s="7" t="n">
        <f aca="false">SUMIF('Dados Brutos'!$B:$B,A114,'Dados Brutos'!$D:$D)</f>
        <v>354</v>
      </c>
      <c r="H114" s="7" t="n">
        <f aca="false">COUNTIF('Dados Brutos'!$B:$B,A114)</f>
        <v>19</v>
      </c>
      <c r="I114" s="16" t="n">
        <f aca="false">IFERROR(F114/G114,0)</f>
        <v>40.819209039548</v>
      </c>
      <c r="J114" s="13" t="n">
        <f aca="false">(C114&gt;0)+(D114&gt;0)+(E114&gt;0)</f>
        <v>1</v>
      </c>
      <c r="K114" s="13" t="str">
        <f aca="false">IF(J114=3,"Sim","Não")</f>
        <v>Não</v>
      </c>
      <c r="L114" s="13" t="str">
        <f aca="false">IF(AND(I114&gt;=100,G114&gt;=100),"Sim","Não")</f>
        <v>Não</v>
      </c>
      <c r="M114" s="13" t="str">
        <f aca="false">IF(L114="Sim",SUMPRODUCT(($L$2:L114="Sim")*1),"")</f>
        <v/>
      </c>
    </row>
    <row r="115" customFormat="false" ht="15" hidden="false" customHeight="false" outlineLevel="0" collapsed="false">
      <c r="A115" s="13" t="s">
        <v>2143</v>
      </c>
      <c r="B115" s="13" t="s">
        <v>43</v>
      </c>
      <c r="C115" s="5" t="n">
        <f aca="false">SUMIFS('Dados Brutos'!$C:$C,'Dados Brutos'!$B:$B,A115,'Dados Brutos'!$T:$T,"SIENO")</f>
        <v>10300</v>
      </c>
      <c r="D115" s="5" t="n">
        <f aca="false">SUMIFS('Dados Brutos'!$C:$C,'Dados Brutos'!$B:$B,A115,'Dados Brutos'!$T:$T,"BAGATELLE")</f>
        <v>4030</v>
      </c>
      <c r="E115" s="5" t="n">
        <f aca="false">SUMIFS('Dados Brutos'!$C:$C,'Dados Brutos'!$B:$B,A115,'Dados Brutos'!$T:$T,"AUMA")</f>
        <v>0</v>
      </c>
      <c r="F115" s="5" t="n">
        <f aca="false">SUM(C115:E115)</f>
        <v>14330</v>
      </c>
      <c r="G115" s="7" t="n">
        <f aca="false">SUMIF('Dados Brutos'!$B:$B,A115,'Dados Brutos'!$D:$D)</f>
        <v>32</v>
      </c>
      <c r="H115" s="7" t="n">
        <f aca="false">COUNTIF('Dados Brutos'!$B:$B,A115)</f>
        <v>8</v>
      </c>
      <c r="I115" s="16" t="n">
        <f aca="false">IFERROR(F115/G115,0)</f>
        <v>447.8125</v>
      </c>
      <c r="J115" s="13" t="n">
        <f aca="false">(C115&gt;0)+(D115&gt;0)+(E115&gt;0)</f>
        <v>2</v>
      </c>
      <c r="K115" s="13" t="str">
        <f aca="false">IF(J115=3,"Sim","Não")</f>
        <v>Não</v>
      </c>
      <c r="L115" s="13" t="str">
        <f aca="false">IF(AND(I115&gt;=100,G115&gt;=100),"Sim","Não")</f>
        <v>Não</v>
      </c>
      <c r="M115" s="13" t="str">
        <f aca="false">IF(L115="Sim",SUMPRODUCT(($L$2:L115="Sim")*1),"")</f>
        <v/>
      </c>
    </row>
    <row r="116" customFormat="false" ht="15" hidden="false" customHeight="false" outlineLevel="0" collapsed="false">
      <c r="A116" s="13" t="s">
        <v>2144</v>
      </c>
      <c r="B116" s="13" t="s">
        <v>85</v>
      </c>
      <c r="C116" s="5" t="n">
        <f aca="false">SUMIFS('Dados Brutos'!$C:$C,'Dados Brutos'!$B:$B,A116,'Dados Brutos'!$T:$T,"SIENO")</f>
        <v>7600</v>
      </c>
      <c r="D116" s="5" t="n">
        <f aca="false">SUMIFS('Dados Brutos'!$C:$C,'Dados Brutos'!$B:$B,A116,'Dados Brutos'!$T:$T,"BAGATELLE")</f>
        <v>6700</v>
      </c>
      <c r="E116" s="5" t="n">
        <f aca="false">SUMIFS('Dados Brutos'!$C:$C,'Dados Brutos'!$B:$B,A116,'Dados Brutos'!$T:$T,"AUMA")</f>
        <v>0</v>
      </c>
      <c r="F116" s="5" t="n">
        <f aca="false">SUM(C116:E116)</f>
        <v>14300</v>
      </c>
      <c r="G116" s="7" t="n">
        <f aca="false">SUMIF('Dados Brutos'!$B:$B,A116,'Dados Brutos'!$D:$D)</f>
        <v>65</v>
      </c>
      <c r="H116" s="7" t="n">
        <f aca="false">COUNTIF('Dados Brutos'!$B:$B,A116)</f>
        <v>3</v>
      </c>
      <c r="I116" s="16" t="n">
        <f aca="false">IFERROR(F116/G116,0)</f>
        <v>220</v>
      </c>
      <c r="J116" s="13" t="n">
        <f aca="false">(C116&gt;0)+(D116&gt;0)+(E116&gt;0)</f>
        <v>2</v>
      </c>
      <c r="K116" s="13" t="str">
        <f aca="false">IF(J116=3,"Sim","Não")</f>
        <v>Não</v>
      </c>
      <c r="L116" s="13" t="str">
        <f aca="false">IF(AND(I116&gt;=100,G116&gt;=100),"Sim","Não")</f>
        <v>Não</v>
      </c>
      <c r="M116" s="13" t="str">
        <f aca="false">IF(L116="Sim",SUMPRODUCT(($L$2:L116="Sim")*1),"")</f>
        <v/>
      </c>
    </row>
    <row r="117" customFormat="false" ht="15" hidden="false" customHeight="false" outlineLevel="0" collapsed="false">
      <c r="A117" s="13" t="s">
        <v>2145</v>
      </c>
      <c r="B117" s="13" t="s">
        <v>43</v>
      </c>
      <c r="C117" s="5" t="n">
        <f aca="false">SUMIFS('Dados Brutos'!$C:$C,'Dados Brutos'!$B:$B,A117,'Dados Brutos'!$T:$T,"SIENO")</f>
        <v>0</v>
      </c>
      <c r="D117" s="5" t="n">
        <f aca="false">SUMIFS('Dados Brutos'!$C:$C,'Dados Brutos'!$B:$B,A117,'Dados Brutos'!$T:$T,"BAGATELLE")</f>
        <v>0</v>
      </c>
      <c r="E117" s="5" t="n">
        <f aca="false">SUMIFS('Dados Brutos'!$C:$C,'Dados Brutos'!$B:$B,A117,'Dados Brutos'!$T:$T,"AUMA")</f>
        <v>14130</v>
      </c>
      <c r="F117" s="5" t="n">
        <f aca="false">SUM(C117:E117)</f>
        <v>14130</v>
      </c>
      <c r="G117" s="7" t="n">
        <f aca="false">SUMIF('Dados Brutos'!$B:$B,A117,'Dados Brutos'!$D:$D)</f>
        <v>29</v>
      </c>
      <c r="H117" s="7" t="n">
        <f aca="false">COUNTIF('Dados Brutos'!$B:$B,A117)</f>
        <v>11</v>
      </c>
      <c r="I117" s="16" t="n">
        <f aca="false">IFERROR(F117/G117,0)</f>
        <v>487.241379310345</v>
      </c>
      <c r="J117" s="13" t="n">
        <f aca="false">(C117&gt;0)+(D117&gt;0)+(E117&gt;0)</f>
        <v>1</v>
      </c>
      <c r="K117" s="13" t="str">
        <f aca="false">IF(J117=3,"Sim","Não")</f>
        <v>Não</v>
      </c>
      <c r="L117" s="13" t="str">
        <f aca="false">IF(AND(I117&gt;=100,G117&gt;=100),"Sim","Não")</f>
        <v>Não</v>
      </c>
      <c r="M117" s="13" t="str">
        <f aca="false">IF(L117="Sim",SUMPRODUCT(($L$2:L117="Sim")*1),"")</f>
        <v/>
      </c>
    </row>
    <row r="118" customFormat="false" ht="15" hidden="false" customHeight="false" outlineLevel="0" collapsed="false">
      <c r="A118" s="13" t="s">
        <v>2146</v>
      </c>
      <c r="B118" s="13" t="s">
        <v>85</v>
      </c>
      <c r="C118" s="5" t="n">
        <f aca="false">SUMIFS('Dados Brutos'!$C:$C,'Dados Brutos'!$B:$B,A118,'Dados Brutos'!$T:$T,"SIENO")</f>
        <v>13970</v>
      </c>
      <c r="D118" s="5" t="n">
        <f aca="false">SUMIFS('Dados Brutos'!$C:$C,'Dados Brutos'!$B:$B,A118,'Dados Brutos'!$T:$T,"BAGATELLE")</f>
        <v>0</v>
      </c>
      <c r="E118" s="5" t="n">
        <f aca="false">SUMIFS('Dados Brutos'!$C:$C,'Dados Brutos'!$B:$B,A118,'Dados Brutos'!$T:$T,"AUMA")</f>
        <v>0</v>
      </c>
      <c r="F118" s="5" t="n">
        <f aca="false">SUM(C118:E118)</f>
        <v>13970</v>
      </c>
      <c r="G118" s="7" t="n">
        <f aca="false">SUMIF('Dados Brutos'!$B:$B,A118,'Dados Brutos'!$D:$D)</f>
        <v>400</v>
      </c>
      <c r="H118" s="7" t="n">
        <f aca="false">COUNTIF('Dados Brutos'!$B:$B,A118)</f>
        <v>8</v>
      </c>
      <c r="I118" s="16" t="n">
        <f aca="false">IFERROR(F118/G118,0)</f>
        <v>34.925</v>
      </c>
      <c r="J118" s="13" t="n">
        <f aca="false">(C118&gt;0)+(D118&gt;0)+(E118&gt;0)</f>
        <v>1</v>
      </c>
      <c r="K118" s="13" t="str">
        <f aca="false">IF(J118=3,"Sim","Não")</f>
        <v>Não</v>
      </c>
      <c r="L118" s="13" t="str">
        <f aca="false">IF(AND(I118&gt;=100,G118&gt;=100),"Sim","Não")</f>
        <v>Não</v>
      </c>
      <c r="M118" s="13" t="str">
        <f aca="false">IF(L118="Sim",SUMPRODUCT(($L$2:L118="Sim")*1),"")</f>
        <v/>
      </c>
    </row>
    <row r="119" customFormat="false" ht="15" hidden="false" customHeight="false" outlineLevel="0" collapsed="false">
      <c r="A119" s="13" t="s">
        <v>2147</v>
      </c>
      <c r="B119" s="13" t="s">
        <v>98</v>
      </c>
      <c r="C119" s="5" t="n">
        <f aca="false">SUMIFS('Dados Brutos'!$C:$C,'Dados Brutos'!$B:$B,A119,'Dados Brutos'!$T:$T,"SIENO")</f>
        <v>13400</v>
      </c>
      <c r="D119" s="5" t="n">
        <f aca="false">SUMIFS('Dados Brutos'!$C:$C,'Dados Brutos'!$B:$B,A119,'Dados Brutos'!$T:$T,"BAGATELLE")</f>
        <v>0</v>
      </c>
      <c r="E119" s="5" t="n">
        <f aca="false">SUMIFS('Dados Brutos'!$C:$C,'Dados Brutos'!$B:$B,A119,'Dados Brutos'!$T:$T,"AUMA")</f>
        <v>0</v>
      </c>
      <c r="F119" s="5" t="n">
        <f aca="false">SUM(C119:E119)</f>
        <v>13400</v>
      </c>
      <c r="G119" s="7" t="n">
        <f aca="false">SUMIF('Dados Brutos'!$B:$B,A119,'Dados Brutos'!$D:$D)</f>
        <v>60</v>
      </c>
      <c r="H119" s="7" t="n">
        <f aca="false">COUNTIF('Dados Brutos'!$B:$B,A119)</f>
        <v>1</v>
      </c>
      <c r="I119" s="16" t="n">
        <f aca="false">IFERROR(F119/G119,0)</f>
        <v>223.333333333333</v>
      </c>
      <c r="J119" s="13" t="n">
        <f aca="false">(C119&gt;0)+(D119&gt;0)+(E119&gt;0)</f>
        <v>1</v>
      </c>
      <c r="K119" s="13" t="str">
        <f aca="false">IF(J119=3,"Sim","Não")</f>
        <v>Não</v>
      </c>
      <c r="L119" s="13" t="str">
        <f aca="false">IF(AND(I119&gt;=100,G119&gt;=100),"Sim","Não")</f>
        <v>Não</v>
      </c>
      <c r="M119" s="13" t="str">
        <f aca="false">IF(L119="Sim",SUMPRODUCT(($L$2:L119="Sim")*1),"")</f>
        <v/>
      </c>
    </row>
    <row r="120" customFormat="false" ht="15" hidden="false" customHeight="false" outlineLevel="0" collapsed="false">
      <c r="A120" s="13" t="s">
        <v>2148</v>
      </c>
      <c r="B120" s="13" t="s">
        <v>43</v>
      </c>
      <c r="C120" s="5" t="n">
        <f aca="false">SUMIFS('Dados Brutos'!$C:$C,'Dados Brutos'!$B:$B,A120,'Dados Brutos'!$T:$T,"SIENO")</f>
        <v>13370</v>
      </c>
      <c r="D120" s="5" t="n">
        <f aca="false">SUMIFS('Dados Brutos'!$C:$C,'Dados Brutos'!$B:$B,A120,'Dados Brutos'!$T:$T,"BAGATELLE")</f>
        <v>0</v>
      </c>
      <c r="E120" s="5" t="n">
        <f aca="false">SUMIFS('Dados Brutos'!$C:$C,'Dados Brutos'!$B:$B,A120,'Dados Brutos'!$T:$T,"AUMA")</f>
        <v>0</v>
      </c>
      <c r="F120" s="5" t="n">
        <f aca="false">SUM(C120:E120)</f>
        <v>13370</v>
      </c>
      <c r="G120" s="7" t="n">
        <f aca="false">SUMIF('Dados Brutos'!$B:$B,A120,'Dados Brutos'!$D:$D)</f>
        <v>51</v>
      </c>
      <c r="H120" s="7" t="n">
        <f aca="false">COUNTIF('Dados Brutos'!$B:$B,A120)</f>
        <v>2</v>
      </c>
      <c r="I120" s="16" t="n">
        <f aca="false">IFERROR(F120/G120,0)</f>
        <v>262.156862745098</v>
      </c>
      <c r="J120" s="13" t="n">
        <f aca="false">(C120&gt;0)+(D120&gt;0)+(E120&gt;0)</f>
        <v>1</v>
      </c>
      <c r="K120" s="13" t="str">
        <f aca="false">IF(J120=3,"Sim","Não")</f>
        <v>Não</v>
      </c>
      <c r="L120" s="13" t="str">
        <f aca="false">IF(AND(I120&gt;=100,G120&gt;=100),"Sim","Não")</f>
        <v>Não</v>
      </c>
      <c r="M120" s="13" t="str">
        <f aca="false">IF(L120="Sim",SUMPRODUCT(($L$2:L120="Sim")*1),"")</f>
        <v/>
      </c>
    </row>
    <row r="121" customFormat="false" ht="15" hidden="false" customHeight="false" outlineLevel="0" collapsed="false">
      <c r="A121" s="13" t="s">
        <v>2149</v>
      </c>
      <c r="B121" s="13" t="s">
        <v>98</v>
      </c>
      <c r="C121" s="5" t="n">
        <f aca="false">SUMIFS('Dados Brutos'!$C:$C,'Dados Brutos'!$B:$B,A121,'Dados Brutos'!$T:$T,"SIENO")</f>
        <v>13300</v>
      </c>
      <c r="D121" s="5" t="n">
        <f aca="false">SUMIFS('Dados Brutos'!$C:$C,'Dados Brutos'!$B:$B,A121,'Dados Brutos'!$T:$T,"BAGATELLE")</f>
        <v>0</v>
      </c>
      <c r="E121" s="5" t="n">
        <f aca="false">SUMIFS('Dados Brutos'!$C:$C,'Dados Brutos'!$B:$B,A121,'Dados Brutos'!$T:$T,"AUMA")</f>
        <v>0</v>
      </c>
      <c r="F121" s="5" t="n">
        <f aca="false">SUM(C121:E121)</f>
        <v>13300</v>
      </c>
      <c r="G121" s="7" t="n">
        <f aca="false">SUMIF('Dados Brutos'!$B:$B,A121,'Dados Brutos'!$D:$D)</f>
        <v>52</v>
      </c>
      <c r="H121" s="7" t="n">
        <f aca="false">COUNTIF('Dados Brutos'!$B:$B,A121)</f>
        <v>2</v>
      </c>
      <c r="I121" s="16" t="n">
        <f aca="false">IFERROR(F121/G121,0)</f>
        <v>255.769230769231</v>
      </c>
      <c r="J121" s="13" t="n">
        <f aca="false">(C121&gt;0)+(D121&gt;0)+(E121&gt;0)</f>
        <v>1</v>
      </c>
      <c r="K121" s="13" t="str">
        <f aca="false">IF(J121=3,"Sim","Não")</f>
        <v>Não</v>
      </c>
      <c r="L121" s="13" t="str">
        <f aca="false">IF(AND(I121&gt;=100,G121&gt;=100),"Sim","Não")</f>
        <v>Não</v>
      </c>
      <c r="M121" s="13" t="str">
        <f aca="false">IF(L121="Sim",SUMPRODUCT(($L$2:L121="Sim")*1),"")</f>
        <v/>
      </c>
    </row>
    <row r="122" customFormat="false" ht="15" hidden="false" customHeight="false" outlineLevel="0" collapsed="false">
      <c r="A122" s="13" t="s">
        <v>2150</v>
      </c>
      <c r="B122" s="13" t="s">
        <v>43</v>
      </c>
      <c r="C122" s="5" t="n">
        <f aca="false">SUMIFS('Dados Brutos'!$C:$C,'Dados Brutos'!$B:$B,A122,'Dados Brutos'!$T:$T,"SIENO")</f>
        <v>0</v>
      </c>
      <c r="D122" s="5" t="n">
        <f aca="false">SUMIFS('Dados Brutos'!$C:$C,'Dados Brutos'!$B:$B,A122,'Dados Brutos'!$T:$T,"BAGATELLE")</f>
        <v>190</v>
      </c>
      <c r="E122" s="5" t="n">
        <f aca="false">SUMIFS('Dados Brutos'!$C:$C,'Dados Brutos'!$B:$B,A122,'Dados Brutos'!$T:$T,"AUMA")</f>
        <v>12770</v>
      </c>
      <c r="F122" s="5" t="n">
        <f aca="false">SUM(C122:E122)</f>
        <v>12960</v>
      </c>
      <c r="G122" s="7" t="n">
        <f aca="false">SUMIF('Dados Brutos'!$B:$B,A122,'Dados Brutos'!$D:$D)</f>
        <v>81</v>
      </c>
      <c r="H122" s="7" t="n">
        <f aca="false">COUNTIF('Dados Brutos'!$B:$B,A122)</f>
        <v>27</v>
      </c>
      <c r="I122" s="16" t="n">
        <f aca="false">IFERROR(F122/G122,0)</f>
        <v>160</v>
      </c>
      <c r="J122" s="13" t="n">
        <f aca="false">(C122&gt;0)+(D122&gt;0)+(E122&gt;0)</f>
        <v>2</v>
      </c>
      <c r="K122" s="13" t="str">
        <f aca="false">IF(J122=3,"Sim","Não")</f>
        <v>Não</v>
      </c>
      <c r="L122" s="13" t="str">
        <f aca="false">IF(AND(I122&gt;=100,G122&gt;=100),"Sim","Não")</f>
        <v>Não</v>
      </c>
      <c r="M122" s="13" t="str">
        <f aca="false">IF(L122="Sim",SUMPRODUCT(($L$2:L122="Sim")*1),"")</f>
        <v/>
      </c>
    </row>
    <row r="123" customFormat="false" ht="15" hidden="false" customHeight="false" outlineLevel="0" collapsed="false">
      <c r="A123" s="13" t="s">
        <v>2151</v>
      </c>
      <c r="B123" s="13" t="s">
        <v>183</v>
      </c>
      <c r="C123" s="5" t="n">
        <f aca="false">SUMIFS('Dados Brutos'!$C:$C,'Dados Brutos'!$B:$B,A123,'Dados Brutos'!$T:$T,"SIENO")</f>
        <v>12550</v>
      </c>
      <c r="D123" s="5" t="n">
        <f aca="false">SUMIFS('Dados Brutos'!$C:$C,'Dados Brutos'!$B:$B,A123,'Dados Brutos'!$T:$T,"BAGATELLE")</f>
        <v>0</v>
      </c>
      <c r="E123" s="5" t="n">
        <f aca="false">SUMIFS('Dados Brutos'!$C:$C,'Dados Brutos'!$B:$B,A123,'Dados Brutos'!$T:$T,"AUMA")</f>
        <v>0</v>
      </c>
      <c r="F123" s="5" t="n">
        <f aca="false">SUM(C123:E123)</f>
        <v>12550</v>
      </c>
      <c r="G123" s="7" t="n">
        <f aca="false">SUMIF('Dados Brutos'!$B:$B,A123,'Dados Brutos'!$D:$D)</f>
        <v>127</v>
      </c>
      <c r="H123" s="7" t="n">
        <f aca="false">COUNTIF('Dados Brutos'!$B:$B,A123)</f>
        <v>3</v>
      </c>
      <c r="I123" s="16" t="n">
        <f aca="false">IFERROR(F123/G123,0)</f>
        <v>98.8188976377953</v>
      </c>
      <c r="J123" s="13" t="n">
        <f aca="false">(C123&gt;0)+(D123&gt;0)+(E123&gt;0)</f>
        <v>1</v>
      </c>
      <c r="K123" s="13" t="str">
        <f aca="false">IF(J123=3,"Sim","Não")</f>
        <v>Não</v>
      </c>
      <c r="L123" s="13" t="str">
        <f aca="false">IF(AND(I123&gt;=100,G123&gt;=100),"Sim","Não")</f>
        <v>Não</v>
      </c>
      <c r="M123" s="13" t="str">
        <f aca="false">IF(L123="Sim",SUMPRODUCT(($L$2:L123="Sim")*1),"")</f>
        <v/>
      </c>
    </row>
    <row r="124" customFormat="false" ht="15" hidden="false" customHeight="false" outlineLevel="0" collapsed="false">
      <c r="A124" s="13" t="s">
        <v>2152</v>
      </c>
      <c r="B124" s="13" t="s">
        <v>43</v>
      </c>
      <c r="C124" s="5" t="n">
        <f aca="false">SUMIFS('Dados Brutos'!$C:$C,'Dados Brutos'!$B:$B,A124,'Dados Brutos'!$T:$T,"SIENO")</f>
        <v>12150</v>
      </c>
      <c r="D124" s="5" t="n">
        <f aca="false">SUMIFS('Dados Brutos'!$C:$C,'Dados Brutos'!$B:$B,A124,'Dados Brutos'!$T:$T,"BAGATELLE")</f>
        <v>0</v>
      </c>
      <c r="E124" s="5" t="n">
        <f aca="false">SUMIFS('Dados Brutos'!$C:$C,'Dados Brutos'!$B:$B,A124,'Dados Brutos'!$T:$T,"AUMA")</f>
        <v>0</v>
      </c>
      <c r="F124" s="5" t="n">
        <f aca="false">SUM(C124:E124)</f>
        <v>12150</v>
      </c>
      <c r="G124" s="7" t="n">
        <f aca="false">SUMIF('Dados Brutos'!$B:$B,A124,'Dados Brutos'!$D:$D)</f>
        <v>57</v>
      </c>
      <c r="H124" s="7" t="n">
        <f aca="false">COUNTIF('Dados Brutos'!$B:$B,A124)</f>
        <v>7</v>
      </c>
      <c r="I124" s="16" t="n">
        <f aca="false">IFERROR(F124/G124,0)</f>
        <v>213.157894736842</v>
      </c>
      <c r="J124" s="13" t="n">
        <f aca="false">(C124&gt;0)+(D124&gt;0)+(E124&gt;0)</f>
        <v>1</v>
      </c>
      <c r="K124" s="13" t="str">
        <f aca="false">IF(J124=3,"Sim","Não")</f>
        <v>Não</v>
      </c>
      <c r="L124" s="13" t="str">
        <f aca="false">IF(AND(I124&gt;=100,G124&gt;=100),"Sim","Não")</f>
        <v>Não</v>
      </c>
      <c r="M124" s="13" t="str">
        <f aca="false">IF(L124="Sim",SUMPRODUCT(($L$2:L124="Sim")*1),"")</f>
        <v/>
      </c>
    </row>
    <row r="125" customFormat="false" ht="15" hidden="false" customHeight="false" outlineLevel="0" collapsed="false">
      <c r="A125" s="13" t="s">
        <v>2153</v>
      </c>
      <c r="B125" s="13" t="s">
        <v>183</v>
      </c>
      <c r="C125" s="5" t="n">
        <f aca="false">SUMIFS('Dados Brutos'!$C:$C,'Dados Brutos'!$B:$B,A125,'Dados Brutos'!$T:$T,"SIENO")</f>
        <v>11610</v>
      </c>
      <c r="D125" s="5" t="n">
        <f aca="false">SUMIFS('Dados Brutos'!$C:$C,'Dados Brutos'!$B:$B,A125,'Dados Brutos'!$T:$T,"BAGATELLE")</f>
        <v>0</v>
      </c>
      <c r="E125" s="5" t="n">
        <f aca="false">SUMIFS('Dados Brutos'!$C:$C,'Dados Brutos'!$B:$B,A125,'Dados Brutos'!$T:$T,"AUMA")</f>
        <v>0</v>
      </c>
      <c r="F125" s="5" t="n">
        <f aca="false">SUM(C125:E125)</f>
        <v>11610</v>
      </c>
      <c r="G125" s="7" t="n">
        <f aca="false">SUMIF('Dados Brutos'!$B:$B,A125,'Dados Brutos'!$D:$D)</f>
        <v>92</v>
      </c>
      <c r="H125" s="7" t="n">
        <f aca="false">COUNTIF('Dados Brutos'!$B:$B,A125)</f>
        <v>3</v>
      </c>
      <c r="I125" s="16" t="n">
        <f aca="false">IFERROR(F125/G125,0)</f>
        <v>126.195652173913</v>
      </c>
      <c r="J125" s="13" t="n">
        <f aca="false">(C125&gt;0)+(D125&gt;0)+(E125&gt;0)</f>
        <v>1</v>
      </c>
      <c r="K125" s="13" t="str">
        <f aca="false">IF(J125=3,"Sim","Não")</f>
        <v>Não</v>
      </c>
      <c r="L125" s="13" t="str">
        <f aca="false">IF(AND(I125&gt;=100,G125&gt;=100),"Sim","Não")</f>
        <v>Não</v>
      </c>
      <c r="M125" s="13" t="str">
        <f aca="false">IF(L125="Sim",SUMPRODUCT(($L$2:L125="Sim")*1),"")</f>
        <v/>
      </c>
    </row>
    <row r="126" customFormat="false" ht="15" hidden="false" customHeight="false" outlineLevel="0" collapsed="false">
      <c r="A126" s="13" t="s">
        <v>2154</v>
      </c>
      <c r="B126" s="13" t="s">
        <v>43</v>
      </c>
      <c r="C126" s="5" t="n">
        <f aca="false">SUMIFS('Dados Brutos'!$C:$C,'Dados Brutos'!$B:$B,A126,'Dados Brutos'!$T:$T,"SIENO")</f>
        <v>3500</v>
      </c>
      <c r="D126" s="5" t="n">
        <f aca="false">SUMIFS('Dados Brutos'!$C:$C,'Dados Brutos'!$B:$B,A126,'Dados Brutos'!$T:$T,"BAGATELLE")</f>
        <v>0</v>
      </c>
      <c r="E126" s="5" t="n">
        <f aca="false">SUMIFS('Dados Brutos'!$C:$C,'Dados Brutos'!$B:$B,A126,'Dados Brutos'!$T:$T,"AUMA")</f>
        <v>7980</v>
      </c>
      <c r="F126" s="5" t="n">
        <f aca="false">SUM(C126:E126)</f>
        <v>11480</v>
      </c>
      <c r="G126" s="7" t="n">
        <f aca="false">SUMIF('Dados Brutos'!$B:$B,A126,'Dados Brutos'!$D:$D)</f>
        <v>39</v>
      </c>
      <c r="H126" s="7" t="n">
        <f aca="false">COUNTIF('Dados Brutos'!$B:$B,A126)</f>
        <v>6</v>
      </c>
      <c r="I126" s="16" t="n">
        <f aca="false">IFERROR(F126/G126,0)</f>
        <v>294.358974358974</v>
      </c>
      <c r="J126" s="13" t="n">
        <f aca="false">(C126&gt;0)+(D126&gt;0)+(E126&gt;0)</f>
        <v>2</v>
      </c>
      <c r="K126" s="13" t="str">
        <f aca="false">IF(J126=3,"Sim","Não")</f>
        <v>Não</v>
      </c>
      <c r="L126" s="13" t="str">
        <f aca="false">IF(AND(I126&gt;=100,G126&gt;=100),"Sim","Não")</f>
        <v>Não</v>
      </c>
      <c r="M126" s="13" t="str">
        <f aca="false">IF(L126="Sim",SUMPRODUCT(($L$2:L126="Sim")*1),"")</f>
        <v/>
      </c>
    </row>
    <row r="127" customFormat="false" ht="15" hidden="false" customHeight="false" outlineLevel="0" collapsed="false">
      <c r="A127" s="13" t="s">
        <v>2155</v>
      </c>
      <c r="B127" s="13" t="s">
        <v>85</v>
      </c>
      <c r="C127" s="5" t="n">
        <f aca="false">SUMIFS('Dados Brutos'!$C:$C,'Dados Brutos'!$B:$B,A127,'Dados Brutos'!$T:$T,"SIENO")</f>
        <v>0</v>
      </c>
      <c r="D127" s="5" t="n">
        <f aca="false">SUMIFS('Dados Brutos'!$C:$C,'Dados Brutos'!$B:$B,A127,'Dados Brutos'!$T:$T,"BAGATELLE")</f>
        <v>0</v>
      </c>
      <c r="E127" s="5" t="n">
        <f aca="false">SUMIFS('Dados Brutos'!$C:$C,'Dados Brutos'!$B:$B,A127,'Dados Brutos'!$T:$T,"AUMA")</f>
        <v>11450</v>
      </c>
      <c r="F127" s="5" t="n">
        <f aca="false">SUM(C127:E127)</f>
        <v>11450</v>
      </c>
      <c r="G127" s="7" t="n">
        <f aca="false">SUMIF('Dados Brutos'!$B:$B,A127,'Dados Brutos'!$D:$D)</f>
        <v>72</v>
      </c>
      <c r="H127" s="7" t="n">
        <f aca="false">COUNTIF('Dados Brutos'!$B:$B,A127)</f>
        <v>23</v>
      </c>
      <c r="I127" s="16" t="n">
        <f aca="false">IFERROR(F127/G127,0)</f>
        <v>159.027777777778</v>
      </c>
      <c r="J127" s="13" t="n">
        <f aca="false">(C127&gt;0)+(D127&gt;0)+(E127&gt;0)</f>
        <v>1</v>
      </c>
      <c r="K127" s="13" t="str">
        <f aca="false">IF(J127=3,"Sim","Não")</f>
        <v>Não</v>
      </c>
      <c r="L127" s="13" t="str">
        <f aca="false">IF(AND(I127&gt;=100,G127&gt;=100),"Sim","Não")</f>
        <v>Não</v>
      </c>
      <c r="M127" s="13" t="str">
        <f aca="false">IF(L127="Sim",SUMPRODUCT(($L$2:L127="Sim")*1),"")</f>
        <v/>
      </c>
    </row>
    <row r="128" customFormat="false" ht="15" hidden="false" customHeight="false" outlineLevel="0" collapsed="false">
      <c r="A128" s="13" t="s">
        <v>2156</v>
      </c>
      <c r="B128" s="13" t="s">
        <v>43</v>
      </c>
      <c r="C128" s="5" t="n">
        <f aca="false">SUMIFS('Dados Brutos'!$C:$C,'Dados Brutos'!$B:$B,A128,'Dados Brutos'!$T:$T,"SIENO")</f>
        <v>11000</v>
      </c>
      <c r="D128" s="5" t="n">
        <f aca="false">SUMIFS('Dados Brutos'!$C:$C,'Dados Brutos'!$B:$B,A128,'Dados Brutos'!$T:$T,"BAGATELLE")</f>
        <v>0</v>
      </c>
      <c r="E128" s="5" t="n">
        <f aca="false">SUMIFS('Dados Brutos'!$C:$C,'Dados Brutos'!$B:$B,A128,'Dados Brutos'!$T:$T,"AUMA")</f>
        <v>0</v>
      </c>
      <c r="F128" s="5" t="n">
        <f aca="false">SUM(C128:E128)</f>
        <v>11000</v>
      </c>
      <c r="G128" s="7" t="n">
        <f aca="false">SUMIF('Dados Brutos'!$B:$B,A128,'Dados Brutos'!$D:$D)</f>
        <v>30</v>
      </c>
      <c r="H128" s="7" t="n">
        <f aca="false">COUNTIF('Dados Brutos'!$B:$B,A128)</f>
        <v>3</v>
      </c>
      <c r="I128" s="16" t="n">
        <f aca="false">IFERROR(F128/G128,0)</f>
        <v>366.666666666667</v>
      </c>
      <c r="J128" s="13" t="n">
        <f aca="false">(C128&gt;0)+(D128&gt;0)+(E128&gt;0)</f>
        <v>1</v>
      </c>
      <c r="K128" s="13" t="str">
        <f aca="false">IF(J128=3,"Sim","Não")</f>
        <v>Não</v>
      </c>
      <c r="L128" s="13" t="str">
        <f aca="false">IF(AND(I128&gt;=100,G128&gt;=100),"Sim","Não")</f>
        <v>Não</v>
      </c>
      <c r="M128" s="13" t="str">
        <f aca="false">IF(L128="Sim",SUMPRODUCT(($L$2:L128="Sim")*1),"")</f>
        <v/>
      </c>
    </row>
    <row r="129" customFormat="false" ht="15" hidden="false" customHeight="false" outlineLevel="0" collapsed="false">
      <c r="A129" s="13" t="s">
        <v>2157</v>
      </c>
      <c r="B129" s="13" t="s">
        <v>43</v>
      </c>
      <c r="C129" s="5" t="n">
        <f aca="false">SUMIFS('Dados Brutos'!$C:$C,'Dados Brutos'!$B:$B,A129,'Dados Brutos'!$T:$T,"SIENO")</f>
        <v>10400</v>
      </c>
      <c r="D129" s="5" t="n">
        <f aca="false">SUMIFS('Dados Brutos'!$C:$C,'Dados Brutos'!$B:$B,A129,'Dados Brutos'!$T:$T,"BAGATELLE")</f>
        <v>0</v>
      </c>
      <c r="E129" s="5" t="n">
        <f aca="false">SUMIFS('Dados Brutos'!$C:$C,'Dados Brutos'!$B:$B,A129,'Dados Brutos'!$T:$T,"AUMA")</f>
        <v>0</v>
      </c>
      <c r="F129" s="5" t="n">
        <f aca="false">SUM(C129:E129)</f>
        <v>10400</v>
      </c>
      <c r="G129" s="7" t="n">
        <f aca="false">SUMIF('Dados Brutos'!$B:$B,A129,'Dados Brutos'!$D:$D)</f>
        <v>32</v>
      </c>
      <c r="H129" s="7" t="n">
        <f aca="false">COUNTIF('Dados Brutos'!$B:$B,A129)</f>
        <v>3</v>
      </c>
      <c r="I129" s="16" t="n">
        <f aca="false">IFERROR(F129/G129,0)</f>
        <v>325</v>
      </c>
      <c r="J129" s="13" t="n">
        <f aca="false">(C129&gt;0)+(D129&gt;0)+(E129&gt;0)</f>
        <v>1</v>
      </c>
      <c r="K129" s="13" t="str">
        <f aca="false">IF(J129=3,"Sim","Não")</f>
        <v>Não</v>
      </c>
      <c r="L129" s="13" t="str">
        <f aca="false">IF(AND(I129&gt;=100,G129&gt;=100),"Sim","Não")</f>
        <v>Não</v>
      </c>
      <c r="M129" s="13" t="str">
        <f aca="false">IF(L129="Sim",SUMPRODUCT(($L$2:L129="Sim")*1),"")</f>
        <v/>
      </c>
    </row>
    <row r="130" customFormat="false" ht="15" hidden="false" customHeight="false" outlineLevel="0" collapsed="false">
      <c r="A130" s="13" t="s">
        <v>2158</v>
      </c>
      <c r="B130" s="13" t="s">
        <v>43</v>
      </c>
      <c r="C130" s="5" t="n">
        <f aca="false">SUMIFS('Dados Brutos'!$C:$C,'Dados Brutos'!$B:$B,A130,'Dados Brutos'!$T:$T,"SIENO")</f>
        <v>10000</v>
      </c>
      <c r="D130" s="5" t="n">
        <f aca="false">SUMIFS('Dados Brutos'!$C:$C,'Dados Brutos'!$B:$B,A130,'Dados Brutos'!$T:$T,"BAGATELLE")</f>
        <v>0</v>
      </c>
      <c r="E130" s="5" t="n">
        <f aca="false">SUMIFS('Dados Brutos'!$C:$C,'Dados Brutos'!$B:$B,A130,'Dados Brutos'!$T:$T,"AUMA")</f>
        <v>0</v>
      </c>
      <c r="F130" s="5" t="n">
        <f aca="false">SUM(C130:E130)</f>
        <v>10000</v>
      </c>
      <c r="G130" s="7" t="n">
        <f aca="false">SUMIF('Dados Brutos'!$B:$B,A130,'Dados Brutos'!$D:$D)</f>
        <v>150</v>
      </c>
      <c r="H130" s="7" t="n">
        <f aca="false">COUNTIF('Dados Brutos'!$B:$B,A130)</f>
        <v>1</v>
      </c>
      <c r="I130" s="16" t="n">
        <f aca="false">IFERROR(F130/G130,0)</f>
        <v>66.6666666666667</v>
      </c>
      <c r="J130" s="13" t="n">
        <f aca="false">(C130&gt;0)+(D130&gt;0)+(E130&gt;0)</f>
        <v>1</v>
      </c>
      <c r="K130" s="13" t="str">
        <f aca="false">IF(J130=3,"Sim","Não")</f>
        <v>Não</v>
      </c>
      <c r="L130" s="13" t="str">
        <f aca="false">IF(AND(I130&gt;=100,G130&gt;=100),"Sim","Não")</f>
        <v>Não</v>
      </c>
      <c r="M130" s="13" t="str">
        <f aca="false">IF(L130="Sim",SUMPRODUCT(($L$2:L130="Sim")*1),"")</f>
        <v/>
      </c>
    </row>
    <row r="131" customFormat="false" ht="15" hidden="false" customHeight="false" outlineLevel="0" collapsed="false">
      <c r="A131" s="13" t="s">
        <v>2159</v>
      </c>
      <c r="B131" s="13" t="s">
        <v>43</v>
      </c>
      <c r="C131" s="5" t="n">
        <f aca="false">SUMIFS('Dados Brutos'!$C:$C,'Dados Brutos'!$B:$B,A131,'Dados Brutos'!$T:$T,"SIENO")</f>
        <v>9500</v>
      </c>
      <c r="D131" s="5" t="n">
        <f aca="false">SUMIFS('Dados Brutos'!$C:$C,'Dados Brutos'!$B:$B,A131,'Dados Brutos'!$T:$T,"BAGATELLE")</f>
        <v>0</v>
      </c>
      <c r="E131" s="5" t="n">
        <f aca="false">SUMIFS('Dados Brutos'!$C:$C,'Dados Brutos'!$B:$B,A131,'Dados Brutos'!$T:$T,"AUMA")</f>
        <v>0</v>
      </c>
      <c r="F131" s="5" t="n">
        <f aca="false">SUM(C131:E131)</f>
        <v>9500</v>
      </c>
      <c r="G131" s="7" t="n">
        <f aca="false">SUMIF('Dados Brutos'!$B:$B,A131,'Dados Brutos'!$D:$D)</f>
        <v>90</v>
      </c>
      <c r="H131" s="7" t="n">
        <f aca="false">COUNTIF('Dados Brutos'!$B:$B,A131)</f>
        <v>3</v>
      </c>
      <c r="I131" s="16" t="n">
        <f aca="false">IFERROR(F131/G131,0)</f>
        <v>105.555555555556</v>
      </c>
      <c r="J131" s="13" t="n">
        <f aca="false">(C131&gt;0)+(D131&gt;0)+(E131&gt;0)</f>
        <v>1</v>
      </c>
      <c r="K131" s="13" t="str">
        <f aca="false">IF(J131=3,"Sim","Não")</f>
        <v>Não</v>
      </c>
      <c r="L131" s="13" t="str">
        <f aca="false">IF(AND(I131&gt;=100,G131&gt;=100),"Sim","Não")</f>
        <v>Não</v>
      </c>
      <c r="M131" s="13" t="str">
        <f aca="false">IF(L131="Sim",SUMPRODUCT(($L$2:L131="Sim")*1),"")</f>
        <v/>
      </c>
    </row>
    <row r="132" customFormat="false" ht="15" hidden="false" customHeight="false" outlineLevel="0" collapsed="false">
      <c r="A132" s="13" t="s">
        <v>2160</v>
      </c>
      <c r="B132" s="13" t="s">
        <v>183</v>
      </c>
      <c r="C132" s="5" t="n">
        <f aca="false">SUMIFS('Dados Brutos'!$C:$C,'Dados Brutos'!$B:$B,A132,'Dados Brutos'!$T:$T,"SIENO")</f>
        <v>9400</v>
      </c>
      <c r="D132" s="5" t="n">
        <f aca="false">SUMIFS('Dados Brutos'!$C:$C,'Dados Brutos'!$B:$B,A132,'Dados Brutos'!$T:$T,"BAGATELLE")</f>
        <v>0</v>
      </c>
      <c r="E132" s="5" t="n">
        <f aca="false">SUMIFS('Dados Brutos'!$C:$C,'Dados Brutos'!$B:$B,A132,'Dados Brutos'!$T:$T,"AUMA")</f>
        <v>0</v>
      </c>
      <c r="F132" s="5" t="n">
        <f aca="false">SUM(C132:E132)</f>
        <v>9400</v>
      </c>
      <c r="G132" s="7" t="n">
        <f aca="false">SUMIF('Dados Brutos'!$B:$B,A132,'Dados Brutos'!$D:$D)</f>
        <v>200</v>
      </c>
      <c r="H132" s="7" t="n">
        <f aca="false">COUNTIF('Dados Brutos'!$B:$B,A132)</f>
        <v>2</v>
      </c>
      <c r="I132" s="16" t="n">
        <f aca="false">IFERROR(F132/G132,0)</f>
        <v>47</v>
      </c>
      <c r="J132" s="13" t="n">
        <f aca="false">(C132&gt;0)+(D132&gt;0)+(E132&gt;0)</f>
        <v>1</v>
      </c>
      <c r="K132" s="13" t="str">
        <f aca="false">IF(J132=3,"Sim","Não")</f>
        <v>Não</v>
      </c>
      <c r="L132" s="13" t="str">
        <f aca="false">IF(AND(I132&gt;=100,G132&gt;=100),"Sim","Não")</f>
        <v>Não</v>
      </c>
      <c r="M132" s="13" t="str">
        <f aca="false">IF(L132="Sim",SUMPRODUCT(($L$2:L132="Sim")*1),"")</f>
        <v/>
      </c>
    </row>
    <row r="133" customFormat="false" ht="15" hidden="false" customHeight="false" outlineLevel="0" collapsed="false">
      <c r="A133" s="13" t="s">
        <v>2161</v>
      </c>
      <c r="B133" s="13" t="s">
        <v>98</v>
      </c>
      <c r="C133" s="5" t="n">
        <f aca="false">SUMIFS('Dados Brutos'!$C:$C,'Dados Brutos'!$B:$B,A133,'Dados Brutos'!$T:$T,"SIENO")</f>
        <v>8700</v>
      </c>
      <c r="D133" s="5" t="n">
        <f aca="false">SUMIFS('Dados Brutos'!$C:$C,'Dados Brutos'!$B:$B,A133,'Dados Brutos'!$T:$T,"BAGATELLE")</f>
        <v>0</v>
      </c>
      <c r="E133" s="5" t="n">
        <f aca="false">SUMIFS('Dados Brutos'!$C:$C,'Dados Brutos'!$B:$B,A133,'Dados Brutos'!$T:$T,"AUMA")</f>
        <v>0</v>
      </c>
      <c r="F133" s="5" t="n">
        <f aca="false">SUM(C133:E133)</f>
        <v>8700</v>
      </c>
      <c r="G133" s="7" t="n">
        <f aca="false">SUMIF('Dados Brutos'!$B:$B,A133,'Dados Brutos'!$D:$D)</f>
        <v>11</v>
      </c>
      <c r="H133" s="7" t="n">
        <f aca="false">COUNTIF('Dados Brutos'!$B:$B,A133)</f>
        <v>4</v>
      </c>
      <c r="I133" s="16" t="n">
        <f aca="false">IFERROR(F133/G133,0)</f>
        <v>790.909090909091</v>
      </c>
      <c r="J133" s="13" t="n">
        <f aca="false">(C133&gt;0)+(D133&gt;0)+(E133&gt;0)</f>
        <v>1</v>
      </c>
      <c r="K133" s="13" t="str">
        <f aca="false">IF(J133=3,"Sim","Não")</f>
        <v>Não</v>
      </c>
      <c r="L133" s="13" t="str">
        <f aca="false">IF(AND(I133&gt;=100,G133&gt;=100),"Sim","Não")</f>
        <v>Não</v>
      </c>
      <c r="M133" s="13" t="str">
        <f aca="false">IF(L133="Sim",SUMPRODUCT(($L$2:L133="Sim")*1),"")</f>
        <v/>
      </c>
    </row>
    <row r="134" customFormat="false" ht="15" hidden="false" customHeight="false" outlineLevel="0" collapsed="false">
      <c r="A134" s="13" t="s">
        <v>2162</v>
      </c>
      <c r="B134" s="13" t="s">
        <v>43</v>
      </c>
      <c r="C134" s="5" t="n">
        <f aca="false">SUMIFS('Dados Brutos'!$C:$C,'Dados Brutos'!$B:$B,A134,'Dados Brutos'!$T:$T,"SIENO")</f>
        <v>8600</v>
      </c>
      <c r="D134" s="5" t="n">
        <f aca="false">SUMIFS('Dados Brutos'!$C:$C,'Dados Brutos'!$B:$B,A134,'Dados Brutos'!$T:$T,"BAGATELLE")</f>
        <v>0</v>
      </c>
      <c r="E134" s="5" t="n">
        <f aca="false">SUMIFS('Dados Brutos'!$C:$C,'Dados Brutos'!$B:$B,A134,'Dados Brutos'!$T:$T,"AUMA")</f>
        <v>0</v>
      </c>
      <c r="F134" s="5" t="n">
        <f aca="false">SUM(C134:E134)</f>
        <v>8600</v>
      </c>
      <c r="G134" s="7" t="n">
        <f aca="false">SUMIF('Dados Brutos'!$B:$B,A134,'Dados Brutos'!$D:$D)</f>
        <v>60</v>
      </c>
      <c r="H134" s="7" t="n">
        <f aca="false">COUNTIF('Dados Brutos'!$B:$B,A134)</f>
        <v>1</v>
      </c>
      <c r="I134" s="16" t="n">
        <f aca="false">IFERROR(F134/G134,0)</f>
        <v>143.333333333333</v>
      </c>
      <c r="J134" s="13" t="n">
        <f aca="false">(C134&gt;0)+(D134&gt;0)+(E134&gt;0)</f>
        <v>1</v>
      </c>
      <c r="K134" s="13" t="str">
        <f aca="false">IF(J134=3,"Sim","Não")</f>
        <v>Não</v>
      </c>
      <c r="L134" s="13" t="str">
        <f aca="false">IF(AND(I134&gt;=100,G134&gt;=100),"Sim","Não")</f>
        <v>Não</v>
      </c>
      <c r="M134" s="13" t="str">
        <f aca="false">IF(L134="Sim",SUMPRODUCT(($L$2:L134="Sim")*1),"")</f>
        <v/>
      </c>
    </row>
    <row r="135" customFormat="false" ht="15" hidden="false" customHeight="false" outlineLevel="0" collapsed="false">
      <c r="A135" s="13" t="s">
        <v>2163</v>
      </c>
      <c r="B135" s="13" t="s">
        <v>85</v>
      </c>
      <c r="C135" s="5" t="n">
        <f aca="false">SUMIFS('Dados Brutos'!$C:$C,'Dados Brutos'!$B:$B,A135,'Dados Brutos'!$T:$T,"SIENO")</f>
        <v>8400</v>
      </c>
      <c r="D135" s="5" t="n">
        <f aca="false">SUMIFS('Dados Brutos'!$C:$C,'Dados Brutos'!$B:$B,A135,'Dados Brutos'!$T:$T,"BAGATELLE")</f>
        <v>0</v>
      </c>
      <c r="E135" s="5" t="n">
        <f aca="false">SUMIFS('Dados Brutos'!$C:$C,'Dados Brutos'!$B:$B,A135,'Dados Brutos'!$T:$T,"AUMA")</f>
        <v>0</v>
      </c>
      <c r="F135" s="5" t="n">
        <f aca="false">SUM(C135:E135)</f>
        <v>8400</v>
      </c>
      <c r="G135" s="7" t="n">
        <f aca="false">SUMIF('Dados Brutos'!$B:$B,A135,'Dados Brutos'!$D:$D)</f>
        <v>210</v>
      </c>
      <c r="H135" s="7" t="n">
        <f aca="false">COUNTIF('Dados Brutos'!$B:$B,A135)</f>
        <v>1</v>
      </c>
      <c r="I135" s="16" t="n">
        <f aca="false">IFERROR(F135/G135,0)</f>
        <v>40</v>
      </c>
      <c r="J135" s="13" t="n">
        <f aca="false">(C135&gt;0)+(D135&gt;0)+(E135&gt;0)</f>
        <v>1</v>
      </c>
      <c r="K135" s="13" t="str">
        <f aca="false">IF(J135=3,"Sim","Não")</f>
        <v>Não</v>
      </c>
      <c r="L135" s="13" t="str">
        <f aca="false">IF(AND(I135&gt;=100,G135&gt;=100),"Sim","Não")</f>
        <v>Não</v>
      </c>
      <c r="M135" s="13" t="str">
        <f aca="false">IF(L135="Sim",SUMPRODUCT(($L$2:L135="Sim")*1),"")</f>
        <v/>
      </c>
    </row>
    <row r="136" customFormat="false" ht="15" hidden="false" customHeight="false" outlineLevel="0" collapsed="false">
      <c r="A136" s="13" t="s">
        <v>2164</v>
      </c>
      <c r="B136" s="13" t="s">
        <v>43</v>
      </c>
      <c r="C136" s="5" t="n">
        <f aca="false">SUMIFS('Dados Brutos'!$C:$C,'Dados Brutos'!$B:$B,A136,'Dados Brutos'!$T:$T,"SIENO")</f>
        <v>0</v>
      </c>
      <c r="D136" s="5" t="n">
        <f aca="false">SUMIFS('Dados Brutos'!$C:$C,'Dados Brutos'!$B:$B,A136,'Dados Brutos'!$T:$T,"BAGATELLE")</f>
        <v>0</v>
      </c>
      <c r="E136" s="5" t="n">
        <f aca="false">SUMIFS('Dados Brutos'!$C:$C,'Dados Brutos'!$B:$B,A136,'Dados Brutos'!$T:$T,"AUMA")</f>
        <v>8240</v>
      </c>
      <c r="F136" s="5" t="n">
        <f aca="false">SUM(C136:E136)</f>
        <v>8240</v>
      </c>
      <c r="G136" s="7" t="n">
        <f aca="false">SUMIF('Dados Brutos'!$B:$B,A136,'Dados Brutos'!$D:$D)</f>
        <v>79</v>
      </c>
      <c r="H136" s="7" t="n">
        <f aca="false">COUNTIF('Dados Brutos'!$B:$B,A136)</f>
        <v>16</v>
      </c>
      <c r="I136" s="16" t="n">
        <f aca="false">IFERROR(F136/G136,0)</f>
        <v>104.303797468354</v>
      </c>
      <c r="J136" s="13" t="n">
        <f aca="false">(C136&gt;0)+(D136&gt;0)+(E136&gt;0)</f>
        <v>1</v>
      </c>
      <c r="K136" s="13" t="str">
        <f aca="false">IF(J136=3,"Sim","Não")</f>
        <v>Não</v>
      </c>
      <c r="L136" s="13" t="str">
        <f aca="false">IF(AND(I136&gt;=100,G136&gt;=100),"Sim","Não")</f>
        <v>Não</v>
      </c>
      <c r="M136" s="13" t="str">
        <f aca="false">IF(L136="Sim",SUMPRODUCT(($L$2:L136="Sim")*1),"")</f>
        <v/>
      </c>
    </row>
    <row r="137" customFormat="false" ht="15" hidden="false" customHeight="false" outlineLevel="0" collapsed="false">
      <c r="A137" s="13" t="s">
        <v>2165</v>
      </c>
      <c r="B137" s="13" t="s">
        <v>85</v>
      </c>
      <c r="C137" s="5" t="n">
        <f aca="false">SUMIFS('Dados Brutos'!$C:$C,'Dados Brutos'!$B:$B,A137,'Dados Brutos'!$T:$T,"SIENO")</f>
        <v>0</v>
      </c>
      <c r="D137" s="5" t="n">
        <f aca="false">SUMIFS('Dados Brutos'!$C:$C,'Dados Brutos'!$B:$B,A137,'Dados Brutos'!$T:$T,"BAGATELLE")</f>
        <v>8200</v>
      </c>
      <c r="E137" s="5" t="n">
        <f aca="false">SUMIFS('Dados Brutos'!$C:$C,'Dados Brutos'!$B:$B,A137,'Dados Brutos'!$T:$T,"AUMA")</f>
        <v>0</v>
      </c>
      <c r="F137" s="5" t="n">
        <f aca="false">SUM(C137:E137)</f>
        <v>8200</v>
      </c>
      <c r="G137" s="7" t="n">
        <f aca="false">SUMIF('Dados Brutos'!$B:$B,A137,'Dados Brutos'!$D:$D)</f>
        <v>30</v>
      </c>
      <c r="H137" s="7" t="n">
        <f aca="false">COUNTIF('Dados Brutos'!$B:$B,A137)</f>
        <v>5</v>
      </c>
      <c r="I137" s="16" t="n">
        <f aca="false">IFERROR(F137/G137,0)</f>
        <v>273.333333333333</v>
      </c>
      <c r="J137" s="13" t="n">
        <f aca="false">(C137&gt;0)+(D137&gt;0)+(E137&gt;0)</f>
        <v>1</v>
      </c>
      <c r="K137" s="13" t="str">
        <f aca="false">IF(J137=3,"Sim","Não")</f>
        <v>Não</v>
      </c>
      <c r="L137" s="13" t="str">
        <f aca="false">IF(AND(I137&gt;=100,G137&gt;=100),"Sim","Não")</f>
        <v>Não</v>
      </c>
      <c r="M137" s="13" t="str">
        <f aca="false">IF(L137="Sim",SUMPRODUCT(($L$2:L137="Sim")*1),"")</f>
        <v/>
      </c>
    </row>
    <row r="138" customFormat="false" ht="15" hidden="false" customHeight="false" outlineLevel="0" collapsed="false">
      <c r="A138" s="13" t="s">
        <v>2166</v>
      </c>
      <c r="B138" s="13" t="s">
        <v>85</v>
      </c>
      <c r="C138" s="5" t="n">
        <f aca="false">SUMIFS('Dados Brutos'!$C:$C,'Dados Brutos'!$B:$B,A138,'Dados Brutos'!$T:$T,"SIENO")</f>
        <v>8100</v>
      </c>
      <c r="D138" s="5" t="n">
        <f aca="false">SUMIFS('Dados Brutos'!$C:$C,'Dados Brutos'!$B:$B,A138,'Dados Brutos'!$T:$T,"BAGATELLE")</f>
        <v>0</v>
      </c>
      <c r="E138" s="5" t="n">
        <f aca="false">SUMIFS('Dados Brutos'!$C:$C,'Dados Brutos'!$B:$B,A138,'Dados Brutos'!$T:$T,"AUMA")</f>
        <v>0</v>
      </c>
      <c r="F138" s="5" t="n">
        <f aca="false">SUM(C138:E138)</f>
        <v>8100</v>
      </c>
      <c r="G138" s="7" t="n">
        <f aca="false">SUMIF('Dados Brutos'!$B:$B,A138,'Dados Brutos'!$D:$D)</f>
        <v>220</v>
      </c>
      <c r="H138" s="7" t="n">
        <f aca="false">COUNTIF('Dados Brutos'!$B:$B,A138)</f>
        <v>1</v>
      </c>
      <c r="I138" s="16" t="n">
        <f aca="false">IFERROR(F138/G138,0)</f>
        <v>36.8181818181818</v>
      </c>
      <c r="J138" s="13" t="n">
        <f aca="false">(C138&gt;0)+(D138&gt;0)+(E138&gt;0)</f>
        <v>1</v>
      </c>
      <c r="K138" s="13" t="str">
        <f aca="false">IF(J138=3,"Sim","Não")</f>
        <v>Não</v>
      </c>
      <c r="L138" s="13" t="str">
        <f aca="false">IF(AND(I138&gt;=100,G138&gt;=100),"Sim","Não")</f>
        <v>Não</v>
      </c>
      <c r="M138" s="13" t="str">
        <f aca="false">IF(L138="Sim",SUMPRODUCT(($L$2:L138="Sim")*1),"")</f>
        <v/>
      </c>
    </row>
    <row r="139" customFormat="false" ht="15" hidden="false" customHeight="false" outlineLevel="0" collapsed="false">
      <c r="A139" s="13" t="s">
        <v>2167</v>
      </c>
      <c r="B139" s="13" t="s">
        <v>43</v>
      </c>
      <c r="C139" s="5" t="n">
        <f aca="false">SUMIFS('Dados Brutos'!$C:$C,'Dados Brutos'!$B:$B,A139,'Dados Brutos'!$T:$T,"SIENO")</f>
        <v>6210</v>
      </c>
      <c r="D139" s="5" t="n">
        <f aca="false">SUMIFS('Dados Brutos'!$C:$C,'Dados Brutos'!$B:$B,A139,'Dados Brutos'!$T:$T,"BAGATELLE")</f>
        <v>1700</v>
      </c>
      <c r="E139" s="5" t="n">
        <f aca="false">SUMIFS('Dados Brutos'!$C:$C,'Dados Brutos'!$B:$B,A139,'Dados Brutos'!$T:$T,"AUMA")</f>
        <v>0</v>
      </c>
      <c r="F139" s="5" t="n">
        <f aca="false">SUM(C139:E139)</f>
        <v>7910</v>
      </c>
      <c r="G139" s="7" t="n">
        <f aca="false">SUMIF('Dados Brutos'!$B:$B,A139,'Dados Brutos'!$D:$D)</f>
        <v>25</v>
      </c>
      <c r="H139" s="7" t="n">
        <f aca="false">COUNTIF('Dados Brutos'!$B:$B,A139)</f>
        <v>4</v>
      </c>
      <c r="I139" s="16" t="n">
        <f aca="false">IFERROR(F139/G139,0)</f>
        <v>316.4</v>
      </c>
      <c r="J139" s="13" t="n">
        <f aca="false">(C139&gt;0)+(D139&gt;0)+(E139&gt;0)</f>
        <v>2</v>
      </c>
      <c r="K139" s="13" t="str">
        <f aca="false">IF(J139=3,"Sim","Não")</f>
        <v>Não</v>
      </c>
      <c r="L139" s="13" t="str">
        <f aca="false">IF(AND(I139&gt;=100,G139&gt;=100),"Sim","Não")</f>
        <v>Não</v>
      </c>
      <c r="M139" s="13" t="str">
        <f aca="false">IF(L139="Sim",SUMPRODUCT(($L$2:L139="Sim")*1),"")</f>
        <v/>
      </c>
    </row>
    <row r="140" customFormat="false" ht="15" hidden="false" customHeight="false" outlineLevel="0" collapsed="false">
      <c r="A140" s="13" t="s">
        <v>2168</v>
      </c>
      <c r="B140" s="13" t="s">
        <v>43</v>
      </c>
      <c r="C140" s="5" t="n">
        <f aca="false">SUMIFS('Dados Brutos'!$C:$C,'Dados Brutos'!$B:$B,A140,'Dados Brutos'!$T:$T,"SIENO")</f>
        <v>0</v>
      </c>
      <c r="D140" s="5" t="n">
        <f aca="false">SUMIFS('Dados Brutos'!$C:$C,'Dados Brutos'!$B:$B,A140,'Dados Brutos'!$T:$T,"BAGATELLE")</f>
        <v>0</v>
      </c>
      <c r="E140" s="5" t="n">
        <f aca="false">SUMIFS('Dados Brutos'!$C:$C,'Dados Brutos'!$B:$B,A140,'Dados Brutos'!$T:$T,"AUMA")</f>
        <v>7900</v>
      </c>
      <c r="F140" s="5" t="n">
        <f aca="false">SUM(C140:E140)</f>
        <v>7900</v>
      </c>
      <c r="G140" s="7" t="n">
        <f aca="false">SUMIF('Dados Brutos'!$B:$B,A140,'Dados Brutos'!$D:$D)</f>
        <v>70</v>
      </c>
      <c r="H140" s="7" t="n">
        <f aca="false">COUNTIF('Dados Brutos'!$B:$B,A140)</f>
        <v>2</v>
      </c>
      <c r="I140" s="16" t="n">
        <f aca="false">IFERROR(F140/G140,0)</f>
        <v>112.857142857143</v>
      </c>
      <c r="J140" s="13" t="n">
        <f aca="false">(C140&gt;0)+(D140&gt;0)+(E140&gt;0)</f>
        <v>1</v>
      </c>
      <c r="K140" s="13" t="str">
        <f aca="false">IF(J140=3,"Sim","Não")</f>
        <v>Não</v>
      </c>
      <c r="L140" s="13" t="str">
        <f aca="false">IF(AND(I140&gt;=100,G140&gt;=100),"Sim","Não")</f>
        <v>Não</v>
      </c>
      <c r="M140" s="13" t="str">
        <f aca="false">IF(L140="Sim",SUMPRODUCT(($L$2:L140="Sim")*1),"")</f>
        <v/>
      </c>
    </row>
    <row r="141" customFormat="false" ht="15" hidden="false" customHeight="false" outlineLevel="0" collapsed="false">
      <c r="A141" s="13" t="s">
        <v>2169</v>
      </c>
      <c r="B141" s="13" t="s">
        <v>85</v>
      </c>
      <c r="C141" s="5" t="n">
        <f aca="false">SUMIFS('Dados Brutos'!$C:$C,'Dados Brutos'!$B:$B,A141,'Dados Brutos'!$T:$T,"SIENO")</f>
        <v>7780</v>
      </c>
      <c r="D141" s="5" t="n">
        <f aca="false">SUMIFS('Dados Brutos'!$C:$C,'Dados Brutos'!$B:$B,A141,'Dados Brutos'!$T:$T,"BAGATELLE")</f>
        <v>0</v>
      </c>
      <c r="E141" s="5" t="n">
        <f aca="false">SUMIFS('Dados Brutos'!$C:$C,'Dados Brutos'!$B:$B,A141,'Dados Brutos'!$T:$T,"AUMA")</f>
        <v>0</v>
      </c>
      <c r="F141" s="5" t="n">
        <f aca="false">SUM(C141:E141)</f>
        <v>7780</v>
      </c>
      <c r="G141" s="7" t="n">
        <f aca="false">SUMIF('Dados Brutos'!$B:$B,A141,'Dados Brutos'!$D:$D)</f>
        <v>131</v>
      </c>
      <c r="H141" s="7" t="n">
        <f aca="false">COUNTIF('Dados Brutos'!$B:$B,A141)</f>
        <v>7</v>
      </c>
      <c r="I141" s="16" t="n">
        <f aca="false">IFERROR(F141/G141,0)</f>
        <v>59.3893129770992</v>
      </c>
      <c r="J141" s="13" t="n">
        <f aca="false">(C141&gt;0)+(D141&gt;0)+(E141&gt;0)</f>
        <v>1</v>
      </c>
      <c r="K141" s="13" t="str">
        <f aca="false">IF(J141=3,"Sim","Não")</f>
        <v>Não</v>
      </c>
      <c r="L141" s="13" t="str">
        <f aca="false">IF(AND(I141&gt;=100,G141&gt;=100),"Sim","Não")</f>
        <v>Não</v>
      </c>
      <c r="M141" s="13" t="str">
        <f aca="false">IF(L141="Sim",SUMPRODUCT(($L$2:L141="Sim")*1),"")</f>
        <v/>
      </c>
    </row>
    <row r="142" customFormat="false" ht="15" hidden="false" customHeight="false" outlineLevel="0" collapsed="false">
      <c r="A142" s="13" t="s">
        <v>2170</v>
      </c>
      <c r="B142" s="13" t="s">
        <v>85</v>
      </c>
      <c r="C142" s="5" t="n">
        <f aca="false">SUMIFS('Dados Brutos'!$C:$C,'Dados Brutos'!$B:$B,A142,'Dados Brutos'!$T:$T,"SIENO")</f>
        <v>7200</v>
      </c>
      <c r="D142" s="5" t="n">
        <f aca="false">SUMIFS('Dados Brutos'!$C:$C,'Dados Brutos'!$B:$B,A142,'Dados Brutos'!$T:$T,"BAGATELLE")</f>
        <v>0</v>
      </c>
      <c r="E142" s="5" t="n">
        <f aca="false">SUMIFS('Dados Brutos'!$C:$C,'Dados Brutos'!$B:$B,A142,'Dados Brutos'!$T:$T,"AUMA")</f>
        <v>0</v>
      </c>
      <c r="F142" s="5" t="n">
        <f aca="false">SUM(C142:E142)</f>
        <v>7200</v>
      </c>
      <c r="G142" s="7" t="n">
        <f aca="false">SUMIF('Dados Brutos'!$B:$B,A142,'Dados Brutos'!$D:$D)</f>
        <v>55</v>
      </c>
      <c r="H142" s="7" t="n">
        <f aca="false">COUNTIF('Dados Brutos'!$B:$B,A142)</f>
        <v>2</v>
      </c>
      <c r="I142" s="16" t="n">
        <f aca="false">IFERROR(F142/G142,0)</f>
        <v>130.909090909091</v>
      </c>
      <c r="J142" s="13" t="n">
        <f aca="false">(C142&gt;0)+(D142&gt;0)+(E142&gt;0)</f>
        <v>1</v>
      </c>
      <c r="K142" s="13" t="str">
        <f aca="false">IF(J142=3,"Sim","Não")</f>
        <v>Não</v>
      </c>
      <c r="L142" s="13" t="str">
        <f aca="false">IF(AND(I142&gt;=100,G142&gt;=100),"Sim","Não")</f>
        <v>Não</v>
      </c>
      <c r="M142" s="13" t="str">
        <f aca="false">IF(L142="Sim",SUMPRODUCT(($L$2:L142="Sim")*1),"")</f>
        <v/>
      </c>
    </row>
    <row r="143" customFormat="false" ht="15" hidden="false" customHeight="false" outlineLevel="0" collapsed="false">
      <c r="A143" s="13" t="s">
        <v>2171</v>
      </c>
      <c r="B143" s="13" t="s">
        <v>85</v>
      </c>
      <c r="C143" s="5" t="n">
        <f aca="false">SUMIFS('Dados Brutos'!$C:$C,'Dados Brutos'!$B:$B,A143,'Dados Brutos'!$T:$T,"SIENO")</f>
        <v>6600</v>
      </c>
      <c r="D143" s="5" t="n">
        <f aca="false">SUMIFS('Dados Brutos'!$C:$C,'Dados Brutos'!$B:$B,A143,'Dados Brutos'!$T:$T,"BAGATELLE")</f>
        <v>0</v>
      </c>
      <c r="E143" s="5" t="n">
        <f aca="false">SUMIFS('Dados Brutos'!$C:$C,'Dados Brutos'!$B:$B,A143,'Dados Brutos'!$T:$T,"AUMA")</f>
        <v>280</v>
      </c>
      <c r="F143" s="5" t="n">
        <f aca="false">SUM(C143:E143)</f>
        <v>6880</v>
      </c>
      <c r="G143" s="7" t="n">
        <f aca="false">SUMIF('Dados Brutos'!$B:$B,A143,'Dados Brutos'!$D:$D)</f>
        <v>72</v>
      </c>
      <c r="H143" s="7" t="n">
        <f aca="false">COUNTIF('Dados Brutos'!$B:$B,A143)</f>
        <v>3</v>
      </c>
      <c r="I143" s="16" t="n">
        <f aca="false">IFERROR(F143/G143,0)</f>
        <v>95.5555555555556</v>
      </c>
      <c r="J143" s="13" t="n">
        <f aca="false">(C143&gt;0)+(D143&gt;0)+(E143&gt;0)</f>
        <v>2</v>
      </c>
      <c r="K143" s="13" t="str">
        <f aca="false">IF(J143=3,"Sim","Não")</f>
        <v>Não</v>
      </c>
      <c r="L143" s="13" t="str">
        <f aca="false">IF(AND(I143&gt;=100,G143&gt;=100),"Sim","Não")</f>
        <v>Não</v>
      </c>
      <c r="M143" s="13" t="str">
        <f aca="false">IF(L143="Sim",SUMPRODUCT(($L$2:L143="Sim")*1),"")</f>
        <v/>
      </c>
    </row>
    <row r="144" customFormat="false" ht="15" hidden="false" customHeight="false" outlineLevel="0" collapsed="false">
      <c r="A144" s="13" t="s">
        <v>2172</v>
      </c>
      <c r="B144" s="13" t="s">
        <v>85</v>
      </c>
      <c r="C144" s="5" t="n">
        <f aca="false">SUMIFS('Dados Brutos'!$C:$C,'Dados Brutos'!$B:$B,A144,'Dados Brutos'!$T:$T,"SIENO")</f>
        <v>6690</v>
      </c>
      <c r="D144" s="5" t="n">
        <f aca="false">SUMIFS('Dados Brutos'!$C:$C,'Dados Brutos'!$B:$B,A144,'Dados Brutos'!$T:$T,"BAGATELLE")</f>
        <v>0</v>
      </c>
      <c r="E144" s="5" t="n">
        <f aca="false">SUMIFS('Dados Brutos'!$C:$C,'Dados Brutos'!$B:$B,A144,'Dados Brutos'!$T:$T,"AUMA")</f>
        <v>0</v>
      </c>
      <c r="F144" s="5" t="n">
        <f aca="false">SUM(C144:E144)</f>
        <v>6690</v>
      </c>
      <c r="G144" s="7" t="n">
        <f aca="false">SUMIF('Dados Brutos'!$B:$B,A144,'Dados Brutos'!$D:$D)</f>
        <v>15</v>
      </c>
      <c r="H144" s="7" t="n">
        <f aca="false">COUNTIF('Dados Brutos'!$B:$B,A144)</f>
        <v>2</v>
      </c>
      <c r="I144" s="16" t="n">
        <f aca="false">IFERROR(F144/G144,0)</f>
        <v>446</v>
      </c>
      <c r="J144" s="13" t="n">
        <f aca="false">(C144&gt;0)+(D144&gt;0)+(E144&gt;0)</f>
        <v>1</v>
      </c>
      <c r="K144" s="13" t="str">
        <f aca="false">IF(J144=3,"Sim","Não")</f>
        <v>Não</v>
      </c>
      <c r="L144" s="13" t="str">
        <f aca="false">IF(AND(I144&gt;=100,G144&gt;=100),"Sim","Não")</f>
        <v>Não</v>
      </c>
      <c r="M144" s="13" t="str">
        <f aca="false">IF(L144="Sim",SUMPRODUCT(($L$2:L144="Sim")*1),"")</f>
        <v/>
      </c>
    </row>
    <row r="145" customFormat="false" ht="15" hidden="false" customHeight="false" outlineLevel="0" collapsed="false">
      <c r="A145" s="13" t="s">
        <v>2173</v>
      </c>
      <c r="B145" s="13" t="s">
        <v>85</v>
      </c>
      <c r="C145" s="5" t="n">
        <f aca="false">SUMIFS('Dados Brutos'!$C:$C,'Dados Brutos'!$B:$B,A145,'Dados Brutos'!$T:$T,"SIENO")</f>
        <v>6470</v>
      </c>
      <c r="D145" s="5" t="n">
        <f aca="false">SUMIFS('Dados Brutos'!$C:$C,'Dados Brutos'!$B:$B,A145,'Dados Brutos'!$T:$T,"BAGATELLE")</f>
        <v>0</v>
      </c>
      <c r="E145" s="5" t="n">
        <f aca="false">SUMIFS('Dados Brutos'!$C:$C,'Dados Brutos'!$B:$B,A145,'Dados Brutos'!$T:$T,"AUMA")</f>
        <v>0</v>
      </c>
      <c r="F145" s="5" t="n">
        <f aca="false">SUM(C145:E145)</f>
        <v>6470</v>
      </c>
      <c r="G145" s="7" t="n">
        <f aca="false">SUMIF('Dados Brutos'!$B:$B,A145,'Dados Brutos'!$D:$D)</f>
        <v>63</v>
      </c>
      <c r="H145" s="7" t="n">
        <f aca="false">COUNTIF('Dados Brutos'!$B:$B,A145)</f>
        <v>5</v>
      </c>
      <c r="I145" s="16" t="n">
        <f aca="false">IFERROR(F145/G145,0)</f>
        <v>102.698412698413</v>
      </c>
      <c r="J145" s="13" t="n">
        <f aca="false">(C145&gt;0)+(D145&gt;0)+(E145&gt;0)</f>
        <v>1</v>
      </c>
      <c r="K145" s="13" t="str">
        <f aca="false">IF(J145=3,"Sim","Não")</f>
        <v>Não</v>
      </c>
      <c r="L145" s="13" t="str">
        <f aca="false">IF(AND(I145&gt;=100,G145&gt;=100),"Sim","Não")</f>
        <v>Não</v>
      </c>
      <c r="M145" s="13" t="str">
        <f aca="false">IF(L145="Sim",SUMPRODUCT(($L$2:L145="Sim")*1),"")</f>
        <v/>
      </c>
    </row>
    <row r="146" customFormat="false" ht="15" hidden="false" customHeight="false" outlineLevel="0" collapsed="false">
      <c r="A146" s="13" t="s">
        <v>2174</v>
      </c>
      <c r="B146" s="13" t="s">
        <v>85</v>
      </c>
      <c r="C146" s="5" t="n">
        <f aca="false">SUMIFS('Dados Brutos'!$C:$C,'Dados Brutos'!$B:$B,A146,'Dados Brutos'!$T:$T,"SIENO")</f>
        <v>0</v>
      </c>
      <c r="D146" s="5" t="n">
        <f aca="false">SUMIFS('Dados Brutos'!$C:$C,'Dados Brutos'!$B:$B,A146,'Dados Brutos'!$T:$T,"BAGATELLE")</f>
        <v>6360</v>
      </c>
      <c r="E146" s="5" t="n">
        <f aca="false">SUMIFS('Dados Brutos'!$C:$C,'Dados Brutos'!$B:$B,A146,'Dados Brutos'!$T:$T,"AUMA")</f>
        <v>0</v>
      </c>
      <c r="F146" s="5" t="n">
        <f aca="false">SUM(C146:E146)</f>
        <v>6360</v>
      </c>
      <c r="G146" s="7" t="n">
        <f aca="false">SUMIF('Dados Brutos'!$B:$B,A146,'Dados Brutos'!$D:$D)</f>
        <v>14</v>
      </c>
      <c r="H146" s="7" t="n">
        <f aca="false">COUNTIF('Dados Brutos'!$B:$B,A146)</f>
        <v>6</v>
      </c>
      <c r="I146" s="16" t="n">
        <f aca="false">IFERROR(F146/G146,0)</f>
        <v>454.285714285714</v>
      </c>
      <c r="J146" s="13" t="n">
        <f aca="false">(C146&gt;0)+(D146&gt;0)+(E146&gt;0)</f>
        <v>1</v>
      </c>
      <c r="K146" s="13" t="str">
        <f aca="false">IF(J146=3,"Sim","Não")</f>
        <v>Não</v>
      </c>
      <c r="L146" s="13" t="str">
        <f aca="false">IF(AND(I146&gt;=100,G146&gt;=100),"Sim","Não")</f>
        <v>Não</v>
      </c>
      <c r="M146" s="13" t="str">
        <f aca="false">IF(L146="Sim",SUMPRODUCT(($L$2:L146="Sim")*1),"")</f>
        <v/>
      </c>
    </row>
    <row r="147" customFormat="false" ht="15" hidden="false" customHeight="false" outlineLevel="0" collapsed="false">
      <c r="A147" s="13" t="s">
        <v>2175</v>
      </c>
      <c r="B147" s="13" t="s">
        <v>43</v>
      </c>
      <c r="C147" s="5" t="n">
        <f aca="false">SUMIFS('Dados Brutos'!$C:$C,'Dados Brutos'!$B:$B,A147,'Dados Brutos'!$T:$T,"SIENO")</f>
        <v>6340</v>
      </c>
      <c r="D147" s="5" t="n">
        <f aca="false">SUMIFS('Dados Brutos'!$C:$C,'Dados Brutos'!$B:$B,A147,'Dados Brutos'!$T:$T,"BAGATELLE")</f>
        <v>0</v>
      </c>
      <c r="E147" s="5" t="n">
        <f aca="false">SUMIFS('Dados Brutos'!$C:$C,'Dados Brutos'!$B:$B,A147,'Dados Brutos'!$T:$T,"AUMA")</f>
        <v>0</v>
      </c>
      <c r="F147" s="5" t="n">
        <f aca="false">SUM(C147:E147)</f>
        <v>6340</v>
      </c>
      <c r="G147" s="7" t="n">
        <f aca="false">SUMIF('Dados Brutos'!$B:$B,A147,'Dados Brutos'!$D:$D)</f>
        <v>28</v>
      </c>
      <c r="H147" s="7" t="n">
        <f aca="false">COUNTIF('Dados Brutos'!$B:$B,A147)</f>
        <v>5</v>
      </c>
      <c r="I147" s="16" t="n">
        <f aca="false">IFERROR(F147/G147,0)</f>
        <v>226.428571428571</v>
      </c>
      <c r="J147" s="13" t="n">
        <f aca="false">(C147&gt;0)+(D147&gt;0)+(E147&gt;0)</f>
        <v>1</v>
      </c>
      <c r="K147" s="13" t="str">
        <f aca="false">IF(J147=3,"Sim","Não")</f>
        <v>Não</v>
      </c>
      <c r="L147" s="13" t="str">
        <f aca="false">IF(AND(I147&gt;=100,G147&gt;=100),"Sim","Não")</f>
        <v>Não</v>
      </c>
      <c r="M147" s="13" t="str">
        <f aca="false">IF(L147="Sim",SUMPRODUCT(($L$2:L147="Sim")*1),"")</f>
        <v/>
      </c>
    </row>
    <row r="148" customFormat="false" ht="15" hidden="false" customHeight="false" outlineLevel="0" collapsed="false">
      <c r="A148" s="13" t="s">
        <v>2176</v>
      </c>
      <c r="B148" s="13" t="s">
        <v>85</v>
      </c>
      <c r="C148" s="5" t="n">
        <f aca="false">SUMIFS('Dados Brutos'!$C:$C,'Dados Brutos'!$B:$B,A148,'Dados Brutos'!$T:$T,"SIENO")</f>
        <v>0</v>
      </c>
      <c r="D148" s="5" t="n">
        <f aca="false">SUMIFS('Dados Brutos'!$C:$C,'Dados Brutos'!$B:$B,A148,'Dados Brutos'!$T:$T,"BAGATELLE")</f>
        <v>6250</v>
      </c>
      <c r="E148" s="5" t="n">
        <f aca="false">SUMIFS('Dados Brutos'!$C:$C,'Dados Brutos'!$B:$B,A148,'Dados Brutos'!$T:$T,"AUMA")</f>
        <v>0</v>
      </c>
      <c r="F148" s="5" t="n">
        <f aca="false">SUM(C148:E148)</f>
        <v>6250</v>
      </c>
      <c r="G148" s="7" t="n">
        <f aca="false">SUMIF('Dados Brutos'!$B:$B,A148,'Dados Brutos'!$D:$D)</f>
        <v>24</v>
      </c>
      <c r="H148" s="7" t="n">
        <f aca="false">COUNTIF('Dados Brutos'!$B:$B,A148)</f>
        <v>3</v>
      </c>
      <c r="I148" s="16" t="n">
        <f aca="false">IFERROR(F148/G148,0)</f>
        <v>260.416666666667</v>
      </c>
      <c r="J148" s="13" t="n">
        <f aca="false">(C148&gt;0)+(D148&gt;0)+(E148&gt;0)</f>
        <v>1</v>
      </c>
      <c r="K148" s="13" t="str">
        <f aca="false">IF(J148=3,"Sim","Não")</f>
        <v>Não</v>
      </c>
      <c r="L148" s="13" t="str">
        <f aca="false">IF(AND(I148&gt;=100,G148&gt;=100),"Sim","Não")</f>
        <v>Não</v>
      </c>
      <c r="M148" s="13" t="str">
        <f aca="false">IF(L148="Sim",SUMPRODUCT(($L$2:L148="Sim")*1),"")</f>
        <v/>
      </c>
    </row>
    <row r="149" customFormat="false" ht="15" hidden="false" customHeight="false" outlineLevel="0" collapsed="false">
      <c r="A149" s="13" t="s">
        <v>2177</v>
      </c>
      <c r="B149" s="13" t="s">
        <v>85</v>
      </c>
      <c r="C149" s="5" t="n">
        <f aca="false">SUMIFS('Dados Brutos'!$C:$C,'Dados Brutos'!$B:$B,A149,'Dados Brutos'!$T:$T,"SIENO")</f>
        <v>6200</v>
      </c>
      <c r="D149" s="5" t="n">
        <f aca="false">SUMIFS('Dados Brutos'!$C:$C,'Dados Brutos'!$B:$B,A149,'Dados Brutos'!$T:$T,"BAGATELLE")</f>
        <v>0</v>
      </c>
      <c r="E149" s="5" t="n">
        <f aca="false">SUMIFS('Dados Brutos'!$C:$C,'Dados Brutos'!$B:$B,A149,'Dados Brutos'!$T:$T,"AUMA")</f>
        <v>0</v>
      </c>
      <c r="F149" s="5" t="n">
        <f aca="false">SUM(C149:E149)</f>
        <v>6200</v>
      </c>
      <c r="G149" s="7" t="n">
        <f aca="false">SUMIF('Dados Brutos'!$B:$B,A149,'Dados Brutos'!$D:$D)</f>
        <v>20</v>
      </c>
      <c r="H149" s="7" t="n">
        <f aca="false">COUNTIF('Dados Brutos'!$B:$B,A149)</f>
        <v>1</v>
      </c>
      <c r="I149" s="16" t="n">
        <f aca="false">IFERROR(F149/G149,0)</f>
        <v>310</v>
      </c>
      <c r="J149" s="13" t="n">
        <f aca="false">(C149&gt;0)+(D149&gt;0)+(E149&gt;0)</f>
        <v>1</v>
      </c>
      <c r="K149" s="13" t="str">
        <f aca="false">IF(J149=3,"Sim","Não")</f>
        <v>Não</v>
      </c>
      <c r="L149" s="13" t="str">
        <f aca="false">IF(AND(I149&gt;=100,G149&gt;=100),"Sim","Não")</f>
        <v>Não</v>
      </c>
      <c r="M149" s="13" t="str">
        <f aca="false">IF(L149="Sim",SUMPRODUCT(($L$2:L149="Sim")*1),"")</f>
        <v/>
      </c>
    </row>
    <row r="150" customFormat="false" ht="15" hidden="false" customHeight="false" outlineLevel="0" collapsed="false">
      <c r="A150" s="13" t="s">
        <v>2178</v>
      </c>
      <c r="B150" s="13" t="s">
        <v>85</v>
      </c>
      <c r="C150" s="5" t="n">
        <f aca="false">SUMIFS('Dados Brutos'!$C:$C,'Dados Brutos'!$B:$B,A150,'Dados Brutos'!$T:$T,"SIENO")</f>
        <v>5800</v>
      </c>
      <c r="D150" s="5" t="n">
        <f aca="false">SUMIFS('Dados Brutos'!$C:$C,'Dados Brutos'!$B:$B,A150,'Dados Brutos'!$T:$T,"BAGATELLE")</f>
        <v>0</v>
      </c>
      <c r="E150" s="5" t="n">
        <f aca="false">SUMIFS('Dados Brutos'!$C:$C,'Dados Brutos'!$B:$B,A150,'Dados Brutos'!$T:$T,"AUMA")</f>
        <v>0</v>
      </c>
      <c r="F150" s="5" t="n">
        <f aca="false">SUM(C150:E150)</f>
        <v>5800</v>
      </c>
      <c r="G150" s="7" t="n">
        <f aca="false">SUMIF('Dados Brutos'!$B:$B,A150,'Dados Brutos'!$D:$D)</f>
        <v>10</v>
      </c>
      <c r="H150" s="7" t="n">
        <f aca="false">COUNTIF('Dados Brutos'!$B:$B,A150)</f>
        <v>1</v>
      </c>
      <c r="I150" s="16" t="n">
        <f aca="false">IFERROR(F150/G150,0)</f>
        <v>580</v>
      </c>
      <c r="J150" s="13" t="n">
        <f aca="false">(C150&gt;0)+(D150&gt;0)+(E150&gt;0)</f>
        <v>1</v>
      </c>
      <c r="K150" s="13" t="str">
        <f aca="false">IF(J150=3,"Sim","Não")</f>
        <v>Não</v>
      </c>
      <c r="L150" s="13" t="str">
        <f aca="false">IF(AND(I150&gt;=100,G150&gt;=100),"Sim","Não")</f>
        <v>Não</v>
      </c>
      <c r="M150" s="13" t="str">
        <f aca="false">IF(L150="Sim",SUMPRODUCT(($L$2:L150="Sim")*1),"")</f>
        <v/>
      </c>
    </row>
    <row r="151" customFormat="false" ht="15" hidden="false" customHeight="false" outlineLevel="0" collapsed="false">
      <c r="A151" s="13" t="s">
        <v>2179</v>
      </c>
      <c r="B151" s="13" t="s">
        <v>43</v>
      </c>
      <c r="C151" s="5" t="n">
        <f aca="false">SUMIFS('Dados Brutos'!$C:$C,'Dados Brutos'!$B:$B,A151,'Dados Brutos'!$T:$T,"SIENO")</f>
        <v>0</v>
      </c>
      <c r="D151" s="5" t="n">
        <f aca="false">SUMIFS('Dados Brutos'!$C:$C,'Dados Brutos'!$B:$B,A151,'Dados Brutos'!$T:$T,"BAGATELLE")</f>
        <v>3900</v>
      </c>
      <c r="E151" s="5" t="n">
        <f aca="false">SUMIFS('Dados Brutos'!$C:$C,'Dados Brutos'!$B:$B,A151,'Dados Brutos'!$T:$T,"AUMA")</f>
        <v>1630</v>
      </c>
      <c r="F151" s="5" t="n">
        <f aca="false">SUM(C151:E151)</f>
        <v>5530</v>
      </c>
      <c r="G151" s="7" t="n">
        <f aca="false">SUMIF('Dados Brutos'!$B:$B,A151,'Dados Brutos'!$D:$D)</f>
        <v>16</v>
      </c>
      <c r="H151" s="7" t="n">
        <f aca="false">COUNTIF('Dados Brutos'!$B:$B,A151)</f>
        <v>12</v>
      </c>
      <c r="I151" s="16" t="n">
        <f aca="false">IFERROR(F151/G151,0)</f>
        <v>345.625</v>
      </c>
      <c r="J151" s="13" t="n">
        <f aca="false">(C151&gt;0)+(D151&gt;0)+(E151&gt;0)</f>
        <v>2</v>
      </c>
      <c r="K151" s="13" t="str">
        <f aca="false">IF(J151=3,"Sim","Não")</f>
        <v>Não</v>
      </c>
      <c r="L151" s="13" t="str">
        <f aca="false">IF(AND(I151&gt;=100,G151&gt;=100),"Sim","Não")</f>
        <v>Não</v>
      </c>
      <c r="M151" s="13" t="str">
        <f aca="false">IF(L151="Sim",SUMPRODUCT(($L$2:L151="Sim")*1),"")</f>
        <v/>
      </c>
    </row>
    <row r="152" customFormat="false" ht="15" hidden="false" customHeight="false" outlineLevel="0" collapsed="false">
      <c r="A152" s="13" t="s">
        <v>2180</v>
      </c>
      <c r="B152" s="13" t="s">
        <v>57</v>
      </c>
      <c r="C152" s="5" t="n">
        <f aca="false">SUMIFS('Dados Brutos'!$C:$C,'Dados Brutos'!$B:$B,A152,'Dados Brutos'!$T:$T,"SIENO")</f>
        <v>5500</v>
      </c>
      <c r="D152" s="5" t="n">
        <f aca="false">SUMIFS('Dados Brutos'!$C:$C,'Dados Brutos'!$B:$B,A152,'Dados Brutos'!$T:$T,"BAGATELLE")</f>
        <v>0</v>
      </c>
      <c r="E152" s="5" t="n">
        <f aca="false">SUMIFS('Dados Brutos'!$C:$C,'Dados Brutos'!$B:$B,A152,'Dados Brutos'!$T:$T,"AUMA")</f>
        <v>0</v>
      </c>
      <c r="F152" s="5" t="n">
        <f aca="false">SUM(C152:E152)</f>
        <v>5500</v>
      </c>
      <c r="G152" s="7" t="n">
        <f aca="false">SUMIF('Dados Brutos'!$B:$B,A152,'Dados Brutos'!$D:$D)</f>
        <v>70</v>
      </c>
      <c r="H152" s="7" t="n">
        <f aca="false">COUNTIF('Dados Brutos'!$B:$B,A152)</f>
        <v>1</v>
      </c>
      <c r="I152" s="16" t="n">
        <f aca="false">IFERROR(F152/G152,0)</f>
        <v>78.5714285714286</v>
      </c>
      <c r="J152" s="13" t="n">
        <f aca="false">(C152&gt;0)+(D152&gt;0)+(E152&gt;0)</f>
        <v>1</v>
      </c>
      <c r="K152" s="13" t="str">
        <f aca="false">IF(J152=3,"Sim","Não")</f>
        <v>Não</v>
      </c>
      <c r="L152" s="13" t="str">
        <f aca="false">IF(AND(I152&gt;=100,G152&gt;=100),"Sim","Não")</f>
        <v>Não</v>
      </c>
      <c r="M152" s="13" t="str">
        <f aca="false">IF(L152="Sim",SUMPRODUCT(($L$2:L152="Sim")*1),"")</f>
        <v/>
      </c>
    </row>
    <row r="153" customFormat="false" ht="15" hidden="false" customHeight="false" outlineLevel="0" collapsed="false">
      <c r="A153" s="13" t="s">
        <v>2181</v>
      </c>
      <c r="B153" s="13" t="s">
        <v>43</v>
      </c>
      <c r="C153" s="5" t="n">
        <f aca="false">SUMIFS('Dados Brutos'!$C:$C,'Dados Brutos'!$B:$B,A153,'Dados Brutos'!$T:$T,"SIENO")</f>
        <v>0</v>
      </c>
      <c r="D153" s="5" t="n">
        <f aca="false">SUMIFS('Dados Brutos'!$C:$C,'Dados Brutos'!$B:$B,A153,'Dados Brutos'!$T:$T,"BAGATELLE")</f>
        <v>4080</v>
      </c>
      <c r="E153" s="5" t="n">
        <f aca="false">SUMIFS('Dados Brutos'!$C:$C,'Dados Brutos'!$B:$B,A153,'Dados Brutos'!$T:$T,"AUMA")</f>
        <v>1250</v>
      </c>
      <c r="F153" s="5" t="n">
        <f aca="false">SUM(C153:E153)</f>
        <v>5330</v>
      </c>
      <c r="G153" s="7" t="n">
        <f aca="false">SUMIF('Dados Brutos'!$B:$B,A153,'Dados Brutos'!$D:$D)</f>
        <v>10</v>
      </c>
      <c r="H153" s="7" t="n">
        <f aca="false">COUNTIF('Dados Brutos'!$B:$B,A153)</f>
        <v>8</v>
      </c>
      <c r="I153" s="16" t="n">
        <f aca="false">IFERROR(F153/G153,0)</f>
        <v>533</v>
      </c>
      <c r="J153" s="13" t="n">
        <f aca="false">(C153&gt;0)+(D153&gt;0)+(E153&gt;0)</f>
        <v>2</v>
      </c>
      <c r="K153" s="13" t="str">
        <f aca="false">IF(J153=3,"Sim","Não")</f>
        <v>Não</v>
      </c>
      <c r="L153" s="13" t="str">
        <f aca="false">IF(AND(I153&gt;=100,G153&gt;=100),"Sim","Não")</f>
        <v>Não</v>
      </c>
      <c r="M153" s="13" t="str">
        <f aca="false">IF(L153="Sim",SUMPRODUCT(($L$2:L153="Sim")*1),"")</f>
        <v/>
      </c>
    </row>
    <row r="154" customFormat="false" ht="15" hidden="false" customHeight="false" outlineLevel="0" collapsed="false">
      <c r="A154" s="13" t="s">
        <v>2182</v>
      </c>
      <c r="B154" s="13" t="s">
        <v>57</v>
      </c>
      <c r="C154" s="5" t="n">
        <f aca="false">SUMIFS('Dados Brutos'!$C:$C,'Dados Brutos'!$B:$B,A154,'Dados Brutos'!$T:$T,"SIENO")</f>
        <v>5280</v>
      </c>
      <c r="D154" s="5" t="n">
        <f aca="false">SUMIFS('Dados Brutos'!$C:$C,'Dados Brutos'!$B:$B,A154,'Dados Brutos'!$T:$T,"BAGATELLE")</f>
        <v>0</v>
      </c>
      <c r="E154" s="5" t="n">
        <f aca="false">SUMIFS('Dados Brutos'!$C:$C,'Dados Brutos'!$B:$B,A154,'Dados Brutos'!$T:$T,"AUMA")</f>
        <v>0</v>
      </c>
      <c r="F154" s="5" t="n">
        <f aca="false">SUM(C154:E154)</f>
        <v>5280</v>
      </c>
      <c r="G154" s="7" t="n">
        <f aca="false">SUMIF('Dados Brutos'!$B:$B,A154,'Dados Brutos'!$D:$D)</f>
        <v>52</v>
      </c>
      <c r="H154" s="7" t="n">
        <f aca="false">COUNTIF('Dados Brutos'!$B:$B,A154)</f>
        <v>3</v>
      </c>
      <c r="I154" s="16" t="n">
        <f aca="false">IFERROR(F154/G154,0)</f>
        <v>101.538461538462</v>
      </c>
      <c r="J154" s="13" t="n">
        <f aca="false">(C154&gt;0)+(D154&gt;0)+(E154&gt;0)</f>
        <v>1</v>
      </c>
      <c r="K154" s="13" t="str">
        <f aca="false">IF(J154=3,"Sim","Não")</f>
        <v>Não</v>
      </c>
      <c r="L154" s="13" t="str">
        <f aca="false">IF(AND(I154&gt;=100,G154&gt;=100),"Sim","Não")</f>
        <v>Não</v>
      </c>
      <c r="M154" s="13" t="str">
        <f aca="false">IF(L154="Sim",SUMPRODUCT(($L$2:L154="Sim")*1),"")</f>
        <v/>
      </c>
    </row>
    <row r="155" customFormat="false" ht="15" hidden="false" customHeight="false" outlineLevel="0" collapsed="false">
      <c r="A155" s="13" t="s">
        <v>2183</v>
      </c>
      <c r="B155" s="13" t="s">
        <v>43</v>
      </c>
      <c r="C155" s="5" t="n">
        <f aca="false">SUMIFS('Dados Brutos'!$C:$C,'Dados Brutos'!$B:$B,A155,'Dados Brutos'!$T:$T,"SIENO")</f>
        <v>5000</v>
      </c>
      <c r="D155" s="5" t="n">
        <f aca="false">SUMIFS('Dados Brutos'!$C:$C,'Dados Brutos'!$B:$B,A155,'Dados Brutos'!$T:$T,"BAGATELLE")</f>
        <v>0</v>
      </c>
      <c r="E155" s="5" t="n">
        <f aca="false">SUMIFS('Dados Brutos'!$C:$C,'Dados Brutos'!$B:$B,A155,'Dados Brutos'!$T:$T,"AUMA")</f>
        <v>0</v>
      </c>
      <c r="F155" s="5" t="n">
        <f aca="false">SUM(C155:E155)</f>
        <v>5000</v>
      </c>
      <c r="G155" s="7" t="n">
        <f aca="false">SUMIF('Dados Brutos'!$B:$B,A155,'Dados Brutos'!$D:$D)</f>
        <v>60</v>
      </c>
      <c r="H155" s="7" t="n">
        <f aca="false">COUNTIF('Dados Brutos'!$B:$B,A155)</f>
        <v>1</v>
      </c>
      <c r="I155" s="16" t="n">
        <f aca="false">IFERROR(F155/G155,0)</f>
        <v>83.3333333333333</v>
      </c>
      <c r="J155" s="13" t="n">
        <f aca="false">(C155&gt;0)+(D155&gt;0)+(E155&gt;0)</f>
        <v>1</v>
      </c>
      <c r="K155" s="13" t="str">
        <f aca="false">IF(J155=3,"Sim","Não")</f>
        <v>Não</v>
      </c>
      <c r="L155" s="13" t="str">
        <f aca="false">IF(AND(I155&gt;=100,G155&gt;=100),"Sim","Não")</f>
        <v>Não</v>
      </c>
      <c r="M155" s="13" t="str">
        <f aca="false">IF(L155="Sim",SUMPRODUCT(($L$2:L155="Sim")*1),"")</f>
        <v/>
      </c>
    </row>
    <row r="156" customFormat="false" ht="15" hidden="false" customHeight="false" outlineLevel="0" collapsed="false">
      <c r="A156" s="13" t="s">
        <v>2184</v>
      </c>
      <c r="B156" s="13" t="s">
        <v>98</v>
      </c>
      <c r="C156" s="5" t="n">
        <f aca="false">SUMIFS('Dados Brutos'!$C:$C,'Dados Brutos'!$B:$B,A156,'Dados Brutos'!$T:$T,"SIENO")</f>
        <v>4700</v>
      </c>
      <c r="D156" s="5" t="n">
        <f aca="false">SUMIFS('Dados Brutos'!$C:$C,'Dados Brutos'!$B:$B,A156,'Dados Brutos'!$T:$T,"BAGATELLE")</f>
        <v>0</v>
      </c>
      <c r="E156" s="5" t="n">
        <f aca="false">SUMIFS('Dados Brutos'!$C:$C,'Dados Brutos'!$B:$B,A156,'Dados Brutos'!$T:$T,"AUMA")</f>
        <v>0</v>
      </c>
      <c r="F156" s="5" t="n">
        <f aca="false">SUM(C156:E156)</f>
        <v>4700</v>
      </c>
      <c r="G156" s="7" t="n">
        <f aca="false">SUMIF('Dados Brutos'!$B:$B,A156,'Dados Brutos'!$D:$D)</f>
        <v>5</v>
      </c>
      <c r="H156" s="7" t="n">
        <f aca="false">COUNTIF('Dados Brutos'!$B:$B,A156)</f>
        <v>1</v>
      </c>
      <c r="I156" s="16" t="n">
        <f aca="false">IFERROR(F156/G156,0)</f>
        <v>940</v>
      </c>
      <c r="J156" s="13" t="n">
        <f aca="false">(C156&gt;0)+(D156&gt;0)+(E156&gt;0)</f>
        <v>1</v>
      </c>
      <c r="K156" s="13" t="str">
        <f aca="false">IF(J156=3,"Sim","Não")</f>
        <v>Não</v>
      </c>
      <c r="L156" s="13" t="str">
        <f aca="false">IF(AND(I156&gt;=100,G156&gt;=100),"Sim","Não")</f>
        <v>Não</v>
      </c>
      <c r="M156" s="13" t="str">
        <f aca="false">IF(L156="Sim",SUMPRODUCT(($L$2:L156="Sim")*1),"")</f>
        <v/>
      </c>
    </row>
    <row r="157" customFormat="false" ht="15" hidden="false" customHeight="false" outlineLevel="0" collapsed="false">
      <c r="A157" s="13" t="s">
        <v>2185</v>
      </c>
      <c r="B157" s="13" t="s">
        <v>144</v>
      </c>
      <c r="C157" s="5" t="n">
        <f aca="false">SUMIFS('Dados Brutos'!$C:$C,'Dados Brutos'!$B:$B,A157,'Dados Brutos'!$T:$T,"SIENO")</f>
        <v>4620</v>
      </c>
      <c r="D157" s="5" t="n">
        <f aca="false">SUMIFS('Dados Brutos'!$C:$C,'Dados Brutos'!$B:$B,A157,'Dados Brutos'!$T:$T,"BAGATELLE")</f>
        <v>0</v>
      </c>
      <c r="E157" s="5" t="n">
        <f aca="false">SUMIFS('Dados Brutos'!$C:$C,'Dados Brutos'!$B:$B,A157,'Dados Brutos'!$T:$T,"AUMA")</f>
        <v>0</v>
      </c>
      <c r="F157" s="5" t="n">
        <f aca="false">SUM(C157:E157)</f>
        <v>4620</v>
      </c>
      <c r="G157" s="7" t="n">
        <f aca="false">SUMIF('Dados Brutos'!$B:$B,A157,'Dados Brutos'!$D:$D)</f>
        <v>35</v>
      </c>
      <c r="H157" s="7" t="n">
        <f aca="false">COUNTIF('Dados Brutos'!$B:$B,A157)</f>
        <v>2</v>
      </c>
      <c r="I157" s="16" t="n">
        <f aca="false">IFERROR(F157/G157,0)</f>
        <v>132</v>
      </c>
      <c r="J157" s="13" t="n">
        <f aca="false">(C157&gt;0)+(D157&gt;0)+(E157&gt;0)</f>
        <v>1</v>
      </c>
      <c r="K157" s="13" t="str">
        <f aca="false">IF(J157=3,"Sim","Não")</f>
        <v>Não</v>
      </c>
      <c r="L157" s="13" t="str">
        <f aca="false">IF(AND(I157&gt;=100,G157&gt;=100),"Sim","Não")</f>
        <v>Não</v>
      </c>
      <c r="M157" s="13" t="str">
        <f aca="false">IF(L157="Sim",SUMPRODUCT(($L$2:L157="Sim")*1),"")</f>
        <v/>
      </c>
    </row>
    <row r="158" customFormat="false" ht="15" hidden="false" customHeight="false" outlineLevel="0" collapsed="false">
      <c r="A158" s="13" t="s">
        <v>2186</v>
      </c>
      <c r="B158" s="13" t="s">
        <v>85</v>
      </c>
      <c r="C158" s="5" t="n">
        <f aca="false">SUMIFS('Dados Brutos'!$C:$C,'Dados Brutos'!$B:$B,A158,'Dados Brutos'!$T:$T,"SIENO")</f>
        <v>4500</v>
      </c>
      <c r="D158" s="5" t="n">
        <f aca="false">SUMIFS('Dados Brutos'!$C:$C,'Dados Brutos'!$B:$B,A158,'Dados Brutos'!$T:$T,"BAGATELLE")</f>
        <v>0</v>
      </c>
      <c r="E158" s="5" t="n">
        <f aca="false">SUMIFS('Dados Brutos'!$C:$C,'Dados Brutos'!$B:$B,A158,'Dados Brutos'!$T:$T,"AUMA")</f>
        <v>0</v>
      </c>
      <c r="F158" s="5" t="n">
        <f aca="false">SUM(C158:E158)</f>
        <v>4500</v>
      </c>
      <c r="G158" s="7" t="n">
        <f aca="false">SUMIF('Dados Brutos'!$B:$B,A158,'Dados Brutos'!$D:$D)</f>
        <v>30</v>
      </c>
      <c r="H158" s="7" t="n">
        <f aca="false">COUNTIF('Dados Brutos'!$B:$B,A158)</f>
        <v>1</v>
      </c>
      <c r="I158" s="16" t="n">
        <f aca="false">IFERROR(F158/G158,0)</f>
        <v>150</v>
      </c>
      <c r="J158" s="13" t="n">
        <f aca="false">(C158&gt;0)+(D158&gt;0)+(E158&gt;0)</f>
        <v>1</v>
      </c>
      <c r="K158" s="13" t="str">
        <f aca="false">IF(J158=3,"Sim","Não")</f>
        <v>Não</v>
      </c>
      <c r="L158" s="13" t="str">
        <f aca="false">IF(AND(I158&gt;=100,G158&gt;=100),"Sim","Não")</f>
        <v>Não</v>
      </c>
      <c r="M158" s="13" t="str">
        <f aca="false">IF(L158="Sim",SUMPRODUCT(($L$2:L158="Sim")*1),"")</f>
        <v/>
      </c>
    </row>
    <row r="159" customFormat="false" ht="15" hidden="false" customHeight="false" outlineLevel="0" collapsed="false">
      <c r="A159" s="13" t="s">
        <v>2187</v>
      </c>
      <c r="B159" s="13" t="s">
        <v>85</v>
      </c>
      <c r="C159" s="5" t="n">
        <f aca="false">SUMIFS('Dados Brutos'!$C:$C,'Dados Brutos'!$B:$B,A159,'Dados Brutos'!$T:$T,"SIENO")</f>
        <v>4430</v>
      </c>
      <c r="D159" s="5" t="n">
        <f aca="false">SUMIFS('Dados Brutos'!$C:$C,'Dados Brutos'!$B:$B,A159,'Dados Brutos'!$T:$T,"BAGATELLE")</f>
        <v>0</v>
      </c>
      <c r="E159" s="5" t="n">
        <f aca="false">SUMIFS('Dados Brutos'!$C:$C,'Dados Brutos'!$B:$B,A159,'Dados Brutos'!$T:$T,"AUMA")</f>
        <v>0</v>
      </c>
      <c r="F159" s="5" t="n">
        <f aca="false">SUM(C159:E159)</f>
        <v>4430</v>
      </c>
      <c r="G159" s="7" t="n">
        <f aca="false">SUMIF('Dados Brutos'!$B:$B,A159,'Dados Brutos'!$D:$D)</f>
        <v>31</v>
      </c>
      <c r="H159" s="7" t="n">
        <f aca="false">COUNTIF('Dados Brutos'!$B:$B,A159)</f>
        <v>8</v>
      </c>
      <c r="I159" s="16" t="n">
        <f aca="false">IFERROR(F159/G159,0)</f>
        <v>142.903225806452</v>
      </c>
      <c r="J159" s="13" t="n">
        <f aca="false">(C159&gt;0)+(D159&gt;0)+(E159&gt;0)</f>
        <v>1</v>
      </c>
      <c r="K159" s="13" t="str">
        <f aca="false">IF(J159=3,"Sim","Não")</f>
        <v>Não</v>
      </c>
      <c r="L159" s="13" t="str">
        <f aca="false">IF(AND(I159&gt;=100,G159&gt;=100),"Sim","Não")</f>
        <v>Não</v>
      </c>
      <c r="M159" s="13" t="str">
        <f aca="false">IF(L159="Sim",SUMPRODUCT(($L$2:L159="Sim")*1),"")</f>
        <v/>
      </c>
    </row>
    <row r="160" customFormat="false" ht="15" hidden="false" customHeight="false" outlineLevel="0" collapsed="false">
      <c r="A160" s="13" t="s">
        <v>2188</v>
      </c>
      <c r="B160" s="13" t="s">
        <v>43</v>
      </c>
      <c r="C160" s="5" t="n">
        <f aca="false">SUMIFS('Dados Brutos'!$C:$C,'Dados Brutos'!$B:$B,A160,'Dados Brutos'!$T:$T,"SIENO")</f>
        <v>0</v>
      </c>
      <c r="D160" s="5" t="n">
        <f aca="false">SUMIFS('Dados Brutos'!$C:$C,'Dados Brutos'!$B:$B,A160,'Dados Brutos'!$T:$T,"BAGATELLE")</f>
        <v>0</v>
      </c>
      <c r="E160" s="5" t="n">
        <f aca="false">SUMIFS('Dados Brutos'!$C:$C,'Dados Brutos'!$B:$B,A160,'Dados Brutos'!$T:$T,"AUMA")</f>
        <v>4400</v>
      </c>
      <c r="F160" s="5" t="n">
        <f aca="false">SUM(C160:E160)</f>
        <v>4400</v>
      </c>
      <c r="G160" s="7" t="n">
        <f aca="false">SUMIF('Dados Brutos'!$B:$B,A160,'Dados Brutos'!$D:$D)</f>
        <v>5</v>
      </c>
      <c r="H160" s="7" t="n">
        <f aca="false">COUNTIF('Dados Brutos'!$B:$B,A160)</f>
        <v>1</v>
      </c>
      <c r="I160" s="16" t="n">
        <f aca="false">IFERROR(F160/G160,0)</f>
        <v>880</v>
      </c>
      <c r="J160" s="13" t="n">
        <f aca="false">(C160&gt;0)+(D160&gt;0)+(E160&gt;0)</f>
        <v>1</v>
      </c>
      <c r="K160" s="13" t="str">
        <f aca="false">IF(J160=3,"Sim","Não")</f>
        <v>Não</v>
      </c>
      <c r="L160" s="13" t="str">
        <f aca="false">IF(AND(I160&gt;=100,G160&gt;=100),"Sim","Não")</f>
        <v>Não</v>
      </c>
      <c r="M160" s="13" t="str">
        <f aca="false">IF(L160="Sim",SUMPRODUCT(($L$2:L160="Sim")*1),"")</f>
        <v/>
      </c>
    </row>
    <row r="161" customFormat="false" ht="15" hidden="false" customHeight="false" outlineLevel="0" collapsed="false">
      <c r="A161" s="13" t="s">
        <v>2189</v>
      </c>
      <c r="B161" s="13" t="s">
        <v>43</v>
      </c>
      <c r="C161" s="5" t="n">
        <f aca="false">SUMIFS('Dados Brutos'!$C:$C,'Dados Brutos'!$B:$B,A161,'Dados Brutos'!$T:$T,"SIENO")</f>
        <v>0</v>
      </c>
      <c r="D161" s="5" t="n">
        <f aca="false">SUMIFS('Dados Brutos'!$C:$C,'Dados Brutos'!$B:$B,A161,'Dados Brutos'!$T:$T,"BAGATELLE")</f>
        <v>4390</v>
      </c>
      <c r="E161" s="5" t="n">
        <f aca="false">SUMIFS('Dados Brutos'!$C:$C,'Dados Brutos'!$B:$B,A161,'Dados Brutos'!$T:$T,"AUMA")</f>
        <v>0</v>
      </c>
      <c r="F161" s="5" t="n">
        <f aca="false">SUM(C161:E161)</f>
        <v>4390</v>
      </c>
      <c r="G161" s="7" t="n">
        <f aca="false">SUMIF('Dados Brutos'!$B:$B,A161,'Dados Brutos'!$D:$D)</f>
        <v>5</v>
      </c>
      <c r="H161" s="7" t="n">
        <f aca="false">COUNTIF('Dados Brutos'!$B:$B,A161)</f>
        <v>4</v>
      </c>
      <c r="I161" s="16" t="n">
        <f aca="false">IFERROR(F161/G161,0)</f>
        <v>878</v>
      </c>
      <c r="J161" s="13" t="n">
        <f aca="false">(C161&gt;0)+(D161&gt;0)+(E161&gt;0)</f>
        <v>1</v>
      </c>
      <c r="K161" s="13" t="str">
        <f aca="false">IF(J161=3,"Sim","Não")</f>
        <v>Não</v>
      </c>
      <c r="L161" s="13" t="str">
        <f aca="false">IF(AND(I161&gt;=100,G161&gt;=100),"Sim","Não")</f>
        <v>Não</v>
      </c>
      <c r="M161" s="13" t="str">
        <f aca="false">IF(L161="Sim",SUMPRODUCT(($L$2:L161="Sim")*1),"")</f>
        <v/>
      </c>
    </row>
    <row r="162" customFormat="false" ht="15" hidden="false" customHeight="false" outlineLevel="0" collapsed="false">
      <c r="A162" s="13" t="s">
        <v>2190</v>
      </c>
      <c r="B162" s="13" t="s">
        <v>43</v>
      </c>
      <c r="C162" s="5" t="n">
        <f aca="false">SUMIFS('Dados Brutos'!$C:$C,'Dados Brutos'!$B:$B,A162,'Dados Brutos'!$T:$T,"SIENO")</f>
        <v>4190</v>
      </c>
      <c r="D162" s="5" t="n">
        <f aca="false">SUMIFS('Dados Brutos'!$C:$C,'Dados Brutos'!$B:$B,A162,'Dados Brutos'!$T:$T,"BAGATELLE")</f>
        <v>0</v>
      </c>
      <c r="E162" s="5" t="n">
        <f aca="false">SUMIFS('Dados Brutos'!$C:$C,'Dados Brutos'!$B:$B,A162,'Dados Brutos'!$T:$T,"AUMA")</f>
        <v>0</v>
      </c>
      <c r="F162" s="5" t="n">
        <f aca="false">SUM(C162:E162)</f>
        <v>4190</v>
      </c>
      <c r="G162" s="7" t="n">
        <f aca="false">SUMIF('Dados Brutos'!$B:$B,A162,'Dados Brutos'!$D:$D)</f>
        <v>50</v>
      </c>
      <c r="H162" s="7" t="n">
        <f aca="false">COUNTIF('Dados Brutos'!$B:$B,A162)</f>
        <v>3</v>
      </c>
      <c r="I162" s="16" t="n">
        <f aca="false">IFERROR(F162/G162,0)</f>
        <v>83.8</v>
      </c>
      <c r="J162" s="13" t="n">
        <f aca="false">(C162&gt;0)+(D162&gt;0)+(E162&gt;0)</f>
        <v>1</v>
      </c>
      <c r="K162" s="13" t="str">
        <f aca="false">IF(J162=3,"Sim","Não")</f>
        <v>Não</v>
      </c>
      <c r="L162" s="13" t="str">
        <f aca="false">IF(AND(I162&gt;=100,G162&gt;=100),"Sim","Não")</f>
        <v>Não</v>
      </c>
      <c r="M162" s="13" t="str">
        <f aca="false">IF(L162="Sim",SUMPRODUCT(($L$2:L162="Sim")*1),"")</f>
        <v/>
      </c>
    </row>
    <row r="163" customFormat="false" ht="15" hidden="false" customHeight="false" outlineLevel="0" collapsed="false">
      <c r="A163" s="13" t="s">
        <v>2191</v>
      </c>
      <c r="B163" s="13" t="s">
        <v>85</v>
      </c>
      <c r="C163" s="5" t="n">
        <f aca="false">SUMIFS('Dados Brutos'!$C:$C,'Dados Brutos'!$B:$B,A163,'Dados Brutos'!$T:$T,"SIENO")</f>
        <v>3900</v>
      </c>
      <c r="D163" s="5" t="n">
        <f aca="false">SUMIFS('Dados Brutos'!$C:$C,'Dados Brutos'!$B:$B,A163,'Dados Brutos'!$T:$T,"BAGATELLE")</f>
        <v>0</v>
      </c>
      <c r="E163" s="5" t="n">
        <f aca="false">SUMIFS('Dados Brutos'!$C:$C,'Dados Brutos'!$B:$B,A163,'Dados Brutos'!$T:$T,"AUMA")</f>
        <v>0</v>
      </c>
      <c r="F163" s="5" t="n">
        <f aca="false">SUM(C163:E163)</f>
        <v>3900</v>
      </c>
      <c r="G163" s="7" t="n">
        <f aca="false">SUMIF('Dados Brutos'!$B:$B,A163,'Dados Brutos'!$D:$D)</f>
        <v>10</v>
      </c>
      <c r="H163" s="7" t="n">
        <f aca="false">COUNTIF('Dados Brutos'!$B:$B,A163)</f>
        <v>2</v>
      </c>
      <c r="I163" s="16" t="n">
        <f aca="false">IFERROR(F163/G163,0)</f>
        <v>390</v>
      </c>
      <c r="J163" s="13" t="n">
        <f aca="false">(C163&gt;0)+(D163&gt;0)+(E163&gt;0)</f>
        <v>1</v>
      </c>
      <c r="K163" s="13" t="str">
        <f aca="false">IF(J163=3,"Sim","Não")</f>
        <v>Não</v>
      </c>
      <c r="L163" s="13" t="str">
        <f aca="false">IF(AND(I163&gt;=100,G163&gt;=100),"Sim","Não")</f>
        <v>Não</v>
      </c>
      <c r="M163" s="13" t="str">
        <f aca="false">IF(L163="Sim",SUMPRODUCT(($L$2:L163="Sim")*1),"")</f>
        <v/>
      </c>
    </row>
    <row r="164" customFormat="false" ht="15" hidden="false" customHeight="false" outlineLevel="0" collapsed="false">
      <c r="A164" s="13" t="s">
        <v>2192</v>
      </c>
      <c r="B164" s="13" t="s">
        <v>85</v>
      </c>
      <c r="C164" s="5" t="n">
        <f aca="false">SUMIFS('Dados Brutos'!$C:$C,'Dados Brutos'!$B:$B,A164,'Dados Brutos'!$T:$T,"SIENO")</f>
        <v>0</v>
      </c>
      <c r="D164" s="5" t="n">
        <f aca="false">SUMIFS('Dados Brutos'!$C:$C,'Dados Brutos'!$B:$B,A164,'Dados Brutos'!$T:$T,"BAGATELLE")</f>
        <v>0</v>
      </c>
      <c r="E164" s="5" t="n">
        <f aca="false">SUMIFS('Dados Brutos'!$C:$C,'Dados Brutos'!$B:$B,A164,'Dados Brutos'!$T:$T,"AUMA")</f>
        <v>3730</v>
      </c>
      <c r="F164" s="5" t="n">
        <f aca="false">SUM(C164:E164)</f>
        <v>3730</v>
      </c>
      <c r="G164" s="7" t="n">
        <f aca="false">SUMIF('Dados Brutos'!$B:$B,A164,'Dados Brutos'!$D:$D)</f>
        <v>13</v>
      </c>
      <c r="H164" s="7" t="n">
        <f aca="false">COUNTIF('Dados Brutos'!$B:$B,A164)</f>
        <v>9</v>
      </c>
      <c r="I164" s="16" t="n">
        <f aca="false">IFERROR(F164/G164,0)</f>
        <v>286.923076923077</v>
      </c>
      <c r="J164" s="13" t="n">
        <f aca="false">(C164&gt;0)+(D164&gt;0)+(E164&gt;0)</f>
        <v>1</v>
      </c>
      <c r="K164" s="13" t="str">
        <f aca="false">IF(J164=3,"Sim","Não")</f>
        <v>Não</v>
      </c>
      <c r="L164" s="13" t="str">
        <f aca="false">IF(AND(I164&gt;=100,G164&gt;=100),"Sim","Não")</f>
        <v>Não</v>
      </c>
      <c r="M164" s="13" t="str">
        <f aca="false">IF(L164="Sim",SUMPRODUCT(($L$2:L164="Sim")*1),"")</f>
        <v/>
      </c>
    </row>
    <row r="165" customFormat="false" ht="15" hidden="false" customHeight="false" outlineLevel="0" collapsed="false">
      <c r="A165" s="13" t="s">
        <v>2193</v>
      </c>
      <c r="B165" s="13" t="s">
        <v>43</v>
      </c>
      <c r="C165" s="5" t="n">
        <f aca="false">SUMIFS('Dados Brutos'!$C:$C,'Dados Brutos'!$B:$B,A165,'Dados Brutos'!$T:$T,"SIENO")</f>
        <v>0</v>
      </c>
      <c r="D165" s="5" t="n">
        <f aca="false">SUMIFS('Dados Brutos'!$C:$C,'Dados Brutos'!$B:$B,A165,'Dados Brutos'!$T:$T,"BAGATELLE")</f>
        <v>3590</v>
      </c>
      <c r="E165" s="5" t="n">
        <f aca="false">SUMIFS('Dados Brutos'!$C:$C,'Dados Brutos'!$B:$B,A165,'Dados Brutos'!$T:$T,"AUMA")</f>
        <v>0</v>
      </c>
      <c r="F165" s="5" t="n">
        <f aca="false">SUM(C165:E165)</f>
        <v>3590</v>
      </c>
      <c r="G165" s="7" t="n">
        <f aca="false">SUMIF('Dados Brutos'!$B:$B,A165,'Dados Brutos'!$D:$D)</f>
        <v>5</v>
      </c>
      <c r="H165" s="7" t="n">
        <f aca="false">COUNTIF('Dados Brutos'!$B:$B,A165)</f>
        <v>4</v>
      </c>
      <c r="I165" s="16" t="n">
        <f aca="false">IFERROR(F165/G165,0)</f>
        <v>718</v>
      </c>
      <c r="J165" s="13" t="n">
        <f aca="false">(C165&gt;0)+(D165&gt;0)+(E165&gt;0)</f>
        <v>1</v>
      </c>
      <c r="K165" s="13" t="str">
        <f aca="false">IF(J165=3,"Sim","Não")</f>
        <v>Não</v>
      </c>
      <c r="L165" s="13" t="str">
        <f aca="false">IF(AND(I165&gt;=100,G165&gt;=100),"Sim","Não")</f>
        <v>Não</v>
      </c>
      <c r="M165" s="13" t="str">
        <f aca="false">IF(L165="Sim",SUMPRODUCT(($L$2:L165="Sim")*1),"")</f>
        <v/>
      </c>
    </row>
    <row r="166" customFormat="false" ht="15" hidden="false" customHeight="false" outlineLevel="0" collapsed="false">
      <c r="A166" s="13" t="s">
        <v>2194</v>
      </c>
      <c r="B166" s="13" t="s">
        <v>85</v>
      </c>
      <c r="C166" s="5" t="n">
        <f aca="false">SUMIFS('Dados Brutos'!$C:$C,'Dados Brutos'!$B:$B,A166,'Dados Brutos'!$T:$T,"SIENO")</f>
        <v>0</v>
      </c>
      <c r="D166" s="5" t="n">
        <f aca="false">SUMIFS('Dados Brutos'!$C:$C,'Dados Brutos'!$B:$B,A166,'Dados Brutos'!$T:$T,"BAGATELLE")</f>
        <v>0</v>
      </c>
      <c r="E166" s="5" t="n">
        <f aca="false">SUMIFS('Dados Brutos'!$C:$C,'Dados Brutos'!$B:$B,A166,'Dados Brutos'!$T:$T,"AUMA")</f>
        <v>3520</v>
      </c>
      <c r="F166" s="5" t="n">
        <f aca="false">SUM(C166:E166)</f>
        <v>3520</v>
      </c>
      <c r="G166" s="7" t="n">
        <f aca="false">SUMIF('Dados Brutos'!$B:$B,A166,'Dados Brutos'!$D:$D)</f>
        <v>67</v>
      </c>
      <c r="H166" s="7" t="n">
        <f aca="false">COUNTIF('Dados Brutos'!$B:$B,A166)</f>
        <v>27</v>
      </c>
      <c r="I166" s="16" t="n">
        <f aca="false">IFERROR(F166/G166,0)</f>
        <v>52.5373134328358</v>
      </c>
      <c r="J166" s="13" t="n">
        <f aca="false">(C166&gt;0)+(D166&gt;0)+(E166&gt;0)</f>
        <v>1</v>
      </c>
      <c r="K166" s="13" t="str">
        <f aca="false">IF(J166=3,"Sim","Não")</f>
        <v>Não</v>
      </c>
      <c r="L166" s="13" t="str">
        <f aca="false">IF(AND(I166&gt;=100,G166&gt;=100),"Sim","Não")</f>
        <v>Não</v>
      </c>
      <c r="M166" s="13" t="str">
        <f aca="false">IF(L166="Sim",SUMPRODUCT(($L$2:L166="Sim")*1),"")</f>
        <v/>
      </c>
    </row>
    <row r="167" customFormat="false" ht="15" hidden="false" customHeight="false" outlineLevel="0" collapsed="false">
      <c r="A167" s="13" t="s">
        <v>2195</v>
      </c>
      <c r="B167" s="13" t="s">
        <v>129</v>
      </c>
      <c r="C167" s="5" t="n">
        <f aca="false">SUMIFS('Dados Brutos'!$C:$C,'Dados Brutos'!$B:$B,A167,'Dados Brutos'!$T:$T,"SIENO")</f>
        <v>3510</v>
      </c>
      <c r="D167" s="5" t="n">
        <f aca="false">SUMIFS('Dados Brutos'!$C:$C,'Dados Brutos'!$B:$B,A167,'Dados Brutos'!$T:$T,"BAGATELLE")</f>
        <v>0</v>
      </c>
      <c r="E167" s="5" t="n">
        <f aca="false">SUMIFS('Dados Brutos'!$C:$C,'Dados Brutos'!$B:$B,A167,'Dados Brutos'!$T:$T,"AUMA")</f>
        <v>0</v>
      </c>
      <c r="F167" s="5" t="n">
        <f aca="false">SUM(C167:E167)</f>
        <v>3510</v>
      </c>
      <c r="G167" s="7" t="n">
        <f aca="false">SUMIF('Dados Brutos'!$B:$B,A167,'Dados Brutos'!$D:$D)</f>
        <v>42</v>
      </c>
      <c r="H167" s="7" t="n">
        <f aca="false">COUNTIF('Dados Brutos'!$B:$B,A167)</f>
        <v>2</v>
      </c>
      <c r="I167" s="16" t="n">
        <f aca="false">IFERROR(F167/G167,0)</f>
        <v>83.5714285714286</v>
      </c>
      <c r="J167" s="13" t="n">
        <f aca="false">(C167&gt;0)+(D167&gt;0)+(E167&gt;0)</f>
        <v>1</v>
      </c>
      <c r="K167" s="13" t="str">
        <f aca="false">IF(J167=3,"Sim","Não")</f>
        <v>Não</v>
      </c>
      <c r="L167" s="13" t="str">
        <f aca="false">IF(AND(I167&gt;=100,G167&gt;=100),"Sim","Não")</f>
        <v>Não</v>
      </c>
      <c r="M167" s="13" t="str">
        <f aca="false">IF(L167="Sim",SUMPRODUCT(($L$2:L167="Sim")*1),"")</f>
        <v/>
      </c>
    </row>
    <row r="168" customFormat="false" ht="15" hidden="false" customHeight="false" outlineLevel="0" collapsed="false">
      <c r="A168" s="13" t="s">
        <v>2196</v>
      </c>
      <c r="B168" s="13" t="s">
        <v>183</v>
      </c>
      <c r="C168" s="5" t="n">
        <f aca="false">SUMIFS('Dados Brutos'!$C:$C,'Dados Brutos'!$B:$B,A168,'Dados Brutos'!$T:$T,"SIENO")</f>
        <v>3500</v>
      </c>
      <c r="D168" s="5" t="n">
        <f aca="false">SUMIFS('Dados Brutos'!$C:$C,'Dados Brutos'!$B:$B,A168,'Dados Brutos'!$T:$T,"BAGATELLE")</f>
        <v>0</v>
      </c>
      <c r="E168" s="5" t="n">
        <f aca="false">SUMIFS('Dados Brutos'!$C:$C,'Dados Brutos'!$B:$B,A168,'Dados Brutos'!$T:$T,"AUMA")</f>
        <v>0</v>
      </c>
      <c r="F168" s="5" t="n">
        <f aca="false">SUM(C168:E168)</f>
        <v>3500</v>
      </c>
      <c r="G168" s="7" t="n">
        <f aca="false">SUMIF('Dados Brutos'!$B:$B,A168,'Dados Brutos'!$D:$D)</f>
        <v>30</v>
      </c>
      <c r="H168" s="7" t="n">
        <f aca="false">COUNTIF('Dados Brutos'!$B:$B,A168)</f>
        <v>1</v>
      </c>
      <c r="I168" s="16" t="n">
        <f aca="false">IFERROR(F168/G168,0)</f>
        <v>116.666666666667</v>
      </c>
      <c r="J168" s="13" t="n">
        <f aca="false">(C168&gt;0)+(D168&gt;0)+(E168&gt;0)</f>
        <v>1</v>
      </c>
      <c r="K168" s="13" t="str">
        <f aca="false">IF(J168=3,"Sim","Não")</f>
        <v>Não</v>
      </c>
      <c r="L168" s="13" t="str">
        <f aca="false">IF(AND(I168&gt;=100,G168&gt;=100),"Sim","Não")</f>
        <v>Não</v>
      </c>
      <c r="M168" s="13" t="str">
        <f aca="false">IF(L168="Sim",SUMPRODUCT(($L$2:L168="Sim")*1),"")</f>
        <v/>
      </c>
    </row>
    <row r="169" customFormat="false" ht="15" hidden="false" customHeight="false" outlineLevel="0" collapsed="false">
      <c r="A169" s="13" t="s">
        <v>2197</v>
      </c>
      <c r="B169" s="13" t="s">
        <v>85</v>
      </c>
      <c r="C169" s="5" t="n">
        <f aca="false">SUMIFS('Dados Brutos'!$C:$C,'Dados Brutos'!$B:$B,A169,'Dados Brutos'!$T:$T,"SIENO")</f>
        <v>3470</v>
      </c>
      <c r="D169" s="5" t="n">
        <f aca="false">SUMIFS('Dados Brutos'!$C:$C,'Dados Brutos'!$B:$B,A169,'Dados Brutos'!$T:$T,"BAGATELLE")</f>
        <v>0</v>
      </c>
      <c r="E169" s="5" t="n">
        <f aca="false">SUMIFS('Dados Brutos'!$C:$C,'Dados Brutos'!$B:$B,A169,'Dados Brutos'!$T:$T,"AUMA")</f>
        <v>0</v>
      </c>
      <c r="F169" s="5" t="n">
        <f aca="false">SUM(C169:E169)</f>
        <v>3470</v>
      </c>
      <c r="G169" s="7" t="n">
        <f aca="false">SUMIF('Dados Brutos'!$B:$B,A169,'Dados Brutos'!$D:$D)</f>
        <v>90</v>
      </c>
      <c r="H169" s="7" t="n">
        <f aca="false">COUNTIF('Dados Brutos'!$B:$B,A169)</f>
        <v>2</v>
      </c>
      <c r="I169" s="16" t="n">
        <f aca="false">IFERROR(F169/G169,0)</f>
        <v>38.5555555555556</v>
      </c>
      <c r="J169" s="13" t="n">
        <f aca="false">(C169&gt;0)+(D169&gt;0)+(E169&gt;0)</f>
        <v>1</v>
      </c>
      <c r="K169" s="13" t="str">
        <f aca="false">IF(J169=3,"Sim","Não")</f>
        <v>Não</v>
      </c>
      <c r="L169" s="13" t="str">
        <f aca="false">IF(AND(I169&gt;=100,G169&gt;=100),"Sim","Não")</f>
        <v>Não</v>
      </c>
      <c r="M169" s="13" t="str">
        <f aca="false">IF(L169="Sim",SUMPRODUCT(($L$2:L169="Sim")*1),"")</f>
        <v/>
      </c>
    </row>
    <row r="170" customFormat="false" ht="15" hidden="false" customHeight="false" outlineLevel="0" collapsed="false">
      <c r="A170" s="13" t="s">
        <v>2198</v>
      </c>
      <c r="B170" s="13" t="s">
        <v>43</v>
      </c>
      <c r="C170" s="5" t="n">
        <f aca="false">SUMIFS('Dados Brutos'!$C:$C,'Dados Brutos'!$B:$B,A170,'Dados Brutos'!$T:$T,"SIENO")</f>
        <v>0</v>
      </c>
      <c r="D170" s="5" t="n">
        <f aca="false">SUMIFS('Dados Brutos'!$C:$C,'Dados Brutos'!$B:$B,A170,'Dados Brutos'!$T:$T,"BAGATELLE")</f>
        <v>3430</v>
      </c>
      <c r="E170" s="5" t="n">
        <f aca="false">SUMIFS('Dados Brutos'!$C:$C,'Dados Brutos'!$B:$B,A170,'Dados Brutos'!$T:$T,"AUMA")</f>
        <v>0</v>
      </c>
      <c r="F170" s="5" t="n">
        <f aca="false">SUM(C170:E170)</f>
        <v>3430</v>
      </c>
      <c r="G170" s="7" t="n">
        <f aca="false">SUMIF('Dados Brutos'!$B:$B,A170,'Dados Brutos'!$D:$D)</f>
        <v>10</v>
      </c>
      <c r="H170" s="7" t="n">
        <f aca="false">COUNTIF('Dados Brutos'!$B:$B,A170)</f>
        <v>4</v>
      </c>
      <c r="I170" s="16" t="n">
        <f aca="false">IFERROR(F170/G170,0)</f>
        <v>343</v>
      </c>
      <c r="J170" s="13" t="n">
        <f aca="false">(C170&gt;0)+(D170&gt;0)+(E170&gt;0)</f>
        <v>1</v>
      </c>
      <c r="K170" s="13" t="str">
        <f aca="false">IF(J170=3,"Sim","Não")</f>
        <v>Não</v>
      </c>
      <c r="L170" s="13" t="str">
        <f aca="false">IF(AND(I170&gt;=100,G170&gt;=100),"Sim","Não")</f>
        <v>Não</v>
      </c>
      <c r="M170" s="13" t="str">
        <f aca="false">IF(L170="Sim",SUMPRODUCT(($L$2:L170="Sim")*1),"")</f>
        <v/>
      </c>
    </row>
    <row r="171" customFormat="false" ht="15" hidden="false" customHeight="false" outlineLevel="0" collapsed="false">
      <c r="A171" s="13" t="s">
        <v>2199</v>
      </c>
      <c r="B171" s="13" t="s">
        <v>43</v>
      </c>
      <c r="C171" s="5" t="n">
        <f aca="false">SUMIFS('Dados Brutos'!$C:$C,'Dados Brutos'!$B:$B,A171,'Dados Brutos'!$T:$T,"SIENO")</f>
        <v>0</v>
      </c>
      <c r="D171" s="5" t="n">
        <f aca="false">SUMIFS('Dados Brutos'!$C:$C,'Dados Brutos'!$B:$B,A171,'Dados Brutos'!$T:$T,"BAGATELLE")</f>
        <v>0</v>
      </c>
      <c r="E171" s="5" t="n">
        <f aca="false">SUMIFS('Dados Brutos'!$C:$C,'Dados Brutos'!$B:$B,A171,'Dados Brutos'!$T:$T,"AUMA")</f>
        <v>3390</v>
      </c>
      <c r="F171" s="5" t="n">
        <f aca="false">SUM(C171:E171)</f>
        <v>3390</v>
      </c>
      <c r="G171" s="7" t="n">
        <f aca="false">SUMIF('Dados Brutos'!$B:$B,A171,'Dados Brutos'!$D:$D)</f>
        <v>7</v>
      </c>
      <c r="H171" s="7" t="n">
        <f aca="false">COUNTIF('Dados Brutos'!$B:$B,A171)</f>
        <v>3</v>
      </c>
      <c r="I171" s="16" t="n">
        <f aca="false">IFERROR(F171/G171,0)</f>
        <v>484.285714285714</v>
      </c>
      <c r="J171" s="13" t="n">
        <f aca="false">(C171&gt;0)+(D171&gt;0)+(E171&gt;0)</f>
        <v>1</v>
      </c>
      <c r="K171" s="13" t="str">
        <f aca="false">IF(J171=3,"Sim","Não")</f>
        <v>Não</v>
      </c>
      <c r="L171" s="13" t="str">
        <f aca="false">IF(AND(I171&gt;=100,G171&gt;=100),"Sim","Não")</f>
        <v>Não</v>
      </c>
      <c r="M171" s="13" t="str">
        <f aca="false">IF(L171="Sim",SUMPRODUCT(($L$2:L171="Sim")*1),"")</f>
        <v/>
      </c>
    </row>
    <row r="172" customFormat="false" ht="15" hidden="false" customHeight="false" outlineLevel="0" collapsed="false">
      <c r="A172" s="13" t="s">
        <v>2200</v>
      </c>
      <c r="B172" s="13" t="s">
        <v>85</v>
      </c>
      <c r="C172" s="5" t="n">
        <f aca="false">SUMIFS('Dados Brutos'!$C:$C,'Dados Brutos'!$B:$B,A172,'Dados Brutos'!$T:$T,"SIENO")</f>
        <v>0</v>
      </c>
      <c r="D172" s="5" t="n">
        <f aca="false">SUMIFS('Dados Brutos'!$C:$C,'Dados Brutos'!$B:$B,A172,'Dados Brutos'!$T:$T,"BAGATELLE")</f>
        <v>0</v>
      </c>
      <c r="E172" s="5" t="n">
        <f aca="false">SUMIFS('Dados Brutos'!$C:$C,'Dados Brutos'!$B:$B,A172,'Dados Brutos'!$T:$T,"AUMA")</f>
        <v>3300</v>
      </c>
      <c r="F172" s="5" t="n">
        <f aca="false">SUM(C172:E172)</f>
        <v>3300</v>
      </c>
      <c r="G172" s="7" t="n">
        <f aca="false">SUMIF('Dados Brutos'!$B:$B,A172,'Dados Brutos'!$D:$D)</f>
        <v>15</v>
      </c>
      <c r="H172" s="7" t="n">
        <f aca="false">COUNTIF('Dados Brutos'!$B:$B,A172)</f>
        <v>8</v>
      </c>
      <c r="I172" s="16" t="n">
        <f aca="false">IFERROR(F172/G172,0)</f>
        <v>220</v>
      </c>
      <c r="J172" s="13" t="n">
        <f aca="false">(C172&gt;0)+(D172&gt;0)+(E172&gt;0)</f>
        <v>1</v>
      </c>
      <c r="K172" s="13" t="str">
        <f aca="false">IF(J172=3,"Sim","Não")</f>
        <v>Não</v>
      </c>
      <c r="L172" s="13" t="str">
        <f aca="false">IF(AND(I172&gt;=100,G172&gt;=100),"Sim","Não")</f>
        <v>Não</v>
      </c>
      <c r="M172" s="13" t="str">
        <f aca="false">IF(L172="Sim",SUMPRODUCT(($L$2:L172="Sim")*1),"")</f>
        <v/>
      </c>
    </row>
    <row r="173" customFormat="false" ht="15" hidden="false" customHeight="false" outlineLevel="0" collapsed="false">
      <c r="A173" s="13" t="s">
        <v>2201</v>
      </c>
      <c r="B173" s="13" t="s">
        <v>43</v>
      </c>
      <c r="C173" s="5" t="n">
        <f aca="false">SUMIFS('Dados Brutos'!$C:$C,'Dados Brutos'!$B:$B,A173,'Dados Brutos'!$T:$T,"SIENO")</f>
        <v>0</v>
      </c>
      <c r="D173" s="5" t="n">
        <f aca="false">SUMIFS('Dados Brutos'!$C:$C,'Dados Brutos'!$B:$B,A173,'Dados Brutos'!$T:$T,"BAGATELLE")</f>
        <v>0</v>
      </c>
      <c r="E173" s="5" t="n">
        <f aca="false">SUMIFS('Dados Brutos'!$C:$C,'Dados Brutos'!$B:$B,A173,'Dados Brutos'!$T:$T,"AUMA")</f>
        <v>3300</v>
      </c>
      <c r="F173" s="5" t="n">
        <f aca="false">SUM(C173:E173)</f>
        <v>3300</v>
      </c>
      <c r="G173" s="7" t="n">
        <f aca="false">SUMIF('Dados Brutos'!$B:$B,A173,'Dados Brutos'!$D:$D)</f>
        <v>14</v>
      </c>
      <c r="H173" s="7" t="n">
        <f aca="false">COUNTIF('Dados Brutos'!$B:$B,A173)</f>
        <v>5</v>
      </c>
      <c r="I173" s="16" t="n">
        <f aca="false">IFERROR(F173/G173,0)</f>
        <v>235.714285714286</v>
      </c>
      <c r="J173" s="13" t="n">
        <f aca="false">(C173&gt;0)+(D173&gt;0)+(E173&gt;0)</f>
        <v>1</v>
      </c>
      <c r="K173" s="13" t="str">
        <f aca="false">IF(J173=3,"Sim","Não")</f>
        <v>Não</v>
      </c>
      <c r="L173" s="13" t="str">
        <f aca="false">IF(AND(I173&gt;=100,G173&gt;=100),"Sim","Não")</f>
        <v>Não</v>
      </c>
      <c r="M173" s="13" t="str">
        <f aca="false">IF(L173="Sim",SUMPRODUCT(($L$2:L173="Sim")*1),"")</f>
        <v/>
      </c>
    </row>
    <row r="174" customFormat="false" ht="15" hidden="false" customHeight="false" outlineLevel="0" collapsed="false">
      <c r="A174" s="13" t="s">
        <v>2202</v>
      </c>
      <c r="B174" s="13" t="s">
        <v>140</v>
      </c>
      <c r="C174" s="5" t="n">
        <f aca="false">SUMIFS('Dados Brutos'!$C:$C,'Dados Brutos'!$B:$B,A174,'Dados Brutos'!$T:$T,"SIENO")</f>
        <v>3200</v>
      </c>
      <c r="D174" s="5" t="n">
        <f aca="false">SUMIFS('Dados Brutos'!$C:$C,'Dados Brutos'!$B:$B,A174,'Dados Brutos'!$T:$T,"BAGATELLE")</f>
        <v>0</v>
      </c>
      <c r="E174" s="5" t="n">
        <f aca="false">SUMIFS('Dados Brutos'!$C:$C,'Dados Brutos'!$B:$B,A174,'Dados Brutos'!$T:$T,"AUMA")</f>
        <v>0</v>
      </c>
      <c r="F174" s="5" t="n">
        <f aca="false">SUM(C174:E174)</f>
        <v>3200</v>
      </c>
      <c r="G174" s="7" t="n">
        <f aca="false">SUMIF('Dados Brutos'!$B:$B,A174,'Dados Brutos'!$D:$D)</f>
        <v>100</v>
      </c>
      <c r="H174" s="7" t="n">
        <f aca="false">COUNTIF('Dados Brutos'!$B:$B,A174)</f>
        <v>2</v>
      </c>
      <c r="I174" s="16" t="n">
        <f aca="false">IFERROR(F174/G174,0)</f>
        <v>32</v>
      </c>
      <c r="J174" s="13" t="n">
        <f aca="false">(C174&gt;0)+(D174&gt;0)+(E174&gt;0)</f>
        <v>1</v>
      </c>
      <c r="K174" s="13" t="str">
        <f aca="false">IF(J174=3,"Sim","Não")</f>
        <v>Não</v>
      </c>
      <c r="L174" s="13" t="str">
        <f aca="false">IF(AND(I174&gt;=100,G174&gt;=100),"Sim","Não")</f>
        <v>Não</v>
      </c>
      <c r="M174" s="13" t="str">
        <f aca="false">IF(L174="Sim",SUMPRODUCT(($L$2:L174="Sim")*1),"")</f>
        <v/>
      </c>
    </row>
    <row r="175" customFormat="false" ht="15" hidden="false" customHeight="false" outlineLevel="0" collapsed="false">
      <c r="A175" s="13" t="s">
        <v>2203</v>
      </c>
      <c r="B175" s="13" t="s">
        <v>43</v>
      </c>
      <c r="C175" s="5" t="n">
        <f aca="false">SUMIFS('Dados Brutos'!$C:$C,'Dados Brutos'!$B:$B,A175,'Dados Brutos'!$T:$T,"SIENO")</f>
        <v>3200</v>
      </c>
      <c r="D175" s="5" t="n">
        <f aca="false">SUMIFS('Dados Brutos'!$C:$C,'Dados Brutos'!$B:$B,A175,'Dados Brutos'!$T:$T,"BAGATELLE")</f>
        <v>0</v>
      </c>
      <c r="E175" s="5" t="n">
        <f aca="false">SUMIFS('Dados Brutos'!$C:$C,'Dados Brutos'!$B:$B,A175,'Dados Brutos'!$T:$T,"AUMA")</f>
        <v>0</v>
      </c>
      <c r="F175" s="5" t="n">
        <f aca="false">SUM(C175:E175)</f>
        <v>3200</v>
      </c>
      <c r="G175" s="7" t="n">
        <f aca="false">SUMIF('Dados Brutos'!$B:$B,A175,'Dados Brutos'!$D:$D)</f>
        <v>6</v>
      </c>
      <c r="H175" s="7" t="n">
        <f aca="false">COUNTIF('Dados Brutos'!$B:$B,A175)</f>
        <v>2</v>
      </c>
      <c r="I175" s="16" t="n">
        <f aca="false">IFERROR(F175/G175,0)</f>
        <v>533.333333333333</v>
      </c>
      <c r="J175" s="13" t="n">
        <f aca="false">(C175&gt;0)+(D175&gt;0)+(E175&gt;0)</f>
        <v>1</v>
      </c>
      <c r="K175" s="13" t="str">
        <f aca="false">IF(J175=3,"Sim","Não")</f>
        <v>Não</v>
      </c>
      <c r="L175" s="13" t="str">
        <f aca="false">IF(AND(I175&gt;=100,G175&gt;=100),"Sim","Não")</f>
        <v>Não</v>
      </c>
      <c r="M175" s="13" t="str">
        <f aca="false">IF(L175="Sim",SUMPRODUCT(($L$2:L175="Sim")*1),"")</f>
        <v/>
      </c>
    </row>
    <row r="176" customFormat="false" ht="15" hidden="false" customHeight="false" outlineLevel="0" collapsed="false">
      <c r="A176" s="13" t="s">
        <v>2204</v>
      </c>
      <c r="B176" s="13" t="s">
        <v>57</v>
      </c>
      <c r="C176" s="5" t="n">
        <f aca="false">SUMIFS('Dados Brutos'!$C:$C,'Dados Brutos'!$B:$B,A176,'Dados Brutos'!$T:$T,"SIENO")</f>
        <v>3100</v>
      </c>
      <c r="D176" s="5" t="n">
        <f aca="false">SUMIFS('Dados Brutos'!$C:$C,'Dados Brutos'!$B:$B,A176,'Dados Brutos'!$T:$T,"BAGATELLE")</f>
        <v>0</v>
      </c>
      <c r="E176" s="5" t="n">
        <f aca="false">SUMIFS('Dados Brutos'!$C:$C,'Dados Brutos'!$B:$B,A176,'Dados Brutos'!$T:$T,"AUMA")</f>
        <v>0</v>
      </c>
      <c r="F176" s="5" t="n">
        <f aca="false">SUM(C176:E176)</f>
        <v>3100</v>
      </c>
      <c r="G176" s="7" t="n">
        <f aca="false">SUMIF('Dados Brutos'!$B:$B,A176,'Dados Brutos'!$D:$D)</f>
        <v>30</v>
      </c>
      <c r="H176" s="7" t="n">
        <f aca="false">COUNTIF('Dados Brutos'!$B:$B,A176)</f>
        <v>1</v>
      </c>
      <c r="I176" s="16" t="n">
        <f aca="false">IFERROR(F176/G176,0)</f>
        <v>103.333333333333</v>
      </c>
      <c r="J176" s="13" t="n">
        <f aca="false">(C176&gt;0)+(D176&gt;0)+(E176&gt;0)</f>
        <v>1</v>
      </c>
      <c r="K176" s="13" t="str">
        <f aca="false">IF(J176=3,"Sim","Não")</f>
        <v>Não</v>
      </c>
      <c r="L176" s="13" t="str">
        <f aca="false">IF(AND(I176&gt;=100,G176&gt;=100),"Sim","Não")</f>
        <v>Não</v>
      </c>
      <c r="M176" s="13" t="str">
        <f aca="false">IF(L176="Sim",SUMPRODUCT(($L$2:L176="Sim")*1),"")</f>
        <v/>
      </c>
    </row>
    <row r="177" customFormat="false" ht="15" hidden="false" customHeight="false" outlineLevel="0" collapsed="false">
      <c r="A177" s="13" t="s">
        <v>2205</v>
      </c>
      <c r="B177" s="13" t="s">
        <v>43</v>
      </c>
      <c r="C177" s="5" t="n">
        <f aca="false">SUMIFS('Dados Brutos'!$C:$C,'Dados Brutos'!$B:$B,A177,'Dados Brutos'!$T:$T,"SIENO")</f>
        <v>0</v>
      </c>
      <c r="D177" s="5" t="n">
        <f aca="false">SUMIFS('Dados Brutos'!$C:$C,'Dados Brutos'!$B:$B,A177,'Dados Brutos'!$T:$T,"BAGATELLE")</f>
        <v>3100</v>
      </c>
      <c r="E177" s="5" t="n">
        <f aca="false">SUMIFS('Dados Brutos'!$C:$C,'Dados Brutos'!$B:$B,A177,'Dados Brutos'!$T:$T,"AUMA")</f>
        <v>0</v>
      </c>
      <c r="F177" s="5" t="n">
        <f aca="false">SUM(C177:E177)</f>
        <v>3100</v>
      </c>
      <c r="G177" s="7" t="n">
        <f aca="false">SUMIF('Dados Brutos'!$B:$B,A177,'Dados Brutos'!$D:$D)</f>
        <v>10</v>
      </c>
      <c r="H177" s="7" t="n">
        <f aca="false">COUNTIF('Dados Brutos'!$B:$B,A177)</f>
        <v>2</v>
      </c>
      <c r="I177" s="16" t="n">
        <f aca="false">IFERROR(F177/G177,0)</f>
        <v>310</v>
      </c>
      <c r="J177" s="13" t="n">
        <f aca="false">(C177&gt;0)+(D177&gt;0)+(E177&gt;0)</f>
        <v>1</v>
      </c>
      <c r="K177" s="13" t="str">
        <f aca="false">IF(J177=3,"Sim","Não")</f>
        <v>Não</v>
      </c>
      <c r="L177" s="13" t="str">
        <f aca="false">IF(AND(I177&gt;=100,G177&gt;=100),"Sim","Não")</f>
        <v>Não</v>
      </c>
      <c r="M177" s="13" t="str">
        <f aca="false">IF(L177="Sim",SUMPRODUCT(($L$2:L177="Sim")*1),"")</f>
        <v/>
      </c>
    </row>
    <row r="178" customFormat="false" ht="15" hidden="false" customHeight="false" outlineLevel="0" collapsed="false">
      <c r="A178" s="13" t="s">
        <v>2206</v>
      </c>
      <c r="B178" s="13" t="s">
        <v>85</v>
      </c>
      <c r="C178" s="5" t="n">
        <f aca="false">SUMIFS('Dados Brutos'!$C:$C,'Dados Brutos'!$B:$B,A178,'Dados Brutos'!$T:$T,"SIENO")</f>
        <v>3050</v>
      </c>
      <c r="D178" s="5" t="n">
        <f aca="false">SUMIFS('Dados Brutos'!$C:$C,'Dados Brutos'!$B:$B,A178,'Dados Brutos'!$T:$T,"BAGATELLE")</f>
        <v>0</v>
      </c>
      <c r="E178" s="5" t="n">
        <f aca="false">SUMIFS('Dados Brutos'!$C:$C,'Dados Brutos'!$B:$B,A178,'Dados Brutos'!$T:$T,"AUMA")</f>
        <v>0</v>
      </c>
      <c r="F178" s="5" t="n">
        <f aca="false">SUM(C178:E178)</f>
        <v>3050</v>
      </c>
      <c r="G178" s="7" t="n">
        <f aca="false">SUMIF('Dados Brutos'!$B:$B,A178,'Dados Brutos'!$D:$D)</f>
        <v>21</v>
      </c>
      <c r="H178" s="7" t="n">
        <f aca="false">COUNTIF('Dados Brutos'!$B:$B,A178)</f>
        <v>4</v>
      </c>
      <c r="I178" s="16" t="n">
        <f aca="false">IFERROR(F178/G178,0)</f>
        <v>145.238095238095</v>
      </c>
      <c r="J178" s="13" t="n">
        <f aca="false">(C178&gt;0)+(D178&gt;0)+(E178&gt;0)</f>
        <v>1</v>
      </c>
      <c r="K178" s="13" t="str">
        <f aca="false">IF(J178=3,"Sim","Não")</f>
        <v>Não</v>
      </c>
      <c r="L178" s="13" t="str">
        <f aca="false">IF(AND(I178&gt;=100,G178&gt;=100),"Sim","Não")</f>
        <v>Não</v>
      </c>
      <c r="M178" s="13" t="str">
        <f aca="false">IF(L178="Sim",SUMPRODUCT(($L$2:L178="Sim")*1),"")</f>
        <v/>
      </c>
    </row>
    <row r="179" customFormat="false" ht="15" hidden="false" customHeight="false" outlineLevel="0" collapsed="false">
      <c r="A179" s="13" t="s">
        <v>2207</v>
      </c>
      <c r="B179" s="13" t="s">
        <v>85</v>
      </c>
      <c r="C179" s="5" t="n">
        <f aca="false">SUMIFS('Dados Brutos'!$C:$C,'Dados Brutos'!$B:$B,A179,'Dados Brutos'!$T:$T,"SIENO")</f>
        <v>3000</v>
      </c>
      <c r="D179" s="5" t="n">
        <f aca="false">SUMIFS('Dados Brutos'!$C:$C,'Dados Brutos'!$B:$B,A179,'Dados Brutos'!$T:$T,"BAGATELLE")</f>
        <v>0</v>
      </c>
      <c r="E179" s="5" t="n">
        <f aca="false">SUMIFS('Dados Brutos'!$C:$C,'Dados Brutos'!$B:$B,A179,'Dados Brutos'!$T:$T,"AUMA")</f>
        <v>0</v>
      </c>
      <c r="F179" s="5" t="n">
        <f aca="false">SUM(C179:E179)</f>
        <v>3000</v>
      </c>
      <c r="G179" s="7" t="n">
        <f aca="false">SUMIF('Dados Brutos'!$B:$B,A179,'Dados Brutos'!$D:$D)</f>
        <v>30</v>
      </c>
      <c r="H179" s="7" t="n">
        <f aca="false">COUNTIF('Dados Brutos'!$B:$B,A179)</f>
        <v>1</v>
      </c>
      <c r="I179" s="16" t="n">
        <f aca="false">IFERROR(F179/G179,0)</f>
        <v>100</v>
      </c>
      <c r="J179" s="13" t="n">
        <f aca="false">(C179&gt;0)+(D179&gt;0)+(E179&gt;0)</f>
        <v>1</v>
      </c>
      <c r="K179" s="13" t="str">
        <f aca="false">IF(J179=3,"Sim","Não")</f>
        <v>Não</v>
      </c>
      <c r="L179" s="13" t="str">
        <f aca="false">IF(AND(I179&gt;=100,G179&gt;=100),"Sim","Não")</f>
        <v>Não</v>
      </c>
      <c r="M179" s="13" t="str">
        <f aca="false">IF(L179="Sim",SUMPRODUCT(($L$2:L179="Sim")*1),"")</f>
        <v/>
      </c>
    </row>
    <row r="180" customFormat="false" ht="15" hidden="false" customHeight="false" outlineLevel="0" collapsed="false">
      <c r="A180" s="13" t="s">
        <v>2208</v>
      </c>
      <c r="B180" s="13" t="s">
        <v>43</v>
      </c>
      <c r="C180" s="5" t="n">
        <f aca="false">SUMIFS('Dados Brutos'!$C:$C,'Dados Brutos'!$B:$B,A180,'Dados Brutos'!$T:$T,"SIENO")</f>
        <v>0</v>
      </c>
      <c r="D180" s="5" t="n">
        <f aca="false">SUMIFS('Dados Brutos'!$C:$C,'Dados Brutos'!$B:$B,A180,'Dados Brutos'!$T:$T,"BAGATELLE")</f>
        <v>0</v>
      </c>
      <c r="E180" s="5" t="n">
        <f aca="false">SUMIFS('Dados Brutos'!$C:$C,'Dados Brutos'!$B:$B,A180,'Dados Brutos'!$T:$T,"AUMA")</f>
        <v>2890</v>
      </c>
      <c r="F180" s="5" t="n">
        <f aca="false">SUM(C180:E180)</f>
        <v>2890</v>
      </c>
      <c r="G180" s="7" t="n">
        <f aca="false">SUMIF('Dados Brutos'!$B:$B,A180,'Dados Brutos'!$D:$D)</f>
        <v>17</v>
      </c>
      <c r="H180" s="7" t="n">
        <f aca="false">COUNTIF('Dados Brutos'!$B:$B,A180)</f>
        <v>6</v>
      </c>
      <c r="I180" s="16" t="n">
        <f aca="false">IFERROR(F180/G180,0)</f>
        <v>170</v>
      </c>
      <c r="J180" s="13" t="n">
        <f aca="false">(C180&gt;0)+(D180&gt;0)+(E180&gt;0)</f>
        <v>1</v>
      </c>
      <c r="K180" s="13" t="str">
        <f aca="false">IF(J180=3,"Sim","Não")</f>
        <v>Não</v>
      </c>
      <c r="L180" s="13" t="str">
        <f aca="false">IF(AND(I180&gt;=100,G180&gt;=100),"Sim","Não")</f>
        <v>Não</v>
      </c>
      <c r="M180" s="13" t="str">
        <f aca="false">IF(L180="Sim",SUMPRODUCT(($L$2:L180="Sim")*1),"")</f>
        <v/>
      </c>
    </row>
    <row r="181" customFormat="false" ht="15" hidden="false" customHeight="false" outlineLevel="0" collapsed="false">
      <c r="A181" s="13" t="s">
        <v>2209</v>
      </c>
      <c r="B181" s="13" t="s">
        <v>43</v>
      </c>
      <c r="C181" s="5" t="n">
        <f aca="false">SUMIFS('Dados Brutos'!$C:$C,'Dados Brutos'!$B:$B,A181,'Dados Brutos'!$T:$T,"SIENO")</f>
        <v>0</v>
      </c>
      <c r="D181" s="5" t="n">
        <f aca="false">SUMIFS('Dados Brutos'!$C:$C,'Dados Brutos'!$B:$B,A181,'Dados Brutos'!$T:$T,"BAGATELLE")</f>
        <v>0</v>
      </c>
      <c r="E181" s="5" t="n">
        <f aca="false">SUMIFS('Dados Brutos'!$C:$C,'Dados Brutos'!$B:$B,A181,'Dados Brutos'!$T:$T,"AUMA")</f>
        <v>2840</v>
      </c>
      <c r="F181" s="5" t="n">
        <f aca="false">SUM(C181:E181)</f>
        <v>2840</v>
      </c>
      <c r="G181" s="7" t="n">
        <f aca="false">SUMIF('Dados Brutos'!$B:$B,A181,'Dados Brutos'!$D:$D)</f>
        <v>10</v>
      </c>
      <c r="H181" s="7" t="n">
        <f aca="false">COUNTIF('Dados Brutos'!$B:$B,A181)</f>
        <v>4</v>
      </c>
      <c r="I181" s="16" t="n">
        <f aca="false">IFERROR(F181/G181,0)</f>
        <v>284</v>
      </c>
      <c r="J181" s="13" t="n">
        <f aca="false">(C181&gt;0)+(D181&gt;0)+(E181&gt;0)</f>
        <v>1</v>
      </c>
      <c r="K181" s="13" t="str">
        <f aca="false">IF(J181=3,"Sim","Não")</f>
        <v>Não</v>
      </c>
      <c r="L181" s="13" t="str">
        <f aca="false">IF(AND(I181&gt;=100,G181&gt;=100),"Sim","Não")</f>
        <v>Não</v>
      </c>
      <c r="M181" s="13" t="str">
        <f aca="false">IF(L181="Sim",SUMPRODUCT(($L$2:L181="Sim")*1),"")</f>
        <v/>
      </c>
    </row>
    <row r="182" customFormat="false" ht="15" hidden="false" customHeight="false" outlineLevel="0" collapsed="false">
      <c r="A182" s="13" t="s">
        <v>2210</v>
      </c>
      <c r="B182" s="13" t="s">
        <v>85</v>
      </c>
      <c r="C182" s="5" t="n">
        <f aca="false">SUMIFS('Dados Brutos'!$C:$C,'Dados Brutos'!$B:$B,A182,'Dados Brutos'!$T:$T,"SIENO")</f>
        <v>2550</v>
      </c>
      <c r="D182" s="5" t="n">
        <f aca="false">SUMIFS('Dados Brutos'!$C:$C,'Dados Brutos'!$B:$B,A182,'Dados Brutos'!$T:$T,"BAGATELLE")</f>
        <v>0</v>
      </c>
      <c r="E182" s="5" t="n">
        <f aca="false">SUMIFS('Dados Brutos'!$C:$C,'Dados Brutos'!$B:$B,A182,'Dados Brutos'!$T:$T,"AUMA")</f>
        <v>0</v>
      </c>
      <c r="F182" s="5" t="n">
        <f aca="false">SUM(C182:E182)</f>
        <v>2550</v>
      </c>
      <c r="G182" s="7" t="n">
        <f aca="false">SUMIF('Dados Brutos'!$B:$B,A182,'Dados Brutos'!$D:$D)</f>
        <v>25</v>
      </c>
      <c r="H182" s="7" t="n">
        <f aca="false">COUNTIF('Dados Brutos'!$B:$B,A182)</f>
        <v>2</v>
      </c>
      <c r="I182" s="16" t="n">
        <f aca="false">IFERROR(F182/G182,0)</f>
        <v>102</v>
      </c>
      <c r="J182" s="13" t="n">
        <f aca="false">(C182&gt;0)+(D182&gt;0)+(E182&gt;0)</f>
        <v>1</v>
      </c>
      <c r="K182" s="13" t="str">
        <f aca="false">IF(J182=3,"Sim","Não")</f>
        <v>Não</v>
      </c>
      <c r="L182" s="13" t="str">
        <f aca="false">IF(AND(I182&gt;=100,G182&gt;=100),"Sim","Não")</f>
        <v>Não</v>
      </c>
      <c r="M182" s="13" t="str">
        <f aca="false">IF(L182="Sim",SUMPRODUCT(($L$2:L182="Sim")*1),"")</f>
        <v/>
      </c>
    </row>
    <row r="183" customFormat="false" ht="15" hidden="false" customHeight="false" outlineLevel="0" collapsed="false">
      <c r="A183" s="13" t="s">
        <v>2211</v>
      </c>
      <c r="B183" s="13" t="s">
        <v>85</v>
      </c>
      <c r="C183" s="5" t="n">
        <f aca="false">SUMIFS('Dados Brutos'!$C:$C,'Dados Brutos'!$B:$B,A183,'Dados Brutos'!$T:$T,"SIENO")</f>
        <v>2420</v>
      </c>
      <c r="D183" s="5" t="n">
        <f aca="false">SUMIFS('Dados Brutos'!$C:$C,'Dados Brutos'!$B:$B,A183,'Dados Brutos'!$T:$T,"BAGATELLE")</f>
        <v>0</v>
      </c>
      <c r="E183" s="5" t="n">
        <f aca="false">SUMIFS('Dados Brutos'!$C:$C,'Dados Brutos'!$B:$B,A183,'Dados Brutos'!$T:$T,"AUMA")</f>
        <v>0</v>
      </c>
      <c r="F183" s="5" t="n">
        <f aca="false">SUM(C183:E183)</f>
        <v>2420</v>
      </c>
      <c r="G183" s="7" t="n">
        <f aca="false">SUMIF('Dados Brutos'!$B:$B,A183,'Dados Brutos'!$D:$D)</f>
        <v>12</v>
      </c>
      <c r="H183" s="7" t="n">
        <f aca="false">COUNTIF('Dados Brutos'!$B:$B,A183)</f>
        <v>3</v>
      </c>
      <c r="I183" s="16" t="n">
        <f aca="false">IFERROR(F183/G183,0)</f>
        <v>201.666666666667</v>
      </c>
      <c r="J183" s="13" t="n">
        <f aca="false">(C183&gt;0)+(D183&gt;0)+(E183&gt;0)</f>
        <v>1</v>
      </c>
      <c r="K183" s="13" t="str">
        <f aca="false">IF(J183=3,"Sim","Não")</f>
        <v>Não</v>
      </c>
      <c r="L183" s="13" t="str">
        <f aca="false">IF(AND(I183&gt;=100,G183&gt;=100),"Sim","Não")</f>
        <v>Não</v>
      </c>
      <c r="M183" s="13" t="str">
        <f aca="false">IF(L183="Sim",SUMPRODUCT(($L$2:L183="Sim")*1),"")</f>
        <v/>
      </c>
    </row>
    <row r="184" customFormat="false" ht="15" hidden="false" customHeight="false" outlineLevel="0" collapsed="false">
      <c r="A184" s="13" t="s">
        <v>2212</v>
      </c>
      <c r="B184" s="13" t="s">
        <v>43</v>
      </c>
      <c r="C184" s="5" t="n">
        <f aca="false">SUMIFS('Dados Brutos'!$C:$C,'Dados Brutos'!$B:$B,A184,'Dados Brutos'!$T:$T,"SIENO")</f>
        <v>2400</v>
      </c>
      <c r="D184" s="5" t="n">
        <f aca="false">SUMIFS('Dados Brutos'!$C:$C,'Dados Brutos'!$B:$B,A184,'Dados Brutos'!$T:$T,"BAGATELLE")</f>
        <v>0</v>
      </c>
      <c r="E184" s="5" t="n">
        <f aca="false">SUMIFS('Dados Brutos'!$C:$C,'Dados Brutos'!$B:$B,A184,'Dados Brutos'!$T:$T,"AUMA")</f>
        <v>0</v>
      </c>
      <c r="F184" s="5" t="n">
        <f aca="false">SUM(C184:E184)</f>
        <v>2400</v>
      </c>
      <c r="G184" s="7" t="n">
        <f aca="false">SUMIF('Dados Brutos'!$B:$B,A184,'Dados Brutos'!$D:$D)</f>
        <v>30</v>
      </c>
      <c r="H184" s="7" t="n">
        <f aca="false">COUNTIF('Dados Brutos'!$B:$B,A184)</f>
        <v>1</v>
      </c>
      <c r="I184" s="16" t="n">
        <f aca="false">IFERROR(F184/G184,0)</f>
        <v>80</v>
      </c>
      <c r="J184" s="13" t="n">
        <f aca="false">(C184&gt;0)+(D184&gt;0)+(E184&gt;0)</f>
        <v>1</v>
      </c>
      <c r="K184" s="13" t="str">
        <f aca="false">IF(J184=3,"Sim","Não")</f>
        <v>Não</v>
      </c>
      <c r="L184" s="13" t="str">
        <f aca="false">IF(AND(I184&gt;=100,G184&gt;=100),"Sim","Não")</f>
        <v>Não</v>
      </c>
      <c r="M184" s="13" t="str">
        <f aca="false">IF(L184="Sim",SUMPRODUCT(($L$2:L184="Sim")*1),"")</f>
        <v/>
      </c>
    </row>
    <row r="185" customFormat="false" ht="15" hidden="false" customHeight="false" outlineLevel="0" collapsed="false">
      <c r="A185" s="13" t="s">
        <v>2213</v>
      </c>
      <c r="B185" s="13" t="s">
        <v>85</v>
      </c>
      <c r="C185" s="5" t="n">
        <f aca="false">SUMIFS('Dados Brutos'!$C:$C,'Dados Brutos'!$B:$B,A185,'Dados Brutos'!$T:$T,"SIENO")</f>
        <v>2400</v>
      </c>
      <c r="D185" s="5" t="n">
        <f aca="false">SUMIFS('Dados Brutos'!$C:$C,'Dados Brutos'!$B:$B,A185,'Dados Brutos'!$T:$T,"BAGATELLE")</f>
        <v>0</v>
      </c>
      <c r="E185" s="5" t="n">
        <f aca="false">SUMIFS('Dados Brutos'!$C:$C,'Dados Brutos'!$B:$B,A185,'Dados Brutos'!$T:$T,"AUMA")</f>
        <v>0</v>
      </c>
      <c r="F185" s="5" t="n">
        <f aca="false">SUM(C185:E185)</f>
        <v>2400</v>
      </c>
      <c r="G185" s="7" t="n">
        <f aca="false">SUMIF('Dados Brutos'!$B:$B,A185,'Dados Brutos'!$D:$D)</f>
        <v>10</v>
      </c>
      <c r="H185" s="7" t="n">
        <f aca="false">COUNTIF('Dados Brutos'!$B:$B,A185)</f>
        <v>1</v>
      </c>
      <c r="I185" s="16" t="n">
        <f aca="false">IFERROR(F185/G185,0)</f>
        <v>240</v>
      </c>
      <c r="J185" s="13" t="n">
        <f aca="false">(C185&gt;0)+(D185&gt;0)+(E185&gt;0)</f>
        <v>1</v>
      </c>
      <c r="K185" s="13" t="str">
        <f aca="false">IF(J185=3,"Sim","Não")</f>
        <v>Não</v>
      </c>
      <c r="L185" s="13" t="str">
        <f aca="false">IF(AND(I185&gt;=100,G185&gt;=100),"Sim","Não")</f>
        <v>Não</v>
      </c>
      <c r="M185" s="13" t="str">
        <f aca="false">IF(L185="Sim",SUMPRODUCT(($L$2:L185="Sim")*1),"")</f>
        <v/>
      </c>
    </row>
    <row r="186" customFormat="false" ht="15" hidden="false" customHeight="false" outlineLevel="0" collapsed="false">
      <c r="A186" s="13" t="s">
        <v>2214</v>
      </c>
      <c r="B186" s="13" t="s">
        <v>168</v>
      </c>
      <c r="C186" s="5" t="n">
        <f aca="false">SUMIFS('Dados Brutos'!$C:$C,'Dados Brutos'!$B:$B,A186,'Dados Brutos'!$T:$T,"SIENO")</f>
        <v>2400</v>
      </c>
      <c r="D186" s="5" t="n">
        <f aca="false">SUMIFS('Dados Brutos'!$C:$C,'Dados Brutos'!$B:$B,A186,'Dados Brutos'!$T:$T,"BAGATELLE")</f>
        <v>0</v>
      </c>
      <c r="E186" s="5" t="n">
        <f aca="false">SUMIFS('Dados Brutos'!$C:$C,'Dados Brutos'!$B:$B,A186,'Dados Brutos'!$T:$T,"AUMA")</f>
        <v>0</v>
      </c>
      <c r="F186" s="5" t="n">
        <f aca="false">SUM(C186:E186)</f>
        <v>2400</v>
      </c>
      <c r="G186" s="7" t="n">
        <f aca="false">SUMIF('Dados Brutos'!$B:$B,A186,'Dados Brutos'!$D:$D)</f>
        <v>20</v>
      </c>
      <c r="H186" s="7" t="n">
        <f aca="false">COUNTIF('Dados Brutos'!$B:$B,A186)</f>
        <v>1</v>
      </c>
      <c r="I186" s="16" t="n">
        <f aca="false">IFERROR(F186/G186,0)</f>
        <v>120</v>
      </c>
      <c r="J186" s="13" t="n">
        <f aca="false">(C186&gt;0)+(D186&gt;0)+(E186&gt;0)</f>
        <v>1</v>
      </c>
      <c r="K186" s="13" t="str">
        <f aca="false">IF(J186=3,"Sim","Não")</f>
        <v>Não</v>
      </c>
      <c r="L186" s="13" t="str">
        <f aca="false">IF(AND(I186&gt;=100,G186&gt;=100),"Sim","Não")</f>
        <v>Não</v>
      </c>
      <c r="M186" s="13" t="str">
        <f aca="false">IF(L186="Sim",SUMPRODUCT(($L$2:L186="Sim")*1),"")</f>
        <v/>
      </c>
    </row>
    <row r="187" customFormat="false" ht="15" hidden="false" customHeight="false" outlineLevel="0" collapsed="false">
      <c r="A187" s="13" t="s">
        <v>2215</v>
      </c>
      <c r="B187" s="13" t="s">
        <v>85</v>
      </c>
      <c r="C187" s="5" t="n">
        <f aca="false">SUMIFS('Dados Brutos'!$C:$C,'Dados Brutos'!$B:$B,A187,'Dados Brutos'!$T:$T,"SIENO")</f>
        <v>0</v>
      </c>
      <c r="D187" s="5" t="n">
        <f aca="false">SUMIFS('Dados Brutos'!$C:$C,'Dados Brutos'!$B:$B,A187,'Dados Brutos'!$T:$T,"BAGATELLE")</f>
        <v>0</v>
      </c>
      <c r="E187" s="5" t="n">
        <f aca="false">SUMIFS('Dados Brutos'!$C:$C,'Dados Brutos'!$B:$B,A187,'Dados Brutos'!$T:$T,"AUMA")</f>
        <v>2370</v>
      </c>
      <c r="F187" s="5" t="n">
        <f aca="false">SUM(C187:E187)</f>
        <v>2370</v>
      </c>
      <c r="G187" s="7" t="n">
        <f aca="false">SUMIF('Dados Brutos'!$B:$B,A187,'Dados Brutos'!$D:$D)</f>
        <v>11</v>
      </c>
      <c r="H187" s="7" t="n">
        <f aca="false">COUNTIF('Dados Brutos'!$B:$B,A187)</f>
        <v>11</v>
      </c>
      <c r="I187" s="16" t="n">
        <f aca="false">IFERROR(F187/G187,0)</f>
        <v>215.454545454545</v>
      </c>
      <c r="J187" s="13" t="n">
        <f aca="false">(C187&gt;0)+(D187&gt;0)+(E187&gt;0)</f>
        <v>1</v>
      </c>
      <c r="K187" s="13" t="str">
        <f aca="false">IF(J187=3,"Sim","Não")</f>
        <v>Não</v>
      </c>
      <c r="L187" s="13" t="str">
        <f aca="false">IF(AND(I187&gt;=100,G187&gt;=100),"Sim","Não")</f>
        <v>Não</v>
      </c>
      <c r="M187" s="13" t="str">
        <f aca="false">IF(L187="Sim",SUMPRODUCT(($L$2:L187="Sim")*1),"")</f>
        <v/>
      </c>
    </row>
    <row r="188" customFormat="false" ht="15" hidden="false" customHeight="false" outlineLevel="0" collapsed="false">
      <c r="A188" s="13" t="s">
        <v>2216</v>
      </c>
      <c r="B188" s="13" t="s">
        <v>43</v>
      </c>
      <c r="C188" s="5" t="n">
        <f aca="false">SUMIFS('Dados Brutos'!$C:$C,'Dados Brutos'!$B:$B,A188,'Dados Brutos'!$T:$T,"SIENO")</f>
        <v>0</v>
      </c>
      <c r="D188" s="5" t="n">
        <f aca="false">SUMIFS('Dados Brutos'!$C:$C,'Dados Brutos'!$B:$B,A188,'Dados Brutos'!$T:$T,"BAGATELLE")</f>
        <v>2370</v>
      </c>
      <c r="E188" s="5" t="n">
        <f aca="false">SUMIFS('Dados Brutos'!$C:$C,'Dados Brutos'!$B:$B,A188,'Dados Brutos'!$T:$T,"AUMA")</f>
        <v>0</v>
      </c>
      <c r="F188" s="5" t="n">
        <f aca="false">SUM(C188:E188)</f>
        <v>2370</v>
      </c>
      <c r="G188" s="7" t="n">
        <f aca="false">SUMIF('Dados Brutos'!$B:$B,A188,'Dados Brutos'!$D:$D)</f>
        <v>9</v>
      </c>
      <c r="H188" s="7" t="n">
        <f aca="false">COUNTIF('Dados Brutos'!$B:$B,A188)</f>
        <v>4</v>
      </c>
      <c r="I188" s="16" t="n">
        <f aca="false">IFERROR(F188/G188,0)</f>
        <v>263.333333333333</v>
      </c>
      <c r="J188" s="13" t="n">
        <f aca="false">(C188&gt;0)+(D188&gt;0)+(E188&gt;0)</f>
        <v>1</v>
      </c>
      <c r="K188" s="13" t="str">
        <f aca="false">IF(J188=3,"Sim","Não")</f>
        <v>Não</v>
      </c>
      <c r="L188" s="13" t="str">
        <f aca="false">IF(AND(I188&gt;=100,G188&gt;=100),"Sim","Não")</f>
        <v>Não</v>
      </c>
      <c r="M188" s="13" t="str">
        <f aca="false">IF(L188="Sim",SUMPRODUCT(($L$2:L188="Sim")*1),"")</f>
        <v/>
      </c>
    </row>
    <row r="189" customFormat="false" ht="15" hidden="false" customHeight="false" outlineLevel="0" collapsed="false">
      <c r="A189" s="13" t="s">
        <v>2217</v>
      </c>
      <c r="B189" s="13" t="s">
        <v>85</v>
      </c>
      <c r="C189" s="5" t="n">
        <f aca="false">SUMIFS('Dados Brutos'!$C:$C,'Dados Brutos'!$B:$B,A189,'Dados Brutos'!$T:$T,"SIENO")</f>
        <v>2300</v>
      </c>
      <c r="D189" s="5" t="n">
        <f aca="false">SUMIFS('Dados Brutos'!$C:$C,'Dados Brutos'!$B:$B,A189,'Dados Brutos'!$T:$T,"BAGATELLE")</f>
        <v>0</v>
      </c>
      <c r="E189" s="5" t="n">
        <f aca="false">SUMIFS('Dados Brutos'!$C:$C,'Dados Brutos'!$B:$B,A189,'Dados Brutos'!$T:$T,"AUMA")</f>
        <v>0</v>
      </c>
      <c r="F189" s="5" t="n">
        <f aca="false">SUM(C189:E189)</f>
        <v>2300</v>
      </c>
      <c r="G189" s="7" t="n">
        <f aca="false">SUMIF('Dados Brutos'!$B:$B,A189,'Dados Brutos'!$D:$D)</f>
        <v>5</v>
      </c>
      <c r="H189" s="7" t="n">
        <f aca="false">COUNTIF('Dados Brutos'!$B:$B,A189)</f>
        <v>1</v>
      </c>
      <c r="I189" s="16" t="n">
        <f aca="false">IFERROR(F189/G189,0)</f>
        <v>460</v>
      </c>
      <c r="J189" s="13" t="n">
        <f aca="false">(C189&gt;0)+(D189&gt;0)+(E189&gt;0)</f>
        <v>1</v>
      </c>
      <c r="K189" s="13" t="str">
        <f aca="false">IF(J189=3,"Sim","Não")</f>
        <v>Não</v>
      </c>
      <c r="L189" s="13" t="str">
        <f aca="false">IF(AND(I189&gt;=100,G189&gt;=100),"Sim","Não")</f>
        <v>Não</v>
      </c>
      <c r="M189" s="13" t="str">
        <f aca="false">IF(L189="Sim",SUMPRODUCT(($L$2:L189="Sim")*1),"")</f>
        <v/>
      </c>
    </row>
    <row r="190" customFormat="false" ht="15" hidden="false" customHeight="false" outlineLevel="0" collapsed="false">
      <c r="A190" s="13" t="s">
        <v>2218</v>
      </c>
      <c r="B190" s="13" t="s">
        <v>85</v>
      </c>
      <c r="C190" s="5" t="n">
        <f aca="false">SUMIFS('Dados Brutos'!$C:$C,'Dados Brutos'!$B:$B,A190,'Dados Brutos'!$T:$T,"SIENO")</f>
        <v>2210</v>
      </c>
      <c r="D190" s="5" t="n">
        <f aca="false">SUMIFS('Dados Brutos'!$C:$C,'Dados Brutos'!$B:$B,A190,'Dados Brutos'!$T:$T,"BAGATELLE")</f>
        <v>0</v>
      </c>
      <c r="E190" s="5" t="n">
        <f aca="false">SUMIFS('Dados Brutos'!$C:$C,'Dados Brutos'!$B:$B,A190,'Dados Brutos'!$T:$T,"AUMA")</f>
        <v>0</v>
      </c>
      <c r="F190" s="5" t="n">
        <f aca="false">SUM(C190:E190)</f>
        <v>2210</v>
      </c>
      <c r="G190" s="7" t="n">
        <f aca="false">SUMIF('Dados Brutos'!$B:$B,A190,'Dados Brutos'!$D:$D)</f>
        <v>33</v>
      </c>
      <c r="H190" s="7" t="n">
        <f aca="false">COUNTIF('Dados Brutos'!$B:$B,A190)</f>
        <v>5</v>
      </c>
      <c r="I190" s="16" t="n">
        <f aca="false">IFERROR(F190/G190,0)</f>
        <v>66.969696969697</v>
      </c>
      <c r="J190" s="13" t="n">
        <f aca="false">(C190&gt;0)+(D190&gt;0)+(E190&gt;0)</f>
        <v>1</v>
      </c>
      <c r="K190" s="13" t="str">
        <f aca="false">IF(J190=3,"Sim","Não")</f>
        <v>Não</v>
      </c>
      <c r="L190" s="13" t="str">
        <f aca="false">IF(AND(I190&gt;=100,G190&gt;=100),"Sim","Não")</f>
        <v>Não</v>
      </c>
      <c r="M190" s="13" t="str">
        <f aca="false">IF(L190="Sim",SUMPRODUCT(($L$2:L190="Sim")*1),"")</f>
        <v/>
      </c>
    </row>
    <row r="191" customFormat="false" ht="15" hidden="false" customHeight="false" outlineLevel="0" collapsed="false">
      <c r="A191" s="13" t="s">
        <v>2219</v>
      </c>
      <c r="B191" s="13" t="s">
        <v>43</v>
      </c>
      <c r="C191" s="5" t="n">
        <f aca="false">SUMIFS('Dados Brutos'!$C:$C,'Dados Brutos'!$B:$B,A191,'Dados Brutos'!$T:$T,"SIENO")</f>
        <v>0</v>
      </c>
      <c r="D191" s="5" t="n">
        <f aca="false">SUMIFS('Dados Brutos'!$C:$C,'Dados Brutos'!$B:$B,A191,'Dados Brutos'!$T:$T,"BAGATELLE")</f>
        <v>0</v>
      </c>
      <c r="E191" s="5" t="n">
        <f aca="false">SUMIFS('Dados Brutos'!$C:$C,'Dados Brutos'!$B:$B,A191,'Dados Brutos'!$T:$T,"AUMA")</f>
        <v>2150</v>
      </c>
      <c r="F191" s="5" t="n">
        <f aca="false">SUM(C191:E191)</f>
        <v>2150</v>
      </c>
      <c r="G191" s="7" t="n">
        <f aca="false">SUMIF('Dados Brutos'!$B:$B,A191,'Dados Brutos'!$D:$D)</f>
        <v>16</v>
      </c>
      <c r="H191" s="7" t="n">
        <f aca="false">COUNTIF('Dados Brutos'!$B:$B,A191)</f>
        <v>3</v>
      </c>
      <c r="I191" s="16" t="n">
        <f aca="false">IFERROR(F191/G191,0)</f>
        <v>134.375</v>
      </c>
      <c r="J191" s="13" t="n">
        <f aca="false">(C191&gt;0)+(D191&gt;0)+(E191&gt;0)</f>
        <v>1</v>
      </c>
      <c r="K191" s="13" t="str">
        <f aca="false">IF(J191=3,"Sim","Não")</f>
        <v>Não</v>
      </c>
      <c r="L191" s="13" t="str">
        <f aca="false">IF(AND(I191&gt;=100,G191&gt;=100),"Sim","Não")</f>
        <v>Não</v>
      </c>
      <c r="M191" s="13" t="str">
        <f aca="false">IF(L191="Sim",SUMPRODUCT(($L$2:L191="Sim")*1),"")</f>
        <v/>
      </c>
    </row>
    <row r="192" customFormat="false" ht="15" hidden="false" customHeight="false" outlineLevel="0" collapsed="false">
      <c r="A192" s="13" t="s">
        <v>2220</v>
      </c>
      <c r="B192" s="13" t="s">
        <v>43</v>
      </c>
      <c r="C192" s="5" t="n">
        <f aca="false">SUMIFS('Dados Brutos'!$C:$C,'Dados Brutos'!$B:$B,A192,'Dados Brutos'!$T:$T,"SIENO")</f>
        <v>0</v>
      </c>
      <c r="D192" s="5" t="n">
        <f aca="false">SUMIFS('Dados Brutos'!$C:$C,'Dados Brutos'!$B:$B,A192,'Dados Brutos'!$T:$T,"BAGATELLE")</f>
        <v>2010</v>
      </c>
      <c r="E192" s="5" t="n">
        <f aca="false">SUMIFS('Dados Brutos'!$C:$C,'Dados Brutos'!$B:$B,A192,'Dados Brutos'!$T:$T,"AUMA")</f>
        <v>0</v>
      </c>
      <c r="F192" s="5" t="n">
        <f aca="false">SUM(C192:E192)</f>
        <v>2010</v>
      </c>
      <c r="G192" s="7" t="n">
        <f aca="false">SUMIF('Dados Brutos'!$B:$B,A192,'Dados Brutos'!$D:$D)</f>
        <v>3</v>
      </c>
      <c r="H192" s="7" t="n">
        <f aca="false">COUNTIF('Dados Brutos'!$B:$B,A192)</f>
        <v>3</v>
      </c>
      <c r="I192" s="16" t="n">
        <f aca="false">IFERROR(F192/G192,0)</f>
        <v>670</v>
      </c>
      <c r="J192" s="13" t="n">
        <f aca="false">(C192&gt;0)+(D192&gt;0)+(E192&gt;0)</f>
        <v>1</v>
      </c>
      <c r="K192" s="13" t="str">
        <f aca="false">IF(J192=3,"Sim","Não")</f>
        <v>Não</v>
      </c>
      <c r="L192" s="13" t="str">
        <f aca="false">IF(AND(I192&gt;=100,G192&gt;=100),"Sim","Não")</f>
        <v>Não</v>
      </c>
      <c r="M192" s="13" t="str">
        <f aca="false">IF(L192="Sim",SUMPRODUCT(($L$2:L192="Sim")*1),"")</f>
        <v/>
      </c>
    </row>
    <row r="193" customFormat="false" ht="15" hidden="false" customHeight="false" outlineLevel="0" collapsed="false">
      <c r="A193" s="13" t="s">
        <v>2221</v>
      </c>
      <c r="B193" s="13" t="s">
        <v>85</v>
      </c>
      <c r="C193" s="5" t="n">
        <f aca="false">SUMIFS('Dados Brutos'!$C:$C,'Dados Brutos'!$B:$B,A193,'Dados Brutos'!$T:$T,"SIENO")</f>
        <v>2010</v>
      </c>
      <c r="D193" s="5" t="n">
        <f aca="false">SUMIFS('Dados Brutos'!$C:$C,'Dados Brutos'!$B:$B,A193,'Dados Brutos'!$T:$T,"BAGATELLE")</f>
        <v>0</v>
      </c>
      <c r="E193" s="5" t="n">
        <f aca="false">SUMIFS('Dados Brutos'!$C:$C,'Dados Brutos'!$B:$B,A193,'Dados Brutos'!$T:$T,"AUMA")</f>
        <v>0</v>
      </c>
      <c r="F193" s="5" t="n">
        <f aca="false">SUM(C193:E193)</f>
        <v>2010</v>
      </c>
      <c r="G193" s="7" t="n">
        <f aca="false">SUMIF('Dados Brutos'!$B:$B,A193,'Dados Brutos'!$D:$D)</f>
        <v>5</v>
      </c>
      <c r="H193" s="7" t="n">
        <f aca="false">COUNTIF('Dados Brutos'!$B:$B,A193)</f>
        <v>3</v>
      </c>
      <c r="I193" s="16" t="n">
        <f aca="false">IFERROR(F193/G193,0)</f>
        <v>402</v>
      </c>
      <c r="J193" s="13" t="n">
        <f aca="false">(C193&gt;0)+(D193&gt;0)+(E193&gt;0)</f>
        <v>1</v>
      </c>
      <c r="K193" s="13" t="str">
        <f aca="false">IF(J193=3,"Sim","Não")</f>
        <v>Não</v>
      </c>
      <c r="L193" s="13" t="str">
        <f aca="false">IF(AND(I193&gt;=100,G193&gt;=100),"Sim","Não")</f>
        <v>Não</v>
      </c>
      <c r="M193" s="13" t="str">
        <f aca="false">IF(L193="Sim",SUMPRODUCT(($L$2:L193="Sim")*1),"")</f>
        <v/>
      </c>
    </row>
    <row r="194" customFormat="false" ht="15" hidden="false" customHeight="false" outlineLevel="0" collapsed="false">
      <c r="A194" s="13" t="s">
        <v>2222</v>
      </c>
      <c r="B194" s="13" t="s">
        <v>140</v>
      </c>
      <c r="C194" s="5" t="n">
        <f aca="false">SUMIFS('Dados Brutos'!$C:$C,'Dados Brutos'!$B:$B,A194,'Dados Brutos'!$T:$T,"SIENO")</f>
        <v>2000</v>
      </c>
      <c r="D194" s="5" t="n">
        <f aca="false">SUMIFS('Dados Brutos'!$C:$C,'Dados Brutos'!$B:$B,A194,'Dados Brutos'!$T:$T,"BAGATELLE")</f>
        <v>0</v>
      </c>
      <c r="E194" s="5" t="n">
        <f aca="false">SUMIFS('Dados Brutos'!$C:$C,'Dados Brutos'!$B:$B,A194,'Dados Brutos'!$T:$T,"AUMA")</f>
        <v>0</v>
      </c>
      <c r="F194" s="5" t="n">
        <f aca="false">SUM(C194:E194)</f>
        <v>2000</v>
      </c>
      <c r="G194" s="7" t="n">
        <f aca="false">SUMIF('Dados Brutos'!$B:$B,A194,'Dados Brutos'!$D:$D)</f>
        <v>60</v>
      </c>
      <c r="H194" s="7" t="n">
        <f aca="false">COUNTIF('Dados Brutos'!$B:$B,A194)</f>
        <v>1</v>
      </c>
      <c r="I194" s="16" t="n">
        <f aca="false">IFERROR(F194/G194,0)</f>
        <v>33.3333333333333</v>
      </c>
      <c r="J194" s="13" t="n">
        <f aca="false">(C194&gt;0)+(D194&gt;0)+(E194&gt;0)</f>
        <v>1</v>
      </c>
      <c r="K194" s="13" t="str">
        <f aca="false">IF(J194=3,"Sim","Não")</f>
        <v>Não</v>
      </c>
      <c r="L194" s="13" t="str">
        <f aca="false">IF(AND(I194&gt;=100,G194&gt;=100),"Sim","Não")</f>
        <v>Não</v>
      </c>
      <c r="M194" s="13" t="str">
        <f aca="false">IF(L194="Sim",SUMPRODUCT(($L$2:L194="Sim")*1),"")</f>
        <v/>
      </c>
    </row>
    <row r="195" customFormat="false" ht="15" hidden="false" customHeight="false" outlineLevel="0" collapsed="false">
      <c r="A195" s="13" t="s">
        <v>2223</v>
      </c>
      <c r="B195" s="13" t="s">
        <v>85</v>
      </c>
      <c r="C195" s="5" t="n">
        <f aca="false">SUMIFS('Dados Brutos'!$C:$C,'Dados Brutos'!$B:$B,A195,'Dados Brutos'!$T:$T,"SIENO")</f>
        <v>1800</v>
      </c>
      <c r="D195" s="5" t="n">
        <f aca="false">SUMIFS('Dados Brutos'!$C:$C,'Dados Brutos'!$B:$B,A195,'Dados Brutos'!$T:$T,"BAGATELLE")</f>
        <v>0</v>
      </c>
      <c r="E195" s="5" t="n">
        <f aca="false">SUMIFS('Dados Brutos'!$C:$C,'Dados Brutos'!$B:$B,A195,'Dados Brutos'!$T:$T,"AUMA")</f>
        <v>0</v>
      </c>
      <c r="F195" s="5" t="n">
        <f aca="false">SUM(C195:E195)</f>
        <v>1800</v>
      </c>
      <c r="G195" s="7" t="n">
        <f aca="false">SUMIF('Dados Brutos'!$B:$B,A195,'Dados Brutos'!$D:$D)</f>
        <v>2</v>
      </c>
      <c r="H195" s="7" t="n">
        <f aca="false">COUNTIF('Dados Brutos'!$B:$B,A195)</f>
        <v>1</v>
      </c>
      <c r="I195" s="16" t="n">
        <f aca="false">IFERROR(F195/G195,0)</f>
        <v>900</v>
      </c>
      <c r="J195" s="13" t="n">
        <f aca="false">(C195&gt;0)+(D195&gt;0)+(E195&gt;0)</f>
        <v>1</v>
      </c>
      <c r="K195" s="13" t="str">
        <f aca="false">IF(J195=3,"Sim","Não")</f>
        <v>Não</v>
      </c>
      <c r="L195" s="13" t="str">
        <f aca="false">IF(AND(I195&gt;=100,G195&gt;=100),"Sim","Não")</f>
        <v>Não</v>
      </c>
      <c r="M195" s="13" t="str">
        <f aca="false">IF(L195="Sim",SUMPRODUCT(($L$2:L195="Sim")*1),"")</f>
        <v/>
      </c>
    </row>
    <row r="196" customFormat="false" ht="15" hidden="false" customHeight="false" outlineLevel="0" collapsed="false">
      <c r="A196" s="13" t="s">
        <v>2224</v>
      </c>
      <c r="B196" s="13" t="s">
        <v>85</v>
      </c>
      <c r="C196" s="5" t="n">
        <f aca="false">SUMIFS('Dados Brutos'!$C:$C,'Dados Brutos'!$B:$B,A196,'Dados Brutos'!$T:$T,"SIENO")</f>
        <v>1800</v>
      </c>
      <c r="D196" s="5" t="n">
        <f aca="false">SUMIFS('Dados Brutos'!$C:$C,'Dados Brutos'!$B:$B,A196,'Dados Brutos'!$T:$T,"BAGATELLE")</f>
        <v>0</v>
      </c>
      <c r="E196" s="5" t="n">
        <f aca="false">SUMIFS('Dados Brutos'!$C:$C,'Dados Brutos'!$B:$B,A196,'Dados Brutos'!$T:$T,"AUMA")</f>
        <v>0</v>
      </c>
      <c r="F196" s="5" t="n">
        <f aca="false">SUM(C196:E196)</f>
        <v>1800</v>
      </c>
      <c r="G196" s="7" t="n">
        <f aca="false">SUMIF('Dados Brutos'!$B:$B,A196,'Dados Brutos'!$D:$D)</f>
        <v>2</v>
      </c>
      <c r="H196" s="7" t="n">
        <f aca="false">COUNTIF('Dados Brutos'!$B:$B,A196)</f>
        <v>1</v>
      </c>
      <c r="I196" s="16" t="n">
        <f aca="false">IFERROR(F196/G196,0)</f>
        <v>900</v>
      </c>
      <c r="J196" s="13" t="n">
        <f aca="false">(C196&gt;0)+(D196&gt;0)+(E196&gt;0)</f>
        <v>1</v>
      </c>
      <c r="K196" s="13" t="str">
        <f aca="false">IF(J196=3,"Sim","Não")</f>
        <v>Não</v>
      </c>
      <c r="L196" s="13" t="str">
        <f aca="false">IF(AND(I196&gt;=100,G196&gt;=100),"Sim","Não")</f>
        <v>Não</v>
      </c>
      <c r="M196" s="13" t="str">
        <f aca="false">IF(L196="Sim",SUMPRODUCT(($L$2:L196="Sim")*1),"")</f>
        <v/>
      </c>
    </row>
    <row r="197" customFormat="false" ht="15" hidden="false" customHeight="false" outlineLevel="0" collapsed="false">
      <c r="A197" s="13" t="s">
        <v>2225</v>
      </c>
      <c r="B197" s="13" t="s">
        <v>43</v>
      </c>
      <c r="C197" s="5" t="n">
        <f aca="false">SUMIFS('Dados Brutos'!$C:$C,'Dados Brutos'!$B:$B,A197,'Dados Brutos'!$T:$T,"SIENO")</f>
        <v>1780</v>
      </c>
      <c r="D197" s="5" t="n">
        <f aca="false">SUMIFS('Dados Brutos'!$C:$C,'Dados Brutos'!$B:$B,A197,'Dados Brutos'!$T:$T,"BAGATELLE")</f>
        <v>0</v>
      </c>
      <c r="E197" s="5" t="n">
        <f aca="false">SUMIFS('Dados Brutos'!$C:$C,'Dados Brutos'!$B:$B,A197,'Dados Brutos'!$T:$T,"AUMA")</f>
        <v>0</v>
      </c>
      <c r="F197" s="5" t="n">
        <f aca="false">SUM(C197:E197)</f>
        <v>1780</v>
      </c>
      <c r="G197" s="7" t="n">
        <f aca="false">SUMIF('Dados Brutos'!$B:$B,A197,'Dados Brutos'!$D:$D)</f>
        <v>15</v>
      </c>
      <c r="H197" s="7" t="n">
        <f aca="false">COUNTIF('Dados Brutos'!$B:$B,A197)</f>
        <v>3</v>
      </c>
      <c r="I197" s="16" t="n">
        <f aca="false">IFERROR(F197/G197,0)</f>
        <v>118.666666666667</v>
      </c>
      <c r="J197" s="13" t="n">
        <f aca="false">(C197&gt;0)+(D197&gt;0)+(E197&gt;0)</f>
        <v>1</v>
      </c>
      <c r="K197" s="13" t="str">
        <f aca="false">IF(J197=3,"Sim","Não")</f>
        <v>Não</v>
      </c>
      <c r="L197" s="13" t="str">
        <f aca="false">IF(AND(I197&gt;=100,G197&gt;=100),"Sim","Não")</f>
        <v>Não</v>
      </c>
      <c r="M197" s="13" t="str">
        <f aca="false">IF(L197="Sim",SUMPRODUCT(($L$2:L197="Sim")*1),"")</f>
        <v/>
      </c>
    </row>
    <row r="198" customFormat="false" ht="15" hidden="false" customHeight="false" outlineLevel="0" collapsed="false">
      <c r="A198" s="13" t="s">
        <v>2226</v>
      </c>
      <c r="B198" s="13" t="s">
        <v>85</v>
      </c>
      <c r="C198" s="5" t="n">
        <f aca="false">SUMIFS('Dados Brutos'!$C:$C,'Dados Brutos'!$B:$B,A198,'Dados Brutos'!$T:$T,"SIENO")</f>
        <v>1730</v>
      </c>
      <c r="D198" s="5" t="n">
        <f aca="false">SUMIFS('Dados Brutos'!$C:$C,'Dados Brutos'!$B:$B,A198,'Dados Brutos'!$T:$T,"BAGATELLE")</f>
        <v>0</v>
      </c>
      <c r="E198" s="5" t="n">
        <f aca="false">SUMIFS('Dados Brutos'!$C:$C,'Dados Brutos'!$B:$B,A198,'Dados Brutos'!$T:$T,"AUMA")</f>
        <v>0</v>
      </c>
      <c r="F198" s="5" t="n">
        <f aca="false">SUM(C198:E198)</f>
        <v>1730</v>
      </c>
      <c r="G198" s="7" t="n">
        <f aca="false">SUMIF('Dados Brutos'!$B:$B,A198,'Dados Brutos'!$D:$D)</f>
        <v>40</v>
      </c>
      <c r="H198" s="7" t="n">
        <f aca="false">COUNTIF('Dados Brutos'!$B:$B,A198)</f>
        <v>6</v>
      </c>
      <c r="I198" s="16" t="n">
        <f aca="false">IFERROR(F198/G198,0)</f>
        <v>43.25</v>
      </c>
      <c r="J198" s="13" t="n">
        <f aca="false">(C198&gt;0)+(D198&gt;0)+(E198&gt;0)</f>
        <v>1</v>
      </c>
      <c r="K198" s="13" t="str">
        <f aca="false">IF(J198=3,"Sim","Não")</f>
        <v>Não</v>
      </c>
      <c r="L198" s="13" t="str">
        <f aca="false">IF(AND(I198&gt;=100,G198&gt;=100),"Sim","Não")</f>
        <v>Não</v>
      </c>
      <c r="M198" s="13" t="str">
        <f aca="false">IF(L198="Sim",SUMPRODUCT(($L$2:L198="Sim")*1),"")</f>
        <v/>
      </c>
    </row>
    <row r="199" customFormat="false" ht="15" hidden="false" customHeight="false" outlineLevel="0" collapsed="false">
      <c r="A199" s="13" t="s">
        <v>2227</v>
      </c>
      <c r="B199" s="13" t="s">
        <v>183</v>
      </c>
      <c r="C199" s="5" t="n">
        <f aca="false">SUMIFS('Dados Brutos'!$C:$C,'Dados Brutos'!$B:$B,A199,'Dados Brutos'!$T:$T,"SIENO")</f>
        <v>1700</v>
      </c>
      <c r="D199" s="5" t="n">
        <f aca="false">SUMIFS('Dados Brutos'!$C:$C,'Dados Brutos'!$B:$B,A199,'Dados Brutos'!$T:$T,"BAGATELLE")</f>
        <v>0</v>
      </c>
      <c r="E199" s="5" t="n">
        <f aca="false">SUMIFS('Dados Brutos'!$C:$C,'Dados Brutos'!$B:$B,A199,'Dados Brutos'!$T:$T,"AUMA")</f>
        <v>0</v>
      </c>
      <c r="F199" s="5" t="n">
        <f aca="false">SUM(C199:E199)</f>
        <v>1700</v>
      </c>
      <c r="G199" s="7" t="n">
        <f aca="false">SUMIF('Dados Brutos'!$B:$B,A199,'Dados Brutos'!$D:$D)</f>
        <v>15</v>
      </c>
      <c r="H199" s="7" t="n">
        <f aca="false">COUNTIF('Dados Brutos'!$B:$B,A199)</f>
        <v>2</v>
      </c>
      <c r="I199" s="16" t="n">
        <f aca="false">IFERROR(F199/G199,0)</f>
        <v>113.333333333333</v>
      </c>
      <c r="J199" s="13" t="n">
        <f aca="false">(C199&gt;0)+(D199&gt;0)+(E199&gt;0)</f>
        <v>1</v>
      </c>
      <c r="K199" s="13" t="str">
        <f aca="false">IF(J199=3,"Sim","Não")</f>
        <v>Não</v>
      </c>
      <c r="L199" s="13" t="str">
        <f aca="false">IF(AND(I199&gt;=100,G199&gt;=100),"Sim","Não")</f>
        <v>Não</v>
      </c>
      <c r="M199" s="13" t="str">
        <f aca="false">IF(L199="Sim",SUMPRODUCT(($L$2:L199="Sim")*1),"")</f>
        <v/>
      </c>
    </row>
    <row r="200" customFormat="false" ht="15" hidden="false" customHeight="false" outlineLevel="0" collapsed="false">
      <c r="A200" s="13" t="s">
        <v>2228</v>
      </c>
      <c r="B200" s="13" t="s">
        <v>43</v>
      </c>
      <c r="C200" s="5" t="n">
        <f aca="false">SUMIFS('Dados Brutos'!$C:$C,'Dados Brutos'!$B:$B,A200,'Dados Brutos'!$T:$T,"SIENO")</f>
        <v>1700</v>
      </c>
      <c r="D200" s="5" t="n">
        <f aca="false">SUMIFS('Dados Brutos'!$C:$C,'Dados Brutos'!$B:$B,A200,'Dados Brutos'!$T:$T,"BAGATELLE")</f>
        <v>0</v>
      </c>
      <c r="E200" s="5" t="n">
        <f aca="false">SUMIFS('Dados Brutos'!$C:$C,'Dados Brutos'!$B:$B,A200,'Dados Brutos'!$T:$T,"AUMA")</f>
        <v>0</v>
      </c>
      <c r="F200" s="5" t="n">
        <f aca="false">SUM(C200:E200)</f>
        <v>1700</v>
      </c>
      <c r="G200" s="7" t="n">
        <f aca="false">SUMIF('Dados Brutos'!$B:$B,A200,'Dados Brutos'!$D:$D)</f>
        <v>20</v>
      </c>
      <c r="H200" s="7" t="n">
        <f aca="false">COUNTIF('Dados Brutos'!$B:$B,A200)</f>
        <v>1</v>
      </c>
      <c r="I200" s="16" t="n">
        <f aca="false">IFERROR(F200/G200,0)</f>
        <v>85</v>
      </c>
      <c r="J200" s="13" t="n">
        <f aca="false">(C200&gt;0)+(D200&gt;0)+(E200&gt;0)</f>
        <v>1</v>
      </c>
      <c r="K200" s="13" t="str">
        <f aca="false">IF(J200=3,"Sim","Não")</f>
        <v>Não</v>
      </c>
      <c r="L200" s="13" t="str">
        <f aca="false">IF(AND(I200&gt;=100,G200&gt;=100),"Sim","Não")</f>
        <v>Não</v>
      </c>
      <c r="M200" s="13" t="str">
        <f aca="false">IF(L200="Sim",SUMPRODUCT(($L$2:L200="Sim")*1),"")</f>
        <v/>
      </c>
    </row>
    <row r="201" customFormat="false" ht="15" hidden="false" customHeight="false" outlineLevel="0" collapsed="false">
      <c r="A201" s="13" t="s">
        <v>2229</v>
      </c>
      <c r="B201" s="13" t="s">
        <v>85</v>
      </c>
      <c r="C201" s="5" t="n">
        <f aca="false">SUMIFS('Dados Brutos'!$C:$C,'Dados Brutos'!$B:$B,A201,'Dados Brutos'!$T:$T,"SIENO")</f>
        <v>1600</v>
      </c>
      <c r="D201" s="5" t="n">
        <f aca="false">SUMIFS('Dados Brutos'!$C:$C,'Dados Brutos'!$B:$B,A201,'Dados Brutos'!$T:$T,"BAGATELLE")</f>
        <v>0</v>
      </c>
      <c r="E201" s="5" t="n">
        <f aca="false">SUMIFS('Dados Brutos'!$C:$C,'Dados Brutos'!$B:$B,A201,'Dados Brutos'!$T:$T,"AUMA")</f>
        <v>0</v>
      </c>
      <c r="F201" s="5" t="n">
        <f aca="false">SUM(C201:E201)</f>
        <v>1600</v>
      </c>
      <c r="G201" s="7" t="n">
        <f aca="false">SUMIF('Dados Brutos'!$B:$B,A201,'Dados Brutos'!$D:$D)</f>
        <v>30</v>
      </c>
      <c r="H201" s="7" t="n">
        <f aca="false">COUNTIF('Dados Brutos'!$B:$B,A201)</f>
        <v>1</v>
      </c>
      <c r="I201" s="16" t="n">
        <f aca="false">IFERROR(F201/G201,0)</f>
        <v>53.3333333333333</v>
      </c>
      <c r="J201" s="13" t="n">
        <f aca="false">(C201&gt;0)+(D201&gt;0)+(E201&gt;0)</f>
        <v>1</v>
      </c>
      <c r="K201" s="13" t="str">
        <f aca="false">IF(J201=3,"Sim","Não")</f>
        <v>Não</v>
      </c>
      <c r="L201" s="13" t="str">
        <f aca="false">IF(AND(I201&gt;=100,G201&gt;=100),"Sim","Não")</f>
        <v>Não</v>
      </c>
      <c r="M201" s="13" t="str">
        <f aca="false">IF(L201="Sim",SUMPRODUCT(($L$2:L201="Sim")*1),"")</f>
        <v/>
      </c>
    </row>
    <row r="202" customFormat="false" ht="15" hidden="false" customHeight="false" outlineLevel="0" collapsed="false">
      <c r="A202" s="13" t="s">
        <v>2230</v>
      </c>
      <c r="B202" s="13" t="s">
        <v>43</v>
      </c>
      <c r="C202" s="5" t="n">
        <f aca="false">SUMIFS('Dados Brutos'!$C:$C,'Dados Brutos'!$B:$B,A202,'Dados Brutos'!$T:$T,"SIENO")</f>
        <v>1590</v>
      </c>
      <c r="D202" s="5" t="n">
        <f aca="false">SUMIFS('Dados Brutos'!$C:$C,'Dados Brutos'!$B:$B,A202,'Dados Brutos'!$T:$T,"BAGATELLE")</f>
        <v>0</v>
      </c>
      <c r="E202" s="5" t="n">
        <f aca="false">SUMIFS('Dados Brutos'!$C:$C,'Dados Brutos'!$B:$B,A202,'Dados Brutos'!$T:$T,"AUMA")</f>
        <v>0</v>
      </c>
      <c r="F202" s="5" t="n">
        <f aca="false">SUM(C202:E202)</f>
        <v>1590</v>
      </c>
      <c r="G202" s="7" t="n">
        <f aca="false">SUMIF('Dados Brutos'!$B:$B,A202,'Dados Brutos'!$D:$D)</f>
        <v>17</v>
      </c>
      <c r="H202" s="7" t="n">
        <f aca="false">COUNTIF('Dados Brutos'!$B:$B,A202)</f>
        <v>3</v>
      </c>
      <c r="I202" s="16" t="n">
        <f aca="false">IFERROR(F202/G202,0)</f>
        <v>93.5294117647059</v>
      </c>
      <c r="J202" s="13" t="n">
        <f aca="false">(C202&gt;0)+(D202&gt;0)+(E202&gt;0)</f>
        <v>1</v>
      </c>
      <c r="K202" s="13" t="str">
        <f aca="false">IF(J202=3,"Sim","Não")</f>
        <v>Não</v>
      </c>
      <c r="L202" s="13" t="str">
        <f aca="false">IF(AND(I202&gt;=100,G202&gt;=100),"Sim","Não")</f>
        <v>Não</v>
      </c>
      <c r="M202" s="13" t="str">
        <f aca="false">IF(L202="Sim",SUMPRODUCT(($L$2:L202="Sim")*1),"")</f>
        <v/>
      </c>
    </row>
    <row r="203" customFormat="false" ht="15" hidden="false" customHeight="false" outlineLevel="0" collapsed="false">
      <c r="A203" s="13" t="s">
        <v>2231</v>
      </c>
      <c r="B203" s="13" t="s">
        <v>85</v>
      </c>
      <c r="C203" s="5" t="n">
        <f aca="false">SUMIFS('Dados Brutos'!$C:$C,'Dados Brutos'!$B:$B,A203,'Dados Brutos'!$T:$T,"SIENO")</f>
        <v>1500</v>
      </c>
      <c r="D203" s="5" t="n">
        <f aca="false">SUMIFS('Dados Brutos'!$C:$C,'Dados Brutos'!$B:$B,A203,'Dados Brutos'!$T:$T,"BAGATELLE")</f>
        <v>0</v>
      </c>
      <c r="E203" s="5" t="n">
        <f aca="false">SUMIFS('Dados Brutos'!$C:$C,'Dados Brutos'!$B:$B,A203,'Dados Brutos'!$T:$T,"AUMA")</f>
        <v>0</v>
      </c>
      <c r="F203" s="5" t="n">
        <f aca="false">SUM(C203:E203)</f>
        <v>1500</v>
      </c>
      <c r="G203" s="7" t="n">
        <f aca="false">SUMIF('Dados Brutos'!$B:$B,A203,'Dados Brutos'!$D:$D)</f>
        <v>30</v>
      </c>
      <c r="H203" s="7" t="n">
        <f aca="false">COUNTIF('Dados Brutos'!$B:$B,A203)</f>
        <v>1</v>
      </c>
      <c r="I203" s="16" t="n">
        <f aca="false">IFERROR(F203/G203,0)</f>
        <v>50</v>
      </c>
      <c r="J203" s="13" t="n">
        <f aca="false">(C203&gt;0)+(D203&gt;0)+(E203&gt;0)</f>
        <v>1</v>
      </c>
      <c r="K203" s="13" t="str">
        <f aca="false">IF(J203=3,"Sim","Não")</f>
        <v>Não</v>
      </c>
      <c r="L203" s="13" t="str">
        <f aca="false">IF(AND(I203&gt;=100,G203&gt;=100),"Sim","Não")</f>
        <v>Não</v>
      </c>
      <c r="M203" s="13" t="str">
        <f aca="false">IF(L203="Sim",SUMPRODUCT(($L$2:L203="Sim")*1),"")</f>
        <v/>
      </c>
    </row>
    <row r="204" customFormat="false" ht="15" hidden="false" customHeight="false" outlineLevel="0" collapsed="false">
      <c r="A204" s="13" t="s">
        <v>2232</v>
      </c>
      <c r="B204" s="13" t="s">
        <v>43</v>
      </c>
      <c r="C204" s="5" t="n">
        <f aca="false">SUMIFS('Dados Brutos'!$C:$C,'Dados Brutos'!$B:$B,A204,'Dados Brutos'!$T:$T,"SIENO")</f>
        <v>0</v>
      </c>
      <c r="D204" s="5" t="n">
        <f aca="false">SUMIFS('Dados Brutos'!$C:$C,'Dados Brutos'!$B:$B,A204,'Dados Brutos'!$T:$T,"BAGATELLE")</f>
        <v>1470</v>
      </c>
      <c r="E204" s="5" t="n">
        <f aca="false">SUMIFS('Dados Brutos'!$C:$C,'Dados Brutos'!$B:$B,A204,'Dados Brutos'!$T:$T,"AUMA")</f>
        <v>0</v>
      </c>
      <c r="F204" s="5" t="n">
        <f aca="false">SUM(C204:E204)</f>
        <v>1470</v>
      </c>
      <c r="G204" s="7" t="n">
        <f aca="false">SUMIF('Dados Brutos'!$B:$B,A204,'Dados Brutos'!$D:$D)</f>
        <v>6</v>
      </c>
      <c r="H204" s="7" t="n">
        <f aca="false">COUNTIF('Dados Brutos'!$B:$B,A204)</f>
        <v>4</v>
      </c>
      <c r="I204" s="16" t="n">
        <f aca="false">IFERROR(F204/G204,0)</f>
        <v>245</v>
      </c>
      <c r="J204" s="13" t="n">
        <f aca="false">(C204&gt;0)+(D204&gt;0)+(E204&gt;0)</f>
        <v>1</v>
      </c>
      <c r="K204" s="13" t="str">
        <f aca="false">IF(J204=3,"Sim","Não")</f>
        <v>Não</v>
      </c>
      <c r="L204" s="13" t="str">
        <f aca="false">IF(AND(I204&gt;=100,G204&gt;=100),"Sim","Não")</f>
        <v>Não</v>
      </c>
      <c r="M204" s="13" t="str">
        <f aca="false">IF(L204="Sim",SUMPRODUCT(($L$2:L204="Sim")*1),"")</f>
        <v/>
      </c>
    </row>
    <row r="205" customFormat="false" ht="15" hidden="false" customHeight="false" outlineLevel="0" collapsed="false">
      <c r="A205" s="13" t="s">
        <v>2233</v>
      </c>
      <c r="B205" s="13" t="s">
        <v>43</v>
      </c>
      <c r="C205" s="5" t="n">
        <f aca="false">SUMIFS('Dados Brutos'!$C:$C,'Dados Brutos'!$B:$B,A205,'Dados Brutos'!$T:$T,"SIENO")</f>
        <v>1400</v>
      </c>
      <c r="D205" s="5" t="n">
        <f aca="false">SUMIFS('Dados Brutos'!$C:$C,'Dados Brutos'!$B:$B,A205,'Dados Brutos'!$T:$T,"BAGATELLE")</f>
        <v>0</v>
      </c>
      <c r="E205" s="5" t="n">
        <f aca="false">SUMIFS('Dados Brutos'!$C:$C,'Dados Brutos'!$B:$B,A205,'Dados Brutos'!$T:$T,"AUMA")</f>
        <v>0</v>
      </c>
      <c r="F205" s="5" t="n">
        <f aca="false">SUM(C205:E205)</f>
        <v>1400</v>
      </c>
      <c r="G205" s="7" t="n">
        <f aca="false">SUMIF('Dados Brutos'!$B:$B,A205,'Dados Brutos'!$D:$D)</f>
        <v>10</v>
      </c>
      <c r="H205" s="7" t="n">
        <f aca="false">COUNTIF('Dados Brutos'!$B:$B,A205)</f>
        <v>1</v>
      </c>
      <c r="I205" s="16" t="n">
        <f aca="false">IFERROR(F205/G205,0)</f>
        <v>140</v>
      </c>
      <c r="J205" s="13" t="n">
        <f aca="false">(C205&gt;0)+(D205&gt;0)+(E205&gt;0)</f>
        <v>1</v>
      </c>
      <c r="K205" s="13" t="str">
        <f aca="false">IF(J205=3,"Sim","Não")</f>
        <v>Não</v>
      </c>
      <c r="L205" s="13" t="str">
        <f aca="false">IF(AND(I205&gt;=100,G205&gt;=100),"Sim","Não")</f>
        <v>Não</v>
      </c>
      <c r="M205" s="13" t="str">
        <f aca="false">IF(L205="Sim",SUMPRODUCT(($L$2:L205="Sim")*1),"")</f>
        <v/>
      </c>
    </row>
    <row r="206" customFormat="false" ht="15" hidden="false" customHeight="false" outlineLevel="0" collapsed="false">
      <c r="A206" s="13" t="s">
        <v>2234</v>
      </c>
      <c r="B206" s="13" t="s">
        <v>43</v>
      </c>
      <c r="C206" s="5" t="n">
        <f aca="false">SUMIFS('Dados Brutos'!$C:$C,'Dados Brutos'!$B:$B,A206,'Dados Brutos'!$T:$T,"SIENO")</f>
        <v>1400</v>
      </c>
      <c r="D206" s="5" t="n">
        <f aca="false">SUMIFS('Dados Brutos'!$C:$C,'Dados Brutos'!$B:$B,A206,'Dados Brutos'!$T:$T,"BAGATELLE")</f>
        <v>0</v>
      </c>
      <c r="E206" s="5" t="n">
        <f aca="false">SUMIFS('Dados Brutos'!$C:$C,'Dados Brutos'!$B:$B,A206,'Dados Brutos'!$T:$T,"AUMA")</f>
        <v>0</v>
      </c>
      <c r="F206" s="5" t="n">
        <f aca="false">SUM(C206:E206)</f>
        <v>1400</v>
      </c>
      <c r="G206" s="7" t="n">
        <f aca="false">SUMIF('Dados Brutos'!$B:$B,A206,'Dados Brutos'!$D:$D)</f>
        <v>20</v>
      </c>
      <c r="H206" s="7" t="n">
        <f aca="false">COUNTIF('Dados Brutos'!$B:$B,A206)</f>
        <v>1</v>
      </c>
      <c r="I206" s="16" t="n">
        <f aca="false">IFERROR(F206/G206,0)</f>
        <v>70</v>
      </c>
      <c r="J206" s="13" t="n">
        <f aca="false">(C206&gt;0)+(D206&gt;0)+(E206&gt;0)</f>
        <v>1</v>
      </c>
      <c r="K206" s="13" t="str">
        <f aca="false">IF(J206=3,"Sim","Não")</f>
        <v>Não</v>
      </c>
      <c r="L206" s="13" t="str">
        <f aca="false">IF(AND(I206&gt;=100,G206&gt;=100),"Sim","Não")</f>
        <v>Não</v>
      </c>
      <c r="M206" s="13" t="str">
        <f aca="false">IF(L206="Sim",SUMPRODUCT(($L$2:L206="Sim")*1),"")</f>
        <v/>
      </c>
    </row>
    <row r="207" customFormat="false" ht="15" hidden="false" customHeight="false" outlineLevel="0" collapsed="false">
      <c r="A207" s="13" t="s">
        <v>2235</v>
      </c>
      <c r="B207" s="13" t="s">
        <v>43</v>
      </c>
      <c r="C207" s="5" t="n">
        <f aca="false">SUMIFS('Dados Brutos'!$C:$C,'Dados Brutos'!$B:$B,A207,'Dados Brutos'!$T:$T,"SIENO")</f>
        <v>0</v>
      </c>
      <c r="D207" s="5" t="n">
        <f aca="false">SUMIFS('Dados Brutos'!$C:$C,'Dados Brutos'!$B:$B,A207,'Dados Brutos'!$T:$T,"BAGATELLE")</f>
        <v>1380</v>
      </c>
      <c r="E207" s="5" t="n">
        <f aca="false">SUMIFS('Dados Brutos'!$C:$C,'Dados Brutos'!$B:$B,A207,'Dados Brutos'!$T:$T,"AUMA")</f>
        <v>0</v>
      </c>
      <c r="F207" s="5" t="n">
        <f aca="false">SUM(C207:E207)</f>
        <v>1380</v>
      </c>
      <c r="G207" s="7" t="n">
        <f aca="false">SUMIF('Dados Brutos'!$B:$B,A207,'Dados Brutos'!$D:$D)</f>
        <v>4</v>
      </c>
      <c r="H207" s="7" t="n">
        <f aca="false">COUNTIF('Dados Brutos'!$B:$B,A207)</f>
        <v>3</v>
      </c>
      <c r="I207" s="16" t="n">
        <f aca="false">IFERROR(F207/G207,0)</f>
        <v>345</v>
      </c>
      <c r="J207" s="13" t="n">
        <f aca="false">(C207&gt;0)+(D207&gt;0)+(E207&gt;0)</f>
        <v>1</v>
      </c>
      <c r="K207" s="13" t="str">
        <f aca="false">IF(J207=3,"Sim","Não")</f>
        <v>Não</v>
      </c>
      <c r="L207" s="13" t="str">
        <f aca="false">IF(AND(I207&gt;=100,G207&gt;=100),"Sim","Não")</f>
        <v>Não</v>
      </c>
      <c r="M207" s="13" t="str">
        <f aca="false">IF(L207="Sim",SUMPRODUCT(($L$2:L207="Sim")*1),"")</f>
        <v/>
      </c>
    </row>
    <row r="208" customFormat="false" ht="15" hidden="false" customHeight="false" outlineLevel="0" collapsed="false">
      <c r="A208" s="13" t="s">
        <v>2236</v>
      </c>
      <c r="B208" s="13" t="s">
        <v>43</v>
      </c>
      <c r="C208" s="5" t="n">
        <f aca="false">SUMIFS('Dados Brutos'!$C:$C,'Dados Brutos'!$B:$B,A208,'Dados Brutos'!$T:$T,"SIENO")</f>
        <v>1200</v>
      </c>
      <c r="D208" s="5" t="n">
        <f aca="false">SUMIFS('Dados Brutos'!$C:$C,'Dados Brutos'!$B:$B,A208,'Dados Brutos'!$T:$T,"BAGATELLE")</f>
        <v>0</v>
      </c>
      <c r="E208" s="5" t="n">
        <f aca="false">SUMIFS('Dados Brutos'!$C:$C,'Dados Brutos'!$B:$B,A208,'Dados Brutos'!$T:$T,"AUMA")</f>
        <v>160</v>
      </c>
      <c r="F208" s="5" t="n">
        <f aca="false">SUM(C208:E208)</f>
        <v>1360</v>
      </c>
      <c r="G208" s="7" t="n">
        <f aca="false">SUMIF('Dados Brutos'!$B:$B,A208,'Dados Brutos'!$D:$D)</f>
        <v>3</v>
      </c>
      <c r="H208" s="7" t="n">
        <f aca="false">COUNTIF('Dados Brutos'!$B:$B,A208)</f>
        <v>2</v>
      </c>
      <c r="I208" s="16" t="n">
        <f aca="false">IFERROR(F208/G208,0)</f>
        <v>453.333333333333</v>
      </c>
      <c r="J208" s="13" t="n">
        <f aca="false">(C208&gt;0)+(D208&gt;0)+(E208&gt;0)</f>
        <v>2</v>
      </c>
      <c r="K208" s="13" t="str">
        <f aca="false">IF(J208=3,"Sim","Não")</f>
        <v>Não</v>
      </c>
      <c r="L208" s="13" t="str">
        <f aca="false">IF(AND(I208&gt;=100,G208&gt;=100),"Sim","Não")</f>
        <v>Não</v>
      </c>
      <c r="M208" s="13" t="str">
        <f aca="false">IF(L208="Sim",SUMPRODUCT(($L$2:L208="Sim")*1),"")</f>
        <v/>
      </c>
    </row>
    <row r="209" customFormat="false" ht="15" hidden="false" customHeight="false" outlineLevel="0" collapsed="false">
      <c r="A209" s="13" t="s">
        <v>2237</v>
      </c>
      <c r="B209" s="13" t="s">
        <v>140</v>
      </c>
      <c r="C209" s="5" t="n">
        <f aca="false">SUMIFS('Dados Brutos'!$C:$C,'Dados Brutos'!$B:$B,A209,'Dados Brutos'!$T:$T,"SIENO")</f>
        <v>1300</v>
      </c>
      <c r="D209" s="5" t="n">
        <f aca="false">SUMIFS('Dados Brutos'!$C:$C,'Dados Brutos'!$B:$B,A209,'Dados Brutos'!$T:$T,"BAGATELLE")</f>
        <v>0</v>
      </c>
      <c r="E209" s="5" t="n">
        <f aca="false">SUMIFS('Dados Brutos'!$C:$C,'Dados Brutos'!$B:$B,A209,'Dados Brutos'!$T:$T,"AUMA")</f>
        <v>0</v>
      </c>
      <c r="F209" s="5" t="n">
        <f aca="false">SUM(C209:E209)</f>
        <v>1300</v>
      </c>
      <c r="G209" s="7" t="n">
        <f aca="false">SUMIF('Dados Brutos'!$B:$B,A209,'Dados Brutos'!$D:$D)</f>
        <v>20</v>
      </c>
      <c r="H209" s="7" t="n">
        <f aca="false">COUNTIF('Dados Brutos'!$B:$B,A209)</f>
        <v>1</v>
      </c>
      <c r="I209" s="16" t="n">
        <f aca="false">IFERROR(F209/G209,0)</f>
        <v>65</v>
      </c>
      <c r="J209" s="13" t="n">
        <f aca="false">(C209&gt;0)+(D209&gt;0)+(E209&gt;0)</f>
        <v>1</v>
      </c>
      <c r="K209" s="13" t="str">
        <f aca="false">IF(J209=3,"Sim","Não")</f>
        <v>Não</v>
      </c>
      <c r="L209" s="13" t="str">
        <f aca="false">IF(AND(I209&gt;=100,G209&gt;=100),"Sim","Não")</f>
        <v>Não</v>
      </c>
      <c r="M209" s="13" t="str">
        <f aca="false">IF(L209="Sim",SUMPRODUCT(($L$2:L209="Sim")*1),"")</f>
        <v/>
      </c>
    </row>
    <row r="210" customFormat="false" ht="15" hidden="false" customHeight="false" outlineLevel="0" collapsed="false">
      <c r="A210" s="13" t="s">
        <v>2238</v>
      </c>
      <c r="B210" s="13" t="s">
        <v>85</v>
      </c>
      <c r="C210" s="5" t="n">
        <f aca="false">SUMIFS('Dados Brutos'!$C:$C,'Dados Brutos'!$B:$B,A210,'Dados Brutos'!$T:$T,"SIENO")</f>
        <v>1300</v>
      </c>
      <c r="D210" s="5" t="n">
        <f aca="false">SUMIFS('Dados Brutos'!$C:$C,'Dados Brutos'!$B:$B,A210,'Dados Brutos'!$T:$T,"BAGATELLE")</f>
        <v>0</v>
      </c>
      <c r="E210" s="5" t="n">
        <f aca="false">SUMIFS('Dados Brutos'!$C:$C,'Dados Brutos'!$B:$B,A210,'Dados Brutos'!$T:$T,"AUMA")</f>
        <v>0</v>
      </c>
      <c r="F210" s="5" t="n">
        <f aca="false">SUM(C210:E210)</f>
        <v>1300</v>
      </c>
      <c r="G210" s="7" t="n">
        <f aca="false">SUMIF('Dados Brutos'!$B:$B,A210,'Dados Brutos'!$D:$D)</f>
        <v>2</v>
      </c>
      <c r="H210" s="7" t="n">
        <f aca="false">COUNTIF('Dados Brutos'!$B:$B,A210)</f>
        <v>1</v>
      </c>
      <c r="I210" s="16" t="n">
        <f aca="false">IFERROR(F210/G210,0)</f>
        <v>650</v>
      </c>
      <c r="J210" s="13" t="n">
        <f aca="false">(C210&gt;0)+(D210&gt;0)+(E210&gt;0)</f>
        <v>1</v>
      </c>
      <c r="K210" s="13" t="str">
        <f aca="false">IF(J210=3,"Sim","Não")</f>
        <v>Não</v>
      </c>
      <c r="L210" s="13" t="str">
        <f aca="false">IF(AND(I210&gt;=100,G210&gt;=100),"Sim","Não")</f>
        <v>Não</v>
      </c>
      <c r="M210" s="13" t="str">
        <f aca="false">IF(L210="Sim",SUMPRODUCT(($L$2:L210="Sim")*1),"")</f>
        <v/>
      </c>
    </row>
    <row r="211" customFormat="false" ht="15" hidden="false" customHeight="false" outlineLevel="0" collapsed="false">
      <c r="A211" s="13" t="s">
        <v>2239</v>
      </c>
      <c r="B211" s="13" t="s">
        <v>57</v>
      </c>
      <c r="C211" s="5" t="n">
        <f aca="false">SUMIFS('Dados Brutos'!$C:$C,'Dados Brutos'!$B:$B,A211,'Dados Brutos'!$T:$T,"SIENO")</f>
        <v>1300</v>
      </c>
      <c r="D211" s="5" t="n">
        <f aca="false">SUMIFS('Dados Brutos'!$C:$C,'Dados Brutos'!$B:$B,A211,'Dados Brutos'!$T:$T,"BAGATELLE")</f>
        <v>0</v>
      </c>
      <c r="E211" s="5" t="n">
        <f aca="false">SUMIFS('Dados Brutos'!$C:$C,'Dados Brutos'!$B:$B,A211,'Dados Brutos'!$T:$T,"AUMA")</f>
        <v>0</v>
      </c>
      <c r="F211" s="5" t="n">
        <f aca="false">SUM(C211:E211)</f>
        <v>1300</v>
      </c>
      <c r="G211" s="7" t="n">
        <f aca="false">SUMIF('Dados Brutos'!$B:$B,A211,'Dados Brutos'!$D:$D)</f>
        <v>5</v>
      </c>
      <c r="H211" s="7" t="n">
        <f aca="false">COUNTIF('Dados Brutos'!$B:$B,A211)</f>
        <v>1</v>
      </c>
      <c r="I211" s="16" t="n">
        <f aca="false">IFERROR(F211/G211,0)</f>
        <v>260</v>
      </c>
      <c r="J211" s="13" t="n">
        <f aca="false">(C211&gt;0)+(D211&gt;0)+(E211&gt;0)</f>
        <v>1</v>
      </c>
      <c r="K211" s="13" t="str">
        <f aca="false">IF(J211=3,"Sim","Não")</f>
        <v>Não</v>
      </c>
      <c r="L211" s="13" t="str">
        <f aca="false">IF(AND(I211&gt;=100,G211&gt;=100),"Sim","Não")</f>
        <v>Não</v>
      </c>
      <c r="M211" s="13" t="str">
        <f aca="false">IF(L211="Sim",SUMPRODUCT(($L$2:L211="Sim")*1),"")</f>
        <v/>
      </c>
    </row>
    <row r="212" customFormat="false" ht="15" hidden="false" customHeight="false" outlineLevel="0" collapsed="false">
      <c r="A212" s="13" t="s">
        <v>2240</v>
      </c>
      <c r="B212" s="13" t="s">
        <v>43</v>
      </c>
      <c r="C212" s="5" t="n">
        <f aca="false">SUMIFS('Dados Brutos'!$C:$C,'Dados Brutos'!$B:$B,A212,'Dados Brutos'!$T:$T,"SIENO")</f>
        <v>0</v>
      </c>
      <c r="D212" s="5" t="n">
        <f aca="false">SUMIFS('Dados Brutos'!$C:$C,'Dados Brutos'!$B:$B,A212,'Dados Brutos'!$T:$T,"BAGATELLE")</f>
        <v>0</v>
      </c>
      <c r="E212" s="5" t="n">
        <f aca="false">SUMIFS('Dados Brutos'!$C:$C,'Dados Brutos'!$B:$B,A212,'Dados Brutos'!$T:$T,"AUMA")</f>
        <v>1300</v>
      </c>
      <c r="F212" s="5" t="n">
        <f aca="false">SUM(C212:E212)</f>
        <v>1300</v>
      </c>
      <c r="G212" s="7" t="n">
        <f aca="false">SUMIF('Dados Brutos'!$B:$B,A212,'Dados Brutos'!$D:$D)</f>
        <v>2</v>
      </c>
      <c r="H212" s="7" t="n">
        <f aca="false">COUNTIF('Dados Brutos'!$B:$B,A212)</f>
        <v>1</v>
      </c>
      <c r="I212" s="16" t="n">
        <f aca="false">IFERROR(F212/G212,0)</f>
        <v>650</v>
      </c>
      <c r="J212" s="13" t="n">
        <f aca="false">(C212&gt;0)+(D212&gt;0)+(E212&gt;0)</f>
        <v>1</v>
      </c>
      <c r="K212" s="13" t="str">
        <f aca="false">IF(J212=3,"Sim","Não")</f>
        <v>Não</v>
      </c>
      <c r="L212" s="13" t="str">
        <f aca="false">IF(AND(I212&gt;=100,G212&gt;=100),"Sim","Não")</f>
        <v>Não</v>
      </c>
      <c r="M212" s="13" t="str">
        <f aca="false">IF(L212="Sim",SUMPRODUCT(($L$2:L212="Sim")*1),"")</f>
        <v/>
      </c>
    </row>
    <row r="213" customFormat="false" ht="15" hidden="false" customHeight="false" outlineLevel="0" collapsed="false">
      <c r="A213" s="13" t="s">
        <v>2241</v>
      </c>
      <c r="B213" s="13" t="s">
        <v>85</v>
      </c>
      <c r="C213" s="5" t="n">
        <f aca="false">SUMIFS('Dados Brutos'!$C:$C,'Dados Brutos'!$B:$B,A213,'Dados Brutos'!$T:$T,"SIENO")</f>
        <v>1200</v>
      </c>
      <c r="D213" s="5" t="n">
        <f aca="false">SUMIFS('Dados Brutos'!$C:$C,'Dados Brutos'!$B:$B,A213,'Dados Brutos'!$T:$T,"BAGATELLE")</f>
        <v>0</v>
      </c>
      <c r="E213" s="5" t="n">
        <f aca="false">SUMIFS('Dados Brutos'!$C:$C,'Dados Brutos'!$B:$B,A213,'Dados Brutos'!$T:$T,"AUMA")</f>
        <v>0</v>
      </c>
      <c r="F213" s="5" t="n">
        <f aca="false">SUM(C213:E213)</f>
        <v>1200</v>
      </c>
      <c r="G213" s="7" t="n">
        <f aca="false">SUMIF('Dados Brutos'!$B:$B,A213,'Dados Brutos'!$D:$D)</f>
        <v>5</v>
      </c>
      <c r="H213" s="7" t="n">
        <f aca="false">COUNTIF('Dados Brutos'!$B:$B,A213)</f>
        <v>1</v>
      </c>
      <c r="I213" s="16" t="n">
        <f aca="false">IFERROR(F213/G213,0)</f>
        <v>240</v>
      </c>
      <c r="J213" s="13" t="n">
        <f aca="false">(C213&gt;0)+(D213&gt;0)+(E213&gt;0)</f>
        <v>1</v>
      </c>
      <c r="K213" s="13" t="str">
        <f aca="false">IF(J213=3,"Sim","Não")</f>
        <v>Não</v>
      </c>
      <c r="L213" s="13" t="str">
        <f aca="false">IF(AND(I213&gt;=100,G213&gt;=100),"Sim","Não")</f>
        <v>Não</v>
      </c>
      <c r="M213" s="13" t="str">
        <f aca="false">IF(L213="Sim",SUMPRODUCT(($L$2:L213="Sim")*1),"")</f>
        <v/>
      </c>
    </row>
    <row r="214" customFormat="false" ht="15" hidden="false" customHeight="false" outlineLevel="0" collapsed="false">
      <c r="A214" s="13" t="s">
        <v>2242</v>
      </c>
      <c r="B214" s="13" t="s">
        <v>43</v>
      </c>
      <c r="C214" s="5" t="n">
        <f aca="false">SUMIFS('Dados Brutos'!$C:$C,'Dados Brutos'!$B:$B,A214,'Dados Brutos'!$T:$T,"SIENO")</f>
        <v>0</v>
      </c>
      <c r="D214" s="5" t="n">
        <f aca="false">SUMIFS('Dados Brutos'!$C:$C,'Dados Brutos'!$B:$B,A214,'Dados Brutos'!$T:$T,"BAGATELLE")</f>
        <v>1200</v>
      </c>
      <c r="E214" s="5" t="n">
        <f aca="false">SUMIFS('Dados Brutos'!$C:$C,'Dados Brutos'!$B:$B,A214,'Dados Brutos'!$T:$T,"AUMA")</f>
        <v>0</v>
      </c>
      <c r="F214" s="5" t="n">
        <f aca="false">SUM(C214:E214)</f>
        <v>1200</v>
      </c>
      <c r="G214" s="7" t="n">
        <f aca="false">SUMIF('Dados Brutos'!$B:$B,A214,'Dados Brutos'!$D:$D)</f>
        <v>3</v>
      </c>
      <c r="H214" s="7" t="n">
        <f aca="false">COUNTIF('Dados Brutos'!$B:$B,A214)</f>
        <v>2</v>
      </c>
      <c r="I214" s="16" t="n">
        <f aca="false">IFERROR(F214/G214,0)</f>
        <v>400</v>
      </c>
      <c r="J214" s="13" t="n">
        <f aca="false">(C214&gt;0)+(D214&gt;0)+(E214&gt;0)</f>
        <v>1</v>
      </c>
      <c r="K214" s="13" t="str">
        <f aca="false">IF(J214=3,"Sim","Não")</f>
        <v>Não</v>
      </c>
      <c r="L214" s="13" t="str">
        <f aca="false">IF(AND(I214&gt;=100,G214&gt;=100),"Sim","Não")</f>
        <v>Não</v>
      </c>
      <c r="M214" s="13" t="str">
        <f aca="false">IF(L214="Sim",SUMPRODUCT(($L$2:L214="Sim")*1),"")</f>
        <v/>
      </c>
    </row>
    <row r="215" customFormat="false" ht="15" hidden="false" customHeight="false" outlineLevel="0" collapsed="false">
      <c r="A215" s="13" t="s">
        <v>2243</v>
      </c>
      <c r="B215" s="13" t="s">
        <v>43</v>
      </c>
      <c r="C215" s="5" t="n">
        <f aca="false">SUMIFS('Dados Brutos'!$C:$C,'Dados Brutos'!$B:$B,A215,'Dados Brutos'!$T:$T,"SIENO")</f>
        <v>0</v>
      </c>
      <c r="D215" s="5" t="n">
        <f aca="false">SUMIFS('Dados Brutos'!$C:$C,'Dados Brutos'!$B:$B,A215,'Dados Brutos'!$T:$T,"BAGATELLE")</f>
        <v>1100</v>
      </c>
      <c r="E215" s="5" t="n">
        <f aca="false">SUMIFS('Dados Brutos'!$C:$C,'Dados Brutos'!$B:$B,A215,'Dados Brutos'!$T:$T,"AUMA")</f>
        <v>0</v>
      </c>
      <c r="F215" s="5" t="n">
        <f aca="false">SUM(C215:E215)</f>
        <v>1100</v>
      </c>
      <c r="G215" s="7" t="n">
        <f aca="false">SUMIF('Dados Brutos'!$B:$B,A215,'Dados Brutos'!$D:$D)</f>
        <v>5</v>
      </c>
      <c r="H215" s="7" t="n">
        <f aca="false">COUNTIF('Dados Brutos'!$B:$B,A215)</f>
        <v>1</v>
      </c>
      <c r="I215" s="16" t="n">
        <f aca="false">IFERROR(F215/G215,0)</f>
        <v>220</v>
      </c>
      <c r="J215" s="13" t="n">
        <f aca="false">(C215&gt;0)+(D215&gt;0)+(E215&gt;0)</f>
        <v>1</v>
      </c>
      <c r="K215" s="13" t="str">
        <f aca="false">IF(J215=3,"Sim","Não")</f>
        <v>Não</v>
      </c>
      <c r="L215" s="13" t="str">
        <f aca="false">IF(AND(I215&gt;=100,G215&gt;=100),"Sim","Não")</f>
        <v>Não</v>
      </c>
      <c r="M215" s="13" t="str">
        <f aca="false">IF(L215="Sim",SUMPRODUCT(($L$2:L215="Sim")*1),"")</f>
        <v/>
      </c>
    </row>
    <row r="216" customFormat="false" ht="15" hidden="false" customHeight="false" outlineLevel="0" collapsed="false">
      <c r="A216" s="13" t="s">
        <v>2244</v>
      </c>
      <c r="B216" s="13" t="s">
        <v>43</v>
      </c>
      <c r="C216" s="5" t="n">
        <f aca="false">SUMIFS('Dados Brutos'!$C:$C,'Dados Brutos'!$B:$B,A216,'Dados Brutos'!$T:$T,"SIENO")</f>
        <v>0</v>
      </c>
      <c r="D216" s="5" t="n">
        <f aca="false">SUMIFS('Dados Brutos'!$C:$C,'Dados Brutos'!$B:$B,A216,'Dados Brutos'!$T:$T,"BAGATELLE")</f>
        <v>0</v>
      </c>
      <c r="E216" s="5" t="n">
        <f aca="false">SUMIFS('Dados Brutos'!$C:$C,'Dados Brutos'!$B:$B,A216,'Dados Brutos'!$T:$T,"AUMA")</f>
        <v>1100</v>
      </c>
      <c r="F216" s="5" t="n">
        <f aca="false">SUM(C216:E216)</f>
        <v>1100</v>
      </c>
      <c r="G216" s="7" t="n">
        <f aca="false">SUMIF('Dados Brutos'!$B:$B,A216,'Dados Brutos'!$D:$D)</f>
        <v>2</v>
      </c>
      <c r="H216" s="7" t="n">
        <f aca="false">COUNTIF('Dados Brutos'!$B:$B,A216)</f>
        <v>1</v>
      </c>
      <c r="I216" s="16" t="n">
        <f aca="false">IFERROR(F216/G216,0)</f>
        <v>550</v>
      </c>
      <c r="J216" s="13" t="n">
        <f aca="false">(C216&gt;0)+(D216&gt;0)+(E216&gt;0)</f>
        <v>1</v>
      </c>
      <c r="K216" s="13" t="str">
        <f aca="false">IF(J216=3,"Sim","Não")</f>
        <v>Não</v>
      </c>
      <c r="L216" s="13" t="str">
        <f aca="false">IF(AND(I216&gt;=100,G216&gt;=100),"Sim","Não")</f>
        <v>Não</v>
      </c>
      <c r="M216" s="13" t="str">
        <f aca="false">IF(L216="Sim",SUMPRODUCT(($L$2:L216="Sim")*1),"")</f>
        <v/>
      </c>
    </row>
    <row r="217" customFormat="false" ht="15" hidden="false" customHeight="false" outlineLevel="0" collapsed="false">
      <c r="A217" s="13" t="s">
        <v>2245</v>
      </c>
      <c r="B217" s="13" t="s">
        <v>85</v>
      </c>
      <c r="C217" s="5" t="n">
        <f aca="false">SUMIFS('Dados Brutos'!$C:$C,'Dados Brutos'!$B:$B,A217,'Dados Brutos'!$T:$T,"SIENO")</f>
        <v>0</v>
      </c>
      <c r="D217" s="5" t="n">
        <f aca="false">SUMIFS('Dados Brutos'!$C:$C,'Dados Brutos'!$B:$B,A217,'Dados Brutos'!$T:$T,"BAGATELLE")</f>
        <v>1080</v>
      </c>
      <c r="E217" s="5" t="n">
        <f aca="false">SUMIFS('Dados Brutos'!$C:$C,'Dados Brutos'!$B:$B,A217,'Dados Brutos'!$T:$T,"AUMA")</f>
        <v>0</v>
      </c>
      <c r="F217" s="5" t="n">
        <f aca="false">SUM(C217:E217)</f>
        <v>1080</v>
      </c>
      <c r="G217" s="7" t="n">
        <f aca="false">SUMIF('Dados Brutos'!$B:$B,A217,'Dados Brutos'!$D:$D)</f>
        <v>6</v>
      </c>
      <c r="H217" s="7" t="n">
        <f aca="false">COUNTIF('Dados Brutos'!$B:$B,A217)</f>
        <v>2</v>
      </c>
      <c r="I217" s="16" t="n">
        <f aca="false">IFERROR(F217/G217,0)</f>
        <v>180</v>
      </c>
      <c r="J217" s="13" t="n">
        <f aca="false">(C217&gt;0)+(D217&gt;0)+(E217&gt;0)</f>
        <v>1</v>
      </c>
      <c r="K217" s="13" t="str">
        <f aca="false">IF(J217=3,"Sim","Não")</f>
        <v>Não</v>
      </c>
      <c r="L217" s="13" t="str">
        <f aca="false">IF(AND(I217&gt;=100,G217&gt;=100),"Sim","Não")</f>
        <v>Não</v>
      </c>
      <c r="M217" s="13" t="str">
        <f aca="false">IF(L217="Sim",SUMPRODUCT(($L$2:L217="Sim")*1),"")</f>
        <v/>
      </c>
    </row>
    <row r="218" customFormat="false" ht="15" hidden="false" customHeight="false" outlineLevel="0" collapsed="false">
      <c r="A218" s="13" t="s">
        <v>2246</v>
      </c>
      <c r="B218" s="13" t="s">
        <v>43</v>
      </c>
      <c r="C218" s="5" t="n">
        <f aca="false">SUMIFS('Dados Brutos'!$C:$C,'Dados Brutos'!$B:$B,A218,'Dados Brutos'!$T:$T,"SIENO")</f>
        <v>0</v>
      </c>
      <c r="D218" s="5" t="n">
        <f aca="false">SUMIFS('Dados Brutos'!$C:$C,'Dados Brutos'!$B:$B,A218,'Dados Brutos'!$T:$T,"BAGATELLE")</f>
        <v>0</v>
      </c>
      <c r="E218" s="5" t="n">
        <f aca="false">SUMIFS('Dados Brutos'!$C:$C,'Dados Brutos'!$B:$B,A218,'Dados Brutos'!$T:$T,"AUMA")</f>
        <v>1020</v>
      </c>
      <c r="F218" s="5" t="n">
        <f aca="false">SUM(C218:E218)</f>
        <v>1020</v>
      </c>
      <c r="G218" s="7" t="n">
        <f aca="false">SUMIF('Dados Brutos'!$B:$B,A218,'Dados Brutos'!$D:$D)</f>
        <v>3</v>
      </c>
      <c r="H218" s="7" t="n">
        <f aca="false">COUNTIF('Dados Brutos'!$B:$B,A218)</f>
        <v>2</v>
      </c>
      <c r="I218" s="16" t="n">
        <f aca="false">IFERROR(F218/G218,0)</f>
        <v>340</v>
      </c>
      <c r="J218" s="13" t="n">
        <f aca="false">(C218&gt;0)+(D218&gt;0)+(E218&gt;0)</f>
        <v>1</v>
      </c>
      <c r="K218" s="13" t="str">
        <f aca="false">IF(J218=3,"Sim","Não")</f>
        <v>Não</v>
      </c>
      <c r="L218" s="13" t="str">
        <f aca="false">IF(AND(I218&gt;=100,G218&gt;=100),"Sim","Não")</f>
        <v>Não</v>
      </c>
      <c r="M218" s="13" t="str">
        <f aca="false">IF(L218="Sim",SUMPRODUCT(($L$2:L218="Sim")*1),"")</f>
        <v/>
      </c>
    </row>
    <row r="219" customFormat="false" ht="15" hidden="false" customHeight="false" outlineLevel="0" collapsed="false">
      <c r="A219" s="13" t="s">
        <v>2247</v>
      </c>
      <c r="B219" s="13" t="s">
        <v>85</v>
      </c>
      <c r="C219" s="5" t="n">
        <f aca="false">SUMIFS('Dados Brutos'!$C:$C,'Dados Brutos'!$B:$B,A219,'Dados Brutos'!$T:$T,"SIENO")</f>
        <v>980</v>
      </c>
      <c r="D219" s="5" t="n">
        <f aca="false">SUMIFS('Dados Brutos'!$C:$C,'Dados Brutos'!$B:$B,A219,'Dados Brutos'!$T:$T,"BAGATELLE")</f>
        <v>0</v>
      </c>
      <c r="E219" s="5" t="n">
        <f aca="false">SUMIFS('Dados Brutos'!$C:$C,'Dados Brutos'!$B:$B,A219,'Dados Brutos'!$T:$T,"AUMA")</f>
        <v>0</v>
      </c>
      <c r="F219" s="5" t="n">
        <f aca="false">SUM(C219:E219)</f>
        <v>980</v>
      </c>
      <c r="G219" s="7" t="n">
        <f aca="false">SUMIF('Dados Brutos'!$B:$B,A219,'Dados Brutos'!$D:$D)</f>
        <v>10</v>
      </c>
      <c r="H219" s="7" t="n">
        <f aca="false">COUNTIF('Dados Brutos'!$B:$B,A219)</f>
        <v>1</v>
      </c>
      <c r="I219" s="16" t="n">
        <f aca="false">IFERROR(F219/G219,0)</f>
        <v>98</v>
      </c>
      <c r="J219" s="13" t="n">
        <f aca="false">(C219&gt;0)+(D219&gt;0)+(E219&gt;0)</f>
        <v>1</v>
      </c>
      <c r="K219" s="13" t="str">
        <f aca="false">IF(J219=3,"Sim","Não")</f>
        <v>Não</v>
      </c>
      <c r="L219" s="13" t="str">
        <f aca="false">IF(AND(I219&gt;=100,G219&gt;=100),"Sim","Não")</f>
        <v>Não</v>
      </c>
      <c r="M219" s="13" t="str">
        <f aca="false">IF(L219="Sim",SUMPRODUCT(($L$2:L219="Sim")*1),"")</f>
        <v/>
      </c>
    </row>
    <row r="220" customFormat="false" ht="15" hidden="false" customHeight="false" outlineLevel="0" collapsed="false">
      <c r="A220" s="13" t="s">
        <v>2248</v>
      </c>
      <c r="B220" s="13" t="s">
        <v>66</v>
      </c>
      <c r="C220" s="5" t="n">
        <f aca="false">SUMIFS('Dados Brutos'!$C:$C,'Dados Brutos'!$B:$B,A220,'Dados Brutos'!$T:$T,"SIENO")</f>
        <v>910</v>
      </c>
      <c r="D220" s="5" t="n">
        <f aca="false">SUMIFS('Dados Brutos'!$C:$C,'Dados Brutos'!$B:$B,A220,'Dados Brutos'!$T:$T,"BAGATELLE")</f>
        <v>0</v>
      </c>
      <c r="E220" s="5" t="n">
        <f aca="false">SUMIFS('Dados Brutos'!$C:$C,'Dados Brutos'!$B:$B,A220,'Dados Brutos'!$T:$T,"AUMA")</f>
        <v>0</v>
      </c>
      <c r="F220" s="5" t="n">
        <f aca="false">SUM(C220:E220)</f>
        <v>910</v>
      </c>
      <c r="G220" s="7" t="n">
        <f aca="false">SUMIF('Dados Brutos'!$B:$B,A220,'Dados Brutos'!$D:$D)</f>
        <v>2</v>
      </c>
      <c r="H220" s="7" t="n">
        <f aca="false">COUNTIF('Dados Brutos'!$B:$B,A220)</f>
        <v>1</v>
      </c>
      <c r="I220" s="16" t="n">
        <f aca="false">IFERROR(F220/G220,0)</f>
        <v>455</v>
      </c>
      <c r="J220" s="13" t="n">
        <f aca="false">(C220&gt;0)+(D220&gt;0)+(E220&gt;0)</f>
        <v>1</v>
      </c>
      <c r="K220" s="13" t="str">
        <f aca="false">IF(J220=3,"Sim","Não")</f>
        <v>Não</v>
      </c>
      <c r="L220" s="13" t="str">
        <f aca="false">IF(AND(I220&gt;=100,G220&gt;=100),"Sim","Não")</f>
        <v>Não</v>
      </c>
      <c r="M220" s="13" t="str">
        <f aca="false">IF(L220="Sim",SUMPRODUCT(($L$2:L220="Sim")*1),"")</f>
        <v/>
      </c>
    </row>
    <row r="221" customFormat="false" ht="15" hidden="false" customHeight="false" outlineLevel="0" collapsed="false">
      <c r="A221" s="13" t="s">
        <v>2249</v>
      </c>
      <c r="B221" s="13" t="s">
        <v>85</v>
      </c>
      <c r="C221" s="5" t="n">
        <f aca="false">SUMIFS('Dados Brutos'!$C:$C,'Dados Brutos'!$B:$B,A221,'Dados Brutos'!$T:$T,"SIENO")</f>
        <v>890</v>
      </c>
      <c r="D221" s="5" t="n">
        <f aca="false">SUMIFS('Dados Brutos'!$C:$C,'Dados Brutos'!$B:$B,A221,'Dados Brutos'!$T:$T,"BAGATELLE")</f>
        <v>0</v>
      </c>
      <c r="E221" s="5" t="n">
        <f aca="false">SUMIFS('Dados Brutos'!$C:$C,'Dados Brutos'!$B:$B,A221,'Dados Brutos'!$T:$T,"AUMA")</f>
        <v>0</v>
      </c>
      <c r="F221" s="5" t="n">
        <f aca="false">SUM(C221:E221)</f>
        <v>890</v>
      </c>
      <c r="G221" s="7" t="n">
        <f aca="false">SUMIF('Dados Brutos'!$B:$B,A221,'Dados Brutos'!$D:$D)</f>
        <v>6</v>
      </c>
      <c r="H221" s="7" t="n">
        <f aca="false">COUNTIF('Dados Brutos'!$B:$B,A221)</f>
        <v>3</v>
      </c>
      <c r="I221" s="16" t="n">
        <f aca="false">IFERROR(F221/G221,0)</f>
        <v>148.333333333333</v>
      </c>
      <c r="J221" s="13" t="n">
        <f aca="false">(C221&gt;0)+(D221&gt;0)+(E221&gt;0)</f>
        <v>1</v>
      </c>
      <c r="K221" s="13" t="str">
        <f aca="false">IF(J221=3,"Sim","Não")</f>
        <v>Não</v>
      </c>
      <c r="L221" s="13" t="str">
        <f aca="false">IF(AND(I221&gt;=100,G221&gt;=100),"Sim","Não")</f>
        <v>Não</v>
      </c>
      <c r="M221" s="13" t="str">
        <f aca="false">IF(L221="Sim",SUMPRODUCT(($L$2:L221="Sim")*1),"")</f>
        <v/>
      </c>
    </row>
    <row r="222" customFormat="false" ht="15" hidden="false" customHeight="false" outlineLevel="0" collapsed="false">
      <c r="A222" s="13" t="s">
        <v>2250</v>
      </c>
      <c r="B222" s="13" t="s">
        <v>85</v>
      </c>
      <c r="C222" s="5" t="n">
        <f aca="false">SUMIFS('Dados Brutos'!$C:$C,'Dados Brutos'!$B:$B,A222,'Dados Brutos'!$T:$T,"SIENO")</f>
        <v>0</v>
      </c>
      <c r="D222" s="5" t="n">
        <f aca="false">SUMIFS('Dados Brutos'!$C:$C,'Dados Brutos'!$B:$B,A222,'Dados Brutos'!$T:$T,"BAGATELLE")</f>
        <v>880</v>
      </c>
      <c r="E222" s="5" t="n">
        <f aca="false">SUMIFS('Dados Brutos'!$C:$C,'Dados Brutos'!$B:$B,A222,'Dados Brutos'!$T:$T,"AUMA")</f>
        <v>0</v>
      </c>
      <c r="F222" s="5" t="n">
        <f aca="false">SUM(C222:E222)</f>
        <v>880</v>
      </c>
      <c r="G222" s="7" t="n">
        <f aca="false">SUMIF('Dados Brutos'!$B:$B,A222,'Dados Brutos'!$D:$D)</f>
        <v>3</v>
      </c>
      <c r="H222" s="7" t="n">
        <f aca="false">COUNTIF('Dados Brutos'!$B:$B,A222)</f>
        <v>2</v>
      </c>
      <c r="I222" s="16" t="n">
        <f aca="false">IFERROR(F222/G222,0)</f>
        <v>293.333333333333</v>
      </c>
      <c r="J222" s="13" t="n">
        <f aca="false">(C222&gt;0)+(D222&gt;0)+(E222&gt;0)</f>
        <v>1</v>
      </c>
      <c r="K222" s="13" t="str">
        <f aca="false">IF(J222=3,"Sim","Não")</f>
        <v>Não</v>
      </c>
      <c r="L222" s="13" t="str">
        <f aca="false">IF(AND(I222&gt;=100,G222&gt;=100),"Sim","Não")</f>
        <v>Não</v>
      </c>
      <c r="M222" s="13" t="str">
        <f aca="false">IF(L222="Sim",SUMPRODUCT(($L$2:L222="Sim")*1),"")</f>
        <v/>
      </c>
    </row>
    <row r="223" customFormat="false" ht="15" hidden="false" customHeight="false" outlineLevel="0" collapsed="false">
      <c r="A223" s="13" t="s">
        <v>2251</v>
      </c>
      <c r="B223" s="13" t="s">
        <v>43</v>
      </c>
      <c r="C223" s="5" t="n">
        <f aca="false">SUMIFS('Dados Brutos'!$C:$C,'Dados Brutos'!$B:$B,A223,'Dados Brutos'!$T:$T,"SIENO")</f>
        <v>850</v>
      </c>
      <c r="D223" s="5" t="n">
        <f aca="false">SUMIFS('Dados Brutos'!$C:$C,'Dados Brutos'!$B:$B,A223,'Dados Brutos'!$T:$T,"BAGATELLE")</f>
        <v>0</v>
      </c>
      <c r="E223" s="5" t="n">
        <f aca="false">SUMIFS('Dados Brutos'!$C:$C,'Dados Brutos'!$B:$B,A223,'Dados Brutos'!$T:$T,"AUMA")</f>
        <v>0</v>
      </c>
      <c r="F223" s="5" t="n">
        <f aca="false">SUM(C223:E223)</f>
        <v>850</v>
      </c>
      <c r="G223" s="7" t="n">
        <f aca="false">SUMIF('Dados Brutos'!$B:$B,A223,'Dados Brutos'!$D:$D)</f>
        <v>5</v>
      </c>
      <c r="H223" s="7" t="n">
        <f aca="false">COUNTIF('Dados Brutos'!$B:$B,A223)</f>
        <v>1</v>
      </c>
      <c r="I223" s="16" t="n">
        <f aca="false">IFERROR(F223/G223,0)</f>
        <v>170</v>
      </c>
      <c r="J223" s="13" t="n">
        <f aca="false">(C223&gt;0)+(D223&gt;0)+(E223&gt;0)</f>
        <v>1</v>
      </c>
      <c r="K223" s="13" t="str">
        <f aca="false">IF(J223=3,"Sim","Não")</f>
        <v>Não</v>
      </c>
      <c r="L223" s="13" t="str">
        <f aca="false">IF(AND(I223&gt;=100,G223&gt;=100),"Sim","Não")</f>
        <v>Não</v>
      </c>
      <c r="M223" s="13" t="str">
        <f aca="false">IF(L223="Sim",SUMPRODUCT(($L$2:L223="Sim")*1),"")</f>
        <v/>
      </c>
    </row>
    <row r="224" customFormat="false" ht="15" hidden="false" customHeight="false" outlineLevel="0" collapsed="false">
      <c r="A224" s="13" t="s">
        <v>2252</v>
      </c>
      <c r="B224" s="13" t="s">
        <v>85</v>
      </c>
      <c r="C224" s="5" t="n">
        <f aca="false">SUMIFS('Dados Brutos'!$C:$C,'Dados Brutos'!$B:$B,A224,'Dados Brutos'!$T:$T,"SIENO")</f>
        <v>0</v>
      </c>
      <c r="D224" s="5" t="n">
        <f aca="false">SUMIFS('Dados Brutos'!$C:$C,'Dados Brutos'!$B:$B,A224,'Dados Brutos'!$T:$T,"BAGATELLE")</f>
        <v>0</v>
      </c>
      <c r="E224" s="5" t="n">
        <f aca="false">SUMIFS('Dados Brutos'!$C:$C,'Dados Brutos'!$B:$B,A224,'Dados Brutos'!$T:$T,"AUMA")</f>
        <v>820</v>
      </c>
      <c r="F224" s="5" t="n">
        <f aca="false">SUM(C224:E224)</f>
        <v>820</v>
      </c>
      <c r="G224" s="7" t="n">
        <f aca="false">SUMIF('Dados Brutos'!$B:$B,A224,'Dados Brutos'!$D:$D)</f>
        <v>2</v>
      </c>
      <c r="H224" s="7" t="n">
        <f aca="false">COUNTIF('Dados Brutos'!$B:$B,A224)</f>
        <v>1</v>
      </c>
      <c r="I224" s="16" t="n">
        <f aca="false">IFERROR(F224/G224,0)</f>
        <v>410</v>
      </c>
      <c r="J224" s="13" t="n">
        <f aca="false">(C224&gt;0)+(D224&gt;0)+(E224&gt;0)</f>
        <v>1</v>
      </c>
      <c r="K224" s="13" t="str">
        <f aca="false">IF(J224=3,"Sim","Não")</f>
        <v>Não</v>
      </c>
      <c r="L224" s="13" t="str">
        <f aca="false">IF(AND(I224&gt;=100,G224&gt;=100),"Sim","Não")</f>
        <v>Não</v>
      </c>
      <c r="M224" s="13" t="str">
        <f aca="false">IF(L224="Sim",SUMPRODUCT(($L$2:L224="Sim")*1),"")</f>
        <v/>
      </c>
    </row>
    <row r="225" customFormat="false" ht="15" hidden="false" customHeight="false" outlineLevel="0" collapsed="false">
      <c r="A225" s="13" t="s">
        <v>2253</v>
      </c>
      <c r="B225" s="13" t="s">
        <v>85</v>
      </c>
      <c r="C225" s="5" t="n">
        <f aca="false">SUMIFS('Dados Brutos'!$C:$C,'Dados Brutos'!$B:$B,A225,'Dados Brutos'!$T:$T,"SIENO")</f>
        <v>0</v>
      </c>
      <c r="D225" s="5" t="n">
        <f aca="false">SUMIFS('Dados Brutos'!$C:$C,'Dados Brutos'!$B:$B,A225,'Dados Brutos'!$T:$T,"BAGATELLE")</f>
        <v>0</v>
      </c>
      <c r="E225" s="5" t="n">
        <f aca="false">SUMIFS('Dados Brutos'!$C:$C,'Dados Brutos'!$B:$B,A225,'Dados Brutos'!$T:$T,"AUMA")</f>
        <v>780</v>
      </c>
      <c r="F225" s="5" t="n">
        <f aca="false">SUM(C225:E225)</f>
        <v>780</v>
      </c>
      <c r="G225" s="7" t="n">
        <f aca="false">SUMIF('Dados Brutos'!$B:$B,A225,'Dados Brutos'!$D:$D)</f>
        <v>5</v>
      </c>
      <c r="H225" s="7" t="n">
        <f aca="false">COUNTIF('Dados Brutos'!$B:$B,A225)</f>
        <v>4</v>
      </c>
      <c r="I225" s="16" t="n">
        <f aca="false">IFERROR(F225/G225,0)</f>
        <v>156</v>
      </c>
      <c r="J225" s="13" t="n">
        <f aca="false">(C225&gt;0)+(D225&gt;0)+(E225&gt;0)</f>
        <v>1</v>
      </c>
      <c r="K225" s="13" t="str">
        <f aca="false">IF(J225=3,"Sim","Não")</f>
        <v>Não</v>
      </c>
      <c r="L225" s="13" t="str">
        <f aca="false">IF(AND(I225&gt;=100,G225&gt;=100),"Sim","Não")</f>
        <v>Não</v>
      </c>
      <c r="M225" s="13" t="str">
        <f aca="false">IF(L225="Sim",SUMPRODUCT(($L$2:L225="Sim")*1),"")</f>
        <v/>
      </c>
    </row>
    <row r="226" customFormat="false" ht="15" hidden="false" customHeight="false" outlineLevel="0" collapsed="false">
      <c r="A226" s="13" t="s">
        <v>2254</v>
      </c>
      <c r="B226" s="13" t="s">
        <v>183</v>
      </c>
      <c r="C226" s="5" t="n">
        <f aca="false">SUMIFS('Dados Brutos'!$C:$C,'Dados Brutos'!$B:$B,A226,'Dados Brutos'!$T:$T,"SIENO")</f>
        <v>0</v>
      </c>
      <c r="D226" s="5" t="n">
        <f aca="false">SUMIFS('Dados Brutos'!$C:$C,'Dados Brutos'!$B:$B,A226,'Dados Brutos'!$T:$T,"BAGATELLE")</f>
        <v>0</v>
      </c>
      <c r="E226" s="5" t="n">
        <f aca="false">SUMIFS('Dados Brutos'!$C:$C,'Dados Brutos'!$B:$B,A226,'Dados Brutos'!$T:$T,"AUMA")</f>
        <v>760</v>
      </c>
      <c r="F226" s="5" t="n">
        <f aca="false">SUM(C226:E226)</f>
        <v>760</v>
      </c>
      <c r="G226" s="7" t="n">
        <f aca="false">SUMIF('Dados Brutos'!$B:$B,A226,'Dados Brutos'!$D:$D)</f>
        <v>2</v>
      </c>
      <c r="H226" s="7" t="n">
        <f aca="false">COUNTIF('Dados Brutos'!$B:$B,A226)</f>
        <v>2</v>
      </c>
      <c r="I226" s="16" t="n">
        <f aca="false">IFERROR(F226/G226,0)</f>
        <v>380</v>
      </c>
      <c r="J226" s="13" t="n">
        <f aca="false">(C226&gt;0)+(D226&gt;0)+(E226&gt;0)</f>
        <v>1</v>
      </c>
      <c r="K226" s="13" t="str">
        <f aca="false">IF(J226=3,"Sim","Não")</f>
        <v>Não</v>
      </c>
      <c r="L226" s="13" t="str">
        <f aca="false">IF(AND(I226&gt;=100,G226&gt;=100),"Sim","Não")</f>
        <v>Não</v>
      </c>
      <c r="M226" s="13" t="str">
        <f aca="false">IF(L226="Sim",SUMPRODUCT(($L$2:L226="Sim")*1),"")</f>
        <v/>
      </c>
    </row>
    <row r="227" customFormat="false" ht="15" hidden="false" customHeight="false" outlineLevel="0" collapsed="false">
      <c r="A227" s="13" t="s">
        <v>2255</v>
      </c>
      <c r="B227" s="13" t="s">
        <v>43</v>
      </c>
      <c r="C227" s="5" t="n">
        <f aca="false">SUMIFS('Dados Brutos'!$C:$C,'Dados Brutos'!$B:$B,A227,'Dados Brutos'!$T:$T,"SIENO")</f>
        <v>730</v>
      </c>
      <c r="D227" s="5" t="n">
        <f aca="false">SUMIFS('Dados Brutos'!$C:$C,'Dados Brutos'!$B:$B,A227,'Dados Brutos'!$T:$T,"BAGATELLE")</f>
        <v>0</v>
      </c>
      <c r="E227" s="5" t="n">
        <f aca="false">SUMIFS('Dados Brutos'!$C:$C,'Dados Brutos'!$B:$B,A227,'Dados Brutos'!$T:$T,"AUMA")</f>
        <v>0</v>
      </c>
      <c r="F227" s="5" t="n">
        <f aca="false">SUM(C227:E227)</f>
        <v>730</v>
      </c>
      <c r="G227" s="7" t="n">
        <f aca="false">SUMIF('Dados Brutos'!$B:$B,A227,'Dados Brutos'!$D:$D)</f>
        <v>4</v>
      </c>
      <c r="H227" s="7" t="n">
        <f aca="false">COUNTIF('Dados Brutos'!$B:$B,A227)</f>
        <v>4</v>
      </c>
      <c r="I227" s="16" t="n">
        <f aca="false">IFERROR(F227/G227,0)</f>
        <v>182.5</v>
      </c>
      <c r="J227" s="13" t="n">
        <f aca="false">(C227&gt;0)+(D227&gt;0)+(E227&gt;0)</f>
        <v>1</v>
      </c>
      <c r="K227" s="13" t="str">
        <f aca="false">IF(J227=3,"Sim","Não")</f>
        <v>Não</v>
      </c>
      <c r="L227" s="13" t="str">
        <f aca="false">IF(AND(I227&gt;=100,G227&gt;=100),"Sim","Não")</f>
        <v>Não</v>
      </c>
      <c r="M227" s="13" t="str">
        <f aca="false">IF(L227="Sim",SUMPRODUCT(($L$2:L227="Sim")*1),"")</f>
        <v/>
      </c>
    </row>
    <row r="228" customFormat="false" ht="15" hidden="false" customHeight="false" outlineLevel="0" collapsed="false">
      <c r="A228" s="13" t="s">
        <v>2256</v>
      </c>
      <c r="B228" s="13" t="s">
        <v>85</v>
      </c>
      <c r="C228" s="5" t="n">
        <f aca="false">SUMIFS('Dados Brutos'!$C:$C,'Dados Brutos'!$B:$B,A228,'Dados Brutos'!$T:$T,"SIENO")</f>
        <v>0</v>
      </c>
      <c r="D228" s="5" t="n">
        <f aca="false">SUMIFS('Dados Brutos'!$C:$C,'Dados Brutos'!$B:$B,A228,'Dados Brutos'!$T:$T,"BAGATELLE")</f>
        <v>0</v>
      </c>
      <c r="E228" s="5" t="n">
        <f aca="false">SUMIFS('Dados Brutos'!$C:$C,'Dados Brutos'!$B:$B,A228,'Dados Brutos'!$T:$T,"AUMA")</f>
        <v>730</v>
      </c>
      <c r="F228" s="5" t="n">
        <f aca="false">SUM(C228:E228)</f>
        <v>730</v>
      </c>
      <c r="G228" s="7" t="n">
        <f aca="false">SUMIF('Dados Brutos'!$B:$B,A228,'Dados Brutos'!$D:$D)</f>
        <v>1</v>
      </c>
      <c r="H228" s="7" t="n">
        <f aca="false">COUNTIF('Dados Brutos'!$B:$B,A228)</f>
        <v>1</v>
      </c>
      <c r="I228" s="16" t="n">
        <f aca="false">IFERROR(F228/G228,0)</f>
        <v>730</v>
      </c>
      <c r="J228" s="13" t="n">
        <f aca="false">(C228&gt;0)+(D228&gt;0)+(E228&gt;0)</f>
        <v>1</v>
      </c>
      <c r="K228" s="13" t="str">
        <f aca="false">IF(J228=3,"Sim","Não")</f>
        <v>Não</v>
      </c>
      <c r="L228" s="13" t="str">
        <f aca="false">IF(AND(I228&gt;=100,G228&gt;=100),"Sim","Não")</f>
        <v>Não</v>
      </c>
      <c r="M228" s="13" t="str">
        <f aca="false">IF(L228="Sim",SUMPRODUCT(($L$2:L228="Sim")*1),"")</f>
        <v/>
      </c>
    </row>
    <row r="229" customFormat="false" ht="15" hidden="false" customHeight="false" outlineLevel="0" collapsed="false">
      <c r="A229" s="13" t="s">
        <v>2257</v>
      </c>
      <c r="B229" s="13" t="s">
        <v>183</v>
      </c>
      <c r="C229" s="5" t="n">
        <f aca="false">SUMIFS('Dados Brutos'!$C:$C,'Dados Brutos'!$B:$B,A229,'Dados Brutos'!$T:$T,"SIENO")</f>
        <v>690</v>
      </c>
      <c r="D229" s="5" t="n">
        <f aca="false">SUMIFS('Dados Brutos'!$C:$C,'Dados Brutos'!$B:$B,A229,'Dados Brutos'!$T:$T,"BAGATELLE")</f>
        <v>0</v>
      </c>
      <c r="E229" s="5" t="n">
        <f aca="false">SUMIFS('Dados Brutos'!$C:$C,'Dados Brutos'!$B:$B,A229,'Dados Brutos'!$T:$T,"AUMA")</f>
        <v>0</v>
      </c>
      <c r="F229" s="5" t="n">
        <f aca="false">SUM(C229:E229)</f>
        <v>690</v>
      </c>
      <c r="G229" s="7" t="n">
        <f aca="false">SUMIF('Dados Brutos'!$B:$B,A229,'Dados Brutos'!$D:$D)</f>
        <v>20</v>
      </c>
      <c r="H229" s="7" t="n">
        <f aca="false">COUNTIF('Dados Brutos'!$B:$B,A229)</f>
        <v>1</v>
      </c>
      <c r="I229" s="16" t="n">
        <f aca="false">IFERROR(F229/G229,0)</f>
        <v>34.5</v>
      </c>
      <c r="J229" s="13" t="n">
        <f aca="false">(C229&gt;0)+(D229&gt;0)+(E229&gt;0)</f>
        <v>1</v>
      </c>
      <c r="K229" s="13" t="str">
        <f aca="false">IF(J229=3,"Sim","Não")</f>
        <v>Não</v>
      </c>
      <c r="L229" s="13" t="str">
        <f aca="false">IF(AND(I229&gt;=100,G229&gt;=100),"Sim","Não")</f>
        <v>Não</v>
      </c>
      <c r="M229" s="13" t="str">
        <f aca="false">IF(L229="Sim",SUMPRODUCT(($L$2:L229="Sim")*1),"")</f>
        <v/>
      </c>
    </row>
    <row r="230" customFormat="false" ht="15" hidden="false" customHeight="false" outlineLevel="0" collapsed="false">
      <c r="A230" s="13" t="s">
        <v>2258</v>
      </c>
      <c r="B230" s="13" t="s">
        <v>43</v>
      </c>
      <c r="C230" s="5" t="n">
        <f aca="false">SUMIFS('Dados Brutos'!$C:$C,'Dados Brutos'!$B:$B,A230,'Dados Brutos'!$T:$T,"SIENO")</f>
        <v>680</v>
      </c>
      <c r="D230" s="5" t="n">
        <f aca="false">SUMIFS('Dados Brutos'!$C:$C,'Dados Brutos'!$B:$B,A230,'Dados Brutos'!$T:$T,"BAGATELLE")</f>
        <v>0</v>
      </c>
      <c r="E230" s="5" t="n">
        <f aca="false">SUMIFS('Dados Brutos'!$C:$C,'Dados Brutos'!$B:$B,A230,'Dados Brutos'!$T:$T,"AUMA")</f>
        <v>0</v>
      </c>
      <c r="F230" s="5" t="n">
        <f aca="false">SUM(C230:E230)</f>
        <v>680</v>
      </c>
      <c r="G230" s="7" t="n">
        <f aca="false">SUMIF('Dados Brutos'!$B:$B,A230,'Dados Brutos'!$D:$D)</f>
        <v>2</v>
      </c>
      <c r="H230" s="7" t="n">
        <f aca="false">COUNTIF('Dados Brutos'!$B:$B,A230)</f>
        <v>1</v>
      </c>
      <c r="I230" s="16" t="n">
        <f aca="false">IFERROR(F230/G230,0)</f>
        <v>340</v>
      </c>
      <c r="J230" s="13" t="n">
        <f aca="false">(C230&gt;0)+(D230&gt;0)+(E230&gt;0)</f>
        <v>1</v>
      </c>
      <c r="K230" s="13" t="str">
        <f aca="false">IF(J230=3,"Sim","Não")</f>
        <v>Não</v>
      </c>
      <c r="L230" s="13" t="str">
        <f aca="false">IF(AND(I230&gt;=100,G230&gt;=100),"Sim","Não")</f>
        <v>Não</v>
      </c>
      <c r="M230" s="13" t="str">
        <f aca="false">IF(L230="Sim",SUMPRODUCT(($L$2:L230="Sim")*1),"")</f>
        <v/>
      </c>
    </row>
    <row r="231" customFormat="false" ht="15" hidden="false" customHeight="false" outlineLevel="0" collapsed="false">
      <c r="A231" s="13" t="s">
        <v>2259</v>
      </c>
      <c r="B231" s="13" t="s">
        <v>57</v>
      </c>
      <c r="C231" s="5" t="n">
        <f aca="false">SUMIFS('Dados Brutos'!$C:$C,'Dados Brutos'!$B:$B,A231,'Dados Brutos'!$T:$T,"SIENO")</f>
        <v>660</v>
      </c>
      <c r="D231" s="5" t="n">
        <f aca="false">SUMIFS('Dados Brutos'!$C:$C,'Dados Brutos'!$B:$B,A231,'Dados Brutos'!$T:$T,"BAGATELLE")</f>
        <v>0</v>
      </c>
      <c r="E231" s="5" t="n">
        <f aca="false">SUMIFS('Dados Brutos'!$C:$C,'Dados Brutos'!$B:$B,A231,'Dados Brutos'!$T:$T,"AUMA")</f>
        <v>0</v>
      </c>
      <c r="F231" s="5" t="n">
        <f aca="false">SUM(C231:E231)</f>
        <v>660</v>
      </c>
      <c r="G231" s="7" t="n">
        <f aca="false">SUMIF('Dados Brutos'!$B:$B,A231,'Dados Brutos'!$D:$D)</f>
        <v>2</v>
      </c>
      <c r="H231" s="7" t="n">
        <f aca="false">COUNTIF('Dados Brutos'!$B:$B,A231)</f>
        <v>1</v>
      </c>
      <c r="I231" s="16" t="n">
        <f aca="false">IFERROR(F231/G231,0)</f>
        <v>330</v>
      </c>
      <c r="J231" s="13" t="n">
        <f aca="false">(C231&gt;0)+(D231&gt;0)+(E231&gt;0)</f>
        <v>1</v>
      </c>
      <c r="K231" s="13" t="str">
        <f aca="false">IF(J231=3,"Sim","Não")</f>
        <v>Não</v>
      </c>
      <c r="L231" s="13" t="str">
        <f aca="false">IF(AND(I231&gt;=100,G231&gt;=100),"Sim","Não")</f>
        <v>Não</v>
      </c>
      <c r="M231" s="13" t="str">
        <f aca="false">IF(L231="Sim",SUMPRODUCT(($L$2:L231="Sim")*1),"")</f>
        <v/>
      </c>
    </row>
    <row r="232" customFormat="false" ht="15" hidden="false" customHeight="false" outlineLevel="0" collapsed="false">
      <c r="A232" s="13" t="s">
        <v>2260</v>
      </c>
      <c r="B232" s="13" t="s">
        <v>43</v>
      </c>
      <c r="C232" s="5" t="n">
        <f aca="false">SUMIFS('Dados Brutos'!$C:$C,'Dados Brutos'!$B:$B,A232,'Dados Brutos'!$T:$T,"SIENO")</f>
        <v>620</v>
      </c>
      <c r="D232" s="5" t="n">
        <f aca="false">SUMIFS('Dados Brutos'!$C:$C,'Dados Brutos'!$B:$B,A232,'Dados Brutos'!$T:$T,"BAGATELLE")</f>
        <v>0</v>
      </c>
      <c r="E232" s="5" t="n">
        <f aca="false">SUMIFS('Dados Brutos'!$C:$C,'Dados Brutos'!$B:$B,A232,'Dados Brutos'!$T:$T,"AUMA")</f>
        <v>0</v>
      </c>
      <c r="F232" s="5" t="n">
        <f aca="false">SUM(C232:E232)</f>
        <v>620</v>
      </c>
      <c r="G232" s="7" t="n">
        <f aca="false">SUMIF('Dados Brutos'!$B:$B,A232,'Dados Brutos'!$D:$D)</f>
        <v>2</v>
      </c>
      <c r="H232" s="7" t="n">
        <f aca="false">COUNTIF('Dados Brutos'!$B:$B,A232)</f>
        <v>1</v>
      </c>
      <c r="I232" s="16" t="n">
        <f aca="false">IFERROR(F232/G232,0)</f>
        <v>310</v>
      </c>
      <c r="J232" s="13" t="n">
        <f aca="false">(C232&gt;0)+(D232&gt;0)+(E232&gt;0)</f>
        <v>1</v>
      </c>
      <c r="K232" s="13" t="str">
        <f aca="false">IF(J232=3,"Sim","Não")</f>
        <v>Não</v>
      </c>
      <c r="L232" s="13" t="str">
        <f aca="false">IF(AND(I232&gt;=100,G232&gt;=100),"Sim","Não")</f>
        <v>Não</v>
      </c>
      <c r="M232" s="13" t="str">
        <f aca="false">IF(L232="Sim",SUMPRODUCT(($L$2:L232="Sim")*1),"")</f>
        <v/>
      </c>
    </row>
    <row r="233" customFormat="false" ht="15" hidden="false" customHeight="false" outlineLevel="0" collapsed="false">
      <c r="A233" s="13" t="s">
        <v>2261</v>
      </c>
      <c r="B233" s="13" t="s">
        <v>85</v>
      </c>
      <c r="C233" s="5" t="n">
        <f aca="false">SUMIFS('Dados Brutos'!$C:$C,'Dados Brutos'!$B:$B,A233,'Dados Brutos'!$T:$T,"SIENO")</f>
        <v>0</v>
      </c>
      <c r="D233" s="5" t="n">
        <f aca="false">SUMIFS('Dados Brutos'!$C:$C,'Dados Brutos'!$B:$B,A233,'Dados Brutos'!$T:$T,"BAGATELLE")</f>
        <v>0</v>
      </c>
      <c r="E233" s="5" t="n">
        <f aca="false">SUMIFS('Dados Brutos'!$C:$C,'Dados Brutos'!$B:$B,A233,'Dados Brutos'!$T:$T,"AUMA")</f>
        <v>600</v>
      </c>
      <c r="F233" s="5" t="n">
        <f aca="false">SUM(C233:E233)</f>
        <v>600</v>
      </c>
      <c r="G233" s="7" t="n">
        <f aca="false">SUMIF('Dados Brutos'!$B:$B,A233,'Dados Brutos'!$D:$D)</f>
        <v>4</v>
      </c>
      <c r="H233" s="7" t="n">
        <f aca="false">COUNTIF('Dados Brutos'!$B:$B,A233)</f>
        <v>3</v>
      </c>
      <c r="I233" s="16" t="n">
        <f aca="false">IFERROR(F233/G233,0)</f>
        <v>150</v>
      </c>
      <c r="J233" s="13" t="n">
        <f aca="false">(C233&gt;0)+(D233&gt;0)+(E233&gt;0)</f>
        <v>1</v>
      </c>
      <c r="K233" s="13" t="str">
        <f aca="false">IF(J233=3,"Sim","Não")</f>
        <v>Não</v>
      </c>
      <c r="L233" s="13" t="str">
        <f aca="false">IF(AND(I233&gt;=100,G233&gt;=100),"Sim","Não")</f>
        <v>Não</v>
      </c>
      <c r="M233" s="13" t="str">
        <f aca="false">IF(L233="Sim",SUMPRODUCT(($L$2:L233="Sim")*1),"")</f>
        <v/>
      </c>
    </row>
    <row r="234" customFormat="false" ht="15" hidden="false" customHeight="false" outlineLevel="0" collapsed="false">
      <c r="A234" s="13" t="s">
        <v>2262</v>
      </c>
      <c r="B234" s="13" t="s">
        <v>43</v>
      </c>
      <c r="C234" s="5" t="n">
        <f aca="false">SUMIFS('Dados Brutos'!$C:$C,'Dados Brutos'!$B:$B,A234,'Dados Brutos'!$T:$T,"SIENO")</f>
        <v>570</v>
      </c>
      <c r="D234" s="5" t="n">
        <f aca="false">SUMIFS('Dados Brutos'!$C:$C,'Dados Brutos'!$B:$B,A234,'Dados Brutos'!$T:$T,"BAGATELLE")</f>
        <v>0</v>
      </c>
      <c r="E234" s="5" t="n">
        <f aca="false">SUMIFS('Dados Brutos'!$C:$C,'Dados Brutos'!$B:$B,A234,'Dados Brutos'!$T:$T,"AUMA")</f>
        <v>0</v>
      </c>
      <c r="F234" s="5" t="n">
        <f aca="false">SUM(C234:E234)</f>
        <v>570</v>
      </c>
      <c r="G234" s="7" t="n">
        <f aca="false">SUMIF('Dados Brutos'!$B:$B,A234,'Dados Brutos'!$D:$D)</f>
        <v>4</v>
      </c>
      <c r="H234" s="7" t="n">
        <f aca="false">COUNTIF('Dados Brutos'!$B:$B,A234)</f>
        <v>2</v>
      </c>
      <c r="I234" s="16" t="n">
        <f aca="false">IFERROR(F234/G234,0)</f>
        <v>142.5</v>
      </c>
      <c r="J234" s="13" t="n">
        <f aca="false">(C234&gt;0)+(D234&gt;0)+(E234&gt;0)</f>
        <v>1</v>
      </c>
      <c r="K234" s="13" t="str">
        <f aca="false">IF(J234=3,"Sim","Não")</f>
        <v>Não</v>
      </c>
      <c r="L234" s="13" t="str">
        <f aca="false">IF(AND(I234&gt;=100,G234&gt;=100),"Sim","Não")</f>
        <v>Não</v>
      </c>
      <c r="M234" s="13" t="str">
        <f aca="false">IF(L234="Sim",SUMPRODUCT(($L$2:L234="Sim")*1),"")</f>
        <v/>
      </c>
    </row>
    <row r="235" customFormat="false" ht="15" hidden="false" customHeight="false" outlineLevel="0" collapsed="false">
      <c r="A235" s="13" t="s">
        <v>2263</v>
      </c>
      <c r="B235" s="13" t="s">
        <v>85</v>
      </c>
      <c r="C235" s="5" t="n">
        <f aca="false">SUMIFS('Dados Brutos'!$C:$C,'Dados Brutos'!$B:$B,A235,'Dados Brutos'!$T:$T,"SIENO")</f>
        <v>570</v>
      </c>
      <c r="D235" s="5" t="n">
        <f aca="false">SUMIFS('Dados Brutos'!$C:$C,'Dados Brutos'!$B:$B,A235,'Dados Brutos'!$T:$T,"BAGATELLE")</f>
        <v>0</v>
      </c>
      <c r="E235" s="5" t="n">
        <f aca="false">SUMIFS('Dados Brutos'!$C:$C,'Dados Brutos'!$B:$B,A235,'Dados Brutos'!$T:$T,"AUMA")</f>
        <v>0</v>
      </c>
      <c r="F235" s="5" t="n">
        <f aca="false">SUM(C235:E235)</f>
        <v>570</v>
      </c>
      <c r="G235" s="7" t="n">
        <f aca="false">SUMIF('Dados Brutos'!$B:$B,A235,'Dados Brutos'!$D:$D)</f>
        <v>10</v>
      </c>
      <c r="H235" s="7" t="n">
        <f aca="false">COUNTIF('Dados Brutos'!$B:$B,A235)</f>
        <v>1</v>
      </c>
      <c r="I235" s="16" t="n">
        <f aca="false">IFERROR(F235/G235,0)</f>
        <v>57</v>
      </c>
      <c r="J235" s="13" t="n">
        <f aca="false">(C235&gt;0)+(D235&gt;0)+(E235&gt;0)</f>
        <v>1</v>
      </c>
      <c r="K235" s="13" t="str">
        <f aca="false">IF(J235=3,"Sim","Não")</f>
        <v>Não</v>
      </c>
      <c r="L235" s="13" t="str">
        <f aca="false">IF(AND(I235&gt;=100,G235&gt;=100),"Sim","Não")</f>
        <v>Não</v>
      </c>
      <c r="M235" s="13" t="str">
        <f aca="false">IF(L235="Sim",SUMPRODUCT(($L$2:L235="Sim")*1),"")</f>
        <v/>
      </c>
    </row>
    <row r="236" customFormat="false" ht="15" hidden="false" customHeight="false" outlineLevel="0" collapsed="false">
      <c r="A236" s="13" t="s">
        <v>2264</v>
      </c>
      <c r="B236" s="13" t="s">
        <v>85</v>
      </c>
      <c r="C236" s="5" t="n">
        <f aca="false">SUMIFS('Dados Brutos'!$C:$C,'Dados Brutos'!$B:$B,A236,'Dados Brutos'!$T:$T,"SIENO")</f>
        <v>560</v>
      </c>
      <c r="D236" s="5" t="n">
        <f aca="false">SUMIFS('Dados Brutos'!$C:$C,'Dados Brutos'!$B:$B,A236,'Dados Brutos'!$T:$T,"BAGATELLE")</f>
        <v>0</v>
      </c>
      <c r="E236" s="5" t="n">
        <f aca="false">SUMIFS('Dados Brutos'!$C:$C,'Dados Brutos'!$B:$B,A236,'Dados Brutos'!$T:$T,"AUMA")</f>
        <v>0</v>
      </c>
      <c r="F236" s="5" t="n">
        <f aca="false">SUM(C236:E236)</f>
        <v>560</v>
      </c>
      <c r="G236" s="7" t="n">
        <f aca="false">SUMIF('Dados Brutos'!$B:$B,A236,'Dados Brutos'!$D:$D)</f>
        <v>3</v>
      </c>
      <c r="H236" s="7" t="n">
        <f aca="false">COUNTIF('Dados Brutos'!$B:$B,A236)</f>
        <v>2</v>
      </c>
      <c r="I236" s="16" t="n">
        <f aca="false">IFERROR(F236/G236,0)</f>
        <v>186.666666666667</v>
      </c>
      <c r="J236" s="13" t="n">
        <f aca="false">(C236&gt;0)+(D236&gt;0)+(E236&gt;0)</f>
        <v>1</v>
      </c>
      <c r="K236" s="13" t="str">
        <f aca="false">IF(J236=3,"Sim","Não")</f>
        <v>Não</v>
      </c>
      <c r="L236" s="13" t="str">
        <f aca="false">IF(AND(I236&gt;=100,G236&gt;=100),"Sim","Não")</f>
        <v>Não</v>
      </c>
      <c r="M236" s="13" t="str">
        <f aca="false">IF(L236="Sim",SUMPRODUCT(($L$2:L236="Sim")*1),"")</f>
        <v/>
      </c>
    </row>
    <row r="237" customFormat="false" ht="15" hidden="false" customHeight="false" outlineLevel="0" collapsed="false">
      <c r="A237" s="13" t="s">
        <v>2265</v>
      </c>
      <c r="B237" s="13" t="s">
        <v>85</v>
      </c>
      <c r="C237" s="5" t="n">
        <f aca="false">SUMIFS('Dados Brutos'!$C:$C,'Dados Brutos'!$B:$B,A237,'Dados Brutos'!$T:$T,"SIENO")</f>
        <v>550</v>
      </c>
      <c r="D237" s="5" t="n">
        <f aca="false">SUMIFS('Dados Brutos'!$C:$C,'Dados Brutos'!$B:$B,A237,'Dados Brutos'!$T:$T,"BAGATELLE")</f>
        <v>0</v>
      </c>
      <c r="E237" s="5" t="n">
        <f aca="false">SUMIFS('Dados Brutos'!$C:$C,'Dados Brutos'!$B:$B,A237,'Dados Brutos'!$T:$T,"AUMA")</f>
        <v>0</v>
      </c>
      <c r="F237" s="5" t="n">
        <f aca="false">SUM(C237:E237)</f>
        <v>550</v>
      </c>
      <c r="G237" s="7" t="n">
        <f aca="false">SUMIF('Dados Brutos'!$B:$B,A237,'Dados Brutos'!$D:$D)</f>
        <v>12</v>
      </c>
      <c r="H237" s="7" t="n">
        <f aca="false">COUNTIF('Dados Brutos'!$B:$B,A237)</f>
        <v>3</v>
      </c>
      <c r="I237" s="16" t="n">
        <f aca="false">IFERROR(F237/G237,0)</f>
        <v>45.8333333333333</v>
      </c>
      <c r="J237" s="13" t="n">
        <f aca="false">(C237&gt;0)+(D237&gt;0)+(E237&gt;0)</f>
        <v>1</v>
      </c>
      <c r="K237" s="13" t="str">
        <f aca="false">IF(J237=3,"Sim","Não")</f>
        <v>Não</v>
      </c>
      <c r="L237" s="13" t="str">
        <f aca="false">IF(AND(I237&gt;=100,G237&gt;=100),"Sim","Não")</f>
        <v>Não</v>
      </c>
      <c r="M237" s="13" t="str">
        <f aca="false">IF(L237="Sim",SUMPRODUCT(($L$2:L237="Sim")*1),"")</f>
        <v/>
      </c>
    </row>
    <row r="238" customFormat="false" ht="15" hidden="false" customHeight="false" outlineLevel="0" collapsed="false">
      <c r="A238" s="13" t="s">
        <v>2266</v>
      </c>
      <c r="B238" s="13" t="s">
        <v>43</v>
      </c>
      <c r="C238" s="5" t="n">
        <f aca="false">SUMIFS('Dados Brutos'!$C:$C,'Dados Brutos'!$B:$B,A238,'Dados Brutos'!$T:$T,"SIENO")</f>
        <v>0</v>
      </c>
      <c r="D238" s="5" t="n">
        <f aca="false">SUMIFS('Dados Brutos'!$C:$C,'Dados Brutos'!$B:$B,A238,'Dados Brutos'!$T:$T,"BAGATELLE")</f>
        <v>550</v>
      </c>
      <c r="E238" s="5" t="n">
        <f aca="false">SUMIFS('Dados Brutos'!$C:$C,'Dados Brutos'!$B:$B,A238,'Dados Brutos'!$T:$T,"AUMA")</f>
        <v>0</v>
      </c>
      <c r="F238" s="5" t="n">
        <f aca="false">SUM(C238:E238)</f>
        <v>550</v>
      </c>
      <c r="G238" s="7" t="n">
        <f aca="false">SUMIF('Dados Brutos'!$B:$B,A238,'Dados Brutos'!$D:$D)</f>
        <v>1</v>
      </c>
      <c r="H238" s="7" t="n">
        <f aca="false">COUNTIF('Dados Brutos'!$B:$B,A238)</f>
        <v>1</v>
      </c>
      <c r="I238" s="16" t="n">
        <f aca="false">IFERROR(F238/G238,0)</f>
        <v>550</v>
      </c>
      <c r="J238" s="13" t="n">
        <f aca="false">(C238&gt;0)+(D238&gt;0)+(E238&gt;0)</f>
        <v>1</v>
      </c>
      <c r="K238" s="13" t="str">
        <f aca="false">IF(J238=3,"Sim","Não")</f>
        <v>Não</v>
      </c>
      <c r="L238" s="13" t="str">
        <f aca="false">IF(AND(I238&gt;=100,G238&gt;=100),"Sim","Não")</f>
        <v>Não</v>
      </c>
      <c r="M238" s="13" t="str">
        <f aca="false">IF(L238="Sim",SUMPRODUCT(($L$2:L238="Sim")*1),"")</f>
        <v/>
      </c>
    </row>
    <row r="239" customFormat="false" ht="15" hidden="false" customHeight="false" outlineLevel="0" collapsed="false">
      <c r="A239" s="13" t="s">
        <v>2267</v>
      </c>
      <c r="B239" s="13" t="s">
        <v>43</v>
      </c>
      <c r="C239" s="5" t="n">
        <f aca="false">SUMIFS('Dados Brutos'!$C:$C,'Dados Brutos'!$B:$B,A239,'Dados Brutos'!$T:$T,"SIENO")</f>
        <v>0</v>
      </c>
      <c r="D239" s="5" t="n">
        <f aca="false">SUMIFS('Dados Brutos'!$C:$C,'Dados Brutos'!$B:$B,A239,'Dados Brutos'!$T:$T,"BAGATELLE")</f>
        <v>0</v>
      </c>
      <c r="E239" s="5" t="n">
        <f aca="false">SUMIFS('Dados Brutos'!$C:$C,'Dados Brutos'!$B:$B,A239,'Dados Brutos'!$T:$T,"AUMA")</f>
        <v>530</v>
      </c>
      <c r="F239" s="5" t="n">
        <f aca="false">SUM(C239:E239)</f>
        <v>530</v>
      </c>
      <c r="G239" s="7" t="n">
        <f aca="false">SUMIF('Dados Brutos'!$B:$B,A239,'Dados Brutos'!$D:$D)</f>
        <v>4</v>
      </c>
      <c r="H239" s="7" t="n">
        <f aca="false">COUNTIF('Dados Brutos'!$B:$B,A239)</f>
        <v>3</v>
      </c>
      <c r="I239" s="16" t="n">
        <f aca="false">IFERROR(F239/G239,0)</f>
        <v>132.5</v>
      </c>
      <c r="J239" s="13" t="n">
        <f aca="false">(C239&gt;0)+(D239&gt;0)+(E239&gt;0)</f>
        <v>1</v>
      </c>
      <c r="K239" s="13" t="str">
        <f aca="false">IF(J239=3,"Sim","Não")</f>
        <v>Não</v>
      </c>
      <c r="L239" s="13" t="str">
        <f aca="false">IF(AND(I239&gt;=100,G239&gt;=100),"Sim","Não")</f>
        <v>Não</v>
      </c>
      <c r="M239" s="13" t="str">
        <f aca="false">IF(L239="Sim",SUMPRODUCT(($L$2:L239="Sim")*1),"")</f>
        <v/>
      </c>
    </row>
    <row r="240" customFormat="false" ht="15" hidden="false" customHeight="false" outlineLevel="0" collapsed="false">
      <c r="A240" s="13" t="s">
        <v>2268</v>
      </c>
      <c r="B240" s="13" t="s">
        <v>183</v>
      </c>
      <c r="C240" s="5" t="n">
        <f aca="false">SUMIFS('Dados Brutos'!$C:$C,'Dados Brutos'!$B:$B,A240,'Dados Brutos'!$T:$T,"SIENO")</f>
        <v>0</v>
      </c>
      <c r="D240" s="5" t="n">
        <f aca="false">SUMIFS('Dados Brutos'!$C:$C,'Dados Brutos'!$B:$B,A240,'Dados Brutos'!$T:$T,"BAGATELLE")</f>
        <v>0</v>
      </c>
      <c r="E240" s="5" t="n">
        <f aca="false">SUMIFS('Dados Brutos'!$C:$C,'Dados Brutos'!$B:$B,A240,'Dados Brutos'!$T:$T,"AUMA")</f>
        <v>520</v>
      </c>
      <c r="F240" s="5" t="n">
        <f aca="false">SUM(C240:E240)</f>
        <v>520</v>
      </c>
      <c r="G240" s="7" t="n">
        <f aca="false">SUMIF('Dados Brutos'!$B:$B,A240,'Dados Brutos'!$D:$D)</f>
        <v>18</v>
      </c>
      <c r="H240" s="7" t="n">
        <f aca="false">COUNTIF('Dados Brutos'!$B:$B,A240)</f>
        <v>7</v>
      </c>
      <c r="I240" s="16" t="n">
        <f aca="false">IFERROR(F240/G240,0)</f>
        <v>28.8888888888889</v>
      </c>
      <c r="J240" s="13" t="n">
        <f aca="false">(C240&gt;0)+(D240&gt;0)+(E240&gt;0)</f>
        <v>1</v>
      </c>
      <c r="K240" s="13" t="str">
        <f aca="false">IF(J240=3,"Sim","Não")</f>
        <v>Não</v>
      </c>
      <c r="L240" s="13" t="str">
        <f aca="false">IF(AND(I240&gt;=100,G240&gt;=100),"Sim","Não")</f>
        <v>Não</v>
      </c>
      <c r="M240" s="13" t="str">
        <f aca="false">IF(L240="Sim",SUMPRODUCT(($L$2:L240="Sim")*1),"")</f>
        <v/>
      </c>
    </row>
    <row r="241" customFormat="false" ht="15" hidden="false" customHeight="false" outlineLevel="0" collapsed="false">
      <c r="A241" s="13" t="s">
        <v>2269</v>
      </c>
      <c r="B241" s="13" t="s">
        <v>43</v>
      </c>
      <c r="C241" s="5" t="n">
        <f aca="false">SUMIFS('Dados Brutos'!$C:$C,'Dados Brutos'!$B:$B,A241,'Dados Brutos'!$T:$T,"SIENO")</f>
        <v>0</v>
      </c>
      <c r="D241" s="5" t="n">
        <f aca="false">SUMIFS('Dados Brutos'!$C:$C,'Dados Brutos'!$B:$B,A241,'Dados Brutos'!$T:$T,"BAGATELLE")</f>
        <v>0</v>
      </c>
      <c r="E241" s="5" t="n">
        <f aca="false">SUMIFS('Dados Brutos'!$C:$C,'Dados Brutos'!$B:$B,A241,'Dados Brutos'!$T:$T,"AUMA")</f>
        <v>500</v>
      </c>
      <c r="F241" s="5" t="n">
        <f aca="false">SUM(C241:E241)</f>
        <v>500</v>
      </c>
      <c r="G241" s="7" t="n">
        <f aca="false">SUMIF('Dados Brutos'!$B:$B,A241,'Dados Brutos'!$D:$D)</f>
        <v>1</v>
      </c>
      <c r="H241" s="7" t="n">
        <f aca="false">COUNTIF('Dados Brutos'!$B:$B,A241)</f>
        <v>1</v>
      </c>
      <c r="I241" s="16" t="n">
        <f aca="false">IFERROR(F241/G241,0)</f>
        <v>500</v>
      </c>
      <c r="J241" s="13" t="n">
        <f aca="false">(C241&gt;0)+(D241&gt;0)+(E241&gt;0)</f>
        <v>1</v>
      </c>
      <c r="K241" s="13" t="str">
        <f aca="false">IF(J241=3,"Sim","Não")</f>
        <v>Não</v>
      </c>
      <c r="L241" s="13" t="str">
        <f aca="false">IF(AND(I241&gt;=100,G241&gt;=100),"Sim","Não")</f>
        <v>Não</v>
      </c>
      <c r="M241" s="13" t="str">
        <f aca="false">IF(L241="Sim",SUMPRODUCT(($L$2:L241="Sim")*1),"")</f>
        <v/>
      </c>
    </row>
    <row r="242" customFormat="false" ht="15" hidden="false" customHeight="false" outlineLevel="0" collapsed="false">
      <c r="A242" s="13" t="s">
        <v>2270</v>
      </c>
      <c r="B242" s="13" t="s">
        <v>183</v>
      </c>
      <c r="C242" s="5" t="n">
        <f aca="false">SUMIFS('Dados Brutos'!$C:$C,'Dados Brutos'!$B:$B,A242,'Dados Brutos'!$T:$T,"SIENO")</f>
        <v>0</v>
      </c>
      <c r="D242" s="5" t="n">
        <f aca="false">SUMIFS('Dados Brutos'!$C:$C,'Dados Brutos'!$B:$B,A242,'Dados Brutos'!$T:$T,"BAGATELLE")</f>
        <v>0</v>
      </c>
      <c r="E242" s="5" t="n">
        <f aca="false">SUMIFS('Dados Brutos'!$C:$C,'Dados Brutos'!$B:$B,A242,'Dados Brutos'!$T:$T,"AUMA")</f>
        <v>480</v>
      </c>
      <c r="F242" s="5" t="n">
        <f aca="false">SUM(C242:E242)</f>
        <v>480</v>
      </c>
      <c r="G242" s="7" t="n">
        <f aca="false">SUMIF('Dados Brutos'!$B:$B,A242,'Dados Brutos'!$D:$D)</f>
        <v>5</v>
      </c>
      <c r="H242" s="7" t="n">
        <f aca="false">COUNTIF('Dados Brutos'!$B:$B,A242)</f>
        <v>4</v>
      </c>
      <c r="I242" s="16" t="n">
        <f aca="false">IFERROR(F242/G242,0)</f>
        <v>96</v>
      </c>
      <c r="J242" s="13" t="n">
        <f aca="false">(C242&gt;0)+(D242&gt;0)+(E242&gt;0)</f>
        <v>1</v>
      </c>
      <c r="K242" s="13" t="str">
        <f aca="false">IF(J242=3,"Sim","Não")</f>
        <v>Não</v>
      </c>
      <c r="L242" s="13" t="str">
        <f aca="false">IF(AND(I242&gt;=100,G242&gt;=100),"Sim","Não")</f>
        <v>Não</v>
      </c>
      <c r="M242" s="13" t="str">
        <f aca="false">IF(L242="Sim",SUMPRODUCT(($L$2:L242="Sim")*1),"")</f>
        <v/>
      </c>
    </row>
    <row r="243" customFormat="false" ht="15" hidden="false" customHeight="false" outlineLevel="0" collapsed="false">
      <c r="A243" s="13" t="s">
        <v>2271</v>
      </c>
      <c r="B243" s="13" t="s">
        <v>43</v>
      </c>
      <c r="C243" s="5" t="n">
        <f aca="false">SUMIFS('Dados Brutos'!$C:$C,'Dados Brutos'!$B:$B,A243,'Dados Brutos'!$T:$T,"SIENO")</f>
        <v>0</v>
      </c>
      <c r="D243" s="5" t="n">
        <f aca="false">SUMIFS('Dados Brutos'!$C:$C,'Dados Brutos'!$B:$B,A243,'Dados Brutos'!$T:$T,"BAGATELLE")</f>
        <v>0</v>
      </c>
      <c r="E243" s="5" t="n">
        <f aca="false">SUMIFS('Dados Brutos'!$C:$C,'Dados Brutos'!$B:$B,A243,'Dados Brutos'!$T:$T,"AUMA")</f>
        <v>460</v>
      </c>
      <c r="F243" s="5" t="n">
        <f aca="false">SUM(C243:E243)</f>
        <v>460</v>
      </c>
      <c r="G243" s="7" t="n">
        <f aca="false">SUMIF('Dados Brutos'!$B:$B,A243,'Dados Brutos'!$D:$D)</f>
        <v>3</v>
      </c>
      <c r="H243" s="7" t="n">
        <f aca="false">COUNTIF('Dados Brutos'!$B:$B,A243)</f>
        <v>3</v>
      </c>
      <c r="I243" s="16" t="n">
        <f aca="false">IFERROR(F243/G243,0)</f>
        <v>153.333333333333</v>
      </c>
      <c r="J243" s="13" t="n">
        <f aca="false">(C243&gt;0)+(D243&gt;0)+(E243&gt;0)</f>
        <v>1</v>
      </c>
      <c r="K243" s="13" t="str">
        <f aca="false">IF(J243=3,"Sim","Não")</f>
        <v>Não</v>
      </c>
      <c r="L243" s="13" t="str">
        <f aca="false">IF(AND(I243&gt;=100,G243&gt;=100),"Sim","Não")</f>
        <v>Não</v>
      </c>
      <c r="M243" s="13" t="str">
        <f aca="false">IF(L243="Sim",SUMPRODUCT(($L$2:L243="Sim")*1),"")</f>
        <v/>
      </c>
    </row>
    <row r="244" customFormat="false" ht="15" hidden="false" customHeight="false" outlineLevel="0" collapsed="false">
      <c r="A244" s="13" t="s">
        <v>2272</v>
      </c>
      <c r="B244" s="13" t="s">
        <v>85</v>
      </c>
      <c r="C244" s="5" t="n">
        <f aca="false">SUMIFS('Dados Brutos'!$C:$C,'Dados Brutos'!$B:$B,A244,'Dados Brutos'!$T:$T,"SIENO")</f>
        <v>0</v>
      </c>
      <c r="D244" s="5" t="n">
        <f aca="false">SUMIFS('Dados Brutos'!$C:$C,'Dados Brutos'!$B:$B,A244,'Dados Brutos'!$T:$T,"BAGATELLE")</f>
        <v>0</v>
      </c>
      <c r="E244" s="5" t="n">
        <f aca="false">SUMIFS('Dados Brutos'!$C:$C,'Dados Brutos'!$B:$B,A244,'Dados Brutos'!$T:$T,"AUMA")</f>
        <v>450</v>
      </c>
      <c r="F244" s="5" t="n">
        <f aca="false">SUM(C244:E244)</f>
        <v>450</v>
      </c>
      <c r="G244" s="7" t="n">
        <f aca="false">SUMIF('Dados Brutos'!$B:$B,A244,'Dados Brutos'!$D:$D)</f>
        <v>4</v>
      </c>
      <c r="H244" s="7" t="n">
        <f aca="false">COUNTIF('Dados Brutos'!$B:$B,A244)</f>
        <v>4</v>
      </c>
      <c r="I244" s="16" t="n">
        <f aca="false">IFERROR(F244/G244,0)</f>
        <v>112.5</v>
      </c>
      <c r="J244" s="13" t="n">
        <f aca="false">(C244&gt;0)+(D244&gt;0)+(E244&gt;0)</f>
        <v>1</v>
      </c>
      <c r="K244" s="13" t="str">
        <f aca="false">IF(J244=3,"Sim","Não")</f>
        <v>Não</v>
      </c>
      <c r="L244" s="13" t="str">
        <f aca="false">IF(AND(I244&gt;=100,G244&gt;=100),"Sim","Não")</f>
        <v>Não</v>
      </c>
      <c r="M244" s="13" t="str">
        <f aca="false">IF(L244="Sim",SUMPRODUCT(($L$2:L244="Sim")*1),"")</f>
        <v/>
      </c>
    </row>
    <row r="245" customFormat="false" ht="15" hidden="false" customHeight="false" outlineLevel="0" collapsed="false">
      <c r="A245" s="13" t="s">
        <v>2273</v>
      </c>
      <c r="B245" s="13" t="s">
        <v>85</v>
      </c>
      <c r="C245" s="5" t="n">
        <f aca="false">SUMIFS('Dados Brutos'!$C:$C,'Dados Brutos'!$B:$B,A245,'Dados Brutos'!$T:$T,"SIENO")</f>
        <v>0</v>
      </c>
      <c r="D245" s="5" t="n">
        <f aca="false">SUMIFS('Dados Brutos'!$C:$C,'Dados Brutos'!$B:$B,A245,'Dados Brutos'!$T:$T,"BAGATELLE")</f>
        <v>0</v>
      </c>
      <c r="E245" s="5" t="n">
        <f aca="false">SUMIFS('Dados Brutos'!$C:$C,'Dados Brutos'!$B:$B,A245,'Dados Brutos'!$T:$T,"AUMA")</f>
        <v>430</v>
      </c>
      <c r="F245" s="5" t="n">
        <f aca="false">SUM(C245:E245)</f>
        <v>430</v>
      </c>
      <c r="G245" s="7" t="n">
        <f aca="false">SUMIF('Dados Brutos'!$B:$B,A245,'Dados Brutos'!$D:$D)</f>
        <v>3</v>
      </c>
      <c r="H245" s="7" t="n">
        <f aca="false">COUNTIF('Dados Brutos'!$B:$B,A245)</f>
        <v>2</v>
      </c>
      <c r="I245" s="16" t="n">
        <f aca="false">IFERROR(F245/G245,0)</f>
        <v>143.333333333333</v>
      </c>
      <c r="J245" s="13" t="n">
        <f aca="false">(C245&gt;0)+(D245&gt;0)+(E245&gt;0)</f>
        <v>1</v>
      </c>
      <c r="K245" s="13" t="str">
        <f aca="false">IF(J245=3,"Sim","Não")</f>
        <v>Não</v>
      </c>
      <c r="L245" s="13" t="str">
        <f aca="false">IF(AND(I245&gt;=100,G245&gt;=100),"Sim","Não")</f>
        <v>Não</v>
      </c>
      <c r="M245" s="13" t="str">
        <f aca="false">IF(L245="Sim",SUMPRODUCT(($L$2:L245="Sim")*1),"")</f>
        <v/>
      </c>
    </row>
    <row r="246" customFormat="false" ht="15" hidden="false" customHeight="false" outlineLevel="0" collapsed="false">
      <c r="A246" s="13" t="s">
        <v>2274</v>
      </c>
      <c r="B246" s="13" t="s">
        <v>43</v>
      </c>
      <c r="C246" s="5" t="n">
        <f aca="false">SUMIFS('Dados Brutos'!$C:$C,'Dados Brutos'!$B:$B,A246,'Dados Brutos'!$T:$T,"SIENO")</f>
        <v>0</v>
      </c>
      <c r="D246" s="5" t="n">
        <f aca="false">SUMIFS('Dados Brutos'!$C:$C,'Dados Brutos'!$B:$B,A246,'Dados Brutos'!$T:$T,"BAGATELLE")</f>
        <v>350</v>
      </c>
      <c r="E246" s="5" t="n">
        <f aca="false">SUMIFS('Dados Brutos'!$C:$C,'Dados Brutos'!$B:$B,A246,'Dados Brutos'!$T:$T,"AUMA")</f>
        <v>0</v>
      </c>
      <c r="F246" s="5" t="n">
        <f aca="false">SUM(C246:E246)</f>
        <v>350</v>
      </c>
      <c r="G246" s="7" t="n">
        <f aca="false">SUMIF('Dados Brutos'!$B:$B,A246,'Dados Brutos'!$D:$D)</f>
        <v>1</v>
      </c>
      <c r="H246" s="7" t="n">
        <f aca="false">COUNTIF('Dados Brutos'!$B:$B,A246)</f>
        <v>1</v>
      </c>
      <c r="I246" s="16" t="n">
        <f aca="false">IFERROR(F246/G246,0)</f>
        <v>350</v>
      </c>
      <c r="J246" s="13" t="n">
        <f aca="false">(C246&gt;0)+(D246&gt;0)+(E246&gt;0)</f>
        <v>1</v>
      </c>
      <c r="K246" s="13" t="str">
        <f aca="false">IF(J246=3,"Sim","Não")</f>
        <v>Não</v>
      </c>
      <c r="L246" s="13" t="str">
        <f aca="false">IF(AND(I246&gt;=100,G246&gt;=100),"Sim","Não")</f>
        <v>Não</v>
      </c>
      <c r="M246" s="13" t="str">
        <f aca="false">IF(L246="Sim",SUMPRODUCT(($L$2:L246="Sim")*1),"")</f>
        <v/>
      </c>
    </row>
    <row r="247" customFormat="false" ht="15" hidden="false" customHeight="false" outlineLevel="0" collapsed="false">
      <c r="A247" s="13" t="s">
        <v>2275</v>
      </c>
      <c r="B247" s="13" t="s">
        <v>57</v>
      </c>
      <c r="C247" s="5" t="n">
        <f aca="false">SUMIFS('Dados Brutos'!$C:$C,'Dados Brutos'!$B:$B,A247,'Dados Brutos'!$T:$T,"SIENO")</f>
        <v>340</v>
      </c>
      <c r="D247" s="5" t="n">
        <f aca="false">SUMIFS('Dados Brutos'!$C:$C,'Dados Brutos'!$B:$B,A247,'Dados Brutos'!$T:$T,"BAGATELLE")</f>
        <v>0</v>
      </c>
      <c r="E247" s="5" t="n">
        <f aca="false">SUMIFS('Dados Brutos'!$C:$C,'Dados Brutos'!$B:$B,A247,'Dados Brutos'!$T:$T,"AUMA")</f>
        <v>0</v>
      </c>
      <c r="F247" s="5" t="n">
        <f aca="false">SUM(C247:E247)</f>
        <v>340</v>
      </c>
      <c r="G247" s="7" t="n">
        <f aca="false">SUMIF('Dados Brutos'!$B:$B,A247,'Dados Brutos'!$D:$D)</f>
        <v>3</v>
      </c>
      <c r="H247" s="7" t="n">
        <f aca="false">COUNTIF('Dados Brutos'!$B:$B,A247)</f>
        <v>2</v>
      </c>
      <c r="I247" s="16" t="n">
        <f aca="false">IFERROR(F247/G247,0)</f>
        <v>113.333333333333</v>
      </c>
      <c r="J247" s="13" t="n">
        <f aca="false">(C247&gt;0)+(D247&gt;0)+(E247&gt;0)</f>
        <v>1</v>
      </c>
      <c r="K247" s="13" t="str">
        <f aca="false">IF(J247=3,"Sim","Não")</f>
        <v>Não</v>
      </c>
      <c r="L247" s="13" t="str">
        <f aca="false">IF(AND(I247&gt;=100,G247&gt;=100),"Sim","Não")</f>
        <v>Não</v>
      </c>
      <c r="M247" s="13" t="str">
        <f aca="false">IF(L247="Sim",SUMPRODUCT(($L$2:L247="Sim")*1),"")</f>
        <v/>
      </c>
    </row>
    <row r="248" customFormat="false" ht="15" hidden="false" customHeight="false" outlineLevel="0" collapsed="false">
      <c r="A248" s="13" t="s">
        <v>2276</v>
      </c>
      <c r="B248" s="13" t="s">
        <v>85</v>
      </c>
      <c r="C248" s="5" t="n">
        <f aca="false">SUMIFS('Dados Brutos'!$C:$C,'Dados Brutos'!$B:$B,A248,'Dados Brutos'!$T:$T,"SIENO")</f>
        <v>340</v>
      </c>
      <c r="D248" s="5" t="n">
        <f aca="false">SUMIFS('Dados Brutos'!$C:$C,'Dados Brutos'!$B:$B,A248,'Dados Brutos'!$T:$T,"BAGATELLE")</f>
        <v>0</v>
      </c>
      <c r="E248" s="5" t="n">
        <f aca="false">SUMIFS('Dados Brutos'!$C:$C,'Dados Brutos'!$B:$B,A248,'Dados Brutos'!$T:$T,"AUMA")</f>
        <v>0</v>
      </c>
      <c r="F248" s="5" t="n">
        <f aca="false">SUM(C248:E248)</f>
        <v>340</v>
      </c>
      <c r="G248" s="7" t="n">
        <f aca="false">SUMIF('Dados Brutos'!$B:$B,A248,'Dados Brutos'!$D:$D)</f>
        <v>2</v>
      </c>
      <c r="H248" s="7" t="n">
        <f aca="false">COUNTIF('Dados Brutos'!$B:$B,A248)</f>
        <v>1</v>
      </c>
      <c r="I248" s="16" t="n">
        <f aca="false">IFERROR(F248/G248,0)</f>
        <v>170</v>
      </c>
      <c r="J248" s="13" t="n">
        <f aca="false">(C248&gt;0)+(D248&gt;0)+(E248&gt;0)</f>
        <v>1</v>
      </c>
      <c r="K248" s="13" t="str">
        <f aca="false">IF(J248=3,"Sim","Não")</f>
        <v>Não</v>
      </c>
      <c r="L248" s="13" t="str">
        <f aca="false">IF(AND(I248&gt;=100,G248&gt;=100),"Sim","Não")</f>
        <v>Não</v>
      </c>
      <c r="M248" s="13" t="str">
        <f aca="false">IF(L248="Sim",SUMPRODUCT(($L$2:L248="Sim")*1),"")</f>
        <v/>
      </c>
    </row>
    <row r="249" customFormat="false" ht="15" hidden="false" customHeight="false" outlineLevel="0" collapsed="false">
      <c r="A249" s="13" t="s">
        <v>2277</v>
      </c>
      <c r="B249" s="13" t="s">
        <v>43</v>
      </c>
      <c r="C249" s="5" t="n">
        <f aca="false">SUMIFS('Dados Brutos'!$C:$C,'Dados Brutos'!$B:$B,A249,'Dados Brutos'!$T:$T,"SIENO")</f>
        <v>0</v>
      </c>
      <c r="D249" s="5" t="n">
        <f aca="false">SUMIFS('Dados Brutos'!$C:$C,'Dados Brutos'!$B:$B,A249,'Dados Brutos'!$T:$T,"BAGATELLE")</f>
        <v>330</v>
      </c>
      <c r="E249" s="5" t="n">
        <f aca="false">SUMIFS('Dados Brutos'!$C:$C,'Dados Brutos'!$B:$B,A249,'Dados Brutos'!$T:$T,"AUMA")</f>
        <v>0</v>
      </c>
      <c r="F249" s="5" t="n">
        <f aca="false">SUM(C249:E249)</f>
        <v>330</v>
      </c>
      <c r="G249" s="7" t="n">
        <f aca="false">SUMIF('Dados Brutos'!$B:$B,A249,'Dados Brutos'!$D:$D)</f>
        <v>1</v>
      </c>
      <c r="H249" s="7" t="n">
        <f aca="false">COUNTIF('Dados Brutos'!$B:$B,A249)</f>
        <v>1</v>
      </c>
      <c r="I249" s="16" t="n">
        <f aca="false">IFERROR(F249/G249,0)</f>
        <v>330</v>
      </c>
      <c r="J249" s="13" t="n">
        <f aca="false">(C249&gt;0)+(D249&gt;0)+(E249&gt;0)</f>
        <v>1</v>
      </c>
      <c r="K249" s="13" t="str">
        <f aca="false">IF(J249=3,"Sim","Não")</f>
        <v>Não</v>
      </c>
      <c r="L249" s="13" t="str">
        <f aca="false">IF(AND(I249&gt;=100,G249&gt;=100),"Sim","Não")</f>
        <v>Não</v>
      </c>
      <c r="M249" s="13" t="str">
        <f aca="false">IF(L249="Sim",SUMPRODUCT(($L$2:L249="Sim")*1),"")</f>
        <v/>
      </c>
    </row>
    <row r="250" customFormat="false" ht="15" hidden="false" customHeight="false" outlineLevel="0" collapsed="false">
      <c r="A250" s="13" t="s">
        <v>2278</v>
      </c>
      <c r="B250" s="13" t="s">
        <v>144</v>
      </c>
      <c r="C250" s="5" t="n">
        <f aca="false">SUMIFS('Dados Brutos'!$C:$C,'Dados Brutos'!$B:$B,A250,'Dados Brutos'!$T:$T,"SIENO")</f>
        <v>290</v>
      </c>
      <c r="D250" s="5" t="n">
        <f aca="false">SUMIFS('Dados Brutos'!$C:$C,'Dados Brutos'!$B:$B,A250,'Dados Brutos'!$T:$T,"BAGATELLE")</f>
        <v>0</v>
      </c>
      <c r="E250" s="5" t="n">
        <f aca="false">SUMIFS('Dados Brutos'!$C:$C,'Dados Brutos'!$B:$B,A250,'Dados Brutos'!$T:$T,"AUMA")</f>
        <v>0</v>
      </c>
      <c r="F250" s="5" t="n">
        <f aca="false">SUM(C250:E250)</f>
        <v>290</v>
      </c>
      <c r="G250" s="7" t="n">
        <f aca="false">SUMIF('Dados Brutos'!$B:$B,A250,'Dados Brutos'!$D:$D)</f>
        <v>1</v>
      </c>
      <c r="H250" s="7" t="n">
        <f aca="false">COUNTIF('Dados Brutos'!$B:$B,A250)</f>
        <v>1</v>
      </c>
      <c r="I250" s="16" t="n">
        <f aca="false">IFERROR(F250/G250,0)</f>
        <v>290</v>
      </c>
      <c r="J250" s="13" t="n">
        <f aca="false">(C250&gt;0)+(D250&gt;0)+(E250&gt;0)</f>
        <v>1</v>
      </c>
      <c r="K250" s="13" t="str">
        <f aca="false">IF(J250=3,"Sim","Não")</f>
        <v>Não</v>
      </c>
      <c r="L250" s="13" t="str">
        <f aca="false">IF(AND(I250&gt;=100,G250&gt;=100),"Sim","Não")</f>
        <v>Não</v>
      </c>
      <c r="M250" s="13" t="str">
        <f aca="false">IF(L250="Sim",SUMPRODUCT(($L$2:L250="Sim")*1),"")</f>
        <v/>
      </c>
    </row>
    <row r="251" customFormat="false" ht="15" hidden="false" customHeight="false" outlineLevel="0" collapsed="false">
      <c r="A251" s="13" t="s">
        <v>2279</v>
      </c>
      <c r="B251" s="13" t="s">
        <v>183</v>
      </c>
      <c r="C251" s="5" t="n">
        <f aca="false">SUMIFS('Dados Brutos'!$C:$C,'Dados Brutos'!$B:$B,A251,'Dados Brutos'!$T:$T,"SIENO")</f>
        <v>280</v>
      </c>
      <c r="D251" s="5" t="n">
        <f aca="false">SUMIFS('Dados Brutos'!$C:$C,'Dados Brutos'!$B:$B,A251,'Dados Brutos'!$T:$T,"BAGATELLE")</f>
        <v>0</v>
      </c>
      <c r="E251" s="5" t="n">
        <f aca="false">SUMIFS('Dados Brutos'!$C:$C,'Dados Brutos'!$B:$B,A251,'Dados Brutos'!$T:$T,"AUMA")</f>
        <v>0</v>
      </c>
      <c r="F251" s="5" t="n">
        <f aca="false">SUM(C251:E251)</f>
        <v>280</v>
      </c>
      <c r="G251" s="7" t="n">
        <f aca="false">SUMIF('Dados Brutos'!$B:$B,A251,'Dados Brutos'!$D:$D)</f>
        <v>2</v>
      </c>
      <c r="H251" s="7" t="n">
        <f aca="false">COUNTIF('Dados Brutos'!$B:$B,A251)</f>
        <v>1</v>
      </c>
      <c r="I251" s="16" t="n">
        <f aca="false">IFERROR(F251/G251,0)</f>
        <v>140</v>
      </c>
      <c r="J251" s="13" t="n">
        <f aca="false">(C251&gt;0)+(D251&gt;0)+(E251&gt;0)</f>
        <v>1</v>
      </c>
      <c r="K251" s="13" t="str">
        <f aca="false">IF(J251=3,"Sim","Não")</f>
        <v>Não</v>
      </c>
      <c r="L251" s="13" t="str">
        <f aca="false">IF(AND(I251&gt;=100,G251&gt;=100),"Sim","Não")</f>
        <v>Não</v>
      </c>
      <c r="M251" s="13" t="str">
        <f aca="false">IF(L251="Sim",SUMPRODUCT(($L$2:L251="Sim")*1),"")</f>
        <v/>
      </c>
    </row>
    <row r="252" customFormat="false" ht="15" hidden="false" customHeight="false" outlineLevel="0" collapsed="false">
      <c r="A252" s="13" t="s">
        <v>2280</v>
      </c>
      <c r="B252" s="13" t="s">
        <v>85</v>
      </c>
      <c r="C252" s="5" t="n">
        <f aca="false">SUMIFS('Dados Brutos'!$C:$C,'Dados Brutos'!$B:$B,A252,'Dados Brutos'!$T:$T,"SIENO")</f>
        <v>270</v>
      </c>
      <c r="D252" s="5" t="n">
        <f aca="false">SUMIFS('Dados Brutos'!$C:$C,'Dados Brutos'!$B:$B,A252,'Dados Brutos'!$T:$T,"BAGATELLE")</f>
        <v>0</v>
      </c>
      <c r="E252" s="5" t="n">
        <f aca="false">SUMIFS('Dados Brutos'!$C:$C,'Dados Brutos'!$B:$B,A252,'Dados Brutos'!$T:$T,"AUMA")</f>
        <v>0</v>
      </c>
      <c r="F252" s="5" t="n">
        <f aca="false">SUM(C252:E252)</f>
        <v>270</v>
      </c>
      <c r="G252" s="7" t="n">
        <f aca="false">SUMIF('Dados Brutos'!$B:$B,A252,'Dados Brutos'!$D:$D)</f>
        <v>2</v>
      </c>
      <c r="H252" s="7" t="n">
        <f aca="false">COUNTIF('Dados Brutos'!$B:$B,A252)</f>
        <v>1</v>
      </c>
      <c r="I252" s="16" t="n">
        <f aca="false">IFERROR(F252/G252,0)</f>
        <v>135</v>
      </c>
      <c r="J252" s="13" t="n">
        <f aca="false">(C252&gt;0)+(D252&gt;0)+(E252&gt;0)</f>
        <v>1</v>
      </c>
      <c r="K252" s="13" t="str">
        <f aca="false">IF(J252=3,"Sim","Não")</f>
        <v>Não</v>
      </c>
      <c r="L252" s="13" t="str">
        <f aca="false">IF(AND(I252&gt;=100,G252&gt;=100),"Sim","Não")</f>
        <v>Não</v>
      </c>
      <c r="M252" s="13" t="str">
        <f aca="false">IF(L252="Sim",SUMPRODUCT(($L$2:L252="Sim")*1),"")</f>
        <v/>
      </c>
    </row>
    <row r="253" customFormat="false" ht="15" hidden="false" customHeight="false" outlineLevel="0" collapsed="false">
      <c r="A253" s="13" t="s">
        <v>2281</v>
      </c>
      <c r="B253" s="13" t="s">
        <v>85</v>
      </c>
      <c r="C253" s="5" t="n">
        <f aca="false">SUMIFS('Dados Brutos'!$C:$C,'Dados Brutos'!$B:$B,A253,'Dados Brutos'!$T:$T,"SIENO")</f>
        <v>260</v>
      </c>
      <c r="D253" s="5" t="n">
        <f aca="false">SUMIFS('Dados Brutos'!$C:$C,'Dados Brutos'!$B:$B,A253,'Dados Brutos'!$T:$T,"BAGATELLE")</f>
        <v>0</v>
      </c>
      <c r="E253" s="5" t="n">
        <f aca="false">SUMIFS('Dados Brutos'!$C:$C,'Dados Brutos'!$B:$B,A253,'Dados Brutos'!$T:$T,"AUMA")</f>
        <v>0</v>
      </c>
      <c r="F253" s="5" t="n">
        <f aca="false">SUM(C253:E253)</f>
        <v>260</v>
      </c>
      <c r="G253" s="7" t="n">
        <f aca="false">SUMIF('Dados Brutos'!$B:$B,A253,'Dados Brutos'!$D:$D)</f>
        <v>1</v>
      </c>
      <c r="H253" s="7" t="n">
        <f aca="false">COUNTIF('Dados Brutos'!$B:$B,A253)</f>
        <v>1</v>
      </c>
      <c r="I253" s="16" t="n">
        <f aca="false">IFERROR(F253/G253,0)</f>
        <v>260</v>
      </c>
      <c r="J253" s="13" t="n">
        <f aca="false">(C253&gt;0)+(D253&gt;0)+(E253&gt;0)</f>
        <v>1</v>
      </c>
      <c r="K253" s="13" t="str">
        <f aca="false">IF(J253=3,"Sim","Não")</f>
        <v>Não</v>
      </c>
      <c r="L253" s="13" t="str">
        <f aca="false">IF(AND(I253&gt;=100,G253&gt;=100),"Sim","Não")</f>
        <v>Não</v>
      </c>
      <c r="M253" s="13" t="str">
        <f aca="false">IF(L253="Sim",SUMPRODUCT(($L$2:L253="Sim")*1),"")</f>
        <v/>
      </c>
    </row>
    <row r="254" customFormat="false" ht="15" hidden="false" customHeight="false" outlineLevel="0" collapsed="false">
      <c r="A254" s="13" t="s">
        <v>2282</v>
      </c>
      <c r="B254" s="13" t="s">
        <v>183</v>
      </c>
      <c r="C254" s="5" t="n">
        <f aca="false">SUMIFS('Dados Brutos'!$C:$C,'Dados Brutos'!$B:$B,A254,'Dados Brutos'!$T:$T,"SIENO")</f>
        <v>0</v>
      </c>
      <c r="D254" s="5" t="n">
        <f aca="false">SUMIFS('Dados Brutos'!$C:$C,'Dados Brutos'!$B:$B,A254,'Dados Brutos'!$T:$T,"BAGATELLE")</f>
        <v>0</v>
      </c>
      <c r="E254" s="5" t="n">
        <f aca="false">SUMIFS('Dados Brutos'!$C:$C,'Dados Brutos'!$B:$B,A254,'Dados Brutos'!$T:$T,"AUMA")</f>
        <v>260</v>
      </c>
      <c r="F254" s="5" t="n">
        <f aca="false">SUM(C254:E254)</f>
        <v>260</v>
      </c>
      <c r="G254" s="7" t="n">
        <f aca="false">SUMIF('Dados Brutos'!$B:$B,A254,'Dados Brutos'!$D:$D)</f>
        <v>1</v>
      </c>
      <c r="H254" s="7" t="n">
        <f aca="false">COUNTIF('Dados Brutos'!$B:$B,A254)</f>
        <v>1</v>
      </c>
      <c r="I254" s="16" t="n">
        <f aca="false">IFERROR(F254/G254,0)</f>
        <v>260</v>
      </c>
      <c r="J254" s="13" t="n">
        <f aca="false">(C254&gt;0)+(D254&gt;0)+(E254&gt;0)</f>
        <v>1</v>
      </c>
      <c r="K254" s="13" t="str">
        <f aca="false">IF(J254=3,"Sim","Não")</f>
        <v>Não</v>
      </c>
      <c r="L254" s="13" t="str">
        <f aca="false">IF(AND(I254&gt;=100,G254&gt;=100),"Sim","Não")</f>
        <v>Não</v>
      </c>
      <c r="M254" s="13" t="str">
        <f aca="false">IF(L254="Sim",SUMPRODUCT(($L$2:L254="Sim")*1),"")</f>
        <v/>
      </c>
    </row>
    <row r="255" customFormat="false" ht="15" hidden="false" customHeight="false" outlineLevel="0" collapsed="false">
      <c r="A255" s="13" t="s">
        <v>2283</v>
      </c>
      <c r="B255" s="13" t="s">
        <v>183</v>
      </c>
      <c r="C255" s="5" t="n">
        <f aca="false">SUMIFS('Dados Brutos'!$C:$C,'Dados Brutos'!$B:$B,A255,'Dados Brutos'!$T:$T,"SIENO")</f>
        <v>0</v>
      </c>
      <c r="D255" s="5" t="n">
        <f aca="false">SUMIFS('Dados Brutos'!$C:$C,'Dados Brutos'!$B:$B,A255,'Dados Brutos'!$T:$T,"BAGATELLE")</f>
        <v>0</v>
      </c>
      <c r="E255" s="5" t="n">
        <f aca="false">SUMIFS('Dados Brutos'!$C:$C,'Dados Brutos'!$B:$B,A255,'Dados Brutos'!$T:$T,"AUMA")</f>
        <v>250</v>
      </c>
      <c r="F255" s="5" t="n">
        <f aca="false">SUM(C255:E255)</f>
        <v>250</v>
      </c>
      <c r="G255" s="7" t="n">
        <f aca="false">SUMIF('Dados Brutos'!$B:$B,A255,'Dados Brutos'!$D:$D)</f>
        <v>5</v>
      </c>
      <c r="H255" s="7" t="n">
        <f aca="false">COUNTIF('Dados Brutos'!$B:$B,A255)</f>
        <v>1</v>
      </c>
      <c r="I255" s="16" t="n">
        <f aca="false">IFERROR(F255/G255,0)</f>
        <v>50</v>
      </c>
      <c r="J255" s="13" t="n">
        <f aca="false">(C255&gt;0)+(D255&gt;0)+(E255&gt;0)</f>
        <v>1</v>
      </c>
      <c r="K255" s="13" t="str">
        <f aca="false">IF(J255=3,"Sim","Não")</f>
        <v>Não</v>
      </c>
      <c r="L255" s="13" t="str">
        <f aca="false">IF(AND(I255&gt;=100,G255&gt;=100),"Sim","Não")</f>
        <v>Não</v>
      </c>
      <c r="M255" s="13" t="str">
        <f aca="false">IF(L255="Sim",SUMPRODUCT(($L$2:L255="Sim")*1),"")</f>
        <v/>
      </c>
    </row>
    <row r="256" customFormat="false" ht="15" hidden="false" customHeight="false" outlineLevel="0" collapsed="false">
      <c r="A256" s="13" t="s">
        <v>2284</v>
      </c>
      <c r="B256" s="13" t="s">
        <v>43</v>
      </c>
      <c r="C256" s="5" t="n">
        <f aca="false">SUMIFS('Dados Brutos'!$C:$C,'Dados Brutos'!$B:$B,A256,'Dados Brutos'!$T:$T,"SIENO")</f>
        <v>0</v>
      </c>
      <c r="D256" s="5" t="n">
        <f aca="false">SUMIFS('Dados Brutos'!$C:$C,'Dados Brutos'!$B:$B,A256,'Dados Brutos'!$T:$T,"BAGATELLE")</f>
        <v>250</v>
      </c>
      <c r="E256" s="5" t="n">
        <f aca="false">SUMIFS('Dados Brutos'!$C:$C,'Dados Brutos'!$B:$B,A256,'Dados Brutos'!$T:$T,"AUMA")</f>
        <v>0</v>
      </c>
      <c r="F256" s="5" t="n">
        <f aca="false">SUM(C256:E256)</f>
        <v>250</v>
      </c>
      <c r="G256" s="7" t="n">
        <f aca="false">SUMIF('Dados Brutos'!$B:$B,A256,'Dados Brutos'!$D:$D)</f>
        <v>1</v>
      </c>
      <c r="H256" s="7" t="n">
        <f aca="false">COUNTIF('Dados Brutos'!$B:$B,A256)</f>
        <v>1</v>
      </c>
      <c r="I256" s="16" t="n">
        <f aca="false">IFERROR(F256/G256,0)</f>
        <v>250</v>
      </c>
      <c r="J256" s="13" t="n">
        <f aca="false">(C256&gt;0)+(D256&gt;0)+(E256&gt;0)</f>
        <v>1</v>
      </c>
      <c r="K256" s="13" t="str">
        <f aca="false">IF(J256=3,"Sim","Não")</f>
        <v>Não</v>
      </c>
      <c r="L256" s="13" t="str">
        <f aca="false">IF(AND(I256&gt;=100,G256&gt;=100),"Sim","Não")</f>
        <v>Não</v>
      </c>
      <c r="M256" s="13" t="str">
        <f aca="false">IF(L256="Sim",SUMPRODUCT(($L$2:L256="Sim")*1),"")</f>
        <v/>
      </c>
    </row>
    <row r="257" customFormat="false" ht="15" hidden="false" customHeight="false" outlineLevel="0" collapsed="false">
      <c r="A257" s="13" t="s">
        <v>2285</v>
      </c>
      <c r="B257" s="13" t="s">
        <v>85</v>
      </c>
      <c r="C257" s="5" t="n">
        <f aca="false">SUMIFS('Dados Brutos'!$C:$C,'Dados Brutos'!$B:$B,A257,'Dados Brutos'!$T:$T,"SIENO")</f>
        <v>250</v>
      </c>
      <c r="D257" s="5" t="n">
        <f aca="false">SUMIFS('Dados Brutos'!$C:$C,'Dados Brutos'!$B:$B,A257,'Dados Brutos'!$T:$T,"BAGATELLE")</f>
        <v>0</v>
      </c>
      <c r="E257" s="5" t="n">
        <f aca="false">SUMIFS('Dados Brutos'!$C:$C,'Dados Brutos'!$B:$B,A257,'Dados Brutos'!$T:$T,"AUMA")</f>
        <v>0</v>
      </c>
      <c r="F257" s="5" t="n">
        <f aca="false">SUM(C257:E257)</f>
        <v>250</v>
      </c>
      <c r="G257" s="7" t="n">
        <f aca="false">SUMIF('Dados Brutos'!$B:$B,A257,'Dados Brutos'!$D:$D)</f>
        <v>2</v>
      </c>
      <c r="H257" s="7" t="n">
        <f aca="false">COUNTIF('Dados Brutos'!$B:$B,A257)</f>
        <v>1</v>
      </c>
      <c r="I257" s="16" t="n">
        <f aca="false">IFERROR(F257/G257,0)</f>
        <v>125</v>
      </c>
      <c r="J257" s="13" t="n">
        <f aca="false">(C257&gt;0)+(D257&gt;0)+(E257&gt;0)</f>
        <v>1</v>
      </c>
      <c r="K257" s="13" t="str">
        <f aca="false">IF(J257=3,"Sim","Não")</f>
        <v>Não</v>
      </c>
      <c r="L257" s="13" t="str">
        <f aca="false">IF(AND(I257&gt;=100,G257&gt;=100),"Sim","Não")</f>
        <v>Não</v>
      </c>
      <c r="M257" s="13" t="str">
        <f aca="false">IF(L257="Sim",SUMPRODUCT(($L$2:L257="Sim")*1),"")</f>
        <v/>
      </c>
    </row>
    <row r="258" customFormat="false" ht="15" hidden="false" customHeight="false" outlineLevel="0" collapsed="false">
      <c r="A258" s="13" t="s">
        <v>2286</v>
      </c>
      <c r="B258" s="13" t="s">
        <v>85</v>
      </c>
      <c r="C258" s="5" t="n">
        <f aca="false">SUMIFS('Dados Brutos'!$C:$C,'Dados Brutos'!$B:$B,A258,'Dados Brutos'!$T:$T,"SIENO")</f>
        <v>0</v>
      </c>
      <c r="D258" s="5" t="n">
        <f aca="false">SUMIFS('Dados Brutos'!$C:$C,'Dados Brutos'!$B:$B,A258,'Dados Brutos'!$T:$T,"BAGATELLE")</f>
        <v>0</v>
      </c>
      <c r="E258" s="5" t="n">
        <f aca="false">SUMIFS('Dados Brutos'!$C:$C,'Dados Brutos'!$B:$B,A258,'Dados Brutos'!$T:$T,"AUMA")</f>
        <v>240</v>
      </c>
      <c r="F258" s="5" t="n">
        <f aca="false">SUM(C258:E258)</f>
        <v>240</v>
      </c>
      <c r="G258" s="7" t="n">
        <f aca="false">SUMIF('Dados Brutos'!$B:$B,A258,'Dados Brutos'!$D:$D)</f>
        <v>1</v>
      </c>
      <c r="H258" s="7" t="n">
        <f aca="false">COUNTIF('Dados Brutos'!$B:$B,A258)</f>
        <v>1</v>
      </c>
      <c r="I258" s="16" t="n">
        <f aca="false">IFERROR(F258/G258,0)</f>
        <v>240</v>
      </c>
      <c r="J258" s="13" t="n">
        <f aca="false">(C258&gt;0)+(D258&gt;0)+(E258&gt;0)</f>
        <v>1</v>
      </c>
      <c r="K258" s="13" t="str">
        <f aca="false">IF(J258=3,"Sim","Não")</f>
        <v>Não</v>
      </c>
      <c r="L258" s="13" t="str">
        <f aca="false">IF(AND(I258&gt;=100,G258&gt;=100),"Sim","Não")</f>
        <v>Não</v>
      </c>
      <c r="M258" s="13" t="str">
        <f aca="false">IF(L258="Sim",SUMPRODUCT(($L$2:L258="Sim")*1),"")</f>
        <v/>
      </c>
    </row>
    <row r="259" customFormat="false" ht="15" hidden="false" customHeight="false" outlineLevel="0" collapsed="false">
      <c r="A259" s="13" t="s">
        <v>2287</v>
      </c>
      <c r="B259" s="13" t="s">
        <v>85</v>
      </c>
      <c r="C259" s="5" t="n">
        <f aca="false">SUMIFS('Dados Brutos'!$C:$C,'Dados Brutos'!$B:$B,A259,'Dados Brutos'!$T:$T,"SIENO")</f>
        <v>240</v>
      </c>
      <c r="D259" s="5" t="n">
        <f aca="false">SUMIFS('Dados Brutos'!$C:$C,'Dados Brutos'!$B:$B,A259,'Dados Brutos'!$T:$T,"BAGATELLE")</f>
        <v>0</v>
      </c>
      <c r="E259" s="5" t="n">
        <f aca="false">SUMIFS('Dados Brutos'!$C:$C,'Dados Brutos'!$B:$B,A259,'Dados Brutos'!$T:$T,"AUMA")</f>
        <v>0</v>
      </c>
      <c r="F259" s="5" t="n">
        <f aca="false">SUM(C259:E259)</f>
        <v>240</v>
      </c>
      <c r="G259" s="7" t="n">
        <f aca="false">SUMIF('Dados Brutos'!$B:$B,A259,'Dados Brutos'!$D:$D)</f>
        <v>7</v>
      </c>
      <c r="H259" s="7" t="n">
        <f aca="false">COUNTIF('Dados Brutos'!$B:$B,A259)</f>
        <v>2</v>
      </c>
      <c r="I259" s="16" t="n">
        <f aca="false">IFERROR(F259/G259,0)</f>
        <v>34.2857142857143</v>
      </c>
      <c r="J259" s="13" t="n">
        <f aca="false">(C259&gt;0)+(D259&gt;0)+(E259&gt;0)</f>
        <v>1</v>
      </c>
      <c r="K259" s="13" t="str">
        <f aca="false">IF(J259=3,"Sim","Não")</f>
        <v>Não</v>
      </c>
      <c r="L259" s="13" t="str">
        <f aca="false">IF(AND(I259&gt;=100,G259&gt;=100),"Sim","Não")</f>
        <v>Não</v>
      </c>
      <c r="M259" s="13" t="str">
        <f aca="false">IF(L259="Sim",SUMPRODUCT(($L$2:L259="Sim")*1),"")</f>
        <v/>
      </c>
    </row>
    <row r="260" customFormat="false" ht="15" hidden="false" customHeight="false" outlineLevel="0" collapsed="false">
      <c r="A260" s="13" t="s">
        <v>2288</v>
      </c>
      <c r="B260" s="13" t="s">
        <v>85</v>
      </c>
      <c r="C260" s="5" t="n">
        <f aca="false">SUMIFS('Dados Brutos'!$C:$C,'Dados Brutos'!$B:$B,A260,'Dados Brutos'!$T:$T,"SIENO")</f>
        <v>0</v>
      </c>
      <c r="D260" s="5" t="n">
        <f aca="false">SUMIFS('Dados Brutos'!$C:$C,'Dados Brutos'!$B:$B,A260,'Dados Brutos'!$T:$T,"BAGATELLE")</f>
        <v>0</v>
      </c>
      <c r="E260" s="5" t="n">
        <f aca="false">SUMIFS('Dados Brutos'!$C:$C,'Dados Brutos'!$B:$B,A260,'Dados Brutos'!$T:$T,"AUMA")</f>
        <v>220</v>
      </c>
      <c r="F260" s="5" t="n">
        <f aca="false">SUM(C260:E260)</f>
        <v>220</v>
      </c>
      <c r="G260" s="7" t="n">
        <f aca="false">SUMIF('Dados Brutos'!$B:$B,A260,'Dados Brutos'!$D:$D)</f>
        <v>1</v>
      </c>
      <c r="H260" s="7" t="n">
        <f aca="false">COUNTIF('Dados Brutos'!$B:$B,A260)</f>
        <v>1</v>
      </c>
      <c r="I260" s="16" t="n">
        <f aca="false">IFERROR(F260/G260,0)</f>
        <v>220</v>
      </c>
      <c r="J260" s="13" t="n">
        <f aca="false">(C260&gt;0)+(D260&gt;0)+(E260&gt;0)</f>
        <v>1</v>
      </c>
      <c r="K260" s="13" t="str">
        <f aca="false">IF(J260=3,"Sim","Não")</f>
        <v>Não</v>
      </c>
      <c r="L260" s="13" t="str">
        <f aca="false">IF(AND(I260&gt;=100,G260&gt;=100),"Sim","Não")</f>
        <v>Não</v>
      </c>
      <c r="M260" s="13" t="str">
        <f aca="false">IF(L260="Sim",SUMPRODUCT(($L$2:L260="Sim")*1),"")</f>
        <v/>
      </c>
    </row>
    <row r="261" customFormat="false" ht="15" hidden="false" customHeight="false" outlineLevel="0" collapsed="false">
      <c r="A261" s="13" t="s">
        <v>2289</v>
      </c>
      <c r="B261" s="13" t="s">
        <v>140</v>
      </c>
      <c r="C261" s="5" t="n">
        <f aca="false">SUMIFS('Dados Brutos'!$C:$C,'Dados Brutos'!$B:$B,A261,'Dados Brutos'!$T:$T,"SIENO")</f>
        <v>200</v>
      </c>
      <c r="D261" s="5" t="n">
        <f aca="false">SUMIFS('Dados Brutos'!$C:$C,'Dados Brutos'!$B:$B,A261,'Dados Brutos'!$T:$T,"BAGATELLE")</f>
        <v>0</v>
      </c>
      <c r="E261" s="5" t="n">
        <f aca="false">SUMIFS('Dados Brutos'!$C:$C,'Dados Brutos'!$B:$B,A261,'Dados Brutos'!$T:$T,"AUMA")</f>
        <v>0</v>
      </c>
      <c r="F261" s="5" t="n">
        <f aca="false">SUM(C261:E261)</f>
        <v>200</v>
      </c>
      <c r="G261" s="7" t="n">
        <f aca="false">SUMIF('Dados Brutos'!$B:$B,A261,'Dados Brutos'!$D:$D)</f>
        <v>2</v>
      </c>
      <c r="H261" s="7" t="n">
        <f aca="false">COUNTIF('Dados Brutos'!$B:$B,A261)</f>
        <v>1</v>
      </c>
      <c r="I261" s="16" t="n">
        <f aca="false">IFERROR(F261/G261,0)</f>
        <v>100</v>
      </c>
      <c r="J261" s="13" t="n">
        <f aca="false">(C261&gt;0)+(D261&gt;0)+(E261&gt;0)</f>
        <v>1</v>
      </c>
      <c r="K261" s="13" t="str">
        <f aca="false">IF(J261=3,"Sim","Não")</f>
        <v>Não</v>
      </c>
      <c r="L261" s="13" t="str">
        <f aca="false">IF(AND(I261&gt;=100,G261&gt;=100),"Sim","Não")</f>
        <v>Não</v>
      </c>
      <c r="M261" s="13" t="str">
        <f aca="false">IF(L261="Sim",SUMPRODUCT(($L$2:L261="Sim")*1),"")</f>
        <v/>
      </c>
    </row>
    <row r="262" customFormat="false" ht="15" hidden="false" customHeight="false" outlineLevel="0" collapsed="false">
      <c r="A262" s="13" t="s">
        <v>2290</v>
      </c>
      <c r="B262" s="13" t="s">
        <v>85</v>
      </c>
      <c r="C262" s="5" t="n">
        <f aca="false">SUMIFS('Dados Brutos'!$C:$C,'Dados Brutos'!$B:$B,A262,'Dados Brutos'!$T:$T,"SIENO")</f>
        <v>0</v>
      </c>
      <c r="D262" s="5" t="n">
        <f aca="false">SUMIFS('Dados Brutos'!$C:$C,'Dados Brutos'!$B:$B,A262,'Dados Brutos'!$T:$T,"BAGATELLE")</f>
        <v>0</v>
      </c>
      <c r="E262" s="5" t="n">
        <f aca="false">SUMIFS('Dados Brutos'!$C:$C,'Dados Brutos'!$B:$B,A262,'Dados Brutos'!$T:$T,"AUMA")</f>
        <v>190</v>
      </c>
      <c r="F262" s="5" t="n">
        <f aca="false">SUM(C262:E262)</f>
        <v>190</v>
      </c>
      <c r="G262" s="7" t="n">
        <f aca="false">SUMIF('Dados Brutos'!$B:$B,A262,'Dados Brutos'!$D:$D)</f>
        <v>1</v>
      </c>
      <c r="H262" s="7" t="n">
        <f aca="false">COUNTIF('Dados Brutos'!$B:$B,A262)</f>
        <v>1</v>
      </c>
      <c r="I262" s="16" t="n">
        <f aca="false">IFERROR(F262/G262,0)</f>
        <v>190</v>
      </c>
      <c r="J262" s="13" t="n">
        <f aca="false">(C262&gt;0)+(D262&gt;0)+(E262&gt;0)</f>
        <v>1</v>
      </c>
      <c r="K262" s="13" t="str">
        <f aca="false">IF(J262=3,"Sim","Não")</f>
        <v>Não</v>
      </c>
      <c r="L262" s="13" t="str">
        <f aca="false">IF(AND(I262&gt;=100,G262&gt;=100),"Sim","Não")</f>
        <v>Não</v>
      </c>
      <c r="M262" s="13" t="str">
        <f aca="false">IF(L262="Sim",SUMPRODUCT(($L$2:L262="Sim")*1),"")</f>
        <v/>
      </c>
    </row>
    <row r="263" customFormat="false" ht="15" hidden="false" customHeight="false" outlineLevel="0" collapsed="false">
      <c r="A263" s="13" t="s">
        <v>2291</v>
      </c>
      <c r="B263" s="13" t="s">
        <v>85</v>
      </c>
      <c r="C263" s="5" t="n">
        <f aca="false">SUMIFS('Dados Brutos'!$C:$C,'Dados Brutos'!$B:$B,A263,'Dados Brutos'!$T:$T,"SIENO")</f>
        <v>160</v>
      </c>
      <c r="D263" s="5" t="n">
        <f aca="false">SUMIFS('Dados Brutos'!$C:$C,'Dados Brutos'!$B:$B,A263,'Dados Brutos'!$T:$T,"BAGATELLE")</f>
        <v>0</v>
      </c>
      <c r="E263" s="5" t="n">
        <f aca="false">SUMIFS('Dados Brutos'!$C:$C,'Dados Brutos'!$B:$B,A263,'Dados Brutos'!$T:$T,"AUMA")</f>
        <v>0</v>
      </c>
      <c r="F263" s="5" t="n">
        <f aca="false">SUM(C263:E263)</f>
        <v>160</v>
      </c>
      <c r="G263" s="7" t="n">
        <f aca="false">SUMIF('Dados Brutos'!$B:$B,A263,'Dados Brutos'!$D:$D)</f>
        <v>5</v>
      </c>
      <c r="H263" s="7" t="n">
        <f aca="false">COUNTIF('Dados Brutos'!$B:$B,A263)</f>
        <v>1</v>
      </c>
      <c r="I263" s="16" t="n">
        <f aca="false">IFERROR(F263/G263,0)</f>
        <v>32</v>
      </c>
      <c r="J263" s="13" t="n">
        <f aca="false">(C263&gt;0)+(D263&gt;0)+(E263&gt;0)</f>
        <v>1</v>
      </c>
      <c r="K263" s="13" t="str">
        <f aca="false">IF(J263=3,"Sim","Não")</f>
        <v>Não</v>
      </c>
      <c r="L263" s="13" t="str">
        <f aca="false">IF(AND(I263&gt;=100,G263&gt;=100),"Sim","Não")</f>
        <v>Não</v>
      </c>
      <c r="M263" s="13" t="str">
        <f aca="false">IF(L263="Sim",SUMPRODUCT(($L$2:L263="Sim")*1),"")</f>
        <v/>
      </c>
    </row>
    <row r="264" customFormat="false" ht="15" hidden="false" customHeight="false" outlineLevel="0" collapsed="false">
      <c r="A264" s="13" t="s">
        <v>2292</v>
      </c>
      <c r="B264" s="13" t="s">
        <v>43</v>
      </c>
      <c r="C264" s="5" t="n">
        <f aca="false">SUMIFS('Dados Brutos'!$C:$C,'Dados Brutos'!$B:$B,A264,'Dados Brutos'!$T:$T,"SIENO")</f>
        <v>150</v>
      </c>
      <c r="D264" s="5" t="n">
        <f aca="false">SUMIFS('Dados Brutos'!$C:$C,'Dados Brutos'!$B:$B,A264,'Dados Brutos'!$T:$T,"BAGATELLE")</f>
        <v>0</v>
      </c>
      <c r="E264" s="5" t="n">
        <f aca="false">SUMIFS('Dados Brutos'!$C:$C,'Dados Brutos'!$B:$B,A264,'Dados Brutos'!$T:$T,"AUMA")</f>
        <v>0</v>
      </c>
      <c r="F264" s="5" t="n">
        <f aca="false">SUM(C264:E264)</f>
        <v>150</v>
      </c>
      <c r="G264" s="7" t="n">
        <f aca="false">SUMIF('Dados Brutos'!$B:$B,A264,'Dados Brutos'!$D:$D)</f>
        <v>1</v>
      </c>
      <c r="H264" s="7" t="n">
        <f aca="false">COUNTIF('Dados Brutos'!$B:$B,A264)</f>
        <v>1</v>
      </c>
      <c r="I264" s="16" t="n">
        <f aca="false">IFERROR(F264/G264,0)</f>
        <v>150</v>
      </c>
      <c r="J264" s="13" t="n">
        <f aca="false">(C264&gt;0)+(D264&gt;0)+(E264&gt;0)</f>
        <v>1</v>
      </c>
      <c r="K264" s="13" t="str">
        <f aca="false">IF(J264=3,"Sim","Não")</f>
        <v>Não</v>
      </c>
      <c r="L264" s="13" t="str">
        <f aca="false">IF(AND(I264&gt;=100,G264&gt;=100),"Sim","Não")</f>
        <v>Não</v>
      </c>
      <c r="M264" s="13" t="str">
        <f aca="false">IF(L264="Sim",SUMPRODUCT(($L$2:L264="Sim")*1),"")</f>
        <v/>
      </c>
    </row>
    <row r="265" customFormat="false" ht="15" hidden="false" customHeight="false" outlineLevel="0" collapsed="false">
      <c r="A265" s="13" t="s">
        <v>2293</v>
      </c>
      <c r="B265" s="13" t="s">
        <v>43</v>
      </c>
      <c r="C265" s="5" t="n">
        <f aca="false">SUMIFS('Dados Brutos'!$C:$C,'Dados Brutos'!$B:$B,A265,'Dados Brutos'!$T:$T,"SIENO")</f>
        <v>0</v>
      </c>
      <c r="D265" s="5" t="n">
        <f aca="false">SUMIFS('Dados Brutos'!$C:$C,'Dados Brutos'!$B:$B,A265,'Dados Brutos'!$T:$T,"BAGATELLE")</f>
        <v>0</v>
      </c>
      <c r="E265" s="5" t="n">
        <f aca="false">SUMIFS('Dados Brutos'!$C:$C,'Dados Brutos'!$B:$B,A265,'Dados Brutos'!$T:$T,"AUMA")</f>
        <v>140</v>
      </c>
      <c r="F265" s="5" t="n">
        <f aca="false">SUM(C265:E265)</f>
        <v>140</v>
      </c>
      <c r="G265" s="7" t="n">
        <f aca="false">SUMIF('Dados Brutos'!$B:$B,A265,'Dados Brutos'!$D:$D)</f>
        <v>1</v>
      </c>
      <c r="H265" s="7" t="n">
        <f aca="false">COUNTIF('Dados Brutos'!$B:$B,A265)</f>
        <v>1</v>
      </c>
      <c r="I265" s="16" t="n">
        <f aca="false">IFERROR(F265/G265,0)</f>
        <v>140</v>
      </c>
      <c r="J265" s="13" t="n">
        <f aca="false">(C265&gt;0)+(D265&gt;0)+(E265&gt;0)</f>
        <v>1</v>
      </c>
      <c r="K265" s="13" t="str">
        <f aca="false">IF(J265=3,"Sim","Não")</f>
        <v>Não</v>
      </c>
      <c r="L265" s="13" t="str">
        <f aca="false">IF(AND(I265&gt;=100,G265&gt;=100),"Sim","Não")</f>
        <v>Não</v>
      </c>
      <c r="M265" s="13" t="str">
        <f aca="false">IF(L265="Sim",SUMPRODUCT(($L$2:L265="Sim")*1),"")</f>
        <v/>
      </c>
    </row>
    <row r="266" customFormat="false" ht="15" hidden="false" customHeight="false" outlineLevel="0" collapsed="false">
      <c r="A266" s="13" t="s">
        <v>2294</v>
      </c>
      <c r="B266" s="13" t="s">
        <v>43</v>
      </c>
      <c r="C266" s="5" t="n">
        <f aca="false">SUMIFS('Dados Brutos'!$C:$C,'Dados Brutos'!$B:$B,A266,'Dados Brutos'!$T:$T,"SIENO")</f>
        <v>140</v>
      </c>
      <c r="D266" s="5" t="n">
        <f aca="false">SUMIFS('Dados Brutos'!$C:$C,'Dados Brutos'!$B:$B,A266,'Dados Brutos'!$T:$T,"BAGATELLE")</f>
        <v>0</v>
      </c>
      <c r="E266" s="5" t="n">
        <f aca="false">SUMIFS('Dados Brutos'!$C:$C,'Dados Brutos'!$B:$B,A266,'Dados Brutos'!$T:$T,"AUMA")</f>
        <v>0</v>
      </c>
      <c r="F266" s="5" t="n">
        <f aca="false">SUM(C266:E266)</f>
        <v>140</v>
      </c>
      <c r="G266" s="7" t="n">
        <f aca="false">SUMIF('Dados Brutos'!$B:$B,A266,'Dados Brutos'!$D:$D)</f>
        <v>2</v>
      </c>
      <c r="H266" s="7" t="n">
        <f aca="false">COUNTIF('Dados Brutos'!$B:$B,A266)</f>
        <v>1</v>
      </c>
      <c r="I266" s="16" t="n">
        <f aca="false">IFERROR(F266/G266,0)</f>
        <v>70</v>
      </c>
      <c r="J266" s="13" t="n">
        <f aca="false">(C266&gt;0)+(D266&gt;0)+(E266&gt;0)</f>
        <v>1</v>
      </c>
      <c r="K266" s="13" t="str">
        <f aca="false">IF(J266=3,"Sim","Não")</f>
        <v>Não</v>
      </c>
      <c r="L266" s="13" t="str">
        <f aca="false">IF(AND(I266&gt;=100,G266&gt;=100),"Sim","Não")</f>
        <v>Não</v>
      </c>
      <c r="M266" s="13" t="str">
        <f aca="false">IF(L266="Sim",SUMPRODUCT(($L$2:L266="Sim")*1),"")</f>
        <v/>
      </c>
    </row>
    <row r="267" customFormat="false" ht="15" hidden="false" customHeight="false" outlineLevel="0" collapsed="false">
      <c r="A267" s="13" t="s">
        <v>2295</v>
      </c>
      <c r="B267" s="13" t="s">
        <v>43</v>
      </c>
      <c r="C267" s="5" t="n">
        <f aca="false">SUMIFS('Dados Brutos'!$C:$C,'Dados Brutos'!$B:$B,A267,'Dados Brutos'!$T:$T,"SIENO")</f>
        <v>0</v>
      </c>
      <c r="D267" s="5" t="n">
        <f aca="false">SUMIFS('Dados Brutos'!$C:$C,'Dados Brutos'!$B:$B,A267,'Dados Brutos'!$T:$T,"BAGATELLE")</f>
        <v>140</v>
      </c>
      <c r="E267" s="5" t="n">
        <f aca="false">SUMIFS('Dados Brutos'!$C:$C,'Dados Brutos'!$B:$B,A267,'Dados Brutos'!$T:$T,"AUMA")</f>
        <v>0</v>
      </c>
      <c r="F267" s="5" t="n">
        <f aca="false">SUM(C267:E267)</f>
        <v>140</v>
      </c>
      <c r="G267" s="7" t="n">
        <f aca="false">SUMIF('Dados Brutos'!$B:$B,A267,'Dados Brutos'!$D:$D)</f>
        <v>1</v>
      </c>
      <c r="H267" s="7" t="n">
        <f aca="false">COUNTIF('Dados Brutos'!$B:$B,A267)</f>
        <v>1</v>
      </c>
      <c r="I267" s="16" t="n">
        <f aca="false">IFERROR(F267/G267,0)</f>
        <v>140</v>
      </c>
      <c r="J267" s="13" t="n">
        <f aca="false">(C267&gt;0)+(D267&gt;0)+(E267&gt;0)</f>
        <v>1</v>
      </c>
      <c r="K267" s="13" t="str">
        <f aca="false">IF(J267=3,"Sim","Não")</f>
        <v>Não</v>
      </c>
      <c r="L267" s="13" t="str">
        <f aca="false">IF(AND(I267&gt;=100,G267&gt;=100),"Sim","Não")</f>
        <v>Não</v>
      </c>
      <c r="M267" s="13" t="str">
        <f aca="false">IF(L267="Sim",SUMPRODUCT(($L$2:L267="Sim")*1),"")</f>
        <v/>
      </c>
    </row>
    <row r="268" customFormat="false" ht="15" hidden="false" customHeight="false" outlineLevel="0" collapsed="false">
      <c r="A268" s="13" t="s">
        <v>2296</v>
      </c>
      <c r="B268" s="13" t="s">
        <v>43</v>
      </c>
      <c r="C268" s="5" t="n">
        <f aca="false">SUMIFS('Dados Brutos'!$C:$C,'Dados Brutos'!$B:$B,A268,'Dados Brutos'!$T:$T,"SIENO")</f>
        <v>0</v>
      </c>
      <c r="D268" s="5" t="n">
        <f aca="false">SUMIFS('Dados Brutos'!$C:$C,'Dados Brutos'!$B:$B,A268,'Dados Brutos'!$T:$T,"BAGATELLE")</f>
        <v>0</v>
      </c>
      <c r="E268" s="5" t="n">
        <f aca="false">SUMIFS('Dados Brutos'!$C:$C,'Dados Brutos'!$B:$B,A268,'Dados Brutos'!$T:$T,"AUMA")</f>
        <v>130</v>
      </c>
      <c r="F268" s="5" t="n">
        <f aca="false">SUM(C268:E268)</f>
        <v>130</v>
      </c>
      <c r="G268" s="7" t="n">
        <f aca="false">SUMIF('Dados Brutos'!$B:$B,A268,'Dados Brutos'!$D:$D)</f>
        <v>2</v>
      </c>
      <c r="H268" s="7" t="n">
        <f aca="false">COUNTIF('Dados Brutos'!$B:$B,A268)</f>
        <v>2</v>
      </c>
      <c r="I268" s="16" t="n">
        <f aca="false">IFERROR(F268/G268,0)</f>
        <v>65</v>
      </c>
      <c r="J268" s="13" t="n">
        <f aca="false">(C268&gt;0)+(D268&gt;0)+(E268&gt;0)</f>
        <v>1</v>
      </c>
      <c r="K268" s="13" t="str">
        <f aca="false">IF(J268=3,"Sim","Não")</f>
        <v>Não</v>
      </c>
      <c r="L268" s="13" t="str">
        <f aca="false">IF(AND(I268&gt;=100,G268&gt;=100),"Sim","Não")</f>
        <v>Não</v>
      </c>
      <c r="M268" s="13" t="str">
        <f aca="false">IF(L268="Sim",SUMPRODUCT(($L$2:L268="Sim")*1),"")</f>
        <v/>
      </c>
    </row>
    <row r="269" customFormat="false" ht="15" hidden="false" customHeight="false" outlineLevel="0" collapsed="false">
      <c r="A269" s="13" t="s">
        <v>2297</v>
      </c>
      <c r="B269" s="13" t="s">
        <v>43</v>
      </c>
      <c r="C269" s="5" t="n">
        <f aca="false">SUMIFS('Dados Brutos'!$C:$C,'Dados Brutos'!$B:$B,A269,'Dados Brutos'!$T:$T,"SIENO")</f>
        <v>110</v>
      </c>
      <c r="D269" s="5" t="n">
        <f aca="false">SUMIFS('Dados Brutos'!$C:$C,'Dados Brutos'!$B:$B,A269,'Dados Brutos'!$T:$T,"BAGATELLE")</f>
        <v>0</v>
      </c>
      <c r="E269" s="5" t="n">
        <f aca="false">SUMIFS('Dados Brutos'!$C:$C,'Dados Brutos'!$B:$B,A269,'Dados Brutos'!$T:$T,"AUMA")</f>
        <v>0</v>
      </c>
      <c r="F269" s="5" t="n">
        <f aca="false">SUM(C269:E269)</f>
        <v>110</v>
      </c>
      <c r="G269" s="7" t="n">
        <f aca="false">SUMIF('Dados Brutos'!$B:$B,A269,'Dados Brutos'!$D:$D)</f>
        <v>1</v>
      </c>
      <c r="H269" s="7" t="n">
        <f aca="false">COUNTIF('Dados Brutos'!$B:$B,A269)</f>
        <v>1</v>
      </c>
      <c r="I269" s="16" t="n">
        <f aca="false">IFERROR(F269/G269,0)</f>
        <v>110</v>
      </c>
      <c r="J269" s="13" t="n">
        <f aca="false">(C269&gt;0)+(D269&gt;0)+(E269&gt;0)</f>
        <v>1</v>
      </c>
      <c r="K269" s="13" t="str">
        <f aca="false">IF(J269=3,"Sim","Não")</f>
        <v>Não</v>
      </c>
      <c r="L269" s="13" t="str">
        <f aca="false">IF(AND(I269&gt;=100,G269&gt;=100),"Sim","Não")</f>
        <v>Não</v>
      </c>
      <c r="M269" s="13" t="str">
        <f aca="false">IF(L269="Sim",SUMPRODUCT(($L$2:L269="Sim")*1),"")</f>
        <v/>
      </c>
    </row>
    <row r="270" customFormat="false" ht="15" hidden="false" customHeight="false" outlineLevel="0" collapsed="false">
      <c r="A270" s="13" t="s">
        <v>2298</v>
      </c>
      <c r="B270" s="13" t="s">
        <v>43</v>
      </c>
      <c r="C270" s="5" t="n">
        <f aca="false">SUMIFS('Dados Brutos'!$C:$C,'Dados Brutos'!$B:$B,A270,'Dados Brutos'!$T:$T,"SIENO")</f>
        <v>100</v>
      </c>
      <c r="D270" s="5" t="n">
        <f aca="false">SUMIFS('Dados Brutos'!$C:$C,'Dados Brutos'!$B:$B,A270,'Dados Brutos'!$T:$T,"BAGATELLE")</f>
        <v>0</v>
      </c>
      <c r="E270" s="5" t="n">
        <f aca="false">SUMIFS('Dados Brutos'!$C:$C,'Dados Brutos'!$B:$B,A270,'Dados Brutos'!$T:$T,"AUMA")</f>
        <v>0</v>
      </c>
      <c r="F270" s="5" t="n">
        <f aca="false">SUM(C270:E270)</f>
        <v>100</v>
      </c>
      <c r="G270" s="7" t="n">
        <f aca="false">SUMIF('Dados Brutos'!$B:$B,A270,'Dados Brutos'!$D:$D)</f>
        <v>1</v>
      </c>
      <c r="H270" s="7" t="n">
        <f aca="false">COUNTIF('Dados Brutos'!$B:$B,A270)</f>
        <v>1</v>
      </c>
      <c r="I270" s="16" t="n">
        <f aca="false">IFERROR(F270/G270,0)</f>
        <v>100</v>
      </c>
      <c r="J270" s="13" t="n">
        <f aca="false">(C270&gt;0)+(D270&gt;0)+(E270&gt;0)</f>
        <v>1</v>
      </c>
      <c r="K270" s="13" t="str">
        <f aca="false">IF(J270=3,"Sim","Não")</f>
        <v>Não</v>
      </c>
      <c r="L270" s="13" t="str">
        <f aca="false">IF(AND(I270&gt;=100,G270&gt;=100),"Sim","Não")</f>
        <v>Não</v>
      </c>
      <c r="M270" s="13" t="str">
        <f aca="false">IF(L270="Sim",SUMPRODUCT(($L$2:L270="Sim")*1),"")</f>
        <v/>
      </c>
    </row>
    <row r="271" customFormat="false" ht="15" hidden="false" customHeight="false" outlineLevel="0" collapsed="false">
      <c r="A271" s="13" t="s">
        <v>2299</v>
      </c>
      <c r="B271" s="13" t="s">
        <v>85</v>
      </c>
      <c r="C271" s="5" t="n">
        <f aca="false">SUMIFS('Dados Brutos'!$C:$C,'Dados Brutos'!$B:$B,A271,'Dados Brutos'!$T:$T,"SIENO")</f>
        <v>90</v>
      </c>
      <c r="D271" s="5" t="n">
        <f aca="false">SUMIFS('Dados Brutos'!$C:$C,'Dados Brutos'!$B:$B,A271,'Dados Brutos'!$T:$T,"BAGATELLE")</f>
        <v>0</v>
      </c>
      <c r="E271" s="5" t="n">
        <f aca="false">SUMIFS('Dados Brutos'!$C:$C,'Dados Brutos'!$B:$B,A271,'Dados Brutos'!$T:$T,"AUMA")</f>
        <v>0</v>
      </c>
      <c r="F271" s="5" t="n">
        <f aca="false">SUM(C271:E271)</f>
        <v>90</v>
      </c>
      <c r="G271" s="7" t="n">
        <f aca="false">SUMIF('Dados Brutos'!$B:$B,A271,'Dados Brutos'!$D:$D)</f>
        <v>1</v>
      </c>
      <c r="H271" s="7" t="n">
        <f aca="false">COUNTIF('Dados Brutos'!$B:$B,A271)</f>
        <v>1</v>
      </c>
      <c r="I271" s="16" t="n">
        <f aca="false">IFERROR(F271/G271,0)</f>
        <v>90</v>
      </c>
      <c r="J271" s="13" t="n">
        <f aca="false">(C271&gt;0)+(D271&gt;0)+(E271&gt;0)</f>
        <v>1</v>
      </c>
      <c r="K271" s="13" t="str">
        <f aca="false">IF(J271=3,"Sim","Não")</f>
        <v>Não</v>
      </c>
      <c r="L271" s="13" t="str">
        <f aca="false">IF(AND(I271&gt;=100,G271&gt;=100),"Sim","Não")</f>
        <v>Não</v>
      </c>
      <c r="M271" s="13" t="str">
        <f aca="false">IF(L271="Sim",SUMPRODUCT(($L$2:L271="Sim")*1),"")</f>
        <v/>
      </c>
    </row>
    <row r="272" customFormat="false" ht="15" hidden="false" customHeight="false" outlineLevel="0" collapsed="false">
      <c r="A272" s="13" t="s">
        <v>2300</v>
      </c>
      <c r="B272" s="13" t="s">
        <v>85</v>
      </c>
      <c r="C272" s="5" t="n">
        <f aca="false">SUMIFS('Dados Brutos'!$C:$C,'Dados Brutos'!$B:$B,A272,'Dados Brutos'!$T:$T,"SIENO")</f>
        <v>90</v>
      </c>
      <c r="D272" s="5" t="n">
        <f aca="false">SUMIFS('Dados Brutos'!$C:$C,'Dados Brutos'!$B:$B,A272,'Dados Brutos'!$T:$T,"BAGATELLE")</f>
        <v>0</v>
      </c>
      <c r="E272" s="5" t="n">
        <f aca="false">SUMIFS('Dados Brutos'!$C:$C,'Dados Brutos'!$B:$B,A272,'Dados Brutos'!$T:$T,"AUMA")</f>
        <v>0</v>
      </c>
      <c r="F272" s="5" t="n">
        <f aca="false">SUM(C272:E272)</f>
        <v>90</v>
      </c>
      <c r="G272" s="7" t="n">
        <f aca="false">SUMIF('Dados Brutos'!$B:$B,A272,'Dados Brutos'!$D:$D)</f>
        <v>5</v>
      </c>
      <c r="H272" s="7" t="n">
        <f aca="false">COUNTIF('Dados Brutos'!$B:$B,A272)</f>
        <v>1</v>
      </c>
      <c r="I272" s="16" t="n">
        <f aca="false">IFERROR(F272/G272,0)</f>
        <v>18</v>
      </c>
      <c r="J272" s="13" t="n">
        <f aca="false">(C272&gt;0)+(D272&gt;0)+(E272&gt;0)</f>
        <v>1</v>
      </c>
      <c r="K272" s="13" t="str">
        <f aca="false">IF(J272=3,"Sim","Não")</f>
        <v>Não</v>
      </c>
      <c r="L272" s="13" t="str">
        <f aca="false">IF(AND(I272&gt;=100,G272&gt;=100),"Sim","Não")</f>
        <v>Não</v>
      </c>
      <c r="M272" s="13" t="str">
        <f aca="false">IF(L272="Sim",SUMPRODUCT(($L$2:L272="Sim")*1),"")</f>
        <v/>
      </c>
    </row>
    <row r="273" customFormat="false" ht="15" hidden="false" customHeight="false" outlineLevel="0" collapsed="false">
      <c r="A273" s="13" t="s">
        <v>2301</v>
      </c>
      <c r="B273" s="13" t="s">
        <v>43</v>
      </c>
      <c r="C273" s="5" t="n">
        <f aca="false">SUMIFS('Dados Brutos'!$C:$C,'Dados Brutos'!$B:$B,A273,'Dados Brutos'!$T:$T,"SIENO")</f>
        <v>80</v>
      </c>
      <c r="D273" s="5" t="n">
        <f aca="false">SUMIFS('Dados Brutos'!$C:$C,'Dados Brutos'!$B:$B,A273,'Dados Brutos'!$T:$T,"BAGATELLE")</f>
        <v>0</v>
      </c>
      <c r="E273" s="5" t="n">
        <f aca="false">SUMIFS('Dados Brutos'!$C:$C,'Dados Brutos'!$B:$B,A273,'Dados Brutos'!$T:$T,"AUMA")</f>
        <v>0</v>
      </c>
      <c r="F273" s="5" t="n">
        <f aca="false">SUM(C273:E273)</f>
        <v>80</v>
      </c>
      <c r="G273" s="7" t="n">
        <f aca="false">SUMIF('Dados Brutos'!$B:$B,A273,'Dados Brutos'!$D:$D)</f>
        <v>1</v>
      </c>
      <c r="H273" s="7" t="n">
        <f aca="false">COUNTIF('Dados Brutos'!$B:$B,A273)</f>
        <v>1</v>
      </c>
      <c r="I273" s="16" t="n">
        <f aca="false">IFERROR(F273/G273,0)</f>
        <v>80</v>
      </c>
      <c r="J273" s="13" t="n">
        <f aca="false">(C273&gt;0)+(D273&gt;0)+(E273&gt;0)</f>
        <v>1</v>
      </c>
      <c r="K273" s="13" t="str">
        <f aca="false">IF(J273=3,"Sim","Não")</f>
        <v>Não</v>
      </c>
      <c r="L273" s="13" t="str">
        <f aca="false">IF(AND(I273&gt;=100,G273&gt;=100),"Sim","Não")</f>
        <v>Não</v>
      </c>
      <c r="M273" s="13" t="str">
        <f aca="false">IF(L273="Sim",SUMPRODUCT(($L$2:L273="Sim")*1),"")</f>
        <v/>
      </c>
    </row>
    <row r="274" customFormat="false" ht="15" hidden="false" customHeight="false" outlineLevel="0" collapsed="false">
      <c r="A274" s="13" t="s">
        <v>2302</v>
      </c>
      <c r="B274" s="13" t="s">
        <v>183</v>
      </c>
      <c r="C274" s="5" t="n">
        <f aca="false">SUMIFS('Dados Brutos'!$C:$C,'Dados Brutos'!$B:$B,A274,'Dados Brutos'!$T:$T,"SIENO")</f>
        <v>40</v>
      </c>
      <c r="D274" s="5" t="n">
        <f aca="false">SUMIFS('Dados Brutos'!$C:$C,'Dados Brutos'!$B:$B,A274,'Dados Brutos'!$T:$T,"BAGATELLE")</f>
        <v>0</v>
      </c>
      <c r="E274" s="5" t="n">
        <f aca="false">SUMIFS('Dados Brutos'!$C:$C,'Dados Brutos'!$B:$B,A274,'Dados Brutos'!$T:$T,"AUMA")</f>
        <v>0</v>
      </c>
      <c r="F274" s="5" t="n">
        <f aca="false">SUM(C274:E274)</f>
        <v>40</v>
      </c>
      <c r="G274" s="7" t="n">
        <f aca="false">SUMIF('Dados Brutos'!$B:$B,A274,'Dados Brutos'!$D:$D)</f>
        <v>1</v>
      </c>
      <c r="H274" s="7" t="n">
        <f aca="false">COUNTIF('Dados Brutos'!$B:$B,A274)</f>
        <v>1</v>
      </c>
      <c r="I274" s="16" t="n">
        <f aca="false">IFERROR(F274/G274,0)</f>
        <v>40</v>
      </c>
      <c r="J274" s="13" t="n">
        <f aca="false">(C274&gt;0)+(D274&gt;0)+(E274&gt;0)</f>
        <v>1</v>
      </c>
      <c r="K274" s="13" t="str">
        <f aca="false">IF(J274=3,"Sim","Não")</f>
        <v>Não</v>
      </c>
      <c r="L274" s="13" t="str">
        <f aca="false">IF(AND(I274&gt;=100,G274&gt;=100),"Sim","Não")</f>
        <v>Não</v>
      </c>
      <c r="M274" s="13" t="str">
        <f aca="false">IF(L274="Sim",SUMPRODUCT(($L$2:L274="Sim")*1),"")</f>
        <v/>
      </c>
    </row>
    <row r="275" customFormat="false" ht="15" hidden="false" customHeight="false" outlineLevel="0" collapsed="false">
      <c r="A275" s="13" t="s">
        <v>2303</v>
      </c>
      <c r="B275" s="13" t="s">
        <v>85</v>
      </c>
      <c r="C275" s="5" t="n">
        <f aca="false">SUMIFS('Dados Brutos'!$C:$C,'Dados Brutos'!$B:$B,A275,'Dados Brutos'!$T:$T,"SIENO")</f>
        <v>0</v>
      </c>
      <c r="D275" s="5" t="n">
        <f aca="false">SUMIFS('Dados Brutos'!$C:$C,'Dados Brutos'!$B:$B,A275,'Dados Brutos'!$T:$T,"BAGATELLE")</f>
        <v>0</v>
      </c>
      <c r="E275" s="5" t="n">
        <f aca="false">SUMIFS('Dados Brutos'!$C:$C,'Dados Brutos'!$B:$B,A275,'Dados Brutos'!$T:$T,"AUMA")</f>
        <v>40</v>
      </c>
      <c r="F275" s="5" t="n">
        <f aca="false">SUM(C275:E275)</f>
        <v>40</v>
      </c>
      <c r="G275" s="7" t="n">
        <f aca="false">SUMIF('Dados Brutos'!$B:$B,A275,'Dados Brutos'!$D:$D)</f>
        <v>1</v>
      </c>
      <c r="H275" s="7" t="n">
        <f aca="false">COUNTIF('Dados Brutos'!$B:$B,A275)</f>
        <v>1</v>
      </c>
      <c r="I275" s="16" t="n">
        <f aca="false">IFERROR(F275/G275,0)</f>
        <v>40</v>
      </c>
      <c r="J275" s="13" t="n">
        <f aca="false">(C275&gt;0)+(D275&gt;0)+(E275&gt;0)</f>
        <v>1</v>
      </c>
      <c r="K275" s="13" t="str">
        <f aca="false">IF(J275=3,"Sim","Não")</f>
        <v>Não</v>
      </c>
      <c r="L275" s="13" t="str">
        <f aca="false">IF(AND(I275&gt;=100,G275&gt;=100),"Sim","Não")</f>
        <v>Não</v>
      </c>
      <c r="M275" s="13" t="str">
        <f aca="false">IF(L275="Sim",SUMPRODUCT(($L$2:L275="Sim")*1),"")</f>
        <v/>
      </c>
    </row>
    <row r="276" customFormat="false" ht="15" hidden="false" customHeight="false" outlineLevel="0" collapsed="false">
      <c r="A276" s="13" t="s">
        <v>2304</v>
      </c>
      <c r="B276" s="13" t="s">
        <v>183</v>
      </c>
      <c r="C276" s="5" t="n">
        <f aca="false">SUMIFS('Dados Brutos'!$C:$C,'Dados Brutos'!$B:$B,A276,'Dados Brutos'!$T:$T,"SIENO")</f>
        <v>40</v>
      </c>
      <c r="D276" s="5" t="n">
        <f aca="false">SUMIFS('Dados Brutos'!$C:$C,'Dados Brutos'!$B:$B,A276,'Dados Brutos'!$T:$T,"BAGATELLE")</f>
        <v>0</v>
      </c>
      <c r="E276" s="5" t="n">
        <f aca="false">SUMIFS('Dados Brutos'!$C:$C,'Dados Brutos'!$B:$B,A276,'Dados Brutos'!$T:$T,"AUMA")</f>
        <v>0</v>
      </c>
      <c r="F276" s="5" t="n">
        <f aca="false">SUM(C276:E276)</f>
        <v>40</v>
      </c>
      <c r="G276" s="7" t="n">
        <f aca="false">SUMIF('Dados Brutos'!$B:$B,A276,'Dados Brutos'!$D:$D)</f>
        <v>1</v>
      </c>
      <c r="H276" s="7" t="n">
        <f aca="false">COUNTIF('Dados Brutos'!$B:$B,A276)</f>
        <v>1</v>
      </c>
      <c r="I276" s="16" t="n">
        <f aca="false">IFERROR(F276/G276,0)</f>
        <v>40</v>
      </c>
      <c r="J276" s="13" t="n">
        <f aca="false">(C276&gt;0)+(D276&gt;0)+(E276&gt;0)</f>
        <v>1</v>
      </c>
      <c r="K276" s="13" t="str">
        <f aca="false">IF(J276=3,"Sim","Não")</f>
        <v>Não</v>
      </c>
      <c r="L276" s="13" t="str">
        <f aca="false">IF(AND(I276&gt;=100,G276&gt;=100),"Sim","Não")</f>
        <v>Não</v>
      </c>
      <c r="M276" s="13" t="str">
        <f aca="false">IF(L276="Sim",SUMPRODUCT(($L$2:L276="Sim")*1),"")</f>
        <v/>
      </c>
    </row>
    <row r="277" customFormat="false" ht="15" hidden="false" customHeight="false" outlineLevel="0" collapsed="false">
      <c r="A277" s="4" t="s">
        <v>2305</v>
      </c>
      <c r="C277" s="6" t="n">
        <f aca="false">SUM(C2:C276)</f>
        <v>8228730</v>
      </c>
      <c r="D277" s="6" t="n">
        <f aca="false">SUM(D2:D276)</f>
        <v>3808650</v>
      </c>
      <c r="E277" s="6" t="n">
        <f aca="false">SUM(E2:E276)</f>
        <v>9294080</v>
      </c>
      <c r="F277" s="6" t="n">
        <f aca="false">SUM(F2:F276)</f>
        <v>21331460</v>
      </c>
      <c r="G277" s="8" t="n">
        <f aca="false">SUM(G2:G276)</f>
        <v>104250</v>
      </c>
      <c r="H277" s="8" t="n">
        <f aca="false">SUM(H2:H276)</f>
        <v>3988</v>
      </c>
      <c r="I277" s="18" t="n">
        <f aca="false">IFERROR(F277/G277,0)</f>
        <v>204.618321342926</v>
      </c>
    </row>
  </sheetData>
  <conditionalFormatting sqref="A2:L276">
    <cfRule type="expression" priority="2" aboveAverage="0" equalAverage="0" bottom="0" percent="0" rank="0" text="" dxfId="5">
      <formula>$K2="Sim"</formula>
    </cfRule>
    <cfRule type="expression" priority="3" aboveAverage="0" equalAverage="0" bottom="0" percent="0" rank="0" text="" dxfId="6">
      <formula>$L2="Sim"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15"/>
  </cols>
  <sheetData>
    <row r="1" customFormat="false" ht="23.85" hidden="false" customHeight="false" outlineLevel="0" collapsed="false">
      <c r="A1" s="15" t="s">
        <v>30</v>
      </c>
      <c r="B1" s="15" t="s">
        <v>2306</v>
      </c>
      <c r="C1" s="15" t="s">
        <v>7</v>
      </c>
      <c r="D1" s="15" t="s">
        <v>41</v>
      </c>
      <c r="E1" s="15" t="s">
        <v>2307</v>
      </c>
      <c r="F1" s="15" t="s">
        <v>36</v>
      </c>
      <c r="G1" s="15" t="s">
        <v>2308</v>
      </c>
    </row>
    <row r="2" customFormat="false" ht="15" hidden="false" customHeight="false" outlineLevel="0" collapsed="false">
      <c r="A2" s="13" t="s">
        <v>43</v>
      </c>
      <c r="B2" s="7" t="n">
        <f aca="false">SUMIFS('Dados Brutos'!$V:$V,'Dados Brutos'!$U:$U,A2)</f>
        <v>125</v>
      </c>
      <c r="C2" s="5" t="n">
        <f aca="false">SUMIF('Dados Brutos'!$U:$U,A2,'Dados Brutos'!$C:$C)</f>
        <v>15170130</v>
      </c>
      <c r="D2" s="7" t="n">
        <f aca="false">SUMIF('Dados Brutos'!$U:$U,A2,'Dados Brutos'!$D:$D)</f>
        <v>43229</v>
      </c>
      <c r="E2" s="7" t="n">
        <f aca="false">COUNTIF('Dados Brutos'!$U:$U,A2)</f>
        <v>3058</v>
      </c>
      <c r="F2" s="16" t="n">
        <f aca="false">IFERROR(C2/D2,0)</f>
        <v>350.924842119873</v>
      </c>
      <c r="G2" s="19" t="n">
        <f aca="false">IFERROR(C2/$C$15,0)</f>
        <v>0.711162292688827</v>
      </c>
    </row>
    <row r="3" customFormat="false" ht="15" hidden="false" customHeight="false" outlineLevel="0" collapsed="false">
      <c r="A3" s="13" t="s">
        <v>57</v>
      </c>
      <c r="B3" s="7" t="n">
        <f aca="false">SUMIFS('Dados Brutos'!$V:$V,'Dados Brutos'!$U:$U,A3)</f>
        <v>13</v>
      </c>
      <c r="C3" s="5" t="n">
        <f aca="false">SUMIF('Dados Brutos'!$U:$U,A3,'Dados Brutos'!$C:$C)</f>
        <v>1946030</v>
      </c>
      <c r="D3" s="7" t="n">
        <f aca="false">SUMIF('Dados Brutos'!$U:$U,A3,'Dados Brutos'!$D:$D)</f>
        <v>23460</v>
      </c>
      <c r="E3" s="7" t="n">
        <f aca="false">COUNTIF('Dados Brutos'!$U:$U,A3)</f>
        <v>45</v>
      </c>
      <c r="F3" s="16" t="n">
        <f aca="false">IFERROR(C3/D3,0)</f>
        <v>82.9509803921569</v>
      </c>
      <c r="G3" s="19" t="n">
        <f aca="false">IFERROR(C3/$C$15,0)</f>
        <v>0.0912281672234343</v>
      </c>
    </row>
    <row r="4" customFormat="false" ht="15" hidden="false" customHeight="false" outlineLevel="0" collapsed="false">
      <c r="A4" s="13" t="s">
        <v>85</v>
      </c>
      <c r="B4" s="7" t="n">
        <f aca="false">SUMIFS('Dados Brutos'!$V:$V,'Dados Brutos'!$U:$U,A4)</f>
        <v>75</v>
      </c>
      <c r="C4" s="5" t="n">
        <f aca="false">SUMIF('Dados Brutos'!$U:$U,A4,'Dados Brutos'!$C:$C)</f>
        <v>936200</v>
      </c>
      <c r="D4" s="7" t="n">
        <f aca="false">SUMIF('Dados Brutos'!$U:$U,A4,'Dados Brutos'!$D:$D)</f>
        <v>10368</v>
      </c>
      <c r="E4" s="7" t="n">
        <f aca="false">COUNTIF('Dados Brutos'!$U:$U,A4)</f>
        <v>464</v>
      </c>
      <c r="F4" s="16" t="n">
        <f aca="false">IFERROR(C4/D4,0)</f>
        <v>90.2970679012346</v>
      </c>
      <c r="G4" s="19" t="n">
        <f aca="false">IFERROR(C4/$C$15,0)</f>
        <v>0.0438882289351034</v>
      </c>
    </row>
    <row r="5" customFormat="false" ht="15" hidden="false" customHeight="false" outlineLevel="0" collapsed="false">
      <c r="A5" s="13" t="s">
        <v>66</v>
      </c>
      <c r="B5" s="7" t="n">
        <f aca="false">SUMIFS('Dados Brutos'!$V:$V,'Dados Brutos'!$U:$U,A5)</f>
        <v>5</v>
      </c>
      <c r="C5" s="5" t="n">
        <f aca="false">SUMIF('Dados Brutos'!$U:$U,A5,'Dados Brutos'!$C:$C)</f>
        <v>846880</v>
      </c>
      <c r="D5" s="7" t="n">
        <f aca="false">SUMIF('Dados Brutos'!$U:$U,A5,'Dados Brutos'!$D:$D)</f>
        <v>2987</v>
      </c>
      <c r="E5" s="7" t="n">
        <f aca="false">COUNTIF('Dados Brutos'!$U:$U,A5)</f>
        <v>44</v>
      </c>
      <c r="F5" s="16" t="n">
        <f aca="false">IFERROR(C5/D5,0)</f>
        <v>283.52192835621</v>
      </c>
      <c r="G5" s="19" t="n">
        <f aca="false">IFERROR(C5/$C$15,0)</f>
        <v>0.0397009862428545</v>
      </c>
    </row>
    <row r="6" customFormat="false" ht="15" hidden="false" customHeight="false" outlineLevel="0" collapsed="false">
      <c r="A6" s="13" t="s">
        <v>140</v>
      </c>
      <c r="B6" s="7" t="n">
        <f aca="false">SUMIFS('Dados Brutos'!$V:$V,'Dados Brutos'!$U:$U,A6)</f>
        <v>10</v>
      </c>
      <c r="C6" s="5" t="n">
        <f aca="false">SUMIF('Dados Brutos'!$U:$U,A6,'Dados Brutos'!$C:$C)</f>
        <v>723280</v>
      </c>
      <c r="D6" s="7" t="n">
        <f aca="false">SUMIF('Dados Brutos'!$U:$U,A6,'Dados Brutos'!$D:$D)</f>
        <v>10505</v>
      </c>
      <c r="E6" s="7" t="n">
        <f aca="false">COUNTIF('Dados Brutos'!$U:$U,A6)</f>
        <v>71</v>
      </c>
      <c r="F6" s="16" t="n">
        <f aca="false">IFERROR(C6/D6,0)</f>
        <v>68.8510233222275</v>
      </c>
      <c r="G6" s="19" t="n">
        <f aca="false">IFERROR(C6/$C$15,0)</f>
        <v>0.0339067274345028</v>
      </c>
    </row>
    <row r="7" customFormat="false" ht="15" hidden="false" customHeight="false" outlineLevel="0" collapsed="false">
      <c r="A7" s="13" t="s">
        <v>183</v>
      </c>
      <c r="B7" s="7" t="n">
        <f aca="false">SUMIFS('Dados Brutos'!$V:$V,'Dados Brutos'!$U:$U,A7)</f>
        <v>21</v>
      </c>
      <c r="C7" s="5" t="n">
        <f aca="false">SUMIF('Dados Brutos'!$U:$U,A7,'Dados Brutos'!$C:$C)</f>
        <v>501660</v>
      </c>
      <c r="D7" s="7" t="n">
        <f aca="false">SUMIF('Dados Brutos'!$U:$U,A7,'Dados Brutos'!$D:$D)</f>
        <v>4723</v>
      </c>
      <c r="E7" s="7" t="n">
        <f aca="false">COUNTIF('Dados Brutos'!$U:$U,A7)</f>
        <v>181</v>
      </c>
      <c r="F7" s="16" t="n">
        <f aca="false">IFERROR(C7/D7,0)</f>
        <v>106.216387889054</v>
      </c>
      <c r="G7" s="19" t="n">
        <f aca="false">IFERROR(C7/$C$15,0)</f>
        <v>0.0235173776197222</v>
      </c>
    </row>
    <row r="8" customFormat="false" ht="15" hidden="false" customHeight="false" outlineLevel="0" collapsed="false">
      <c r="A8" s="13" t="s">
        <v>98</v>
      </c>
      <c r="B8" s="7" t="n">
        <f aca="false">SUMIFS('Dados Brutos'!$V:$V,'Dados Brutos'!$U:$U,A8)</f>
        <v>8</v>
      </c>
      <c r="C8" s="5" t="n">
        <f aca="false">SUMIF('Dados Brutos'!$U:$U,A8,'Dados Brutos'!$C:$C)</f>
        <v>396480</v>
      </c>
      <c r="D8" s="7" t="n">
        <f aca="false">SUMIF('Dados Brutos'!$U:$U,A8,'Dados Brutos'!$D:$D)</f>
        <v>1926</v>
      </c>
      <c r="E8" s="7" t="n">
        <f aca="false">COUNTIF('Dados Brutos'!$U:$U,A8)</f>
        <v>31</v>
      </c>
      <c r="F8" s="16" t="n">
        <f aca="false">IFERROR(C8/D8,0)</f>
        <v>205.856697819315</v>
      </c>
      <c r="G8" s="19" t="n">
        <f aca="false">IFERROR(C8/$C$15,0)</f>
        <v>0.0185866321386347</v>
      </c>
    </row>
    <row r="9" customFormat="false" ht="15" hidden="false" customHeight="false" outlineLevel="0" collapsed="false">
      <c r="A9" s="13" t="s">
        <v>129</v>
      </c>
      <c r="B9" s="7" t="n">
        <f aca="false">SUMIFS('Dados Brutos'!$V:$V,'Dados Brutos'!$U:$U,A9)</f>
        <v>6</v>
      </c>
      <c r="C9" s="5" t="n">
        <f aca="false">SUMIF('Dados Brutos'!$U:$U,A9,'Dados Brutos'!$C:$C)</f>
        <v>231670</v>
      </c>
      <c r="D9" s="7" t="n">
        <f aca="false">SUMIF('Dados Brutos'!$U:$U,A9,'Dados Brutos'!$D:$D)</f>
        <v>1566</v>
      </c>
      <c r="E9" s="7" t="n">
        <f aca="false">COUNTIF('Dados Brutos'!$U:$U,A9)</f>
        <v>23</v>
      </c>
      <c r="F9" s="16" t="n">
        <f aca="false">IFERROR(C9/D9,0)</f>
        <v>147.9374201788</v>
      </c>
      <c r="G9" s="19" t="n">
        <f aca="false">IFERROR(C9/$C$15,0)</f>
        <v>0.0108604849363335</v>
      </c>
    </row>
    <row r="10" customFormat="false" ht="15" hidden="false" customHeight="false" outlineLevel="0" collapsed="false">
      <c r="A10" s="13" t="s">
        <v>144</v>
      </c>
      <c r="B10" s="7" t="n">
        <f aca="false">SUMIFS('Dados Brutos'!$V:$V,'Dados Brutos'!$U:$U,A10)</f>
        <v>6</v>
      </c>
      <c r="C10" s="5" t="n">
        <f aca="false">SUMIF('Dados Brutos'!$U:$U,A10,'Dados Brutos'!$C:$C)</f>
        <v>159630</v>
      </c>
      <c r="D10" s="7" t="n">
        <f aca="false">SUMIF('Dados Brutos'!$U:$U,A10,'Dados Brutos'!$D:$D)</f>
        <v>1666</v>
      </c>
      <c r="E10" s="7" t="n">
        <f aca="false">COUNTIF('Dados Brutos'!$U:$U,A10)</f>
        <v>17</v>
      </c>
      <c r="F10" s="16" t="n">
        <f aca="false">IFERROR(C10/D10,0)</f>
        <v>95.8163265306122</v>
      </c>
      <c r="G10" s="19" t="n">
        <f aca="false">IFERROR(C10/$C$15,0)</f>
        <v>0.00748331337845605</v>
      </c>
    </row>
    <row r="11" customFormat="false" ht="15" hidden="false" customHeight="false" outlineLevel="0" collapsed="false">
      <c r="A11" s="13" t="s">
        <v>82</v>
      </c>
      <c r="B11" s="7" t="n">
        <f aca="false">SUMIFS('Dados Brutos'!$V:$V,'Dados Brutos'!$U:$U,A11)</f>
        <v>2</v>
      </c>
      <c r="C11" s="5" t="n">
        <f aca="false">SUMIF('Dados Brutos'!$U:$U,A11,'Dados Brutos'!$C:$C)</f>
        <v>155300</v>
      </c>
      <c r="D11" s="7" t="n">
        <f aca="false">SUMIF('Dados Brutos'!$U:$U,A11,'Dados Brutos'!$D:$D)</f>
        <v>1790</v>
      </c>
      <c r="E11" s="7" t="n">
        <f aca="false">COUNTIF('Dados Brutos'!$U:$U,A11)</f>
        <v>5</v>
      </c>
      <c r="F11" s="16" t="n">
        <f aca="false">IFERROR(C11/D11,0)</f>
        <v>86.7597765363129</v>
      </c>
      <c r="G11" s="19" t="n">
        <f aca="false">IFERROR(C11/$C$15,0)</f>
        <v>0.00728032680369745</v>
      </c>
    </row>
    <row r="12" customFormat="false" ht="15" hidden="false" customHeight="false" outlineLevel="0" collapsed="false">
      <c r="A12" s="13" t="s">
        <v>180</v>
      </c>
      <c r="B12" s="7" t="n">
        <f aca="false">SUMIFS('Dados Brutos'!$V:$V,'Dados Brutos'!$U:$U,A12)</f>
        <v>1</v>
      </c>
      <c r="C12" s="5" t="n">
        <f aca="false">SUMIF('Dados Brutos'!$U:$U,A12,'Dados Brutos'!$C:$C)</f>
        <v>154520</v>
      </c>
      <c r="D12" s="7" t="n">
        <f aca="false">SUMIF('Dados Brutos'!$U:$U,A12,'Dados Brutos'!$D:$D)</f>
        <v>1033</v>
      </c>
      <c r="E12" s="7" t="n">
        <f aca="false">COUNTIF('Dados Brutos'!$U:$U,A12)</f>
        <v>38</v>
      </c>
      <c r="F12" s="16" t="n">
        <f aca="false">IFERROR(C12/D12,0)</f>
        <v>149.583736689255</v>
      </c>
      <c r="G12" s="19" t="n">
        <f aca="false">IFERROR(C12/$C$15,0)</f>
        <v>0.00724376109277096</v>
      </c>
    </row>
    <row r="13" customFormat="false" ht="15" hidden="false" customHeight="false" outlineLevel="0" collapsed="false">
      <c r="A13" s="13" t="s">
        <v>115</v>
      </c>
      <c r="B13" s="7" t="n">
        <f aca="false">SUMIFS('Dados Brutos'!$V:$V,'Dados Brutos'!$U:$U,A13)</f>
        <v>1</v>
      </c>
      <c r="C13" s="5" t="n">
        <f aca="false">SUMIF('Dados Brutos'!$U:$U,A13,'Dados Brutos'!$C:$C)</f>
        <v>77840</v>
      </c>
      <c r="D13" s="7" t="n">
        <f aca="false">SUMIF('Dados Brutos'!$U:$U,A13,'Dados Brutos'!$D:$D)</f>
        <v>766</v>
      </c>
      <c r="E13" s="7" t="n">
        <f aca="false">COUNTIF('Dados Brutos'!$U:$U,A13)</f>
        <v>8</v>
      </c>
      <c r="F13" s="16" t="n">
        <f aca="false">IFERROR(C13/D13,0)</f>
        <v>101.618798955614</v>
      </c>
      <c r="G13" s="19" t="n">
        <f aca="false">IFERROR(C13/$C$15,0)</f>
        <v>0.00364907043399749</v>
      </c>
    </row>
    <row r="14" customFormat="false" ht="15" hidden="false" customHeight="false" outlineLevel="0" collapsed="false">
      <c r="A14" s="13" t="s">
        <v>168</v>
      </c>
      <c r="B14" s="7" t="n">
        <f aca="false">SUMIFS('Dados Brutos'!$V:$V,'Dados Brutos'!$U:$U,A14)</f>
        <v>2</v>
      </c>
      <c r="C14" s="5" t="n">
        <f aca="false">SUMIF('Dados Brutos'!$U:$U,A14,'Dados Brutos'!$C:$C)</f>
        <v>31840</v>
      </c>
      <c r="D14" s="7" t="n">
        <f aca="false">SUMIF('Dados Brutos'!$U:$U,A14,'Dados Brutos'!$D:$D)</f>
        <v>231</v>
      </c>
      <c r="E14" s="7" t="n">
        <f aca="false">COUNTIF('Dados Brutos'!$U:$U,A14)</f>
        <v>3</v>
      </c>
      <c r="F14" s="16" t="n">
        <f aca="false">IFERROR(C14/D14,0)</f>
        <v>137.835497835498</v>
      </c>
      <c r="G14" s="19" t="n">
        <f aca="false">IFERROR(C14/$C$15,0)</f>
        <v>0.00149263107166598</v>
      </c>
    </row>
    <row r="15" customFormat="false" ht="15" hidden="false" customHeight="false" outlineLevel="0" collapsed="false">
      <c r="A15" s="4" t="s">
        <v>2305</v>
      </c>
      <c r="B15" s="8" t="n">
        <f aca="false">SUM(B2:B14)</f>
        <v>275</v>
      </c>
      <c r="C15" s="6" t="n">
        <f aca="false">SUM(C2:C14)</f>
        <v>21331460</v>
      </c>
      <c r="D15" s="8" t="n">
        <f aca="false">SUM(D2:D14)</f>
        <v>104250</v>
      </c>
      <c r="E15" s="8" t="n">
        <f aca="false">SUM(E2:E14)</f>
        <v>3988</v>
      </c>
      <c r="F15" s="18" t="n">
        <f aca="false">IFERROR(C15/D15,0)</f>
        <v>204.618321342926</v>
      </c>
      <c r="G15" s="20" t="n">
        <f aca="false">SUM(G2:G14)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18" hidden="false" customHeight="true" outlineLevel="0" collapsed="false">
      <c r="A1" s="14" t="s">
        <v>2309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8" hidden="false" customHeight="true" outlineLevel="0" collapsed="false">
      <c r="A2" s="2" t="s">
        <v>2310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6.25" hidden="false" customHeight="false" outlineLevel="0" collapsed="false">
      <c r="A4" s="15" t="s">
        <v>2311</v>
      </c>
      <c r="B4" s="15" t="s">
        <v>29</v>
      </c>
      <c r="C4" s="15" t="s">
        <v>30</v>
      </c>
      <c r="D4" s="15" t="s">
        <v>2312</v>
      </c>
      <c r="E4" s="15" t="s">
        <v>2313</v>
      </c>
      <c r="F4" s="15" t="s">
        <v>2314</v>
      </c>
      <c r="G4" s="15" t="s">
        <v>2315</v>
      </c>
      <c r="H4" s="15" t="s">
        <v>34</v>
      </c>
      <c r="I4" s="15" t="s">
        <v>35</v>
      </c>
      <c r="J4" s="15" t="s">
        <v>2316</v>
      </c>
      <c r="K4" s="15" t="s">
        <v>2317</v>
      </c>
      <c r="L4" s="15" t="s">
        <v>2318</v>
      </c>
      <c r="M4" s="15" t="s">
        <v>2319</v>
      </c>
      <c r="N4" s="15" t="s">
        <v>2320</v>
      </c>
    </row>
    <row r="5" customFormat="false" ht="15" hidden="false" customHeight="false" outlineLevel="0" collapsed="false">
      <c r="A5" s="13" t="s">
        <v>2321</v>
      </c>
      <c r="B5" s="13" t="s">
        <v>42</v>
      </c>
      <c r="C5" s="13" t="s">
        <v>43</v>
      </c>
      <c r="D5" s="13" t="s">
        <v>2322</v>
      </c>
      <c r="E5" s="13" t="s">
        <v>48</v>
      </c>
      <c r="F5" s="13" t="n">
        <v>2</v>
      </c>
      <c r="G5" s="13" t="n">
        <v>8</v>
      </c>
      <c r="H5" s="5" t="n">
        <v>522480</v>
      </c>
      <c r="I5" s="7" t="n">
        <v>811</v>
      </c>
      <c r="J5" s="16" t="n">
        <v>644.241676942047</v>
      </c>
      <c r="K5" s="16"/>
      <c r="L5" s="16" t="n">
        <v>633.968253968254</v>
      </c>
      <c r="M5" s="16" t="n">
        <v>656.486486486487</v>
      </c>
      <c r="N5" s="19" t="n">
        <v>0.0355194954594053</v>
      </c>
    </row>
    <row r="6" customFormat="false" ht="15" hidden="false" customHeight="false" outlineLevel="0" collapsed="false">
      <c r="A6" s="13" t="s">
        <v>2323</v>
      </c>
      <c r="B6" s="13" t="s">
        <v>2094</v>
      </c>
      <c r="C6" s="13" t="s">
        <v>57</v>
      </c>
      <c r="D6" s="13" t="s">
        <v>2324</v>
      </c>
      <c r="E6" s="13" t="s">
        <v>2325</v>
      </c>
      <c r="F6" s="13" t="n">
        <v>1</v>
      </c>
      <c r="G6" s="13" t="n">
        <v>2</v>
      </c>
      <c r="H6" s="5" t="n">
        <v>409000</v>
      </c>
      <c r="I6" s="7" t="n">
        <v>3800</v>
      </c>
      <c r="J6" s="16" t="n">
        <v>107.631578947368</v>
      </c>
      <c r="K6" s="16" t="n">
        <v>107.631578947368</v>
      </c>
      <c r="L6" s="16"/>
      <c r="M6" s="16"/>
      <c r="N6" s="19"/>
    </row>
    <row r="7" customFormat="false" ht="15" hidden="false" customHeight="false" outlineLevel="0" collapsed="false">
      <c r="A7" s="13" t="s">
        <v>2326</v>
      </c>
      <c r="B7" s="13" t="s">
        <v>50</v>
      </c>
      <c r="C7" s="13" t="s">
        <v>43</v>
      </c>
      <c r="D7" s="13" t="s">
        <v>2327</v>
      </c>
      <c r="E7" s="13" t="s">
        <v>52</v>
      </c>
      <c r="F7" s="13" t="n">
        <v>2</v>
      </c>
      <c r="G7" s="13" t="n">
        <v>8</v>
      </c>
      <c r="H7" s="5" t="n">
        <v>364890</v>
      </c>
      <c r="I7" s="7" t="n">
        <v>565</v>
      </c>
      <c r="J7" s="16" t="n">
        <v>645.823008849558</v>
      </c>
      <c r="K7" s="16"/>
      <c r="L7" s="16" t="n">
        <v>624.919093851133</v>
      </c>
      <c r="M7" s="16" t="n">
        <v>671.0546875</v>
      </c>
      <c r="N7" s="19" t="n">
        <v>0.0738265066675299</v>
      </c>
    </row>
    <row r="8" customFormat="false" ht="15" hidden="false" customHeight="false" outlineLevel="0" collapsed="false">
      <c r="A8" s="13" t="s">
        <v>2328</v>
      </c>
      <c r="B8" s="13" t="s">
        <v>45</v>
      </c>
      <c r="C8" s="13" t="s">
        <v>43</v>
      </c>
      <c r="D8" s="13" t="s">
        <v>2324</v>
      </c>
      <c r="E8" s="13" t="s">
        <v>49</v>
      </c>
      <c r="F8" s="13" t="n">
        <v>2</v>
      </c>
      <c r="G8" s="13" t="n">
        <v>6</v>
      </c>
      <c r="H8" s="5" t="n">
        <v>327100</v>
      </c>
      <c r="I8" s="7" t="n">
        <v>457</v>
      </c>
      <c r="J8" s="16" t="n">
        <v>715.754923413567</v>
      </c>
      <c r="K8" s="16"/>
      <c r="L8" s="16" t="n">
        <v>842.307692307692</v>
      </c>
      <c r="M8" s="16" t="n">
        <v>699.506172839506</v>
      </c>
      <c r="N8" s="19" t="n">
        <v>0.204146189144424</v>
      </c>
    </row>
    <row r="9" customFormat="false" ht="15" hidden="false" customHeight="false" outlineLevel="0" collapsed="false">
      <c r="A9" s="13" t="s">
        <v>2329</v>
      </c>
      <c r="B9" s="13" t="s">
        <v>45</v>
      </c>
      <c r="C9" s="13" t="s">
        <v>43</v>
      </c>
      <c r="D9" s="13" t="s">
        <v>2327</v>
      </c>
      <c r="E9" s="13" t="s">
        <v>46</v>
      </c>
      <c r="F9" s="13" t="n">
        <v>2</v>
      </c>
      <c r="G9" s="13" t="n">
        <v>6</v>
      </c>
      <c r="H9" s="5" t="n">
        <v>313400</v>
      </c>
      <c r="I9" s="7" t="n">
        <v>471</v>
      </c>
      <c r="J9" s="16" t="n">
        <v>665.392781316348</v>
      </c>
      <c r="K9" s="16"/>
      <c r="L9" s="16" t="n">
        <v>1071.42857142857</v>
      </c>
      <c r="M9" s="16" t="n">
        <v>659.26724137931</v>
      </c>
      <c r="N9" s="19" t="n">
        <v>0.625180964834446</v>
      </c>
    </row>
    <row r="10" customFormat="false" ht="15" hidden="false" customHeight="false" outlineLevel="0" collapsed="false">
      <c r="A10" s="13" t="s">
        <v>2330</v>
      </c>
      <c r="B10" s="13" t="s">
        <v>2094</v>
      </c>
      <c r="C10" s="13" t="s">
        <v>57</v>
      </c>
      <c r="D10" s="13" t="s">
        <v>2324</v>
      </c>
      <c r="E10" s="13" t="s">
        <v>2331</v>
      </c>
      <c r="F10" s="13" t="n">
        <v>1</v>
      </c>
      <c r="G10" s="13" t="n">
        <v>2</v>
      </c>
      <c r="H10" s="5" t="n">
        <v>293000</v>
      </c>
      <c r="I10" s="7" t="n">
        <v>3100</v>
      </c>
      <c r="J10" s="16" t="n">
        <v>94.5161290322581</v>
      </c>
      <c r="K10" s="16" t="n">
        <v>94.5161290322581</v>
      </c>
      <c r="L10" s="16"/>
      <c r="M10" s="16"/>
      <c r="N10" s="19"/>
    </row>
    <row r="11" customFormat="false" ht="15" hidden="false" customHeight="false" outlineLevel="0" collapsed="false">
      <c r="A11" s="13" t="s">
        <v>2332</v>
      </c>
      <c r="B11" s="13" t="s">
        <v>42</v>
      </c>
      <c r="C11" s="13" t="s">
        <v>43</v>
      </c>
      <c r="D11" s="13" t="s">
        <v>2324</v>
      </c>
      <c r="E11" s="13" t="s">
        <v>47</v>
      </c>
      <c r="F11" s="13" t="n">
        <v>1</v>
      </c>
      <c r="G11" s="13" t="n">
        <v>3</v>
      </c>
      <c r="H11" s="5" t="n">
        <v>282990</v>
      </c>
      <c r="I11" s="7" t="n">
        <v>483</v>
      </c>
      <c r="J11" s="16" t="n">
        <v>585.900621118012</v>
      </c>
      <c r="K11" s="16"/>
      <c r="L11" s="16" t="n">
        <v>585.900621118012</v>
      </c>
      <c r="M11" s="16"/>
      <c r="N11" s="19"/>
    </row>
    <row r="12" customFormat="false" ht="15" hidden="false" customHeight="false" outlineLevel="0" collapsed="false">
      <c r="A12" s="13" t="s">
        <v>2333</v>
      </c>
      <c r="B12" s="13" t="s">
        <v>50</v>
      </c>
      <c r="C12" s="13" t="s">
        <v>43</v>
      </c>
      <c r="D12" s="13" t="s">
        <v>2324</v>
      </c>
      <c r="E12" s="13" t="s">
        <v>71</v>
      </c>
      <c r="F12" s="13" t="n">
        <v>2</v>
      </c>
      <c r="G12" s="13" t="n">
        <v>7</v>
      </c>
      <c r="H12" s="5" t="n">
        <v>222200</v>
      </c>
      <c r="I12" s="7" t="n">
        <v>324</v>
      </c>
      <c r="J12" s="16" t="n">
        <v>685.802469135802</v>
      </c>
      <c r="K12" s="16"/>
      <c r="L12" s="16" t="n">
        <v>797.101449275362</v>
      </c>
      <c r="M12" s="16" t="n">
        <v>655.686274509804</v>
      </c>
      <c r="N12" s="19" t="n">
        <v>0.215675057208238</v>
      </c>
    </row>
    <row r="13" customFormat="false" ht="15" hidden="false" customHeight="false" outlineLevel="0" collapsed="false">
      <c r="A13" s="13" t="s">
        <v>2334</v>
      </c>
      <c r="B13" s="13" t="s">
        <v>50</v>
      </c>
      <c r="C13" s="13" t="s">
        <v>43</v>
      </c>
      <c r="D13" s="13" t="s">
        <v>2327</v>
      </c>
      <c r="E13" s="13" t="s">
        <v>51</v>
      </c>
      <c r="F13" s="13" t="n">
        <v>2</v>
      </c>
      <c r="G13" s="13" t="n">
        <v>3</v>
      </c>
      <c r="H13" s="5" t="n">
        <v>202100</v>
      </c>
      <c r="I13" s="7" t="n">
        <v>302</v>
      </c>
      <c r="J13" s="16" t="n">
        <v>669.205298013245</v>
      </c>
      <c r="K13" s="16"/>
      <c r="L13" s="16" t="n">
        <v>700</v>
      </c>
      <c r="M13" s="16" t="n">
        <v>669</v>
      </c>
      <c r="N13" s="19" t="n">
        <v>0.0463378176382661</v>
      </c>
    </row>
    <row r="14" customFormat="false" ht="15" hidden="false" customHeight="false" outlineLevel="0" collapsed="false">
      <c r="A14" s="13" t="s">
        <v>2335</v>
      </c>
      <c r="B14" s="13" t="s">
        <v>2094</v>
      </c>
      <c r="C14" s="13" t="s">
        <v>57</v>
      </c>
      <c r="D14" s="13" t="s">
        <v>2324</v>
      </c>
      <c r="E14" s="13" t="s">
        <v>58</v>
      </c>
      <c r="F14" s="13" t="n">
        <v>1</v>
      </c>
      <c r="G14" s="13" t="n">
        <v>2</v>
      </c>
      <c r="H14" s="5" t="n">
        <v>185800</v>
      </c>
      <c r="I14" s="7" t="n">
        <v>1410</v>
      </c>
      <c r="J14" s="16" t="n">
        <v>131.77304964539</v>
      </c>
      <c r="K14" s="16" t="n">
        <v>131.77304964539</v>
      </c>
      <c r="L14" s="16"/>
      <c r="M14" s="16"/>
      <c r="N14" s="19"/>
    </row>
    <row r="15" customFormat="false" ht="15" hidden="false" customHeight="false" outlineLevel="0" collapsed="false">
      <c r="A15" s="13" t="s">
        <v>2336</v>
      </c>
      <c r="B15" s="13" t="s">
        <v>72</v>
      </c>
      <c r="C15" s="13" t="s">
        <v>43</v>
      </c>
      <c r="D15" s="13" t="s">
        <v>2337</v>
      </c>
      <c r="E15" s="13" t="s">
        <v>419</v>
      </c>
      <c r="F15" s="13" t="n">
        <v>2</v>
      </c>
      <c r="G15" s="13" t="n">
        <v>6</v>
      </c>
      <c r="H15" s="5" t="n">
        <v>174200</v>
      </c>
      <c r="I15" s="7" t="n">
        <v>227</v>
      </c>
      <c r="J15" s="16" t="n">
        <v>767.400881057269</v>
      </c>
      <c r="K15" s="16" t="n">
        <v>660</v>
      </c>
      <c r="L15" s="16"/>
      <c r="M15" s="16" t="n">
        <v>797.74011299435</v>
      </c>
      <c r="N15" s="19" t="n">
        <v>0.208697140900531</v>
      </c>
    </row>
    <row r="16" customFormat="false" ht="15" hidden="false" customHeight="false" outlineLevel="0" collapsed="false">
      <c r="A16" s="13" t="s">
        <v>2338</v>
      </c>
      <c r="B16" s="13" t="s">
        <v>50</v>
      </c>
      <c r="C16" s="13" t="s">
        <v>43</v>
      </c>
      <c r="D16" s="13" t="s">
        <v>2339</v>
      </c>
      <c r="E16" s="13" t="s">
        <v>52</v>
      </c>
      <c r="F16" s="13" t="n">
        <v>2</v>
      </c>
      <c r="G16" s="13" t="n">
        <v>7</v>
      </c>
      <c r="H16" s="5" t="n">
        <v>167280</v>
      </c>
      <c r="I16" s="7" t="n">
        <v>346</v>
      </c>
      <c r="J16" s="16" t="n">
        <v>483.468208092486</v>
      </c>
      <c r="K16" s="16"/>
      <c r="L16" s="16" t="n">
        <v>481.560283687943</v>
      </c>
      <c r="M16" s="16" t="n">
        <v>491.875</v>
      </c>
      <c r="N16" s="19" t="n">
        <v>0.0214193667157585</v>
      </c>
    </row>
    <row r="17" customFormat="false" ht="15" hidden="false" customHeight="false" outlineLevel="0" collapsed="false">
      <c r="A17" s="13" t="s">
        <v>2340</v>
      </c>
      <c r="B17" s="13" t="s">
        <v>42</v>
      </c>
      <c r="C17" s="13" t="s">
        <v>43</v>
      </c>
      <c r="D17" s="13" t="s">
        <v>2324</v>
      </c>
      <c r="E17" s="13" t="s">
        <v>53</v>
      </c>
      <c r="F17" s="13" t="n">
        <v>1</v>
      </c>
      <c r="G17" s="13" t="n">
        <v>2</v>
      </c>
      <c r="H17" s="5" t="n">
        <v>151200</v>
      </c>
      <c r="I17" s="7" t="n">
        <v>262</v>
      </c>
      <c r="J17" s="16" t="n">
        <v>577.099236641221</v>
      </c>
      <c r="K17" s="16"/>
      <c r="L17" s="16"/>
      <c r="M17" s="16" t="n">
        <v>577.099236641221</v>
      </c>
      <c r="N17" s="19"/>
    </row>
    <row r="18" customFormat="false" ht="15" hidden="false" customHeight="false" outlineLevel="0" collapsed="false">
      <c r="A18" s="13" t="s">
        <v>2341</v>
      </c>
      <c r="B18" s="13" t="s">
        <v>54</v>
      </c>
      <c r="C18" s="13" t="s">
        <v>43</v>
      </c>
      <c r="D18" s="13" t="s">
        <v>2324</v>
      </c>
      <c r="E18" s="13" t="s">
        <v>55</v>
      </c>
      <c r="F18" s="13" t="n">
        <v>1</v>
      </c>
      <c r="G18" s="13" t="n">
        <v>2</v>
      </c>
      <c r="H18" s="5" t="n">
        <v>147500</v>
      </c>
      <c r="I18" s="7" t="n">
        <v>485</v>
      </c>
      <c r="J18" s="16" t="n">
        <v>304.123711340206</v>
      </c>
      <c r="K18" s="16"/>
      <c r="L18" s="16"/>
      <c r="M18" s="16" t="n">
        <v>304.123711340206</v>
      </c>
      <c r="N18" s="19"/>
    </row>
    <row r="19" customFormat="false" ht="15" hidden="false" customHeight="false" outlineLevel="0" collapsed="false">
      <c r="A19" s="13" t="s">
        <v>2342</v>
      </c>
      <c r="B19" s="13" t="s">
        <v>50</v>
      </c>
      <c r="C19" s="13" t="s">
        <v>43</v>
      </c>
      <c r="D19" s="13" t="s">
        <v>2324</v>
      </c>
      <c r="E19" s="13" t="s">
        <v>64</v>
      </c>
      <c r="F19" s="13" t="n">
        <v>2</v>
      </c>
      <c r="G19" s="13" t="n">
        <v>9</v>
      </c>
      <c r="H19" s="5" t="n">
        <v>147070</v>
      </c>
      <c r="I19" s="7" t="n">
        <v>208</v>
      </c>
      <c r="J19" s="16" t="n">
        <v>707.067307692308</v>
      </c>
      <c r="K19" s="16"/>
      <c r="L19" s="16" t="n">
        <v>781.666666666667</v>
      </c>
      <c r="M19" s="16" t="n">
        <v>684.6875</v>
      </c>
      <c r="N19" s="19" t="n">
        <v>0.141640042598509</v>
      </c>
    </row>
    <row r="20" customFormat="false" ht="15" hidden="false" customHeight="false" outlineLevel="0" collapsed="false">
      <c r="A20" s="13" t="s">
        <v>2343</v>
      </c>
      <c r="B20" s="13" t="s">
        <v>42</v>
      </c>
      <c r="C20" s="13" t="s">
        <v>43</v>
      </c>
      <c r="D20" s="13" t="s">
        <v>2327</v>
      </c>
      <c r="E20" s="13" t="s">
        <v>89</v>
      </c>
      <c r="F20" s="13" t="n">
        <v>2</v>
      </c>
      <c r="G20" s="13" t="n">
        <v>5</v>
      </c>
      <c r="H20" s="5" t="n">
        <v>138040</v>
      </c>
      <c r="I20" s="7" t="n">
        <v>206</v>
      </c>
      <c r="J20" s="16" t="n">
        <v>670.097087378641</v>
      </c>
      <c r="K20" s="16"/>
      <c r="L20" s="16" t="n">
        <v>651.842105263158</v>
      </c>
      <c r="M20" s="16" t="n">
        <v>680.769230769231</v>
      </c>
      <c r="N20" s="19" t="n">
        <v>0.0443775038042296</v>
      </c>
    </row>
    <row r="21" customFormat="false" ht="15" hidden="false" customHeight="false" outlineLevel="0" collapsed="false">
      <c r="A21" s="13" t="s">
        <v>2344</v>
      </c>
      <c r="B21" s="13" t="s">
        <v>2097</v>
      </c>
      <c r="C21" s="13" t="s">
        <v>140</v>
      </c>
      <c r="D21" s="13" t="s">
        <v>2324</v>
      </c>
      <c r="E21" s="13" t="s">
        <v>2345</v>
      </c>
      <c r="F21" s="13" t="n">
        <v>1</v>
      </c>
      <c r="G21" s="13" t="n">
        <v>2</v>
      </c>
      <c r="H21" s="5" t="n">
        <v>137900</v>
      </c>
      <c r="I21" s="7" t="n">
        <v>2300</v>
      </c>
      <c r="J21" s="16" t="n">
        <v>59.9565217391304</v>
      </c>
      <c r="K21" s="16" t="n">
        <v>59.9565217391304</v>
      </c>
      <c r="L21" s="16"/>
      <c r="M21" s="16"/>
      <c r="N21" s="19"/>
    </row>
    <row r="22" customFormat="false" ht="15" hidden="false" customHeight="false" outlineLevel="0" collapsed="false">
      <c r="A22" s="13" t="s">
        <v>2346</v>
      </c>
      <c r="B22" s="13" t="s">
        <v>50</v>
      </c>
      <c r="C22" s="13" t="s">
        <v>43</v>
      </c>
      <c r="D22" s="13" t="s">
        <v>2327</v>
      </c>
      <c r="E22" s="13" t="s">
        <v>63</v>
      </c>
      <c r="F22" s="13" t="n">
        <v>2</v>
      </c>
      <c r="G22" s="13" t="n">
        <v>9</v>
      </c>
      <c r="H22" s="5" t="n">
        <v>137680</v>
      </c>
      <c r="I22" s="7" t="n">
        <v>173</v>
      </c>
      <c r="J22" s="16" t="n">
        <v>795.838150289017</v>
      </c>
      <c r="K22" s="16"/>
      <c r="L22" s="16" t="n">
        <v>940</v>
      </c>
      <c r="M22" s="16" t="n">
        <v>794.152046783626</v>
      </c>
      <c r="N22" s="19" t="n">
        <v>0.183652430044183</v>
      </c>
    </row>
    <row r="23" customFormat="false" ht="15" hidden="false" customHeight="false" outlineLevel="0" collapsed="false">
      <c r="A23" s="13" t="s">
        <v>2347</v>
      </c>
      <c r="B23" s="13" t="s">
        <v>45</v>
      </c>
      <c r="C23" s="13" t="s">
        <v>43</v>
      </c>
      <c r="D23" s="13" t="s">
        <v>2324</v>
      </c>
      <c r="E23" s="13" t="s">
        <v>46</v>
      </c>
      <c r="F23" s="13" t="n">
        <v>2</v>
      </c>
      <c r="G23" s="13" t="n">
        <v>7</v>
      </c>
      <c r="H23" s="5" t="n">
        <v>137180</v>
      </c>
      <c r="I23" s="7" t="n">
        <v>288</v>
      </c>
      <c r="J23" s="16" t="n">
        <v>476.319444444445</v>
      </c>
      <c r="K23" s="16"/>
      <c r="L23" s="16" t="n">
        <v>646.666666666667</v>
      </c>
      <c r="M23" s="16" t="n">
        <v>474.526315789474</v>
      </c>
      <c r="N23" s="19" t="n">
        <v>0.362762496302869</v>
      </c>
    </row>
    <row r="24" customFormat="false" ht="15" hidden="false" customHeight="false" outlineLevel="0" collapsed="false">
      <c r="A24" s="13" t="s">
        <v>2348</v>
      </c>
      <c r="B24" s="13" t="s">
        <v>69</v>
      </c>
      <c r="C24" s="13" t="s">
        <v>43</v>
      </c>
      <c r="D24" s="13" t="s">
        <v>2324</v>
      </c>
      <c r="E24" s="13" t="s">
        <v>78</v>
      </c>
      <c r="F24" s="13" t="n">
        <v>1</v>
      </c>
      <c r="G24" s="13" t="n">
        <v>4</v>
      </c>
      <c r="H24" s="5" t="n">
        <v>123100</v>
      </c>
      <c r="I24" s="7" t="n">
        <v>144</v>
      </c>
      <c r="J24" s="16" t="n">
        <v>854.861111111111</v>
      </c>
      <c r="K24" s="16"/>
      <c r="L24" s="16"/>
      <c r="M24" s="16" t="n">
        <v>854.861111111111</v>
      </c>
      <c r="N24" s="19"/>
    </row>
    <row r="25" customFormat="false" ht="15" hidden="false" customHeight="false" outlineLevel="0" collapsed="false">
      <c r="A25" s="13" t="s">
        <v>2349</v>
      </c>
      <c r="B25" s="13" t="s">
        <v>2098</v>
      </c>
      <c r="C25" s="13" t="s">
        <v>57</v>
      </c>
      <c r="D25" s="13" t="s">
        <v>2324</v>
      </c>
      <c r="E25" s="13" t="s">
        <v>2350</v>
      </c>
      <c r="F25" s="13" t="n">
        <v>1</v>
      </c>
      <c r="G25" s="13" t="n">
        <v>2</v>
      </c>
      <c r="H25" s="5" t="n">
        <v>122270</v>
      </c>
      <c r="I25" s="7" t="n">
        <v>1802</v>
      </c>
      <c r="J25" s="16" t="n">
        <v>67.8523862375139</v>
      </c>
      <c r="K25" s="16" t="n">
        <v>67.8523862375139</v>
      </c>
      <c r="L25" s="16"/>
      <c r="M25" s="16"/>
      <c r="N25" s="19"/>
    </row>
    <row r="26" customFormat="false" ht="15" hidden="false" customHeight="false" outlineLevel="0" collapsed="false">
      <c r="A26" s="13" t="s">
        <v>2351</v>
      </c>
      <c r="B26" s="13" t="s">
        <v>2094</v>
      </c>
      <c r="C26" s="13" t="s">
        <v>57</v>
      </c>
      <c r="D26" s="13" t="s">
        <v>2324</v>
      </c>
      <c r="E26" s="13" t="s">
        <v>2352</v>
      </c>
      <c r="F26" s="13" t="n">
        <v>1</v>
      </c>
      <c r="G26" s="13" t="n">
        <v>1</v>
      </c>
      <c r="H26" s="5" t="n">
        <v>121000</v>
      </c>
      <c r="I26" s="7" t="n">
        <v>1700</v>
      </c>
      <c r="J26" s="16" t="n">
        <v>71.1764705882353</v>
      </c>
      <c r="K26" s="16" t="n">
        <v>71.1764705882353</v>
      </c>
      <c r="L26" s="16"/>
      <c r="M26" s="16"/>
      <c r="N26" s="19"/>
    </row>
    <row r="27" customFormat="false" ht="15" hidden="false" customHeight="false" outlineLevel="0" collapsed="false">
      <c r="A27" s="13" t="s">
        <v>2353</v>
      </c>
      <c r="B27" s="13" t="s">
        <v>61</v>
      </c>
      <c r="C27" s="13" t="s">
        <v>43</v>
      </c>
      <c r="D27" s="13" t="s">
        <v>2324</v>
      </c>
      <c r="E27" s="13" t="s">
        <v>62</v>
      </c>
      <c r="F27" s="13" t="n">
        <v>1</v>
      </c>
      <c r="G27" s="13" t="n">
        <v>5</v>
      </c>
      <c r="H27" s="5" t="n">
        <v>118880</v>
      </c>
      <c r="I27" s="7" t="n">
        <v>170</v>
      </c>
      <c r="J27" s="16" t="n">
        <v>699.294117647059</v>
      </c>
      <c r="K27" s="16"/>
      <c r="L27" s="16"/>
      <c r="M27" s="16" t="n">
        <v>699.294117647059</v>
      </c>
      <c r="N27" s="19"/>
    </row>
    <row r="28" customFormat="false" ht="15" hidden="false" customHeight="false" outlineLevel="0" collapsed="false">
      <c r="A28" s="13" t="s">
        <v>2354</v>
      </c>
      <c r="B28" s="13" t="s">
        <v>54</v>
      </c>
      <c r="C28" s="13" t="s">
        <v>43</v>
      </c>
      <c r="D28" s="13" t="s">
        <v>2324</v>
      </c>
      <c r="E28" s="13" t="s">
        <v>90</v>
      </c>
      <c r="F28" s="13" t="n">
        <v>1</v>
      </c>
      <c r="G28" s="13" t="n">
        <v>5</v>
      </c>
      <c r="H28" s="5" t="n">
        <v>115890</v>
      </c>
      <c r="I28" s="7" t="n">
        <v>372</v>
      </c>
      <c r="J28" s="16" t="n">
        <v>311.532258064516</v>
      </c>
      <c r="K28" s="16"/>
      <c r="L28" s="16"/>
      <c r="M28" s="16" t="n">
        <v>311.532258064516</v>
      </c>
      <c r="N28" s="19"/>
    </row>
    <row r="29" customFormat="false" ht="15" hidden="false" customHeight="false" outlineLevel="0" collapsed="false">
      <c r="A29" s="13" t="s">
        <v>2355</v>
      </c>
      <c r="B29" s="13" t="s">
        <v>2099</v>
      </c>
      <c r="C29" s="13" t="s">
        <v>43</v>
      </c>
      <c r="D29" s="13" t="s">
        <v>2324</v>
      </c>
      <c r="E29" s="13" t="s">
        <v>2356</v>
      </c>
      <c r="F29" s="13" t="n">
        <v>1</v>
      </c>
      <c r="G29" s="13" t="n">
        <v>2</v>
      </c>
      <c r="H29" s="5" t="n">
        <v>110500</v>
      </c>
      <c r="I29" s="7" t="n">
        <v>4960</v>
      </c>
      <c r="J29" s="16" t="n">
        <v>22.2782258064516</v>
      </c>
      <c r="K29" s="16" t="n">
        <v>22.2782258064516</v>
      </c>
      <c r="L29" s="16"/>
      <c r="M29" s="16"/>
      <c r="N29" s="19"/>
    </row>
    <row r="30" customFormat="false" ht="15" hidden="false" customHeight="false" outlineLevel="0" collapsed="false">
      <c r="A30" s="13" t="s">
        <v>2357</v>
      </c>
      <c r="B30" s="13" t="s">
        <v>69</v>
      </c>
      <c r="C30" s="13" t="s">
        <v>43</v>
      </c>
      <c r="D30" s="13" t="s">
        <v>2324</v>
      </c>
      <c r="E30" s="13" t="s">
        <v>76</v>
      </c>
      <c r="F30" s="13" t="n">
        <v>2</v>
      </c>
      <c r="G30" s="13" t="n">
        <v>3</v>
      </c>
      <c r="H30" s="5" t="n">
        <v>108800</v>
      </c>
      <c r="I30" s="7" t="n">
        <v>152</v>
      </c>
      <c r="J30" s="16" t="n">
        <v>715.789473684211</v>
      </c>
      <c r="K30" s="16" t="n">
        <v>707.692307692308</v>
      </c>
      <c r="L30" s="16"/>
      <c r="M30" s="16" t="n">
        <v>763.636363636364</v>
      </c>
      <c r="N30" s="19" t="n">
        <v>0.0790513833992094</v>
      </c>
    </row>
    <row r="31" customFormat="false" ht="15" hidden="false" customHeight="false" outlineLevel="0" collapsed="false">
      <c r="A31" s="13" t="s">
        <v>2358</v>
      </c>
      <c r="B31" s="13" t="s">
        <v>50</v>
      </c>
      <c r="C31" s="13" t="s">
        <v>43</v>
      </c>
      <c r="D31" s="13" t="s">
        <v>2327</v>
      </c>
      <c r="E31" s="13" t="s">
        <v>1326</v>
      </c>
      <c r="F31" s="13" t="n">
        <v>2</v>
      </c>
      <c r="G31" s="13" t="n">
        <v>4</v>
      </c>
      <c r="H31" s="5" t="n">
        <v>103660</v>
      </c>
      <c r="I31" s="7" t="n">
        <v>134</v>
      </c>
      <c r="J31" s="16" t="n">
        <v>773.582089552239</v>
      </c>
      <c r="K31" s="16"/>
      <c r="L31" s="16" t="n">
        <v>830</v>
      </c>
      <c r="M31" s="16" t="n">
        <v>772.727272727273</v>
      </c>
      <c r="N31" s="19" t="n">
        <v>0.0741176470588235</v>
      </c>
    </row>
    <row r="32" customFormat="false" ht="15" hidden="false" customHeight="false" outlineLevel="0" collapsed="false">
      <c r="A32" s="13" t="s">
        <v>2359</v>
      </c>
      <c r="B32" s="13" t="s">
        <v>50</v>
      </c>
      <c r="C32" s="13" t="s">
        <v>43</v>
      </c>
      <c r="D32" s="13" t="s">
        <v>2360</v>
      </c>
      <c r="E32" s="13" t="s">
        <v>77</v>
      </c>
      <c r="F32" s="13" t="n">
        <v>2</v>
      </c>
      <c r="G32" s="13" t="n">
        <v>5</v>
      </c>
      <c r="H32" s="5" t="n">
        <v>101100</v>
      </c>
      <c r="I32" s="7" t="n">
        <v>173</v>
      </c>
      <c r="J32" s="16" t="n">
        <v>584.393063583815</v>
      </c>
      <c r="K32" s="16"/>
      <c r="L32" s="16" t="n">
        <v>1233.33333333333</v>
      </c>
      <c r="M32" s="16" t="n">
        <v>572.941176470588</v>
      </c>
      <c r="N32" s="19" t="n">
        <v>1.15263518138261</v>
      </c>
    </row>
    <row r="33" customFormat="false" ht="15" hidden="false" customHeight="false" outlineLevel="0" collapsed="false">
      <c r="A33" s="13" t="s">
        <v>2361</v>
      </c>
      <c r="B33" s="13" t="s">
        <v>65</v>
      </c>
      <c r="C33" s="13" t="s">
        <v>66</v>
      </c>
      <c r="D33" s="13" t="s">
        <v>2324</v>
      </c>
      <c r="E33" s="13" t="s">
        <v>67</v>
      </c>
      <c r="F33" s="13" t="n">
        <v>1</v>
      </c>
      <c r="G33" s="13" t="n">
        <v>1</v>
      </c>
      <c r="H33" s="5" t="n">
        <v>99700</v>
      </c>
      <c r="I33" s="7" t="n">
        <v>260</v>
      </c>
      <c r="J33" s="16" t="n">
        <v>383.461538461539</v>
      </c>
      <c r="K33" s="16" t="n">
        <v>383.461538461539</v>
      </c>
      <c r="L33" s="16"/>
      <c r="M33" s="16"/>
      <c r="N33" s="19"/>
    </row>
    <row r="34" customFormat="false" ht="15" hidden="false" customHeight="false" outlineLevel="0" collapsed="false">
      <c r="A34" s="13" t="s">
        <v>2362</v>
      </c>
      <c r="B34" s="13" t="s">
        <v>2094</v>
      </c>
      <c r="C34" s="13" t="s">
        <v>57</v>
      </c>
      <c r="D34" s="13" t="s">
        <v>2324</v>
      </c>
      <c r="E34" s="13" t="s">
        <v>2363</v>
      </c>
      <c r="F34" s="13" t="n">
        <v>1</v>
      </c>
      <c r="G34" s="13" t="n">
        <v>1</v>
      </c>
      <c r="H34" s="5" t="n">
        <v>92800</v>
      </c>
      <c r="I34" s="7" t="n">
        <v>1900</v>
      </c>
      <c r="J34" s="16" t="n">
        <v>48.8421052631579</v>
      </c>
      <c r="K34" s="16" t="n">
        <v>48.8421052631579</v>
      </c>
      <c r="L34" s="16"/>
      <c r="M34" s="16"/>
      <c r="N34" s="19"/>
    </row>
    <row r="35" customFormat="false" ht="15" hidden="false" customHeight="false" outlineLevel="0" collapsed="false">
      <c r="A35" s="13" t="s">
        <v>2364</v>
      </c>
      <c r="B35" s="13" t="s">
        <v>2095</v>
      </c>
      <c r="C35" s="13" t="s">
        <v>140</v>
      </c>
      <c r="D35" s="13" t="s">
        <v>2324</v>
      </c>
      <c r="E35" s="13" t="s">
        <v>2365</v>
      </c>
      <c r="F35" s="13" t="n">
        <v>1</v>
      </c>
      <c r="G35" s="13" t="n">
        <v>1</v>
      </c>
      <c r="H35" s="5" t="n">
        <v>91100</v>
      </c>
      <c r="I35" s="7" t="n">
        <v>1200</v>
      </c>
      <c r="J35" s="16" t="n">
        <v>75.9166666666667</v>
      </c>
      <c r="K35" s="16" t="n">
        <v>75.9166666666667</v>
      </c>
      <c r="L35" s="16"/>
      <c r="M35" s="16"/>
      <c r="N35" s="19"/>
    </row>
    <row r="36" customFormat="false" ht="15" hidden="false" customHeight="false" outlineLevel="0" collapsed="false">
      <c r="A36" s="13" t="s">
        <v>2366</v>
      </c>
      <c r="B36" s="13" t="s">
        <v>42</v>
      </c>
      <c r="C36" s="13" t="s">
        <v>43</v>
      </c>
      <c r="D36" s="13" t="s">
        <v>2324</v>
      </c>
      <c r="E36" s="13" t="s">
        <v>91</v>
      </c>
      <c r="F36" s="13" t="n">
        <v>2</v>
      </c>
      <c r="G36" s="13" t="n">
        <v>6</v>
      </c>
      <c r="H36" s="5" t="n">
        <v>90690</v>
      </c>
      <c r="I36" s="7" t="n">
        <v>133</v>
      </c>
      <c r="J36" s="16" t="n">
        <v>681.87969924812</v>
      </c>
      <c r="K36" s="16"/>
      <c r="L36" s="16" t="n">
        <v>809.354838709677</v>
      </c>
      <c r="M36" s="16" t="n">
        <v>643.137254901961</v>
      </c>
      <c r="N36" s="19" t="n">
        <v>0.25844807238395</v>
      </c>
    </row>
    <row r="37" customFormat="false" ht="15" hidden="false" customHeight="false" outlineLevel="0" collapsed="false">
      <c r="A37" s="13" t="s">
        <v>2367</v>
      </c>
      <c r="B37" s="13" t="s">
        <v>2102</v>
      </c>
      <c r="C37" s="13" t="s">
        <v>183</v>
      </c>
      <c r="D37" s="13" t="s">
        <v>2324</v>
      </c>
      <c r="E37" s="13" t="s">
        <v>2368</v>
      </c>
      <c r="F37" s="13" t="n">
        <v>1</v>
      </c>
      <c r="G37" s="13" t="n">
        <v>2</v>
      </c>
      <c r="H37" s="5" t="n">
        <v>87400</v>
      </c>
      <c r="I37" s="7" t="n">
        <v>1420</v>
      </c>
      <c r="J37" s="16" t="n">
        <v>61.5492957746479</v>
      </c>
      <c r="K37" s="16" t="n">
        <v>61.5492957746479</v>
      </c>
      <c r="L37" s="16"/>
      <c r="M37" s="16"/>
      <c r="N37" s="19"/>
    </row>
    <row r="38" customFormat="false" ht="15" hidden="false" customHeight="false" outlineLevel="0" collapsed="false">
      <c r="A38" s="13" t="s">
        <v>2369</v>
      </c>
      <c r="B38" s="13" t="s">
        <v>81</v>
      </c>
      <c r="C38" s="13" t="s">
        <v>82</v>
      </c>
      <c r="D38" s="13" t="s">
        <v>2324</v>
      </c>
      <c r="E38" s="13" t="s">
        <v>83</v>
      </c>
      <c r="F38" s="13" t="n">
        <v>1</v>
      </c>
      <c r="G38" s="13" t="n">
        <v>1</v>
      </c>
      <c r="H38" s="5" t="n">
        <v>84100</v>
      </c>
      <c r="I38" s="7" t="n">
        <v>750</v>
      </c>
      <c r="J38" s="16" t="n">
        <v>112.133333333333</v>
      </c>
      <c r="K38" s="16" t="n">
        <v>112.133333333333</v>
      </c>
      <c r="L38" s="16"/>
      <c r="M38" s="16"/>
      <c r="N38" s="19"/>
    </row>
    <row r="39" customFormat="false" ht="15" hidden="false" customHeight="false" outlineLevel="0" collapsed="false">
      <c r="A39" s="13" t="s">
        <v>2370</v>
      </c>
      <c r="B39" s="13" t="s">
        <v>92</v>
      </c>
      <c r="C39" s="13" t="s">
        <v>43</v>
      </c>
      <c r="D39" s="13" t="s">
        <v>2339</v>
      </c>
      <c r="E39" s="13" t="s">
        <v>93</v>
      </c>
      <c r="F39" s="13" t="n">
        <v>3</v>
      </c>
      <c r="G39" s="13" t="n">
        <v>5</v>
      </c>
      <c r="H39" s="5" t="n">
        <v>82100</v>
      </c>
      <c r="I39" s="7" t="n">
        <v>113</v>
      </c>
      <c r="J39" s="16" t="n">
        <v>726.548672566372</v>
      </c>
      <c r="K39" s="16" t="n">
        <v>800</v>
      </c>
      <c r="L39" s="16" t="n">
        <v>737.80487804878</v>
      </c>
      <c r="M39" s="16" t="n">
        <v>647.619047619048</v>
      </c>
      <c r="N39" s="19" t="n">
        <v>0.235294117647059</v>
      </c>
    </row>
    <row r="40" customFormat="false" ht="15" hidden="false" customHeight="false" outlineLevel="0" collapsed="false">
      <c r="A40" s="13" t="s">
        <v>2371</v>
      </c>
      <c r="B40" s="13" t="s">
        <v>2094</v>
      </c>
      <c r="C40" s="13" t="s">
        <v>57</v>
      </c>
      <c r="D40" s="13" t="s">
        <v>2324</v>
      </c>
      <c r="E40" s="13" t="s">
        <v>2372</v>
      </c>
      <c r="F40" s="13" t="n">
        <v>1</v>
      </c>
      <c r="G40" s="13" t="n">
        <v>1</v>
      </c>
      <c r="H40" s="5" t="n">
        <v>80800</v>
      </c>
      <c r="I40" s="7" t="n">
        <v>780</v>
      </c>
      <c r="J40" s="16" t="n">
        <v>103.589743589744</v>
      </c>
      <c r="K40" s="16" t="n">
        <v>103.589743589744</v>
      </c>
      <c r="L40" s="16"/>
      <c r="M40" s="16"/>
      <c r="N40" s="19"/>
    </row>
    <row r="41" customFormat="false" ht="15" hidden="false" customHeight="false" outlineLevel="0" collapsed="false">
      <c r="A41" s="13" t="s">
        <v>2373</v>
      </c>
      <c r="B41" s="13" t="s">
        <v>69</v>
      </c>
      <c r="C41" s="13" t="s">
        <v>43</v>
      </c>
      <c r="D41" s="13" t="s">
        <v>2337</v>
      </c>
      <c r="E41" s="13" t="s">
        <v>138</v>
      </c>
      <c r="F41" s="13" t="n">
        <v>2</v>
      </c>
      <c r="G41" s="13" t="n">
        <v>6</v>
      </c>
      <c r="H41" s="5" t="n">
        <v>77620</v>
      </c>
      <c r="I41" s="7" t="n">
        <v>98</v>
      </c>
      <c r="J41" s="16" t="n">
        <v>792.040816326531</v>
      </c>
      <c r="K41" s="16" t="n">
        <v>660</v>
      </c>
      <c r="L41" s="16"/>
      <c r="M41" s="16" t="n">
        <v>929.583333333333</v>
      </c>
      <c r="N41" s="19" t="n">
        <v>0.408459595959596</v>
      </c>
    </row>
    <row r="42" customFormat="false" ht="15" hidden="false" customHeight="false" outlineLevel="0" collapsed="false">
      <c r="A42" s="13" t="s">
        <v>2374</v>
      </c>
      <c r="B42" s="13" t="s">
        <v>81</v>
      </c>
      <c r="C42" s="13" t="s">
        <v>85</v>
      </c>
      <c r="D42" s="13" t="s">
        <v>2324</v>
      </c>
      <c r="E42" s="13" t="s">
        <v>86</v>
      </c>
      <c r="F42" s="13" t="n">
        <v>1</v>
      </c>
      <c r="G42" s="13" t="n">
        <v>1</v>
      </c>
      <c r="H42" s="5" t="n">
        <v>74700</v>
      </c>
      <c r="I42" s="7" t="n">
        <v>720</v>
      </c>
      <c r="J42" s="16" t="n">
        <v>103.75</v>
      </c>
      <c r="K42" s="16" t="n">
        <v>103.75</v>
      </c>
      <c r="L42" s="16"/>
      <c r="M42" s="16"/>
      <c r="N42" s="19"/>
    </row>
    <row r="43" customFormat="false" ht="15" hidden="false" customHeight="false" outlineLevel="0" collapsed="false">
      <c r="A43" s="13" t="s">
        <v>2375</v>
      </c>
      <c r="B43" s="13" t="s">
        <v>2098</v>
      </c>
      <c r="C43" s="13" t="s">
        <v>57</v>
      </c>
      <c r="D43" s="13" t="s">
        <v>2324</v>
      </c>
      <c r="E43" s="13" t="s">
        <v>2376</v>
      </c>
      <c r="F43" s="13" t="n">
        <v>1</v>
      </c>
      <c r="G43" s="13" t="n">
        <v>2</v>
      </c>
      <c r="H43" s="5" t="n">
        <v>74370</v>
      </c>
      <c r="I43" s="7" t="n">
        <v>955</v>
      </c>
      <c r="J43" s="16" t="n">
        <v>77.8743455497382</v>
      </c>
      <c r="K43" s="16" t="n">
        <v>77.8743455497382</v>
      </c>
      <c r="L43" s="16"/>
      <c r="M43" s="16"/>
      <c r="N43" s="19"/>
    </row>
    <row r="44" customFormat="false" ht="15" hidden="false" customHeight="false" outlineLevel="0" collapsed="false">
      <c r="A44" s="13" t="s">
        <v>2377</v>
      </c>
      <c r="B44" s="13" t="s">
        <v>42</v>
      </c>
      <c r="C44" s="13" t="s">
        <v>43</v>
      </c>
      <c r="D44" s="13" t="s">
        <v>2324</v>
      </c>
      <c r="E44" s="13" t="s">
        <v>47</v>
      </c>
      <c r="F44" s="13" t="n">
        <v>2</v>
      </c>
      <c r="G44" s="13" t="n">
        <v>6</v>
      </c>
      <c r="H44" s="5" t="n">
        <v>73380</v>
      </c>
      <c r="I44" s="7" t="n">
        <v>98</v>
      </c>
      <c r="J44" s="16" t="n">
        <v>748.775510204082</v>
      </c>
      <c r="K44" s="16"/>
      <c r="L44" s="16" t="n">
        <v>757.272727272727</v>
      </c>
      <c r="M44" s="16" t="n">
        <v>731.25</v>
      </c>
      <c r="N44" s="19" t="n">
        <v>0.0355866355866356</v>
      </c>
    </row>
    <row r="45" customFormat="false" ht="15" hidden="false" customHeight="false" outlineLevel="0" collapsed="false">
      <c r="A45" s="13" t="s">
        <v>2378</v>
      </c>
      <c r="B45" s="13" t="s">
        <v>2094</v>
      </c>
      <c r="C45" s="13" t="s">
        <v>57</v>
      </c>
      <c r="D45" s="13" t="s">
        <v>2324</v>
      </c>
      <c r="E45" s="13" t="s">
        <v>2379</v>
      </c>
      <c r="F45" s="13" t="n">
        <v>1</v>
      </c>
      <c r="G45" s="13" t="n">
        <v>2</v>
      </c>
      <c r="H45" s="5" t="n">
        <v>73300</v>
      </c>
      <c r="I45" s="7" t="n">
        <v>490</v>
      </c>
      <c r="J45" s="16" t="n">
        <v>149.591836734694</v>
      </c>
      <c r="K45" s="16" t="n">
        <v>149.591836734694</v>
      </c>
      <c r="L45" s="16"/>
      <c r="M45" s="16"/>
      <c r="N45" s="19"/>
    </row>
    <row r="46" customFormat="false" ht="15" hidden="false" customHeight="false" outlineLevel="0" collapsed="false">
      <c r="A46" s="13" t="s">
        <v>2380</v>
      </c>
      <c r="B46" s="13" t="s">
        <v>42</v>
      </c>
      <c r="C46" s="13" t="s">
        <v>43</v>
      </c>
      <c r="D46" s="13" t="s">
        <v>2327</v>
      </c>
      <c r="E46" s="13" t="s">
        <v>151</v>
      </c>
      <c r="F46" s="13" t="n">
        <v>2</v>
      </c>
      <c r="G46" s="13" t="n">
        <v>6</v>
      </c>
      <c r="H46" s="5" t="n">
        <v>72580</v>
      </c>
      <c r="I46" s="7" t="n">
        <v>97</v>
      </c>
      <c r="J46" s="16" t="n">
        <v>748.247422680412</v>
      </c>
      <c r="K46" s="16"/>
      <c r="L46" s="16" t="n">
        <v>853.076923076923</v>
      </c>
      <c r="M46" s="16" t="n">
        <v>709.859154929578</v>
      </c>
      <c r="N46" s="19" t="n">
        <v>0.201755189255189</v>
      </c>
    </row>
    <row r="47" customFormat="false" ht="15" hidden="false" customHeight="false" outlineLevel="0" collapsed="false">
      <c r="A47" s="13" t="s">
        <v>2381</v>
      </c>
      <c r="B47" s="13" t="s">
        <v>45</v>
      </c>
      <c r="C47" s="13" t="s">
        <v>43</v>
      </c>
      <c r="D47" s="13" t="s">
        <v>2324</v>
      </c>
      <c r="E47" s="13" t="s">
        <v>113</v>
      </c>
      <c r="F47" s="13" t="n">
        <v>2</v>
      </c>
      <c r="G47" s="13" t="n">
        <v>8</v>
      </c>
      <c r="H47" s="5" t="n">
        <v>71200</v>
      </c>
      <c r="I47" s="7" t="n">
        <v>85</v>
      </c>
      <c r="J47" s="16" t="n">
        <v>837.647058823529</v>
      </c>
      <c r="K47" s="16"/>
      <c r="L47" s="16" t="n">
        <v>1085.71428571429</v>
      </c>
      <c r="M47" s="16" t="n">
        <v>788.732394366197</v>
      </c>
      <c r="N47" s="19" t="n">
        <v>0.376530612244898</v>
      </c>
    </row>
    <row r="48" customFormat="false" ht="15" hidden="false" customHeight="false" outlineLevel="0" collapsed="false">
      <c r="A48" s="13" t="s">
        <v>2382</v>
      </c>
      <c r="B48" s="13" t="s">
        <v>2104</v>
      </c>
      <c r="C48" s="13" t="s">
        <v>57</v>
      </c>
      <c r="D48" s="13" t="s">
        <v>2324</v>
      </c>
      <c r="E48" s="13" t="s">
        <v>2383</v>
      </c>
      <c r="F48" s="13" t="n">
        <v>1</v>
      </c>
      <c r="G48" s="13" t="n">
        <v>1</v>
      </c>
      <c r="H48" s="5" t="n">
        <v>67000</v>
      </c>
      <c r="I48" s="7" t="n">
        <v>1900</v>
      </c>
      <c r="J48" s="16" t="n">
        <v>35.2631578947368</v>
      </c>
      <c r="K48" s="16" t="n">
        <v>35.2631578947368</v>
      </c>
      <c r="L48" s="16"/>
      <c r="M48" s="16"/>
      <c r="N48" s="19"/>
    </row>
    <row r="49" customFormat="false" ht="15" hidden="false" customHeight="false" outlineLevel="0" collapsed="false">
      <c r="A49" s="13" t="s">
        <v>2384</v>
      </c>
      <c r="B49" s="13" t="s">
        <v>50</v>
      </c>
      <c r="C49" s="13" t="s">
        <v>43</v>
      </c>
      <c r="D49" s="13" t="s">
        <v>2324</v>
      </c>
      <c r="E49" s="13" t="s">
        <v>189</v>
      </c>
      <c r="F49" s="13" t="n">
        <v>2</v>
      </c>
      <c r="G49" s="13" t="n">
        <v>6</v>
      </c>
      <c r="H49" s="5" t="n">
        <v>66540</v>
      </c>
      <c r="I49" s="7" t="n">
        <v>78</v>
      </c>
      <c r="J49" s="16" t="n">
        <v>853.076923076923</v>
      </c>
      <c r="K49" s="16"/>
      <c r="L49" s="16" t="n">
        <v>1246.25</v>
      </c>
      <c r="M49" s="16" t="n">
        <v>751.612903225807</v>
      </c>
      <c r="N49" s="19" t="n">
        <v>0.658100858369099</v>
      </c>
    </row>
    <row r="50" customFormat="false" ht="15" hidden="false" customHeight="false" outlineLevel="0" collapsed="false">
      <c r="A50" s="13" t="s">
        <v>2385</v>
      </c>
      <c r="B50" s="13" t="s">
        <v>45</v>
      </c>
      <c r="C50" s="13" t="s">
        <v>43</v>
      </c>
      <c r="D50" s="13" t="s">
        <v>2324</v>
      </c>
      <c r="E50" s="13" t="s">
        <v>101</v>
      </c>
      <c r="F50" s="13" t="n">
        <v>1</v>
      </c>
      <c r="G50" s="13" t="n">
        <v>3</v>
      </c>
      <c r="H50" s="5" t="n">
        <v>64590</v>
      </c>
      <c r="I50" s="7" t="n">
        <v>91</v>
      </c>
      <c r="J50" s="16" t="n">
        <v>709.78021978022</v>
      </c>
      <c r="K50" s="16"/>
      <c r="L50" s="16"/>
      <c r="M50" s="16" t="n">
        <v>709.78021978022</v>
      </c>
      <c r="N50" s="19"/>
    </row>
    <row r="51" customFormat="false" ht="15" hidden="false" customHeight="false" outlineLevel="0" collapsed="false">
      <c r="A51" s="13" t="s">
        <v>2386</v>
      </c>
      <c r="B51" s="13" t="s">
        <v>72</v>
      </c>
      <c r="C51" s="13" t="s">
        <v>43</v>
      </c>
      <c r="D51" s="13" t="s">
        <v>2324</v>
      </c>
      <c r="E51" s="13" t="s">
        <v>96</v>
      </c>
      <c r="F51" s="13" t="n">
        <v>1</v>
      </c>
      <c r="G51" s="13" t="n">
        <v>5</v>
      </c>
      <c r="H51" s="5" t="n">
        <v>62170</v>
      </c>
      <c r="I51" s="7" t="n">
        <v>86</v>
      </c>
      <c r="J51" s="16" t="n">
        <v>722.906976744186</v>
      </c>
      <c r="K51" s="16"/>
      <c r="L51" s="16"/>
      <c r="M51" s="16" t="n">
        <v>722.906976744186</v>
      </c>
      <c r="N51" s="19"/>
    </row>
    <row r="52" customFormat="false" ht="15" hidden="false" customHeight="false" outlineLevel="0" collapsed="false">
      <c r="A52" s="13" t="s">
        <v>2387</v>
      </c>
      <c r="B52" s="13" t="s">
        <v>65</v>
      </c>
      <c r="C52" s="13" t="s">
        <v>85</v>
      </c>
      <c r="D52" s="13" t="s">
        <v>2324</v>
      </c>
      <c r="E52" s="13" t="s">
        <v>100</v>
      </c>
      <c r="F52" s="13" t="n">
        <v>1</v>
      </c>
      <c r="G52" s="13" t="n">
        <v>2</v>
      </c>
      <c r="H52" s="5" t="n">
        <v>60700</v>
      </c>
      <c r="I52" s="7" t="n">
        <v>150</v>
      </c>
      <c r="J52" s="16" t="n">
        <v>404.666666666667</v>
      </c>
      <c r="K52" s="16" t="n">
        <v>404.666666666667</v>
      </c>
      <c r="L52" s="16"/>
      <c r="M52" s="16"/>
      <c r="N52" s="19"/>
    </row>
    <row r="53" customFormat="false" ht="15" hidden="false" customHeight="false" outlineLevel="0" collapsed="false">
      <c r="A53" s="13" t="s">
        <v>2388</v>
      </c>
      <c r="B53" s="13" t="s">
        <v>161</v>
      </c>
      <c r="C53" s="13" t="s">
        <v>43</v>
      </c>
      <c r="D53" s="13" t="s">
        <v>2324</v>
      </c>
      <c r="E53" s="13" t="s">
        <v>163</v>
      </c>
      <c r="F53" s="13" t="n">
        <v>2</v>
      </c>
      <c r="G53" s="13" t="n">
        <v>4</v>
      </c>
      <c r="H53" s="5" t="n">
        <v>59900</v>
      </c>
      <c r="I53" s="7" t="n">
        <v>180</v>
      </c>
      <c r="J53" s="16" t="n">
        <v>332.777777777778</v>
      </c>
      <c r="K53" s="16" t="n">
        <v>300</v>
      </c>
      <c r="L53" s="16" t="n">
        <v>378.666666666667</v>
      </c>
      <c r="M53" s="16"/>
      <c r="N53" s="19" t="n">
        <v>0.262222222222222</v>
      </c>
    </row>
    <row r="54" customFormat="false" ht="15" hidden="false" customHeight="false" outlineLevel="0" collapsed="false">
      <c r="A54" s="13" t="s">
        <v>2389</v>
      </c>
      <c r="B54" s="13" t="s">
        <v>50</v>
      </c>
      <c r="C54" s="13" t="s">
        <v>43</v>
      </c>
      <c r="D54" s="13" t="s">
        <v>2324</v>
      </c>
      <c r="E54" s="13" t="s">
        <v>172</v>
      </c>
      <c r="F54" s="13" t="n">
        <v>2</v>
      </c>
      <c r="G54" s="13" t="n">
        <v>5</v>
      </c>
      <c r="H54" s="5" t="n">
        <v>58890</v>
      </c>
      <c r="I54" s="7" t="n">
        <v>117</v>
      </c>
      <c r="J54" s="16" t="n">
        <v>503.333333333333</v>
      </c>
      <c r="K54" s="16"/>
      <c r="L54" s="16" t="n">
        <v>501.034482758621</v>
      </c>
      <c r="M54" s="16" t="n">
        <v>770</v>
      </c>
      <c r="N54" s="19" t="n">
        <v>0.536820371644873</v>
      </c>
    </row>
    <row r="55" customFormat="false" ht="15" hidden="false" customHeight="false" outlineLevel="0" collapsed="false">
      <c r="A55" s="13" t="s">
        <v>2390</v>
      </c>
      <c r="B55" s="13" t="s">
        <v>42</v>
      </c>
      <c r="C55" s="13" t="s">
        <v>43</v>
      </c>
      <c r="D55" s="13" t="s">
        <v>2324</v>
      </c>
      <c r="E55" s="13" t="s">
        <v>44</v>
      </c>
      <c r="F55" s="13" t="n">
        <v>2</v>
      </c>
      <c r="G55" s="13" t="n">
        <v>5</v>
      </c>
      <c r="H55" s="5" t="n">
        <v>58560</v>
      </c>
      <c r="I55" s="7" t="n">
        <v>128</v>
      </c>
      <c r="J55" s="16" t="n">
        <v>457.5</v>
      </c>
      <c r="K55" s="16"/>
      <c r="L55" s="16" t="n">
        <v>536.923076923077</v>
      </c>
      <c r="M55" s="16" t="n">
        <v>437.254901960784</v>
      </c>
      <c r="N55" s="19" t="n">
        <v>0.227940669196275</v>
      </c>
    </row>
    <row r="56" customFormat="false" ht="15" hidden="false" customHeight="false" outlineLevel="0" collapsed="false">
      <c r="A56" s="13" t="s">
        <v>2391</v>
      </c>
      <c r="B56" s="13" t="s">
        <v>87</v>
      </c>
      <c r="C56" s="13" t="s">
        <v>66</v>
      </c>
      <c r="D56" s="13" t="s">
        <v>2324</v>
      </c>
      <c r="E56" s="13" t="s">
        <v>94</v>
      </c>
      <c r="F56" s="13" t="n">
        <v>1</v>
      </c>
      <c r="G56" s="13" t="n">
        <v>1</v>
      </c>
      <c r="H56" s="5" t="n">
        <v>57600</v>
      </c>
      <c r="I56" s="7" t="n">
        <v>440</v>
      </c>
      <c r="J56" s="16" t="n">
        <v>130.909090909091</v>
      </c>
      <c r="K56" s="16" t="n">
        <v>130.909090909091</v>
      </c>
      <c r="L56" s="16"/>
      <c r="M56" s="16"/>
      <c r="N56" s="19"/>
    </row>
    <row r="57" customFormat="false" ht="15" hidden="false" customHeight="false" outlineLevel="0" collapsed="false">
      <c r="A57" s="13" t="s">
        <v>2392</v>
      </c>
      <c r="B57" s="13" t="s">
        <v>50</v>
      </c>
      <c r="C57" s="13" t="s">
        <v>43</v>
      </c>
      <c r="D57" s="13" t="s">
        <v>2324</v>
      </c>
      <c r="E57" s="13" t="s">
        <v>110</v>
      </c>
      <c r="F57" s="13" t="n">
        <v>2</v>
      </c>
      <c r="G57" s="13" t="n">
        <v>4</v>
      </c>
      <c r="H57" s="5" t="n">
        <v>56660</v>
      </c>
      <c r="I57" s="7" t="n">
        <v>58</v>
      </c>
      <c r="J57" s="16" t="n">
        <v>976.896551724138</v>
      </c>
      <c r="K57" s="16"/>
      <c r="L57" s="16" t="n">
        <v>1310</v>
      </c>
      <c r="M57" s="16" t="n">
        <v>938.461538461539</v>
      </c>
      <c r="N57" s="19" t="n">
        <v>0.395901639344262</v>
      </c>
    </row>
    <row r="58" customFormat="false" ht="15" hidden="false" customHeight="false" outlineLevel="0" collapsed="false">
      <c r="A58" s="13" t="s">
        <v>2393</v>
      </c>
      <c r="B58" s="13" t="s">
        <v>69</v>
      </c>
      <c r="C58" s="13" t="s">
        <v>43</v>
      </c>
      <c r="D58" s="13" t="s">
        <v>2324</v>
      </c>
      <c r="E58" s="13" t="s">
        <v>298</v>
      </c>
      <c r="F58" s="13" t="n">
        <v>2</v>
      </c>
      <c r="G58" s="13" t="n">
        <v>7</v>
      </c>
      <c r="H58" s="5" t="n">
        <v>55750</v>
      </c>
      <c r="I58" s="7" t="n">
        <v>108</v>
      </c>
      <c r="J58" s="16" t="n">
        <v>516.203703703704</v>
      </c>
      <c r="K58" s="16" t="n">
        <v>514.285714285714</v>
      </c>
      <c r="L58" s="16"/>
      <c r="M58" s="16" t="n">
        <v>517.123287671233</v>
      </c>
      <c r="N58" s="19" t="n">
        <v>0.00551750380517499</v>
      </c>
    </row>
    <row r="59" customFormat="false" ht="15" hidden="false" customHeight="false" outlineLevel="0" collapsed="false">
      <c r="A59" s="13" t="s">
        <v>2394</v>
      </c>
      <c r="B59" s="13" t="s">
        <v>69</v>
      </c>
      <c r="C59" s="13" t="s">
        <v>43</v>
      </c>
      <c r="D59" s="13" t="s">
        <v>2324</v>
      </c>
      <c r="E59" s="13" t="s">
        <v>109</v>
      </c>
      <c r="F59" s="13" t="n">
        <v>2</v>
      </c>
      <c r="G59" s="13" t="n">
        <v>2</v>
      </c>
      <c r="H59" s="5" t="n">
        <v>55600</v>
      </c>
      <c r="I59" s="7" t="n">
        <v>65</v>
      </c>
      <c r="J59" s="16" t="n">
        <v>855.384615384615</v>
      </c>
      <c r="K59" s="16" t="n">
        <v>1500</v>
      </c>
      <c r="L59" s="16"/>
      <c r="M59" s="16" t="n">
        <v>801.666666666667</v>
      </c>
      <c r="N59" s="19" t="n">
        <v>0.871101871101871</v>
      </c>
    </row>
    <row r="60" customFormat="false" ht="15" hidden="false" customHeight="false" outlineLevel="0" collapsed="false">
      <c r="A60" s="13" t="s">
        <v>2395</v>
      </c>
      <c r="B60" s="13" t="s">
        <v>2095</v>
      </c>
      <c r="C60" s="13" t="s">
        <v>140</v>
      </c>
      <c r="D60" s="13" t="s">
        <v>2324</v>
      </c>
      <c r="E60" s="13" t="s">
        <v>2396</v>
      </c>
      <c r="F60" s="13" t="n">
        <v>1</v>
      </c>
      <c r="G60" s="13" t="n">
        <v>1</v>
      </c>
      <c r="H60" s="5" t="n">
        <v>54900</v>
      </c>
      <c r="I60" s="7" t="n">
        <v>330</v>
      </c>
      <c r="J60" s="16" t="n">
        <v>166.363636363636</v>
      </c>
      <c r="K60" s="16" t="n">
        <v>166.363636363636</v>
      </c>
      <c r="L60" s="16"/>
      <c r="M60" s="16"/>
      <c r="N60" s="19"/>
    </row>
    <row r="61" customFormat="false" ht="15" hidden="false" customHeight="false" outlineLevel="0" collapsed="false">
      <c r="A61" s="13" t="s">
        <v>2397</v>
      </c>
      <c r="B61" s="13" t="s">
        <v>69</v>
      </c>
      <c r="C61" s="13" t="s">
        <v>43</v>
      </c>
      <c r="D61" s="13" t="s">
        <v>2324</v>
      </c>
      <c r="E61" s="13" t="s">
        <v>120</v>
      </c>
      <c r="F61" s="13" t="n">
        <v>1</v>
      </c>
      <c r="G61" s="13" t="n">
        <v>5</v>
      </c>
      <c r="H61" s="5" t="n">
        <v>54870</v>
      </c>
      <c r="I61" s="7" t="n">
        <v>119</v>
      </c>
      <c r="J61" s="16" t="n">
        <v>461.09243697479</v>
      </c>
      <c r="K61" s="16"/>
      <c r="L61" s="16"/>
      <c r="M61" s="16" t="n">
        <v>461.09243697479</v>
      </c>
      <c r="N61" s="19"/>
    </row>
    <row r="62" customFormat="false" ht="15" hidden="false" customHeight="false" outlineLevel="0" collapsed="false">
      <c r="A62" s="13" t="s">
        <v>2398</v>
      </c>
      <c r="B62" s="13" t="s">
        <v>2094</v>
      </c>
      <c r="C62" s="13" t="s">
        <v>57</v>
      </c>
      <c r="D62" s="13" t="s">
        <v>2324</v>
      </c>
      <c r="E62" s="13" t="s">
        <v>2399</v>
      </c>
      <c r="F62" s="13" t="n">
        <v>1</v>
      </c>
      <c r="G62" s="13" t="n">
        <v>2</v>
      </c>
      <c r="H62" s="5" t="n">
        <v>54600</v>
      </c>
      <c r="I62" s="7" t="n">
        <v>670</v>
      </c>
      <c r="J62" s="16" t="n">
        <v>81.4925373134328</v>
      </c>
      <c r="K62" s="16" t="n">
        <v>81.4925373134328</v>
      </c>
      <c r="L62" s="16"/>
      <c r="M62" s="16"/>
      <c r="N62" s="19"/>
    </row>
    <row r="63" customFormat="false" ht="15" hidden="false" customHeight="false" outlineLevel="0" collapsed="false">
      <c r="A63" s="13" t="s">
        <v>2400</v>
      </c>
      <c r="B63" s="13" t="s">
        <v>65</v>
      </c>
      <c r="C63" s="13" t="s">
        <v>66</v>
      </c>
      <c r="D63" s="13" t="s">
        <v>2324</v>
      </c>
      <c r="E63" s="13" t="s">
        <v>102</v>
      </c>
      <c r="F63" s="13" t="n">
        <v>1</v>
      </c>
      <c r="G63" s="13" t="n">
        <v>1</v>
      </c>
      <c r="H63" s="5" t="n">
        <v>53500</v>
      </c>
      <c r="I63" s="7" t="n">
        <v>190</v>
      </c>
      <c r="J63" s="16" t="n">
        <v>281.578947368421</v>
      </c>
      <c r="K63" s="16" t="n">
        <v>281.578947368421</v>
      </c>
      <c r="L63" s="16"/>
      <c r="M63" s="16"/>
      <c r="N63" s="19"/>
    </row>
    <row r="64" customFormat="false" ht="15" hidden="false" customHeight="false" outlineLevel="0" collapsed="false">
      <c r="A64" s="13" t="s">
        <v>2401</v>
      </c>
      <c r="B64" s="13" t="s">
        <v>107</v>
      </c>
      <c r="C64" s="13" t="s">
        <v>43</v>
      </c>
      <c r="D64" s="13" t="s">
        <v>2402</v>
      </c>
      <c r="E64" s="13" t="s">
        <v>108</v>
      </c>
      <c r="F64" s="13" t="n">
        <v>1</v>
      </c>
      <c r="G64" s="13" t="n">
        <v>4</v>
      </c>
      <c r="H64" s="5" t="n">
        <v>52490</v>
      </c>
      <c r="I64" s="7" t="n">
        <v>323</v>
      </c>
      <c r="J64" s="16" t="n">
        <v>162.507739938081</v>
      </c>
      <c r="K64" s="16"/>
      <c r="L64" s="16"/>
      <c r="M64" s="16" t="n">
        <v>162.507739938081</v>
      </c>
      <c r="N64" s="19"/>
    </row>
    <row r="65" customFormat="false" ht="15" hidden="false" customHeight="false" outlineLevel="0" collapsed="false">
      <c r="A65" s="13" t="s">
        <v>2403</v>
      </c>
      <c r="B65" s="13" t="s">
        <v>124</v>
      </c>
      <c r="C65" s="13" t="s">
        <v>43</v>
      </c>
      <c r="D65" s="13" t="s">
        <v>2324</v>
      </c>
      <c r="E65" s="13" t="s">
        <v>125</v>
      </c>
      <c r="F65" s="13" t="n">
        <v>1</v>
      </c>
      <c r="G65" s="13" t="n">
        <v>2</v>
      </c>
      <c r="H65" s="5" t="n">
        <v>52400</v>
      </c>
      <c r="I65" s="7" t="n">
        <v>60</v>
      </c>
      <c r="J65" s="16" t="n">
        <v>873.333333333333</v>
      </c>
      <c r="K65" s="16"/>
      <c r="L65" s="16"/>
      <c r="M65" s="16" t="n">
        <v>873.333333333333</v>
      </c>
      <c r="N65" s="19"/>
    </row>
    <row r="66" customFormat="false" ht="15" hidden="false" customHeight="false" outlineLevel="0" collapsed="false">
      <c r="A66" s="13" t="s">
        <v>2404</v>
      </c>
      <c r="B66" s="13" t="s">
        <v>105</v>
      </c>
      <c r="C66" s="13" t="s">
        <v>43</v>
      </c>
      <c r="D66" s="13" t="s">
        <v>2339</v>
      </c>
      <c r="E66" s="13" t="s">
        <v>106</v>
      </c>
      <c r="F66" s="13" t="n">
        <v>3</v>
      </c>
      <c r="G66" s="13" t="n">
        <v>4</v>
      </c>
      <c r="H66" s="5" t="n">
        <v>52380</v>
      </c>
      <c r="I66" s="7" t="n">
        <v>144</v>
      </c>
      <c r="J66" s="16" t="n">
        <v>363.75</v>
      </c>
      <c r="K66" s="16" t="n">
        <v>357.142857142857</v>
      </c>
      <c r="L66" s="16" t="n">
        <v>630</v>
      </c>
      <c r="M66" s="16" t="n">
        <v>490</v>
      </c>
      <c r="N66" s="19" t="n">
        <v>0.764</v>
      </c>
    </row>
    <row r="67" customFormat="false" ht="15" hidden="false" customHeight="false" outlineLevel="0" collapsed="false">
      <c r="A67" s="13" t="s">
        <v>2405</v>
      </c>
      <c r="B67" s="13" t="s">
        <v>155</v>
      </c>
      <c r="C67" s="13" t="s">
        <v>43</v>
      </c>
      <c r="D67" s="13" t="s">
        <v>2324</v>
      </c>
      <c r="E67" s="13" t="s">
        <v>156</v>
      </c>
      <c r="F67" s="13" t="n">
        <v>2</v>
      </c>
      <c r="G67" s="13" t="n">
        <v>6</v>
      </c>
      <c r="H67" s="5" t="n">
        <v>51410</v>
      </c>
      <c r="I67" s="7" t="n">
        <v>513</v>
      </c>
      <c r="J67" s="16" t="n">
        <v>100.214424951267</v>
      </c>
      <c r="K67" s="16" t="n">
        <v>97.2340425531915</v>
      </c>
      <c r="L67" s="16" t="n">
        <v>132.790697674419</v>
      </c>
      <c r="M67" s="16"/>
      <c r="N67" s="19" t="n">
        <v>0.36568113582006</v>
      </c>
    </row>
    <row r="68" customFormat="false" ht="15" hidden="false" customHeight="false" outlineLevel="0" collapsed="false">
      <c r="A68" s="13" t="s">
        <v>2406</v>
      </c>
      <c r="B68" s="13" t="s">
        <v>69</v>
      </c>
      <c r="C68" s="13" t="s">
        <v>43</v>
      </c>
      <c r="D68" s="13" t="s">
        <v>2324</v>
      </c>
      <c r="E68" s="13" t="s">
        <v>369</v>
      </c>
      <c r="F68" s="13" t="n">
        <v>2</v>
      </c>
      <c r="G68" s="13" t="n">
        <v>3</v>
      </c>
      <c r="H68" s="5" t="n">
        <v>51300</v>
      </c>
      <c r="I68" s="7" t="n">
        <v>50</v>
      </c>
      <c r="J68" s="16" t="n">
        <v>1026</v>
      </c>
      <c r="K68" s="16"/>
      <c r="L68" s="16" t="n">
        <v>1960</v>
      </c>
      <c r="M68" s="16" t="n">
        <v>922.222222222222</v>
      </c>
      <c r="N68" s="19" t="n">
        <v>1.12530120481928</v>
      </c>
    </row>
    <row r="69" customFormat="false" ht="15" hidden="false" customHeight="false" outlineLevel="0" collapsed="false">
      <c r="A69" s="13" t="s">
        <v>2407</v>
      </c>
      <c r="B69" s="13" t="s">
        <v>2100</v>
      </c>
      <c r="C69" s="13" t="s">
        <v>43</v>
      </c>
      <c r="D69" s="13" t="s">
        <v>2324</v>
      </c>
      <c r="E69" s="13" t="s">
        <v>2408</v>
      </c>
      <c r="F69" s="13" t="n">
        <v>1</v>
      </c>
      <c r="G69" s="13" t="n">
        <v>1</v>
      </c>
      <c r="H69" s="5" t="n">
        <v>51200</v>
      </c>
      <c r="I69" s="7" t="n">
        <v>770</v>
      </c>
      <c r="J69" s="16" t="n">
        <v>66.4935064935065</v>
      </c>
      <c r="K69" s="16" t="n">
        <v>66.4935064935065</v>
      </c>
      <c r="L69" s="16"/>
      <c r="M69" s="16"/>
      <c r="N69" s="19"/>
    </row>
    <row r="70" customFormat="false" ht="15" hidden="false" customHeight="false" outlineLevel="0" collapsed="false">
      <c r="A70" s="13" t="s">
        <v>2409</v>
      </c>
      <c r="B70" s="13" t="s">
        <v>50</v>
      </c>
      <c r="C70" s="13" t="s">
        <v>43</v>
      </c>
      <c r="D70" s="13" t="s">
        <v>2327</v>
      </c>
      <c r="E70" s="13" t="s">
        <v>1316</v>
      </c>
      <c r="F70" s="13" t="n">
        <v>2</v>
      </c>
      <c r="G70" s="13" t="n">
        <v>5</v>
      </c>
      <c r="H70" s="5" t="n">
        <v>50380</v>
      </c>
      <c r="I70" s="7" t="n">
        <v>58</v>
      </c>
      <c r="J70" s="16" t="n">
        <v>868.620689655172</v>
      </c>
      <c r="K70" s="16"/>
      <c r="L70" s="16" t="n">
        <v>815.294117647059</v>
      </c>
      <c r="M70" s="16" t="n">
        <v>1257.14285714286</v>
      </c>
      <c r="N70" s="19" t="n">
        <v>0.541950113378685</v>
      </c>
    </row>
    <row r="71" customFormat="false" ht="15" hidden="false" customHeight="false" outlineLevel="0" collapsed="false">
      <c r="A71" s="13" t="s">
        <v>2410</v>
      </c>
      <c r="B71" s="13" t="s">
        <v>42</v>
      </c>
      <c r="C71" s="13" t="s">
        <v>43</v>
      </c>
      <c r="D71" s="13" t="s">
        <v>2324</v>
      </c>
      <c r="E71" s="13" t="s">
        <v>137</v>
      </c>
      <c r="F71" s="13" t="n">
        <v>2</v>
      </c>
      <c r="G71" s="13" t="n">
        <v>6</v>
      </c>
      <c r="H71" s="5" t="n">
        <v>50030</v>
      </c>
      <c r="I71" s="7" t="n">
        <v>54</v>
      </c>
      <c r="J71" s="16" t="n">
        <v>926.481481481482</v>
      </c>
      <c r="K71" s="16"/>
      <c r="L71" s="16" t="n">
        <v>1453.75</v>
      </c>
      <c r="M71" s="16" t="n">
        <v>834.782608695652</v>
      </c>
      <c r="N71" s="19" t="n">
        <v>0.741471354166667</v>
      </c>
    </row>
    <row r="72" customFormat="false" ht="15" hidden="false" customHeight="false" outlineLevel="0" collapsed="false">
      <c r="A72" s="13" t="s">
        <v>2411</v>
      </c>
      <c r="B72" s="13" t="s">
        <v>2094</v>
      </c>
      <c r="C72" s="13" t="s">
        <v>57</v>
      </c>
      <c r="D72" s="13" t="s">
        <v>2324</v>
      </c>
      <c r="E72" s="13" t="s">
        <v>2412</v>
      </c>
      <c r="F72" s="13" t="n">
        <v>1</v>
      </c>
      <c r="G72" s="13" t="n">
        <v>1</v>
      </c>
      <c r="H72" s="5" t="n">
        <v>49100</v>
      </c>
      <c r="I72" s="7" t="n">
        <v>1200</v>
      </c>
      <c r="J72" s="16" t="n">
        <v>40.9166666666667</v>
      </c>
      <c r="K72" s="16" t="n">
        <v>40.9166666666667</v>
      </c>
      <c r="L72" s="16"/>
      <c r="M72" s="16"/>
      <c r="N72" s="19"/>
    </row>
    <row r="73" customFormat="false" ht="15" hidden="false" customHeight="false" outlineLevel="0" collapsed="false">
      <c r="A73" s="13" t="s">
        <v>2413</v>
      </c>
      <c r="B73" s="13" t="s">
        <v>42</v>
      </c>
      <c r="C73" s="13" t="s">
        <v>43</v>
      </c>
      <c r="D73" s="13" t="s">
        <v>2324</v>
      </c>
      <c r="E73" s="13" t="s">
        <v>307</v>
      </c>
      <c r="F73" s="13" t="n">
        <v>1</v>
      </c>
      <c r="G73" s="13" t="n">
        <v>4</v>
      </c>
      <c r="H73" s="5" t="n">
        <v>48400</v>
      </c>
      <c r="I73" s="7" t="n">
        <v>72</v>
      </c>
      <c r="J73" s="16" t="n">
        <v>672.222222222222</v>
      </c>
      <c r="K73" s="16"/>
      <c r="L73" s="16" t="n">
        <v>672.222222222222</v>
      </c>
      <c r="M73" s="16"/>
      <c r="N73" s="19"/>
    </row>
    <row r="74" customFormat="false" ht="15" hidden="false" customHeight="false" outlineLevel="0" collapsed="false">
      <c r="A74" s="13" t="s">
        <v>2414</v>
      </c>
      <c r="B74" s="13" t="s">
        <v>195</v>
      </c>
      <c r="C74" s="13" t="s">
        <v>43</v>
      </c>
      <c r="D74" s="13" t="s">
        <v>2324</v>
      </c>
      <c r="E74" s="13" t="s">
        <v>196</v>
      </c>
      <c r="F74" s="13" t="n">
        <v>2</v>
      </c>
      <c r="G74" s="13" t="n">
        <v>5</v>
      </c>
      <c r="H74" s="5" t="n">
        <v>47980</v>
      </c>
      <c r="I74" s="7" t="n">
        <v>82</v>
      </c>
      <c r="J74" s="16" t="n">
        <v>585.121951219512</v>
      </c>
      <c r="K74" s="16" t="n">
        <v>532</v>
      </c>
      <c r="L74" s="16"/>
      <c r="M74" s="16" t="n">
        <v>668.125</v>
      </c>
      <c r="N74" s="19" t="n">
        <v>0.255874060150376</v>
      </c>
    </row>
    <row r="75" customFormat="false" ht="15" hidden="false" customHeight="false" outlineLevel="0" collapsed="false">
      <c r="A75" s="13" t="s">
        <v>2415</v>
      </c>
      <c r="B75" s="13" t="s">
        <v>45</v>
      </c>
      <c r="C75" s="13" t="s">
        <v>43</v>
      </c>
      <c r="D75" s="13" t="s">
        <v>2324</v>
      </c>
      <c r="E75" s="13" t="s">
        <v>119</v>
      </c>
      <c r="F75" s="13" t="n">
        <v>2</v>
      </c>
      <c r="G75" s="13" t="n">
        <v>4</v>
      </c>
      <c r="H75" s="5" t="n">
        <v>47740</v>
      </c>
      <c r="I75" s="7" t="n">
        <v>65</v>
      </c>
      <c r="J75" s="16" t="n">
        <v>734.461538461539</v>
      </c>
      <c r="K75" s="16"/>
      <c r="L75" s="16" t="n">
        <v>1000</v>
      </c>
      <c r="M75" s="16" t="n">
        <v>717.049180327869</v>
      </c>
      <c r="N75" s="19" t="n">
        <v>0.394604481024234</v>
      </c>
    </row>
    <row r="76" customFormat="false" ht="15" hidden="false" customHeight="false" outlineLevel="0" collapsed="false">
      <c r="A76" s="13" t="s">
        <v>2416</v>
      </c>
      <c r="B76" s="13" t="s">
        <v>2094</v>
      </c>
      <c r="C76" s="13" t="s">
        <v>57</v>
      </c>
      <c r="D76" s="13" t="s">
        <v>2324</v>
      </c>
      <c r="E76" s="13" t="s">
        <v>2417</v>
      </c>
      <c r="F76" s="13" t="n">
        <v>1</v>
      </c>
      <c r="G76" s="13" t="n">
        <v>2</v>
      </c>
      <c r="H76" s="5" t="n">
        <v>47380</v>
      </c>
      <c r="I76" s="7" t="n">
        <v>542</v>
      </c>
      <c r="J76" s="16" t="n">
        <v>87.4169741697417</v>
      </c>
      <c r="K76" s="16" t="n">
        <v>87.4169741697417</v>
      </c>
      <c r="L76" s="16"/>
      <c r="M76" s="16"/>
      <c r="N76" s="19"/>
    </row>
    <row r="77" customFormat="false" ht="15" hidden="false" customHeight="false" outlineLevel="0" collapsed="false">
      <c r="A77" s="13" t="s">
        <v>2418</v>
      </c>
      <c r="B77" s="13" t="s">
        <v>45</v>
      </c>
      <c r="C77" s="13" t="s">
        <v>43</v>
      </c>
      <c r="D77" s="13" t="s">
        <v>2324</v>
      </c>
      <c r="E77" s="13" t="s">
        <v>113</v>
      </c>
      <c r="F77" s="13" t="n">
        <v>2</v>
      </c>
      <c r="G77" s="13" t="n">
        <v>6</v>
      </c>
      <c r="H77" s="5" t="n">
        <v>47030</v>
      </c>
      <c r="I77" s="7" t="n">
        <v>70</v>
      </c>
      <c r="J77" s="16" t="n">
        <v>671.857142857143</v>
      </c>
      <c r="K77" s="16"/>
      <c r="L77" s="16" t="n">
        <v>1191.25</v>
      </c>
      <c r="M77" s="16" t="n">
        <v>604.838709677419</v>
      </c>
      <c r="N77" s="19" t="n">
        <v>0.969533333333333</v>
      </c>
    </row>
    <row r="78" customFormat="false" ht="15" hidden="false" customHeight="false" outlineLevel="0" collapsed="false">
      <c r="A78" s="13" t="s">
        <v>2419</v>
      </c>
      <c r="B78" s="13" t="s">
        <v>111</v>
      </c>
      <c r="C78" s="13" t="s">
        <v>43</v>
      </c>
      <c r="D78" s="13" t="s">
        <v>2324</v>
      </c>
      <c r="E78" s="13" t="s">
        <v>112</v>
      </c>
      <c r="F78" s="13" t="n">
        <v>1</v>
      </c>
      <c r="G78" s="13" t="n">
        <v>1</v>
      </c>
      <c r="H78" s="5" t="n">
        <v>46400</v>
      </c>
      <c r="I78" s="7" t="n">
        <v>150</v>
      </c>
      <c r="J78" s="16" t="n">
        <v>309.333333333333</v>
      </c>
      <c r="K78" s="16" t="n">
        <v>309.333333333333</v>
      </c>
      <c r="L78" s="16"/>
      <c r="M78" s="16"/>
      <c r="N78" s="19"/>
    </row>
    <row r="79" customFormat="false" ht="15" hidden="false" customHeight="false" outlineLevel="0" collapsed="false">
      <c r="A79" s="13" t="s">
        <v>2420</v>
      </c>
      <c r="B79" s="13" t="s">
        <v>2118</v>
      </c>
      <c r="C79" s="13" t="s">
        <v>43</v>
      </c>
      <c r="D79" s="13" t="s">
        <v>2324</v>
      </c>
      <c r="E79" s="13" t="s">
        <v>76</v>
      </c>
      <c r="F79" s="13" t="n">
        <v>1</v>
      </c>
      <c r="G79" s="13" t="n">
        <v>2</v>
      </c>
      <c r="H79" s="5" t="n">
        <v>45800</v>
      </c>
      <c r="I79" s="7" t="n">
        <v>75</v>
      </c>
      <c r="J79" s="16" t="n">
        <v>610.666666666667</v>
      </c>
      <c r="K79" s="16"/>
      <c r="L79" s="16"/>
      <c r="M79" s="16" t="n">
        <v>610.666666666667</v>
      </c>
      <c r="N79" s="19"/>
    </row>
    <row r="80" customFormat="false" ht="15" hidden="false" customHeight="false" outlineLevel="0" collapsed="false">
      <c r="A80" s="13" t="s">
        <v>2421</v>
      </c>
      <c r="B80" s="13" t="s">
        <v>42</v>
      </c>
      <c r="C80" s="13" t="s">
        <v>43</v>
      </c>
      <c r="D80" s="13" t="s">
        <v>2422</v>
      </c>
      <c r="E80" s="13" t="s">
        <v>152</v>
      </c>
      <c r="F80" s="13" t="n">
        <v>2</v>
      </c>
      <c r="G80" s="13" t="n">
        <v>5</v>
      </c>
      <c r="H80" s="5" t="n">
        <v>45240</v>
      </c>
      <c r="I80" s="7" t="n">
        <v>118</v>
      </c>
      <c r="J80" s="16" t="n">
        <v>383.389830508475</v>
      </c>
      <c r="K80" s="16"/>
      <c r="L80" s="16" t="n">
        <v>840</v>
      </c>
      <c r="M80" s="16" t="n">
        <v>363.185840707965</v>
      </c>
      <c r="N80" s="19" t="n">
        <v>1.31286549707602</v>
      </c>
    </row>
    <row r="81" customFormat="false" ht="15" hidden="false" customHeight="false" outlineLevel="0" collapsed="false">
      <c r="A81" s="13" t="s">
        <v>2423</v>
      </c>
      <c r="B81" s="13" t="s">
        <v>2095</v>
      </c>
      <c r="C81" s="13" t="s">
        <v>140</v>
      </c>
      <c r="D81" s="13" t="s">
        <v>2324</v>
      </c>
      <c r="E81" s="13" t="s">
        <v>2424</v>
      </c>
      <c r="F81" s="13" t="n">
        <v>1</v>
      </c>
      <c r="G81" s="13" t="n">
        <v>1</v>
      </c>
      <c r="H81" s="5" t="n">
        <v>45100</v>
      </c>
      <c r="I81" s="7" t="n">
        <v>900</v>
      </c>
      <c r="J81" s="16" t="n">
        <v>50.1111111111111</v>
      </c>
      <c r="K81" s="16" t="n">
        <v>50.1111111111111</v>
      </c>
      <c r="L81" s="16"/>
      <c r="M81" s="16"/>
      <c r="N81" s="19"/>
    </row>
    <row r="82" customFormat="false" ht="15" hidden="false" customHeight="false" outlineLevel="0" collapsed="false">
      <c r="A82" s="13" t="s">
        <v>2425</v>
      </c>
      <c r="B82" s="13" t="s">
        <v>2101</v>
      </c>
      <c r="C82" s="13" t="s">
        <v>129</v>
      </c>
      <c r="D82" s="13" t="s">
        <v>2324</v>
      </c>
      <c r="E82" s="13" t="s">
        <v>2426</v>
      </c>
      <c r="F82" s="13" t="n">
        <v>1</v>
      </c>
      <c r="G82" s="13" t="n">
        <v>1</v>
      </c>
      <c r="H82" s="5" t="n">
        <v>44800</v>
      </c>
      <c r="I82" s="7" t="n">
        <v>450</v>
      </c>
      <c r="J82" s="16" t="n">
        <v>99.5555555555556</v>
      </c>
      <c r="K82" s="16" t="n">
        <v>99.5555555555556</v>
      </c>
      <c r="L82" s="16"/>
      <c r="M82" s="16"/>
      <c r="N82" s="19"/>
    </row>
    <row r="83" customFormat="false" ht="15" hidden="false" customHeight="false" outlineLevel="0" collapsed="false">
      <c r="A83" s="13" t="s">
        <v>2427</v>
      </c>
      <c r="B83" s="13" t="s">
        <v>45</v>
      </c>
      <c r="C83" s="13" t="s">
        <v>43</v>
      </c>
      <c r="D83" s="13" t="s">
        <v>2324</v>
      </c>
      <c r="E83" s="13" t="s">
        <v>1053</v>
      </c>
      <c r="F83" s="13" t="n">
        <v>2</v>
      </c>
      <c r="G83" s="13" t="n">
        <v>5</v>
      </c>
      <c r="H83" s="5" t="n">
        <v>44570</v>
      </c>
      <c r="I83" s="7" t="n">
        <v>55</v>
      </c>
      <c r="J83" s="16" t="n">
        <v>810.363636363636</v>
      </c>
      <c r="K83" s="16"/>
      <c r="L83" s="16" t="n">
        <v>756.666666666667</v>
      </c>
      <c r="M83" s="16" t="n">
        <v>813.461538461539</v>
      </c>
      <c r="N83" s="19" t="n">
        <v>0.0750593019315487</v>
      </c>
    </row>
    <row r="84" customFormat="false" ht="15" hidden="false" customHeight="false" outlineLevel="0" collapsed="false">
      <c r="A84" s="13" t="s">
        <v>2428</v>
      </c>
      <c r="B84" s="13" t="s">
        <v>2103</v>
      </c>
      <c r="C84" s="13" t="s">
        <v>85</v>
      </c>
      <c r="D84" s="13" t="s">
        <v>2429</v>
      </c>
      <c r="E84" s="13" t="s">
        <v>2430</v>
      </c>
      <c r="F84" s="13" t="n">
        <v>1</v>
      </c>
      <c r="G84" s="13" t="n">
        <v>1</v>
      </c>
      <c r="H84" s="5" t="n">
        <v>44200</v>
      </c>
      <c r="I84" s="7" t="n">
        <v>640</v>
      </c>
      <c r="J84" s="16" t="n">
        <v>69.0625</v>
      </c>
      <c r="K84" s="16" t="n">
        <v>69.0625</v>
      </c>
      <c r="L84" s="16"/>
      <c r="M84" s="16"/>
      <c r="N84" s="19"/>
    </row>
    <row r="85" customFormat="false" ht="15" hidden="false" customHeight="false" outlineLevel="0" collapsed="false">
      <c r="A85" s="13" t="s">
        <v>2431</v>
      </c>
      <c r="B85" s="13" t="s">
        <v>114</v>
      </c>
      <c r="C85" s="13" t="s">
        <v>115</v>
      </c>
      <c r="D85" s="13" t="s">
        <v>2432</v>
      </c>
      <c r="E85" s="13" t="s">
        <v>116</v>
      </c>
      <c r="F85" s="13" t="n">
        <v>1</v>
      </c>
      <c r="G85" s="13" t="n">
        <v>1</v>
      </c>
      <c r="H85" s="5" t="n">
        <v>44000</v>
      </c>
      <c r="I85" s="7" t="n">
        <v>420</v>
      </c>
      <c r="J85" s="16" t="n">
        <v>104.761904761905</v>
      </c>
      <c r="K85" s="16" t="n">
        <v>104.761904761905</v>
      </c>
      <c r="L85" s="16"/>
      <c r="M85" s="16"/>
      <c r="N85" s="19"/>
    </row>
    <row r="86" customFormat="false" ht="15" hidden="false" customHeight="false" outlineLevel="0" collapsed="false">
      <c r="A86" s="13" t="s">
        <v>2433</v>
      </c>
      <c r="B86" s="13" t="s">
        <v>117</v>
      </c>
      <c r="C86" s="13" t="s">
        <v>98</v>
      </c>
      <c r="D86" s="13" t="s">
        <v>2324</v>
      </c>
      <c r="E86" s="13" t="s">
        <v>118</v>
      </c>
      <c r="F86" s="13" t="n">
        <v>1</v>
      </c>
      <c r="G86" s="13" t="n">
        <v>1</v>
      </c>
      <c r="H86" s="5" t="n">
        <v>43600</v>
      </c>
      <c r="I86" s="7" t="n">
        <v>60</v>
      </c>
      <c r="J86" s="16" t="n">
        <v>726.666666666667</v>
      </c>
      <c r="K86" s="16" t="n">
        <v>726.666666666667</v>
      </c>
      <c r="L86" s="16"/>
      <c r="M86" s="16"/>
      <c r="N86" s="19"/>
    </row>
    <row r="87" customFormat="false" ht="15" hidden="false" customHeight="false" outlineLevel="0" collapsed="false">
      <c r="A87" s="13" t="s">
        <v>2434</v>
      </c>
      <c r="B87" s="13" t="s">
        <v>45</v>
      </c>
      <c r="C87" s="13" t="s">
        <v>43</v>
      </c>
      <c r="D87" s="13" t="s">
        <v>2324</v>
      </c>
      <c r="E87" s="13" t="s">
        <v>49</v>
      </c>
      <c r="F87" s="13" t="n">
        <v>2</v>
      </c>
      <c r="G87" s="13" t="n">
        <v>5</v>
      </c>
      <c r="H87" s="5" t="n">
        <v>43590</v>
      </c>
      <c r="I87" s="7" t="n">
        <v>74</v>
      </c>
      <c r="J87" s="16" t="n">
        <v>589.054054054054</v>
      </c>
      <c r="K87" s="16"/>
      <c r="L87" s="16" t="n">
        <v>666.25</v>
      </c>
      <c r="M87" s="16" t="n">
        <v>552</v>
      </c>
      <c r="N87" s="19" t="n">
        <v>0.206974637681159</v>
      </c>
    </row>
    <row r="88" customFormat="false" ht="15" hidden="false" customHeight="false" outlineLevel="0" collapsed="false">
      <c r="A88" s="13" t="s">
        <v>2435</v>
      </c>
      <c r="B88" s="13" t="s">
        <v>124</v>
      </c>
      <c r="C88" s="13" t="s">
        <v>43</v>
      </c>
      <c r="D88" s="13" t="s">
        <v>2324</v>
      </c>
      <c r="E88" s="13" t="s">
        <v>210</v>
      </c>
      <c r="F88" s="13" t="n">
        <v>1</v>
      </c>
      <c r="G88" s="13" t="n">
        <v>3</v>
      </c>
      <c r="H88" s="5" t="n">
        <v>42820</v>
      </c>
      <c r="I88" s="7" t="n">
        <v>61</v>
      </c>
      <c r="J88" s="16" t="n">
        <v>701.967213114754</v>
      </c>
      <c r="K88" s="16"/>
      <c r="L88" s="16"/>
      <c r="M88" s="16" t="n">
        <v>701.967213114754</v>
      </c>
      <c r="N88" s="19"/>
    </row>
    <row r="89" customFormat="false" ht="15" hidden="false" customHeight="false" outlineLevel="0" collapsed="false">
      <c r="A89" s="13" t="s">
        <v>2436</v>
      </c>
      <c r="B89" s="13" t="s">
        <v>161</v>
      </c>
      <c r="C89" s="13" t="s">
        <v>43</v>
      </c>
      <c r="D89" s="13" t="s">
        <v>2324</v>
      </c>
      <c r="E89" s="13" t="s">
        <v>171</v>
      </c>
      <c r="F89" s="13" t="n">
        <v>2</v>
      </c>
      <c r="G89" s="13" t="n">
        <v>5</v>
      </c>
      <c r="H89" s="5" t="n">
        <v>42000</v>
      </c>
      <c r="I89" s="7" t="n">
        <v>129</v>
      </c>
      <c r="J89" s="16" t="n">
        <v>325.581395348837</v>
      </c>
      <c r="K89" s="16" t="n">
        <v>294.117647058824</v>
      </c>
      <c r="L89" s="16" t="n">
        <v>444.444444444445</v>
      </c>
      <c r="M89" s="16"/>
      <c r="N89" s="19" t="n">
        <v>0.511111111111111</v>
      </c>
    </row>
    <row r="90" customFormat="false" ht="15" hidden="false" customHeight="false" outlineLevel="0" collapsed="false">
      <c r="A90" s="13" t="s">
        <v>2437</v>
      </c>
      <c r="B90" s="13" t="s">
        <v>121</v>
      </c>
      <c r="C90" s="13" t="s">
        <v>43</v>
      </c>
      <c r="D90" s="13" t="s">
        <v>2324</v>
      </c>
      <c r="E90" s="13" t="s">
        <v>122</v>
      </c>
      <c r="F90" s="13" t="n">
        <v>1</v>
      </c>
      <c r="G90" s="13" t="n">
        <v>2</v>
      </c>
      <c r="H90" s="5" t="n">
        <v>41900</v>
      </c>
      <c r="I90" s="7" t="n">
        <v>210</v>
      </c>
      <c r="J90" s="16" t="n">
        <v>199.52380952381</v>
      </c>
      <c r="K90" s="16"/>
      <c r="L90" s="16"/>
      <c r="M90" s="16" t="n">
        <v>199.52380952381</v>
      </c>
      <c r="N90" s="19"/>
    </row>
    <row r="91" customFormat="false" ht="15" hidden="false" customHeight="false" outlineLevel="0" collapsed="false">
      <c r="A91" s="13" t="s">
        <v>2438</v>
      </c>
      <c r="B91" s="13" t="s">
        <v>2105</v>
      </c>
      <c r="C91" s="13" t="s">
        <v>144</v>
      </c>
      <c r="D91" s="13" t="s">
        <v>2324</v>
      </c>
      <c r="E91" s="13" t="s">
        <v>2439</v>
      </c>
      <c r="F91" s="13" t="n">
        <v>1</v>
      </c>
      <c r="G91" s="13" t="n">
        <v>1</v>
      </c>
      <c r="H91" s="5" t="n">
        <v>41300</v>
      </c>
      <c r="I91" s="7" t="n">
        <v>470</v>
      </c>
      <c r="J91" s="16" t="n">
        <v>87.8723404255319</v>
      </c>
      <c r="K91" s="16" t="n">
        <v>87.8723404255319</v>
      </c>
      <c r="L91" s="16"/>
      <c r="M91" s="16"/>
      <c r="N91" s="19"/>
    </row>
    <row r="92" customFormat="false" ht="15" hidden="false" customHeight="false" outlineLevel="0" collapsed="false">
      <c r="A92" s="13" t="s">
        <v>2440</v>
      </c>
      <c r="B92" s="13" t="s">
        <v>42</v>
      </c>
      <c r="C92" s="13" t="s">
        <v>43</v>
      </c>
      <c r="D92" s="13" t="s">
        <v>2324</v>
      </c>
      <c r="E92" s="13" t="s">
        <v>47</v>
      </c>
      <c r="F92" s="13" t="n">
        <v>2</v>
      </c>
      <c r="G92" s="13" t="n">
        <v>6</v>
      </c>
      <c r="H92" s="5" t="n">
        <v>40920</v>
      </c>
      <c r="I92" s="7" t="n">
        <v>66</v>
      </c>
      <c r="J92" s="16" t="n">
        <v>620</v>
      </c>
      <c r="K92" s="16"/>
      <c r="L92" s="16" t="n">
        <v>636.363636363636</v>
      </c>
      <c r="M92" s="16" t="n">
        <v>611.818181818182</v>
      </c>
      <c r="N92" s="19" t="n">
        <v>0.0401188707280831</v>
      </c>
    </row>
    <row r="93" customFormat="false" ht="15" hidden="false" customHeight="false" outlineLevel="0" collapsed="false">
      <c r="A93" s="13" t="s">
        <v>2441</v>
      </c>
      <c r="B93" s="13" t="s">
        <v>124</v>
      </c>
      <c r="C93" s="13" t="s">
        <v>43</v>
      </c>
      <c r="D93" s="13" t="s">
        <v>2324</v>
      </c>
      <c r="E93" s="13" t="s">
        <v>125</v>
      </c>
      <c r="F93" s="13" t="n">
        <v>1</v>
      </c>
      <c r="G93" s="13" t="n">
        <v>2</v>
      </c>
      <c r="H93" s="5" t="n">
        <v>40300</v>
      </c>
      <c r="I93" s="7" t="n">
        <v>45</v>
      </c>
      <c r="J93" s="16" t="n">
        <v>895.555555555556</v>
      </c>
      <c r="K93" s="16"/>
      <c r="L93" s="16"/>
      <c r="M93" s="16" t="n">
        <v>895.555555555556</v>
      </c>
      <c r="N93" s="19"/>
    </row>
    <row r="94" customFormat="false" ht="15" hidden="false" customHeight="false" outlineLevel="0" collapsed="false">
      <c r="A94" s="13" t="s">
        <v>2442</v>
      </c>
      <c r="B94" s="13" t="s">
        <v>42</v>
      </c>
      <c r="C94" s="13" t="s">
        <v>43</v>
      </c>
      <c r="D94" s="13" t="s">
        <v>2324</v>
      </c>
      <c r="E94" s="13" t="s">
        <v>296</v>
      </c>
      <c r="F94" s="13" t="n">
        <v>2</v>
      </c>
      <c r="G94" s="13" t="n">
        <v>6</v>
      </c>
      <c r="H94" s="5" t="n">
        <v>39900</v>
      </c>
      <c r="I94" s="7" t="n">
        <v>56</v>
      </c>
      <c r="J94" s="16" t="n">
        <v>712.5</v>
      </c>
      <c r="K94" s="16"/>
      <c r="L94" s="16" t="n">
        <v>700</v>
      </c>
      <c r="M94" s="16" t="n">
        <v>731.818181818182</v>
      </c>
      <c r="N94" s="19" t="n">
        <v>0.0454545454545455</v>
      </c>
    </row>
    <row r="95" customFormat="false" ht="15" hidden="false" customHeight="false" outlineLevel="0" collapsed="false">
      <c r="A95" s="13" t="s">
        <v>2443</v>
      </c>
      <c r="B95" s="13" t="s">
        <v>45</v>
      </c>
      <c r="C95" s="13" t="s">
        <v>43</v>
      </c>
      <c r="D95" s="13" t="s">
        <v>2324</v>
      </c>
      <c r="E95" s="13" t="s">
        <v>101</v>
      </c>
      <c r="F95" s="13" t="n">
        <v>2</v>
      </c>
      <c r="G95" s="13" t="n">
        <v>4</v>
      </c>
      <c r="H95" s="5" t="n">
        <v>39150</v>
      </c>
      <c r="I95" s="7" t="n">
        <v>82</v>
      </c>
      <c r="J95" s="16" t="n">
        <v>477.439024390244</v>
      </c>
      <c r="K95" s="16"/>
      <c r="L95" s="16" t="n">
        <v>456.818181818182</v>
      </c>
      <c r="M95" s="16" t="n">
        <v>485</v>
      </c>
      <c r="N95" s="19" t="n">
        <v>0.0616915422885572</v>
      </c>
    </row>
    <row r="96" customFormat="false" ht="15" hidden="false" customHeight="false" outlineLevel="0" collapsed="false">
      <c r="A96" s="13" t="s">
        <v>2444</v>
      </c>
      <c r="B96" s="13" t="s">
        <v>117</v>
      </c>
      <c r="C96" s="13" t="s">
        <v>98</v>
      </c>
      <c r="D96" s="13" t="s">
        <v>2324</v>
      </c>
      <c r="E96" s="13" t="s">
        <v>123</v>
      </c>
      <c r="F96" s="13" t="n">
        <v>1</v>
      </c>
      <c r="G96" s="13" t="n">
        <v>1</v>
      </c>
      <c r="H96" s="5" t="n">
        <v>38900</v>
      </c>
      <c r="I96" s="7" t="n">
        <v>20</v>
      </c>
      <c r="J96" s="16" t="n">
        <v>1945</v>
      </c>
      <c r="K96" s="16" t="n">
        <v>1945</v>
      </c>
      <c r="L96" s="16"/>
      <c r="M96" s="16"/>
      <c r="N96" s="19"/>
    </row>
    <row r="97" customFormat="false" ht="15" hidden="false" customHeight="false" outlineLevel="0" collapsed="false">
      <c r="A97" s="13" t="s">
        <v>2445</v>
      </c>
      <c r="B97" s="13" t="s">
        <v>161</v>
      </c>
      <c r="C97" s="13" t="s">
        <v>43</v>
      </c>
      <c r="D97" s="13" t="s">
        <v>2324</v>
      </c>
      <c r="E97" s="13" t="s">
        <v>174</v>
      </c>
      <c r="F97" s="13" t="n">
        <v>1</v>
      </c>
      <c r="G97" s="13" t="n">
        <v>2</v>
      </c>
      <c r="H97" s="5" t="n">
        <v>38300</v>
      </c>
      <c r="I97" s="7" t="n">
        <v>140</v>
      </c>
      <c r="J97" s="16" t="n">
        <v>273.571428571429</v>
      </c>
      <c r="K97" s="16"/>
      <c r="L97" s="16" t="n">
        <v>273.571428571429</v>
      </c>
      <c r="M97" s="16"/>
      <c r="N97" s="19"/>
    </row>
    <row r="98" customFormat="false" ht="15" hidden="false" customHeight="false" outlineLevel="0" collapsed="false">
      <c r="A98" s="13" t="s">
        <v>2446</v>
      </c>
      <c r="B98" s="13" t="s">
        <v>111</v>
      </c>
      <c r="C98" s="13" t="s">
        <v>43</v>
      </c>
      <c r="D98" s="13" t="s">
        <v>2339</v>
      </c>
      <c r="E98" s="13" t="s">
        <v>150</v>
      </c>
      <c r="F98" s="13" t="n">
        <v>2</v>
      </c>
      <c r="G98" s="13" t="n">
        <v>4</v>
      </c>
      <c r="H98" s="5" t="n">
        <v>38120</v>
      </c>
      <c r="I98" s="7" t="n">
        <v>126</v>
      </c>
      <c r="J98" s="16" t="n">
        <v>302.539682539683</v>
      </c>
      <c r="K98" s="16" t="n">
        <v>289.166666666667</v>
      </c>
      <c r="L98" s="16" t="n">
        <v>570</v>
      </c>
      <c r="M98" s="16"/>
      <c r="N98" s="19" t="n">
        <v>0.971181556195965</v>
      </c>
    </row>
    <row r="99" customFormat="false" ht="15" hidden="false" customHeight="false" outlineLevel="0" collapsed="false">
      <c r="A99" s="13" t="s">
        <v>2447</v>
      </c>
      <c r="B99" s="13" t="s">
        <v>165</v>
      </c>
      <c r="C99" s="13" t="s">
        <v>43</v>
      </c>
      <c r="D99" s="13" t="s">
        <v>2339</v>
      </c>
      <c r="E99" s="13" t="s">
        <v>573</v>
      </c>
      <c r="F99" s="13" t="n">
        <v>2</v>
      </c>
      <c r="G99" s="13" t="n">
        <v>3</v>
      </c>
      <c r="H99" s="5" t="n">
        <v>37600</v>
      </c>
      <c r="I99" s="7" t="n">
        <v>65</v>
      </c>
      <c r="J99" s="16" t="n">
        <v>578.461538461539</v>
      </c>
      <c r="K99" s="16" t="n">
        <v>920</v>
      </c>
      <c r="L99" s="16"/>
      <c r="M99" s="16" t="n">
        <v>550</v>
      </c>
      <c r="N99" s="19" t="n">
        <v>0.672727272727273</v>
      </c>
    </row>
    <row r="100" customFormat="false" ht="15" hidden="false" customHeight="false" outlineLevel="0" collapsed="false">
      <c r="A100" s="13" t="s">
        <v>2448</v>
      </c>
      <c r="B100" s="13" t="s">
        <v>2106</v>
      </c>
      <c r="C100" s="13" t="s">
        <v>98</v>
      </c>
      <c r="D100" s="13" t="s">
        <v>2324</v>
      </c>
      <c r="E100" s="13" t="s">
        <v>2449</v>
      </c>
      <c r="F100" s="13" t="n">
        <v>1</v>
      </c>
      <c r="G100" s="13" t="n">
        <v>1</v>
      </c>
      <c r="H100" s="5" t="n">
        <v>36600</v>
      </c>
      <c r="I100" s="7" t="n">
        <v>730</v>
      </c>
      <c r="J100" s="16" t="n">
        <v>50.1369863013699</v>
      </c>
      <c r="K100" s="16" t="n">
        <v>50.1369863013699</v>
      </c>
      <c r="L100" s="16"/>
      <c r="M100" s="16"/>
      <c r="N100" s="19"/>
    </row>
    <row r="101" customFormat="false" ht="15" hidden="false" customHeight="false" outlineLevel="0" collapsed="false">
      <c r="A101" s="13" t="s">
        <v>2450</v>
      </c>
      <c r="B101" s="13" t="s">
        <v>79</v>
      </c>
      <c r="C101" s="13" t="s">
        <v>43</v>
      </c>
      <c r="D101" s="13" t="s">
        <v>2324</v>
      </c>
      <c r="E101" s="13" t="s">
        <v>283</v>
      </c>
      <c r="F101" s="13" t="n">
        <v>3</v>
      </c>
      <c r="G101" s="13" t="n">
        <v>6</v>
      </c>
      <c r="H101" s="5" t="n">
        <v>36340</v>
      </c>
      <c r="I101" s="7" t="n">
        <v>35</v>
      </c>
      <c r="J101" s="16" t="n">
        <v>1038.28571428571</v>
      </c>
      <c r="K101" s="16" t="n">
        <v>1080</v>
      </c>
      <c r="L101" s="16" t="n">
        <v>2050</v>
      </c>
      <c r="M101" s="16" t="n">
        <v>958.571428571429</v>
      </c>
      <c r="N101" s="19" t="n">
        <v>1.13859910581222</v>
      </c>
    </row>
    <row r="102" customFormat="false" ht="15" hidden="false" customHeight="false" outlineLevel="0" collapsed="false">
      <c r="A102" s="13" t="s">
        <v>2451</v>
      </c>
      <c r="B102" s="13" t="s">
        <v>45</v>
      </c>
      <c r="C102" s="13" t="s">
        <v>43</v>
      </c>
      <c r="D102" s="13" t="s">
        <v>2324</v>
      </c>
      <c r="E102" s="13" t="s">
        <v>46</v>
      </c>
      <c r="F102" s="13" t="n">
        <v>1</v>
      </c>
      <c r="G102" s="13" t="n">
        <v>1</v>
      </c>
      <c r="H102" s="5" t="n">
        <v>36100</v>
      </c>
      <c r="I102" s="7" t="n">
        <v>60</v>
      </c>
      <c r="J102" s="16" t="n">
        <v>601.666666666667</v>
      </c>
      <c r="K102" s="16"/>
      <c r="L102" s="16"/>
      <c r="M102" s="16" t="n">
        <v>601.666666666667</v>
      </c>
      <c r="N102" s="19"/>
    </row>
    <row r="103" customFormat="false" ht="15" hidden="false" customHeight="false" outlineLevel="0" collapsed="false">
      <c r="A103" s="13" t="s">
        <v>2452</v>
      </c>
      <c r="B103" s="13" t="s">
        <v>50</v>
      </c>
      <c r="C103" s="13" t="s">
        <v>43</v>
      </c>
      <c r="D103" s="13" t="s">
        <v>2339</v>
      </c>
      <c r="E103" s="13" t="s">
        <v>189</v>
      </c>
      <c r="F103" s="13" t="n">
        <v>2</v>
      </c>
      <c r="G103" s="13" t="n">
        <v>6</v>
      </c>
      <c r="H103" s="5" t="n">
        <v>35690</v>
      </c>
      <c r="I103" s="7" t="n">
        <v>49</v>
      </c>
      <c r="J103" s="16" t="n">
        <v>728.367346938776</v>
      </c>
      <c r="K103" s="16"/>
      <c r="L103" s="16" t="n">
        <v>1020</v>
      </c>
      <c r="M103" s="16" t="n">
        <v>599.705882352941</v>
      </c>
      <c r="N103" s="19" t="n">
        <v>0.700833742030407</v>
      </c>
    </row>
    <row r="104" customFormat="false" ht="15" hidden="false" customHeight="false" outlineLevel="0" collapsed="false">
      <c r="A104" s="13" t="s">
        <v>2453</v>
      </c>
      <c r="B104" s="13" t="s">
        <v>126</v>
      </c>
      <c r="C104" s="13" t="s">
        <v>43</v>
      </c>
      <c r="D104" s="13" t="s">
        <v>2327</v>
      </c>
      <c r="E104" s="13" t="s">
        <v>127</v>
      </c>
      <c r="F104" s="13" t="n">
        <v>2</v>
      </c>
      <c r="G104" s="13" t="n">
        <v>2</v>
      </c>
      <c r="H104" s="5" t="n">
        <v>35340</v>
      </c>
      <c r="I104" s="7" t="n">
        <v>151</v>
      </c>
      <c r="J104" s="16" t="n">
        <v>234.039735099338</v>
      </c>
      <c r="K104" s="16" t="n">
        <v>233.333333333333</v>
      </c>
      <c r="L104" s="16"/>
      <c r="M104" s="16" t="n">
        <v>340</v>
      </c>
      <c r="N104" s="19" t="n">
        <v>0.457142857142857</v>
      </c>
    </row>
    <row r="105" customFormat="false" ht="15" hidden="false" customHeight="false" outlineLevel="0" collapsed="false">
      <c r="A105" s="13" t="s">
        <v>2454</v>
      </c>
      <c r="B105" s="13" t="s">
        <v>177</v>
      </c>
      <c r="C105" s="13" t="s">
        <v>43</v>
      </c>
      <c r="D105" s="13" t="s">
        <v>2455</v>
      </c>
      <c r="E105" s="13" t="s">
        <v>801</v>
      </c>
      <c r="F105" s="13" t="n">
        <v>2</v>
      </c>
      <c r="G105" s="13" t="n">
        <v>5</v>
      </c>
      <c r="H105" s="5" t="n">
        <v>35080</v>
      </c>
      <c r="I105" s="7" t="n">
        <v>47</v>
      </c>
      <c r="J105" s="16" t="n">
        <v>746.382978723404</v>
      </c>
      <c r="K105" s="16"/>
      <c r="L105" s="16" t="n">
        <v>1093.33333333333</v>
      </c>
      <c r="M105" s="16" t="n">
        <v>722.727272727273</v>
      </c>
      <c r="N105" s="19" t="n">
        <v>0.512788259958071</v>
      </c>
    </row>
    <row r="106" customFormat="false" ht="15" hidden="false" customHeight="false" outlineLevel="0" collapsed="false">
      <c r="A106" s="13" t="s">
        <v>2456</v>
      </c>
      <c r="B106" s="13" t="s">
        <v>128</v>
      </c>
      <c r="C106" s="13" t="s">
        <v>129</v>
      </c>
      <c r="D106" s="13" t="s">
        <v>2324</v>
      </c>
      <c r="E106" s="13" t="s">
        <v>130</v>
      </c>
      <c r="F106" s="13" t="n">
        <v>1</v>
      </c>
      <c r="G106" s="13" t="n">
        <v>1</v>
      </c>
      <c r="H106" s="5" t="n">
        <v>34300</v>
      </c>
      <c r="I106" s="7" t="n">
        <v>30</v>
      </c>
      <c r="J106" s="16" t="n">
        <v>1143.33333333333</v>
      </c>
      <c r="K106" s="16" t="n">
        <v>1143.33333333333</v>
      </c>
      <c r="L106" s="16"/>
      <c r="M106" s="16"/>
      <c r="N106" s="19"/>
    </row>
    <row r="107" customFormat="false" ht="15" hidden="false" customHeight="false" outlineLevel="0" collapsed="false">
      <c r="A107" s="13" t="s">
        <v>2457</v>
      </c>
      <c r="B107" s="13" t="s">
        <v>50</v>
      </c>
      <c r="C107" s="13" t="s">
        <v>43</v>
      </c>
      <c r="D107" s="13" t="s">
        <v>2324</v>
      </c>
      <c r="E107" s="13" t="s">
        <v>225</v>
      </c>
      <c r="F107" s="13" t="n">
        <v>2</v>
      </c>
      <c r="G107" s="13" t="n">
        <v>3</v>
      </c>
      <c r="H107" s="5" t="n">
        <v>34100</v>
      </c>
      <c r="I107" s="7" t="n">
        <v>42</v>
      </c>
      <c r="J107" s="16" t="n">
        <v>811.904761904762</v>
      </c>
      <c r="K107" s="16"/>
      <c r="L107" s="16" t="n">
        <v>793.75</v>
      </c>
      <c r="M107" s="16" t="n">
        <v>870</v>
      </c>
      <c r="N107" s="19" t="n">
        <v>0.0960629921259843</v>
      </c>
    </row>
    <row r="108" customFormat="false" ht="15" hidden="false" customHeight="false" outlineLevel="0" collapsed="false">
      <c r="A108" s="13" t="s">
        <v>2458</v>
      </c>
      <c r="B108" s="13" t="s">
        <v>131</v>
      </c>
      <c r="C108" s="13" t="s">
        <v>66</v>
      </c>
      <c r="D108" s="13" t="s">
        <v>2324</v>
      </c>
      <c r="E108" s="13" t="s">
        <v>132</v>
      </c>
      <c r="F108" s="13" t="n">
        <v>1</v>
      </c>
      <c r="G108" s="13" t="n">
        <v>1</v>
      </c>
      <c r="H108" s="5" t="n">
        <v>34100</v>
      </c>
      <c r="I108" s="7" t="n">
        <v>60</v>
      </c>
      <c r="J108" s="16" t="n">
        <v>568.333333333333</v>
      </c>
      <c r="K108" s="16" t="n">
        <v>568.333333333333</v>
      </c>
      <c r="L108" s="16"/>
      <c r="M108" s="16"/>
      <c r="N108" s="19"/>
    </row>
    <row r="109" customFormat="false" ht="15" hidden="false" customHeight="false" outlineLevel="0" collapsed="false">
      <c r="A109" s="13" t="s">
        <v>2459</v>
      </c>
      <c r="B109" s="13" t="s">
        <v>131</v>
      </c>
      <c r="C109" s="13" t="s">
        <v>66</v>
      </c>
      <c r="D109" s="13" t="s">
        <v>2324</v>
      </c>
      <c r="E109" s="13" t="s">
        <v>133</v>
      </c>
      <c r="F109" s="13" t="n">
        <v>1</v>
      </c>
      <c r="G109" s="13" t="n">
        <v>1</v>
      </c>
      <c r="H109" s="5" t="n">
        <v>34100</v>
      </c>
      <c r="I109" s="7" t="n">
        <v>60</v>
      </c>
      <c r="J109" s="16" t="n">
        <v>568.333333333333</v>
      </c>
      <c r="K109" s="16" t="n">
        <v>568.333333333333</v>
      </c>
      <c r="L109" s="16"/>
      <c r="M109" s="16"/>
      <c r="N109" s="19"/>
    </row>
    <row r="110" customFormat="false" ht="15" hidden="false" customHeight="false" outlineLevel="0" collapsed="false">
      <c r="A110" s="13" t="s">
        <v>2460</v>
      </c>
      <c r="B110" s="13" t="s">
        <v>45</v>
      </c>
      <c r="C110" s="13" t="s">
        <v>43</v>
      </c>
      <c r="D110" s="13" t="s">
        <v>2324</v>
      </c>
      <c r="E110" s="13" t="s">
        <v>101</v>
      </c>
      <c r="F110" s="13" t="n">
        <v>2</v>
      </c>
      <c r="G110" s="13" t="n">
        <v>5</v>
      </c>
      <c r="H110" s="5" t="n">
        <v>33970</v>
      </c>
      <c r="I110" s="7" t="n">
        <v>57</v>
      </c>
      <c r="J110" s="16" t="n">
        <v>595.964912280702</v>
      </c>
      <c r="K110" s="16"/>
      <c r="L110" s="16" t="n">
        <v>650</v>
      </c>
      <c r="M110" s="16" t="n">
        <v>594</v>
      </c>
      <c r="N110" s="19" t="n">
        <v>0.0942760942760943</v>
      </c>
    </row>
    <row r="111" customFormat="false" ht="15" hidden="false" customHeight="false" outlineLevel="0" collapsed="false">
      <c r="A111" s="13" t="s">
        <v>2461</v>
      </c>
      <c r="B111" s="13" t="s">
        <v>2094</v>
      </c>
      <c r="C111" s="13" t="s">
        <v>57</v>
      </c>
      <c r="D111" s="13" t="s">
        <v>2324</v>
      </c>
      <c r="E111" s="13" t="s">
        <v>2350</v>
      </c>
      <c r="F111" s="13" t="n">
        <v>1</v>
      </c>
      <c r="G111" s="13" t="n">
        <v>2</v>
      </c>
      <c r="H111" s="5" t="n">
        <v>33970</v>
      </c>
      <c r="I111" s="7" t="n">
        <v>481</v>
      </c>
      <c r="J111" s="16" t="n">
        <v>70.6237006237006</v>
      </c>
      <c r="K111" s="16" t="n">
        <v>70.6237006237006</v>
      </c>
      <c r="L111" s="16"/>
      <c r="M111" s="16"/>
      <c r="N111" s="19"/>
    </row>
    <row r="112" customFormat="false" ht="15" hidden="false" customHeight="false" outlineLevel="0" collapsed="false">
      <c r="A112" s="13" t="s">
        <v>2462</v>
      </c>
      <c r="B112" s="13" t="s">
        <v>42</v>
      </c>
      <c r="C112" s="13" t="s">
        <v>43</v>
      </c>
      <c r="D112" s="13" t="s">
        <v>2339</v>
      </c>
      <c r="E112" s="13" t="s">
        <v>209</v>
      </c>
      <c r="F112" s="13" t="n">
        <v>1</v>
      </c>
      <c r="G112" s="13" t="n">
        <v>2</v>
      </c>
      <c r="H112" s="5" t="n">
        <v>33700</v>
      </c>
      <c r="I112" s="7" t="n">
        <v>50</v>
      </c>
      <c r="J112" s="16" t="n">
        <v>674</v>
      </c>
      <c r="K112" s="16"/>
      <c r="L112" s="16" t="n">
        <v>674</v>
      </c>
      <c r="M112" s="16"/>
      <c r="N112" s="19"/>
    </row>
    <row r="113" customFormat="false" ht="15" hidden="false" customHeight="false" outlineLevel="0" collapsed="false">
      <c r="A113" s="13" t="s">
        <v>2463</v>
      </c>
      <c r="B113" s="13" t="s">
        <v>50</v>
      </c>
      <c r="C113" s="13" t="s">
        <v>43</v>
      </c>
      <c r="D113" s="13" t="s">
        <v>2429</v>
      </c>
      <c r="E113" s="13" t="s">
        <v>160</v>
      </c>
      <c r="F113" s="13" t="n">
        <v>2</v>
      </c>
      <c r="G113" s="13" t="n">
        <v>3</v>
      </c>
      <c r="H113" s="5" t="n">
        <v>33400</v>
      </c>
      <c r="I113" s="7" t="n">
        <v>44</v>
      </c>
      <c r="J113" s="16" t="n">
        <v>759.090909090909</v>
      </c>
      <c r="K113" s="16"/>
      <c r="L113" s="16" t="n">
        <v>850</v>
      </c>
      <c r="M113" s="16" t="n">
        <v>754.761904761905</v>
      </c>
      <c r="N113" s="19" t="n">
        <v>0.126182965299685</v>
      </c>
    </row>
    <row r="114" customFormat="false" ht="15" hidden="false" customHeight="false" outlineLevel="0" collapsed="false">
      <c r="A114" s="13" t="s">
        <v>2464</v>
      </c>
      <c r="B114" s="13" t="s">
        <v>105</v>
      </c>
      <c r="C114" s="13" t="s">
        <v>43</v>
      </c>
      <c r="D114" s="13" t="s">
        <v>2327</v>
      </c>
      <c r="E114" s="13" t="s">
        <v>1489</v>
      </c>
      <c r="F114" s="13" t="n">
        <v>2</v>
      </c>
      <c r="G114" s="13" t="n">
        <v>4</v>
      </c>
      <c r="H114" s="5" t="n">
        <v>33390</v>
      </c>
      <c r="I114" s="7" t="n">
        <v>66</v>
      </c>
      <c r="J114" s="16" t="n">
        <v>505.909090909091</v>
      </c>
      <c r="K114" s="16"/>
      <c r="L114" s="16" t="n">
        <v>690</v>
      </c>
      <c r="M114" s="16" t="n">
        <v>503.076923076923</v>
      </c>
      <c r="N114" s="19" t="n">
        <v>0.371559633027523</v>
      </c>
    </row>
    <row r="115" customFormat="false" ht="15" hidden="false" customHeight="false" outlineLevel="0" collapsed="false">
      <c r="A115" s="13" t="s">
        <v>2465</v>
      </c>
      <c r="B115" s="13" t="s">
        <v>45</v>
      </c>
      <c r="C115" s="13" t="s">
        <v>43</v>
      </c>
      <c r="D115" s="13" t="s">
        <v>2324</v>
      </c>
      <c r="E115" s="13" t="s">
        <v>46</v>
      </c>
      <c r="F115" s="13" t="n">
        <v>2</v>
      </c>
      <c r="G115" s="13" t="n">
        <v>6</v>
      </c>
      <c r="H115" s="5" t="n">
        <v>33380</v>
      </c>
      <c r="I115" s="7" t="n">
        <v>36</v>
      </c>
      <c r="J115" s="16" t="n">
        <v>927.222222222222</v>
      </c>
      <c r="K115" s="16"/>
      <c r="L115" s="16" t="n">
        <v>1372.5</v>
      </c>
      <c r="M115" s="16" t="n">
        <v>871.5625</v>
      </c>
      <c r="N115" s="19" t="n">
        <v>0.57475797776981</v>
      </c>
    </row>
    <row r="116" customFormat="false" ht="15" hidden="false" customHeight="false" outlineLevel="0" collapsed="false">
      <c r="A116" s="13" t="s">
        <v>2466</v>
      </c>
      <c r="B116" s="13" t="s">
        <v>135</v>
      </c>
      <c r="C116" s="13" t="s">
        <v>129</v>
      </c>
      <c r="D116" s="13" t="s">
        <v>2324</v>
      </c>
      <c r="E116" s="13" t="s">
        <v>136</v>
      </c>
      <c r="F116" s="13" t="n">
        <v>1</v>
      </c>
      <c r="G116" s="13" t="n">
        <v>1</v>
      </c>
      <c r="H116" s="5" t="n">
        <v>33100</v>
      </c>
      <c r="I116" s="7" t="n">
        <v>50</v>
      </c>
      <c r="J116" s="16" t="n">
        <v>662</v>
      </c>
      <c r="K116" s="16" t="n">
        <v>662</v>
      </c>
      <c r="L116" s="16"/>
      <c r="M116" s="16"/>
      <c r="N116" s="19"/>
    </row>
    <row r="117" customFormat="false" ht="15" hidden="false" customHeight="false" outlineLevel="0" collapsed="false">
      <c r="A117" s="13" t="s">
        <v>2467</v>
      </c>
      <c r="B117" s="13" t="s">
        <v>139</v>
      </c>
      <c r="C117" s="13" t="s">
        <v>140</v>
      </c>
      <c r="D117" s="13" t="s">
        <v>2468</v>
      </c>
      <c r="E117" s="13" t="s">
        <v>141</v>
      </c>
      <c r="F117" s="13" t="n">
        <v>1</v>
      </c>
      <c r="G117" s="13" t="n">
        <v>1</v>
      </c>
      <c r="H117" s="5" t="n">
        <v>33000</v>
      </c>
      <c r="I117" s="7" t="n">
        <v>160</v>
      </c>
      <c r="J117" s="16" t="n">
        <v>206.25</v>
      </c>
      <c r="K117" s="16" t="n">
        <v>206.25</v>
      </c>
      <c r="L117" s="16"/>
      <c r="M117" s="16"/>
      <c r="N117" s="19"/>
    </row>
    <row r="118" customFormat="false" ht="15" hidden="false" customHeight="false" outlineLevel="0" collapsed="false">
      <c r="A118" s="13" t="s">
        <v>2469</v>
      </c>
      <c r="B118" s="13" t="s">
        <v>2097</v>
      </c>
      <c r="C118" s="13" t="s">
        <v>140</v>
      </c>
      <c r="D118" s="13" t="s">
        <v>2324</v>
      </c>
      <c r="E118" s="13" t="s">
        <v>2470</v>
      </c>
      <c r="F118" s="13" t="n">
        <v>1</v>
      </c>
      <c r="G118" s="13" t="n">
        <v>2</v>
      </c>
      <c r="H118" s="5" t="n">
        <v>32930</v>
      </c>
      <c r="I118" s="7" t="n">
        <v>402</v>
      </c>
      <c r="J118" s="16" t="n">
        <v>81.9154228855721</v>
      </c>
      <c r="K118" s="16" t="n">
        <v>81.9154228855721</v>
      </c>
      <c r="L118" s="16"/>
      <c r="M118" s="16"/>
      <c r="N118" s="19"/>
    </row>
    <row r="119" customFormat="false" ht="15" hidden="false" customHeight="false" outlineLevel="0" collapsed="false">
      <c r="A119" s="13" t="s">
        <v>2471</v>
      </c>
      <c r="B119" s="13" t="s">
        <v>42</v>
      </c>
      <c r="C119" s="13" t="s">
        <v>43</v>
      </c>
      <c r="D119" s="13" t="s">
        <v>2360</v>
      </c>
      <c r="E119" s="13" t="s">
        <v>206</v>
      </c>
      <c r="F119" s="13" t="n">
        <v>2</v>
      </c>
      <c r="G119" s="13" t="n">
        <v>4</v>
      </c>
      <c r="H119" s="5" t="n">
        <v>32800</v>
      </c>
      <c r="I119" s="7" t="n">
        <v>49</v>
      </c>
      <c r="J119" s="16" t="n">
        <v>669.387755102041</v>
      </c>
      <c r="K119" s="16"/>
      <c r="L119" s="16" t="n">
        <v>820</v>
      </c>
      <c r="M119" s="16" t="n">
        <v>652.272727272727</v>
      </c>
      <c r="N119" s="19" t="n">
        <v>0.257142857142857</v>
      </c>
    </row>
    <row r="120" customFormat="false" ht="15" hidden="false" customHeight="false" outlineLevel="0" collapsed="false">
      <c r="A120" s="13" t="s">
        <v>2472</v>
      </c>
      <c r="B120" s="13" t="s">
        <v>135</v>
      </c>
      <c r="C120" s="13" t="s">
        <v>85</v>
      </c>
      <c r="D120" s="13" t="s">
        <v>2324</v>
      </c>
      <c r="E120" s="13" t="s">
        <v>142</v>
      </c>
      <c r="F120" s="13" t="n">
        <v>1</v>
      </c>
      <c r="G120" s="13" t="n">
        <v>1</v>
      </c>
      <c r="H120" s="5" t="n">
        <v>32800</v>
      </c>
      <c r="I120" s="7" t="n">
        <v>50</v>
      </c>
      <c r="J120" s="16" t="n">
        <v>656</v>
      </c>
      <c r="K120" s="16" t="n">
        <v>656</v>
      </c>
      <c r="L120" s="16"/>
      <c r="M120" s="16"/>
      <c r="N120" s="19"/>
    </row>
    <row r="121" customFormat="false" ht="15" hidden="false" customHeight="false" outlineLevel="0" collapsed="false">
      <c r="A121" s="13" t="s">
        <v>2473</v>
      </c>
      <c r="B121" s="13" t="s">
        <v>50</v>
      </c>
      <c r="C121" s="13" t="s">
        <v>43</v>
      </c>
      <c r="D121" s="13" t="s">
        <v>2422</v>
      </c>
      <c r="E121" s="13" t="s">
        <v>52</v>
      </c>
      <c r="F121" s="13" t="n">
        <v>2</v>
      </c>
      <c r="G121" s="13" t="n">
        <v>8</v>
      </c>
      <c r="H121" s="5" t="n">
        <v>32800</v>
      </c>
      <c r="I121" s="7" t="n">
        <v>104</v>
      </c>
      <c r="J121" s="16" t="n">
        <v>315.384615384615</v>
      </c>
      <c r="K121" s="16"/>
      <c r="L121" s="16" t="n">
        <v>303.333333333333</v>
      </c>
      <c r="M121" s="16" t="n">
        <v>330</v>
      </c>
      <c r="N121" s="19" t="n">
        <v>0.087912087912088</v>
      </c>
    </row>
    <row r="122" customFormat="false" ht="15" hidden="false" customHeight="false" outlineLevel="0" collapsed="false">
      <c r="A122" s="13" t="s">
        <v>2474</v>
      </c>
      <c r="B122" s="13" t="s">
        <v>124</v>
      </c>
      <c r="C122" s="13" t="s">
        <v>43</v>
      </c>
      <c r="D122" s="13" t="s">
        <v>2324</v>
      </c>
      <c r="E122" s="13" t="s">
        <v>252</v>
      </c>
      <c r="F122" s="13" t="n">
        <v>1</v>
      </c>
      <c r="G122" s="13" t="n">
        <v>4</v>
      </c>
      <c r="H122" s="5" t="n">
        <v>32600</v>
      </c>
      <c r="I122" s="7" t="n">
        <v>37</v>
      </c>
      <c r="J122" s="16" t="n">
        <v>881.081081081081</v>
      </c>
      <c r="K122" s="16"/>
      <c r="L122" s="16"/>
      <c r="M122" s="16" t="n">
        <v>881.081081081081</v>
      </c>
      <c r="N122" s="19"/>
    </row>
    <row r="123" customFormat="false" ht="15" hidden="false" customHeight="false" outlineLevel="0" collapsed="false">
      <c r="A123" s="13" t="s">
        <v>2475</v>
      </c>
      <c r="B123" s="13" t="s">
        <v>204</v>
      </c>
      <c r="C123" s="13" t="s">
        <v>43</v>
      </c>
      <c r="D123" s="13" t="s">
        <v>2327</v>
      </c>
      <c r="E123" s="13" t="s">
        <v>205</v>
      </c>
      <c r="F123" s="13" t="n">
        <v>2</v>
      </c>
      <c r="G123" s="13" t="n">
        <v>4</v>
      </c>
      <c r="H123" s="5" t="n">
        <v>32560</v>
      </c>
      <c r="I123" s="7" t="n">
        <v>78</v>
      </c>
      <c r="J123" s="16" t="n">
        <v>417.435897435898</v>
      </c>
      <c r="K123" s="16" t="n">
        <v>361.428571428571</v>
      </c>
      <c r="L123" s="16" t="n">
        <v>907.5</v>
      </c>
      <c r="M123" s="16"/>
      <c r="N123" s="19" t="n">
        <v>1.51086956521739</v>
      </c>
    </row>
    <row r="124" customFormat="false" ht="15" hidden="false" customHeight="false" outlineLevel="0" collapsed="false">
      <c r="A124" s="13" t="s">
        <v>2476</v>
      </c>
      <c r="B124" s="13" t="s">
        <v>42</v>
      </c>
      <c r="C124" s="13" t="s">
        <v>43</v>
      </c>
      <c r="D124" s="13" t="s">
        <v>2339</v>
      </c>
      <c r="E124" s="13" t="s">
        <v>242</v>
      </c>
      <c r="F124" s="13" t="n">
        <v>2</v>
      </c>
      <c r="G124" s="13" t="n">
        <v>4</v>
      </c>
      <c r="H124" s="5" t="n">
        <v>32130</v>
      </c>
      <c r="I124" s="7" t="n">
        <v>53</v>
      </c>
      <c r="J124" s="16" t="n">
        <v>606.22641509434</v>
      </c>
      <c r="K124" s="16"/>
      <c r="L124" s="16" t="n">
        <v>673.636363636364</v>
      </c>
      <c r="M124" s="16" t="n">
        <v>495</v>
      </c>
      <c r="N124" s="19" t="n">
        <v>0.360881542699725</v>
      </c>
    </row>
    <row r="125" customFormat="false" ht="15" hidden="false" customHeight="false" outlineLevel="0" collapsed="false">
      <c r="A125" s="13" t="s">
        <v>2477</v>
      </c>
      <c r="B125" s="13" t="s">
        <v>42</v>
      </c>
      <c r="C125" s="13" t="s">
        <v>43</v>
      </c>
      <c r="D125" s="13" t="s">
        <v>2324</v>
      </c>
      <c r="E125" s="13" t="s">
        <v>246</v>
      </c>
      <c r="F125" s="13" t="n">
        <v>2</v>
      </c>
      <c r="G125" s="13" t="n">
        <v>5</v>
      </c>
      <c r="H125" s="5" t="n">
        <v>31960</v>
      </c>
      <c r="I125" s="7" t="n">
        <v>74</v>
      </c>
      <c r="J125" s="16" t="n">
        <v>431.891891891892</v>
      </c>
      <c r="K125" s="16"/>
      <c r="L125" s="16" t="n">
        <v>533.333333333333</v>
      </c>
      <c r="M125" s="16" t="n">
        <v>350.243902439024</v>
      </c>
      <c r="N125" s="19" t="n">
        <v>0.522748375116063</v>
      </c>
    </row>
    <row r="126" customFormat="false" ht="15" hidden="false" customHeight="false" outlineLevel="0" collapsed="false">
      <c r="A126" s="13" t="s">
        <v>2478</v>
      </c>
      <c r="B126" s="13" t="s">
        <v>72</v>
      </c>
      <c r="C126" s="13" t="s">
        <v>43</v>
      </c>
      <c r="D126" s="13" t="s">
        <v>2324</v>
      </c>
      <c r="E126" s="13" t="s">
        <v>159</v>
      </c>
      <c r="F126" s="13" t="n">
        <v>1</v>
      </c>
      <c r="G126" s="13" t="n">
        <v>2</v>
      </c>
      <c r="H126" s="5" t="n">
        <v>31900</v>
      </c>
      <c r="I126" s="7" t="n">
        <v>42</v>
      </c>
      <c r="J126" s="16" t="n">
        <v>759.52380952381</v>
      </c>
      <c r="K126" s="16"/>
      <c r="L126" s="16"/>
      <c r="M126" s="16" t="n">
        <v>759.52380952381</v>
      </c>
      <c r="N126" s="19"/>
    </row>
    <row r="127" customFormat="false" ht="15" hidden="false" customHeight="false" outlineLevel="0" collapsed="false">
      <c r="A127" s="13" t="s">
        <v>2479</v>
      </c>
      <c r="B127" s="13" t="s">
        <v>72</v>
      </c>
      <c r="C127" s="13" t="s">
        <v>43</v>
      </c>
      <c r="D127" s="13" t="s">
        <v>2324</v>
      </c>
      <c r="E127" s="13" t="s">
        <v>221</v>
      </c>
      <c r="F127" s="13" t="n">
        <v>1</v>
      </c>
      <c r="G127" s="13" t="n">
        <v>3</v>
      </c>
      <c r="H127" s="5" t="n">
        <v>31700</v>
      </c>
      <c r="I127" s="7" t="n">
        <v>27</v>
      </c>
      <c r="J127" s="16" t="n">
        <v>1174.07407407407</v>
      </c>
      <c r="K127" s="16"/>
      <c r="L127" s="16"/>
      <c r="M127" s="16" t="n">
        <v>1174.07407407407</v>
      </c>
      <c r="N127" s="19"/>
    </row>
    <row r="128" customFormat="false" ht="15" hidden="false" customHeight="false" outlineLevel="0" collapsed="false">
      <c r="A128" s="13" t="s">
        <v>2480</v>
      </c>
      <c r="B128" s="13" t="s">
        <v>65</v>
      </c>
      <c r="C128" s="13" t="s">
        <v>66</v>
      </c>
      <c r="D128" s="13" t="s">
        <v>2324</v>
      </c>
      <c r="E128" s="13" t="s">
        <v>147</v>
      </c>
      <c r="F128" s="13" t="n">
        <v>1</v>
      </c>
      <c r="G128" s="13" t="n">
        <v>1</v>
      </c>
      <c r="H128" s="5" t="n">
        <v>31700</v>
      </c>
      <c r="I128" s="7" t="n">
        <v>100</v>
      </c>
      <c r="J128" s="16" t="n">
        <v>317</v>
      </c>
      <c r="K128" s="16" t="n">
        <v>317</v>
      </c>
      <c r="L128" s="16"/>
      <c r="M128" s="16"/>
      <c r="N128" s="19"/>
    </row>
    <row r="129" customFormat="false" ht="15" hidden="false" customHeight="false" outlineLevel="0" collapsed="false">
      <c r="A129" s="13" t="s">
        <v>2481</v>
      </c>
      <c r="B129" s="13" t="s">
        <v>2096</v>
      </c>
      <c r="C129" s="13" t="s">
        <v>43</v>
      </c>
      <c r="D129" s="13" t="s">
        <v>2324</v>
      </c>
      <c r="E129" s="13" t="s">
        <v>2482</v>
      </c>
      <c r="F129" s="13" t="n">
        <v>1</v>
      </c>
      <c r="G129" s="13" t="n">
        <v>2</v>
      </c>
      <c r="H129" s="5" t="n">
        <v>31500</v>
      </c>
      <c r="I129" s="7" t="n">
        <v>330</v>
      </c>
      <c r="J129" s="16" t="n">
        <v>95.4545454545455</v>
      </c>
      <c r="K129" s="16" t="n">
        <v>95.4545454545455</v>
      </c>
      <c r="L129" s="16"/>
      <c r="M129" s="16"/>
      <c r="N129" s="19"/>
    </row>
    <row r="130" customFormat="false" ht="15" hidden="false" customHeight="false" outlineLevel="0" collapsed="false">
      <c r="A130" s="13" t="s">
        <v>2483</v>
      </c>
      <c r="B130" s="13" t="s">
        <v>105</v>
      </c>
      <c r="C130" s="13" t="s">
        <v>43</v>
      </c>
      <c r="D130" s="13" t="s">
        <v>2324</v>
      </c>
      <c r="E130" s="13" t="s">
        <v>288</v>
      </c>
      <c r="F130" s="13" t="n">
        <v>2</v>
      </c>
      <c r="G130" s="13" t="n">
        <v>3</v>
      </c>
      <c r="H130" s="5" t="n">
        <v>31500</v>
      </c>
      <c r="I130" s="7" t="n">
        <v>50</v>
      </c>
      <c r="J130" s="16" t="n">
        <v>630</v>
      </c>
      <c r="K130" s="16"/>
      <c r="L130" s="16" t="n">
        <v>746.666666666667</v>
      </c>
      <c r="M130" s="16" t="n">
        <v>455</v>
      </c>
      <c r="N130" s="19" t="n">
        <v>0.641025641025641</v>
      </c>
    </row>
    <row r="131" customFormat="false" ht="15" hidden="false" customHeight="false" outlineLevel="0" collapsed="false">
      <c r="A131" s="13" t="s">
        <v>2484</v>
      </c>
      <c r="B131" s="13" t="s">
        <v>81</v>
      </c>
      <c r="C131" s="13" t="s">
        <v>82</v>
      </c>
      <c r="D131" s="13" t="s">
        <v>2324</v>
      </c>
      <c r="E131" s="13" t="s">
        <v>149</v>
      </c>
      <c r="F131" s="13" t="n">
        <v>1</v>
      </c>
      <c r="G131" s="13" t="n">
        <v>1</v>
      </c>
      <c r="H131" s="5" t="n">
        <v>31400</v>
      </c>
      <c r="I131" s="7" t="n">
        <v>320</v>
      </c>
      <c r="J131" s="16" t="n">
        <v>98.125</v>
      </c>
      <c r="K131" s="16" t="n">
        <v>98.125</v>
      </c>
      <c r="L131" s="16"/>
      <c r="M131" s="16"/>
      <c r="N131" s="19"/>
    </row>
    <row r="132" customFormat="false" ht="15" hidden="false" customHeight="false" outlineLevel="0" collapsed="false">
      <c r="A132" s="13" t="s">
        <v>2485</v>
      </c>
      <c r="B132" s="13" t="s">
        <v>153</v>
      </c>
      <c r="C132" s="13" t="s">
        <v>43</v>
      </c>
      <c r="D132" s="13" t="s">
        <v>2327</v>
      </c>
      <c r="E132" s="13" t="s">
        <v>154</v>
      </c>
      <c r="F132" s="13" t="n">
        <v>1</v>
      </c>
      <c r="G132" s="13" t="n">
        <v>2</v>
      </c>
      <c r="H132" s="5" t="n">
        <v>31170</v>
      </c>
      <c r="I132" s="7" t="n">
        <v>81</v>
      </c>
      <c r="J132" s="16" t="n">
        <v>384.814814814815</v>
      </c>
      <c r="K132" s="16"/>
      <c r="L132" s="16"/>
      <c r="M132" s="16" t="n">
        <v>384.814814814815</v>
      </c>
      <c r="N132" s="19"/>
    </row>
    <row r="133" customFormat="false" ht="15" hidden="false" customHeight="false" outlineLevel="0" collapsed="false">
      <c r="A133" s="13" t="s">
        <v>2486</v>
      </c>
      <c r="B133" s="13" t="s">
        <v>157</v>
      </c>
      <c r="C133" s="13" t="s">
        <v>66</v>
      </c>
      <c r="D133" s="13" t="s">
        <v>2324</v>
      </c>
      <c r="E133" s="13" t="s">
        <v>158</v>
      </c>
      <c r="F133" s="13" t="n">
        <v>1</v>
      </c>
      <c r="G133" s="13" t="n">
        <v>1</v>
      </c>
      <c r="H133" s="5" t="n">
        <v>30600</v>
      </c>
      <c r="I133" s="7" t="n">
        <v>90</v>
      </c>
      <c r="J133" s="16" t="n">
        <v>340</v>
      </c>
      <c r="K133" s="16" t="n">
        <v>340</v>
      </c>
      <c r="L133" s="16"/>
      <c r="M133" s="16"/>
      <c r="N133" s="19"/>
    </row>
    <row r="134" customFormat="false" ht="15" hidden="false" customHeight="false" outlineLevel="0" collapsed="false">
      <c r="A134" s="13" t="s">
        <v>2487</v>
      </c>
      <c r="B134" s="13" t="s">
        <v>79</v>
      </c>
      <c r="C134" s="13" t="s">
        <v>43</v>
      </c>
      <c r="D134" s="13" t="s">
        <v>2324</v>
      </c>
      <c r="E134" s="13" t="s">
        <v>522</v>
      </c>
      <c r="F134" s="13" t="n">
        <v>2</v>
      </c>
      <c r="G134" s="13" t="n">
        <v>3</v>
      </c>
      <c r="H134" s="5" t="n">
        <v>30360</v>
      </c>
      <c r="I134" s="7" t="n">
        <v>36</v>
      </c>
      <c r="J134" s="16" t="n">
        <v>843.333333333333</v>
      </c>
      <c r="K134" s="16"/>
      <c r="L134" s="16" t="n">
        <v>1020</v>
      </c>
      <c r="M134" s="16" t="n">
        <v>814.838709677419</v>
      </c>
      <c r="N134" s="19" t="n">
        <v>0.251781472684086</v>
      </c>
    </row>
    <row r="135" customFormat="false" ht="15" hidden="false" customHeight="false" outlineLevel="0" collapsed="false">
      <c r="A135" s="13" t="s">
        <v>2488</v>
      </c>
      <c r="B135" s="13" t="s">
        <v>161</v>
      </c>
      <c r="C135" s="13" t="s">
        <v>43</v>
      </c>
      <c r="D135" s="13" t="s">
        <v>2339</v>
      </c>
      <c r="E135" s="13" t="s">
        <v>162</v>
      </c>
      <c r="F135" s="13" t="n">
        <v>1</v>
      </c>
      <c r="G135" s="13" t="n">
        <v>2</v>
      </c>
      <c r="H135" s="5" t="n">
        <v>30140</v>
      </c>
      <c r="I135" s="7" t="n">
        <v>101</v>
      </c>
      <c r="J135" s="16" t="n">
        <v>298.415841584158</v>
      </c>
      <c r="K135" s="16"/>
      <c r="L135" s="16" t="n">
        <v>298.415841584158</v>
      </c>
      <c r="M135" s="16"/>
      <c r="N135" s="19"/>
    </row>
    <row r="136" customFormat="false" ht="15" hidden="false" customHeight="false" outlineLevel="0" collapsed="false">
      <c r="A136" s="13" t="s">
        <v>2489</v>
      </c>
      <c r="B136" s="13" t="s">
        <v>193</v>
      </c>
      <c r="C136" s="13" t="s">
        <v>43</v>
      </c>
      <c r="D136" s="13" t="s">
        <v>2324</v>
      </c>
      <c r="E136" s="13" t="s">
        <v>199</v>
      </c>
      <c r="F136" s="13" t="n">
        <v>1</v>
      </c>
      <c r="G136" s="13" t="n">
        <v>3</v>
      </c>
      <c r="H136" s="5" t="n">
        <v>29800</v>
      </c>
      <c r="I136" s="7" t="n">
        <v>23</v>
      </c>
      <c r="J136" s="16" t="n">
        <v>1295.65217391304</v>
      </c>
      <c r="K136" s="16"/>
      <c r="L136" s="16"/>
      <c r="M136" s="16" t="n">
        <v>1295.65217391304</v>
      </c>
      <c r="N136" s="19"/>
    </row>
    <row r="137" customFormat="false" ht="15" hidden="false" customHeight="false" outlineLevel="0" collapsed="false">
      <c r="A137" s="13" t="s">
        <v>2490</v>
      </c>
      <c r="B137" s="13" t="s">
        <v>54</v>
      </c>
      <c r="C137" s="13" t="s">
        <v>43</v>
      </c>
      <c r="D137" s="13" t="s">
        <v>2324</v>
      </c>
      <c r="E137" s="13" t="s">
        <v>188</v>
      </c>
      <c r="F137" s="13" t="n">
        <v>1</v>
      </c>
      <c r="G137" s="13" t="n">
        <v>3</v>
      </c>
      <c r="H137" s="5" t="n">
        <v>29630</v>
      </c>
      <c r="I137" s="7" t="n">
        <v>97</v>
      </c>
      <c r="J137" s="16" t="n">
        <v>305.463917525773</v>
      </c>
      <c r="K137" s="16"/>
      <c r="L137" s="16"/>
      <c r="M137" s="16" t="n">
        <v>305.463917525773</v>
      </c>
      <c r="N137" s="19"/>
    </row>
    <row r="138" customFormat="false" ht="15" hidden="false" customHeight="false" outlineLevel="0" collapsed="false">
      <c r="A138" s="13" t="s">
        <v>2491</v>
      </c>
      <c r="B138" s="13" t="s">
        <v>50</v>
      </c>
      <c r="C138" s="13" t="s">
        <v>43</v>
      </c>
      <c r="D138" s="13" t="s">
        <v>2339</v>
      </c>
      <c r="E138" s="13" t="s">
        <v>220</v>
      </c>
      <c r="F138" s="13" t="n">
        <v>2</v>
      </c>
      <c r="G138" s="13" t="n">
        <v>6</v>
      </c>
      <c r="H138" s="5" t="n">
        <v>29510</v>
      </c>
      <c r="I138" s="7" t="n">
        <v>72</v>
      </c>
      <c r="J138" s="16" t="n">
        <v>409.861111111111</v>
      </c>
      <c r="K138" s="16"/>
      <c r="L138" s="16" t="n">
        <v>632.5</v>
      </c>
      <c r="M138" s="16" t="n">
        <v>396.764705882353</v>
      </c>
      <c r="N138" s="19" t="n">
        <v>0.5941438102298</v>
      </c>
    </row>
    <row r="139" customFormat="false" ht="15" hidden="false" customHeight="false" outlineLevel="0" collapsed="false">
      <c r="A139" s="13" t="s">
        <v>2492</v>
      </c>
      <c r="B139" s="13" t="s">
        <v>165</v>
      </c>
      <c r="C139" s="13" t="s">
        <v>43</v>
      </c>
      <c r="D139" s="13" t="s">
        <v>2324</v>
      </c>
      <c r="E139" s="13" t="s">
        <v>166</v>
      </c>
      <c r="F139" s="13" t="n">
        <v>1</v>
      </c>
      <c r="G139" s="13" t="n">
        <v>1</v>
      </c>
      <c r="H139" s="5" t="n">
        <v>29400</v>
      </c>
      <c r="I139" s="7" t="n">
        <v>120</v>
      </c>
      <c r="J139" s="16" t="n">
        <v>245</v>
      </c>
      <c r="K139" s="16" t="n">
        <v>245</v>
      </c>
      <c r="L139" s="16"/>
      <c r="M139" s="16"/>
      <c r="N139" s="19"/>
    </row>
    <row r="140" customFormat="false" ht="15" hidden="false" customHeight="false" outlineLevel="0" collapsed="false">
      <c r="A140" s="13" t="s">
        <v>2493</v>
      </c>
      <c r="B140" s="13" t="s">
        <v>153</v>
      </c>
      <c r="C140" s="13" t="s">
        <v>43</v>
      </c>
      <c r="D140" s="13" t="s">
        <v>2327</v>
      </c>
      <c r="E140" s="13" t="s">
        <v>190</v>
      </c>
      <c r="F140" s="13" t="n">
        <v>2</v>
      </c>
      <c r="G140" s="13" t="n">
        <v>4</v>
      </c>
      <c r="H140" s="5" t="n">
        <v>29310</v>
      </c>
      <c r="I140" s="7" t="n">
        <v>43</v>
      </c>
      <c r="J140" s="16" t="n">
        <v>681.627906976744</v>
      </c>
      <c r="K140" s="16"/>
      <c r="L140" s="16" t="n">
        <v>810</v>
      </c>
      <c r="M140" s="16" t="n">
        <v>675.365853658537</v>
      </c>
      <c r="N140" s="19" t="n">
        <v>0.199349945828819</v>
      </c>
    </row>
    <row r="141" customFormat="false" ht="15" hidden="false" customHeight="false" outlineLevel="0" collapsed="false">
      <c r="A141" s="13" t="s">
        <v>2494</v>
      </c>
      <c r="B141" s="13" t="s">
        <v>229</v>
      </c>
      <c r="C141" s="13" t="s">
        <v>43</v>
      </c>
      <c r="D141" s="13" t="s">
        <v>2322</v>
      </c>
      <c r="E141" s="13" t="s">
        <v>230</v>
      </c>
      <c r="F141" s="13" t="n">
        <v>2</v>
      </c>
      <c r="G141" s="13" t="n">
        <v>3</v>
      </c>
      <c r="H141" s="5" t="n">
        <v>29190</v>
      </c>
      <c r="I141" s="7" t="n">
        <v>152</v>
      </c>
      <c r="J141" s="16" t="n">
        <v>192.039473684211</v>
      </c>
      <c r="K141" s="16" t="n">
        <v>178.333333333333</v>
      </c>
      <c r="L141" s="16" t="n">
        <v>243.4375</v>
      </c>
      <c r="M141" s="16"/>
      <c r="N141" s="19" t="n">
        <v>0.365070093457944</v>
      </c>
    </row>
    <row r="142" customFormat="false" ht="15" hidden="false" customHeight="false" outlineLevel="0" collapsed="false">
      <c r="A142" s="13" t="s">
        <v>2495</v>
      </c>
      <c r="B142" s="13" t="s">
        <v>42</v>
      </c>
      <c r="C142" s="13" t="s">
        <v>43</v>
      </c>
      <c r="D142" s="13" t="s">
        <v>2324</v>
      </c>
      <c r="E142" s="13" t="s">
        <v>244</v>
      </c>
      <c r="F142" s="13" t="n">
        <v>2</v>
      </c>
      <c r="G142" s="13" t="n">
        <v>6</v>
      </c>
      <c r="H142" s="5" t="n">
        <v>29150</v>
      </c>
      <c r="I142" s="7" t="n">
        <v>65</v>
      </c>
      <c r="J142" s="16" t="n">
        <v>448.461538461539</v>
      </c>
      <c r="K142" s="16"/>
      <c r="L142" s="16" t="n">
        <v>656.153846153846</v>
      </c>
      <c r="M142" s="16" t="n">
        <v>396.538461538462</v>
      </c>
      <c r="N142" s="19" t="n">
        <v>0.654704170708051</v>
      </c>
    </row>
    <row r="143" customFormat="false" ht="15" hidden="false" customHeight="false" outlineLevel="0" collapsed="false">
      <c r="A143" s="13" t="s">
        <v>2496</v>
      </c>
      <c r="B143" s="13" t="s">
        <v>182</v>
      </c>
      <c r="C143" s="13" t="s">
        <v>183</v>
      </c>
      <c r="D143" s="13" t="s">
        <v>2497</v>
      </c>
      <c r="E143" s="13" t="s">
        <v>184</v>
      </c>
      <c r="F143" s="13" t="n">
        <v>1</v>
      </c>
      <c r="G143" s="13" t="n">
        <v>2</v>
      </c>
      <c r="H143" s="5" t="n">
        <v>29000</v>
      </c>
      <c r="I143" s="7" t="n">
        <v>290</v>
      </c>
      <c r="J143" s="16" t="n">
        <v>100</v>
      </c>
      <c r="K143" s="16" t="n">
        <v>100</v>
      </c>
      <c r="L143" s="16"/>
      <c r="M143" s="16"/>
      <c r="N143" s="19"/>
    </row>
    <row r="144" customFormat="false" ht="15" hidden="false" customHeight="false" outlineLevel="0" collapsed="false">
      <c r="A144" s="13" t="s">
        <v>2498</v>
      </c>
      <c r="B144" s="13" t="s">
        <v>50</v>
      </c>
      <c r="C144" s="13" t="s">
        <v>43</v>
      </c>
      <c r="D144" s="13" t="s">
        <v>2324</v>
      </c>
      <c r="E144" s="13" t="s">
        <v>239</v>
      </c>
      <c r="F144" s="13" t="n">
        <v>2</v>
      </c>
      <c r="G144" s="13" t="n">
        <v>4</v>
      </c>
      <c r="H144" s="5" t="n">
        <v>28590</v>
      </c>
      <c r="I144" s="7" t="n">
        <v>62</v>
      </c>
      <c r="J144" s="16" t="n">
        <v>461.129032258065</v>
      </c>
      <c r="K144" s="16"/>
      <c r="L144" s="16" t="n">
        <v>612.857142857143</v>
      </c>
      <c r="M144" s="16" t="n">
        <v>441.818181818182</v>
      </c>
      <c r="N144" s="19" t="n">
        <v>0.387125220458554</v>
      </c>
    </row>
    <row r="145" customFormat="false" ht="15" hidden="false" customHeight="false" outlineLevel="0" collapsed="false">
      <c r="A145" s="13" t="s">
        <v>2499</v>
      </c>
      <c r="B145" s="13" t="s">
        <v>193</v>
      </c>
      <c r="C145" s="13" t="s">
        <v>43</v>
      </c>
      <c r="D145" s="13" t="s">
        <v>2500</v>
      </c>
      <c r="E145" s="13" t="s">
        <v>194</v>
      </c>
      <c r="F145" s="13" t="n">
        <v>1</v>
      </c>
      <c r="G145" s="13" t="n">
        <v>3</v>
      </c>
      <c r="H145" s="5" t="n">
        <v>28590</v>
      </c>
      <c r="I145" s="7" t="n">
        <v>43</v>
      </c>
      <c r="J145" s="16" t="n">
        <v>664.883720930233</v>
      </c>
      <c r="K145" s="16"/>
      <c r="L145" s="16"/>
      <c r="M145" s="16" t="n">
        <v>664.883720930233</v>
      </c>
      <c r="N145" s="19"/>
    </row>
    <row r="146" customFormat="false" ht="15" hidden="false" customHeight="false" outlineLevel="0" collapsed="false">
      <c r="A146" s="13" t="s">
        <v>2501</v>
      </c>
      <c r="B146" s="13" t="s">
        <v>45</v>
      </c>
      <c r="C146" s="13" t="s">
        <v>43</v>
      </c>
      <c r="D146" s="13" t="s">
        <v>2324</v>
      </c>
      <c r="E146" s="13" t="s">
        <v>292</v>
      </c>
      <c r="F146" s="13" t="n">
        <v>2</v>
      </c>
      <c r="G146" s="13" t="n">
        <v>4</v>
      </c>
      <c r="H146" s="5" t="n">
        <v>28500</v>
      </c>
      <c r="I146" s="7" t="n">
        <v>29</v>
      </c>
      <c r="J146" s="16" t="n">
        <v>982.758620689655</v>
      </c>
      <c r="K146" s="16"/>
      <c r="L146" s="16" t="n">
        <v>818.181818181818</v>
      </c>
      <c r="M146" s="16" t="n">
        <v>1500</v>
      </c>
      <c r="N146" s="19" t="n">
        <v>0.833333333333334</v>
      </c>
    </row>
    <row r="147" customFormat="false" ht="15" hidden="false" customHeight="false" outlineLevel="0" collapsed="false">
      <c r="A147" s="13" t="s">
        <v>2502</v>
      </c>
      <c r="B147" s="13" t="s">
        <v>42</v>
      </c>
      <c r="C147" s="13" t="s">
        <v>43</v>
      </c>
      <c r="D147" s="13" t="s">
        <v>2339</v>
      </c>
      <c r="E147" s="13" t="s">
        <v>1657</v>
      </c>
      <c r="F147" s="13" t="n">
        <v>2</v>
      </c>
      <c r="G147" s="13" t="n">
        <v>4</v>
      </c>
      <c r="H147" s="5" t="n">
        <v>28480</v>
      </c>
      <c r="I147" s="7" t="n">
        <v>62</v>
      </c>
      <c r="J147" s="16" t="n">
        <v>459.354838709677</v>
      </c>
      <c r="K147" s="16"/>
      <c r="L147" s="16" t="n">
        <v>660</v>
      </c>
      <c r="M147" s="16" t="n">
        <v>456.065573770492</v>
      </c>
      <c r="N147" s="19" t="n">
        <v>0.447160316319195</v>
      </c>
    </row>
    <row r="148" customFormat="false" ht="15" hidden="false" customHeight="false" outlineLevel="0" collapsed="false">
      <c r="A148" s="13" t="s">
        <v>2503</v>
      </c>
      <c r="B148" s="13" t="s">
        <v>175</v>
      </c>
      <c r="C148" s="13" t="s">
        <v>98</v>
      </c>
      <c r="D148" s="13" t="s">
        <v>2324</v>
      </c>
      <c r="E148" s="13" t="s">
        <v>176</v>
      </c>
      <c r="F148" s="13" t="n">
        <v>1</v>
      </c>
      <c r="G148" s="13" t="n">
        <v>1</v>
      </c>
      <c r="H148" s="5" t="n">
        <v>28300</v>
      </c>
      <c r="I148" s="7" t="n">
        <v>170</v>
      </c>
      <c r="J148" s="16" t="n">
        <v>166.470588235294</v>
      </c>
      <c r="K148" s="16" t="n">
        <v>166.470588235294</v>
      </c>
      <c r="L148" s="16"/>
      <c r="M148" s="16"/>
      <c r="N148" s="19"/>
    </row>
    <row r="149" customFormat="false" ht="15" hidden="false" customHeight="false" outlineLevel="0" collapsed="false">
      <c r="A149" s="13" t="s">
        <v>2504</v>
      </c>
      <c r="B149" s="13" t="s">
        <v>2105</v>
      </c>
      <c r="C149" s="13" t="s">
        <v>144</v>
      </c>
      <c r="D149" s="13" t="s">
        <v>2324</v>
      </c>
      <c r="E149" s="13" t="s">
        <v>2505</v>
      </c>
      <c r="F149" s="13" t="n">
        <v>1</v>
      </c>
      <c r="G149" s="13" t="n">
        <v>1</v>
      </c>
      <c r="H149" s="5" t="n">
        <v>28000</v>
      </c>
      <c r="I149" s="7" t="n">
        <v>500</v>
      </c>
      <c r="J149" s="16" t="n">
        <v>56</v>
      </c>
      <c r="K149" s="16" t="n">
        <v>56</v>
      </c>
      <c r="L149" s="16"/>
      <c r="M149" s="16"/>
      <c r="N149" s="19"/>
    </row>
    <row r="150" customFormat="false" ht="15" hidden="false" customHeight="false" outlineLevel="0" collapsed="false">
      <c r="A150" s="13" t="s">
        <v>2506</v>
      </c>
      <c r="B150" s="13" t="s">
        <v>179</v>
      </c>
      <c r="C150" s="13" t="s">
        <v>180</v>
      </c>
      <c r="D150" s="13" t="s">
        <v>2324</v>
      </c>
      <c r="E150" s="13" t="s">
        <v>181</v>
      </c>
      <c r="F150" s="13" t="n">
        <v>1</v>
      </c>
      <c r="G150" s="13" t="n">
        <v>1</v>
      </c>
      <c r="H150" s="5" t="n">
        <v>27700</v>
      </c>
      <c r="I150" s="7" t="n">
        <v>160</v>
      </c>
      <c r="J150" s="16" t="n">
        <v>173.125</v>
      </c>
      <c r="K150" s="16" t="n">
        <v>173.125</v>
      </c>
      <c r="L150" s="16"/>
      <c r="M150" s="16"/>
      <c r="N150" s="19"/>
    </row>
    <row r="151" customFormat="false" ht="15" hidden="false" customHeight="false" outlineLevel="0" collapsed="false">
      <c r="A151" s="13" t="s">
        <v>2507</v>
      </c>
      <c r="B151" s="13" t="s">
        <v>2112</v>
      </c>
      <c r="C151" s="13" t="s">
        <v>43</v>
      </c>
      <c r="D151" s="13" t="s">
        <v>2339</v>
      </c>
      <c r="E151" s="13" t="s">
        <v>2508</v>
      </c>
      <c r="F151" s="13" t="n">
        <v>1</v>
      </c>
      <c r="G151" s="13" t="n">
        <v>1</v>
      </c>
      <c r="H151" s="5" t="n">
        <v>27200</v>
      </c>
      <c r="I151" s="7" t="n">
        <v>460</v>
      </c>
      <c r="J151" s="16" t="n">
        <v>59.1304347826087</v>
      </c>
      <c r="K151" s="16" t="n">
        <v>59.1304347826087</v>
      </c>
      <c r="L151" s="16"/>
      <c r="M151" s="16"/>
      <c r="N151" s="19"/>
    </row>
    <row r="152" customFormat="false" ht="15" hidden="false" customHeight="false" outlineLevel="0" collapsed="false">
      <c r="A152" s="13" t="s">
        <v>2509</v>
      </c>
      <c r="B152" s="13" t="s">
        <v>42</v>
      </c>
      <c r="C152" s="13" t="s">
        <v>43</v>
      </c>
      <c r="D152" s="13" t="s">
        <v>2360</v>
      </c>
      <c r="E152" s="13" t="s">
        <v>265</v>
      </c>
      <c r="F152" s="13" t="n">
        <v>2</v>
      </c>
      <c r="G152" s="13" t="n">
        <v>4</v>
      </c>
      <c r="H152" s="5" t="n">
        <v>26900</v>
      </c>
      <c r="I152" s="7" t="n">
        <v>29</v>
      </c>
      <c r="J152" s="16" t="n">
        <v>927.586206896552</v>
      </c>
      <c r="K152" s="16"/>
      <c r="L152" s="16" t="n">
        <v>895.833333333333</v>
      </c>
      <c r="M152" s="16" t="n">
        <v>1080</v>
      </c>
      <c r="N152" s="19" t="n">
        <v>0.205581395348837</v>
      </c>
    </row>
    <row r="153" customFormat="false" ht="15" hidden="false" customHeight="false" outlineLevel="0" collapsed="false">
      <c r="A153" s="13" t="s">
        <v>2510</v>
      </c>
      <c r="B153" s="13" t="s">
        <v>61</v>
      </c>
      <c r="C153" s="13" t="s">
        <v>43</v>
      </c>
      <c r="D153" s="13" t="s">
        <v>2324</v>
      </c>
      <c r="E153" s="13" t="s">
        <v>212</v>
      </c>
      <c r="F153" s="13" t="n">
        <v>1</v>
      </c>
      <c r="G153" s="13" t="n">
        <v>3</v>
      </c>
      <c r="H153" s="5" t="n">
        <v>26870</v>
      </c>
      <c r="I153" s="7" t="n">
        <v>43</v>
      </c>
      <c r="J153" s="16" t="n">
        <v>624.883720930233</v>
      </c>
      <c r="K153" s="16"/>
      <c r="L153" s="16"/>
      <c r="M153" s="16" t="n">
        <v>624.883720930233</v>
      </c>
      <c r="N153" s="19"/>
    </row>
    <row r="154" customFormat="false" ht="15" hidden="false" customHeight="false" outlineLevel="0" collapsed="false">
      <c r="A154" s="13" t="s">
        <v>2511</v>
      </c>
      <c r="B154" s="13" t="s">
        <v>107</v>
      </c>
      <c r="C154" s="13" t="s">
        <v>43</v>
      </c>
      <c r="D154" s="13" t="s">
        <v>2512</v>
      </c>
      <c r="E154" s="13" t="s">
        <v>197</v>
      </c>
      <c r="F154" s="13" t="n">
        <v>1</v>
      </c>
      <c r="G154" s="13" t="n">
        <v>2</v>
      </c>
      <c r="H154" s="5" t="n">
        <v>26690</v>
      </c>
      <c r="I154" s="7" t="n">
        <v>141</v>
      </c>
      <c r="J154" s="16" t="n">
        <v>189.290780141844</v>
      </c>
      <c r="K154" s="16"/>
      <c r="L154" s="16"/>
      <c r="M154" s="16" t="n">
        <v>189.290780141844</v>
      </c>
      <c r="N154" s="19"/>
    </row>
    <row r="155" customFormat="false" ht="15" hidden="false" customHeight="false" outlineLevel="0" collapsed="false">
      <c r="A155" s="13" t="s">
        <v>2513</v>
      </c>
      <c r="B155" s="13" t="s">
        <v>72</v>
      </c>
      <c r="C155" s="13" t="s">
        <v>43</v>
      </c>
      <c r="D155" s="13" t="s">
        <v>2324</v>
      </c>
      <c r="E155" s="13" t="s">
        <v>300</v>
      </c>
      <c r="F155" s="13" t="n">
        <v>1</v>
      </c>
      <c r="G155" s="13" t="n">
        <v>2</v>
      </c>
      <c r="H155" s="5" t="n">
        <v>26500</v>
      </c>
      <c r="I155" s="7" t="n">
        <v>30</v>
      </c>
      <c r="J155" s="16" t="n">
        <v>883.333333333333</v>
      </c>
      <c r="K155" s="16"/>
      <c r="L155" s="16"/>
      <c r="M155" s="16" t="n">
        <v>883.333333333333</v>
      </c>
      <c r="N155" s="19"/>
    </row>
    <row r="156" customFormat="false" ht="15" hidden="false" customHeight="false" outlineLevel="0" collapsed="false">
      <c r="A156" s="13" t="s">
        <v>2514</v>
      </c>
      <c r="B156" s="13" t="s">
        <v>135</v>
      </c>
      <c r="C156" s="13" t="s">
        <v>129</v>
      </c>
      <c r="D156" s="13" t="s">
        <v>2324</v>
      </c>
      <c r="E156" s="13" t="s">
        <v>198</v>
      </c>
      <c r="F156" s="13" t="n">
        <v>1</v>
      </c>
      <c r="G156" s="13" t="n">
        <v>1</v>
      </c>
      <c r="H156" s="5" t="n">
        <v>26100</v>
      </c>
      <c r="I156" s="7" t="n">
        <v>70</v>
      </c>
      <c r="J156" s="16" t="n">
        <v>372.857142857143</v>
      </c>
      <c r="K156" s="16" t="n">
        <v>372.857142857143</v>
      </c>
      <c r="L156" s="16"/>
      <c r="M156" s="16"/>
      <c r="N156" s="19"/>
    </row>
    <row r="157" customFormat="false" ht="15" hidden="false" customHeight="false" outlineLevel="0" collapsed="false">
      <c r="A157" s="13" t="s">
        <v>2515</v>
      </c>
      <c r="B157" s="13" t="s">
        <v>124</v>
      </c>
      <c r="C157" s="13" t="s">
        <v>43</v>
      </c>
      <c r="D157" s="13" t="s">
        <v>2324</v>
      </c>
      <c r="E157" s="13" t="s">
        <v>252</v>
      </c>
      <c r="F157" s="13" t="n">
        <v>1</v>
      </c>
      <c r="G157" s="13" t="n">
        <v>4</v>
      </c>
      <c r="H157" s="5" t="n">
        <v>26010</v>
      </c>
      <c r="I157" s="7" t="n">
        <v>37</v>
      </c>
      <c r="J157" s="16" t="n">
        <v>702.972972972973</v>
      </c>
      <c r="K157" s="16"/>
      <c r="L157" s="16"/>
      <c r="M157" s="16" t="n">
        <v>702.972972972973</v>
      </c>
      <c r="N157" s="19"/>
    </row>
    <row r="158" customFormat="false" ht="15" hidden="false" customHeight="false" outlineLevel="0" collapsed="false">
      <c r="A158" s="13" t="s">
        <v>2516</v>
      </c>
      <c r="B158" s="13" t="s">
        <v>193</v>
      </c>
      <c r="C158" s="13" t="s">
        <v>43</v>
      </c>
      <c r="D158" s="13" t="s">
        <v>2339</v>
      </c>
      <c r="E158" s="13" t="s">
        <v>236</v>
      </c>
      <c r="F158" s="13" t="n">
        <v>1</v>
      </c>
      <c r="G158" s="13" t="n">
        <v>3</v>
      </c>
      <c r="H158" s="5" t="n">
        <v>25700</v>
      </c>
      <c r="I158" s="7" t="n">
        <v>37</v>
      </c>
      <c r="J158" s="16" t="n">
        <v>694.594594594595</v>
      </c>
      <c r="K158" s="16"/>
      <c r="L158" s="16"/>
      <c r="M158" s="16" t="n">
        <v>694.594594594595</v>
      </c>
      <c r="N158" s="19"/>
    </row>
    <row r="159" customFormat="false" ht="15" hidden="false" customHeight="false" outlineLevel="0" collapsed="false">
      <c r="A159" s="13" t="s">
        <v>2517</v>
      </c>
      <c r="B159" s="13" t="s">
        <v>65</v>
      </c>
      <c r="C159" s="13" t="s">
        <v>66</v>
      </c>
      <c r="D159" s="13" t="s">
        <v>2324</v>
      </c>
      <c r="E159" s="13" t="s">
        <v>200</v>
      </c>
      <c r="F159" s="13" t="n">
        <v>1</v>
      </c>
      <c r="G159" s="13" t="n">
        <v>1</v>
      </c>
      <c r="H159" s="5" t="n">
        <v>25700</v>
      </c>
      <c r="I159" s="7" t="n">
        <v>60</v>
      </c>
      <c r="J159" s="16" t="n">
        <v>428.333333333333</v>
      </c>
      <c r="K159" s="16" t="n">
        <v>428.333333333333</v>
      </c>
      <c r="L159" s="16"/>
      <c r="M159" s="16"/>
      <c r="N159" s="19"/>
    </row>
    <row r="160" customFormat="false" ht="15" hidden="false" customHeight="false" outlineLevel="0" collapsed="false">
      <c r="A160" s="13" t="s">
        <v>2518</v>
      </c>
      <c r="B160" s="13" t="s">
        <v>107</v>
      </c>
      <c r="C160" s="13" t="s">
        <v>43</v>
      </c>
      <c r="D160" s="13" t="s">
        <v>2512</v>
      </c>
      <c r="E160" s="13" t="s">
        <v>222</v>
      </c>
      <c r="F160" s="13" t="n">
        <v>1</v>
      </c>
      <c r="G160" s="13" t="n">
        <v>3</v>
      </c>
      <c r="H160" s="5" t="n">
        <v>25690</v>
      </c>
      <c r="I160" s="7" t="n">
        <v>122</v>
      </c>
      <c r="J160" s="16" t="n">
        <v>210.573770491803</v>
      </c>
      <c r="K160" s="16"/>
      <c r="L160" s="16"/>
      <c r="M160" s="16" t="n">
        <v>210.573770491803</v>
      </c>
      <c r="N160" s="19"/>
    </row>
    <row r="161" customFormat="false" ht="15" hidden="false" customHeight="false" outlineLevel="0" collapsed="false">
      <c r="A161" s="13" t="s">
        <v>2519</v>
      </c>
      <c r="B161" s="13" t="s">
        <v>2122</v>
      </c>
      <c r="C161" s="13" t="s">
        <v>43</v>
      </c>
      <c r="D161" s="13" t="s">
        <v>2324</v>
      </c>
      <c r="E161" s="13" t="s">
        <v>2520</v>
      </c>
      <c r="F161" s="13" t="n">
        <v>1</v>
      </c>
      <c r="G161" s="13" t="n">
        <v>1</v>
      </c>
      <c r="H161" s="5" t="n">
        <v>25600</v>
      </c>
      <c r="I161" s="7" t="n">
        <v>90</v>
      </c>
      <c r="J161" s="16" t="n">
        <v>284.444444444445</v>
      </c>
      <c r="K161" s="16" t="n">
        <v>284.444444444445</v>
      </c>
      <c r="L161" s="16"/>
      <c r="M161" s="16"/>
      <c r="N161" s="19"/>
    </row>
    <row r="162" customFormat="false" ht="15" hidden="false" customHeight="false" outlineLevel="0" collapsed="false">
      <c r="A162" s="13" t="s">
        <v>2521</v>
      </c>
      <c r="B162" s="13" t="s">
        <v>79</v>
      </c>
      <c r="C162" s="13" t="s">
        <v>43</v>
      </c>
      <c r="D162" s="13" t="s">
        <v>2324</v>
      </c>
      <c r="E162" s="13" t="s">
        <v>203</v>
      </c>
      <c r="F162" s="13" t="n">
        <v>1</v>
      </c>
      <c r="G162" s="13" t="n">
        <v>1</v>
      </c>
      <c r="H162" s="5" t="n">
        <v>25500</v>
      </c>
      <c r="I162" s="7" t="n">
        <v>50</v>
      </c>
      <c r="J162" s="16" t="n">
        <v>510</v>
      </c>
      <c r="K162" s="16" t="n">
        <v>510</v>
      </c>
      <c r="L162" s="16"/>
      <c r="M162" s="16"/>
      <c r="N162" s="19"/>
    </row>
    <row r="163" customFormat="false" ht="15" hidden="false" customHeight="false" outlineLevel="0" collapsed="false">
      <c r="A163" s="13" t="s">
        <v>2522</v>
      </c>
      <c r="B163" s="13" t="s">
        <v>45</v>
      </c>
      <c r="C163" s="13" t="s">
        <v>43</v>
      </c>
      <c r="D163" s="13" t="s">
        <v>2324</v>
      </c>
      <c r="E163" s="13" t="s">
        <v>247</v>
      </c>
      <c r="F163" s="13" t="n">
        <v>2</v>
      </c>
      <c r="G163" s="13" t="n">
        <v>3</v>
      </c>
      <c r="H163" s="5" t="n">
        <v>25300</v>
      </c>
      <c r="I163" s="7" t="n">
        <v>34</v>
      </c>
      <c r="J163" s="16" t="n">
        <v>744.117647058824</v>
      </c>
      <c r="K163" s="16"/>
      <c r="L163" s="16" t="n">
        <v>656.666666666667</v>
      </c>
      <c r="M163" s="16" t="n">
        <v>1400</v>
      </c>
      <c r="N163" s="19" t="n">
        <v>1.13197969543147</v>
      </c>
    </row>
    <row r="164" customFormat="false" ht="15" hidden="false" customHeight="false" outlineLevel="0" collapsed="false">
      <c r="A164" s="13" t="s">
        <v>2523</v>
      </c>
      <c r="B164" s="13" t="s">
        <v>42</v>
      </c>
      <c r="C164" s="13" t="s">
        <v>43</v>
      </c>
      <c r="D164" s="13" t="s">
        <v>2324</v>
      </c>
      <c r="E164" s="13" t="s">
        <v>280</v>
      </c>
      <c r="F164" s="13" t="n">
        <v>1</v>
      </c>
      <c r="G164" s="13" t="n">
        <v>2</v>
      </c>
      <c r="H164" s="5" t="n">
        <v>24800</v>
      </c>
      <c r="I164" s="7" t="n">
        <v>30</v>
      </c>
      <c r="J164" s="16" t="n">
        <v>826.666666666667</v>
      </c>
      <c r="K164" s="16"/>
      <c r="L164" s="16"/>
      <c r="M164" s="16" t="n">
        <v>826.666666666667</v>
      </c>
      <c r="N164" s="19"/>
    </row>
    <row r="165" customFormat="false" ht="15" hidden="false" customHeight="false" outlineLevel="0" collapsed="false">
      <c r="A165" s="13" t="s">
        <v>2524</v>
      </c>
      <c r="B165" s="13" t="s">
        <v>117</v>
      </c>
      <c r="C165" s="13" t="s">
        <v>98</v>
      </c>
      <c r="D165" s="13" t="s">
        <v>2324</v>
      </c>
      <c r="E165" s="13" t="s">
        <v>208</v>
      </c>
      <c r="F165" s="13" t="n">
        <v>1</v>
      </c>
      <c r="G165" s="13" t="n">
        <v>1</v>
      </c>
      <c r="H165" s="5" t="n">
        <v>24800</v>
      </c>
      <c r="I165" s="7" t="n">
        <v>20</v>
      </c>
      <c r="J165" s="16" t="n">
        <v>1240</v>
      </c>
      <c r="K165" s="16" t="n">
        <v>1240</v>
      </c>
      <c r="L165" s="16"/>
      <c r="M165" s="16"/>
      <c r="N165" s="19"/>
    </row>
    <row r="166" customFormat="false" ht="15" hidden="false" customHeight="false" outlineLevel="0" collapsed="false">
      <c r="A166" s="13" t="s">
        <v>2525</v>
      </c>
      <c r="B166" s="13" t="s">
        <v>45</v>
      </c>
      <c r="C166" s="13" t="s">
        <v>43</v>
      </c>
      <c r="D166" s="13" t="s">
        <v>2324</v>
      </c>
      <c r="E166" s="13" t="s">
        <v>113</v>
      </c>
      <c r="F166" s="13" t="n">
        <v>2</v>
      </c>
      <c r="G166" s="13" t="n">
        <v>6</v>
      </c>
      <c r="H166" s="5" t="n">
        <v>24460</v>
      </c>
      <c r="I166" s="7" t="n">
        <v>24</v>
      </c>
      <c r="J166" s="16" t="n">
        <v>1019.16666666667</v>
      </c>
      <c r="K166" s="16"/>
      <c r="L166" s="16" t="n">
        <v>907.272727272727</v>
      </c>
      <c r="M166" s="16" t="n">
        <v>1113.84615384615</v>
      </c>
      <c r="N166" s="19" t="n">
        <v>0.227686141513797</v>
      </c>
    </row>
    <row r="167" customFormat="false" ht="15" hidden="false" customHeight="false" outlineLevel="0" collapsed="false">
      <c r="A167" s="13" t="s">
        <v>2526</v>
      </c>
      <c r="B167" s="13" t="s">
        <v>42</v>
      </c>
      <c r="C167" s="13" t="s">
        <v>43</v>
      </c>
      <c r="D167" s="13" t="s">
        <v>2324</v>
      </c>
      <c r="E167" s="13" t="s">
        <v>219</v>
      </c>
      <c r="F167" s="13" t="n">
        <v>2</v>
      </c>
      <c r="G167" s="13" t="n">
        <v>2</v>
      </c>
      <c r="H167" s="5" t="n">
        <v>23900</v>
      </c>
      <c r="I167" s="7" t="n">
        <v>31</v>
      </c>
      <c r="J167" s="16" t="n">
        <v>770.967741935484</v>
      </c>
      <c r="K167" s="16"/>
      <c r="L167" s="16" t="n">
        <v>900</v>
      </c>
      <c r="M167" s="16" t="n">
        <v>766.666666666667</v>
      </c>
      <c r="N167" s="19" t="n">
        <v>0.173913043478261</v>
      </c>
    </row>
    <row r="168" customFormat="false" ht="15" hidden="false" customHeight="false" outlineLevel="0" collapsed="false">
      <c r="A168" s="13" t="s">
        <v>2527</v>
      </c>
      <c r="B168" s="13" t="s">
        <v>42</v>
      </c>
      <c r="C168" s="13" t="s">
        <v>43</v>
      </c>
      <c r="D168" s="13" t="s">
        <v>2360</v>
      </c>
      <c r="E168" s="13" t="s">
        <v>1255</v>
      </c>
      <c r="F168" s="13" t="n">
        <v>2</v>
      </c>
      <c r="G168" s="13" t="n">
        <v>4</v>
      </c>
      <c r="H168" s="5" t="n">
        <v>23860</v>
      </c>
      <c r="I168" s="7" t="n">
        <v>24</v>
      </c>
      <c r="J168" s="16" t="n">
        <v>994.166666666667</v>
      </c>
      <c r="K168" s="16"/>
      <c r="L168" s="16" t="n">
        <v>930</v>
      </c>
      <c r="M168" s="16" t="n">
        <v>1000</v>
      </c>
      <c r="N168" s="19" t="n">
        <v>0.0752688172043011</v>
      </c>
    </row>
    <row r="169" customFormat="false" ht="15" hidden="false" customHeight="false" outlineLevel="0" collapsed="false">
      <c r="A169" s="13" t="s">
        <v>2528</v>
      </c>
      <c r="B169" s="13" t="s">
        <v>92</v>
      </c>
      <c r="C169" s="13" t="s">
        <v>43</v>
      </c>
      <c r="D169" s="13" t="s">
        <v>2422</v>
      </c>
      <c r="E169" s="13" t="s">
        <v>354</v>
      </c>
      <c r="F169" s="13" t="n">
        <v>3</v>
      </c>
      <c r="G169" s="13" t="n">
        <v>4</v>
      </c>
      <c r="H169" s="5" t="n">
        <v>23820</v>
      </c>
      <c r="I169" s="7" t="n">
        <v>56</v>
      </c>
      <c r="J169" s="16" t="n">
        <v>425.357142857143</v>
      </c>
      <c r="K169" s="16" t="n">
        <v>343.333333333333</v>
      </c>
      <c r="L169" s="16" t="n">
        <v>524</v>
      </c>
      <c r="M169" s="16" t="n">
        <v>420</v>
      </c>
      <c r="N169" s="19" t="n">
        <v>0.52621359223301</v>
      </c>
    </row>
    <row r="170" customFormat="false" ht="15" hidden="false" customHeight="false" outlineLevel="0" collapsed="false">
      <c r="A170" s="13" t="s">
        <v>2529</v>
      </c>
      <c r="B170" s="13" t="s">
        <v>131</v>
      </c>
      <c r="C170" s="13" t="s">
        <v>66</v>
      </c>
      <c r="D170" s="13" t="s">
        <v>2324</v>
      </c>
      <c r="E170" s="13" t="s">
        <v>214</v>
      </c>
      <c r="F170" s="13" t="n">
        <v>1</v>
      </c>
      <c r="G170" s="13" t="n">
        <v>1</v>
      </c>
      <c r="H170" s="5" t="n">
        <v>23700</v>
      </c>
      <c r="I170" s="7" t="n">
        <v>100</v>
      </c>
      <c r="J170" s="16" t="n">
        <v>237</v>
      </c>
      <c r="K170" s="16" t="n">
        <v>237</v>
      </c>
      <c r="L170" s="16"/>
      <c r="M170" s="16"/>
      <c r="N170" s="19"/>
    </row>
    <row r="171" customFormat="false" ht="15" hidden="false" customHeight="false" outlineLevel="0" collapsed="false">
      <c r="A171" s="13" t="s">
        <v>2530</v>
      </c>
      <c r="B171" s="13" t="s">
        <v>79</v>
      </c>
      <c r="C171" s="13" t="s">
        <v>43</v>
      </c>
      <c r="D171" s="13" t="s">
        <v>2324</v>
      </c>
      <c r="E171" s="13" t="s">
        <v>343</v>
      </c>
      <c r="F171" s="13" t="n">
        <v>3</v>
      </c>
      <c r="G171" s="13" t="n">
        <v>5</v>
      </c>
      <c r="H171" s="5" t="n">
        <v>23420</v>
      </c>
      <c r="I171" s="7" t="n">
        <v>48</v>
      </c>
      <c r="J171" s="16" t="n">
        <v>487.916666666667</v>
      </c>
      <c r="K171" s="16" t="n">
        <v>590</v>
      </c>
      <c r="L171" s="16" t="n">
        <v>850</v>
      </c>
      <c r="M171" s="16" t="n">
        <v>439.444444444445</v>
      </c>
      <c r="N171" s="19" t="n">
        <v>0.934260429835651</v>
      </c>
    </row>
    <row r="172" customFormat="false" ht="15" hidden="false" customHeight="false" outlineLevel="0" collapsed="false">
      <c r="A172" s="13" t="s">
        <v>2531</v>
      </c>
      <c r="B172" s="13" t="s">
        <v>139</v>
      </c>
      <c r="C172" s="13" t="s">
        <v>140</v>
      </c>
      <c r="D172" s="13" t="s">
        <v>2532</v>
      </c>
      <c r="E172" s="13" t="s">
        <v>216</v>
      </c>
      <c r="F172" s="13" t="n">
        <v>1</v>
      </c>
      <c r="G172" s="13" t="n">
        <v>1</v>
      </c>
      <c r="H172" s="5" t="n">
        <v>23200</v>
      </c>
      <c r="I172" s="7" t="n">
        <v>100</v>
      </c>
      <c r="J172" s="16" t="n">
        <v>232</v>
      </c>
      <c r="K172" s="16" t="n">
        <v>232</v>
      </c>
      <c r="L172" s="16"/>
      <c r="M172" s="16"/>
      <c r="N172" s="19"/>
    </row>
    <row r="173" customFormat="false" ht="15" hidden="false" customHeight="false" outlineLevel="0" collapsed="false">
      <c r="A173" s="13" t="s">
        <v>2533</v>
      </c>
      <c r="B173" s="13" t="s">
        <v>61</v>
      </c>
      <c r="C173" s="13" t="s">
        <v>43</v>
      </c>
      <c r="D173" s="13" t="s">
        <v>2324</v>
      </c>
      <c r="E173" s="13" t="s">
        <v>253</v>
      </c>
      <c r="F173" s="13" t="n">
        <v>1</v>
      </c>
      <c r="G173" s="13" t="n">
        <v>3</v>
      </c>
      <c r="H173" s="5" t="n">
        <v>23200</v>
      </c>
      <c r="I173" s="7" t="n">
        <v>36</v>
      </c>
      <c r="J173" s="16" t="n">
        <v>644.444444444445</v>
      </c>
      <c r="K173" s="16"/>
      <c r="L173" s="16"/>
      <c r="M173" s="16" t="n">
        <v>644.444444444445</v>
      </c>
      <c r="N173" s="19"/>
    </row>
    <row r="174" customFormat="false" ht="15" hidden="false" customHeight="false" outlineLevel="0" collapsed="false">
      <c r="A174" s="13" t="s">
        <v>2534</v>
      </c>
      <c r="B174" s="13" t="s">
        <v>50</v>
      </c>
      <c r="C174" s="13" t="s">
        <v>43</v>
      </c>
      <c r="D174" s="13" t="s">
        <v>2429</v>
      </c>
      <c r="E174" s="13" t="s">
        <v>317</v>
      </c>
      <c r="F174" s="13" t="n">
        <v>2</v>
      </c>
      <c r="G174" s="13" t="n">
        <v>5</v>
      </c>
      <c r="H174" s="5" t="n">
        <v>23200</v>
      </c>
      <c r="I174" s="7" t="n">
        <v>32</v>
      </c>
      <c r="J174" s="16" t="n">
        <v>725</v>
      </c>
      <c r="K174" s="16"/>
      <c r="L174" s="16" t="n">
        <v>650.769230769231</v>
      </c>
      <c r="M174" s="16" t="n">
        <v>1046.66666666667</v>
      </c>
      <c r="N174" s="19" t="n">
        <v>0.608353033884949</v>
      </c>
    </row>
    <row r="175" customFormat="false" ht="15" hidden="false" customHeight="false" outlineLevel="0" collapsed="false">
      <c r="A175" s="13" t="s">
        <v>2535</v>
      </c>
      <c r="B175" s="13" t="s">
        <v>312</v>
      </c>
      <c r="C175" s="13" t="s">
        <v>43</v>
      </c>
      <c r="D175" s="13" t="s">
        <v>2339</v>
      </c>
      <c r="E175" s="13" t="s">
        <v>869</v>
      </c>
      <c r="F175" s="13" t="n">
        <v>2</v>
      </c>
      <c r="G175" s="13" t="n">
        <v>4</v>
      </c>
      <c r="H175" s="5" t="n">
        <v>23110</v>
      </c>
      <c r="I175" s="7" t="n">
        <v>132</v>
      </c>
      <c r="J175" s="16" t="n">
        <v>175.075757575758</v>
      </c>
      <c r="K175" s="16" t="n">
        <v>164.444444444445</v>
      </c>
      <c r="L175" s="16" t="n">
        <v>197.857142857143</v>
      </c>
      <c r="M175" s="16"/>
      <c r="N175" s="19" t="n">
        <v>0.203185328185328</v>
      </c>
    </row>
    <row r="176" customFormat="false" ht="15" hidden="false" customHeight="false" outlineLevel="0" collapsed="false">
      <c r="A176" s="13" t="s">
        <v>2536</v>
      </c>
      <c r="B176" s="13" t="s">
        <v>124</v>
      </c>
      <c r="C176" s="13" t="s">
        <v>43</v>
      </c>
      <c r="D176" s="13" t="s">
        <v>2324</v>
      </c>
      <c r="E176" s="13" t="s">
        <v>261</v>
      </c>
      <c r="F176" s="13" t="n">
        <v>1</v>
      </c>
      <c r="G176" s="13" t="n">
        <v>2</v>
      </c>
      <c r="H176" s="5" t="n">
        <v>22900</v>
      </c>
      <c r="I176" s="7" t="n">
        <v>25</v>
      </c>
      <c r="J176" s="16" t="n">
        <v>916</v>
      </c>
      <c r="K176" s="16"/>
      <c r="L176" s="16"/>
      <c r="M176" s="16" t="n">
        <v>916</v>
      </c>
      <c r="N176" s="19"/>
    </row>
    <row r="177" customFormat="false" ht="15" hidden="false" customHeight="false" outlineLevel="0" collapsed="false">
      <c r="A177" s="13" t="s">
        <v>2537</v>
      </c>
      <c r="B177" s="13" t="s">
        <v>2094</v>
      </c>
      <c r="C177" s="13" t="s">
        <v>57</v>
      </c>
      <c r="D177" s="13" t="s">
        <v>2324</v>
      </c>
      <c r="E177" s="13" t="s">
        <v>2538</v>
      </c>
      <c r="F177" s="13" t="n">
        <v>1</v>
      </c>
      <c r="G177" s="13" t="n">
        <v>1</v>
      </c>
      <c r="H177" s="5" t="n">
        <v>22900</v>
      </c>
      <c r="I177" s="7" t="n">
        <v>150</v>
      </c>
      <c r="J177" s="16" t="n">
        <v>152.666666666667</v>
      </c>
      <c r="K177" s="16" t="n">
        <v>152.666666666667</v>
      </c>
      <c r="L177" s="16"/>
      <c r="M177" s="16"/>
      <c r="N177" s="19"/>
    </row>
    <row r="178" customFormat="false" ht="15" hidden="false" customHeight="false" outlineLevel="0" collapsed="false">
      <c r="A178" s="13" t="s">
        <v>2539</v>
      </c>
      <c r="B178" s="13" t="s">
        <v>42</v>
      </c>
      <c r="C178" s="13" t="s">
        <v>43</v>
      </c>
      <c r="D178" s="13" t="s">
        <v>2422</v>
      </c>
      <c r="E178" s="13" t="s">
        <v>237</v>
      </c>
      <c r="F178" s="13" t="n">
        <v>2</v>
      </c>
      <c r="G178" s="13" t="n">
        <v>4</v>
      </c>
      <c r="H178" s="5" t="n">
        <v>22770</v>
      </c>
      <c r="I178" s="7" t="n">
        <v>55</v>
      </c>
      <c r="J178" s="16" t="n">
        <v>414</v>
      </c>
      <c r="K178" s="16"/>
      <c r="L178" s="16" t="n">
        <v>443.333333333333</v>
      </c>
      <c r="M178" s="16" t="n">
        <v>412.307692307692</v>
      </c>
      <c r="N178" s="19" t="n">
        <v>0.0752487562189054</v>
      </c>
    </row>
    <row r="179" customFormat="false" ht="15" hidden="false" customHeight="false" outlineLevel="0" collapsed="false">
      <c r="A179" s="13" t="s">
        <v>2540</v>
      </c>
      <c r="B179" s="13" t="s">
        <v>2119</v>
      </c>
      <c r="C179" s="13" t="s">
        <v>140</v>
      </c>
      <c r="D179" s="13" t="s">
        <v>2324</v>
      </c>
      <c r="E179" s="13" t="s">
        <v>2541</v>
      </c>
      <c r="F179" s="13" t="n">
        <v>1</v>
      </c>
      <c r="G179" s="13" t="n">
        <v>1</v>
      </c>
      <c r="H179" s="5" t="n">
        <v>22700</v>
      </c>
      <c r="I179" s="7" t="n">
        <v>490</v>
      </c>
      <c r="J179" s="16" t="n">
        <v>46.3265306122449</v>
      </c>
      <c r="K179" s="16" t="n">
        <v>46.3265306122449</v>
      </c>
      <c r="L179" s="16"/>
      <c r="M179" s="16"/>
      <c r="N179" s="19"/>
    </row>
    <row r="180" customFormat="false" ht="15" hidden="false" customHeight="false" outlineLevel="0" collapsed="false">
      <c r="A180" s="13" t="s">
        <v>2542</v>
      </c>
      <c r="B180" s="13" t="s">
        <v>286</v>
      </c>
      <c r="C180" s="13" t="s">
        <v>43</v>
      </c>
      <c r="D180" s="13" t="s">
        <v>2339</v>
      </c>
      <c r="E180" s="13" t="s">
        <v>1363</v>
      </c>
      <c r="F180" s="13" t="n">
        <v>2</v>
      </c>
      <c r="G180" s="13" t="n">
        <v>3</v>
      </c>
      <c r="H180" s="5" t="n">
        <v>22620</v>
      </c>
      <c r="I180" s="7" t="n">
        <v>82</v>
      </c>
      <c r="J180" s="16" t="n">
        <v>275.853658536585</v>
      </c>
      <c r="K180" s="16" t="n">
        <v>410</v>
      </c>
      <c r="L180" s="16" t="n">
        <v>272.5</v>
      </c>
      <c r="M180" s="16"/>
      <c r="N180" s="19" t="n">
        <v>0.504587155963303</v>
      </c>
    </row>
    <row r="181" customFormat="false" ht="15" hidden="false" customHeight="false" outlineLevel="0" collapsed="false">
      <c r="A181" s="13" t="s">
        <v>2543</v>
      </c>
      <c r="B181" s="13" t="s">
        <v>124</v>
      </c>
      <c r="C181" s="13" t="s">
        <v>43</v>
      </c>
      <c r="D181" s="13" t="s">
        <v>2324</v>
      </c>
      <c r="E181" s="13" t="s">
        <v>238</v>
      </c>
      <c r="F181" s="13" t="n">
        <v>1</v>
      </c>
      <c r="G181" s="13" t="n">
        <v>3</v>
      </c>
      <c r="H181" s="5" t="n">
        <v>22610</v>
      </c>
      <c r="I181" s="7" t="n">
        <v>33</v>
      </c>
      <c r="J181" s="16" t="n">
        <v>685.151515151515</v>
      </c>
      <c r="K181" s="16"/>
      <c r="L181" s="16"/>
      <c r="M181" s="16" t="n">
        <v>685.151515151515</v>
      </c>
      <c r="N181" s="19"/>
    </row>
    <row r="182" customFormat="false" ht="15" hidden="false" customHeight="false" outlineLevel="0" collapsed="false">
      <c r="A182" s="13" t="s">
        <v>2544</v>
      </c>
      <c r="B182" s="13" t="s">
        <v>69</v>
      </c>
      <c r="C182" s="13" t="s">
        <v>43</v>
      </c>
      <c r="D182" s="13" t="s">
        <v>2339</v>
      </c>
      <c r="E182" s="13" t="s">
        <v>70</v>
      </c>
      <c r="F182" s="13" t="n">
        <v>1</v>
      </c>
      <c r="G182" s="13" t="n">
        <v>3</v>
      </c>
      <c r="H182" s="5" t="n">
        <v>22500</v>
      </c>
      <c r="I182" s="7" t="n">
        <v>33</v>
      </c>
      <c r="J182" s="16" t="n">
        <v>681.818181818182</v>
      </c>
      <c r="K182" s="16"/>
      <c r="L182" s="16"/>
      <c r="M182" s="16" t="n">
        <v>681.818181818182</v>
      </c>
      <c r="N182" s="19"/>
    </row>
    <row r="183" customFormat="false" ht="15" hidden="false" customHeight="false" outlineLevel="0" collapsed="false">
      <c r="A183" s="13" t="s">
        <v>2545</v>
      </c>
      <c r="B183" s="13" t="s">
        <v>165</v>
      </c>
      <c r="C183" s="13" t="s">
        <v>43</v>
      </c>
      <c r="D183" s="13" t="s">
        <v>2324</v>
      </c>
      <c r="E183" s="13" t="s">
        <v>223</v>
      </c>
      <c r="F183" s="13" t="n">
        <v>1</v>
      </c>
      <c r="G183" s="13" t="n">
        <v>1</v>
      </c>
      <c r="H183" s="5" t="n">
        <v>22300</v>
      </c>
      <c r="I183" s="7" t="n">
        <v>40</v>
      </c>
      <c r="J183" s="16" t="n">
        <v>557.5</v>
      </c>
      <c r="K183" s="16" t="n">
        <v>557.5</v>
      </c>
      <c r="L183" s="16"/>
      <c r="M183" s="16"/>
      <c r="N183" s="19"/>
    </row>
    <row r="184" customFormat="false" ht="15" hidden="false" customHeight="false" outlineLevel="0" collapsed="false">
      <c r="A184" s="13" t="s">
        <v>2546</v>
      </c>
      <c r="B184" s="13" t="s">
        <v>42</v>
      </c>
      <c r="C184" s="13" t="s">
        <v>43</v>
      </c>
      <c r="D184" s="13" t="s">
        <v>2324</v>
      </c>
      <c r="E184" s="13" t="s">
        <v>224</v>
      </c>
      <c r="F184" s="13" t="n">
        <v>1</v>
      </c>
      <c r="G184" s="13" t="n">
        <v>1</v>
      </c>
      <c r="H184" s="5" t="n">
        <v>22300</v>
      </c>
      <c r="I184" s="7" t="n">
        <v>30</v>
      </c>
      <c r="J184" s="16" t="n">
        <v>743.333333333333</v>
      </c>
      <c r="K184" s="16"/>
      <c r="L184" s="16"/>
      <c r="M184" s="16" t="n">
        <v>743.333333333333</v>
      </c>
      <c r="N184" s="19"/>
    </row>
    <row r="185" customFormat="false" ht="15" hidden="false" customHeight="false" outlineLevel="0" collapsed="false">
      <c r="A185" s="13" t="s">
        <v>2547</v>
      </c>
      <c r="B185" s="13" t="s">
        <v>50</v>
      </c>
      <c r="C185" s="13" t="s">
        <v>43</v>
      </c>
      <c r="D185" s="13" t="s">
        <v>2327</v>
      </c>
      <c r="E185" s="13" t="s">
        <v>294</v>
      </c>
      <c r="F185" s="13" t="n">
        <v>2</v>
      </c>
      <c r="G185" s="13" t="n">
        <v>5</v>
      </c>
      <c r="H185" s="5" t="n">
        <v>22190</v>
      </c>
      <c r="I185" s="7" t="n">
        <v>27</v>
      </c>
      <c r="J185" s="16" t="n">
        <v>821.851851851852</v>
      </c>
      <c r="K185" s="16"/>
      <c r="L185" s="16" t="n">
        <v>900</v>
      </c>
      <c r="M185" s="16" t="n">
        <v>815.6</v>
      </c>
      <c r="N185" s="19" t="n">
        <v>0.103482099068171</v>
      </c>
    </row>
    <row r="186" customFormat="false" ht="15" hidden="false" customHeight="false" outlineLevel="0" collapsed="false">
      <c r="A186" s="13" t="s">
        <v>2548</v>
      </c>
      <c r="B186" s="13" t="s">
        <v>45</v>
      </c>
      <c r="C186" s="13" t="s">
        <v>43</v>
      </c>
      <c r="D186" s="13" t="s">
        <v>2324</v>
      </c>
      <c r="E186" s="13" t="s">
        <v>301</v>
      </c>
      <c r="F186" s="13" t="n">
        <v>2</v>
      </c>
      <c r="G186" s="13" t="n">
        <v>5</v>
      </c>
      <c r="H186" s="5" t="n">
        <v>22100</v>
      </c>
      <c r="I186" s="7" t="n">
        <v>31</v>
      </c>
      <c r="J186" s="16" t="n">
        <v>712.903225806452</v>
      </c>
      <c r="K186" s="16"/>
      <c r="L186" s="16" t="n">
        <v>706.896551724138</v>
      </c>
      <c r="M186" s="16" t="n">
        <v>800</v>
      </c>
      <c r="N186" s="19" t="n">
        <v>0.131707317073171</v>
      </c>
    </row>
    <row r="187" customFormat="false" ht="15" hidden="false" customHeight="false" outlineLevel="0" collapsed="false">
      <c r="A187" s="13" t="s">
        <v>2549</v>
      </c>
      <c r="B187" s="13" t="s">
        <v>42</v>
      </c>
      <c r="C187" s="13" t="s">
        <v>43</v>
      </c>
      <c r="D187" s="13" t="s">
        <v>2339</v>
      </c>
      <c r="E187" s="13" t="s">
        <v>240</v>
      </c>
      <c r="F187" s="13" t="n">
        <v>1</v>
      </c>
      <c r="G187" s="13" t="n">
        <v>3</v>
      </c>
      <c r="H187" s="5" t="n">
        <v>22090</v>
      </c>
      <c r="I187" s="7" t="n">
        <v>33</v>
      </c>
      <c r="J187" s="16" t="n">
        <v>669.393939393939</v>
      </c>
      <c r="K187" s="16"/>
      <c r="L187" s="16" t="n">
        <v>669.393939393939</v>
      </c>
      <c r="M187" s="16"/>
      <c r="N187" s="19"/>
    </row>
    <row r="188" customFormat="false" ht="15" hidden="false" customHeight="false" outlineLevel="0" collapsed="false">
      <c r="A188" s="13" t="s">
        <v>2550</v>
      </c>
      <c r="B188" s="13" t="s">
        <v>2095</v>
      </c>
      <c r="C188" s="13" t="s">
        <v>140</v>
      </c>
      <c r="D188" s="13" t="s">
        <v>2324</v>
      </c>
      <c r="E188" s="13" t="s">
        <v>2551</v>
      </c>
      <c r="F188" s="13" t="n">
        <v>1</v>
      </c>
      <c r="G188" s="13" t="n">
        <v>1</v>
      </c>
      <c r="H188" s="5" t="n">
        <v>22000</v>
      </c>
      <c r="I188" s="7" t="n">
        <v>220</v>
      </c>
      <c r="J188" s="16" t="n">
        <v>100</v>
      </c>
      <c r="K188" s="16" t="n">
        <v>100</v>
      </c>
      <c r="L188" s="16"/>
      <c r="M188" s="16"/>
      <c r="N188" s="19"/>
    </row>
    <row r="189" customFormat="false" ht="15" hidden="false" customHeight="false" outlineLevel="0" collapsed="false">
      <c r="A189" s="13" t="s">
        <v>2552</v>
      </c>
      <c r="B189" s="13" t="s">
        <v>50</v>
      </c>
      <c r="C189" s="13" t="s">
        <v>43</v>
      </c>
      <c r="D189" s="13" t="s">
        <v>2324</v>
      </c>
      <c r="E189" s="13" t="s">
        <v>272</v>
      </c>
      <c r="F189" s="13" t="n">
        <v>1</v>
      </c>
      <c r="G189" s="13" t="n">
        <v>4</v>
      </c>
      <c r="H189" s="5" t="n">
        <v>22000</v>
      </c>
      <c r="I189" s="7" t="n">
        <v>51</v>
      </c>
      <c r="J189" s="16" t="n">
        <v>431.372549019608</v>
      </c>
      <c r="K189" s="16"/>
      <c r="L189" s="16"/>
      <c r="M189" s="16" t="n">
        <v>431.372549019608</v>
      </c>
      <c r="N189" s="19"/>
    </row>
    <row r="190" customFormat="false" ht="15" hidden="false" customHeight="false" outlineLevel="0" collapsed="false">
      <c r="A190" s="13" t="s">
        <v>2553</v>
      </c>
      <c r="B190" s="13" t="s">
        <v>2108</v>
      </c>
      <c r="C190" s="13" t="s">
        <v>82</v>
      </c>
      <c r="D190" s="13" t="s">
        <v>2324</v>
      </c>
      <c r="E190" s="13" t="s">
        <v>2554</v>
      </c>
      <c r="F190" s="13" t="n">
        <v>1</v>
      </c>
      <c r="G190" s="13" t="n">
        <v>1</v>
      </c>
      <c r="H190" s="5" t="n">
        <v>21900</v>
      </c>
      <c r="I190" s="7" t="n">
        <v>260</v>
      </c>
      <c r="J190" s="16" t="n">
        <v>84.2307692307692</v>
      </c>
      <c r="K190" s="16" t="n">
        <v>84.2307692307692</v>
      </c>
      <c r="L190" s="16"/>
      <c r="M190" s="16"/>
      <c r="N190" s="19"/>
    </row>
    <row r="191" customFormat="false" ht="15" hidden="false" customHeight="false" outlineLevel="0" collapsed="false">
      <c r="A191" s="13" t="s">
        <v>2555</v>
      </c>
      <c r="B191" s="13" t="s">
        <v>248</v>
      </c>
      <c r="C191" s="13" t="s">
        <v>85</v>
      </c>
      <c r="D191" s="13" t="s">
        <v>2324</v>
      </c>
      <c r="E191" s="13" t="s">
        <v>249</v>
      </c>
      <c r="F191" s="13" t="n">
        <v>1</v>
      </c>
      <c r="G191" s="13" t="n">
        <v>2</v>
      </c>
      <c r="H191" s="5" t="n">
        <v>21700</v>
      </c>
      <c r="I191" s="7" t="n">
        <v>110</v>
      </c>
      <c r="J191" s="16" t="n">
        <v>197.272727272727</v>
      </c>
      <c r="K191" s="16" t="n">
        <v>197.272727272727</v>
      </c>
      <c r="L191" s="16"/>
      <c r="M191" s="16"/>
      <c r="N191" s="19"/>
    </row>
    <row r="192" customFormat="false" ht="15" hidden="false" customHeight="false" outlineLevel="0" collapsed="false">
      <c r="A192" s="13" t="s">
        <v>2556</v>
      </c>
      <c r="B192" s="13" t="s">
        <v>2098</v>
      </c>
      <c r="C192" s="13" t="s">
        <v>57</v>
      </c>
      <c r="D192" s="13" t="s">
        <v>2324</v>
      </c>
      <c r="E192" s="13" t="s">
        <v>2557</v>
      </c>
      <c r="F192" s="13" t="n">
        <v>1</v>
      </c>
      <c r="G192" s="13" t="n">
        <v>1</v>
      </c>
      <c r="H192" s="5" t="n">
        <v>21500</v>
      </c>
      <c r="I192" s="7" t="n">
        <v>300</v>
      </c>
      <c r="J192" s="16" t="n">
        <v>71.6666666666667</v>
      </c>
      <c r="K192" s="16" t="n">
        <v>71.6666666666667</v>
      </c>
      <c r="L192" s="16"/>
      <c r="M192" s="16"/>
      <c r="N192" s="19"/>
    </row>
    <row r="193" customFormat="false" ht="15" hidden="false" customHeight="false" outlineLevel="0" collapsed="false">
      <c r="A193" s="13" t="s">
        <v>2558</v>
      </c>
      <c r="B193" s="13" t="s">
        <v>61</v>
      </c>
      <c r="C193" s="13" t="s">
        <v>43</v>
      </c>
      <c r="D193" s="13" t="s">
        <v>2324</v>
      </c>
      <c r="E193" s="13" t="s">
        <v>231</v>
      </c>
      <c r="F193" s="13" t="n">
        <v>1</v>
      </c>
      <c r="G193" s="13" t="n">
        <v>1</v>
      </c>
      <c r="H193" s="5" t="n">
        <v>21300</v>
      </c>
      <c r="I193" s="7" t="n">
        <v>30</v>
      </c>
      <c r="J193" s="16" t="n">
        <v>710</v>
      </c>
      <c r="K193" s="16"/>
      <c r="L193" s="16"/>
      <c r="M193" s="16" t="n">
        <v>710</v>
      </c>
      <c r="N193" s="19"/>
    </row>
    <row r="194" customFormat="false" ht="15" hidden="false" customHeight="false" outlineLevel="0" collapsed="false">
      <c r="A194" s="13" t="s">
        <v>2559</v>
      </c>
      <c r="B194" s="13" t="s">
        <v>45</v>
      </c>
      <c r="C194" s="13" t="s">
        <v>43</v>
      </c>
      <c r="D194" s="13" t="s">
        <v>2360</v>
      </c>
      <c r="E194" s="13" t="s">
        <v>292</v>
      </c>
      <c r="F194" s="13" t="n">
        <v>2</v>
      </c>
      <c r="G194" s="13" t="n">
        <v>5</v>
      </c>
      <c r="H194" s="5" t="n">
        <v>21290</v>
      </c>
      <c r="I194" s="7" t="n">
        <v>30</v>
      </c>
      <c r="J194" s="16" t="n">
        <v>709.666666666667</v>
      </c>
      <c r="K194" s="16"/>
      <c r="L194" s="16" t="n">
        <v>989</v>
      </c>
      <c r="M194" s="16" t="n">
        <v>570</v>
      </c>
      <c r="N194" s="19" t="n">
        <v>0.735087719298246</v>
      </c>
    </row>
    <row r="195" customFormat="false" ht="15" hidden="false" customHeight="false" outlineLevel="0" collapsed="false">
      <c r="A195" s="13" t="s">
        <v>2560</v>
      </c>
      <c r="B195" s="13" t="s">
        <v>42</v>
      </c>
      <c r="C195" s="13" t="s">
        <v>43</v>
      </c>
      <c r="D195" s="13" t="s">
        <v>2324</v>
      </c>
      <c r="E195" s="13" t="s">
        <v>137</v>
      </c>
      <c r="F195" s="13" t="n">
        <v>2</v>
      </c>
      <c r="G195" s="13" t="n">
        <v>4</v>
      </c>
      <c r="H195" s="5" t="n">
        <v>21190</v>
      </c>
      <c r="I195" s="7" t="n">
        <v>27</v>
      </c>
      <c r="J195" s="16" t="n">
        <v>784.814814814815</v>
      </c>
      <c r="K195" s="16"/>
      <c r="L195" s="16" t="n">
        <v>855.714285714286</v>
      </c>
      <c r="M195" s="16" t="n">
        <v>760</v>
      </c>
      <c r="N195" s="19" t="n">
        <v>0.12593984962406</v>
      </c>
    </row>
    <row r="196" customFormat="false" ht="15" hidden="false" customHeight="false" outlineLevel="0" collapsed="false">
      <c r="A196" s="13" t="s">
        <v>2561</v>
      </c>
      <c r="B196" s="13" t="s">
        <v>2107</v>
      </c>
      <c r="C196" s="13" t="s">
        <v>43</v>
      </c>
      <c r="D196" s="13" t="s">
        <v>2339</v>
      </c>
      <c r="E196" s="13" t="s">
        <v>2562</v>
      </c>
      <c r="F196" s="13" t="n">
        <v>1</v>
      </c>
      <c r="G196" s="13" t="n">
        <v>1</v>
      </c>
      <c r="H196" s="5" t="n">
        <v>20800</v>
      </c>
      <c r="I196" s="7" t="n">
        <v>230</v>
      </c>
      <c r="J196" s="16" t="n">
        <v>90.4347826086957</v>
      </c>
      <c r="K196" s="16" t="n">
        <v>90.4347826086957</v>
      </c>
      <c r="L196" s="16"/>
      <c r="M196" s="16"/>
      <c r="N196" s="19"/>
    </row>
    <row r="197" customFormat="false" ht="15" hidden="false" customHeight="false" outlineLevel="0" collapsed="false">
      <c r="A197" s="13" t="s">
        <v>2563</v>
      </c>
      <c r="B197" s="13" t="s">
        <v>42</v>
      </c>
      <c r="C197" s="13" t="s">
        <v>43</v>
      </c>
      <c r="D197" s="13" t="s">
        <v>2324</v>
      </c>
      <c r="E197" s="13" t="s">
        <v>44</v>
      </c>
      <c r="F197" s="13" t="n">
        <v>1</v>
      </c>
      <c r="G197" s="13" t="n">
        <v>2</v>
      </c>
      <c r="H197" s="5" t="n">
        <v>20800</v>
      </c>
      <c r="I197" s="7" t="n">
        <v>32</v>
      </c>
      <c r="J197" s="16" t="n">
        <v>650</v>
      </c>
      <c r="K197" s="16"/>
      <c r="L197" s="16"/>
      <c r="M197" s="16" t="n">
        <v>650</v>
      </c>
      <c r="N197" s="19"/>
    </row>
    <row r="198" customFormat="false" ht="15" hidden="false" customHeight="false" outlineLevel="0" collapsed="false">
      <c r="A198" s="13" t="s">
        <v>2564</v>
      </c>
      <c r="B198" s="13" t="s">
        <v>233</v>
      </c>
      <c r="C198" s="13" t="s">
        <v>57</v>
      </c>
      <c r="D198" s="13" t="s">
        <v>2324</v>
      </c>
      <c r="E198" s="13" t="s">
        <v>234</v>
      </c>
      <c r="F198" s="13" t="n">
        <v>1</v>
      </c>
      <c r="G198" s="13" t="n">
        <v>1</v>
      </c>
      <c r="H198" s="5" t="n">
        <v>20800</v>
      </c>
      <c r="I198" s="7" t="n">
        <v>100</v>
      </c>
      <c r="J198" s="16" t="n">
        <v>208</v>
      </c>
      <c r="K198" s="16" t="n">
        <v>208</v>
      </c>
      <c r="L198" s="16"/>
      <c r="M198" s="16"/>
      <c r="N198" s="19"/>
    </row>
    <row r="199" customFormat="false" ht="15" hidden="false" customHeight="false" outlineLevel="0" collapsed="false">
      <c r="A199" s="13" t="s">
        <v>2565</v>
      </c>
      <c r="B199" s="13" t="s">
        <v>61</v>
      </c>
      <c r="C199" s="13" t="s">
        <v>43</v>
      </c>
      <c r="D199" s="13" t="s">
        <v>2324</v>
      </c>
      <c r="E199" s="13" t="s">
        <v>245</v>
      </c>
      <c r="F199" s="13" t="n">
        <v>1</v>
      </c>
      <c r="G199" s="13" t="n">
        <v>2</v>
      </c>
      <c r="H199" s="5" t="n">
        <v>20500</v>
      </c>
      <c r="I199" s="7" t="n">
        <v>31</v>
      </c>
      <c r="J199" s="16" t="n">
        <v>661.290322580645</v>
      </c>
      <c r="K199" s="16"/>
      <c r="L199" s="16"/>
      <c r="M199" s="16" t="n">
        <v>661.290322580645</v>
      </c>
      <c r="N199" s="19"/>
    </row>
    <row r="200" customFormat="false" ht="15" hidden="false" customHeight="false" outlineLevel="0" collapsed="false">
      <c r="A200" s="13" t="s">
        <v>2566</v>
      </c>
      <c r="B200" s="13" t="s">
        <v>315</v>
      </c>
      <c r="C200" s="13" t="s">
        <v>43</v>
      </c>
      <c r="D200" s="13" t="s">
        <v>2324</v>
      </c>
      <c r="E200" s="13" t="s">
        <v>316</v>
      </c>
      <c r="F200" s="13" t="n">
        <v>1</v>
      </c>
      <c r="G200" s="13" t="n">
        <v>4</v>
      </c>
      <c r="H200" s="5" t="n">
        <v>20400</v>
      </c>
      <c r="I200" s="7" t="n">
        <v>29</v>
      </c>
      <c r="J200" s="16" t="n">
        <v>703.448275862069</v>
      </c>
      <c r="K200" s="16"/>
      <c r="L200" s="16"/>
      <c r="M200" s="16" t="n">
        <v>703.448275862069</v>
      </c>
      <c r="N200" s="19"/>
    </row>
    <row r="201" customFormat="false" ht="15" hidden="false" customHeight="false" outlineLevel="0" collapsed="false">
      <c r="A201" s="13" t="s">
        <v>2567</v>
      </c>
      <c r="B201" s="13" t="s">
        <v>42</v>
      </c>
      <c r="C201" s="13" t="s">
        <v>43</v>
      </c>
      <c r="D201" s="13" t="s">
        <v>2500</v>
      </c>
      <c r="E201" s="13" t="s">
        <v>324</v>
      </c>
      <c r="F201" s="13" t="n">
        <v>1</v>
      </c>
      <c r="G201" s="13" t="n">
        <v>4</v>
      </c>
      <c r="H201" s="5" t="n">
        <v>20300</v>
      </c>
      <c r="I201" s="7" t="n">
        <v>29</v>
      </c>
      <c r="J201" s="16" t="n">
        <v>700</v>
      </c>
      <c r="K201" s="16"/>
      <c r="L201" s="16" t="n">
        <v>700</v>
      </c>
      <c r="M201" s="16"/>
      <c r="N201" s="19"/>
    </row>
    <row r="202" customFormat="false" ht="15" hidden="false" customHeight="false" outlineLevel="0" collapsed="false">
      <c r="A202" s="13" t="s">
        <v>2568</v>
      </c>
      <c r="B202" s="13" t="s">
        <v>79</v>
      </c>
      <c r="C202" s="13" t="s">
        <v>43</v>
      </c>
      <c r="D202" s="13" t="s">
        <v>2324</v>
      </c>
      <c r="E202" s="13" t="s">
        <v>407</v>
      </c>
      <c r="F202" s="13" t="n">
        <v>2</v>
      </c>
      <c r="G202" s="13" t="n">
        <v>2</v>
      </c>
      <c r="H202" s="5" t="n">
        <v>20300</v>
      </c>
      <c r="I202" s="7" t="n">
        <v>15</v>
      </c>
      <c r="J202" s="16" t="n">
        <v>1353.33333333333</v>
      </c>
      <c r="K202" s="16"/>
      <c r="L202" s="16" t="n">
        <v>1700</v>
      </c>
      <c r="M202" s="16" t="n">
        <v>1180</v>
      </c>
      <c r="N202" s="19" t="n">
        <v>0.440677966101695</v>
      </c>
    </row>
    <row r="203" customFormat="false" ht="15" hidden="false" customHeight="false" outlineLevel="0" collapsed="false">
      <c r="A203" s="13" t="s">
        <v>2569</v>
      </c>
      <c r="B203" s="13" t="s">
        <v>2128</v>
      </c>
      <c r="C203" s="13" t="s">
        <v>85</v>
      </c>
      <c r="D203" s="13" t="s">
        <v>2339</v>
      </c>
      <c r="E203" s="13" t="s">
        <v>2570</v>
      </c>
      <c r="F203" s="13" t="n">
        <v>2</v>
      </c>
      <c r="G203" s="13" t="n">
        <v>3</v>
      </c>
      <c r="H203" s="5" t="n">
        <v>20230</v>
      </c>
      <c r="I203" s="7" t="n">
        <v>252</v>
      </c>
      <c r="J203" s="16" t="n">
        <v>80.2777777777778</v>
      </c>
      <c r="K203" s="16" t="n">
        <v>75.2173913043478</v>
      </c>
      <c r="L203" s="16" t="n">
        <v>133.181818181818</v>
      </c>
      <c r="M203" s="16"/>
      <c r="N203" s="19" t="n">
        <v>0.770625328428797</v>
      </c>
    </row>
    <row r="204" customFormat="false" ht="15" hidden="false" customHeight="false" outlineLevel="0" collapsed="false">
      <c r="A204" s="13" t="s">
        <v>2571</v>
      </c>
      <c r="B204" s="13" t="s">
        <v>79</v>
      </c>
      <c r="C204" s="13" t="s">
        <v>43</v>
      </c>
      <c r="D204" s="13" t="s">
        <v>2339</v>
      </c>
      <c r="E204" s="13" t="s">
        <v>297</v>
      </c>
      <c r="F204" s="13" t="n">
        <v>1</v>
      </c>
      <c r="G204" s="13" t="n">
        <v>2</v>
      </c>
      <c r="H204" s="5" t="n">
        <v>20100</v>
      </c>
      <c r="I204" s="7" t="n">
        <v>25</v>
      </c>
      <c r="J204" s="16" t="n">
        <v>804</v>
      </c>
      <c r="K204" s="16"/>
      <c r="L204" s="16" t="n">
        <v>804</v>
      </c>
      <c r="M204" s="16"/>
      <c r="N204" s="19"/>
    </row>
    <row r="205" customFormat="false" ht="15" hidden="false" customHeight="false" outlineLevel="0" collapsed="false">
      <c r="A205" s="13" t="s">
        <v>2572</v>
      </c>
      <c r="B205" s="13" t="s">
        <v>65</v>
      </c>
      <c r="C205" s="13" t="s">
        <v>66</v>
      </c>
      <c r="D205" s="13" t="s">
        <v>2324</v>
      </c>
      <c r="E205" s="13" t="s">
        <v>241</v>
      </c>
      <c r="F205" s="13" t="n">
        <v>1</v>
      </c>
      <c r="G205" s="13" t="n">
        <v>1</v>
      </c>
      <c r="H205" s="5" t="n">
        <v>20000</v>
      </c>
      <c r="I205" s="7" t="n">
        <v>70</v>
      </c>
      <c r="J205" s="16" t="n">
        <v>285.714285714286</v>
      </c>
      <c r="K205" s="16" t="n">
        <v>285.714285714286</v>
      </c>
      <c r="L205" s="16"/>
      <c r="M205" s="16"/>
      <c r="N205" s="19"/>
    </row>
    <row r="206" customFormat="false" ht="15" hidden="false" customHeight="false" outlineLevel="0" collapsed="false">
      <c r="A206" s="13" t="s">
        <v>2573</v>
      </c>
      <c r="B206" s="13" t="s">
        <v>131</v>
      </c>
      <c r="C206" s="13" t="s">
        <v>85</v>
      </c>
      <c r="D206" s="13" t="s">
        <v>2324</v>
      </c>
      <c r="E206" s="13" t="s">
        <v>243</v>
      </c>
      <c r="F206" s="13" t="n">
        <v>1</v>
      </c>
      <c r="G206" s="13" t="n">
        <v>1</v>
      </c>
      <c r="H206" s="5" t="n">
        <v>19900</v>
      </c>
      <c r="I206" s="7" t="n">
        <v>340</v>
      </c>
      <c r="J206" s="16" t="n">
        <v>58.5294117647059</v>
      </c>
      <c r="K206" s="16" t="n">
        <v>58.5294117647059</v>
      </c>
      <c r="L206" s="16"/>
      <c r="M206" s="16"/>
      <c r="N206" s="19"/>
    </row>
    <row r="207" customFormat="false" ht="15" hidden="false" customHeight="false" outlineLevel="0" collapsed="false">
      <c r="A207" s="13" t="s">
        <v>2574</v>
      </c>
      <c r="B207" s="13" t="s">
        <v>42</v>
      </c>
      <c r="C207" s="13" t="s">
        <v>43</v>
      </c>
      <c r="D207" s="13" t="s">
        <v>2324</v>
      </c>
      <c r="E207" s="13" t="s">
        <v>693</v>
      </c>
      <c r="F207" s="13" t="n">
        <v>2</v>
      </c>
      <c r="G207" s="13" t="n">
        <v>6</v>
      </c>
      <c r="H207" s="5" t="n">
        <v>19800</v>
      </c>
      <c r="I207" s="7" t="n">
        <v>95</v>
      </c>
      <c r="J207" s="16" t="n">
        <v>208.421052631579</v>
      </c>
      <c r="K207" s="16"/>
      <c r="L207" s="16" t="n">
        <v>347.5</v>
      </c>
      <c r="M207" s="16" t="n">
        <v>188.313253012048</v>
      </c>
      <c r="N207" s="19" t="n">
        <v>0.84532949456174</v>
      </c>
    </row>
    <row r="208" customFormat="false" ht="15" hidden="false" customHeight="false" outlineLevel="0" collapsed="false">
      <c r="A208" s="13" t="s">
        <v>2575</v>
      </c>
      <c r="B208" s="13" t="s">
        <v>124</v>
      </c>
      <c r="C208" s="13" t="s">
        <v>43</v>
      </c>
      <c r="D208" s="13" t="s">
        <v>2324</v>
      </c>
      <c r="E208" s="13" t="s">
        <v>125</v>
      </c>
      <c r="F208" s="13" t="n">
        <v>1</v>
      </c>
      <c r="G208" s="13" t="n">
        <v>3</v>
      </c>
      <c r="H208" s="5" t="n">
        <v>19610</v>
      </c>
      <c r="I208" s="7" t="n">
        <v>23</v>
      </c>
      <c r="J208" s="16" t="n">
        <v>852.608695652174</v>
      </c>
      <c r="K208" s="16"/>
      <c r="L208" s="16"/>
      <c r="M208" s="16" t="n">
        <v>852.608695652174</v>
      </c>
      <c r="N208" s="19"/>
    </row>
    <row r="209" customFormat="false" ht="15" hidden="false" customHeight="false" outlineLevel="0" collapsed="false">
      <c r="A209" s="13" t="s">
        <v>2576</v>
      </c>
      <c r="B209" s="13" t="s">
        <v>2125</v>
      </c>
      <c r="C209" s="13" t="s">
        <v>129</v>
      </c>
      <c r="D209" s="13" t="s">
        <v>2324</v>
      </c>
      <c r="E209" s="13" t="s">
        <v>2577</v>
      </c>
      <c r="F209" s="13" t="n">
        <v>1</v>
      </c>
      <c r="G209" s="13" t="n">
        <v>1</v>
      </c>
      <c r="H209" s="5" t="n">
        <v>19400</v>
      </c>
      <c r="I209" s="7" t="n">
        <v>150</v>
      </c>
      <c r="J209" s="16" t="n">
        <v>129.333333333333</v>
      </c>
      <c r="K209" s="16" t="n">
        <v>129.333333333333</v>
      </c>
      <c r="L209" s="16"/>
      <c r="M209" s="16"/>
      <c r="N209" s="19"/>
    </row>
    <row r="210" customFormat="false" ht="15" hidden="false" customHeight="false" outlineLevel="0" collapsed="false">
      <c r="A210" s="13" t="s">
        <v>2578</v>
      </c>
      <c r="B210" s="13" t="s">
        <v>270</v>
      </c>
      <c r="C210" s="13" t="s">
        <v>43</v>
      </c>
      <c r="D210" s="13" t="s">
        <v>2339</v>
      </c>
      <c r="E210" s="13" t="s">
        <v>271</v>
      </c>
      <c r="F210" s="13" t="n">
        <v>2</v>
      </c>
      <c r="G210" s="13" t="n">
        <v>3</v>
      </c>
      <c r="H210" s="5" t="n">
        <v>19320</v>
      </c>
      <c r="I210" s="7" t="n">
        <v>76</v>
      </c>
      <c r="J210" s="16" t="n">
        <v>254.21052631579</v>
      </c>
      <c r="K210" s="16" t="n">
        <v>238.571428571429</v>
      </c>
      <c r="L210" s="16" t="n">
        <v>436.666666666667</v>
      </c>
      <c r="M210" s="16"/>
      <c r="N210" s="19" t="n">
        <v>0.830339321357285</v>
      </c>
    </row>
    <row r="211" customFormat="false" ht="15" hidden="false" customHeight="false" outlineLevel="0" collapsed="false">
      <c r="A211" s="13" t="s">
        <v>2579</v>
      </c>
      <c r="B211" s="13" t="s">
        <v>2100</v>
      </c>
      <c r="C211" s="13" t="s">
        <v>43</v>
      </c>
      <c r="D211" s="13" t="s">
        <v>2324</v>
      </c>
      <c r="E211" s="13" t="s">
        <v>2580</v>
      </c>
      <c r="F211" s="13" t="n">
        <v>1</v>
      </c>
      <c r="G211" s="13" t="n">
        <v>1</v>
      </c>
      <c r="H211" s="5" t="n">
        <v>19300</v>
      </c>
      <c r="I211" s="7" t="n">
        <v>480</v>
      </c>
      <c r="J211" s="16" t="n">
        <v>40.2083333333333</v>
      </c>
      <c r="K211" s="16" t="n">
        <v>40.2083333333333</v>
      </c>
      <c r="L211" s="16"/>
      <c r="M211" s="16"/>
      <c r="N211" s="19"/>
    </row>
    <row r="212" customFormat="false" ht="15" hidden="false" customHeight="false" outlineLevel="0" collapsed="false">
      <c r="A212" s="13" t="s">
        <v>2581</v>
      </c>
      <c r="B212" s="13" t="s">
        <v>255</v>
      </c>
      <c r="C212" s="13" t="s">
        <v>43</v>
      </c>
      <c r="D212" s="13" t="s">
        <v>2339</v>
      </c>
      <c r="E212" s="13" t="s">
        <v>256</v>
      </c>
      <c r="F212" s="13" t="n">
        <v>2</v>
      </c>
      <c r="G212" s="13" t="n">
        <v>3</v>
      </c>
      <c r="H212" s="5" t="n">
        <v>19300</v>
      </c>
      <c r="I212" s="7" t="n">
        <v>123</v>
      </c>
      <c r="J212" s="16" t="n">
        <v>156.910569105691</v>
      </c>
      <c r="K212" s="16" t="n">
        <v>154.166666666667</v>
      </c>
      <c r="L212" s="16" t="n">
        <v>266.666666666667</v>
      </c>
      <c r="M212" s="16"/>
      <c r="N212" s="19" t="n">
        <v>0.72972972972973</v>
      </c>
    </row>
    <row r="213" customFormat="false" ht="15" hidden="false" customHeight="false" outlineLevel="0" collapsed="false">
      <c r="A213" s="13" t="s">
        <v>2582</v>
      </c>
      <c r="B213" s="13" t="s">
        <v>45</v>
      </c>
      <c r="C213" s="13" t="s">
        <v>43</v>
      </c>
      <c r="D213" s="13" t="s">
        <v>2324</v>
      </c>
      <c r="E213" s="13" t="s">
        <v>113</v>
      </c>
      <c r="F213" s="13" t="n">
        <v>2</v>
      </c>
      <c r="G213" s="13" t="n">
        <v>4</v>
      </c>
      <c r="H213" s="5" t="n">
        <v>19160</v>
      </c>
      <c r="I213" s="7" t="n">
        <v>28</v>
      </c>
      <c r="J213" s="16" t="n">
        <v>684.285714285714</v>
      </c>
      <c r="K213" s="16"/>
      <c r="L213" s="16" t="n">
        <v>695.454545454546</v>
      </c>
      <c r="M213" s="16" t="n">
        <v>643.333333333333</v>
      </c>
      <c r="N213" s="19" t="n">
        <v>0.0810174281676872</v>
      </c>
    </row>
    <row r="214" customFormat="false" ht="15" hidden="false" customHeight="false" outlineLevel="0" collapsed="false">
      <c r="A214" s="13" t="s">
        <v>2583</v>
      </c>
      <c r="B214" s="13" t="s">
        <v>72</v>
      </c>
      <c r="C214" s="13" t="s">
        <v>43</v>
      </c>
      <c r="D214" s="13" t="s">
        <v>2324</v>
      </c>
      <c r="E214" s="13" t="s">
        <v>221</v>
      </c>
      <c r="F214" s="13" t="n">
        <v>1</v>
      </c>
      <c r="G214" s="13" t="n">
        <v>2</v>
      </c>
      <c r="H214" s="5" t="n">
        <v>19110</v>
      </c>
      <c r="I214" s="7" t="n">
        <v>41</v>
      </c>
      <c r="J214" s="16" t="n">
        <v>466.09756097561</v>
      </c>
      <c r="K214" s="16"/>
      <c r="L214" s="16"/>
      <c r="M214" s="16" t="n">
        <v>466.09756097561</v>
      </c>
      <c r="N214" s="19"/>
    </row>
    <row r="215" customFormat="false" ht="15" hidden="false" customHeight="false" outlineLevel="0" collapsed="false">
      <c r="A215" s="13" t="s">
        <v>2584</v>
      </c>
      <c r="B215" s="13" t="s">
        <v>2121</v>
      </c>
      <c r="C215" s="13" t="s">
        <v>144</v>
      </c>
      <c r="D215" s="13" t="s">
        <v>2324</v>
      </c>
      <c r="E215" s="13" t="s">
        <v>2585</v>
      </c>
      <c r="F215" s="13" t="n">
        <v>1</v>
      </c>
      <c r="G215" s="13" t="n">
        <v>1</v>
      </c>
      <c r="H215" s="5" t="n">
        <v>19100</v>
      </c>
      <c r="I215" s="7" t="n">
        <v>410</v>
      </c>
      <c r="J215" s="16" t="n">
        <v>46.5853658536585</v>
      </c>
      <c r="K215" s="16" t="n">
        <v>46.5853658536585</v>
      </c>
      <c r="L215" s="16"/>
      <c r="M215" s="16"/>
      <c r="N215" s="19"/>
    </row>
    <row r="216" customFormat="false" ht="15" hidden="false" customHeight="false" outlineLevel="0" collapsed="false">
      <c r="A216" s="13" t="s">
        <v>2586</v>
      </c>
      <c r="B216" s="13" t="s">
        <v>42</v>
      </c>
      <c r="C216" s="13" t="s">
        <v>43</v>
      </c>
      <c r="D216" s="13" t="s">
        <v>2339</v>
      </c>
      <c r="E216" s="13" t="s">
        <v>422</v>
      </c>
      <c r="F216" s="13" t="n">
        <v>2</v>
      </c>
      <c r="G216" s="13" t="n">
        <v>5</v>
      </c>
      <c r="H216" s="5" t="n">
        <v>19000</v>
      </c>
      <c r="I216" s="7" t="n">
        <v>21</v>
      </c>
      <c r="J216" s="16" t="n">
        <v>904.761904761905</v>
      </c>
      <c r="K216" s="16"/>
      <c r="L216" s="16" t="n">
        <v>931.578947368421</v>
      </c>
      <c r="M216" s="16" t="n">
        <v>650</v>
      </c>
      <c r="N216" s="19" t="n">
        <v>0.433198380566802</v>
      </c>
    </row>
    <row r="217" customFormat="false" ht="15" hidden="false" customHeight="false" outlineLevel="0" collapsed="false">
      <c r="A217" s="13" t="s">
        <v>2587</v>
      </c>
      <c r="B217" s="13" t="s">
        <v>50</v>
      </c>
      <c r="C217" s="13" t="s">
        <v>43</v>
      </c>
      <c r="D217" s="13" t="s">
        <v>2324</v>
      </c>
      <c r="E217" s="13" t="s">
        <v>289</v>
      </c>
      <c r="F217" s="13" t="n">
        <v>2</v>
      </c>
      <c r="G217" s="13" t="n">
        <v>4</v>
      </c>
      <c r="H217" s="5" t="n">
        <v>18930</v>
      </c>
      <c r="I217" s="7" t="n">
        <v>24</v>
      </c>
      <c r="J217" s="16" t="n">
        <v>788.75</v>
      </c>
      <c r="K217" s="16"/>
      <c r="L217" s="16" t="n">
        <v>932.5</v>
      </c>
      <c r="M217" s="16" t="n">
        <v>760</v>
      </c>
      <c r="N217" s="19" t="n">
        <v>0.226973684210526</v>
      </c>
    </row>
    <row r="218" customFormat="false" ht="15" hidden="false" customHeight="false" outlineLevel="0" collapsed="false">
      <c r="A218" s="13" t="s">
        <v>2588</v>
      </c>
      <c r="B218" s="13" t="s">
        <v>250</v>
      </c>
      <c r="C218" s="13" t="s">
        <v>85</v>
      </c>
      <c r="D218" s="13" t="s">
        <v>2324</v>
      </c>
      <c r="E218" s="13" t="s">
        <v>251</v>
      </c>
      <c r="F218" s="13" t="n">
        <v>1</v>
      </c>
      <c r="G218" s="13" t="n">
        <v>1</v>
      </c>
      <c r="H218" s="5" t="n">
        <v>18800</v>
      </c>
      <c r="I218" s="7" t="n">
        <v>170</v>
      </c>
      <c r="J218" s="16" t="n">
        <v>110.588235294118</v>
      </c>
      <c r="K218" s="16" t="n">
        <v>110.588235294118</v>
      </c>
      <c r="L218" s="16"/>
      <c r="M218" s="16"/>
      <c r="N218" s="19"/>
    </row>
    <row r="219" customFormat="false" ht="15" hidden="false" customHeight="false" outlineLevel="0" collapsed="false">
      <c r="A219" s="13" t="s">
        <v>2589</v>
      </c>
      <c r="B219" s="13" t="s">
        <v>42</v>
      </c>
      <c r="C219" s="13" t="s">
        <v>43</v>
      </c>
      <c r="D219" s="13" t="s">
        <v>2500</v>
      </c>
      <c r="E219" s="13" t="s">
        <v>602</v>
      </c>
      <c r="F219" s="13" t="n">
        <v>2</v>
      </c>
      <c r="G219" s="13" t="n">
        <v>5</v>
      </c>
      <c r="H219" s="5" t="n">
        <v>18600</v>
      </c>
      <c r="I219" s="7" t="n">
        <v>31</v>
      </c>
      <c r="J219" s="16" t="n">
        <v>600</v>
      </c>
      <c r="K219" s="16"/>
      <c r="L219" s="16" t="n">
        <v>785.714285714286</v>
      </c>
      <c r="M219" s="16" t="n">
        <v>545.833333333333</v>
      </c>
      <c r="N219" s="19" t="n">
        <v>0.439476553980371</v>
      </c>
    </row>
    <row r="220" customFormat="false" ht="15" hidden="false" customHeight="false" outlineLevel="0" collapsed="false">
      <c r="A220" s="13" t="s">
        <v>2590</v>
      </c>
      <c r="B220" s="13" t="s">
        <v>50</v>
      </c>
      <c r="C220" s="13" t="s">
        <v>43</v>
      </c>
      <c r="D220" s="13" t="s">
        <v>2360</v>
      </c>
      <c r="E220" s="13" t="s">
        <v>541</v>
      </c>
      <c r="F220" s="13" t="n">
        <v>2</v>
      </c>
      <c r="G220" s="13" t="n">
        <v>5</v>
      </c>
      <c r="H220" s="5" t="n">
        <v>18500</v>
      </c>
      <c r="I220" s="7" t="n">
        <v>19</v>
      </c>
      <c r="J220" s="16" t="n">
        <v>973.684210526316</v>
      </c>
      <c r="K220" s="16"/>
      <c r="L220" s="16" t="n">
        <v>925</v>
      </c>
      <c r="M220" s="16" t="n">
        <v>1057.14285714286</v>
      </c>
      <c r="N220" s="19" t="n">
        <v>0.142857142857143</v>
      </c>
    </row>
    <row r="221" customFormat="false" ht="15" hidden="false" customHeight="false" outlineLevel="0" collapsed="false">
      <c r="A221" s="13" t="s">
        <v>2591</v>
      </c>
      <c r="B221" s="13" t="s">
        <v>2115</v>
      </c>
      <c r="C221" s="13" t="s">
        <v>140</v>
      </c>
      <c r="D221" s="13" t="s">
        <v>2592</v>
      </c>
      <c r="E221" s="13" t="s">
        <v>2593</v>
      </c>
      <c r="F221" s="13" t="n">
        <v>1</v>
      </c>
      <c r="G221" s="13" t="n">
        <v>1</v>
      </c>
      <c r="H221" s="5" t="n">
        <v>18400</v>
      </c>
      <c r="I221" s="7" t="n">
        <v>210</v>
      </c>
      <c r="J221" s="16" t="n">
        <v>87.6190476190476</v>
      </c>
      <c r="K221" s="16" t="n">
        <v>87.6190476190476</v>
      </c>
      <c r="L221" s="16"/>
      <c r="M221" s="16"/>
      <c r="N221" s="19"/>
    </row>
    <row r="222" customFormat="false" ht="15" hidden="false" customHeight="false" outlineLevel="0" collapsed="false">
      <c r="A222" s="13" t="s">
        <v>2594</v>
      </c>
      <c r="B222" s="13" t="s">
        <v>2096</v>
      </c>
      <c r="C222" s="13" t="s">
        <v>43</v>
      </c>
      <c r="D222" s="13" t="s">
        <v>2324</v>
      </c>
      <c r="E222" s="13" t="s">
        <v>2595</v>
      </c>
      <c r="F222" s="13" t="n">
        <v>1</v>
      </c>
      <c r="G222" s="13" t="n">
        <v>1</v>
      </c>
      <c r="H222" s="5" t="n">
        <v>18200</v>
      </c>
      <c r="I222" s="7" t="n">
        <v>200</v>
      </c>
      <c r="J222" s="16" t="n">
        <v>91</v>
      </c>
      <c r="K222" s="16" t="n">
        <v>91</v>
      </c>
      <c r="L222" s="16"/>
      <c r="M222" s="16"/>
      <c r="N222" s="19"/>
    </row>
    <row r="223" customFormat="false" ht="15" hidden="false" customHeight="false" outlineLevel="0" collapsed="false">
      <c r="A223" s="13" t="s">
        <v>2596</v>
      </c>
      <c r="B223" s="13" t="s">
        <v>124</v>
      </c>
      <c r="C223" s="13" t="s">
        <v>43</v>
      </c>
      <c r="D223" s="13" t="s">
        <v>2324</v>
      </c>
      <c r="E223" s="13" t="s">
        <v>370</v>
      </c>
      <c r="F223" s="13" t="n">
        <v>1</v>
      </c>
      <c r="G223" s="13" t="n">
        <v>5</v>
      </c>
      <c r="H223" s="5" t="n">
        <v>18100</v>
      </c>
      <c r="I223" s="7" t="n">
        <v>29</v>
      </c>
      <c r="J223" s="16" t="n">
        <v>624.137931034483</v>
      </c>
      <c r="K223" s="16"/>
      <c r="L223" s="16"/>
      <c r="M223" s="16" t="n">
        <v>624.137931034483</v>
      </c>
      <c r="N223" s="19"/>
    </row>
    <row r="224" customFormat="false" ht="15" hidden="false" customHeight="false" outlineLevel="0" collapsed="false">
      <c r="A224" s="13" t="s">
        <v>2597</v>
      </c>
      <c r="B224" s="13" t="s">
        <v>45</v>
      </c>
      <c r="C224" s="13" t="s">
        <v>43</v>
      </c>
      <c r="D224" s="13" t="s">
        <v>2324</v>
      </c>
      <c r="E224" s="13" t="s">
        <v>825</v>
      </c>
      <c r="F224" s="13" t="n">
        <v>2</v>
      </c>
      <c r="G224" s="13" t="n">
        <v>5</v>
      </c>
      <c r="H224" s="5" t="n">
        <v>17910</v>
      </c>
      <c r="I224" s="7" t="n">
        <v>26</v>
      </c>
      <c r="J224" s="16" t="n">
        <v>688.846153846154</v>
      </c>
      <c r="K224" s="16"/>
      <c r="L224" s="16" t="n">
        <v>978</v>
      </c>
      <c r="M224" s="16" t="n">
        <v>620</v>
      </c>
      <c r="N224" s="19" t="n">
        <v>0.57741935483871</v>
      </c>
    </row>
    <row r="225" customFormat="false" ht="15" hidden="false" customHeight="false" outlineLevel="0" collapsed="false">
      <c r="A225" s="13" t="s">
        <v>2598</v>
      </c>
      <c r="B225" s="13" t="s">
        <v>2108</v>
      </c>
      <c r="C225" s="13" t="s">
        <v>82</v>
      </c>
      <c r="D225" s="13" t="s">
        <v>2324</v>
      </c>
      <c r="E225" s="13" t="s">
        <v>2599</v>
      </c>
      <c r="F225" s="13" t="n">
        <v>1</v>
      </c>
      <c r="G225" s="13" t="n">
        <v>2</v>
      </c>
      <c r="H225" s="5" t="n">
        <v>17900</v>
      </c>
      <c r="I225" s="7" t="n">
        <v>460</v>
      </c>
      <c r="J225" s="16" t="n">
        <v>38.9130434782609</v>
      </c>
      <c r="K225" s="16" t="n">
        <v>38.9130434782609</v>
      </c>
      <c r="L225" s="16"/>
      <c r="M225" s="16"/>
      <c r="N225" s="19"/>
    </row>
    <row r="226" customFormat="false" ht="15" hidden="false" customHeight="false" outlineLevel="0" collapsed="false">
      <c r="A226" s="13" t="s">
        <v>2600</v>
      </c>
      <c r="B226" s="13" t="s">
        <v>45</v>
      </c>
      <c r="C226" s="13" t="s">
        <v>43</v>
      </c>
      <c r="D226" s="13" t="s">
        <v>2324</v>
      </c>
      <c r="E226" s="13" t="s">
        <v>499</v>
      </c>
      <c r="F226" s="13" t="n">
        <v>2</v>
      </c>
      <c r="G226" s="13" t="n">
        <v>5</v>
      </c>
      <c r="H226" s="5" t="n">
        <v>17870</v>
      </c>
      <c r="I226" s="7" t="n">
        <v>14</v>
      </c>
      <c r="J226" s="16" t="n">
        <v>1276.42857142857</v>
      </c>
      <c r="K226" s="16"/>
      <c r="L226" s="16" t="n">
        <v>1163.33333333333</v>
      </c>
      <c r="M226" s="16" t="n">
        <v>1480</v>
      </c>
      <c r="N226" s="19" t="n">
        <v>0.272206303724928</v>
      </c>
    </row>
    <row r="227" customFormat="false" ht="15" hidden="false" customHeight="false" outlineLevel="0" collapsed="false">
      <c r="A227" s="13" t="s">
        <v>2601</v>
      </c>
      <c r="B227" s="13" t="s">
        <v>182</v>
      </c>
      <c r="C227" s="13" t="s">
        <v>183</v>
      </c>
      <c r="D227" s="13" t="s">
        <v>2602</v>
      </c>
      <c r="E227" s="13" t="s">
        <v>264</v>
      </c>
      <c r="F227" s="13" t="n">
        <v>1</v>
      </c>
      <c r="G227" s="13" t="n">
        <v>2</v>
      </c>
      <c r="H227" s="5" t="n">
        <v>17800</v>
      </c>
      <c r="I227" s="7" t="n">
        <v>165</v>
      </c>
      <c r="J227" s="16" t="n">
        <v>107.878787878788</v>
      </c>
      <c r="K227" s="16" t="n">
        <v>107.878787878788</v>
      </c>
      <c r="L227" s="16"/>
      <c r="M227" s="16"/>
      <c r="N227" s="19"/>
    </row>
    <row r="228" customFormat="false" ht="15" hidden="false" customHeight="false" outlineLevel="0" collapsed="false">
      <c r="A228" s="13" t="s">
        <v>2603</v>
      </c>
      <c r="B228" s="13" t="s">
        <v>2106</v>
      </c>
      <c r="C228" s="13" t="s">
        <v>98</v>
      </c>
      <c r="D228" s="13" t="s">
        <v>2324</v>
      </c>
      <c r="E228" s="13" t="s">
        <v>2604</v>
      </c>
      <c r="F228" s="13" t="n">
        <v>1</v>
      </c>
      <c r="G228" s="13" t="n">
        <v>1</v>
      </c>
      <c r="H228" s="5" t="n">
        <v>17800</v>
      </c>
      <c r="I228" s="7" t="n">
        <v>60</v>
      </c>
      <c r="J228" s="16" t="n">
        <v>296.666666666667</v>
      </c>
      <c r="K228" s="16" t="n">
        <v>296.666666666667</v>
      </c>
      <c r="L228" s="16"/>
      <c r="M228" s="16"/>
      <c r="N228" s="19"/>
    </row>
    <row r="229" customFormat="false" ht="15" hidden="false" customHeight="false" outlineLevel="0" collapsed="false">
      <c r="A229" s="13" t="s">
        <v>2605</v>
      </c>
      <c r="B229" s="13" t="s">
        <v>42</v>
      </c>
      <c r="C229" s="13" t="s">
        <v>43</v>
      </c>
      <c r="D229" s="13" t="s">
        <v>2606</v>
      </c>
      <c r="E229" s="13" t="s">
        <v>306</v>
      </c>
      <c r="F229" s="13" t="n">
        <v>1</v>
      </c>
      <c r="G229" s="13" t="n">
        <v>3</v>
      </c>
      <c r="H229" s="5" t="n">
        <v>17800</v>
      </c>
      <c r="I229" s="7" t="n">
        <v>70</v>
      </c>
      <c r="J229" s="16" t="n">
        <v>254.285714285714</v>
      </c>
      <c r="K229" s="16"/>
      <c r="L229" s="16" t="n">
        <v>254.285714285714</v>
      </c>
      <c r="M229" s="16"/>
      <c r="N229" s="19"/>
    </row>
    <row r="230" customFormat="false" ht="15" hidden="false" customHeight="false" outlineLevel="0" collapsed="false">
      <c r="A230" s="13" t="s">
        <v>2607</v>
      </c>
      <c r="B230" s="13" t="s">
        <v>50</v>
      </c>
      <c r="C230" s="13" t="s">
        <v>43</v>
      </c>
      <c r="D230" s="13" t="s">
        <v>2339</v>
      </c>
      <c r="E230" s="13" t="s">
        <v>437</v>
      </c>
      <c r="F230" s="13" t="n">
        <v>2</v>
      </c>
      <c r="G230" s="13" t="n">
        <v>5</v>
      </c>
      <c r="H230" s="5" t="n">
        <v>17780</v>
      </c>
      <c r="I230" s="7" t="n">
        <v>15</v>
      </c>
      <c r="J230" s="16" t="n">
        <v>1185.33333333333</v>
      </c>
      <c r="K230" s="16"/>
      <c r="L230" s="16" t="n">
        <v>1348</v>
      </c>
      <c r="M230" s="16" t="n">
        <v>860</v>
      </c>
      <c r="N230" s="19" t="n">
        <v>0.567441860465116</v>
      </c>
    </row>
    <row r="231" customFormat="false" ht="15" hidden="false" customHeight="false" outlineLevel="0" collapsed="false">
      <c r="A231" s="13" t="s">
        <v>2608</v>
      </c>
      <c r="B231" s="13" t="s">
        <v>42</v>
      </c>
      <c r="C231" s="13" t="s">
        <v>43</v>
      </c>
      <c r="D231" s="13" t="s">
        <v>2324</v>
      </c>
      <c r="E231" s="13" t="s">
        <v>219</v>
      </c>
      <c r="F231" s="13" t="n">
        <v>2</v>
      </c>
      <c r="G231" s="13" t="n">
        <v>3</v>
      </c>
      <c r="H231" s="5" t="n">
        <v>17710</v>
      </c>
      <c r="I231" s="7" t="n">
        <v>43</v>
      </c>
      <c r="J231" s="16" t="n">
        <v>411.860465116279</v>
      </c>
      <c r="K231" s="16"/>
      <c r="L231" s="16" t="n">
        <v>460</v>
      </c>
      <c r="M231" s="16" t="n">
        <v>409.512195121951</v>
      </c>
      <c r="N231" s="19" t="n">
        <v>0.123287671232877</v>
      </c>
    </row>
    <row r="232" customFormat="false" ht="15" hidden="false" customHeight="false" outlineLevel="0" collapsed="false">
      <c r="A232" s="13" t="s">
        <v>2609</v>
      </c>
      <c r="B232" s="13" t="s">
        <v>2132</v>
      </c>
      <c r="C232" s="13" t="s">
        <v>129</v>
      </c>
      <c r="D232" s="13" t="s">
        <v>2324</v>
      </c>
      <c r="E232" s="13" t="s">
        <v>2610</v>
      </c>
      <c r="F232" s="13" t="n">
        <v>1</v>
      </c>
      <c r="G232" s="13" t="n">
        <v>1</v>
      </c>
      <c r="H232" s="5" t="n">
        <v>17700</v>
      </c>
      <c r="I232" s="7" t="n">
        <v>70</v>
      </c>
      <c r="J232" s="16" t="n">
        <v>252.857142857143</v>
      </c>
      <c r="K232" s="16" t="n">
        <v>252.857142857143</v>
      </c>
      <c r="L232" s="16"/>
      <c r="M232" s="16"/>
      <c r="N232" s="19"/>
    </row>
    <row r="233" customFormat="false" ht="15" hidden="false" customHeight="false" outlineLevel="0" collapsed="false">
      <c r="A233" s="13" t="s">
        <v>2611</v>
      </c>
      <c r="B233" s="13" t="s">
        <v>131</v>
      </c>
      <c r="C233" s="13" t="s">
        <v>85</v>
      </c>
      <c r="D233" s="13" t="s">
        <v>2324</v>
      </c>
      <c r="E233" s="13" t="s">
        <v>259</v>
      </c>
      <c r="F233" s="13" t="n">
        <v>1</v>
      </c>
      <c r="G233" s="13" t="n">
        <v>1</v>
      </c>
      <c r="H233" s="5" t="n">
        <v>17700</v>
      </c>
      <c r="I233" s="7" t="n">
        <v>360</v>
      </c>
      <c r="J233" s="16" t="n">
        <v>49.1666666666667</v>
      </c>
      <c r="K233" s="16" t="n">
        <v>49.1666666666667</v>
      </c>
      <c r="L233" s="16"/>
      <c r="M233" s="16"/>
      <c r="N233" s="19"/>
    </row>
    <row r="234" customFormat="false" ht="15" hidden="false" customHeight="false" outlineLevel="0" collapsed="false">
      <c r="A234" s="13" t="s">
        <v>2612</v>
      </c>
      <c r="B234" s="13" t="s">
        <v>2114</v>
      </c>
      <c r="C234" s="13" t="s">
        <v>140</v>
      </c>
      <c r="D234" s="13" t="s">
        <v>2324</v>
      </c>
      <c r="E234" s="13" t="s">
        <v>2613</v>
      </c>
      <c r="F234" s="13" t="n">
        <v>1</v>
      </c>
      <c r="G234" s="13" t="n">
        <v>1</v>
      </c>
      <c r="H234" s="5" t="n">
        <v>17600</v>
      </c>
      <c r="I234" s="7" t="n">
        <v>320</v>
      </c>
      <c r="J234" s="16" t="n">
        <v>55</v>
      </c>
      <c r="K234" s="16" t="n">
        <v>55</v>
      </c>
      <c r="L234" s="16"/>
      <c r="M234" s="16"/>
      <c r="N234" s="19"/>
    </row>
    <row r="235" customFormat="false" ht="15" hidden="false" customHeight="false" outlineLevel="0" collapsed="false">
      <c r="A235" s="13" t="s">
        <v>2614</v>
      </c>
      <c r="B235" s="13" t="s">
        <v>186</v>
      </c>
      <c r="C235" s="13" t="s">
        <v>43</v>
      </c>
      <c r="D235" s="13" t="s">
        <v>2324</v>
      </c>
      <c r="E235" s="13" t="s">
        <v>276</v>
      </c>
      <c r="F235" s="13" t="n">
        <v>1</v>
      </c>
      <c r="G235" s="13" t="n">
        <v>2</v>
      </c>
      <c r="H235" s="5" t="n">
        <v>17600</v>
      </c>
      <c r="I235" s="7" t="n">
        <v>42</v>
      </c>
      <c r="J235" s="16" t="n">
        <v>419.047619047619</v>
      </c>
      <c r="K235" s="16"/>
      <c r="L235" s="16" t="n">
        <v>419.047619047619</v>
      </c>
      <c r="M235" s="16"/>
      <c r="N235" s="19"/>
    </row>
    <row r="236" customFormat="false" ht="15" hidden="false" customHeight="false" outlineLevel="0" collapsed="false">
      <c r="A236" s="13" t="s">
        <v>2615</v>
      </c>
      <c r="B236" s="13" t="s">
        <v>124</v>
      </c>
      <c r="C236" s="13" t="s">
        <v>43</v>
      </c>
      <c r="D236" s="13" t="s">
        <v>2324</v>
      </c>
      <c r="E236" s="13" t="s">
        <v>281</v>
      </c>
      <c r="F236" s="13" t="n">
        <v>1</v>
      </c>
      <c r="G236" s="13" t="n">
        <v>2</v>
      </c>
      <c r="H236" s="5" t="n">
        <v>17100</v>
      </c>
      <c r="I236" s="7" t="n">
        <v>32</v>
      </c>
      <c r="J236" s="16" t="n">
        <v>534.375</v>
      </c>
      <c r="K236" s="16"/>
      <c r="L236" s="16"/>
      <c r="M236" s="16" t="n">
        <v>534.375</v>
      </c>
      <c r="N236" s="19"/>
    </row>
    <row r="237" customFormat="false" ht="15" hidden="false" customHeight="false" outlineLevel="0" collapsed="false">
      <c r="A237" s="13" t="s">
        <v>2616</v>
      </c>
      <c r="B237" s="13" t="s">
        <v>179</v>
      </c>
      <c r="C237" s="13" t="s">
        <v>180</v>
      </c>
      <c r="D237" s="13" t="s">
        <v>2324</v>
      </c>
      <c r="E237" s="13" t="s">
        <v>268</v>
      </c>
      <c r="F237" s="13" t="n">
        <v>1</v>
      </c>
      <c r="G237" s="13" t="n">
        <v>1</v>
      </c>
      <c r="H237" s="5" t="n">
        <v>17000</v>
      </c>
      <c r="I237" s="7" t="n">
        <v>170</v>
      </c>
      <c r="J237" s="16" t="n">
        <v>100</v>
      </c>
      <c r="K237" s="16" t="n">
        <v>100</v>
      </c>
      <c r="L237" s="16"/>
      <c r="M237" s="16"/>
      <c r="N237" s="19"/>
    </row>
    <row r="238" customFormat="false" ht="15" hidden="false" customHeight="false" outlineLevel="0" collapsed="false">
      <c r="A238" s="13" t="s">
        <v>2617</v>
      </c>
      <c r="B238" s="13" t="s">
        <v>131</v>
      </c>
      <c r="C238" s="13" t="s">
        <v>85</v>
      </c>
      <c r="D238" s="13" t="s">
        <v>2324</v>
      </c>
      <c r="E238" s="13" t="s">
        <v>267</v>
      </c>
      <c r="F238" s="13" t="n">
        <v>1</v>
      </c>
      <c r="G238" s="13" t="n">
        <v>1</v>
      </c>
      <c r="H238" s="5" t="n">
        <v>17000</v>
      </c>
      <c r="I238" s="7" t="n">
        <v>70</v>
      </c>
      <c r="J238" s="16" t="n">
        <v>242.857142857143</v>
      </c>
      <c r="K238" s="16" t="n">
        <v>242.857142857143</v>
      </c>
      <c r="L238" s="16"/>
      <c r="M238" s="16"/>
      <c r="N238" s="19"/>
    </row>
    <row r="239" customFormat="false" ht="15" hidden="false" customHeight="false" outlineLevel="0" collapsed="false">
      <c r="A239" s="13" t="s">
        <v>2618</v>
      </c>
      <c r="B239" s="13" t="s">
        <v>42</v>
      </c>
      <c r="C239" s="13" t="s">
        <v>43</v>
      </c>
      <c r="D239" s="13" t="s">
        <v>2339</v>
      </c>
      <c r="E239" s="13" t="s">
        <v>345</v>
      </c>
      <c r="F239" s="13" t="n">
        <v>2</v>
      </c>
      <c r="G239" s="13" t="n">
        <v>6</v>
      </c>
      <c r="H239" s="5" t="n">
        <v>16980</v>
      </c>
      <c r="I239" s="7" t="n">
        <v>30</v>
      </c>
      <c r="J239" s="16" t="n">
        <v>566</v>
      </c>
      <c r="K239" s="16"/>
      <c r="L239" s="16" t="n">
        <v>545.416666666667</v>
      </c>
      <c r="M239" s="16" t="n">
        <v>648.333333333333</v>
      </c>
      <c r="N239" s="19" t="n">
        <v>0.188693659281895</v>
      </c>
    </row>
    <row r="240" customFormat="false" ht="15" hidden="false" customHeight="false" outlineLevel="0" collapsed="false">
      <c r="A240" s="13" t="s">
        <v>2619</v>
      </c>
      <c r="B240" s="13" t="s">
        <v>2095</v>
      </c>
      <c r="C240" s="13" t="s">
        <v>85</v>
      </c>
      <c r="D240" s="13" t="s">
        <v>2497</v>
      </c>
      <c r="E240" s="13" t="s">
        <v>2620</v>
      </c>
      <c r="F240" s="13" t="n">
        <v>1</v>
      </c>
      <c r="G240" s="13" t="n">
        <v>2</v>
      </c>
      <c r="H240" s="5" t="n">
        <v>16950</v>
      </c>
      <c r="I240" s="7" t="n">
        <v>342</v>
      </c>
      <c r="J240" s="16" t="n">
        <v>49.5614035087719</v>
      </c>
      <c r="K240" s="16" t="n">
        <v>49.5614035087719</v>
      </c>
      <c r="L240" s="16"/>
      <c r="M240" s="16"/>
      <c r="N240" s="19"/>
    </row>
    <row r="241" customFormat="false" ht="15" hidden="false" customHeight="false" outlineLevel="0" collapsed="false">
      <c r="A241" s="13" t="s">
        <v>2621</v>
      </c>
      <c r="B241" s="13" t="s">
        <v>45</v>
      </c>
      <c r="C241" s="13" t="s">
        <v>43</v>
      </c>
      <c r="D241" s="13" t="s">
        <v>2324</v>
      </c>
      <c r="E241" s="13" t="s">
        <v>436</v>
      </c>
      <c r="F241" s="13" t="n">
        <v>1</v>
      </c>
      <c r="G241" s="13" t="n">
        <v>4</v>
      </c>
      <c r="H241" s="5" t="n">
        <v>16920</v>
      </c>
      <c r="I241" s="7" t="n">
        <v>23</v>
      </c>
      <c r="J241" s="16" t="n">
        <v>735.652173913044</v>
      </c>
      <c r="K241" s="16"/>
      <c r="L241" s="16"/>
      <c r="M241" s="16" t="n">
        <v>735.652173913044</v>
      </c>
      <c r="N241" s="19"/>
    </row>
    <row r="242" customFormat="false" ht="15" hidden="false" customHeight="false" outlineLevel="0" collapsed="false">
      <c r="A242" s="13" t="s">
        <v>2622</v>
      </c>
      <c r="B242" s="13" t="s">
        <v>42</v>
      </c>
      <c r="C242" s="13" t="s">
        <v>43</v>
      </c>
      <c r="D242" s="13" t="s">
        <v>2360</v>
      </c>
      <c r="E242" s="13" t="s">
        <v>324</v>
      </c>
      <c r="F242" s="13" t="n">
        <v>1</v>
      </c>
      <c r="G242" s="13" t="n">
        <v>3</v>
      </c>
      <c r="H242" s="5" t="n">
        <v>16640</v>
      </c>
      <c r="I242" s="7" t="n">
        <v>11</v>
      </c>
      <c r="J242" s="16" t="n">
        <v>1512.72727272727</v>
      </c>
      <c r="K242" s="16"/>
      <c r="L242" s="16" t="n">
        <v>1512.72727272727</v>
      </c>
      <c r="M242" s="16"/>
      <c r="N242" s="19"/>
    </row>
    <row r="243" customFormat="false" ht="15" hidden="false" customHeight="false" outlineLevel="0" collapsed="false">
      <c r="A243" s="13" t="s">
        <v>2623</v>
      </c>
      <c r="B243" s="13" t="s">
        <v>79</v>
      </c>
      <c r="C243" s="13" t="s">
        <v>43</v>
      </c>
      <c r="D243" s="13" t="s">
        <v>2324</v>
      </c>
      <c r="E243" s="13" t="s">
        <v>469</v>
      </c>
      <c r="F243" s="13" t="n">
        <v>2</v>
      </c>
      <c r="G243" s="13" t="n">
        <v>4</v>
      </c>
      <c r="H243" s="5" t="n">
        <v>16560</v>
      </c>
      <c r="I243" s="7" t="n">
        <v>13</v>
      </c>
      <c r="J243" s="16" t="n">
        <v>1273.84615384615</v>
      </c>
      <c r="K243" s="16"/>
      <c r="L243" s="16" t="n">
        <v>920</v>
      </c>
      <c r="M243" s="16" t="n">
        <v>1380</v>
      </c>
      <c r="N243" s="19" t="n">
        <v>0.5</v>
      </c>
    </row>
    <row r="244" customFormat="false" ht="15" hidden="false" customHeight="false" outlineLevel="0" collapsed="false">
      <c r="A244" s="13" t="s">
        <v>2624</v>
      </c>
      <c r="B244" s="13" t="s">
        <v>153</v>
      </c>
      <c r="C244" s="13" t="s">
        <v>43</v>
      </c>
      <c r="D244" s="13" t="s">
        <v>2324</v>
      </c>
      <c r="E244" s="13" t="s">
        <v>1461</v>
      </c>
      <c r="F244" s="13" t="n">
        <v>2</v>
      </c>
      <c r="G244" s="13" t="n">
        <v>3</v>
      </c>
      <c r="H244" s="5" t="n">
        <v>16490</v>
      </c>
      <c r="I244" s="7" t="n">
        <v>22</v>
      </c>
      <c r="J244" s="16" t="n">
        <v>749.545454545455</v>
      </c>
      <c r="K244" s="16"/>
      <c r="L244" s="16" t="n">
        <v>710</v>
      </c>
      <c r="M244" s="16" t="n">
        <v>751.428571428571</v>
      </c>
      <c r="N244" s="19" t="n">
        <v>0.0583501006036218</v>
      </c>
    </row>
    <row r="245" customFormat="false" ht="15" hidden="false" customHeight="false" outlineLevel="0" collapsed="false">
      <c r="A245" s="13" t="s">
        <v>2625</v>
      </c>
      <c r="B245" s="13" t="s">
        <v>270</v>
      </c>
      <c r="C245" s="13" t="s">
        <v>43</v>
      </c>
      <c r="D245" s="13" t="s">
        <v>2339</v>
      </c>
      <c r="E245" s="13" t="s">
        <v>446</v>
      </c>
      <c r="F245" s="13" t="n">
        <v>1</v>
      </c>
      <c r="G245" s="13" t="n">
        <v>2</v>
      </c>
      <c r="H245" s="5" t="n">
        <v>16400</v>
      </c>
      <c r="I245" s="7" t="n">
        <v>50</v>
      </c>
      <c r="J245" s="16" t="n">
        <v>328</v>
      </c>
      <c r="K245" s="16"/>
      <c r="L245" s="16" t="n">
        <v>328</v>
      </c>
      <c r="M245" s="16"/>
      <c r="N245" s="19"/>
    </row>
    <row r="246" customFormat="false" ht="15" hidden="false" customHeight="false" outlineLevel="0" collapsed="false">
      <c r="A246" s="13" t="s">
        <v>2626</v>
      </c>
      <c r="B246" s="13" t="s">
        <v>117</v>
      </c>
      <c r="C246" s="13" t="s">
        <v>98</v>
      </c>
      <c r="D246" s="13" t="s">
        <v>2324</v>
      </c>
      <c r="E246" s="13" t="s">
        <v>278</v>
      </c>
      <c r="F246" s="13" t="n">
        <v>1</v>
      </c>
      <c r="G246" s="13" t="n">
        <v>1</v>
      </c>
      <c r="H246" s="5" t="n">
        <v>16300</v>
      </c>
      <c r="I246" s="7" t="n">
        <v>30</v>
      </c>
      <c r="J246" s="16" t="n">
        <v>543.333333333333</v>
      </c>
      <c r="K246" s="16" t="n">
        <v>543.333333333333</v>
      </c>
      <c r="L246" s="16"/>
      <c r="M246" s="16"/>
      <c r="N246" s="19"/>
    </row>
    <row r="247" customFormat="false" ht="15" hidden="false" customHeight="false" outlineLevel="0" collapsed="false">
      <c r="A247" s="13" t="s">
        <v>2627</v>
      </c>
      <c r="B247" s="13" t="s">
        <v>117</v>
      </c>
      <c r="C247" s="13" t="s">
        <v>98</v>
      </c>
      <c r="D247" s="13" t="s">
        <v>2324</v>
      </c>
      <c r="E247" s="13" t="s">
        <v>277</v>
      </c>
      <c r="F247" s="13" t="n">
        <v>1</v>
      </c>
      <c r="G247" s="13" t="n">
        <v>1</v>
      </c>
      <c r="H247" s="5" t="n">
        <v>16300</v>
      </c>
      <c r="I247" s="7" t="n">
        <v>40</v>
      </c>
      <c r="J247" s="16" t="n">
        <v>407.5</v>
      </c>
      <c r="K247" s="16" t="n">
        <v>407.5</v>
      </c>
      <c r="L247" s="16"/>
      <c r="M247" s="16"/>
      <c r="N247" s="19"/>
    </row>
    <row r="248" customFormat="false" ht="15" hidden="false" customHeight="false" outlineLevel="0" collapsed="false">
      <c r="A248" s="13" t="s">
        <v>2628</v>
      </c>
      <c r="B248" s="13" t="s">
        <v>2101</v>
      </c>
      <c r="C248" s="13" t="s">
        <v>129</v>
      </c>
      <c r="D248" s="13" t="s">
        <v>2324</v>
      </c>
      <c r="E248" s="13" t="s">
        <v>2629</v>
      </c>
      <c r="F248" s="13" t="n">
        <v>1</v>
      </c>
      <c r="G248" s="13" t="n">
        <v>1</v>
      </c>
      <c r="H248" s="5" t="n">
        <v>16200</v>
      </c>
      <c r="I248" s="7" t="n">
        <v>290</v>
      </c>
      <c r="J248" s="16" t="n">
        <v>55.8620689655172</v>
      </c>
      <c r="K248" s="16" t="n">
        <v>55.8620689655172</v>
      </c>
      <c r="L248" s="16"/>
      <c r="M248" s="16"/>
      <c r="N248" s="19"/>
    </row>
    <row r="249" customFormat="false" ht="15" hidden="false" customHeight="false" outlineLevel="0" collapsed="false">
      <c r="A249" s="13" t="s">
        <v>2630</v>
      </c>
      <c r="B249" s="13" t="s">
        <v>61</v>
      </c>
      <c r="C249" s="13" t="s">
        <v>43</v>
      </c>
      <c r="D249" s="13" t="s">
        <v>2324</v>
      </c>
      <c r="E249" s="13" t="s">
        <v>327</v>
      </c>
      <c r="F249" s="13" t="n">
        <v>1</v>
      </c>
      <c r="G249" s="13" t="n">
        <v>4</v>
      </c>
      <c r="H249" s="5" t="n">
        <v>16120</v>
      </c>
      <c r="I249" s="7" t="n">
        <v>38</v>
      </c>
      <c r="J249" s="16" t="n">
        <v>424.21052631579</v>
      </c>
      <c r="K249" s="16"/>
      <c r="L249" s="16"/>
      <c r="M249" s="16" t="n">
        <v>424.21052631579</v>
      </c>
      <c r="N249" s="19"/>
    </row>
    <row r="250" customFormat="false" ht="15" hidden="false" customHeight="false" outlineLevel="0" collapsed="false">
      <c r="A250" s="13" t="s">
        <v>2631</v>
      </c>
      <c r="B250" s="13" t="s">
        <v>2100</v>
      </c>
      <c r="C250" s="13" t="s">
        <v>43</v>
      </c>
      <c r="D250" s="13" t="s">
        <v>2339</v>
      </c>
      <c r="E250" s="13" t="s">
        <v>2632</v>
      </c>
      <c r="F250" s="13" t="n">
        <v>1</v>
      </c>
      <c r="G250" s="13" t="n">
        <v>1</v>
      </c>
      <c r="H250" s="5" t="n">
        <v>15800</v>
      </c>
      <c r="I250" s="7" t="n">
        <v>230</v>
      </c>
      <c r="J250" s="16" t="n">
        <v>68.6956521739131</v>
      </c>
      <c r="K250" s="16" t="n">
        <v>68.6956521739131</v>
      </c>
      <c r="L250" s="16"/>
      <c r="M250" s="16"/>
      <c r="N250" s="19"/>
    </row>
    <row r="251" customFormat="false" ht="15" hidden="false" customHeight="false" outlineLevel="0" collapsed="false">
      <c r="A251" s="13" t="s">
        <v>2633</v>
      </c>
      <c r="B251" s="13" t="s">
        <v>2095</v>
      </c>
      <c r="C251" s="13" t="s">
        <v>85</v>
      </c>
      <c r="D251" s="13" t="s">
        <v>2324</v>
      </c>
      <c r="E251" s="13" t="s">
        <v>2634</v>
      </c>
      <c r="F251" s="13" t="n">
        <v>1</v>
      </c>
      <c r="G251" s="13" t="n">
        <v>1</v>
      </c>
      <c r="H251" s="5" t="n">
        <v>15700</v>
      </c>
      <c r="I251" s="7" t="n">
        <v>150</v>
      </c>
      <c r="J251" s="16" t="n">
        <v>104.666666666667</v>
      </c>
      <c r="K251" s="16" t="n">
        <v>104.666666666667</v>
      </c>
      <c r="L251" s="16"/>
      <c r="M251" s="16"/>
      <c r="N251" s="19"/>
    </row>
    <row r="252" customFormat="false" ht="15" hidden="false" customHeight="false" outlineLevel="0" collapsed="false">
      <c r="A252" s="13" t="s">
        <v>2635</v>
      </c>
      <c r="B252" s="13" t="s">
        <v>229</v>
      </c>
      <c r="C252" s="13" t="s">
        <v>43</v>
      </c>
      <c r="D252" s="13" t="s">
        <v>2324</v>
      </c>
      <c r="E252" s="13" t="s">
        <v>449</v>
      </c>
      <c r="F252" s="13" t="n">
        <v>2</v>
      </c>
      <c r="G252" s="13" t="n">
        <v>4</v>
      </c>
      <c r="H252" s="5" t="n">
        <v>15680</v>
      </c>
      <c r="I252" s="7" t="n">
        <v>46</v>
      </c>
      <c r="J252" s="16" t="n">
        <v>340.869565217391</v>
      </c>
      <c r="K252" s="16"/>
      <c r="L252" s="16" t="n">
        <v>350</v>
      </c>
      <c r="M252" s="16" t="n">
        <v>280</v>
      </c>
      <c r="N252" s="19" t="n">
        <v>0.25</v>
      </c>
    </row>
    <row r="253" customFormat="false" ht="15" hidden="false" customHeight="false" outlineLevel="0" collapsed="false">
      <c r="A253" s="13" t="s">
        <v>2636</v>
      </c>
      <c r="B253" s="13" t="s">
        <v>42</v>
      </c>
      <c r="C253" s="13" t="s">
        <v>43</v>
      </c>
      <c r="D253" s="13" t="s">
        <v>2339</v>
      </c>
      <c r="E253" s="13" t="s">
        <v>284</v>
      </c>
      <c r="F253" s="13" t="n">
        <v>1</v>
      </c>
      <c r="G253" s="13" t="n">
        <v>1</v>
      </c>
      <c r="H253" s="5" t="n">
        <v>15600</v>
      </c>
      <c r="I253" s="7" t="n">
        <v>20</v>
      </c>
      <c r="J253" s="16" t="n">
        <v>780</v>
      </c>
      <c r="K253" s="16"/>
      <c r="L253" s="16" t="n">
        <v>780</v>
      </c>
      <c r="M253" s="16"/>
      <c r="N253" s="19"/>
    </row>
    <row r="254" customFormat="false" ht="15" hidden="false" customHeight="false" outlineLevel="0" collapsed="false">
      <c r="A254" s="13" t="s">
        <v>2637</v>
      </c>
      <c r="B254" s="13" t="s">
        <v>42</v>
      </c>
      <c r="C254" s="13" t="s">
        <v>43</v>
      </c>
      <c r="D254" s="13" t="s">
        <v>2339</v>
      </c>
      <c r="E254" s="13" t="s">
        <v>427</v>
      </c>
      <c r="F254" s="13" t="n">
        <v>2</v>
      </c>
      <c r="G254" s="13" t="n">
        <v>4</v>
      </c>
      <c r="H254" s="5" t="n">
        <v>15510</v>
      </c>
      <c r="I254" s="7" t="n">
        <v>23</v>
      </c>
      <c r="J254" s="16" t="n">
        <v>674.347826086957</v>
      </c>
      <c r="K254" s="16"/>
      <c r="L254" s="16" t="n">
        <v>754.615384615385</v>
      </c>
      <c r="M254" s="16" t="n">
        <v>570</v>
      </c>
      <c r="N254" s="19" t="n">
        <v>0.323886639676113</v>
      </c>
    </row>
    <row r="255" customFormat="false" ht="15" hidden="false" customHeight="false" outlineLevel="0" collapsed="false">
      <c r="A255" s="13" t="s">
        <v>2638</v>
      </c>
      <c r="B255" s="13" t="s">
        <v>2137</v>
      </c>
      <c r="C255" s="13" t="s">
        <v>57</v>
      </c>
      <c r="D255" s="13" t="s">
        <v>2324</v>
      </c>
      <c r="E255" s="13" t="s">
        <v>2639</v>
      </c>
      <c r="F255" s="13" t="n">
        <v>1</v>
      </c>
      <c r="G255" s="13" t="n">
        <v>1</v>
      </c>
      <c r="H255" s="5" t="n">
        <v>15500</v>
      </c>
      <c r="I255" s="7" t="n">
        <v>80</v>
      </c>
      <c r="J255" s="16" t="n">
        <v>193.75</v>
      </c>
      <c r="K255" s="16" t="n">
        <v>193.75</v>
      </c>
      <c r="L255" s="16"/>
      <c r="M255" s="16"/>
      <c r="N255" s="19"/>
    </row>
    <row r="256" customFormat="false" ht="15" hidden="false" customHeight="false" outlineLevel="0" collapsed="false">
      <c r="A256" s="13" t="s">
        <v>2640</v>
      </c>
      <c r="B256" s="13" t="s">
        <v>179</v>
      </c>
      <c r="C256" s="13" t="s">
        <v>180</v>
      </c>
      <c r="D256" s="13" t="s">
        <v>2324</v>
      </c>
      <c r="E256" s="13" t="s">
        <v>285</v>
      </c>
      <c r="F256" s="13" t="n">
        <v>1</v>
      </c>
      <c r="G256" s="13" t="n">
        <v>1</v>
      </c>
      <c r="H256" s="5" t="n">
        <v>15500</v>
      </c>
      <c r="I256" s="7" t="n">
        <v>120</v>
      </c>
      <c r="J256" s="16" t="n">
        <v>129.166666666667</v>
      </c>
      <c r="K256" s="16" t="n">
        <v>129.166666666667</v>
      </c>
      <c r="L256" s="16"/>
      <c r="M256" s="16"/>
      <c r="N256" s="19"/>
    </row>
    <row r="257" customFormat="false" ht="15" hidden="false" customHeight="false" outlineLevel="0" collapsed="false">
      <c r="A257" s="13" t="s">
        <v>2641</v>
      </c>
      <c r="B257" s="13" t="s">
        <v>42</v>
      </c>
      <c r="C257" s="13" t="s">
        <v>43</v>
      </c>
      <c r="D257" s="13" t="s">
        <v>2324</v>
      </c>
      <c r="E257" s="13" t="s">
        <v>442</v>
      </c>
      <c r="F257" s="13" t="n">
        <v>2</v>
      </c>
      <c r="G257" s="13" t="n">
        <v>3</v>
      </c>
      <c r="H257" s="5" t="n">
        <v>15330</v>
      </c>
      <c r="I257" s="7" t="n">
        <v>41</v>
      </c>
      <c r="J257" s="16" t="n">
        <v>373.90243902439</v>
      </c>
      <c r="K257" s="16"/>
      <c r="L257" s="16" t="n">
        <v>630</v>
      </c>
      <c r="M257" s="16" t="n">
        <v>367.5</v>
      </c>
      <c r="N257" s="19" t="n">
        <v>0.714285714285714</v>
      </c>
    </row>
    <row r="258" customFormat="false" ht="15" hidden="false" customHeight="false" outlineLevel="0" collapsed="false">
      <c r="A258" s="13" t="s">
        <v>2642</v>
      </c>
      <c r="B258" s="13" t="s">
        <v>193</v>
      </c>
      <c r="C258" s="13" t="s">
        <v>43</v>
      </c>
      <c r="D258" s="13" t="s">
        <v>2324</v>
      </c>
      <c r="E258" s="13" t="s">
        <v>379</v>
      </c>
      <c r="F258" s="13" t="n">
        <v>1</v>
      </c>
      <c r="G258" s="13" t="n">
        <v>2</v>
      </c>
      <c r="H258" s="5" t="n">
        <v>15300</v>
      </c>
      <c r="I258" s="7" t="n">
        <v>25</v>
      </c>
      <c r="J258" s="16" t="n">
        <v>612</v>
      </c>
      <c r="K258" s="16"/>
      <c r="L258" s="16"/>
      <c r="M258" s="16" t="n">
        <v>612</v>
      </c>
      <c r="N258" s="19"/>
    </row>
    <row r="259" customFormat="false" ht="15" hidden="false" customHeight="false" outlineLevel="0" collapsed="false">
      <c r="A259" s="13" t="s">
        <v>2643</v>
      </c>
      <c r="B259" s="13" t="s">
        <v>114</v>
      </c>
      <c r="C259" s="13" t="s">
        <v>115</v>
      </c>
      <c r="D259" s="13" t="s">
        <v>2644</v>
      </c>
      <c r="E259" s="13" t="s">
        <v>293</v>
      </c>
      <c r="F259" s="13" t="n">
        <v>1</v>
      </c>
      <c r="G259" s="13" t="n">
        <v>1</v>
      </c>
      <c r="H259" s="5" t="n">
        <v>14900</v>
      </c>
      <c r="I259" s="7" t="n">
        <v>130</v>
      </c>
      <c r="J259" s="16" t="n">
        <v>114.615384615385</v>
      </c>
      <c r="K259" s="16" t="n">
        <v>114.615384615385</v>
      </c>
      <c r="L259" s="16"/>
      <c r="M259" s="16"/>
      <c r="N259" s="19"/>
    </row>
    <row r="260" customFormat="false" ht="15" hidden="false" customHeight="false" outlineLevel="0" collapsed="false">
      <c r="A260" s="13" t="s">
        <v>2645</v>
      </c>
      <c r="B260" s="13" t="s">
        <v>69</v>
      </c>
      <c r="C260" s="13" t="s">
        <v>43</v>
      </c>
      <c r="D260" s="13" t="s">
        <v>2455</v>
      </c>
      <c r="E260" s="13" t="s">
        <v>319</v>
      </c>
      <c r="F260" s="13" t="n">
        <v>1</v>
      </c>
      <c r="G260" s="13" t="n">
        <v>3</v>
      </c>
      <c r="H260" s="5" t="n">
        <v>14900</v>
      </c>
      <c r="I260" s="7" t="n">
        <v>24</v>
      </c>
      <c r="J260" s="16" t="n">
        <v>620.833333333333</v>
      </c>
      <c r="K260" s="16"/>
      <c r="L260" s="16"/>
      <c r="M260" s="16" t="n">
        <v>620.833333333333</v>
      </c>
      <c r="N260" s="19"/>
    </row>
    <row r="261" customFormat="false" ht="15" hidden="false" customHeight="false" outlineLevel="0" collapsed="false">
      <c r="A261" s="13" t="s">
        <v>2646</v>
      </c>
      <c r="B261" s="13" t="s">
        <v>45</v>
      </c>
      <c r="C261" s="13" t="s">
        <v>43</v>
      </c>
      <c r="D261" s="13" t="s">
        <v>2324</v>
      </c>
      <c r="E261" s="13" t="s">
        <v>409</v>
      </c>
      <c r="F261" s="13" t="n">
        <v>2</v>
      </c>
      <c r="G261" s="13" t="n">
        <v>4</v>
      </c>
      <c r="H261" s="5" t="n">
        <v>14850</v>
      </c>
      <c r="I261" s="7" t="n">
        <v>17</v>
      </c>
      <c r="J261" s="16" t="n">
        <v>873.529411764706</v>
      </c>
      <c r="K261" s="16"/>
      <c r="L261" s="16" t="n">
        <v>831.818181818182</v>
      </c>
      <c r="M261" s="16" t="n">
        <v>950</v>
      </c>
      <c r="N261" s="19" t="n">
        <v>0.14207650273224</v>
      </c>
    </row>
    <row r="262" customFormat="false" ht="15" hidden="false" customHeight="false" outlineLevel="0" collapsed="false">
      <c r="A262" s="13" t="s">
        <v>2647</v>
      </c>
      <c r="B262" s="13" t="s">
        <v>69</v>
      </c>
      <c r="C262" s="13" t="s">
        <v>43</v>
      </c>
      <c r="D262" s="13" t="s">
        <v>2500</v>
      </c>
      <c r="E262" s="13" t="s">
        <v>322</v>
      </c>
      <c r="F262" s="13" t="n">
        <v>1</v>
      </c>
      <c r="G262" s="13" t="n">
        <v>2</v>
      </c>
      <c r="H262" s="5" t="n">
        <v>14800</v>
      </c>
      <c r="I262" s="7" t="n">
        <v>22</v>
      </c>
      <c r="J262" s="16" t="n">
        <v>672.727272727273</v>
      </c>
      <c r="K262" s="16"/>
      <c r="L262" s="16"/>
      <c r="M262" s="16" t="n">
        <v>672.727272727273</v>
      </c>
      <c r="N262" s="19"/>
    </row>
    <row r="263" customFormat="false" ht="15" hidden="false" customHeight="false" outlineLevel="0" collapsed="false">
      <c r="A263" s="13" t="s">
        <v>2648</v>
      </c>
      <c r="B263" s="13" t="s">
        <v>69</v>
      </c>
      <c r="C263" s="13" t="s">
        <v>43</v>
      </c>
      <c r="D263" s="13" t="s">
        <v>2455</v>
      </c>
      <c r="E263" s="13" t="s">
        <v>518</v>
      </c>
      <c r="F263" s="13" t="n">
        <v>2</v>
      </c>
      <c r="G263" s="13" t="n">
        <v>2</v>
      </c>
      <c r="H263" s="5" t="n">
        <v>14800</v>
      </c>
      <c r="I263" s="7" t="n">
        <v>15</v>
      </c>
      <c r="J263" s="16" t="n">
        <v>986.666666666667</v>
      </c>
      <c r="K263" s="16"/>
      <c r="L263" s="16" t="n">
        <v>1100</v>
      </c>
      <c r="M263" s="16" t="n">
        <v>930</v>
      </c>
      <c r="N263" s="19" t="n">
        <v>0.182795698924731</v>
      </c>
    </row>
    <row r="264" customFormat="false" ht="15" hidden="false" customHeight="false" outlineLevel="0" collapsed="false">
      <c r="A264" s="13" t="s">
        <v>2649</v>
      </c>
      <c r="B264" s="13" t="s">
        <v>2096</v>
      </c>
      <c r="C264" s="13" t="s">
        <v>43</v>
      </c>
      <c r="D264" s="13" t="s">
        <v>2324</v>
      </c>
      <c r="E264" s="13" t="s">
        <v>2650</v>
      </c>
      <c r="F264" s="13" t="n">
        <v>1</v>
      </c>
      <c r="G264" s="13" t="n">
        <v>1</v>
      </c>
      <c r="H264" s="5" t="n">
        <v>14800</v>
      </c>
      <c r="I264" s="7" t="n">
        <v>90</v>
      </c>
      <c r="J264" s="16" t="n">
        <v>164.444444444445</v>
      </c>
      <c r="K264" s="16" t="n">
        <v>164.444444444445</v>
      </c>
      <c r="L264" s="16"/>
      <c r="M264" s="16"/>
      <c r="N264" s="19"/>
    </row>
    <row r="265" customFormat="false" ht="15" hidden="false" customHeight="false" outlineLevel="0" collapsed="false">
      <c r="A265" s="13" t="s">
        <v>2651</v>
      </c>
      <c r="B265" s="13" t="s">
        <v>42</v>
      </c>
      <c r="C265" s="13" t="s">
        <v>43</v>
      </c>
      <c r="D265" s="13" t="s">
        <v>2324</v>
      </c>
      <c r="E265" s="13" t="s">
        <v>353</v>
      </c>
      <c r="F265" s="13" t="n">
        <v>2</v>
      </c>
      <c r="G265" s="13" t="n">
        <v>3</v>
      </c>
      <c r="H265" s="5" t="n">
        <v>14670</v>
      </c>
      <c r="I265" s="7" t="n">
        <v>13</v>
      </c>
      <c r="J265" s="16" t="n">
        <v>1128.46153846154</v>
      </c>
      <c r="K265" s="16"/>
      <c r="L265" s="16" t="n">
        <v>1700</v>
      </c>
      <c r="M265" s="16" t="n">
        <v>1024.54545454546</v>
      </c>
      <c r="N265" s="19" t="n">
        <v>0.65927240461402</v>
      </c>
    </row>
    <row r="266" customFormat="false" ht="15" hidden="false" customHeight="false" outlineLevel="0" collapsed="false">
      <c r="A266" s="13" t="s">
        <v>2652</v>
      </c>
      <c r="B266" s="13" t="s">
        <v>45</v>
      </c>
      <c r="C266" s="13" t="s">
        <v>43</v>
      </c>
      <c r="D266" s="13" t="s">
        <v>2324</v>
      </c>
      <c r="E266" s="13" t="s">
        <v>279</v>
      </c>
      <c r="F266" s="13" t="n">
        <v>2</v>
      </c>
      <c r="G266" s="13" t="n">
        <v>3</v>
      </c>
      <c r="H266" s="5" t="n">
        <v>14600</v>
      </c>
      <c r="I266" s="7" t="n">
        <v>17</v>
      </c>
      <c r="J266" s="16" t="n">
        <v>858.823529411765</v>
      </c>
      <c r="K266" s="16"/>
      <c r="L266" s="16" t="n">
        <v>871.428571428571</v>
      </c>
      <c r="M266" s="16" t="n">
        <v>850</v>
      </c>
      <c r="N266" s="19" t="n">
        <v>0.0252100840336135</v>
      </c>
    </row>
    <row r="267" customFormat="false" ht="15" hidden="false" customHeight="false" outlineLevel="0" collapsed="false">
      <c r="A267" s="13" t="s">
        <v>2653</v>
      </c>
      <c r="B267" s="13" t="s">
        <v>2099</v>
      </c>
      <c r="C267" s="13" t="s">
        <v>43</v>
      </c>
      <c r="D267" s="13" t="s">
        <v>2324</v>
      </c>
      <c r="E267" s="13" t="s">
        <v>2654</v>
      </c>
      <c r="F267" s="13" t="n">
        <v>1</v>
      </c>
      <c r="G267" s="13" t="n">
        <v>1</v>
      </c>
      <c r="H267" s="5" t="n">
        <v>14400</v>
      </c>
      <c r="I267" s="7" t="n">
        <v>290</v>
      </c>
      <c r="J267" s="16" t="n">
        <v>49.6551724137931</v>
      </c>
      <c r="K267" s="16" t="n">
        <v>49.6551724137931</v>
      </c>
      <c r="L267" s="16"/>
      <c r="M267" s="16"/>
      <c r="N267" s="19"/>
    </row>
    <row r="268" customFormat="false" ht="15" hidden="false" customHeight="false" outlineLevel="0" collapsed="false">
      <c r="A268" s="13" t="s">
        <v>2655</v>
      </c>
      <c r="B268" s="13" t="s">
        <v>50</v>
      </c>
      <c r="C268" s="13" t="s">
        <v>43</v>
      </c>
      <c r="D268" s="13" t="s">
        <v>2324</v>
      </c>
      <c r="E268" s="13" t="s">
        <v>412</v>
      </c>
      <c r="F268" s="13" t="n">
        <v>1</v>
      </c>
      <c r="G268" s="13" t="n">
        <v>4</v>
      </c>
      <c r="H268" s="5" t="n">
        <v>14400</v>
      </c>
      <c r="I268" s="7" t="n">
        <v>16</v>
      </c>
      <c r="J268" s="16" t="n">
        <v>900</v>
      </c>
      <c r="K268" s="16"/>
      <c r="L268" s="16" t="n">
        <v>900</v>
      </c>
      <c r="M268" s="16"/>
      <c r="N268" s="19"/>
    </row>
    <row r="269" customFormat="false" ht="15" hidden="false" customHeight="false" outlineLevel="0" collapsed="false">
      <c r="A269" s="13" t="s">
        <v>2656</v>
      </c>
      <c r="B269" s="13" t="s">
        <v>341</v>
      </c>
      <c r="C269" s="13" t="s">
        <v>43</v>
      </c>
      <c r="D269" s="13" t="s">
        <v>2327</v>
      </c>
      <c r="E269" s="13" t="s">
        <v>342</v>
      </c>
      <c r="F269" s="13" t="n">
        <v>2</v>
      </c>
      <c r="G269" s="13" t="n">
        <v>3</v>
      </c>
      <c r="H269" s="5" t="n">
        <v>14400</v>
      </c>
      <c r="I269" s="7" t="n">
        <v>125</v>
      </c>
      <c r="J269" s="16" t="n">
        <v>115.2</v>
      </c>
      <c r="K269" s="16" t="n">
        <v>101.818181818182</v>
      </c>
      <c r="L269" s="16" t="n">
        <v>213.333333333333</v>
      </c>
      <c r="M269" s="16"/>
      <c r="N269" s="19" t="n">
        <v>1.0952380952381</v>
      </c>
    </row>
    <row r="270" customFormat="false" ht="15" hidden="false" customHeight="false" outlineLevel="0" collapsed="false">
      <c r="A270" s="13" t="s">
        <v>2657</v>
      </c>
      <c r="B270" s="13" t="s">
        <v>72</v>
      </c>
      <c r="C270" s="13" t="s">
        <v>43</v>
      </c>
      <c r="D270" s="13" t="s">
        <v>2500</v>
      </c>
      <c r="E270" s="13" t="s">
        <v>434</v>
      </c>
      <c r="F270" s="13" t="n">
        <v>1</v>
      </c>
      <c r="G270" s="13" t="n">
        <v>2</v>
      </c>
      <c r="H270" s="5" t="n">
        <v>14400</v>
      </c>
      <c r="I270" s="7" t="n">
        <v>20</v>
      </c>
      <c r="J270" s="16" t="n">
        <v>720</v>
      </c>
      <c r="K270" s="16"/>
      <c r="L270" s="16"/>
      <c r="M270" s="16" t="n">
        <v>720</v>
      </c>
      <c r="N270" s="19"/>
    </row>
    <row r="271" customFormat="false" ht="15" hidden="false" customHeight="false" outlineLevel="0" collapsed="false">
      <c r="A271" s="13" t="s">
        <v>2658</v>
      </c>
      <c r="B271" s="13" t="s">
        <v>2112</v>
      </c>
      <c r="C271" s="13" t="s">
        <v>43</v>
      </c>
      <c r="D271" s="13" t="s">
        <v>2339</v>
      </c>
      <c r="E271" s="13" t="s">
        <v>2659</v>
      </c>
      <c r="F271" s="13" t="n">
        <v>1</v>
      </c>
      <c r="G271" s="13" t="n">
        <v>1</v>
      </c>
      <c r="H271" s="5" t="n">
        <v>14400</v>
      </c>
      <c r="I271" s="7" t="n">
        <v>240</v>
      </c>
      <c r="J271" s="16" t="n">
        <v>60</v>
      </c>
      <c r="K271" s="16" t="n">
        <v>60</v>
      </c>
      <c r="L271" s="16"/>
      <c r="M271" s="16"/>
      <c r="N271" s="19"/>
    </row>
    <row r="272" customFormat="false" ht="15" hidden="false" customHeight="false" outlineLevel="0" collapsed="false">
      <c r="A272" s="13" t="s">
        <v>2660</v>
      </c>
      <c r="B272" s="13" t="s">
        <v>193</v>
      </c>
      <c r="C272" s="13" t="s">
        <v>43</v>
      </c>
      <c r="D272" s="13" t="s">
        <v>2324</v>
      </c>
      <c r="E272" s="13" t="s">
        <v>295</v>
      </c>
      <c r="F272" s="13" t="n">
        <v>1</v>
      </c>
      <c r="G272" s="13" t="n">
        <v>1</v>
      </c>
      <c r="H272" s="5" t="n">
        <v>14300</v>
      </c>
      <c r="I272" s="7" t="n">
        <v>20</v>
      </c>
      <c r="J272" s="16" t="n">
        <v>715</v>
      </c>
      <c r="K272" s="16"/>
      <c r="L272" s="16"/>
      <c r="M272" s="16" t="n">
        <v>715</v>
      </c>
      <c r="N272" s="19"/>
    </row>
    <row r="273" customFormat="false" ht="15" hidden="false" customHeight="false" outlineLevel="0" collapsed="false">
      <c r="A273" s="13" t="s">
        <v>2661</v>
      </c>
      <c r="B273" s="13" t="s">
        <v>2144</v>
      </c>
      <c r="C273" s="13" t="s">
        <v>85</v>
      </c>
      <c r="D273" s="13" t="s">
        <v>2337</v>
      </c>
      <c r="E273" s="13" t="s">
        <v>2662</v>
      </c>
      <c r="F273" s="13" t="n">
        <v>2</v>
      </c>
      <c r="G273" s="13" t="n">
        <v>3</v>
      </c>
      <c r="H273" s="5" t="n">
        <v>14300</v>
      </c>
      <c r="I273" s="7" t="n">
        <v>65</v>
      </c>
      <c r="J273" s="16" t="n">
        <v>220</v>
      </c>
      <c r="K273" s="16" t="n">
        <v>190</v>
      </c>
      <c r="L273" s="16" t="n">
        <v>268</v>
      </c>
      <c r="M273" s="16"/>
      <c r="N273" s="19" t="n">
        <v>0.410526315789474</v>
      </c>
    </row>
    <row r="274" customFormat="false" ht="15" hidden="false" customHeight="false" outlineLevel="0" collapsed="false">
      <c r="A274" s="13" t="s">
        <v>2663</v>
      </c>
      <c r="B274" s="13" t="s">
        <v>61</v>
      </c>
      <c r="C274" s="13" t="s">
        <v>43</v>
      </c>
      <c r="D274" s="13" t="s">
        <v>2324</v>
      </c>
      <c r="E274" s="13" t="s">
        <v>232</v>
      </c>
      <c r="F274" s="13" t="n">
        <v>1</v>
      </c>
      <c r="G274" s="13" t="n">
        <v>2</v>
      </c>
      <c r="H274" s="5" t="n">
        <v>14300</v>
      </c>
      <c r="I274" s="7" t="n">
        <v>10</v>
      </c>
      <c r="J274" s="16" t="n">
        <v>1430</v>
      </c>
      <c r="K274" s="16"/>
      <c r="L274" s="16"/>
      <c r="M274" s="16" t="n">
        <v>1430</v>
      </c>
      <c r="N274" s="19"/>
    </row>
    <row r="275" customFormat="false" ht="15" hidden="false" customHeight="false" outlineLevel="0" collapsed="false">
      <c r="A275" s="13" t="s">
        <v>2664</v>
      </c>
      <c r="B275" s="13" t="s">
        <v>179</v>
      </c>
      <c r="C275" s="13" t="s">
        <v>180</v>
      </c>
      <c r="D275" s="13" t="s">
        <v>2324</v>
      </c>
      <c r="E275" s="13" t="s">
        <v>299</v>
      </c>
      <c r="F275" s="13" t="n">
        <v>1</v>
      </c>
      <c r="G275" s="13" t="n">
        <v>1</v>
      </c>
      <c r="H275" s="5" t="n">
        <v>14100</v>
      </c>
      <c r="I275" s="7" t="n">
        <v>100</v>
      </c>
      <c r="J275" s="16" t="n">
        <v>141</v>
      </c>
      <c r="K275" s="16" t="n">
        <v>141</v>
      </c>
      <c r="L275" s="16"/>
      <c r="M275" s="16"/>
      <c r="N275" s="19"/>
    </row>
    <row r="276" customFormat="false" ht="15" hidden="false" customHeight="false" outlineLevel="0" collapsed="false">
      <c r="A276" s="13" t="s">
        <v>2665</v>
      </c>
      <c r="B276" s="13" t="s">
        <v>105</v>
      </c>
      <c r="C276" s="13" t="s">
        <v>43</v>
      </c>
      <c r="D276" s="13" t="s">
        <v>2339</v>
      </c>
      <c r="E276" s="13" t="s">
        <v>340</v>
      </c>
      <c r="F276" s="13" t="n">
        <v>2</v>
      </c>
      <c r="G276" s="13" t="n">
        <v>3</v>
      </c>
      <c r="H276" s="5" t="n">
        <v>13990</v>
      </c>
      <c r="I276" s="7" t="n">
        <v>24</v>
      </c>
      <c r="J276" s="16" t="n">
        <v>582.916666666667</v>
      </c>
      <c r="K276" s="16" t="n">
        <v>565</v>
      </c>
      <c r="L276" s="16" t="n">
        <v>672.5</v>
      </c>
      <c r="M276" s="16"/>
      <c r="N276" s="19" t="n">
        <v>0.190265486725664</v>
      </c>
    </row>
    <row r="277" customFormat="false" ht="15" hidden="false" customHeight="false" outlineLevel="0" collapsed="false">
      <c r="A277" s="13" t="s">
        <v>2666</v>
      </c>
      <c r="B277" s="13" t="s">
        <v>45</v>
      </c>
      <c r="C277" s="13" t="s">
        <v>43</v>
      </c>
      <c r="D277" s="13" t="s">
        <v>2324</v>
      </c>
      <c r="E277" s="13" t="s">
        <v>279</v>
      </c>
      <c r="F277" s="13" t="n">
        <v>1</v>
      </c>
      <c r="G277" s="13" t="n">
        <v>2</v>
      </c>
      <c r="H277" s="5" t="n">
        <v>13940</v>
      </c>
      <c r="I277" s="7" t="n">
        <v>21</v>
      </c>
      <c r="J277" s="16" t="n">
        <v>663.809523809524</v>
      </c>
      <c r="K277" s="16"/>
      <c r="L277" s="16"/>
      <c r="M277" s="16" t="n">
        <v>663.809523809524</v>
      </c>
      <c r="N277" s="19"/>
    </row>
    <row r="278" customFormat="false" ht="15" hidden="false" customHeight="false" outlineLevel="0" collapsed="false">
      <c r="A278" s="13" t="s">
        <v>2667</v>
      </c>
      <c r="B278" s="13" t="s">
        <v>302</v>
      </c>
      <c r="C278" s="13" t="s">
        <v>43</v>
      </c>
      <c r="D278" s="13" t="s">
        <v>2339</v>
      </c>
      <c r="E278" s="13" t="s">
        <v>303</v>
      </c>
      <c r="F278" s="13" t="n">
        <v>1</v>
      </c>
      <c r="G278" s="13" t="n">
        <v>1</v>
      </c>
      <c r="H278" s="5" t="n">
        <v>13900</v>
      </c>
      <c r="I278" s="7" t="n">
        <v>20</v>
      </c>
      <c r="J278" s="16" t="n">
        <v>695</v>
      </c>
      <c r="K278" s="16" t="n">
        <v>695</v>
      </c>
      <c r="L278" s="16"/>
      <c r="M278" s="16"/>
      <c r="N278" s="19"/>
    </row>
    <row r="279" customFormat="false" ht="15" hidden="false" customHeight="false" outlineLevel="0" collapsed="false">
      <c r="A279" s="13" t="s">
        <v>2668</v>
      </c>
      <c r="B279" s="13" t="s">
        <v>131</v>
      </c>
      <c r="C279" s="13" t="s">
        <v>66</v>
      </c>
      <c r="D279" s="13" t="s">
        <v>2324</v>
      </c>
      <c r="E279" s="13" t="s">
        <v>304</v>
      </c>
      <c r="F279" s="13" t="n">
        <v>1</v>
      </c>
      <c r="G279" s="13" t="n">
        <v>1</v>
      </c>
      <c r="H279" s="5" t="n">
        <v>13700</v>
      </c>
      <c r="I279" s="7" t="n">
        <v>60</v>
      </c>
      <c r="J279" s="16" t="n">
        <v>228.333333333333</v>
      </c>
      <c r="K279" s="16" t="n">
        <v>228.333333333333</v>
      </c>
      <c r="L279" s="16"/>
      <c r="M279" s="16"/>
      <c r="N279" s="19"/>
    </row>
    <row r="280" customFormat="false" ht="15" hidden="false" customHeight="false" outlineLevel="0" collapsed="false">
      <c r="A280" s="13" t="s">
        <v>2669</v>
      </c>
      <c r="B280" s="13" t="s">
        <v>302</v>
      </c>
      <c r="C280" s="13" t="s">
        <v>43</v>
      </c>
      <c r="D280" s="13" t="s">
        <v>2670</v>
      </c>
      <c r="E280" s="13" t="s">
        <v>305</v>
      </c>
      <c r="F280" s="13" t="n">
        <v>1</v>
      </c>
      <c r="G280" s="13" t="n">
        <v>1</v>
      </c>
      <c r="H280" s="5" t="n">
        <v>13700</v>
      </c>
      <c r="I280" s="7" t="n">
        <v>40</v>
      </c>
      <c r="J280" s="16" t="n">
        <v>342.5</v>
      </c>
      <c r="K280" s="16" t="n">
        <v>342.5</v>
      </c>
      <c r="L280" s="16"/>
      <c r="M280" s="16"/>
      <c r="N280" s="19"/>
    </row>
    <row r="281" customFormat="false" ht="15" hidden="false" customHeight="false" outlineLevel="0" collapsed="false">
      <c r="A281" s="13" t="s">
        <v>2671</v>
      </c>
      <c r="B281" s="13" t="s">
        <v>42</v>
      </c>
      <c r="C281" s="13" t="s">
        <v>43</v>
      </c>
      <c r="D281" s="13" t="s">
        <v>2324</v>
      </c>
      <c r="E281" s="13" t="s">
        <v>338</v>
      </c>
      <c r="F281" s="13" t="n">
        <v>1</v>
      </c>
      <c r="G281" s="13" t="n">
        <v>2</v>
      </c>
      <c r="H281" s="5" t="n">
        <v>13700</v>
      </c>
      <c r="I281" s="7" t="n">
        <v>45</v>
      </c>
      <c r="J281" s="16" t="n">
        <v>304.444444444445</v>
      </c>
      <c r="K281" s="16"/>
      <c r="L281" s="16" t="n">
        <v>304.444444444445</v>
      </c>
      <c r="M281" s="16"/>
      <c r="N281" s="19"/>
    </row>
    <row r="282" customFormat="false" ht="15" hidden="false" customHeight="false" outlineLevel="0" collapsed="false">
      <c r="A282" s="13" t="s">
        <v>2672</v>
      </c>
      <c r="B282" s="13" t="s">
        <v>124</v>
      </c>
      <c r="C282" s="13" t="s">
        <v>43</v>
      </c>
      <c r="D282" s="13" t="s">
        <v>2324</v>
      </c>
      <c r="E282" s="13" t="s">
        <v>125</v>
      </c>
      <c r="F282" s="13" t="n">
        <v>1</v>
      </c>
      <c r="G282" s="13" t="n">
        <v>4</v>
      </c>
      <c r="H282" s="5" t="n">
        <v>13610</v>
      </c>
      <c r="I282" s="7" t="n">
        <v>28</v>
      </c>
      <c r="J282" s="16" t="n">
        <v>486.071428571429</v>
      </c>
      <c r="K282" s="16"/>
      <c r="L282" s="16"/>
      <c r="M282" s="16" t="n">
        <v>486.071428571429</v>
      </c>
      <c r="N282" s="19"/>
    </row>
    <row r="283" customFormat="false" ht="15" hidden="false" customHeight="false" outlineLevel="0" collapsed="false">
      <c r="A283" s="13" t="s">
        <v>2673</v>
      </c>
      <c r="B283" s="13" t="s">
        <v>124</v>
      </c>
      <c r="C283" s="13" t="s">
        <v>43</v>
      </c>
      <c r="D283" s="13" t="s">
        <v>2324</v>
      </c>
      <c r="E283" s="13" t="s">
        <v>455</v>
      </c>
      <c r="F283" s="13" t="n">
        <v>1</v>
      </c>
      <c r="G283" s="13" t="n">
        <v>2</v>
      </c>
      <c r="H283" s="5" t="n">
        <v>13600</v>
      </c>
      <c r="I283" s="7" t="n">
        <v>10</v>
      </c>
      <c r="J283" s="16" t="n">
        <v>1360</v>
      </c>
      <c r="K283" s="16"/>
      <c r="L283" s="16"/>
      <c r="M283" s="16" t="n">
        <v>1360</v>
      </c>
      <c r="N283" s="19"/>
    </row>
    <row r="284" customFormat="false" ht="15" hidden="false" customHeight="false" outlineLevel="0" collapsed="false">
      <c r="A284" s="13" t="s">
        <v>2674</v>
      </c>
      <c r="B284" s="13" t="s">
        <v>195</v>
      </c>
      <c r="C284" s="13" t="s">
        <v>43</v>
      </c>
      <c r="D284" s="13" t="s">
        <v>2324</v>
      </c>
      <c r="E284" s="13" t="s">
        <v>360</v>
      </c>
      <c r="F284" s="13" t="n">
        <v>1</v>
      </c>
      <c r="G284" s="13" t="n">
        <v>2</v>
      </c>
      <c r="H284" s="5" t="n">
        <v>13600</v>
      </c>
      <c r="I284" s="7" t="n">
        <v>35</v>
      </c>
      <c r="J284" s="16" t="n">
        <v>388.571428571429</v>
      </c>
      <c r="K284" s="16"/>
      <c r="L284" s="16"/>
      <c r="M284" s="16" t="n">
        <v>388.571428571429</v>
      </c>
      <c r="N284" s="19"/>
    </row>
    <row r="285" customFormat="false" ht="15" hidden="false" customHeight="false" outlineLevel="0" collapsed="false">
      <c r="A285" s="13" t="s">
        <v>2675</v>
      </c>
      <c r="B285" s="13" t="s">
        <v>69</v>
      </c>
      <c r="C285" s="13" t="s">
        <v>43</v>
      </c>
      <c r="D285" s="13" t="s">
        <v>2324</v>
      </c>
      <c r="E285" s="13" t="s">
        <v>120</v>
      </c>
      <c r="F285" s="13" t="n">
        <v>1</v>
      </c>
      <c r="G285" s="13" t="n">
        <v>3</v>
      </c>
      <c r="H285" s="5" t="n">
        <v>13540</v>
      </c>
      <c r="I285" s="7" t="n">
        <v>22</v>
      </c>
      <c r="J285" s="16" t="n">
        <v>615.454545454546</v>
      </c>
      <c r="K285" s="16"/>
      <c r="L285" s="16"/>
      <c r="M285" s="16" t="n">
        <v>615.454545454546</v>
      </c>
      <c r="N285" s="19"/>
    </row>
    <row r="286" customFormat="false" ht="15" hidden="false" customHeight="false" outlineLevel="0" collapsed="false">
      <c r="A286" s="13" t="s">
        <v>2676</v>
      </c>
      <c r="B286" s="13" t="s">
        <v>61</v>
      </c>
      <c r="C286" s="13" t="s">
        <v>43</v>
      </c>
      <c r="D286" s="13" t="s">
        <v>2324</v>
      </c>
      <c r="E286" s="13" t="s">
        <v>245</v>
      </c>
      <c r="F286" s="13" t="n">
        <v>1</v>
      </c>
      <c r="G286" s="13" t="n">
        <v>3</v>
      </c>
      <c r="H286" s="5" t="n">
        <v>13500</v>
      </c>
      <c r="I286" s="7" t="n">
        <v>46</v>
      </c>
      <c r="J286" s="16" t="n">
        <v>293.478260869565</v>
      </c>
      <c r="K286" s="16"/>
      <c r="L286" s="16"/>
      <c r="M286" s="16" t="n">
        <v>293.478260869565</v>
      </c>
      <c r="N286" s="19"/>
    </row>
    <row r="287" customFormat="false" ht="15" hidden="false" customHeight="false" outlineLevel="0" collapsed="false">
      <c r="A287" s="13" t="s">
        <v>2677</v>
      </c>
      <c r="B287" s="13" t="s">
        <v>2147</v>
      </c>
      <c r="C287" s="13" t="s">
        <v>98</v>
      </c>
      <c r="D287" s="13" t="s">
        <v>2324</v>
      </c>
      <c r="E287" s="13" t="s">
        <v>2678</v>
      </c>
      <c r="F287" s="13" t="n">
        <v>1</v>
      </c>
      <c r="G287" s="13" t="n">
        <v>1</v>
      </c>
      <c r="H287" s="5" t="n">
        <v>13400</v>
      </c>
      <c r="I287" s="7" t="n">
        <v>60</v>
      </c>
      <c r="J287" s="16" t="n">
        <v>223.333333333333</v>
      </c>
      <c r="K287" s="16" t="n">
        <v>223.333333333333</v>
      </c>
      <c r="L287" s="16"/>
      <c r="M287" s="16"/>
      <c r="N287" s="19"/>
    </row>
    <row r="288" customFormat="false" ht="15" hidden="false" customHeight="false" outlineLevel="0" collapsed="false">
      <c r="A288" s="13" t="s">
        <v>2679</v>
      </c>
      <c r="B288" s="13" t="s">
        <v>65</v>
      </c>
      <c r="C288" s="13" t="s">
        <v>66</v>
      </c>
      <c r="D288" s="13" t="s">
        <v>2324</v>
      </c>
      <c r="E288" s="13" t="s">
        <v>147</v>
      </c>
      <c r="F288" s="13" t="n">
        <v>1</v>
      </c>
      <c r="G288" s="13" t="n">
        <v>1</v>
      </c>
      <c r="H288" s="5" t="n">
        <v>13400</v>
      </c>
      <c r="I288" s="7" t="n">
        <v>40</v>
      </c>
      <c r="J288" s="16" t="n">
        <v>335</v>
      </c>
      <c r="K288" s="16" t="n">
        <v>335</v>
      </c>
      <c r="L288" s="16"/>
      <c r="M288" s="16"/>
      <c r="N288" s="19"/>
    </row>
    <row r="289" customFormat="false" ht="15" hidden="false" customHeight="false" outlineLevel="0" collapsed="false">
      <c r="A289" s="13" t="s">
        <v>2680</v>
      </c>
      <c r="B289" s="13" t="s">
        <v>2148</v>
      </c>
      <c r="C289" s="13" t="s">
        <v>43</v>
      </c>
      <c r="D289" s="13" t="s">
        <v>2324</v>
      </c>
      <c r="E289" s="13" t="s">
        <v>2681</v>
      </c>
      <c r="F289" s="13" t="n">
        <v>1</v>
      </c>
      <c r="G289" s="13" t="n">
        <v>2</v>
      </c>
      <c r="H289" s="5" t="n">
        <v>13370</v>
      </c>
      <c r="I289" s="7" t="n">
        <v>51</v>
      </c>
      <c r="J289" s="16" t="n">
        <v>262.156862745098</v>
      </c>
      <c r="K289" s="16" t="n">
        <v>262.156862745098</v>
      </c>
      <c r="L289" s="16"/>
      <c r="M289" s="16"/>
      <c r="N289" s="19"/>
    </row>
    <row r="290" customFormat="false" ht="15" hidden="false" customHeight="false" outlineLevel="0" collapsed="false">
      <c r="A290" s="13" t="s">
        <v>2682</v>
      </c>
      <c r="B290" s="13" t="s">
        <v>2149</v>
      </c>
      <c r="C290" s="13" t="s">
        <v>98</v>
      </c>
      <c r="D290" s="13" t="s">
        <v>2324</v>
      </c>
      <c r="E290" s="13" t="s">
        <v>2683</v>
      </c>
      <c r="F290" s="13" t="n">
        <v>1</v>
      </c>
      <c r="G290" s="13" t="n">
        <v>2</v>
      </c>
      <c r="H290" s="5" t="n">
        <v>13300</v>
      </c>
      <c r="I290" s="7" t="n">
        <v>52</v>
      </c>
      <c r="J290" s="16" t="n">
        <v>255.769230769231</v>
      </c>
      <c r="K290" s="16" t="n">
        <v>255.769230769231</v>
      </c>
      <c r="L290" s="16"/>
      <c r="M290" s="16"/>
      <c r="N290" s="19"/>
    </row>
    <row r="291" customFormat="false" ht="15" hidden="false" customHeight="false" outlineLevel="0" collapsed="false">
      <c r="A291" s="13" t="s">
        <v>2684</v>
      </c>
      <c r="B291" s="13" t="s">
        <v>2095</v>
      </c>
      <c r="C291" s="13" t="s">
        <v>85</v>
      </c>
      <c r="D291" s="13" t="s">
        <v>2685</v>
      </c>
      <c r="E291" s="13" t="s">
        <v>2686</v>
      </c>
      <c r="F291" s="13" t="n">
        <v>1</v>
      </c>
      <c r="G291" s="13" t="n">
        <v>1</v>
      </c>
      <c r="H291" s="5" t="n">
        <v>13300</v>
      </c>
      <c r="I291" s="7" t="n">
        <v>330</v>
      </c>
      <c r="J291" s="16" t="n">
        <v>40.3030303030303</v>
      </c>
      <c r="K291" s="16" t="n">
        <v>40.3030303030303</v>
      </c>
      <c r="L291" s="16"/>
      <c r="M291" s="16"/>
      <c r="N291" s="19"/>
    </row>
    <row r="292" customFormat="false" ht="15" hidden="false" customHeight="false" outlineLevel="0" collapsed="false">
      <c r="A292" s="13" t="s">
        <v>2687</v>
      </c>
      <c r="B292" s="13" t="s">
        <v>79</v>
      </c>
      <c r="C292" s="13" t="s">
        <v>43</v>
      </c>
      <c r="D292" s="13" t="s">
        <v>2324</v>
      </c>
      <c r="E292" s="13" t="s">
        <v>339</v>
      </c>
      <c r="F292" s="13" t="n">
        <v>1</v>
      </c>
      <c r="G292" s="13" t="n">
        <v>3</v>
      </c>
      <c r="H292" s="5" t="n">
        <v>13270</v>
      </c>
      <c r="I292" s="7" t="n">
        <v>33</v>
      </c>
      <c r="J292" s="16" t="n">
        <v>402.121212121212</v>
      </c>
      <c r="K292" s="16"/>
      <c r="L292" s="16"/>
      <c r="M292" s="16" t="n">
        <v>402.121212121212</v>
      </c>
      <c r="N292" s="19"/>
    </row>
    <row r="293" customFormat="false" ht="15" hidden="false" customHeight="false" outlineLevel="0" collapsed="false">
      <c r="A293" s="13" t="s">
        <v>2688</v>
      </c>
      <c r="B293" s="13" t="s">
        <v>2101</v>
      </c>
      <c r="C293" s="13" t="s">
        <v>144</v>
      </c>
      <c r="D293" s="13" t="s">
        <v>2324</v>
      </c>
      <c r="E293" s="13" t="s">
        <v>2689</v>
      </c>
      <c r="F293" s="13" t="n">
        <v>1</v>
      </c>
      <c r="G293" s="13" t="n">
        <v>1</v>
      </c>
      <c r="H293" s="5" t="n">
        <v>13200</v>
      </c>
      <c r="I293" s="7" t="n">
        <v>40</v>
      </c>
      <c r="J293" s="16" t="n">
        <v>330</v>
      </c>
      <c r="K293" s="16" t="n">
        <v>330</v>
      </c>
      <c r="L293" s="16"/>
      <c r="M293" s="16"/>
      <c r="N293" s="19"/>
    </row>
    <row r="294" customFormat="false" ht="15" hidden="false" customHeight="false" outlineLevel="0" collapsed="false">
      <c r="A294" s="13" t="s">
        <v>2690</v>
      </c>
      <c r="B294" s="13" t="s">
        <v>131</v>
      </c>
      <c r="C294" s="13" t="s">
        <v>66</v>
      </c>
      <c r="D294" s="13" t="s">
        <v>2324</v>
      </c>
      <c r="E294" s="13" t="s">
        <v>308</v>
      </c>
      <c r="F294" s="13" t="n">
        <v>1</v>
      </c>
      <c r="G294" s="13" t="n">
        <v>1</v>
      </c>
      <c r="H294" s="5" t="n">
        <v>13000</v>
      </c>
      <c r="I294" s="7" t="n">
        <v>40</v>
      </c>
      <c r="J294" s="16" t="n">
        <v>325</v>
      </c>
      <c r="K294" s="16" t="n">
        <v>325</v>
      </c>
      <c r="L294" s="16"/>
      <c r="M294" s="16"/>
      <c r="N294" s="19"/>
    </row>
    <row r="295" customFormat="false" ht="15" hidden="false" customHeight="false" outlineLevel="0" collapsed="false">
      <c r="A295" s="13" t="s">
        <v>2691</v>
      </c>
      <c r="B295" s="13" t="s">
        <v>50</v>
      </c>
      <c r="C295" s="13" t="s">
        <v>43</v>
      </c>
      <c r="D295" s="13" t="s">
        <v>2324</v>
      </c>
      <c r="E295" s="13" t="s">
        <v>452</v>
      </c>
      <c r="F295" s="13" t="n">
        <v>2</v>
      </c>
      <c r="G295" s="13" t="n">
        <v>3</v>
      </c>
      <c r="H295" s="5" t="n">
        <v>13000</v>
      </c>
      <c r="I295" s="7" t="n">
        <v>17</v>
      </c>
      <c r="J295" s="16" t="n">
        <v>764.705882352941</v>
      </c>
      <c r="K295" s="16"/>
      <c r="L295" s="16" t="n">
        <v>730</v>
      </c>
      <c r="M295" s="16" t="n">
        <v>814.285714285714</v>
      </c>
      <c r="N295" s="19" t="n">
        <v>0.11545988258317</v>
      </c>
    </row>
    <row r="296" customFormat="false" ht="15" hidden="false" customHeight="false" outlineLevel="0" collapsed="false">
      <c r="A296" s="13" t="s">
        <v>2692</v>
      </c>
      <c r="B296" s="13" t="s">
        <v>54</v>
      </c>
      <c r="C296" s="13" t="s">
        <v>43</v>
      </c>
      <c r="D296" s="13" t="s">
        <v>2324</v>
      </c>
      <c r="E296" s="13" t="s">
        <v>309</v>
      </c>
      <c r="F296" s="13" t="n">
        <v>1</v>
      </c>
      <c r="G296" s="13" t="n">
        <v>1</v>
      </c>
      <c r="H296" s="5" t="n">
        <v>12900</v>
      </c>
      <c r="I296" s="7" t="n">
        <v>40</v>
      </c>
      <c r="J296" s="16" t="n">
        <v>322.5</v>
      </c>
      <c r="K296" s="16"/>
      <c r="L296" s="16"/>
      <c r="M296" s="16" t="n">
        <v>322.5</v>
      </c>
      <c r="N296" s="19"/>
    </row>
    <row r="297" customFormat="false" ht="15" hidden="false" customHeight="false" outlineLevel="0" collapsed="false">
      <c r="A297" s="13" t="s">
        <v>2693</v>
      </c>
      <c r="B297" s="13" t="s">
        <v>2103</v>
      </c>
      <c r="C297" s="13" t="s">
        <v>85</v>
      </c>
      <c r="D297" s="13" t="s">
        <v>2324</v>
      </c>
      <c r="E297" s="13" t="s">
        <v>2694</v>
      </c>
      <c r="F297" s="13" t="n">
        <v>1</v>
      </c>
      <c r="G297" s="13" t="n">
        <v>3</v>
      </c>
      <c r="H297" s="5" t="n">
        <v>12870</v>
      </c>
      <c r="I297" s="7" t="n">
        <v>117</v>
      </c>
      <c r="J297" s="16" t="n">
        <v>110</v>
      </c>
      <c r="K297" s="16"/>
      <c r="L297" s="16"/>
      <c r="M297" s="16" t="n">
        <v>110</v>
      </c>
      <c r="N297" s="19"/>
    </row>
    <row r="298" customFormat="false" ht="15" hidden="false" customHeight="false" outlineLevel="0" collapsed="false">
      <c r="A298" s="13" t="s">
        <v>2695</v>
      </c>
      <c r="B298" s="13" t="s">
        <v>2129</v>
      </c>
      <c r="C298" s="13" t="s">
        <v>43</v>
      </c>
      <c r="D298" s="13" t="s">
        <v>2324</v>
      </c>
      <c r="E298" s="13" t="s">
        <v>2696</v>
      </c>
      <c r="F298" s="13" t="n">
        <v>1</v>
      </c>
      <c r="G298" s="13" t="n">
        <v>1</v>
      </c>
      <c r="H298" s="5" t="n">
        <v>12800</v>
      </c>
      <c r="I298" s="7" t="n">
        <v>190</v>
      </c>
      <c r="J298" s="16" t="n">
        <v>67.3684210526316</v>
      </c>
      <c r="K298" s="16" t="n">
        <v>67.3684210526316</v>
      </c>
      <c r="L298" s="16"/>
      <c r="M298" s="16"/>
      <c r="N298" s="19"/>
    </row>
    <row r="299" customFormat="false" ht="15" hidden="false" customHeight="false" outlineLevel="0" collapsed="false">
      <c r="A299" s="13" t="s">
        <v>2697</v>
      </c>
      <c r="B299" s="13" t="s">
        <v>50</v>
      </c>
      <c r="C299" s="13" t="s">
        <v>43</v>
      </c>
      <c r="D299" s="13" t="s">
        <v>2324</v>
      </c>
      <c r="E299" s="13" t="s">
        <v>404</v>
      </c>
      <c r="F299" s="13" t="n">
        <v>2</v>
      </c>
      <c r="G299" s="13" t="n">
        <v>3</v>
      </c>
      <c r="H299" s="5" t="n">
        <v>12760</v>
      </c>
      <c r="I299" s="7" t="n">
        <v>16</v>
      </c>
      <c r="J299" s="16" t="n">
        <v>797.5</v>
      </c>
      <c r="K299" s="16"/>
      <c r="L299" s="16" t="n">
        <v>850.909090909091</v>
      </c>
      <c r="M299" s="16" t="n">
        <v>680</v>
      </c>
      <c r="N299" s="19" t="n">
        <v>0.251336898395722</v>
      </c>
    </row>
    <row r="300" customFormat="false" ht="15" hidden="false" customHeight="false" outlineLevel="0" collapsed="false">
      <c r="A300" s="13" t="s">
        <v>2698</v>
      </c>
      <c r="B300" s="13" t="s">
        <v>45</v>
      </c>
      <c r="C300" s="13" t="s">
        <v>43</v>
      </c>
      <c r="D300" s="13" t="s">
        <v>2324</v>
      </c>
      <c r="E300" s="13" t="s">
        <v>430</v>
      </c>
      <c r="F300" s="13" t="n">
        <v>1</v>
      </c>
      <c r="G300" s="13" t="n">
        <v>3</v>
      </c>
      <c r="H300" s="5" t="n">
        <v>12700</v>
      </c>
      <c r="I300" s="7" t="n">
        <v>12</v>
      </c>
      <c r="J300" s="16" t="n">
        <v>1058.33333333333</v>
      </c>
      <c r="K300" s="16"/>
      <c r="L300" s="16" t="n">
        <v>1058.33333333333</v>
      </c>
      <c r="M300" s="16"/>
      <c r="N300" s="19"/>
    </row>
    <row r="301" customFormat="false" ht="15" hidden="false" customHeight="false" outlineLevel="0" collapsed="false">
      <c r="A301" s="13" t="s">
        <v>2699</v>
      </c>
      <c r="B301" s="13" t="s">
        <v>45</v>
      </c>
      <c r="C301" s="13" t="s">
        <v>43</v>
      </c>
      <c r="D301" s="13" t="s">
        <v>2500</v>
      </c>
      <c r="E301" s="13" t="s">
        <v>279</v>
      </c>
      <c r="F301" s="13" t="n">
        <v>2</v>
      </c>
      <c r="G301" s="13" t="n">
        <v>3</v>
      </c>
      <c r="H301" s="5" t="n">
        <v>12600</v>
      </c>
      <c r="I301" s="7" t="n">
        <v>24</v>
      </c>
      <c r="J301" s="16" t="n">
        <v>525</v>
      </c>
      <c r="K301" s="16"/>
      <c r="L301" s="16" t="n">
        <v>1000</v>
      </c>
      <c r="M301" s="16" t="n">
        <v>430</v>
      </c>
      <c r="N301" s="19" t="n">
        <v>1.32558139534884</v>
      </c>
    </row>
    <row r="302" customFormat="false" ht="15" hidden="false" customHeight="false" outlineLevel="0" collapsed="false">
      <c r="A302" s="13" t="s">
        <v>2700</v>
      </c>
      <c r="B302" s="13" t="s">
        <v>61</v>
      </c>
      <c r="C302" s="13" t="s">
        <v>43</v>
      </c>
      <c r="D302" s="13" t="s">
        <v>2324</v>
      </c>
      <c r="E302" s="13" t="s">
        <v>327</v>
      </c>
      <c r="F302" s="13" t="n">
        <v>1</v>
      </c>
      <c r="G302" s="13" t="n">
        <v>3</v>
      </c>
      <c r="H302" s="5" t="n">
        <v>12600</v>
      </c>
      <c r="I302" s="7" t="n">
        <v>9</v>
      </c>
      <c r="J302" s="16" t="n">
        <v>1400</v>
      </c>
      <c r="K302" s="16"/>
      <c r="L302" s="16"/>
      <c r="M302" s="16" t="n">
        <v>1400</v>
      </c>
      <c r="N302" s="19"/>
    </row>
    <row r="303" customFormat="false" ht="15" hidden="false" customHeight="false" outlineLevel="0" collapsed="false">
      <c r="A303" s="13" t="s">
        <v>2701</v>
      </c>
      <c r="B303" s="13" t="s">
        <v>50</v>
      </c>
      <c r="C303" s="13" t="s">
        <v>43</v>
      </c>
      <c r="D303" s="13" t="s">
        <v>2324</v>
      </c>
      <c r="E303" s="13" t="s">
        <v>453</v>
      </c>
      <c r="F303" s="13" t="n">
        <v>2</v>
      </c>
      <c r="G303" s="13" t="n">
        <v>4</v>
      </c>
      <c r="H303" s="5" t="n">
        <v>12500</v>
      </c>
      <c r="I303" s="7" t="n">
        <v>10</v>
      </c>
      <c r="J303" s="16" t="n">
        <v>1250</v>
      </c>
      <c r="K303" s="16"/>
      <c r="L303" s="16" t="n">
        <v>1400</v>
      </c>
      <c r="M303" s="16" t="n">
        <v>1025</v>
      </c>
      <c r="N303" s="19" t="n">
        <v>0.365853658536585</v>
      </c>
    </row>
    <row r="304" customFormat="false" ht="15" hidden="false" customHeight="false" outlineLevel="0" collapsed="false">
      <c r="A304" s="13" t="s">
        <v>2702</v>
      </c>
      <c r="B304" s="13" t="s">
        <v>45</v>
      </c>
      <c r="C304" s="13" t="s">
        <v>43</v>
      </c>
      <c r="D304" s="13" t="s">
        <v>2339</v>
      </c>
      <c r="E304" s="13" t="s">
        <v>301</v>
      </c>
      <c r="F304" s="13" t="n">
        <v>2</v>
      </c>
      <c r="G304" s="13" t="n">
        <v>3</v>
      </c>
      <c r="H304" s="5" t="n">
        <v>12470</v>
      </c>
      <c r="I304" s="7" t="n">
        <v>13</v>
      </c>
      <c r="J304" s="16" t="n">
        <v>959.230769230769</v>
      </c>
      <c r="K304" s="16"/>
      <c r="L304" s="16" t="n">
        <v>856.666666666667</v>
      </c>
      <c r="M304" s="16" t="n">
        <v>990</v>
      </c>
      <c r="N304" s="19" t="n">
        <v>0.155642023346304</v>
      </c>
    </row>
    <row r="305" customFormat="false" ht="15" hidden="false" customHeight="false" outlineLevel="0" collapsed="false">
      <c r="A305" s="13" t="s">
        <v>2703</v>
      </c>
      <c r="B305" s="13" t="s">
        <v>182</v>
      </c>
      <c r="C305" s="13" t="s">
        <v>183</v>
      </c>
      <c r="D305" s="13" t="s">
        <v>2602</v>
      </c>
      <c r="E305" s="13" t="s">
        <v>332</v>
      </c>
      <c r="F305" s="13" t="n">
        <v>1</v>
      </c>
      <c r="G305" s="13" t="n">
        <v>2</v>
      </c>
      <c r="H305" s="5" t="n">
        <v>12440</v>
      </c>
      <c r="I305" s="7" t="n">
        <v>105</v>
      </c>
      <c r="J305" s="16" t="n">
        <v>118.476190476191</v>
      </c>
      <c r="K305" s="16" t="n">
        <v>118.476190476191</v>
      </c>
      <c r="L305" s="16"/>
      <c r="M305" s="16"/>
      <c r="N305" s="19"/>
    </row>
    <row r="306" customFormat="false" ht="15" hidden="false" customHeight="false" outlineLevel="0" collapsed="false">
      <c r="A306" s="13" t="s">
        <v>2704</v>
      </c>
      <c r="B306" s="13" t="s">
        <v>329</v>
      </c>
      <c r="C306" s="13" t="s">
        <v>43</v>
      </c>
      <c r="D306" s="13" t="s">
        <v>2324</v>
      </c>
      <c r="E306" s="13" t="s">
        <v>330</v>
      </c>
      <c r="F306" s="13" t="n">
        <v>1</v>
      </c>
      <c r="G306" s="13" t="n">
        <v>2</v>
      </c>
      <c r="H306" s="5" t="n">
        <v>12410</v>
      </c>
      <c r="I306" s="7" t="n">
        <v>41</v>
      </c>
      <c r="J306" s="16" t="n">
        <v>302.682926829268</v>
      </c>
      <c r="K306" s="16"/>
      <c r="L306" s="16"/>
      <c r="M306" s="16" t="n">
        <v>302.682926829268</v>
      </c>
      <c r="N306" s="19"/>
    </row>
    <row r="307" customFormat="false" ht="15" hidden="false" customHeight="false" outlineLevel="0" collapsed="false">
      <c r="A307" s="13" t="s">
        <v>2705</v>
      </c>
      <c r="B307" s="13" t="s">
        <v>65</v>
      </c>
      <c r="C307" s="13" t="s">
        <v>66</v>
      </c>
      <c r="D307" s="13" t="s">
        <v>2324</v>
      </c>
      <c r="E307" s="13" t="s">
        <v>320</v>
      </c>
      <c r="F307" s="13" t="n">
        <v>1</v>
      </c>
      <c r="G307" s="13" t="n">
        <v>1</v>
      </c>
      <c r="H307" s="5" t="n">
        <v>12400</v>
      </c>
      <c r="I307" s="7" t="n">
        <v>40</v>
      </c>
      <c r="J307" s="16" t="n">
        <v>310</v>
      </c>
      <c r="K307" s="16" t="n">
        <v>310</v>
      </c>
      <c r="L307" s="16"/>
      <c r="M307" s="16"/>
      <c r="N307" s="19"/>
    </row>
    <row r="308" customFormat="false" ht="15" hidden="false" customHeight="false" outlineLevel="0" collapsed="false">
      <c r="A308" s="13" t="s">
        <v>2706</v>
      </c>
      <c r="B308" s="13" t="s">
        <v>117</v>
      </c>
      <c r="C308" s="13" t="s">
        <v>98</v>
      </c>
      <c r="D308" s="13" t="s">
        <v>2324</v>
      </c>
      <c r="E308" s="13" t="s">
        <v>321</v>
      </c>
      <c r="F308" s="13" t="n">
        <v>1</v>
      </c>
      <c r="G308" s="13" t="n">
        <v>1</v>
      </c>
      <c r="H308" s="5" t="n">
        <v>12400</v>
      </c>
      <c r="I308" s="7" t="n">
        <v>5</v>
      </c>
      <c r="J308" s="16" t="n">
        <v>2480</v>
      </c>
      <c r="K308" s="16" t="n">
        <v>2480</v>
      </c>
      <c r="L308" s="16"/>
      <c r="M308" s="16"/>
      <c r="N308" s="19"/>
    </row>
    <row r="309" customFormat="false" ht="15" hidden="false" customHeight="false" outlineLevel="0" collapsed="false">
      <c r="A309" s="13" t="s">
        <v>2707</v>
      </c>
      <c r="B309" s="13" t="s">
        <v>61</v>
      </c>
      <c r="C309" s="13" t="s">
        <v>183</v>
      </c>
      <c r="D309" s="13" t="s">
        <v>2324</v>
      </c>
      <c r="E309" s="13" t="s">
        <v>344</v>
      </c>
      <c r="F309" s="13" t="n">
        <v>1</v>
      </c>
      <c r="G309" s="13" t="n">
        <v>2</v>
      </c>
      <c r="H309" s="5" t="n">
        <v>12400</v>
      </c>
      <c r="I309" s="7" t="n">
        <v>6</v>
      </c>
      <c r="J309" s="16" t="n">
        <v>2066.66666666667</v>
      </c>
      <c r="K309" s="16"/>
      <c r="L309" s="16"/>
      <c r="M309" s="16" t="n">
        <v>2066.66666666667</v>
      </c>
      <c r="N309" s="19"/>
    </row>
    <row r="310" customFormat="false" ht="15" hidden="false" customHeight="false" outlineLevel="0" collapsed="false">
      <c r="A310" s="13" t="s">
        <v>2708</v>
      </c>
      <c r="B310" s="13" t="s">
        <v>2107</v>
      </c>
      <c r="C310" s="13" t="s">
        <v>43</v>
      </c>
      <c r="D310" s="13" t="s">
        <v>2324</v>
      </c>
      <c r="E310" s="13" t="s">
        <v>2709</v>
      </c>
      <c r="F310" s="13" t="n">
        <v>1</v>
      </c>
      <c r="G310" s="13" t="n">
        <v>1</v>
      </c>
      <c r="H310" s="5" t="n">
        <v>12400</v>
      </c>
      <c r="I310" s="7" t="n">
        <v>160</v>
      </c>
      <c r="J310" s="16" t="n">
        <v>77.5</v>
      </c>
      <c r="K310" s="16" t="n">
        <v>77.5</v>
      </c>
      <c r="L310" s="16"/>
      <c r="M310" s="16"/>
      <c r="N310" s="19"/>
    </row>
    <row r="311" customFormat="false" ht="15" hidden="false" customHeight="false" outlineLevel="0" collapsed="false">
      <c r="A311" s="13" t="s">
        <v>2710</v>
      </c>
      <c r="B311" s="13" t="s">
        <v>42</v>
      </c>
      <c r="C311" s="13" t="s">
        <v>43</v>
      </c>
      <c r="D311" s="13" t="s">
        <v>2324</v>
      </c>
      <c r="E311" s="13" t="s">
        <v>1159</v>
      </c>
      <c r="F311" s="13" t="n">
        <v>2</v>
      </c>
      <c r="G311" s="13" t="n">
        <v>3</v>
      </c>
      <c r="H311" s="5" t="n">
        <v>12330</v>
      </c>
      <c r="I311" s="7" t="n">
        <v>33</v>
      </c>
      <c r="J311" s="16" t="n">
        <v>373.636363636364</v>
      </c>
      <c r="K311" s="16"/>
      <c r="L311" s="16" t="n">
        <v>543.333333333333</v>
      </c>
      <c r="M311" s="16" t="n">
        <v>356.666666666667</v>
      </c>
      <c r="N311" s="19" t="n">
        <v>0.523364485981309</v>
      </c>
    </row>
    <row r="312" customFormat="false" ht="15" hidden="false" customHeight="false" outlineLevel="0" collapsed="false">
      <c r="A312" s="13" t="s">
        <v>2711</v>
      </c>
      <c r="B312" s="13" t="s">
        <v>2096</v>
      </c>
      <c r="C312" s="13" t="s">
        <v>43</v>
      </c>
      <c r="D312" s="13" t="s">
        <v>2500</v>
      </c>
      <c r="E312" s="13" t="s">
        <v>2712</v>
      </c>
      <c r="F312" s="13" t="n">
        <v>1</v>
      </c>
      <c r="G312" s="13" t="n">
        <v>1</v>
      </c>
      <c r="H312" s="5" t="n">
        <v>12100</v>
      </c>
      <c r="I312" s="7" t="n">
        <v>170</v>
      </c>
      <c r="J312" s="16" t="n">
        <v>71.1764705882353</v>
      </c>
      <c r="K312" s="16" t="n">
        <v>71.1764705882353</v>
      </c>
      <c r="L312" s="16"/>
      <c r="M312" s="16"/>
      <c r="N312" s="19"/>
    </row>
    <row r="313" customFormat="false" ht="15" hidden="false" customHeight="false" outlineLevel="0" collapsed="false">
      <c r="A313" s="13" t="s">
        <v>2713</v>
      </c>
      <c r="B313" s="13" t="s">
        <v>45</v>
      </c>
      <c r="C313" s="13" t="s">
        <v>43</v>
      </c>
      <c r="D313" s="13" t="s">
        <v>2324</v>
      </c>
      <c r="E313" s="13" t="s">
        <v>46</v>
      </c>
      <c r="F313" s="13" t="n">
        <v>2</v>
      </c>
      <c r="G313" s="13" t="n">
        <v>5</v>
      </c>
      <c r="H313" s="5" t="n">
        <v>12070</v>
      </c>
      <c r="I313" s="7" t="n">
        <v>15</v>
      </c>
      <c r="J313" s="16" t="n">
        <v>804.666666666667</v>
      </c>
      <c r="K313" s="16"/>
      <c r="L313" s="16" t="n">
        <v>733.75</v>
      </c>
      <c r="M313" s="16" t="n">
        <v>885.714285714286</v>
      </c>
      <c r="N313" s="19" t="n">
        <v>0.20710635191044</v>
      </c>
    </row>
    <row r="314" customFormat="false" ht="15" hidden="false" customHeight="false" outlineLevel="0" collapsed="false">
      <c r="A314" s="13" t="s">
        <v>2714</v>
      </c>
      <c r="B314" s="13" t="s">
        <v>42</v>
      </c>
      <c r="C314" s="13" t="s">
        <v>43</v>
      </c>
      <c r="D314" s="13" t="s">
        <v>2324</v>
      </c>
      <c r="E314" s="13" t="s">
        <v>91</v>
      </c>
      <c r="F314" s="13" t="n">
        <v>1</v>
      </c>
      <c r="G314" s="13" t="n">
        <v>3</v>
      </c>
      <c r="H314" s="5" t="n">
        <v>12040</v>
      </c>
      <c r="I314" s="7" t="n">
        <v>22</v>
      </c>
      <c r="J314" s="16" t="n">
        <v>547.272727272727</v>
      </c>
      <c r="K314" s="16"/>
      <c r="L314" s="16" t="n">
        <v>547.272727272727</v>
      </c>
      <c r="M314" s="16"/>
      <c r="N314" s="19"/>
    </row>
    <row r="315" customFormat="false" ht="15" hidden="false" customHeight="false" outlineLevel="0" collapsed="false">
      <c r="A315" s="13" t="s">
        <v>2715</v>
      </c>
      <c r="B315" s="13" t="s">
        <v>61</v>
      </c>
      <c r="C315" s="13" t="s">
        <v>43</v>
      </c>
      <c r="D315" s="13" t="s">
        <v>2339</v>
      </c>
      <c r="E315" s="13" t="s">
        <v>860</v>
      </c>
      <c r="F315" s="13" t="n">
        <v>1</v>
      </c>
      <c r="G315" s="13" t="n">
        <v>3</v>
      </c>
      <c r="H315" s="5" t="n">
        <v>12000</v>
      </c>
      <c r="I315" s="7" t="n">
        <v>14</v>
      </c>
      <c r="J315" s="16" t="n">
        <v>857.142857142857</v>
      </c>
      <c r="K315" s="16"/>
      <c r="L315" s="16"/>
      <c r="M315" s="16" t="n">
        <v>857.142857142857</v>
      </c>
      <c r="N315" s="19"/>
    </row>
    <row r="316" customFormat="false" ht="15" hidden="false" customHeight="false" outlineLevel="0" collapsed="false">
      <c r="A316" s="13" t="s">
        <v>2716</v>
      </c>
      <c r="B316" s="13" t="s">
        <v>50</v>
      </c>
      <c r="C316" s="13" t="s">
        <v>43</v>
      </c>
      <c r="D316" s="13" t="s">
        <v>2324</v>
      </c>
      <c r="E316" s="13" t="s">
        <v>382</v>
      </c>
      <c r="F316" s="13" t="n">
        <v>2</v>
      </c>
      <c r="G316" s="13" t="n">
        <v>2</v>
      </c>
      <c r="H316" s="5" t="n">
        <v>12000</v>
      </c>
      <c r="I316" s="7" t="n">
        <v>12</v>
      </c>
      <c r="J316" s="16" t="n">
        <v>1000</v>
      </c>
      <c r="K316" s="16"/>
      <c r="L316" s="16" t="n">
        <v>1350</v>
      </c>
      <c r="M316" s="16" t="n">
        <v>930</v>
      </c>
      <c r="N316" s="19" t="n">
        <v>0.451612903225806</v>
      </c>
    </row>
    <row r="317" customFormat="false" ht="15" hidden="false" customHeight="false" outlineLevel="0" collapsed="false">
      <c r="A317" s="13" t="s">
        <v>2717</v>
      </c>
      <c r="B317" s="13" t="s">
        <v>42</v>
      </c>
      <c r="C317" s="13" t="s">
        <v>43</v>
      </c>
      <c r="D317" s="13" t="s">
        <v>2324</v>
      </c>
      <c r="E317" s="13" t="s">
        <v>89</v>
      </c>
      <c r="F317" s="13" t="n">
        <v>2</v>
      </c>
      <c r="G317" s="13" t="n">
        <v>4</v>
      </c>
      <c r="H317" s="5" t="n">
        <v>11960</v>
      </c>
      <c r="I317" s="7" t="n">
        <v>37</v>
      </c>
      <c r="J317" s="16" t="n">
        <v>323.243243243243</v>
      </c>
      <c r="K317" s="16"/>
      <c r="L317" s="16" t="n">
        <v>526.666666666667</v>
      </c>
      <c r="M317" s="16" t="n">
        <v>283.870967741936</v>
      </c>
      <c r="N317" s="19" t="n">
        <v>0.85530303030303</v>
      </c>
    </row>
    <row r="318" customFormat="false" ht="15" hidden="false" customHeight="false" outlineLevel="0" collapsed="false">
      <c r="A318" s="13" t="s">
        <v>2718</v>
      </c>
      <c r="B318" s="13" t="s">
        <v>124</v>
      </c>
      <c r="C318" s="13" t="s">
        <v>43</v>
      </c>
      <c r="D318" s="13" t="s">
        <v>2324</v>
      </c>
      <c r="E318" s="13" t="s">
        <v>346</v>
      </c>
      <c r="F318" s="13" t="n">
        <v>1</v>
      </c>
      <c r="G318" s="13" t="n">
        <v>2</v>
      </c>
      <c r="H318" s="5" t="n">
        <v>11840</v>
      </c>
      <c r="I318" s="7" t="n">
        <v>21</v>
      </c>
      <c r="J318" s="16" t="n">
        <v>563.809523809524</v>
      </c>
      <c r="K318" s="16"/>
      <c r="L318" s="16"/>
      <c r="M318" s="16" t="n">
        <v>563.809523809524</v>
      </c>
      <c r="N318" s="19"/>
    </row>
    <row r="319" customFormat="false" ht="15" hidden="false" customHeight="false" outlineLevel="0" collapsed="false">
      <c r="A319" s="13" t="s">
        <v>2719</v>
      </c>
      <c r="B319" s="13" t="s">
        <v>2097</v>
      </c>
      <c r="C319" s="13" t="s">
        <v>140</v>
      </c>
      <c r="D319" s="13" t="s">
        <v>2324</v>
      </c>
      <c r="E319" s="13" t="s">
        <v>2720</v>
      </c>
      <c r="F319" s="13" t="n">
        <v>1</v>
      </c>
      <c r="G319" s="13" t="n">
        <v>2</v>
      </c>
      <c r="H319" s="5" t="n">
        <v>11740</v>
      </c>
      <c r="I319" s="7" t="n">
        <v>215</v>
      </c>
      <c r="J319" s="16" t="n">
        <v>54.6046511627907</v>
      </c>
      <c r="K319" s="16" t="n">
        <v>54.6046511627907</v>
      </c>
      <c r="L319" s="16"/>
      <c r="M319" s="16"/>
      <c r="N319" s="19"/>
    </row>
    <row r="320" customFormat="false" ht="15" hidden="false" customHeight="false" outlineLevel="0" collapsed="false">
      <c r="A320" s="13" t="s">
        <v>2721</v>
      </c>
      <c r="B320" s="13" t="s">
        <v>2097</v>
      </c>
      <c r="C320" s="13" t="s">
        <v>140</v>
      </c>
      <c r="D320" s="13" t="s">
        <v>2324</v>
      </c>
      <c r="E320" s="13" t="s">
        <v>2722</v>
      </c>
      <c r="F320" s="13" t="n">
        <v>1</v>
      </c>
      <c r="G320" s="13" t="n">
        <v>2</v>
      </c>
      <c r="H320" s="5" t="n">
        <v>11700</v>
      </c>
      <c r="I320" s="7" t="n">
        <v>282</v>
      </c>
      <c r="J320" s="16" t="n">
        <v>41.4893617021277</v>
      </c>
      <c r="K320" s="16" t="n">
        <v>41.4893617021277</v>
      </c>
      <c r="L320" s="16"/>
      <c r="M320" s="16"/>
      <c r="N320" s="19"/>
    </row>
    <row r="321" customFormat="false" ht="15" hidden="false" customHeight="false" outlineLevel="0" collapsed="false">
      <c r="A321" s="13" t="s">
        <v>2723</v>
      </c>
      <c r="B321" s="13" t="s">
        <v>2111</v>
      </c>
      <c r="C321" s="13" t="s">
        <v>43</v>
      </c>
      <c r="D321" s="13" t="s">
        <v>2339</v>
      </c>
      <c r="E321" s="13" t="s">
        <v>2724</v>
      </c>
      <c r="F321" s="13" t="n">
        <v>2</v>
      </c>
      <c r="G321" s="13" t="n">
        <v>3</v>
      </c>
      <c r="H321" s="5" t="n">
        <v>11700</v>
      </c>
      <c r="I321" s="7" t="n">
        <v>16</v>
      </c>
      <c r="J321" s="16" t="n">
        <v>731.25</v>
      </c>
      <c r="K321" s="16" t="n">
        <v>790</v>
      </c>
      <c r="L321" s="16" t="n">
        <v>633.333333333333</v>
      </c>
      <c r="M321" s="16"/>
      <c r="N321" s="19" t="n">
        <v>0.247368421052632</v>
      </c>
    </row>
    <row r="322" customFormat="false" ht="15" hidden="false" customHeight="false" outlineLevel="0" collapsed="false">
      <c r="A322" s="13" t="s">
        <v>2725</v>
      </c>
      <c r="B322" s="13" t="s">
        <v>2096</v>
      </c>
      <c r="C322" s="13" t="s">
        <v>43</v>
      </c>
      <c r="D322" s="13" t="s">
        <v>2324</v>
      </c>
      <c r="E322" s="13" t="s">
        <v>2726</v>
      </c>
      <c r="F322" s="13" t="n">
        <v>1</v>
      </c>
      <c r="G322" s="13" t="n">
        <v>1</v>
      </c>
      <c r="H322" s="5" t="n">
        <v>11600</v>
      </c>
      <c r="I322" s="7" t="n">
        <v>120</v>
      </c>
      <c r="J322" s="16" t="n">
        <v>96.6666666666667</v>
      </c>
      <c r="K322" s="16" t="n">
        <v>96.6666666666667</v>
      </c>
      <c r="L322" s="16"/>
      <c r="M322" s="16"/>
      <c r="N322" s="19"/>
    </row>
    <row r="323" customFormat="false" ht="15" hidden="false" customHeight="false" outlineLevel="0" collapsed="false">
      <c r="A323" s="13" t="s">
        <v>2727</v>
      </c>
      <c r="B323" s="13" t="s">
        <v>2151</v>
      </c>
      <c r="C323" s="13" t="s">
        <v>183</v>
      </c>
      <c r="D323" s="13" t="s">
        <v>2728</v>
      </c>
      <c r="E323" s="13" t="s">
        <v>2729</v>
      </c>
      <c r="F323" s="13" t="n">
        <v>1</v>
      </c>
      <c r="G323" s="13" t="n">
        <v>1</v>
      </c>
      <c r="H323" s="5" t="n">
        <v>11600</v>
      </c>
      <c r="I323" s="7" t="n">
        <v>120</v>
      </c>
      <c r="J323" s="16" t="n">
        <v>96.6666666666667</v>
      </c>
      <c r="K323" s="16" t="n">
        <v>96.6666666666667</v>
      </c>
      <c r="L323" s="16"/>
      <c r="M323" s="16"/>
      <c r="N323" s="19"/>
    </row>
    <row r="324" customFormat="false" ht="15" hidden="false" customHeight="false" outlineLevel="0" collapsed="false">
      <c r="A324" s="13" t="s">
        <v>2730</v>
      </c>
      <c r="B324" s="13" t="s">
        <v>50</v>
      </c>
      <c r="C324" s="13" t="s">
        <v>43</v>
      </c>
      <c r="D324" s="13" t="s">
        <v>2339</v>
      </c>
      <c r="E324" s="13" t="s">
        <v>597</v>
      </c>
      <c r="F324" s="13" t="n">
        <v>2</v>
      </c>
      <c r="G324" s="13" t="n">
        <v>5</v>
      </c>
      <c r="H324" s="5" t="n">
        <v>11550</v>
      </c>
      <c r="I324" s="7" t="n">
        <v>11</v>
      </c>
      <c r="J324" s="16" t="n">
        <v>1050</v>
      </c>
      <c r="K324" s="16"/>
      <c r="L324" s="16" t="n">
        <v>1057.14285714286</v>
      </c>
      <c r="M324" s="16" t="n">
        <v>1037.5</v>
      </c>
      <c r="N324" s="19" t="n">
        <v>0.0189328743545611</v>
      </c>
    </row>
    <row r="325" customFormat="false" ht="15" hidden="false" customHeight="false" outlineLevel="0" collapsed="false">
      <c r="A325" s="13" t="s">
        <v>2731</v>
      </c>
      <c r="B325" s="13" t="s">
        <v>315</v>
      </c>
      <c r="C325" s="13" t="s">
        <v>43</v>
      </c>
      <c r="D325" s="13" t="s">
        <v>2324</v>
      </c>
      <c r="E325" s="13" t="s">
        <v>554</v>
      </c>
      <c r="F325" s="13" t="n">
        <v>1</v>
      </c>
      <c r="G325" s="13" t="n">
        <v>4</v>
      </c>
      <c r="H325" s="5" t="n">
        <v>11420</v>
      </c>
      <c r="I325" s="7" t="n">
        <v>13</v>
      </c>
      <c r="J325" s="16" t="n">
        <v>878.461538461539</v>
      </c>
      <c r="K325" s="16"/>
      <c r="L325" s="16"/>
      <c r="M325" s="16" t="n">
        <v>878.461538461539</v>
      </c>
      <c r="N325" s="19"/>
    </row>
    <row r="326" customFormat="false" ht="15" hidden="false" customHeight="false" outlineLevel="0" collapsed="false">
      <c r="A326" s="13" t="s">
        <v>2732</v>
      </c>
      <c r="B326" s="13" t="s">
        <v>161</v>
      </c>
      <c r="C326" s="13" t="s">
        <v>43</v>
      </c>
      <c r="D326" s="13" t="s">
        <v>2339</v>
      </c>
      <c r="E326" s="13" t="s">
        <v>337</v>
      </c>
      <c r="F326" s="13" t="n">
        <v>1</v>
      </c>
      <c r="G326" s="13" t="n">
        <v>1</v>
      </c>
      <c r="H326" s="5" t="n">
        <v>11400</v>
      </c>
      <c r="I326" s="7" t="n">
        <v>40</v>
      </c>
      <c r="J326" s="16" t="n">
        <v>285</v>
      </c>
      <c r="K326" s="16"/>
      <c r="L326" s="16" t="n">
        <v>285</v>
      </c>
      <c r="M326" s="16"/>
      <c r="N326" s="19"/>
    </row>
    <row r="327" customFormat="false" ht="15" hidden="false" customHeight="false" outlineLevel="0" collapsed="false">
      <c r="A327" s="13" t="s">
        <v>2733</v>
      </c>
      <c r="B327" s="13" t="s">
        <v>42</v>
      </c>
      <c r="C327" s="13" t="s">
        <v>43</v>
      </c>
      <c r="D327" s="13" t="s">
        <v>2324</v>
      </c>
      <c r="E327" s="13" t="s">
        <v>460</v>
      </c>
      <c r="F327" s="13" t="n">
        <v>1</v>
      </c>
      <c r="G327" s="13" t="n">
        <v>3</v>
      </c>
      <c r="H327" s="5" t="n">
        <v>11350</v>
      </c>
      <c r="I327" s="7" t="n">
        <v>11</v>
      </c>
      <c r="J327" s="16" t="n">
        <v>1031.81818181818</v>
      </c>
      <c r="K327" s="16"/>
      <c r="L327" s="16"/>
      <c r="M327" s="16" t="n">
        <v>1031.81818181818</v>
      </c>
      <c r="N327" s="19"/>
    </row>
    <row r="328" customFormat="false" ht="15" hidden="false" customHeight="false" outlineLevel="0" collapsed="false">
      <c r="A328" s="13" t="s">
        <v>2734</v>
      </c>
      <c r="B328" s="13" t="s">
        <v>2100</v>
      </c>
      <c r="C328" s="13" t="s">
        <v>43</v>
      </c>
      <c r="D328" s="13" t="s">
        <v>2327</v>
      </c>
      <c r="E328" s="13" t="s">
        <v>2735</v>
      </c>
      <c r="F328" s="13" t="n">
        <v>2</v>
      </c>
      <c r="G328" s="13" t="n">
        <v>3</v>
      </c>
      <c r="H328" s="5" t="n">
        <v>11340</v>
      </c>
      <c r="I328" s="7" t="n">
        <v>355</v>
      </c>
      <c r="J328" s="16" t="n">
        <v>31.943661971831</v>
      </c>
      <c r="K328" s="16" t="n">
        <v>32</v>
      </c>
      <c r="L328" s="16"/>
      <c r="M328" s="16" t="n">
        <v>28</v>
      </c>
      <c r="N328" s="19" t="n">
        <v>0.142857142857143</v>
      </c>
    </row>
    <row r="329" customFormat="false" ht="15" hidden="false" customHeight="false" outlineLevel="0" collapsed="false">
      <c r="A329" s="13" t="s">
        <v>2736</v>
      </c>
      <c r="B329" s="13" t="s">
        <v>2100</v>
      </c>
      <c r="C329" s="13" t="s">
        <v>85</v>
      </c>
      <c r="D329" s="13" t="s">
        <v>2324</v>
      </c>
      <c r="E329" s="13" t="s">
        <v>2737</v>
      </c>
      <c r="F329" s="13" t="n">
        <v>1</v>
      </c>
      <c r="G329" s="13" t="n">
        <v>1</v>
      </c>
      <c r="H329" s="5" t="n">
        <v>11300</v>
      </c>
      <c r="I329" s="7" t="n">
        <v>230</v>
      </c>
      <c r="J329" s="16" t="n">
        <v>49.1304347826087</v>
      </c>
      <c r="K329" s="16" t="n">
        <v>49.1304347826087</v>
      </c>
      <c r="L329" s="16"/>
      <c r="M329" s="16"/>
      <c r="N329" s="19"/>
    </row>
    <row r="330" customFormat="false" ht="15" hidden="false" customHeight="false" outlineLevel="0" collapsed="false">
      <c r="A330" s="13" t="s">
        <v>2738</v>
      </c>
      <c r="B330" s="13" t="s">
        <v>124</v>
      </c>
      <c r="C330" s="13" t="s">
        <v>43</v>
      </c>
      <c r="D330" s="13" t="s">
        <v>2324</v>
      </c>
      <c r="E330" s="13" t="s">
        <v>418</v>
      </c>
      <c r="F330" s="13" t="n">
        <v>1</v>
      </c>
      <c r="G330" s="13" t="n">
        <v>3</v>
      </c>
      <c r="H330" s="5" t="n">
        <v>11200</v>
      </c>
      <c r="I330" s="7" t="n">
        <v>14</v>
      </c>
      <c r="J330" s="16" t="n">
        <v>800</v>
      </c>
      <c r="K330" s="16"/>
      <c r="L330" s="16"/>
      <c r="M330" s="16" t="n">
        <v>800</v>
      </c>
      <c r="N330" s="19"/>
    </row>
    <row r="331" customFormat="false" ht="15" hidden="false" customHeight="false" outlineLevel="0" collapsed="false">
      <c r="A331" s="13" t="s">
        <v>2739</v>
      </c>
      <c r="B331" s="13" t="s">
        <v>175</v>
      </c>
      <c r="C331" s="13" t="s">
        <v>98</v>
      </c>
      <c r="D331" s="13" t="s">
        <v>2324</v>
      </c>
      <c r="E331" s="13" t="s">
        <v>349</v>
      </c>
      <c r="F331" s="13" t="n">
        <v>1</v>
      </c>
      <c r="G331" s="13" t="n">
        <v>1</v>
      </c>
      <c r="H331" s="5" t="n">
        <v>11000</v>
      </c>
      <c r="I331" s="7" t="n">
        <v>50</v>
      </c>
      <c r="J331" s="16" t="n">
        <v>220</v>
      </c>
      <c r="K331" s="16" t="n">
        <v>220</v>
      </c>
      <c r="L331" s="16"/>
      <c r="M331" s="16"/>
      <c r="N331" s="19"/>
    </row>
    <row r="332" customFormat="false" ht="15" hidden="false" customHeight="false" outlineLevel="0" collapsed="false">
      <c r="A332" s="13" t="s">
        <v>2740</v>
      </c>
      <c r="B332" s="13" t="s">
        <v>362</v>
      </c>
      <c r="C332" s="13" t="s">
        <v>43</v>
      </c>
      <c r="D332" s="13" t="s">
        <v>2339</v>
      </c>
      <c r="E332" s="13" t="s">
        <v>363</v>
      </c>
      <c r="F332" s="13" t="n">
        <v>1</v>
      </c>
      <c r="G332" s="13" t="n">
        <v>2</v>
      </c>
      <c r="H332" s="5" t="n">
        <v>10820</v>
      </c>
      <c r="I332" s="7" t="n">
        <v>21</v>
      </c>
      <c r="J332" s="16" t="n">
        <v>515.238095238095</v>
      </c>
      <c r="K332" s="16"/>
      <c r="L332" s="16" t="n">
        <v>515.238095238095</v>
      </c>
      <c r="M332" s="16"/>
      <c r="N332" s="19"/>
    </row>
    <row r="333" customFormat="false" ht="15" hidden="false" customHeight="false" outlineLevel="0" collapsed="false">
      <c r="A333" s="13" t="s">
        <v>2741</v>
      </c>
      <c r="B333" s="13" t="s">
        <v>42</v>
      </c>
      <c r="C333" s="13" t="s">
        <v>43</v>
      </c>
      <c r="D333" s="13" t="s">
        <v>2360</v>
      </c>
      <c r="E333" s="13" t="s">
        <v>146</v>
      </c>
      <c r="F333" s="13" t="n">
        <v>2</v>
      </c>
      <c r="G333" s="13" t="n">
        <v>2</v>
      </c>
      <c r="H333" s="5" t="n">
        <v>10800</v>
      </c>
      <c r="I333" s="7" t="n">
        <v>12</v>
      </c>
      <c r="J333" s="16" t="n">
        <v>900</v>
      </c>
      <c r="K333" s="16"/>
      <c r="L333" s="16" t="n">
        <v>850</v>
      </c>
      <c r="M333" s="16" t="n">
        <v>910</v>
      </c>
      <c r="N333" s="19" t="n">
        <v>0.0705882352941177</v>
      </c>
    </row>
    <row r="334" customFormat="false" ht="15" hidden="false" customHeight="false" outlineLevel="0" collapsed="false">
      <c r="A334" s="13" t="s">
        <v>2742</v>
      </c>
      <c r="B334" s="13" t="s">
        <v>50</v>
      </c>
      <c r="C334" s="13" t="s">
        <v>43</v>
      </c>
      <c r="D334" s="13" t="s">
        <v>2324</v>
      </c>
      <c r="E334" s="13" t="s">
        <v>417</v>
      </c>
      <c r="F334" s="13" t="n">
        <v>1</v>
      </c>
      <c r="G334" s="13" t="n">
        <v>4</v>
      </c>
      <c r="H334" s="5" t="n">
        <v>10780</v>
      </c>
      <c r="I334" s="7" t="n">
        <v>8</v>
      </c>
      <c r="J334" s="16" t="n">
        <v>1347.5</v>
      </c>
      <c r="K334" s="16"/>
      <c r="L334" s="16" t="n">
        <v>1347.5</v>
      </c>
      <c r="M334" s="16"/>
      <c r="N334" s="19"/>
    </row>
    <row r="335" customFormat="false" ht="15" hidden="false" customHeight="false" outlineLevel="0" collapsed="false">
      <c r="A335" s="13" t="s">
        <v>2743</v>
      </c>
      <c r="B335" s="13" t="s">
        <v>79</v>
      </c>
      <c r="C335" s="13" t="s">
        <v>43</v>
      </c>
      <c r="D335" s="13" t="s">
        <v>2324</v>
      </c>
      <c r="E335" s="13" t="s">
        <v>522</v>
      </c>
      <c r="F335" s="13" t="n">
        <v>2</v>
      </c>
      <c r="G335" s="13" t="n">
        <v>3</v>
      </c>
      <c r="H335" s="5" t="n">
        <v>10760</v>
      </c>
      <c r="I335" s="7" t="n">
        <v>22</v>
      </c>
      <c r="J335" s="16" t="n">
        <v>489.090909090909</v>
      </c>
      <c r="K335" s="16"/>
      <c r="L335" s="16" t="n">
        <v>550</v>
      </c>
      <c r="M335" s="16" t="n">
        <v>438.333333333333</v>
      </c>
      <c r="N335" s="19" t="n">
        <v>0.254752851711027</v>
      </c>
    </row>
    <row r="336" customFormat="false" ht="15" hidden="false" customHeight="false" outlineLevel="0" collapsed="false">
      <c r="A336" s="13" t="s">
        <v>2744</v>
      </c>
      <c r="B336" s="13" t="s">
        <v>69</v>
      </c>
      <c r="C336" s="13" t="s">
        <v>43</v>
      </c>
      <c r="D336" s="13" t="s">
        <v>2324</v>
      </c>
      <c r="E336" s="13" t="s">
        <v>397</v>
      </c>
      <c r="F336" s="13" t="n">
        <v>1</v>
      </c>
      <c r="G336" s="13" t="n">
        <v>2</v>
      </c>
      <c r="H336" s="5" t="n">
        <v>10700</v>
      </c>
      <c r="I336" s="7" t="n">
        <v>7</v>
      </c>
      <c r="J336" s="16" t="n">
        <v>1528.57142857143</v>
      </c>
      <c r="K336" s="16"/>
      <c r="L336" s="16"/>
      <c r="M336" s="16" t="n">
        <v>1528.57142857143</v>
      </c>
      <c r="N336" s="19"/>
    </row>
    <row r="337" customFormat="false" ht="15" hidden="false" customHeight="false" outlineLevel="0" collapsed="false">
      <c r="A337" s="13" t="s">
        <v>2745</v>
      </c>
      <c r="B337" s="13" t="s">
        <v>2095</v>
      </c>
      <c r="C337" s="13" t="s">
        <v>140</v>
      </c>
      <c r="D337" s="13" t="s">
        <v>2324</v>
      </c>
      <c r="E337" s="13" t="s">
        <v>2746</v>
      </c>
      <c r="F337" s="13" t="n">
        <v>1</v>
      </c>
      <c r="G337" s="13" t="n">
        <v>1</v>
      </c>
      <c r="H337" s="5" t="n">
        <v>10700</v>
      </c>
      <c r="I337" s="7" t="n">
        <v>110</v>
      </c>
      <c r="J337" s="16" t="n">
        <v>97.2727272727273</v>
      </c>
      <c r="K337" s="16" t="n">
        <v>97.2727272727273</v>
      </c>
      <c r="L337" s="16"/>
      <c r="M337" s="16"/>
      <c r="N337" s="19"/>
    </row>
    <row r="338" customFormat="false" ht="15" hidden="false" customHeight="false" outlineLevel="0" collapsed="false">
      <c r="A338" s="13" t="s">
        <v>2747</v>
      </c>
      <c r="B338" s="13" t="s">
        <v>117</v>
      </c>
      <c r="C338" s="13" t="s">
        <v>98</v>
      </c>
      <c r="D338" s="13" t="s">
        <v>2324</v>
      </c>
      <c r="E338" s="13" t="s">
        <v>352</v>
      </c>
      <c r="F338" s="13" t="n">
        <v>1</v>
      </c>
      <c r="G338" s="13" t="n">
        <v>1</v>
      </c>
      <c r="H338" s="5" t="n">
        <v>10600</v>
      </c>
      <c r="I338" s="7" t="n">
        <v>10</v>
      </c>
      <c r="J338" s="16" t="n">
        <v>1060</v>
      </c>
      <c r="K338" s="16" t="n">
        <v>1060</v>
      </c>
      <c r="L338" s="16"/>
      <c r="M338" s="16"/>
      <c r="N338" s="19"/>
    </row>
    <row r="339" customFormat="false" ht="15" hidden="false" customHeight="false" outlineLevel="0" collapsed="false">
      <c r="A339" s="13" t="s">
        <v>2748</v>
      </c>
      <c r="B339" s="13" t="s">
        <v>42</v>
      </c>
      <c r="C339" s="13" t="s">
        <v>43</v>
      </c>
      <c r="D339" s="13" t="s">
        <v>2429</v>
      </c>
      <c r="E339" s="13" t="s">
        <v>896</v>
      </c>
      <c r="F339" s="13" t="n">
        <v>2</v>
      </c>
      <c r="G339" s="13" t="n">
        <v>4</v>
      </c>
      <c r="H339" s="5" t="n">
        <v>10600</v>
      </c>
      <c r="I339" s="7" t="n">
        <v>35</v>
      </c>
      <c r="J339" s="16" t="n">
        <v>302.857142857143</v>
      </c>
      <c r="K339" s="16"/>
      <c r="L339" s="16" t="n">
        <v>410</v>
      </c>
      <c r="M339" s="16" t="n">
        <v>260</v>
      </c>
      <c r="N339" s="19" t="n">
        <v>0.576923076923077</v>
      </c>
    </row>
    <row r="340" customFormat="false" ht="15" hidden="false" customHeight="false" outlineLevel="0" collapsed="false">
      <c r="A340" s="13" t="s">
        <v>2749</v>
      </c>
      <c r="B340" s="13" t="s">
        <v>45</v>
      </c>
      <c r="C340" s="13" t="s">
        <v>43</v>
      </c>
      <c r="D340" s="13" t="s">
        <v>2324</v>
      </c>
      <c r="E340" s="13" t="s">
        <v>113</v>
      </c>
      <c r="F340" s="13" t="n">
        <v>2</v>
      </c>
      <c r="G340" s="13" t="n">
        <v>5</v>
      </c>
      <c r="H340" s="5" t="n">
        <v>10530</v>
      </c>
      <c r="I340" s="7" t="n">
        <v>11</v>
      </c>
      <c r="J340" s="16" t="n">
        <v>957.272727272727</v>
      </c>
      <c r="K340" s="16"/>
      <c r="L340" s="16" t="n">
        <v>830</v>
      </c>
      <c r="M340" s="16" t="n">
        <v>970</v>
      </c>
      <c r="N340" s="19" t="n">
        <v>0.168674698795181</v>
      </c>
    </row>
    <row r="341" customFormat="false" ht="15" hidden="false" customHeight="false" outlineLevel="0" collapsed="false">
      <c r="A341" s="13" t="s">
        <v>2750</v>
      </c>
      <c r="B341" s="13" t="s">
        <v>2156</v>
      </c>
      <c r="C341" s="13" t="s">
        <v>43</v>
      </c>
      <c r="D341" s="13" t="s">
        <v>2751</v>
      </c>
      <c r="E341" s="13" t="s">
        <v>2752</v>
      </c>
      <c r="F341" s="13" t="n">
        <v>1</v>
      </c>
      <c r="G341" s="13" t="n">
        <v>2</v>
      </c>
      <c r="H341" s="5" t="n">
        <v>10500</v>
      </c>
      <c r="I341" s="7" t="n">
        <v>30</v>
      </c>
      <c r="J341" s="16" t="n">
        <v>350</v>
      </c>
      <c r="K341" s="16" t="n">
        <v>350</v>
      </c>
      <c r="L341" s="16"/>
      <c r="M341" s="16"/>
      <c r="N341" s="19"/>
    </row>
    <row r="342" customFormat="false" ht="15" hidden="false" customHeight="false" outlineLevel="0" collapsed="false">
      <c r="A342" s="13" t="s">
        <v>2753</v>
      </c>
      <c r="B342" s="13" t="s">
        <v>97</v>
      </c>
      <c r="C342" s="13" t="s">
        <v>98</v>
      </c>
      <c r="D342" s="13" t="s">
        <v>2324</v>
      </c>
      <c r="E342" s="13" t="s">
        <v>99</v>
      </c>
      <c r="F342" s="13" t="n">
        <v>1</v>
      </c>
      <c r="G342" s="13" t="n">
        <v>1</v>
      </c>
      <c r="H342" s="5" t="n">
        <v>10500</v>
      </c>
      <c r="I342" s="7" t="n">
        <v>100</v>
      </c>
      <c r="J342" s="16" t="n">
        <v>105</v>
      </c>
      <c r="K342" s="16" t="n">
        <v>105</v>
      </c>
      <c r="L342" s="16"/>
      <c r="M342" s="16"/>
      <c r="N342" s="19"/>
    </row>
    <row r="343" customFormat="false" ht="15" hidden="false" customHeight="false" outlineLevel="0" collapsed="false">
      <c r="A343" s="13" t="s">
        <v>2754</v>
      </c>
      <c r="B343" s="13" t="s">
        <v>72</v>
      </c>
      <c r="C343" s="13" t="s">
        <v>43</v>
      </c>
      <c r="D343" s="13" t="s">
        <v>2324</v>
      </c>
      <c r="E343" s="13" t="s">
        <v>357</v>
      </c>
      <c r="F343" s="13" t="n">
        <v>1</v>
      </c>
      <c r="G343" s="13" t="n">
        <v>1</v>
      </c>
      <c r="H343" s="5" t="n">
        <v>10400</v>
      </c>
      <c r="I343" s="7" t="n">
        <v>10</v>
      </c>
      <c r="J343" s="16" t="n">
        <v>1040</v>
      </c>
      <c r="K343" s="16"/>
      <c r="L343" s="16"/>
      <c r="M343" s="16" t="n">
        <v>1040</v>
      </c>
      <c r="N343" s="19"/>
    </row>
    <row r="344" customFormat="false" ht="15" hidden="false" customHeight="false" outlineLevel="0" collapsed="false">
      <c r="A344" s="13" t="s">
        <v>2755</v>
      </c>
      <c r="B344" s="13" t="s">
        <v>2097</v>
      </c>
      <c r="C344" s="13" t="s">
        <v>85</v>
      </c>
      <c r="D344" s="13" t="s">
        <v>2324</v>
      </c>
      <c r="E344" s="13" t="s">
        <v>2756</v>
      </c>
      <c r="F344" s="13" t="n">
        <v>1</v>
      </c>
      <c r="G344" s="13" t="n">
        <v>2</v>
      </c>
      <c r="H344" s="5" t="n">
        <v>10400</v>
      </c>
      <c r="I344" s="7" t="n">
        <v>200</v>
      </c>
      <c r="J344" s="16" t="n">
        <v>52</v>
      </c>
      <c r="K344" s="16" t="n">
        <v>52</v>
      </c>
      <c r="L344" s="16"/>
      <c r="M344" s="16"/>
      <c r="N344" s="19"/>
    </row>
    <row r="345" customFormat="false" ht="15" hidden="false" customHeight="false" outlineLevel="0" collapsed="false">
      <c r="A345" s="13" t="s">
        <v>2757</v>
      </c>
      <c r="B345" s="13" t="s">
        <v>111</v>
      </c>
      <c r="C345" s="13" t="s">
        <v>43</v>
      </c>
      <c r="D345" s="13" t="s">
        <v>2324</v>
      </c>
      <c r="E345" s="13" t="s">
        <v>375</v>
      </c>
      <c r="F345" s="13" t="n">
        <v>2</v>
      </c>
      <c r="G345" s="13" t="n">
        <v>2</v>
      </c>
      <c r="H345" s="5" t="n">
        <v>10400</v>
      </c>
      <c r="I345" s="7" t="n">
        <v>22</v>
      </c>
      <c r="J345" s="16" t="n">
        <v>472.727272727273</v>
      </c>
      <c r="K345" s="16" t="n">
        <v>470</v>
      </c>
      <c r="L345" s="16" t="n">
        <v>500</v>
      </c>
      <c r="M345" s="16"/>
      <c r="N345" s="19" t="n">
        <v>0.0638297872340426</v>
      </c>
    </row>
    <row r="346" customFormat="false" ht="15" hidden="false" customHeight="false" outlineLevel="0" collapsed="false">
      <c r="A346" s="13" t="s">
        <v>2758</v>
      </c>
      <c r="B346" s="13" t="s">
        <v>50</v>
      </c>
      <c r="C346" s="13" t="s">
        <v>43</v>
      </c>
      <c r="D346" s="13" t="s">
        <v>2324</v>
      </c>
      <c r="E346" s="13" t="s">
        <v>644</v>
      </c>
      <c r="F346" s="13" t="n">
        <v>2</v>
      </c>
      <c r="G346" s="13" t="n">
        <v>4</v>
      </c>
      <c r="H346" s="5" t="n">
        <v>10400</v>
      </c>
      <c r="I346" s="7" t="n">
        <v>14</v>
      </c>
      <c r="J346" s="16" t="n">
        <v>742.857142857143</v>
      </c>
      <c r="K346" s="16"/>
      <c r="L346" s="16" t="n">
        <v>691.666666666667</v>
      </c>
      <c r="M346" s="16" t="n">
        <v>1050</v>
      </c>
      <c r="N346" s="19" t="n">
        <v>0.518072289156627</v>
      </c>
    </row>
    <row r="347" customFormat="false" ht="15" hidden="false" customHeight="false" outlineLevel="0" collapsed="false">
      <c r="A347" s="13" t="s">
        <v>2759</v>
      </c>
      <c r="B347" s="13" t="s">
        <v>195</v>
      </c>
      <c r="C347" s="13" t="s">
        <v>43</v>
      </c>
      <c r="D347" s="13" t="s">
        <v>2422</v>
      </c>
      <c r="E347" s="13" t="s">
        <v>512</v>
      </c>
      <c r="F347" s="13" t="n">
        <v>3</v>
      </c>
      <c r="G347" s="13" t="n">
        <v>5</v>
      </c>
      <c r="H347" s="5" t="n">
        <v>10390</v>
      </c>
      <c r="I347" s="7" t="n">
        <v>28</v>
      </c>
      <c r="J347" s="16" t="n">
        <v>371.071428571429</v>
      </c>
      <c r="K347" s="16" t="n">
        <v>700</v>
      </c>
      <c r="L347" s="16" t="n">
        <v>440</v>
      </c>
      <c r="M347" s="16" t="n">
        <v>293.181818181818</v>
      </c>
      <c r="N347" s="19" t="n">
        <v>1.38759689922481</v>
      </c>
    </row>
    <row r="348" customFormat="false" ht="15" hidden="false" customHeight="false" outlineLevel="0" collapsed="false">
      <c r="A348" s="13" t="s">
        <v>2760</v>
      </c>
      <c r="B348" s="13" t="s">
        <v>42</v>
      </c>
      <c r="C348" s="13" t="s">
        <v>43</v>
      </c>
      <c r="D348" s="13" t="s">
        <v>2339</v>
      </c>
      <c r="E348" s="13" t="s">
        <v>444</v>
      </c>
      <c r="F348" s="13" t="n">
        <v>1</v>
      </c>
      <c r="G348" s="13" t="n">
        <v>3</v>
      </c>
      <c r="H348" s="5" t="n">
        <v>10390</v>
      </c>
      <c r="I348" s="7" t="n">
        <v>13</v>
      </c>
      <c r="J348" s="16" t="n">
        <v>799.230769230769</v>
      </c>
      <c r="K348" s="16"/>
      <c r="L348" s="16" t="n">
        <v>799.230769230769</v>
      </c>
      <c r="M348" s="16"/>
      <c r="N348" s="19"/>
    </row>
    <row r="349" customFormat="false" ht="15" hidden="false" customHeight="false" outlineLevel="0" collapsed="false">
      <c r="A349" s="13" t="s">
        <v>2761</v>
      </c>
      <c r="B349" s="13" t="s">
        <v>42</v>
      </c>
      <c r="C349" s="13" t="s">
        <v>43</v>
      </c>
      <c r="D349" s="13" t="s">
        <v>2324</v>
      </c>
      <c r="E349" s="13" t="s">
        <v>497</v>
      </c>
      <c r="F349" s="13" t="n">
        <v>1</v>
      </c>
      <c r="G349" s="13" t="n">
        <v>3</v>
      </c>
      <c r="H349" s="5" t="n">
        <v>10340</v>
      </c>
      <c r="I349" s="7" t="n">
        <v>11</v>
      </c>
      <c r="J349" s="16" t="n">
        <v>940</v>
      </c>
      <c r="K349" s="16"/>
      <c r="L349" s="16" t="n">
        <v>940</v>
      </c>
      <c r="M349" s="16"/>
      <c r="N349" s="19"/>
    </row>
    <row r="350" customFormat="false" ht="15" hidden="false" customHeight="false" outlineLevel="0" collapsed="false">
      <c r="A350" s="13" t="s">
        <v>2762</v>
      </c>
      <c r="B350" s="13" t="s">
        <v>79</v>
      </c>
      <c r="C350" s="13" t="s">
        <v>43</v>
      </c>
      <c r="D350" s="13" t="s">
        <v>2324</v>
      </c>
      <c r="E350" s="13" t="s">
        <v>486</v>
      </c>
      <c r="F350" s="13" t="n">
        <v>1</v>
      </c>
      <c r="G350" s="13" t="n">
        <v>2</v>
      </c>
      <c r="H350" s="5" t="n">
        <v>10300</v>
      </c>
      <c r="I350" s="7" t="n">
        <v>15</v>
      </c>
      <c r="J350" s="16" t="n">
        <v>686.666666666667</v>
      </c>
      <c r="K350" s="16"/>
      <c r="L350" s="16"/>
      <c r="M350" s="16" t="n">
        <v>686.666666666667</v>
      </c>
      <c r="N350" s="19"/>
    </row>
    <row r="351" customFormat="false" ht="15" hidden="false" customHeight="false" outlineLevel="0" collapsed="false">
      <c r="A351" s="13" t="s">
        <v>2763</v>
      </c>
      <c r="B351" s="13" t="s">
        <v>50</v>
      </c>
      <c r="C351" s="13" t="s">
        <v>43</v>
      </c>
      <c r="D351" s="13" t="s">
        <v>2327</v>
      </c>
      <c r="E351" s="13" t="s">
        <v>461</v>
      </c>
      <c r="F351" s="13" t="n">
        <v>1</v>
      </c>
      <c r="G351" s="13" t="n">
        <v>4</v>
      </c>
      <c r="H351" s="5" t="n">
        <v>10280</v>
      </c>
      <c r="I351" s="7" t="n">
        <v>9</v>
      </c>
      <c r="J351" s="16" t="n">
        <v>1142.22222222222</v>
      </c>
      <c r="K351" s="16"/>
      <c r="L351" s="16" t="n">
        <v>1142.22222222222</v>
      </c>
      <c r="M351" s="16"/>
      <c r="N351" s="19"/>
    </row>
    <row r="352" customFormat="false" ht="15" hidden="false" customHeight="false" outlineLevel="0" collapsed="false">
      <c r="A352" s="13" t="s">
        <v>2764</v>
      </c>
      <c r="B352" s="13" t="s">
        <v>61</v>
      </c>
      <c r="C352" s="13" t="s">
        <v>43</v>
      </c>
      <c r="D352" s="13" t="s">
        <v>2324</v>
      </c>
      <c r="E352" s="13" t="s">
        <v>231</v>
      </c>
      <c r="F352" s="13" t="n">
        <v>1</v>
      </c>
      <c r="G352" s="13" t="n">
        <v>2</v>
      </c>
      <c r="H352" s="5" t="n">
        <v>10230</v>
      </c>
      <c r="I352" s="7" t="n">
        <v>32</v>
      </c>
      <c r="J352" s="16" t="n">
        <v>319.6875</v>
      </c>
      <c r="K352" s="16"/>
      <c r="L352" s="16"/>
      <c r="M352" s="16" t="n">
        <v>319.6875</v>
      </c>
      <c r="N352" s="19"/>
    </row>
    <row r="353" customFormat="false" ht="15" hidden="false" customHeight="false" outlineLevel="0" collapsed="false">
      <c r="A353" s="13" t="s">
        <v>2765</v>
      </c>
      <c r="B353" s="13" t="s">
        <v>302</v>
      </c>
      <c r="C353" s="13" t="s">
        <v>43</v>
      </c>
      <c r="D353" s="13" t="s">
        <v>2324</v>
      </c>
      <c r="E353" s="13" t="s">
        <v>364</v>
      </c>
      <c r="F353" s="13" t="n">
        <v>1</v>
      </c>
      <c r="G353" s="13" t="n">
        <v>1</v>
      </c>
      <c r="H353" s="5" t="n">
        <v>10100</v>
      </c>
      <c r="I353" s="7" t="n">
        <v>20</v>
      </c>
      <c r="J353" s="16" t="n">
        <v>505</v>
      </c>
      <c r="K353" s="16" t="n">
        <v>505</v>
      </c>
      <c r="L353" s="16"/>
      <c r="M353" s="16"/>
      <c r="N353" s="19"/>
    </row>
    <row r="354" customFormat="false" ht="15" hidden="false" customHeight="false" outlineLevel="0" collapsed="false">
      <c r="A354" s="13" t="s">
        <v>2766</v>
      </c>
      <c r="B354" s="13" t="s">
        <v>45</v>
      </c>
      <c r="C354" s="13" t="s">
        <v>43</v>
      </c>
      <c r="D354" s="13" t="s">
        <v>2324</v>
      </c>
      <c r="E354" s="13" t="s">
        <v>892</v>
      </c>
      <c r="F354" s="13" t="n">
        <v>2</v>
      </c>
      <c r="G354" s="13" t="n">
        <v>2</v>
      </c>
      <c r="H354" s="5" t="n">
        <v>10100</v>
      </c>
      <c r="I354" s="7" t="n">
        <v>12</v>
      </c>
      <c r="J354" s="16" t="n">
        <v>841.666666666667</v>
      </c>
      <c r="K354" s="16"/>
      <c r="L354" s="16" t="n">
        <v>1050</v>
      </c>
      <c r="M354" s="16" t="n">
        <v>800</v>
      </c>
      <c r="N354" s="19" t="n">
        <v>0.3125</v>
      </c>
    </row>
    <row r="355" customFormat="false" ht="15" hidden="false" customHeight="false" outlineLevel="0" collapsed="false">
      <c r="A355" s="13" t="s">
        <v>2767</v>
      </c>
      <c r="B355" s="13" t="s">
        <v>315</v>
      </c>
      <c r="C355" s="13" t="s">
        <v>43</v>
      </c>
      <c r="D355" s="13" t="s">
        <v>2324</v>
      </c>
      <c r="E355" s="13" t="s">
        <v>316</v>
      </c>
      <c r="F355" s="13" t="n">
        <v>1</v>
      </c>
      <c r="G355" s="13" t="n">
        <v>2</v>
      </c>
      <c r="H355" s="5" t="n">
        <v>10100</v>
      </c>
      <c r="I355" s="7" t="n">
        <v>12</v>
      </c>
      <c r="J355" s="16" t="n">
        <v>841.666666666667</v>
      </c>
      <c r="K355" s="16"/>
      <c r="L355" s="16"/>
      <c r="M355" s="16" t="n">
        <v>841.666666666667</v>
      </c>
      <c r="N355" s="19"/>
    </row>
    <row r="356" customFormat="false" ht="15" hidden="false" customHeight="false" outlineLevel="0" collapsed="false">
      <c r="A356" s="13" t="s">
        <v>2768</v>
      </c>
      <c r="B356" s="13" t="s">
        <v>50</v>
      </c>
      <c r="C356" s="13" t="s">
        <v>43</v>
      </c>
      <c r="D356" s="13" t="s">
        <v>2339</v>
      </c>
      <c r="E356" s="13" t="s">
        <v>523</v>
      </c>
      <c r="F356" s="13" t="n">
        <v>1</v>
      </c>
      <c r="G356" s="13" t="n">
        <v>3</v>
      </c>
      <c r="H356" s="5" t="n">
        <v>10090</v>
      </c>
      <c r="I356" s="7" t="n">
        <v>11</v>
      </c>
      <c r="J356" s="16" t="n">
        <v>917.272727272727</v>
      </c>
      <c r="K356" s="16"/>
      <c r="L356" s="16" t="n">
        <v>917.272727272727</v>
      </c>
      <c r="M356" s="16"/>
      <c r="N356" s="19"/>
    </row>
    <row r="357" customFormat="false" ht="15" hidden="false" customHeight="false" outlineLevel="0" collapsed="false">
      <c r="A357" s="13" t="s">
        <v>2769</v>
      </c>
      <c r="B357" s="13" t="s">
        <v>79</v>
      </c>
      <c r="C357" s="13" t="s">
        <v>43</v>
      </c>
      <c r="D357" s="13" t="s">
        <v>2422</v>
      </c>
      <c r="E357" s="13" t="s">
        <v>927</v>
      </c>
      <c r="F357" s="13" t="n">
        <v>2</v>
      </c>
      <c r="G357" s="13" t="n">
        <v>5</v>
      </c>
      <c r="H357" s="5" t="n">
        <v>10080</v>
      </c>
      <c r="I357" s="7" t="n">
        <v>23</v>
      </c>
      <c r="J357" s="16" t="n">
        <v>438.260869565217</v>
      </c>
      <c r="K357" s="16"/>
      <c r="L357" s="16" t="n">
        <v>442.857142857143</v>
      </c>
      <c r="M357" s="16" t="n">
        <v>436.25</v>
      </c>
      <c r="N357" s="19" t="n">
        <v>0.0151453131395824</v>
      </c>
    </row>
    <row r="358" customFormat="false" ht="15" hidden="false" customHeight="false" outlineLevel="0" collapsed="false">
      <c r="A358" s="13" t="s">
        <v>2770</v>
      </c>
      <c r="B358" s="13" t="s">
        <v>50</v>
      </c>
      <c r="C358" s="13" t="s">
        <v>43</v>
      </c>
      <c r="D358" s="13" t="s">
        <v>2324</v>
      </c>
      <c r="E358" s="13" t="s">
        <v>378</v>
      </c>
      <c r="F358" s="13" t="n">
        <v>1</v>
      </c>
      <c r="G358" s="13" t="n">
        <v>2</v>
      </c>
      <c r="H358" s="5" t="n">
        <v>10060</v>
      </c>
      <c r="I358" s="7" t="n">
        <v>11</v>
      </c>
      <c r="J358" s="16" t="n">
        <v>914.545454545455</v>
      </c>
      <c r="K358" s="16"/>
      <c r="L358" s="16" t="n">
        <v>914.545454545455</v>
      </c>
      <c r="M358" s="16"/>
      <c r="N358" s="19"/>
    </row>
    <row r="359" customFormat="false" ht="15" hidden="false" customHeight="false" outlineLevel="0" collapsed="false">
      <c r="A359" s="13" t="s">
        <v>2771</v>
      </c>
      <c r="B359" s="13" t="s">
        <v>2158</v>
      </c>
      <c r="C359" s="13" t="s">
        <v>43</v>
      </c>
      <c r="D359" s="13" t="s">
        <v>2324</v>
      </c>
      <c r="E359" s="13" t="s">
        <v>2772</v>
      </c>
      <c r="F359" s="13" t="n">
        <v>1</v>
      </c>
      <c r="G359" s="13" t="n">
        <v>1</v>
      </c>
      <c r="H359" s="5" t="n">
        <v>10000</v>
      </c>
      <c r="I359" s="7" t="n">
        <v>150</v>
      </c>
      <c r="J359" s="16" t="n">
        <v>66.6666666666667</v>
      </c>
      <c r="K359" s="16" t="n">
        <v>66.6666666666667</v>
      </c>
      <c r="L359" s="16"/>
      <c r="M359" s="16"/>
      <c r="N359" s="19"/>
    </row>
    <row r="360" customFormat="false" ht="15" hidden="false" customHeight="false" outlineLevel="0" collapsed="false">
      <c r="A360" s="13" t="s">
        <v>2773</v>
      </c>
      <c r="B360" s="13" t="s">
        <v>365</v>
      </c>
      <c r="C360" s="13" t="s">
        <v>43</v>
      </c>
      <c r="D360" s="13" t="s">
        <v>2324</v>
      </c>
      <c r="E360" s="13" t="s">
        <v>366</v>
      </c>
      <c r="F360" s="13" t="n">
        <v>1</v>
      </c>
      <c r="G360" s="13" t="n">
        <v>1</v>
      </c>
      <c r="H360" s="5" t="n">
        <v>10000</v>
      </c>
      <c r="I360" s="7" t="n">
        <v>30</v>
      </c>
      <c r="J360" s="16" t="n">
        <v>333.333333333333</v>
      </c>
      <c r="K360" s="16" t="n">
        <v>333.333333333333</v>
      </c>
      <c r="L360" s="16"/>
      <c r="M360" s="16"/>
      <c r="N360" s="19"/>
    </row>
    <row r="361" customFormat="false" ht="15" hidden="false" customHeight="false" outlineLevel="0" collapsed="false">
      <c r="A361" s="13" t="s">
        <v>2774</v>
      </c>
      <c r="B361" s="13" t="s">
        <v>2095</v>
      </c>
      <c r="C361" s="13" t="s">
        <v>140</v>
      </c>
      <c r="D361" s="13" t="s">
        <v>2324</v>
      </c>
      <c r="E361" s="13" t="s">
        <v>2775</v>
      </c>
      <c r="F361" s="13" t="n">
        <v>1</v>
      </c>
      <c r="G361" s="13" t="n">
        <v>1</v>
      </c>
      <c r="H361" s="5" t="n">
        <v>10000</v>
      </c>
      <c r="I361" s="7" t="n">
        <v>150</v>
      </c>
      <c r="J361" s="16" t="n">
        <v>66.6666666666667</v>
      </c>
      <c r="K361" s="16" t="n">
        <v>66.6666666666667</v>
      </c>
      <c r="L361" s="16"/>
      <c r="M361" s="16"/>
      <c r="N361" s="19"/>
    </row>
    <row r="362" customFormat="false" ht="15" hidden="false" customHeight="false" outlineLevel="0" collapsed="false">
      <c r="A362" s="13" t="s">
        <v>2776</v>
      </c>
      <c r="B362" s="13" t="s">
        <v>45</v>
      </c>
      <c r="C362" s="13" t="s">
        <v>43</v>
      </c>
      <c r="D362" s="13" t="s">
        <v>2327</v>
      </c>
      <c r="E362" s="13" t="s">
        <v>928</v>
      </c>
      <c r="F362" s="13" t="n">
        <v>1</v>
      </c>
      <c r="G362" s="13" t="n">
        <v>2</v>
      </c>
      <c r="H362" s="5" t="n">
        <v>9900</v>
      </c>
      <c r="I362" s="7" t="n">
        <v>7</v>
      </c>
      <c r="J362" s="16" t="n">
        <v>1414.28571428571</v>
      </c>
      <c r="K362" s="16"/>
      <c r="L362" s="16" t="n">
        <v>1414.28571428571</v>
      </c>
      <c r="M362" s="16"/>
      <c r="N362" s="19"/>
    </row>
    <row r="363" customFormat="false" ht="15" hidden="false" customHeight="false" outlineLevel="0" collapsed="false">
      <c r="A363" s="13" t="s">
        <v>2777</v>
      </c>
      <c r="B363" s="13" t="s">
        <v>50</v>
      </c>
      <c r="C363" s="13" t="s">
        <v>43</v>
      </c>
      <c r="D363" s="13" t="s">
        <v>2324</v>
      </c>
      <c r="E363" s="13" t="s">
        <v>110</v>
      </c>
      <c r="F363" s="13" t="n">
        <v>1</v>
      </c>
      <c r="G363" s="13" t="n">
        <v>1</v>
      </c>
      <c r="H363" s="5" t="n">
        <v>9900</v>
      </c>
      <c r="I363" s="7" t="n">
        <v>10</v>
      </c>
      <c r="J363" s="16" t="n">
        <v>990</v>
      </c>
      <c r="K363" s="16"/>
      <c r="L363" s="16"/>
      <c r="M363" s="16" t="n">
        <v>990</v>
      </c>
      <c r="N363" s="19"/>
    </row>
    <row r="364" customFormat="false" ht="15" hidden="false" customHeight="false" outlineLevel="0" collapsed="false">
      <c r="A364" s="13" t="s">
        <v>2778</v>
      </c>
      <c r="B364" s="13" t="s">
        <v>153</v>
      </c>
      <c r="C364" s="13" t="s">
        <v>43</v>
      </c>
      <c r="D364" s="13" t="s">
        <v>2339</v>
      </c>
      <c r="E364" s="13" t="s">
        <v>543</v>
      </c>
      <c r="F364" s="13" t="n">
        <v>2</v>
      </c>
      <c r="G364" s="13" t="n">
        <v>3</v>
      </c>
      <c r="H364" s="5" t="n">
        <v>9820</v>
      </c>
      <c r="I364" s="7" t="n">
        <v>11</v>
      </c>
      <c r="J364" s="16" t="n">
        <v>892.727272727273</v>
      </c>
      <c r="K364" s="16"/>
      <c r="L364" s="16" t="n">
        <v>953.333333333333</v>
      </c>
      <c r="M364" s="16" t="n">
        <v>820</v>
      </c>
      <c r="N364" s="19" t="n">
        <v>0.16260162601626</v>
      </c>
    </row>
    <row r="365" customFormat="false" ht="15" hidden="false" customHeight="false" outlineLevel="0" collapsed="false">
      <c r="A365" s="13" t="s">
        <v>2779</v>
      </c>
      <c r="B365" s="13" t="s">
        <v>126</v>
      </c>
      <c r="C365" s="13" t="s">
        <v>43</v>
      </c>
      <c r="D365" s="13" t="s">
        <v>2751</v>
      </c>
      <c r="E365" s="13" t="s">
        <v>388</v>
      </c>
      <c r="F365" s="13" t="n">
        <v>1</v>
      </c>
      <c r="G365" s="13" t="n">
        <v>2</v>
      </c>
      <c r="H365" s="5" t="n">
        <v>9810</v>
      </c>
      <c r="I365" s="7" t="n">
        <v>52</v>
      </c>
      <c r="J365" s="16" t="n">
        <v>188.653846153846</v>
      </c>
      <c r="K365" s="16"/>
      <c r="L365" s="16" t="n">
        <v>188.653846153846</v>
      </c>
      <c r="M365" s="16"/>
      <c r="N365" s="19"/>
    </row>
    <row r="366" customFormat="false" ht="15" hidden="false" customHeight="false" outlineLevel="0" collapsed="false">
      <c r="A366" s="13" t="s">
        <v>2780</v>
      </c>
      <c r="B366" s="13" t="s">
        <v>229</v>
      </c>
      <c r="C366" s="13" t="s">
        <v>43</v>
      </c>
      <c r="D366" s="13" t="s">
        <v>2322</v>
      </c>
      <c r="E366" s="13" t="s">
        <v>377</v>
      </c>
      <c r="F366" s="13" t="n">
        <v>2</v>
      </c>
      <c r="G366" s="13" t="n">
        <v>2</v>
      </c>
      <c r="H366" s="5" t="n">
        <v>9810</v>
      </c>
      <c r="I366" s="7" t="n">
        <v>62</v>
      </c>
      <c r="J366" s="16" t="n">
        <v>158.225806451613</v>
      </c>
      <c r="K366" s="16" t="n">
        <v>156.666666666667</v>
      </c>
      <c r="L366" s="16" t="n">
        <v>205</v>
      </c>
      <c r="M366" s="16"/>
      <c r="N366" s="19" t="n">
        <v>0.308510638297872</v>
      </c>
    </row>
    <row r="367" customFormat="false" ht="15" hidden="false" customHeight="false" outlineLevel="0" collapsed="false">
      <c r="A367" s="13" t="s">
        <v>2781</v>
      </c>
      <c r="B367" s="13" t="s">
        <v>2095</v>
      </c>
      <c r="C367" s="13" t="s">
        <v>140</v>
      </c>
      <c r="D367" s="13" t="s">
        <v>2324</v>
      </c>
      <c r="E367" s="13" t="s">
        <v>2782</v>
      </c>
      <c r="F367" s="13" t="n">
        <v>1</v>
      </c>
      <c r="G367" s="13" t="n">
        <v>1</v>
      </c>
      <c r="H367" s="5" t="n">
        <v>9800</v>
      </c>
      <c r="I367" s="7" t="n">
        <v>160</v>
      </c>
      <c r="J367" s="16" t="n">
        <v>61.25</v>
      </c>
      <c r="K367" s="16" t="n">
        <v>61.25</v>
      </c>
      <c r="L367" s="16"/>
      <c r="M367" s="16"/>
      <c r="N367" s="19"/>
    </row>
    <row r="368" customFormat="false" ht="15" hidden="false" customHeight="false" outlineLevel="0" collapsed="false">
      <c r="A368" s="13" t="s">
        <v>2783</v>
      </c>
      <c r="B368" s="13" t="s">
        <v>2107</v>
      </c>
      <c r="C368" s="13" t="s">
        <v>43</v>
      </c>
      <c r="D368" s="13" t="s">
        <v>2339</v>
      </c>
      <c r="E368" s="13" t="s">
        <v>2784</v>
      </c>
      <c r="F368" s="13" t="n">
        <v>1</v>
      </c>
      <c r="G368" s="13" t="n">
        <v>1</v>
      </c>
      <c r="H368" s="5" t="n">
        <v>9800</v>
      </c>
      <c r="I368" s="7" t="n">
        <v>120</v>
      </c>
      <c r="J368" s="16" t="n">
        <v>81.6666666666667</v>
      </c>
      <c r="K368" s="16" t="n">
        <v>81.6666666666667</v>
      </c>
      <c r="L368" s="16"/>
      <c r="M368" s="16"/>
      <c r="N368" s="19"/>
    </row>
    <row r="369" customFormat="false" ht="15" hidden="false" customHeight="false" outlineLevel="0" collapsed="false">
      <c r="A369" s="13" t="s">
        <v>2785</v>
      </c>
      <c r="B369" s="13" t="s">
        <v>177</v>
      </c>
      <c r="C369" s="13" t="s">
        <v>43</v>
      </c>
      <c r="D369" s="13" t="s">
        <v>2455</v>
      </c>
      <c r="E369" s="13" t="s">
        <v>451</v>
      </c>
      <c r="F369" s="13" t="n">
        <v>2</v>
      </c>
      <c r="G369" s="13" t="n">
        <v>3</v>
      </c>
      <c r="H369" s="5" t="n">
        <v>9720</v>
      </c>
      <c r="I369" s="7" t="n">
        <v>8</v>
      </c>
      <c r="J369" s="16" t="n">
        <v>1215</v>
      </c>
      <c r="K369" s="16"/>
      <c r="L369" s="16" t="n">
        <v>1460</v>
      </c>
      <c r="M369" s="16" t="n">
        <v>806.666666666667</v>
      </c>
      <c r="N369" s="19" t="n">
        <v>0.809917355371901</v>
      </c>
    </row>
    <row r="370" customFormat="false" ht="15" hidden="false" customHeight="false" outlineLevel="0" collapsed="false">
      <c r="A370" s="13" t="s">
        <v>2786</v>
      </c>
      <c r="B370" s="13" t="s">
        <v>79</v>
      </c>
      <c r="C370" s="13" t="s">
        <v>43</v>
      </c>
      <c r="D370" s="13" t="s">
        <v>2324</v>
      </c>
      <c r="E370" s="13" t="s">
        <v>469</v>
      </c>
      <c r="F370" s="13" t="n">
        <v>1</v>
      </c>
      <c r="G370" s="13" t="n">
        <v>2</v>
      </c>
      <c r="H370" s="5" t="n">
        <v>9700</v>
      </c>
      <c r="I370" s="7" t="n">
        <v>7</v>
      </c>
      <c r="J370" s="16" t="n">
        <v>1385.71428571429</v>
      </c>
      <c r="K370" s="16"/>
      <c r="L370" s="16" t="n">
        <v>1385.71428571429</v>
      </c>
      <c r="M370" s="16"/>
      <c r="N370" s="19"/>
    </row>
    <row r="371" customFormat="false" ht="15" hidden="false" customHeight="false" outlineLevel="0" collapsed="false">
      <c r="A371" s="13" t="s">
        <v>2787</v>
      </c>
      <c r="B371" s="13" t="s">
        <v>2096</v>
      </c>
      <c r="C371" s="13" t="s">
        <v>43</v>
      </c>
      <c r="D371" s="13" t="s">
        <v>2751</v>
      </c>
      <c r="E371" s="13" t="s">
        <v>2788</v>
      </c>
      <c r="F371" s="13" t="n">
        <v>1</v>
      </c>
      <c r="G371" s="13" t="n">
        <v>1</v>
      </c>
      <c r="H371" s="5" t="n">
        <v>9700</v>
      </c>
      <c r="I371" s="7" t="n">
        <v>60</v>
      </c>
      <c r="J371" s="16" t="n">
        <v>161.666666666667</v>
      </c>
      <c r="K371" s="16" t="n">
        <v>161.666666666667</v>
      </c>
      <c r="L371" s="16"/>
      <c r="M371" s="16"/>
      <c r="N371" s="19"/>
    </row>
    <row r="372" customFormat="false" ht="15" hidden="false" customHeight="false" outlineLevel="0" collapsed="false">
      <c r="A372" s="13" t="s">
        <v>2789</v>
      </c>
      <c r="B372" s="13" t="s">
        <v>302</v>
      </c>
      <c r="C372" s="13" t="s">
        <v>43</v>
      </c>
      <c r="D372" s="13" t="s">
        <v>2339</v>
      </c>
      <c r="E372" s="13" t="s">
        <v>372</v>
      </c>
      <c r="F372" s="13" t="n">
        <v>1</v>
      </c>
      <c r="G372" s="13" t="n">
        <v>1</v>
      </c>
      <c r="H372" s="5" t="n">
        <v>9700</v>
      </c>
      <c r="I372" s="7" t="n">
        <v>20</v>
      </c>
      <c r="J372" s="16" t="n">
        <v>485</v>
      </c>
      <c r="K372" s="16" t="n">
        <v>485</v>
      </c>
      <c r="L372" s="16"/>
      <c r="M372" s="16"/>
      <c r="N372" s="19"/>
    </row>
    <row r="373" customFormat="false" ht="15" hidden="false" customHeight="false" outlineLevel="0" collapsed="false">
      <c r="A373" s="13" t="s">
        <v>2790</v>
      </c>
      <c r="B373" s="13" t="s">
        <v>50</v>
      </c>
      <c r="C373" s="13" t="s">
        <v>43</v>
      </c>
      <c r="D373" s="13" t="s">
        <v>2422</v>
      </c>
      <c r="E373" s="13" t="s">
        <v>821</v>
      </c>
      <c r="F373" s="13" t="n">
        <v>2</v>
      </c>
      <c r="G373" s="13" t="n">
        <v>3</v>
      </c>
      <c r="H373" s="5" t="n">
        <v>9600</v>
      </c>
      <c r="I373" s="7" t="n">
        <v>17</v>
      </c>
      <c r="J373" s="16" t="n">
        <v>564.705882352941</v>
      </c>
      <c r="K373" s="16"/>
      <c r="L373" s="16" t="n">
        <v>573.333333333333</v>
      </c>
      <c r="M373" s="16" t="n">
        <v>500</v>
      </c>
      <c r="N373" s="19" t="n">
        <v>0.146666666666667</v>
      </c>
    </row>
    <row r="374" customFormat="false" ht="15" hidden="false" customHeight="false" outlineLevel="0" collapsed="false">
      <c r="A374" s="13" t="s">
        <v>2791</v>
      </c>
      <c r="B374" s="13" t="s">
        <v>270</v>
      </c>
      <c r="C374" s="13" t="s">
        <v>43</v>
      </c>
      <c r="D374" s="13" t="s">
        <v>2324</v>
      </c>
      <c r="E374" s="13" t="s">
        <v>530</v>
      </c>
      <c r="F374" s="13" t="n">
        <v>2</v>
      </c>
      <c r="G374" s="13" t="n">
        <v>3</v>
      </c>
      <c r="H374" s="5" t="n">
        <v>9600</v>
      </c>
      <c r="I374" s="7" t="n">
        <v>30</v>
      </c>
      <c r="J374" s="16" t="n">
        <v>320</v>
      </c>
      <c r="K374" s="16" t="n">
        <v>280</v>
      </c>
      <c r="L374" s="16" t="n">
        <v>520</v>
      </c>
      <c r="M374" s="16"/>
      <c r="N374" s="19" t="n">
        <v>0.857142857142857</v>
      </c>
    </row>
    <row r="375" customFormat="false" ht="15" hidden="false" customHeight="false" outlineLevel="0" collapsed="false">
      <c r="A375" s="13" t="s">
        <v>2792</v>
      </c>
      <c r="B375" s="13" t="s">
        <v>2160</v>
      </c>
      <c r="C375" s="13" t="s">
        <v>183</v>
      </c>
      <c r="D375" s="13" t="s">
        <v>2324</v>
      </c>
      <c r="E375" s="13" t="s">
        <v>2793</v>
      </c>
      <c r="F375" s="13" t="n">
        <v>1</v>
      </c>
      <c r="G375" s="13" t="n">
        <v>2</v>
      </c>
      <c r="H375" s="5" t="n">
        <v>9400</v>
      </c>
      <c r="I375" s="7" t="n">
        <v>200</v>
      </c>
      <c r="J375" s="16" t="n">
        <v>47</v>
      </c>
      <c r="K375" s="16" t="n">
        <v>47</v>
      </c>
      <c r="L375" s="16"/>
      <c r="M375" s="16"/>
      <c r="N375" s="19"/>
    </row>
    <row r="376" customFormat="false" ht="15" hidden="false" customHeight="false" outlineLevel="0" collapsed="false">
      <c r="A376" s="13" t="s">
        <v>2794</v>
      </c>
      <c r="B376" s="13" t="s">
        <v>2095</v>
      </c>
      <c r="C376" s="13" t="s">
        <v>85</v>
      </c>
      <c r="D376" s="13" t="s">
        <v>2795</v>
      </c>
      <c r="E376" s="13" t="s">
        <v>2796</v>
      </c>
      <c r="F376" s="13" t="n">
        <v>1</v>
      </c>
      <c r="G376" s="13" t="n">
        <v>2</v>
      </c>
      <c r="H376" s="5" t="n">
        <v>9400</v>
      </c>
      <c r="I376" s="7" t="n">
        <v>35</v>
      </c>
      <c r="J376" s="16" t="n">
        <v>268.571428571429</v>
      </c>
      <c r="K376" s="16" t="n">
        <v>268.571428571429</v>
      </c>
      <c r="L376" s="16"/>
      <c r="M376" s="16"/>
      <c r="N376" s="19"/>
    </row>
    <row r="377" customFormat="false" ht="15" hidden="false" customHeight="false" outlineLevel="0" collapsed="false">
      <c r="A377" s="13" t="s">
        <v>2797</v>
      </c>
      <c r="B377" s="13" t="s">
        <v>2110</v>
      </c>
      <c r="C377" s="13" t="s">
        <v>43</v>
      </c>
      <c r="D377" s="13" t="s">
        <v>2322</v>
      </c>
      <c r="E377" s="13" t="s">
        <v>2798</v>
      </c>
      <c r="F377" s="13" t="n">
        <v>2</v>
      </c>
      <c r="G377" s="13" t="n">
        <v>4</v>
      </c>
      <c r="H377" s="5" t="n">
        <v>9380</v>
      </c>
      <c r="I377" s="7" t="n">
        <v>25</v>
      </c>
      <c r="J377" s="16" t="n">
        <v>375.2</v>
      </c>
      <c r="K377" s="16"/>
      <c r="L377" s="16" t="n">
        <v>370.833333333333</v>
      </c>
      <c r="M377" s="16" t="n">
        <v>480</v>
      </c>
      <c r="N377" s="19" t="n">
        <v>0.29438202247191</v>
      </c>
    </row>
    <row r="378" customFormat="false" ht="15" hidden="false" customHeight="false" outlineLevel="0" collapsed="false">
      <c r="A378" s="13" t="s">
        <v>2799</v>
      </c>
      <c r="B378" s="13" t="s">
        <v>124</v>
      </c>
      <c r="C378" s="13" t="s">
        <v>43</v>
      </c>
      <c r="D378" s="13" t="s">
        <v>2324</v>
      </c>
      <c r="E378" s="13" t="s">
        <v>125</v>
      </c>
      <c r="F378" s="13" t="n">
        <v>1</v>
      </c>
      <c r="G378" s="13" t="n">
        <v>2</v>
      </c>
      <c r="H378" s="5" t="n">
        <v>9300</v>
      </c>
      <c r="I378" s="7" t="n">
        <v>22</v>
      </c>
      <c r="J378" s="16" t="n">
        <v>422.727272727273</v>
      </c>
      <c r="K378" s="16"/>
      <c r="L378" s="16"/>
      <c r="M378" s="16" t="n">
        <v>422.727272727273</v>
      </c>
      <c r="N378" s="19"/>
    </row>
    <row r="379" customFormat="false" ht="15" hidden="false" customHeight="false" outlineLevel="0" collapsed="false">
      <c r="A379" s="13" t="s">
        <v>2800</v>
      </c>
      <c r="B379" s="13" t="s">
        <v>79</v>
      </c>
      <c r="C379" s="13" t="s">
        <v>43</v>
      </c>
      <c r="D379" s="13" t="s">
        <v>2324</v>
      </c>
      <c r="E379" s="13" t="s">
        <v>386</v>
      </c>
      <c r="F379" s="13" t="n">
        <v>1</v>
      </c>
      <c r="G379" s="13" t="n">
        <v>1</v>
      </c>
      <c r="H379" s="5" t="n">
        <v>9300</v>
      </c>
      <c r="I379" s="7" t="n">
        <v>20</v>
      </c>
      <c r="J379" s="16" t="n">
        <v>465</v>
      </c>
      <c r="K379" s="16"/>
      <c r="L379" s="16" t="n">
        <v>465</v>
      </c>
      <c r="M379" s="16"/>
      <c r="N379" s="19"/>
    </row>
    <row r="380" customFormat="false" ht="15" hidden="false" customHeight="false" outlineLevel="0" collapsed="false">
      <c r="A380" s="13" t="s">
        <v>2801</v>
      </c>
      <c r="B380" s="13" t="s">
        <v>182</v>
      </c>
      <c r="C380" s="13" t="s">
        <v>183</v>
      </c>
      <c r="D380" s="13" t="s">
        <v>2324</v>
      </c>
      <c r="E380" s="13" t="s">
        <v>380</v>
      </c>
      <c r="F380" s="13" t="n">
        <v>1</v>
      </c>
      <c r="G380" s="13" t="n">
        <v>1</v>
      </c>
      <c r="H380" s="5" t="n">
        <v>9300</v>
      </c>
      <c r="I380" s="7" t="n">
        <v>60</v>
      </c>
      <c r="J380" s="16" t="n">
        <v>155</v>
      </c>
      <c r="K380" s="16" t="n">
        <v>155</v>
      </c>
      <c r="L380" s="16"/>
      <c r="M380" s="16"/>
      <c r="N380" s="19"/>
    </row>
    <row r="381" customFormat="false" ht="15" hidden="false" customHeight="false" outlineLevel="0" collapsed="false">
      <c r="A381" s="13" t="s">
        <v>2802</v>
      </c>
      <c r="B381" s="13" t="s">
        <v>2131</v>
      </c>
      <c r="C381" s="13" t="s">
        <v>43</v>
      </c>
      <c r="D381" s="13" t="s">
        <v>2324</v>
      </c>
      <c r="E381" s="13" t="s">
        <v>2803</v>
      </c>
      <c r="F381" s="13" t="n">
        <v>1</v>
      </c>
      <c r="G381" s="13" t="n">
        <v>1</v>
      </c>
      <c r="H381" s="5" t="n">
        <v>9300</v>
      </c>
      <c r="I381" s="7" t="n">
        <v>30</v>
      </c>
      <c r="J381" s="16" t="n">
        <v>310</v>
      </c>
      <c r="K381" s="16"/>
      <c r="L381" s="16"/>
      <c r="M381" s="16" t="n">
        <v>310</v>
      </c>
      <c r="N381" s="19"/>
    </row>
    <row r="382" customFormat="false" ht="15" hidden="false" customHeight="false" outlineLevel="0" collapsed="false">
      <c r="A382" s="13" t="s">
        <v>2804</v>
      </c>
      <c r="B382" s="13" t="s">
        <v>2109</v>
      </c>
      <c r="C382" s="13" t="s">
        <v>183</v>
      </c>
      <c r="D382" s="13" t="s">
        <v>2324</v>
      </c>
      <c r="E382" s="13" t="s">
        <v>2805</v>
      </c>
      <c r="F382" s="13" t="n">
        <v>1</v>
      </c>
      <c r="G382" s="13" t="n">
        <v>4</v>
      </c>
      <c r="H382" s="5" t="n">
        <v>9220</v>
      </c>
      <c r="I382" s="7" t="n">
        <v>14</v>
      </c>
      <c r="J382" s="16" t="n">
        <v>658.571428571429</v>
      </c>
      <c r="K382" s="16"/>
      <c r="L382" s="16"/>
      <c r="M382" s="16" t="n">
        <v>658.571428571429</v>
      </c>
      <c r="N382" s="19"/>
    </row>
    <row r="383" customFormat="false" ht="15" hidden="false" customHeight="false" outlineLevel="0" collapsed="false">
      <c r="A383" s="13" t="s">
        <v>2806</v>
      </c>
      <c r="B383" s="13" t="s">
        <v>139</v>
      </c>
      <c r="C383" s="13" t="s">
        <v>140</v>
      </c>
      <c r="D383" s="13" t="s">
        <v>2468</v>
      </c>
      <c r="E383" s="13" t="s">
        <v>390</v>
      </c>
      <c r="F383" s="13" t="n">
        <v>1</v>
      </c>
      <c r="G383" s="13" t="n">
        <v>1</v>
      </c>
      <c r="H383" s="5" t="n">
        <v>9200</v>
      </c>
      <c r="I383" s="7" t="n">
        <v>40</v>
      </c>
      <c r="J383" s="16" t="n">
        <v>230</v>
      </c>
      <c r="K383" s="16" t="n">
        <v>230</v>
      </c>
      <c r="L383" s="16"/>
      <c r="M383" s="16"/>
      <c r="N383" s="19"/>
    </row>
    <row r="384" customFormat="false" ht="15" hidden="false" customHeight="false" outlineLevel="0" collapsed="false">
      <c r="A384" s="13" t="s">
        <v>2807</v>
      </c>
      <c r="B384" s="13" t="s">
        <v>2118</v>
      </c>
      <c r="C384" s="13" t="s">
        <v>85</v>
      </c>
      <c r="D384" s="13" t="s">
        <v>2324</v>
      </c>
      <c r="E384" s="13" t="s">
        <v>626</v>
      </c>
      <c r="F384" s="13" t="n">
        <v>1</v>
      </c>
      <c r="G384" s="13" t="n">
        <v>1</v>
      </c>
      <c r="H384" s="5" t="n">
        <v>9200</v>
      </c>
      <c r="I384" s="7" t="n">
        <v>20</v>
      </c>
      <c r="J384" s="16" t="n">
        <v>460</v>
      </c>
      <c r="K384" s="16"/>
      <c r="L384" s="16"/>
      <c r="M384" s="16" t="n">
        <v>460</v>
      </c>
      <c r="N384" s="19"/>
    </row>
    <row r="385" customFormat="false" ht="15" hidden="false" customHeight="false" outlineLevel="0" collapsed="false">
      <c r="A385" s="13" t="s">
        <v>2808</v>
      </c>
      <c r="B385" s="13" t="s">
        <v>2140</v>
      </c>
      <c r="C385" s="13" t="s">
        <v>43</v>
      </c>
      <c r="D385" s="13" t="s">
        <v>2339</v>
      </c>
      <c r="E385" s="13" t="s">
        <v>2809</v>
      </c>
      <c r="F385" s="13" t="n">
        <v>1</v>
      </c>
      <c r="G385" s="13" t="n">
        <v>2</v>
      </c>
      <c r="H385" s="5" t="n">
        <v>9200</v>
      </c>
      <c r="I385" s="7" t="n">
        <v>35</v>
      </c>
      <c r="J385" s="16" t="n">
        <v>262.857142857143</v>
      </c>
      <c r="K385" s="16"/>
      <c r="L385" s="16" t="n">
        <v>262.857142857143</v>
      </c>
      <c r="M385" s="16"/>
      <c r="N385" s="19"/>
    </row>
    <row r="386" customFormat="false" ht="15" hidden="false" customHeight="false" outlineLevel="0" collapsed="false">
      <c r="A386" s="13" t="s">
        <v>2810</v>
      </c>
      <c r="B386" s="13" t="s">
        <v>42</v>
      </c>
      <c r="C386" s="13" t="s">
        <v>43</v>
      </c>
      <c r="D386" s="13" t="s">
        <v>2422</v>
      </c>
      <c r="E386" s="13" t="s">
        <v>389</v>
      </c>
      <c r="F386" s="13" t="n">
        <v>1</v>
      </c>
      <c r="G386" s="13" t="n">
        <v>1</v>
      </c>
      <c r="H386" s="5" t="n">
        <v>9200</v>
      </c>
      <c r="I386" s="7" t="n">
        <v>40</v>
      </c>
      <c r="J386" s="16" t="n">
        <v>230</v>
      </c>
      <c r="K386" s="16"/>
      <c r="L386" s="16"/>
      <c r="M386" s="16" t="n">
        <v>230</v>
      </c>
      <c r="N386" s="19"/>
    </row>
    <row r="387" customFormat="false" ht="15" hidden="false" customHeight="false" outlineLevel="0" collapsed="false">
      <c r="A387" s="13" t="s">
        <v>2811</v>
      </c>
      <c r="B387" s="13" t="s">
        <v>2096</v>
      </c>
      <c r="C387" s="13" t="s">
        <v>43</v>
      </c>
      <c r="D387" s="13" t="s">
        <v>2751</v>
      </c>
      <c r="E387" s="13" t="s">
        <v>2812</v>
      </c>
      <c r="F387" s="13" t="n">
        <v>1</v>
      </c>
      <c r="G387" s="13" t="n">
        <v>1</v>
      </c>
      <c r="H387" s="5" t="n">
        <v>9200</v>
      </c>
      <c r="I387" s="7" t="n">
        <v>80</v>
      </c>
      <c r="J387" s="16" t="n">
        <v>115</v>
      </c>
      <c r="K387" s="16" t="n">
        <v>115</v>
      </c>
      <c r="L387" s="16"/>
      <c r="M387" s="16"/>
      <c r="N387" s="19"/>
    </row>
    <row r="388" customFormat="false" ht="15" hidden="false" customHeight="false" outlineLevel="0" collapsed="false">
      <c r="A388" s="13" t="s">
        <v>2813</v>
      </c>
      <c r="B388" s="13" t="s">
        <v>315</v>
      </c>
      <c r="C388" s="13" t="s">
        <v>85</v>
      </c>
      <c r="D388" s="13" t="s">
        <v>2324</v>
      </c>
      <c r="E388" s="13" t="s">
        <v>408</v>
      </c>
      <c r="F388" s="13" t="n">
        <v>1</v>
      </c>
      <c r="G388" s="13" t="n">
        <v>2</v>
      </c>
      <c r="H388" s="5" t="n">
        <v>9140</v>
      </c>
      <c r="I388" s="7" t="n">
        <v>11</v>
      </c>
      <c r="J388" s="16" t="n">
        <v>830.909090909091</v>
      </c>
      <c r="K388" s="16"/>
      <c r="L388" s="16"/>
      <c r="M388" s="16" t="n">
        <v>830.909090909091</v>
      </c>
      <c r="N388" s="19"/>
    </row>
    <row r="389" customFormat="false" ht="15" hidden="false" customHeight="false" outlineLevel="0" collapsed="false">
      <c r="A389" s="13" t="s">
        <v>2814</v>
      </c>
      <c r="B389" s="13" t="s">
        <v>59</v>
      </c>
      <c r="C389" s="13" t="s">
        <v>43</v>
      </c>
      <c r="D389" s="13" t="s">
        <v>2324</v>
      </c>
      <c r="E389" s="13" t="s">
        <v>532</v>
      </c>
      <c r="F389" s="13" t="n">
        <v>2</v>
      </c>
      <c r="G389" s="13" t="n">
        <v>5</v>
      </c>
      <c r="H389" s="5" t="n">
        <v>9100</v>
      </c>
      <c r="I389" s="7" t="n">
        <v>58</v>
      </c>
      <c r="J389" s="16" t="n">
        <v>156.896551724138</v>
      </c>
      <c r="K389" s="16" t="n">
        <v>132.5</v>
      </c>
      <c r="L389" s="16"/>
      <c r="M389" s="16" t="n">
        <v>211.111111111111</v>
      </c>
      <c r="N389" s="19" t="n">
        <v>0.593291404612159</v>
      </c>
    </row>
    <row r="390" customFormat="false" ht="15" hidden="false" customHeight="false" outlineLevel="0" collapsed="false">
      <c r="A390" s="13" t="s">
        <v>2815</v>
      </c>
      <c r="B390" s="13" t="s">
        <v>42</v>
      </c>
      <c r="C390" s="13" t="s">
        <v>43</v>
      </c>
      <c r="D390" s="13" t="s">
        <v>2324</v>
      </c>
      <c r="E390" s="13" t="s">
        <v>246</v>
      </c>
      <c r="F390" s="13" t="n">
        <v>2</v>
      </c>
      <c r="G390" s="13" t="n">
        <v>3</v>
      </c>
      <c r="H390" s="5" t="n">
        <v>9100</v>
      </c>
      <c r="I390" s="7" t="n">
        <v>9</v>
      </c>
      <c r="J390" s="16" t="n">
        <v>1011.11111111111</v>
      </c>
      <c r="K390" s="16"/>
      <c r="L390" s="16" t="n">
        <v>1028.57142857143</v>
      </c>
      <c r="M390" s="16" t="n">
        <v>950</v>
      </c>
      <c r="N390" s="19" t="n">
        <v>0.0827067669172933</v>
      </c>
    </row>
    <row r="391" customFormat="false" ht="15" hidden="false" customHeight="false" outlineLevel="0" collapsed="false">
      <c r="A391" s="13" t="s">
        <v>2816</v>
      </c>
      <c r="B391" s="13" t="s">
        <v>69</v>
      </c>
      <c r="C391" s="13" t="s">
        <v>43</v>
      </c>
      <c r="D391" s="13" t="s">
        <v>2324</v>
      </c>
      <c r="E391" s="13" t="s">
        <v>423</v>
      </c>
      <c r="F391" s="13" t="n">
        <v>2</v>
      </c>
      <c r="G391" s="13" t="n">
        <v>2</v>
      </c>
      <c r="H391" s="5" t="n">
        <v>9010</v>
      </c>
      <c r="I391" s="7" t="n">
        <v>6</v>
      </c>
      <c r="J391" s="16" t="n">
        <v>1501.66666666667</v>
      </c>
      <c r="K391" s="16" t="n">
        <v>1620</v>
      </c>
      <c r="L391" s="16"/>
      <c r="M391" s="16" t="n">
        <v>910</v>
      </c>
      <c r="N391" s="19" t="n">
        <v>0.78021978021978</v>
      </c>
    </row>
    <row r="392" customFormat="false" ht="15" hidden="false" customHeight="false" outlineLevel="0" collapsed="false">
      <c r="A392" s="13" t="s">
        <v>2817</v>
      </c>
      <c r="B392" s="13" t="s">
        <v>2117</v>
      </c>
      <c r="C392" s="13" t="s">
        <v>85</v>
      </c>
      <c r="D392" s="13" t="s">
        <v>2422</v>
      </c>
      <c r="E392" s="13" t="s">
        <v>2818</v>
      </c>
      <c r="F392" s="13" t="n">
        <v>1</v>
      </c>
      <c r="G392" s="13" t="n">
        <v>1</v>
      </c>
      <c r="H392" s="5" t="n">
        <v>9000</v>
      </c>
      <c r="I392" s="7" t="n">
        <v>290</v>
      </c>
      <c r="J392" s="16" t="n">
        <v>31.0344827586207</v>
      </c>
      <c r="K392" s="16" t="n">
        <v>31.0344827586207</v>
      </c>
      <c r="L392" s="16"/>
      <c r="M392" s="16"/>
      <c r="N392" s="19"/>
    </row>
    <row r="393" customFormat="false" ht="15" hidden="false" customHeight="false" outlineLevel="0" collapsed="false">
      <c r="A393" s="13" t="s">
        <v>2819</v>
      </c>
      <c r="B393" s="13" t="s">
        <v>131</v>
      </c>
      <c r="C393" s="13" t="s">
        <v>66</v>
      </c>
      <c r="D393" s="13" t="s">
        <v>2324</v>
      </c>
      <c r="E393" s="13" t="s">
        <v>396</v>
      </c>
      <c r="F393" s="13" t="n">
        <v>1</v>
      </c>
      <c r="G393" s="13" t="n">
        <v>1</v>
      </c>
      <c r="H393" s="5" t="n">
        <v>9000</v>
      </c>
      <c r="I393" s="7" t="n">
        <v>20</v>
      </c>
      <c r="J393" s="16" t="n">
        <v>450</v>
      </c>
      <c r="K393" s="16" t="n">
        <v>450</v>
      </c>
      <c r="L393" s="16"/>
      <c r="M393" s="16"/>
      <c r="N393" s="19"/>
    </row>
    <row r="394" customFormat="false" ht="15" hidden="false" customHeight="false" outlineLevel="0" collapsed="false">
      <c r="A394" s="13" t="s">
        <v>2820</v>
      </c>
      <c r="B394" s="13" t="s">
        <v>2100</v>
      </c>
      <c r="C394" s="13" t="s">
        <v>43</v>
      </c>
      <c r="D394" s="13" t="s">
        <v>2324</v>
      </c>
      <c r="E394" s="13" t="s">
        <v>2821</v>
      </c>
      <c r="F394" s="13" t="n">
        <v>1</v>
      </c>
      <c r="G394" s="13" t="n">
        <v>1</v>
      </c>
      <c r="H394" s="5" t="n">
        <v>9000</v>
      </c>
      <c r="I394" s="7" t="n">
        <v>130</v>
      </c>
      <c r="J394" s="16" t="n">
        <v>69.2307692307692</v>
      </c>
      <c r="K394" s="16" t="n">
        <v>69.2307692307692</v>
      </c>
      <c r="L394" s="16"/>
      <c r="M394" s="16"/>
      <c r="N394" s="19"/>
    </row>
    <row r="395" customFormat="false" ht="15" hidden="false" customHeight="false" outlineLevel="0" collapsed="false">
      <c r="A395" s="13" t="s">
        <v>2822</v>
      </c>
      <c r="B395" s="13" t="s">
        <v>79</v>
      </c>
      <c r="C395" s="13" t="s">
        <v>43</v>
      </c>
      <c r="D395" s="13" t="s">
        <v>2324</v>
      </c>
      <c r="E395" s="13" t="s">
        <v>1776</v>
      </c>
      <c r="F395" s="13" t="n">
        <v>2</v>
      </c>
      <c r="G395" s="13" t="n">
        <v>4</v>
      </c>
      <c r="H395" s="5" t="n">
        <v>8990</v>
      </c>
      <c r="I395" s="7" t="n">
        <v>17</v>
      </c>
      <c r="J395" s="16" t="n">
        <v>528.823529411765</v>
      </c>
      <c r="K395" s="16"/>
      <c r="L395" s="16" t="n">
        <v>400</v>
      </c>
      <c r="M395" s="16" t="n">
        <v>536.875</v>
      </c>
      <c r="N395" s="19" t="n">
        <v>0.3421875</v>
      </c>
    </row>
    <row r="396" customFormat="false" ht="15" hidden="false" customHeight="false" outlineLevel="0" collapsed="false">
      <c r="A396" s="13" t="s">
        <v>2823</v>
      </c>
      <c r="B396" s="13" t="s">
        <v>153</v>
      </c>
      <c r="C396" s="13" t="s">
        <v>43</v>
      </c>
      <c r="D396" s="13" t="s">
        <v>2327</v>
      </c>
      <c r="E396" s="13" t="s">
        <v>415</v>
      </c>
      <c r="F396" s="13" t="n">
        <v>1</v>
      </c>
      <c r="G396" s="13" t="n">
        <v>2</v>
      </c>
      <c r="H396" s="5" t="n">
        <v>8940</v>
      </c>
      <c r="I396" s="7" t="n">
        <v>11</v>
      </c>
      <c r="J396" s="16" t="n">
        <v>812.727272727273</v>
      </c>
      <c r="K396" s="16"/>
      <c r="L396" s="16" t="n">
        <v>812.727272727273</v>
      </c>
      <c r="M396" s="16"/>
      <c r="N396" s="19"/>
    </row>
    <row r="397" customFormat="false" ht="15" hidden="false" customHeight="false" outlineLevel="0" collapsed="false">
      <c r="A397" s="13" t="s">
        <v>2824</v>
      </c>
      <c r="B397" s="13" t="s">
        <v>114</v>
      </c>
      <c r="C397" s="13" t="s">
        <v>115</v>
      </c>
      <c r="D397" s="13" t="s">
        <v>2324</v>
      </c>
      <c r="E397" s="13" t="s">
        <v>399</v>
      </c>
      <c r="F397" s="13" t="n">
        <v>1</v>
      </c>
      <c r="G397" s="13" t="n">
        <v>1</v>
      </c>
      <c r="H397" s="5" t="n">
        <v>8900</v>
      </c>
      <c r="I397" s="7" t="n">
        <v>90</v>
      </c>
      <c r="J397" s="16" t="n">
        <v>98.8888888888889</v>
      </c>
      <c r="K397" s="16" t="n">
        <v>98.8888888888889</v>
      </c>
      <c r="L397" s="16"/>
      <c r="M397" s="16"/>
      <c r="N397" s="19"/>
    </row>
    <row r="398" customFormat="false" ht="15" hidden="false" customHeight="false" outlineLevel="0" collapsed="false">
      <c r="A398" s="13" t="s">
        <v>2825</v>
      </c>
      <c r="B398" s="13" t="s">
        <v>2114</v>
      </c>
      <c r="C398" s="13" t="s">
        <v>140</v>
      </c>
      <c r="D398" s="13" t="s">
        <v>2324</v>
      </c>
      <c r="E398" s="13" t="s">
        <v>2826</v>
      </c>
      <c r="F398" s="13" t="n">
        <v>1</v>
      </c>
      <c r="G398" s="13" t="n">
        <v>1</v>
      </c>
      <c r="H398" s="5" t="n">
        <v>8900</v>
      </c>
      <c r="I398" s="7" t="n">
        <v>170</v>
      </c>
      <c r="J398" s="16" t="n">
        <v>52.3529411764706</v>
      </c>
      <c r="K398" s="16" t="n">
        <v>52.3529411764706</v>
      </c>
      <c r="L398" s="16"/>
      <c r="M398" s="16"/>
      <c r="N398" s="19"/>
    </row>
    <row r="399" customFormat="false" ht="15" hidden="false" customHeight="false" outlineLevel="0" collapsed="false">
      <c r="A399" s="13" t="s">
        <v>2827</v>
      </c>
      <c r="B399" s="13" t="s">
        <v>42</v>
      </c>
      <c r="C399" s="13" t="s">
        <v>43</v>
      </c>
      <c r="D399" s="13" t="s">
        <v>2606</v>
      </c>
      <c r="E399" s="13" t="s">
        <v>1097</v>
      </c>
      <c r="F399" s="13" t="n">
        <v>2</v>
      </c>
      <c r="G399" s="13" t="n">
        <v>7</v>
      </c>
      <c r="H399" s="5" t="n">
        <v>8880</v>
      </c>
      <c r="I399" s="7" t="n">
        <v>23</v>
      </c>
      <c r="J399" s="16" t="n">
        <v>386.086956521739</v>
      </c>
      <c r="K399" s="16"/>
      <c r="L399" s="16" t="n">
        <v>331.818181818182</v>
      </c>
      <c r="M399" s="16" t="n">
        <v>435.833333333333</v>
      </c>
      <c r="N399" s="19" t="n">
        <v>0.313470319634703</v>
      </c>
    </row>
    <row r="400" customFormat="false" ht="15" hidden="false" customHeight="false" outlineLevel="0" collapsed="false">
      <c r="A400" s="13" t="s">
        <v>2828</v>
      </c>
      <c r="B400" s="13" t="s">
        <v>50</v>
      </c>
      <c r="C400" s="13" t="s">
        <v>43</v>
      </c>
      <c r="D400" s="13" t="s">
        <v>2360</v>
      </c>
      <c r="E400" s="13" t="s">
        <v>443</v>
      </c>
      <c r="F400" s="13" t="n">
        <v>2</v>
      </c>
      <c r="G400" s="13" t="n">
        <v>3</v>
      </c>
      <c r="H400" s="5" t="n">
        <v>8860</v>
      </c>
      <c r="I400" s="7" t="n">
        <v>12</v>
      </c>
      <c r="J400" s="16" t="n">
        <v>738.333333333333</v>
      </c>
      <c r="K400" s="16"/>
      <c r="L400" s="16" t="n">
        <v>743.636363636364</v>
      </c>
      <c r="M400" s="16" t="n">
        <v>680</v>
      </c>
      <c r="N400" s="19" t="n">
        <v>0.0935828877005347</v>
      </c>
    </row>
    <row r="401" customFormat="false" ht="15" hidden="false" customHeight="false" outlineLevel="0" collapsed="false">
      <c r="A401" s="13" t="s">
        <v>2829</v>
      </c>
      <c r="B401" s="13" t="s">
        <v>42</v>
      </c>
      <c r="C401" s="13" t="s">
        <v>43</v>
      </c>
      <c r="D401" s="13" t="s">
        <v>2324</v>
      </c>
      <c r="E401" s="13" t="s">
        <v>351</v>
      </c>
      <c r="F401" s="13" t="n">
        <v>2</v>
      </c>
      <c r="G401" s="13" t="n">
        <v>3</v>
      </c>
      <c r="H401" s="5" t="n">
        <v>8830</v>
      </c>
      <c r="I401" s="7" t="n">
        <v>8</v>
      </c>
      <c r="J401" s="16" t="n">
        <v>1103.75</v>
      </c>
      <c r="K401" s="16"/>
      <c r="L401" s="16" t="n">
        <v>976.666666666667</v>
      </c>
      <c r="M401" s="16" t="n">
        <v>1180</v>
      </c>
      <c r="N401" s="19" t="n">
        <v>0.208191126279864</v>
      </c>
    </row>
    <row r="402" customFormat="false" ht="15" hidden="false" customHeight="false" outlineLevel="0" collapsed="false">
      <c r="A402" s="13" t="s">
        <v>2830</v>
      </c>
      <c r="B402" s="13" t="s">
        <v>42</v>
      </c>
      <c r="C402" s="13" t="s">
        <v>43</v>
      </c>
      <c r="D402" s="13" t="s">
        <v>2500</v>
      </c>
      <c r="E402" s="13" t="s">
        <v>356</v>
      </c>
      <c r="F402" s="13" t="n">
        <v>1</v>
      </c>
      <c r="G402" s="13" t="n">
        <v>2</v>
      </c>
      <c r="H402" s="5" t="n">
        <v>8830</v>
      </c>
      <c r="I402" s="7" t="n">
        <v>11</v>
      </c>
      <c r="J402" s="16" t="n">
        <v>802.727272727273</v>
      </c>
      <c r="K402" s="16"/>
      <c r="L402" s="16" t="n">
        <v>802.727272727273</v>
      </c>
      <c r="M402" s="16"/>
      <c r="N402" s="19"/>
    </row>
    <row r="403" customFormat="false" ht="15" hidden="false" customHeight="false" outlineLevel="0" collapsed="false">
      <c r="A403" s="13" t="s">
        <v>2831</v>
      </c>
      <c r="B403" s="13" t="s">
        <v>103</v>
      </c>
      <c r="C403" s="13" t="s">
        <v>43</v>
      </c>
      <c r="D403" s="13" t="s">
        <v>2324</v>
      </c>
      <c r="E403" s="13" t="s">
        <v>456</v>
      </c>
      <c r="F403" s="13" t="n">
        <v>1</v>
      </c>
      <c r="G403" s="13" t="n">
        <v>3</v>
      </c>
      <c r="H403" s="5" t="n">
        <v>8810</v>
      </c>
      <c r="I403" s="7" t="n">
        <v>47</v>
      </c>
      <c r="J403" s="16" t="n">
        <v>187.446808510638</v>
      </c>
      <c r="K403" s="16"/>
      <c r="L403" s="16"/>
      <c r="M403" s="16" t="n">
        <v>187.446808510638</v>
      </c>
      <c r="N403" s="19"/>
    </row>
    <row r="404" customFormat="false" ht="15" hidden="false" customHeight="false" outlineLevel="0" collapsed="false">
      <c r="A404" s="13" t="s">
        <v>2832</v>
      </c>
      <c r="B404" s="13" t="s">
        <v>42</v>
      </c>
      <c r="C404" s="13" t="s">
        <v>43</v>
      </c>
      <c r="D404" s="13" t="s">
        <v>2324</v>
      </c>
      <c r="E404" s="13" t="s">
        <v>44</v>
      </c>
      <c r="F404" s="13" t="n">
        <v>2</v>
      </c>
      <c r="G404" s="13" t="n">
        <v>3</v>
      </c>
      <c r="H404" s="5" t="n">
        <v>8800</v>
      </c>
      <c r="I404" s="7" t="n">
        <v>9</v>
      </c>
      <c r="J404" s="16" t="n">
        <v>977.777777777778</v>
      </c>
      <c r="K404" s="16"/>
      <c r="L404" s="16" t="n">
        <v>850</v>
      </c>
      <c r="M404" s="16" t="n">
        <v>1080</v>
      </c>
      <c r="N404" s="19" t="n">
        <v>0.270588235294118</v>
      </c>
    </row>
    <row r="405" customFormat="false" ht="15" hidden="false" customHeight="false" outlineLevel="0" collapsed="false">
      <c r="A405" s="13" t="s">
        <v>2833</v>
      </c>
      <c r="B405" s="13" t="s">
        <v>42</v>
      </c>
      <c r="C405" s="13" t="s">
        <v>43</v>
      </c>
      <c r="D405" s="13" t="s">
        <v>2324</v>
      </c>
      <c r="E405" s="13" t="s">
        <v>912</v>
      </c>
      <c r="F405" s="13" t="n">
        <v>2</v>
      </c>
      <c r="G405" s="13" t="n">
        <v>5</v>
      </c>
      <c r="H405" s="5" t="n">
        <v>8710</v>
      </c>
      <c r="I405" s="7" t="n">
        <v>11</v>
      </c>
      <c r="J405" s="16" t="n">
        <v>791.818181818182</v>
      </c>
      <c r="K405" s="16"/>
      <c r="L405" s="16" t="n">
        <v>852.5</v>
      </c>
      <c r="M405" s="16" t="n">
        <v>757.142857142857</v>
      </c>
      <c r="N405" s="19" t="n">
        <v>0.125943396226415</v>
      </c>
    </row>
    <row r="406" customFormat="false" ht="15" hidden="false" customHeight="false" outlineLevel="0" collapsed="false">
      <c r="A406" s="13" t="s">
        <v>2834</v>
      </c>
      <c r="B406" s="13" t="s">
        <v>42</v>
      </c>
      <c r="C406" s="13" t="s">
        <v>43</v>
      </c>
      <c r="D406" s="13" t="s">
        <v>2324</v>
      </c>
      <c r="E406" s="13" t="s">
        <v>500</v>
      </c>
      <c r="F406" s="13" t="n">
        <v>1</v>
      </c>
      <c r="G406" s="13" t="n">
        <v>2</v>
      </c>
      <c r="H406" s="5" t="n">
        <v>8700</v>
      </c>
      <c r="I406" s="7" t="n">
        <v>7</v>
      </c>
      <c r="J406" s="16" t="n">
        <v>1242.85714285714</v>
      </c>
      <c r="K406" s="16"/>
      <c r="L406" s="16" t="n">
        <v>1242.85714285714</v>
      </c>
      <c r="M406" s="16"/>
      <c r="N406" s="19"/>
    </row>
    <row r="407" customFormat="false" ht="15" hidden="false" customHeight="false" outlineLevel="0" collapsed="false">
      <c r="A407" s="13" t="s">
        <v>2835</v>
      </c>
      <c r="B407" s="13" t="s">
        <v>179</v>
      </c>
      <c r="C407" s="13" t="s">
        <v>180</v>
      </c>
      <c r="D407" s="13" t="s">
        <v>2324</v>
      </c>
      <c r="E407" s="13" t="s">
        <v>406</v>
      </c>
      <c r="F407" s="13" t="n">
        <v>1</v>
      </c>
      <c r="G407" s="13" t="n">
        <v>1</v>
      </c>
      <c r="H407" s="5" t="n">
        <v>8600</v>
      </c>
      <c r="I407" s="7" t="n">
        <v>60</v>
      </c>
      <c r="J407" s="16" t="n">
        <v>143.333333333333</v>
      </c>
      <c r="K407" s="16" t="n">
        <v>143.333333333333</v>
      </c>
      <c r="L407" s="16"/>
      <c r="M407" s="16"/>
      <c r="N407" s="19"/>
    </row>
    <row r="408" customFormat="false" ht="15" hidden="false" customHeight="false" outlineLevel="0" collapsed="false">
      <c r="A408" s="13" t="s">
        <v>2836</v>
      </c>
      <c r="B408" s="13" t="s">
        <v>362</v>
      </c>
      <c r="C408" s="13" t="s">
        <v>43</v>
      </c>
      <c r="D408" s="13" t="s">
        <v>2337</v>
      </c>
      <c r="E408" s="13" t="s">
        <v>692</v>
      </c>
      <c r="F408" s="13" t="n">
        <v>2</v>
      </c>
      <c r="G408" s="13" t="n">
        <v>3</v>
      </c>
      <c r="H408" s="5" t="n">
        <v>8500</v>
      </c>
      <c r="I408" s="7" t="n">
        <v>12</v>
      </c>
      <c r="J408" s="16" t="n">
        <v>708.333333333333</v>
      </c>
      <c r="K408" s="16"/>
      <c r="L408" s="16" t="n">
        <v>657.142857142857</v>
      </c>
      <c r="M408" s="16" t="n">
        <v>780</v>
      </c>
      <c r="N408" s="19" t="n">
        <v>0.186956521739131</v>
      </c>
    </row>
    <row r="409" customFormat="false" ht="15" hidden="false" customHeight="false" outlineLevel="0" collapsed="false">
      <c r="A409" s="13" t="s">
        <v>2837</v>
      </c>
      <c r="B409" s="13" t="s">
        <v>179</v>
      </c>
      <c r="C409" s="13" t="s">
        <v>180</v>
      </c>
      <c r="D409" s="13" t="s">
        <v>2324</v>
      </c>
      <c r="E409" s="13" t="s">
        <v>410</v>
      </c>
      <c r="F409" s="13" t="n">
        <v>1</v>
      </c>
      <c r="G409" s="13" t="n">
        <v>1</v>
      </c>
      <c r="H409" s="5" t="n">
        <v>8400</v>
      </c>
      <c r="I409" s="7" t="n">
        <v>40</v>
      </c>
      <c r="J409" s="16" t="n">
        <v>210</v>
      </c>
      <c r="K409" s="16" t="n">
        <v>210</v>
      </c>
      <c r="L409" s="16"/>
      <c r="M409" s="16"/>
      <c r="N409" s="19"/>
    </row>
    <row r="410" customFormat="false" ht="15" hidden="false" customHeight="false" outlineLevel="0" collapsed="false">
      <c r="A410" s="13" t="s">
        <v>2838</v>
      </c>
      <c r="B410" s="13" t="s">
        <v>362</v>
      </c>
      <c r="C410" s="13" t="s">
        <v>43</v>
      </c>
      <c r="D410" s="13" t="s">
        <v>2337</v>
      </c>
      <c r="E410" s="13" t="s">
        <v>705</v>
      </c>
      <c r="F410" s="13" t="n">
        <v>2</v>
      </c>
      <c r="G410" s="13" t="n">
        <v>3</v>
      </c>
      <c r="H410" s="5" t="n">
        <v>8400</v>
      </c>
      <c r="I410" s="7" t="n">
        <v>12</v>
      </c>
      <c r="J410" s="16" t="n">
        <v>700</v>
      </c>
      <c r="K410" s="16"/>
      <c r="L410" s="16" t="n">
        <v>600</v>
      </c>
      <c r="M410" s="16" t="n">
        <v>771.428571428571</v>
      </c>
      <c r="N410" s="19" t="n">
        <v>0.285714285714286</v>
      </c>
    </row>
    <row r="411" customFormat="false" ht="15" hidden="false" customHeight="false" outlineLevel="0" collapsed="false">
      <c r="A411" s="13" t="s">
        <v>2839</v>
      </c>
      <c r="B411" s="13" t="s">
        <v>111</v>
      </c>
      <c r="C411" s="13" t="s">
        <v>43</v>
      </c>
      <c r="D411" s="13" t="s">
        <v>2339</v>
      </c>
      <c r="E411" s="13" t="s">
        <v>1761</v>
      </c>
      <c r="F411" s="13" t="n">
        <v>2</v>
      </c>
      <c r="G411" s="13" t="n">
        <v>2</v>
      </c>
      <c r="H411" s="5" t="n">
        <v>8310</v>
      </c>
      <c r="I411" s="7" t="n">
        <v>31</v>
      </c>
      <c r="J411" s="16" t="n">
        <v>268.064516129032</v>
      </c>
      <c r="K411" s="16" t="n">
        <v>263.333333333333</v>
      </c>
      <c r="L411" s="16" t="n">
        <v>410</v>
      </c>
      <c r="M411" s="16"/>
      <c r="N411" s="19" t="n">
        <v>0.556962025316456</v>
      </c>
    </row>
    <row r="412" customFormat="false" ht="15" hidden="false" customHeight="false" outlineLevel="0" collapsed="false">
      <c r="A412" s="13" t="s">
        <v>2840</v>
      </c>
      <c r="B412" s="13" t="s">
        <v>105</v>
      </c>
      <c r="C412" s="13" t="s">
        <v>43</v>
      </c>
      <c r="D412" s="13" t="s">
        <v>2324</v>
      </c>
      <c r="E412" s="13" t="s">
        <v>524</v>
      </c>
      <c r="F412" s="13" t="n">
        <v>1</v>
      </c>
      <c r="G412" s="13" t="n">
        <v>3</v>
      </c>
      <c r="H412" s="5" t="n">
        <v>8300</v>
      </c>
      <c r="I412" s="7" t="n">
        <v>9</v>
      </c>
      <c r="J412" s="16" t="n">
        <v>922.222222222222</v>
      </c>
      <c r="K412" s="16"/>
      <c r="L412" s="16"/>
      <c r="M412" s="16" t="n">
        <v>922.222222222222</v>
      </c>
      <c r="N412" s="19"/>
    </row>
    <row r="413" customFormat="false" ht="15" hidden="false" customHeight="false" outlineLevel="0" collapsed="false">
      <c r="A413" s="13" t="s">
        <v>2841</v>
      </c>
      <c r="B413" s="13" t="s">
        <v>179</v>
      </c>
      <c r="C413" s="13" t="s">
        <v>180</v>
      </c>
      <c r="D413" s="13" t="s">
        <v>2324</v>
      </c>
      <c r="E413" s="13" t="s">
        <v>411</v>
      </c>
      <c r="F413" s="13" t="n">
        <v>1</v>
      </c>
      <c r="G413" s="13" t="n">
        <v>1</v>
      </c>
      <c r="H413" s="5" t="n">
        <v>8300</v>
      </c>
      <c r="I413" s="7" t="n">
        <v>60</v>
      </c>
      <c r="J413" s="16" t="n">
        <v>138.333333333333</v>
      </c>
      <c r="K413" s="16" t="n">
        <v>138.333333333333</v>
      </c>
      <c r="L413" s="16"/>
      <c r="M413" s="16"/>
      <c r="N413" s="19"/>
    </row>
    <row r="414" customFormat="false" ht="15" hidden="false" customHeight="false" outlineLevel="0" collapsed="false">
      <c r="A414" s="13" t="s">
        <v>2842</v>
      </c>
      <c r="B414" s="13" t="s">
        <v>42</v>
      </c>
      <c r="C414" s="13" t="s">
        <v>43</v>
      </c>
      <c r="D414" s="13" t="s">
        <v>2324</v>
      </c>
      <c r="E414" s="13" t="s">
        <v>84</v>
      </c>
      <c r="F414" s="13" t="n">
        <v>1</v>
      </c>
      <c r="G414" s="13" t="n">
        <v>2</v>
      </c>
      <c r="H414" s="5" t="n">
        <v>8290</v>
      </c>
      <c r="I414" s="7" t="n">
        <v>11</v>
      </c>
      <c r="J414" s="16" t="n">
        <v>753.636363636364</v>
      </c>
      <c r="K414" s="16"/>
      <c r="L414" s="16"/>
      <c r="M414" s="16" t="n">
        <v>753.636363636364</v>
      </c>
      <c r="N414" s="19"/>
    </row>
    <row r="415" customFormat="false" ht="15" hidden="false" customHeight="false" outlineLevel="0" collapsed="false">
      <c r="A415" s="13" t="s">
        <v>2843</v>
      </c>
      <c r="B415" s="13" t="s">
        <v>42</v>
      </c>
      <c r="C415" s="13" t="s">
        <v>43</v>
      </c>
      <c r="D415" s="13" t="s">
        <v>2606</v>
      </c>
      <c r="E415" s="13" t="s">
        <v>601</v>
      </c>
      <c r="F415" s="13" t="n">
        <v>2</v>
      </c>
      <c r="G415" s="13" t="n">
        <v>6</v>
      </c>
      <c r="H415" s="5" t="n">
        <v>8240</v>
      </c>
      <c r="I415" s="7" t="n">
        <v>31</v>
      </c>
      <c r="J415" s="16" t="n">
        <v>265.806451612903</v>
      </c>
      <c r="K415" s="16"/>
      <c r="L415" s="16" t="n">
        <v>395.714285714286</v>
      </c>
      <c r="M415" s="16" t="n">
        <v>227.916666666667</v>
      </c>
      <c r="N415" s="19" t="n">
        <v>0.736223557064508</v>
      </c>
    </row>
    <row r="416" customFormat="false" ht="15" hidden="false" customHeight="false" outlineLevel="0" collapsed="false">
      <c r="A416" s="13" t="s">
        <v>2844</v>
      </c>
      <c r="B416" s="13" t="s">
        <v>191</v>
      </c>
      <c r="C416" s="13" t="s">
        <v>85</v>
      </c>
      <c r="D416" s="13" t="s">
        <v>2324</v>
      </c>
      <c r="E416" s="13" t="s">
        <v>416</v>
      </c>
      <c r="F416" s="13" t="n">
        <v>1</v>
      </c>
      <c r="G416" s="13" t="n">
        <v>1</v>
      </c>
      <c r="H416" s="5" t="n">
        <v>8200</v>
      </c>
      <c r="I416" s="7" t="n">
        <v>60</v>
      </c>
      <c r="J416" s="16" t="n">
        <v>136.666666666667</v>
      </c>
      <c r="K416" s="16" t="n">
        <v>136.666666666667</v>
      </c>
      <c r="L416" s="16"/>
      <c r="M416" s="16"/>
      <c r="N416" s="19"/>
    </row>
    <row r="417" customFormat="false" ht="15" hidden="false" customHeight="false" outlineLevel="0" collapsed="false">
      <c r="A417" s="13" t="s">
        <v>2845</v>
      </c>
      <c r="B417" s="13" t="s">
        <v>362</v>
      </c>
      <c r="C417" s="13" t="s">
        <v>43</v>
      </c>
      <c r="D417" s="13" t="s">
        <v>2324</v>
      </c>
      <c r="E417" s="13" t="s">
        <v>445</v>
      </c>
      <c r="F417" s="13" t="n">
        <v>1</v>
      </c>
      <c r="G417" s="13" t="n">
        <v>2</v>
      </c>
      <c r="H417" s="5" t="n">
        <v>8130</v>
      </c>
      <c r="I417" s="7" t="n">
        <v>11</v>
      </c>
      <c r="J417" s="16" t="n">
        <v>739.090909090909</v>
      </c>
      <c r="K417" s="16"/>
      <c r="L417" s="16" t="n">
        <v>739.090909090909</v>
      </c>
      <c r="M417" s="16"/>
      <c r="N417" s="19"/>
    </row>
    <row r="418" customFormat="false" ht="15" hidden="false" customHeight="false" outlineLevel="0" collapsed="false">
      <c r="A418" s="13" t="s">
        <v>2846</v>
      </c>
      <c r="B418" s="13" t="s">
        <v>153</v>
      </c>
      <c r="C418" s="13" t="s">
        <v>43</v>
      </c>
      <c r="D418" s="13" t="s">
        <v>2337</v>
      </c>
      <c r="E418" s="13" t="s">
        <v>572</v>
      </c>
      <c r="F418" s="13" t="n">
        <v>2</v>
      </c>
      <c r="G418" s="13" t="n">
        <v>3</v>
      </c>
      <c r="H418" s="5" t="n">
        <v>8100</v>
      </c>
      <c r="I418" s="7" t="n">
        <v>9</v>
      </c>
      <c r="J418" s="16" t="n">
        <v>900</v>
      </c>
      <c r="K418" s="16"/>
      <c r="L418" s="16" t="n">
        <v>920</v>
      </c>
      <c r="M418" s="16" t="n">
        <v>875</v>
      </c>
      <c r="N418" s="19" t="n">
        <v>0.0514285714285714</v>
      </c>
    </row>
    <row r="419" customFormat="false" ht="15" hidden="false" customHeight="false" outlineLevel="0" collapsed="false">
      <c r="A419" s="13" t="s">
        <v>2847</v>
      </c>
      <c r="B419" s="13" t="s">
        <v>45</v>
      </c>
      <c r="C419" s="13" t="s">
        <v>43</v>
      </c>
      <c r="D419" s="13" t="s">
        <v>2324</v>
      </c>
      <c r="E419" s="13" t="s">
        <v>101</v>
      </c>
      <c r="F419" s="13" t="n">
        <v>2</v>
      </c>
      <c r="G419" s="13" t="n">
        <v>4</v>
      </c>
      <c r="H419" s="5" t="n">
        <v>8100</v>
      </c>
      <c r="I419" s="7" t="n">
        <v>12</v>
      </c>
      <c r="J419" s="16" t="n">
        <v>675</v>
      </c>
      <c r="K419" s="16"/>
      <c r="L419" s="16" t="n">
        <v>635</v>
      </c>
      <c r="M419" s="16" t="n">
        <v>715</v>
      </c>
      <c r="N419" s="19" t="n">
        <v>0.125984251968504</v>
      </c>
    </row>
    <row r="420" customFormat="false" ht="15" hidden="false" customHeight="false" outlineLevel="0" collapsed="false">
      <c r="A420" s="13" t="s">
        <v>2848</v>
      </c>
      <c r="B420" s="13" t="s">
        <v>2166</v>
      </c>
      <c r="C420" s="13" t="s">
        <v>85</v>
      </c>
      <c r="D420" s="13" t="s">
        <v>2324</v>
      </c>
      <c r="E420" s="13" t="s">
        <v>2849</v>
      </c>
      <c r="F420" s="13" t="n">
        <v>1</v>
      </c>
      <c r="G420" s="13" t="n">
        <v>1</v>
      </c>
      <c r="H420" s="5" t="n">
        <v>8100</v>
      </c>
      <c r="I420" s="7" t="n">
        <v>220</v>
      </c>
      <c r="J420" s="16" t="n">
        <v>36.8181818181818</v>
      </c>
      <c r="K420" s="16" t="n">
        <v>36.8181818181818</v>
      </c>
      <c r="L420" s="16"/>
      <c r="M420" s="16"/>
      <c r="N420" s="19"/>
    </row>
    <row r="421" customFormat="false" ht="15" hidden="false" customHeight="false" outlineLevel="0" collapsed="false">
      <c r="A421" s="13" t="s">
        <v>2850</v>
      </c>
      <c r="B421" s="13" t="s">
        <v>50</v>
      </c>
      <c r="C421" s="13" t="s">
        <v>43</v>
      </c>
      <c r="D421" s="13" t="s">
        <v>2324</v>
      </c>
      <c r="E421" s="13" t="s">
        <v>492</v>
      </c>
      <c r="F421" s="13" t="n">
        <v>2</v>
      </c>
      <c r="G421" s="13" t="n">
        <v>3</v>
      </c>
      <c r="H421" s="5" t="n">
        <v>8100</v>
      </c>
      <c r="I421" s="7" t="n">
        <v>8</v>
      </c>
      <c r="J421" s="16" t="n">
        <v>1012.5</v>
      </c>
      <c r="K421" s="16"/>
      <c r="L421" s="16" t="n">
        <v>700</v>
      </c>
      <c r="M421" s="16" t="n">
        <v>1057.14285714286</v>
      </c>
      <c r="N421" s="19" t="n">
        <v>0.510204081632653</v>
      </c>
    </row>
    <row r="422" customFormat="false" ht="15" hidden="false" customHeight="false" outlineLevel="0" collapsed="false">
      <c r="A422" s="13" t="s">
        <v>2851</v>
      </c>
      <c r="B422" s="13" t="s">
        <v>2168</v>
      </c>
      <c r="C422" s="13" t="s">
        <v>43</v>
      </c>
      <c r="D422" s="13" t="s">
        <v>2360</v>
      </c>
      <c r="E422" s="13" t="s">
        <v>2852</v>
      </c>
      <c r="F422" s="13" t="n">
        <v>1</v>
      </c>
      <c r="G422" s="13" t="n">
        <v>3</v>
      </c>
      <c r="H422" s="5" t="n">
        <v>8010</v>
      </c>
      <c r="I422" s="7" t="n">
        <v>71</v>
      </c>
      <c r="J422" s="16" t="n">
        <v>112.816901408451</v>
      </c>
      <c r="K422" s="16"/>
      <c r="L422" s="16"/>
      <c r="M422" s="16" t="n">
        <v>112.816901408451</v>
      </c>
      <c r="N422" s="19"/>
    </row>
    <row r="423" customFormat="false" ht="15" hidden="false" customHeight="false" outlineLevel="0" collapsed="false">
      <c r="A423" s="13" t="s">
        <v>2853</v>
      </c>
      <c r="B423" s="13" t="s">
        <v>105</v>
      </c>
      <c r="C423" s="13" t="s">
        <v>43</v>
      </c>
      <c r="D423" s="13" t="s">
        <v>2324</v>
      </c>
      <c r="E423" s="13" t="s">
        <v>504</v>
      </c>
      <c r="F423" s="13" t="n">
        <v>1</v>
      </c>
      <c r="G423" s="13" t="n">
        <v>2</v>
      </c>
      <c r="H423" s="5" t="n">
        <v>8000</v>
      </c>
      <c r="I423" s="7" t="n">
        <v>15</v>
      </c>
      <c r="J423" s="16" t="n">
        <v>533.333333333333</v>
      </c>
      <c r="K423" s="16"/>
      <c r="L423" s="16"/>
      <c r="M423" s="16" t="n">
        <v>533.333333333333</v>
      </c>
      <c r="N423" s="19"/>
    </row>
    <row r="424" customFormat="false" ht="15" hidden="false" customHeight="false" outlineLevel="0" collapsed="false">
      <c r="A424" s="13" t="s">
        <v>2854</v>
      </c>
      <c r="B424" s="13" t="s">
        <v>42</v>
      </c>
      <c r="C424" s="13" t="s">
        <v>43</v>
      </c>
      <c r="D424" s="13" t="s">
        <v>2324</v>
      </c>
      <c r="E424" s="13" t="s">
        <v>324</v>
      </c>
      <c r="F424" s="13" t="n">
        <v>1</v>
      </c>
      <c r="G424" s="13" t="n">
        <v>3</v>
      </c>
      <c r="H424" s="5" t="n">
        <v>8000</v>
      </c>
      <c r="I424" s="7" t="n">
        <v>13</v>
      </c>
      <c r="J424" s="16" t="n">
        <v>615.384615384615</v>
      </c>
      <c r="K424" s="16"/>
      <c r="L424" s="16" t="n">
        <v>615.384615384615</v>
      </c>
      <c r="M424" s="16"/>
      <c r="N424" s="19"/>
    </row>
    <row r="425" customFormat="false" ht="15" hidden="false" customHeight="false" outlineLevel="0" collapsed="false">
      <c r="A425" s="13" t="s">
        <v>2855</v>
      </c>
      <c r="B425" s="13" t="s">
        <v>105</v>
      </c>
      <c r="C425" s="13" t="s">
        <v>43</v>
      </c>
      <c r="D425" s="13" t="s">
        <v>2324</v>
      </c>
      <c r="E425" s="13" t="s">
        <v>473</v>
      </c>
      <c r="F425" s="13" t="n">
        <v>1</v>
      </c>
      <c r="G425" s="13" t="n">
        <v>2</v>
      </c>
      <c r="H425" s="5" t="n">
        <v>8000</v>
      </c>
      <c r="I425" s="7" t="n">
        <v>22</v>
      </c>
      <c r="J425" s="16" t="n">
        <v>363.636363636364</v>
      </c>
      <c r="K425" s="16"/>
      <c r="L425" s="16"/>
      <c r="M425" s="16" t="n">
        <v>363.636363636364</v>
      </c>
      <c r="N425" s="19"/>
    </row>
    <row r="426" customFormat="false" ht="15" hidden="false" customHeight="false" outlineLevel="0" collapsed="false">
      <c r="A426" s="13" t="s">
        <v>2856</v>
      </c>
      <c r="B426" s="13" t="s">
        <v>50</v>
      </c>
      <c r="C426" s="13" t="s">
        <v>43</v>
      </c>
      <c r="D426" s="13" t="s">
        <v>2857</v>
      </c>
      <c r="E426" s="13" t="s">
        <v>725</v>
      </c>
      <c r="F426" s="13" t="n">
        <v>2</v>
      </c>
      <c r="G426" s="13" t="n">
        <v>2</v>
      </c>
      <c r="H426" s="5" t="n">
        <v>8000</v>
      </c>
      <c r="I426" s="7" t="n">
        <v>7</v>
      </c>
      <c r="J426" s="16" t="n">
        <v>1142.85714285714</v>
      </c>
      <c r="K426" s="16"/>
      <c r="L426" s="16" t="n">
        <v>1450</v>
      </c>
      <c r="M426" s="16" t="n">
        <v>1020</v>
      </c>
      <c r="N426" s="19" t="n">
        <v>0.42156862745098</v>
      </c>
    </row>
    <row r="427" customFormat="false" ht="15" hidden="false" customHeight="false" outlineLevel="0" collapsed="false">
      <c r="A427" s="13" t="s">
        <v>2858</v>
      </c>
      <c r="B427" s="13" t="s">
        <v>153</v>
      </c>
      <c r="C427" s="13" t="s">
        <v>43</v>
      </c>
      <c r="D427" s="13" t="s">
        <v>2324</v>
      </c>
      <c r="E427" s="13" t="s">
        <v>514</v>
      </c>
      <c r="F427" s="13" t="n">
        <v>1</v>
      </c>
      <c r="G427" s="13" t="n">
        <v>2</v>
      </c>
      <c r="H427" s="5" t="n">
        <v>8000</v>
      </c>
      <c r="I427" s="7" t="n">
        <v>7</v>
      </c>
      <c r="J427" s="16" t="n">
        <v>1142.85714285714</v>
      </c>
      <c r="K427" s="16"/>
      <c r="L427" s="16" t="n">
        <v>1142.85714285714</v>
      </c>
      <c r="M427" s="16"/>
      <c r="N427" s="19"/>
    </row>
    <row r="428" customFormat="false" ht="15" hidden="false" customHeight="false" outlineLevel="0" collapsed="false">
      <c r="A428" s="13" t="s">
        <v>2859</v>
      </c>
      <c r="B428" s="13" t="s">
        <v>124</v>
      </c>
      <c r="C428" s="13" t="s">
        <v>43</v>
      </c>
      <c r="D428" s="13" t="s">
        <v>2324</v>
      </c>
      <c r="E428" s="13" t="s">
        <v>238</v>
      </c>
      <c r="F428" s="13" t="n">
        <v>1</v>
      </c>
      <c r="G428" s="13" t="n">
        <v>3</v>
      </c>
      <c r="H428" s="5" t="n">
        <v>7970</v>
      </c>
      <c r="I428" s="7" t="n">
        <v>13</v>
      </c>
      <c r="J428" s="16" t="n">
        <v>613.076923076923</v>
      </c>
      <c r="K428" s="16"/>
      <c r="L428" s="16"/>
      <c r="M428" s="16" t="n">
        <v>613.076923076923</v>
      </c>
      <c r="N428" s="19"/>
    </row>
    <row r="429" customFormat="false" ht="15" hidden="false" customHeight="false" outlineLevel="0" collapsed="false">
      <c r="A429" s="13" t="s">
        <v>2860</v>
      </c>
      <c r="B429" s="13" t="s">
        <v>79</v>
      </c>
      <c r="C429" s="13" t="s">
        <v>43</v>
      </c>
      <c r="D429" s="13" t="s">
        <v>2751</v>
      </c>
      <c r="E429" s="13" t="s">
        <v>454</v>
      </c>
      <c r="F429" s="13" t="n">
        <v>2</v>
      </c>
      <c r="G429" s="13" t="n">
        <v>2</v>
      </c>
      <c r="H429" s="5" t="n">
        <v>7970</v>
      </c>
      <c r="I429" s="7" t="n">
        <v>11</v>
      </c>
      <c r="J429" s="16" t="n">
        <v>724.545454545455</v>
      </c>
      <c r="K429" s="16" t="n">
        <v>720</v>
      </c>
      <c r="L429" s="16" t="n">
        <v>770</v>
      </c>
      <c r="M429" s="16"/>
      <c r="N429" s="19" t="n">
        <v>0.0694444444444445</v>
      </c>
    </row>
    <row r="430" customFormat="false" ht="15" hidden="false" customHeight="false" outlineLevel="0" collapsed="false">
      <c r="A430" s="13" t="s">
        <v>2861</v>
      </c>
      <c r="B430" s="13" t="s">
        <v>61</v>
      </c>
      <c r="C430" s="13" t="s">
        <v>43</v>
      </c>
      <c r="D430" s="13" t="s">
        <v>2422</v>
      </c>
      <c r="E430" s="13" t="s">
        <v>495</v>
      </c>
      <c r="F430" s="13" t="n">
        <v>1</v>
      </c>
      <c r="G430" s="13" t="n">
        <v>3</v>
      </c>
      <c r="H430" s="5" t="n">
        <v>7930</v>
      </c>
      <c r="I430" s="7" t="n">
        <v>26</v>
      </c>
      <c r="J430" s="16" t="n">
        <v>305</v>
      </c>
      <c r="K430" s="16"/>
      <c r="L430" s="16"/>
      <c r="M430" s="16" t="n">
        <v>305</v>
      </c>
      <c r="N430" s="19"/>
    </row>
    <row r="431" customFormat="false" ht="15" hidden="false" customHeight="false" outlineLevel="0" collapsed="false">
      <c r="A431" s="13" t="s">
        <v>2862</v>
      </c>
      <c r="B431" s="13" t="s">
        <v>143</v>
      </c>
      <c r="C431" s="13" t="s">
        <v>144</v>
      </c>
      <c r="D431" s="13" t="s">
        <v>2324</v>
      </c>
      <c r="E431" s="13" t="s">
        <v>429</v>
      </c>
      <c r="F431" s="13" t="n">
        <v>1</v>
      </c>
      <c r="G431" s="13" t="n">
        <v>1</v>
      </c>
      <c r="H431" s="5" t="n">
        <v>7900</v>
      </c>
      <c r="I431" s="7" t="n">
        <v>20</v>
      </c>
      <c r="J431" s="16" t="n">
        <v>395</v>
      </c>
      <c r="K431" s="16" t="n">
        <v>395</v>
      </c>
      <c r="L431" s="16"/>
      <c r="M431" s="16"/>
      <c r="N431" s="19"/>
    </row>
    <row r="432" customFormat="false" ht="15" hidden="false" customHeight="false" outlineLevel="0" collapsed="false">
      <c r="A432" s="13" t="s">
        <v>2863</v>
      </c>
      <c r="B432" s="13" t="s">
        <v>50</v>
      </c>
      <c r="C432" s="13" t="s">
        <v>183</v>
      </c>
      <c r="D432" s="13" t="s">
        <v>2339</v>
      </c>
      <c r="E432" s="13" t="s">
        <v>609</v>
      </c>
      <c r="F432" s="13" t="n">
        <v>1</v>
      </c>
      <c r="G432" s="13" t="n">
        <v>3</v>
      </c>
      <c r="H432" s="5" t="n">
        <v>7900</v>
      </c>
      <c r="I432" s="7" t="n">
        <v>8</v>
      </c>
      <c r="J432" s="16" t="n">
        <v>987.5</v>
      </c>
      <c r="K432" s="16"/>
      <c r="L432" s="16" t="n">
        <v>987.5</v>
      </c>
      <c r="M432" s="16"/>
      <c r="N432" s="19"/>
    </row>
    <row r="433" customFormat="false" ht="15" hidden="false" customHeight="false" outlineLevel="0" collapsed="false">
      <c r="A433" s="13" t="s">
        <v>2864</v>
      </c>
      <c r="B433" s="13" t="s">
        <v>50</v>
      </c>
      <c r="C433" s="13" t="s">
        <v>43</v>
      </c>
      <c r="D433" s="13" t="s">
        <v>2360</v>
      </c>
      <c r="E433" s="13" t="s">
        <v>433</v>
      </c>
      <c r="F433" s="13" t="n">
        <v>1</v>
      </c>
      <c r="G433" s="13" t="n">
        <v>1</v>
      </c>
      <c r="H433" s="5" t="n">
        <v>7900</v>
      </c>
      <c r="I433" s="7" t="n">
        <v>10</v>
      </c>
      <c r="J433" s="16" t="n">
        <v>790</v>
      </c>
      <c r="K433" s="16"/>
      <c r="L433" s="16"/>
      <c r="M433" s="16" t="n">
        <v>790</v>
      </c>
      <c r="N433" s="19"/>
    </row>
    <row r="434" customFormat="false" ht="15" hidden="false" customHeight="false" outlineLevel="0" collapsed="false">
      <c r="A434" s="13" t="s">
        <v>2865</v>
      </c>
      <c r="B434" s="13" t="s">
        <v>45</v>
      </c>
      <c r="C434" s="13" t="s">
        <v>43</v>
      </c>
      <c r="D434" s="13" t="s">
        <v>2324</v>
      </c>
      <c r="E434" s="13" t="s">
        <v>508</v>
      </c>
      <c r="F434" s="13" t="n">
        <v>1</v>
      </c>
      <c r="G434" s="13" t="n">
        <v>3</v>
      </c>
      <c r="H434" s="5" t="n">
        <v>7870</v>
      </c>
      <c r="I434" s="7" t="n">
        <v>8</v>
      </c>
      <c r="J434" s="16" t="n">
        <v>983.75</v>
      </c>
      <c r="K434" s="16"/>
      <c r="L434" s="16" t="n">
        <v>983.75</v>
      </c>
      <c r="M434" s="16"/>
      <c r="N434" s="19"/>
    </row>
    <row r="435" customFormat="false" ht="15" hidden="false" customHeight="false" outlineLevel="0" collapsed="false">
      <c r="A435" s="13" t="s">
        <v>2866</v>
      </c>
      <c r="B435" s="13" t="s">
        <v>42</v>
      </c>
      <c r="C435" s="13" t="s">
        <v>43</v>
      </c>
      <c r="D435" s="13" t="s">
        <v>2324</v>
      </c>
      <c r="E435" s="13" t="s">
        <v>847</v>
      </c>
      <c r="F435" s="13" t="n">
        <v>2</v>
      </c>
      <c r="G435" s="13" t="n">
        <v>3</v>
      </c>
      <c r="H435" s="5" t="n">
        <v>7860</v>
      </c>
      <c r="I435" s="7" t="n">
        <v>7</v>
      </c>
      <c r="J435" s="16" t="n">
        <v>1122.85714285714</v>
      </c>
      <c r="K435" s="16"/>
      <c r="L435" s="16" t="n">
        <v>730</v>
      </c>
      <c r="M435" s="16" t="n">
        <v>1280</v>
      </c>
      <c r="N435" s="19" t="n">
        <v>0.753424657534247</v>
      </c>
    </row>
    <row r="436" customFormat="false" ht="15" hidden="false" customHeight="false" outlineLevel="0" collapsed="false">
      <c r="A436" s="13" t="s">
        <v>2867</v>
      </c>
      <c r="B436" s="13" t="s">
        <v>153</v>
      </c>
      <c r="C436" s="13" t="s">
        <v>43</v>
      </c>
      <c r="D436" s="13" t="s">
        <v>2339</v>
      </c>
      <c r="E436" s="13" t="s">
        <v>799</v>
      </c>
      <c r="F436" s="13" t="n">
        <v>2</v>
      </c>
      <c r="G436" s="13" t="n">
        <v>6</v>
      </c>
      <c r="H436" s="5" t="n">
        <v>7810</v>
      </c>
      <c r="I436" s="7" t="n">
        <v>9</v>
      </c>
      <c r="J436" s="16" t="n">
        <v>867.777777777778</v>
      </c>
      <c r="K436" s="16"/>
      <c r="L436" s="16" t="n">
        <v>817.5</v>
      </c>
      <c r="M436" s="16" t="n">
        <v>908</v>
      </c>
      <c r="N436" s="19" t="n">
        <v>0.110703363914373</v>
      </c>
    </row>
    <row r="437" customFormat="false" ht="15" hidden="false" customHeight="false" outlineLevel="0" collapsed="false">
      <c r="A437" s="13" t="s">
        <v>2868</v>
      </c>
      <c r="B437" s="13" t="s">
        <v>153</v>
      </c>
      <c r="C437" s="13" t="s">
        <v>43</v>
      </c>
      <c r="D437" s="13" t="s">
        <v>2339</v>
      </c>
      <c r="E437" s="13" t="s">
        <v>850</v>
      </c>
      <c r="F437" s="13" t="n">
        <v>2</v>
      </c>
      <c r="G437" s="13" t="n">
        <v>4</v>
      </c>
      <c r="H437" s="5" t="n">
        <v>7800</v>
      </c>
      <c r="I437" s="7" t="n">
        <v>10</v>
      </c>
      <c r="J437" s="16" t="n">
        <v>780</v>
      </c>
      <c r="K437" s="16"/>
      <c r="L437" s="16" t="n">
        <v>973.333333333333</v>
      </c>
      <c r="M437" s="16" t="n">
        <v>697.142857142857</v>
      </c>
      <c r="N437" s="19" t="n">
        <v>0.396174863387978</v>
      </c>
    </row>
    <row r="438" customFormat="false" ht="15" hidden="false" customHeight="false" outlineLevel="0" collapsed="false">
      <c r="A438" s="13" t="s">
        <v>2869</v>
      </c>
      <c r="B438" s="13" t="s">
        <v>362</v>
      </c>
      <c r="C438" s="13" t="s">
        <v>43</v>
      </c>
      <c r="D438" s="13" t="s">
        <v>2422</v>
      </c>
      <c r="E438" s="13" t="s">
        <v>538</v>
      </c>
      <c r="F438" s="13" t="n">
        <v>2</v>
      </c>
      <c r="G438" s="13" t="n">
        <v>4</v>
      </c>
      <c r="H438" s="5" t="n">
        <v>7750</v>
      </c>
      <c r="I438" s="7" t="n">
        <v>28</v>
      </c>
      <c r="J438" s="16" t="n">
        <v>276.785714285714</v>
      </c>
      <c r="K438" s="16"/>
      <c r="L438" s="16" t="n">
        <v>340</v>
      </c>
      <c r="M438" s="16" t="n">
        <v>263.04347826087</v>
      </c>
      <c r="N438" s="19" t="n">
        <v>0.292561983471074</v>
      </c>
    </row>
    <row r="439" customFormat="false" ht="15" hidden="false" customHeight="false" outlineLevel="0" collapsed="false">
      <c r="A439" s="13" t="s">
        <v>2870</v>
      </c>
      <c r="B439" s="13" t="s">
        <v>42</v>
      </c>
      <c r="C439" s="13" t="s">
        <v>183</v>
      </c>
      <c r="D439" s="13" t="s">
        <v>2324</v>
      </c>
      <c r="E439" s="13" t="s">
        <v>561</v>
      </c>
      <c r="F439" s="13" t="n">
        <v>1</v>
      </c>
      <c r="G439" s="13" t="n">
        <v>3</v>
      </c>
      <c r="H439" s="5" t="n">
        <v>7720</v>
      </c>
      <c r="I439" s="7" t="n">
        <v>8</v>
      </c>
      <c r="J439" s="16" t="n">
        <v>965</v>
      </c>
      <c r="K439" s="16"/>
      <c r="L439" s="16" t="n">
        <v>965</v>
      </c>
      <c r="M439" s="16"/>
      <c r="N439" s="19"/>
    </row>
    <row r="440" customFormat="false" ht="15" hidden="false" customHeight="false" outlineLevel="0" collapsed="false">
      <c r="A440" s="13" t="s">
        <v>2871</v>
      </c>
      <c r="B440" s="13" t="s">
        <v>42</v>
      </c>
      <c r="C440" s="13" t="s">
        <v>43</v>
      </c>
      <c r="D440" s="13" t="s">
        <v>2339</v>
      </c>
      <c r="E440" s="13" t="s">
        <v>440</v>
      </c>
      <c r="F440" s="13" t="n">
        <v>1</v>
      </c>
      <c r="G440" s="13" t="n">
        <v>1</v>
      </c>
      <c r="H440" s="5" t="n">
        <v>7700</v>
      </c>
      <c r="I440" s="7" t="n">
        <v>10</v>
      </c>
      <c r="J440" s="16" t="n">
        <v>770</v>
      </c>
      <c r="K440" s="16"/>
      <c r="L440" s="16"/>
      <c r="M440" s="16" t="n">
        <v>770</v>
      </c>
      <c r="N440" s="19"/>
    </row>
    <row r="441" customFormat="false" ht="15" hidden="false" customHeight="false" outlineLevel="0" collapsed="false">
      <c r="A441" s="13" t="s">
        <v>2872</v>
      </c>
      <c r="B441" s="13" t="s">
        <v>54</v>
      </c>
      <c r="C441" s="13" t="s">
        <v>43</v>
      </c>
      <c r="D441" s="13" t="s">
        <v>2324</v>
      </c>
      <c r="E441" s="13" t="s">
        <v>439</v>
      </c>
      <c r="F441" s="13" t="n">
        <v>1</v>
      </c>
      <c r="G441" s="13" t="n">
        <v>1</v>
      </c>
      <c r="H441" s="5" t="n">
        <v>7700</v>
      </c>
      <c r="I441" s="7" t="n">
        <v>20</v>
      </c>
      <c r="J441" s="16" t="n">
        <v>385</v>
      </c>
      <c r="K441" s="16"/>
      <c r="L441" s="16"/>
      <c r="M441" s="16" t="n">
        <v>385</v>
      </c>
      <c r="N441" s="19"/>
    </row>
    <row r="442" customFormat="false" ht="15" hidden="false" customHeight="false" outlineLevel="0" collapsed="false">
      <c r="A442" s="13" t="s">
        <v>2873</v>
      </c>
      <c r="B442" s="13" t="s">
        <v>45</v>
      </c>
      <c r="C442" s="13" t="s">
        <v>43</v>
      </c>
      <c r="D442" s="13" t="s">
        <v>2324</v>
      </c>
      <c r="E442" s="13" t="s">
        <v>436</v>
      </c>
      <c r="F442" s="13" t="n">
        <v>2</v>
      </c>
      <c r="G442" s="13" t="n">
        <v>4</v>
      </c>
      <c r="H442" s="5" t="n">
        <v>7680</v>
      </c>
      <c r="I442" s="7" t="n">
        <v>9</v>
      </c>
      <c r="J442" s="16" t="n">
        <v>853.333333333333</v>
      </c>
      <c r="K442" s="16"/>
      <c r="L442" s="16" t="n">
        <v>776.666666666667</v>
      </c>
      <c r="M442" s="16" t="n">
        <v>891.666666666667</v>
      </c>
      <c r="N442" s="19" t="n">
        <v>0.148068669527897</v>
      </c>
    </row>
    <row r="443" customFormat="false" ht="15" hidden="false" customHeight="false" outlineLevel="0" collapsed="false">
      <c r="A443" s="13" t="s">
        <v>2874</v>
      </c>
      <c r="B443" s="13" t="s">
        <v>42</v>
      </c>
      <c r="C443" s="13" t="s">
        <v>43</v>
      </c>
      <c r="D443" s="13" t="s">
        <v>2360</v>
      </c>
      <c r="E443" s="13" t="s">
        <v>468</v>
      </c>
      <c r="F443" s="13" t="n">
        <v>1</v>
      </c>
      <c r="G443" s="13" t="n">
        <v>2</v>
      </c>
      <c r="H443" s="5" t="n">
        <v>7660</v>
      </c>
      <c r="I443" s="7" t="n">
        <v>6</v>
      </c>
      <c r="J443" s="16" t="n">
        <v>1276.66666666667</v>
      </c>
      <c r="K443" s="16"/>
      <c r="L443" s="16" t="n">
        <v>1276.66666666667</v>
      </c>
      <c r="M443" s="16"/>
      <c r="N443" s="19"/>
    </row>
    <row r="444" customFormat="false" ht="15" hidden="false" customHeight="false" outlineLevel="0" collapsed="false">
      <c r="A444" s="13" t="s">
        <v>2875</v>
      </c>
      <c r="B444" s="13" t="s">
        <v>61</v>
      </c>
      <c r="C444" s="13" t="s">
        <v>43</v>
      </c>
      <c r="D444" s="13" t="s">
        <v>2324</v>
      </c>
      <c r="E444" s="13" t="s">
        <v>441</v>
      </c>
      <c r="F444" s="13" t="n">
        <v>1</v>
      </c>
      <c r="G444" s="13" t="n">
        <v>1</v>
      </c>
      <c r="H444" s="5" t="n">
        <v>7600</v>
      </c>
      <c r="I444" s="7" t="n">
        <v>10</v>
      </c>
      <c r="J444" s="16" t="n">
        <v>760</v>
      </c>
      <c r="K444" s="16"/>
      <c r="L444" s="16"/>
      <c r="M444" s="16" t="n">
        <v>760</v>
      </c>
      <c r="N444" s="19"/>
    </row>
    <row r="445" customFormat="false" ht="15" hidden="false" customHeight="false" outlineLevel="0" collapsed="false">
      <c r="A445" s="13" t="s">
        <v>2876</v>
      </c>
      <c r="B445" s="13" t="s">
        <v>103</v>
      </c>
      <c r="C445" s="13" t="s">
        <v>43</v>
      </c>
      <c r="D445" s="13" t="s">
        <v>2327</v>
      </c>
      <c r="E445" s="13" t="s">
        <v>1962</v>
      </c>
      <c r="F445" s="13" t="n">
        <v>2</v>
      </c>
      <c r="G445" s="13" t="n">
        <v>8</v>
      </c>
      <c r="H445" s="5" t="n">
        <v>7590</v>
      </c>
      <c r="I445" s="7" t="n">
        <v>43</v>
      </c>
      <c r="J445" s="16" t="n">
        <v>176.511627906977</v>
      </c>
      <c r="K445" s="16"/>
      <c r="L445" s="16" t="n">
        <v>230</v>
      </c>
      <c r="M445" s="16" t="n">
        <v>173.90243902439</v>
      </c>
      <c r="N445" s="19" t="n">
        <v>0.32258064516129</v>
      </c>
    </row>
    <row r="446" customFormat="false" ht="15" hidden="false" customHeight="false" outlineLevel="0" collapsed="false">
      <c r="A446" s="13" t="s">
        <v>2877</v>
      </c>
      <c r="B446" s="13" t="s">
        <v>153</v>
      </c>
      <c r="C446" s="13" t="s">
        <v>43</v>
      </c>
      <c r="D446" s="13" t="s">
        <v>2339</v>
      </c>
      <c r="E446" s="13" t="s">
        <v>1121</v>
      </c>
      <c r="F446" s="13" t="n">
        <v>2</v>
      </c>
      <c r="G446" s="13" t="n">
        <v>7</v>
      </c>
      <c r="H446" s="5" t="n">
        <v>7580</v>
      </c>
      <c r="I446" s="7" t="n">
        <v>12</v>
      </c>
      <c r="J446" s="16" t="n">
        <v>631.666666666667</v>
      </c>
      <c r="K446" s="16"/>
      <c r="L446" s="16" t="n">
        <v>618</v>
      </c>
      <c r="M446" s="16" t="n">
        <v>641.428571428571</v>
      </c>
      <c r="N446" s="19" t="n">
        <v>0.03791030975497</v>
      </c>
    </row>
    <row r="447" customFormat="false" ht="15" hidden="false" customHeight="false" outlineLevel="0" collapsed="false">
      <c r="A447" s="13" t="s">
        <v>2878</v>
      </c>
      <c r="B447" s="13" t="s">
        <v>61</v>
      </c>
      <c r="C447" s="13" t="s">
        <v>43</v>
      </c>
      <c r="D447" s="13" t="s">
        <v>2324</v>
      </c>
      <c r="E447" s="13" t="s">
        <v>629</v>
      </c>
      <c r="F447" s="13" t="n">
        <v>1</v>
      </c>
      <c r="G447" s="13" t="n">
        <v>4</v>
      </c>
      <c r="H447" s="5" t="n">
        <v>7500</v>
      </c>
      <c r="I447" s="7" t="n">
        <v>29</v>
      </c>
      <c r="J447" s="16" t="n">
        <v>258.620689655172</v>
      </c>
      <c r="K447" s="16"/>
      <c r="L447" s="16"/>
      <c r="M447" s="16" t="n">
        <v>258.620689655172</v>
      </c>
      <c r="N447" s="19"/>
    </row>
    <row r="448" customFormat="false" ht="15" hidden="false" customHeight="false" outlineLevel="0" collapsed="false">
      <c r="A448" s="13" t="s">
        <v>2879</v>
      </c>
      <c r="B448" s="13" t="s">
        <v>630</v>
      </c>
      <c r="C448" s="13" t="s">
        <v>43</v>
      </c>
      <c r="D448" s="13" t="s">
        <v>2324</v>
      </c>
      <c r="E448" s="13" t="s">
        <v>631</v>
      </c>
      <c r="F448" s="13" t="n">
        <v>2</v>
      </c>
      <c r="G448" s="13" t="n">
        <v>3</v>
      </c>
      <c r="H448" s="5" t="n">
        <v>7500</v>
      </c>
      <c r="I448" s="7" t="n">
        <v>35</v>
      </c>
      <c r="J448" s="16" t="n">
        <v>214.285714285714</v>
      </c>
      <c r="K448" s="16"/>
      <c r="L448" s="16" t="n">
        <v>185</v>
      </c>
      <c r="M448" s="16" t="n">
        <v>253.333333333333</v>
      </c>
      <c r="N448" s="19" t="n">
        <v>0.369369369369369</v>
      </c>
    </row>
    <row r="449" customFormat="false" ht="15" hidden="false" customHeight="false" outlineLevel="0" collapsed="false">
      <c r="A449" s="13" t="s">
        <v>2880</v>
      </c>
      <c r="B449" s="13" t="s">
        <v>153</v>
      </c>
      <c r="C449" s="13" t="s">
        <v>43</v>
      </c>
      <c r="D449" s="13" t="s">
        <v>2422</v>
      </c>
      <c r="E449" s="13" t="s">
        <v>448</v>
      </c>
      <c r="F449" s="13" t="n">
        <v>1</v>
      </c>
      <c r="G449" s="13" t="n">
        <v>1</v>
      </c>
      <c r="H449" s="5" t="n">
        <v>7400</v>
      </c>
      <c r="I449" s="7" t="n">
        <v>30</v>
      </c>
      <c r="J449" s="16" t="n">
        <v>246.666666666667</v>
      </c>
      <c r="K449" s="16"/>
      <c r="L449" s="16"/>
      <c r="M449" s="16" t="n">
        <v>246.666666666667</v>
      </c>
      <c r="N449" s="19"/>
    </row>
    <row r="450" customFormat="false" ht="15" hidden="false" customHeight="false" outlineLevel="0" collapsed="false">
      <c r="A450" s="13" t="s">
        <v>2881</v>
      </c>
      <c r="B450" s="13" t="s">
        <v>153</v>
      </c>
      <c r="C450" s="13" t="s">
        <v>43</v>
      </c>
      <c r="D450" s="13" t="s">
        <v>2327</v>
      </c>
      <c r="E450" s="13" t="s">
        <v>450</v>
      </c>
      <c r="F450" s="13" t="n">
        <v>1</v>
      </c>
      <c r="G450" s="13" t="n">
        <v>1</v>
      </c>
      <c r="H450" s="5" t="n">
        <v>7300</v>
      </c>
      <c r="I450" s="7" t="n">
        <v>10</v>
      </c>
      <c r="J450" s="16" t="n">
        <v>730</v>
      </c>
      <c r="K450" s="16"/>
      <c r="L450" s="16"/>
      <c r="M450" s="16" t="n">
        <v>730</v>
      </c>
      <c r="N450" s="19"/>
    </row>
    <row r="451" customFormat="false" ht="15" hidden="false" customHeight="false" outlineLevel="0" collapsed="false">
      <c r="A451" s="13" t="s">
        <v>2882</v>
      </c>
      <c r="B451" s="13" t="s">
        <v>72</v>
      </c>
      <c r="C451" s="13" t="s">
        <v>43</v>
      </c>
      <c r="D451" s="13" t="s">
        <v>2422</v>
      </c>
      <c r="E451" s="13" t="s">
        <v>1689</v>
      </c>
      <c r="F451" s="13" t="n">
        <v>1</v>
      </c>
      <c r="G451" s="13" t="n">
        <v>3</v>
      </c>
      <c r="H451" s="5" t="n">
        <v>7280</v>
      </c>
      <c r="I451" s="7" t="n">
        <v>8</v>
      </c>
      <c r="J451" s="16" t="n">
        <v>910</v>
      </c>
      <c r="K451" s="16"/>
      <c r="L451" s="16"/>
      <c r="M451" s="16" t="n">
        <v>910</v>
      </c>
      <c r="N451" s="19"/>
    </row>
    <row r="452" customFormat="false" ht="15" hidden="false" customHeight="false" outlineLevel="0" collapsed="false">
      <c r="A452" s="13" t="s">
        <v>2883</v>
      </c>
      <c r="B452" s="13" t="s">
        <v>45</v>
      </c>
      <c r="C452" s="13" t="s">
        <v>43</v>
      </c>
      <c r="D452" s="13" t="s">
        <v>2500</v>
      </c>
      <c r="E452" s="13" t="s">
        <v>1536</v>
      </c>
      <c r="F452" s="13" t="n">
        <v>2</v>
      </c>
      <c r="G452" s="13" t="n">
        <v>3</v>
      </c>
      <c r="H452" s="5" t="n">
        <v>7240</v>
      </c>
      <c r="I452" s="7" t="n">
        <v>11</v>
      </c>
      <c r="J452" s="16" t="n">
        <v>658.181818181818</v>
      </c>
      <c r="K452" s="16"/>
      <c r="L452" s="16" t="n">
        <v>640</v>
      </c>
      <c r="M452" s="16" t="n">
        <v>660</v>
      </c>
      <c r="N452" s="19" t="n">
        <v>0.03125</v>
      </c>
    </row>
    <row r="453" customFormat="false" ht="15" hidden="false" customHeight="false" outlineLevel="0" collapsed="false">
      <c r="A453" s="13" t="s">
        <v>2884</v>
      </c>
      <c r="B453" s="13" t="s">
        <v>2110</v>
      </c>
      <c r="C453" s="13" t="s">
        <v>43</v>
      </c>
      <c r="D453" s="13" t="s">
        <v>2339</v>
      </c>
      <c r="E453" s="13" t="s">
        <v>2885</v>
      </c>
      <c r="F453" s="13" t="n">
        <v>2</v>
      </c>
      <c r="G453" s="13" t="n">
        <v>3</v>
      </c>
      <c r="H453" s="5" t="n">
        <v>7230</v>
      </c>
      <c r="I453" s="7" t="n">
        <v>11</v>
      </c>
      <c r="J453" s="16" t="n">
        <v>657.272727272727</v>
      </c>
      <c r="K453" s="16"/>
      <c r="L453" s="16" t="n">
        <v>800</v>
      </c>
      <c r="M453" s="16" t="n">
        <v>538.333333333333</v>
      </c>
      <c r="N453" s="19" t="n">
        <v>0.486068111455108</v>
      </c>
    </row>
    <row r="454" customFormat="false" ht="15" hidden="false" customHeight="false" outlineLevel="0" collapsed="false">
      <c r="A454" s="13" t="s">
        <v>2886</v>
      </c>
      <c r="B454" s="13" t="s">
        <v>153</v>
      </c>
      <c r="C454" s="13" t="s">
        <v>43</v>
      </c>
      <c r="D454" s="13" t="s">
        <v>2324</v>
      </c>
      <c r="E454" s="13" t="s">
        <v>483</v>
      </c>
      <c r="F454" s="13" t="n">
        <v>1</v>
      </c>
      <c r="G454" s="13" t="n">
        <v>2</v>
      </c>
      <c r="H454" s="5" t="n">
        <v>7110</v>
      </c>
      <c r="I454" s="7" t="n">
        <v>22</v>
      </c>
      <c r="J454" s="16" t="n">
        <v>323.181818181818</v>
      </c>
      <c r="K454" s="16"/>
      <c r="L454" s="16"/>
      <c r="M454" s="16" t="n">
        <v>323.181818181818</v>
      </c>
      <c r="N454" s="19"/>
    </row>
    <row r="455" customFormat="false" ht="15" hidden="false" customHeight="false" outlineLevel="0" collapsed="false">
      <c r="A455" s="13" t="s">
        <v>2887</v>
      </c>
      <c r="B455" s="13" t="s">
        <v>50</v>
      </c>
      <c r="C455" s="13" t="s">
        <v>43</v>
      </c>
      <c r="D455" s="13" t="s">
        <v>2324</v>
      </c>
      <c r="E455" s="13" t="s">
        <v>596</v>
      </c>
      <c r="F455" s="13" t="n">
        <v>1</v>
      </c>
      <c r="G455" s="13" t="n">
        <v>2</v>
      </c>
      <c r="H455" s="5" t="n">
        <v>7100</v>
      </c>
      <c r="I455" s="7" t="n">
        <v>7</v>
      </c>
      <c r="J455" s="16" t="n">
        <v>1014.28571428571</v>
      </c>
      <c r="K455" s="16"/>
      <c r="L455" s="16" t="n">
        <v>1014.28571428571</v>
      </c>
      <c r="M455" s="16"/>
      <c r="N455" s="19"/>
    </row>
    <row r="456" customFormat="false" ht="15" hidden="false" customHeight="false" outlineLevel="0" collapsed="false">
      <c r="A456" s="13" t="s">
        <v>2888</v>
      </c>
      <c r="B456" s="13" t="s">
        <v>2154</v>
      </c>
      <c r="C456" s="13" t="s">
        <v>43</v>
      </c>
      <c r="D456" s="13" t="s">
        <v>2324</v>
      </c>
      <c r="E456" s="13" t="s">
        <v>2889</v>
      </c>
      <c r="F456" s="13" t="n">
        <v>1</v>
      </c>
      <c r="G456" s="13" t="n">
        <v>1</v>
      </c>
      <c r="H456" s="5" t="n">
        <v>7100</v>
      </c>
      <c r="I456" s="7" t="n">
        <v>30</v>
      </c>
      <c r="J456" s="16" t="n">
        <v>236.666666666667</v>
      </c>
      <c r="K456" s="16"/>
      <c r="L456" s="16"/>
      <c r="M456" s="16" t="n">
        <v>236.666666666667</v>
      </c>
      <c r="N456" s="19"/>
    </row>
    <row r="457" customFormat="false" ht="15" hidden="false" customHeight="false" outlineLevel="0" collapsed="false">
      <c r="A457" s="13" t="s">
        <v>2890</v>
      </c>
      <c r="B457" s="13" t="s">
        <v>490</v>
      </c>
      <c r="C457" s="13" t="s">
        <v>43</v>
      </c>
      <c r="D457" s="13" t="s">
        <v>2339</v>
      </c>
      <c r="E457" s="13" t="s">
        <v>895</v>
      </c>
      <c r="F457" s="13" t="n">
        <v>2</v>
      </c>
      <c r="G457" s="13" t="n">
        <v>6</v>
      </c>
      <c r="H457" s="5" t="n">
        <v>7060</v>
      </c>
      <c r="I457" s="7" t="n">
        <v>11</v>
      </c>
      <c r="J457" s="16" t="n">
        <v>641.818181818182</v>
      </c>
      <c r="K457" s="16"/>
      <c r="L457" s="16" t="n">
        <v>883.333333333333</v>
      </c>
      <c r="M457" s="16" t="n">
        <v>551.25</v>
      </c>
      <c r="N457" s="19" t="n">
        <v>0.602418745275888</v>
      </c>
    </row>
    <row r="458" customFormat="false" ht="15" hidden="false" customHeight="false" outlineLevel="0" collapsed="false">
      <c r="A458" s="13" t="s">
        <v>2891</v>
      </c>
      <c r="B458" s="13" t="s">
        <v>124</v>
      </c>
      <c r="C458" s="13" t="s">
        <v>43</v>
      </c>
      <c r="D458" s="13" t="s">
        <v>2324</v>
      </c>
      <c r="E458" s="13" t="s">
        <v>466</v>
      </c>
      <c r="F458" s="13" t="n">
        <v>1</v>
      </c>
      <c r="G458" s="13" t="n">
        <v>1</v>
      </c>
      <c r="H458" s="5" t="n">
        <v>7000</v>
      </c>
      <c r="I458" s="7" t="n">
        <v>5</v>
      </c>
      <c r="J458" s="16" t="n">
        <v>1400</v>
      </c>
      <c r="K458" s="16"/>
      <c r="L458" s="16"/>
      <c r="M458" s="16" t="n">
        <v>1400</v>
      </c>
      <c r="N458" s="19"/>
    </row>
    <row r="459" customFormat="false" ht="15" hidden="false" customHeight="false" outlineLevel="0" collapsed="false">
      <c r="A459" s="13" t="s">
        <v>2892</v>
      </c>
      <c r="B459" s="13" t="s">
        <v>177</v>
      </c>
      <c r="C459" s="13" t="s">
        <v>43</v>
      </c>
      <c r="D459" s="13" t="s">
        <v>2337</v>
      </c>
      <c r="E459" s="13" t="s">
        <v>467</v>
      </c>
      <c r="F459" s="13" t="n">
        <v>1</v>
      </c>
      <c r="G459" s="13" t="n">
        <v>1</v>
      </c>
      <c r="H459" s="5" t="n">
        <v>7000</v>
      </c>
      <c r="I459" s="7" t="n">
        <v>5</v>
      </c>
      <c r="J459" s="16" t="n">
        <v>1400</v>
      </c>
      <c r="K459" s="16"/>
      <c r="L459" s="16"/>
      <c r="M459" s="16" t="n">
        <v>1400</v>
      </c>
      <c r="N459" s="19"/>
    </row>
    <row r="460" customFormat="false" ht="15" hidden="false" customHeight="false" outlineLevel="0" collapsed="false">
      <c r="A460" s="13" t="s">
        <v>2893</v>
      </c>
      <c r="B460" s="13" t="s">
        <v>45</v>
      </c>
      <c r="C460" s="13" t="s">
        <v>43</v>
      </c>
      <c r="D460" s="13" t="s">
        <v>2324</v>
      </c>
      <c r="E460" s="13" t="s">
        <v>1583</v>
      </c>
      <c r="F460" s="13" t="n">
        <v>2</v>
      </c>
      <c r="G460" s="13" t="n">
        <v>3</v>
      </c>
      <c r="H460" s="5" t="n">
        <v>7000</v>
      </c>
      <c r="I460" s="7" t="n">
        <v>12</v>
      </c>
      <c r="J460" s="16" t="n">
        <v>583.333333333333</v>
      </c>
      <c r="K460" s="16"/>
      <c r="L460" s="16" t="n">
        <v>610</v>
      </c>
      <c r="M460" s="16" t="n">
        <v>580.909090909091</v>
      </c>
      <c r="N460" s="19" t="n">
        <v>0.0500782472613459</v>
      </c>
    </row>
    <row r="461" customFormat="false" ht="15" hidden="false" customHeight="false" outlineLevel="0" collapsed="false">
      <c r="A461" s="13" t="s">
        <v>2894</v>
      </c>
      <c r="B461" s="13" t="s">
        <v>2170</v>
      </c>
      <c r="C461" s="13" t="s">
        <v>85</v>
      </c>
      <c r="D461" s="13" t="s">
        <v>2324</v>
      </c>
      <c r="E461" s="13" t="s">
        <v>2895</v>
      </c>
      <c r="F461" s="13" t="n">
        <v>1</v>
      </c>
      <c r="G461" s="13" t="n">
        <v>1</v>
      </c>
      <c r="H461" s="5" t="n">
        <v>7000</v>
      </c>
      <c r="I461" s="7" t="n">
        <v>50</v>
      </c>
      <c r="J461" s="16" t="n">
        <v>140</v>
      </c>
      <c r="K461" s="16" t="n">
        <v>140</v>
      </c>
      <c r="L461" s="16"/>
      <c r="M461" s="16"/>
      <c r="N461" s="19"/>
    </row>
    <row r="462" customFormat="false" ht="15" hidden="false" customHeight="false" outlineLevel="0" collapsed="false">
      <c r="A462" s="13" t="s">
        <v>2896</v>
      </c>
      <c r="B462" s="13" t="s">
        <v>50</v>
      </c>
      <c r="C462" s="13" t="s">
        <v>43</v>
      </c>
      <c r="D462" s="13" t="s">
        <v>2324</v>
      </c>
      <c r="E462" s="13" t="s">
        <v>526</v>
      </c>
      <c r="F462" s="13" t="n">
        <v>2</v>
      </c>
      <c r="G462" s="13" t="n">
        <v>2</v>
      </c>
      <c r="H462" s="5" t="n">
        <v>7000</v>
      </c>
      <c r="I462" s="7" t="n">
        <v>7</v>
      </c>
      <c r="J462" s="16" t="n">
        <v>1000</v>
      </c>
      <c r="K462" s="16"/>
      <c r="L462" s="16" t="n">
        <v>800</v>
      </c>
      <c r="M462" s="16" t="n">
        <v>1080</v>
      </c>
      <c r="N462" s="19" t="n">
        <v>0.35</v>
      </c>
    </row>
    <row r="463" customFormat="false" ht="15" hidden="false" customHeight="false" outlineLevel="0" collapsed="false">
      <c r="A463" s="13" t="s">
        <v>2897</v>
      </c>
      <c r="B463" s="13" t="s">
        <v>107</v>
      </c>
      <c r="C463" s="13" t="s">
        <v>43</v>
      </c>
      <c r="D463" s="13" t="s">
        <v>2324</v>
      </c>
      <c r="E463" s="13" t="s">
        <v>464</v>
      </c>
      <c r="F463" s="13" t="n">
        <v>1</v>
      </c>
      <c r="G463" s="13" t="n">
        <v>1</v>
      </c>
      <c r="H463" s="5" t="n">
        <v>7000</v>
      </c>
      <c r="I463" s="7" t="n">
        <v>20</v>
      </c>
      <c r="J463" s="16" t="n">
        <v>350</v>
      </c>
      <c r="K463" s="16"/>
      <c r="L463" s="16"/>
      <c r="M463" s="16" t="n">
        <v>350</v>
      </c>
      <c r="N463" s="19"/>
    </row>
    <row r="464" customFormat="false" ht="15" hidden="false" customHeight="false" outlineLevel="0" collapsed="false">
      <c r="A464" s="13" t="s">
        <v>2898</v>
      </c>
      <c r="B464" s="13" t="s">
        <v>490</v>
      </c>
      <c r="C464" s="13" t="s">
        <v>43</v>
      </c>
      <c r="D464" s="13" t="s">
        <v>2422</v>
      </c>
      <c r="E464" s="13" t="s">
        <v>1566</v>
      </c>
      <c r="F464" s="13" t="n">
        <v>2</v>
      </c>
      <c r="G464" s="13" t="n">
        <v>4</v>
      </c>
      <c r="H464" s="5" t="n">
        <v>6920</v>
      </c>
      <c r="I464" s="7" t="n">
        <v>25</v>
      </c>
      <c r="J464" s="16" t="n">
        <v>276.8</v>
      </c>
      <c r="K464" s="16"/>
      <c r="L464" s="16" t="n">
        <v>310</v>
      </c>
      <c r="M464" s="16" t="n">
        <v>273.913043478261</v>
      </c>
      <c r="N464" s="19" t="n">
        <v>0.131746031746032</v>
      </c>
    </row>
    <row r="465" customFormat="false" ht="15" hidden="false" customHeight="false" outlineLevel="0" collapsed="false">
      <c r="A465" s="13" t="s">
        <v>2899</v>
      </c>
      <c r="B465" s="13" t="s">
        <v>193</v>
      </c>
      <c r="C465" s="13" t="s">
        <v>43</v>
      </c>
      <c r="D465" s="13" t="s">
        <v>2324</v>
      </c>
      <c r="E465" s="13" t="s">
        <v>581</v>
      </c>
      <c r="F465" s="13" t="n">
        <v>1</v>
      </c>
      <c r="G465" s="13" t="n">
        <v>2</v>
      </c>
      <c r="H465" s="5" t="n">
        <v>6900</v>
      </c>
      <c r="I465" s="7" t="n">
        <v>7</v>
      </c>
      <c r="J465" s="16" t="n">
        <v>985.714285714286</v>
      </c>
      <c r="K465" s="16"/>
      <c r="L465" s="16"/>
      <c r="M465" s="16" t="n">
        <v>985.714285714286</v>
      </c>
      <c r="N465" s="19"/>
    </row>
    <row r="466" customFormat="false" ht="15" hidden="false" customHeight="false" outlineLevel="0" collapsed="false">
      <c r="A466" s="13" t="s">
        <v>2900</v>
      </c>
      <c r="B466" s="13" t="s">
        <v>186</v>
      </c>
      <c r="C466" s="13" t="s">
        <v>43</v>
      </c>
      <c r="D466" s="13" t="s">
        <v>2324</v>
      </c>
      <c r="E466" s="13" t="s">
        <v>550</v>
      </c>
      <c r="F466" s="13" t="n">
        <v>2</v>
      </c>
      <c r="G466" s="13" t="n">
        <v>2</v>
      </c>
      <c r="H466" s="5" t="n">
        <v>6900</v>
      </c>
      <c r="I466" s="7" t="n">
        <v>15</v>
      </c>
      <c r="J466" s="16" t="n">
        <v>460</v>
      </c>
      <c r="K466" s="16"/>
      <c r="L466" s="16" t="n">
        <v>500</v>
      </c>
      <c r="M466" s="16" t="n">
        <v>380</v>
      </c>
      <c r="N466" s="19" t="n">
        <v>0.315789473684211</v>
      </c>
    </row>
    <row r="467" customFormat="false" ht="15" hidden="false" customHeight="false" outlineLevel="0" collapsed="false">
      <c r="A467" s="13" t="s">
        <v>2901</v>
      </c>
      <c r="B467" s="13" t="s">
        <v>2167</v>
      </c>
      <c r="C467" s="13" t="s">
        <v>85</v>
      </c>
      <c r="D467" s="13" t="s">
        <v>2322</v>
      </c>
      <c r="E467" s="13" t="s">
        <v>2902</v>
      </c>
      <c r="F467" s="13" t="n">
        <v>2</v>
      </c>
      <c r="G467" s="13" t="n">
        <v>2</v>
      </c>
      <c r="H467" s="5" t="n">
        <v>6900</v>
      </c>
      <c r="I467" s="7" t="n">
        <v>22</v>
      </c>
      <c r="J467" s="16" t="n">
        <v>313.636363636364</v>
      </c>
      <c r="K467" s="16" t="n">
        <v>260</v>
      </c>
      <c r="L467" s="16" t="n">
        <v>850</v>
      </c>
      <c r="M467" s="16"/>
      <c r="N467" s="19" t="n">
        <v>2.26923076923077</v>
      </c>
    </row>
    <row r="468" customFormat="false" ht="15" hidden="false" customHeight="false" outlineLevel="0" collapsed="false">
      <c r="A468" s="13" t="s">
        <v>2903</v>
      </c>
      <c r="B468" s="13" t="s">
        <v>61</v>
      </c>
      <c r="C468" s="13" t="s">
        <v>43</v>
      </c>
      <c r="D468" s="13" t="s">
        <v>2324</v>
      </c>
      <c r="E468" s="13" t="s">
        <v>441</v>
      </c>
      <c r="F468" s="13" t="n">
        <v>1</v>
      </c>
      <c r="G468" s="13" t="n">
        <v>2</v>
      </c>
      <c r="H468" s="5" t="n">
        <v>6880</v>
      </c>
      <c r="I468" s="7" t="n">
        <v>21</v>
      </c>
      <c r="J468" s="16" t="n">
        <v>327.619047619048</v>
      </c>
      <c r="K468" s="16"/>
      <c r="L468" s="16"/>
      <c r="M468" s="16" t="n">
        <v>327.619047619048</v>
      </c>
      <c r="N468" s="19"/>
    </row>
    <row r="469" customFormat="false" ht="15" hidden="false" customHeight="false" outlineLevel="0" collapsed="false">
      <c r="A469" s="13" t="s">
        <v>2904</v>
      </c>
      <c r="B469" s="13" t="s">
        <v>2111</v>
      </c>
      <c r="C469" s="13" t="s">
        <v>43</v>
      </c>
      <c r="D469" s="13" t="s">
        <v>2339</v>
      </c>
      <c r="E469" s="13" t="s">
        <v>2905</v>
      </c>
      <c r="F469" s="13" t="n">
        <v>3</v>
      </c>
      <c r="G469" s="13" t="n">
        <v>3</v>
      </c>
      <c r="H469" s="5" t="n">
        <v>6820</v>
      </c>
      <c r="I469" s="7" t="n">
        <v>8</v>
      </c>
      <c r="J469" s="16" t="n">
        <v>852.5</v>
      </c>
      <c r="K469" s="16" t="n">
        <v>1150</v>
      </c>
      <c r="L469" s="16" t="n">
        <v>720</v>
      </c>
      <c r="M469" s="16" t="n">
        <v>760</v>
      </c>
      <c r="N469" s="19" t="n">
        <v>0.597222222222222</v>
      </c>
    </row>
    <row r="470" customFormat="false" ht="15" hidden="false" customHeight="false" outlineLevel="0" collapsed="false">
      <c r="A470" s="13" t="s">
        <v>2906</v>
      </c>
      <c r="B470" s="13" t="s">
        <v>490</v>
      </c>
      <c r="C470" s="13" t="s">
        <v>43</v>
      </c>
      <c r="D470" s="13" t="s">
        <v>2324</v>
      </c>
      <c r="E470" s="13" t="s">
        <v>491</v>
      </c>
      <c r="F470" s="13" t="n">
        <v>2</v>
      </c>
      <c r="G470" s="13" t="n">
        <v>2</v>
      </c>
      <c r="H470" s="5" t="n">
        <v>6820</v>
      </c>
      <c r="I470" s="7" t="n">
        <v>21</v>
      </c>
      <c r="J470" s="16" t="n">
        <v>324.761904761905</v>
      </c>
      <c r="K470" s="16" t="n">
        <v>310</v>
      </c>
      <c r="L470" s="16"/>
      <c r="M470" s="16" t="n">
        <v>620</v>
      </c>
      <c r="N470" s="19" t="n">
        <v>1</v>
      </c>
    </row>
    <row r="471" customFormat="false" ht="15" hidden="false" customHeight="false" outlineLevel="0" collapsed="false">
      <c r="A471" s="13" t="s">
        <v>2907</v>
      </c>
      <c r="B471" s="13" t="s">
        <v>124</v>
      </c>
      <c r="C471" s="13" t="s">
        <v>43</v>
      </c>
      <c r="D471" s="13" t="s">
        <v>2324</v>
      </c>
      <c r="E471" s="13" t="s">
        <v>125</v>
      </c>
      <c r="F471" s="13" t="n">
        <v>1</v>
      </c>
      <c r="G471" s="13" t="n">
        <v>2</v>
      </c>
      <c r="H471" s="5" t="n">
        <v>6800</v>
      </c>
      <c r="I471" s="7" t="n">
        <v>7</v>
      </c>
      <c r="J471" s="16" t="n">
        <v>971.428571428571</v>
      </c>
      <c r="K471" s="16"/>
      <c r="L471" s="16"/>
      <c r="M471" s="16" t="n">
        <v>971.428571428571</v>
      </c>
      <c r="N471" s="19"/>
    </row>
    <row r="472" customFormat="false" ht="15" hidden="false" customHeight="false" outlineLevel="0" collapsed="false">
      <c r="A472" s="13" t="s">
        <v>2908</v>
      </c>
      <c r="B472" s="13" t="s">
        <v>124</v>
      </c>
      <c r="C472" s="13" t="s">
        <v>43</v>
      </c>
      <c r="D472" s="13" t="s">
        <v>2324</v>
      </c>
      <c r="E472" s="13" t="s">
        <v>379</v>
      </c>
      <c r="F472" s="13" t="n">
        <v>1</v>
      </c>
      <c r="G472" s="13" t="n">
        <v>2</v>
      </c>
      <c r="H472" s="5" t="n">
        <v>6800</v>
      </c>
      <c r="I472" s="7" t="n">
        <v>15</v>
      </c>
      <c r="J472" s="16" t="n">
        <v>453.333333333333</v>
      </c>
      <c r="K472" s="16"/>
      <c r="L472" s="16"/>
      <c r="M472" s="16" t="n">
        <v>453.333333333333</v>
      </c>
      <c r="N472" s="19"/>
    </row>
    <row r="473" customFormat="false" ht="15" hidden="false" customHeight="false" outlineLevel="0" collapsed="false">
      <c r="A473" s="13" t="s">
        <v>2909</v>
      </c>
      <c r="B473" s="13" t="s">
        <v>105</v>
      </c>
      <c r="C473" s="13" t="s">
        <v>43</v>
      </c>
      <c r="D473" s="13" t="s">
        <v>2324</v>
      </c>
      <c r="E473" s="13" t="s">
        <v>513</v>
      </c>
      <c r="F473" s="13" t="n">
        <v>1</v>
      </c>
      <c r="G473" s="13" t="n">
        <v>2</v>
      </c>
      <c r="H473" s="5" t="n">
        <v>6800</v>
      </c>
      <c r="I473" s="7" t="n">
        <v>7</v>
      </c>
      <c r="J473" s="16" t="n">
        <v>971.428571428571</v>
      </c>
      <c r="K473" s="16"/>
      <c r="L473" s="16" t="n">
        <v>971.428571428571</v>
      </c>
      <c r="M473" s="16"/>
      <c r="N473" s="19"/>
    </row>
    <row r="474" customFormat="false" ht="15" hidden="false" customHeight="false" outlineLevel="0" collapsed="false">
      <c r="A474" s="13" t="s">
        <v>2910</v>
      </c>
      <c r="B474" s="13" t="s">
        <v>191</v>
      </c>
      <c r="C474" s="13" t="s">
        <v>183</v>
      </c>
      <c r="D474" s="13" t="s">
        <v>2324</v>
      </c>
      <c r="E474" s="13" t="s">
        <v>472</v>
      </c>
      <c r="F474" s="13" t="n">
        <v>1</v>
      </c>
      <c r="G474" s="13" t="n">
        <v>1</v>
      </c>
      <c r="H474" s="5" t="n">
        <v>6700</v>
      </c>
      <c r="I474" s="7" t="n">
        <v>60</v>
      </c>
      <c r="J474" s="16" t="n">
        <v>111.666666666667</v>
      </c>
      <c r="K474" s="16" t="n">
        <v>111.666666666667</v>
      </c>
      <c r="L474" s="16"/>
      <c r="M474" s="16"/>
      <c r="N474" s="19"/>
    </row>
    <row r="475" customFormat="false" ht="15" hidden="false" customHeight="false" outlineLevel="0" collapsed="false">
      <c r="A475" s="13" t="s">
        <v>2911</v>
      </c>
      <c r="B475" s="13" t="s">
        <v>2130</v>
      </c>
      <c r="C475" s="13" t="s">
        <v>43</v>
      </c>
      <c r="D475" s="13" t="s">
        <v>2324</v>
      </c>
      <c r="E475" s="13" t="s">
        <v>2912</v>
      </c>
      <c r="F475" s="13" t="n">
        <v>1</v>
      </c>
      <c r="G475" s="13" t="n">
        <v>2</v>
      </c>
      <c r="H475" s="5" t="n">
        <v>6600</v>
      </c>
      <c r="I475" s="7" t="n">
        <v>6</v>
      </c>
      <c r="J475" s="16" t="n">
        <v>1100</v>
      </c>
      <c r="K475" s="16"/>
      <c r="L475" s="16"/>
      <c r="M475" s="16" t="n">
        <v>1100</v>
      </c>
      <c r="N475" s="19"/>
    </row>
    <row r="476" customFormat="false" ht="15" hidden="false" customHeight="false" outlineLevel="0" collapsed="false">
      <c r="A476" s="13" t="s">
        <v>2913</v>
      </c>
      <c r="B476" s="13" t="s">
        <v>175</v>
      </c>
      <c r="C476" s="13" t="s">
        <v>85</v>
      </c>
      <c r="D476" s="13" t="s">
        <v>2324</v>
      </c>
      <c r="E476" s="13" t="s">
        <v>476</v>
      </c>
      <c r="F476" s="13" t="n">
        <v>1</v>
      </c>
      <c r="G476" s="13" t="n">
        <v>1</v>
      </c>
      <c r="H476" s="5" t="n">
        <v>6600</v>
      </c>
      <c r="I476" s="7" t="n">
        <v>40</v>
      </c>
      <c r="J476" s="16" t="n">
        <v>165</v>
      </c>
      <c r="K476" s="16" t="n">
        <v>165</v>
      </c>
      <c r="L476" s="16"/>
      <c r="M476" s="16"/>
      <c r="N476" s="19"/>
    </row>
    <row r="477" customFormat="false" ht="15" hidden="false" customHeight="false" outlineLevel="0" collapsed="false">
      <c r="A477" s="13" t="s">
        <v>2914</v>
      </c>
      <c r="B477" s="13" t="s">
        <v>2171</v>
      </c>
      <c r="C477" s="13" t="s">
        <v>85</v>
      </c>
      <c r="D477" s="13" t="s">
        <v>2324</v>
      </c>
      <c r="E477" s="13" t="s">
        <v>2915</v>
      </c>
      <c r="F477" s="13" t="n">
        <v>1</v>
      </c>
      <c r="G477" s="13" t="n">
        <v>1</v>
      </c>
      <c r="H477" s="5" t="n">
        <v>6600</v>
      </c>
      <c r="I477" s="7" t="n">
        <v>70</v>
      </c>
      <c r="J477" s="16" t="n">
        <v>94.2857142857143</v>
      </c>
      <c r="K477" s="16" t="n">
        <v>94.2857142857143</v>
      </c>
      <c r="L477" s="16"/>
      <c r="M477" s="16"/>
      <c r="N477" s="19"/>
    </row>
    <row r="478" customFormat="false" ht="15" hidden="false" customHeight="false" outlineLevel="0" collapsed="false">
      <c r="A478" s="13" t="s">
        <v>2916</v>
      </c>
      <c r="B478" s="13" t="s">
        <v>179</v>
      </c>
      <c r="C478" s="13" t="s">
        <v>85</v>
      </c>
      <c r="D478" s="13" t="s">
        <v>2324</v>
      </c>
      <c r="E478" s="13" t="s">
        <v>477</v>
      </c>
      <c r="F478" s="13" t="n">
        <v>1</v>
      </c>
      <c r="G478" s="13" t="n">
        <v>1</v>
      </c>
      <c r="H478" s="5" t="n">
        <v>6600</v>
      </c>
      <c r="I478" s="7" t="n">
        <v>10</v>
      </c>
      <c r="J478" s="16" t="n">
        <v>660</v>
      </c>
      <c r="K478" s="16" t="n">
        <v>660</v>
      </c>
      <c r="L478" s="16"/>
      <c r="M478" s="16"/>
      <c r="N478" s="19"/>
    </row>
    <row r="479" customFormat="false" ht="15" hidden="false" customHeight="false" outlineLevel="0" collapsed="false">
      <c r="A479" s="13" t="s">
        <v>2917</v>
      </c>
      <c r="B479" s="13" t="s">
        <v>470</v>
      </c>
      <c r="C479" s="13" t="s">
        <v>129</v>
      </c>
      <c r="D479" s="13" t="s">
        <v>2324</v>
      </c>
      <c r="E479" s="13" t="s">
        <v>475</v>
      </c>
      <c r="F479" s="13" t="n">
        <v>1</v>
      </c>
      <c r="G479" s="13" t="n">
        <v>1</v>
      </c>
      <c r="H479" s="5" t="n">
        <v>6600</v>
      </c>
      <c r="I479" s="7" t="n">
        <v>110</v>
      </c>
      <c r="J479" s="16" t="n">
        <v>60</v>
      </c>
      <c r="K479" s="16" t="n">
        <v>60</v>
      </c>
      <c r="L479" s="16"/>
      <c r="M479" s="16"/>
      <c r="N479" s="19"/>
    </row>
    <row r="480" customFormat="false" ht="15" hidden="false" customHeight="false" outlineLevel="0" collapsed="false">
      <c r="A480" s="13" t="s">
        <v>2918</v>
      </c>
      <c r="B480" s="13" t="s">
        <v>42</v>
      </c>
      <c r="C480" s="13" t="s">
        <v>43</v>
      </c>
      <c r="D480" s="13" t="s">
        <v>2339</v>
      </c>
      <c r="E480" s="13" t="s">
        <v>835</v>
      </c>
      <c r="F480" s="13" t="n">
        <v>1</v>
      </c>
      <c r="G480" s="13" t="n">
        <v>2</v>
      </c>
      <c r="H480" s="5" t="n">
        <v>6600</v>
      </c>
      <c r="I480" s="7" t="n">
        <v>7</v>
      </c>
      <c r="J480" s="16" t="n">
        <v>942.857142857143</v>
      </c>
      <c r="K480" s="16"/>
      <c r="L480" s="16"/>
      <c r="M480" s="16" t="n">
        <v>942.857142857143</v>
      </c>
      <c r="N480" s="19"/>
    </row>
    <row r="481" customFormat="false" ht="15" hidden="false" customHeight="false" outlineLevel="0" collapsed="false">
      <c r="A481" s="13" t="s">
        <v>2919</v>
      </c>
      <c r="B481" s="13" t="s">
        <v>126</v>
      </c>
      <c r="C481" s="13" t="s">
        <v>43</v>
      </c>
      <c r="D481" s="13" t="s">
        <v>2324</v>
      </c>
      <c r="E481" s="13" t="s">
        <v>485</v>
      </c>
      <c r="F481" s="13" t="n">
        <v>2</v>
      </c>
      <c r="G481" s="13" t="n">
        <v>2</v>
      </c>
      <c r="H481" s="5" t="n">
        <v>6570</v>
      </c>
      <c r="I481" s="7" t="n">
        <v>31</v>
      </c>
      <c r="J481" s="16" t="n">
        <v>211.935483870968</v>
      </c>
      <c r="K481" s="16" t="n">
        <v>213.333333333333</v>
      </c>
      <c r="L481" s="16"/>
      <c r="M481" s="16" t="n">
        <v>170</v>
      </c>
      <c r="N481" s="19" t="n">
        <v>0.254901960784314</v>
      </c>
    </row>
    <row r="482" customFormat="false" ht="15" hidden="false" customHeight="false" outlineLevel="0" collapsed="false">
      <c r="A482" s="13" t="s">
        <v>2920</v>
      </c>
      <c r="B482" s="13" t="s">
        <v>42</v>
      </c>
      <c r="C482" s="13" t="s">
        <v>43</v>
      </c>
      <c r="D482" s="13" t="s">
        <v>2500</v>
      </c>
      <c r="E482" s="13" t="s">
        <v>89</v>
      </c>
      <c r="F482" s="13" t="n">
        <v>1</v>
      </c>
      <c r="G482" s="13" t="n">
        <v>2</v>
      </c>
      <c r="H482" s="5" t="n">
        <v>6520</v>
      </c>
      <c r="I482" s="7" t="n">
        <v>11</v>
      </c>
      <c r="J482" s="16" t="n">
        <v>592.727272727273</v>
      </c>
      <c r="K482" s="16"/>
      <c r="L482" s="16"/>
      <c r="M482" s="16" t="n">
        <v>592.727272727273</v>
      </c>
      <c r="N482" s="19"/>
    </row>
    <row r="483" customFormat="false" ht="15" hidden="false" customHeight="false" outlineLevel="0" collapsed="false">
      <c r="A483" s="13" t="s">
        <v>2921</v>
      </c>
      <c r="B483" s="13" t="s">
        <v>50</v>
      </c>
      <c r="C483" s="13" t="s">
        <v>43</v>
      </c>
      <c r="D483" s="13" t="s">
        <v>2324</v>
      </c>
      <c r="E483" s="13" t="s">
        <v>480</v>
      </c>
      <c r="F483" s="13" t="n">
        <v>1</v>
      </c>
      <c r="G483" s="13" t="n">
        <v>1</v>
      </c>
      <c r="H483" s="5" t="n">
        <v>6500</v>
      </c>
      <c r="I483" s="7" t="n">
        <v>5</v>
      </c>
      <c r="J483" s="16" t="n">
        <v>1300</v>
      </c>
      <c r="K483" s="16"/>
      <c r="L483" s="16" t="n">
        <v>1300</v>
      </c>
      <c r="M483" s="16"/>
      <c r="N483" s="19"/>
    </row>
    <row r="484" customFormat="false" ht="15" hidden="false" customHeight="false" outlineLevel="0" collapsed="false">
      <c r="A484" s="13" t="s">
        <v>2922</v>
      </c>
      <c r="B484" s="13" t="s">
        <v>177</v>
      </c>
      <c r="C484" s="13" t="s">
        <v>43</v>
      </c>
      <c r="D484" s="13" t="s">
        <v>2339</v>
      </c>
      <c r="E484" s="13" t="s">
        <v>843</v>
      </c>
      <c r="F484" s="13" t="n">
        <v>2</v>
      </c>
      <c r="G484" s="13" t="n">
        <v>3</v>
      </c>
      <c r="H484" s="5" t="n">
        <v>6500</v>
      </c>
      <c r="I484" s="7" t="n">
        <v>6</v>
      </c>
      <c r="J484" s="16" t="n">
        <v>1083.33333333333</v>
      </c>
      <c r="K484" s="16"/>
      <c r="L484" s="16" t="n">
        <v>1100</v>
      </c>
      <c r="M484" s="16" t="n">
        <v>1050</v>
      </c>
      <c r="N484" s="19" t="n">
        <v>0.0476190476190476</v>
      </c>
    </row>
    <row r="485" customFormat="false" ht="15" hidden="false" customHeight="false" outlineLevel="0" collapsed="false">
      <c r="A485" s="13" t="s">
        <v>2923</v>
      </c>
      <c r="B485" s="13" t="s">
        <v>2153</v>
      </c>
      <c r="C485" s="13" t="s">
        <v>183</v>
      </c>
      <c r="D485" s="13" t="s">
        <v>2324</v>
      </c>
      <c r="E485" s="13" t="s">
        <v>2924</v>
      </c>
      <c r="F485" s="13" t="n">
        <v>1</v>
      </c>
      <c r="G485" s="13" t="n">
        <v>1</v>
      </c>
      <c r="H485" s="5" t="n">
        <v>6500</v>
      </c>
      <c r="I485" s="7" t="n">
        <v>50</v>
      </c>
      <c r="J485" s="16" t="n">
        <v>130</v>
      </c>
      <c r="K485" s="16" t="n">
        <v>130</v>
      </c>
      <c r="L485" s="16"/>
      <c r="M485" s="16"/>
      <c r="N485" s="19"/>
    </row>
    <row r="486" customFormat="false" ht="15" hidden="false" customHeight="false" outlineLevel="0" collapsed="false">
      <c r="A486" s="13" t="s">
        <v>2925</v>
      </c>
      <c r="B486" s="13" t="s">
        <v>65</v>
      </c>
      <c r="C486" s="13" t="s">
        <v>66</v>
      </c>
      <c r="D486" s="13" t="s">
        <v>2324</v>
      </c>
      <c r="E486" s="13" t="s">
        <v>482</v>
      </c>
      <c r="F486" s="13" t="n">
        <v>1</v>
      </c>
      <c r="G486" s="13" t="n">
        <v>1</v>
      </c>
      <c r="H486" s="5" t="n">
        <v>6500</v>
      </c>
      <c r="I486" s="7" t="n">
        <v>20</v>
      </c>
      <c r="J486" s="16" t="n">
        <v>325</v>
      </c>
      <c r="K486" s="16" t="n">
        <v>325</v>
      </c>
      <c r="L486" s="16"/>
      <c r="M486" s="16"/>
      <c r="N486" s="19"/>
    </row>
    <row r="487" customFormat="false" ht="15" hidden="false" customHeight="false" outlineLevel="0" collapsed="false">
      <c r="A487" s="13" t="s">
        <v>2926</v>
      </c>
      <c r="B487" s="13" t="s">
        <v>2165</v>
      </c>
      <c r="C487" s="13" t="s">
        <v>43</v>
      </c>
      <c r="D487" s="13" t="s">
        <v>2324</v>
      </c>
      <c r="E487" s="13" t="s">
        <v>2927</v>
      </c>
      <c r="F487" s="13" t="n">
        <v>1</v>
      </c>
      <c r="G487" s="13" t="n">
        <v>2</v>
      </c>
      <c r="H487" s="5" t="n">
        <v>6500</v>
      </c>
      <c r="I487" s="7" t="n">
        <v>25</v>
      </c>
      <c r="J487" s="16" t="n">
        <v>260</v>
      </c>
      <c r="K487" s="16"/>
      <c r="L487" s="16" t="n">
        <v>260</v>
      </c>
      <c r="M487" s="16"/>
      <c r="N487" s="19"/>
    </row>
    <row r="488" customFormat="false" ht="15" hidden="false" customHeight="false" outlineLevel="0" collapsed="false">
      <c r="A488" s="13" t="s">
        <v>2928</v>
      </c>
      <c r="B488" s="13" t="s">
        <v>50</v>
      </c>
      <c r="C488" s="13" t="s">
        <v>43</v>
      </c>
      <c r="D488" s="13" t="s">
        <v>2422</v>
      </c>
      <c r="E488" s="13" t="s">
        <v>757</v>
      </c>
      <c r="F488" s="13" t="n">
        <v>1</v>
      </c>
      <c r="G488" s="13" t="n">
        <v>4</v>
      </c>
      <c r="H488" s="5" t="n">
        <v>6440</v>
      </c>
      <c r="I488" s="7" t="n">
        <v>10</v>
      </c>
      <c r="J488" s="16" t="n">
        <v>644</v>
      </c>
      <c r="K488" s="16"/>
      <c r="L488" s="16" t="n">
        <v>644</v>
      </c>
      <c r="M488" s="16"/>
      <c r="N488" s="19"/>
    </row>
    <row r="489" customFormat="false" ht="15" hidden="false" customHeight="false" outlineLevel="0" collapsed="false">
      <c r="A489" s="13" t="s">
        <v>2929</v>
      </c>
      <c r="B489" s="13" t="s">
        <v>42</v>
      </c>
      <c r="C489" s="13" t="s">
        <v>43</v>
      </c>
      <c r="D489" s="13" t="s">
        <v>2324</v>
      </c>
      <c r="E489" s="13" t="s">
        <v>515</v>
      </c>
      <c r="F489" s="13" t="n">
        <v>1</v>
      </c>
      <c r="G489" s="13" t="n">
        <v>2</v>
      </c>
      <c r="H489" s="5" t="n">
        <v>6430</v>
      </c>
      <c r="I489" s="7" t="n">
        <v>6</v>
      </c>
      <c r="J489" s="16" t="n">
        <v>1071.66666666667</v>
      </c>
      <c r="K489" s="16"/>
      <c r="L489" s="16"/>
      <c r="M489" s="16" t="n">
        <v>1071.66666666667</v>
      </c>
      <c r="N489" s="19"/>
    </row>
    <row r="490" customFormat="false" ht="15" hidden="false" customHeight="false" outlineLevel="0" collapsed="false">
      <c r="A490" s="13" t="s">
        <v>2930</v>
      </c>
      <c r="B490" s="13" t="s">
        <v>315</v>
      </c>
      <c r="C490" s="13" t="s">
        <v>43</v>
      </c>
      <c r="D490" s="13" t="s">
        <v>2324</v>
      </c>
      <c r="E490" s="13" t="s">
        <v>797</v>
      </c>
      <c r="F490" s="13" t="n">
        <v>1</v>
      </c>
      <c r="G490" s="13" t="n">
        <v>4</v>
      </c>
      <c r="H490" s="5" t="n">
        <v>6430</v>
      </c>
      <c r="I490" s="7" t="n">
        <v>17</v>
      </c>
      <c r="J490" s="16" t="n">
        <v>378.235294117647</v>
      </c>
      <c r="K490" s="16"/>
      <c r="L490" s="16"/>
      <c r="M490" s="16" t="n">
        <v>378.235294117647</v>
      </c>
      <c r="N490" s="19"/>
    </row>
    <row r="491" customFormat="false" ht="15" hidden="false" customHeight="false" outlineLevel="0" collapsed="false">
      <c r="A491" s="13" t="s">
        <v>2931</v>
      </c>
      <c r="B491" s="13" t="s">
        <v>107</v>
      </c>
      <c r="C491" s="13" t="s">
        <v>183</v>
      </c>
      <c r="D491" s="13" t="s">
        <v>2324</v>
      </c>
      <c r="E491" s="13" t="s">
        <v>484</v>
      </c>
      <c r="F491" s="13" t="n">
        <v>1</v>
      </c>
      <c r="G491" s="13" t="n">
        <v>1</v>
      </c>
      <c r="H491" s="5" t="n">
        <v>6400</v>
      </c>
      <c r="I491" s="7" t="n">
        <v>20</v>
      </c>
      <c r="J491" s="16" t="n">
        <v>320</v>
      </c>
      <c r="K491" s="16"/>
      <c r="L491" s="16"/>
      <c r="M491" s="16" t="n">
        <v>320</v>
      </c>
      <c r="N491" s="19"/>
    </row>
    <row r="492" customFormat="false" ht="15" hidden="false" customHeight="false" outlineLevel="0" collapsed="false">
      <c r="A492" s="13" t="s">
        <v>2932</v>
      </c>
      <c r="B492" s="13" t="s">
        <v>2101</v>
      </c>
      <c r="C492" s="13" t="s">
        <v>85</v>
      </c>
      <c r="D492" s="13" t="s">
        <v>2324</v>
      </c>
      <c r="E492" s="13" t="s">
        <v>2933</v>
      </c>
      <c r="F492" s="13" t="n">
        <v>1</v>
      </c>
      <c r="G492" s="13" t="n">
        <v>1</v>
      </c>
      <c r="H492" s="5" t="n">
        <v>6400</v>
      </c>
      <c r="I492" s="7" t="n">
        <v>160</v>
      </c>
      <c r="J492" s="16" t="n">
        <v>40</v>
      </c>
      <c r="K492" s="16" t="n">
        <v>40</v>
      </c>
      <c r="L492" s="16"/>
      <c r="M492" s="16"/>
      <c r="N492" s="19"/>
    </row>
    <row r="493" customFormat="false" ht="15" hidden="false" customHeight="false" outlineLevel="0" collapsed="false">
      <c r="A493" s="13" t="s">
        <v>2934</v>
      </c>
      <c r="B493" s="13" t="s">
        <v>302</v>
      </c>
      <c r="C493" s="13" t="s">
        <v>43</v>
      </c>
      <c r="D493" s="13" t="s">
        <v>2324</v>
      </c>
      <c r="E493" s="13" t="s">
        <v>517</v>
      </c>
      <c r="F493" s="13" t="n">
        <v>2</v>
      </c>
      <c r="G493" s="13" t="n">
        <v>2</v>
      </c>
      <c r="H493" s="5" t="n">
        <v>6380</v>
      </c>
      <c r="I493" s="7" t="n">
        <v>6</v>
      </c>
      <c r="J493" s="16" t="n">
        <v>1063.33333333333</v>
      </c>
      <c r="K493" s="16" t="n">
        <v>1120</v>
      </c>
      <c r="L493" s="16"/>
      <c r="M493" s="16" t="n">
        <v>780</v>
      </c>
      <c r="N493" s="19" t="n">
        <v>0.435897435897436</v>
      </c>
    </row>
    <row r="494" customFormat="false" ht="15" hidden="false" customHeight="false" outlineLevel="0" collapsed="false">
      <c r="A494" s="13" t="s">
        <v>2935</v>
      </c>
      <c r="B494" s="13" t="s">
        <v>195</v>
      </c>
      <c r="C494" s="13" t="s">
        <v>43</v>
      </c>
      <c r="D494" s="13" t="s">
        <v>2324</v>
      </c>
      <c r="E494" s="13" t="s">
        <v>555</v>
      </c>
      <c r="F494" s="13" t="n">
        <v>1</v>
      </c>
      <c r="G494" s="13" t="n">
        <v>3</v>
      </c>
      <c r="H494" s="5" t="n">
        <v>6340</v>
      </c>
      <c r="I494" s="7" t="n">
        <v>7</v>
      </c>
      <c r="J494" s="16" t="n">
        <v>905.714285714286</v>
      </c>
      <c r="K494" s="16"/>
      <c r="L494" s="16"/>
      <c r="M494" s="16" t="n">
        <v>905.714285714286</v>
      </c>
      <c r="N494" s="19"/>
    </row>
    <row r="495" customFormat="false" ht="15" hidden="false" customHeight="false" outlineLevel="0" collapsed="false">
      <c r="A495" s="13" t="s">
        <v>2936</v>
      </c>
      <c r="B495" s="13" t="s">
        <v>191</v>
      </c>
      <c r="C495" s="13" t="s">
        <v>183</v>
      </c>
      <c r="D495" s="13" t="s">
        <v>2324</v>
      </c>
      <c r="E495" s="13" t="s">
        <v>487</v>
      </c>
      <c r="F495" s="13" t="n">
        <v>1</v>
      </c>
      <c r="G495" s="13" t="n">
        <v>1</v>
      </c>
      <c r="H495" s="5" t="n">
        <v>6300</v>
      </c>
      <c r="I495" s="7" t="n">
        <v>40</v>
      </c>
      <c r="J495" s="16" t="n">
        <v>157.5</v>
      </c>
      <c r="K495" s="16" t="n">
        <v>157.5</v>
      </c>
      <c r="L495" s="16"/>
      <c r="M495" s="16"/>
      <c r="N495" s="19"/>
    </row>
    <row r="496" customFormat="false" ht="15" hidden="false" customHeight="false" outlineLevel="0" collapsed="false">
      <c r="A496" s="13" t="s">
        <v>2937</v>
      </c>
      <c r="B496" s="13" t="s">
        <v>2111</v>
      </c>
      <c r="C496" s="13" t="s">
        <v>43</v>
      </c>
      <c r="D496" s="13" t="s">
        <v>2339</v>
      </c>
      <c r="E496" s="13" t="s">
        <v>2938</v>
      </c>
      <c r="F496" s="13" t="n">
        <v>3</v>
      </c>
      <c r="G496" s="13" t="n">
        <v>4</v>
      </c>
      <c r="H496" s="5" t="n">
        <v>6260</v>
      </c>
      <c r="I496" s="7" t="n">
        <v>8</v>
      </c>
      <c r="J496" s="16" t="n">
        <v>782.5</v>
      </c>
      <c r="K496" s="16" t="n">
        <v>880</v>
      </c>
      <c r="L496" s="16" t="n">
        <v>680</v>
      </c>
      <c r="M496" s="16" t="n">
        <v>590</v>
      </c>
      <c r="N496" s="19" t="n">
        <v>0.491525423728814</v>
      </c>
    </row>
    <row r="497" customFormat="false" ht="15" hidden="false" customHeight="false" outlineLevel="0" collapsed="false">
      <c r="A497" s="13" t="s">
        <v>2939</v>
      </c>
      <c r="B497" s="13" t="s">
        <v>2177</v>
      </c>
      <c r="C497" s="13" t="s">
        <v>85</v>
      </c>
      <c r="D497" s="13" t="s">
        <v>2324</v>
      </c>
      <c r="E497" s="13" t="s">
        <v>2940</v>
      </c>
      <c r="F497" s="13" t="n">
        <v>1</v>
      </c>
      <c r="G497" s="13" t="n">
        <v>1</v>
      </c>
      <c r="H497" s="5" t="n">
        <v>6200</v>
      </c>
      <c r="I497" s="7" t="n">
        <v>20</v>
      </c>
      <c r="J497" s="16" t="n">
        <v>310</v>
      </c>
      <c r="K497" s="16" t="n">
        <v>310</v>
      </c>
      <c r="L497" s="16"/>
      <c r="M497" s="16"/>
      <c r="N497" s="19"/>
    </row>
    <row r="498" customFormat="false" ht="15" hidden="false" customHeight="false" outlineLevel="0" collapsed="false">
      <c r="A498" s="13" t="s">
        <v>2941</v>
      </c>
      <c r="B498" s="13" t="s">
        <v>329</v>
      </c>
      <c r="C498" s="13" t="s">
        <v>43</v>
      </c>
      <c r="D498" s="13" t="s">
        <v>2324</v>
      </c>
      <c r="E498" s="13" t="s">
        <v>575</v>
      </c>
      <c r="F498" s="13" t="n">
        <v>2</v>
      </c>
      <c r="G498" s="13" t="n">
        <v>3</v>
      </c>
      <c r="H498" s="5" t="n">
        <v>6180</v>
      </c>
      <c r="I498" s="7" t="n">
        <v>7</v>
      </c>
      <c r="J498" s="16" t="n">
        <v>882.857142857143</v>
      </c>
      <c r="K498" s="16"/>
      <c r="L498" s="16" t="n">
        <v>810</v>
      </c>
      <c r="M498" s="16" t="n">
        <v>895</v>
      </c>
      <c r="N498" s="19" t="n">
        <v>0.104938271604938</v>
      </c>
    </row>
    <row r="499" customFormat="false" ht="15" hidden="false" customHeight="false" outlineLevel="0" collapsed="false">
      <c r="A499" s="13" t="s">
        <v>2942</v>
      </c>
      <c r="B499" s="13" t="s">
        <v>50</v>
      </c>
      <c r="C499" s="13" t="s">
        <v>43</v>
      </c>
      <c r="D499" s="13" t="s">
        <v>2324</v>
      </c>
      <c r="E499" s="13" t="s">
        <v>644</v>
      </c>
      <c r="F499" s="13" t="n">
        <v>1</v>
      </c>
      <c r="G499" s="13" t="n">
        <v>4</v>
      </c>
      <c r="H499" s="5" t="n">
        <v>6140</v>
      </c>
      <c r="I499" s="7" t="n">
        <v>6</v>
      </c>
      <c r="J499" s="16" t="n">
        <v>1023.33333333333</v>
      </c>
      <c r="K499" s="16"/>
      <c r="L499" s="16" t="n">
        <v>1023.33333333333</v>
      </c>
      <c r="M499" s="16"/>
      <c r="N499" s="19"/>
    </row>
    <row r="500" customFormat="false" ht="15" hidden="false" customHeight="false" outlineLevel="0" collapsed="false">
      <c r="A500" s="13" t="s">
        <v>2943</v>
      </c>
      <c r="B500" s="13" t="s">
        <v>2113</v>
      </c>
      <c r="C500" s="13" t="s">
        <v>183</v>
      </c>
      <c r="D500" s="13" t="s">
        <v>2324</v>
      </c>
      <c r="E500" s="13" t="s">
        <v>2944</v>
      </c>
      <c r="F500" s="13" t="n">
        <v>1</v>
      </c>
      <c r="G500" s="13" t="n">
        <v>1</v>
      </c>
      <c r="H500" s="5" t="n">
        <v>6100</v>
      </c>
      <c r="I500" s="7" t="n">
        <v>70</v>
      </c>
      <c r="J500" s="16" t="n">
        <v>87.1428571428571</v>
      </c>
      <c r="K500" s="16" t="n">
        <v>87.1428571428571</v>
      </c>
      <c r="L500" s="16"/>
      <c r="M500" s="16"/>
      <c r="N500" s="19"/>
    </row>
    <row r="501" customFormat="false" ht="15" hidden="false" customHeight="false" outlineLevel="0" collapsed="false">
      <c r="A501" s="13" t="s">
        <v>2945</v>
      </c>
      <c r="B501" s="13" t="s">
        <v>153</v>
      </c>
      <c r="C501" s="13" t="s">
        <v>43</v>
      </c>
      <c r="D501" s="13" t="s">
        <v>2337</v>
      </c>
      <c r="E501" s="13" t="s">
        <v>1149</v>
      </c>
      <c r="F501" s="13" t="n">
        <v>2</v>
      </c>
      <c r="G501" s="13" t="n">
        <v>3</v>
      </c>
      <c r="H501" s="5" t="n">
        <v>6100</v>
      </c>
      <c r="I501" s="7" t="n">
        <v>6</v>
      </c>
      <c r="J501" s="16" t="n">
        <v>1016.66666666667</v>
      </c>
      <c r="K501" s="16"/>
      <c r="L501" s="16" t="n">
        <v>600</v>
      </c>
      <c r="M501" s="16" t="n">
        <v>1225</v>
      </c>
      <c r="N501" s="19" t="n">
        <v>1.04166666666667</v>
      </c>
    </row>
    <row r="502" customFormat="false" ht="15" hidden="false" customHeight="false" outlineLevel="0" collapsed="false">
      <c r="A502" s="13" t="s">
        <v>2946</v>
      </c>
      <c r="B502" s="13" t="s">
        <v>153</v>
      </c>
      <c r="C502" s="13" t="s">
        <v>43</v>
      </c>
      <c r="D502" s="13" t="s">
        <v>2324</v>
      </c>
      <c r="E502" s="13" t="s">
        <v>676</v>
      </c>
      <c r="F502" s="13" t="n">
        <v>1</v>
      </c>
      <c r="G502" s="13" t="n">
        <v>3</v>
      </c>
      <c r="H502" s="5" t="n">
        <v>6100</v>
      </c>
      <c r="I502" s="7" t="n">
        <v>8</v>
      </c>
      <c r="J502" s="16" t="n">
        <v>762.5</v>
      </c>
      <c r="K502" s="16"/>
      <c r="L502" s="16"/>
      <c r="M502" s="16" t="n">
        <v>762.5</v>
      </c>
      <c r="N502" s="19"/>
    </row>
    <row r="503" customFormat="false" ht="15" hidden="false" customHeight="false" outlineLevel="0" collapsed="false">
      <c r="A503" s="13" t="s">
        <v>2947</v>
      </c>
      <c r="B503" s="13" t="s">
        <v>153</v>
      </c>
      <c r="C503" s="13" t="s">
        <v>43</v>
      </c>
      <c r="D503" s="13" t="s">
        <v>2324</v>
      </c>
      <c r="E503" s="13" t="s">
        <v>1805</v>
      </c>
      <c r="F503" s="13" t="n">
        <v>2</v>
      </c>
      <c r="G503" s="13" t="n">
        <v>3</v>
      </c>
      <c r="H503" s="5" t="n">
        <v>6080</v>
      </c>
      <c r="I503" s="7" t="n">
        <v>13</v>
      </c>
      <c r="J503" s="16" t="n">
        <v>467.692307692308</v>
      </c>
      <c r="K503" s="16"/>
      <c r="L503" s="16" t="n">
        <v>380</v>
      </c>
      <c r="M503" s="16" t="n">
        <v>475</v>
      </c>
      <c r="N503" s="19" t="n">
        <v>0.25</v>
      </c>
    </row>
    <row r="504" customFormat="false" ht="15" hidden="false" customHeight="false" outlineLevel="0" collapsed="false">
      <c r="A504" s="13" t="s">
        <v>2948</v>
      </c>
      <c r="B504" s="13" t="s">
        <v>2143</v>
      </c>
      <c r="C504" s="13" t="s">
        <v>43</v>
      </c>
      <c r="D504" s="13" t="s">
        <v>2339</v>
      </c>
      <c r="E504" s="13" t="s">
        <v>2949</v>
      </c>
      <c r="F504" s="13" t="n">
        <v>2</v>
      </c>
      <c r="G504" s="13" t="n">
        <v>3</v>
      </c>
      <c r="H504" s="5" t="n">
        <v>6020</v>
      </c>
      <c r="I504" s="7" t="n">
        <v>7</v>
      </c>
      <c r="J504" s="16" t="n">
        <v>860</v>
      </c>
      <c r="K504" s="16" t="n">
        <v>883.333333333333</v>
      </c>
      <c r="L504" s="16" t="n">
        <v>720</v>
      </c>
      <c r="M504" s="16"/>
      <c r="N504" s="19" t="n">
        <v>0.226851851851852</v>
      </c>
    </row>
    <row r="505" customFormat="false" ht="15" hidden="false" customHeight="false" outlineLevel="0" collapsed="false">
      <c r="A505" s="13" t="s">
        <v>2950</v>
      </c>
      <c r="B505" s="13" t="s">
        <v>182</v>
      </c>
      <c r="C505" s="13" t="s">
        <v>85</v>
      </c>
      <c r="D505" s="13" t="s">
        <v>2324</v>
      </c>
      <c r="E505" s="13" t="s">
        <v>516</v>
      </c>
      <c r="F505" s="13" t="n">
        <v>1</v>
      </c>
      <c r="G505" s="13" t="n">
        <v>2</v>
      </c>
      <c r="H505" s="5" t="n">
        <v>6020</v>
      </c>
      <c r="I505" s="7" t="n">
        <v>42</v>
      </c>
      <c r="J505" s="16" t="n">
        <v>143.333333333333</v>
      </c>
      <c r="K505" s="16" t="n">
        <v>143.333333333333</v>
      </c>
      <c r="L505" s="16"/>
      <c r="M505" s="16"/>
      <c r="N505" s="19"/>
    </row>
    <row r="506" customFormat="false" ht="15" hidden="false" customHeight="false" outlineLevel="0" collapsed="false">
      <c r="A506" s="13" t="s">
        <v>2951</v>
      </c>
      <c r="B506" s="13" t="s">
        <v>42</v>
      </c>
      <c r="C506" s="13" t="s">
        <v>43</v>
      </c>
      <c r="D506" s="13" t="s">
        <v>2324</v>
      </c>
      <c r="E506" s="13" t="s">
        <v>246</v>
      </c>
      <c r="F506" s="13" t="n">
        <v>1</v>
      </c>
      <c r="G506" s="13" t="n">
        <v>1</v>
      </c>
      <c r="H506" s="5" t="n">
        <v>6000</v>
      </c>
      <c r="I506" s="7" t="n">
        <v>5</v>
      </c>
      <c r="J506" s="16" t="n">
        <v>1200</v>
      </c>
      <c r="K506" s="16"/>
      <c r="L506" s="16"/>
      <c r="M506" s="16" t="n">
        <v>1200</v>
      </c>
      <c r="N506" s="19"/>
    </row>
    <row r="507" customFormat="false" ht="15" hidden="false" customHeight="false" outlineLevel="0" collapsed="false">
      <c r="A507" s="13" t="s">
        <v>2952</v>
      </c>
      <c r="B507" s="13" t="s">
        <v>470</v>
      </c>
      <c r="C507" s="13" t="s">
        <v>85</v>
      </c>
      <c r="D507" s="13" t="s">
        <v>2324</v>
      </c>
      <c r="E507" s="13" t="s">
        <v>496</v>
      </c>
      <c r="F507" s="13" t="n">
        <v>1</v>
      </c>
      <c r="G507" s="13" t="n">
        <v>1</v>
      </c>
      <c r="H507" s="5" t="n">
        <v>6000</v>
      </c>
      <c r="I507" s="7" t="n">
        <v>40</v>
      </c>
      <c r="J507" s="16" t="n">
        <v>150</v>
      </c>
      <c r="K507" s="16" t="n">
        <v>150</v>
      </c>
      <c r="L507" s="16"/>
      <c r="M507" s="16"/>
      <c r="N507" s="19"/>
    </row>
    <row r="508" customFormat="false" ht="15" hidden="false" customHeight="false" outlineLevel="0" collapsed="false">
      <c r="A508" s="13" t="s">
        <v>2953</v>
      </c>
      <c r="B508" s="13" t="s">
        <v>45</v>
      </c>
      <c r="C508" s="13" t="s">
        <v>43</v>
      </c>
      <c r="D508" s="13" t="s">
        <v>2422</v>
      </c>
      <c r="E508" s="13" t="s">
        <v>1019</v>
      </c>
      <c r="F508" s="13" t="n">
        <v>2</v>
      </c>
      <c r="G508" s="13" t="n">
        <v>5</v>
      </c>
      <c r="H508" s="5" t="n">
        <v>5980</v>
      </c>
      <c r="I508" s="7" t="n">
        <v>11</v>
      </c>
      <c r="J508" s="16" t="n">
        <v>543.636363636364</v>
      </c>
      <c r="K508" s="16"/>
      <c r="L508" s="16" t="n">
        <v>562</v>
      </c>
      <c r="M508" s="16" t="n">
        <v>528.333333333333</v>
      </c>
      <c r="N508" s="19" t="n">
        <v>0.0637223974763406</v>
      </c>
    </row>
    <row r="509" customFormat="false" ht="15" hidden="false" customHeight="false" outlineLevel="0" collapsed="false">
      <c r="A509" s="13" t="s">
        <v>2954</v>
      </c>
      <c r="B509" s="13" t="s">
        <v>69</v>
      </c>
      <c r="C509" s="13" t="s">
        <v>43</v>
      </c>
      <c r="D509" s="13" t="s">
        <v>2324</v>
      </c>
      <c r="E509" s="13" t="s">
        <v>545</v>
      </c>
      <c r="F509" s="13" t="n">
        <v>1</v>
      </c>
      <c r="G509" s="13" t="n">
        <v>2</v>
      </c>
      <c r="H509" s="5" t="n">
        <v>5980</v>
      </c>
      <c r="I509" s="7" t="n">
        <v>12</v>
      </c>
      <c r="J509" s="16" t="n">
        <v>498.333333333333</v>
      </c>
      <c r="K509" s="16"/>
      <c r="L509" s="16"/>
      <c r="M509" s="16" t="n">
        <v>498.333333333333</v>
      </c>
      <c r="N509" s="19"/>
    </row>
    <row r="510" customFormat="false" ht="15" hidden="false" customHeight="false" outlineLevel="0" collapsed="false">
      <c r="A510" s="13" t="s">
        <v>2955</v>
      </c>
      <c r="B510" s="13" t="s">
        <v>153</v>
      </c>
      <c r="C510" s="13" t="s">
        <v>43</v>
      </c>
      <c r="D510" s="13" t="s">
        <v>2339</v>
      </c>
      <c r="E510" s="13" t="s">
        <v>605</v>
      </c>
      <c r="F510" s="13" t="n">
        <v>2</v>
      </c>
      <c r="G510" s="13" t="n">
        <v>3</v>
      </c>
      <c r="H510" s="5" t="n">
        <v>5970</v>
      </c>
      <c r="I510" s="7" t="n">
        <v>8</v>
      </c>
      <c r="J510" s="16" t="n">
        <v>746.25</v>
      </c>
      <c r="K510" s="16"/>
      <c r="L510" s="16" t="n">
        <v>811.666666666667</v>
      </c>
      <c r="M510" s="16" t="n">
        <v>550</v>
      </c>
      <c r="N510" s="19" t="n">
        <v>0.475757575757576</v>
      </c>
    </row>
    <row r="511" customFormat="false" ht="15" hidden="false" customHeight="false" outlineLevel="0" collapsed="false">
      <c r="A511" s="13" t="s">
        <v>2956</v>
      </c>
      <c r="B511" s="13" t="s">
        <v>45</v>
      </c>
      <c r="C511" s="13" t="s">
        <v>43</v>
      </c>
      <c r="D511" s="13" t="s">
        <v>2324</v>
      </c>
      <c r="E511" s="13" t="s">
        <v>424</v>
      </c>
      <c r="F511" s="13" t="n">
        <v>1</v>
      </c>
      <c r="G511" s="13" t="n">
        <v>2</v>
      </c>
      <c r="H511" s="5" t="n">
        <v>5960</v>
      </c>
      <c r="I511" s="7" t="n">
        <v>6</v>
      </c>
      <c r="J511" s="16" t="n">
        <v>993.333333333333</v>
      </c>
      <c r="K511" s="16"/>
      <c r="L511" s="16" t="n">
        <v>993.333333333333</v>
      </c>
      <c r="M511" s="16"/>
      <c r="N511" s="19"/>
    </row>
    <row r="512" customFormat="false" ht="15" hidden="false" customHeight="false" outlineLevel="0" collapsed="false">
      <c r="A512" s="13" t="s">
        <v>2957</v>
      </c>
      <c r="B512" s="13" t="s">
        <v>195</v>
      </c>
      <c r="C512" s="13" t="s">
        <v>43</v>
      </c>
      <c r="D512" s="13" t="s">
        <v>2324</v>
      </c>
      <c r="E512" s="13" t="s">
        <v>528</v>
      </c>
      <c r="F512" s="13" t="n">
        <v>1</v>
      </c>
      <c r="G512" s="13" t="n">
        <v>2</v>
      </c>
      <c r="H512" s="5" t="n">
        <v>5940</v>
      </c>
      <c r="I512" s="7" t="n">
        <v>6</v>
      </c>
      <c r="J512" s="16" t="n">
        <v>990</v>
      </c>
      <c r="K512" s="16"/>
      <c r="L512" s="16"/>
      <c r="M512" s="16" t="n">
        <v>990</v>
      </c>
      <c r="N512" s="19"/>
    </row>
    <row r="513" customFormat="false" ht="15" hidden="false" customHeight="false" outlineLevel="0" collapsed="false">
      <c r="A513" s="13" t="s">
        <v>2958</v>
      </c>
      <c r="B513" s="13" t="s">
        <v>105</v>
      </c>
      <c r="C513" s="13" t="s">
        <v>43</v>
      </c>
      <c r="D513" s="13" t="s">
        <v>2327</v>
      </c>
      <c r="E513" s="13" t="s">
        <v>535</v>
      </c>
      <c r="F513" s="13" t="n">
        <v>1</v>
      </c>
      <c r="G513" s="13" t="n">
        <v>2</v>
      </c>
      <c r="H513" s="5" t="n">
        <v>5930</v>
      </c>
      <c r="I513" s="7" t="n">
        <v>6</v>
      </c>
      <c r="J513" s="16" t="n">
        <v>988.333333333333</v>
      </c>
      <c r="K513" s="16"/>
      <c r="L513" s="16" t="n">
        <v>988.333333333333</v>
      </c>
      <c r="M513" s="16"/>
      <c r="N513" s="19"/>
    </row>
    <row r="514" customFormat="false" ht="15" hidden="false" customHeight="false" outlineLevel="0" collapsed="false">
      <c r="A514" s="13" t="s">
        <v>2959</v>
      </c>
      <c r="B514" s="13" t="s">
        <v>103</v>
      </c>
      <c r="C514" s="13" t="s">
        <v>43</v>
      </c>
      <c r="D514" s="13" t="s">
        <v>2324</v>
      </c>
      <c r="E514" s="13" t="s">
        <v>511</v>
      </c>
      <c r="F514" s="13" t="n">
        <v>1</v>
      </c>
      <c r="G514" s="13" t="n">
        <v>2</v>
      </c>
      <c r="H514" s="5" t="n">
        <v>5910</v>
      </c>
      <c r="I514" s="7" t="n">
        <v>31</v>
      </c>
      <c r="J514" s="16" t="n">
        <v>190.645161290323</v>
      </c>
      <c r="K514" s="16"/>
      <c r="L514" s="16" t="n">
        <v>190.645161290323</v>
      </c>
      <c r="M514" s="16"/>
      <c r="N514" s="19"/>
    </row>
    <row r="515" customFormat="false" ht="15" hidden="false" customHeight="false" outlineLevel="0" collapsed="false">
      <c r="A515" s="13" t="s">
        <v>2960</v>
      </c>
      <c r="B515" s="13" t="s">
        <v>65</v>
      </c>
      <c r="C515" s="13" t="s">
        <v>66</v>
      </c>
      <c r="D515" s="13" t="s">
        <v>2324</v>
      </c>
      <c r="E515" s="13" t="s">
        <v>498</v>
      </c>
      <c r="F515" s="13" t="n">
        <v>1</v>
      </c>
      <c r="G515" s="13" t="n">
        <v>1</v>
      </c>
      <c r="H515" s="5" t="n">
        <v>5900</v>
      </c>
      <c r="I515" s="7" t="n">
        <v>20</v>
      </c>
      <c r="J515" s="16" t="n">
        <v>295</v>
      </c>
      <c r="K515" s="16" t="n">
        <v>295</v>
      </c>
      <c r="L515" s="16"/>
      <c r="M515" s="16"/>
      <c r="N515" s="19"/>
    </row>
    <row r="516" customFormat="false" ht="15" hidden="false" customHeight="false" outlineLevel="0" collapsed="false">
      <c r="A516" s="13" t="s">
        <v>2961</v>
      </c>
      <c r="B516" s="13" t="s">
        <v>79</v>
      </c>
      <c r="C516" s="13" t="s">
        <v>43</v>
      </c>
      <c r="D516" s="13" t="s">
        <v>2324</v>
      </c>
      <c r="E516" s="13" t="s">
        <v>1331</v>
      </c>
      <c r="F516" s="13" t="n">
        <v>2</v>
      </c>
      <c r="G516" s="13" t="n">
        <v>3</v>
      </c>
      <c r="H516" s="5" t="n">
        <v>5870</v>
      </c>
      <c r="I516" s="7" t="n">
        <v>4</v>
      </c>
      <c r="J516" s="16" t="n">
        <v>1467.5</v>
      </c>
      <c r="K516" s="16" t="n">
        <v>870</v>
      </c>
      <c r="L516" s="16"/>
      <c r="M516" s="16" t="n">
        <v>1666.66666666667</v>
      </c>
      <c r="N516" s="19" t="n">
        <v>0.915708812260537</v>
      </c>
    </row>
    <row r="517" customFormat="false" ht="15" hidden="false" customHeight="false" outlineLevel="0" collapsed="false">
      <c r="A517" s="13" t="s">
        <v>2962</v>
      </c>
      <c r="B517" s="13" t="s">
        <v>45</v>
      </c>
      <c r="C517" s="13" t="s">
        <v>43</v>
      </c>
      <c r="D517" s="13" t="s">
        <v>2339</v>
      </c>
      <c r="E517" s="13" t="s">
        <v>401</v>
      </c>
      <c r="F517" s="13" t="n">
        <v>2</v>
      </c>
      <c r="G517" s="13" t="n">
        <v>3</v>
      </c>
      <c r="H517" s="5" t="n">
        <v>5830</v>
      </c>
      <c r="I517" s="7" t="n">
        <v>5</v>
      </c>
      <c r="J517" s="16" t="n">
        <v>1166</v>
      </c>
      <c r="K517" s="16"/>
      <c r="L517" s="16" t="n">
        <v>1310</v>
      </c>
      <c r="M517" s="16" t="n">
        <v>950</v>
      </c>
      <c r="N517" s="19" t="n">
        <v>0.378947368421053</v>
      </c>
    </row>
    <row r="518" customFormat="false" ht="15" hidden="false" customHeight="false" outlineLevel="0" collapsed="false">
      <c r="A518" s="13" t="s">
        <v>2963</v>
      </c>
      <c r="B518" s="13" t="s">
        <v>2097</v>
      </c>
      <c r="C518" s="13" t="s">
        <v>140</v>
      </c>
      <c r="D518" s="13" t="s">
        <v>2324</v>
      </c>
      <c r="E518" s="13" t="s">
        <v>2964</v>
      </c>
      <c r="F518" s="13" t="n">
        <v>1</v>
      </c>
      <c r="G518" s="13" t="n">
        <v>2</v>
      </c>
      <c r="H518" s="5" t="n">
        <v>5820</v>
      </c>
      <c r="I518" s="7" t="n">
        <v>120</v>
      </c>
      <c r="J518" s="16" t="n">
        <v>48.5</v>
      </c>
      <c r="K518" s="16" t="n">
        <v>48.5</v>
      </c>
      <c r="L518" s="16"/>
      <c r="M518" s="16"/>
      <c r="N518" s="19"/>
    </row>
    <row r="519" customFormat="false" ht="15" hidden="false" customHeight="false" outlineLevel="0" collapsed="false">
      <c r="A519" s="13" t="s">
        <v>2965</v>
      </c>
      <c r="B519" s="13" t="s">
        <v>50</v>
      </c>
      <c r="C519" s="13" t="s">
        <v>43</v>
      </c>
      <c r="D519" s="13" t="s">
        <v>2339</v>
      </c>
      <c r="E519" s="13" t="s">
        <v>294</v>
      </c>
      <c r="F519" s="13" t="n">
        <v>2</v>
      </c>
      <c r="G519" s="13" t="n">
        <v>4</v>
      </c>
      <c r="H519" s="5" t="n">
        <v>5810</v>
      </c>
      <c r="I519" s="7" t="n">
        <v>6</v>
      </c>
      <c r="J519" s="16" t="n">
        <v>968.333333333333</v>
      </c>
      <c r="K519" s="16"/>
      <c r="L519" s="16" t="n">
        <v>800</v>
      </c>
      <c r="M519" s="16" t="n">
        <v>1052.5</v>
      </c>
      <c r="N519" s="19" t="n">
        <v>0.315625</v>
      </c>
    </row>
    <row r="520" customFormat="false" ht="15" hidden="false" customHeight="false" outlineLevel="0" collapsed="false">
      <c r="A520" s="13" t="s">
        <v>2966</v>
      </c>
      <c r="B520" s="13" t="s">
        <v>161</v>
      </c>
      <c r="C520" s="13" t="s">
        <v>43</v>
      </c>
      <c r="D520" s="13" t="s">
        <v>2324</v>
      </c>
      <c r="E520" s="13" t="s">
        <v>585</v>
      </c>
      <c r="F520" s="13" t="n">
        <v>1</v>
      </c>
      <c r="G520" s="13" t="n">
        <v>2</v>
      </c>
      <c r="H520" s="5" t="n">
        <v>5800</v>
      </c>
      <c r="I520" s="7" t="n">
        <v>25</v>
      </c>
      <c r="J520" s="16" t="n">
        <v>232</v>
      </c>
      <c r="K520" s="16"/>
      <c r="L520" s="16" t="n">
        <v>232</v>
      </c>
      <c r="M520" s="16"/>
      <c r="N520" s="19"/>
    </row>
    <row r="521" customFormat="false" ht="15" hidden="false" customHeight="false" outlineLevel="0" collapsed="false">
      <c r="A521" s="13" t="s">
        <v>2967</v>
      </c>
      <c r="B521" s="13" t="s">
        <v>2172</v>
      </c>
      <c r="C521" s="13" t="s">
        <v>85</v>
      </c>
      <c r="D521" s="13" t="s">
        <v>2324</v>
      </c>
      <c r="E521" s="13" t="s">
        <v>2968</v>
      </c>
      <c r="F521" s="13" t="n">
        <v>1</v>
      </c>
      <c r="G521" s="13" t="n">
        <v>1</v>
      </c>
      <c r="H521" s="5" t="n">
        <v>5800</v>
      </c>
      <c r="I521" s="7" t="n">
        <v>10</v>
      </c>
      <c r="J521" s="16" t="n">
        <v>580</v>
      </c>
      <c r="K521" s="16" t="n">
        <v>580</v>
      </c>
      <c r="L521" s="16"/>
      <c r="M521" s="16"/>
      <c r="N521" s="19"/>
    </row>
    <row r="522" customFormat="false" ht="15" hidden="false" customHeight="false" outlineLevel="0" collapsed="false">
      <c r="A522" s="13" t="s">
        <v>2969</v>
      </c>
      <c r="B522" s="13" t="s">
        <v>2178</v>
      </c>
      <c r="C522" s="13" t="s">
        <v>85</v>
      </c>
      <c r="D522" s="13" t="s">
        <v>2324</v>
      </c>
      <c r="E522" s="13" t="s">
        <v>2970</v>
      </c>
      <c r="F522" s="13" t="n">
        <v>1</v>
      </c>
      <c r="G522" s="13" t="n">
        <v>1</v>
      </c>
      <c r="H522" s="5" t="n">
        <v>5800</v>
      </c>
      <c r="I522" s="7" t="n">
        <v>10</v>
      </c>
      <c r="J522" s="16" t="n">
        <v>580</v>
      </c>
      <c r="K522" s="16" t="n">
        <v>580</v>
      </c>
      <c r="L522" s="16"/>
      <c r="M522" s="16"/>
      <c r="N522" s="19"/>
    </row>
    <row r="523" customFormat="false" ht="15" hidden="false" customHeight="false" outlineLevel="0" collapsed="false">
      <c r="A523" s="13" t="s">
        <v>2971</v>
      </c>
      <c r="B523" s="13" t="s">
        <v>191</v>
      </c>
      <c r="C523" s="13" t="s">
        <v>183</v>
      </c>
      <c r="D523" s="13" t="s">
        <v>2324</v>
      </c>
      <c r="E523" s="13" t="s">
        <v>502</v>
      </c>
      <c r="F523" s="13" t="n">
        <v>1</v>
      </c>
      <c r="G523" s="13" t="n">
        <v>1</v>
      </c>
      <c r="H523" s="5" t="n">
        <v>5800</v>
      </c>
      <c r="I523" s="7" t="n">
        <v>50</v>
      </c>
      <c r="J523" s="16" t="n">
        <v>116</v>
      </c>
      <c r="K523" s="16" t="n">
        <v>116</v>
      </c>
      <c r="L523" s="16"/>
      <c r="M523" s="16"/>
      <c r="N523" s="19"/>
    </row>
    <row r="524" customFormat="false" ht="15" hidden="false" customHeight="false" outlineLevel="0" collapsed="false">
      <c r="A524" s="13" t="s">
        <v>2972</v>
      </c>
      <c r="B524" s="13" t="s">
        <v>2138</v>
      </c>
      <c r="C524" s="13" t="s">
        <v>43</v>
      </c>
      <c r="D524" s="13" t="s">
        <v>2324</v>
      </c>
      <c r="E524" s="13" t="s">
        <v>2973</v>
      </c>
      <c r="F524" s="13" t="n">
        <v>1</v>
      </c>
      <c r="G524" s="13" t="n">
        <v>1</v>
      </c>
      <c r="H524" s="5" t="n">
        <v>5800</v>
      </c>
      <c r="I524" s="7" t="n">
        <v>10</v>
      </c>
      <c r="J524" s="16" t="n">
        <v>580</v>
      </c>
      <c r="K524" s="16"/>
      <c r="L524" s="16" t="n">
        <v>580</v>
      </c>
      <c r="M524" s="16"/>
      <c r="N524" s="19"/>
    </row>
    <row r="525" customFormat="false" ht="15" hidden="false" customHeight="false" outlineLevel="0" collapsed="false">
      <c r="A525" s="13" t="s">
        <v>2974</v>
      </c>
      <c r="B525" s="13" t="s">
        <v>362</v>
      </c>
      <c r="C525" s="13" t="s">
        <v>43</v>
      </c>
      <c r="D525" s="13" t="s">
        <v>2324</v>
      </c>
      <c r="E525" s="13" t="s">
        <v>608</v>
      </c>
      <c r="F525" s="13" t="n">
        <v>1</v>
      </c>
      <c r="G525" s="13" t="n">
        <v>2</v>
      </c>
      <c r="H525" s="5" t="n">
        <v>5800</v>
      </c>
      <c r="I525" s="7" t="n">
        <v>7</v>
      </c>
      <c r="J525" s="16" t="n">
        <v>828.571428571429</v>
      </c>
      <c r="K525" s="16"/>
      <c r="L525" s="16" t="n">
        <v>828.571428571429</v>
      </c>
      <c r="M525" s="16"/>
      <c r="N525" s="19"/>
    </row>
    <row r="526" customFormat="false" ht="15" hidden="false" customHeight="false" outlineLevel="0" collapsed="false">
      <c r="A526" s="13" t="s">
        <v>2975</v>
      </c>
      <c r="B526" s="13" t="s">
        <v>2124</v>
      </c>
      <c r="C526" s="13" t="s">
        <v>43</v>
      </c>
      <c r="D526" s="13" t="s">
        <v>2339</v>
      </c>
      <c r="E526" s="13" t="s">
        <v>2976</v>
      </c>
      <c r="F526" s="13" t="n">
        <v>1</v>
      </c>
      <c r="G526" s="13" t="n">
        <v>1</v>
      </c>
      <c r="H526" s="5" t="n">
        <v>5800</v>
      </c>
      <c r="I526" s="7" t="n">
        <v>80</v>
      </c>
      <c r="J526" s="16" t="n">
        <v>72.5</v>
      </c>
      <c r="K526" s="16" t="n">
        <v>72.5</v>
      </c>
      <c r="L526" s="16"/>
      <c r="M526" s="16"/>
      <c r="N526" s="19"/>
    </row>
    <row r="527" customFormat="false" ht="15" hidden="false" customHeight="false" outlineLevel="0" collapsed="false">
      <c r="A527" s="13" t="s">
        <v>2977</v>
      </c>
      <c r="B527" s="13" t="s">
        <v>2120</v>
      </c>
      <c r="C527" s="13" t="s">
        <v>85</v>
      </c>
      <c r="D527" s="13" t="s">
        <v>2324</v>
      </c>
      <c r="E527" s="13" t="s">
        <v>2978</v>
      </c>
      <c r="F527" s="13" t="n">
        <v>1</v>
      </c>
      <c r="G527" s="13" t="n">
        <v>2</v>
      </c>
      <c r="H527" s="5" t="n">
        <v>5800</v>
      </c>
      <c r="I527" s="7" t="n">
        <v>7</v>
      </c>
      <c r="J527" s="16" t="n">
        <v>828.571428571429</v>
      </c>
      <c r="K527" s="16"/>
      <c r="L527" s="16" t="n">
        <v>828.571428571429</v>
      </c>
      <c r="M527" s="16"/>
      <c r="N527" s="19"/>
    </row>
    <row r="528" customFormat="false" ht="15" hidden="false" customHeight="false" outlineLevel="0" collapsed="false">
      <c r="A528" s="13" t="s">
        <v>2979</v>
      </c>
      <c r="B528" s="13" t="s">
        <v>153</v>
      </c>
      <c r="C528" s="13" t="s">
        <v>43</v>
      </c>
      <c r="D528" s="13" t="s">
        <v>2339</v>
      </c>
      <c r="E528" s="13" t="s">
        <v>1147</v>
      </c>
      <c r="F528" s="13" t="n">
        <v>1</v>
      </c>
      <c r="G528" s="13" t="n">
        <v>3</v>
      </c>
      <c r="H528" s="5" t="n">
        <v>5790</v>
      </c>
      <c r="I528" s="7" t="n">
        <v>8</v>
      </c>
      <c r="J528" s="16" t="n">
        <v>723.75</v>
      </c>
      <c r="K528" s="16"/>
      <c r="L528" s="16"/>
      <c r="M528" s="16" t="n">
        <v>723.75</v>
      </c>
      <c r="N528" s="19"/>
    </row>
    <row r="529" customFormat="false" ht="15" hidden="false" customHeight="false" outlineLevel="0" collapsed="false">
      <c r="A529" s="13" t="s">
        <v>2980</v>
      </c>
      <c r="B529" s="13" t="s">
        <v>107</v>
      </c>
      <c r="C529" s="13" t="s">
        <v>43</v>
      </c>
      <c r="D529" s="13" t="s">
        <v>2512</v>
      </c>
      <c r="E529" s="13" t="s">
        <v>696</v>
      </c>
      <c r="F529" s="13" t="n">
        <v>1</v>
      </c>
      <c r="G529" s="13" t="n">
        <v>4</v>
      </c>
      <c r="H529" s="5" t="n">
        <v>5770</v>
      </c>
      <c r="I529" s="7" t="n">
        <v>19</v>
      </c>
      <c r="J529" s="16" t="n">
        <v>303.684210526316</v>
      </c>
      <c r="K529" s="16"/>
      <c r="L529" s="16"/>
      <c r="M529" s="16" t="n">
        <v>303.684210526316</v>
      </c>
      <c r="N529" s="19"/>
    </row>
    <row r="530" customFormat="false" ht="15" hidden="false" customHeight="false" outlineLevel="0" collapsed="false">
      <c r="A530" s="13" t="s">
        <v>2981</v>
      </c>
      <c r="B530" s="13" t="s">
        <v>2180</v>
      </c>
      <c r="C530" s="13" t="s">
        <v>57</v>
      </c>
      <c r="D530" s="13" t="s">
        <v>2324</v>
      </c>
      <c r="E530" s="13" t="s">
        <v>2982</v>
      </c>
      <c r="F530" s="13" t="n">
        <v>1</v>
      </c>
      <c r="G530" s="13" t="n">
        <v>2</v>
      </c>
      <c r="H530" s="5" t="n">
        <v>5740</v>
      </c>
      <c r="I530" s="7" t="n">
        <v>72</v>
      </c>
      <c r="J530" s="16" t="n">
        <v>79.7222222222222</v>
      </c>
      <c r="K530" s="16" t="n">
        <v>79.7222222222222</v>
      </c>
      <c r="L530" s="16"/>
      <c r="M530" s="16"/>
      <c r="N530" s="19"/>
    </row>
    <row r="531" customFormat="false" ht="15" hidden="false" customHeight="false" outlineLevel="0" collapsed="false">
      <c r="A531" s="13" t="s">
        <v>2983</v>
      </c>
      <c r="B531" s="13" t="s">
        <v>191</v>
      </c>
      <c r="C531" s="13" t="s">
        <v>85</v>
      </c>
      <c r="D531" s="13" t="s">
        <v>2324</v>
      </c>
      <c r="E531" s="13" t="s">
        <v>506</v>
      </c>
      <c r="F531" s="13" t="n">
        <v>1</v>
      </c>
      <c r="G531" s="13" t="n">
        <v>1</v>
      </c>
      <c r="H531" s="5" t="n">
        <v>5700</v>
      </c>
      <c r="I531" s="7" t="n">
        <v>40</v>
      </c>
      <c r="J531" s="16" t="n">
        <v>142.5</v>
      </c>
      <c r="K531" s="16" t="n">
        <v>142.5</v>
      </c>
      <c r="L531" s="16"/>
      <c r="M531" s="16"/>
      <c r="N531" s="19"/>
    </row>
    <row r="532" customFormat="false" ht="15" hidden="false" customHeight="false" outlineLevel="0" collapsed="false">
      <c r="A532" s="13" t="s">
        <v>2984</v>
      </c>
      <c r="B532" s="13" t="s">
        <v>50</v>
      </c>
      <c r="C532" s="13" t="s">
        <v>43</v>
      </c>
      <c r="D532" s="13" t="s">
        <v>2360</v>
      </c>
      <c r="E532" s="13" t="s">
        <v>509</v>
      </c>
      <c r="F532" s="13" t="n">
        <v>1</v>
      </c>
      <c r="G532" s="13" t="n">
        <v>1</v>
      </c>
      <c r="H532" s="5" t="n">
        <v>5700</v>
      </c>
      <c r="I532" s="7" t="n">
        <v>5</v>
      </c>
      <c r="J532" s="16" t="n">
        <v>1140</v>
      </c>
      <c r="K532" s="16"/>
      <c r="L532" s="16" t="n">
        <v>1140</v>
      </c>
      <c r="M532" s="16"/>
      <c r="N532" s="19"/>
    </row>
    <row r="533" customFormat="false" ht="15" hidden="false" customHeight="false" outlineLevel="0" collapsed="false">
      <c r="A533" s="13" t="s">
        <v>2985</v>
      </c>
      <c r="B533" s="13" t="s">
        <v>42</v>
      </c>
      <c r="C533" s="13" t="s">
        <v>43</v>
      </c>
      <c r="D533" s="13" t="s">
        <v>2339</v>
      </c>
      <c r="E533" s="13" t="s">
        <v>510</v>
      </c>
      <c r="F533" s="13" t="n">
        <v>1</v>
      </c>
      <c r="G533" s="13" t="n">
        <v>1</v>
      </c>
      <c r="H533" s="5" t="n">
        <v>5700</v>
      </c>
      <c r="I533" s="7" t="n">
        <v>5</v>
      </c>
      <c r="J533" s="16" t="n">
        <v>1140</v>
      </c>
      <c r="K533" s="16"/>
      <c r="L533" s="16" t="n">
        <v>1140</v>
      </c>
      <c r="M533" s="16"/>
      <c r="N533" s="19"/>
    </row>
    <row r="534" customFormat="false" ht="15" hidden="false" customHeight="false" outlineLevel="0" collapsed="false">
      <c r="A534" s="13" t="s">
        <v>2986</v>
      </c>
      <c r="B534" s="13" t="s">
        <v>2104</v>
      </c>
      <c r="C534" s="13" t="s">
        <v>57</v>
      </c>
      <c r="D534" s="13" t="s">
        <v>2324</v>
      </c>
      <c r="E534" s="13" t="s">
        <v>2987</v>
      </c>
      <c r="F534" s="13" t="n">
        <v>1</v>
      </c>
      <c r="G534" s="13" t="n">
        <v>1</v>
      </c>
      <c r="H534" s="5" t="n">
        <v>5700</v>
      </c>
      <c r="I534" s="7" t="n">
        <v>80</v>
      </c>
      <c r="J534" s="16" t="n">
        <v>71.25</v>
      </c>
      <c r="K534" s="16" t="n">
        <v>71.25</v>
      </c>
      <c r="L534" s="16"/>
      <c r="M534" s="16"/>
      <c r="N534" s="19"/>
    </row>
    <row r="535" customFormat="false" ht="15" hidden="false" customHeight="false" outlineLevel="0" collapsed="false">
      <c r="A535" s="13" t="s">
        <v>2988</v>
      </c>
      <c r="B535" s="13" t="s">
        <v>177</v>
      </c>
      <c r="C535" s="13" t="s">
        <v>43</v>
      </c>
      <c r="D535" s="13" t="s">
        <v>2429</v>
      </c>
      <c r="E535" s="13" t="s">
        <v>677</v>
      </c>
      <c r="F535" s="13" t="n">
        <v>2</v>
      </c>
      <c r="G535" s="13" t="n">
        <v>3</v>
      </c>
      <c r="H535" s="5" t="n">
        <v>5660</v>
      </c>
      <c r="I535" s="7" t="n">
        <v>5</v>
      </c>
      <c r="J535" s="16" t="n">
        <v>1132</v>
      </c>
      <c r="K535" s="16"/>
      <c r="L535" s="16" t="n">
        <v>1353.33333333333</v>
      </c>
      <c r="M535" s="16" t="n">
        <v>800</v>
      </c>
      <c r="N535" s="19" t="n">
        <v>0.691666666666667</v>
      </c>
    </row>
    <row r="536" customFormat="false" ht="15" hidden="false" customHeight="false" outlineLevel="0" collapsed="false">
      <c r="A536" s="13" t="s">
        <v>2989</v>
      </c>
      <c r="B536" s="13" t="s">
        <v>2140</v>
      </c>
      <c r="C536" s="13" t="s">
        <v>43</v>
      </c>
      <c r="D536" s="13" t="s">
        <v>2339</v>
      </c>
      <c r="E536" s="13" t="s">
        <v>2990</v>
      </c>
      <c r="F536" s="13" t="n">
        <v>1</v>
      </c>
      <c r="G536" s="13" t="n">
        <v>2</v>
      </c>
      <c r="H536" s="5" t="n">
        <v>5650</v>
      </c>
      <c r="I536" s="7" t="n">
        <v>21</v>
      </c>
      <c r="J536" s="16" t="n">
        <v>269.047619047619</v>
      </c>
      <c r="K536" s="16"/>
      <c r="L536" s="16" t="n">
        <v>269.047619047619</v>
      </c>
      <c r="M536" s="16"/>
      <c r="N536" s="19"/>
    </row>
    <row r="537" customFormat="false" ht="15" hidden="false" customHeight="false" outlineLevel="0" collapsed="false">
      <c r="A537" s="13" t="s">
        <v>2991</v>
      </c>
      <c r="B537" s="13" t="s">
        <v>50</v>
      </c>
      <c r="C537" s="13" t="s">
        <v>43</v>
      </c>
      <c r="D537" s="13" t="s">
        <v>2324</v>
      </c>
      <c r="E537" s="13" t="s">
        <v>1006</v>
      </c>
      <c r="F537" s="13" t="n">
        <v>2</v>
      </c>
      <c r="G537" s="13" t="n">
        <v>4</v>
      </c>
      <c r="H537" s="5" t="n">
        <v>5620</v>
      </c>
      <c r="I537" s="7" t="n">
        <v>6</v>
      </c>
      <c r="J537" s="16" t="n">
        <v>936.666666666667</v>
      </c>
      <c r="K537" s="16"/>
      <c r="L537" s="16" t="n">
        <v>760</v>
      </c>
      <c r="M537" s="16" t="n">
        <v>1025</v>
      </c>
      <c r="N537" s="19" t="n">
        <v>0.348684210526316</v>
      </c>
    </row>
    <row r="538" customFormat="false" ht="15" hidden="false" customHeight="false" outlineLevel="0" collapsed="false">
      <c r="A538" s="13" t="s">
        <v>2992</v>
      </c>
      <c r="B538" s="13" t="s">
        <v>105</v>
      </c>
      <c r="C538" s="13" t="s">
        <v>43</v>
      </c>
      <c r="D538" s="13" t="s">
        <v>2339</v>
      </c>
      <c r="E538" s="13" t="s">
        <v>557</v>
      </c>
      <c r="F538" s="13" t="n">
        <v>2</v>
      </c>
      <c r="G538" s="13" t="n">
        <v>2</v>
      </c>
      <c r="H538" s="5" t="n">
        <v>5610</v>
      </c>
      <c r="I538" s="7" t="n">
        <v>6</v>
      </c>
      <c r="J538" s="16" t="n">
        <v>935</v>
      </c>
      <c r="K538" s="16" t="n">
        <v>980</v>
      </c>
      <c r="L538" s="16" t="n">
        <v>710</v>
      </c>
      <c r="M538" s="16"/>
      <c r="N538" s="19" t="n">
        <v>0.380281690140845</v>
      </c>
    </row>
    <row r="539" customFormat="false" ht="15" hidden="false" customHeight="false" outlineLevel="0" collapsed="false">
      <c r="A539" s="13" t="s">
        <v>2993</v>
      </c>
      <c r="B539" s="13" t="s">
        <v>2097</v>
      </c>
      <c r="C539" s="13" t="s">
        <v>140</v>
      </c>
      <c r="D539" s="13" t="s">
        <v>2324</v>
      </c>
      <c r="E539" s="13" t="s">
        <v>2994</v>
      </c>
      <c r="F539" s="13" t="n">
        <v>1</v>
      </c>
      <c r="G539" s="13" t="n">
        <v>2</v>
      </c>
      <c r="H539" s="5" t="n">
        <v>5600</v>
      </c>
      <c r="I539" s="7" t="n">
        <v>85</v>
      </c>
      <c r="J539" s="16" t="n">
        <v>65.8823529411765</v>
      </c>
      <c r="K539" s="16" t="n">
        <v>65.8823529411765</v>
      </c>
      <c r="L539" s="16"/>
      <c r="M539" s="16"/>
      <c r="N539" s="19"/>
    </row>
    <row r="540" customFormat="false" ht="15" hidden="false" customHeight="false" outlineLevel="0" collapsed="false">
      <c r="A540" s="13" t="s">
        <v>2995</v>
      </c>
      <c r="B540" s="13" t="s">
        <v>2176</v>
      </c>
      <c r="C540" s="13" t="s">
        <v>85</v>
      </c>
      <c r="D540" s="13" t="s">
        <v>2339</v>
      </c>
      <c r="E540" s="13" t="s">
        <v>2996</v>
      </c>
      <c r="F540" s="13" t="n">
        <v>1</v>
      </c>
      <c r="G540" s="13" t="n">
        <v>2</v>
      </c>
      <c r="H540" s="5" t="n">
        <v>5600</v>
      </c>
      <c r="I540" s="7" t="n">
        <v>22</v>
      </c>
      <c r="J540" s="16" t="n">
        <v>254.545454545455</v>
      </c>
      <c r="K540" s="16"/>
      <c r="L540" s="16" t="n">
        <v>254.545454545455</v>
      </c>
      <c r="M540" s="16"/>
      <c r="N540" s="19"/>
    </row>
    <row r="541" customFormat="false" ht="15" hidden="false" customHeight="false" outlineLevel="0" collapsed="false">
      <c r="A541" s="13" t="s">
        <v>2997</v>
      </c>
      <c r="B541" s="13" t="s">
        <v>153</v>
      </c>
      <c r="C541" s="13" t="s">
        <v>43</v>
      </c>
      <c r="D541" s="13" t="s">
        <v>2500</v>
      </c>
      <c r="E541" s="13" t="s">
        <v>547</v>
      </c>
      <c r="F541" s="13" t="n">
        <v>1</v>
      </c>
      <c r="G541" s="13" t="n">
        <v>2</v>
      </c>
      <c r="H541" s="5" t="n">
        <v>5560</v>
      </c>
      <c r="I541" s="7" t="n">
        <v>11</v>
      </c>
      <c r="J541" s="16" t="n">
        <v>505.454545454545</v>
      </c>
      <c r="K541" s="16"/>
      <c r="L541" s="16"/>
      <c r="M541" s="16" t="n">
        <v>505.454545454545</v>
      </c>
      <c r="N541" s="19"/>
    </row>
    <row r="542" customFormat="false" ht="15" hidden="false" customHeight="false" outlineLevel="0" collapsed="false">
      <c r="A542" s="13" t="s">
        <v>2998</v>
      </c>
      <c r="B542" s="13" t="s">
        <v>124</v>
      </c>
      <c r="C542" s="13" t="s">
        <v>43</v>
      </c>
      <c r="D542" s="13" t="s">
        <v>2324</v>
      </c>
      <c r="E542" s="13" t="s">
        <v>370</v>
      </c>
      <c r="F542" s="13" t="n">
        <v>1</v>
      </c>
      <c r="G542" s="13" t="n">
        <v>1</v>
      </c>
      <c r="H542" s="5" t="n">
        <v>5500</v>
      </c>
      <c r="I542" s="7" t="n">
        <v>10</v>
      </c>
      <c r="J542" s="16" t="n">
        <v>550</v>
      </c>
      <c r="K542" s="16"/>
      <c r="L542" s="16"/>
      <c r="M542" s="16" t="n">
        <v>550</v>
      </c>
      <c r="N542" s="19"/>
    </row>
    <row r="543" customFormat="false" ht="15" hidden="false" customHeight="false" outlineLevel="0" collapsed="false">
      <c r="A543" s="13" t="s">
        <v>2999</v>
      </c>
      <c r="B543" s="13" t="s">
        <v>61</v>
      </c>
      <c r="C543" s="13" t="s">
        <v>43</v>
      </c>
      <c r="D543" s="13" t="s">
        <v>2324</v>
      </c>
      <c r="E543" s="13" t="s">
        <v>521</v>
      </c>
      <c r="F543" s="13" t="n">
        <v>1</v>
      </c>
      <c r="G543" s="13" t="n">
        <v>1</v>
      </c>
      <c r="H543" s="5" t="n">
        <v>5500</v>
      </c>
      <c r="I543" s="7" t="n">
        <v>5</v>
      </c>
      <c r="J543" s="16" t="n">
        <v>1100</v>
      </c>
      <c r="K543" s="16"/>
      <c r="L543" s="16"/>
      <c r="M543" s="16" t="n">
        <v>1100</v>
      </c>
      <c r="N543" s="19"/>
    </row>
    <row r="544" customFormat="false" ht="15" hidden="false" customHeight="false" outlineLevel="0" collapsed="false">
      <c r="A544" s="13" t="s">
        <v>3000</v>
      </c>
      <c r="B544" s="13" t="s">
        <v>61</v>
      </c>
      <c r="C544" s="13" t="s">
        <v>43</v>
      </c>
      <c r="D544" s="13" t="s">
        <v>2324</v>
      </c>
      <c r="E544" s="13" t="s">
        <v>245</v>
      </c>
      <c r="F544" s="13" t="n">
        <v>1</v>
      </c>
      <c r="G544" s="13" t="n">
        <v>2</v>
      </c>
      <c r="H544" s="5" t="n">
        <v>5500</v>
      </c>
      <c r="I544" s="7" t="n">
        <v>7</v>
      </c>
      <c r="J544" s="16" t="n">
        <v>785.714285714286</v>
      </c>
      <c r="K544" s="16"/>
      <c r="L544" s="16"/>
      <c r="M544" s="16" t="n">
        <v>785.714285714286</v>
      </c>
      <c r="N544" s="19"/>
    </row>
    <row r="545" customFormat="false" ht="15" hidden="false" customHeight="false" outlineLevel="0" collapsed="false">
      <c r="A545" s="13" t="s">
        <v>3001</v>
      </c>
      <c r="B545" s="13" t="s">
        <v>121</v>
      </c>
      <c r="C545" s="13" t="s">
        <v>183</v>
      </c>
      <c r="D545" s="13" t="s">
        <v>2324</v>
      </c>
      <c r="E545" s="13" t="s">
        <v>669</v>
      </c>
      <c r="F545" s="13" t="n">
        <v>1</v>
      </c>
      <c r="G545" s="13" t="n">
        <v>3</v>
      </c>
      <c r="H545" s="5" t="n">
        <v>5460</v>
      </c>
      <c r="I545" s="7" t="n">
        <v>52</v>
      </c>
      <c r="J545" s="16" t="n">
        <v>105</v>
      </c>
      <c r="K545" s="16"/>
      <c r="L545" s="16"/>
      <c r="M545" s="16" t="n">
        <v>105</v>
      </c>
      <c r="N545" s="19"/>
    </row>
    <row r="546" customFormat="false" ht="15" hidden="false" customHeight="false" outlineLevel="0" collapsed="false">
      <c r="A546" s="13" t="s">
        <v>3002</v>
      </c>
      <c r="B546" s="13" t="s">
        <v>186</v>
      </c>
      <c r="C546" s="13" t="s">
        <v>43</v>
      </c>
      <c r="D546" s="13" t="s">
        <v>2324</v>
      </c>
      <c r="E546" s="13" t="s">
        <v>571</v>
      </c>
      <c r="F546" s="13" t="n">
        <v>1</v>
      </c>
      <c r="G546" s="13" t="n">
        <v>2</v>
      </c>
      <c r="H546" s="5" t="n">
        <v>5410</v>
      </c>
      <c r="I546" s="7" t="n">
        <v>6</v>
      </c>
      <c r="J546" s="16" t="n">
        <v>901.666666666667</v>
      </c>
      <c r="K546" s="16"/>
      <c r="L546" s="16" t="n">
        <v>901.666666666667</v>
      </c>
      <c r="M546" s="16"/>
      <c r="N546" s="19"/>
    </row>
    <row r="547" customFormat="false" ht="15" hidden="false" customHeight="false" outlineLevel="0" collapsed="false">
      <c r="A547" s="13" t="s">
        <v>3003</v>
      </c>
      <c r="B547" s="13" t="s">
        <v>315</v>
      </c>
      <c r="C547" s="13" t="s">
        <v>43</v>
      </c>
      <c r="D547" s="13" t="s">
        <v>2324</v>
      </c>
      <c r="E547" s="13" t="s">
        <v>316</v>
      </c>
      <c r="F547" s="13" t="n">
        <v>1</v>
      </c>
      <c r="G547" s="13" t="n">
        <v>2</v>
      </c>
      <c r="H547" s="5" t="n">
        <v>5400</v>
      </c>
      <c r="I547" s="7" t="n">
        <v>4</v>
      </c>
      <c r="J547" s="16" t="n">
        <v>1350</v>
      </c>
      <c r="K547" s="16"/>
      <c r="L547" s="16"/>
      <c r="M547" s="16" t="n">
        <v>1350</v>
      </c>
      <c r="N547" s="19"/>
    </row>
    <row r="548" customFormat="false" ht="15" hidden="false" customHeight="false" outlineLevel="0" collapsed="false">
      <c r="A548" s="13" t="s">
        <v>3004</v>
      </c>
      <c r="B548" s="13" t="s">
        <v>2095</v>
      </c>
      <c r="C548" s="13" t="s">
        <v>140</v>
      </c>
      <c r="D548" s="13" t="s">
        <v>3005</v>
      </c>
      <c r="E548" s="13" t="s">
        <v>3006</v>
      </c>
      <c r="F548" s="13" t="n">
        <v>1</v>
      </c>
      <c r="G548" s="13" t="n">
        <v>2</v>
      </c>
      <c r="H548" s="5" t="n">
        <v>5400</v>
      </c>
      <c r="I548" s="7" t="n">
        <v>140</v>
      </c>
      <c r="J548" s="16" t="n">
        <v>38.5714285714286</v>
      </c>
      <c r="K548" s="16" t="n">
        <v>38.5714285714286</v>
      </c>
      <c r="L548" s="16"/>
      <c r="M548" s="16"/>
      <c r="N548" s="19"/>
    </row>
    <row r="549" customFormat="false" ht="15" hidden="false" customHeight="false" outlineLevel="0" collapsed="false">
      <c r="A549" s="13" t="s">
        <v>3007</v>
      </c>
      <c r="B549" s="13" t="s">
        <v>2095</v>
      </c>
      <c r="C549" s="13" t="s">
        <v>140</v>
      </c>
      <c r="D549" s="13" t="s">
        <v>2468</v>
      </c>
      <c r="E549" s="13" t="s">
        <v>3008</v>
      </c>
      <c r="F549" s="13" t="n">
        <v>1</v>
      </c>
      <c r="G549" s="13" t="n">
        <v>1</v>
      </c>
      <c r="H549" s="5" t="n">
        <v>5400</v>
      </c>
      <c r="I549" s="7" t="n">
        <v>40</v>
      </c>
      <c r="J549" s="16" t="n">
        <v>135</v>
      </c>
      <c r="K549" s="16" t="n">
        <v>135</v>
      </c>
      <c r="L549" s="16"/>
      <c r="M549" s="16"/>
      <c r="N549" s="19"/>
    </row>
    <row r="550" customFormat="false" ht="15" hidden="false" customHeight="false" outlineLevel="0" collapsed="false">
      <c r="A550" s="13" t="s">
        <v>3009</v>
      </c>
      <c r="B550" s="13" t="s">
        <v>286</v>
      </c>
      <c r="C550" s="13" t="s">
        <v>43</v>
      </c>
      <c r="D550" s="13" t="s">
        <v>3010</v>
      </c>
      <c r="E550" s="13" t="s">
        <v>715</v>
      </c>
      <c r="F550" s="13" t="n">
        <v>1</v>
      </c>
      <c r="G550" s="13" t="n">
        <v>2</v>
      </c>
      <c r="H550" s="5" t="n">
        <v>5400</v>
      </c>
      <c r="I550" s="7" t="n">
        <v>10</v>
      </c>
      <c r="J550" s="16" t="n">
        <v>540</v>
      </c>
      <c r="K550" s="16"/>
      <c r="L550" s="16" t="n">
        <v>540</v>
      </c>
      <c r="M550" s="16"/>
      <c r="N550" s="19"/>
    </row>
    <row r="551" customFormat="false" ht="15" hidden="false" customHeight="false" outlineLevel="0" collapsed="false">
      <c r="A551" s="13" t="s">
        <v>3011</v>
      </c>
      <c r="B551" s="13" t="s">
        <v>45</v>
      </c>
      <c r="C551" s="13" t="s">
        <v>43</v>
      </c>
      <c r="D551" s="13" t="s">
        <v>2324</v>
      </c>
      <c r="E551" s="13" t="s">
        <v>113</v>
      </c>
      <c r="F551" s="13" t="n">
        <v>2</v>
      </c>
      <c r="G551" s="13" t="n">
        <v>3</v>
      </c>
      <c r="H551" s="5" t="n">
        <v>5380</v>
      </c>
      <c r="I551" s="7" t="n">
        <v>11</v>
      </c>
      <c r="J551" s="16" t="n">
        <v>489.090909090909</v>
      </c>
      <c r="K551" s="16"/>
      <c r="L551" s="16" t="n">
        <v>480</v>
      </c>
      <c r="M551" s="16" t="n">
        <v>500</v>
      </c>
      <c r="N551" s="19" t="n">
        <v>0.0416666666666667</v>
      </c>
    </row>
    <row r="552" customFormat="false" ht="15" hidden="false" customHeight="false" outlineLevel="0" collapsed="false">
      <c r="A552" s="13" t="s">
        <v>3012</v>
      </c>
      <c r="B552" s="13" t="s">
        <v>153</v>
      </c>
      <c r="C552" s="13" t="s">
        <v>43</v>
      </c>
      <c r="D552" s="13" t="s">
        <v>2500</v>
      </c>
      <c r="E552" s="13" t="s">
        <v>1219</v>
      </c>
      <c r="F552" s="13" t="n">
        <v>2</v>
      </c>
      <c r="G552" s="13" t="n">
        <v>3</v>
      </c>
      <c r="H552" s="5" t="n">
        <v>5370</v>
      </c>
      <c r="I552" s="7" t="n">
        <v>9</v>
      </c>
      <c r="J552" s="16" t="n">
        <v>596.666666666667</v>
      </c>
      <c r="K552" s="16"/>
      <c r="L552" s="16" t="n">
        <v>500</v>
      </c>
      <c r="M552" s="16" t="n">
        <v>624.285714285714</v>
      </c>
      <c r="N552" s="19" t="n">
        <v>0.248571428571429</v>
      </c>
    </row>
    <row r="553" customFormat="false" ht="15" hidden="false" customHeight="false" outlineLevel="0" collapsed="false">
      <c r="A553" s="13" t="s">
        <v>3013</v>
      </c>
      <c r="B553" s="13" t="s">
        <v>2103</v>
      </c>
      <c r="C553" s="13" t="s">
        <v>85</v>
      </c>
      <c r="D553" s="13" t="s">
        <v>2324</v>
      </c>
      <c r="E553" s="13" t="s">
        <v>3014</v>
      </c>
      <c r="F553" s="13" t="n">
        <v>1</v>
      </c>
      <c r="G553" s="13" t="n">
        <v>3</v>
      </c>
      <c r="H553" s="5" t="n">
        <v>5300</v>
      </c>
      <c r="I553" s="7" t="n">
        <v>51</v>
      </c>
      <c r="J553" s="16" t="n">
        <v>103.921568627451</v>
      </c>
      <c r="K553" s="16"/>
      <c r="L553" s="16"/>
      <c r="M553" s="16" t="n">
        <v>103.921568627451</v>
      </c>
      <c r="N553" s="19"/>
    </row>
    <row r="554" customFormat="false" ht="15" hidden="false" customHeight="false" outlineLevel="0" collapsed="false">
      <c r="A554" s="13" t="s">
        <v>3015</v>
      </c>
      <c r="B554" s="13" t="s">
        <v>45</v>
      </c>
      <c r="C554" s="13" t="s">
        <v>43</v>
      </c>
      <c r="D554" s="13" t="s">
        <v>2324</v>
      </c>
      <c r="E554" s="13" t="s">
        <v>430</v>
      </c>
      <c r="F554" s="13" t="n">
        <v>2</v>
      </c>
      <c r="G554" s="13" t="n">
        <v>3</v>
      </c>
      <c r="H554" s="5" t="n">
        <v>5300</v>
      </c>
      <c r="I554" s="7" t="n">
        <v>6</v>
      </c>
      <c r="J554" s="16" t="n">
        <v>883.333333333333</v>
      </c>
      <c r="K554" s="16"/>
      <c r="L554" s="16" t="n">
        <v>875</v>
      </c>
      <c r="M554" s="16" t="n">
        <v>900</v>
      </c>
      <c r="N554" s="19" t="n">
        <v>0.0285714285714286</v>
      </c>
    </row>
    <row r="555" customFormat="false" ht="15" hidden="false" customHeight="false" outlineLevel="0" collapsed="false">
      <c r="A555" s="13" t="s">
        <v>3016</v>
      </c>
      <c r="B555" s="13" t="s">
        <v>177</v>
      </c>
      <c r="C555" s="13" t="s">
        <v>43</v>
      </c>
      <c r="D555" s="13" t="s">
        <v>2337</v>
      </c>
      <c r="E555" s="13" t="s">
        <v>714</v>
      </c>
      <c r="F555" s="13" t="n">
        <v>2</v>
      </c>
      <c r="G555" s="13" t="n">
        <v>2</v>
      </c>
      <c r="H555" s="5" t="n">
        <v>5300</v>
      </c>
      <c r="I555" s="7" t="n">
        <v>4</v>
      </c>
      <c r="J555" s="16" t="n">
        <v>1325</v>
      </c>
      <c r="K555" s="16"/>
      <c r="L555" s="16" t="n">
        <v>1500</v>
      </c>
      <c r="M555" s="16" t="n">
        <v>1150</v>
      </c>
      <c r="N555" s="19" t="n">
        <v>0.304347826086957</v>
      </c>
    </row>
    <row r="556" customFormat="false" ht="15" hidden="false" customHeight="false" outlineLevel="0" collapsed="false">
      <c r="A556" s="13" t="s">
        <v>3017</v>
      </c>
      <c r="B556" s="13" t="s">
        <v>92</v>
      </c>
      <c r="C556" s="13" t="s">
        <v>43</v>
      </c>
      <c r="D556" s="13" t="s">
        <v>2422</v>
      </c>
      <c r="E556" s="13" t="s">
        <v>531</v>
      </c>
      <c r="F556" s="13" t="n">
        <v>1</v>
      </c>
      <c r="G556" s="13" t="n">
        <v>1</v>
      </c>
      <c r="H556" s="5" t="n">
        <v>5300</v>
      </c>
      <c r="I556" s="7" t="n">
        <v>10</v>
      </c>
      <c r="J556" s="16" t="n">
        <v>530</v>
      </c>
      <c r="K556" s="16"/>
      <c r="L556" s="16"/>
      <c r="M556" s="16" t="n">
        <v>530</v>
      </c>
      <c r="N556" s="19"/>
    </row>
    <row r="557" customFormat="false" ht="15" hidden="false" customHeight="false" outlineLevel="0" collapsed="false">
      <c r="A557" s="13" t="s">
        <v>3018</v>
      </c>
      <c r="B557" s="13" t="s">
        <v>2101</v>
      </c>
      <c r="C557" s="13" t="s">
        <v>57</v>
      </c>
      <c r="D557" s="13" t="s">
        <v>2324</v>
      </c>
      <c r="E557" s="13" t="s">
        <v>3019</v>
      </c>
      <c r="F557" s="13" t="n">
        <v>1</v>
      </c>
      <c r="G557" s="13" t="n">
        <v>1</v>
      </c>
      <c r="H557" s="5" t="n">
        <v>5300</v>
      </c>
      <c r="I557" s="7" t="n">
        <v>5</v>
      </c>
      <c r="J557" s="16" t="n">
        <v>1060</v>
      </c>
      <c r="K557" s="16" t="n">
        <v>1060</v>
      </c>
      <c r="L557" s="16"/>
      <c r="M557" s="16"/>
      <c r="N557" s="19"/>
    </row>
    <row r="558" customFormat="false" ht="15" hidden="false" customHeight="false" outlineLevel="0" collapsed="false">
      <c r="A558" s="13" t="s">
        <v>3020</v>
      </c>
      <c r="B558" s="13" t="s">
        <v>2094</v>
      </c>
      <c r="C558" s="13" t="s">
        <v>57</v>
      </c>
      <c r="D558" s="13" t="s">
        <v>2324</v>
      </c>
      <c r="E558" s="13" t="s">
        <v>3021</v>
      </c>
      <c r="F558" s="13" t="n">
        <v>1</v>
      </c>
      <c r="G558" s="13" t="n">
        <v>1</v>
      </c>
      <c r="H558" s="5" t="n">
        <v>5300</v>
      </c>
      <c r="I558" s="7" t="n">
        <v>80</v>
      </c>
      <c r="J558" s="16" t="n">
        <v>66.25</v>
      </c>
      <c r="K558" s="16" t="n">
        <v>66.25</v>
      </c>
      <c r="L558" s="16"/>
      <c r="M558" s="16"/>
      <c r="N558" s="19"/>
    </row>
    <row r="559" customFormat="false" ht="15" hidden="false" customHeight="false" outlineLevel="0" collapsed="false">
      <c r="A559" s="13" t="s">
        <v>3022</v>
      </c>
      <c r="B559" s="13" t="s">
        <v>153</v>
      </c>
      <c r="C559" s="13" t="s">
        <v>43</v>
      </c>
      <c r="D559" s="13" t="s">
        <v>2324</v>
      </c>
      <c r="E559" s="13" t="s">
        <v>558</v>
      </c>
      <c r="F559" s="13" t="n">
        <v>1</v>
      </c>
      <c r="G559" s="13" t="n">
        <v>2</v>
      </c>
      <c r="H559" s="5" t="n">
        <v>5270</v>
      </c>
      <c r="I559" s="7" t="n">
        <v>6</v>
      </c>
      <c r="J559" s="16" t="n">
        <v>878.333333333333</v>
      </c>
      <c r="K559" s="16"/>
      <c r="L559" s="16"/>
      <c r="M559" s="16" t="n">
        <v>878.333333333333</v>
      </c>
      <c r="N559" s="19"/>
    </row>
    <row r="560" customFormat="false" ht="15" hidden="false" customHeight="false" outlineLevel="0" collapsed="false">
      <c r="A560" s="13" t="s">
        <v>3023</v>
      </c>
      <c r="B560" s="13" t="s">
        <v>105</v>
      </c>
      <c r="C560" s="13" t="s">
        <v>43</v>
      </c>
      <c r="D560" s="13" t="s">
        <v>2339</v>
      </c>
      <c r="E560" s="13" t="s">
        <v>568</v>
      </c>
      <c r="F560" s="13" t="n">
        <v>2</v>
      </c>
      <c r="G560" s="13" t="n">
        <v>2</v>
      </c>
      <c r="H560" s="5" t="n">
        <v>5240</v>
      </c>
      <c r="I560" s="7" t="n">
        <v>6</v>
      </c>
      <c r="J560" s="16" t="n">
        <v>873.333333333333</v>
      </c>
      <c r="K560" s="16" t="n">
        <v>920</v>
      </c>
      <c r="L560" s="16" t="n">
        <v>640</v>
      </c>
      <c r="M560" s="16"/>
      <c r="N560" s="19" t="n">
        <v>0.4375</v>
      </c>
    </row>
    <row r="561" customFormat="false" ht="15" hidden="false" customHeight="false" outlineLevel="0" collapsed="false">
      <c r="A561" s="13" t="s">
        <v>3024</v>
      </c>
      <c r="B561" s="13" t="s">
        <v>195</v>
      </c>
      <c r="C561" s="13" t="s">
        <v>43</v>
      </c>
      <c r="D561" s="13" t="s">
        <v>2339</v>
      </c>
      <c r="E561" s="13" t="s">
        <v>790</v>
      </c>
      <c r="F561" s="13" t="n">
        <v>2</v>
      </c>
      <c r="G561" s="13" t="n">
        <v>2</v>
      </c>
      <c r="H561" s="5" t="n">
        <v>5200</v>
      </c>
      <c r="I561" s="7" t="n">
        <v>4</v>
      </c>
      <c r="J561" s="16" t="n">
        <v>1300</v>
      </c>
      <c r="K561" s="16" t="n">
        <v>1300</v>
      </c>
      <c r="L561" s="16"/>
      <c r="M561" s="16" t="n">
        <v>1300</v>
      </c>
      <c r="N561" s="19" t="n">
        <v>0</v>
      </c>
    </row>
    <row r="562" customFormat="false" ht="15" hidden="false" customHeight="false" outlineLevel="0" collapsed="false">
      <c r="A562" s="13" t="s">
        <v>3025</v>
      </c>
      <c r="B562" s="13" t="s">
        <v>2120</v>
      </c>
      <c r="C562" s="13" t="s">
        <v>43</v>
      </c>
      <c r="D562" s="13" t="s">
        <v>2324</v>
      </c>
      <c r="E562" s="13" t="s">
        <v>3026</v>
      </c>
      <c r="F562" s="13" t="n">
        <v>1</v>
      </c>
      <c r="G562" s="13" t="n">
        <v>1</v>
      </c>
      <c r="H562" s="5" t="n">
        <v>5200</v>
      </c>
      <c r="I562" s="7" t="n">
        <v>5</v>
      </c>
      <c r="J562" s="16" t="n">
        <v>1040</v>
      </c>
      <c r="K562" s="16"/>
      <c r="L562" s="16" t="n">
        <v>1040</v>
      </c>
      <c r="M562" s="16"/>
      <c r="N562" s="19"/>
    </row>
    <row r="563" customFormat="false" ht="15" hidden="false" customHeight="false" outlineLevel="0" collapsed="false">
      <c r="A563" s="13" t="s">
        <v>3027</v>
      </c>
      <c r="B563" s="13" t="s">
        <v>2118</v>
      </c>
      <c r="C563" s="13" t="s">
        <v>43</v>
      </c>
      <c r="D563" s="13" t="s">
        <v>2324</v>
      </c>
      <c r="E563" s="13" t="s">
        <v>3028</v>
      </c>
      <c r="F563" s="13" t="n">
        <v>1</v>
      </c>
      <c r="G563" s="13" t="n">
        <v>2</v>
      </c>
      <c r="H563" s="5" t="n">
        <v>5200</v>
      </c>
      <c r="I563" s="7" t="n">
        <v>4</v>
      </c>
      <c r="J563" s="16" t="n">
        <v>1300</v>
      </c>
      <c r="K563" s="16"/>
      <c r="L563" s="16"/>
      <c r="M563" s="16" t="n">
        <v>1300</v>
      </c>
      <c r="N563" s="19"/>
    </row>
    <row r="564" customFormat="false" ht="15" hidden="false" customHeight="false" outlineLevel="0" collapsed="false">
      <c r="A564" s="13" t="s">
        <v>3029</v>
      </c>
      <c r="B564" s="13" t="s">
        <v>2095</v>
      </c>
      <c r="C564" s="13" t="s">
        <v>85</v>
      </c>
      <c r="D564" s="13" t="s">
        <v>2324</v>
      </c>
      <c r="E564" s="13" t="s">
        <v>3030</v>
      </c>
      <c r="F564" s="13" t="n">
        <v>1</v>
      </c>
      <c r="G564" s="13" t="n">
        <v>1</v>
      </c>
      <c r="H564" s="5" t="n">
        <v>5200</v>
      </c>
      <c r="I564" s="7" t="n">
        <v>60</v>
      </c>
      <c r="J564" s="16" t="n">
        <v>86.6666666666667</v>
      </c>
      <c r="K564" s="16" t="n">
        <v>86.6666666666667</v>
      </c>
      <c r="L564" s="16"/>
      <c r="M564" s="16"/>
      <c r="N564" s="19"/>
    </row>
    <row r="565" customFormat="false" ht="15" hidden="false" customHeight="false" outlineLevel="0" collapsed="false">
      <c r="A565" s="13" t="s">
        <v>3031</v>
      </c>
      <c r="B565" s="13" t="s">
        <v>65</v>
      </c>
      <c r="C565" s="13" t="s">
        <v>66</v>
      </c>
      <c r="D565" s="13" t="s">
        <v>2324</v>
      </c>
      <c r="E565" s="13" t="s">
        <v>540</v>
      </c>
      <c r="F565" s="13" t="n">
        <v>1</v>
      </c>
      <c r="G565" s="13" t="n">
        <v>1</v>
      </c>
      <c r="H565" s="5" t="n">
        <v>5200</v>
      </c>
      <c r="I565" s="7" t="n">
        <v>60</v>
      </c>
      <c r="J565" s="16" t="n">
        <v>86.6666666666667</v>
      </c>
      <c r="K565" s="16" t="n">
        <v>86.6666666666667</v>
      </c>
      <c r="L565" s="16"/>
      <c r="M565" s="16"/>
      <c r="N565" s="19"/>
    </row>
    <row r="566" customFormat="false" ht="15" hidden="false" customHeight="false" outlineLevel="0" collapsed="false">
      <c r="A566" s="13" t="s">
        <v>3032</v>
      </c>
      <c r="B566" s="13" t="s">
        <v>2153</v>
      </c>
      <c r="C566" s="13" t="s">
        <v>183</v>
      </c>
      <c r="D566" s="13" t="s">
        <v>2324</v>
      </c>
      <c r="E566" s="13" t="s">
        <v>3033</v>
      </c>
      <c r="F566" s="13" t="n">
        <v>1</v>
      </c>
      <c r="G566" s="13" t="n">
        <v>2</v>
      </c>
      <c r="H566" s="5" t="n">
        <v>5110</v>
      </c>
      <c r="I566" s="7" t="n">
        <v>42</v>
      </c>
      <c r="J566" s="16" t="n">
        <v>121.666666666667</v>
      </c>
      <c r="K566" s="16" t="n">
        <v>121.666666666667</v>
      </c>
      <c r="L566" s="16"/>
      <c r="M566" s="16"/>
      <c r="N566" s="19"/>
    </row>
    <row r="567" customFormat="false" ht="15" hidden="false" customHeight="false" outlineLevel="0" collapsed="false">
      <c r="A567" s="13" t="s">
        <v>3034</v>
      </c>
      <c r="B567" s="13" t="s">
        <v>50</v>
      </c>
      <c r="C567" s="13" t="s">
        <v>43</v>
      </c>
      <c r="D567" s="13" t="s">
        <v>2360</v>
      </c>
      <c r="E567" s="13" t="s">
        <v>750</v>
      </c>
      <c r="F567" s="13" t="n">
        <v>1</v>
      </c>
      <c r="G567" s="13" t="n">
        <v>2</v>
      </c>
      <c r="H567" s="5" t="n">
        <v>5100</v>
      </c>
      <c r="I567" s="7" t="n">
        <v>4</v>
      </c>
      <c r="J567" s="16" t="n">
        <v>1275</v>
      </c>
      <c r="K567" s="16"/>
      <c r="L567" s="16" t="n">
        <v>1275</v>
      </c>
      <c r="M567" s="16"/>
      <c r="N567" s="19"/>
    </row>
    <row r="568" customFormat="false" ht="15" hidden="false" customHeight="false" outlineLevel="0" collapsed="false">
      <c r="A568" s="13" t="s">
        <v>3035</v>
      </c>
      <c r="B568" s="13" t="s">
        <v>65</v>
      </c>
      <c r="C568" s="13" t="s">
        <v>66</v>
      </c>
      <c r="D568" s="13" t="s">
        <v>2324</v>
      </c>
      <c r="E568" s="13" t="s">
        <v>498</v>
      </c>
      <c r="F568" s="13" t="n">
        <v>1</v>
      </c>
      <c r="G568" s="13" t="n">
        <v>1</v>
      </c>
      <c r="H568" s="5" t="n">
        <v>5100</v>
      </c>
      <c r="I568" s="7" t="n">
        <v>20</v>
      </c>
      <c r="J568" s="16" t="n">
        <v>255</v>
      </c>
      <c r="K568" s="16" t="n">
        <v>255</v>
      </c>
      <c r="L568" s="16"/>
      <c r="M568" s="16"/>
      <c r="N568" s="19"/>
    </row>
    <row r="569" customFormat="false" ht="15" hidden="false" customHeight="false" outlineLevel="0" collapsed="false">
      <c r="A569" s="13" t="s">
        <v>3036</v>
      </c>
      <c r="B569" s="13" t="s">
        <v>2113</v>
      </c>
      <c r="C569" s="13" t="s">
        <v>183</v>
      </c>
      <c r="D569" s="13" t="s">
        <v>2324</v>
      </c>
      <c r="E569" s="13" t="s">
        <v>3037</v>
      </c>
      <c r="F569" s="13" t="n">
        <v>1</v>
      </c>
      <c r="G569" s="13" t="n">
        <v>1</v>
      </c>
      <c r="H569" s="5" t="n">
        <v>5100</v>
      </c>
      <c r="I569" s="7" t="n">
        <v>60</v>
      </c>
      <c r="J569" s="16" t="n">
        <v>85</v>
      </c>
      <c r="K569" s="16" t="n">
        <v>85</v>
      </c>
      <c r="L569" s="16"/>
      <c r="M569" s="16"/>
      <c r="N569" s="19"/>
    </row>
    <row r="570" customFormat="false" ht="15" hidden="false" customHeight="false" outlineLevel="0" collapsed="false">
      <c r="A570" s="13" t="s">
        <v>3038</v>
      </c>
      <c r="B570" s="13" t="s">
        <v>45</v>
      </c>
      <c r="C570" s="13" t="s">
        <v>183</v>
      </c>
      <c r="D570" s="13" t="s">
        <v>2339</v>
      </c>
      <c r="E570" s="13" t="s">
        <v>679</v>
      </c>
      <c r="F570" s="13" t="n">
        <v>1</v>
      </c>
      <c r="G570" s="13" t="n">
        <v>2</v>
      </c>
      <c r="H570" s="5" t="n">
        <v>5100</v>
      </c>
      <c r="I570" s="7" t="n">
        <v>4</v>
      </c>
      <c r="J570" s="16" t="n">
        <v>1275</v>
      </c>
      <c r="K570" s="16"/>
      <c r="L570" s="16" t="n">
        <v>1275</v>
      </c>
      <c r="M570" s="16"/>
      <c r="N570" s="19"/>
    </row>
    <row r="571" customFormat="false" ht="15" hidden="false" customHeight="false" outlineLevel="0" collapsed="false">
      <c r="A571" s="13" t="s">
        <v>3039</v>
      </c>
      <c r="B571" s="13" t="s">
        <v>193</v>
      </c>
      <c r="C571" s="13" t="s">
        <v>43</v>
      </c>
      <c r="D571" s="13" t="s">
        <v>2324</v>
      </c>
      <c r="E571" s="13" t="s">
        <v>295</v>
      </c>
      <c r="F571" s="13" t="n">
        <v>1</v>
      </c>
      <c r="G571" s="13" t="n">
        <v>1</v>
      </c>
      <c r="H571" s="5" t="n">
        <v>5100</v>
      </c>
      <c r="I571" s="7" t="n">
        <v>10</v>
      </c>
      <c r="J571" s="16" t="n">
        <v>510</v>
      </c>
      <c r="K571" s="16"/>
      <c r="L571" s="16"/>
      <c r="M571" s="16" t="n">
        <v>510</v>
      </c>
      <c r="N571" s="19"/>
    </row>
    <row r="572" customFormat="false" ht="15" hidden="false" customHeight="false" outlineLevel="0" collapsed="false">
      <c r="A572" s="13" t="s">
        <v>3040</v>
      </c>
      <c r="B572" s="13" t="s">
        <v>2157</v>
      </c>
      <c r="C572" s="13" t="s">
        <v>43</v>
      </c>
      <c r="D572" s="13" t="s">
        <v>2324</v>
      </c>
      <c r="E572" s="13" t="s">
        <v>3041</v>
      </c>
      <c r="F572" s="13" t="n">
        <v>1</v>
      </c>
      <c r="G572" s="13" t="n">
        <v>1</v>
      </c>
      <c r="H572" s="5" t="n">
        <v>5100</v>
      </c>
      <c r="I572" s="7" t="n">
        <v>20</v>
      </c>
      <c r="J572" s="16" t="n">
        <v>255</v>
      </c>
      <c r="K572" s="16" t="n">
        <v>255</v>
      </c>
      <c r="L572" s="16"/>
      <c r="M572" s="16"/>
      <c r="N572" s="19"/>
    </row>
    <row r="573" customFormat="false" ht="15" hidden="false" customHeight="false" outlineLevel="0" collapsed="false">
      <c r="A573" s="13" t="s">
        <v>3042</v>
      </c>
      <c r="B573" s="13" t="s">
        <v>45</v>
      </c>
      <c r="C573" s="13" t="s">
        <v>43</v>
      </c>
      <c r="D573" s="13" t="s">
        <v>2751</v>
      </c>
      <c r="E573" s="13" t="s">
        <v>610</v>
      </c>
      <c r="F573" s="13" t="n">
        <v>1</v>
      </c>
      <c r="G573" s="13" t="n">
        <v>3</v>
      </c>
      <c r="H573" s="5" t="n">
        <v>5040</v>
      </c>
      <c r="I573" s="7" t="n">
        <v>7</v>
      </c>
      <c r="J573" s="16" t="n">
        <v>720</v>
      </c>
      <c r="K573" s="16"/>
      <c r="L573" s="16" t="n">
        <v>720</v>
      </c>
      <c r="M573" s="16"/>
      <c r="N573" s="19"/>
    </row>
    <row r="574" customFormat="false" ht="15" hidden="false" customHeight="false" outlineLevel="0" collapsed="false">
      <c r="A574" s="13" t="s">
        <v>3043</v>
      </c>
      <c r="B574" s="13" t="s">
        <v>191</v>
      </c>
      <c r="C574" s="13" t="s">
        <v>183</v>
      </c>
      <c r="D574" s="13" t="s">
        <v>2324</v>
      </c>
      <c r="E574" s="13" t="s">
        <v>551</v>
      </c>
      <c r="F574" s="13" t="n">
        <v>1</v>
      </c>
      <c r="G574" s="13" t="n">
        <v>1</v>
      </c>
      <c r="H574" s="5" t="n">
        <v>5000</v>
      </c>
      <c r="I574" s="7" t="n">
        <v>40</v>
      </c>
      <c r="J574" s="16" t="n">
        <v>125</v>
      </c>
      <c r="K574" s="16" t="n">
        <v>125</v>
      </c>
      <c r="L574" s="16"/>
      <c r="M574" s="16"/>
      <c r="N574" s="19"/>
    </row>
    <row r="575" customFormat="false" ht="15" hidden="false" customHeight="false" outlineLevel="0" collapsed="false">
      <c r="A575" s="13" t="s">
        <v>3044</v>
      </c>
      <c r="B575" s="13" t="s">
        <v>121</v>
      </c>
      <c r="C575" s="13" t="s">
        <v>43</v>
      </c>
      <c r="D575" s="13" t="s">
        <v>2339</v>
      </c>
      <c r="E575" s="13" t="s">
        <v>1991</v>
      </c>
      <c r="F575" s="13" t="n">
        <v>1</v>
      </c>
      <c r="G575" s="13" t="n">
        <v>4</v>
      </c>
      <c r="H575" s="5" t="n">
        <v>5000</v>
      </c>
      <c r="I575" s="7" t="n">
        <v>23</v>
      </c>
      <c r="J575" s="16" t="n">
        <v>217.391304347826</v>
      </c>
      <c r="K575" s="16"/>
      <c r="L575" s="16"/>
      <c r="M575" s="16" t="n">
        <v>217.391304347826</v>
      </c>
      <c r="N575" s="19"/>
    </row>
    <row r="576" customFormat="false" ht="15" hidden="false" customHeight="false" outlineLevel="0" collapsed="false">
      <c r="A576" s="13" t="s">
        <v>3045</v>
      </c>
      <c r="B576" s="13" t="s">
        <v>2183</v>
      </c>
      <c r="C576" s="13" t="s">
        <v>43</v>
      </c>
      <c r="D576" s="13" t="s">
        <v>2324</v>
      </c>
      <c r="E576" s="13" t="s">
        <v>3046</v>
      </c>
      <c r="F576" s="13" t="n">
        <v>1</v>
      </c>
      <c r="G576" s="13" t="n">
        <v>1</v>
      </c>
      <c r="H576" s="5" t="n">
        <v>5000</v>
      </c>
      <c r="I576" s="7" t="n">
        <v>60</v>
      </c>
      <c r="J576" s="16" t="n">
        <v>83.3333333333333</v>
      </c>
      <c r="K576" s="16" t="n">
        <v>83.3333333333333</v>
      </c>
      <c r="L576" s="16"/>
      <c r="M576" s="16"/>
      <c r="N576" s="19"/>
    </row>
    <row r="577" customFormat="false" ht="15" hidden="false" customHeight="false" outlineLevel="0" collapsed="false">
      <c r="A577" s="13" t="s">
        <v>3047</v>
      </c>
      <c r="B577" s="13" t="s">
        <v>2143</v>
      </c>
      <c r="C577" s="13" t="s">
        <v>43</v>
      </c>
      <c r="D577" s="13" t="s">
        <v>2324</v>
      </c>
      <c r="E577" s="13" t="s">
        <v>3048</v>
      </c>
      <c r="F577" s="13" t="n">
        <v>1</v>
      </c>
      <c r="G577" s="13" t="n">
        <v>1</v>
      </c>
      <c r="H577" s="5" t="n">
        <v>5000</v>
      </c>
      <c r="I577" s="7" t="n">
        <v>20</v>
      </c>
      <c r="J577" s="16" t="n">
        <v>250</v>
      </c>
      <c r="K577" s="16" t="n">
        <v>250</v>
      </c>
      <c r="L577" s="16"/>
      <c r="M577" s="16"/>
      <c r="N577" s="19"/>
    </row>
    <row r="578" customFormat="false" ht="15" hidden="false" customHeight="false" outlineLevel="0" collapsed="false">
      <c r="A578" s="13" t="s">
        <v>3049</v>
      </c>
      <c r="B578" s="13" t="s">
        <v>2126</v>
      </c>
      <c r="C578" s="13" t="s">
        <v>183</v>
      </c>
      <c r="D578" s="13" t="s">
        <v>2324</v>
      </c>
      <c r="E578" s="13" t="s">
        <v>3050</v>
      </c>
      <c r="F578" s="13" t="n">
        <v>1</v>
      </c>
      <c r="G578" s="13" t="n">
        <v>1</v>
      </c>
      <c r="H578" s="5" t="n">
        <v>5000</v>
      </c>
      <c r="I578" s="7" t="n">
        <v>80</v>
      </c>
      <c r="J578" s="16" t="n">
        <v>62.5</v>
      </c>
      <c r="K578" s="16" t="n">
        <v>62.5</v>
      </c>
      <c r="L578" s="16"/>
      <c r="M578" s="16"/>
      <c r="N578" s="19"/>
    </row>
    <row r="579" customFormat="false" ht="15" hidden="false" customHeight="false" outlineLevel="0" collapsed="false">
      <c r="A579" s="13" t="s">
        <v>3051</v>
      </c>
      <c r="B579" s="13" t="s">
        <v>2136</v>
      </c>
      <c r="C579" s="13" t="s">
        <v>85</v>
      </c>
      <c r="D579" s="13" t="s">
        <v>2324</v>
      </c>
      <c r="E579" s="13" t="s">
        <v>3052</v>
      </c>
      <c r="F579" s="13" t="n">
        <v>1</v>
      </c>
      <c r="G579" s="13" t="n">
        <v>1</v>
      </c>
      <c r="H579" s="5" t="n">
        <v>5000</v>
      </c>
      <c r="I579" s="7" t="n">
        <v>120</v>
      </c>
      <c r="J579" s="16" t="n">
        <v>41.6666666666667</v>
      </c>
      <c r="K579" s="16" t="n">
        <v>41.6666666666667</v>
      </c>
      <c r="L579" s="16"/>
      <c r="M579" s="16"/>
      <c r="N579" s="19"/>
    </row>
    <row r="580" customFormat="false" ht="15" hidden="false" customHeight="false" outlineLevel="0" collapsed="false">
      <c r="A580" s="13" t="s">
        <v>3053</v>
      </c>
      <c r="B580" s="13" t="s">
        <v>2095</v>
      </c>
      <c r="C580" s="13" t="s">
        <v>140</v>
      </c>
      <c r="D580" s="13" t="s">
        <v>2324</v>
      </c>
      <c r="E580" s="13" t="s">
        <v>3054</v>
      </c>
      <c r="F580" s="13" t="n">
        <v>1</v>
      </c>
      <c r="G580" s="13" t="n">
        <v>1</v>
      </c>
      <c r="H580" s="5" t="n">
        <v>5000</v>
      </c>
      <c r="I580" s="7" t="n">
        <v>40</v>
      </c>
      <c r="J580" s="16" t="n">
        <v>125</v>
      </c>
      <c r="K580" s="16" t="n">
        <v>125</v>
      </c>
      <c r="L580" s="16"/>
      <c r="M580" s="16"/>
      <c r="N580" s="19"/>
    </row>
    <row r="581" customFormat="false" ht="15" hidden="false" customHeight="false" outlineLevel="0" collapsed="false">
      <c r="A581" s="13" t="s">
        <v>3055</v>
      </c>
      <c r="B581" s="13" t="s">
        <v>286</v>
      </c>
      <c r="C581" s="13" t="s">
        <v>43</v>
      </c>
      <c r="D581" s="13" t="s">
        <v>3010</v>
      </c>
      <c r="E581" s="13" t="s">
        <v>1447</v>
      </c>
      <c r="F581" s="13" t="n">
        <v>2</v>
      </c>
      <c r="G581" s="13" t="n">
        <v>4</v>
      </c>
      <c r="H581" s="5" t="n">
        <v>4940</v>
      </c>
      <c r="I581" s="7" t="n">
        <v>15</v>
      </c>
      <c r="J581" s="16" t="n">
        <v>329.333333333333</v>
      </c>
      <c r="K581" s="16"/>
      <c r="L581" s="16" t="n">
        <v>430</v>
      </c>
      <c r="M581" s="16" t="n">
        <v>322.142857142857</v>
      </c>
      <c r="N581" s="19" t="n">
        <v>0.334811529933481</v>
      </c>
    </row>
    <row r="582" customFormat="false" ht="15" hidden="false" customHeight="false" outlineLevel="0" collapsed="false">
      <c r="A582" s="13" t="s">
        <v>3056</v>
      </c>
      <c r="B582" s="13" t="s">
        <v>2141</v>
      </c>
      <c r="C582" s="13" t="s">
        <v>43</v>
      </c>
      <c r="D582" s="13" t="s">
        <v>2324</v>
      </c>
      <c r="E582" s="13" t="s">
        <v>3057</v>
      </c>
      <c r="F582" s="13" t="n">
        <v>1</v>
      </c>
      <c r="G582" s="13" t="n">
        <v>2</v>
      </c>
      <c r="H582" s="5" t="n">
        <v>4940</v>
      </c>
      <c r="I582" s="7" t="n">
        <v>72</v>
      </c>
      <c r="J582" s="16" t="n">
        <v>68.6111111111111</v>
      </c>
      <c r="K582" s="16" t="n">
        <v>68.6111111111111</v>
      </c>
      <c r="L582" s="16"/>
      <c r="M582" s="16"/>
      <c r="N582" s="19"/>
    </row>
    <row r="583" customFormat="false" ht="15" hidden="false" customHeight="false" outlineLevel="0" collapsed="false">
      <c r="A583" s="13" t="s">
        <v>3058</v>
      </c>
      <c r="B583" s="13" t="s">
        <v>2115</v>
      </c>
      <c r="C583" s="13" t="s">
        <v>140</v>
      </c>
      <c r="D583" s="13" t="s">
        <v>2324</v>
      </c>
      <c r="E583" s="13" t="s">
        <v>3059</v>
      </c>
      <c r="F583" s="13" t="n">
        <v>1</v>
      </c>
      <c r="G583" s="13" t="n">
        <v>1</v>
      </c>
      <c r="H583" s="5" t="n">
        <v>4900</v>
      </c>
      <c r="I583" s="7" t="n">
        <v>60</v>
      </c>
      <c r="J583" s="16" t="n">
        <v>81.6666666666667</v>
      </c>
      <c r="K583" s="16" t="n">
        <v>81.6666666666667</v>
      </c>
      <c r="L583" s="16"/>
      <c r="M583" s="16"/>
      <c r="N583" s="19"/>
    </row>
    <row r="584" customFormat="false" ht="15" hidden="false" customHeight="false" outlineLevel="0" collapsed="false">
      <c r="A584" s="13" t="s">
        <v>3060</v>
      </c>
      <c r="B584" s="13" t="s">
        <v>302</v>
      </c>
      <c r="C584" s="13" t="s">
        <v>43</v>
      </c>
      <c r="D584" s="13" t="s">
        <v>2324</v>
      </c>
      <c r="E584" s="13" t="s">
        <v>556</v>
      </c>
      <c r="F584" s="13" t="n">
        <v>1</v>
      </c>
      <c r="G584" s="13" t="n">
        <v>1</v>
      </c>
      <c r="H584" s="5" t="n">
        <v>4900</v>
      </c>
      <c r="I584" s="7" t="n">
        <v>5</v>
      </c>
      <c r="J584" s="16" t="n">
        <v>980</v>
      </c>
      <c r="K584" s="16" t="n">
        <v>980</v>
      </c>
      <c r="L584" s="16"/>
      <c r="M584" s="16"/>
      <c r="N584" s="19"/>
    </row>
    <row r="585" customFormat="false" ht="15" hidden="false" customHeight="false" outlineLevel="0" collapsed="false">
      <c r="A585" s="13" t="s">
        <v>3061</v>
      </c>
      <c r="B585" s="13" t="s">
        <v>2095</v>
      </c>
      <c r="C585" s="13" t="s">
        <v>140</v>
      </c>
      <c r="D585" s="13" t="s">
        <v>2324</v>
      </c>
      <c r="E585" s="13" t="s">
        <v>3062</v>
      </c>
      <c r="F585" s="13" t="n">
        <v>1</v>
      </c>
      <c r="G585" s="13" t="n">
        <v>1</v>
      </c>
      <c r="H585" s="5" t="n">
        <v>4900</v>
      </c>
      <c r="I585" s="7" t="n">
        <v>50</v>
      </c>
      <c r="J585" s="16" t="n">
        <v>98</v>
      </c>
      <c r="K585" s="16" t="n">
        <v>98</v>
      </c>
      <c r="L585" s="16"/>
      <c r="M585" s="16"/>
      <c r="N585" s="19"/>
    </row>
    <row r="586" customFormat="false" ht="15" hidden="false" customHeight="false" outlineLevel="0" collapsed="false">
      <c r="A586" s="13" t="s">
        <v>3063</v>
      </c>
      <c r="B586" s="13" t="s">
        <v>2119</v>
      </c>
      <c r="C586" s="13" t="s">
        <v>140</v>
      </c>
      <c r="D586" s="13" t="s">
        <v>2324</v>
      </c>
      <c r="E586" s="13" t="s">
        <v>3064</v>
      </c>
      <c r="F586" s="13" t="n">
        <v>1</v>
      </c>
      <c r="G586" s="13" t="n">
        <v>1</v>
      </c>
      <c r="H586" s="5" t="n">
        <v>4900</v>
      </c>
      <c r="I586" s="7" t="n">
        <v>60</v>
      </c>
      <c r="J586" s="16" t="n">
        <v>81.6666666666667</v>
      </c>
      <c r="K586" s="16" t="n">
        <v>81.6666666666667</v>
      </c>
      <c r="L586" s="16"/>
      <c r="M586" s="16"/>
      <c r="N586" s="19"/>
    </row>
    <row r="587" customFormat="false" ht="15" hidden="false" customHeight="false" outlineLevel="0" collapsed="false">
      <c r="A587" s="13" t="s">
        <v>3065</v>
      </c>
      <c r="B587" s="13" t="s">
        <v>79</v>
      </c>
      <c r="C587" s="13" t="s">
        <v>43</v>
      </c>
      <c r="D587" s="13" t="s">
        <v>2324</v>
      </c>
      <c r="E587" s="13" t="s">
        <v>426</v>
      </c>
      <c r="F587" s="13" t="n">
        <v>3</v>
      </c>
      <c r="G587" s="13" t="n">
        <v>4</v>
      </c>
      <c r="H587" s="5" t="n">
        <v>4900</v>
      </c>
      <c r="I587" s="7" t="n">
        <v>7</v>
      </c>
      <c r="J587" s="16" t="n">
        <v>700</v>
      </c>
      <c r="K587" s="16" t="n">
        <v>1000</v>
      </c>
      <c r="L587" s="16" t="n">
        <v>653.333333333333</v>
      </c>
      <c r="M587" s="16" t="n">
        <v>470</v>
      </c>
      <c r="N587" s="19" t="n">
        <v>1.12765957446809</v>
      </c>
    </row>
    <row r="588" customFormat="false" ht="15" hidden="false" customHeight="false" outlineLevel="0" collapsed="false">
      <c r="A588" s="13" t="s">
        <v>3066</v>
      </c>
      <c r="B588" s="13" t="s">
        <v>179</v>
      </c>
      <c r="C588" s="13" t="s">
        <v>85</v>
      </c>
      <c r="D588" s="13" t="s">
        <v>2324</v>
      </c>
      <c r="E588" s="13" t="s">
        <v>553</v>
      </c>
      <c r="F588" s="13" t="n">
        <v>1</v>
      </c>
      <c r="G588" s="13" t="n">
        <v>1</v>
      </c>
      <c r="H588" s="5" t="n">
        <v>4900</v>
      </c>
      <c r="I588" s="7" t="n">
        <v>30</v>
      </c>
      <c r="J588" s="16" t="n">
        <v>163.333333333333</v>
      </c>
      <c r="K588" s="16" t="n">
        <v>163.333333333333</v>
      </c>
      <c r="L588" s="16"/>
      <c r="M588" s="16"/>
      <c r="N588" s="19"/>
    </row>
    <row r="589" customFormat="false" ht="15" hidden="false" customHeight="false" outlineLevel="0" collapsed="false">
      <c r="A589" s="13" t="s">
        <v>3067</v>
      </c>
      <c r="B589" s="13" t="s">
        <v>42</v>
      </c>
      <c r="C589" s="13" t="s">
        <v>43</v>
      </c>
      <c r="D589" s="13" t="s">
        <v>2324</v>
      </c>
      <c r="E589" s="13" t="s">
        <v>237</v>
      </c>
      <c r="F589" s="13" t="n">
        <v>1</v>
      </c>
      <c r="G589" s="13" t="n">
        <v>2</v>
      </c>
      <c r="H589" s="5" t="n">
        <v>4900</v>
      </c>
      <c r="I589" s="7" t="n">
        <v>7</v>
      </c>
      <c r="J589" s="16" t="n">
        <v>700</v>
      </c>
      <c r="K589" s="16"/>
      <c r="L589" s="16" t="n">
        <v>700</v>
      </c>
      <c r="M589" s="16"/>
      <c r="N589" s="19"/>
    </row>
    <row r="590" customFormat="false" ht="15" hidden="false" customHeight="false" outlineLevel="0" collapsed="false">
      <c r="A590" s="13" t="s">
        <v>3068</v>
      </c>
      <c r="B590" s="13" t="s">
        <v>2111</v>
      </c>
      <c r="C590" s="13" t="s">
        <v>43</v>
      </c>
      <c r="D590" s="13" t="s">
        <v>2339</v>
      </c>
      <c r="E590" s="13" t="s">
        <v>3069</v>
      </c>
      <c r="F590" s="13" t="n">
        <v>1</v>
      </c>
      <c r="G590" s="13" t="n">
        <v>2</v>
      </c>
      <c r="H590" s="5" t="n">
        <v>4900</v>
      </c>
      <c r="I590" s="7" t="n">
        <v>7</v>
      </c>
      <c r="J590" s="16" t="n">
        <v>700</v>
      </c>
      <c r="K590" s="16"/>
      <c r="L590" s="16" t="n">
        <v>700</v>
      </c>
      <c r="M590" s="16"/>
      <c r="N590" s="19"/>
    </row>
    <row r="591" customFormat="false" ht="15" hidden="false" customHeight="false" outlineLevel="0" collapsed="false">
      <c r="A591" s="13" t="s">
        <v>3070</v>
      </c>
      <c r="B591" s="13" t="s">
        <v>45</v>
      </c>
      <c r="C591" s="13" t="s">
        <v>43</v>
      </c>
      <c r="D591" s="13" t="s">
        <v>2324</v>
      </c>
      <c r="E591" s="13" t="s">
        <v>615</v>
      </c>
      <c r="F591" s="13" t="n">
        <v>1</v>
      </c>
      <c r="G591" s="13" t="n">
        <v>2</v>
      </c>
      <c r="H591" s="5" t="n">
        <v>4880</v>
      </c>
      <c r="I591" s="7" t="n">
        <v>6</v>
      </c>
      <c r="J591" s="16" t="n">
        <v>813.333333333333</v>
      </c>
      <c r="K591" s="16"/>
      <c r="L591" s="16" t="n">
        <v>813.333333333333</v>
      </c>
      <c r="M591" s="16"/>
      <c r="N591" s="19"/>
    </row>
    <row r="592" customFormat="false" ht="15" hidden="false" customHeight="false" outlineLevel="0" collapsed="false">
      <c r="A592" s="13" t="s">
        <v>3071</v>
      </c>
      <c r="B592" s="13" t="s">
        <v>50</v>
      </c>
      <c r="C592" s="13" t="s">
        <v>43</v>
      </c>
      <c r="D592" s="13" t="s">
        <v>2500</v>
      </c>
      <c r="E592" s="13" t="s">
        <v>765</v>
      </c>
      <c r="F592" s="13" t="n">
        <v>1</v>
      </c>
      <c r="G592" s="13" t="n">
        <v>3</v>
      </c>
      <c r="H592" s="5" t="n">
        <v>4840</v>
      </c>
      <c r="I592" s="7" t="n">
        <v>8</v>
      </c>
      <c r="J592" s="16" t="n">
        <v>605</v>
      </c>
      <c r="K592" s="16"/>
      <c r="L592" s="16"/>
      <c r="M592" s="16" t="n">
        <v>605</v>
      </c>
      <c r="N592" s="19"/>
    </row>
    <row r="593" customFormat="false" ht="15" hidden="false" customHeight="false" outlineLevel="0" collapsed="false">
      <c r="A593" s="13" t="s">
        <v>3072</v>
      </c>
      <c r="B593" s="13" t="s">
        <v>42</v>
      </c>
      <c r="C593" s="13" t="s">
        <v>43</v>
      </c>
      <c r="D593" s="13" t="s">
        <v>2324</v>
      </c>
      <c r="E593" s="13" t="s">
        <v>358</v>
      </c>
      <c r="F593" s="13" t="n">
        <v>1</v>
      </c>
      <c r="G593" s="13" t="n">
        <v>2</v>
      </c>
      <c r="H593" s="5" t="n">
        <v>4800</v>
      </c>
      <c r="I593" s="7" t="n">
        <v>7</v>
      </c>
      <c r="J593" s="16" t="n">
        <v>685.714285714286</v>
      </c>
      <c r="K593" s="16"/>
      <c r="L593" s="16" t="n">
        <v>685.714285714286</v>
      </c>
      <c r="M593" s="16"/>
      <c r="N593" s="19"/>
    </row>
    <row r="594" customFormat="false" ht="15" hidden="false" customHeight="false" outlineLevel="0" collapsed="false">
      <c r="A594" s="13" t="s">
        <v>3073</v>
      </c>
      <c r="B594" s="13" t="s">
        <v>179</v>
      </c>
      <c r="C594" s="13" t="s">
        <v>180</v>
      </c>
      <c r="D594" s="13" t="s">
        <v>2324</v>
      </c>
      <c r="E594" s="13" t="s">
        <v>560</v>
      </c>
      <c r="F594" s="13" t="n">
        <v>1</v>
      </c>
      <c r="G594" s="13" t="n">
        <v>1</v>
      </c>
      <c r="H594" s="5" t="n">
        <v>4800</v>
      </c>
      <c r="I594" s="7" t="n">
        <v>30</v>
      </c>
      <c r="J594" s="16" t="n">
        <v>160</v>
      </c>
      <c r="K594" s="16" t="n">
        <v>160</v>
      </c>
      <c r="L594" s="16"/>
      <c r="M594" s="16"/>
      <c r="N594" s="19"/>
    </row>
    <row r="595" customFormat="false" ht="15" hidden="false" customHeight="false" outlineLevel="0" collapsed="false">
      <c r="A595" s="13" t="s">
        <v>3074</v>
      </c>
      <c r="B595" s="13" t="s">
        <v>107</v>
      </c>
      <c r="C595" s="13" t="s">
        <v>183</v>
      </c>
      <c r="D595" s="13" t="s">
        <v>2429</v>
      </c>
      <c r="E595" s="13" t="s">
        <v>574</v>
      </c>
      <c r="F595" s="13" t="n">
        <v>1</v>
      </c>
      <c r="G595" s="13" t="n">
        <v>2</v>
      </c>
      <c r="H595" s="5" t="n">
        <v>4790</v>
      </c>
      <c r="I595" s="7" t="n">
        <v>52</v>
      </c>
      <c r="J595" s="16" t="n">
        <v>92.1153846153846</v>
      </c>
      <c r="K595" s="16"/>
      <c r="L595" s="16"/>
      <c r="M595" s="16" t="n">
        <v>92.1153846153846</v>
      </c>
      <c r="N595" s="19"/>
    </row>
    <row r="596" customFormat="false" ht="15" hidden="false" customHeight="false" outlineLevel="0" collapsed="false">
      <c r="A596" s="13" t="s">
        <v>3075</v>
      </c>
      <c r="B596" s="13" t="s">
        <v>195</v>
      </c>
      <c r="C596" s="13" t="s">
        <v>43</v>
      </c>
      <c r="D596" s="13" t="s">
        <v>2324</v>
      </c>
      <c r="E596" s="13" t="s">
        <v>528</v>
      </c>
      <c r="F596" s="13" t="n">
        <v>1</v>
      </c>
      <c r="G596" s="13" t="n">
        <v>2</v>
      </c>
      <c r="H596" s="5" t="n">
        <v>4710</v>
      </c>
      <c r="I596" s="7" t="n">
        <v>11</v>
      </c>
      <c r="J596" s="16" t="n">
        <v>428.181818181818</v>
      </c>
      <c r="K596" s="16"/>
      <c r="L596" s="16"/>
      <c r="M596" s="16" t="n">
        <v>428.181818181818</v>
      </c>
      <c r="N596" s="19"/>
    </row>
    <row r="597" customFormat="false" ht="15" hidden="false" customHeight="false" outlineLevel="0" collapsed="false">
      <c r="A597" s="13" t="s">
        <v>3076</v>
      </c>
      <c r="B597" s="13" t="s">
        <v>114</v>
      </c>
      <c r="C597" s="13" t="s">
        <v>115</v>
      </c>
      <c r="D597" s="13" t="s">
        <v>2339</v>
      </c>
      <c r="E597" s="13" t="s">
        <v>587</v>
      </c>
      <c r="F597" s="13" t="n">
        <v>1</v>
      </c>
      <c r="G597" s="13" t="n">
        <v>2</v>
      </c>
      <c r="H597" s="5" t="n">
        <v>4710</v>
      </c>
      <c r="I597" s="7" t="n">
        <v>85</v>
      </c>
      <c r="J597" s="16" t="n">
        <v>55.4117647058824</v>
      </c>
      <c r="K597" s="16" t="n">
        <v>55.4117647058824</v>
      </c>
      <c r="L597" s="16"/>
      <c r="M597" s="16"/>
      <c r="N597" s="19"/>
    </row>
    <row r="598" customFormat="false" ht="15" hidden="false" customHeight="false" outlineLevel="0" collapsed="false">
      <c r="A598" s="13" t="s">
        <v>3077</v>
      </c>
      <c r="B598" s="13" t="s">
        <v>54</v>
      </c>
      <c r="C598" s="13" t="s">
        <v>43</v>
      </c>
      <c r="D598" s="13" t="s">
        <v>2324</v>
      </c>
      <c r="E598" s="13" t="s">
        <v>567</v>
      </c>
      <c r="F598" s="13" t="n">
        <v>1</v>
      </c>
      <c r="G598" s="13" t="n">
        <v>1</v>
      </c>
      <c r="H598" s="5" t="n">
        <v>4700</v>
      </c>
      <c r="I598" s="7" t="n">
        <v>5</v>
      </c>
      <c r="J598" s="16" t="n">
        <v>940</v>
      </c>
      <c r="K598" s="16"/>
      <c r="L598" s="16"/>
      <c r="M598" s="16" t="n">
        <v>940</v>
      </c>
      <c r="N598" s="19"/>
    </row>
    <row r="599" customFormat="false" ht="15" hidden="false" customHeight="false" outlineLevel="0" collapsed="false">
      <c r="A599" s="13" t="s">
        <v>3078</v>
      </c>
      <c r="B599" s="13" t="s">
        <v>2115</v>
      </c>
      <c r="C599" s="13" t="s">
        <v>140</v>
      </c>
      <c r="D599" s="13" t="s">
        <v>2324</v>
      </c>
      <c r="E599" s="13" t="s">
        <v>3079</v>
      </c>
      <c r="F599" s="13" t="n">
        <v>1</v>
      </c>
      <c r="G599" s="13" t="n">
        <v>1</v>
      </c>
      <c r="H599" s="5" t="n">
        <v>4700</v>
      </c>
      <c r="I599" s="7" t="n">
        <v>50</v>
      </c>
      <c r="J599" s="16" t="n">
        <v>94</v>
      </c>
      <c r="K599" s="16" t="n">
        <v>94</v>
      </c>
      <c r="L599" s="16"/>
      <c r="M599" s="16"/>
      <c r="N599" s="19"/>
    </row>
    <row r="600" customFormat="false" ht="15" hidden="false" customHeight="false" outlineLevel="0" collapsed="false">
      <c r="A600" s="13" t="s">
        <v>3080</v>
      </c>
      <c r="B600" s="13" t="s">
        <v>45</v>
      </c>
      <c r="C600" s="13" t="s">
        <v>43</v>
      </c>
      <c r="D600" s="13" t="s">
        <v>2324</v>
      </c>
      <c r="E600" s="13" t="s">
        <v>563</v>
      </c>
      <c r="F600" s="13" t="n">
        <v>1</v>
      </c>
      <c r="G600" s="13" t="n">
        <v>1</v>
      </c>
      <c r="H600" s="5" t="n">
        <v>4700</v>
      </c>
      <c r="I600" s="7" t="n">
        <v>5</v>
      </c>
      <c r="J600" s="16" t="n">
        <v>940</v>
      </c>
      <c r="K600" s="16"/>
      <c r="L600" s="16"/>
      <c r="M600" s="16" t="n">
        <v>940</v>
      </c>
      <c r="N600" s="19"/>
    </row>
    <row r="601" customFormat="false" ht="15" hidden="false" customHeight="false" outlineLevel="0" collapsed="false">
      <c r="A601" s="13" t="s">
        <v>3081</v>
      </c>
      <c r="B601" s="13" t="s">
        <v>153</v>
      </c>
      <c r="C601" s="13" t="s">
        <v>43</v>
      </c>
      <c r="D601" s="13" t="s">
        <v>2324</v>
      </c>
      <c r="E601" s="13" t="s">
        <v>564</v>
      </c>
      <c r="F601" s="13" t="n">
        <v>1</v>
      </c>
      <c r="G601" s="13" t="n">
        <v>1</v>
      </c>
      <c r="H601" s="5" t="n">
        <v>4700</v>
      </c>
      <c r="I601" s="7" t="n">
        <v>5</v>
      </c>
      <c r="J601" s="16" t="n">
        <v>940</v>
      </c>
      <c r="K601" s="16"/>
      <c r="L601" s="16"/>
      <c r="M601" s="16" t="n">
        <v>940</v>
      </c>
      <c r="N601" s="19"/>
    </row>
    <row r="602" customFormat="false" ht="15" hidden="false" customHeight="false" outlineLevel="0" collapsed="false">
      <c r="A602" s="13" t="s">
        <v>3082</v>
      </c>
      <c r="B602" s="13" t="s">
        <v>2184</v>
      </c>
      <c r="C602" s="13" t="s">
        <v>98</v>
      </c>
      <c r="D602" s="13" t="s">
        <v>2324</v>
      </c>
      <c r="E602" s="13" t="s">
        <v>3083</v>
      </c>
      <c r="F602" s="13" t="n">
        <v>1</v>
      </c>
      <c r="G602" s="13" t="n">
        <v>1</v>
      </c>
      <c r="H602" s="5" t="n">
        <v>4700</v>
      </c>
      <c r="I602" s="7" t="n">
        <v>5</v>
      </c>
      <c r="J602" s="16" t="n">
        <v>940</v>
      </c>
      <c r="K602" s="16" t="n">
        <v>940</v>
      </c>
      <c r="L602" s="16"/>
      <c r="M602" s="16"/>
      <c r="N602" s="19"/>
    </row>
    <row r="603" customFormat="false" ht="15" hidden="false" customHeight="false" outlineLevel="0" collapsed="false">
      <c r="A603" s="13" t="s">
        <v>3084</v>
      </c>
      <c r="B603" s="13" t="s">
        <v>229</v>
      </c>
      <c r="C603" s="13" t="s">
        <v>43</v>
      </c>
      <c r="D603" s="13" t="s">
        <v>2324</v>
      </c>
      <c r="E603" s="13" t="s">
        <v>625</v>
      </c>
      <c r="F603" s="13" t="n">
        <v>1</v>
      </c>
      <c r="G603" s="13" t="n">
        <v>2</v>
      </c>
      <c r="H603" s="5" t="n">
        <v>4640</v>
      </c>
      <c r="I603" s="7" t="n">
        <v>7</v>
      </c>
      <c r="J603" s="16" t="n">
        <v>662.857142857143</v>
      </c>
      <c r="K603" s="16"/>
      <c r="L603" s="16" t="n">
        <v>662.857142857143</v>
      </c>
      <c r="M603" s="16"/>
      <c r="N603" s="19"/>
    </row>
    <row r="604" customFormat="false" ht="15" hidden="false" customHeight="false" outlineLevel="0" collapsed="false">
      <c r="A604" s="13" t="s">
        <v>3085</v>
      </c>
      <c r="B604" s="13" t="s">
        <v>2185</v>
      </c>
      <c r="C604" s="13" t="s">
        <v>144</v>
      </c>
      <c r="D604" s="13" t="s">
        <v>2324</v>
      </c>
      <c r="E604" s="13" t="s">
        <v>3086</v>
      </c>
      <c r="F604" s="13" t="n">
        <v>1</v>
      </c>
      <c r="G604" s="13" t="n">
        <v>2</v>
      </c>
      <c r="H604" s="5" t="n">
        <v>4620</v>
      </c>
      <c r="I604" s="7" t="n">
        <v>35</v>
      </c>
      <c r="J604" s="16" t="n">
        <v>132</v>
      </c>
      <c r="K604" s="16" t="n">
        <v>132</v>
      </c>
      <c r="L604" s="16"/>
      <c r="M604" s="16"/>
      <c r="N604" s="19"/>
    </row>
    <row r="605" customFormat="false" ht="15" hidden="false" customHeight="false" outlineLevel="0" collapsed="false">
      <c r="A605" s="13" t="s">
        <v>3087</v>
      </c>
      <c r="B605" s="13" t="s">
        <v>204</v>
      </c>
      <c r="C605" s="13" t="s">
        <v>43</v>
      </c>
      <c r="D605" s="13" t="s">
        <v>2422</v>
      </c>
      <c r="E605" s="13" t="s">
        <v>616</v>
      </c>
      <c r="F605" s="13" t="n">
        <v>1</v>
      </c>
      <c r="G605" s="13" t="n">
        <v>2</v>
      </c>
      <c r="H605" s="5" t="n">
        <v>4610</v>
      </c>
      <c r="I605" s="7" t="n">
        <v>22</v>
      </c>
      <c r="J605" s="16" t="n">
        <v>209.545454545455</v>
      </c>
      <c r="K605" s="16"/>
      <c r="L605" s="16" t="n">
        <v>209.545454545455</v>
      </c>
      <c r="M605" s="16"/>
      <c r="N605" s="19"/>
    </row>
    <row r="606" customFormat="false" ht="15" hidden="false" customHeight="false" outlineLevel="0" collapsed="false">
      <c r="A606" s="13" t="s">
        <v>3088</v>
      </c>
      <c r="B606" s="13" t="s">
        <v>2126</v>
      </c>
      <c r="C606" s="13" t="s">
        <v>183</v>
      </c>
      <c r="D606" s="13" t="s">
        <v>2324</v>
      </c>
      <c r="E606" s="13" t="s">
        <v>3089</v>
      </c>
      <c r="F606" s="13" t="n">
        <v>1</v>
      </c>
      <c r="G606" s="13" t="n">
        <v>1</v>
      </c>
      <c r="H606" s="5" t="n">
        <v>4600</v>
      </c>
      <c r="I606" s="7" t="n">
        <v>90</v>
      </c>
      <c r="J606" s="16" t="n">
        <v>51.1111111111111</v>
      </c>
      <c r="K606" s="16" t="n">
        <v>51.1111111111111</v>
      </c>
      <c r="L606" s="16"/>
      <c r="M606" s="16"/>
      <c r="N606" s="19"/>
    </row>
    <row r="607" customFormat="false" ht="15" hidden="false" customHeight="false" outlineLevel="0" collapsed="false">
      <c r="A607" s="13" t="s">
        <v>3090</v>
      </c>
      <c r="B607" s="13" t="s">
        <v>270</v>
      </c>
      <c r="C607" s="13" t="s">
        <v>43</v>
      </c>
      <c r="D607" s="13" t="s">
        <v>2422</v>
      </c>
      <c r="E607" s="13" t="s">
        <v>570</v>
      </c>
      <c r="F607" s="13" t="n">
        <v>1</v>
      </c>
      <c r="G607" s="13" t="n">
        <v>1</v>
      </c>
      <c r="H607" s="5" t="n">
        <v>4600</v>
      </c>
      <c r="I607" s="7" t="n">
        <v>30</v>
      </c>
      <c r="J607" s="16" t="n">
        <v>153.333333333333</v>
      </c>
      <c r="K607" s="16" t="n">
        <v>153.333333333333</v>
      </c>
      <c r="L607" s="16"/>
      <c r="M607" s="16"/>
      <c r="N607" s="19"/>
    </row>
    <row r="608" customFormat="false" ht="15" hidden="false" customHeight="false" outlineLevel="0" collapsed="false">
      <c r="A608" s="13" t="s">
        <v>3091</v>
      </c>
      <c r="B608" s="13" t="s">
        <v>2138</v>
      </c>
      <c r="C608" s="13" t="s">
        <v>43</v>
      </c>
      <c r="D608" s="13" t="s">
        <v>2339</v>
      </c>
      <c r="E608" s="13" t="s">
        <v>3092</v>
      </c>
      <c r="F608" s="13" t="n">
        <v>1</v>
      </c>
      <c r="G608" s="13" t="n">
        <v>2</v>
      </c>
      <c r="H608" s="5" t="n">
        <v>4600</v>
      </c>
      <c r="I608" s="7" t="n">
        <v>7</v>
      </c>
      <c r="J608" s="16" t="n">
        <v>657.142857142857</v>
      </c>
      <c r="K608" s="16"/>
      <c r="L608" s="16" t="n">
        <v>657.142857142857</v>
      </c>
      <c r="M608" s="16"/>
      <c r="N608" s="19"/>
    </row>
    <row r="609" customFormat="false" ht="15" hidden="false" customHeight="false" outlineLevel="0" collapsed="false">
      <c r="A609" s="13" t="s">
        <v>3093</v>
      </c>
      <c r="B609" s="13" t="s">
        <v>2121</v>
      </c>
      <c r="C609" s="13" t="s">
        <v>85</v>
      </c>
      <c r="D609" s="13" t="s">
        <v>2324</v>
      </c>
      <c r="E609" s="13" t="s">
        <v>3094</v>
      </c>
      <c r="F609" s="13" t="n">
        <v>1</v>
      </c>
      <c r="G609" s="13" t="n">
        <v>1</v>
      </c>
      <c r="H609" s="5" t="n">
        <v>4600</v>
      </c>
      <c r="I609" s="7" t="n">
        <v>20</v>
      </c>
      <c r="J609" s="16" t="n">
        <v>230</v>
      </c>
      <c r="K609" s="16" t="n">
        <v>230</v>
      </c>
      <c r="L609" s="16"/>
      <c r="M609" s="16"/>
      <c r="N609" s="19"/>
    </row>
    <row r="610" customFormat="false" ht="15" hidden="false" customHeight="false" outlineLevel="0" collapsed="false">
      <c r="A610" s="13" t="s">
        <v>3095</v>
      </c>
      <c r="B610" s="13" t="s">
        <v>286</v>
      </c>
      <c r="C610" s="13" t="s">
        <v>43</v>
      </c>
      <c r="D610" s="13" t="s">
        <v>3010</v>
      </c>
      <c r="E610" s="13" t="s">
        <v>738</v>
      </c>
      <c r="F610" s="13" t="n">
        <v>2</v>
      </c>
      <c r="G610" s="13" t="n">
        <v>3</v>
      </c>
      <c r="H610" s="5" t="n">
        <v>4600</v>
      </c>
      <c r="I610" s="7" t="n">
        <v>8</v>
      </c>
      <c r="J610" s="16" t="n">
        <v>575</v>
      </c>
      <c r="K610" s="16"/>
      <c r="L610" s="16" t="n">
        <v>600</v>
      </c>
      <c r="M610" s="16" t="n">
        <v>400</v>
      </c>
      <c r="N610" s="19" t="n">
        <v>0.5</v>
      </c>
    </row>
    <row r="611" customFormat="false" ht="15" hidden="false" customHeight="false" outlineLevel="0" collapsed="false">
      <c r="A611" s="13" t="s">
        <v>3096</v>
      </c>
      <c r="B611" s="13" t="s">
        <v>79</v>
      </c>
      <c r="C611" s="13" t="s">
        <v>43</v>
      </c>
      <c r="D611" s="13" t="s">
        <v>2324</v>
      </c>
      <c r="E611" s="13" t="s">
        <v>569</v>
      </c>
      <c r="F611" s="13" t="n">
        <v>1</v>
      </c>
      <c r="G611" s="13" t="n">
        <v>1</v>
      </c>
      <c r="H611" s="5" t="n">
        <v>4600</v>
      </c>
      <c r="I611" s="7" t="n">
        <v>5</v>
      </c>
      <c r="J611" s="16" t="n">
        <v>920</v>
      </c>
      <c r="K611" s="16" t="n">
        <v>920</v>
      </c>
      <c r="L611" s="16"/>
      <c r="M611" s="16"/>
      <c r="N611" s="19"/>
    </row>
    <row r="612" customFormat="false" ht="15" hidden="false" customHeight="false" outlineLevel="0" collapsed="false">
      <c r="A612" s="13" t="s">
        <v>3097</v>
      </c>
      <c r="B612" s="13" t="s">
        <v>92</v>
      </c>
      <c r="C612" s="13" t="s">
        <v>43</v>
      </c>
      <c r="D612" s="13" t="s">
        <v>2339</v>
      </c>
      <c r="E612" s="13" t="s">
        <v>578</v>
      </c>
      <c r="F612" s="13" t="n">
        <v>1</v>
      </c>
      <c r="G612" s="13" t="n">
        <v>1</v>
      </c>
      <c r="H612" s="5" t="n">
        <v>4600</v>
      </c>
      <c r="I612" s="7" t="n">
        <v>5</v>
      </c>
      <c r="J612" s="16" t="n">
        <v>920</v>
      </c>
      <c r="K612" s="16"/>
      <c r="L612" s="16"/>
      <c r="M612" s="16" t="n">
        <v>920</v>
      </c>
      <c r="N612" s="19"/>
    </row>
    <row r="613" customFormat="false" ht="15" hidden="false" customHeight="false" outlineLevel="0" collapsed="false">
      <c r="A613" s="13" t="s">
        <v>3098</v>
      </c>
      <c r="B613" s="13" t="s">
        <v>42</v>
      </c>
      <c r="C613" s="13" t="s">
        <v>43</v>
      </c>
      <c r="D613" s="13" t="s">
        <v>2360</v>
      </c>
      <c r="E613" s="13" t="s">
        <v>643</v>
      </c>
      <c r="F613" s="13" t="n">
        <v>1</v>
      </c>
      <c r="G613" s="13" t="n">
        <v>2</v>
      </c>
      <c r="H613" s="5" t="n">
        <v>4590</v>
      </c>
      <c r="I613" s="7" t="n">
        <v>3</v>
      </c>
      <c r="J613" s="16" t="n">
        <v>1530</v>
      </c>
      <c r="K613" s="16"/>
      <c r="L613" s="16" t="n">
        <v>1530</v>
      </c>
      <c r="M613" s="16"/>
      <c r="N613" s="19"/>
    </row>
    <row r="614" customFormat="false" ht="15" hidden="false" customHeight="false" outlineLevel="0" collapsed="false">
      <c r="A614" s="13" t="s">
        <v>3099</v>
      </c>
      <c r="B614" s="13" t="s">
        <v>50</v>
      </c>
      <c r="C614" s="13" t="s">
        <v>43</v>
      </c>
      <c r="D614" s="13" t="s">
        <v>2500</v>
      </c>
      <c r="E614" s="13" t="s">
        <v>1505</v>
      </c>
      <c r="F614" s="13" t="n">
        <v>2</v>
      </c>
      <c r="G614" s="13" t="n">
        <v>4</v>
      </c>
      <c r="H614" s="5" t="n">
        <v>4590</v>
      </c>
      <c r="I614" s="7" t="n">
        <v>8</v>
      </c>
      <c r="J614" s="16" t="n">
        <v>573.75</v>
      </c>
      <c r="K614" s="16"/>
      <c r="L614" s="16" t="n">
        <v>630</v>
      </c>
      <c r="M614" s="16" t="n">
        <v>540</v>
      </c>
      <c r="N614" s="19" t="n">
        <v>0.166666666666667</v>
      </c>
    </row>
    <row r="615" customFormat="false" ht="15" hidden="false" customHeight="false" outlineLevel="0" collapsed="false">
      <c r="A615" s="13" t="s">
        <v>3100</v>
      </c>
      <c r="B615" s="13" t="s">
        <v>153</v>
      </c>
      <c r="C615" s="13" t="s">
        <v>43</v>
      </c>
      <c r="D615" s="13" t="s">
        <v>2324</v>
      </c>
      <c r="E615" s="13" t="s">
        <v>921</v>
      </c>
      <c r="F615" s="13" t="n">
        <v>1</v>
      </c>
      <c r="G615" s="13" t="n">
        <v>4</v>
      </c>
      <c r="H615" s="5" t="n">
        <v>4570</v>
      </c>
      <c r="I615" s="7" t="n">
        <v>10</v>
      </c>
      <c r="J615" s="16" t="n">
        <v>457</v>
      </c>
      <c r="K615" s="16"/>
      <c r="L615" s="16"/>
      <c r="M615" s="16" t="n">
        <v>457</v>
      </c>
      <c r="N615" s="19"/>
    </row>
    <row r="616" customFormat="false" ht="15" hidden="false" customHeight="false" outlineLevel="0" collapsed="false">
      <c r="A616" s="13" t="s">
        <v>3101</v>
      </c>
      <c r="B616" s="13" t="s">
        <v>204</v>
      </c>
      <c r="C616" s="13" t="s">
        <v>43</v>
      </c>
      <c r="D616" s="13" t="s">
        <v>2339</v>
      </c>
      <c r="E616" s="13" t="s">
        <v>1294</v>
      </c>
      <c r="F616" s="13" t="n">
        <v>2</v>
      </c>
      <c r="G616" s="13" t="n">
        <v>2</v>
      </c>
      <c r="H616" s="5" t="n">
        <v>4520</v>
      </c>
      <c r="I616" s="7" t="n">
        <v>7</v>
      </c>
      <c r="J616" s="16" t="n">
        <v>645.714285714286</v>
      </c>
      <c r="K616" s="16" t="n">
        <v>460</v>
      </c>
      <c r="L616" s="16" t="n">
        <v>720</v>
      </c>
      <c r="M616" s="16"/>
      <c r="N616" s="19" t="n">
        <v>0.565217391304348</v>
      </c>
    </row>
    <row r="617" customFormat="false" ht="15" hidden="false" customHeight="false" outlineLevel="0" collapsed="false">
      <c r="A617" s="13" t="s">
        <v>3102</v>
      </c>
      <c r="B617" s="13" t="s">
        <v>2120</v>
      </c>
      <c r="C617" s="13" t="s">
        <v>85</v>
      </c>
      <c r="D617" s="13" t="s">
        <v>2322</v>
      </c>
      <c r="E617" s="13" t="s">
        <v>3103</v>
      </c>
      <c r="F617" s="13" t="n">
        <v>1</v>
      </c>
      <c r="G617" s="13" t="n">
        <v>2</v>
      </c>
      <c r="H617" s="5" t="n">
        <v>4500</v>
      </c>
      <c r="I617" s="7" t="n">
        <v>4</v>
      </c>
      <c r="J617" s="16" t="n">
        <v>1125</v>
      </c>
      <c r="K617" s="16"/>
      <c r="L617" s="16" t="n">
        <v>1125</v>
      </c>
      <c r="M617" s="16"/>
      <c r="N617" s="19"/>
    </row>
    <row r="618" customFormat="false" ht="15" hidden="false" customHeight="false" outlineLevel="0" collapsed="false">
      <c r="A618" s="13" t="s">
        <v>3104</v>
      </c>
      <c r="B618" s="13" t="s">
        <v>2107</v>
      </c>
      <c r="C618" s="13" t="s">
        <v>43</v>
      </c>
      <c r="D618" s="13" t="s">
        <v>2339</v>
      </c>
      <c r="E618" s="13" t="s">
        <v>3105</v>
      </c>
      <c r="F618" s="13" t="n">
        <v>1</v>
      </c>
      <c r="G618" s="13" t="n">
        <v>1</v>
      </c>
      <c r="H618" s="5" t="n">
        <v>4500</v>
      </c>
      <c r="I618" s="7" t="n">
        <v>60</v>
      </c>
      <c r="J618" s="16" t="n">
        <v>75</v>
      </c>
      <c r="K618" s="16" t="n">
        <v>75</v>
      </c>
      <c r="L618" s="16"/>
      <c r="M618" s="16"/>
      <c r="N618" s="19"/>
    </row>
    <row r="619" customFormat="false" ht="15" hidden="false" customHeight="false" outlineLevel="0" collapsed="false">
      <c r="A619" s="13" t="s">
        <v>3106</v>
      </c>
      <c r="B619" s="13" t="s">
        <v>61</v>
      </c>
      <c r="C619" s="13" t="s">
        <v>43</v>
      </c>
      <c r="D619" s="13" t="s">
        <v>2324</v>
      </c>
      <c r="E619" s="13" t="s">
        <v>800</v>
      </c>
      <c r="F619" s="13" t="n">
        <v>1</v>
      </c>
      <c r="G619" s="13" t="n">
        <v>3</v>
      </c>
      <c r="H619" s="5" t="n">
        <v>4500</v>
      </c>
      <c r="I619" s="7" t="n">
        <v>4</v>
      </c>
      <c r="J619" s="16" t="n">
        <v>1125</v>
      </c>
      <c r="K619" s="16"/>
      <c r="L619" s="16"/>
      <c r="M619" s="16" t="n">
        <v>1125</v>
      </c>
      <c r="N619" s="19"/>
    </row>
    <row r="620" customFormat="false" ht="15" hidden="false" customHeight="false" outlineLevel="0" collapsed="false">
      <c r="A620" s="13" t="s">
        <v>3107</v>
      </c>
      <c r="B620" s="13" t="s">
        <v>79</v>
      </c>
      <c r="C620" s="13" t="s">
        <v>43</v>
      </c>
      <c r="D620" s="13" t="s">
        <v>2324</v>
      </c>
      <c r="E620" s="13" t="s">
        <v>584</v>
      </c>
      <c r="F620" s="13" t="n">
        <v>1</v>
      </c>
      <c r="G620" s="13" t="n">
        <v>1</v>
      </c>
      <c r="H620" s="5" t="n">
        <v>4500</v>
      </c>
      <c r="I620" s="7" t="n">
        <v>5</v>
      </c>
      <c r="J620" s="16" t="n">
        <v>900</v>
      </c>
      <c r="K620" s="16" t="n">
        <v>900</v>
      </c>
      <c r="L620" s="16"/>
      <c r="M620" s="16"/>
      <c r="N620" s="19"/>
    </row>
    <row r="621" customFormat="false" ht="15" hidden="false" customHeight="false" outlineLevel="0" collapsed="false">
      <c r="A621" s="13" t="s">
        <v>3108</v>
      </c>
      <c r="B621" s="13" t="s">
        <v>329</v>
      </c>
      <c r="C621" s="13" t="s">
        <v>43</v>
      </c>
      <c r="D621" s="13" t="s">
        <v>2360</v>
      </c>
      <c r="E621" s="13" t="s">
        <v>565</v>
      </c>
      <c r="F621" s="13" t="n">
        <v>1</v>
      </c>
      <c r="G621" s="13" t="n">
        <v>1</v>
      </c>
      <c r="H621" s="5" t="n">
        <v>4500</v>
      </c>
      <c r="I621" s="7" t="n">
        <v>5</v>
      </c>
      <c r="J621" s="16" t="n">
        <v>900</v>
      </c>
      <c r="K621" s="16"/>
      <c r="L621" s="16" t="n">
        <v>900</v>
      </c>
      <c r="M621" s="16"/>
      <c r="N621" s="19"/>
    </row>
    <row r="622" customFormat="false" ht="15" hidden="false" customHeight="false" outlineLevel="0" collapsed="false">
      <c r="A622" s="13" t="s">
        <v>3109</v>
      </c>
      <c r="B622" s="13" t="s">
        <v>179</v>
      </c>
      <c r="C622" s="13" t="s">
        <v>180</v>
      </c>
      <c r="D622" s="13" t="s">
        <v>2324</v>
      </c>
      <c r="E622" s="13" t="s">
        <v>583</v>
      </c>
      <c r="F622" s="13" t="n">
        <v>1</v>
      </c>
      <c r="G622" s="13" t="n">
        <v>1</v>
      </c>
      <c r="H622" s="5" t="n">
        <v>4500</v>
      </c>
      <c r="I622" s="7" t="n">
        <v>30</v>
      </c>
      <c r="J622" s="16" t="n">
        <v>150</v>
      </c>
      <c r="K622" s="16" t="n">
        <v>150</v>
      </c>
      <c r="L622" s="16"/>
      <c r="M622" s="16"/>
      <c r="N622" s="19"/>
    </row>
    <row r="623" customFormat="false" ht="15" hidden="false" customHeight="false" outlineLevel="0" collapsed="false">
      <c r="A623" s="13" t="s">
        <v>3110</v>
      </c>
      <c r="B623" s="13" t="s">
        <v>2186</v>
      </c>
      <c r="C623" s="13" t="s">
        <v>85</v>
      </c>
      <c r="D623" s="13" t="s">
        <v>2324</v>
      </c>
      <c r="E623" s="13" t="s">
        <v>3111</v>
      </c>
      <c r="F623" s="13" t="n">
        <v>1</v>
      </c>
      <c r="G623" s="13" t="n">
        <v>1</v>
      </c>
      <c r="H623" s="5" t="n">
        <v>4500</v>
      </c>
      <c r="I623" s="7" t="n">
        <v>30</v>
      </c>
      <c r="J623" s="16" t="n">
        <v>150</v>
      </c>
      <c r="K623" s="16" t="n">
        <v>150</v>
      </c>
      <c r="L623" s="16"/>
      <c r="M623" s="16"/>
      <c r="N623" s="19"/>
    </row>
    <row r="624" customFormat="false" ht="15" hidden="false" customHeight="false" outlineLevel="0" collapsed="false">
      <c r="A624" s="13" t="s">
        <v>3112</v>
      </c>
      <c r="B624" s="13" t="s">
        <v>191</v>
      </c>
      <c r="C624" s="13" t="s">
        <v>183</v>
      </c>
      <c r="D624" s="13" t="s">
        <v>2324</v>
      </c>
      <c r="E624" s="13" t="s">
        <v>582</v>
      </c>
      <c r="F624" s="13" t="n">
        <v>1</v>
      </c>
      <c r="G624" s="13" t="n">
        <v>1</v>
      </c>
      <c r="H624" s="5" t="n">
        <v>4500</v>
      </c>
      <c r="I624" s="7" t="n">
        <v>30</v>
      </c>
      <c r="J624" s="16" t="n">
        <v>150</v>
      </c>
      <c r="K624" s="16" t="n">
        <v>150</v>
      </c>
      <c r="L624" s="16"/>
      <c r="M624" s="16"/>
      <c r="N624" s="19"/>
    </row>
    <row r="625" customFormat="false" ht="15" hidden="false" customHeight="false" outlineLevel="0" collapsed="false">
      <c r="A625" s="13" t="s">
        <v>3113</v>
      </c>
      <c r="B625" s="13" t="s">
        <v>2133</v>
      </c>
      <c r="C625" s="13" t="s">
        <v>85</v>
      </c>
      <c r="D625" s="13" t="s">
        <v>2324</v>
      </c>
      <c r="E625" s="13" t="s">
        <v>3114</v>
      </c>
      <c r="F625" s="13" t="n">
        <v>1</v>
      </c>
      <c r="G625" s="13" t="n">
        <v>2</v>
      </c>
      <c r="H625" s="5" t="n">
        <v>4460</v>
      </c>
      <c r="I625" s="7" t="n">
        <v>6</v>
      </c>
      <c r="J625" s="16" t="n">
        <v>743.333333333333</v>
      </c>
      <c r="K625" s="16"/>
      <c r="L625" s="16" t="n">
        <v>743.333333333333</v>
      </c>
      <c r="M625" s="16"/>
      <c r="N625" s="19"/>
    </row>
    <row r="626" customFormat="false" ht="15" hidden="false" customHeight="false" outlineLevel="0" collapsed="false">
      <c r="A626" s="13" t="s">
        <v>3115</v>
      </c>
      <c r="B626" s="13" t="s">
        <v>165</v>
      </c>
      <c r="C626" s="13" t="s">
        <v>43</v>
      </c>
      <c r="D626" s="13" t="s">
        <v>2324</v>
      </c>
      <c r="E626" s="13" t="s">
        <v>663</v>
      </c>
      <c r="F626" s="13" t="n">
        <v>1</v>
      </c>
      <c r="G626" s="13" t="n">
        <v>3</v>
      </c>
      <c r="H626" s="5" t="n">
        <v>4450</v>
      </c>
      <c r="I626" s="7" t="n">
        <v>7</v>
      </c>
      <c r="J626" s="16" t="n">
        <v>635.714285714286</v>
      </c>
      <c r="K626" s="16"/>
      <c r="L626" s="16"/>
      <c r="M626" s="16" t="n">
        <v>635.714285714286</v>
      </c>
      <c r="N626" s="19"/>
    </row>
    <row r="627" customFormat="false" ht="15" hidden="false" customHeight="false" outlineLevel="0" collapsed="false">
      <c r="A627" s="13" t="s">
        <v>3116</v>
      </c>
      <c r="B627" s="13" t="s">
        <v>470</v>
      </c>
      <c r="C627" s="13" t="s">
        <v>85</v>
      </c>
      <c r="D627" s="13" t="s">
        <v>2324</v>
      </c>
      <c r="E627" s="13" t="s">
        <v>595</v>
      </c>
      <c r="F627" s="13" t="n">
        <v>1</v>
      </c>
      <c r="G627" s="13" t="n">
        <v>1</v>
      </c>
      <c r="H627" s="5" t="n">
        <v>4400</v>
      </c>
      <c r="I627" s="7" t="n">
        <v>10</v>
      </c>
      <c r="J627" s="16" t="n">
        <v>440</v>
      </c>
      <c r="K627" s="16" t="n">
        <v>440</v>
      </c>
      <c r="L627" s="16"/>
      <c r="M627" s="16"/>
      <c r="N627" s="19"/>
    </row>
    <row r="628" customFormat="false" ht="15" hidden="false" customHeight="false" outlineLevel="0" collapsed="false">
      <c r="A628" s="13" t="s">
        <v>3117</v>
      </c>
      <c r="B628" s="13" t="s">
        <v>131</v>
      </c>
      <c r="C628" s="13" t="s">
        <v>66</v>
      </c>
      <c r="D628" s="13" t="s">
        <v>2324</v>
      </c>
      <c r="E628" s="13" t="s">
        <v>588</v>
      </c>
      <c r="F628" s="13" t="n">
        <v>1</v>
      </c>
      <c r="G628" s="13" t="n">
        <v>1</v>
      </c>
      <c r="H628" s="5" t="n">
        <v>4400</v>
      </c>
      <c r="I628" s="7" t="n">
        <v>10</v>
      </c>
      <c r="J628" s="16" t="n">
        <v>440</v>
      </c>
      <c r="K628" s="16" t="n">
        <v>440</v>
      </c>
      <c r="L628" s="16"/>
      <c r="M628" s="16"/>
      <c r="N628" s="19"/>
    </row>
    <row r="629" customFormat="false" ht="15" hidden="false" customHeight="false" outlineLevel="0" collapsed="false">
      <c r="A629" s="13" t="s">
        <v>3118</v>
      </c>
      <c r="B629" s="13" t="s">
        <v>153</v>
      </c>
      <c r="C629" s="13" t="s">
        <v>43</v>
      </c>
      <c r="D629" s="13" t="s">
        <v>2324</v>
      </c>
      <c r="E629" s="13" t="s">
        <v>592</v>
      </c>
      <c r="F629" s="13" t="n">
        <v>1</v>
      </c>
      <c r="G629" s="13" t="n">
        <v>1</v>
      </c>
      <c r="H629" s="5" t="n">
        <v>4400</v>
      </c>
      <c r="I629" s="7" t="n">
        <v>10</v>
      </c>
      <c r="J629" s="16" t="n">
        <v>440</v>
      </c>
      <c r="K629" s="16"/>
      <c r="L629" s="16"/>
      <c r="M629" s="16" t="n">
        <v>440</v>
      </c>
      <c r="N629" s="19"/>
    </row>
    <row r="630" customFormat="false" ht="15" hidden="false" customHeight="false" outlineLevel="0" collapsed="false">
      <c r="A630" s="13" t="s">
        <v>3119</v>
      </c>
      <c r="B630" s="13" t="s">
        <v>114</v>
      </c>
      <c r="C630" s="13" t="s">
        <v>115</v>
      </c>
      <c r="D630" s="13" t="s">
        <v>3120</v>
      </c>
      <c r="E630" s="13" t="s">
        <v>586</v>
      </c>
      <c r="F630" s="13" t="n">
        <v>1</v>
      </c>
      <c r="G630" s="13" t="n">
        <v>1</v>
      </c>
      <c r="H630" s="5" t="n">
        <v>4400</v>
      </c>
      <c r="I630" s="7" t="n">
        <v>30</v>
      </c>
      <c r="J630" s="16" t="n">
        <v>146.666666666667</v>
      </c>
      <c r="K630" s="16" t="n">
        <v>146.666666666667</v>
      </c>
      <c r="L630" s="16"/>
      <c r="M630" s="16"/>
      <c r="N630" s="19"/>
    </row>
    <row r="631" customFormat="false" ht="15" hidden="false" customHeight="false" outlineLevel="0" collapsed="false">
      <c r="A631" s="13" t="s">
        <v>3121</v>
      </c>
      <c r="B631" s="13" t="s">
        <v>124</v>
      </c>
      <c r="C631" s="13" t="s">
        <v>43</v>
      </c>
      <c r="D631" s="13" t="s">
        <v>2324</v>
      </c>
      <c r="E631" s="13" t="s">
        <v>1032</v>
      </c>
      <c r="F631" s="13" t="n">
        <v>1</v>
      </c>
      <c r="G631" s="13" t="n">
        <v>3</v>
      </c>
      <c r="H631" s="5" t="n">
        <v>4400</v>
      </c>
      <c r="I631" s="7" t="n">
        <v>6</v>
      </c>
      <c r="J631" s="16" t="n">
        <v>733.333333333333</v>
      </c>
      <c r="K631" s="16"/>
      <c r="L631" s="16"/>
      <c r="M631" s="16" t="n">
        <v>733.333333333333</v>
      </c>
      <c r="N631" s="19"/>
    </row>
    <row r="632" customFormat="false" ht="15" hidden="false" customHeight="false" outlineLevel="0" collapsed="false">
      <c r="A632" s="13" t="s">
        <v>3122</v>
      </c>
      <c r="B632" s="13" t="s">
        <v>2145</v>
      </c>
      <c r="C632" s="13" t="s">
        <v>43</v>
      </c>
      <c r="D632" s="13" t="s">
        <v>2324</v>
      </c>
      <c r="E632" s="13" t="s">
        <v>3123</v>
      </c>
      <c r="F632" s="13" t="n">
        <v>1</v>
      </c>
      <c r="G632" s="13" t="n">
        <v>1</v>
      </c>
      <c r="H632" s="5" t="n">
        <v>4400</v>
      </c>
      <c r="I632" s="7" t="n">
        <v>10</v>
      </c>
      <c r="J632" s="16" t="n">
        <v>440</v>
      </c>
      <c r="K632" s="16"/>
      <c r="L632" s="16"/>
      <c r="M632" s="16" t="n">
        <v>440</v>
      </c>
      <c r="N632" s="19"/>
    </row>
    <row r="633" customFormat="false" ht="15" hidden="false" customHeight="false" outlineLevel="0" collapsed="false">
      <c r="A633" s="13" t="s">
        <v>3124</v>
      </c>
      <c r="B633" s="13" t="s">
        <v>2109</v>
      </c>
      <c r="C633" s="13" t="s">
        <v>43</v>
      </c>
      <c r="D633" s="13" t="s">
        <v>2337</v>
      </c>
      <c r="E633" s="13" t="s">
        <v>3125</v>
      </c>
      <c r="F633" s="13" t="n">
        <v>1</v>
      </c>
      <c r="G633" s="13" t="n">
        <v>3</v>
      </c>
      <c r="H633" s="5" t="n">
        <v>4400</v>
      </c>
      <c r="I633" s="7" t="n">
        <v>4</v>
      </c>
      <c r="J633" s="16" t="n">
        <v>1100</v>
      </c>
      <c r="K633" s="16"/>
      <c r="L633" s="16"/>
      <c r="M633" s="16" t="n">
        <v>1100</v>
      </c>
      <c r="N633" s="19"/>
    </row>
    <row r="634" customFormat="false" ht="15" hidden="false" customHeight="false" outlineLevel="0" collapsed="false">
      <c r="A634" s="13" t="s">
        <v>3126</v>
      </c>
      <c r="B634" s="13" t="s">
        <v>2100</v>
      </c>
      <c r="C634" s="13" t="s">
        <v>43</v>
      </c>
      <c r="D634" s="13" t="s">
        <v>2324</v>
      </c>
      <c r="E634" s="13" t="s">
        <v>3127</v>
      </c>
      <c r="F634" s="13" t="n">
        <v>1</v>
      </c>
      <c r="G634" s="13" t="n">
        <v>1</v>
      </c>
      <c r="H634" s="5" t="n">
        <v>4400</v>
      </c>
      <c r="I634" s="7" t="n">
        <v>60</v>
      </c>
      <c r="J634" s="16" t="n">
        <v>73.3333333333333</v>
      </c>
      <c r="K634" s="16" t="n">
        <v>73.3333333333333</v>
      </c>
      <c r="L634" s="16"/>
      <c r="M634" s="16"/>
      <c r="N634" s="19"/>
    </row>
    <row r="635" customFormat="false" ht="15" hidden="false" customHeight="false" outlineLevel="0" collapsed="false">
      <c r="A635" s="13" t="s">
        <v>3128</v>
      </c>
      <c r="B635" s="13" t="s">
        <v>61</v>
      </c>
      <c r="C635" s="13" t="s">
        <v>43</v>
      </c>
      <c r="D635" s="13" t="s">
        <v>2324</v>
      </c>
      <c r="E635" s="13" t="s">
        <v>620</v>
      </c>
      <c r="F635" s="13" t="n">
        <v>1</v>
      </c>
      <c r="G635" s="13" t="n">
        <v>2</v>
      </c>
      <c r="H635" s="5" t="n">
        <v>4390</v>
      </c>
      <c r="I635" s="7" t="n">
        <v>22</v>
      </c>
      <c r="J635" s="16" t="n">
        <v>199.545454545455</v>
      </c>
      <c r="K635" s="16"/>
      <c r="L635" s="16"/>
      <c r="M635" s="16" t="n">
        <v>199.545454545455</v>
      </c>
      <c r="N635" s="19"/>
    </row>
    <row r="636" customFormat="false" ht="15" hidden="false" customHeight="false" outlineLevel="0" collapsed="false">
      <c r="A636" s="13" t="s">
        <v>3129</v>
      </c>
      <c r="B636" s="13" t="s">
        <v>302</v>
      </c>
      <c r="C636" s="13" t="s">
        <v>43</v>
      </c>
      <c r="D636" s="13" t="s">
        <v>2360</v>
      </c>
      <c r="E636" s="13" t="s">
        <v>636</v>
      </c>
      <c r="F636" s="13" t="n">
        <v>1</v>
      </c>
      <c r="G636" s="13" t="n">
        <v>2</v>
      </c>
      <c r="H636" s="5" t="n">
        <v>4380</v>
      </c>
      <c r="I636" s="7" t="n">
        <v>6</v>
      </c>
      <c r="J636" s="16" t="n">
        <v>730</v>
      </c>
      <c r="K636" s="16"/>
      <c r="L636" s="16" t="n">
        <v>730</v>
      </c>
      <c r="M636" s="16"/>
      <c r="N636" s="19"/>
    </row>
    <row r="637" customFormat="false" ht="15" hidden="false" customHeight="false" outlineLevel="0" collapsed="false">
      <c r="A637" s="13" t="s">
        <v>3130</v>
      </c>
      <c r="B637" s="13" t="s">
        <v>45</v>
      </c>
      <c r="C637" s="13" t="s">
        <v>43</v>
      </c>
      <c r="D637" s="13" t="s">
        <v>2324</v>
      </c>
      <c r="E637" s="13" t="s">
        <v>301</v>
      </c>
      <c r="F637" s="13" t="n">
        <v>2</v>
      </c>
      <c r="G637" s="13" t="n">
        <v>4</v>
      </c>
      <c r="H637" s="5" t="n">
        <v>4370</v>
      </c>
      <c r="I637" s="7" t="n">
        <v>9</v>
      </c>
      <c r="J637" s="16" t="n">
        <v>485.555555555556</v>
      </c>
      <c r="K637" s="16"/>
      <c r="L637" s="16" t="n">
        <v>460</v>
      </c>
      <c r="M637" s="16" t="n">
        <v>488.75</v>
      </c>
      <c r="N637" s="19" t="n">
        <v>0.0625</v>
      </c>
    </row>
    <row r="638" customFormat="false" ht="15" hidden="false" customHeight="false" outlineLevel="0" collapsed="false">
      <c r="A638" s="13" t="s">
        <v>3131</v>
      </c>
      <c r="B638" s="13" t="s">
        <v>2111</v>
      </c>
      <c r="C638" s="13" t="s">
        <v>43</v>
      </c>
      <c r="D638" s="13" t="s">
        <v>2324</v>
      </c>
      <c r="E638" s="13" t="s">
        <v>3132</v>
      </c>
      <c r="F638" s="13" t="n">
        <v>1</v>
      </c>
      <c r="G638" s="13" t="n">
        <v>2</v>
      </c>
      <c r="H638" s="5" t="n">
        <v>4300</v>
      </c>
      <c r="I638" s="7" t="n">
        <v>7</v>
      </c>
      <c r="J638" s="16" t="n">
        <v>614.285714285714</v>
      </c>
      <c r="K638" s="16"/>
      <c r="L638" s="16" t="n">
        <v>614.285714285714</v>
      </c>
      <c r="M638" s="16"/>
      <c r="N638" s="19"/>
    </row>
    <row r="639" customFormat="false" ht="15" hidden="false" customHeight="false" outlineLevel="0" collapsed="false">
      <c r="A639" s="13" t="s">
        <v>3133</v>
      </c>
      <c r="B639" s="13" t="s">
        <v>124</v>
      </c>
      <c r="C639" s="13" t="s">
        <v>43</v>
      </c>
      <c r="D639" s="13" t="s">
        <v>2324</v>
      </c>
      <c r="E639" s="13" t="s">
        <v>638</v>
      </c>
      <c r="F639" s="13" t="n">
        <v>1</v>
      </c>
      <c r="G639" s="13" t="n">
        <v>2</v>
      </c>
      <c r="H639" s="5" t="n">
        <v>4300</v>
      </c>
      <c r="I639" s="7" t="n">
        <v>6</v>
      </c>
      <c r="J639" s="16" t="n">
        <v>716.666666666667</v>
      </c>
      <c r="K639" s="16"/>
      <c r="L639" s="16"/>
      <c r="M639" s="16" t="n">
        <v>716.666666666667</v>
      </c>
      <c r="N639" s="19"/>
    </row>
    <row r="640" customFormat="false" ht="15" hidden="false" customHeight="false" outlineLevel="0" collapsed="false">
      <c r="A640" s="13" t="s">
        <v>3134</v>
      </c>
      <c r="B640" s="13" t="s">
        <v>195</v>
      </c>
      <c r="C640" s="13" t="s">
        <v>43</v>
      </c>
      <c r="D640" s="13" t="s">
        <v>2324</v>
      </c>
      <c r="E640" s="13" t="s">
        <v>798</v>
      </c>
      <c r="F640" s="13" t="n">
        <v>1</v>
      </c>
      <c r="G640" s="13" t="n">
        <v>2</v>
      </c>
      <c r="H640" s="5" t="n">
        <v>4300</v>
      </c>
      <c r="I640" s="7" t="n">
        <v>4</v>
      </c>
      <c r="J640" s="16" t="n">
        <v>1075</v>
      </c>
      <c r="K640" s="16"/>
      <c r="L640" s="16"/>
      <c r="M640" s="16" t="n">
        <v>1075</v>
      </c>
      <c r="N640" s="19"/>
    </row>
    <row r="641" customFormat="false" ht="15" hidden="false" customHeight="false" outlineLevel="0" collapsed="false">
      <c r="A641" s="13" t="s">
        <v>3135</v>
      </c>
      <c r="B641" s="13" t="s">
        <v>2136</v>
      </c>
      <c r="C641" s="13" t="s">
        <v>85</v>
      </c>
      <c r="D641" s="13" t="s">
        <v>2324</v>
      </c>
      <c r="E641" s="13" t="s">
        <v>3136</v>
      </c>
      <c r="F641" s="13" t="n">
        <v>1</v>
      </c>
      <c r="G641" s="13" t="n">
        <v>1</v>
      </c>
      <c r="H641" s="5" t="n">
        <v>4300</v>
      </c>
      <c r="I641" s="7" t="n">
        <v>80</v>
      </c>
      <c r="J641" s="16" t="n">
        <v>53.75</v>
      </c>
      <c r="K641" s="16" t="n">
        <v>53.75</v>
      </c>
      <c r="L641" s="16"/>
      <c r="M641" s="16"/>
      <c r="N641" s="19"/>
    </row>
    <row r="642" customFormat="false" ht="15" hidden="false" customHeight="false" outlineLevel="0" collapsed="false">
      <c r="A642" s="13" t="s">
        <v>3137</v>
      </c>
      <c r="B642" s="13" t="s">
        <v>50</v>
      </c>
      <c r="C642" s="13" t="s">
        <v>43</v>
      </c>
      <c r="D642" s="13" t="s">
        <v>2429</v>
      </c>
      <c r="E642" s="13" t="s">
        <v>701</v>
      </c>
      <c r="F642" s="13" t="n">
        <v>2</v>
      </c>
      <c r="G642" s="13" t="n">
        <v>3</v>
      </c>
      <c r="H642" s="5" t="n">
        <v>4300</v>
      </c>
      <c r="I642" s="7" t="n">
        <v>13</v>
      </c>
      <c r="J642" s="16" t="n">
        <v>330.769230769231</v>
      </c>
      <c r="K642" s="16"/>
      <c r="L642" s="16" t="n">
        <v>310</v>
      </c>
      <c r="M642" s="16" t="n">
        <v>400</v>
      </c>
      <c r="N642" s="19" t="n">
        <v>0.290322580645161</v>
      </c>
    </row>
    <row r="643" customFormat="false" ht="15" hidden="false" customHeight="false" outlineLevel="0" collapsed="false">
      <c r="A643" s="13" t="s">
        <v>3138</v>
      </c>
      <c r="B643" s="13" t="s">
        <v>79</v>
      </c>
      <c r="C643" s="13" t="s">
        <v>43</v>
      </c>
      <c r="D643" s="13" t="s">
        <v>2324</v>
      </c>
      <c r="E643" s="13" t="s">
        <v>331</v>
      </c>
      <c r="F643" s="13" t="n">
        <v>1</v>
      </c>
      <c r="G643" s="13" t="n">
        <v>1</v>
      </c>
      <c r="H643" s="5" t="n">
        <v>4300</v>
      </c>
      <c r="I643" s="7" t="n">
        <v>5</v>
      </c>
      <c r="J643" s="16" t="n">
        <v>860</v>
      </c>
      <c r="K643" s="16" t="n">
        <v>860</v>
      </c>
      <c r="L643" s="16"/>
      <c r="M643" s="16"/>
      <c r="N643" s="19"/>
    </row>
    <row r="644" customFormat="false" ht="15" hidden="false" customHeight="false" outlineLevel="0" collapsed="false">
      <c r="A644" s="13" t="s">
        <v>3139</v>
      </c>
      <c r="B644" s="13" t="s">
        <v>45</v>
      </c>
      <c r="C644" s="13" t="s">
        <v>43</v>
      </c>
      <c r="D644" s="13" t="s">
        <v>2324</v>
      </c>
      <c r="E644" s="13" t="s">
        <v>870</v>
      </c>
      <c r="F644" s="13" t="n">
        <v>2</v>
      </c>
      <c r="G644" s="13" t="n">
        <v>4</v>
      </c>
      <c r="H644" s="5" t="n">
        <v>4270</v>
      </c>
      <c r="I644" s="7" t="n">
        <v>5</v>
      </c>
      <c r="J644" s="16" t="n">
        <v>854</v>
      </c>
      <c r="K644" s="16"/>
      <c r="L644" s="16" t="n">
        <v>1100</v>
      </c>
      <c r="M644" s="16" t="n">
        <v>690</v>
      </c>
      <c r="N644" s="19" t="n">
        <v>0.594202898550725</v>
      </c>
    </row>
    <row r="645" customFormat="false" ht="15" hidden="false" customHeight="false" outlineLevel="0" collapsed="false">
      <c r="A645" s="13" t="s">
        <v>3140</v>
      </c>
      <c r="B645" s="13" t="s">
        <v>92</v>
      </c>
      <c r="C645" s="13" t="s">
        <v>43</v>
      </c>
      <c r="D645" s="13" t="s">
        <v>2751</v>
      </c>
      <c r="E645" s="13" t="s">
        <v>719</v>
      </c>
      <c r="F645" s="13" t="n">
        <v>3</v>
      </c>
      <c r="G645" s="13" t="n">
        <v>3</v>
      </c>
      <c r="H645" s="5" t="n">
        <v>4230</v>
      </c>
      <c r="I645" s="7" t="n">
        <v>4</v>
      </c>
      <c r="J645" s="16" t="n">
        <v>1057.5</v>
      </c>
      <c r="K645" s="16" t="n">
        <v>640</v>
      </c>
      <c r="L645" s="16" t="n">
        <v>1500</v>
      </c>
      <c r="M645" s="16" t="n">
        <v>590</v>
      </c>
      <c r="N645" s="19" t="n">
        <v>1.54237288135593</v>
      </c>
    </row>
    <row r="646" customFormat="false" ht="15" hidden="false" customHeight="false" outlineLevel="0" collapsed="false">
      <c r="A646" s="13" t="s">
        <v>3141</v>
      </c>
      <c r="B646" s="13" t="s">
        <v>195</v>
      </c>
      <c r="C646" s="13" t="s">
        <v>43</v>
      </c>
      <c r="D646" s="13" t="s">
        <v>2324</v>
      </c>
      <c r="E646" s="13" t="s">
        <v>604</v>
      </c>
      <c r="F646" s="13" t="n">
        <v>1</v>
      </c>
      <c r="G646" s="13" t="n">
        <v>1</v>
      </c>
      <c r="H646" s="5" t="n">
        <v>4200</v>
      </c>
      <c r="I646" s="7" t="n">
        <v>5</v>
      </c>
      <c r="J646" s="16" t="n">
        <v>840</v>
      </c>
      <c r="K646" s="16"/>
      <c r="L646" s="16"/>
      <c r="M646" s="16" t="n">
        <v>840</v>
      </c>
      <c r="N646" s="19"/>
    </row>
    <row r="647" customFormat="false" ht="15" hidden="false" customHeight="false" outlineLevel="0" collapsed="false">
      <c r="A647" s="13" t="s">
        <v>3142</v>
      </c>
      <c r="B647" s="13" t="s">
        <v>50</v>
      </c>
      <c r="C647" s="13" t="s">
        <v>43</v>
      </c>
      <c r="D647" s="13" t="s">
        <v>2324</v>
      </c>
      <c r="E647" s="13" t="s">
        <v>480</v>
      </c>
      <c r="F647" s="13" t="n">
        <v>1</v>
      </c>
      <c r="G647" s="13" t="n">
        <v>2</v>
      </c>
      <c r="H647" s="5" t="n">
        <v>4200</v>
      </c>
      <c r="I647" s="7" t="n">
        <v>4</v>
      </c>
      <c r="J647" s="16" t="n">
        <v>1050</v>
      </c>
      <c r="K647" s="16"/>
      <c r="L647" s="16"/>
      <c r="M647" s="16" t="n">
        <v>1050</v>
      </c>
      <c r="N647" s="19"/>
    </row>
    <row r="648" customFormat="false" ht="15" hidden="false" customHeight="false" outlineLevel="0" collapsed="false">
      <c r="A648" s="13" t="s">
        <v>3143</v>
      </c>
      <c r="B648" s="13" t="s">
        <v>2126</v>
      </c>
      <c r="C648" s="13" t="s">
        <v>183</v>
      </c>
      <c r="D648" s="13" t="s">
        <v>2324</v>
      </c>
      <c r="E648" s="13" t="s">
        <v>3144</v>
      </c>
      <c r="F648" s="13" t="n">
        <v>1</v>
      </c>
      <c r="G648" s="13" t="n">
        <v>2</v>
      </c>
      <c r="H648" s="5" t="n">
        <v>4200</v>
      </c>
      <c r="I648" s="7" t="n">
        <v>82</v>
      </c>
      <c r="J648" s="16" t="n">
        <v>51.219512195122</v>
      </c>
      <c r="K648" s="16" t="n">
        <v>51.219512195122</v>
      </c>
      <c r="L648" s="16"/>
      <c r="M648" s="16"/>
      <c r="N648" s="19"/>
    </row>
    <row r="649" customFormat="false" ht="15" hidden="false" customHeight="false" outlineLevel="0" collapsed="false">
      <c r="A649" s="13" t="s">
        <v>3145</v>
      </c>
      <c r="B649" s="13" t="s">
        <v>195</v>
      </c>
      <c r="C649" s="13" t="s">
        <v>43</v>
      </c>
      <c r="D649" s="13" t="s">
        <v>2500</v>
      </c>
      <c r="E649" s="13" t="s">
        <v>1036</v>
      </c>
      <c r="F649" s="13" t="n">
        <v>1</v>
      </c>
      <c r="G649" s="13" t="n">
        <v>3</v>
      </c>
      <c r="H649" s="5" t="n">
        <v>4200</v>
      </c>
      <c r="I649" s="7" t="n">
        <v>6</v>
      </c>
      <c r="J649" s="16" t="n">
        <v>700</v>
      </c>
      <c r="K649" s="16"/>
      <c r="L649" s="16"/>
      <c r="M649" s="16" t="n">
        <v>700</v>
      </c>
      <c r="N649" s="19"/>
    </row>
    <row r="650" customFormat="false" ht="15" hidden="false" customHeight="false" outlineLevel="0" collapsed="false">
      <c r="A650" s="13" t="s">
        <v>3146</v>
      </c>
      <c r="B650" s="13" t="s">
        <v>54</v>
      </c>
      <c r="C650" s="13" t="s">
        <v>43</v>
      </c>
      <c r="D650" s="13" t="s">
        <v>2324</v>
      </c>
      <c r="E650" s="13" t="s">
        <v>603</v>
      </c>
      <c r="F650" s="13" t="n">
        <v>1</v>
      </c>
      <c r="G650" s="13" t="n">
        <v>1</v>
      </c>
      <c r="H650" s="5" t="n">
        <v>4200</v>
      </c>
      <c r="I650" s="7" t="n">
        <v>5</v>
      </c>
      <c r="J650" s="16" t="n">
        <v>840</v>
      </c>
      <c r="K650" s="16"/>
      <c r="L650" s="16"/>
      <c r="M650" s="16" t="n">
        <v>840</v>
      </c>
      <c r="N650" s="19"/>
    </row>
    <row r="651" customFormat="false" ht="15" hidden="false" customHeight="false" outlineLevel="0" collapsed="false">
      <c r="A651" s="13" t="s">
        <v>3147</v>
      </c>
      <c r="B651" s="13" t="s">
        <v>105</v>
      </c>
      <c r="C651" s="13" t="s">
        <v>43</v>
      </c>
      <c r="D651" s="13" t="s">
        <v>2324</v>
      </c>
      <c r="E651" s="13" t="s">
        <v>748</v>
      </c>
      <c r="F651" s="13" t="n">
        <v>1</v>
      </c>
      <c r="G651" s="13" t="n">
        <v>3</v>
      </c>
      <c r="H651" s="5" t="n">
        <v>4190</v>
      </c>
      <c r="I651" s="7" t="n">
        <v>4</v>
      </c>
      <c r="J651" s="16" t="n">
        <v>1047.5</v>
      </c>
      <c r="K651" s="16"/>
      <c r="L651" s="16"/>
      <c r="M651" s="16" t="n">
        <v>1047.5</v>
      </c>
      <c r="N651" s="19"/>
    </row>
    <row r="652" customFormat="false" ht="15" hidden="false" customHeight="false" outlineLevel="0" collapsed="false">
      <c r="A652" s="13" t="s">
        <v>3148</v>
      </c>
      <c r="B652" s="13" t="s">
        <v>121</v>
      </c>
      <c r="C652" s="13" t="s">
        <v>43</v>
      </c>
      <c r="D652" s="13" t="s">
        <v>2324</v>
      </c>
      <c r="E652" s="13" t="s">
        <v>642</v>
      </c>
      <c r="F652" s="13" t="n">
        <v>1</v>
      </c>
      <c r="G652" s="13" t="n">
        <v>3</v>
      </c>
      <c r="H652" s="5" t="n">
        <v>4140</v>
      </c>
      <c r="I652" s="7" t="n">
        <v>23</v>
      </c>
      <c r="J652" s="16" t="n">
        <v>180</v>
      </c>
      <c r="K652" s="16"/>
      <c r="L652" s="16"/>
      <c r="M652" s="16" t="n">
        <v>180</v>
      </c>
      <c r="N652" s="19"/>
    </row>
    <row r="653" customFormat="false" ht="15" hidden="false" customHeight="false" outlineLevel="0" collapsed="false">
      <c r="A653" s="13" t="s">
        <v>3149</v>
      </c>
      <c r="B653" s="13" t="s">
        <v>61</v>
      </c>
      <c r="C653" s="13" t="s">
        <v>43</v>
      </c>
      <c r="D653" s="13" t="s">
        <v>2500</v>
      </c>
      <c r="E653" s="13" t="s">
        <v>840</v>
      </c>
      <c r="F653" s="13" t="n">
        <v>1</v>
      </c>
      <c r="G653" s="13" t="n">
        <v>4</v>
      </c>
      <c r="H653" s="5" t="n">
        <v>4130</v>
      </c>
      <c r="I653" s="7" t="n">
        <v>5</v>
      </c>
      <c r="J653" s="16" t="n">
        <v>826</v>
      </c>
      <c r="K653" s="16"/>
      <c r="L653" s="16"/>
      <c r="M653" s="16" t="n">
        <v>826</v>
      </c>
      <c r="N653" s="19"/>
    </row>
    <row r="654" customFormat="false" ht="15" hidden="false" customHeight="false" outlineLevel="0" collapsed="false">
      <c r="A654" s="13" t="s">
        <v>3150</v>
      </c>
      <c r="B654" s="13" t="s">
        <v>2120</v>
      </c>
      <c r="C654" s="13" t="s">
        <v>85</v>
      </c>
      <c r="D654" s="13" t="s">
        <v>3151</v>
      </c>
      <c r="E654" s="13" t="s">
        <v>3152</v>
      </c>
      <c r="F654" s="13" t="n">
        <v>1</v>
      </c>
      <c r="G654" s="13" t="n">
        <v>2</v>
      </c>
      <c r="H654" s="5" t="n">
        <v>4070</v>
      </c>
      <c r="I654" s="7" t="n">
        <v>6</v>
      </c>
      <c r="J654" s="16" t="n">
        <v>678.333333333333</v>
      </c>
      <c r="K654" s="16"/>
      <c r="L654" s="16" t="n">
        <v>678.333333333333</v>
      </c>
      <c r="M654" s="16"/>
      <c r="N654" s="19"/>
    </row>
    <row r="655" customFormat="false" ht="15" hidden="false" customHeight="false" outlineLevel="0" collapsed="false">
      <c r="A655" s="13" t="s">
        <v>3153</v>
      </c>
      <c r="B655" s="13" t="s">
        <v>72</v>
      </c>
      <c r="C655" s="13" t="s">
        <v>43</v>
      </c>
      <c r="D655" s="13" t="s">
        <v>2339</v>
      </c>
      <c r="E655" s="13" t="s">
        <v>709</v>
      </c>
      <c r="F655" s="13" t="n">
        <v>1</v>
      </c>
      <c r="G655" s="13" t="n">
        <v>2</v>
      </c>
      <c r="H655" s="5" t="n">
        <v>4000</v>
      </c>
      <c r="I655" s="7" t="n">
        <v>3</v>
      </c>
      <c r="J655" s="16" t="n">
        <v>1333.33333333333</v>
      </c>
      <c r="K655" s="16"/>
      <c r="L655" s="16"/>
      <c r="M655" s="16" t="n">
        <v>1333.33333333333</v>
      </c>
      <c r="N655" s="19"/>
    </row>
    <row r="656" customFormat="false" ht="15" hidden="false" customHeight="false" outlineLevel="0" collapsed="false">
      <c r="A656" s="13" t="s">
        <v>3154</v>
      </c>
      <c r="B656" s="13" t="s">
        <v>179</v>
      </c>
      <c r="C656" s="13" t="s">
        <v>85</v>
      </c>
      <c r="D656" s="13" t="s">
        <v>2324</v>
      </c>
      <c r="E656" s="13" t="s">
        <v>611</v>
      </c>
      <c r="F656" s="13" t="n">
        <v>1</v>
      </c>
      <c r="G656" s="13" t="n">
        <v>1</v>
      </c>
      <c r="H656" s="5" t="n">
        <v>4000</v>
      </c>
      <c r="I656" s="7" t="n">
        <v>5</v>
      </c>
      <c r="J656" s="16" t="n">
        <v>800</v>
      </c>
      <c r="K656" s="16" t="n">
        <v>800</v>
      </c>
      <c r="L656" s="16"/>
      <c r="M656" s="16"/>
      <c r="N656" s="19"/>
    </row>
    <row r="657" customFormat="false" ht="15" hidden="false" customHeight="false" outlineLevel="0" collapsed="false">
      <c r="A657" s="13" t="s">
        <v>3155</v>
      </c>
      <c r="B657" s="13" t="s">
        <v>2161</v>
      </c>
      <c r="C657" s="13" t="s">
        <v>98</v>
      </c>
      <c r="D657" s="13" t="s">
        <v>2324</v>
      </c>
      <c r="E657" s="13" t="s">
        <v>3156</v>
      </c>
      <c r="F657" s="13" t="n">
        <v>1</v>
      </c>
      <c r="G657" s="13" t="n">
        <v>1</v>
      </c>
      <c r="H657" s="5" t="n">
        <v>4000</v>
      </c>
      <c r="I657" s="7" t="n">
        <v>5</v>
      </c>
      <c r="J657" s="16" t="n">
        <v>800</v>
      </c>
      <c r="K657" s="16" t="n">
        <v>800</v>
      </c>
      <c r="L657" s="16"/>
      <c r="M657" s="16"/>
      <c r="N657" s="19"/>
    </row>
    <row r="658" customFormat="false" ht="15" hidden="false" customHeight="false" outlineLevel="0" collapsed="false">
      <c r="A658" s="13" t="s">
        <v>3157</v>
      </c>
      <c r="B658" s="13" t="s">
        <v>177</v>
      </c>
      <c r="C658" s="13" t="s">
        <v>43</v>
      </c>
      <c r="D658" s="13" t="s">
        <v>2324</v>
      </c>
      <c r="E658" s="13" t="s">
        <v>743</v>
      </c>
      <c r="F658" s="13" t="n">
        <v>1</v>
      </c>
      <c r="G658" s="13" t="n">
        <v>2</v>
      </c>
      <c r="H658" s="5" t="n">
        <v>4000</v>
      </c>
      <c r="I658" s="7" t="n">
        <v>7</v>
      </c>
      <c r="J658" s="16" t="n">
        <v>571.428571428571</v>
      </c>
      <c r="K658" s="16"/>
      <c r="L658" s="16"/>
      <c r="M658" s="16" t="n">
        <v>571.428571428571</v>
      </c>
      <c r="N658" s="19"/>
    </row>
    <row r="659" customFormat="false" ht="15" hidden="false" customHeight="false" outlineLevel="0" collapsed="false">
      <c r="A659" s="13" t="s">
        <v>3158</v>
      </c>
      <c r="B659" s="13" t="s">
        <v>2098</v>
      </c>
      <c r="C659" s="13" t="s">
        <v>85</v>
      </c>
      <c r="D659" s="13" t="s">
        <v>2324</v>
      </c>
      <c r="E659" s="13" t="s">
        <v>3159</v>
      </c>
      <c r="F659" s="13" t="n">
        <v>1</v>
      </c>
      <c r="G659" s="13" t="n">
        <v>1</v>
      </c>
      <c r="H659" s="5" t="n">
        <v>4000</v>
      </c>
      <c r="I659" s="7" t="n">
        <v>40</v>
      </c>
      <c r="J659" s="16" t="n">
        <v>100</v>
      </c>
      <c r="K659" s="16" t="n">
        <v>100</v>
      </c>
      <c r="L659" s="16"/>
      <c r="M659" s="16"/>
      <c r="N659" s="19"/>
    </row>
    <row r="660" customFormat="false" ht="15" hidden="false" customHeight="false" outlineLevel="0" collapsed="false">
      <c r="A660" s="13" t="s">
        <v>3160</v>
      </c>
      <c r="B660" s="13" t="s">
        <v>153</v>
      </c>
      <c r="C660" s="13" t="s">
        <v>43</v>
      </c>
      <c r="D660" s="13" t="s">
        <v>2327</v>
      </c>
      <c r="E660" s="13" t="s">
        <v>1039</v>
      </c>
      <c r="F660" s="13" t="n">
        <v>2</v>
      </c>
      <c r="G660" s="13" t="n">
        <v>3</v>
      </c>
      <c r="H660" s="5" t="n">
        <v>4000</v>
      </c>
      <c r="I660" s="7" t="n">
        <v>6</v>
      </c>
      <c r="J660" s="16" t="n">
        <v>666.666666666667</v>
      </c>
      <c r="K660" s="16"/>
      <c r="L660" s="16" t="n">
        <v>750</v>
      </c>
      <c r="M660" s="16" t="n">
        <v>625</v>
      </c>
      <c r="N660" s="19" t="n">
        <v>0.2</v>
      </c>
    </row>
    <row r="661" customFormat="false" ht="15" hidden="false" customHeight="false" outlineLevel="0" collapsed="false">
      <c r="A661" s="13" t="s">
        <v>3161</v>
      </c>
      <c r="B661" s="13" t="s">
        <v>42</v>
      </c>
      <c r="C661" s="13" t="s">
        <v>43</v>
      </c>
      <c r="D661" s="13" t="s">
        <v>2360</v>
      </c>
      <c r="E661" s="13" t="s">
        <v>737</v>
      </c>
      <c r="F661" s="13" t="n">
        <v>1</v>
      </c>
      <c r="G661" s="13" t="n">
        <v>2</v>
      </c>
      <c r="H661" s="5" t="n">
        <v>4000</v>
      </c>
      <c r="I661" s="7" t="n">
        <v>4</v>
      </c>
      <c r="J661" s="16" t="n">
        <v>1000</v>
      </c>
      <c r="K661" s="16"/>
      <c r="L661" s="16" t="n">
        <v>1000</v>
      </c>
      <c r="M661" s="16"/>
      <c r="N661" s="19"/>
    </row>
    <row r="662" customFormat="false" ht="15" hidden="false" customHeight="false" outlineLevel="0" collapsed="false">
      <c r="A662" s="13" t="s">
        <v>3162</v>
      </c>
      <c r="B662" s="13" t="s">
        <v>2129</v>
      </c>
      <c r="C662" s="13" t="s">
        <v>43</v>
      </c>
      <c r="D662" s="13" t="s">
        <v>2324</v>
      </c>
      <c r="E662" s="13" t="s">
        <v>3163</v>
      </c>
      <c r="F662" s="13" t="n">
        <v>1</v>
      </c>
      <c r="G662" s="13" t="n">
        <v>1</v>
      </c>
      <c r="H662" s="5" t="n">
        <v>4000</v>
      </c>
      <c r="I662" s="7" t="n">
        <v>50</v>
      </c>
      <c r="J662" s="16" t="n">
        <v>80</v>
      </c>
      <c r="K662" s="16" t="n">
        <v>80</v>
      </c>
      <c r="L662" s="16"/>
      <c r="M662" s="16"/>
      <c r="N662" s="19"/>
    </row>
    <row r="663" customFormat="false" ht="15" hidden="false" customHeight="false" outlineLevel="0" collapsed="false">
      <c r="A663" s="13" t="s">
        <v>3164</v>
      </c>
      <c r="B663" s="13" t="s">
        <v>45</v>
      </c>
      <c r="C663" s="13" t="s">
        <v>43</v>
      </c>
      <c r="D663" s="13" t="s">
        <v>2324</v>
      </c>
      <c r="E663" s="13" t="s">
        <v>619</v>
      </c>
      <c r="F663" s="13" t="n">
        <v>1</v>
      </c>
      <c r="G663" s="13" t="n">
        <v>1</v>
      </c>
      <c r="H663" s="5" t="n">
        <v>3900</v>
      </c>
      <c r="I663" s="7" t="n">
        <v>5</v>
      </c>
      <c r="J663" s="16" t="n">
        <v>780</v>
      </c>
      <c r="K663" s="16"/>
      <c r="L663" s="16" t="n">
        <v>780</v>
      </c>
      <c r="M663" s="16"/>
      <c r="N663" s="19"/>
    </row>
    <row r="664" customFormat="false" ht="15" hidden="false" customHeight="false" outlineLevel="0" collapsed="false">
      <c r="A664" s="13" t="s">
        <v>3165</v>
      </c>
      <c r="B664" s="13" t="s">
        <v>2115</v>
      </c>
      <c r="C664" s="13" t="s">
        <v>140</v>
      </c>
      <c r="D664" s="13" t="s">
        <v>2592</v>
      </c>
      <c r="E664" s="13" t="s">
        <v>3166</v>
      </c>
      <c r="F664" s="13" t="n">
        <v>1</v>
      </c>
      <c r="G664" s="13" t="n">
        <v>1</v>
      </c>
      <c r="H664" s="5" t="n">
        <v>3900</v>
      </c>
      <c r="I664" s="7" t="n">
        <v>50</v>
      </c>
      <c r="J664" s="16" t="n">
        <v>78</v>
      </c>
      <c r="K664" s="16" t="n">
        <v>78</v>
      </c>
      <c r="L664" s="16"/>
      <c r="M664" s="16"/>
      <c r="N664" s="19"/>
    </row>
    <row r="665" customFormat="false" ht="15" hidden="false" customHeight="false" outlineLevel="0" collapsed="false">
      <c r="A665" s="13" t="s">
        <v>3167</v>
      </c>
      <c r="B665" s="13" t="s">
        <v>177</v>
      </c>
      <c r="C665" s="13" t="s">
        <v>43</v>
      </c>
      <c r="D665" s="13" t="s">
        <v>2422</v>
      </c>
      <c r="E665" s="13" t="s">
        <v>703</v>
      </c>
      <c r="F665" s="13" t="n">
        <v>1</v>
      </c>
      <c r="G665" s="13" t="n">
        <v>3</v>
      </c>
      <c r="H665" s="5" t="n">
        <v>3880</v>
      </c>
      <c r="I665" s="7" t="n">
        <v>7</v>
      </c>
      <c r="J665" s="16" t="n">
        <v>554.285714285714</v>
      </c>
      <c r="K665" s="16"/>
      <c r="L665" s="16"/>
      <c r="M665" s="16" t="n">
        <v>554.285714285714</v>
      </c>
      <c r="N665" s="19"/>
    </row>
    <row r="666" customFormat="false" ht="15" hidden="false" customHeight="false" outlineLevel="0" collapsed="false">
      <c r="A666" s="13" t="s">
        <v>3168</v>
      </c>
      <c r="B666" s="13" t="s">
        <v>186</v>
      </c>
      <c r="C666" s="13" t="s">
        <v>43</v>
      </c>
      <c r="D666" s="13" t="s">
        <v>2327</v>
      </c>
      <c r="E666" s="13" t="s">
        <v>680</v>
      </c>
      <c r="F666" s="13" t="n">
        <v>1</v>
      </c>
      <c r="G666" s="13" t="n">
        <v>2</v>
      </c>
      <c r="H666" s="5" t="n">
        <v>3810</v>
      </c>
      <c r="I666" s="7" t="n">
        <v>6</v>
      </c>
      <c r="J666" s="16" t="n">
        <v>635</v>
      </c>
      <c r="K666" s="16"/>
      <c r="L666" s="16" t="n">
        <v>635</v>
      </c>
      <c r="M666" s="16"/>
      <c r="N666" s="19"/>
    </row>
    <row r="667" customFormat="false" ht="15" hidden="false" customHeight="false" outlineLevel="0" collapsed="false">
      <c r="A667" s="13" t="s">
        <v>3169</v>
      </c>
      <c r="B667" s="13" t="s">
        <v>42</v>
      </c>
      <c r="C667" s="13" t="s">
        <v>43</v>
      </c>
      <c r="D667" s="13" t="s">
        <v>2324</v>
      </c>
      <c r="E667" s="13" t="s">
        <v>858</v>
      </c>
      <c r="F667" s="13" t="n">
        <v>1</v>
      </c>
      <c r="G667" s="13" t="n">
        <v>2</v>
      </c>
      <c r="H667" s="5" t="n">
        <v>3800</v>
      </c>
      <c r="I667" s="7" t="n">
        <v>4</v>
      </c>
      <c r="J667" s="16" t="n">
        <v>950</v>
      </c>
      <c r="K667" s="16"/>
      <c r="L667" s="16"/>
      <c r="M667" s="16" t="n">
        <v>950</v>
      </c>
      <c r="N667" s="19"/>
    </row>
    <row r="668" customFormat="false" ht="15" hidden="false" customHeight="false" outlineLevel="0" collapsed="false">
      <c r="A668" s="13" t="s">
        <v>3170</v>
      </c>
      <c r="B668" s="13" t="s">
        <v>124</v>
      </c>
      <c r="C668" s="13" t="s">
        <v>43</v>
      </c>
      <c r="D668" s="13" t="s">
        <v>2324</v>
      </c>
      <c r="E668" s="13" t="s">
        <v>854</v>
      </c>
      <c r="F668" s="13" t="n">
        <v>1</v>
      </c>
      <c r="G668" s="13" t="n">
        <v>2</v>
      </c>
      <c r="H668" s="5" t="n">
        <v>3800</v>
      </c>
      <c r="I668" s="7" t="n">
        <v>4</v>
      </c>
      <c r="J668" s="16" t="n">
        <v>950</v>
      </c>
      <c r="K668" s="16"/>
      <c r="L668" s="16"/>
      <c r="M668" s="16" t="n">
        <v>950</v>
      </c>
      <c r="N668" s="19"/>
    </row>
    <row r="669" customFormat="false" ht="15" hidden="false" customHeight="false" outlineLevel="0" collapsed="false">
      <c r="A669" s="13" t="s">
        <v>3171</v>
      </c>
      <c r="B669" s="13" t="s">
        <v>42</v>
      </c>
      <c r="C669" s="13" t="s">
        <v>43</v>
      </c>
      <c r="D669" s="13" t="s">
        <v>2324</v>
      </c>
      <c r="E669" s="13" t="s">
        <v>628</v>
      </c>
      <c r="F669" s="13" t="n">
        <v>1</v>
      </c>
      <c r="G669" s="13" t="n">
        <v>1</v>
      </c>
      <c r="H669" s="5" t="n">
        <v>3800</v>
      </c>
      <c r="I669" s="7" t="n">
        <v>5</v>
      </c>
      <c r="J669" s="16" t="n">
        <v>760</v>
      </c>
      <c r="K669" s="16"/>
      <c r="L669" s="16"/>
      <c r="M669" s="16" t="n">
        <v>760</v>
      </c>
      <c r="N669" s="19"/>
    </row>
    <row r="670" customFormat="false" ht="15" hidden="false" customHeight="false" outlineLevel="0" collapsed="false">
      <c r="A670" s="13" t="s">
        <v>3172</v>
      </c>
      <c r="B670" s="13" t="s">
        <v>2096</v>
      </c>
      <c r="C670" s="13" t="s">
        <v>43</v>
      </c>
      <c r="D670" s="13" t="s">
        <v>2339</v>
      </c>
      <c r="E670" s="13" t="s">
        <v>3173</v>
      </c>
      <c r="F670" s="13" t="n">
        <v>1</v>
      </c>
      <c r="G670" s="13" t="n">
        <v>1</v>
      </c>
      <c r="H670" s="5" t="n">
        <v>3800</v>
      </c>
      <c r="I670" s="7" t="n">
        <v>60</v>
      </c>
      <c r="J670" s="16" t="n">
        <v>63.3333333333333</v>
      </c>
      <c r="K670" s="16" t="n">
        <v>63.3333333333333</v>
      </c>
      <c r="L670" s="16"/>
      <c r="M670" s="16"/>
      <c r="N670" s="19"/>
    </row>
    <row r="671" customFormat="false" ht="15" hidden="false" customHeight="false" outlineLevel="0" collapsed="false">
      <c r="A671" s="13" t="s">
        <v>3174</v>
      </c>
      <c r="B671" s="13" t="s">
        <v>2134</v>
      </c>
      <c r="C671" s="13" t="s">
        <v>43</v>
      </c>
      <c r="D671" s="13" t="s">
        <v>2337</v>
      </c>
      <c r="E671" s="13" t="s">
        <v>3175</v>
      </c>
      <c r="F671" s="13" t="n">
        <v>1</v>
      </c>
      <c r="G671" s="13" t="n">
        <v>2</v>
      </c>
      <c r="H671" s="5" t="n">
        <v>3800</v>
      </c>
      <c r="I671" s="7" t="n">
        <v>4</v>
      </c>
      <c r="J671" s="16" t="n">
        <v>950</v>
      </c>
      <c r="K671" s="16"/>
      <c r="L671" s="16" t="n">
        <v>950</v>
      </c>
      <c r="M671" s="16"/>
      <c r="N671" s="19"/>
    </row>
    <row r="672" customFormat="false" ht="15" hidden="false" customHeight="false" outlineLevel="0" collapsed="false">
      <c r="A672" s="13" t="s">
        <v>3176</v>
      </c>
      <c r="B672" s="13" t="s">
        <v>177</v>
      </c>
      <c r="C672" s="13" t="s">
        <v>43</v>
      </c>
      <c r="D672" s="13" t="s">
        <v>2324</v>
      </c>
      <c r="E672" s="13" t="s">
        <v>627</v>
      </c>
      <c r="F672" s="13" t="n">
        <v>1</v>
      </c>
      <c r="G672" s="13" t="n">
        <v>1</v>
      </c>
      <c r="H672" s="5" t="n">
        <v>3800</v>
      </c>
      <c r="I672" s="7" t="n">
        <v>5</v>
      </c>
      <c r="J672" s="16" t="n">
        <v>760</v>
      </c>
      <c r="K672" s="16"/>
      <c r="L672" s="16"/>
      <c r="M672" s="16" t="n">
        <v>760</v>
      </c>
      <c r="N672" s="19"/>
    </row>
    <row r="673" customFormat="false" ht="15" hidden="false" customHeight="false" outlineLevel="0" collapsed="false">
      <c r="A673" s="13" t="s">
        <v>3177</v>
      </c>
      <c r="B673" s="13" t="s">
        <v>165</v>
      </c>
      <c r="C673" s="13" t="s">
        <v>43</v>
      </c>
      <c r="D673" s="13" t="s">
        <v>2339</v>
      </c>
      <c r="E673" s="13" t="s">
        <v>548</v>
      </c>
      <c r="F673" s="13" t="n">
        <v>1</v>
      </c>
      <c r="G673" s="13" t="n">
        <v>1</v>
      </c>
      <c r="H673" s="5" t="n">
        <v>3800</v>
      </c>
      <c r="I673" s="7" t="n">
        <v>20</v>
      </c>
      <c r="J673" s="16" t="n">
        <v>190</v>
      </c>
      <c r="K673" s="16" t="n">
        <v>190</v>
      </c>
      <c r="L673" s="16"/>
      <c r="M673" s="16"/>
      <c r="N673" s="19"/>
    </row>
    <row r="674" customFormat="false" ht="15" hidden="false" customHeight="false" outlineLevel="0" collapsed="false">
      <c r="A674" s="13" t="s">
        <v>3178</v>
      </c>
      <c r="B674" s="13" t="s">
        <v>69</v>
      </c>
      <c r="C674" s="13" t="s">
        <v>43</v>
      </c>
      <c r="D674" s="13" t="s">
        <v>2324</v>
      </c>
      <c r="E674" s="13" t="s">
        <v>626</v>
      </c>
      <c r="F674" s="13" t="n">
        <v>1</v>
      </c>
      <c r="G674" s="13" t="n">
        <v>1</v>
      </c>
      <c r="H674" s="5" t="n">
        <v>3800</v>
      </c>
      <c r="I674" s="7" t="n">
        <v>2</v>
      </c>
      <c r="J674" s="16" t="n">
        <v>1900</v>
      </c>
      <c r="K674" s="16"/>
      <c r="L674" s="16"/>
      <c r="M674" s="16" t="n">
        <v>1900</v>
      </c>
      <c r="N674" s="19"/>
    </row>
    <row r="675" customFormat="false" ht="15" hidden="false" customHeight="false" outlineLevel="0" collapsed="false">
      <c r="A675" s="13" t="s">
        <v>3179</v>
      </c>
      <c r="B675" s="13" t="s">
        <v>2100</v>
      </c>
      <c r="C675" s="13" t="s">
        <v>43</v>
      </c>
      <c r="D675" s="13" t="s">
        <v>2339</v>
      </c>
      <c r="E675" s="13" t="s">
        <v>3180</v>
      </c>
      <c r="F675" s="13" t="n">
        <v>1</v>
      </c>
      <c r="G675" s="13" t="n">
        <v>1</v>
      </c>
      <c r="H675" s="5" t="n">
        <v>3800</v>
      </c>
      <c r="I675" s="7" t="n">
        <v>60</v>
      </c>
      <c r="J675" s="16" t="n">
        <v>63.3333333333333</v>
      </c>
      <c r="K675" s="16" t="n">
        <v>63.3333333333333</v>
      </c>
      <c r="L675" s="16"/>
      <c r="M675" s="16"/>
      <c r="N675" s="19"/>
    </row>
    <row r="676" customFormat="false" ht="15" hidden="false" customHeight="false" outlineLevel="0" collapsed="false">
      <c r="A676" s="13" t="s">
        <v>3181</v>
      </c>
      <c r="B676" s="13" t="s">
        <v>179</v>
      </c>
      <c r="C676" s="13" t="s">
        <v>180</v>
      </c>
      <c r="D676" s="13" t="s">
        <v>2324</v>
      </c>
      <c r="E676" s="13" t="s">
        <v>624</v>
      </c>
      <c r="F676" s="13" t="n">
        <v>1</v>
      </c>
      <c r="G676" s="13" t="n">
        <v>1</v>
      </c>
      <c r="H676" s="5" t="n">
        <v>3800</v>
      </c>
      <c r="I676" s="7" t="n">
        <v>10</v>
      </c>
      <c r="J676" s="16" t="n">
        <v>380</v>
      </c>
      <c r="K676" s="16" t="n">
        <v>380</v>
      </c>
      <c r="L676" s="16"/>
      <c r="M676" s="16"/>
      <c r="N676" s="19"/>
    </row>
    <row r="677" customFormat="false" ht="15" hidden="false" customHeight="false" outlineLevel="0" collapsed="false">
      <c r="A677" s="13" t="s">
        <v>3182</v>
      </c>
      <c r="B677" s="13" t="s">
        <v>2095</v>
      </c>
      <c r="C677" s="13" t="s">
        <v>140</v>
      </c>
      <c r="D677" s="13" t="s">
        <v>2324</v>
      </c>
      <c r="E677" s="13" t="s">
        <v>3183</v>
      </c>
      <c r="F677" s="13" t="n">
        <v>1</v>
      </c>
      <c r="G677" s="13" t="n">
        <v>2</v>
      </c>
      <c r="H677" s="5" t="n">
        <v>3800</v>
      </c>
      <c r="I677" s="7" t="n">
        <v>25</v>
      </c>
      <c r="J677" s="16" t="n">
        <v>152</v>
      </c>
      <c r="K677" s="16" t="n">
        <v>152</v>
      </c>
      <c r="L677" s="16"/>
      <c r="M677" s="16"/>
      <c r="N677" s="19"/>
    </row>
    <row r="678" customFormat="false" ht="15" hidden="false" customHeight="false" outlineLevel="0" collapsed="false">
      <c r="A678" s="13" t="s">
        <v>3184</v>
      </c>
      <c r="B678" s="13" t="s">
        <v>42</v>
      </c>
      <c r="C678" s="13" t="s">
        <v>43</v>
      </c>
      <c r="D678" s="13" t="s">
        <v>2324</v>
      </c>
      <c r="E678" s="13" t="s">
        <v>44</v>
      </c>
      <c r="F678" s="13" t="n">
        <v>1</v>
      </c>
      <c r="G678" s="13" t="n">
        <v>2</v>
      </c>
      <c r="H678" s="5" t="n">
        <v>3800</v>
      </c>
      <c r="I678" s="7" t="n">
        <v>4</v>
      </c>
      <c r="J678" s="16" t="n">
        <v>950</v>
      </c>
      <c r="K678" s="16"/>
      <c r="L678" s="16"/>
      <c r="M678" s="16" t="n">
        <v>950</v>
      </c>
      <c r="N678" s="19"/>
    </row>
    <row r="679" customFormat="false" ht="15" hidden="false" customHeight="false" outlineLevel="0" collapsed="false">
      <c r="A679" s="13" t="s">
        <v>3185</v>
      </c>
      <c r="B679" s="13" t="s">
        <v>2126</v>
      </c>
      <c r="C679" s="13" t="s">
        <v>183</v>
      </c>
      <c r="D679" s="13" t="s">
        <v>2324</v>
      </c>
      <c r="E679" s="13" t="s">
        <v>3186</v>
      </c>
      <c r="F679" s="13" t="n">
        <v>1</v>
      </c>
      <c r="G679" s="13" t="n">
        <v>1</v>
      </c>
      <c r="H679" s="5" t="n">
        <v>3800</v>
      </c>
      <c r="I679" s="7" t="n">
        <v>60</v>
      </c>
      <c r="J679" s="16" t="n">
        <v>63.3333333333333</v>
      </c>
      <c r="K679" s="16" t="n">
        <v>63.3333333333333</v>
      </c>
      <c r="L679" s="16"/>
      <c r="M679" s="16"/>
      <c r="N679" s="19"/>
    </row>
    <row r="680" customFormat="false" ht="15" hidden="false" customHeight="false" outlineLevel="0" collapsed="false">
      <c r="A680" s="13" t="s">
        <v>3187</v>
      </c>
      <c r="B680" s="13" t="s">
        <v>270</v>
      </c>
      <c r="C680" s="13" t="s">
        <v>43</v>
      </c>
      <c r="D680" s="13" t="s">
        <v>2339</v>
      </c>
      <c r="E680" s="13" t="s">
        <v>665</v>
      </c>
      <c r="F680" s="13" t="n">
        <v>2</v>
      </c>
      <c r="G680" s="13" t="n">
        <v>2</v>
      </c>
      <c r="H680" s="5" t="n">
        <v>3770</v>
      </c>
      <c r="I680" s="7" t="n">
        <v>11</v>
      </c>
      <c r="J680" s="16" t="n">
        <v>342.727272727273</v>
      </c>
      <c r="K680" s="16" t="n">
        <v>340</v>
      </c>
      <c r="L680" s="16" t="n">
        <v>370</v>
      </c>
      <c r="M680" s="16"/>
      <c r="N680" s="19" t="n">
        <v>0.0882352941176471</v>
      </c>
    </row>
    <row r="681" customFormat="false" ht="15" hidden="false" customHeight="false" outlineLevel="0" collapsed="false">
      <c r="A681" s="13" t="s">
        <v>3188</v>
      </c>
      <c r="B681" s="13" t="s">
        <v>153</v>
      </c>
      <c r="C681" s="13" t="s">
        <v>43</v>
      </c>
      <c r="D681" s="13" t="s">
        <v>2324</v>
      </c>
      <c r="E681" s="13" t="s">
        <v>1339</v>
      </c>
      <c r="F681" s="13" t="n">
        <v>2</v>
      </c>
      <c r="G681" s="13" t="n">
        <v>2</v>
      </c>
      <c r="H681" s="5" t="n">
        <v>3760</v>
      </c>
      <c r="I681" s="7" t="n">
        <v>3</v>
      </c>
      <c r="J681" s="16" t="n">
        <v>1253.33333333333</v>
      </c>
      <c r="K681" s="16"/>
      <c r="L681" s="16" t="n">
        <v>860</v>
      </c>
      <c r="M681" s="16" t="n">
        <v>1450</v>
      </c>
      <c r="N681" s="19" t="n">
        <v>0.686046511627907</v>
      </c>
    </row>
    <row r="682" customFormat="false" ht="15" hidden="false" customHeight="false" outlineLevel="0" collapsed="false">
      <c r="A682" s="13" t="s">
        <v>3189</v>
      </c>
      <c r="B682" s="13" t="s">
        <v>191</v>
      </c>
      <c r="C682" s="13" t="s">
        <v>183</v>
      </c>
      <c r="D682" s="13" t="s">
        <v>2324</v>
      </c>
      <c r="E682" s="13" t="s">
        <v>645</v>
      </c>
      <c r="F682" s="13" t="n">
        <v>1</v>
      </c>
      <c r="G682" s="13" t="n">
        <v>2</v>
      </c>
      <c r="H682" s="5" t="n">
        <v>3740</v>
      </c>
      <c r="I682" s="7" t="n">
        <v>31</v>
      </c>
      <c r="J682" s="16" t="n">
        <v>120.645161290323</v>
      </c>
      <c r="K682" s="16" t="n">
        <v>120.645161290323</v>
      </c>
      <c r="L682" s="16"/>
      <c r="M682" s="16"/>
      <c r="N682" s="19"/>
    </row>
    <row r="683" customFormat="false" ht="15" hidden="false" customHeight="false" outlineLevel="0" collapsed="false">
      <c r="A683" s="13" t="s">
        <v>3190</v>
      </c>
      <c r="B683" s="13" t="s">
        <v>45</v>
      </c>
      <c r="C683" s="13" t="s">
        <v>43</v>
      </c>
      <c r="D683" s="13" t="s">
        <v>2324</v>
      </c>
      <c r="E683" s="13" t="s">
        <v>967</v>
      </c>
      <c r="F683" s="13" t="n">
        <v>2</v>
      </c>
      <c r="G683" s="13" t="n">
        <v>3</v>
      </c>
      <c r="H683" s="5" t="n">
        <v>3730</v>
      </c>
      <c r="I683" s="7" t="n">
        <v>5</v>
      </c>
      <c r="J683" s="16" t="n">
        <v>746</v>
      </c>
      <c r="K683" s="16"/>
      <c r="L683" s="16" t="n">
        <v>775</v>
      </c>
      <c r="M683" s="16" t="n">
        <v>630</v>
      </c>
      <c r="N683" s="19" t="n">
        <v>0.23015873015873</v>
      </c>
    </row>
    <row r="684" customFormat="false" ht="15" hidden="false" customHeight="false" outlineLevel="0" collapsed="false">
      <c r="A684" s="13" t="s">
        <v>3191</v>
      </c>
      <c r="B684" s="13" t="s">
        <v>2103</v>
      </c>
      <c r="C684" s="13" t="s">
        <v>85</v>
      </c>
      <c r="D684" s="13" t="s">
        <v>2324</v>
      </c>
      <c r="E684" s="13" t="s">
        <v>3192</v>
      </c>
      <c r="F684" s="13" t="n">
        <v>1</v>
      </c>
      <c r="G684" s="13" t="n">
        <v>3</v>
      </c>
      <c r="H684" s="5" t="n">
        <v>3720</v>
      </c>
      <c r="I684" s="7" t="n">
        <v>34</v>
      </c>
      <c r="J684" s="16" t="n">
        <v>109.411764705882</v>
      </c>
      <c r="K684" s="16"/>
      <c r="L684" s="16"/>
      <c r="M684" s="16" t="n">
        <v>109.411764705882</v>
      </c>
      <c r="N684" s="19"/>
    </row>
    <row r="685" customFormat="false" ht="15" hidden="false" customHeight="false" outlineLevel="0" collapsed="false">
      <c r="A685" s="13" t="s">
        <v>3193</v>
      </c>
      <c r="B685" s="13" t="s">
        <v>2135</v>
      </c>
      <c r="C685" s="13" t="s">
        <v>85</v>
      </c>
      <c r="D685" s="13" t="s">
        <v>2339</v>
      </c>
      <c r="E685" s="13" t="s">
        <v>3194</v>
      </c>
      <c r="F685" s="13" t="n">
        <v>2</v>
      </c>
      <c r="G685" s="13" t="n">
        <v>2</v>
      </c>
      <c r="H685" s="5" t="n">
        <v>3700</v>
      </c>
      <c r="I685" s="7" t="n">
        <v>10</v>
      </c>
      <c r="J685" s="16" t="n">
        <v>370</v>
      </c>
      <c r="K685" s="16" t="n">
        <v>260</v>
      </c>
      <c r="L685" s="16" t="n">
        <v>480</v>
      </c>
      <c r="M685" s="16"/>
      <c r="N685" s="19" t="n">
        <v>0.846153846153846</v>
      </c>
    </row>
    <row r="686" customFormat="false" ht="15" hidden="false" customHeight="false" outlineLevel="0" collapsed="false">
      <c r="A686" s="13" t="s">
        <v>3195</v>
      </c>
      <c r="B686" s="13" t="s">
        <v>50</v>
      </c>
      <c r="C686" s="13" t="s">
        <v>43</v>
      </c>
      <c r="D686" s="13" t="s">
        <v>2324</v>
      </c>
      <c r="E686" s="13" t="s">
        <v>64</v>
      </c>
      <c r="F686" s="13" t="n">
        <v>1</v>
      </c>
      <c r="G686" s="13" t="n">
        <v>1</v>
      </c>
      <c r="H686" s="5" t="n">
        <v>3700</v>
      </c>
      <c r="I686" s="7" t="n">
        <v>5</v>
      </c>
      <c r="J686" s="16" t="n">
        <v>740</v>
      </c>
      <c r="K686" s="16"/>
      <c r="L686" s="16"/>
      <c r="M686" s="16" t="n">
        <v>740</v>
      </c>
      <c r="N686" s="19"/>
    </row>
    <row r="687" customFormat="false" ht="15" hidden="false" customHeight="false" outlineLevel="0" collapsed="false">
      <c r="A687" s="13" t="s">
        <v>3196</v>
      </c>
      <c r="B687" s="13" t="s">
        <v>179</v>
      </c>
      <c r="C687" s="13" t="s">
        <v>180</v>
      </c>
      <c r="D687" s="13" t="s">
        <v>2324</v>
      </c>
      <c r="E687" s="13" t="s">
        <v>633</v>
      </c>
      <c r="F687" s="13" t="n">
        <v>1</v>
      </c>
      <c r="G687" s="13" t="n">
        <v>1</v>
      </c>
      <c r="H687" s="5" t="n">
        <v>3700</v>
      </c>
      <c r="I687" s="7" t="n">
        <v>10</v>
      </c>
      <c r="J687" s="16" t="n">
        <v>370</v>
      </c>
      <c r="K687" s="16" t="n">
        <v>370</v>
      </c>
      <c r="L687" s="16"/>
      <c r="M687" s="16"/>
      <c r="N687" s="19"/>
    </row>
    <row r="688" customFormat="false" ht="15" hidden="false" customHeight="false" outlineLevel="0" collapsed="false">
      <c r="A688" s="13" t="s">
        <v>3197</v>
      </c>
      <c r="B688" s="13" t="s">
        <v>2136</v>
      </c>
      <c r="C688" s="13" t="s">
        <v>85</v>
      </c>
      <c r="D688" s="13" t="s">
        <v>2324</v>
      </c>
      <c r="E688" s="13" t="s">
        <v>3198</v>
      </c>
      <c r="F688" s="13" t="n">
        <v>1</v>
      </c>
      <c r="G688" s="13" t="n">
        <v>1</v>
      </c>
      <c r="H688" s="5" t="n">
        <v>3700</v>
      </c>
      <c r="I688" s="7" t="n">
        <v>70</v>
      </c>
      <c r="J688" s="16" t="n">
        <v>52.8571428571429</v>
      </c>
      <c r="K688" s="16" t="n">
        <v>52.8571428571429</v>
      </c>
      <c r="L688" s="16"/>
      <c r="M688" s="16"/>
      <c r="N688" s="19"/>
    </row>
    <row r="689" customFormat="false" ht="15" hidden="false" customHeight="false" outlineLevel="0" collapsed="false">
      <c r="A689" s="13" t="s">
        <v>3199</v>
      </c>
      <c r="B689" s="13" t="s">
        <v>315</v>
      </c>
      <c r="C689" s="13" t="s">
        <v>43</v>
      </c>
      <c r="D689" s="13" t="s">
        <v>2324</v>
      </c>
      <c r="E689" s="13" t="s">
        <v>316</v>
      </c>
      <c r="F689" s="13" t="n">
        <v>1</v>
      </c>
      <c r="G689" s="13" t="n">
        <v>1</v>
      </c>
      <c r="H689" s="5" t="n">
        <v>3700</v>
      </c>
      <c r="I689" s="7" t="n">
        <v>5</v>
      </c>
      <c r="J689" s="16" t="n">
        <v>740</v>
      </c>
      <c r="K689" s="16"/>
      <c r="L689" s="16"/>
      <c r="M689" s="16" t="n">
        <v>740</v>
      </c>
      <c r="N689" s="19"/>
    </row>
    <row r="690" customFormat="false" ht="15" hidden="false" customHeight="false" outlineLevel="0" collapsed="false">
      <c r="A690" s="13" t="s">
        <v>3200</v>
      </c>
      <c r="B690" s="13" t="s">
        <v>50</v>
      </c>
      <c r="C690" s="13" t="s">
        <v>43</v>
      </c>
      <c r="D690" s="13" t="s">
        <v>2500</v>
      </c>
      <c r="E690" s="13" t="s">
        <v>51</v>
      </c>
      <c r="F690" s="13" t="n">
        <v>1</v>
      </c>
      <c r="G690" s="13" t="n">
        <v>2</v>
      </c>
      <c r="H690" s="5" t="n">
        <v>3700</v>
      </c>
      <c r="I690" s="7" t="n">
        <v>7</v>
      </c>
      <c r="J690" s="16" t="n">
        <v>528.571428571429</v>
      </c>
      <c r="K690" s="16"/>
      <c r="L690" s="16"/>
      <c r="M690" s="16" t="n">
        <v>528.571428571429</v>
      </c>
      <c r="N690" s="19"/>
    </row>
    <row r="691" customFormat="false" ht="15" hidden="false" customHeight="false" outlineLevel="0" collapsed="false">
      <c r="A691" s="13" t="s">
        <v>3201</v>
      </c>
      <c r="B691" s="13" t="s">
        <v>2095</v>
      </c>
      <c r="C691" s="13" t="s">
        <v>85</v>
      </c>
      <c r="D691" s="13" t="s">
        <v>2512</v>
      </c>
      <c r="E691" s="13" t="s">
        <v>3202</v>
      </c>
      <c r="F691" s="13" t="n">
        <v>1</v>
      </c>
      <c r="G691" s="13" t="n">
        <v>1</v>
      </c>
      <c r="H691" s="5" t="n">
        <v>3700</v>
      </c>
      <c r="I691" s="7" t="n">
        <v>30</v>
      </c>
      <c r="J691" s="16" t="n">
        <v>123.333333333333</v>
      </c>
      <c r="K691" s="16" t="n">
        <v>123.333333333333</v>
      </c>
      <c r="L691" s="16"/>
      <c r="M691" s="16"/>
      <c r="N691" s="19"/>
    </row>
    <row r="692" customFormat="false" ht="15" hidden="false" customHeight="false" outlineLevel="0" collapsed="false">
      <c r="A692" s="13" t="s">
        <v>3203</v>
      </c>
      <c r="B692" s="13" t="s">
        <v>2159</v>
      </c>
      <c r="C692" s="13" t="s">
        <v>43</v>
      </c>
      <c r="D692" s="13" t="s">
        <v>2324</v>
      </c>
      <c r="E692" s="13" t="s">
        <v>3204</v>
      </c>
      <c r="F692" s="13" t="n">
        <v>1</v>
      </c>
      <c r="G692" s="13" t="n">
        <v>1</v>
      </c>
      <c r="H692" s="5" t="n">
        <v>3700</v>
      </c>
      <c r="I692" s="7" t="n">
        <v>30</v>
      </c>
      <c r="J692" s="16" t="n">
        <v>123.333333333333</v>
      </c>
      <c r="K692" s="16" t="n">
        <v>123.333333333333</v>
      </c>
      <c r="L692" s="16"/>
      <c r="M692" s="16"/>
      <c r="N692" s="19"/>
    </row>
    <row r="693" customFormat="false" ht="15" hidden="false" customHeight="false" outlineLevel="0" collapsed="false">
      <c r="A693" s="13" t="s">
        <v>3205</v>
      </c>
      <c r="B693" s="13" t="s">
        <v>2101</v>
      </c>
      <c r="C693" s="13" t="s">
        <v>85</v>
      </c>
      <c r="D693" s="13" t="s">
        <v>2324</v>
      </c>
      <c r="E693" s="13" t="s">
        <v>3206</v>
      </c>
      <c r="F693" s="13" t="n">
        <v>1</v>
      </c>
      <c r="G693" s="13" t="n">
        <v>1</v>
      </c>
      <c r="H693" s="5" t="n">
        <v>3700</v>
      </c>
      <c r="I693" s="7" t="n">
        <v>60</v>
      </c>
      <c r="J693" s="16" t="n">
        <v>61.6666666666667</v>
      </c>
      <c r="K693" s="16" t="n">
        <v>61.6666666666667</v>
      </c>
      <c r="L693" s="16"/>
      <c r="M693" s="16"/>
      <c r="N693" s="19"/>
    </row>
    <row r="694" customFormat="false" ht="15" hidden="false" customHeight="false" outlineLevel="0" collapsed="false">
      <c r="A694" s="13" t="s">
        <v>3207</v>
      </c>
      <c r="B694" s="13" t="s">
        <v>329</v>
      </c>
      <c r="C694" s="13" t="s">
        <v>43</v>
      </c>
      <c r="D694" s="13" t="s">
        <v>2324</v>
      </c>
      <c r="E694" s="13" t="s">
        <v>635</v>
      </c>
      <c r="F694" s="13" t="n">
        <v>1</v>
      </c>
      <c r="G694" s="13" t="n">
        <v>1</v>
      </c>
      <c r="H694" s="5" t="n">
        <v>3700</v>
      </c>
      <c r="I694" s="7" t="n">
        <v>5</v>
      </c>
      <c r="J694" s="16" t="n">
        <v>740</v>
      </c>
      <c r="K694" s="16"/>
      <c r="L694" s="16" t="n">
        <v>740</v>
      </c>
      <c r="M694" s="16"/>
      <c r="N694" s="19"/>
    </row>
    <row r="695" customFormat="false" ht="15" hidden="false" customHeight="false" outlineLevel="0" collapsed="false">
      <c r="A695" s="13" t="s">
        <v>3208</v>
      </c>
      <c r="B695" s="13" t="s">
        <v>179</v>
      </c>
      <c r="C695" s="13" t="s">
        <v>180</v>
      </c>
      <c r="D695" s="13" t="s">
        <v>2324</v>
      </c>
      <c r="E695" s="13" t="s">
        <v>632</v>
      </c>
      <c r="F695" s="13" t="n">
        <v>1</v>
      </c>
      <c r="G695" s="13" t="n">
        <v>1</v>
      </c>
      <c r="H695" s="5" t="n">
        <v>3700</v>
      </c>
      <c r="I695" s="7" t="n">
        <v>20</v>
      </c>
      <c r="J695" s="16" t="n">
        <v>185</v>
      </c>
      <c r="K695" s="16" t="n">
        <v>185</v>
      </c>
      <c r="L695" s="16"/>
      <c r="M695" s="16"/>
      <c r="N695" s="19"/>
    </row>
    <row r="696" customFormat="false" ht="15" hidden="false" customHeight="false" outlineLevel="0" collapsed="false">
      <c r="A696" s="13" t="s">
        <v>3209</v>
      </c>
      <c r="B696" s="13" t="s">
        <v>124</v>
      </c>
      <c r="C696" s="13" t="s">
        <v>43</v>
      </c>
      <c r="D696" s="13" t="s">
        <v>2324</v>
      </c>
      <c r="E696" s="13" t="s">
        <v>851</v>
      </c>
      <c r="F696" s="13" t="n">
        <v>1</v>
      </c>
      <c r="G696" s="13" t="n">
        <v>3</v>
      </c>
      <c r="H696" s="5" t="n">
        <v>3690</v>
      </c>
      <c r="I696" s="7" t="n">
        <v>8</v>
      </c>
      <c r="J696" s="16" t="n">
        <v>461.25</v>
      </c>
      <c r="K696" s="16"/>
      <c r="L696" s="16"/>
      <c r="M696" s="16" t="n">
        <v>461.25</v>
      </c>
      <c r="N696" s="19"/>
    </row>
    <row r="697" customFormat="false" ht="15" hidden="false" customHeight="false" outlineLevel="0" collapsed="false">
      <c r="A697" s="13" t="s">
        <v>3210</v>
      </c>
      <c r="B697" s="13" t="s">
        <v>72</v>
      </c>
      <c r="C697" s="13" t="s">
        <v>43</v>
      </c>
      <c r="D697" s="13" t="s">
        <v>2324</v>
      </c>
      <c r="E697" s="13" t="s">
        <v>807</v>
      </c>
      <c r="F697" s="13" t="n">
        <v>1</v>
      </c>
      <c r="G697" s="13" t="n">
        <v>3</v>
      </c>
      <c r="H697" s="5" t="n">
        <v>3680</v>
      </c>
      <c r="I697" s="7" t="n">
        <v>4</v>
      </c>
      <c r="J697" s="16" t="n">
        <v>920</v>
      </c>
      <c r="K697" s="16"/>
      <c r="L697" s="16"/>
      <c r="M697" s="16" t="n">
        <v>920</v>
      </c>
      <c r="N697" s="19"/>
    </row>
    <row r="698" customFormat="false" ht="15" hidden="false" customHeight="false" outlineLevel="0" collapsed="false">
      <c r="A698" s="13" t="s">
        <v>3211</v>
      </c>
      <c r="B698" s="13" t="s">
        <v>153</v>
      </c>
      <c r="C698" s="13" t="s">
        <v>43</v>
      </c>
      <c r="D698" s="13" t="s">
        <v>2327</v>
      </c>
      <c r="E698" s="13" t="s">
        <v>736</v>
      </c>
      <c r="F698" s="13" t="n">
        <v>1</v>
      </c>
      <c r="G698" s="13" t="n">
        <v>2</v>
      </c>
      <c r="H698" s="5" t="n">
        <v>3680</v>
      </c>
      <c r="I698" s="7" t="n">
        <v>3</v>
      </c>
      <c r="J698" s="16" t="n">
        <v>1226.66666666667</v>
      </c>
      <c r="K698" s="16"/>
      <c r="L698" s="16" t="n">
        <v>1226.66666666667</v>
      </c>
      <c r="M698" s="16"/>
      <c r="N698" s="19"/>
    </row>
    <row r="699" customFormat="false" ht="15" hidden="false" customHeight="false" outlineLevel="0" collapsed="false">
      <c r="A699" s="13" t="s">
        <v>3212</v>
      </c>
      <c r="B699" s="13" t="s">
        <v>107</v>
      </c>
      <c r="C699" s="13" t="s">
        <v>43</v>
      </c>
      <c r="D699" s="13" t="s">
        <v>2324</v>
      </c>
      <c r="E699" s="13" t="s">
        <v>996</v>
      </c>
      <c r="F699" s="13" t="n">
        <v>1</v>
      </c>
      <c r="G699" s="13" t="n">
        <v>3</v>
      </c>
      <c r="H699" s="5" t="n">
        <v>3670</v>
      </c>
      <c r="I699" s="7" t="n">
        <v>9</v>
      </c>
      <c r="J699" s="16" t="n">
        <v>407.777777777778</v>
      </c>
      <c r="K699" s="16"/>
      <c r="L699" s="16"/>
      <c r="M699" s="16" t="n">
        <v>407.777777777778</v>
      </c>
      <c r="N699" s="19"/>
    </row>
    <row r="700" customFormat="false" ht="15" hidden="false" customHeight="false" outlineLevel="0" collapsed="false">
      <c r="A700" s="13" t="s">
        <v>3213</v>
      </c>
      <c r="B700" s="13" t="s">
        <v>50</v>
      </c>
      <c r="C700" s="13" t="s">
        <v>43</v>
      </c>
      <c r="D700" s="13" t="s">
        <v>2360</v>
      </c>
      <c r="E700" s="13" t="s">
        <v>1286</v>
      </c>
      <c r="F700" s="13" t="n">
        <v>2</v>
      </c>
      <c r="G700" s="13" t="n">
        <v>4</v>
      </c>
      <c r="H700" s="5" t="n">
        <v>3620</v>
      </c>
      <c r="I700" s="7" t="n">
        <v>4</v>
      </c>
      <c r="J700" s="16" t="n">
        <v>905</v>
      </c>
      <c r="K700" s="16"/>
      <c r="L700" s="16" t="n">
        <v>890</v>
      </c>
      <c r="M700" s="16" t="n">
        <v>920</v>
      </c>
      <c r="N700" s="19" t="n">
        <v>0.0337078651685393</v>
      </c>
    </row>
    <row r="701" customFormat="false" ht="15" hidden="false" customHeight="false" outlineLevel="0" collapsed="false">
      <c r="A701" s="13" t="s">
        <v>3214</v>
      </c>
      <c r="B701" s="13" t="s">
        <v>177</v>
      </c>
      <c r="C701" s="13" t="s">
        <v>43</v>
      </c>
      <c r="D701" s="13" t="s">
        <v>2339</v>
      </c>
      <c r="E701" s="13" t="s">
        <v>1044</v>
      </c>
      <c r="F701" s="13" t="n">
        <v>2</v>
      </c>
      <c r="G701" s="13" t="n">
        <v>3</v>
      </c>
      <c r="H701" s="5" t="n">
        <v>3610</v>
      </c>
      <c r="I701" s="7" t="n">
        <v>5</v>
      </c>
      <c r="J701" s="16" t="n">
        <v>722</v>
      </c>
      <c r="K701" s="16"/>
      <c r="L701" s="16" t="n">
        <v>736.666666666667</v>
      </c>
      <c r="M701" s="16" t="n">
        <v>700</v>
      </c>
      <c r="N701" s="19" t="n">
        <v>0.0523809523809523</v>
      </c>
    </row>
    <row r="702" customFormat="false" ht="15" hidden="false" customHeight="false" outlineLevel="0" collapsed="false">
      <c r="A702" s="13" t="s">
        <v>3215</v>
      </c>
      <c r="B702" s="13" t="s">
        <v>179</v>
      </c>
      <c r="C702" s="13" t="s">
        <v>180</v>
      </c>
      <c r="D702" s="13" t="s">
        <v>2324</v>
      </c>
      <c r="E702" s="13" t="s">
        <v>637</v>
      </c>
      <c r="F702" s="13" t="n">
        <v>1</v>
      </c>
      <c r="G702" s="13" t="n">
        <v>1</v>
      </c>
      <c r="H702" s="5" t="n">
        <v>3600</v>
      </c>
      <c r="I702" s="7" t="n">
        <v>30</v>
      </c>
      <c r="J702" s="16" t="n">
        <v>120</v>
      </c>
      <c r="K702" s="16" t="n">
        <v>120</v>
      </c>
      <c r="L702" s="16"/>
      <c r="M702" s="16"/>
      <c r="N702" s="19"/>
    </row>
    <row r="703" customFormat="false" ht="15" hidden="false" customHeight="false" outlineLevel="0" collapsed="false">
      <c r="A703" s="13" t="s">
        <v>3216</v>
      </c>
      <c r="B703" s="13" t="s">
        <v>179</v>
      </c>
      <c r="C703" s="13" t="s">
        <v>180</v>
      </c>
      <c r="D703" s="13" t="s">
        <v>2324</v>
      </c>
      <c r="E703" s="13" t="s">
        <v>647</v>
      </c>
      <c r="F703" s="13" t="n">
        <v>1</v>
      </c>
      <c r="G703" s="13" t="n">
        <v>1</v>
      </c>
      <c r="H703" s="5" t="n">
        <v>3600</v>
      </c>
      <c r="I703" s="7" t="n">
        <v>30</v>
      </c>
      <c r="J703" s="16" t="n">
        <v>120</v>
      </c>
      <c r="K703" s="16" t="n">
        <v>120</v>
      </c>
      <c r="L703" s="16"/>
      <c r="M703" s="16"/>
      <c r="N703" s="19"/>
    </row>
    <row r="704" customFormat="false" ht="15" hidden="false" customHeight="false" outlineLevel="0" collapsed="false">
      <c r="A704" s="13" t="s">
        <v>3217</v>
      </c>
      <c r="B704" s="13" t="s">
        <v>54</v>
      </c>
      <c r="C704" s="13" t="s">
        <v>43</v>
      </c>
      <c r="D704" s="13" t="s">
        <v>2324</v>
      </c>
      <c r="E704" s="13" t="s">
        <v>639</v>
      </c>
      <c r="F704" s="13" t="n">
        <v>1</v>
      </c>
      <c r="G704" s="13" t="n">
        <v>1</v>
      </c>
      <c r="H704" s="5" t="n">
        <v>3600</v>
      </c>
      <c r="I704" s="7" t="n">
        <v>5</v>
      </c>
      <c r="J704" s="16" t="n">
        <v>720</v>
      </c>
      <c r="K704" s="16"/>
      <c r="L704" s="16"/>
      <c r="M704" s="16" t="n">
        <v>720</v>
      </c>
      <c r="N704" s="19"/>
    </row>
    <row r="705" customFormat="false" ht="15" hidden="false" customHeight="false" outlineLevel="0" collapsed="false">
      <c r="A705" s="13" t="s">
        <v>3218</v>
      </c>
      <c r="B705" s="13" t="s">
        <v>61</v>
      </c>
      <c r="C705" s="13" t="s">
        <v>43</v>
      </c>
      <c r="D705" s="13" t="s">
        <v>2500</v>
      </c>
      <c r="E705" s="13" t="s">
        <v>860</v>
      </c>
      <c r="F705" s="13" t="n">
        <v>1</v>
      </c>
      <c r="G705" s="13" t="n">
        <v>3</v>
      </c>
      <c r="H705" s="5" t="n">
        <v>3600</v>
      </c>
      <c r="I705" s="7" t="n">
        <v>5</v>
      </c>
      <c r="J705" s="16" t="n">
        <v>720</v>
      </c>
      <c r="K705" s="16"/>
      <c r="L705" s="16"/>
      <c r="M705" s="16" t="n">
        <v>720</v>
      </c>
      <c r="N705" s="19"/>
    </row>
    <row r="706" customFormat="false" ht="15" hidden="false" customHeight="false" outlineLevel="0" collapsed="false">
      <c r="A706" s="13" t="s">
        <v>3219</v>
      </c>
      <c r="B706" s="13" t="s">
        <v>2173</v>
      </c>
      <c r="C706" s="13" t="s">
        <v>85</v>
      </c>
      <c r="D706" s="13" t="s">
        <v>2324</v>
      </c>
      <c r="E706" s="13" t="s">
        <v>3220</v>
      </c>
      <c r="F706" s="13" t="n">
        <v>1</v>
      </c>
      <c r="G706" s="13" t="n">
        <v>1</v>
      </c>
      <c r="H706" s="5" t="n">
        <v>3600</v>
      </c>
      <c r="I706" s="7" t="n">
        <v>20</v>
      </c>
      <c r="J706" s="16" t="n">
        <v>180</v>
      </c>
      <c r="K706" s="16" t="n">
        <v>180</v>
      </c>
      <c r="L706" s="16"/>
      <c r="M706" s="16"/>
      <c r="N706" s="19"/>
    </row>
    <row r="707" customFormat="false" ht="15" hidden="false" customHeight="false" outlineLevel="0" collapsed="false">
      <c r="A707" s="13" t="s">
        <v>3221</v>
      </c>
      <c r="B707" s="13" t="s">
        <v>54</v>
      </c>
      <c r="C707" s="13" t="s">
        <v>43</v>
      </c>
      <c r="D707" s="13" t="s">
        <v>2324</v>
      </c>
      <c r="E707" s="13" t="s">
        <v>641</v>
      </c>
      <c r="F707" s="13" t="n">
        <v>1</v>
      </c>
      <c r="G707" s="13" t="n">
        <v>1</v>
      </c>
      <c r="H707" s="5" t="n">
        <v>3600</v>
      </c>
      <c r="I707" s="7" t="n">
        <v>10</v>
      </c>
      <c r="J707" s="16" t="n">
        <v>360</v>
      </c>
      <c r="K707" s="16"/>
      <c r="L707" s="16"/>
      <c r="M707" s="16" t="n">
        <v>360</v>
      </c>
      <c r="N707" s="19"/>
    </row>
    <row r="708" customFormat="false" ht="15" hidden="false" customHeight="false" outlineLevel="0" collapsed="false">
      <c r="A708" s="13" t="s">
        <v>3222</v>
      </c>
      <c r="B708" s="13" t="s">
        <v>42</v>
      </c>
      <c r="C708" s="13" t="s">
        <v>43</v>
      </c>
      <c r="D708" s="13" t="s">
        <v>2339</v>
      </c>
      <c r="E708" s="13" t="s">
        <v>1598</v>
      </c>
      <c r="F708" s="13" t="n">
        <v>2</v>
      </c>
      <c r="G708" s="13" t="n">
        <v>2</v>
      </c>
      <c r="H708" s="5" t="n">
        <v>3590</v>
      </c>
      <c r="I708" s="7" t="n">
        <v>6</v>
      </c>
      <c r="J708" s="16" t="n">
        <v>598.333333333333</v>
      </c>
      <c r="K708" s="16"/>
      <c r="L708" s="16" t="n">
        <v>590</v>
      </c>
      <c r="M708" s="16" t="n">
        <v>600</v>
      </c>
      <c r="N708" s="19" t="n">
        <v>0.0169491525423729</v>
      </c>
    </row>
    <row r="709" customFormat="false" ht="15" hidden="false" customHeight="false" outlineLevel="0" collapsed="false">
      <c r="A709" s="13" t="s">
        <v>3223</v>
      </c>
      <c r="B709" s="13" t="s">
        <v>630</v>
      </c>
      <c r="C709" s="13" t="s">
        <v>43</v>
      </c>
      <c r="D709" s="13" t="s">
        <v>2324</v>
      </c>
      <c r="E709" s="13" t="s">
        <v>695</v>
      </c>
      <c r="F709" s="13" t="n">
        <v>2</v>
      </c>
      <c r="G709" s="13" t="n">
        <v>3</v>
      </c>
      <c r="H709" s="5" t="n">
        <v>3570</v>
      </c>
      <c r="I709" s="7" t="n">
        <v>12</v>
      </c>
      <c r="J709" s="16" t="n">
        <v>297.5</v>
      </c>
      <c r="K709" s="16"/>
      <c r="L709" s="16" t="n">
        <v>240</v>
      </c>
      <c r="M709" s="16" t="n">
        <v>302.727272727273</v>
      </c>
      <c r="N709" s="19" t="n">
        <v>0.261363636363637</v>
      </c>
    </row>
    <row r="710" customFormat="false" ht="15" hidden="false" customHeight="false" outlineLevel="0" collapsed="false">
      <c r="A710" s="13" t="s">
        <v>3224</v>
      </c>
      <c r="B710" s="13" t="s">
        <v>45</v>
      </c>
      <c r="C710" s="13" t="s">
        <v>43</v>
      </c>
      <c r="D710" s="13" t="s">
        <v>2324</v>
      </c>
      <c r="E710" s="13" t="s">
        <v>113</v>
      </c>
      <c r="F710" s="13" t="n">
        <v>1</v>
      </c>
      <c r="G710" s="13" t="n">
        <v>2</v>
      </c>
      <c r="H710" s="5" t="n">
        <v>3550</v>
      </c>
      <c r="I710" s="7" t="n">
        <v>3</v>
      </c>
      <c r="J710" s="16" t="n">
        <v>1183.33333333333</v>
      </c>
      <c r="K710" s="16"/>
      <c r="L710" s="16" t="n">
        <v>1183.33333333333</v>
      </c>
      <c r="M710" s="16"/>
      <c r="N710" s="19"/>
    </row>
    <row r="711" customFormat="false" ht="15" hidden="false" customHeight="false" outlineLevel="0" collapsed="false">
      <c r="A711" s="13" t="s">
        <v>3225</v>
      </c>
      <c r="B711" s="13" t="s">
        <v>121</v>
      </c>
      <c r="C711" s="13" t="s">
        <v>43</v>
      </c>
      <c r="D711" s="13" t="s">
        <v>2324</v>
      </c>
      <c r="E711" s="13" t="s">
        <v>662</v>
      </c>
      <c r="F711" s="13" t="n">
        <v>1</v>
      </c>
      <c r="G711" s="13" t="n">
        <v>2</v>
      </c>
      <c r="H711" s="5" t="n">
        <v>3550</v>
      </c>
      <c r="I711" s="7" t="n">
        <v>21</v>
      </c>
      <c r="J711" s="16" t="n">
        <v>169.047619047619</v>
      </c>
      <c r="K711" s="16"/>
      <c r="L711" s="16"/>
      <c r="M711" s="16" t="n">
        <v>169.047619047619</v>
      </c>
      <c r="N711" s="19"/>
    </row>
    <row r="712" customFormat="false" ht="15" hidden="false" customHeight="false" outlineLevel="0" collapsed="false">
      <c r="A712" s="13" t="s">
        <v>3226</v>
      </c>
      <c r="B712" s="13" t="s">
        <v>92</v>
      </c>
      <c r="C712" s="13" t="s">
        <v>43</v>
      </c>
      <c r="D712" s="13" t="s">
        <v>2422</v>
      </c>
      <c r="E712" s="13" t="s">
        <v>1723</v>
      </c>
      <c r="F712" s="13" t="n">
        <v>2</v>
      </c>
      <c r="G712" s="13" t="n">
        <v>3</v>
      </c>
      <c r="H712" s="5" t="n">
        <v>3540</v>
      </c>
      <c r="I712" s="7" t="n">
        <v>8</v>
      </c>
      <c r="J712" s="16" t="n">
        <v>442.5</v>
      </c>
      <c r="K712" s="16"/>
      <c r="L712" s="16" t="n">
        <v>440</v>
      </c>
      <c r="M712" s="16" t="n">
        <v>442.857142857143</v>
      </c>
      <c r="N712" s="19" t="n">
        <v>0.00649350649350644</v>
      </c>
    </row>
    <row r="713" customFormat="false" ht="15" hidden="false" customHeight="false" outlineLevel="0" collapsed="false">
      <c r="A713" s="13" t="s">
        <v>3227</v>
      </c>
      <c r="B713" s="13" t="s">
        <v>341</v>
      </c>
      <c r="C713" s="13" t="s">
        <v>85</v>
      </c>
      <c r="D713" s="13" t="s">
        <v>3228</v>
      </c>
      <c r="E713" s="13" t="s">
        <v>770</v>
      </c>
      <c r="F713" s="13" t="n">
        <v>1</v>
      </c>
      <c r="G713" s="13" t="n">
        <v>2</v>
      </c>
      <c r="H713" s="5" t="n">
        <v>3510</v>
      </c>
      <c r="I713" s="7" t="n">
        <v>7</v>
      </c>
      <c r="J713" s="16" t="n">
        <v>501.428571428571</v>
      </c>
      <c r="K713" s="16"/>
      <c r="L713" s="16" t="n">
        <v>501.428571428571</v>
      </c>
      <c r="M713" s="16"/>
      <c r="N713" s="19"/>
    </row>
    <row r="714" customFormat="false" ht="15" hidden="false" customHeight="false" outlineLevel="0" collapsed="false">
      <c r="A714" s="13" t="s">
        <v>3229</v>
      </c>
      <c r="B714" s="13" t="s">
        <v>2195</v>
      </c>
      <c r="C714" s="13" t="s">
        <v>129</v>
      </c>
      <c r="D714" s="13" t="s">
        <v>2324</v>
      </c>
      <c r="E714" s="13" t="s">
        <v>3230</v>
      </c>
      <c r="F714" s="13" t="n">
        <v>1</v>
      </c>
      <c r="G714" s="13" t="n">
        <v>2</v>
      </c>
      <c r="H714" s="5" t="n">
        <v>3510</v>
      </c>
      <c r="I714" s="7" t="n">
        <v>42</v>
      </c>
      <c r="J714" s="16" t="n">
        <v>83.5714285714286</v>
      </c>
      <c r="K714" s="16" t="n">
        <v>83.5714285714286</v>
      </c>
      <c r="L714" s="16"/>
      <c r="M714" s="16"/>
      <c r="N714" s="19"/>
    </row>
    <row r="715" customFormat="false" ht="15" hidden="false" customHeight="false" outlineLevel="0" collapsed="false">
      <c r="A715" s="13" t="s">
        <v>3231</v>
      </c>
      <c r="B715" s="13" t="s">
        <v>193</v>
      </c>
      <c r="C715" s="13" t="s">
        <v>43</v>
      </c>
      <c r="D715" s="13" t="s">
        <v>2324</v>
      </c>
      <c r="E715" s="13" t="s">
        <v>681</v>
      </c>
      <c r="F715" s="13" t="n">
        <v>1</v>
      </c>
      <c r="G715" s="13" t="n">
        <v>2</v>
      </c>
      <c r="H715" s="5" t="n">
        <v>3500</v>
      </c>
      <c r="I715" s="7" t="n">
        <v>4</v>
      </c>
      <c r="J715" s="16" t="n">
        <v>875</v>
      </c>
      <c r="K715" s="16"/>
      <c r="L715" s="16"/>
      <c r="M715" s="16" t="n">
        <v>875</v>
      </c>
      <c r="N715" s="19"/>
    </row>
    <row r="716" customFormat="false" ht="15" hidden="false" customHeight="false" outlineLevel="0" collapsed="false">
      <c r="A716" s="13" t="s">
        <v>3232</v>
      </c>
      <c r="B716" s="13" t="s">
        <v>50</v>
      </c>
      <c r="C716" s="13" t="s">
        <v>43</v>
      </c>
      <c r="D716" s="13" t="s">
        <v>2360</v>
      </c>
      <c r="E716" s="13" t="s">
        <v>652</v>
      </c>
      <c r="F716" s="13" t="n">
        <v>1</v>
      </c>
      <c r="G716" s="13" t="n">
        <v>1</v>
      </c>
      <c r="H716" s="5" t="n">
        <v>3500</v>
      </c>
      <c r="I716" s="7" t="n">
        <v>5</v>
      </c>
      <c r="J716" s="16" t="n">
        <v>700</v>
      </c>
      <c r="K716" s="16"/>
      <c r="L716" s="16" t="n">
        <v>700</v>
      </c>
      <c r="M716" s="16"/>
      <c r="N716" s="19"/>
    </row>
    <row r="717" customFormat="false" ht="15" hidden="false" customHeight="false" outlineLevel="0" collapsed="false">
      <c r="A717" s="13" t="s">
        <v>3233</v>
      </c>
      <c r="B717" s="13" t="s">
        <v>65</v>
      </c>
      <c r="C717" s="13" t="s">
        <v>85</v>
      </c>
      <c r="D717" s="13" t="s">
        <v>2324</v>
      </c>
      <c r="E717" s="13" t="s">
        <v>200</v>
      </c>
      <c r="F717" s="13" t="n">
        <v>1</v>
      </c>
      <c r="G717" s="13" t="n">
        <v>2</v>
      </c>
      <c r="H717" s="5" t="n">
        <v>3500</v>
      </c>
      <c r="I717" s="7" t="n">
        <v>7</v>
      </c>
      <c r="J717" s="16" t="n">
        <v>500</v>
      </c>
      <c r="K717" s="16" t="n">
        <v>500</v>
      </c>
      <c r="L717" s="16"/>
      <c r="M717" s="16"/>
      <c r="N717" s="19"/>
    </row>
    <row r="718" customFormat="false" ht="15" hidden="false" customHeight="false" outlineLevel="0" collapsed="false">
      <c r="A718" s="13" t="s">
        <v>3234</v>
      </c>
      <c r="B718" s="13" t="s">
        <v>72</v>
      </c>
      <c r="C718" s="13" t="s">
        <v>43</v>
      </c>
      <c r="D718" s="13" t="s">
        <v>2324</v>
      </c>
      <c r="E718" s="13" t="s">
        <v>96</v>
      </c>
      <c r="F718" s="13" t="n">
        <v>1</v>
      </c>
      <c r="G718" s="13" t="n">
        <v>2</v>
      </c>
      <c r="H718" s="5" t="n">
        <v>3500</v>
      </c>
      <c r="I718" s="7" t="n">
        <v>4</v>
      </c>
      <c r="J718" s="16" t="n">
        <v>875</v>
      </c>
      <c r="K718" s="16"/>
      <c r="L718" s="16"/>
      <c r="M718" s="16" t="n">
        <v>875</v>
      </c>
      <c r="N718" s="19"/>
    </row>
    <row r="719" customFormat="false" ht="15" hidden="false" customHeight="false" outlineLevel="0" collapsed="false">
      <c r="A719" s="13" t="s">
        <v>3235</v>
      </c>
      <c r="B719" s="13" t="s">
        <v>79</v>
      </c>
      <c r="C719" s="13" t="s">
        <v>43</v>
      </c>
      <c r="D719" s="13" t="s">
        <v>2324</v>
      </c>
      <c r="E719" s="13" t="s">
        <v>653</v>
      </c>
      <c r="F719" s="13" t="n">
        <v>1</v>
      </c>
      <c r="G719" s="13" t="n">
        <v>1</v>
      </c>
      <c r="H719" s="5" t="n">
        <v>3500</v>
      </c>
      <c r="I719" s="7" t="n">
        <v>5</v>
      </c>
      <c r="J719" s="16" t="n">
        <v>700</v>
      </c>
      <c r="K719" s="16"/>
      <c r="L719" s="16" t="n">
        <v>700</v>
      </c>
      <c r="M719" s="16"/>
      <c r="N719" s="19"/>
    </row>
    <row r="720" customFormat="false" ht="15" hidden="false" customHeight="false" outlineLevel="0" collapsed="false">
      <c r="A720" s="13" t="s">
        <v>3236</v>
      </c>
      <c r="B720" s="13" t="s">
        <v>270</v>
      </c>
      <c r="C720" s="13" t="s">
        <v>43</v>
      </c>
      <c r="D720" s="13" t="s">
        <v>2339</v>
      </c>
      <c r="E720" s="13" t="s">
        <v>1221</v>
      </c>
      <c r="F720" s="13" t="n">
        <v>1</v>
      </c>
      <c r="G720" s="13" t="n">
        <v>2</v>
      </c>
      <c r="H720" s="5" t="n">
        <v>3500</v>
      </c>
      <c r="I720" s="7" t="n">
        <v>7</v>
      </c>
      <c r="J720" s="16" t="n">
        <v>500</v>
      </c>
      <c r="K720" s="16"/>
      <c r="L720" s="16" t="n">
        <v>500</v>
      </c>
      <c r="M720" s="16"/>
      <c r="N720" s="19"/>
    </row>
    <row r="721" customFormat="false" ht="15" hidden="false" customHeight="false" outlineLevel="0" collapsed="false">
      <c r="A721" s="13" t="s">
        <v>3237</v>
      </c>
      <c r="B721" s="13" t="s">
        <v>2096</v>
      </c>
      <c r="C721" s="13" t="s">
        <v>43</v>
      </c>
      <c r="D721" s="13" t="s">
        <v>2324</v>
      </c>
      <c r="E721" s="13" t="s">
        <v>3238</v>
      </c>
      <c r="F721" s="13" t="n">
        <v>1</v>
      </c>
      <c r="G721" s="13" t="n">
        <v>1</v>
      </c>
      <c r="H721" s="5" t="n">
        <v>3500</v>
      </c>
      <c r="I721" s="7" t="n">
        <v>60</v>
      </c>
      <c r="J721" s="16" t="n">
        <v>58.3333333333333</v>
      </c>
      <c r="K721" s="16" t="n">
        <v>58.3333333333333</v>
      </c>
      <c r="L721" s="16"/>
      <c r="M721" s="16"/>
      <c r="N721" s="19"/>
    </row>
    <row r="722" customFormat="false" ht="15" hidden="false" customHeight="false" outlineLevel="0" collapsed="false">
      <c r="A722" s="13" t="s">
        <v>3239</v>
      </c>
      <c r="B722" s="13" t="s">
        <v>135</v>
      </c>
      <c r="C722" s="13" t="s">
        <v>129</v>
      </c>
      <c r="D722" s="13" t="s">
        <v>2324</v>
      </c>
      <c r="E722" s="13" t="s">
        <v>650</v>
      </c>
      <c r="F722" s="13" t="n">
        <v>1</v>
      </c>
      <c r="G722" s="13" t="n">
        <v>1</v>
      </c>
      <c r="H722" s="5" t="n">
        <v>3500</v>
      </c>
      <c r="I722" s="7" t="n">
        <v>10</v>
      </c>
      <c r="J722" s="16" t="n">
        <v>350</v>
      </c>
      <c r="K722" s="16" t="n">
        <v>350</v>
      </c>
      <c r="L722" s="16"/>
      <c r="M722" s="16"/>
      <c r="N722" s="19"/>
    </row>
    <row r="723" customFormat="false" ht="15" hidden="false" customHeight="false" outlineLevel="0" collapsed="false">
      <c r="A723" s="13" t="s">
        <v>3240</v>
      </c>
      <c r="B723" s="13" t="s">
        <v>79</v>
      </c>
      <c r="C723" s="13" t="s">
        <v>43</v>
      </c>
      <c r="D723" s="13" t="s">
        <v>2429</v>
      </c>
      <c r="E723" s="13" t="s">
        <v>660</v>
      </c>
      <c r="F723" s="13" t="n">
        <v>1</v>
      </c>
      <c r="G723" s="13" t="n">
        <v>1</v>
      </c>
      <c r="H723" s="5" t="n">
        <v>3500</v>
      </c>
      <c r="I723" s="7" t="n">
        <v>5</v>
      </c>
      <c r="J723" s="16" t="n">
        <v>700</v>
      </c>
      <c r="K723" s="16"/>
      <c r="L723" s="16" t="n">
        <v>700</v>
      </c>
      <c r="M723" s="16"/>
      <c r="N723" s="19"/>
    </row>
    <row r="724" customFormat="false" ht="15" hidden="false" customHeight="false" outlineLevel="0" collapsed="false">
      <c r="A724" s="13" t="s">
        <v>3241</v>
      </c>
      <c r="B724" s="13" t="s">
        <v>50</v>
      </c>
      <c r="C724" s="13" t="s">
        <v>43</v>
      </c>
      <c r="D724" s="13" t="s">
        <v>2324</v>
      </c>
      <c r="E724" s="13" t="s">
        <v>289</v>
      </c>
      <c r="F724" s="13" t="n">
        <v>1</v>
      </c>
      <c r="G724" s="13" t="n">
        <v>1</v>
      </c>
      <c r="H724" s="5" t="n">
        <v>3500</v>
      </c>
      <c r="I724" s="7" t="n">
        <v>5</v>
      </c>
      <c r="J724" s="16" t="n">
        <v>700</v>
      </c>
      <c r="K724" s="16"/>
      <c r="L724" s="16" t="n">
        <v>700</v>
      </c>
      <c r="M724" s="16"/>
      <c r="N724" s="19"/>
    </row>
    <row r="725" customFormat="false" ht="15" hidden="false" customHeight="false" outlineLevel="0" collapsed="false">
      <c r="A725" s="13" t="s">
        <v>3242</v>
      </c>
      <c r="B725" s="13" t="s">
        <v>2196</v>
      </c>
      <c r="C725" s="13" t="s">
        <v>183</v>
      </c>
      <c r="D725" s="13" t="s">
        <v>2324</v>
      </c>
      <c r="E725" s="13" t="s">
        <v>3243</v>
      </c>
      <c r="F725" s="13" t="n">
        <v>1</v>
      </c>
      <c r="G725" s="13" t="n">
        <v>1</v>
      </c>
      <c r="H725" s="5" t="n">
        <v>3500</v>
      </c>
      <c r="I725" s="7" t="n">
        <v>30</v>
      </c>
      <c r="J725" s="16" t="n">
        <v>116.666666666667</v>
      </c>
      <c r="K725" s="16" t="n">
        <v>116.666666666667</v>
      </c>
      <c r="L725" s="16"/>
      <c r="M725" s="16"/>
      <c r="N725" s="19"/>
    </row>
    <row r="726" customFormat="false" ht="15" hidden="false" customHeight="false" outlineLevel="0" collapsed="false">
      <c r="A726" s="13" t="s">
        <v>3244</v>
      </c>
      <c r="B726" s="13" t="s">
        <v>2146</v>
      </c>
      <c r="C726" s="13" t="s">
        <v>85</v>
      </c>
      <c r="D726" s="13" t="s">
        <v>2324</v>
      </c>
      <c r="E726" s="13" t="s">
        <v>3245</v>
      </c>
      <c r="F726" s="13" t="n">
        <v>1</v>
      </c>
      <c r="G726" s="13" t="n">
        <v>1</v>
      </c>
      <c r="H726" s="5" t="n">
        <v>3500</v>
      </c>
      <c r="I726" s="7" t="n">
        <v>90</v>
      </c>
      <c r="J726" s="16" t="n">
        <v>38.8888888888889</v>
      </c>
      <c r="K726" s="16" t="n">
        <v>38.8888888888889</v>
      </c>
      <c r="L726" s="16"/>
      <c r="M726" s="16"/>
      <c r="N726" s="19"/>
    </row>
    <row r="727" customFormat="false" ht="15" hidden="false" customHeight="false" outlineLevel="0" collapsed="false">
      <c r="A727" s="13" t="s">
        <v>3246</v>
      </c>
      <c r="B727" s="13" t="s">
        <v>195</v>
      </c>
      <c r="C727" s="13" t="s">
        <v>43</v>
      </c>
      <c r="D727" s="13" t="s">
        <v>2324</v>
      </c>
      <c r="E727" s="13" t="s">
        <v>741</v>
      </c>
      <c r="F727" s="13" t="n">
        <v>1</v>
      </c>
      <c r="G727" s="13" t="n">
        <v>2</v>
      </c>
      <c r="H727" s="5" t="n">
        <v>3490</v>
      </c>
      <c r="I727" s="7" t="n">
        <v>3</v>
      </c>
      <c r="J727" s="16" t="n">
        <v>1163.33333333333</v>
      </c>
      <c r="K727" s="16"/>
      <c r="L727" s="16"/>
      <c r="M727" s="16" t="n">
        <v>1163.33333333333</v>
      </c>
      <c r="N727" s="19"/>
    </row>
    <row r="728" customFormat="false" ht="15" hidden="false" customHeight="false" outlineLevel="0" collapsed="false">
      <c r="A728" s="13" t="s">
        <v>3247</v>
      </c>
      <c r="B728" s="13" t="s">
        <v>92</v>
      </c>
      <c r="C728" s="13" t="s">
        <v>43</v>
      </c>
      <c r="D728" s="13" t="s">
        <v>2324</v>
      </c>
      <c r="E728" s="13" t="s">
        <v>720</v>
      </c>
      <c r="F728" s="13" t="n">
        <v>2</v>
      </c>
      <c r="G728" s="13" t="n">
        <v>2</v>
      </c>
      <c r="H728" s="5" t="n">
        <v>3490</v>
      </c>
      <c r="I728" s="7" t="n">
        <v>6</v>
      </c>
      <c r="J728" s="16" t="n">
        <v>581.666666666667</v>
      </c>
      <c r="K728" s="16"/>
      <c r="L728" s="16" t="n">
        <v>590</v>
      </c>
      <c r="M728" s="16" t="n">
        <v>580</v>
      </c>
      <c r="N728" s="19" t="n">
        <v>0.0172413793103448</v>
      </c>
    </row>
    <row r="729" customFormat="false" ht="15" hidden="false" customHeight="false" outlineLevel="0" collapsed="false">
      <c r="A729" s="13" t="s">
        <v>3248</v>
      </c>
      <c r="B729" s="13" t="s">
        <v>195</v>
      </c>
      <c r="C729" s="13" t="s">
        <v>43</v>
      </c>
      <c r="D729" s="13" t="s">
        <v>2500</v>
      </c>
      <c r="E729" s="13" t="s">
        <v>732</v>
      </c>
      <c r="F729" s="13" t="n">
        <v>1</v>
      </c>
      <c r="G729" s="13" t="n">
        <v>2</v>
      </c>
      <c r="H729" s="5" t="n">
        <v>3480</v>
      </c>
      <c r="I729" s="7" t="n">
        <v>6</v>
      </c>
      <c r="J729" s="16" t="n">
        <v>580</v>
      </c>
      <c r="K729" s="16"/>
      <c r="L729" s="16"/>
      <c r="M729" s="16" t="n">
        <v>580</v>
      </c>
      <c r="N729" s="19"/>
    </row>
    <row r="730" customFormat="false" ht="15" hidden="false" customHeight="false" outlineLevel="0" collapsed="false">
      <c r="A730" s="13" t="s">
        <v>3249</v>
      </c>
      <c r="B730" s="13" t="s">
        <v>50</v>
      </c>
      <c r="C730" s="13" t="s">
        <v>43</v>
      </c>
      <c r="D730" s="13" t="s">
        <v>2500</v>
      </c>
      <c r="E730" s="13" t="s">
        <v>793</v>
      </c>
      <c r="F730" s="13" t="n">
        <v>1</v>
      </c>
      <c r="G730" s="13" t="n">
        <v>3</v>
      </c>
      <c r="H730" s="5" t="n">
        <v>3480</v>
      </c>
      <c r="I730" s="7" t="n">
        <v>7</v>
      </c>
      <c r="J730" s="16" t="n">
        <v>497.142857142857</v>
      </c>
      <c r="K730" s="16"/>
      <c r="L730" s="16"/>
      <c r="M730" s="16" t="n">
        <v>497.142857142857</v>
      </c>
      <c r="N730" s="19"/>
    </row>
    <row r="731" customFormat="false" ht="15" hidden="false" customHeight="false" outlineLevel="0" collapsed="false">
      <c r="A731" s="13" t="s">
        <v>3250</v>
      </c>
      <c r="B731" s="13" t="s">
        <v>270</v>
      </c>
      <c r="C731" s="13" t="s">
        <v>43</v>
      </c>
      <c r="D731" s="13" t="s">
        <v>2339</v>
      </c>
      <c r="E731" s="13" t="s">
        <v>739</v>
      </c>
      <c r="F731" s="13" t="n">
        <v>2</v>
      </c>
      <c r="G731" s="13" t="n">
        <v>2</v>
      </c>
      <c r="H731" s="5" t="n">
        <v>3470</v>
      </c>
      <c r="I731" s="7" t="n">
        <v>12</v>
      </c>
      <c r="J731" s="16" t="n">
        <v>289.166666666667</v>
      </c>
      <c r="K731" s="16" t="n">
        <v>280</v>
      </c>
      <c r="L731" s="16" t="n">
        <v>335</v>
      </c>
      <c r="M731" s="16"/>
      <c r="N731" s="19" t="n">
        <v>0.196428571428571</v>
      </c>
    </row>
    <row r="732" customFormat="false" ht="15" hidden="false" customHeight="false" outlineLevel="0" collapsed="false">
      <c r="A732" s="13" t="s">
        <v>3251</v>
      </c>
      <c r="B732" s="13" t="s">
        <v>2197</v>
      </c>
      <c r="C732" s="13" t="s">
        <v>85</v>
      </c>
      <c r="D732" s="13" t="s">
        <v>2324</v>
      </c>
      <c r="E732" s="13" t="s">
        <v>3252</v>
      </c>
      <c r="F732" s="13" t="n">
        <v>1</v>
      </c>
      <c r="G732" s="13" t="n">
        <v>2</v>
      </c>
      <c r="H732" s="5" t="n">
        <v>3470</v>
      </c>
      <c r="I732" s="7" t="n">
        <v>90</v>
      </c>
      <c r="J732" s="16" t="n">
        <v>38.5555555555556</v>
      </c>
      <c r="K732" s="16" t="n">
        <v>38.5555555555556</v>
      </c>
      <c r="L732" s="16"/>
      <c r="M732" s="16"/>
      <c r="N732" s="19"/>
    </row>
    <row r="733" customFormat="false" ht="15" hidden="false" customHeight="false" outlineLevel="0" collapsed="false">
      <c r="A733" s="13" t="s">
        <v>3253</v>
      </c>
      <c r="B733" s="13" t="s">
        <v>69</v>
      </c>
      <c r="C733" s="13" t="s">
        <v>43</v>
      </c>
      <c r="D733" s="13" t="s">
        <v>2324</v>
      </c>
      <c r="E733" s="13" t="s">
        <v>397</v>
      </c>
      <c r="F733" s="13" t="n">
        <v>1</v>
      </c>
      <c r="G733" s="13" t="n">
        <v>3</v>
      </c>
      <c r="H733" s="5" t="n">
        <v>3440</v>
      </c>
      <c r="I733" s="7" t="n">
        <v>7</v>
      </c>
      <c r="J733" s="16" t="n">
        <v>491.428571428571</v>
      </c>
      <c r="K733" s="16"/>
      <c r="L733" s="16"/>
      <c r="M733" s="16" t="n">
        <v>491.428571428571</v>
      </c>
      <c r="N733" s="19"/>
    </row>
    <row r="734" customFormat="false" ht="15" hidden="false" customHeight="false" outlineLevel="0" collapsed="false">
      <c r="A734" s="13" t="s">
        <v>3254</v>
      </c>
      <c r="B734" s="13" t="s">
        <v>50</v>
      </c>
      <c r="C734" s="13" t="s">
        <v>43</v>
      </c>
      <c r="D734" s="13" t="s">
        <v>2324</v>
      </c>
      <c r="E734" s="13" t="s">
        <v>294</v>
      </c>
      <c r="F734" s="13" t="n">
        <v>1</v>
      </c>
      <c r="G734" s="13" t="n">
        <v>2</v>
      </c>
      <c r="H734" s="5" t="n">
        <v>3440</v>
      </c>
      <c r="I734" s="7" t="n">
        <v>6</v>
      </c>
      <c r="J734" s="16" t="n">
        <v>573.333333333333</v>
      </c>
      <c r="K734" s="16"/>
      <c r="L734" s="16"/>
      <c r="M734" s="16" t="n">
        <v>573.333333333333</v>
      </c>
      <c r="N734" s="19"/>
    </row>
    <row r="735" customFormat="false" ht="15" hidden="false" customHeight="false" outlineLevel="0" collapsed="false">
      <c r="A735" s="13" t="s">
        <v>3255</v>
      </c>
      <c r="B735" s="13" t="s">
        <v>45</v>
      </c>
      <c r="C735" s="13" t="s">
        <v>43</v>
      </c>
      <c r="D735" s="13" t="s">
        <v>2422</v>
      </c>
      <c r="E735" s="13" t="s">
        <v>279</v>
      </c>
      <c r="F735" s="13" t="n">
        <v>2</v>
      </c>
      <c r="G735" s="13" t="n">
        <v>4</v>
      </c>
      <c r="H735" s="5" t="n">
        <v>3420</v>
      </c>
      <c r="I735" s="7" t="n">
        <v>6</v>
      </c>
      <c r="J735" s="16" t="n">
        <v>570</v>
      </c>
      <c r="K735" s="16"/>
      <c r="L735" s="16" t="n">
        <v>473.333333333333</v>
      </c>
      <c r="M735" s="16" t="n">
        <v>666.666666666667</v>
      </c>
      <c r="N735" s="19" t="n">
        <v>0.408450704225352</v>
      </c>
    </row>
    <row r="736" customFormat="false" ht="15" hidden="false" customHeight="false" outlineLevel="0" collapsed="false">
      <c r="A736" s="13" t="s">
        <v>3256</v>
      </c>
      <c r="B736" s="13" t="s">
        <v>362</v>
      </c>
      <c r="C736" s="13" t="s">
        <v>43</v>
      </c>
      <c r="D736" s="13" t="s">
        <v>2500</v>
      </c>
      <c r="E736" s="13" t="s">
        <v>813</v>
      </c>
      <c r="F736" s="13" t="n">
        <v>2</v>
      </c>
      <c r="G736" s="13" t="n">
        <v>3</v>
      </c>
      <c r="H736" s="5" t="n">
        <v>3420</v>
      </c>
      <c r="I736" s="7" t="n">
        <v>7</v>
      </c>
      <c r="J736" s="16" t="n">
        <v>488.571428571429</v>
      </c>
      <c r="K736" s="16"/>
      <c r="L736" s="16" t="n">
        <v>510</v>
      </c>
      <c r="M736" s="16" t="n">
        <v>480</v>
      </c>
      <c r="N736" s="19" t="n">
        <v>0.0625</v>
      </c>
    </row>
    <row r="737" customFormat="false" ht="15" hidden="false" customHeight="false" outlineLevel="0" collapsed="false">
      <c r="A737" s="13" t="s">
        <v>3257</v>
      </c>
      <c r="B737" s="13" t="s">
        <v>45</v>
      </c>
      <c r="C737" s="13" t="s">
        <v>43</v>
      </c>
      <c r="D737" s="13" t="s">
        <v>2500</v>
      </c>
      <c r="E737" s="13" t="s">
        <v>752</v>
      </c>
      <c r="F737" s="13" t="n">
        <v>1</v>
      </c>
      <c r="G737" s="13" t="n">
        <v>2</v>
      </c>
      <c r="H737" s="5" t="n">
        <v>3420</v>
      </c>
      <c r="I737" s="7" t="n">
        <v>6</v>
      </c>
      <c r="J737" s="16" t="n">
        <v>570</v>
      </c>
      <c r="K737" s="16"/>
      <c r="L737" s="16" t="n">
        <v>570</v>
      </c>
      <c r="M737" s="16"/>
      <c r="N737" s="19"/>
    </row>
    <row r="738" customFormat="false" ht="15" hidden="false" customHeight="false" outlineLevel="0" collapsed="false">
      <c r="A738" s="13" t="s">
        <v>3258</v>
      </c>
      <c r="B738" s="13" t="s">
        <v>177</v>
      </c>
      <c r="C738" s="13" t="s">
        <v>43</v>
      </c>
      <c r="D738" s="13" t="s">
        <v>2324</v>
      </c>
      <c r="E738" s="13" t="s">
        <v>670</v>
      </c>
      <c r="F738" s="13" t="n">
        <v>1</v>
      </c>
      <c r="G738" s="13" t="n">
        <v>1</v>
      </c>
      <c r="H738" s="5" t="n">
        <v>3400</v>
      </c>
      <c r="I738" s="7" t="n">
        <v>2</v>
      </c>
      <c r="J738" s="16" t="n">
        <v>1700</v>
      </c>
      <c r="K738" s="16"/>
      <c r="L738" s="16"/>
      <c r="M738" s="16" t="n">
        <v>1700</v>
      </c>
      <c r="N738" s="19"/>
    </row>
    <row r="739" customFormat="false" ht="15" hidden="false" customHeight="false" outlineLevel="0" collapsed="false">
      <c r="A739" s="13" t="s">
        <v>3259</v>
      </c>
      <c r="B739" s="13" t="s">
        <v>2096</v>
      </c>
      <c r="C739" s="13" t="s">
        <v>43</v>
      </c>
      <c r="D739" s="13" t="s">
        <v>2339</v>
      </c>
      <c r="E739" s="13" t="s">
        <v>3260</v>
      </c>
      <c r="F739" s="13" t="n">
        <v>1</v>
      </c>
      <c r="G739" s="13" t="n">
        <v>1</v>
      </c>
      <c r="H739" s="5" t="n">
        <v>3400</v>
      </c>
      <c r="I739" s="7" t="n">
        <v>60</v>
      </c>
      <c r="J739" s="16" t="n">
        <v>56.6666666666667</v>
      </c>
      <c r="K739" s="16" t="n">
        <v>56.6666666666667</v>
      </c>
      <c r="L739" s="16"/>
      <c r="M739" s="16"/>
      <c r="N739" s="19"/>
    </row>
    <row r="740" customFormat="false" ht="15" hidden="false" customHeight="false" outlineLevel="0" collapsed="false">
      <c r="A740" s="13" t="s">
        <v>3261</v>
      </c>
      <c r="B740" s="13" t="s">
        <v>45</v>
      </c>
      <c r="C740" s="13" t="s">
        <v>43</v>
      </c>
      <c r="D740" s="13" t="s">
        <v>2324</v>
      </c>
      <c r="E740" s="13" t="s">
        <v>301</v>
      </c>
      <c r="F740" s="13" t="n">
        <v>1</v>
      </c>
      <c r="G740" s="13" t="n">
        <v>1</v>
      </c>
      <c r="H740" s="5" t="n">
        <v>3400</v>
      </c>
      <c r="I740" s="7" t="n">
        <v>2</v>
      </c>
      <c r="J740" s="16" t="n">
        <v>1700</v>
      </c>
      <c r="K740" s="16"/>
      <c r="L740" s="16" t="n">
        <v>1700</v>
      </c>
      <c r="M740" s="16"/>
      <c r="N740" s="19"/>
    </row>
    <row r="741" customFormat="false" ht="15" hidden="false" customHeight="false" outlineLevel="0" collapsed="false">
      <c r="A741" s="13" t="s">
        <v>3262</v>
      </c>
      <c r="B741" s="13" t="s">
        <v>2152</v>
      </c>
      <c r="C741" s="13" t="s">
        <v>43</v>
      </c>
      <c r="D741" s="13" t="s">
        <v>2339</v>
      </c>
      <c r="E741" s="13" t="s">
        <v>3263</v>
      </c>
      <c r="F741" s="13" t="n">
        <v>1</v>
      </c>
      <c r="G741" s="13" t="n">
        <v>1</v>
      </c>
      <c r="H741" s="5" t="n">
        <v>3400</v>
      </c>
      <c r="I741" s="7" t="n">
        <v>20</v>
      </c>
      <c r="J741" s="16" t="n">
        <v>170</v>
      </c>
      <c r="K741" s="16" t="n">
        <v>170</v>
      </c>
      <c r="L741" s="16"/>
      <c r="M741" s="16"/>
      <c r="N741" s="19"/>
    </row>
    <row r="742" customFormat="false" ht="15" hidden="false" customHeight="false" outlineLevel="0" collapsed="false">
      <c r="A742" s="13" t="s">
        <v>3264</v>
      </c>
      <c r="B742" s="13" t="s">
        <v>2121</v>
      </c>
      <c r="C742" s="13" t="s">
        <v>144</v>
      </c>
      <c r="D742" s="13" t="s">
        <v>2324</v>
      </c>
      <c r="E742" s="13" t="s">
        <v>3265</v>
      </c>
      <c r="F742" s="13" t="n">
        <v>1</v>
      </c>
      <c r="G742" s="13" t="n">
        <v>1</v>
      </c>
      <c r="H742" s="5" t="n">
        <v>3400</v>
      </c>
      <c r="I742" s="7" t="n">
        <v>40</v>
      </c>
      <c r="J742" s="16" t="n">
        <v>85</v>
      </c>
      <c r="K742" s="16" t="n">
        <v>85</v>
      </c>
      <c r="L742" s="16"/>
      <c r="M742" s="16"/>
      <c r="N742" s="19"/>
    </row>
    <row r="743" customFormat="false" ht="15" hidden="false" customHeight="false" outlineLevel="0" collapsed="false">
      <c r="A743" s="13" t="s">
        <v>3266</v>
      </c>
      <c r="B743" s="13" t="s">
        <v>114</v>
      </c>
      <c r="C743" s="13" t="s">
        <v>85</v>
      </c>
      <c r="D743" s="13" t="s">
        <v>2728</v>
      </c>
      <c r="E743" s="13" t="s">
        <v>667</v>
      </c>
      <c r="F743" s="13" t="n">
        <v>1</v>
      </c>
      <c r="G743" s="13" t="n">
        <v>1</v>
      </c>
      <c r="H743" s="5" t="n">
        <v>3400</v>
      </c>
      <c r="I743" s="7" t="n">
        <v>20</v>
      </c>
      <c r="J743" s="16" t="n">
        <v>170</v>
      </c>
      <c r="K743" s="16" t="n">
        <v>170</v>
      </c>
      <c r="L743" s="16"/>
      <c r="M743" s="16"/>
      <c r="N743" s="19"/>
    </row>
    <row r="744" customFormat="false" ht="15" hidden="false" customHeight="false" outlineLevel="0" collapsed="false">
      <c r="A744" s="13" t="s">
        <v>3267</v>
      </c>
      <c r="B744" s="13" t="s">
        <v>45</v>
      </c>
      <c r="C744" s="13" t="s">
        <v>43</v>
      </c>
      <c r="D744" s="13" t="s">
        <v>2324</v>
      </c>
      <c r="E744" s="13" t="s">
        <v>812</v>
      </c>
      <c r="F744" s="13" t="n">
        <v>2</v>
      </c>
      <c r="G744" s="13" t="n">
        <v>2</v>
      </c>
      <c r="H744" s="5" t="n">
        <v>3400</v>
      </c>
      <c r="I744" s="7" t="n">
        <v>3</v>
      </c>
      <c r="J744" s="16" t="n">
        <v>1133.33333333333</v>
      </c>
      <c r="K744" s="16"/>
      <c r="L744" s="16" t="n">
        <v>1000</v>
      </c>
      <c r="M744" s="16" t="n">
        <v>1200</v>
      </c>
      <c r="N744" s="19" t="n">
        <v>0.2</v>
      </c>
    </row>
    <row r="745" customFormat="false" ht="15" hidden="false" customHeight="false" outlineLevel="0" collapsed="false">
      <c r="A745" s="13" t="s">
        <v>3268</v>
      </c>
      <c r="B745" s="13" t="s">
        <v>54</v>
      </c>
      <c r="C745" s="13" t="s">
        <v>43</v>
      </c>
      <c r="D745" s="13" t="s">
        <v>2324</v>
      </c>
      <c r="E745" s="13" t="s">
        <v>664</v>
      </c>
      <c r="F745" s="13" t="n">
        <v>1</v>
      </c>
      <c r="G745" s="13" t="n">
        <v>1</v>
      </c>
      <c r="H745" s="5" t="n">
        <v>3400</v>
      </c>
      <c r="I745" s="7" t="n">
        <v>5</v>
      </c>
      <c r="J745" s="16" t="n">
        <v>680</v>
      </c>
      <c r="K745" s="16"/>
      <c r="L745" s="16"/>
      <c r="M745" s="16" t="n">
        <v>680</v>
      </c>
      <c r="N745" s="19"/>
    </row>
    <row r="746" customFormat="false" ht="15" hidden="false" customHeight="false" outlineLevel="0" collapsed="false">
      <c r="A746" s="13" t="s">
        <v>3269</v>
      </c>
      <c r="B746" s="13" t="s">
        <v>107</v>
      </c>
      <c r="C746" s="13" t="s">
        <v>43</v>
      </c>
      <c r="D746" s="13" t="s">
        <v>2512</v>
      </c>
      <c r="E746" s="13" t="s">
        <v>791</v>
      </c>
      <c r="F746" s="13" t="n">
        <v>1</v>
      </c>
      <c r="G746" s="13" t="n">
        <v>3</v>
      </c>
      <c r="H746" s="5" t="n">
        <v>3400</v>
      </c>
      <c r="I746" s="7" t="n">
        <v>13</v>
      </c>
      <c r="J746" s="16" t="n">
        <v>261.538461538462</v>
      </c>
      <c r="K746" s="16"/>
      <c r="L746" s="16"/>
      <c r="M746" s="16" t="n">
        <v>261.538461538462</v>
      </c>
      <c r="N746" s="19"/>
    </row>
    <row r="747" customFormat="false" ht="15" hidden="false" customHeight="false" outlineLevel="0" collapsed="false">
      <c r="A747" s="13" t="s">
        <v>3270</v>
      </c>
      <c r="B747" s="13" t="s">
        <v>2131</v>
      </c>
      <c r="C747" s="13" t="s">
        <v>43</v>
      </c>
      <c r="D747" s="13" t="s">
        <v>2324</v>
      </c>
      <c r="E747" s="13" t="s">
        <v>3271</v>
      </c>
      <c r="F747" s="13" t="n">
        <v>1</v>
      </c>
      <c r="G747" s="13" t="n">
        <v>1</v>
      </c>
      <c r="H747" s="5" t="n">
        <v>3400</v>
      </c>
      <c r="I747" s="7" t="n">
        <v>5</v>
      </c>
      <c r="J747" s="16" t="n">
        <v>680</v>
      </c>
      <c r="K747" s="16"/>
      <c r="L747" s="16" t="n">
        <v>680</v>
      </c>
      <c r="M747" s="16"/>
      <c r="N747" s="19"/>
    </row>
    <row r="748" customFormat="false" ht="15" hidden="false" customHeight="false" outlineLevel="0" collapsed="false">
      <c r="A748" s="13" t="s">
        <v>3272</v>
      </c>
      <c r="B748" s="13" t="s">
        <v>2124</v>
      </c>
      <c r="C748" s="13" t="s">
        <v>43</v>
      </c>
      <c r="D748" s="13" t="s">
        <v>2339</v>
      </c>
      <c r="E748" s="13" t="s">
        <v>3273</v>
      </c>
      <c r="F748" s="13" t="n">
        <v>1</v>
      </c>
      <c r="G748" s="13" t="n">
        <v>1</v>
      </c>
      <c r="H748" s="5" t="n">
        <v>3400</v>
      </c>
      <c r="I748" s="7" t="n">
        <v>50</v>
      </c>
      <c r="J748" s="16" t="n">
        <v>68</v>
      </c>
      <c r="K748" s="16" t="n">
        <v>68</v>
      </c>
      <c r="L748" s="16"/>
      <c r="M748" s="16"/>
      <c r="N748" s="19"/>
    </row>
    <row r="749" customFormat="false" ht="15" hidden="false" customHeight="false" outlineLevel="0" collapsed="false">
      <c r="A749" s="13" t="s">
        <v>3274</v>
      </c>
      <c r="B749" s="13" t="s">
        <v>2141</v>
      </c>
      <c r="C749" s="13" t="s">
        <v>43</v>
      </c>
      <c r="D749" s="13" t="s">
        <v>2324</v>
      </c>
      <c r="E749" s="13" t="s">
        <v>3275</v>
      </c>
      <c r="F749" s="13" t="n">
        <v>1</v>
      </c>
      <c r="G749" s="13" t="n">
        <v>1</v>
      </c>
      <c r="H749" s="5" t="n">
        <v>3400</v>
      </c>
      <c r="I749" s="7" t="n">
        <v>50</v>
      </c>
      <c r="J749" s="16" t="n">
        <v>68</v>
      </c>
      <c r="K749" s="16" t="n">
        <v>68</v>
      </c>
      <c r="L749" s="16"/>
      <c r="M749" s="16"/>
      <c r="N749" s="19"/>
    </row>
    <row r="750" customFormat="false" ht="15" hidden="false" customHeight="false" outlineLevel="0" collapsed="false">
      <c r="A750" s="13" t="s">
        <v>3276</v>
      </c>
      <c r="B750" s="13" t="s">
        <v>2118</v>
      </c>
      <c r="C750" s="13" t="s">
        <v>43</v>
      </c>
      <c r="D750" s="13" t="s">
        <v>2324</v>
      </c>
      <c r="E750" s="13" t="s">
        <v>842</v>
      </c>
      <c r="F750" s="13" t="n">
        <v>1</v>
      </c>
      <c r="G750" s="13" t="n">
        <v>2</v>
      </c>
      <c r="H750" s="5" t="n">
        <v>3400</v>
      </c>
      <c r="I750" s="7" t="n">
        <v>3</v>
      </c>
      <c r="J750" s="16" t="n">
        <v>1133.33333333333</v>
      </c>
      <c r="K750" s="16"/>
      <c r="L750" s="16"/>
      <c r="M750" s="16" t="n">
        <v>1133.33333333333</v>
      </c>
      <c r="N750" s="19"/>
    </row>
    <row r="751" customFormat="false" ht="15" hidden="false" customHeight="false" outlineLevel="0" collapsed="false">
      <c r="A751" s="13" t="s">
        <v>3277</v>
      </c>
      <c r="B751" s="13" t="s">
        <v>2095</v>
      </c>
      <c r="C751" s="13" t="s">
        <v>85</v>
      </c>
      <c r="D751" s="13" t="s">
        <v>2324</v>
      </c>
      <c r="E751" s="13" t="s">
        <v>3278</v>
      </c>
      <c r="F751" s="13" t="n">
        <v>1</v>
      </c>
      <c r="G751" s="13" t="n">
        <v>2</v>
      </c>
      <c r="H751" s="5" t="n">
        <v>3340</v>
      </c>
      <c r="I751" s="7" t="n">
        <v>52</v>
      </c>
      <c r="J751" s="16" t="n">
        <v>64.2307692307692</v>
      </c>
      <c r="K751" s="16" t="n">
        <v>64.2307692307692</v>
      </c>
      <c r="L751" s="16"/>
      <c r="M751" s="16"/>
      <c r="N751" s="19"/>
    </row>
    <row r="752" customFormat="false" ht="15" hidden="false" customHeight="false" outlineLevel="0" collapsed="false">
      <c r="A752" s="13" t="s">
        <v>3279</v>
      </c>
      <c r="B752" s="13" t="s">
        <v>54</v>
      </c>
      <c r="C752" s="13" t="s">
        <v>43</v>
      </c>
      <c r="D752" s="13" t="s">
        <v>2324</v>
      </c>
      <c r="E752" s="13" t="s">
        <v>730</v>
      </c>
      <c r="F752" s="13" t="n">
        <v>1</v>
      </c>
      <c r="G752" s="13" t="n">
        <v>2</v>
      </c>
      <c r="H752" s="5" t="n">
        <v>3320</v>
      </c>
      <c r="I752" s="7" t="n">
        <v>6</v>
      </c>
      <c r="J752" s="16" t="n">
        <v>553.333333333333</v>
      </c>
      <c r="K752" s="16"/>
      <c r="L752" s="16"/>
      <c r="M752" s="16" t="n">
        <v>553.333333333333</v>
      </c>
      <c r="N752" s="19"/>
    </row>
    <row r="753" customFormat="false" ht="15" hidden="false" customHeight="false" outlineLevel="0" collapsed="false">
      <c r="A753" s="13" t="s">
        <v>3280</v>
      </c>
      <c r="B753" s="13" t="s">
        <v>315</v>
      </c>
      <c r="C753" s="13" t="s">
        <v>43</v>
      </c>
      <c r="D753" s="13" t="s">
        <v>2322</v>
      </c>
      <c r="E753" s="13" t="s">
        <v>1370</v>
      </c>
      <c r="F753" s="13" t="n">
        <v>1</v>
      </c>
      <c r="G753" s="13" t="n">
        <v>2</v>
      </c>
      <c r="H753" s="5" t="n">
        <v>3310</v>
      </c>
      <c r="I753" s="7" t="n">
        <v>3</v>
      </c>
      <c r="J753" s="16" t="n">
        <v>1103.33333333333</v>
      </c>
      <c r="K753" s="16"/>
      <c r="L753" s="16"/>
      <c r="M753" s="16" t="n">
        <v>1103.33333333333</v>
      </c>
      <c r="N753" s="19"/>
    </row>
    <row r="754" customFormat="false" ht="15" hidden="false" customHeight="false" outlineLevel="0" collapsed="false">
      <c r="A754" s="13" t="s">
        <v>3281</v>
      </c>
      <c r="B754" s="13" t="s">
        <v>92</v>
      </c>
      <c r="C754" s="13" t="s">
        <v>43</v>
      </c>
      <c r="D754" s="13" t="s">
        <v>2429</v>
      </c>
      <c r="E754" s="13" t="s">
        <v>671</v>
      </c>
      <c r="F754" s="13" t="n">
        <v>1</v>
      </c>
      <c r="G754" s="13" t="n">
        <v>1</v>
      </c>
      <c r="H754" s="5" t="n">
        <v>3300</v>
      </c>
      <c r="I754" s="7" t="n">
        <v>5</v>
      </c>
      <c r="J754" s="16" t="n">
        <v>660</v>
      </c>
      <c r="K754" s="16" t="n">
        <v>660</v>
      </c>
      <c r="L754" s="16"/>
      <c r="M754" s="16"/>
      <c r="N754" s="19"/>
    </row>
    <row r="755" customFormat="false" ht="15" hidden="false" customHeight="false" outlineLevel="0" collapsed="false">
      <c r="A755" s="13" t="s">
        <v>3282</v>
      </c>
      <c r="B755" s="13" t="s">
        <v>103</v>
      </c>
      <c r="C755" s="13" t="s">
        <v>43</v>
      </c>
      <c r="D755" s="13" t="s">
        <v>2339</v>
      </c>
      <c r="E755" s="13" t="s">
        <v>678</v>
      </c>
      <c r="F755" s="13" t="n">
        <v>1</v>
      </c>
      <c r="G755" s="13" t="n">
        <v>1</v>
      </c>
      <c r="H755" s="5" t="n">
        <v>3300</v>
      </c>
      <c r="I755" s="7" t="n">
        <v>20</v>
      </c>
      <c r="J755" s="16" t="n">
        <v>165</v>
      </c>
      <c r="K755" s="16"/>
      <c r="L755" s="16"/>
      <c r="M755" s="16" t="n">
        <v>165</v>
      </c>
      <c r="N755" s="19"/>
    </row>
    <row r="756" customFormat="false" ht="15" hidden="false" customHeight="false" outlineLevel="0" collapsed="false">
      <c r="A756" s="13" t="s">
        <v>3283</v>
      </c>
      <c r="B756" s="13" t="s">
        <v>490</v>
      </c>
      <c r="C756" s="13" t="s">
        <v>43</v>
      </c>
      <c r="D756" s="13" t="s">
        <v>2500</v>
      </c>
      <c r="E756" s="13" t="s">
        <v>706</v>
      </c>
      <c r="F756" s="13" t="n">
        <v>1</v>
      </c>
      <c r="G756" s="13" t="n">
        <v>2</v>
      </c>
      <c r="H756" s="5" t="n">
        <v>3280</v>
      </c>
      <c r="I756" s="7" t="n">
        <v>11</v>
      </c>
      <c r="J756" s="16" t="n">
        <v>298.181818181818</v>
      </c>
      <c r="K756" s="16"/>
      <c r="L756" s="16"/>
      <c r="M756" s="16" t="n">
        <v>298.181818181818</v>
      </c>
      <c r="N756" s="19"/>
    </row>
    <row r="757" customFormat="false" ht="15" hidden="false" customHeight="false" outlineLevel="0" collapsed="false">
      <c r="A757" s="13" t="s">
        <v>3284</v>
      </c>
      <c r="B757" s="13" t="s">
        <v>45</v>
      </c>
      <c r="C757" s="13" t="s">
        <v>43</v>
      </c>
      <c r="D757" s="13" t="s">
        <v>2500</v>
      </c>
      <c r="E757" s="13" t="s">
        <v>822</v>
      </c>
      <c r="F757" s="13" t="n">
        <v>1</v>
      </c>
      <c r="G757" s="13" t="n">
        <v>3</v>
      </c>
      <c r="H757" s="5" t="n">
        <v>3270</v>
      </c>
      <c r="I757" s="7" t="n">
        <v>5</v>
      </c>
      <c r="J757" s="16" t="n">
        <v>654</v>
      </c>
      <c r="K757" s="16"/>
      <c r="L757" s="16" t="n">
        <v>654</v>
      </c>
      <c r="M757" s="16"/>
      <c r="N757" s="19"/>
    </row>
    <row r="758" customFormat="false" ht="15" hidden="false" customHeight="false" outlineLevel="0" collapsed="false">
      <c r="A758" s="13" t="s">
        <v>3285</v>
      </c>
      <c r="B758" s="13" t="s">
        <v>2110</v>
      </c>
      <c r="C758" s="13" t="s">
        <v>43</v>
      </c>
      <c r="D758" s="13" t="s">
        <v>2322</v>
      </c>
      <c r="E758" s="13" t="s">
        <v>3286</v>
      </c>
      <c r="F758" s="13" t="n">
        <v>2</v>
      </c>
      <c r="G758" s="13" t="n">
        <v>4</v>
      </c>
      <c r="H758" s="5" t="n">
        <v>3260</v>
      </c>
      <c r="I758" s="7" t="n">
        <v>7</v>
      </c>
      <c r="J758" s="16" t="n">
        <v>465.714285714286</v>
      </c>
      <c r="K758" s="16"/>
      <c r="L758" s="16" t="n">
        <v>377.5</v>
      </c>
      <c r="M758" s="16" t="n">
        <v>583.333333333333</v>
      </c>
      <c r="N758" s="19" t="n">
        <v>0.545253863134658</v>
      </c>
    </row>
    <row r="759" customFormat="false" ht="15" hidden="false" customHeight="false" outlineLevel="0" collapsed="false">
      <c r="A759" s="13" t="s">
        <v>3287</v>
      </c>
      <c r="B759" s="13" t="s">
        <v>193</v>
      </c>
      <c r="C759" s="13" t="s">
        <v>43</v>
      </c>
      <c r="D759" s="13" t="s">
        <v>2324</v>
      </c>
      <c r="E759" s="13" t="s">
        <v>238</v>
      </c>
      <c r="F759" s="13" t="n">
        <v>1</v>
      </c>
      <c r="G759" s="13" t="n">
        <v>3</v>
      </c>
      <c r="H759" s="5" t="n">
        <v>3240</v>
      </c>
      <c r="I759" s="7" t="n">
        <v>5</v>
      </c>
      <c r="J759" s="16" t="n">
        <v>648</v>
      </c>
      <c r="K759" s="16"/>
      <c r="L759" s="16"/>
      <c r="M759" s="16" t="n">
        <v>648</v>
      </c>
      <c r="N759" s="19"/>
    </row>
    <row r="760" customFormat="false" ht="15" hidden="false" customHeight="false" outlineLevel="0" collapsed="false">
      <c r="A760" s="13" t="s">
        <v>3288</v>
      </c>
      <c r="B760" s="13" t="s">
        <v>153</v>
      </c>
      <c r="C760" s="13" t="s">
        <v>43</v>
      </c>
      <c r="D760" s="13" t="s">
        <v>2339</v>
      </c>
      <c r="E760" s="13" t="s">
        <v>779</v>
      </c>
      <c r="F760" s="13" t="n">
        <v>1</v>
      </c>
      <c r="G760" s="13" t="n">
        <v>2</v>
      </c>
      <c r="H760" s="5" t="n">
        <v>3210</v>
      </c>
      <c r="I760" s="7" t="n">
        <v>3</v>
      </c>
      <c r="J760" s="16" t="n">
        <v>1070</v>
      </c>
      <c r="K760" s="16"/>
      <c r="L760" s="16" t="n">
        <v>1070</v>
      </c>
      <c r="M760" s="16"/>
      <c r="N760" s="19"/>
    </row>
    <row r="761" customFormat="false" ht="15" hidden="false" customHeight="false" outlineLevel="0" collapsed="false">
      <c r="A761" s="13" t="s">
        <v>3289</v>
      </c>
      <c r="B761" s="13" t="s">
        <v>61</v>
      </c>
      <c r="C761" s="13" t="s">
        <v>43</v>
      </c>
      <c r="D761" s="13" t="s">
        <v>2422</v>
      </c>
      <c r="E761" s="13" t="s">
        <v>1170</v>
      </c>
      <c r="F761" s="13" t="n">
        <v>1</v>
      </c>
      <c r="G761" s="13" t="n">
        <v>4</v>
      </c>
      <c r="H761" s="5" t="n">
        <v>3200</v>
      </c>
      <c r="I761" s="7" t="n">
        <v>5</v>
      </c>
      <c r="J761" s="16" t="n">
        <v>640</v>
      </c>
      <c r="K761" s="16"/>
      <c r="L761" s="16"/>
      <c r="M761" s="16" t="n">
        <v>640</v>
      </c>
      <c r="N761" s="19"/>
    </row>
    <row r="762" customFormat="false" ht="15" hidden="false" customHeight="false" outlineLevel="0" collapsed="false">
      <c r="A762" s="13" t="s">
        <v>3290</v>
      </c>
      <c r="B762" s="13" t="s">
        <v>105</v>
      </c>
      <c r="C762" s="13" t="s">
        <v>43</v>
      </c>
      <c r="D762" s="13" t="s">
        <v>2324</v>
      </c>
      <c r="E762" s="13" t="s">
        <v>686</v>
      </c>
      <c r="F762" s="13" t="n">
        <v>1</v>
      </c>
      <c r="G762" s="13" t="n">
        <v>1</v>
      </c>
      <c r="H762" s="5" t="n">
        <v>3200</v>
      </c>
      <c r="I762" s="7" t="n">
        <v>5</v>
      </c>
      <c r="J762" s="16" t="n">
        <v>640</v>
      </c>
      <c r="K762" s="16" t="n">
        <v>640</v>
      </c>
      <c r="L762" s="16"/>
      <c r="M762" s="16"/>
      <c r="N762" s="19"/>
    </row>
    <row r="763" customFormat="false" ht="15" hidden="false" customHeight="false" outlineLevel="0" collapsed="false">
      <c r="A763" s="13" t="s">
        <v>3291</v>
      </c>
      <c r="B763" s="13" t="s">
        <v>50</v>
      </c>
      <c r="C763" s="13" t="s">
        <v>43</v>
      </c>
      <c r="D763" s="13" t="s">
        <v>2327</v>
      </c>
      <c r="E763" s="13" t="s">
        <v>808</v>
      </c>
      <c r="F763" s="13" t="n">
        <v>1</v>
      </c>
      <c r="G763" s="13" t="n">
        <v>2</v>
      </c>
      <c r="H763" s="5" t="n">
        <v>3200</v>
      </c>
      <c r="I763" s="7" t="n">
        <v>3</v>
      </c>
      <c r="J763" s="16" t="n">
        <v>1066.66666666667</v>
      </c>
      <c r="K763" s="16"/>
      <c r="L763" s="16" t="n">
        <v>1066.66666666667</v>
      </c>
      <c r="M763" s="16"/>
      <c r="N763" s="19"/>
    </row>
    <row r="764" customFormat="false" ht="15" hidden="false" customHeight="false" outlineLevel="0" collapsed="false">
      <c r="A764" s="13" t="s">
        <v>3292</v>
      </c>
      <c r="B764" s="13" t="s">
        <v>2117</v>
      </c>
      <c r="C764" s="13" t="s">
        <v>85</v>
      </c>
      <c r="D764" s="13" t="s">
        <v>2422</v>
      </c>
      <c r="E764" s="13" t="s">
        <v>3293</v>
      </c>
      <c r="F764" s="13" t="n">
        <v>1</v>
      </c>
      <c r="G764" s="13" t="n">
        <v>1</v>
      </c>
      <c r="H764" s="5" t="n">
        <v>3200</v>
      </c>
      <c r="I764" s="7" t="n">
        <v>100</v>
      </c>
      <c r="J764" s="16" t="n">
        <v>32</v>
      </c>
      <c r="K764" s="16" t="n">
        <v>32</v>
      </c>
      <c r="L764" s="16"/>
      <c r="M764" s="16"/>
      <c r="N764" s="19"/>
    </row>
    <row r="765" customFormat="false" ht="15" hidden="false" customHeight="false" outlineLevel="0" collapsed="false">
      <c r="A765" s="13" t="s">
        <v>3294</v>
      </c>
      <c r="B765" s="13" t="s">
        <v>362</v>
      </c>
      <c r="C765" s="13" t="s">
        <v>43</v>
      </c>
      <c r="D765" s="13" t="s">
        <v>2327</v>
      </c>
      <c r="E765" s="13" t="s">
        <v>689</v>
      </c>
      <c r="F765" s="13" t="n">
        <v>1</v>
      </c>
      <c r="G765" s="13" t="n">
        <v>1</v>
      </c>
      <c r="H765" s="5" t="n">
        <v>3200</v>
      </c>
      <c r="I765" s="7" t="n">
        <v>5</v>
      </c>
      <c r="J765" s="16" t="n">
        <v>640</v>
      </c>
      <c r="K765" s="16"/>
      <c r="L765" s="16"/>
      <c r="M765" s="16" t="n">
        <v>640</v>
      </c>
      <c r="N765" s="19"/>
    </row>
    <row r="766" customFormat="false" ht="15" hidden="false" customHeight="false" outlineLevel="0" collapsed="false">
      <c r="A766" s="13" t="s">
        <v>3295</v>
      </c>
      <c r="B766" s="13" t="s">
        <v>2146</v>
      </c>
      <c r="C766" s="13" t="s">
        <v>85</v>
      </c>
      <c r="D766" s="13" t="s">
        <v>2324</v>
      </c>
      <c r="E766" s="13" t="s">
        <v>3296</v>
      </c>
      <c r="F766" s="13" t="n">
        <v>1</v>
      </c>
      <c r="G766" s="13" t="n">
        <v>1</v>
      </c>
      <c r="H766" s="5" t="n">
        <v>3200</v>
      </c>
      <c r="I766" s="7" t="n">
        <v>100</v>
      </c>
      <c r="J766" s="16" t="n">
        <v>32</v>
      </c>
      <c r="K766" s="16" t="n">
        <v>32</v>
      </c>
      <c r="L766" s="16"/>
      <c r="M766" s="16"/>
      <c r="N766" s="19"/>
    </row>
    <row r="767" customFormat="false" ht="15" hidden="false" customHeight="false" outlineLevel="0" collapsed="false">
      <c r="A767" s="13" t="s">
        <v>3297</v>
      </c>
      <c r="B767" s="13" t="s">
        <v>124</v>
      </c>
      <c r="C767" s="13" t="s">
        <v>43</v>
      </c>
      <c r="D767" s="13" t="s">
        <v>2324</v>
      </c>
      <c r="E767" s="13" t="s">
        <v>684</v>
      </c>
      <c r="F767" s="13" t="n">
        <v>1</v>
      </c>
      <c r="G767" s="13" t="n">
        <v>1</v>
      </c>
      <c r="H767" s="5" t="n">
        <v>3200</v>
      </c>
      <c r="I767" s="7" t="n">
        <v>2</v>
      </c>
      <c r="J767" s="16" t="n">
        <v>1600</v>
      </c>
      <c r="K767" s="16"/>
      <c r="L767" s="16"/>
      <c r="M767" s="16" t="n">
        <v>1600</v>
      </c>
      <c r="N767" s="19"/>
    </row>
    <row r="768" customFormat="false" ht="15" hidden="false" customHeight="false" outlineLevel="0" collapsed="false">
      <c r="A768" s="13" t="s">
        <v>3298</v>
      </c>
      <c r="B768" s="13" t="s">
        <v>50</v>
      </c>
      <c r="C768" s="13" t="s">
        <v>43</v>
      </c>
      <c r="D768" s="13" t="s">
        <v>2500</v>
      </c>
      <c r="E768" s="13" t="s">
        <v>814</v>
      </c>
      <c r="F768" s="13" t="n">
        <v>1</v>
      </c>
      <c r="G768" s="13" t="n">
        <v>2</v>
      </c>
      <c r="H768" s="5" t="n">
        <v>3200</v>
      </c>
      <c r="I768" s="7" t="n">
        <v>3</v>
      </c>
      <c r="J768" s="16" t="n">
        <v>1066.66666666667</v>
      </c>
      <c r="K768" s="16"/>
      <c r="L768" s="16" t="n">
        <v>1066.66666666667</v>
      </c>
      <c r="M768" s="16"/>
      <c r="N768" s="19"/>
    </row>
    <row r="769" customFormat="false" ht="15" hidden="false" customHeight="false" outlineLevel="0" collapsed="false">
      <c r="A769" s="13" t="s">
        <v>3299</v>
      </c>
      <c r="B769" s="13" t="s">
        <v>97</v>
      </c>
      <c r="C769" s="13" t="s">
        <v>98</v>
      </c>
      <c r="D769" s="13" t="s">
        <v>2324</v>
      </c>
      <c r="E769" s="13" t="s">
        <v>687</v>
      </c>
      <c r="F769" s="13" t="n">
        <v>1</v>
      </c>
      <c r="G769" s="13" t="n">
        <v>1</v>
      </c>
      <c r="H769" s="5" t="n">
        <v>3200</v>
      </c>
      <c r="I769" s="7" t="n">
        <v>10</v>
      </c>
      <c r="J769" s="16" t="n">
        <v>320</v>
      </c>
      <c r="K769" s="16" t="n">
        <v>320</v>
      </c>
      <c r="L769" s="16"/>
      <c r="M769" s="16"/>
      <c r="N769" s="19"/>
    </row>
    <row r="770" customFormat="false" ht="15" hidden="false" customHeight="false" outlineLevel="0" collapsed="false">
      <c r="A770" s="13" t="s">
        <v>3300</v>
      </c>
      <c r="B770" s="13" t="s">
        <v>2129</v>
      </c>
      <c r="C770" s="13" t="s">
        <v>43</v>
      </c>
      <c r="D770" s="13" t="s">
        <v>2324</v>
      </c>
      <c r="E770" s="13" t="s">
        <v>3301</v>
      </c>
      <c r="F770" s="13" t="n">
        <v>1</v>
      </c>
      <c r="G770" s="13" t="n">
        <v>1</v>
      </c>
      <c r="H770" s="5" t="n">
        <v>3200</v>
      </c>
      <c r="I770" s="7" t="n">
        <v>40</v>
      </c>
      <c r="J770" s="16" t="n">
        <v>80</v>
      </c>
      <c r="K770" s="16" t="n">
        <v>80</v>
      </c>
      <c r="L770" s="16"/>
      <c r="M770" s="16"/>
      <c r="N770" s="19"/>
    </row>
    <row r="771" customFormat="false" ht="15" hidden="false" customHeight="false" outlineLevel="0" collapsed="false">
      <c r="A771" s="13" t="s">
        <v>3302</v>
      </c>
      <c r="B771" s="13" t="s">
        <v>179</v>
      </c>
      <c r="C771" s="13" t="s">
        <v>180</v>
      </c>
      <c r="D771" s="13" t="s">
        <v>2324</v>
      </c>
      <c r="E771" s="13" t="s">
        <v>682</v>
      </c>
      <c r="F771" s="13" t="n">
        <v>1</v>
      </c>
      <c r="G771" s="13" t="n">
        <v>1</v>
      </c>
      <c r="H771" s="5" t="n">
        <v>3200</v>
      </c>
      <c r="I771" s="7" t="n">
        <v>20</v>
      </c>
      <c r="J771" s="16" t="n">
        <v>160</v>
      </c>
      <c r="K771" s="16" t="n">
        <v>160</v>
      </c>
      <c r="L771" s="16"/>
      <c r="M771" s="16"/>
      <c r="N771" s="19"/>
    </row>
    <row r="772" customFormat="false" ht="15" hidden="false" customHeight="false" outlineLevel="0" collapsed="false">
      <c r="A772" s="13" t="s">
        <v>3303</v>
      </c>
      <c r="B772" s="13" t="s">
        <v>2120</v>
      </c>
      <c r="C772" s="13" t="s">
        <v>85</v>
      </c>
      <c r="D772" s="13" t="s">
        <v>2324</v>
      </c>
      <c r="E772" s="13" t="s">
        <v>3304</v>
      </c>
      <c r="F772" s="13" t="n">
        <v>1</v>
      </c>
      <c r="G772" s="13" t="n">
        <v>2</v>
      </c>
      <c r="H772" s="5" t="n">
        <v>3200</v>
      </c>
      <c r="I772" s="7" t="n">
        <v>4</v>
      </c>
      <c r="J772" s="16" t="n">
        <v>800</v>
      </c>
      <c r="K772" s="16"/>
      <c r="L772" s="16" t="n">
        <v>800</v>
      </c>
      <c r="M772" s="16"/>
      <c r="N772" s="19"/>
    </row>
    <row r="773" customFormat="false" ht="15" hidden="false" customHeight="false" outlineLevel="0" collapsed="false">
      <c r="A773" s="13" t="s">
        <v>3305</v>
      </c>
      <c r="B773" s="13" t="s">
        <v>2095</v>
      </c>
      <c r="C773" s="13" t="s">
        <v>85</v>
      </c>
      <c r="D773" s="13" t="s">
        <v>2324</v>
      </c>
      <c r="E773" s="13" t="s">
        <v>3306</v>
      </c>
      <c r="F773" s="13" t="n">
        <v>1</v>
      </c>
      <c r="G773" s="13" t="n">
        <v>1</v>
      </c>
      <c r="H773" s="5" t="n">
        <v>3200</v>
      </c>
      <c r="I773" s="7" t="n">
        <v>30</v>
      </c>
      <c r="J773" s="16" t="n">
        <v>106.666666666667</v>
      </c>
      <c r="K773" s="16" t="n">
        <v>106.666666666667</v>
      </c>
      <c r="L773" s="16"/>
      <c r="M773" s="16"/>
      <c r="N773" s="19"/>
    </row>
    <row r="774" customFormat="false" ht="15" hidden="false" customHeight="false" outlineLevel="0" collapsed="false">
      <c r="A774" s="13" t="s">
        <v>3307</v>
      </c>
      <c r="B774" s="13" t="s">
        <v>54</v>
      </c>
      <c r="C774" s="13" t="s">
        <v>43</v>
      </c>
      <c r="D774" s="13" t="s">
        <v>2324</v>
      </c>
      <c r="E774" s="13" t="s">
        <v>954</v>
      </c>
      <c r="F774" s="13" t="n">
        <v>1</v>
      </c>
      <c r="G774" s="13" t="n">
        <v>2</v>
      </c>
      <c r="H774" s="5" t="n">
        <v>3200</v>
      </c>
      <c r="I774" s="7" t="n">
        <v>4</v>
      </c>
      <c r="J774" s="16" t="n">
        <v>800</v>
      </c>
      <c r="K774" s="16"/>
      <c r="L774" s="16"/>
      <c r="M774" s="16" t="n">
        <v>800</v>
      </c>
      <c r="N774" s="19"/>
    </row>
    <row r="775" customFormat="false" ht="15" hidden="false" customHeight="false" outlineLevel="0" collapsed="false">
      <c r="A775" s="13" t="s">
        <v>3308</v>
      </c>
      <c r="B775" s="13" t="s">
        <v>193</v>
      </c>
      <c r="C775" s="13" t="s">
        <v>43</v>
      </c>
      <c r="D775" s="13" t="s">
        <v>2324</v>
      </c>
      <c r="E775" s="13" t="s">
        <v>681</v>
      </c>
      <c r="F775" s="13" t="n">
        <v>1</v>
      </c>
      <c r="G775" s="13" t="n">
        <v>1</v>
      </c>
      <c r="H775" s="5" t="n">
        <v>3200</v>
      </c>
      <c r="I775" s="7" t="n">
        <v>5</v>
      </c>
      <c r="J775" s="16" t="n">
        <v>640</v>
      </c>
      <c r="K775" s="16"/>
      <c r="L775" s="16"/>
      <c r="M775" s="16" t="n">
        <v>640</v>
      </c>
      <c r="N775" s="19"/>
    </row>
    <row r="776" customFormat="false" ht="15" hidden="false" customHeight="false" outlineLevel="0" collapsed="false">
      <c r="A776" s="13" t="s">
        <v>3309</v>
      </c>
      <c r="B776" s="13" t="s">
        <v>165</v>
      </c>
      <c r="C776" s="13" t="s">
        <v>43</v>
      </c>
      <c r="D776" s="13" t="s">
        <v>2324</v>
      </c>
      <c r="E776" s="13" t="s">
        <v>663</v>
      </c>
      <c r="F776" s="13" t="n">
        <v>1</v>
      </c>
      <c r="G776" s="13" t="n">
        <v>1</v>
      </c>
      <c r="H776" s="5" t="n">
        <v>3200</v>
      </c>
      <c r="I776" s="7" t="n">
        <v>5</v>
      </c>
      <c r="J776" s="16" t="n">
        <v>640</v>
      </c>
      <c r="K776" s="16" t="n">
        <v>640</v>
      </c>
      <c r="L776" s="16"/>
      <c r="M776" s="16"/>
      <c r="N776" s="19"/>
    </row>
    <row r="777" customFormat="false" ht="15" hidden="false" customHeight="false" outlineLevel="0" collapsed="false">
      <c r="A777" s="13" t="s">
        <v>3310</v>
      </c>
      <c r="B777" s="13" t="s">
        <v>72</v>
      </c>
      <c r="C777" s="13" t="s">
        <v>43</v>
      </c>
      <c r="D777" s="13" t="s">
        <v>2324</v>
      </c>
      <c r="E777" s="13" t="s">
        <v>685</v>
      </c>
      <c r="F777" s="13" t="n">
        <v>1</v>
      </c>
      <c r="G777" s="13" t="n">
        <v>1</v>
      </c>
      <c r="H777" s="5" t="n">
        <v>3200</v>
      </c>
      <c r="I777" s="7" t="n">
        <v>2</v>
      </c>
      <c r="J777" s="16" t="n">
        <v>1600</v>
      </c>
      <c r="K777" s="16"/>
      <c r="L777" s="16"/>
      <c r="M777" s="16" t="n">
        <v>1600</v>
      </c>
      <c r="N777" s="19"/>
    </row>
    <row r="778" customFormat="false" ht="15" hidden="false" customHeight="false" outlineLevel="0" collapsed="false">
      <c r="A778" s="13" t="s">
        <v>3311</v>
      </c>
      <c r="B778" s="13" t="s">
        <v>153</v>
      </c>
      <c r="C778" s="13" t="s">
        <v>43</v>
      </c>
      <c r="D778" s="13" t="s">
        <v>2327</v>
      </c>
      <c r="E778" s="13" t="s">
        <v>1026</v>
      </c>
      <c r="F778" s="13" t="n">
        <v>2</v>
      </c>
      <c r="G778" s="13" t="n">
        <v>3</v>
      </c>
      <c r="H778" s="5" t="n">
        <v>3190</v>
      </c>
      <c r="I778" s="7" t="n">
        <v>4</v>
      </c>
      <c r="J778" s="16" t="n">
        <v>797.5</v>
      </c>
      <c r="K778" s="16"/>
      <c r="L778" s="16" t="n">
        <v>803.333333333333</v>
      </c>
      <c r="M778" s="16" t="n">
        <v>780</v>
      </c>
      <c r="N778" s="19" t="n">
        <v>0.02991452991453</v>
      </c>
    </row>
    <row r="779" customFormat="false" ht="15" hidden="false" customHeight="false" outlineLevel="0" collapsed="false">
      <c r="A779" s="13" t="s">
        <v>3312</v>
      </c>
      <c r="B779" s="13" t="s">
        <v>270</v>
      </c>
      <c r="C779" s="13" t="s">
        <v>43</v>
      </c>
      <c r="D779" s="13" t="s">
        <v>2339</v>
      </c>
      <c r="E779" s="13" t="s">
        <v>938</v>
      </c>
      <c r="F779" s="13" t="n">
        <v>2</v>
      </c>
      <c r="G779" s="13" t="n">
        <v>3</v>
      </c>
      <c r="H779" s="5" t="n">
        <v>3170</v>
      </c>
      <c r="I779" s="7" t="n">
        <v>8</v>
      </c>
      <c r="J779" s="16" t="n">
        <v>396.25</v>
      </c>
      <c r="K779" s="16" t="n">
        <v>380</v>
      </c>
      <c r="L779" s="16" t="n">
        <v>423.333333333333</v>
      </c>
      <c r="M779" s="16"/>
      <c r="N779" s="19" t="n">
        <v>0.114035087719298</v>
      </c>
    </row>
    <row r="780" customFormat="false" ht="15" hidden="false" customHeight="false" outlineLevel="0" collapsed="false">
      <c r="A780" s="13" t="s">
        <v>3313</v>
      </c>
      <c r="B780" s="13" t="s">
        <v>61</v>
      </c>
      <c r="C780" s="13" t="s">
        <v>43</v>
      </c>
      <c r="D780" s="13" t="s">
        <v>2324</v>
      </c>
      <c r="E780" s="13" t="s">
        <v>764</v>
      </c>
      <c r="F780" s="13" t="n">
        <v>1</v>
      </c>
      <c r="G780" s="13" t="n">
        <v>2</v>
      </c>
      <c r="H780" s="5" t="n">
        <v>3160</v>
      </c>
      <c r="I780" s="7" t="n">
        <v>6</v>
      </c>
      <c r="J780" s="16" t="n">
        <v>526.666666666667</v>
      </c>
      <c r="K780" s="16"/>
      <c r="L780" s="16"/>
      <c r="M780" s="16" t="n">
        <v>526.666666666667</v>
      </c>
      <c r="N780" s="19"/>
    </row>
    <row r="781" customFormat="false" ht="15" hidden="false" customHeight="false" outlineLevel="0" collapsed="false">
      <c r="A781" s="13" t="s">
        <v>3314</v>
      </c>
      <c r="B781" s="13" t="s">
        <v>153</v>
      </c>
      <c r="C781" s="13" t="s">
        <v>43</v>
      </c>
      <c r="D781" s="13" t="s">
        <v>2339</v>
      </c>
      <c r="E781" s="13" t="s">
        <v>864</v>
      </c>
      <c r="F781" s="13" t="n">
        <v>2</v>
      </c>
      <c r="G781" s="13" t="n">
        <v>3</v>
      </c>
      <c r="H781" s="5" t="n">
        <v>3150</v>
      </c>
      <c r="I781" s="7" t="n">
        <v>4</v>
      </c>
      <c r="J781" s="16" t="n">
        <v>787.5</v>
      </c>
      <c r="K781" s="16"/>
      <c r="L781" s="16" t="n">
        <v>1100</v>
      </c>
      <c r="M781" s="16" t="n">
        <v>475</v>
      </c>
      <c r="N781" s="19" t="n">
        <v>1.31578947368421</v>
      </c>
    </row>
    <row r="782" customFormat="false" ht="15" hidden="false" customHeight="false" outlineLevel="0" collapsed="false">
      <c r="A782" s="13" t="s">
        <v>3315</v>
      </c>
      <c r="B782" s="13" t="s">
        <v>161</v>
      </c>
      <c r="C782" s="13" t="s">
        <v>43</v>
      </c>
      <c r="D782" s="13" t="s">
        <v>2339</v>
      </c>
      <c r="E782" s="13" t="s">
        <v>1662</v>
      </c>
      <c r="F782" s="13" t="n">
        <v>2</v>
      </c>
      <c r="G782" s="13" t="n">
        <v>2</v>
      </c>
      <c r="H782" s="5" t="n">
        <v>3110</v>
      </c>
      <c r="I782" s="7" t="n">
        <v>12</v>
      </c>
      <c r="J782" s="16" t="n">
        <v>259.166666666667</v>
      </c>
      <c r="K782" s="16" t="n">
        <v>260</v>
      </c>
      <c r="L782" s="16" t="n">
        <v>255</v>
      </c>
      <c r="M782" s="16"/>
      <c r="N782" s="19" t="n">
        <v>0.0196078431372549</v>
      </c>
    </row>
    <row r="783" customFormat="false" ht="15" hidden="false" customHeight="false" outlineLevel="0" collapsed="false">
      <c r="A783" s="13" t="s">
        <v>3316</v>
      </c>
      <c r="B783" s="13" t="s">
        <v>2198</v>
      </c>
      <c r="C783" s="13" t="s">
        <v>43</v>
      </c>
      <c r="D783" s="13" t="s">
        <v>2324</v>
      </c>
      <c r="E783" s="13" t="s">
        <v>3317</v>
      </c>
      <c r="F783" s="13" t="n">
        <v>1</v>
      </c>
      <c r="G783" s="13" t="n">
        <v>2</v>
      </c>
      <c r="H783" s="5" t="n">
        <v>3110</v>
      </c>
      <c r="I783" s="7" t="n">
        <v>7</v>
      </c>
      <c r="J783" s="16" t="n">
        <v>444.285714285714</v>
      </c>
      <c r="K783" s="16"/>
      <c r="L783" s="16" t="n">
        <v>444.285714285714</v>
      </c>
      <c r="M783" s="16"/>
      <c r="N783" s="19"/>
    </row>
    <row r="784" customFormat="false" ht="15" hidden="false" customHeight="false" outlineLevel="0" collapsed="false">
      <c r="A784" s="13" t="s">
        <v>3318</v>
      </c>
      <c r="B784" s="13" t="s">
        <v>2133</v>
      </c>
      <c r="C784" s="13" t="s">
        <v>43</v>
      </c>
      <c r="D784" s="13" t="s">
        <v>2324</v>
      </c>
      <c r="E784" s="13" t="s">
        <v>3319</v>
      </c>
      <c r="F784" s="13" t="n">
        <v>1</v>
      </c>
      <c r="G784" s="13" t="n">
        <v>1</v>
      </c>
      <c r="H784" s="5" t="n">
        <v>3100</v>
      </c>
      <c r="I784" s="7" t="n">
        <v>2</v>
      </c>
      <c r="J784" s="16" t="n">
        <v>1550</v>
      </c>
      <c r="K784" s="16"/>
      <c r="L784" s="16" t="n">
        <v>1550</v>
      </c>
      <c r="M784" s="16"/>
      <c r="N784" s="19"/>
    </row>
    <row r="785" customFormat="false" ht="15" hidden="false" customHeight="false" outlineLevel="0" collapsed="false">
      <c r="A785" s="13" t="s">
        <v>3320</v>
      </c>
      <c r="B785" s="13" t="s">
        <v>191</v>
      </c>
      <c r="C785" s="13" t="s">
        <v>183</v>
      </c>
      <c r="D785" s="13" t="s">
        <v>2324</v>
      </c>
      <c r="E785" s="13" t="s">
        <v>700</v>
      </c>
      <c r="F785" s="13" t="n">
        <v>1</v>
      </c>
      <c r="G785" s="13" t="n">
        <v>1</v>
      </c>
      <c r="H785" s="5" t="n">
        <v>3100</v>
      </c>
      <c r="I785" s="7" t="n">
        <v>30</v>
      </c>
      <c r="J785" s="16" t="n">
        <v>103.333333333333</v>
      </c>
      <c r="K785" s="16" t="n">
        <v>103.333333333333</v>
      </c>
      <c r="L785" s="16"/>
      <c r="M785" s="16"/>
      <c r="N785" s="19"/>
    </row>
    <row r="786" customFormat="false" ht="15" hidden="false" customHeight="false" outlineLevel="0" collapsed="false">
      <c r="A786" s="13" t="s">
        <v>3321</v>
      </c>
      <c r="B786" s="13" t="s">
        <v>50</v>
      </c>
      <c r="C786" s="13" t="s">
        <v>43</v>
      </c>
      <c r="D786" s="13" t="s">
        <v>2360</v>
      </c>
      <c r="E786" s="13" t="s">
        <v>699</v>
      </c>
      <c r="F786" s="13" t="n">
        <v>1</v>
      </c>
      <c r="G786" s="13" t="n">
        <v>1</v>
      </c>
      <c r="H786" s="5" t="n">
        <v>3100</v>
      </c>
      <c r="I786" s="7" t="n">
        <v>2</v>
      </c>
      <c r="J786" s="16" t="n">
        <v>1550</v>
      </c>
      <c r="K786" s="16"/>
      <c r="L786" s="16" t="n">
        <v>1550</v>
      </c>
      <c r="M786" s="16"/>
      <c r="N786" s="19"/>
    </row>
    <row r="787" customFormat="false" ht="15" hidden="false" customHeight="false" outlineLevel="0" collapsed="false">
      <c r="A787" s="13" t="s">
        <v>3322</v>
      </c>
      <c r="B787" s="13" t="s">
        <v>329</v>
      </c>
      <c r="C787" s="13" t="s">
        <v>43</v>
      </c>
      <c r="D787" s="13" t="s">
        <v>2324</v>
      </c>
      <c r="E787" s="13" t="s">
        <v>575</v>
      </c>
      <c r="F787" s="13" t="n">
        <v>2</v>
      </c>
      <c r="G787" s="13" t="n">
        <v>2</v>
      </c>
      <c r="H787" s="5" t="n">
        <v>3100</v>
      </c>
      <c r="I787" s="7" t="n">
        <v>6</v>
      </c>
      <c r="J787" s="16" t="n">
        <v>516.666666666667</v>
      </c>
      <c r="K787" s="16"/>
      <c r="L787" s="16" t="n">
        <v>520</v>
      </c>
      <c r="M787" s="16" t="n">
        <v>500</v>
      </c>
      <c r="N787" s="19" t="n">
        <v>0.04</v>
      </c>
    </row>
    <row r="788" customFormat="false" ht="15" hidden="false" customHeight="false" outlineLevel="0" collapsed="false">
      <c r="A788" s="13" t="s">
        <v>3323</v>
      </c>
      <c r="B788" s="13" t="s">
        <v>92</v>
      </c>
      <c r="C788" s="13" t="s">
        <v>43</v>
      </c>
      <c r="D788" s="13" t="s">
        <v>2500</v>
      </c>
      <c r="E788" s="13" t="s">
        <v>414</v>
      </c>
      <c r="F788" s="13" t="n">
        <v>1</v>
      </c>
      <c r="G788" s="13" t="n">
        <v>1</v>
      </c>
      <c r="H788" s="5" t="n">
        <v>3100</v>
      </c>
      <c r="I788" s="7" t="n">
        <v>5</v>
      </c>
      <c r="J788" s="16" t="n">
        <v>620</v>
      </c>
      <c r="K788" s="16"/>
      <c r="L788" s="16" t="n">
        <v>620</v>
      </c>
      <c r="M788" s="16"/>
      <c r="N788" s="19"/>
    </row>
    <row r="789" customFormat="false" ht="15" hidden="false" customHeight="false" outlineLevel="0" collapsed="false">
      <c r="A789" s="13" t="s">
        <v>3324</v>
      </c>
      <c r="B789" s="13" t="s">
        <v>54</v>
      </c>
      <c r="C789" s="13" t="s">
        <v>43</v>
      </c>
      <c r="D789" s="13" t="s">
        <v>2324</v>
      </c>
      <c r="E789" s="13" t="s">
        <v>567</v>
      </c>
      <c r="F789" s="13" t="n">
        <v>1</v>
      </c>
      <c r="G789" s="13" t="n">
        <v>1</v>
      </c>
      <c r="H789" s="5" t="n">
        <v>3100</v>
      </c>
      <c r="I789" s="7" t="n">
        <v>5</v>
      </c>
      <c r="J789" s="16" t="n">
        <v>620</v>
      </c>
      <c r="K789" s="16"/>
      <c r="L789" s="16"/>
      <c r="M789" s="16" t="n">
        <v>620</v>
      </c>
      <c r="N789" s="19"/>
    </row>
    <row r="790" customFormat="false" ht="15" hidden="false" customHeight="false" outlineLevel="0" collapsed="false">
      <c r="A790" s="13" t="s">
        <v>3325</v>
      </c>
      <c r="B790" s="13" t="s">
        <v>2095</v>
      </c>
      <c r="C790" s="13" t="s">
        <v>140</v>
      </c>
      <c r="D790" s="13" t="s">
        <v>2324</v>
      </c>
      <c r="E790" s="13" t="s">
        <v>3326</v>
      </c>
      <c r="F790" s="13" t="n">
        <v>1</v>
      </c>
      <c r="G790" s="13" t="n">
        <v>1</v>
      </c>
      <c r="H790" s="5" t="n">
        <v>3100</v>
      </c>
      <c r="I790" s="7" t="n">
        <v>30</v>
      </c>
      <c r="J790" s="16" t="n">
        <v>103.333333333333</v>
      </c>
      <c r="K790" s="16" t="n">
        <v>103.333333333333</v>
      </c>
      <c r="L790" s="16"/>
      <c r="M790" s="16"/>
      <c r="N790" s="19"/>
    </row>
    <row r="791" customFormat="false" ht="15" hidden="false" customHeight="false" outlineLevel="0" collapsed="false">
      <c r="A791" s="13" t="s">
        <v>3327</v>
      </c>
      <c r="B791" s="13" t="s">
        <v>186</v>
      </c>
      <c r="C791" s="13" t="s">
        <v>43</v>
      </c>
      <c r="D791" s="13" t="s">
        <v>2324</v>
      </c>
      <c r="E791" s="13" t="s">
        <v>698</v>
      </c>
      <c r="F791" s="13" t="n">
        <v>1</v>
      </c>
      <c r="G791" s="13" t="n">
        <v>1</v>
      </c>
      <c r="H791" s="5" t="n">
        <v>3100</v>
      </c>
      <c r="I791" s="7" t="n">
        <v>2</v>
      </c>
      <c r="J791" s="16" t="n">
        <v>1550</v>
      </c>
      <c r="K791" s="16"/>
      <c r="L791" s="16" t="n">
        <v>1550</v>
      </c>
      <c r="M791" s="16"/>
      <c r="N791" s="19"/>
    </row>
    <row r="792" customFormat="false" ht="15" hidden="false" customHeight="false" outlineLevel="0" collapsed="false">
      <c r="A792" s="13" t="s">
        <v>3328</v>
      </c>
      <c r="B792" s="13" t="s">
        <v>2190</v>
      </c>
      <c r="C792" s="13" t="s">
        <v>43</v>
      </c>
      <c r="D792" s="13" t="s">
        <v>2324</v>
      </c>
      <c r="E792" s="13" t="s">
        <v>3329</v>
      </c>
      <c r="F792" s="13" t="n">
        <v>1</v>
      </c>
      <c r="G792" s="13" t="n">
        <v>1</v>
      </c>
      <c r="H792" s="5" t="n">
        <v>3100</v>
      </c>
      <c r="I792" s="7" t="n">
        <v>40</v>
      </c>
      <c r="J792" s="16" t="n">
        <v>77.5</v>
      </c>
      <c r="K792" s="16" t="n">
        <v>77.5</v>
      </c>
      <c r="L792" s="16"/>
      <c r="M792" s="16"/>
      <c r="N792" s="19"/>
    </row>
    <row r="793" customFormat="false" ht="15" hidden="false" customHeight="false" outlineLevel="0" collapsed="false">
      <c r="A793" s="13" t="s">
        <v>3330</v>
      </c>
      <c r="B793" s="13" t="s">
        <v>2101</v>
      </c>
      <c r="C793" s="13" t="s">
        <v>85</v>
      </c>
      <c r="D793" s="13" t="s">
        <v>2324</v>
      </c>
      <c r="E793" s="13" t="s">
        <v>3331</v>
      </c>
      <c r="F793" s="13" t="n">
        <v>1</v>
      </c>
      <c r="G793" s="13" t="n">
        <v>1</v>
      </c>
      <c r="H793" s="5" t="n">
        <v>3100</v>
      </c>
      <c r="I793" s="7" t="n">
        <v>80</v>
      </c>
      <c r="J793" s="16" t="n">
        <v>38.75</v>
      </c>
      <c r="K793" s="16" t="n">
        <v>38.75</v>
      </c>
      <c r="L793" s="16"/>
      <c r="M793" s="16"/>
      <c r="N793" s="19"/>
    </row>
    <row r="794" customFormat="false" ht="15" hidden="false" customHeight="false" outlineLevel="0" collapsed="false">
      <c r="A794" s="13" t="s">
        <v>3332</v>
      </c>
      <c r="B794" s="13" t="s">
        <v>2205</v>
      </c>
      <c r="C794" s="13" t="s">
        <v>85</v>
      </c>
      <c r="D794" s="13" t="s">
        <v>2339</v>
      </c>
      <c r="E794" s="13" t="s">
        <v>3333</v>
      </c>
      <c r="F794" s="13" t="n">
        <v>1</v>
      </c>
      <c r="G794" s="13" t="n">
        <v>2</v>
      </c>
      <c r="H794" s="5" t="n">
        <v>3100</v>
      </c>
      <c r="I794" s="7" t="n">
        <v>10</v>
      </c>
      <c r="J794" s="16" t="n">
        <v>310</v>
      </c>
      <c r="K794" s="16"/>
      <c r="L794" s="16" t="n">
        <v>310</v>
      </c>
      <c r="M794" s="16"/>
      <c r="N794" s="19"/>
    </row>
    <row r="795" customFormat="false" ht="15" hidden="false" customHeight="false" outlineLevel="0" collapsed="false">
      <c r="A795" s="13" t="s">
        <v>3334</v>
      </c>
      <c r="B795" s="13" t="s">
        <v>50</v>
      </c>
      <c r="C795" s="13" t="s">
        <v>43</v>
      </c>
      <c r="D795" s="13" t="s">
        <v>2360</v>
      </c>
      <c r="E795" s="13" t="s">
        <v>852</v>
      </c>
      <c r="F795" s="13" t="n">
        <v>1</v>
      </c>
      <c r="G795" s="13" t="n">
        <v>2</v>
      </c>
      <c r="H795" s="5" t="n">
        <v>3080</v>
      </c>
      <c r="I795" s="7" t="n">
        <v>3</v>
      </c>
      <c r="J795" s="16" t="n">
        <v>1026.66666666667</v>
      </c>
      <c r="K795" s="16"/>
      <c r="L795" s="16" t="n">
        <v>1026.66666666667</v>
      </c>
      <c r="M795" s="16"/>
      <c r="N795" s="19"/>
    </row>
    <row r="796" customFormat="false" ht="15" hidden="false" customHeight="false" outlineLevel="0" collapsed="false">
      <c r="A796" s="13" t="s">
        <v>3335</v>
      </c>
      <c r="B796" s="13" t="s">
        <v>191</v>
      </c>
      <c r="C796" s="13" t="s">
        <v>183</v>
      </c>
      <c r="D796" s="13" t="s">
        <v>2324</v>
      </c>
      <c r="E796" s="13" t="s">
        <v>721</v>
      </c>
      <c r="F796" s="13" t="n">
        <v>1</v>
      </c>
      <c r="G796" s="13" t="n">
        <v>2</v>
      </c>
      <c r="H796" s="5" t="n">
        <v>3050</v>
      </c>
      <c r="I796" s="7" t="n">
        <v>21</v>
      </c>
      <c r="J796" s="16" t="n">
        <v>145.238095238095</v>
      </c>
      <c r="K796" s="16" t="n">
        <v>145.238095238095</v>
      </c>
      <c r="L796" s="16"/>
      <c r="M796" s="16"/>
      <c r="N796" s="19"/>
    </row>
    <row r="797" customFormat="false" ht="15" hidden="false" customHeight="false" outlineLevel="0" collapsed="false">
      <c r="A797" s="13" t="s">
        <v>3336</v>
      </c>
      <c r="B797" s="13" t="s">
        <v>45</v>
      </c>
      <c r="C797" s="13" t="s">
        <v>43</v>
      </c>
      <c r="D797" s="13" t="s">
        <v>2324</v>
      </c>
      <c r="E797" s="13" t="s">
        <v>508</v>
      </c>
      <c r="F797" s="13" t="n">
        <v>1</v>
      </c>
      <c r="G797" s="13" t="n">
        <v>2</v>
      </c>
      <c r="H797" s="5" t="n">
        <v>3030</v>
      </c>
      <c r="I797" s="7" t="n">
        <v>3</v>
      </c>
      <c r="J797" s="16" t="n">
        <v>1010</v>
      </c>
      <c r="K797" s="16"/>
      <c r="L797" s="16" t="n">
        <v>1010</v>
      </c>
      <c r="M797" s="16"/>
      <c r="N797" s="19"/>
    </row>
    <row r="798" customFormat="false" ht="15" hidden="false" customHeight="false" outlineLevel="0" collapsed="false">
      <c r="A798" s="13" t="s">
        <v>3337</v>
      </c>
      <c r="B798" s="13" t="s">
        <v>45</v>
      </c>
      <c r="C798" s="13" t="s">
        <v>43</v>
      </c>
      <c r="D798" s="13" t="s">
        <v>2324</v>
      </c>
      <c r="E798" s="13" t="s">
        <v>881</v>
      </c>
      <c r="F798" s="13" t="n">
        <v>1</v>
      </c>
      <c r="G798" s="13" t="n">
        <v>2</v>
      </c>
      <c r="H798" s="5" t="n">
        <v>3020</v>
      </c>
      <c r="I798" s="7" t="n">
        <v>3</v>
      </c>
      <c r="J798" s="16" t="n">
        <v>1006.66666666667</v>
      </c>
      <c r="K798" s="16"/>
      <c r="L798" s="16"/>
      <c r="M798" s="16" t="n">
        <v>1006.66666666667</v>
      </c>
      <c r="N798" s="19"/>
    </row>
    <row r="799" customFormat="false" ht="15" hidden="false" customHeight="false" outlineLevel="0" collapsed="false">
      <c r="A799" s="13" t="s">
        <v>3338</v>
      </c>
      <c r="B799" s="13" t="s">
        <v>121</v>
      </c>
      <c r="C799" s="13" t="s">
        <v>43</v>
      </c>
      <c r="D799" s="13" t="s">
        <v>2324</v>
      </c>
      <c r="E799" s="13" t="s">
        <v>731</v>
      </c>
      <c r="F799" s="13" t="n">
        <v>1</v>
      </c>
      <c r="G799" s="13" t="n">
        <v>2</v>
      </c>
      <c r="H799" s="5" t="n">
        <v>3020</v>
      </c>
      <c r="I799" s="7" t="n">
        <v>41</v>
      </c>
      <c r="J799" s="16" t="n">
        <v>73.6585365853659</v>
      </c>
      <c r="K799" s="16"/>
      <c r="L799" s="16"/>
      <c r="M799" s="16" t="n">
        <v>73.6585365853659</v>
      </c>
      <c r="N799" s="19"/>
    </row>
    <row r="800" customFormat="false" ht="15" hidden="false" customHeight="false" outlineLevel="0" collapsed="false">
      <c r="A800" s="13" t="s">
        <v>3339</v>
      </c>
      <c r="B800" s="13" t="s">
        <v>179</v>
      </c>
      <c r="C800" s="13" t="s">
        <v>85</v>
      </c>
      <c r="D800" s="13" t="s">
        <v>2324</v>
      </c>
      <c r="E800" s="13" t="s">
        <v>712</v>
      </c>
      <c r="F800" s="13" t="n">
        <v>1</v>
      </c>
      <c r="G800" s="13" t="n">
        <v>1</v>
      </c>
      <c r="H800" s="5" t="n">
        <v>3000</v>
      </c>
      <c r="I800" s="7" t="n">
        <v>20</v>
      </c>
      <c r="J800" s="16" t="n">
        <v>150</v>
      </c>
      <c r="K800" s="16" t="n">
        <v>150</v>
      </c>
      <c r="L800" s="16"/>
      <c r="M800" s="16"/>
      <c r="N800" s="19"/>
    </row>
    <row r="801" customFormat="false" ht="15" hidden="false" customHeight="false" outlineLevel="0" collapsed="false">
      <c r="A801" s="13" t="s">
        <v>3340</v>
      </c>
      <c r="B801" s="13" t="s">
        <v>2133</v>
      </c>
      <c r="C801" s="13" t="s">
        <v>43</v>
      </c>
      <c r="D801" s="13" t="s">
        <v>2324</v>
      </c>
      <c r="E801" s="13" t="s">
        <v>3341</v>
      </c>
      <c r="F801" s="13" t="n">
        <v>1</v>
      </c>
      <c r="G801" s="13" t="n">
        <v>1</v>
      </c>
      <c r="H801" s="5" t="n">
        <v>3000</v>
      </c>
      <c r="I801" s="7" t="n">
        <v>2</v>
      </c>
      <c r="J801" s="16" t="n">
        <v>1500</v>
      </c>
      <c r="K801" s="16"/>
      <c r="L801" s="16" t="n">
        <v>1500</v>
      </c>
      <c r="M801" s="16"/>
      <c r="N801" s="19"/>
    </row>
    <row r="802" customFormat="false" ht="15" hidden="false" customHeight="false" outlineLevel="0" collapsed="false">
      <c r="A802" s="13" t="s">
        <v>3342</v>
      </c>
      <c r="B802" s="13" t="s">
        <v>2106</v>
      </c>
      <c r="C802" s="13" t="s">
        <v>98</v>
      </c>
      <c r="D802" s="13" t="s">
        <v>2324</v>
      </c>
      <c r="E802" s="13" t="s">
        <v>3343</v>
      </c>
      <c r="F802" s="13" t="n">
        <v>1</v>
      </c>
      <c r="G802" s="13" t="n">
        <v>2</v>
      </c>
      <c r="H802" s="5" t="n">
        <v>3000</v>
      </c>
      <c r="I802" s="7" t="n">
        <v>3</v>
      </c>
      <c r="J802" s="16" t="n">
        <v>1000</v>
      </c>
      <c r="K802" s="16" t="n">
        <v>1000</v>
      </c>
      <c r="L802" s="16"/>
      <c r="M802" s="16"/>
      <c r="N802" s="19"/>
    </row>
    <row r="803" customFormat="false" ht="15" hidden="false" customHeight="false" outlineLevel="0" collapsed="false">
      <c r="A803" s="13" t="s">
        <v>3344</v>
      </c>
      <c r="B803" s="13" t="s">
        <v>54</v>
      </c>
      <c r="C803" s="13" t="s">
        <v>183</v>
      </c>
      <c r="D803" s="13" t="s">
        <v>2324</v>
      </c>
      <c r="E803" s="13" t="s">
        <v>716</v>
      </c>
      <c r="F803" s="13" t="n">
        <v>1</v>
      </c>
      <c r="G803" s="13" t="n">
        <v>1</v>
      </c>
      <c r="H803" s="5" t="n">
        <v>3000</v>
      </c>
      <c r="I803" s="7" t="n">
        <v>1</v>
      </c>
      <c r="J803" s="16" t="n">
        <v>3000</v>
      </c>
      <c r="K803" s="16"/>
      <c r="L803" s="16"/>
      <c r="M803" s="16" t="n">
        <v>3000</v>
      </c>
      <c r="N803" s="19"/>
    </row>
    <row r="804" customFormat="false" ht="15" hidden="false" customHeight="false" outlineLevel="0" collapsed="false">
      <c r="A804" s="13" t="s">
        <v>3345</v>
      </c>
      <c r="B804" s="13" t="s">
        <v>177</v>
      </c>
      <c r="C804" s="13" t="s">
        <v>43</v>
      </c>
      <c r="D804" s="13" t="s">
        <v>2337</v>
      </c>
      <c r="E804" s="13" t="s">
        <v>1047</v>
      </c>
      <c r="F804" s="13" t="n">
        <v>1</v>
      </c>
      <c r="G804" s="13" t="n">
        <v>2</v>
      </c>
      <c r="H804" s="5" t="n">
        <v>3000</v>
      </c>
      <c r="I804" s="7" t="n">
        <v>4</v>
      </c>
      <c r="J804" s="16" t="n">
        <v>750</v>
      </c>
      <c r="K804" s="16"/>
      <c r="L804" s="16"/>
      <c r="M804" s="16" t="n">
        <v>750</v>
      </c>
      <c r="N804" s="19"/>
    </row>
    <row r="805" customFormat="false" ht="15" hidden="false" customHeight="false" outlineLevel="0" collapsed="false">
      <c r="A805" s="13" t="s">
        <v>3346</v>
      </c>
      <c r="B805" s="13" t="s">
        <v>2125</v>
      </c>
      <c r="C805" s="13" t="s">
        <v>129</v>
      </c>
      <c r="D805" s="13" t="s">
        <v>2324</v>
      </c>
      <c r="E805" s="13" t="s">
        <v>3347</v>
      </c>
      <c r="F805" s="13" t="n">
        <v>1</v>
      </c>
      <c r="G805" s="13" t="n">
        <v>1</v>
      </c>
      <c r="H805" s="5" t="n">
        <v>3000</v>
      </c>
      <c r="I805" s="7" t="n">
        <v>40</v>
      </c>
      <c r="J805" s="16" t="n">
        <v>75</v>
      </c>
      <c r="K805" s="16" t="n">
        <v>75</v>
      </c>
      <c r="L805" s="16"/>
      <c r="M805" s="16"/>
      <c r="N805" s="19"/>
    </row>
    <row r="806" customFormat="false" ht="15" hidden="false" customHeight="false" outlineLevel="0" collapsed="false">
      <c r="A806" s="13" t="s">
        <v>3348</v>
      </c>
      <c r="B806" s="13" t="s">
        <v>362</v>
      </c>
      <c r="C806" s="13" t="s">
        <v>43</v>
      </c>
      <c r="D806" s="13" t="s">
        <v>2324</v>
      </c>
      <c r="E806" s="13" t="s">
        <v>710</v>
      </c>
      <c r="F806" s="13" t="n">
        <v>1</v>
      </c>
      <c r="G806" s="13" t="n">
        <v>1</v>
      </c>
      <c r="H806" s="5" t="n">
        <v>3000</v>
      </c>
      <c r="I806" s="7" t="n">
        <v>5</v>
      </c>
      <c r="J806" s="16" t="n">
        <v>600</v>
      </c>
      <c r="K806" s="16"/>
      <c r="L806" s="16" t="n">
        <v>600</v>
      </c>
      <c r="M806" s="16"/>
      <c r="N806" s="19"/>
    </row>
    <row r="807" customFormat="false" ht="15" hidden="false" customHeight="false" outlineLevel="0" collapsed="false">
      <c r="A807" s="13" t="s">
        <v>3349</v>
      </c>
      <c r="B807" s="13" t="s">
        <v>153</v>
      </c>
      <c r="C807" s="13" t="s">
        <v>43</v>
      </c>
      <c r="D807" s="13" t="s">
        <v>2422</v>
      </c>
      <c r="E807" s="13" t="s">
        <v>971</v>
      </c>
      <c r="F807" s="13" t="n">
        <v>2</v>
      </c>
      <c r="G807" s="13" t="n">
        <v>2</v>
      </c>
      <c r="H807" s="5" t="n">
        <v>3000</v>
      </c>
      <c r="I807" s="7" t="n">
        <v>7</v>
      </c>
      <c r="J807" s="16" t="n">
        <v>428.571428571429</v>
      </c>
      <c r="K807" s="16"/>
      <c r="L807" s="16" t="n">
        <v>340</v>
      </c>
      <c r="M807" s="16" t="n">
        <v>650</v>
      </c>
      <c r="N807" s="19" t="n">
        <v>0.911764705882353</v>
      </c>
    </row>
    <row r="808" customFormat="false" ht="15" hidden="false" customHeight="false" outlineLevel="0" collapsed="false">
      <c r="A808" s="13" t="s">
        <v>3350</v>
      </c>
      <c r="B808" s="13" t="s">
        <v>42</v>
      </c>
      <c r="C808" s="13" t="s">
        <v>43</v>
      </c>
      <c r="D808" s="13" t="s">
        <v>2324</v>
      </c>
      <c r="E808" s="13" t="s">
        <v>838</v>
      </c>
      <c r="F808" s="13" t="n">
        <v>2</v>
      </c>
      <c r="G808" s="13" t="n">
        <v>2</v>
      </c>
      <c r="H808" s="5" t="n">
        <v>3000</v>
      </c>
      <c r="I808" s="7" t="n">
        <v>3</v>
      </c>
      <c r="J808" s="16" t="n">
        <v>1000</v>
      </c>
      <c r="K808" s="16"/>
      <c r="L808" s="16" t="n">
        <v>1150</v>
      </c>
      <c r="M808" s="16" t="n">
        <v>700</v>
      </c>
      <c r="N808" s="19" t="n">
        <v>0.642857142857143</v>
      </c>
    </row>
    <row r="809" customFormat="false" ht="15" hidden="false" customHeight="false" outlineLevel="0" collapsed="false">
      <c r="A809" s="13" t="s">
        <v>3351</v>
      </c>
      <c r="B809" s="13" t="s">
        <v>2108</v>
      </c>
      <c r="C809" s="13" t="s">
        <v>85</v>
      </c>
      <c r="D809" s="13" t="s">
        <v>2324</v>
      </c>
      <c r="E809" s="13" t="s">
        <v>3352</v>
      </c>
      <c r="F809" s="13" t="n">
        <v>1</v>
      </c>
      <c r="G809" s="13" t="n">
        <v>1</v>
      </c>
      <c r="H809" s="5" t="n">
        <v>3000</v>
      </c>
      <c r="I809" s="7" t="n">
        <v>60</v>
      </c>
      <c r="J809" s="16" t="n">
        <v>50</v>
      </c>
      <c r="K809" s="16" t="n">
        <v>50</v>
      </c>
      <c r="L809" s="16"/>
      <c r="M809" s="16"/>
      <c r="N809" s="19"/>
    </row>
    <row r="810" customFormat="false" ht="15" hidden="false" customHeight="false" outlineLevel="0" collapsed="false">
      <c r="A810" s="13" t="s">
        <v>3353</v>
      </c>
      <c r="B810" s="13" t="s">
        <v>153</v>
      </c>
      <c r="C810" s="13" t="s">
        <v>43</v>
      </c>
      <c r="D810" s="13" t="s">
        <v>2324</v>
      </c>
      <c r="E810" s="13" t="s">
        <v>986</v>
      </c>
      <c r="F810" s="13" t="n">
        <v>2</v>
      </c>
      <c r="G810" s="13" t="n">
        <v>2</v>
      </c>
      <c r="H810" s="5" t="n">
        <v>3000</v>
      </c>
      <c r="I810" s="7" t="n">
        <v>4</v>
      </c>
      <c r="J810" s="16" t="n">
        <v>750</v>
      </c>
      <c r="K810" s="16"/>
      <c r="L810" s="16" t="n">
        <v>850</v>
      </c>
      <c r="M810" s="16" t="n">
        <v>650</v>
      </c>
      <c r="N810" s="19" t="n">
        <v>0.307692307692308</v>
      </c>
    </row>
    <row r="811" customFormat="false" ht="15" hidden="false" customHeight="false" outlineLevel="0" collapsed="false">
      <c r="A811" s="13" t="s">
        <v>3354</v>
      </c>
      <c r="B811" s="13" t="s">
        <v>2130</v>
      </c>
      <c r="C811" s="13" t="s">
        <v>43</v>
      </c>
      <c r="D811" s="13" t="s">
        <v>2324</v>
      </c>
      <c r="E811" s="13" t="s">
        <v>3355</v>
      </c>
      <c r="F811" s="13" t="n">
        <v>1</v>
      </c>
      <c r="G811" s="13" t="n">
        <v>3</v>
      </c>
      <c r="H811" s="5" t="n">
        <v>2990</v>
      </c>
      <c r="I811" s="7" t="n">
        <v>3</v>
      </c>
      <c r="J811" s="16" t="n">
        <v>996.666666666667</v>
      </c>
      <c r="K811" s="16"/>
      <c r="L811" s="16"/>
      <c r="M811" s="16" t="n">
        <v>996.666666666667</v>
      </c>
      <c r="N811" s="19"/>
    </row>
    <row r="812" customFormat="false" ht="15" hidden="false" customHeight="false" outlineLevel="0" collapsed="false">
      <c r="A812" s="13" t="s">
        <v>3356</v>
      </c>
      <c r="B812" s="13" t="s">
        <v>92</v>
      </c>
      <c r="C812" s="13" t="s">
        <v>43</v>
      </c>
      <c r="D812" s="13" t="s">
        <v>2751</v>
      </c>
      <c r="E812" s="13" t="s">
        <v>1449</v>
      </c>
      <c r="F812" s="13" t="n">
        <v>2</v>
      </c>
      <c r="G812" s="13" t="n">
        <v>3</v>
      </c>
      <c r="H812" s="5" t="n">
        <v>2980</v>
      </c>
      <c r="I812" s="7" t="n">
        <v>4</v>
      </c>
      <c r="J812" s="16" t="n">
        <v>745</v>
      </c>
      <c r="K812" s="16"/>
      <c r="L812" s="16" t="n">
        <v>720</v>
      </c>
      <c r="M812" s="16" t="n">
        <v>753.333333333333</v>
      </c>
      <c r="N812" s="19" t="n">
        <v>0.0462962962962964</v>
      </c>
    </row>
    <row r="813" customFormat="false" ht="15" hidden="false" customHeight="false" outlineLevel="0" collapsed="false">
      <c r="A813" s="13" t="s">
        <v>3357</v>
      </c>
      <c r="B813" s="13" t="s">
        <v>2110</v>
      </c>
      <c r="C813" s="13" t="s">
        <v>43</v>
      </c>
      <c r="D813" s="13" t="s">
        <v>2324</v>
      </c>
      <c r="E813" s="13" t="s">
        <v>3358</v>
      </c>
      <c r="F813" s="13" t="n">
        <v>1</v>
      </c>
      <c r="G813" s="13" t="n">
        <v>2</v>
      </c>
      <c r="H813" s="5" t="n">
        <v>2970</v>
      </c>
      <c r="I813" s="7" t="n">
        <v>6</v>
      </c>
      <c r="J813" s="16" t="n">
        <v>495</v>
      </c>
      <c r="K813" s="16"/>
      <c r="L813" s="16" t="n">
        <v>495</v>
      </c>
      <c r="M813" s="16"/>
      <c r="N813" s="19"/>
    </row>
    <row r="814" customFormat="false" ht="15" hidden="false" customHeight="false" outlineLevel="0" collapsed="false">
      <c r="A814" s="13" t="s">
        <v>3359</v>
      </c>
      <c r="B814" s="13" t="s">
        <v>42</v>
      </c>
      <c r="C814" s="13" t="s">
        <v>43</v>
      </c>
      <c r="D814" s="13" t="s">
        <v>2422</v>
      </c>
      <c r="E814" s="13" t="s">
        <v>914</v>
      </c>
      <c r="F814" s="13" t="n">
        <v>2</v>
      </c>
      <c r="G814" s="13" t="n">
        <v>2</v>
      </c>
      <c r="H814" s="5" t="n">
        <v>2940</v>
      </c>
      <c r="I814" s="7" t="n">
        <v>4</v>
      </c>
      <c r="J814" s="16" t="n">
        <v>735</v>
      </c>
      <c r="K814" s="16"/>
      <c r="L814" s="16" t="n">
        <v>470</v>
      </c>
      <c r="M814" s="16" t="n">
        <v>1000</v>
      </c>
      <c r="N814" s="19" t="n">
        <v>1.12765957446809</v>
      </c>
    </row>
    <row r="815" customFormat="false" ht="15" hidden="false" customHeight="false" outlineLevel="0" collapsed="false">
      <c r="A815" s="13" t="s">
        <v>3360</v>
      </c>
      <c r="B815" s="13" t="s">
        <v>630</v>
      </c>
      <c r="C815" s="13" t="s">
        <v>43</v>
      </c>
      <c r="D815" s="13" t="s">
        <v>2324</v>
      </c>
      <c r="E815" s="13" t="s">
        <v>848</v>
      </c>
      <c r="F815" s="13" t="n">
        <v>1</v>
      </c>
      <c r="G815" s="13" t="n">
        <v>3</v>
      </c>
      <c r="H815" s="5" t="n">
        <v>2940</v>
      </c>
      <c r="I815" s="7" t="n">
        <v>23</v>
      </c>
      <c r="J815" s="16" t="n">
        <v>127.826086956522</v>
      </c>
      <c r="K815" s="16"/>
      <c r="L815" s="16"/>
      <c r="M815" s="16" t="n">
        <v>127.826086956522</v>
      </c>
      <c r="N815" s="19"/>
    </row>
    <row r="816" customFormat="false" ht="15" hidden="false" customHeight="false" outlineLevel="0" collapsed="false">
      <c r="A816" s="13" t="s">
        <v>3361</v>
      </c>
      <c r="B816" s="13" t="s">
        <v>195</v>
      </c>
      <c r="C816" s="13" t="s">
        <v>43</v>
      </c>
      <c r="D816" s="13" t="s">
        <v>2429</v>
      </c>
      <c r="E816" s="13" t="s">
        <v>1279</v>
      </c>
      <c r="F816" s="13" t="n">
        <v>2</v>
      </c>
      <c r="G816" s="13" t="n">
        <v>2</v>
      </c>
      <c r="H816" s="5" t="n">
        <v>2940</v>
      </c>
      <c r="I816" s="7" t="n">
        <v>3</v>
      </c>
      <c r="J816" s="16" t="n">
        <v>980</v>
      </c>
      <c r="K816" s="16"/>
      <c r="L816" s="16" t="n">
        <v>940</v>
      </c>
      <c r="M816" s="16" t="n">
        <v>1000</v>
      </c>
      <c r="N816" s="19" t="n">
        <v>0.0638297872340426</v>
      </c>
    </row>
    <row r="817" customFormat="false" ht="15" hidden="false" customHeight="false" outlineLevel="0" collapsed="false">
      <c r="A817" s="13" t="s">
        <v>3362</v>
      </c>
      <c r="B817" s="13" t="s">
        <v>79</v>
      </c>
      <c r="C817" s="13" t="s">
        <v>43</v>
      </c>
      <c r="D817" s="13" t="s">
        <v>2324</v>
      </c>
      <c r="E817" s="13" t="s">
        <v>866</v>
      </c>
      <c r="F817" s="13" t="n">
        <v>2</v>
      </c>
      <c r="G817" s="13" t="n">
        <v>2</v>
      </c>
      <c r="H817" s="5" t="n">
        <v>2920</v>
      </c>
      <c r="I817" s="7" t="n">
        <v>3</v>
      </c>
      <c r="J817" s="16" t="n">
        <v>973.333333333333</v>
      </c>
      <c r="K817" s="16" t="n">
        <v>1100</v>
      </c>
      <c r="L817" s="16"/>
      <c r="M817" s="16" t="n">
        <v>720</v>
      </c>
      <c r="N817" s="19" t="n">
        <v>0.527777777777778</v>
      </c>
    </row>
    <row r="818" customFormat="false" ht="15" hidden="false" customHeight="false" outlineLevel="0" collapsed="false">
      <c r="A818" s="13" t="s">
        <v>3363</v>
      </c>
      <c r="B818" s="13" t="s">
        <v>124</v>
      </c>
      <c r="C818" s="13" t="s">
        <v>43</v>
      </c>
      <c r="D818" s="13" t="s">
        <v>2324</v>
      </c>
      <c r="E818" s="13" t="s">
        <v>210</v>
      </c>
      <c r="F818" s="13" t="n">
        <v>1</v>
      </c>
      <c r="G818" s="13" t="n">
        <v>1</v>
      </c>
      <c r="H818" s="5" t="n">
        <v>2900</v>
      </c>
      <c r="I818" s="7" t="n">
        <v>5</v>
      </c>
      <c r="J818" s="16" t="n">
        <v>580</v>
      </c>
      <c r="K818" s="16"/>
      <c r="L818" s="16"/>
      <c r="M818" s="16" t="n">
        <v>580</v>
      </c>
      <c r="N818" s="19"/>
    </row>
    <row r="819" customFormat="false" ht="15" hidden="false" customHeight="false" outlineLevel="0" collapsed="false">
      <c r="A819" s="13" t="s">
        <v>3364</v>
      </c>
      <c r="B819" s="13" t="s">
        <v>92</v>
      </c>
      <c r="C819" s="13" t="s">
        <v>43</v>
      </c>
      <c r="D819" s="13" t="s">
        <v>2500</v>
      </c>
      <c r="E819" s="13" t="s">
        <v>970</v>
      </c>
      <c r="F819" s="13" t="n">
        <v>2</v>
      </c>
      <c r="G819" s="13" t="n">
        <v>2</v>
      </c>
      <c r="H819" s="5" t="n">
        <v>2900</v>
      </c>
      <c r="I819" s="7" t="n">
        <v>4</v>
      </c>
      <c r="J819" s="16" t="n">
        <v>725</v>
      </c>
      <c r="K819" s="16"/>
      <c r="L819" s="16" t="n">
        <v>900</v>
      </c>
      <c r="M819" s="16" t="n">
        <v>550</v>
      </c>
      <c r="N819" s="19" t="n">
        <v>0.636363636363636</v>
      </c>
    </row>
    <row r="820" customFormat="false" ht="15" hidden="false" customHeight="false" outlineLevel="0" collapsed="false">
      <c r="A820" s="13" t="s">
        <v>3365</v>
      </c>
      <c r="B820" s="13" t="s">
        <v>177</v>
      </c>
      <c r="C820" s="13" t="s">
        <v>43</v>
      </c>
      <c r="D820" s="13" t="s">
        <v>2324</v>
      </c>
      <c r="E820" s="13" t="s">
        <v>722</v>
      </c>
      <c r="F820" s="13" t="n">
        <v>1</v>
      </c>
      <c r="G820" s="13" t="n">
        <v>1</v>
      </c>
      <c r="H820" s="5" t="n">
        <v>2900</v>
      </c>
      <c r="I820" s="7" t="n">
        <v>5</v>
      </c>
      <c r="J820" s="16" t="n">
        <v>580</v>
      </c>
      <c r="K820" s="16"/>
      <c r="L820" s="16"/>
      <c r="M820" s="16" t="n">
        <v>580</v>
      </c>
      <c r="N820" s="19"/>
    </row>
    <row r="821" customFormat="false" ht="15" hidden="false" customHeight="false" outlineLevel="0" collapsed="false">
      <c r="A821" s="13" t="s">
        <v>3366</v>
      </c>
      <c r="B821" s="13" t="s">
        <v>2156</v>
      </c>
      <c r="C821" s="13" t="s">
        <v>43</v>
      </c>
      <c r="D821" s="13" t="s">
        <v>2324</v>
      </c>
      <c r="E821" s="13" t="s">
        <v>3367</v>
      </c>
      <c r="F821" s="13" t="n">
        <v>1</v>
      </c>
      <c r="G821" s="13" t="n">
        <v>1</v>
      </c>
      <c r="H821" s="5" t="n">
        <v>2900</v>
      </c>
      <c r="I821" s="7" t="n">
        <v>5</v>
      </c>
      <c r="J821" s="16" t="n">
        <v>580</v>
      </c>
      <c r="K821" s="16" t="n">
        <v>580</v>
      </c>
      <c r="L821" s="16"/>
      <c r="M821" s="16"/>
      <c r="N821" s="19"/>
    </row>
    <row r="822" customFormat="false" ht="15" hidden="false" customHeight="false" outlineLevel="0" collapsed="false">
      <c r="A822" s="13" t="s">
        <v>3368</v>
      </c>
      <c r="B822" s="13" t="s">
        <v>153</v>
      </c>
      <c r="C822" s="13" t="s">
        <v>43</v>
      </c>
      <c r="D822" s="13" t="s">
        <v>2324</v>
      </c>
      <c r="E822" s="13" t="s">
        <v>723</v>
      </c>
      <c r="F822" s="13" t="n">
        <v>1</v>
      </c>
      <c r="G822" s="13" t="n">
        <v>1</v>
      </c>
      <c r="H822" s="5" t="n">
        <v>2900</v>
      </c>
      <c r="I822" s="7" t="n">
        <v>2</v>
      </c>
      <c r="J822" s="16" t="n">
        <v>1450</v>
      </c>
      <c r="K822" s="16"/>
      <c r="L822" s="16"/>
      <c r="M822" s="16" t="n">
        <v>1450</v>
      </c>
      <c r="N822" s="19"/>
    </row>
    <row r="823" customFormat="false" ht="15" hidden="false" customHeight="false" outlineLevel="0" collapsed="false">
      <c r="A823" s="13" t="s">
        <v>3369</v>
      </c>
      <c r="B823" s="13" t="s">
        <v>286</v>
      </c>
      <c r="C823" s="13" t="s">
        <v>43</v>
      </c>
      <c r="D823" s="13" t="s">
        <v>3010</v>
      </c>
      <c r="E823" s="13" t="s">
        <v>726</v>
      </c>
      <c r="F823" s="13" t="n">
        <v>1</v>
      </c>
      <c r="G823" s="13" t="n">
        <v>1</v>
      </c>
      <c r="H823" s="5" t="n">
        <v>2900</v>
      </c>
      <c r="I823" s="7" t="n">
        <v>5</v>
      </c>
      <c r="J823" s="16" t="n">
        <v>580</v>
      </c>
      <c r="K823" s="16"/>
      <c r="L823" s="16" t="n">
        <v>580</v>
      </c>
      <c r="M823" s="16"/>
      <c r="N823" s="19"/>
    </row>
    <row r="824" customFormat="false" ht="15" hidden="false" customHeight="false" outlineLevel="0" collapsed="false">
      <c r="A824" s="13" t="s">
        <v>3370</v>
      </c>
      <c r="B824" s="13" t="s">
        <v>255</v>
      </c>
      <c r="C824" s="13" t="s">
        <v>43</v>
      </c>
      <c r="D824" s="13" t="s">
        <v>2339</v>
      </c>
      <c r="E824" s="13" t="s">
        <v>734</v>
      </c>
      <c r="F824" s="13" t="n">
        <v>1</v>
      </c>
      <c r="G824" s="13" t="n">
        <v>1</v>
      </c>
      <c r="H824" s="5" t="n">
        <v>2900</v>
      </c>
      <c r="I824" s="7" t="n">
        <v>10</v>
      </c>
      <c r="J824" s="16" t="n">
        <v>290</v>
      </c>
      <c r="K824" s="16"/>
      <c r="L824" s="16" t="n">
        <v>290</v>
      </c>
      <c r="M824" s="16"/>
      <c r="N824" s="19"/>
    </row>
    <row r="825" customFormat="false" ht="15" hidden="false" customHeight="false" outlineLevel="0" collapsed="false">
      <c r="A825" s="13" t="s">
        <v>3371</v>
      </c>
      <c r="B825" s="13" t="s">
        <v>2110</v>
      </c>
      <c r="C825" s="13" t="s">
        <v>43</v>
      </c>
      <c r="D825" s="13" t="s">
        <v>2339</v>
      </c>
      <c r="E825" s="13" t="s">
        <v>3372</v>
      </c>
      <c r="F825" s="13" t="n">
        <v>1</v>
      </c>
      <c r="G825" s="13" t="n">
        <v>1</v>
      </c>
      <c r="H825" s="5" t="n">
        <v>2900</v>
      </c>
      <c r="I825" s="7" t="n">
        <v>5</v>
      </c>
      <c r="J825" s="16" t="n">
        <v>580</v>
      </c>
      <c r="K825" s="16"/>
      <c r="L825" s="16" t="n">
        <v>580</v>
      </c>
      <c r="M825" s="16"/>
      <c r="N825" s="19"/>
    </row>
    <row r="826" customFormat="false" ht="15" hidden="false" customHeight="false" outlineLevel="0" collapsed="false">
      <c r="A826" s="13" t="s">
        <v>3373</v>
      </c>
      <c r="B826" s="13" t="s">
        <v>153</v>
      </c>
      <c r="C826" s="13" t="s">
        <v>43</v>
      </c>
      <c r="D826" s="13" t="s">
        <v>2422</v>
      </c>
      <c r="E826" s="13" t="s">
        <v>1793</v>
      </c>
      <c r="F826" s="13" t="n">
        <v>2</v>
      </c>
      <c r="G826" s="13" t="n">
        <v>3</v>
      </c>
      <c r="H826" s="5" t="n">
        <v>2890</v>
      </c>
      <c r="I826" s="7" t="n">
        <v>5</v>
      </c>
      <c r="J826" s="16" t="n">
        <v>578</v>
      </c>
      <c r="K826" s="16"/>
      <c r="L826" s="16" t="n">
        <v>390</v>
      </c>
      <c r="M826" s="16" t="n">
        <v>625</v>
      </c>
      <c r="N826" s="19" t="n">
        <v>0.602564102564103</v>
      </c>
    </row>
    <row r="827" customFormat="false" ht="15" hidden="false" customHeight="false" outlineLevel="0" collapsed="false">
      <c r="A827" s="13" t="s">
        <v>3374</v>
      </c>
      <c r="B827" s="13" t="s">
        <v>2111</v>
      </c>
      <c r="C827" s="13" t="s">
        <v>43</v>
      </c>
      <c r="D827" s="13" t="s">
        <v>3151</v>
      </c>
      <c r="E827" s="13" t="s">
        <v>3375</v>
      </c>
      <c r="F827" s="13" t="n">
        <v>2</v>
      </c>
      <c r="G827" s="13" t="n">
        <v>3</v>
      </c>
      <c r="H827" s="5" t="n">
        <v>2880</v>
      </c>
      <c r="I827" s="7" t="n">
        <v>5</v>
      </c>
      <c r="J827" s="16" t="n">
        <v>576</v>
      </c>
      <c r="K827" s="16"/>
      <c r="L827" s="16" t="n">
        <v>800</v>
      </c>
      <c r="M827" s="16" t="n">
        <v>426.666666666667</v>
      </c>
      <c r="N827" s="19" t="n">
        <v>0.875</v>
      </c>
    </row>
    <row r="828" customFormat="false" ht="15" hidden="false" customHeight="false" outlineLevel="0" collapsed="false">
      <c r="A828" s="13" t="s">
        <v>3376</v>
      </c>
      <c r="B828" s="13" t="s">
        <v>74</v>
      </c>
      <c r="C828" s="13" t="s">
        <v>43</v>
      </c>
      <c r="D828" s="13" t="s">
        <v>2324</v>
      </c>
      <c r="E828" s="13" t="s">
        <v>830</v>
      </c>
      <c r="F828" s="13" t="n">
        <v>1</v>
      </c>
      <c r="G828" s="13" t="n">
        <v>2</v>
      </c>
      <c r="H828" s="5" t="n">
        <v>2880</v>
      </c>
      <c r="I828" s="7" t="n">
        <v>7</v>
      </c>
      <c r="J828" s="16" t="n">
        <v>411.428571428571</v>
      </c>
      <c r="K828" s="16"/>
      <c r="L828" s="16" t="n">
        <v>411.428571428571</v>
      </c>
      <c r="M828" s="16"/>
      <c r="N828" s="19"/>
    </row>
    <row r="829" customFormat="false" ht="15" hidden="false" customHeight="false" outlineLevel="0" collapsed="false">
      <c r="A829" s="13" t="s">
        <v>3377</v>
      </c>
      <c r="B829" s="13" t="s">
        <v>153</v>
      </c>
      <c r="C829" s="13" t="s">
        <v>43</v>
      </c>
      <c r="D829" s="13" t="s">
        <v>2422</v>
      </c>
      <c r="E829" s="13" t="s">
        <v>845</v>
      </c>
      <c r="F829" s="13" t="n">
        <v>1</v>
      </c>
      <c r="G829" s="13" t="n">
        <v>3</v>
      </c>
      <c r="H829" s="5" t="n">
        <v>2870</v>
      </c>
      <c r="I829" s="7" t="n">
        <v>7</v>
      </c>
      <c r="J829" s="16" t="n">
        <v>410</v>
      </c>
      <c r="K829" s="16"/>
      <c r="L829" s="16"/>
      <c r="M829" s="16" t="n">
        <v>410</v>
      </c>
      <c r="N829" s="19"/>
    </row>
    <row r="830" customFormat="false" ht="15" hidden="false" customHeight="false" outlineLevel="0" collapsed="false">
      <c r="A830" s="13" t="s">
        <v>3378</v>
      </c>
      <c r="B830" s="13" t="s">
        <v>103</v>
      </c>
      <c r="C830" s="13" t="s">
        <v>43</v>
      </c>
      <c r="D830" s="13" t="s">
        <v>2324</v>
      </c>
      <c r="E830" s="13" t="s">
        <v>1426</v>
      </c>
      <c r="F830" s="13" t="n">
        <v>2</v>
      </c>
      <c r="G830" s="13" t="n">
        <v>2</v>
      </c>
      <c r="H830" s="5" t="n">
        <v>2850</v>
      </c>
      <c r="I830" s="7" t="n">
        <v>7</v>
      </c>
      <c r="J830" s="16" t="n">
        <v>407.142857142857</v>
      </c>
      <c r="K830" s="16"/>
      <c r="L830" s="16" t="n">
        <v>375</v>
      </c>
      <c r="M830" s="16" t="n">
        <v>420</v>
      </c>
      <c r="N830" s="19" t="n">
        <v>0.12</v>
      </c>
    </row>
    <row r="831" customFormat="false" ht="15" hidden="false" customHeight="false" outlineLevel="0" collapsed="false">
      <c r="A831" s="13" t="s">
        <v>3379</v>
      </c>
      <c r="B831" s="13" t="s">
        <v>50</v>
      </c>
      <c r="C831" s="13" t="s">
        <v>43</v>
      </c>
      <c r="D831" s="13" t="s">
        <v>2324</v>
      </c>
      <c r="E831" s="13" t="s">
        <v>777</v>
      </c>
      <c r="F831" s="13" t="n">
        <v>2</v>
      </c>
      <c r="G831" s="13" t="n">
        <v>2</v>
      </c>
      <c r="H831" s="5" t="n">
        <v>2840</v>
      </c>
      <c r="I831" s="7" t="n">
        <v>11</v>
      </c>
      <c r="J831" s="16" t="n">
        <v>258.181818181818</v>
      </c>
      <c r="K831" s="16"/>
      <c r="L831" s="16" t="n">
        <v>260</v>
      </c>
      <c r="M831" s="16" t="n">
        <v>240</v>
      </c>
      <c r="N831" s="19" t="n">
        <v>0.0833333333333333</v>
      </c>
    </row>
    <row r="832" customFormat="false" ht="15" hidden="false" customHeight="false" outlineLevel="0" collapsed="false">
      <c r="A832" s="13" t="s">
        <v>3380</v>
      </c>
      <c r="B832" s="13" t="s">
        <v>61</v>
      </c>
      <c r="C832" s="13" t="s">
        <v>43</v>
      </c>
      <c r="D832" s="13" t="s">
        <v>2327</v>
      </c>
      <c r="E832" s="13" t="s">
        <v>796</v>
      </c>
      <c r="F832" s="13" t="n">
        <v>1</v>
      </c>
      <c r="G832" s="13" t="n">
        <v>2</v>
      </c>
      <c r="H832" s="5" t="n">
        <v>2830</v>
      </c>
      <c r="I832" s="7" t="n">
        <v>6</v>
      </c>
      <c r="J832" s="16" t="n">
        <v>471.666666666667</v>
      </c>
      <c r="K832" s="16"/>
      <c r="L832" s="16"/>
      <c r="M832" s="16" t="n">
        <v>471.666666666667</v>
      </c>
      <c r="N832" s="19"/>
    </row>
    <row r="833" customFormat="false" ht="15" hidden="false" customHeight="false" outlineLevel="0" collapsed="false">
      <c r="A833" s="13" t="s">
        <v>3381</v>
      </c>
      <c r="B833" s="13" t="s">
        <v>50</v>
      </c>
      <c r="C833" s="13" t="s">
        <v>43</v>
      </c>
      <c r="D833" s="13" t="s">
        <v>2324</v>
      </c>
      <c r="E833" s="13" t="s">
        <v>877</v>
      </c>
      <c r="F833" s="13" t="n">
        <v>1</v>
      </c>
      <c r="G833" s="13" t="n">
        <v>2</v>
      </c>
      <c r="H833" s="5" t="n">
        <v>2830</v>
      </c>
      <c r="I833" s="7" t="n">
        <v>3</v>
      </c>
      <c r="J833" s="16" t="n">
        <v>943.333333333333</v>
      </c>
      <c r="K833" s="16"/>
      <c r="L833" s="16" t="n">
        <v>943.333333333333</v>
      </c>
      <c r="M833" s="16"/>
      <c r="N833" s="19"/>
    </row>
    <row r="834" customFormat="false" ht="15" hidden="false" customHeight="false" outlineLevel="0" collapsed="false">
      <c r="A834" s="13" t="s">
        <v>3382</v>
      </c>
      <c r="B834" s="13" t="s">
        <v>2199</v>
      </c>
      <c r="C834" s="13" t="s">
        <v>43</v>
      </c>
      <c r="D834" s="13" t="s">
        <v>2324</v>
      </c>
      <c r="E834" s="13" t="s">
        <v>3383</v>
      </c>
      <c r="F834" s="13" t="n">
        <v>1</v>
      </c>
      <c r="G834" s="13" t="n">
        <v>2</v>
      </c>
      <c r="H834" s="5" t="n">
        <v>2810</v>
      </c>
      <c r="I834" s="7" t="n">
        <v>6</v>
      </c>
      <c r="J834" s="16" t="n">
        <v>468.333333333333</v>
      </c>
      <c r="K834" s="16"/>
      <c r="L834" s="16"/>
      <c r="M834" s="16" t="n">
        <v>468.333333333333</v>
      </c>
      <c r="N834" s="19"/>
    </row>
    <row r="835" customFormat="false" ht="15" hidden="false" customHeight="false" outlineLevel="0" collapsed="false">
      <c r="A835" s="13" t="s">
        <v>3384</v>
      </c>
      <c r="B835" s="13" t="s">
        <v>72</v>
      </c>
      <c r="C835" s="13" t="s">
        <v>43</v>
      </c>
      <c r="D835" s="13" t="s">
        <v>2324</v>
      </c>
      <c r="E835" s="13" t="s">
        <v>746</v>
      </c>
      <c r="F835" s="13" t="n">
        <v>1</v>
      </c>
      <c r="G835" s="13" t="n">
        <v>1</v>
      </c>
      <c r="H835" s="5" t="n">
        <v>2800</v>
      </c>
      <c r="I835" s="7" t="n">
        <v>2</v>
      </c>
      <c r="J835" s="16" t="n">
        <v>1400</v>
      </c>
      <c r="K835" s="16"/>
      <c r="L835" s="16"/>
      <c r="M835" s="16" t="n">
        <v>1400</v>
      </c>
      <c r="N835" s="19"/>
    </row>
    <row r="836" customFormat="false" ht="15" hidden="false" customHeight="false" outlineLevel="0" collapsed="false">
      <c r="A836" s="13" t="s">
        <v>3385</v>
      </c>
      <c r="B836" s="13" t="s">
        <v>61</v>
      </c>
      <c r="C836" s="13" t="s">
        <v>43</v>
      </c>
      <c r="D836" s="13" t="s">
        <v>2324</v>
      </c>
      <c r="E836" s="13" t="s">
        <v>744</v>
      </c>
      <c r="F836" s="13" t="n">
        <v>1</v>
      </c>
      <c r="G836" s="13" t="n">
        <v>1</v>
      </c>
      <c r="H836" s="5" t="n">
        <v>2800</v>
      </c>
      <c r="I836" s="7" t="n">
        <v>5</v>
      </c>
      <c r="J836" s="16" t="n">
        <v>560</v>
      </c>
      <c r="K836" s="16"/>
      <c r="L836" s="16"/>
      <c r="M836" s="16" t="n">
        <v>560</v>
      </c>
      <c r="N836" s="19"/>
    </row>
    <row r="837" customFormat="false" ht="15" hidden="false" customHeight="false" outlineLevel="0" collapsed="false">
      <c r="A837" s="13" t="s">
        <v>3386</v>
      </c>
      <c r="B837" s="13" t="s">
        <v>2133</v>
      </c>
      <c r="C837" s="13" t="s">
        <v>43</v>
      </c>
      <c r="D837" s="13" t="s">
        <v>2324</v>
      </c>
      <c r="E837" s="13" t="s">
        <v>3387</v>
      </c>
      <c r="F837" s="13" t="n">
        <v>1</v>
      </c>
      <c r="G837" s="13" t="n">
        <v>1</v>
      </c>
      <c r="H837" s="5" t="n">
        <v>2800</v>
      </c>
      <c r="I837" s="7" t="n">
        <v>2</v>
      </c>
      <c r="J837" s="16" t="n">
        <v>1400</v>
      </c>
      <c r="K837" s="16"/>
      <c r="L837" s="16" t="n">
        <v>1400</v>
      </c>
      <c r="M837" s="16"/>
      <c r="N837" s="19"/>
    </row>
    <row r="838" customFormat="false" ht="15" hidden="false" customHeight="false" outlineLevel="0" collapsed="false">
      <c r="A838" s="13" t="s">
        <v>3388</v>
      </c>
      <c r="B838" s="13" t="s">
        <v>105</v>
      </c>
      <c r="C838" s="13" t="s">
        <v>43</v>
      </c>
      <c r="D838" s="13" t="s">
        <v>2324</v>
      </c>
      <c r="E838" s="13" t="s">
        <v>740</v>
      </c>
      <c r="F838" s="13" t="n">
        <v>1</v>
      </c>
      <c r="G838" s="13" t="n">
        <v>1</v>
      </c>
      <c r="H838" s="5" t="n">
        <v>2800</v>
      </c>
      <c r="I838" s="7" t="n">
        <v>5</v>
      </c>
      <c r="J838" s="16" t="n">
        <v>560</v>
      </c>
      <c r="K838" s="16" t="n">
        <v>560</v>
      </c>
      <c r="L838" s="16"/>
      <c r="M838" s="16"/>
      <c r="N838" s="19"/>
    </row>
    <row r="839" customFormat="false" ht="15" hidden="false" customHeight="false" outlineLevel="0" collapsed="false">
      <c r="A839" s="13" t="s">
        <v>3389</v>
      </c>
      <c r="B839" s="13" t="s">
        <v>121</v>
      </c>
      <c r="C839" s="13" t="s">
        <v>43</v>
      </c>
      <c r="D839" s="13" t="s">
        <v>2324</v>
      </c>
      <c r="E839" s="13" t="s">
        <v>742</v>
      </c>
      <c r="F839" s="13" t="n">
        <v>1</v>
      </c>
      <c r="G839" s="13" t="n">
        <v>1</v>
      </c>
      <c r="H839" s="5" t="n">
        <v>2800</v>
      </c>
      <c r="I839" s="7" t="n">
        <v>20</v>
      </c>
      <c r="J839" s="16" t="n">
        <v>140</v>
      </c>
      <c r="K839" s="16"/>
      <c r="L839" s="16"/>
      <c r="M839" s="16" t="n">
        <v>140</v>
      </c>
      <c r="N839" s="19"/>
    </row>
    <row r="840" customFormat="false" ht="15" hidden="false" customHeight="false" outlineLevel="0" collapsed="false">
      <c r="A840" s="13" t="s">
        <v>3390</v>
      </c>
      <c r="B840" s="13" t="s">
        <v>255</v>
      </c>
      <c r="C840" s="13" t="s">
        <v>43</v>
      </c>
      <c r="D840" s="13" t="s">
        <v>2324</v>
      </c>
      <c r="E840" s="13" t="s">
        <v>769</v>
      </c>
      <c r="F840" s="13" t="n">
        <v>1</v>
      </c>
      <c r="G840" s="13" t="n">
        <v>2</v>
      </c>
      <c r="H840" s="5" t="n">
        <v>2790</v>
      </c>
      <c r="I840" s="7" t="n">
        <v>21</v>
      </c>
      <c r="J840" s="16" t="n">
        <v>132.857142857143</v>
      </c>
      <c r="K840" s="16" t="n">
        <v>132.857142857143</v>
      </c>
      <c r="L840" s="16"/>
      <c r="M840" s="16"/>
      <c r="N840" s="19"/>
    </row>
    <row r="841" customFormat="false" ht="15" hidden="false" customHeight="false" outlineLevel="0" collapsed="false">
      <c r="A841" s="13" t="s">
        <v>3391</v>
      </c>
      <c r="B841" s="13" t="s">
        <v>329</v>
      </c>
      <c r="C841" s="13" t="s">
        <v>43</v>
      </c>
      <c r="D841" s="13" t="s">
        <v>2324</v>
      </c>
      <c r="E841" s="13" t="s">
        <v>635</v>
      </c>
      <c r="F841" s="13" t="n">
        <v>1</v>
      </c>
      <c r="G841" s="13" t="n">
        <v>3</v>
      </c>
      <c r="H841" s="5" t="n">
        <v>2750</v>
      </c>
      <c r="I841" s="7" t="n">
        <v>7</v>
      </c>
      <c r="J841" s="16" t="n">
        <v>392.857142857143</v>
      </c>
      <c r="K841" s="16"/>
      <c r="L841" s="16" t="n">
        <v>392.857142857143</v>
      </c>
      <c r="M841" s="16"/>
      <c r="N841" s="19"/>
    </row>
    <row r="842" customFormat="false" ht="15" hidden="false" customHeight="false" outlineLevel="0" collapsed="false">
      <c r="A842" s="13" t="s">
        <v>3392</v>
      </c>
      <c r="B842" s="13" t="s">
        <v>69</v>
      </c>
      <c r="C842" s="13" t="s">
        <v>43</v>
      </c>
      <c r="D842" s="13" t="s">
        <v>2339</v>
      </c>
      <c r="E842" s="13" t="s">
        <v>1246</v>
      </c>
      <c r="F842" s="13" t="n">
        <v>2</v>
      </c>
      <c r="G842" s="13" t="n">
        <v>4</v>
      </c>
      <c r="H842" s="5" t="n">
        <v>2740</v>
      </c>
      <c r="I842" s="7" t="n">
        <v>6</v>
      </c>
      <c r="J842" s="16" t="n">
        <v>456.666666666667</v>
      </c>
      <c r="K842" s="16" t="n">
        <v>380</v>
      </c>
      <c r="L842" s="16"/>
      <c r="M842" s="16" t="n">
        <v>495</v>
      </c>
      <c r="N842" s="19" t="n">
        <v>0.302631578947368</v>
      </c>
    </row>
    <row r="843" customFormat="false" ht="15" hidden="false" customHeight="false" outlineLevel="0" collapsed="false">
      <c r="A843" s="13" t="s">
        <v>3393</v>
      </c>
      <c r="B843" s="13" t="s">
        <v>69</v>
      </c>
      <c r="C843" s="13" t="s">
        <v>43</v>
      </c>
      <c r="D843" s="13" t="s">
        <v>2422</v>
      </c>
      <c r="E843" s="13" t="s">
        <v>876</v>
      </c>
      <c r="F843" s="13" t="n">
        <v>1</v>
      </c>
      <c r="G843" s="13" t="n">
        <v>2</v>
      </c>
      <c r="H843" s="5" t="n">
        <v>2720</v>
      </c>
      <c r="I843" s="7" t="n">
        <v>3</v>
      </c>
      <c r="J843" s="16" t="n">
        <v>906.666666666667</v>
      </c>
      <c r="K843" s="16"/>
      <c r="L843" s="16"/>
      <c r="M843" s="16" t="n">
        <v>906.666666666667</v>
      </c>
      <c r="N843" s="19"/>
    </row>
    <row r="844" customFormat="false" ht="15" hidden="false" customHeight="false" outlineLevel="0" collapsed="false">
      <c r="A844" s="13" t="s">
        <v>3394</v>
      </c>
      <c r="B844" s="13" t="s">
        <v>50</v>
      </c>
      <c r="C844" s="13" t="s">
        <v>43</v>
      </c>
      <c r="D844" s="13" t="s">
        <v>2324</v>
      </c>
      <c r="E844" s="13" t="s">
        <v>911</v>
      </c>
      <c r="F844" s="13" t="n">
        <v>1</v>
      </c>
      <c r="G844" s="13" t="n">
        <v>2</v>
      </c>
      <c r="H844" s="5" t="n">
        <v>2710</v>
      </c>
      <c r="I844" s="7" t="n">
        <v>3</v>
      </c>
      <c r="J844" s="16" t="n">
        <v>903.333333333333</v>
      </c>
      <c r="K844" s="16"/>
      <c r="L844" s="16" t="n">
        <v>903.333333333333</v>
      </c>
      <c r="M844" s="16"/>
      <c r="N844" s="19"/>
    </row>
    <row r="845" customFormat="false" ht="15" hidden="false" customHeight="false" outlineLevel="0" collapsed="false">
      <c r="A845" s="13" t="s">
        <v>3395</v>
      </c>
      <c r="B845" s="13" t="s">
        <v>179</v>
      </c>
      <c r="C845" s="13" t="s">
        <v>85</v>
      </c>
      <c r="D845" s="13" t="s">
        <v>2324</v>
      </c>
      <c r="E845" s="13" t="s">
        <v>753</v>
      </c>
      <c r="F845" s="13" t="n">
        <v>1</v>
      </c>
      <c r="G845" s="13" t="n">
        <v>1</v>
      </c>
      <c r="H845" s="5" t="n">
        <v>2700</v>
      </c>
      <c r="I845" s="7" t="n">
        <v>5</v>
      </c>
      <c r="J845" s="16" t="n">
        <v>540</v>
      </c>
      <c r="K845" s="16" t="n">
        <v>540</v>
      </c>
      <c r="L845" s="16"/>
      <c r="M845" s="16"/>
      <c r="N845" s="19"/>
    </row>
    <row r="846" customFormat="false" ht="15" hidden="false" customHeight="false" outlineLevel="0" collapsed="false">
      <c r="A846" s="13" t="s">
        <v>3396</v>
      </c>
      <c r="B846" s="13" t="s">
        <v>2101</v>
      </c>
      <c r="C846" s="13" t="s">
        <v>85</v>
      </c>
      <c r="D846" s="13" t="s">
        <v>2324</v>
      </c>
      <c r="E846" s="13" t="s">
        <v>3397</v>
      </c>
      <c r="F846" s="13" t="n">
        <v>1</v>
      </c>
      <c r="G846" s="13" t="n">
        <v>2</v>
      </c>
      <c r="H846" s="5" t="n">
        <v>2700</v>
      </c>
      <c r="I846" s="7" t="n">
        <v>31</v>
      </c>
      <c r="J846" s="16" t="n">
        <v>87.0967741935484</v>
      </c>
      <c r="K846" s="16" t="n">
        <v>87.0967741935484</v>
      </c>
      <c r="L846" s="16"/>
      <c r="M846" s="16"/>
      <c r="N846" s="19"/>
    </row>
    <row r="847" customFormat="false" ht="15" hidden="false" customHeight="false" outlineLevel="0" collapsed="false">
      <c r="A847" s="13" t="s">
        <v>3398</v>
      </c>
      <c r="B847" s="13" t="s">
        <v>2107</v>
      </c>
      <c r="C847" s="13" t="s">
        <v>43</v>
      </c>
      <c r="D847" s="13" t="s">
        <v>2324</v>
      </c>
      <c r="E847" s="13" t="s">
        <v>3399</v>
      </c>
      <c r="F847" s="13" t="n">
        <v>1</v>
      </c>
      <c r="G847" s="13" t="n">
        <v>1</v>
      </c>
      <c r="H847" s="5" t="n">
        <v>2700</v>
      </c>
      <c r="I847" s="7" t="n">
        <v>30</v>
      </c>
      <c r="J847" s="16" t="n">
        <v>90</v>
      </c>
      <c r="K847" s="16" t="n">
        <v>90</v>
      </c>
      <c r="L847" s="16"/>
      <c r="M847" s="16"/>
      <c r="N847" s="19"/>
    </row>
    <row r="848" customFormat="false" ht="15" hidden="false" customHeight="false" outlineLevel="0" collapsed="false">
      <c r="A848" s="13" t="s">
        <v>3400</v>
      </c>
      <c r="B848" s="13" t="s">
        <v>124</v>
      </c>
      <c r="C848" s="13" t="s">
        <v>43</v>
      </c>
      <c r="D848" s="13" t="s">
        <v>2324</v>
      </c>
      <c r="E848" s="13" t="s">
        <v>747</v>
      </c>
      <c r="F848" s="13" t="n">
        <v>1</v>
      </c>
      <c r="G848" s="13" t="n">
        <v>1</v>
      </c>
      <c r="H848" s="5" t="n">
        <v>2700</v>
      </c>
      <c r="I848" s="7" t="n">
        <v>2</v>
      </c>
      <c r="J848" s="16" t="n">
        <v>1350</v>
      </c>
      <c r="K848" s="16"/>
      <c r="L848" s="16"/>
      <c r="M848" s="16" t="n">
        <v>1350</v>
      </c>
      <c r="N848" s="19"/>
    </row>
    <row r="849" customFormat="false" ht="15" hidden="false" customHeight="false" outlineLevel="0" collapsed="false">
      <c r="A849" s="13" t="s">
        <v>3401</v>
      </c>
      <c r="B849" s="13" t="s">
        <v>2095</v>
      </c>
      <c r="C849" s="13" t="s">
        <v>140</v>
      </c>
      <c r="D849" s="13" t="s">
        <v>2324</v>
      </c>
      <c r="E849" s="13" t="s">
        <v>3402</v>
      </c>
      <c r="F849" s="13" t="n">
        <v>1</v>
      </c>
      <c r="G849" s="13" t="n">
        <v>1</v>
      </c>
      <c r="H849" s="5" t="n">
        <v>2700</v>
      </c>
      <c r="I849" s="7" t="n">
        <v>60</v>
      </c>
      <c r="J849" s="16" t="n">
        <v>45</v>
      </c>
      <c r="K849" s="16" t="n">
        <v>45</v>
      </c>
      <c r="L849" s="16"/>
      <c r="M849" s="16"/>
      <c r="N849" s="19"/>
    </row>
    <row r="850" customFormat="false" ht="15" hidden="false" customHeight="false" outlineLevel="0" collapsed="false">
      <c r="A850" s="13" t="s">
        <v>3403</v>
      </c>
      <c r="B850" s="13" t="s">
        <v>92</v>
      </c>
      <c r="C850" s="13" t="s">
        <v>43</v>
      </c>
      <c r="D850" s="13" t="s">
        <v>2324</v>
      </c>
      <c r="E850" s="13" t="s">
        <v>763</v>
      </c>
      <c r="F850" s="13" t="n">
        <v>1</v>
      </c>
      <c r="G850" s="13" t="n">
        <v>1</v>
      </c>
      <c r="H850" s="5" t="n">
        <v>2700</v>
      </c>
      <c r="I850" s="7" t="n">
        <v>2</v>
      </c>
      <c r="J850" s="16" t="n">
        <v>1350</v>
      </c>
      <c r="K850" s="16"/>
      <c r="L850" s="16"/>
      <c r="M850" s="16" t="n">
        <v>1350</v>
      </c>
      <c r="N850" s="19"/>
    </row>
    <row r="851" customFormat="false" ht="15" hidden="false" customHeight="false" outlineLevel="0" collapsed="false">
      <c r="A851" s="13" t="s">
        <v>3404</v>
      </c>
      <c r="B851" s="13" t="s">
        <v>177</v>
      </c>
      <c r="C851" s="13" t="s">
        <v>43</v>
      </c>
      <c r="D851" s="13" t="s">
        <v>2500</v>
      </c>
      <c r="E851" s="13" t="s">
        <v>758</v>
      </c>
      <c r="F851" s="13" t="n">
        <v>1</v>
      </c>
      <c r="G851" s="13" t="n">
        <v>1</v>
      </c>
      <c r="H851" s="5" t="n">
        <v>2700</v>
      </c>
      <c r="I851" s="7" t="n">
        <v>5</v>
      </c>
      <c r="J851" s="16" t="n">
        <v>540</v>
      </c>
      <c r="K851" s="16"/>
      <c r="L851" s="16"/>
      <c r="M851" s="16" t="n">
        <v>540</v>
      </c>
      <c r="N851" s="19"/>
    </row>
    <row r="852" customFormat="false" ht="15" hidden="false" customHeight="false" outlineLevel="0" collapsed="false">
      <c r="A852" s="13" t="s">
        <v>3405</v>
      </c>
      <c r="B852" s="13" t="s">
        <v>72</v>
      </c>
      <c r="C852" s="13" t="s">
        <v>43</v>
      </c>
      <c r="D852" s="13" t="s">
        <v>2429</v>
      </c>
      <c r="E852" s="13" t="s">
        <v>759</v>
      </c>
      <c r="F852" s="13" t="n">
        <v>1</v>
      </c>
      <c r="G852" s="13" t="n">
        <v>1</v>
      </c>
      <c r="H852" s="5" t="n">
        <v>2700</v>
      </c>
      <c r="I852" s="7" t="n">
        <v>2</v>
      </c>
      <c r="J852" s="16" t="n">
        <v>1350</v>
      </c>
      <c r="K852" s="16"/>
      <c r="L852" s="16"/>
      <c r="M852" s="16" t="n">
        <v>1350</v>
      </c>
      <c r="N852" s="19"/>
    </row>
    <row r="853" customFormat="false" ht="15" hidden="false" customHeight="false" outlineLevel="0" collapsed="false">
      <c r="A853" s="13" t="s">
        <v>3406</v>
      </c>
      <c r="B853" s="13" t="s">
        <v>2182</v>
      </c>
      <c r="C853" s="13" t="s">
        <v>57</v>
      </c>
      <c r="D853" s="13" t="s">
        <v>2324</v>
      </c>
      <c r="E853" s="13" t="s">
        <v>3407</v>
      </c>
      <c r="F853" s="13" t="n">
        <v>1</v>
      </c>
      <c r="G853" s="13" t="n">
        <v>1</v>
      </c>
      <c r="H853" s="5" t="n">
        <v>2700</v>
      </c>
      <c r="I853" s="7" t="n">
        <v>30</v>
      </c>
      <c r="J853" s="16" t="n">
        <v>90</v>
      </c>
      <c r="K853" s="16" t="n">
        <v>90</v>
      </c>
      <c r="L853" s="16"/>
      <c r="M853" s="16"/>
      <c r="N853" s="19"/>
    </row>
    <row r="854" customFormat="false" ht="15" hidden="false" customHeight="false" outlineLevel="0" collapsed="false">
      <c r="A854" s="13" t="s">
        <v>3408</v>
      </c>
      <c r="B854" s="13" t="s">
        <v>153</v>
      </c>
      <c r="C854" s="13" t="s">
        <v>43</v>
      </c>
      <c r="D854" s="13" t="s">
        <v>2324</v>
      </c>
      <c r="E854" s="13" t="s">
        <v>1461</v>
      </c>
      <c r="F854" s="13" t="n">
        <v>2</v>
      </c>
      <c r="G854" s="13" t="n">
        <v>3</v>
      </c>
      <c r="H854" s="5" t="n">
        <v>2690</v>
      </c>
      <c r="I854" s="7" t="n">
        <v>4</v>
      </c>
      <c r="J854" s="16" t="n">
        <v>672.5</v>
      </c>
      <c r="K854" s="16"/>
      <c r="L854" s="16" t="n">
        <v>560</v>
      </c>
      <c r="M854" s="16" t="n">
        <v>710</v>
      </c>
      <c r="N854" s="19" t="n">
        <v>0.267857142857143</v>
      </c>
    </row>
    <row r="855" customFormat="false" ht="15" hidden="false" customHeight="false" outlineLevel="0" collapsed="false">
      <c r="A855" s="13" t="s">
        <v>3409</v>
      </c>
      <c r="B855" s="13" t="s">
        <v>42</v>
      </c>
      <c r="C855" s="13" t="s">
        <v>43</v>
      </c>
      <c r="D855" s="13" t="s">
        <v>2324</v>
      </c>
      <c r="E855" s="13" t="s">
        <v>348</v>
      </c>
      <c r="F855" s="13" t="n">
        <v>1</v>
      </c>
      <c r="G855" s="13" t="n">
        <v>3</v>
      </c>
      <c r="H855" s="5" t="n">
        <v>2660</v>
      </c>
      <c r="I855" s="7" t="n">
        <v>7</v>
      </c>
      <c r="J855" s="16" t="n">
        <v>380</v>
      </c>
      <c r="K855" s="16"/>
      <c r="L855" s="16" t="n">
        <v>380</v>
      </c>
      <c r="M855" s="16"/>
      <c r="N855" s="19"/>
    </row>
    <row r="856" customFormat="false" ht="15" hidden="false" customHeight="false" outlineLevel="0" collapsed="false">
      <c r="A856" s="13" t="s">
        <v>3410</v>
      </c>
      <c r="B856" s="13" t="s">
        <v>79</v>
      </c>
      <c r="C856" s="13" t="s">
        <v>43</v>
      </c>
      <c r="D856" s="13" t="s">
        <v>2324</v>
      </c>
      <c r="E856" s="13" t="s">
        <v>913</v>
      </c>
      <c r="F856" s="13" t="n">
        <v>2</v>
      </c>
      <c r="G856" s="13" t="n">
        <v>2</v>
      </c>
      <c r="H856" s="5" t="n">
        <v>2640</v>
      </c>
      <c r="I856" s="7" t="n">
        <v>3</v>
      </c>
      <c r="J856" s="16" t="n">
        <v>880</v>
      </c>
      <c r="K856" s="16" t="n">
        <v>640</v>
      </c>
      <c r="L856" s="16"/>
      <c r="M856" s="16" t="n">
        <v>1000</v>
      </c>
      <c r="N856" s="19" t="n">
        <v>0.5625</v>
      </c>
    </row>
    <row r="857" customFormat="false" ht="15" hidden="false" customHeight="false" outlineLevel="0" collapsed="false">
      <c r="A857" s="13" t="s">
        <v>3411</v>
      </c>
      <c r="B857" s="13" t="s">
        <v>61</v>
      </c>
      <c r="C857" s="13" t="s">
        <v>43</v>
      </c>
      <c r="D857" s="13" t="s">
        <v>2422</v>
      </c>
      <c r="E857" s="13" t="s">
        <v>887</v>
      </c>
      <c r="F857" s="13" t="n">
        <v>1</v>
      </c>
      <c r="G857" s="13" t="n">
        <v>2</v>
      </c>
      <c r="H857" s="5" t="n">
        <v>2640</v>
      </c>
      <c r="I857" s="7" t="n">
        <v>3</v>
      </c>
      <c r="J857" s="16" t="n">
        <v>880</v>
      </c>
      <c r="K857" s="16"/>
      <c r="L857" s="16"/>
      <c r="M857" s="16" t="n">
        <v>880</v>
      </c>
      <c r="N857" s="19"/>
    </row>
    <row r="858" customFormat="false" ht="15" hidden="false" customHeight="false" outlineLevel="0" collapsed="false">
      <c r="A858" s="13" t="s">
        <v>3412</v>
      </c>
      <c r="B858" s="13" t="s">
        <v>61</v>
      </c>
      <c r="C858" s="13" t="s">
        <v>43</v>
      </c>
      <c r="D858" s="13" t="s">
        <v>2324</v>
      </c>
      <c r="E858" s="13" t="s">
        <v>939</v>
      </c>
      <c r="F858" s="13" t="n">
        <v>1</v>
      </c>
      <c r="G858" s="13" t="n">
        <v>2</v>
      </c>
      <c r="H858" s="5" t="n">
        <v>2640</v>
      </c>
      <c r="I858" s="7" t="n">
        <v>7</v>
      </c>
      <c r="J858" s="16" t="n">
        <v>377.142857142857</v>
      </c>
      <c r="K858" s="16"/>
      <c r="L858" s="16"/>
      <c r="M858" s="16" t="n">
        <v>377.142857142857</v>
      </c>
      <c r="N858" s="19"/>
    </row>
    <row r="859" customFormat="false" ht="15" hidden="false" customHeight="false" outlineLevel="0" collapsed="false">
      <c r="A859" s="13" t="s">
        <v>3413</v>
      </c>
      <c r="B859" s="13" t="s">
        <v>45</v>
      </c>
      <c r="C859" s="13" t="s">
        <v>43</v>
      </c>
      <c r="D859" s="13" t="s">
        <v>2324</v>
      </c>
      <c r="E859" s="13" t="s">
        <v>946</v>
      </c>
      <c r="F859" s="13" t="n">
        <v>1</v>
      </c>
      <c r="G859" s="13" t="n">
        <v>2</v>
      </c>
      <c r="H859" s="5" t="n">
        <v>2620</v>
      </c>
      <c r="I859" s="7" t="n">
        <v>3</v>
      </c>
      <c r="J859" s="16" t="n">
        <v>873.333333333333</v>
      </c>
      <c r="K859" s="16"/>
      <c r="L859" s="16" t="n">
        <v>873.333333333333</v>
      </c>
      <c r="M859" s="16"/>
      <c r="N859" s="19"/>
    </row>
    <row r="860" customFormat="false" ht="15" hidden="false" customHeight="false" outlineLevel="0" collapsed="false">
      <c r="A860" s="13" t="s">
        <v>3414</v>
      </c>
      <c r="B860" s="13" t="s">
        <v>630</v>
      </c>
      <c r="C860" s="13" t="s">
        <v>43</v>
      </c>
      <c r="D860" s="13" t="s">
        <v>2324</v>
      </c>
      <c r="E860" s="13" t="s">
        <v>910</v>
      </c>
      <c r="F860" s="13" t="n">
        <v>2</v>
      </c>
      <c r="G860" s="13" t="n">
        <v>2</v>
      </c>
      <c r="H860" s="5" t="n">
        <v>2620</v>
      </c>
      <c r="I860" s="7" t="n">
        <v>7</v>
      </c>
      <c r="J860" s="16" t="n">
        <v>374.285714285714</v>
      </c>
      <c r="K860" s="16"/>
      <c r="L860" s="16" t="n">
        <v>400</v>
      </c>
      <c r="M860" s="16" t="n">
        <v>310</v>
      </c>
      <c r="N860" s="19" t="n">
        <v>0.290322580645161</v>
      </c>
    </row>
    <row r="861" customFormat="false" ht="15" hidden="false" customHeight="false" outlineLevel="0" collapsed="false">
      <c r="A861" s="13" t="s">
        <v>3415</v>
      </c>
      <c r="B861" s="13" t="s">
        <v>2124</v>
      </c>
      <c r="C861" s="13" t="s">
        <v>43</v>
      </c>
      <c r="D861" s="13" t="s">
        <v>2339</v>
      </c>
      <c r="E861" s="13" t="s">
        <v>3416</v>
      </c>
      <c r="F861" s="13" t="n">
        <v>1</v>
      </c>
      <c r="G861" s="13" t="n">
        <v>1</v>
      </c>
      <c r="H861" s="5" t="n">
        <v>2600</v>
      </c>
      <c r="I861" s="7" t="n">
        <v>40</v>
      </c>
      <c r="J861" s="16" t="n">
        <v>65</v>
      </c>
      <c r="K861" s="16" t="n">
        <v>65</v>
      </c>
      <c r="L861" s="16"/>
      <c r="M861" s="16"/>
      <c r="N861" s="19"/>
    </row>
    <row r="862" customFormat="false" ht="15" hidden="false" customHeight="false" outlineLevel="0" collapsed="false">
      <c r="A862" s="13" t="s">
        <v>3417</v>
      </c>
      <c r="B862" s="13" t="s">
        <v>179</v>
      </c>
      <c r="C862" s="13" t="s">
        <v>180</v>
      </c>
      <c r="D862" s="13" t="s">
        <v>2324</v>
      </c>
      <c r="E862" s="13" t="s">
        <v>766</v>
      </c>
      <c r="F862" s="13" t="n">
        <v>1</v>
      </c>
      <c r="G862" s="13" t="n">
        <v>1</v>
      </c>
      <c r="H862" s="5" t="n">
        <v>2600</v>
      </c>
      <c r="I862" s="7" t="n">
        <v>30</v>
      </c>
      <c r="J862" s="16" t="n">
        <v>86.6666666666667</v>
      </c>
      <c r="K862" s="16" t="n">
        <v>86.6666666666667</v>
      </c>
      <c r="L862" s="16"/>
      <c r="M862" s="16"/>
      <c r="N862" s="19"/>
    </row>
    <row r="863" customFormat="false" ht="15" hidden="false" customHeight="false" outlineLevel="0" collapsed="false">
      <c r="A863" s="13" t="s">
        <v>3418</v>
      </c>
      <c r="B863" s="13" t="s">
        <v>2125</v>
      </c>
      <c r="C863" s="13" t="s">
        <v>85</v>
      </c>
      <c r="D863" s="13" t="s">
        <v>3419</v>
      </c>
      <c r="E863" s="13" t="s">
        <v>3420</v>
      </c>
      <c r="F863" s="13" t="n">
        <v>1</v>
      </c>
      <c r="G863" s="13" t="n">
        <v>1</v>
      </c>
      <c r="H863" s="5" t="n">
        <v>2600</v>
      </c>
      <c r="I863" s="7" t="n">
        <v>70</v>
      </c>
      <c r="J863" s="16" t="n">
        <v>37.1428571428572</v>
      </c>
      <c r="K863" s="16" t="n">
        <v>37.1428571428572</v>
      </c>
      <c r="L863" s="16"/>
      <c r="M863" s="16"/>
      <c r="N863" s="19"/>
    </row>
    <row r="864" customFormat="false" ht="15" hidden="false" customHeight="false" outlineLevel="0" collapsed="false">
      <c r="A864" s="13" t="s">
        <v>3421</v>
      </c>
      <c r="B864" s="13" t="s">
        <v>179</v>
      </c>
      <c r="C864" s="13" t="s">
        <v>85</v>
      </c>
      <c r="D864" s="13" t="s">
        <v>2324</v>
      </c>
      <c r="E864" s="13" t="s">
        <v>768</v>
      </c>
      <c r="F864" s="13" t="n">
        <v>1</v>
      </c>
      <c r="G864" s="13" t="n">
        <v>1</v>
      </c>
      <c r="H864" s="5" t="n">
        <v>2600</v>
      </c>
      <c r="I864" s="7" t="n">
        <v>20</v>
      </c>
      <c r="J864" s="16" t="n">
        <v>130</v>
      </c>
      <c r="K864" s="16" t="n">
        <v>130</v>
      </c>
      <c r="L864" s="16"/>
      <c r="M864" s="16"/>
      <c r="N864" s="19"/>
    </row>
    <row r="865" customFormat="false" ht="15" hidden="false" customHeight="false" outlineLevel="0" collapsed="false">
      <c r="A865" s="13" t="s">
        <v>3422</v>
      </c>
      <c r="B865" s="13" t="s">
        <v>315</v>
      </c>
      <c r="C865" s="13" t="s">
        <v>43</v>
      </c>
      <c r="D865" s="13" t="s">
        <v>2324</v>
      </c>
      <c r="E865" s="13" t="s">
        <v>316</v>
      </c>
      <c r="F865" s="13" t="n">
        <v>1</v>
      </c>
      <c r="G865" s="13" t="n">
        <v>2</v>
      </c>
      <c r="H865" s="5" t="n">
        <v>2600</v>
      </c>
      <c r="I865" s="7" t="n">
        <v>3</v>
      </c>
      <c r="J865" s="16" t="n">
        <v>866.666666666667</v>
      </c>
      <c r="K865" s="16"/>
      <c r="L865" s="16"/>
      <c r="M865" s="16" t="n">
        <v>866.666666666667</v>
      </c>
      <c r="N865" s="19"/>
    </row>
    <row r="866" customFormat="false" ht="15" hidden="false" customHeight="false" outlineLevel="0" collapsed="false">
      <c r="A866" s="13" t="s">
        <v>3423</v>
      </c>
      <c r="B866" s="13" t="s">
        <v>165</v>
      </c>
      <c r="C866" s="13" t="s">
        <v>43</v>
      </c>
      <c r="D866" s="13" t="s">
        <v>2500</v>
      </c>
      <c r="E866" s="13" t="s">
        <v>788</v>
      </c>
      <c r="F866" s="13" t="n">
        <v>1</v>
      </c>
      <c r="G866" s="13" t="n">
        <v>1</v>
      </c>
      <c r="H866" s="5" t="n">
        <v>2600</v>
      </c>
      <c r="I866" s="7" t="n">
        <v>5</v>
      </c>
      <c r="J866" s="16" t="n">
        <v>520</v>
      </c>
      <c r="K866" s="16" t="n">
        <v>520</v>
      </c>
      <c r="L866" s="16"/>
      <c r="M866" s="16"/>
      <c r="N866" s="19"/>
    </row>
    <row r="867" customFormat="false" ht="15" hidden="false" customHeight="false" outlineLevel="0" collapsed="false">
      <c r="A867" s="13" t="s">
        <v>3424</v>
      </c>
      <c r="B867" s="13" t="s">
        <v>79</v>
      </c>
      <c r="C867" s="13" t="s">
        <v>43</v>
      </c>
      <c r="D867" s="13" t="s">
        <v>2327</v>
      </c>
      <c r="E867" s="13" t="s">
        <v>781</v>
      </c>
      <c r="F867" s="13" t="n">
        <v>1</v>
      </c>
      <c r="G867" s="13" t="n">
        <v>1</v>
      </c>
      <c r="H867" s="5" t="n">
        <v>2600</v>
      </c>
      <c r="I867" s="7" t="n">
        <v>2</v>
      </c>
      <c r="J867" s="16" t="n">
        <v>1300</v>
      </c>
      <c r="K867" s="16"/>
      <c r="L867" s="16"/>
      <c r="M867" s="16" t="n">
        <v>1300</v>
      </c>
      <c r="N867" s="19"/>
    </row>
    <row r="868" customFormat="false" ht="15" hidden="false" customHeight="false" outlineLevel="0" collapsed="false">
      <c r="A868" s="13" t="s">
        <v>3425</v>
      </c>
      <c r="B868" s="13" t="s">
        <v>103</v>
      </c>
      <c r="C868" s="13" t="s">
        <v>43</v>
      </c>
      <c r="D868" s="13" t="s">
        <v>2327</v>
      </c>
      <c r="E868" s="13" t="s">
        <v>786</v>
      </c>
      <c r="F868" s="13" t="n">
        <v>1</v>
      </c>
      <c r="G868" s="13" t="n">
        <v>1</v>
      </c>
      <c r="H868" s="5" t="n">
        <v>2600</v>
      </c>
      <c r="I868" s="7" t="n">
        <v>10</v>
      </c>
      <c r="J868" s="16" t="n">
        <v>260</v>
      </c>
      <c r="K868" s="16"/>
      <c r="L868" s="16"/>
      <c r="M868" s="16" t="n">
        <v>260</v>
      </c>
      <c r="N868" s="19"/>
    </row>
    <row r="869" customFormat="false" ht="15" hidden="false" customHeight="false" outlineLevel="0" collapsed="false">
      <c r="A869" s="13" t="s">
        <v>3426</v>
      </c>
      <c r="B869" s="13" t="s">
        <v>45</v>
      </c>
      <c r="C869" s="13" t="s">
        <v>43</v>
      </c>
      <c r="D869" s="13" t="s">
        <v>2324</v>
      </c>
      <c r="E869" s="13" t="s">
        <v>775</v>
      </c>
      <c r="F869" s="13" t="n">
        <v>1</v>
      </c>
      <c r="G869" s="13" t="n">
        <v>1</v>
      </c>
      <c r="H869" s="5" t="n">
        <v>2600</v>
      </c>
      <c r="I869" s="7" t="n">
        <v>2</v>
      </c>
      <c r="J869" s="16" t="n">
        <v>1300</v>
      </c>
      <c r="K869" s="16"/>
      <c r="L869" s="16" t="n">
        <v>1300</v>
      </c>
      <c r="M869" s="16"/>
      <c r="N869" s="19"/>
    </row>
    <row r="870" customFormat="false" ht="15" hidden="false" customHeight="false" outlineLevel="0" collapsed="false">
      <c r="A870" s="13" t="s">
        <v>3427</v>
      </c>
      <c r="B870" s="13" t="s">
        <v>2103</v>
      </c>
      <c r="C870" s="13" t="s">
        <v>85</v>
      </c>
      <c r="D870" s="13" t="s">
        <v>2324</v>
      </c>
      <c r="E870" s="13" t="s">
        <v>3428</v>
      </c>
      <c r="F870" s="13" t="n">
        <v>1</v>
      </c>
      <c r="G870" s="13" t="n">
        <v>1</v>
      </c>
      <c r="H870" s="5" t="n">
        <v>2600</v>
      </c>
      <c r="I870" s="7" t="n">
        <v>20</v>
      </c>
      <c r="J870" s="16" t="n">
        <v>130</v>
      </c>
      <c r="K870" s="16"/>
      <c r="L870" s="16"/>
      <c r="M870" s="16" t="n">
        <v>130</v>
      </c>
      <c r="N870" s="19"/>
    </row>
    <row r="871" customFormat="false" ht="15" hidden="false" customHeight="false" outlineLevel="0" collapsed="false">
      <c r="A871" s="13" t="s">
        <v>3429</v>
      </c>
      <c r="B871" s="13" t="s">
        <v>2138</v>
      </c>
      <c r="C871" s="13" t="s">
        <v>43</v>
      </c>
      <c r="D871" s="13" t="s">
        <v>2339</v>
      </c>
      <c r="E871" s="13" t="s">
        <v>3430</v>
      </c>
      <c r="F871" s="13" t="n">
        <v>1</v>
      </c>
      <c r="G871" s="13" t="n">
        <v>1</v>
      </c>
      <c r="H871" s="5" t="n">
        <v>2600</v>
      </c>
      <c r="I871" s="7" t="n">
        <v>2</v>
      </c>
      <c r="J871" s="16" t="n">
        <v>1300</v>
      </c>
      <c r="K871" s="16"/>
      <c r="L871" s="16" t="n">
        <v>1300</v>
      </c>
      <c r="M871" s="16"/>
      <c r="N871" s="19"/>
    </row>
    <row r="872" customFormat="false" ht="15" hidden="false" customHeight="false" outlineLevel="0" collapsed="false">
      <c r="A872" s="13" t="s">
        <v>3431</v>
      </c>
      <c r="B872" s="13" t="s">
        <v>45</v>
      </c>
      <c r="C872" s="13" t="s">
        <v>43</v>
      </c>
      <c r="D872" s="13" t="s">
        <v>2324</v>
      </c>
      <c r="E872" s="13" t="s">
        <v>771</v>
      </c>
      <c r="F872" s="13" t="n">
        <v>1</v>
      </c>
      <c r="G872" s="13" t="n">
        <v>1</v>
      </c>
      <c r="H872" s="5" t="n">
        <v>2600</v>
      </c>
      <c r="I872" s="7" t="n">
        <v>2</v>
      </c>
      <c r="J872" s="16" t="n">
        <v>1300</v>
      </c>
      <c r="K872" s="16"/>
      <c r="L872" s="16" t="n">
        <v>1300</v>
      </c>
      <c r="M872" s="16"/>
      <c r="N872" s="19"/>
    </row>
    <row r="873" customFormat="false" ht="15" hidden="false" customHeight="false" outlineLevel="0" collapsed="false">
      <c r="A873" s="13" t="s">
        <v>3432</v>
      </c>
      <c r="B873" s="13" t="s">
        <v>45</v>
      </c>
      <c r="C873" s="13" t="s">
        <v>43</v>
      </c>
      <c r="D873" s="13" t="s">
        <v>2324</v>
      </c>
      <c r="E873" s="13" t="s">
        <v>113</v>
      </c>
      <c r="F873" s="13" t="n">
        <v>1</v>
      </c>
      <c r="G873" s="13" t="n">
        <v>2</v>
      </c>
      <c r="H873" s="5" t="n">
        <v>2600</v>
      </c>
      <c r="I873" s="7" t="n">
        <v>4</v>
      </c>
      <c r="J873" s="16" t="n">
        <v>650</v>
      </c>
      <c r="K873" s="16"/>
      <c r="L873" s="16" t="n">
        <v>650</v>
      </c>
      <c r="M873" s="16"/>
      <c r="N873" s="19"/>
    </row>
    <row r="874" customFormat="false" ht="15" hidden="false" customHeight="false" outlineLevel="0" collapsed="false">
      <c r="A874" s="13" t="s">
        <v>3433</v>
      </c>
      <c r="B874" s="13" t="s">
        <v>153</v>
      </c>
      <c r="C874" s="13" t="s">
        <v>43</v>
      </c>
      <c r="D874" s="13" t="s">
        <v>2324</v>
      </c>
      <c r="E874" s="13" t="s">
        <v>772</v>
      </c>
      <c r="F874" s="13" t="n">
        <v>1</v>
      </c>
      <c r="G874" s="13" t="n">
        <v>1</v>
      </c>
      <c r="H874" s="5" t="n">
        <v>2600</v>
      </c>
      <c r="I874" s="7" t="n">
        <v>2</v>
      </c>
      <c r="J874" s="16" t="n">
        <v>1300</v>
      </c>
      <c r="K874" s="16"/>
      <c r="L874" s="16" t="n">
        <v>1300</v>
      </c>
      <c r="M874" s="16"/>
      <c r="N874" s="19"/>
    </row>
    <row r="875" customFormat="false" ht="15" hidden="false" customHeight="false" outlineLevel="0" collapsed="false">
      <c r="A875" s="13" t="s">
        <v>3434</v>
      </c>
      <c r="B875" s="13" t="s">
        <v>286</v>
      </c>
      <c r="C875" s="13" t="s">
        <v>43</v>
      </c>
      <c r="D875" s="13" t="s">
        <v>2339</v>
      </c>
      <c r="E875" s="13" t="s">
        <v>975</v>
      </c>
      <c r="F875" s="13" t="n">
        <v>1</v>
      </c>
      <c r="G875" s="13" t="n">
        <v>2</v>
      </c>
      <c r="H875" s="5" t="n">
        <v>2600</v>
      </c>
      <c r="I875" s="7" t="n">
        <v>4</v>
      </c>
      <c r="J875" s="16" t="n">
        <v>650</v>
      </c>
      <c r="K875" s="16"/>
      <c r="L875" s="16" t="n">
        <v>650</v>
      </c>
      <c r="M875" s="16"/>
      <c r="N875" s="19"/>
    </row>
    <row r="876" customFormat="false" ht="15" hidden="false" customHeight="false" outlineLevel="0" collapsed="false">
      <c r="A876" s="13" t="s">
        <v>3435</v>
      </c>
      <c r="B876" s="13" t="s">
        <v>45</v>
      </c>
      <c r="C876" s="13" t="s">
        <v>43</v>
      </c>
      <c r="D876" s="13" t="s">
        <v>2324</v>
      </c>
      <c r="E876" s="13" t="s">
        <v>279</v>
      </c>
      <c r="F876" s="13" t="n">
        <v>1</v>
      </c>
      <c r="G876" s="13" t="n">
        <v>1</v>
      </c>
      <c r="H876" s="5" t="n">
        <v>2600</v>
      </c>
      <c r="I876" s="7" t="n">
        <v>2</v>
      </c>
      <c r="J876" s="16" t="n">
        <v>1300</v>
      </c>
      <c r="K876" s="16"/>
      <c r="L876" s="16" t="n">
        <v>1300</v>
      </c>
      <c r="M876" s="16"/>
      <c r="N876" s="19"/>
    </row>
    <row r="877" customFormat="false" ht="15" hidden="false" customHeight="false" outlineLevel="0" collapsed="false">
      <c r="A877" s="13" t="s">
        <v>3436</v>
      </c>
      <c r="B877" s="13" t="s">
        <v>490</v>
      </c>
      <c r="C877" s="13" t="s">
        <v>43</v>
      </c>
      <c r="D877" s="13" t="s">
        <v>2422</v>
      </c>
      <c r="E877" s="13" t="s">
        <v>1932</v>
      </c>
      <c r="F877" s="13" t="n">
        <v>2</v>
      </c>
      <c r="G877" s="13" t="n">
        <v>4</v>
      </c>
      <c r="H877" s="5" t="n">
        <v>2600</v>
      </c>
      <c r="I877" s="7" t="n">
        <v>9</v>
      </c>
      <c r="J877" s="16" t="n">
        <v>288.888888888889</v>
      </c>
      <c r="K877" s="16"/>
      <c r="L877" s="16" t="n">
        <v>250</v>
      </c>
      <c r="M877" s="16" t="n">
        <v>300</v>
      </c>
      <c r="N877" s="19" t="n">
        <v>0.2</v>
      </c>
    </row>
    <row r="878" customFormat="false" ht="15" hidden="false" customHeight="false" outlineLevel="0" collapsed="false">
      <c r="A878" s="13" t="s">
        <v>3437</v>
      </c>
      <c r="B878" s="13" t="s">
        <v>79</v>
      </c>
      <c r="C878" s="13" t="s">
        <v>43</v>
      </c>
      <c r="D878" s="13" t="s">
        <v>2324</v>
      </c>
      <c r="E878" s="13" t="s">
        <v>577</v>
      </c>
      <c r="F878" s="13" t="n">
        <v>1</v>
      </c>
      <c r="G878" s="13" t="n">
        <v>1</v>
      </c>
      <c r="H878" s="5" t="n">
        <v>2600</v>
      </c>
      <c r="I878" s="7" t="n">
        <v>2</v>
      </c>
      <c r="J878" s="16" t="n">
        <v>1300</v>
      </c>
      <c r="K878" s="16" t="n">
        <v>1300</v>
      </c>
      <c r="L878" s="16"/>
      <c r="M878" s="16"/>
      <c r="N878" s="19"/>
    </row>
    <row r="879" customFormat="false" ht="15" hidden="false" customHeight="false" outlineLevel="0" collapsed="false">
      <c r="A879" s="13" t="s">
        <v>3438</v>
      </c>
      <c r="B879" s="13" t="s">
        <v>2182</v>
      </c>
      <c r="C879" s="13" t="s">
        <v>57</v>
      </c>
      <c r="D879" s="13" t="s">
        <v>2324</v>
      </c>
      <c r="E879" s="13" t="s">
        <v>3439</v>
      </c>
      <c r="F879" s="13" t="n">
        <v>1</v>
      </c>
      <c r="G879" s="13" t="n">
        <v>2</v>
      </c>
      <c r="H879" s="5" t="n">
        <v>2580</v>
      </c>
      <c r="I879" s="7" t="n">
        <v>22</v>
      </c>
      <c r="J879" s="16" t="n">
        <v>117.272727272727</v>
      </c>
      <c r="K879" s="16" t="n">
        <v>117.272727272727</v>
      </c>
      <c r="L879" s="16"/>
      <c r="M879" s="16"/>
      <c r="N879" s="19"/>
    </row>
    <row r="880" customFormat="false" ht="15" hidden="false" customHeight="false" outlineLevel="0" collapsed="false">
      <c r="A880" s="13" t="s">
        <v>3440</v>
      </c>
      <c r="B880" s="13" t="s">
        <v>286</v>
      </c>
      <c r="C880" s="13" t="s">
        <v>43</v>
      </c>
      <c r="D880" s="13" t="s">
        <v>2324</v>
      </c>
      <c r="E880" s="13" t="s">
        <v>1497</v>
      </c>
      <c r="F880" s="13" t="n">
        <v>2</v>
      </c>
      <c r="G880" s="13" t="n">
        <v>2</v>
      </c>
      <c r="H880" s="5" t="n">
        <v>2580</v>
      </c>
      <c r="I880" s="7" t="n">
        <v>7</v>
      </c>
      <c r="J880" s="16" t="n">
        <v>368.571428571429</v>
      </c>
      <c r="K880" s="16" t="n">
        <v>340</v>
      </c>
      <c r="L880" s="16"/>
      <c r="M880" s="16" t="n">
        <v>380</v>
      </c>
      <c r="N880" s="19" t="n">
        <v>0.117647058823529</v>
      </c>
    </row>
    <row r="881" customFormat="false" ht="15" hidden="false" customHeight="false" outlineLevel="0" collapsed="false">
      <c r="A881" s="13" t="s">
        <v>3441</v>
      </c>
      <c r="B881" s="13" t="s">
        <v>153</v>
      </c>
      <c r="C881" s="13" t="s">
        <v>43</v>
      </c>
      <c r="D881" s="13" t="s">
        <v>2422</v>
      </c>
      <c r="E881" s="13" t="s">
        <v>920</v>
      </c>
      <c r="F881" s="13" t="n">
        <v>2</v>
      </c>
      <c r="G881" s="13" t="n">
        <v>2</v>
      </c>
      <c r="H881" s="5" t="n">
        <v>2570</v>
      </c>
      <c r="I881" s="7" t="n">
        <v>7</v>
      </c>
      <c r="J881" s="16" t="n">
        <v>367.142857142857</v>
      </c>
      <c r="K881" s="16"/>
      <c r="L881" s="16" t="n">
        <v>400</v>
      </c>
      <c r="M881" s="16" t="n">
        <v>285</v>
      </c>
      <c r="N881" s="19" t="n">
        <v>0.403508771929825</v>
      </c>
    </row>
    <row r="882" customFormat="false" ht="15" hidden="false" customHeight="false" outlineLevel="0" collapsed="false">
      <c r="A882" s="13" t="s">
        <v>3442</v>
      </c>
      <c r="B882" s="13" t="s">
        <v>2189</v>
      </c>
      <c r="C882" s="13" t="s">
        <v>43</v>
      </c>
      <c r="D882" s="13" t="s">
        <v>2360</v>
      </c>
      <c r="E882" s="13" t="s">
        <v>3443</v>
      </c>
      <c r="F882" s="13" t="n">
        <v>1</v>
      </c>
      <c r="G882" s="13" t="n">
        <v>2</v>
      </c>
      <c r="H882" s="5" t="n">
        <v>2570</v>
      </c>
      <c r="I882" s="7" t="n">
        <v>3</v>
      </c>
      <c r="J882" s="16" t="n">
        <v>856.666666666667</v>
      </c>
      <c r="K882" s="16"/>
      <c r="L882" s="16" t="n">
        <v>856.666666666667</v>
      </c>
      <c r="M882" s="16"/>
      <c r="N882" s="19"/>
    </row>
    <row r="883" customFormat="false" ht="15" hidden="false" customHeight="false" outlineLevel="0" collapsed="false">
      <c r="A883" s="13" t="s">
        <v>3444</v>
      </c>
      <c r="B883" s="13" t="s">
        <v>61</v>
      </c>
      <c r="C883" s="13" t="s">
        <v>43</v>
      </c>
      <c r="D883" s="13" t="s">
        <v>2324</v>
      </c>
      <c r="E883" s="13" t="s">
        <v>1318</v>
      </c>
      <c r="F883" s="13" t="n">
        <v>1</v>
      </c>
      <c r="G883" s="13" t="n">
        <v>3</v>
      </c>
      <c r="H883" s="5" t="n">
        <v>2560</v>
      </c>
      <c r="I883" s="7" t="n">
        <v>3</v>
      </c>
      <c r="J883" s="16" t="n">
        <v>853.333333333333</v>
      </c>
      <c r="K883" s="16"/>
      <c r="L883" s="16"/>
      <c r="M883" s="16" t="n">
        <v>853.333333333333</v>
      </c>
      <c r="N883" s="19"/>
    </row>
    <row r="884" customFormat="false" ht="15" hidden="false" customHeight="false" outlineLevel="0" collapsed="false">
      <c r="A884" s="13" t="s">
        <v>3445</v>
      </c>
      <c r="B884" s="13" t="s">
        <v>341</v>
      </c>
      <c r="C884" s="13" t="s">
        <v>43</v>
      </c>
      <c r="D884" s="13" t="s">
        <v>3446</v>
      </c>
      <c r="E884" s="13" t="s">
        <v>879</v>
      </c>
      <c r="F884" s="13" t="n">
        <v>1</v>
      </c>
      <c r="G884" s="13" t="n">
        <v>2</v>
      </c>
      <c r="H884" s="5" t="n">
        <v>2550</v>
      </c>
      <c r="I884" s="7" t="n">
        <v>3</v>
      </c>
      <c r="J884" s="16" t="n">
        <v>850</v>
      </c>
      <c r="K884" s="16"/>
      <c r="L884" s="16" t="n">
        <v>850</v>
      </c>
      <c r="M884" s="16"/>
      <c r="N884" s="19"/>
    </row>
    <row r="885" customFormat="false" ht="15" hidden="false" customHeight="false" outlineLevel="0" collapsed="false">
      <c r="A885" s="13" t="s">
        <v>3447</v>
      </c>
      <c r="B885" s="13" t="s">
        <v>2164</v>
      </c>
      <c r="C885" s="13" t="s">
        <v>43</v>
      </c>
      <c r="D885" s="13" t="s">
        <v>2324</v>
      </c>
      <c r="E885" s="13" t="s">
        <v>3448</v>
      </c>
      <c r="F885" s="13" t="n">
        <v>1</v>
      </c>
      <c r="G885" s="13" t="n">
        <v>2</v>
      </c>
      <c r="H885" s="5" t="n">
        <v>2550</v>
      </c>
      <c r="I885" s="7" t="n">
        <v>31</v>
      </c>
      <c r="J885" s="16" t="n">
        <v>82.258064516129</v>
      </c>
      <c r="K885" s="16"/>
      <c r="L885" s="16"/>
      <c r="M885" s="16" t="n">
        <v>82.258064516129</v>
      </c>
      <c r="N885" s="19"/>
    </row>
    <row r="886" customFormat="false" ht="15" hidden="false" customHeight="false" outlineLevel="0" collapsed="false">
      <c r="A886" s="13" t="s">
        <v>3449</v>
      </c>
      <c r="B886" s="13" t="s">
        <v>2110</v>
      </c>
      <c r="C886" s="13" t="s">
        <v>43</v>
      </c>
      <c r="D886" s="13" t="s">
        <v>2339</v>
      </c>
      <c r="E886" s="13" t="s">
        <v>3450</v>
      </c>
      <c r="F886" s="13" t="n">
        <v>2</v>
      </c>
      <c r="G886" s="13" t="n">
        <v>3</v>
      </c>
      <c r="H886" s="5" t="n">
        <v>2550</v>
      </c>
      <c r="I886" s="7" t="n">
        <v>5</v>
      </c>
      <c r="J886" s="16" t="n">
        <v>510</v>
      </c>
      <c r="K886" s="16"/>
      <c r="L886" s="16" t="n">
        <v>450</v>
      </c>
      <c r="M886" s="16" t="n">
        <v>525</v>
      </c>
      <c r="N886" s="19" t="n">
        <v>0.166666666666667</v>
      </c>
    </row>
    <row r="887" customFormat="false" ht="15" hidden="false" customHeight="false" outlineLevel="0" collapsed="false">
      <c r="A887" s="13" t="s">
        <v>3451</v>
      </c>
      <c r="B887" s="13" t="s">
        <v>153</v>
      </c>
      <c r="C887" s="13" t="s">
        <v>43</v>
      </c>
      <c r="D887" s="13" t="s">
        <v>2324</v>
      </c>
      <c r="E887" s="13" t="s">
        <v>1025</v>
      </c>
      <c r="F887" s="13" t="n">
        <v>2</v>
      </c>
      <c r="G887" s="13" t="n">
        <v>2</v>
      </c>
      <c r="H887" s="5" t="n">
        <v>2530</v>
      </c>
      <c r="I887" s="7" t="n">
        <v>7</v>
      </c>
      <c r="J887" s="16" t="n">
        <v>361.428571428571</v>
      </c>
      <c r="K887" s="16"/>
      <c r="L887" s="16" t="n">
        <v>320</v>
      </c>
      <c r="M887" s="16" t="n">
        <v>465</v>
      </c>
      <c r="N887" s="19" t="n">
        <v>0.453125</v>
      </c>
    </row>
    <row r="888" customFormat="false" ht="15" hidden="false" customHeight="false" outlineLevel="0" collapsed="false">
      <c r="A888" s="13" t="s">
        <v>3452</v>
      </c>
      <c r="B888" s="13" t="s">
        <v>153</v>
      </c>
      <c r="C888" s="13" t="s">
        <v>43</v>
      </c>
      <c r="D888" s="13" t="s">
        <v>2324</v>
      </c>
      <c r="E888" s="13" t="s">
        <v>1176</v>
      </c>
      <c r="F888" s="13" t="n">
        <v>1</v>
      </c>
      <c r="G888" s="13" t="n">
        <v>3</v>
      </c>
      <c r="H888" s="5" t="n">
        <v>2530</v>
      </c>
      <c r="I888" s="7" t="n">
        <v>5</v>
      </c>
      <c r="J888" s="16" t="n">
        <v>506</v>
      </c>
      <c r="K888" s="16"/>
      <c r="L888" s="16"/>
      <c r="M888" s="16" t="n">
        <v>506</v>
      </c>
      <c r="N888" s="19"/>
    </row>
    <row r="889" customFormat="false" ht="15" hidden="false" customHeight="false" outlineLevel="0" collapsed="false">
      <c r="A889" s="13" t="s">
        <v>3453</v>
      </c>
      <c r="B889" s="13" t="s">
        <v>2155</v>
      </c>
      <c r="C889" s="13" t="s">
        <v>85</v>
      </c>
      <c r="D889" s="13" t="s">
        <v>2324</v>
      </c>
      <c r="E889" s="13" t="s">
        <v>3454</v>
      </c>
      <c r="F889" s="13" t="n">
        <v>1</v>
      </c>
      <c r="G889" s="13" t="n">
        <v>2</v>
      </c>
      <c r="H889" s="5" t="n">
        <v>2510</v>
      </c>
      <c r="I889" s="7" t="n">
        <v>15</v>
      </c>
      <c r="J889" s="16" t="n">
        <v>167.333333333333</v>
      </c>
      <c r="K889" s="16"/>
      <c r="L889" s="16"/>
      <c r="M889" s="16" t="n">
        <v>167.333333333333</v>
      </c>
      <c r="N889" s="19"/>
    </row>
    <row r="890" customFormat="false" ht="15" hidden="false" customHeight="false" outlineLevel="0" collapsed="false">
      <c r="A890" s="13" t="s">
        <v>3455</v>
      </c>
      <c r="B890" s="13" t="s">
        <v>315</v>
      </c>
      <c r="C890" s="13" t="s">
        <v>43</v>
      </c>
      <c r="D890" s="13" t="s">
        <v>2324</v>
      </c>
      <c r="E890" s="13" t="s">
        <v>316</v>
      </c>
      <c r="F890" s="13" t="n">
        <v>1</v>
      </c>
      <c r="G890" s="13" t="n">
        <v>1</v>
      </c>
      <c r="H890" s="5" t="n">
        <v>2500</v>
      </c>
      <c r="I890" s="7" t="n">
        <v>5</v>
      </c>
      <c r="J890" s="16" t="n">
        <v>500</v>
      </c>
      <c r="K890" s="16"/>
      <c r="L890" s="16"/>
      <c r="M890" s="16" t="n">
        <v>500</v>
      </c>
      <c r="N890" s="19"/>
    </row>
    <row r="891" customFormat="false" ht="15" hidden="false" customHeight="false" outlineLevel="0" collapsed="false">
      <c r="A891" s="13" t="s">
        <v>3456</v>
      </c>
      <c r="B891" s="13" t="s">
        <v>124</v>
      </c>
      <c r="C891" s="13" t="s">
        <v>43</v>
      </c>
      <c r="D891" s="13" t="s">
        <v>2324</v>
      </c>
      <c r="E891" s="13" t="s">
        <v>795</v>
      </c>
      <c r="F891" s="13" t="n">
        <v>1</v>
      </c>
      <c r="G891" s="13" t="n">
        <v>1</v>
      </c>
      <c r="H891" s="5" t="n">
        <v>2500</v>
      </c>
      <c r="I891" s="7" t="n">
        <v>2</v>
      </c>
      <c r="J891" s="16" t="n">
        <v>1250</v>
      </c>
      <c r="K891" s="16"/>
      <c r="L891" s="16"/>
      <c r="M891" s="16" t="n">
        <v>1250</v>
      </c>
      <c r="N891" s="19"/>
    </row>
    <row r="892" customFormat="false" ht="15" hidden="false" customHeight="false" outlineLevel="0" collapsed="false">
      <c r="A892" s="13" t="s">
        <v>3457</v>
      </c>
      <c r="B892" s="13" t="s">
        <v>45</v>
      </c>
      <c r="C892" s="13" t="s">
        <v>43</v>
      </c>
      <c r="D892" s="13" t="s">
        <v>2339</v>
      </c>
      <c r="E892" s="13" t="s">
        <v>803</v>
      </c>
      <c r="F892" s="13" t="n">
        <v>1</v>
      </c>
      <c r="G892" s="13" t="n">
        <v>1</v>
      </c>
      <c r="H892" s="5" t="n">
        <v>2500</v>
      </c>
      <c r="I892" s="7" t="n">
        <v>2</v>
      </c>
      <c r="J892" s="16" t="n">
        <v>1250</v>
      </c>
      <c r="K892" s="16"/>
      <c r="L892" s="16" t="n">
        <v>1250</v>
      </c>
      <c r="M892" s="16"/>
      <c r="N892" s="19"/>
    </row>
    <row r="893" customFormat="false" ht="15" hidden="false" customHeight="false" outlineLevel="0" collapsed="false">
      <c r="A893" s="13" t="s">
        <v>3458</v>
      </c>
      <c r="B893" s="13" t="s">
        <v>50</v>
      </c>
      <c r="C893" s="13" t="s">
        <v>43</v>
      </c>
      <c r="D893" s="13" t="s">
        <v>2324</v>
      </c>
      <c r="E893" s="13" t="s">
        <v>1139</v>
      </c>
      <c r="F893" s="13" t="n">
        <v>1</v>
      </c>
      <c r="G893" s="13" t="n">
        <v>2</v>
      </c>
      <c r="H893" s="5" t="n">
        <v>2500</v>
      </c>
      <c r="I893" s="7" t="n">
        <v>4</v>
      </c>
      <c r="J893" s="16" t="n">
        <v>625</v>
      </c>
      <c r="K893" s="16"/>
      <c r="L893" s="16" t="n">
        <v>625</v>
      </c>
      <c r="M893" s="16"/>
      <c r="N893" s="19"/>
    </row>
    <row r="894" customFormat="false" ht="15" hidden="false" customHeight="false" outlineLevel="0" collapsed="false">
      <c r="A894" s="13" t="s">
        <v>3459</v>
      </c>
      <c r="B894" s="13" t="s">
        <v>179</v>
      </c>
      <c r="C894" s="13" t="s">
        <v>85</v>
      </c>
      <c r="D894" s="13" t="s">
        <v>2324</v>
      </c>
      <c r="E894" s="13" t="s">
        <v>805</v>
      </c>
      <c r="F894" s="13" t="n">
        <v>1</v>
      </c>
      <c r="G894" s="13" t="n">
        <v>1</v>
      </c>
      <c r="H894" s="5" t="n">
        <v>2500</v>
      </c>
      <c r="I894" s="7" t="n">
        <v>5</v>
      </c>
      <c r="J894" s="16" t="n">
        <v>500</v>
      </c>
      <c r="K894" s="16" t="n">
        <v>500</v>
      </c>
      <c r="L894" s="16"/>
      <c r="M894" s="16"/>
      <c r="N894" s="19"/>
    </row>
    <row r="895" customFormat="false" ht="15" hidden="false" customHeight="false" outlineLevel="0" collapsed="false">
      <c r="A895" s="13" t="s">
        <v>3460</v>
      </c>
      <c r="B895" s="13" t="s">
        <v>315</v>
      </c>
      <c r="C895" s="13" t="s">
        <v>43</v>
      </c>
      <c r="D895" s="13" t="s">
        <v>2324</v>
      </c>
      <c r="E895" s="13" t="s">
        <v>906</v>
      </c>
      <c r="F895" s="13" t="n">
        <v>1</v>
      </c>
      <c r="G895" s="13" t="n">
        <v>2</v>
      </c>
      <c r="H895" s="5" t="n">
        <v>2500</v>
      </c>
      <c r="I895" s="7" t="n">
        <v>3</v>
      </c>
      <c r="J895" s="16" t="n">
        <v>833.333333333333</v>
      </c>
      <c r="K895" s="16"/>
      <c r="L895" s="16"/>
      <c r="M895" s="16" t="n">
        <v>833.333333333333</v>
      </c>
      <c r="N895" s="19"/>
    </row>
    <row r="896" customFormat="false" ht="15" hidden="false" customHeight="false" outlineLevel="0" collapsed="false">
      <c r="A896" s="13" t="s">
        <v>3461</v>
      </c>
      <c r="B896" s="13" t="s">
        <v>2150</v>
      </c>
      <c r="C896" s="13" t="s">
        <v>43</v>
      </c>
      <c r="D896" s="13" t="s">
        <v>2324</v>
      </c>
      <c r="E896" s="13" t="s">
        <v>3462</v>
      </c>
      <c r="F896" s="13" t="n">
        <v>1</v>
      </c>
      <c r="G896" s="13" t="n">
        <v>3</v>
      </c>
      <c r="H896" s="5" t="n">
        <v>2490</v>
      </c>
      <c r="I896" s="7" t="n">
        <v>13</v>
      </c>
      <c r="J896" s="16" t="n">
        <v>191.538461538462</v>
      </c>
      <c r="K896" s="16"/>
      <c r="L896" s="16"/>
      <c r="M896" s="16" t="n">
        <v>191.538461538462</v>
      </c>
      <c r="N896" s="19"/>
    </row>
    <row r="897" customFormat="false" ht="15" hidden="false" customHeight="false" outlineLevel="0" collapsed="false">
      <c r="A897" s="13" t="s">
        <v>3463</v>
      </c>
      <c r="B897" s="13" t="s">
        <v>177</v>
      </c>
      <c r="C897" s="13" t="s">
        <v>43</v>
      </c>
      <c r="D897" s="13" t="s">
        <v>2500</v>
      </c>
      <c r="E897" s="13" t="s">
        <v>1153</v>
      </c>
      <c r="F897" s="13" t="n">
        <v>2</v>
      </c>
      <c r="G897" s="13" t="n">
        <v>3</v>
      </c>
      <c r="H897" s="5" t="n">
        <v>2470</v>
      </c>
      <c r="I897" s="7" t="n">
        <v>4</v>
      </c>
      <c r="J897" s="16" t="n">
        <v>617.5</v>
      </c>
      <c r="K897" s="16"/>
      <c r="L897" s="16" t="n">
        <v>616.666666666667</v>
      </c>
      <c r="M897" s="16" t="n">
        <v>620</v>
      </c>
      <c r="N897" s="19" t="n">
        <v>0.00540540540540547</v>
      </c>
    </row>
    <row r="898" customFormat="false" ht="15" hidden="false" customHeight="false" outlineLevel="0" collapsed="false">
      <c r="A898" s="13" t="s">
        <v>3464</v>
      </c>
      <c r="B898" s="13" t="s">
        <v>61</v>
      </c>
      <c r="C898" s="13" t="s">
        <v>43</v>
      </c>
      <c r="D898" s="13" t="s">
        <v>2324</v>
      </c>
      <c r="E898" s="13" t="s">
        <v>212</v>
      </c>
      <c r="F898" s="13" t="n">
        <v>1</v>
      </c>
      <c r="G898" s="13" t="n">
        <v>3</v>
      </c>
      <c r="H898" s="5" t="n">
        <v>2430</v>
      </c>
      <c r="I898" s="7" t="n">
        <v>4</v>
      </c>
      <c r="J898" s="16" t="n">
        <v>607.5</v>
      </c>
      <c r="K898" s="16"/>
      <c r="L898" s="16"/>
      <c r="M898" s="16" t="n">
        <v>607.5</v>
      </c>
      <c r="N898" s="19"/>
    </row>
    <row r="899" customFormat="false" ht="15" hidden="false" customHeight="false" outlineLevel="0" collapsed="false">
      <c r="A899" s="13" t="s">
        <v>3465</v>
      </c>
      <c r="B899" s="13" t="s">
        <v>362</v>
      </c>
      <c r="C899" s="13" t="s">
        <v>43</v>
      </c>
      <c r="D899" s="13" t="s">
        <v>2339</v>
      </c>
      <c r="E899" s="13" t="s">
        <v>968</v>
      </c>
      <c r="F899" s="13" t="n">
        <v>1</v>
      </c>
      <c r="G899" s="13" t="n">
        <v>2</v>
      </c>
      <c r="H899" s="5" t="n">
        <v>2430</v>
      </c>
      <c r="I899" s="7" t="n">
        <v>3</v>
      </c>
      <c r="J899" s="16" t="n">
        <v>810</v>
      </c>
      <c r="K899" s="16"/>
      <c r="L899" s="16" t="n">
        <v>810</v>
      </c>
      <c r="M899" s="16"/>
      <c r="N899" s="19"/>
    </row>
    <row r="900" customFormat="false" ht="15" hidden="false" customHeight="false" outlineLevel="0" collapsed="false">
      <c r="A900" s="13" t="s">
        <v>3466</v>
      </c>
      <c r="B900" s="13" t="s">
        <v>79</v>
      </c>
      <c r="C900" s="13" t="s">
        <v>43</v>
      </c>
      <c r="D900" s="13" t="s">
        <v>2324</v>
      </c>
      <c r="E900" s="13" t="s">
        <v>522</v>
      </c>
      <c r="F900" s="13" t="n">
        <v>1</v>
      </c>
      <c r="G900" s="13" t="n">
        <v>2</v>
      </c>
      <c r="H900" s="5" t="n">
        <v>2430</v>
      </c>
      <c r="I900" s="7" t="n">
        <v>3</v>
      </c>
      <c r="J900" s="16" t="n">
        <v>810</v>
      </c>
      <c r="K900" s="16"/>
      <c r="L900" s="16" t="n">
        <v>810</v>
      </c>
      <c r="M900" s="16"/>
      <c r="N900" s="19"/>
    </row>
    <row r="901" customFormat="false" ht="15" hidden="false" customHeight="false" outlineLevel="0" collapsed="false">
      <c r="A901" s="13" t="s">
        <v>3467</v>
      </c>
      <c r="B901" s="13" t="s">
        <v>69</v>
      </c>
      <c r="C901" s="13" t="s">
        <v>43</v>
      </c>
      <c r="D901" s="13" t="s">
        <v>2500</v>
      </c>
      <c r="E901" s="13" t="s">
        <v>1349</v>
      </c>
      <c r="F901" s="13" t="n">
        <v>2</v>
      </c>
      <c r="G901" s="13" t="n">
        <v>3</v>
      </c>
      <c r="H901" s="5" t="n">
        <v>2420</v>
      </c>
      <c r="I901" s="7" t="n">
        <v>3</v>
      </c>
      <c r="J901" s="16" t="n">
        <v>806.666666666667</v>
      </c>
      <c r="K901" s="16"/>
      <c r="L901" s="16" t="n">
        <v>810</v>
      </c>
      <c r="M901" s="16" t="n">
        <v>800</v>
      </c>
      <c r="N901" s="19" t="n">
        <v>0.0125</v>
      </c>
    </row>
    <row r="902" customFormat="false" ht="15" hidden="false" customHeight="false" outlineLevel="0" collapsed="false">
      <c r="A902" s="13" t="s">
        <v>3468</v>
      </c>
      <c r="B902" s="13" t="s">
        <v>2111</v>
      </c>
      <c r="C902" s="13" t="s">
        <v>43</v>
      </c>
      <c r="D902" s="13" t="s">
        <v>2324</v>
      </c>
      <c r="E902" s="13" t="s">
        <v>3132</v>
      </c>
      <c r="F902" s="13" t="n">
        <v>1</v>
      </c>
      <c r="G902" s="13" t="n">
        <v>2</v>
      </c>
      <c r="H902" s="5" t="n">
        <v>2410</v>
      </c>
      <c r="I902" s="7" t="n">
        <v>6</v>
      </c>
      <c r="J902" s="16" t="n">
        <v>401.666666666667</v>
      </c>
      <c r="K902" s="16"/>
      <c r="L902" s="16" t="n">
        <v>401.666666666667</v>
      </c>
      <c r="M902" s="16"/>
      <c r="N902" s="19"/>
    </row>
    <row r="903" customFormat="false" ht="15" hidden="false" customHeight="false" outlineLevel="0" collapsed="false">
      <c r="A903" s="13" t="s">
        <v>3469</v>
      </c>
      <c r="B903" s="13" t="s">
        <v>61</v>
      </c>
      <c r="C903" s="13" t="s">
        <v>43</v>
      </c>
      <c r="D903" s="13" t="s">
        <v>2324</v>
      </c>
      <c r="E903" s="13" t="s">
        <v>950</v>
      </c>
      <c r="F903" s="13" t="n">
        <v>1</v>
      </c>
      <c r="G903" s="13" t="n">
        <v>2</v>
      </c>
      <c r="H903" s="5" t="n">
        <v>2410</v>
      </c>
      <c r="I903" s="7" t="n">
        <v>3</v>
      </c>
      <c r="J903" s="16" t="n">
        <v>803.333333333333</v>
      </c>
      <c r="K903" s="16"/>
      <c r="L903" s="16"/>
      <c r="M903" s="16" t="n">
        <v>803.333333333333</v>
      </c>
      <c r="N903" s="19"/>
    </row>
    <row r="904" customFormat="false" ht="15" hidden="false" customHeight="false" outlineLevel="0" collapsed="false">
      <c r="A904" s="13" t="s">
        <v>3470</v>
      </c>
      <c r="B904" s="13" t="s">
        <v>61</v>
      </c>
      <c r="C904" s="13" t="s">
        <v>183</v>
      </c>
      <c r="D904" s="13" t="s">
        <v>2324</v>
      </c>
      <c r="E904" s="13" t="s">
        <v>815</v>
      </c>
      <c r="F904" s="13" t="n">
        <v>1</v>
      </c>
      <c r="G904" s="13" t="n">
        <v>1</v>
      </c>
      <c r="H904" s="5" t="n">
        <v>2400</v>
      </c>
      <c r="I904" s="7" t="n">
        <v>2</v>
      </c>
      <c r="J904" s="16" t="n">
        <v>1200</v>
      </c>
      <c r="K904" s="16"/>
      <c r="L904" s="16"/>
      <c r="M904" s="16" t="n">
        <v>1200</v>
      </c>
      <c r="N904" s="19"/>
    </row>
    <row r="905" customFormat="false" ht="15" hidden="false" customHeight="false" outlineLevel="0" collapsed="false">
      <c r="A905" s="13" t="s">
        <v>3471</v>
      </c>
      <c r="B905" s="13" t="s">
        <v>193</v>
      </c>
      <c r="C905" s="13" t="s">
        <v>43</v>
      </c>
      <c r="D905" s="13" t="s">
        <v>2324</v>
      </c>
      <c r="E905" s="13" t="s">
        <v>238</v>
      </c>
      <c r="F905" s="13" t="n">
        <v>1</v>
      </c>
      <c r="G905" s="13" t="n">
        <v>2</v>
      </c>
      <c r="H905" s="5" t="n">
        <v>2400</v>
      </c>
      <c r="I905" s="7" t="n">
        <v>3</v>
      </c>
      <c r="J905" s="16" t="n">
        <v>800</v>
      </c>
      <c r="K905" s="16"/>
      <c r="L905" s="16"/>
      <c r="M905" s="16" t="n">
        <v>800</v>
      </c>
      <c r="N905" s="19"/>
    </row>
    <row r="906" customFormat="false" ht="15" hidden="false" customHeight="false" outlineLevel="0" collapsed="false">
      <c r="A906" s="13" t="s">
        <v>3472</v>
      </c>
      <c r="B906" s="13" t="s">
        <v>42</v>
      </c>
      <c r="C906" s="13" t="s">
        <v>43</v>
      </c>
      <c r="D906" s="13" t="s">
        <v>2324</v>
      </c>
      <c r="E906" s="13" t="s">
        <v>824</v>
      </c>
      <c r="F906" s="13" t="n">
        <v>1</v>
      </c>
      <c r="G906" s="13" t="n">
        <v>1</v>
      </c>
      <c r="H906" s="5" t="n">
        <v>2400</v>
      </c>
      <c r="I906" s="7" t="n">
        <v>2</v>
      </c>
      <c r="J906" s="16" t="n">
        <v>1200</v>
      </c>
      <c r="K906" s="16"/>
      <c r="L906" s="16" t="n">
        <v>1200</v>
      </c>
      <c r="M906" s="16"/>
      <c r="N906" s="19"/>
    </row>
    <row r="907" customFormat="false" ht="15" hidden="false" customHeight="false" outlineLevel="0" collapsed="false">
      <c r="A907" s="13" t="s">
        <v>3473</v>
      </c>
      <c r="B907" s="13" t="s">
        <v>2152</v>
      </c>
      <c r="C907" s="13" t="s">
        <v>43</v>
      </c>
      <c r="D907" s="13" t="s">
        <v>2339</v>
      </c>
      <c r="E907" s="13" t="s">
        <v>3474</v>
      </c>
      <c r="F907" s="13" t="n">
        <v>1</v>
      </c>
      <c r="G907" s="13" t="n">
        <v>1</v>
      </c>
      <c r="H907" s="5" t="n">
        <v>2400</v>
      </c>
      <c r="I907" s="7" t="n">
        <v>10</v>
      </c>
      <c r="J907" s="16" t="n">
        <v>240</v>
      </c>
      <c r="K907" s="16" t="n">
        <v>240</v>
      </c>
      <c r="L907" s="16"/>
      <c r="M907" s="16"/>
      <c r="N907" s="19"/>
    </row>
    <row r="908" customFormat="false" ht="15" hidden="false" customHeight="false" outlineLevel="0" collapsed="false">
      <c r="A908" s="13" t="s">
        <v>3475</v>
      </c>
      <c r="B908" s="13" t="s">
        <v>490</v>
      </c>
      <c r="C908" s="13" t="s">
        <v>43</v>
      </c>
      <c r="D908" s="13" t="s">
        <v>2324</v>
      </c>
      <c r="E908" s="13" t="s">
        <v>1013</v>
      </c>
      <c r="F908" s="13" t="n">
        <v>1</v>
      </c>
      <c r="G908" s="13" t="n">
        <v>3</v>
      </c>
      <c r="H908" s="5" t="n">
        <v>2400</v>
      </c>
      <c r="I908" s="7" t="n">
        <v>4</v>
      </c>
      <c r="J908" s="16" t="n">
        <v>600</v>
      </c>
      <c r="K908" s="16"/>
      <c r="L908" s="16"/>
      <c r="M908" s="16" t="n">
        <v>600</v>
      </c>
      <c r="N908" s="19"/>
    </row>
    <row r="909" customFormat="false" ht="15" hidden="false" customHeight="false" outlineLevel="0" collapsed="false">
      <c r="A909" s="13" t="s">
        <v>3476</v>
      </c>
      <c r="B909" s="13" t="s">
        <v>175</v>
      </c>
      <c r="C909" s="13" t="s">
        <v>98</v>
      </c>
      <c r="D909" s="13" t="s">
        <v>2324</v>
      </c>
      <c r="E909" s="13" t="s">
        <v>820</v>
      </c>
      <c r="F909" s="13" t="n">
        <v>1</v>
      </c>
      <c r="G909" s="13" t="n">
        <v>1</v>
      </c>
      <c r="H909" s="5" t="n">
        <v>2400</v>
      </c>
      <c r="I909" s="7" t="n">
        <v>5</v>
      </c>
      <c r="J909" s="16" t="n">
        <v>480</v>
      </c>
      <c r="K909" s="16" t="n">
        <v>480</v>
      </c>
      <c r="L909" s="16"/>
      <c r="M909" s="16"/>
      <c r="N909" s="19"/>
    </row>
    <row r="910" customFormat="false" ht="15" hidden="false" customHeight="false" outlineLevel="0" collapsed="false">
      <c r="A910" s="13" t="s">
        <v>3477</v>
      </c>
      <c r="B910" s="13" t="s">
        <v>2214</v>
      </c>
      <c r="C910" s="13" t="s">
        <v>168</v>
      </c>
      <c r="D910" s="13" t="s">
        <v>2324</v>
      </c>
      <c r="E910" s="13" t="s">
        <v>3478</v>
      </c>
      <c r="F910" s="13" t="n">
        <v>1</v>
      </c>
      <c r="G910" s="13" t="n">
        <v>1</v>
      </c>
      <c r="H910" s="5" t="n">
        <v>2400</v>
      </c>
      <c r="I910" s="7" t="n">
        <v>20</v>
      </c>
      <c r="J910" s="16" t="n">
        <v>120</v>
      </c>
      <c r="K910" s="16" t="n">
        <v>120</v>
      </c>
      <c r="L910" s="16"/>
      <c r="M910" s="16"/>
      <c r="N910" s="19"/>
    </row>
    <row r="911" customFormat="false" ht="15" hidden="false" customHeight="false" outlineLevel="0" collapsed="false">
      <c r="A911" s="13" t="s">
        <v>3479</v>
      </c>
      <c r="B911" s="13" t="s">
        <v>2107</v>
      </c>
      <c r="C911" s="13" t="s">
        <v>43</v>
      </c>
      <c r="D911" s="13" t="s">
        <v>2339</v>
      </c>
      <c r="E911" s="13" t="s">
        <v>3480</v>
      </c>
      <c r="F911" s="13" t="n">
        <v>1</v>
      </c>
      <c r="G911" s="13" t="n">
        <v>2</v>
      </c>
      <c r="H911" s="5" t="n">
        <v>2400</v>
      </c>
      <c r="I911" s="7" t="n">
        <v>30</v>
      </c>
      <c r="J911" s="16" t="n">
        <v>80</v>
      </c>
      <c r="K911" s="16" t="n">
        <v>80</v>
      </c>
      <c r="L911" s="16"/>
      <c r="M911" s="16"/>
      <c r="N911" s="19"/>
    </row>
    <row r="912" customFormat="false" ht="15" hidden="false" customHeight="false" outlineLevel="0" collapsed="false">
      <c r="A912" s="13" t="s">
        <v>3481</v>
      </c>
      <c r="B912" s="13" t="s">
        <v>50</v>
      </c>
      <c r="C912" s="13" t="s">
        <v>43</v>
      </c>
      <c r="D912" s="13" t="s">
        <v>2324</v>
      </c>
      <c r="E912" s="13" t="s">
        <v>818</v>
      </c>
      <c r="F912" s="13" t="n">
        <v>1</v>
      </c>
      <c r="G912" s="13" t="n">
        <v>1</v>
      </c>
      <c r="H912" s="5" t="n">
        <v>2400</v>
      </c>
      <c r="I912" s="7" t="n">
        <v>5</v>
      </c>
      <c r="J912" s="16" t="n">
        <v>480</v>
      </c>
      <c r="K912" s="16"/>
      <c r="L912" s="16" t="n">
        <v>480</v>
      </c>
      <c r="M912" s="16"/>
      <c r="N912" s="19"/>
    </row>
    <row r="913" customFormat="false" ht="15" hidden="false" customHeight="false" outlineLevel="0" collapsed="false">
      <c r="A913" s="13" t="s">
        <v>3482</v>
      </c>
      <c r="B913" s="13" t="s">
        <v>2126</v>
      </c>
      <c r="C913" s="13" t="s">
        <v>85</v>
      </c>
      <c r="D913" s="13" t="s">
        <v>2324</v>
      </c>
      <c r="E913" s="13" t="s">
        <v>3483</v>
      </c>
      <c r="F913" s="13" t="n">
        <v>1</v>
      </c>
      <c r="G913" s="13" t="n">
        <v>1</v>
      </c>
      <c r="H913" s="5" t="n">
        <v>2400</v>
      </c>
      <c r="I913" s="7" t="n">
        <v>40</v>
      </c>
      <c r="J913" s="16" t="n">
        <v>60</v>
      </c>
      <c r="K913" s="16" t="n">
        <v>60</v>
      </c>
      <c r="L913" s="16"/>
      <c r="M913" s="16"/>
      <c r="N913" s="19"/>
    </row>
    <row r="914" customFormat="false" ht="15" hidden="false" customHeight="false" outlineLevel="0" collapsed="false">
      <c r="A914" s="13" t="s">
        <v>3484</v>
      </c>
      <c r="B914" s="13" t="s">
        <v>2124</v>
      </c>
      <c r="C914" s="13" t="s">
        <v>43</v>
      </c>
      <c r="D914" s="13" t="s">
        <v>2324</v>
      </c>
      <c r="E914" s="13" t="s">
        <v>3485</v>
      </c>
      <c r="F914" s="13" t="n">
        <v>1</v>
      </c>
      <c r="G914" s="13" t="n">
        <v>1</v>
      </c>
      <c r="H914" s="5" t="n">
        <v>2400</v>
      </c>
      <c r="I914" s="7" t="n">
        <v>30</v>
      </c>
      <c r="J914" s="16" t="n">
        <v>80</v>
      </c>
      <c r="K914" s="16" t="n">
        <v>80</v>
      </c>
      <c r="L914" s="16"/>
      <c r="M914" s="16"/>
      <c r="N914" s="19"/>
    </row>
    <row r="915" customFormat="false" ht="15" hidden="false" customHeight="false" outlineLevel="0" collapsed="false">
      <c r="A915" s="13" t="s">
        <v>3486</v>
      </c>
      <c r="B915" s="13" t="s">
        <v>2191</v>
      </c>
      <c r="C915" s="13" t="s">
        <v>85</v>
      </c>
      <c r="D915" s="13" t="s">
        <v>2324</v>
      </c>
      <c r="E915" s="13" t="s">
        <v>3487</v>
      </c>
      <c r="F915" s="13" t="n">
        <v>1</v>
      </c>
      <c r="G915" s="13" t="n">
        <v>1</v>
      </c>
      <c r="H915" s="5" t="n">
        <v>2400</v>
      </c>
      <c r="I915" s="7" t="n">
        <v>5</v>
      </c>
      <c r="J915" s="16" t="n">
        <v>480</v>
      </c>
      <c r="K915" s="16" t="n">
        <v>480</v>
      </c>
      <c r="L915" s="16"/>
      <c r="M915" s="16"/>
      <c r="N915" s="19"/>
    </row>
    <row r="916" customFormat="false" ht="15" hidden="false" customHeight="false" outlineLevel="0" collapsed="false">
      <c r="A916" s="13" t="s">
        <v>3488</v>
      </c>
      <c r="B916" s="13" t="s">
        <v>2130</v>
      </c>
      <c r="C916" s="13" t="s">
        <v>43</v>
      </c>
      <c r="D916" s="13" t="s">
        <v>2324</v>
      </c>
      <c r="E916" s="13" t="s">
        <v>3489</v>
      </c>
      <c r="F916" s="13" t="n">
        <v>1</v>
      </c>
      <c r="G916" s="13" t="n">
        <v>1</v>
      </c>
      <c r="H916" s="5" t="n">
        <v>2400</v>
      </c>
      <c r="I916" s="7" t="n">
        <v>2</v>
      </c>
      <c r="J916" s="16" t="n">
        <v>1200</v>
      </c>
      <c r="K916" s="16"/>
      <c r="L916" s="16"/>
      <c r="M916" s="16" t="n">
        <v>1200</v>
      </c>
      <c r="N916" s="19"/>
    </row>
    <row r="917" customFormat="false" ht="15" hidden="false" customHeight="false" outlineLevel="0" collapsed="false">
      <c r="A917" s="13" t="s">
        <v>3490</v>
      </c>
      <c r="B917" s="13" t="s">
        <v>61</v>
      </c>
      <c r="C917" s="13" t="s">
        <v>43</v>
      </c>
      <c r="D917" s="13" t="s">
        <v>3005</v>
      </c>
      <c r="E917" s="13" t="s">
        <v>1118</v>
      </c>
      <c r="F917" s="13" t="n">
        <v>1</v>
      </c>
      <c r="G917" s="13" t="n">
        <v>2</v>
      </c>
      <c r="H917" s="5" t="n">
        <v>2400</v>
      </c>
      <c r="I917" s="7" t="n">
        <v>4</v>
      </c>
      <c r="J917" s="16" t="n">
        <v>600</v>
      </c>
      <c r="K917" s="16"/>
      <c r="L917" s="16"/>
      <c r="M917" s="16" t="n">
        <v>600</v>
      </c>
      <c r="N917" s="19"/>
    </row>
    <row r="918" customFormat="false" ht="15" hidden="false" customHeight="false" outlineLevel="0" collapsed="false">
      <c r="A918" s="13" t="s">
        <v>3491</v>
      </c>
      <c r="B918" s="13" t="s">
        <v>2213</v>
      </c>
      <c r="C918" s="13" t="s">
        <v>85</v>
      </c>
      <c r="D918" s="13" t="s">
        <v>2324</v>
      </c>
      <c r="E918" s="13" t="s">
        <v>3492</v>
      </c>
      <c r="F918" s="13" t="n">
        <v>1</v>
      </c>
      <c r="G918" s="13" t="n">
        <v>1</v>
      </c>
      <c r="H918" s="5" t="n">
        <v>2400</v>
      </c>
      <c r="I918" s="7" t="n">
        <v>10</v>
      </c>
      <c r="J918" s="16" t="n">
        <v>240</v>
      </c>
      <c r="K918" s="16" t="n">
        <v>240</v>
      </c>
      <c r="L918" s="16"/>
      <c r="M918" s="16"/>
      <c r="N918" s="19"/>
    </row>
    <row r="919" customFormat="false" ht="15" hidden="false" customHeight="false" outlineLevel="0" collapsed="false">
      <c r="A919" s="13" t="s">
        <v>3493</v>
      </c>
      <c r="B919" s="13" t="s">
        <v>2212</v>
      </c>
      <c r="C919" s="13" t="s">
        <v>43</v>
      </c>
      <c r="D919" s="13" t="s">
        <v>2324</v>
      </c>
      <c r="E919" s="13" t="s">
        <v>3494</v>
      </c>
      <c r="F919" s="13" t="n">
        <v>1</v>
      </c>
      <c r="G919" s="13" t="n">
        <v>1</v>
      </c>
      <c r="H919" s="5" t="n">
        <v>2400</v>
      </c>
      <c r="I919" s="7" t="n">
        <v>30</v>
      </c>
      <c r="J919" s="16" t="n">
        <v>80</v>
      </c>
      <c r="K919" s="16" t="n">
        <v>80</v>
      </c>
      <c r="L919" s="16"/>
      <c r="M919" s="16"/>
      <c r="N919" s="19"/>
    </row>
    <row r="920" customFormat="false" ht="15" hidden="false" customHeight="false" outlineLevel="0" collapsed="false">
      <c r="A920" s="13" t="s">
        <v>3495</v>
      </c>
      <c r="B920" s="13" t="s">
        <v>72</v>
      </c>
      <c r="C920" s="13" t="s">
        <v>43</v>
      </c>
      <c r="D920" s="13" t="s">
        <v>2324</v>
      </c>
      <c r="E920" s="13" t="s">
        <v>159</v>
      </c>
      <c r="F920" s="13" t="n">
        <v>1</v>
      </c>
      <c r="G920" s="13" t="n">
        <v>2</v>
      </c>
      <c r="H920" s="5" t="n">
        <v>2390</v>
      </c>
      <c r="I920" s="7" t="n">
        <v>3</v>
      </c>
      <c r="J920" s="16" t="n">
        <v>796.666666666667</v>
      </c>
      <c r="K920" s="16"/>
      <c r="L920" s="16"/>
      <c r="M920" s="16" t="n">
        <v>796.666666666667</v>
      </c>
      <c r="N920" s="19"/>
    </row>
    <row r="921" customFormat="false" ht="15" hidden="false" customHeight="false" outlineLevel="0" collapsed="false">
      <c r="A921" s="13" t="s">
        <v>3496</v>
      </c>
      <c r="B921" s="13" t="s">
        <v>107</v>
      </c>
      <c r="C921" s="13" t="s">
        <v>183</v>
      </c>
      <c r="D921" s="13" t="s">
        <v>2324</v>
      </c>
      <c r="E921" s="13" t="s">
        <v>882</v>
      </c>
      <c r="F921" s="13" t="n">
        <v>1</v>
      </c>
      <c r="G921" s="13" t="n">
        <v>2</v>
      </c>
      <c r="H921" s="5" t="n">
        <v>2380</v>
      </c>
      <c r="I921" s="7" t="n">
        <v>6</v>
      </c>
      <c r="J921" s="16" t="n">
        <v>396.666666666667</v>
      </c>
      <c r="K921" s="16"/>
      <c r="L921" s="16"/>
      <c r="M921" s="16" t="n">
        <v>396.666666666667</v>
      </c>
      <c r="N921" s="19"/>
    </row>
    <row r="922" customFormat="false" ht="15" hidden="false" customHeight="false" outlineLevel="0" collapsed="false">
      <c r="A922" s="13" t="s">
        <v>3497</v>
      </c>
      <c r="B922" s="13" t="s">
        <v>124</v>
      </c>
      <c r="C922" s="13" t="s">
        <v>43</v>
      </c>
      <c r="D922" s="13" t="s">
        <v>2324</v>
      </c>
      <c r="E922" s="13" t="s">
        <v>370</v>
      </c>
      <c r="F922" s="13" t="n">
        <v>1</v>
      </c>
      <c r="G922" s="13" t="n">
        <v>3</v>
      </c>
      <c r="H922" s="5" t="n">
        <v>2370</v>
      </c>
      <c r="I922" s="7" t="n">
        <v>4</v>
      </c>
      <c r="J922" s="16" t="n">
        <v>592.5</v>
      </c>
      <c r="K922" s="16"/>
      <c r="L922" s="16"/>
      <c r="M922" s="16" t="n">
        <v>592.5</v>
      </c>
      <c r="N922" s="19"/>
    </row>
    <row r="923" customFormat="false" ht="15" hidden="false" customHeight="false" outlineLevel="0" collapsed="false">
      <c r="A923" s="13" t="s">
        <v>3498</v>
      </c>
      <c r="B923" s="13" t="s">
        <v>50</v>
      </c>
      <c r="C923" s="13" t="s">
        <v>43</v>
      </c>
      <c r="D923" s="13" t="s">
        <v>2422</v>
      </c>
      <c r="E923" s="13" t="s">
        <v>1028</v>
      </c>
      <c r="F923" s="13" t="n">
        <v>2</v>
      </c>
      <c r="G923" s="13" t="n">
        <v>2</v>
      </c>
      <c r="H923" s="5" t="n">
        <v>2360</v>
      </c>
      <c r="I923" s="7" t="n">
        <v>4</v>
      </c>
      <c r="J923" s="16" t="n">
        <v>590</v>
      </c>
      <c r="K923" s="16"/>
      <c r="L923" s="16" t="n">
        <v>750</v>
      </c>
      <c r="M923" s="16" t="n">
        <v>430</v>
      </c>
      <c r="N923" s="19" t="n">
        <v>0.744186046511628</v>
      </c>
    </row>
    <row r="924" customFormat="false" ht="15" hidden="false" customHeight="false" outlineLevel="0" collapsed="false">
      <c r="A924" s="13" t="s">
        <v>3499</v>
      </c>
      <c r="B924" s="13" t="s">
        <v>153</v>
      </c>
      <c r="C924" s="13" t="s">
        <v>43</v>
      </c>
      <c r="D924" s="13" t="s">
        <v>2337</v>
      </c>
      <c r="E924" s="13" t="s">
        <v>1264</v>
      </c>
      <c r="F924" s="13" t="n">
        <v>1</v>
      </c>
      <c r="G924" s="13" t="n">
        <v>2</v>
      </c>
      <c r="H924" s="5" t="n">
        <v>2360</v>
      </c>
      <c r="I924" s="7" t="n">
        <v>4</v>
      </c>
      <c r="J924" s="16" t="n">
        <v>590</v>
      </c>
      <c r="K924" s="16"/>
      <c r="L924" s="16"/>
      <c r="M924" s="16" t="n">
        <v>590</v>
      </c>
      <c r="N924" s="19"/>
    </row>
    <row r="925" customFormat="false" ht="15" hidden="false" customHeight="false" outlineLevel="0" collapsed="false">
      <c r="A925" s="13" t="s">
        <v>3500</v>
      </c>
      <c r="B925" s="13" t="s">
        <v>315</v>
      </c>
      <c r="C925" s="13" t="s">
        <v>43</v>
      </c>
      <c r="D925" s="13" t="s">
        <v>2324</v>
      </c>
      <c r="E925" s="13" t="s">
        <v>1052</v>
      </c>
      <c r="F925" s="13" t="n">
        <v>1</v>
      </c>
      <c r="G925" s="13" t="n">
        <v>2</v>
      </c>
      <c r="H925" s="5" t="n">
        <v>2350</v>
      </c>
      <c r="I925" s="7" t="n">
        <v>3</v>
      </c>
      <c r="J925" s="16" t="n">
        <v>783.333333333333</v>
      </c>
      <c r="K925" s="16"/>
      <c r="L925" s="16"/>
      <c r="M925" s="16" t="n">
        <v>783.333333333333</v>
      </c>
      <c r="N925" s="19"/>
    </row>
    <row r="926" customFormat="false" ht="15" hidden="false" customHeight="false" outlineLevel="0" collapsed="false">
      <c r="A926" s="13" t="s">
        <v>3501</v>
      </c>
      <c r="B926" s="13" t="s">
        <v>42</v>
      </c>
      <c r="C926" s="13" t="s">
        <v>43</v>
      </c>
      <c r="D926" s="13" t="s">
        <v>2360</v>
      </c>
      <c r="E926" s="13" t="s">
        <v>1042</v>
      </c>
      <c r="F926" s="13" t="n">
        <v>1</v>
      </c>
      <c r="G926" s="13" t="n">
        <v>2</v>
      </c>
      <c r="H926" s="5" t="n">
        <v>2310</v>
      </c>
      <c r="I926" s="7" t="n">
        <v>3</v>
      </c>
      <c r="J926" s="16" t="n">
        <v>770</v>
      </c>
      <c r="K926" s="16"/>
      <c r="L926" s="16" t="n">
        <v>770</v>
      </c>
      <c r="M926" s="16"/>
      <c r="N926" s="19"/>
    </row>
    <row r="927" customFormat="false" ht="15" hidden="false" customHeight="false" outlineLevel="0" collapsed="false">
      <c r="A927" s="13" t="s">
        <v>3502</v>
      </c>
      <c r="B927" s="13" t="s">
        <v>121</v>
      </c>
      <c r="C927" s="13" t="s">
        <v>43</v>
      </c>
      <c r="D927" s="13" t="s">
        <v>2324</v>
      </c>
      <c r="E927" s="13" t="s">
        <v>1061</v>
      </c>
      <c r="F927" s="13" t="n">
        <v>1</v>
      </c>
      <c r="G927" s="13" t="n">
        <v>3</v>
      </c>
      <c r="H927" s="5" t="n">
        <v>2310</v>
      </c>
      <c r="I927" s="7" t="n">
        <v>51</v>
      </c>
      <c r="J927" s="16" t="n">
        <v>45.2941176470588</v>
      </c>
      <c r="K927" s="16"/>
      <c r="L927" s="16"/>
      <c r="M927" s="16" t="n">
        <v>45.2941176470588</v>
      </c>
      <c r="N927" s="19"/>
    </row>
    <row r="928" customFormat="false" ht="15" hidden="false" customHeight="false" outlineLevel="0" collapsed="false">
      <c r="A928" s="13" t="s">
        <v>3503</v>
      </c>
      <c r="B928" s="13" t="s">
        <v>121</v>
      </c>
      <c r="C928" s="13" t="s">
        <v>43</v>
      </c>
      <c r="D928" s="13" t="s">
        <v>3504</v>
      </c>
      <c r="E928" s="13" t="s">
        <v>1135</v>
      </c>
      <c r="F928" s="13" t="n">
        <v>1</v>
      </c>
      <c r="G928" s="13" t="n">
        <v>4</v>
      </c>
      <c r="H928" s="5" t="n">
        <v>2310</v>
      </c>
      <c r="I928" s="7" t="n">
        <v>32</v>
      </c>
      <c r="J928" s="16" t="n">
        <v>72.1875</v>
      </c>
      <c r="K928" s="16"/>
      <c r="L928" s="16"/>
      <c r="M928" s="16" t="n">
        <v>72.1875</v>
      </c>
      <c r="N928" s="19"/>
    </row>
    <row r="929" customFormat="false" ht="15" hidden="false" customHeight="false" outlineLevel="0" collapsed="false">
      <c r="A929" s="13" t="s">
        <v>3505</v>
      </c>
      <c r="B929" s="13" t="s">
        <v>92</v>
      </c>
      <c r="C929" s="13" t="s">
        <v>43</v>
      </c>
      <c r="D929" s="13" t="s">
        <v>2324</v>
      </c>
      <c r="E929" s="13" t="s">
        <v>720</v>
      </c>
      <c r="F929" s="13" t="n">
        <v>1</v>
      </c>
      <c r="G929" s="13" t="n">
        <v>1</v>
      </c>
      <c r="H929" s="5" t="n">
        <v>2300</v>
      </c>
      <c r="I929" s="7" t="n">
        <v>2</v>
      </c>
      <c r="J929" s="16" t="n">
        <v>1150</v>
      </c>
      <c r="K929" s="16"/>
      <c r="L929" s="16" t="n">
        <v>1150</v>
      </c>
      <c r="M929" s="16"/>
      <c r="N929" s="19"/>
    </row>
    <row r="930" customFormat="false" ht="15" hidden="false" customHeight="false" outlineLevel="0" collapsed="false">
      <c r="A930" s="13" t="s">
        <v>3506</v>
      </c>
      <c r="B930" s="13" t="s">
        <v>105</v>
      </c>
      <c r="C930" s="13" t="s">
        <v>43</v>
      </c>
      <c r="D930" s="13" t="s">
        <v>2339</v>
      </c>
      <c r="E930" s="13" t="s">
        <v>831</v>
      </c>
      <c r="F930" s="13" t="n">
        <v>1</v>
      </c>
      <c r="G930" s="13" t="n">
        <v>1</v>
      </c>
      <c r="H930" s="5" t="n">
        <v>2300</v>
      </c>
      <c r="I930" s="7" t="n">
        <v>2</v>
      </c>
      <c r="J930" s="16" t="n">
        <v>1150</v>
      </c>
      <c r="K930" s="16"/>
      <c r="L930" s="16" t="n">
        <v>1150</v>
      </c>
      <c r="M930" s="16"/>
      <c r="N930" s="19"/>
    </row>
    <row r="931" customFormat="false" ht="15" hidden="false" customHeight="false" outlineLevel="0" collapsed="false">
      <c r="A931" s="13" t="s">
        <v>3507</v>
      </c>
      <c r="B931" s="13" t="s">
        <v>186</v>
      </c>
      <c r="C931" s="13" t="s">
        <v>43</v>
      </c>
      <c r="D931" s="13" t="s">
        <v>2324</v>
      </c>
      <c r="E931" s="13" t="s">
        <v>844</v>
      </c>
      <c r="F931" s="13" t="n">
        <v>1</v>
      </c>
      <c r="G931" s="13" t="n">
        <v>1</v>
      </c>
      <c r="H931" s="5" t="n">
        <v>2300</v>
      </c>
      <c r="I931" s="7" t="n">
        <v>2</v>
      </c>
      <c r="J931" s="16" t="n">
        <v>1150</v>
      </c>
      <c r="K931" s="16"/>
      <c r="L931" s="16" t="n">
        <v>1150</v>
      </c>
      <c r="M931" s="16"/>
      <c r="N931" s="19"/>
    </row>
    <row r="932" customFormat="false" ht="15" hidden="false" customHeight="false" outlineLevel="0" collapsed="false">
      <c r="A932" s="13" t="s">
        <v>3508</v>
      </c>
      <c r="B932" s="13" t="s">
        <v>42</v>
      </c>
      <c r="C932" s="13" t="s">
        <v>129</v>
      </c>
      <c r="D932" s="13" t="s">
        <v>2324</v>
      </c>
      <c r="E932" s="13" t="s">
        <v>834</v>
      </c>
      <c r="F932" s="13" t="n">
        <v>1</v>
      </c>
      <c r="G932" s="13" t="n">
        <v>1</v>
      </c>
      <c r="H932" s="5" t="n">
        <v>2300</v>
      </c>
      <c r="I932" s="7" t="n">
        <v>5</v>
      </c>
      <c r="J932" s="16" t="n">
        <v>460</v>
      </c>
      <c r="K932" s="16"/>
      <c r="L932" s="16"/>
      <c r="M932" s="16" t="n">
        <v>460</v>
      </c>
      <c r="N932" s="19"/>
    </row>
    <row r="933" customFormat="false" ht="15" hidden="false" customHeight="false" outlineLevel="0" collapsed="false">
      <c r="A933" s="13" t="s">
        <v>3509</v>
      </c>
      <c r="B933" s="13" t="s">
        <v>54</v>
      </c>
      <c r="C933" s="13" t="s">
        <v>43</v>
      </c>
      <c r="D933" s="13" t="s">
        <v>2324</v>
      </c>
      <c r="E933" s="13" t="s">
        <v>832</v>
      </c>
      <c r="F933" s="13" t="n">
        <v>1</v>
      </c>
      <c r="G933" s="13" t="n">
        <v>1</v>
      </c>
      <c r="H933" s="5" t="n">
        <v>2300</v>
      </c>
      <c r="I933" s="7" t="n">
        <v>2</v>
      </c>
      <c r="J933" s="16" t="n">
        <v>1150</v>
      </c>
      <c r="K933" s="16"/>
      <c r="L933" s="16"/>
      <c r="M933" s="16" t="n">
        <v>1150</v>
      </c>
      <c r="N933" s="19"/>
    </row>
    <row r="934" customFormat="false" ht="15" hidden="false" customHeight="false" outlineLevel="0" collapsed="false">
      <c r="A934" s="13" t="s">
        <v>3510</v>
      </c>
      <c r="B934" s="13" t="s">
        <v>2141</v>
      </c>
      <c r="C934" s="13" t="s">
        <v>43</v>
      </c>
      <c r="D934" s="13" t="s">
        <v>2324</v>
      </c>
      <c r="E934" s="13" t="s">
        <v>3511</v>
      </c>
      <c r="F934" s="13" t="n">
        <v>1</v>
      </c>
      <c r="G934" s="13" t="n">
        <v>1</v>
      </c>
      <c r="H934" s="5" t="n">
        <v>2300</v>
      </c>
      <c r="I934" s="7" t="n">
        <v>30</v>
      </c>
      <c r="J934" s="16" t="n">
        <v>76.6666666666667</v>
      </c>
      <c r="K934" s="16" t="n">
        <v>76.6666666666667</v>
      </c>
      <c r="L934" s="16"/>
      <c r="M934" s="16"/>
      <c r="N934" s="19"/>
    </row>
    <row r="935" customFormat="false" ht="15" hidden="false" customHeight="false" outlineLevel="0" collapsed="false">
      <c r="A935" s="13" t="s">
        <v>3512</v>
      </c>
      <c r="B935" s="13" t="s">
        <v>179</v>
      </c>
      <c r="C935" s="13" t="s">
        <v>85</v>
      </c>
      <c r="D935" s="13" t="s">
        <v>2324</v>
      </c>
      <c r="E935" s="13" t="s">
        <v>829</v>
      </c>
      <c r="F935" s="13" t="n">
        <v>1</v>
      </c>
      <c r="G935" s="13" t="n">
        <v>1</v>
      </c>
      <c r="H935" s="5" t="n">
        <v>2300</v>
      </c>
      <c r="I935" s="7" t="n">
        <v>20</v>
      </c>
      <c r="J935" s="16" t="n">
        <v>115</v>
      </c>
      <c r="K935" s="16" t="n">
        <v>115</v>
      </c>
      <c r="L935" s="16"/>
      <c r="M935" s="16"/>
      <c r="N935" s="19"/>
    </row>
    <row r="936" customFormat="false" ht="15" hidden="false" customHeight="false" outlineLevel="0" collapsed="false">
      <c r="A936" s="13" t="s">
        <v>3513</v>
      </c>
      <c r="B936" s="13" t="s">
        <v>2217</v>
      </c>
      <c r="C936" s="13" t="s">
        <v>85</v>
      </c>
      <c r="D936" s="13" t="s">
        <v>2324</v>
      </c>
      <c r="E936" s="13" t="s">
        <v>3514</v>
      </c>
      <c r="F936" s="13" t="n">
        <v>1</v>
      </c>
      <c r="G936" s="13" t="n">
        <v>1</v>
      </c>
      <c r="H936" s="5" t="n">
        <v>2300</v>
      </c>
      <c r="I936" s="7" t="n">
        <v>5</v>
      </c>
      <c r="J936" s="16" t="n">
        <v>460</v>
      </c>
      <c r="K936" s="16" t="n">
        <v>460</v>
      </c>
      <c r="L936" s="16"/>
      <c r="M936" s="16"/>
      <c r="N936" s="19"/>
    </row>
    <row r="937" customFormat="false" ht="15" hidden="false" customHeight="false" outlineLevel="0" collapsed="false">
      <c r="A937" s="13" t="s">
        <v>3515</v>
      </c>
      <c r="B937" s="13" t="s">
        <v>179</v>
      </c>
      <c r="C937" s="13" t="s">
        <v>85</v>
      </c>
      <c r="D937" s="13" t="s">
        <v>2324</v>
      </c>
      <c r="E937" s="13" t="s">
        <v>846</v>
      </c>
      <c r="F937" s="13" t="n">
        <v>1</v>
      </c>
      <c r="G937" s="13" t="n">
        <v>1</v>
      </c>
      <c r="H937" s="5" t="n">
        <v>2300</v>
      </c>
      <c r="I937" s="7" t="n">
        <v>5</v>
      </c>
      <c r="J937" s="16" t="n">
        <v>460</v>
      </c>
      <c r="K937" s="16" t="n">
        <v>460</v>
      </c>
      <c r="L937" s="16"/>
      <c r="M937" s="16"/>
      <c r="N937" s="19"/>
    </row>
    <row r="938" customFormat="false" ht="15" hidden="false" customHeight="false" outlineLevel="0" collapsed="false">
      <c r="A938" s="13" t="s">
        <v>3516</v>
      </c>
      <c r="B938" s="13" t="s">
        <v>312</v>
      </c>
      <c r="C938" s="13" t="s">
        <v>43</v>
      </c>
      <c r="D938" s="13" t="s">
        <v>2324</v>
      </c>
      <c r="E938" s="13" t="s">
        <v>918</v>
      </c>
      <c r="F938" s="13" t="n">
        <v>2</v>
      </c>
      <c r="G938" s="13" t="n">
        <v>2</v>
      </c>
      <c r="H938" s="5" t="n">
        <v>2300</v>
      </c>
      <c r="I938" s="7" t="n">
        <v>12</v>
      </c>
      <c r="J938" s="16" t="n">
        <v>191.666666666667</v>
      </c>
      <c r="K938" s="16" t="n">
        <v>200</v>
      </c>
      <c r="L938" s="16"/>
      <c r="M938" s="16" t="n">
        <v>150</v>
      </c>
      <c r="N938" s="19" t="n">
        <v>0.333333333333333</v>
      </c>
    </row>
    <row r="939" customFormat="false" ht="15" hidden="false" customHeight="false" outlineLevel="0" collapsed="false">
      <c r="A939" s="13" t="s">
        <v>3517</v>
      </c>
      <c r="B939" s="13" t="s">
        <v>177</v>
      </c>
      <c r="C939" s="13" t="s">
        <v>43</v>
      </c>
      <c r="D939" s="13" t="s">
        <v>2339</v>
      </c>
      <c r="E939" s="13" t="s">
        <v>849</v>
      </c>
      <c r="F939" s="13" t="n">
        <v>1</v>
      </c>
      <c r="G939" s="13" t="n">
        <v>1</v>
      </c>
      <c r="H939" s="5" t="n">
        <v>2300</v>
      </c>
      <c r="I939" s="7" t="n">
        <v>2</v>
      </c>
      <c r="J939" s="16" t="n">
        <v>1150</v>
      </c>
      <c r="K939" s="16"/>
      <c r="L939" s="16"/>
      <c r="M939" s="16" t="n">
        <v>1150</v>
      </c>
      <c r="N939" s="19"/>
    </row>
    <row r="940" customFormat="false" ht="15" hidden="false" customHeight="false" outlineLevel="0" collapsed="false">
      <c r="A940" s="13" t="s">
        <v>3518</v>
      </c>
      <c r="B940" s="13" t="s">
        <v>2114</v>
      </c>
      <c r="C940" s="13" t="s">
        <v>140</v>
      </c>
      <c r="D940" s="13" t="s">
        <v>2324</v>
      </c>
      <c r="E940" s="13" t="s">
        <v>3519</v>
      </c>
      <c r="F940" s="13" t="n">
        <v>1</v>
      </c>
      <c r="G940" s="13" t="n">
        <v>1</v>
      </c>
      <c r="H940" s="5" t="n">
        <v>2300</v>
      </c>
      <c r="I940" s="7" t="n">
        <v>50</v>
      </c>
      <c r="J940" s="16" t="n">
        <v>46</v>
      </c>
      <c r="K940" s="16" t="n">
        <v>46</v>
      </c>
      <c r="L940" s="16"/>
      <c r="M940" s="16"/>
      <c r="N940" s="19"/>
    </row>
    <row r="941" customFormat="false" ht="15" hidden="false" customHeight="false" outlineLevel="0" collapsed="false">
      <c r="A941" s="13" t="s">
        <v>3520</v>
      </c>
      <c r="B941" s="13" t="s">
        <v>111</v>
      </c>
      <c r="C941" s="13" t="s">
        <v>43</v>
      </c>
      <c r="D941" s="13" t="s">
        <v>2339</v>
      </c>
      <c r="E941" s="13" t="s">
        <v>1096</v>
      </c>
      <c r="F941" s="13" t="n">
        <v>1</v>
      </c>
      <c r="G941" s="13" t="n">
        <v>2</v>
      </c>
      <c r="H941" s="5" t="n">
        <v>2240</v>
      </c>
      <c r="I941" s="7" t="n">
        <v>4</v>
      </c>
      <c r="J941" s="16" t="n">
        <v>560</v>
      </c>
      <c r="K941" s="16"/>
      <c r="L941" s="16" t="n">
        <v>560</v>
      </c>
      <c r="M941" s="16"/>
      <c r="N941" s="19"/>
    </row>
    <row r="942" customFormat="false" ht="15" hidden="false" customHeight="false" outlineLevel="0" collapsed="false">
      <c r="A942" s="13" t="s">
        <v>3521</v>
      </c>
      <c r="B942" s="13" t="s">
        <v>107</v>
      </c>
      <c r="C942" s="13" t="s">
        <v>43</v>
      </c>
      <c r="D942" s="13" t="s">
        <v>2606</v>
      </c>
      <c r="E942" s="13" t="s">
        <v>956</v>
      </c>
      <c r="F942" s="13" t="n">
        <v>1</v>
      </c>
      <c r="G942" s="13" t="n">
        <v>2</v>
      </c>
      <c r="H942" s="5" t="n">
        <v>2240</v>
      </c>
      <c r="I942" s="7" t="n">
        <v>7</v>
      </c>
      <c r="J942" s="16" t="n">
        <v>320</v>
      </c>
      <c r="K942" s="16"/>
      <c r="L942" s="16"/>
      <c r="M942" s="16" t="n">
        <v>320</v>
      </c>
      <c r="N942" s="19"/>
    </row>
    <row r="943" customFormat="false" ht="15" hidden="false" customHeight="false" outlineLevel="0" collapsed="false">
      <c r="A943" s="13" t="s">
        <v>3522</v>
      </c>
      <c r="B943" s="13" t="s">
        <v>2145</v>
      </c>
      <c r="C943" s="13" t="s">
        <v>43</v>
      </c>
      <c r="D943" s="13" t="s">
        <v>2324</v>
      </c>
      <c r="E943" s="13" t="s">
        <v>3523</v>
      </c>
      <c r="F943" s="13" t="n">
        <v>1</v>
      </c>
      <c r="G943" s="13" t="n">
        <v>2</v>
      </c>
      <c r="H943" s="5" t="n">
        <v>2240</v>
      </c>
      <c r="I943" s="7" t="n">
        <v>3</v>
      </c>
      <c r="J943" s="16" t="n">
        <v>746.666666666667</v>
      </c>
      <c r="K943" s="16"/>
      <c r="L943" s="16"/>
      <c r="M943" s="16" t="n">
        <v>746.666666666667</v>
      </c>
      <c r="N943" s="19"/>
    </row>
    <row r="944" customFormat="false" ht="15" hidden="false" customHeight="false" outlineLevel="0" collapsed="false">
      <c r="A944" s="13" t="s">
        <v>3524</v>
      </c>
      <c r="B944" s="13" t="s">
        <v>2145</v>
      </c>
      <c r="C944" s="13" t="s">
        <v>43</v>
      </c>
      <c r="D944" s="13" t="s">
        <v>2324</v>
      </c>
      <c r="E944" s="13" t="s">
        <v>3525</v>
      </c>
      <c r="F944" s="13" t="n">
        <v>1</v>
      </c>
      <c r="G944" s="13" t="n">
        <v>2</v>
      </c>
      <c r="H944" s="5" t="n">
        <v>2230</v>
      </c>
      <c r="I944" s="7" t="n">
        <v>6</v>
      </c>
      <c r="J944" s="16" t="n">
        <v>371.666666666667</v>
      </c>
      <c r="K944" s="16"/>
      <c r="L944" s="16"/>
      <c r="M944" s="16" t="n">
        <v>371.666666666667</v>
      </c>
      <c r="N944" s="19"/>
    </row>
    <row r="945" customFormat="false" ht="15" hidden="false" customHeight="false" outlineLevel="0" collapsed="false">
      <c r="A945" s="13" t="s">
        <v>3526</v>
      </c>
      <c r="B945" s="13" t="s">
        <v>2152</v>
      </c>
      <c r="C945" s="13" t="s">
        <v>43</v>
      </c>
      <c r="D945" s="13" t="s">
        <v>2324</v>
      </c>
      <c r="E945" s="13" t="s">
        <v>3527</v>
      </c>
      <c r="F945" s="13" t="n">
        <v>1</v>
      </c>
      <c r="G945" s="13" t="n">
        <v>1</v>
      </c>
      <c r="H945" s="5" t="n">
        <v>2200</v>
      </c>
      <c r="I945" s="7" t="n">
        <v>10</v>
      </c>
      <c r="J945" s="16" t="n">
        <v>220</v>
      </c>
      <c r="K945" s="16" t="n">
        <v>220</v>
      </c>
      <c r="L945" s="16"/>
      <c r="M945" s="16"/>
      <c r="N945" s="19"/>
    </row>
    <row r="946" customFormat="false" ht="15" hidden="false" customHeight="false" outlineLevel="0" collapsed="false">
      <c r="A946" s="13" t="s">
        <v>3528</v>
      </c>
      <c r="B946" s="13" t="s">
        <v>490</v>
      </c>
      <c r="C946" s="13" t="s">
        <v>43</v>
      </c>
      <c r="D946" s="13" t="s">
        <v>2324</v>
      </c>
      <c r="E946" s="13" t="s">
        <v>859</v>
      </c>
      <c r="F946" s="13" t="n">
        <v>1</v>
      </c>
      <c r="G946" s="13" t="n">
        <v>1</v>
      </c>
      <c r="H946" s="5" t="n">
        <v>2200</v>
      </c>
      <c r="I946" s="7" t="n">
        <v>5</v>
      </c>
      <c r="J946" s="16" t="n">
        <v>440</v>
      </c>
      <c r="K946" s="16"/>
      <c r="L946" s="16"/>
      <c r="M946" s="16" t="n">
        <v>440</v>
      </c>
      <c r="N946" s="19"/>
    </row>
    <row r="947" customFormat="false" ht="15" hidden="false" customHeight="false" outlineLevel="0" collapsed="false">
      <c r="A947" s="13" t="s">
        <v>3529</v>
      </c>
      <c r="B947" s="13" t="s">
        <v>42</v>
      </c>
      <c r="C947" s="13" t="s">
        <v>129</v>
      </c>
      <c r="D947" s="13" t="s">
        <v>2324</v>
      </c>
      <c r="E947" s="13" t="s">
        <v>857</v>
      </c>
      <c r="F947" s="13" t="n">
        <v>1</v>
      </c>
      <c r="G947" s="13" t="n">
        <v>1</v>
      </c>
      <c r="H947" s="5" t="n">
        <v>2200</v>
      </c>
      <c r="I947" s="7" t="n">
        <v>2</v>
      </c>
      <c r="J947" s="16" t="n">
        <v>1100</v>
      </c>
      <c r="K947" s="16"/>
      <c r="L947" s="16"/>
      <c r="M947" s="16" t="n">
        <v>1100</v>
      </c>
      <c r="N947" s="19"/>
    </row>
    <row r="948" customFormat="false" ht="15" hidden="false" customHeight="false" outlineLevel="0" collapsed="false">
      <c r="A948" s="13" t="s">
        <v>3530</v>
      </c>
      <c r="B948" s="13" t="s">
        <v>135</v>
      </c>
      <c r="C948" s="13" t="s">
        <v>129</v>
      </c>
      <c r="D948" s="13" t="s">
        <v>2324</v>
      </c>
      <c r="E948" s="13" t="s">
        <v>865</v>
      </c>
      <c r="F948" s="13" t="n">
        <v>1</v>
      </c>
      <c r="G948" s="13" t="n">
        <v>1</v>
      </c>
      <c r="H948" s="5" t="n">
        <v>2200</v>
      </c>
      <c r="I948" s="7" t="n">
        <v>5</v>
      </c>
      <c r="J948" s="16" t="n">
        <v>440</v>
      </c>
      <c r="K948" s="16" t="n">
        <v>440</v>
      </c>
      <c r="L948" s="16"/>
      <c r="M948" s="16"/>
      <c r="N948" s="19"/>
    </row>
    <row r="949" customFormat="false" ht="15" hidden="false" customHeight="false" outlineLevel="0" collapsed="false">
      <c r="A949" s="13" t="s">
        <v>3531</v>
      </c>
      <c r="B949" s="13" t="s">
        <v>107</v>
      </c>
      <c r="C949" s="13" t="s">
        <v>43</v>
      </c>
      <c r="D949" s="13" t="s">
        <v>2324</v>
      </c>
      <c r="E949" s="13" t="s">
        <v>862</v>
      </c>
      <c r="F949" s="13" t="n">
        <v>1</v>
      </c>
      <c r="G949" s="13" t="n">
        <v>1</v>
      </c>
      <c r="H949" s="5" t="n">
        <v>2200</v>
      </c>
      <c r="I949" s="7" t="n">
        <v>5</v>
      </c>
      <c r="J949" s="16" t="n">
        <v>440</v>
      </c>
      <c r="K949" s="16"/>
      <c r="L949" s="16"/>
      <c r="M949" s="16" t="n">
        <v>440</v>
      </c>
      <c r="N949" s="19"/>
    </row>
    <row r="950" customFormat="false" ht="15" hidden="false" customHeight="false" outlineLevel="0" collapsed="false">
      <c r="A950" s="13" t="s">
        <v>3532</v>
      </c>
      <c r="B950" s="13" t="s">
        <v>2096</v>
      </c>
      <c r="C950" s="13" t="s">
        <v>43</v>
      </c>
      <c r="D950" s="13" t="s">
        <v>3533</v>
      </c>
      <c r="E950" s="13" t="s">
        <v>3534</v>
      </c>
      <c r="F950" s="13" t="n">
        <v>1</v>
      </c>
      <c r="G950" s="13" t="n">
        <v>1</v>
      </c>
      <c r="H950" s="5" t="n">
        <v>2200</v>
      </c>
      <c r="I950" s="7" t="n">
        <v>20</v>
      </c>
      <c r="J950" s="16" t="n">
        <v>110</v>
      </c>
      <c r="K950" s="16" t="n">
        <v>110</v>
      </c>
      <c r="L950" s="16"/>
      <c r="M950" s="16"/>
      <c r="N950" s="19"/>
    </row>
    <row r="951" customFormat="false" ht="15" hidden="false" customHeight="false" outlineLevel="0" collapsed="false">
      <c r="A951" s="13" t="s">
        <v>3535</v>
      </c>
      <c r="B951" s="13" t="s">
        <v>2124</v>
      </c>
      <c r="C951" s="13" t="s">
        <v>43</v>
      </c>
      <c r="D951" s="13" t="s">
        <v>2324</v>
      </c>
      <c r="E951" s="13" t="s">
        <v>3536</v>
      </c>
      <c r="F951" s="13" t="n">
        <v>1</v>
      </c>
      <c r="G951" s="13" t="n">
        <v>1</v>
      </c>
      <c r="H951" s="5" t="n">
        <v>2200</v>
      </c>
      <c r="I951" s="7" t="n">
        <v>30</v>
      </c>
      <c r="J951" s="16" t="n">
        <v>73.3333333333333</v>
      </c>
      <c r="K951" s="16" t="n">
        <v>73.3333333333333</v>
      </c>
      <c r="L951" s="16"/>
      <c r="M951" s="16"/>
      <c r="N951" s="19"/>
    </row>
    <row r="952" customFormat="false" ht="15" hidden="false" customHeight="false" outlineLevel="0" collapsed="false">
      <c r="A952" s="13" t="s">
        <v>3537</v>
      </c>
      <c r="B952" s="13" t="s">
        <v>179</v>
      </c>
      <c r="C952" s="13" t="s">
        <v>180</v>
      </c>
      <c r="D952" s="13" t="s">
        <v>2324</v>
      </c>
      <c r="E952" s="13" t="s">
        <v>867</v>
      </c>
      <c r="F952" s="13" t="n">
        <v>1</v>
      </c>
      <c r="G952" s="13" t="n">
        <v>1</v>
      </c>
      <c r="H952" s="5" t="n">
        <v>2200</v>
      </c>
      <c r="I952" s="7" t="n">
        <v>20</v>
      </c>
      <c r="J952" s="16" t="n">
        <v>110</v>
      </c>
      <c r="K952" s="16" t="n">
        <v>110</v>
      </c>
      <c r="L952" s="16"/>
      <c r="M952" s="16"/>
      <c r="N952" s="19"/>
    </row>
    <row r="953" customFormat="false" ht="15" hidden="false" customHeight="false" outlineLevel="0" collapsed="false">
      <c r="A953" s="13" t="s">
        <v>3538</v>
      </c>
      <c r="B953" s="13" t="s">
        <v>186</v>
      </c>
      <c r="C953" s="13" t="s">
        <v>43</v>
      </c>
      <c r="D953" s="13" t="s">
        <v>2327</v>
      </c>
      <c r="E953" s="13" t="s">
        <v>871</v>
      </c>
      <c r="F953" s="13" t="n">
        <v>1</v>
      </c>
      <c r="G953" s="13" t="n">
        <v>1</v>
      </c>
      <c r="H953" s="5" t="n">
        <v>2200</v>
      </c>
      <c r="I953" s="7" t="n">
        <v>5</v>
      </c>
      <c r="J953" s="16" t="n">
        <v>440</v>
      </c>
      <c r="K953" s="16"/>
      <c r="L953" s="16" t="n">
        <v>440</v>
      </c>
      <c r="M953" s="16"/>
      <c r="N953" s="19"/>
    </row>
    <row r="954" customFormat="false" ht="15" hidden="false" customHeight="false" outlineLevel="0" collapsed="false">
      <c r="A954" s="13" t="s">
        <v>3539</v>
      </c>
      <c r="B954" s="13" t="s">
        <v>2175</v>
      </c>
      <c r="C954" s="13" t="s">
        <v>43</v>
      </c>
      <c r="D954" s="13" t="s">
        <v>2324</v>
      </c>
      <c r="E954" s="13" t="s">
        <v>3540</v>
      </c>
      <c r="F954" s="13" t="n">
        <v>1</v>
      </c>
      <c r="G954" s="13" t="n">
        <v>1</v>
      </c>
      <c r="H954" s="5" t="n">
        <v>2200</v>
      </c>
      <c r="I954" s="7" t="n">
        <v>10</v>
      </c>
      <c r="J954" s="16" t="n">
        <v>220</v>
      </c>
      <c r="K954" s="16" t="n">
        <v>220</v>
      </c>
      <c r="L954" s="16"/>
      <c r="M954" s="16"/>
      <c r="N954" s="19"/>
    </row>
    <row r="955" customFormat="false" ht="15" hidden="false" customHeight="false" outlineLevel="0" collapsed="false">
      <c r="A955" s="13" t="s">
        <v>3541</v>
      </c>
      <c r="B955" s="13" t="s">
        <v>2211</v>
      </c>
      <c r="C955" s="13" t="s">
        <v>85</v>
      </c>
      <c r="D955" s="13" t="s">
        <v>2324</v>
      </c>
      <c r="E955" s="13" t="s">
        <v>3542</v>
      </c>
      <c r="F955" s="13" t="n">
        <v>1</v>
      </c>
      <c r="G955" s="13" t="n">
        <v>2</v>
      </c>
      <c r="H955" s="5" t="n">
        <v>2190</v>
      </c>
      <c r="I955" s="7" t="n">
        <v>10</v>
      </c>
      <c r="J955" s="16" t="n">
        <v>219</v>
      </c>
      <c r="K955" s="16" t="n">
        <v>219</v>
      </c>
      <c r="L955" s="16"/>
      <c r="M955" s="16"/>
      <c r="N955" s="19"/>
    </row>
    <row r="956" customFormat="false" ht="15" hidden="false" customHeight="false" outlineLevel="0" collapsed="false">
      <c r="A956" s="13" t="s">
        <v>3543</v>
      </c>
      <c r="B956" s="13" t="s">
        <v>103</v>
      </c>
      <c r="C956" s="13" t="s">
        <v>43</v>
      </c>
      <c r="D956" s="13" t="s">
        <v>2324</v>
      </c>
      <c r="E956" s="13" t="s">
        <v>511</v>
      </c>
      <c r="F956" s="13" t="n">
        <v>1</v>
      </c>
      <c r="G956" s="13" t="n">
        <v>3</v>
      </c>
      <c r="H956" s="5" t="n">
        <v>2180</v>
      </c>
      <c r="I956" s="7" t="n">
        <v>11</v>
      </c>
      <c r="J956" s="16" t="n">
        <v>198.181818181818</v>
      </c>
      <c r="K956" s="16"/>
      <c r="L956" s="16"/>
      <c r="M956" s="16" t="n">
        <v>198.181818181818</v>
      </c>
      <c r="N956" s="19"/>
    </row>
    <row r="957" customFormat="false" ht="15" hidden="false" customHeight="false" outlineLevel="0" collapsed="false">
      <c r="A957" s="13" t="s">
        <v>3544</v>
      </c>
      <c r="B957" s="13" t="s">
        <v>490</v>
      </c>
      <c r="C957" s="13" t="s">
        <v>43</v>
      </c>
      <c r="D957" s="13" t="s">
        <v>2324</v>
      </c>
      <c r="E957" s="13" t="s">
        <v>1129</v>
      </c>
      <c r="F957" s="13" t="n">
        <v>1</v>
      </c>
      <c r="G957" s="13" t="n">
        <v>2</v>
      </c>
      <c r="H957" s="5" t="n">
        <v>2170</v>
      </c>
      <c r="I957" s="7" t="n">
        <v>4</v>
      </c>
      <c r="J957" s="16" t="n">
        <v>542.5</v>
      </c>
      <c r="K957" s="16"/>
      <c r="L957" s="16" t="n">
        <v>542.5</v>
      </c>
      <c r="M957" s="16"/>
      <c r="N957" s="19"/>
    </row>
    <row r="958" customFormat="false" ht="15" hidden="false" customHeight="false" outlineLevel="0" collapsed="false">
      <c r="A958" s="13" t="s">
        <v>3545</v>
      </c>
      <c r="B958" s="13" t="s">
        <v>50</v>
      </c>
      <c r="C958" s="13" t="s">
        <v>43</v>
      </c>
      <c r="D958" s="13" t="s">
        <v>2422</v>
      </c>
      <c r="E958" s="13" t="s">
        <v>1017</v>
      </c>
      <c r="F958" s="13" t="n">
        <v>2</v>
      </c>
      <c r="G958" s="13" t="n">
        <v>3</v>
      </c>
      <c r="H958" s="5" t="n">
        <v>2150</v>
      </c>
      <c r="I958" s="7" t="n">
        <v>4</v>
      </c>
      <c r="J958" s="16" t="n">
        <v>537.5</v>
      </c>
      <c r="K958" s="16"/>
      <c r="L958" s="16" t="n">
        <v>540</v>
      </c>
      <c r="M958" s="16" t="n">
        <v>530</v>
      </c>
      <c r="N958" s="19" t="n">
        <v>0.0188679245283019</v>
      </c>
    </row>
    <row r="959" customFormat="false" ht="15" hidden="false" customHeight="false" outlineLevel="0" collapsed="false">
      <c r="A959" s="13" t="s">
        <v>3546</v>
      </c>
      <c r="B959" s="13" t="s">
        <v>124</v>
      </c>
      <c r="C959" s="13" t="s">
        <v>43</v>
      </c>
      <c r="D959" s="13" t="s">
        <v>2324</v>
      </c>
      <c r="E959" s="13" t="s">
        <v>236</v>
      </c>
      <c r="F959" s="13" t="n">
        <v>1</v>
      </c>
      <c r="G959" s="13" t="n">
        <v>2</v>
      </c>
      <c r="H959" s="5" t="n">
        <v>2140</v>
      </c>
      <c r="I959" s="7" t="n">
        <v>3</v>
      </c>
      <c r="J959" s="16" t="n">
        <v>713.333333333333</v>
      </c>
      <c r="K959" s="16"/>
      <c r="L959" s="16"/>
      <c r="M959" s="16" t="n">
        <v>713.333333333333</v>
      </c>
      <c r="N959" s="19"/>
    </row>
    <row r="960" customFormat="false" ht="15" hidden="false" customHeight="false" outlineLevel="0" collapsed="false">
      <c r="A960" s="13" t="s">
        <v>3547</v>
      </c>
      <c r="B960" s="13" t="s">
        <v>2139</v>
      </c>
      <c r="C960" s="13" t="s">
        <v>43</v>
      </c>
      <c r="D960" s="13" t="s">
        <v>2324</v>
      </c>
      <c r="E960" s="13" t="s">
        <v>3548</v>
      </c>
      <c r="F960" s="13" t="n">
        <v>1</v>
      </c>
      <c r="G960" s="13" t="n">
        <v>3</v>
      </c>
      <c r="H960" s="5" t="n">
        <v>2130</v>
      </c>
      <c r="I960" s="7" t="n">
        <v>12</v>
      </c>
      <c r="J960" s="16" t="n">
        <v>177.5</v>
      </c>
      <c r="K960" s="16"/>
      <c r="L960" s="16"/>
      <c r="M960" s="16" t="n">
        <v>177.5</v>
      </c>
      <c r="N960" s="19"/>
    </row>
    <row r="961" customFormat="false" ht="15" hidden="false" customHeight="false" outlineLevel="0" collapsed="false">
      <c r="A961" s="13" t="s">
        <v>3549</v>
      </c>
      <c r="B961" s="13" t="s">
        <v>2150</v>
      </c>
      <c r="C961" s="13" t="s">
        <v>43</v>
      </c>
      <c r="D961" s="13" t="s">
        <v>2324</v>
      </c>
      <c r="E961" s="13" t="s">
        <v>3550</v>
      </c>
      <c r="F961" s="13" t="n">
        <v>1</v>
      </c>
      <c r="G961" s="13" t="n">
        <v>3</v>
      </c>
      <c r="H961" s="5" t="n">
        <v>2120</v>
      </c>
      <c r="I961" s="7" t="n">
        <v>12</v>
      </c>
      <c r="J961" s="16" t="n">
        <v>176.666666666667</v>
      </c>
      <c r="K961" s="16"/>
      <c r="L961" s="16"/>
      <c r="M961" s="16" t="n">
        <v>176.666666666667</v>
      </c>
      <c r="N961" s="19"/>
    </row>
    <row r="962" customFormat="false" ht="15" hidden="false" customHeight="false" outlineLevel="0" collapsed="false">
      <c r="A962" s="13" t="s">
        <v>3551</v>
      </c>
      <c r="B962" s="13" t="s">
        <v>42</v>
      </c>
      <c r="C962" s="13" t="s">
        <v>43</v>
      </c>
      <c r="D962" s="13" t="s">
        <v>2324</v>
      </c>
      <c r="E962" s="13" t="s">
        <v>912</v>
      </c>
      <c r="F962" s="13" t="n">
        <v>2</v>
      </c>
      <c r="G962" s="13" t="n">
        <v>2</v>
      </c>
      <c r="H962" s="5" t="n">
        <v>2120</v>
      </c>
      <c r="I962" s="7" t="n">
        <v>3</v>
      </c>
      <c r="J962" s="16" t="n">
        <v>706.666666666667</v>
      </c>
      <c r="K962" s="16"/>
      <c r="L962" s="16" t="n">
        <v>700</v>
      </c>
      <c r="M962" s="16" t="n">
        <v>720</v>
      </c>
      <c r="N962" s="19" t="n">
        <v>0.0285714285714286</v>
      </c>
    </row>
    <row r="963" customFormat="false" ht="15" hidden="false" customHeight="false" outlineLevel="0" collapsed="false">
      <c r="A963" s="13" t="s">
        <v>3552</v>
      </c>
      <c r="B963" s="13" t="s">
        <v>2110</v>
      </c>
      <c r="C963" s="13" t="s">
        <v>43</v>
      </c>
      <c r="D963" s="13" t="s">
        <v>2339</v>
      </c>
      <c r="E963" s="13" t="s">
        <v>3553</v>
      </c>
      <c r="F963" s="13" t="n">
        <v>2</v>
      </c>
      <c r="G963" s="13" t="n">
        <v>2</v>
      </c>
      <c r="H963" s="5" t="n">
        <v>2120</v>
      </c>
      <c r="I963" s="7" t="n">
        <v>3</v>
      </c>
      <c r="J963" s="16" t="n">
        <v>706.666666666667</v>
      </c>
      <c r="K963" s="16"/>
      <c r="L963" s="16" t="n">
        <v>520</v>
      </c>
      <c r="M963" s="16" t="n">
        <v>800</v>
      </c>
      <c r="N963" s="19" t="n">
        <v>0.538461538461538</v>
      </c>
    </row>
    <row r="964" customFormat="false" ht="15" hidden="false" customHeight="false" outlineLevel="0" collapsed="false">
      <c r="A964" s="13" t="s">
        <v>3554</v>
      </c>
      <c r="B964" s="13" t="s">
        <v>121</v>
      </c>
      <c r="C964" s="13" t="s">
        <v>43</v>
      </c>
      <c r="D964" s="13" t="s">
        <v>2324</v>
      </c>
      <c r="E964" s="13" t="s">
        <v>1104</v>
      </c>
      <c r="F964" s="13" t="n">
        <v>1</v>
      </c>
      <c r="G964" s="13" t="n">
        <v>3</v>
      </c>
      <c r="H964" s="5" t="n">
        <v>2120</v>
      </c>
      <c r="I964" s="7" t="n">
        <v>8</v>
      </c>
      <c r="J964" s="16" t="n">
        <v>265</v>
      </c>
      <c r="K964" s="16"/>
      <c r="L964" s="16"/>
      <c r="M964" s="16" t="n">
        <v>265</v>
      </c>
      <c r="N964" s="19"/>
    </row>
    <row r="965" customFormat="false" ht="15" hidden="false" customHeight="false" outlineLevel="0" collapsed="false">
      <c r="A965" s="13" t="s">
        <v>3555</v>
      </c>
      <c r="B965" s="13" t="s">
        <v>50</v>
      </c>
      <c r="C965" s="13" t="s">
        <v>43</v>
      </c>
      <c r="D965" s="13" t="s">
        <v>2337</v>
      </c>
      <c r="E965" s="13" t="s">
        <v>1462</v>
      </c>
      <c r="F965" s="13" t="n">
        <v>2</v>
      </c>
      <c r="G965" s="13" t="n">
        <v>2</v>
      </c>
      <c r="H965" s="5" t="n">
        <v>2110</v>
      </c>
      <c r="I965" s="7" t="n">
        <v>3</v>
      </c>
      <c r="J965" s="16" t="n">
        <v>703.333333333333</v>
      </c>
      <c r="K965" s="16"/>
      <c r="L965" s="16" t="n">
        <v>710</v>
      </c>
      <c r="M965" s="16" t="n">
        <v>700</v>
      </c>
      <c r="N965" s="19" t="n">
        <v>0.0142857142857143</v>
      </c>
    </row>
    <row r="966" customFormat="false" ht="15" hidden="false" customHeight="false" outlineLevel="0" collapsed="false">
      <c r="A966" s="13" t="s">
        <v>3556</v>
      </c>
      <c r="B966" s="13" t="s">
        <v>2142</v>
      </c>
      <c r="C966" s="13" t="s">
        <v>85</v>
      </c>
      <c r="D966" s="13" t="s">
        <v>3557</v>
      </c>
      <c r="E966" s="13" t="s">
        <v>3558</v>
      </c>
      <c r="F966" s="13" t="n">
        <v>1</v>
      </c>
      <c r="G966" s="13" t="n">
        <v>1</v>
      </c>
      <c r="H966" s="5" t="n">
        <v>2100</v>
      </c>
      <c r="I966" s="7" t="n">
        <v>50</v>
      </c>
      <c r="J966" s="16" t="n">
        <v>42</v>
      </c>
      <c r="K966" s="16" t="n">
        <v>42</v>
      </c>
      <c r="L966" s="16"/>
      <c r="M966" s="16"/>
      <c r="N966" s="19"/>
    </row>
    <row r="967" customFormat="false" ht="15" hidden="false" customHeight="false" outlineLevel="0" collapsed="false">
      <c r="A967" s="13" t="s">
        <v>3559</v>
      </c>
      <c r="B967" s="13" t="s">
        <v>61</v>
      </c>
      <c r="C967" s="13" t="s">
        <v>43</v>
      </c>
      <c r="D967" s="13" t="s">
        <v>2324</v>
      </c>
      <c r="E967" s="13" t="s">
        <v>212</v>
      </c>
      <c r="F967" s="13" t="n">
        <v>1</v>
      </c>
      <c r="G967" s="13" t="n">
        <v>1</v>
      </c>
      <c r="H967" s="5" t="n">
        <v>2100</v>
      </c>
      <c r="I967" s="7" t="n">
        <v>2</v>
      </c>
      <c r="J967" s="16" t="n">
        <v>1050</v>
      </c>
      <c r="K967" s="16"/>
      <c r="L967" s="16"/>
      <c r="M967" s="16" t="n">
        <v>1050</v>
      </c>
      <c r="N967" s="19"/>
    </row>
    <row r="968" customFormat="false" ht="15" hidden="false" customHeight="false" outlineLevel="0" collapsed="false">
      <c r="A968" s="13" t="s">
        <v>3560</v>
      </c>
      <c r="B968" s="13" t="s">
        <v>191</v>
      </c>
      <c r="C968" s="13" t="s">
        <v>183</v>
      </c>
      <c r="D968" s="13" t="s">
        <v>2324</v>
      </c>
      <c r="E968" s="13" t="s">
        <v>885</v>
      </c>
      <c r="F968" s="13" t="n">
        <v>1</v>
      </c>
      <c r="G968" s="13" t="n">
        <v>1</v>
      </c>
      <c r="H968" s="5" t="n">
        <v>2100</v>
      </c>
      <c r="I968" s="7" t="n">
        <v>20</v>
      </c>
      <c r="J968" s="16" t="n">
        <v>105</v>
      </c>
      <c r="K968" s="16" t="n">
        <v>105</v>
      </c>
      <c r="L968" s="16"/>
      <c r="M968" s="16"/>
      <c r="N968" s="19"/>
    </row>
    <row r="969" customFormat="false" ht="15" hidden="false" customHeight="false" outlineLevel="0" collapsed="false">
      <c r="A969" s="13" t="s">
        <v>3561</v>
      </c>
      <c r="B969" s="13" t="s">
        <v>2152</v>
      </c>
      <c r="C969" s="13" t="s">
        <v>43</v>
      </c>
      <c r="D969" s="13" t="s">
        <v>2339</v>
      </c>
      <c r="E969" s="13" t="s">
        <v>3562</v>
      </c>
      <c r="F969" s="13" t="n">
        <v>1</v>
      </c>
      <c r="G969" s="13" t="n">
        <v>1</v>
      </c>
      <c r="H969" s="5" t="n">
        <v>2100</v>
      </c>
      <c r="I969" s="7" t="n">
        <v>5</v>
      </c>
      <c r="J969" s="16" t="n">
        <v>420</v>
      </c>
      <c r="K969" s="16" t="n">
        <v>420</v>
      </c>
      <c r="L969" s="16"/>
      <c r="M969" s="16"/>
      <c r="N969" s="19"/>
    </row>
    <row r="970" customFormat="false" ht="15" hidden="false" customHeight="false" outlineLevel="0" collapsed="false">
      <c r="A970" s="13" t="s">
        <v>3563</v>
      </c>
      <c r="B970" s="13" t="s">
        <v>2202</v>
      </c>
      <c r="C970" s="13" t="s">
        <v>140</v>
      </c>
      <c r="D970" s="13" t="s">
        <v>2324</v>
      </c>
      <c r="E970" s="13" t="s">
        <v>3564</v>
      </c>
      <c r="F970" s="13" t="n">
        <v>1</v>
      </c>
      <c r="G970" s="13" t="n">
        <v>1</v>
      </c>
      <c r="H970" s="5" t="n">
        <v>2100</v>
      </c>
      <c r="I970" s="7" t="n">
        <v>70</v>
      </c>
      <c r="J970" s="16" t="n">
        <v>30</v>
      </c>
      <c r="K970" s="16" t="n">
        <v>30</v>
      </c>
      <c r="L970" s="16"/>
      <c r="M970" s="16"/>
      <c r="N970" s="19"/>
    </row>
    <row r="971" customFormat="false" ht="15" hidden="false" customHeight="false" outlineLevel="0" collapsed="false">
      <c r="A971" s="13" t="s">
        <v>3565</v>
      </c>
      <c r="B971" s="13" t="s">
        <v>195</v>
      </c>
      <c r="C971" s="13" t="s">
        <v>43</v>
      </c>
      <c r="D971" s="13" t="s">
        <v>2324</v>
      </c>
      <c r="E971" s="13" t="s">
        <v>890</v>
      </c>
      <c r="F971" s="13" t="n">
        <v>1</v>
      </c>
      <c r="G971" s="13" t="n">
        <v>1</v>
      </c>
      <c r="H971" s="5" t="n">
        <v>2100</v>
      </c>
      <c r="I971" s="7" t="n">
        <v>2</v>
      </c>
      <c r="J971" s="16" t="n">
        <v>1050</v>
      </c>
      <c r="K971" s="16"/>
      <c r="L971" s="16"/>
      <c r="M971" s="16" t="n">
        <v>1050</v>
      </c>
      <c r="N971" s="19"/>
    </row>
    <row r="972" customFormat="false" ht="15" hidden="false" customHeight="false" outlineLevel="0" collapsed="false">
      <c r="A972" s="13" t="s">
        <v>3566</v>
      </c>
      <c r="B972" s="13" t="s">
        <v>54</v>
      </c>
      <c r="C972" s="13" t="s">
        <v>43</v>
      </c>
      <c r="D972" s="13" t="s">
        <v>2324</v>
      </c>
      <c r="E972" s="13" t="s">
        <v>886</v>
      </c>
      <c r="F972" s="13" t="n">
        <v>1</v>
      </c>
      <c r="G972" s="13" t="n">
        <v>1</v>
      </c>
      <c r="H972" s="5" t="n">
        <v>2100</v>
      </c>
      <c r="I972" s="7" t="n">
        <v>5</v>
      </c>
      <c r="J972" s="16" t="n">
        <v>420</v>
      </c>
      <c r="K972" s="16"/>
      <c r="L972" s="16"/>
      <c r="M972" s="16" t="n">
        <v>420</v>
      </c>
      <c r="N972" s="19"/>
    </row>
    <row r="973" customFormat="false" ht="15" hidden="false" customHeight="false" outlineLevel="0" collapsed="false">
      <c r="A973" s="13" t="s">
        <v>3567</v>
      </c>
      <c r="B973" s="13" t="s">
        <v>117</v>
      </c>
      <c r="C973" s="13" t="s">
        <v>85</v>
      </c>
      <c r="D973" s="13" t="s">
        <v>2324</v>
      </c>
      <c r="E973" s="13" t="s">
        <v>884</v>
      </c>
      <c r="F973" s="13" t="n">
        <v>1</v>
      </c>
      <c r="G973" s="13" t="n">
        <v>1</v>
      </c>
      <c r="H973" s="5" t="n">
        <v>2100</v>
      </c>
      <c r="I973" s="7" t="n">
        <v>1</v>
      </c>
      <c r="J973" s="16" t="n">
        <v>2100</v>
      </c>
      <c r="K973" s="16" t="n">
        <v>2100</v>
      </c>
      <c r="L973" s="16"/>
      <c r="M973" s="16"/>
      <c r="N973" s="19"/>
    </row>
    <row r="974" customFormat="false" ht="15" hidden="false" customHeight="false" outlineLevel="0" collapsed="false">
      <c r="A974" s="13" t="s">
        <v>3568</v>
      </c>
      <c r="B974" s="13" t="s">
        <v>2115</v>
      </c>
      <c r="C974" s="13" t="s">
        <v>85</v>
      </c>
      <c r="D974" s="13" t="s">
        <v>2324</v>
      </c>
      <c r="E974" s="13" t="s">
        <v>3569</v>
      </c>
      <c r="F974" s="13" t="n">
        <v>1</v>
      </c>
      <c r="G974" s="13" t="n">
        <v>1</v>
      </c>
      <c r="H974" s="5" t="n">
        <v>2100</v>
      </c>
      <c r="I974" s="7" t="n">
        <v>20</v>
      </c>
      <c r="J974" s="16" t="n">
        <v>105</v>
      </c>
      <c r="K974" s="16" t="n">
        <v>105</v>
      </c>
      <c r="L974" s="16"/>
      <c r="M974" s="16"/>
      <c r="N974" s="19"/>
    </row>
    <row r="975" customFormat="false" ht="15" hidden="false" customHeight="false" outlineLevel="0" collapsed="false">
      <c r="A975" s="13" t="s">
        <v>3570</v>
      </c>
      <c r="B975" s="13" t="s">
        <v>2107</v>
      </c>
      <c r="C975" s="13" t="s">
        <v>43</v>
      </c>
      <c r="D975" s="13" t="s">
        <v>2324</v>
      </c>
      <c r="E975" s="13" t="s">
        <v>3571</v>
      </c>
      <c r="F975" s="13" t="n">
        <v>1</v>
      </c>
      <c r="G975" s="13" t="n">
        <v>1</v>
      </c>
      <c r="H975" s="5" t="n">
        <v>2100</v>
      </c>
      <c r="I975" s="7" t="n">
        <v>30</v>
      </c>
      <c r="J975" s="16" t="n">
        <v>70</v>
      </c>
      <c r="K975" s="16" t="n">
        <v>70</v>
      </c>
      <c r="L975" s="16"/>
      <c r="M975" s="16"/>
      <c r="N975" s="19"/>
    </row>
    <row r="976" customFormat="false" ht="15" hidden="false" customHeight="false" outlineLevel="0" collapsed="false">
      <c r="A976" s="13" t="s">
        <v>3572</v>
      </c>
      <c r="B976" s="13" t="s">
        <v>54</v>
      </c>
      <c r="C976" s="13" t="s">
        <v>43</v>
      </c>
      <c r="D976" s="13" t="s">
        <v>2324</v>
      </c>
      <c r="E976" s="13" t="s">
        <v>989</v>
      </c>
      <c r="F976" s="13" t="n">
        <v>1</v>
      </c>
      <c r="G976" s="13" t="n">
        <v>2</v>
      </c>
      <c r="H976" s="5" t="n">
        <v>2080</v>
      </c>
      <c r="I976" s="7" t="n">
        <v>6</v>
      </c>
      <c r="J976" s="16" t="n">
        <v>346.666666666667</v>
      </c>
      <c r="K976" s="16"/>
      <c r="L976" s="16"/>
      <c r="M976" s="16" t="n">
        <v>346.666666666667</v>
      </c>
      <c r="N976" s="19"/>
    </row>
    <row r="977" customFormat="false" ht="15" hidden="false" customHeight="false" outlineLevel="0" collapsed="false">
      <c r="A977" s="13" t="s">
        <v>3573</v>
      </c>
      <c r="B977" s="13" t="s">
        <v>153</v>
      </c>
      <c r="C977" s="13" t="s">
        <v>43</v>
      </c>
      <c r="D977" s="13" t="s">
        <v>2324</v>
      </c>
      <c r="E977" s="13" t="s">
        <v>1804</v>
      </c>
      <c r="F977" s="13" t="n">
        <v>2</v>
      </c>
      <c r="G977" s="13" t="n">
        <v>2</v>
      </c>
      <c r="H977" s="5" t="n">
        <v>2080</v>
      </c>
      <c r="I977" s="7" t="n">
        <v>6</v>
      </c>
      <c r="J977" s="16" t="n">
        <v>346.666666666667</v>
      </c>
      <c r="K977" s="16"/>
      <c r="L977" s="16" t="n">
        <v>380</v>
      </c>
      <c r="M977" s="16" t="n">
        <v>340</v>
      </c>
      <c r="N977" s="19" t="n">
        <v>0.117647058823529</v>
      </c>
    </row>
    <row r="978" customFormat="false" ht="15" hidden="false" customHeight="false" outlineLevel="0" collapsed="false">
      <c r="A978" s="13" t="s">
        <v>3574</v>
      </c>
      <c r="B978" s="13" t="s">
        <v>177</v>
      </c>
      <c r="C978" s="13" t="s">
        <v>43</v>
      </c>
      <c r="D978" s="13" t="s">
        <v>2324</v>
      </c>
      <c r="E978" s="13" t="s">
        <v>1015</v>
      </c>
      <c r="F978" s="13" t="n">
        <v>1</v>
      </c>
      <c r="G978" s="13" t="n">
        <v>2</v>
      </c>
      <c r="H978" s="5" t="n">
        <v>2060</v>
      </c>
      <c r="I978" s="7" t="n">
        <v>7</v>
      </c>
      <c r="J978" s="16" t="n">
        <v>294.285714285714</v>
      </c>
      <c r="K978" s="16"/>
      <c r="L978" s="16"/>
      <c r="M978" s="16" t="n">
        <v>294.285714285714</v>
      </c>
      <c r="N978" s="19"/>
    </row>
    <row r="979" customFormat="false" ht="15" hidden="false" customHeight="false" outlineLevel="0" collapsed="false">
      <c r="A979" s="13" t="s">
        <v>3575</v>
      </c>
      <c r="B979" s="13" t="s">
        <v>2114</v>
      </c>
      <c r="C979" s="13" t="s">
        <v>140</v>
      </c>
      <c r="D979" s="13" t="s">
        <v>2324</v>
      </c>
      <c r="E979" s="13" t="s">
        <v>3576</v>
      </c>
      <c r="F979" s="13" t="n">
        <v>1</v>
      </c>
      <c r="G979" s="13" t="n">
        <v>2</v>
      </c>
      <c r="H979" s="5" t="n">
        <v>2050</v>
      </c>
      <c r="I979" s="7" t="n">
        <v>50</v>
      </c>
      <c r="J979" s="16" t="n">
        <v>41</v>
      </c>
      <c r="K979" s="16" t="n">
        <v>41</v>
      </c>
      <c r="L979" s="16"/>
      <c r="M979" s="16"/>
      <c r="N979" s="19"/>
    </row>
    <row r="980" customFormat="false" ht="15" hidden="false" customHeight="false" outlineLevel="0" collapsed="false">
      <c r="A980" s="13" t="s">
        <v>3577</v>
      </c>
      <c r="B980" s="13" t="s">
        <v>2133</v>
      </c>
      <c r="C980" s="13" t="s">
        <v>43</v>
      </c>
      <c r="D980" s="13" t="s">
        <v>2500</v>
      </c>
      <c r="E980" s="13" t="s">
        <v>3578</v>
      </c>
      <c r="F980" s="13" t="n">
        <v>1</v>
      </c>
      <c r="G980" s="13" t="n">
        <v>2</v>
      </c>
      <c r="H980" s="5" t="n">
        <v>2050</v>
      </c>
      <c r="I980" s="7" t="n">
        <v>3</v>
      </c>
      <c r="J980" s="16" t="n">
        <v>683.333333333333</v>
      </c>
      <c r="K980" s="16"/>
      <c r="L980" s="16" t="n">
        <v>683.333333333333</v>
      </c>
      <c r="M980" s="16"/>
      <c r="N980" s="19"/>
    </row>
    <row r="981" customFormat="false" ht="15" hidden="false" customHeight="false" outlineLevel="0" collapsed="false">
      <c r="A981" s="13" t="s">
        <v>3579</v>
      </c>
      <c r="B981" s="13" t="s">
        <v>107</v>
      </c>
      <c r="C981" s="13" t="s">
        <v>43</v>
      </c>
      <c r="D981" s="13" t="s">
        <v>2324</v>
      </c>
      <c r="E981" s="13" t="s">
        <v>1167</v>
      </c>
      <c r="F981" s="13" t="n">
        <v>1</v>
      </c>
      <c r="G981" s="13" t="n">
        <v>2</v>
      </c>
      <c r="H981" s="5" t="n">
        <v>2040</v>
      </c>
      <c r="I981" s="7" t="n">
        <v>10</v>
      </c>
      <c r="J981" s="16" t="n">
        <v>204</v>
      </c>
      <c r="K981" s="16"/>
      <c r="L981" s="16"/>
      <c r="M981" s="16" t="n">
        <v>204</v>
      </c>
      <c r="N981" s="19"/>
    </row>
    <row r="982" customFormat="false" ht="15" hidden="false" customHeight="false" outlineLevel="0" collapsed="false">
      <c r="A982" s="13" t="s">
        <v>3580</v>
      </c>
      <c r="B982" s="13" t="s">
        <v>2143</v>
      </c>
      <c r="C982" s="13" t="s">
        <v>43</v>
      </c>
      <c r="D982" s="13" t="s">
        <v>3581</v>
      </c>
      <c r="E982" s="13" t="s">
        <v>3582</v>
      </c>
      <c r="F982" s="13" t="n">
        <v>1</v>
      </c>
      <c r="G982" s="13" t="n">
        <v>2</v>
      </c>
      <c r="H982" s="5" t="n">
        <v>2040</v>
      </c>
      <c r="I982" s="7" t="n">
        <v>3</v>
      </c>
      <c r="J982" s="16" t="n">
        <v>680</v>
      </c>
      <c r="K982" s="16"/>
      <c r="L982" s="16" t="n">
        <v>680</v>
      </c>
      <c r="M982" s="16"/>
      <c r="N982" s="19"/>
    </row>
    <row r="983" customFormat="false" ht="15" hidden="false" customHeight="false" outlineLevel="0" collapsed="false">
      <c r="A983" s="13" t="s">
        <v>3583</v>
      </c>
      <c r="B983" s="13" t="s">
        <v>107</v>
      </c>
      <c r="C983" s="13" t="s">
        <v>43</v>
      </c>
      <c r="D983" s="13" t="s">
        <v>2422</v>
      </c>
      <c r="E983" s="13" t="s">
        <v>940</v>
      </c>
      <c r="F983" s="13" t="n">
        <v>1</v>
      </c>
      <c r="G983" s="13" t="n">
        <v>2</v>
      </c>
      <c r="H983" s="5" t="n">
        <v>2030</v>
      </c>
      <c r="I983" s="7" t="n">
        <v>32</v>
      </c>
      <c r="J983" s="16" t="n">
        <v>63.4375</v>
      </c>
      <c r="K983" s="16"/>
      <c r="L983" s="16"/>
      <c r="M983" s="16" t="n">
        <v>63.4375</v>
      </c>
      <c r="N983" s="19"/>
    </row>
    <row r="984" customFormat="false" ht="15" hidden="false" customHeight="false" outlineLevel="0" collapsed="false">
      <c r="A984" s="13" t="s">
        <v>3584</v>
      </c>
      <c r="B984" s="13" t="s">
        <v>2150</v>
      </c>
      <c r="C984" s="13" t="s">
        <v>43</v>
      </c>
      <c r="D984" s="13" t="s">
        <v>2324</v>
      </c>
      <c r="E984" s="13" t="s">
        <v>3585</v>
      </c>
      <c r="F984" s="13" t="n">
        <v>1</v>
      </c>
      <c r="G984" s="13" t="n">
        <v>3</v>
      </c>
      <c r="H984" s="5" t="n">
        <v>2020</v>
      </c>
      <c r="I984" s="7" t="n">
        <v>22</v>
      </c>
      <c r="J984" s="16" t="n">
        <v>91.8181818181818</v>
      </c>
      <c r="K984" s="16"/>
      <c r="L984" s="16"/>
      <c r="M984" s="16" t="n">
        <v>91.8181818181818</v>
      </c>
      <c r="N984" s="19"/>
    </row>
    <row r="985" customFormat="false" ht="15" hidden="false" customHeight="false" outlineLevel="0" collapsed="false">
      <c r="A985" s="13" t="s">
        <v>3586</v>
      </c>
      <c r="B985" s="13" t="s">
        <v>2155</v>
      </c>
      <c r="C985" s="13" t="s">
        <v>85</v>
      </c>
      <c r="D985" s="13" t="s">
        <v>2324</v>
      </c>
      <c r="E985" s="13" t="s">
        <v>3587</v>
      </c>
      <c r="F985" s="13" t="n">
        <v>1</v>
      </c>
      <c r="G985" s="13" t="n">
        <v>3</v>
      </c>
      <c r="H985" s="5" t="n">
        <v>2010</v>
      </c>
      <c r="I985" s="7" t="n">
        <v>14</v>
      </c>
      <c r="J985" s="16" t="n">
        <v>143.571428571429</v>
      </c>
      <c r="K985" s="16"/>
      <c r="L985" s="16"/>
      <c r="M985" s="16" t="n">
        <v>143.571428571429</v>
      </c>
      <c r="N985" s="19"/>
    </row>
    <row r="986" customFormat="false" ht="15" hidden="false" customHeight="false" outlineLevel="0" collapsed="false">
      <c r="A986" s="13" t="s">
        <v>3588</v>
      </c>
      <c r="B986" s="13" t="s">
        <v>153</v>
      </c>
      <c r="C986" s="13" t="s">
        <v>43</v>
      </c>
      <c r="D986" s="13" t="s">
        <v>2324</v>
      </c>
      <c r="E986" s="13" t="s">
        <v>1790</v>
      </c>
      <c r="F986" s="13" t="n">
        <v>2</v>
      </c>
      <c r="G986" s="13" t="n">
        <v>3</v>
      </c>
      <c r="H986" s="5" t="n">
        <v>2010</v>
      </c>
      <c r="I986" s="7" t="n">
        <v>5</v>
      </c>
      <c r="J986" s="16" t="n">
        <v>402</v>
      </c>
      <c r="K986" s="16"/>
      <c r="L986" s="16" t="n">
        <v>390</v>
      </c>
      <c r="M986" s="16" t="n">
        <v>405</v>
      </c>
      <c r="N986" s="19" t="n">
        <v>0.0384615384615385</v>
      </c>
    </row>
    <row r="987" customFormat="false" ht="15" hidden="false" customHeight="false" outlineLevel="0" collapsed="false">
      <c r="A987" s="13" t="s">
        <v>3589</v>
      </c>
      <c r="B987" s="13" t="s">
        <v>79</v>
      </c>
      <c r="C987" s="13" t="s">
        <v>43</v>
      </c>
      <c r="D987" s="13" t="s">
        <v>2324</v>
      </c>
      <c r="E987" s="13" t="s">
        <v>900</v>
      </c>
      <c r="F987" s="13" t="n">
        <v>1</v>
      </c>
      <c r="G987" s="13" t="n">
        <v>1</v>
      </c>
      <c r="H987" s="5" t="n">
        <v>2000</v>
      </c>
      <c r="I987" s="7" t="n">
        <v>2</v>
      </c>
      <c r="J987" s="16" t="n">
        <v>1000</v>
      </c>
      <c r="K987" s="16"/>
      <c r="L987" s="16" t="n">
        <v>1000</v>
      </c>
      <c r="M987" s="16"/>
      <c r="N987" s="19"/>
    </row>
    <row r="988" customFormat="false" ht="15" hidden="false" customHeight="false" outlineLevel="0" collapsed="false">
      <c r="A988" s="13" t="s">
        <v>3590</v>
      </c>
      <c r="B988" s="13" t="s">
        <v>42</v>
      </c>
      <c r="C988" s="13" t="s">
        <v>43</v>
      </c>
      <c r="D988" s="13" t="s">
        <v>2324</v>
      </c>
      <c r="E988" s="13" t="s">
        <v>219</v>
      </c>
      <c r="F988" s="13" t="n">
        <v>1</v>
      </c>
      <c r="G988" s="13" t="n">
        <v>1</v>
      </c>
      <c r="H988" s="5" t="n">
        <v>2000</v>
      </c>
      <c r="I988" s="7" t="n">
        <v>2</v>
      </c>
      <c r="J988" s="16" t="n">
        <v>1000</v>
      </c>
      <c r="K988" s="16"/>
      <c r="L988" s="16" t="n">
        <v>1000</v>
      </c>
      <c r="M988" s="16"/>
      <c r="N988" s="19"/>
    </row>
    <row r="989" customFormat="false" ht="15" hidden="false" customHeight="false" outlineLevel="0" collapsed="false">
      <c r="A989" s="13" t="s">
        <v>3591</v>
      </c>
      <c r="B989" s="13" t="s">
        <v>2161</v>
      </c>
      <c r="C989" s="13" t="s">
        <v>98</v>
      </c>
      <c r="D989" s="13" t="s">
        <v>2324</v>
      </c>
      <c r="E989" s="13" t="s">
        <v>3592</v>
      </c>
      <c r="F989" s="13" t="n">
        <v>1</v>
      </c>
      <c r="G989" s="13" t="n">
        <v>1</v>
      </c>
      <c r="H989" s="5" t="n">
        <v>2000</v>
      </c>
      <c r="I989" s="7" t="n">
        <v>2</v>
      </c>
      <c r="J989" s="16" t="n">
        <v>1000</v>
      </c>
      <c r="K989" s="16" t="n">
        <v>1000</v>
      </c>
      <c r="L989" s="16"/>
      <c r="M989" s="16"/>
      <c r="N989" s="19"/>
    </row>
    <row r="990" customFormat="false" ht="15" hidden="false" customHeight="false" outlineLevel="0" collapsed="false">
      <c r="A990" s="13" t="s">
        <v>3593</v>
      </c>
      <c r="B990" s="13" t="s">
        <v>2124</v>
      </c>
      <c r="C990" s="13" t="s">
        <v>43</v>
      </c>
      <c r="D990" s="13" t="s">
        <v>2324</v>
      </c>
      <c r="E990" s="13" t="s">
        <v>3594</v>
      </c>
      <c r="F990" s="13" t="n">
        <v>1</v>
      </c>
      <c r="G990" s="13" t="n">
        <v>1</v>
      </c>
      <c r="H990" s="5" t="n">
        <v>2000</v>
      </c>
      <c r="I990" s="7" t="n">
        <v>30</v>
      </c>
      <c r="J990" s="16" t="n">
        <v>66.6666666666667</v>
      </c>
      <c r="K990" s="16" t="n">
        <v>66.6666666666667</v>
      </c>
      <c r="L990" s="16"/>
      <c r="M990" s="16"/>
      <c r="N990" s="19"/>
    </row>
    <row r="991" customFormat="false" ht="15" hidden="false" customHeight="false" outlineLevel="0" collapsed="false">
      <c r="A991" s="13" t="s">
        <v>3595</v>
      </c>
      <c r="B991" s="13" t="s">
        <v>2222</v>
      </c>
      <c r="C991" s="13" t="s">
        <v>140</v>
      </c>
      <c r="D991" s="13" t="s">
        <v>2324</v>
      </c>
      <c r="E991" s="13" t="s">
        <v>3596</v>
      </c>
      <c r="F991" s="13" t="n">
        <v>1</v>
      </c>
      <c r="G991" s="13" t="n">
        <v>1</v>
      </c>
      <c r="H991" s="5" t="n">
        <v>2000</v>
      </c>
      <c r="I991" s="7" t="n">
        <v>60</v>
      </c>
      <c r="J991" s="16" t="n">
        <v>33.3333333333333</v>
      </c>
      <c r="K991" s="16" t="n">
        <v>33.3333333333333</v>
      </c>
      <c r="L991" s="16"/>
      <c r="M991" s="16"/>
      <c r="N991" s="19"/>
    </row>
    <row r="992" customFormat="false" ht="15" hidden="false" customHeight="false" outlineLevel="0" collapsed="false">
      <c r="A992" s="13" t="s">
        <v>3597</v>
      </c>
      <c r="B992" s="13" t="s">
        <v>2109</v>
      </c>
      <c r="C992" s="13" t="s">
        <v>43</v>
      </c>
      <c r="D992" s="13" t="s">
        <v>2324</v>
      </c>
      <c r="E992" s="13" t="s">
        <v>3598</v>
      </c>
      <c r="F992" s="13" t="n">
        <v>1</v>
      </c>
      <c r="G992" s="13" t="n">
        <v>1</v>
      </c>
      <c r="H992" s="5" t="n">
        <v>2000</v>
      </c>
      <c r="I992" s="7" t="n">
        <v>2</v>
      </c>
      <c r="J992" s="16" t="n">
        <v>1000</v>
      </c>
      <c r="K992" s="16"/>
      <c r="L992" s="16"/>
      <c r="M992" s="16" t="n">
        <v>1000</v>
      </c>
      <c r="N992" s="19"/>
    </row>
    <row r="993" customFormat="false" ht="15" hidden="false" customHeight="false" outlineLevel="0" collapsed="false">
      <c r="A993" s="13" t="s">
        <v>3599</v>
      </c>
      <c r="B993" s="13" t="s">
        <v>2175</v>
      </c>
      <c r="C993" s="13" t="s">
        <v>43</v>
      </c>
      <c r="D993" s="13" t="s">
        <v>2324</v>
      </c>
      <c r="E993" s="13" t="s">
        <v>3600</v>
      </c>
      <c r="F993" s="13" t="n">
        <v>1</v>
      </c>
      <c r="G993" s="13" t="n">
        <v>1</v>
      </c>
      <c r="H993" s="5" t="n">
        <v>2000</v>
      </c>
      <c r="I993" s="7" t="n">
        <v>10</v>
      </c>
      <c r="J993" s="16" t="n">
        <v>200</v>
      </c>
      <c r="K993" s="16" t="n">
        <v>200</v>
      </c>
      <c r="L993" s="16"/>
      <c r="M993" s="16"/>
      <c r="N993" s="19"/>
    </row>
    <row r="994" customFormat="false" ht="15" hidden="false" customHeight="false" outlineLevel="0" collapsed="false">
      <c r="A994" s="13" t="s">
        <v>3601</v>
      </c>
      <c r="B994" s="13" t="s">
        <v>191</v>
      </c>
      <c r="C994" s="13" t="s">
        <v>183</v>
      </c>
      <c r="D994" s="13" t="s">
        <v>2324</v>
      </c>
      <c r="E994" s="13" t="s">
        <v>923</v>
      </c>
      <c r="F994" s="13" t="n">
        <v>1</v>
      </c>
      <c r="G994" s="13" t="n">
        <v>1</v>
      </c>
      <c r="H994" s="5" t="n">
        <v>2000</v>
      </c>
      <c r="I994" s="7" t="n">
        <v>10</v>
      </c>
      <c r="J994" s="16" t="n">
        <v>200</v>
      </c>
      <c r="K994" s="16" t="n">
        <v>200</v>
      </c>
      <c r="L994" s="16"/>
      <c r="M994" s="16"/>
      <c r="N994" s="19"/>
    </row>
    <row r="995" customFormat="false" ht="15" hidden="false" customHeight="false" outlineLevel="0" collapsed="false">
      <c r="A995" s="13" t="s">
        <v>3602</v>
      </c>
      <c r="B995" s="13" t="s">
        <v>204</v>
      </c>
      <c r="C995" s="13" t="s">
        <v>43</v>
      </c>
      <c r="D995" s="13" t="s">
        <v>2339</v>
      </c>
      <c r="E995" s="13" t="s">
        <v>909</v>
      </c>
      <c r="F995" s="13" t="n">
        <v>1</v>
      </c>
      <c r="G995" s="13" t="n">
        <v>1</v>
      </c>
      <c r="H995" s="5" t="n">
        <v>2000</v>
      </c>
      <c r="I995" s="7" t="n">
        <v>5</v>
      </c>
      <c r="J995" s="16" t="n">
        <v>400</v>
      </c>
      <c r="K995" s="16"/>
      <c r="L995" s="16" t="n">
        <v>400</v>
      </c>
      <c r="M995" s="16"/>
      <c r="N995" s="19"/>
    </row>
    <row r="996" customFormat="false" ht="15" hidden="false" customHeight="false" outlineLevel="0" collapsed="false">
      <c r="A996" s="13" t="s">
        <v>3603</v>
      </c>
      <c r="B996" s="13" t="s">
        <v>87</v>
      </c>
      <c r="C996" s="13" t="s">
        <v>85</v>
      </c>
      <c r="D996" s="13" t="s">
        <v>2324</v>
      </c>
      <c r="E996" s="13" t="s">
        <v>917</v>
      </c>
      <c r="F996" s="13" t="n">
        <v>1</v>
      </c>
      <c r="G996" s="13" t="n">
        <v>1</v>
      </c>
      <c r="H996" s="5" t="n">
        <v>2000</v>
      </c>
      <c r="I996" s="7" t="n">
        <v>10</v>
      </c>
      <c r="J996" s="16" t="n">
        <v>200</v>
      </c>
      <c r="K996" s="16" t="n">
        <v>200</v>
      </c>
      <c r="L996" s="16"/>
      <c r="M996" s="16"/>
      <c r="N996" s="19"/>
    </row>
    <row r="997" customFormat="false" ht="15" hidden="false" customHeight="false" outlineLevel="0" collapsed="false">
      <c r="A997" s="13" t="s">
        <v>3604</v>
      </c>
      <c r="B997" s="13" t="s">
        <v>69</v>
      </c>
      <c r="C997" s="13" t="s">
        <v>43</v>
      </c>
      <c r="D997" s="13" t="s">
        <v>2324</v>
      </c>
      <c r="E997" s="13" t="s">
        <v>1131</v>
      </c>
      <c r="F997" s="13" t="n">
        <v>2</v>
      </c>
      <c r="G997" s="13" t="n">
        <v>2</v>
      </c>
      <c r="H997" s="5" t="n">
        <v>2000</v>
      </c>
      <c r="I997" s="7" t="n">
        <v>3</v>
      </c>
      <c r="J997" s="16" t="n">
        <v>666.666666666667</v>
      </c>
      <c r="K997" s="16"/>
      <c r="L997" s="16" t="n">
        <v>700</v>
      </c>
      <c r="M997" s="16" t="n">
        <v>650</v>
      </c>
      <c r="N997" s="19" t="n">
        <v>0.0769230769230769</v>
      </c>
    </row>
    <row r="998" customFormat="false" ht="15" hidden="false" customHeight="false" outlineLevel="0" collapsed="false">
      <c r="A998" s="13" t="s">
        <v>3605</v>
      </c>
      <c r="B998" s="13" t="s">
        <v>69</v>
      </c>
      <c r="C998" s="13" t="s">
        <v>43</v>
      </c>
      <c r="D998" s="13" t="s">
        <v>2324</v>
      </c>
      <c r="E998" s="13" t="s">
        <v>905</v>
      </c>
      <c r="F998" s="13" t="n">
        <v>1</v>
      </c>
      <c r="G998" s="13" t="n">
        <v>1</v>
      </c>
      <c r="H998" s="5" t="n">
        <v>2000</v>
      </c>
      <c r="I998" s="7" t="n">
        <v>2</v>
      </c>
      <c r="J998" s="16" t="n">
        <v>1000</v>
      </c>
      <c r="K998" s="16"/>
      <c r="L998" s="16"/>
      <c r="M998" s="16" t="n">
        <v>1000</v>
      </c>
      <c r="N998" s="19"/>
    </row>
    <row r="999" customFormat="false" ht="15" hidden="false" customHeight="false" outlineLevel="0" collapsed="false">
      <c r="A999" s="13" t="s">
        <v>3606</v>
      </c>
      <c r="B999" s="13" t="s">
        <v>193</v>
      </c>
      <c r="C999" s="13" t="s">
        <v>43</v>
      </c>
      <c r="D999" s="13" t="s">
        <v>2324</v>
      </c>
      <c r="E999" s="13" t="s">
        <v>125</v>
      </c>
      <c r="F999" s="13" t="n">
        <v>1</v>
      </c>
      <c r="G999" s="13" t="n">
        <v>1</v>
      </c>
      <c r="H999" s="5" t="n">
        <v>2000</v>
      </c>
      <c r="I999" s="7" t="n">
        <v>2</v>
      </c>
      <c r="J999" s="16" t="n">
        <v>1000</v>
      </c>
      <c r="K999" s="16"/>
      <c r="L999" s="16"/>
      <c r="M999" s="16" t="n">
        <v>1000</v>
      </c>
      <c r="N999" s="19"/>
    </row>
    <row r="1000" customFormat="false" ht="15" hidden="false" customHeight="false" outlineLevel="0" collapsed="false">
      <c r="A1000" s="13" t="s">
        <v>3607</v>
      </c>
      <c r="B1000" s="13" t="s">
        <v>54</v>
      </c>
      <c r="C1000" s="13" t="s">
        <v>43</v>
      </c>
      <c r="D1000" s="13" t="s">
        <v>2324</v>
      </c>
      <c r="E1000" s="13" t="s">
        <v>904</v>
      </c>
      <c r="F1000" s="13" t="n">
        <v>1</v>
      </c>
      <c r="G1000" s="13" t="n">
        <v>1</v>
      </c>
      <c r="H1000" s="5" t="n">
        <v>2000</v>
      </c>
      <c r="I1000" s="7" t="n">
        <v>5</v>
      </c>
      <c r="J1000" s="16" t="n">
        <v>400</v>
      </c>
      <c r="K1000" s="16"/>
      <c r="L1000" s="16"/>
      <c r="M1000" s="16" t="n">
        <v>400</v>
      </c>
      <c r="N1000" s="19"/>
    </row>
    <row r="1001" customFormat="false" ht="15" hidden="false" customHeight="false" outlineLevel="0" collapsed="false">
      <c r="A1001" s="13" t="s">
        <v>3608</v>
      </c>
      <c r="B1001" s="13" t="s">
        <v>107</v>
      </c>
      <c r="C1001" s="13" t="s">
        <v>183</v>
      </c>
      <c r="D1001" s="13" t="s">
        <v>2324</v>
      </c>
      <c r="E1001" s="13" t="s">
        <v>919</v>
      </c>
      <c r="F1001" s="13" t="n">
        <v>1</v>
      </c>
      <c r="G1001" s="13" t="n">
        <v>1</v>
      </c>
      <c r="H1001" s="5" t="n">
        <v>2000</v>
      </c>
      <c r="I1001" s="7" t="n">
        <v>2</v>
      </c>
      <c r="J1001" s="16" t="n">
        <v>1000</v>
      </c>
      <c r="K1001" s="16"/>
      <c r="L1001" s="16"/>
      <c r="M1001" s="16" t="n">
        <v>1000</v>
      </c>
      <c r="N1001" s="19"/>
    </row>
    <row r="1002" customFormat="false" ht="15" hidden="false" customHeight="false" outlineLevel="0" collapsed="false">
      <c r="A1002" s="13" t="s">
        <v>3609</v>
      </c>
      <c r="B1002" s="13" t="s">
        <v>2101</v>
      </c>
      <c r="C1002" s="13" t="s">
        <v>85</v>
      </c>
      <c r="D1002" s="13" t="s">
        <v>2324</v>
      </c>
      <c r="E1002" s="13" t="s">
        <v>3610</v>
      </c>
      <c r="F1002" s="13" t="n">
        <v>1</v>
      </c>
      <c r="G1002" s="13" t="n">
        <v>1</v>
      </c>
      <c r="H1002" s="5" t="n">
        <v>2000</v>
      </c>
      <c r="I1002" s="7" t="n">
        <v>30</v>
      </c>
      <c r="J1002" s="16" t="n">
        <v>66.6666666666667</v>
      </c>
      <c r="K1002" s="16" t="n">
        <v>66.6666666666667</v>
      </c>
      <c r="L1002" s="16"/>
      <c r="M1002" s="16"/>
      <c r="N1002" s="19"/>
    </row>
    <row r="1003" customFormat="false" ht="15" hidden="false" customHeight="false" outlineLevel="0" collapsed="false">
      <c r="A1003" s="13" t="s">
        <v>3611</v>
      </c>
      <c r="B1003" s="13" t="s">
        <v>61</v>
      </c>
      <c r="C1003" s="13" t="s">
        <v>43</v>
      </c>
      <c r="D1003" s="13" t="s">
        <v>2324</v>
      </c>
      <c r="E1003" s="13" t="s">
        <v>908</v>
      </c>
      <c r="F1003" s="13" t="n">
        <v>1</v>
      </c>
      <c r="G1003" s="13" t="n">
        <v>1</v>
      </c>
      <c r="H1003" s="5" t="n">
        <v>2000</v>
      </c>
      <c r="I1003" s="7" t="n">
        <v>5</v>
      </c>
      <c r="J1003" s="16" t="n">
        <v>400</v>
      </c>
      <c r="K1003" s="16"/>
      <c r="L1003" s="16"/>
      <c r="M1003" s="16" t="n">
        <v>400</v>
      </c>
      <c r="N1003" s="19"/>
    </row>
    <row r="1004" customFormat="false" ht="15" hidden="false" customHeight="false" outlineLevel="0" collapsed="false">
      <c r="A1004" s="13" t="s">
        <v>3612</v>
      </c>
      <c r="B1004" s="13" t="s">
        <v>153</v>
      </c>
      <c r="C1004" s="13" t="s">
        <v>43</v>
      </c>
      <c r="D1004" s="13" t="s">
        <v>2422</v>
      </c>
      <c r="E1004" s="13" t="s">
        <v>1484</v>
      </c>
      <c r="F1004" s="13" t="n">
        <v>2</v>
      </c>
      <c r="G1004" s="13" t="n">
        <v>2</v>
      </c>
      <c r="H1004" s="5" t="n">
        <v>1990</v>
      </c>
      <c r="I1004" s="7" t="n">
        <v>4</v>
      </c>
      <c r="J1004" s="16" t="n">
        <v>497.5</v>
      </c>
      <c r="K1004" s="16"/>
      <c r="L1004" s="16" t="n">
        <v>345</v>
      </c>
      <c r="M1004" s="16" t="n">
        <v>650</v>
      </c>
      <c r="N1004" s="19" t="n">
        <v>0.884057971014493</v>
      </c>
    </row>
    <row r="1005" customFormat="false" ht="15" hidden="false" customHeight="false" outlineLevel="0" collapsed="false">
      <c r="A1005" s="13" t="s">
        <v>3613</v>
      </c>
      <c r="B1005" s="13" t="s">
        <v>195</v>
      </c>
      <c r="C1005" s="13" t="s">
        <v>43</v>
      </c>
      <c r="D1005" s="13" t="s">
        <v>2324</v>
      </c>
      <c r="E1005" s="13" t="s">
        <v>1479</v>
      </c>
      <c r="F1005" s="13" t="n">
        <v>2</v>
      </c>
      <c r="G1005" s="13" t="n">
        <v>3</v>
      </c>
      <c r="H1005" s="5" t="n">
        <v>1980</v>
      </c>
      <c r="I1005" s="7" t="n">
        <v>3</v>
      </c>
      <c r="J1005" s="16" t="n">
        <v>660</v>
      </c>
      <c r="K1005" s="16"/>
      <c r="L1005" s="16" t="n">
        <v>680</v>
      </c>
      <c r="M1005" s="16" t="n">
        <v>620</v>
      </c>
      <c r="N1005" s="19" t="n">
        <v>0.0967741935483871</v>
      </c>
    </row>
    <row r="1006" customFormat="false" ht="15" hidden="false" customHeight="false" outlineLevel="0" collapsed="false">
      <c r="A1006" s="13" t="s">
        <v>3614</v>
      </c>
      <c r="B1006" s="13" t="s">
        <v>42</v>
      </c>
      <c r="C1006" s="13" t="s">
        <v>43</v>
      </c>
      <c r="D1006" s="13" t="s">
        <v>2324</v>
      </c>
      <c r="E1006" s="13" t="s">
        <v>53</v>
      </c>
      <c r="F1006" s="13" t="n">
        <v>1</v>
      </c>
      <c r="G1006" s="13" t="n">
        <v>2</v>
      </c>
      <c r="H1006" s="5" t="n">
        <v>1980</v>
      </c>
      <c r="I1006" s="7" t="n">
        <v>3</v>
      </c>
      <c r="J1006" s="16" t="n">
        <v>660</v>
      </c>
      <c r="K1006" s="16"/>
      <c r="L1006" s="16" t="n">
        <v>660</v>
      </c>
      <c r="M1006" s="16"/>
      <c r="N1006" s="19"/>
    </row>
    <row r="1007" customFormat="false" ht="15" hidden="false" customHeight="false" outlineLevel="0" collapsed="false">
      <c r="A1007" s="13" t="s">
        <v>3615</v>
      </c>
      <c r="B1007" s="13" t="s">
        <v>2164</v>
      </c>
      <c r="C1007" s="13" t="s">
        <v>43</v>
      </c>
      <c r="D1007" s="13" t="s">
        <v>2324</v>
      </c>
      <c r="E1007" s="13" t="s">
        <v>3616</v>
      </c>
      <c r="F1007" s="13" t="n">
        <v>1</v>
      </c>
      <c r="G1007" s="13" t="n">
        <v>2</v>
      </c>
      <c r="H1007" s="5" t="n">
        <v>1980</v>
      </c>
      <c r="I1007" s="7" t="n">
        <v>22</v>
      </c>
      <c r="J1007" s="16" t="n">
        <v>90</v>
      </c>
      <c r="K1007" s="16"/>
      <c r="L1007" s="16"/>
      <c r="M1007" s="16" t="n">
        <v>90</v>
      </c>
      <c r="N1007" s="19"/>
    </row>
    <row r="1008" customFormat="false" ht="15" hidden="false" customHeight="false" outlineLevel="0" collapsed="false">
      <c r="A1008" s="13" t="s">
        <v>3617</v>
      </c>
      <c r="B1008" s="13" t="s">
        <v>630</v>
      </c>
      <c r="C1008" s="13" t="s">
        <v>43</v>
      </c>
      <c r="D1008" s="13" t="s">
        <v>2360</v>
      </c>
      <c r="E1008" s="13" t="s">
        <v>983</v>
      </c>
      <c r="F1008" s="13" t="n">
        <v>1</v>
      </c>
      <c r="G1008" s="13" t="n">
        <v>2</v>
      </c>
      <c r="H1008" s="5" t="n">
        <v>1970</v>
      </c>
      <c r="I1008" s="7" t="n">
        <v>12</v>
      </c>
      <c r="J1008" s="16" t="n">
        <v>164.166666666667</v>
      </c>
      <c r="K1008" s="16"/>
      <c r="L1008" s="16"/>
      <c r="M1008" s="16" t="n">
        <v>164.166666666667</v>
      </c>
      <c r="N1008" s="19"/>
    </row>
    <row r="1009" customFormat="false" ht="15" hidden="false" customHeight="false" outlineLevel="0" collapsed="false">
      <c r="A1009" s="13" t="s">
        <v>3618</v>
      </c>
      <c r="B1009" s="13" t="s">
        <v>490</v>
      </c>
      <c r="C1009" s="13" t="s">
        <v>43</v>
      </c>
      <c r="D1009" s="13" t="s">
        <v>2324</v>
      </c>
      <c r="E1009" s="13" t="s">
        <v>990</v>
      </c>
      <c r="F1009" s="13" t="n">
        <v>1</v>
      </c>
      <c r="G1009" s="13" t="n">
        <v>2</v>
      </c>
      <c r="H1009" s="5" t="n">
        <v>1970</v>
      </c>
      <c r="I1009" s="7" t="n">
        <v>6</v>
      </c>
      <c r="J1009" s="16" t="n">
        <v>328.333333333333</v>
      </c>
      <c r="K1009" s="16"/>
      <c r="L1009" s="16"/>
      <c r="M1009" s="16" t="n">
        <v>328.333333333333</v>
      </c>
      <c r="N1009" s="19"/>
    </row>
    <row r="1010" customFormat="false" ht="15" hidden="false" customHeight="false" outlineLevel="0" collapsed="false">
      <c r="A1010" s="13" t="s">
        <v>3619</v>
      </c>
      <c r="B1010" s="13" t="s">
        <v>61</v>
      </c>
      <c r="C1010" s="13" t="s">
        <v>43</v>
      </c>
      <c r="D1010" s="13" t="s">
        <v>2324</v>
      </c>
      <c r="E1010" s="13" t="s">
        <v>1382</v>
      </c>
      <c r="F1010" s="13" t="n">
        <v>1</v>
      </c>
      <c r="G1010" s="13" t="n">
        <v>3</v>
      </c>
      <c r="H1010" s="5" t="n">
        <v>1960</v>
      </c>
      <c r="I1010" s="7" t="n">
        <v>6</v>
      </c>
      <c r="J1010" s="16" t="n">
        <v>326.666666666667</v>
      </c>
      <c r="K1010" s="16"/>
      <c r="L1010" s="16"/>
      <c r="M1010" s="16" t="n">
        <v>326.666666666667</v>
      </c>
      <c r="N1010" s="19"/>
    </row>
    <row r="1011" customFormat="false" ht="15" hidden="false" customHeight="false" outlineLevel="0" collapsed="false">
      <c r="A1011" s="13" t="s">
        <v>3620</v>
      </c>
      <c r="B1011" s="13" t="s">
        <v>2118</v>
      </c>
      <c r="C1011" s="13" t="s">
        <v>85</v>
      </c>
      <c r="D1011" s="13" t="s">
        <v>2324</v>
      </c>
      <c r="E1011" s="13" t="s">
        <v>1109</v>
      </c>
      <c r="F1011" s="13" t="n">
        <v>1</v>
      </c>
      <c r="G1011" s="13" t="n">
        <v>2</v>
      </c>
      <c r="H1011" s="5" t="n">
        <v>1960</v>
      </c>
      <c r="I1011" s="7" t="n">
        <v>3</v>
      </c>
      <c r="J1011" s="16" t="n">
        <v>653.333333333333</v>
      </c>
      <c r="K1011" s="16"/>
      <c r="L1011" s="16"/>
      <c r="M1011" s="16" t="n">
        <v>653.333333333333</v>
      </c>
      <c r="N1011" s="19"/>
    </row>
    <row r="1012" customFormat="false" ht="15" hidden="false" customHeight="false" outlineLevel="0" collapsed="false">
      <c r="A1012" s="13" t="s">
        <v>3621</v>
      </c>
      <c r="B1012" s="13" t="s">
        <v>2095</v>
      </c>
      <c r="C1012" s="13" t="s">
        <v>140</v>
      </c>
      <c r="D1012" s="13" t="s">
        <v>2324</v>
      </c>
      <c r="E1012" s="13" t="s">
        <v>3622</v>
      </c>
      <c r="F1012" s="13" t="n">
        <v>1</v>
      </c>
      <c r="G1012" s="13" t="n">
        <v>2</v>
      </c>
      <c r="H1012" s="5" t="n">
        <v>1940</v>
      </c>
      <c r="I1012" s="7" t="n">
        <v>11</v>
      </c>
      <c r="J1012" s="16" t="n">
        <v>176.363636363636</v>
      </c>
      <c r="K1012" s="16" t="n">
        <v>176.363636363636</v>
      </c>
      <c r="L1012" s="16"/>
      <c r="M1012" s="16"/>
      <c r="N1012" s="19"/>
    </row>
    <row r="1013" customFormat="false" ht="15" hidden="false" customHeight="false" outlineLevel="0" collapsed="false">
      <c r="A1013" s="13" t="s">
        <v>3623</v>
      </c>
      <c r="B1013" s="13" t="s">
        <v>72</v>
      </c>
      <c r="C1013" s="13" t="s">
        <v>43</v>
      </c>
      <c r="D1013" s="13" t="s">
        <v>2339</v>
      </c>
      <c r="E1013" s="13" t="s">
        <v>1277</v>
      </c>
      <c r="F1013" s="13" t="n">
        <v>2</v>
      </c>
      <c r="G1013" s="13" t="n">
        <v>2</v>
      </c>
      <c r="H1013" s="5" t="n">
        <v>1920</v>
      </c>
      <c r="I1013" s="7" t="n">
        <v>2</v>
      </c>
      <c r="J1013" s="16" t="n">
        <v>960</v>
      </c>
      <c r="K1013" s="16"/>
      <c r="L1013" s="16" t="n">
        <v>940</v>
      </c>
      <c r="M1013" s="16" t="n">
        <v>980</v>
      </c>
      <c r="N1013" s="19" t="n">
        <v>0.0425531914893617</v>
      </c>
    </row>
    <row r="1014" customFormat="false" ht="15" hidden="false" customHeight="false" outlineLevel="0" collapsed="false">
      <c r="A1014" s="13" t="s">
        <v>3624</v>
      </c>
      <c r="B1014" s="13" t="s">
        <v>107</v>
      </c>
      <c r="C1014" s="13" t="s">
        <v>183</v>
      </c>
      <c r="D1014" s="13" t="s">
        <v>2324</v>
      </c>
      <c r="E1014" s="13" t="s">
        <v>963</v>
      </c>
      <c r="F1014" s="13" t="n">
        <v>1</v>
      </c>
      <c r="G1014" s="13" t="n">
        <v>2</v>
      </c>
      <c r="H1014" s="5" t="n">
        <v>1920</v>
      </c>
      <c r="I1014" s="7" t="n">
        <v>21</v>
      </c>
      <c r="J1014" s="16" t="n">
        <v>91.4285714285714</v>
      </c>
      <c r="K1014" s="16"/>
      <c r="L1014" s="16"/>
      <c r="M1014" s="16" t="n">
        <v>91.4285714285714</v>
      </c>
      <c r="N1014" s="19"/>
    </row>
    <row r="1015" customFormat="false" ht="15" hidden="false" customHeight="false" outlineLevel="0" collapsed="false">
      <c r="A1015" s="13" t="s">
        <v>3625</v>
      </c>
      <c r="B1015" s="13" t="s">
        <v>2260</v>
      </c>
      <c r="C1015" s="13" t="s">
        <v>43</v>
      </c>
      <c r="D1015" s="13" t="s">
        <v>2324</v>
      </c>
      <c r="E1015" s="13" t="s">
        <v>3626</v>
      </c>
      <c r="F1015" s="13" t="n">
        <v>2</v>
      </c>
      <c r="G1015" s="13" t="n">
        <v>2</v>
      </c>
      <c r="H1015" s="5" t="n">
        <v>1920</v>
      </c>
      <c r="I1015" s="7" t="n">
        <v>7</v>
      </c>
      <c r="J1015" s="16" t="n">
        <v>274.285714285714</v>
      </c>
      <c r="K1015" s="16" t="n">
        <v>310</v>
      </c>
      <c r="L1015" s="16" t="n">
        <v>260</v>
      </c>
      <c r="M1015" s="16"/>
      <c r="N1015" s="19" t="n">
        <v>0.192307692307692</v>
      </c>
    </row>
    <row r="1016" customFormat="false" ht="15" hidden="false" customHeight="false" outlineLevel="0" collapsed="false">
      <c r="A1016" s="13" t="s">
        <v>3627</v>
      </c>
      <c r="B1016" s="13" t="s">
        <v>153</v>
      </c>
      <c r="C1016" s="13" t="s">
        <v>43</v>
      </c>
      <c r="D1016" s="13" t="s">
        <v>2324</v>
      </c>
      <c r="E1016" s="13" t="s">
        <v>1073</v>
      </c>
      <c r="F1016" s="13" t="n">
        <v>2</v>
      </c>
      <c r="G1016" s="13" t="n">
        <v>2</v>
      </c>
      <c r="H1016" s="5" t="n">
        <v>1920</v>
      </c>
      <c r="I1016" s="7" t="n">
        <v>3</v>
      </c>
      <c r="J1016" s="16" t="n">
        <v>640</v>
      </c>
      <c r="K1016" s="16"/>
      <c r="L1016" s="16" t="n">
        <v>520</v>
      </c>
      <c r="M1016" s="16" t="n">
        <v>700</v>
      </c>
      <c r="N1016" s="19" t="n">
        <v>0.346153846153846</v>
      </c>
    </row>
    <row r="1017" customFormat="false" ht="15" hidden="false" customHeight="false" outlineLevel="0" collapsed="false">
      <c r="A1017" s="13" t="s">
        <v>3628</v>
      </c>
      <c r="B1017" s="13" t="s">
        <v>2198</v>
      </c>
      <c r="C1017" s="13" t="s">
        <v>183</v>
      </c>
      <c r="D1017" s="13" t="s">
        <v>2339</v>
      </c>
      <c r="E1017" s="13" t="s">
        <v>3629</v>
      </c>
      <c r="F1017" s="13" t="n">
        <v>1</v>
      </c>
      <c r="G1017" s="13" t="n">
        <v>1</v>
      </c>
      <c r="H1017" s="5" t="n">
        <v>1900</v>
      </c>
      <c r="I1017" s="7" t="n">
        <v>5</v>
      </c>
      <c r="J1017" s="16" t="n">
        <v>380</v>
      </c>
      <c r="K1017" s="16"/>
      <c r="L1017" s="16" t="n">
        <v>380</v>
      </c>
      <c r="M1017" s="16"/>
      <c r="N1017" s="19"/>
    </row>
    <row r="1018" customFormat="false" ht="15" hidden="false" customHeight="false" outlineLevel="0" collapsed="false">
      <c r="A1018" s="13" t="s">
        <v>3630</v>
      </c>
      <c r="B1018" s="13" t="s">
        <v>2095</v>
      </c>
      <c r="C1018" s="13" t="s">
        <v>85</v>
      </c>
      <c r="D1018" s="13" t="s">
        <v>2324</v>
      </c>
      <c r="E1018" s="13" t="s">
        <v>3631</v>
      </c>
      <c r="F1018" s="13" t="n">
        <v>1</v>
      </c>
      <c r="G1018" s="13" t="n">
        <v>1</v>
      </c>
      <c r="H1018" s="5" t="n">
        <v>1900</v>
      </c>
      <c r="I1018" s="7" t="n">
        <v>30</v>
      </c>
      <c r="J1018" s="16" t="n">
        <v>63.3333333333333</v>
      </c>
      <c r="K1018" s="16" t="n">
        <v>63.3333333333333</v>
      </c>
      <c r="L1018" s="16"/>
      <c r="M1018" s="16"/>
      <c r="N1018" s="19"/>
    </row>
    <row r="1019" customFormat="false" ht="15" hidden="false" customHeight="false" outlineLevel="0" collapsed="false">
      <c r="A1019" s="13" t="s">
        <v>3632</v>
      </c>
      <c r="B1019" s="13" t="s">
        <v>177</v>
      </c>
      <c r="C1019" s="13" t="s">
        <v>43</v>
      </c>
      <c r="D1019" s="13" t="s">
        <v>2324</v>
      </c>
      <c r="E1019" s="13" t="s">
        <v>933</v>
      </c>
      <c r="F1019" s="13" t="n">
        <v>1</v>
      </c>
      <c r="G1019" s="13" t="n">
        <v>1</v>
      </c>
      <c r="H1019" s="5" t="n">
        <v>1900</v>
      </c>
      <c r="I1019" s="7" t="n">
        <v>2</v>
      </c>
      <c r="J1019" s="16" t="n">
        <v>950</v>
      </c>
      <c r="K1019" s="16"/>
      <c r="L1019" s="16"/>
      <c r="M1019" s="16" t="n">
        <v>950</v>
      </c>
      <c r="N1019" s="19"/>
    </row>
    <row r="1020" customFormat="false" ht="15" hidden="false" customHeight="false" outlineLevel="0" collapsed="false">
      <c r="A1020" s="13" t="s">
        <v>3633</v>
      </c>
      <c r="B1020" s="13" t="s">
        <v>195</v>
      </c>
      <c r="C1020" s="13" t="s">
        <v>43</v>
      </c>
      <c r="D1020" s="13" t="s">
        <v>2324</v>
      </c>
      <c r="E1020" s="13" t="s">
        <v>932</v>
      </c>
      <c r="F1020" s="13" t="n">
        <v>1</v>
      </c>
      <c r="G1020" s="13" t="n">
        <v>1</v>
      </c>
      <c r="H1020" s="5" t="n">
        <v>1900</v>
      </c>
      <c r="I1020" s="7" t="n">
        <v>2</v>
      </c>
      <c r="J1020" s="16" t="n">
        <v>950</v>
      </c>
      <c r="K1020" s="16"/>
      <c r="L1020" s="16"/>
      <c r="M1020" s="16" t="n">
        <v>950</v>
      </c>
      <c r="N1020" s="19"/>
    </row>
    <row r="1021" customFormat="false" ht="15" hidden="false" customHeight="false" outlineLevel="0" collapsed="false">
      <c r="A1021" s="13" t="s">
        <v>3634</v>
      </c>
      <c r="B1021" s="13" t="s">
        <v>2126</v>
      </c>
      <c r="C1021" s="13" t="s">
        <v>183</v>
      </c>
      <c r="D1021" s="13" t="s">
        <v>2324</v>
      </c>
      <c r="E1021" s="13" t="s">
        <v>3635</v>
      </c>
      <c r="F1021" s="13" t="n">
        <v>1</v>
      </c>
      <c r="G1021" s="13" t="n">
        <v>1</v>
      </c>
      <c r="H1021" s="5" t="n">
        <v>1900</v>
      </c>
      <c r="I1021" s="7" t="n">
        <v>30</v>
      </c>
      <c r="J1021" s="16" t="n">
        <v>63.3333333333333</v>
      </c>
      <c r="K1021" s="16" t="n">
        <v>63.3333333333333</v>
      </c>
      <c r="L1021" s="16"/>
      <c r="M1021" s="16"/>
      <c r="N1021" s="19"/>
    </row>
    <row r="1022" customFormat="false" ht="15" hidden="false" customHeight="false" outlineLevel="0" collapsed="false">
      <c r="A1022" s="13" t="s">
        <v>3636</v>
      </c>
      <c r="B1022" s="13" t="s">
        <v>2117</v>
      </c>
      <c r="C1022" s="13" t="s">
        <v>85</v>
      </c>
      <c r="D1022" s="13" t="s">
        <v>2324</v>
      </c>
      <c r="E1022" s="13" t="s">
        <v>3637</v>
      </c>
      <c r="F1022" s="13" t="n">
        <v>1</v>
      </c>
      <c r="G1022" s="13" t="n">
        <v>1</v>
      </c>
      <c r="H1022" s="5" t="n">
        <v>1900</v>
      </c>
      <c r="I1022" s="7" t="n">
        <v>60</v>
      </c>
      <c r="J1022" s="16" t="n">
        <v>31.6666666666667</v>
      </c>
      <c r="K1022" s="16" t="n">
        <v>31.6666666666667</v>
      </c>
      <c r="L1022" s="16"/>
      <c r="M1022" s="16"/>
      <c r="N1022" s="19"/>
    </row>
    <row r="1023" customFormat="false" ht="15" hidden="false" customHeight="false" outlineLevel="0" collapsed="false">
      <c r="A1023" s="13" t="s">
        <v>3638</v>
      </c>
      <c r="B1023" s="13" t="s">
        <v>312</v>
      </c>
      <c r="C1023" s="13" t="s">
        <v>43</v>
      </c>
      <c r="D1023" s="13" t="s">
        <v>2339</v>
      </c>
      <c r="E1023" s="13" t="s">
        <v>937</v>
      </c>
      <c r="F1023" s="13" t="n">
        <v>1</v>
      </c>
      <c r="G1023" s="13" t="n">
        <v>1</v>
      </c>
      <c r="H1023" s="5" t="n">
        <v>1900</v>
      </c>
      <c r="I1023" s="7" t="n">
        <v>5</v>
      </c>
      <c r="J1023" s="16" t="n">
        <v>380</v>
      </c>
      <c r="K1023" s="16"/>
      <c r="L1023" s="16" t="n">
        <v>380</v>
      </c>
      <c r="M1023" s="16"/>
      <c r="N1023" s="19"/>
    </row>
    <row r="1024" customFormat="false" ht="15" hidden="false" customHeight="false" outlineLevel="0" collapsed="false">
      <c r="A1024" s="13" t="s">
        <v>3639</v>
      </c>
      <c r="B1024" s="13" t="s">
        <v>2117</v>
      </c>
      <c r="C1024" s="13" t="s">
        <v>85</v>
      </c>
      <c r="D1024" s="13" t="s">
        <v>2422</v>
      </c>
      <c r="E1024" s="13" t="s">
        <v>3640</v>
      </c>
      <c r="F1024" s="13" t="n">
        <v>1</v>
      </c>
      <c r="G1024" s="13" t="n">
        <v>1</v>
      </c>
      <c r="H1024" s="5" t="n">
        <v>1900</v>
      </c>
      <c r="I1024" s="7" t="n">
        <v>60</v>
      </c>
      <c r="J1024" s="16" t="n">
        <v>31.6666666666667</v>
      </c>
      <c r="K1024" s="16" t="n">
        <v>31.6666666666667</v>
      </c>
      <c r="L1024" s="16"/>
      <c r="M1024" s="16"/>
      <c r="N1024" s="19"/>
    </row>
    <row r="1025" customFormat="false" ht="15" hidden="false" customHeight="false" outlineLevel="0" collapsed="false">
      <c r="A1025" s="13" t="s">
        <v>3641</v>
      </c>
      <c r="B1025" s="13" t="s">
        <v>2095</v>
      </c>
      <c r="C1025" s="13" t="s">
        <v>140</v>
      </c>
      <c r="D1025" s="13" t="s">
        <v>2324</v>
      </c>
      <c r="E1025" s="13" t="s">
        <v>3642</v>
      </c>
      <c r="F1025" s="13" t="n">
        <v>1</v>
      </c>
      <c r="G1025" s="13" t="n">
        <v>1</v>
      </c>
      <c r="H1025" s="5" t="n">
        <v>1900</v>
      </c>
      <c r="I1025" s="7" t="n">
        <v>30</v>
      </c>
      <c r="J1025" s="16" t="n">
        <v>63.3333333333333</v>
      </c>
      <c r="K1025" s="16" t="n">
        <v>63.3333333333333</v>
      </c>
      <c r="L1025" s="16"/>
      <c r="M1025" s="16"/>
      <c r="N1025" s="19"/>
    </row>
    <row r="1026" customFormat="false" ht="15" hidden="false" customHeight="false" outlineLevel="0" collapsed="false">
      <c r="A1026" s="13" t="s">
        <v>3643</v>
      </c>
      <c r="B1026" s="13" t="s">
        <v>2159</v>
      </c>
      <c r="C1026" s="13" t="s">
        <v>43</v>
      </c>
      <c r="D1026" s="13" t="s">
        <v>2324</v>
      </c>
      <c r="E1026" s="13" t="s">
        <v>3644</v>
      </c>
      <c r="F1026" s="13" t="n">
        <v>1</v>
      </c>
      <c r="G1026" s="13" t="n">
        <v>1</v>
      </c>
      <c r="H1026" s="5" t="n">
        <v>1900</v>
      </c>
      <c r="I1026" s="7" t="n">
        <v>30</v>
      </c>
      <c r="J1026" s="16" t="n">
        <v>63.3333333333333</v>
      </c>
      <c r="K1026" s="16" t="n">
        <v>63.3333333333333</v>
      </c>
      <c r="L1026" s="16"/>
      <c r="M1026" s="16"/>
      <c r="N1026" s="19"/>
    </row>
    <row r="1027" customFormat="false" ht="15" hidden="false" customHeight="false" outlineLevel="0" collapsed="false">
      <c r="A1027" s="13" t="s">
        <v>3645</v>
      </c>
      <c r="B1027" s="13" t="s">
        <v>124</v>
      </c>
      <c r="C1027" s="13" t="s">
        <v>43</v>
      </c>
      <c r="D1027" s="13" t="s">
        <v>2324</v>
      </c>
      <c r="E1027" s="13" t="s">
        <v>934</v>
      </c>
      <c r="F1027" s="13" t="n">
        <v>1</v>
      </c>
      <c r="G1027" s="13" t="n">
        <v>1</v>
      </c>
      <c r="H1027" s="5" t="n">
        <v>1900</v>
      </c>
      <c r="I1027" s="7" t="n">
        <v>5</v>
      </c>
      <c r="J1027" s="16" t="n">
        <v>380</v>
      </c>
      <c r="K1027" s="16"/>
      <c r="L1027" s="16"/>
      <c r="M1027" s="16" t="n">
        <v>380</v>
      </c>
      <c r="N1027" s="19"/>
    </row>
    <row r="1028" customFormat="false" ht="15" hidden="false" customHeight="false" outlineLevel="0" collapsed="false">
      <c r="A1028" s="13" t="s">
        <v>3646</v>
      </c>
      <c r="B1028" s="13" t="s">
        <v>54</v>
      </c>
      <c r="C1028" s="13" t="s">
        <v>43</v>
      </c>
      <c r="D1028" s="13" t="s">
        <v>2324</v>
      </c>
      <c r="E1028" s="13" t="s">
        <v>1106</v>
      </c>
      <c r="F1028" s="13" t="n">
        <v>1</v>
      </c>
      <c r="G1028" s="13" t="n">
        <v>3</v>
      </c>
      <c r="H1028" s="5" t="n">
        <v>1890</v>
      </c>
      <c r="I1028" s="7" t="n">
        <v>4</v>
      </c>
      <c r="J1028" s="16" t="n">
        <v>472.5</v>
      </c>
      <c r="K1028" s="16"/>
      <c r="L1028" s="16"/>
      <c r="M1028" s="16" t="n">
        <v>472.5</v>
      </c>
      <c r="N1028" s="19"/>
    </row>
    <row r="1029" customFormat="false" ht="15" hidden="false" customHeight="false" outlineLevel="0" collapsed="false">
      <c r="A1029" s="13" t="s">
        <v>3647</v>
      </c>
      <c r="B1029" s="13" t="s">
        <v>54</v>
      </c>
      <c r="C1029" s="13" t="s">
        <v>43</v>
      </c>
      <c r="D1029" s="13" t="s">
        <v>2324</v>
      </c>
      <c r="E1029" s="13" t="s">
        <v>1011</v>
      </c>
      <c r="F1029" s="13" t="n">
        <v>1</v>
      </c>
      <c r="G1029" s="13" t="n">
        <v>2</v>
      </c>
      <c r="H1029" s="5" t="n">
        <v>1880</v>
      </c>
      <c r="I1029" s="7" t="n">
        <v>6</v>
      </c>
      <c r="J1029" s="16" t="n">
        <v>313.333333333333</v>
      </c>
      <c r="K1029" s="16"/>
      <c r="L1029" s="16"/>
      <c r="M1029" s="16" t="n">
        <v>313.333333333333</v>
      </c>
      <c r="N1029" s="19"/>
    </row>
    <row r="1030" customFormat="false" ht="15" hidden="false" customHeight="false" outlineLevel="0" collapsed="false">
      <c r="A1030" s="13" t="s">
        <v>3648</v>
      </c>
      <c r="B1030" s="13" t="s">
        <v>2142</v>
      </c>
      <c r="C1030" s="13" t="s">
        <v>183</v>
      </c>
      <c r="D1030" s="13" t="s">
        <v>3649</v>
      </c>
      <c r="E1030" s="13" t="s">
        <v>3650</v>
      </c>
      <c r="F1030" s="13" t="n">
        <v>1</v>
      </c>
      <c r="G1030" s="13" t="n">
        <v>2</v>
      </c>
      <c r="H1030" s="5" t="n">
        <v>1880</v>
      </c>
      <c r="I1030" s="7" t="n">
        <v>31</v>
      </c>
      <c r="J1030" s="16" t="n">
        <v>60.6451612903226</v>
      </c>
      <c r="K1030" s="16" t="n">
        <v>60.6451612903226</v>
      </c>
      <c r="L1030" s="16"/>
      <c r="M1030" s="16"/>
      <c r="N1030" s="19"/>
    </row>
    <row r="1031" customFormat="false" ht="15" hidden="false" customHeight="false" outlineLevel="0" collapsed="false">
      <c r="A1031" s="13" t="s">
        <v>3651</v>
      </c>
      <c r="B1031" s="13" t="s">
        <v>79</v>
      </c>
      <c r="C1031" s="13" t="s">
        <v>43</v>
      </c>
      <c r="D1031" s="13" t="s">
        <v>2324</v>
      </c>
      <c r="E1031" s="13" t="s">
        <v>1082</v>
      </c>
      <c r="F1031" s="13" t="n">
        <v>1</v>
      </c>
      <c r="G1031" s="13" t="n">
        <v>2</v>
      </c>
      <c r="H1031" s="5" t="n">
        <v>1880</v>
      </c>
      <c r="I1031" s="7" t="n">
        <v>3</v>
      </c>
      <c r="J1031" s="16" t="n">
        <v>626.666666666667</v>
      </c>
      <c r="K1031" s="16"/>
      <c r="L1031" s="16"/>
      <c r="M1031" s="16" t="n">
        <v>626.666666666667</v>
      </c>
      <c r="N1031" s="19"/>
    </row>
    <row r="1032" customFormat="false" ht="15" hidden="false" customHeight="false" outlineLevel="0" collapsed="false">
      <c r="A1032" s="13" t="s">
        <v>3652</v>
      </c>
      <c r="B1032" s="13" t="s">
        <v>2131</v>
      </c>
      <c r="C1032" s="13" t="s">
        <v>43</v>
      </c>
      <c r="D1032" s="13" t="s">
        <v>2324</v>
      </c>
      <c r="E1032" s="13" t="s">
        <v>3653</v>
      </c>
      <c r="F1032" s="13" t="n">
        <v>1</v>
      </c>
      <c r="G1032" s="13" t="n">
        <v>2</v>
      </c>
      <c r="H1032" s="5" t="n">
        <v>1870</v>
      </c>
      <c r="I1032" s="7" t="n">
        <v>3</v>
      </c>
      <c r="J1032" s="16" t="n">
        <v>623.333333333333</v>
      </c>
      <c r="K1032" s="16"/>
      <c r="L1032" s="16"/>
      <c r="M1032" s="16" t="n">
        <v>623.333333333333</v>
      </c>
      <c r="N1032" s="19"/>
    </row>
    <row r="1033" customFormat="false" ht="15" hidden="false" customHeight="false" outlineLevel="0" collapsed="false">
      <c r="A1033" s="13" t="s">
        <v>3654</v>
      </c>
      <c r="B1033" s="13" t="s">
        <v>79</v>
      </c>
      <c r="C1033" s="13" t="s">
        <v>43</v>
      </c>
      <c r="D1033" s="13" t="s">
        <v>2324</v>
      </c>
      <c r="E1033" s="13" t="s">
        <v>1160</v>
      </c>
      <c r="F1033" s="13" t="n">
        <v>1</v>
      </c>
      <c r="G1033" s="13" t="n">
        <v>2</v>
      </c>
      <c r="H1033" s="5" t="n">
        <v>1870</v>
      </c>
      <c r="I1033" s="7" t="n">
        <v>3</v>
      </c>
      <c r="J1033" s="16" t="n">
        <v>623.333333333333</v>
      </c>
      <c r="K1033" s="16"/>
      <c r="L1033" s="16" t="n">
        <v>623.333333333333</v>
      </c>
      <c r="M1033" s="16"/>
      <c r="N1033" s="19"/>
    </row>
    <row r="1034" customFormat="false" ht="15" hidden="false" customHeight="false" outlineLevel="0" collapsed="false">
      <c r="A1034" s="13" t="s">
        <v>3655</v>
      </c>
      <c r="B1034" s="13" t="s">
        <v>105</v>
      </c>
      <c r="C1034" s="13" t="s">
        <v>43</v>
      </c>
      <c r="D1034" s="13" t="s">
        <v>2339</v>
      </c>
      <c r="E1034" s="13" t="s">
        <v>1291</v>
      </c>
      <c r="F1034" s="13" t="n">
        <v>2</v>
      </c>
      <c r="G1034" s="13" t="n">
        <v>3</v>
      </c>
      <c r="H1034" s="5" t="n">
        <v>1860</v>
      </c>
      <c r="I1034" s="7" t="n">
        <v>4</v>
      </c>
      <c r="J1034" s="16" t="n">
        <v>465</v>
      </c>
      <c r="K1034" s="16"/>
      <c r="L1034" s="16" t="n">
        <v>456.666666666667</v>
      </c>
      <c r="M1034" s="16" t="n">
        <v>490</v>
      </c>
      <c r="N1034" s="19" t="n">
        <v>0.072992700729927</v>
      </c>
    </row>
    <row r="1035" customFormat="false" ht="15" hidden="false" customHeight="false" outlineLevel="0" collapsed="false">
      <c r="A1035" s="13" t="s">
        <v>3656</v>
      </c>
      <c r="B1035" s="13" t="s">
        <v>92</v>
      </c>
      <c r="C1035" s="13" t="s">
        <v>43</v>
      </c>
      <c r="D1035" s="13" t="s">
        <v>2324</v>
      </c>
      <c r="E1035" s="13" t="s">
        <v>1214</v>
      </c>
      <c r="F1035" s="13" t="n">
        <v>1</v>
      </c>
      <c r="G1035" s="13" t="n">
        <v>2</v>
      </c>
      <c r="H1035" s="5" t="n">
        <v>1850</v>
      </c>
      <c r="I1035" s="7" t="n">
        <v>3</v>
      </c>
      <c r="J1035" s="16" t="n">
        <v>616.666666666667</v>
      </c>
      <c r="K1035" s="16"/>
      <c r="L1035" s="16"/>
      <c r="M1035" s="16" t="n">
        <v>616.666666666667</v>
      </c>
      <c r="N1035" s="19"/>
    </row>
    <row r="1036" customFormat="false" ht="15" hidden="false" customHeight="false" outlineLevel="0" collapsed="false">
      <c r="A1036" s="13" t="s">
        <v>3657</v>
      </c>
      <c r="B1036" s="13" t="s">
        <v>121</v>
      </c>
      <c r="C1036" s="13" t="s">
        <v>43</v>
      </c>
      <c r="D1036" s="13" t="s">
        <v>2324</v>
      </c>
      <c r="E1036" s="13" t="s">
        <v>1239</v>
      </c>
      <c r="F1036" s="13" t="n">
        <v>1</v>
      </c>
      <c r="G1036" s="13" t="n">
        <v>3</v>
      </c>
      <c r="H1036" s="5" t="n">
        <v>1840</v>
      </c>
      <c r="I1036" s="7" t="n">
        <v>8</v>
      </c>
      <c r="J1036" s="16" t="n">
        <v>230</v>
      </c>
      <c r="K1036" s="16"/>
      <c r="L1036" s="16"/>
      <c r="M1036" s="16" t="n">
        <v>230</v>
      </c>
      <c r="N1036" s="19"/>
    </row>
    <row r="1037" customFormat="false" ht="15" hidden="false" customHeight="false" outlineLevel="0" collapsed="false">
      <c r="A1037" s="13" t="s">
        <v>3658</v>
      </c>
      <c r="B1037" s="13" t="s">
        <v>42</v>
      </c>
      <c r="C1037" s="13" t="s">
        <v>43</v>
      </c>
      <c r="D1037" s="13" t="s">
        <v>2324</v>
      </c>
      <c r="E1037" s="13" t="s">
        <v>1285</v>
      </c>
      <c r="F1037" s="13" t="n">
        <v>1</v>
      </c>
      <c r="G1037" s="13" t="n">
        <v>2</v>
      </c>
      <c r="H1037" s="5" t="n">
        <v>1840</v>
      </c>
      <c r="I1037" s="7" t="n">
        <v>2</v>
      </c>
      <c r="J1037" s="16" t="n">
        <v>920</v>
      </c>
      <c r="K1037" s="16"/>
      <c r="L1037" s="16" t="n">
        <v>920</v>
      </c>
      <c r="M1037" s="16"/>
      <c r="N1037" s="19"/>
    </row>
    <row r="1038" customFormat="false" ht="15" hidden="false" customHeight="false" outlineLevel="0" collapsed="false">
      <c r="A1038" s="13" t="s">
        <v>3659</v>
      </c>
      <c r="B1038" s="13" t="s">
        <v>630</v>
      </c>
      <c r="C1038" s="13" t="s">
        <v>43</v>
      </c>
      <c r="D1038" s="13" t="s">
        <v>2324</v>
      </c>
      <c r="E1038" s="13" t="s">
        <v>1092</v>
      </c>
      <c r="F1038" s="13" t="n">
        <v>2</v>
      </c>
      <c r="G1038" s="13" t="n">
        <v>2</v>
      </c>
      <c r="H1038" s="5" t="n">
        <v>1840</v>
      </c>
      <c r="I1038" s="7" t="n">
        <v>7</v>
      </c>
      <c r="J1038" s="16" t="n">
        <v>262.857142857143</v>
      </c>
      <c r="K1038" s="16"/>
      <c r="L1038" s="16" t="n">
        <v>280</v>
      </c>
      <c r="M1038" s="16" t="n">
        <v>220</v>
      </c>
      <c r="N1038" s="19" t="n">
        <v>0.272727272727273</v>
      </c>
    </row>
    <row r="1039" customFormat="false" ht="15" hidden="false" customHeight="false" outlineLevel="0" collapsed="false">
      <c r="A1039" s="13" t="s">
        <v>3660</v>
      </c>
      <c r="B1039" s="13" t="s">
        <v>177</v>
      </c>
      <c r="C1039" s="13" t="s">
        <v>43</v>
      </c>
      <c r="D1039" s="13" t="s">
        <v>2324</v>
      </c>
      <c r="E1039" s="13" t="s">
        <v>1151</v>
      </c>
      <c r="F1039" s="13" t="n">
        <v>1</v>
      </c>
      <c r="G1039" s="13" t="n">
        <v>2</v>
      </c>
      <c r="H1039" s="5" t="n">
        <v>1830</v>
      </c>
      <c r="I1039" s="7" t="n">
        <v>3</v>
      </c>
      <c r="J1039" s="16" t="n">
        <v>610</v>
      </c>
      <c r="K1039" s="16"/>
      <c r="L1039" s="16" t="n">
        <v>610</v>
      </c>
      <c r="M1039" s="16"/>
      <c r="N1039" s="19"/>
    </row>
    <row r="1040" customFormat="false" ht="15" hidden="false" customHeight="false" outlineLevel="0" collapsed="false">
      <c r="A1040" s="13" t="s">
        <v>3661</v>
      </c>
      <c r="B1040" s="13" t="s">
        <v>153</v>
      </c>
      <c r="C1040" s="13" t="s">
        <v>43</v>
      </c>
      <c r="D1040" s="13" t="s">
        <v>2324</v>
      </c>
      <c r="E1040" s="13" t="s">
        <v>1280</v>
      </c>
      <c r="F1040" s="13" t="n">
        <v>2</v>
      </c>
      <c r="G1040" s="13" t="n">
        <v>3</v>
      </c>
      <c r="H1040" s="5" t="n">
        <v>1820</v>
      </c>
      <c r="I1040" s="7" t="n">
        <v>4</v>
      </c>
      <c r="J1040" s="16" t="n">
        <v>455</v>
      </c>
      <c r="K1040" s="16"/>
      <c r="L1040" s="16" t="n">
        <v>480</v>
      </c>
      <c r="M1040" s="16" t="n">
        <v>446.666666666667</v>
      </c>
      <c r="N1040" s="19" t="n">
        <v>0.0746268656716417</v>
      </c>
    </row>
    <row r="1041" customFormat="false" ht="15" hidden="false" customHeight="false" outlineLevel="0" collapsed="false">
      <c r="A1041" s="13" t="s">
        <v>3662</v>
      </c>
      <c r="B1041" s="13" t="s">
        <v>2189</v>
      </c>
      <c r="C1041" s="13" t="s">
        <v>43</v>
      </c>
      <c r="D1041" s="13" t="s">
        <v>2360</v>
      </c>
      <c r="E1041" s="13" t="s">
        <v>3663</v>
      </c>
      <c r="F1041" s="13" t="n">
        <v>1</v>
      </c>
      <c r="G1041" s="13" t="n">
        <v>2</v>
      </c>
      <c r="H1041" s="5" t="n">
        <v>1820</v>
      </c>
      <c r="I1041" s="7" t="n">
        <v>2</v>
      </c>
      <c r="J1041" s="16" t="n">
        <v>910</v>
      </c>
      <c r="K1041" s="16"/>
      <c r="L1041" s="16" t="n">
        <v>910</v>
      </c>
      <c r="M1041" s="16"/>
      <c r="N1041" s="19"/>
    </row>
    <row r="1042" customFormat="false" ht="15" hidden="false" customHeight="false" outlineLevel="0" collapsed="false">
      <c r="A1042" s="13" t="s">
        <v>3664</v>
      </c>
      <c r="B1042" s="13" t="s">
        <v>329</v>
      </c>
      <c r="C1042" s="13" t="s">
        <v>43</v>
      </c>
      <c r="D1042" s="13" t="s">
        <v>2324</v>
      </c>
      <c r="E1042" s="13" t="s">
        <v>575</v>
      </c>
      <c r="F1042" s="13" t="n">
        <v>2</v>
      </c>
      <c r="G1042" s="13" t="n">
        <v>2</v>
      </c>
      <c r="H1042" s="5" t="n">
        <v>1820</v>
      </c>
      <c r="I1042" s="7" t="n">
        <v>2</v>
      </c>
      <c r="J1042" s="16" t="n">
        <v>910</v>
      </c>
      <c r="K1042" s="16"/>
      <c r="L1042" s="16" t="n">
        <v>820</v>
      </c>
      <c r="M1042" s="16" t="n">
        <v>1000</v>
      </c>
      <c r="N1042" s="19" t="n">
        <v>0.219512195121951</v>
      </c>
    </row>
    <row r="1043" customFormat="false" ht="15" hidden="false" customHeight="false" outlineLevel="0" collapsed="false">
      <c r="A1043" s="13" t="s">
        <v>3665</v>
      </c>
      <c r="B1043" s="13" t="s">
        <v>92</v>
      </c>
      <c r="C1043" s="13" t="s">
        <v>43</v>
      </c>
      <c r="D1043" s="13" t="s">
        <v>2500</v>
      </c>
      <c r="E1043" s="13" t="s">
        <v>1166</v>
      </c>
      <c r="F1043" s="13" t="n">
        <v>1</v>
      </c>
      <c r="G1043" s="13" t="n">
        <v>2</v>
      </c>
      <c r="H1043" s="5" t="n">
        <v>1810</v>
      </c>
      <c r="I1043" s="7" t="n">
        <v>3</v>
      </c>
      <c r="J1043" s="16" t="n">
        <v>603.333333333333</v>
      </c>
      <c r="K1043" s="16"/>
      <c r="L1043" s="16"/>
      <c r="M1043" s="16" t="n">
        <v>603.333333333333</v>
      </c>
      <c r="N1043" s="19"/>
    </row>
    <row r="1044" customFormat="false" ht="15" hidden="false" customHeight="false" outlineLevel="0" collapsed="false">
      <c r="A1044" s="13" t="s">
        <v>3666</v>
      </c>
      <c r="B1044" s="13" t="s">
        <v>2224</v>
      </c>
      <c r="C1044" s="13" t="s">
        <v>85</v>
      </c>
      <c r="D1044" s="13" t="s">
        <v>2324</v>
      </c>
      <c r="E1044" s="13" t="s">
        <v>3667</v>
      </c>
      <c r="F1044" s="13" t="n">
        <v>1</v>
      </c>
      <c r="G1044" s="13" t="n">
        <v>1</v>
      </c>
      <c r="H1044" s="5" t="n">
        <v>1800</v>
      </c>
      <c r="I1044" s="7" t="n">
        <v>2</v>
      </c>
      <c r="J1044" s="16" t="n">
        <v>900</v>
      </c>
      <c r="K1044" s="16" t="n">
        <v>900</v>
      </c>
      <c r="L1044" s="16"/>
      <c r="M1044" s="16"/>
      <c r="N1044" s="19"/>
    </row>
    <row r="1045" customFormat="false" ht="15" hidden="false" customHeight="false" outlineLevel="0" collapsed="false">
      <c r="A1045" s="13" t="s">
        <v>3668</v>
      </c>
      <c r="B1045" s="13" t="s">
        <v>255</v>
      </c>
      <c r="C1045" s="13" t="s">
        <v>43</v>
      </c>
      <c r="D1045" s="13" t="s">
        <v>2339</v>
      </c>
      <c r="E1045" s="13" t="s">
        <v>951</v>
      </c>
      <c r="F1045" s="13" t="n">
        <v>1</v>
      </c>
      <c r="G1045" s="13" t="n">
        <v>1</v>
      </c>
      <c r="H1045" s="5" t="n">
        <v>1800</v>
      </c>
      <c r="I1045" s="7" t="n">
        <v>10</v>
      </c>
      <c r="J1045" s="16" t="n">
        <v>180</v>
      </c>
      <c r="K1045" s="16" t="n">
        <v>180</v>
      </c>
      <c r="L1045" s="16"/>
      <c r="M1045" s="16"/>
      <c r="N1045" s="19"/>
    </row>
    <row r="1046" customFormat="false" ht="15" hidden="false" customHeight="false" outlineLevel="0" collapsed="false">
      <c r="A1046" s="13" t="s">
        <v>3669</v>
      </c>
      <c r="B1046" s="13" t="s">
        <v>2146</v>
      </c>
      <c r="C1046" s="13" t="s">
        <v>85</v>
      </c>
      <c r="D1046" s="13" t="s">
        <v>3228</v>
      </c>
      <c r="E1046" s="13" t="s">
        <v>3670</v>
      </c>
      <c r="F1046" s="13" t="n">
        <v>1</v>
      </c>
      <c r="G1046" s="13" t="n">
        <v>1</v>
      </c>
      <c r="H1046" s="5" t="n">
        <v>1800</v>
      </c>
      <c r="I1046" s="7" t="n">
        <v>40</v>
      </c>
      <c r="J1046" s="16" t="n">
        <v>45</v>
      </c>
      <c r="K1046" s="16" t="n">
        <v>45</v>
      </c>
      <c r="L1046" s="16"/>
      <c r="M1046" s="16"/>
      <c r="N1046" s="19"/>
    </row>
    <row r="1047" customFormat="false" ht="15" hidden="false" customHeight="false" outlineLevel="0" collapsed="false">
      <c r="A1047" s="13" t="s">
        <v>3671</v>
      </c>
      <c r="B1047" s="13" t="s">
        <v>315</v>
      </c>
      <c r="C1047" s="13" t="s">
        <v>43</v>
      </c>
      <c r="D1047" s="13" t="s">
        <v>2324</v>
      </c>
      <c r="E1047" s="13" t="s">
        <v>316</v>
      </c>
      <c r="F1047" s="13" t="n">
        <v>1</v>
      </c>
      <c r="G1047" s="13" t="n">
        <v>1</v>
      </c>
      <c r="H1047" s="5" t="n">
        <v>1800</v>
      </c>
      <c r="I1047" s="7" t="n">
        <v>2</v>
      </c>
      <c r="J1047" s="16" t="n">
        <v>900</v>
      </c>
      <c r="K1047" s="16"/>
      <c r="L1047" s="16"/>
      <c r="M1047" s="16" t="n">
        <v>900</v>
      </c>
      <c r="N1047" s="19"/>
    </row>
    <row r="1048" customFormat="false" ht="15" hidden="false" customHeight="false" outlineLevel="0" collapsed="false">
      <c r="A1048" s="13" t="s">
        <v>3672</v>
      </c>
      <c r="B1048" s="13" t="s">
        <v>121</v>
      </c>
      <c r="C1048" s="13" t="s">
        <v>183</v>
      </c>
      <c r="D1048" s="13" t="s">
        <v>3673</v>
      </c>
      <c r="E1048" s="13" t="s">
        <v>960</v>
      </c>
      <c r="F1048" s="13" t="n">
        <v>1</v>
      </c>
      <c r="G1048" s="13" t="n">
        <v>1</v>
      </c>
      <c r="H1048" s="5" t="n">
        <v>1800</v>
      </c>
      <c r="I1048" s="7" t="n">
        <v>40</v>
      </c>
      <c r="J1048" s="16" t="n">
        <v>45</v>
      </c>
      <c r="K1048" s="16"/>
      <c r="L1048" s="16"/>
      <c r="M1048" s="16" t="n">
        <v>45</v>
      </c>
      <c r="N1048" s="19"/>
    </row>
    <row r="1049" customFormat="false" ht="15" hidden="false" customHeight="false" outlineLevel="0" collapsed="false">
      <c r="A1049" s="13" t="s">
        <v>3674</v>
      </c>
      <c r="B1049" s="13" t="s">
        <v>50</v>
      </c>
      <c r="C1049" s="13" t="s">
        <v>43</v>
      </c>
      <c r="D1049" s="13" t="s">
        <v>2324</v>
      </c>
      <c r="E1049" s="13" t="s">
        <v>947</v>
      </c>
      <c r="F1049" s="13" t="n">
        <v>1</v>
      </c>
      <c r="G1049" s="13" t="n">
        <v>1</v>
      </c>
      <c r="H1049" s="5" t="n">
        <v>1800</v>
      </c>
      <c r="I1049" s="7" t="n">
        <v>2</v>
      </c>
      <c r="J1049" s="16" t="n">
        <v>900</v>
      </c>
      <c r="K1049" s="16"/>
      <c r="L1049" s="16" t="n">
        <v>900</v>
      </c>
      <c r="M1049" s="16"/>
      <c r="N1049" s="19"/>
    </row>
    <row r="1050" customFormat="false" ht="15" hidden="false" customHeight="false" outlineLevel="0" collapsed="false">
      <c r="A1050" s="13" t="s">
        <v>3675</v>
      </c>
      <c r="B1050" s="13" t="s">
        <v>2141</v>
      </c>
      <c r="C1050" s="13" t="s">
        <v>43</v>
      </c>
      <c r="D1050" s="13" t="s">
        <v>2324</v>
      </c>
      <c r="E1050" s="13" t="s">
        <v>3676</v>
      </c>
      <c r="F1050" s="13" t="n">
        <v>1</v>
      </c>
      <c r="G1050" s="13" t="n">
        <v>1</v>
      </c>
      <c r="H1050" s="5" t="n">
        <v>1800</v>
      </c>
      <c r="I1050" s="7" t="n">
        <v>30</v>
      </c>
      <c r="J1050" s="16" t="n">
        <v>60</v>
      </c>
      <c r="K1050" s="16" t="n">
        <v>60</v>
      </c>
      <c r="L1050" s="16"/>
      <c r="M1050" s="16"/>
      <c r="N1050" s="19"/>
    </row>
    <row r="1051" customFormat="false" ht="15" hidden="false" customHeight="false" outlineLevel="0" collapsed="false">
      <c r="A1051" s="13" t="s">
        <v>3677</v>
      </c>
      <c r="B1051" s="13" t="s">
        <v>2100</v>
      </c>
      <c r="C1051" s="13" t="s">
        <v>43</v>
      </c>
      <c r="D1051" s="13" t="s">
        <v>2324</v>
      </c>
      <c r="E1051" s="13" t="s">
        <v>3678</v>
      </c>
      <c r="F1051" s="13" t="n">
        <v>1</v>
      </c>
      <c r="G1051" s="13" t="n">
        <v>1</v>
      </c>
      <c r="H1051" s="5" t="n">
        <v>1800</v>
      </c>
      <c r="I1051" s="7" t="n">
        <v>40</v>
      </c>
      <c r="J1051" s="16" t="n">
        <v>45</v>
      </c>
      <c r="K1051" s="16" t="n">
        <v>45</v>
      </c>
      <c r="L1051" s="16"/>
      <c r="M1051" s="16"/>
      <c r="N1051" s="19"/>
    </row>
    <row r="1052" customFormat="false" ht="15" hidden="false" customHeight="false" outlineLevel="0" collapsed="false">
      <c r="A1052" s="13" t="s">
        <v>3679</v>
      </c>
      <c r="B1052" s="13" t="s">
        <v>2094</v>
      </c>
      <c r="C1052" s="13" t="s">
        <v>57</v>
      </c>
      <c r="D1052" s="13" t="s">
        <v>2324</v>
      </c>
      <c r="E1052" s="13" t="s">
        <v>3680</v>
      </c>
      <c r="F1052" s="13" t="n">
        <v>1</v>
      </c>
      <c r="G1052" s="13" t="n">
        <v>1</v>
      </c>
      <c r="H1052" s="5" t="n">
        <v>1800</v>
      </c>
      <c r="I1052" s="7" t="n">
        <v>20</v>
      </c>
      <c r="J1052" s="16" t="n">
        <v>90</v>
      </c>
      <c r="K1052" s="16" t="n">
        <v>90</v>
      </c>
      <c r="L1052" s="16"/>
      <c r="M1052" s="16"/>
      <c r="N1052" s="19"/>
    </row>
    <row r="1053" customFormat="false" ht="15" hidden="false" customHeight="false" outlineLevel="0" collapsed="false">
      <c r="A1053" s="13" t="s">
        <v>3681</v>
      </c>
      <c r="B1053" s="13" t="s">
        <v>131</v>
      </c>
      <c r="C1053" s="13" t="s">
        <v>66</v>
      </c>
      <c r="D1053" s="13" t="s">
        <v>2324</v>
      </c>
      <c r="E1053" s="13" t="s">
        <v>966</v>
      </c>
      <c r="F1053" s="13" t="n">
        <v>1</v>
      </c>
      <c r="G1053" s="13" t="n">
        <v>1</v>
      </c>
      <c r="H1053" s="5" t="n">
        <v>1800</v>
      </c>
      <c r="I1053" s="7" t="n">
        <v>5</v>
      </c>
      <c r="J1053" s="16" t="n">
        <v>360</v>
      </c>
      <c r="K1053" s="16" t="n">
        <v>360</v>
      </c>
      <c r="L1053" s="16"/>
      <c r="M1053" s="16"/>
      <c r="N1053" s="19"/>
    </row>
    <row r="1054" customFormat="false" ht="15" hidden="false" customHeight="false" outlineLevel="0" collapsed="false">
      <c r="A1054" s="13" t="s">
        <v>3682</v>
      </c>
      <c r="B1054" s="13" t="s">
        <v>72</v>
      </c>
      <c r="C1054" s="13" t="s">
        <v>43</v>
      </c>
      <c r="D1054" s="13" t="s">
        <v>2324</v>
      </c>
      <c r="E1054" s="13" t="s">
        <v>962</v>
      </c>
      <c r="F1054" s="13" t="n">
        <v>1</v>
      </c>
      <c r="G1054" s="13" t="n">
        <v>1</v>
      </c>
      <c r="H1054" s="5" t="n">
        <v>1800</v>
      </c>
      <c r="I1054" s="7" t="n">
        <v>2</v>
      </c>
      <c r="J1054" s="16" t="n">
        <v>900</v>
      </c>
      <c r="K1054" s="16"/>
      <c r="L1054" s="16"/>
      <c r="M1054" s="16" t="n">
        <v>900</v>
      </c>
      <c r="N1054" s="19"/>
    </row>
    <row r="1055" customFormat="false" ht="15" hidden="false" customHeight="false" outlineLevel="0" collapsed="false">
      <c r="A1055" s="13" t="s">
        <v>3683</v>
      </c>
      <c r="B1055" s="13" t="s">
        <v>54</v>
      </c>
      <c r="C1055" s="13" t="s">
        <v>43</v>
      </c>
      <c r="D1055" s="13" t="s">
        <v>2324</v>
      </c>
      <c r="E1055" s="13" t="s">
        <v>961</v>
      </c>
      <c r="F1055" s="13" t="n">
        <v>1</v>
      </c>
      <c r="G1055" s="13" t="n">
        <v>1</v>
      </c>
      <c r="H1055" s="5" t="n">
        <v>1800</v>
      </c>
      <c r="I1055" s="7" t="n">
        <v>2</v>
      </c>
      <c r="J1055" s="16" t="n">
        <v>900</v>
      </c>
      <c r="K1055" s="16"/>
      <c r="L1055" s="16"/>
      <c r="M1055" s="16" t="n">
        <v>900</v>
      </c>
      <c r="N1055" s="19"/>
    </row>
    <row r="1056" customFormat="false" ht="15" hidden="false" customHeight="false" outlineLevel="0" collapsed="false">
      <c r="A1056" s="13" t="s">
        <v>3684</v>
      </c>
      <c r="B1056" s="13" t="s">
        <v>2210</v>
      </c>
      <c r="C1056" s="13" t="s">
        <v>85</v>
      </c>
      <c r="D1056" s="13" t="s">
        <v>2324</v>
      </c>
      <c r="E1056" s="13" t="s">
        <v>3685</v>
      </c>
      <c r="F1056" s="13" t="n">
        <v>1</v>
      </c>
      <c r="G1056" s="13" t="n">
        <v>1</v>
      </c>
      <c r="H1056" s="5" t="n">
        <v>1800</v>
      </c>
      <c r="I1056" s="7" t="n">
        <v>20</v>
      </c>
      <c r="J1056" s="16" t="n">
        <v>90</v>
      </c>
      <c r="K1056" s="16" t="n">
        <v>90</v>
      </c>
      <c r="L1056" s="16"/>
      <c r="M1056" s="16"/>
      <c r="N1056" s="19"/>
    </row>
    <row r="1057" customFormat="false" ht="15" hidden="false" customHeight="false" outlineLevel="0" collapsed="false">
      <c r="A1057" s="13" t="s">
        <v>3686</v>
      </c>
      <c r="B1057" s="13" t="s">
        <v>54</v>
      </c>
      <c r="C1057" s="13" t="s">
        <v>43</v>
      </c>
      <c r="D1057" s="13" t="s">
        <v>2324</v>
      </c>
      <c r="E1057" s="13" t="s">
        <v>969</v>
      </c>
      <c r="F1057" s="13" t="n">
        <v>1</v>
      </c>
      <c r="G1057" s="13" t="n">
        <v>1</v>
      </c>
      <c r="H1057" s="5" t="n">
        <v>1800</v>
      </c>
      <c r="I1057" s="7" t="n">
        <v>2</v>
      </c>
      <c r="J1057" s="16" t="n">
        <v>900</v>
      </c>
      <c r="K1057" s="16"/>
      <c r="L1057" s="16"/>
      <c r="M1057" s="16" t="n">
        <v>900</v>
      </c>
      <c r="N1057" s="19"/>
    </row>
    <row r="1058" customFormat="false" ht="15" hidden="false" customHeight="false" outlineLevel="0" collapsed="false">
      <c r="A1058" s="13" t="s">
        <v>3687</v>
      </c>
      <c r="B1058" s="13" t="s">
        <v>50</v>
      </c>
      <c r="C1058" s="13" t="s">
        <v>43</v>
      </c>
      <c r="D1058" s="13" t="s">
        <v>2500</v>
      </c>
      <c r="E1058" s="13" t="s">
        <v>953</v>
      </c>
      <c r="F1058" s="13" t="n">
        <v>1</v>
      </c>
      <c r="G1058" s="13" t="n">
        <v>1</v>
      </c>
      <c r="H1058" s="5" t="n">
        <v>1800</v>
      </c>
      <c r="I1058" s="7" t="n">
        <v>2</v>
      </c>
      <c r="J1058" s="16" t="n">
        <v>900</v>
      </c>
      <c r="K1058" s="16"/>
      <c r="L1058" s="16" t="n">
        <v>900</v>
      </c>
      <c r="M1058" s="16"/>
      <c r="N1058" s="19"/>
    </row>
    <row r="1059" customFormat="false" ht="15" hidden="false" customHeight="false" outlineLevel="0" collapsed="false">
      <c r="A1059" s="13" t="s">
        <v>3688</v>
      </c>
      <c r="B1059" s="13" t="s">
        <v>81</v>
      </c>
      <c r="C1059" s="13" t="s">
        <v>129</v>
      </c>
      <c r="D1059" s="13" t="s">
        <v>2324</v>
      </c>
      <c r="E1059" s="13" t="s">
        <v>965</v>
      </c>
      <c r="F1059" s="13" t="n">
        <v>1</v>
      </c>
      <c r="G1059" s="13" t="n">
        <v>1</v>
      </c>
      <c r="H1059" s="5" t="n">
        <v>1800</v>
      </c>
      <c r="I1059" s="7" t="n">
        <v>50</v>
      </c>
      <c r="J1059" s="16" t="n">
        <v>36</v>
      </c>
      <c r="K1059" s="16" t="n">
        <v>36</v>
      </c>
      <c r="L1059" s="16"/>
      <c r="M1059" s="16"/>
      <c r="N1059" s="19"/>
    </row>
    <row r="1060" customFormat="false" ht="15" hidden="false" customHeight="false" outlineLevel="0" collapsed="false">
      <c r="A1060" s="13" t="s">
        <v>3689</v>
      </c>
      <c r="B1060" s="13" t="s">
        <v>69</v>
      </c>
      <c r="C1060" s="13" t="s">
        <v>43</v>
      </c>
      <c r="D1060" s="13" t="s">
        <v>2500</v>
      </c>
      <c r="E1060" s="13" t="s">
        <v>957</v>
      </c>
      <c r="F1060" s="13" t="n">
        <v>1</v>
      </c>
      <c r="G1060" s="13" t="n">
        <v>1</v>
      </c>
      <c r="H1060" s="5" t="n">
        <v>1800</v>
      </c>
      <c r="I1060" s="7" t="n">
        <v>2</v>
      </c>
      <c r="J1060" s="16" t="n">
        <v>900</v>
      </c>
      <c r="K1060" s="16"/>
      <c r="L1060" s="16"/>
      <c r="M1060" s="16" t="n">
        <v>900</v>
      </c>
      <c r="N1060" s="19"/>
    </row>
    <row r="1061" customFormat="false" ht="15" hidden="false" customHeight="false" outlineLevel="0" collapsed="false">
      <c r="A1061" s="13" t="s">
        <v>3690</v>
      </c>
      <c r="B1061" s="13" t="s">
        <v>81</v>
      </c>
      <c r="C1061" s="13" t="s">
        <v>85</v>
      </c>
      <c r="D1061" s="13" t="s">
        <v>2324</v>
      </c>
      <c r="E1061" s="13" t="s">
        <v>952</v>
      </c>
      <c r="F1061" s="13" t="n">
        <v>1</v>
      </c>
      <c r="G1061" s="13" t="n">
        <v>1</v>
      </c>
      <c r="H1061" s="5" t="n">
        <v>1800</v>
      </c>
      <c r="I1061" s="7" t="n">
        <v>30</v>
      </c>
      <c r="J1061" s="16" t="n">
        <v>60</v>
      </c>
      <c r="K1061" s="16" t="n">
        <v>60</v>
      </c>
      <c r="L1061" s="16"/>
      <c r="M1061" s="16"/>
      <c r="N1061" s="19"/>
    </row>
    <row r="1062" customFormat="false" ht="15" hidden="false" customHeight="false" outlineLevel="0" collapsed="false">
      <c r="A1062" s="13" t="s">
        <v>3691</v>
      </c>
      <c r="B1062" s="13" t="s">
        <v>2223</v>
      </c>
      <c r="C1062" s="13" t="s">
        <v>85</v>
      </c>
      <c r="D1062" s="13" t="s">
        <v>2324</v>
      </c>
      <c r="E1062" s="13" t="s">
        <v>3692</v>
      </c>
      <c r="F1062" s="13" t="n">
        <v>1</v>
      </c>
      <c r="G1062" s="13" t="n">
        <v>1</v>
      </c>
      <c r="H1062" s="5" t="n">
        <v>1800</v>
      </c>
      <c r="I1062" s="7" t="n">
        <v>2</v>
      </c>
      <c r="J1062" s="16" t="n">
        <v>900</v>
      </c>
      <c r="K1062" s="16" t="n">
        <v>900</v>
      </c>
      <c r="L1062" s="16"/>
      <c r="M1062" s="16"/>
      <c r="N1062" s="19"/>
    </row>
    <row r="1063" customFormat="false" ht="15" hidden="false" customHeight="false" outlineLevel="0" collapsed="false">
      <c r="A1063" s="13" t="s">
        <v>3693</v>
      </c>
      <c r="B1063" s="13" t="s">
        <v>153</v>
      </c>
      <c r="C1063" s="13" t="s">
        <v>43</v>
      </c>
      <c r="D1063" s="13" t="s">
        <v>2422</v>
      </c>
      <c r="E1063" s="13" t="s">
        <v>1186</v>
      </c>
      <c r="F1063" s="13" t="n">
        <v>2</v>
      </c>
      <c r="G1063" s="13" t="n">
        <v>3</v>
      </c>
      <c r="H1063" s="5" t="n">
        <v>1790</v>
      </c>
      <c r="I1063" s="7" t="n">
        <v>4</v>
      </c>
      <c r="J1063" s="16" t="n">
        <v>447.5</v>
      </c>
      <c r="K1063" s="16"/>
      <c r="L1063" s="16" t="n">
        <v>486.666666666667</v>
      </c>
      <c r="M1063" s="16" t="n">
        <v>330</v>
      </c>
      <c r="N1063" s="19" t="n">
        <v>0.474747474747475</v>
      </c>
    </row>
    <row r="1064" customFormat="false" ht="15" hidden="false" customHeight="false" outlineLevel="0" collapsed="false">
      <c r="A1064" s="13" t="s">
        <v>3694</v>
      </c>
      <c r="B1064" s="13" t="s">
        <v>103</v>
      </c>
      <c r="C1064" s="13" t="s">
        <v>43</v>
      </c>
      <c r="D1064" s="13" t="s">
        <v>2324</v>
      </c>
      <c r="E1064" s="13" t="s">
        <v>511</v>
      </c>
      <c r="F1064" s="13" t="n">
        <v>1</v>
      </c>
      <c r="G1064" s="13" t="n">
        <v>3</v>
      </c>
      <c r="H1064" s="5" t="n">
        <v>1780</v>
      </c>
      <c r="I1064" s="7" t="n">
        <v>7</v>
      </c>
      <c r="J1064" s="16" t="n">
        <v>254.285714285714</v>
      </c>
      <c r="K1064" s="16"/>
      <c r="L1064" s="16"/>
      <c r="M1064" s="16" t="n">
        <v>254.285714285714</v>
      </c>
      <c r="N1064" s="19"/>
    </row>
    <row r="1065" customFormat="false" ht="15" hidden="false" customHeight="false" outlineLevel="0" collapsed="false">
      <c r="A1065" s="13" t="s">
        <v>3695</v>
      </c>
      <c r="B1065" s="13" t="s">
        <v>286</v>
      </c>
      <c r="C1065" s="13" t="s">
        <v>43</v>
      </c>
      <c r="D1065" s="13" t="s">
        <v>2324</v>
      </c>
      <c r="E1065" s="13" t="s">
        <v>1062</v>
      </c>
      <c r="F1065" s="13" t="n">
        <v>1</v>
      </c>
      <c r="G1065" s="13" t="n">
        <v>2</v>
      </c>
      <c r="H1065" s="5" t="n">
        <v>1780</v>
      </c>
      <c r="I1065" s="7" t="n">
        <v>3</v>
      </c>
      <c r="J1065" s="16" t="n">
        <v>593.333333333333</v>
      </c>
      <c r="K1065" s="16"/>
      <c r="L1065" s="16" t="n">
        <v>593.333333333333</v>
      </c>
      <c r="M1065" s="16"/>
      <c r="N1065" s="19"/>
    </row>
    <row r="1066" customFormat="false" ht="15" hidden="false" customHeight="false" outlineLevel="0" collapsed="false">
      <c r="A1066" s="13" t="s">
        <v>3696</v>
      </c>
      <c r="B1066" s="13" t="s">
        <v>630</v>
      </c>
      <c r="C1066" s="13" t="s">
        <v>43</v>
      </c>
      <c r="D1066" s="13" t="s">
        <v>2337</v>
      </c>
      <c r="E1066" s="13" t="s">
        <v>1093</v>
      </c>
      <c r="F1066" s="13" t="n">
        <v>2</v>
      </c>
      <c r="G1066" s="13" t="n">
        <v>3</v>
      </c>
      <c r="H1066" s="5" t="n">
        <v>1770</v>
      </c>
      <c r="I1066" s="7" t="n">
        <v>7</v>
      </c>
      <c r="J1066" s="16" t="n">
        <v>252.857142857143</v>
      </c>
      <c r="K1066" s="16"/>
      <c r="L1066" s="16" t="n">
        <v>268.333333333333</v>
      </c>
      <c r="M1066" s="16" t="n">
        <v>160</v>
      </c>
      <c r="N1066" s="19" t="n">
        <v>0.677083333333333</v>
      </c>
    </row>
    <row r="1067" customFormat="false" ht="15" hidden="false" customHeight="false" outlineLevel="0" collapsed="false">
      <c r="A1067" s="13" t="s">
        <v>3697</v>
      </c>
      <c r="B1067" s="13" t="s">
        <v>2134</v>
      </c>
      <c r="C1067" s="13" t="s">
        <v>43</v>
      </c>
      <c r="D1067" s="13" t="s">
        <v>2337</v>
      </c>
      <c r="E1067" s="13" t="s">
        <v>3698</v>
      </c>
      <c r="F1067" s="13" t="n">
        <v>1</v>
      </c>
      <c r="G1067" s="13" t="n">
        <v>2</v>
      </c>
      <c r="H1067" s="5" t="n">
        <v>1750</v>
      </c>
      <c r="I1067" s="7" t="n">
        <v>3</v>
      </c>
      <c r="J1067" s="16" t="n">
        <v>583.333333333333</v>
      </c>
      <c r="K1067" s="16"/>
      <c r="L1067" s="16" t="n">
        <v>583.333333333333</v>
      </c>
      <c r="M1067" s="16"/>
      <c r="N1067" s="19"/>
    </row>
    <row r="1068" customFormat="false" ht="15" hidden="false" customHeight="false" outlineLevel="0" collapsed="false">
      <c r="A1068" s="13" t="s">
        <v>3699</v>
      </c>
      <c r="B1068" s="13" t="s">
        <v>2150</v>
      </c>
      <c r="C1068" s="13" t="s">
        <v>85</v>
      </c>
      <c r="D1068" s="13" t="s">
        <v>2360</v>
      </c>
      <c r="E1068" s="13" t="s">
        <v>3700</v>
      </c>
      <c r="F1068" s="13" t="n">
        <v>2</v>
      </c>
      <c r="G1068" s="13" t="n">
        <v>4</v>
      </c>
      <c r="H1068" s="5" t="n">
        <v>1750</v>
      </c>
      <c r="I1068" s="7" t="n">
        <v>8</v>
      </c>
      <c r="J1068" s="16" t="n">
        <v>218.75</v>
      </c>
      <c r="K1068" s="16"/>
      <c r="L1068" s="16" t="n">
        <v>190</v>
      </c>
      <c r="M1068" s="16" t="n">
        <v>222.857142857143</v>
      </c>
      <c r="N1068" s="19" t="n">
        <v>0.172932330827068</v>
      </c>
    </row>
    <row r="1069" customFormat="false" ht="15" hidden="false" customHeight="false" outlineLevel="0" collapsed="false">
      <c r="A1069" s="13" t="s">
        <v>3701</v>
      </c>
      <c r="B1069" s="13" t="s">
        <v>42</v>
      </c>
      <c r="C1069" s="13" t="s">
        <v>43</v>
      </c>
      <c r="D1069" s="13" t="s">
        <v>2324</v>
      </c>
      <c r="E1069" s="13" t="s">
        <v>1530</v>
      </c>
      <c r="F1069" s="13" t="n">
        <v>2</v>
      </c>
      <c r="G1069" s="13" t="n">
        <v>2</v>
      </c>
      <c r="H1069" s="5" t="n">
        <v>1750</v>
      </c>
      <c r="I1069" s="7" t="n">
        <v>4</v>
      </c>
      <c r="J1069" s="16" t="n">
        <v>437.5</v>
      </c>
      <c r="K1069" s="16"/>
      <c r="L1069" s="16" t="n">
        <v>325</v>
      </c>
      <c r="M1069" s="16" t="n">
        <v>550</v>
      </c>
      <c r="N1069" s="19" t="n">
        <v>0.692307692307692</v>
      </c>
    </row>
    <row r="1070" customFormat="false" ht="15" hidden="false" customHeight="false" outlineLevel="0" collapsed="false">
      <c r="A1070" s="13" t="s">
        <v>3702</v>
      </c>
      <c r="B1070" s="13" t="s">
        <v>121</v>
      </c>
      <c r="C1070" s="13" t="s">
        <v>43</v>
      </c>
      <c r="D1070" s="13" t="s">
        <v>2324</v>
      </c>
      <c r="E1070" s="13" t="s">
        <v>1289</v>
      </c>
      <c r="F1070" s="13" t="n">
        <v>1</v>
      </c>
      <c r="G1070" s="13" t="n">
        <v>3</v>
      </c>
      <c r="H1070" s="5" t="n">
        <v>1730</v>
      </c>
      <c r="I1070" s="7" t="n">
        <v>8</v>
      </c>
      <c r="J1070" s="16" t="n">
        <v>216.25</v>
      </c>
      <c r="K1070" s="16"/>
      <c r="L1070" s="16"/>
      <c r="M1070" s="16" t="n">
        <v>216.25</v>
      </c>
      <c r="N1070" s="19"/>
    </row>
    <row r="1071" customFormat="false" ht="15" hidden="false" customHeight="false" outlineLevel="0" collapsed="false">
      <c r="A1071" s="13" t="s">
        <v>3703</v>
      </c>
      <c r="B1071" s="13" t="s">
        <v>2181</v>
      </c>
      <c r="C1071" s="13" t="s">
        <v>43</v>
      </c>
      <c r="D1071" s="13" t="s">
        <v>2322</v>
      </c>
      <c r="E1071" s="13" t="s">
        <v>3704</v>
      </c>
      <c r="F1071" s="13" t="n">
        <v>1</v>
      </c>
      <c r="G1071" s="13" t="n">
        <v>2</v>
      </c>
      <c r="H1071" s="5" t="n">
        <v>1710</v>
      </c>
      <c r="I1071" s="7" t="n">
        <v>3</v>
      </c>
      <c r="J1071" s="16" t="n">
        <v>570</v>
      </c>
      <c r="K1071" s="16"/>
      <c r="L1071" s="16" t="n">
        <v>570</v>
      </c>
      <c r="M1071" s="16"/>
      <c r="N1071" s="19"/>
    </row>
    <row r="1072" customFormat="false" ht="15" hidden="false" customHeight="false" outlineLevel="0" collapsed="false">
      <c r="A1072" s="13" t="s">
        <v>3705</v>
      </c>
      <c r="B1072" s="13" t="s">
        <v>179</v>
      </c>
      <c r="C1072" s="13" t="s">
        <v>85</v>
      </c>
      <c r="D1072" s="13" t="s">
        <v>2324</v>
      </c>
      <c r="E1072" s="13" t="s">
        <v>979</v>
      </c>
      <c r="F1072" s="13" t="n">
        <v>1</v>
      </c>
      <c r="G1072" s="13" t="n">
        <v>1</v>
      </c>
      <c r="H1072" s="5" t="n">
        <v>1700</v>
      </c>
      <c r="I1072" s="7" t="n">
        <v>5</v>
      </c>
      <c r="J1072" s="16" t="n">
        <v>340</v>
      </c>
      <c r="K1072" s="16" t="n">
        <v>340</v>
      </c>
      <c r="L1072" s="16"/>
      <c r="M1072" s="16"/>
      <c r="N1072" s="19"/>
    </row>
    <row r="1073" customFormat="false" ht="15" hidden="false" customHeight="false" outlineLevel="0" collapsed="false">
      <c r="A1073" s="13" t="s">
        <v>3706</v>
      </c>
      <c r="B1073" s="13" t="s">
        <v>42</v>
      </c>
      <c r="C1073" s="13" t="s">
        <v>43</v>
      </c>
      <c r="D1073" s="13" t="s">
        <v>2324</v>
      </c>
      <c r="E1073" s="13" t="s">
        <v>981</v>
      </c>
      <c r="F1073" s="13" t="n">
        <v>1</v>
      </c>
      <c r="G1073" s="13" t="n">
        <v>1</v>
      </c>
      <c r="H1073" s="5" t="n">
        <v>1700</v>
      </c>
      <c r="I1073" s="7" t="n">
        <v>2</v>
      </c>
      <c r="J1073" s="16" t="n">
        <v>850</v>
      </c>
      <c r="K1073" s="16"/>
      <c r="L1073" s="16" t="n">
        <v>850</v>
      </c>
      <c r="M1073" s="16"/>
      <c r="N1073" s="19"/>
    </row>
    <row r="1074" customFormat="false" ht="15" hidden="false" customHeight="false" outlineLevel="0" collapsed="false">
      <c r="A1074" s="13" t="s">
        <v>3707</v>
      </c>
      <c r="B1074" s="13" t="s">
        <v>69</v>
      </c>
      <c r="C1074" s="13" t="s">
        <v>43</v>
      </c>
      <c r="D1074" s="13" t="s">
        <v>2324</v>
      </c>
      <c r="E1074" s="13" t="s">
        <v>997</v>
      </c>
      <c r="F1074" s="13" t="n">
        <v>1</v>
      </c>
      <c r="G1074" s="13" t="n">
        <v>1</v>
      </c>
      <c r="H1074" s="5" t="n">
        <v>1700</v>
      </c>
      <c r="I1074" s="7" t="n">
        <v>2</v>
      </c>
      <c r="J1074" s="16" t="n">
        <v>850</v>
      </c>
      <c r="K1074" s="16"/>
      <c r="L1074" s="16"/>
      <c r="M1074" s="16" t="n">
        <v>850</v>
      </c>
      <c r="N1074" s="19"/>
    </row>
    <row r="1075" customFormat="false" ht="15" hidden="false" customHeight="false" outlineLevel="0" collapsed="false">
      <c r="A1075" s="13" t="s">
        <v>3708</v>
      </c>
      <c r="B1075" s="13" t="s">
        <v>61</v>
      </c>
      <c r="C1075" s="13" t="s">
        <v>43</v>
      </c>
      <c r="D1075" s="13" t="s">
        <v>2422</v>
      </c>
      <c r="E1075" s="13" t="s">
        <v>998</v>
      </c>
      <c r="F1075" s="13" t="n">
        <v>1</v>
      </c>
      <c r="G1075" s="13" t="n">
        <v>1</v>
      </c>
      <c r="H1075" s="5" t="n">
        <v>1700</v>
      </c>
      <c r="I1075" s="7" t="n">
        <v>2</v>
      </c>
      <c r="J1075" s="16" t="n">
        <v>850</v>
      </c>
      <c r="K1075" s="16"/>
      <c r="L1075" s="16"/>
      <c r="M1075" s="16" t="n">
        <v>850</v>
      </c>
      <c r="N1075" s="19"/>
    </row>
    <row r="1076" customFormat="false" ht="15" hidden="false" customHeight="false" outlineLevel="0" collapsed="false">
      <c r="A1076" s="13" t="s">
        <v>3709</v>
      </c>
      <c r="B1076" s="13" t="s">
        <v>2095</v>
      </c>
      <c r="C1076" s="13" t="s">
        <v>140</v>
      </c>
      <c r="D1076" s="13" t="s">
        <v>3005</v>
      </c>
      <c r="E1076" s="13" t="s">
        <v>3710</v>
      </c>
      <c r="F1076" s="13" t="n">
        <v>1</v>
      </c>
      <c r="G1076" s="13" t="n">
        <v>1</v>
      </c>
      <c r="H1076" s="5" t="n">
        <v>1700</v>
      </c>
      <c r="I1076" s="7" t="n">
        <v>40</v>
      </c>
      <c r="J1076" s="16" t="n">
        <v>42.5</v>
      </c>
      <c r="K1076" s="16" t="n">
        <v>42.5</v>
      </c>
      <c r="L1076" s="16"/>
      <c r="M1076" s="16"/>
      <c r="N1076" s="19"/>
    </row>
    <row r="1077" customFormat="false" ht="15" hidden="false" customHeight="false" outlineLevel="0" collapsed="false">
      <c r="A1077" s="13" t="s">
        <v>3711</v>
      </c>
      <c r="B1077" s="13" t="s">
        <v>2096</v>
      </c>
      <c r="C1077" s="13" t="s">
        <v>183</v>
      </c>
      <c r="D1077" s="13" t="s">
        <v>2324</v>
      </c>
      <c r="E1077" s="13" t="s">
        <v>3712</v>
      </c>
      <c r="F1077" s="13" t="n">
        <v>1</v>
      </c>
      <c r="G1077" s="13" t="n">
        <v>1</v>
      </c>
      <c r="H1077" s="5" t="n">
        <v>1700</v>
      </c>
      <c r="I1077" s="7" t="n">
        <v>20</v>
      </c>
      <c r="J1077" s="16" t="n">
        <v>85</v>
      </c>
      <c r="K1077" s="16" t="n">
        <v>85</v>
      </c>
      <c r="L1077" s="16"/>
      <c r="M1077" s="16"/>
      <c r="N1077" s="19"/>
    </row>
    <row r="1078" customFormat="false" ht="15" hidden="false" customHeight="false" outlineLevel="0" collapsed="false">
      <c r="A1078" s="13" t="s">
        <v>3713</v>
      </c>
      <c r="B1078" s="13" t="s">
        <v>54</v>
      </c>
      <c r="C1078" s="13" t="s">
        <v>43</v>
      </c>
      <c r="D1078" s="13" t="s">
        <v>2324</v>
      </c>
      <c r="E1078" s="13" t="s">
        <v>987</v>
      </c>
      <c r="F1078" s="13" t="n">
        <v>1</v>
      </c>
      <c r="G1078" s="13" t="n">
        <v>1</v>
      </c>
      <c r="H1078" s="5" t="n">
        <v>1700</v>
      </c>
      <c r="I1078" s="7" t="n">
        <v>2</v>
      </c>
      <c r="J1078" s="16" t="n">
        <v>850</v>
      </c>
      <c r="K1078" s="16"/>
      <c r="L1078" s="16"/>
      <c r="M1078" s="16" t="n">
        <v>850</v>
      </c>
      <c r="N1078" s="19"/>
    </row>
    <row r="1079" customFormat="false" ht="15" hidden="false" customHeight="false" outlineLevel="0" collapsed="false">
      <c r="A1079" s="13" t="s">
        <v>3714</v>
      </c>
      <c r="B1079" s="13" t="s">
        <v>50</v>
      </c>
      <c r="C1079" s="13" t="s">
        <v>43</v>
      </c>
      <c r="D1079" s="13" t="s">
        <v>2324</v>
      </c>
      <c r="E1079" s="13" t="s">
        <v>973</v>
      </c>
      <c r="F1079" s="13" t="n">
        <v>1</v>
      </c>
      <c r="G1079" s="13" t="n">
        <v>1</v>
      </c>
      <c r="H1079" s="5" t="n">
        <v>1700</v>
      </c>
      <c r="I1079" s="7" t="n">
        <v>2</v>
      </c>
      <c r="J1079" s="16" t="n">
        <v>850</v>
      </c>
      <c r="K1079" s="16"/>
      <c r="L1079" s="16" t="n">
        <v>850</v>
      </c>
      <c r="M1079" s="16"/>
      <c r="N1079" s="19"/>
    </row>
    <row r="1080" customFormat="false" ht="15" hidden="false" customHeight="false" outlineLevel="0" collapsed="false">
      <c r="A1080" s="13" t="s">
        <v>3715</v>
      </c>
      <c r="B1080" s="13" t="s">
        <v>42</v>
      </c>
      <c r="C1080" s="13" t="s">
        <v>43</v>
      </c>
      <c r="D1080" s="13" t="s">
        <v>2324</v>
      </c>
      <c r="E1080" s="13" t="s">
        <v>972</v>
      </c>
      <c r="F1080" s="13" t="n">
        <v>1</v>
      </c>
      <c r="G1080" s="13" t="n">
        <v>1</v>
      </c>
      <c r="H1080" s="5" t="n">
        <v>1700</v>
      </c>
      <c r="I1080" s="7" t="n">
        <v>2</v>
      </c>
      <c r="J1080" s="16" t="n">
        <v>850</v>
      </c>
      <c r="K1080" s="16"/>
      <c r="L1080" s="16" t="n">
        <v>850</v>
      </c>
      <c r="M1080" s="16"/>
      <c r="N1080" s="19"/>
    </row>
    <row r="1081" customFormat="false" ht="15" hidden="false" customHeight="false" outlineLevel="0" collapsed="false">
      <c r="A1081" s="13" t="s">
        <v>3716</v>
      </c>
      <c r="B1081" s="13" t="s">
        <v>255</v>
      </c>
      <c r="C1081" s="13" t="s">
        <v>43</v>
      </c>
      <c r="D1081" s="13" t="s">
        <v>2339</v>
      </c>
      <c r="E1081" s="13" t="s">
        <v>974</v>
      </c>
      <c r="F1081" s="13" t="n">
        <v>1</v>
      </c>
      <c r="G1081" s="13" t="n">
        <v>1</v>
      </c>
      <c r="H1081" s="5" t="n">
        <v>1700</v>
      </c>
      <c r="I1081" s="7" t="n">
        <v>5</v>
      </c>
      <c r="J1081" s="16" t="n">
        <v>340</v>
      </c>
      <c r="K1081" s="16"/>
      <c r="L1081" s="16" t="n">
        <v>340</v>
      </c>
      <c r="M1081" s="16"/>
      <c r="N1081" s="19"/>
    </row>
    <row r="1082" customFormat="false" ht="15" hidden="false" customHeight="false" outlineLevel="0" collapsed="false">
      <c r="A1082" s="13" t="s">
        <v>3717</v>
      </c>
      <c r="B1082" s="13" t="s">
        <v>103</v>
      </c>
      <c r="C1082" s="13" t="s">
        <v>43</v>
      </c>
      <c r="D1082" s="13" t="s">
        <v>2324</v>
      </c>
      <c r="E1082" s="13" t="s">
        <v>420</v>
      </c>
      <c r="F1082" s="13" t="n">
        <v>1</v>
      </c>
      <c r="G1082" s="13" t="n">
        <v>1</v>
      </c>
      <c r="H1082" s="5" t="n">
        <v>1700</v>
      </c>
      <c r="I1082" s="7" t="n">
        <v>5</v>
      </c>
      <c r="J1082" s="16" t="n">
        <v>340</v>
      </c>
      <c r="K1082" s="16"/>
      <c r="L1082" s="16" t="n">
        <v>340</v>
      </c>
      <c r="M1082" s="16"/>
      <c r="N1082" s="19"/>
    </row>
    <row r="1083" customFormat="false" ht="15" hidden="false" customHeight="false" outlineLevel="0" collapsed="false">
      <c r="A1083" s="13" t="s">
        <v>3718</v>
      </c>
      <c r="B1083" s="13" t="s">
        <v>121</v>
      </c>
      <c r="C1083" s="13" t="s">
        <v>43</v>
      </c>
      <c r="D1083" s="13" t="s">
        <v>2606</v>
      </c>
      <c r="E1083" s="13" t="s">
        <v>994</v>
      </c>
      <c r="F1083" s="13" t="n">
        <v>1</v>
      </c>
      <c r="G1083" s="13" t="n">
        <v>1</v>
      </c>
      <c r="H1083" s="5" t="n">
        <v>1700</v>
      </c>
      <c r="I1083" s="7" t="n">
        <v>10</v>
      </c>
      <c r="J1083" s="16" t="n">
        <v>170</v>
      </c>
      <c r="K1083" s="16"/>
      <c r="L1083" s="16"/>
      <c r="M1083" s="16" t="n">
        <v>170</v>
      </c>
      <c r="N1083" s="19"/>
    </row>
    <row r="1084" customFormat="false" ht="15" hidden="false" customHeight="false" outlineLevel="0" collapsed="false">
      <c r="A1084" s="13" t="s">
        <v>3719</v>
      </c>
      <c r="B1084" s="13" t="s">
        <v>2131</v>
      </c>
      <c r="C1084" s="13" t="s">
        <v>43</v>
      </c>
      <c r="D1084" s="13" t="s">
        <v>2324</v>
      </c>
      <c r="E1084" s="13" t="s">
        <v>3720</v>
      </c>
      <c r="F1084" s="13" t="n">
        <v>1</v>
      </c>
      <c r="G1084" s="13" t="n">
        <v>1</v>
      </c>
      <c r="H1084" s="5" t="n">
        <v>1700</v>
      </c>
      <c r="I1084" s="7" t="n">
        <v>2</v>
      </c>
      <c r="J1084" s="16" t="n">
        <v>850</v>
      </c>
      <c r="K1084" s="16"/>
      <c r="L1084" s="16" t="n">
        <v>850</v>
      </c>
      <c r="M1084" s="16"/>
      <c r="N1084" s="19"/>
    </row>
    <row r="1085" customFormat="false" ht="15" hidden="false" customHeight="false" outlineLevel="0" collapsed="false">
      <c r="A1085" s="13" t="s">
        <v>3721</v>
      </c>
      <c r="B1085" s="13" t="s">
        <v>2228</v>
      </c>
      <c r="C1085" s="13" t="s">
        <v>43</v>
      </c>
      <c r="D1085" s="13" t="s">
        <v>2324</v>
      </c>
      <c r="E1085" s="13" t="s">
        <v>3722</v>
      </c>
      <c r="F1085" s="13" t="n">
        <v>1</v>
      </c>
      <c r="G1085" s="13" t="n">
        <v>1</v>
      </c>
      <c r="H1085" s="5" t="n">
        <v>1700</v>
      </c>
      <c r="I1085" s="7" t="n">
        <v>20</v>
      </c>
      <c r="J1085" s="16" t="n">
        <v>85</v>
      </c>
      <c r="K1085" s="16" t="n">
        <v>85</v>
      </c>
      <c r="L1085" s="16"/>
      <c r="M1085" s="16"/>
      <c r="N1085" s="19"/>
    </row>
    <row r="1086" customFormat="false" ht="15" hidden="false" customHeight="false" outlineLevel="0" collapsed="false">
      <c r="A1086" s="13" t="s">
        <v>3723</v>
      </c>
      <c r="B1086" s="13" t="s">
        <v>2114</v>
      </c>
      <c r="C1086" s="13" t="s">
        <v>140</v>
      </c>
      <c r="D1086" s="13" t="s">
        <v>2324</v>
      </c>
      <c r="E1086" s="13" t="s">
        <v>3724</v>
      </c>
      <c r="F1086" s="13" t="n">
        <v>1</v>
      </c>
      <c r="G1086" s="13" t="n">
        <v>1</v>
      </c>
      <c r="H1086" s="5" t="n">
        <v>1700</v>
      </c>
      <c r="I1086" s="7" t="n">
        <v>40</v>
      </c>
      <c r="J1086" s="16" t="n">
        <v>42.5</v>
      </c>
      <c r="K1086" s="16" t="n">
        <v>42.5</v>
      </c>
      <c r="L1086" s="16"/>
      <c r="M1086" s="16"/>
      <c r="N1086" s="19"/>
    </row>
    <row r="1087" customFormat="false" ht="15" hidden="false" customHeight="false" outlineLevel="0" collapsed="false">
      <c r="A1087" s="13" t="s">
        <v>3725</v>
      </c>
      <c r="B1087" s="13" t="s">
        <v>2136</v>
      </c>
      <c r="C1087" s="13" t="s">
        <v>85</v>
      </c>
      <c r="D1087" s="13" t="s">
        <v>2324</v>
      </c>
      <c r="E1087" s="13" t="s">
        <v>3726</v>
      </c>
      <c r="F1087" s="13" t="n">
        <v>1</v>
      </c>
      <c r="G1087" s="13" t="n">
        <v>1</v>
      </c>
      <c r="H1087" s="5" t="n">
        <v>1700</v>
      </c>
      <c r="I1087" s="7" t="n">
        <v>60</v>
      </c>
      <c r="J1087" s="16" t="n">
        <v>28.3333333333333</v>
      </c>
      <c r="K1087" s="16" t="n">
        <v>28.3333333333333</v>
      </c>
      <c r="L1087" s="16"/>
      <c r="M1087" s="16"/>
      <c r="N1087" s="19"/>
    </row>
    <row r="1088" customFormat="false" ht="15" hidden="false" customHeight="false" outlineLevel="0" collapsed="false">
      <c r="A1088" s="13" t="s">
        <v>3727</v>
      </c>
      <c r="B1088" s="13" t="s">
        <v>2146</v>
      </c>
      <c r="C1088" s="13" t="s">
        <v>85</v>
      </c>
      <c r="D1088" s="13" t="s">
        <v>3673</v>
      </c>
      <c r="E1088" s="13" t="s">
        <v>3728</v>
      </c>
      <c r="F1088" s="13" t="n">
        <v>1</v>
      </c>
      <c r="G1088" s="13" t="n">
        <v>1</v>
      </c>
      <c r="H1088" s="5" t="n">
        <v>1700</v>
      </c>
      <c r="I1088" s="7" t="n">
        <v>40</v>
      </c>
      <c r="J1088" s="16" t="n">
        <v>42.5</v>
      </c>
      <c r="K1088" s="16" t="n">
        <v>42.5</v>
      </c>
      <c r="L1088" s="16"/>
      <c r="M1088" s="16"/>
      <c r="N1088" s="19"/>
    </row>
    <row r="1089" customFormat="false" ht="15" hidden="false" customHeight="false" outlineLevel="0" collapsed="false">
      <c r="A1089" s="13" t="s">
        <v>3729</v>
      </c>
      <c r="B1089" s="13" t="s">
        <v>2193</v>
      </c>
      <c r="C1089" s="13" t="s">
        <v>43</v>
      </c>
      <c r="D1089" s="13" t="s">
        <v>2339</v>
      </c>
      <c r="E1089" s="13" t="s">
        <v>3730</v>
      </c>
      <c r="F1089" s="13" t="n">
        <v>1</v>
      </c>
      <c r="G1089" s="13" t="n">
        <v>1</v>
      </c>
      <c r="H1089" s="5" t="n">
        <v>1700</v>
      </c>
      <c r="I1089" s="7" t="n">
        <v>2</v>
      </c>
      <c r="J1089" s="16" t="n">
        <v>850</v>
      </c>
      <c r="K1089" s="16"/>
      <c r="L1089" s="16" t="n">
        <v>850</v>
      </c>
      <c r="M1089" s="16"/>
      <c r="N1089" s="19"/>
    </row>
    <row r="1090" customFormat="false" ht="15" hidden="false" customHeight="false" outlineLevel="0" collapsed="false">
      <c r="A1090" s="13" t="s">
        <v>3731</v>
      </c>
      <c r="B1090" s="13" t="s">
        <v>2156</v>
      </c>
      <c r="C1090" s="13" t="s">
        <v>85</v>
      </c>
      <c r="D1090" s="13" t="s">
        <v>2324</v>
      </c>
      <c r="E1090" s="13" t="s">
        <v>3732</v>
      </c>
      <c r="F1090" s="13" t="n">
        <v>1</v>
      </c>
      <c r="G1090" s="13" t="n">
        <v>1</v>
      </c>
      <c r="H1090" s="5" t="n">
        <v>1700</v>
      </c>
      <c r="I1090" s="7" t="n">
        <v>5</v>
      </c>
      <c r="J1090" s="16" t="n">
        <v>340</v>
      </c>
      <c r="K1090" s="16" t="n">
        <v>340</v>
      </c>
      <c r="L1090" s="16"/>
      <c r="M1090" s="16"/>
      <c r="N1090" s="19"/>
    </row>
    <row r="1091" customFormat="false" ht="15" hidden="false" customHeight="false" outlineLevel="0" collapsed="false">
      <c r="A1091" s="13" t="s">
        <v>3733</v>
      </c>
      <c r="B1091" s="13" t="s">
        <v>315</v>
      </c>
      <c r="C1091" s="13" t="s">
        <v>43</v>
      </c>
      <c r="D1091" s="13" t="s">
        <v>2324</v>
      </c>
      <c r="E1091" s="13" t="s">
        <v>316</v>
      </c>
      <c r="F1091" s="13" t="n">
        <v>1</v>
      </c>
      <c r="G1091" s="13" t="n">
        <v>2</v>
      </c>
      <c r="H1091" s="5" t="n">
        <v>1690</v>
      </c>
      <c r="I1091" s="7" t="n">
        <v>6</v>
      </c>
      <c r="J1091" s="16" t="n">
        <v>281.666666666667</v>
      </c>
      <c r="K1091" s="16"/>
      <c r="L1091" s="16"/>
      <c r="M1091" s="16" t="n">
        <v>281.666666666667</v>
      </c>
      <c r="N1091" s="19"/>
    </row>
    <row r="1092" customFormat="false" ht="15" hidden="false" customHeight="false" outlineLevel="0" collapsed="false">
      <c r="A1092" s="13" t="s">
        <v>3734</v>
      </c>
      <c r="B1092" s="13" t="s">
        <v>45</v>
      </c>
      <c r="C1092" s="13" t="s">
        <v>43</v>
      </c>
      <c r="D1092" s="13" t="s">
        <v>2324</v>
      </c>
      <c r="E1092" s="13" t="s">
        <v>1597</v>
      </c>
      <c r="F1092" s="13" t="n">
        <v>2</v>
      </c>
      <c r="G1092" s="13" t="n">
        <v>3</v>
      </c>
      <c r="H1092" s="5" t="n">
        <v>1690</v>
      </c>
      <c r="I1092" s="7" t="n">
        <v>3</v>
      </c>
      <c r="J1092" s="16" t="n">
        <v>563.333333333333</v>
      </c>
      <c r="K1092" s="16"/>
      <c r="L1092" s="16" t="n">
        <v>590</v>
      </c>
      <c r="M1092" s="16" t="n">
        <v>550</v>
      </c>
      <c r="N1092" s="19" t="n">
        <v>0.0727272727272727</v>
      </c>
    </row>
    <row r="1093" customFormat="false" ht="15" hidden="false" customHeight="false" outlineLevel="0" collapsed="false">
      <c r="A1093" s="13" t="s">
        <v>3735</v>
      </c>
      <c r="B1093" s="13" t="s">
        <v>50</v>
      </c>
      <c r="C1093" s="13" t="s">
        <v>43</v>
      </c>
      <c r="D1093" s="13" t="s">
        <v>2500</v>
      </c>
      <c r="E1093" s="13" t="s">
        <v>1178</v>
      </c>
      <c r="F1093" s="13" t="n">
        <v>1</v>
      </c>
      <c r="G1093" s="13" t="n">
        <v>2</v>
      </c>
      <c r="H1093" s="5" t="n">
        <v>1690</v>
      </c>
      <c r="I1093" s="7" t="n">
        <v>3</v>
      </c>
      <c r="J1093" s="16" t="n">
        <v>563.333333333333</v>
      </c>
      <c r="K1093" s="16"/>
      <c r="L1093" s="16" t="n">
        <v>563.333333333333</v>
      </c>
      <c r="M1093" s="16"/>
      <c r="N1093" s="19"/>
    </row>
    <row r="1094" customFormat="false" ht="15" hidden="false" customHeight="false" outlineLevel="0" collapsed="false">
      <c r="A1094" s="13" t="s">
        <v>3736</v>
      </c>
      <c r="B1094" s="13" t="s">
        <v>2134</v>
      </c>
      <c r="C1094" s="13" t="s">
        <v>43</v>
      </c>
      <c r="D1094" s="13" t="s">
        <v>2455</v>
      </c>
      <c r="E1094" s="13" t="s">
        <v>3737</v>
      </c>
      <c r="F1094" s="13" t="n">
        <v>1</v>
      </c>
      <c r="G1094" s="13" t="n">
        <v>2</v>
      </c>
      <c r="H1094" s="5" t="n">
        <v>1670</v>
      </c>
      <c r="I1094" s="7" t="n">
        <v>4</v>
      </c>
      <c r="J1094" s="16" t="n">
        <v>417.5</v>
      </c>
      <c r="K1094" s="16"/>
      <c r="L1094" s="16" t="n">
        <v>417.5</v>
      </c>
      <c r="M1094" s="16"/>
      <c r="N1094" s="19"/>
    </row>
    <row r="1095" customFormat="false" ht="15" hidden="false" customHeight="false" outlineLevel="0" collapsed="false">
      <c r="A1095" s="13" t="s">
        <v>3738</v>
      </c>
      <c r="B1095" s="13" t="s">
        <v>2200</v>
      </c>
      <c r="C1095" s="13" t="s">
        <v>85</v>
      </c>
      <c r="D1095" s="13" t="s">
        <v>2512</v>
      </c>
      <c r="E1095" s="13" t="s">
        <v>3739</v>
      </c>
      <c r="F1095" s="13" t="n">
        <v>1</v>
      </c>
      <c r="G1095" s="13" t="n">
        <v>3</v>
      </c>
      <c r="H1095" s="5" t="n">
        <v>1670</v>
      </c>
      <c r="I1095" s="7" t="n">
        <v>4</v>
      </c>
      <c r="J1095" s="16" t="n">
        <v>417.5</v>
      </c>
      <c r="K1095" s="16"/>
      <c r="L1095" s="16"/>
      <c r="M1095" s="16" t="n">
        <v>417.5</v>
      </c>
      <c r="N1095" s="19"/>
    </row>
    <row r="1096" customFormat="false" ht="15" hidden="false" customHeight="false" outlineLevel="0" collapsed="false">
      <c r="A1096" s="13" t="s">
        <v>3740</v>
      </c>
      <c r="B1096" s="13" t="s">
        <v>54</v>
      </c>
      <c r="C1096" s="13" t="s">
        <v>43</v>
      </c>
      <c r="D1096" s="13" t="s">
        <v>2324</v>
      </c>
      <c r="E1096" s="13" t="s">
        <v>1175</v>
      </c>
      <c r="F1096" s="13" t="n">
        <v>1</v>
      </c>
      <c r="G1096" s="13" t="n">
        <v>2</v>
      </c>
      <c r="H1096" s="5" t="n">
        <v>1670</v>
      </c>
      <c r="I1096" s="7" t="n">
        <v>3</v>
      </c>
      <c r="J1096" s="16" t="n">
        <v>556.666666666667</v>
      </c>
      <c r="K1096" s="16"/>
      <c r="L1096" s="16"/>
      <c r="M1096" s="16" t="n">
        <v>556.666666666667</v>
      </c>
      <c r="N1096" s="19"/>
    </row>
    <row r="1097" customFormat="false" ht="15" hidden="false" customHeight="false" outlineLevel="0" collapsed="false">
      <c r="A1097" s="13" t="s">
        <v>3741</v>
      </c>
      <c r="B1097" s="13" t="s">
        <v>2103</v>
      </c>
      <c r="C1097" s="13" t="s">
        <v>85</v>
      </c>
      <c r="D1097" s="13" t="s">
        <v>2324</v>
      </c>
      <c r="E1097" s="13" t="s">
        <v>3742</v>
      </c>
      <c r="F1097" s="13" t="n">
        <v>1</v>
      </c>
      <c r="G1097" s="13" t="n">
        <v>2</v>
      </c>
      <c r="H1097" s="5" t="n">
        <v>1660</v>
      </c>
      <c r="I1097" s="7" t="n">
        <v>22</v>
      </c>
      <c r="J1097" s="16" t="n">
        <v>75.4545454545455</v>
      </c>
      <c r="K1097" s="16"/>
      <c r="L1097" s="16"/>
      <c r="M1097" s="16" t="n">
        <v>75.4545454545455</v>
      </c>
      <c r="N1097" s="19"/>
    </row>
    <row r="1098" customFormat="false" ht="15" hidden="false" customHeight="false" outlineLevel="0" collapsed="false">
      <c r="A1098" s="13" t="s">
        <v>3743</v>
      </c>
      <c r="B1098" s="13" t="s">
        <v>2145</v>
      </c>
      <c r="C1098" s="13" t="s">
        <v>43</v>
      </c>
      <c r="D1098" s="13" t="s">
        <v>2324</v>
      </c>
      <c r="E1098" s="13" t="s">
        <v>3744</v>
      </c>
      <c r="F1098" s="13" t="n">
        <v>1</v>
      </c>
      <c r="G1098" s="13" t="n">
        <v>2</v>
      </c>
      <c r="H1098" s="5" t="n">
        <v>1660</v>
      </c>
      <c r="I1098" s="7" t="n">
        <v>3</v>
      </c>
      <c r="J1098" s="16" t="n">
        <v>553.333333333333</v>
      </c>
      <c r="K1098" s="16"/>
      <c r="L1098" s="16"/>
      <c r="M1098" s="16" t="n">
        <v>553.333333333333</v>
      </c>
      <c r="N1098" s="19"/>
    </row>
    <row r="1099" customFormat="false" ht="15" hidden="false" customHeight="false" outlineLevel="0" collapsed="false">
      <c r="A1099" s="13" t="s">
        <v>3745</v>
      </c>
      <c r="B1099" s="13" t="s">
        <v>42</v>
      </c>
      <c r="C1099" s="13" t="s">
        <v>43</v>
      </c>
      <c r="D1099" s="13" t="s">
        <v>2429</v>
      </c>
      <c r="E1099" s="13" t="s">
        <v>1187</v>
      </c>
      <c r="F1099" s="13" t="n">
        <v>2</v>
      </c>
      <c r="G1099" s="13" t="n">
        <v>3</v>
      </c>
      <c r="H1099" s="5" t="n">
        <v>1650</v>
      </c>
      <c r="I1099" s="7" t="n">
        <v>4</v>
      </c>
      <c r="J1099" s="16" t="n">
        <v>412.5</v>
      </c>
      <c r="K1099" s="16"/>
      <c r="L1099" s="16" t="n">
        <v>453.333333333333</v>
      </c>
      <c r="M1099" s="16" t="n">
        <v>290</v>
      </c>
      <c r="N1099" s="19" t="n">
        <v>0.563218390804598</v>
      </c>
    </row>
    <row r="1100" customFormat="false" ht="15" hidden="false" customHeight="false" outlineLevel="0" collapsed="false">
      <c r="A1100" s="13" t="s">
        <v>3746</v>
      </c>
      <c r="B1100" s="13" t="s">
        <v>50</v>
      </c>
      <c r="C1100" s="13" t="s">
        <v>43</v>
      </c>
      <c r="D1100" s="13" t="s">
        <v>2324</v>
      </c>
      <c r="E1100" s="13" t="s">
        <v>1179</v>
      </c>
      <c r="F1100" s="13" t="n">
        <v>1</v>
      </c>
      <c r="G1100" s="13" t="n">
        <v>2</v>
      </c>
      <c r="H1100" s="5" t="n">
        <v>1650</v>
      </c>
      <c r="I1100" s="7" t="n">
        <v>3</v>
      </c>
      <c r="J1100" s="16" t="n">
        <v>550</v>
      </c>
      <c r="K1100" s="16"/>
      <c r="L1100" s="16" t="n">
        <v>550</v>
      </c>
      <c r="M1100" s="16"/>
      <c r="N1100" s="19"/>
    </row>
    <row r="1101" customFormat="false" ht="15" hidden="false" customHeight="false" outlineLevel="0" collapsed="false">
      <c r="A1101" s="13" t="s">
        <v>3747</v>
      </c>
      <c r="B1101" s="13" t="s">
        <v>121</v>
      </c>
      <c r="C1101" s="13" t="s">
        <v>43</v>
      </c>
      <c r="D1101" s="13" t="s">
        <v>2339</v>
      </c>
      <c r="E1101" s="13" t="s">
        <v>1051</v>
      </c>
      <c r="F1101" s="13" t="n">
        <v>1</v>
      </c>
      <c r="G1101" s="13" t="n">
        <v>2</v>
      </c>
      <c r="H1101" s="5" t="n">
        <v>1640</v>
      </c>
      <c r="I1101" s="7" t="n">
        <v>11</v>
      </c>
      <c r="J1101" s="16" t="n">
        <v>149.090909090909</v>
      </c>
      <c r="K1101" s="16"/>
      <c r="L1101" s="16"/>
      <c r="M1101" s="16" t="n">
        <v>149.090909090909</v>
      </c>
      <c r="N1101" s="19"/>
    </row>
    <row r="1102" customFormat="false" ht="15" hidden="false" customHeight="false" outlineLevel="0" collapsed="false">
      <c r="A1102" s="13" t="s">
        <v>3748</v>
      </c>
      <c r="B1102" s="13" t="s">
        <v>79</v>
      </c>
      <c r="C1102" s="13" t="s">
        <v>43</v>
      </c>
      <c r="D1102" s="13" t="s">
        <v>2339</v>
      </c>
      <c r="E1102" s="13" t="s">
        <v>1303</v>
      </c>
      <c r="F1102" s="13" t="n">
        <v>2</v>
      </c>
      <c r="G1102" s="13" t="n">
        <v>2</v>
      </c>
      <c r="H1102" s="5" t="n">
        <v>1630</v>
      </c>
      <c r="I1102" s="7" t="n">
        <v>2</v>
      </c>
      <c r="J1102" s="16" t="n">
        <v>815</v>
      </c>
      <c r="K1102" s="16"/>
      <c r="L1102" s="16" t="n">
        <v>900</v>
      </c>
      <c r="M1102" s="16" t="n">
        <v>730</v>
      </c>
      <c r="N1102" s="19" t="n">
        <v>0.232876712328767</v>
      </c>
    </row>
    <row r="1103" customFormat="false" ht="15" hidden="false" customHeight="false" outlineLevel="0" collapsed="false">
      <c r="A1103" s="13" t="s">
        <v>3749</v>
      </c>
      <c r="B1103" s="13" t="s">
        <v>105</v>
      </c>
      <c r="C1103" s="13" t="s">
        <v>43</v>
      </c>
      <c r="D1103" s="13" t="s">
        <v>2339</v>
      </c>
      <c r="E1103" s="13" t="s">
        <v>1185</v>
      </c>
      <c r="F1103" s="13" t="n">
        <v>1</v>
      </c>
      <c r="G1103" s="13" t="n">
        <v>2</v>
      </c>
      <c r="H1103" s="5" t="n">
        <v>1630</v>
      </c>
      <c r="I1103" s="7" t="n">
        <v>3</v>
      </c>
      <c r="J1103" s="16" t="n">
        <v>543.333333333333</v>
      </c>
      <c r="K1103" s="16"/>
      <c r="L1103" s="16"/>
      <c r="M1103" s="16" t="n">
        <v>543.333333333333</v>
      </c>
      <c r="N1103" s="19"/>
    </row>
    <row r="1104" customFormat="false" ht="15" hidden="false" customHeight="false" outlineLevel="0" collapsed="false">
      <c r="A1104" s="13" t="s">
        <v>3750</v>
      </c>
      <c r="B1104" s="13" t="s">
        <v>2145</v>
      </c>
      <c r="C1104" s="13" t="s">
        <v>43</v>
      </c>
      <c r="D1104" s="13" t="s">
        <v>2324</v>
      </c>
      <c r="E1104" s="13" t="s">
        <v>3751</v>
      </c>
      <c r="F1104" s="13" t="n">
        <v>1</v>
      </c>
      <c r="G1104" s="13" t="n">
        <v>2</v>
      </c>
      <c r="H1104" s="5" t="n">
        <v>1620</v>
      </c>
      <c r="I1104" s="7" t="n">
        <v>3</v>
      </c>
      <c r="J1104" s="16" t="n">
        <v>540</v>
      </c>
      <c r="K1104" s="16"/>
      <c r="L1104" s="16"/>
      <c r="M1104" s="16" t="n">
        <v>540</v>
      </c>
      <c r="N1104" s="19"/>
    </row>
    <row r="1105" customFormat="false" ht="15" hidden="false" customHeight="false" outlineLevel="0" collapsed="false">
      <c r="A1105" s="13" t="s">
        <v>3752</v>
      </c>
      <c r="B1105" s="13" t="s">
        <v>107</v>
      </c>
      <c r="C1105" s="13" t="s">
        <v>183</v>
      </c>
      <c r="D1105" s="13" t="s">
        <v>2324</v>
      </c>
      <c r="E1105" s="13" t="s">
        <v>1108</v>
      </c>
      <c r="F1105" s="13" t="n">
        <v>1</v>
      </c>
      <c r="G1105" s="13" t="n">
        <v>2</v>
      </c>
      <c r="H1105" s="5" t="n">
        <v>1620</v>
      </c>
      <c r="I1105" s="7" t="n">
        <v>3</v>
      </c>
      <c r="J1105" s="16" t="n">
        <v>540</v>
      </c>
      <c r="K1105" s="16"/>
      <c r="L1105" s="16"/>
      <c r="M1105" s="16" t="n">
        <v>540</v>
      </c>
      <c r="N1105" s="19"/>
    </row>
    <row r="1106" customFormat="false" ht="15" hidden="false" customHeight="false" outlineLevel="0" collapsed="false">
      <c r="A1106" s="13" t="s">
        <v>3753</v>
      </c>
      <c r="B1106" s="13" t="s">
        <v>103</v>
      </c>
      <c r="C1106" s="13" t="s">
        <v>43</v>
      </c>
      <c r="D1106" s="13" t="s">
        <v>2324</v>
      </c>
      <c r="E1106" s="13" t="s">
        <v>1102</v>
      </c>
      <c r="F1106" s="13" t="n">
        <v>1</v>
      </c>
      <c r="G1106" s="13" t="n">
        <v>2</v>
      </c>
      <c r="H1106" s="5" t="n">
        <v>1610</v>
      </c>
      <c r="I1106" s="7" t="n">
        <v>6</v>
      </c>
      <c r="J1106" s="16" t="n">
        <v>268.333333333333</v>
      </c>
      <c r="K1106" s="16"/>
      <c r="L1106" s="16"/>
      <c r="M1106" s="16" t="n">
        <v>268.333333333333</v>
      </c>
      <c r="N1106" s="19"/>
    </row>
    <row r="1107" customFormat="false" ht="15" hidden="false" customHeight="false" outlineLevel="0" collapsed="false">
      <c r="A1107" s="13" t="s">
        <v>3754</v>
      </c>
      <c r="B1107" s="13" t="s">
        <v>107</v>
      </c>
      <c r="C1107" s="13" t="s">
        <v>183</v>
      </c>
      <c r="D1107" s="13" t="s">
        <v>2606</v>
      </c>
      <c r="E1107" s="13" t="s">
        <v>1014</v>
      </c>
      <c r="F1107" s="13" t="n">
        <v>1</v>
      </c>
      <c r="G1107" s="13" t="n">
        <v>1</v>
      </c>
      <c r="H1107" s="5" t="n">
        <v>1600</v>
      </c>
      <c r="I1107" s="7" t="n">
        <v>5</v>
      </c>
      <c r="J1107" s="16" t="n">
        <v>320</v>
      </c>
      <c r="K1107" s="16"/>
      <c r="L1107" s="16"/>
      <c r="M1107" s="16" t="n">
        <v>320</v>
      </c>
      <c r="N1107" s="19"/>
    </row>
    <row r="1108" customFormat="false" ht="15" hidden="false" customHeight="false" outlineLevel="0" collapsed="false">
      <c r="A1108" s="13" t="s">
        <v>3755</v>
      </c>
      <c r="B1108" s="13" t="s">
        <v>2108</v>
      </c>
      <c r="C1108" s="13" t="s">
        <v>85</v>
      </c>
      <c r="D1108" s="13" t="s">
        <v>2324</v>
      </c>
      <c r="E1108" s="13" t="s">
        <v>3756</v>
      </c>
      <c r="F1108" s="13" t="n">
        <v>1</v>
      </c>
      <c r="G1108" s="13" t="n">
        <v>1</v>
      </c>
      <c r="H1108" s="5" t="n">
        <v>1600</v>
      </c>
      <c r="I1108" s="7" t="n">
        <v>40</v>
      </c>
      <c r="J1108" s="16" t="n">
        <v>40</v>
      </c>
      <c r="K1108" s="16" t="n">
        <v>40</v>
      </c>
      <c r="L1108" s="16"/>
      <c r="M1108" s="16"/>
      <c r="N1108" s="19"/>
    </row>
    <row r="1109" customFormat="false" ht="15" hidden="false" customHeight="false" outlineLevel="0" collapsed="false">
      <c r="A1109" s="13" t="s">
        <v>3757</v>
      </c>
      <c r="B1109" s="13" t="s">
        <v>2146</v>
      </c>
      <c r="C1109" s="13" t="s">
        <v>85</v>
      </c>
      <c r="D1109" s="13" t="s">
        <v>2324</v>
      </c>
      <c r="E1109" s="13" t="s">
        <v>3758</v>
      </c>
      <c r="F1109" s="13" t="n">
        <v>1</v>
      </c>
      <c r="G1109" s="13" t="n">
        <v>1</v>
      </c>
      <c r="H1109" s="5" t="n">
        <v>1600</v>
      </c>
      <c r="I1109" s="7" t="n">
        <v>60</v>
      </c>
      <c r="J1109" s="16" t="n">
        <v>26.6666666666667</v>
      </c>
      <c r="K1109" s="16" t="n">
        <v>26.6666666666667</v>
      </c>
      <c r="L1109" s="16"/>
      <c r="M1109" s="16"/>
      <c r="N1109" s="19"/>
    </row>
    <row r="1110" customFormat="false" ht="15" hidden="false" customHeight="false" outlineLevel="0" collapsed="false">
      <c r="A1110" s="13" t="s">
        <v>3759</v>
      </c>
      <c r="B1110" s="13" t="s">
        <v>50</v>
      </c>
      <c r="C1110" s="13" t="s">
        <v>43</v>
      </c>
      <c r="D1110" s="13" t="s">
        <v>2422</v>
      </c>
      <c r="E1110" s="13" t="s">
        <v>1024</v>
      </c>
      <c r="F1110" s="13" t="n">
        <v>1</v>
      </c>
      <c r="G1110" s="13" t="n">
        <v>1</v>
      </c>
      <c r="H1110" s="5" t="n">
        <v>1600</v>
      </c>
      <c r="I1110" s="7" t="n">
        <v>2</v>
      </c>
      <c r="J1110" s="16" t="n">
        <v>800</v>
      </c>
      <c r="K1110" s="16"/>
      <c r="L1110" s="16" t="n">
        <v>800</v>
      </c>
      <c r="M1110" s="16"/>
      <c r="N1110" s="19"/>
    </row>
    <row r="1111" customFormat="false" ht="15" hidden="false" customHeight="false" outlineLevel="0" collapsed="false">
      <c r="A1111" s="13" t="s">
        <v>3760</v>
      </c>
      <c r="B1111" s="13" t="s">
        <v>61</v>
      </c>
      <c r="C1111" s="13" t="s">
        <v>183</v>
      </c>
      <c r="D1111" s="13" t="s">
        <v>2324</v>
      </c>
      <c r="E1111" s="13" t="s">
        <v>1003</v>
      </c>
      <c r="F1111" s="13" t="n">
        <v>1</v>
      </c>
      <c r="G1111" s="13" t="n">
        <v>1</v>
      </c>
      <c r="H1111" s="5" t="n">
        <v>1600</v>
      </c>
      <c r="I1111" s="7" t="n">
        <v>2</v>
      </c>
      <c r="J1111" s="16" t="n">
        <v>800</v>
      </c>
      <c r="K1111" s="16"/>
      <c r="L1111" s="16"/>
      <c r="M1111" s="16" t="n">
        <v>800</v>
      </c>
      <c r="N1111" s="19"/>
    </row>
    <row r="1112" customFormat="false" ht="15" hidden="false" customHeight="false" outlineLevel="0" collapsed="false">
      <c r="A1112" s="13" t="s">
        <v>3761</v>
      </c>
      <c r="B1112" s="13" t="s">
        <v>69</v>
      </c>
      <c r="C1112" s="13" t="s">
        <v>43</v>
      </c>
      <c r="D1112" s="13" t="s">
        <v>2324</v>
      </c>
      <c r="E1112" s="13" t="s">
        <v>1002</v>
      </c>
      <c r="F1112" s="13" t="n">
        <v>1</v>
      </c>
      <c r="G1112" s="13" t="n">
        <v>1</v>
      </c>
      <c r="H1112" s="5" t="n">
        <v>1600</v>
      </c>
      <c r="I1112" s="7" t="n">
        <v>2</v>
      </c>
      <c r="J1112" s="16" t="n">
        <v>800</v>
      </c>
      <c r="K1112" s="16"/>
      <c r="L1112" s="16"/>
      <c r="M1112" s="16" t="n">
        <v>800</v>
      </c>
      <c r="N1112" s="19"/>
    </row>
    <row r="1113" customFormat="false" ht="15" hidden="false" customHeight="false" outlineLevel="0" collapsed="false">
      <c r="A1113" s="13" t="s">
        <v>3762</v>
      </c>
      <c r="B1113" s="13" t="s">
        <v>69</v>
      </c>
      <c r="C1113" s="13" t="s">
        <v>43</v>
      </c>
      <c r="D1113" s="13" t="s">
        <v>2324</v>
      </c>
      <c r="E1113" s="13" t="s">
        <v>1018</v>
      </c>
      <c r="F1113" s="13" t="n">
        <v>1</v>
      </c>
      <c r="G1113" s="13" t="n">
        <v>1</v>
      </c>
      <c r="H1113" s="5" t="n">
        <v>1600</v>
      </c>
      <c r="I1113" s="7" t="n">
        <v>2</v>
      </c>
      <c r="J1113" s="16" t="n">
        <v>800</v>
      </c>
      <c r="K1113" s="16"/>
      <c r="L1113" s="16"/>
      <c r="M1113" s="16" t="n">
        <v>800</v>
      </c>
      <c r="N1113" s="19"/>
    </row>
    <row r="1114" customFormat="false" ht="15" hidden="false" customHeight="false" outlineLevel="0" collapsed="false">
      <c r="A1114" s="13" t="s">
        <v>3763</v>
      </c>
      <c r="B1114" s="13" t="s">
        <v>153</v>
      </c>
      <c r="C1114" s="13" t="s">
        <v>43</v>
      </c>
      <c r="D1114" s="13" t="s">
        <v>2324</v>
      </c>
      <c r="E1114" s="13" t="s">
        <v>1008</v>
      </c>
      <c r="F1114" s="13" t="n">
        <v>1</v>
      </c>
      <c r="G1114" s="13" t="n">
        <v>1</v>
      </c>
      <c r="H1114" s="5" t="n">
        <v>1600</v>
      </c>
      <c r="I1114" s="7" t="n">
        <v>2</v>
      </c>
      <c r="J1114" s="16" t="n">
        <v>800</v>
      </c>
      <c r="K1114" s="16"/>
      <c r="L1114" s="16"/>
      <c r="M1114" s="16" t="n">
        <v>800</v>
      </c>
      <c r="N1114" s="19"/>
    </row>
    <row r="1115" customFormat="false" ht="15" hidden="false" customHeight="false" outlineLevel="0" collapsed="false">
      <c r="A1115" s="13" t="s">
        <v>3764</v>
      </c>
      <c r="B1115" s="13" t="s">
        <v>2101</v>
      </c>
      <c r="C1115" s="13" t="s">
        <v>85</v>
      </c>
      <c r="D1115" s="13" t="s">
        <v>2324</v>
      </c>
      <c r="E1115" s="13" t="s">
        <v>3765</v>
      </c>
      <c r="F1115" s="13" t="n">
        <v>1</v>
      </c>
      <c r="G1115" s="13" t="n">
        <v>1</v>
      </c>
      <c r="H1115" s="5" t="n">
        <v>1600</v>
      </c>
      <c r="I1115" s="7" t="n">
        <v>70</v>
      </c>
      <c r="J1115" s="16" t="n">
        <v>22.8571428571429</v>
      </c>
      <c r="K1115" s="16" t="n">
        <v>22.8571428571429</v>
      </c>
      <c r="L1115" s="16"/>
      <c r="M1115" s="16"/>
      <c r="N1115" s="19"/>
    </row>
    <row r="1116" customFormat="false" ht="15" hidden="false" customHeight="false" outlineLevel="0" collapsed="false">
      <c r="A1116" s="13" t="s">
        <v>3766</v>
      </c>
      <c r="B1116" s="13" t="s">
        <v>329</v>
      </c>
      <c r="C1116" s="13" t="s">
        <v>43</v>
      </c>
      <c r="D1116" s="13" t="s">
        <v>2324</v>
      </c>
      <c r="E1116" s="13" t="s">
        <v>330</v>
      </c>
      <c r="F1116" s="13" t="n">
        <v>1</v>
      </c>
      <c r="G1116" s="13" t="n">
        <v>1</v>
      </c>
      <c r="H1116" s="5" t="n">
        <v>1600</v>
      </c>
      <c r="I1116" s="7" t="n">
        <v>5</v>
      </c>
      <c r="J1116" s="16" t="n">
        <v>320</v>
      </c>
      <c r="K1116" s="16"/>
      <c r="L1116" s="16"/>
      <c r="M1116" s="16" t="n">
        <v>320</v>
      </c>
      <c r="N1116" s="19"/>
    </row>
    <row r="1117" customFormat="false" ht="15" hidden="false" customHeight="false" outlineLevel="0" collapsed="false">
      <c r="A1117" s="13" t="s">
        <v>3767</v>
      </c>
      <c r="B1117" s="13" t="s">
        <v>50</v>
      </c>
      <c r="C1117" s="13" t="s">
        <v>43</v>
      </c>
      <c r="D1117" s="13" t="s">
        <v>2324</v>
      </c>
      <c r="E1117" s="13" t="s">
        <v>1021</v>
      </c>
      <c r="F1117" s="13" t="n">
        <v>1</v>
      </c>
      <c r="G1117" s="13" t="n">
        <v>1</v>
      </c>
      <c r="H1117" s="5" t="n">
        <v>1600</v>
      </c>
      <c r="I1117" s="7" t="n">
        <v>2</v>
      </c>
      <c r="J1117" s="16" t="n">
        <v>800</v>
      </c>
      <c r="K1117" s="16"/>
      <c r="L1117" s="16" t="n">
        <v>800</v>
      </c>
      <c r="M1117" s="16"/>
      <c r="N1117" s="19"/>
    </row>
    <row r="1118" customFormat="false" ht="15" hidden="false" customHeight="false" outlineLevel="0" collapsed="false">
      <c r="A1118" s="13" t="s">
        <v>3768</v>
      </c>
      <c r="B1118" s="13" t="s">
        <v>2174</v>
      </c>
      <c r="C1118" s="13" t="s">
        <v>43</v>
      </c>
      <c r="D1118" s="13" t="s">
        <v>2324</v>
      </c>
      <c r="E1118" s="13" t="s">
        <v>3769</v>
      </c>
      <c r="F1118" s="13" t="n">
        <v>1</v>
      </c>
      <c r="G1118" s="13" t="n">
        <v>1</v>
      </c>
      <c r="H1118" s="5" t="n">
        <v>1600</v>
      </c>
      <c r="I1118" s="7" t="n">
        <v>2</v>
      </c>
      <c r="J1118" s="16" t="n">
        <v>800</v>
      </c>
      <c r="K1118" s="16"/>
      <c r="L1118" s="16" t="n">
        <v>800</v>
      </c>
      <c r="M1118" s="16"/>
      <c r="N1118" s="19"/>
    </row>
    <row r="1119" customFormat="false" ht="15" hidden="false" customHeight="false" outlineLevel="0" collapsed="false">
      <c r="A1119" s="13" t="s">
        <v>3770</v>
      </c>
      <c r="B1119" s="13" t="s">
        <v>177</v>
      </c>
      <c r="C1119" s="13" t="s">
        <v>43</v>
      </c>
      <c r="D1119" s="13" t="s">
        <v>2324</v>
      </c>
      <c r="E1119" s="13" t="s">
        <v>1009</v>
      </c>
      <c r="F1119" s="13" t="n">
        <v>1</v>
      </c>
      <c r="G1119" s="13" t="n">
        <v>1</v>
      </c>
      <c r="H1119" s="5" t="n">
        <v>1600</v>
      </c>
      <c r="I1119" s="7" t="n">
        <v>2</v>
      </c>
      <c r="J1119" s="16" t="n">
        <v>800</v>
      </c>
      <c r="K1119" s="16"/>
      <c r="L1119" s="16"/>
      <c r="M1119" s="16" t="n">
        <v>800</v>
      </c>
      <c r="N1119" s="19"/>
    </row>
    <row r="1120" customFormat="false" ht="15" hidden="false" customHeight="false" outlineLevel="0" collapsed="false">
      <c r="A1120" s="13" t="s">
        <v>3771</v>
      </c>
      <c r="B1120" s="13" t="s">
        <v>2169</v>
      </c>
      <c r="C1120" s="13" t="s">
        <v>85</v>
      </c>
      <c r="D1120" s="13" t="s">
        <v>3772</v>
      </c>
      <c r="E1120" s="13" t="s">
        <v>3773</v>
      </c>
      <c r="F1120" s="13" t="n">
        <v>1</v>
      </c>
      <c r="G1120" s="13" t="n">
        <v>1</v>
      </c>
      <c r="H1120" s="5" t="n">
        <v>1600</v>
      </c>
      <c r="I1120" s="7" t="n">
        <v>30</v>
      </c>
      <c r="J1120" s="16" t="n">
        <v>53.3333333333333</v>
      </c>
      <c r="K1120" s="16" t="n">
        <v>53.3333333333333</v>
      </c>
      <c r="L1120" s="16"/>
      <c r="M1120" s="16"/>
      <c r="N1120" s="19"/>
    </row>
    <row r="1121" customFormat="false" ht="15" hidden="false" customHeight="false" outlineLevel="0" collapsed="false">
      <c r="A1121" s="13" t="s">
        <v>3774</v>
      </c>
      <c r="B1121" s="13" t="s">
        <v>2095</v>
      </c>
      <c r="C1121" s="13" t="s">
        <v>140</v>
      </c>
      <c r="D1121" s="13" t="s">
        <v>2324</v>
      </c>
      <c r="E1121" s="13" t="s">
        <v>3775</v>
      </c>
      <c r="F1121" s="13" t="n">
        <v>1</v>
      </c>
      <c r="G1121" s="13" t="n">
        <v>1</v>
      </c>
      <c r="H1121" s="5" t="n">
        <v>1600</v>
      </c>
      <c r="I1121" s="7" t="n">
        <v>10</v>
      </c>
      <c r="J1121" s="16" t="n">
        <v>160</v>
      </c>
      <c r="K1121" s="16" t="n">
        <v>160</v>
      </c>
      <c r="L1121" s="16"/>
      <c r="M1121" s="16"/>
      <c r="N1121" s="19"/>
    </row>
    <row r="1122" customFormat="false" ht="15" hidden="false" customHeight="false" outlineLevel="0" collapsed="false">
      <c r="A1122" s="13" t="s">
        <v>3776</v>
      </c>
      <c r="B1122" s="13" t="s">
        <v>54</v>
      </c>
      <c r="C1122" s="13" t="s">
        <v>43</v>
      </c>
      <c r="D1122" s="13" t="s">
        <v>2324</v>
      </c>
      <c r="E1122" s="13" t="s">
        <v>567</v>
      </c>
      <c r="F1122" s="13" t="n">
        <v>1</v>
      </c>
      <c r="G1122" s="13" t="n">
        <v>1</v>
      </c>
      <c r="H1122" s="5" t="n">
        <v>1600</v>
      </c>
      <c r="I1122" s="7" t="n">
        <v>2</v>
      </c>
      <c r="J1122" s="16" t="n">
        <v>800</v>
      </c>
      <c r="K1122" s="16"/>
      <c r="L1122" s="16"/>
      <c r="M1122" s="16" t="n">
        <v>800</v>
      </c>
      <c r="N1122" s="19"/>
    </row>
    <row r="1123" customFormat="false" ht="15" hidden="false" customHeight="false" outlineLevel="0" collapsed="false">
      <c r="A1123" s="13" t="s">
        <v>3777</v>
      </c>
      <c r="B1123" s="13" t="s">
        <v>54</v>
      </c>
      <c r="C1123" s="13" t="s">
        <v>43</v>
      </c>
      <c r="D1123" s="13" t="s">
        <v>2324</v>
      </c>
      <c r="E1123" s="13" t="s">
        <v>999</v>
      </c>
      <c r="F1123" s="13" t="n">
        <v>1</v>
      </c>
      <c r="G1123" s="13" t="n">
        <v>1</v>
      </c>
      <c r="H1123" s="5" t="n">
        <v>1600</v>
      </c>
      <c r="I1123" s="7" t="n">
        <v>2</v>
      </c>
      <c r="J1123" s="16" t="n">
        <v>800</v>
      </c>
      <c r="K1123" s="16"/>
      <c r="L1123" s="16"/>
      <c r="M1123" s="16" t="n">
        <v>800</v>
      </c>
      <c r="N1123" s="19"/>
    </row>
    <row r="1124" customFormat="false" ht="15" hidden="false" customHeight="false" outlineLevel="0" collapsed="false">
      <c r="A1124" s="13" t="s">
        <v>3778</v>
      </c>
      <c r="B1124" s="13" t="s">
        <v>2134</v>
      </c>
      <c r="C1124" s="13" t="s">
        <v>43</v>
      </c>
      <c r="D1124" s="13" t="s">
        <v>2324</v>
      </c>
      <c r="E1124" s="13" t="s">
        <v>3779</v>
      </c>
      <c r="F1124" s="13" t="n">
        <v>1</v>
      </c>
      <c r="G1124" s="13" t="n">
        <v>1</v>
      </c>
      <c r="H1124" s="5" t="n">
        <v>1600</v>
      </c>
      <c r="I1124" s="7" t="n">
        <v>5</v>
      </c>
      <c r="J1124" s="16" t="n">
        <v>320</v>
      </c>
      <c r="K1124" s="16"/>
      <c r="L1124" s="16" t="n">
        <v>320</v>
      </c>
      <c r="M1124" s="16"/>
      <c r="N1124" s="19"/>
    </row>
    <row r="1125" customFormat="false" ht="15" hidden="false" customHeight="false" outlineLevel="0" collapsed="false">
      <c r="A1125" s="13" t="s">
        <v>3780</v>
      </c>
      <c r="B1125" s="13" t="s">
        <v>2175</v>
      </c>
      <c r="C1125" s="13" t="s">
        <v>43</v>
      </c>
      <c r="D1125" s="13" t="s">
        <v>2324</v>
      </c>
      <c r="E1125" s="13" t="s">
        <v>3781</v>
      </c>
      <c r="F1125" s="13" t="n">
        <v>1</v>
      </c>
      <c r="G1125" s="13" t="n">
        <v>1</v>
      </c>
      <c r="H1125" s="5" t="n">
        <v>1600</v>
      </c>
      <c r="I1125" s="7" t="n">
        <v>5</v>
      </c>
      <c r="J1125" s="16" t="n">
        <v>320</v>
      </c>
      <c r="K1125" s="16" t="n">
        <v>320</v>
      </c>
      <c r="L1125" s="16"/>
      <c r="M1125" s="16"/>
      <c r="N1125" s="19"/>
    </row>
    <row r="1126" customFormat="false" ht="15" hidden="false" customHeight="false" outlineLevel="0" collapsed="false">
      <c r="A1126" s="13" t="s">
        <v>3782</v>
      </c>
      <c r="B1126" s="13" t="s">
        <v>2161</v>
      </c>
      <c r="C1126" s="13" t="s">
        <v>85</v>
      </c>
      <c r="D1126" s="13" t="s">
        <v>2324</v>
      </c>
      <c r="E1126" s="13" t="s">
        <v>3783</v>
      </c>
      <c r="F1126" s="13" t="n">
        <v>1</v>
      </c>
      <c r="G1126" s="13" t="n">
        <v>1</v>
      </c>
      <c r="H1126" s="5" t="n">
        <v>1600</v>
      </c>
      <c r="I1126" s="7" t="n">
        <v>2</v>
      </c>
      <c r="J1126" s="16" t="n">
        <v>800</v>
      </c>
      <c r="K1126" s="16" t="n">
        <v>800</v>
      </c>
      <c r="L1126" s="16"/>
      <c r="M1126" s="16"/>
      <c r="N1126" s="19"/>
    </row>
    <row r="1127" customFormat="false" ht="15" hidden="false" customHeight="false" outlineLevel="0" collapsed="false">
      <c r="A1127" s="13" t="s">
        <v>3784</v>
      </c>
      <c r="B1127" s="13" t="s">
        <v>362</v>
      </c>
      <c r="C1127" s="13" t="s">
        <v>43</v>
      </c>
      <c r="D1127" s="13" t="s">
        <v>2324</v>
      </c>
      <c r="E1127" s="13" t="s">
        <v>1020</v>
      </c>
      <c r="F1127" s="13" t="n">
        <v>1</v>
      </c>
      <c r="G1127" s="13" t="n">
        <v>1</v>
      </c>
      <c r="H1127" s="5" t="n">
        <v>1600</v>
      </c>
      <c r="I1127" s="7" t="n">
        <v>2</v>
      </c>
      <c r="J1127" s="16" t="n">
        <v>800</v>
      </c>
      <c r="K1127" s="16"/>
      <c r="L1127" s="16" t="n">
        <v>800</v>
      </c>
      <c r="M1127" s="16"/>
      <c r="N1127" s="19"/>
    </row>
    <row r="1128" customFormat="false" ht="15" hidden="false" customHeight="false" outlineLevel="0" collapsed="false">
      <c r="A1128" s="13" t="s">
        <v>3785</v>
      </c>
      <c r="B1128" s="13" t="s">
        <v>50</v>
      </c>
      <c r="C1128" s="13" t="s">
        <v>43</v>
      </c>
      <c r="D1128" s="13" t="s">
        <v>2324</v>
      </c>
      <c r="E1128" s="13" t="s">
        <v>756</v>
      </c>
      <c r="F1128" s="13" t="n">
        <v>1</v>
      </c>
      <c r="G1128" s="13" t="n">
        <v>1</v>
      </c>
      <c r="H1128" s="5" t="n">
        <v>1600</v>
      </c>
      <c r="I1128" s="7" t="n">
        <v>2</v>
      </c>
      <c r="J1128" s="16" t="n">
        <v>800</v>
      </c>
      <c r="K1128" s="16"/>
      <c r="L1128" s="16"/>
      <c r="M1128" s="16" t="n">
        <v>800</v>
      </c>
      <c r="N1128" s="19"/>
    </row>
    <row r="1129" customFormat="false" ht="15" hidden="false" customHeight="false" outlineLevel="0" collapsed="false">
      <c r="A1129" s="13" t="s">
        <v>3786</v>
      </c>
      <c r="B1129" s="13" t="s">
        <v>50</v>
      </c>
      <c r="C1129" s="13" t="s">
        <v>43</v>
      </c>
      <c r="D1129" s="13" t="s">
        <v>2324</v>
      </c>
      <c r="E1129" s="13" t="s">
        <v>289</v>
      </c>
      <c r="F1129" s="13" t="n">
        <v>1</v>
      </c>
      <c r="G1129" s="13" t="n">
        <v>1</v>
      </c>
      <c r="H1129" s="5" t="n">
        <v>1600</v>
      </c>
      <c r="I1129" s="7" t="n">
        <v>2</v>
      </c>
      <c r="J1129" s="16" t="n">
        <v>800</v>
      </c>
      <c r="K1129" s="16"/>
      <c r="L1129" s="16"/>
      <c r="M1129" s="16" t="n">
        <v>800</v>
      </c>
      <c r="N1129" s="19"/>
    </row>
    <row r="1130" customFormat="false" ht="15" hidden="false" customHeight="false" outlineLevel="0" collapsed="false">
      <c r="A1130" s="13" t="s">
        <v>3787</v>
      </c>
      <c r="B1130" s="13" t="s">
        <v>2173</v>
      </c>
      <c r="C1130" s="13" t="s">
        <v>129</v>
      </c>
      <c r="D1130" s="13" t="s">
        <v>2324</v>
      </c>
      <c r="E1130" s="13" t="s">
        <v>3788</v>
      </c>
      <c r="F1130" s="13" t="n">
        <v>1</v>
      </c>
      <c r="G1130" s="13" t="n">
        <v>1</v>
      </c>
      <c r="H1130" s="5" t="n">
        <v>1600</v>
      </c>
      <c r="I1130" s="7" t="n">
        <v>20</v>
      </c>
      <c r="J1130" s="16" t="n">
        <v>80</v>
      </c>
      <c r="K1130" s="16" t="n">
        <v>80</v>
      </c>
      <c r="L1130" s="16"/>
      <c r="M1130" s="16"/>
      <c r="N1130" s="19"/>
    </row>
    <row r="1131" customFormat="false" ht="15" hidden="false" customHeight="false" outlineLevel="0" collapsed="false">
      <c r="A1131" s="13" t="s">
        <v>3789</v>
      </c>
      <c r="B1131" s="13" t="s">
        <v>2229</v>
      </c>
      <c r="C1131" s="13" t="s">
        <v>85</v>
      </c>
      <c r="D1131" s="13" t="s">
        <v>2324</v>
      </c>
      <c r="E1131" s="13" t="s">
        <v>3790</v>
      </c>
      <c r="F1131" s="13" t="n">
        <v>1</v>
      </c>
      <c r="G1131" s="13" t="n">
        <v>1</v>
      </c>
      <c r="H1131" s="5" t="n">
        <v>1600</v>
      </c>
      <c r="I1131" s="7" t="n">
        <v>30</v>
      </c>
      <c r="J1131" s="16" t="n">
        <v>53.3333333333333</v>
      </c>
      <c r="K1131" s="16" t="n">
        <v>53.3333333333333</v>
      </c>
      <c r="L1131" s="16"/>
      <c r="M1131" s="16"/>
      <c r="N1131" s="19"/>
    </row>
    <row r="1132" customFormat="false" ht="15" hidden="false" customHeight="false" outlineLevel="0" collapsed="false">
      <c r="A1132" s="13" t="s">
        <v>3791</v>
      </c>
      <c r="B1132" s="13" t="s">
        <v>329</v>
      </c>
      <c r="C1132" s="13" t="s">
        <v>43</v>
      </c>
      <c r="D1132" s="13" t="s">
        <v>2360</v>
      </c>
      <c r="E1132" s="13" t="s">
        <v>1202</v>
      </c>
      <c r="F1132" s="13" t="n">
        <v>1</v>
      </c>
      <c r="G1132" s="13" t="n">
        <v>2</v>
      </c>
      <c r="H1132" s="5" t="n">
        <v>1600</v>
      </c>
      <c r="I1132" s="7" t="n">
        <v>3</v>
      </c>
      <c r="J1132" s="16" t="n">
        <v>533.333333333333</v>
      </c>
      <c r="K1132" s="16"/>
      <c r="L1132" s="16"/>
      <c r="M1132" s="16" t="n">
        <v>533.333333333333</v>
      </c>
      <c r="N1132" s="19"/>
    </row>
    <row r="1133" customFormat="false" ht="15" hidden="false" customHeight="false" outlineLevel="0" collapsed="false">
      <c r="A1133" s="13" t="s">
        <v>3792</v>
      </c>
      <c r="B1133" s="13" t="s">
        <v>54</v>
      </c>
      <c r="C1133" s="13" t="s">
        <v>43</v>
      </c>
      <c r="D1133" s="13" t="s">
        <v>2324</v>
      </c>
      <c r="E1133" s="13" t="s">
        <v>1384</v>
      </c>
      <c r="F1133" s="13" t="n">
        <v>1</v>
      </c>
      <c r="G1133" s="13" t="n">
        <v>2</v>
      </c>
      <c r="H1133" s="5" t="n">
        <v>1580</v>
      </c>
      <c r="I1133" s="7" t="n">
        <v>2</v>
      </c>
      <c r="J1133" s="16" t="n">
        <v>790</v>
      </c>
      <c r="K1133" s="16"/>
      <c r="L1133" s="16"/>
      <c r="M1133" s="16" t="n">
        <v>790</v>
      </c>
      <c r="N1133" s="19"/>
    </row>
    <row r="1134" customFormat="false" ht="15" hidden="false" customHeight="false" outlineLevel="0" collapsed="false">
      <c r="A1134" s="13" t="s">
        <v>3793</v>
      </c>
      <c r="B1134" s="13" t="s">
        <v>121</v>
      </c>
      <c r="C1134" s="13" t="s">
        <v>43</v>
      </c>
      <c r="D1134" s="13" t="s">
        <v>2339</v>
      </c>
      <c r="E1134" s="13" t="s">
        <v>1057</v>
      </c>
      <c r="F1134" s="13" t="n">
        <v>1</v>
      </c>
      <c r="G1134" s="13" t="n">
        <v>2</v>
      </c>
      <c r="H1134" s="5" t="n">
        <v>1570</v>
      </c>
      <c r="I1134" s="7" t="n">
        <v>6</v>
      </c>
      <c r="J1134" s="16" t="n">
        <v>261.666666666667</v>
      </c>
      <c r="K1134" s="16"/>
      <c r="L1134" s="16"/>
      <c r="M1134" s="16" t="n">
        <v>261.666666666667</v>
      </c>
      <c r="N1134" s="19"/>
    </row>
    <row r="1135" customFormat="false" ht="15" hidden="false" customHeight="false" outlineLevel="0" collapsed="false">
      <c r="A1135" s="13" t="s">
        <v>3794</v>
      </c>
      <c r="B1135" s="13" t="s">
        <v>195</v>
      </c>
      <c r="C1135" s="13" t="s">
        <v>43</v>
      </c>
      <c r="D1135" s="13" t="s">
        <v>2500</v>
      </c>
      <c r="E1135" s="13" t="s">
        <v>1620</v>
      </c>
      <c r="F1135" s="13" t="n">
        <v>2</v>
      </c>
      <c r="G1135" s="13" t="n">
        <v>2</v>
      </c>
      <c r="H1135" s="5" t="n">
        <v>1570</v>
      </c>
      <c r="I1135" s="7" t="n">
        <v>3</v>
      </c>
      <c r="J1135" s="16" t="n">
        <v>523.333333333333</v>
      </c>
      <c r="K1135" s="16"/>
      <c r="L1135" s="16" t="n">
        <v>570</v>
      </c>
      <c r="M1135" s="16" t="n">
        <v>500</v>
      </c>
      <c r="N1135" s="19" t="n">
        <v>0.14</v>
      </c>
    </row>
    <row r="1136" customFormat="false" ht="15" hidden="false" customHeight="false" outlineLevel="0" collapsed="false">
      <c r="A1136" s="13" t="s">
        <v>3795</v>
      </c>
      <c r="B1136" s="13" t="s">
        <v>286</v>
      </c>
      <c r="C1136" s="13" t="s">
        <v>43</v>
      </c>
      <c r="D1136" s="13" t="s">
        <v>2339</v>
      </c>
      <c r="E1136" s="13" t="s">
        <v>1345</v>
      </c>
      <c r="F1136" s="13" t="n">
        <v>2</v>
      </c>
      <c r="G1136" s="13" t="n">
        <v>3</v>
      </c>
      <c r="H1136" s="5" t="n">
        <v>1550</v>
      </c>
      <c r="I1136" s="7" t="n">
        <v>4</v>
      </c>
      <c r="J1136" s="16" t="n">
        <v>387.5</v>
      </c>
      <c r="K1136" s="16"/>
      <c r="L1136" s="16" t="n">
        <v>423.333333333333</v>
      </c>
      <c r="M1136" s="16" t="n">
        <v>280</v>
      </c>
      <c r="N1136" s="19" t="n">
        <v>0.511904761904762</v>
      </c>
    </row>
    <row r="1137" customFormat="false" ht="15" hidden="false" customHeight="false" outlineLevel="0" collapsed="false">
      <c r="A1137" s="13" t="s">
        <v>3796</v>
      </c>
      <c r="B1137" s="13" t="s">
        <v>121</v>
      </c>
      <c r="C1137" s="13" t="s">
        <v>43</v>
      </c>
      <c r="D1137" s="13" t="s">
        <v>2339</v>
      </c>
      <c r="E1137" s="13" t="s">
        <v>1309</v>
      </c>
      <c r="F1137" s="13" t="n">
        <v>1</v>
      </c>
      <c r="G1137" s="13" t="n">
        <v>2</v>
      </c>
      <c r="H1137" s="5" t="n">
        <v>1530</v>
      </c>
      <c r="I1137" s="7" t="n">
        <v>10</v>
      </c>
      <c r="J1137" s="16" t="n">
        <v>153</v>
      </c>
      <c r="K1137" s="16"/>
      <c r="L1137" s="16"/>
      <c r="M1137" s="16" t="n">
        <v>153</v>
      </c>
      <c r="N1137" s="19"/>
    </row>
    <row r="1138" customFormat="false" ht="15" hidden="false" customHeight="false" outlineLevel="0" collapsed="false">
      <c r="A1138" s="13" t="s">
        <v>3797</v>
      </c>
      <c r="B1138" s="13" t="s">
        <v>121</v>
      </c>
      <c r="C1138" s="13" t="s">
        <v>43</v>
      </c>
      <c r="D1138" s="13" t="s">
        <v>2339</v>
      </c>
      <c r="E1138" s="13" t="s">
        <v>1065</v>
      </c>
      <c r="F1138" s="13" t="n">
        <v>1</v>
      </c>
      <c r="G1138" s="13" t="n">
        <v>2</v>
      </c>
      <c r="H1138" s="5" t="n">
        <v>1530</v>
      </c>
      <c r="I1138" s="7" t="n">
        <v>11</v>
      </c>
      <c r="J1138" s="16" t="n">
        <v>139.090909090909</v>
      </c>
      <c r="K1138" s="16"/>
      <c r="L1138" s="16"/>
      <c r="M1138" s="16" t="n">
        <v>139.090909090909</v>
      </c>
      <c r="N1138" s="19"/>
    </row>
    <row r="1139" customFormat="false" ht="15" hidden="false" customHeight="false" outlineLevel="0" collapsed="false">
      <c r="A1139" s="13" t="s">
        <v>3798</v>
      </c>
      <c r="B1139" s="13" t="s">
        <v>121</v>
      </c>
      <c r="C1139" s="13" t="s">
        <v>43</v>
      </c>
      <c r="D1139" s="13" t="s">
        <v>2324</v>
      </c>
      <c r="E1139" s="13" t="s">
        <v>1132</v>
      </c>
      <c r="F1139" s="13" t="n">
        <v>1</v>
      </c>
      <c r="G1139" s="13" t="n">
        <v>2</v>
      </c>
      <c r="H1139" s="5" t="n">
        <v>1530</v>
      </c>
      <c r="I1139" s="7" t="n">
        <v>12</v>
      </c>
      <c r="J1139" s="16" t="n">
        <v>127.5</v>
      </c>
      <c r="K1139" s="16"/>
      <c r="L1139" s="16"/>
      <c r="M1139" s="16" t="n">
        <v>127.5</v>
      </c>
      <c r="N1139" s="19"/>
    </row>
    <row r="1140" customFormat="false" ht="15" hidden="false" customHeight="false" outlineLevel="0" collapsed="false">
      <c r="A1140" s="13" t="s">
        <v>3799</v>
      </c>
      <c r="B1140" s="13" t="s">
        <v>79</v>
      </c>
      <c r="C1140" s="13" t="s">
        <v>43</v>
      </c>
      <c r="D1140" s="13" t="s">
        <v>2324</v>
      </c>
      <c r="E1140" s="13" t="s">
        <v>426</v>
      </c>
      <c r="F1140" s="13" t="n">
        <v>3</v>
      </c>
      <c r="G1140" s="13" t="n">
        <v>3</v>
      </c>
      <c r="H1140" s="5" t="n">
        <v>1520</v>
      </c>
      <c r="I1140" s="7" t="n">
        <v>3</v>
      </c>
      <c r="J1140" s="16" t="n">
        <v>506.666666666667</v>
      </c>
      <c r="K1140" s="16" t="n">
        <v>480</v>
      </c>
      <c r="L1140" s="16" t="n">
        <v>550</v>
      </c>
      <c r="M1140" s="16" t="n">
        <v>490</v>
      </c>
      <c r="N1140" s="19" t="n">
        <v>0.145833333333333</v>
      </c>
    </row>
    <row r="1141" customFormat="false" ht="15" hidden="false" customHeight="false" outlineLevel="0" collapsed="false">
      <c r="A1141" s="13" t="s">
        <v>3800</v>
      </c>
      <c r="B1141" s="13" t="s">
        <v>490</v>
      </c>
      <c r="C1141" s="13" t="s">
        <v>43</v>
      </c>
      <c r="D1141" s="13" t="s">
        <v>2324</v>
      </c>
      <c r="E1141" s="13" t="s">
        <v>1162</v>
      </c>
      <c r="F1141" s="13" t="n">
        <v>1</v>
      </c>
      <c r="G1141" s="13" t="n">
        <v>2</v>
      </c>
      <c r="H1141" s="5" t="n">
        <v>1510</v>
      </c>
      <c r="I1141" s="7" t="n">
        <v>6</v>
      </c>
      <c r="J1141" s="16" t="n">
        <v>251.666666666667</v>
      </c>
      <c r="K1141" s="16"/>
      <c r="L1141" s="16"/>
      <c r="M1141" s="16" t="n">
        <v>251.666666666667</v>
      </c>
      <c r="N1141" s="19"/>
    </row>
    <row r="1142" customFormat="false" ht="15" hidden="false" customHeight="false" outlineLevel="0" collapsed="false">
      <c r="A1142" s="13" t="s">
        <v>3801</v>
      </c>
      <c r="B1142" s="13" t="s">
        <v>92</v>
      </c>
      <c r="C1142" s="13" t="s">
        <v>43</v>
      </c>
      <c r="D1142" s="13" t="s">
        <v>2324</v>
      </c>
      <c r="E1142" s="13" t="s">
        <v>1030</v>
      </c>
      <c r="F1142" s="13" t="n">
        <v>1</v>
      </c>
      <c r="G1142" s="13" t="n">
        <v>1</v>
      </c>
      <c r="H1142" s="5" t="n">
        <v>1500</v>
      </c>
      <c r="I1142" s="7" t="n">
        <v>2</v>
      </c>
      <c r="J1142" s="16" t="n">
        <v>750</v>
      </c>
      <c r="K1142" s="16"/>
      <c r="L1142" s="16"/>
      <c r="M1142" s="16" t="n">
        <v>750</v>
      </c>
      <c r="N1142" s="19"/>
    </row>
    <row r="1143" customFormat="false" ht="15" hidden="false" customHeight="false" outlineLevel="0" collapsed="false">
      <c r="A1143" s="13" t="s">
        <v>3802</v>
      </c>
      <c r="B1143" s="13" t="s">
        <v>195</v>
      </c>
      <c r="C1143" s="13" t="s">
        <v>43</v>
      </c>
      <c r="D1143" s="13" t="s">
        <v>2324</v>
      </c>
      <c r="E1143" s="13" t="s">
        <v>1029</v>
      </c>
      <c r="F1143" s="13" t="n">
        <v>1</v>
      </c>
      <c r="G1143" s="13" t="n">
        <v>1</v>
      </c>
      <c r="H1143" s="5" t="n">
        <v>1500</v>
      </c>
      <c r="I1143" s="7" t="n">
        <v>2</v>
      </c>
      <c r="J1143" s="16" t="n">
        <v>750</v>
      </c>
      <c r="K1143" s="16"/>
      <c r="L1143" s="16"/>
      <c r="M1143" s="16" t="n">
        <v>750</v>
      </c>
      <c r="N1143" s="19"/>
    </row>
    <row r="1144" customFormat="false" ht="15" hidden="false" customHeight="false" outlineLevel="0" collapsed="false">
      <c r="A1144" s="13" t="s">
        <v>3803</v>
      </c>
      <c r="B1144" s="13" t="s">
        <v>179</v>
      </c>
      <c r="C1144" s="13" t="s">
        <v>180</v>
      </c>
      <c r="D1144" s="13" t="s">
        <v>2324</v>
      </c>
      <c r="E1144" s="13" t="s">
        <v>1040</v>
      </c>
      <c r="F1144" s="13" t="n">
        <v>1</v>
      </c>
      <c r="G1144" s="13" t="n">
        <v>1</v>
      </c>
      <c r="H1144" s="5" t="n">
        <v>1500</v>
      </c>
      <c r="I1144" s="7" t="n">
        <v>2</v>
      </c>
      <c r="J1144" s="16" t="n">
        <v>750</v>
      </c>
      <c r="K1144" s="16" t="n">
        <v>750</v>
      </c>
      <c r="L1144" s="16"/>
      <c r="M1144" s="16"/>
      <c r="N1144" s="19"/>
    </row>
    <row r="1145" customFormat="false" ht="15" hidden="false" customHeight="false" outlineLevel="0" collapsed="false">
      <c r="A1145" s="13" t="s">
        <v>3804</v>
      </c>
      <c r="B1145" s="13" t="s">
        <v>2191</v>
      </c>
      <c r="C1145" s="13" t="s">
        <v>85</v>
      </c>
      <c r="D1145" s="13" t="s">
        <v>2324</v>
      </c>
      <c r="E1145" s="13" t="s">
        <v>3805</v>
      </c>
      <c r="F1145" s="13" t="n">
        <v>1</v>
      </c>
      <c r="G1145" s="13" t="n">
        <v>1</v>
      </c>
      <c r="H1145" s="5" t="n">
        <v>1500</v>
      </c>
      <c r="I1145" s="7" t="n">
        <v>5</v>
      </c>
      <c r="J1145" s="16" t="n">
        <v>300</v>
      </c>
      <c r="K1145" s="16" t="n">
        <v>300</v>
      </c>
      <c r="L1145" s="16"/>
      <c r="M1145" s="16"/>
      <c r="N1145" s="19"/>
    </row>
    <row r="1146" customFormat="false" ht="15" hidden="false" customHeight="false" outlineLevel="0" collapsed="false">
      <c r="A1146" s="13" t="s">
        <v>3806</v>
      </c>
      <c r="B1146" s="13" t="s">
        <v>2231</v>
      </c>
      <c r="C1146" s="13" t="s">
        <v>85</v>
      </c>
      <c r="D1146" s="13" t="s">
        <v>2324</v>
      </c>
      <c r="E1146" s="13" t="s">
        <v>3807</v>
      </c>
      <c r="F1146" s="13" t="n">
        <v>1</v>
      </c>
      <c r="G1146" s="13" t="n">
        <v>1</v>
      </c>
      <c r="H1146" s="5" t="n">
        <v>1500</v>
      </c>
      <c r="I1146" s="7" t="n">
        <v>30</v>
      </c>
      <c r="J1146" s="16" t="n">
        <v>50</v>
      </c>
      <c r="K1146" s="16" t="n">
        <v>50</v>
      </c>
      <c r="L1146" s="16"/>
      <c r="M1146" s="16"/>
      <c r="N1146" s="19"/>
    </row>
    <row r="1147" customFormat="false" ht="15" hidden="false" customHeight="false" outlineLevel="0" collapsed="false">
      <c r="A1147" s="13" t="s">
        <v>3808</v>
      </c>
      <c r="B1147" s="13" t="s">
        <v>2141</v>
      </c>
      <c r="C1147" s="13" t="s">
        <v>43</v>
      </c>
      <c r="D1147" s="13" t="s">
        <v>2324</v>
      </c>
      <c r="E1147" s="13" t="s">
        <v>3809</v>
      </c>
      <c r="F1147" s="13" t="n">
        <v>1</v>
      </c>
      <c r="G1147" s="13" t="n">
        <v>1</v>
      </c>
      <c r="H1147" s="5" t="n">
        <v>1500</v>
      </c>
      <c r="I1147" s="7" t="n">
        <v>20</v>
      </c>
      <c r="J1147" s="16" t="n">
        <v>75</v>
      </c>
      <c r="K1147" s="16" t="n">
        <v>75</v>
      </c>
      <c r="L1147" s="16"/>
      <c r="M1147" s="16"/>
      <c r="N1147" s="19"/>
    </row>
    <row r="1148" customFormat="false" ht="15" hidden="false" customHeight="false" outlineLevel="0" collapsed="false">
      <c r="A1148" s="13" t="s">
        <v>3810</v>
      </c>
      <c r="B1148" s="13" t="s">
        <v>54</v>
      </c>
      <c r="C1148" s="13" t="s">
        <v>43</v>
      </c>
      <c r="D1148" s="13" t="s">
        <v>2324</v>
      </c>
      <c r="E1148" s="13" t="s">
        <v>1033</v>
      </c>
      <c r="F1148" s="13" t="n">
        <v>1</v>
      </c>
      <c r="G1148" s="13" t="n">
        <v>1</v>
      </c>
      <c r="H1148" s="5" t="n">
        <v>1500</v>
      </c>
      <c r="I1148" s="7" t="n">
        <v>1</v>
      </c>
      <c r="J1148" s="16" t="n">
        <v>1500</v>
      </c>
      <c r="K1148" s="16"/>
      <c r="L1148" s="16"/>
      <c r="M1148" s="16" t="n">
        <v>1500</v>
      </c>
      <c r="N1148" s="19"/>
    </row>
    <row r="1149" customFormat="false" ht="15" hidden="false" customHeight="false" outlineLevel="0" collapsed="false">
      <c r="A1149" s="13" t="s">
        <v>3811</v>
      </c>
      <c r="B1149" s="13" t="s">
        <v>2155</v>
      </c>
      <c r="C1149" s="13" t="s">
        <v>85</v>
      </c>
      <c r="D1149" s="13" t="s">
        <v>2324</v>
      </c>
      <c r="E1149" s="13" t="s">
        <v>3812</v>
      </c>
      <c r="F1149" s="13" t="n">
        <v>1</v>
      </c>
      <c r="G1149" s="13" t="n">
        <v>1</v>
      </c>
      <c r="H1149" s="5" t="n">
        <v>1500</v>
      </c>
      <c r="I1149" s="7" t="n">
        <v>5</v>
      </c>
      <c r="J1149" s="16" t="n">
        <v>300</v>
      </c>
      <c r="K1149" s="16"/>
      <c r="L1149" s="16"/>
      <c r="M1149" s="16" t="n">
        <v>300</v>
      </c>
      <c r="N1149" s="19"/>
    </row>
    <row r="1150" customFormat="false" ht="15" hidden="false" customHeight="false" outlineLevel="0" collapsed="false">
      <c r="A1150" s="13" t="s">
        <v>3813</v>
      </c>
      <c r="B1150" s="13" t="s">
        <v>121</v>
      </c>
      <c r="C1150" s="13" t="s">
        <v>43</v>
      </c>
      <c r="D1150" s="13" t="s">
        <v>2324</v>
      </c>
      <c r="E1150" s="13" t="s">
        <v>1067</v>
      </c>
      <c r="F1150" s="13" t="n">
        <v>1</v>
      </c>
      <c r="G1150" s="13" t="n">
        <v>2</v>
      </c>
      <c r="H1150" s="5" t="n">
        <v>1500</v>
      </c>
      <c r="I1150" s="7" t="n">
        <v>11</v>
      </c>
      <c r="J1150" s="16" t="n">
        <v>136.363636363636</v>
      </c>
      <c r="K1150" s="16"/>
      <c r="L1150" s="16"/>
      <c r="M1150" s="16" t="n">
        <v>136.363636363636</v>
      </c>
      <c r="N1150" s="19"/>
    </row>
    <row r="1151" customFormat="false" ht="15" hidden="false" customHeight="false" outlineLevel="0" collapsed="false">
      <c r="A1151" s="13" t="s">
        <v>3814</v>
      </c>
      <c r="B1151" s="13" t="s">
        <v>2130</v>
      </c>
      <c r="C1151" s="13" t="s">
        <v>183</v>
      </c>
      <c r="D1151" s="13" t="s">
        <v>2324</v>
      </c>
      <c r="E1151" s="13" t="s">
        <v>3815</v>
      </c>
      <c r="F1151" s="13" t="n">
        <v>1</v>
      </c>
      <c r="G1151" s="13" t="n">
        <v>1</v>
      </c>
      <c r="H1151" s="5" t="n">
        <v>1500</v>
      </c>
      <c r="I1151" s="7" t="n">
        <v>2</v>
      </c>
      <c r="J1151" s="16" t="n">
        <v>750</v>
      </c>
      <c r="K1151" s="16"/>
      <c r="L1151" s="16"/>
      <c r="M1151" s="16" t="n">
        <v>750</v>
      </c>
      <c r="N1151" s="19"/>
    </row>
    <row r="1152" customFormat="false" ht="15" hidden="false" customHeight="false" outlineLevel="0" collapsed="false">
      <c r="A1152" s="13" t="s">
        <v>3816</v>
      </c>
      <c r="B1152" s="13" t="s">
        <v>2208</v>
      </c>
      <c r="C1152" s="13" t="s">
        <v>43</v>
      </c>
      <c r="D1152" s="13" t="s">
        <v>2324</v>
      </c>
      <c r="E1152" s="13" t="s">
        <v>3817</v>
      </c>
      <c r="F1152" s="13" t="n">
        <v>1</v>
      </c>
      <c r="G1152" s="13" t="n">
        <v>3</v>
      </c>
      <c r="H1152" s="5" t="n">
        <v>1500</v>
      </c>
      <c r="I1152" s="7" t="n">
        <v>8</v>
      </c>
      <c r="J1152" s="16" t="n">
        <v>187.5</v>
      </c>
      <c r="K1152" s="16"/>
      <c r="L1152" s="16"/>
      <c r="M1152" s="16" t="n">
        <v>187.5</v>
      </c>
      <c r="N1152" s="19"/>
    </row>
    <row r="1153" customFormat="false" ht="15" hidden="false" customHeight="false" outlineLevel="0" collapsed="false">
      <c r="A1153" s="13" t="s">
        <v>3818</v>
      </c>
      <c r="B1153" s="13" t="s">
        <v>54</v>
      </c>
      <c r="C1153" s="13" t="s">
        <v>183</v>
      </c>
      <c r="D1153" s="13" t="s">
        <v>2324</v>
      </c>
      <c r="E1153" s="13" t="s">
        <v>1312</v>
      </c>
      <c r="F1153" s="13" t="n">
        <v>1</v>
      </c>
      <c r="G1153" s="13" t="n">
        <v>2</v>
      </c>
      <c r="H1153" s="5" t="n">
        <v>1480</v>
      </c>
      <c r="I1153" s="7" t="n">
        <v>4</v>
      </c>
      <c r="J1153" s="16" t="n">
        <v>370</v>
      </c>
      <c r="K1153" s="16"/>
      <c r="L1153" s="16"/>
      <c r="M1153" s="16" t="n">
        <v>370</v>
      </c>
      <c r="N1153" s="19"/>
    </row>
    <row r="1154" customFormat="false" ht="15" hidden="false" customHeight="false" outlineLevel="0" collapsed="false">
      <c r="A1154" s="13" t="s">
        <v>3819</v>
      </c>
      <c r="B1154" s="13" t="s">
        <v>153</v>
      </c>
      <c r="C1154" s="13" t="s">
        <v>43</v>
      </c>
      <c r="D1154" s="13" t="s">
        <v>2324</v>
      </c>
      <c r="E1154" s="13" t="s">
        <v>1241</v>
      </c>
      <c r="F1154" s="13" t="n">
        <v>1</v>
      </c>
      <c r="G1154" s="13" t="n">
        <v>2</v>
      </c>
      <c r="H1154" s="5" t="n">
        <v>1480</v>
      </c>
      <c r="I1154" s="7" t="n">
        <v>3</v>
      </c>
      <c r="J1154" s="16" t="n">
        <v>493.333333333333</v>
      </c>
      <c r="K1154" s="16"/>
      <c r="L1154" s="16"/>
      <c r="M1154" s="16" t="n">
        <v>493.333333333333</v>
      </c>
      <c r="N1154" s="19"/>
    </row>
    <row r="1155" customFormat="false" ht="15" hidden="false" customHeight="false" outlineLevel="0" collapsed="false">
      <c r="A1155" s="13" t="s">
        <v>3820</v>
      </c>
      <c r="B1155" s="13" t="s">
        <v>79</v>
      </c>
      <c r="C1155" s="13" t="s">
        <v>43</v>
      </c>
      <c r="D1155" s="13" t="s">
        <v>2324</v>
      </c>
      <c r="E1155" s="13" t="s">
        <v>1082</v>
      </c>
      <c r="F1155" s="13" t="n">
        <v>1</v>
      </c>
      <c r="G1155" s="13" t="n">
        <v>2</v>
      </c>
      <c r="H1155" s="5" t="n">
        <v>1480</v>
      </c>
      <c r="I1155" s="7" t="n">
        <v>3</v>
      </c>
      <c r="J1155" s="16" t="n">
        <v>493.333333333333</v>
      </c>
      <c r="K1155" s="16"/>
      <c r="L1155" s="16"/>
      <c r="M1155" s="16" t="n">
        <v>493.333333333333</v>
      </c>
      <c r="N1155" s="19"/>
    </row>
    <row r="1156" customFormat="false" ht="15" hidden="false" customHeight="false" outlineLevel="0" collapsed="false">
      <c r="A1156" s="13" t="s">
        <v>3821</v>
      </c>
      <c r="B1156" s="13" t="s">
        <v>195</v>
      </c>
      <c r="C1156" s="13" t="s">
        <v>43</v>
      </c>
      <c r="D1156" s="13" t="s">
        <v>2339</v>
      </c>
      <c r="E1156" s="13" t="s">
        <v>1430</v>
      </c>
      <c r="F1156" s="13" t="n">
        <v>1</v>
      </c>
      <c r="G1156" s="13" t="n">
        <v>2</v>
      </c>
      <c r="H1156" s="5" t="n">
        <v>1480</v>
      </c>
      <c r="I1156" s="7" t="n">
        <v>2</v>
      </c>
      <c r="J1156" s="16" t="n">
        <v>740</v>
      </c>
      <c r="K1156" s="16"/>
      <c r="L1156" s="16"/>
      <c r="M1156" s="16" t="n">
        <v>740</v>
      </c>
      <c r="N1156" s="19"/>
    </row>
    <row r="1157" customFormat="false" ht="15" hidden="false" customHeight="false" outlineLevel="0" collapsed="false">
      <c r="A1157" s="13" t="s">
        <v>3822</v>
      </c>
      <c r="B1157" s="13" t="s">
        <v>2139</v>
      </c>
      <c r="C1157" s="13" t="s">
        <v>85</v>
      </c>
      <c r="D1157" s="13" t="s">
        <v>2324</v>
      </c>
      <c r="E1157" s="13" t="s">
        <v>3823</v>
      </c>
      <c r="F1157" s="13" t="n">
        <v>1</v>
      </c>
      <c r="G1157" s="13" t="n">
        <v>3</v>
      </c>
      <c r="H1157" s="5" t="n">
        <v>1470</v>
      </c>
      <c r="I1157" s="7" t="n">
        <v>8</v>
      </c>
      <c r="J1157" s="16" t="n">
        <v>183.75</v>
      </c>
      <c r="K1157" s="16"/>
      <c r="L1157" s="16"/>
      <c r="M1157" s="16" t="n">
        <v>183.75</v>
      </c>
      <c r="N1157" s="19"/>
    </row>
    <row r="1158" customFormat="false" ht="15" hidden="false" customHeight="false" outlineLevel="0" collapsed="false">
      <c r="A1158" s="13" t="s">
        <v>3824</v>
      </c>
      <c r="B1158" s="13" t="s">
        <v>103</v>
      </c>
      <c r="C1158" s="13" t="s">
        <v>43</v>
      </c>
      <c r="D1158" s="13" t="s">
        <v>2324</v>
      </c>
      <c r="E1158" s="13" t="s">
        <v>1142</v>
      </c>
      <c r="F1158" s="13" t="n">
        <v>2</v>
      </c>
      <c r="G1158" s="13" t="n">
        <v>2</v>
      </c>
      <c r="H1158" s="5" t="n">
        <v>1460</v>
      </c>
      <c r="I1158" s="7" t="n">
        <v>6</v>
      </c>
      <c r="J1158" s="16" t="n">
        <v>243.333333333333</v>
      </c>
      <c r="K1158" s="16"/>
      <c r="L1158" s="16" t="n">
        <v>240</v>
      </c>
      <c r="M1158" s="16" t="n">
        <v>260</v>
      </c>
      <c r="N1158" s="19" t="n">
        <v>0.0833333333333333</v>
      </c>
    </row>
    <row r="1159" customFormat="false" ht="15" hidden="false" customHeight="false" outlineLevel="0" collapsed="false">
      <c r="A1159" s="13" t="s">
        <v>3825</v>
      </c>
      <c r="B1159" s="13" t="s">
        <v>61</v>
      </c>
      <c r="C1159" s="13" t="s">
        <v>43</v>
      </c>
      <c r="D1159" s="13" t="s">
        <v>2324</v>
      </c>
      <c r="E1159" s="13" t="s">
        <v>1195</v>
      </c>
      <c r="F1159" s="13" t="n">
        <v>1</v>
      </c>
      <c r="G1159" s="13" t="n">
        <v>2</v>
      </c>
      <c r="H1159" s="5" t="n">
        <v>1460</v>
      </c>
      <c r="I1159" s="7" t="n">
        <v>3</v>
      </c>
      <c r="J1159" s="16" t="n">
        <v>486.666666666667</v>
      </c>
      <c r="K1159" s="16"/>
      <c r="L1159" s="16"/>
      <c r="M1159" s="16" t="n">
        <v>486.666666666667</v>
      </c>
      <c r="N1159" s="19"/>
    </row>
    <row r="1160" customFormat="false" ht="15" hidden="false" customHeight="false" outlineLevel="0" collapsed="false">
      <c r="A1160" s="13" t="s">
        <v>3826</v>
      </c>
      <c r="B1160" s="13" t="s">
        <v>2269</v>
      </c>
      <c r="C1160" s="13" t="s">
        <v>43</v>
      </c>
      <c r="D1160" s="13" t="s">
        <v>2324</v>
      </c>
      <c r="E1160" s="13" t="s">
        <v>1290</v>
      </c>
      <c r="F1160" s="13" t="n">
        <v>2</v>
      </c>
      <c r="G1160" s="13" t="n">
        <v>2</v>
      </c>
      <c r="H1160" s="5" t="n">
        <v>1430</v>
      </c>
      <c r="I1160" s="7" t="n">
        <v>3</v>
      </c>
      <c r="J1160" s="16" t="n">
        <v>476.666666666667</v>
      </c>
      <c r="K1160" s="16"/>
      <c r="L1160" s="16" t="n">
        <v>465</v>
      </c>
      <c r="M1160" s="16" t="n">
        <v>500</v>
      </c>
      <c r="N1160" s="19" t="n">
        <v>0.0752688172043011</v>
      </c>
    </row>
    <row r="1161" customFormat="false" ht="15" hidden="false" customHeight="false" outlineLevel="0" collapsed="false">
      <c r="A1161" s="13" t="s">
        <v>3827</v>
      </c>
      <c r="B1161" s="13" t="s">
        <v>92</v>
      </c>
      <c r="C1161" s="13" t="s">
        <v>43</v>
      </c>
      <c r="D1161" s="13" t="s">
        <v>2422</v>
      </c>
      <c r="E1161" s="13" t="s">
        <v>1223</v>
      </c>
      <c r="F1161" s="13" t="n">
        <v>2</v>
      </c>
      <c r="G1161" s="13" t="n">
        <v>2</v>
      </c>
      <c r="H1161" s="5" t="n">
        <v>1430</v>
      </c>
      <c r="I1161" s="7" t="n">
        <v>3</v>
      </c>
      <c r="J1161" s="16" t="n">
        <v>476.666666666667</v>
      </c>
      <c r="K1161" s="16"/>
      <c r="L1161" s="16" t="n">
        <v>500</v>
      </c>
      <c r="M1161" s="16" t="n">
        <v>430</v>
      </c>
      <c r="N1161" s="19" t="n">
        <v>0.162790697674419</v>
      </c>
    </row>
    <row r="1162" customFormat="false" ht="15" hidden="false" customHeight="false" outlineLevel="0" collapsed="false">
      <c r="A1162" s="13" t="s">
        <v>3828</v>
      </c>
      <c r="B1162" s="13" t="s">
        <v>121</v>
      </c>
      <c r="C1162" s="13" t="s">
        <v>43</v>
      </c>
      <c r="D1162" s="13" t="s">
        <v>2339</v>
      </c>
      <c r="E1162" s="13" t="s">
        <v>1192</v>
      </c>
      <c r="F1162" s="13" t="n">
        <v>1</v>
      </c>
      <c r="G1162" s="13" t="n">
        <v>2</v>
      </c>
      <c r="H1162" s="5" t="n">
        <v>1410</v>
      </c>
      <c r="I1162" s="7" t="n">
        <v>7</v>
      </c>
      <c r="J1162" s="16" t="n">
        <v>201.428571428571</v>
      </c>
      <c r="K1162" s="16"/>
      <c r="L1162" s="16"/>
      <c r="M1162" s="16" t="n">
        <v>201.428571428571</v>
      </c>
      <c r="N1162" s="19"/>
    </row>
    <row r="1163" customFormat="false" ht="15" hidden="false" customHeight="false" outlineLevel="0" collapsed="false">
      <c r="A1163" s="13" t="s">
        <v>3829</v>
      </c>
      <c r="B1163" s="13" t="s">
        <v>2216</v>
      </c>
      <c r="C1163" s="13" t="s">
        <v>43</v>
      </c>
      <c r="D1163" s="13" t="s">
        <v>2339</v>
      </c>
      <c r="E1163" s="13" t="s">
        <v>3830</v>
      </c>
      <c r="F1163" s="13" t="n">
        <v>1</v>
      </c>
      <c r="G1163" s="13" t="n">
        <v>2</v>
      </c>
      <c r="H1163" s="5" t="n">
        <v>1410</v>
      </c>
      <c r="I1163" s="7" t="n">
        <v>6</v>
      </c>
      <c r="J1163" s="16" t="n">
        <v>235</v>
      </c>
      <c r="K1163" s="16"/>
      <c r="L1163" s="16" t="n">
        <v>235</v>
      </c>
      <c r="M1163" s="16"/>
      <c r="N1163" s="19"/>
    </row>
    <row r="1164" customFormat="false" ht="15" hidden="false" customHeight="false" outlineLevel="0" collapsed="false">
      <c r="A1164" s="13" t="s">
        <v>3831</v>
      </c>
      <c r="B1164" s="13" t="s">
        <v>50</v>
      </c>
      <c r="C1164" s="13" t="s">
        <v>43</v>
      </c>
      <c r="D1164" s="13" t="s">
        <v>2324</v>
      </c>
      <c r="E1164" s="13" t="s">
        <v>1079</v>
      </c>
      <c r="F1164" s="13" t="n">
        <v>1</v>
      </c>
      <c r="G1164" s="13" t="n">
        <v>1</v>
      </c>
      <c r="H1164" s="5" t="n">
        <v>1400</v>
      </c>
      <c r="I1164" s="7" t="n">
        <v>2</v>
      </c>
      <c r="J1164" s="16" t="n">
        <v>700</v>
      </c>
      <c r="K1164" s="16"/>
      <c r="L1164" s="16"/>
      <c r="M1164" s="16" t="n">
        <v>700</v>
      </c>
      <c r="N1164" s="19"/>
    </row>
    <row r="1165" customFormat="false" ht="15" hidden="false" customHeight="false" outlineLevel="0" collapsed="false">
      <c r="A1165" s="13" t="s">
        <v>3832</v>
      </c>
      <c r="B1165" s="13" t="s">
        <v>121</v>
      </c>
      <c r="C1165" s="13" t="s">
        <v>183</v>
      </c>
      <c r="D1165" s="13" t="s">
        <v>2324</v>
      </c>
      <c r="E1165" s="13" t="s">
        <v>1072</v>
      </c>
      <c r="F1165" s="13" t="n">
        <v>1</v>
      </c>
      <c r="G1165" s="13" t="n">
        <v>1</v>
      </c>
      <c r="H1165" s="5" t="n">
        <v>1400</v>
      </c>
      <c r="I1165" s="7" t="n">
        <v>10</v>
      </c>
      <c r="J1165" s="16" t="n">
        <v>140</v>
      </c>
      <c r="K1165" s="16"/>
      <c r="L1165" s="16"/>
      <c r="M1165" s="16" t="n">
        <v>140</v>
      </c>
      <c r="N1165" s="19"/>
    </row>
    <row r="1166" customFormat="false" ht="15" hidden="false" customHeight="false" outlineLevel="0" collapsed="false">
      <c r="A1166" s="13" t="s">
        <v>3833</v>
      </c>
      <c r="B1166" s="13" t="s">
        <v>42</v>
      </c>
      <c r="C1166" s="13" t="s">
        <v>43</v>
      </c>
      <c r="D1166" s="13" t="s">
        <v>2500</v>
      </c>
      <c r="E1166" s="13" t="s">
        <v>1069</v>
      </c>
      <c r="F1166" s="13" t="n">
        <v>1</v>
      </c>
      <c r="G1166" s="13" t="n">
        <v>1</v>
      </c>
      <c r="H1166" s="5" t="n">
        <v>1400</v>
      </c>
      <c r="I1166" s="7" t="n">
        <v>1</v>
      </c>
      <c r="J1166" s="16" t="n">
        <v>1400</v>
      </c>
      <c r="K1166" s="16"/>
      <c r="L1166" s="16"/>
      <c r="M1166" s="16" t="n">
        <v>1400</v>
      </c>
      <c r="N1166" s="19"/>
    </row>
    <row r="1167" customFormat="false" ht="15" hidden="false" customHeight="false" outlineLevel="0" collapsed="false">
      <c r="A1167" s="13" t="s">
        <v>3834</v>
      </c>
      <c r="B1167" s="13" t="s">
        <v>45</v>
      </c>
      <c r="C1167" s="13" t="s">
        <v>43</v>
      </c>
      <c r="D1167" s="13" t="s">
        <v>2324</v>
      </c>
      <c r="E1167" s="13" t="s">
        <v>1099</v>
      </c>
      <c r="F1167" s="13" t="n">
        <v>1</v>
      </c>
      <c r="G1167" s="13" t="n">
        <v>1</v>
      </c>
      <c r="H1167" s="5" t="n">
        <v>1400</v>
      </c>
      <c r="I1167" s="7" t="n">
        <v>5</v>
      </c>
      <c r="J1167" s="16" t="n">
        <v>280</v>
      </c>
      <c r="K1167" s="16"/>
      <c r="L1167" s="16" t="n">
        <v>280</v>
      </c>
      <c r="M1167" s="16"/>
      <c r="N1167" s="19"/>
    </row>
    <row r="1168" customFormat="false" ht="15" hidden="false" customHeight="false" outlineLevel="0" collapsed="false">
      <c r="A1168" s="13" t="s">
        <v>3835</v>
      </c>
      <c r="B1168" s="13" t="s">
        <v>54</v>
      </c>
      <c r="C1168" s="13" t="s">
        <v>43</v>
      </c>
      <c r="D1168" s="13" t="s">
        <v>2324</v>
      </c>
      <c r="E1168" s="13" t="s">
        <v>1068</v>
      </c>
      <c r="F1168" s="13" t="n">
        <v>1</v>
      </c>
      <c r="G1168" s="13" t="n">
        <v>1</v>
      </c>
      <c r="H1168" s="5" t="n">
        <v>1400</v>
      </c>
      <c r="I1168" s="7" t="n">
        <v>2</v>
      </c>
      <c r="J1168" s="16" t="n">
        <v>700</v>
      </c>
      <c r="K1168" s="16"/>
      <c r="L1168" s="16"/>
      <c r="M1168" s="16" t="n">
        <v>700</v>
      </c>
      <c r="N1168" s="19"/>
    </row>
    <row r="1169" customFormat="false" ht="15" hidden="false" customHeight="false" outlineLevel="0" collapsed="false">
      <c r="A1169" s="13" t="s">
        <v>3836</v>
      </c>
      <c r="B1169" s="13" t="s">
        <v>2234</v>
      </c>
      <c r="C1169" s="13" t="s">
        <v>43</v>
      </c>
      <c r="D1169" s="13" t="s">
        <v>2339</v>
      </c>
      <c r="E1169" s="13" t="s">
        <v>3837</v>
      </c>
      <c r="F1169" s="13" t="n">
        <v>1</v>
      </c>
      <c r="G1169" s="13" t="n">
        <v>1</v>
      </c>
      <c r="H1169" s="5" t="n">
        <v>1400</v>
      </c>
      <c r="I1169" s="7" t="n">
        <v>20</v>
      </c>
      <c r="J1169" s="16" t="n">
        <v>70</v>
      </c>
      <c r="K1169" s="16" t="n">
        <v>70</v>
      </c>
      <c r="L1169" s="16"/>
      <c r="M1169" s="16"/>
      <c r="N1169" s="19"/>
    </row>
    <row r="1170" customFormat="false" ht="15" hidden="false" customHeight="false" outlineLevel="0" collapsed="false">
      <c r="A1170" s="13" t="s">
        <v>3838</v>
      </c>
      <c r="B1170" s="13" t="s">
        <v>54</v>
      </c>
      <c r="C1170" s="13" t="s">
        <v>43</v>
      </c>
      <c r="D1170" s="13" t="s">
        <v>2324</v>
      </c>
      <c r="E1170" s="13" t="s">
        <v>1070</v>
      </c>
      <c r="F1170" s="13" t="n">
        <v>1</v>
      </c>
      <c r="G1170" s="13" t="n">
        <v>1</v>
      </c>
      <c r="H1170" s="5" t="n">
        <v>1400</v>
      </c>
      <c r="I1170" s="7" t="n">
        <v>2</v>
      </c>
      <c r="J1170" s="16" t="n">
        <v>700</v>
      </c>
      <c r="K1170" s="16"/>
      <c r="L1170" s="16"/>
      <c r="M1170" s="16" t="n">
        <v>700</v>
      </c>
      <c r="N1170" s="19"/>
    </row>
    <row r="1171" customFormat="false" ht="15" hidden="false" customHeight="false" outlineLevel="0" collapsed="false">
      <c r="A1171" s="13" t="s">
        <v>3839</v>
      </c>
      <c r="B1171" s="13" t="s">
        <v>2117</v>
      </c>
      <c r="C1171" s="13" t="s">
        <v>85</v>
      </c>
      <c r="D1171" s="13" t="s">
        <v>2324</v>
      </c>
      <c r="E1171" s="13" t="s">
        <v>3840</v>
      </c>
      <c r="F1171" s="13" t="n">
        <v>1</v>
      </c>
      <c r="G1171" s="13" t="n">
        <v>1</v>
      </c>
      <c r="H1171" s="5" t="n">
        <v>1400</v>
      </c>
      <c r="I1171" s="7" t="n">
        <v>40</v>
      </c>
      <c r="J1171" s="16" t="n">
        <v>35</v>
      </c>
      <c r="K1171" s="16" t="n">
        <v>35</v>
      </c>
      <c r="L1171" s="16"/>
      <c r="M1171" s="16"/>
      <c r="N1171" s="19"/>
    </row>
    <row r="1172" customFormat="false" ht="15" hidden="false" customHeight="false" outlineLevel="0" collapsed="false">
      <c r="A1172" s="13" t="s">
        <v>3841</v>
      </c>
      <c r="B1172" s="13" t="s">
        <v>2145</v>
      </c>
      <c r="C1172" s="13" t="s">
        <v>43</v>
      </c>
      <c r="D1172" s="13" t="s">
        <v>2324</v>
      </c>
      <c r="E1172" s="13" t="s">
        <v>3525</v>
      </c>
      <c r="F1172" s="13" t="n">
        <v>1</v>
      </c>
      <c r="G1172" s="13" t="n">
        <v>1</v>
      </c>
      <c r="H1172" s="5" t="n">
        <v>1400</v>
      </c>
      <c r="I1172" s="7" t="n">
        <v>2</v>
      </c>
      <c r="J1172" s="16" t="n">
        <v>700</v>
      </c>
      <c r="K1172" s="16"/>
      <c r="L1172" s="16"/>
      <c r="M1172" s="16" t="n">
        <v>700</v>
      </c>
      <c r="N1172" s="19"/>
    </row>
    <row r="1173" customFormat="false" ht="15" hidden="false" customHeight="false" outlineLevel="0" collapsed="false">
      <c r="A1173" s="13" t="s">
        <v>3842</v>
      </c>
      <c r="B1173" s="13" t="s">
        <v>2105</v>
      </c>
      <c r="C1173" s="13" t="s">
        <v>144</v>
      </c>
      <c r="D1173" s="13" t="s">
        <v>2324</v>
      </c>
      <c r="E1173" s="13" t="s">
        <v>3843</v>
      </c>
      <c r="F1173" s="13" t="n">
        <v>1</v>
      </c>
      <c r="G1173" s="13" t="n">
        <v>1</v>
      </c>
      <c r="H1173" s="5" t="n">
        <v>1400</v>
      </c>
      <c r="I1173" s="7" t="n">
        <v>5</v>
      </c>
      <c r="J1173" s="16" t="n">
        <v>280</v>
      </c>
      <c r="K1173" s="16" t="n">
        <v>280</v>
      </c>
      <c r="L1173" s="16"/>
      <c r="M1173" s="16"/>
      <c r="N1173" s="19"/>
    </row>
    <row r="1174" customFormat="false" ht="15" hidden="false" customHeight="false" outlineLevel="0" collapsed="false">
      <c r="A1174" s="13" t="s">
        <v>3844</v>
      </c>
      <c r="B1174" s="13" t="s">
        <v>54</v>
      </c>
      <c r="C1174" s="13" t="s">
        <v>43</v>
      </c>
      <c r="D1174" s="13" t="s">
        <v>2324</v>
      </c>
      <c r="E1174" s="13" t="s">
        <v>1086</v>
      </c>
      <c r="F1174" s="13" t="n">
        <v>1</v>
      </c>
      <c r="G1174" s="13" t="n">
        <v>1</v>
      </c>
      <c r="H1174" s="5" t="n">
        <v>1400</v>
      </c>
      <c r="I1174" s="7" t="n">
        <v>2</v>
      </c>
      <c r="J1174" s="16" t="n">
        <v>700</v>
      </c>
      <c r="K1174" s="16"/>
      <c r="L1174" s="16"/>
      <c r="M1174" s="16" t="n">
        <v>700</v>
      </c>
      <c r="N1174" s="19"/>
    </row>
    <row r="1175" customFormat="false" ht="15" hidden="false" customHeight="false" outlineLevel="0" collapsed="false">
      <c r="A1175" s="13" t="s">
        <v>3845</v>
      </c>
      <c r="B1175" s="13" t="s">
        <v>54</v>
      </c>
      <c r="C1175" s="13" t="s">
        <v>43</v>
      </c>
      <c r="D1175" s="13" t="s">
        <v>2324</v>
      </c>
      <c r="E1175" s="13" t="s">
        <v>1068</v>
      </c>
      <c r="F1175" s="13" t="n">
        <v>1</v>
      </c>
      <c r="G1175" s="13" t="n">
        <v>1</v>
      </c>
      <c r="H1175" s="5" t="n">
        <v>1400</v>
      </c>
      <c r="I1175" s="7" t="n">
        <v>2</v>
      </c>
      <c r="J1175" s="16" t="n">
        <v>700</v>
      </c>
      <c r="K1175" s="16"/>
      <c r="L1175" s="16"/>
      <c r="M1175" s="16" t="n">
        <v>700</v>
      </c>
      <c r="N1175" s="19"/>
    </row>
    <row r="1176" customFormat="false" ht="15" hidden="false" customHeight="false" outlineLevel="0" collapsed="false">
      <c r="A1176" s="13" t="s">
        <v>3846</v>
      </c>
      <c r="B1176" s="13" t="s">
        <v>329</v>
      </c>
      <c r="C1176" s="13" t="s">
        <v>43</v>
      </c>
      <c r="D1176" s="13" t="s">
        <v>2324</v>
      </c>
      <c r="E1176" s="13" t="s">
        <v>575</v>
      </c>
      <c r="F1176" s="13" t="n">
        <v>1</v>
      </c>
      <c r="G1176" s="13" t="n">
        <v>1</v>
      </c>
      <c r="H1176" s="5" t="n">
        <v>1400</v>
      </c>
      <c r="I1176" s="7" t="n">
        <v>2</v>
      </c>
      <c r="J1176" s="16" t="n">
        <v>700</v>
      </c>
      <c r="K1176" s="16"/>
      <c r="L1176" s="16"/>
      <c r="M1176" s="16" t="n">
        <v>700</v>
      </c>
      <c r="N1176" s="19"/>
    </row>
    <row r="1177" customFormat="false" ht="15" hidden="false" customHeight="false" outlineLevel="0" collapsed="false">
      <c r="A1177" s="13" t="s">
        <v>3847</v>
      </c>
      <c r="B1177" s="13" t="s">
        <v>2233</v>
      </c>
      <c r="C1177" s="13" t="s">
        <v>43</v>
      </c>
      <c r="D1177" s="13" t="s">
        <v>2339</v>
      </c>
      <c r="E1177" s="13" t="s">
        <v>3848</v>
      </c>
      <c r="F1177" s="13" t="n">
        <v>1</v>
      </c>
      <c r="G1177" s="13" t="n">
        <v>1</v>
      </c>
      <c r="H1177" s="5" t="n">
        <v>1400</v>
      </c>
      <c r="I1177" s="7" t="n">
        <v>10</v>
      </c>
      <c r="J1177" s="16" t="n">
        <v>140</v>
      </c>
      <c r="K1177" s="16" t="n">
        <v>140</v>
      </c>
      <c r="L1177" s="16"/>
      <c r="M1177" s="16"/>
      <c r="N1177" s="19"/>
    </row>
    <row r="1178" customFormat="false" ht="15" hidden="false" customHeight="false" outlineLevel="0" collapsed="false">
      <c r="A1178" s="13" t="s">
        <v>3849</v>
      </c>
      <c r="B1178" s="13" t="s">
        <v>2101</v>
      </c>
      <c r="C1178" s="13" t="s">
        <v>85</v>
      </c>
      <c r="D1178" s="13" t="s">
        <v>2324</v>
      </c>
      <c r="E1178" s="13" t="s">
        <v>3850</v>
      </c>
      <c r="F1178" s="13" t="n">
        <v>1</v>
      </c>
      <c r="G1178" s="13" t="n">
        <v>1</v>
      </c>
      <c r="H1178" s="5" t="n">
        <v>1400</v>
      </c>
      <c r="I1178" s="7" t="n">
        <v>30</v>
      </c>
      <c r="J1178" s="16" t="n">
        <v>46.6666666666667</v>
      </c>
      <c r="K1178" s="16" t="n">
        <v>46.6666666666667</v>
      </c>
      <c r="L1178" s="16"/>
      <c r="M1178" s="16"/>
      <c r="N1178" s="19"/>
    </row>
    <row r="1179" customFormat="false" ht="15" hidden="false" customHeight="false" outlineLevel="0" collapsed="false">
      <c r="A1179" s="13" t="s">
        <v>3851</v>
      </c>
      <c r="B1179" s="13" t="s">
        <v>153</v>
      </c>
      <c r="C1179" s="13" t="s">
        <v>43</v>
      </c>
      <c r="D1179" s="13" t="s">
        <v>2422</v>
      </c>
      <c r="E1179" s="13" t="s">
        <v>1058</v>
      </c>
      <c r="F1179" s="13" t="n">
        <v>1</v>
      </c>
      <c r="G1179" s="13" t="n">
        <v>1</v>
      </c>
      <c r="H1179" s="5" t="n">
        <v>1400</v>
      </c>
      <c r="I1179" s="7" t="n">
        <v>2</v>
      </c>
      <c r="J1179" s="16" t="n">
        <v>700</v>
      </c>
      <c r="K1179" s="16"/>
      <c r="L1179" s="16"/>
      <c r="M1179" s="16" t="n">
        <v>700</v>
      </c>
      <c r="N1179" s="19"/>
    </row>
    <row r="1180" customFormat="false" ht="15" hidden="false" customHeight="false" outlineLevel="0" collapsed="false">
      <c r="A1180" s="13" t="s">
        <v>3852</v>
      </c>
      <c r="B1180" s="13" t="s">
        <v>179</v>
      </c>
      <c r="C1180" s="13" t="s">
        <v>180</v>
      </c>
      <c r="D1180" s="13" t="s">
        <v>2324</v>
      </c>
      <c r="E1180" s="13" t="s">
        <v>1077</v>
      </c>
      <c r="F1180" s="13" t="n">
        <v>1</v>
      </c>
      <c r="G1180" s="13" t="n">
        <v>1</v>
      </c>
      <c r="H1180" s="5" t="n">
        <v>1400</v>
      </c>
      <c r="I1180" s="7" t="n">
        <v>5</v>
      </c>
      <c r="J1180" s="16" t="n">
        <v>280</v>
      </c>
      <c r="K1180" s="16" t="n">
        <v>280</v>
      </c>
      <c r="L1180" s="16"/>
      <c r="M1180" s="16"/>
      <c r="N1180" s="19"/>
    </row>
    <row r="1181" customFormat="false" ht="15" hidden="false" customHeight="false" outlineLevel="0" collapsed="false">
      <c r="A1181" s="13" t="s">
        <v>3853</v>
      </c>
      <c r="B1181" s="13" t="s">
        <v>121</v>
      </c>
      <c r="C1181" s="13" t="s">
        <v>43</v>
      </c>
      <c r="D1181" s="13" t="s">
        <v>2324</v>
      </c>
      <c r="E1181" s="13" t="s">
        <v>1085</v>
      </c>
      <c r="F1181" s="13" t="n">
        <v>1</v>
      </c>
      <c r="G1181" s="13" t="n">
        <v>1</v>
      </c>
      <c r="H1181" s="5" t="n">
        <v>1400</v>
      </c>
      <c r="I1181" s="7" t="n">
        <v>5</v>
      </c>
      <c r="J1181" s="16" t="n">
        <v>280</v>
      </c>
      <c r="K1181" s="16"/>
      <c r="L1181" s="16"/>
      <c r="M1181" s="16" t="n">
        <v>280</v>
      </c>
      <c r="N1181" s="19"/>
    </row>
    <row r="1182" customFormat="false" ht="15" hidden="false" customHeight="false" outlineLevel="0" collapsed="false">
      <c r="A1182" s="13" t="s">
        <v>3854</v>
      </c>
      <c r="B1182" s="13" t="s">
        <v>2099</v>
      </c>
      <c r="C1182" s="13" t="s">
        <v>43</v>
      </c>
      <c r="D1182" s="13" t="s">
        <v>2337</v>
      </c>
      <c r="E1182" s="13" t="s">
        <v>3855</v>
      </c>
      <c r="F1182" s="13" t="n">
        <v>1</v>
      </c>
      <c r="G1182" s="13" t="n">
        <v>1</v>
      </c>
      <c r="H1182" s="5" t="n">
        <v>1400</v>
      </c>
      <c r="I1182" s="7" t="n">
        <v>20</v>
      </c>
      <c r="J1182" s="16" t="n">
        <v>70</v>
      </c>
      <c r="K1182" s="16" t="n">
        <v>70</v>
      </c>
      <c r="L1182" s="16"/>
      <c r="M1182" s="16"/>
      <c r="N1182" s="19"/>
    </row>
    <row r="1183" customFormat="false" ht="15" hidden="false" customHeight="false" outlineLevel="0" collapsed="false">
      <c r="A1183" s="13" t="s">
        <v>3856</v>
      </c>
      <c r="B1183" s="13" t="s">
        <v>2110</v>
      </c>
      <c r="C1183" s="13" t="s">
        <v>43</v>
      </c>
      <c r="D1183" s="13" t="s">
        <v>2324</v>
      </c>
      <c r="E1183" s="13" t="s">
        <v>3857</v>
      </c>
      <c r="F1183" s="13" t="n">
        <v>1</v>
      </c>
      <c r="G1183" s="13" t="n">
        <v>1</v>
      </c>
      <c r="H1183" s="5" t="n">
        <v>1400</v>
      </c>
      <c r="I1183" s="7" t="n">
        <v>2</v>
      </c>
      <c r="J1183" s="16" t="n">
        <v>700</v>
      </c>
      <c r="K1183" s="16"/>
      <c r="L1183" s="16" t="n">
        <v>700</v>
      </c>
      <c r="M1183" s="16"/>
      <c r="N1183" s="19"/>
    </row>
    <row r="1184" customFormat="false" ht="15" hidden="false" customHeight="false" outlineLevel="0" collapsed="false">
      <c r="A1184" s="13" t="s">
        <v>3858</v>
      </c>
      <c r="B1184" s="13" t="s">
        <v>2142</v>
      </c>
      <c r="C1184" s="13" t="s">
        <v>85</v>
      </c>
      <c r="D1184" s="13" t="s">
        <v>2468</v>
      </c>
      <c r="E1184" s="13" t="s">
        <v>3859</v>
      </c>
      <c r="F1184" s="13" t="n">
        <v>1</v>
      </c>
      <c r="G1184" s="13" t="n">
        <v>1</v>
      </c>
      <c r="H1184" s="5" t="n">
        <v>1400</v>
      </c>
      <c r="I1184" s="7" t="n">
        <v>30</v>
      </c>
      <c r="J1184" s="16" t="n">
        <v>46.6666666666667</v>
      </c>
      <c r="K1184" s="16" t="n">
        <v>46.6666666666667</v>
      </c>
      <c r="L1184" s="16"/>
      <c r="M1184" s="16"/>
      <c r="N1184" s="19"/>
    </row>
    <row r="1185" customFormat="false" ht="15" hidden="false" customHeight="false" outlineLevel="0" collapsed="false">
      <c r="A1185" s="13" t="s">
        <v>3860</v>
      </c>
      <c r="B1185" s="13" t="s">
        <v>2267</v>
      </c>
      <c r="C1185" s="13" t="s">
        <v>43</v>
      </c>
      <c r="D1185" s="13" t="s">
        <v>2339</v>
      </c>
      <c r="E1185" s="13" t="s">
        <v>3861</v>
      </c>
      <c r="F1185" s="13" t="n">
        <v>1</v>
      </c>
      <c r="G1185" s="13" t="n">
        <v>2</v>
      </c>
      <c r="H1185" s="5" t="n">
        <v>1400</v>
      </c>
      <c r="I1185" s="7" t="n">
        <v>11</v>
      </c>
      <c r="J1185" s="16" t="n">
        <v>127.272727272727</v>
      </c>
      <c r="K1185" s="16"/>
      <c r="L1185" s="16"/>
      <c r="M1185" s="16" t="n">
        <v>127.272727272727</v>
      </c>
      <c r="N1185" s="19"/>
    </row>
    <row r="1186" customFormat="false" ht="15" hidden="false" customHeight="false" outlineLevel="0" collapsed="false">
      <c r="A1186" s="13" t="s">
        <v>3862</v>
      </c>
      <c r="B1186" s="13" t="s">
        <v>61</v>
      </c>
      <c r="C1186" s="13" t="s">
        <v>43</v>
      </c>
      <c r="D1186" s="13" t="s">
        <v>2324</v>
      </c>
      <c r="E1186" s="13" t="s">
        <v>231</v>
      </c>
      <c r="F1186" s="13" t="n">
        <v>1</v>
      </c>
      <c r="G1186" s="13" t="n">
        <v>1</v>
      </c>
      <c r="H1186" s="5" t="n">
        <v>1400</v>
      </c>
      <c r="I1186" s="7" t="n">
        <v>2</v>
      </c>
      <c r="J1186" s="16" t="n">
        <v>700</v>
      </c>
      <c r="K1186" s="16"/>
      <c r="L1186" s="16"/>
      <c r="M1186" s="16" t="n">
        <v>700</v>
      </c>
      <c r="N1186" s="19"/>
    </row>
    <row r="1187" customFormat="false" ht="15" hidden="false" customHeight="false" outlineLevel="0" collapsed="false">
      <c r="A1187" s="13" t="s">
        <v>3863</v>
      </c>
      <c r="B1187" s="13" t="s">
        <v>191</v>
      </c>
      <c r="C1187" s="13" t="s">
        <v>85</v>
      </c>
      <c r="D1187" s="13" t="s">
        <v>2324</v>
      </c>
      <c r="E1187" s="13" t="s">
        <v>1074</v>
      </c>
      <c r="F1187" s="13" t="n">
        <v>1</v>
      </c>
      <c r="G1187" s="13" t="n">
        <v>1</v>
      </c>
      <c r="H1187" s="5" t="n">
        <v>1400</v>
      </c>
      <c r="I1187" s="7" t="n">
        <v>5</v>
      </c>
      <c r="J1187" s="16" t="n">
        <v>280</v>
      </c>
      <c r="K1187" s="16" t="n">
        <v>280</v>
      </c>
      <c r="L1187" s="16"/>
      <c r="M1187" s="16"/>
      <c r="N1187" s="19"/>
    </row>
    <row r="1188" customFormat="false" ht="15" hidden="false" customHeight="false" outlineLevel="0" collapsed="false">
      <c r="A1188" s="13" t="s">
        <v>3864</v>
      </c>
      <c r="B1188" s="13" t="s">
        <v>45</v>
      </c>
      <c r="C1188" s="13" t="s">
        <v>43</v>
      </c>
      <c r="D1188" s="13" t="s">
        <v>2324</v>
      </c>
      <c r="E1188" s="13" t="s">
        <v>409</v>
      </c>
      <c r="F1188" s="13" t="n">
        <v>1</v>
      </c>
      <c r="G1188" s="13" t="n">
        <v>1</v>
      </c>
      <c r="H1188" s="5" t="n">
        <v>1400</v>
      </c>
      <c r="I1188" s="7" t="n">
        <v>2</v>
      </c>
      <c r="J1188" s="16" t="n">
        <v>700</v>
      </c>
      <c r="K1188" s="16"/>
      <c r="L1188" s="16"/>
      <c r="M1188" s="16" t="n">
        <v>700</v>
      </c>
      <c r="N1188" s="19"/>
    </row>
    <row r="1189" customFormat="false" ht="15" hidden="false" customHeight="false" outlineLevel="0" collapsed="false">
      <c r="A1189" s="13" t="s">
        <v>3865</v>
      </c>
      <c r="B1189" s="13" t="s">
        <v>59</v>
      </c>
      <c r="C1189" s="13" t="s">
        <v>43</v>
      </c>
      <c r="D1189" s="13" t="s">
        <v>2339</v>
      </c>
      <c r="E1189" s="13" t="s">
        <v>1188</v>
      </c>
      <c r="F1189" s="13" t="n">
        <v>2</v>
      </c>
      <c r="G1189" s="13" t="n">
        <v>3</v>
      </c>
      <c r="H1189" s="5" t="n">
        <v>1390</v>
      </c>
      <c r="I1189" s="7" t="n">
        <v>7</v>
      </c>
      <c r="J1189" s="16" t="n">
        <v>198.571428571429</v>
      </c>
      <c r="K1189" s="16"/>
      <c r="L1189" s="16" t="n">
        <v>208.333333333333</v>
      </c>
      <c r="M1189" s="16" t="n">
        <v>140</v>
      </c>
      <c r="N1189" s="19" t="n">
        <v>0.488095238095238</v>
      </c>
    </row>
    <row r="1190" customFormat="false" ht="15" hidden="false" customHeight="false" outlineLevel="0" collapsed="false">
      <c r="A1190" s="13" t="s">
        <v>3866</v>
      </c>
      <c r="B1190" s="13" t="s">
        <v>302</v>
      </c>
      <c r="C1190" s="13" t="s">
        <v>43</v>
      </c>
      <c r="D1190" s="13" t="s">
        <v>2422</v>
      </c>
      <c r="E1190" s="13" t="s">
        <v>1229</v>
      </c>
      <c r="F1190" s="13" t="n">
        <v>2</v>
      </c>
      <c r="G1190" s="13" t="n">
        <v>2</v>
      </c>
      <c r="H1190" s="5" t="n">
        <v>1370</v>
      </c>
      <c r="I1190" s="7" t="n">
        <v>3</v>
      </c>
      <c r="J1190" s="16" t="n">
        <v>456.666666666667</v>
      </c>
      <c r="K1190" s="16" t="n">
        <v>500</v>
      </c>
      <c r="L1190" s="16" t="n">
        <v>370</v>
      </c>
      <c r="M1190" s="16"/>
      <c r="N1190" s="19" t="n">
        <v>0.351351351351351</v>
      </c>
    </row>
    <row r="1191" customFormat="false" ht="15" hidden="false" customHeight="false" outlineLevel="0" collapsed="false">
      <c r="A1191" s="13" t="s">
        <v>3867</v>
      </c>
      <c r="B1191" s="13" t="s">
        <v>54</v>
      </c>
      <c r="C1191" s="13" t="s">
        <v>43</v>
      </c>
      <c r="D1191" s="13" t="s">
        <v>2324</v>
      </c>
      <c r="E1191" s="13" t="s">
        <v>1218</v>
      </c>
      <c r="F1191" s="13" t="n">
        <v>1</v>
      </c>
      <c r="G1191" s="13" t="n">
        <v>2</v>
      </c>
      <c r="H1191" s="5" t="n">
        <v>1370</v>
      </c>
      <c r="I1191" s="7" t="n">
        <v>3</v>
      </c>
      <c r="J1191" s="16" t="n">
        <v>456.666666666667</v>
      </c>
      <c r="K1191" s="16"/>
      <c r="L1191" s="16"/>
      <c r="M1191" s="16" t="n">
        <v>456.666666666667</v>
      </c>
      <c r="N1191" s="19"/>
    </row>
    <row r="1192" customFormat="false" ht="15" hidden="false" customHeight="false" outlineLevel="0" collapsed="false">
      <c r="A1192" s="13" t="s">
        <v>3868</v>
      </c>
      <c r="B1192" s="13" t="s">
        <v>2101</v>
      </c>
      <c r="C1192" s="13" t="s">
        <v>85</v>
      </c>
      <c r="D1192" s="13" t="s">
        <v>2324</v>
      </c>
      <c r="E1192" s="13" t="s">
        <v>3869</v>
      </c>
      <c r="F1192" s="13" t="n">
        <v>1</v>
      </c>
      <c r="G1192" s="13" t="n">
        <v>2</v>
      </c>
      <c r="H1192" s="5" t="n">
        <v>1320</v>
      </c>
      <c r="I1192" s="7" t="n">
        <v>22</v>
      </c>
      <c r="J1192" s="16" t="n">
        <v>60</v>
      </c>
      <c r="K1192" s="16" t="n">
        <v>60</v>
      </c>
      <c r="L1192" s="16"/>
      <c r="M1192" s="16"/>
      <c r="N1192" s="19"/>
    </row>
    <row r="1193" customFormat="false" ht="15" hidden="false" customHeight="false" outlineLevel="0" collapsed="false">
      <c r="A1193" s="13" t="s">
        <v>3870</v>
      </c>
      <c r="B1193" s="13" t="s">
        <v>124</v>
      </c>
      <c r="C1193" s="13" t="s">
        <v>43</v>
      </c>
      <c r="D1193" s="13" t="s">
        <v>2324</v>
      </c>
      <c r="E1193" s="13" t="s">
        <v>1372</v>
      </c>
      <c r="F1193" s="13" t="n">
        <v>1</v>
      </c>
      <c r="G1193" s="13" t="n">
        <v>2</v>
      </c>
      <c r="H1193" s="5" t="n">
        <v>1320</v>
      </c>
      <c r="I1193" s="7" t="n">
        <v>3</v>
      </c>
      <c r="J1193" s="16" t="n">
        <v>440</v>
      </c>
      <c r="K1193" s="16"/>
      <c r="L1193" s="16"/>
      <c r="M1193" s="16" t="n">
        <v>440</v>
      </c>
      <c r="N1193" s="19"/>
    </row>
    <row r="1194" customFormat="false" ht="15" hidden="false" customHeight="false" outlineLevel="0" collapsed="false">
      <c r="A1194" s="13" t="s">
        <v>3871</v>
      </c>
      <c r="B1194" s="13" t="s">
        <v>79</v>
      </c>
      <c r="C1194" s="13" t="s">
        <v>43</v>
      </c>
      <c r="D1194" s="13" t="s">
        <v>2324</v>
      </c>
      <c r="E1194" s="13" t="s">
        <v>1487</v>
      </c>
      <c r="F1194" s="13" t="n">
        <v>1</v>
      </c>
      <c r="G1194" s="13" t="n">
        <v>2</v>
      </c>
      <c r="H1194" s="5" t="n">
        <v>1320</v>
      </c>
      <c r="I1194" s="7" t="n">
        <v>2</v>
      </c>
      <c r="J1194" s="16" t="n">
        <v>660</v>
      </c>
      <c r="K1194" s="16"/>
      <c r="L1194" s="16" t="n">
        <v>660</v>
      </c>
      <c r="M1194" s="16"/>
      <c r="N1194" s="19"/>
    </row>
    <row r="1195" customFormat="false" ht="15" hidden="false" customHeight="false" outlineLevel="0" collapsed="false">
      <c r="A1195" s="13" t="s">
        <v>3872</v>
      </c>
      <c r="B1195" s="13" t="s">
        <v>329</v>
      </c>
      <c r="C1195" s="13" t="s">
        <v>43</v>
      </c>
      <c r="D1195" s="13" t="s">
        <v>2324</v>
      </c>
      <c r="E1195" s="13" t="s">
        <v>330</v>
      </c>
      <c r="F1195" s="13" t="n">
        <v>2</v>
      </c>
      <c r="G1195" s="13" t="n">
        <v>2</v>
      </c>
      <c r="H1195" s="5" t="n">
        <v>1300</v>
      </c>
      <c r="I1195" s="7" t="n">
        <v>3</v>
      </c>
      <c r="J1195" s="16" t="n">
        <v>433.333333333333</v>
      </c>
      <c r="K1195" s="16"/>
      <c r="L1195" s="16" t="n">
        <v>455</v>
      </c>
      <c r="M1195" s="16" t="n">
        <v>390</v>
      </c>
      <c r="N1195" s="19" t="n">
        <v>0.166666666666667</v>
      </c>
    </row>
    <row r="1196" customFormat="false" ht="15" hidden="false" customHeight="false" outlineLevel="0" collapsed="false">
      <c r="A1196" s="13" t="s">
        <v>3873</v>
      </c>
      <c r="B1196" s="13" t="s">
        <v>2237</v>
      </c>
      <c r="C1196" s="13" t="s">
        <v>140</v>
      </c>
      <c r="D1196" s="13" t="s">
        <v>2324</v>
      </c>
      <c r="E1196" s="13" t="s">
        <v>3874</v>
      </c>
      <c r="F1196" s="13" t="n">
        <v>1</v>
      </c>
      <c r="G1196" s="13" t="n">
        <v>1</v>
      </c>
      <c r="H1196" s="5" t="n">
        <v>1300</v>
      </c>
      <c r="I1196" s="7" t="n">
        <v>20</v>
      </c>
      <c r="J1196" s="16" t="n">
        <v>65</v>
      </c>
      <c r="K1196" s="16" t="n">
        <v>65</v>
      </c>
      <c r="L1196" s="16"/>
      <c r="M1196" s="16"/>
      <c r="N1196" s="19"/>
    </row>
    <row r="1197" customFormat="false" ht="15" hidden="false" customHeight="false" outlineLevel="0" collapsed="false">
      <c r="A1197" s="13" t="s">
        <v>3875</v>
      </c>
      <c r="B1197" s="13" t="s">
        <v>177</v>
      </c>
      <c r="C1197" s="13" t="s">
        <v>43</v>
      </c>
      <c r="D1197" s="13" t="s">
        <v>2324</v>
      </c>
      <c r="E1197" s="13" t="s">
        <v>1119</v>
      </c>
      <c r="F1197" s="13" t="n">
        <v>1</v>
      </c>
      <c r="G1197" s="13" t="n">
        <v>1</v>
      </c>
      <c r="H1197" s="5" t="n">
        <v>1300</v>
      </c>
      <c r="I1197" s="7" t="n">
        <v>2</v>
      </c>
      <c r="J1197" s="16" t="n">
        <v>650</v>
      </c>
      <c r="K1197" s="16"/>
      <c r="L1197" s="16"/>
      <c r="M1197" s="16" t="n">
        <v>650</v>
      </c>
      <c r="N1197" s="19"/>
    </row>
    <row r="1198" customFormat="false" ht="15" hidden="false" customHeight="false" outlineLevel="0" collapsed="false">
      <c r="A1198" s="13" t="s">
        <v>3876</v>
      </c>
      <c r="B1198" s="13" t="s">
        <v>2238</v>
      </c>
      <c r="C1198" s="13" t="s">
        <v>85</v>
      </c>
      <c r="D1198" s="13" t="s">
        <v>2324</v>
      </c>
      <c r="E1198" s="13" t="s">
        <v>3877</v>
      </c>
      <c r="F1198" s="13" t="n">
        <v>1</v>
      </c>
      <c r="G1198" s="13" t="n">
        <v>1</v>
      </c>
      <c r="H1198" s="5" t="n">
        <v>1300</v>
      </c>
      <c r="I1198" s="7" t="n">
        <v>2</v>
      </c>
      <c r="J1198" s="16" t="n">
        <v>650</v>
      </c>
      <c r="K1198" s="16" t="n">
        <v>650</v>
      </c>
      <c r="L1198" s="16"/>
      <c r="M1198" s="16"/>
      <c r="N1198" s="19"/>
    </row>
    <row r="1199" customFormat="false" ht="15" hidden="false" customHeight="false" outlineLevel="0" collapsed="false">
      <c r="A1199" s="13" t="s">
        <v>3878</v>
      </c>
      <c r="B1199" s="13" t="s">
        <v>2095</v>
      </c>
      <c r="C1199" s="13" t="s">
        <v>85</v>
      </c>
      <c r="D1199" s="13" t="s">
        <v>2324</v>
      </c>
      <c r="E1199" s="13" t="s">
        <v>3879</v>
      </c>
      <c r="F1199" s="13" t="n">
        <v>1</v>
      </c>
      <c r="G1199" s="13" t="n">
        <v>1</v>
      </c>
      <c r="H1199" s="5" t="n">
        <v>1300</v>
      </c>
      <c r="I1199" s="7" t="n">
        <v>10</v>
      </c>
      <c r="J1199" s="16" t="n">
        <v>130</v>
      </c>
      <c r="K1199" s="16" t="n">
        <v>130</v>
      </c>
      <c r="L1199" s="16"/>
      <c r="M1199" s="16"/>
      <c r="N1199" s="19"/>
    </row>
    <row r="1200" customFormat="false" ht="15" hidden="false" customHeight="false" outlineLevel="0" collapsed="false">
      <c r="A1200" s="13" t="s">
        <v>3880</v>
      </c>
      <c r="B1200" s="13" t="s">
        <v>50</v>
      </c>
      <c r="C1200" s="13" t="s">
        <v>43</v>
      </c>
      <c r="D1200" s="13" t="s">
        <v>2324</v>
      </c>
      <c r="E1200" s="13" t="s">
        <v>1125</v>
      </c>
      <c r="F1200" s="13" t="n">
        <v>1</v>
      </c>
      <c r="G1200" s="13" t="n">
        <v>1</v>
      </c>
      <c r="H1200" s="5" t="n">
        <v>1300</v>
      </c>
      <c r="I1200" s="7" t="n">
        <v>2</v>
      </c>
      <c r="J1200" s="16" t="n">
        <v>650</v>
      </c>
      <c r="K1200" s="16"/>
      <c r="L1200" s="16" t="n">
        <v>650</v>
      </c>
      <c r="M1200" s="16"/>
      <c r="N1200" s="19"/>
    </row>
    <row r="1201" customFormat="false" ht="15" hidden="false" customHeight="false" outlineLevel="0" collapsed="false">
      <c r="A1201" s="13" t="s">
        <v>3881</v>
      </c>
      <c r="B1201" s="13" t="s">
        <v>61</v>
      </c>
      <c r="C1201" s="13" t="s">
        <v>43</v>
      </c>
      <c r="D1201" s="13" t="s">
        <v>2339</v>
      </c>
      <c r="E1201" s="13" t="s">
        <v>1111</v>
      </c>
      <c r="F1201" s="13" t="n">
        <v>1</v>
      </c>
      <c r="G1201" s="13" t="n">
        <v>1</v>
      </c>
      <c r="H1201" s="5" t="n">
        <v>1300</v>
      </c>
      <c r="I1201" s="7" t="n">
        <v>2</v>
      </c>
      <c r="J1201" s="16" t="n">
        <v>650</v>
      </c>
      <c r="K1201" s="16"/>
      <c r="L1201" s="16"/>
      <c r="M1201" s="16" t="n">
        <v>650</v>
      </c>
      <c r="N1201" s="19"/>
    </row>
    <row r="1202" customFormat="false" ht="15" hidden="false" customHeight="false" outlineLevel="0" collapsed="false">
      <c r="A1202" s="13" t="s">
        <v>3882</v>
      </c>
      <c r="B1202" s="13" t="s">
        <v>61</v>
      </c>
      <c r="C1202" s="13" t="s">
        <v>43</v>
      </c>
      <c r="D1202" s="13" t="s">
        <v>2327</v>
      </c>
      <c r="E1202" s="13" t="s">
        <v>1137</v>
      </c>
      <c r="F1202" s="13" t="n">
        <v>1</v>
      </c>
      <c r="G1202" s="13" t="n">
        <v>1</v>
      </c>
      <c r="H1202" s="5" t="n">
        <v>1300</v>
      </c>
      <c r="I1202" s="7" t="n">
        <v>2</v>
      </c>
      <c r="J1202" s="16" t="n">
        <v>650</v>
      </c>
      <c r="K1202" s="16"/>
      <c r="L1202" s="16"/>
      <c r="M1202" s="16" t="n">
        <v>650</v>
      </c>
      <c r="N1202" s="19"/>
    </row>
    <row r="1203" customFormat="false" ht="15" hidden="false" customHeight="false" outlineLevel="0" collapsed="false">
      <c r="A1203" s="13" t="s">
        <v>3883</v>
      </c>
      <c r="B1203" s="13" t="s">
        <v>2139</v>
      </c>
      <c r="C1203" s="13" t="s">
        <v>43</v>
      </c>
      <c r="D1203" s="13" t="s">
        <v>2324</v>
      </c>
      <c r="E1203" s="13" t="s">
        <v>3884</v>
      </c>
      <c r="F1203" s="13" t="n">
        <v>1</v>
      </c>
      <c r="G1203" s="13" t="n">
        <v>1</v>
      </c>
      <c r="H1203" s="5" t="n">
        <v>1300</v>
      </c>
      <c r="I1203" s="7" t="n">
        <v>5</v>
      </c>
      <c r="J1203" s="16" t="n">
        <v>260</v>
      </c>
      <c r="K1203" s="16"/>
      <c r="L1203" s="16"/>
      <c r="M1203" s="16" t="n">
        <v>260</v>
      </c>
      <c r="N1203" s="19"/>
    </row>
    <row r="1204" customFormat="false" ht="15" hidden="false" customHeight="false" outlineLevel="0" collapsed="false">
      <c r="A1204" s="13" t="s">
        <v>3885</v>
      </c>
      <c r="B1204" s="13" t="s">
        <v>131</v>
      </c>
      <c r="C1204" s="13" t="s">
        <v>66</v>
      </c>
      <c r="D1204" s="13" t="s">
        <v>2324</v>
      </c>
      <c r="E1204" s="13" t="s">
        <v>1124</v>
      </c>
      <c r="F1204" s="13" t="n">
        <v>1</v>
      </c>
      <c r="G1204" s="13" t="n">
        <v>1</v>
      </c>
      <c r="H1204" s="5" t="n">
        <v>1300</v>
      </c>
      <c r="I1204" s="7" t="n">
        <v>5</v>
      </c>
      <c r="J1204" s="16" t="n">
        <v>260</v>
      </c>
      <c r="K1204" s="16" t="n">
        <v>260</v>
      </c>
      <c r="L1204" s="16"/>
      <c r="M1204" s="16"/>
      <c r="N1204" s="19"/>
    </row>
    <row r="1205" customFormat="false" ht="15" hidden="false" customHeight="false" outlineLevel="0" collapsed="false">
      <c r="A1205" s="13" t="s">
        <v>3886</v>
      </c>
      <c r="B1205" s="13" t="s">
        <v>315</v>
      </c>
      <c r="C1205" s="13" t="s">
        <v>43</v>
      </c>
      <c r="D1205" s="13" t="s">
        <v>2324</v>
      </c>
      <c r="E1205" s="13" t="s">
        <v>316</v>
      </c>
      <c r="F1205" s="13" t="n">
        <v>1</v>
      </c>
      <c r="G1205" s="13" t="n">
        <v>1</v>
      </c>
      <c r="H1205" s="5" t="n">
        <v>1300</v>
      </c>
      <c r="I1205" s="7" t="n">
        <v>2</v>
      </c>
      <c r="J1205" s="16" t="n">
        <v>650</v>
      </c>
      <c r="K1205" s="16"/>
      <c r="L1205" s="16"/>
      <c r="M1205" s="16" t="n">
        <v>650</v>
      </c>
      <c r="N1205" s="19"/>
    </row>
    <row r="1206" customFormat="false" ht="15" hidden="false" customHeight="false" outlineLevel="0" collapsed="false">
      <c r="A1206" s="13" t="s">
        <v>3887</v>
      </c>
      <c r="B1206" s="13" t="s">
        <v>2115</v>
      </c>
      <c r="C1206" s="13" t="s">
        <v>140</v>
      </c>
      <c r="D1206" s="13" t="s">
        <v>2324</v>
      </c>
      <c r="E1206" s="13" t="s">
        <v>3888</v>
      </c>
      <c r="F1206" s="13" t="n">
        <v>1</v>
      </c>
      <c r="G1206" s="13" t="n">
        <v>1</v>
      </c>
      <c r="H1206" s="5" t="n">
        <v>1300</v>
      </c>
      <c r="I1206" s="7" t="n">
        <v>20</v>
      </c>
      <c r="J1206" s="16" t="n">
        <v>65</v>
      </c>
      <c r="K1206" s="16" t="n">
        <v>65</v>
      </c>
      <c r="L1206" s="16"/>
      <c r="M1206" s="16"/>
      <c r="N1206" s="19"/>
    </row>
    <row r="1207" customFormat="false" ht="15" hidden="false" customHeight="false" outlineLevel="0" collapsed="false">
      <c r="A1207" s="13" t="s">
        <v>3889</v>
      </c>
      <c r="B1207" s="13" t="s">
        <v>2111</v>
      </c>
      <c r="C1207" s="13" t="s">
        <v>43</v>
      </c>
      <c r="D1207" s="13" t="s">
        <v>2324</v>
      </c>
      <c r="E1207" s="13" t="s">
        <v>3890</v>
      </c>
      <c r="F1207" s="13" t="n">
        <v>1</v>
      </c>
      <c r="G1207" s="13" t="n">
        <v>1</v>
      </c>
      <c r="H1207" s="5" t="n">
        <v>1300</v>
      </c>
      <c r="I1207" s="7" t="n">
        <v>2</v>
      </c>
      <c r="J1207" s="16" t="n">
        <v>650</v>
      </c>
      <c r="K1207" s="16"/>
      <c r="L1207" s="16" t="n">
        <v>650</v>
      </c>
      <c r="M1207" s="16"/>
      <c r="N1207" s="19"/>
    </row>
    <row r="1208" customFormat="false" ht="15" hidden="false" customHeight="false" outlineLevel="0" collapsed="false">
      <c r="A1208" s="13" t="s">
        <v>3891</v>
      </c>
      <c r="B1208" s="13" t="s">
        <v>54</v>
      </c>
      <c r="C1208" s="13" t="s">
        <v>43</v>
      </c>
      <c r="D1208" s="13" t="s">
        <v>2324</v>
      </c>
      <c r="E1208" s="13" t="s">
        <v>1113</v>
      </c>
      <c r="F1208" s="13" t="n">
        <v>1</v>
      </c>
      <c r="G1208" s="13" t="n">
        <v>1</v>
      </c>
      <c r="H1208" s="5" t="n">
        <v>1300</v>
      </c>
      <c r="I1208" s="7" t="n">
        <v>2</v>
      </c>
      <c r="J1208" s="16" t="n">
        <v>650</v>
      </c>
      <c r="K1208" s="16"/>
      <c r="L1208" s="16"/>
      <c r="M1208" s="16" t="n">
        <v>650</v>
      </c>
      <c r="N1208" s="19"/>
    </row>
    <row r="1209" customFormat="false" ht="15" hidden="false" customHeight="false" outlineLevel="0" collapsed="false">
      <c r="A1209" s="13" t="s">
        <v>3892</v>
      </c>
      <c r="B1209" s="13" t="s">
        <v>2109</v>
      </c>
      <c r="C1209" s="13" t="s">
        <v>183</v>
      </c>
      <c r="D1209" s="13" t="s">
        <v>2324</v>
      </c>
      <c r="E1209" s="13" t="s">
        <v>3893</v>
      </c>
      <c r="F1209" s="13" t="n">
        <v>1</v>
      </c>
      <c r="G1209" s="13" t="n">
        <v>1</v>
      </c>
      <c r="H1209" s="5" t="n">
        <v>1300</v>
      </c>
      <c r="I1209" s="7" t="n">
        <v>2</v>
      </c>
      <c r="J1209" s="16" t="n">
        <v>650</v>
      </c>
      <c r="K1209" s="16"/>
      <c r="L1209" s="16"/>
      <c r="M1209" s="16" t="n">
        <v>650</v>
      </c>
      <c r="N1209" s="19"/>
    </row>
    <row r="1210" customFormat="false" ht="15" hidden="false" customHeight="false" outlineLevel="0" collapsed="false">
      <c r="A1210" s="13" t="s">
        <v>3894</v>
      </c>
      <c r="B1210" s="13" t="s">
        <v>114</v>
      </c>
      <c r="C1210" s="13" t="s">
        <v>85</v>
      </c>
      <c r="D1210" s="13" t="s">
        <v>2324</v>
      </c>
      <c r="E1210" s="13" t="s">
        <v>1123</v>
      </c>
      <c r="F1210" s="13" t="n">
        <v>1</v>
      </c>
      <c r="G1210" s="13" t="n">
        <v>1</v>
      </c>
      <c r="H1210" s="5" t="n">
        <v>1300</v>
      </c>
      <c r="I1210" s="7" t="n">
        <v>5</v>
      </c>
      <c r="J1210" s="16" t="n">
        <v>260</v>
      </c>
      <c r="K1210" s="16" t="n">
        <v>260</v>
      </c>
      <c r="L1210" s="16"/>
      <c r="M1210" s="16"/>
      <c r="N1210" s="19"/>
    </row>
    <row r="1211" customFormat="false" ht="15" hidden="false" customHeight="false" outlineLevel="0" collapsed="false">
      <c r="A1211" s="13" t="s">
        <v>3895</v>
      </c>
      <c r="B1211" s="13" t="s">
        <v>2142</v>
      </c>
      <c r="C1211" s="13" t="s">
        <v>85</v>
      </c>
      <c r="D1211" s="13" t="s">
        <v>2324</v>
      </c>
      <c r="E1211" s="13" t="s">
        <v>3896</v>
      </c>
      <c r="F1211" s="13" t="n">
        <v>1</v>
      </c>
      <c r="G1211" s="13" t="n">
        <v>1</v>
      </c>
      <c r="H1211" s="5" t="n">
        <v>1300</v>
      </c>
      <c r="I1211" s="7" t="n">
        <v>30</v>
      </c>
      <c r="J1211" s="16" t="n">
        <v>43.3333333333333</v>
      </c>
      <c r="K1211" s="16" t="n">
        <v>43.3333333333333</v>
      </c>
      <c r="L1211" s="16"/>
      <c r="M1211" s="16"/>
      <c r="N1211" s="19"/>
    </row>
    <row r="1212" customFormat="false" ht="15" hidden="false" customHeight="false" outlineLevel="0" collapsed="false">
      <c r="A1212" s="13" t="s">
        <v>3897</v>
      </c>
      <c r="B1212" s="13" t="s">
        <v>2120</v>
      </c>
      <c r="C1212" s="13" t="s">
        <v>85</v>
      </c>
      <c r="D1212" s="13" t="s">
        <v>2324</v>
      </c>
      <c r="E1212" s="13" t="s">
        <v>3898</v>
      </c>
      <c r="F1212" s="13" t="n">
        <v>1</v>
      </c>
      <c r="G1212" s="13" t="n">
        <v>1</v>
      </c>
      <c r="H1212" s="5" t="n">
        <v>1300</v>
      </c>
      <c r="I1212" s="7" t="n">
        <v>2</v>
      </c>
      <c r="J1212" s="16" t="n">
        <v>650</v>
      </c>
      <c r="K1212" s="16"/>
      <c r="L1212" s="16" t="n">
        <v>650</v>
      </c>
      <c r="M1212" s="16"/>
      <c r="N1212" s="19"/>
    </row>
    <row r="1213" customFormat="false" ht="15" hidden="false" customHeight="false" outlineLevel="0" collapsed="false">
      <c r="A1213" s="13" t="s">
        <v>3899</v>
      </c>
      <c r="B1213" s="13" t="s">
        <v>72</v>
      </c>
      <c r="C1213" s="13" t="s">
        <v>43</v>
      </c>
      <c r="D1213" s="13" t="s">
        <v>2324</v>
      </c>
      <c r="E1213" s="13" t="s">
        <v>1110</v>
      </c>
      <c r="F1213" s="13" t="n">
        <v>1</v>
      </c>
      <c r="G1213" s="13" t="n">
        <v>1</v>
      </c>
      <c r="H1213" s="5" t="n">
        <v>1300</v>
      </c>
      <c r="I1213" s="7" t="n">
        <v>2</v>
      </c>
      <c r="J1213" s="16" t="n">
        <v>650</v>
      </c>
      <c r="K1213" s="16"/>
      <c r="L1213" s="16"/>
      <c r="M1213" s="16" t="n">
        <v>650</v>
      </c>
      <c r="N1213" s="19"/>
    </row>
    <row r="1214" customFormat="false" ht="15" hidden="false" customHeight="false" outlineLevel="0" collapsed="false">
      <c r="A1214" s="13" t="s">
        <v>3900</v>
      </c>
      <c r="B1214" s="13" t="s">
        <v>2096</v>
      </c>
      <c r="C1214" s="13" t="s">
        <v>43</v>
      </c>
      <c r="D1214" s="13" t="s">
        <v>2324</v>
      </c>
      <c r="E1214" s="13" t="s">
        <v>3901</v>
      </c>
      <c r="F1214" s="13" t="n">
        <v>1</v>
      </c>
      <c r="G1214" s="13" t="n">
        <v>1</v>
      </c>
      <c r="H1214" s="5" t="n">
        <v>1300</v>
      </c>
      <c r="I1214" s="7" t="n">
        <v>20</v>
      </c>
      <c r="J1214" s="16" t="n">
        <v>65</v>
      </c>
      <c r="K1214" s="16" t="n">
        <v>65</v>
      </c>
      <c r="L1214" s="16"/>
      <c r="M1214" s="16"/>
      <c r="N1214" s="19"/>
    </row>
    <row r="1215" customFormat="false" ht="15" hidden="false" customHeight="false" outlineLevel="0" collapsed="false">
      <c r="A1215" s="13" t="s">
        <v>3902</v>
      </c>
      <c r="B1215" s="13" t="s">
        <v>2155</v>
      </c>
      <c r="C1215" s="13" t="s">
        <v>85</v>
      </c>
      <c r="D1215" s="13" t="s">
        <v>2324</v>
      </c>
      <c r="E1215" s="13" t="s">
        <v>3903</v>
      </c>
      <c r="F1215" s="13" t="n">
        <v>1</v>
      </c>
      <c r="G1215" s="13" t="n">
        <v>1</v>
      </c>
      <c r="H1215" s="5" t="n">
        <v>1300</v>
      </c>
      <c r="I1215" s="7" t="n">
        <v>10</v>
      </c>
      <c r="J1215" s="16" t="n">
        <v>130</v>
      </c>
      <c r="K1215" s="16"/>
      <c r="L1215" s="16"/>
      <c r="M1215" s="16" t="n">
        <v>130</v>
      </c>
      <c r="N1215" s="19"/>
    </row>
    <row r="1216" customFormat="false" ht="15" hidden="false" customHeight="false" outlineLevel="0" collapsed="false">
      <c r="A1216" s="13" t="s">
        <v>3904</v>
      </c>
      <c r="B1216" s="13" t="s">
        <v>286</v>
      </c>
      <c r="C1216" s="13" t="s">
        <v>43</v>
      </c>
      <c r="D1216" s="13" t="s">
        <v>2339</v>
      </c>
      <c r="E1216" s="13" t="s">
        <v>1128</v>
      </c>
      <c r="F1216" s="13" t="n">
        <v>1</v>
      </c>
      <c r="G1216" s="13" t="n">
        <v>1</v>
      </c>
      <c r="H1216" s="5" t="n">
        <v>1300</v>
      </c>
      <c r="I1216" s="7" t="n">
        <v>5</v>
      </c>
      <c r="J1216" s="16" t="n">
        <v>260</v>
      </c>
      <c r="K1216" s="16"/>
      <c r="L1216" s="16" t="n">
        <v>260</v>
      </c>
      <c r="M1216" s="16"/>
      <c r="N1216" s="19"/>
    </row>
    <row r="1217" customFormat="false" ht="15" hidden="false" customHeight="false" outlineLevel="0" collapsed="false">
      <c r="A1217" s="13" t="s">
        <v>3905</v>
      </c>
      <c r="B1217" s="13" t="s">
        <v>362</v>
      </c>
      <c r="C1217" s="13" t="s">
        <v>43</v>
      </c>
      <c r="D1217" s="13" t="s">
        <v>2324</v>
      </c>
      <c r="E1217" s="13" t="s">
        <v>1117</v>
      </c>
      <c r="F1217" s="13" t="n">
        <v>1</v>
      </c>
      <c r="G1217" s="13" t="n">
        <v>1</v>
      </c>
      <c r="H1217" s="5" t="n">
        <v>1300</v>
      </c>
      <c r="I1217" s="7" t="n">
        <v>2</v>
      </c>
      <c r="J1217" s="16" t="n">
        <v>650</v>
      </c>
      <c r="K1217" s="16"/>
      <c r="L1217" s="16"/>
      <c r="M1217" s="16" t="n">
        <v>650</v>
      </c>
      <c r="N1217" s="19"/>
    </row>
    <row r="1218" customFormat="false" ht="15" hidden="false" customHeight="false" outlineLevel="0" collapsed="false">
      <c r="A1218" s="13" t="s">
        <v>3906</v>
      </c>
      <c r="B1218" s="13" t="s">
        <v>65</v>
      </c>
      <c r="C1218" s="13" t="s">
        <v>66</v>
      </c>
      <c r="D1218" s="13" t="s">
        <v>2324</v>
      </c>
      <c r="E1218" s="13" t="s">
        <v>1122</v>
      </c>
      <c r="F1218" s="13" t="n">
        <v>1</v>
      </c>
      <c r="G1218" s="13" t="n">
        <v>1</v>
      </c>
      <c r="H1218" s="5" t="n">
        <v>1300</v>
      </c>
      <c r="I1218" s="7" t="n">
        <v>5</v>
      </c>
      <c r="J1218" s="16" t="n">
        <v>260</v>
      </c>
      <c r="K1218" s="16" t="n">
        <v>260</v>
      </c>
      <c r="L1218" s="16"/>
      <c r="M1218" s="16"/>
      <c r="N1218" s="19"/>
    </row>
    <row r="1219" customFormat="false" ht="15" hidden="false" customHeight="false" outlineLevel="0" collapsed="false">
      <c r="A1219" s="13" t="s">
        <v>3907</v>
      </c>
      <c r="B1219" s="13" t="s">
        <v>2198</v>
      </c>
      <c r="C1219" s="13" t="s">
        <v>85</v>
      </c>
      <c r="D1219" s="13" t="s">
        <v>2324</v>
      </c>
      <c r="E1219" s="13" t="s">
        <v>3908</v>
      </c>
      <c r="F1219" s="13" t="n">
        <v>1</v>
      </c>
      <c r="G1219" s="13" t="n">
        <v>2</v>
      </c>
      <c r="H1219" s="5" t="n">
        <v>1290</v>
      </c>
      <c r="I1219" s="7" t="n">
        <v>4</v>
      </c>
      <c r="J1219" s="16" t="n">
        <v>322.5</v>
      </c>
      <c r="K1219" s="16"/>
      <c r="L1219" s="16" t="n">
        <v>322.5</v>
      </c>
      <c r="M1219" s="16"/>
      <c r="N1219" s="19"/>
    </row>
    <row r="1220" customFormat="false" ht="15" hidden="false" customHeight="false" outlineLevel="0" collapsed="false">
      <c r="A1220" s="13" t="s">
        <v>3909</v>
      </c>
      <c r="B1220" s="13" t="s">
        <v>107</v>
      </c>
      <c r="C1220" s="13" t="s">
        <v>183</v>
      </c>
      <c r="D1220" s="13" t="s">
        <v>2324</v>
      </c>
      <c r="E1220" s="13" t="s">
        <v>1245</v>
      </c>
      <c r="F1220" s="13" t="n">
        <v>1</v>
      </c>
      <c r="G1220" s="13" t="n">
        <v>2</v>
      </c>
      <c r="H1220" s="5" t="n">
        <v>1290</v>
      </c>
      <c r="I1220" s="7" t="n">
        <v>3</v>
      </c>
      <c r="J1220" s="16" t="n">
        <v>430</v>
      </c>
      <c r="K1220" s="16"/>
      <c r="L1220" s="16"/>
      <c r="M1220" s="16" t="n">
        <v>430</v>
      </c>
      <c r="N1220" s="19"/>
    </row>
    <row r="1221" customFormat="false" ht="15" hidden="false" customHeight="false" outlineLevel="0" collapsed="false">
      <c r="A1221" s="13" t="s">
        <v>3910</v>
      </c>
      <c r="B1221" s="13" t="s">
        <v>54</v>
      </c>
      <c r="C1221" s="13" t="s">
        <v>43</v>
      </c>
      <c r="D1221" s="13" t="s">
        <v>2324</v>
      </c>
      <c r="E1221" s="13" t="s">
        <v>1257</v>
      </c>
      <c r="F1221" s="13" t="n">
        <v>1</v>
      </c>
      <c r="G1221" s="13" t="n">
        <v>2</v>
      </c>
      <c r="H1221" s="5" t="n">
        <v>1280</v>
      </c>
      <c r="I1221" s="7" t="n">
        <v>3</v>
      </c>
      <c r="J1221" s="16" t="n">
        <v>426.666666666667</v>
      </c>
      <c r="K1221" s="16"/>
      <c r="L1221" s="16"/>
      <c r="M1221" s="16" t="n">
        <v>426.666666666667</v>
      </c>
      <c r="N1221" s="19"/>
    </row>
    <row r="1222" customFormat="false" ht="15" hidden="false" customHeight="false" outlineLevel="0" collapsed="false">
      <c r="A1222" s="13" t="s">
        <v>3911</v>
      </c>
      <c r="B1222" s="13" t="s">
        <v>315</v>
      </c>
      <c r="C1222" s="13" t="s">
        <v>43</v>
      </c>
      <c r="D1222" s="13" t="s">
        <v>2324</v>
      </c>
      <c r="E1222" s="13" t="s">
        <v>316</v>
      </c>
      <c r="F1222" s="13" t="n">
        <v>1</v>
      </c>
      <c r="G1222" s="13" t="n">
        <v>2</v>
      </c>
      <c r="H1222" s="5" t="n">
        <v>1270</v>
      </c>
      <c r="I1222" s="7" t="n">
        <v>3</v>
      </c>
      <c r="J1222" s="16" t="n">
        <v>423.333333333333</v>
      </c>
      <c r="K1222" s="16"/>
      <c r="L1222" s="16"/>
      <c r="M1222" s="16" t="n">
        <v>423.333333333333</v>
      </c>
      <c r="N1222" s="19"/>
    </row>
    <row r="1223" customFormat="false" ht="15" hidden="false" customHeight="false" outlineLevel="0" collapsed="false">
      <c r="A1223" s="13" t="s">
        <v>3912</v>
      </c>
      <c r="B1223" s="13" t="s">
        <v>2232</v>
      </c>
      <c r="C1223" s="13" t="s">
        <v>43</v>
      </c>
      <c r="D1223" s="13" t="s">
        <v>2339</v>
      </c>
      <c r="E1223" s="13" t="s">
        <v>3913</v>
      </c>
      <c r="F1223" s="13" t="n">
        <v>1</v>
      </c>
      <c r="G1223" s="13" t="n">
        <v>3</v>
      </c>
      <c r="H1223" s="5" t="n">
        <v>1260</v>
      </c>
      <c r="I1223" s="7" t="n">
        <v>5</v>
      </c>
      <c r="J1223" s="16" t="n">
        <v>252</v>
      </c>
      <c r="K1223" s="16"/>
      <c r="L1223" s="16" t="n">
        <v>252</v>
      </c>
      <c r="M1223" s="16"/>
      <c r="N1223" s="19"/>
    </row>
    <row r="1224" customFormat="false" ht="15" hidden="false" customHeight="false" outlineLevel="0" collapsed="false">
      <c r="A1224" s="13" t="s">
        <v>3914</v>
      </c>
      <c r="B1224" s="13" t="s">
        <v>61</v>
      </c>
      <c r="C1224" s="13" t="s">
        <v>43</v>
      </c>
      <c r="D1224" s="13" t="s">
        <v>3005</v>
      </c>
      <c r="E1224" s="13" t="s">
        <v>1516</v>
      </c>
      <c r="F1224" s="13" t="n">
        <v>1</v>
      </c>
      <c r="G1224" s="13" t="n">
        <v>2</v>
      </c>
      <c r="H1224" s="5" t="n">
        <v>1260</v>
      </c>
      <c r="I1224" s="7" t="n">
        <v>2</v>
      </c>
      <c r="J1224" s="16" t="n">
        <v>630</v>
      </c>
      <c r="K1224" s="16"/>
      <c r="L1224" s="16"/>
      <c r="M1224" s="16" t="n">
        <v>630</v>
      </c>
      <c r="N1224" s="19"/>
    </row>
    <row r="1225" customFormat="false" ht="15" hidden="false" customHeight="false" outlineLevel="0" collapsed="false">
      <c r="A1225" s="13" t="s">
        <v>3915</v>
      </c>
      <c r="B1225" s="13" t="s">
        <v>195</v>
      </c>
      <c r="C1225" s="13" t="s">
        <v>43</v>
      </c>
      <c r="D1225" s="13" t="s">
        <v>2324</v>
      </c>
      <c r="E1225" s="13" t="s">
        <v>1491</v>
      </c>
      <c r="F1225" s="13" t="n">
        <v>1</v>
      </c>
      <c r="G1225" s="13" t="n">
        <v>2</v>
      </c>
      <c r="H1225" s="5" t="n">
        <v>1260</v>
      </c>
      <c r="I1225" s="7" t="n">
        <v>2</v>
      </c>
      <c r="J1225" s="16" t="n">
        <v>630</v>
      </c>
      <c r="K1225" s="16"/>
      <c r="L1225" s="16"/>
      <c r="M1225" s="16" t="n">
        <v>630</v>
      </c>
      <c r="N1225" s="19"/>
    </row>
    <row r="1226" customFormat="false" ht="15" hidden="false" customHeight="false" outlineLevel="0" collapsed="false">
      <c r="A1226" s="13" t="s">
        <v>3916</v>
      </c>
      <c r="B1226" s="13" t="s">
        <v>2181</v>
      </c>
      <c r="C1226" s="13" t="s">
        <v>43</v>
      </c>
      <c r="D1226" s="13" t="s">
        <v>2324</v>
      </c>
      <c r="E1226" s="13" t="s">
        <v>3917</v>
      </c>
      <c r="F1226" s="13" t="n">
        <v>1</v>
      </c>
      <c r="G1226" s="13" t="n">
        <v>2</v>
      </c>
      <c r="H1226" s="5" t="n">
        <v>1250</v>
      </c>
      <c r="I1226" s="7" t="n">
        <v>2</v>
      </c>
      <c r="J1226" s="16" t="n">
        <v>625</v>
      </c>
      <c r="K1226" s="16"/>
      <c r="L1226" s="16"/>
      <c r="M1226" s="16" t="n">
        <v>625</v>
      </c>
      <c r="N1226" s="19"/>
    </row>
    <row r="1227" customFormat="false" ht="15" hidden="false" customHeight="false" outlineLevel="0" collapsed="false">
      <c r="A1227" s="13" t="s">
        <v>3918</v>
      </c>
      <c r="B1227" s="13" t="s">
        <v>50</v>
      </c>
      <c r="C1227" s="13" t="s">
        <v>43</v>
      </c>
      <c r="D1227" s="13" t="s">
        <v>2324</v>
      </c>
      <c r="E1227" s="13" t="s">
        <v>1225</v>
      </c>
      <c r="F1227" s="13" t="n">
        <v>2</v>
      </c>
      <c r="G1227" s="13" t="n">
        <v>2</v>
      </c>
      <c r="H1227" s="5" t="n">
        <v>1240</v>
      </c>
      <c r="I1227" s="7" t="n">
        <v>3</v>
      </c>
      <c r="J1227" s="16" t="n">
        <v>413.333333333333</v>
      </c>
      <c r="K1227" s="16"/>
      <c r="L1227" s="16" t="n">
        <v>240</v>
      </c>
      <c r="M1227" s="16" t="n">
        <v>500</v>
      </c>
      <c r="N1227" s="19" t="n">
        <v>1.08333333333333</v>
      </c>
    </row>
    <row r="1228" customFormat="false" ht="15" hidden="false" customHeight="false" outlineLevel="0" collapsed="false">
      <c r="A1228" s="13" t="s">
        <v>3919</v>
      </c>
      <c r="B1228" s="13" t="s">
        <v>490</v>
      </c>
      <c r="C1228" s="13" t="s">
        <v>43</v>
      </c>
      <c r="D1228" s="13" t="s">
        <v>2324</v>
      </c>
      <c r="E1228" s="13" t="s">
        <v>1357</v>
      </c>
      <c r="F1228" s="13" t="n">
        <v>1</v>
      </c>
      <c r="G1228" s="13" t="n">
        <v>2</v>
      </c>
      <c r="H1228" s="5" t="n">
        <v>1230</v>
      </c>
      <c r="I1228" s="7" t="n">
        <v>4</v>
      </c>
      <c r="J1228" s="16" t="n">
        <v>307.5</v>
      </c>
      <c r="K1228" s="16"/>
      <c r="L1228" s="16"/>
      <c r="M1228" s="16" t="n">
        <v>307.5</v>
      </c>
      <c r="N1228" s="19"/>
    </row>
    <row r="1229" customFormat="false" ht="15" hidden="false" customHeight="false" outlineLevel="0" collapsed="false">
      <c r="A1229" s="13" t="s">
        <v>3920</v>
      </c>
      <c r="B1229" s="13" t="s">
        <v>2263</v>
      </c>
      <c r="C1229" s="13" t="s">
        <v>85</v>
      </c>
      <c r="D1229" s="13" t="s">
        <v>2324</v>
      </c>
      <c r="E1229" s="13" t="s">
        <v>3921</v>
      </c>
      <c r="F1229" s="13" t="n">
        <v>1</v>
      </c>
      <c r="G1229" s="13" t="n">
        <v>2</v>
      </c>
      <c r="H1229" s="5" t="n">
        <v>1230</v>
      </c>
      <c r="I1229" s="7" t="n">
        <v>30</v>
      </c>
      <c r="J1229" s="16" t="n">
        <v>41</v>
      </c>
      <c r="K1229" s="16" t="n">
        <v>41</v>
      </c>
      <c r="L1229" s="16"/>
      <c r="M1229" s="16"/>
      <c r="N1229" s="19"/>
    </row>
    <row r="1230" customFormat="false" ht="15" hidden="false" customHeight="false" outlineLevel="0" collapsed="false">
      <c r="A1230" s="13" t="s">
        <v>3922</v>
      </c>
      <c r="B1230" s="13" t="s">
        <v>2201</v>
      </c>
      <c r="C1230" s="13" t="s">
        <v>43</v>
      </c>
      <c r="D1230" s="13" t="s">
        <v>2324</v>
      </c>
      <c r="E1230" s="13" t="s">
        <v>3923</v>
      </c>
      <c r="F1230" s="13" t="n">
        <v>1</v>
      </c>
      <c r="G1230" s="13" t="n">
        <v>2</v>
      </c>
      <c r="H1230" s="5" t="n">
        <v>1230</v>
      </c>
      <c r="I1230" s="7" t="n">
        <v>6</v>
      </c>
      <c r="J1230" s="16" t="n">
        <v>205</v>
      </c>
      <c r="K1230" s="16"/>
      <c r="L1230" s="16"/>
      <c r="M1230" s="16" t="n">
        <v>205</v>
      </c>
      <c r="N1230" s="19"/>
    </row>
    <row r="1231" customFormat="false" ht="15" hidden="false" customHeight="false" outlineLevel="0" collapsed="false">
      <c r="A1231" s="13" t="s">
        <v>3924</v>
      </c>
      <c r="B1231" s="13" t="s">
        <v>111</v>
      </c>
      <c r="C1231" s="13" t="s">
        <v>43</v>
      </c>
      <c r="D1231" s="13" t="s">
        <v>2339</v>
      </c>
      <c r="E1231" s="13" t="s">
        <v>1356</v>
      </c>
      <c r="F1231" s="13" t="n">
        <v>1</v>
      </c>
      <c r="G1231" s="13" t="n">
        <v>2</v>
      </c>
      <c r="H1231" s="5" t="n">
        <v>1220</v>
      </c>
      <c r="I1231" s="7" t="n">
        <v>3</v>
      </c>
      <c r="J1231" s="16" t="n">
        <v>406.666666666667</v>
      </c>
      <c r="K1231" s="16"/>
      <c r="L1231" s="16" t="n">
        <v>406.666666666667</v>
      </c>
      <c r="M1231" s="16"/>
      <c r="N1231" s="19"/>
    </row>
    <row r="1232" customFormat="false" ht="15" hidden="false" customHeight="false" outlineLevel="0" collapsed="false">
      <c r="A1232" s="13" t="s">
        <v>3925</v>
      </c>
      <c r="B1232" s="13" t="s">
        <v>362</v>
      </c>
      <c r="C1232" s="13" t="s">
        <v>43</v>
      </c>
      <c r="D1232" s="13" t="s">
        <v>2337</v>
      </c>
      <c r="E1232" s="13" t="s">
        <v>1546</v>
      </c>
      <c r="F1232" s="13" t="n">
        <v>1</v>
      </c>
      <c r="G1232" s="13" t="n">
        <v>2</v>
      </c>
      <c r="H1232" s="5" t="n">
        <v>1210</v>
      </c>
      <c r="I1232" s="7" t="n">
        <v>2</v>
      </c>
      <c r="J1232" s="16" t="n">
        <v>605</v>
      </c>
      <c r="K1232" s="16"/>
      <c r="L1232" s="16" t="n">
        <v>605</v>
      </c>
      <c r="M1232" s="16"/>
      <c r="N1232" s="19"/>
    </row>
    <row r="1233" customFormat="false" ht="15" hidden="false" customHeight="false" outlineLevel="0" collapsed="false">
      <c r="A1233" s="13" t="s">
        <v>3926</v>
      </c>
      <c r="B1233" s="13" t="s">
        <v>2139</v>
      </c>
      <c r="C1233" s="13" t="s">
        <v>43</v>
      </c>
      <c r="D1233" s="13" t="s">
        <v>2324</v>
      </c>
      <c r="E1233" s="13" t="s">
        <v>3927</v>
      </c>
      <c r="F1233" s="13" t="n">
        <v>1</v>
      </c>
      <c r="G1233" s="13" t="n">
        <v>1</v>
      </c>
      <c r="H1233" s="5" t="n">
        <v>1200</v>
      </c>
      <c r="I1233" s="7" t="n">
        <v>10</v>
      </c>
      <c r="J1233" s="16" t="n">
        <v>120</v>
      </c>
      <c r="K1233" s="16"/>
      <c r="L1233" s="16"/>
      <c r="M1233" s="16" t="n">
        <v>120</v>
      </c>
      <c r="N1233" s="19"/>
    </row>
    <row r="1234" customFormat="false" ht="15" hidden="false" customHeight="false" outlineLevel="0" collapsed="false">
      <c r="A1234" s="13" t="s">
        <v>3928</v>
      </c>
      <c r="B1234" s="13" t="s">
        <v>2096</v>
      </c>
      <c r="C1234" s="13" t="s">
        <v>43</v>
      </c>
      <c r="D1234" s="13" t="s">
        <v>2324</v>
      </c>
      <c r="E1234" s="13" t="s">
        <v>3929</v>
      </c>
      <c r="F1234" s="13" t="n">
        <v>1</v>
      </c>
      <c r="G1234" s="13" t="n">
        <v>1</v>
      </c>
      <c r="H1234" s="5" t="n">
        <v>1200</v>
      </c>
      <c r="I1234" s="7" t="n">
        <v>20</v>
      </c>
      <c r="J1234" s="16" t="n">
        <v>60</v>
      </c>
      <c r="K1234" s="16" t="n">
        <v>60</v>
      </c>
      <c r="L1234" s="16"/>
      <c r="M1234" s="16"/>
      <c r="N1234" s="19"/>
    </row>
    <row r="1235" customFormat="false" ht="15" hidden="false" customHeight="false" outlineLevel="0" collapsed="false">
      <c r="A1235" s="13" t="s">
        <v>3930</v>
      </c>
      <c r="B1235" s="13" t="s">
        <v>61</v>
      </c>
      <c r="C1235" s="13" t="s">
        <v>43</v>
      </c>
      <c r="D1235" s="13" t="s">
        <v>2324</v>
      </c>
      <c r="E1235" s="13" t="s">
        <v>1148</v>
      </c>
      <c r="F1235" s="13" t="n">
        <v>1</v>
      </c>
      <c r="G1235" s="13" t="n">
        <v>1</v>
      </c>
      <c r="H1235" s="5" t="n">
        <v>1200</v>
      </c>
      <c r="I1235" s="7" t="n">
        <v>2</v>
      </c>
      <c r="J1235" s="16" t="n">
        <v>600</v>
      </c>
      <c r="K1235" s="16"/>
      <c r="L1235" s="16"/>
      <c r="M1235" s="16" t="n">
        <v>600</v>
      </c>
      <c r="N1235" s="19"/>
    </row>
    <row r="1236" customFormat="false" ht="15" hidden="false" customHeight="false" outlineLevel="0" collapsed="false">
      <c r="A1236" s="13" t="s">
        <v>3931</v>
      </c>
      <c r="B1236" s="13" t="s">
        <v>2206</v>
      </c>
      <c r="C1236" s="13" t="s">
        <v>85</v>
      </c>
      <c r="D1236" s="13" t="s">
        <v>2324</v>
      </c>
      <c r="E1236" s="13" t="s">
        <v>3932</v>
      </c>
      <c r="F1236" s="13" t="n">
        <v>1</v>
      </c>
      <c r="G1236" s="13" t="n">
        <v>1</v>
      </c>
      <c r="H1236" s="5" t="n">
        <v>1200</v>
      </c>
      <c r="I1236" s="7" t="n">
        <v>5</v>
      </c>
      <c r="J1236" s="16" t="n">
        <v>240</v>
      </c>
      <c r="K1236" s="16" t="n">
        <v>240</v>
      </c>
      <c r="L1236" s="16"/>
      <c r="M1236" s="16"/>
      <c r="N1236" s="19"/>
    </row>
    <row r="1237" customFormat="false" ht="15" hidden="false" customHeight="false" outlineLevel="0" collapsed="false">
      <c r="A1237" s="13" t="s">
        <v>3933</v>
      </c>
      <c r="B1237" s="13" t="s">
        <v>179</v>
      </c>
      <c r="C1237" s="13" t="s">
        <v>85</v>
      </c>
      <c r="D1237" s="13" t="s">
        <v>2324</v>
      </c>
      <c r="E1237" s="13" t="s">
        <v>1145</v>
      </c>
      <c r="F1237" s="13" t="n">
        <v>1</v>
      </c>
      <c r="G1237" s="13" t="n">
        <v>1</v>
      </c>
      <c r="H1237" s="5" t="n">
        <v>1200</v>
      </c>
      <c r="I1237" s="7" t="n">
        <v>20</v>
      </c>
      <c r="J1237" s="16" t="n">
        <v>60</v>
      </c>
      <c r="K1237" s="16" t="n">
        <v>60</v>
      </c>
      <c r="L1237" s="16"/>
      <c r="M1237" s="16"/>
      <c r="N1237" s="19"/>
    </row>
    <row r="1238" customFormat="false" ht="15" hidden="false" customHeight="false" outlineLevel="0" collapsed="false">
      <c r="A1238" s="13" t="s">
        <v>3934</v>
      </c>
      <c r="B1238" s="13" t="s">
        <v>121</v>
      </c>
      <c r="C1238" s="13" t="s">
        <v>43</v>
      </c>
      <c r="D1238" s="13" t="s">
        <v>2324</v>
      </c>
      <c r="E1238" s="13" t="s">
        <v>1165</v>
      </c>
      <c r="F1238" s="13" t="n">
        <v>1</v>
      </c>
      <c r="G1238" s="13" t="n">
        <v>1</v>
      </c>
      <c r="H1238" s="5" t="n">
        <v>1200</v>
      </c>
      <c r="I1238" s="7" t="n">
        <v>5</v>
      </c>
      <c r="J1238" s="16" t="n">
        <v>240</v>
      </c>
      <c r="K1238" s="16"/>
      <c r="L1238" s="16"/>
      <c r="M1238" s="16" t="n">
        <v>240</v>
      </c>
      <c r="N1238" s="19"/>
    </row>
    <row r="1239" customFormat="false" ht="15" hidden="false" customHeight="false" outlineLevel="0" collapsed="false">
      <c r="A1239" s="13" t="s">
        <v>3935</v>
      </c>
      <c r="B1239" s="13" t="s">
        <v>365</v>
      </c>
      <c r="C1239" s="13" t="s">
        <v>43</v>
      </c>
      <c r="D1239" s="13" t="s">
        <v>2339</v>
      </c>
      <c r="E1239" s="13" t="s">
        <v>1154</v>
      </c>
      <c r="F1239" s="13" t="n">
        <v>1</v>
      </c>
      <c r="G1239" s="13" t="n">
        <v>1</v>
      </c>
      <c r="H1239" s="5" t="n">
        <v>1200</v>
      </c>
      <c r="I1239" s="7" t="n">
        <v>2</v>
      </c>
      <c r="J1239" s="16" t="n">
        <v>600</v>
      </c>
      <c r="K1239" s="16"/>
      <c r="L1239" s="16" t="n">
        <v>600</v>
      </c>
      <c r="M1239" s="16"/>
      <c r="N1239" s="19"/>
    </row>
    <row r="1240" customFormat="false" ht="15" hidden="false" customHeight="false" outlineLevel="0" collapsed="false">
      <c r="A1240" s="13" t="s">
        <v>3936</v>
      </c>
      <c r="B1240" s="13" t="s">
        <v>69</v>
      </c>
      <c r="C1240" s="13" t="s">
        <v>43</v>
      </c>
      <c r="D1240" s="13" t="s">
        <v>2324</v>
      </c>
      <c r="E1240" s="13" t="s">
        <v>109</v>
      </c>
      <c r="F1240" s="13" t="n">
        <v>1</v>
      </c>
      <c r="G1240" s="13" t="n">
        <v>1</v>
      </c>
      <c r="H1240" s="5" t="n">
        <v>1200</v>
      </c>
      <c r="I1240" s="7" t="n">
        <v>2</v>
      </c>
      <c r="J1240" s="16" t="n">
        <v>600</v>
      </c>
      <c r="K1240" s="16"/>
      <c r="L1240" s="16"/>
      <c r="M1240" s="16" t="n">
        <v>600</v>
      </c>
      <c r="N1240" s="19"/>
    </row>
    <row r="1241" customFormat="false" ht="15" hidden="false" customHeight="false" outlineLevel="0" collapsed="false">
      <c r="A1241" s="13" t="s">
        <v>3937</v>
      </c>
      <c r="B1241" s="13" t="s">
        <v>79</v>
      </c>
      <c r="C1241" s="13" t="s">
        <v>43</v>
      </c>
      <c r="D1241" s="13" t="s">
        <v>2324</v>
      </c>
      <c r="E1241" s="13" t="s">
        <v>1143</v>
      </c>
      <c r="F1241" s="13" t="n">
        <v>1</v>
      </c>
      <c r="G1241" s="13" t="n">
        <v>1</v>
      </c>
      <c r="H1241" s="5" t="n">
        <v>1200</v>
      </c>
      <c r="I1241" s="7" t="n">
        <v>2</v>
      </c>
      <c r="J1241" s="16" t="n">
        <v>600</v>
      </c>
      <c r="K1241" s="16"/>
      <c r="L1241" s="16" t="n">
        <v>600</v>
      </c>
      <c r="M1241" s="16"/>
      <c r="N1241" s="19"/>
    </row>
    <row r="1242" customFormat="false" ht="15" hidden="false" customHeight="false" outlineLevel="0" collapsed="false">
      <c r="A1242" s="13" t="s">
        <v>3938</v>
      </c>
      <c r="B1242" s="13" t="s">
        <v>92</v>
      </c>
      <c r="C1242" s="13" t="s">
        <v>43</v>
      </c>
      <c r="D1242" s="13" t="s">
        <v>2500</v>
      </c>
      <c r="E1242" s="13" t="s">
        <v>1164</v>
      </c>
      <c r="F1242" s="13" t="n">
        <v>1</v>
      </c>
      <c r="G1242" s="13" t="n">
        <v>1</v>
      </c>
      <c r="H1242" s="5" t="n">
        <v>1200</v>
      </c>
      <c r="I1242" s="7" t="n">
        <v>2</v>
      </c>
      <c r="J1242" s="16" t="n">
        <v>600</v>
      </c>
      <c r="K1242" s="16"/>
      <c r="L1242" s="16"/>
      <c r="M1242" s="16" t="n">
        <v>600</v>
      </c>
      <c r="N1242" s="19"/>
    </row>
    <row r="1243" customFormat="false" ht="15" hidden="false" customHeight="false" outlineLevel="0" collapsed="false">
      <c r="A1243" s="13" t="s">
        <v>3939</v>
      </c>
      <c r="B1243" s="13" t="s">
        <v>490</v>
      </c>
      <c r="C1243" s="13" t="s">
        <v>43</v>
      </c>
      <c r="D1243" s="13" t="s">
        <v>2324</v>
      </c>
      <c r="E1243" s="13" t="s">
        <v>1150</v>
      </c>
      <c r="F1243" s="13" t="n">
        <v>1</v>
      </c>
      <c r="G1243" s="13" t="n">
        <v>1</v>
      </c>
      <c r="H1243" s="5" t="n">
        <v>1200</v>
      </c>
      <c r="I1243" s="7" t="n">
        <v>2</v>
      </c>
      <c r="J1243" s="16" t="n">
        <v>600</v>
      </c>
      <c r="K1243" s="16"/>
      <c r="L1243" s="16" t="n">
        <v>600</v>
      </c>
      <c r="M1243" s="16"/>
      <c r="N1243" s="19"/>
    </row>
    <row r="1244" customFormat="false" ht="15" hidden="false" customHeight="false" outlineLevel="0" collapsed="false">
      <c r="A1244" s="13" t="s">
        <v>3940</v>
      </c>
      <c r="B1244" s="13" t="s">
        <v>107</v>
      </c>
      <c r="C1244" s="13" t="s">
        <v>43</v>
      </c>
      <c r="D1244" s="13" t="s">
        <v>2324</v>
      </c>
      <c r="E1244" s="13" t="s">
        <v>1174</v>
      </c>
      <c r="F1244" s="13" t="n">
        <v>1</v>
      </c>
      <c r="G1244" s="13" t="n">
        <v>1</v>
      </c>
      <c r="H1244" s="5" t="n">
        <v>1200</v>
      </c>
      <c r="I1244" s="7" t="n">
        <v>10</v>
      </c>
      <c r="J1244" s="16" t="n">
        <v>120</v>
      </c>
      <c r="K1244" s="16"/>
      <c r="L1244" s="16"/>
      <c r="M1244" s="16" t="n">
        <v>120</v>
      </c>
      <c r="N1244" s="19"/>
    </row>
    <row r="1245" customFormat="false" ht="15" hidden="false" customHeight="false" outlineLevel="0" collapsed="false">
      <c r="A1245" s="13" t="s">
        <v>3941</v>
      </c>
      <c r="B1245" s="13" t="s">
        <v>2236</v>
      </c>
      <c r="C1245" s="13" t="s">
        <v>43</v>
      </c>
      <c r="D1245" s="13" t="s">
        <v>2327</v>
      </c>
      <c r="E1245" s="13" t="s">
        <v>3942</v>
      </c>
      <c r="F1245" s="13" t="n">
        <v>1</v>
      </c>
      <c r="G1245" s="13" t="n">
        <v>1</v>
      </c>
      <c r="H1245" s="5" t="n">
        <v>1200</v>
      </c>
      <c r="I1245" s="7" t="n">
        <v>2</v>
      </c>
      <c r="J1245" s="16" t="n">
        <v>600</v>
      </c>
      <c r="K1245" s="16" t="n">
        <v>600</v>
      </c>
      <c r="L1245" s="16"/>
      <c r="M1245" s="16"/>
      <c r="N1245" s="19"/>
    </row>
    <row r="1246" customFormat="false" ht="15" hidden="false" customHeight="false" outlineLevel="0" collapsed="false">
      <c r="A1246" s="13" t="s">
        <v>3943</v>
      </c>
      <c r="B1246" s="13" t="s">
        <v>124</v>
      </c>
      <c r="C1246" s="13" t="s">
        <v>43</v>
      </c>
      <c r="D1246" s="13" t="s">
        <v>2324</v>
      </c>
      <c r="E1246" s="13" t="s">
        <v>684</v>
      </c>
      <c r="F1246" s="13" t="n">
        <v>1</v>
      </c>
      <c r="G1246" s="13" t="n">
        <v>1</v>
      </c>
      <c r="H1246" s="5" t="n">
        <v>1200</v>
      </c>
      <c r="I1246" s="7" t="n">
        <v>2</v>
      </c>
      <c r="J1246" s="16" t="n">
        <v>600</v>
      </c>
      <c r="K1246" s="16"/>
      <c r="L1246" s="16"/>
      <c r="M1246" s="16" t="n">
        <v>600</v>
      </c>
      <c r="N1246" s="19"/>
    </row>
    <row r="1247" customFormat="false" ht="15" hidden="false" customHeight="false" outlineLevel="0" collapsed="false">
      <c r="A1247" s="13" t="s">
        <v>3944</v>
      </c>
      <c r="B1247" s="13" t="s">
        <v>114</v>
      </c>
      <c r="C1247" s="13" t="s">
        <v>85</v>
      </c>
      <c r="D1247" s="13" t="s">
        <v>2324</v>
      </c>
      <c r="E1247" s="13" t="s">
        <v>1146</v>
      </c>
      <c r="F1247" s="13" t="n">
        <v>1</v>
      </c>
      <c r="G1247" s="13" t="n">
        <v>1</v>
      </c>
      <c r="H1247" s="5" t="n">
        <v>1200</v>
      </c>
      <c r="I1247" s="7" t="n">
        <v>10</v>
      </c>
      <c r="J1247" s="16" t="n">
        <v>120</v>
      </c>
      <c r="K1247" s="16" t="n">
        <v>120</v>
      </c>
      <c r="L1247" s="16"/>
      <c r="M1247" s="16"/>
      <c r="N1247" s="19"/>
    </row>
    <row r="1248" customFormat="false" ht="15" hidden="false" customHeight="false" outlineLevel="0" collapsed="false">
      <c r="A1248" s="13" t="s">
        <v>3945</v>
      </c>
      <c r="B1248" s="13" t="s">
        <v>2157</v>
      </c>
      <c r="C1248" s="13" t="s">
        <v>43</v>
      </c>
      <c r="D1248" s="13" t="s">
        <v>2324</v>
      </c>
      <c r="E1248" s="13" t="s">
        <v>3946</v>
      </c>
      <c r="F1248" s="13" t="n">
        <v>1</v>
      </c>
      <c r="G1248" s="13" t="n">
        <v>1</v>
      </c>
      <c r="H1248" s="5" t="n">
        <v>1200</v>
      </c>
      <c r="I1248" s="7" t="n">
        <v>2</v>
      </c>
      <c r="J1248" s="16" t="n">
        <v>600</v>
      </c>
      <c r="K1248" s="16" t="n">
        <v>600</v>
      </c>
      <c r="L1248" s="16"/>
      <c r="M1248" s="16"/>
      <c r="N1248" s="19"/>
    </row>
    <row r="1249" customFormat="false" ht="15" hidden="false" customHeight="false" outlineLevel="0" collapsed="false">
      <c r="A1249" s="13" t="s">
        <v>3947</v>
      </c>
      <c r="B1249" s="13" t="s">
        <v>177</v>
      </c>
      <c r="C1249" s="13" t="s">
        <v>43</v>
      </c>
      <c r="D1249" s="13" t="s">
        <v>2500</v>
      </c>
      <c r="E1249" s="13" t="s">
        <v>1623</v>
      </c>
      <c r="F1249" s="13" t="n">
        <v>1</v>
      </c>
      <c r="G1249" s="13" t="n">
        <v>2</v>
      </c>
      <c r="H1249" s="5" t="n">
        <v>1200</v>
      </c>
      <c r="I1249" s="7" t="n">
        <v>2</v>
      </c>
      <c r="J1249" s="16" t="n">
        <v>600</v>
      </c>
      <c r="K1249" s="16"/>
      <c r="L1249" s="16"/>
      <c r="M1249" s="16" t="n">
        <v>600</v>
      </c>
      <c r="N1249" s="19"/>
    </row>
    <row r="1250" customFormat="false" ht="15" hidden="false" customHeight="false" outlineLevel="0" collapsed="false">
      <c r="A1250" s="13" t="s">
        <v>3948</v>
      </c>
      <c r="B1250" s="13" t="s">
        <v>362</v>
      </c>
      <c r="C1250" s="13" t="s">
        <v>43</v>
      </c>
      <c r="D1250" s="13" t="s">
        <v>2339</v>
      </c>
      <c r="E1250" s="13" t="s">
        <v>1161</v>
      </c>
      <c r="F1250" s="13" t="n">
        <v>1</v>
      </c>
      <c r="G1250" s="13" t="n">
        <v>1</v>
      </c>
      <c r="H1250" s="5" t="n">
        <v>1200</v>
      </c>
      <c r="I1250" s="7" t="n">
        <v>2</v>
      </c>
      <c r="J1250" s="16" t="n">
        <v>600</v>
      </c>
      <c r="K1250" s="16"/>
      <c r="L1250" s="16" t="n">
        <v>600</v>
      </c>
      <c r="M1250" s="16"/>
      <c r="N1250" s="19"/>
    </row>
    <row r="1251" customFormat="false" ht="15" hidden="false" customHeight="false" outlineLevel="0" collapsed="false">
      <c r="A1251" s="13" t="s">
        <v>3949</v>
      </c>
      <c r="B1251" s="13" t="s">
        <v>2227</v>
      </c>
      <c r="C1251" s="13" t="s">
        <v>183</v>
      </c>
      <c r="D1251" s="13" t="s">
        <v>2324</v>
      </c>
      <c r="E1251" s="13" t="s">
        <v>3950</v>
      </c>
      <c r="F1251" s="13" t="n">
        <v>1</v>
      </c>
      <c r="G1251" s="13" t="n">
        <v>1</v>
      </c>
      <c r="H1251" s="5" t="n">
        <v>1200</v>
      </c>
      <c r="I1251" s="7" t="n">
        <v>10</v>
      </c>
      <c r="J1251" s="16" t="n">
        <v>120</v>
      </c>
      <c r="K1251" s="16" t="n">
        <v>120</v>
      </c>
      <c r="L1251" s="16"/>
      <c r="M1251" s="16"/>
      <c r="N1251" s="19"/>
    </row>
    <row r="1252" customFormat="false" ht="15" hidden="false" customHeight="false" outlineLevel="0" collapsed="false">
      <c r="A1252" s="13" t="s">
        <v>3951</v>
      </c>
      <c r="B1252" s="13" t="s">
        <v>2241</v>
      </c>
      <c r="C1252" s="13" t="s">
        <v>85</v>
      </c>
      <c r="D1252" s="13" t="s">
        <v>2324</v>
      </c>
      <c r="E1252" s="13" t="s">
        <v>3952</v>
      </c>
      <c r="F1252" s="13" t="n">
        <v>1</v>
      </c>
      <c r="G1252" s="13" t="n">
        <v>1</v>
      </c>
      <c r="H1252" s="5" t="n">
        <v>1200</v>
      </c>
      <c r="I1252" s="7" t="n">
        <v>5</v>
      </c>
      <c r="J1252" s="16" t="n">
        <v>240</v>
      </c>
      <c r="K1252" s="16" t="n">
        <v>240</v>
      </c>
      <c r="L1252" s="16"/>
      <c r="M1252" s="16"/>
      <c r="N1252" s="19"/>
    </row>
    <row r="1253" customFormat="false" ht="15" hidden="false" customHeight="false" outlineLevel="0" collapsed="false">
      <c r="A1253" s="13" t="s">
        <v>3953</v>
      </c>
      <c r="B1253" s="13" t="s">
        <v>50</v>
      </c>
      <c r="C1253" s="13" t="s">
        <v>43</v>
      </c>
      <c r="D1253" s="13" t="s">
        <v>2429</v>
      </c>
      <c r="E1253" s="13" t="s">
        <v>1275</v>
      </c>
      <c r="F1253" s="13" t="n">
        <v>1</v>
      </c>
      <c r="G1253" s="13" t="n">
        <v>2</v>
      </c>
      <c r="H1253" s="5" t="n">
        <v>1190</v>
      </c>
      <c r="I1253" s="7" t="n">
        <v>3</v>
      </c>
      <c r="J1253" s="16" t="n">
        <v>396.666666666667</v>
      </c>
      <c r="K1253" s="16"/>
      <c r="L1253" s="16" t="n">
        <v>396.666666666667</v>
      </c>
      <c r="M1253" s="16"/>
      <c r="N1253" s="19"/>
    </row>
    <row r="1254" customFormat="false" ht="15" hidden="false" customHeight="false" outlineLevel="0" collapsed="false">
      <c r="A1254" s="13" t="s">
        <v>3954</v>
      </c>
      <c r="B1254" s="13" t="s">
        <v>286</v>
      </c>
      <c r="C1254" s="13" t="s">
        <v>43</v>
      </c>
      <c r="D1254" s="13" t="s">
        <v>2339</v>
      </c>
      <c r="E1254" s="13" t="s">
        <v>1405</v>
      </c>
      <c r="F1254" s="13" t="n">
        <v>1</v>
      </c>
      <c r="G1254" s="13" t="n">
        <v>2</v>
      </c>
      <c r="H1254" s="5" t="n">
        <v>1180</v>
      </c>
      <c r="I1254" s="7" t="n">
        <v>3</v>
      </c>
      <c r="J1254" s="16" t="n">
        <v>393.333333333333</v>
      </c>
      <c r="K1254" s="16"/>
      <c r="L1254" s="16" t="n">
        <v>393.333333333333</v>
      </c>
      <c r="M1254" s="16"/>
      <c r="N1254" s="19"/>
    </row>
    <row r="1255" customFormat="false" ht="15" hidden="false" customHeight="false" outlineLevel="0" collapsed="false">
      <c r="A1255" s="13" t="s">
        <v>3955</v>
      </c>
      <c r="B1255" s="13" t="s">
        <v>50</v>
      </c>
      <c r="C1255" s="13" t="s">
        <v>43</v>
      </c>
      <c r="D1255" s="13" t="s">
        <v>2500</v>
      </c>
      <c r="E1255" s="13" t="s">
        <v>1630</v>
      </c>
      <c r="F1255" s="13" t="n">
        <v>2</v>
      </c>
      <c r="G1255" s="13" t="n">
        <v>2</v>
      </c>
      <c r="H1255" s="5" t="n">
        <v>1180</v>
      </c>
      <c r="I1255" s="7" t="n">
        <v>2</v>
      </c>
      <c r="J1255" s="16" t="n">
        <v>590</v>
      </c>
      <c r="K1255" s="16"/>
      <c r="L1255" s="16" t="n">
        <v>550</v>
      </c>
      <c r="M1255" s="16" t="n">
        <v>630</v>
      </c>
      <c r="N1255" s="19" t="n">
        <v>0.145454545454545</v>
      </c>
    </row>
    <row r="1256" customFormat="false" ht="15" hidden="false" customHeight="false" outlineLevel="0" collapsed="false">
      <c r="A1256" s="13" t="s">
        <v>3956</v>
      </c>
      <c r="B1256" s="13" t="s">
        <v>59</v>
      </c>
      <c r="C1256" s="13" t="s">
        <v>43</v>
      </c>
      <c r="D1256" s="13" t="s">
        <v>2324</v>
      </c>
      <c r="E1256" s="13" t="s">
        <v>1463</v>
      </c>
      <c r="F1256" s="13" t="n">
        <v>2</v>
      </c>
      <c r="G1256" s="13" t="n">
        <v>3</v>
      </c>
      <c r="H1256" s="5" t="n">
        <v>1180</v>
      </c>
      <c r="I1256" s="7" t="n">
        <v>4</v>
      </c>
      <c r="J1256" s="16" t="n">
        <v>295</v>
      </c>
      <c r="K1256" s="16" t="n">
        <v>210</v>
      </c>
      <c r="L1256" s="16"/>
      <c r="M1256" s="16" t="n">
        <v>323.333333333333</v>
      </c>
      <c r="N1256" s="19" t="n">
        <v>0.53968253968254</v>
      </c>
    </row>
    <row r="1257" customFormat="false" ht="15" hidden="false" customHeight="false" outlineLevel="0" collapsed="false">
      <c r="A1257" s="13" t="s">
        <v>3957</v>
      </c>
      <c r="B1257" s="13" t="s">
        <v>105</v>
      </c>
      <c r="C1257" s="13" t="s">
        <v>43</v>
      </c>
      <c r="D1257" s="13" t="s">
        <v>2322</v>
      </c>
      <c r="E1257" s="13" t="s">
        <v>1789</v>
      </c>
      <c r="F1257" s="13" t="n">
        <v>1</v>
      </c>
      <c r="G1257" s="13" t="n">
        <v>2</v>
      </c>
      <c r="H1257" s="5" t="n">
        <v>1170</v>
      </c>
      <c r="I1257" s="7" t="n">
        <v>3</v>
      </c>
      <c r="J1257" s="16" t="n">
        <v>390</v>
      </c>
      <c r="K1257" s="16"/>
      <c r="L1257" s="16"/>
      <c r="M1257" s="16" t="n">
        <v>390</v>
      </c>
      <c r="N1257" s="19"/>
    </row>
    <row r="1258" customFormat="false" ht="15" hidden="false" customHeight="false" outlineLevel="0" collapsed="false">
      <c r="A1258" s="13" t="s">
        <v>3958</v>
      </c>
      <c r="B1258" s="13" t="s">
        <v>153</v>
      </c>
      <c r="C1258" s="13" t="s">
        <v>43</v>
      </c>
      <c r="D1258" s="13" t="s">
        <v>2751</v>
      </c>
      <c r="E1258" s="13" t="s">
        <v>1324</v>
      </c>
      <c r="F1258" s="13" t="n">
        <v>2</v>
      </c>
      <c r="G1258" s="13" t="n">
        <v>2</v>
      </c>
      <c r="H1258" s="5" t="n">
        <v>1160</v>
      </c>
      <c r="I1258" s="7" t="n">
        <v>3</v>
      </c>
      <c r="J1258" s="16" t="n">
        <v>386.666666666667</v>
      </c>
      <c r="K1258" s="16"/>
      <c r="L1258" s="16" t="n">
        <v>435</v>
      </c>
      <c r="M1258" s="16" t="n">
        <v>290</v>
      </c>
      <c r="N1258" s="19" t="n">
        <v>0.5</v>
      </c>
    </row>
    <row r="1259" customFormat="false" ht="15" hidden="false" customHeight="false" outlineLevel="0" collapsed="false">
      <c r="A1259" s="13" t="s">
        <v>3959</v>
      </c>
      <c r="B1259" s="13" t="s">
        <v>50</v>
      </c>
      <c r="C1259" s="13" t="s">
        <v>43</v>
      </c>
      <c r="D1259" s="13" t="s">
        <v>2500</v>
      </c>
      <c r="E1259" s="13" t="s">
        <v>1606</v>
      </c>
      <c r="F1259" s="13" t="n">
        <v>2</v>
      </c>
      <c r="G1259" s="13" t="n">
        <v>2</v>
      </c>
      <c r="H1259" s="5" t="n">
        <v>1160</v>
      </c>
      <c r="I1259" s="7" t="n">
        <v>2</v>
      </c>
      <c r="J1259" s="16" t="n">
        <v>580</v>
      </c>
      <c r="K1259" s="16"/>
      <c r="L1259" s="16" t="n">
        <v>590</v>
      </c>
      <c r="M1259" s="16" t="n">
        <v>570</v>
      </c>
      <c r="N1259" s="19" t="n">
        <v>0.0350877192982456</v>
      </c>
    </row>
    <row r="1260" customFormat="false" ht="15" hidden="false" customHeight="false" outlineLevel="0" collapsed="false">
      <c r="A1260" s="13" t="s">
        <v>3960</v>
      </c>
      <c r="B1260" s="13" t="s">
        <v>2235</v>
      </c>
      <c r="C1260" s="13" t="s">
        <v>43</v>
      </c>
      <c r="D1260" s="13" t="s">
        <v>2360</v>
      </c>
      <c r="E1260" s="13" t="s">
        <v>3961</v>
      </c>
      <c r="F1260" s="13" t="n">
        <v>1</v>
      </c>
      <c r="G1260" s="13" t="n">
        <v>2</v>
      </c>
      <c r="H1260" s="5" t="n">
        <v>1140</v>
      </c>
      <c r="I1260" s="7" t="n">
        <v>3</v>
      </c>
      <c r="J1260" s="16" t="n">
        <v>380</v>
      </c>
      <c r="K1260" s="16"/>
      <c r="L1260" s="16" t="n">
        <v>380</v>
      </c>
      <c r="M1260" s="16"/>
      <c r="N1260" s="19"/>
    </row>
    <row r="1261" customFormat="false" ht="15" hidden="false" customHeight="false" outlineLevel="0" collapsed="false">
      <c r="A1261" s="13" t="s">
        <v>3962</v>
      </c>
      <c r="B1261" s="13" t="s">
        <v>42</v>
      </c>
      <c r="C1261" s="13" t="s">
        <v>43</v>
      </c>
      <c r="D1261" s="13" t="s">
        <v>2497</v>
      </c>
      <c r="E1261" s="13" t="s">
        <v>1308</v>
      </c>
      <c r="F1261" s="13" t="n">
        <v>1</v>
      </c>
      <c r="G1261" s="13" t="n">
        <v>2</v>
      </c>
      <c r="H1261" s="5" t="n">
        <v>1130</v>
      </c>
      <c r="I1261" s="7" t="n">
        <v>3</v>
      </c>
      <c r="J1261" s="16" t="n">
        <v>376.666666666667</v>
      </c>
      <c r="K1261" s="16"/>
      <c r="L1261" s="16"/>
      <c r="M1261" s="16" t="n">
        <v>376.666666666667</v>
      </c>
      <c r="N1261" s="19"/>
    </row>
    <row r="1262" customFormat="false" ht="15" hidden="false" customHeight="false" outlineLevel="0" collapsed="false">
      <c r="A1262" s="13" t="s">
        <v>3963</v>
      </c>
      <c r="B1262" s="13" t="s">
        <v>2134</v>
      </c>
      <c r="C1262" s="13" t="s">
        <v>43</v>
      </c>
      <c r="D1262" s="13" t="s">
        <v>2337</v>
      </c>
      <c r="E1262" s="13" t="s">
        <v>3964</v>
      </c>
      <c r="F1262" s="13" t="n">
        <v>1</v>
      </c>
      <c r="G1262" s="13" t="n">
        <v>2</v>
      </c>
      <c r="H1262" s="5" t="n">
        <v>1120</v>
      </c>
      <c r="I1262" s="7" t="n">
        <v>2</v>
      </c>
      <c r="J1262" s="16" t="n">
        <v>560</v>
      </c>
      <c r="K1262" s="16"/>
      <c r="L1262" s="16" t="n">
        <v>560</v>
      </c>
      <c r="M1262" s="16"/>
      <c r="N1262" s="19"/>
    </row>
    <row r="1263" customFormat="false" ht="15" hidden="false" customHeight="false" outlineLevel="0" collapsed="false">
      <c r="A1263" s="13" t="s">
        <v>3965</v>
      </c>
      <c r="B1263" s="13" t="s">
        <v>630</v>
      </c>
      <c r="C1263" s="13" t="s">
        <v>43</v>
      </c>
      <c r="D1263" s="13" t="s">
        <v>2337</v>
      </c>
      <c r="E1263" s="13" t="s">
        <v>1284</v>
      </c>
      <c r="F1263" s="13" t="n">
        <v>1</v>
      </c>
      <c r="G1263" s="13" t="n">
        <v>2</v>
      </c>
      <c r="H1263" s="5" t="n">
        <v>1120</v>
      </c>
      <c r="I1263" s="7" t="n">
        <v>6</v>
      </c>
      <c r="J1263" s="16" t="n">
        <v>186.666666666667</v>
      </c>
      <c r="K1263" s="16"/>
      <c r="L1263" s="16"/>
      <c r="M1263" s="16" t="n">
        <v>186.666666666667</v>
      </c>
      <c r="N1263" s="19"/>
    </row>
    <row r="1264" customFormat="false" ht="15" hidden="false" customHeight="false" outlineLevel="0" collapsed="false">
      <c r="A1264" s="13" t="s">
        <v>3966</v>
      </c>
      <c r="B1264" s="13" t="s">
        <v>59</v>
      </c>
      <c r="C1264" s="13" t="s">
        <v>43</v>
      </c>
      <c r="D1264" s="13" t="s">
        <v>2324</v>
      </c>
      <c r="E1264" s="13" t="s">
        <v>1818</v>
      </c>
      <c r="F1264" s="13" t="n">
        <v>1</v>
      </c>
      <c r="G1264" s="13" t="n">
        <v>4</v>
      </c>
      <c r="H1264" s="5" t="n">
        <v>1110</v>
      </c>
      <c r="I1264" s="7" t="n">
        <v>6</v>
      </c>
      <c r="J1264" s="16" t="n">
        <v>185</v>
      </c>
      <c r="K1264" s="16"/>
      <c r="L1264" s="16"/>
      <c r="M1264" s="16" t="n">
        <v>185</v>
      </c>
      <c r="N1264" s="19"/>
    </row>
    <row r="1265" customFormat="false" ht="15" hidden="false" customHeight="false" outlineLevel="0" collapsed="false">
      <c r="A1265" s="13" t="s">
        <v>3967</v>
      </c>
      <c r="B1265" s="13" t="s">
        <v>179</v>
      </c>
      <c r="C1265" s="13" t="s">
        <v>180</v>
      </c>
      <c r="D1265" s="13" t="s">
        <v>2324</v>
      </c>
      <c r="E1265" s="13" t="s">
        <v>1206</v>
      </c>
      <c r="F1265" s="13" t="n">
        <v>1</v>
      </c>
      <c r="G1265" s="13" t="n">
        <v>1</v>
      </c>
      <c r="H1265" s="5" t="n">
        <v>1100</v>
      </c>
      <c r="I1265" s="7" t="n">
        <v>5</v>
      </c>
      <c r="J1265" s="16" t="n">
        <v>220</v>
      </c>
      <c r="K1265" s="16" t="n">
        <v>220</v>
      </c>
      <c r="L1265" s="16"/>
      <c r="M1265" s="16"/>
      <c r="N1265" s="19"/>
    </row>
    <row r="1266" customFormat="false" ht="15" hidden="false" customHeight="false" outlineLevel="0" collapsed="false">
      <c r="A1266" s="13" t="s">
        <v>3968</v>
      </c>
      <c r="B1266" s="13" t="s">
        <v>302</v>
      </c>
      <c r="C1266" s="13" t="s">
        <v>43</v>
      </c>
      <c r="D1266" s="13" t="s">
        <v>2339</v>
      </c>
      <c r="E1266" s="13" t="s">
        <v>1210</v>
      </c>
      <c r="F1266" s="13" t="n">
        <v>1</v>
      </c>
      <c r="G1266" s="13" t="n">
        <v>1</v>
      </c>
      <c r="H1266" s="5" t="n">
        <v>1100</v>
      </c>
      <c r="I1266" s="7" t="n">
        <v>2</v>
      </c>
      <c r="J1266" s="16" t="n">
        <v>550</v>
      </c>
      <c r="K1266" s="16"/>
      <c r="L1266" s="16" t="n">
        <v>550</v>
      </c>
      <c r="M1266" s="16"/>
      <c r="N1266" s="19"/>
    </row>
    <row r="1267" customFormat="false" ht="15" hidden="false" customHeight="false" outlineLevel="0" collapsed="false">
      <c r="A1267" s="13" t="s">
        <v>3969</v>
      </c>
      <c r="B1267" s="13" t="s">
        <v>2118</v>
      </c>
      <c r="C1267" s="13" t="s">
        <v>43</v>
      </c>
      <c r="D1267" s="13" t="s">
        <v>2324</v>
      </c>
      <c r="E1267" s="13" t="s">
        <v>3028</v>
      </c>
      <c r="F1267" s="13" t="n">
        <v>1</v>
      </c>
      <c r="G1267" s="13" t="n">
        <v>1</v>
      </c>
      <c r="H1267" s="5" t="n">
        <v>1100</v>
      </c>
      <c r="I1267" s="7" t="n">
        <v>1</v>
      </c>
      <c r="J1267" s="16" t="n">
        <v>1100</v>
      </c>
      <c r="K1267" s="16"/>
      <c r="L1267" s="16"/>
      <c r="M1267" s="16" t="n">
        <v>1100</v>
      </c>
      <c r="N1267" s="19"/>
    </row>
    <row r="1268" customFormat="false" ht="15" hidden="false" customHeight="false" outlineLevel="0" collapsed="false">
      <c r="A1268" s="13" t="s">
        <v>3970</v>
      </c>
      <c r="B1268" s="13" t="s">
        <v>107</v>
      </c>
      <c r="C1268" s="13" t="s">
        <v>183</v>
      </c>
      <c r="D1268" s="13" t="s">
        <v>2324</v>
      </c>
      <c r="E1268" s="13" t="s">
        <v>1197</v>
      </c>
      <c r="F1268" s="13" t="n">
        <v>1</v>
      </c>
      <c r="G1268" s="13" t="n">
        <v>1</v>
      </c>
      <c r="H1268" s="5" t="n">
        <v>1100</v>
      </c>
      <c r="I1268" s="7" t="n">
        <v>2</v>
      </c>
      <c r="J1268" s="16" t="n">
        <v>550</v>
      </c>
      <c r="K1268" s="16"/>
      <c r="L1268" s="16"/>
      <c r="M1268" s="16" t="n">
        <v>550</v>
      </c>
      <c r="N1268" s="19"/>
    </row>
    <row r="1269" customFormat="false" ht="15" hidden="false" customHeight="false" outlineLevel="0" collapsed="false">
      <c r="A1269" s="13" t="s">
        <v>3971</v>
      </c>
      <c r="B1269" s="13" t="s">
        <v>2206</v>
      </c>
      <c r="C1269" s="13" t="s">
        <v>85</v>
      </c>
      <c r="D1269" s="13" t="s">
        <v>2324</v>
      </c>
      <c r="E1269" s="13" t="s">
        <v>3972</v>
      </c>
      <c r="F1269" s="13" t="n">
        <v>1</v>
      </c>
      <c r="G1269" s="13" t="n">
        <v>1</v>
      </c>
      <c r="H1269" s="5" t="n">
        <v>1100</v>
      </c>
      <c r="I1269" s="7" t="n">
        <v>10</v>
      </c>
      <c r="J1269" s="16" t="n">
        <v>110</v>
      </c>
      <c r="K1269" s="16" t="n">
        <v>110</v>
      </c>
      <c r="L1269" s="16"/>
      <c r="M1269" s="16"/>
      <c r="N1269" s="19"/>
    </row>
    <row r="1270" customFormat="false" ht="15" hidden="false" customHeight="false" outlineLevel="0" collapsed="false">
      <c r="A1270" s="13" t="s">
        <v>3973</v>
      </c>
      <c r="B1270" s="13" t="s">
        <v>107</v>
      </c>
      <c r="C1270" s="13" t="s">
        <v>43</v>
      </c>
      <c r="D1270" s="13" t="s">
        <v>2324</v>
      </c>
      <c r="E1270" s="13" t="s">
        <v>1364</v>
      </c>
      <c r="F1270" s="13" t="n">
        <v>1</v>
      </c>
      <c r="G1270" s="13" t="n">
        <v>2</v>
      </c>
      <c r="H1270" s="5" t="n">
        <v>1100</v>
      </c>
      <c r="I1270" s="7" t="n">
        <v>3</v>
      </c>
      <c r="J1270" s="16" t="n">
        <v>366.666666666667</v>
      </c>
      <c r="K1270" s="16"/>
      <c r="L1270" s="16"/>
      <c r="M1270" s="16" t="n">
        <v>366.666666666667</v>
      </c>
      <c r="N1270" s="19"/>
    </row>
    <row r="1271" customFormat="false" ht="15" hidden="false" customHeight="false" outlineLevel="0" collapsed="false">
      <c r="A1271" s="13" t="s">
        <v>3974</v>
      </c>
      <c r="B1271" s="13" t="s">
        <v>2124</v>
      </c>
      <c r="C1271" s="13" t="s">
        <v>43</v>
      </c>
      <c r="D1271" s="13" t="s">
        <v>2324</v>
      </c>
      <c r="E1271" s="13" t="s">
        <v>3975</v>
      </c>
      <c r="F1271" s="13" t="n">
        <v>1</v>
      </c>
      <c r="G1271" s="13" t="n">
        <v>1</v>
      </c>
      <c r="H1271" s="5" t="n">
        <v>1100</v>
      </c>
      <c r="I1271" s="7" t="n">
        <v>20</v>
      </c>
      <c r="J1271" s="16" t="n">
        <v>55</v>
      </c>
      <c r="K1271" s="16" t="n">
        <v>55</v>
      </c>
      <c r="L1271" s="16"/>
      <c r="M1271" s="16"/>
      <c r="N1271" s="19"/>
    </row>
    <row r="1272" customFormat="false" ht="15" hidden="false" customHeight="false" outlineLevel="0" collapsed="false">
      <c r="A1272" s="13" t="s">
        <v>3976</v>
      </c>
      <c r="B1272" s="13" t="s">
        <v>121</v>
      </c>
      <c r="C1272" s="13" t="s">
        <v>43</v>
      </c>
      <c r="D1272" s="13" t="s">
        <v>2324</v>
      </c>
      <c r="E1272" s="13" t="s">
        <v>1401</v>
      </c>
      <c r="F1272" s="13" t="n">
        <v>1</v>
      </c>
      <c r="G1272" s="13" t="n">
        <v>2</v>
      </c>
      <c r="H1272" s="5" t="n">
        <v>1100</v>
      </c>
      <c r="I1272" s="7" t="n">
        <v>7</v>
      </c>
      <c r="J1272" s="16" t="n">
        <v>157.142857142857</v>
      </c>
      <c r="K1272" s="16"/>
      <c r="L1272" s="16"/>
      <c r="M1272" s="16" t="n">
        <v>157.142857142857</v>
      </c>
      <c r="N1272" s="19"/>
    </row>
    <row r="1273" customFormat="false" ht="15" hidden="false" customHeight="false" outlineLevel="0" collapsed="false">
      <c r="A1273" s="13" t="s">
        <v>3977</v>
      </c>
      <c r="B1273" s="13" t="s">
        <v>42</v>
      </c>
      <c r="C1273" s="13" t="s">
        <v>43</v>
      </c>
      <c r="D1273" s="13" t="s">
        <v>2324</v>
      </c>
      <c r="E1273" s="13" t="s">
        <v>47</v>
      </c>
      <c r="F1273" s="13" t="n">
        <v>1</v>
      </c>
      <c r="G1273" s="13" t="n">
        <v>1</v>
      </c>
      <c r="H1273" s="5" t="n">
        <v>1100</v>
      </c>
      <c r="I1273" s="7" t="n">
        <v>2</v>
      </c>
      <c r="J1273" s="16" t="n">
        <v>550</v>
      </c>
      <c r="K1273" s="16"/>
      <c r="L1273" s="16" t="n">
        <v>550</v>
      </c>
      <c r="M1273" s="16"/>
      <c r="N1273" s="19"/>
    </row>
    <row r="1274" customFormat="false" ht="15" hidden="false" customHeight="false" outlineLevel="0" collapsed="false">
      <c r="A1274" s="13" t="s">
        <v>3978</v>
      </c>
      <c r="B1274" s="13" t="s">
        <v>2209</v>
      </c>
      <c r="C1274" s="13" t="s">
        <v>43</v>
      </c>
      <c r="D1274" s="13" t="s">
        <v>2324</v>
      </c>
      <c r="E1274" s="13" t="s">
        <v>3979</v>
      </c>
      <c r="F1274" s="13" t="n">
        <v>1</v>
      </c>
      <c r="G1274" s="13" t="n">
        <v>1</v>
      </c>
      <c r="H1274" s="5" t="n">
        <v>1100</v>
      </c>
      <c r="I1274" s="7" t="n">
        <v>2</v>
      </c>
      <c r="J1274" s="16" t="n">
        <v>550</v>
      </c>
      <c r="K1274" s="16"/>
      <c r="L1274" s="16"/>
      <c r="M1274" s="16" t="n">
        <v>550</v>
      </c>
      <c r="N1274" s="19"/>
    </row>
    <row r="1275" customFormat="false" ht="15" hidden="false" customHeight="false" outlineLevel="0" collapsed="false">
      <c r="A1275" s="13" t="s">
        <v>3980</v>
      </c>
      <c r="B1275" s="13" t="s">
        <v>2139</v>
      </c>
      <c r="C1275" s="13" t="s">
        <v>85</v>
      </c>
      <c r="D1275" s="13" t="s">
        <v>2324</v>
      </c>
      <c r="E1275" s="13" t="s">
        <v>3981</v>
      </c>
      <c r="F1275" s="13" t="n">
        <v>1</v>
      </c>
      <c r="G1275" s="13" t="n">
        <v>1</v>
      </c>
      <c r="H1275" s="5" t="n">
        <v>1100</v>
      </c>
      <c r="I1275" s="7" t="n">
        <v>5</v>
      </c>
      <c r="J1275" s="16" t="n">
        <v>220</v>
      </c>
      <c r="K1275" s="16"/>
      <c r="L1275" s="16" t="n">
        <v>220</v>
      </c>
      <c r="M1275" s="16"/>
      <c r="N1275" s="19"/>
    </row>
    <row r="1276" customFormat="false" ht="15" hidden="false" customHeight="false" outlineLevel="0" collapsed="false">
      <c r="A1276" s="13" t="s">
        <v>3982</v>
      </c>
      <c r="B1276" s="13" t="s">
        <v>2138</v>
      </c>
      <c r="C1276" s="13" t="s">
        <v>43</v>
      </c>
      <c r="D1276" s="13" t="s">
        <v>2422</v>
      </c>
      <c r="E1276" s="13" t="s">
        <v>3983</v>
      </c>
      <c r="F1276" s="13" t="n">
        <v>1</v>
      </c>
      <c r="G1276" s="13" t="n">
        <v>1</v>
      </c>
      <c r="H1276" s="5" t="n">
        <v>1100</v>
      </c>
      <c r="I1276" s="7" t="n">
        <v>2</v>
      </c>
      <c r="J1276" s="16" t="n">
        <v>550</v>
      </c>
      <c r="K1276" s="16"/>
      <c r="L1276" s="16" t="n">
        <v>550</v>
      </c>
      <c r="M1276" s="16"/>
      <c r="N1276" s="19"/>
    </row>
    <row r="1277" customFormat="false" ht="15" hidden="false" customHeight="false" outlineLevel="0" collapsed="false">
      <c r="A1277" s="13" t="s">
        <v>3984</v>
      </c>
      <c r="B1277" s="13" t="s">
        <v>42</v>
      </c>
      <c r="C1277" s="13" t="s">
        <v>43</v>
      </c>
      <c r="D1277" s="13" t="s">
        <v>2324</v>
      </c>
      <c r="E1277" s="13" t="s">
        <v>1194</v>
      </c>
      <c r="F1277" s="13" t="n">
        <v>1</v>
      </c>
      <c r="G1277" s="13" t="n">
        <v>1</v>
      </c>
      <c r="H1277" s="5" t="n">
        <v>1100</v>
      </c>
      <c r="I1277" s="7" t="n">
        <v>1</v>
      </c>
      <c r="J1277" s="16" t="n">
        <v>1100</v>
      </c>
      <c r="K1277" s="16"/>
      <c r="L1277" s="16"/>
      <c r="M1277" s="16" t="n">
        <v>1100</v>
      </c>
      <c r="N1277" s="19"/>
    </row>
    <row r="1278" customFormat="false" ht="15" hidden="false" customHeight="false" outlineLevel="0" collapsed="false">
      <c r="A1278" s="13" t="s">
        <v>3985</v>
      </c>
      <c r="B1278" s="13" t="s">
        <v>2110</v>
      </c>
      <c r="C1278" s="13" t="s">
        <v>43</v>
      </c>
      <c r="D1278" s="13" t="s">
        <v>2339</v>
      </c>
      <c r="E1278" s="13" t="s">
        <v>3986</v>
      </c>
      <c r="F1278" s="13" t="n">
        <v>1</v>
      </c>
      <c r="G1278" s="13" t="n">
        <v>1</v>
      </c>
      <c r="H1278" s="5" t="n">
        <v>1100</v>
      </c>
      <c r="I1278" s="7" t="n">
        <v>2</v>
      </c>
      <c r="J1278" s="16" t="n">
        <v>550</v>
      </c>
      <c r="K1278" s="16"/>
      <c r="L1278" s="16" t="n">
        <v>550</v>
      </c>
      <c r="M1278" s="16"/>
      <c r="N1278" s="19"/>
    </row>
    <row r="1279" customFormat="false" ht="15" hidden="false" customHeight="false" outlineLevel="0" collapsed="false">
      <c r="A1279" s="13" t="s">
        <v>3987</v>
      </c>
      <c r="B1279" s="13" t="s">
        <v>2124</v>
      </c>
      <c r="C1279" s="13" t="s">
        <v>43</v>
      </c>
      <c r="D1279" s="13" t="s">
        <v>2339</v>
      </c>
      <c r="E1279" s="13" t="s">
        <v>3988</v>
      </c>
      <c r="F1279" s="13" t="n">
        <v>1</v>
      </c>
      <c r="G1279" s="13" t="n">
        <v>1</v>
      </c>
      <c r="H1279" s="5" t="n">
        <v>1100</v>
      </c>
      <c r="I1279" s="7" t="n">
        <v>20</v>
      </c>
      <c r="J1279" s="16" t="n">
        <v>55</v>
      </c>
      <c r="K1279" s="16" t="n">
        <v>55</v>
      </c>
      <c r="L1279" s="16"/>
      <c r="M1279" s="16"/>
      <c r="N1279" s="19"/>
    </row>
    <row r="1280" customFormat="false" ht="15" hidden="false" customHeight="false" outlineLevel="0" collapsed="false">
      <c r="A1280" s="13" t="s">
        <v>3989</v>
      </c>
      <c r="B1280" s="13" t="s">
        <v>329</v>
      </c>
      <c r="C1280" s="13" t="s">
        <v>43</v>
      </c>
      <c r="D1280" s="13" t="s">
        <v>2324</v>
      </c>
      <c r="E1280" s="13" t="s">
        <v>1208</v>
      </c>
      <c r="F1280" s="13" t="n">
        <v>1</v>
      </c>
      <c r="G1280" s="13" t="n">
        <v>1</v>
      </c>
      <c r="H1280" s="5" t="n">
        <v>1100</v>
      </c>
      <c r="I1280" s="7" t="n">
        <v>2</v>
      </c>
      <c r="J1280" s="16" t="n">
        <v>550</v>
      </c>
      <c r="K1280" s="16"/>
      <c r="L1280" s="16" t="n">
        <v>550</v>
      </c>
      <c r="M1280" s="16"/>
      <c r="N1280" s="19"/>
    </row>
    <row r="1281" customFormat="false" ht="15" hidden="false" customHeight="false" outlineLevel="0" collapsed="false">
      <c r="A1281" s="13" t="s">
        <v>3990</v>
      </c>
      <c r="B1281" s="13" t="s">
        <v>2146</v>
      </c>
      <c r="C1281" s="13" t="s">
        <v>85</v>
      </c>
      <c r="D1281" s="13" t="s">
        <v>2324</v>
      </c>
      <c r="E1281" s="13" t="s">
        <v>3991</v>
      </c>
      <c r="F1281" s="13" t="n">
        <v>1</v>
      </c>
      <c r="G1281" s="13" t="n">
        <v>1</v>
      </c>
      <c r="H1281" s="5" t="n">
        <v>1100</v>
      </c>
      <c r="I1281" s="7" t="n">
        <v>40</v>
      </c>
      <c r="J1281" s="16" t="n">
        <v>27.5</v>
      </c>
      <c r="K1281" s="16" t="n">
        <v>27.5</v>
      </c>
      <c r="L1281" s="16"/>
      <c r="M1281" s="16"/>
      <c r="N1281" s="19"/>
    </row>
    <row r="1282" customFormat="false" ht="15" hidden="false" customHeight="false" outlineLevel="0" collapsed="false">
      <c r="A1282" s="13" t="s">
        <v>3992</v>
      </c>
      <c r="B1282" s="13" t="s">
        <v>186</v>
      </c>
      <c r="C1282" s="13" t="s">
        <v>43</v>
      </c>
      <c r="D1282" s="13" t="s">
        <v>2324</v>
      </c>
      <c r="E1282" s="13" t="s">
        <v>1177</v>
      </c>
      <c r="F1282" s="13" t="n">
        <v>1</v>
      </c>
      <c r="G1282" s="13" t="n">
        <v>1</v>
      </c>
      <c r="H1282" s="5" t="n">
        <v>1100</v>
      </c>
      <c r="I1282" s="7" t="n">
        <v>2</v>
      </c>
      <c r="J1282" s="16" t="n">
        <v>550</v>
      </c>
      <c r="K1282" s="16"/>
      <c r="L1282" s="16" t="n">
        <v>550</v>
      </c>
      <c r="M1282" s="16"/>
      <c r="N1282" s="19"/>
    </row>
    <row r="1283" customFormat="false" ht="15" hidden="false" customHeight="false" outlineLevel="0" collapsed="false">
      <c r="A1283" s="13" t="s">
        <v>3993</v>
      </c>
      <c r="B1283" s="13" t="s">
        <v>2202</v>
      </c>
      <c r="C1283" s="13" t="s">
        <v>140</v>
      </c>
      <c r="D1283" s="13" t="s">
        <v>2324</v>
      </c>
      <c r="E1283" s="13" t="s">
        <v>3994</v>
      </c>
      <c r="F1283" s="13" t="n">
        <v>1</v>
      </c>
      <c r="G1283" s="13" t="n">
        <v>1</v>
      </c>
      <c r="H1283" s="5" t="n">
        <v>1100</v>
      </c>
      <c r="I1283" s="7" t="n">
        <v>30</v>
      </c>
      <c r="J1283" s="16" t="n">
        <v>36.6666666666667</v>
      </c>
      <c r="K1283" s="16" t="n">
        <v>36.6666666666667</v>
      </c>
      <c r="L1283" s="16"/>
      <c r="M1283" s="16"/>
      <c r="N1283" s="19"/>
    </row>
    <row r="1284" customFormat="false" ht="15" hidden="false" customHeight="false" outlineLevel="0" collapsed="false">
      <c r="A1284" s="13" t="s">
        <v>3995</v>
      </c>
      <c r="B1284" s="13" t="s">
        <v>2187</v>
      </c>
      <c r="C1284" s="13" t="s">
        <v>85</v>
      </c>
      <c r="D1284" s="13" t="s">
        <v>2324</v>
      </c>
      <c r="E1284" s="13" t="s">
        <v>3996</v>
      </c>
      <c r="F1284" s="13" t="n">
        <v>1</v>
      </c>
      <c r="G1284" s="13" t="n">
        <v>1</v>
      </c>
      <c r="H1284" s="5" t="n">
        <v>1100</v>
      </c>
      <c r="I1284" s="7" t="n">
        <v>5</v>
      </c>
      <c r="J1284" s="16" t="n">
        <v>220</v>
      </c>
      <c r="K1284" s="16" t="n">
        <v>220</v>
      </c>
      <c r="L1284" s="16"/>
      <c r="M1284" s="16"/>
      <c r="N1284" s="19"/>
    </row>
    <row r="1285" customFormat="false" ht="15" hidden="false" customHeight="false" outlineLevel="0" collapsed="false">
      <c r="A1285" s="13" t="s">
        <v>3997</v>
      </c>
      <c r="B1285" s="13" t="s">
        <v>2134</v>
      </c>
      <c r="C1285" s="13" t="s">
        <v>43</v>
      </c>
      <c r="D1285" s="13" t="s">
        <v>2337</v>
      </c>
      <c r="E1285" s="13" t="s">
        <v>3998</v>
      </c>
      <c r="F1285" s="13" t="n">
        <v>1</v>
      </c>
      <c r="G1285" s="13" t="n">
        <v>1</v>
      </c>
      <c r="H1285" s="5" t="n">
        <v>1100</v>
      </c>
      <c r="I1285" s="7" t="n">
        <v>2</v>
      </c>
      <c r="J1285" s="16" t="n">
        <v>550</v>
      </c>
      <c r="K1285" s="16"/>
      <c r="L1285" s="16" t="n">
        <v>550</v>
      </c>
      <c r="M1285" s="16"/>
      <c r="N1285" s="19"/>
    </row>
    <row r="1286" customFormat="false" ht="15" hidden="false" customHeight="false" outlineLevel="0" collapsed="false">
      <c r="A1286" s="13" t="s">
        <v>3999</v>
      </c>
      <c r="B1286" s="13" t="s">
        <v>179</v>
      </c>
      <c r="C1286" s="13" t="s">
        <v>180</v>
      </c>
      <c r="D1286" s="13" t="s">
        <v>2324</v>
      </c>
      <c r="E1286" s="13" t="s">
        <v>1209</v>
      </c>
      <c r="F1286" s="13" t="n">
        <v>1</v>
      </c>
      <c r="G1286" s="13" t="n">
        <v>1</v>
      </c>
      <c r="H1286" s="5" t="n">
        <v>1100</v>
      </c>
      <c r="I1286" s="7" t="n">
        <v>5</v>
      </c>
      <c r="J1286" s="16" t="n">
        <v>220</v>
      </c>
      <c r="K1286" s="16" t="n">
        <v>220</v>
      </c>
      <c r="L1286" s="16"/>
      <c r="M1286" s="16"/>
      <c r="N1286" s="19"/>
    </row>
    <row r="1287" customFormat="false" ht="15" hidden="false" customHeight="false" outlineLevel="0" collapsed="false">
      <c r="A1287" s="13" t="s">
        <v>4000</v>
      </c>
      <c r="B1287" s="13" t="s">
        <v>79</v>
      </c>
      <c r="C1287" s="13" t="s">
        <v>43</v>
      </c>
      <c r="D1287" s="13" t="s">
        <v>2324</v>
      </c>
      <c r="E1287" s="13" t="s">
        <v>1180</v>
      </c>
      <c r="F1287" s="13" t="n">
        <v>1</v>
      </c>
      <c r="G1287" s="13" t="n">
        <v>1</v>
      </c>
      <c r="H1287" s="5" t="n">
        <v>1100</v>
      </c>
      <c r="I1287" s="7" t="n">
        <v>1</v>
      </c>
      <c r="J1287" s="16" t="n">
        <v>1100</v>
      </c>
      <c r="K1287" s="16"/>
      <c r="L1287" s="16" t="n">
        <v>1100</v>
      </c>
      <c r="M1287" s="16"/>
      <c r="N1287" s="19"/>
    </row>
    <row r="1288" customFormat="false" ht="15" hidden="false" customHeight="false" outlineLevel="0" collapsed="false">
      <c r="A1288" s="13" t="s">
        <v>4001</v>
      </c>
      <c r="B1288" s="13" t="s">
        <v>61</v>
      </c>
      <c r="C1288" s="13" t="s">
        <v>183</v>
      </c>
      <c r="D1288" s="13" t="s">
        <v>2324</v>
      </c>
      <c r="E1288" s="13" t="s">
        <v>1200</v>
      </c>
      <c r="F1288" s="13" t="n">
        <v>1</v>
      </c>
      <c r="G1288" s="13" t="n">
        <v>1</v>
      </c>
      <c r="H1288" s="5" t="n">
        <v>1100</v>
      </c>
      <c r="I1288" s="7" t="n">
        <v>1</v>
      </c>
      <c r="J1288" s="16" t="n">
        <v>1100</v>
      </c>
      <c r="K1288" s="16"/>
      <c r="L1288" s="16"/>
      <c r="M1288" s="16" t="n">
        <v>1100</v>
      </c>
      <c r="N1288" s="19"/>
    </row>
    <row r="1289" customFormat="false" ht="15" hidden="false" customHeight="false" outlineLevel="0" collapsed="false">
      <c r="A1289" s="13" t="s">
        <v>4002</v>
      </c>
      <c r="B1289" s="13" t="s">
        <v>143</v>
      </c>
      <c r="C1289" s="13" t="s">
        <v>85</v>
      </c>
      <c r="D1289" s="13" t="s">
        <v>2324</v>
      </c>
      <c r="E1289" s="13" t="s">
        <v>1205</v>
      </c>
      <c r="F1289" s="13" t="n">
        <v>1</v>
      </c>
      <c r="G1289" s="13" t="n">
        <v>1</v>
      </c>
      <c r="H1289" s="5" t="n">
        <v>1100</v>
      </c>
      <c r="I1289" s="7" t="n">
        <v>1</v>
      </c>
      <c r="J1289" s="16" t="n">
        <v>1100</v>
      </c>
      <c r="K1289" s="16" t="n">
        <v>1100</v>
      </c>
      <c r="L1289" s="16"/>
      <c r="M1289" s="16"/>
      <c r="N1289" s="19"/>
    </row>
    <row r="1290" customFormat="false" ht="15" hidden="false" customHeight="false" outlineLevel="0" collapsed="false">
      <c r="A1290" s="13" t="s">
        <v>4003</v>
      </c>
      <c r="B1290" s="13" t="s">
        <v>97</v>
      </c>
      <c r="C1290" s="13" t="s">
        <v>98</v>
      </c>
      <c r="D1290" s="13" t="s">
        <v>2324</v>
      </c>
      <c r="E1290" s="13" t="s">
        <v>1204</v>
      </c>
      <c r="F1290" s="13" t="n">
        <v>1</v>
      </c>
      <c r="G1290" s="13" t="n">
        <v>1</v>
      </c>
      <c r="H1290" s="5" t="n">
        <v>1100</v>
      </c>
      <c r="I1290" s="7" t="n">
        <v>5</v>
      </c>
      <c r="J1290" s="16" t="n">
        <v>220</v>
      </c>
      <c r="K1290" s="16" t="n">
        <v>220</v>
      </c>
      <c r="L1290" s="16"/>
      <c r="M1290" s="16"/>
      <c r="N1290" s="19"/>
    </row>
    <row r="1291" customFormat="false" ht="15" hidden="false" customHeight="false" outlineLevel="0" collapsed="false">
      <c r="A1291" s="13" t="s">
        <v>4004</v>
      </c>
      <c r="B1291" s="13" t="s">
        <v>315</v>
      </c>
      <c r="C1291" s="13" t="s">
        <v>43</v>
      </c>
      <c r="D1291" s="13" t="s">
        <v>2324</v>
      </c>
      <c r="E1291" s="13" t="s">
        <v>554</v>
      </c>
      <c r="F1291" s="13" t="n">
        <v>1</v>
      </c>
      <c r="G1291" s="13" t="n">
        <v>1</v>
      </c>
      <c r="H1291" s="5" t="n">
        <v>1100</v>
      </c>
      <c r="I1291" s="7" t="n">
        <v>2</v>
      </c>
      <c r="J1291" s="16" t="n">
        <v>550</v>
      </c>
      <c r="K1291" s="16"/>
      <c r="L1291" s="16"/>
      <c r="M1291" s="16" t="n">
        <v>550</v>
      </c>
      <c r="N1291" s="19"/>
    </row>
    <row r="1292" customFormat="false" ht="15" hidden="false" customHeight="false" outlineLevel="0" collapsed="false">
      <c r="A1292" s="13" t="s">
        <v>4005</v>
      </c>
      <c r="B1292" s="13" t="s">
        <v>179</v>
      </c>
      <c r="C1292" s="13" t="s">
        <v>85</v>
      </c>
      <c r="D1292" s="13" t="s">
        <v>2324</v>
      </c>
      <c r="E1292" s="13" t="s">
        <v>1207</v>
      </c>
      <c r="F1292" s="13" t="n">
        <v>1</v>
      </c>
      <c r="G1292" s="13" t="n">
        <v>1</v>
      </c>
      <c r="H1292" s="5" t="n">
        <v>1100</v>
      </c>
      <c r="I1292" s="7" t="n">
        <v>5</v>
      </c>
      <c r="J1292" s="16" t="n">
        <v>220</v>
      </c>
      <c r="K1292" s="16" t="n">
        <v>220</v>
      </c>
      <c r="L1292" s="16"/>
      <c r="M1292" s="16"/>
      <c r="N1292" s="19"/>
    </row>
    <row r="1293" customFormat="false" ht="15" hidden="false" customHeight="false" outlineLevel="0" collapsed="false">
      <c r="A1293" s="13" t="s">
        <v>4006</v>
      </c>
      <c r="B1293" s="13" t="s">
        <v>2094</v>
      </c>
      <c r="C1293" s="13" t="s">
        <v>85</v>
      </c>
      <c r="D1293" s="13" t="s">
        <v>2324</v>
      </c>
      <c r="E1293" s="13" t="s">
        <v>4007</v>
      </c>
      <c r="F1293" s="13" t="n">
        <v>1</v>
      </c>
      <c r="G1293" s="13" t="n">
        <v>1</v>
      </c>
      <c r="H1293" s="5" t="n">
        <v>1100</v>
      </c>
      <c r="I1293" s="7" t="n">
        <v>20</v>
      </c>
      <c r="J1293" s="16" t="n">
        <v>55</v>
      </c>
      <c r="K1293" s="16" t="n">
        <v>55</v>
      </c>
      <c r="L1293" s="16"/>
      <c r="M1293" s="16"/>
      <c r="N1293" s="19"/>
    </row>
    <row r="1294" customFormat="false" ht="15" hidden="false" customHeight="false" outlineLevel="0" collapsed="false">
      <c r="A1294" s="13" t="s">
        <v>4008</v>
      </c>
      <c r="B1294" s="13" t="s">
        <v>42</v>
      </c>
      <c r="C1294" s="13" t="s">
        <v>43</v>
      </c>
      <c r="D1294" s="13" t="s">
        <v>2324</v>
      </c>
      <c r="E1294" s="13" t="s">
        <v>1614</v>
      </c>
      <c r="F1294" s="13" t="n">
        <v>1</v>
      </c>
      <c r="G1294" s="13" t="n">
        <v>2</v>
      </c>
      <c r="H1294" s="5" t="n">
        <v>1100</v>
      </c>
      <c r="I1294" s="7" t="n">
        <v>2</v>
      </c>
      <c r="J1294" s="16" t="n">
        <v>550</v>
      </c>
      <c r="K1294" s="16"/>
      <c r="L1294" s="16"/>
      <c r="M1294" s="16" t="n">
        <v>550</v>
      </c>
      <c r="N1294" s="19"/>
    </row>
    <row r="1295" customFormat="false" ht="15" hidden="false" customHeight="false" outlineLevel="0" collapsed="false">
      <c r="A1295" s="13" t="s">
        <v>4009</v>
      </c>
      <c r="B1295" s="13" t="s">
        <v>2111</v>
      </c>
      <c r="C1295" s="13" t="s">
        <v>43</v>
      </c>
      <c r="D1295" s="13" t="s">
        <v>2339</v>
      </c>
      <c r="E1295" s="13" t="s">
        <v>4010</v>
      </c>
      <c r="F1295" s="13" t="n">
        <v>1</v>
      </c>
      <c r="G1295" s="13" t="n">
        <v>2</v>
      </c>
      <c r="H1295" s="5" t="n">
        <v>1100</v>
      </c>
      <c r="I1295" s="7" t="n">
        <v>2</v>
      </c>
      <c r="J1295" s="16" t="n">
        <v>550</v>
      </c>
      <c r="K1295" s="16"/>
      <c r="L1295" s="16" t="n">
        <v>550</v>
      </c>
      <c r="M1295" s="16"/>
      <c r="N1295" s="19"/>
    </row>
    <row r="1296" customFormat="false" ht="15" hidden="false" customHeight="false" outlineLevel="0" collapsed="false">
      <c r="A1296" s="13" t="s">
        <v>4011</v>
      </c>
      <c r="B1296" s="13" t="s">
        <v>79</v>
      </c>
      <c r="C1296" s="13" t="s">
        <v>43</v>
      </c>
      <c r="D1296" s="13" t="s">
        <v>2322</v>
      </c>
      <c r="E1296" s="13" t="s">
        <v>1182</v>
      </c>
      <c r="F1296" s="13" t="n">
        <v>1</v>
      </c>
      <c r="G1296" s="13" t="n">
        <v>1</v>
      </c>
      <c r="H1296" s="5" t="n">
        <v>1100</v>
      </c>
      <c r="I1296" s="7" t="n">
        <v>2</v>
      </c>
      <c r="J1296" s="16" t="n">
        <v>550</v>
      </c>
      <c r="K1296" s="16" t="n">
        <v>550</v>
      </c>
      <c r="L1296" s="16"/>
      <c r="M1296" s="16"/>
      <c r="N1296" s="19"/>
    </row>
    <row r="1297" customFormat="false" ht="15" hidden="false" customHeight="false" outlineLevel="0" collapsed="false">
      <c r="A1297" s="13" t="s">
        <v>4012</v>
      </c>
      <c r="B1297" s="13" t="s">
        <v>2221</v>
      </c>
      <c r="C1297" s="13" t="s">
        <v>85</v>
      </c>
      <c r="D1297" s="13" t="s">
        <v>2324</v>
      </c>
      <c r="E1297" s="13" t="s">
        <v>4013</v>
      </c>
      <c r="F1297" s="13" t="n">
        <v>1</v>
      </c>
      <c r="G1297" s="13" t="n">
        <v>1</v>
      </c>
      <c r="H1297" s="5" t="n">
        <v>1100</v>
      </c>
      <c r="I1297" s="7" t="n">
        <v>2</v>
      </c>
      <c r="J1297" s="16" t="n">
        <v>550</v>
      </c>
      <c r="K1297" s="16" t="n">
        <v>550</v>
      </c>
      <c r="L1297" s="16"/>
      <c r="M1297" s="16"/>
      <c r="N1297" s="19"/>
    </row>
    <row r="1298" customFormat="false" ht="15" hidden="false" customHeight="false" outlineLevel="0" collapsed="false">
      <c r="A1298" s="13" t="s">
        <v>4014</v>
      </c>
      <c r="B1298" s="13" t="s">
        <v>2243</v>
      </c>
      <c r="C1298" s="13" t="s">
        <v>43</v>
      </c>
      <c r="D1298" s="13" t="s">
        <v>2339</v>
      </c>
      <c r="E1298" s="13" t="s">
        <v>4015</v>
      </c>
      <c r="F1298" s="13" t="n">
        <v>1</v>
      </c>
      <c r="G1298" s="13" t="n">
        <v>1</v>
      </c>
      <c r="H1298" s="5" t="n">
        <v>1100</v>
      </c>
      <c r="I1298" s="7" t="n">
        <v>5</v>
      </c>
      <c r="J1298" s="16" t="n">
        <v>220</v>
      </c>
      <c r="K1298" s="16"/>
      <c r="L1298" s="16" t="n">
        <v>220</v>
      </c>
      <c r="M1298" s="16"/>
      <c r="N1298" s="19"/>
    </row>
    <row r="1299" customFormat="false" ht="15" hidden="false" customHeight="false" outlineLevel="0" collapsed="false">
      <c r="A1299" s="13" t="s">
        <v>4016</v>
      </c>
      <c r="B1299" s="13" t="s">
        <v>121</v>
      </c>
      <c r="C1299" s="13" t="s">
        <v>183</v>
      </c>
      <c r="D1299" s="13" t="s">
        <v>2324</v>
      </c>
      <c r="E1299" s="13" t="s">
        <v>1428</v>
      </c>
      <c r="F1299" s="13" t="n">
        <v>1</v>
      </c>
      <c r="G1299" s="13" t="n">
        <v>3</v>
      </c>
      <c r="H1299" s="5" t="n">
        <v>1090</v>
      </c>
      <c r="I1299" s="7" t="n">
        <v>8</v>
      </c>
      <c r="J1299" s="16" t="n">
        <v>136.25</v>
      </c>
      <c r="K1299" s="16"/>
      <c r="L1299" s="16"/>
      <c r="M1299" s="16" t="n">
        <v>136.25</v>
      </c>
      <c r="N1299" s="19"/>
    </row>
    <row r="1300" customFormat="false" ht="15" hidden="false" customHeight="false" outlineLevel="0" collapsed="false">
      <c r="A1300" s="13" t="s">
        <v>4017</v>
      </c>
      <c r="B1300" s="13" t="s">
        <v>50</v>
      </c>
      <c r="C1300" s="13" t="s">
        <v>43</v>
      </c>
      <c r="D1300" s="13" t="s">
        <v>2324</v>
      </c>
      <c r="E1300" s="13" t="s">
        <v>1628</v>
      </c>
      <c r="F1300" s="13" t="n">
        <v>2</v>
      </c>
      <c r="G1300" s="13" t="n">
        <v>2</v>
      </c>
      <c r="H1300" s="5" t="n">
        <v>1080</v>
      </c>
      <c r="I1300" s="7" t="n">
        <v>2</v>
      </c>
      <c r="J1300" s="16" t="n">
        <v>540</v>
      </c>
      <c r="K1300" s="16"/>
      <c r="L1300" s="16" t="n">
        <v>550</v>
      </c>
      <c r="M1300" s="16" t="n">
        <v>530</v>
      </c>
      <c r="N1300" s="19" t="n">
        <v>0.0377358490566038</v>
      </c>
    </row>
    <row r="1301" customFormat="false" ht="15" hidden="false" customHeight="false" outlineLevel="0" collapsed="false">
      <c r="A1301" s="13" t="s">
        <v>4018</v>
      </c>
      <c r="B1301" s="13" t="s">
        <v>2150</v>
      </c>
      <c r="C1301" s="13" t="s">
        <v>43</v>
      </c>
      <c r="D1301" s="13" t="s">
        <v>2324</v>
      </c>
      <c r="E1301" s="13" t="s">
        <v>4019</v>
      </c>
      <c r="F1301" s="13" t="n">
        <v>1</v>
      </c>
      <c r="G1301" s="13" t="n">
        <v>2</v>
      </c>
      <c r="H1301" s="5" t="n">
        <v>1070</v>
      </c>
      <c r="I1301" s="7" t="n">
        <v>7</v>
      </c>
      <c r="J1301" s="16" t="n">
        <v>152.857142857143</v>
      </c>
      <c r="K1301" s="16"/>
      <c r="L1301" s="16"/>
      <c r="M1301" s="16" t="n">
        <v>152.857142857143</v>
      </c>
      <c r="N1301" s="19"/>
    </row>
    <row r="1302" customFormat="false" ht="15" hidden="false" customHeight="false" outlineLevel="0" collapsed="false">
      <c r="A1302" s="13" t="s">
        <v>4020</v>
      </c>
      <c r="B1302" s="13" t="s">
        <v>2201</v>
      </c>
      <c r="C1302" s="13" t="s">
        <v>43</v>
      </c>
      <c r="D1302" s="13" t="s">
        <v>2324</v>
      </c>
      <c r="E1302" s="13" t="s">
        <v>4021</v>
      </c>
      <c r="F1302" s="13" t="n">
        <v>1</v>
      </c>
      <c r="G1302" s="13" t="n">
        <v>2</v>
      </c>
      <c r="H1302" s="5" t="n">
        <v>1070</v>
      </c>
      <c r="I1302" s="7" t="n">
        <v>3</v>
      </c>
      <c r="J1302" s="16" t="n">
        <v>356.666666666667</v>
      </c>
      <c r="K1302" s="16"/>
      <c r="L1302" s="16"/>
      <c r="M1302" s="16" t="n">
        <v>356.666666666667</v>
      </c>
      <c r="N1302" s="19"/>
    </row>
    <row r="1303" customFormat="false" ht="15" hidden="false" customHeight="false" outlineLevel="0" collapsed="false">
      <c r="A1303" s="13" t="s">
        <v>4022</v>
      </c>
      <c r="B1303" s="13" t="s">
        <v>195</v>
      </c>
      <c r="C1303" s="13" t="s">
        <v>43</v>
      </c>
      <c r="D1303" s="13" t="s">
        <v>2339</v>
      </c>
      <c r="E1303" s="13" t="s">
        <v>1831</v>
      </c>
      <c r="F1303" s="13" t="n">
        <v>1</v>
      </c>
      <c r="G1303" s="13" t="n">
        <v>2</v>
      </c>
      <c r="H1303" s="5" t="n">
        <v>1070</v>
      </c>
      <c r="I1303" s="7" t="n">
        <v>3</v>
      </c>
      <c r="J1303" s="16" t="n">
        <v>356.666666666667</v>
      </c>
      <c r="K1303" s="16"/>
      <c r="L1303" s="16"/>
      <c r="M1303" s="16" t="n">
        <v>356.666666666667</v>
      </c>
      <c r="N1303" s="19"/>
    </row>
    <row r="1304" customFormat="false" ht="15" hidden="false" customHeight="false" outlineLevel="0" collapsed="false">
      <c r="A1304" s="13" t="s">
        <v>4023</v>
      </c>
      <c r="B1304" s="13" t="s">
        <v>105</v>
      </c>
      <c r="C1304" s="13" t="s">
        <v>43</v>
      </c>
      <c r="D1304" s="13" t="s">
        <v>2324</v>
      </c>
      <c r="E1304" s="13" t="s">
        <v>1648</v>
      </c>
      <c r="F1304" s="13" t="n">
        <v>1</v>
      </c>
      <c r="G1304" s="13" t="n">
        <v>2</v>
      </c>
      <c r="H1304" s="5" t="n">
        <v>1060</v>
      </c>
      <c r="I1304" s="7" t="n">
        <v>2</v>
      </c>
      <c r="J1304" s="16" t="n">
        <v>530</v>
      </c>
      <c r="K1304" s="16"/>
      <c r="L1304" s="16"/>
      <c r="M1304" s="16" t="n">
        <v>530</v>
      </c>
      <c r="N1304" s="19"/>
    </row>
    <row r="1305" customFormat="false" ht="15" hidden="false" customHeight="false" outlineLevel="0" collapsed="false">
      <c r="A1305" s="13" t="s">
        <v>4024</v>
      </c>
      <c r="B1305" s="13" t="s">
        <v>107</v>
      </c>
      <c r="C1305" s="13" t="s">
        <v>43</v>
      </c>
      <c r="D1305" s="13" t="s">
        <v>2685</v>
      </c>
      <c r="E1305" s="13" t="s">
        <v>1581</v>
      </c>
      <c r="F1305" s="13" t="n">
        <v>1</v>
      </c>
      <c r="G1305" s="13" t="n">
        <v>2</v>
      </c>
      <c r="H1305" s="5" t="n">
        <v>1050</v>
      </c>
      <c r="I1305" s="7" t="n">
        <v>4</v>
      </c>
      <c r="J1305" s="16" t="n">
        <v>262.5</v>
      </c>
      <c r="K1305" s="16"/>
      <c r="L1305" s="16"/>
      <c r="M1305" s="16" t="n">
        <v>262.5</v>
      </c>
      <c r="N1305" s="19"/>
    </row>
    <row r="1306" customFormat="false" ht="15" hidden="false" customHeight="false" outlineLevel="0" collapsed="false">
      <c r="A1306" s="13" t="s">
        <v>4025</v>
      </c>
      <c r="B1306" s="13" t="s">
        <v>107</v>
      </c>
      <c r="C1306" s="13" t="s">
        <v>43</v>
      </c>
      <c r="D1306" s="13" t="s">
        <v>4026</v>
      </c>
      <c r="E1306" s="13" t="s">
        <v>1823</v>
      </c>
      <c r="F1306" s="13" t="n">
        <v>1</v>
      </c>
      <c r="G1306" s="13" t="n">
        <v>3</v>
      </c>
      <c r="H1306" s="5" t="n">
        <v>1040</v>
      </c>
      <c r="I1306" s="7" t="n">
        <v>6</v>
      </c>
      <c r="J1306" s="16" t="n">
        <v>173.333333333333</v>
      </c>
      <c r="K1306" s="16"/>
      <c r="L1306" s="16"/>
      <c r="M1306" s="16" t="n">
        <v>173.333333333333</v>
      </c>
      <c r="N1306" s="19"/>
    </row>
    <row r="1307" customFormat="false" ht="15" hidden="false" customHeight="false" outlineLevel="0" collapsed="false">
      <c r="A1307" s="13" t="s">
        <v>4027</v>
      </c>
      <c r="B1307" s="13" t="s">
        <v>2120</v>
      </c>
      <c r="C1307" s="13" t="s">
        <v>85</v>
      </c>
      <c r="D1307" s="13" t="s">
        <v>2751</v>
      </c>
      <c r="E1307" s="13" t="s">
        <v>3152</v>
      </c>
      <c r="F1307" s="13" t="n">
        <v>1</v>
      </c>
      <c r="G1307" s="13" t="n">
        <v>2</v>
      </c>
      <c r="H1307" s="5" t="n">
        <v>1040</v>
      </c>
      <c r="I1307" s="7" t="n">
        <v>2</v>
      </c>
      <c r="J1307" s="16" t="n">
        <v>520</v>
      </c>
      <c r="K1307" s="16"/>
      <c r="L1307" s="16" t="n">
        <v>520</v>
      </c>
      <c r="M1307" s="16"/>
      <c r="N1307" s="19"/>
    </row>
    <row r="1308" customFormat="false" ht="15" hidden="false" customHeight="false" outlineLevel="0" collapsed="false">
      <c r="A1308" s="13" t="s">
        <v>4028</v>
      </c>
      <c r="B1308" s="13" t="s">
        <v>312</v>
      </c>
      <c r="C1308" s="13" t="s">
        <v>43</v>
      </c>
      <c r="D1308" s="13" t="s">
        <v>2339</v>
      </c>
      <c r="E1308" s="13" t="s">
        <v>1575</v>
      </c>
      <c r="F1308" s="13" t="n">
        <v>2</v>
      </c>
      <c r="G1308" s="13" t="n">
        <v>2</v>
      </c>
      <c r="H1308" s="5" t="n">
        <v>1030</v>
      </c>
      <c r="I1308" s="7" t="n">
        <v>4</v>
      </c>
      <c r="J1308" s="16" t="n">
        <v>257.5</v>
      </c>
      <c r="K1308" s="16" t="n">
        <v>305</v>
      </c>
      <c r="L1308" s="16" t="n">
        <v>210</v>
      </c>
      <c r="M1308" s="16"/>
      <c r="N1308" s="19" t="n">
        <v>0.452380952380952</v>
      </c>
    </row>
    <row r="1309" customFormat="false" ht="15" hidden="false" customHeight="false" outlineLevel="0" collapsed="false">
      <c r="A1309" s="13" t="s">
        <v>4029</v>
      </c>
      <c r="B1309" s="13" t="s">
        <v>45</v>
      </c>
      <c r="C1309" s="13" t="s">
        <v>43</v>
      </c>
      <c r="D1309" s="13" t="s">
        <v>2324</v>
      </c>
      <c r="E1309" s="13" t="s">
        <v>1645</v>
      </c>
      <c r="F1309" s="13" t="n">
        <v>1</v>
      </c>
      <c r="G1309" s="13" t="n">
        <v>2</v>
      </c>
      <c r="H1309" s="5" t="n">
        <v>1010</v>
      </c>
      <c r="I1309" s="7" t="n">
        <v>4</v>
      </c>
      <c r="J1309" s="16" t="n">
        <v>252.5</v>
      </c>
      <c r="K1309" s="16"/>
      <c r="L1309" s="16" t="n">
        <v>252.5</v>
      </c>
      <c r="M1309" s="16"/>
      <c r="N1309" s="19"/>
    </row>
    <row r="1310" customFormat="false" ht="15" hidden="false" customHeight="false" outlineLevel="0" collapsed="false">
      <c r="A1310" s="13" t="s">
        <v>4030</v>
      </c>
      <c r="B1310" s="13" t="s">
        <v>329</v>
      </c>
      <c r="C1310" s="13" t="s">
        <v>43</v>
      </c>
      <c r="D1310" s="13" t="s">
        <v>2500</v>
      </c>
      <c r="E1310" s="13" t="s">
        <v>1586</v>
      </c>
      <c r="F1310" s="13" t="n">
        <v>2</v>
      </c>
      <c r="G1310" s="13" t="n">
        <v>2</v>
      </c>
      <c r="H1310" s="5" t="n">
        <v>1010</v>
      </c>
      <c r="I1310" s="7" t="n">
        <v>2</v>
      </c>
      <c r="J1310" s="16" t="n">
        <v>505</v>
      </c>
      <c r="K1310" s="16"/>
      <c r="L1310" s="16" t="n">
        <v>410</v>
      </c>
      <c r="M1310" s="16" t="n">
        <v>600</v>
      </c>
      <c r="N1310" s="19" t="n">
        <v>0.463414634146342</v>
      </c>
    </row>
    <row r="1311" customFormat="false" ht="15" hidden="false" customHeight="false" outlineLevel="0" collapsed="false">
      <c r="A1311" s="13" t="s">
        <v>4031</v>
      </c>
      <c r="B1311" s="13" t="s">
        <v>195</v>
      </c>
      <c r="C1311" s="13" t="s">
        <v>43</v>
      </c>
      <c r="D1311" s="13" t="s">
        <v>2324</v>
      </c>
      <c r="E1311" s="13" t="s">
        <v>1228</v>
      </c>
      <c r="F1311" s="13" t="n">
        <v>1</v>
      </c>
      <c r="G1311" s="13" t="n">
        <v>1</v>
      </c>
      <c r="H1311" s="5" t="n">
        <v>1000</v>
      </c>
      <c r="I1311" s="7" t="n">
        <v>2</v>
      </c>
      <c r="J1311" s="16" t="n">
        <v>500</v>
      </c>
      <c r="K1311" s="16" t="n">
        <v>500</v>
      </c>
      <c r="L1311" s="16"/>
      <c r="M1311" s="16"/>
      <c r="N1311" s="19"/>
    </row>
    <row r="1312" customFormat="false" ht="15" hidden="false" customHeight="false" outlineLevel="0" collapsed="false">
      <c r="A1312" s="13" t="s">
        <v>4032</v>
      </c>
      <c r="B1312" s="13" t="s">
        <v>50</v>
      </c>
      <c r="C1312" s="13" t="s">
        <v>43</v>
      </c>
      <c r="D1312" s="13" t="s">
        <v>2324</v>
      </c>
      <c r="E1312" s="13" t="s">
        <v>644</v>
      </c>
      <c r="F1312" s="13" t="n">
        <v>1</v>
      </c>
      <c r="G1312" s="13" t="n">
        <v>1</v>
      </c>
      <c r="H1312" s="5" t="n">
        <v>1000</v>
      </c>
      <c r="I1312" s="7" t="n">
        <v>2</v>
      </c>
      <c r="J1312" s="16" t="n">
        <v>500</v>
      </c>
      <c r="K1312" s="16"/>
      <c r="L1312" s="16" t="n">
        <v>500</v>
      </c>
      <c r="M1312" s="16"/>
      <c r="N1312" s="19"/>
    </row>
    <row r="1313" customFormat="false" ht="15" hidden="false" customHeight="false" outlineLevel="0" collapsed="false">
      <c r="A1313" s="13" t="s">
        <v>4033</v>
      </c>
      <c r="B1313" s="13" t="s">
        <v>79</v>
      </c>
      <c r="C1313" s="13" t="s">
        <v>43</v>
      </c>
      <c r="D1313" s="13" t="s">
        <v>2324</v>
      </c>
      <c r="E1313" s="13" t="s">
        <v>1220</v>
      </c>
      <c r="F1313" s="13" t="n">
        <v>1</v>
      </c>
      <c r="G1313" s="13" t="n">
        <v>1</v>
      </c>
      <c r="H1313" s="5" t="n">
        <v>1000</v>
      </c>
      <c r="I1313" s="7" t="n">
        <v>1</v>
      </c>
      <c r="J1313" s="16" t="n">
        <v>1000</v>
      </c>
      <c r="K1313" s="16"/>
      <c r="L1313" s="16" t="n">
        <v>1000</v>
      </c>
      <c r="M1313" s="16"/>
      <c r="N1313" s="19"/>
    </row>
    <row r="1314" customFormat="false" ht="15" hidden="false" customHeight="false" outlineLevel="0" collapsed="false">
      <c r="A1314" s="13" t="s">
        <v>4034</v>
      </c>
      <c r="B1314" s="13" t="s">
        <v>79</v>
      </c>
      <c r="C1314" s="13" t="s">
        <v>43</v>
      </c>
      <c r="D1314" s="13" t="s">
        <v>2324</v>
      </c>
      <c r="E1314" s="13" t="s">
        <v>1231</v>
      </c>
      <c r="F1314" s="13" t="n">
        <v>1</v>
      </c>
      <c r="G1314" s="13" t="n">
        <v>1</v>
      </c>
      <c r="H1314" s="5" t="n">
        <v>1000</v>
      </c>
      <c r="I1314" s="7" t="n">
        <v>2</v>
      </c>
      <c r="J1314" s="16" t="n">
        <v>500</v>
      </c>
      <c r="K1314" s="16"/>
      <c r="L1314" s="16" t="n">
        <v>500</v>
      </c>
      <c r="M1314" s="16"/>
      <c r="N1314" s="19"/>
    </row>
    <row r="1315" customFormat="false" ht="15" hidden="false" customHeight="false" outlineLevel="0" collapsed="false">
      <c r="A1315" s="13" t="s">
        <v>4035</v>
      </c>
      <c r="B1315" s="13" t="s">
        <v>153</v>
      </c>
      <c r="C1315" s="13" t="s">
        <v>43</v>
      </c>
      <c r="D1315" s="13" t="s">
        <v>2324</v>
      </c>
      <c r="E1315" s="13" t="s">
        <v>593</v>
      </c>
      <c r="F1315" s="13" t="n">
        <v>1</v>
      </c>
      <c r="G1315" s="13" t="n">
        <v>1</v>
      </c>
      <c r="H1315" s="5" t="n">
        <v>1000</v>
      </c>
      <c r="I1315" s="7" t="n">
        <v>2</v>
      </c>
      <c r="J1315" s="16" t="n">
        <v>500</v>
      </c>
      <c r="K1315" s="16"/>
      <c r="L1315" s="16"/>
      <c r="M1315" s="16" t="n">
        <v>500</v>
      </c>
      <c r="N1315" s="19"/>
    </row>
    <row r="1316" customFormat="false" ht="15" hidden="false" customHeight="false" outlineLevel="0" collapsed="false">
      <c r="A1316" s="13" t="s">
        <v>4036</v>
      </c>
      <c r="B1316" s="13" t="s">
        <v>2134</v>
      </c>
      <c r="C1316" s="13" t="s">
        <v>43</v>
      </c>
      <c r="D1316" s="13" t="s">
        <v>2422</v>
      </c>
      <c r="E1316" s="13" t="s">
        <v>4037</v>
      </c>
      <c r="F1316" s="13" t="n">
        <v>1</v>
      </c>
      <c r="G1316" s="13" t="n">
        <v>1</v>
      </c>
      <c r="H1316" s="5" t="n">
        <v>1000</v>
      </c>
      <c r="I1316" s="7" t="n">
        <v>2</v>
      </c>
      <c r="J1316" s="16" t="n">
        <v>500</v>
      </c>
      <c r="K1316" s="16"/>
      <c r="L1316" s="16" t="n">
        <v>500</v>
      </c>
      <c r="M1316" s="16"/>
      <c r="N1316" s="19"/>
    </row>
    <row r="1317" customFormat="false" ht="15" hidden="false" customHeight="false" outlineLevel="0" collapsed="false">
      <c r="A1317" s="13" t="s">
        <v>4038</v>
      </c>
      <c r="B1317" s="13" t="s">
        <v>2142</v>
      </c>
      <c r="C1317" s="13" t="s">
        <v>183</v>
      </c>
      <c r="D1317" s="13" t="s">
        <v>2324</v>
      </c>
      <c r="E1317" s="13" t="s">
        <v>4039</v>
      </c>
      <c r="F1317" s="13" t="n">
        <v>1</v>
      </c>
      <c r="G1317" s="13" t="n">
        <v>1</v>
      </c>
      <c r="H1317" s="5" t="n">
        <v>1000</v>
      </c>
      <c r="I1317" s="7" t="n">
        <v>30</v>
      </c>
      <c r="J1317" s="16" t="n">
        <v>33.3333333333333</v>
      </c>
      <c r="K1317" s="16" t="n">
        <v>33.3333333333333</v>
      </c>
      <c r="L1317" s="16"/>
      <c r="M1317" s="16"/>
      <c r="N1317" s="19"/>
    </row>
    <row r="1318" customFormat="false" ht="15" hidden="false" customHeight="false" outlineLevel="0" collapsed="false">
      <c r="A1318" s="13" t="s">
        <v>4040</v>
      </c>
      <c r="B1318" s="13" t="s">
        <v>2118</v>
      </c>
      <c r="C1318" s="13" t="s">
        <v>43</v>
      </c>
      <c r="D1318" s="13" t="s">
        <v>2324</v>
      </c>
      <c r="E1318" s="13" t="s">
        <v>842</v>
      </c>
      <c r="F1318" s="13" t="n">
        <v>1</v>
      </c>
      <c r="G1318" s="13" t="n">
        <v>1</v>
      </c>
      <c r="H1318" s="5" t="n">
        <v>1000</v>
      </c>
      <c r="I1318" s="7" t="n">
        <v>1</v>
      </c>
      <c r="J1318" s="16" t="n">
        <v>1000</v>
      </c>
      <c r="K1318" s="16"/>
      <c r="L1318" s="16"/>
      <c r="M1318" s="16" t="n">
        <v>1000</v>
      </c>
      <c r="N1318" s="19"/>
    </row>
    <row r="1319" customFormat="false" ht="15" hidden="false" customHeight="false" outlineLevel="0" collapsed="false">
      <c r="A1319" s="13" t="s">
        <v>4041</v>
      </c>
      <c r="B1319" s="13" t="s">
        <v>191</v>
      </c>
      <c r="C1319" s="13" t="s">
        <v>85</v>
      </c>
      <c r="D1319" s="13" t="s">
        <v>2324</v>
      </c>
      <c r="E1319" s="13" t="s">
        <v>1227</v>
      </c>
      <c r="F1319" s="13" t="n">
        <v>1</v>
      </c>
      <c r="G1319" s="13" t="n">
        <v>1</v>
      </c>
      <c r="H1319" s="5" t="n">
        <v>1000</v>
      </c>
      <c r="I1319" s="7" t="n">
        <v>40</v>
      </c>
      <c r="J1319" s="16" t="n">
        <v>25</v>
      </c>
      <c r="K1319" s="16" t="n">
        <v>25</v>
      </c>
      <c r="L1319" s="16"/>
      <c r="M1319" s="16"/>
      <c r="N1319" s="19"/>
    </row>
    <row r="1320" customFormat="false" ht="15" hidden="false" customHeight="false" outlineLevel="0" collapsed="false">
      <c r="A1320" s="13" t="s">
        <v>4042</v>
      </c>
      <c r="B1320" s="13" t="s">
        <v>229</v>
      </c>
      <c r="C1320" s="13" t="s">
        <v>43</v>
      </c>
      <c r="D1320" s="13" t="s">
        <v>2324</v>
      </c>
      <c r="E1320" s="13" t="s">
        <v>1216</v>
      </c>
      <c r="F1320" s="13" t="n">
        <v>1</v>
      </c>
      <c r="G1320" s="13" t="n">
        <v>1</v>
      </c>
      <c r="H1320" s="5" t="n">
        <v>1000</v>
      </c>
      <c r="I1320" s="7" t="n">
        <v>5</v>
      </c>
      <c r="J1320" s="16" t="n">
        <v>200</v>
      </c>
      <c r="K1320" s="16"/>
      <c r="L1320" s="16"/>
      <c r="M1320" s="16" t="n">
        <v>200</v>
      </c>
      <c r="N1320" s="19"/>
    </row>
    <row r="1321" customFormat="false" ht="15" hidden="false" customHeight="false" outlineLevel="0" collapsed="false">
      <c r="A1321" s="13" t="s">
        <v>4043</v>
      </c>
      <c r="B1321" s="13" t="s">
        <v>2142</v>
      </c>
      <c r="C1321" s="13" t="s">
        <v>85</v>
      </c>
      <c r="D1321" s="13" t="s">
        <v>2324</v>
      </c>
      <c r="E1321" s="13" t="s">
        <v>4044</v>
      </c>
      <c r="F1321" s="13" t="n">
        <v>1</v>
      </c>
      <c r="G1321" s="13" t="n">
        <v>1</v>
      </c>
      <c r="H1321" s="5" t="n">
        <v>1000</v>
      </c>
      <c r="I1321" s="7" t="n">
        <v>30</v>
      </c>
      <c r="J1321" s="16" t="n">
        <v>33.3333333333333</v>
      </c>
      <c r="K1321" s="16" t="n">
        <v>33.3333333333333</v>
      </c>
      <c r="L1321" s="16"/>
      <c r="M1321" s="16"/>
      <c r="N1321" s="19"/>
    </row>
    <row r="1322" customFormat="false" ht="15" hidden="false" customHeight="false" outlineLevel="0" collapsed="false">
      <c r="A1322" s="13" t="s">
        <v>4045</v>
      </c>
      <c r="B1322" s="13" t="s">
        <v>2124</v>
      </c>
      <c r="C1322" s="13" t="s">
        <v>43</v>
      </c>
      <c r="D1322" s="13" t="s">
        <v>2339</v>
      </c>
      <c r="E1322" s="13" t="s">
        <v>4046</v>
      </c>
      <c r="F1322" s="13" t="n">
        <v>1</v>
      </c>
      <c r="G1322" s="13" t="n">
        <v>1</v>
      </c>
      <c r="H1322" s="5" t="n">
        <v>1000</v>
      </c>
      <c r="I1322" s="7" t="n">
        <v>10</v>
      </c>
      <c r="J1322" s="16" t="n">
        <v>100</v>
      </c>
      <c r="K1322" s="16" t="n">
        <v>100</v>
      </c>
      <c r="L1322" s="16"/>
      <c r="M1322" s="16"/>
      <c r="N1322" s="19"/>
    </row>
    <row r="1323" customFormat="false" ht="15" hidden="false" customHeight="false" outlineLevel="0" collapsed="false">
      <c r="A1323" s="13" t="s">
        <v>4047</v>
      </c>
      <c r="B1323" s="13" t="s">
        <v>2134</v>
      </c>
      <c r="C1323" s="13" t="s">
        <v>43</v>
      </c>
      <c r="D1323" s="13" t="s">
        <v>2337</v>
      </c>
      <c r="E1323" s="13" t="s">
        <v>4048</v>
      </c>
      <c r="F1323" s="13" t="n">
        <v>1</v>
      </c>
      <c r="G1323" s="13" t="n">
        <v>1</v>
      </c>
      <c r="H1323" s="5" t="n">
        <v>1000</v>
      </c>
      <c r="I1323" s="7" t="n">
        <v>2</v>
      </c>
      <c r="J1323" s="16" t="n">
        <v>500</v>
      </c>
      <c r="K1323" s="16"/>
      <c r="L1323" s="16" t="n">
        <v>500</v>
      </c>
      <c r="M1323" s="16"/>
      <c r="N1323" s="19"/>
    </row>
    <row r="1324" customFormat="false" ht="15" hidden="false" customHeight="false" outlineLevel="0" collapsed="false">
      <c r="A1324" s="13" t="s">
        <v>4049</v>
      </c>
      <c r="B1324" s="13" t="s">
        <v>2201</v>
      </c>
      <c r="C1324" s="13" t="s">
        <v>43</v>
      </c>
      <c r="D1324" s="13" t="s">
        <v>2324</v>
      </c>
      <c r="E1324" s="13" t="s">
        <v>4050</v>
      </c>
      <c r="F1324" s="13" t="n">
        <v>1</v>
      </c>
      <c r="G1324" s="13" t="n">
        <v>1</v>
      </c>
      <c r="H1324" s="5" t="n">
        <v>1000</v>
      </c>
      <c r="I1324" s="7" t="n">
        <v>5</v>
      </c>
      <c r="J1324" s="16" t="n">
        <v>200</v>
      </c>
      <c r="K1324" s="16"/>
      <c r="L1324" s="16"/>
      <c r="M1324" s="16" t="n">
        <v>200</v>
      </c>
      <c r="N1324" s="19"/>
    </row>
    <row r="1325" customFormat="false" ht="15" hidden="false" customHeight="false" outlineLevel="0" collapsed="false">
      <c r="A1325" s="13" t="s">
        <v>4051</v>
      </c>
      <c r="B1325" s="13" t="s">
        <v>61</v>
      </c>
      <c r="C1325" s="13" t="s">
        <v>43</v>
      </c>
      <c r="D1325" s="13" t="s">
        <v>2324</v>
      </c>
      <c r="E1325" s="13" t="s">
        <v>1215</v>
      </c>
      <c r="F1325" s="13" t="n">
        <v>1</v>
      </c>
      <c r="G1325" s="13" t="n">
        <v>1</v>
      </c>
      <c r="H1325" s="5" t="n">
        <v>1000</v>
      </c>
      <c r="I1325" s="7" t="n">
        <v>1</v>
      </c>
      <c r="J1325" s="16" t="n">
        <v>1000</v>
      </c>
      <c r="K1325" s="16"/>
      <c r="L1325" s="16"/>
      <c r="M1325" s="16" t="n">
        <v>1000</v>
      </c>
      <c r="N1325" s="19"/>
    </row>
    <row r="1326" customFormat="false" ht="15" hidden="false" customHeight="false" outlineLevel="0" collapsed="false">
      <c r="A1326" s="13" t="s">
        <v>4052</v>
      </c>
      <c r="B1326" s="13" t="s">
        <v>365</v>
      </c>
      <c r="C1326" s="13" t="s">
        <v>43</v>
      </c>
      <c r="D1326" s="13" t="s">
        <v>2339</v>
      </c>
      <c r="E1326" s="13" t="s">
        <v>1918</v>
      </c>
      <c r="F1326" s="13" t="n">
        <v>2</v>
      </c>
      <c r="G1326" s="13" t="n">
        <v>2</v>
      </c>
      <c r="H1326" s="5" t="n">
        <v>1000</v>
      </c>
      <c r="I1326" s="7" t="n">
        <v>3</v>
      </c>
      <c r="J1326" s="16" t="n">
        <v>333.333333333333</v>
      </c>
      <c r="K1326" s="16"/>
      <c r="L1326" s="16" t="n">
        <v>270</v>
      </c>
      <c r="M1326" s="16" t="n">
        <v>365</v>
      </c>
      <c r="N1326" s="19" t="n">
        <v>0.351851851851852</v>
      </c>
    </row>
    <row r="1327" customFormat="false" ht="15" hidden="false" customHeight="false" outlineLevel="0" collapsed="false">
      <c r="A1327" s="13" t="s">
        <v>4053</v>
      </c>
      <c r="B1327" s="13" t="s">
        <v>2124</v>
      </c>
      <c r="C1327" s="13" t="s">
        <v>43</v>
      </c>
      <c r="D1327" s="13" t="s">
        <v>2339</v>
      </c>
      <c r="E1327" s="13" t="s">
        <v>4054</v>
      </c>
      <c r="F1327" s="13" t="n">
        <v>1</v>
      </c>
      <c r="G1327" s="13" t="n">
        <v>1</v>
      </c>
      <c r="H1327" s="5" t="n">
        <v>1000</v>
      </c>
      <c r="I1327" s="7" t="n">
        <v>20</v>
      </c>
      <c r="J1327" s="16" t="n">
        <v>50</v>
      </c>
      <c r="K1327" s="16" t="n">
        <v>50</v>
      </c>
      <c r="L1327" s="16"/>
      <c r="M1327" s="16"/>
      <c r="N1327" s="19"/>
    </row>
    <row r="1328" customFormat="false" ht="15" hidden="false" customHeight="false" outlineLevel="0" collapsed="false">
      <c r="A1328" s="13" t="s">
        <v>4055</v>
      </c>
      <c r="B1328" s="13" t="s">
        <v>2173</v>
      </c>
      <c r="C1328" s="13" t="s">
        <v>180</v>
      </c>
      <c r="D1328" s="13" t="s">
        <v>2324</v>
      </c>
      <c r="E1328" s="13" t="s">
        <v>4056</v>
      </c>
      <c r="F1328" s="13" t="n">
        <v>1</v>
      </c>
      <c r="G1328" s="13" t="n">
        <v>1</v>
      </c>
      <c r="H1328" s="5" t="n">
        <v>1000</v>
      </c>
      <c r="I1328" s="7" t="n">
        <v>20</v>
      </c>
      <c r="J1328" s="16" t="n">
        <v>50</v>
      </c>
      <c r="K1328" s="16" t="n">
        <v>50</v>
      </c>
      <c r="L1328" s="16"/>
      <c r="M1328" s="16"/>
      <c r="N1328" s="19"/>
    </row>
    <row r="1329" customFormat="false" ht="15" hidden="false" customHeight="false" outlineLevel="0" collapsed="false">
      <c r="A1329" s="13" t="s">
        <v>4057</v>
      </c>
      <c r="B1329" s="13" t="s">
        <v>69</v>
      </c>
      <c r="C1329" s="13" t="s">
        <v>43</v>
      </c>
      <c r="D1329" s="13" t="s">
        <v>2324</v>
      </c>
      <c r="E1329" s="13" t="s">
        <v>1213</v>
      </c>
      <c r="F1329" s="13" t="n">
        <v>1</v>
      </c>
      <c r="G1329" s="13" t="n">
        <v>1</v>
      </c>
      <c r="H1329" s="5" t="n">
        <v>1000</v>
      </c>
      <c r="I1329" s="7" t="n">
        <v>1</v>
      </c>
      <c r="J1329" s="16" t="n">
        <v>1000</v>
      </c>
      <c r="K1329" s="16"/>
      <c r="L1329" s="16"/>
      <c r="M1329" s="16" t="n">
        <v>1000</v>
      </c>
      <c r="N1329" s="19"/>
    </row>
    <row r="1330" customFormat="false" ht="15" hidden="false" customHeight="false" outlineLevel="0" collapsed="false">
      <c r="A1330" s="13" t="s">
        <v>4058</v>
      </c>
      <c r="B1330" s="13" t="s">
        <v>79</v>
      </c>
      <c r="C1330" s="13" t="s">
        <v>43</v>
      </c>
      <c r="D1330" s="13" t="s">
        <v>2324</v>
      </c>
      <c r="E1330" s="13" t="s">
        <v>1238</v>
      </c>
      <c r="F1330" s="13" t="n">
        <v>1</v>
      </c>
      <c r="G1330" s="13" t="n">
        <v>1</v>
      </c>
      <c r="H1330" s="5" t="n">
        <v>1000</v>
      </c>
      <c r="I1330" s="7" t="n">
        <v>1</v>
      </c>
      <c r="J1330" s="16" t="n">
        <v>1000</v>
      </c>
      <c r="K1330" s="16"/>
      <c r="L1330" s="16"/>
      <c r="M1330" s="16" t="n">
        <v>1000</v>
      </c>
      <c r="N1330" s="19"/>
    </row>
    <row r="1331" customFormat="false" ht="15" hidden="false" customHeight="false" outlineLevel="0" collapsed="false">
      <c r="A1331" s="13" t="s">
        <v>4059</v>
      </c>
      <c r="B1331" s="13" t="s">
        <v>2111</v>
      </c>
      <c r="C1331" s="13" t="s">
        <v>43</v>
      </c>
      <c r="D1331" s="13" t="s">
        <v>3151</v>
      </c>
      <c r="E1331" s="13" t="s">
        <v>4060</v>
      </c>
      <c r="F1331" s="13" t="n">
        <v>2</v>
      </c>
      <c r="G1331" s="13" t="n">
        <v>2</v>
      </c>
      <c r="H1331" s="5" t="n">
        <v>990</v>
      </c>
      <c r="I1331" s="7" t="n">
        <v>2</v>
      </c>
      <c r="J1331" s="16" t="n">
        <v>495</v>
      </c>
      <c r="K1331" s="16"/>
      <c r="L1331" s="16" t="n">
        <v>500</v>
      </c>
      <c r="M1331" s="16" t="n">
        <v>490</v>
      </c>
      <c r="N1331" s="19" t="n">
        <v>0.0204081632653061</v>
      </c>
    </row>
    <row r="1332" customFormat="false" ht="15" hidden="false" customHeight="false" outlineLevel="0" collapsed="false">
      <c r="A1332" s="13" t="s">
        <v>4061</v>
      </c>
      <c r="B1332" s="13" t="s">
        <v>107</v>
      </c>
      <c r="C1332" s="13" t="s">
        <v>183</v>
      </c>
      <c r="D1332" s="13" t="s">
        <v>2324</v>
      </c>
      <c r="E1332" s="13" t="s">
        <v>1431</v>
      </c>
      <c r="F1332" s="13" t="n">
        <v>1</v>
      </c>
      <c r="G1332" s="13" t="n">
        <v>2</v>
      </c>
      <c r="H1332" s="5" t="n">
        <v>990</v>
      </c>
      <c r="I1332" s="7" t="n">
        <v>3</v>
      </c>
      <c r="J1332" s="16" t="n">
        <v>330</v>
      </c>
      <c r="K1332" s="16"/>
      <c r="L1332" s="16"/>
      <c r="M1332" s="16" t="n">
        <v>330</v>
      </c>
      <c r="N1332" s="19"/>
    </row>
    <row r="1333" customFormat="false" ht="15" hidden="false" customHeight="false" outlineLevel="0" collapsed="false">
      <c r="A1333" s="13" t="s">
        <v>4062</v>
      </c>
      <c r="B1333" s="13" t="s">
        <v>2130</v>
      </c>
      <c r="C1333" s="13" t="s">
        <v>43</v>
      </c>
      <c r="D1333" s="13" t="s">
        <v>2324</v>
      </c>
      <c r="E1333" s="13" t="s">
        <v>4063</v>
      </c>
      <c r="F1333" s="13" t="n">
        <v>1</v>
      </c>
      <c r="G1333" s="13" t="n">
        <v>1</v>
      </c>
      <c r="H1333" s="5" t="n">
        <v>990</v>
      </c>
      <c r="I1333" s="7" t="n">
        <v>2</v>
      </c>
      <c r="J1333" s="16" t="n">
        <v>495</v>
      </c>
      <c r="K1333" s="16"/>
      <c r="L1333" s="16"/>
      <c r="M1333" s="16" t="n">
        <v>495</v>
      </c>
      <c r="N1333" s="19"/>
    </row>
    <row r="1334" customFormat="false" ht="15" hidden="false" customHeight="false" outlineLevel="0" collapsed="false">
      <c r="A1334" s="13" t="s">
        <v>4064</v>
      </c>
      <c r="B1334" s="13" t="s">
        <v>2101</v>
      </c>
      <c r="C1334" s="13" t="s">
        <v>85</v>
      </c>
      <c r="D1334" s="13" t="s">
        <v>2324</v>
      </c>
      <c r="E1334" s="13" t="s">
        <v>4065</v>
      </c>
      <c r="F1334" s="13" t="n">
        <v>1</v>
      </c>
      <c r="G1334" s="13" t="n">
        <v>1</v>
      </c>
      <c r="H1334" s="5" t="n">
        <v>990</v>
      </c>
      <c r="I1334" s="7" t="n">
        <v>20</v>
      </c>
      <c r="J1334" s="16" t="n">
        <v>49.5</v>
      </c>
      <c r="K1334" s="16" t="n">
        <v>49.5</v>
      </c>
      <c r="L1334" s="16"/>
      <c r="M1334" s="16"/>
      <c r="N1334" s="19"/>
    </row>
    <row r="1335" customFormat="false" ht="15" hidden="false" customHeight="false" outlineLevel="0" collapsed="false">
      <c r="A1335" s="13" t="s">
        <v>4066</v>
      </c>
      <c r="B1335" s="13" t="s">
        <v>61</v>
      </c>
      <c r="C1335" s="13" t="s">
        <v>43</v>
      </c>
      <c r="D1335" s="13" t="s">
        <v>2324</v>
      </c>
      <c r="E1335" s="13" t="s">
        <v>1247</v>
      </c>
      <c r="F1335" s="13" t="n">
        <v>1</v>
      </c>
      <c r="G1335" s="13" t="n">
        <v>1</v>
      </c>
      <c r="H1335" s="5" t="n">
        <v>990</v>
      </c>
      <c r="I1335" s="7" t="n">
        <v>2</v>
      </c>
      <c r="J1335" s="16" t="n">
        <v>495</v>
      </c>
      <c r="K1335" s="16"/>
      <c r="L1335" s="16"/>
      <c r="M1335" s="16" t="n">
        <v>495</v>
      </c>
      <c r="N1335" s="19"/>
    </row>
    <row r="1336" customFormat="false" ht="15" hidden="false" customHeight="false" outlineLevel="0" collapsed="false">
      <c r="A1336" s="13" t="s">
        <v>4067</v>
      </c>
      <c r="B1336" s="13" t="s">
        <v>103</v>
      </c>
      <c r="C1336" s="13" t="s">
        <v>43</v>
      </c>
      <c r="D1336" s="13" t="s">
        <v>2324</v>
      </c>
      <c r="E1336" s="13" t="s">
        <v>1972</v>
      </c>
      <c r="F1336" s="13" t="n">
        <v>2</v>
      </c>
      <c r="G1336" s="13" t="n">
        <v>3</v>
      </c>
      <c r="H1336" s="5" t="n">
        <v>990</v>
      </c>
      <c r="I1336" s="7" t="n">
        <v>4</v>
      </c>
      <c r="J1336" s="16" t="n">
        <v>247.5</v>
      </c>
      <c r="K1336" s="16"/>
      <c r="L1336" s="16" t="n">
        <v>220</v>
      </c>
      <c r="M1336" s="16" t="n">
        <v>256.666666666667</v>
      </c>
      <c r="N1336" s="19" t="n">
        <v>0.166666666666667</v>
      </c>
    </row>
    <row r="1337" customFormat="false" ht="15" hidden="false" customHeight="false" outlineLevel="0" collapsed="false">
      <c r="A1337" s="13" t="s">
        <v>4068</v>
      </c>
      <c r="B1337" s="13" t="s">
        <v>365</v>
      </c>
      <c r="C1337" s="13" t="s">
        <v>43</v>
      </c>
      <c r="D1337" s="13" t="s">
        <v>2324</v>
      </c>
      <c r="E1337" s="13" t="s">
        <v>1242</v>
      </c>
      <c r="F1337" s="13" t="n">
        <v>1</v>
      </c>
      <c r="G1337" s="13" t="n">
        <v>1</v>
      </c>
      <c r="H1337" s="5" t="n">
        <v>990</v>
      </c>
      <c r="I1337" s="7" t="n">
        <v>10</v>
      </c>
      <c r="J1337" s="16" t="n">
        <v>99</v>
      </c>
      <c r="K1337" s="16" t="n">
        <v>99</v>
      </c>
      <c r="L1337" s="16"/>
      <c r="M1337" s="16"/>
      <c r="N1337" s="19"/>
    </row>
    <row r="1338" customFormat="false" ht="15" hidden="false" customHeight="false" outlineLevel="0" collapsed="false">
      <c r="A1338" s="13" t="s">
        <v>4069</v>
      </c>
      <c r="B1338" s="13" t="s">
        <v>2200</v>
      </c>
      <c r="C1338" s="13" t="s">
        <v>85</v>
      </c>
      <c r="D1338" s="13" t="s">
        <v>2429</v>
      </c>
      <c r="E1338" s="13" t="s">
        <v>4070</v>
      </c>
      <c r="F1338" s="13" t="n">
        <v>1</v>
      </c>
      <c r="G1338" s="13" t="n">
        <v>1</v>
      </c>
      <c r="H1338" s="5" t="n">
        <v>990</v>
      </c>
      <c r="I1338" s="7" t="n">
        <v>5</v>
      </c>
      <c r="J1338" s="16" t="n">
        <v>198</v>
      </c>
      <c r="K1338" s="16"/>
      <c r="L1338" s="16"/>
      <c r="M1338" s="16" t="n">
        <v>198</v>
      </c>
      <c r="N1338" s="19"/>
    </row>
    <row r="1339" customFormat="false" ht="15" hidden="false" customHeight="false" outlineLevel="0" collapsed="false">
      <c r="A1339" s="13" t="s">
        <v>4071</v>
      </c>
      <c r="B1339" s="13" t="s">
        <v>50</v>
      </c>
      <c r="C1339" s="13" t="s">
        <v>43</v>
      </c>
      <c r="D1339" s="13" t="s">
        <v>2324</v>
      </c>
      <c r="E1339" s="13" t="s">
        <v>1260</v>
      </c>
      <c r="F1339" s="13" t="n">
        <v>1</v>
      </c>
      <c r="G1339" s="13" t="n">
        <v>1</v>
      </c>
      <c r="H1339" s="5" t="n">
        <v>980</v>
      </c>
      <c r="I1339" s="7" t="n">
        <v>1</v>
      </c>
      <c r="J1339" s="16" t="n">
        <v>980</v>
      </c>
      <c r="K1339" s="16"/>
      <c r="L1339" s="16"/>
      <c r="M1339" s="16" t="n">
        <v>980</v>
      </c>
      <c r="N1339" s="19"/>
    </row>
    <row r="1340" customFormat="false" ht="15" hidden="false" customHeight="false" outlineLevel="0" collapsed="false">
      <c r="A1340" s="13" t="s">
        <v>4072</v>
      </c>
      <c r="B1340" s="13" t="s">
        <v>50</v>
      </c>
      <c r="C1340" s="13" t="s">
        <v>43</v>
      </c>
      <c r="D1340" s="13" t="s">
        <v>2327</v>
      </c>
      <c r="E1340" s="13" t="s">
        <v>1256</v>
      </c>
      <c r="F1340" s="13" t="n">
        <v>1</v>
      </c>
      <c r="G1340" s="13" t="n">
        <v>1</v>
      </c>
      <c r="H1340" s="5" t="n">
        <v>980</v>
      </c>
      <c r="I1340" s="7" t="n">
        <v>1</v>
      </c>
      <c r="J1340" s="16" t="n">
        <v>980</v>
      </c>
      <c r="K1340" s="16"/>
      <c r="L1340" s="16"/>
      <c r="M1340" s="16" t="n">
        <v>980</v>
      </c>
      <c r="N1340" s="19"/>
    </row>
    <row r="1341" customFormat="false" ht="15" hidden="false" customHeight="false" outlineLevel="0" collapsed="false">
      <c r="A1341" s="13" t="s">
        <v>4073</v>
      </c>
      <c r="B1341" s="13" t="s">
        <v>105</v>
      </c>
      <c r="C1341" s="13" t="s">
        <v>43</v>
      </c>
      <c r="D1341" s="13" t="s">
        <v>2339</v>
      </c>
      <c r="E1341" s="13" t="s">
        <v>1253</v>
      </c>
      <c r="F1341" s="13" t="n">
        <v>1</v>
      </c>
      <c r="G1341" s="13" t="n">
        <v>1</v>
      </c>
      <c r="H1341" s="5" t="n">
        <v>980</v>
      </c>
      <c r="I1341" s="7" t="n">
        <v>2</v>
      </c>
      <c r="J1341" s="16" t="n">
        <v>490</v>
      </c>
      <c r="K1341" s="16"/>
      <c r="L1341" s="16" t="n">
        <v>490</v>
      </c>
      <c r="M1341" s="16"/>
      <c r="N1341" s="19"/>
    </row>
    <row r="1342" customFormat="false" ht="15" hidden="false" customHeight="false" outlineLevel="0" collapsed="false">
      <c r="A1342" s="13" t="s">
        <v>4074</v>
      </c>
      <c r="B1342" s="13" t="s">
        <v>329</v>
      </c>
      <c r="C1342" s="13" t="s">
        <v>43</v>
      </c>
      <c r="D1342" s="13" t="s">
        <v>2324</v>
      </c>
      <c r="E1342" s="13" t="s">
        <v>384</v>
      </c>
      <c r="F1342" s="13" t="n">
        <v>1</v>
      </c>
      <c r="G1342" s="13" t="n">
        <v>2</v>
      </c>
      <c r="H1342" s="5" t="n">
        <v>980</v>
      </c>
      <c r="I1342" s="7" t="n">
        <v>3</v>
      </c>
      <c r="J1342" s="16" t="n">
        <v>326.666666666667</v>
      </c>
      <c r="K1342" s="16"/>
      <c r="L1342" s="16" t="n">
        <v>326.666666666667</v>
      </c>
      <c r="M1342" s="16"/>
      <c r="N1342" s="19"/>
    </row>
    <row r="1343" customFormat="false" ht="15" hidden="false" customHeight="false" outlineLevel="0" collapsed="false">
      <c r="A1343" s="13" t="s">
        <v>4075</v>
      </c>
      <c r="B1343" s="13" t="s">
        <v>45</v>
      </c>
      <c r="C1343" s="13" t="s">
        <v>43</v>
      </c>
      <c r="D1343" s="13" t="s">
        <v>2324</v>
      </c>
      <c r="E1343" s="13" t="s">
        <v>1254</v>
      </c>
      <c r="F1343" s="13" t="n">
        <v>1</v>
      </c>
      <c r="G1343" s="13" t="n">
        <v>1</v>
      </c>
      <c r="H1343" s="5" t="n">
        <v>980</v>
      </c>
      <c r="I1343" s="7" t="n">
        <v>1</v>
      </c>
      <c r="J1343" s="16" t="n">
        <v>980</v>
      </c>
      <c r="K1343" s="16"/>
      <c r="L1343" s="16" t="n">
        <v>980</v>
      </c>
      <c r="M1343" s="16"/>
      <c r="N1343" s="19"/>
    </row>
    <row r="1344" customFormat="false" ht="15" hidden="false" customHeight="false" outlineLevel="0" collapsed="false">
      <c r="A1344" s="13" t="s">
        <v>4076</v>
      </c>
      <c r="B1344" s="13" t="s">
        <v>54</v>
      </c>
      <c r="C1344" s="13" t="s">
        <v>43</v>
      </c>
      <c r="D1344" s="13" t="s">
        <v>2324</v>
      </c>
      <c r="E1344" s="13" t="s">
        <v>1847</v>
      </c>
      <c r="F1344" s="13" t="n">
        <v>1</v>
      </c>
      <c r="G1344" s="13" t="n">
        <v>3</v>
      </c>
      <c r="H1344" s="5" t="n">
        <v>980</v>
      </c>
      <c r="I1344" s="7" t="n">
        <v>3</v>
      </c>
      <c r="J1344" s="16" t="n">
        <v>326.666666666667</v>
      </c>
      <c r="K1344" s="16"/>
      <c r="L1344" s="16"/>
      <c r="M1344" s="16" t="n">
        <v>326.666666666667</v>
      </c>
      <c r="N1344" s="19"/>
    </row>
    <row r="1345" customFormat="false" ht="15" hidden="false" customHeight="false" outlineLevel="0" collapsed="false">
      <c r="A1345" s="13" t="s">
        <v>4077</v>
      </c>
      <c r="B1345" s="13" t="s">
        <v>45</v>
      </c>
      <c r="C1345" s="13" t="s">
        <v>43</v>
      </c>
      <c r="D1345" s="13" t="s">
        <v>2324</v>
      </c>
      <c r="E1345" s="13" t="s">
        <v>702</v>
      </c>
      <c r="F1345" s="13" t="n">
        <v>2</v>
      </c>
      <c r="G1345" s="13" t="n">
        <v>2</v>
      </c>
      <c r="H1345" s="5" t="n">
        <v>980</v>
      </c>
      <c r="I1345" s="7" t="n">
        <v>2</v>
      </c>
      <c r="J1345" s="16" t="n">
        <v>490</v>
      </c>
      <c r="K1345" s="16"/>
      <c r="L1345" s="16" t="n">
        <v>560</v>
      </c>
      <c r="M1345" s="16" t="n">
        <v>420</v>
      </c>
      <c r="N1345" s="19" t="n">
        <v>0.333333333333333</v>
      </c>
    </row>
    <row r="1346" customFormat="false" ht="15" hidden="false" customHeight="false" outlineLevel="0" collapsed="false">
      <c r="A1346" s="13" t="s">
        <v>4078</v>
      </c>
      <c r="B1346" s="13" t="s">
        <v>2124</v>
      </c>
      <c r="C1346" s="13" t="s">
        <v>43</v>
      </c>
      <c r="D1346" s="13" t="s">
        <v>2339</v>
      </c>
      <c r="E1346" s="13" t="s">
        <v>4079</v>
      </c>
      <c r="F1346" s="13" t="n">
        <v>1</v>
      </c>
      <c r="G1346" s="13" t="n">
        <v>1</v>
      </c>
      <c r="H1346" s="5" t="n">
        <v>980</v>
      </c>
      <c r="I1346" s="7" t="n">
        <v>10</v>
      </c>
      <c r="J1346" s="16" t="n">
        <v>98</v>
      </c>
      <c r="K1346" s="16" t="n">
        <v>98</v>
      </c>
      <c r="L1346" s="16"/>
      <c r="M1346" s="16"/>
      <c r="N1346" s="19"/>
    </row>
    <row r="1347" customFormat="false" ht="15" hidden="false" customHeight="false" outlineLevel="0" collapsed="false">
      <c r="A1347" s="13" t="s">
        <v>4080</v>
      </c>
      <c r="B1347" s="13" t="s">
        <v>2124</v>
      </c>
      <c r="C1347" s="13" t="s">
        <v>43</v>
      </c>
      <c r="D1347" s="13" t="s">
        <v>2324</v>
      </c>
      <c r="E1347" s="13" t="s">
        <v>4081</v>
      </c>
      <c r="F1347" s="13" t="n">
        <v>1</v>
      </c>
      <c r="G1347" s="13" t="n">
        <v>1</v>
      </c>
      <c r="H1347" s="5" t="n">
        <v>980</v>
      </c>
      <c r="I1347" s="7" t="n">
        <v>10</v>
      </c>
      <c r="J1347" s="16" t="n">
        <v>98</v>
      </c>
      <c r="K1347" s="16" t="n">
        <v>98</v>
      </c>
      <c r="L1347" s="16"/>
      <c r="M1347" s="16"/>
      <c r="N1347" s="19"/>
    </row>
    <row r="1348" customFormat="false" ht="15" hidden="false" customHeight="false" outlineLevel="0" collapsed="false">
      <c r="A1348" s="13" t="s">
        <v>4082</v>
      </c>
      <c r="B1348" s="13" t="s">
        <v>79</v>
      </c>
      <c r="C1348" s="13" t="s">
        <v>43</v>
      </c>
      <c r="D1348" s="13" t="s">
        <v>2324</v>
      </c>
      <c r="E1348" s="13" t="s">
        <v>1259</v>
      </c>
      <c r="F1348" s="13" t="n">
        <v>1</v>
      </c>
      <c r="G1348" s="13" t="n">
        <v>1</v>
      </c>
      <c r="H1348" s="5" t="n">
        <v>980</v>
      </c>
      <c r="I1348" s="7" t="n">
        <v>1</v>
      </c>
      <c r="J1348" s="16" t="n">
        <v>980</v>
      </c>
      <c r="K1348" s="16"/>
      <c r="L1348" s="16"/>
      <c r="M1348" s="16" t="n">
        <v>980</v>
      </c>
      <c r="N1348" s="19"/>
    </row>
    <row r="1349" customFormat="false" ht="15" hidden="false" customHeight="false" outlineLevel="0" collapsed="false">
      <c r="A1349" s="13" t="s">
        <v>4083</v>
      </c>
      <c r="B1349" s="13" t="s">
        <v>61</v>
      </c>
      <c r="C1349" s="13" t="s">
        <v>43</v>
      </c>
      <c r="D1349" s="13" t="s">
        <v>3005</v>
      </c>
      <c r="E1349" s="13" t="s">
        <v>1251</v>
      </c>
      <c r="F1349" s="13" t="n">
        <v>1</v>
      </c>
      <c r="G1349" s="13" t="n">
        <v>1</v>
      </c>
      <c r="H1349" s="5" t="n">
        <v>980</v>
      </c>
      <c r="I1349" s="7" t="n">
        <v>2</v>
      </c>
      <c r="J1349" s="16" t="n">
        <v>490</v>
      </c>
      <c r="K1349" s="16"/>
      <c r="L1349" s="16"/>
      <c r="M1349" s="16" t="n">
        <v>490</v>
      </c>
      <c r="N1349" s="19"/>
    </row>
    <row r="1350" customFormat="false" ht="15" hidden="false" customHeight="false" outlineLevel="0" collapsed="false">
      <c r="A1350" s="13" t="s">
        <v>4084</v>
      </c>
      <c r="B1350" s="13" t="s">
        <v>54</v>
      </c>
      <c r="C1350" s="13" t="s">
        <v>43</v>
      </c>
      <c r="D1350" s="13" t="s">
        <v>2324</v>
      </c>
      <c r="E1350" s="13" t="s">
        <v>1263</v>
      </c>
      <c r="F1350" s="13" t="n">
        <v>1</v>
      </c>
      <c r="G1350" s="13" t="n">
        <v>1</v>
      </c>
      <c r="H1350" s="5" t="n">
        <v>970</v>
      </c>
      <c r="I1350" s="7" t="n">
        <v>1</v>
      </c>
      <c r="J1350" s="16" t="n">
        <v>970</v>
      </c>
      <c r="K1350" s="16"/>
      <c r="L1350" s="16"/>
      <c r="M1350" s="16" t="n">
        <v>970</v>
      </c>
      <c r="N1350" s="19"/>
    </row>
    <row r="1351" customFormat="false" ht="15" hidden="false" customHeight="false" outlineLevel="0" collapsed="false">
      <c r="A1351" s="13" t="s">
        <v>4085</v>
      </c>
      <c r="B1351" s="13" t="s">
        <v>255</v>
      </c>
      <c r="C1351" s="13" t="s">
        <v>43</v>
      </c>
      <c r="D1351" s="13" t="s">
        <v>2339</v>
      </c>
      <c r="E1351" s="13" t="s">
        <v>1457</v>
      </c>
      <c r="F1351" s="13" t="n">
        <v>1</v>
      </c>
      <c r="G1351" s="13" t="n">
        <v>2</v>
      </c>
      <c r="H1351" s="5" t="n">
        <v>970</v>
      </c>
      <c r="I1351" s="7" t="n">
        <v>3</v>
      </c>
      <c r="J1351" s="16" t="n">
        <v>323.333333333333</v>
      </c>
      <c r="K1351" s="16"/>
      <c r="L1351" s="16" t="n">
        <v>323.333333333333</v>
      </c>
      <c r="M1351" s="16"/>
      <c r="N1351" s="19"/>
    </row>
    <row r="1352" customFormat="false" ht="15" hidden="false" customHeight="false" outlineLevel="0" collapsed="false">
      <c r="A1352" s="13" t="s">
        <v>4086</v>
      </c>
      <c r="B1352" s="13" t="s">
        <v>286</v>
      </c>
      <c r="C1352" s="13" t="s">
        <v>43</v>
      </c>
      <c r="D1352" s="13" t="s">
        <v>2339</v>
      </c>
      <c r="E1352" s="13" t="s">
        <v>1523</v>
      </c>
      <c r="F1352" s="13" t="n">
        <v>1</v>
      </c>
      <c r="G1352" s="13" t="n">
        <v>2</v>
      </c>
      <c r="H1352" s="5" t="n">
        <v>970</v>
      </c>
      <c r="I1352" s="7" t="n">
        <v>3</v>
      </c>
      <c r="J1352" s="16" t="n">
        <v>323.333333333333</v>
      </c>
      <c r="K1352" s="16"/>
      <c r="L1352" s="16" t="n">
        <v>323.333333333333</v>
      </c>
      <c r="M1352" s="16"/>
      <c r="N1352" s="19"/>
    </row>
    <row r="1353" customFormat="false" ht="15" hidden="false" customHeight="false" outlineLevel="0" collapsed="false">
      <c r="A1353" s="13" t="s">
        <v>4087</v>
      </c>
      <c r="B1353" s="13" t="s">
        <v>329</v>
      </c>
      <c r="C1353" s="13" t="s">
        <v>43</v>
      </c>
      <c r="D1353" s="13" t="s">
        <v>2324</v>
      </c>
      <c r="E1353" s="13" t="s">
        <v>575</v>
      </c>
      <c r="F1353" s="13" t="n">
        <v>1</v>
      </c>
      <c r="G1353" s="13" t="n">
        <v>1</v>
      </c>
      <c r="H1353" s="5" t="n">
        <v>970</v>
      </c>
      <c r="I1353" s="7" t="n">
        <v>2</v>
      </c>
      <c r="J1353" s="16" t="n">
        <v>485</v>
      </c>
      <c r="K1353" s="16"/>
      <c r="L1353" s="16" t="n">
        <v>485</v>
      </c>
      <c r="M1353" s="16"/>
      <c r="N1353" s="19"/>
    </row>
    <row r="1354" customFormat="false" ht="15" hidden="false" customHeight="false" outlineLevel="0" collapsed="false">
      <c r="A1354" s="13" t="s">
        <v>4088</v>
      </c>
      <c r="B1354" s="13" t="s">
        <v>2130</v>
      </c>
      <c r="C1354" s="13" t="s">
        <v>43</v>
      </c>
      <c r="D1354" s="13" t="s">
        <v>2324</v>
      </c>
      <c r="E1354" s="13" t="s">
        <v>4089</v>
      </c>
      <c r="F1354" s="13" t="n">
        <v>1</v>
      </c>
      <c r="G1354" s="13" t="n">
        <v>1</v>
      </c>
      <c r="H1354" s="5" t="n">
        <v>970</v>
      </c>
      <c r="I1354" s="7" t="n">
        <v>1</v>
      </c>
      <c r="J1354" s="16" t="n">
        <v>970</v>
      </c>
      <c r="K1354" s="16"/>
      <c r="L1354" s="16"/>
      <c r="M1354" s="16" t="n">
        <v>970</v>
      </c>
      <c r="N1354" s="19"/>
    </row>
    <row r="1355" customFormat="false" ht="15" hidden="false" customHeight="false" outlineLevel="0" collapsed="false">
      <c r="A1355" s="13" t="s">
        <v>4090</v>
      </c>
      <c r="B1355" s="13" t="s">
        <v>131</v>
      </c>
      <c r="C1355" s="13" t="s">
        <v>66</v>
      </c>
      <c r="D1355" s="13" t="s">
        <v>2324</v>
      </c>
      <c r="E1355" s="13" t="s">
        <v>1262</v>
      </c>
      <c r="F1355" s="13" t="n">
        <v>1</v>
      </c>
      <c r="G1355" s="13" t="n">
        <v>1</v>
      </c>
      <c r="H1355" s="5" t="n">
        <v>970</v>
      </c>
      <c r="I1355" s="7" t="n">
        <v>1</v>
      </c>
      <c r="J1355" s="16" t="n">
        <v>970</v>
      </c>
      <c r="K1355" s="16" t="n">
        <v>970</v>
      </c>
      <c r="L1355" s="16"/>
      <c r="M1355" s="16"/>
      <c r="N1355" s="19"/>
    </row>
    <row r="1356" customFormat="false" ht="15" hidden="false" customHeight="false" outlineLevel="0" collapsed="false">
      <c r="A1356" s="13" t="s">
        <v>4091</v>
      </c>
      <c r="B1356" s="13" t="s">
        <v>54</v>
      </c>
      <c r="C1356" s="13" t="s">
        <v>43</v>
      </c>
      <c r="D1356" s="13" t="s">
        <v>2324</v>
      </c>
      <c r="E1356" s="13" t="s">
        <v>832</v>
      </c>
      <c r="F1356" s="13" t="n">
        <v>1</v>
      </c>
      <c r="G1356" s="13" t="n">
        <v>1</v>
      </c>
      <c r="H1356" s="5" t="n">
        <v>970</v>
      </c>
      <c r="I1356" s="7" t="n">
        <v>1</v>
      </c>
      <c r="J1356" s="16" t="n">
        <v>970</v>
      </c>
      <c r="K1356" s="16"/>
      <c r="L1356" s="16"/>
      <c r="M1356" s="16" t="n">
        <v>970</v>
      </c>
      <c r="N1356" s="19"/>
    </row>
    <row r="1357" customFormat="false" ht="15" hidden="false" customHeight="false" outlineLevel="0" collapsed="false">
      <c r="A1357" s="13" t="s">
        <v>4092</v>
      </c>
      <c r="B1357" s="13" t="s">
        <v>2181</v>
      </c>
      <c r="C1357" s="13" t="s">
        <v>43</v>
      </c>
      <c r="D1357" s="13" t="s">
        <v>2324</v>
      </c>
      <c r="E1357" s="13" t="s">
        <v>4093</v>
      </c>
      <c r="F1357" s="13" t="n">
        <v>1</v>
      </c>
      <c r="G1357" s="13" t="n">
        <v>1</v>
      </c>
      <c r="H1357" s="5" t="n">
        <v>960</v>
      </c>
      <c r="I1357" s="7" t="n">
        <v>2</v>
      </c>
      <c r="J1357" s="16" t="n">
        <v>480</v>
      </c>
      <c r="K1357" s="16"/>
      <c r="L1357" s="16" t="n">
        <v>480</v>
      </c>
      <c r="M1357" s="16"/>
      <c r="N1357" s="19"/>
    </row>
    <row r="1358" customFormat="false" ht="15" hidden="false" customHeight="false" outlineLevel="0" collapsed="false">
      <c r="A1358" s="13" t="s">
        <v>4094</v>
      </c>
      <c r="B1358" s="13" t="s">
        <v>54</v>
      </c>
      <c r="C1358" s="13" t="s">
        <v>43</v>
      </c>
      <c r="D1358" s="13" t="s">
        <v>2324</v>
      </c>
      <c r="E1358" s="13" t="s">
        <v>1270</v>
      </c>
      <c r="F1358" s="13" t="n">
        <v>1</v>
      </c>
      <c r="G1358" s="13" t="n">
        <v>1</v>
      </c>
      <c r="H1358" s="5" t="n">
        <v>960</v>
      </c>
      <c r="I1358" s="7" t="n">
        <v>2</v>
      </c>
      <c r="J1358" s="16" t="n">
        <v>480</v>
      </c>
      <c r="K1358" s="16"/>
      <c r="L1358" s="16"/>
      <c r="M1358" s="16" t="n">
        <v>480</v>
      </c>
      <c r="N1358" s="19"/>
    </row>
    <row r="1359" customFormat="false" ht="15" hidden="false" customHeight="false" outlineLevel="0" collapsed="false">
      <c r="A1359" s="13" t="s">
        <v>4095</v>
      </c>
      <c r="B1359" s="13" t="s">
        <v>2164</v>
      </c>
      <c r="C1359" s="13" t="s">
        <v>43</v>
      </c>
      <c r="D1359" s="13" t="s">
        <v>2324</v>
      </c>
      <c r="E1359" s="13" t="s">
        <v>4096</v>
      </c>
      <c r="F1359" s="13" t="n">
        <v>1</v>
      </c>
      <c r="G1359" s="13" t="n">
        <v>3</v>
      </c>
      <c r="H1359" s="5" t="n">
        <v>960</v>
      </c>
      <c r="I1359" s="7" t="n">
        <v>8</v>
      </c>
      <c r="J1359" s="16" t="n">
        <v>120</v>
      </c>
      <c r="K1359" s="16"/>
      <c r="L1359" s="16"/>
      <c r="M1359" s="16" t="n">
        <v>120</v>
      </c>
      <c r="N1359" s="19"/>
    </row>
    <row r="1360" customFormat="false" ht="15" hidden="false" customHeight="false" outlineLevel="0" collapsed="false">
      <c r="A1360" s="13" t="s">
        <v>4097</v>
      </c>
      <c r="B1360" s="13" t="s">
        <v>2142</v>
      </c>
      <c r="C1360" s="13" t="s">
        <v>85</v>
      </c>
      <c r="D1360" s="13" t="s">
        <v>2324</v>
      </c>
      <c r="E1360" s="13" t="s">
        <v>4098</v>
      </c>
      <c r="F1360" s="13" t="n">
        <v>1</v>
      </c>
      <c r="G1360" s="13" t="n">
        <v>1</v>
      </c>
      <c r="H1360" s="5" t="n">
        <v>960</v>
      </c>
      <c r="I1360" s="7" t="n">
        <v>30</v>
      </c>
      <c r="J1360" s="16" t="n">
        <v>32</v>
      </c>
      <c r="K1360" s="16" t="n">
        <v>32</v>
      </c>
      <c r="L1360" s="16"/>
      <c r="M1360" s="16"/>
      <c r="N1360" s="19"/>
    </row>
    <row r="1361" customFormat="false" ht="15" hidden="false" customHeight="false" outlineLevel="0" collapsed="false">
      <c r="A1361" s="13" t="s">
        <v>4099</v>
      </c>
      <c r="B1361" s="13" t="s">
        <v>79</v>
      </c>
      <c r="C1361" s="13" t="s">
        <v>43</v>
      </c>
      <c r="D1361" s="13" t="s">
        <v>2751</v>
      </c>
      <c r="E1361" s="13" t="s">
        <v>1269</v>
      </c>
      <c r="F1361" s="13" t="n">
        <v>1</v>
      </c>
      <c r="G1361" s="13" t="n">
        <v>1</v>
      </c>
      <c r="H1361" s="5" t="n">
        <v>960</v>
      </c>
      <c r="I1361" s="7" t="n">
        <v>1</v>
      </c>
      <c r="J1361" s="16" t="n">
        <v>960</v>
      </c>
      <c r="K1361" s="16"/>
      <c r="L1361" s="16"/>
      <c r="M1361" s="16" t="n">
        <v>960</v>
      </c>
      <c r="N1361" s="19"/>
    </row>
    <row r="1362" customFormat="false" ht="15" hidden="false" customHeight="false" outlineLevel="0" collapsed="false">
      <c r="A1362" s="13" t="s">
        <v>4100</v>
      </c>
      <c r="B1362" s="13" t="s">
        <v>69</v>
      </c>
      <c r="C1362" s="13" t="s">
        <v>43</v>
      </c>
      <c r="D1362" s="13" t="s">
        <v>2324</v>
      </c>
      <c r="E1362" s="13" t="s">
        <v>1266</v>
      </c>
      <c r="F1362" s="13" t="n">
        <v>1</v>
      </c>
      <c r="G1362" s="13" t="n">
        <v>1</v>
      </c>
      <c r="H1362" s="5" t="n">
        <v>960</v>
      </c>
      <c r="I1362" s="7" t="n">
        <v>1</v>
      </c>
      <c r="J1362" s="16" t="n">
        <v>960</v>
      </c>
      <c r="K1362" s="16"/>
      <c r="L1362" s="16"/>
      <c r="M1362" s="16" t="n">
        <v>960</v>
      </c>
      <c r="N1362" s="19"/>
    </row>
    <row r="1363" customFormat="false" ht="15" hidden="false" customHeight="false" outlineLevel="0" collapsed="false">
      <c r="A1363" s="13" t="s">
        <v>4101</v>
      </c>
      <c r="B1363" s="13" t="s">
        <v>195</v>
      </c>
      <c r="C1363" s="13" t="s">
        <v>43</v>
      </c>
      <c r="D1363" s="13" t="s">
        <v>2324</v>
      </c>
      <c r="E1363" s="13" t="s">
        <v>1268</v>
      </c>
      <c r="F1363" s="13" t="n">
        <v>1</v>
      </c>
      <c r="G1363" s="13" t="n">
        <v>1</v>
      </c>
      <c r="H1363" s="5" t="n">
        <v>960</v>
      </c>
      <c r="I1363" s="7" t="n">
        <v>1</v>
      </c>
      <c r="J1363" s="16" t="n">
        <v>960</v>
      </c>
      <c r="K1363" s="16"/>
      <c r="L1363" s="16"/>
      <c r="M1363" s="16" t="n">
        <v>960</v>
      </c>
      <c r="N1363" s="19"/>
    </row>
    <row r="1364" customFormat="false" ht="15" hidden="false" customHeight="false" outlineLevel="0" collapsed="false">
      <c r="A1364" s="13" t="s">
        <v>4102</v>
      </c>
      <c r="B1364" s="13" t="s">
        <v>45</v>
      </c>
      <c r="C1364" s="13" t="s">
        <v>43</v>
      </c>
      <c r="D1364" s="13" t="s">
        <v>2500</v>
      </c>
      <c r="E1364" s="13" t="s">
        <v>1271</v>
      </c>
      <c r="F1364" s="13" t="n">
        <v>1</v>
      </c>
      <c r="G1364" s="13" t="n">
        <v>1</v>
      </c>
      <c r="H1364" s="5" t="n">
        <v>950</v>
      </c>
      <c r="I1364" s="7" t="n">
        <v>2</v>
      </c>
      <c r="J1364" s="16" t="n">
        <v>475</v>
      </c>
      <c r="K1364" s="16"/>
      <c r="L1364" s="16"/>
      <c r="M1364" s="16" t="n">
        <v>475</v>
      </c>
      <c r="N1364" s="19"/>
    </row>
    <row r="1365" customFormat="false" ht="15" hidden="false" customHeight="false" outlineLevel="0" collapsed="false">
      <c r="A1365" s="13" t="s">
        <v>4103</v>
      </c>
      <c r="B1365" s="13" t="s">
        <v>2131</v>
      </c>
      <c r="C1365" s="13" t="s">
        <v>85</v>
      </c>
      <c r="D1365" s="13" t="s">
        <v>2324</v>
      </c>
      <c r="E1365" s="13" t="s">
        <v>4104</v>
      </c>
      <c r="F1365" s="13" t="n">
        <v>1</v>
      </c>
      <c r="G1365" s="13" t="n">
        <v>1</v>
      </c>
      <c r="H1365" s="5" t="n">
        <v>950</v>
      </c>
      <c r="I1365" s="7" t="n">
        <v>1</v>
      </c>
      <c r="J1365" s="16" t="n">
        <v>950</v>
      </c>
      <c r="K1365" s="16"/>
      <c r="L1365" s="16"/>
      <c r="M1365" s="16" t="n">
        <v>950</v>
      </c>
      <c r="N1365" s="19"/>
    </row>
    <row r="1366" customFormat="false" ht="15" hidden="false" customHeight="false" outlineLevel="0" collapsed="false">
      <c r="A1366" s="13" t="s">
        <v>4105</v>
      </c>
      <c r="B1366" s="13" t="s">
        <v>153</v>
      </c>
      <c r="C1366" s="13" t="s">
        <v>43</v>
      </c>
      <c r="D1366" s="13" t="s">
        <v>2500</v>
      </c>
      <c r="E1366" s="13" t="s">
        <v>1281</v>
      </c>
      <c r="F1366" s="13" t="n">
        <v>1</v>
      </c>
      <c r="G1366" s="13" t="n">
        <v>1</v>
      </c>
      <c r="H1366" s="5" t="n">
        <v>940</v>
      </c>
      <c r="I1366" s="7" t="n">
        <v>2</v>
      </c>
      <c r="J1366" s="16" t="n">
        <v>470</v>
      </c>
      <c r="K1366" s="16"/>
      <c r="L1366" s="16"/>
      <c r="M1366" s="16" t="n">
        <v>470</v>
      </c>
      <c r="N1366" s="19"/>
    </row>
    <row r="1367" customFormat="false" ht="15" hidden="false" customHeight="false" outlineLevel="0" collapsed="false">
      <c r="A1367" s="13" t="s">
        <v>4106</v>
      </c>
      <c r="B1367" s="13" t="s">
        <v>103</v>
      </c>
      <c r="C1367" s="13" t="s">
        <v>43</v>
      </c>
      <c r="D1367" s="13" t="s">
        <v>2324</v>
      </c>
      <c r="E1367" s="13" t="s">
        <v>1282</v>
      </c>
      <c r="F1367" s="13" t="n">
        <v>1</v>
      </c>
      <c r="G1367" s="13" t="n">
        <v>1</v>
      </c>
      <c r="H1367" s="5" t="n">
        <v>940</v>
      </c>
      <c r="I1367" s="7" t="n">
        <v>5</v>
      </c>
      <c r="J1367" s="16" t="n">
        <v>188</v>
      </c>
      <c r="K1367" s="16"/>
      <c r="L1367" s="16"/>
      <c r="M1367" s="16" t="n">
        <v>188</v>
      </c>
      <c r="N1367" s="19"/>
    </row>
    <row r="1368" customFormat="false" ht="15" hidden="false" customHeight="false" outlineLevel="0" collapsed="false">
      <c r="A1368" s="13" t="s">
        <v>4107</v>
      </c>
      <c r="B1368" s="13" t="s">
        <v>107</v>
      </c>
      <c r="C1368" s="13" t="s">
        <v>43</v>
      </c>
      <c r="D1368" s="13" t="s">
        <v>2339</v>
      </c>
      <c r="E1368" s="13" t="s">
        <v>1636</v>
      </c>
      <c r="F1368" s="13" t="n">
        <v>1</v>
      </c>
      <c r="G1368" s="13" t="n">
        <v>2</v>
      </c>
      <c r="H1368" s="5" t="n">
        <v>940</v>
      </c>
      <c r="I1368" s="7" t="n">
        <v>4</v>
      </c>
      <c r="J1368" s="16" t="n">
        <v>235</v>
      </c>
      <c r="K1368" s="16"/>
      <c r="L1368" s="16"/>
      <c r="M1368" s="16" t="n">
        <v>235</v>
      </c>
      <c r="N1368" s="19"/>
    </row>
    <row r="1369" customFormat="false" ht="15" hidden="false" customHeight="false" outlineLevel="0" collapsed="false">
      <c r="A1369" s="13" t="s">
        <v>4108</v>
      </c>
      <c r="B1369" s="13" t="s">
        <v>121</v>
      </c>
      <c r="C1369" s="13" t="s">
        <v>183</v>
      </c>
      <c r="D1369" s="13" t="s">
        <v>2324</v>
      </c>
      <c r="E1369" s="13" t="s">
        <v>1274</v>
      </c>
      <c r="F1369" s="13" t="n">
        <v>1</v>
      </c>
      <c r="G1369" s="13" t="n">
        <v>1</v>
      </c>
      <c r="H1369" s="5" t="n">
        <v>940</v>
      </c>
      <c r="I1369" s="7" t="n">
        <v>10</v>
      </c>
      <c r="J1369" s="16" t="n">
        <v>94</v>
      </c>
      <c r="K1369" s="16"/>
      <c r="L1369" s="16"/>
      <c r="M1369" s="16" t="n">
        <v>94</v>
      </c>
      <c r="N1369" s="19"/>
    </row>
    <row r="1370" customFormat="false" ht="15" hidden="false" customHeight="false" outlineLevel="0" collapsed="false">
      <c r="A1370" s="13" t="s">
        <v>4109</v>
      </c>
      <c r="B1370" s="13" t="s">
        <v>2138</v>
      </c>
      <c r="C1370" s="13" t="s">
        <v>85</v>
      </c>
      <c r="D1370" s="13" t="s">
        <v>2500</v>
      </c>
      <c r="E1370" s="13" t="s">
        <v>4110</v>
      </c>
      <c r="F1370" s="13" t="n">
        <v>1</v>
      </c>
      <c r="G1370" s="13" t="n">
        <v>2</v>
      </c>
      <c r="H1370" s="5" t="n">
        <v>940</v>
      </c>
      <c r="I1370" s="7" t="n">
        <v>2</v>
      </c>
      <c r="J1370" s="16" t="n">
        <v>470</v>
      </c>
      <c r="K1370" s="16"/>
      <c r="L1370" s="16" t="n">
        <v>470</v>
      </c>
      <c r="M1370" s="16"/>
      <c r="N1370" s="19"/>
    </row>
    <row r="1371" customFormat="false" ht="15" hidden="false" customHeight="false" outlineLevel="0" collapsed="false">
      <c r="A1371" s="13" t="s">
        <v>4111</v>
      </c>
      <c r="B1371" s="13" t="s">
        <v>114</v>
      </c>
      <c r="C1371" s="13" t="s">
        <v>115</v>
      </c>
      <c r="D1371" s="13" t="s">
        <v>2324</v>
      </c>
      <c r="E1371" s="13" t="s">
        <v>1334</v>
      </c>
      <c r="F1371" s="13" t="n">
        <v>1</v>
      </c>
      <c r="G1371" s="13" t="n">
        <v>2</v>
      </c>
      <c r="H1371" s="5" t="n">
        <v>930</v>
      </c>
      <c r="I1371" s="7" t="n">
        <v>11</v>
      </c>
      <c r="J1371" s="16" t="n">
        <v>84.5454545454546</v>
      </c>
      <c r="K1371" s="16" t="n">
        <v>84.5454545454546</v>
      </c>
      <c r="L1371" s="16"/>
      <c r="M1371" s="16"/>
      <c r="N1371" s="19"/>
    </row>
    <row r="1372" customFormat="false" ht="15" hidden="false" customHeight="false" outlineLevel="0" collapsed="false">
      <c r="A1372" s="13" t="s">
        <v>4112</v>
      </c>
      <c r="B1372" s="13" t="s">
        <v>2179</v>
      </c>
      <c r="C1372" s="13" t="s">
        <v>43</v>
      </c>
      <c r="D1372" s="13" t="s">
        <v>2324</v>
      </c>
      <c r="E1372" s="13" t="s">
        <v>4113</v>
      </c>
      <c r="F1372" s="13" t="n">
        <v>1</v>
      </c>
      <c r="G1372" s="13" t="n">
        <v>1</v>
      </c>
      <c r="H1372" s="5" t="n">
        <v>930</v>
      </c>
      <c r="I1372" s="7" t="n">
        <v>2</v>
      </c>
      <c r="J1372" s="16" t="n">
        <v>465</v>
      </c>
      <c r="K1372" s="16"/>
      <c r="L1372" s="16" t="n">
        <v>465</v>
      </c>
      <c r="M1372" s="16"/>
      <c r="N1372" s="19"/>
    </row>
    <row r="1373" customFormat="false" ht="15" hidden="false" customHeight="false" outlineLevel="0" collapsed="false">
      <c r="A1373" s="13" t="s">
        <v>4114</v>
      </c>
      <c r="B1373" s="13" t="s">
        <v>2165</v>
      </c>
      <c r="C1373" s="13" t="s">
        <v>85</v>
      </c>
      <c r="D1373" s="13" t="s">
        <v>2339</v>
      </c>
      <c r="E1373" s="13" t="s">
        <v>4115</v>
      </c>
      <c r="F1373" s="13" t="n">
        <v>1</v>
      </c>
      <c r="G1373" s="13" t="n">
        <v>1</v>
      </c>
      <c r="H1373" s="5" t="n">
        <v>930</v>
      </c>
      <c r="I1373" s="7" t="n">
        <v>2</v>
      </c>
      <c r="J1373" s="16" t="n">
        <v>465</v>
      </c>
      <c r="K1373" s="16"/>
      <c r="L1373" s="16" t="n">
        <v>465</v>
      </c>
      <c r="M1373" s="16"/>
      <c r="N1373" s="19"/>
    </row>
    <row r="1374" customFormat="false" ht="15" hidden="false" customHeight="false" outlineLevel="0" collapsed="false">
      <c r="A1374" s="13" t="s">
        <v>4116</v>
      </c>
      <c r="B1374" s="13" t="s">
        <v>72</v>
      </c>
      <c r="C1374" s="13" t="s">
        <v>43</v>
      </c>
      <c r="D1374" s="13" t="s">
        <v>2324</v>
      </c>
      <c r="E1374" s="13" t="s">
        <v>1296</v>
      </c>
      <c r="F1374" s="13" t="n">
        <v>1</v>
      </c>
      <c r="G1374" s="13" t="n">
        <v>1</v>
      </c>
      <c r="H1374" s="5" t="n">
        <v>920</v>
      </c>
      <c r="I1374" s="7" t="n">
        <v>1</v>
      </c>
      <c r="J1374" s="16" t="n">
        <v>920</v>
      </c>
      <c r="K1374" s="16"/>
      <c r="L1374" s="16"/>
      <c r="M1374" s="16" t="n">
        <v>920</v>
      </c>
      <c r="N1374" s="19"/>
    </row>
    <row r="1375" customFormat="false" ht="15" hidden="false" customHeight="false" outlineLevel="0" collapsed="false">
      <c r="A1375" s="13" t="s">
        <v>4117</v>
      </c>
      <c r="B1375" s="13" t="s">
        <v>50</v>
      </c>
      <c r="C1375" s="13" t="s">
        <v>43</v>
      </c>
      <c r="D1375" s="13" t="s">
        <v>2324</v>
      </c>
      <c r="E1375" s="13" t="s">
        <v>1293</v>
      </c>
      <c r="F1375" s="13" t="n">
        <v>1</v>
      </c>
      <c r="G1375" s="13" t="n">
        <v>1</v>
      </c>
      <c r="H1375" s="5" t="n">
        <v>920</v>
      </c>
      <c r="I1375" s="7" t="n">
        <v>1</v>
      </c>
      <c r="J1375" s="16" t="n">
        <v>920</v>
      </c>
      <c r="K1375" s="16"/>
      <c r="L1375" s="16" t="n">
        <v>920</v>
      </c>
      <c r="M1375" s="16"/>
      <c r="N1375" s="19"/>
    </row>
    <row r="1376" customFormat="false" ht="15" hidden="false" customHeight="false" outlineLevel="0" collapsed="false">
      <c r="A1376" s="13" t="s">
        <v>4118</v>
      </c>
      <c r="B1376" s="13" t="s">
        <v>121</v>
      </c>
      <c r="C1376" s="13" t="s">
        <v>183</v>
      </c>
      <c r="D1376" s="13" t="s">
        <v>3228</v>
      </c>
      <c r="E1376" s="13" t="s">
        <v>1635</v>
      </c>
      <c r="F1376" s="13" t="n">
        <v>1</v>
      </c>
      <c r="G1376" s="13" t="n">
        <v>3</v>
      </c>
      <c r="H1376" s="5" t="n">
        <v>920</v>
      </c>
      <c r="I1376" s="7" t="n">
        <v>8</v>
      </c>
      <c r="J1376" s="16" t="n">
        <v>115</v>
      </c>
      <c r="K1376" s="16"/>
      <c r="L1376" s="16"/>
      <c r="M1376" s="16" t="n">
        <v>115</v>
      </c>
      <c r="N1376" s="19"/>
    </row>
    <row r="1377" customFormat="false" ht="15" hidden="false" customHeight="false" outlineLevel="0" collapsed="false">
      <c r="A1377" s="13" t="s">
        <v>4119</v>
      </c>
      <c r="B1377" s="13" t="s">
        <v>45</v>
      </c>
      <c r="C1377" s="13" t="s">
        <v>43</v>
      </c>
      <c r="D1377" s="13" t="s">
        <v>2324</v>
      </c>
      <c r="E1377" s="13" t="s">
        <v>301</v>
      </c>
      <c r="F1377" s="13" t="n">
        <v>1</v>
      </c>
      <c r="G1377" s="13" t="n">
        <v>1</v>
      </c>
      <c r="H1377" s="5" t="n">
        <v>920</v>
      </c>
      <c r="I1377" s="7" t="n">
        <v>2</v>
      </c>
      <c r="J1377" s="16" t="n">
        <v>460</v>
      </c>
      <c r="K1377" s="16"/>
      <c r="L1377" s="16" t="n">
        <v>460</v>
      </c>
      <c r="M1377" s="16"/>
      <c r="N1377" s="19"/>
    </row>
    <row r="1378" customFormat="false" ht="15" hidden="false" customHeight="false" outlineLevel="0" collapsed="false">
      <c r="A1378" s="13" t="s">
        <v>4120</v>
      </c>
      <c r="B1378" s="13" t="s">
        <v>2245</v>
      </c>
      <c r="C1378" s="13" t="s">
        <v>85</v>
      </c>
      <c r="D1378" s="13" t="s">
        <v>4121</v>
      </c>
      <c r="E1378" s="13" t="s">
        <v>4122</v>
      </c>
      <c r="F1378" s="13" t="n">
        <v>1</v>
      </c>
      <c r="G1378" s="13" t="n">
        <v>1</v>
      </c>
      <c r="H1378" s="5" t="n">
        <v>920</v>
      </c>
      <c r="I1378" s="7" t="n">
        <v>5</v>
      </c>
      <c r="J1378" s="16" t="n">
        <v>184</v>
      </c>
      <c r="K1378" s="16"/>
      <c r="L1378" s="16" t="n">
        <v>184</v>
      </c>
      <c r="M1378" s="16"/>
      <c r="N1378" s="19"/>
    </row>
    <row r="1379" customFormat="false" ht="15" hidden="false" customHeight="false" outlineLevel="0" collapsed="false">
      <c r="A1379" s="13" t="s">
        <v>4123</v>
      </c>
      <c r="B1379" s="13" t="s">
        <v>50</v>
      </c>
      <c r="C1379" s="13" t="s">
        <v>43</v>
      </c>
      <c r="D1379" s="13" t="s">
        <v>2324</v>
      </c>
      <c r="E1379" s="13" t="s">
        <v>1861</v>
      </c>
      <c r="F1379" s="13" t="n">
        <v>2</v>
      </c>
      <c r="G1379" s="13" t="n">
        <v>2</v>
      </c>
      <c r="H1379" s="5" t="n">
        <v>920</v>
      </c>
      <c r="I1379" s="7" t="n">
        <v>3</v>
      </c>
      <c r="J1379" s="16" t="n">
        <v>306.666666666667</v>
      </c>
      <c r="K1379" s="16"/>
      <c r="L1379" s="16" t="n">
        <v>310</v>
      </c>
      <c r="M1379" s="16" t="n">
        <v>305</v>
      </c>
      <c r="N1379" s="19" t="n">
        <v>0.0163934426229508</v>
      </c>
    </row>
    <row r="1380" customFormat="false" ht="15" hidden="false" customHeight="false" outlineLevel="0" collapsed="false">
      <c r="A1380" s="13" t="s">
        <v>4124</v>
      </c>
      <c r="B1380" s="13" t="s">
        <v>42</v>
      </c>
      <c r="C1380" s="13" t="s">
        <v>43</v>
      </c>
      <c r="D1380" s="13" t="s">
        <v>2324</v>
      </c>
      <c r="E1380" s="13" t="s">
        <v>912</v>
      </c>
      <c r="F1380" s="13" t="n">
        <v>1</v>
      </c>
      <c r="G1380" s="13" t="n">
        <v>1</v>
      </c>
      <c r="H1380" s="5" t="n">
        <v>920</v>
      </c>
      <c r="I1380" s="7" t="n">
        <v>1</v>
      </c>
      <c r="J1380" s="16" t="n">
        <v>920</v>
      </c>
      <c r="K1380" s="16"/>
      <c r="L1380" s="16" t="n">
        <v>920</v>
      </c>
      <c r="M1380" s="16"/>
      <c r="N1380" s="19"/>
    </row>
    <row r="1381" customFormat="false" ht="15" hidden="false" customHeight="false" outlineLevel="0" collapsed="false">
      <c r="A1381" s="13" t="s">
        <v>4125</v>
      </c>
      <c r="B1381" s="13" t="s">
        <v>2142</v>
      </c>
      <c r="C1381" s="13" t="s">
        <v>85</v>
      </c>
      <c r="D1381" s="13" t="s">
        <v>2324</v>
      </c>
      <c r="E1381" s="13" t="s">
        <v>4126</v>
      </c>
      <c r="F1381" s="13" t="n">
        <v>1</v>
      </c>
      <c r="G1381" s="13" t="n">
        <v>2</v>
      </c>
      <c r="H1381" s="5" t="n">
        <v>910</v>
      </c>
      <c r="I1381" s="7" t="n">
        <v>31</v>
      </c>
      <c r="J1381" s="16" t="n">
        <v>29.3548387096774</v>
      </c>
      <c r="K1381" s="16" t="n">
        <v>29.3548387096774</v>
      </c>
      <c r="L1381" s="16"/>
      <c r="M1381" s="16"/>
      <c r="N1381" s="19"/>
    </row>
    <row r="1382" customFormat="false" ht="15" hidden="false" customHeight="false" outlineLevel="0" collapsed="false">
      <c r="A1382" s="13" t="s">
        <v>4127</v>
      </c>
      <c r="B1382" s="13" t="s">
        <v>179</v>
      </c>
      <c r="C1382" s="13" t="s">
        <v>85</v>
      </c>
      <c r="D1382" s="13" t="s">
        <v>2324</v>
      </c>
      <c r="E1382" s="13" t="s">
        <v>1300</v>
      </c>
      <c r="F1382" s="13" t="n">
        <v>1</v>
      </c>
      <c r="G1382" s="13" t="n">
        <v>1</v>
      </c>
      <c r="H1382" s="5" t="n">
        <v>910</v>
      </c>
      <c r="I1382" s="7" t="n">
        <v>5</v>
      </c>
      <c r="J1382" s="16" t="n">
        <v>182</v>
      </c>
      <c r="K1382" s="16" t="n">
        <v>182</v>
      </c>
      <c r="L1382" s="16"/>
      <c r="M1382" s="16"/>
      <c r="N1382" s="19"/>
    </row>
    <row r="1383" customFormat="false" ht="15" hidden="false" customHeight="false" outlineLevel="0" collapsed="false">
      <c r="A1383" s="13" t="s">
        <v>4128</v>
      </c>
      <c r="B1383" s="13" t="s">
        <v>81</v>
      </c>
      <c r="C1383" s="13" t="s">
        <v>85</v>
      </c>
      <c r="D1383" s="13" t="s">
        <v>2324</v>
      </c>
      <c r="E1383" s="13" t="s">
        <v>1301</v>
      </c>
      <c r="F1383" s="13" t="n">
        <v>1</v>
      </c>
      <c r="G1383" s="13" t="n">
        <v>1</v>
      </c>
      <c r="H1383" s="5" t="n">
        <v>910</v>
      </c>
      <c r="I1383" s="7" t="n">
        <v>20</v>
      </c>
      <c r="J1383" s="16" t="n">
        <v>45.5</v>
      </c>
      <c r="K1383" s="16" t="n">
        <v>45.5</v>
      </c>
      <c r="L1383" s="16"/>
      <c r="M1383" s="16"/>
      <c r="N1383" s="19"/>
    </row>
    <row r="1384" customFormat="false" ht="15" hidden="false" customHeight="false" outlineLevel="0" collapsed="false">
      <c r="A1384" s="13" t="s">
        <v>4129</v>
      </c>
      <c r="B1384" s="13" t="s">
        <v>153</v>
      </c>
      <c r="C1384" s="13" t="s">
        <v>43</v>
      </c>
      <c r="D1384" s="13" t="s">
        <v>2500</v>
      </c>
      <c r="E1384" s="13" t="s">
        <v>1724</v>
      </c>
      <c r="F1384" s="13" t="n">
        <v>2</v>
      </c>
      <c r="G1384" s="13" t="n">
        <v>2</v>
      </c>
      <c r="H1384" s="5" t="n">
        <v>910</v>
      </c>
      <c r="I1384" s="7" t="n">
        <v>2</v>
      </c>
      <c r="J1384" s="16" t="n">
        <v>455</v>
      </c>
      <c r="K1384" s="16"/>
      <c r="L1384" s="16" t="n">
        <v>440</v>
      </c>
      <c r="M1384" s="16" t="n">
        <v>470</v>
      </c>
      <c r="N1384" s="19" t="n">
        <v>0.0681818181818182</v>
      </c>
    </row>
    <row r="1385" customFormat="false" ht="15" hidden="false" customHeight="false" outlineLevel="0" collapsed="false">
      <c r="A1385" s="13" t="s">
        <v>4130</v>
      </c>
      <c r="B1385" s="13" t="s">
        <v>2248</v>
      </c>
      <c r="C1385" s="13" t="s">
        <v>66</v>
      </c>
      <c r="D1385" s="13" t="s">
        <v>2324</v>
      </c>
      <c r="E1385" s="13" t="s">
        <v>4131</v>
      </c>
      <c r="F1385" s="13" t="n">
        <v>1</v>
      </c>
      <c r="G1385" s="13" t="n">
        <v>1</v>
      </c>
      <c r="H1385" s="5" t="n">
        <v>910</v>
      </c>
      <c r="I1385" s="7" t="n">
        <v>2</v>
      </c>
      <c r="J1385" s="16" t="n">
        <v>455</v>
      </c>
      <c r="K1385" s="16" t="n">
        <v>455</v>
      </c>
      <c r="L1385" s="16"/>
      <c r="M1385" s="16"/>
      <c r="N1385" s="19"/>
    </row>
    <row r="1386" customFormat="false" ht="15" hidden="false" customHeight="false" outlineLevel="0" collapsed="false">
      <c r="A1386" s="13" t="s">
        <v>4132</v>
      </c>
      <c r="B1386" s="13" t="s">
        <v>255</v>
      </c>
      <c r="C1386" s="13" t="s">
        <v>43</v>
      </c>
      <c r="D1386" s="13" t="s">
        <v>2339</v>
      </c>
      <c r="E1386" s="13" t="s">
        <v>1521</v>
      </c>
      <c r="F1386" s="13" t="n">
        <v>1</v>
      </c>
      <c r="G1386" s="13" t="n">
        <v>2</v>
      </c>
      <c r="H1386" s="5" t="n">
        <v>900</v>
      </c>
      <c r="I1386" s="7" t="n">
        <v>3</v>
      </c>
      <c r="J1386" s="16" t="n">
        <v>300</v>
      </c>
      <c r="K1386" s="16"/>
      <c r="L1386" s="16" t="n">
        <v>300</v>
      </c>
      <c r="M1386" s="16"/>
      <c r="N1386" s="19"/>
    </row>
    <row r="1387" customFormat="false" ht="15" hidden="false" customHeight="false" outlineLevel="0" collapsed="false">
      <c r="A1387" s="13" t="s">
        <v>4133</v>
      </c>
      <c r="B1387" s="13" t="s">
        <v>153</v>
      </c>
      <c r="C1387" s="13" t="s">
        <v>43</v>
      </c>
      <c r="D1387" s="13" t="s">
        <v>2324</v>
      </c>
      <c r="E1387" s="13" t="s">
        <v>1306</v>
      </c>
      <c r="F1387" s="13" t="n">
        <v>1</v>
      </c>
      <c r="G1387" s="13" t="n">
        <v>1</v>
      </c>
      <c r="H1387" s="5" t="n">
        <v>900</v>
      </c>
      <c r="I1387" s="7" t="n">
        <v>1</v>
      </c>
      <c r="J1387" s="16" t="n">
        <v>900</v>
      </c>
      <c r="K1387" s="16"/>
      <c r="L1387" s="16"/>
      <c r="M1387" s="16" t="n">
        <v>900</v>
      </c>
      <c r="N1387" s="19"/>
    </row>
    <row r="1388" customFormat="false" ht="15" hidden="false" customHeight="false" outlineLevel="0" collapsed="false">
      <c r="A1388" s="13" t="s">
        <v>4134</v>
      </c>
      <c r="B1388" s="13" t="s">
        <v>179</v>
      </c>
      <c r="C1388" s="13" t="s">
        <v>85</v>
      </c>
      <c r="D1388" s="13" t="s">
        <v>2324</v>
      </c>
      <c r="E1388" s="13" t="s">
        <v>1304</v>
      </c>
      <c r="F1388" s="13" t="n">
        <v>1</v>
      </c>
      <c r="G1388" s="13" t="n">
        <v>1</v>
      </c>
      <c r="H1388" s="5" t="n">
        <v>900</v>
      </c>
      <c r="I1388" s="7" t="n">
        <v>5</v>
      </c>
      <c r="J1388" s="16" t="n">
        <v>180</v>
      </c>
      <c r="K1388" s="16" t="n">
        <v>180</v>
      </c>
      <c r="L1388" s="16"/>
      <c r="M1388" s="16"/>
      <c r="N1388" s="19"/>
    </row>
    <row r="1389" customFormat="false" ht="15" hidden="false" customHeight="false" outlineLevel="0" collapsed="false">
      <c r="A1389" s="13" t="s">
        <v>4135</v>
      </c>
      <c r="B1389" s="13" t="s">
        <v>2096</v>
      </c>
      <c r="C1389" s="13" t="s">
        <v>43</v>
      </c>
      <c r="D1389" s="13" t="s">
        <v>2324</v>
      </c>
      <c r="E1389" s="13" t="s">
        <v>4136</v>
      </c>
      <c r="F1389" s="13" t="n">
        <v>1</v>
      </c>
      <c r="G1389" s="13" t="n">
        <v>1</v>
      </c>
      <c r="H1389" s="5" t="n">
        <v>900</v>
      </c>
      <c r="I1389" s="7" t="n">
        <v>5</v>
      </c>
      <c r="J1389" s="16" t="n">
        <v>180</v>
      </c>
      <c r="K1389" s="16" t="n">
        <v>180</v>
      </c>
      <c r="L1389" s="16"/>
      <c r="M1389" s="16"/>
      <c r="N1389" s="19"/>
    </row>
    <row r="1390" customFormat="false" ht="15" hidden="false" customHeight="false" outlineLevel="0" collapsed="false">
      <c r="A1390" s="13" t="s">
        <v>4137</v>
      </c>
      <c r="B1390" s="13" t="s">
        <v>2107</v>
      </c>
      <c r="C1390" s="13" t="s">
        <v>43</v>
      </c>
      <c r="D1390" s="13" t="s">
        <v>2339</v>
      </c>
      <c r="E1390" s="13" t="s">
        <v>4138</v>
      </c>
      <c r="F1390" s="13" t="n">
        <v>1</v>
      </c>
      <c r="G1390" s="13" t="n">
        <v>1</v>
      </c>
      <c r="H1390" s="5" t="n">
        <v>900</v>
      </c>
      <c r="I1390" s="7" t="n">
        <v>5</v>
      </c>
      <c r="J1390" s="16" t="n">
        <v>180</v>
      </c>
      <c r="K1390" s="16" t="n">
        <v>180</v>
      </c>
      <c r="L1390" s="16"/>
      <c r="M1390" s="16"/>
      <c r="N1390" s="19"/>
    </row>
    <row r="1391" customFormat="false" ht="15" hidden="false" customHeight="false" outlineLevel="0" collapsed="false">
      <c r="A1391" s="13" t="s">
        <v>4139</v>
      </c>
      <c r="B1391" s="13" t="s">
        <v>61</v>
      </c>
      <c r="C1391" s="13" t="s">
        <v>43</v>
      </c>
      <c r="D1391" s="13" t="s">
        <v>2324</v>
      </c>
      <c r="E1391" s="13" t="s">
        <v>1307</v>
      </c>
      <c r="F1391" s="13" t="n">
        <v>1</v>
      </c>
      <c r="G1391" s="13" t="n">
        <v>1</v>
      </c>
      <c r="H1391" s="5" t="n">
        <v>900</v>
      </c>
      <c r="I1391" s="7" t="n">
        <v>2</v>
      </c>
      <c r="J1391" s="16" t="n">
        <v>450</v>
      </c>
      <c r="K1391" s="16"/>
      <c r="L1391" s="16"/>
      <c r="M1391" s="16" t="n">
        <v>450</v>
      </c>
      <c r="N1391" s="19"/>
    </row>
    <row r="1392" customFormat="false" ht="15" hidden="false" customHeight="false" outlineLevel="0" collapsed="false">
      <c r="A1392" s="13" t="s">
        <v>4140</v>
      </c>
      <c r="B1392" s="13" t="s">
        <v>2194</v>
      </c>
      <c r="C1392" s="13" t="s">
        <v>85</v>
      </c>
      <c r="D1392" s="13" t="s">
        <v>2324</v>
      </c>
      <c r="E1392" s="13" t="s">
        <v>4141</v>
      </c>
      <c r="F1392" s="13" t="n">
        <v>1</v>
      </c>
      <c r="G1392" s="13" t="n">
        <v>1</v>
      </c>
      <c r="H1392" s="5" t="n">
        <v>900</v>
      </c>
      <c r="I1392" s="7" t="n">
        <v>20</v>
      </c>
      <c r="J1392" s="16" t="n">
        <v>45</v>
      </c>
      <c r="K1392" s="16"/>
      <c r="L1392" s="16"/>
      <c r="M1392" s="16" t="n">
        <v>45</v>
      </c>
      <c r="N1392" s="19"/>
    </row>
    <row r="1393" customFormat="false" ht="15" hidden="false" customHeight="false" outlineLevel="0" collapsed="false">
      <c r="A1393" s="13" t="s">
        <v>4142</v>
      </c>
      <c r="B1393" s="13" t="s">
        <v>153</v>
      </c>
      <c r="C1393" s="13" t="s">
        <v>43</v>
      </c>
      <c r="D1393" s="13" t="s">
        <v>2324</v>
      </c>
      <c r="E1393" s="13" t="s">
        <v>1712</v>
      </c>
      <c r="F1393" s="13" t="n">
        <v>1</v>
      </c>
      <c r="G1393" s="13" t="n">
        <v>2</v>
      </c>
      <c r="H1393" s="5" t="n">
        <v>900</v>
      </c>
      <c r="I1393" s="7" t="n">
        <v>2</v>
      </c>
      <c r="J1393" s="16" t="n">
        <v>450</v>
      </c>
      <c r="K1393" s="16"/>
      <c r="L1393" s="16"/>
      <c r="M1393" s="16" t="n">
        <v>450</v>
      </c>
      <c r="N1393" s="19"/>
    </row>
    <row r="1394" customFormat="false" ht="15" hidden="false" customHeight="false" outlineLevel="0" collapsed="false">
      <c r="A1394" s="13" t="s">
        <v>4143</v>
      </c>
      <c r="B1394" s="13" t="s">
        <v>191</v>
      </c>
      <c r="C1394" s="13" t="s">
        <v>183</v>
      </c>
      <c r="D1394" s="13" t="s">
        <v>2324</v>
      </c>
      <c r="E1394" s="13" t="s">
        <v>1305</v>
      </c>
      <c r="F1394" s="13" t="n">
        <v>1</v>
      </c>
      <c r="G1394" s="13" t="n">
        <v>1</v>
      </c>
      <c r="H1394" s="5" t="n">
        <v>900</v>
      </c>
      <c r="I1394" s="7" t="n">
        <v>5</v>
      </c>
      <c r="J1394" s="16" t="n">
        <v>180</v>
      </c>
      <c r="K1394" s="16" t="n">
        <v>180</v>
      </c>
      <c r="L1394" s="16"/>
      <c r="M1394" s="16"/>
      <c r="N1394" s="19"/>
    </row>
    <row r="1395" customFormat="false" ht="15" hidden="false" customHeight="false" outlineLevel="0" collapsed="false">
      <c r="A1395" s="13" t="s">
        <v>4144</v>
      </c>
      <c r="B1395" s="13" t="s">
        <v>2100</v>
      </c>
      <c r="C1395" s="13" t="s">
        <v>43</v>
      </c>
      <c r="D1395" s="13" t="s">
        <v>2324</v>
      </c>
      <c r="E1395" s="13" t="s">
        <v>4145</v>
      </c>
      <c r="F1395" s="13" t="n">
        <v>1</v>
      </c>
      <c r="G1395" s="13" t="n">
        <v>1</v>
      </c>
      <c r="H1395" s="5" t="n">
        <v>900</v>
      </c>
      <c r="I1395" s="7" t="n">
        <v>10</v>
      </c>
      <c r="J1395" s="16" t="n">
        <v>90</v>
      </c>
      <c r="K1395" s="16" t="n">
        <v>90</v>
      </c>
      <c r="L1395" s="16"/>
      <c r="M1395" s="16"/>
      <c r="N1395" s="19"/>
    </row>
    <row r="1396" customFormat="false" ht="15" hidden="false" customHeight="false" outlineLevel="0" collapsed="false">
      <c r="A1396" s="13" t="s">
        <v>4146</v>
      </c>
      <c r="B1396" s="13" t="s">
        <v>124</v>
      </c>
      <c r="C1396" s="13" t="s">
        <v>43</v>
      </c>
      <c r="D1396" s="13" t="s">
        <v>2324</v>
      </c>
      <c r="E1396" s="13" t="s">
        <v>1314</v>
      </c>
      <c r="F1396" s="13" t="n">
        <v>1</v>
      </c>
      <c r="G1396" s="13" t="n">
        <v>1</v>
      </c>
      <c r="H1396" s="5" t="n">
        <v>890</v>
      </c>
      <c r="I1396" s="7" t="n">
        <v>1</v>
      </c>
      <c r="J1396" s="16" t="n">
        <v>890</v>
      </c>
      <c r="K1396" s="16"/>
      <c r="L1396" s="16"/>
      <c r="M1396" s="16" t="n">
        <v>890</v>
      </c>
      <c r="N1396" s="19"/>
    </row>
    <row r="1397" customFormat="false" ht="15" hidden="false" customHeight="false" outlineLevel="0" collapsed="false">
      <c r="A1397" s="13" t="s">
        <v>4147</v>
      </c>
      <c r="B1397" s="13" t="s">
        <v>490</v>
      </c>
      <c r="C1397" s="13" t="s">
        <v>43</v>
      </c>
      <c r="D1397" s="13" t="s">
        <v>2324</v>
      </c>
      <c r="E1397" s="13" t="s">
        <v>1313</v>
      </c>
      <c r="F1397" s="13" t="n">
        <v>1</v>
      </c>
      <c r="G1397" s="13" t="n">
        <v>1</v>
      </c>
      <c r="H1397" s="5" t="n">
        <v>890</v>
      </c>
      <c r="I1397" s="7" t="n">
        <v>2</v>
      </c>
      <c r="J1397" s="16" t="n">
        <v>445</v>
      </c>
      <c r="K1397" s="16"/>
      <c r="L1397" s="16"/>
      <c r="M1397" s="16" t="n">
        <v>445</v>
      </c>
      <c r="N1397" s="19"/>
    </row>
    <row r="1398" customFormat="false" ht="15" hidden="false" customHeight="false" outlineLevel="0" collapsed="false">
      <c r="A1398" s="13" t="s">
        <v>4148</v>
      </c>
      <c r="B1398" s="13" t="s">
        <v>179</v>
      </c>
      <c r="C1398" s="13" t="s">
        <v>180</v>
      </c>
      <c r="D1398" s="13" t="s">
        <v>2324</v>
      </c>
      <c r="E1398" s="13" t="s">
        <v>1311</v>
      </c>
      <c r="F1398" s="13" t="n">
        <v>1</v>
      </c>
      <c r="G1398" s="13" t="n">
        <v>1</v>
      </c>
      <c r="H1398" s="5" t="n">
        <v>890</v>
      </c>
      <c r="I1398" s="7" t="n">
        <v>5</v>
      </c>
      <c r="J1398" s="16" t="n">
        <v>178</v>
      </c>
      <c r="K1398" s="16" t="n">
        <v>178</v>
      </c>
      <c r="L1398" s="16"/>
      <c r="M1398" s="16"/>
      <c r="N1398" s="19"/>
    </row>
    <row r="1399" customFormat="false" ht="15" hidden="false" customHeight="false" outlineLevel="0" collapsed="false">
      <c r="A1399" s="13" t="s">
        <v>4149</v>
      </c>
      <c r="B1399" s="13" t="s">
        <v>2172</v>
      </c>
      <c r="C1399" s="13" t="s">
        <v>85</v>
      </c>
      <c r="D1399" s="13" t="s">
        <v>2324</v>
      </c>
      <c r="E1399" s="13" t="s">
        <v>4150</v>
      </c>
      <c r="F1399" s="13" t="n">
        <v>1</v>
      </c>
      <c r="G1399" s="13" t="n">
        <v>1</v>
      </c>
      <c r="H1399" s="5" t="n">
        <v>890</v>
      </c>
      <c r="I1399" s="7" t="n">
        <v>5</v>
      </c>
      <c r="J1399" s="16" t="n">
        <v>178</v>
      </c>
      <c r="K1399" s="16" t="n">
        <v>178</v>
      </c>
      <c r="L1399" s="16"/>
      <c r="M1399" s="16"/>
      <c r="N1399" s="19"/>
    </row>
    <row r="1400" customFormat="false" ht="15" hidden="false" customHeight="false" outlineLevel="0" collapsed="false">
      <c r="A1400" s="13" t="s">
        <v>4151</v>
      </c>
      <c r="B1400" s="13" t="s">
        <v>105</v>
      </c>
      <c r="C1400" s="13" t="s">
        <v>43</v>
      </c>
      <c r="D1400" s="13" t="s">
        <v>2751</v>
      </c>
      <c r="E1400" s="13" t="s">
        <v>1864</v>
      </c>
      <c r="F1400" s="13" t="n">
        <v>1</v>
      </c>
      <c r="G1400" s="13" t="n">
        <v>2</v>
      </c>
      <c r="H1400" s="5" t="n">
        <v>890</v>
      </c>
      <c r="I1400" s="7" t="n">
        <v>3</v>
      </c>
      <c r="J1400" s="16" t="n">
        <v>296.666666666667</v>
      </c>
      <c r="K1400" s="16"/>
      <c r="L1400" s="16" t="n">
        <v>296.666666666667</v>
      </c>
      <c r="M1400" s="16"/>
      <c r="N1400" s="19"/>
    </row>
    <row r="1401" customFormat="false" ht="15" hidden="false" customHeight="false" outlineLevel="0" collapsed="false">
      <c r="A1401" s="13" t="s">
        <v>4152</v>
      </c>
      <c r="B1401" s="13" t="s">
        <v>42</v>
      </c>
      <c r="C1401" s="13" t="s">
        <v>43</v>
      </c>
      <c r="D1401" s="13" t="s">
        <v>2324</v>
      </c>
      <c r="E1401" s="13" t="s">
        <v>1317</v>
      </c>
      <c r="F1401" s="13" t="n">
        <v>1</v>
      </c>
      <c r="G1401" s="13" t="n">
        <v>1</v>
      </c>
      <c r="H1401" s="5" t="n">
        <v>880</v>
      </c>
      <c r="I1401" s="7" t="n">
        <v>1</v>
      </c>
      <c r="J1401" s="16" t="n">
        <v>880</v>
      </c>
      <c r="K1401" s="16"/>
      <c r="L1401" s="16" t="n">
        <v>880</v>
      </c>
      <c r="M1401" s="16"/>
      <c r="N1401" s="19"/>
    </row>
    <row r="1402" customFormat="false" ht="15" hidden="false" customHeight="false" outlineLevel="0" collapsed="false">
      <c r="A1402" s="13" t="s">
        <v>4153</v>
      </c>
      <c r="B1402" s="13" t="s">
        <v>2126</v>
      </c>
      <c r="C1402" s="13" t="s">
        <v>183</v>
      </c>
      <c r="D1402" s="13" t="s">
        <v>2324</v>
      </c>
      <c r="E1402" s="13" t="s">
        <v>4154</v>
      </c>
      <c r="F1402" s="13" t="n">
        <v>1</v>
      </c>
      <c r="G1402" s="13" t="n">
        <v>1</v>
      </c>
      <c r="H1402" s="5" t="n">
        <v>880</v>
      </c>
      <c r="I1402" s="7" t="n">
        <v>20</v>
      </c>
      <c r="J1402" s="16" t="n">
        <v>44</v>
      </c>
      <c r="K1402" s="16" t="n">
        <v>44</v>
      </c>
      <c r="L1402" s="16"/>
      <c r="M1402" s="16"/>
      <c r="N1402" s="19"/>
    </row>
    <row r="1403" customFormat="false" ht="15" hidden="false" customHeight="false" outlineLevel="0" collapsed="false">
      <c r="A1403" s="13" t="s">
        <v>4155</v>
      </c>
      <c r="B1403" s="13" t="s">
        <v>2164</v>
      </c>
      <c r="C1403" s="13" t="s">
        <v>43</v>
      </c>
      <c r="D1403" s="13" t="s">
        <v>2324</v>
      </c>
      <c r="E1403" s="13" t="s">
        <v>4156</v>
      </c>
      <c r="F1403" s="13" t="n">
        <v>1</v>
      </c>
      <c r="G1403" s="13" t="n">
        <v>1</v>
      </c>
      <c r="H1403" s="5" t="n">
        <v>880</v>
      </c>
      <c r="I1403" s="7" t="n">
        <v>5</v>
      </c>
      <c r="J1403" s="16" t="n">
        <v>176</v>
      </c>
      <c r="K1403" s="16"/>
      <c r="L1403" s="16"/>
      <c r="M1403" s="16" t="n">
        <v>176</v>
      </c>
      <c r="N1403" s="19"/>
    </row>
    <row r="1404" customFormat="false" ht="15" hidden="false" customHeight="false" outlineLevel="0" collapsed="false">
      <c r="A1404" s="13" t="s">
        <v>4157</v>
      </c>
      <c r="B1404" s="13" t="s">
        <v>50</v>
      </c>
      <c r="C1404" s="13" t="s">
        <v>43</v>
      </c>
      <c r="D1404" s="13" t="s">
        <v>2422</v>
      </c>
      <c r="E1404" s="13" t="s">
        <v>1713</v>
      </c>
      <c r="F1404" s="13" t="n">
        <v>2</v>
      </c>
      <c r="G1404" s="13" t="n">
        <v>2</v>
      </c>
      <c r="H1404" s="5" t="n">
        <v>880</v>
      </c>
      <c r="I1404" s="7" t="n">
        <v>2</v>
      </c>
      <c r="J1404" s="16" t="n">
        <v>440</v>
      </c>
      <c r="K1404" s="16"/>
      <c r="L1404" s="16" t="n">
        <v>430</v>
      </c>
      <c r="M1404" s="16" t="n">
        <v>450</v>
      </c>
      <c r="N1404" s="19" t="n">
        <v>0.0465116279069767</v>
      </c>
    </row>
    <row r="1405" customFormat="false" ht="15" hidden="false" customHeight="false" outlineLevel="0" collapsed="false">
      <c r="A1405" s="13" t="s">
        <v>4158</v>
      </c>
      <c r="B1405" s="13" t="s">
        <v>79</v>
      </c>
      <c r="C1405" s="13" t="s">
        <v>43</v>
      </c>
      <c r="D1405" s="13" t="s">
        <v>2339</v>
      </c>
      <c r="E1405" s="13" t="s">
        <v>1323</v>
      </c>
      <c r="F1405" s="13" t="n">
        <v>1</v>
      </c>
      <c r="G1405" s="13" t="n">
        <v>1</v>
      </c>
      <c r="H1405" s="5" t="n">
        <v>870</v>
      </c>
      <c r="I1405" s="7" t="n">
        <v>1</v>
      </c>
      <c r="J1405" s="16" t="n">
        <v>870</v>
      </c>
      <c r="K1405" s="16"/>
      <c r="L1405" s="16" t="n">
        <v>870</v>
      </c>
      <c r="M1405" s="16"/>
      <c r="N1405" s="19"/>
    </row>
    <row r="1406" customFormat="false" ht="15" hidden="false" customHeight="false" outlineLevel="0" collapsed="false">
      <c r="A1406" s="13" t="s">
        <v>4159</v>
      </c>
      <c r="B1406" s="13" t="s">
        <v>54</v>
      </c>
      <c r="C1406" s="13" t="s">
        <v>43</v>
      </c>
      <c r="D1406" s="13" t="s">
        <v>2324</v>
      </c>
      <c r="E1406" s="13" t="s">
        <v>1332</v>
      </c>
      <c r="F1406" s="13" t="n">
        <v>1</v>
      </c>
      <c r="G1406" s="13" t="n">
        <v>1</v>
      </c>
      <c r="H1406" s="5" t="n">
        <v>870</v>
      </c>
      <c r="I1406" s="7" t="n">
        <v>2</v>
      </c>
      <c r="J1406" s="16" t="n">
        <v>435</v>
      </c>
      <c r="K1406" s="16"/>
      <c r="L1406" s="16"/>
      <c r="M1406" s="16" t="n">
        <v>435</v>
      </c>
      <c r="N1406" s="19"/>
    </row>
    <row r="1407" customFormat="false" ht="15" hidden="false" customHeight="false" outlineLevel="0" collapsed="false">
      <c r="A1407" s="13" t="s">
        <v>4160</v>
      </c>
      <c r="B1407" s="13" t="s">
        <v>195</v>
      </c>
      <c r="C1407" s="13" t="s">
        <v>43</v>
      </c>
      <c r="D1407" s="13" t="s">
        <v>2339</v>
      </c>
      <c r="E1407" s="13" t="s">
        <v>1329</v>
      </c>
      <c r="F1407" s="13" t="n">
        <v>1</v>
      </c>
      <c r="G1407" s="13" t="n">
        <v>1</v>
      </c>
      <c r="H1407" s="5" t="n">
        <v>870</v>
      </c>
      <c r="I1407" s="7" t="n">
        <v>1</v>
      </c>
      <c r="J1407" s="16" t="n">
        <v>870</v>
      </c>
      <c r="K1407" s="16"/>
      <c r="L1407" s="16" t="n">
        <v>870</v>
      </c>
      <c r="M1407" s="16"/>
      <c r="N1407" s="19"/>
    </row>
    <row r="1408" customFormat="false" ht="15" hidden="false" customHeight="false" outlineLevel="0" collapsed="false">
      <c r="A1408" s="13" t="s">
        <v>4161</v>
      </c>
      <c r="B1408" s="13" t="s">
        <v>121</v>
      </c>
      <c r="C1408" s="13" t="s">
        <v>43</v>
      </c>
      <c r="D1408" s="13" t="s">
        <v>2339</v>
      </c>
      <c r="E1408" s="13" t="s">
        <v>1714</v>
      </c>
      <c r="F1408" s="13" t="n">
        <v>1</v>
      </c>
      <c r="G1408" s="13" t="n">
        <v>4</v>
      </c>
      <c r="H1408" s="5" t="n">
        <v>870</v>
      </c>
      <c r="I1408" s="7" t="n">
        <v>5</v>
      </c>
      <c r="J1408" s="16" t="n">
        <v>174</v>
      </c>
      <c r="K1408" s="16"/>
      <c r="L1408" s="16"/>
      <c r="M1408" s="16" t="n">
        <v>174</v>
      </c>
      <c r="N1408" s="19"/>
    </row>
    <row r="1409" customFormat="false" ht="15" hidden="false" customHeight="false" outlineLevel="0" collapsed="false">
      <c r="A1409" s="13" t="s">
        <v>4162</v>
      </c>
      <c r="B1409" s="13" t="s">
        <v>50</v>
      </c>
      <c r="C1409" s="13" t="s">
        <v>43</v>
      </c>
      <c r="D1409" s="13" t="s">
        <v>2324</v>
      </c>
      <c r="E1409" s="13" t="s">
        <v>1322</v>
      </c>
      <c r="F1409" s="13" t="n">
        <v>1</v>
      </c>
      <c r="G1409" s="13" t="n">
        <v>1</v>
      </c>
      <c r="H1409" s="5" t="n">
        <v>870</v>
      </c>
      <c r="I1409" s="7" t="n">
        <v>1</v>
      </c>
      <c r="J1409" s="16" t="n">
        <v>870</v>
      </c>
      <c r="K1409" s="16"/>
      <c r="L1409" s="16" t="n">
        <v>870</v>
      </c>
      <c r="M1409" s="16"/>
      <c r="N1409" s="19"/>
    </row>
    <row r="1410" customFormat="false" ht="15" hidden="false" customHeight="false" outlineLevel="0" collapsed="false">
      <c r="A1410" s="13" t="s">
        <v>4163</v>
      </c>
      <c r="B1410" s="13" t="s">
        <v>45</v>
      </c>
      <c r="C1410" s="13" t="s">
        <v>43</v>
      </c>
      <c r="D1410" s="13" t="s">
        <v>2324</v>
      </c>
      <c r="E1410" s="13" t="s">
        <v>1327</v>
      </c>
      <c r="F1410" s="13" t="n">
        <v>1</v>
      </c>
      <c r="G1410" s="13" t="n">
        <v>1</v>
      </c>
      <c r="H1410" s="5" t="n">
        <v>870</v>
      </c>
      <c r="I1410" s="7" t="n">
        <v>1</v>
      </c>
      <c r="J1410" s="16" t="n">
        <v>870</v>
      </c>
      <c r="K1410" s="16"/>
      <c r="L1410" s="16" t="n">
        <v>870</v>
      </c>
      <c r="M1410" s="16"/>
      <c r="N1410" s="19"/>
    </row>
    <row r="1411" customFormat="false" ht="15" hidden="false" customHeight="false" outlineLevel="0" collapsed="false">
      <c r="A1411" s="13" t="s">
        <v>4164</v>
      </c>
      <c r="B1411" s="13" t="s">
        <v>54</v>
      </c>
      <c r="C1411" s="13" t="s">
        <v>43</v>
      </c>
      <c r="D1411" s="13" t="s">
        <v>2324</v>
      </c>
      <c r="E1411" s="13" t="s">
        <v>1338</v>
      </c>
      <c r="F1411" s="13" t="n">
        <v>1</v>
      </c>
      <c r="G1411" s="13" t="n">
        <v>1</v>
      </c>
      <c r="H1411" s="5" t="n">
        <v>860</v>
      </c>
      <c r="I1411" s="7" t="n">
        <v>2</v>
      </c>
      <c r="J1411" s="16" t="n">
        <v>430</v>
      </c>
      <c r="K1411" s="16"/>
      <c r="L1411" s="16"/>
      <c r="M1411" s="16" t="n">
        <v>430</v>
      </c>
      <c r="N1411" s="19"/>
    </row>
    <row r="1412" customFormat="false" ht="15" hidden="false" customHeight="false" outlineLevel="0" collapsed="false">
      <c r="A1412" s="13" t="s">
        <v>4165</v>
      </c>
      <c r="B1412" s="13" t="s">
        <v>107</v>
      </c>
      <c r="C1412" s="13" t="s">
        <v>183</v>
      </c>
      <c r="D1412" s="13" t="s">
        <v>2324</v>
      </c>
      <c r="E1412" s="13" t="s">
        <v>1337</v>
      </c>
      <c r="F1412" s="13" t="n">
        <v>1</v>
      </c>
      <c r="G1412" s="13" t="n">
        <v>1</v>
      </c>
      <c r="H1412" s="5" t="n">
        <v>860</v>
      </c>
      <c r="I1412" s="7" t="n">
        <v>2</v>
      </c>
      <c r="J1412" s="16" t="n">
        <v>430</v>
      </c>
      <c r="K1412" s="16"/>
      <c r="L1412" s="16"/>
      <c r="M1412" s="16" t="n">
        <v>430</v>
      </c>
      <c r="N1412" s="19"/>
    </row>
    <row r="1413" customFormat="false" ht="15" hidden="false" customHeight="false" outlineLevel="0" collapsed="false">
      <c r="A1413" s="13" t="s">
        <v>4166</v>
      </c>
      <c r="B1413" s="13" t="s">
        <v>362</v>
      </c>
      <c r="C1413" s="13" t="s">
        <v>43</v>
      </c>
      <c r="D1413" s="13" t="s">
        <v>2422</v>
      </c>
      <c r="E1413" s="13" t="s">
        <v>1742</v>
      </c>
      <c r="F1413" s="13" t="n">
        <v>1</v>
      </c>
      <c r="G1413" s="13" t="n">
        <v>2</v>
      </c>
      <c r="H1413" s="5" t="n">
        <v>860</v>
      </c>
      <c r="I1413" s="7" t="n">
        <v>2</v>
      </c>
      <c r="J1413" s="16" t="n">
        <v>430</v>
      </c>
      <c r="K1413" s="16"/>
      <c r="L1413" s="16" t="n">
        <v>430</v>
      </c>
      <c r="M1413" s="16"/>
      <c r="N1413" s="19"/>
    </row>
    <row r="1414" customFormat="false" ht="15" hidden="false" customHeight="false" outlineLevel="0" collapsed="false">
      <c r="A1414" s="13" t="s">
        <v>4167</v>
      </c>
      <c r="B1414" s="13" t="s">
        <v>2099</v>
      </c>
      <c r="C1414" s="13" t="s">
        <v>43</v>
      </c>
      <c r="D1414" s="13" t="s">
        <v>2324</v>
      </c>
      <c r="E1414" s="13" t="s">
        <v>4168</v>
      </c>
      <c r="F1414" s="13" t="n">
        <v>1</v>
      </c>
      <c r="G1414" s="13" t="n">
        <v>2</v>
      </c>
      <c r="H1414" s="5" t="n">
        <v>860</v>
      </c>
      <c r="I1414" s="7" t="n">
        <v>25</v>
      </c>
      <c r="J1414" s="16" t="n">
        <v>34.4</v>
      </c>
      <c r="K1414" s="16" t="n">
        <v>34.4</v>
      </c>
      <c r="L1414" s="16"/>
      <c r="M1414" s="16"/>
      <c r="N1414" s="19"/>
    </row>
    <row r="1415" customFormat="false" ht="15" hidden="false" customHeight="false" outlineLevel="0" collapsed="false">
      <c r="A1415" s="13" t="s">
        <v>4169</v>
      </c>
      <c r="B1415" s="13" t="s">
        <v>54</v>
      </c>
      <c r="C1415" s="13" t="s">
        <v>43</v>
      </c>
      <c r="D1415" s="13" t="s">
        <v>2422</v>
      </c>
      <c r="E1415" s="13" t="s">
        <v>1340</v>
      </c>
      <c r="F1415" s="13" t="n">
        <v>1</v>
      </c>
      <c r="G1415" s="13" t="n">
        <v>1</v>
      </c>
      <c r="H1415" s="5" t="n">
        <v>860</v>
      </c>
      <c r="I1415" s="7" t="n">
        <v>2</v>
      </c>
      <c r="J1415" s="16" t="n">
        <v>430</v>
      </c>
      <c r="K1415" s="16"/>
      <c r="L1415" s="16"/>
      <c r="M1415" s="16" t="n">
        <v>430</v>
      </c>
      <c r="N1415" s="19"/>
    </row>
    <row r="1416" customFormat="false" ht="15" hidden="false" customHeight="false" outlineLevel="0" collapsed="false">
      <c r="A1416" s="13" t="s">
        <v>4170</v>
      </c>
      <c r="B1416" s="13" t="s">
        <v>195</v>
      </c>
      <c r="C1416" s="13" t="s">
        <v>43</v>
      </c>
      <c r="D1416" s="13" t="s">
        <v>2324</v>
      </c>
      <c r="E1416" s="13" t="s">
        <v>1335</v>
      </c>
      <c r="F1416" s="13" t="n">
        <v>1</v>
      </c>
      <c r="G1416" s="13" t="n">
        <v>1</v>
      </c>
      <c r="H1416" s="5" t="n">
        <v>860</v>
      </c>
      <c r="I1416" s="7" t="n">
        <v>2</v>
      </c>
      <c r="J1416" s="16" t="n">
        <v>430</v>
      </c>
      <c r="K1416" s="16"/>
      <c r="L1416" s="16"/>
      <c r="M1416" s="16" t="n">
        <v>430</v>
      </c>
      <c r="N1416" s="19"/>
    </row>
    <row r="1417" customFormat="false" ht="15" hidden="false" customHeight="false" outlineLevel="0" collapsed="false">
      <c r="A1417" s="13" t="s">
        <v>4171</v>
      </c>
      <c r="B1417" s="13" t="s">
        <v>2134</v>
      </c>
      <c r="C1417" s="13" t="s">
        <v>43</v>
      </c>
      <c r="D1417" s="13" t="s">
        <v>2324</v>
      </c>
      <c r="E1417" s="13" t="s">
        <v>4172</v>
      </c>
      <c r="F1417" s="13" t="n">
        <v>1</v>
      </c>
      <c r="G1417" s="13" t="n">
        <v>1</v>
      </c>
      <c r="H1417" s="5" t="n">
        <v>850</v>
      </c>
      <c r="I1417" s="7" t="n">
        <v>1</v>
      </c>
      <c r="J1417" s="16" t="n">
        <v>850</v>
      </c>
      <c r="K1417" s="16"/>
      <c r="L1417" s="16" t="n">
        <v>850</v>
      </c>
      <c r="M1417" s="16"/>
      <c r="N1417" s="19"/>
    </row>
    <row r="1418" customFormat="false" ht="15" hidden="false" customHeight="false" outlineLevel="0" collapsed="false">
      <c r="A1418" s="13" t="s">
        <v>4173</v>
      </c>
      <c r="B1418" s="13" t="s">
        <v>45</v>
      </c>
      <c r="C1418" s="13" t="s">
        <v>43</v>
      </c>
      <c r="D1418" s="13" t="s">
        <v>2324</v>
      </c>
      <c r="E1418" s="13" t="s">
        <v>563</v>
      </c>
      <c r="F1418" s="13" t="n">
        <v>1</v>
      </c>
      <c r="G1418" s="13" t="n">
        <v>1</v>
      </c>
      <c r="H1418" s="5" t="n">
        <v>850</v>
      </c>
      <c r="I1418" s="7" t="n">
        <v>2</v>
      </c>
      <c r="J1418" s="16" t="n">
        <v>425</v>
      </c>
      <c r="K1418" s="16"/>
      <c r="L1418" s="16"/>
      <c r="M1418" s="16" t="n">
        <v>425</v>
      </c>
      <c r="N1418" s="19"/>
    </row>
    <row r="1419" customFormat="false" ht="15" hidden="false" customHeight="false" outlineLevel="0" collapsed="false">
      <c r="A1419" s="13" t="s">
        <v>4174</v>
      </c>
      <c r="B1419" s="13" t="s">
        <v>2133</v>
      </c>
      <c r="C1419" s="13" t="s">
        <v>43</v>
      </c>
      <c r="D1419" s="13" t="s">
        <v>2324</v>
      </c>
      <c r="E1419" s="13" t="s">
        <v>4175</v>
      </c>
      <c r="F1419" s="13" t="n">
        <v>1</v>
      </c>
      <c r="G1419" s="13" t="n">
        <v>1</v>
      </c>
      <c r="H1419" s="5" t="n">
        <v>850</v>
      </c>
      <c r="I1419" s="7" t="n">
        <v>1</v>
      </c>
      <c r="J1419" s="16" t="n">
        <v>850</v>
      </c>
      <c r="K1419" s="16"/>
      <c r="L1419" s="16" t="n">
        <v>850</v>
      </c>
      <c r="M1419" s="16"/>
      <c r="N1419" s="19"/>
    </row>
    <row r="1420" customFormat="false" ht="15" hidden="false" customHeight="false" outlineLevel="0" collapsed="false">
      <c r="A1420" s="13" t="s">
        <v>4176</v>
      </c>
      <c r="B1420" s="13" t="s">
        <v>2251</v>
      </c>
      <c r="C1420" s="13" t="s">
        <v>43</v>
      </c>
      <c r="D1420" s="13" t="s">
        <v>2339</v>
      </c>
      <c r="E1420" s="13" t="s">
        <v>4177</v>
      </c>
      <c r="F1420" s="13" t="n">
        <v>1</v>
      </c>
      <c r="G1420" s="13" t="n">
        <v>1</v>
      </c>
      <c r="H1420" s="5" t="n">
        <v>850</v>
      </c>
      <c r="I1420" s="7" t="n">
        <v>5</v>
      </c>
      <c r="J1420" s="16" t="n">
        <v>170</v>
      </c>
      <c r="K1420" s="16" t="n">
        <v>170</v>
      </c>
      <c r="L1420" s="16"/>
      <c r="M1420" s="16"/>
      <c r="N1420" s="19"/>
    </row>
    <row r="1421" customFormat="false" ht="15" hidden="false" customHeight="false" outlineLevel="0" collapsed="false">
      <c r="A1421" s="13" t="s">
        <v>4178</v>
      </c>
      <c r="B1421" s="13" t="s">
        <v>42</v>
      </c>
      <c r="C1421" s="13" t="s">
        <v>43</v>
      </c>
      <c r="D1421" s="13" t="s">
        <v>2324</v>
      </c>
      <c r="E1421" s="13" t="s">
        <v>1916</v>
      </c>
      <c r="F1421" s="13" t="n">
        <v>2</v>
      </c>
      <c r="G1421" s="13" t="n">
        <v>2</v>
      </c>
      <c r="H1421" s="5" t="n">
        <v>850</v>
      </c>
      <c r="I1421" s="7" t="n">
        <v>3</v>
      </c>
      <c r="J1421" s="16" t="n">
        <v>283.333333333333</v>
      </c>
      <c r="K1421" s="16"/>
      <c r="L1421" s="16" t="n">
        <v>270</v>
      </c>
      <c r="M1421" s="16" t="n">
        <v>290</v>
      </c>
      <c r="N1421" s="19" t="n">
        <v>0.0740740740740741</v>
      </c>
    </row>
    <row r="1422" customFormat="false" ht="15" hidden="false" customHeight="false" outlineLevel="0" collapsed="false">
      <c r="A1422" s="13" t="s">
        <v>4179</v>
      </c>
      <c r="B1422" s="13" t="s">
        <v>362</v>
      </c>
      <c r="C1422" s="13" t="s">
        <v>43</v>
      </c>
      <c r="D1422" s="13" t="s">
        <v>2324</v>
      </c>
      <c r="E1422" s="13" t="s">
        <v>1342</v>
      </c>
      <c r="F1422" s="13" t="n">
        <v>1</v>
      </c>
      <c r="G1422" s="13" t="n">
        <v>1</v>
      </c>
      <c r="H1422" s="5" t="n">
        <v>850</v>
      </c>
      <c r="I1422" s="7" t="n">
        <v>1</v>
      </c>
      <c r="J1422" s="16" t="n">
        <v>850</v>
      </c>
      <c r="K1422" s="16"/>
      <c r="L1422" s="16"/>
      <c r="M1422" s="16" t="n">
        <v>850</v>
      </c>
      <c r="N1422" s="19"/>
    </row>
    <row r="1423" customFormat="false" ht="15" hidden="false" customHeight="false" outlineLevel="0" collapsed="false">
      <c r="A1423" s="13" t="s">
        <v>4180</v>
      </c>
      <c r="B1423" s="13" t="s">
        <v>121</v>
      </c>
      <c r="C1423" s="13" t="s">
        <v>183</v>
      </c>
      <c r="D1423" s="13" t="s">
        <v>2324</v>
      </c>
      <c r="E1423" s="13" t="s">
        <v>1341</v>
      </c>
      <c r="F1423" s="13" t="n">
        <v>1</v>
      </c>
      <c r="G1423" s="13" t="n">
        <v>1</v>
      </c>
      <c r="H1423" s="5" t="n">
        <v>850</v>
      </c>
      <c r="I1423" s="7" t="n">
        <v>5</v>
      </c>
      <c r="J1423" s="16" t="n">
        <v>170</v>
      </c>
      <c r="K1423" s="16"/>
      <c r="L1423" s="16"/>
      <c r="M1423" s="16" t="n">
        <v>170</v>
      </c>
      <c r="N1423" s="19"/>
    </row>
    <row r="1424" customFormat="false" ht="15" hidden="false" customHeight="false" outlineLevel="0" collapsed="false">
      <c r="A1424" s="13" t="s">
        <v>4181</v>
      </c>
      <c r="B1424" s="13" t="s">
        <v>42</v>
      </c>
      <c r="C1424" s="13" t="s">
        <v>43</v>
      </c>
      <c r="D1424" s="13" t="s">
        <v>2324</v>
      </c>
      <c r="E1424" s="13" t="s">
        <v>838</v>
      </c>
      <c r="F1424" s="13" t="n">
        <v>1</v>
      </c>
      <c r="G1424" s="13" t="n">
        <v>1</v>
      </c>
      <c r="H1424" s="5" t="n">
        <v>850</v>
      </c>
      <c r="I1424" s="7" t="n">
        <v>2</v>
      </c>
      <c r="J1424" s="16" t="n">
        <v>425</v>
      </c>
      <c r="K1424" s="16"/>
      <c r="L1424" s="16" t="n">
        <v>425</v>
      </c>
      <c r="M1424" s="16"/>
      <c r="N1424" s="19"/>
    </row>
    <row r="1425" customFormat="false" ht="15" hidden="false" customHeight="false" outlineLevel="0" collapsed="false">
      <c r="A1425" s="13" t="s">
        <v>4182</v>
      </c>
      <c r="B1425" s="13" t="s">
        <v>2155</v>
      </c>
      <c r="C1425" s="13" t="s">
        <v>85</v>
      </c>
      <c r="D1425" s="13" t="s">
        <v>2324</v>
      </c>
      <c r="E1425" s="13" t="s">
        <v>4183</v>
      </c>
      <c r="F1425" s="13" t="n">
        <v>1</v>
      </c>
      <c r="G1425" s="13" t="n">
        <v>1</v>
      </c>
      <c r="H1425" s="5" t="n">
        <v>850</v>
      </c>
      <c r="I1425" s="7" t="n">
        <v>5</v>
      </c>
      <c r="J1425" s="16" t="n">
        <v>170</v>
      </c>
      <c r="K1425" s="16"/>
      <c r="L1425" s="16"/>
      <c r="M1425" s="16" t="n">
        <v>170</v>
      </c>
      <c r="N1425" s="19"/>
    </row>
    <row r="1426" customFormat="false" ht="15" hidden="false" customHeight="false" outlineLevel="0" collapsed="false">
      <c r="A1426" s="13" t="s">
        <v>4184</v>
      </c>
      <c r="B1426" s="13" t="s">
        <v>50</v>
      </c>
      <c r="C1426" s="13" t="s">
        <v>43</v>
      </c>
      <c r="D1426" s="13" t="s">
        <v>2324</v>
      </c>
      <c r="E1426" s="13" t="s">
        <v>1347</v>
      </c>
      <c r="F1426" s="13" t="n">
        <v>1</v>
      </c>
      <c r="G1426" s="13" t="n">
        <v>1</v>
      </c>
      <c r="H1426" s="5" t="n">
        <v>850</v>
      </c>
      <c r="I1426" s="7" t="n">
        <v>1</v>
      </c>
      <c r="J1426" s="16" t="n">
        <v>850</v>
      </c>
      <c r="K1426" s="16"/>
      <c r="L1426" s="16" t="n">
        <v>850</v>
      </c>
      <c r="M1426" s="16"/>
      <c r="N1426" s="19"/>
    </row>
    <row r="1427" customFormat="false" ht="15" hidden="false" customHeight="false" outlineLevel="0" collapsed="false">
      <c r="A1427" s="13" t="s">
        <v>4185</v>
      </c>
      <c r="B1427" s="13" t="s">
        <v>329</v>
      </c>
      <c r="C1427" s="13" t="s">
        <v>43</v>
      </c>
      <c r="D1427" s="13" t="s">
        <v>2422</v>
      </c>
      <c r="E1427" s="13" t="s">
        <v>1777</v>
      </c>
      <c r="F1427" s="13" t="n">
        <v>2</v>
      </c>
      <c r="G1427" s="13" t="n">
        <v>2</v>
      </c>
      <c r="H1427" s="5" t="n">
        <v>840</v>
      </c>
      <c r="I1427" s="7" t="n">
        <v>2</v>
      </c>
      <c r="J1427" s="16" t="n">
        <v>420</v>
      </c>
      <c r="K1427" s="16"/>
      <c r="L1427" s="16" t="n">
        <v>400</v>
      </c>
      <c r="M1427" s="16" t="n">
        <v>440</v>
      </c>
      <c r="N1427" s="19" t="n">
        <v>0.1</v>
      </c>
    </row>
    <row r="1428" customFormat="false" ht="15" hidden="false" customHeight="false" outlineLevel="0" collapsed="false">
      <c r="A1428" s="13" t="s">
        <v>4186</v>
      </c>
      <c r="B1428" s="13" t="s">
        <v>2164</v>
      </c>
      <c r="C1428" s="13" t="s">
        <v>43</v>
      </c>
      <c r="D1428" s="13" t="s">
        <v>2324</v>
      </c>
      <c r="E1428" s="13" t="s">
        <v>4187</v>
      </c>
      <c r="F1428" s="13" t="n">
        <v>1</v>
      </c>
      <c r="G1428" s="13" t="n">
        <v>2</v>
      </c>
      <c r="H1428" s="5" t="n">
        <v>840</v>
      </c>
      <c r="I1428" s="7" t="n">
        <v>6</v>
      </c>
      <c r="J1428" s="16" t="n">
        <v>140</v>
      </c>
      <c r="K1428" s="16"/>
      <c r="L1428" s="16"/>
      <c r="M1428" s="16" t="n">
        <v>140</v>
      </c>
      <c r="N1428" s="19"/>
    </row>
    <row r="1429" customFormat="false" ht="15" hidden="false" customHeight="false" outlineLevel="0" collapsed="false">
      <c r="A1429" s="13" t="s">
        <v>4188</v>
      </c>
      <c r="B1429" s="13" t="s">
        <v>179</v>
      </c>
      <c r="C1429" s="13" t="s">
        <v>180</v>
      </c>
      <c r="D1429" s="13" t="s">
        <v>2324</v>
      </c>
      <c r="E1429" s="13" t="s">
        <v>1351</v>
      </c>
      <c r="F1429" s="13" t="n">
        <v>1</v>
      </c>
      <c r="G1429" s="13" t="n">
        <v>1</v>
      </c>
      <c r="H1429" s="5" t="n">
        <v>840</v>
      </c>
      <c r="I1429" s="7" t="n">
        <v>2</v>
      </c>
      <c r="J1429" s="16" t="n">
        <v>420</v>
      </c>
      <c r="K1429" s="16" t="n">
        <v>420</v>
      </c>
      <c r="L1429" s="16"/>
      <c r="M1429" s="16"/>
      <c r="N1429" s="19"/>
    </row>
    <row r="1430" customFormat="false" ht="15" hidden="false" customHeight="false" outlineLevel="0" collapsed="false">
      <c r="A1430" s="13" t="s">
        <v>4189</v>
      </c>
      <c r="B1430" s="13" t="s">
        <v>50</v>
      </c>
      <c r="C1430" s="13" t="s">
        <v>43</v>
      </c>
      <c r="D1430" s="13" t="s">
        <v>2324</v>
      </c>
      <c r="E1430" s="13" t="s">
        <v>1751</v>
      </c>
      <c r="F1430" s="13" t="n">
        <v>1</v>
      </c>
      <c r="G1430" s="13" t="n">
        <v>2</v>
      </c>
      <c r="H1430" s="5" t="n">
        <v>840</v>
      </c>
      <c r="I1430" s="7" t="n">
        <v>2</v>
      </c>
      <c r="J1430" s="16" t="n">
        <v>420</v>
      </c>
      <c r="K1430" s="16"/>
      <c r="L1430" s="16" t="n">
        <v>420</v>
      </c>
      <c r="M1430" s="16"/>
      <c r="N1430" s="19"/>
    </row>
    <row r="1431" customFormat="false" ht="15" hidden="false" customHeight="false" outlineLevel="0" collapsed="false">
      <c r="A1431" s="13" t="s">
        <v>4190</v>
      </c>
      <c r="B1431" s="13" t="s">
        <v>195</v>
      </c>
      <c r="C1431" s="13" t="s">
        <v>43</v>
      </c>
      <c r="D1431" s="13" t="s">
        <v>2324</v>
      </c>
      <c r="E1431" s="13" t="s">
        <v>1353</v>
      </c>
      <c r="F1431" s="13" t="n">
        <v>1</v>
      </c>
      <c r="G1431" s="13" t="n">
        <v>1</v>
      </c>
      <c r="H1431" s="5" t="n">
        <v>840</v>
      </c>
      <c r="I1431" s="7" t="n">
        <v>1</v>
      </c>
      <c r="J1431" s="16" t="n">
        <v>840</v>
      </c>
      <c r="K1431" s="16"/>
      <c r="L1431" s="16"/>
      <c r="M1431" s="16" t="n">
        <v>840</v>
      </c>
      <c r="N1431" s="19"/>
    </row>
    <row r="1432" customFormat="false" ht="15" hidden="false" customHeight="false" outlineLevel="0" collapsed="false">
      <c r="A1432" s="13" t="s">
        <v>4191</v>
      </c>
      <c r="B1432" s="13" t="s">
        <v>2187</v>
      </c>
      <c r="C1432" s="13" t="s">
        <v>85</v>
      </c>
      <c r="D1432" s="13" t="s">
        <v>2324</v>
      </c>
      <c r="E1432" s="13" t="s">
        <v>4192</v>
      </c>
      <c r="F1432" s="13" t="n">
        <v>1</v>
      </c>
      <c r="G1432" s="13" t="n">
        <v>1</v>
      </c>
      <c r="H1432" s="5" t="n">
        <v>840</v>
      </c>
      <c r="I1432" s="7" t="n">
        <v>5</v>
      </c>
      <c r="J1432" s="16" t="n">
        <v>168</v>
      </c>
      <c r="K1432" s="16" t="n">
        <v>168</v>
      </c>
      <c r="L1432" s="16"/>
      <c r="M1432" s="16"/>
      <c r="N1432" s="19"/>
    </row>
    <row r="1433" customFormat="false" ht="15" hidden="false" customHeight="false" outlineLevel="0" collapsed="false">
      <c r="A1433" s="13" t="s">
        <v>4193</v>
      </c>
      <c r="B1433" s="13" t="s">
        <v>2099</v>
      </c>
      <c r="C1433" s="13" t="s">
        <v>43</v>
      </c>
      <c r="D1433" s="13" t="s">
        <v>4194</v>
      </c>
      <c r="E1433" s="13" t="s">
        <v>4195</v>
      </c>
      <c r="F1433" s="13" t="n">
        <v>1</v>
      </c>
      <c r="G1433" s="13" t="n">
        <v>1</v>
      </c>
      <c r="H1433" s="5" t="n">
        <v>840</v>
      </c>
      <c r="I1433" s="7" t="n">
        <v>30</v>
      </c>
      <c r="J1433" s="16" t="n">
        <v>28</v>
      </c>
      <c r="K1433" s="16" t="n">
        <v>28</v>
      </c>
      <c r="L1433" s="16"/>
      <c r="M1433" s="16"/>
      <c r="N1433" s="19"/>
    </row>
    <row r="1434" customFormat="false" ht="15" hidden="false" customHeight="false" outlineLevel="0" collapsed="false">
      <c r="A1434" s="13" t="s">
        <v>4196</v>
      </c>
      <c r="B1434" s="13" t="s">
        <v>2150</v>
      </c>
      <c r="C1434" s="13" t="s">
        <v>43</v>
      </c>
      <c r="D1434" s="13" t="s">
        <v>2324</v>
      </c>
      <c r="E1434" s="13" t="s">
        <v>4197</v>
      </c>
      <c r="F1434" s="13" t="n">
        <v>1</v>
      </c>
      <c r="G1434" s="13" t="n">
        <v>2</v>
      </c>
      <c r="H1434" s="5" t="n">
        <v>830</v>
      </c>
      <c r="I1434" s="7" t="n">
        <v>4</v>
      </c>
      <c r="J1434" s="16" t="n">
        <v>207.5</v>
      </c>
      <c r="K1434" s="16"/>
      <c r="L1434" s="16"/>
      <c r="M1434" s="16" t="n">
        <v>207.5</v>
      </c>
      <c r="N1434" s="19"/>
    </row>
    <row r="1435" customFormat="false" ht="15" hidden="false" customHeight="false" outlineLevel="0" collapsed="false">
      <c r="A1435" s="13" t="s">
        <v>4198</v>
      </c>
      <c r="B1435" s="13" t="s">
        <v>79</v>
      </c>
      <c r="C1435" s="13" t="s">
        <v>43</v>
      </c>
      <c r="D1435" s="13" t="s">
        <v>2324</v>
      </c>
      <c r="E1435" s="13" t="s">
        <v>1360</v>
      </c>
      <c r="F1435" s="13" t="n">
        <v>1</v>
      </c>
      <c r="G1435" s="13" t="n">
        <v>1</v>
      </c>
      <c r="H1435" s="5" t="n">
        <v>830</v>
      </c>
      <c r="I1435" s="7" t="n">
        <v>1</v>
      </c>
      <c r="J1435" s="16" t="n">
        <v>830</v>
      </c>
      <c r="K1435" s="16"/>
      <c r="L1435" s="16"/>
      <c r="M1435" s="16" t="n">
        <v>830</v>
      </c>
      <c r="N1435" s="19"/>
    </row>
    <row r="1436" customFormat="false" ht="15" hidden="false" customHeight="false" outlineLevel="0" collapsed="false">
      <c r="A1436" s="13" t="s">
        <v>4199</v>
      </c>
      <c r="B1436" s="13" t="s">
        <v>2252</v>
      </c>
      <c r="C1436" s="13" t="s">
        <v>85</v>
      </c>
      <c r="D1436" s="13" t="s">
        <v>4200</v>
      </c>
      <c r="E1436" s="13" t="s">
        <v>4201</v>
      </c>
      <c r="F1436" s="13" t="n">
        <v>1</v>
      </c>
      <c r="G1436" s="13" t="n">
        <v>1</v>
      </c>
      <c r="H1436" s="5" t="n">
        <v>820</v>
      </c>
      <c r="I1436" s="7" t="n">
        <v>2</v>
      </c>
      <c r="J1436" s="16" t="n">
        <v>410</v>
      </c>
      <c r="K1436" s="16"/>
      <c r="L1436" s="16"/>
      <c r="M1436" s="16" t="n">
        <v>410</v>
      </c>
      <c r="N1436" s="19"/>
    </row>
    <row r="1437" customFormat="false" ht="15" hidden="false" customHeight="false" outlineLevel="0" collapsed="false">
      <c r="A1437" s="13" t="s">
        <v>4202</v>
      </c>
      <c r="B1437" s="13" t="s">
        <v>2108</v>
      </c>
      <c r="C1437" s="13" t="s">
        <v>85</v>
      </c>
      <c r="D1437" s="13" t="s">
        <v>2324</v>
      </c>
      <c r="E1437" s="13" t="s">
        <v>4203</v>
      </c>
      <c r="F1437" s="13" t="n">
        <v>1</v>
      </c>
      <c r="G1437" s="13" t="n">
        <v>2</v>
      </c>
      <c r="H1437" s="5" t="n">
        <v>820</v>
      </c>
      <c r="I1437" s="7" t="n">
        <v>30</v>
      </c>
      <c r="J1437" s="16" t="n">
        <v>27.3333333333333</v>
      </c>
      <c r="K1437" s="16" t="n">
        <v>27.3333333333333</v>
      </c>
      <c r="L1437" s="16"/>
      <c r="M1437" s="16"/>
      <c r="N1437" s="19"/>
    </row>
    <row r="1438" customFormat="false" ht="15" hidden="false" customHeight="false" outlineLevel="0" collapsed="false">
      <c r="A1438" s="13" t="s">
        <v>4204</v>
      </c>
      <c r="B1438" s="13" t="s">
        <v>2218</v>
      </c>
      <c r="C1438" s="13" t="s">
        <v>85</v>
      </c>
      <c r="D1438" s="13" t="s">
        <v>2324</v>
      </c>
      <c r="E1438" s="13" t="s">
        <v>4205</v>
      </c>
      <c r="F1438" s="13" t="n">
        <v>1</v>
      </c>
      <c r="G1438" s="13" t="n">
        <v>1</v>
      </c>
      <c r="H1438" s="5" t="n">
        <v>820</v>
      </c>
      <c r="I1438" s="7" t="n">
        <v>20</v>
      </c>
      <c r="J1438" s="16" t="n">
        <v>41</v>
      </c>
      <c r="K1438" s="16" t="n">
        <v>41</v>
      </c>
      <c r="L1438" s="16"/>
      <c r="M1438" s="16"/>
      <c r="N1438" s="19"/>
    </row>
    <row r="1439" customFormat="false" ht="15" hidden="false" customHeight="false" outlineLevel="0" collapsed="false">
      <c r="A1439" s="13" t="s">
        <v>4206</v>
      </c>
      <c r="B1439" s="13" t="s">
        <v>2139</v>
      </c>
      <c r="C1439" s="13" t="s">
        <v>85</v>
      </c>
      <c r="D1439" s="13" t="s">
        <v>2324</v>
      </c>
      <c r="E1439" s="13" t="s">
        <v>4207</v>
      </c>
      <c r="F1439" s="13" t="n">
        <v>1</v>
      </c>
      <c r="G1439" s="13" t="n">
        <v>1</v>
      </c>
      <c r="H1439" s="5" t="n">
        <v>820</v>
      </c>
      <c r="I1439" s="7" t="n">
        <v>5</v>
      </c>
      <c r="J1439" s="16" t="n">
        <v>164</v>
      </c>
      <c r="K1439" s="16"/>
      <c r="L1439" s="16" t="n">
        <v>164</v>
      </c>
      <c r="M1439" s="16"/>
      <c r="N1439" s="19"/>
    </row>
    <row r="1440" customFormat="false" ht="15" hidden="false" customHeight="false" outlineLevel="0" collapsed="false">
      <c r="A1440" s="13" t="s">
        <v>4208</v>
      </c>
      <c r="B1440" s="13" t="s">
        <v>2230</v>
      </c>
      <c r="C1440" s="13" t="s">
        <v>43</v>
      </c>
      <c r="D1440" s="13" t="s">
        <v>2324</v>
      </c>
      <c r="E1440" s="13" t="s">
        <v>4209</v>
      </c>
      <c r="F1440" s="13" t="n">
        <v>1</v>
      </c>
      <c r="G1440" s="13" t="n">
        <v>1</v>
      </c>
      <c r="H1440" s="5" t="n">
        <v>820</v>
      </c>
      <c r="I1440" s="7" t="n">
        <v>10</v>
      </c>
      <c r="J1440" s="16" t="n">
        <v>82</v>
      </c>
      <c r="K1440" s="16" t="n">
        <v>82</v>
      </c>
      <c r="L1440" s="16"/>
      <c r="M1440" s="16"/>
      <c r="N1440" s="19"/>
    </row>
    <row r="1441" customFormat="false" ht="15" hidden="false" customHeight="false" outlineLevel="0" collapsed="false">
      <c r="A1441" s="13" t="s">
        <v>4210</v>
      </c>
      <c r="B1441" s="13" t="s">
        <v>2103</v>
      </c>
      <c r="C1441" s="13" t="s">
        <v>85</v>
      </c>
      <c r="D1441" s="13" t="s">
        <v>2324</v>
      </c>
      <c r="E1441" s="13" t="s">
        <v>4211</v>
      </c>
      <c r="F1441" s="13" t="n">
        <v>1</v>
      </c>
      <c r="G1441" s="13" t="n">
        <v>2</v>
      </c>
      <c r="H1441" s="5" t="n">
        <v>810</v>
      </c>
      <c r="I1441" s="7" t="n">
        <v>7</v>
      </c>
      <c r="J1441" s="16" t="n">
        <v>115.714285714286</v>
      </c>
      <c r="K1441" s="16"/>
      <c r="L1441" s="16"/>
      <c r="M1441" s="16" t="n">
        <v>115.714285714286</v>
      </c>
      <c r="N1441" s="19"/>
    </row>
    <row r="1442" customFormat="false" ht="15" hidden="false" customHeight="false" outlineLevel="0" collapsed="false">
      <c r="A1442" s="13" t="s">
        <v>4212</v>
      </c>
      <c r="B1442" s="13" t="s">
        <v>2192</v>
      </c>
      <c r="C1442" s="13" t="s">
        <v>183</v>
      </c>
      <c r="D1442" s="13" t="s">
        <v>2324</v>
      </c>
      <c r="E1442" s="13" t="s">
        <v>4213</v>
      </c>
      <c r="F1442" s="13" t="n">
        <v>1</v>
      </c>
      <c r="G1442" s="13" t="n">
        <v>1</v>
      </c>
      <c r="H1442" s="5" t="n">
        <v>810</v>
      </c>
      <c r="I1442" s="7" t="n">
        <v>2</v>
      </c>
      <c r="J1442" s="16" t="n">
        <v>405</v>
      </c>
      <c r="K1442" s="16"/>
      <c r="L1442" s="16"/>
      <c r="M1442" s="16" t="n">
        <v>405</v>
      </c>
      <c r="N1442" s="19"/>
    </row>
    <row r="1443" customFormat="false" ht="15" hidden="false" customHeight="false" outlineLevel="0" collapsed="false">
      <c r="A1443" s="13" t="s">
        <v>4214</v>
      </c>
      <c r="B1443" s="13" t="s">
        <v>54</v>
      </c>
      <c r="C1443" s="13" t="s">
        <v>43</v>
      </c>
      <c r="D1443" s="13" t="s">
        <v>2324</v>
      </c>
      <c r="E1443" s="13" t="s">
        <v>1368</v>
      </c>
      <c r="F1443" s="13" t="n">
        <v>1</v>
      </c>
      <c r="G1443" s="13" t="n">
        <v>1</v>
      </c>
      <c r="H1443" s="5" t="n">
        <v>810</v>
      </c>
      <c r="I1443" s="7" t="n">
        <v>2</v>
      </c>
      <c r="J1443" s="16" t="n">
        <v>405</v>
      </c>
      <c r="K1443" s="16"/>
      <c r="L1443" s="16"/>
      <c r="M1443" s="16" t="n">
        <v>405</v>
      </c>
      <c r="N1443" s="19"/>
    </row>
    <row r="1444" customFormat="false" ht="15" hidden="false" customHeight="false" outlineLevel="0" collapsed="false">
      <c r="A1444" s="13" t="s">
        <v>4215</v>
      </c>
      <c r="B1444" s="13" t="s">
        <v>97</v>
      </c>
      <c r="C1444" s="13" t="s">
        <v>85</v>
      </c>
      <c r="D1444" s="13" t="s">
        <v>2324</v>
      </c>
      <c r="E1444" s="13" t="s">
        <v>1507</v>
      </c>
      <c r="F1444" s="13" t="n">
        <v>1</v>
      </c>
      <c r="G1444" s="13" t="n">
        <v>2</v>
      </c>
      <c r="H1444" s="5" t="n">
        <v>810</v>
      </c>
      <c r="I1444" s="7" t="n">
        <v>6</v>
      </c>
      <c r="J1444" s="16" t="n">
        <v>135</v>
      </c>
      <c r="K1444" s="16" t="n">
        <v>135</v>
      </c>
      <c r="L1444" s="16"/>
      <c r="M1444" s="16"/>
      <c r="N1444" s="19"/>
    </row>
    <row r="1445" customFormat="false" ht="15" hidden="false" customHeight="false" outlineLevel="0" collapsed="false">
      <c r="A1445" s="13" t="s">
        <v>4216</v>
      </c>
      <c r="B1445" s="13" t="s">
        <v>103</v>
      </c>
      <c r="C1445" s="13" t="s">
        <v>43</v>
      </c>
      <c r="D1445" s="13" t="s">
        <v>2324</v>
      </c>
      <c r="E1445" s="13" t="s">
        <v>1737</v>
      </c>
      <c r="F1445" s="13" t="n">
        <v>1</v>
      </c>
      <c r="G1445" s="13" t="n">
        <v>2</v>
      </c>
      <c r="H1445" s="5" t="n">
        <v>810</v>
      </c>
      <c r="I1445" s="7" t="n">
        <v>4</v>
      </c>
      <c r="J1445" s="16" t="n">
        <v>202.5</v>
      </c>
      <c r="K1445" s="16"/>
      <c r="L1445" s="16"/>
      <c r="M1445" s="16" t="n">
        <v>202.5</v>
      </c>
      <c r="N1445" s="19"/>
    </row>
    <row r="1446" customFormat="false" ht="15" hidden="false" customHeight="false" outlineLevel="0" collapsed="false">
      <c r="A1446" s="13" t="s">
        <v>4217</v>
      </c>
      <c r="B1446" s="13" t="s">
        <v>2152</v>
      </c>
      <c r="C1446" s="13" t="s">
        <v>43</v>
      </c>
      <c r="D1446" s="13" t="s">
        <v>2339</v>
      </c>
      <c r="E1446" s="13" t="s">
        <v>4218</v>
      </c>
      <c r="F1446" s="13" t="n">
        <v>1</v>
      </c>
      <c r="G1446" s="13" t="n">
        <v>1</v>
      </c>
      <c r="H1446" s="5" t="n">
        <v>810</v>
      </c>
      <c r="I1446" s="7" t="n">
        <v>5</v>
      </c>
      <c r="J1446" s="16" t="n">
        <v>162</v>
      </c>
      <c r="K1446" s="16" t="n">
        <v>162</v>
      </c>
      <c r="L1446" s="16"/>
      <c r="M1446" s="16"/>
      <c r="N1446" s="19"/>
    </row>
    <row r="1447" customFormat="false" ht="15" hidden="false" customHeight="false" outlineLevel="0" collapsed="false">
      <c r="A1447" s="13" t="s">
        <v>4219</v>
      </c>
      <c r="B1447" s="13" t="s">
        <v>92</v>
      </c>
      <c r="C1447" s="13" t="s">
        <v>43</v>
      </c>
      <c r="D1447" s="13" t="s">
        <v>2422</v>
      </c>
      <c r="E1447" s="13" t="s">
        <v>1757</v>
      </c>
      <c r="F1447" s="13" t="n">
        <v>2</v>
      </c>
      <c r="G1447" s="13" t="n">
        <v>2</v>
      </c>
      <c r="H1447" s="5" t="n">
        <v>810</v>
      </c>
      <c r="I1447" s="7" t="n">
        <v>2</v>
      </c>
      <c r="J1447" s="16" t="n">
        <v>405</v>
      </c>
      <c r="K1447" s="16"/>
      <c r="L1447" s="16" t="n">
        <v>410</v>
      </c>
      <c r="M1447" s="16" t="n">
        <v>400</v>
      </c>
      <c r="N1447" s="19" t="n">
        <v>0.025</v>
      </c>
    </row>
    <row r="1448" customFormat="false" ht="15" hidden="false" customHeight="false" outlineLevel="0" collapsed="false">
      <c r="A1448" s="13" t="s">
        <v>4220</v>
      </c>
      <c r="B1448" s="13" t="s">
        <v>186</v>
      </c>
      <c r="C1448" s="13" t="s">
        <v>43</v>
      </c>
      <c r="D1448" s="13" t="s">
        <v>2324</v>
      </c>
      <c r="E1448" s="13" t="s">
        <v>1383</v>
      </c>
      <c r="F1448" s="13" t="n">
        <v>1</v>
      </c>
      <c r="G1448" s="13" t="n">
        <v>1</v>
      </c>
      <c r="H1448" s="5" t="n">
        <v>800</v>
      </c>
      <c r="I1448" s="7" t="n">
        <v>2</v>
      </c>
      <c r="J1448" s="16" t="n">
        <v>400</v>
      </c>
      <c r="K1448" s="16"/>
      <c r="L1448" s="16"/>
      <c r="M1448" s="16" t="n">
        <v>400</v>
      </c>
      <c r="N1448" s="19"/>
    </row>
    <row r="1449" customFormat="false" ht="15" hidden="false" customHeight="false" outlineLevel="0" collapsed="false">
      <c r="A1449" s="13" t="s">
        <v>4221</v>
      </c>
      <c r="B1449" s="13" t="s">
        <v>2174</v>
      </c>
      <c r="C1449" s="13" t="s">
        <v>85</v>
      </c>
      <c r="D1449" s="13" t="s">
        <v>2339</v>
      </c>
      <c r="E1449" s="13" t="s">
        <v>4222</v>
      </c>
      <c r="F1449" s="13" t="n">
        <v>1</v>
      </c>
      <c r="G1449" s="13" t="n">
        <v>1</v>
      </c>
      <c r="H1449" s="5" t="n">
        <v>800</v>
      </c>
      <c r="I1449" s="7" t="n">
        <v>2</v>
      </c>
      <c r="J1449" s="16" t="n">
        <v>400</v>
      </c>
      <c r="K1449" s="16"/>
      <c r="L1449" s="16" t="n">
        <v>400</v>
      </c>
      <c r="M1449" s="16"/>
      <c r="N1449" s="19"/>
    </row>
    <row r="1450" customFormat="false" ht="15" hidden="false" customHeight="false" outlineLevel="0" collapsed="false">
      <c r="A1450" s="13" t="s">
        <v>4223</v>
      </c>
      <c r="B1450" s="13" t="s">
        <v>50</v>
      </c>
      <c r="C1450" s="13" t="s">
        <v>43</v>
      </c>
      <c r="D1450" s="13" t="s">
        <v>2422</v>
      </c>
      <c r="E1450" s="13" t="s">
        <v>1375</v>
      </c>
      <c r="F1450" s="13" t="n">
        <v>1</v>
      </c>
      <c r="G1450" s="13" t="n">
        <v>1</v>
      </c>
      <c r="H1450" s="5" t="n">
        <v>800</v>
      </c>
      <c r="I1450" s="7" t="n">
        <v>2</v>
      </c>
      <c r="J1450" s="16" t="n">
        <v>400</v>
      </c>
      <c r="K1450" s="16"/>
      <c r="L1450" s="16" t="n">
        <v>400</v>
      </c>
      <c r="M1450" s="16"/>
      <c r="N1450" s="19"/>
    </row>
    <row r="1451" customFormat="false" ht="15" hidden="false" customHeight="false" outlineLevel="0" collapsed="false">
      <c r="A1451" s="13" t="s">
        <v>4224</v>
      </c>
      <c r="B1451" s="13" t="s">
        <v>92</v>
      </c>
      <c r="C1451" s="13" t="s">
        <v>43</v>
      </c>
      <c r="D1451" s="13" t="s">
        <v>2324</v>
      </c>
      <c r="E1451" s="13" t="s">
        <v>1774</v>
      </c>
      <c r="F1451" s="13" t="n">
        <v>1</v>
      </c>
      <c r="G1451" s="13" t="n">
        <v>2</v>
      </c>
      <c r="H1451" s="5" t="n">
        <v>800</v>
      </c>
      <c r="I1451" s="7" t="n">
        <v>2</v>
      </c>
      <c r="J1451" s="16" t="n">
        <v>400</v>
      </c>
      <c r="K1451" s="16"/>
      <c r="L1451" s="16"/>
      <c r="M1451" s="16" t="n">
        <v>400</v>
      </c>
      <c r="N1451" s="19"/>
    </row>
    <row r="1452" customFormat="false" ht="15" hidden="false" customHeight="false" outlineLevel="0" collapsed="false">
      <c r="A1452" s="13" t="s">
        <v>4225</v>
      </c>
      <c r="B1452" s="13" t="s">
        <v>105</v>
      </c>
      <c r="C1452" s="13" t="s">
        <v>43</v>
      </c>
      <c r="D1452" s="13" t="s">
        <v>2327</v>
      </c>
      <c r="E1452" s="13" t="s">
        <v>1377</v>
      </c>
      <c r="F1452" s="13" t="n">
        <v>1</v>
      </c>
      <c r="G1452" s="13" t="n">
        <v>1</v>
      </c>
      <c r="H1452" s="5" t="n">
        <v>800</v>
      </c>
      <c r="I1452" s="7" t="n">
        <v>1</v>
      </c>
      <c r="J1452" s="16" t="n">
        <v>800</v>
      </c>
      <c r="K1452" s="16"/>
      <c r="L1452" s="16" t="n">
        <v>800</v>
      </c>
      <c r="M1452" s="16"/>
      <c r="N1452" s="19"/>
    </row>
    <row r="1453" customFormat="false" ht="15" hidden="false" customHeight="false" outlineLevel="0" collapsed="false">
      <c r="A1453" s="13" t="s">
        <v>4226</v>
      </c>
      <c r="B1453" s="13" t="s">
        <v>2096</v>
      </c>
      <c r="C1453" s="13" t="s">
        <v>183</v>
      </c>
      <c r="D1453" s="13" t="s">
        <v>2324</v>
      </c>
      <c r="E1453" s="13" t="s">
        <v>4227</v>
      </c>
      <c r="F1453" s="13" t="n">
        <v>1</v>
      </c>
      <c r="G1453" s="13" t="n">
        <v>1</v>
      </c>
      <c r="H1453" s="5" t="n">
        <v>790</v>
      </c>
      <c r="I1453" s="7" t="n">
        <v>5</v>
      </c>
      <c r="J1453" s="16" t="n">
        <v>158</v>
      </c>
      <c r="K1453" s="16" t="n">
        <v>158</v>
      </c>
      <c r="L1453" s="16"/>
      <c r="M1453" s="16"/>
      <c r="N1453" s="19"/>
    </row>
    <row r="1454" customFormat="false" ht="15" hidden="false" customHeight="false" outlineLevel="0" collapsed="false">
      <c r="A1454" s="13" t="s">
        <v>4228</v>
      </c>
      <c r="B1454" s="13" t="s">
        <v>2133</v>
      </c>
      <c r="C1454" s="13" t="s">
        <v>43</v>
      </c>
      <c r="D1454" s="13" t="s">
        <v>2324</v>
      </c>
      <c r="E1454" s="13" t="s">
        <v>4229</v>
      </c>
      <c r="F1454" s="13" t="n">
        <v>1</v>
      </c>
      <c r="G1454" s="13" t="n">
        <v>1</v>
      </c>
      <c r="H1454" s="5" t="n">
        <v>790</v>
      </c>
      <c r="I1454" s="7" t="n">
        <v>1</v>
      </c>
      <c r="J1454" s="16" t="n">
        <v>790</v>
      </c>
      <c r="K1454" s="16"/>
      <c r="L1454" s="16" t="n">
        <v>790</v>
      </c>
      <c r="M1454" s="16"/>
      <c r="N1454" s="19"/>
    </row>
    <row r="1455" customFormat="false" ht="15" hidden="false" customHeight="false" outlineLevel="0" collapsed="false">
      <c r="A1455" s="13" t="s">
        <v>4230</v>
      </c>
      <c r="B1455" s="13" t="s">
        <v>2096</v>
      </c>
      <c r="C1455" s="13" t="s">
        <v>43</v>
      </c>
      <c r="D1455" s="13" t="s">
        <v>2751</v>
      </c>
      <c r="E1455" s="13" t="s">
        <v>4231</v>
      </c>
      <c r="F1455" s="13" t="n">
        <v>1</v>
      </c>
      <c r="G1455" s="13" t="n">
        <v>1</v>
      </c>
      <c r="H1455" s="5" t="n">
        <v>790</v>
      </c>
      <c r="I1455" s="7" t="n">
        <v>5</v>
      </c>
      <c r="J1455" s="16" t="n">
        <v>158</v>
      </c>
      <c r="K1455" s="16" t="n">
        <v>158</v>
      </c>
      <c r="L1455" s="16"/>
      <c r="M1455" s="16"/>
      <c r="N1455" s="19"/>
    </row>
    <row r="1456" customFormat="false" ht="15" hidden="false" customHeight="false" outlineLevel="0" collapsed="false">
      <c r="A1456" s="13" t="s">
        <v>4232</v>
      </c>
      <c r="B1456" s="13" t="s">
        <v>2094</v>
      </c>
      <c r="C1456" s="13" t="s">
        <v>129</v>
      </c>
      <c r="D1456" s="13" t="s">
        <v>2324</v>
      </c>
      <c r="E1456" s="13" t="s">
        <v>4233</v>
      </c>
      <c r="F1456" s="13" t="n">
        <v>1</v>
      </c>
      <c r="G1456" s="13" t="n">
        <v>1</v>
      </c>
      <c r="H1456" s="5" t="n">
        <v>790</v>
      </c>
      <c r="I1456" s="7" t="n">
        <v>20</v>
      </c>
      <c r="J1456" s="16" t="n">
        <v>39.5</v>
      </c>
      <c r="K1456" s="16" t="n">
        <v>39.5</v>
      </c>
      <c r="L1456" s="16"/>
      <c r="M1456" s="16"/>
      <c r="N1456" s="19"/>
    </row>
    <row r="1457" customFormat="false" ht="15" hidden="false" customHeight="false" outlineLevel="0" collapsed="false">
      <c r="A1457" s="13" t="s">
        <v>4234</v>
      </c>
      <c r="B1457" s="13" t="s">
        <v>2118</v>
      </c>
      <c r="C1457" s="13" t="s">
        <v>43</v>
      </c>
      <c r="D1457" s="13" t="s">
        <v>2324</v>
      </c>
      <c r="E1457" s="13" t="s">
        <v>4235</v>
      </c>
      <c r="F1457" s="13" t="n">
        <v>1</v>
      </c>
      <c r="G1457" s="13" t="n">
        <v>1</v>
      </c>
      <c r="H1457" s="5" t="n">
        <v>790</v>
      </c>
      <c r="I1457" s="7" t="n">
        <v>1</v>
      </c>
      <c r="J1457" s="16" t="n">
        <v>790</v>
      </c>
      <c r="K1457" s="16"/>
      <c r="L1457" s="16"/>
      <c r="M1457" s="16" t="n">
        <v>790</v>
      </c>
      <c r="N1457" s="19"/>
    </row>
    <row r="1458" customFormat="false" ht="15" hidden="false" customHeight="false" outlineLevel="0" collapsed="false">
      <c r="A1458" s="13" t="s">
        <v>4236</v>
      </c>
      <c r="B1458" s="13" t="s">
        <v>2225</v>
      </c>
      <c r="C1458" s="13" t="s">
        <v>43</v>
      </c>
      <c r="D1458" s="13" t="s">
        <v>2324</v>
      </c>
      <c r="E1458" s="13" t="s">
        <v>4237</v>
      </c>
      <c r="F1458" s="13" t="n">
        <v>1</v>
      </c>
      <c r="G1458" s="13" t="n">
        <v>1</v>
      </c>
      <c r="H1458" s="5" t="n">
        <v>790</v>
      </c>
      <c r="I1458" s="7" t="n">
        <v>5</v>
      </c>
      <c r="J1458" s="16" t="n">
        <v>158</v>
      </c>
      <c r="K1458" s="16" t="n">
        <v>158</v>
      </c>
      <c r="L1458" s="16"/>
      <c r="M1458" s="16"/>
      <c r="N1458" s="19"/>
    </row>
    <row r="1459" customFormat="false" ht="15" hidden="false" customHeight="false" outlineLevel="0" collapsed="false">
      <c r="A1459" s="13" t="s">
        <v>4238</v>
      </c>
      <c r="B1459" s="13" t="s">
        <v>153</v>
      </c>
      <c r="C1459" s="13" t="s">
        <v>43</v>
      </c>
      <c r="D1459" s="13" t="s">
        <v>2324</v>
      </c>
      <c r="E1459" s="13" t="s">
        <v>1781</v>
      </c>
      <c r="F1459" s="13" t="n">
        <v>1</v>
      </c>
      <c r="G1459" s="13" t="n">
        <v>2</v>
      </c>
      <c r="H1459" s="5" t="n">
        <v>780</v>
      </c>
      <c r="I1459" s="7" t="n">
        <v>2</v>
      </c>
      <c r="J1459" s="16" t="n">
        <v>390</v>
      </c>
      <c r="K1459" s="16"/>
      <c r="L1459" s="16"/>
      <c r="M1459" s="16" t="n">
        <v>390</v>
      </c>
      <c r="N1459" s="19"/>
    </row>
    <row r="1460" customFormat="false" ht="15" hidden="false" customHeight="false" outlineLevel="0" collapsed="false">
      <c r="A1460" s="13" t="s">
        <v>4239</v>
      </c>
      <c r="B1460" s="13" t="s">
        <v>2124</v>
      </c>
      <c r="C1460" s="13" t="s">
        <v>43</v>
      </c>
      <c r="D1460" s="13" t="s">
        <v>2324</v>
      </c>
      <c r="E1460" s="13" t="s">
        <v>4240</v>
      </c>
      <c r="F1460" s="13" t="n">
        <v>1</v>
      </c>
      <c r="G1460" s="13" t="n">
        <v>1</v>
      </c>
      <c r="H1460" s="5" t="n">
        <v>780</v>
      </c>
      <c r="I1460" s="7" t="n">
        <v>10</v>
      </c>
      <c r="J1460" s="16" t="n">
        <v>78</v>
      </c>
      <c r="K1460" s="16" t="n">
        <v>78</v>
      </c>
      <c r="L1460" s="16"/>
      <c r="M1460" s="16"/>
      <c r="N1460" s="19"/>
    </row>
    <row r="1461" customFormat="false" ht="15" hidden="false" customHeight="false" outlineLevel="0" collapsed="false">
      <c r="A1461" s="13" t="s">
        <v>4241</v>
      </c>
      <c r="B1461" s="13" t="s">
        <v>286</v>
      </c>
      <c r="C1461" s="13" t="s">
        <v>43</v>
      </c>
      <c r="D1461" s="13" t="s">
        <v>2324</v>
      </c>
      <c r="E1461" s="13" t="s">
        <v>1394</v>
      </c>
      <c r="F1461" s="13" t="n">
        <v>1</v>
      </c>
      <c r="G1461" s="13" t="n">
        <v>1</v>
      </c>
      <c r="H1461" s="5" t="n">
        <v>780</v>
      </c>
      <c r="I1461" s="7" t="n">
        <v>2</v>
      </c>
      <c r="J1461" s="16" t="n">
        <v>390</v>
      </c>
      <c r="K1461" s="16"/>
      <c r="L1461" s="16" t="n">
        <v>390</v>
      </c>
      <c r="M1461" s="16"/>
      <c r="N1461" s="19"/>
    </row>
    <row r="1462" customFormat="false" ht="15" hidden="false" customHeight="false" outlineLevel="0" collapsed="false">
      <c r="A1462" s="13" t="s">
        <v>4242</v>
      </c>
      <c r="B1462" s="13" t="s">
        <v>2220</v>
      </c>
      <c r="C1462" s="13" t="s">
        <v>85</v>
      </c>
      <c r="D1462" s="13" t="s">
        <v>2339</v>
      </c>
      <c r="E1462" s="13" t="s">
        <v>4243</v>
      </c>
      <c r="F1462" s="13" t="n">
        <v>1</v>
      </c>
      <c r="G1462" s="13" t="n">
        <v>1</v>
      </c>
      <c r="H1462" s="5" t="n">
        <v>780</v>
      </c>
      <c r="I1462" s="7" t="n">
        <v>1</v>
      </c>
      <c r="J1462" s="16" t="n">
        <v>780</v>
      </c>
      <c r="K1462" s="16"/>
      <c r="L1462" s="16" t="n">
        <v>780</v>
      </c>
      <c r="M1462" s="16"/>
      <c r="N1462" s="19"/>
    </row>
    <row r="1463" customFormat="false" ht="15" hidden="false" customHeight="false" outlineLevel="0" collapsed="false">
      <c r="A1463" s="13" t="s">
        <v>4244</v>
      </c>
      <c r="B1463" s="13" t="s">
        <v>42</v>
      </c>
      <c r="C1463" s="13" t="s">
        <v>43</v>
      </c>
      <c r="D1463" s="13" t="s">
        <v>2339</v>
      </c>
      <c r="E1463" s="13" t="s">
        <v>1395</v>
      </c>
      <c r="F1463" s="13" t="n">
        <v>1</v>
      </c>
      <c r="G1463" s="13" t="n">
        <v>1</v>
      </c>
      <c r="H1463" s="5" t="n">
        <v>780</v>
      </c>
      <c r="I1463" s="7" t="n">
        <v>1</v>
      </c>
      <c r="J1463" s="16" t="n">
        <v>780</v>
      </c>
      <c r="K1463" s="16"/>
      <c r="L1463" s="16" t="n">
        <v>780</v>
      </c>
      <c r="M1463" s="16"/>
      <c r="N1463" s="19"/>
    </row>
    <row r="1464" customFormat="false" ht="15" hidden="false" customHeight="false" outlineLevel="0" collapsed="false">
      <c r="A1464" s="13" t="s">
        <v>4245</v>
      </c>
      <c r="B1464" s="13" t="s">
        <v>69</v>
      </c>
      <c r="C1464" s="13" t="s">
        <v>43</v>
      </c>
      <c r="D1464" s="13" t="s">
        <v>2324</v>
      </c>
      <c r="E1464" s="13" t="s">
        <v>1393</v>
      </c>
      <c r="F1464" s="13" t="n">
        <v>1</v>
      </c>
      <c r="G1464" s="13" t="n">
        <v>1</v>
      </c>
      <c r="H1464" s="5" t="n">
        <v>780</v>
      </c>
      <c r="I1464" s="7" t="n">
        <v>1</v>
      </c>
      <c r="J1464" s="16" t="n">
        <v>780</v>
      </c>
      <c r="K1464" s="16"/>
      <c r="L1464" s="16"/>
      <c r="M1464" s="16" t="n">
        <v>780</v>
      </c>
      <c r="N1464" s="19"/>
    </row>
    <row r="1465" customFormat="false" ht="15" hidden="false" customHeight="false" outlineLevel="0" collapsed="false">
      <c r="A1465" s="13" t="s">
        <v>4246</v>
      </c>
      <c r="B1465" s="13" t="s">
        <v>2101</v>
      </c>
      <c r="C1465" s="13" t="s">
        <v>129</v>
      </c>
      <c r="D1465" s="13" t="s">
        <v>2324</v>
      </c>
      <c r="E1465" s="13" t="s">
        <v>4247</v>
      </c>
      <c r="F1465" s="13" t="n">
        <v>1</v>
      </c>
      <c r="G1465" s="13" t="n">
        <v>1</v>
      </c>
      <c r="H1465" s="5" t="n">
        <v>770</v>
      </c>
      <c r="I1465" s="7" t="n">
        <v>5</v>
      </c>
      <c r="J1465" s="16" t="n">
        <v>154</v>
      </c>
      <c r="K1465" s="16" t="n">
        <v>154</v>
      </c>
      <c r="L1465" s="16"/>
      <c r="M1465" s="16"/>
      <c r="N1465" s="19"/>
    </row>
    <row r="1466" customFormat="false" ht="15" hidden="false" customHeight="false" outlineLevel="0" collapsed="false">
      <c r="A1466" s="13" t="s">
        <v>4248</v>
      </c>
      <c r="B1466" s="13" t="s">
        <v>315</v>
      </c>
      <c r="C1466" s="13" t="s">
        <v>43</v>
      </c>
      <c r="D1466" s="13" t="s">
        <v>2324</v>
      </c>
      <c r="E1466" s="13" t="s">
        <v>1409</v>
      </c>
      <c r="F1466" s="13" t="n">
        <v>1</v>
      </c>
      <c r="G1466" s="13" t="n">
        <v>1</v>
      </c>
      <c r="H1466" s="5" t="n">
        <v>770</v>
      </c>
      <c r="I1466" s="7" t="n">
        <v>1</v>
      </c>
      <c r="J1466" s="16" t="n">
        <v>770</v>
      </c>
      <c r="K1466" s="16"/>
      <c r="L1466" s="16"/>
      <c r="M1466" s="16" t="n">
        <v>770</v>
      </c>
      <c r="N1466" s="19"/>
    </row>
    <row r="1467" customFormat="false" ht="15" hidden="false" customHeight="false" outlineLevel="0" collapsed="false">
      <c r="A1467" s="13" t="s">
        <v>4249</v>
      </c>
      <c r="B1467" s="13" t="s">
        <v>79</v>
      </c>
      <c r="C1467" s="13" t="s">
        <v>43</v>
      </c>
      <c r="D1467" s="13" t="s">
        <v>2751</v>
      </c>
      <c r="E1467" s="13" t="s">
        <v>1404</v>
      </c>
      <c r="F1467" s="13" t="n">
        <v>1</v>
      </c>
      <c r="G1467" s="13" t="n">
        <v>1</v>
      </c>
      <c r="H1467" s="5" t="n">
        <v>770</v>
      </c>
      <c r="I1467" s="7" t="n">
        <v>1</v>
      </c>
      <c r="J1467" s="16" t="n">
        <v>770</v>
      </c>
      <c r="K1467" s="16"/>
      <c r="L1467" s="16" t="n">
        <v>770</v>
      </c>
      <c r="M1467" s="16"/>
      <c r="N1467" s="19"/>
    </row>
    <row r="1468" customFormat="false" ht="15" hidden="false" customHeight="false" outlineLevel="0" collapsed="false">
      <c r="A1468" s="13" t="s">
        <v>4250</v>
      </c>
      <c r="B1468" s="13" t="s">
        <v>54</v>
      </c>
      <c r="C1468" s="13" t="s">
        <v>43</v>
      </c>
      <c r="D1468" s="13" t="s">
        <v>4251</v>
      </c>
      <c r="E1468" s="13" t="s">
        <v>1407</v>
      </c>
      <c r="F1468" s="13" t="n">
        <v>1</v>
      </c>
      <c r="G1468" s="13" t="n">
        <v>1</v>
      </c>
      <c r="H1468" s="5" t="n">
        <v>770</v>
      </c>
      <c r="I1468" s="7" t="n">
        <v>1</v>
      </c>
      <c r="J1468" s="16" t="n">
        <v>770</v>
      </c>
      <c r="K1468" s="16"/>
      <c r="L1468" s="16"/>
      <c r="M1468" s="16" t="n">
        <v>770</v>
      </c>
      <c r="N1468" s="19"/>
    </row>
    <row r="1469" customFormat="false" ht="15" hidden="false" customHeight="false" outlineLevel="0" collapsed="false">
      <c r="A1469" s="13" t="s">
        <v>4252</v>
      </c>
      <c r="B1469" s="13" t="s">
        <v>121</v>
      </c>
      <c r="C1469" s="13" t="s">
        <v>43</v>
      </c>
      <c r="D1469" s="13" t="s">
        <v>2324</v>
      </c>
      <c r="E1469" s="13" t="s">
        <v>1542</v>
      </c>
      <c r="F1469" s="13" t="n">
        <v>1</v>
      </c>
      <c r="G1469" s="13" t="n">
        <v>2</v>
      </c>
      <c r="H1469" s="5" t="n">
        <v>770</v>
      </c>
      <c r="I1469" s="7" t="n">
        <v>12</v>
      </c>
      <c r="J1469" s="16" t="n">
        <v>64.1666666666667</v>
      </c>
      <c r="K1469" s="16"/>
      <c r="L1469" s="16"/>
      <c r="M1469" s="16" t="n">
        <v>64.1666666666667</v>
      </c>
      <c r="N1469" s="19"/>
    </row>
    <row r="1470" customFormat="false" ht="15" hidden="false" customHeight="false" outlineLevel="0" collapsed="false">
      <c r="A1470" s="13" t="s">
        <v>4253</v>
      </c>
      <c r="B1470" s="13" t="s">
        <v>195</v>
      </c>
      <c r="C1470" s="13" t="s">
        <v>43</v>
      </c>
      <c r="D1470" s="13" t="s">
        <v>2339</v>
      </c>
      <c r="E1470" s="13" t="s">
        <v>1422</v>
      </c>
      <c r="F1470" s="13" t="n">
        <v>1</v>
      </c>
      <c r="G1470" s="13" t="n">
        <v>1</v>
      </c>
      <c r="H1470" s="5" t="n">
        <v>760</v>
      </c>
      <c r="I1470" s="7" t="n">
        <v>1</v>
      </c>
      <c r="J1470" s="16" t="n">
        <v>760</v>
      </c>
      <c r="K1470" s="16"/>
      <c r="L1470" s="16" t="n">
        <v>760</v>
      </c>
      <c r="M1470" s="16"/>
      <c r="N1470" s="19"/>
    </row>
    <row r="1471" customFormat="false" ht="15" hidden="false" customHeight="false" outlineLevel="0" collapsed="false">
      <c r="A1471" s="13" t="s">
        <v>4254</v>
      </c>
      <c r="B1471" s="13" t="s">
        <v>153</v>
      </c>
      <c r="C1471" s="13" t="s">
        <v>43</v>
      </c>
      <c r="D1471" s="13" t="s">
        <v>2324</v>
      </c>
      <c r="E1471" s="13" t="s">
        <v>1410</v>
      </c>
      <c r="F1471" s="13" t="n">
        <v>1</v>
      </c>
      <c r="G1471" s="13" t="n">
        <v>1</v>
      </c>
      <c r="H1471" s="5" t="n">
        <v>760</v>
      </c>
      <c r="I1471" s="7" t="n">
        <v>1</v>
      </c>
      <c r="J1471" s="16" t="n">
        <v>760</v>
      </c>
      <c r="K1471" s="16"/>
      <c r="L1471" s="16"/>
      <c r="M1471" s="16" t="n">
        <v>760</v>
      </c>
      <c r="N1471" s="19"/>
    </row>
    <row r="1472" customFormat="false" ht="15" hidden="false" customHeight="false" outlineLevel="0" collapsed="false">
      <c r="A1472" s="13" t="s">
        <v>4255</v>
      </c>
      <c r="B1472" s="13" t="s">
        <v>92</v>
      </c>
      <c r="C1472" s="13" t="s">
        <v>43</v>
      </c>
      <c r="D1472" s="13" t="s">
        <v>2324</v>
      </c>
      <c r="E1472" s="13" t="s">
        <v>1412</v>
      </c>
      <c r="F1472" s="13" t="n">
        <v>1</v>
      </c>
      <c r="G1472" s="13" t="n">
        <v>1</v>
      </c>
      <c r="H1472" s="5" t="n">
        <v>760</v>
      </c>
      <c r="I1472" s="7" t="n">
        <v>2</v>
      </c>
      <c r="J1472" s="16" t="n">
        <v>380</v>
      </c>
      <c r="K1472" s="16"/>
      <c r="L1472" s="16"/>
      <c r="M1472" s="16" t="n">
        <v>380</v>
      </c>
      <c r="N1472" s="19"/>
    </row>
    <row r="1473" customFormat="false" ht="15" hidden="false" customHeight="false" outlineLevel="0" collapsed="false">
      <c r="A1473" s="13" t="s">
        <v>4256</v>
      </c>
      <c r="B1473" s="13" t="s">
        <v>54</v>
      </c>
      <c r="C1473" s="13" t="s">
        <v>43</v>
      </c>
      <c r="D1473" s="13" t="s">
        <v>2324</v>
      </c>
      <c r="E1473" s="13" t="s">
        <v>1418</v>
      </c>
      <c r="F1473" s="13" t="n">
        <v>1</v>
      </c>
      <c r="G1473" s="13" t="n">
        <v>1</v>
      </c>
      <c r="H1473" s="5" t="n">
        <v>760</v>
      </c>
      <c r="I1473" s="7" t="n">
        <v>5</v>
      </c>
      <c r="J1473" s="16" t="n">
        <v>152</v>
      </c>
      <c r="K1473" s="16"/>
      <c r="L1473" s="16"/>
      <c r="M1473" s="16" t="n">
        <v>152</v>
      </c>
      <c r="N1473" s="19"/>
    </row>
    <row r="1474" customFormat="false" ht="15" hidden="false" customHeight="false" outlineLevel="0" collapsed="false">
      <c r="A1474" s="13" t="s">
        <v>4257</v>
      </c>
      <c r="B1474" s="13" t="s">
        <v>2130</v>
      </c>
      <c r="C1474" s="13" t="s">
        <v>43</v>
      </c>
      <c r="D1474" s="13" t="s">
        <v>2455</v>
      </c>
      <c r="E1474" s="13" t="s">
        <v>4258</v>
      </c>
      <c r="F1474" s="13" t="n">
        <v>1</v>
      </c>
      <c r="G1474" s="13" t="n">
        <v>1</v>
      </c>
      <c r="H1474" s="5" t="n">
        <v>760</v>
      </c>
      <c r="I1474" s="7" t="n">
        <v>1</v>
      </c>
      <c r="J1474" s="16" t="n">
        <v>760</v>
      </c>
      <c r="K1474" s="16"/>
      <c r="L1474" s="16"/>
      <c r="M1474" s="16" t="n">
        <v>760</v>
      </c>
      <c r="N1474" s="19"/>
    </row>
    <row r="1475" customFormat="false" ht="15" hidden="false" customHeight="false" outlineLevel="0" collapsed="false">
      <c r="A1475" s="13" t="s">
        <v>4259</v>
      </c>
      <c r="B1475" s="13" t="s">
        <v>2120</v>
      </c>
      <c r="C1475" s="13" t="s">
        <v>43</v>
      </c>
      <c r="D1475" s="13" t="s">
        <v>2422</v>
      </c>
      <c r="E1475" s="13" t="s">
        <v>4260</v>
      </c>
      <c r="F1475" s="13" t="n">
        <v>1</v>
      </c>
      <c r="G1475" s="13" t="n">
        <v>1</v>
      </c>
      <c r="H1475" s="5" t="n">
        <v>760</v>
      </c>
      <c r="I1475" s="7" t="n">
        <v>2</v>
      </c>
      <c r="J1475" s="16" t="n">
        <v>380</v>
      </c>
      <c r="K1475" s="16"/>
      <c r="L1475" s="16" t="n">
        <v>380</v>
      </c>
      <c r="M1475" s="16"/>
      <c r="N1475" s="19"/>
    </row>
    <row r="1476" customFormat="false" ht="15" hidden="false" customHeight="false" outlineLevel="0" collapsed="false">
      <c r="A1476" s="13" t="s">
        <v>4261</v>
      </c>
      <c r="B1476" s="13" t="s">
        <v>114</v>
      </c>
      <c r="C1476" s="13" t="s">
        <v>183</v>
      </c>
      <c r="D1476" s="13" t="s">
        <v>3419</v>
      </c>
      <c r="E1476" s="13" t="s">
        <v>1417</v>
      </c>
      <c r="F1476" s="13" t="n">
        <v>1</v>
      </c>
      <c r="G1476" s="13" t="n">
        <v>1</v>
      </c>
      <c r="H1476" s="5" t="n">
        <v>760</v>
      </c>
      <c r="I1476" s="7" t="n">
        <v>5</v>
      </c>
      <c r="J1476" s="16" t="n">
        <v>152</v>
      </c>
      <c r="K1476" s="16" t="n">
        <v>152</v>
      </c>
      <c r="L1476" s="16"/>
      <c r="M1476" s="16"/>
      <c r="N1476" s="19"/>
    </row>
    <row r="1477" customFormat="false" ht="15" hidden="false" customHeight="false" outlineLevel="0" collapsed="false">
      <c r="A1477" s="13" t="s">
        <v>4262</v>
      </c>
      <c r="B1477" s="13" t="s">
        <v>286</v>
      </c>
      <c r="C1477" s="13" t="s">
        <v>43</v>
      </c>
      <c r="D1477" s="13" t="s">
        <v>3010</v>
      </c>
      <c r="E1477" s="13" t="s">
        <v>1421</v>
      </c>
      <c r="F1477" s="13" t="n">
        <v>1</v>
      </c>
      <c r="G1477" s="13" t="n">
        <v>1</v>
      </c>
      <c r="H1477" s="5" t="n">
        <v>760</v>
      </c>
      <c r="I1477" s="7" t="n">
        <v>2</v>
      </c>
      <c r="J1477" s="16" t="n">
        <v>380</v>
      </c>
      <c r="K1477" s="16"/>
      <c r="L1477" s="16" t="n">
        <v>380</v>
      </c>
      <c r="M1477" s="16"/>
      <c r="N1477" s="19"/>
    </row>
    <row r="1478" customFormat="false" ht="15" hidden="false" customHeight="false" outlineLevel="0" collapsed="false">
      <c r="A1478" s="13" t="s">
        <v>4263</v>
      </c>
      <c r="B1478" s="13" t="s">
        <v>79</v>
      </c>
      <c r="C1478" s="13" t="s">
        <v>43</v>
      </c>
      <c r="D1478" s="13" t="s">
        <v>2324</v>
      </c>
      <c r="E1478" s="13" t="s">
        <v>1411</v>
      </c>
      <c r="F1478" s="13" t="n">
        <v>1</v>
      </c>
      <c r="G1478" s="13" t="n">
        <v>1</v>
      </c>
      <c r="H1478" s="5" t="n">
        <v>760</v>
      </c>
      <c r="I1478" s="7" t="n">
        <v>2</v>
      </c>
      <c r="J1478" s="16" t="n">
        <v>380</v>
      </c>
      <c r="K1478" s="16"/>
      <c r="L1478" s="16"/>
      <c r="M1478" s="16" t="n">
        <v>380</v>
      </c>
      <c r="N1478" s="19"/>
    </row>
    <row r="1479" customFormat="false" ht="15" hidden="false" customHeight="false" outlineLevel="0" collapsed="false">
      <c r="A1479" s="13" t="s">
        <v>4264</v>
      </c>
      <c r="B1479" s="13" t="s">
        <v>165</v>
      </c>
      <c r="C1479" s="13" t="s">
        <v>43</v>
      </c>
      <c r="D1479" s="13" t="s">
        <v>2324</v>
      </c>
      <c r="E1479" s="13" t="s">
        <v>166</v>
      </c>
      <c r="F1479" s="13" t="n">
        <v>1</v>
      </c>
      <c r="G1479" s="13" t="n">
        <v>1</v>
      </c>
      <c r="H1479" s="5" t="n">
        <v>760</v>
      </c>
      <c r="I1479" s="7" t="n">
        <v>1</v>
      </c>
      <c r="J1479" s="16" t="n">
        <v>760</v>
      </c>
      <c r="K1479" s="16"/>
      <c r="L1479" s="16"/>
      <c r="M1479" s="16" t="n">
        <v>760</v>
      </c>
      <c r="N1479" s="19"/>
    </row>
    <row r="1480" customFormat="false" ht="15" hidden="false" customHeight="false" outlineLevel="0" collapsed="false">
      <c r="A1480" s="13" t="s">
        <v>4265</v>
      </c>
      <c r="B1480" s="13" t="s">
        <v>153</v>
      </c>
      <c r="C1480" s="13" t="s">
        <v>43</v>
      </c>
      <c r="D1480" s="13" t="s">
        <v>2500</v>
      </c>
      <c r="E1480" s="13" t="s">
        <v>1413</v>
      </c>
      <c r="F1480" s="13" t="n">
        <v>1</v>
      </c>
      <c r="G1480" s="13" t="n">
        <v>1</v>
      </c>
      <c r="H1480" s="5" t="n">
        <v>760</v>
      </c>
      <c r="I1480" s="7" t="n">
        <v>2</v>
      </c>
      <c r="J1480" s="16" t="n">
        <v>380</v>
      </c>
      <c r="K1480" s="16"/>
      <c r="L1480" s="16"/>
      <c r="M1480" s="16" t="n">
        <v>380</v>
      </c>
      <c r="N1480" s="19"/>
    </row>
    <row r="1481" customFormat="false" ht="15" hidden="false" customHeight="false" outlineLevel="0" collapsed="false">
      <c r="A1481" s="13" t="s">
        <v>4266</v>
      </c>
      <c r="B1481" s="13" t="s">
        <v>2216</v>
      </c>
      <c r="C1481" s="13" t="s">
        <v>43</v>
      </c>
      <c r="D1481" s="13" t="s">
        <v>2339</v>
      </c>
      <c r="E1481" s="13" t="s">
        <v>4267</v>
      </c>
      <c r="F1481" s="13" t="n">
        <v>1</v>
      </c>
      <c r="G1481" s="13" t="n">
        <v>1</v>
      </c>
      <c r="H1481" s="5" t="n">
        <v>760</v>
      </c>
      <c r="I1481" s="7" t="n">
        <v>2</v>
      </c>
      <c r="J1481" s="16" t="n">
        <v>380</v>
      </c>
      <c r="K1481" s="16"/>
      <c r="L1481" s="16" t="n">
        <v>380</v>
      </c>
      <c r="M1481" s="16"/>
      <c r="N1481" s="19"/>
    </row>
    <row r="1482" customFormat="false" ht="15" hidden="false" customHeight="false" outlineLevel="0" collapsed="false">
      <c r="A1482" s="13" t="s">
        <v>4268</v>
      </c>
      <c r="B1482" s="13" t="s">
        <v>42</v>
      </c>
      <c r="C1482" s="13" t="s">
        <v>43</v>
      </c>
      <c r="D1482" s="13" t="s">
        <v>2324</v>
      </c>
      <c r="E1482" s="13" t="s">
        <v>1416</v>
      </c>
      <c r="F1482" s="13" t="n">
        <v>1</v>
      </c>
      <c r="G1482" s="13" t="n">
        <v>1</v>
      </c>
      <c r="H1482" s="5" t="n">
        <v>760</v>
      </c>
      <c r="I1482" s="7" t="n">
        <v>1</v>
      </c>
      <c r="J1482" s="16" t="n">
        <v>760</v>
      </c>
      <c r="K1482" s="16"/>
      <c r="L1482" s="16" t="n">
        <v>760</v>
      </c>
      <c r="M1482" s="16"/>
      <c r="N1482" s="19"/>
    </row>
    <row r="1483" customFormat="false" ht="15" hidden="false" customHeight="false" outlineLevel="0" collapsed="false">
      <c r="A1483" s="13" t="s">
        <v>4269</v>
      </c>
      <c r="B1483" s="13" t="s">
        <v>117</v>
      </c>
      <c r="C1483" s="13" t="s">
        <v>98</v>
      </c>
      <c r="D1483" s="13" t="s">
        <v>2324</v>
      </c>
      <c r="E1483" s="13" t="s">
        <v>1423</v>
      </c>
      <c r="F1483" s="13" t="n">
        <v>1</v>
      </c>
      <c r="G1483" s="13" t="n">
        <v>1</v>
      </c>
      <c r="H1483" s="5" t="n">
        <v>750</v>
      </c>
      <c r="I1483" s="7" t="n">
        <v>1</v>
      </c>
      <c r="J1483" s="16" t="n">
        <v>750</v>
      </c>
      <c r="K1483" s="16" t="n">
        <v>750</v>
      </c>
      <c r="L1483" s="16"/>
      <c r="M1483" s="16"/>
      <c r="N1483" s="19"/>
    </row>
    <row r="1484" customFormat="false" ht="15" hidden="false" customHeight="false" outlineLevel="0" collapsed="false">
      <c r="A1484" s="13" t="s">
        <v>4270</v>
      </c>
      <c r="B1484" s="13" t="s">
        <v>191</v>
      </c>
      <c r="C1484" s="13" t="s">
        <v>183</v>
      </c>
      <c r="D1484" s="13" t="s">
        <v>2324</v>
      </c>
      <c r="E1484" s="13" t="s">
        <v>1424</v>
      </c>
      <c r="F1484" s="13" t="n">
        <v>1</v>
      </c>
      <c r="G1484" s="13" t="n">
        <v>1</v>
      </c>
      <c r="H1484" s="5" t="n">
        <v>750</v>
      </c>
      <c r="I1484" s="7" t="n">
        <v>5</v>
      </c>
      <c r="J1484" s="16" t="n">
        <v>150</v>
      </c>
      <c r="K1484" s="16" t="n">
        <v>150</v>
      </c>
      <c r="L1484" s="16"/>
      <c r="M1484" s="16"/>
      <c r="N1484" s="19"/>
    </row>
    <row r="1485" customFormat="false" ht="15" hidden="false" customHeight="false" outlineLevel="0" collapsed="false">
      <c r="A1485" s="13" t="s">
        <v>4271</v>
      </c>
      <c r="B1485" s="13" t="s">
        <v>2150</v>
      </c>
      <c r="C1485" s="13" t="s">
        <v>43</v>
      </c>
      <c r="D1485" s="13" t="s">
        <v>2360</v>
      </c>
      <c r="E1485" s="13" t="s">
        <v>4272</v>
      </c>
      <c r="F1485" s="13" t="n">
        <v>1</v>
      </c>
      <c r="G1485" s="13" t="n">
        <v>2</v>
      </c>
      <c r="H1485" s="5" t="n">
        <v>750</v>
      </c>
      <c r="I1485" s="7" t="n">
        <v>3</v>
      </c>
      <c r="J1485" s="16" t="n">
        <v>250</v>
      </c>
      <c r="K1485" s="16"/>
      <c r="L1485" s="16"/>
      <c r="M1485" s="16" t="n">
        <v>250</v>
      </c>
      <c r="N1485" s="19"/>
    </row>
    <row r="1486" customFormat="false" ht="15" hidden="false" customHeight="false" outlineLevel="0" collapsed="false">
      <c r="A1486" s="13" t="s">
        <v>4273</v>
      </c>
      <c r="B1486" s="13" t="s">
        <v>2142</v>
      </c>
      <c r="C1486" s="13" t="s">
        <v>85</v>
      </c>
      <c r="D1486" s="13" t="s">
        <v>2324</v>
      </c>
      <c r="E1486" s="13" t="s">
        <v>4274</v>
      </c>
      <c r="F1486" s="13" t="n">
        <v>1</v>
      </c>
      <c r="G1486" s="13" t="n">
        <v>1</v>
      </c>
      <c r="H1486" s="5" t="n">
        <v>750</v>
      </c>
      <c r="I1486" s="7" t="n">
        <v>20</v>
      </c>
      <c r="J1486" s="16" t="n">
        <v>37.5</v>
      </c>
      <c r="K1486" s="16" t="n">
        <v>37.5</v>
      </c>
      <c r="L1486" s="16"/>
      <c r="M1486" s="16"/>
      <c r="N1486" s="19"/>
    </row>
    <row r="1487" customFormat="false" ht="15" hidden="false" customHeight="false" outlineLevel="0" collapsed="false">
      <c r="A1487" s="13" t="s">
        <v>4275</v>
      </c>
      <c r="B1487" s="13" t="s">
        <v>121</v>
      </c>
      <c r="C1487" s="13" t="s">
        <v>43</v>
      </c>
      <c r="D1487" s="13" t="s">
        <v>2339</v>
      </c>
      <c r="E1487" s="13" t="s">
        <v>1587</v>
      </c>
      <c r="F1487" s="13" t="n">
        <v>1</v>
      </c>
      <c r="G1487" s="13" t="n">
        <v>2</v>
      </c>
      <c r="H1487" s="5" t="n">
        <v>750</v>
      </c>
      <c r="I1487" s="7" t="n">
        <v>3</v>
      </c>
      <c r="J1487" s="16" t="n">
        <v>250</v>
      </c>
      <c r="K1487" s="16"/>
      <c r="L1487" s="16"/>
      <c r="M1487" s="16" t="n">
        <v>250</v>
      </c>
      <c r="N1487" s="19"/>
    </row>
    <row r="1488" customFormat="false" ht="15" hidden="false" customHeight="false" outlineLevel="0" collapsed="false">
      <c r="A1488" s="13" t="s">
        <v>4276</v>
      </c>
      <c r="B1488" s="13" t="s">
        <v>124</v>
      </c>
      <c r="C1488" s="13" t="s">
        <v>43</v>
      </c>
      <c r="D1488" s="13" t="s">
        <v>2324</v>
      </c>
      <c r="E1488" s="13" t="s">
        <v>519</v>
      </c>
      <c r="F1488" s="13" t="n">
        <v>1</v>
      </c>
      <c r="G1488" s="13" t="n">
        <v>1</v>
      </c>
      <c r="H1488" s="5" t="n">
        <v>750</v>
      </c>
      <c r="I1488" s="7" t="n">
        <v>1</v>
      </c>
      <c r="J1488" s="16" t="n">
        <v>750</v>
      </c>
      <c r="K1488" s="16"/>
      <c r="L1488" s="16"/>
      <c r="M1488" s="16" t="n">
        <v>750</v>
      </c>
      <c r="N1488" s="19"/>
    </row>
    <row r="1489" customFormat="false" ht="15" hidden="false" customHeight="false" outlineLevel="0" collapsed="false">
      <c r="A1489" s="13" t="s">
        <v>4277</v>
      </c>
      <c r="B1489" s="13" t="s">
        <v>2209</v>
      </c>
      <c r="C1489" s="13" t="s">
        <v>43</v>
      </c>
      <c r="D1489" s="13" t="s">
        <v>2324</v>
      </c>
      <c r="E1489" s="13" t="s">
        <v>4278</v>
      </c>
      <c r="F1489" s="13" t="n">
        <v>1</v>
      </c>
      <c r="G1489" s="13" t="n">
        <v>2</v>
      </c>
      <c r="H1489" s="5" t="n">
        <v>750</v>
      </c>
      <c r="I1489" s="7" t="n">
        <v>4</v>
      </c>
      <c r="J1489" s="16" t="n">
        <v>187.5</v>
      </c>
      <c r="K1489" s="16"/>
      <c r="L1489" s="16"/>
      <c r="M1489" s="16" t="n">
        <v>187.5</v>
      </c>
      <c r="N1489" s="19"/>
    </row>
    <row r="1490" customFormat="false" ht="15" hidden="false" customHeight="false" outlineLevel="0" collapsed="false">
      <c r="A1490" s="13" t="s">
        <v>4279</v>
      </c>
      <c r="B1490" s="13" t="s">
        <v>61</v>
      </c>
      <c r="C1490" s="13" t="s">
        <v>43</v>
      </c>
      <c r="D1490" s="13" t="s">
        <v>2324</v>
      </c>
      <c r="E1490" s="13" t="s">
        <v>1425</v>
      </c>
      <c r="F1490" s="13" t="n">
        <v>1</v>
      </c>
      <c r="G1490" s="13" t="n">
        <v>1</v>
      </c>
      <c r="H1490" s="5" t="n">
        <v>750</v>
      </c>
      <c r="I1490" s="7" t="n">
        <v>1</v>
      </c>
      <c r="J1490" s="16" t="n">
        <v>750</v>
      </c>
      <c r="K1490" s="16"/>
      <c r="L1490" s="16"/>
      <c r="M1490" s="16" t="n">
        <v>750</v>
      </c>
      <c r="N1490" s="19"/>
    </row>
    <row r="1491" customFormat="false" ht="15" hidden="false" customHeight="false" outlineLevel="0" collapsed="false">
      <c r="A1491" s="13" t="s">
        <v>4280</v>
      </c>
      <c r="B1491" s="13" t="s">
        <v>490</v>
      </c>
      <c r="C1491" s="13" t="s">
        <v>43</v>
      </c>
      <c r="D1491" s="13" t="s">
        <v>2324</v>
      </c>
      <c r="E1491" s="13" t="s">
        <v>1772</v>
      </c>
      <c r="F1491" s="13" t="n">
        <v>2</v>
      </c>
      <c r="G1491" s="13" t="n">
        <v>2</v>
      </c>
      <c r="H1491" s="5" t="n">
        <v>740</v>
      </c>
      <c r="I1491" s="7" t="n">
        <v>2</v>
      </c>
      <c r="J1491" s="16" t="n">
        <v>370</v>
      </c>
      <c r="K1491" s="16" t="n">
        <v>340</v>
      </c>
      <c r="L1491" s="16" t="n">
        <v>400</v>
      </c>
      <c r="M1491" s="16"/>
      <c r="N1491" s="19" t="n">
        <v>0.176470588235294</v>
      </c>
    </row>
    <row r="1492" customFormat="false" ht="15" hidden="false" customHeight="false" outlineLevel="0" collapsed="false">
      <c r="A1492" s="13" t="s">
        <v>4281</v>
      </c>
      <c r="B1492" s="13" t="s">
        <v>45</v>
      </c>
      <c r="C1492" s="13" t="s">
        <v>43</v>
      </c>
      <c r="D1492" s="13" t="s">
        <v>2324</v>
      </c>
      <c r="E1492" s="13" t="s">
        <v>1327</v>
      </c>
      <c r="F1492" s="13" t="n">
        <v>1</v>
      </c>
      <c r="G1492" s="13" t="n">
        <v>1</v>
      </c>
      <c r="H1492" s="5" t="n">
        <v>740</v>
      </c>
      <c r="I1492" s="7" t="n">
        <v>1</v>
      </c>
      <c r="J1492" s="16" t="n">
        <v>740</v>
      </c>
      <c r="K1492" s="16"/>
      <c r="L1492" s="16" t="n">
        <v>740</v>
      </c>
      <c r="M1492" s="16"/>
      <c r="N1492" s="19"/>
    </row>
    <row r="1493" customFormat="false" ht="15" hidden="false" customHeight="false" outlineLevel="0" collapsed="false">
      <c r="A1493" s="13" t="s">
        <v>4282</v>
      </c>
      <c r="B1493" s="13" t="s">
        <v>2143</v>
      </c>
      <c r="C1493" s="13" t="s">
        <v>43</v>
      </c>
      <c r="D1493" s="13" t="s">
        <v>2324</v>
      </c>
      <c r="E1493" s="13" t="s">
        <v>4283</v>
      </c>
      <c r="F1493" s="13" t="n">
        <v>1</v>
      </c>
      <c r="G1493" s="13" t="n">
        <v>1</v>
      </c>
      <c r="H1493" s="5" t="n">
        <v>740</v>
      </c>
      <c r="I1493" s="7" t="n">
        <v>1</v>
      </c>
      <c r="J1493" s="16" t="n">
        <v>740</v>
      </c>
      <c r="K1493" s="16"/>
      <c r="L1493" s="16" t="n">
        <v>740</v>
      </c>
      <c r="M1493" s="16"/>
      <c r="N1493" s="19"/>
    </row>
    <row r="1494" customFormat="false" ht="15" hidden="false" customHeight="false" outlineLevel="0" collapsed="false">
      <c r="A1494" s="13" t="s">
        <v>4284</v>
      </c>
      <c r="B1494" s="13" t="s">
        <v>195</v>
      </c>
      <c r="C1494" s="13" t="s">
        <v>43</v>
      </c>
      <c r="D1494" s="13" t="s">
        <v>2337</v>
      </c>
      <c r="E1494" s="13" t="s">
        <v>1433</v>
      </c>
      <c r="F1494" s="13" t="n">
        <v>1</v>
      </c>
      <c r="G1494" s="13" t="n">
        <v>1</v>
      </c>
      <c r="H1494" s="5" t="n">
        <v>740</v>
      </c>
      <c r="I1494" s="7" t="n">
        <v>1</v>
      </c>
      <c r="J1494" s="16" t="n">
        <v>740</v>
      </c>
      <c r="K1494" s="16"/>
      <c r="L1494" s="16"/>
      <c r="M1494" s="16" t="n">
        <v>740</v>
      </c>
      <c r="N1494" s="19"/>
    </row>
    <row r="1495" customFormat="false" ht="15" hidden="false" customHeight="false" outlineLevel="0" collapsed="false">
      <c r="A1495" s="13" t="s">
        <v>4285</v>
      </c>
      <c r="B1495" s="13" t="s">
        <v>2152</v>
      </c>
      <c r="C1495" s="13" t="s">
        <v>43</v>
      </c>
      <c r="D1495" s="13" t="s">
        <v>2324</v>
      </c>
      <c r="E1495" s="13" t="s">
        <v>4286</v>
      </c>
      <c r="F1495" s="13" t="n">
        <v>1</v>
      </c>
      <c r="G1495" s="13" t="n">
        <v>1</v>
      </c>
      <c r="H1495" s="5" t="n">
        <v>740</v>
      </c>
      <c r="I1495" s="7" t="n">
        <v>5</v>
      </c>
      <c r="J1495" s="16" t="n">
        <v>148</v>
      </c>
      <c r="K1495" s="16" t="n">
        <v>148</v>
      </c>
      <c r="L1495" s="16"/>
      <c r="M1495" s="16"/>
      <c r="N1495" s="19"/>
    </row>
    <row r="1496" customFormat="false" ht="15" hidden="false" customHeight="false" outlineLevel="0" collapsed="false">
      <c r="A1496" s="13" t="s">
        <v>4287</v>
      </c>
      <c r="B1496" s="13" t="s">
        <v>54</v>
      </c>
      <c r="C1496" s="13" t="s">
        <v>43</v>
      </c>
      <c r="D1496" s="13" t="s">
        <v>2324</v>
      </c>
      <c r="E1496" s="13" t="s">
        <v>1808</v>
      </c>
      <c r="F1496" s="13" t="n">
        <v>1</v>
      </c>
      <c r="G1496" s="13" t="n">
        <v>2</v>
      </c>
      <c r="H1496" s="5" t="n">
        <v>740</v>
      </c>
      <c r="I1496" s="7" t="n">
        <v>2</v>
      </c>
      <c r="J1496" s="16" t="n">
        <v>370</v>
      </c>
      <c r="K1496" s="16"/>
      <c r="L1496" s="16"/>
      <c r="M1496" s="16" t="n">
        <v>370</v>
      </c>
      <c r="N1496" s="19"/>
    </row>
    <row r="1497" customFormat="false" ht="15" hidden="false" customHeight="false" outlineLevel="0" collapsed="false">
      <c r="A1497" s="13" t="s">
        <v>4288</v>
      </c>
      <c r="B1497" s="13" t="s">
        <v>50</v>
      </c>
      <c r="C1497" s="13" t="s">
        <v>43</v>
      </c>
      <c r="D1497" s="13" t="s">
        <v>2324</v>
      </c>
      <c r="E1497" s="13" t="s">
        <v>1442</v>
      </c>
      <c r="F1497" s="13" t="n">
        <v>1</v>
      </c>
      <c r="G1497" s="13" t="n">
        <v>1</v>
      </c>
      <c r="H1497" s="5" t="n">
        <v>730</v>
      </c>
      <c r="I1497" s="7" t="n">
        <v>1</v>
      </c>
      <c r="J1497" s="16" t="n">
        <v>730</v>
      </c>
      <c r="K1497" s="16"/>
      <c r="L1497" s="16" t="n">
        <v>730</v>
      </c>
      <c r="M1497" s="16"/>
      <c r="N1497" s="19"/>
    </row>
    <row r="1498" customFormat="false" ht="15" hidden="false" customHeight="false" outlineLevel="0" collapsed="false">
      <c r="A1498" s="13" t="s">
        <v>4289</v>
      </c>
      <c r="B1498" s="13" t="s">
        <v>54</v>
      </c>
      <c r="C1498" s="13" t="s">
        <v>43</v>
      </c>
      <c r="D1498" s="13" t="s">
        <v>2324</v>
      </c>
      <c r="E1498" s="13" t="s">
        <v>1086</v>
      </c>
      <c r="F1498" s="13" t="n">
        <v>1</v>
      </c>
      <c r="G1498" s="13" t="n">
        <v>1</v>
      </c>
      <c r="H1498" s="5" t="n">
        <v>730</v>
      </c>
      <c r="I1498" s="7" t="n">
        <v>1</v>
      </c>
      <c r="J1498" s="16" t="n">
        <v>730</v>
      </c>
      <c r="K1498" s="16"/>
      <c r="L1498" s="16"/>
      <c r="M1498" s="16" t="n">
        <v>730</v>
      </c>
      <c r="N1498" s="19"/>
    </row>
    <row r="1499" customFormat="false" ht="15" hidden="false" customHeight="false" outlineLevel="0" collapsed="false">
      <c r="A1499" s="13" t="s">
        <v>4290</v>
      </c>
      <c r="B1499" s="13" t="s">
        <v>2179</v>
      </c>
      <c r="C1499" s="13" t="s">
        <v>43</v>
      </c>
      <c r="D1499" s="13" t="s">
        <v>2324</v>
      </c>
      <c r="E1499" s="13" t="s">
        <v>4291</v>
      </c>
      <c r="F1499" s="13" t="n">
        <v>1</v>
      </c>
      <c r="G1499" s="13" t="n">
        <v>2</v>
      </c>
      <c r="H1499" s="5" t="n">
        <v>730</v>
      </c>
      <c r="I1499" s="7" t="n">
        <v>2</v>
      </c>
      <c r="J1499" s="16" t="n">
        <v>365</v>
      </c>
      <c r="K1499" s="16"/>
      <c r="L1499" s="16"/>
      <c r="M1499" s="16" t="n">
        <v>365</v>
      </c>
      <c r="N1499" s="19"/>
    </row>
    <row r="1500" customFormat="false" ht="15" hidden="false" customHeight="false" outlineLevel="0" collapsed="false">
      <c r="A1500" s="13" t="s">
        <v>4292</v>
      </c>
      <c r="B1500" s="13" t="s">
        <v>2101</v>
      </c>
      <c r="C1500" s="13" t="s">
        <v>85</v>
      </c>
      <c r="D1500" s="13" t="s">
        <v>2324</v>
      </c>
      <c r="E1500" s="13" t="s">
        <v>4293</v>
      </c>
      <c r="F1500" s="13" t="n">
        <v>1</v>
      </c>
      <c r="G1500" s="13" t="n">
        <v>1</v>
      </c>
      <c r="H1500" s="5" t="n">
        <v>730</v>
      </c>
      <c r="I1500" s="7" t="n">
        <v>5</v>
      </c>
      <c r="J1500" s="16" t="n">
        <v>146</v>
      </c>
      <c r="K1500" s="16" t="n">
        <v>146</v>
      </c>
      <c r="L1500" s="16"/>
      <c r="M1500" s="16"/>
      <c r="N1500" s="19"/>
    </row>
    <row r="1501" customFormat="false" ht="15" hidden="false" customHeight="false" outlineLevel="0" collapsed="false">
      <c r="A1501" s="13" t="s">
        <v>4294</v>
      </c>
      <c r="B1501" s="13" t="s">
        <v>2256</v>
      </c>
      <c r="C1501" s="13" t="s">
        <v>85</v>
      </c>
      <c r="D1501" s="13" t="s">
        <v>2324</v>
      </c>
      <c r="E1501" s="13" t="s">
        <v>4295</v>
      </c>
      <c r="F1501" s="13" t="n">
        <v>1</v>
      </c>
      <c r="G1501" s="13" t="n">
        <v>1</v>
      </c>
      <c r="H1501" s="5" t="n">
        <v>730</v>
      </c>
      <c r="I1501" s="7" t="n">
        <v>1</v>
      </c>
      <c r="J1501" s="16" t="n">
        <v>730</v>
      </c>
      <c r="K1501" s="16"/>
      <c r="L1501" s="16"/>
      <c r="M1501" s="16" t="n">
        <v>730</v>
      </c>
      <c r="N1501" s="19"/>
    </row>
    <row r="1502" customFormat="false" ht="15" hidden="false" customHeight="false" outlineLevel="0" collapsed="false">
      <c r="A1502" s="13" t="s">
        <v>4296</v>
      </c>
      <c r="B1502" s="13" t="s">
        <v>124</v>
      </c>
      <c r="C1502" s="13" t="s">
        <v>43</v>
      </c>
      <c r="D1502" s="13" t="s">
        <v>2324</v>
      </c>
      <c r="E1502" s="13" t="s">
        <v>1443</v>
      </c>
      <c r="F1502" s="13" t="n">
        <v>1</v>
      </c>
      <c r="G1502" s="13" t="n">
        <v>1</v>
      </c>
      <c r="H1502" s="5" t="n">
        <v>730</v>
      </c>
      <c r="I1502" s="7" t="n">
        <v>1</v>
      </c>
      <c r="J1502" s="16" t="n">
        <v>730</v>
      </c>
      <c r="K1502" s="16"/>
      <c r="L1502" s="16"/>
      <c r="M1502" s="16" t="n">
        <v>730</v>
      </c>
      <c r="N1502" s="19"/>
    </row>
    <row r="1503" customFormat="false" ht="15" hidden="false" customHeight="false" outlineLevel="0" collapsed="false">
      <c r="A1503" s="13" t="s">
        <v>4297</v>
      </c>
      <c r="B1503" s="13" t="s">
        <v>42</v>
      </c>
      <c r="C1503" s="13" t="s">
        <v>43</v>
      </c>
      <c r="D1503" s="13" t="s">
        <v>2324</v>
      </c>
      <c r="E1503" s="13" t="s">
        <v>1440</v>
      </c>
      <c r="F1503" s="13" t="n">
        <v>1</v>
      </c>
      <c r="G1503" s="13" t="n">
        <v>1</v>
      </c>
      <c r="H1503" s="5" t="n">
        <v>730</v>
      </c>
      <c r="I1503" s="7" t="n">
        <v>1</v>
      </c>
      <c r="J1503" s="16" t="n">
        <v>730</v>
      </c>
      <c r="K1503" s="16"/>
      <c r="L1503" s="16" t="n">
        <v>730</v>
      </c>
      <c r="M1503" s="16"/>
      <c r="N1503" s="19"/>
    </row>
    <row r="1504" customFormat="false" ht="15" hidden="false" customHeight="false" outlineLevel="0" collapsed="false">
      <c r="A1504" s="13" t="s">
        <v>4298</v>
      </c>
      <c r="B1504" s="13" t="s">
        <v>2120</v>
      </c>
      <c r="C1504" s="13" t="s">
        <v>43</v>
      </c>
      <c r="D1504" s="13" t="s">
        <v>2324</v>
      </c>
      <c r="E1504" s="13" t="s">
        <v>4299</v>
      </c>
      <c r="F1504" s="13" t="n">
        <v>1</v>
      </c>
      <c r="G1504" s="13" t="n">
        <v>1</v>
      </c>
      <c r="H1504" s="5" t="n">
        <v>730</v>
      </c>
      <c r="I1504" s="7" t="n">
        <v>2</v>
      </c>
      <c r="J1504" s="16" t="n">
        <v>365</v>
      </c>
      <c r="K1504" s="16"/>
      <c r="L1504" s="16" t="n">
        <v>365</v>
      </c>
      <c r="M1504" s="16"/>
      <c r="N1504" s="19"/>
    </row>
    <row r="1505" customFormat="false" ht="15" hidden="false" customHeight="false" outlineLevel="0" collapsed="false">
      <c r="A1505" s="13" t="s">
        <v>4300</v>
      </c>
      <c r="B1505" s="13" t="s">
        <v>2113</v>
      </c>
      <c r="C1505" s="13" t="s">
        <v>183</v>
      </c>
      <c r="D1505" s="13" t="s">
        <v>2324</v>
      </c>
      <c r="E1505" s="13" t="s">
        <v>2944</v>
      </c>
      <c r="F1505" s="13" t="n">
        <v>1</v>
      </c>
      <c r="G1505" s="13" t="n">
        <v>1</v>
      </c>
      <c r="H1505" s="5" t="n">
        <v>720</v>
      </c>
      <c r="I1505" s="7" t="n">
        <v>5</v>
      </c>
      <c r="J1505" s="16" t="n">
        <v>144</v>
      </c>
      <c r="K1505" s="16" t="n">
        <v>144</v>
      </c>
      <c r="L1505" s="16"/>
      <c r="M1505" s="16"/>
      <c r="N1505" s="19"/>
    </row>
    <row r="1506" customFormat="false" ht="15" hidden="false" customHeight="false" outlineLevel="0" collapsed="false">
      <c r="A1506" s="13" t="s">
        <v>4301</v>
      </c>
      <c r="B1506" s="13" t="s">
        <v>121</v>
      </c>
      <c r="C1506" s="13" t="s">
        <v>43</v>
      </c>
      <c r="D1506" s="13" t="s">
        <v>2324</v>
      </c>
      <c r="E1506" s="13" t="s">
        <v>1822</v>
      </c>
      <c r="F1506" s="13" t="n">
        <v>1</v>
      </c>
      <c r="G1506" s="13" t="n">
        <v>3</v>
      </c>
      <c r="H1506" s="5" t="n">
        <v>720</v>
      </c>
      <c r="I1506" s="7" t="n">
        <v>4</v>
      </c>
      <c r="J1506" s="16" t="n">
        <v>180</v>
      </c>
      <c r="K1506" s="16"/>
      <c r="L1506" s="16"/>
      <c r="M1506" s="16" t="n">
        <v>180</v>
      </c>
      <c r="N1506" s="19"/>
    </row>
    <row r="1507" customFormat="false" ht="15" hidden="false" customHeight="false" outlineLevel="0" collapsed="false">
      <c r="A1507" s="13" t="s">
        <v>4302</v>
      </c>
      <c r="B1507" s="13" t="s">
        <v>302</v>
      </c>
      <c r="C1507" s="13" t="s">
        <v>43</v>
      </c>
      <c r="D1507" s="13" t="s">
        <v>2324</v>
      </c>
      <c r="E1507" s="13" t="s">
        <v>1451</v>
      </c>
      <c r="F1507" s="13" t="n">
        <v>1</v>
      </c>
      <c r="G1507" s="13" t="n">
        <v>1</v>
      </c>
      <c r="H1507" s="5" t="n">
        <v>720</v>
      </c>
      <c r="I1507" s="7" t="n">
        <v>1</v>
      </c>
      <c r="J1507" s="16" t="n">
        <v>720</v>
      </c>
      <c r="K1507" s="16"/>
      <c r="L1507" s="16" t="n">
        <v>720</v>
      </c>
      <c r="M1507" s="16"/>
      <c r="N1507" s="19"/>
    </row>
    <row r="1508" customFormat="false" ht="15" hidden="false" customHeight="false" outlineLevel="0" collapsed="false">
      <c r="A1508" s="13" t="s">
        <v>4303</v>
      </c>
      <c r="B1508" s="13" t="s">
        <v>121</v>
      </c>
      <c r="C1508" s="13" t="s">
        <v>43</v>
      </c>
      <c r="D1508" s="13" t="s">
        <v>2339</v>
      </c>
      <c r="E1508" s="13" t="s">
        <v>1743</v>
      </c>
      <c r="F1508" s="13" t="n">
        <v>1</v>
      </c>
      <c r="G1508" s="13" t="n">
        <v>3</v>
      </c>
      <c r="H1508" s="5" t="n">
        <v>720</v>
      </c>
      <c r="I1508" s="7" t="n">
        <v>4</v>
      </c>
      <c r="J1508" s="16" t="n">
        <v>180</v>
      </c>
      <c r="K1508" s="16"/>
      <c r="L1508" s="16"/>
      <c r="M1508" s="16" t="n">
        <v>180</v>
      </c>
      <c r="N1508" s="19"/>
    </row>
    <row r="1509" customFormat="false" ht="15" hidden="false" customHeight="false" outlineLevel="0" collapsed="false">
      <c r="A1509" s="13" t="s">
        <v>4304</v>
      </c>
      <c r="B1509" s="13" t="s">
        <v>2139</v>
      </c>
      <c r="C1509" s="13" t="s">
        <v>43</v>
      </c>
      <c r="D1509" s="13" t="s">
        <v>2324</v>
      </c>
      <c r="E1509" s="13" t="s">
        <v>4305</v>
      </c>
      <c r="F1509" s="13" t="n">
        <v>1</v>
      </c>
      <c r="G1509" s="13" t="n">
        <v>2</v>
      </c>
      <c r="H1509" s="5" t="n">
        <v>720</v>
      </c>
      <c r="I1509" s="7" t="n">
        <v>4</v>
      </c>
      <c r="J1509" s="16" t="n">
        <v>180</v>
      </c>
      <c r="K1509" s="16"/>
      <c r="L1509" s="16"/>
      <c r="M1509" s="16" t="n">
        <v>180</v>
      </c>
      <c r="N1509" s="19"/>
    </row>
    <row r="1510" customFormat="false" ht="15" hidden="false" customHeight="false" outlineLevel="0" collapsed="false">
      <c r="A1510" s="13" t="s">
        <v>4306</v>
      </c>
      <c r="B1510" s="13" t="s">
        <v>177</v>
      </c>
      <c r="C1510" s="13" t="s">
        <v>43</v>
      </c>
      <c r="D1510" s="13" t="s">
        <v>2324</v>
      </c>
      <c r="E1510" s="13" t="s">
        <v>1456</v>
      </c>
      <c r="F1510" s="13" t="n">
        <v>1</v>
      </c>
      <c r="G1510" s="13" t="n">
        <v>1</v>
      </c>
      <c r="H1510" s="5" t="n">
        <v>720</v>
      </c>
      <c r="I1510" s="7" t="n">
        <v>1</v>
      </c>
      <c r="J1510" s="16" t="n">
        <v>720</v>
      </c>
      <c r="K1510" s="16"/>
      <c r="L1510" s="16"/>
      <c r="M1510" s="16" t="n">
        <v>720</v>
      </c>
      <c r="N1510" s="19"/>
    </row>
    <row r="1511" customFormat="false" ht="15" hidden="false" customHeight="false" outlineLevel="0" collapsed="false">
      <c r="A1511" s="13" t="s">
        <v>4307</v>
      </c>
      <c r="B1511" s="13" t="s">
        <v>2113</v>
      </c>
      <c r="C1511" s="13" t="s">
        <v>183</v>
      </c>
      <c r="D1511" s="13" t="s">
        <v>2324</v>
      </c>
      <c r="E1511" s="13" t="s">
        <v>2944</v>
      </c>
      <c r="F1511" s="13" t="n">
        <v>1</v>
      </c>
      <c r="G1511" s="13" t="n">
        <v>1</v>
      </c>
      <c r="H1511" s="5" t="n">
        <v>720</v>
      </c>
      <c r="I1511" s="7" t="n">
        <v>5</v>
      </c>
      <c r="J1511" s="16" t="n">
        <v>144</v>
      </c>
      <c r="K1511" s="16" t="n">
        <v>144</v>
      </c>
      <c r="L1511" s="16"/>
      <c r="M1511" s="16"/>
      <c r="N1511" s="19"/>
    </row>
    <row r="1512" customFormat="false" ht="15" hidden="false" customHeight="false" outlineLevel="0" collapsed="false">
      <c r="A1512" s="13" t="s">
        <v>4308</v>
      </c>
      <c r="B1512" s="13" t="s">
        <v>2134</v>
      </c>
      <c r="C1512" s="13" t="s">
        <v>43</v>
      </c>
      <c r="D1512" s="13" t="s">
        <v>2339</v>
      </c>
      <c r="E1512" s="13" t="s">
        <v>4309</v>
      </c>
      <c r="F1512" s="13" t="n">
        <v>1</v>
      </c>
      <c r="G1512" s="13" t="n">
        <v>1</v>
      </c>
      <c r="H1512" s="5" t="n">
        <v>720</v>
      </c>
      <c r="I1512" s="7" t="n">
        <v>1</v>
      </c>
      <c r="J1512" s="16" t="n">
        <v>720</v>
      </c>
      <c r="K1512" s="16"/>
      <c r="L1512" s="16"/>
      <c r="M1512" s="16" t="n">
        <v>720</v>
      </c>
      <c r="N1512" s="19"/>
    </row>
    <row r="1513" customFormat="false" ht="15" hidden="false" customHeight="false" outlineLevel="0" collapsed="false">
      <c r="A1513" s="13" t="s">
        <v>4310</v>
      </c>
      <c r="B1513" s="13" t="s">
        <v>177</v>
      </c>
      <c r="C1513" s="13" t="s">
        <v>43</v>
      </c>
      <c r="D1513" s="13" t="s">
        <v>2339</v>
      </c>
      <c r="E1513" s="13" t="s">
        <v>1459</v>
      </c>
      <c r="F1513" s="13" t="n">
        <v>1</v>
      </c>
      <c r="G1513" s="13" t="n">
        <v>1</v>
      </c>
      <c r="H1513" s="5" t="n">
        <v>710</v>
      </c>
      <c r="I1513" s="7" t="n">
        <v>1</v>
      </c>
      <c r="J1513" s="16" t="n">
        <v>710</v>
      </c>
      <c r="K1513" s="16"/>
      <c r="L1513" s="16" t="n">
        <v>710</v>
      </c>
      <c r="M1513" s="16"/>
      <c r="N1513" s="19"/>
    </row>
    <row r="1514" customFormat="false" ht="15" hidden="false" customHeight="false" outlineLevel="0" collapsed="false">
      <c r="A1514" s="13" t="s">
        <v>4311</v>
      </c>
      <c r="B1514" s="13" t="s">
        <v>2250</v>
      </c>
      <c r="C1514" s="13" t="s">
        <v>85</v>
      </c>
      <c r="D1514" s="13" t="s">
        <v>4121</v>
      </c>
      <c r="E1514" s="13" t="s">
        <v>4312</v>
      </c>
      <c r="F1514" s="13" t="n">
        <v>1</v>
      </c>
      <c r="G1514" s="13" t="n">
        <v>1</v>
      </c>
      <c r="H1514" s="5" t="n">
        <v>710</v>
      </c>
      <c r="I1514" s="7" t="n">
        <v>2</v>
      </c>
      <c r="J1514" s="16" t="n">
        <v>355</v>
      </c>
      <c r="K1514" s="16"/>
      <c r="L1514" s="16" t="n">
        <v>355</v>
      </c>
      <c r="M1514" s="16"/>
      <c r="N1514" s="19"/>
    </row>
    <row r="1515" customFormat="false" ht="15" hidden="false" customHeight="false" outlineLevel="0" collapsed="false">
      <c r="A1515" s="13" t="s">
        <v>4313</v>
      </c>
      <c r="B1515" s="13" t="s">
        <v>45</v>
      </c>
      <c r="C1515" s="13" t="s">
        <v>43</v>
      </c>
      <c r="D1515" s="13" t="s">
        <v>2324</v>
      </c>
      <c r="E1515" s="13" t="s">
        <v>702</v>
      </c>
      <c r="F1515" s="13" t="n">
        <v>1</v>
      </c>
      <c r="G1515" s="13" t="n">
        <v>1</v>
      </c>
      <c r="H1515" s="5" t="n">
        <v>710</v>
      </c>
      <c r="I1515" s="7" t="n">
        <v>1</v>
      </c>
      <c r="J1515" s="16" t="n">
        <v>710</v>
      </c>
      <c r="K1515" s="16"/>
      <c r="L1515" s="16"/>
      <c r="M1515" s="16" t="n">
        <v>710</v>
      </c>
      <c r="N1515" s="19"/>
    </row>
    <row r="1516" customFormat="false" ht="15" hidden="false" customHeight="false" outlineLevel="0" collapsed="false">
      <c r="A1516" s="13" t="s">
        <v>4314</v>
      </c>
      <c r="B1516" s="13" t="s">
        <v>490</v>
      </c>
      <c r="C1516" s="13" t="s">
        <v>43</v>
      </c>
      <c r="D1516" s="13" t="s">
        <v>2324</v>
      </c>
      <c r="E1516" s="13" t="s">
        <v>1162</v>
      </c>
      <c r="F1516" s="13" t="n">
        <v>1</v>
      </c>
      <c r="G1516" s="13" t="n">
        <v>1</v>
      </c>
      <c r="H1516" s="5" t="n">
        <v>710</v>
      </c>
      <c r="I1516" s="7" t="n">
        <v>2</v>
      </c>
      <c r="J1516" s="16" t="n">
        <v>355</v>
      </c>
      <c r="K1516" s="16"/>
      <c r="L1516" s="16"/>
      <c r="M1516" s="16" t="n">
        <v>355</v>
      </c>
      <c r="N1516" s="19"/>
    </row>
    <row r="1517" customFormat="false" ht="15" hidden="false" customHeight="false" outlineLevel="0" collapsed="false">
      <c r="A1517" s="13" t="s">
        <v>4315</v>
      </c>
      <c r="B1517" s="13" t="s">
        <v>2179</v>
      </c>
      <c r="C1517" s="13" t="s">
        <v>85</v>
      </c>
      <c r="D1517" s="13" t="s">
        <v>2324</v>
      </c>
      <c r="E1517" s="13" t="s">
        <v>4316</v>
      </c>
      <c r="F1517" s="13" t="n">
        <v>2</v>
      </c>
      <c r="G1517" s="13" t="n">
        <v>2</v>
      </c>
      <c r="H1517" s="5" t="n">
        <v>710</v>
      </c>
      <c r="I1517" s="7" t="n">
        <v>2</v>
      </c>
      <c r="J1517" s="16" t="n">
        <v>355</v>
      </c>
      <c r="K1517" s="16"/>
      <c r="L1517" s="16" t="n">
        <v>330</v>
      </c>
      <c r="M1517" s="16" t="n">
        <v>380</v>
      </c>
      <c r="N1517" s="19" t="n">
        <v>0.151515151515152</v>
      </c>
    </row>
    <row r="1518" customFormat="false" ht="15" hidden="false" customHeight="false" outlineLevel="0" collapsed="false">
      <c r="A1518" s="13" t="s">
        <v>4317</v>
      </c>
      <c r="B1518" s="13" t="s">
        <v>179</v>
      </c>
      <c r="C1518" s="13" t="s">
        <v>180</v>
      </c>
      <c r="D1518" s="13" t="s">
        <v>2324</v>
      </c>
      <c r="E1518" s="13" t="s">
        <v>1464</v>
      </c>
      <c r="F1518" s="13" t="n">
        <v>1</v>
      </c>
      <c r="G1518" s="13" t="n">
        <v>1</v>
      </c>
      <c r="H1518" s="5" t="n">
        <v>710</v>
      </c>
      <c r="I1518" s="7" t="n">
        <v>2</v>
      </c>
      <c r="J1518" s="16" t="n">
        <v>355</v>
      </c>
      <c r="K1518" s="16" t="n">
        <v>355</v>
      </c>
      <c r="L1518" s="16"/>
      <c r="M1518" s="16"/>
      <c r="N1518" s="19"/>
    </row>
    <row r="1519" customFormat="false" ht="15" hidden="false" customHeight="false" outlineLevel="0" collapsed="false">
      <c r="A1519" s="13" t="s">
        <v>4318</v>
      </c>
      <c r="B1519" s="13" t="s">
        <v>490</v>
      </c>
      <c r="C1519" s="13" t="s">
        <v>43</v>
      </c>
      <c r="D1519" s="13" t="s">
        <v>2324</v>
      </c>
      <c r="E1519" s="13" t="s">
        <v>1162</v>
      </c>
      <c r="F1519" s="13" t="n">
        <v>1</v>
      </c>
      <c r="G1519" s="13" t="n">
        <v>1</v>
      </c>
      <c r="H1519" s="5" t="n">
        <v>700</v>
      </c>
      <c r="I1519" s="7" t="n">
        <v>1</v>
      </c>
      <c r="J1519" s="16" t="n">
        <v>700</v>
      </c>
      <c r="K1519" s="16"/>
      <c r="L1519" s="16"/>
      <c r="M1519" s="16" t="n">
        <v>700</v>
      </c>
      <c r="N1519" s="19"/>
    </row>
    <row r="1520" customFormat="false" ht="15" hidden="false" customHeight="false" outlineLevel="0" collapsed="false">
      <c r="A1520" s="13" t="s">
        <v>4319</v>
      </c>
      <c r="B1520" s="13" t="s">
        <v>72</v>
      </c>
      <c r="C1520" s="13" t="s">
        <v>43</v>
      </c>
      <c r="D1520" s="13" t="s">
        <v>2339</v>
      </c>
      <c r="E1520" s="13" t="s">
        <v>1477</v>
      </c>
      <c r="F1520" s="13" t="n">
        <v>1</v>
      </c>
      <c r="G1520" s="13" t="n">
        <v>1</v>
      </c>
      <c r="H1520" s="5" t="n">
        <v>700</v>
      </c>
      <c r="I1520" s="7" t="n">
        <v>1</v>
      </c>
      <c r="J1520" s="16" t="n">
        <v>700</v>
      </c>
      <c r="K1520" s="16"/>
      <c r="L1520" s="16"/>
      <c r="M1520" s="16" t="n">
        <v>700</v>
      </c>
      <c r="N1520" s="19"/>
    </row>
    <row r="1521" customFormat="false" ht="15" hidden="false" customHeight="false" outlineLevel="0" collapsed="false">
      <c r="A1521" s="13" t="s">
        <v>4320</v>
      </c>
      <c r="B1521" s="13" t="s">
        <v>179</v>
      </c>
      <c r="C1521" s="13" t="s">
        <v>180</v>
      </c>
      <c r="D1521" s="13" t="s">
        <v>2324</v>
      </c>
      <c r="E1521" s="13" t="s">
        <v>1475</v>
      </c>
      <c r="F1521" s="13" t="n">
        <v>1</v>
      </c>
      <c r="G1521" s="13" t="n">
        <v>1</v>
      </c>
      <c r="H1521" s="5" t="n">
        <v>700</v>
      </c>
      <c r="I1521" s="7" t="n">
        <v>5</v>
      </c>
      <c r="J1521" s="16" t="n">
        <v>140</v>
      </c>
      <c r="K1521" s="16" t="n">
        <v>140</v>
      </c>
      <c r="L1521" s="16"/>
      <c r="M1521" s="16"/>
      <c r="N1521" s="19"/>
    </row>
    <row r="1522" customFormat="false" ht="15" hidden="false" customHeight="false" outlineLevel="0" collapsed="false">
      <c r="A1522" s="13" t="s">
        <v>4321</v>
      </c>
      <c r="B1522" s="13" t="s">
        <v>50</v>
      </c>
      <c r="C1522" s="13" t="s">
        <v>43</v>
      </c>
      <c r="D1522" s="13" t="s">
        <v>2324</v>
      </c>
      <c r="E1522" s="13" t="s">
        <v>1472</v>
      </c>
      <c r="F1522" s="13" t="n">
        <v>1</v>
      </c>
      <c r="G1522" s="13" t="n">
        <v>1</v>
      </c>
      <c r="H1522" s="5" t="n">
        <v>700</v>
      </c>
      <c r="I1522" s="7" t="n">
        <v>1</v>
      </c>
      <c r="J1522" s="16" t="n">
        <v>700</v>
      </c>
      <c r="K1522" s="16"/>
      <c r="L1522" s="16"/>
      <c r="M1522" s="16" t="n">
        <v>700</v>
      </c>
      <c r="N1522" s="19"/>
    </row>
    <row r="1523" customFormat="false" ht="15" hidden="false" customHeight="false" outlineLevel="0" collapsed="false">
      <c r="A1523" s="13" t="s">
        <v>4322</v>
      </c>
      <c r="B1523" s="13" t="s">
        <v>50</v>
      </c>
      <c r="C1523" s="13" t="s">
        <v>43</v>
      </c>
      <c r="D1523" s="13" t="s">
        <v>2324</v>
      </c>
      <c r="E1523" s="13" t="s">
        <v>1469</v>
      </c>
      <c r="F1523" s="13" t="n">
        <v>1</v>
      </c>
      <c r="G1523" s="13" t="n">
        <v>1</v>
      </c>
      <c r="H1523" s="5" t="n">
        <v>700</v>
      </c>
      <c r="I1523" s="7" t="n">
        <v>1</v>
      </c>
      <c r="J1523" s="16" t="n">
        <v>700</v>
      </c>
      <c r="K1523" s="16"/>
      <c r="L1523" s="16"/>
      <c r="M1523" s="16" t="n">
        <v>700</v>
      </c>
      <c r="N1523" s="19"/>
    </row>
    <row r="1524" customFormat="false" ht="15" hidden="false" customHeight="false" outlineLevel="0" collapsed="false">
      <c r="A1524" s="13" t="s">
        <v>4323</v>
      </c>
      <c r="B1524" s="13" t="s">
        <v>329</v>
      </c>
      <c r="C1524" s="13" t="s">
        <v>43</v>
      </c>
      <c r="D1524" s="13" t="s">
        <v>2324</v>
      </c>
      <c r="E1524" s="13" t="s">
        <v>1473</v>
      </c>
      <c r="F1524" s="13" t="n">
        <v>1</v>
      </c>
      <c r="G1524" s="13" t="n">
        <v>1</v>
      </c>
      <c r="H1524" s="5" t="n">
        <v>700</v>
      </c>
      <c r="I1524" s="7" t="n">
        <v>1</v>
      </c>
      <c r="J1524" s="16" t="n">
        <v>700</v>
      </c>
      <c r="K1524" s="16"/>
      <c r="L1524" s="16" t="n">
        <v>700</v>
      </c>
      <c r="M1524" s="16"/>
      <c r="N1524" s="19"/>
    </row>
    <row r="1525" customFormat="false" ht="15" hidden="false" customHeight="false" outlineLevel="0" collapsed="false">
      <c r="A1525" s="13" t="s">
        <v>4324</v>
      </c>
      <c r="B1525" s="13" t="s">
        <v>270</v>
      </c>
      <c r="C1525" s="13" t="s">
        <v>43</v>
      </c>
      <c r="D1525" s="13" t="s">
        <v>2339</v>
      </c>
      <c r="E1525" s="13" t="s">
        <v>1474</v>
      </c>
      <c r="F1525" s="13" t="n">
        <v>1</v>
      </c>
      <c r="G1525" s="13" t="n">
        <v>1</v>
      </c>
      <c r="H1525" s="5" t="n">
        <v>700</v>
      </c>
      <c r="I1525" s="7" t="n">
        <v>2</v>
      </c>
      <c r="J1525" s="16" t="n">
        <v>350</v>
      </c>
      <c r="K1525" s="16"/>
      <c r="L1525" s="16" t="n">
        <v>350</v>
      </c>
      <c r="M1525" s="16"/>
      <c r="N1525" s="19"/>
    </row>
    <row r="1526" customFormat="false" ht="15" hidden="false" customHeight="false" outlineLevel="0" collapsed="false">
      <c r="A1526" s="13" t="s">
        <v>4325</v>
      </c>
      <c r="B1526" s="13" t="s">
        <v>2096</v>
      </c>
      <c r="C1526" s="13" t="s">
        <v>85</v>
      </c>
      <c r="D1526" s="13" t="s">
        <v>2339</v>
      </c>
      <c r="E1526" s="13" t="s">
        <v>4326</v>
      </c>
      <c r="F1526" s="13" t="n">
        <v>1</v>
      </c>
      <c r="G1526" s="13" t="n">
        <v>1</v>
      </c>
      <c r="H1526" s="5" t="n">
        <v>700</v>
      </c>
      <c r="I1526" s="7" t="n">
        <v>5</v>
      </c>
      <c r="J1526" s="16" t="n">
        <v>140</v>
      </c>
      <c r="K1526" s="16" t="n">
        <v>140</v>
      </c>
      <c r="L1526" s="16"/>
      <c r="M1526" s="16"/>
      <c r="N1526" s="19"/>
    </row>
    <row r="1527" customFormat="false" ht="15" hidden="false" customHeight="false" outlineLevel="0" collapsed="false">
      <c r="A1527" s="13" t="s">
        <v>4327</v>
      </c>
      <c r="B1527" s="13" t="s">
        <v>2142</v>
      </c>
      <c r="C1527" s="13" t="s">
        <v>85</v>
      </c>
      <c r="D1527" s="13" t="s">
        <v>2324</v>
      </c>
      <c r="E1527" s="13" t="s">
        <v>4328</v>
      </c>
      <c r="F1527" s="13" t="n">
        <v>1</v>
      </c>
      <c r="G1527" s="13" t="n">
        <v>1</v>
      </c>
      <c r="H1527" s="5" t="n">
        <v>700</v>
      </c>
      <c r="I1527" s="7" t="n">
        <v>20</v>
      </c>
      <c r="J1527" s="16" t="n">
        <v>35</v>
      </c>
      <c r="K1527" s="16" t="n">
        <v>35</v>
      </c>
      <c r="L1527" s="16"/>
      <c r="M1527" s="16"/>
      <c r="N1527" s="19"/>
    </row>
    <row r="1528" customFormat="false" ht="15" hidden="false" customHeight="false" outlineLevel="0" collapsed="false">
      <c r="A1528" s="13" t="s">
        <v>4329</v>
      </c>
      <c r="B1528" s="13" t="s">
        <v>329</v>
      </c>
      <c r="C1528" s="13" t="s">
        <v>43</v>
      </c>
      <c r="D1528" s="13" t="s">
        <v>2324</v>
      </c>
      <c r="E1528" s="13" t="s">
        <v>1468</v>
      </c>
      <c r="F1528" s="13" t="n">
        <v>1</v>
      </c>
      <c r="G1528" s="13" t="n">
        <v>1</v>
      </c>
      <c r="H1528" s="5" t="n">
        <v>700</v>
      </c>
      <c r="I1528" s="7" t="n">
        <v>1</v>
      </c>
      <c r="J1528" s="16" t="n">
        <v>700</v>
      </c>
      <c r="K1528" s="16"/>
      <c r="L1528" s="16"/>
      <c r="M1528" s="16" t="n">
        <v>700</v>
      </c>
      <c r="N1528" s="19"/>
    </row>
    <row r="1529" customFormat="false" ht="15" hidden="false" customHeight="false" outlineLevel="0" collapsed="false">
      <c r="A1529" s="13" t="s">
        <v>4330</v>
      </c>
      <c r="B1529" s="13" t="s">
        <v>2139</v>
      </c>
      <c r="C1529" s="13" t="s">
        <v>43</v>
      </c>
      <c r="D1529" s="13" t="s">
        <v>2324</v>
      </c>
      <c r="E1529" s="13" t="s">
        <v>4331</v>
      </c>
      <c r="F1529" s="13" t="n">
        <v>1</v>
      </c>
      <c r="G1529" s="13" t="n">
        <v>1</v>
      </c>
      <c r="H1529" s="5" t="n">
        <v>700</v>
      </c>
      <c r="I1529" s="7" t="n">
        <v>2</v>
      </c>
      <c r="J1529" s="16" t="n">
        <v>350</v>
      </c>
      <c r="K1529" s="16"/>
      <c r="L1529" s="16"/>
      <c r="M1529" s="16" t="n">
        <v>350</v>
      </c>
      <c r="N1529" s="19"/>
    </row>
    <row r="1530" customFormat="false" ht="15" hidden="false" customHeight="false" outlineLevel="0" collapsed="false">
      <c r="A1530" s="13" t="s">
        <v>4332</v>
      </c>
      <c r="B1530" s="13" t="s">
        <v>54</v>
      </c>
      <c r="C1530" s="13" t="s">
        <v>43</v>
      </c>
      <c r="D1530" s="13" t="s">
        <v>2324</v>
      </c>
      <c r="E1530" s="13" t="s">
        <v>1478</v>
      </c>
      <c r="F1530" s="13" t="n">
        <v>1</v>
      </c>
      <c r="G1530" s="13" t="n">
        <v>1</v>
      </c>
      <c r="H1530" s="5" t="n">
        <v>700</v>
      </c>
      <c r="I1530" s="7" t="n">
        <v>1</v>
      </c>
      <c r="J1530" s="16" t="n">
        <v>700</v>
      </c>
      <c r="K1530" s="16"/>
      <c r="L1530" s="16"/>
      <c r="M1530" s="16" t="n">
        <v>700</v>
      </c>
      <c r="N1530" s="19"/>
    </row>
    <row r="1531" customFormat="false" ht="15" hidden="false" customHeight="false" outlineLevel="0" collapsed="false">
      <c r="A1531" s="13" t="s">
        <v>4333</v>
      </c>
      <c r="B1531" s="13" t="s">
        <v>2179</v>
      </c>
      <c r="C1531" s="13" t="s">
        <v>85</v>
      </c>
      <c r="D1531" s="13" t="s">
        <v>2432</v>
      </c>
      <c r="E1531" s="13" t="s">
        <v>4334</v>
      </c>
      <c r="F1531" s="13" t="n">
        <v>1</v>
      </c>
      <c r="G1531" s="13" t="n">
        <v>1</v>
      </c>
      <c r="H1531" s="5" t="n">
        <v>700</v>
      </c>
      <c r="I1531" s="7" t="n">
        <v>2</v>
      </c>
      <c r="J1531" s="16" t="n">
        <v>350</v>
      </c>
      <c r="K1531" s="16"/>
      <c r="L1531" s="16" t="n">
        <v>350</v>
      </c>
      <c r="M1531" s="16"/>
      <c r="N1531" s="19"/>
    </row>
    <row r="1532" customFormat="false" ht="15" hidden="false" customHeight="false" outlineLevel="0" collapsed="false">
      <c r="A1532" s="13" t="s">
        <v>4335</v>
      </c>
      <c r="B1532" s="13" t="s">
        <v>2131</v>
      </c>
      <c r="C1532" s="13" t="s">
        <v>43</v>
      </c>
      <c r="D1532" s="13" t="s">
        <v>2500</v>
      </c>
      <c r="E1532" s="13" t="s">
        <v>4336</v>
      </c>
      <c r="F1532" s="13" t="n">
        <v>1</v>
      </c>
      <c r="G1532" s="13" t="n">
        <v>1</v>
      </c>
      <c r="H1532" s="5" t="n">
        <v>700</v>
      </c>
      <c r="I1532" s="7" t="n">
        <v>1</v>
      </c>
      <c r="J1532" s="16" t="n">
        <v>700</v>
      </c>
      <c r="K1532" s="16"/>
      <c r="L1532" s="16"/>
      <c r="M1532" s="16" t="n">
        <v>700</v>
      </c>
      <c r="N1532" s="19"/>
    </row>
    <row r="1533" customFormat="false" ht="15" hidden="false" customHeight="false" outlineLevel="0" collapsed="false">
      <c r="A1533" s="13" t="s">
        <v>4337</v>
      </c>
      <c r="B1533" s="13" t="s">
        <v>2099</v>
      </c>
      <c r="C1533" s="13" t="s">
        <v>43</v>
      </c>
      <c r="D1533" s="13" t="s">
        <v>2324</v>
      </c>
      <c r="E1533" s="13" t="s">
        <v>4338</v>
      </c>
      <c r="F1533" s="13" t="n">
        <v>1</v>
      </c>
      <c r="G1533" s="13" t="n">
        <v>2</v>
      </c>
      <c r="H1533" s="5" t="n">
        <v>700</v>
      </c>
      <c r="I1533" s="7" t="n">
        <v>22</v>
      </c>
      <c r="J1533" s="16" t="n">
        <v>31.8181818181818</v>
      </c>
      <c r="K1533" s="16" t="n">
        <v>31.8181818181818</v>
      </c>
      <c r="L1533" s="16"/>
      <c r="M1533" s="16"/>
      <c r="N1533" s="19"/>
    </row>
    <row r="1534" customFormat="false" ht="15" hidden="false" customHeight="false" outlineLevel="0" collapsed="false">
      <c r="A1534" s="13" t="s">
        <v>4339</v>
      </c>
      <c r="B1534" s="13" t="s">
        <v>630</v>
      </c>
      <c r="C1534" s="13" t="s">
        <v>43</v>
      </c>
      <c r="D1534" s="13" t="s">
        <v>2324</v>
      </c>
      <c r="E1534" s="13" t="s">
        <v>631</v>
      </c>
      <c r="F1534" s="13" t="n">
        <v>1</v>
      </c>
      <c r="G1534" s="13" t="n">
        <v>1</v>
      </c>
      <c r="H1534" s="5" t="n">
        <v>700</v>
      </c>
      <c r="I1534" s="7" t="n">
        <v>2</v>
      </c>
      <c r="J1534" s="16" t="n">
        <v>350</v>
      </c>
      <c r="K1534" s="16"/>
      <c r="L1534" s="16"/>
      <c r="M1534" s="16" t="n">
        <v>350</v>
      </c>
      <c r="N1534" s="19"/>
    </row>
    <row r="1535" customFormat="false" ht="15" hidden="false" customHeight="false" outlineLevel="0" collapsed="false">
      <c r="A1535" s="13" t="s">
        <v>4340</v>
      </c>
      <c r="B1535" s="13" t="s">
        <v>81</v>
      </c>
      <c r="C1535" s="13" t="s">
        <v>85</v>
      </c>
      <c r="D1535" s="13" t="s">
        <v>2324</v>
      </c>
      <c r="E1535" s="13" t="s">
        <v>1476</v>
      </c>
      <c r="F1535" s="13" t="n">
        <v>1</v>
      </c>
      <c r="G1535" s="13" t="n">
        <v>1</v>
      </c>
      <c r="H1535" s="5" t="n">
        <v>700</v>
      </c>
      <c r="I1535" s="7" t="n">
        <v>2</v>
      </c>
      <c r="J1535" s="16" t="n">
        <v>350</v>
      </c>
      <c r="K1535" s="16" t="n">
        <v>350</v>
      </c>
      <c r="L1535" s="16"/>
      <c r="M1535" s="16"/>
      <c r="N1535" s="19"/>
    </row>
    <row r="1536" customFormat="false" ht="15" hidden="false" customHeight="false" outlineLevel="0" collapsed="false">
      <c r="A1536" s="13" t="s">
        <v>4341</v>
      </c>
      <c r="B1536" s="13" t="s">
        <v>161</v>
      </c>
      <c r="C1536" s="13" t="s">
        <v>43</v>
      </c>
      <c r="D1536" s="13" t="s">
        <v>2324</v>
      </c>
      <c r="E1536" s="13" t="s">
        <v>1490</v>
      </c>
      <c r="F1536" s="13" t="n">
        <v>1</v>
      </c>
      <c r="G1536" s="13" t="n">
        <v>1</v>
      </c>
      <c r="H1536" s="5" t="n">
        <v>690</v>
      </c>
      <c r="I1536" s="7" t="n">
        <v>2</v>
      </c>
      <c r="J1536" s="16" t="n">
        <v>345</v>
      </c>
      <c r="K1536" s="16"/>
      <c r="L1536" s="16" t="n">
        <v>345</v>
      </c>
      <c r="M1536" s="16"/>
      <c r="N1536" s="19"/>
    </row>
    <row r="1537" customFormat="false" ht="15" hidden="false" customHeight="false" outlineLevel="0" collapsed="false">
      <c r="A1537" s="13" t="s">
        <v>4342</v>
      </c>
      <c r="B1537" s="13" t="s">
        <v>302</v>
      </c>
      <c r="C1537" s="13" t="s">
        <v>43</v>
      </c>
      <c r="D1537" s="13" t="s">
        <v>2324</v>
      </c>
      <c r="E1537" s="13" t="s">
        <v>1485</v>
      </c>
      <c r="F1537" s="13" t="n">
        <v>1</v>
      </c>
      <c r="G1537" s="13" t="n">
        <v>1</v>
      </c>
      <c r="H1537" s="5" t="n">
        <v>690</v>
      </c>
      <c r="I1537" s="7" t="n">
        <v>1</v>
      </c>
      <c r="J1537" s="16" t="n">
        <v>690</v>
      </c>
      <c r="K1537" s="16"/>
      <c r="L1537" s="16" t="n">
        <v>690</v>
      </c>
      <c r="M1537" s="16"/>
      <c r="N1537" s="19"/>
    </row>
    <row r="1538" customFormat="false" ht="15" hidden="false" customHeight="false" outlineLevel="0" collapsed="false">
      <c r="A1538" s="13" t="s">
        <v>4343</v>
      </c>
      <c r="B1538" s="13" t="s">
        <v>2190</v>
      </c>
      <c r="C1538" s="13" t="s">
        <v>43</v>
      </c>
      <c r="D1538" s="13" t="s">
        <v>2324</v>
      </c>
      <c r="E1538" s="13" t="s">
        <v>4344</v>
      </c>
      <c r="F1538" s="13" t="n">
        <v>1</v>
      </c>
      <c r="G1538" s="13" t="n">
        <v>1</v>
      </c>
      <c r="H1538" s="5" t="n">
        <v>690</v>
      </c>
      <c r="I1538" s="7" t="n">
        <v>5</v>
      </c>
      <c r="J1538" s="16" t="n">
        <v>138</v>
      </c>
      <c r="K1538" s="16" t="n">
        <v>138</v>
      </c>
      <c r="L1538" s="16"/>
      <c r="M1538" s="16"/>
      <c r="N1538" s="19"/>
    </row>
    <row r="1539" customFormat="false" ht="15" hidden="false" customHeight="false" outlineLevel="0" collapsed="false">
      <c r="A1539" s="13" t="s">
        <v>4345</v>
      </c>
      <c r="B1539" s="13" t="s">
        <v>54</v>
      </c>
      <c r="C1539" s="13" t="s">
        <v>43</v>
      </c>
      <c r="D1539" s="13" t="s">
        <v>2324</v>
      </c>
      <c r="E1539" s="13" t="s">
        <v>1809</v>
      </c>
      <c r="F1539" s="13" t="n">
        <v>1</v>
      </c>
      <c r="G1539" s="13" t="n">
        <v>2</v>
      </c>
      <c r="H1539" s="5" t="n">
        <v>690</v>
      </c>
      <c r="I1539" s="7" t="n">
        <v>2</v>
      </c>
      <c r="J1539" s="16" t="n">
        <v>345</v>
      </c>
      <c r="K1539" s="16"/>
      <c r="L1539" s="16"/>
      <c r="M1539" s="16" t="n">
        <v>345</v>
      </c>
      <c r="N1539" s="19"/>
    </row>
    <row r="1540" customFormat="false" ht="15" hidden="false" customHeight="false" outlineLevel="0" collapsed="false">
      <c r="A1540" s="13" t="s">
        <v>4346</v>
      </c>
      <c r="B1540" s="13" t="s">
        <v>286</v>
      </c>
      <c r="C1540" s="13" t="s">
        <v>43</v>
      </c>
      <c r="D1540" s="13" t="s">
        <v>3010</v>
      </c>
      <c r="E1540" s="13" t="s">
        <v>1866</v>
      </c>
      <c r="F1540" s="13" t="n">
        <v>2</v>
      </c>
      <c r="G1540" s="13" t="n">
        <v>2</v>
      </c>
      <c r="H1540" s="5" t="n">
        <v>680</v>
      </c>
      <c r="I1540" s="7" t="n">
        <v>2</v>
      </c>
      <c r="J1540" s="16" t="n">
        <v>340</v>
      </c>
      <c r="K1540" s="16" t="n">
        <v>310</v>
      </c>
      <c r="L1540" s="16" t="n">
        <v>370</v>
      </c>
      <c r="M1540" s="16"/>
      <c r="N1540" s="19" t="n">
        <v>0.193548387096774</v>
      </c>
    </row>
    <row r="1541" customFormat="false" ht="15" hidden="false" customHeight="false" outlineLevel="0" collapsed="false">
      <c r="A1541" s="13" t="s">
        <v>4347</v>
      </c>
      <c r="B1541" s="13" t="s">
        <v>45</v>
      </c>
      <c r="C1541" s="13" t="s">
        <v>43</v>
      </c>
      <c r="D1541" s="13" t="s">
        <v>4251</v>
      </c>
      <c r="E1541" s="13" t="s">
        <v>1746</v>
      </c>
      <c r="F1541" s="13" t="n">
        <v>1</v>
      </c>
      <c r="G1541" s="13" t="n">
        <v>2</v>
      </c>
      <c r="H1541" s="5" t="n">
        <v>680</v>
      </c>
      <c r="I1541" s="7" t="n">
        <v>3</v>
      </c>
      <c r="J1541" s="16" t="n">
        <v>226.666666666667</v>
      </c>
      <c r="K1541" s="16"/>
      <c r="L1541" s="16"/>
      <c r="M1541" s="16" t="n">
        <v>226.666666666667</v>
      </c>
      <c r="N1541" s="19"/>
    </row>
    <row r="1542" customFormat="false" ht="15" hidden="false" customHeight="false" outlineLevel="0" collapsed="false">
      <c r="A1542" s="13" t="s">
        <v>4348</v>
      </c>
      <c r="B1542" s="13" t="s">
        <v>114</v>
      </c>
      <c r="C1542" s="13" t="s">
        <v>85</v>
      </c>
      <c r="D1542" s="13" t="s">
        <v>2324</v>
      </c>
      <c r="E1542" s="13" t="s">
        <v>1492</v>
      </c>
      <c r="F1542" s="13" t="n">
        <v>1</v>
      </c>
      <c r="G1542" s="13" t="n">
        <v>1</v>
      </c>
      <c r="H1542" s="5" t="n">
        <v>680</v>
      </c>
      <c r="I1542" s="7" t="n">
        <v>2</v>
      </c>
      <c r="J1542" s="16" t="n">
        <v>340</v>
      </c>
      <c r="K1542" s="16" t="n">
        <v>340</v>
      </c>
      <c r="L1542" s="16"/>
      <c r="M1542" s="16"/>
      <c r="N1542" s="19"/>
    </row>
    <row r="1543" customFormat="false" ht="15" hidden="false" customHeight="false" outlineLevel="0" collapsed="false">
      <c r="A1543" s="13" t="s">
        <v>4349</v>
      </c>
      <c r="B1543" s="13" t="s">
        <v>2218</v>
      </c>
      <c r="C1543" s="13" t="s">
        <v>85</v>
      </c>
      <c r="D1543" s="13" t="s">
        <v>2324</v>
      </c>
      <c r="E1543" s="13" t="s">
        <v>4350</v>
      </c>
      <c r="F1543" s="13" t="n">
        <v>1</v>
      </c>
      <c r="G1543" s="13" t="n">
        <v>1</v>
      </c>
      <c r="H1543" s="5" t="n">
        <v>680</v>
      </c>
      <c r="I1543" s="7" t="n">
        <v>5</v>
      </c>
      <c r="J1543" s="16" t="n">
        <v>136</v>
      </c>
      <c r="K1543" s="16" t="n">
        <v>136</v>
      </c>
      <c r="L1543" s="16"/>
      <c r="M1543" s="16"/>
      <c r="N1543" s="19"/>
    </row>
    <row r="1544" customFormat="false" ht="15" hidden="false" customHeight="false" outlineLevel="0" collapsed="false">
      <c r="A1544" s="13" t="s">
        <v>4351</v>
      </c>
      <c r="B1544" s="13" t="s">
        <v>2258</v>
      </c>
      <c r="C1544" s="13" t="s">
        <v>43</v>
      </c>
      <c r="D1544" s="13" t="s">
        <v>2339</v>
      </c>
      <c r="E1544" s="13" t="s">
        <v>4352</v>
      </c>
      <c r="F1544" s="13" t="n">
        <v>1</v>
      </c>
      <c r="G1544" s="13" t="n">
        <v>1</v>
      </c>
      <c r="H1544" s="5" t="n">
        <v>680</v>
      </c>
      <c r="I1544" s="7" t="n">
        <v>2</v>
      </c>
      <c r="J1544" s="16" t="n">
        <v>340</v>
      </c>
      <c r="K1544" s="16" t="n">
        <v>340</v>
      </c>
      <c r="L1544" s="16"/>
      <c r="M1544" s="16"/>
      <c r="N1544" s="19"/>
    </row>
    <row r="1545" customFormat="false" ht="15" hidden="false" customHeight="false" outlineLevel="0" collapsed="false">
      <c r="A1545" s="13" t="s">
        <v>4353</v>
      </c>
      <c r="B1545" s="13" t="s">
        <v>2108</v>
      </c>
      <c r="C1545" s="13" t="s">
        <v>85</v>
      </c>
      <c r="D1545" s="13" t="s">
        <v>2324</v>
      </c>
      <c r="E1545" s="13" t="s">
        <v>4354</v>
      </c>
      <c r="F1545" s="13" t="n">
        <v>1</v>
      </c>
      <c r="G1545" s="13" t="n">
        <v>1</v>
      </c>
      <c r="H1545" s="5" t="n">
        <v>680</v>
      </c>
      <c r="I1545" s="7" t="n">
        <v>2</v>
      </c>
      <c r="J1545" s="16" t="n">
        <v>340</v>
      </c>
      <c r="K1545" s="16" t="n">
        <v>340</v>
      </c>
      <c r="L1545" s="16"/>
      <c r="M1545" s="16"/>
      <c r="N1545" s="19"/>
    </row>
    <row r="1546" customFormat="false" ht="15" hidden="false" customHeight="false" outlineLevel="0" collapsed="false">
      <c r="A1546" s="13" t="s">
        <v>4355</v>
      </c>
      <c r="B1546" s="13" t="s">
        <v>365</v>
      </c>
      <c r="C1546" s="13" t="s">
        <v>43</v>
      </c>
      <c r="D1546" s="13" t="s">
        <v>2339</v>
      </c>
      <c r="E1546" s="13" t="s">
        <v>1896</v>
      </c>
      <c r="F1546" s="13" t="n">
        <v>2</v>
      </c>
      <c r="G1546" s="13" t="n">
        <v>2</v>
      </c>
      <c r="H1546" s="5" t="n">
        <v>680</v>
      </c>
      <c r="I1546" s="7" t="n">
        <v>2</v>
      </c>
      <c r="J1546" s="16" t="n">
        <v>340</v>
      </c>
      <c r="K1546" s="16"/>
      <c r="L1546" s="16" t="n">
        <v>280</v>
      </c>
      <c r="M1546" s="16" t="n">
        <v>400</v>
      </c>
      <c r="N1546" s="19" t="n">
        <v>0.428571428571429</v>
      </c>
    </row>
    <row r="1547" customFormat="false" ht="15" hidden="false" customHeight="false" outlineLevel="0" collapsed="false">
      <c r="A1547" s="13" t="s">
        <v>4356</v>
      </c>
      <c r="B1547" s="13" t="s">
        <v>54</v>
      </c>
      <c r="C1547" s="13" t="s">
        <v>43</v>
      </c>
      <c r="D1547" s="13" t="s">
        <v>2322</v>
      </c>
      <c r="E1547" s="13" t="s">
        <v>1498</v>
      </c>
      <c r="F1547" s="13" t="n">
        <v>1</v>
      </c>
      <c r="G1547" s="13" t="n">
        <v>1</v>
      </c>
      <c r="H1547" s="5" t="n">
        <v>680</v>
      </c>
      <c r="I1547" s="7" t="n">
        <v>2</v>
      </c>
      <c r="J1547" s="16" t="n">
        <v>340</v>
      </c>
      <c r="K1547" s="16"/>
      <c r="L1547" s="16"/>
      <c r="M1547" s="16" t="n">
        <v>340</v>
      </c>
      <c r="N1547" s="19"/>
    </row>
    <row r="1548" customFormat="false" ht="15" hidden="false" customHeight="false" outlineLevel="0" collapsed="false">
      <c r="A1548" s="13" t="s">
        <v>4357</v>
      </c>
      <c r="B1548" s="13" t="s">
        <v>165</v>
      </c>
      <c r="C1548" s="13" t="s">
        <v>43</v>
      </c>
      <c r="D1548" s="13" t="s">
        <v>2324</v>
      </c>
      <c r="E1548" s="13" t="s">
        <v>1500</v>
      </c>
      <c r="F1548" s="13" t="n">
        <v>1</v>
      </c>
      <c r="G1548" s="13" t="n">
        <v>1</v>
      </c>
      <c r="H1548" s="5" t="n">
        <v>680</v>
      </c>
      <c r="I1548" s="7" t="n">
        <v>1</v>
      </c>
      <c r="J1548" s="16" t="n">
        <v>680</v>
      </c>
      <c r="K1548" s="16"/>
      <c r="L1548" s="16"/>
      <c r="M1548" s="16" t="n">
        <v>680</v>
      </c>
      <c r="N1548" s="19"/>
    </row>
    <row r="1549" customFormat="false" ht="15" hidden="false" customHeight="false" outlineLevel="0" collapsed="false">
      <c r="A1549" s="13" t="s">
        <v>4358</v>
      </c>
      <c r="B1549" s="13" t="s">
        <v>630</v>
      </c>
      <c r="C1549" s="13" t="s">
        <v>43</v>
      </c>
      <c r="D1549" s="13" t="s">
        <v>2324</v>
      </c>
      <c r="E1549" s="13" t="s">
        <v>1502</v>
      </c>
      <c r="F1549" s="13" t="n">
        <v>1</v>
      </c>
      <c r="G1549" s="13" t="n">
        <v>1</v>
      </c>
      <c r="H1549" s="5" t="n">
        <v>680</v>
      </c>
      <c r="I1549" s="7" t="n">
        <v>2</v>
      </c>
      <c r="J1549" s="16" t="n">
        <v>340</v>
      </c>
      <c r="K1549" s="16"/>
      <c r="L1549" s="16" t="n">
        <v>340</v>
      </c>
      <c r="M1549" s="16"/>
      <c r="N1549" s="19"/>
    </row>
    <row r="1550" customFormat="false" ht="15" hidden="false" customHeight="false" outlineLevel="0" collapsed="false">
      <c r="A1550" s="13" t="s">
        <v>4359</v>
      </c>
      <c r="B1550" s="13" t="s">
        <v>179</v>
      </c>
      <c r="C1550" s="13" t="s">
        <v>180</v>
      </c>
      <c r="D1550" s="13" t="s">
        <v>2324</v>
      </c>
      <c r="E1550" s="13" t="s">
        <v>1496</v>
      </c>
      <c r="F1550" s="13" t="n">
        <v>1</v>
      </c>
      <c r="G1550" s="13" t="n">
        <v>1</v>
      </c>
      <c r="H1550" s="5" t="n">
        <v>680</v>
      </c>
      <c r="I1550" s="7" t="n">
        <v>2</v>
      </c>
      <c r="J1550" s="16" t="n">
        <v>340</v>
      </c>
      <c r="K1550" s="16" t="n">
        <v>340</v>
      </c>
      <c r="L1550" s="16"/>
      <c r="M1550" s="16"/>
      <c r="N1550" s="19"/>
    </row>
    <row r="1551" customFormat="false" ht="15" hidden="false" customHeight="false" outlineLevel="0" collapsed="false">
      <c r="A1551" s="13" t="s">
        <v>4360</v>
      </c>
      <c r="B1551" s="13" t="s">
        <v>124</v>
      </c>
      <c r="C1551" s="13" t="s">
        <v>43</v>
      </c>
      <c r="D1551" s="13" t="s">
        <v>2324</v>
      </c>
      <c r="E1551" s="13" t="s">
        <v>1510</v>
      </c>
      <c r="F1551" s="13" t="n">
        <v>1</v>
      </c>
      <c r="G1551" s="13" t="n">
        <v>1</v>
      </c>
      <c r="H1551" s="5" t="n">
        <v>670</v>
      </c>
      <c r="I1551" s="7" t="n">
        <v>1</v>
      </c>
      <c r="J1551" s="16" t="n">
        <v>670</v>
      </c>
      <c r="K1551" s="16"/>
      <c r="L1551" s="16"/>
      <c r="M1551" s="16" t="n">
        <v>670</v>
      </c>
      <c r="N1551" s="19"/>
    </row>
    <row r="1552" customFormat="false" ht="15" hidden="false" customHeight="false" outlineLevel="0" collapsed="false">
      <c r="A1552" s="13" t="s">
        <v>4361</v>
      </c>
      <c r="B1552" s="13" t="s">
        <v>79</v>
      </c>
      <c r="C1552" s="13" t="s">
        <v>43</v>
      </c>
      <c r="D1552" s="13" t="s">
        <v>2324</v>
      </c>
      <c r="E1552" s="13" t="s">
        <v>1513</v>
      </c>
      <c r="F1552" s="13" t="n">
        <v>1</v>
      </c>
      <c r="G1552" s="13" t="n">
        <v>1</v>
      </c>
      <c r="H1552" s="5" t="n">
        <v>670</v>
      </c>
      <c r="I1552" s="7" t="n">
        <v>1</v>
      </c>
      <c r="J1552" s="16" t="n">
        <v>670</v>
      </c>
      <c r="K1552" s="16"/>
      <c r="L1552" s="16" t="n">
        <v>670</v>
      </c>
      <c r="M1552" s="16"/>
      <c r="N1552" s="19"/>
    </row>
    <row r="1553" customFormat="false" ht="15" hidden="false" customHeight="false" outlineLevel="0" collapsed="false">
      <c r="A1553" s="13" t="s">
        <v>4362</v>
      </c>
      <c r="B1553" s="13" t="s">
        <v>2179</v>
      </c>
      <c r="C1553" s="13" t="s">
        <v>85</v>
      </c>
      <c r="D1553" s="13" t="s">
        <v>2324</v>
      </c>
      <c r="E1553" s="13" t="s">
        <v>4363</v>
      </c>
      <c r="F1553" s="13" t="n">
        <v>1</v>
      </c>
      <c r="G1553" s="13" t="n">
        <v>1</v>
      </c>
      <c r="H1553" s="5" t="n">
        <v>670</v>
      </c>
      <c r="I1553" s="7" t="n">
        <v>2</v>
      </c>
      <c r="J1553" s="16" t="n">
        <v>335</v>
      </c>
      <c r="K1553" s="16"/>
      <c r="L1553" s="16" t="n">
        <v>335</v>
      </c>
      <c r="M1553" s="16"/>
      <c r="N1553" s="19"/>
    </row>
    <row r="1554" customFormat="false" ht="15" hidden="false" customHeight="false" outlineLevel="0" collapsed="false">
      <c r="A1554" s="13" t="s">
        <v>4364</v>
      </c>
      <c r="B1554" s="13" t="s">
        <v>50</v>
      </c>
      <c r="C1554" s="13" t="s">
        <v>43</v>
      </c>
      <c r="D1554" s="13" t="s">
        <v>2324</v>
      </c>
      <c r="E1554" s="13" t="s">
        <v>1506</v>
      </c>
      <c r="F1554" s="13" t="n">
        <v>1</v>
      </c>
      <c r="G1554" s="13" t="n">
        <v>1</v>
      </c>
      <c r="H1554" s="5" t="n">
        <v>670</v>
      </c>
      <c r="I1554" s="7" t="n">
        <v>1</v>
      </c>
      <c r="J1554" s="16" t="n">
        <v>670</v>
      </c>
      <c r="K1554" s="16"/>
      <c r="L1554" s="16"/>
      <c r="M1554" s="16" t="n">
        <v>670</v>
      </c>
      <c r="N1554" s="19"/>
    </row>
    <row r="1555" customFormat="false" ht="15" hidden="false" customHeight="false" outlineLevel="0" collapsed="false">
      <c r="A1555" s="13" t="s">
        <v>4365</v>
      </c>
      <c r="B1555" s="13" t="s">
        <v>2103</v>
      </c>
      <c r="C1555" s="13" t="s">
        <v>85</v>
      </c>
      <c r="D1555" s="13" t="s">
        <v>2324</v>
      </c>
      <c r="E1555" s="13" t="s">
        <v>4366</v>
      </c>
      <c r="F1555" s="13" t="n">
        <v>1</v>
      </c>
      <c r="G1555" s="13" t="n">
        <v>1</v>
      </c>
      <c r="H1555" s="5" t="n">
        <v>660</v>
      </c>
      <c r="I1555" s="7" t="n">
        <v>5</v>
      </c>
      <c r="J1555" s="16" t="n">
        <v>132</v>
      </c>
      <c r="K1555" s="16"/>
      <c r="L1555" s="16"/>
      <c r="M1555" s="16" t="n">
        <v>132</v>
      </c>
      <c r="N1555" s="19"/>
    </row>
    <row r="1556" customFormat="false" ht="15" hidden="false" customHeight="false" outlineLevel="0" collapsed="false">
      <c r="A1556" s="13" t="s">
        <v>4367</v>
      </c>
      <c r="B1556" s="13" t="s">
        <v>153</v>
      </c>
      <c r="C1556" s="13" t="s">
        <v>43</v>
      </c>
      <c r="D1556" s="13" t="s">
        <v>2751</v>
      </c>
      <c r="E1556" s="13" t="s">
        <v>1938</v>
      </c>
      <c r="F1556" s="13" t="n">
        <v>1</v>
      </c>
      <c r="G1556" s="13" t="n">
        <v>2</v>
      </c>
      <c r="H1556" s="5" t="n">
        <v>660</v>
      </c>
      <c r="I1556" s="7" t="n">
        <v>3</v>
      </c>
      <c r="J1556" s="16" t="n">
        <v>220</v>
      </c>
      <c r="K1556" s="16"/>
      <c r="L1556" s="16"/>
      <c r="M1556" s="16" t="n">
        <v>220</v>
      </c>
      <c r="N1556" s="19"/>
    </row>
    <row r="1557" customFormat="false" ht="15" hidden="false" customHeight="false" outlineLevel="0" collapsed="false">
      <c r="A1557" s="13" t="s">
        <v>4368</v>
      </c>
      <c r="B1557" s="13" t="s">
        <v>362</v>
      </c>
      <c r="C1557" s="13" t="s">
        <v>43</v>
      </c>
      <c r="D1557" s="13" t="s">
        <v>2751</v>
      </c>
      <c r="E1557" s="13" t="s">
        <v>1518</v>
      </c>
      <c r="F1557" s="13" t="n">
        <v>1</v>
      </c>
      <c r="G1557" s="13" t="n">
        <v>1</v>
      </c>
      <c r="H1557" s="5" t="n">
        <v>660</v>
      </c>
      <c r="I1557" s="7" t="n">
        <v>2</v>
      </c>
      <c r="J1557" s="16" t="n">
        <v>330</v>
      </c>
      <c r="K1557" s="16"/>
      <c r="L1557" s="16"/>
      <c r="M1557" s="16" t="n">
        <v>330</v>
      </c>
      <c r="N1557" s="19"/>
    </row>
    <row r="1558" customFormat="false" ht="15" hidden="false" customHeight="false" outlineLevel="0" collapsed="false">
      <c r="A1558" s="13" t="s">
        <v>4369</v>
      </c>
      <c r="B1558" s="13" t="s">
        <v>42</v>
      </c>
      <c r="C1558" s="13" t="s">
        <v>43</v>
      </c>
      <c r="D1558" s="13" t="s">
        <v>2324</v>
      </c>
      <c r="E1558" s="13" t="s">
        <v>1515</v>
      </c>
      <c r="F1558" s="13" t="n">
        <v>1</v>
      </c>
      <c r="G1558" s="13" t="n">
        <v>1</v>
      </c>
      <c r="H1558" s="5" t="n">
        <v>660</v>
      </c>
      <c r="I1558" s="7" t="n">
        <v>1</v>
      </c>
      <c r="J1558" s="16" t="n">
        <v>660</v>
      </c>
      <c r="K1558" s="16"/>
      <c r="L1558" s="16" t="n">
        <v>660</v>
      </c>
      <c r="M1558" s="16"/>
      <c r="N1558" s="19"/>
    </row>
    <row r="1559" customFormat="false" ht="15" hidden="false" customHeight="false" outlineLevel="0" collapsed="false">
      <c r="A1559" s="13" t="s">
        <v>4370</v>
      </c>
      <c r="B1559" s="13" t="s">
        <v>315</v>
      </c>
      <c r="C1559" s="13" t="s">
        <v>43</v>
      </c>
      <c r="D1559" s="13" t="s">
        <v>2322</v>
      </c>
      <c r="E1559" s="13" t="s">
        <v>1519</v>
      </c>
      <c r="F1559" s="13" t="n">
        <v>1</v>
      </c>
      <c r="G1559" s="13" t="n">
        <v>1</v>
      </c>
      <c r="H1559" s="5" t="n">
        <v>660</v>
      </c>
      <c r="I1559" s="7" t="n">
        <v>1</v>
      </c>
      <c r="J1559" s="16" t="n">
        <v>660</v>
      </c>
      <c r="K1559" s="16"/>
      <c r="L1559" s="16"/>
      <c r="M1559" s="16" t="n">
        <v>660</v>
      </c>
      <c r="N1559" s="19"/>
    </row>
    <row r="1560" customFormat="false" ht="15" hidden="false" customHeight="false" outlineLevel="0" collapsed="false">
      <c r="A1560" s="13" t="s">
        <v>4371</v>
      </c>
      <c r="B1560" s="13" t="s">
        <v>186</v>
      </c>
      <c r="C1560" s="13" t="s">
        <v>43</v>
      </c>
      <c r="D1560" s="13" t="s">
        <v>2339</v>
      </c>
      <c r="E1560" s="13" t="s">
        <v>1846</v>
      </c>
      <c r="F1560" s="13" t="n">
        <v>1</v>
      </c>
      <c r="G1560" s="13" t="n">
        <v>2</v>
      </c>
      <c r="H1560" s="5" t="n">
        <v>660</v>
      </c>
      <c r="I1560" s="7" t="n">
        <v>2</v>
      </c>
      <c r="J1560" s="16" t="n">
        <v>330</v>
      </c>
      <c r="K1560" s="16"/>
      <c r="L1560" s="16" t="n">
        <v>330</v>
      </c>
      <c r="M1560" s="16"/>
      <c r="N1560" s="19"/>
    </row>
    <row r="1561" customFormat="false" ht="15" hidden="false" customHeight="false" outlineLevel="0" collapsed="false">
      <c r="A1561" s="13" t="s">
        <v>4372</v>
      </c>
      <c r="B1561" s="13" t="s">
        <v>2167</v>
      </c>
      <c r="C1561" s="13" t="s">
        <v>43</v>
      </c>
      <c r="D1561" s="13" t="s">
        <v>2322</v>
      </c>
      <c r="E1561" s="13" t="s">
        <v>4373</v>
      </c>
      <c r="F1561" s="13" t="n">
        <v>1</v>
      </c>
      <c r="G1561" s="13" t="n">
        <v>1</v>
      </c>
      <c r="H1561" s="5" t="n">
        <v>660</v>
      </c>
      <c r="I1561" s="7" t="n">
        <v>2</v>
      </c>
      <c r="J1561" s="16" t="n">
        <v>330</v>
      </c>
      <c r="K1561" s="16" t="n">
        <v>330</v>
      </c>
      <c r="L1561" s="16"/>
      <c r="M1561" s="16"/>
      <c r="N1561" s="19"/>
    </row>
    <row r="1562" customFormat="false" ht="15" hidden="false" customHeight="false" outlineLevel="0" collapsed="false">
      <c r="A1562" s="13" t="s">
        <v>4374</v>
      </c>
      <c r="B1562" s="13" t="s">
        <v>2206</v>
      </c>
      <c r="C1562" s="13" t="s">
        <v>85</v>
      </c>
      <c r="D1562" s="13" t="s">
        <v>2324</v>
      </c>
      <c r="E1562" s="13" t="s">
        <v>4375</v>
      </c>
      <c r="F1562" s="13" t="n">
        <v>1</v>
      </c>
      <c r="G1562" s="13" t="n">
        <v>1</v>
      </c>
      <c r="H1562" s="5" t="n">
        <v>660</v>
      </c>
      <c r="I1562" s="7" t="n">
        <v>5</v>
      </c>
      <c r="J1562" s="16" t="n">
        <v>132</v>
      </c>
      <c r="K1562" s="16" t="n">
        <v>132</v>
      </c>
      <c r="L1562" s="16"/>
      <c r="M1562" s="16"/>
      <c r="N1562" s="19"/>
    </row>
    <row r="1563" customFormat="false" ht="15" hidden="false" customHeight="false" outlineLevel="0" collapsed="false">
      <c r="A1563" s="13" t="s">
        <v>4376</v>
      </c>
      <c r="B1563" s="13" t="s">
        <v>329</v>
      </c>
      <c r="C1563" s="13" t="s">
        <v>43</v>
      </c>
      <c r="D1563" s="13" t="s">
        <v>2324</v>
      </c>
      <c r="E1563" s="13" t="s">
        <v>575</v>
      </c>
      <c r="F1563" s="13" t="n">
        <v>1</v>
      </c>
      <c r="G1563" s="13" t="n">
        <v>1</v>
      </c>
      <c r="H1563" s="5" t="n">
        <v>660</v>
      </c>
      <c r="I1563" s="7" t="n">
        <v>1</v>
      </c>
      <c r="J1563" s="16" t="n">
        <v>660</v>
      </c>
      <c r="K1563" s="16"/>
      <c r="L1563" s="16" t="n">
        <v>660</v>
      </c>
      <c r="M1563" s="16"/>
      <c r="N1563" s="19"/>
    </row>
    <row r="1564" customFormat="false" ht="15" hidden="false" customHeight="false" outlineLevel="0" collapsed="false">
      <c r="A1564" s="13" t="s">
        <v>4377</v>
      </c>
      <c r="B1564" s="13" t="s">
        <v>490</v>
      </c>
      <c r="C1564" s="13" t="s">
        <v>43</v>
      </c>
      <c r="D1564" s="13" t="s">
        <v>2422</v>
      </c>
      <c r="E1564" s="13" t="s">
        <v>1686</v>
      </c>
      <c r="F1564" s="13" t="n">
        <v>2</v>
      </c>
      <c r="G1564" s="13" t="n">
        <v>2</v>
      </c>
      <c r="H1564" s="5" t="n">
        <v>660</v>
      </c>
      <c r="I1564" s="7" t="n">
        <v>3</v>
      </c>
      <c r="J1564" s="16" t="n">
        <v>220</v>
      </c>
      <c r="K1564" s="16"/>
      <c r="L1564" s="16" t="n">
        <v>240</v>
      </c>
      <c r="M1564" s="16" t="n">
        <v>180</v>
      </c>
      <c r="N1564" s="19" t="n">
        <v>0.333333333333333</v>
      </c>
    </row>
    <row r="1565" customFormat="false" ht="15" hidden="false" customHeight="false" outlineLevel="0" collapsed="false">
      <c r="A1565" s="13" t="s">
        <v>4378</v>
      </c>
      <c r="B1565" s="13" t="s">
        <v>165</v>
      </c>
      <c r="C1565" s="13" t="s">
        <v>43</v>
      </c>
      <c r="D1565" s="13" t="s">
        <v>2324</v>
      </c>
      <c r="E1565" s="13" t="s">
        <v>1529</v>
      </c>
      <c r="F1565" s="13" t="n">
        <v>1</v>
      </c>
      <c r="G1565" s="13" t="n">
        <v>1</v>
      </c>
      <c r="H1565" s="5" t="n">
        <v>650</v>
      </c>
      <c r="I1565" s="7" t="n">
        <v>1</v>
      </c>
      <c r="J1565" s="16" t="n">
        <v>650</v>
      </c>
      <c r="K1565" s="16"/>
      <c r="L1565" s="16"/>
      <c r="M1565" s="16" t="n">
        <v>650</v>
      </c>
      <c r="N1565" s="19"/>
    </row>
    <row r="1566" customFormat="false" ht="15" hidden="false" customHeight="false" outlineLevel="0" collapsed="false">
      <c r="A1566" s="13" t="s">
        <v>4379</v>
      </c>
      <c r="B1566" s="13" t="s">
        <v>2176</v>
      </c>
      <c r="C1566" s="13" t="s">
        <v>43</v>
      </c>
      <c r="D1566" s="13" t="s">
        <v>2324</v>
      </c>
      <c r="E1566" s="13" t="s">
        <v>4380</v>
      </c>
      <c r="F1566" s="13" t="n">
        <v>1</v>
      </c>
      <c r="G1566" s="13" t="n">
        <v>1</v>
      </c>
      <c r="H1566" s="5" t="n">
        <v>650</v>
      </c>
      <c r="I1566" s="7" t="n">
        <v>2</v>
      </c>
      <c r="J1566" s="16" t="n">
        <v>325</v>
      </c>
      <c r="K1566" s="16"/>
      <c r="L1566" s="16" t="n">
        <v>325</v>
      </c>
      <c r="M1566" s="16"/>
      <c r="N1566" s="19"/>
    </row>
    <row r="1567" customFormat="false" ht="15" hidden="false" customHeight="false" outlineLevel="0" collapsed="false">
      <c r="A1567" s="13" t="s">
        <v>4381</v>
      </c>
      <c r="B1567" s="13" t="s">
        <v>2193</v>
      </c>
      <c r="C1567" s="13" t="s">
        <v>43</v>
      </c>
      <c r="D1567" s="13" t="s">
        <v>2339</v>
      </c>
      <c r="E1567" s="13" t="s">
        <v>4382</v>
      </c>
      <c r="F1567" s="13" t="n">
        <v>1</v>
      </c>
      <c r="G1567" s="13" t="n">
        <v>1</v>
      </c>
      <c r="H1567" s="5" t="n">
        <v>650</v>
      </c>
      <c r="I1567" s="7" t="n">
        <v>1</v>
      </c>
      <c r="J1567" s="16" t="n">
        <v>650</v>
      </c>
      <c r="K1567" s="16"/>
      <c r="L1567" s="16" t="n">
        <v>650</v>
      </c>
      <c r="M1567" s="16"/>
      <c r="N1567" s="19"/>
    </row>
    <row r="1568" customFormat="false" ht="15" hidden="false" customHeight="false" outlineLevel="0" collapsed="false">
      <c r="A1568" s="13" t="s">
        <v>4383</v>
      </c>
      <c r="B1568" s="13" t="s">
        <v>2193</v>
      </c>
      <c r="C1568" s="13" t="s">
        <v>43</v>
      </c>
      <c r="D1568" s="13" t="s">
        <v>2324</v>
      </c>
      <c r="E1568" s="13" t="s">
        <v>4384</v>
      </c>
      <c r="F1568" s="13" t="n">
        <v>1</v>
      </c>
      <c r="G1568" s="13" t="n">
        <v>1</v>
      </c>
      <c r="H1568" s="5" t="n">
        <v>650</v>
      </c>
      <c r="I1568" s="7" t="n">
        <v>1</v>
      </c>
      <c r="J1568" s="16" t="n">
        <v>650</v>
      </c>
      <c r="K1568" s="16"/>
      <c r="L1568" s="16" t="n">
        <v>650</v>
      </c>
      <c r="M1568" s="16"/>
      <c r="N1568" s="19"/>
    </row>
    <row r="1569" customFormat="false" ht="15" hidden="false" customHeight="false" outlineLevel="0" collapsed="false">
      <c r="A1569" s="13" t="s">
        <v>4385</v>
      </c>
      <c r="B1569" s="13" t="s">
        <v>2103</v>
      </c>
      <c r="C1569" s="13" t="s">
        <v>85</v>
      </c>
      <c r="D1569" s="13" t="s">
        <v>2324</v>
      </c>
      <c r="E1569" s="13" t="s">
        <v>3742</v>
      </c>
      <c r="F1569" s="13" t="n">
        <v>1</v>
      </c>
      <c r="G1569" s="13" t="n">
        <v>2</v>
      </c>
      <c r="H1569" s="5" t="n">
        <v>650</v>
      </c>
      <c r="I1569" s="7" t="n">
        <v>6</v>
      </c>
      <c r="J1569" s="16" t="n">
        <v>108.333333333333</v>
      </c>
      <c r="K1569" s="16"/>
      <c r="L1569" s="16"/>
      <c r="M1569" s="16" t="n">
        <v>108.333333333333</v>
      </c>
      <c r="N1569" s="19"/>
    </row>
    <row r="1570" customFormat="false" ht="15" hidden="false" customHeight="false" outlineLevel="0" collapsed="false">
      <c r="A1570" s="13" t="s">
        <v>4386</v>
      </c>
      <c r="B1570" s="13" t="s">
        <v>490</v>
      </c>
      <c r="C1570" s="13" t="s">
        <v>43</v>
      </c>
      <c r="D1570" s="13" t="s">
        <v>2500</v>
      </c>
      <c r="E1570" s="13" t="s">
        <v>1532</v>
      </c>
      <c r="F1570" s="13" t="n">
        <v>1</v>
      </c>
      <c r="G1570" s="13" t="n">
        <v>1</v>
      </c>
      <c r="H1570" s="5" t="n">
        <v>650</v>
      </c>
      <c r="I1570" s="7" t="n">
        <v>2</v>
      </c>
      <c r="J1570" s="16" t="n">
        <v>325</v>
      </c>
      <c r="K1570" s="16"/>
      <c r="L1570" s="16" t="n">
        <v>325</v>
      </c>
      <c r="M1570" s="16"/>
      <c r="N1570" s="19"/>
    </row>
    <row r="1571" customFormat="false" ht="15" hidden="false" customHeight="false" outlineLevel="0" collapsed="false">
      <c r="A1571" s="13" t="s">
        <v>4387</v>
      </c>
      <c r="B1571" s="13" t="s">
        <v>193</v>
      </c>
      <c r="C1571" s="13" t="s">
        <v>43</v>
      </c>
      <c r="D1571" s="13" t="s">
        <v>2324</v>
      </c>
      <c r="E1571" s="13" t="s">
        <v>238</v>
      </c>
      <c r="F1571" s="13" t="n">
        <v>1</v>
      </c>
      <c r="G1571" s="13" t="n">
        <v>1</v>
      </c>
      <c r="H1571" s="5" t="n">
        <v>650</v>
      </c>
      <c r="I1571" s="7" t="n">
        <v>1</v>
      </c>
      <c r="J1571" s="16" t="n">
        <v>650</v>
      </c>
      <c r="K1571" s="16"/>
      <c r="L1571" s="16"/>
      <c r="M1571" s="16" t="n">
        <v>650</v>
      </c>
      <c r="N1571" s="19"/>
    </row>
    <row r="1572" customFormat="false" ht="15" hidden="false" customHeight="false" outlineLevel="0" collapsed="false">
      <c r="A1572" s="13" t="s">
        <v>4388</v>
      </c>
      <c r="B1572" s="13" t="s">
        <v>61</v>
      </c>
      <c r="C1572" s="13" t="s">
        <v>183</v>
      </c>
      <c r="D1572" s="13" t="s">
        <v>2324</v>
      </c>
      <c r="E1572" s="13" t="s">
        <v>1534</v>
      </c>
      <c r="F1572" s="13" t="n">
        <v>1</v>
      </c>
      <c r="G1572" s="13" t="n">
        <v>1</v>
      </c>
      <c r="H1572" s="5" t="n">
        <v>650</v>
      </c>
      <c r="I1572" s="7" t="n">
        <v>1</v>
      </c>
      <c r="J1572" s="16" t="n">
        <v>650</v>
      </c>
      <c r="K1572" s="16"/>
      <c r="L1572" s="16"/>
      <c r="M1572" s="16" t="n">
        <v>650</v>
      </c>
      <c r="N1572" s="19"/>
    </row>
    <row r="1573" customFormat="false" ht="15" hidden="false" customHeight="false" outlineLevel="0" collapsed="false">
      <c r="A1573" s="13" t="s">
        <v>4389</v>
      </c>
      <c r="B1573" s="13" t="s">
        <v>42</v>
      </c>
      <c r="C1573" s="13" t="s">
        <v>43</v>
      </c>
      <c r="D1573" s="13" t="s">
        <v>2324</v>
      </c>
      <c r="E1573" s="13" t="s">
        <v>1526</v>
      </c>
      <c r="F1573" s="13" t="n">
        <v>1</v>
      </c>
      <c r="G1573" s="13" t="n">
        <v>1</v>
      </c>
      <c r="H1573" s="5" t="n">
        <v>650</v>
      </c>
      <c r="I1573" s="7" t="n">
        <v>2</v>
      </c>
      <c r="J1573" s="16" t="n">
        <v>325</v>
      </c>
      <c r="K1573" s="16"/>
      <c r="L1573" s="16"/>
      <c r="M1573" s="16" t="n">
        <v>325</v>
      </c>
      <c r="N1573" s="19"/>
    </row>
    <row r="1574" customFormat="false" ht="15" hidden="false" customHeight="false" outlineLevel="0" collapsed="false">
      <c r="A1574" s="13" t="s">
        <v>4390</v>
      </c>
      <c r="B1574" s="13" t="s">
        <v>2208</v>
      </c>
      <c r="C1574" s="13" t="s">
        <v>43</v>
      </c>
      <c r="D1574" s="13" t="s">
        <v>2339</v>
      </c>
      <c r="E1574" s="13" t="s">
        <v>4391</v>
      </c>
      <c r="F1574" s="13" t="n">
        <v>1</v>
      </c>
      <c r="G1574" s="13" t="n">
        <v>1</v>
      </c>
      <c r="H1574" s="5" t="n">
        <v>650</v>
      </c>
      <c r="I1574" s="7" t="n">
        <v>5</v>
      </c>
      <c r="J1574" s="16" t="n">
        <v>130</v>
      </c>
      <c r="K1574" s="16"/>
      <c r="L1574" s="16"/>
      <c r="M1574" s="16" t="n">
        <v>130</v>
      </c>
      <c r="N1574" s="19"/>
    </row>
    <row r="1575" customFormat="false" ht="15" hidden="false" customHeight="false" outlineLevel="0" collapsed="false">
      <c r="A1575" s="13" t="s">
        <v>4392</v>
      </c>
      <c r="B1575" s="13" t="s">
        <v>50</v>
      </c>
      <c r="C1575" s="13" t="s">
        <v>43</v>
      </c>
      <c r="D1575" s="13" t="s">
        <v>2500</v>
      </c>
      <c r="E1575" s="13" t="s">
        <v>1524</v>
      </c>
      <c r="F1575" s="13" t="n">
        <v>1</v>
      </c>
      <c r="G1575" s="13" t="n">
        <v>1</v>
      </c>
      <c r="H1575" s="5" t="n">
        <v>650</v>
      </c>
      <c r="I1575" s="7" t="n">
        <v>1</v>
      </c>
      <c r="J1575" s="16" t="n">
        <v>650</v>
      </c>
      <c r="K1575" s="16"/>
      <c r="L1575" s="16" t="n">
        <v>650</v>
      </c>
      <c r="M1575" s="16"/>
      <c r="N1575" s="19"/>
    </row>
    <row r="1576" customFormat="false" ht="15" hidden="false" customHeight="false" outlineLevel="0" collapsed="false">
      <c r="A1576" s="13" t="s">
        <v>4393</v>
      </c>
      <c r="B1576" s="13" t="s">
        <v>2208</v>
      </c>
      <c r="C1576" s="13" t="s">
        <v>43</v>
      </c>
      <c r="D1576" s="13" t="s">
        <v>2324</v>
      </c>
      <c r="E1576" s="13" t="s">
        <v>4394</v>
      </c>
      <c r="F1576" s="13" t="n">
        <v>1</v>
      </c>
      <c r="G1576" s="13" t="n">
        <v>2</v>
      </c>
      <c r="H1576" s="5" t="n">
        <v>650</v>
      </c>
      <c r="I1576" s="7" t="n">
        <v>3</v>
      </c>
      <c r="J1576" s="16" t="n">
        <v>216.666666666667</v>
      </c>
      <c r="K1576" s="16"/>
      <c r="L1576" s="16"/>
      <c r="M1576" s="16" t="n">
        <v>216.666666666667</v>
      </c>
      <c r="N1576" s="19"/>
    </row>
    <row r="1577" customFormat="false" ht="15" hidden="false" customHeight="false" outlineLevel="0" collapsed="false">
      <c r="A1577" s="13" t="s">
        <v>4395</v>
      </c>
      <c r="B1577" s="13" t="s">
        <v>191</v>
      </c>
      <c r="C1577" s="13" t="s">
        <v>183</v>
      </c>
      <c r="D1577" s="13" t="s">
        <v>2324</v>
      </c>
      <c r="E1577" s="13" t="s">
        <v>1528</v>
      </c>
      <c r="F1577" s="13" t="n">
        <v>1</v>
      </c>
      <c r="G1577" s="13" t="n">
        <v>1</v>
      </c>
      <c r="H1577" s="5" t="n">
        <v>650</v>
      </c>
      <c r="I1577" s="7" t="n">
        <v>5</v>
      </c>
      <c r="J1577" s="16" t="n">
        <v>130</v>
      </c>
      <c r="K1577" s="16" t="n">
        <v>130</v>
      </c>
      <c r="L1577" s="16"/>
      <c r="M1577" s="16"/>
      <c r="N1577" s="19"/>
    </row>
    <row r="1578" customFormat="false" ht="15" hidden="false" customHeight="false" outlineLevel="0" collapsed="false">
      <c r="A1578" s="13" t="s">
        <v>4396</v>
      </c>
      <c r="B1578" s="13" t="s">
        <v>45</v>
      </c>
      <c r="C1578" s="13" t="s">
        <v>43</v>
      </c>
      <c r="D1578" s="13" t="s">
        <v>2324</v>
      </c>
      <c r="E1578" s="13" t="s">
        <v>812</v>
      </c>
      <c r="F1578" s="13" t="n">
        <v>1</v>
      </c>
      <c r="G1578" s="13" t="n">
        <v>1</v>
      </c>
      <c r="H1578" s="5" t="n">
        <v>650</v>
      </c>
      <c r="I1578" s="7" t="n">
        <v>1</v>
      </c>
      <c r="J1578" s="16" t="n">
        <v>650</v>
      </c>
      <c r="K1578" s="16"/>
      <c r="L1578" s="16" t="n">
        <v>650</v>
      </c>
      <c r="M1578" s="16"/>
      <c r="N1578" s="19"/>
    </row>
    <row r="1579" customFormat="false" ht="15" hidden="false" customHeight="false" outlineLevel="0" collapsed="false">
      <c r="A1579" s="13" t="s">
        <v>4397</v>
      </c>
      <c r="B1579" s="13" t="s">
        <v>153</v>
      </c>
      <c r="C1579" s="13" t="s">
        <v>43</v>
      </c>
      <c r="D1579" s="13" t="s">
        <v>2337</v>
      </c>
      <c r="E1579" s="13" t="s">
        <v>1525</v>
      </c>
      <c r="F1579" s="13" t="n">
        <v>1</v>
      </c>
      <c r="G1579" s="13" t="n">
        <v>1</v>
      </c>
      <c r="H1579" s="5" t="n">
        <v>650</v>
      </c>
      <c r="I1579" s="7" t="n">
        <v>1</v>
      </c>
      <c r="J1579" s="16" t="n">
        <v>650</v>
      </c>
      <c r="K1579" s="16"/>
      <c r="L1579" s="16" t="n">
        <v>650</v>
      </c>
      <c r="M1579" s="16"/>
      <c r="N1579" s="19"/>
    </row>
    <row r="1580" customFormat="false" ht="15" hidden="false" customHeight="false" outlineLevel="0" collapsed="false">
      <c r="A1580" s="13" t="s">
        <v>4398</v>
      </c>
      <c r="B1580" s="13" t="s">
        <v>229</v>
      </c>
      <c r="C1580" s="13" t="s">
        <v>43</v>
      </c>
      <c r="D1580" s="13" t="s">
        <v>2339</v>
      </c>
      <c r="E1580" s="13" t="s">
        <v>1855</v>
      </c>
      <c r="F1580" s="13" t="n">
        <v>1</v>
      </c>
      <c r="G1580" s="13" t="n">
        <v>2</v>
      </c>
      <c r="H1580" s="5" t="n">
        <v>640</v>
      </c>
      <c r="I1580" s="7" t="n">
        <v>2</v>
      </c>
      <c r="J1580" s="16" t="n">
        <v>320</v>
      </c>
      <c r="K1580" s="16"/>
      <c r="L1580" s="16" t="n">
        <v>320</v>
      </c>
      <c r="M1580" s="16"/>
      <c r="N1580" s="19"/>
    </row>
    <row r="1581" customFormat="false" ht="15" hidden="false" customHeight="false" outlineLevel="0" collapsed="false">
      <c r="A1581" s="13" t="s">
        <v>4399</v>
      </c>
      <c r="B1581" s="13" t="s">
        <v>177</v>
      </c>
      <c r="C1581" s="13" t="s">
        <v>43</v>
      </c>
      <c r="D1581" s="13" t="s">
        <v>2324</v>
      </c>
      <c r="E1581" s="13" t="s">
        <v>1544</v>
      </c>
      <c r="F1581" s="13" t="n">
        <v>1</v>
      </c>
      <c r="G1581" s="13" t="n">
        <v>1</v>
      </c>
      <c r="H1581" s="5" t="n">
        <v>640</v>
      </c>
      <c r="I1581" s="7" t="n">
        <v>1</v>
      </c>
      <c r="J1581" s="16" t="n">
        <v>640</v>
      </c>
      <c r="K1581" s="16"/>
      <c r="L1581" s="16"/>
      <c r="M1581" s="16" t="n">
        <v>640</v>
      </c>
      <c r="N1581" s="19"/>
    </row>
    <row r="1582" customFormat="false" ht="15" hidden="false" customHeight="false" outlineLevel="0" collapsed="false">
      <c r="A1582" s="13" t="s">
        <v>4400</v>
      </c>
      <c r="B1582" s="13" t="s">
        <v>186</v>
      </c>
      <c r="C1582" s="13" t="s">
        <v>43</v>
      </c>
      <c r="D1582" s="13" t="s">
        <v>2324</v>
      </c>
      <c r="E1582" s="13" t="s">
        <v>1537</v>
      </c>
      <c r="F1582" s="13" t="n">
        <v>1</v>
      </c>
      <c r="G1582" s="13" t="n">
        <v>1</v>
      </c>
      <c r="H1582" s="5" t="n">
        <v>640</v>
      </c>
      <c r="I1582" s="7" t="n">
        <v>1</v>
      </c>
      <c r="J1582" s="16" t="n">
        <v>640</v>
      </c>
      <c r="K1582" s="16"/>
      <c r="L1582" s="16" t="n">
        <v>640</v>
      </c>
      <c r="M1582" s="16"/>
      <c r="N1582" s="19"/>
    </row>
    <row r="1583" customFormat="false" ht="15" hidden="false" customHeight="false" outlineLevel="0" collapsed="false">
      <c r="A1583" s="13" t="s">
        <v>4401</v>
      </c>
      <c r="B1583" s="13" t="s">
        <v>195</v>
      </c>
      <c r="C1583" s="13" t="s">
        <v>43</v>
      </c>
      <c r="D1583" s="13" t="s">
        <v>2500</v>
      </c>
      <c r="E1583" s="13" t="s">
        <v>1535</v>
      </c>
      <c r="F1583" s="13" t="n">
        <v>1</v>
      </c>
      <c r="G1583" s="13" t="n">
        <v>1</v>
      </c>
      <c r="H1583" s="5" t="n">
        <v>640</v>
      </c>
      <c r="I1583" s="7" t="n">
        <v>2</v>
      </c>
      <c r="J1583" s="16" t="n">
        <v>320</v>
      </c>
      <c r="K1583" s="16"/>
      <c r="L1583" s="16"/>
      <c r="M1583" s="16" t="n">
        <v>320</v>
      </c>
      <c r="N1583" s="19"/>
    </row>
    <row r="1584" customFormat="false" ht="15" hidden="false" customHeight="false" outlineLevel="0" collapsed="false">
      <c r="A1584" s="13" t="s">
        <v>4402</v>
      </c>
      <c r="B1584" s="13" t="s">
        <v>302</v>
      </c>
      <c r="C1584" s="13" t="s">
        <v>43</v>
      </c>
      <c r="D1584" s="13" t="s">
        <v>2500</v>
      </c>
      <c r="E1584" s="13" t="s">
        <v>1540</v>
      </c>
      <c r="F1584" s="13" t="n">
        <v>1</v>
      </c>
      <c r="G1584" s="13" t="n">
        <v>1</v>
      </c>
      <c r="H1584" s="5" t="n">
        <v>640</v>
      </c>
      <c r="I1584" s="7" t="n">
        <v>1</v>
      </c>
      <c r="J1584" s="16" t="n">
        <v>640</v>
      </c>
      <c r="K1584" s="16"/>
      <c r="L1584" s="16"/>
      <c r="M1584" s="16" t="n">
        <v>640</v>
      </c>
      <c r="N1584" s="19"/>
    </row>
    <row r="1585" customFormat="false" ht="15" hidden="false" customHeight="false" outlineLevel="0" collapsed="false">
      <c r="A1585" s="13" t="s">
        <v>4403</v>
      </c>
      <c r="B1585" s="13" t="s">
        <v>2220</v>
      </c>
      <c r="C1585" s="13" t="s">
        <v>43</v>
      </c>
      <c r="D1585" s="13" t="s">
        <v>2324</v>
      </c>
      <c r="E1585" s="13" t="s">
        <v>4404</v>
      </c>
      <c r="F1585" s="13" t="n">
        <v>1</v>
      </c>
      <c r="G1585" s="13" t="n">
        <v>1</v>
      </c>
      <c r="H1585" s="5" t="n">
        <v>630</v>
      </c>
      <c r="I1585" s="7" t="n">
        <v>1</v>
      </c>
      <c r="J1585" s="16" t="n">
        <v>630</v>
      </c>
      <c r="K1585" s="16"/>
      <c r="L1585" s="16" t="n">
        <v>630</v>
      </c>
      <c r="M1585" s="16"/>
      <c r="N1585" s="19"/>
    </row>
    <row r="1586" customFormat="false" ht="15" hidden="false" customHeight="false" outlineLevel="0" collapsed="false">
      <c r="A1586" s="13" t="s">
        <v>4405</v>
      </c>
      <c r="B1586" s="13" t="s">
        <v>302</v>
      </c>
      <c r="C1586" s="13" t="s">
        <v>43</v>
      </c>
      <c r="D1586" s="13" t="s">
        <v>2339</v>
      </c>
      <c r="E1586" s="13" t="s">
        <v>1555</v>
      </c>
      <c r="F1586" s="13" t="n">
        <v>1</v>
      </c>
      <c r="G1586" s="13" t="n">
        <v>1</v>
      </c>
      <c r="H1586" s="5" t="n">
        <v>630</v>
      </c>
      <c r="I1586" s="7" t="n">
        <v>1</v>
      </c>
      <c r="J1586" s="16" t="n">
        <v>630</v>
      </c>
      <c r="K1586" s="16" t="n">
        <v>630</v>
      </c>
      <c r="L1586" s="16"/>
      <c r="M1586" s="16"/>
      <c r="N1586" s="19"/>
    </row>
    <row r="1587" customFormat="false" ht="15" hidden="false" customHeight="false" outlineLevel="0" collapsed="false">
      <c r="A1587" s="13" t="s">
        <v>4406</v>
      </c>
      <c r="B1587" s="13" t="s">
        <v>193</v>
      </c>
      <c r="C1587" s="13" t="s">
        <v>43</v>
      </c>
      <c r="D1587" s="13" t="s">
        <v>2324</v>
      </c>
      <c r="E1587" s="13" t="s">
        <v>295</v>
      </c>
      <c r="F1587" s="13" t="n">
        <v>1</v>
      </c>
      <c r="G1587" s="13" t="n">
        <v>1</v>
      </c>
      <c r="H1587" s="5" t="n">
        <v>630</v>
      </c>
      <c r="I1587" s="7" t="n">
        <v>1</v>
      </c>
      <c r="J1587" s="16" t="n">
        <v>630</v>
      </c>
      <c r="K1587" s="16"/>
      <c r="L1587" s="16"/>
      <c r="M1587" s="16" t="n">
        <v>630</v>
      </c>
      <c r="N1587" s="19"/>
    </row>
    <row r="1588" customFormat="false" ht="15" hidden="false" customHeight="false" outlineLevel="0" collapsed="false">
      <c r="A1588" s="13" t="s">
        <v>4407</v>
      </c>
      <c r="B1588" s="13" t="s">
        <v>2099</v>
      </c>
      <c r="C1588" s="13" t="s">
        <v>43</v>
      </c>
      <c r="D1588" s="13" t="s">
        <v>2324</v>
      </c>
      <c r="E1588" s="13" t="s">
        <v>4408</v>
      </c>
      <c r="F1588" s="13" t="n">
        <v>1</v>
      </c>
      <c r="G1588" s="13" t="n">
        <v>1</v>
      </c>
      <c r="H1588" s="5" t="n">
        <v>630</v>
      </c>
      <c r="I1588" s="7" t="n">
        <v>5</v>
      </c>
      <c r="J1588" s="16" t="n">
        <v>126</v>
      </c>
      <c r="K1588" s="16" t="n">
        <v>126</v>
      </c>
      <c r="L1588" s="16"/>
      <c r="M1588" s="16"/>
      <c r="N1588" s="19"/>
    </row>
    <row r="1589" customFormat="false" ht="15" hidden="false" customHeight="false" outlineLevel="0" collapsed="false">
      <c r="A1589" s="13" t="s">
        <v>4409</v>
      </c>
      <c r="B1589" s="13" t="s">
        <v>2146</v>
      </c>
      <c r="C1589" s="13" t="s">
        <v>183</v>
      </c>
      <c r="D1589" s="13" t="s">
        <v>2324</v>
      </c>
      <c r="E1589" s="13" t="s">
        <v>4410</v>
      </c>
      <c r="F1589" s="13" t="n">
        <v>1</v>
      </c>
      <c r="G1589" s="13" t="n">
        <v>1</v>
      </c>
      <c r="H1589" s="5" t="n">
        <v>630</v>
      </c>
      <c r="I1589" s="7" t="n">
        <v>20</v>
      </c>
      <c r="J1589" s="16" t="n">
        <v>31.5</v>
      </c>
      <c r="K1589" s="16" t="n">
        <v>31.5</v>
      </c>
      <c r="L1589" s="16"/>
      <c r="M1589" s="16"/>
      <c r="N1589" s="19"/>
    </row>
    <row r="1590" customFormat="false" ht="15" hidden="false" customHeight="false" outlineLevel="0" collapsed="false">
      <c r="A1590" s="13" t="s">
        <v>4411</v>
      </c>
      <c r="B1590" s="13" t="s">
        <v>2124</v>
      </c>
      <c r="C1590" s="13" t="s">
        <v>43</v>
      </c>
      <c r="D1590" s="13" t="s">
        <v>2339</v>
      </c>
      <c r="E1590" s="13" t="s">
        <v>4412</v>
      </c>
      <c r="F1590" s="13" t="n">
        <v>1</v>
      </c>
      <c r="G1590" s="13" t="n">
        <v>1</v>
      </c>
      <c r="H1590" s="5" t="n">
        <v>630</v>
      </c>
      <c r="I1590" s="7" t="n">
        <v>5</v>
      </c>
      <c r="J1590" s="16" t="n">
        <v>126</v>
      </c>
      <c r="K1590" s="16" t="n">
        <v>126</v>
      </c>
      <c r="L1590" s="16"/>
      <c r="M1590" s="16"/>
      <c r="N1590" s="19"/>
    </row>
    <row r="1591" customFormat="false" ht="15" hidden="false" customHeight="false" outlineLevel="0" collapsed="false">
      <c r="A1591" s="13" t="s">
        <v>4413</v>
      </c>
      <c r="B1591" s="13" t="s">
        <v>42</v>
      </c>
      <c r="C1591" s="13" t="s">
        <v>43</v>
      </c>
      <c r="D1591" s="13" t="s">
        <v>2324</v>
      </c>
      <c r="E1591" s="13" t="s">
        <v>1552</v>
      </c>
      <c r="F1591" s="13" t="n">
        <v>1</v>
      </c>
      <c r="G1591" s="13" t="n">
        <v>1</v>
      </c>
      <c r="H1591" s="5" t="n">
        <v>630</v>
      </c>
      <c r="I1591" s="7" t="n">
        <v>1</v>
      </c>
      <c r="J1591" s="16" t="n">
        <v>630</v>
      </c>
      <c r="K1591" s="16"/>
      <c r="L1591" s="16" t="n">
        <v>630</v>
      </c>
      <c r="M1591" s="16"/>
      <c r="N1591" s="19"/>
    </row>
    <row r="1592" customFormat="false" ht="15" hidden="false" customHeight="false" outlineLevel="0" collapsed="false">
      <c r="A1592" s="13" t="s">
        <v>4414</v>
      </c>
      <c r="B1592" s="13" t="s">
        <v>2226</v>
      </c>
      <c r="C1592" s="13" t="s">
        <v>85</v>
      </c>
      <c r="D1592" s="13" t="s">
        <v>2324</v>
      </c>
      <c r="E1592" s="13" t="s">
        <v>4415</v>
      </c>
      <c r="F1592" s="13" t="n">
        <v>1</v>
      </c>
      <c r="G1592" s="13" t="n">
        <v>1</v>
      </c>
      <c r="H1592" s="5" t="n">
        <v>630</v>
      </c>
      <c r="I1592" s="7" t="n">
        <v>10</v>
      </c>
      <c r="J1592" s="16" t="n">
        <v>63</v>
      </c>
      <c r="K1592" s="16" t="n">
        <v>63</v>
      </c>
      <c r="L1592" s="16"/>
      <c r="M1592" s="16"/>
      <c r="N1592" s="19"/>
    </row>
    <row r="1593" customFormat="false" ht="15" hidden="false" customHeight="false" outlineLevel="0" collapsed="false">
      <c r="A1593" s="13" t="s">
        <v>4416</v>
      </c>
      <c r="B1593" s="13" t="s">
        <v>107</v>
      </c>
      <c r="C1593" s="13" t="s">
        <v>43</v>
      </c>
      <c r="D1593" s="13" t="s">
        <v>2422</v>
      </c>
      <c r="E1593" s="13" t="s">
        <v>1919</v>
      </c>
      <c r="F1593" s="13" t="n">
        <v>1</v>
      </c>
      <c r="G1593" s="13" t="n">
        <v>3</v>
      </c>
      <c r="H1593" s="5" t="n">
        <v>630</v>
      </c>
      <c r="I1593" s="7" t="n">
        <v>5</v>
      </c>
      <c r="J1593" s="16" t="n">
        <v>126</v>
      </c>
      <c r="K1593" s="16"/>
      <c r="L1593" s="16"/>
      <c r="M1593" s="16" t="n">
        <v>126</v>
      </c>
      <c r="N1593" s="19"/>
    </row>
    <row r="1594" customFormat="false" ht="15" hidden="false" customHeight="false" outlineLevel="0" collapsed="false">
      <c r="A1594" s="13" t="s">
        <v>4417</v>
      </c>
      <c r="B1594" s="13" t="s">
        <v>2106</v>
      </c>
      <c r="C1594" s="13" t="s">
        <v>98</v>
      </c>
      <c r="D1594" s="13" t="s">
        <v>2324</v>
      </c>
      <c r="E1594" s="13" t="s">
        <v>4418</v>
      </c>
      <c r="F1594" s="13" t="n">
        <v>1</v>
      </c>
      <c r="G1594" s="13" t="n">
        <v>1</v>
      </c>
      <c r="H1594" s="5" t="n">
        <v>630</v>
      </c>
      <c r="I1594" s="7" t="n">
        <v>2</v>
      </c>
      <c r="J1594" s="16" t="n">
        <v>315</v>
      </c>
      <c r="K1594" s="16" t="n">
        <v>315</v>
      </c>
      <c r="L1594" s="16"/>
      <c r="M1594" s="16"/>
      <c r="N1594" s="19"/>
    </row>
    <row r="1595" customFormat="false" ht="15" hidden="false" customHeight="false" outlineLevel="0" collapsed="false">
      <c r="A1595" s="13" t="s">
        <v>4419</v>
      </c>
      <c r="B1595" s="13" t="s">
        <v>365</v>
      </c>
      <c r="C1595" s="13" t="s">
        <v>43</v>
      </c>
      <c r="D1595" s="13" t="s">
        <v>2324</v>
      </c>
      <c r="E1595" s="13" t="s">
        <v>1554</v>
      </c>
      <c r="F1595" s="13" t="n">
        <v>1</v>
      </c>
      <c r="G1595" s="13" t="n">
        <v>1</v>
      </c>
      <c r="H1595" s="5" t="n">
        <v>630</v>
      </c>
      <c r="I1595" s="7" t="n">
        <v>5</v>
      </c>
      <c r="J1595" s="16" t="n">
        <v>126</v>
      </c>
      <c r="K1595" s="16" t="n">
        <v>126</v>
      </c>
      <c r="L1595" s="16"/>
      <c r="M1595" s="16"/>
      <c r="N1595" s="19"/>
    </row>
    <row r="1596" customFormat="false" ht="15" hidden="false" customHeight="false" outlineLevel="0" collapsed="false">
      <c r="A1596" s="13" t="s">
        <v>4420</v>
      </c>
      <c r="B1596" s="13" t="s">
        <v>2110</v>
      </c>
      <c r="C1596" s="13" t="s">
        <v>43</v>
      </c>
      <c r="D1596" s="13" t="s">
        <v>2339</v>
      </c>
      <c r="E1596" s="13" t="s">
        <v>4421</v>
      </c>
      <c r="F1596" s="13" t="n">
        <v>1</v>
      </c>
      <c r="G1596" s="13" t="n">
        <v>1</v>
      </c>
      <c r="H1596" s="5" t="n">
        <v>620</v>
      </c>
      <c r="I1596" s="7" t="n">
        <v>1</v>
      </c>
      <c r="J1596" s="16" t="n">
        <v>620</v>
      </c>
      <c r="K1596" s="16"/>
      <c r="L1596" s="16" t="n">
        <v>620</v>
      </c>
      <c r="M1596" s="16"/>
      <c r="N1596" s="19"/>
    </row>
    <row r="1597" customFormat="false" ht="15" hidden="false" customHeight="false" outlineLevel="0" collapsed="false">
      <c r="A1597" s="13" t="s">
        <v>4422</v>
      </c>
      <c r="B1597" s="13" t="s">
        <v>124</v>
      </c>
      <c r="C1597" s="13" t="s">
        <v>43</v>
      </c>
      <c r="D1597" s="13" t="s">
        <v>2324</v>
      </c>
      <c r="E1597" s="13" t="s">
        <v>1372</v>
      </c>
      <c r="F1597" s="13" t="n">
        <v>1</v>
      </c>
      <c r="G1597" s="13" t="n">
        <v>1</v>
      </c>
      <c r="H1597" s="5" t="n">
        <v>620</v>
      </c>
      <c r="I1597" s="7" t="n">
        <v>1</v>
      </c>
      <c r="J1597" s="16" t="n">
        <v>620</v>
      </c>
      <c r="K1597" s="16"/>
      <c r="L1597" s="16"/>
      <c r="M1597" s="16" t="n">
        <v>620</v>
      </c>
      <c r="N1597" s="19"/>
    </row>
    <row r="1598" customFormat="false" ht="15" hidden="false" customHeight="false" outlineLevel="0" collapsed="false">
      <c r="A1598" s="13" t="s">
        <v>4423</v>
      </c>
      <c r="B1598" s="13" t="s">
        <v>186</v>
      </c>
      <c r="C1598" s="13" t="s">
        <v>43</v>
      </c>
      <c r="D1598" s="13" t="s">
        <v>2324</v>
      </c>
      <c r="E1598" s="13" t="s">
        <v>571</v>
      </c>
      <c r="F1598" s="13" t="n">
        <v>1</v>
      </c>
      <c r="G1598" s="13" t="n">
        <v>1</v>
      </c>
      <c r="H1598" s="5" t="n">
        <v>620</v>
      </c>
      <c r="I1598" s="7" t="n">
        <v>1</v>
      </c>
      <c r="J1598" s="16" t="n">
        <v>620</v>
      </c>
      <c r="K1598" s="16"/>
      <c r="L1598" s="16" t="n">
        <v>620</v>
      </c>
      <c r="M1598" s="16"/>
      <c r="N1598" s="19"/>
    </row>
    <row r="1599" customFormat="false" ht="15" hidden="false" customHeight="false" outlineLevel="0" collapsed="false">
      <c r="A1599" s="13" t="s">
        <v>4424</v>
      </c>
      <c r="B1599" s="13" t="s">
        <v>50</v>
      </c>
      <c r="C1599" s="13" t="s">
        <v>43</v>
      </c>
      <c r="D1599" s="13" t="s">
        <v>2324</v>
      </c>
      <c r="E1599" s="13" t="s">
        <v>1559</v>
      </c>
      <c r="F1599" s="13" t="n">
        <v>1</v>
      </c>
      <c r="G1599" s="13" t="n">
        <v>1</v>
      </c>
      <c r="H1599" s="5" t="n">
        <v>620</v>
      </c>
      <c r="I1599" s="7" t="n">
        <v>1</v>
      </c>
      <c r="J1599" s="16" t="n">
        <v>620</v>
      </c>
      <c r="K1599" s="16"/>
      <c r="L1599" s="16"/>
      <c r="M1599" s="16" t="n">
        <v>620</v>
      </c>
      <c r="N1599" s="19"/>
    </row>
    <row r="1600" customFormat="false" ht="15" hidden="false" customHeight="false" outlineLevel="0" collapsed="false">
      <c r="A1600" s="13" t="s">
        <v>4425</v>
      </c>
      <c r="B1600" s="13" t="s">
        <v>2246</v>
      </c>
      <c r="C1600" s="13" t="s">
        <v>43</v>
      </c>
      <c r="D1600" s="13" t="s">
        <v>2324</v>
      </c>
      <c r="E1600" s="13" t="s">
        <v>4426</v>
      </c>
      <c r="F1600" s="13" t="n">
        <v>1</v>
      </c>
      <c r="G1600" s="13" t="n">
        <v>1</v>
      </c>
      <c r="H1600" s="5" t="n">
        <v>620</v>
      </c>
      <c r="I1600" s="7" t="n">
        <v>2</v>
      </c>
      <c r="J1600" s="16" t="n">
        <v>310</v>
      </c>
      <c r="K1600" s="16"/>
      <c r="L1600" s="16"/>
      <c r="M1600" s="16" t="n">
        <v>310</v>
      </c>
      <c r="N1600" s="19"/>
    </row>
    <row r="1601" customFormat="false" ht="15" hidden="false" customHeight="false" outlineLevel="0" collapsed="false">
      <c r="A1601" s="13" t="s">
        <v>4427</v>
      </c>
      <c r="B1601" s="13" t="s">
        <v>61</v>
      </c>
      <c r="C1601" s="13" t="s">
        <v>43</v>
      </c>
      <c r="D1601" s="13" t="s">
        <v>2324</v>
      </c>
      <c r="E1601" s="13" t="s">
        <v>1563</v>
      </c>
      <c r="F1601" s="13" t="n">
        <v>1</v>
      </c>
      <c r="G1601" s="13" t="n">
        <v>1</v>
      </c>
      <c r="H1601" s="5" t="n">
        <v>620</v>
      </c>
      <c r="I1601" s="7" t="n">
        <v>1</v>
      </c>
      <c r="J1601" s="16" t="n">
        <v>620</v>
      </c>
      <c r="K1601" s="16"/>
      <c r="L1601" s="16"/>
      <c r="M1601" s="16" t="n">
        <v>620</v>
      </c>
      <c r="N1601" s="19"/>
    </row>
    <row r="1602" customFormat="false" ht="15" hidden="false" customHeight="false" outlineLevel="0" collapsed="false">
      <c r="A1602" s="13" t="s">
        <v>4428</v>
      </c>
      <c r="B1602" s="13" t="s">
        <v>45</v>
      </c>
      <c r="C1602" s="13" t="s">
        <v>43</v>
      </c>
      <c r="D1602" s="13" t="s">
        <v>2324</v>
      </c>
      <c r="E1602" s="13" t="s">
        <v>1557</v>
      </c>
      <c r="F1602" s="13" t="n">
        <v>1</v>
      </c>
      <c r="G1602" s="13" t="n">
        <v>1</v>
      </c>
      <c r="H1602" s="5" t="n">
        <v>620</v>
      </c>
      <c r="I1602" s="7" t="n">
        <v>1</v>
      </c>
      <c r="J1602" s="16" t="n">
        <v>620</v>
      </c>
      <c r="K1602" s="16"/>
      <c r="L1602" s="16"/>
      <c r="M1602" s="16" t="n">
        <v>620</v>
      </c>
      <c r="N1602" s="19"/>
    </row>
    <row r="1603" customFormat="false" ht="15" hidden="false" customHeight="false" outlineLevel="0" collapsed="false">
      <c r="A1603" s="13" t="s">
        <v>4429</v>
      </c>
      <c r="B1603" s="13" t="s">
        <v>2181</v>
      </c>
      <c r="C1603" s="13" t="s">
        <v>43</v>
      </c>
      <c r="D1603" s="13" t="s">
        <v>2339</v>
      </c>
      <c r="E1603" s="13" t="s">
        <v>4430</v>
      </c>
      <c r="F1603" s="13" t="n">
        <v>1</v>
      </c>
      <c r="G1603" s="13" t="n">
        <v>1</v>
      </c>
      <c r="H1603" s="5" t="n">
        <v>620</v>
      </c>
      <c r="I1603" s="7" t="n">
        <v>1</v>
      </c>
      <c r="J1603" s="16" t="n">
        <v>620</v>
      </c>
      <c r="K1603" s="16"/>
      <c r="L1603" s="16" t="n">
        <v>620</v>
      </c>
      <c r="M1603" s="16"/>
      <c r="N1603" s="19"/>
    </row>
    <row r="1604" customFormat="false" ht="15" hidden="false" customHeight="false" outlineLevel="0" collapsed="false">
      <c r="A1604" s="13" t="s">
        <v>4431</v>
      </c>
      <c r="B1604" s="13" t="s">
        <v>2122</v>
      </c>
      <c r="C1604" s="13" t="s">
        <v>43</v>
      </c>
      <c r="D1604" s="13" t="s">
        <v>2324</v>
      </c>
      <c r="E1604" s="13" t="s">
        <v>4432</v>
      </c>
      <c r="F1604" s="13" t="n">
        <v>1</v>
      </c>
      <c r="G1604" s="13" t="n">
        <v>1</v>
      </c>
      <c r="H1604" s="5" t="n">
        <v>620</v>
      </c>
      <c r="I1604" s="7" t="n">
        <v>2</v>
      </c>
      <c r="J1604" s="16" t="n">
        <v>310</v>
      </c>
      <c r="K1604" s="16" t="n">
        <v>310</v>
      </c>
      <c r="L1604" s="16"/>
      <c r="M1604" s="16"/>
      <c r="N1604" s="19"/>
    </row>
    <row r="1605" customFormat="false" ht="15" hidden="false" customHeight="false" outlineLevel="0" collapsed="false">
      <c r="A1605" s="13" t="s">
        <v>4433</v>
      </c>
      <c r="B1605" s="13" t="s">
        <v>365</v>
      </c>
      <c r="C1605" s="13" t="s">
        <v>43</v>
      </c>
      <c r="D1605" s="13" t="s">
        <v>2324</v>
      </c>
      <c r="E1605" s="13" t="s">
        <v>1578</v>
      </c>
      <c r="F1605" s="13" t="n">
        <v>1</v>
      </c>
      <c r="G1605" s="13" t="n">
        <v>1</v>
      </c>
      <c r="H1605" s="5" t="n">
        <v>610</v>
      </c>
      <c r="I1605" s="7" t="n">
        <v>5</v>
      </c>
      <c r="J1605" s="16" t="n">
        <v>122</v>
      </c>
      <c r="K1605" s="16" t="n">
        <v>122</v>
      </c>
      <c r="L1605" s="16"/>
      <c r="M1605" s="16"/>
      <c r="N1605" s="19"/>
    </row>
    <row r="1606" customFormat="false" ht="15" hidden="false" customHeight="false" outlineLevel="0" collapsed="false">
      <c r="A1606" s="13" t="s">
        <v>4434</v>
      </c>
      <c r="B1606" s="13" t="s">
        <v>229</v>
      </c>
      <c r="C1606" s="13" t="s">
        <v>43</v>
      </c>
      <c r="D1606" s="13" t="s">
        <v>2324</v>
      </c>
      <c r="E1606" s="13" t="s">
        <v>1584</v>
      </c>
      <c r="F1606" s="13" t="n">
        <v>1</v>
      </c>
      <c r="G1606" s="13" t="n">
        <v>1</v>
      </c>
      <c r="H1606" s="5" t="n">
        <v>610</v>
      </c>
      <c r="I1606" s="7" t="n">
        <v>2</v>
      </c>
      <c r="J1606" s="16" t="n">
        <v>305</v>
      </c>
      <c r="K1606" s="16"/>
      <c r="L1606" s="16" t="n">
        <v>305</v>
      </c>
      <c r="M1606" s="16"/>
      <c r="N1606" s="19"/>
    </row>
    <row r="1607" customFormat="false" ht="15" hidden="false" customHeight="false" outlineLevel="0" collapsed="false">
      <c r="A1607" s="13" t="s">
        <v>4435</v>
      </c>
      <c r="B1607" s="13" t="s">
        <v>186</v>
      </c>
      <c r="C1607" s="13" t="s">
        <v>43</v>
      </c>
      <c r="D1607" s="13" t="s">
        <v>2339</v>
      </c>
      <c r="E1607" s="13" t="s">
        <v>1863</v>
      </c>
      <c r="F1607" s="13" t="n">
        <v>1</v>
      </c>
      <c r="G1607" s="13" t="n">
        <v>2</v>
      </c>
      <c r="H1607" s="5" t="n">
        <v>610</v>
      </c>
      <c r="I1607" s="7" t="n">
        <v>2</v>
      </c>
      <c r="J1607" s="16" t="n">
        <v>305</v>
      </c>
      <c r="K1607" s="16"/>
      <c r="L1607" s="16" t="n">
        <v>305</v>
      </c>
      <c r="M1607" s="16"/>
      <c r="N1607" s="19"/>
    </row>
    <row r="1608" customFormat="false" ht="15" hidden="false" customHeight="false" outlineLevel="0" collapsed="false">
      <c r="A1608" s="13" t="s">
        <v>4436</v>
      </c>
      <c r="B1608" s="13" t="s">
        <v>79</v>
      </c>
      <c r="C1608" s="13" t="s">
        <v>43</v>
      </c>
      <c r="D1608" s="13" t="s">
        <v>2324</v>
      </c>
      <c r="E1608" s="13" t="s">
        <v>1569</v>
      </c>
      <c r="F1608" s="13" t="n">
        <v>1</v>
      </c>
      <c r="G1608" s="13" t="n">
        <v>1</v>
      </c>
      <c r="H1608" s="5" t="n">
        <v>610</v>
      </c>
      <c r="I1608" s="7" t="n">
        <v>1</v>
      </c>
      <c r="J1608" s="16" t="n">
        <v>610</v>
      </c>
      <c r="K1608" s="16"/>
      <c r="L1608" s="16"/>
      <c r="M1608" s="16" t="n">
        <v>610</v>
      </c>
      <c r="N1608" s="19"/>
    </row>
    <row r="1609" customFormat="false" ht="15" hidden="false" customHeight="false" outlineLevel="0" collapsed="false">
      <c r="A1609" s="13" t="s">
        <v>4437</v>
      </c>
      <c r="B1609" s="13" t="s">
        <v>2139</v>
      </c>
      <c r="C1609" s="13" t="s">
        <v>43</v>
      </c>
      <c r="D1609" s="13" t="s">
        <v>2324</v>
      </c>
      <c r="E1609" s="13" t="s">
        <v>4438</v>
      </c>
      <c r="F1609" s="13" t="n">
        <v>1</v>
      </c>
      <c r="G1609" s="13" t="n">
        <v>1</v>
      </c>
      <c r="H1609" s="5" t="n">
        <v>610</v>
      </c>
      <c r="I1609" s="7" t="n">
        <v>2</v>
      </c>
      <c r="J1609" s="16" t="n">
        <v>305</v>
      </c>
      <c r="K1609" s="16"/>
      <c r="L1609" s="16"/>
      <c r="M1609" s="16" t="n">
        <v>305</v>
      </c>
      <c r="N1609" s="19"/>
    </row>
    <row r="1610" customFormat="false" ht="15" hidden="false" customHeight="false" outlineLevel="0" collapsed="false">
      <c r="A1610" s="13" t="s">
        <v>4439</v>
      </c>
      <c r="B1610" s="13" t="s">
        <v>50</v>
      </c>
      <c r="C1610" s="13" t="s">
        <v>43</v>
      </c>
      <c r="D1610" s="13" t="s">
        <v>2324</v>
      </c>
      <c r="E1610" s="13" t="s">
        <v>1582</v>
      </c>
      <c r="F1610" s="13" t="n">
        <v>1</v>
      </c>
      <c r="G1610" s="13" t="n">
        <v>1</v>
      </c>
      <c r="H1610" s="5" t="n">
        <v>610</v>
      </c>
      <c r="I1610" s="7" t="n">
        <v>1</v>
      </c>
      <c r="J1610" s="16" t="n">
        <v>610</v>
      </c>
      <c r="K1610" s="16"/>
      <c r="L1610" s="16" t="n">
        <v>610</v>
      </c>
      <c r="M1610" s="16"/>
      <c r="N1610" s="19"/>
    </row>
    <row r="1611" customFormat="false" ht="15" hidden="false" customHeight="false" outlineLevel="0" collapsed="false">
      <c r="A1611" s="13" t="s">
        <v>4440</v>
      </c>
      <c r="B1611" s="13" t="s">
        <v>2141</v>
      </c>
      <c r="C1611" s="13" t="s">
        <v>43</v>
      </c>
      <c r="D1611" s="13" t="s">
        <v>2324</v>
      </c>
      <c r="E1611" s="13" t="s">
        <v>4441</v>
      </c>
      <c r="F1611" s="13" t="n">
        <v>1</v>
      </c>
      <c r="G1611" s="13" t="n">
        <v>1</v>
      </c>
      <c r="H1611" s="5" t="n">
        <v>610</v>
      </c>
      <c r="I1611" s="7" t="n">
        <v>5</v>
      </c>
      <c r="J1611" s="16" t="n">
        <v>122</v>
      </c>
      <c r="K1611" s="16" t="n">
        <v>122</v>
      </c>
      <c r="L1611" s="16"/>
      <c r="M1611" s="16"/>
      <c r="N1611" s="19"/>
    </row>
    <row r="1612" customFormat="false" ht="15" hidden="false" customHeight="false" outlineLevel="0" collapsed="false">
      <c r="A1612" s="13" t="s">
        <v>4442</v>
      </c>
      <c r="B1612" s="13" t="s">
        <v>365</v>
      </c>
      <c r="C1612" s="13" t="s">
        <v>43</v>
      </c>
      <c r="D1612" s="13" t="s">
        <v>2339</v>
      </c>
      <c r="E1612" s="13" t="s">
        <v>1914</v>
      </c>
      <c r="F1612" s="13" t="n">
        <v>2</v>
      </c>
      <c r="G1612" s="13" t="n">
        <v>2</v>
      </c>
      <c r="H1612" s="5" t="n">
        <v>610</v>
      </c>
      <c r="I1612" s="7" t="n">
        <v>2</v>
      </c>
      <c r="J1612" s="16" t="n">
        <v>305</v>
      </c>
      <c r="K1612" s="16"/>
      <c r="L1612" s="16" t="n">
        <v>270</v>
      </c>
      <c r="M1612" s="16" t="n">
        <v>340</v>
      </c>
      <c r="N1612" s="19" t="n">
        <v>0.259259259259259</v>
      </c>
    </row>
    <row r="1613" customFormat="false" ht="15" hidden="false" customHeight="false" outlineLevel="0" collapsed="false">
      <c r="A1613" s="13" t="s">
        <v>4443</v>
      </c>
      <c r="B1613" s="13" t="s">
        <v>329</v>
      </c>
      <c r="C1613" s="13" t="s">
        <v>43</v>
      </c>
      <c r="D1613" s="13" t="s">
        <v>2339</v>
      </c>
      <c r="E1613" s="13" t="s">
        <v>1580</v>
      </c>
      <c r="F1613" s="13" t="n">
        <v>1</v>
      </c>
      <c r="G1613" s="13" t="n">
        <v>1</v>
      </c>
      <c r="H1613" s="5" t="n">
        <v>610</v>
      </c>
      <c r="I1613" s="7" t="n">
        <v>1</v>
      </c>
      <c r="J1613" s="16" t="n">
        <v>610</v>
      </c>
      <c r="K1613" s="16"/>
      <c r="L1613" s="16" t="n">
        <v>610</v>
      </c>
      <c r="M1613" s="16"/>
      <c r="N1613" s="19"/>
    </row>
    <row r="1614" customFormat="false" ht="15" hidden="false" customHeight="false" outlineLevel="0" collapsed="false">
      <c r="A1614" s="13" t="s">
        <v>4444</v>
      </c>
      <c r="B1614" s="13" t="s">
        <v>50</v>
      </c>
      <c r="C1614" s="13" t="s">
        <v>43</v>
      </c>
      <c r="D1614" s="13" t="s">
        <v>2324</v>
      </c>
      <c r="E1614" s="13" t="s">
        <v>189</v>
      </c>
      <c r="F1614" s="13" t="n">
        <v>1</v>
      </c>
      <c r="G1614" s="13" t="n">
        <v>1</v>
      </c>
      <c r="H1614" s="5" t="n">
        <v>600</v>
      </c>
      <c r="I1614" s="7" t="n">
        <v>1</v>
      </c>
      <c r="J1614" s="16" t="n">
        <v>600</v>
      </c>
      <c r="K1614" s="16"/>
      <c r="L1614" s="16"/>
      <c r="M1614" s="16" t="n">
        <v>600</v>
      </c>
      <c r="N1614" s="19"/>
    </row>
    <row r="1615" customFormat="false" ht="15" hidden="false" customHeight="false" outlineLevel="0" collapsed="false">
      <c r="A1615" s="13" t="s">
        <v>4445</v>
      </c>
      <c r="B1615" s="13" t="s">
        <v>2103</v>
      </c>
      <c r="C1615" s="13" t="s">
        <v>85</v>
      </c>
      <c r="D1615" s="13" t="s">
        <v>2324</v>
      </c>
      <c r="E1615" s="13" t="s">
        <v>4446</v>
      </c>
      <c r="F1615" s="13" t="n">
        <v>1</v>
      </c>
      <c r="G1615" s="13" t="n">
        <v>2</v>
      </c>
      <c r="H1615" s="5" t="n">
        <v>600</v>
      </c>
      <c r="I1615" s="7" t="n">
        <v>6</v>
      </c>
      <c r="J1615" s="16" t="n">
        <v>100</v>
      </c>
      <c r="K1615" s="16"/>
      <c r="L1615" s="16"/>
      <c r="M1615" s="16" t="n">
        <v>100</v>
      </c>
      <c r="N1615" s="19"/>
    </row>
    <row r="1616" customFormat="false" ht="15" hidden="false" customHeight="false" outlineLevel="0" collapsed="false">
      <c r="A1616" s="13" t="s">
        <v>4447</v>
      </c>
      <c r="B1616" s="13" t="s">
        <v>179</v>
      </c>
      <c r="C1616" s="13" t="s">
        <v>180</v>
      </c>
      <c r="D1616" s="13" t="s">
        <v>2324</v>
      </c>
      <c r="E1616" s="13" t="s">
        <v>1589</v>
      </c>
      <c r="F1616" s="13" t="n">
        <v>1</v>
      </c>
      <c r="G1616" s="13" t="n">
        <v>1</v>
      </c>
      <c r="H1616" s="5" t="n">
        <v>600</v>
      </c>
      <c r="I1616" s="7" t="n">
        <v>2</v>
      </c>
      <c r="J1616" s="16" t="n">
        <v>300</v>
      </c>
      <c r="K1616" s="16" t="n">
        <v>300</v>
      </c>
      <c r="L1616" s="16"/>
      <c r="M1616" s="16"/>
      <c r="N1616" s="19"/>
    </row>
    <row r="1617" customFormat="false" ht="15" hidden="false" customHeight="false" outlineLevel="0" collapsed="false">
      <c r="A1617" s="13" t="s">
        <v>4448</v>
      </c>
      <c r="B1617" s="13" t="s">
        <v>2220</v>
      </c>
      <c r="C1617" s="13" t="s">
        <v>43</v>
      </c>
      <c r="D1617" s="13" t="s">
        <v>2339</v>
      </c>
      <c r="E1617" s="13" t="s">
        <v>4449</v>
      </c>
      <c r="F1617" s="13" t="n">
        <v>1</v>
      </c>
      <c r="G1617" s="13" t="n">
        <v>1</v>
      </c>
      <c r="H1617" s="5" t="n">
        <v>600</v>
      </c>
      <c r="I1617" s="7" t="n">
        <v>1</v>
      </c>
      <c r="J1617" s="16" t="n">
        <v>600</v>
      </c>
      <c r="K1617" s="16"/>
      <c r="L1617" s="16" t="n">
        <v>600</v>
      </c>
      <c r="M1617" s="16"/>
      <c r="N1617" s="19"/>
    </row>
    <row r="1618" customFormat="false" ht="15" hidden="false" customHeight="false" outlineLevel="0" collapsed="false">
      <c r="A1618" s="13" t="s">
        <v>4450</v>
      </c>
      <c r="B1618" s="13" t="s">
        <v>2179</v>
      </c>
      <c r="C1618" s="13" t="s">
        <v>43</v>
      </c>
      <c r="D1618" s="13" t="s">
        <v>2324</v>
      </c>
      <c r="E1618" s="13" t="s">
        <v>4451</v>
      </c>
      <c r="F1618" s="13" t="n">
        <v>1</v>
      </c>
      <c r="G1618" s="13" t="n">
        <v>1</v>
      </c>
      <c r="H1618" s="5" t="n">
        <v>600</v>
      </c>
      <c r="I1618" s="7" t="n">
        <v>2</v>
      </c>
      <c r="J1618" s="16" t="n">
        <v>300</v>
      </c>
      <c r="K1618" s="16"/>
      <c r="L1618" s="16" t="n">
        <v>300</v>
      </c>
      <c r="M1618" s="16"/>
      <c r="N1618" s="19"/>
    </row>
    <row r="1619" customFormat="false" ht="15" hidden="false" customHeight="false" outlineLevel="0" collapsed="false">
      <c r="A1619" s="13" t="s">
        <v>4452</v>
      </c>
      <c r="B1619" s="13" t="s">
        <v>179</v>
      </c>
      <c r="C1619" s="13" t="s">
        <v>85</v>
      </c>
      <c r="D1619" s="13" t="s">
        <v>2324</v>
      </c>
      <c r="E1619" s="13" t="s">
        <v>1590</v>
      </c>
      <c r="F1619" s="13" t="n">
        <v>1</v>
      </c>
      <c r="G1619" s="13" t="n">
        <v>1</v>
      </c>
      <c r="H1619" s="5" t="n">
        <v>600</v>
      </c>
      <c r="I1619" s="7" t="n">
        <v>5</v>
      </c>
      <c r="J1619" s="16" t="n">
        <v>120</v>
      </c>
      <c r="K1619" s="16" t="n">
        <v>120</v>
      </c>
      <c r="L1619" s="16"/>
      <c r="M1619" s="16"/>
      <c r="N1619" s="19"/>
    </row>
    <row r="1620" customFormat="false" ht="15" hidden="false" customHeight="false" outlineLevel="0" collapsed="false">
      <c r="A1620" s="13" t="s">
        <v>4453</v>
      </c>
      <c r="B1620" s="13" t="s">
        <v>2150</v>
      </c>
      <c r="C1620" s="13" t="s">
        <v>43</v>
      </c>
      <c r="D1620" s="13" t="s">
        <v>2324</v>
      </c>
      <c r="E1620" s="13" t="s">
        <v>4454</v>
      </c>
      <c r="F1620" s="13" t="n">
        <v>1</v>
      </c>
      <c r="G1620" s="13" t="n">
        <v>1</v>
      </c>
      <c r="H1620" s="5" t="n">
        <v>600</v>
      </c>
      <c r="I1620" s="7" t="n">
        <v>2</v>
      </c>
      <c r="J1620" s="16" t="n">
        <v>300</v>
      </c>
      <c r="K1620" s="16"/>
      <c r="L1620" s="16"/>
      <c r="M1620" s="16" t="n">
        <v>300</v>
      </c>
      <c r="N1620" s="19"/>
    </row>
    <row r="1621" customFormat="false" ht="15" hidden="false" customHeight="false" outlineLevel="0" collapsed="false">
      <c r="A1621" s="13" t="s">
        <v>4455</v>
      </c>
      <c r="B1621" s="13" t="s">
        <v>179</v>
      </c>
      <c r="C1621" s="13" t="s">
        <v>180</v>
      </c>
      <c r="D1621" s="13" t="s">
        <v>2324</v>
      </c>
      <c r="E1621" s="13" t="s">
        <v>1592</v>
      </c>
      <c r="F1621" s="13" t="n">
        <v>1</v>
      </c>
      <c r="G1621" s="13" t="n">
        <v>1</v>
      </c>
      <c r="H1621" s="5" t="n">
        <v>600</v>
      </c>
      <c r="I1621" s="7" t="n">
        <v>2</v>
      </c>
      <c r="J1621" s="16" t="n">
        <v>300</v>
      </c>
      <c r="K1621" s="16" t="n">
        <v>300</v>
      </c>
      <c r="L1621" s="16"/>
      <c r="M1621" s="16"/>
      <c r="N1621" s="19"/>
    </row>
    <row r="1622" customFormat="false" ht="15" hidden="false" customHeight="false" outlineLevel="0" collapsed="false">
      <c r="A1622" s="13" t="s">
        <v>4456</v>
      </c>
      <c r="B1622" s="13" t="s">
        <v>2139</v>
      </c>
      <c r="C1622" s="13" t="s">
        <v>85</v>
      </c>
      <c r="D1622" s="13" t="s">
        <v>2324</v>
      </c>
      <c r="E1622" s="13" t="s">
        <v>4457</v>
      </c>
      <c r="F1622" s="13" t="n">
        <v>1</v>
      </c>
      <c r="G1622" s="13" t="n">
        <v>2</v>
      </c>
      <c r="H1622" s="5" t="n">
        <v>600</v>
      </c>
      <c r="I1622" s="7" t="n">
        <v>3</v>
      </c>
      <c r="J1622" s="16" t="n">
        <v>200</v>
      </c>
      <c r="K1622" s="16"/>
      <c r="L1622" s="16" t="n">
        <v>200</v>
      </c>
      <c r="M1622" s="16"/>
      <c r="N1622" s="19"/>
    </row>
    <row r="1623" customFormat="false" ht="15" hidden="false" customHeight="false" outlineLevel="0" collapsed="false">
      <c r="A1623" s="13" t="s">
        <v>4458</v>
      </c>
      <c r="B1623" s="13" t="s">
        <v>50</v>
      </c>
      <c r="C1623" s="13" t="s">
        <v>43</v>
      </c>
      <c r="D1623" s="13" t="s">
        <v>2500</v>
      </c>
      <c r="E1623" s="13" t="s">
        <v>1217</v>
      </c>
      <c r="F1623" s="13" t="n">
        <v>1</v>
      </c>
      <c r="G1623" s="13" t="n">
        <v>1</v>
      </c>
      <c r="H1623" s="5" t="n">
        <v>600</v>
      </c>
      <c r="I1623" s="7" t="n">
        <v>1</v>
      </c>
      <c r="J1623" s="16" t="n">
        <v>600</v>
      </c>
      <c r="K1623" s="16"/>
      <c r="L1623" s="16"/>
      <c r="M1623" s="16" t="n">
        <v>600</v>
      </c>
      <c r="N1623" s="19"/>
    </row>
    <row r="1624" customFormat="false" ht="15" hidden="false" customHeight="false" outlineLevel="0" collapsed="false">
      <c r="A1624" s="13" t="s">
        <v>4459</v>
      </c>
      <c r="B1624" s="13" t="s">
        <v>2128</v>
      </c>
      <c r="C1624" s="13" t="s">
        <v>85</v>
      </c>
      <c r="D1624" s="13" t="s">
        <v>2339</v>
      </c>
      <c r="E1624" s="13" t="s">
        <v>4460</v>
      </c>
      <c r="F1624" s="13" t="n">
        <v>1</v>
      </c>
      <c r="G1624" s="13" t="n">
        <v>1</v>
      </c>
      <c r="H1624" s="5" t="n">
        <v>600</v>
      </c>
      <c r="I1624" s="7" t="n">
        <v>2</v>
      </c>
      <c r="J1624" s="16" t="n">
        <v>300</v>
      </c>
      <c r="K1624" s="16"/>
      <c r="L1624" s="16" t="n">
        <v>300</v>
      </c>
      <c r="M1624" s="16"/>
      <c r="N1624" s="19"/>
    </row>
    <row r="1625" customFormat="false" ht="15" hidden="false" customHeight="false" outlineLevel="0" collapsed="false">
      <c r="A1625" s="13" t="s">
        <v>4461</v>
      </c>
      <c r="B1625" s="13" t="s">
        <v>2120</v>
      </c>
      <c r="C1625" s="13" t="s">
        <v>43</v>
      </c>
      <c r="D1625" s="13" t="s">
        <v>2324</v>
      </c>
      <c r="E1625" s="13" t="s">
        <v>2978</v>
      </c>
      <c r="F1625" s="13" t="n">
        <v>1</v>
      </c>
      <c r="G1625" s="13" t="n">
        <v>1</v>
      </c>
      <c r="H1625" s="5" t="n">
        <v>590</v>
      </c>
      <c r="I1625" s="7" t="n">
        <v>1</v>
      </c>
      <c r="J1625" s="16" t="n">
        <v>590</v>
      </c>
      <c r="K1625" s="16"/>
      <c r="L1625" s="16" t="n">
        <v>590</v>
      </c>
      <c r="M1625" s="16"/>
      <c r="N1625" s="19"/>
    </row>
    <row r="1626" customFormat="false" ht="15" hidden="false" customHeight="false" outlineLevel="0" collapsed="false">
      <c r="A1626" s="13" t="s">
        <v>4462</v>
      </c>
      <c r="B1626" s="13" t="s">
        <v>286</v>
      </c>
      <c r="C1626" s="13" t="s">
        <v>43</v>
      </c>
      <c r="D1626" s="13" t="s">
        <v>2339</v>
      </c>
      <c r="E1626" s="13" t="s">
        <v>1605</v>
      </c>
      <c r="F1626" s="13" t="n">
        <v>1</v>
      </c>
      <c r="G1626" s="13" t="n">
        <v>1</v>
      </c>
      <c r="H1626" s="5" t="n">
        <v>590</v>
      </c>
      <c r="I1626" s="7" t="n">
        <v>2</v>
      </c>
      <c r="J1626" s="16" t="n">
        <v>295</v>
      </c>
      <c r="K1626" s="16"/>
      <c r="L1626" s="16" t="n">
        <v>295</v>
      </c>
      <c r="M1626" s="16"/>
      <c r="N1626" s="19"/>
    </row>
    <row r="1627" customFormat="false" ht="15" hidden="false" customHeight="false" outlineLevel="0" collapsed="false">
      <c r="A1627" s="13" t="s">
        <v>4463</v>
      </c>
      <c r="B1627" s="13" t="s">
        <v>2193</v>
      </c>
      <c r="C1627" s="13" t="s">
        <v>43</v>
      </c>
      <c r="D1627" s="13" t="s">
        <v>2339</v>
      </c>
      <c r="E1627" s="13" t="s">
        <v>4464</v>
      </c>
      <c r="F1627" s="13" t="n">
        <v>1</v>
      </c>
      <c r="G1627" s="13" t="n">
        <v>1</v>
      </c>
      <c r="H1627" s="5" t="n">
        <v>590</v>
      </c>
      <c r="I1627" s="7" t="n">
        <v>1</v>
      </c>
      <c r="J1627" s="16" t="n">
        <v>590</v>
      </c>
      <c r="K1627" s="16"/>
      <c r="L1627" s="16" t="n">
        <v>590</v>
      </c>
      <c r="M1627" s="16"/>
      <c r="N1627" s="19"/>
    </row>
    <row r="1628" customFormat="false" ht="15" hidden="false" customHeight="false" outlineLevel="0" collapsed="false">
      <c r="A1628" s="13" t="s">
        <v>4465</v>
      </c>
      <c r="B1628" s="13" t="s">
        <v>191</v>
      </c>
      <c r="C1628" s="13" t="s">
        <v>85</v>
      </c>
      <c r="D1628" s="13" t="s">
        <v>2324</v>
      </c>
      <c r="E1628" s="13" t="s">
        <v>1596</v>
      </c>
      <c r="F1628" s="13" t="n">
        <v>1</v>
      </c>
      <c r="G1628" s="13" t="n">
        <v>1</v>
      </c>
      <c r="H1628" s="5" t="n">
        <v>590</v>
      </c>
      <c r="I1628" s="7" t="n">
        <v>30</v>
      </c>
      <c r="J1628" s="16" t="n">
        <v>19.6666666666667</v>
      </c>
      <c r="K1628" s="16" t="n">
        <v>19.6666666666667</v>
      </c>
      <c r="L1628" s="16"/>
      <c r="M1628" s="16"/>
      <c r="N1628" s="19"/>
    </row>
    <row r="1629" customFormat="false" ht="15" hidden="false" customHeight="false" outlineLevel="0" collapsed="false">
      <c r="A1629" s="13" t="s">
        <v>4466</v>
      </c>
      <c r="B1629" s="13" t="s">
        <v>2151</v>
      </c>
      <c r="C1629" s="13" t="s">
        <v>43</v>
      </c>
      <c r="D1629" s="13" t="s">
        <v>2339</v>
      </c>
      <c r="E1629" s="13" t="s">
        <v>4467</v>
      </c>
      <c r="F1629" s="13" t="n">
        <v>1</v>
      </c>
      <c r="G1629" s="13" t="n">
        <v>1</v>
      </c>
      <c r="H1629" s="5" t="n">
        <v>590</v>
      </c>
      <c r="I1629" s="7" t="n">
        <v>5</v>
      </c>
      <c r="J1629" s="16" t="n">
        <v>118</v>
      </c>
      <c r="K1629" s="16" t="n">
        <v>118</v>
      </c>
      <c r="L1629" s="16"/>
      <c r="M1629" s="16"/>
      <c r="N1629" s="19"/>
    </row>
    <row r="1630" customFormat="false" ht="15" hidden="false" customHeight="false" outlineLevel="0" collapsed="false">
      <c r="A1630" s="13" t="s">
        <v>4468</v>
      </c>
      <c r="B1630" s="13" t="s">
        <v>302</v>
      </c>
      <c r="C1630" s="13" t="s">
        <v>43</v>
      </c>
      <c r="D1630" s="13" t="s">
        <v>2324</v>
      </c>
      <c r="E1630" s="13" t="s">
        <v>1595</v>
      </c>
      <c r="F1630" s="13" t="n">
        <v>1</v>
      </c>
      <c r="G1630" s="13" t="n">
        <v>1</v>
      </c>
      <c r="H1630" s="5" t="n">
        <v>590</v>
      </c>
      <c r="I1630" s="7" t="n">
        <v>1</v>
      </c>
      <c r="J1630" s="16" t="n">
        <v>590</v>
      </c>
      <c r="K1630" s="16" t="n">
        <v>590</v>
      </c>
      <c r="L1630" s="16"/>
      <c r="M1630" s="16"/>
      <c r="N1630" s="19"/>
    </row>
    <row r="1631" customFormat="false" ht="15" hidden="false" customHeight="false" outlineLevel="0" collapsed="false">
      <c r="A1631" s="13" t="s">
        <v>4469</v>
      </c>
      <c r="B1631" s="13" t="s">
        <v>79</v>
      </c>
      <c r="C1631" s="13" t="s">
        <v>43</v>
      </c>
      <c r="D1631" s="13" t="s">
        <v>2324</v>
      </c>
      <c r="E1631" s="13" t="s">
        <v>1180</v>
      </c>
      <c r="F1631" s="13" t="n">
        <v>1</v>
      </c>
      <c r="G1631" s="13" t="n">
        <v>1</v>
      </c>
      <c r="H1631" s="5" t="n">
        <v>590</v>
      </c>
      <c r="I1631" s="7" t="n">
        <v>1</v>
      </c>
      <c r="J1631" s="16" t="n">
        <v>590</v>
      </c>
      <c r="K1631" s="16"/>
      <c r="L1631" s="16" t="n">
        <v>590</v>
      </c>
      <c r="M1631" s="16"/>
      <c r="N1631" s="19"/>
    </row>
    <row r="1632" customFormat="false" ht="15" hidden="false" customHeight="false" outlineLevel="0" collapsed="false">
      <c r="A1632" s="13" t="s">
        <v>4470</v>
      </c>
      <c r="B1632" s="13" t="s">
        <v>2134</v>
      </c>
      <c r="C1632" s="13" t="s">
        <v>43</v>
      </c>
      <c r="D1632" s="13" t="s">
        <v>2337</v>
      </c>
      <c r="E1632" s="13" t="s">
        <v>4471</v>
      </c>
      <c r="F1632" s="13" t="n">
        <v>1</v>
      </c>
      <c r="G1632" s="13" t="n">
        <v>1</v>
      </c>
      <c r="H1632" s="5" t="n">
        <v>580</v>
      </c>
      <c r="I1632" s="7" t="n">
        <v>1</v>
      </c>
      <c r="J1632" s="16" t="n">
        <v>580</v>
      </c>
      <c r="K1632" s="16"/>
      <c r="L1632" s="16" t="n">
        <v>580</v>
      </c>
      <c r="M1632" s="16"/>
      <c r="N1632" s="19"/>
    </row>
    <row r="1633" customFormat="false" ht="15" hidden="false" customHeight="false" outlineLevel="0" collapsed="false">
      <c r="A1633" s="13" t="s">
        <v>4472</v>
      </c>
      <c r="B1633" s="13" t="s">
        <v>42</v>
      </c>
      <c r="C1633" s="13" t="s">
        <v>43</v>
      </c>
      <c r="D1633" s="13" t="s">
        <v>2324</v>
      </c>
      <c r="E1633" s="13" t="s">
        <v>847</v>
      </c>
      <c r="F1633" s="13" t="n">
        <v>1</v>
      </c>
      <c r="G1633" s="13" t="n">
        <v>1</v>
      </c>
      <c r="H1633" s="5" t="n">
        <v>580</v>
      </c>
      <c r="I1633" s="7" t="n">
        <v>1</v>
      </c>
      <c r="J1633" s="16" t="n">
        <v>580</v>
      </c>
      <c r="K1633" s="16"/>
      <c r="L1633" s="16"/>
      <c r="M1633" s="16" t="n">
        <v>580</v>
      </c>
      <c r="N1633" s="19"/>
    </row>
    <row r="1634" customFormat="false" ht="15" hidden="false" customHeight="false" outlineLevel="0" collapsed="false">
      <c r="A1634" s="13" t="s">
        <v>4473</v>
      </c>
      <c r="B1634" s="13" t="s">
        <v>2145</v>
      </c>
      <c r="C1634" s="13" t="s">
        <v>43</v>
      </c>
      <c r="D1634" s="13" t="s">
        <v>2324</v>
      </c>
      <c r="E1634" s="13" t="s">
        <v>4474</v>
      </c>
      <c r="F1634" s="13" t="n">
        <v>1</v>
      </c>
      <c r="G1634" s="13" t="n">
        <v>1</v>
      </c>
      <c r="H1634" s="5" t="n">
        <v>580</v>
      </c>
      <c r="I1634" s="7" t="n">
        <v>2</v>
      </c>
      <c r="J1634" s="16" t="n">
        <v>290</v>
      </c>
      <c r="K1634" s="16"/>
      <c r="L1634" s="16"/>
      <c r="M1634" s="16" t="n">
        <v>290</v>
      </c>
      <c r="N1634" s="19"/>
    </row>
    <row r="1635" customFormat="false" ht="15" hidden="false" customHeight="false" outlineLevel="0" collapsed="false">
      <c r="A1635" s="13" t="s">
        <v>4475</v>
      </c>
      <c r="B1635" s="13" t="s">
        <v>195</v>
      </c>
      <c r="C1635" s="13" t="s">
        <v>43</v>
      </c>
      <c r="D1635" s="13" t="s">
        <v>2324</v>
      </c>
      <c r="E1635" s="13" t="s">
        <v>1612</v>
      </c>
      <c r="F1635" s="13" t="n">
        <v>1</v>
      </c>
      <c r="G1635" s="13" t="n">
        <v>1</v>
      </c>
      <c r="H1635" s="5" t="n">
        <v>580</v>
      </c>
      <c r="I1635" s="7" t="n">
        <v>1</v>
      </c>
      <c r="J1635" s="16" t="n">
        <v>580</v>
      </c>
      <c r="K1635" s="16"/>
      <c r="L1635" s="16"/>
      <c r="M1635" s="16" t="n">
        <v>580</v>
      </c>
      <c r="N1635" s="19"/>
    </row>
    <row r="1636" customFormat="false" ht="15" hidden="false" customHeight="false" outlineLevel="0" collapsed="false">
      <c r="A1636" s="13" t="s">
        <v>4476</v>
      </c>
      <c r="B1636" s="13" t="s">
        <v>153</v>
      </c>
      <c r="C1636" s="13" t="s">
        <v>43</v>
      </c>
      <c r="D1636" s="13" t="s">
        <v>2422</v>
      </c>
      <c r="E1636" s="13" t="s">
        <v>1885</v>
      </c>
      <c r="F1636" s="13" t="n">
        <v>1</v>
      </c>
      <c r="G1636" s="13" t="n">
        <v>2</v>
      </c>
      <c r="H1636" s="5" t="n">
        <v>580</v>
      </c>
      <c r="I1636" s="7" t="n">
        <v>2</v>
      </c>
      <c r="J1636" s="16" t="n">
        <v>290</v>
      </c>
      <c r="K1636" s="16"/>
      <c r="L1636" s="16"/>
      <c r="M1636" s="16" t="n">
        <v>290</v>
      </c>
      <c r="N1636" s="19"/>
    </row>
    <row r="1637" customFormat="false" ht="15" hidden="false" customHeight="false" outlineLevel="0" collapsed="false">
      <c r="A1637" s="13" t="s">
        <v>4477</v>
      </c>
      <c r="B1637" s="13" t="s">
        <v>42</v>
      </c>
      <c r="C1637" s="13" t="s">
        <v>43</v>
      </c>
      <c r="D1637" s="13" t="s">
        <v>2324</v>
      </c>
      <c r="E1637" s="13" t="s">
        <v>1607</v>
      </c>
      <c r="F1637" s="13" t="n">
        <v>1</v>
      </c>
      <c r="G1637" s="13" t="n">
        <v>1</v>
      </c>
      <c r="H1637" s="5" t="n">
        <v>580</v>
      </c>
      <c r="I1637" s="7" t="n">
        <v>1</v>
      </c>
      <c r="J1637" s="16" t="n">
        <v>580</v>
      </c>
      <c r="K1637" s="16"/>
      <c r="L1637" s="16" t="n">
        <v>580</v>
      </c>
      <c r="M1637" s="16"/>
      <c r="N1637" s="19"/>
    </row>
    <row r="1638" customFormat="false" ht="15" hidden="false" customHeight="false" outlineLevel="0" collapsed="false">
      <c r="A1638" s="13" t="s">
        <v>4478</v>
      </c>
      <c r="B1638" s="13" t="s">
        <v>2199</v>
      </c>
      <c r="C1638" s="13" t="s">
        <v>43</v>
      </c>
      <c r="D1638" s="13" t="s">
        <v>2324</v>
      </c>
      <c r="E1638" s="13" t="s">
        <v>3383</v>
      </c>
      <c r="F1638" s="13" t="n">
        <v>1</v>
      </c>
      <c r="G1638" s="13" t="n">
        <v>1</v>
      </c>
      <c r="H1638" s="5" t="n">
        <v>580</v>
      </c>
      <c r="I1638" s="7" t="n">
        <v>1</v>
      </c>
      <c r="J1638" s="16" t="n">
        <v>580</v>
      </c>
      <c r="K1638" s="16"/>
      <c r="L1638" s="16"/>
      <c r="M1638" s="16" t="n">
        <v>580</v>
      </c>
      <c r="N1638" s="19"/>
    </row>
    <row r="1639" customFormat="false" ht="15" hidden="false" customHeight="false" outlineLevel="0" collapsed="false">
      <c r="A1639" s="13" t="s">
        <v>4479</v>
      </c>
      <c r="B1639" s="13" t="s">
        <v>153</v>
      </c>
      <c r="C1639" s="13" t="s">
        <v>43</v>
      </c>
      <c r="D1639" s="13" t="s">
        <v>2339</v>
      </c>
      <c r="E1639" s="13" t="s">
        <v>1611</v>
      </c>
      <c r="F1639" s="13" t="n">
        <v>1</v>
      </c>
      <c r="G1639" s="13" t="n">
        <v>1</v>
      </c>
      <c r="H1639" s="5" t="n">
        <v>580</v>
      </c>
      <c r="I1639" s="7" t="n">
        <v>1</v>
      </c>
      <c r="J1639" s="16" t="n">
        <v>580</v>
      </c>
      <c r="K1639" s="16"/>
      <c r="L1639" s="16"/>
      <c r="M1639" s="16" t="n">
        <v>580</v>
      </c>
      <c r="N1639" s="19"/>
    </row>
    <row r="1640" customFormat="false" ht="15" hidden="false" customHeight="false" outlineLevel="0" collapsed="false">
      <c r="A1640" s="13" t="s">
        <v>4480</v>
      </c>
      <c r="B1640" s="13" t="s">
        <v>153</v>
      </c>
      <c r="C1640" s="13" t="s">
        <v>43</v>
      </c>
      <c r="D1640" s="13" t="s">
        <v>2339</v>
      </c>
      <c r="E1640" s="13" t="s">
        <v>1618</v>
      </c>
      <c r="F1640" s="13" t="n">
        <v>1</v>
      </c>
      <c r="G1640" s="13" t="n">
        <v>1</v>
      </c>
      <c r="H1640" s="5" t="n">
        <v>570</v>
      </c>
      <c r="I1640" s="7" t="n">
        <v>1</v>
      </c>
      <c r="J1640" s="16" t="n">
        <v>570</v>
      </c>
      <c r="K1640" s="16"/>
      <c r="L1640" s="16" t="n">
        <v>570</v>
      </c>
      <c r="M1640" s="16"/>
      <c r="N1640" s="19"/>
    </row>
    <row r="1641" customFormat="false" ht="15" hidden="false" customHeight="false" outlineLevel="0" collapsed="false">
      <c r="A1641" s="13" t="s">
        <v>4481</v>
      </c>
      <c r="B1641" s="13" t="s">
        <v>186</v>
      </c>
      <c r="C1641" s="13" t="s">
        <v>43</v>
      </c>
      <c r="D1641" s="13" t="s">
        <v>2324</v>
      </c>
      <c r="E1641" s="13" t="s">
        <v>1617</v>
      </c>
      <c r="F1641" s="13" t="n">
        <v>1</v>
      </c>
      <c r="G1641" s="13" t="n">
        <v>1</v>
      </c>
      <c r="H1641" s="5" t="n">
        <v>570</v>
      </c>
      <c r="I1641" s="7" t="n">
        <v>2</v>
      </c>
      <c r="J1641" s="16" t="n">
        <v>285</v>
      </c>
      <c r="K1641" s="16"/>
      <c r="L1641" s="16"/>
      <c r="M1641" s="16" t="n">
        <v>285</v>
      </c>
      <c r="N1641" s="19"/>
    </row>
    <row r="1642" customFormat="false" ht="15" hidden="false" customHeight="false" outlineLevel="0" collapsed="false">
      <c r="A1642" s="13" t="s">
        <v>4482</v>
      </c>
      <c r="B1642" s="13" t="s">
        <v>54</v>
      </c>
      <c r="C1642" s="13" t="s">
        <v>43</v>
      </c>
      <c r="D1642" s="13" t="s">
        <v>2324</v>
      </c>
      <c r="E1642" s="13" t="s">
        <v>1616</v>
      </c>
      <c r="F1642" s="13" t="n">
        <v>1</v>
      </c>
      <c r="G1642" s="13" t="n">
        <v>1</v>
      </c>
      <c r="H1642" s="5" t="n">
        <v>570</v>
      </c>
      <c r="I1642" s="7" t="n">
        <v>2</v>
      </c>
      <c r="J1642" s="16" t="n">
        <v>285</v>
      </c>
      <c r="K1642" s="16"/>
      <c r="L1642" s="16"/>
      <c r="M1642" s="16" t="n">
        <v>285</v>
      </c>
      <c r="N1642" s="19"/>
    </row>
    <row r="1643" customFormat="false" ht="15" hidden="false" customHeight="false" outlineLevel="0" collapsed="false">
      <c r="A1643" s="13" t="s">
        <v>4483</v>
      </c>
      <c r="B1643" s="13" t="s">
        <v>74</v>
      </c>
      <c r="C1643" s="13" t="s">
        <v>43</v>
      </c>
      <c r="D1643" s="13" t="s">
        <v>2324</v>
      </c>
      <c r="E1643" s="13" t="s">
        <v>668</v>
      </c>
      <c r="F1643" s="13" t="n">
        <v>1</v>
      </c>
      <c r="G1643" s="13" t="n">
        <v>1</v>
      </c>
      <c r="H1643" s="5" t="n">
        <v>570</v>
      </c>
      <c r="I1643" s="7" t="n">
        <v>2</v>
      </c>
      <c r="J1643" s="16" t="n">
        <v>285</v>
      </c>
      <c r="K1643" s="16"/>
      <c r="L1643" s="16"/>
      <c r="M1643" s="16" t="n">
        <v>285</v>
      </c>
      <c r="N1643" s="19"/>
    </row>
    <row r="1644" customFormat="false" ht="15" hidden="false" customHeight="false" outlineLevel="0" collapsed="false">
      <c r="A1644" s="13" t="s">
        <v>4484</v>
      </c>
      <c r="B1644" s="13" t="s">
        <v>2187</v>
      </c>
      <c r="C1644" s="13" t="s">
        <v>85</v>
      </c>
      <c r="D1644" s="13" t="s">
        <v>2337</v>
      </c>
      <c r="E1644" s="13" t="s">
        <v>4485</v>
      </c>
      <c r="F1644" s="13" t="n">
        <v>1</v>
      </c>
      <c r="G1644" s="13" t="n">
        <v>1</v>
      </c>
      <c r="H1644" s="5" t="n">
        <v>570</v>
      </c>
      <c r="I1644" s="7" t="n">
        <v>5</v>
      </c>
      <c r="J1644" s="16" t="n">
        <v>114</v>
      </c>
      <c r="K1644" s="16" t="n">
        <v>114</v>
      </c>
      <c r="L1644" s="16"/>
      <c r="M1644" s="16"/>
      <c r="N1644" s="19"/>
    </row>
    <row r="1645" customFormat="false" ht="15" hidden="false" customHeight="false" outlineLevel="0" collapsed="false">
      <c r="A1645" s="13" t="s">
        <v>4486</v>
      </c>
      <c r="B1645" s="13" t="s">
        <v>50</v>
      </c>
      <c r="C1645" s="13" t="s">
        <v>43</v>
      </c>
      <c r="D1645" s="13" t="s">
        <v>2324</v>
      </c>
      <c r="E1645" s="13" t="s">
        <v>1625</v>
      </c>
      <c r="F1645" s="13" t="n">
        <v>1</v>
      </c>
      <c r="G1645" s="13" t="n">
        <v>1</v>
      </c>
      <c r="H1645" s="5" t="n">
        <v>560</v>
      </c>
      <c r="I1645" s="7" t="n">
        <v>1</v>
      </c>
      <c r="J1645" s="16" t="n">
        <v>560</v>
      </c>
      <c r="K1645" s="16"/>
      <c r="L1645" s="16"/>
      <c r="M1645" s="16" t="n">
        <v>560</v>
      </c>
      <c r="N1645" s="19"/>
    </row>
    <row r="1646" customFormat="false" ht="15" hidden="false" customHeight="false" outlineLevel="0" collapsed="false">
      <c r="A1646" s="13" t="s">
        <v>4487</v>
      </c>
      <c r="B1646" s="13" t="s">
        <v>2264</v>
      </c>
      <c r="C1646" s="13" t="s">
        <v>85</v>
      </c>
      <c r="D1646" s="13" t="s">
        <v>2324</v>
      </c>
      <c r="E1646" s="13" t="s">
        <v>4488</v>
      </c>
      <c r="F1646" s="13" t="n">
        <v>1</v>
      </c>
      <c r="G1646" s="13" t="n">
        <v>2</v>
      </c>
      <c r="H1646" s="5" t="n">
        <v>560</v>
      </c>
      <c r="I1646" s="7" t="n">
        <v>3</v>
      </c>
      <c r="J1646" s="16" t="n">
        <v>186.666666666667</v>
      </c>
      <c r="K1646" s="16" t="n">
        <v>186.666666666667</v>
      </c>
      <c r="L1646" s="16"/>
      <c r="M1646" s="16"/>
      <c r="N1646" s="19"/>
    </row>
    <row r="1647" customFormat="false" ht="15" hidden="false" customHeight="false" outlineLevel="0" collapsed="false">
      <c r="A1647" s="13" t="s">
        <v>4489</v>
      </c>
      <c r="B1647" s="13" t="s">
        <v>302</v>
      </c>
      <c r="C1647" s="13" t="s">
        <v>43</v>
      </c>
      <c r="D1647" s="13" t="s">
        <v>2324</v>
      </c>
      <c r="E1647" s="13" t="s">
        <v>1624</v>
      </c>
      <c r="F1647" s="13" t="n">
        <v>1</v>
      </c>
      <c r="G1647" s="13" t="n">
        <v>1</v>
      </c>
      <c r="H1647" s="5" t="n">
        <v>560</v>
      </c>
      <c r="I1647" s="7" t="n">
        <v>1</v>
      </c>
      <c r="J1647" s="16" t="n">
        <v>560</v>
      </c>
      <c r="K1647" s="16"/>
      <c r="L1647" s="16"/>
      <c r="M1647" s="16" t="n">
        <v>560</v>
      </c>
      <c r="N1647" s="19"/>
    </row>
    <row r="1648" customFormat="false" ht="15" hidden="false" customHeight="false" outlineLevel="0" collapsed="false">
      <c r="A1648" s="13" t="s">
        <v>4490</v>
      </c>
      <c r="B1648" s="13" t="s">
        <v>2106</v>
      </c>
      <c r="C1648" s="13" t="s">
        <v>85</v>
      </c>
      <c r="D1648" s="13" t="s">
        <v>2324</v>
      </c>
      <c r="E1648" s="13" t="s">
        <v>4491</v>
      </c>
      <c r="F1648" s="13" t="n">
        <v>1</v>
      </c>
      <c r="G1648" s="13" t="n">
        <v>1</v>
      </c>
      <c r="H1648" s="5" t="n">
        <v>560</v>
      </c>
      <c r="I1648" s="7" t="n">
        <v>2</v>
      </c>
      <c r="J1648" s="16" t="n">
        <v>280</v>
      </c>
      <c r="K1648" s="16" t="n">
        <v>280</v>
      </c>
      <c r="L1648" s="16"/>
      <c r="M1648" s="16"/>
      <c r="N1648" s="19"/>
    </row>
    <row r="1649" customFormat="false" ht="15" hidden="false" customHeight="false" outlineLevel="0" collapsed="false">
      <c r="A1649" s="13" t="s">
        <v>4492</v>
      </c>
      <c r="B1649" s="13" t="s">
        <v>286</v>
      </c>
      <c r="C1649" s="13" t="s">
        <v>85</v>
      </c>
      <c r="D1649" s="13" t="s">
        <v>2360</v>
      </c>
      <c r="E1649" s="13" t="s">
        <v>1974</v>
      </c>
      <c r="F1649" s="13" t="n">
        <v>2</v>
      </c>
      <c r="G1649" s="13" t="n">
        <v>2</v>
      </c>
      <c r="H1649" s="5" t="n">
        <v>560</v>
      </c>
      <c r="I1649" s="7" t="n">
        <v>3</v>
      </c>
      <c r="J1649" s="16" t="n">
        <v>186.666666666667</v>
      </c>
      <c r="K1649" s="16"/>
      <c r="L1649" s="16" t="n">
        <v>220</v>
      </c>
      <c r="M1649" s="16" t="n">
        <v>170</v>
      </c>
      <c r="N1649" s="19" t="n">
        <v>0.294117647058824</v>
      </c>
    </row>
    <row r="1650" customFormat="false" ht="15" hidden="false" customHeight="false" outlineLevel="0" collapsed="false">
      <c r="A1650" s="13" t="s">
        <v>4493</v>
      </c>
      <c r="B1650" s="13" t="s">
        <v>2165</v>
      </c>
      <c r="C1650" s="13" t="s">
        <v>85</v>
      </c>
      <c r="D1650" s="13" t="s">
        <v>2339</v>
      </c>
      <c r="E1650" s="13" t="s">
        <v>4494</v>
      </c>
      <c r="F1650" s="13" t="n">
        <v>1</v>
      </c>
      <c r="G1650" s="13" t="n">
        <v>1</v>
      </c>
      <c r="H1650" s="5" t="n">
        <v>560</v>
      </c>
      <c r="I1650" s="7" t="n">
        <v>2</v>
      </c>
      <c r="J1650" s="16" t="n">
        <v>280</v>
      </c>
      <c r="K1650" s="16"/>
      <c r="L1650" s="16" t="n">
        <v>280</v>
      </c>
      <c r="M1650" s="16"/>
      <c r="N1650" s="19"/>
    </row>
    <row r="1651" customFormat="false" ht="15" hidden="false" customHeight="false" outlineLevel="0" collapsed="false">
      <c r="A1651" s="13" t="s">
        <v>4495</v>
      </c>
      <c r="B1651" s="13" t="s">
        <v>2099</v>
      </c>
      <c r="C1651" s="13" t="s">
        <v>43</v>
      </c>
      <c r="D1651" s="13" t="s">
        <v>4194</v>
      </c>
      <c r="E1651" s="13" t="s">
        <v>4496</v>
      </c>
      <c r="F1651" s="13" t="n">
        <v>1</v>
      </c>
      <c r="G1651" s="13" t="n">
        <v>2</v>
      </c>
      <c r="H1651" s="5" t="n">
        <v>560</v>
      </c>
      <c r="I1651" s="7" t="n">
        <v>25</v>
      </c>
      <c r="J1651" s="16" t="n">
        <v>22.4</v>
      </c>
      <c r="K1651" s="16" t="n">
        <v>22.4</v>
      </c>
      <c r="L1651" s="16"/>
      <c r="M1651" s="16"/>
      <c r="N1651" s="19"/>
    </row>
    <row r="1652" customFormat="false" ht="15" hidden="false" customHeight="false" outlineLevel="0" collapsed="false">
      <c r="A1652" s="13" t="s">
        <v>4497</v>
      </c>
      <c r="B1652" s="13" t="s">
        <v>161</v>
      </c>
      <c r="C1652" s="13" t="s">
        <v>43</v>
      </c>
      <c r="D1652" s="13" t="s">
        <v>2339</v>
      </c>
      <c r="E1652" s="13" t="s">
        <v>1891</v>
      </c>
      <c r="F1652" s="13" t="n">
        <v>1</v>
      </c>
      <c r="G1652" s="13" t="n">
        <v>2</v>
      </c>
      <c r="H1652" s="5" t="n">
        <v>560</v>
      </c>
      <c r="I1652" s="7" t="n">
        <v>2</v>
      </c>
      <c r="J1652" s="16" t="n">
        <v>280</v>
      </c>
      <c r="K1652" s="16"/>
      <c r="L1652" s="16" t="n">
        <v>280</v>
      </c>
      <c r="M1652" s="16"/>
      <c r="N1652" s="19"/>
    </row>
    <row r="1653" customFormat="false" ht="15" hidden="false" customHeight="false" outlineLevel="0" collapsed="false">
      <c r="A1653" s="13" t="s">
        <v>4498</v>
      </c>
      <c r="B1653" s="13" t="s">
        <v>103</v>
      </c>
      <c r="C1653" s="13" t="s">
        <v>43</v>
      </c>
      <c r="D1653" s="13" t="s">
        <v>2324</v>
      </c>
      <c r="E1653" s="13" t="s">
        <v>1788</v>
      </c>
      <c r="F1653" s="13" t="n">
        <v>1</v>
      </c>
      <c r="G1653" s="13" t="n">
        <v>2</v>
      </c>
      <c r="H1653" s="5" t="n">
        <v>560</v>
      </c>
      <c r="I1653" s="7" t="n">
        <v>3</v>
      </c>
      <c r="J1653" s="16" t="n">
        <v>186.666666666667</v>
      </c>
      <c r="K1653" s="16"/>
      <c r="L1653" s="16"/>
      <c r="M1653" s="16" t="n">
        <v>186.666666666667</v>
      </c>
      <c r="N1653" s="19"/>
    </row>
    <row r="1654" customFormat="false" ht="15" hidden="false" customHeight="false" outlineLevel="0" collapsed="false">
      <c r="A1654" s="13" t="s">
        <v>4499</v>
      </c>
      <c r="B1654" s="13" t="s">
        <v>195</v>
      </c>
      <c r="C1654" s="13" t="s">
        <v>43</v>
      </c>
      <c r="D1654" s="13" t="s">
        <v>2324</v>
      </c>
      <c r="E1654" s="13" t="s">
        <v>1622</v>
      </c>
      <c r="F1654" s="13" t="n">
        <v>1</v>
      </c>
      <c r="G1654" s="13" t="n">
        <v>1</v>
      </c>
      <c r="H1654" s="5" t="n">
        <v>560</v>
      </c>
      <c r="I1654" s="7" t="n">
        <v>1</v>
      </c>
      <c r="J1654" s="16" t="n">
        <v>560</v>
      </c>
      <c r="K1654" s="16"/>
      <c r="L1654" s="16"/>
      <c r="M1654" s="16" t="n">
        <v>560</v>
      </c>
      <c r="N1654" s="19"/>
    </row>
    <row r="1655" customFormat="false" ht="15" hidden="false" customHeight="false" outlineLevel="0" collapsed="false">
      <c r="A1655" s="13" t="s">
        <v>4500</v>
      </c>
      <c r="B1655" s="13" t="s">
        <v>2192</v>
      </c>
      <c r="C1655" s="13" t="s">
        <v>85</v>
      </c>
      <c r="D1655" s="13" t="s">
        <v>2324</v>
      </c>
      <c r="E1655" s="13" t="s">
        <v>4501</v>
      </c>
      <c r="F1655" s="13" t="n">
        <v>1</v>
      </c>
      <c r="G1655" s="13" t="n">
        <v>1</v>
      </c>
      <c r="H1655" s="5" t="n">
        <v>560</v>
      </c>
      <c r="I1655" s="7" t="n">
        <v>2</v>
      </c>
      <c r="J1655" s="16" t="n">
        <v>280</v>
      </c>
      <c r="K1655" s="16"/>
      <c r="L1655" s="16"/>
      <c r="M1655" s="16" t="n">
        <v>280</v>
      </c>
      <c r="N1655" s="19"/>
    </row>
    <row r="1656" customFormat="false" ht="15" hidden="false" customHeight="false" outlineLevel="0" collapsed="false">
      <c r="A1656" s="13" t="s">
        <v>4502</v>
      </c>
      <c r="B1656" s="13" t="s">
        <v>2266</v>
      </c>
      <c r="C1656" s="13" t="s">
        <v>43</v>
      </c>
      <c r="D1656" s="13" t="s">
        <v>2324</v>
      </c>
      <c r="E1656" s="13" t="s">
        <v>4503</v>
      </c>
      <c r="F1656" s="13" t="n">
        <v>1</v>
      </c>
      <c r="G1656" s="13" t="n">
        <v>1</v>
      </c>
      <c r="H1656" s="5" t="n">
        <v>550</v>
      </c>
      <c r="I1656" s="7" t="n">
        <v>1</v>
      </c>
      <c r="J1656" s="16" t="n">
        <v>550</v>
      </c>
      <c r="K1656" s="16"/>
      <c r="L1656" s="16" t="n">
        <v>550</v>
      </c>
      <c r="M1656" s="16"/>
      <c r="N1656" s="19"/>
    </row>
    <row r="1657" customFormat="false" ht="15" hidden="false" customHeight="false" outlineLevel="0" collapsed="false">
      <c r="A1657" s="13" t="s">
        <v>4504</v>
      </c>
      <c r="B1657" s="13" t="s">
        <v>2110</v>
      </c>
      <c r="C1657" s="13" t="s">
        <v>43</v>
      </c>
      <c r="D1657" s="13" t="s">
        <v>4505</v>
      </c>
      <c r="E1657" s="13" t="s">
        <v>4506</v>
      </c>
      <c r="F1657" s="13" t="n">
        <v>1</v>
      </c>
      <c r="G1657" s="13" t="n">
        <v>1</v>
      </c>
      <c r="H1657" s="5" t="n">
        <v>550</v>
      </c>
      <c r="I1657" s="7" t="n">
        <v>1</v>
      </c>
      <c r="J1657" s="16" t="n">
        <v>550</v>
      </c>
      <c r="K1657" s="16"/>
      <c r="L1657" s="16"/>
      <c r="M1657" s="16" t="n">
        <v>550</v>
      </c>
      <c r="N1657" s="19"/>
    </row>
    <row r="1658" customFormat="false" ht="15" hidden="false" customHeight="false" outlineLevel="0" collapsed="false">
      <c r="A1658" s="13" t="s">
        <v>4507</v>
      </c>
      <c r="B1658" s="13" t="s">
        <v>2110</v>
      </c>
      <c r="C1658" s="13" t="s">
        <v>43</v>
      </c>
      <c r="D1658" s="13" t="s">
        <v>2339</v>
      </c>
      <c r="E1658" s="13" t="s">
        <v>4508</v>
      </c>
      <c r="F1658" s="13" t="n">
        <v>1</v>
      </c>
      <c r="G1658" s="13" t="n">
        <v>1</v>
      </c>
      <c r="H1658" s="5" t="n">
        <v>550</v>
      </c>
      <c r="I1658" s="7" t="n">
        <v>1</v>
      </c>
      <c r="J1658" s="16" t="n">
        <v>550</v>
      </c>
      <c r="K1658" s="16"/>
      <c r="L1658" s="16"/>
      <c r="M1658" s="16" t="n">
        <v>550</v>
      </c>
      <c r="N1658" s="19"/>
    </row>
    <row r="1659" customFormat="false" ht="15" hidden="false" customHeight="false" outlineLevel="0" collapsed="false">
      <c r="A1659" s="13" t="s">
        <v>4509</v>
      </c>
      <c r="B1659" s="13" t="s">
        <v>103</v>
      </c>
      <c r="C1659" s="13" t="s">
        <v>43</v>
      </c>
      <c r="D1659" s="13" t="s">
        <v>2324</v>
      </c>
      <c r="E1659" s="13" t="s">
        <v>1163</v>
      </c>
      <c r="F1659" s="13" t="n">
        <v>1</v>
      </c>
      <c r="G1659" s="13" t="n">
        <v>1</v>
      </c>
      <c r="H1659" s="5" t="n">
        <v>550</v>
      </c>
      <c r="I1659" s="7" t="n">
        <v>2</v>
      </c>
      <c r="J1659" s="16" t="n">
        <v>275</v>
      </c>
      <c r="K1659" s="16"/>
      <c r="L1659" s="16"/>
      <c r="M1659" s="16" t="n">
        <v>275</v>
      </c>
      <c r="N1659" s="19"/>
    </row>
    <row r="1660" customFormat="false" ht="15" hidden="false" customHeight="false" outlineLevel="0" collapsed="false">
      <c r="A1660" s="13" t="s">
        <v>4510</v>
      </c>
      <c r="B1660" s="13" t="s">
        <v>54</v>
      </c>
      <c r="C1660" s="13" t="s">
        <v>43</v>
      </c>
      <c r="D1660" s="13" t="s">
        <v>2324</v>
      </c>
      <c r="E1660" s="13" t="s">
        <v>1633</v>
      </c>
      <c r="F1660" s="13" t="n">
        <v>1</v>
      </c>
      <c r="G1660" s="13" t="n">
        <v>1</v>
      </c>
      <c r="H1660" s="5" t="n">
        <v>550</v>
      </c>
      <c r="I1660" s="7" t="n">
        <v>2</v>
      </c>
      <c r="J1660" s="16" t="n">
        <v>275</v>
      </c>
      <c r="K1660" s="16"/>
      <c r="L1660" s="16"/>
      <c r="M1660" s="16" t="n">
        <v>275</v>
      </c>
      <c r="N1660" s="19"/>
    </row>
    <row r="1661" customFormat="false" ht="15" hidden="false" customHeight="false" outlineLevel="0" collapsed="false">
      <c r="A1661" s="13" t="s">
        <v>4511</v>
      </c>
      <c r="B1661" s="13" t="s">
        <v>79</v>
      </c>
      <c r="C1661" s="13" t="s">
        <v>43</v>
      </c>
      <c r="D1661" s="13" t="s">
        <v>2324</v>
      </c>
      <c r="E1661" s="13" t="s">
        <v>1631</v>
      </c>
      <c r="F1661" s="13" t="n">
        <v>1</v>
      </c>
      <c r="G1661" s="13" t="n">
        <v>1</v>
      </c>
      <c r="H1661" s="5" t="n">
        <v>550</v>
      </c>
      <c r="I1661" s="7" t="n">
        <v>1</v>
      </c>
      <c r="J1661" s="16" t="n">
        <v>550</v>
      </c>
      <c r="K1661" s="16"/>
      <c r="L1661" s="16" t="n">
        <v>550</v>
      </c>
      <c r="M1661" s="16"/>
      <c r="N1661" s="19"/>
    </row>
    <row r="1662" customFormat="false" ht="15" hidden="false" customHeight="false" outlineLevel="0" collapsed="false">
      <c r="A1662" s="13" t="s">
        <v>4512</v>
      </c>
      <c r="B1662" s="13" t="s">
        <v>50</v>
      </c>
      <c r="C1662" s="13" t="s">
        <v>43</v>
      </c>
      <c r="D1662" s="13" t="s">
        <v>2324</v>
      </c>
      <c r="E1662" s="13" t="s">
        <v>1079</v>
      </c>
      <c r="F1662" s="13" t="n">
        <v>1</v>
      </c>
      <c r="G1662" s="13" t="n">
        <v>1</v>
      </c>
      <c r="H1662" s="5" t="n">
        <v>540</v>
      </c>
      <c r="I1662" s="7" t="n">
        <v>2</v>
      </c>
      <c r="J1662" s="16" t="n">
        <v>270</v>
      </c>
      <c r="K1662" s="16"/>
      <c r="L1662" s="16"/>
      <c r="M1662" s="16" t="n">
        <v>270</v>
      </c>
      <c r="N1662" s="19"/>
    </row>
    <row r="1663" customFormat="false" ht="15" hidden="false" customHeight="false" outlineLevel="0" collapsed="false">
      <c r="A1663" s="13" t="s">
        <v>4513</v>
      </c>
      <c r="B1663" s="13" t="s">
        <v>111</v>
      </c>
      <c r="C1663" s="13" t="s">
        <v>43</v>
      </c>
      <c r="D1663" s="13" t="s">
        <v>2324</v>
      </c>
      <c r="E1663" s="13" t="s">
        <v>1634</v>
      </c>
      <c r="F1663" s="13" t="n">
        <v>1</v>
      </c>
      <c r="G1663" s="13" t="n">
        <v>1</v>
      </c>
      <c r="H1663" s="5" t="n">
        <v>540</v>
      </c>
      <c r="I1663" s="7" t="n">
        <v>1</v>
      </c>
      <c r="J1663" s="16" t="n">
        <v>540</v>
      </c>
      <c r="K1663" s="16"/>
      <c r="L1663" s="16" t="n">
        <v>540</v>
      </c>
      <c r="M1663" s="16"/>
      <c r="N1663" s="19"/>
    </row>
    <row r="1664" customFormat="false" ht="15" hidden="false" customHeight="false" outlineLevel="0" collapsed="false">
      <c r="A1664" s="13" t="s">
        <v>4514</v>
      </c>
      <c r="B1664" s="13" t="s">
        <v>2192</v>
      </c>
      <c r="C1664" s="13" t="s">
        <v>183</v>
      </c>
      <c r="D1664" s="13" t="s">
        <v>2324</v>
      </c>
      <c r="E1664" s="13" t="s">
        <v>4515</v>
      </c>
      <c r="F1664" s="13" t="n">
        <v>1</v>
      </c>
      <c r="G1664" s="13" t="n">
        <v>1</v>
      </c>
      <c r="H1664" s="5" t="n">
        <v>540</v>
      </c>
      <c r="I1664" s="7" t="n">
        <v>2</v>
      </c>
      <c r="J1664" s="16" t="n">
        <v>270</v>
      </c>
      <c r="K1664" s="16"/>
      <c r="L1664" s="16"/>
      <c r="M1664" s="16" t="n">
        <v>270</v>
      </c>
      <c r="N1664" s="19"/>
    </row>
    <row r="1665" customFormat="false" ht="15" hidden="false" customHeight="false" outlineLevel="0" collapsed="false">
      <c r="A1665" s="13" t="s">
        <v>4516</v>
      </c>
      <c r="B1665" s="13" t="s">
        <v>61</v>
      </c>
      <c r="C1665" s="13" t="s">
        <v>43</v>
      </c>
      <c r="D1665" s="13" t="s">
        <v>2324</v>
      </c>
      <c r="E1665" s="13" t="s">
        <v>1641</v>
      </c>
      <c r="F1665" s="13" t="n">
        <v>1</v>
      </c>
      <c r="G1665" s="13" t="n">
        <v>1</v>
      </c>
      <c r="H1665" s="5" t="n">
        <v>540</v>
      </c>
      <c r="I1665" s="7" t="n">
        <v>2</v>
      </c>
      <c r="J1665" s="16" t="n">
        <v>270</v>
      </c>
      <c r="K1665" s="16"/>
      <c r="L1665" s="16"/>
      <c r="M1665" s="16" t="n">
        <v>270</v>
      </c>
      <c r="N1665" s="19"/>
    </row>
    <row r="1666" customFormat="false" ht="15" hidden="false" customHeight="false" outlineLevel="0" collapsed="false">
      <c r="A1666" s="13" t="s">
        <v>4517</v>
      </c>
      <c r="B1666" s="13" t="s">
        <v>59</v>
      </c>
      <c r="C1666" s="13" t="s">
        <v>43</v>
      </c>
      <c r="D1666" s="13" t="s">
        <v>2324</v>
      </c>
      <c r="E1666" s="13" t="s">
        <v>1800</v>
      </c>
      <c r="F1666" s="13" t="n">
        <v>2</v>
      </c>
      <c r="G1666" s="13" t="n">
        <v>2</v>
      </c>
      <c r="H1666" s="5" t="n">
        <v>540</v>
      </c>
      <c r="I1666" s="7" t="n">
        <v>3</v>
      </c>
      <c r="J1666" s="16" t="n">
        <v>180</v>
      </c>
      <c r="K1666" s="16"/>
      <c r="L1666" s="16" t="n">
        <v>160</v>
      </c>
      <c r="M1666" s="16" t="n">
        <v>190</v>
      </c>
      <c r="N1666" s="19" t="n">
        <v>0.1875</v>
      </c>
    </row>
    <row r="1667" customFormat="false" ht="15" hidden="false" customHeight="false" outlineLevel="0" collapsed="false">
      <c r="A1667" s="13" t="s">
        <v>4518</v>
      </c>
      <c r="B1667" s="13" t="s">
        <v>111</v>
      </c>
      <c r="C1667" s="13" t="s">
        <v>43</v>
      </c>
      <c r="D1667" s="13" t="s">
        <v>2324</v>
      </c>
      <c r="E1667" s="13" t="s">
        <v>1638</v>
      </c>
      <c r="F1667" s="13" t="n">
        <v>1</v>
      </c>
      <c r="G1667" s="13" t="n">
        <v>1</v>
      </c>
      <c r="H1667" s="5" t="n">
        <v>540</v>
      </c>
      <c r="I1667" s="7" t="n">
        <v>1</v>
      </c>
      <c r="J1667" s="16" t="n">
        <v>540</v>
      </c>
      <c r="K1667" s="16"/>
      <c r="L1667" s="16" t="n">
        <v>540</v>
      </c>
      <c r="M1667" s="16"/>
      <c r="N1667" s="19"/>
    </row>
    <row r="1668" customFormat="false" ht="15" hidden="false" customHeight="false" outlineLevel="0" collapsed="false">
      <c r="A1668" s="13" t="s">
        <v>4519</v>
      </c>
      <c r="B1668" s="13" t="s">
        <v>111</v>
      </c>
      <c r="C1668" s="13" t="s">
        <v>43</v>
      </c>
      <c r="D1668" s="13" t="s">
        <v>2324</v>
      </c>
      <c r="E1668" s="13" t="s">
        <v>1639</v>
      </c>
      <c r="F1668" s="13" t="n">
        <v>1</v>
      </c>
      <c r="G1668" s="13" t="n">
        <v>1</v>
      </c>
      <c r="H1668" s="5" t="n">
        <v>540</v>
      </c>
      <c r="I1668" s="7" t="n">
        <v>1</v>
      </c>
      <c r="J1668" s="16" t="n">
        <v>540</v>
      </c>
      <c r="K1668" s="16"/>
      <c r="L1668" s="16" t="n">
        <v>540</v>
      </c>
      <c r="M1668" s="16"/>
      <c r="N1668" s="19"/>
    </row>
    <row r="1669" customFormat="false" ht="15" hidden="false" customHeight="false" outlineLevel="0" collapsed="false">
      <c r="A1669" s="13" t="s">
        <v>4520</v>
      </c>
      <c r="B1669" s="13" t="s">
        <v>179</v>
      </c>
      <c r="C1669" s="13" t="s">
        <v>180</v>
      </c>
      <c r="D1669" s="13" t="s">
        <v>2324</v>
      </c>
      <c r="E1669" s="13" t="s">
        <v>1643</v>
      </c>
      <c r="F1669" s="13" t="n">
        <v>1</v>
      </c>
      <c r="G1669" s="13" t="n">
        <v>1</v>
      </c>
      <c r="H1669" s="5" t="n">
        <v>530</v>
      </c>
      <c r="I1669" s="7" t="n">
        <v>5</v>
      </c>
      <c r="J1669" s="16" t="n">
        <v>106</v>
      </c>
      <c r="K1669" s="16" t="n">
        <v>106</v>
      </c>
      <c r="L1669" s="16"/>
      <c r="M1669" s="16"/>
      <c r="N1669" s="19"/>
    </row>
    <row r="1670" customFormat="false" ht="15" hidden="false" customHeight="false" outlineLevel="0" collapsed="false">
      <c r="A1670" s="13" t="s">
        <v>4521</v>
      </c>
      <c r="B1670" s="13" t="s">
        <v>2215</v>
      </c>
      <c r="C1670" s="13" t="s">
        <v>85</v>
      </c>
      <c r="D1670" s="13" t="s">
        <v>3419</v>
      </c>
      <c r="E1670" s="13" t="s">
        <v>4522</v>
      </c>
      <c r="F1670" s="13" t="n">
        <v>1</v>
      </c>
      <c r="G1670" s="13" t="n">
        <v>2</v>
      </c>
      <c r="H1670" s="5" t="n">
        <v>530</v>
      </c>
      <c r="I1670" s="7" t="n">
        <v>2</v>
      </c>
      <c r="J1670" s="16" t="n">
        <v>265</v>
      </c>
      <c r="K1670" s="16"/>
      <c r="L1670" s="16"/>
      <c r="M1670" s="16" t="n">
        <v>265</v>
      </c>
      <c r="N1670" s="19"/>
    </row>
    <row r="1671" customFormat="false" ht="15" hidden="false" customHeight="false" outlineLevel="0" collapsed="false">
      <c r="A1671" s="13" t="s">
        <v>4523</v>
      </c>
      <c r="B1671" s="13" t="s">
        <v>54</v>
      </c>
      <c r="C1671" s="13" t="s">
        <v>43</v>
      </c>
      <c r="D1671" s="13" t="s">
        <v>2324</v>
      </c>
      <c r="E1671" s="13" t="s">
        <v>1650</v>
      </c>
      <c r="F1671" s="13" t="n">
        <v>1</v>
      </c>
      <c r="G1671" s="13" t="n">
        <v>1</v>
      </c>
      <c r="H1671" s="5" t="n">
        <v>530</v>
      </c>
      <c r="I1671" s="7" t="n">
        <v>1</v>
      </c>
      <c r="J1671" s="16" t="n">
        <v>530</v>
      </c>
      <c r="K1671" s="16"/>
      <c r="L1671" s="16"/>
      <c r="M1671" s="16" t="n">
        <v>530</v>
      </c>
      <c r="N1671" s="19"/>
    </row>
    <row r="1672" customFormat="false" ht="15" hidden="false" customHeight="false" outlineLevel="0" collapsed="false">
      <c r="A1672" s="13" t="s">
        <v>4524</v>
      </c>
      <c r="B1672" s="13" t="s">
        <v>2110</v>
      </c>
      <c r="C1672" s="13" t="s">
        <v>43</v>
      </c>
      <c r="D1672" s="13" t="s">
        <v>2324</v>
      </c>
      <c r="E1672" s="13" t="s">
        <v>4525</v>
      </c>
      <c r="F1672" s="13" t="n">
        <v>1</v>
      </c>
      <c r="G1672" s="13" t="n">
        <v>1</v>
      </c>
      <c r="H1672" s="5" t="n">
        <v>530</v>
      </c>
      <c r="I1672" s="7" t="n">
        <v>1</v>
      </c>
      <c r="J1672" s="16" t="n">
        <v>530</v>
      </c>
      <c r="K1672" s="16"/>
      <c r="L1672" s="16"/>
      <c r="M1672" s="16" t="n">
        <v>530</v>
      </c>
      <c r="N1672" s="19"/>
    </row>
    <row r="1673" customFormat="false" ht="15" hidden="false" customHeight="false" outlineLevel="0" collapsed="false">
      <c r="A1673" s="13" t="s">
        <v>4526</v>
      </c>
      <c r="B1673" s="13" t="s">
        <v>2096</v>
      </c>
      <c r="C1673" s="13" t="s">
        <v>43</v>
      </c>
      <c r="D1673" s="13" t="s">
        <v>2339</v>
      </c>
      <c r="E1673" s="13" t="s">
        <v>4527</v>
      </c>
      <c r="F1673" s="13" t="n">
        <v>1</v>
      </c>
      <c r="G1673" s="13" t="n">
        <v>1</v>
      </c>
      <c r="H1673" s="5" t="n">
        <v>530</v>
      </c>
      <c r="I1673" s="7" t="n">
        <v>5</v>
      </c>
      <c r="J1673" s="16" t="n">
        <v>106</v>
      </c>
      <c r="K1673" s="16" t="n">
        <v>106</v>
      </c>
      <c r="L1673" s="16"/>
      <c r="M1673" s="16"/>
      <c r="N1673" s="19"/>
    </row>
    <row r="1674" customFormat="false" ht="15" hidden="false" customHeight="false" outlineLevel="0" collapsed="false">
      <c r="A1674" s="13" t="s">
        <v>4528</v>
      </c>
      <c r="B1674" s="13" t="s">
        <v>59</v>
      </c>
      <c r="C1674" s="13" t="s">
        <v>43</v>
      </c>
      <c r="D1674" s="13" t="s">
        <v>2324</v>
      </c>
      <c r="E1674" s="13" t="s">
        <v>1779</v>
      </c>
      <c r="F1674" s="13" t="n">
        <v>1</v>
      </c>
      <c r="G1674" s="13" t="n">
        <v>2</v>
      </c>
      <c r="H1674" s="5" t="n">
        <v>530</v>
      </c>
      <c r="I1674" s="7" t="n">
        <v>3</v>
      </c>
      <c r="J1674" s="16" t="n">
        <v>176.666666666667</v>
      </c>
      <c r="K1674" s="16"/>
      <c r="L1674" s="16"/>
      <c r="M1674" s="16" t="n">
        <v>176.666666666667</v>
      </c>
      <c r="N1674" s="19"/>
    </row>
    <row r="1675" customFormat="false" ht="15" hidden="false" customHeight="false" outlineLevel="0" collapsed="false">
      <c r="A1675" s="13" t="s">
        <v>4529</v>
      </c>
      <c r="B1675" s="13" t="s">
        <v>2143</v>
      </c>
      <c r="C1675" s="13" t="s">
        <v>43</v>
      </c>
      <c r="D1675" s="13" t="s">
        <v>2324</v>
      </c>
      <c r="E1675" s="13" t="s">
        <v>4530</v>
      </c>
      <c r="F1675" s="13" t="n">
        <v>1</v>
      </c>
      <c r="G1675" s="13" t="n">
        <v>1</v>
      </c>
      <c r="H1675" s="5" t="n">
        <v>530</v>
      </c>
      <c r="I1675" s="7" t="n">
        <v>1</v>
      </c>
      <c r="J1675" s="16" t="n">
        <v>530</v>
      </c>
      <c r="K1675" s="16"/>
      <c r="L1675" s="16" t="n">
        <v>530</v>
      </c>
      <c r="M1675" s="16"/>
      <c r="N1675" s="19"/>
    </row>
    <row r="1676" customFormat="false" ht="15" hidden="false" customHeight="false" outlineLevel="0" collapsed="false">
      <c r="A1676" s="13" t="s">
        <v>4531</v>
      </c>
      <c r="B1676" s="13" t="s">
        <v>2192</v>
      </c>
      <c r="C1676" s="13" t="s">
        <v>85</v>
      </c>
      <c r="D1676" s="13" t="s">
        <v>2324</v>
      </c>
      <c r="E1676" s="13" t="s">
        <v>4532</v>
      </c>
      <c r="F1676" s="13" t="n">
        <v>1</v>
      </c>
      <c r="G1676" s="13" t="n">
        <v>1</v>
      </c>
      <c r="H1676" s="5" t="n">
        <v>530</v>
      </c>
      <c r="I1676" s="7" t="n">
        <v>2</v>
      </c>
      <c r="J1676" s="16" t="n">
        <v>265</v>
      </c>
      <c r="K1676" s="16"/>
      <c r="L1676" s="16"/>
      <c r="M1676" s="16" t="n">
        <v>265</v>
      </c>
      <c r="N1676" s="19"/>
    </row>
    <row r="1677" customFormat="false" ht="15" hidden="false" customHeight="false" outlineLevel="0" collapsed="false">
      <c r="A1677" s="13" t="s">
        <v>4533</v>
      </c>
      <c r="B1677" s="13" t="s">
        <v>2226</v>
      </c>
      <c r="C1677" s="13" t="s">
        <v>85</v>
      </c>
      <c r="D1677" s="13" t="s">
        <v>2324</v>
      </c>
      <c r="E1677" s="13" t="s">
        <v>4534</v>
      </c>
      <c r="F1677" s="13" t="n">
        <v>1</v>
      </c>
      <c r="G1677" s="13" t="n">
        <v>1</v>
      </c>
      <c r="H1677" s="5" t="n">
        <v>530</v>
      </c>
      <c r="I1677" s="7" t="n">
        <v>20</v>
      </c>
      <c r="J1677" s="16" t="n">
        <v>26.5</v>
      </c>
      <c r="K1677" s="16" t="n">
        <v>26.5</v>
      </c>
      <c r="L1677" s="16"/>
      <c r="M1677" s="16"/>
      <c r="N1677" s="19"/>
    </row>
    <row r="1678" customFormat="false" ht="15" hidden="false" customHeight="false" outlineLevel="0" collapsed="false">
      <c r="A1678" s="13" t="s">
        <v>4535</v>
      </c>
      <c r="B1678" s="13" t="s">
        <v>2134</v>
      </c>
      <c r="C1678" s="13" t="s">
        <v>85</v>
      </c>
      <c r="D1678" s="13" t="s">
        <v>2339</v>
      </c>
      <c r="E1678" s="13" t="s">
        <v>4536</v>
      </c>
      <c r="F1678" s="13" t="n">
        <v>1</v>
      </c>
      <c r="G1678" s="13" t="n">
        <v>1</v>
      </c>
      <c r="H1678" s="5" t="n">
        <v>530</v>
      </c>
      <c r="I1678" s="7" t="n">
        <v>1</v>
      </c>
      <c r="J1678" s="16" t="n">
        <v>530</v>
      </c>
      <c r="K1678" s="16"/>
      <c r="L1678" s="16" t="n">
        <v>530</v>
      </c>
      <c r="M1678" s="16"/>
      <c r="N1678" s="19"/>
    </row>
    <row r="1679" customFormat="false" ht="15" hidden="false" customHeight="false" outlineLevel="0" collapsed="false">
      <c r="A1679" s="13" t="s">
        <v>4537</v>
      </c>
      <c r="B1679" s="13" t="s">
        <v>54</v>
      </c>
      <c r="C1679" s="13" t="s">
        <v>43</v>
      </c>
      <c r="D1679" s="13" t="s">
        <v>2324</v>
      </c>
      <c r="E1679" s="13" t="s">
        <v>1649</v>
      </c>
      <c r="F1679" s="13" t="n">
        <v>1</v>
      </c>
      <c r="G1679" s="13" t="n">
        <v>1</v>
      </c>
      <c r="H1679" s="5" t="n">
        <v>530</v>
      </c>
      <c r="I1679" s="7" t="n">
        <v>1</v>
      </c>
      <c r="J1679" s="16" t="n">
        <v>530</v>
      </c>
      <c r="K1679" s="16"/>
      <c r="L1679" s="16"/>
      <c r="M1679" s="16" t="n">
        <v>530</v>
      </c>
      <c r="N1679" s="19"/>
    </row>
    <row r="1680" customFormat="false" ht="15" hidden="false" customHeight="false" outlineLevel="0" collapsed="false">
      <c r="A1680" s="13" t="s">
        <v>4538</v>
      </c>
      <c r="B1680" s="13" t="s">
        <v>42</v>
      </c>
      <c r="C1680" s="13" t="s">
        <v>43</v>
      </c>
      <c r="D1680" s="13" t="s">
        <v>2324</v>
      </c>
      <c r="E1680" s="13" t="s">
        <v>91</v>
      </c>
      <c r="F1680" s="13" t="n">
        <v>1</v>
      </c>
      <c r="G1680" s="13" t="n">
        <v>1</v>
      </c>
      <c r="H1680" s="5" t="n">
        <v>530</v>
      </c>
      <c r="I1680" s="7" t="n">
        <v>1</v>
      </c>
      <c r="J1680" s="16" t="n">
        <v>530</v>
      </c>
      <c r="K1680" s="16"/>
      <c r="L1680" s="16" t="n">
        <v>530</v>
      </c>
      <c r="M1680" s="16"/>
      <c r="N1680" s="19"/>
    </row>
    <row r="1681" customFormat="false" ht="15" hidden="false" customHeight="false" outlineLevel="0" collapsed="false">
      <c r="A1681" s="13" t="s">
        <v>4539</v>
      </c>
      <c r="B1681" s="13" t="s">
        <v>153</v>
      </c>
      <c r="C1681" s="13" t="s">
        <v>43</v>
      </c>
      <c r="D1681" s="13" t="s">
        <v>2324</v>
      </c>
      <c r="E1681" s="13" t="s">
        <v>1467</v>
      </c>
      <c r="F1681" s="13" t="n">
        <v>1</v>
      </c>
      <c r="G1681" s="13" t="n">
        <v>1</v>
      </c>
      <c r="H1681" s="5" t="n">
        <v>520</v>
      </c>
      <c r="I1681" s="7" t="n">
        <v>1</v>
      </c>
      <c r="J1681" s="16" t="n">
        <v>520</v>
      </c>
      <c r="K1681" s="16"/>
      <c r="L1681" s="16"/>
      <c r="M1681" s="16" t="n">
        <v>520</v>
      </c>
      <c r="N1681" s="19"/>
    </row>
    <row r="1682" customFormat="false" ht="15" hidden="false" customHeight="false" outlineLevel="0" collapsed="false">
      <c r="A1682" s="13" t="s">
        <v>4540</v>
      </c>
      <c r="B1682" s="13" t="s">
        <v>2155</v>
      </c>
      <c r="C1682" s="13" t="s">
        <v>85</v>
      </c>
      <c r="D1682" s="13" t="s">
        <v>2324</v>
      </c>
      <c r="E1682" s="13" t="s">
        <v>4541</v>
      </c>
      <c r="F1682" s="13" t="n">
        <v>1</v>
      </c>
      <c r="G1682" s="13" t="n">
        <v>1</v>
      </c>
      <c r="H1682" s="5" t="n">
        <v>520</v>
      </c>
      <c r="I1682" s="7" t="n">
        <v>2</v>
      </c>
      <c r="J1682" s="16" t="n">
        <v>260</v>
      </c>
      <c r="K1682" s="16"/>
      <c r="L1682" s="16"/>
      <c r="M1682" s="16" t="n">
        <v>260</v>
      </c>
      <c r="N1682" s="19"/>
    </row>
    <row r="1683" customFormat="false" ht="15" hidden="false" customHeight="false" outlineLevel="0" collapsed="false">
      <c r="A1683" s="13" t="s">
        <v>4542</v>
      </c>
      <c r="B1683" s="13" t="s">
        <v>79</v>
      </c>
      <c r="C1683" s="13" t="s">
        <v>43</v>
      </c>
      <c r="D1683" s="13" t="s">
        <v>2324</v>
      </c>
      <c r="E1683" s="13" t="s">
        <v>1655</v>
      </c>
      <c r="F1683" s="13" t="n">
        <v>1</v>
      </c>
      <c r="G1683" s="13" t="n">
        <v>1</v>
      </c>
      <c r="H1683" s="5" t="n">
        <v>520</v>
      </c>
      <c r="I1683" s="7" t="n">
        <v>1</v>
      </c>
      <c r="J1683" s="16" t="n">
        <v>520</v>
      </c>
      <c r="K1683" s="16"/>
      <c r="L1683" s="16"/>
      <c r="M1683" s="16" t="n">
        <v>520</v>
      </c>
      <c r="N1683" s="19"/>
    </row>
    <row r="1684" customFormat="false" ht="15" hidden="false" customHeight="false" outlineLevel="0" collapsed="false">
      <c r="A1684" s="13" t="s">
        <v>4543</v>
      </c>
      <c r="B1684" s="13" t="s">
        <v>2099</v>
      </c>
      <c r="C1684" s="13" t="s">
        <v>43</v>
      </c>
      <c r="D1684" s="13" t="s">
        <v>2324</v>
      </c>
      <c r="E1684" s="13" t="s">
        <v>4544</v>
      </c>
      <c r="F1684" s="13" t="n">
        <v>1</v>
      </c>
      <c r="G1684" s="13" t="n">
        <v>1</v>
      </c>
      <c r="H1684" s="5" t="n">
        <v>520</v>
      </c>
      <c r="I1684" s="7" t="n">
        <v>20</v>
      </c>
      <c r="J1684" s="16" t="n">
        <v>26</v>
      </c>
      <c r="K1684" s="16" t="n">
        <v>26</v>
      </c>
      <c r="L1684" s="16"/>
      <c r="M1684" s="16"/>
      <c r="N1684" s="19"/>
    </row>
    <row r="1685" customFormat="false" ht="15" hidden="false" customHeight="false" outlineLevel="0" collapsed="false">
      <c r="A1685" s="13" t="s">
        <v>4545</v>
      </c>
      <c r="B1685" s="13" t="s">
        <v>255</v>
      </c>
      <c r="C1685" s="13" t="s">
        <v>43</v>
      </c>
      <c r="D1685" s="13" t="s">
        <v>2339</v>
      </c>
      <c r="E1685" s="13" t="s">
        <v>1917</v>
      </c>
      <c r="F1685" s="13" t="n">
        <v>1</v>
      </c>
      <c r="G1685" s="13" t="n">
        <v>2</v>
      </c>
      <c r="H1685" s="5" t="n">
        <v>520</v>
      </c>
      <c r="I1685" s="7" t="n">
        <v>2</v>
      </c>
      <c r="J1685" s="16" t="n">
        <v>260</v>
      </c>
      <c r="K1685" s="16"/>
      <c r="L1685" s="16" t="n">
        <v>260</v>
      </c>
      <c r="M1685" s="16"/>
      <c r="N1685" s="19"/>
    </row>
    <row r="1686" customFormat="false" ht="15" hidden="false" customHeight="false" outlineLevel="0" collapsed="false">
      <c r="A1686" s="13" t="s">
        <v>4546</v>
      </c>
      <c r="B1686" s="13" t="s">
        <v>2103</v>
      </c>
      <c r="C1686" s="13" t="s">
        <v>85</v>
      </c>
      <c r="D1686" s="13" t="s">
        <v>2324</v>
      </c>
      <c r="E1686" s="13" t="s">
        <v>4547</v>
      </c>
      <c r="F1686" s="13" t="n">
        <v>1</v>
      </c>
      <c r="G1686" s="13" t="n">
        <v>1</v>
      </c>
      <c r="H1686" s="5" t="n">
        <v>520</v>
      </c>
      <c r="I1686" s="7" t="n">
        <v>2</v>
      </c>
      <c r="J1686" s="16" t="n">
        <v>260</v>
      </c>
      <c r="K1686" s="16"/>
      <c r="L1686" s="16"/>
      <c r="M1686" s="16" t="n">
        <v>260</v>
      </c>
      <c r="N1686" s="19"/>
    </row>
    <row r="1687" customFormat="false" ht="15" hidden="false" customHeight="false" outlineLevel="0" collapsed="false">
      <c r="A1687" s="13" t="s">
        <v>4548</v>
      </c>
      <c r="B1687" s="13" t="s">
        <v>2225</v>
      </c>
      <c r="C1687" s="13" t="s">
        <v>43</v>
      </c>
      <c r="D1687" s="13" t="s">
        <v>2324</v>
      </c>
      <c r="E1687" s="13" t="s">
        <v>4549</v>
      </c>
      <c r="F1687" s="13" t="n">
        <v>1</v>
      </c>
      <c r="G1687" s="13" t="n">
        <v>1</v>
      </c>
      <c r="H1687" s="5" t="n">
        <v>520</v>
      </c>
      <c r="I1687" s="7" t="n">
        <v>5</v>
      </c>
      <c r="J1687" s="16" t="n">
        <v>104</v>
      </c>
      <c r="K1687" s="16" t="n">
        <v>104</v>
      </c>
      <c r="L1687" s="16"/>
      <c r="M1687" s="16"/>
      <c r="N1687" s="19"/>
    </row>
    <row r="1688" customFormat="false" ht="15" hidden="false" customHeight="false" outlineLevel="0" collapsed="false">
      <c r="A1688" s="13" t="s">
        <v>4550</v>
      </c>
      <c r="B1688" s="13" t="s">
        <v>2131</v>
      </c>
      <c r="C1688" s="13" t="s">
        <v>43</v>
      </c>
      <c r="D1688" s="13" t="s">
        <v>2324</v>
      </c>
      <c r="E1688" s="13" t="s">
        <v>3653</v>
      </c>
      <c r="F1688" s="13" t="n">
        <v>1</v>
      </c>
      <c r="G1688" s="13" t="n">
        <v>1</v>
      </c>
      <c r="H1688" s="5" t="n">
        <v>520</v>
      </c>
      <c r="I1688" s="7" t="n">
        <v>1</v>
      </c>
      <c r="J1688" s="16" t="n">
        <v>520</v>
      </c>
      <c r="K1688" s="16"/>
      <c r="L1688" s="16"/>
      <c r="M1688" s="16" t="n">
        <v>520</v>
      </c>
      <c r="N1688" s="19"/>
    </row>
    <row r="1689" customFormat="false" ht="15" hidden="false" customHeight="false" outlineLevel="0" collapsed="false">
      <c r="A1689" s="13" t="s">
        <v>4551</v>
      </c>
      <c r="B1689" s="13" t="s">
        <v>121</v>
      </c>
      <c r="C1689" s="13" t="s">
        <v>43</v>
      </c>
      <c r="D1689" s="13" t="s">
        <v>2339</v>
      </c>
      <c r="E1689" s="13" t="s">
        <v>1851</v>
      </c>
      <c r="F1689" s="13" t="n">
        <v>1</v>
      </c>
      <c r="G1689" s="13" t="n">
        <v>2</v>
      </c>
      <c r="H1689" s="5" t="n">
        <v>510</v>
      </c>
      <c r="I1689" s="7" t="n">
        <v>3</v>
      </c>
      <c r="J1689" s="16" t="n">
        <v>170</v>
      </c>
      <c r="K1689" s="16"/>
      <c r="L1689" s="16"/>
      <c r="M1689" s="16" t="n">
        <v>170</v>
      </c>
      <c r="N1689" s="19"/>
    </row>
    <row r="1690" customFormat="false" ht="15" hidden="false" customHeight="false" outlineLevel="0" collapsed="false">
      <c r="A1690" s="13" t="s">
        <v>4552</v>
      </c>
      <c r="B1690" s="13" t="s">
        <v>2155</v>
      </c>
      <c r="C1690" s="13" t="s">
        <v>85</v>
      </c>
      <c r="D1690" s="13" t="s">
        <v>2324</v>
      </c>
      <c r="E1690" s="13" t="s">
        <v>4553</v>
      </c>
      <c r="F1690" s="13" t="n">
        <v>1</v>
      </c>
      <c r="G1690" s="13" t="n">
        <v>2</v>
      </c>
      <c r="H1690" s="5" t="n">
        <v>510</v>
      </c>
      <c r="I1690" s="7" t="n">
        <v>3</v>
      </c>
      <c r="J1690" s="16" t="n">
        <v>170</v>
      </c>
      <c r="K1690" s="16"/>
      <c r="L1690" s="16"/>
      <c r="M1690" s="16" t="n">
        <v>170</v>
      </c>
      <c r="N1690" s="19"/>
    </row>
    <row r="1691" customFormat="false" ht="15" hidden="false" customHeight="false" outlineLevel="0" collapsed="false">
      <c r="A1691" s="13" t="s">
        <v>4554</v>
      </c>
      <c r="B1691" s="13" t="s">
        <v>2110</v>
      </c>
      <c r="C1691" s="13" t="s">
        <v>43</v>
      </c>
      <c r="D1691" s="13" t="s">
        <v>2324</v>
      </c>
      <c r="E1691" s="13" t="s">
        <v>4555</v>
      </c>
      <c r="F1691" s="13" t="n">
        <v>1</v>
      </c>
      <c r="G1691" s="13" t="n">
        <v>1</v>
      </c>
      <c r="H1691" s="5" t="n">
        <v>510</v>
      </c>
      <c r="I1691" s="7" t="n">
        <v>1</v>
      </c>
      <c r="J1691" s="16" t="n">
        <v>510</v>
      </c>
      <c r="K1691" s="16"/>
      <c r="L1691" s="16" t="n">
        <v>510</v>
      </c>
      <c r="M1691" s="16"/>
      <c r="N1691" s="19"/>
    </row>
    <row r="1692" customFormat="false" ht="15" hidden="false" customHeight="false" outlineLevel="0" collapsed="false">
      <c r="A1692" s="13" t="s">
        <v>4556</v>
      </c>
      <c r="B1692" s="13" t="s">
        <v>153</v>
      </c>
      <c r="C1692" s="13" t="s">
        <v>43</v>
      </c>
      <c r="D1692" s="13" t="s">
        <v>2500</v>
      </c>
      <c r="E1692" s="13" t="s">
        <v>1660</v>
      </c>
      <c r="F1692" s="13" t="n">
        <v>1</v>
      </c>
      <c r="G1692" s="13" t="n">
        <v>1</v>
      </c>
      <c r="H1692" s="5" t="n">
        <v>510</v>
      </c>
      <c r="I1692" s="7" t="n">
        <v>1</v>
      </c>
      <c r="J1692" s="16" t="n">
        <v>510</v>
      </c>
      <c r="K1692" s="16"/>
      <c r="L1692" s="16"/>
      <c r="M1692" s="16" t="n">
        <v>510</v>
      </c>
      <c r="N1692" s="19"/>
    </row>
    <row r="1693" customFormat="false" ht="15" hidden="false" customHeight="false" outlineLevel="0" collapsed="false">
      <c r="A1693" s="13" t="s">
        <v>4557</v>
      </c>
      <c r="B1693" s="13" t="s">
        <v>92</v>
      </c>
      <c r="C1693" s="13" t="s">
        <v>43</v>
      </c>
      <c r="D1693" s="13" t="s">
        <v>2324</v>
      </c>
      <c r="E1693" s="13" t="s">
        <v>1923</v>
      </c>
      <c r="F1693" s="13" t="n">
        <v>1</v>
      </c>
      <c r="G1693" s="13" t="n">
        <v>2</v>
      </c>
      <c r="H1693" s="5" t="n">
        <v>510</v>
      </c>
      <c r="I1693" s="7" t="n">
        <v>2</v>
      </c>
      <c r="J1693" s="16" t="n">
        <v>255</v>
      </c>
      <c r="K1693" s="16"/>
      <c r="L1693" s="16"/>
      <c r="M1693" s="16" t="n">
        <v>255</v>
      </c>
      <c r="N1693" s="19"/>
    </row>
    <row r="1694" customFormat="false" ht="15" hidden="false" customHeight="false" outlineLevel="0" collapsed="false">
      <c r="A1694" s="13" t="s">
        <v>4558</v>
      </c>
      <c r="B1694" s="13" t="s">
        <v>50</v>
      </c>
      <c r="C1694" s="13" t="s">
        <v>43</v>
      </c>
      <c r="D1694" s="13" t="s">
        <v>2324</v>
      </c>
      <c r="E1694" s="13" t="s">
        <v>1663</v>
      </c>
      <c r="F1694" s="13" t="n">
        <v>1</v>
      </c>
      <c r="G1694" s="13" t="n">
        <v>1</v>
      </c>
      <c r="H1694" s="5" t="n">
        <v>510</v>
      </c>
      <c r="I1694" s="7" t="n">
        <v>1</v>
      </c>
      <c r="J1694" s="16" t="n">
        <v>510</v>
      </c>
      <c r="K1694" s="16"/>
      <c r="L1694" s="16" t="n">
        <v>510</v>
      </c>
      <c r="M1694" s="16"/>
      <c r="N1694" s="19"/>
    </row>
    <row r="1695" customFormat="false" ht="15" hidden="false" customHeight="false" outlineLevel="0" collapsed="false">
      <c r="A1695" s="13" t="s">
        <v>4559</v>
      </c>
      <c r="B1695" s="13" t="s">
        <v>2187</v>
      </c>
      <c r="C1695" s="13" t="s">
        <v>85</v>
      </c>
      <c r="D1695" s="13" t="s">
        <v>4560</v>
      </c>
      <c r="E1695" s="13" t="s">
        <v>4561</v>
      </c>
      <c r="F1695" s="13" t="n">
        <v>1</v>
      </c>
      <c r="G1695" s="13" t="n">
        <v>1</v>
      </c>
      <c r="H1695" s="5" t="n">
        <v>510</v>
      </c>
      <c r="I1695" s="7" t="n">
        <v>5</v>
      </c>
      <c r="J1695" s="16" t="n">
        <v>102</v>
      </c>
      <c r="K1695" s="16" t="n">
        <v>102</v>
      </c>
      <c r="L1695" s="16"/>
      <c r="M1695" s="16"/>
      <c r="N1695" s="19"/>
    </row>
    <row r="1696" customFormat="false" ht="15" hidden="false" customHeight="false" outlineLevel="0" collapsed="false">
      <c r="A1696" s="13" t="s">
        <v>4562</v>
      </c>
      <c r="B1696" s="13" t="s">
        <v>105</v>
      </c>
      <c r="C1696" s="13" t="s">
        <v>43</v>
      </c>
      <c r="D1696" s="13" t="s">
        <v>2339</v>
      </c>
      <c r="E1696" s="13" t="s">
        <v>1666</v>
      </c>
      <c r="F1696" s="13" t="n">
        <v>1</v>
      </c>
      <c r="G1696" s="13" t="n">
        <v>1</v>
      </c>
      <c r="H1696" s="5" t="n">
        <v>500</v>
      </c>
      <c r="I1696" s="7" t="n">
        <v>1</v>
      </c>
      <c r="J1696" s="16" t="n">
        <v>500</v>
      </c>
      <c r="K1696" s="16"/>
      <c r="L1696" s="16" t="n">
        <v>500</v>
      </c>
      <c r="M1696" s="16"/>
      <c r="N1696" s="19"/>
    </row>
    <row r="1697" customFormat="false" ht="15" hidden="false" customHeight="false" outlineLevel="0" collapsed="false">
      <c r="A1697" s="13" t="s">
        <v>4563</v>
      </c>
      <c r="B1697" s="13" t="s">
        <v>2227</v>
      </c>
      <c r="C1697" s="13" t="s">
        <v>85</v>
      </c>
      <c r="D1697" s="13" t="s">
        <v>2324</v>
      </c>
      <c r="E1697" s="13" t="s">
        <v>4564</v>
      </c>
      <c r="F1697" s="13" t="n">
        <v>1</v>
      </c>
      <c r="G1697" s="13" t="n">
        <v>1</v>
      </c>
      <c r="H1697" s="5" t="n">
        <v>500</v>
      </c>
      <c r="I1697" s="7" t="n">
        <v>5</v>
      </c>
      <c r="J1697" s="16" t="n">
        <v>100</v>
      </c>
      <c r="K1697" s="16" t="n">
        <v>100</v>
      </c>
      <c r="L1697" s="16"/>
      <c r="M1697" s="16"/>
      <c r="N1697" s="19"/>
    </row>
    <row r="1698" customFormat="false" ht="15" hidden="false" customHeight="false" outlineLevel="0" collapsed="false">
      <c r="A1698" s="13" t="s">
        <v>4565</v>
      </c>
      <c r="B1698" s="13" t="s">
        <v>204</v>
      </c>
      <c r="C1698" s="13" t="s">
        <v>43</v>
      </c>
      <c r="D1698" s="13" t="s">
        <v>2327</v>
      </c>
      <c r="E1698" s="13" t="s">
        <v>1669</v>
      </c>
      <c r="F1698" s="13" t="n">
        <v>1</v>
      </c>
      <c r="G1698" s="13" t="n">
        <v>1</v>
      </c>
      <c r="H1698" s="5" t="n">
        <v>500</v>
      </c>
      <c r="I1698" s="7" t="n">
        <v>1</v>
      </c>
      <c r="J1698" s="16" t="n">
        <v>500</v>
      </c>
      <c r="K1698" s="16"/>
      <c r="L1698" s="16" t="n">
        <v>500</v>
      </c>
      <c r="M1698" s="16"/>
      <c r="N1698" s="19"/>
    </row>
    <row r="1699" customFormat="false" ht="15" hidden="false" customHeight="false" outlineLevel="0" collapsed="false">
      <c r="A1699" s="13" t="s">
        <v>4566</v>
      </c>
      <c r="B1699" s="13" t="s">
        <v>177</v>
      </c>
      <c r="C1699" s="13" t="s">
        <v>43</v>
      </c>
      <c r="D1699" s="13" t="s">
        <v>2500</v>
      </c>
      <c r="E1699" s="13" t="s">
        <v>1668</v>
      </c>
      <c r="F1699" s="13" t="n">
        <v>1</v>
      </c>
      <c r="G1699" s="13" t="n">
        <v>1</v>
      </c>
      <c r="H1699" s="5" t="n">
        <v>500</v>
      </c>
      <c r="I1699" s="7" t="n">
        <v>1</v>
      </c>
      <c r="J1699" s="16" t="n">
        <v>500</v>
      </c>
      <c r="K1699" s="16"/>
      <c r="L1699" s="16" t="n">
        <v>500</v>
      </c>
      <c r="M1699" s="16"/>
      <c r="N1699" s="19"/>
    </row>
    <row r="1700" customFormat="false" ht="15" hidden="false" customHeight="false" outlineLevel="0" collapsed="false">
      <c r="A1700" s="13" t="s">
        <v>4567</v>
      </c>
      <c r="B1700" s="13" t="s">
        <v>2152</v>
      </c>
      <c r="C1700" s="13" t="s">
        <v>43</v>
      </c>
      <c r="D1700" s="13" t="s">
        <v>2324</v>
      </c>
      <c r="E1700" s="13" t="s">
        <v>4568</v>
      </c>
      <c r="F1700" s="13" t="n">
        <v>1</v>
      </c>
      <c r="G1700" s="13" t="n">
        <v>1</v>
      </c>
      <c r="H1700" s="5" t="n">
        <v>500</v>
      </c>
      <c r="I1700" s="7" t="n">
        <v>2</v>
      </c>
      <c r="J1700" s="16" t="n">
        <v>250</v>
      </c>
      <c r="K1700" s="16" t="n">
        <v>250</v>
      </c>
      <c r="L1700" s="16"/>
      <c r="M1700" s="16"/>
      <c r="N1700" s="19"/>
    </row>
    <row r="1701" customFormat="false" ht="15" hidden="false" customHeight="false" outlineLevel="0" collapsed="false">
      <c r="A1701" s="13" t="s">
        <v>4569</v>
      </c>
      <c r="B1701" s="13" t="s">
        <v>45</v>
      </c>
      <c r="C1701" s="13" t="s">
        <v>43</v>
      </c>
      <c r="D1701" s="13" t="s">
        <v>2324</v>
      </c>
      <c r="E1701" s="13" t="s">
        <v>1665</v>
      </c>
      <c r="F1701" s="13" t="n">
        <v>1</v>
      </c>
      <c r="G1701" s="13" t="n">
        <v>1</v>
      </c>
      <c r="H1701" s="5" t="n">
        <v>500</v>
      </c>
      <c r="I1701" s="7" t="n">
        <v>1</v>
      </c>
      <c r="J1701" s="16" t="n">
        <v>500</v>
      </c>
      <c r="K1701" s="16"/>
      <c r="L1701" s="16" t="n">
        <v>500</v>
      </c>
      <c r="M1701" s="16"/>
      <c r="N1701" s="19"/>
    </row>
    <row r="1702" customFormat="false" ht="15" hidden="false" customHeight="false" outlineLevel="0" collapsed="false">
      <c r="A1702" s="13" t="s">
        <v>4570</v>
      </c>
      <c r="B1702" s="13" t="s">
        <v>121</v>
      </c>
      <c r="C1702" s="13" t="s">
        <v>183</v>
      </c>
      <c r="D1702" s="13" t="s">
        <v>3673</v>
      </c>
      <c r="E1702" s="13" t="s">
        <v>1935</v>
      </c>
      <c r="F1702" s="13" t="n">
        <v>1</v>
      </c>
      <c r="G1702" s="13" t="n">
        <v>3</v>
      </c>
      <c r="H1702" s="5" t="n">
        <v>500</v>
      </c>
      <c r="I1702" s="7" t="n">
        <v>5</v>
      </c>
      <c r="J1702" s="16" t="n">
        <v>100</v>
      </c>
      <c r="K1702" s="16"/>
      <c r="L1702" s="16"/>
      <c r="M1702" s="16" t="n">
        <v>100</v>
      </c>
      <c r="N1702" s="19"/>
    </row>
    <row r="1703" customFormat="false" ht="15" hidden="false" customHeight="false" outlineLevel="0" collapsed="false">
      <c r="A1703" s="13" t="s">
        <v>4571</v>
      </c>
      <c r="B1703" s="13" t="s">
        <v>54</v>
      </c>
      <c r="C1703" s="13" t="s">
        <v>43</v>
      </c>
      <c r="D1703" s="13" t="s">
        <v>2324</v>
      </c>
      <c r="E1703" s="13" t="s">
        <v>1086</v>
      </c>
      <c r="F1703" s="13" t="n">
        <v>1</v>
      </c>
      <c r="G1703" s="13" t="n">
        <v>1</v>
      </c>
      <c r="H1703" s="5" t="n">
        <v>500</v>
      </c>
      <c r="I1703" s="7" t="n">
        <v>1</v>
      </c>
      <c r="J1703" s="16" t="n">
        <v>500</v>
      </c>
      <c r="K1703" s="16"/>
      <c r="L1703" s="16"/>
      <c r="M1703" s="16" t="n">
        <v>500</v>
      </c>
      <c r="N1703" s="19"/>
    </row>
    <row r="1704" customFormat="false" ht="15" hidden="false" customHeight="false" outlineLevel="0" collapsed="false">
      <c r="A1704" s="13" t="s">
        <v>4572</v>
      </c>
      <c r="B1704" s="13" t="s">
        <v>50</v>
      </c>
      <c r="C1704" s="13" t="s">
        <v>43</v>
      </c>
      <c r="D1704" s="13" t="s">
        <v>2324</v>
      </c>
      <c r="E1704" s="13" t="s">
        <v>1679</v>
      </c>
      <c r="F1704" s="13" t="n">
        <v>1</v>
      </c>
      <c r="G1704" s="13" t="n">
        <v>1</v>
      </c>
      <c r="H1704" s="5" t="n">
        <v>490</v>
      </c>
      <c r="I1704" s="7" t="n">
        <v>1</v>
      </c>
      <c r="J1704" s="16" t="n">
        <v>490</v>
      </c>
      <c r="K1704" s="16"/>
      <c r="L1704" s="16"/>
      <c r="M1704" s="16" t="n">
        <v>490</v>
      </c>
      <c r="N1704" s="19"/>
    </row>
    <row r="1705" customFormat="false" ht="15" hidden="false" customHeight="false" outlineLevel="0" collapsed="false">
      <c r="A1705" s="13" t="s">
        <v>4573</v>
      </c>
      <c r="B1705" s="13" t="s">
        <v>79</v>
      </c>
      <c r="C1705" s="13" t="s">
        <v>43</v>
      </c>
      <c r="D1705" s="13" t="s">
        <v>2324</v>
      </c>
      <c r="E1705" s="13" t="s">
        <v>1671</v>
      </c>
      <c r="F1705" s="13" t="n">
        <v>1</v>
      </c>
      <c r="G1705" s="13" t="n">
        <v>1</v>
      </c>
      <c r="H1705" s="5" t="n">
        <v>490</v>
      </c>
      <c r="I1705" s="7" t="n">
        <v>1</v>
      </c>
      <c r="J1705" s="16" t="n">
        <v>490</v>
      </c>
      <c r="K1705" s="16"/>
      <c r="L1705" s="16" t="n">
        <v>490</v>
      </c>
      <c r="M1705" s="16"/>
      <c r="N1705" s="19"/>
    </row>
    <row r="1706" customFormat="false" ht="15" hidden="false" customHeight="false" outlineLevel="0" collapsed="false">
      <c r="A1706" s="13" t="s">
        <v>4574</v>
      </c>
      <c r="B1706" s="13" t="s">
        <v>255</v>
      </c>
      <c r="C1706" s="13" t="s">
        <v>43</v>
      </c>
      <c r="D1706" s="13" t="s">
        <v>2339</v>
      </c>
      <c r="E1706" s="13" t="s">
        <v>1930</v>
      </c>
      <c r="F1706" s="13" t="n">
        <v>1</v>
      </c>
      <c r="G1706" s="13" t="n">
        <v>2</v>
      </c>
      <c r="H1706" s="5" t="n">
        <v>490</v>
      </c>
      <c r="I1706" s="7" t="n">
        <v>2</v>
      </c>
      <c r="J1706" s="16" t="n">
        <v>245</v>
      </c>
      <c r="K1706" s="16"/>
      <c r="L1706" s="16" t="n">
        <v>245</v>
      </c>
      <c r="M1706" s="16"/>
      <c r="N1706" s="19"/>
    </row>
    <row r="1707" customFormat="false" ht="15" hidden="false" customHeight="false" outlineLevel="0" collapsed="false">
      <c r="A1707" s="13" t="s">
        <v>4575</v>
      </c>
      <c r="B1707" s="13" t="s">
        <v>195</v>
      </c>
      <c r="C1707" s="13" t="s">
        <v>43</v>
      </c>
      <c r="D1707" s="13" t="s">
        <v>2324</v>
      </c>
      <c r="E1707" s="13" t="s">
        <v>1680</v>
      </c>
      <c r="F1707" s="13" t="n">
        <v>1</v>
      </c>
      <c r="G1707" s="13" t="n">
        <v>1</v>
      </c>
      <c r="H1707" s="5" t="n">
        <v>490</v>
      </c>
      <c r="I1707" s="7" t="n">
        <v>2</v>
      </c>
      <c r="J1707" s="16" t="n">
        <v>245</v>
      </c>
      <c r="K1707" s="16"/>
      <c r="L1707" s="16"/>
      <c r="M1707" s="16" t="n">
        <v>245</v>
      </c>
      <c r="N1707" s="19"/>
    </row>
    <row r="1708" customFormat="false" ht="15" hidden="false" customHeight="false" outlineLevel="0" collapsed="false">
      <c r="A1708" s="13" t="s">
        <v>4576</v>
      </c>
      <c r="B1708" s="13" t="s">
        <v>329</v>
      </c>
      <c r="C1708" s="13" t="s">
        <v>43</v>
      </c>
      <c r="D1708" s="13" t="s">
        <v>2324</v>
      </c>
      <c r="E1708" s="13" t="s">
        <v>635</v>
      </c>
      <c r="F1708" s="13" t="n">
        <v>1</v>
      </c>
      <c r="G1708" s="13" t="n">
        <v>1</v>
      </c>
      <c r="H1708" s="5" t="n">
        <v>490</v>
      </c>
      <c r="I1708" s="7" t="n">
        <v>1</v>
      </c>
      <c r="J1708" s="16" t="n">
        <v>490</v>
      </c>
      <c r="K1708" s="16"/>
      <c r="L1708" s="16" t="n">
        <v>490</v>
      </c>
      <c r="M1708" s="16"/>
      <c r="N1708" s="19"/>
    </row>
    <row r="1709" customFormat="false" ht="15" hidden="false" customHeight="false" outlineLevel="0" collapsed="false">
      <c r="A1709" s="13" t="s">
        <v>4577</v>
      </c>
      <c r="B1709" s="13" t="s">
        <v>2134</v>
      </c>
      <c r="C1709" s="13" t="s">
        <v>43</v>
      </c>
      <c r="D1709" s="13" t="s">
        <v>2324</v>
      </c>
      <c r="E1709" s="13" t="s">
        <v>4578</v>
      </c>
      <c r="F1709" s="13" t="n">
        <v>1</v>
      </c>
      <c r="G1709" s="13" t="n">
        <v>1</v>
      </c>
      <c r="H1709" s="5" t="n">
        <v>490</v>
      </c>
      <c r="I1709" s="7" t="n">
        <v>1</v>
      </c>
      <c r="J1709" s="16" t="n">
        <v>490</v>
      </c>
      <c r="K1709" s="16"/>
      <c r="L1709" s="16"/>
      <c r="M1709" s="16" t="n">
        <v>490</v>
      </c>
      <c r="N1709" s="19"/>
    </row>
    <row r="1710" customFormat="false" ht="15" hidden="false" customHeight="false" outlineLevel="0" collapsed="false">
      <c r="A1710" s="13" t="s">
        <v>4579</v>
      </c>
      <c r="B1710" s="13" t="s">
        <v>107</v>
      </c>
      <c r="C1710" s="13" t="s">
        <v>183</v>
      </c>
      <c r="D1710" s="13" t="s">
        <v>2402</v>
      </c>
      <c r="E1710" s="13" t="s">
        <v>1672</v>
      </c>
      <c r="F1710" s="13" t="n">
        <v>1</v>
      </c>
      <c r="G1710" s="13" t="n">
        <v>1</v>
      </c>
      <c r="H1710" s="5" t="n">
        <v>490</v>
      </c>
      <c r="I1710" s="7" t="n">
        <v>2</v>
      </c>
      <c r="J1710" s="16" t="n">
        <v>245</v>
      </c>
      <c r="K1710" s="16"/>
      <c r="L1710" s="16"/>
      <c r="M1710" s="16" t="n">
        <v>245</v>
      </c>
      <c r="N1710" s="19"/>
    </row>
    <row r="1711" customFormat="false" ht="15" hidden="false" customHeight="false" outlineLevel="0" collapsed="false">
      <c r="A1711" s="13" t="s">
        <v>4580</v>
      </c>
      <c r="B1711" s="13" t="s">
        <v>191</v>
      </c>
      <c r="C1711" s="13" t="s">
        <v>140</v>
      </c>
      <c r="D1711" s="13" t="s">
        <v>2324</v>
      </c>
      <c r="E1711" s="13" t="s">
        <v>1674</v>
      </c>
      <c r="F1711" s="13" t="n">
        <v>1</v>
      </c>
      <c r="G1711" s="13" t="n">
        <v>1</v>
      </c>
      <c r="H1711" s="5" t="n">
        <v>490</v>
      </c>
      <c r="I1711" s="7" t="n">
        <v>20</v>
      </c>
      <c r="J1711" s="16" t="n">
        <v>24.5</v>
      </c>
      <c r="K1711" s="16" t="n">
        <v>24.5</v>
      </c>
      <c r="L1711" s="16"/>
      <c r="M1711" s="16"/>
      <c r="N1711" s="19"/>
    </row>
    <row r="1712" customFormat="false" ht="15" hidden="false" customHeight="false" outlineLevel="0" collapsed="false">
      <c r="A1712" s="13" t="s">
        <v>4581</v>
      </c>
      <c r="B1712" s="13" t="s">
        <v>255</v>
      </c>
      <c r="C1712" s="13" t="s">
        <v>43</v>
      </c>
      <c r="D1712" s="13" t="s">
        <v>2339</v>
      </c>
      <c r="E1712" s="13" t="s">
        <v>1688</v>
      </c>
      <c r="F1712" s="13" t="n">
        <v>1</v>
      </c>
      <c r="G1712" s="13" t="n">
        <v>1</v>
      </c>
      <c r="H1712" s="5" t="n">
        <v>480</v>
      </c>
      <c r="I1712" s="7" t="n">
        <v>2</v>
      </c>
      <c r="J1712" s="16" t="n">
        <v>240</v>
      </c>
      <c r="K1712" s="16"/>
      <c r="L1712" s="16" t="n">
        <v>240</v>
      </c>
      <c r="M1712" s="16"/>
      <c r="N1712" s="19"/>
    </row>
    <row r="1713" customFormat="false" ht="15" hidden="false" customHeight="false" outlineLevel="0" collapsed="false">
      <c r="A1713" s="13" t="s">
        <v>4582</v>
      </c>
      <c r="B1713" s="13" t="s">
        <v>2136</v>
      </c>
      <c r="C1713" s="13" t="s">
        <v>85</v>
      </c>
      <c r="D1713" s="13" t="s">
        <v>2324</v>
      </c>
      <c r="E1713" s="13" t="s">
        <v>4583</v>
      </c>
      <c r="F1713" s="13" t="n">
        <v>1</v>
      </c>
      <c r="G1713" s="13" t="n">
        <v>1</v>
      </c>
      <c r="H1713" s="5" t="n">
        <v>480</v>
      </c>
      <c r="I1713" s="7" t="n">
        <v>10</v>
      </c>
      <c r="J1713" s="16" t="n">
        <v>48</v>
      </c>
      <c r="K1713" s="16" t="n">
        <v>48</v>
      </c>
      <c r="L1713" s="16"/>
      <c r="M1713" s="16"/>
      <c r="N1713" s="19"/>
    </row>
    <row r="1714" customFormat="false" ht="15" hidden="false" customHeight="false" outlineLevel="0" collapsed="false">
      <c r="A1714" s="13" t="s">
        <v>4584</v>
      </c>
      <c r="B1714" s="13" t="s">
        <v>229</v>
      </c>
      <c r="C1714" s="13" t="s">
        <v>43</v>
      </c>
      <c r="D1714" s="13" t="s">
        <v>2324</v>
      </c>
      <c r="E1714" s="13" t="s">
        <v>1921</v>
      </c>
      <c r="F1714" s="13" t="n">
        <v>1</v>
      </c>
      <c r="G1714" s="13" t="n">
        <v>2</v>
      </c>
      <c r="H1714" s="5" t="n">
        <v>480</v>
      </c>
      <c r="I1714" s="7" t="n">
        <v>2</v>
      </c>
      <c r="J1714" s="16" t="n">
        <v>240</v>
      </c>
      <c r="K1714" s="16"/>
      <c r="L1714" s="16"/>
      <c r="M1714" s="16" t="n">
        <v>240</v>
      </c>
      <c r="N1714" s="19"/>
    </row>
    <row r="1715" customFormat="false" ht="15" hidden="false" customHeight="false" outlineLevel="0" collapsed="false">
      <c r="A1715" s="13" t="s">
        <v>4585</v>
      </c>
      <c r="B1715" s="13" t="s">
        <v>2099</v>
      </c>
      <c r="C1715" s="13" t="s">
        <v>43</v>
      </c>
      <c r="D1715" s="13" t="s">
        <v>2324</v>
      </c>
      <c r="E1715" s="13" t="s">
        <v>4586</v>
      </c>
      <c r="F1715" s="13" t="n">
        <v>1</v>
      </c>
      <c r="G1715" s="13" t="n">
        <v>1</v>
      </c>
      <c r="H1715" s="5" t="n">
        <v>480</v>
      </c>
      <c r="I1715" s="7" t="n">
        <v>20</v>
      </c>
      <c r="J1715" s="16" t="n">
        <v>24</v>
      </c>
      <c r="K1715" s="16" t="n">
        <v>24</v>
      </c>
      <c r="L1715" s="16"/>
      <c r="M1715" s="16"/>
      <c r="N1715" s="19"/>
    </row>
    <row r="1716" customFormat="false" ht="15" hidden="false" customHeight="false" outlineLevel="0" collapsed="false">
      <c r="A1716" s="13" t="s">
        <v>4587</v>
      </c>
      <c r="B1716" s="13" t="s">
        <v>42</v>
      </c>
      <c r="C1716" s="13" t="s">
        <v>43</v>
      </c>
      <c r="D1716" s="13" t="s">
        <v>2324</v>
      </c>
      <c r="E1716" s="13" t="s">
        <v>1691</v>
      </c>
      <c r="F1716" s="13" t="n">
        <v>1</v>
      </c>
      <c r="G1716" s="13" t="n">
        <v>1</v>
      </c>
      <c r="H1716" s="5" t="n">
        <v>480</v>
      </c>
      <c r="I1716" s="7" t="n">
        <v>1</v>
      </c>
      <c r="J1716" s="16" t="n">
        <v>480</v>
      </c>
      <c r="K1716" s="16"/>
      <c r="L1716" s="16"/>
      <c r="M1716" s="16" t="n">
        <v>480</v>
      </c>
      <c r="N1716" s="19"/>
    </row>
    <row r="1717" customFormat="false" ht="15" hidden="false" customHeight="false" outlineLevel="0" collapsed="false">
      <c r="A1717" s="13" t="s">
        <v>4588</v>
      </c>
      <c r="B1717" s="13" t="s">
        <v>2108</v>
      </c>
      <c r="C1717" s="13" t="s">
        <v>85</v>
      </c>
      <c r="D1717" s="13" t="s">
        <v>2324</v>
      </c>
      <c r="E1717" s="13" t="s">
        <v>3352</v>
      </c>
      <c r="F1717" s="13" t="n">
        <v>1</v>
      </c>
      <c r="G1717" s="13" t="n">
        <v>1</v>
      </c>
      <c r="H1717" s="5" t="n">
        <v>480</v>
      </c>
      <c r="I1717" s="7" t="n">
        <v>5</v>
      </c>
      <c r="J1717" s="16" t="n">
        <v>96</v>
      </c>
      <c r="K1717" s="16" t="n">
        <v>96</v>
      </c>
      <c r="L1717" s="16"/>
      <c r="M1717" s="16"/>
      <c r="N1717" s="19"/>
    </row>
    <row r="1718" customFormat="false" ht="15" hidden="false" customHeight="false" outlineLevel="0" collapsed="false">
      <c r="A1718" s="13" t="s">
        <v>4589</v>
      </c>
      <c r="B1718" s="13" t="s">
        <v>61</v>
      </c>
      <c r="C1718" s="13" t="s">
        <v>43</v>
      </c>
      <c r="D1718" s="13" t="s">
        <v>2324</v>
      </c>
      <c r="E1718" s="13" t="s">
        <v>1696</v>
      </c>
      <c r="F1718" s="13" t="n">
        <v>1</v>
      </c>
      <c r="G1718" s="13" t="n">
        <v>1</v>
      </c>
      <c r="H1718" s="5" t="n">
        <v>470</v>
      </c>
      <c r="I1718" s="7" t="n">
        <v>1</v>
      </c>
      <c r="J1718" s="16" t="n">
        <v>470</v>
      </c>
      <c r="K1718" s="16"/>
      <c r="L1718" s="16"/>
      <c r="M1718" s="16" t="n">
        <v>470</v>
      </c>
      <c r="N1718" s="19"/>
    </row>
    <row r="1719" customFormat="false" ht="15" hidden="false" customHeight="false" outlineLevel="0" collapsed="false">
      <c r="A1719" s="13" t="s">
        <v>4590</v>
      </c>
      <c r="B1719" s="13" t="s">
        <v>2225</v>
      </c>
      <c r="C1719" s="13" t="s">
        <v>43</v>
      </c>
      <c r="D1719" s="13" t="s">
        <v>2339</v>
      </c>
      <c r="E1719" s="13" t="s">
        <v>4591</v>
      </c>
      <c r="F1719" s="13" t="n">
        <v>1</v>
      </c>
      <c r="G1719" s="13" t="n">
        <v>1</v>
      </c>
      <c r="H1719" s="5" t="n">
        <v>470</v>
      </c>
      <c r="I1719" s="7" t="n">
        <v>5</v>
      </c>
      <c r="J1719" s="16" t="n">
        <v>94</v>
      </c>
      <c r="K1719" s="16" t="n">
        <v>94</v>
      </c>
      <c r="L1719" s="16"/>
      <c r="M1719" s="16"/>
      <c r="N1719" s="19"/>
    </row>
    <row r="1720" customFormat="false" ht="15" hidden="false" customHeight="false" outlineLevel="0" collapsed="false">
      <c r="A1720" s="13" t="s">
        <v>4592</v>
      </c>
      <c r="B1720" s="13" t="s">
        <v>2174</v>
      </c>
      <c r="C1720" s="13" t="s">
        <v>85</v>
      </c>
      <c r="D1720" s="13" t="s">
        <v>2324</v>
      </c>
      <c r="E1720" s="13" t="s">
        <v>4593</v>
      </c>
      <c r="F1720" s="13" t="n">
        <v>1</v>
      </c>
      <c r="G1720" s="13" t="n">
        <v>1</v>
      </c>
      <c r="H1720" s="5" t="n">
        <v>470</v>
      </c>
      <c r="I1720" s="7" t="n">
        <v>2</v>
      </c>
      <c r="J1720" s="16" t="n">
        <v>235</v>
      </c>
      <c r="K1720" s="16"/>
      <c r="L1720" s="16" t="n">
        <v>235</v>
      </c>
      <c r="M1720" s="16"/>
      <c r="N1720" s="19"/>
    </row>
    <row r="1721" customFormat="false" ht="15" hidden="false" customHeight="false" outlineLevel="0" collapsed="false">
      <c r="A1721" s="13" t="s">
        <v>4594</v>
      </c>
      <c r="B1721" s="13" t="s">
        <v>124</v>
      </c>
      <c r="C1721" s="13" t="s">
        <v>43</v>
      </c>
      <c r="D1721" s="13" t="s">
        <v>2324</v>
      </c>
      <c r="E1721" s="13" t="s">
        <v>684</v>
      </c>
      <c r="F1721" s="13" t="n">
        <v>1</v>
      </c>
      <c r="G1721" s="13" t="n">
        <v>1</v>
      </c>
      <c r="H1721" s="5" t="n">
        <v>470</v>
      </c>
      <c r="I1721" s="7" t="n">
        <v>1</v>
      </c>
      <c r="J1721" s="16" t="n">
        <v>470</v>
      </c>
      <c r="K1721" s="16"/>
      <c r="L1721" s="16"/>
      <c r="M1721" s="16" t="n">
        <v>470</v>
      </c>
      <c r="N1721" s="19"/>
    </row>
    <row r="1722" customFormat="false" ht="15" hidden="false" customHeight="false" outlineLevel="0" collapsed="false">
      <c r="A1722" s="13" t="s">
        <v>4595</v>
      </c>
      <c r="B1722" s="13" t="s">
        <v>45</v>
      </c>
      <c r="C1722" s="13" t="s">
        <v>43</v>
      </c>
      <c r="D1722" s="13" t="s">
        <v>2324</v>
      </c>
      <c r="E1722" s="13" t="s">
        <v>301</v>
      </c>
      <c r="F1722" s="13" t="n">
        <v>1</v>
      </c>
      <c r="G1722" s="13" t="n">
        <v>1</v>
      </c>
      <c r="H1722" s="5" t="n">
        <v>470</v>
      </c>
      <c r="I1722" s="7" t="n">
        <v>1</v>
      </c>
      <c r="J1722" s="16" t="n">
        <v>470</v>
      </c>
      <c r="K1722" s="16"/>
      <c r="L1722" s="16" t="n">
        <v>470</v>
      </c>
      <c r="M1722" s="16"/>
      <c r="N1722" s="19"/>
    </row>
    <row r="1723" customFormat="false" ht="15" hidden="false" customHeight="false" outlineLevel="0" collapsed="false">
      <c r="A1723" s="13" t="s">
        <v>4596</v>
      </c>
      <c r="B1723" s="13" t="s">
        <v>103</v>
      </c>
      <c r="C1723" s="13" t="s">
        <v>43</v>
      </c>
      <c r="D1723" s="13" t="s">
        <v>2324</v>
      </c>
      <c r="E1723" s="13" t="s">
        <v>104</v>
      </c>
      <c r="F1723" s="13" t="n">
        <v>1</v>
      </c>
      <c r="G1723" s="13" t="n">
        <v>2</v>
      </c>
      <c r="H1723" s="5" t="n">
        <v>470</v>
      </c>
      <c r="I1723" s="7" t="n">
        <v>2</v>
      </c>
      <c r="J1723" s="16" t="n">
        <v>235</v>
      </c>
      <c r="K1723" s="16"/>
      <c r="L1723" s="16" t="n">
        <v>235</v>
      </c>
      <c r="M1723" s="16"/>
      <c r="N1723" s="19"/>
    </row>
    <row r="1724" customFormat="false" ht="15" hidden="false" customHeight="false" outlineLevel="0" collapsed="false">
      <c r="A1724" s="13" t="s">
        <v>4597</v>
      </c>
      <c r="B1724" s="13" t="s">
        <v>128</v>
      </c>
      <c r="C1724" s="13" t="s">
        <v>85</v>
      </c>
      <c r="D1724" s="13" t="s">
        <v>2324</v>
      </c>
      <c r="E1724" s="13" t="s">
        <v>1693</v>
      </c>
      <c r="F1724" s="13" t="n">
        <v>1</v>
      </c>
      <c r="G1724" s="13" t="n">
        <v>1</v>
      </c>
      <c r="H1724" s="5" t="n">
        <v>470</v>
      </c>
      <c r="I1724" s="7" t="n">
        <v>5</v>
      </c>
      <c r="J1724" s="16" t="n">
        <v>94</v>
      </c>
      <c r="K1724" s="16" t="n">
        <v>94</v>
      </c>
      <c r="L1724" s="16"/>
      <c r="M1724" s="16"/>
      <c r="N1724" s="19"/>
    </row>
    <row r="1725" customFormat="false" ht="15" hidden="false" customHeight="false" outlineLevel="0" collapsed="false">
      <c r="A1725" s="13" t="s">
        <v>4598</v>
      </c>
      <c r="B1725" s="13" t="s">
        <v>2192</v>
      </c>
      <c r="C1725" s="13" t="s">
        <v>183</v>
      </c>
      <c r="D1725" s="13" t="s">
        <v>2324</v>
      </c>
      <c r="E1725" s="13" t="s">
        <v>4599</v>
      </c>
      <c r="F1725" s="13" t="n">
        <v>1</v>
      </c>
      <c r="G1725" s="13" t="n">
        <v>1</v>
      </c>
      <c r="H1725" s="5" t="n">
        <v>470</v>
      </c>
      <c r="I1725" s="7" t="n">
        <v>1</v>
      </c>
      <c r="J1725" s="16" t="n">
        <v>470</v>
      </c>
      <c r="K1725" s="16"/>
      <c r="L1725" s="16"/>
      <c r="M1725" s="16" t="n">
        <v>470</v>
      </c>
      <c r="N1725" s="19"/>
    </row>
    <row r="1726" customFormat="false" ht="15" hidden="false" customHeight="false" outlineLevel="0" collapsed="false">
      <c r="A1726" s="13" t="s">
        <v>4600</v>
      </c>
      <c r="B1726" s="13" t="s">
        <v>2150</v>
      </c>
      <c r="C1726" s="13" t="s">
        <v>43</v>
      </c>
      <c r="D1726" s="13" t="s">
        <v>2500</v>
      </c>
      <c r="E1726" s="13" t="s">
        <v>3550</v>
      </c>
      <c r="F1726" s="13" t="n">
        <v>1</v>
      </c>
      <c r="G1726" s="13" t="n">
        <v>3</v>
      </c>
      <c r="H1726" s="5" t="n">
        <v>470</v>
      </c>
      <c r="I1726" s="7" t="n">
        <v>4</v>
      </c>
      <c r="J1726" s="16" t="n">
        <v>117.5</v>
      </c>
      <c r="K1726" s="16"/>
      <c r="L1726" s="16"/>
      <c r="M1726" s="16" t="n">
        <v>117.5</v>
      </c>
      <c r="N1726" s="19"/>
    </row>
    <row r="1727" customFormat="false" ht="15" hidden="false" customHeight="false" outlineLevel="0" collapsed="false">
      <c r="A1727" s="13" t="s">
        <v>4601</v>
      </c>
      <c r="B1727" s="13" t="s">
        <v>365</v>
      </c>
      <c r="C1727" s="13" t="s">
        <v>43</v>
      </c>
      <c r="D1727" s="13" t="s">
        <v>2324</v>
      </c>
      <c r="E1727" s="13" t="s">
        <v>1699</v>
      </c>
      <c r="F1727" s="13" t="n">
        <v>1</v>
      </c>
      <c r="G1727" s="13" t="n">
        <v>1</v>
      </c>
      <c r="H1727" s="5" t="n">
        <v>470</v>
      </c>
      <c r="I1727" s="7" t="n">
        <v>5</v>
      </c>
      <c r="J1727" s="16" t="n">
        <v>94</v>
      </c>
      <c r="K1727" s="16" t="n">
        <v>94</v>
      </c>
      <c r="L1727" s="16"/>
      <c r="M1727" s="16"/>
      <c r="N1727" s="19"/>
    </row>
    <row r="1728" customFormat="false" ht="15" hidden="false" customHeight="false" outlineLevel="0" collapsed="false">
      <c r="A1728" s="13" t="s">
        <v>4602</v>
      </c>
      <c r="B1728" s="13" t="s">
        <v>2142</v>
      </c>
      <c r="C1728" s="13" t="s">
        <v>85</v>
      </c>
      <c r="D1728" s="13" t="s">
        <v>2324</v>
      </c>
      <c r="E1728" s="13" t="s">
        <v>4603</v>
      </c>
      <c r="F1728" s="13" t="n">
        <v>1</v>
      </c>
      <c r="G1728" s="13" t="n">
        <v>1</v>
      </c>
      <c r="H1728" s="5" t="n">
        <v>470</v>
      </c>
      <c r="I1728" s="7" t="n">
        <v>10</v>
      </c>
      <c r="J1728" s="16" t="n">
        <v>47</v>
      </c>
      <c r="K1728" s="16" t="n">
        <v>47</v>
      </c>
      <c r="L1728" s="16"/>
      <c r="M1728" s="16"/>
      <c r="N1728" s="19"/>
    </row>
    <row r="1729" customFormat="false" ht="15" hidden="false" customHeight="false" outlineLevel="0" collapsed="false">
      <c r="A1729" s="13" t="s">
        <v>4604</v>
      </c>
      <c r="B1729" s="13" t="s">
        <v>2139</v>
      </c>
      <c r="C1729" s="13" t="s">
        <v>85</v>
      </c>
      <c r="D1729" s="13" t="s">
        <v>2324</v>
      </c>
      <c r="E1729" s="13" t="s">
        <v>4605</v>
      </c>
      <c r="F1729" s="13" t="n">
        <v>2</v>
      </c>
      <c r="G1729" s="13" t="n">
        <v>2</v>
      </c>
      <c r="H1729" s="5" t="n">
        <v>470</v>
      </c>
      <c r="I1729" s="7" t="n">
        <v>3</v>
      </c>
      <c r="J1729" s="16" t="n">
        <v>156.666666666667</v>
      </c>
      <c r="K1729" s="16"/>
      <c r="L1729" s="16" t="n">
        <v>180</v>
      </c>
      <c r="M1729" s="16" t="n">
        <v>145</v>
      </c>
      <c r="N1729" s="19" t="n">
        <v>0.241379310344828</v>
      </c>
    </row>
    <row r="1730" customFormat="false" ht="15" hidden="false" customHeight="false" outlineLevel="0" collapsed="false">
      <c r="A1730" s="13" t="s">
        <v>4606</v>
      </c>
      <c r="B1730" s="13" t="s">
        <v>490</v>
      </c>
      <c r="C1730" s="13" t="s">
        <v>43</v>
      </c>
      <c r="D1730" s="13" t="s">
        <v>2324</v>
      </c>
      <c r="E1730" s="13" t="s">
        <v>1706</v>
      </c>
      <c r="F1730" s="13" t="n">
        <v>1</v>
      </c>
      <c r="G1730" s="13" t="n">
        <v>1</v>
      </c>
      <c r="H1730" s="5" t="n">
        <v>460</v>
      </c>
      <c r="I1730" s="7" t="n">
        <v>1</v>
      </c>
      <c r="J1730" s="16" t="n">
        <v>460</v>
      </c>
      <c r="K1730" s="16"/>
      <c r="L1730" s="16"/>
      <c r="M1730" s="16" t="n">
        <v>460</v>
      </c>
      <c r="N1730" s="19"/>
    </row>
    <row r="1731" customFormat="false" ht="15" hidden="false" customHeight="false" outlineLevel="0" collapsed="false">
      <c r="A1731" s="13" t="s">
        <v>4607</v>
      </c>
      <c r="B1731" s="13" t="s">
        <v>490</v>
      </c>
      <c r="C1731" s="13" t="s">
        <v>43</v>
      </c>
      <c r="D1731" s="13" t="s">
        <v>2324</v>
      </c>
      <c r="E1731" s="13" t="s">
        <v>1150</v>
      </c>
      <c r="F1731" s="13" t="n">
        <v>1</v>
      </c>
      <c r="G1731" s="13" t="n">
        <v>1</v>
      </c>
      <c r="H1731" s="5" t="n">
        <v>460</v>
      </c>
      <c r="I1731" s="7" t="n">
        <v>1</v>
      </c>
      <c r="J1731" s="16" t="n">
        <v>460</v>
      </c>
      <c r="K1731" s="16"/>
      <c r="L1731" s="16" t="n">
        <v>460</v>
      </c>
      <c r="M1731" s="16"/>
      <c r="N1731" s="19"/>
    </row>
    <row r="1732" customFormat="false" ht="15" hidden="false" customHeight="false" outlineLevel="0" collapsed="false">
      <c r="A1732" s="13" t="s">
        <v>4608</v>
      </c>
      <c r="B1732" s="13" t="s">
        <v>153</v>
      </c>
      <c r="C1732" s="13" t="s">
        <v>43</v>
      </c>
      <c r="D1732" s="13" t="s">
        <v>2324</v>
      </c>
      <c r="E1732" s="13" t="s">
        <v>1700</v>
      </c>
      <c r="F1732" s="13" t="n">
        <v>1</v>
      </c>
      <c r="G1732" s="13" t="n">
        <v>1</v>
      </c>
      <c r="H1732" s="5" t="n">
        <v>460</v>
      </c>
      <c r="I1732" s="7" t="n">
        <v>1</v>
      </c>
      <c r="J1732" s="16" t="n">
        <v>460</v>
      </c>
      <c r="K1732" s="16"/>
      <c r="L1732" s="16"/>
      <c r="M1732" s="16" t="n">
        <v>460</v>
      </c>
      <c r="N1732" s="19"/>
    </row>
    <row r="1733" customFormat="false" ht="15" hidden="false" customHeight="false" outlineLevel="0" collapsed="false">
      <c r="A1733" s="13" t="s">
        <v>4609</v>
      </c>
      <c r="B1733" s="13" t="s">
        <v>177</v>
      </c>
      <c r="C1733" s="13" t="s">
        <v>43</v>
      </c>
      <c r="D1733" s="13" t="s">
        <v>2422</v>
      </c>
      <c r="E1733" s="13" t="s">
        <v>1702</v>
      </c>
      <c r="F1733" s="13" t="n">
        <v>1</v>
      </c>
      <c r="G1733" s="13" t="n">
        <v>1</v>
      </c>
      <c r="H1733" s="5" t="n">
        <v>460</v>
      </c>
      <c r="I1733" s="7" t="n">
        <v>1</v>
      </c>
      <c r="J1733" s="16" t="n">
        <v>460</v>
      </c>
      <c r="K1733" s="16"/>
      <c r="L1733" s="16"/>
      <c r="M1733" s="16" t="n">
        <v>460</v>
      </c>
      <c r="N1733" s="19"/>
    </row>
    <row r="1734" customFormat="false" ht="15" hidden="false" customHeight="false" outlineLevel="0" collapsed="false">
      <c r="A1734" s="13" t="s">
        <v>4610</v>
      </c>
      <c r="B1734" s="13" t="s">
        <v>54</v>
      </c>
      <c r="C1734" s="13" t="s">
        <v>43</v>
      </c>
      <c r="D1734" s="13" t="s">
        <v>2324</v>
      </c>
      <c r="E1734" s="13" t="s">
        <v>1704</v>
      </c>
      <c r="F1734" s="13" t="n">
        <v>1</v>
      </c>
      <c r="G1734" s="13" t="n">
        <v>1</v>
      </c>
      <c r="H1734" s="5" t="n">
        <v>460</v>
      </c>
      <c r="I1734" s="7" t="n">
        <v>1</v>
      </c>
      <c r="J1734" s="16" t="n">
        <v>460</v>
      </c>
      <c r="K1734" s="16"/>
      <c r="L1734" s="16"/>
      <c r="M1734" s="16" t="n">
        <v>460</v>
      </c>
      <c r="N1734" s="19"/>
    </row>
    <row r="1735" customFormat="false" ht="15" hidden="false" customHeight="false" outlineLevel="0" collapsed="false">
      <c r="A1735" s="13" t="s">
        <v>4611</v>
      </c>
      <c r="B1735" s="13" t="s">
        <v>329</v>
      </c>
      <c r="C1735" s="13" t="s">
        <v>43</v>
      </c>
      <c r="D1735" s="13" t="s">
        <v>2324</v>
      </c>
      <c r="E1735" s="13" t="s">
        <v>1468</v>
      </c>
      <c r="F1735" s="13" t="n">
        <v>1</v>
      </c>
      <c r="G1735" s="13" t="n">
        <v>1</v>
      </c>
      <c r="H1735" s="5" t="n">
        <v>460</v>
      </c>
      <c r="I1735" s="7" t="n">
        <v>1</v>
      </c>
      <c r="J1735" s="16" t="n">
        <v>460</v>
      </c>
      <c r="K1735" s="16"/>
      <c r="L1735" s="16"/>
      <c r="M1735" s="16" t="n">
        <v>460</v>
      </c>
      <c r="N1735" s="19"/>
    </row>
    <row r="1736" customFormat="false" ht="15" hidden="false" customHeight="false" outlineLevel="0" collapsed="false">
      <c r="A1736" s="13" t="s">
        <v>4612</v>
      </c>
      <c r="B1736" s="13" t="s">
        <v>143</v>
      </c>
      <c r="C1736" s="13" t="s">
        <v>144</v>
      </c>
      <c r="D1736" s="13" t="s">
        <v>2324</v>
      </c>
      <c r="E1736" s="13" t="s">
        <v>1705</v>
      </c>
      <c r="F1736" s="13" t="n">
        <v>1</v>
      </c>
      <c r="G1736" s="13" t="n">
        <v>1</v>
      </c>
      <c r="H1736" s="5" t="n">
        <v>460</v>
      </c>
      <c r="I1736" s="7" t="n">
        <v>1</v>
      </c>
      <c r="J1736" s="16" t="n">
        <v>460</v>
      </c>
      <c r="K1736" s="16" t="n">
        <v>460</v>
      </c>
      <c r="L1736" s="16"/>
      <c r="M1736" s="16"/>
      <c r="N1736" s="19"/>
    </row>
    <row r="1737" customFormat="false" ht="15" hidden="false" customHeight="false" outlineLevel="0" collapsed="false">
      <c r="A1737" s="13" t="s">
        <v>4613</v>
      </c>
      <c r="B1737" s="13" t="s">
        <v>50</v>
      </c>
      <c r="C1737" s="13" t="s">
        <v>43</v>
      </c>
      <c r="D1737" s="13" t="s">
        <v>2324</v>
      </c>
      <c r="E1737" s="13" t="s">
        <v>480</v>
      </c>
      <c r="F1737" s="13" t="n">
        <v>1</v>
      </c>
      <c r="G1737" s="13" t="n">
        <v>1</v>
      </c>
      <c r="H1737" s="5" t="n">
        <v>460</v>
      </c>
      <c r="I1737" s="7" t="n">
        <v>1</v>
      </c>
      <c r="J1737" s="16" t="n">
        <v>460</v>
      </c>
      <c r="K1737" s="16"/>
      <c r="L1737" s="16"/>
      <c r="M1737" s="16" t="n">
        <v>460</v>
      </c>
      <c r="N1737" s="19"/>
    </row>
    <row r="1738" customFormat="false" ht="15" hidden="false" customHeight="false" outlineLevel="0" collapsed="false">
      <c r="A1738" s="13" t="s">
        <v>4614</v>
      </c>
      <c r="B1738" s="13" t="s">
        <v>45</v>
      </c>
      <c r="C1738" s="13" t="s">
        <v>43</v>
      </c>
      <c r="D1738" s="13" t="s">
        <v>2324</v>
      </c>
      <c r="E1738" s="13" t="s">
        <v>113</v>
      </c>
      <c r="F1738" s="13" t="n">
        <v>1</v>
      </c>
      <c r="G1738" s="13" t="n">
        <v>1</v>
      </c>
      <c r="H1738" s="5" t="n">
        <v>460</v>
      </c>
      <c r="I1738" s="7" t="n">
        <v>1</v>
      </c>
      <c r="J1738" s="16" t="n">
        <v>460</v>
      </c>
      <c r="K1738" s="16"/>
      <c r="L1738" s="16" t="n">
        <v>460</v>
      </c>
      <c r="M1738" s="16"/>
      <c r="N1738" s="19"/>
    </row>
    <row r="1739" customFormat="false" ht="15" hidden="false" customHeight="false" outlineLevel="0" collapsed="false">
      <c r="A1739" s="13" t="s">
        <v>4615</v>
      </c>
      <c r="B1739" s="13" t="s">
        <v>2134</v>
      </c>
      <c r="C1739" s="13" t="s">
        <v>43</v>
      </c>
      <c r="D1739" s="13" t="s">
        <v>2324</v>
      </c>
      <c r="E1739" s="13" t="s">
        <v>3964</v>
      </c>
      <c r="F1739" s="13" t="n">
        <v>1</v>
      </c>
      <c r="G1739" s="13" t="n">
        <v>1</v>
      </c>
      <c r="H1739" s="5" t="n">
        <v>450</v>
      </c>
      <c r="I1739" s="7" t="n">
        <v>1</v>
      </c>
      <c r="J1739" s="16" t="n">
        <v>450</v>
      </c>
      <c r="K1739" s="16"/>
      <c r="L1739" s="16" t="n">
        <v>450</v>
      </c>
      <c r="M1739" s="16"/>
      <c r="N1739" s="19"/>
    </row>
    <row r="1740" customFormat="false" ht="15" hidden="false" customHeight="false" outlineLevel="0" collapsed="false">
      <c r="A1740" s="13" t="s">
        <v>4616</v>
      </c>
      <c r="B1740" s="13" t="s">
        <v>2099</v>
      </c>
      <c r="C1740" s="13" t="s">
        <v>43</v>
      </c>
      <c r="D1740" s="13" t="s">
        <v>2324</v>
      </c>
      <c r="E1740" s="13" t="s">
        <v>4617</v>
      </c>
      <c r="F1740" s="13" t="n">
        <v>1</v>
      </c>
      <c r="G1740" s="13" t="n">
        <v>2</v>
      </c>
      <c r="H1740" s="5" t="n">
        <v>450</v>
      </c>
      <c r="I1740" s="7" t="n">
        <v>12</v>
      </c>
      <c r="J1740" s="16" t="n">
        <v>37.5</v>
      </c>
      <c r="K1740" s="16" t="n">
        <v>37.5</v>
      </c>
      <c r="L1740" s="16"/>
      <c r="M1740" s="16"/>
      <c r="N1740" s="19"/>
    </row>
    <row r="1741" customFormat="false" ht="15" hidden="false" customHeight="false" outlineLevel="0" collapsed="false">
      <c r="A1741" s="13" t="s">
        <v>4618</v>
      </c>
      <c r="B1741" s="13" t="s">
        <v>114</v>
      </c>
      <c r="C1741" s="13" t="s">
        <v>85</v>
      </c>
      <c r="D1741" s="13" t="s">
        <v>2429</v>
      </c>
      <c r="E1741" s="13" t="s">
        <v>1720</v>
      </c>
      <c r="F1741" s="13" t="n">
        <v>1</v>
      </c>
      <c r="G1741" s="13" t="n">
        <v>1</v>
      </c>
      <c r="H1741" s="5" t="n">
        <v>450</v>
      </c>
      <c r="I1741" s="7" t="n">
        <v>5</v>
      </c>
      <c r="J1741" s="16" t="n">
        <v>90</v>
      </c>
      <c r="K1741" s="16" t="n">
        <v>90</v>
      </c>
      <c r="L1741" s="16"/>
      <c r="M1741" s="16"/>
      <c r="N1741" s="19"/>
    </row>
    <row r="1742" customFormat="false" ht="15" hidden="false" customHeight="false" outlineLevel="0" collapsed="false">
      <c r="A1742" s="13" t="s">
        <v>4619</v>
      </c>
      <c r="B1742" s="13" t="s">
        <v>2110</v>
      </c>
      <c r="C1742" s="13" t="s">
        <v>43</v>
      </c>
      <c r="D1742" s="13" t="s">
        <v>2324</v>
      </c>
      <c r="E1742" s="13" t="s">
        <v>4620</v>
      </c>
      <c r="F1742" s="13" t="n">
        <v>1</v>
      </c>
      <c r="G1742" s="13" t="n">
        <v>1</v>
      </c>
      <c r="H1742" s="5" t="n">
        <v>450</v>
      </c>
      <c r="I1742" s="7" t="n">
        <v>1</v>
      </c>
      <c r="J1742" s="16" t="n">
        <v>450</v>
      </c>
      <c r="K1742" s="16"/>
      <c r="L1742" s="16" t="n">
        <v>450</v>
      </c>
      <c r="M1742" s="16"/>
      <c r="N1742" s="19"/>
    </row>
    <row r="1743" customFormat="false" ht="15" hidden="false" customHeight="false" outlineLevel="0" collapsed="false">
      <c r="A1743" s="13" t="s">
        <v>4621</v>
      </c>
      <c r="B1743" s="13" t="s">
        <v>61</v>
      </c>
      <c r="C1743" s="13" t="s">
        <v>43</v>
      </c>
      <c r="D1743" s="13" t="s">
        <v>2500</v>
      </c>
      <c r="E1743" s="13" t="s">
        <v>1716</v>
      </c>
      <c r="F1743" s="13" t="n">
        <v>1</v>
      </c>
      <c r="G1743" s="13" t="n">
        <v>1</v>
      </c>
      <c r="H1743" s="5" t="n">
        <v>450</v>
      </c>
      <c r="I1743" s="7" t="n">
        <v>1</v>
      </c>
      <c r="J1743" s="16" t="n">
        <v>450</v>
      </c>
      <c r="K1743" s="16"/>
      <c r="L1743" s="16"/>
      <c r="M1743" s="16" t="n">
        <v>450</v>
      </c>
      <c r="N1743" s="19"/>
    </row>
    <row r="1744" customFormat="false" ht="15" hidden="false" customHeight="false" outlineLevel="0" collapsed="false">
      <c r="A1744" s="13" t="s">
        <v>4622</v>
      </c>
      <c r="B1744" s="13" t="s">
        <v>79</v>
      </c>
      <c r="C1744" s="13" t="s">
        <v>43</v>
      </c>
      <c r="D1744" s="13" t="s">
        <v>2324</v>
      </c>
      <c r="E1744" s="13" t="s">
        <v>653</v>
      </c>
      <c r="F1744" s="13" t="n">
        <v>1</v>
      </c>
      <c r="G1744" s="13" t="n">
        <v>1</v>
      </c>
      <c r="H1744" s="5" t="n">
        <v>450</v>
      </c>
      <c r="I1744" s="7" t="n">
        <v>1</v>
      </c>
      <c r="J1744" s="16" t="n">
        <v>450</v>
      </c>
      <c r="K1744" s="16"/>
      <c r="L1744" s="16" t="n">
        <v>450</v>
      </c>
      <c r="M1744" s="16"/>
      <c r="N1744" s="19"/>
    </row>
    <row r="1745" customFormat="false" ht="15" hidden="false" customHeight="false" outlineLevel="0" collapsed="false">
      <c r="A1745" s="13" t="s">
        <v>4623</v>
      </c>
      <c r="B1745" s="13" t="s">
        <v>2108</v>
      </c>
      <c r="C1745" s="13" t="s">
        <v>85</v>
      </c>
      <c r="D1745" s="13" t="s">
        <v>2324</v>
      </c>
      <c r="E1745" s="13" t="s">
        <v>4624</v>
      </c>
      <c r="F1745" s="13" t="n">
        <v>1</v>
      </c>
      <c r="G1745" s="13" t="n">
        <v>1</v>
      </c>
      <c r="H1745" s="5" t="n">
        <v>450</v>
      </c>
      <c r="I1745" s="7" t="n">
        <v>5</v>
      </c>
      <c r="J1745" s="16" t="n">
        <v>90</v>
      </c>
      <c r="K1745" s="16" t="n">
        <v>90</v>
      </c>
      <c r="L1745" s="16"/>
      <c r="M1745" s="16"/>
      <c r="N1745" s="19"/>
    </row>
    <row r="1746" customFormat="false" ht="15" hidden="false" customHeight="false" outlineLevel="0" collapsed="false">
      <c r="A1746" s="13" t="s">
        <v>4625</v>
      </c>
      <c r="B1746" s="13" t="s">
        <v>61</v>
      </c>
      <c r="C1746" s="13" t="s">
        <v>43</v>
      </c>
      <c r="D1746" s="13" t="s">
        <v>2324</v>
      </c>
      <c r="E1746" s="13" t="s">
        <v>1718</v>
      </c>
      <c r="F1746" s="13" t="n">
        <v>1</v>
      </c>
      <c r="G1746" s="13" t="n">
        <v>1</v>
      </c>
      <c r="H1746" s="5" t="n">
        <v>450</v>
      </c>
      <c r="I1746" s="7" t="n">
        <v>2</v>
      </c>
      <c r="J1746" s="16" t="n">
        <v>225</v>
      </c>
      <c r="K1746" s="16"/>
      <c r="L1746" s="16"/>
      <c r="M1746" s="16" t="n">
        <v>225</v>
      </c>
      <c r="N1746" s="19"/>
    </row>
    <row r="1747" customFormat="false" ht="15" hidden="false" customHeight="false" outlineLevel="0" collapsed="false">
      <c r="A1747" s="13" t="s">
        <v>4626</v>
      </c>
      <c r="B1747" s="13" t="s">
        <v>195</v>
      </c>
      <c r="C1747" s="13" t="s">
        <v>43</v>
      </c>
      <c r="D1747" s="13" t="s">
        <v>2500</v>
      </c>
      <c r="E1747" s="13" t="s">
        <v>1721</v>
      </c>
      <c r="F1747" s="13" t="n">
        <v>1</v>
      </c>
      <c r="G1747" s="13" t="n">
        <v>1</v>
      </c>
      <c r="H1747" s="5" t="n">
        <v>450</v>
      </c>
      <c r="I1747" s="7" t="n">
        <v>1</v>
      </c>
      <c r="J1747" s="16" t="n">
        <v>450</v>
      </c>
      <c r="K1747" s="16"/>
      <c r="L1747" s="16" t="n">
        <v>450</v>
      </c>
      <c r="M1747" s="16"/>
      <c r="N1747" s="19"/>
    </row>
    <row r="1748" customFormat="false" ht="15" hidden="false" customHeight="false" outlineLevel="0" collapsed="false">
      <c r="A1748" s="13" t="s">
        <v>4627</v>
      </c>
      <c r="B1748" s="13" t="s">
        <v>2136</v>
      </c>
      <c r="C1748" s="13" t="s">
        <v>85</v>
      </c>
      <c r="D1748" s="13" t="s">
        <v>2324</v>
      </c>
      <c r="E1748" s="13" t="s">
        <v>4628</v>
      </c>
      <c r="F1748" s="13" t="n">
        <v>1</v>
      </c>
      <c r="G1748" s="13" t="n">
        <v>1</v>
      </c>
      <c r="H1748" s="5" t="n">
        <v>450</v>
      </c>
      <c r="I1748" s="7" t="n">
        <v>5</v>
      </c>
      <c r="J1748" s="16" t="n">
        <v>90</v>
      </c>
      <c r="K1748" s="16" t="n">
        <v>90</v>
      </c>
      <c r="L1748" s="16"/>
      <c r="M1748" s="16"/>
      <c r="N1748" s="19"/>
    </row>
    <row r="1749" customFormat="false" ht="15" hidden="false" customHeight="false" outlineLevel="0" collapsed="false">
      <c r="A1749" s="13" t="s">
        <v>4629</v>
      </c>
      <c r="B1749" s="13" t="s">
        <v>2101</v>
      </c>
      <c r="C1749" s="13" t="s">
        <v>144</v>
      </c>
      <c r="D1749" s="13" t="s">
        <v>2324</v>
      </c>
      <c r="E1749" s="13" t="s">
        <v>4630</v>
      </c>
      <c r="F1749" s="13" t="n">
        <v>1</v>
      </c>
      <c r="G1749" s="13" t="n">
        <v>1</v>
      </c>
      <c r="H1749" s="5" t="n">
        <v>450</v>
      </c>
      <c r="I1749" s="7" t="n">
        <v>1</v>
      </c>
      <c r="J1749" s="16" t="n">
        <v>450</v>
      </c>
      <c r="K1749" s="16" t="n">
        <v>450</v>
      </c>
      <c r="L1749" s="16"/>
      <c r="M1749" s="16"/>
      <c r="N1749" s="19"/>
    </row>
    <row r="1750" customFormat="false" ht="15" hidden="false" customHeight="false" outlineLevel="0" collapsed="false">
      <c r="A1750" s="13" t="s">
        <v>4631</v>
      </c>
      <c r="B1750" s="13" t="s">
        <v>2230</v>
      </c>
      <c r="C1750" s="13" t="s">
        <v>43</v>
      </c>
      <c r="D1750" s="13" t="s">
        <v>2339</v>
      </c>
      <c r="E1750" s="13" t="s">
        <v>4632</v>
      </c>
      <c r="F1750" s="13" t="n">
        <v>1</v>
      </c>
      <c r="G1750" s="13" t="n">
        <v>1</v>
      </c>
      <c r="H1750" s="5" t="n">
        <v>450</v>
      </c>
      <c r="I1750" s="7" t="n">
        <v>5</v>
      </c>
      <c r="J1750" s="16" t="n">
        <v>90</v>
      </c>
      <c r="K1750" s="16" t="n">
        <v>90</v>
      </c>
      <c r="L1750" s="16"/>
      <c r="M1750" s="16"/>
      <c r="N1750" s="19"/>
    </row>
    <row r="1751" customFormat="false" ht="15" hidden="false" customHeight="false" outlineLevel="0" collapsed="false">
      <c r="A1751" s="13" t="s">
        <v>4633</v>
      </c>
      <c r="B1751" s="13" t="s">
        <v>61</v>
      </c>
      <c r="C1751" s="13" t="s">
        <v>43</v>
      </c>
      <c r="D1751" s="13" t="s">
        <v>2322</v>
      </c>
      <c r="E1751" s="13" t="s">
        <v>1717</v>
      </c>
      <c r="F1751" s="13" t="n">
        <v>1</v>
      </c>
      <c r="G1751" s="13" t="n">
        <v>1</v>
      </c>
      <c r="H1751" s="5" t="n">
        <v>450</v>
      </c>
      <c r="I1751" s="7" t="n">
        <v>1</v>
      </c>
      <c r="J1751" s="16" t="n">
        <v>450</v>
      </c>
      <c r="K1751" s="16"/>
      <c r="L1751" s="16"/>
      <c r="M1751" s="16" t="n">
        <v>450</v>
      </c>
      <c r="N1751" s="19"/>
    </row>
    <row r="1752" customFormat="false" ht="15" hidden="false" customHeight="false" outlineLevel="0" collapsed="false">
      <c r="A1752" s="13" t="s">
        <v>4634</v>
      </c>
      <c r="B1752" s="13" t="s">
        <v>61</v>
      </c>
      <c r="C1752" s="13" t="s">
        <v>43</v>
      </c>
      <c r="D1752" s="13" t="s">
        <v>2324</v>
      </c>
      <c r="E1752" s="13" t="s">
        <v>1715</v>
      </c>
      <c r="F1752" s="13" t="n">
        <v>1</v>
      </c>
      <c r="G1752" s="13" t="n">
        <v>1</v>
      </c>
      <c r="H1752" s="5" t="n">
        <v>450</v>
      </c>
      <c r="I1752" s="7" t="n">
        <v>2</v>
      </c>
      <c r="J1752" s="16" t="n">
        <v>225</v>
      </c>
      <c r="K1752" s="16"/>
      <c r="L1752" s="16"/>
      <c r="M1752" s="16" t="n">
        <v>225</v>
      </c>
      <c r="N1752" s="19"/>
    </row>
    <row r="1753" customFormat="false" ht="15" hidden="false" customHeight="false" outlineLevel="0" collapsed="false">
      <c r="A1753" s="13" t="s">
        <v>4635</v>
      </c>
      <c r="B1753" s="13" t="s">
        <v>2181</v>
      </c>
      <c r="C1753" s="13" t="s">
        <v>43</v>
      </c>
      <c r="D1753" s="13" t="s">
        <v>3151</v>
      </c>
      <c r="E1753" s="13" t="s">
        <v>4636</v>
      </c>
      <c r="F1753" s="13" t="n">
        <v>1</v>
      </c>
      <c r="G1753" s="13" t="n">
        <v>1</v>
      </c>
      <c r="H1753" s="5" t="n">
        <v>440</v>
      </c>
      <c r="I1753" s="7" t="n">
        <v>1</v>
      </c>
      <c r="J1753" s="16" t="n">
        <v>440</v>
      </c>
      <c r="K1753" s="16"/>
      <c r="L1753" s="16" t="n">
        <v>440</v>
      </c>
      <c r="M1753" s="16"/>
      <c r="N1753" s="19"/>
    </row>
    <row r="1754" customFormat="false" ht="15" hidden="false" customHeight="false" outlineLevel="0" collapsed="false">
      <c r="A1754" s="13" t="s">
        <v>4637</v>
      </c>
      <c r="B1754" s="13" t="s">
        <v>2254</v>
      </c>
      <c r="C1754" s="13" t="s">
        <v>183</v>
      </c>
      <c r="D1754" s="13" t="s">
        <v>2324</v>
      </c>
      <c r="E1754" s="13" t="s">
        <v>4638</v>
      </c>
      <c r="F1754" s="13" t="n">
        <v>1</v>
      </c>
      <c r="G1754" s="13" t="n">
        <v>1</v>
      </c>
      <c r="H1754" s="5" t="n">
        <v>440</v>
      </c>
      <c r="I1754" s="7" t="n">
        <v>1</v>
      </c>
      <c r="J1754" s="16" t="n">
        <v>440</v>
      </c>
      <c r="K1754" s="16"/>
      <c r="L1754" s="16"/>
      <c r="M1754" s="16" t="n">
        <v>440</v>
      </c>
      <c r="N1754" s="19"/>
    </row>
    <row r="1755" customFormat="false" ht="15" hidden="false" customHeight="false" outlineLevel="0" collapsed="false">
      <c r="A1755" s="13" t="s">
        <v>4639</v>
      </c>
      <c r="B1755" s="13" t="s">
        <v>2146</v>
      </c>
      <c r="C1755" s="13" t="s">
        <v>85</v>
      </c>
      <c r="D1755" s="13" t="s">
        <v>2324</v>
      </c>
      <c r="E1755" s="13" t="s">
        <v>4640</v>
      </c>
      <c r="F1755" s="13" t="n">
        <v>1</v>
      </c>
      <c r="G1755" s="13" t="n">
        <v>1</v>
      </c>
      <c r="H1755" s="5" t="n">
        <v>440</v>
      </c>
      <c r="I1755" s="7" t="n">
        <v>10</v>
      </c>
      <c r="J1755" s="16" t="n">
        <v>44</v>
      </c>
      <c r="K1755" s="16" t="n">
        <v>44</v>
      </c>
      <c r="L1755" s="16"/>
      <c r="M1755" s="16"/>
      <c r="N1755" s="19"/>
    </row>
    <row r="1756" customFormat="false" ht="15" hidden="false" customHeight="false" outlineLevel="0" collapsed="false">
      <c r="A1756" s="13" t="s">
        <v>4641</v>
      </c>
      <c r="B1756" s="13" t="s">
        <v>630</v>
      </c>
      <c r="C1756" s="13" t="s">
        <v>43</v>
      </c>
      <c r="D1756" s="13" t="s">
        <v>2324</v>
      </c>
      <c r="E1756" s="13" t="s">
        <v>1850</v>
      </c>
      <c r="F1756" s="13" t="n">
        <v>1</v>
      </c>
      <c r="G1756" s="13" t="n">
        <v>2</v>
      </c>
      <c r="H1756" s="5" t="n">
        <v>440</v>
      </c>
      <c r="I1756" s="7" t="n">
        <v>3</v>
      </c>
      <c r="J1756" s="16" t="n">
        <v>146.666666666667</v>
      </c>
      <c r="K1756" s="16"/>
      <c r="L1756" s="16"/>
      <c r="M1756" s="16" t="n">
        <v>146.666666666667</v>
      </c>
      <c r="N1756" s="19"/>
    </row>
    <row r="1757" customFormat="false" ht="15" hidden="false" customHeight="false" outlineLevel="0" collapsed="false">
      <c r="A1757" s="13" t="s">
        <v>4642</v>
      </c>
      <c r="B1757" s="13" t="s">
        <v>195</v>
      </c>
      <c r="C1757" s="13" t="s">
        <v>43</v>
      </c>
      <c r="D1757" s="13" t="s">
        <v>2324</v>
      </c>
      <c r="E1757" s="13" t="s">
        <v>1730</v>
      </c>
      <c r="F1757" s="13" t="n">
        <v>1</v>
      </c>
      <c r="G1757" s="13" t="n">
        <v>1</v>
      </c>
      <c r="H1757" s="5" t="n">
        <v>440</v>
      </c>
      <c r="I1757" s="7" t="n">
        <v>1</v>
      </c>
      <c r="J1757" s="16" t="n">
        <v>440</v>
      </c>
      <c r="K1757" s="16"/>
      <c r="L1757" s="16"/>
      <c r="M1757" s="16" t="n">
        <v>440</v>
      </c>
      <c r="N1757" s="19"/>
    </row>
    <row r="1758" customFormat="false" ht="15" hidden="false" customHeight="false" outlineLevel="0" collapsed="false">
      <c r="A1758" s="13" t="s">
        <v>4643</v>
      </c>
      <c r="B1758" s="13" t="s">
        <v>143</v>
      </c>
      <c r="C1758" s="13" t="s">
        <v>144</v>
      </c>
      <c r="D1758" s="13" t="s">
        <v>2324</v>
      </c>
      <c r="E1758" s="13" t="s">
        <v>1705</v>
      </c>
      <c r="F1758" s="13" t="n">
        <v>1</v>
      </c>
      <c r="G1758" s="13" t="n">
        <v>1</v>
      </c>
      <c r="H1758" s="5" t="n">
        <v>440</v>
      </c>
      <c r="I1758" s="7" t="n">
        <v>1</v>
      </c>
      <c r="J1758" s="16" t="n">
        <v>440</v>
      </c>
      <c r="K1758" s="16" t="n">
        <v>440</v>
      </c>
      <c r="L1758" s="16"/>
      <c r="M1758" s="16"/>
      <c r="N1758" s="19"/>
    </row>
    <row r="1759" customFormat="false" ht="15" hidden="false" customHeight="false" outlineLevel="0" collapsed="false">
      <c r="A1759" s="13" t="s">
        <v>4644</v>
      </c>
      <c r="B1759" s="13" t="s">
        <v>2155</v>
      </c>
      <c r="C1759" s="13" t="s">
        <v>85</v>
      </c>
      <c r="D1759" s="13" t="s">
        <v>2324</v>
      </c>
      <c r="E1759" s="13" t="s">
        <v>4645</v>
      </c>
      <c r="F1759" s="13" t="n">
        <v>1</v>
      </c>
      <c r="G1759" s="13" t="n">
        <v>1</v>
      </c>
      <c r="H1759" s="5" t="n">
        <v>430</v>
      </c>
      <c r="I1759" s="7" t="n">
        <v>2</v>
      </c>
      <c r="J1759" s="16" t="n">
        <v>215</v>
      </c>
      <c r="K1759" s="16"/>
      <c r="L1759" s="16"/>
      <c r="M1759" s="16" t="n">
        <v>215</v>
      </c>
      <c r="N1759" s="19"/>
    </row>
    <row r="1760" customFormat="false" ht="15" hidden="false" customHeight="false" outlineLevel="0" collapsed="false">
      <c r="A1760" s="13" t="s">
        <v>4646</v>
      </c>
      <c r="B1760" s="13" t="s">
        <v>121</v>
      </c>
      <c r="C1760" s="13" t="s">
        <v>183</v>
      </c>
      <c r="D1760" s="13" t="s">
        <v>2324</v>
      </c>
      <c r="E1760" s="13" t="s">
        <v>1734</v>
      </c>
      <c r="F1760" s="13" t="n">
        <v>1</v>
      </c>
      <c r="G1760" s="13" t="n">
        <v>1</v>
      </c>
      <c r="H1760" s="5" t="n">
        <v>430</v>
      </c>
      <c r="I1760" s="7" t="n">
        <v>5</v>
      </c>
      <c r="J1760" s="16" t="n">
        <v>86</v>
      </c>
      <c r="K1760" s="16"/>
      <c r="L1760" s="16"/>
      <c r="M1760" s="16" t="n">
        <v>86</v>
      </c>
      <c r="N1760" s="19"/>
    </row>
    <row r="1761" customFormat="false" ht="15" hidden="false" customHeight="false" outlineLevel="0" collapsed="false">
      <c r="A1761" s="13" t="s">
        <v>4647</v>
      </c>
      <c r="B1761" s="13" t="s">
        <v>121</v>
      </c>
      <c r="C1761" s="13" t="s">
        <v>183</v>
      </c>
      <c r="D1761" s="13" t="s">
        <v>4648</v>
      </c>
      <c r="E1761" s="13" t="s">
        <v>1733</v>
      </c>
      <c r="F1761" s="13" t="n">
        <v>1</v>
      </c>
      <c r="G1761" s="13" t="n">
        <v>1</v>
      </c>
      <c r="H1761" s="5" t="n">
        <v>430</v>
      </c>
      <c r="I1761" s="7" t="n">
        <v>5</v>
      </c>
      <c r="J1761" s="16" t="n">
        <v>86</v>
      </c>
      <c r="K1761" s="16"/>
      <c r="L1761" s="16"/>
      <c r="M1761" s="16" t="n">
        <v>86</v>
      </c>
      <c r="N1761" s="19"/>
    </row>
    <row r="1762" customFormat="false" ht="15" hidden="false" customHeight="false" outlineLevel="0" collapsed="false">
      <c r="A1762" s="13" t="s">
        <v>4649</v>
      </c>
      <c r="B1762" s="13" t="s">
        <v>121</v>
      </c>
      <c r="C1762" s="13" t="s">
        <v>43</v>
      </c>
      <c r="D1762" s="13" t="s">
        <v>2795</v>
      </c>
      <c r="E1762" s="13" t="s">
        <v>1735</v>
      </c>
      <c r="F1762" s="13" t="n">
        <v>1</v>
      </c>
      <c r="G1762" s="13" t="n">
        <v>1</v>
      </c>
      <c r="H1762" s="5" t="n">
        <v>430</v>
      </c>
      <c r="I1762" s="7" t="n">
        <v>5</v>
      </c>
      <c r="J1762" s="16" t="n">
        <v>86</v>
      </c>
      <c r="K1762" s="16"/>
      <c r="L1762" s="16"/>
      <c r="M1762" s="16" t="n">
        <v>86</v>
      </c>
      <c r="N1762" s="19"/>
    </row>
    <row r="1763" customFormat="false" ht="15" hidden="false" customHeight="false" outlineLevel="0" collapsed="false">
      <c r="A1763" s="13" t="s">
        <v>4650</v>
      </c>
      <c r="B1763" s="13" t="s">
        <v>2099</v>
      </c>
      <c r="C1763" s="13" t="s">
        <v>43</v>
      </c>
      <c r="D1763" s="13" t="s">
        <v>4194</v>
      </c>
      <c r="E1763" s="13" t="s">
        <v>4651</v>
      </c>
      <c r="F1763" s="13" t="n">
        <v>1</v>
      </c>
      <c r="G1763" s="13" t="n">
        <v>1</v>
      </c>
      <c r="H1763" s="5" t="n">
        <v>430</v>
      </c>
      <c r="I1763" s="7" t="n">
        <v>20</v>
      </c>
      <c r="J1763" s="16" t="n">
        <v>21.5</v>
      </c>
      <c r="K1763" s="16" t="n">
        <v>21.5</v>
      </c>
      <c r="L1763" s="16"/>
      <c r="M1763" s="16"/>
      <c r="N1763" s="19"/>
    </row>
    <row r="1764" customFormat="false" ht="15" hidden="false" customHeight="false" outlineLevel="0" collapsed="false">
      <c r="A1764" s="13" t="s">
        <v>4652</v>
      </c>
      <c r="B1764" s="13" t="s">
        <v>302</v>
      </c>
      <c r="C1764" s="13" t="s">
        <v>43</v>
      </c>
      <c r="D1764" s="13" t="s">
        <v>2324</v>
      </c>
      <c r="E1764" s="13" t="s">
        <v>1739</v>
      </c>
      <c r="F1764" s="13" t="n">
        <v>1</v>
      </c>
      <c r="G1764" s="13" t="n">
        <v>1</v>
      </c>
      <c r="H1764" s="5" t="n">
        <v>430</v>
      </c>
      <c r="I1764" s="7" t="n">
        <v>1</v>
      </c>
      <c r="J1764" s="16" t="n">
        <v>430</v>
      </c>
      <c r="K1764" s="16" t="n">
        <v>430</v>
      </c>
      <c r="L1764" s="16"/>
      <c r="M1764" s="16"/>
      <c r="N1764" s="19"/>
    </row>
    <row r="1765" customFormat="false" ht="15" hidden="false" customHeight="false" outlineLevel="0" collapsed="false">
      <c r="A1765" s="13" t="s">
        <v>4653</v>
      </c>
      <c r="B1765" s="13" t="s">
        <v>2267</v>
      </c>
      <c r="C1765" s="13" t="s">
        <v>43</v>
      </c>
      <c r="D1765" s="13" t="s">
        <v>2324</v>
      </c>
      <c r="E1765" s="13" t="s">
        <v>4654</v>
      </c>
      <c r="F1765" s="13" t="n">
        <v>1</v>
      </c>
      <c r="G1765" s="13" t="n">
        <v>2</v>
      </c>
      <c r="H1765" s="5" t="n">
        <v>430</v>
      </c>
      <c r="I1765" s="7" t="n">
        <v>3</v>
      </c>
      <c r="J1765" s="16" t="n">
        <v>143.333333333333</v>
      </c>
      <c r="K1765" s="16"/>
      <c r="L1765" s="16"/>
      <c r="M1765" s="16" t="n">
        <v>143.333333333333</v>
      </c>
      <c r="N1765" s="19"/>
    </row>
    <row r="1766" customFormat="false" ht="15" hidden="false" customHeight="false" outlineLevel="0" collapsed="false">
      <c r="A1766" s="13" t="s">
        <v>4655</v>
      </c>
      <c r="B1766" s="13" t="s">
        <v>195</v>
      </c>
      <c r="C1766" s="13" t="s">
        <v>43</v>
      </c>
      <c r="D1766" s="13" t="s">
        <v>2324</v>
      </c>
      <c r="E1766" s="13" t="s">
        <v>1744</v>
      </c>
      <c r="F1766" s="13" t="n">
        <v>1</v>
      </c>
      <c r="G1766" s="13" t="n">
        <v>1</v>
      </c>
      <c r="H1766" s="5" t="n">
        <v>420</v>
      </c>
      <c r="I1766" s="7" t="n">
        <v>1</v>
      </c>
      <c r="J1766" s="16" t="n">
        <v>420</v>
      </c>
      <c r="K1766" s="16"/>
      <c r="L1766" s="16"/>
      <c r="M1766" s="16" t="n">
        <v>420</v>
      </c>
      <c r="N1766" s="19"/>
    </row>
    <row r="1767" customFormat="false" ht="15" hidden="false" customHeight="false" outlineLevel="0" collapsed="false">
      <c r="A1767" s="13" t="s">
        <v>4656</v>
      </c>
      <c r="B1767" s="13" t="s">
        <v>2288</v>
      </c>
      <c r="C1767" s="13" t="s">
        <v>85</v>
      </c>
      <c r="D1767" s="13" t="s">
        <v>2324</v>
      </c>
      <c r="E1767" s="13" t="s">
        <v>4657</v>
      </c>
      <c r="F1767" s="13" t="n">
        <v>1</v>
      </c>
      <c r="G1767" s="13" t="n">
        <v>2</v>
      </c>
      <c r="H1767" s="5" t="n">
        <v>420</v>
      </c>
      <c r="I1767" s="7" t="n">
        <v>2</v>
      </c>
      <c r="J1767" s="16" t="n">
        <v>210</v>
      </c>
      <c r="K1767" s="16"/>
      <c r="L1767" s="16"/>
      <c r="M1767" s="16" t="n">
        <v>210</v>
      </c>
      <c r="N1767" s="19"/>
    </row>
    <row r="1768" customFormat="false" ht="15" hidden="false" customHeight="false" outlineLevel="0" collapsed="false">
      <c r="A1768" s="13" t="s">
        <v>4658</v>
      </c>
      <c r="B1768" s="13" t="s">
        <v>2103</v>
      </c>
      <c r="C1768" s="13" t="s">
        <v>183</v>
      </c>
      <c r="D1768" s="13" t="s">
        <v>2324</v>
      </c>
      <c r="E1768" s="13" t="s">
        <v>4659</v>
      </c>
      <c r="F1768" s="13" t="n">
        <v>1</v>
      </c>
      <c r="G1768" s="13" t="n">
        <v>1</v>
      </c>
      <c r="H1768" s="5" t="n">
        <v>420</v>
      </c>
      <c r="I1768" s="7" t="n">
        <v>2</v>
      </c>
      <c r="J1768" s="16" t="n">
        <v>210</v>
      </c>
      <c r="K1768" s="16"/>
      <c r="L1768" s="16"/>
      <c r="M1768" s="16" t="n">
        <v>210</v>
      </c>
      <c r="N1768" s="19"/>
    </row>
    <row r="1769" customFormat="false" ht="15" hidden="false" customHeight="false" outlineLevel="0" collapsed="false">
      <c r="A1769" s="13" t="s">
        <v>4660</v>
      </c>
      <c r="B1769" s="13" t="s">
        <v>61</v>
      </c>
      <c r="C1769" s="13" t="s">
        <v>43</v>
      </c>
      <c r="D1769" s="13" t="s">
        <v>2324</v>
      </c>
      <c r="E1769" s="13" t="s">
        <v>1749</v>
      </c>
      <c r="F1769" s="13" t="n">
        <v>1</v>
      </c>
      <c r="G1769" s="13" t="n">
        <v>1</v>
      </c>
      <c r="H1769" s="5" t="n">
        <v>420</v>
      </c>
      <c r="I1769" s="7" t="n">
        <v>1</v>
      </c>
      <c r="J1769" s="16" t="n">
        <v>420</v>
      </c>
      <c r="K1769" s="16"/>
      <c r="L1769" s="16"/>
      <c r="M1769" s="16" t="n">
        <v>420</v>
      </c>
      <c r="N1769" s="19"/>
    </row>
    <row r="1770" customFormat="false" ht="15" hidden="false" customHeight="false" outlineLevel="0" collapsed="false">
      <c r="A1770" s="13" t="s">
        <v>4661</v>
      </c>
      <c r="B1770" s="13" t="s">
        <v>61</v>
      </c>
      <c r="C1770" s="13" t="s">
        <v>43</v>
      </c>
      <c r="D1770" s="13" t="s">
        <v>2324</v>
      </c>
      <c r="E1770" s="13" t="s">
        <v>1745</v>
      </c>
      <c r="F1770" s="13" t="n">
        <v>1</v>
      </c>
      <c r="G1770" s="13" t="n">
        <v>1</v>
      </c>
      <c r="H1770" s="5" t="n">
        <v>420</v>
      </c>
      <c r="I1770" s="7" t="n">
        <v>1</v>
      </c>
      <c r="J1770" s="16" t="n">
        <v>420</v>
      </c>
      <c r="K1770" s="16"/>
      <c r="L1770" s="16"/>
      <c r="M1770" s="16" t="n">
        <v>420</v>
      </c>
      <c r="N1770" s="19"/>
    </row>
    <row r="1771" customFormat="false" ht="15" hidden="false" customHeight="false" outlineLevel="0" collapsed="false">
      <c r="A1771" s="13" t="s">
        <v>4662</v>
      </c>
      <c r="B1771" s="13" t="s">
        <v>121</v>
      </c>
      <c r="C1771" s="13" t="s">
        <v>43</v>
      </c>
      <c r="D1771" s="13" t="s">
        <v>2324</v>
      </c>
      <c r="E1771" s="13" t="s">
        <v>1747</v>
      </c>
      <c r="F1771" s="13" t="n">
        <v>1</v>
      </c>
      <c r="G1771" s="13" t="n">
        <v>1</v>
      </c>
      <c r="H1771" s="5" t="n">
        <v>420</v>
      </c>
      <c r="I1771" s="7" t="n">
        <v>2</v>
      </c>
      <c r="J1771" s="16" t="n">
        <v>210</v>
      </c>
      <c r="K1771" s="16"/>
      <c r="L1771" s="16"/>
      <c r="M1771" s="16" t="n">
        <v>210</v>
      </c>
      <c r="N1771" s="19"/>
    </row>
    <row r="1772" customFormat="false" ht="15" hidden="false" customHeight="false" outlineLevel="0" collapsed="false">
      <c r="A1772" s="13" t="s">
        <v>4663</v>
      </c>
      <c r="B1772" s="13" t="s">
        <v>630</v>
      </c>
      <c r="C1772" s="13" t="s">
        <v>85</v>
      </c>
      <c r="D1772" s="13" t="s">
        <v>2324</v>
      </c>
      <c r="E1772" s="13" t="s">
        <v>1976</v>
      </c>
      <c r="F1772" s="13" t="n">
        <v>2</v>
      </c>
      <c r="G1772" s="13" t="n">
        <v>2</v>
      </c>
      <c r="H1772" s="5" t="n">
        <v>420</v>
      </c>
      <c r="I1772" s="7" t="n">
        <v>2</v>
      </c>
      <c r="J1772" s="16" t="n">
        <v>210</v>
      </c>
      <c r="K1772" s="16"/>
      <c r="L1772" s="16" t="n">
        <v>210</v>
      </c>
      <c r="M1772" s="16" t="n">
        <v>210</v>
      </c>
      <c r="N1772" s="19" t="n">
        <v>0</v>
      </c>
    </row>
    <row r="1773" customFormat="false" ht="15" hidden="false" customHeight="false" outlineLevel="0" collapsed="false">
      <c r="A1773" s="13" t="s">
        <v>4664</v>
      </c>
      <c r="B1773" s="13" t="s">
        <v>630</v>
      </c>
      <c r="C1773" s="13" t="s">
        <v>43</v>
      </c>
      <c r="D1773" s="13" t="s">
        <v>2324</v>
      </c>
      <c r="E1773" s="13" t="s">
        <v>695</v>
      </c>
      <c r="F1773" s="13" t="n">
        <v>1</v>
      </c>
      <c r="G1773" s="13" t="n">
        <v>1</v>
      </c>
      <c r="H1773" s="5" t="n">
        <v>420</v>
      </c>
      <c r="I1773" s="7" t="n">
        <v>2</v>
      </c>
      <c r="J1773" s="16" t="n">
        <v>210</v>
      </c>
      <c r="K1773" s="16"/>
      <c r="L1773" s="16"/>
      <c r="M1773" s="16" t="n">
        <v>210</v>
      </c>
      <c r="N1773" s="19"/>
    </row>
    <row r="1774" customFormat="false" ht="15" hidden="false" customHeight="false" outlineLevel="0" collapsed="false">
      <c r="A1774" s="13" t="s">
        <v>4665</v>
      </c>
      <c r="B1774" s="13" t="s">
        <v>54</v>
      </c>
      <c r="C1774" s="13" t="s">
        <v>43</v>
      </c>
      <c r="D1774" s="13" t="s">
        <v>2324</v>
      </c>
      <c r="E1774" s="13" t="s">
        <v>1755</v>
      </c>
      <c r="F1774" s="13" t="n">
        <v>1</v>
      </c>
      <c r="G1774" s="13" t="n">
        <v>1</v>
      </c>
      <c r="H1774" s="5" t="n">
        <v>410</v>
      </c>
      <c r="I1774" s="7" t="n">
        <v>1</v>
      </c>
      <c r="J1774" s="16" t="n">
        <v>410</v>
      </c>
      <c r="K1774" s="16"/>
      <c r="L1774" s="16"/>
      <c r="M1774" s="16" t="n">
        <v>410</v>
      </c>
      <c r="N1774" s="19"/>
    </row>
    <row r="1775" customFormat="false" ht="15" hidden="false" customHeight="false" outlineLevel="0" collapsed="false">
      <c r="A1775" s="13" t="s">
        <v>4666</v>
      </c>
      <c r="B1775" s="13" t="s">
        <v>54</v>
      </c>
      <c r="C1775" s="13" t="s">
        <v>43</v>
      </c>
      <c r="D1775" s="13" t="s">
        <v>2324</v>
      </c>
      <c r="E1775" s="13" t="s">
        <v>1755</v>
      </c>
      <c r="F1775" s="13" t="n">
        <v>1</v>
      </c>
      <c r="G1775" s="13" t="n">
        <v>1</v>
      </c>
      <c r="H1775" s="5" t="n">
        <v>410</v>
      </c>
      <c r="I1775" s="7" t="n">
        <v>1</v>
      </c>
      <c r="J1775" s="16" t="n">
        <v>410</v>
      </c>
      <c r="K1775" s="16"/>
      <c r="L1775" s="16"/>
      <c r="M1775" s="16" t="n">
        <v>410</v>
      </c>
      <c r="N1775" s="19"/>
    </row>
    <row r="1776" customFormat="false" ht="15" hidden="false" customHeight="false" outlineLevel="0" collapsed="false">
      <c r="A1776" s="13" t="s">
        <v>4667</v>
      </c>
      <c r="B1776" s="13" t="s">
        <v>54</v>
      </c>
      <c r="C1776" s="13" t="s">
        <v>43</v>
      </c>
      <c r="D1776" s="13" t="s">
        <v>2324</v>
      </c>
      <c r="E1776" s="13" t="s">
        <v>1762</v>
      </c>
      <c r="F1776" s="13" t="n">
        <v>1</v>
      </c>
      <c r="G1776" s="13" t="n">
        <v>1</v>
      </c>
      <c r="H1776" s="5" t="n">
        <v>410</v>
      </c>
      <c r="I1776" s="7" t="n">
        <v>1</v>
      </c>
      <c r="J1776" s="16" t="n">
        <v>410</v>
      </c>
      <c r="K1776" s="16"/>
      <c r="L1776" s="16"/>
      <c r="M1776" s="16" t="n">
        <v>410</v>
      </c>
      <c r="N1776" s="19"/>
    </row>
    <row r="1777" customFormat="false" ht="15" hidden="false" customHeight="false" outlineLevel="0" collapsed="false">
      <c r="A1777" s="13" t="s">
        <v>4668</v>
      </c>
      <c r="B1777" s="13" t="s">
        <v>2155</v>
      </c>
      <c r="C1777" s="13" t="s">
        <v>85</v>
      </c>
      <c r="D1777" s="13" t="s">
        <v>2324</v>
      </c>
      <c r="E1777" s="13" t="s">
        <v>4669</v>
      </c>
      <c r="F1777" s="13" t="n">
        <v>1</v>
      </c>
      <c r="G1777" s="13" t="n">
        <v>2</v>
      </c>
      <c r="H1777" s="5" t="n">
        <v>410</v>
      </c>
      <c r="I1777" s="7" t="n">
        <v>6</v>
      </c>
      <c r="J1777" s="16" t="n">
        <v>68.3333333333333</v>
      </c>
      <c r="K1777" s="16"/>
      <c r="L1777" s="16"/>
      <c r="M1777" s="16" t="n">
        <v>68.3333333333333</v>
      </c>
      <c r="N1777" s="19"/>
    </row>
    <row r="1778" customFormat="false" ht="15" hidden="false" customHeight="false" outlineLevel="0" collapsed="false">
      <c r="A1778" s="13" t="s">
        <v>4670</v>
      </c>
      <c r="B1778" s="13" t="s">
        <v>2218</v>
      </c>
      <c r="C1778" s="13" t="s">
        <v>183</v>
      </c>
      <c r="D1778" s="13" t="s">
        <v>2324</v>
      </c>
      <c r="E1778" s="13" t="s">
        <v>4671</v>
      </c>
      <c r="F1778" s="13" t="n">
        <v>1</v>
      </c>
      <c r="G1778" s="13" t="n">
        <v>2</v>
      </c>
      <c r="H1778" s="5" t="n">
        <v>400</v>
      </c>
      <c r="I1778" s="7" t="n">
        <v>3</v>
      </c>
      <c r="J1778" s="16" t="n">
        <v>133.333333333333</v>
      </c>
      <c r="K1778" s="16" t="n">
        <v>133.333333333333</v>
      </c>
      <c r="L1778" s="16"/>
      <c r="M1778" s="16"/>
      <c r="N1778" s="19"/>
    </row>
    <row r="1779" customFormat="false" ht="15" hidden="false" customHeight="false" outlineLevel="0" collapsed="false">
      <c r="A1779" s="13" t="s">
        <v>4672</v>
      </c>
      <c r="B1779" s="13" t="s">
        <v>329</v>
      </c>
      <c r="C1779" s="13" t="s">
        <v>43</v>
      </c>
      <c r="D1779" s="13" t="s">
        <v>2324</v>
      </c>
      <c r="E1779" s="13" t="s">
        <v>384</v>
      </c>
      <c r="F1779" s="13" t="n">
        <v>1</v>
      </c>
      <c r="G1779" s="13" t="n">
        <v>1</v>
      </c>
      <c r="H1779" s="5" t="n">
        <v>400</v>
      </c>
      <c r="I1779" s="7" t="n">
        <v>1</v>
      </c>
      <c r="J1779" s="16" t="n">
        <v>400</v>
      </c>
      <c r="K1779" s="16"/>
      <c r="L1779" s="16" t="n">
        <v>400</v>
      </c>
      <c r="M1779" s="16"/>
      <c r="N1779" s="19"/>
    </row>
    <row r="1780" customFormat="false" ht="15" hidden="false" customHeight="false" outlineLevel="0" collapsed="false">
      <c r="A1780" s="13" t="s">
        <v>4673</v>
      </c>
      <c r="B1780" s="13" t="s">
        <v>105</v>
      </c>
      <c r="C1780" s="13" t="s">
        <v>43</v>
      </c>
      <c r="D1780" s="13" t="s">
        <v>2324</v>
      </c>
      <c r="E1780" s="13" t="s">
        <v>1771</v>
      </c>
      <c r="F1780" s="13" t="n">
        <v>1</v>
      </c>
      <c r="G1780" s="13" t="n">
        <v>1</v>
      </c>
      <c r="H1780" s="5" t="n">
        <v>400</v>
      </c>
      <c r="I1780" s="7" t="n">
        <v>1</v>
      </c>
      <c r="J1780" s="16" t="n">
        <v>400</v>
      </c>
      <c r="K1780" s="16"/>
      <c r="L1780" s="16"/>
      <c r="M1780" s="16" t="n">
        <v>400</v>
      </c>
      <c r="N1780" s="19"/>
    </row>
    <row r="1781" customFormat="false" ht="15" hidden="false" customHeight="false" outlineLevel="0" collapsed="false">
      <c r="A1781" s="13" t="s">
        <v>4674</v>
      </c>
      <c r="B1781" s="13" t="s">
        <v>302</v>
      </c>
      <c r="C1781" s="13" t="s">
        <v>43</v>
      </c>
      <c r="D1781" s="13" t="s">
        <v>2422</v>
      </c>
      <c r="E1781" s="13" t="s">
        <v>1766</v>
      </c>
      <c r="F1781" s="13" t="n">
        <v>1</v>
      </c>
      <c r="G1781" s="13" t="n">
        <v>1</v>
      </c>
      <c r="H1781" s="5" t="n">
        <v>400</v>
      </c>
      <c r="I1781" s="7" t="n">
        <v>1</v>
      </c>
      <c r="J1781" s="16" t="n">
        <v>400</v>
      </c>
      <c r="K1781" s="16"/>
      <c r="L1781" s="16" t="n">
        <v>400</v>
      </c>
      <c r="M1781" s="16"/>
      <c r="N1781" s="19"/>
    </row>
    <row r="1782" customFormat="false" ht="15" hidden="false" customHeight="false" outlineLevel="0" collapsed="false">
      <c r="A1782" s="13" t="s">
        <v>4675</v>
      </c>
      <c r="B1782" s="13" t="s">
        <v>2138</v>
      </c>
      <c r="C1782" s="13" t="s">
        <v>43</v>
      </c>
      <c r="D1782" s="13" t="s">
        <v>2422</v>
      </c>
      <c r="E1782" s="13" t="s">
        <v>4676</v>
      </c>
      <c r="F1782" s="13" t="n">
        <v>1</v>
      </c>
      <c r="G1782" s="13" t="n">
        <v>1</v>
      </c>
      <c r="H1782" s="5" t="n">
        <v>400</v>
      </c>
      <c r="I1782" s="7" t="n">
        <v>1</v>
      </c>
      <c r="J1782" s="16" t="n">
        <v>400</v>
      </c>
      <c r="K1782" s="16"/>
      <c r="L1782" s="16" t="n">
        <v>400</v>
      </c>
      <c r="M1782" s="16"/>
      <c r="N1782" s="19"/>
    </row>
    <row r="1783" customFormat="false" ht="15" hidden="false" customHeight="false" outlineLevel="0" collapsed="false">
      <c r="A1783" s="13" t="s">
        <v>4677</v>
      </c>
      <c r="B1783" s="13" t="s">
        <v>329</v>
      </c>
      <c r="C1783" s="13" t="s">
        <v>43</v>
      </c>
      <c r="D1783" s="13" t="s">
        <v>2324</v>
      </c>
      <c r="E1783" s="13" t="s">
        <v>1764</v>
      </c>
      <c r="F1783" s="13" t="n">
        <v>1</v>
      </c>
      <c r="G1783" s="13" t="n">
        <v>1</v>
      </c>
      <c r="H1783" s="5" t="n">
        <v>400</v>
      </c>
      <c r="I1783" s="7" t="n">
        <v>1</v>
      </c>
      <c r="J1783" s="16" t="n">
        <v>400</v>
      </c>
      <c r="K1783" s="16"/>
      <c r="L1783" s="16" t="n">
        <v>400</v>
      </c>
      <c r="M1783" s="16"/>
      <c r="N1783" s="19"/>
    </row>
    <row r="1784" customFormat="false" ht="15" hidden="false" customHeight="false" outlineLevel="0" collapsed="false">
      <c r="A1784" s="13" t="s">
        <v>4678</v>
      </c>
      <c r="B1784" s="13" t="s">
        <v>111</v>
      </c>
      <c r="C1784" s="13" t="s">
        <v>43</v>
      </c>
      <c r="D1784" s="13" t="s">
        <v>2324</v>
      </c>
      <c r="E1784" s="13" t="s">
        <v>1765</v>
      </c>
      <c r="F1784" s="13" t="n">
        <v>1</v>
      </c>
      <c r="G1784" s="13" t="n">
        <v>1</v>
      </c>
      <c r="H1784" s="5" t="n">
        <v>400</v>
      </c>
      <c r="I1784" s="7" t="n">
        <v>1</v>
      </c>
      <c r="J1784" s="16" t="n">
        <v>400</v>
      </c>
      <c r="K1784" s="16"/>
      <c r="L1784" s="16" t="n">
        <v>400</v>
      </c>
      <c r="M1784" s="16"/>
      <c r="N1784" s="19"/>
    </row>
    <row r="1785" customFormat="false" ht="15" hidden="false" customHeight="false" outlineLevel="0" collapsed="false">
      <c r="A1785" s="13" t="s">
        <v>4679</v>
      </c>
      <c r="B1785" s="13" t="s">
        <v>2179</v>
      </c>
      <c r="C1785" s="13" t="s">
        <v>43</v>
      </c>
      <c r="D1785" s="13" t="s">
        <v>2324</v>
      </c>
      <c r="E1785" s="13" t="s">
        <v>4680</v>
      </c>
      <c r="F1785" s="13" t="n">
        <v>1</v>
      </c>
      <c r="G1785" s="13" t="n">
        <v>1</v>
      </c>
      <c r="H1785" s="5" t="n">
        <v>400</v>
      </c>
      <c r="I1785" s="7" t="n">
        <v>1</v>
      </c>
      <c r="J1785" s="16" t="n">
        <v>400</v>
      </c>
      <c r="K1785" s="16"/>
      <c r="L1785" s="16"/>
      <c r="M1785" s="16" t="n">
        <v>400</v>
      </c>
      <c r="N1785" s="19"/>
    </row>
    <row r="1786" customFormat="false" ht="15" hidden="false" customHeight="false" outlineLevel="0" collapsed="false">
      <c r="A1786" s="13" t="s">
        <v>4681</v>
      </c>
      <c r="B1786" s="13" t="s">
        <v>229</v>
      </c>
      <c r="C1786" s="13" t="s">
        <v>43</v>
      </c>
      <c r="D1786" s="13" t="s">
        <v>2324</v>
      </c>
      <c r="E1786" s="13" t="s">
        <v>1773</v>
      </c>
      <c r="F1786" s="13" t="n">
        <v>1</v>
      </c>
      <c r="G1786" s="13" t="n">
        <v>1</v>
      </c>
      <c r="H1786" s="5" t="n">
        <v>400</v>
      </c>
      <c r="I1786" s="7" t="n">
        <v>1</v>
      </c>
      <c r="J1786" s="16" t="n">
        <v>400</v>
      </c>
      <c r="K1786" s="16"/>
      <c r="L1786" s="16" t="n">
        <v>400</v>
      </c>
      <c r="M1786" s="16"/>
      <c r="N1786" s="19"/>
    </row>
    <row r="1787" customFormat="false" ht="15" hidden="false" customHeight="false" outlineLevel="0" collapsed="false">
      <c r="A1787" s="13" t="s">
        <v>4682</v>
      </c>
      <c r="B1787" s="13" t="s">
        <v>2246</v>
      </c>
      <c r="C1787" s="13" t="s">
        <v>43</v>
      </c>
      <c r="D1787" s="13" t="s">
        <v>2324</v>
      </c>
      <c r="E1787" s="13" t="s">
        <v>4683</v>
      </c>
      <c r="F1787" s="13" t="n">
        <v>1</v>
      </c>
      <c r="G1787" s="13" t="n">
        <v>1</v>
      </c>
      <c r="H1787" s="5" t="n">
        <v>400</v>
      </c>
      <c r="I1787" s="7" t="n">
        <v>1</v>
      </c>
      <c r="J1787" s="16" t="n">
        <v>400</v>
      </c>
      <c r="K1787" s="16"/>
      <c r="L1787" s="16"/>
      <c r="M1787" s="16" t="n">
        <v>400</v>
      </c>
      <c r="N1787" s="19"/>
    </row>
    <row r="1788" customFormat="false" ht="15" hidden="false" customHeight="false" outlineLevel="0" collapsed="false">
      <c r="A1788" s="13" t="s">
        <v>4684</v>
      </c>
      <c r="B1788" s="13" t="s">
        <v>107</v>
      </c>
      <c r="C1788" s="13" t="s">
        <v>43</v>
      </c>
      <c r="D1788" s="13" t="s">
        <v>2324</v>
      </c>
      <c r="E1788" s="13" t="s">
        <v>1770</v>
      </c>
      <c r="F1788" s="13" t="n">
        <v>1</v>
      </c>
      <c r="G1788" s="13" t="n">
        <v>1</v>
      </c>
      <c r="H1788" s="5" t="n">
        <v>400</v>
      </c>
      <c r="I1788" s="7" t="n">
        <v>2</v>
      </c>
      <c r="J1788" s="16" t="n">
        <v>200</v>
      </c>
      <c r="K1788" s="16"/>
      <c r="L1788" s="16"/>
      <c r="M1788" s="16" t="n">
        <v>200</v>
      </c>
      <c r="N1788" s="19"/>
    </row>
    <row r="1789" customFormat="false" ht="15" hidden="false" customHeight="false" outlineLevel="0" collapsed="false">
      <c r="A1789" s="13" t="s">
        <v>4685</v>
      </c>
      <c r="B1789" s="13" t="s">
        <v>2142</v>
      </c>
      <c r="C1789" s="13" t="s">
        <v>85</v>
      </c>
      <c r="D1789" s="13" t="s">
        <v>2324</v>
      </c>
      <c r="E1789" s="13" t="s">
        <v>4686</v>
      </c>
      <c r="F1789" s="13" t="n">
        <v>1</v>
      </c>
      <c r="G1789" s="13" t="n">
        <v>1</v>
      </c>
      <c r="H1789" s="5" t="n">
        <v>400</v>
      </c>
      <c r="I1789" s="7" t="n">
        <v>5</v>
      </c>
      <c r="J1789" s="16" t="n">
        <v>80</v>
      </c>
      <c r="K1789" s="16" t="n">
        <v>80</v>
      </c>
      <c r="L1789" s="16"/>
      <c r="M1789" s="16"/>
      <c r="N1789" s="19"/>
    </row>
    <row r="1790" customFormat="false" ht="15" hidden="false" customHeight="false" outlineLevel="0" collapsed="false">
      <c r="A1790" s="13" t="s">
        <v>4687</v>
      </c>
      <c r="B1790" s="13" t="s">
        <v>2103</v>
      </c>
      <c r="C1790" s="13" t="s">
        <v>85</v>
      </c>
      <c r="D1790" s="13" t="s">
        <v>2324</v>
      </c>
      <c r="E1790" s="13" t="s">
        <v>4688</v>
      </c>
      <c r="F1790" s="13" t="n">
        <v>1</v>
      </c>
      <c r="G1790" s="13" t="n">
        <v>1</v>
      </c>
      <c r="H1790" s="5" t="n">
        <v>400</v>
      </c>
      <c r="I1790" s="7" t="n">
        <v>5</v>
      </c>
      <c r="J1790" s="16" t="n">
        <v>80</v>
      </c>
      <c r="K1790" s="16"/>
      <c r="L1790" s="16"/>
      <c r="M1790" s="16" t="n">
        <v>80</v>
      </c>
      <c r="N1790" s="19"/>
    </row>
    <row r="1791" customFormat="false" ht="15" hidden="false" customHeight="false" outlineLevel="0" collapsed="false">
      <c r="A1791" s="13" t="s">
        <v>4689</v>
      </c>
      <c r="B1791" s="13" t="s">
        <v>2190</v>
      </c>
      <c r="C1791" s="13" t="s">
        <v>43</v>
      </c>
      <c r="D1791" s="13" t="s">
        <v>2324</v>
      </c>
      <c r="E1791" s="13" t="s">
        <v>4690</v>
      </c>
      <c r="F1791" s="13" t="n">
        <v>1</v>
      </c>
      <c r="G1791" s="13" t="n">
        <v>1</v>
      </c>
      <c r="H1791" s="5" t="n">
        <v>400</v>
      </c>
      <c r="I1791" s="7" t="n">
        <v>5</v>
      </c>
      <c r="J1791" s="16" t="n">
        <v>80</v>
      </c>
      <c r="K1791" s="16" t="n">
        <v>80</v>
      </c>
      <c r="L1791" s="16"/>
      <c r="M1791" s="16"/>
      <c r="N1791" s="19"/>
    </row>
    <row r="1792" customFormat="false" ht="15" hidden="false" customHeight="false" outlineLevel="0" collapsed="false">
      <c r="A1792" s="13" t="s">
        <v>4691</v>
      </c>
      <c r="B1792" s="13" t="s">
        <v>2174</v>
      </c>
      <c r="C1792" s="13" t="s">
        <v>85</v>
      </c>
      <c r="D1792" s="13" t="s">
        <v>2339</v>
      </c>
      <c r="E1792" s="13" t="s">
        <v>4692</v>
      </c>
      <c r="F1792" s="13" t="n">
        <v>1</v>
      </c>
      <c r="G1792" s="13" t="n">
        <v>1</v>
      </c>
      <c r="H1792" s="5" t="n">
        <v>390</v>
      </c>
      <c r="I1792" s="7" t="n">
        <v>1</v>
      </c>
      <c r="J1792" s="16" t="n">
        <v>390</v>
      </c>
      <c r="K1792" s="16"/>
      <c r="L1792" s="16" t="n">
        <v>390</v>
      </c>
      <c r="M1792" s="16"/>
      <c r="N1792" s="19"/>
    </row>
    <row r="1793" customFormat="false" ht="15" hidden="false" customHeight="false" outlineLevel="0" collapsed="false">
      <c r="A1793" s="13" t="s">
        <v>4693</v>
      </c>
      <c r="B1793" s="13" t="s">
        <v>54</v>
      </c>
      <c r="C1793" s="13" t="s">
        <v>43</v>
      </c>
      <c r="D1793" s="13" t="s">
        <v>2324</v>
      </c>
      <c r="E1793" s="13" t="s">
        <v>1785</v>
      </c>
      <c r="F1793" s="13" t="n">
        <v>1</v>
      </c>
      <c r="G1793" s="13" t="n">
        <v>1</v>
      </c>
      <c r="H1793" s="5" t="n">
        <v>390</v>
      </c>
      <c r="I1793" s="7" t="n">
        <v>1</v>
      </c>
      <c r="J1793" s="16" t="n">
        <v>390</v>
      </c>
      <c r="K1793" s="16"/>
      <c r="L1793" s="16"/>
      <c r="M1793" s="16" t="n">
        <v>390</v>
      </c>
      <c r="N1793" s="19"/>
    </row>
    <row r="1794" customFormat="false" ht="15" hidden="false" customHeight="false" outlineLevel="0" collapsed="false">
      <c r="A1794" s="13" t="s">
        <v>4694</v>
      </c>
      <c r="B1794" s="13" t="s">
        <v>2099</v>
      </c>
      <c r="C1794" s="13" t="s">
        <v>43</v>
      </c>
      <c r="D1794" s="13" t="s">
        <v>4194</v>
      </c>
      <c r="E1794" s="13" t="s">
        <v>4695</v>
      </c>
      <c r="F1794" s="13" t="n">
        <v>1</v>
      </c>
      <c r="G1794" s="13" t="n">
        <v>1</v>
      </c>
      <c r="H1794" s="5" t="n">
        <v>390</v>
      </c>
      <c r="I1794" s="7" t="n">
        <v>10</v>
      </c>
      <c r="J1794" s="16" t="n">
        <v>39</v>
      </c>
      <c r="K1794" s="16" t="n">
        <v>39</v>
      </c>
      <c r="L1794" s="16"/>
      <c r="M1794" s="16"/>
      <c r="N1794" s="19"/>
    </row>
    <row r="1795" customFormat="false" ht="15" hidden="false" customHeight="false" outlineLevel="0" collapsed="false">
      <c r="A1795" s="13" t="s">
        <v>4696</v>
      </c>
      <c r="B1795" s="13" t="s">
        <v>2164</v>
      </c>
      <c r="C1795" s="13" t="s">
        <v>43</v>
      </c>
      <c r="D1795" s="13" t="s">
        <v>2324</v>
      </c>
      <c r="E1795" s="13" t="s">
        <v>4697</v>
      </c>
      <c r="F1795" s="13" t="n">
        <v>1</v>
      </c>
      <c r="G1795" s="13" t="n">
        <v>1</v>
      </c>
      <c r="H1795" s="5" t="n">
        <v>390</v>
      </c>
      <c r="I1795" s="7" t="n">
        <v>2</v>
      </c>
      <c r="J1795" s="16" t="n">
        <v>195</v>
      </c>
      <c r="K1795" s="16"/>
      <c r="L1795" s="16"/>
      <c r="M1795" s="16" t="n">
        <v>195</v>
      </c>
      <c r="N1795" s="19"/>
    </row>
    <row r="1796" customFormat="false" ht="15" hidden="false" customHeight="false" outlineLevel="0" collapsed="false">
      <c r="A1796" s="13" t="s">
        <v>4698</v>
      </c>
      <c r="B1796" s="13" t="s">
        <v>2120</v>
      </c>
      <c r="C1796" s="13" t="s">
        <v>43</v>
      </c>
      <c r="D1796" s="13" t="s">
        <v>2324</v>
      </c>
      <c r="E1796" s="13" t="s">
        <v>2978</v>
      </c>
      <c r="F1796" s="13" t="n">
        <v>1</v>
      </c>
      <c r="G1796" s="13" t="n">
        <v>1</v>
      </c>
      <c r="H1796" s="5" t="n">
        <v>390</v>
      </c>
      <c r="I1796" s="7" t="n">
        <v>1</v>
      </c>
      <c r="J1796" s="16" t="n">
        <v>390</v>
      </c>
      <c r="K1796" s="16"/>
      <c r="L1796" s="16" t="n">
        <v>390</v>
      </c>
      <c r="M1796" s="16"/>
      <c r="N1796" s="19"/>
    </row>
    <row r="1797" customFormat="false" ht="15" hidden="false" customHeight="false" outlineLevel="0" collapsed="false">
      <c r="A1797" s="13" t="s">
        <v>4699</v>
      </c>
      <c r="B1797" s="13" t="s">
        <v>2099</v>
      </c>
      <c r="C1797" s="13" t="s">
        <v>43</v>
      </c>
      <c r="D1797" s="13" t="s">
        <v>2324</v>
      </c>
      <c r="E1797" s="13" t="s">
        <v>4700</v>
      </c>
      <c r="F1797" s="13" t="n">
        <v>1</v>
      </c>
      <c r="G1797" s="13" t="n">
        <v>1</v>
      </c>
      <c r="H1797" s="5" t="n">
        <v>390</v>
      </c>
      <c r="I1797" s="7" t="n">
        <v>20</v>
      </c>
      <c r="J1797" s="16" t="n">
        <v>19.5</v>
      </c>
      <c r="K1797" s="16" t="n">
        <v>19.5</v>
      </c>
      <c r="L1797" s="16"/>
      <c r="M1797" s="16"/>
      <c r="N1797" s="19"/>
    </row>
    <row r="1798" customFormat="false" ht="15" hidden="false" customHeight="false" outlineLevel="0" collapsed="false">
      <c r="A1798" s="13" t="s">
        <v>4701</v>
      </c>
      <c r="B1798" s="13" t="s">
        <v>81</v>
      </c>
      <c r="C1798" s="13" t="s">
        <v>85</v>
      </c>
      <c r="D1798" s="13" t="s">
        <v>2324</v>
      </c>
      <c r="E1798" s="13" t="s">
        <v>1794</v>
      </c>
      <c r="F1798" s="13" t="n">
        <v>1</v>
      </c>
      <c r="G1798" s="13" t="n">
        <v>1</v>
      </c>
      <c r="H1798" s="5" t="n">
        <v>380</v>
      </c>
      <c r="I1798" s="7" t="n">
        <v>5</v>
      </c>
      <c r="J1798" s="16" t="n">
        <v>76</v>
      </c>
      <c r="K1798" s="16" t="n">
        <v>76</v>
      </c>
      <c r="L1798" s="16"/>
      <c r="M1798" s="16"/>
      <c r="N1798" s="19"/>
    </row>
    <row r="1799" customFormat="false" ht="15" hidden="false" customHeight="false" outlineLevel="0" collapsed="false">
      <c r="A1799" s="13" t="s">
        <v>4702</v>
      </c>
      <c r="B1799" s="13" t="s">
        <v>2208</v>
      </c>
      <c r="C1799" s="13" t="s">
        <v>43</v>
      </c>
      <c r="D1799" s="13" t="s">
        <v>2324</v>
      </c>
      <c r="E1799" s="13" t="s">
        <v>4703</v>
      </c>
      <c r="F1799" s="13" t="n">
        <v>1</v>
      </c>
      <c r="G1799" s="13" t="n">
        <v>2</v>
      </c>
      <c r="H1799" s="5" t="n">
        <v>380</v>
      </c>
      <c r="I1799" s="7" t="n">
        <v>3</v>
      </c>
      <c r="J1799" s="16" t="n">
        <v>126.666666666667</v>
      </c>
      <c r="K1799" s="16"/>
      <c r="L1799" s="16"/>
      <c r="M1799" s="16" t="n">
        <v>126.666666666667</v>
      </c>
      <c r="N1799" s="19"/>
    </row>
    <row r="1800" customFormat="false" ht="15" hidden="false" customHeight="false" outlineLevel="0" collapsed="false">
      <c r="A1800" s="13" t="s">
        <v>4704</v>
      </c>
      <c r="B1800" s="13" t="s">
        <v>54</v>
      </c>
      <c r="C1800" s="13" t="s">
        <v>43</v>
      </c>
      <c r="D1800" s="13" t="s">
        <v>2324</v>
      </c>
      <c r="E1800" s="13" t="s">
        <v>1762</v>
      </c>
      <c r="F1800" s="13" t="n">
        <v>1</v>
      </c>
      <c r="G1800" s="13" t="n">
        <v>1</v>
      </c>
      <c r="H1800" s="5" t="n">
        <v>380</v>
      </c>
      <c r="I1800" s="7" t="n">
        <v>1</v>
      </c>
      <c r="J1800" s="16" t="n">
        <v>380</v>
      </c>
      <c r="K1800" s="16"/>
      <c r="L1800" s="16"/>
      <c r="M1800" s="16" t="n">
        <v>380</v>
      </c>
      <c r="N1800" s="19"/>
    </row>
    <row r="1801" customFormat="false" ht="15" hidden="false" customHeight="false" outlineLevel="0" collapsed="false">
      <c r="A1801" s="13" t="s">
        <v>4705</v>
      </c>
      <c r="B1801" s="13" t="s">
        <v>2155</v>
      </c>
      <c r="C1801" s="13" t="s">
        <v>85</v>
      </c>
      <c r="D1801" s="13" t="s">
        <v>2324</v>
      </c>
      <c r="E1801" s="13" t="s">
        <v>4706</v>
      </c>
      <c r="F1801" s="13" t="n">
        <v>1</v>
      </c>
      <c r="G1801" s="13" t="n">
        <v>2</v>
      </c>
      <c r="H1801" s="5" t="n">
        <v>380</v>
      </c>
      <c r="I1801" s="7" t="n">
        <v>3</v>
      </c>
      <c r="J1801" s="16" t="n">
        <v>126.666666666667</v>
      </c>
      <c r="K1801" s="16"/>
      <c r="L1801" s="16"/>
      <c r="M1801" s="16" t="n">
        <v>126.666666666667</v>
      </c>
      <c r="N1801" s="19"/>
    </row>
    <row r="1802" customFormat="false" ht="15" hidden="false" customHeight="false" outlineLevel="0" collapsed="false">
      <c r="A1802" s="13" t="s">
        <v>4707</v>
      </c>
      <c r="B1802" s="13" t="s">
        <v>2095</v>
      </c>
      <c r="C1802" s="13" t="s">
        <v>140</v>
      </c>
      <c r="D1802" s="13" t="s">
        <v>2324</v>
      </c>
      <c r="E1802" s="13" t="s">
        <v>4708</v>
      </c>
      <c r="F1802" s="13" t="n">
        <v>1</v>
      </c>
      <c r="G1802" s="13" t="n">
        <v>1</v>
      </c>
      <c r="H1802" s="5" t="n">
        <v>380</v>
      </c>
      <c r="I1802" s="7" t="n">
        <v>5</v>
      </c>
      <c r="J1802" s="16" t="n">
        <v>76</v>
      </c>
      <c r="K1802" s="16" t="n">
        <v>76</v>
      </c>
      <c r="L1802" s="16"/>
      <c r="M1802" s="16"/>
      <c r="N1802" s="19"/>
    </row>
    <row r="1803" customFormat="false" ht="15" hidden="false" customHeight="false" outlineLevel="0" collapsed="false">
      <c r="A1803" s="13" t="s">
        <v>4709</v>
      </c>
      <c r="B1803" s="13" t="s">
        <v>165</v>
      </c>
      <c r="C1803" s="13" t="s">
        <v>43</v>
      </c>
      <c r="D1803" s="13" t="s">
        <v>2324</v>
      </c>
      <c r="E1803" s="13" t="s">
        <v>1798</v>
      </c>
      <c r="F1803" s="13" t="n">
        <v>1</v>
      </c>
      <c r="G1803" s="13" t="n">
        <v>1</v>
      </c>
      <c r="H1803" s="5" t="n">
        <v>380</v>
      </c>
      <c r="I1803" s="7" t="n">
        <v>1</v>
      </c>
      <c r="J1803" s="16" t="n">
        <v>380</v>
      </c>
      <c r="K1803" s="16"/>
      <c r="L1803" s="16"/>
      <c r="M1803" s="16" t="n">
        <v>380</v>
      </c>
      <c r="N1803" s="19"/>
    </row>
    <row r="1804" customFormat="false" ht="15" hidden="false" customHeight="false" outlineLevel="0" collapsed="false">
      <c r="A1804" s="13" t="s">
        <v>4710</v>
      </c>
      <c r="B1804" s="13" t="s">
        <v>286</v>
      </c>
      <c r="C1804" s="13" t="s">
        <v>43</v>
      </c>
      <c r="D1804" s="13" t="s">
        <v>3010</v>
      </c>
      <c r="E1804" s="13" t="s">
        <v>1803</v>
      </c>
      <c r="F1804" s="13" t="n">
        <v>1</v>
      </c>
      <c r="G1804" s="13" t="n">
        <v>1</v>
      </c>
      <c r="H1804" s="5" t="n">
        <v>380</v>
      </c>
      <c r="I1804" s="7" t="n">
        <v>1</v>
      </c>
      <c r="J1804" s="16" t="n">
        <v>380</v>
      </c>
      <c r="K1804" s="16"/>
      <c r="L1804" s="16" t="n">
        <v>380</v>
      </c>
      <c r="M1804" s="16"/>
      <c r="N1804" s="19"/>
    </row>
    <row r="1805" customFormat="false" ht="15" hidden="false" customHeight="false" outlineLevel="0" collapsed="false">
      <c r="A1805" s="13" t="s">
        <v>4711</v>
      </c>
      <c r="B1805" s="13" t="s">
        <v>2103</v>
      </c>
      <c r="C1805" s="13" t="s">
        <v>85</v>
      </c>
      <c r="D1805" s="13" t="s">
        <v>2324</v>
      </c>
      <c r="E1805" s="13" t="s">
        <v>4712</v>
      </c>
      <c r="F1805" s="13" t="n">
        <v>1</v>
      </c>
      <c r="G1805" s="13" t="n">
        <v>1</v>
      </c>
      <c r="H1805" s="5" t="n">
        <v>380</v>
      </c>
      <c r="I1805" s="7" t="n">
        <v>5</v>
      </c>
      <c r="J1805" s="16" t="n">
        <v>76</v>
      </c>
      <c r="K1805" s="16"/>
      <c r="L1805" s="16"/>
      <c r="M1805" s="16" t="n">
        <v>76</v>
      </c>
      <c r="N1805" s="19"/>
    </row>
    <row r="1806" customFormat="false" ht="15" hidden="false" customHeight="false" outlineLevel="0" collapsed="false">
      <c r="A1806" s="13" t="s">
        <v>4713</v>
      </c>
      <c r="B1806" s="13" t="s">
        <v>2187</v>
      </c>
      <c r="C1806" s="13" t="s">
        <v>85</v>
      </c>
      <c r="D1806" s="13" t="s">
        <v>2324</v>
      </c>
      <c r="E1806" s="13" t="s">
        <v>4714</v>
      </c>
      <c r="F1806" s="13" t="n">
        <v>1</v>
      </c>
      <c r="G1806" s="13" t="n">
        <v>1</v>
      </c>
      <c r="H1806" s="5" t="n">
        <v>380</v>
      </c>
      <c r="I1806" s="7" t="n">
        <v>2</v>
      </c>
      <c r="J1806" s="16" t="n">
        <v>190</v>
      </c>
      <c r="K1806" s="16" t="n">
        <v>190</v>
      </c>
      <c r="L1806" s="16"/>
      <c r="M1806" s="16"/>
      <c r="N1806" s="19"/>
    </row>
    <row r="1807" customFormat="false" ht="15" hidden="false" customHeight="false" outlineLevel="0" collapsed="false">
      <c r="A1807" s="13" t="s">
        <v>4715</v>
      </c>
      <c r="B1807" s="13" t="s">
        <v>61</v>
      </c>
      <c r="C1807" s="13" t="s">
        <v>43</v>
      </c>
      <c r="D1807" s="13" t="s">
        <v>4194</v>
      </c>
      <c r="E1807" s="13" t="s">
        <v>1796</v>
      </c>
      <c r="F1807" s="13" t="n">
        <v>1</v>
      </c>
      <c r="G1807" s="13" t="n">
        <v>1</v>
      </c>
      <c r="H1807" s="5" t="n">
        <v>380</v>
      </c>
      <c r="I1807" s="7" t="n">
        <v>1</v>
      </c>
      <c r="J1807" s="16" t="n">
        <v>380</v>
      </c>
      <c r="K1807" s="16"/>
      <c r="L1807" s="16"/>
      <c r="M1807" s="16" t="n">
        <v>380</v>
      </c>
      <c r="N1807" s="19"/>
    </row>
    <row r="1808" customFormat="false" ht="15" hidden="false" customHeight="false" outlineLevel="0" collapsed="false">
      <c r="A1808" s="13" t="s">
        <v>4716</v>
      </c>
      <c r="B1808" s="13" t="s">
        <v>2253</v>
      </c>
      <c r="C1808" s="13" t="s">
        <v>85</v>
      </c>
      <c r="D1808" s="13" t="s">
        <v>2360</v>
      </c>
      <c r="E1808" s="13" t="s">
        <v>4717</v>
      </c>
      <c r="F1808" s="13" t="n">
        <v>1</v>
      </c>
      <c r="G1808" s="13" t="n">
        <v>1</v>
      </c>
      <c r="H1808" s="5" t="n">
        <v>380</v>
      </c>
      <c r="I1808" s="7" t="n">
        <v>2</v>
      </c>
      <c r="J1808" s="16" t="n">
        <v>190</v>
      </c>
      <c r="K1808" s="16"/>
      <c r="L1808" s="16"/>
      <c r="M1808" s="16" t="n">
        <v>190</v>
      </c>
      <c r="N1808" s="19"/>
    </row>
    <row r="1809" customFormat="false" ht="15" hidden="false" customHeight="false" outlineLevel="0" collapsed="false">
      <c r="A1809" s="13" t="s">
        <v>4718</v>
      </c>
      <c r="B1809" s="13" t="s">
        <v>121</v>
      </c>
      <c r="C1809" s="13" t="s">
        <v>183</v>
      </c>
      <c r="D1809" s="13" t="s">
        <v>2324</v>
      </c>
      <c r="E1809" s="13" t="s">
        <v>1816</v>
      </c>
      <c r="F1809" s="13" t="n">
        <v>1</v>
      </c>
      <c r="G1809" s="13" t="n">
        <v>1</v>
      </c>
      <c r="H1809" s="5" t="n">
        <v>370</v>
      </c>
      <c r="I1809" s="7" t="n">
        <v>5</v>
      </c>
      <c r="J1809" s="16" t="n">
        <v>74</v>
      </c>
      <c r="K1809" s="16"/>
      <c r="L1809" s="16"/>
      <c r="M1809" s="16" t="n">
        <v>74</v>
      </c>
      <c r="N1809" s="19"/>
    </row>
    <row r="1810" customFormat="false" ht="15" hidden="false" customHeight="false" outlineLevel="0" collapsed="false">
      <c r="A1810" s="13" t="s">
        <v>4719</v>
      </c>
      <c r="B1810" s="13" t="s">
        <v>54</v>
      </c>
      <c r="C1810" s="13" t="s">
        <v>43</v>
      </c>
      <c r="D1810" s="13" t="s">
        <v>2324</v>
      </c>
      <c r="E1810" s="13" t="s">
        <v>1811</v>
      </c>
      <c r="F1810" s="13" t="n">
        <v>1</v>
      </c>
      <c r="G1810" s="13" t="n">
        <v>1</v>
      </c>
      <c r="H1810" s="5" t="n">
        <v>370</v>
      </c>
      <c r="I1810" s="7" t="n">
        <v>1</v>
      </c>
      <c r="J1810" s="16" t="n">
        <v>370</v>
      </c>
      <c r="K1810" s="16"/>
      <c r="L1810" s="16"/>
      <c r="M1810" s="16" t="n">
        <v>370</v>
      </c>
      <c r="N1810" s="19"/>
    </row>
    <row r="1811" customFormat="false" ht="15" hidden="false" customHeight="false" outlineLevel="0" collapsed="false">
      <c r="A1811" s="13" t="s">
        <v>4720</v>
      </c>
      <c r="B1811" s="13" t="s">
        <v>42</v>
      </c>
      <c r="C1811" s="13" t="s">
        <v>43</v>
      </c>
      <c r="D1811" s="13" t="s">
        <v>2324</v>
      </c>
      <c r="E1811" s="13" t="s">
        <v>1810</v>
      </c>
      <c r="F1811" s="13" t="n">
        <v>1</v>
      </c>
      <c r="G1811" s="13" t="n">
        <v>1</v>
      </c>
      <c r="H1811" s="5" t="n">
        <v>370</v>
      </c>
      <c r="I1811" s="7" t="n">
        <v>1</v>
      </c>
      <c r="J1811" s="16" t="n">
        <v>370</v>
      </c>
      <c r="K1811" s="16"/>
      <c r="L1811" s="16"/>
      <c r="M1811" s="16" t="n">
        <v>370</v>
      </c>
      <c r="N1811" s="19"/>
    </row>
    <row r="1812" customFormat="false" ht="15" hidden="false" customHeight="false" outlineLevel="0" collapsed="false">
      <c r="A1812" s="13" t="s">
        <v>4721</v>
      </c>
      <c r="B1812" s="13" t="s">
        <v>54</v>
      </c>
      <c r="C1812" s="13" t="s">
        <v>43</v>
      </c>
      <c r="D1812" s="13" t="s">
        <v>2324</v>
      </c>
      <c r="E1812" s="13" t="s">
        <v>1939</v>
      </c>
      <c r="F1812" s="13" t="n">
        <v>1</v>
      </c>
      <c r="G1812" s="13" t="n">
        <v>2</v>
      </c>
      <c r="H1812" s="5" t="n">
        <v>370</v>
      </c>
      <c r="I1812" s="7" t="n">
        <v>3</v>
      </c>
      <c r="J1812" s="16" t="n">
        <v>123.333333333333</v>
      </c>
      <c r="K1812" s="16"/>
      <c r="L1812" s="16"/>
      <c r="M1812" s="16" t="n">
        <v>123.333333333333</v>
      </c>
      <c r="N1812" s="19"/>
    </row>
    <row r="1813" customFormat="false" ht="15" hidden="false" customHeight="false" outlineLevel="0" collapsed="false">
      <c r="A1813" s="13" t="s">
        <v>4722</v>
      </c>
      <c r="B1813" s="13" t="s">
        <v>191</v>
      </c>
      <c r="C1813" s="13" t="s">
        <v>183</v>
      </c>
      <c r="D1813" s="13" t="s">
        <v>2324</v>
      </c>
      <c r="E1813" s="13" t="s">
        <v>1830</v>
      </c>
      <c r="F1813" s="13" t="n">
        <v>1</v>
      </c>
      <c r="G1813" s="13" t="n">
        <v>1</v>
      </c>
      <c r="H1813" s="5" t="n">
        <v>360</v>
      </c>
      <c r="I1813" s="7" t="n">
        <v>2</v>
      </c>
      <c r="J1813" s="16" t="n">
        <v>180</v>
      </c>
      <c r="K1813" s="16" t="n">
        <v>180</v>
      </c>
      <c r="L1813" s="16"/>
      <c r="M1813" s="16"/>
      <c r="N1813" s="19"/>
    </row>
    <row r="1814" customFormat="false" ht="15" hidden="false" customHeight="false" outlineLevel="0" collapsed="false">
      <c r="A1814" s="13" t="s">
        <v>4723</v>
      </c>
      <c r="B1814" s="13" t="s">
        <v>179</v>
      </c>
      <c r="C1814" s="13" t="s">
        <v>180</v>
      </c>
      <c r="D1814" s="13" t="s">
        <v>2324</v>
      </c>
      <c r="E1814" s="13" t="s">
        <v>1829</v>
      </c>
      <c r="F1814" s="13" t="n">
        <v>1</v>
      </c>
      <c r="G1814" s="13" t="n">
        <v>1</v>
      </c>
      <c r="H1814" s="5" t="n">
        <v>360</v>
      </c>
      <c r="I1814" s="7" t="n">
        <v>2</v>
      </c>
      <c r="J1814" s="16" t="n">
        <v>180</v>
      </c>
      <c r="K1814" s="16" t="n">
        <v>180</v>
      </c>
      <c r="L1814" s="16"/>
      <c r="M1814" s="16"/>
      <c r="N1814" s="19"/>
    </row>
    <row r="1815" customFormat="false" ht="15" hidden="false" customHeight="false" outlineLevel="0" collapsed="false">
      <c r="A1815" s="13" t="s">
        <v>4724</v>
      </c>
      <c r="B1815" s="13" t="s">
        <v>61</v>
      </c>
      <c r="C1815" s="13" t="s">
        <v>183</v>
      </c>
      <c r="D1815" s="13" t="s">
        <v>2322</v>
      </c>
      <c r="E1815" s="13" t="s">
        <v>1832</v>
      </c>
      <c r="F1815" s="13" t="n">
        <v>1</v>
      </c>
      <c r="G1815" s="13" t="n">
        <v>1</v>
      </c>
      <c r="H1815" s="5" t="n">
        <v>360</v>
      </c>
      <c r="I1815" s="7" t="n">
        <v>1</v>
      </c>
      <c r="J1815" s="16" t="n">
        <v>360</v>
      </c>
      <c r="K1815" s="16"/>
      <c r="L1815" s="16"/>
      <c r="M1815" s="16" t="n">
        <v>360</v>
      </c>
      <c r="N1815" s="19"/>
    </row>
    <row r="1816" customFormat="false" ht="15" hidden="false" customHeight="false" outlineLevel="0" collapsed="false">
      <c r="A1816" s="13" t="s">
        <v>4725</v>
      </c>
      <c r="B1816" s="13" t="s">
        <v>54</v>
      </c>
      <c r="C1816" s="13" t="s">
        <v>43</v>
      </c>
      <c r="D1816" s="13" t="s">
        <v>2324</v>
      </c>
      <c r="E1816" s="13" t="s">
        <v>1820</v>
      </c>
      <c r="F1816" s="13" t="n">
        <v>1</v>
      </c>
      <c r="G1816" s="13" t="n">
        <v>1</v>
      </c>
      <c r="H1816" s="5" t="n">
        <v>360</v>
      </c>
      <c r="I1816" s="7" t="n">
        <v>1</v>
      </c>
      <c r="J1816" s="16" t="n">
        <v>360</v>
      </c>
      <c r="K1816" s="16"/>
      <c r="L1816" s="16"/>
      <c r="M1816" s="16" t="n">
        <v>360</v>
      </c>
      <c r="N1816" s="19"/>
    </row>
    <row r="1817" customFormat="false" ht="15" hidden="false" customHeight="false" outlineLevel="0" collapsed="false">
      <c r="A1817" s="13" t="s">
        <v>4726</v>
      </c>
      <c r="B1817" s="13" t="s">
        <v>121</v>
      </c>
      <c r="C1817" s="13" t="s">
        <v>43</v>
      </c>
      <c r="D1817" s="13" t="s">
        <v>2324</v>
      </c>
      <c r="E1817" s="13" t="s">
        <v>1937</v>
      </c>
      <c r="F1817" s="13" t="n">
        <v>1</v>
      </c>
      <c r="G1817" s="13" t="n">
        <v>2</v>
      </c>
      <c r="H1817" s="5" t="n">
        <v>360</v>
      </c>
      <c r="I1817" s="7" t="n">
        <v>3</v>
      </c>
      <c r="J1817" s="16" t="n">
        <v>120</v>
      </c>
      <c r="K1817" s="16"/>
      <c r="L1817" s="16"/>
      <c r="M1817" s="16" t="n">
        <v>120</v>
      </c>
      <c r="N1817" s="19"/>
    </row>
    <row r="1818" customFormat="false" ht="15" hidden="false" customHeight="false" outlineLevel="0" collapsed="false">
      <c r="A1818" s="13" t="s">
        <v>4727</v>
      </c>
      <c r="B1818" s="13" t="s">
        <v>2151</v>
      </c>
      <c r="C1818" s="13" t="s">
        <v>85</v>
      </c>
      <c r="D1818" s="13" t="s">
        <v>2432</v>
      </c>
      <c r="E1818" s="13" t="s">
        <v>4728</v>
      </c>
      <c r="F1818" s="13" t="n">
        <v>1</v>
      </c>
      <c r="G1818" s="13" t="n">
        <v>1</v>
      </c>
      <c r="H1818" s="5" t="n">
        <v>360</v>
      </c>
      <c r="I1818" s="7" t="n">
        <v>2</v>
      </c>
      <c r="J1818" s="16" t="n">
        <v>180</v>
      </c>
      <c r="K1818" s="16" t="n">
        <v>180</v>
      </c>
      <c r="L1818" s="16"/>
      <c r="M1818" s="16"/>
      <c r="N1818" s="19"/>
    </row>
    <row r="1819" customFormat="false" ht="15" hidden="false" customHeight="false" outlineLevel="0" collapsed="false">
      <c r="A1819" s="13" t="s">
        <v>4729</v>
      </c>
      <c r="B1819" s="13" t="s">
        <v>2103</v>
      </c>
      <c r="C1819" s="13" t="s">
        <v>85</v>
      </c>
      <c r="D1819" s="13" t="s">
        <v>2324</v>
      </c>
      <c r="E1819" s="13" t="s">
        <v>4730</v>
      </c>
      <c r="F1819" s="13" t="n">
        <v>1</v>
      </c>
      <c r="G1819" s="13" t="n">
        <v>1</v>
      </c>
      <c r="H1819" s="5" t="n">
        <v>360</v>
      </c>
      <c r="I1819" s="7" t="n">
        <v>2</v>
      </c>
      <c r="J1819" s="16" t="n">
        <v>180</v>
      </c>
      <c r="K1819" s="16"/>
      <c r="L1819" s="16"/>
      <c r="M1819" s="16" t="n">
        <v>180</v>
      </c>
      <c r="N1819" s="19"/>
    </row>
    <row r="1820" customFormat="false" ht="15" hidden="false" customHeight="false" outlineLevel="0" collapsed="false">
      <c r="A1820" s="13" t="s">
        <v>4731</v>
      </c>
      <c r="B1820" s="13" t="s">
        <v>61</v>
      </c>
      <c r="C1820" s="13" t="s">
        <v>43</v>
      </c>
      <c r="D1820" s="13" t="s">
        <v>2324</v>
      </c>
      <c r="E1820" s="13" t="s">
        <v>1819</v>
      </c>
      <c r="F1820" s="13" t="n">
        <v>1</v>
      </c>
      <c r="G1820" s="13" t="n">
        <v>1</v>
      </c>
      <c r="H1820" s="5" t="n">
        <v>360</v>
      </c>
      <c r="I1820" s="7" t="n">
        <v>1</v>
      </c>
      <c r="J1820" s="16" t="n">
        <v>360</v>
      </c>
      <c r="K1820" s="16"/>
      <c r="L1820" s="16"/>
      <c r="M1820" s="16" t="n">
        <v>360</v>
      </c>
      <c r="N1820" s="19"/>
    </row>
    <row r="1821" customFormat="false" ht="15" hidden="false" customHeight="false" outlineLevel="0" collapsed="false">
      <c r="A1821" s="13" t="s">
        <v>4732</v>
      </c>
      <c r="B1821" s="13" t="s">
        <v>61</v>
      </c>
      <c r="C1821" s="13" t="s">
        <v>43</v>
      </c>
      <c r="D1821" s="13" t="s">
        <v>2324</v>
      </c>
      <c r="E1821" s="13" t="s">
        <v>1833</v>
      </c>
      <c r="F1821" s="13" t="n">
        <v>1</v>
      </c>
      <c r="G1821" s="13" t="n">
        <v>1</v>
      </c>
      <c r="H1821" s="5" t="n">
        <v>360</v>
      </c>
      <c r="I1821" s="7" t="n">
        <v>1</v>
      </c>
      <c r="J1821" s="16" t="n">
        <v>360</v>
      </c>
      <c r="K1821" s="16"/>
      <c r="L1821" s="16"/>
      <c r="M1821" s="16" t="n">
        <v>360</v>
      </c>
      <c r="N1821" s="19"/>
    </row>
    <row r="1822" customFormat="false" ht="15" hidden="false" customHeight="false" outlineLevel="0" collapsed="false">
      <c r="A1822" s="13" t="s">
        <v>4733</v>
      </c>
      <c r="B1822" s="13" t="s">
        <v>50</v>
      </c>
      <c r="C1822" s="13" t="s">
        <v>43</v>
      </c>
      <c r="D1822" s="13" t="s">
        <v>2324</v>
      </c>
      <c r="E1822" s="13" t="s">
        <v>756</v>
      </c>
      <c r="F1822" s="13" t="n">
        <v>1</v>
      </c>
      <c r="G1822" s="13" t="n">
        <v>1</v>
      </c>
      <c r="H1822" s="5" t="n">
        <v>360</v>
      </c>
      <c r="I1822" s="7" t="n">
        <v>1</v>
      </c>
      <c r="J1822" s="16" t="n">
        <v>360</v>
      </c>
      <c r="K1822" s="16"/>
      <c r="L1822" s="16"/>
      <c r="M1822" s="16" t="n">
        <v>360</v>
      </c>
      <c r="N1822" s="19"/>
    </row>
    <row r="1823" customFormat="false" ht="15" hidden="false" customHeight="false" outlineLevel="0" collapsed="false">
      <c r="A1823" s="13" t="s">
        <v>4734</v>
      </c>
      <c r="B1823" s="13" t="s">
        <v>2111</v>
      </c>
      <c r="C1823" s="13" t="s">
        <v>43</v>
      </c>
      <c r="D1823" s="13" t="s">
        <v>3151</v>
      </c>
      <c r="E1823" s="13" t="s">
        <v>4735</v>
      </c>
      <c r="F1823" s="13" t="n">
        <v>1</v>
      </c>
      <c r="G1823" s="13" t="n">
        <v>1</v>
      </c>
      <c r="H1823" s="5" t="n">
        <v>360</v>
      </c>
      <c r="I1823" s="7" t="n">
        <v>1</v>
      </c>
      <c r="J1823" s="16" t="n">
        <v>360</v>
      </c>
      <c r="K1823" s="16"/>
      <c r="L1823" s="16" t="n">
        <v>360</v>
      </c>
      <c r="M1823" s="16"/>
      <c r="N1823" s="19"/>
    </row>
    <row r="1824" customFormat="false" ht="15" hidden="false" customHeight="false" outlineLevel="0" collapsed="false">
      <c r="A1824" s="13" t="s">
        <v>4736</v>
      </c>
      <c r="B1824" s="13" t="s">
        <v>2181</v>
      </c>
      <c r="C1824" s="13" t="s">
        <v>43</v>
      </c>
      <c r="D1824" s="13" t="s">
        <v>3151</v>
      </c>
      <c r="E1824" s="13" t="s">
        <v>4737</v>
      </c>
      <c r="F1824" s="13" t="n">
        <v>1</v>
      </c>
      <c r="G1824" s="13" t="n">
        <v>1</v>
      </c>
      <c r="H1824" s="5" t="n">
        <v>350</v>
      </c>
      <c r="I1824" s="7" t="n">
        <v>1</v>
      </c>
      <c r="J1824" s="16" t="n">
        <v>350</v>
      </c>
      <c r="K1824" s="16"/>
      <c r="L1824" s="16" t="n">
        <v>350</v>
      </c>
      <c r="M1824" s="16"/>
      <c r="N1824" s="19"/>
    </row>
    <row r="1825" customFormat="false" ht="15" hidden="false" customHeight="false" outlineLevel="0" collapsed="false">
      <c r="A1825" s="13" t="s">
        <v>4738</v>
      </c>
      <c r="B1825" s="13" t="s">
        <v>2167</v>
      </c>
      <c r="C1825" s="13" t="s">
        <v>43</v>
      </c>
      <c r="D1825" s="13" t="s">
        <v>2324</v>
      </c>
      <c r="E1825" s="13" t="s">
        <v>4739</v>
      </c>
      <c r="F1825" s="13" t="n">
        <v>1</v>
      </c>
      <c r="G1825" s="13" t="n">
        <v>1</v>
      </c>
      <c r="H1825" s="5" t="n">
        <v>350</v>
      </c>
      <c r="I1825" s="7" t="n">
        <v>1</v>
      </c>
      <c r="J1825" s="16" t="n">
        <v>350</v>
      </c>
      <c r="K1825" s="16" t="n">
        <v>350</v>
      </c>
      <c r="L1825" s="16"/>
      <c r="M1825" s="16"/>
      <c r="N1825" s="19"/>
    </row>
    <row r="1826" customFormat="false" ht="15" hidden="false" customHeight="false" outlineLevel="0" collapsed="false">
      <c r="A1826" s="13" t="s">
        <v>4740</v>
      </c>
      <c r="B1826" s="13" t="s">
        <v>2274</v>
      </c>
      <c r="C1826" s="13" t="s">
        <v>43</v>
      </c>
      <c r="D1826" s="13" t="s">
        <v>2339</v>
      </c>
      <c r="E1826" s="13" t="s">
        <v>4741</v>
      </c>
      <c r="F1826" s="13" t="n">
        <v>1</v>
      </c>
      <c r="G1826" s="13" t="n">
        <v>1</v>
      </c>
      <c r="H1826" s="5" t="n">
        <v>350</v>
      </c>
      <c r="I1826" s="7" t="n">
        <v>1</v>
      </c>
      <c r="J1826" s="16" t="n">
        <v>350</v>
      </c>
      <c r="K1826" s="16"/>
      <c r="L1826" s="16" t="n">
        <v>350</v>
      </c>
      <c r="M1826" s="16"/>
      <c r="N1826" s="19"/>
    </row>
    <row r="1827" customFormat="false" ht="15" hidden="false" customHeight="false" outlineLevel="0" collapsed="false">
      <c r="A1827" s="13" t="s">
        <v>4742</v>
      </c>
      <c r="B1827" s="13" t="s">
        <v>2101</v>
      </c>
      <c r="C1827" s="13" t="s">
        <v>98</v>
      </c>
      <c r="D1827" s="13" t="s">
        <v>2324</v>
      </c>
      <c r="E1827" s="13" t="s">
        <v>4743</v>
      </c>
      <c r="F1827" s="13" t="n">
        <v>1</v>
      </c>
      <c r="G1827" s="13" t="n">
        <v>1</v>
      </c>
      <c r="H1827" s="5" t="n">
        <v>350</v>
      </c>
      <c r="I1827" s="7" t="n">
        <v>5</v>
      </c>
      <c r="J1827" s="16" t="n">
        <v>70</v>
      </c>
      <c r="K1827" s="16" t="n">
        <v>70</v>
      </c>
      <c r="L1827" s="16"/>
      <c r="M1827" s="16"/>
      <c r="N1827" s="19"/>
    </row>
    <row r="1828" customFormat="false" ht="15" hidden="false" customHeight="false" outlineLevel="0" collapsed="false">
      <c r="A1828" s="13" t="s">
        <v>4744</v>
      </c>
      <c r="B1828" s="13" t="s">
        <v>365</v>
      </c>
      <c r="C1828" s="13" t="s">
        <v>43</v>
      </c>
      <c r="D1828" s="13" t="s">
        <v>2339</v>
      </c>
      <c r="E1828" s="13" t="s">
        <v>1836</v>
      </c>
      <c r="F1828" s="13" t="n">
        <v>1</v>
      </c>
      <c r="G1828" s="13" t="n">
        <v>1</v>
      </c>
      <c r="H1828" s="5" t="n">
        <v>350</v>
      </c>
      <c r="I1828" s="7" t="n">
        <v>1</v>
      </c>
      <c r="J1828" s="16" t="n">
        <v>350</v>
      </c>
      <c r="K1828" s="16"/>
      <c r="L1828" s="16" t="n">
        <v>350</v>
      </c>
      <c r="M1828" s="16"/>
      <c r="N1828" s="19"/>
    </row>
    <row r="1829" customFormat="false" ht="15" hidden="false" customHeight="false" outlineLevel="0" collapsed="false">
      <c r="A1829" s="13" t="s">
        <v>4745</v>
      </c>
      <c r="B1829" s="13" t="s">
        <v>179</v>
      </c>
      <c r="C1829" s="13" t="s">
        <v>85</v>
      </c>
      <c r="D1829" s="13" t="s">
        <v>2324</v>
      </c>
      <c r="E1829" s="13" t="s">
        <v>1834</v>
      </c>
      <c r="F1829" s="13" t="n">
        <v>1</v>
      </c>
      <c r="G1829" s="13" t="n">
        <v>1</v>
      </c>
      <c r="H1829" s="5" t="n">
        <v>350</v>
      </c>
      <c r="I1829" s="7" t="n">
        <v>1</v>
      </c>
      <c r="J1829" s="16" t="n">
        <v>350</v>
      </c>
      <c r="K1829" s="16" t="n">
        <v>350</v>
      </c>
      <c r="L1829" s="16"/>
      <c r="M1829" s="16"/>
      <c r="N1829" s="19"/>
    </row>
    <row r="1830" customFormat="false" ht="15" hidden="false" customHeight="false" outlineLevel="0" collapsed="false">
      <c r="A1830" s="13" t="s">
        <v>4746</v>
      </c>
      <c r="B1830" s="13" t="s">
        <v>155</v>
      </c>
      <c r="C1830" s="13" t="s">
        <v>43</v>
      </c>
      <c r="D1830" s="13" t="s">
        <v>2422</v>
      </c>
      <c r="E1830" s="13" t="s">
        <v>1963</v>
      </c>
      <c r="F1830" s="13" t="n">
        <v>1</v>
      </c>
      <c r="G1830" s="13" t="n">
        <v>2</v>
      </c>
      <c r="H1830" s="5" t="n">
        <v>350</v>
      </c>
      <c r="I1830" s="7" t="n">
        <v>3</v>
      </c>
      <c r="J1830" s="16" t="n">
        <v>116.666666666667</v>
      </c>
      <c r="K1830" s="16"/>
      <c r="L1830" s="16"/>
      <c r="M1830" s="16" t="n">
        <v>116.666666666667</v>
      </c>
      <c r="N1830" s="19"/>
    </row>
    <row r="1831" customFormat="false" ht="15" hidden="false" customHeight="false" outlineLevel="0" collapsed="false">
      <c r="A1831" s="13" t="s">
        <v>4747</v>
      </c>
      <c r="B1831" s="13" t="s">
        <v>630</v>
      </c>
      <c r="C1831" s="13" t="s">
        <v>43</v>
      </c>
      <c r="D1831" s="13" t="s">
        <v>2324</v>
      </c>
      <c r="E1831" s="13" t="s">
        <v>1994</v>
      </c>
      <c r="F1831" s="13" t="n">
        <v>1</v>
      </c>
      <c r="G1831" s="13" t="n">
        <v>2</v>
      </c>
      <c r="H1831" s="5" t="n">
        <v>350</v>
      </c>
      <c r="I1831" s="7" t="n">
        <v>2</v>
      </c>
      <c r="J1831" s="16" t="n">
        <v>175</v>
      </c>
      <c r="K1831" s="16"/>
      <c r="L1831" s="16"/>
      <c r="M1831" s="16" t="n">
        <v>175</v>
      </c>
      <c r="N1831" s="19"/>
    </row>
    <row r="1832" customFormat="false" ht="15" hidden="false" customHeight="false" outlineLevel="0" collapsed="false">
      <c r="A1832" s="13" t="s">
        <v>4748</v>
      </c>
      <c r="B1832" s="13" t="s">
        <v>2103</v>
      </c>
      <c r="C1832" s="13" t="s">
        <v>85</v>
      </c>
      <c r="D1832" s="13" t="s">
        <v>2324</v>
      </c>
      <c r="E1832" s="13" t="s">
        <v>4749</v>
      </c>
      <c r="F1832" s="13" t="n">
        <v>1</v>
      </c>
      <c r="G1832" s="13" t="n">
        <v>2</v>
      </c>
      <c r="H1832" s="5" t="n">
        <v>350</v>
      </c>
      <c r="I1832" s="7" t="n">
        <v>3</v>
      </c>
      <c r="J1832" s="16" t="n">
        <v>116.666666666667</v>
      </c>
      <c r="K1832" s="16"/>
      <c r="L1832" s="16"/>
      <c r="M1832" s="16" t="n">
        <v>116.666666666667</v>
      </c>
      <c r="N1832" s="19"/>
    </row>
    <row r="1833" customFormat="false" ht="15" hidden="false" customHeight="false" outlineLevel="0" collapsed="false">
      <c r="A1833" s="13" t="s">
        <v>4750</v>
      </c>
      <c r="B1833" s="13" t="s">
        <v>121</v>
      </c>
      <c r="C1833" s="13" t="s">
        <v>43</v>
      </c>
      <c r="D1833" s="13" t="s">
        <v>2339</v>
      </c>
      <c r="E1833" s="13" t="s">
        <v>1960</v>
      </c>
      <c r="F1833" s="13" t="n">
        <v>1</v>
      </c>
      <c r="G1833" s="13" t="n">
        <v>2</v>
      </c>
      <c r="H1833" s="5" t="n">
        <v>340</v>
      </c>
      <c r="I1833" s="7" t="n">
        <v>3</v>
      </c>
      <c r="J1833" s="16" t="n">
        <v>113.333333333333</v>
      </c>
      <c r="K1833" s="16"/>
      <c r="L1833" s="16"/>
      <c r="M1833" s="16" t="n">
        <v>113.333333333333</v>
      </c>
      <c r="N1833" s="19"/>
    </row>
    <row r="1834" customFormat="false" ht="15" hidden="false" customHeight="false" outlineLevel="0" collapsed="false">
      <c r="A1834" s="13" t="s">
        <v>4751</v>
      </c>
      <c r="B1834" s="13" t="s">
        <v>2276</v>
      </c>
      <c r="C1834" s="13" t="s">
        <v>85</v>
      </c>
      <c r="D1834" s="13" t="s">
        <v>2324</v>
      </c>
      <c r="E1834" s="13" t="s">
        <v>4752</v>
      </c>
      <c r="F1834" s="13" t="n">
        <v>1</v>
      </c>
      <c r="G1834" s="13" t="n">
        <v>1</v>
      </c>
      <c r="H1834" s="5" t="n">
        <v>340</v>
      </c>
      <c r="I1834" s="7" t="n">
        <v>2</v>
      </c>
      <c r="J1834" s="16" t="n">
        <v>170</v>
      </c>
      <c r="K1834" s="16" t="n">
        <v>170</v>
      </c>
      <c r="L1834" s="16"/>
      <c r="M1834" s="16"/>
      <c r="N1834" s="19"/>
    </row>
    <row r="1835" customFormat="false" ht="15" hidden="false" customHeight="false" outlineLevel="0" collapsed="false">
      <c r="A1835" s="13" t="s">
        <v>4753</v>
      </c>
      <c r="B1835" s="13" t="s">
        <v>329</v>
      </c>
      <c r="C1835" s="13" t="s">
        <v>43</v>
      </c>
      <c r="D1835" s="13" t="s">
        <v>2324</v>
      </c>
      <c r="E1835" s="13" t="s">
        <v>384</v>
      </c>
      <c r="F1835" s="13" t="n">
        <v>1</v>
      </c>
      <c r="G1835" s="13" t="n">
        <v>1</v>
      </c>
      <c r="H1835" s="5" t="n">
        <v>340</v>
      </c>
      <c r="I1835" s="7" t="n">
        <v>1</v>
      </c>
      <c r="J1835" s="16" t="n">
        <v>340</v>
      </c>
      <c r="K1835" s="16"/>
      <c r="L1835" s="16"/>
      <c r="M1835" s="16" t="n">
        <v>340</v>
      </c>
      <c r="N1835" s="19"/>
    </row>
    <row r="1836" customFormat="false" ht="15" hidden="false" customHeight="false" outlineLevel="0" collapsed="false">
      <c r="A1836" s="13" t="s">
        <v>4754</v>
      </c>
      <c r="B1836" s="13" t="s">
        <v>362</v>
      </c>
      <c r="C1836" s="13" t="s">
        <v>43</v>
      </c>
      <c r="D1836" s="13" t="s">
        <v>2324</v>
      </c>
      <c r="E1836" s="13" t="s">
        <v>1840</v>
      </c>
      <c r="F1836" s="13" t="n">
        <v>1</v>
      </c>
      <c r="G1836" s="13" t="n">
        <v>1</v>
      </c>
      <c r="H1836" s="5" t="n">
        <v>340</v>
      </c>
      <c r="I1836" s="7" t="n">
        <v>1</v>
      </c>
      <c r="J1836" s="16" t="n">
        <v>340</v>
      </c>
      <c r="K1836" s="16"/>
      <c r="L1836" s="16"/>
      <c r="M1836" s="16" t="n">
        <v>340</v>
      </c>
      <c r="N1836" s="19"/>
    </row>
    <row r="1837" customFormat="false" ht="15" hidden="false" customHeight="false" outlineLevel="0" collapsed="false">
      <c r="A1837" s="13" t="s">
        <v>4755</v>
      </c>
      <c r="B1837" s="13" t="s">
        <v>54</v>
      </c>
      <c r="C1837" s="13" t="s">
        <v>43</v>
      </c>
      <c r="D1837" s="13" t="s">
        <v>2324</v>
      </c>
      <c r="E1837" s="13" t="s">
        <v>1842</v>
      </c>
      <c r="F1837" s="13" t="n">
        <v>1</v>
      </c>
      <c r="G1837" s="13" t="n">
        <v>1</v>
      </c>
      <c r="H1837" s="5" t="n">
        <v>340</v>
      </c>
      <c r="I1837" s="7" t="n">
        <v>1</v>
      </c>
      <c r="J1837" s="16" t="n">
        <v>340</v>
      </c>
      <c r="K1837" s="16"/>
      <c r="L1837" s="16"/>
      <c r="M1837" s="16" t="n">
        <v>340</v>
      </c>
      <c r="N1837" s="19"/>
    </row>
    <row r="1838" customFormat="false" ht="15" hidden="false" customHeight="false" outlineLevel="0" collapsed="false">
      <c r="A1838" s="13" t="s">
        <v>4756</v>
      </c>
      <c r="B1838" s="13" t="s">
        <v>2179</v>
      </c>
      <c r="C1838" s="13" t="s">
        <v>43</v>
      </c>
      <c r="D1838" s="13" t="s">
        <v>2324</v>
      </c>
      <c r="E1838" s="13" t="s">
        <v>4757</v>
      </c>
      <c r="F1838" s="13" t="n">
        <v>1</v>
      </c>
      <c r="G1838" s="13" t="n">
        <v>1</v>
      </c>
      <c r="H1838" s="5" t="n">
        <v>340</v>
      </c>
      <c r="I1838" s="7" t="n">
        <v>1</v>
      </c>
      <c r="J1838" s="16" t="n">
        <v>340</v>
      </c>
      <c r="K1838" s="16"/>
      <c r="L1838" s="16" t="n">
        <v>340</v>
      </c>
      <c r="M1838" s="16"/>
      <c r="N1838" s="19"/>
    </row>
    <row r="1839" customFormat="false" ht="15" hidden="false" customHeight="false" outlineLevel="0" collapsed="false">
      <c r="A1839" s="13" t="s">
        <v>4758</v>
      </c>
      <c r="B1839" s="13" t="s">
        <v>490</v>
      </c>
      <c r="C1839" s="13" t="s">
        <v>43</v>
      </c>
      <c r="D1839" s="13" t="s">
        <v>2324</v>
      </c>
      <c r="E1839" s="13" t="s">
        <v>1150</v>
      </c>
      <c r="F1839" s="13" t="n">
        <v>1</v>
      </c>
      <c r="G1839" s="13" t="n">
        <v>1</v>
      </c>
      <c r="H1839" s="5" t="n">
        <v>340</v>
      </c>
      <c r="I1839" s="7" t="n">
        <v>1</v>
      </c>
      <c r="J1839" s="16" t="n">
        <v>340</v>
      </c>
      <c r="K1839" s="16"/>
      <c r="L1839" s="16" t="n">
        <v>340</v>
      </c>
      <c r="M1839" s="16"/>
      <c r="N1839" s="19"/>
    </row>
    <row r="1840" customFormat="false" ht="15" hidden="false" customHeight="false" outlineLevel="0" collapsed="false">
      <c r="A1840" s="13" t="s">
        <v>4759</v>
      </c>
      <c r="B1840" s="13" t="s">
        <v>2245</v>
      </c>
      <c r="C1840" s="13" t="s">
        <v>85</v>
      </c>
      <c r="D1840" s="13" t="s">
        <v>4760</v>
      </c>
      <c r="E1840" s="13" t="s">
        <v>4761</v>
      </c>
      <c r="F1840" s="13" t="n">
        <v>1</v>
      </c>
      <c r="G1840" s="13" t="n">
        <v>2</v>
      </c>
      <c r="H1840" s="5" t="n">
        <v>330</v>
      </c>
      <c r="I1840" s="7" t="n">
        <v>2</v>
      </c>
      <c r="J1840" s="16" t="n">
        <v>165</v>
      </c>
      <c r="K1840" s="16"/>
      <c r="L1840" s="16" t="n">
        <v>165</v>
      </c>
      <c r="M1840" s="16"/>
      <c r="N1840" s="19"/>
    </row>
    <row r="1841" customFormat="false" ht="15" hidden="false" customHeight="false" outlineLevel="0" collapsed="false">
      <c r="A1841" s="13" t="s">
        <v>4762</v>
      </c>
      <c r="B1841" s="13" t="s">
        <v>2277</v>
      </c>
      <c r="C1841" s="13" t="s">
        <v>43</v>
      </c>
      <c r="D1841" s="13" t="s">
        <v>2324</v>
      </c>
      <c r="E1841" s="13" t="s">
        <v>4763</v>
      </c>
      <c r="F1841" s="13" t="n">
        <v>1</v>
      </c>
      <c r="G1841" s="13" t="n">
        <v>1</v>
      </c>
      <c r="H1841" s="5" t="n">
        <v>330</v>
      </c>
      <c r="I1841" s="7" t="n">
        <v>1</v>
      </c>
      <c r="J1841" s="16" t="n">
        <v>330</v>
      </c>
      <c r="K1841" s="16"/>
      <c r="L1841" s="16" t="n">
        <v>330</v>
      </c>
      <c r="M1841" s="16"/>
      <c r="N1841" s="19"/>
    </row>
    <row r="1842" customFormat="false" ht="15" hidden="false" customHeight="false" outlineLevel="0" collapsed="false">
      <c r="A1842" s="13" t="s">
        <v>4764</v>
      </c>
      <c r="B1842" s="13" t="s">
        <v>2179</v>
      </c>
      <c r="C1842" s="13" t="s">
        <v>43</v>
      </c>
      <c r="D1842" s="13" t="s">
        <v>2324</v>
      </c>
      <c r="E1842" s="13" t="s">
        <v>4765</v>
      </c>
      <c r="F1842" s="13" t="n">
        <v>1</v>
      </c>
      <c r="G1842" s="13" t="n">
        <v>1</v>
      </c>
      <c r="H1842" s="5" t="n">
        <v>330</v>
      </c>
      <c r="I1842" s="7" t="n">
        <v>1</v>
      </c>
      <c r="J1842" s="16" t="n">
        <v>330</v>
      </c>
      <c r="K1842" s="16"/>
      <c r="L1842" s="16" t="n">
        <v>330</v>
      </c>
      <c r="M1842" s="16"/>
      <c r="N1842" s="19"/>
    </row>
    <row r="1843" customFormat="false" ht="15" hidden="false" customHeight="false" outlineLevel="0" collapsed="false">
      <c r="A1843" s="13" t="s">
        <v>4766</v>
      </c>
      <c r="B1843" s="13" t="s">
        <v>2215</v>
      </c>
      <c r="C1843" s="13" t="s">
        <v>85</v>
      </c>
      <c r="D1843" s="13" t="s">
        <v>2324</v>
      </c>
      <c r="E1843" s="13" t="s">
        <v>4767</v>
      </c>
      <c r="F1843" s="13" t="n">
        <v>1</v>
      </c>
      <c r="G1843" s="13" t="n">
        <v>1</v>
      </c>
      <c r="H1843" s="5" t="n">
        <v>330</v>
      </c>
      <c r="I1843" s="7" t="n">
        <v>1</v>
      </c>
      <c r="J1843" s="16" t="n">
        <v>330</v>
      </c>
      <c r="K1843" s="16"/>
      <c r="L1843" s="16"/>
      <c r="M1843" s="16" t="n">
        <v>330</v>
      </c>
      <c r="N1843" s="19"/>
    </row>
    <row r="1844" customFormat="false" ht="15" hidden="false" customHeight="false" outlineLevel="0" collapsed="false">
      <c r="A1844" s="13" t="s">
        <v>4768</v>
      </c>
      <c r="B1844" s="13" t="s">
        <v>2175</v>
      </c>
      <c r="C1844" s="13" t="s">
        <v>43</v>
      </c>
      <c r="D1844" s="13" t="s">
        <v>2324</v>
      </c>
      <c r="E1844" s="13" t="s">
        <v>4769</v>
      </c>
      <c r="F1844" s="13" t="n">
        <v>1</v>
      </c>
      <c r="G1844" s="13" t="n">
        <v>1</v>
      </c>
      <c r="H1844" s="5" t="n">
        <v>330</v>
      </c>
      <c r="I1844" s="7" t="n">
        <v>2</v>
      </c>
      <c r="J1844" s="16" t="n">
        <v>165</v>
      </c>
      <c r="K1844" s="16" t="n">
        <v>165</v>
      </c>
      <c r="L1844" s="16"/>
      <c r="M1844" s="16"/>
      <c r="N1844" s="19"/>
    </row>
    <row r="1845" customFormat="false" ht="15" hidden="false" customHeight="false" outlineLevel="0" collapsed="false">
      <c r="A1845" s="13" t="s">
        <v>4770</v>
      </c>
      <c r="B1845" s="13" t="s">
        <v>2099</v>
      </c>
      <c r="C1845" s="13" t="s">
        <v>43</v>
      </c>
      <c r="D1845" s="13" t="s">
        <v>2324</v>
      </c>
      <c r="E1845" s="13" t="s">
        <v>4771</v>
      </c>
      <c r="F1845" s="13" t="n">
        <v>1</v>
      </c>
      <c r="G1845" s="13" t="n">
        <v>1</v>
      </c>
      <c r="H1845" s="5" t="n">
        <v>330</v>
      </c>
      <c r="I1845" s="7" t="n">
        <v>10</v>
      </c>
      <c r="J1845" s="16" t="n">
        <v>33</v>
      </c>
      <c r="K1845" s="16" t="n">
        <v>33</v>
      </c>
      <c r="L1845" s="16"/>
      <c r="M1845" s="16"/>
      <c r="N1845" s="19"/>
    </row>
    <row r="1846" customFormat="false" ht="15" hidden="false" customHeight="false" outlineLevel="0" collapsed="false">
      <c r="A1846" s="13" t="s">
        <v>4772</v>
      </c>
      <c r="B1846" s="13" t="s">
        <v>121</v>
      </c>
      <c r="C1846" s="13" t="s">
        <v>43</v>
      </c>
      <c r="D1846" s="13" t="s">
        <v>2324</v>
      </c>
      <c r="E1846" s="13" t="s">
        <v>1843</v>
      </c>
      <c r="F1846" s="13" t="n">
        <v>1</v>
      </c>
      <c r="G1846" s="13" t="n">
        <v>1</v>
      </c>
      <c r="H1846" s="5" t="n">
        <v>330</v>
      </c>
      <c r="I1846" s="7" t="n">
        <v>2</v>
      </c>
      <c r="J1846" s="16" t="n">
        <v>165</v>
      </c>
      <c r="K1846" s="16"/>
      <c r="L1846" s="16"/>
      <c r="M1846" s="16" t="n">
        <v>165</v>
      </c>
      <c r="N1846" s="19"/>
    </row>
    <row r="1847" customFormat="false" ht="15" hidden="false" customHeight="false" outlineLevel="0" collapsed="false">
      <c r="A1847" s="13" t="s">
        <v>4773</v>
      </c>
      <c r="B1847" s="13" t="s">
        <v>2230</v>
      </c>
      <c r="C1847" s="13" t="s">
        <v>43</v>
      </c>
      <c r="D1847" s="13" t="s">
        <v>2339</v>
      </c>
      <c r="E1847" s="13" t="s">
        <v>4774</v>
      </c>
      <c r="F1847" s="13" t="n">
        <v>1</v>
      </c>
      <c r="G1847" s="13" t="n">
        <v>1</v>
      </c>
      <c r="H1847" s="5" t="n">
        <v>320</v>
      </c>
      <c r="I1847" s="7" t="n">
        <v>2</v>
      </c>
      <c r="J1847" s="16" t="n">
        <v>160</v>
      </c>
      <c r="K1847" s="16" t="n">
        <v>160</v>
      </c>
      <c r="L1847" s="16"/>
      <c r="M1847" s="16"/>
      <c r="N1847" s="19"/>
    </row>
    <row r="1848" customFormat="false" ht="15" hidden="false" customHeight="false" outlineLevel="0" collapsed="false">
      <c r="A1848" s="13" t="s">
        <v>4775</v>
      </c>
      <c r="B1848" s="13" t="s">
        <v>81</v>
      </c>
      <c r="C1848" s="13" t="s">
        <v>85</v>
      </c>
      <c r="D1848" s="13" t="s">
        <v>2324</v>
      </c>
      <c r="E1848" s="13" t="s">
        <v>1852</v>
      </c>
      <c r="F1848" s="13" t="n">
        <v>1</v>
      </c>
      <c r="G1848" s="13" t="n">
        <v>1</v>
      </c>
      <c r="H1848" s="5" t="n">
        <v>320</v>
      </c>
      <c r="I1848" s="7" t="n">
        <v>5</v>
      </c>
      <c r="J1848" s="16" t="n">
        <v>64</v>
      </c>
      <c r="K1848" s="16" t="n">
        <v>64</v>
      </c>
      <c r="L1848" s="16"/>
      <c r="M1848" s="16"/>
      <c r="N1848" s="19"/>
    </row>
    <row r="1849" customFormat="false" ht="15" hidden="false" customHeight="false" outlineLevel="0" collapsed="false">
      <c r="A1849" s="13" t="s">
        <v>4776</v>
      </c>
      <c r="B1849" s="13" t="s">
        <v>2254</v>
      </c>
      <c r="C1849" s="13" t="s">
        <v>85</v>
      </c>
      <c r="D1849" s="13" t="s">
        <v>2324</v>
      </c>
      <c r="E1849" s="13" t="s">
        <v>4777</v>
      </c>
      <c r="F1849" s="13" t="n">
        <v>1</v>
      </c>
      <c r="G1849" s="13" t="n">
        <v>1</v>
      </c>
      <c r="H1849" s="5" t="n">
        <v>320</v>
      </c>
      <c r="I1849" s="7" t="n">
        <v>1</v>
      </c>
      <c r="J1849" s="16" t="n">
        <v>320</v>
      </c>
      <c r="K1849" s="16"/>
      <c r="L1849" s="16"/>
      <c r="M1849" s="16" t="n">
        <v>320</v>
      </c>
      <c r="N1849" s="19"/>
    </row>
    <row r="1850" customFormat="false" ht="15" hidden="false" customHeight="false" outlineLevel="0" collapsed="false">
      <c r="A1850" s="13" t="s">
        <v>4778</v>
      </c>
      <c r="B1850" s="13" t="s">
        <v>121</v>
      </c>
      <c r="C1850" s="13" t="s">
        <v>43</v>
      </c>
      <c r="D1850" s="13" t="s">
        <v>2339</v>
      </c>
      <c r="E1850" s="13" t="s">
        <v>2021</v>
      </c>
      <c r="F1850" s="13" t="n">
        <v>1</v>
      </c>
      <c r="G1850" s="13" t="n">
        <v>2</v>
      </c>
      <c r="H1850" s="5" t="n">
        <v>320</v>
      </c>
      <c r="I1850" s="7" t="n">
        <v>2</v>
      </c>
      <c r="J1850" s="16" t="n">
        <v>160</v>
      </c>
      <c r="K1850" s="16"/>
      <c r="L1850" s="16"/>
      <c r="M1850" s="16" t="n">
        <v>160</v>
      </c>
      <c r="N1850" s="19"/>
    </row>
    <row r="1851" customFormat="false" ht="15" hidden="false" customHeight="false" outlineLevel="0" collapsed="false">
      <c r="A1851" s="13" t="s">
        <v>4779</v>
      </c>
      <c r="B1851" s="13" t="s">
        <v>365</v>
      </c>
      <c r="C1851" s="13" t="s">
        <v>43</v>
      </c>
      <c r="D1851" s="13" t="s">
        <v>2606</v>
      </c>
      <c r="E1851" s="13" t="s">
        <v>1853</v>
      </c>
      <c r="F1851" s="13" t="n">
        <v>1</v>
      </c>
      <c r="G1851" s="13" t="n">
        <v>1</v>
      </c>
      <c r="H1851" s="5" t="n">
        <v>320</v>
      </c>
      <c r="I1851" s="7" t="n">
        <v>2</v>
      </c>
      <c r="J1851" s="16" t="n">
        <v>160</v>
      </c>
      <c r="K1851" s="16" t="n">
        <v>160</v>
      </c>
      <c r="L1851" s="16"/>
      <c r="M1851" s="16"/>
      <c r="N1851" s="19"/>
    </row>
    <row r="1852" customFormat="false" ht="15" hidden="false" customHeight="false" outlineLevel="0" collapsed="false">
      <c r="A1852" s="13" t="s">
        <v>4780</v>
      </c>
      <c r="B1852" s="13" t="s">
        <v>54</v>
      </c>
      <c r="C1852" s="13" t="s">
        <v>43</v>
      </c>
      <c r="D1852" s="13" t="s">
        <v>2324</v>
      </c>
      <c r="E1852" s="13" t="s">
        <v>1858</v>
      </c>
      <c r="F1852" s="13" t="n">
        <v>1</v>
      </c>
      <c r="G1852" s="13" t="n">
        <v>1</v>
      </c>
      <c r="H1852" s="5" t="n">
        <v>310</v>
      </c>
      <c r="I1852" s="7" t="n">
        <v>1</v>
      </c>
      <c r="J1852" s="16" t="n">
        <v>310</v>
      </c>
      <c r="K1852" s="16"/>
      <c r="L1852" s="16"/>
      <c r="M1852" s="16" t="n">
        <v>310</v>
      </c>
      <c r="N1852" s="19"/>
    </row>
    <row r="1853" customFormat="false" ht="15" hidden="false" customHeight="false" outlineLevel="0" collapsed="false">
      <c r="A1853" s="13" t="s">
        <v>4781</v>
      </c>
      <c r="B1853" s="13" t="s">
        <v>365</v>
      </c>
      <c r="C1853" s="13" t="s">
        <v>43</v>
      </c>
      <c r="D1853" s="13" t="s">
        <v>2324</v>
      </c>
      <c r="E1853" s="13" t="s">
        <v>1865</v>
      </c>
      <c r="F1853" s="13" t="n">
        <v>1</v>
      </c>
      <c r="G1853" s="13" t="n">
        <v>1</v>
      </c>
      <c r="H1853" s="5" t="n">
        <v>310</v>
      </c>
      <c r="I1853" s="7" t="n">
        <v>1</v>
      </c>
      <c r="J1853" s="16" t="n">
        <v>310</v>
      </c>
      <c r="K1853" s="16" t="n">
        <v>310</v>
      </c>
      <c r="L1853" s="16"/>
      <c r="M1853" s="16"/>
      <c r="N1853" s="19"/>
    </row>
    <row r="1854" customFormat="false" ht="15" hidden="false" customHeight="false" outlineLevel="0" collapsed="false">
      <c r="A1854" s="13" t="s">
        <v>4782</v>
      </c>
      <c r="B1854" s="13" t="s">
        <v>105</v>
      </c>
      <c r="C1854" s="13" t="s">
        <v>43</v>
      </c>
      <c r="D1854" s="13" t="s">
        <v>2324</v>
      </c>
      <c r="E1854" s="13" t="s">
        <v>1856</v>
      </c>
      <c r="F1854" s="13" t="n">
        <v>1</v>
      </c>
      <c r="G1854" s="13" t="n">
        <v>1</v>
      </c>
      <c r="H1854" s="5" t="n">
        <v>310</v>
      </c>
      <c r="I1854" s="7" t="n">
        <v>1</v>
      </c>
      <c r="J1854" s="16" t="n">
        <v>310</v>
      </c>
      <c r="K1854" s="16"/>
      <c r="L1854" s="16"/>
      <c r="M1854" s="16" t="n">
        <v>310</v>
      </c>
      <c r="N1854" s="19"/>
    </row>
    <row r="1855" customFormat="false" ht="15" hidden="false" customHeight="false" outlineLevel="0" collapsed="false">
      <c r="A1855" s="13" t="s">
        <v>4783</v>
      </c>
      <c r="B1855" s="13" t="s">
        <v>2218</v>
      </c>
      <c r="C1855" s="13" t="s">
        <v>85</v>
      </c>
      <c r="D1855" s="13" t="s">
        <v>2324</v>
      </c>
      <c r="E1855" s="13" t="s">
        <v>4784</v>
      </c>
      <c r="F1855" s="13" t="n">
        <v>1</v>
      </c>
      <c r="G1855" s="13" t="n">
        <v>1</v>
      </c>
      <c r="H1855" s="5" t="n">
        <v>310</v>
      </c>
      <c r="I1855" s="7" t="n">
        <v>5</v>
      </c>
      <c r="J1855" s="16" t="n">
        <v>62</v>
      </c>
      <c r="K1855" s="16" t="n">
        <v>62</v>
      </c>
      <c r="L1855" s="16"/>
      <c r="M1855" s="16"/>
      <c r="N1855" s="19"/>
    </row>
    <row r="1856" customFormat="false" ht="15" hidden="false" customHeight="false" outlineLevel="0" collapsed="false">
      <c r="A1856" s="13" t="s">
        <v>4785</v>
      </c>
      <c r="B1856" s="13" t="s">
        <v>2150</v>
      </c>
      <c r="C1856" s="13" t="s">
        <v>43</v>
      </c>
      <c r="D1856" s="13" t="s">
        <v>2324</v>
      </c>
      <c r="E1856" s="13" t="s">
        <v>4786</v>
      </c>
      <c r="F1856" s="13" t="n">
        <v>1</v>
      </c>
      <c r="G1856" s="13" t="n">
        <v>1</v>
      </c>
      <c r="H1856" s="5" t="n">
        <v>310</v>
      </c>
      <c r="I1856" s="7" t="n">
        <v>2</v>
      </c>
      <c r="J1856" s="16" t="n">
        <v>155</v>
      </c>
      <c r="K1856" s="16"/>
      <c r="L1856" s="16"/>
      <c r="M1856" s="16" t="n">
        <v>155</v>
      </c>
      <c r="N1856" s="19"/>
    </row>
    <row r="1857" customFormat="false" ht="15" hidden="false" customHeight="false" outlineLevel="0" collapsed="false">
      <c r="A1857" s="13" t="s">
        <v>4787</v>
      </c>
      <c r="B1857" s="13" t="s">
        <v>2273</v>
      </c>
      <c r="C1857" s="13" t="s">
        <v>85</v>
      </c>
      <c r="D1857" s="13" t="s">
        <v>2324</v>
      </c>
      <c r="E1857" s="13" t="s">
        <v>4788</v>
      </c>
      <c r="F1857" s="13" t="n">
        <v>1</v>
      </c>
      <c r="G1857" s="13" t="n">
        <v>1</v>
      </c>
      <c r="H1857" s="5" t="n">
        <v>310</v>
      </c>
      <c r="I1857" s="7" t="n">
        <v>2</v>
      </c>
      <c r="J1857" s="16" t="n">
        <v>155</v>
      </c>
      <c r="K1857" s="16"/>
      <c r="L1857" s="16"/>
      <c r="M1857" s="16" t="n">
        <v>155</v>
      </c>
      <c r="N1857" s="19"/>
    </row>
    <row r="1858" customFormat="false" ht="15" hidden="false" customHeight="false" outlineLevel="0" collapsed="false">
      <c r="A1858" s="13" t="s">
        <v>4789</v>
      </c>
      <c r="B1858" s="13" t="s">
        <v>204</v>
      </c>
      <c r="C1858" s="13" t="s">
        <v>43</v>
      </c>
      <c r="D1858" s="13" t="s">
        <v>2500</v>
      </c>
      <c r="E1858" s="13" t="s">
        <v>1862</v>
      </c>
      <c r="F1858" s="13" t="n">
        <v>1</v>
      </c>
      <c r="G1858" s="13" t="n">
        <v>1</v>
      </c>
      <c r="H1858" s="5" t="n">
        <v>310</v>
      </c>
      <c r="I1858" s="7" t="n">
        <v>1</v>
      </c>
      <c r="J1858" s="16" t="n">
        <v>310</v>
      </c>
      <c r="K1858" s="16"/>
      <c r="L1858" s="16" t="n">
        <v>310</v>
      </c>
      <c r="M1858" s="16"/>
      <c r="N1858" s="19"/>
    </row>
    <row r="1859" customFormat="false" ht="15" hidden="false" customHeight="false" outlineLevel="0" collapsed="false">
      <c r="A1859" s="13" t="s">
        <v>4790</v>
      </c>
      <c r="B1859" s="13" t="s">
        <v>490</v>
      </c>
      <c r="C1859" s="13" t="s">
        <v>43</v>
      </c>
      <c r="D1859" s="13" t="s">
        <v>2324</v>
      </c>
      <c r="E1859" s="13" t="s">
        <v>1857</v>
      </c>
      <c r="F1859" s="13" t="n">
        <v>1</v>
      </c>
      <c r="G1859" s="13" t="n">
        <v>1</v>
      </c>
      <c r="H1859" s="5" t="n">
        <v>310</v>
      </c>
      <c r="I1859" s="7" t="n">
        <v>1</v>
      </c>
      <c r="J1859" s="16" t="n">
        <v>310</v>
      </c>
      <c r="K1859" s="16"/>
      <c r="L1859" s="16"/>
      <c r="M1859" s="16" t="n">
        <v>310</v>
      </c>
      <c r="N1859" s="19"/>
    </row>
    <row r="1860" customFormat="false" ht="15" hidden="false" customHeight="false" outlineLevel="0" collapsed="false">
      <c r="A1860" s="13" t="s">
        <v>4791</v>
      </c>
      <c r="B1860" s="13" t="s">
        <v>121</v>
      </c>
      <c r="C1860" s="13" t="s">
        <v>183</v>
      </c>
      <c r="D1860" s="13" t="s">
        <v>2324</v>
      </c>
      <c r="E1860" s="13" t="s">
        <v>1959</v>
      </c>
      <c r="F1860" s="13" t="n">
        <v>1</v>
      </c>
      <c r="G1860" s="13" t="n">
        <v>2</v>
      </c>
      <c r="H1860" s="5" t="n">
        <v>310</v>
      </c>
      <c r="I1860" s="7" t="n">
        <v>3</v>
      </c>
      <c r="J1860" s="16" t="n">
        <v>103.333333333333</v>
      </c>
      <c r="K1860" s="16"/>
      <c r="L1860" s="16"/>
      <c r="M1860" s="16" t="n">
        <v>103.333333333333</v>
      </c>
      <c r="N1860" s="19"/>
    </row>
    <row r="1861" customFormat="false" ht="15" hidden="false" customHeight="false" outlineLevel="0" collapsed="false">
      <c r="A1861" s="13" t="s">
        <v>4792</v>
      </c>
      <c r="B1861" s="13" t="s">
        <v>2200</v>
      </c>
      <c r="C1861" s="13" t="s">
        <v>85</v>
      </c>
      <c r="D1861" s="13" t="s">
        <v>2324</v>
      </c>
      <c r="E1861" s="13" t="s">
        <v>4793</v>
      </c>
      <c r="F1861" s="13" t="n">
        <v>1</v>
      </c>
      <c r="G1861" s="13" t="n">
        <v>1</v>
      </c>
      <c r="H1861" s="5" t="n">
        <v>300</v>
      </c>
      <c r="I1861" s="7" t="n">
        <v>2</v>
      </c>
      <c r="J1861" s="16" t="n">
        <v>150</v>
      </c>
      <c r="K1861" s="16"/>
      <c r="L1861" s="16"/>
      <c r="M1861" s="16" t="n">
        <v>150</v>
      </c>
      <c r="N1861" s="19"/>
    </row>
    <row r="1862" customFormat="false" ht="15" hidden="false" customHeight="false" outlineLevel="0" collapsed="false">
      <c r="A1862" s="13" t="s">
        <v>4794</v>
      </c>
      <c r="B1862" s="13" t="s">
        <v>229</v>
      </c>
      <c r="C1862" s="13" t="s">
        <v>43</v>
      </c>
      <c r="D1862" s="13" t="s">
        <v>2422</v>
      </c>
      <c r="E1862" s="13" t="s">
        <v>1875</v>
      </c>
      <c r="F1862" s="13" t="n">
        <v>1</v>
      </c>
      <c r="G1862" s="13" t="n">
        <v>1</v>
      </c>
      <c r="H1862" s="5" t="n">
        <v>300</v>
      </c>
      <c r="I1862" s="7" t="n">
        <v>2</v>
      </c>
      <c r="J1862" s="16" t="n">
        <v>150</v>
      </c>
      <c r="K1862" s="16"/>
      <c r="L1862" s="16" t="n">
        <v>150</v>
      </c>
      <c r="M1862" s="16"/>
      <c r="N1862" s="19"/>
    </row>
    <row r="1863" customFormat="false" ht="15" hidden="false" customHeight="false" outlineLevel="0" collapsed="false">
      <c r="A1863" s="13" t="s">
        <v>4795</v>
      </c>
      <c r="B1863" s="13" t="s">
        <v>105</v>
      </c>
      <c r="C1863" s="13" t="s">
        <v>43</v>
      </c>
      <c r="D1863" s="13" t="s">
        <v>2751</v>
      </c>
      <c r="E1863" s="13" t="s">
        <v>1874</v>
      </c>
      <c r="F1863" s="13" t="n">
        <v>1</v>
      </c>
      <c r="G1863" s="13" t="n">
        <v>1</v>
      </c>
      <c r="H1863" s="5" t="n">
        <v>300</v>
      </c>
      <c r="I1863" s="7" t="n">
        <v>1</v>
      </c>
      <c r="J1863" s="16" t="n">
        <v>300</v>
      </c>
      <c r="K1863" s="16"/>
      <c r="L1863" s="16" t="n">
        <v>300</v>
      </c>
      <c r="M1863" s="16"/>
      <c r="N1863" s="19"/>
    </row>
    <row r="1864" customFormat="false" ht="15" hidden="false" customHeight="false" outlineLevel="0" collapsed="false">
      <c r="A1864" s="13" t="s">
        <v>4796</v>
      </c>
      <c r="B1864" s="13" t="s">
        <v>121</v>
      </c>
      <c r="C1864" s="13" t="s">
        <v>43</v>
      </c>
      <c r="D1864" s="13" t="s">
        <v>2324</v>
      </c>
      <c r="E1864" s="13" t="s">
        <v>2017</v>
      </c>
      <c r="F1864" s="13" t="n">
        <v>1</v>
      </c>
      <c r="G1864" s="13" t="n">
        <v>2</v>
      </c>
      <c r="H1864" s="5" t="n">
        <v>300</v>
      </c>
      <c r="I1864" s="7" t="n">
        <v>2</v>
      </c>
      <c r="J1864" s="16" t="n">
        <v>150</v>
      </c>
      <c r="K1864" s="16"/>
      <c r="L1864" s="16"/>
      <c r="M1864" s="16" t="n">
        <v>150</v>
      </c>
      <c r="N1864" s="19"/>
    </row>
    <row r="1865" customFormat="false" ht="15" hidden="false" customHeight="false" outlineLevel="0" collapsed="false">
      <c r="A1865" s="13" t="s">
        <v>4797</v>
      </c>
      <c r="B1865" s="13" t="s">
        <v>105</v>
      </c>
      <c r="C1865" s="13" t="s">
        <v>43</v>
      </c>
      <c r="D1865" s="13" t="s">
        <v>2751</v>
      </c>
      <c r="E1865" s="13" t="s">
        <v>1867</v>
      </c>
      <c r="F1865" s="13" t="n">
        <v>1</v>
      </c>
      <c r="G1865" s="13" t="n">
        <v>1</v>
      </c>
      <c r="H1865" s="5" t="n">
        <v>300</v>
      </c>
      <c r="I1865" s="7" t="n">
        <v>1</v>
      </c>
      <c r="J1865" s="16" t="n">
        <v>300</v>
      </c>
      <c r="K1865" s="16"/>
      <c r="L1865" s="16" t="n">
        <v>300</v>
      </c>
      <c r="M1865" s="16"/>
      <c r="N1865" s="19"/>
    </row>
    <row r="1866" customFormat="false" ht="15" hidden="false" customHeight="false" outlineLevel="0" collapsed="false">
      <c r="A1866" s="13" t="s">
        <v>4798</v>
      </c>
      <c r="B1866" s="13" t="s">
        <v>54</v>
      </c>
      <c r="C1866" s="13" t="s">
        <v>183</v>
      </c>
      <c r="D1866" s="13" t="s">
        <v>4799</v>
      </c>
      <c r="E1866" s="13" t="s">
        <v>1872</v>
      </c>
      <c r="F1866" s="13" t="n">
        <v>1</v>
      </c>
      <c r="G1866" s="13" t="n">
        <v>1</v>
      </c>
      <c r="H1866" s="5" t="n">
        <v>300</v>
      </c>
      <c r="I1866" s="7" t="n">
        <v>1</v>
      </c>
      <c r="J1866" s="16" t="n">
        <v>300</v>
      </c>
      <c r="K1866" s="16"/>
      <c r="L1866" s="16"/>
      <c r="M1866" s="16" t="n">
        <v>300</v>
      </c>
      <c r="N1866" s="19"/>
    </row>
    <row r="1867" customFormat="false" ht="15" hidden="false" customHeight="false" outlineLevel="0" collapsed="false">
      <c r="A1867" s="13" t="s">
        <v>4800</v>
      </c>
      <c r="B1867" s="13" t="s">
        <v>2262</v>
      </c>
      <c r="C1867" s="13" t="s">
        <v>43</v>
      </c>
      <c r="D1867" s="13" t="s">
        <v>2324</v>
      </c>
      <c r="E1867" s="13" t="s">
        <v>4801</v>
      </c>
      <c r="F1867" s="13" t="n">
        <v>1</v>
      </c>
      <c r="G1867" s="13" t="n">
        <v>1</v>
      </c>
      <c r="H1867" s="5" t="n">
        <v>300</v>
      </c>
      <c r="I1867" s="7" t="n">
        <v>2</v>
      </c>
      <c r="J1867" s="16" t="n">
        <v>150</v>
      </c>
      <c r="K1867" s="16" t="n">
        <v>150</v>
      </c>
      <c r="L1867" s="16"/>
      <c r="M1867" s="16"/>
      <c r="N1867" s="19"/>
    </row>
    <row r="1868" customFormat="false" ht="15" hidden="false" customHeight="false" outlineLevel="0" collapsed="false">
      <c r="A1868" s="13" t="s">
        <v>4802</v>
      </c>
      <c r="B1868" s="13" t="s">
        <v>54</v>
      </c>
      <c r="C1868" s="13" t="s">
        <v>43</v>
      </c>
      <c r="D1868" s="13" t="s">
        <v>2324</v>
      </c>
      <c r="E1868" s="13" t="s">
        <v>1878</v>
      </c>
      <c r="F1868" s="13" t="n">
        <v>1</v>
      </c>
      <c r="G1868" s="13" t="n">
        <v>1</v>
      </c>
      <c r="H1868" s="5" t="n">
        <v>300</v>
      </c>
      <c r="I1868" s="7" t="n">
        <v>1</v>
      </c>
      <c r="J1868" s="16" t="n">
        <v>300</v>
      </c>
      <c r="K1868" s="16"/>
      <c r="L1868" s="16"/>
      <c r="M1868" s="16" t="n">
        <v>300</v>
      </c>
      <c r="N1868" s="19"/>
    </row>
    <row r="1869" customFormat="false" ht="15" hidden="false" customHeight="false" outlineLevel="0" collapsed="false">
      <c r="A1869" s="13" t="s">
        <v>4803</v>
      </c>
      <c r="B1869" s="13" t="s">
        <v>2101</v>
      </c>
      <c r="C1869" s="13" t="s">
        <v>129</v>
      </c>
      <c r="D1869" s="13" t="s">
        <v>2324</v>
      </c>
      <c r="E1869" s="13" t="s">
        <v>4804</v>
      </c>
      <c r="F1869" s="13" t="n">
        <v>1</v>
      </c>
      <c r="G1869" s="13" t="n">
        <v>1</v>
      </c>
      <c r="H1869" s="5" t="n">
        <v>300</v>
      </c>
      <c r="I1869" s="7" t="n">
        <v>5</v>
      </c>
      <c r="J1869" s="16" t="n">
        <v>60</v>
      </c>
      <c r="K1869" s="16" t="n">
        <v>60</v>
      </c>
      <c r="L1869" s="16"/>
      <c r="M1869" s="16"/>
      <c r="N1869" s="19"/>
    </row>
    <row r="1870" customFormat="false" ht="15" hidden="false" customHeight="false" outlineLevel="0" collapsed="false">
      <c r="A1870" s="13" t="s">
        <v>4805</v>
      </c>
      <c r="B1870" s="13" t="s">
        <v>54</v>
      </c>
      <c r="C1870" s="13" t="s">
        <v>183</v>
      </c>
      <c r="D1870" s="13" t="s">
        <v>2324</v>
      </c>
      <c r="E1870" s="13" t="s">
        <v>1873</v>
      </c>
      <c r="F1870" s="13" t="n">
        <v>1</v>
      </c>
      <c r="G1870" s="13" t="n">
        <v>1</v>
      </c>
      <c r="H1870" s="5" t="n">
        <v>300</v>
      </c>
      <c r="I1870" s="7" t="n">
        <v>1</v>
      </c>
      <c r="J1870" s="16" t="n">
        <v>300</v>
      </c>
      <c r="K1870" s="16"/>
      <c r="L1870" s="16"/>
      <c r="M1870" s="16" t="n">
        <v>300</v>
      </c>
      <c r="N1870" s="19"/>
    </row>
    <row r="1871" customFormat="false" ht="15" hidden="false" customHeight="false" outlineLevel="0" collapsed="false">
      <c r="A1871" s="13" t="s">
        <v>4806</v>
      </c>
      <c r="B1871" s="13" t="s">
        <v>2192</v>
      </c>
      <c r="C1871" s="13" t="s">
        <v>85</v>
      </c>
      <c r="D1871" s="13" t="s">
        <v>2324</v>
      </c>
      <c r="E1871" s="13" t="s">
        <v>4807</v>
      </c>
      <c r="F1871" s="13" t="n">
        <v>1</v>
      </c>
      <c r="G1871" s="13" t="n">
        <v>1</v>
      </c>
      <c r="H1871" s="5" t="n">
        <v>300</v>
      </c>
      <c r="I1871" s="7" t="n">
        <v>1</v>
      </c>
      <c r="J1871" s="16" t="n">
        <v>300</v>
      </c>
      <c r="K1871" s="16"/>
      <c r="L1871" s="16"/>
      <c r="M1871" s="16" t="n">
        <v>300</v>
      </c>
      <c r="N1871" s="19"/>
    </row>
    <row r="1872" customFormat="false" ht="15" hidden="false" customHeight="false" outlineLevel="0" collapsed="false">
      <c r="A1872" s="13" t="s">
        <v>4808</v>
      </c>
      <c r="B1872" s="13" t="s">
        <v>191</v>
      </c>
      <c r="C1872" s="13" t="s">
        <v>183</v>
      </c>
      <c r="D1872" s="13" t="s">
        <v>2324</v>
      </c>
      <c r="E1872" s="13" t="s">
        <v>1876</v>
      </c>
      <c r="F1872" s="13" t="n">
        <v>1</v>
      </c>
      <c r="G1872" s="13" t="n">
        <v>1</v>
      </c>
      <c r="H1872" s="5" t="n">
        <v>300</v>
      </c>
      <c r="I1872" s="7" t="n">
        <v>20</v>
      </c>
      <c r="J1872" s="16" t="n">
        <v>15</v>
      </c>
      <c r="K1872" s="16" t="n">
        <v>15</v>
      </c>
      <c r="L1872" s="16"/>
      <c r="M1872" s="16"/>
      <c r="N1872" s="19"/>
    </row>
    <row r="1873" customFormat="false" ht="15" hidden="false" customHeight="false" outlineLevel="0" collapsed="false">
      <c r="A1873" s="13" t="s">
        <v>4809</v>
      </c>
      <c r="B1873" s="13" t="s">
        <v>2134</v>
      </c>
      <c r="C1873" s="13" t="s">
        <v>43</v>
      </c>
      <c r="D1873" s="13" t="s">
        <v>2324</v>
      </c>
      <c r="E1873" s="13" t="s">
        <v>4810</v>
      </c>
      <c r="F1873" s="13" t="n">
        <v>1</v>
      </c>
      <c r="G1873" s="13" t="n">
        <v>1</v>
      </c>
      <c r="H1873" s="5" t="n">
        <v>290</v>
      </c>
      <c r="I1873" s="7" t="n">
        <v>1</v>
      </c>
      <c r="J1873" s="16" t="n">
        <v>290</v>
      </c>
      <c r="K1873" s="16"/>
      <c r="L1873" s="16"/>
      <c r="M1873" s="16" t="n">
        <v>290</v>
      </c>
      <c r="N1873" s="19"/>
    </row>
    <row r="1874" customFormat="false" ht="15" hidden="false" customHeight="false" outlineLevel="0" collapsed="false">
      <c r="A1874" s="13" t="s">
        <v>4811</v>
      </c>
      <c r="B1874" s="13" t="s">
        <v>155</v>
      </c>
      <c r="C1874" s="13" t="s">
        <v>43</v>
      </c>
      <c r="D1874" s="13" t="s">
        <v>2422</v>
      </c>
      <c r="E1874" s="13" t="s">
        <v>1995</v>
      </c>
      <c r="F1874" s="13" t="n">
        <v>1</v>
      </c>
      <c r="G1874" s="13" t="n">
        <v>2</v>
      </c>
      <c r="H1874" s="5" t="n">
        <v>290</v>
      </c>
      <c r="I1874" s="7" t="n">
        <v>3</v>
      </c>
      <c r="J1874" s="16" t="n">
        <v>96.6666666666667</v>
      </c>
      <c r="K1874" s="16"/>
      <c r="L1874" s="16"/>
      <c r="M1874" s="16" t="n">
        <v>96.6666666666667</v>
      </c>
      <c r="N1874" s="19"/>
    </row>
    <row r="1875" customFormat="false" ht="15" hidden="false" customHeight="false" outlineLevel="0" collapsed="false">
      <c r="A1875" s="13" t="s">
        <v>4812</v>
      </c>
      <c r="B1875" s="13" t="s">
        <v>107</v>
      </c>
      <c r="C1875" s="13" t="s">
        <v>43</v>
      </c>
      <c r="D1875" s="13" t="s">
        <v>2324</v>
      </c>
      <c r="E1875" s="13" t="s">
        <v>1889</v>
      </c>
      <c r="F1875" s="13" t="n">
        <v>1</v>
      </c>
      <c r="G1875" s="13" t="n">
        <v>1</v>
      </c>
      <c r="H1875" s="5" t="n">
        <v>290</v>
      </c>
      <c r="I1875" s="7" t="n">
        <v>1</v>
      </c>
      <c r="J1875" s="16" t="n">
        <v>290</v>
      </c>
      <c r="K1875" s="16"/>
      <c r="L1875" s="16"/>
      <c r="M1875" s="16" t="n">
        <v>290</v>
      </c>
      <c r="N1875" s="19"/>
    </row>
    <row r="1876" customFormat="false" ht="15" hidden="false" customHeight="false" outlineLevel="0" collapsed="false">
      <c r="A1876" s="13" t="s">
        <v>4813</v>
      </c>
      <c r="B1876" s="13" t="s">
        <v>630</v>
      </c>
      <c r="C1876" s="13" t="s">
        <v>43</v>
      </c>
      <c r="D1876" s="13" t="s">
        <v>2324</v>
      </c>
      <c r="E1876" s="13" t="s">
        <v>1882</v>
      </c>
      <c r="F1876" s="13" t="n">
        <v>1</v>
      </c>
      <c r="G1876" s="13" t="n">
        <v>1</v>
      </c>
      <c r="H1876" s="5" t="n">
        <v>290</v>
      </c>
      <c r="I1876" s="7" t="n">
        <v>1</v>
      </c>
      <c r="J1876" s="16" t="n">
        <v>290</v>
      </c>
      <c r="K1876" s="16"/>
      <c r="L1876" s="16"/>
      <c r="M1876" s="16" t="n">
        <v>290</v>
      </c>
      <c r="N1876" s="19"/>
    </row>
    <row r="1877" customFormat="false" ht="15" hidden="false" customHeight="false" outlineLevel="0" collapsed="false">
      <c r="A1877" s="13" t="s">
        <v>4814</v>
      </c>
      <c r="B1877" s="13" t="s">
        <v>2194</v>
      </c>
      <c r="C1877" s="13" t="s">
        <v>85</v>
      </c>
      <c r="D1877" s="13" t="s">
        <v>2324</v>
      </c>
      <c r="E1877" s="13" t="s">
        <v>4815</v>
      </c>
      <c r="F1877" s="13" t="n">
        <v>1</v>
      </c>
      <c r="G1877" s="13" t="n">
        <v>1</v>
      </c>
      <c r="H1877" s="5" t="n">
        <v>290</v>
      </c>
      <c r="I1877" s="7" t="n">
        <v>5</v>
      </c>
      <c r="J1877" s="16" t="n">
        <v>58</v>
      </c>
      <c r="K1877" s="16"/>
      <c r="L1877" s="16"/>
      <c r="M1877" s="16" t="n">
        <v>58</v>
      </c>
      <c r="N1877" s="19"/>
    </row>
    <row r="1878" customFormat="false" ht="15" hidden="false" customHeight="false" outlineLevel="0" collapsed="false">
      <c r="A1878" s="13" t="s">
        <v>4816</v>
      </c>
      <c r="B1878" s="13" t="s">
        <v>2278</v>
      </c>
      <c r="C1878" s="13" t="s">
        <v>144</v>
      </c>
      <c r="D1878" s="13" t="s">
        <v>2324</v>
      </c>
      <c r="E1878" s="13" t="s">
        <v>4817</v>
      </c>
      <c r="F1878" s="13" t="n">
        <v>1</v>
      </c>
      <c r="G1878" s="13" t="n">
        <v>1</v>
      </c>
      <c r="H1878" s="5" t="n">
        <v>290</v>
      </c>
      <c r="I1878" s="7" t="n">
        <v>1</v>
      </c>
      <c r="J1878" s="16" t="n">
        <v>290</v>
      </c>
      <c r="K1878" s="16" t="n">
        <v>290</v>
      </c>
      <c r="L1878" s="16"/>
      <c r="M1878" s="16"/>
      <c r="N1878" s="19"/>
    </row>
    <row r="1879" customFormat="false" ht="15" hidden="false" customHeight="false" outlineLevel="0" collapsed="false">
      <c r="A1879" s="13" t="s">
        <v>4818</v>
      </c>
      <c r="B1879" s="13" t="s">
        <v>121</v>
      </c>
      <c r="C1879" s="13" t="s">
        <v>43</v>
      </c>
      <c r="D1879" s="13" t="s">
        <v>2339</v>
      </c>
      <c r="E1879" s="13" t="s">
        <v>2034</v>
      </c>
      <c r="F1879" s="13" t="n">
        <v>1</v>
      </c>
      <c r="G1879" s="13" t="n">
        <v>2</v>
      </c>
      <c r="H1879" s="5" t="n">
        <v>280</v>
      </c>
      <c r="I1879" s="7" t="n">
        <v>2</v>
      </c>
      <c r="J1879" s="16" t="n">
        <v>140</v>
      </c>
      <c r="K1879" s="16"/>
      <c r="L1879" s="16"/>
      <c r="M1879" s="16" t="n">
        <v>140</v>
      </c>
      <c r="N1879" s="19"/>
    </row>
    <row r="1880" customFormat="false" ht="15" hidden="false" customHeight="false" outlineLevel="0" collapsed="false">
      <c r="A1880" s="13" t="s">
        <v>4819</v>
      </c>
      <c r="B1880" s="13" t="s">
        <v>2139</v>
      </c>
      <c r="C1880" s="13" t="s">
        <v>85</v>
      </c>
      <c r="D1880" s="13" t="s">
        <v>2324</v>
      </c>
      <c r="E1880" s="13" t="s">
        <v>4820</v>
      </c>
      <c r="F1880" s="13" t="n">
        <v>1</v>
      </c>
      <c r="G1880" s="13" t="n">
        <v>1</v>
      </c>
      <c r="H1880" s="5" t="n">
        <v>280</v>
      </c>
      <c r="I1880" s="7" t="n">
        <v>2</v>
      </c>
      <c r="J1880" s="16" t="n">
        <v>140</v>
      </c>
      <c r="K1880" s="16"/>
      <c r="L1880" s="16"/>
      <c r="M1880" s="16" t="n">
        <v>140</v>
      </c>
      <c r="N1880" s="19"/>
    </row>
    <row r="1881" customFormat="false" ht="15" hidden="false" customHeight="false" outlineLevel="0" collapsed="false">
      <c r="A1881" s="13" t="s">
        <v>4821</v>
      </c>
      <c r="B1881" s="13" t="s">
        <v>2283</v>
      </c>
      <c r="C1881" s="13" t="s">
        <v>183</v>
      </c>
      <c r="D1881" s="13" t="s">
        <v>2324</v>
      </c>
      <c r="E1881" s="13" t="s">
        <v>4822</v>
      </c>
      <c r="F1881" s="13" t="n">
        <v>1</v>
      </c>
      <c r="G1881" s="13" t="n">
        <v>2</v>
      </c>
      <c r="H1881" s="5" t="n">
        <v>280</v>
      </c>
      <c r="I1881" s="7" t="n">
        <v>6</v>
      </c>
      <c r="J1881" s="16" t="n">
        <v>46.6666666666667</v>
      </c>
      <c r="K1881" s="16"/>
      <c r="L1881" s="16"/>
      <c r="M1881" s="16" t="n">
        <v>46.6666666666667</v>
      </c>
      <c r="N1881" s="19"/>
    </row>
    <row r="1882" customFormat="false" ht="15" hidden="false" customHeight="false" outlineLevel="0" collapsed="false">
      <c r="A1882" s="13" t="s">
        <v>4823</v>
      </c>
      <c r="B1882" s="13" t="s">
        <v>2142</v>
      </c>
      <c r="C1882" s="13" t="s">
        <v>85</v>
      </c>
      <c r="D1882" s="13" t="s">
        <v>2324</v>
      </c>
      <c r="E1882" s="13" t="s">
        <v>4824</v>
      </c>
      <c r="F1882" s="13" t="n">
        <v>1</v>
      </c>
      <c r="G1882" s="13" t="n">
        <v>1</v>
      </c>
      <c r="H1882" s="5" t="n">
        <v>280</v>
      </c>
      <c r="I1882" s="7" t="n">
        <v>5</v>
      </c>
      <c r="J1882" s="16" t="n">
        <v>56</v>
      </c>
      <c r="K1882" s="16" t="n">
        <v>56</v>
      </c>
      <c r="L1882" s="16"/>
      <c r="M1882" s="16"/>
      <c r="N1882" s="19"/>
    </row>
    <row r="1883" customFormat="false" ht="15" hidden="false" customHeight="false" outlineLevel="0" collapsed="false">
      <c r="A1883" s="13" t="s">
        <v>4825</v>
      </c>
      <c r="B1883" s="13" t="s">
        <v>329</v>
      </c>
      <c r="C1883" s="13" t="s">
        <v>43</v>
      </c>
      <c r="D1883" s="13" t="s">
        <v>2324</v>
      </c>
      <c r="E1883" s="13" t="s">
        <v>1902</v>
      </c>
      <c r="F1883" s="13" t="n">
        <v>1</v>
      </c>
      <c r="G1883" s="13" t="n">
        <v>1</v>
      </c>
      <c r="H1883" s="5" t="n">
        <v>280</v>
      </c>
      <c r="I1883" s="7" t="n">
        <v>1</v>
      </c>
      <c r="J1883" s="16" t="n">
        <v>280</v>
      </c>
      <c r="K1883" s="16"/>
      <c r="L1883" s="16"/>
      <c r="M1883" s="16" t="n">
        <v>280</v>
      </c>
      <c r="N1883" s="19"/>
    </row>
    <row r="1884" customFormat="false" ht="15" hidden="false" customHeight="false" outlineLevel="0" collapsed="false">
      <c r="A1884" s="13" t="s">
        <v>4826</v>
      </c>
      <c r="B1884" s="13" t="s">
        <v>61</v>
      </c>
      <c r="C1884" s="13" t="s">
        <v>43</v>
      </c>
      <c r="D1884" s="13" t="s">
        <v>2751</v>
      </c>
      <c r="E1884" s="13" t="s">
        <v>1898</v>
      </c>
      <c r="F1884" s="13" t="n">
        <v>1</v>
      </c>
      <c r="G1884" s="13" t="n">
        <v>1</v>
      </c>
      <c r="H1884" s="5" t="n">
        <v>280</v>
      </c>
      <c r="I1884" s="7" t="n">
        <v>1</v>
      </c>
      <c r="J1884" s="16" t="n">
        <v>280</v>
      </c>
      <c r="K1884" s="16"/>
      <c r="L1884" s="16"/>
      <c r="M1884" s="16" t="n">
        <v>280</v>
      </c>
      <c r="N1884" s="19"/>
    </row>
    <row r="1885" customFormat="false" ht="15" hidden="false" customHeight="false" outlineLevel="0" collapsed="false">
      <c r="A1885" s="13" t="s">
        <v>4827</v>
      </c>
      <c r="B1885" s="13" t="s">
        <v>2142</v>
      </c>
      <c r="C1885" s="13" t="s">
        <v>85</v>
      </c>
      <c r="D1885" s="13" t="s">
        <v>2324</v>
      </c>
      <c r="E1885" s="13" t="s">
        <v>4828</v>
      </c>
      <c r="F1885" s="13" t="n">
        <v>1</v>
      </c>
      <c r="G1885" s="13" t="n">
        <v>1</v>
      </c>
      <c r="H1885" s="5" t="n">
        <v>280</v>
      </c>
      <c r="I1885" s="7" t="n">
        <v>5</v>
      </c>
      <c r="J1885" s="16" t="n">
        <v>56</v>
      </c>
      <c r="K1885" s="16" t="n">
        <v>56</v>
      </c>
      <c r="L1885" s="16"/>
      <c r="M1885" s="16"/>
      <c r="N1885" s="19"/>
    </row>
    <row r="1886" customFormat="false" ht="15" hidden="false" customHeight="false" outlineLevel="0" collapsed="false">
      <c r="A1886" s="13" t="s">
        <v>4829</v>
      </c>
      <c r="B1886" s="13" t="s">
        <v>2111</v>
      </c>
      <c r="C1886" s="13" t="s">
        <v>43</v>
      </c>
      <c r="D1886" s="13" t="s">
        <v>2422</v>
      </c>
      <c r="E1886" s="13" t="s">
        <v>4830</v>
      </c>
      <c r="F1886" s="13" t="n">
        <v>1</v>
      </c>
      <c r="G1886" s="13" t="n">
        <v>1</v>
      </c>
      <c r="H1886" s="5" t="n">
        <v>280</v>
      </c>
      <c r="I1886" s="7" t="n">
        <v>1</v>
      </c>
      <c r="J1886" s="16" t="n">
        <v>280</v>
      </c>
      <c r="K1886" s="16"/>
      <c r="L1886" s="16"/>
      <c r="M1886" s="16" t="n">
        <v>280</v>
      </c>
      <c r="N1886" s="19"/>
    </row>
    <row r="1887" customFormat="false" ht="15" hidden="false" customHeight="false" outlineLevel="0" collapsed="false">
      <c r="A1887" s="13" t="s">
        <v>4831</v>
      </c>
      <c r="B1887" s="13" t="s">
        <v>362</v>
      </c>
      <c r="C1887" s="13" t="s">
        <v>43</v>
      </c>
      <c r="D1887" s="13" t="s">
        <v>2324</v>
      </c>
      <c r="E1887" s="13" t="s">
        <v>1903</v>
      </c>
      <c r="F1887" s="13" t="n">
        <v>1</v>
      </c>
      <c r="G1887" s="13" t="n">
        <v>1</v>
      </c>
      <c r="H1887" s="5" t="n">
        <v>280</v>
      </c>
      <c r="I1887" s="7" t="n">
        <v>1</v>
      </c>
      <c r="J1887" s="16" t="n">
        <v>280</v>
      </c>
      <c r="K1887" s="16"/>
      <c r="L1887" s="16"/>
      <c r="M1887" s="16" t="n">
        <v>280</v>
      </c>
      <c r="N1887" s="19"/>
    </row>
    <row r="1888" customFormat="false" ht="15" hidden="false" customHeight="false" outlineLevel="0" collapsed="false">
      <c r="A1888" s="13" t="s">
        <v>4832</v>
      </c>
      <c r="B1888" s="13" t="s">
        <v>105</v>
      </c>
      <c r="C1888" s="13" t="s">
        <v>43</v>
      </c>
      <c r="D1888" s="13" t="s">
        <v>2324</v>
      </c>
      <c r="E1888" s="13" t="s">
        <v>1899</v>
      </c>
      <c r="F1888" s="13" t="n">
        <v>1</v>
      </c>
      <c r="G1888" s="13" t="n">
        <v>1</v>
      </c>
      <c r="H1888" s="5" t="n">
        <v>280</v>
      </c>
      <c r="I1888" s="7" t="n">
        <v>1</v>
      </c>
      <c r="J1888" s="16" t="n">
        <v>280</v>
      </c>
      <c r="K1888" s="16"/>
      <c r="L1888" s="16"/>
      <c r="M1888" s="16" t="n">
        <v>280</v>
      </c>
      <c r="N1888" s="19"/>
    </row>
    <row r="1889" customFormat="false" ht="15" hidden="false" customHeight="false" outlineLevel="0" collapsed="false">
      <c r="A1889" s="13" t="s">
        <v>4833</v>
      </c>
      <c r="B1889" s="13" t="s">
        <v>2279</v>
      </c>
      <c r="C1889" s="13" t="s">
        <v>183</v>
      </c>
      <c r="D1889" s="13" t="s">
        <v>2324</v>
      </c>
      <c r="E1889" s="13" t="s">
        <v>4834</v>
      </c>
      <c r="F1889" s="13" t="n">
        <v>1</v>
      </c>
      <c r="G1889" s="13" t="n">
        <v>1</v>
      </c>
      <c r="H1889" s="5" t="n">
        <v>280</v>
      </c>
      <c r="I1889" s="7" t="n">
        <v>2</v>
      </c>
      <c r="J1889" s="16" t="n">
        <v>140</v>
      </c>
      <c r="K1889" s="16" t="n">
        <v>140</v>
      </c>
      <c r="L1889" s="16"/>
      <c r="M1889" s="16"/>
      <c r="N1889" s="19"/>
    </row>
    <row r="1890" customFormat="false" ht="15" hidden="false" customHeight="false" outlineLevel="0" collapsed="false">
      <c r="A1890" s="13" t="s">
        <v>4835</v>
      </c>
      <c r="B1890" s="13" t="s">
        <v>61</v>
      </c>
      <c r="C1890" s="13" t="s">
        <v>43</v>
      </c>
      <c r="D1890" s="13" t="s">
        <v>2324</v>
      </c>
      <c r="E1890" s="13" t="s">
        <v>1905</v>
      </c>
      <c r="F1890" s="13" t="n">
        <v>1</v>
      </c>
      <c r="G1890" s="13" t="n">
        <v>1</v>
      </c>
      <c r="H1890" s="5" t="n">
        <v>280</v>
      </c>
      <c r="I1890" s="7" t="n">
        <v>1</v>
      </c>
      <c r="J1890" s="16" t="n">
        <v>280</v>
      </c>
      <c r="K1890" s="16"/>
      <c r="L1890" s="16"/>
      <c r="M1890" s="16" t="n">
        <v>280</v>
      </c>
      <c r="N1890" s="19"/>
    </row>
    <row r="1891" customFormat="false" ht="15" hidden="false" customHeight="false" outlineLevel="0" collapsed="false">
      <c r="A1891" s="13" t="s">
        <v>4836</v>
      </c>
      <c r="B1891" s="13" t="s">
        <v>121</v>
      </c>
      <c r="C1891" s="13" t="s">
        <v>43</v>
      </c>
      <c r="D1891" s="13" t="s">
        <v>2324</v>
      </c>
      <c r="E1891" s="13" t="s">
        <v>1900</v>
      </c>
      <c r="F1891" s="13" t="n">
        <v>1</v>
      </c>
      <c r="G1891" s="13" t="n">
        <v>1</v>
      </c>
      <c r="H1891" s="5" t="n">
        <v>280</v>
      </c>
      <c r="I1891" s="7" t="n">
        <v>2</v>
      </c>
      <c r="J1891" s="16" t="n">
        <v>140</v>
      </c>
      <c r="K1891" s="16"/>
      <c r="L1891" s="16"/>
      <c r="M1891" s="16" t="n">
        <v>140</v>
      </c>
      <c r="N1891" s="19"/>
    </row>
    <row r="1892" customFormat="false" ht="15" hidden="false" customHeight="false" outlineLevel="0" collapsed="false">
      <c r="A1892" s="13" t="s">
        <v>4837</v>
      </c>
      <c r="B1892" s="13" t="s">
        <v>121</v>
      </c>
      <c r="C1892" s="13" t="s">
        <v>183</v>
      </c>
      <c r="D1892" s="13" t="s">
        <v>2324</v>
      </c>
      <c r="E1892" s="13" t="s">
        <v>1895</v>
      </c>
      <c r="F1892" s="13" t="n">
        <v>1</v>
      </c>
      <c r="G1892" s="13" t="n">
        <v>1</v>
      </c>
      <c r="H1892" s="5" t="n">
        <v>280</v>
      </c>
      <c r="I1892" s="7" t="n">
        <v>2</v>
      </c>
      <c r="J1892" s="16" t="n">
        <v>140</v>
      </c>
      <c r="K1892" s="16"/>
      <c r="L1892" s="16"/>
      <c r="M1892" s="16" t="n">
        <v>140</v>
      </c>
      <c r="N1892" s="19"/>
    </row>
    <row r="1893" customFormat="false" ht="15" hidden="false" customHeight="false" outlineLevel="0" collapsed="false">
      <c r="A1893" s="13" t="s">
        <v>4838</v>
      </c>
      <c r="B1893" s="13" t="s">
        <v>2108</v>
      </c>
      <c r="C1893" s="13" t="s">
        <v>85</v>
      </c>
      <c r="D1893" s="13" t="s">
        <v>2324</v>
      </c>
      <c r="E1893" s="13" t="s">
        <v>4839</v>
      </c>
      <c r="F1893" s="13" t="n">
        <v>1</v>
      </c>
      <c r="G1893" s="13" t="n">
        <v>1</v>
      </c>
      <c r="H1893" s="5" t="n">
        <v>280</v>
      </c>
      <c r="I1893" s="7" t="n">
        <v>5</v>
      </c>
      <c r="J1893" s="16" t="n">
        <v>56</v>
      </c>
      <c r="K1893" s="16" t="n">
        <v>56</v>
      </c>
      <c r="L1893" s="16"/>
      <c r="M1893" s="16"/>
      <c r="N1893" s="19"/>
    </row>
    <row r="1894" customFormat="false" ht="15" hidden="false" customHeight="false" outlineLevel="0" collapsed="false">
      <c r="A1894" s="13" t="s">
        <v>4840</v>
      </c>
      <c r="B1894" s="13" t="s">
        <v>121</v>
      </c>
      <c r="C1894" s="13" t="s">
        <v>183</v>
      </c>
      <c r="D1894" s="13" t="s">
        <v>3228</v>
      </c>
      <c r="E1894" s="13" t="s">
        <v>1893</v>
      </c>
      <c r="F1894" s="13" t="n">
        <v>1</v>
      </c>
      <c r="G1894" s="13" t="n">
        <v>1</v>
      </c>
      <c r="H1894" s="5" t="n">
        <v>280</v>
      </c>
      <c r="I1894" s="7" t="n">
        <v>2</v>
      </c>
      <c r="J1894" s="16" t="n">
        <v>140</v>
      </c>
      <c r="K1894" s="16"/>
      <c r="L1894" s="16"/>
      <c r="M1894" s="16" t="n">
        <v>140</v>
      </c>
      <c r="N1894" s="19"/>
    </row>
    <row r="1895" customFormat="false" ht="15" hidden="false" customHeight="false" outlineLevel="0" collapsed="false">
      <c r="A1895" s="13" t="s">
        <v>4841</v>
      </c>
      <c r="B1895" s="13" t="s">
        <v>165</v>
      </c>
      <c r="C1895" s="13" t="s">
        <v>43</v>
      </c>
      <c r="D1895" s="13" t="s">
        <v>2324</v>
      </c>
      <c r="E1895" s="13" t="s">
        <v>166</v>
      </c>
      <c r="F1895" s="13" t="n">
        <v>1</v>
      </c>
      <c r="G1895" s="13" t="n">
        <v>1</v>
      </c>
      <c r="H1895" s="5" t="n">
        <v>270</v>
      </c>
      <c r="I1895" s="7" t="n">
        <v>1</v>
      </c>
      <c r="J1895" s="16" t="n">
        <v>270</v>
      </c>
      <c r="K1895" s="16"/>
      <c r="L1895" s="16"/>
      <c r="M1895" s="16" t="n">
        <v>270</v>
      </c>
      <c r="N1895" s="19"/>
    </row>
    <row r="1896" customFormat="false" ht="15" hidden="false" customHeight="false" outlineLevel="0" collapsed="false">
      <c r="A1896" s="13" t="s">
        <v>4842</v>
      </c>
      <c r="B1896" s="13" t="s">
        <v>2215</v>
      </c>
      <c r="C1896" s="13" t="s">
        <v>85</v>
      </c>
      <c r="D1896" s="13" t="s">
        <v>4843</v>
      </c>
      <c r="E1896" s="13" t="s">
        <v>4844</v>
      </c>
      <c r="F1896" s="13" t="n">
        <v>1</v>
      </c>
      <c r="G1896" s="13" t="n">
        <v>1</v>
      </c>
      <c r="H1896" s="5" t="n">
        <v>270</v>
      </c>
      <c r="I1896" s="7" t="n">
        <v>1</v>
      </c>
      <c r="J1896" s="16" t="n">
        <v>270</v>
      </c>
      <c r="K1896" s="16"/>
      <c r="L1896" s="16"/>
      <c r="M1896" s="16" t="n">
        <v>270</v>
      </c>
      <c r="N1896" s="19"/>
    </row>
    <row r="1897" customFormat="false" ht="15" hidden="false" customHeight="false" outlineLevel="0" collapsed="false">
      <c r="A1897" s="13" t="s">
        <v>4845</v>
      </c>
      <c r="B1897" s="13" t="s">
        <v>2262</v>
      </c>
      <c r="C1897" s="13" t="s">
        <v>43</v>
      </c>
      <c r="D1897" s="13" t="s">
        <v>2324</v>
      </c>
      <c r="E1897" s="13" t="s">
        <v>4846</v>
      </c>
      <c r="F1897" s="13" t="n">
        <v>1</v>
      </c>
      <c r="G1897" s="13" t="n">
        <v>1</v>
      </c>
      <c r="H1897" s="5" t="n">
        <v>270</v>
      </c>
      <c r="I1897" s="7" t="n">
        <v>2</v>
      </c>
      <c r="J1897" s="16" t="n">
        <v>135</v>
      </c>
      <c r="K1897" s="16" t="n">
        <v>135</v>
      </c>
      <c r="L1897" s="16"/>
      <c r="M1897" s="16"/>
      <c r="N1897" s="19"/>
    </row>
    <row r="1898" customFormat="false" ht="15" hidden="false" customHeight="false" outlineLevel="0" collapsed="false">
      <c r="A1898" s="13" t="s">
        <v>4847</v>
      </c>
      <c r="B1898" s="13" t="s">
        <v>2280</v>
      </c>
      <c r="C1898" s="13" t="s">
        <v>85</v>
      </c>
      <c r="D1898" s="13" t="s">
        <v>2324</v>
      </c>
      <c r="E1898" s="13" t="s">
        <v>4848</v>
      </c>
      <c r="F1898" s="13" t="n">
        <v>1</v>
      </c>
      <c r="G1898" s="13" t="n">
        <v>1</v>
      </c>
      <c r="H1898" s="5" t="n">
        <v>270</v>
      </c>
      <c r="I1898" s="7" t="n">
        <v>2</v>
      </c>
      <c r="J1898" s="16" t="n">
        <v>135</v>
      </c>
      <c r="K1898" s="16" t="n">
        <v>135</v>
      </c>
      <c r="L1898" s="16"/>
      <c r="M1898" s="16"/>
      <c r="N1898" s="19"/>
    </row>
    <row r="1899" customFormat="false" ht="15" hidden="false" customHeight="false" outlineLevel="0" collapsed="false">
      <c r="A1899" s="13" t="s">
        <v>4849</v>
      </c>
      <c r="B1899" s="13" t="s">
        <v>2099</v>
      </c>
      <c r="C1899" s="13" t="s">
        <v>43</v>
      </c>
      <c r="D1899" s="13" t="s">
        <v>4194</v>
      </c>
      <c r="E1899" s="13" t="s">
        <v>4850</v>
      </c>
      <c r="F1899" s="13" t="n">
        <v>1</v>
      </c>
      <c r="G1899" s="13" t="n">
        <v>1</v>
      </c>
      <c r="H1899" s="5" t="n">
        <v>270</v>
      </c>
      <c r="I1899" s="7" t="n">
        <v>10</v>
      </c>
      <c r="J1899" s="16" t="n">
        <v>27</v>
      </c>
      <c r="K1899" s="16" t="n">
        <v>27</v>
      </c>
      <c r="L1899" s="16"/>
      <c r="M1899" s="16"/>
      <c r="N1899" s="19"/>
    </row>
    <row r="1900" customFormat="false" ht="15" hidden="false" customHeight="false" outlineLevel="0" collapsed="false">
      <c r="A1900" s="13" t="s">
        <v>4851</v>
      </c>
      <c r="B1900" s="13" t="s">
        <v>54</v>
      </c>
      <c r="C1900" s="13" t="s">
        <v>43</v>
      </c>
      <c r="D1900" s="13" t="s">
        <v>2324</v>
      </c>
      <c r="E1900" s="13" t="s">
        <v>1912</v>
      </c>
      <c r="F1900" s="13" t="n">
        <v>1</v>
      </c>
      <c r="G1900" s="13" t="n">
        <v>1</v>
      </c>
      <c r="H1900" s="5" t="n">
        <v>270</v>
      </c>
      <c r="I1900" s="7" t="n">
        <v>1</v>
      </c>
      <c r="J1900" s="16" t="n">
        <v>270</v>
      </c>
      <c r="K1900" s="16"/>
      <c r="L1900" s="16"/>
      <c r="M1900" s="16" t="n">
        <v>270</v>
      </c>
      <c r="N1900" s="19"/>
    </row>
    <row r="1901" customFormat="false" ht="15" hidden="false" customHeight="false" outlineLevel="0" collapsed="false">
      <c r="A1901" s="13" t="s">
        <v>4852</v>
      </c>
      <c r="B1901" s="13" t="s">
        <v>2187</v>
      </c>
      <c r="C1901" s="13" t="s">
        <v>85</v>
      </c>
      <c r="D1901" s="13" t="s">
        <v>4560</v>
      </c>
      <c r="E1901" s="13" t="s">
        <v>4853</v>
      </c>
      <c r="F1901" s="13" t="n">
        <v>1</v>
      </c>
      <c r="G1901" s="13" t="n">
        <v>1</v>
      </c>
      <c r="H1901" s="5" t="n">
        <v>270</v>
      </c>
      <c r="I1901" s="7" t="n">
        <v>2</v>
      </c>
      <c r="J1901" s="16" t="n">
        <v>135</v>
      </c>
      <c r="K1901" s="16" t="n">
        <v>135</v>
      </c>
      <c r="L1901" s="16"/>
      <c r="M1901" s="16"/>
      <c r="N1901" s="19"/>
    </row>
    <row r="1902" customFormat="false" ht="15" hidden="false" customHeight="false" outlineLevel="0" collapsed="false">
      <c r="A1902" s="13" t="s">
        <v>4854</v>
      </c>
      <c r="B1902" s="13" t="s">
        <v>2150</v>
      </c>
      <c r="C1902" s="13" t="s">
        <v>43</v>
      </c>
      <c r="D1902" s="13" t="s">
        <v>2324</v>
      </c>
      <c r="E1902" s="13" t="s">
        <v>4454</v>
      </c>
      <c r="F1902" s="13" t="n">
        <v>1</v>
      </c>
      <c r="G1902" s="13" t="n">
        <v>1</v>
      </c>
      <c r="H1902" s="5" t="n">
        <v>270</v>
      </c>
      <c r="I1902" s="7" t="n">
        <v>2</v>
      </c>
      <c r="J1902" s="16" t="n">
        <v>135</v>
      </c>
      <c r="K1902" s="16"/>
      <c r="L1902" s="16"/>
      <c r="M1902" s="16" t="n">
        <v>135</v>
      </c>
      <c r="N1902" s="19"/>
    </row>
    <row r="1903" customFormat="false" ht="15" hidden="false" customHeight="false" outlineLevel="0" collapsed="false">
      <c r="A1903" s="13" t="s">
        <v>4855</v>
      </c>
      <c r="B1903" s="13" t="s">
        <v>42</v>
      </c>
      <c r="C1903" s="13" t="s">
        <v>43</v>
      </c>
      <c r="D1903" s="13" t="s">
        <v>2324</v>
      </c>
      <c r="E1903" s="13" t="s">
        <v>1915</v>
      </c>
      <c r="F1903" s="13" t="n">
        <v>1</v>
      </c>
      <c r="G1903" s="13" t="n">
        <v>1</v>
      </c>
      <c r="H1903" s="5" t="n">
        <v>270</v>
      </c>
      <c r="I1903" s="7" t="n">
        <v>1</v>
      </c>
      <c r="J1903" s="16" t="n">
        <v>270</v>
      </c>
      <c r="K1903" s="16"/>
      <c r="L1903" s="16" t="n">
        <v>270</v>
      </c>
      <c r="M1903" s="16"/>
      <c r="N1903" s="19"/>
    </row>
    <row r="1904" customFormat="false" ht="15" hidden="false" customHeight="false" outlineLevel="0" collapsed="false">
      <c r="A1904" s="13" t="s">
        <v>4856</v>
      </c>
      <c r="B1904" s="13" t="s">
        <v>2113</v>
      </c>
      <c r="C1904" s="13" t="s">
        <v>183</v>
      </c>
      <c r="D1904" s="13" t="s">
        <v>2324</v>
      </c>
      <c r="E1904" s="13" t="s">
        <v>4857</v>
      </c>
      <c r="F1904" s="13" t="n">
        <v>1</v>
      </c>
      <c r="G1904" s="13" t="n">
        <v>1</v>
      </c>
      <c r="H1904" s="5" t="n">
        <v>270</v>
      </c>
      <c r="I1904" s="7" t="n">
        <v>2</v>
      </c>
      <c r="J1904" s="16" t="n">
        <v>135</v>
      </c>
      <c r="K1904" s="16" t="n">
        <v>135</v>
      </c>
      <c r="L1904" s="16"/>
      <c r="M1904" s="16"/>
      <c r="N1904" s="19"/>
    </row>
    <row r="1905" customFormat="false" ht="15" hidden="false" customHeight="false" outlineLevel="0" collapsed="false">
      <c r="A1905" s="13" t="s">
        <v>4858</v>
      </c>
      <c r="B1905" s="13" t="s">
        <v>2173</v>
      </c>
      <c r="C1905" s="13" t="s">
        <v>85</v>
      </c>
      <c r="D1905" s="13" t="s">
        <v>2324</v>
      </c>
      <c r="E1905" s="13" t="s">
        <v>4859</v>
      </c>
      <c r="F1905" s="13" t="n">
        <v>1</v>
      </c>
      <c r="G1905" s="13" t="n">
        <v>2</v>
      </c>
      <c r="H1905" s="5" t="n">
        <v>270</v>
      </c>
      <c r="I1905" s="7" t="n">
        <v>3</v>
      </c>
      <c r="J1905" s="16" t="n">
        <v>90</v>
      </c>
      <c r="K1905" s="16" t="n">
        <v>90</v>
      </c>
      <c r="L1905" s="16"/>
      <c r="M1905" s="16"/>
      <c r="N1905" s="19"/>
    </row>
    <row r="1906" customFormat="false" ht="15" hidden="false" customHeight="false" outlineLevel="0" collapsed="false">
      <c r="A1906" s="13" t="s">
        <v>4860</v>
      </c>
      <c r="B1906" s="13" t="s">
        <v>2226</v>
      </c>
      <c r="C1906" s="13" t="s">
        <v>85</v>
      </c>
      <c r="D1906" s="13" t="s">
        <v>2324</v>
      </c>
      <c r="E1906" s="13" t="s">
        <v>4861</v>
      </c>
      <c r="F1906" s="13" t="n">
        <v>1</v>
      </c>
      <c r="G1906" s="13" t="n">
        <v>1</v>
      </c>
      <c r="H1906" s="5" t="n">
        <v>270</v>
      </c>
      <c r="I1906" s="7" t="n">
        <v>2</v>
      </c>
      <c r="J1906" s="16" t="n">
        <v>135</v>
      </c>
      <c r="K1906" s="16" t="n">
        <v>135</v>
      </c>
      <c r="L1906" s="16"/>
      <c r="M1906" s="16"/>
      <c r="N1906" s="19"/>
    </row>
    <row r="1907" customFormat="false" ht="15" hidden="false" customHeight="false" outlineLevel="0" collapsed="false">
      <c r="A1907" s="13" t="s">
        <v>4862</v>
      </c>
      <c r="B1907" s="13" t="s">
        <v>2113</v>
      </c>
      <c r="C1907" s="13" t="s">
        <v>183</v>
      </c>
      <c r="D1907" s="13" t="s">
        <v>2324</v>
      </c>
      <c r="E1907" s="13" t="s">
        <v>4863</v>
      </c>
      <c r="F1907" s="13" t="n">
        <v>1</v>
      </c>
      <c r="G1907" s="13" t="n">
        <v>1</v>
      </c>
      <c r="H1907" s="5" t="n">
        <v>270</v>
      </c>
      <c r="I1907" s="7" t="n">
        <v>2</v>
      </c>
      <c r="J1907" s="16" t="n">
        <v>135</v>
      </c>
      <c r="K1907" s="16" t="n">
        <v>135</v>
      </c>
      <c r="L1907" s="16"/>
      <c r="M1907" s="16"/>
      <c r="N1907" s="19"/>
    </row>
    <row r="1908" customFormat="false" ht="15" hidden="false" customHeight="false" outlineLevel="0" collapsed="false">
      <c r="A1908" s="13" t="s">
        <v>4864</v>
      </c>
      <c r="B1908" s="13" t="s">
        <v>365</v>
      </c>
      <c r="C1908" s="13" t="s">
        <v>43</v>
      </c>
      <c r="D1908" s="13" t="s">
        <v>2324</v>
      </c>
      <c r="E1908" s="13" t="s">
        <v>1928</v>
      </c>
      <c r="F1908" s="13" t="n">
        <v>1</v>
      </c>
      <c r="G1908" s="13" t="n">
        <v>1</v>
      </c>
      <c r="H1908" s="5" t="n">
        <v>260</v>
      </c>
      <c r="I1908" s="7" t="n">
        <v>1</v>
      </c>
      <c r="J1908" s="16" t="n">
        <v>260</v>
      </c>
      <c r="K1908" s="16"/>
      <c r="L1908" s="16"/>
      <c r="M1908" s="16" t="n">
        <v>260</v>
      </c>
      <c r="N1908" s="19"/>
    </row>
    <row r="1909" customFormat="false" ht="15" hidden="false" customHeight="false" outlineLevel="0" collapsed="false">
      <c r="A1909" s="13" t="s">
        <v>4865</v>
      </c>
      <c r="B1909" s="13" t="s">
        <v>195</v>
      </c>
      <c r="C1909" s="13" t="s">
        <v>43</v>
      </c>
      <c r="D1909" s="13" t="s">
        <v>2324</v>
      </c>
      <c r="E1909" s="13" t="s">
        <v>1924</v>
      </c>
      <c r="F1909" s="13" t="n">
        <v>1</v>
      </c>
      <c r="G1909" s="13" t="n">
        <v>1</v>
      </c>
      <c r="H1909" s="5" t="n">
        <v>260</v>
      </c>
      <c r="I1909" s="7" t="n">
        <v>1</v>
      </c>
      <c r="J1909" s="16" t="n">
        <v>260</v>
      </c>
      <c r="K1909" s="16"/>
      <c r="L1909" s="16"/>
      <c r="M1909" s="16" t="n">
        <v>260</v>
      </c>
      <c r="N1909" s="19"/>
    </row>
    <row r="1910" customFormat="false" ht="15" hidden="false" customHeight="false" outlineLevel="0" collapsed="false">
      <c r="A1910" s="13" t="s">
        <v>4866</v>
      </c>
      <c r="B1910" s="13" t="s">
        <v>2194</v>
      </c>
      <c r="C1910" s="13" t="s">
        <v>85</v>
      </c>
      <c r="D1910" s="13" t="s">
        <v>2324</v>
      </c>
      <c r="E1910" s="13" t="s">
        <v>4867</v>
      </c>
      <c r="F1910" s="13" t="n">
        <v>1</v>
      </c>
      <c r="G1910" s="13" t="n">
        <v>1</v>
      </c>
      <c r="H1910" s="5" t="n">
        <v>260</v>
      </c>
      <c r="I1910" s="7" t="n">
        <v>5</v>
      </c>
      <c r="J1910" s="16" t="n">
        <v>52</v>
      </c>
      <c r="K1910" s="16"/>
      <c r="L1910" s="16"/>
      <c r="M1910" s="16" t="n">
        <v>52</v>
      </c>
      <c r="N1910" s="19"/>
    </row>
    <row r="1911" customFormat="false" ht="15" hidden="false" customHeight="false" outlineLevel="0" collapsed="false">
      <c r="A1911" s="13" t="s">
        <v>4868</v>
      </c>
      <c r="B1911" s="13" t="s">
        <v>2194</v>
      </c>
      <c r="C1911" s="13" t="s">
        <v>85</v>
      </c>
      <c r="D1911" s="13" t="s">
        <v>2324</v>
      </c>
      <c r="E1911" s="13" t="s">
        <v>4869</v>
      </c>
      <c r="F1911" s="13" t="n">
        <v>1</v>
      </c>
      <c r="G1911" s="13" t="n">
        <v>1</v>
      </c>
      <c r="H1911" s="5" t="n">
        <v>260</v>
      </c>
      <c r="I1911" s="7" t="n">
        <v>5</v>
      </c>
      <c r="J1911" s="16" t="n">
        <v>52</v>
      </c>
      <c r="K1911" s="16"/>
      <c r="L1911" s="16"/>
      <c r="M1911" s="16" t="n">
        <v>52</v>
      </c>
      <c r="N1911" s="19"/>
    </row>
    <row r="1912" customFormat="false" ht="15" hidden="false" customHeight="false" outlineLevel="0" collapsed="false">
      <c r="A1912" s="13" t="s">
        <v>4870</v>
      </c>
      <c r="B1912" s="13" t="s">
        <v>54</v>
      </c>
      <c r="C1912" s="13" t="s">
        <v>43</v>
      </c>
      <c r="D1912" s="13" t="s">
        <v>2324</v>
      </c>
      <c r="E1912" s="13" t="s">
        <v>1934</v>
      </c>
      <c r="F1912" s="13" t="n">
        <v>1</v>
      </c>
      <c r="G1912" s="13" t="n">
        <v>1</v>
      </c>
      <c r="H1912" s="5" t="n">
        <v>260</v>
      </c>
      <c r="I1912" s="7" t="n">
        <v>1</v>
      </c>
      <c r="J1912" s="16" t="n">
        <v>260</v>
      </c>
      <c r="K1912" s="16"/>
      <c r="L1912" s="16"/>
      <c r="M1912" s="16" t="n">
        <v>260</v>
      </c>
      <c r="N1912" s="19"/>
    </row>
    <row r="1913" customFormat="false" ht="15" hidden="false" customHeight="false" outlineLevel="0" collapsed="false">
      <c r="A1913" s="13" t="s">
        <v>4871</v>
      </c>
      <c r="B1913" s="13" t="s">
        <v>2139</v>
      </c>
      <c r="C1913" s="13" t="s">
        <v>43</v>
      </c>
      <c r="D1913" s="13" t="s">
        <v>2324</v>
      </c>
      <c r="E1913" s="13" t="s">
        <v>4872</v>
      </c>
      <c r="F1913" s="13" t="n">
        <v>1</v>
      </c>
      <c r="G1913" s="13" t="n">
        <v>1</v>
      </c>
      <c r="H1913" s="5" t="n">
        <v>260</v>
      </c>
      <c r="I1913" s="7" t="n">
        <v>2</v>
      </c>
      <c r="J1913" s="16" t="n">
        <v>130</v>
      </c>
      <c r="K1913" s="16"/>
      <c r="L1913" s="16"/>
      <c r="M1913" s="16" t="n">
        <v>130</v>
      </c>
      <c r="N1913" s="19"/>
    </row>
    <row r="1914" customFormat="false" ht="15" hidden="false" customHeight="false" outlineLevel="0" collapsed="false">
      <c r="A1914" s="13" t="s">
        <v>4873</v>
      </c>
      <c r="B1914" s="13" t="s">
        <v>121</v>
      </c>
      <c r="C1914" s="13" t="s">
        <v>43</v>
      </c>
      <c r="D1914" s="13" t="s">
        <v>2324</v>
      </c>
      <c r="E1914" s="13" t="s">
        <v>1927</v>
      </c>
      <c r="F1914" s="13" t="n">
        <v>1</v>
      </c>
      <c r="G1914" s="13" t="n">
        <v>1</v>
      </c>
      <c r="H1914" s="5" t="n">
        <v>260</v>
      </c>
      <c r="I1914" s="7" t="n">
        <v>5</v>
      </c>
      <c r="J1914" s="16" t="n">
        <v>52</v>
      </c>
      <c r="K1914" s="16"/>
      <c r="L1914" s="16"/>
      <c r="M1914" s="16" t="n">
        <v>52</v>
      </c>
      <c r="N1914" s="19"/>
    </row>
    <row r="1915" customFormat="false" ht="15" hidden="false" customHeight="false" outlineLevel="0" collapsed="false">
      <c r="A1915" s="13" t="s">
        <v>4874</v>
      </c>
      <c r="B1915" s="13" t="s">
        <v>2282</v>
      </c>
      <c r="C1915" s="13" t="s">
        <v>183</v>
      </c>
      <c r="D1915" s="13" t="s">
        <v>2324</v>
      </c>
      <c r="E1915" s="13" t="s">
        <v>4875</v>
      </c>
      <c r="F1915" s="13" t="n">
        <v>1</v>
      </c>
      <c r="G1915" s="13" t="n">
        <v>1</v>
      </c>
      <c r="H1915" s="5" t="n">
        <v>260</v>
      </c>
      <c r="I1915" s="7" t="n">
        <v>1</v>
      </c>
      <c r="J1915" s="16" t="n">
        <v>260</v>
      </c>
      <c r="K1915" s="16"/>
      <c r="L1915" s="16"/>
      <c r="M1915" s="16" t="n">
        <v>260</v>
      </c>
      <c r="N1915" s="19"/>
    </row>
    <row r="1916" customFormat="false" ht="15" hidden="false" customHeight="false" outlineLevel="0" collapsed="false">
      <c r="A1916" s="13" t="s">
        <v>4876</v>
      </c>
      <c r="B1916" s="13" t="s">
        <v>2284</v>
      </c>
      <c r="C1916" s="13" t="s">
        <v>43</v>
      </c>
      <c r="D1916" s="13" t="s">
        <v>2339</v>
      </c>
      <c r="E1916" s="13" t="s">
        <v>4877</v>
      </c>
      <c r="F1916" s="13" t="n">
        <v>1</v>
      </c>
      <c r="G1916" s="13" t="n">
        <v>1</v>
      </c>
      <c r="H1916" s="5" t="n">
        <v>250</v>
      </c>
      <c r="I1916" s="7" t="n">
        <v>1</v>
      </c>
      <c r="J1916" s="16" t="n">
        <v>250</v>
      </c>
      <c r="K1916" s="16"/>
      <c r="L1916" s="16" t="n">
        <v>250</v>
      </c>
      <c r="M1916" s="16"/>
      <c r="N1916" s="19"/>
    </row>
    <row r="1917" customFormat="false" ht="15" hidden="false" customHeight="false" outlineLevel="0" collapsed="false">
      <c r="A1917" s="13" t="s">
        <v>4878</v>
      </c>
      <c r="B1917" s="13" t="s">
        <v>255</v>
      </c>
      <c r="C1917" s="13" t="s">
        <v>43</v>
      </c>
      <c r="D1917" s="13" t="s">
        <v>2339</v>
      </c>
      <c r="E1917" s="13" t="s">
        <v>1941</v>
      </c>
      <c r="F1917" s="13" t="n">
        <v>1</v>
      </c>
      <c r="G1917" s="13" t="n">
        <v>1</v>
      </c>
      <c r="H1917" s="5" t="n">
        <v>250</v>
      </c>
      <c r="I1917" s="7" t="n">
        <v>1</v>
      </c>
      <c r="J1917" s="16" t="n">
        <v>250</v>
      </c>
      <c r="K1917" s="16"/>
      <c r="L1917" s="16" t="n">
        <v>250</v>
      </c>
      <c r="M1917" s="16"/>
      <c r="N1917" s="19"/>
    </row>
    <row r="1918" customFormat="false" ht="15" hidden="false" customHeight="false" outlineLevel="0" collapsed="false">
      <c r="A1918" s="13" t="s">
        <v>4879</v>
      </c>
      <c r="B1918" s="13" t="s">
        <v>2285</v>
      </c>
      <c r="C1918" s="13" t="s">
        <v>85</v>
      </c>
      <c r="D1918" s="13" t="s">
        <v>2324</v>
      </c>
      <c r="E1918" s="13" t="s">
        <v>4880</v>
      </c>
      <c r="F1918" s="13" t="n">
        <v>1</v>
      </c>
      <c r="G1918" s="13" t="n">
        <v>1</v>
      </c>
      <c r="H1918" s="5" t="n">
        <v>250</v>
      </c>
      <c r="I1918" s="7" t="n">
        <v>2</v>
      </c>
      <c r="J1918" s="16" t="n">
        <v>125</v>
      </c>
      <c r="K1918" s="16" t="n">
        <v>125</v>
      </c>
      <c r="L1918" s="16"/>
      <c r="M1918" s="16"/>
      <c r="N1918" s="19"/>
    </row>
    <row r="1919" customFormat="false" ht="15" hidden="false" customHeight="false" outlineLevel="0" collapsed="false">
      <c r="A1919" s="13" t="s">
        <v>4881</v>
      </c>
      <c r="B1919" s="13" t="s">
        <v>2209</v>
      </c>
      <c r="C1919" s="13" t="s">
        <v>43</v>
      </c>
      <c r="D1919" s="13" t="s">
        <v>2324</v>
      </c>
      <c r="E1919" s="13" t="s">
        <v>4882</v>
      </c>
      <c r="F1919" s="13" t="n">
        <v>1</v>
      </c>
      <c r="G1919" s="13" t="n">
        <v>1</v>
      </c>
      <c r="H1919" s="5" t="n">
        <v>250</v>
      </c>
      <c r="I1919" s="7" t="n">
        <v>1</v>
      </c>
      <c r="J1919" s="16" t="n">
        <v>250</v>
      </c>
      <c r="K1919" s="16"/>
      <c r="L1919" s="16"/>
      <c r="M1919" s="16" t="n">
        <v>250</v>
      </c>
      <c r="N1919" s="19"/>
    </row>
    <row r="1920" customFormat="false" ht="15" hidden="false" customHeight="false" outlineLevel="0" collapsed="false">
      <c r="A1920" s="13" t="s">
        <v>4883</v>
      </c>
      <c r="B1920" s="13" t="s">
        <v>121</v>
      </c>
      <c r="C1920" s="13" t="s">
        <v>43</v>
      </c>
      <c r="D1920" s="13" t="s">
        <v>2324</v>
      </c>
      <c r="E1920" s="13" t="s">
        <v>1944</v>
      </c>
      <c r="F1920" s="13" t="n">
        <v>1</v>
      </c>
      <c r="G1920" s="13" t="n">
        <v>1</v>
      </c>
      <c r="H1920" s="5" t="n">
        <v>250</v>
      </c>
      <c r="I1920" s="7" t="n">
        <v>2</v>
      </c>
      <c r="J1920" s="16" t="n">
        <v>125</v>
      </c>
      <c r="K1920" s="16"/>
      <c r="L1920" s="16"/>
      <c r="M1920" s="16" t="n">
        <v>125</v>
      </c>
      <c r="N1920" s="19"/>
    </row>
    <row r="1921" customFormat="false" ht="15" hidden="false" customHeight="false" outlineLevel="0" collapsed="false">
      <c r="A1921" s="13" t="s">
        <v>4884</v>
      </c>
      <c r="B1921" s="13" t="s">
        <v>2215</v>
      </c>
      <c r="C1921" s="13" t="s">
        <v>85</v>
      </c>
      <c r="D1921" s="13" t="s">
        <v>2324</v>
      </c>
      <c r="E1921" s="13" t="s">
        <v>4885</v>
      </c>
      <c r="F1921" s="13" t="n">
        <v>1</v>
      </c>
      <c r="G1921" s="13" t="n">
        <v>1</v>
      </c>
      <c r="H1921" s="5" t="n">
        <v>240</v>
      </c>
      <c r="I1921" s="7" t="n">
        <v>1</v>
      </c>
      <c r="J1921" s="16" t="n">
        <v>240</v>
      </c>
      <c r="K1921" s="16"/>
      <c r="L1921" s="16"/>
      <c r="M1921" s="16" t="n">
        <v>240</v>
      </c>
      <c r="N1921" s="19"/>
    </row>
    <row r="1922" customFormat="false" ht="15" hidden="false" customHeight="false" outlineLevel="0" collapsed="false">
      <c r="A1922" s="13" t="s">
        <v>4886</v>
      </c>
      <c r="B1922" s="13" t="s">
        <v>2215</v>
      </c>
      <c r="C1922" s="13" t="s">
        <v>85</v>
      </c>
      <c r="D1922" s="13" t="s">
        <v>2324</v>
      </c>
      <c r="E1922" s="13" t="s">
        <v>4887</v>
      </c>
      <c r="F1922" s="13" t="n">
        <v>1</v>
      </c>
      <c r="G1922" s="13" t="n">
        <v>1</v>
      </c>
      <c r="H1922" s="5" t="n">
        <v>240</v>
      </c>
      <c r="I1922" s="7" t="n">
        <v>1</v>
      </c>
      <c r="J1922" s="16" t="n">
        <v>240</v>
      </c>
      <c r="K1922" s="16"/>
      <c r="L1922" s="16"/>
      <c r="M1922" s="16" t="n">
        <v>240</v>
      </c>
      <c r="N1922" s="19"/>
    </row>
    <row r="1923" customFormat="false" ht="15" hidden="false" customHeight="false" outlineLevel="0" collapsed="false">
      <c r="A1923" s="13" t="s">
        <v>4888</v>
      </c>
      <c r="B1923" s="13" t="s">
        <v>179</v>
      </c>
      <c r="C1923" s="13" t="s">
        <v>85</v>
      </c>
      <c r="D1923" s="13" t="s">
        <v>2324</v>
      </c>
      <c r="E1923" s="13" t="s">
        <v>1953</v>
      </c>
      <c r="F1923" s="13" t="n">
        <v>1</v>
      </c>
      <c r="G1923" s="13" t="n">
        <v>1</v>
      </c>
      <c r="H1923" s="5" t="n">
        <v>240</v>
      </c>
      <c r="I1923" s="7" t="n">
        <v>2</v>
      </c>
      <c r="J1923" s="16" t="n">
        <v>120</v>
      </c>
      <c r="K1923" s="16" t="n">
        <v>120</v>
      </c>
      <c r="L1923" s="16"/>
      <c r="M1923" s="16"/>
      <c r="N1923" s="19"/>
    </row>
    <row r="1924" customFormat="false" ht="15" hidden="false" customHeight="false" outlineLevel="0" collapsed="false">
      <c r="A1924" s="13" t="s">
        <v>4889</v>
      </c>
      <c r="B1924" s="13" t="s">
        <v>105</v>
      </c>
      <c r="C1924" s="13" t="s">
        <v>43</v>
      </c>
      <c r="D1924" s="13" t="s">
        <v>2500</v>
      </c>
      <c r="E1924" s="13" t="s">
        <v>1950</v>
      </c>
      <c r="F1924" s="13" t="n">
        <v>1</v>
      </c>
      <c r="G1924" s="13" t="n">
        <v>1</v>
      </c>
      <c r="H1924" s="5" t="n">
        <v>240</v>
      </c>
      <c r="I1924" s="7" t="n">
        <v>1</v>
      </c>
      <c r="J1924" s="16" t="n">
        <v>240</v>
      </c>
      <c r="K1924" s="16"/>
      <c r="L1924" s="16"/>
      <c r="M1924" s="16" t="n">
        <v>240</v>
      </c>
      <c r="N1924" s="19"/>
    </row>
    <row r="1925" customFormat="false" ht="15" hidden="false" customHeight="false" outlineLevel="0" collapsed="false">
      <c r="A1925" s="13" t="s">
        <v>4890</v>
      </c>
      <c r="B1925" s="13" t="s">
        <v>2095</v>
      </c>
      <c r="C1925" s="13" t="s">
        <v>140</v>
      </c>
      <c r="D1925" s="13" t="s">
        <v>4891</v>
      </c>
      <c r="E1925" s="13" t="s">
        <v>4892</v>
      </c>
      <c r="F1925" s="13" t="n">
        <v>1</v>
      </c>
      <c r="G1925" s="13" t="n">
        <v>2</v>
      </c>
      <c r="H1925" s="5" t="n">
        <v>240</v>
      </c>
      <c r="I1925" s="7" t="n">
        <v>3</v>
      </c>
      <c r="J1925" s="16" t="n">
        <v>80</v>
      </c>
      <c r="K1925" s="16" t="n">
        <v>80</v>
      </c>
      <c r="L1925" s="16"/>
      <c r="M1925" s="16"/>
      <c r="N1925" s="19"/>
    </row>
    <row r="1926" customFormat="false" ht="15" hidden="false" customHeight="false" outlineLevel="0" collapsed="false">
      <c r="A1926" s="13" t="s">
        <v>4893</v>
      </c>
      <c r="B1926" s="13" t="s">
        <v>2235</v>
      </c>
      <c r="C1926" s="13" t="s">
        <v>85</v>
      </c>
      <c r="D1926" s="13" t="s">
        <v>2339</v>
      </c>
      <c r="E1926" s="13" t="s">
        <v>4894</v>
      </c>
      <c r="F1926" s="13" t="n">
        <v>1</v>
      </c>
      <c r="G1926" s="13" t="n">
        <v>1</v>
      </c>
      <c r="H1926" s="5" t="n">
        <v>240</v>
      </c>
      <c r="I1926" s="7" t="n">
        <v>1</v>
      </c>
      <c r="J1926" s="16" t="n">
        <v>240</v>
      </c>
      <c r="K1926" s="16"/>
      <c r="L1926" s="16" t="n">
        <v>240</v>
      </c>
      <c r="M1926" s="16"/>
      <c r="N1926" s="19"/>
    </row>
    <row r="1927" customFormat="false" ht="15" hidden="false" customHeight="false" outlineLevel="0" collapsed="false">
      <c r="A1927" s="13" t="s">
        <v>4895</v>
      </c>
      <c r="B1927" s="13" t="s">
        <v>61</v>
      </c>
      <c r="C1927" s="13" t="s">
        <v>183</v>
      </c>
      <c r="D1927" s="13" t="s">
        <v>2324</v>
      </c>
      <c r="E1927" s="13" t="s">
        <v>1949</v>
      </c>
      <c r="F1927" s="13" t="n">
        <v>1</v>
      </c>
      <c r="G1927" s="13" t="n">
        <v>1</v>
      </c>
      <c r="H1927" s="5" t="n">
        <v>240</v>
      </c>
      <c r="I1927" s="7" t="n">
        <v>1</v>
      </c>
      <c r="J1927" s="16" t="n">
        <v>240</v>
      </c>
      <c r="K1927" s="16"/>
      <c r="L1927" s="16"/>
      <c r="M1927" s="16" t="n">
        <v>240</v>
      </c>
      <c r="N1927" s="19"/>
    </row>
    <row r="1928" customFormat="false" ht="15" hidden="false" customHeight="false" outlineLevel="0" collapsed="false">
      <c r="A1928" s="13" t="s">
        <v>4896</v>
      </c>
      <c r="B1928" s="13" t="s">
        <v>2286</v>
      </c>
      <c r="C1928" s="13" t="s">
        <v>85</v>
      </c>
      <c r="D1928" s="13" t="s">
        <v>2324</v>
      </c>
      <c r="E1928" s="13" t="s">
        <v>4897</v>
      </c>
      <c r="F1928" s="13" t="n">
        <v>1</v>
      </c>
      <c r="G1928" s="13" t="n">
        <v>1</v>
      </c>
      <c r="H1928" s="5" t="n">
        <v>240</v>
      </c>
      <c r="I1928" s="7" t="n">
        <v>1</v>
      </c>
      <c r="J1928" s="16" t="n">
        <v>240</v>
      </c>
      <c r="K1928" s="16"/>
      <c r="L1928" s="16"/>
      <c r="M1928" s="16" t="n">
        <v>240</v>
      </c>
      <c r="N1928" s="19"/>
    </row>
    <row r="1929" customFormat="false" ht="15" hidden="false" customHeight="false" outlineLevel="0" collapsed="false">
      <c r="A1929" s="13" t="s">
        <v>4898</v>
      </c>
      <c r="B1929" s="13" t="s">
        <v>490</v>
      </c>
      <c r="C1929" s="13" t="s">
        <v>43</v>
      </c>
      <c r="D1929" s="13" t="s">
        <v>4194</v>
      </c>
      <c r="E1929" s="13" t="s">
        <v>1948</v>
      </c>
      <c r="F1929" s="13" t="n">
        <v>1</v>
      </c>
      <c r="G1929" s="13" t="n">
        <v>1</v>
      </c>
      <c r="H1929" s="5" t="n">
        <v>240</v>
      </c>
      <c r="I1929" s="7" t="n">
        <v>1</v>
      </c>
      <c r="J1929" s="16" t="n">
        <v>240</v>
      </c>
      <c r="K1929" s="16"/>
      <c r="L1929" s="16"/>
      <c r="M1929" s="16" t="n">
        <v>240</v>
      </c>
      <c r="N1929" s="19"/>
    </row>
    <row r="1930" customFormat="false" ht="15" hidden="false" customHeight="false" outlineLevel="0" collapsed="false">
      <c r="A1930" s="13" t="s">
        <v>4899</v>
      </c>
      <c r="B1930" s="13" t="s">
        <v>121</v>
      </c>
      <c r="C1930" s="13" t="s">
        <v>183</v>
      </c>
      <c r="D1930" s="13" t="s">
        <v>2324</v>
      </c>
      <c r="E1930" s="13" t="s">
        <v>1946</v>
      </c>
      <c r="F1930" s="13" t="n">
        <v>1</v>
      </c>
      <c r="G1930" s="13" t="n">
        <v>1</v>
      </c>
      <c r="H1930" s="5" t="n">
        <v>240</v>
      </c>
      <c r="I1930" s="7" t="n">
        <v>2</v>
      </c>
      <c r="J1930" s="16" t="n">
        <v>120</v>
      </c>
      <c r="K1930" s="16"/>
      <c r="L1930" s="16"/>
      <c r="M1930" s="16" t="n">
        <v>120</v>
      </c>
      <c r="N1930" s="19"/>
    </row>
    <row r="1931" customFormat="false" ht="15" hidden="false" customHeight="false" outlineLevel="0" collapsed="false">
      <c r="A1931" s="13" t="s">
        <v>4900</v>
      </c>
      <c r="B1931" s="13" t="s">
        <v>103</v>
      </c>
      <c r="C1931" s="13" t="s">
        <v>43</v>
      </c>
      <c r="D1931" s="13" t="s">
        <v>2324</v>
      </c>
      <c r="E1931" s="13" t="s">
        <v>1102</v>
      </c>
      <c r="F1931" s="13" t="n">
        <v>1</v>
      </c>
      <c r="G1931" s="13" t="n">
        <v>1</v>
      </c>
      <c r="H1931" s="5" t="n">
        <v>240</v>
      </c>
      <c r="I1931" s="7" t="n">
        <v>1</v>
      </c>
      <c r="J1931" s="16" t="n">
        <v>240</v>
      </c>
      <c r="K1931" s="16"/>
      <c r="L1931" s="16"/>
      <c r="M1931" s="16" t="n">
        <v>240</v>
      </c>
      <c r="N1931" s="19"/>
    </row>
    <row r="1932" customFormat="false" ht="15" hidden="false" customHeight="false" outlineLevel="0" collapsed="false">
      <c r="A1932" s="13" t="s">
        <v>4901</v>
      </c>
      <c r="B1932" s="13" t="s">
        <v>286</v>
      </c>
      <c r="C1932" s="13" t="s">
        <v>43</v>
      </c>
      <c r="D1932" s="13" t="s">
        <v>2339</v>
      </c>
      <c r="E1932" s="13" t="s">
        <v>1947</v>
      </c>
      <c r="F1932" s="13" t="n">
        <v>1</v>
      </c>
      <c r="G1932" s="13" t="n">
        <v>1</v>
      </c>
      <c r="H1932" s="5" t="n">
        <v>240</v>
      </c>
      <c r="I1932" s="7" t="n">
        <v>1</v>
      </c>
      <c r="J1932" s="16" t="n">
        <v>240</v>
      </c>
      <c r="K1932" s="16"/>
      <c r="L1932" s="16"/>
      <c r="M1932" s="16" t="n">
        <v>240</v>
      </c>
      <c r="N1932" s="19"/>
    </row>
    <row r="1933" customFormat="false" ht="15" hidden="false" customHeight="false" outlineLevel="0" collapsed="false">
      <c r="A1933" s="13" t="s">
        <v>4902</v>
      </c>
      <c r="B1933" s="13" t="s">
        <v>107</v>
      </c>
      <c r="C1933" s="13" t="s">
        <v>43</v>
      </c>
      <c r="D1933" s="13" t="s">
        <v>2324</v>
      </c>
      <c r="E1933" s="13" t="s">
        <v>1945</v>
      </c>
      <c r="F1933" s="13" t="n">
        <v>1</v>
      </c>
      <c r="G1933" s="13" t="n">
        <v>1</v>
      </c>
      <c r="H1933" s="5" t="n">
        <v>240</v>
      </c>
      <c r="I1933" s="7" t="n">
        <v>2</v>
      </c>
      <c r="J1933" s="16" t="n">
        <v>120</v>
      </c>
      <c r="K1933" s="16"/>
      <c r="L1933" s="16"/>
      <c r="M1933" s="16" t="n">
        <v>120</v>
      </c>
      <c r="N1933" s="19"/>
    </row>
    <row r="1934" customFormat="false" ht="15" hidden="false" customHeight="false" outlineLevel="0" collapsed="false">
      <c r="A1934" s="13" t="s">
        <v>4903</v>
      </c>
      <c r="B1934" s="13" t="s">
        <v>61</v>
      </c>
      <c r="C1934" s="13" t="s">
        <v>183</v>
      </c>
      <c r="D1934" s="13" t="s">
        <v>2324</v>
      </c>
      <c r="E1934" s="13" t="s">
        <v>1961</v>
      </c>
      <c r="F1934" s="13" t="n">
        <v>1</v>
      </c>
      <c r="G1934" s="13" t="n">
        <v>1</v>
      </c>
      <c r="H1934" s="5" t="n">
        <v>230</v>
      </c>
      <c r="I1934" s="7" t="n">
        <v>1</v>
      </c>
      <c r="J1934" s="16" t="n">
        <v>230</v>
      </c>
      <c r="K1934" s="16"/>
      <c r="L1934" s="16"/>
      <c r="M1934" s="16" t="n">
        <v>230</v>
      </c>
      <c r="N1934" s="19"/>
    </row>
    <row r="1935" customFormat="false" ht="15" hidden="false" customHeight="false" outlineLevel="0" collapsed="false">
      <c r="A1935" s="13" t="s">
        <v>4904</v>
      </c>
      <c r="B1935" s="13" t="s">
        <v>2103</v>
      </c>
      <c r="C1935" s="13" t="s">
        <v>85</v>
      </c>
      <c r="D1935" s="13" t="s">
        <v>2324</v>
      </c>
      <c r="E1935" s="13" t="s">
        <v>4905</v>
      </c>
      <c r="F1935" s="13" t="n">
        <v>1</v>
      </c>
      <c r="G1935" s="13" t="n">
        <v>1</v>
      </c>
      <c r="H1935" s="5" t="n">
        <v>230</v>
      </c>
      <c r="I1935" s="7" t="n">
        <v>2</v>
      </c>
      <c r="J1935" s="16" t="n">
        <v>115</v>
      </c>
      <c r="K1935" s="16"/>
      <c r="L1935" s="16"/>
      <c r="M1935" s="16" t="n">
        <v>115</v>
      </c>
      <c r="N1935" s="19"/>
    </row>
    <row r="1936" customFormat="false" ht="15" hidden="false" customHeight="false" outlineLevel="0" collapsed="false">
      <c r="A1936" s="13" t="s">
        <v>4906</v>
      </c>
      <c r="B1936" s="13" t="s">
        <v>161</v>
      </c>
      <c r="C1936" s="13" t="s">
        <v>43</v>
      </c>
      <c r="D1936" s="13" t="s">
        <v>2327</v>
      </c>
      <c r="E1936" s="13" t="s">
        <v>2045</v>
      </c>
      <c r="F1936" s="13" t="n">
        <v>1</v>
      </c>
      <c r="G1936" s="13" t="n">
        <v>2</v>
      </c>
      <c r="H1936" s="5" t="n">
        <v>230</v>
      </c>
      <c r="I1936" s="7" t="n">
        <v>2</v>
      </c>
      <c r="J1936" s="16" t="n">
        <v>115</v>
      </c>
      <c r="K1936" s="16"/>
      <c r="L1936" s="16" t="n">
        <v>115</v>
      </c>
      <c r="M1936" s="16"/>
      <c r="N1936" s="19"/>
    </row>
    <row r="1937" customFormat="false" ht="15" hidden="false" customHeight="false" outlineLevel="0" collapsed="false">
      <c r="A1937" s="13" t="s">
        <v>4907</v>
      </c>
      <c r="B1937" s="13" t="s">
        <v>121</v>
      </c>
      <c r="C1937" s="13" t="s">
        <v>183</v>
      </c>
      <c r="D1937" s="13" t="s">
        <v>4908</v>
      </c>
      <c r="E1937" s="13" t="s">
        <v>2015</v>
      </c>
      <c r="F1937" s="13" t="n">
        <v>1</v>
      </c>
      <c r="G1937" s="13" t="n">
        <v>2</v>
      </c>
      <c r="H1937" s="5" t="n">
        <v>230</v>
      </c>
      <c r="I1937" s="7" t="n">
        <v>3</v>
      </c>
      <c r="J1937" s="16" t="n">
        <v>76.6666666666667</v>
      </c>
      <c r="K1937" s="16"/>
      <c r="L1937" s="16"/>
      <c r="M1937" s="16" t="n">
        <v>76.6666666666667</v>
      </c>
      <c r="N1937" s="19"/>
    </row>
    <row r="1938" customFormat="false" ht="15" hidden="false" customHeight="false" outlineLevel="0" collapsed="false">
      <c r="A1938" s="13" t="s">
        <v>4909</v>
      </c>
      <c r="B1938" s="13" t="s">
        <v>2108</v>
      </c>
      <c r="C1938" s="13" t="s">
        <v>85</v>
      </c>
      <c r="D1938" s="13" t="s">
        <v>2324</v>
      </c>
      <c r="E1938" s="13" t="s">
        <v>4910</v>
      </c>
      <c r="F1938" s="13" t="n">
        <v>1</v>
      </c>
      <c r="G1938" s="13" t="n">
        <v>1</v>
      </c>
      <c r="H1938" s="5" t="n">
        <v>230</v>
      </c>
      <c r="I1938" s="7" t="n">
        <v>1</v>
      </c>
      <c r="J1938" s="16" t="n">
        <v>230</v>
      </c>
      <c r="K1938" s="16" t="n">
        <v>230</v>
      </c>
      <c r="L1938" s="16"/>
      <c r="M1938" s="16"/>
      <c r="N1938" s="19"/>
    </row>
    <row r="1939" customFormat="false" ht="15" hidden="false" customHeight="false" outlineLevel="0" collapsed="false">
      <c r="A1939" s="13" t="s">
        <v>4911</v>
      </c>
      <c r="B1939" s="13" t="s">
        <v>2154</v>
      </c>
      <c r="C1939" s="13" t="s">
        <v>43</v>
      </c>
      <c r="D1939" s="13" t="s">
        <v>2324</v>
      </c>
      <c r="E1939" s="13" t="s">
        <v>4912</v>
      </c>
      <c r="F1939" s="13" t="n">
        <v>1</v>
      </c>
      <c r="G1939" s="13" t="n">
        <v>1</v>
      </c>
      <c r="H1939" s="5" t="n">
        <v>230</v>
      </c>
      <c r="I1939" s="7" t="n">
        <v>1</v>
      </c>
      <c r="J1939" s="16" t="n">
        <v>230</v>
      </c>
      <c r="K1939" s="16"/>
      <c r="L1939" s="16"/>
      <c r="M1939" s="16" t="n">
        <v>230</v>
      </c>
      <c r="N1939" s="19"/>
    </row>
    <row r="1940" customFormat="false" ht="15" hidden="false" customHeight="false" outlineLevel="0" collapsed="false">
      <c r="A1940" s="13" t="s">
        <v>4913</v>
      </c>
      <c r="B1940" s="13" t="s">
        <v>2198</v>
      </c>
      <c r="C1940" s="13" t="s">
        <v>43</v>
      </c>
      <c r="D1940" s="13" t="s">
        <v>2422</v>
      </c>
      <c r="E1940" s="13" t="s">
        <v>4914</v>
      </c>
      <c r="F1940" s="13" t="n">
        <v>1</v>
      </c>
      <c r="G1940" s="13" t="n">
        <v>1</v>
      </c>
      <c r="H1940" s="5" t="n">
        <v>230</v>
      </c>
      <c r="I1940" s="7" t="n">
        <v>1</v>
      </c>
      <c r="J1940" s="16" t="n">
        <v>230</v>
      </c>
      <c r="K1940" s="16"/>
      <c r="L1940" s="16" t="n">
        <v>230</v>
      </c>
      <c r="M1940" s="16"/>
      <c r="N1940" s="19"/>
    </row>
    <row r="1941" customFormat="false" ht="15" hidden="false" customHeight="false" outlineLevel="0" collapsed="false">
      <c r="A1941" s="13" t="s">
        <v>4915</v>
      </c>
      <c r="B1941" s="13" t="s">
        <v>2103</v>
      </c>
      <c r="C1941" s="13" t="s">
        <v>85</v>
      </c>
      <c r="D1941" s="13" t="s">
        <v>2324</v>
      </c>
      <c r="E1941" s="13" t="s">
        <v>4916</v>
      </c>
      <c r="F1941" s="13" t="n">
        <v>1</v>
      </c>
      <c r="G1941" s="13" t="n">
        <v>2</v>
      </c>
      <c r="H1941" s="5" t="n">
        <v>220</v>
      </c>
      <c r="I1941" s="7" t="n">
        <v>2</v>
      </c>
      <c r="J1941" s="16" t="n">
        <v>110</v>
      </c>
      <c r="K1941" s="16"/>
      <c r="L1941" s="16"/>
      <c r="M1941" s="16" t="n">
        <v>110</v>
      </c>
      <c r="N1941" s="19"/>
    </row>
    <row r="1942" customFormat="false" ht="15" hidden="false" customHeight="false" outlineLevel="0" collapsed="false">
      <c r="A1942" s="13" t="s">
        <v>4917</v>
      </c>
      <c r="B1942" s="13" t="s">
        <v>2200</v>
      </c>
      <c r="C1942" s="13" t="s">
        <v>183</v>
      </c>
      <c r="D1942" s="13" t="s">
        <v>3673</v>
      </c>
      <c r="E1942" s="13" t="s">
        <v>4918</v>
      </c>
      <c r="F1942" s="13" t="n">
        <v>1</v>
      </c>
      <c r="G1942" s="13" t="n">
        <v>1</v>
      </c>
      <c r="H1942" s="5" t="n">
        <v>220</v>
      </c>
      <c r="I1942" s="7" t="n">
        <v>2</v>
      </c>
      <c r="J1942" s="16" t="n">
        <v>110</v>
      </c>
      <c r="K1942" s="16"/>
      <c r="L1942" s="16"/>
      <c r="M1942" s="16" t="n">
        <v>110</v>
      </c>
      <c r="N1942" s="19"/>
    </row>
    <row r="1943" customFormat="false" ht="15" hidden="false" customHeight="false" outlineLevel="0" collapsed="false">
      <c r="A1943" s="13" t="s">
        <v>4919</v>
      </c>
      <c r="B1943" s="13" t="s">
        <v>103</v>
      </c>
      <c r="C1943" s="13" t="s">
        <v>43</v>
      </c>
      <c r="D1943" s="13" t="s">
        <v>2339</v>
      </c>
      <c r="E1943" s="13" t="s">
        <v>958</v>
      </c>
      <c r="F1943" s="13" t="n">
        <v>1</v>
      </c>
      <c r="G1943" s="13" t="n">
        <v>1</v>
      </c>
      <c r="H1943" s="5" t="n">
        <v>220</v>
      </c>
      <c r="I1943" s="7" t="n">
        <v>1</v>
      </c>
      <c r="J1943" s="16" t="n">
        <v>220</v>
      </c>
      <c r="K1943" s="16"/>
      <c r="L1943" s="16"/>
      <c r="M1943" s="16" t="n">
        <v>220</v>
      </c>
      <c r="N1943" s="19"/>
    </row>
    <row r="1944" customFormat="false" ht="15" hidden="false" customHeight="false" outlineLevel="0" collapsed="false">
      <c r="A1944" s="13" t="s">
        <v>4920</v>
      </c>
      <c r="B1944" s="13" t="s">
        <v>2101</v>
      </c>
      <c r="C1944" s="13" t="s">
        <v>144</v>
      </c>
      <c r="D1944" s="13" t="s">
        <v>2324</v>
      </c>
      <c r="E1944" s="13" t="s">
        <v>4921</v>
      </c>
      <c r="F1944" s="13" t="n">
        <v>1</v>
      </c>
      <c r="G1944" s="13" t="n">
        <v>1</v>
      </c>
      <c r="H1944" s="5" t="n">
        <v>220</v>
      </c>
      <c r="I1944" s="7" t="n">
        <v>1</v>
      </c>
      <c r="J1944" s="16" t="n">
        <v>220</v>
      </c>
      <c r="K1944" s="16" t="n">
        <v>220</v>
      </c>
      <c r="L1944" s="16"/>
      <c r="M1944" s="16"/>
      <c r="N1944" s="19"/>
    </row>
    <row r="1945" customFormat="false" ht="15" hidden="false" customHeight="false" outlineLevel="0" collapsed="false">
      <c r="A1945" s="13" t="s">
        <v>4922</v>
      </c>
      <c r="B1945" s="13" t="s">
        <v>103</v>
      </c>
      <c r="C1945" s="13" t="s">
        <v>43</v>
      </c>
      <c r="D1945" s="13" t="s">
        <v>2324</v>
      </c>
      <c r="E1945" s="13" t="s">
        <v>1967</v>
      </c>
      <c r="F1945" s="13" t="n">
        <v>1</v>
      </c>
      <c r="G1945" s="13" t="n">
        <v>1</v>
      </c>
      <c r="H1945" s="5" t="n">
        <v>220</v>
      </c>
      <c r="I1945" s="7" t="n">
        <v>1</v>
      </c>
      <c r="J1945" s="16" t="n">
        <v>220</v>
      </c>
      <c r="K1945" s="16"/>
      <c r="L1945" s="16"/>
      <c r="M1945" s="16" t="n">
        <v>220</v>
      </c>
      <c r="N1945" s="19"/>
    </row>
    <row r="1946" customFormat="false" ht="15" hidden="false" customHeight="false" outlineLevel="0" collapsed="false">
      <c r="A1946" s="13" t="s">
        <v>4923</v>
      </c>
      <c r="B1946" s="13" t="s">
        <v>161</v>
      </c>
      <c r="C1946" s="13" t="s">
        <v>43</v>
      </c>
      <c r="D1946" s="13" t="s">
        <v>2324</v>
      </c>
      <c r="E1946" s="13" t="s">
        <v>1973</v>
      </c>
      <c r="F1946" s="13" t="n">
        <v>1</v>
      </c>
      <c r="G1946" s="13" t="n">
        <v>1</v>
      </c>
      <c r="H1946" s="5" t="n">
        <v>220</v>
      </c>
      <c r="I1946" s="7" t="n">
        <v>1</v>
      </c>
      <c r="J1946" s="16" t="n">
        <v>220</v>
      </c>
      <c r="K1946" s="16"/>
      <c r="L1946" s="16" t="n">
        <v>220</v>
      </c>
      <c r="M1946" s="16"/>
      <c r="N1946" s="19"/>
    </row>
    <row r="1947" customFormat="false" ht="15" hidden="false" customHeight="false" outlineLevel="0" collapsed="false">
      <c r="A1947" s="13" t="s">
        <v>4924</v>
      </c>
      <c r="B1947" s="13" t="s">
        <v>2108</v>
      </c>
      <c r="C1947" s="13" t="s">
        <v>85</v>
      </c>
      <c r="D1947" s="13" t="s">
        <v>2324</v>
      </c>
      <c r="E1947" s="13" t="s">
        <v>4925</v>
      </c>
      <c r="F1947" s="13" t="n">
        <v>1</v>
      </c>
      <c r="G1947" s="13" t="n">
        <v>1</v>
      </c>
      <c r="H1947" s="5" t="n">
        <v>220</v>
      </c>
      <c r="I1947" s="7" t="n">
        <v>2</v>
      </c>
      <c r="J1947" s="16" t="n">
        <v>110</v>
      </c>
      <c r="K1947" s="16" t="n">
        <v>110</v>
      </c>
      <c r="L1947" s="16"/>
      <c r="M1947" s="16"/>
      <c r="N1947" s="19"/>
    </row>
    <row r="1948" customFormat="false" ht="15" hidden="false" customHeight="false" outlineLevel="0" collapsed="false">
      <c r="A1948" s="13" t="s">
        <v>4926</v>
      </c>
      <c r="B1948" s="13" t="s">
        <v>103</v>
      </c>
      <c r="C1948" s="13" t="s">
        <v>43</v>
      </c>
      <c r="D1948" s="13" t="s">
        <v>2360</v>
      </c>
      <c r="E1948" s="13" t="s">
        <v>1968</v>
      </c>
      <c r="F1948" s="13" t="n">
        <v>1</v>
      </c>
      <c r="G1948" s="13" t="n">
        <v>1</v>
      </c>
      <c r="H1948" s="5" t="n">
        <v>220</v>
      </c>
      <c r="I1948" s="7" t="n">
        <v>1</v>
      </c>
      <c r="J1948" s="16" t="n">
        <v>220</v>
      </c>
      <c r="K1948" s="16"/>
      <c r="L1948" s="16" t="n">
        <v>220</v>
      </c>
      <c r="M1948" s="16"/>
      <c r="N1948" s="19"/>
    </row>
    <row r="1949" customFormat="false" ht="15" hidden="false" customHeight="false" outlineLevel="0" collapsed="false">
      <c r="A1949" s="13" t="s">
        <v>4927</v>
      </c>
      <c r="B1949" s="13" t="s">
        <v>2103</v>
      </c>
      <c r="C1949" s="13" t="s">
        <v>85</v>
      </c>
      <c r="D1949" s="13" t="s">
        <v>2324</v>
      </c>
      <c r="E1949" s="13" t="s">
        <v>4928</v>
      </c>
      <c r="F1949" s="13" t="n">
        <v>1</v>
      </c>
      <c r="G1949" s="13" t="n">
        <v>1</v>
      </c>
      <c r="H1949" s="5" t="n">
        <v>210</v>
      </c>
      <c r="I1949" s="7" t="n">
        <v>2</v>
      </c>
      <c r="J1949" s="16" t="n">
        <v>105</v>
      </c>
      <c r="K1949" s="16"/>
      <c r="L1949" s="16"/>
      <c r="M1949" s="16" t="n">
        <v>105</v>
      </c>
      <c r="N1949" s="19"/>
    </row>
    <row r="1950" customFormat="false" ht="15" hidden="false" customHeight="false" outlineLevel="0" collapsed="false">
      <c r="A1950" s="13" t="s">
        <v>4929</v>
      </c>
      <c r="B1950" s="13" t="s">
        <v>2265</v>
      </c>
      <c r="C1950" s="13" t="s">
        <v>85</v>
      </c>
      <c r="D1950" s="13" t="s">
        <v>2324</v>
      </c>
      <c r="E1950" s="13" t="s">
        <v>4930</v>
      </c>
      <c r="F1950" s="13" t="n">
        <v>1</v>
      </c>
      <c r="G1950" s="13" t="n">
        <v>1</v>
      </c>
      <c r="H1950" s="5" t="n">
        <v>210</v>
      </c>
      <c r="I1950" s="7" t="n">
        <v>5</v>
      </c>
      <c r="J1950" s="16" t="n">
        <v>42</v>
      </c>
      <c r="K1950" s="16" t="n">
        <v>42</v>
      </c>
      <c r="L1950" s="16"/>
      <c r="M1950" s="16"/>
      <c r="N1950" s="19"/>
    </row>
    <row r="1951" customFormat="false" ht="15" hidden="false" customHeight="false" outlineLevel="0" collapsed="false">
      <c r="A1951" s="13" t="s">
        <v>4931</v>
      </c>
      <c r="B1951" s="13" t="s">
        <v>2232</v>
      </c>
      <c r="C1951" s="13" t="s">
        <v>43</v>
      </c>
      <c r="D1951" s="13" t="s">
        <v>2339</v>
      </c>
      <c r="E1951" s="13" t="s">
        <v>4932</v>
      </c>
      <c r="F1951" s="13" t="n">
        <v>1</v>
      </c>
      <c r="G1951" s="13" t="n">
        <v>1</v>
      </c>
      <c r="H1951" s="5" t="n">
        <v>210</v>
      </c>
      <c r="I1951" s="7" t="n">
        <v>1</v>
      </c>
      <c r="J1951" s="16" t="n">
        <v>210</v>
      </c>
      <c r="K1951" s="16"/>
      <c r="L1951" s="16" t="n">
        <v>210</v>
      </c>
      <c r="M1951" s="16"/>
      <c r="N1951" s="19"/>
    </row>
    <row r="1952" customFormat="false" ht="15" hidden="false" customHeight="false" outlineLevel="0" collapsed="false">
      <c r="A1952" s="13" t="s">
        <v>4933</v>
      </c>
      <c r="B1952" s="13" t="s">
        <v>2141</v>
      </c>
      <c r="C1952" s="13" t="s">
        <v>43</v>
      </c>
      <c r="D1952" s="13" t="s">
        <v>2324</v>
      </c>
      <c r="E1952" s="13" t="s">
        <v>4934</v>
      </c>
      <c r="F1952" s="13" t="n">
        <v>1</v>
      </c>
      <c r="G1952" s="13" t="n">
        <v>1</v>
      </c>
      <c r="H1952" s="5" t="n">
        <v>210</v>
      </c>
      <c r="I1952" s="7" t="n">
        <v>2</v>
      </c>
      <c r="J1952" s="16" t="n">
        <v>105</v>
      </c>
      <c r="K1952" s="16" t="n">
        <v>105</v>
      </c>
      <c r="L1952" s="16"/>
      <c r="M1952" s="16"/>
      <c r="N1952" s="19"/>
    </row>
    <row r="1953" customFormat="false" ht="15" hidden="false" customHeight="false" outlineLevel="0" collapsed="false">
      <c r="A1953" s="13" t="s">
        <v>4935</v>
      </c>
      <c r="B1953" s="13" t="s">
        <v>2192</v>
      </c>
      <c r="C1953" s="13" t="s">
        <v>183</v>
      </c>
      <c r="D1953" s="13" t="s">
        <v>2324</v>
      </c>
      <c r="E1953" s="13" t="s">
        <v>4936</v>
      </c>
      <c r="F1953" s="13" t="n">
        <v>1</v>
      </c>
      <c r="G1953" s="13" t="n">
        <v>1</v>
      </c>
      <c r="H1953" s="5" t="n">
        <v>210</v>
      </c>
      <c r="I1953" s="7" t="n">
        <v>1</v>
      </c>
      <c r="J1953" s="16" t="n">
        <v>210</v>
      </c>
      <c r="K1953" s="16"/>
      <c r="L1953" s="16"/>
      <c r="M1953" s="16" t="n">
        <v>210</v>
      </c>
      <c r="N1953" s="19"/>
    </row>
    <row r="1954" customFormat="false" ht="15" hidden="false" customHeight="false" outlineLevel="0" collapsed="false">
      <c r="A1954" s="13" t="s">
        <v>4937</v>
      </c>
      <c r="B1954" s="13" t="s">
        <v>107</v>
      </c>
      <c r="C1954" s="13" t="s">
        <v>43</v>
      </c>
      <c r="D1954" s="13" t="s">
        <v>2324</v>
      </c>
      <c r="E1954" s="13" t="s">
        <v>1980</v>
      </c>
      <c r="F1954" s="13" t="n">
        <v>1</v>
      </c>
      <c r="G1954" s="13" t="n">
        <v>1</v>
      </c>
      <c r="H1954" s="5" t="n">
        <v>210</v>
      </c>
      <c r="I1954" s="7" t="n">
        <v>1</v>
      </c>
      <c r="J1954" s="16" t="n">
        <v>210</v>
      </c>
      <c r="K1954" s="16"/>
      <c r="L1954" s="16"/>
      <c r="M1954" s="16" t="n">
        <v>210</v>
      </c>
      <c r="N1954" s="19"/>
    </row>
    <row r="1955" customFormat="false" ht="15" hidden="false" customHeight="false" outlineLevel="0" collapsed="false">
      <c r="A1955" s="13" t="s">
        <v>4938</v>
      </c>
      <c r="B1955" s="13" t="s">
        <v>2165</v>
      </c>
      <c r="C1955" s="13" t="s">
        <v>85</v>
      </c>
      <c r="D1955" s="13" t="s">
        <v>2422</v>
      </c>
      <c r="E1955" s="13" t="s">
        <v>4939</v>
      </c>
      <c r="F1955" s="13" t="n">
        <v>1</v>
      </c>
      <c r="G1955" s="13" t="n">
        <v>1</v>
      </c>
      <c r="H1955" s="5" t="n">
        <v>210</v>
      </c>
      <c r="I1955" s="7" t="n">
        <v>1</v>
      </c>
      <c r="J1955" s="16" t="n">
        <v>210</v>
      </c>
      <c r="K1955" s="16"/>
      <c r="L1955" s="16" t="n">
        <v>210</v>
      </c>
      <c r="M1955" s="16"/>
      <c r="N1955" s="19"/>
    </row>
    <row r="1956" customFormat="false" ht="15" hidden="false" customHeight="false" outlineLevel="0" collapsed="false">
      <c r="A1956" s="13" t="s">
        <v>4940</v>
      </c>
      <c r="B1956" s="13" t="s">
        <v>2175</v>
      </c>
      <c r="C1956" s="13" t="s">
        <v>43</v>
      </c>
      <c r="D1956" s="13" t="s">
        <v>2339</v>
      </c>
      <c r="E1956" s="13" t="s">
        <v>4941</v>
      </c>
      <c r="F1956" s="13" t="n">
        <v>1</v>
      </c>
      <c r="G1956" s="13" t="n">
        <v>1</v>
      </c>
      <c r="H1956" s="5" t="n">
        <v>210</v>
      </c>
      <c r="I1956" s="7" t="n">
        <v>1</v>
      </c>
      <c r="J1956" s="16" t="n">
        <v>210</v>
      </c>
      <c r="K1956" s="16" t="n">
        <v>210</v>
      </c>
      <c r="L1956" s="16"/>
      <c r="M1956" s="16"/>
      <c r="N1956" s="19"/>
    </row>
    <row r="1957" customFormat="false" ht="15" hidden="false" customHeight="false" outlineLevel="0" collapsed="false">
      <c r="A1957" s="13" t="s">
        <v>4942</v>
      </c>
      <c r="B1957" s="13" t="s">
        <v>179</v>
      </c>
      <c r="C1957" s="13" t="s">
        <v>180</v>
      </c>
      <c r="D1957" s="13" t="s">
        <v>2324</v>
      </c>
      <c r="E1957" s="13" t="s">
        <v>1978</v>
      </c>
      <c r="F1957" s="13" t="n">
        <v>1</v>
      </c>
      <c r="G1957" s="13" t="n">
        <v>1</v>
      </c>
      <c r="H1957" s="5" t="n">
        <v>210</v>
      </c>
      <c r="I1957" s="7" t="n">
        <v>1</v>
      </c>
      <c r="J1957" s="16" t="n">
        <v>210</v>
      </c>
      <c r="K1957" s="16" t="n">
        <v>210</v>
      </c>
      <c r="L1957" s="16"/>
      <c r="M1957" s="16"/>
      <c r="N1957" s="19"/>
    </row>
    <row r="1958" customFormat="false" ht="15" hidden="false" customHeight="false" outlineLevel="0" collapsed="false">
      <c r="A1958" s="13" t="s">
        <v>4943</v>
      </c>
      <c r="B1958" s="13" t="s">
        <v>103</v>
      </c>
      <c r="C1958" s="13" t="s">
        <v>43</v>
      </c>
      <c r="D1958" s="13" t="s">
        <v>2324</v>
      </c>
      <c r="E1958" s="13" t="s">
        <v>1986</v>
      </c>
      <c r="F1958" s="13" t="n">
        <v>1</v>
      </c>
      <c r="G1958" s="13" t="n">
        <v>1</v>
      </c>
      <c r="H1958" s="5" t="n">
        <v>200</v>
      </c>
      <c r="I1958" s="7" t="n">
        <v>1</v>
      </c>
      <c r="J1958" s="16" t="n">
        <v>200</v>
      </c>
      <c r="K1958" s="16"/>
      <c r="L1958" s="16"/>
      <c r="M1958" s="16" t="n">
        <v>200</v>
      </c>
      <c r="N1958" s="19"/>
    </row>
    <row r="1959" customFormat="false" ht="15" hidden="false" customHeight="false" outlineLevel="0" collapsed="false">
      <c r="A1959" s="13" t="s">
        <v>4944</v>
      </c>
      <c r="B1959" s="13" t="s">
        <v>103</v>
      </c>
      <c r="C1959" s="13" t="s">
        <v>43</v>
      </c>
      <c r="D1959" s="13" t="s">
        <v>2339</v>
      </c>
      <c r="E1959" s="13" t="s">
        <v>1989</v>
      </c>
      <c r="F1959" s="13" t="n">
        <v>1</v>
      </c>
      <c r="G1959" s="13" t="n">
        <v>1</v>
      </c>
      <c r="H1959" s="5" t="n">
        <v>200</v>
      </c>
      <c r="I1959" s="7" t="n">
        <v>1</v>
      </c>
      <c r="J1959" s="16" t="n">
        <v>200</v>
      </c>
      <c r="K1959" s="16"/>
      <c r="L1959" s="16" t="n">
        <v>200</v>
      </c>
      <c r="M1959" s="16"/>
      <c r="N1959" s="19"/>
    </row>
    <row r="1960" customFormat="false" ht="15" hidden="false" customHeight="false" outlineLevel="0" collapsed="false">
      <c r="A1960" s="13" t="s">
        <v>4945</v>
      </c>
      <c r="B1960" s="13" t="s">
        <v>2289</v>
      </c>
      <c r="C1960" s="13" t="s">
        <v>140</v>
      </c>
      <c r="D1960" s="13" t="s">
        <v>2324</v>
      </c>
      <c r="E1960" s="13" t="s">
        <v>4946</v>
      </c>
      <c r="F1960" s="13" t="n">
        <v>1</v>
      </c>
      <c r="G1960" s="13" t="n">
        <v>1</v>
      </c>
      <c r="H1960" s="5" t="n">
        <v>200</v>
      </c>
      <c r="I1960" s="7" t="n">
        <v>2</v>
      </c>
      <c r="J1960" s="16" t="n">
        <v>100</v>
      </c>
      <c r="K1960" s="16" t="n">
        <v>100</v>
      </c>
      <c r="L1960" s="16"/>
      <c r="M1960" s="16"/>
      <c r="N1960" s="19"/>
    </row>
    <row r="1961" customFormat="false" ht="15" hidden="false" customHeight="false" outlineLevel="0" collapsed="false">
      <c r="A1961" s="13" t="s">
        <v>4947</v>
      </c>
      <c r="B1961" s="13" t="s">
        <v>2216</v>
      </c>
      <c r="C1961" s="13" t="s">
        <v>43</v>
      </c>
      <c r="D1961" s="13" t="s">
        <v>2324</v>
      </c>
      <c r="E1961" s="13" t="s">
        <v>4948</v>
      </c>
      <c r="F1961" s="13" t="n">
        <v>1</v>
      </c>
      <c r="G1961" s="13" t="n">
        <v>1</v>
      </c>
      <c r="H1961" s="5" t="n">
        <v>200</v>
      </c>
      <c r="I1961" s="7" t="n">
        <v>1</v>
      </c>
      <c r="J1961" s="16" t="n">
        <v>200</v>
      </c>
      <c r="K1961" s="16"/>
      <c r="L1961" s="16" t="n">
        <v>200</v>
      </c>
      <c r="M1961" s="16"/>
      <c r="N1961" s="19"/>
    </row>
    <row r="1962" customFormat="false" ht="15" hidden="false" customHeight="false" outlineLevel="0" collapsed="false">
      <c r="A1962" s="13" t="s">
        <v>4949</v>
      </c>
      <c r="B1962" s="13" t="s">
        <v>179</v>
      </c>
      <c r="C1962" s="13" t="s">
        <v>180</v>
      </c>
      <c r="D1962" s="13" t="s">
        <v>2324</v>
      </c>
      <c r="E1962" s="13" t="s">
        <v>1990</v>
      </c>
      <c r="F1962" s="13" t="n">
        <v>1</v>
      </c>
      <c r="G1962" s="13" t="n">
        <v>1</v>
      </c>
      <c r="H1962" s="5" t="n">
        <v>200</v>
      </c>
      <c r="I1962" s="7" t="n">
        <v>1</v>
      </c>
      <c r="J1962" s="16" t="n">
        <v>200</v>
      </c>
      <c r="K1962" s="16" t="n">
        <v>200</v>
      </c>
      <c r="L1962" s="16"/>
      <c r="M1962" s="16"/>
      <c r="N1962" s="19"/>
    </row>
    <row r="1963" customFormat="false" ht="15" hidden="false" customHeight="false" outlineLevel="0" collapsed="false">
      <c r="A1963" s="13" t="s">
        <v>4950</v>
      </c>
      <c r="B1963" s="13" t="s">
        <v>2125</v>
      </c>
      <c r="C1963" s="13" t="s">
        <v>129</v>
      </c>
      <c r="D1963" s="13" t="s">
        <v>2324</v>
      </c>
      <c r="E1963" s="13" t="s">
        <v>4951</v>
      </c>
      <c r="F1963" s="13" t="n">
        <v>1</v>
      </c>
      <c r="G1963" s="13" t="n">
        <v>1</v>
      </c>
      <c r="H1963" s="5" t="n">
        <v>200</v>
      </c>
      <c r="I1963" s="7" t="n">
        <v>1</v>
      </c>
      <c r="J1963" s="16" t="n">
        <v>200</v>
      </c>
      <c r="K1963" s="16" t="n">
        <v>200</v>
      </c>
      <c r="L1963" s="16"/>
      <c r="M1963" s="16"/>
      <c r="N1963" s="19"/>
    </row>
    <row r="1964" customFormat="false" ht="15" hidden="false" customHeight="false" outlineLevel="0" collapsed="false">
      <c r="A1964" s="13" t="s">
        <v>4952</v>
      </c>
      <c r="B1964" s="13" t="s">
        <v>630</v>
      </c>
      <c r="C1964" s="13" t="s">
        <v>43</v>
      </c>
      <c r="D1964" s="13" t="s">
        <v>2324</v>
      </c>
      <c r="E1964" s="13" t="s">
        <v>1992</v>
      </c>
      <c r="F1964" s="13" t="n">
        <v>1</v>
      </c>
      <c r="G1964" s="13" t="n">
        <v>1</v>
      </c>
      <c r="H1964" s="5" t="n">
        <v>200</v>
      </c>
      <c r="I1964" s="7" t="n">
        <v>1</v>
      </c>
      <c r="J1964" s="16" t="n">
        <v>200</v>
      </c>
      <c r="K1964" s="16"/>
      <c r="L1964" s="16"/>
      <c r="M1964" s="16" t="n">
        <v>200</v>
      </c>
      <c r="N1964" s="19"/>
    </row>
    <row r="1965" customFormat="false" ht="15" hidden="false" customHeight="false" outlineLevel="0" collapsed="false">
      <c r="A1965" s="13" t="s">
        <v>4953</v>
      </c>
      <c r="B1965" s="13" t="s">
        <v>2200</v>
      </c>
      <c r="C1965" s="13" t="s">
        <v>85</v>
      </c>
      <c r="D1965" s="13" t="s">
        <v>2324</v>
      </c>
      <c r="E1965" s="13" t="s">
        <v>4954</v>
      </c>
      <c r="F1965" s="13" t="n">
        <v>1</v>
      </c>
      <c r="G1965" s="13" t="n">
        <v>1</v>
      </c>
      <c r="H1965" s="5" t="n">
        <v>200</v>
      </c>
      <c r="I1965" s="7" t="n">
        <v>1</v>
      </c>
      <c r="J1965" s="16" t="n">
        <v>200</v>
      </c>
      <c r="K1965" s="16"/>
      <c r="L1965" s="16"/>
      <c r="M1965" s="16" t="n">
        <v>200</v>
      </c>
      <c r="N1965" s="19"/>
    </row>
    <row r="1966" customFormat="false" ht="15" hidden="false" customHeight="false" outlineLevel="0" collapsed="false">
      <c r="A1966" s="13" t="s">
        <v>4955</v>
      </c>
      <c r="B1966" s="13" t="s">
        <v>107</v>
      </c>
      <c r="C1966" s="13" t="s">
        <v>43</v>
      </c>
      <c r="D1966" s="13" t="s">
        <v>2429</v>
      </c>
      <c r="E1966" s="13" t="s">
        <v>2002</v>
      </c>
      <c r="F1966" s="13" t="n">
        <v>1</v>
      </c>
      <c r="G1966" s="13" t="n">
        <v>1</v>
      </c>
      <c r="H1966" s="5" t="n">
        <v>190</v>
      </c>
      <c r="I1966" s="7" t="n">
        <v>1</v>
      </c>
      <c r="J1966" s="16" t="n">
        <v>190</v>
      </c>
      <c r="K1966" s="16"/>
      <c r="L1966" s="16"/>
      <c r="M1966" s="16" t="n">
        <v>190</v>
      </c>
      <c r="N1966" s="19"/>
    </row>
    <row r="1967" customFormat="false" ht="15" hidden="false" customHeight="false" outlineLevel="0" collapsed="false">
      <c r="A1967" s="13" t="s">
        <v>4956</v>
      </c>
      <c r="B1967" s="13" t="s">
        <v>2255</v>
      </c>
      <c r="C1967" s="13" t="s">
        <v>43</v>
      </c>
      <c r="D1967" s="13" t="s">
        <v>2324</v>
      </c>
      <c r="E1967" s="13" t="s">
        <v>4957</v>
      </c>
      <c r="F1967" s="13" t="n">
        <v>1</v>
      </c>
      <c r="G1967" s="13" t="n">
        <v>1</v>
      </c>
      <c r="H1967" s="5" t="n">
        <v>190</v>
      </c>
      <c r="I1967" s="7" t="n">
        <v>1</v>
      </c>
      <c r="J1967" s="16" t="n">
        <v>190</v>
      </c>
      <c r="K1967" s="16" t="n">
        <v>190</v>
      </c>
      <c r="L1967" s="16"/>
      <c r="M1967" s="16"/>
      <c r="N1967" s="19"/>
    </row>
    <row r="1968" customFormat="false" ht="15" hidden="false" customHeight="false" outlineLevel="0" collapsed="false">
      <c r="A1968" s="13" t="s">
        <v>4958</v>
      </c>
      <c r="B1968" s="13" t="s">
        <v>121</v>
      </c>
      <c r="C1968" s="13" t="s">
        <v>43</v>
      </c>
      <c r="D1968" s="13" t="s">
        <v>2324</v>
      </c>
      <c r="E1968" s="13" t="s">
        <v>1993</v>
      </c>
      <c r="F1968" s="13" t="n">
        <v>1</v>
      </c>
      <c r="G1968" s="13" t="n">
        <v>1</v>
      </c>
      <c r="H1968" s="5" t="n">
        <v>190</v>
      </c>
      <c r="I1968" s="7" t="n">
        <v>1</v>
      </c>
      <c r="J1968" s="16" t="n">
        <v>190</v>
      </c>
      <c r="K1968" s="16"/>
      <c r="L1968" s="16"/>
      <c r="M1968" s="16" t="n">
        <v>190</v>
      </c>
      <c r="N1968" s="19"/>
    </row>
    <row r="1969" customFormat="false" ht="15" hidden="false" customHeight="false" outlineLevel="0" collapsed="false">
      <c r="A1969" s="13" t="s">
        <v>4959</v>
      </c>
      <c r="B1969" s="13" t="s">
        <v>2290</v>
      </c>
      <c r="C1969" s="13" t="s">
        <v>85</v>
      </c>
      <c r="D1969" s="13" t="s">
        <v>2606</v>
      </c>
      <c r="E1969" s="13" t="s">
        <v>4960</v>
      </c>
      <c r="F1969" s="13" t="n">
        <v>1</v>
      </c>
      <c r="G1969" s="13" t="n">
        <v>1</v>
      </c>
      <c r="H1969" s="5" t="n">
        <v>190</v>
      </c>
      <c r="I1969" s="7" t="n">
        <v>1</v>
      </c>
      <c r="J1969" s="16" t="n">
        <v>190</v>
      </c>
      <c r="K1969" s="16"/>
      <c r="L1969" s="16"/>
      <c r="M1969" s="16" t="n">
        <v>190</v>
      </c>
      <c r="N1969" s="19"/>
    </row>
    <row r="1970" customFormat="false" ht="15" hidden="false" customHeight="false" outlineLevel="0" collapsed="false">
      <c r="A1970" s="13" t="s">
        <v>4961</v>
      </c>
      <c r="B1970" s="13" t="s">
        <v>121</v>
      </c>
      <c r="C1970" s="13" t="s">
        <v>43</v>
      </c>
      <c r="D1970" s="13" t="s">
        <v>2324</v>
      </c>
      <c r="E1970" s="13" t="s">
        <v>1998</v>
      </c>
      <c r="F1970" s="13" t="n">
        <v>1</v>
      </c>
      <c r="G1970" s="13" t="n">
        <v>1</v>
      </c>
      <c r="H1970" s="5" t="n">
        <v>190</v>
      </c>
      <c r="I1970" s="7" t="n">
        <v>1</v>
      </c>
      <c r="J1970" s="16" t="n">
        <v>190</v>
      </c>
      <c r="K1970" s="16"/>
      <c r="L1970" s="16"/>
      <c r="M1970" s="16" t="n">
        <v>190</v>
      </c>
      <c r="N1970" s="19"/>
    </row>
    <row r="1971" customFormat="false" ht="15" hidden="false" customHeight="false" outlineLevel="0" collapsed="false">
      <c r="A1971" s="13" t="s">
        <v>4962</v>
      </c>
      <c r="B1971" s="13" t="s">
        <v>2095</v>
      </c>
      <c r="C1971" s="13" t="s">
        <v>140</v>
      </c>
      <c r="D1971" s="13" t="s">
        <v>2324</v>
      </c>
      <c r="E1971" s="13" t="s">
        <v>4963</v>
      </c>
      <c r="F1971" s="13" t="n">
        <v>1</v>
      </c>
      <c r="G1971" s="13" t="n">
        <v>1</v>
      </c>
      <c r="H1971" s="5" t="n">
        <v>190</v>
      </c>
      <c r="I1971" s="7" t="n">
        <v>2</v>
      </c>
      <c r="J1971" s="16" t="n">
        <v>95</v>
      </c>
      <c r="K1971" s="16" t="n">
        <v>95</v>
      </c>
      <c r="L1971" s="16"/>
      <c r="M1971" s="16"/>
      <c r="N1971" s="19"/>
    </row>
    <row r="1972" customFormat="false" ht="15" hidden="false" customHeight="false" outlineLevel="0" collapsed="false">
      <c r="A1972" s="13" t="s">
        <v>4964</v>
      </c>
      <c r="B1972" s="13" t="s">
        <v>126</v>
      </c>
      <c r="C1972" s="13" t="s">
        <v>43</v>
      </c>
      <c r="D1972" s="13" t="s">
        <v>2455</v>
      </c>
      <c r="E1972" s="13" t="s">
        <v>2000</v>
      </c>
      <c r="F1972" s="13" t="n">
        <v>1</v>
      </c>
      <c r="G1972" s="13" t="n">
        <v>1</v>
      </c>
      <c r="H1972" s="5" t="n">
        <v>190</v>
      </c>
      <c r="I1972" s="7" t="n">
        <v>1</v>
      </c>
      <c r="J1972" s="16" t="n">
        <v>190</v>
      </c>
      <c r="K1972" s="16"/>
      <c r="L1972" s="16" t="n">
        <v>190</v>
      </c>
      <c r="M1972" s="16"/>
      <c r="N1972" s="19"/>
    </row>
    <row r="1973" customFormat="false" ht="15" hidden="false" customHeight="false" outlineLevel="0" collapsed="false">
      <c r="A1973" s="13" t="s">
        <v>4965</v>
      </c>
      <c r="B1973" s="13" t="s">
        <v>121</v>
      </c>
      <c r="C1973" s="13" t="s">
        <v>43</v>
      </c>
      <c r="D1973" s="13" t="s">
        <v>4966</v>
      </c>
      <c r="E1973" s="13" t="s">
        <v>2044</v>
      </c>
      <c r="F1973" s="13" t="n">
        <v>1</v>
      </c>
      <c r="G1973" s="13" t="n">
        <v>2</v>
      </c>
      <c r="H1973" s="5" t="n">
        <v>190</v>
      </c>
      <c r="I1973" s="7" t="n">
        <v>3</v>
      </c>
      <c r="J1973" s="16" t="n">
        <v>63.3333333333333</v>
      </c>
      <c r="K1973" s="16"/>
      <c r="L1973" s="16"/>
      <c r="M1973" s="16" t="n">
        <v>63.3333333333333</v>
      </c>
      <c r="N1973" s="19"/>
    </row>
    <row r="1974" customFormat="false" ht="15" hidden="false" customHeight="false" outlineLevel="0" collapsed="false">
      <c r="A1974" s="13" t="s">
        <v>4967</v>
      </c>
      <c r="B1974" s="13" t="s">
        <v>2187</v>
      </c>
      <c r="C1974" s="13" t="s">
        <v>183</v>
      </c>
      <c r="D1974" s="13" t="s">
        <v>2422</v>
      </c>
      <c r="E1974" s="13" t="s">
        <v>4968</v>
      </c>
      <c r="F1974" s="13" t="n">
        <v>1</v>
      </c>
      <c r="G1974" s="13" t="n">
        <v>1</v>
      </c>
      <c r="H1974" s="5" t="n">
        <v>190</v>
      </c>
      <c r="I1974" s="7" t="n">
        <v>2</v>
      </c>
      <c r="J1974" s="16" t="n">
        <v>95</v>
      </c>
      <c r="K1974" s="16" t="n">
        <v>95</v>
      </c>
      <c r="L1974" s="16"/>
      <c r="M1974" s="16"/>
      <c r="N1974" s="19"/>
    </row>
    <row r="1975" customFormat="false" ht="15" hidden="false" customHeight="false" outlineLevel="0" collapsed="false">
      <c r="A1975" s="13" t="s">
        <v>4969</v>
      </c>
      <c r="B1975" s="13" t="s">
        <v>2270</v>
      </c>
      <c r="C1975" s="13" t="s">
        <v>183</v>
      </c>
      <c r="D1975" s="13" t="s">
        <v>4970</v>
      </c>
      <c r="E1975" s="13" t="s">
        <v>4971</v>
      </c>
      <c r="F1975" s="13" t="n">
        <v>1</v>
      </c>
      <c r="G1975" s="13" t="n">
        <v>1</v>
      </c>
      <c r="H1975" s="5" t="n">
        <v>190</v>
      </c>
      <c r="I1975" s="7" t="n">
        <v>2</v>
      </c>
      <c r="J1975" s="16" t="n">
        <v>95</v>
      </c>
      <c r="K1975" s="16"/>
      <c r="L1975" s="16"/>
      <c r="M1975" s="16" t="n">
        <v>95</v>
      </c>
      <c r="N1975" s="19"/>
    </row>
    <row r="1976" customFormat="false" ht="15" hidden="false" customHeight="false" outlineLevel="0" collapsed="false">
      <c r="A1976" s="13" t="s">
        <v>4972</v>
      </c>
      <c r="B1976" s="13" t="s">
        <v>121</v>
      </c>
      <c r="C1976" s="13" t="s">
        <v>43</v>
      </c>
      <c r="D1976" s="13" t="s">
        <v>2324</v>
      </c>
      <c r="E1976" s="13" t="s">
        <v>2010</v>
      </c>
      <c r="F1976" s="13" t="n">
        <v>1</v>
      </c>
      <c r="G1976" s="13" t="n">
        <v>1</v>
      </c>
      <c r="H1976" s="5" t="n">
        <v>180</v>
      </c>
      <c r="I1976" s="7" t="n">
        <v>1</v>
      </c>
      <c r="J1976" s="16" t="n">
        <v>180</v>
      </c>
      <c r="K1976" s="16"/>
      <c r="L1976" s="16"/>
      <c r="M1976" s="16" t="n">
        <v>180</v>
      </c>
      <c r="N1976" s="19"/>
    </row>
    <row r="1977" customFormat="false" ht="15" hidden="false" customHeight="false" outlineLevel="0" collapsed="false">
      <c r="A1977" s="13" t="s">
        <v>4973</v>
      </c>
      <c r="B1977" s="13" t="s">
        <v>2114</v>
      </c>
      <c r="C1977" s="13" t="s">
        <v>140</v>
      </c>
      <c r="D1977" s="13" t="s">
        <v>2324</v>
      </c>
      <c r="E1977" s="13" t="s">
        <v>4974</v>
      </c>
      <c r="F1977" s="13" t="n">
        <v>1</v>
      </c>
      <c r="G1977" s="13" t="n">
        <v>1</v>
      </c>
      <c r="H1977" s="5" t="n">
        <v>180</v>
      </c>
      <c r="I1977" s="7" t="n">
        <v>5</v>
      </c>
      <c r="J1977" s="16" t="n">
        <v>36</v>
      </c>
      <c r="K1977" s="16" t="n">
        <v>36</v>
      </c>
      <c r="L1977" s="16"/>
      <c r="M1977" s="16"/>
      <c r="N1977" s="19"/>
    </row>
    <row r="1978" customFormat="false" ht="15" hidden="false" customHeight="false" outlineLevel="0" collapsed="false">
      <c r="A1978" s="13" t="s">
        <v>4975</v>
      </c>
      <c r="B1978" s="13" t="s">
        <v>2142</v>
      </c>
      <c r="C1978" s="13" t="s">
        <v>85</v>
      </c>
      <c r="D1978" s="13" t="s">
        <v>2324</v>
      </c>
      <c r="E1978" s="13" t="s">
        <v>4976</v>
      </c>
      <c r="F1978" s="13" t="n">
        <v>1</v>
      </c>
      <c r="G1978" s="13" t="n">
        <v>1</v>
      </c>
      <c r="H1978" s="5" t="n">
        <v>180</v>
      </c>
      <c r="I1978" s="7" t="n">
        <v>5</v>
      </c>
      <c r="J1978" s="16" t="n">
        <v>36</v>
      </c>
      <c r="K1978" s="16" t="n">
        <v>36</v>
      </c>
      <c r="L1978" s="16"/>
      <c r="M1978" s="16"/>
      <c r="N1978" s="19"/>
    </row>
    <row r="1979" customFormat="false" ht="15" hidden="false" customHeight="false" outlineLevel="0" collapsed="false">
      <c r="A1979" s="13" t="s">
        <v>4977</v>
      </c>
      <c r="B1979" s="13" t="s">
        <v>2287</v>
      </c>
      <c r="C1979" s="13" t="s">
        <v>85</v>
      </c>
      <c r="D1979" s="13" t="s">
        <v>2324</v>
      </c>
      <c r="E1979" s="13" t="s">
        <v>4978</v>
      </c>
      <c r="F1979" s="13" t="n">
        <v>1</v>
      </c>
      <c r="G1979" s="13" t="n">
        <v>1</v>
      </c>
      <c r="H1979" s="5" t="n">
        <v>180</v>
      </c>
      <c r="I1979" s="7" t="n">
        <v>5</v>
      </c>
      <c r="J1979" s="16" t="n">
        <v>36</v>
      </c>
      <c r="K1979" s="16" t="n">
        <v>36</v>
      </c>
      <c r="L1979" s="16"/>
      <c r="M1979" s="16"/>
      <c r="N1979" s="19"/>
    </row>
    <row r="1980" customFormat="false" ht="15" hidden="false" customHeight="false" outlineLevel="0" collapsed="false">
      <c r="A1980" s="13" t="s">
        <v>4979</v>
      </c>
      <c r="B1980" s="13" t="s">
        <v>2107</v>
      </c>
      <c r="C1980" s="13" t="s">
        <v>43</v>
      </c>
      <c r="D1980" s="13" t="s">
        <v>2339</v>
      </c>
      <c r="E1980" s="13" t="s">
        <v>4980</v>
      </c>
      <c r="F1980" s="13" t="n">
        <v>1</v>
      </c>
      <c r="G1980" s="13" t="n">
        <v>1</v>
      </c>
      <c r="H1980" s="5" t="n">
        <v>180</v>
      </c>
      <c r="I1980" s="7" t="n">
        <v>2</v>
      </c>
      <c r="J1980" s="16" t="n">
        <v>90</v>
      </c>
      <c r="K1980" s="16" t="n">
        <v>90</v>
      </c>
      <c r="L1980" s="16"/>
      <c r="M1980" s="16"/>
      <c r="N1980" s="19"/>
    </row>
    <row r="1981" customFormat="false" ht="15" hidden="false" customHeight="false" outlineLevel="0" collapsed="false">
      <c r="A1981" s="13" t="s">
        <v>4981</v>
      </c>
      <c r="B1981" s="13" t="s">
        <v>2164</v>
      </c>
      <c r="C1981" s="13" t="s">
        <v>85</v>
      </c>
      <c r="D1981" s="13" t="s">
        <v>2339</v>
      </c>
      <c r="E1981" s="13" t="s">
        <v>4982</v>
      </c>
      <c r="F1981" s="13" t="n">
        <v>1</v>
      </c>
      <c r="G1981" s="13" t="n">
        <v>1</v>
      </c>
      <c r="H1981" s="5" t="n">
        <v>180</v>
      </c>
      <c r="I1981" s="7" t="n">
        <v>1</v>
      </c>
      <c r="J1981" s="16" t="n">
        <v>180</v>
      </c>
      <c r="K1981" s="16"/>
      <c r="L1981" s="16"/>
      <c r="M1981" s="16" t="n">
        <v>180</v>
      </c>
      <c r="N1981" s="19"/>
    </row>
    <row r="1982" customFormat="false" ht="15" hidden="false" customHeight="false" outlineLevel="0" collapsed="false">
      <c r="A1982" s="13" t="s">
        <v>4983</v>
      </c>
      <c r="B1982" s="13" t="s">
        <v>121</v>
      </c>
      <c r="C1982" s="13" t="s">
        <v>183</v>
      </c>
      <c r="D1982" s="13" t="s">
        <v>2324</v>
      </c>
      <c r="E1982" s="13" t="s">
        <v>2004</v>
      </c>
      <c r="F1982" s="13" t="n">
        <v>1</v>
      </c>
      <c r="G1982" s="13" t="n">
        <v>1</v>
      </c>
      <c r="H1982" s="5" t="n">
        <v>180</v>
      </c>
      <c r="I1982" s="7" t="n">
        <v>2</v>
      </c>
      <c r="J1982" s="16" t="n">
        <v>90</v>
      </c>
      <c r="K1982" s="16"/>
      <c r="L1982" s="16"/>
      <c r="M1982" s="16" t="n">
        <v>90</v>
      </c>
      <c r="N1982" s="19"/>
    </row>
    <row r="1983" customFormat="false" ht="15" hidden="false" customHeight="false" outlineLevel="0" collapsed="false">
      <c r="A1983" s="13" t="s">
        <v>4984</v>
      </c>
      <c r="B1983" s="13" t="s">
        <v>2255</v>
      </c>
      <c r="C1983" s="13" t="s">
        <v>43</v>
      </c>
      <c r="D1983" s="13" t="s">
        <v>2324</v>
      </c>
      <c r="E1983" s="13" t="s">
        <v>4985</v>
      </c>
      <c r="F1983" s="13" t="n">
        <v>1</v>
      </c>
      <c r="G1983" s="13" t="n">
        <v>1</v>
      </c>
      <c r="H1983" s="5" t="n">
        <v>180</v>
      </c>
      <c r="I1983" s="7" t="n">
        <v>1</v>
      </c>
      <c r="J1983" s="16" t="n">
        <v>180</v>
      </c>
      <c r="K1983" s="16" t="n">
        <v>180</v>
      </c>
      <c r="L1983" s="16"/>
      <c r="M1983" s="16"/>
      <c r="N1983" s="19"/>
    </row>
    <row r="1984" customFormat="false" ht="15" hidden="false" customHeight="false" outlineLevel="0" collapsed="false">
      <c r="A1984" s="13" t="s">
        <v>4986</v>
      </c>
      <c r="B1984" s="13" t="s">
        <v>630</v>
      </c>
      <c r="C1984" s="13" t="s">
        <v>43</v>
      </c>
      <c r="D1984" s="13" t="s">
        <v>2324</v>
      </c>
      <c r="E1984" s="13" t="s">
        <v>2005</v>
      </c>
      <c r="F1984" s="13" t="n">
        <v>1</v>
      </c>
      <c r="G1984" s="13" t="n">
        <v>1</v>
      </c>
      <c r="H1984" s="5" t="n">
        <v>180</v>
      </c>
      <c r="I1984" s="7" t="n">
        <v>1</v>
      </c>
      <c r="J1984" s="16" t="n">
        <v>180</v>
      </c>
      <c r="K1984" s="16"/>
      <c r="L1984" s="16"/>
      <c r="M1984" s="16" t="n">
        <v>180</v>
      </c>
      <c r="N1984" s="19"/>
    </row>
    <row r="1985" customFormat="false" ht="15" hidden="false" customHeight="false" outlineLevel="0" collapsed="false">
      <c r="A1985" s="13" t="s">
        <v>4987</v>
      </c>
      <c r="B1985" s="13" t="s">
        <v>121</v>
      </c>
      <c r="C1985" s="13" t="s">
        <v>183</v>
      </c>
      <c r="D1985" s="13" t="s">
        <v>2324</v>
      </c>
      <c r="E1985" s="13" t="s">
        <v>2008</v>
      </c>
      <c r="F1985" s="13" t="n">
        <v>1</v>
      </c>
      <c r="G1985" s="13" t="n">
        <v>1</v>
      </c>
      <c r="H1985" s="5" t="n">
        <v>180</v>
      </c>
      <c r="I1985" s="7" t="n">
        <v>2</v>
      </c>
      <c r="J1985" s="16" t="n">
        <v>90</v>
      </c>
      <c r="K1985" s="16"/>
      <c r="L1985" s="16"/>
      <c r="M1985" s="16" t="n">
        <v>90</v>
      </c>
      <c r="N1985" s="19"/>
    </row>
    <row r="1986" customFormat="false" ht="15" hidden="false" customHeight="false" outlineLevel="0" collapsed="false">
      <c r="A1986" s="13" t="s">
        <v>4988</v>
      </c>
      <c r="B1986" s="13" t="s">
        <v>107</v>
      </c>
      <c r="C1986" s="13" t="s">
        <v>43</v>
      </c>
      <c r="D1986" s="13" t="s">
        <v>2324</v>
      </c>
      <c r="E1986" s="13" t="s">
        <v>2053</v>
      </c>
      <c r="F1986" s="13" t="n">
        <v>1</v>
      </c>
      <c r="G1986" s="13" t="n">
        <v>2</v>
      </c>
      <c r="H1986" s="5" t="n">
        <v>180</v>
      </c>
      <c r="I1986" s="7" t="n">
        <v>4</v>
      </c>
      <c r="J1986" s="16" t="n">
        <v>45</v>
      </c>
      <c r="K1986" s="16"/>
      <c r="L1986" s="16"/>
      <c r="M1986" s="16" t="n">
        <v>45</v>
      </c>
      <c r="N1986" s="19"/>
    </row>
    <row r="1987" customFormat="false" ht="15" hidden="false" customHeight="false" outlineLevel="0" collapsed="false">
      <c r="A1987" s="13" t="s">
        <v>4989</v>
      </c>
      <c r="B1987" s="13" t="s">
        <v>2265</v>
      </c>
      <c r="C1987" s="13" t="s">
        <v>85</v>
      </c>
      <c r="D1987" s="13" t="s">
        <v>2324</v>
      </c>
      <c r="E1987" s="13" t="s">
        <v>4990</v>
      </c>
      <c r="F1987" s="13" t="n">
        <v>1</v>
      </c>
      <c r="G1987" s="13" t="n">
        <v>1</v>
      </c>
      <c r="H1987" s="5" t="n">
        <v>180</v>
      </c>
      <c r="I1987" s="7" t="n">
        <v>5</v>
      </c>
      <c r="J1987" s="16" t="n">
        <v>36</v>
      </c>
      <c r="K1987" s="16" t="n">
        <v>36</v>
      </c>
      <c r="L1987" s="16"/>
      <c r="M1987" s="16"/>
      <c r="N1987" s="19"/>
    </row>
    <row r="1988" customFormat="false" ht="15" hidden="false" customHeight="false" outlineLevel="0" collapsed="false">
      <c r="A1988" s="13" t="s">
        <v>4991</v>
      </c>
      <c r="B1988" s="13" t="s">
        <v>2155</v>
      </c>
      <c r="C1988" s="13" t="s">
        <v>85</v>
      </c>
      <c r="D1988" s="13" t="s">
        <v>2324</v>
      </c>
      <c r="E1988" s="13" t="s">
        <v>4992</v>
      </c>
      <c r="F1988" s="13" t="n">
        <v>1</v>
      </c>
      <c r="G1988" s="13" t="n">
        <v>1</v>
      </c>
      <c r="H1988" s="5" t="n">
        <v>180</v>
      </c>
      <c r="I1988" s="7" t="n">
        <v>1</v>
      </c>
      <c r="J1988" s="16" t="n">
        <v>180</v>
      </c>
      <c r="K1988" s="16"/>
      <c r="L1988" s="16"/>
      <c r="M1988" s="16" t="n">
        <v>180</v>
      </c>
      <c r="N1988" s="19"/>
    </row>
    <row r="1989" customFormat="false" ht="15" hidden="false" customHeight="false" outlineLevel="0" collapsed="false">
      <c r="A1989" s="13" t="s">
        <v>4993</v>
      </c>
      <c r="B1989" s="13" t="s">
        <v>2142</v>
      </c>
      <c r="C1989" s="13" t="s">
        <v>85</v>
      </c>
      <c r="D1989" s="13" t="s">
        <v>3557</v>
      </c>
      <c r="E1989" s="13" t="s">
        <v>4994</v>
      </c>
      <c r="F1989" s="13" t="n">
        <v>1</v>
      </c>
      <c r="G1989" s="13" t="n">
        <v>1</v>
      </c>
      <c r="H1989" s="5" t="n">
        <v>180</v>
      </c>
      <c r="I1989" s="7" t="n">
        <v>2</v>
      </c>
      <c r="J1989" s="16" t="n">
        <v>90</v>
      </c>
      <c r="K1989" s="16" t="n">
        <v>90</v>
      </c>
      <c r="L1989" s="16"/>
      <c r="M1989" s="16"/>
      <c r="N1989" s="19"/>
    </row>
    <row r="1990" customFormat="false" ht="15" hidden="false" customHeight="false" outlineLevel="0" collapsed="false">
      <c r="A1990" s="13" t="s">
        <v>4995</v>
      </c>
      <c r="B1990" s="13" t="s">
        <v>2255</v>
      </c>
      <c r="C1990" s="13" t="s">
        <v>43</v>
      </c>
      <c r="D1990" s="13" t="s">
        <v>2324</v>
      </c>
      <c r="E1990" s="13" t="s">
        <v>4996</v>
      </c>
      <c r="F1990" s="13" t="n">
        <v>1</v>
      </c>
      <c r="G1990" s="13" t="n">
        <v>1</v>
      </c>
      <c r="H1990" s="5" t="n">
        <v>180</v>
      </c>
      <c r="I1990" s="7" t="n">
        <v>1</v>
      </c>
      <c r="J1990" s="16" t="n">
        <v>180</v>
      </c>
      <c r="K1990" s="16" t="n">
        <v>180</v>
      </c>
      <c r="L1990" s="16"/>
      <c r="M1990" s="16"/>
      <c r="N1990" s="19"/>
    </row>
    <row r="1991" customFormat="false" ht="15" hidden="false" customHeight="false" outlineLevel="0" collapsed="false">
      <c r="A1991" s="13" t="s">
        <v>4997</v>
      </c>
      <c r="B1991" s="13" t="s">
        <v>2255</v>
      </c>
      <c r="C1991" s="13" t="s">
        <v>43</v>
      </c>
      <c r="D1991" s="13" t="s">
        <v>2324</v>
      </c>
      <c r="E1991" s="13" t="s">
        <v>4998</v>
      </c>
      <c r="F1991" s="13" t="n">
        <v>1</v>
      </c>
      <c r="G1991" s="13" t="n">
        <v>1</v>
      </c>
      <c r="H1991" s="5" t="n">
        <v>180</v>
      </c>
      <c r="I1991" s="7" t="n">
        <v>1</v>
      </c>
      <c r="J1991" s="16" t="n">
        <v>180</v>
      </c>
      <c r="K1991" s="16" t="n">
        <v>180</v>
      </c>
      <c r="L1991" s="16"/>
      <c r="M1991" s="16"/>
      <c r="N1991" s="19"/>
    </row>
    <row r="1992" customFormat="false" ht="15" hidden="false" customHeight="false" outlineLevel="0" collapsed="false">
      <c r="A1992" s="13" t="s">
        <v>4999</v>
      </c>
      <c r="B1992" s="13" t="s">
        <v>2253</v>
      </c>
      <c r="C1992" s="13" t="s">
        <v>85</v>
      </c>
      <c r="D1992" s="13" t="s">
        <v>2324</v>
      </c>
      <c r="E1992" s="13" t="s">
        <v>5000</v>
      </c>
      <c r="F1992" s="13" t="n">
        <v>1</v>
      </c>
      <c r="G1992" s="13" t="n">
        <v>1</v>
      </c>
      <c r="H1992" s="5" t="n">
        <v>170</v>
      </c>
      <c r="I1992" s="7" t="n">
        <v>1</v>
      </c>
      <c r="J1992" s="16" t="n">
        <v>170</v>
      </c>
      <c r="K1992" s="16"/>
      <c r="L1992" s="16"/>
      <c r="M1992" s="16" t="n">
        <v>170</v>
      </c>
      <c r="N1992" s="19"/>
    </row>
    <row r="1993" customFormat="false" ht="15" hidden="false" customHeight="false" outlineLevel="0" collapsed="false">
      <c r="A1993" s="13" t="s">
        <v>5001</v>
      </c>
      <c r="B1993" s="13" t="s">
        <v>2099</v>
      </c>
      <c r="C1993" s="13" t="s">
        <v>43</v>
      </c>
      <c r="D1993" s="13" t="s">
        <v>2324</v>
      </c>
      <c r="E1993" s="13" t="s">
        <v>5002</v>
      </c>
      <c r="F1993" s="13" t="n">
        <v>1</v>
      </c>
      <c r="G1993" s="13" t="n">
        <v>1</v>
      </c>
      <c r="H1993" s="5" t="n">
        <v>170</v>
      </c>
      <c r="I1993" s="7" t="n">
        <v>2</v>
      </c>
      <c r="J1993" s="16" t="n">
        <v>85</v>
      </c>
      <c r="K1993" s="16" t="n">
        <v>85</v>
      </c>
      <c r="L1993" s="16"/>
      <c r="M1993" s="16"/>
      <c r="N1993" s="19"/>
    </row>
    <row r="1994" customFormat="false" ht="15" hidden="false" customHeight="false" outlineLevel="0" collapsed="false">
      <c r="A1994" s="13" t="s">
        <v>5003</v>
      </c>
      <c r="B1994" s="13" t="s">
        <v>2271</v>
      </c>
      <c r="C1994" s="13" t="s">
        <v>43</v>
      </c>
      <c r="D1994" s="13" t="s">
        <v>2324</v>
      </c>
      <c r="E1994" s="13" t="s">
        <v>5004</v>
      </c>
      <c r="F1994" s="13" t="n">
        <v>1</v>
      </c>
      <c r="G1994" s="13" t="n">
        <v>1</v>
      </c>
      <c r="H1994" s="5" t="n">
        <v>170</v>
      </c>
      <c r="I1994" s="7" t="n">
        <v>1</v>
      </c>
      <c r="J1994" s="16" t="n">
        <v>170</v>
      </c>
      <c r="K1994" s="16"/>
      <c r="L1994" s="16"/>
      <c r="M1994" s="16" t="n">
        <v>170</v>
      </c>
      <c r="N1994" s="19"/>
    </row>
    <row r="1995" customFormat="false" ht="15" hidden="false" customHeight="false" outlineLevel="0" collapsed="false">
      <c r="A1995" s="13" t="s">
        <v>5005</v>
      </c>
      <c r="B1995" s="13" t="s">
        <v>121</v>
      </c>
      <c r="C1995" s="13" t="s">
        <v>43</v>
      </c>
      <c r="D1995" s="13" t="s">
        <v>2324</v>
      </c>
      <c r="E1995" s="13" t="s">
        <v>2018</v>
      </c>
      <c r="F1995" s="13" t="n">
        <v>1</v>
      </c>
      <c r="G1995" s="13" t="n">
        <v>1</v>
      </c>
      <c r="H1995" s="5" t="n">
        <v>170</v>
      </c>
      <c r="I1995" s="7" t="n">
        <v>1</v>
      </c>
      <c r="J1995" s="16" t="n">
        <v>170</v>
      </c>
      <c r="K1995" s="16"/>
      <c r="L1995" s="16"/>
      <c r="M1995" s="16" t="n">
        <v>170</v>
      </c>
      <c r="N1995" s="19"/>
    </row>
    <row r="1996" customFormat="false" ht="15" hidden="false" customHeight="false" outlineLevel="0" collapsed="false">
      <c r="A1996" s="13" t="s">
        <v>5006</v>
      </c>
      <c r="B1996" s="13" t="s">
        <v>2108</v>
      </c>
      <c r="C1996" s="13" t="s">
        <v>85</v>
      </c>
      <c r="D1996" s="13" t="s">
        <v>2324</v>
      </c>
      <c r="E1996" s="13" t="s">
        <v>5007</v>
      </c>
      <c r="F1996" s="13" t="n">
        <v>1</v>
      </c>
      <c r="G1996" s="13" t="n">
        <v>1</v>
      </c>
      <c r="H1996" s="5" t="n">
        <v>170</v>
      </c>
      <c r="I1996" s="7" t="n">
        <v>1</v>
      </c>
      <c r="J1996" s="16" t="n">
        <v>170</v>
      </c>
      <c r="K1996" s="16" t="n">
        <v>170</v>
      </c>
      <c r="L1996" s="16"/>
      <c r="M1996" s="16"/>
      <c r="N1996" s="19"/>
    </row>
    <row r="1997" customFormat="false" ht="15" hidden="false" customHeight="false" outlineLevel="0" collapsed="false">
      <c r="A1997" s="13" t="s">
        <v>5008</v>
      </c>
      <c r="B1997" s="13" t="s">
        <v>121</v>
      </c>
      <c r="C1997" s="13" t="s">
        <v>43</v>
      </c>
      <c r="D1997" s="13" t="s">
        <v>2324</v>
      </c>
      <c r="E1997" s="13" t="s">
        <v>2019</v>
      </c>
      <c r="F1997" s="13" t="n">
        <v>1</v>
      </c>
      <c r="G1997" s="13" t="n">
        <v>1</v>
      </c>
      <c r="H1997" s="5" t="n">
        <v>170</v>
      </c>
      <c r="I1997" s="7" t="n">
        <v>1</v>
      </c>
      <c r="J1997" s="16" t="n">
        <v>170</v>
      </c>
      <c r="K1997" s="16"/>
      <c r="L1997" s="16"/>
      <c r="M1997" s="16" t="n">
        <v>170</v>
      </c>
      <c r="N1997" s="19"/>
    </row>
    <row r="1998" customFormat="false" ht="15" hidden="false" customHeight="false" outlineLevel="0" collapsed="false">
      <c r="A1998" s="13" t="s">
        <v>5009</v>
      </c>
      <c r="B1998" s="13" t="s">
        <v>2139</v>
      </c>
      <c r="C1998" s="13" t="s">
        <v>85</v>
      </c>
      <c r="D1998" s="13" t="s">
        <v>2324</v>
      </c>
      <c r="E1998" s="13" t="s">
        <v>5010</v>
      </c>
      <c r="F1998" s="13" t="n">
        <v>1</v>
      </c>
      <c r="G1998" s="13" t="n">
        <v>1</v>
      </c>
      <c r="H1998" s="5" t="n">
        <v>170</v>
      </c>
      <c r="I1998" s="7" t="n">
        <v>1</v>
      </c>
      <c r="J1998" s="16" t="n">
        <v>170</v>
      </c>
      <c r="K1998" s="16"/>
      <c r="L1998" s="16"/>
      <c r="M1998" s="16" t="n">
        <v>170</v>
      </c>
      <c r="N1998" s="19"/>
    </row>
    <row r="1999" customFormat="false" ht="15" hidden="false" customHeight="false" outlineLevel="0" collapsed="false">
      <c r="A1999" s="13" t="s">
        <v>5011</v>
      </c>
      <c r="B1999" s="13" t="s">
        <v>2139</v>
      </c>
      <c r="C1999" s="13" t="s">
        <v>85</v>
      </c>
      <c r="D1999" s="13" t="s">
        <v>2324</v>
      </c>
      <c r="E1999" s="13" t="s">
        <v>5012</v>
      </c>
      <c r="F1999" s="13" t="n">
        <v>1</v>
      </c>
      <c r="G1999" s="13" t="n">
        <v>1</v>
      </c>
      <c r="H1999" s="5" t="n">
        <v>170</v>
      </c>
      <c r="I1999" s="7" t="n">
        <v>1</v>
      </c>
      <c r="J1999" s="16" t="n">
        <v>170</v>
      </c>
      <c r="K1999" s="16"/>
      <c r="L1999" s="16"/>
      <c r="M1999" s="16" t="n">
        <v>170</v>
      </c>
      <c r="N1999" s="19"/>
    </row>
    <row r="2000" customFormat="false" ht="15" hidden="false" customHeight="false" outlineLevel="0" collapsed="false">
      <c r="A2000" s="13" t="s">
        <v>5013</v>
      </c>
      <c r="B2000" s="13" t="s">
        <v>2155</v>
      </c>
      <c r="C2000" s="13" t="s">
        <v>85</v>
      </c>
      <c r="D2000" s="13" t="s">
        <v>2324</v>
      </c>
      <c r="E2000" s="13" t="s">
        <v>5014</v>
      </c>
      <c r="F2000" s="13" t="n">
        <v>1</v>
      </c>
      <c r="G2000" s="13" t="n">
        <v>1</v>
      </c>
      <c r="H2000" s="5" t="n">
        <v>170</v>
      </c>
      <c r="I2000" s="7" t="n">
        <v>1</v>
      </c>
      <c r="J2000" s="16" t="n">
        <v>170</v>
      </c>
      <c r="K2000" s="16"/>
      <c r="L2000" s="16"/>
      <c r="M2000" s="16" t="n">
        <v>170</v>
      </c>
      <c r="N2000" s="19"/>
    </row>
    <row r="2001" customFormat="false" ht="15" hidden="false" customHeight="false" outlineLevel="0" collapsed="false">
      <c r="A2001" s="13" t="s">
        <v>5015</v>
      </c>
      <c r="B2001" s="13" t="s">
        <v>2155</v>
      </c>
      <c r="C2001" s="13" t="s">
        <v>85</v>
      </c>
      <c r="D2001" s="13" t="s">
        <v>2324</v>
      </c>
      <c r="E2001" s="13" t="s">
        <v>5016</v>
      </c>
      <c r="F2001" s="13" t="n">
        <v>1</v>
      </c>
      <c r="G2001" s="13" t="n">
        <v>1</v>
      </c>
      <c r="H2001" s="5" t="n">
        <v>170</v>
      </c>
      <c r="I2001" s="7" t="n">
        <v>1</v>
      </c>
      <c r="J2001" s="16" t="n">
        <v>170</v>
      </c>
      <c r="K2001" s="16"/>
      <c r="L2001" s="16"/>
      <c r="M2001" s="16" t="n">
        <v>170</v>
      </c>
      <c r="N2001" s="19"/>
    </row>
    <row r="2002" customFormat="false" ht="15" hidden="false" customHeight="false" outlineLevel="0" collapsed="false">
      <c r="A2002" s="13" t="s">
        <v>5017</v>
      </c>
      <c r="B2002" s="13" t="s">
        <v>2150</v>
      </c>
      <c r="C2002" s="13" t="s">
        <v>43</v>
      </c>
      <c r="D2002" s="13" t="s">
        <v>2324</v>
      </c>
      <c r="E2002" s="13" t="s">
        <v>4019</v>
      </c>
      <c r="F2002" s="13" t="n">
        <v>1</v>
      </c>
      <c r="G2002" s="13" t="n">
        <v>1</v>
      </c>
      <c r="H2002" s="5" t="n">
        <v>170</v>
      </c>
      <c r="I2002" s="7" t="n">
        <v>1</v>
      </c>
      <c r="J2002" s="16" t="n">
        <v>170</v>
      </c>
      <c r="K2002" s="16"/>
      <c r="L2002" s="16"/>
      <c r="M2002" s="16" t="n">
        <v>170</v>
      </c>
      <c r="N2002" s="19"/>
    </row>
    <row r="2003" customFormat="false" ht="15" hidden="false" customHeight="false" outlineLevel="0" collapsed="false">
      <c r="A2003" s="13" t="s">
        <v>5018</v>
      </c>
      <c r="B2003" s="13" t="s">
        <v>59</v>
      </c>
      <c r="C2003" s="13" t="s">
        <v>43</v>
      </c>
      <c r="D2003" s="13" t="s">
        <v>2324</v>
      </c>
      <c r="E2003" s="13" t="s">
        <v>2013</v>
      </c>
      <c r="F2003" s="13" t="n">
        <v>1</v>
      </c>
      <c r="G2003" s="13" t="n">
        <v>1</v>
      </c>
      <c r="H2003" s="5" t="n">
        <v>170</v>
      </c>
      <c r="I2003" s="7" t="n">
        <v>1</v>
      </c>
      <c r="J2003" s="16" t="n">
        <v>170</v>
      </c>
      <c r="K2003" s="16"/>
      <c r="L2003" s="16"/>
      <c r="M2003" s="16" t="n">
        <v>170</v>
      </c>
      <c r="N2003" s="19"/>
    </row>
    <row r="2004" customFormat="false" ht="15" hidden="false" customHeight="false" outlineLevel="0" collapsed="false">
      <c r="A2004" s="13" t="s">
        <v>5019</v>
      </c>
      <c r="B2004" s="13" t="s">
        <v>2291</v>
      </c>
      <c r="C2004" s="13" t="s">
        <v>85</v>
      </c>
      <c r="D2004" s="13" t="s">
        <v>2324</v>
      </c>
      <c r="E2004" s="13" t="s">
        <v>5020</v>
      </c>
      <c r="F2004" s="13" t="n">
        <v>1</v>
      </c>
      <c r="G2004" s="13" t="n">
        <v>1</v>
      </c>
      <c r="H2004" s="5" t="n">
        <v>160</v>
      </c>
      <c r="I2004" s="7" t="n">
        <v>5</v>
      </c>
      <c r="J2004" s="16" t="n">
        <v>32</v>
      </c>
      <c r="K2004" s="16" t="n">
        <v>32</v>
      </c>
      <c r="L2004" s="16"/>
      <c r="M2004" s="16"/>
      <c r="N2004" s="19"/>
    </row>
    <row r="2005" customFormat="false" ht="15" hidden="false" customHeight="false" outlineLevel="0" collapsed="false">
      <c r="A2005" s="13" t="s">
        <v>5021</v>
      </c>
      <c r="B2005" s="13" t="s">
        <v>2155</v>
      </c>
      <c r="C2005" s="13" t="s">
        <v>85</v>
      </c>
      <c r="D2005" s="13" t="s">
        <v>2324</v>
      </c>
      <c r="E2005" s="13" t="s">
        <v>5022</v>
      </c>
      <c r="F2005" s="13" t="n">
        <v>1</v>
      </c>
      <c r="G2005" s="13" t="n">
        <v>1</v>
      </c>
      <c r="H2005" s="5" t="n">
        <v>160</v>
      </c>
      <c r="I2005" s="7" t="n">
        <v>1</v>
      </c>
      <c r="J2005" s="16" t="n">
        <v>160</v>
      </c>
      <c r="K2005" s="16"/>
      <c r="L2005" s="16"/>
      <c r="M2005" s="16" t="n">
        <v>160</v>
      </c>
      <c r="N2005" s="19"/>
    </row>
    <row r="2006" customFormat="false" ht="15" hidden="false" customHeight="false" outlineLevel="0" collapsed="false">
      <c r="A2006" s="13" t="s">
        <v>5023</v>
      </c>
      <c r="B2006" s="13" t="s">
        <v>630</v>
      </c>
      <c r="C2006" s="13" t="s">
        <v>43</v>
      </c>
      <c r="D2006" s="13" t="s">
        <v>2324</v>
      </c>
      <c r="E2006" s="13" t="s">
        <v>695</v>
      </c>
      <c r="F2006" s="13" t="n">
        <v>1</v>
      </c>
      <c r="G2006" s="13" t="n">
        <v>1</v>
      </c>
      <c r="H2006" s="5" t="n">
        <v>160</v>
      </c>
      <c r="I2006" s="7" t="n">
        <v>1</v>
      </c>
      <c r="J2006" s="16" t="n">
        <v>160</v>
      </c>
      <c r="K2006" s="16"/>
      <c r="L2006" s="16"/>
      <c r="M2006" s="16" t="n">
        <v>160</v>
      </c>
      <c r="N2006" s="19"/>
    </row>
    <row r="2007" customFormat="false" ht="15" hidden="false" customHeight="false" outlineLevel="0" collapsed="false">
      <c r="A2007" s="13" t="s">
        <v>5024</v>
      </c>
      <c r="B2007" s="13" t="s">
        <v>2192</v>
      </c>
      <c r="C2007" s="13" t="s">
        <v>85</v>
      </c>
      <c r="D2007" s="13" t="s">
        <v>2324</v>
      </c>
      <c r="E2007" s="13" t="s">
        <v>5025</v>
      </c>
      <c r="F2007" s="13" t="n">
        <v>1</v>
      </c>
      <c r="G2007" s="13" t="n">
        <v>1</v>
      </c>
      <c r="H2007" s="5" t="n">
        <v>160</v>
      </c>
      <c r="I2007" s="7" t="n">
        <v>1</v>
      </c>
      <c r="J2007" s="16" t="n">
        <v>160</v>
      </c>
      <c r="K2007" s="16"/>
      <c r="L2007" s="16"/>
      <c r="M2007" s="16" t="n">
        <v>160</v>
      </c>
      <c r="N2007" s="19"/>
    </row>
    <row r="2008" customFormat="false" ht="15" hidden="false" customHeight="false" outlineLevel="0" collapsed="false">
      <c r="A2008" s="13" t="s">
        <v>5026</v>
      </c>
      <c r="B2008" s="13" t="s">
        <v>2108</v>
      </c>
      <c r="C2008" s="13" t="s">
        <v>85</v>
      </c>
      <c r="D2008" s="13" t="s">
        <v>2324</v>
      </c>
      <c r="E2008" s="13" t="s">
        <v>5027</v>
      </c>
      <c r="F2008" s="13" t="n">
        <v>1</v>
      </c>
      <c r="G2008" s="13" t="n">
        <v>1</v>
      </c>
      <c r="H2008" s="5" t="n">
        <v>160</v>
      </c>
      <c r="I2008" s="7" t="n">
        <v>2</v>
      </c>
      <c r="J2008" s="16" t="n">
        <v>80</v>
      </c>
      <c r="K2008" s="16" t="n">
        <v>80</v>
      </c>
      <c r="L2008" s="16"/>
      <c r="M2008" s="16"/>
      <c r="N2008" s="19"/>
    </row>
    <row r="2009" customFormat="false" ht="15" hidden="false" customHeight="false" outlineLevel="0" collapsed="false">
      <c r="A2009" s="13" t="s">
        <v>5028</v>
      </c>
      <c r="B2009" s="13" t="s">
        <v>2171</v>
      </c>
      <c r="C2009" s="13" t="s">
        <v>85</v>
      </c>
      <c r="D2009" s="13" t="s">
        <v>2324</v>
      </c>
      <c r="E2009" s="13" t="s">
        <v>5029</v>
      </c>
      <c r="F2009" s="13" t="n">
        <v>1</v>
      </c>
      <c r="G2009" s="13" t="n">
        <v>1</v>
      </c>
      <c r="H2009" s="5" t="n">
        <v>160</v>
      </c>
      <c r="I2009" s="7" t="n">
        <v>1</v>
      </c>
      <c r="J2009" s="16" t="n">
        <v>160</v>
      </c>
      <c r="K2009" s="16"/>
      <c r="L2009" s="16"/>
      <c r="M2009" s="16" t="n">
        <v>160</v>
      </c>
      <c r="N2009" s="19"/>
    </row>
    <row r="2010" customFormat="false" ht="15" hidden="false" customHeight="false" outlineLevel="0" collapsed="false">
      <c r="A2010" s="13" t="s">
        <v>5030</v>
      </c>
      <c r="B2010" s="13" t="s">
        <v>2236</v>
      </c>
      <c r="C2010" s="13" t="s">
        <v>43</v>
      </c>
      <c r="D2010" s="13" t="s">
        <v>2422</v>
      </c>
      <c r="E2010" s="13" t="s">
        <v>5031</v>
      </c>
      <c r="F2010" s="13" t="n">
        <v>1</v>
      </c>
      <c r="G2010" s="13" t="n">
        <v>1</v>
      </c>
      <c r="H2010" s="5" t="n">
        <v>160</v>
      </c>
      <c r="I2010" s="7" t="n">
        <v>1</v>
      </c>
      <c r="J2010" s="16" t="n">
        <v>160</v>
      </c>
      <c r="K2010" s="16"/>
      <c r="L2010" s="16"/>
      <c r="M2010" s="16" t="n">
        <v>160</v>
      </c>
      <c r="N2010" s="19"/>
    </row>
    <row r="2011" customFormat="false" ht="15" hidden="false" customHeight="false" outlineLevel="0" collapsed="false">
      <c r="A2011" s="13" t="s">
        <v>5032</v>
      </c>
      <c r="B2011" s="13" t="s">
        <v>2265</v>
      </c>
      <c r="C2011" s="13" t="s">
        <v>85</v>
      </c>
      <c r="D2011" s="13" t="s">
        <v>3228</v>
      </c>
      <c r="E2011" s="13" t="s">
        <v>5033</v>
      </c>
      <c r="F2011" s="13" t="n">
        <v>1</v>
      </c>
      <c r="G2011" s="13" t="n">
        <v>1</v>
      </c>
      <c r="H2011" s="5" t="n">
        <v>160</v>
      </c>
      <c r="I2011" s="7" t="n">
        <v>2</v>
      </c>
      <c r="J2011" s="16" t="n">
        <v>80</v>
      </c>
      <c r="K2011" s="16" t="n">
        <v>80</v>
      </c>
      <c r="L2011" s="16"/>
      <c r="M2011" s="16"/>
      <c r="N2011" s="19"/>
    </row>
    <row r="2012" customFormat="false" ht="15" hidden="false" customHeight="false" outlineLevel="0" collapsed="false">
      <c r="A2012" s="13" t="s">
        <v>5034</v>
      </c>
      <c r="B2012" s="13" t="s">
        <v>2215</v>
      </c>
      <c r="C2012" s="13" t="s">
        <v>183</v>
      </c>
      <c r="D2012" s="13" t="s">
        <v>2324</v>
      </c>
      <c r="E2012" s="13" t="s">
        <v>5035</v>
      </c>
      <c r="F2012" s="13" t="n">
        <v>1</v>
      </c>
      <c r="G2012" s="13" t="n">
        <v>1</v>
      </c>
      <c r="H2012" s="5" t="n">
        <v>160</v>
      </c>
      <c r="I2012" s="7" t="n">
        <v>1</v>
      </c>
      <c r="J2012" s="16" t="n">
        <v>160</v>
      </c>
      <c r="K2012" s="16"/>
      <c r="L2012" s="16"/>
      <c r="M2012" s="16" t="n">
        <v>160</v>
      </c>
      <c r="N2012" s="19"/>
    </row>
    <row r="2013" customFormat="false" ht="15" hidden="false" customHeight="false" outlineLevel="0" collapsed="false">
      <c r="A2013" s="13" t="s">
        <v>5036</v>
      </c>
      <c r="B2013" s="13" t="s">
        <v>255</v>
      </c>
      <c r="C2013" s="13" t="s">
        <v>43</v>
      </c>
      <c r="D2013" s="13" t="s">
        <v>2339</v>
      </c>
      <c r="E2013" s="13" t="s">
        <v>2028</v>
      </c>
      <c r="F2013" s="13" t="n">
        <v>1</v>
      </c>
      <c r="G2013" s="13" t="n">
        <v>1</v>
      </c>
      <c r="H2013" s="5" t="n">
        <v>160</v>
      </c>
      <c r="I2013" s="7" t="n">
        <v>1</v>
      </c>
      <c r="J2013" s="16" t="n">
        <v>160</v>
      </c>
      <c r="K2013" s="16" t="n">
        <v>160</v>
      </c>
      <c r="L2013" s="16"/>
      <c r="M2013" s="16"/>
      <c r="N2013" s="19"/>
    </row>
    <row r="2014" customFormat="false" ht="15" hidden="false" customHeight="false" outlineLevel="0" collapsed="false">
      <c r="A2014" s="13" t="s">
        <v>5037</v>
      </c>
      <c r="B2014" s="13" t="s">
        <v>103</v>
      </c>
      <c r="C2014" s="13" t="s">
        <v>43</v>
      </c>
      <c r="D2014" s="13" t="s">
        <v>2324</v>
      </c>
      <c r="E2014" s="13" t="s">
        <v>1102</v>
      </c>
      <c r="F2014" s="13" t="n">
        <v>1</v>
      </c>
      <c r="G2014" s="13" t="n">
        <v>1</v>
      </c>
      <c r="H2014" s="5" t="n">
        <v>160</v>
      </c>
      <c r="I2014" s="7" t="n">
        <v>1</v>
      </c>
      <c r="J2014" s="16" t="n">
        <v>160</v>
      </c>
      <c r="K2014" s="16"/>
      <c r="L2014" s="16"/>
      <c r="M2014" s="16" t="n">
        <v>160</v>
      </c>
      <c r="N2014" s="19"/>
    </row>
    <row r="2015" customFormat="false" ht="15" hidden="false" customHeight="false" outlineLevel="0" collapsed="false">
      <c r="A2015" s="13" t="s">
        <v>5038</v>
      </c>
      <c r="B2015" s="13" t="s">
        <v>191</v>
      </c>
      <c r="C2015" s="13" t="s">
        <v>85</v>
      </c>
      <c r="D2015" s="13" t="s">
        <v>2324</v>
      </c>
      <c r="E2015" s="13" t="s">
        <v>2026</v>
      </c>
      <c r="F2015" s="13" t="n">
        <v>1</v>
      </c>
      <c r="G2015" s="13" t="n">
        <v>1</v>
      </c>
      <c r="H2015" s="5" t="n">
        <v>160</v>
      </c>
      <c r="I2015" s="7" t="n">
        <v>5</v>
      </c>
      <c r="J2015" s="16" t="n">
        <v>32</v>
      </c>
      <c r="K2015" s="16" t="n">
        <v>32</v>
      </c>
      <c r="L2015" s="16"/>
      <c r="M2015" s="16"/>
      <c r="N2015" s="19"/>
    </row>
    <row r="2016" customFormat="false" ht="15" hidden="false" customHeight="false" outlineLevel="0" collapsed="false">
      <c r="A2016" s="13" t="s">
        <v>5039</v>
      </c>
      <c r="B2016" s="13" t="s">
        <v>121</v>
      </c>
      <c r="C2016" s="13" t="s">
        <v>183</v>
      </c>
      <c r="D2016" s="13" t="s">
        <v>3673</v>
      </c>
      <c r="E2016" s="13" t="s">
        <v>2063</v>
      </c>
      <c r="F2016" s="13" t="n">
        <v>1</v>
      </c>
      <c r="G2016" s="13" t="n">
        <v>2</v>
      </c>
      <c r="H2016" s="5" t="n">
        <v>160</v>
      </c>
      <c r="I2016" s="7" t="n">
        <v>2</v>
      </c>
      <c r="J2016" s="16" t="n">
        <v>80</v>
      </c>
      <c r="K2016" s="16"/>
      <c r="L2016" s="16"/>
      <c r="M2016" s="16" t="n">
        <v>80</v>
      </c>
      <c r="N2016" s="19"/>
    </row>
    <row r="2017" customFormat="false" ht="15" hidden="false" customHeight="false" outlineLevel="0" collapsed="false">
      <c r="A2017" s="13" t="s">
        <v>5040</v>
      </c>
      <c r="B2017" s="13" t="s">
        <v>2194</v>
      </c>
      <c r="C2017" s="13" t="s">
        <v>85</v>
      </c>
      <c r="D2017" s="13" t="s">
        <v>2324</v>
      </c>
      <c r="E2017" s="13" t="s">
        <v>5041</v>
      </c>
      <c r="F2017" s="13" t="n">
        <v>1</v>
      </c>
      <c r="G2017" s="13" t="n">
        <v>1</v>
      </c>
      <c r="H2017" s="5" t="n">
        <v>150</v>
      </c>
      <c r="I2017" s="7" t="n">
        <v>2</v>
      </c>
      <c r="J2017" s="16" t="n">
        <v>75</v>
      </c>
      <c r="K2017" s="16"/>
      <c r="L2017" s="16"/>
      <c r="M2017" s="16" t="n">
        <v>75</v>
      </c>
      <c r="N2017" s="19"/>
    </row>
    <row r="2018" customFormat="false" ht="15" hidden="false" customHeight="false" outlineLevel="0" collapsed="false">
      <c r="A2018" s="13" t="s">
        <v>5042</v>
      </c>
      <c r="B2018" s="13" t="s">
        <v>103</v>
      </c>
      <c r="C2018" s="13" t="s">
        <v>43</v>
      </c>
      <c r="D2018" s="13" t="s">
        <v>2324</v>
      </c>
      <c r="E2018" s="13" t="s">
        <v>2029</v>
      </c>
      <c r="F2018" s="13" t="n">
        <v>1</v>
      </c>
      <c r="G2018" s="13" t="n">
        <v>1</v>
      </c>
      <c r="H2018" s="5" t="n">
        <v>150</v>
      </c>
      <c r="I2018" s="7" t="n">
        <v>1</v>
      </c>
      <c r="J2018" s="16" t="n">
        <v>150</v>
      </c>
      <c r="K2018" s="16"/>
      <c r="L2018" s="16"/>
      <c r="M2018" s="16" t="n">
        <v>150</v>
      </c>
      <c r="N2018" s="19"/>
    </row>
    <row r="2019" customFormat="false" ht="15" hidden="false" customHeight="false" outlineLevel="0" collapsed="false">
      <c r="A2019" s="13" t="s">
        <v>5043</v>
      </c>
      <c r="B2019" s="13" t="s">
        <v>2103</v>
      </c>
      <c r="C2019" s="13" t="s">
        <v>85</v>
      </c>
      <c r="D2019" s="13" t="s">
        <v>2324</v>
      </c>
      <c r="E2019" s="13" t="s">
        <v>5044</v>
      </c>
      <c r="F2019" s="13" t="n">
        <v>1</v>
      </c>
      <c r="G2019" s="13" t="n">
        <v>1</v>
      </c>
      <c r="H2019" s="5" t="n">
        <v>150</v>
      </c>
      <c r="I2019" s="7" t="n">
        <v>2</v>
      </c>
      <c r="J2019" s="16" t="n">
        <v>75</v>
      </c>
      <c r="K2019" s="16"/>
      <c r="L2019" s="16"/>
      <c r="M2019" s="16" t="n">
        <v>75</v>
      </c>
      <c r="N2019" s="19"/>
    </row>
    <row r="2020" customFormat="false" ht="15" hidden="false" customHeight="false" outlineLevel="0" collapsed="false">
      <c r="A2020" s="13" t="s">
        <v>5045</v>
      </c>
      <c r="B2020" s="13" t="s">
        <v>2139</v>
      </c>
      <c r="C2020" s="13" t="s">
        <v>43</v>
      </c>
      <c r="D2020" s="13" t="s">
        <v>2324</v>
      </c>
      <c r="E2020" s="13" t="s">
        <v>5046</v>
      </c>
      <c r="F2020" s="13" t="n">
        <v>1</v>
      </c>
      <c r="G2020" s="13" t="n">
        <v>1</v>
      </c>
      <c r="H2020" s="5" t="n">
        <v>150</v>
      </c>
      <c r="I2020" s="7" t="n">
        <v>1</v>
      </c>
      <c r="J2020" s="16" t="n">
        <v>150</v>
      </c>
      <c r="K2020" s="16"/>
      <c r="L2020" s="16"/>
      <c r="M2020" s="16" t="n">
        <v>150</v>
      </c>
      <c r="N2020" s="19"/>
    </row>
    <row r="2021" customFormat="false" ht="15" hidden="false" customHeight="false" outlineLevel="0" collapsed="false">
      <c r="A2021" s="13" t="s">
        <v>5047</v>
      </c>
      <c r="B2021" s="13" t="s">
        <v>2192</v>
      </c>
      <c r="C2021" s="13" t="s">
        <v>85</v>
      </c>
      <c r="D2021" s="13" t="s">
        <v>2324</v>
      </c>
      <c r="E2021" s="13" t="s">
        <v>5048</v>
      </c>
      <c r="F2021" s="13" t="n">
        <v>1</v>
      </c>
      <c r="G2021" s="13" t="n">
        <v>1</v>
      </c>
      <c r="H2021" s="5" t="n">
        <v>150</v>
      </c>
      <c r="I2021" s="7" t="n">
        <v>1</v>
      </c>
      <c r="J2021" s="16" t="n">
        <v>150</v>
      </c>
      <c r="K2021" s="16"/>
      <c r="L2021" s="16"/>
      <c r="M2021" s="16" t="n">
        <v>150</v>
      </c>
      <c r="N2021" s="19"/>
    </row>
    <row r="2022" customFormat="false" ht="15" hidden="false" customHeight="false" outlineLevel="0" collapsed="false">
      <c r="A2022" s="13" t="s">
        <v>5049</v>
      </c>
      <c r="B2022" s="13" t="s">
        <v>2103</v>
      </c>
      <c r="C2022" s="13" t="s">
        <v>183</v>
      </c>
      <c r="D2022" s="13" t="s">
        <v>2324</v>
      </c>
      <c r="E2022" s="13" t="s">
        <v>5050</v>
      </c>
      <c r="F2022" s="13" t="n">
        <v>1</v>
      </c>
      <c r="G2022" s="13" t="n">
        <v>1</v>
      </c>
      <c r="H2022" s="5" t="n">
        <v>150</v>
      </c>
      <c r="I2022" s="7" t="n">
        <v>2</v>
      </c>
      <c r="J2022" s="16" t="n">
        <v>75</v>
      </c>
      <c r="K2022" s="16"/>
      <c r="L2022" s="16"/>
      <c r="M2022" s="16" t="n">
        <v>75</v>
      </c>
      <c r="N2022" s="19"/>
    </row>
    <row r="2023" customFormat="false" ht="15" hidden="false" customHeight="false" outlineLevel="0" collapsed="false">
      <c r="A2023" s="13" t="s">
        <v>5051</v>
      </c>
      <c r="B2023" s="13" t="s">
        <v>2124</v>
      </c>
      <c r="C2023" s="13" t="s">
        <v>43</v>
      </c>
      <c r="D2023" s="13" t="s">
        <v>2324</v>
      </c>
      <c r="E2023" s="13" t="s">
        <v>5052</v>
      </c>
      <c r="F2023" s="13" t="n">
        <v>1</v>
      </c>
      <c r="G2023" s="13" t="n">
        <v>1</v>
      </c>
      <c r="H2023" s="5" t="n">
        <v>150</v>
      </c>
      <c r="I2023" s="7" t="n">
        <v>2</v>
      </c>
      <c r="J2023" s="16" t="n">
        <v>75</v>
      </c>
      <c r="K2023" s="16" t="n">
        <v>75</v>
      </c>
      <c r="L2023" s="16"/>
      <c r="M2023" s="16"/>
      <c r="N2023" s="19"/>
    </row>
    <row r="2024" customFormat="false" ht="15" hidden="false" customHeight="false" outlineLevel="0" collapsed="false">
      <c r="A2024" s="13" t="s">
        <v>5053</v>
      </c>
      <c r="B2024" s="13" t="s">
        <v>2103</v>
      </c>
      <c r="C2024" s="13" t="s">
        <v>85</v>
      </c>
      <c r="D2024" s="13" t="s">
        <v>2324</v>
      </c>
      <c r="E2024" s="13" t="s">
        <v>5054</v>
      </c>
      <c r="F2024" s="13" t="n">
        <v>1</v>
      </c>
      <c r="G2024" s="13" t="n">
        <v>1</v>
      </c>
      <c r="H2024" s="5" t="n">
        <v>150</v>
      </c>
      <c r="I2024" s="7" t="n">
        <v>2</v>
      </c>
      <c r="J2024" s="16" t="n">
        <v>75</v>
      </c>
      <c r="K2024" s="16"/>
      <c r="L2024" s="16"/>
      <c r="M2024" s="16" t="n">
        <v>75</v>
      </c>
      <c r="N2024" s="19"/>
    </row>
    <row r="2025" customFormat="false" ht="15" hidden="false" customHeight="false" outlineLevel="0" collapsed="false">
      <c r="A2025" s="13" t="s">
        <v>5055</v>
      </c>
      <c r="B2025" s="13" t="s">
        <v>2100</v>
      </c>
      <c r="C2025" s="13" t="s">
        <v>43</v>
      </c>
      <c r="D2025" s="13" t="s">
        <v>2339</v>
      </c>
      <c r="E2025" s="13" t="s">
        <v>5056</v>
      </c>
      <c r="F2025" s="13" t="n">
        <v>1</v>
      </c>
      <c r="G2025" s="13" t="n">
        <v>1</v>
      </c>
      <c r="H2025" s="5" t="n">
        <v>150</v>
      </c>
      <c r="I2025" s="7" t="n">
        <v>2</v>
      </c>
      <c r="J2025" s="16" t="n">
        <v>75</v>
      </c>
      <c r="K2025" s="16"/>
      <c r="L2025" s="16"/>
      <c r="M2025" s="16" t="n">
        <v>75</v>
      </c>
      <c r="N2025" s="19"/>
    </row>
    <row r="2026" customFormat="false" ht="15" hidden="false" customHeight="false" outlineLevel="0" collapsed="false">
      <c r="A2026" s="13" t="s">
        <v>5057</v>
      </c>
      <c r="B2026" s="13" t="s">
        <v>2094</v>
      </c>
      <c r="C2026" s="13" t="s">
        <v>85</v>
      </c>
      <c r="D2026" s="13" t="s">
        <v>2324</v>
      </c>
      <c r="E2026" s="13" t="s">
        <v>5058</v>
      </c>
      <c r="F2026" s="13" t="n">
        <v>1</v>
      </c>
      <c r="G2026" s="13" t="n">
        <v>1</v>
      </c>
      <c r="H2026" s="5" t="n">
        <v>150</v>
      </c>
      <c r="I2026" s="7" t="n">
        <v>1</v>
      </c>
      <c r="J2026" s="16" t="n">
        <v>150</v>
      </c>
      <c r="K2026" s="16" t="n">
        <v>150</v>
      </c>
      <c r="L2026" s="16"/>
      <c r="M2026" s="16"/>
      <c r="N2026" s="19"/>
    </row>
    <row r="2027" customFormat="false" ht="15" hidden="false" customHeight="false" outlineLevel="0" collapsed="false">
      <c r="A2027" s="13" t="s">
        <v>5059</v>
      </c>
      <c r="B2027" s="13" t="s">
        <v>121</v>
      </c>
      <c r="C2027" s="13" t="s">
        <v>183</v>
      </c>
      <c r="D2027" s="13" t="s">
        <v>2324</v>
      </c>
      <c r="E2027" s="13" t="s">
        <v>2031</v>
      </c>
      <c r="F2027" s="13" t="n">
        <v>1</v>
      </c>
      <c r="G2027" s="13" t="n">
        <v>1</v>
      </c>
      <c r="H2027" s="5" t="n">
        <v>150</v>
      </c>
      <c r="I2027" s="7" t="n">
        <v>2</v>
      </c>
      <c r="J2027" s="16" t="n">
        <v>75</v>
      </c>
      <c r="K2027" s="16"/>
      <c r="L2027" s="16"/>
      <c r="M2027" s="16" t="n">
        <v>75</v>
      </c>
      <c r="N2027" s="19"/>
    </row>
    <row r="2028" customFormat="false" ht="15" hidden="false" customHeight="false" outlineLevel="0" collapsed="false">
      <c r="A2028" s="13" t="s">
        <v>5060</v>
      </c>
      <c r="B2028" s="13" t="s">
        <v>2292</v>
      </c>
      <c r="C2028" s="13" t="s">
        <v>43</v>
      </c>
      <c r="D2028" s="13" t="s">
        <v>2324</v>
      </c>
      <c r="E2028" s="13" t="s">
        <v>5061</v>
      </c>
      <c r="F2028" s="13" t="n">
        <v>1</v>
      </c>
      <c r="G2028" s="13" t="n">
        <v>1</v>
      </c>
      <c r="H2028" s="5" t="n">
        <v>150</v>
      </c>
      <c r="I2028" s="7" t="n">
        <v>1</v>
      </c>
      <c r="J2028" s="16" t="n">
        <v>150</v>
      </c>
      <c r="K2028" s="16" t="n">
        <v>150</v>
      </c>
      <c r="L2028" s="16"/>
      <c r="M2028" s="16"/>
      <c r="N2028" s="19"/>
    </row>
    <row r="2029" customFormat="false" ht="15" hidden="false" customHeight="false" outlineLevel="0" collapsed="false">
      <c r="A2029" s="13" t="s">
        <v>5062</v>
      </c>
      <c r="B2029" s="13" t="s">
        <v>2099</v>
      </c>
      <c r="C2029" s="13" t="s">
        <v>43</v>
      </c>
      <c r="D2029" s="13" t="s">
        <v>4194</v>
      </c>
      <c r="E2029" s="13" t="s">
        <v>5063</v>
      </c>
      <c r="F2029" s="13" t="n">
        <v>1</v>
      </c>
      <c r="G2029" s="13" t="n">
        <v>1</v>
      </c>
      <c r="H2029" s="5" t="n">
        <v>140</v>
      </c>
      <c r="I2029" s="7" t="n">
        <v>5</v>
      </c>
      <c r="J2029" s="16" t="n">
        <v>28</v>
      </c>
      <c r="K2029" s="16" t="n">
        <v>28</v>
      </c>
      <c r="L2029" s="16"/>
      <c r="M2029" s="16"/>
      <c r="N2029" s="19"/>
    </row>
    <row r="2030" customFormat="false" ht="15" hidden="false" customHeight="false" outlineLevel="0" collapsed="false">
      <c r="A2030" s="13" t="s">
        <v>5064</v>
      </c>
      <c r="B2030" s="13" t="s">
        <v>2272</v>
      </c>
      <c r="C2030" s="13" t="s">
        <v>183</v>
      </c>
      <c r="D2030" s="13" t="s">
        <v>2324</v>
      </c>
      <c r="E2030" s="13" t="s">
        <v>5065</v>
      </c>
      <c r="F2030" s="13" t="n">
        <v>1</v>
      </c>
      <c r="G2030" s="13" t="n">
        <v>1</v>
      </c>
      <c r="H2030" s="5" t="n">
        <v>140</v>
      </c>
      <c r="I2030" s="7" t="n">
        <v>1</v>
      </c>
      <c r="J2030" s="16" t="n">
        <v>140</v>
      </c>
      <c r="K2030" s="16"/>
      <c r="L2030" s="16"/>
      <c r="M2030" s="16" t="n">
        <v>140</v>
      </c>
      <c r="N2030" s="19"/>
    </row>
    <row r="2031" customFormat="false" ht="15" hidden="false" customHeight="false" outlineLevel="0" collapsed="false">
      <c r="A2031" s="13" t="s">
        <v>5066</v>
      </c>
      <c r="B2031" s="13" t="s">
        <v>2194</v>
      </c>
      <c r="C2031" s="13" t="s">
        <v>85</v>
      </c>
      <c r="D2031" s="13" t="s">
        <v>2324</v>
      </c>
      <c r="E2031" s="13" t="s">
        <v>5067</v>
      </c>
      <c r="F2031" s="13" t="n">
        <v>1</v>
      </c>
      <c r="G2031" s="13" t="n">
        <v>2</v>
      </c>
      <c r="H2031" s="5" t="n">
        <v>140</v>
      </c>
      <c r="I2031" s="7" t="n">
        <v>2</v>
      </c>
      <c r="J2031" s="16" t="n">
        <v>70</v>
      </c>
      <c r="K2031" s="16"/>
      <c r="L2031" s="16"/>
      <c r="M2031" s="16" t="n">
        <v>70</v>
      </c>
      <c r="N2031" s="19"/>
    </row>
    <row r="2032" customFormat="false" ht="15" hidden="false" customHeight="false" outlineLevel="0" collapsed="false">
      <c r="A2032" s="13" t="s">
        <v>5068</v>
      </c>
      <c r="B2032" s="13" t="s">
        <v>2294</v>
      </c>
      <c r="C2032" s="13" t="s">
        <v>43</v>
      </c>
      <c r="D2032" s="13" t="s">
        <v>2339</v>
      </c>
      <c r="E2032" s="13" t="s">
        <v>5069</v>
      </c>
      <c r="F2032" s="13" t="n">
        <v>1</v>
      </c>
      <c r="G2032" s="13" t="n">
        <v>1</v>
      </c>
      <c r="H2032" s="5" t="n">
        <v>140</v>
      </c>
      <c r="I2032" s="7" t="n">
        <v>2</v>
      </c>
      <c r="J2032" s="16" t="n">
        <v>70</v>
      </c>
      <c r="K2032" s="16" t="n">
        <v>70</v>
      </c>
      <c r="L2032" s="16"/>
      <c r="M2032" s="16"/>
      <c r="N2032" s="19"/>
    </row>
    <row r="2033" customFormat="false" ht="15" hidden="false" customHeight="false" outlineLevel="0" collapsed="false">
      <c r="A2033" s="13" t="s">
        <v>5070</v>
      </c>
      <c r="B2033" s="13" t="s">
        <v>2139</v>
      </c>
      <c r="C2033" s="13" t="s">
        <v>43</v>
      </c>
      <c r="D2033" s="13" t="s">
        <v>2324</v>
      </c>
      <c r="E2033" s="13" t="s">
        <v>5046</v>
      </c>
      <c r="F2033" s="13" t="n">
        <v>1</v>
      </c>
      <c r="G2033" s="13" t="n">
        <v>1</v>
      </c>
      <c r="H2033" s="5" t="n">
        <v>140</v>
      </c>
      <c r="I2033" s="7" t="n">
        <v>1</v>
      </c>
      <c r="J2033" s="16" t="n">
        <v>140</v>
      </c>
      <c r="K2033" s="16"/>
      <c r="L2033" s="16"/>
      <c r="M2033" s="16" t="n">
        <v>140</v>
      </c>
      <c r="N2033" s="19"/>
    </row>
    <row r="2034" customFormat="false" ht="15" hidden="false" customHeight="false" outlineLevel="0" collapsed="false">
      <c r="A2034" s="13" t="s">
        <v>5071</v>
      </c>
      <c r="B2034" s="13" t="s">
        <v>2272</v>
      </c>
      <c r="C2034" s="13" t="s">
        <v>85</v>
      </c>
      <c r="D2034" s="13" t="s">
        <v>2324</v>
      </c>
      <c r="E2034" s="13" t="s">
        <v>5072</v>
      </c>
      <c r="F2034" s="13" t="n">
        <v>1</v>
      </c>
      <c r="G2034" s="13" t="n">
        <v>1</v>
      </c>
      <c r="H2034" s="5" t="n">
        <v>140</v>
      </c>
      <c r="I2034" s="7" t="n">
        <v>1</v>
      </c>
      <c r="J2034" s="16" t="n">
        <v>140</v>
      </c>
      <c r="K2034" s="16"/>
      <c r="L2034" s="16"/>
      <c r="M2034" s="16" t="n">
        <v>140</v>
      </c>
      <c r="N2034" s="19"/>
    </row>
    <row r="2035" customFormat="false" ht="15" hidden="false" customHeight="false" outlineLevel="0" collapsed="false">
      <c r="A2035" s="13" t="s">
        <v>5073</v>
      </c>
      <c r="B2035" s="13" t="s">
        <v>470</v>
      </c>
      <c r="C2035" s="13" t="s">
        <v>85</v>
      </c>
      <c r="D2035" s="13" t="s">
        <v>2324</v>
      </c>
      <c r="E2035" s="13" t="s">
        <v>2036</v>
      </c>
      <c r="F2035" s="13" t="n">
        <v>1</v>
      </c>
      <c r="G2035" s="13" t="n">
        <v>1</v>
      </c>
      <c r="H2035" s="5" t="n">
        <v>140</v>
      </c>
      <c r="I2035" s="7" t="n">
        <v>1</v>
      </c>
      <c r="J2035" s="16" t="n">
        <v>140</v>
      </c>
      <c r="K2035" s="16" t="n">
        <v>140</v>
      </c>
      <c r="L2035" s="16"/>
      <c r="M2035" s="16"/>
      <c r="N2035" s="19"/>
    </row>
    <row r="2036" customFormat="false" ht="15" hidden="false" customHeight="false" outlineLevel="0" collapsed="false">
      <c r="A2036" s="13" t="s">
        <v>5074</v>
      </c>
      <c r="B2036" s="13" t="s">
        <v>2155</v>
      </c>
      <c r="C2036" s="13" t="s">
        <v>85</v>
      </c>
      <c r="D2036" s="13" t="s">
        <v>2324</v>
      </c>
      <c r="E2036" s="13" t="s">
        <v>5075</v>
      </c>
      <c r="F2036" s="13" t="n">
        <v>1</v>
      </c>
      <c r="G2036" s="13" t="n">
        <v>1</v>
      </c>
      <c r="H2036" s="5" t="n">
        <v>140</v>
      </c>
      <c r="I2036" s="7" t="n">
        <v>1</v>
      </c>
      <c r="J2036" s="16" t="n">
        <v>140</v>
      </c>
      <c r="K2036" s="16"/>
      <c r="L2036" s="16"/>
      <c r="M2036" s="16" t="n">
        <v>140</v>
      </c>
      <c r="N2036" s="19"/>
    </row>
    <row r="2037" customFormat="false" ht="15" hidden="false" customHeight="false" outlineLevel="0" collapsed="false">
      <c r="A2037" s="13" t="s">
        <v>5076</v>
      </c>
      <c r="B2037" s="13" t="s">
        <v>103</v>
      </c>
      <c r="C2037" s="13" t="s">
        <v>43</v>
      </c>
      <c r="D2037" s="13" t="s">
        <v>2324</v>
      </c>
      <c r="E2037" s="13" t="s">
        <v>2033</v>
      </c>
      <c r="F2037" s="13" t="n">
        <v>1</v>
      </c>
      <c r="G2037" s="13" t="n">
        <v>1</v>
      </c>
      <c r="H2037" s="5" t="n">
        <v>140</v>
      </c>
      <c r="I2037" s="7" t="n">
        <v>1</v>
      </c>
      <c r="J2037" s="16" t="n">
        <v>140</v>
      </c>
      <c r="K2037" s="16"/>
      <c r="L2037" s="16"/>
      <c r="M2037" s="16" t="n">
        <v>140</v>
      </c>
      <c r="N2037" s="19"/>
    </row>
    <row r="2038" customFormat="false" ht="15" hidden="false" customHeight="false" outlineLevel="0" collapsed="false">
      <c r="A2038" s="13" t="s">
        <v>5077</v>
      </c>
      <c r="B2038" s="13" t="s">
        <v>2295</v>
      </c>
      <c r="C2038" s="13" t="s">
        <v>43</v>
      </c>
      <c r="D2038" s="13" t="s">
        <v>2324</v>
      </c>
      <c r="E2038" s="13" t="s">
        <v>5078</v>
      </c>
      <c r="F2038" s="13" t="n">
        <v>1</v>
      </c>
      <c r="G2038" s="13" t="n">
        <v>1</v>
      </c>
      <c r="H2038" s="5" t="n">
        <v>140</v>
      </c>
      <c r="I2038" s="7" t="n">
        <v>1</v>
      </c>
      <c r="J2038" s="16" t="n">
        <v>140</v>
      </c>
      <c r="K2038" s="16"/>
      <c r="L2038" s="16" t="n">
        <v>140</v>
      </c>
      <c r="M2038" s="16"/>
      <c r="N2038" s="19"/>
    </row>
    <row r="2039" customFormat="false" ht="15" hidden="false" customHeight="false" outlineLevel="0" collapsed="false">
      <c r="A2039" s="13" t="s">
        <v>5079</v>
      </c>
      <c r="B2039" s="13" t="s">
        <v>2129</v>
      </c>
      <c r="C2039" s="13" t="s">
        <v>43</v>
      </c>
      <c r="D2039" s="13" t="s">
        <v>2324</v>
      </c>
      <c r="E2039" s="13" t="s">
        <v>5080</v>
      </c>
      <c r="F2039" s="13" t="n">
        <v>1</v>
      </c>
      <c r="G2039" s="13" t="n">
        <v>1</v>
      </c>
      <c r="H2039" s="5" t="n">
        <v>140</v>
      </c>
      <c r="I2039" s="7" t="n">
        <v>2</v>
      </c>
      <c r="J2039" s="16" t="n">
        <v>70</v>
      </c>
      <c r="K2039" s="16" t="n">
        <v>70</v>
      </c>
      <c r="L2039" s="16"/>
      <c r="M2039" s="16"/>
      <c r="N2039" s="19"/>
    </row>
    <row r="2040" customFormat="false" ht="15" hidden="false" customHeight="false" outlineLevel="0" collapsed="false">
      <c r="A2040" s="13" t="s">
        <v>5081</v>
      </c>
      <c r="B2040" s="13" t="s">
        <v>2194</v>
      </c>
      <c r="C2040" s="13" t="s">
        <v>85</v>
      </c>
      <c r="D2040" s="13" t="s">
        <v>2324</v>
      </c>
      <c r="E2040" s="13" t="s">
        <v>5082</v>
      </c>
      <c r="F2040" s="13" t="n">
        <v>1</v>
      </c>
      <c r="G2040" s="13" t="n">
        <v>1</v>
      </c>
      <c r="H2040" s="5" t="n">
        <v>140</v>
      </c>
      <c r="I2040" s="7" t="n">
        <v>2</v>
      </c>
      <c r="J2040" s="16" t="n">
        <v>70</v>
      </c>
      <c r="K2040" s="16"/>
      <c r="L2040" s="16"/>
      <c r="M2040" s="16" t="n">
        <v>70</v>
      </c>
      <c r="N2040" s="19"/>
    </row>
    <row r="2041" customFormat="false" ht="15" hidden="false" customHeight="false" outlineLevel="0" collapsed="false">
      <c r="A2041" s="13" t="s">
        <v>5083</v>
      </c>
      <c r="B2041" s="13" t="s">
        <v>2293</v>
      </c>
      <c r="C2041" s="13" t="s">
        <v>43</v>
      </c>
      <c r="D2041" s="13" t="s">
        <v>2324</v>
      </c>
      <c r="E2041" s="13" t="s">
        <v>5084</v>
      </c>
      <c r="F2041" s="13" t="n">
        <v>1</v>
      </c>
      <c r="G2041" s="13" t="n">
        <v>1</v>
      </c>
      <c r="H2041" s="5" t="n">
        <v>140</v>
      </c>
      <c r="I2041" s="7" t="n">
        <v>1</v>
      </c>
      <c r="J2041" s="16" t="n">
        <v>140</v>
      </c>
      <c r="K2041" s="16"/>
      <c r="L2041" s="16"/>
      <c r="M2041" s="16" t="n">
        <v>140</v>
      </c>
      <c r="N2041" s="19"/>
    </row>
    <row r="2042" customFormat="false" ht="15" hidden="false" customHeight="false" outlineLevel="0" collapsed="false">
      <c r="A2042" s="13" t="s">
        <v>5085</v>
      </c>
      <c r="B2042" s="13" t="s">
        <v>2268</v>
      </c>
      <c r="C2042" s="13" t="s">
        <v>85</v>
      </c>
      <c r="D2042" s="13" t="s">
        <v>2324</v>
      </c>
      <c r="E2042" s="13" t="s">
        <v>5086</v>
      </c>
      <c r="F2042" s="13" t="n">
        <v>1</v>
      </c>
      <c r="G2042" s="13" t="n">
        <v>1</v>
      </c>
      <c r="H2042" s="5" t="n">
        <v>140</v>
      </c>
      <c r="I2042" s="7" t="n">
        <v>5</v>
      </c>
      <c r="J2042" s="16" t="n">
        <v>28</v>
      </c>
      <c r="K2042" s="16"/>
      <c r="L2042" s="16"/>
      <c r="M2042" s="16" t="n">
        <v>28</v>
      </c>
      <c r="N2042" s="19"/>
    </row>
    <row r="2043" customFormat="false" ht="15" hidden="false" customHeight="false" outlineLevel="0" collapsed="false">
      <c r="A2043" s="13" t="s">
        <v>5087</v>
      </c>
      <c r="B2043" s="13" t="s">
        <v>2139</v>
      </c>
      <c r="C2043" s="13" t="s">
        <v>43</v>
      </c>
      <c r="D2043" s="13" t="s">
        <v>2324</v>
      </c>
      <c r="E2043" s="13" t="s">
        <v>5088</v>
      </c>
      <c r="F2043" s="13" t="n">
        <v>1</v>
      </c>
      <c r="G2043" s="13" t="n">
        <v>1</v>
      </c>
      <c r="H2043" s="5" t="n">
        <v>140</v>
      </c>
      <c r="I2043" s="7" t="n">
        <v>1</v>
      </c>
      <c r="J2043" s="16" t="n">
        <v>140</v>
      </c>
      <c r="K2043" s="16"/>
      <c r="L2043" s="16"/>
      <c r="M2043" s="16" t="n">
        <v>140</v>
      </c>
      <c r="N2043" s="19"/>
    </row>
    <row r="2044" customFormat="false" ht="15" hidden="false" customHeight="false" outlineLevel="0" collapsed="false">
      <c r="A2044" s="13" t="s">
        <v>5089</v>
      </c>
      <c r="B2044" s="13" t="s">
        <v>2101</v>
      </c>
      <c r="C2044" s="13" t="s">
        <v>98</v>
      </c>
      <c r="D2044" s="13" t="s">
        <v>2324</v>
      </c>
      <c r="E2044" s="13" t="s">
        <v>5090</v>
      </c>
      <c r="F2044" s="13" t="n">
        <v>1</v>
      </c>
      <c r="G2044" s="13" t="n">
        <v>1</v>
      </c>
      <c r="H2044" s="5" t="n">
        <v>140</v>
      </c>
      <c r="I2044" s="7" t="n">
        <v>2</v>
      </c>
      <c r="J2044" s="16" t="n">
        <v>70</v>
      </c>
      <c r="K2044" s="16" t="n">
        <v>70</v>
      </c>
      <c r="L2044" s="16"/>
      <c r="M2044" s="16"/>
      <c r="N2044" s="19"/>
    </row>
    <row r="2045" customFormat="false" ht="15" hidden="false" customHeight="false" outlineLevel="0" collapsed="false">
      <c r="A2045" s="13" t="s">
        <v>5091</v>
      </c>
      <c r="B2045" s="13" t="s">
        <v>2200</v>
      </c>
      <c r="C2045" s="13" t="s">
        <v>85</v>
      </c>
      <c r="D2045" s="13" t="s">
        <v>2324</v>
      </c>
      <c r="E2045" s="13" t="s">
        <v>4657</v>
      </c>
      <c r="F2045" s="13" t="n">
        <v>1</v>
      </c>
      <c r="G2045" s="13" t="n">
        <v>1</v>
      </c>
      <c r="H2045" s="5" t="n">
        <v>140</v>
      </c>
      <c r="I2045" s="7" t="n">
        <v>1</v>
      </c>
      <c r="J2045" s="16" t="n">
        <v>140</v>
      </c>
      <c r="K2045" s="16"/>
      <c r="L2045" s="16"/>
      <c r="M2045" s="16" t="n">
        <v>140</v>
      </c>
      <c r="N2045" s="19"/>
    </row>
    <row r="2046" customFormat="false" ht="15" hidden="false" customHeight="false" outlineLevel="0" collapsed="false">
      <c r="A2046" s="13" t="s">
        <v>5092</v>
      </c>
      <c r="B2046" s="13" t="s">
        <v>167</v>
      </c>
      <c r="C2046" s="13" t="s">
        <v>168</v>
      </c>
      <c r="D2046" s="13" t="s">
        <v>2324</v>
      </c>
      <c r="E2046" s="13" t="s">
        <v>169</v>
      </c>
      <c r="F2046" s="13" t="n">
        <v>1</v>
      </c>
      <c r="G2046" s="13" t="n">
        <v>1</v>
      </c>
      <c r="H2046" s="5" t="n">
        <v>140</v>
      </c>
      <c r="I2046" s="7" t="n">
        <v>1</v>
      </c>
      <c r="J2046" s="16" t="n">
        <v>140</v>
      </c>
      <c r="K2046" s="16" t="n">
        <v>140</v>
      </c>
      <c r="L2046" s="16"/>
      <c r="M2046" s="16"/>
      <c r="N2046" s="19"/>
    </row>
    <row r="2047" customFormat="false" ht="15" hidden="false" customHeight="false" outlineLevel="0" collapsed="false">
      <c r="A2047" s="13" t="s">
        <v>5093</v>
      </c>
      <c r="B2047" s="13" t="s">
        <v>2215</v>
      </c>
      <c r="C2047" s="13" t="s">
        <v>140</v>
      </c>
      <c r="D2047" s="13" t="s">
        <v>3504</v>
      </c>
      <c r="E2047" s="13" t="s">
        <v>5094</v>
      </c>
      <c r="F2047" s="13" t="n">
        <v>1</v>
      </c>
      <c r="G2047" s="13" t="n">
        <v>2</v>
      </c>
      <c r="H2047" s="5" t="n">
        <v>140</v>
      </c>
      <c r="I2047" s="7" t="n">
        <v>2</v>
      </c>
      <c r="J2047" s="16" t="n">
        <v>70</v>
      </c>
      <c r="K2047" s="16"/>
      <c r="L2047" s="16"/>
      <c r="M2047" s="16" t="n">
        <v>70</v>
      </c>
      <c r="N2047" s="19"/>
    </row>
    <row r="2048" customFormat="false" ht="15" hidden="false" customHeight="false" outlineLevel="0" collapsed="false">
      <c r="A2048" s="13" t="s">
        <v>5095</v>
      </c>
      <c r="B2048" s="13" t="s">
        <v>2164</v>
      </c>
      <c r="C2048" s="13" t="s">
        <v>43</v>
      </c>
      <c r="D2048" s="13" t="s">
        <v>2324</v>
      </c>
      <c r="E2048" s="13" t="s">
        <v>5096</v>
      </c>
      <c r="F2048" s="13" t="n">
        <v>1</v>
      </c>
      <c r="G2048" s="13" t="n">
        <v>1</v>
      </c>
      <c r="H2048" s="5" t="n">
        <v>130</v>
      </c>
      <c r="I2048" s="7" t="n">
        <v>1</v>
      </c>
      <c r="J2048" s="16" t="n">
        <v>130</v>
      </c>
      <c r="K2048" s="16"/>
      <c r="L2048" s="16"/>
      <c r="M2048" s="16" t="n">
        <v>130</v>
      </c>
      <c r="N2048" s="19"/>
    </row>
    <row r="2049" customFormat="false" ht="15" hidden="false" customHeight="false" outlineLevel="0" collapsed="false">
      <c r="A2049" s="13" t="s">
        <v>5097</v>
      </c>
      <c r="B2049" s="13" t="s">
        <v>2268</v>
      </c>
      <c r="C2049" s="13" t="s">
        <v>183</v>
      </c>
      <c r="D2049" s="13" t="s">
        <v>2324</v>
      </c>
      <c r="E2049" s="13" t="s">
        <v>5098</v>
      </c>
      <c r="F2049" s="13" t="n">
        <v>1</v>
      </c>
      <c r="G2049" s="13" t="n">
        <v>2</v>
      </c>
      <c r="H2049" s="5" t="n">
        <v>130</v>
      </c>
      <c r="I2049" s="7" t="n">
        <v>3</v>
      </c>
      <c r="J2049" s="16" t="n">
        <v>43.3333333333333</v>
      </c>
      <c r="K2049" s="16"/>
      <c r="L2049" s="16"/>
      <c r="M2049" s="16" t="n">
        <v>43.3333333333333</v>
      </c>
      <c r="N2049" s="19"/>
    </row>
    <row r="2050" customFormat="false" ht="15" hidden="false" customHeight="false" outlineLevel="0" collapsed="false">
      <c r="A2050" s="13" t="s">
        <v>5099</v>
      </c>
      <c r="B2050" s="13" t="s">
        <v>121</v>
      </c>
      <c r="C2050" s="13" t="s">
        <v>43</v>
      </c>
      <c r="D2050" s="13" t="s">
        <v>2324</v>
      </c>
      <c r="E2050" s="13" t="s">
        <v>2042</v>
      </c>
      <c r="F2050" s="13" t="n">
        <v>1</v>
      </c>
      <c r="G2050" s="13" t="n">
        <v>1</v>
      </c>
      <c r="H2050" s="5" t="n">
        <v>130</v>
      </c>
      <c r="I2050" s="7" t="n">
        <v>1</v>
      </c>
      <c r="J2050" s="16" t="n">
        <v>130</v>
      </c>
      <c r="K2050" s="16"/>
      <c r="L2050" s="16"/>
      <c r="M2050" s="16" t="n">
        <v>130</v>
      </c>
      <c r="N2050" s="19"/>
    </row>
    <row r="2051" customFormat="false" ht="15" hidden="false" customHeight="false" outlineLevel="0" collapsed="false">
      <c r="A2051" s="13" t="s">
        <v>5100</v>
      </c>
      <c r="B2051" s="13" t="s">
        <v>2103</v>
      </c>
      <c r="C2051" s="13" t="s">
        <v>183</v>
      </c>
      <c r="D2051" s="13" t="s">
        <v>2324</v>
      </c>
      <c r="E2051" s="13" t="s">
        <v>5101</v>
      </c>
      <c r="F2051" s="13" t="n">
        <v>1</v>
      </c>
      <c r="G2051" s="13" t="n">
        <v>1</v>
      </c>
      <c r="H2051" s="5" t="n">
        <v>130</v>
      </c>
      <c r="I2051" s="7" t="n">
        <v>1</v>
      </c>
      <c r="J2051" s="16" t="n">
        <v>130</v>
      </c>
      <c r="K2051" s="16"/>
      <c r="L2051" s="16"/>
      <c r="M2051" s="16" t="n">
        <v>130</v>
      </c>
      <c r="N2051" s="19"/>
    </row>
    <row r="2052" customFormat="false" ht="15" hidden="false" customHeight="false" outlineLevel="0" collapsed="false">
      <c r="A2052" s="13" t="s">
        <v>5102</v>
      </c>
      <c r="B2052" s="13" t="s">
        <v>2139</v>
      </c>
      <c r="C2052" s="13" t="s">
        <v>43</v>
      </c>
      <c r="D2052" s="13" t="s">
        <v>2324</v>
      </c>
      <c r="E2052" s="13" t="s">
        <v>5103</v>
      </c>
      <c r="F2052" s="13" t="n">
        <v>1</v>
      </c>
      <c r="G2052" s="13" t="n">
        <v>1</v>
      </c>
      <c r="H2052" s="5" t="n">
        <v>130</v>
      </c>
      <c r="I2052" s="7" t="n">
        <v>1</v>
      </c>
      <c r="J2052" s="16" t="n">
        <v>130</v>
      </c>
      <c r="K2052" s="16"/>
      <c r="L2052" s="16"/>
      <c r="M2052" s="16" t="n">
        <v>130</v>
      </c>
      <c r="N2052" s="19"/>
    </row>
    <row r="2053" customFormat="false" ht="15" hidden="false" customHeight="false" outlineLevel="0" collapsed="false">
      <c r="A2053" s="13" t="s">
        <v>5104</v>
      </c>
      <c r="B2053" s="13" t="s">
        <v>2253</v>
      </c>
      <c r="C2053" s="13" t="s">
        <v>85</v>
      </c>
      <c r="D2053" s="13" t="s">
        <v>2324</v>
      </c>
      <c r="E2053" s="13" t="s">
        <v>5105</v>
      </c>
      <c r="F2053" s="13" t="n">
        <v>1</v>
      </c>
      <c r="G2053" s="13" t="n">
        <v>1</v>
      </c>
      <c r="H2053" s="5" t="n">
        <v>120</v>
      </c>
      <c r="I2053" s="7" t="n">
        <v>1</v>
      </c>
      <c r="J2053" s="16" t="n">
        <v>120</v>
      </c>
      <c r="K2053" s="16"/>
      <c r="L2053" s="16"/>
      <c r="M2053" s="16" t="n">
        <v>120</v>
      </c>
      <c r="N2053" s="19"/>
    </row>
    <row r="2054" customFormat="false" ht="15" hidden="false" customHeight="false" outlineLevel="0" collapsed="false">
      <c r="A2054" s="13" t="s">
        <v>5106</v>
      </c>
      <c r="B2054" s="13" t="s">
        <v>2171</v>
      </c>
      <c r="C2054" s="13" t="s">
        <v>183</v>
      </c>
      <c r="D2054" s="13" t="s">
        <v>4799</v>
      </c>
      <c r="E2054" s="13" t="s">
        <v>5107</v>
      </c>
      <c r="F2054" s="13" t="n">
        <v>1</v>
      </c>
      <c r="G2054" s="13" t="n">
        <v>1</v>
      </c>
      <c r="H2054" s="5" t="n">
        <v>120</v>
      </c>
      <c r="I2054" s="7" t="n">
        <v>1</v>
      </c>
      <c r="J2054" s="16" t="n">
        <v>120</v>
      </c>
      <c r="K2054" s="16"/>
      <c r="L2054" s="16"/>
      <c r="M2054" s="16" t="n">
        <v>120</v>
      </c>
      <c r="N2054" s="19"/>
    </row>
    <row r="2055" customFormat="false" ht="15" hidden="false" customHeight="false" outlineLevel="0" collapsed="false">
      <c r="A2055" s="13" t="s">
        <v>5108</v>
      </c>
      <c r="B2055" s="13" t="s">
        <v>2126</v>
      </c>
      <c r="C2055" s="13" t="s">
        <v>85</v>
      </c>
      <c r="D2055" s="13" t="s">
        <v>2324</v>
      </c>
      <c r="E2055" s="13" t="s">
        <v>5109</v>
      </c>
      <c r="F2055" s="13" t="n">
        <v>1</v>
      </c>
      <c r="G2055" s="13" t="n">
        <v>1</v>
      </c>
      <c r="H2055" s="5" t="n">
        <v>120</v>
      </c>
      <c r="I2055" s="7" t="n">
        <v>2</v>
      </c>
      <c r="J2055" s="16" t="n">
        <v>60</v>
      </c>
      <c r="K2055" s="16" t="n">
        <v>60</v>
      </c>
      <c r="L2055" s="16"/>
      <c r="M2055" s="16"/>
      <c r="N2055" s="19"/>
    </row>
    <row r="2056" customFormat="false" ht="15" hidden="false" customHeight="false" outlineLevel="0" collapsed="false">
      <c r="A2056" s="13" t="s">
        <v>5110</v>
      </c>
      <c r="B2056" s="13" t="s">
        <v>2164</v>
      </c>
      <c r="C2056" s="13" t="s">
        <v>43</v>
      </c>
      <c r="D2056" s="13" t="s">
        <v>2324</v>
      </c>
      <c r="E2056" s="13" t="s">
        <v>5111</v>
      </c>
      <c r="F2056" s="13" t="n">
        <v>1</v>
      </c>
      <c r="G2056" s="13" t="n">
        <v>1</v>
      </c>
      <c r="H2056" s="5" t="n">
        <v>120</v>
      </c>
      <c r="I2056" s="7" t="n">
        <v>1</v>
      </c>
      <c r="J2056" s="16" t="n">
        <v>120</v>
      </c>
      <c r="K2056" s="16"/>
      <c r="L2056" s="16"/>
      <c r="M2056" s="16" t="n">
        <v>120</v>
      </c>
      <c r="N2056" s="19"/>
    </row>
    <row r="2057" customFormat="false" ht="15" hidden="false" customHeight="false" outlineLevel="0" collapsed="false">
      <c r="A2057" s="13" t="s">
        <v>5112</v>
      </c>
      <c r="B2057" s="13" t="s">
        <v>2273</v>
      </c>
      <c r="C2057" s="13" t="s">
        <v>85</v>
      </c>
      <c r="D2057" s="13" t="s">
        <v>2324</v>
      </c>
      <c r="E2057" s="13" t="s">
        <v>5113</v>
      </c>
      <c r="F2057" s="13" t="n">
        <v>1</v>
      </c>
      <c r="G2057" s="13" t="n">
        <v>1</v>
      </c>
      <c r="H2057" s="5" t="n">
        <v>120</v>
      </c>
      <c r="I2057" s="7" t="n">
        <v>1</v>
      </c>
      <c r="J2057" s="16" t="n">
        <v>120</v>
      </c>
      <c r="K2057" s="16"/>
      <c r="L2057" s="16"/>
      <c r="M2057" s="16" t="n">
        <v>120</v>
      </c>
      <c r="N2057" s="19"/>
    </row>
    <row r="2058" customFormat="false" ht="15" hidden="false" customHeight="false" outlineLevel="0" collapsed="false">
      <c r="A2058" s="13" t="s">
        <v>5114</v>
      </c>
      <c r="B2058" s="13" t="s">
        <v>2155</v>
      </c>
      <c r="C2058" s="13" t="s">
        <v>85</v>
      </c>
      <c r="D2058" s="13" t="s">
        <v>2324</v>
      </c>
      <c r="E2058" s="13" t="s">
        <v>5115</v>
      </c>
      <c r="F2058" s="13" t="n">
        <v>1</v>
      </c>
      <c r="G2058" s="13" t="n">
        <v>1</v>
      </c>
      <c r="H2058" s="5" t="n">
        <v>120</v>
      </c>
      <c r="I2058" s="7" t="n">
        <v>1</v>
      </c>
      <c r="J2058" s="16" t="n">
        <v>120</v>
      </c>
      <c r="K2058" s="16"/>
      <c r="L2058" s="16"/>
      <c r="M2058" s="16" t="n">
        <v>120</v>
      </c>
      <c r="N2058" s="19"/>
    </row>
    <row r="2059" customFormat="false" ht="15" hidden="false" customHeight="false" outlineLevel="0" collapsed="false">
      <c r="A2059" s="13" t="s">
        <v>5116</v>
      </c>
      <c r="B2059" s="13" t="s">
        <v>2270</v>
      </c>
      <c r="C2059" s="13" t="s">
        <v>183</v>
      </c>
      <c r="D2059" s="13" t="s">
        <v>2324</v>
      </c>
      <c r="E2059" s="13" t="s">
        <v>5117</v>
      </c>
      <c r="F2059" s="13" t="n">
        <v>1</v>
      </c>
      <c r="G2059" s="13" t="n">
        <v>1</v>
      </c>
      <c r="H2059" s="5" t="n">
        <v>120</v>
      </c>
      <c r="I2059" s="7" t="n">
        <v>1</v>
      </c>
      <c r="J2059" s="16" t="n">
        <v>120</v>
      </c>
      <c r="K2059" s="16"/>
      <c r="L2059" s="16"/>
      <c r="M2059" s="16" t="n">
        <v>120</v>
      </c>
      <c r="N2059" s="19"/>
    </row>
    <row r="2060" customFormat="false" ht="15" hidden="false" customHeight="false" outlineLevel="0" collapsed="false">
      <c r="A2060" s="13" t="s">
        <v>5118</v>
      </c>
      <c r="B2060" s="13" t="s">
        <v>2103</v>
      </c>
      <c r="C2060" s="13" t="s">
        <v>85</v>
      </c>
      <c r="D2060" s="13" t="s">
        <v>2324</v>
      </c>
      <c r="E2060" s="13" t="s">
        <v>5119</v>
      </c>
      <c r="F2060" s="13" t="n">
        <v>1</v>
      </c>
      <c r="G2060" s="13" t="n">
        <v>1</v>
      </c>
      <c r="H2060" s="5" t="n">
        <v>120</v>
      </c>
      <c r="I2060" s="7" t="n">
        <v>1</v>
      </c>
      <c r="J2060" s="16" t="n">
        <v>120</v>
      </c>
      <c r="K2060" s="16"/>
      <c r="L2060" s="16"/>
      <c r="M2060" s="16" t="n">
        <v>120</v>
      </c>
      <c r="N2060" s="19"/>
    </row>
    <row r="2061" customFormat="false" ht="15" hidden="false" customHeight="false" outlineLevel="0" collapsed="false">
      <c r="A2061" s="13" t="s">
        <v>5120</v>
      </c>
      <c r="B2061" s="13" t="s">
        <v>2179</v>
      </c>
      <c r="C2061" s="13" t="s">
        <v>43</v>
      </c>
      <c r="D2061" s="13" t="s">
        <v>2432</v>
      </c>
      <c r="E2061" s="13" t="s">
        <v>5121</v>
      </c>
      <c r="F2061" s="13" t="n">
        <v>1</v>
      </c>
      <c r="G2061" s="13" t="n">
        <v>1</v>
      </c>
      <c r="H2061" s="5" t="n">
        <v>120</v>
      </c>
      <c r="I2061" s="7" t="n">
        <v>1</v>
      </c>
      <c r="J2061" s="16" t="n">
        <v>120</v>
      </c>
      <c r="K2061" s="16"/>
      <c r="L2061" s="16"/>
      <c r="M2061" s="16" t="n">
        <v>120</v>
      </c>
      <c r="N2061" s="19"/>
    </row>
    <row r="2062" customFormat="false" ht="15" hidden="false" customHeight="false" outlineLevel="0" collapsed="false">
      <c r="A2062" s="13" t="s">
        <v>5122</v>
      </c>
      <c r="B2062" s="13" t="s">
        <v>2095</v>
      </c>
      <c r="C2062" s="13" t="s">
        <v>140</v>
      </c>
      <c r="D2062" s="13" t="s">
        <v>5123</v>
      </c>
      <c r="E2062" s="13" t="s">
        <v>5124</v>
      </c>
      <c r="F2062" s="13" t="n">
        <v>1</v>
      </c>
      <c r="G2062" s="13" t="n">
        <v>1</v>
      </c>
      <c r="H2062" s="5" t="n">
        <v>120</v>
      </c>
      <c r="I2062" s="7" t="n">
        <v>1</v>
      </c>
      <c r="J2062" s="16" t="n">
        <v>120</v>
      </c>
      <c r="K2062" s="16" t="n">
        <v>120</v>
      </c>
      <c r="L2062" s="16"/>
      <c r="M2062" s="16"/>
      <c r="N2062" s="19"/>
    </row>
    <row r="2063" customFormat="false" ht="15" hidden="false" customHeight="false" outlineLevel="0" collapsed="false">
      <c r="A2063" s="13" t="s">
        <v>5125</v>
      </c>
      <c r="B2063" s="13" t="s">
        <v>2194</v>
      </c>
      <c r="C2063" s="13" t="s">
        <v>85</v>
      </c>
      <c r="D2063" s="13" t="s">
        <v>2324</v>
      </c>
      <c r="E2063" s="13" t="s">
        <v>5126</v>
      </c>
      <c r="F2063" s="13" t="n">
        <v>1</v>
      </c>
      <c r="G2063" s="13" t="n">
        <v>1</v>
      </c>
      <c r="H2063" s="5" t="n">
        <v>110</v>
      </c>
      <c r="I2063" s="7" t="n">
        <v>2</v>
      </c>
      <c r="J2063" s="16" t="n">
        <v>55</v>
      </c>
      <c r="K2063" s="16"/>
      <c r="L2063" s="16"/>
      <c r="M2063" s="16" t="n">
        <v>55</v>
      </c>
      <c r="N2063" s="19"/>
    </row>
    <row r="2064" customFormat="false" ht="15" hidden="false" customHeight="false" outlineLevel="0" collapsed="false">
      <c r="A2064" s="13" t="s">
        <v>5127</v>
      </c>
      <c r="B2064" s="13" t="s">
        <v>121</v>
      </c>
      <c r="C2064" s="13" t="s">
        <v>183</v>
      </c>
      <c r="D2064" s="13" t="s">
        <v>2324</v>
      </c>
      <c r="E2064" s="13" t="s">
        <v>2078</v>
      </c>
      <c r="F2064" s="13" t="n">
        <v>1</v>
      </c>
      <c r="G2064" s="13" t="n">
        <v>2</v>
      </c>
      <c r="H2064" s="5" t="n">
        <v>110</v>
      </c>
      <c r="I2064" s="7" t="n">
        <v>2</v>
      </c>
      <c r="J2064" s="16" t="n">
        <v>55</v>
      </c>
      <c r="K2064" s="16"/>
      <c r="L2064" s="16"/>
      <c r="M2064" s="16" t="n">
        <v>55</v>
      </c>
      <c r="N2064" s="19"/>
    </row>
    <row r="2065" customFormat="false" ht="15" hidden="false" customHeight="false" outlineLevel="0" collapsed="false">
      <c r="A2065" s="13" t="s">
        <v>5128</v>
      </c>
      <c r="B2065" s="13" t="s">
        <v>2268</v>
      </c>
      <c r="C2065" s="13" t="s">
        <v>183</v>
      </c>
      <c r="D2065" s="13" t="s">
        <v>2324</v>
      </c>
      <c r="E2065" s="13" t="s">
        <v>5129</v>
      </c>
      <c r="F2065" s="13" t="n">
        <v>1</v>
      </c>
      <c r="G2065" s="13" t="n">
        <v>2</v>
      </c>
      <c r="H2065" s="5" t="n">
        <v>110</v>
      </c>
      <c r="I2065" s="7" t="n">
        <v>6</v>
      </c>
      <c r="J2065" s="16" t="n">
        <v>18.3333333333333</v>
      </c>
      <c r="K2065" s="16"/>
      <c r="L2065" s="16"/>
      <c r="M2065" s="16" t="n">
        <v>18.3333333333333</v>
      </c>
      <c r="N2065" s="19"/>
    </row>
    <row r="2066" customFormat="false" ht="15" hidden="false" customHeight="false" outlineLevel="0" collapsed="false">
      <c r="A2066" s="13" t="s">
        <v>5130</v>
      </c>
      <c r="B2066" s="13" t="s">
        <v>161</v>
      </c>
      <c r="C2066" s="13" t="s">
        <v>43</v>
      </c>
      <c r="D2066" s="13" t="s">
        <v>2327</v>
      </c>
      <c r="E2066" s="13" t="s">
        <v>2056</v>
      </c>
      <c r="F2066" s="13" t="n">
        <v>1</v>
      </c>
      <c r="G2066" s="13" t="n">
        <v>1</v>
      </c>
      <c r="H2066" s="5" t="n">
        <v>110</v>
      </c>
      <c r="I2066" s="7" t="n">
        <v>1</v>
      </c>
      <c r="J2066" s="16" t="n">
        <v>110</v>
      </c>
      <c r="K2066" s="16"/>
      <c r="L2066" s="16" t="n">
        <v>110</v>
      </c>
      <c r="M2066" s="16"/>
      <c r="N2066" s="19"/>
    </row>
    <row r="2067" customFormat="false" ht="15" hidden="false" customHeight="false" outlineLevel="0" collapsed="false">
      <c r="A2067" s="13" t="s">
        <v>5131</v>
      </c>
      <c r="B2067" s="13" t="s">
        <v>2253</v>
      </c>
      <c r="C2067" s="13" t="s">
        <v>85</v>
      </c>
      <c r="D2067" s="13" t="s">
        <v>2324</v>
      </c>
      <c r="E2067" s="13" t="s">
        <v>5132</v>
      </c>
      <c r="F2067" s="13" t="n">
        <v>1</v>
      </c>
      <c r="G2067" s="13" t="n">
        <v>1</v>
      </c>
      <c r="H2067" s="5" t="n">
        <v>110</v>
      </c>
      <c r="I2067" s="7" t="n">
        <v>1</v>
      </c>
      <c r="J2067" s="16" t="n">
        <v>110</v>
      </c>
      <c r="K2067" s="16"/>
      <c r="L2067" s="16"/>
      <c r="M2067" s="16" t="n">
        <v>110</v>
      </c>
      <c r="N2067" s="19"/>
    </row>
    <row r="2068" customFormat="false" ht="15" hidden="false" customHeight="false" outlineLevel="0" collapsed="false">
      <c r="A2068" s="13" t="s">
        <v>5133</v>
      </c>
      <c r="B2068" s="13" t="s">
        <v>2103</v>
      </c>
      <c r="C2068" s="13" t="s">
        <v>85</v>
      </c>
      <c r="D2068" s="13" t="s">
        <v>2324</v>
      </c>
      <c r="E2068" s="13" t="s">
        <v>5134</v>
      </c>
      <c r="F2068" s="13" t="n">
        <v>1</v>
      </c>
      <c r="G2068" s="13" t="n">
        <v>1</v>
      </c>
      <c r="H2068" s="5" t="n">
        <v>110</v>
      </c>
      <c r="I2068" s="7" t="n">
        <v>1</v>
      </c>
      <c r="J2068" s="16" t="n">
        <v>110</v>
      </c>
      <c r="K2068" s="16"/>
      <c r="L2068" s="16"/>
      <c r="M2068" s="16" t="n">
        <v>110</v>
      </c>
      <c r="N2068" s="19"/>
    </row>
    <row r="2069" customFormat="false" ht="15" hidden="false" customHeight="false" outlineLevel="0" collapsed="false">
      <c r="A2069" s="13" t="s">
        <v>5135</v>
      </c>
      <c r="B2069" s="13" t="s">
        <v>121</v>
      </c>
      <c r="C2069" s="13" t="s">
        <v>183</v>
      </c>
      <c r="D2069" s="13" t="s">
        <v>2324</v>
      </c>
      <c r="E2069" s="13" t="s">
        <v>2050</v>
      </c>
      <c r="F2069" s="13" t="n">
        <v>1</v>
      </c>
      <c r="G2069" s="13" t="n">
        <v>1</v>
      </c>
      <c r="H2069" s="5" t="n">
        <v>110</v>
      </c>
      <c r="I2069" s="7" t="n">
        <v>1</v>
      </c>
      <c r="J2069" s="16" t="n">
        <v>110</v>
      </c>
      <c r="K2069" s="16"/>
      <c r="L2069" s="16"/>
      <c r="M2069" s="16" t="n">
        <v>110</v>
      </c>
      <c r="N2069" s="19"/>
    </row>
    <row r="2070" customFormat="false" ht="15" hidden="false" customHeight="false" outlineLevel="0" collapsed="false">
      <c r="A2070" s="13" t="s">
        <v>5136</v>
      </c>
      <c r="B2070" s="13" t="s">
        <v>2194</v>
      </c>
      <c r="C2070" s="13" t="s">
        <v>85</v>
      </c>
      <c r="D2070" s="13" t="s">
        <v>2324</v>
      </c>
      <c r="E2070" s="13" t="s">
        <v>5137</v>
      </c>
      <c r="F2070" s="13" t="n">
        <v>1</v>
      </c>
      <c r="G2070" s="13" t="n">
        <v>1</v>
      </c>
      <c r="H2070" s="5" t="n">
        <v>110</v>
      </c>
      <c r="I2070" s="7" t="n">
        <v>1</v>
      </c>
      <c r="J2070" s="16" t="n">
        <v>110</v>
      </c>
      <c r="K2070" s="16"/>
      <c r="L2070" s="16"/>
      <c r="M2070" s="16" t="n">
        <v>110</v>
      </c>
      <c r="N2070" s="19"/>
    </row>
    <row r="2071" customFormat="false" ht="15" hidden="false" customHeight="false" outlineLevel="0" collapsed="false">
      <c r="A2071" s="13" t="s">
        <v>5138</v>
      </c>
      <c r="B2071" s="13" t="s">
        <v>121</v>
      </c>
      <c r="C2071" s="13" t="s">
        <v>43</v>
      </c>
      <c r="D2071" s="13" t="s">
        <v>2324</v>
      </c>
      <c r="E2071" s="13" t="s">
        <v>2052</v>
      </c>
      <c r="F2071" s="13" t="n">
        <v>1</v>
      </c>
      <c r="G2071" s="13" t="n">
        <v>1</v>
      </c>
      <c r="H2071" s="5" t="n">
        <v>110</v>
      </c>
      <c r="I2071" s="7" t="n">
        <v>2</v>
      </c>
      <c r="J2071" s="16" t="n">
        <v>55</v>
      </c>
      <c r="K2071" s="16"/>
      <c r="L2071" s="16"/>
      <c r="M2071" s="16" t="n">
        <v>55</v>
      </c>
      <c r="N2071" s="19"/>
    </row>
    <row r="2072" customFormat="false" ht="15" hidden="false" customHeight="false" outlineLevel="0" collapsed="false">
      <c r="A2072" s="13" t="s">
        <v>5139</v>
      </c>
      <c r="B2072" s="13" t="s">
        <v>2164</v>
      </c>
      <c r="C2072" s="13" t="s">
        <v>43</v>
      </c>
      <c r="D2072" s="13" t="s">
        <v>2324</v>
      </c>
      <c r="E2072" s="13" t="s">
        <v>5140</v>
      </c>
      <c r="F2072" s="13" t="n">
        <v>1</v>
      </c>
      <c r="G2072" s="13" t="n">
        <v>1</v>
      </c>
      <c r="H2072" s="5" t="n">
        <v>110</v>
      </c>
      <c r="I2072" s="7" t="n">
        <v>1</v>
      </c>
      <c r="J2072" s="16" t="n">
        <v>110</v>
      </c>
      <c r="K2072" s="16"/>
      <c r="L2072" s="16"/>
      <c r="M2072" s="16" t="n">
        <v>110</v>
      </c>
      <c r="N2072" s="19"/>
    </row>
    <row r="2073" customFormat="false" ht="15" hidden="false" customHeight="false" outlineLevel="0" collapsed="false">
      <c r="A2073" s="13" t="s">
        <v>5141</v>
      </c>
      <c r="B2073" s="13" t="s">
        <v>121</v>
      </c>
      <c r="C2073" s="13" t="s">
        <v>43</v>
      </c>
      <c r="D2073" s="13" t="s">
        <v>4648</v>
      </c>
      <c r="E2073" s="13" t="s">
        <v>2051</v>
      </c>
      <c r="F2073" s="13" t="n">
        <v>1</v>
      </c>
      <c r="G2073" s="13" t="n">
        <v>1</v>
      </c>
      <c r="H2073" s="5" t="n">
        <v>110</v>
      </c>
      <c r="I2073" s="7" t="n">
        <v>1</v>
      </c>
      <c r="J2073" s="16" t="n">
        <v>110</v>
      </c>
      <c r="K2073" s="16"/>
      <c r="L2073" s="16"/>
      <c r="M2073" s="16" t="n">
        <v>110</v>
      </c>
      <c r="N2073" s="19"/>
    </row>
    <row r="2074" customFormat="false" ht="15" hidden="false" customHeight="false" outlineLevel="0" collapsed="false">
      <c r="A2074" s="13" t="s">
        <v>5142</v>
      </c>
      <c r="B2074" s="13" t="s">
        <v>114</v>
      </c>
      <c r="C2074" s="13" t="s">
        <v>85</v>
      </c>
      <c r="D2074" s="13" t="s">
        <v>2728</v>
      </c>
      <c r="E2074" s="13" t="s">
        <v>2055</v>
      </c>
      <c r="F2074" s="13" t="n">
        <v>1</v>
      </c>
      <c r="G2074" s="13" t="n">
        <v>1</v>
      </c>
      <c r="H2074" s="5" t="n">
        <v>110</v>
      </c>
      <c r="I2074" s="7" t="n">
        <v>1</v>
      </c>
      <c r="J2074" s="16" t="n">
        <v>110</v>
      </c>
      <c r="K2074" s="16" t="n">
        <v>110</v>
      </c>
      <c r="L2074" s="16"/>
      <c r="M2074" s="16"/>
      <c r="N2074" s="19"/>
    </row>
    <row r="2075" customFormat="false" ht="15" hidden="false" customHeight="false" outlineLevel="0" collapsed="false">
      <c r="A2075" s="13" t="s">
        <v>5143</v>
      </c>
      <c r="B2075" s="13" t="s">
        <v>2272</v>
      </c>
      <c r="C2075" s="13" t="s">
        <v>85</v>
      </c>
      <c r="D2075" s="13" t="s">
        <v>2324</v>
      </c>
      <c r="E2075" s="13" t="s">
        <v>5144</v>
      </c>
      <c r="F2075" s="13" t="n">
        <v>1</v>
      </c>
      <c r="G2075" s="13" t="n">
        <v>1</v>
      </c>
      <c r="H2075" s="5" t="n">
        <v>110</v>
      </c>
      <c r="I2075" s="7" t="n">
        <v>1</v>
      </c>
      <c r="J2075" s="16" t="n">
        <v>110</v>
      </c>
      <c r="K2075" s="16"/>
      <c r="L2075" s="16"/>
      <c r="M2075" s="16" t="n">
        <v>110</v>
      </c>
      <c r="N2075" s="19"/>
    </row>
    <row r="2076" customFormat="false" ht="15" hidden="false" customHeight="false" outlineLevel="0" collapsed="false">
      <c r="A2076" s="13" t="s">
        <v>5145</v>
      </c>
      <c r="B2076" s="13" t="s">
        <v>2270</v>
      </c>
      <c r="C2076" s="13" t="s">
        <v>183</v>
      </c>
      <c r="D2076" s="13" t="s">
        <v>2429</v>
      </c>
      <c r="E2076" s="13" t="s">
        <v>5146</v>
      </c>
      <c r="F2076" s="13" t="n">
        <v>1</v>
      </c>
      <c r="G2076" s="13" t="n">
        <v>1</v>
      </c>
      <c r="H2076" s="5" t="n">
        <v>110</v>
      </c>
      <c r="I2076" s="7" t="n">
        <v>1</v>
      </c>
      <c r="J2076" s="16" t="n">
        <v>110</v>
      </c>
      <c r="K2076" s="16"/>
      <c r="L2076" s="16"/>
      <c r="M2076" s="16" t="n">
        <v>110</v>
      </c>
      <c r="N2076" s="19"/>
    </row>
    <row r="2077" customFormat="false" ht="15" hidden="false" customHeight="false" outlineLevel="0" collapsed="false">
      <c r="A2077" s="13" t="s">
        <v>5147</v>
      </c>
      <c r="B2077" s="13" t="s">
        <v>2103</v>
      </c>
      <c r="C2077" s="13" t="s">
        <v>85</v>
      </c>
      <c r="D2077" s="13" t="s">
        <v>2324</v>
      </c>
      <c r="E2077" s="13" t="s">
        <v>5148</v>
      </c>
      <c r="F2077" s="13" t="n">
        <v>1</v>
      </c>
      <c r="G2077" s="13" t="n">
        <v>1</v>
      </c>
      <c r="H2077" s="5" t="n">
        <v>110</v>
      </c>
      <c r="I2077" s="7" t="n">
        <v>1</v>
      </c>
      <c r="J2077" s="16" t="n">
        <v>110</v>
      </c>
      <c r="K2077" s="16"/>
      <c r="L2077" s="16"/>
      <c r="M2077" s="16" t="n">
        <v>110</v>
      </c>
      <c r="N2077" s="19"/>
    </row>
    <row r="2078" customFormat="false" ht="15" hidden="false" customHeight="false" outlineLevel="0" collapsed="false">
      <c r="A2078" s="13" t="s">
        <v>5149</v>
      </c>
      <c r="B2078" s="13" t="s">
        <v>107</v>
      </c>
      <c r="C2078" s="13" t="s">
        <v>43</v>
      </c>
      <c r="D2078" s="13" t="s">
        <v>2324</v>
      </c>
      <c r="E2078" s="13" t="s">
        <v>2069</v>
      </c>
      <c r="F2078" s="13" t="n">
        <v>1</v>
      </c>
      <c r="G2078" s="13" t="n">
        <v>2</v>
      </c>
      <c r="H2078" s="5" t="n">
        <v>110</v>
      </c>
      <c r="I2078" s="7" t="n">
        <v>3</v>
      </c>
      <c r="J2078" s="16" t="n">
        <v>36.6666666666667</v>
      </c>
      <c r="K2078" s="16"/>
      <c r="L2078" s="16"/>
      <c r="M2078" s="16" t="n">
        <v>36.6666666666667</v>
      </c>
      <c r="N2078" s="19"/>
    </row>
    <row r="2079" customFormat="false" ht="15" hidden="false" customHeight="false" outlineLevel="0" collapsed="false">
      <c r="A2079" s="13" t="s">
        <v>5150</v>
      </c>
      <c r="B2079" s="13" t="s">
        <v>2275</v>
      </c>
      <c r="C2079" s="13" t="s">
        <v>57</v>
      </c>
      <c r="D2079" s="13" t="s">
        <v>2324</v>
      </c>
      <c r="E2079" s="13" t="s">
        <v>5151</v>
      </c>
      <c r="F2079" s="13" t="n">
        <v>1</v>
      </c>
      <c r="G2079" s="13" t="n">
        <v>1</v>
      </c>
      <c r="H2079" s="5" t="n">
        <v>100</v>
      </c>
      <c r="I2079" s="7" t="n">
        <v>1</v>
      </c>
      <c r="J2079" s="16" t="n">
        <v>100</v>
      </c>
      <c r="K2079" s="16" t="n">
        <v>100</v>
      </c>
      <c r="L2079" s="16"/>
      <c r="M2079" s="16"/>
      <c r="N2079" s="19"/>
    </row>
    <row r="2080" customFormat="false" ht="15" hidden="false" customHeight="false" outlineLevel="0" collapsed="false">
      <c r="A2080" s="13" t="s">
        <v>5152</v>
      </c>
      <c r="B2080" s="13" t="s">
        <v>2103</v>
      </c>
      <c r="C2080" s="13" t="s">
        <v>183</v>
      </c>
      <c r="D2080" s="13" t="s">
        <v>2324</v>
      </c>
      <c r="E2080" s="13" t="s">
        <v>5153</v>
      </c>
      <c r="F2080" s="13" t="n">
        <v>1</v>
      </c>
      <c r="G2080" s="13" t="n">
        <v>1</v>
      </c>
      <c r="H2080" s="5" t="n">
        <v>100</v>
      </c>
      <c r="I2080" s="7" t="n">
        <v>1</v>
      </c>
      <c r="J2080" s="16" t="n">
        <v>100</v>
      </c>
      <c r="K2080" s="16"/>
      <c r="L2080" s="16"/>
      <c r="M2080" s="16" t="n">
        <v>100</v>
      </c>
      <c r="N2080" s="19"/>
    </row>
    <row r="2081" customFormat="false" ht="15" hidden="false" customHeight="false" outlineLevel="0" collapsed="false">
      <c r="A2081" s="13" t="s">
        <v>5154</v>
      </c>
      <c r="B2081" s="13" t="s">
        <v>2194</v>
      </c>
      <c r="C2081" s="13" t="s">
        <v>85</v>
      </c>
      <c r="D2081" s="13" t="s">
        <v>2324</v>
      </c>
      <c r="E2081" s="13" t="s">
        <v>5155</v>
      </c>
      <c r="F2081" s="13" t="n">
        <v>1</v>
      </c>
      <c r="G2081" s="13" t="n">
        <v>1</v>
      </c>
      <c r="H2081" s="5" t="n">
        <v>100</v>
      </c>
      <c r="I2081" s="7" t="n">
        <v>1</v>
      </c>
      <c r="J2081" s="16" t="n">
        <v>100</v>
      </c>
      <c r="K2081" s="16"/>
      <c r="L2081" s="16"/>
      <c r="M2081" s="16" t="n">
        <v>100</v>
      </c>
      <c r="N2081" s="19"/>
    </row>
    <row r="2082" customFormat="false" ht="15" hidden="false" customHeight="false" outlineLevel="0" collapsed="false">
      <c r="A2082" s="13" t="s">
        <v>5156</v>
      </c>
      <c r="B2082" s="13" t="s">
        <v>2164</v>
      </c>
      <c r="C2082" s="13" t="s">
        <v>85</v>
      </c>
      <c r="D2082" s="13" t="s">
        <v>2324</v>
      </c>
      <c r="E2082" s="13" t="s">
        <v>5157</v>
      </c>
      <c r="F2082" s="13" t="n">
        <v>1</v>
      </c>
      <c r="G2082" s="13" t="n">
        <v>1</v>
      </c>
      <c r="H2082" s="5" t="n">
        <v>100</v>
      </c>
      <c r="I2082" s="7" t="n">
        <v>1</v>
      </c>
      <c r="J2082" s="16" t="n">
        <v>100</v>
      </c>
      <c r="K2082" s="16"/>
      <c r="L2082" s="16"/>
      <c r="M2082" s="16" t="n">
        <v>100</v>
      </c>
      <c r="N2082" s="19"/>
    </row>
    <row r="2083" customFormat="false" ht="15" hidden="false" customHeight="false" outlineLevel="0" collapsed="false">
      <c r="A2083" s="13" t="s">
        <v>5158</v>
      </c>
      <c r="B2083" s="13" t="s">
        <v>107</v>
      </c>
      <c r="C2083" s="13" t="s">
        <v>43</v>
      </c>
      <c r="D2083" s="13" t="s">
        <v>2324</v>
      </c>
      <c r="E2083" s="13" t="s">
        <v>2060</v>
      </c>
      <c r="F2083" s="13" t="n">
        <v>1</v>
      </c>
      <c r="G2083" s="13" t="n">
        <v>1</v>
      </c>
      <c r="H2083" s="5" t="n">
        <v>100</v>
      </c>
      <c r="I2083" s="7" t="n">
        <v>2</v>
      </c>
      <c r="J2083" s="16" t="n">
        <v>50</v>
      </c>
      <c r="K2083" s="16"/>
      <c r="L2083" s="16"/>
      <c r="M2083" s="16" t="n">
        <v>50</v>
      </c>
      <c r="N2083" s="19"/>
    </row>
    <row r="2084" customFormat="false" ht="15" hidden="false" customHeight="false" outlineLevel="0" collapsed="false">
      <c r="A2084" s="13" t="s">
        <v>5159</v>
      </c>
      <c r="B2084" s="13" t="s">
        <v>2268</v>
      </c>
      <c r="C2084" s="13" t="s">
        <v>85</v>
      </c>
      <c r="D2084" s="13" t="s">
        <v>2324</v>
      </c>
      <c r="E2084" s="13" t="s">
        <v>5160</v>
      </c>
      <c r="F2084" s="13" t="n">
        <v>1</v>
      </c>
      <c r="G2084" s="13" t="n">
        <v>1</v>
      </c>
      <c r="H2084" s="5" t="n">
        <v>100</v>
      </c>
      <c r="I2084" s="7" t="n">
        <v>2</v>
      </c>
      <c r="J2084" s="16" t="n">
        <v>50</v>
      </c>
      <c r="K2084" s="16"/>
      <c r="L2084" s="16"/>
      <c r="M2084" s="16" t="n">
        <v>50</v>
      </c>
      <c r="N2084" s="19"/>
    </row>
    <row r="2085" customFormat="false" ht="15" hidden="false" customHeight="false" outlineLevel="0" collapsed="false">
      <c r="A2085" s="13" t="s">
        <v>5161</v>
      </c>
      <c r="B2085" s="13" t="s">
        <v>2194</v>
      </c>
      <c r="C2085" s="13" t="s">
        <v>85</v>
      </c>
      <c r="D2085" s="13" t="s">
        <v>2324</v>
      </c>
      <c r="E2085" s="13" t="s">
        <v>5162</v>
      </c>
      <c r="F2085" s="13" t="n">
        <v>1</v>
      </c>
      <c r="G2085" s="13" t="n">
        <v>1</v>
      </c>
      <c r="H2085" s="5" t="n">
        <v>100</v>
      </c>
      <c r="I2085" s="7" t="n">
        <v>2</v>
      </c>
      <c r="J2085" s="16" t="n">
        <v>50</v>
      </c>
      <c r="K2085" s="16"/>
      <c r="L2085" s="16"/>
      <c r="M2085" s="16" t="n">
        <v>50</v>
      </c>
      <c r="N2085" s="19"/>
    </row>
    <row r="2086" customFormat="false" ht="15" hidden="false" customHeight="false" outlineLevel="0" collapsed="false">
      <c r="A2086" s="13" t="s">
        <v>5163</v>
      </c>
      <c r="B2086" s="13" t="s">
        <v>2194</v>
      </c>
      <c r="C2086" s="13" t="s">
        <v>183</v>
      </c>
      <c r="D2086" s="13" t="s">
        <v>5164</v>
      </c>
      <c r="E2086" s="13" t="s">
        <v>5165</v>
      </c>
      <c r="F2086" s="13" t="n">
        <v>1</v>
      </c>
      <c r="G2086" s="13" t="n">
        <v>1</v>
      </c>
      <c r="H2086" s="5" t="n">
        <v>100</v>
      </c>
      <c r="I2086" s="7" t="n">
        <v>2</v>
      </c>
      <c r="J2086" s="16" t="n">
        <v>50</v>
      </c>
      <c r="K2086" s="16"/>
      <c r="L2086" s="16"/>
      <c r="M2086" s="16" t="n">
        <v>50</v>
      </c>
      <c r="N2086" s="19"/>
    </row>
    <row r="2087" customFormat="false" ht="15" hidden="false" customHeight="false" outlineLevel="0" collapsed="false">
      <c r="A2087" s="13" t="s">
        <v>5166</v>
      </c>
      <c r="B2087" s="13" t="s">
        <v>2103</v>
      </c>
      <c r="C2087" s="13" t="s">
        <v>183</v>
      </c>
      <c r="D2087" s="13" t="s">
        <v>2324</v>
      </c>
      <c r="E2087" s="13" t="s">
        <v>5167</v>
      </c>
      <c r="F2087" s="13" t="n">
        <v>1</v>
      </c>
      <c r="G2087" s="13" t="n">
        <v>1</v>
      </c>
      <c r="H2087" s="5" t="n">
        <v>100</v>
      </c>
      <c r="I2087" s="7" t="n">
        <v>1</v>
      </c>
      <c r="J2087" s="16" t="n">
        <v>100</v>
      </c>
      <c r="K2087" s="16"/>
      <c r="L2087" s="16"/>
      <c r="M2087" s="16" t="n">
        <v>100</v>
      </c>
      <c r="N2087" s="19"/>
    </row>
    <row r="2088" customFormat="false" ht="15" hidden="false" customHeight="false" outlineLevel="0" collapsed="false">
      <c r="A2088" s="13" t="s">
        <v>5168</v>
      </c>
      <c r="B2088" s="13" t="s">
        <v>121</v>
      </c>
      <c r="C2088" s="13" t="s">
        <v>183</v>
      </c>
      <c r="D2088" s="13" t="s">
        <v>2324</v>
      </c>
      <c r="E2088" s="13" t="s">
        <v>2058</v>
      </c>
      <c r="F2088" s="13" t="n">
        <v>1</v>
      </c>
      <c r="G2088" s="13" t="n">
        <v>1</v>
      </c>
      <c r="H2088" s="5" t="n">
        <v>100</v>
      </c>
      <c r="I2088" s="7" t="n">
        <v>1</v>
      </c>
      <c r="J2088" s="16" t="n">
        <v>100</v>
      </c>
      <c r="K2088" s="16"/>
      <c r="L2088" s="16"/>
      <c r="M2088" s="16" t="n">
        <v>100</v>
      </c>
      <c r="N2088" s="19"/>
    </row>
    <row r="2089" customFormat="false" ht="15" hidden="false" customHeight="false" outlineLevel="0" collapsed="false">
      <c r="A2089" s="13" t="s">
        <v>5169</v>
      </c>
      <c r="B2089" s="13" t="s">
        <v>2194</v>
      </c>
      <c r="C2089" s="13" t="s">
        <v>85</v>
      </c>
      <c r="D2089" s="13" t="s">
        <v>2324</v>
      </c>
      <c r="E2089" s="13" t="s">
        <v>5170</v>
      </c>
      <c r="F2089" s="13" t="n">
        <v>1</v>
      </c>
      <c r="G2089" s="13" t="n">
        <v>1</v>
      </c>
      <c r="H2089" s="5" t="n">
        <v>100</v>
      </c>
      <c r="I2089" s="7" t="n">
        <v>2</v>
      </c>
      <c r="J2089" s="16" t="n">
        <v>50</v>
      </c>
      <c r="K2089" s="16"/>
      <c r="L2089" s="16"/>
      <c r="M2089" s="16" t="n">
        <v>50</v>
      </c>
      <c r="N2089" s="19"/>
    </row>
    <row r="2090" customFormat="false" ht="15" hidden="false" customHeight="false" outlineLevel="0" collapsed="false">
      <c r="A2090" s="13" t="s">
        <v>5171</v>
      </c>
      <c r="B2090" s="13" t="s">
        <v>81</v>
      </c>
      <c r="C2090" s="13" t="s">
        <v>85</v>
      </c>
      <c r="D2090" s="13" t="s">
        <v>2324</v>
      </c>
      <c r="E2090" s="13" t="s">
        <v>2061</v>
      </c>
      <c r="F2090" s="13" t="n">
        <v>1</v>
      </c>
      <c r="G2090" s="13" t="n">
        <v>1</v>
      </c>
      <c r="H2090" s="5" t="n">
        <v>100</v>
      </c>
      <c r="I2090" s="7" t="n">
        <v>2</v>
      </c>
      <c r="J2090" s="16" t="n">
        <v>50</v>
      </c>
      <c r="K2090" s="16" t="n">
        <v>50</v>
      </c>
      <c r="L2090" s="16"/>
      <c r="M2090" s="16"/>
      <c r="N2090" s="19"/>
    </row>
    <row r="2091" customFormat="false" ht="15" hidden="false" customHeight="false" outlineLevel="0" collapsed="false">
      <c r="A2091" s="13" t="s">
        <v>5172</v>
      </c>
      <c r="B2091" s="13" t="s">
        <v>2103</v>
      </c>
      <c r="C2091" s="13" t="s">
        <v>85</v>
      </c>
      <c r="D2091" s="13" t="s">
        <v>2324</v>
      </c>
      <c r="E2091" s="13" t="s">
        <v>5173</v>
      </c>
      <c r="F2091" s="13" t="n">
        <v>1</v>
      </c>
      <c r="G2091" s="13" t="n">
        <v>1</v>
      </c>
      <c r="H2091" s="5" t="n">
        <v>100</v>
      </c>
      <c r="I2091" s="7" t="n">
        <v>1</v>
      </c>
      <c r="J2091" s="16" t="n">
        <v>100</v>
      </c>
      <c r="K2091" s="16"/>
      <c r="L2091" s="16"/>
      <c r="M2091" s="16" t="n">
        <v>100</v>
      </c>
      <c r="N2091" s="19"/>
    </row>
    <row r="2092" customFormat="false" ht="15" hidden="false" customHeight="false" outlineLevel="0" collapsed="false">
      <c r="A2092" s="13" t="s">
        <v>5174</v>
      </c>
      <c r="B2092" s="13" t="s">
        <v>2100</v>
      </c>
      <c r="C2092" s="13" t="s">
        <v>43</v>
      </c>
      <c r="D2092" s="13" t="s">
        <v>2324</v>
      </c>
      <c r="E2092" s="13" t="s">
        <v>5175</v>
      </c>
      <c r="F2092" s="13" t="n">
        <v>1</v>
      </c>
      <c r="G2092" s="13" t="n">
        <v>1</v>
      </c>
      <c r="H2092" s="5" t="n">
        <v>90</v>
      </c>
      <c r="I2092" s="7" t="n">
        <v>1</v>
      </c>
      <c r="J2092" s="16" t="n">
        <v>90</v>
      </c>
      <c r="K2092" s="16" t="n">
        <v>90</v>
      </c>
      <c r="L2092" s="16"/>
      <c r="M2092" s="16"/>
      <c r="N2092" s="19"/>
    </row>
    <row r="2093" customFormat="false" ht="15" hidden="false" customHeight="false" outlineLevel="0" collapsed="false">
      <c r="A2093" s="13" t="s">
        <v>5176</v>
      </c>
      <c r="B2093" s="13" t="s">
        <v>2226</v>
      </c>
      <c r="C2093" s="13" t="s">
        <v>85</v>
      </c>
      <c r="D2093" s="13" t="s">
        <v>2324</v>
      </c>
      <c r="E2093" s="13" t="s">
        <v>5177</v>
      </c>
      <c r="F2093" s="13" t="n">
        <v>1</v>
      </c>
      <c r="G2093" s="13" t="n">
        <v>1</v>
      </c>
      <c r="H2093" s="5" t="n">
        <v>90</v>
      </c>
      <c r="I2093" s="7" t="n">
        <v>2</v>
      </c>
      <c r="J2093" s="16" t="n">
        <v>45</v>
      </c>
      <c r="K2093" s="16" t="n">
        <v>45</v>
      </c>
      <c r="L2093" s="16"/>
      <c r="M2093" s="16"/>
      <c r="N2093" s="19"/>
    </row>
    <row r="2094" customFormat="false" ht="15" hidden="false" customHeight="false" outlineLevel="0" collapsed="false">
      <c r="A2094" s="13" t="s">
        <v>5178</v>
      </c>
      <c r="B2094" s="13" t="s">
        <v>2300</v>
      </c>
      <c r="C2094" s="13" t="s">
        <v>85</v>
      </c>
      <c r="D2094" s="13" t="s">
        <v>2324</v>
      </c>
      <c r="E2094" s="13" t="s">
        <v>5179</v>
      </c>
      <c r="F2094" s="13" t="n">
        <v>1</v>
      </c>
      <c r="G2094" s="13" t="n">
        <v>1</v>
      </c>
      <c r="H2094" s="5" t="n">
        <v>90</v>
      </c>
      <c r="I2094" s="7" t="n">
        <v>5</v>
      </c>
      <c r="J2094" s="16" t="n">
        <v>18</v>
      </c>
      <c r="K2094" s="16" t="n">
        <v>18</v>
      </c>
      <c r="L2094" s="16"/>
      <c r="M2094" s="16"/>
      <c r="N2094" s="19"/>
    </row>
    <row r="2095" customFormat="false" ht="15" hidden="false" customHeight="false" outlineLevel="0" collapsed="false">
      <c r="A2095" s="13" t="s">
        <v>5180</v>
      </c>
      <c r="B2095" s="13" t="s">
        <v>2194</v>
      </c>
      <c r="C2095" s="13" t="s">
        <v>85</v>
      </c>
      <c r="D2095" s="13" t="s">
        <v>2324</v>
      </c>
      <c r="E2095" s="13" t="s">
        <v>5181</v>
      </c>
      <c r="F2095" s="13" t="n">
        <v>1</v>
      </c>
      <c r="G2095" s="13" t="n">
        <v>1</v>
      </c>
      <c r="H2095" s="5" t="n">
        <v>90</v>
      </c>
      <c r="I2095" s="7" t="n">
        <v>1</v>
      </c>
      <c r="J2095" s="16" t="n">
        <v>90</v>
      </c>
      <c r="K2095" s="16"/>
      <c r="L2095" s="16"/>
      <c r="M2095" s="16" t="n">
        <v>90</v>
      </c>
      <c r="N2095" s="19"/>
    </row>
    <row r="2096" customFormat="false" ht="15" hidden="false" customHeight="false" outlineLevel="0" collapsed="false">
      <c r="A2096" s="13" t="s">
        <v>5182</v>
      </c>
      <c r="B2096" s="13" t="s">
        <v>2115</v>
      </c>
      <c r="C2096" s="13" t="s">
        <v>140</v>
      </c>
      <c r="D2096" s="13" t="s">
        <v>2324</v>
      </c>
      <c r="E2096" s="13" t="s">
        <v>5183</v>
      </c>
      <c r="F2096" s="13" t="n">
        <v>1</v>
      </c>
      <c r="G2096" s="13" t="n">
        <v>1</v>
      </c>
      <c r="H2096" s="5" t="n">
        <v>90</v>
      </c>
      <c r="I2096" s="7" t="n">
        <v>1</v>
      </c>
      <c r="J2096" s="16" t="n">
        <v>90</v>
      </c>
      <c r="K2096" s="16" t="n">
        <v>90</v>
      </c>
      <c r="L2096" s="16"/>
      <c r="M2096" s="16"/>
      <c r="N2096" s="19"/>
    </row>
    <row r="2097" customFormat="false" ht="15" hidden="false" customHeight="false" outlineLevel="0" collapsed="false">
      <c r="A2097" s="13" t="s">
        <v>5184</v>
      </c>
      <c r="B2097" s="13" t="s">
        <v>2155</v>
      </c>
      <c r="C2097" s="13" t="s">
        <v>85</v>
      </c>
      <c r="D2097" s="13" t="s">
        <v>2324</v>
      </c>
      <c r="E2097" s="13" t="s">
        <v>5185</v>
      </c>
      <c r="F2097" s="13" t="n">
        <v>1</v>
      </c>
      <c r="G2097" s="13" t="n">
        <v>1</v>
      </c>
      <c r="H2097" s="5" t="n">
        <v>90</v>
      </c>
      <c r="I2097" s="7" t="n">
        <v>1</v>
      </c>
      <c r="J2097" s="16" t="n">
        <v>90</v>
      </c>
      <c r="K2097" s="16"/>
      <c r="L2097" s="16"/>
      <c r="M2097" s="16" t="n">
        <v>90</v>
      </c>
      <c r="N2097" s="19"/>
    </row>
    <row r="2098" customFormat="false" ht="15" hidden="false" customHeight="false" outlineLevel="0" collapsed="false">
      <c r="A2098" s="13" t="s">
        <v>5186</v>
      </c>
      <c r="B2098" s="13" t="s">
        <v>2206</v>
      </c>
      <c r="C2098" s="13" t="s">
        <v>85</v>
      </c>
      <c r="D2098" s="13" t="s">
        <v>2324</v>
      </c>
      <c r="E2098" s="13" t="s">
        <v>5187</v>
      </c>
      <c r="F2098" s="13" t="n">
        <v>1</v>
      </c>
      <c r="G2098" s="13" t="n">
        <v>1</v>
      </c>
      <c r="H2098" s="5" t="n">
        <v>90</v>
      </c>
      <c r="I2098" s="7" t="n">
        <v>1</v>
      </c>
      <c r="J2098" s="16" t="n">
        <v>90</v>
      </c>
      <c r="K2098" s="16" t="n">
        <v>90</v>
      </c>
      <c r="L2098" s="16"/>
      <c r="M2098" s="16"/>
      <c r="N2098" s="19"/>
    </row>
    <row r="2099" customFormat="false" ht="15" hidden="false" customHeight="false" outlineLevel="0" collapsed="false">
      <c r="A2099" s="13" t="s">
        <v>5188</v>
      </c>
      <c r="B2099" s="13" t="s">
        <v>2101</v>
      </c>
      <c r="C2099" s="13" t="s">
        <v>85</v>
      </c>
      <c r="D2099" s="13" t="s">
        <v>2324</v>
      </c>
      <c r="E2099" s="13" t="s">
        <v>5189</v>
      </c>
      <c r="F2099" s="13" t="n">
        <v>1</v>
      </c>
      <c r="G2099" s="13" t="n">
        <v>1</v>
      </c>
      <c r="H2099" s="5" t="n">
        <v>80</v>
      </c>
      <c r="I2099" s="7" t="n">
        <v>2</v>
      </c>
      <c r="J2099" s="16" t="n">
        <v>40</v>
      </c>
      <c r="K2099" s="16" t="n">
        <v>40</v>
      </c>
      <c r="L2099" s="16"/>
      <c r="M2099" s="16"/>
      <c r="N2099" s="19"/>
    </row>
    <row r="2100" customFormat="false" ht="15" hidden="false" customHeight="false" outlineLevel="0" collapsed="false">
      <c r="A2100" s="13" t="s">
        <v>5190</v>
      </c>
      <c r="B2100" s="13" t="s">
        <v>2226</v>
      </c>
      <c r="C2100" s="13" t="s">
        <v>85</v>
      </c>
      <c r="D2100" s="13" t="s">
        <v>2324</v>
      </c>
      <c r="E2100" s="13" t="s">
        <v>5191</v>
      </c>
      <c r="F2100" s="13" t="n">
        <v>1</v>
      </c>
      <c r="G2100" s="13" t="n">
        <v>1</v>
      </c>
      <c r="H2100" s="5" t="n">
        <v>80</v>
      </c>
      <c r="I2100" s="7" t="n">
        <v>1</v>
      </c>
      <c r="J2100" s="16" t="n">
        <v>80</v>
      </c>
      <c r="K2100" s="16" t="n">
        <v>80</v>
      </c>
      <c r="L2100" s="16"/>
      <c r="M2100" s="16"/>
      <c r="N2100" s="19"/>
    </row>
    <row r="2101" customFormat="false" ht="15" hidden="false" customHeight="false" outlineLevel="0" collapsed="false">
      <c r="A2101" s="13" t="s">
        <v>5192</v>
      </c>
      <c r="B2101" s="13" t="s">
        <v>2103</v>
      </c>
      <c r="C2101" s="13" t="s">
        <v>183</v>
      </c>
      <c r="D2101" s="13" t="s">
        <v>2324</v>
      </c>
      <c r="E2101" s="13" t="s">
        <v>4659</v>
      </c>
      <c r="F2101" s="13" t="n">
        <v>1</v>
      </c>
      <c r="G2101" s="13" t="n">
        <v>1</v>
      </c>
      <c r="H2101" s="5" t="n">
        <v>80</v>
      </c>
      <c r="I2101" s="7" t="n">
        <v>1</v>
      </c>
      <c r="J2101" s="16" t="n">
        <v>80</v>
      </c>
      <c r="K2101" s="16"/>
      <c r="L2101" s="16"/>
      <c r="M2101" s="16" t="n">
        <v>80</v>
      </c>
      <c r="N2101" s="19"/>
    </row>
    <row r="2102" customFormat="false" ht="15" hidden="false" customHeight="false" outlineLevel="0" collapsed="false">
      <c r="A2102" s="13" t="s">
        <v>5193</v>
      </c>
      <c r="B2102" s="13" t="s">
        <v>2107</v>
      </c>
      <c r="C2102" s="13" t="s">
        <v>43</v>
      </c>
      <c r="D2102" s="13" t="s">
        <v>2324</v>
      </c>
      <c r="E2102" s="13" t="s">
        <v>5194</v>
      </c>
      <c r="F2102" s="13" t="n">
        <v>1</v>
      </c>
      <c r="G2102" s="13" t="n">
        <v>1</v>
      </c>
      <c r="H2102" s="5" t="n">
        <v>80</v>
      </c>
      <c r="I2102" s="7" t="n">
        <v>1</v>
      </c>
      <c r="J2102" s="16" t="n">
        <v>80</v>
      </c>
      <c r="K2102" s="16" t="n">
        <v>80</v>
      </c>
      <c r="L2102" s="16"/>
      <c r="M2102" s="16"/>
      <c r="N2102" s="19"/>
    </row>
    <row r="2103" customFormat="false" ht="15" hidden="false" customHeight="false" outlineLevel="0" collapsed="false">
      <c r="A2103" s="13" t="s">
        <v>5195</v>
      </c>
      <c r="B2103" s="13" t="s">
        <v>2100</v>
      </c>
      <c r="C2103" s="13" t="s">
        <v>85</v>
      </c>
      <c r="D2103" s="13" t="s">
        <v>2324</v>
      </c>
      <c r="E2103" s="13" t="s">
        <v>5196</v>
      </c>
      <c r="F2103" s="13" t="n">
        <v>1</v>
      </c>
      <c r="G2103" s="13" t="n">
        <v>1</v>
      </c>
      <c r="H2103" s="5" t="n">
        <v>80</v>
      </c>
      <c r="I2103" s="7" t="n">
        <v>1</v>
      </c>
      <c r="J2103" s="16" t="n">
        <v>80</v>
      </c>
      <c r="K2103" s="16"/>
      <c r="L2103" s="16"/>
      <c r="M2103" s="16" t="n">
        <v>80</v>
      </c>
      <c r="N2103" s="19"/>
    </row>
    <row r="2104" customFormat="false" ht="15" hidden="false" customHeight="false" outlineLevel="0" collapsed="false">
      <c r="A2104" s="13" t="s">
        <v>5197</v>
      </c>
      <c r="B2104" s="13" t="s">
        <v>365</v>
      </c>
      <c r="C2104" s="13" t="s">
        <v>43</v>
      </c>
      <c r="D2104" s="13" t="s">
        <v>2324</v>
      </c>
      <c r="E2104" s="13" t="s">
        <v>2064</v>
      </c>
      <c r="F2104" s="13" t="n">
        <v>1</v>
      </c>
      <c r="G2104" s="13" t="n">
        <v>1</v>
      </c>
      <c r="H2104" s="5" t="n">
        <v>80</v>
      </c>
      <c r="I2104" s="7" t="n">
        <v>1</v>
      </c>
      <c r="J2104" s="16" t="n">
        <v>80</v>
      </c>
      <c r="K2104" s="16" t="n">
        <v>80</v>
      </c>
      <c r="L2104" s="16"/>
      <c r="M2104" s="16"/>
      <c r="N2104" s="19"/>
    </row>
    <row r="2105" customFormat="false" ht="15" hidden="false" customHeight="false" outlineLevel="0" collapsed="false">
      <c r="A2105" s="13" t="s">
        <v>5198</v>
      </c>
      <c r="B2105" s="13" t="s">
        <v>2194</v>
      </c>
      <c r="C2105" s="13" t="s">
        <v>183</v>
      </c>
      <c r="D2105" s="13" t="s">
        <v>2324</v>
      </c>
      <c r="E2105" s="13" t="s">
        <v>5199</v>
      </c>
      <c r="F2105" s="13" t="n">
        <v>1</v>
      </c>
      <c r="G2105" s="13" t="n">
        <v>1</v>
      </c>
      <c r="H2105" s="5" t="n">
        <v>70</v>
      </c>
      <c r="I2105" s="7" t="n">
        <v>2</v>
      </c>
      <c r="J2105" s="16" t="n">
        <v>35</v>
      </c>
      <c r="K2105" s="16"/>
      <c r="L2105" s="16"/>
      <c r="M2105" s="16" t="n">
        <v>35</v>
      </c>
      <c r="N2105" s="19"/>
    </row>
    <row r="2106" customFormat="false" ht="15" hidden="false" customHeight="false" outlineLevel="0" collapsed="false">
      <c r="A2106" s="13" t="s">
        <v>5200</v>
      </c>
      <c r="B2106" s="13" t="s">
        <v>2194</v>
      </c>
      <c r="C2106" s="13" t="s">
        <v>183</v>
      </c>
      <c r="D2106" s="13" t="s">
        <v>2324</v>
      </c>
      <c r="E2106" s="13" t="s">
        <v>5201</v>
      </c>
      <c r="F2106" s="13" t="n">
        <v>1</v>
      </c>
      <c r="G2106" s="13" t="n">
        <v>1</v>
      </c>
      <c r="H2106" s="5" t="n">
        <v>70</v>
      </c>
      <c r="I2106" s="7" t="n">
        <v>2</v>
      </c>
      <c r="J2106" s="16" t="n">
        <v>35</v>
      </c>
      <c r="K2106" s="16"/>
      <c r="L2106" s="16"/>
      <c r="M2106" s="16" t="n">
        <v>35</v>
      </c>
      <c r="N2106" s="19"/>
    </row>
    <row r="2107" customFormat="false" ht="15" hidden="false" customHeight="false" outlineLevel="0" collapsed="false">
      <c r="A2107" s="13" t="s">
        <v>5202</v>
      </c>
      <c r="B2107" s="13" t="s">
        <v>2194</v>
      </c>
      <c r="C2107" s="13" t="s">
        <v>85</v>
      </c>
      <c r="D2107" s="13" t="s">
        <v>2324</v>
      </c>
      <c r="E2107" s="13" t="s">
        <v>5203</v>
      </c>
      <c r="F2107" s="13" t="n">
        <v>1</v>
      </c>
      <c r="G2107" s="13" t="n">
        <v>1</v>
      </c>
      <c r="H2107" s="5" t="n">
        <v>70</v>
      </c>
      <c r="I2107" s="7" t="n">
        <v>1</v>
      </c>
      <c r="J2107" s="16" t="n">
        <v>70</v>
      </c>
      <c r="K2107" s="16"/>
      <c r="L2107" s="16"/>
      <c r="M2107" s="16" t="n">
        <v>70</v>
      </c>
      <c r="N2107" s="19"/>
    </row>
    <row r="2108" customFormat="false" ht="15" hidden="false" customHeight="false" outlineLevel="0" collapsed="false">
      <c r="A2108" s="13" t="s">
        <v>5204</v>
      </c>
      <c r="B2108" s="13" t="s">
        <v>2194</v>
      </c>
      <c r="C2108" s="13" t="s">
        <v>85</v>
      </c>
      <c r="D2108" s="13" t="s">
        <v>2324</v>
      </c>
      <c r="E2108" s="13" t="s">
        <v>5205</v>
      </c>
      <c r="F2108" s="13" t="n">
        <v>1</v>
      </c>
      <c r="G2108" s="13" t="n">
        <v>1</v>
      </c>
      <c r="H2108" s="5" t="n">
        <v>70</v>
      </c>
      <c r="I2108" s="7" t="n">
        <v>1</v>
      </c>
      <c r="J2108" s="16" t="n">
        <v>70</v>
      </c>
      <c r="K2108" s="16"/>
      <c r="L2108" s="16"/>
      <c r="M2108" s="16" t="n">
        <v>70</v>
      </c>
      <c r="N2108" s="19"/>
    </row>
    <row r="2109" customFormat="false" ht="15" hidden="false" customHeight="false" outlineLevel="0" collapsed="false">
      <c r="A2109" s="13" t="s">
        <v>5206</v>
      </c>
      <c r="B2109" s="13" t="s">
        <v>2101</v>
      </c>
      <c r="C2109" s="13" t="s">
        <v>85</v>
      </c>
      <c r="D2109" s="13" t="s">
        <v>2324</v>
      </c>
      <c r="E2109" s="13" t="s">
        <v>5207</v>
      </c>
      <c r="F2109" s="13" t="n">
        <v>1</v>
      </c>
      <c r="G2109" s="13" t="n">
        <v>1</v>
      </c>
      <c r="H2109" s="5" t="n">
        <v>70</v>
      </c>
      <c r="I2109" s="7" t="n">
        <v>1</v>
      </c>
      <c r="J2109" s="16" t="n">
        <v>70</v>
      </c>
      <c r="K2109" s="16" t="n">
        <v>70</v>
      </c>
      <c r="L2109" s="16"/>
      <c r="M2109" s="16"/>
      <c r="N2109" s="19"/>
    </row>
    <row r="2110" customFormat="false" ht="15" hidden="false" customHeight="false" outlineLevel="0" collapsed="false">
      <c r="A2110" s="13" t="s">
        <v>5208</v>
      </c>
      <c r="B2110" s="13" t="s">
        <v>2099</v>
      </c>
      <c r="C2110" s="13" t="s">
        <v>43</v>
      </c>
      <c r="D2110" s="13" t="s">
        <v>2324</v>
      </c>
      <c r="E2110" s="13" t="s">
        <v>5209</v>
      </c>
      <c r="F2110" s="13" t="n">
        <v>1</v>
      </c>
      <c r="G2110" s="13" t="n">
        <v>1</v>
      </c>
      <c r="H2110" s="5" t="n">
        <v>70</v>
      </c>
      <c r="I2110" s="7" t="n">
        <v>2</v>
      </c>
      <c r="J2110" s="16" t="n">
        <v>35</v>
      </c>
      <c r="K2110" s="16" t="n">
        <v>35</v>
      </c>
      <c r="L2110" s="16"/>
      <c r="M2110" s="16"/>
      <c r="N2110" s="19"/>
    </row>
    <row r="2111" customFormat="false" ht="15" hidden="false" customHeight="false" outlineLevel="0" collapsed="false">
      <c r="A2111" s="13" t="s">
        <v>5210</v>
      </c>
      <c r="B2111" s="13" t="s">
        <v>2296</v>
      </c>
      <c r="C2111" s="13" t="s">
        <v>43</v>
      </c>
      <c r="D2111" s="13" t="s">
        <v>2324</v>
      </c>
      <c r="E2111" s="13" t="s">
        <v>5211</v>
      </c>
      <c r="F2111" s="13" t="n">
        <v>1</v>
      </c>
      <c r="G2111" s="13" t="n">
        <v>1</v>
      </c>
      <c r="H2111" s="5" t="n">
        <v>70</v>
      </c>
      <c r="I2111" s="7" t="n">
        <v>1</v>
      </c>
      <c r="J2111" s="16" t="n">
        <v>70</v>
      </c>
      <c r="K2111" s="16"/>
      <c r="L2111" s="16"/>
      <c r="M2111" s="16" t="n">
        <v>70</v>
      </c>
      <c r="N2111" s="19"/>
    </row>
    <row r="2112" customFormat="false" ht="15" hidden="false" customHeight="false" outlineLevel="0" collapsed="false">
      <c r="A2112" s="13" t="s">
        <v>5212</v>
      </c>
      <c r="B2112" s="13" t="s">
        <v>121</v>
      </c>
      <c r="C2112" s="13" t="s">
        <v>183</v>
      </c>
      <c r="D2112" s="13" t="s">
        <v>2324</v>
      </c>
      <c r="E2112" s="13" t="s">
        <v>2070</v>
      </c>
      <c r="F2112" s="13" t="n">
        <v>1</v>
      </c>
      <c r="G2112" s="13" t="n">
        <v>1</v>
      </c>
      <c r="H2112" s="5" t="n">
        <v>70</v>
      </c>
      <c r="I2112" s="7" t="n">
        <v>1</v>
      </c>
      <c r="J2112" s="16" t="n">
        <v>70</v>
      </c>
      <c r="K2112" s="16"/>
      <c r="L2112" s="16"/>
      <c r="M2112" s="16" t="n">
        <v>70</v>
      </c>
      <c r="N2112" s="19"/>
    </row>
    <row r="2113" customFormat="false" ht="15" hidden="false" customHeight="false" outlineLevel="0" collapsed="false">
      <c r="A2113" s="13" t="s">
        <v>5213</v>
      </c>
      <c r="B2113" s="13" t="s">
        <v>107</v>
      </c>
      <c r="C2113" s="13" t="s">
        <v>43</v>
      </c>
      <c r="D2113" s="13" t="s">
        <v>2324</v>
      </c>
      <c r="E2113" s="13" t="s">
        <v>2073</v>
      </c>
      <c r="F2113" s="13" t="n">
        <v>1</v>
      </c>
      <c r="G2113" s="13" t="n">
        <v>1</v>
      </c>
      <c r="H2113" s="5" t="n">
        <v>70</v>
      </c>
      <c r="I2113" s="7" t="n">
        <v>2</v>
      </c>
      <c r="J2113" s="16" t="n">
        <v>35</v>
      </c>
      <c r="K2113" s="16"/>
      <c r="L2113" s="16"/>
      <c r="M2113" s="16" t="n">
        <v>35</v>
      </c>
      <c r="N2113" s="19"/>
    </row>
    <row r="2114" customFormat="false" ht="15" hidden="false" customHeight="false" outlineLevel="0" collapsed="false">
      <c r="A2114" s="13" t="s">
        <v>5214</v>
      </c>
      <c r="B2114" s="13" t="s">
        <v>121</v>
      </c>
      <c r="C2114" s="13" t="s">
        <v>183</v>
      </c>
      <c r="D2114" s="13" t="s">
        <v>2324</v>
      </c>
      <c r="E2114" s="13" t="s">
        <v>2068</v>
      </c>
      <c r="F2114" s="13" t="n">
        <v>1</v>
      </c>
      <c r="G2114" s="13" t="n">
        <v>1</v>
      </c>
      <c r="H2114" s="5" t="n">
        <v>70</v>
      </c>
      <c r="I2114" s="7" t="n">
        <v>1</v>
      </c>
      <c r="J2114" s="16" t="n">
        <v>70</v>
      </c>
      <c r="K2114" s="16"/>
      <c r="L2114" s="16"/>
      <c r="M2114" s="16" t="n">
        <v>70</v>
      </c>
      <c r="N2114" s="19"/>
    </row>
    <row r="2115" customFormat="false" ht="15" hidden="false" customHeight="false" outlineLevel="0" collapsed="false">
      <c r="A2115" s="13" t="s">
        <v>5215</v>
      </c>
      <c r="B2115" s="13" t="s">
        <v>121</v>
      </c>
      <c r="C2115" s="13" t="s">
        <v>43</v>
      </c>
      <c r="D2115" s="13" t="s">
        <v>2324</v>
      </c>
      <c r="E2115" s="13" t="s">
        <v>2071</v>
      </c>
      <c r="F2115" s="13" t="n">
        <v>1</v>
      </c>
      <c r="G2115" s="13" t="n">
        <v>1</v>
      </c>
      <c r="H2115" s="5" t="n">
        <v>70</v>
      </c>
      <c r="I2115" s="7" t="n">
        <v>1</v>
      </c>
      <c r="J2115" s="16" t="n">
        <v>70</v>
      </c>
      <c r="K2115" s="16"/>
      <c r="L2115" s="16"/>
      <c r="M2115" s="16" t="n">
        <v>70</v>
      </c>
      <c r="N2115" s="19"/>
    </row>
    <row r="2116" customFormat="false" ht="15" hidden="false" customHeight="false" outlineLevel="0" collapsed="false">
      <c r="A2116" s="13" t="s">
        <v>5216</v>
      </c>
      <c r="B2116" s="13" t="s">
        <v>107</v>
      </c>
      <c r="C2116" s="13" t="s">
        <v>43</v>
      </c>
      <c r="D2116" s="13" t="s">
        <v>2324</v>
      </c>
      <c r="E2116" s="13" t="s">
        <v>2072</v>
      </c>
      <c r="F2116" s="13" t="n">
        <v>1</v>
      </c>
      <c r="G2116" s="13" t="n">
        <v>1</v>
      </c>
      <c r="H2116" s="5" t="n">
        <v>70</v>
      </c>
      <c r="I2116" s="7" t="n">
        <v>2</v>
      </c>
      <c r="J2116" s="16" t="n">
        <v>35</v>
      </c>
      <c r="K2116" s="16"/>
      <c r="L2116" s="16"/>
      <c r="M2116" s="16" t="n">
        <v>35</v>
      </c>
      <c r="N2116" s="19"/>
    </row>
    <row r="2117" customFormat="false" ht="15" hidden="false" customHeight="false" outlineLevel="0" collapsed="false">
      <c r="A2117" s="13" t="s">
        <v>5217</v>
      </c>
      <c r="B2117" s="13" t="s">
        <v>107</v>
      </c>
      <c r="C2117" s="13" t="s">
        <v>43</v>
      </c>
      <c r="D2117" s="13" t="s">
        <v>2455</v>
      </c>
      <c r="E2117" s="13" t="s">
        <v>2072</v>
      </c>
      <c r="F2117" s="13" t="n">
        <v>1</v>
      </c>
      <c r="G2117" s="13" t="n">
        <v>2</v>
      </c>
      <c r="H2117" s="5" t="n">
        <v>70</v>
      </c>
      <c r="I2117" s="7" t="n">
        <v>2</v>
      </c>
      <c r="J2117" s="16" t="n">
        <v>35</v>
      </c>
      <c r="K2117" s="16"/>
      <c r="L2117" s="16"/>
      <c r="M2117" s="16" t="n">
        <v>35</v>
      </c>
      <c r="N2117" s="19"/>
    </row>
    <row r="2118" customFormat="false" ht="15" hidden="false" customHeight="false" outlineLevel="0" collapsed="false">
      <c r="A2118" s="13" t="s">
        <v>5218</v>
      </c>
      <c r="B2118" s="13" t="s">
        <v>121</v>
      </c>
      <c r="C2118" s="13" t="s">
        <v>43</v>
      </c>
      <c r="D2118" s="13" t="s">
        <v>3228</v>
      </c>
      <c r="E2118" s="13" t="s">
        <v>2067</v>
      </c>
      <c r="F2118" s="13" t="n">
        <v>1</v>
      </c>
      <c r="G2118" s="13" t="n">
        <v>1</v>
      </c>
      <c r="H2118" s="5" t="n">
        <v>70</v>
      </c>
      <c r="I2118" s="7" t="n">
        <v>1</v>
      </c>
      <c r="J2118" s="16" t="n">
        <v>70</v>
      </c>
      <c r="K2118" s="16"/>
      <c r="L2118" s="16"/>
      <c r="M2118" s="16" t="n">
        <v>70</v>
      </c>
      <c r="N2118" s="19"/>
    </row>
    <row r="2119" customFormat="false" ht="15" hidden="false" customHeight="false" outlineLevel="0" collapsed="false">
      <c r="A2119" s="13" t="s">
        <v>5219</v>
      </c>
      <c r="B2119" s="13" t="s">
        <v>2287</v>
      </c>
      <c r="C2119" s="13" t="s">
        <v>85</v>
      </c>
      <c r="D2119" s="13" t="s">
        <v>2324</v>
      </c>
      <c r="E2119" s="13" t="s">
        <v>5220</v>
      </c>
      <c r="F2119" s="13" t="n">
        <v>1</v>
      </c>
      <c r="G2119" s="13" t="n">
        <v>1</v>
      </c>
      <c r="H2119" s="5" t="n">
        <v>60</v>
      </c>
      <c r="I2119" s="7" t="n">
        <v>2</v>
      </c>
      <c r="J2119" s="16" t="n">
        <v>30</v>
      </c>
      <c r="K2119" s="16" t="n">
        <v>30</v>
      </c>
      <c r="L2119" s="16"/>
      <c r="M2119" s="16"/>
      <c r="N2119" s="19"/>
    </row>
    <row r="2120" customFormat="false" ht="15" hidden="false" customHeight="false" outlineLevel="0" collapsed="false">
      <c r="A2120" s="13" t="s">
        <v>5221</v>
      </c>
      <c r="B2120" s="13" t="s">
        <v>121</v>
      </c>
      <c r="C2120" s="13" t="s">
        <v>183</v>
      </c>
      <c r="D2120" s="13" t="s">
        <v>2324</v>
      </c>
      <c r="E2120" s="13" t="s">
        <v>2079</v>
      </c>
      <c r="F2120" s="13" t="n">
        <v>1</v>
      </c>
      <c r="G2120" s="13" t="n">
        <v>1</v>
      </c>
      <c r="H2120" s="5" t="n">
        <v>60</v>
      </c>
      <c r="I2120" s="7" t="n">
        <v>1</v>
      </c>
      <c r="J2120" s="16" t="n">
        <v>60</v>
      </c>
      <c r="K2120" s="16"/>
      <c r="L2120" s="16"/>
      <c r="M2120" s="16" t="n">
        <v>60</v>
      </c>
      <c r="N2120" s="19"/>
    </row>
    <row r="2121" customFormat="false" ht="15" hidden="false" customHeight="false" outlineLevel="0" collapsed="false">
      <c r="A2121" s="13" t="s">
        <v>5222</v>
      </c>
      <c r="B2121" s="13" t="s">
        <v>2270</v>
      </c>
      <c r="C2121" s="13" t="s">
        <v>183</v>
      </c>
      <c r="D2121" s="13" t="s">
        <v>2324</v>
      </c>
      <c r="E2121" s="13" t="s">
        <v>5223</v>
      </c>
      <c r="F2121" s="13" t="n">
        <v>1</v>
      </c>
      <c r="G2121" s="13" t="n">
        <v>1</v>
      </c>
      <c r="H2121" s="5" t="n">
        <v>60</v>
      </c>
      <c r="I2121" s="7" t="n">
        <v>1</v>
      </c>
      <c r="J2121" s="16" t="n">
        <v>60</v>
      </c>
      <c r="K2121" s="16"/>
      <c r="L2121" s="16"/>
      <c r="M2121" s="16" t="n">
        <v>60</v>
      </c>
      <c r="N2121" s="19"/>
    </row>
    <row r="2122" customFormat="false" ht="15" hidden="false" customHeight="false" outlineLevel="0" collapsed="false">
      <c r="A2122" s="13" t="s">
        <v>5224</v>
      </c>
      <c r="B2122" s="13" t="s">
        <v>2194</v>
      </c>
      <c r="C2122" s="13" t="s">
        <v>85</v>
      </c>
      <c r="D2122" s="13" t="s">
        <v>2324</v>
      </c>
      <c r="E2122" s="13" t="s">
        <v>5225</v>
      </c>
      <c r="F2122" s="13" t="n">
        <v>1</v>
      </c>
      <c r="G2122" s="13" t="n">
        <v>1</v>
      </c>
      <c r="H2122" s="5" t="n">
        <v>60</v>
      </c>
      <c r="I2122" s="7" t="n">
        <v>1</v>
      </c>
      <c r="J2122" s="16" t="n">
        <v>60</v>
      </c>
      <c r="K2122" s="16"/>
      <c r="L2122" s="16"/>
      <c r="M2122" s="16" t="n">
        <v>60</v>
      </c>
      <c r="N2122" s="19"/>
    </row>
    <row r="2123" customFormat="false" ht="15" hidden="false" customHeight="false" outlineLevel="0" collapsed="false">
      <c r="A2123" s="13" t="s">
        <v>5226</v>
      </c>
      <c r="B2123" s="13" t="s">
        <v>2194</v>
      </c>
      <c r="C2123" s="13" t="s">
        <v>85</v>
      </c>
      <c r="D2123" s="13" t="s">
        <v>2324</v>
      </c>
      <c r="E2123" s="13" t="s">
        <v>5227</v>
      </c>
      <c r="F2123" s="13" t="n">
        <v>1</v>
      </c>
      <c r="G2123" s="13" t="n">
        <v>1</v>
      </c>
      <c r="H2123" s="5" t="n">
        <v>60</v>
      </c>
      <c r="I2123" s="7" t="n">
        <v>1</v>
      </c>
      <c r="J2123" s="16" t="n">
        <v>60</v>
      </c>
      <c r="K2123" s="16"/>
      <c r="L2123" s="16"/>
      <c r="M2123" s="16" t="n">
        <v>60</v>
      </c>
      <c r="N2123" s="19"/>
    </row>
    <row r="2124" customFormat="false" ht="15" hidden="false" customHeight="false" outlineLevel="0" collapsed="false">
      <c r="A2124" s="13" t="s">
        <v>5228</v>
      </c>
      <c r="B2124" s="13" t="s">
        <v>81</v>
      </c>
      <c r="C2124" s="13" t="s">
        <v>85</v>
      </c>
      <c r="D2124" s="13" t="s">
        <v>2324</v>
      </c>
      <c r="E2124" s="13" t="s">
        <v>2075</v>
      </c>
      <c r="F2124" s="13" t="n">
        <v>1</v>
      </c>
      <c r="G2124" s="13" t="n">
        <v>1</v>
      </c>
      <c r="H2124" s="5" t="n">
        <v>60</v>
      </c>
      <c r="I2124" s="7" t="n">
        <v>1</v>
      </c>
      <c r="J2124" s="16" t="n">
        <v>60</v>
      </c>
      <c r="K2124" s="16" t="n">
        <v>60</v>
      </c>
      <c r="L2124" s="16"/>
      <c r="M2124" s="16"/>
      <c r="N2124" s="19"/>
    </row>
    <row r="2125" customFormat="false" ht="15" hidden="false" customHeight="false" outlineLevel="0" collapsed="false">
      <c r="A2125" s="13" t="s">
        <v>5229</v>
      </c>
      <c r="B2125" s="13" t="s">
        <v>2272</v>
      </c>
      <c r="C2125" s="13" t="s">
        <v>85</v>
      </c>
      <c r="D2125" s="13" t="s">
        <v>2324</v>
      </c>
      <c r="E2125" s="13" t="s">
        <v>5230</v>
      </c>
      <c r="F2125" s="13" t="n">
        <v>1</v>
      </c>
      <c r="G2125" s="13" t="n">
        <v>1</v>
      </c>
      <c r="H2125" s="5" t="n">
        <v>60</v>
      </c>
      <c r="I2125" s="7" t="n">
        <v>1</v>
      </c>
      <c r="J2125" s="16" t="n">
        <v>60</v>
      </c>
      <c r="K2125" s="16"/>
      <c r="L2125" s="16"/>
      <c r="M2125" s="16" t="n">
        <v>60</v>
      </c>
      <c r="N2125" s="19"/>
    </row>
    <row r="2126" customFormat="false" ht="15" hidden="false" customHeight="false" outlineLevel="0" collapsed="false">
      <c r="A2126" s="13" t="s">
        <v>5231</v>
      </c>
      <c r="B2126" s="13" t="s">
        <v>2194</v>
      </c>
      <c r="C2126" s="13" t="s">
        <v>85</v>
      </c>
      <c r="D2126" s="13" t="s">
        <v>3772</v>
      </c>
      <c r="E2126" s="13" t="s">
        <v>5232</v>
      </c>
      <c r="F2126" s="13" t="n">
        <v>1</v>
      </c>
      <c r="G2126" s="13" t="n">
        <v>1</v>
      </c>
      <c r="H2126" s="5" t="n">
        <v>60</v>
      </c>
      <c r="I2126" s="7" t="n">
        <v>2</v>
      </c>
      <c r="J2126" s="16" t="n">
        <v>30</v>
      </c>
      <c r="K2126" s="16"/>
      <c r="L2126" s="16"/>
      <c r="M2126" s="16" t="n">
        <v>30</v>
      </c>
      <c r="N2126" s="19"/>
    </row>
    <row r="2127" customFormat="false" ht="15" hidden="false" customHeight="false" outlineLevel="0" collapsed="false">
      <c r="A2127" s="13" t="s">
        <v>5233</v>
      </c>
      <c r="B2127" s="13" t="s">
        <v>107</v>
      </c>
      <c r="C2127" s="13" t="s">
        <v>43</v>
      </c>
      <c r="D2127" s="13" t="s">
        <v>2324</v>
      </c>
      <c r="E2127" s="13" t="s">
        <v>2080</v>
      </c>
      <c r="F2127" s="13" t="n">
        <v>1</v>
      </c>
      <c r="G2127" s="13" t="n">
        <v>1</v>
      </c>
      <c r="H2127" s="5" t="n">
        <v>60</v>
      </c>
      <c r="I2127" s="7" t="n">
        <v>2</v>
      </c>
      <c r="J2127" s="16" t="n">
        <v>30</v>
      </c>
      <c r="K2127" s="16"/>
      <c r="L2127" s="16"/>
      <c r="M2127" s="16" t="n">
        <v>30</v>
      </c>
      <c r="N2127" s="19"/>
    </row>
    <row r="2128" customFormat="false" ht="15" hidden="false" customHeight="false" outlineLevel="0" collapsed="false">
      <c r="A2128" s="13" t="s">
        <v>5234</v>
      </c>
      <c r="B2128" s="13" t="s">
        <v>2296</v>
      </c>
      <c r="C2128" s="13" t="s">
        <v>43</v>
      </c>
      <c r="D2128" s="13" t="s">
        <v>2337</v>
      </c>
      <c r="E2128" s="13" t="s">
        <v>5235</v>
      </c>
      <c r="F2128" s="13" t="n">
        <v>1</v>
      </c>
      <c r="G2128" s="13" t="n">
        <v>1</v>
      </c>
      <c r="H2128" s="5" t="n">
        <v>60</v>
      </c>
      <c r="I2128" s="7" t="n">
        <v>1</v>
      </c>
      <c r="J2128" s="16" t="n">
        <v>60</v>
      </c>
      <c r="K2128" s="16"/>
      <c r="L2128" s="16"/>
      <c r="M2128" s="16" t="n">
        <v>60</v>
      </c>
      <c r="N2128" s="19"/>
    </row>
    <row r="2129" customFormat="false" ht="15" hidden="false" customHeight="false" outlineLevel="0" collapsed="false">
      <c r="A2129" s="13" t="s">
        <v>5236</v>
      </c>
      <c r="B2129" s="13" t="s">
        <v>121</v>
      </c>
      <c r="C2129" s="13" t="s">
        <v>183</v>
      </c>
      <c r="D2129" s="13" t="s">
        <v>2324</v>
      </c>
      <c r="E2129" s="13" t="s">
        <v>2076</v>
      </c>
      <c r="F2129" s="13" t="n">
        <v>1</v>
      </c>
      <c r="G2129" s="13" t="n">
        <v>1</v>
      </c>
      <c r="H2129" s="5" t="n">
        <v>60</v>
      </c>
      <c r="I2129" s="7" t="n">
        <v>1</v>
      </c>
      <c r="J2129" s="16" t="n">
        <v>60</v>
      </c>
      <c r="K2129" s="16"/>
      <c r="L2129" s="16"/>
      <c r="M2129" s="16" t="n">
        <v>60</v>
      </c>
      <c r="N2129" s="19"/>
    </row>
    <row r="2130" customFormat="false" ht="15" hidden="false" customHeight="false" outlineLevel="0" collapsed="false">
      <c r="A2130" s="13" t="s">
        <v>5237</v>
      </c>
      <c r="B2130" s="13" t="s">
        <v>2194</v>
      </c>
      <c r="C2130" s="13" t="s">
        <v>85</v>
      </c>
      <c r="D2130" s="13" t="s">
        <v>2324</v>
      </c>
      <c r="E2130" s="13" t="s">
        <v>5238</v>
      </c>
      <c r="F2130" s="13" t="n">
        <v>1</v>
      </c>
      <c r="G2130" s="13" t="n">
        <v>1</v>
      </c>
      <c r="H2130" s="5" t="n">
        <v>50</v>
      </c>
      <c r="I2130" s="7" t="n">
        <v>1</v>
      </c>
      <c r="J2130" s="16" t="n">
        <v>50</v>
      </c>
      <c r="K2130" s="16"/>
      <c r="L2130" s="16"/>
      <c r="M2130" s="16" t="n">
        <v>50</v>
      </c>
      <c r="N2130" s="19"/>
    </row>
    <row r="2131" customFormat="false" ht="15" hidden="false" customHeight="false" outlineLevel="0" collapsed="false">
      <c r="A2131" s="13" t="s">
        <v>5239</v>
      </c>
      <c r="B2131" s="13" t="s">
        <v>2126</v>
      </c>
      <c r="C2131" s="13" t="s">
        <v>183</v>
      </c>
      <c r="D2131" s="13" t="s">
        <v>2429</v>
      </c>
      <c r="E2131" s="13" t="s">
        <v>5240</v>
      </c>
      <c r="F2131" s="13" t="n">
        <v>1</v>
      </c>
      <c r="G2131" s="13" t="n">
        <v>1</v>
      </c>
      <c r="H2131" s="5" t="n">
        <v>50</v>
      </c>
      <c r="I2131" s="7" t="n">
        <v>1</v>
      </c>
      <c r="J2131" s="16" t="n">
        <v>50</v>
      </c>
      <c r="K2131" s="16" t="n">
        <v>50</v>
      </c>
      <c r="L2131" s="16"/>
      <c r="M2131" s="16"/>
      <c r="N2131" s="19"/>
    </row>
    <row r="2132" customFormat="false" ht="15" hidden="false" customHeight="false" outlineLevel="0" collapsed="false">
      <c r="A2132" s="13" t="s">
        <v>5241</v>
      </c>
      <c r="B2132" s="13" t="s">
        <v>2194</v>
      </c>
      <c r="C2132" s="13" t="s">
        <v>85</v>
      </c>
      <c r="D2132" s="13" t="s">
        <v>5242</v>
      </c>
      <c r="E2132" s="13" t="s">
        <v>5243</v>
      </c>
      <c r="F2132" s="13" t="n">
        <v>1</v>
      </c>
      <c r="G2132" s="13" t="n">
        <v>1</v>
      </c>
      <c r="H2132" s="5" t="n">
        <v>50</v>
      </c>
      <c r="I2132" s="7" t="n">
        <v>1</v>
      </c>
      <c r="J2132" s="16" t="n">
        <v>50</v>
      </c>
      <c r="K2132" s="16"/>
      <c r="L2132" s="16"/>
      <c r="M2132" s="16" t="n">
        <v>50</v>
      </c>
      <c r="N2132" s="19"/>
    </row>
    <row r="2133" customFormat="false" ht="15" hidden="false" customHeight="false" outlineLevel="0" collapsed="false">
      <c r="A2133" s="13" t="s">
        <v>5244</v>
      </c>
      <c r="B2133" s="13" t="s">
        <v>121</v>
      </c>
      <c r="C2133" s="13" t="s">
        <v>43</v>
      </c>
      <c r="D2133" s="13" t="s">
        <v>2324</v>
      </c>
      <c r="E2133" s="13" t="s">
        <v>2082</v>
      </c>
      <c r="F2133" s="13" t="n">
        <v>1</v>
      </c>
      <c r="G2133" s="13" t="n">
        <v>1</v>
      </c>
      <c r="H2133" s="5" t="n">
        <v>50</v>
      </c>
      <c r="I2133" s="7" t="n">
        <v>1</v>
      </c>
      <c r="J2133" s="16" t="n">
        <v>50</v>
      </c>
      <c r="K2133" s="16"/>
      <c r="L2133" s="16"/>
      <c r="M2133" s="16" t="n">
        <v>50</v>
      </c>
      <c r="N2133" s="19"/>
    </row>
    <row r="2134" customFormat="false" ht="15" hidden="false" customHeight="false" outlineLevel="0" collapsed="false">
      <c r="A2134" s="13" t="s">
        <v>5245</v>
      </c>
      <c r="B2134" s="13" t="s">
        <v>2121</v>
      </c>
      <c r="C2134" s="13" t="s">
        <v>144</v>
      </c>
      <c r="D2134" s="13" t="s">
        <v>2324</v>
      </c>
      <c r="E2134" s="13" t="s">
        <v>5246</v>
      </c>
      <c r="F2134" s="13" t="n">
        <v>1</v>
      </c>
      <c r="G2134" s="13" t="n">
        <v>1</v>
      </c>
      <c r="H2134" s="5" t="n">
        <v>50</v>
      </c>
      <c r="I2134" s="7" t="n">
        <v>1</v>
      </c>
      <c r="J2134" s="16" t="n">
        <v>50</v>
      </c>
      <c r="K2134" s="16" t="n">
        <v>50</v>
      </c>
      <c r="L2134" s="16"/>
      <c r="M2134" s="16"/>
      <c r="N2134" s="19"/>
    </row>
    <row r="2135" customFormat="false" ht="15" hidden="false" customHeight="false" outlineLevel="0" collapsed="false">
      <c r="A2135" s="13" t="s">
        <v>5247</v>
      </c>
      <c r="B2135" s="13" t="s">
        <v>155</v>
      </c>
      <c r="C2135" s="13" t="s">
        <v>43</v>
      </c>
      <c r="D2135" s="13" t="s">
        <v>2751</v>
      </c>
      <c r="E2135" s="13" t="s">
        <v>2084</v>
      </c>
      <c r="F2135" s="13" t="n">
        <v>1</v>
      </c>
      <c r="G2135" s="13" t="n">
        <v>1</v>
      </c>
      <c r="H2135" s="5" t="n">
        <v>40</v>
      </c>
      <c r="I2135" s="7" t="n">
        <v>1</v>
      </c>
      <c r="J2135" s="16" t="n">
        <v>40</v>
      </c>
      <c r="K2135" s="16"/>
      <c r="L2135" s="16"/>
      <c r="M2135" s="16" t="n">
        <v>40</v>
      </c>
      <c r="N2135" s="19"/>
    </row>
    <row r="2136" customFormat="false" ht="15" hidden="false" customHeight="false" outlineLevel="0" collapsed="false">
      <c r="A2136" s="13" t="s">
        <v>5248</v>
      </c>
      <c r="B2136" s="13" t="s">
        <v>2194</v>
      </c>
      <c r="C2136" s="13" t="s">
        <v>183</v>
      </c>
      <c r="D2136" s="13" t="s">
        <v>2324</v>
      </c>
      <c r="E2136" s="13" t="s">
        <v>5249</v>
      </c>
      <c r="F2136" s="13" t="n">
        <v>1</v>
      </c>
      <c r="G2136" s="13" t="n">
        <v>1</v>
      </c>
      <c r="H2136" s="5" t="n">
        <v>40</v>
      </c>
      <c r="I2136" s="7" t="n">
        <v>1</v>
      </c>
      <c r="J2136" s="16" t="n">
        <v>40</v>
      </c>
      <c r="K2136" s="16"/>
      <c r="L2136" s="16"/>
      <c r="M2136" s="16" t="n">
        <v>40</v>
      </c>
      <c r="N2136" s="19"/>
    </row>
    <row r="2137" customFormat="false" ht="15" hidden="false" customHeight="false" outlineLevel="0" collapsed="false">
      <c r="A2137" s="13" t="s">
        <v>5250</v>
      </c>
      <c r="B2137" s="13" t="s">
        <v>2194</v>
      </c>
      <c r="C2137" s="13" t="s">
        <v>85</v>
      </c>
      <c r="D2137" s="13" t="s">
        <v>2324</v>
      </c>
      <c r="E2137" s="13" t="s">
        <v>5251</v>
      </c>
      <c r="F2137" s="13" t="n">
        <v>1</v>
      </c>
      <c r="G2137" s="13" t="n">
        <v>1</v>
      </c>
      <c r="H2137" s="5" t="n">
        <v>40</v>
      </c>
      <c r="I2137" s="7" t="n">
        <v>1</v>
      </c>
      <c r="J2137" s="16" t="n">
        <v>40</v>
      </c>
      <c r="K2137" s="16"/>
      <c r="L2137" s="16"/>
      <c r="M2137" s="16" t="n">
        <v>40</v>
      </c>
      <c r="N2137" s="19"/>
    </row>
    <row r="2138" customFormat="false" ht="15" hidden="false" customHeight="false" outlineLevel="0" collapsed="false">
      <c r="A2138" s="13" t="s">
        <v>5252</v>
      </c>
      <c r="B2138" s="13" t="s">
        <v>2303</v>
      </c>
      <c r="C2138" s="13" t="s">
        <v>85</v>
      </c>
      <c r="D2138" s="13" t="s">
        <v>2324</v>
      </c>
      <c r="E2138" s="13" t="s">
        <v>5253</v>
      </c>
      <c r="F2138" s="13" t="n">
        <v>1</v>
      </c>
      <c r="G2138" s="13" t="n">
        <v>1</v>
      </c>
      <c r="H2138" s="5" t="n">
        <v>40</v>
      </c>
      <c r="I2138" s="7" t="n">
        <v>1</v>
      </c>
      <c r="J2138" s="16" t="n">
        <v>40</v>
      </c>
      <c r="K2138" s="16"/>
      <c r="L2138" s="16"/>
      <c r="M2138" s="16" t="n">
        <v>40</v>
      </c>
      <c r="N2138" s="19"/>
    </row>
    <row r="2139" customFormat="false" ht="15" hidden="false" customHeight="false" outlineLevel="0" collapsed="false">
      <c r="A2139" s="13" t="s">
        <v>5254</v>
      </c>
      <c r="B2139" s="13" t="s">
        <v>2268</v>
      </c>
      <c r="C2139" s="13" t="s">
        <v>183</v>
      </c>
      <c r="D2139" s="13" t="s">
        <v>2324</v>
      </c>
      <c r="E2139" s="13" t="s">
        <v>5255</v>
      </c>
      <c r="F2139" s="13" t="n">
        <v>1</v>
      </c>
      <c r="G2139" s="13" t="n">
        <v>1</v>
      </c>
      <c r="H2139" s="5" t="n">
        <v>40</v>
      </c>
      <c r="I2139" s="7" t="n">
        <v>2</v>
      </c>
      <c r="J2139" s="16" t="n">
        <v>20</v>
      </c>
      <c r="K2139" s="16"/>
      <c r="L2139" s="16"/>
      <c r="M2139" s="16" t="n">
        <v>20</v>
      </c>
      <c r="N2139" s="19"/>
    </row>
    <row r="2140" customFormat="false" ht="15" hidden="false" customHeight="false" outlineLevel="0" collapsed="false">
      <c r="A2140" s="13" t="s">
        <v>5256</v>
      </c>
      <c r="B2140" s="13" t="s">
        <v>107</v>
      </c>
      <c r="C2140" s="13" t="s">
        <v>43</v>
      </c>
      <c r="D2140" s="13" t="s">
        <v>2324</v>
      </c>
      <c r="E2140" s="13" t="s">
        <v>2072</v>
      </c>
      <c r="F2140" s="13" t="n">
        <v>1</v>
      </c>
      <c r="G2140" s="13" t="n">
        <v>1</v>
      </c>
      <c r="H2140" s="5" t="n">
        <v>40</v>
      </c>
      <c r="I2140" s="7" t="n">
        <v>1</v>
      </c>
      <c r="J2140" s="16" t="n">
        <v>40</v>
      </c>
      <c r="K2140" s="16"/>
      <c r="L2140" s="16"/>
      <c r="M2140" s="16" t="n">
        <v>40</v>
      </c>
      <c r="N2140" s="19"/>
    </row>
    <row r="2141" customFormat="false" ht="15" hidden="false" customHeight="false" outlineLevel="0" collapsed="false">
      <c r="A2141" s="13" t="s">
        <v>5257</v>
      </c>
      <c r="B2141" s="13" t="s">
        <v>2219</v>
      </c>
      <c r="C2141" s="13" t="s">
        <v>43</v>
      </c>
      <c r="D2141" s="13" t="s">
        <v>2751</v>
      </c>
      <c r="E2141" s="13" t="s">
        <v>5258</v>
      </c>
      <c r="F2141" s="13" t="n">
        <v>1</v>
      </c>
      <c r="G2141" s="13" t="n">
        <v>1</v>
      </c>
      <c r="H2141" s="5" t="n">
        <v>40</v>
      </c>
      <c r="I2141" s="7" t="n">
        <v>1</v>
      </c>
      <c r="J2141" s="16" t="n">
        <v>40</v>
      </c>
      <c r="K2141" s="16"/>
      <c r="L2141" s="16"/>
      <c r="M2141" s="16" t="n">
        <v>40</v>
      </c>
      <c r="N2141" s="19"/>
    </row>
    <row r="2142" customFormat="false" ht="15" hidden="false" customHeight="false" outlineLevel="0" collapsed="false">
      <c r="A2142" s="13" t="s">
        <v>5259</v>
      </c>
      <c r="B2142" s="13" t="s">
        <v>107</v>
      </c>
      <c r="C2142" s="13" t="s">
        <v>43</v>
      </c>
      <c r="D2142" s="13" t="s">
        <v>2324</v>
      </c>
      <c r="E2142" s="13" t="s">
        <v>2085</v>
      </c>
      <c r="F2142" s="13" t="n">
        <v>1</v>
      </c>
      <c r="G2142" s="13" t="n">
        <v>1</v>
      </c>
      <c r="H2142" s="5" t="n">
        <v>40</v>
      </c>
      <c r="I2142" s="7" t="n">
        <v>1</v>
      </c>
      <c r="J2142" s="16" t="n">
        <v>40</v>
      </c>
      <c r="K2142" s="16"/>
      <c r="L2142" s="16"/>
      <c r="M2142" s="16" t="n">
        <v>40</v>
      </c>
      <c r="N2142" s="19"/>
    </row>
    <row r="2143" customFormat="false" ht="15" hidden="false" customHeight="false" outlineLevel="0" collapsed="false">
      <c r="A2143" s="13" t="s">
        <v>5260</v>
      </c>
      <c r="B2143" s="13" t="s">
        <v>2302</v>
      </c>
      <c r="C2143" s="13" t="s">
        <v>183</v>
      </c>
      <c r="D2143" s="13" t="s">
        <v>2324</v>
      </c>
      <c r="E2143" s="13" t="s">
        <v>5261</v>
      </c>
      <c r="F2143" s="13" t="n">
        <v>1</v>
      </c>
      <c r="G2143" s="13" t="n">
        <v>1</v>
      </c>
      <c r="H2143" s="5" t="n">
        <v>40</v>
      </c>
      <c r="I2143" s="7" t="n">
        <v>1</v>
      </c>
      <c r="J2143" s="16" t="n">
        <v>40</v>
      </c>
      <c r="K2143" s="16" t="n">
        <v>40</v>
      </c>
      <c r="L2143" s="16"/>
      <c r="M2143" s="16"/>
      <c r="N2143" s="19"/>
    </row>
    <row r="2144" customFormat="false" ht="15" hidden="false" customHeight="false" outlineLevel="0" collapsed="false">
      <c r="A2144" s="13" t="s">
        <v>5262</v>
      </c>
      <c r="B2144" s="13" t="s">
        <v>2100</v>
      </c>
      <c r="C2144" s="13" t="s">
        <v>43</v>
      </c>
      <c r="D2144" s="13" t="s">
        <v>2327</v>
      </c>
      <c r="E2144" s="13" t="s">
        <v>5263</v>
      </c>
      <c r="F2144" s="13" t="n">
        <v>1</v>
      </c>
      <c r="G2144" s="13" t="n">
        <v>1</v>
      </c>
      <c r="H2144" s="5" t="n">
        <v>40</v>
      </c>
      <c r="I2144" s="7" t="n">
        <v>1</v>
      </c>
      <c r="J2144" s="16" t="n">
        <v>40</v>
      </c>
      <c r="K2144" s="16" t="n">
        <v>40</v>
      </c>
      <c r="L2144" s="16"/>
      <c r="M2144" s="16"/>
      <c r="N2144" s="19"/>
    </row>
    <row r="2145" customFormat="false" ht="15" hidden="false" customHeight="false" outlineLevel="0" collapsed="false">
      <c r="A2145" s="13" t="s">
        <v>5264</v>
      </c>
      <c r="B2145" s="13" t="s">
        <v>2215</v>
      </c>
      <c r="C2145" s="13" t="s">
        <v>85</v>
      </c>
      <c r="D2145" s="13" t="s">
        <v>2324</v>
      </c>
      <c r="E2145" s="13" t="s">
        <v>5265</v>
      </c>
      <c r="F2145" s="13" t="n">
        <v>1</v>
      </c>
      <c r="G2145" s="13" t="n">
        <v>1</v>
      </c>
      <c r="H2145" s="5" t="n">
        <v>40</v>
      </c>
      <c r="I2145" s="7" t="n">
        <v>1</v>
      </c>
      <c r="J2145" s="16" t="n">
        <v>40</v>
      </c>
      <c r="K2145" s="16"/>
      <c r="L2145" s="16"/>
      <c r="M2145" s="16" t="n">
        <v>40</v>
      </c>
      <c r="N2145" s="19"/>
    </row>
    <row r="2146" customFormat="false" ht="15" hidden="false" customHeight="false" outlineLevel="0" collapsed="false">
      <c r="A2146" s="13" t="s">
        <v>5266</v>
      </c>
      <c r="B2146" s="13" t="s">
        <v>2194</v>
      </c>
      <c r="C2146" s="13" t="s">
        <v>85</v>
      </c>
      <c r="D2146" s="13" t="s">
        <v>2324</v>
      </c>
      <c r="E2146" s="13" t="s">
        <v>5267</v>
      </c>
      <c r="F2146" s="13" t="n">
        <v>1</v>
      </c>
      <c r="G2146" s="13" t="n">
        <v>1</v>
      </c>
      <c r="H2146" s="5" t="n">
        <v>30</v>
      </c>
      <c r="I2146" s="7" t="n">
        <v>1</v>
      </c>
      <c r="J2146" s="16" t="n">
        <v>30</v>
      </c>
      <c r="K2146" s="16"/>
      <c r="L2146" s="16"/>
      <c r="M2146" s="16" t="n">
        <v>30</v>
      </c>
      <c r="N2146" s="19"/>
    </row>
    <row r="2148" customFormat="false" ht="31.5" hidden="false" customHeight="true" outlineLevel="0" collapsed="false">
      <c r="A2148" s="12" t="s">
        <v>5268</v>
      </c>
      <c r="B2148" s="12"/>
      <c r="C2148" s="12"/>
      <c r="D2148" s="12"/>
      <c r="E2148" s="12"/>
      <c r="F2148" s="12"/>
      <c r="G2148" s="12"/>
      <c r="H2148" s="12"/>
    </row>
  </sheetData>
  <mergeCells count="3">
    <mergeCell ref="A1:M1"/>
    <mergeCell ref="A2:M2"/>
    <mergeCell ref="A2148:H21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16"/>
    <col collapsed="false" customWidth="true" hidden="false" outlineLevel="0" max="16" min="15" style="0" width="10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20"/>
    <col collapsed="false" customWidth="true" hidden="false" outlineLevel="0" max="22" min="22" style="0" width="14"/>
    <col collapsed="false" customWidth="true" hidden="false" outlineLevel="0" max="23" min="23" style="0" width="16"/>
  </cols>
  <sheetData>
    <row r="1" customFormat="false" ht="46.25" hidden="false" customHeight="false" outlineLevel="0" collapsed="false">
      <c r="A1" s="15" t="s">
        <v>5269</v>
      </c>
      <c r="B1" s="15" t="s">
        <v>29</v>
      </c>
      <c r="C1" s="15" t="s">
        <v>5270</v>
      </c>
      <c r="D1" s="15" t="s">
        <v>5271</v>
      </c>
      <c r="E1" s="15" t="s">
        <v>5272</v>
      </c>
      <c r="F1" s="15" t="s">
        <v>5273</v>
      </c>
      <c r="G1" s="15" t="s">
        <v>5274</v>
      </c>
      <c r="H1" s="15" t="s">
        <v>5275</v>
      </c>
      <c r="I1" s="15" t="s">
        <v>5276</v>
      </c>
      <c r="J1" s="15" t="s">
        <v>5277</v>
      </c>
      <c r="K1" s="15" t="s">
        <v>5278</v>
      </c>
      <c r="L1" s="15" t="s">
        <v>5279</v>
      </c>
      <c r="M1" s="15" t="s">
        <v>5280</v>
      </c>
      <c r="N1" s="15" t="s">
        <v>2311</v>
      </c>
      <c r="O1" s="15" t="s">
        <v>5281</v>
      </c>
      <c r="P1" s="15" t="s">
        <v>5282</v>
      </c>
      <c r="Q1" s="15" t="s">
        <v>5283</v>
      </c>
      <c r="R1" s="15" t="s">
        <v>5284</v>
      </c>
      <c r="S1" s="15" t="s">
        <v>5285</v>
      </c>
      <c r="T1" s="15" t="s">
        <v>38</v>
      </c>
      <c r="U1" s="15" t="s">
        <v>30</v>
      </c>
      <c r="V1" s="15" t="s">
        <v>5286</v>
      </c>
      <c r="W1" s="15" t="s">
        <v>5287</v>
      </c>
    </row>
    <row r="2" customFormat="false" ht="15" hidden="false" customHeight="false" outlineLevel="0" collapsed="false">
      <c r="A2" s="13" t="s">
        <v>2325</v>
      </c>
      <c r="B2" s="13" t="s">
        <v>2094</v>
      </c>
      <c r="C2" s="13" t="n">
        <v>237000</v>
      </c>
      <c r="D2" s="13" t="n">
        <v>2200</v>
      </c>
      <c r="E2" s="13" t="n">
        <v>109.030762517226</v>
      </c>
      <c r="F2" s="13" t="s">
        <v>5288</v>
      </c>
      <c r="G2" s="13" t="s">
        <v>5289</v>
      </c>
      <c r="H2" s="13" t="s">
        <v>5289</v>
      </c>
      <c r="I2" s="13" t="s">
        <v>5289</v>
      </c>
      <c r="J2" s="13" t="s">
        <v>5289</v>
      </c>
      <c r="K2" s="13" t="s">
        <v>5289</v>
      </c>
      <c r="L2" s="13" t="s">
        <v>5290</v>
      </c>
      <c r="M2" s="13"/>
      <c r="N2" s="13" t="n">
        <v>7898639690388</v>
      </c>
      <c r="O2" s="13"/>
      <c r="P2" s="13" t="s">
        <v>5291</v>
      </c>
      <c r="Q2" s="13" t="s">
        <v>5289</v>
      </c>
      <c r="R2" s="13" t="s">
        <v>5292</v>
      </c>
      <c r="S2" s="13" t="s">
        <v>5293</v>
      </c>
      <c r="T2" s="13" t="s">
        <v>3</v>
      </c>
      <c r="U2" s="13" t="s">
        <v>57</v>
      </c>
      <c r="V2" s="13" t="n">
        <f aca="false">IF(COUNTIF($B$2:B2,B2)=1,1,0)</f>
        <v>1</v>
      </c>
      <c r="W2" s="13" t="n">
        <f aca="false">IF(COUNTIFS($B$2:B2,B2,$T$2:T2,T2)=1,1,0)</f>
        <v>1</v>
      </c>
    </row>
    <row r="3" customFormat="false" ht="15" hidden="false" customHeight="false" outlineLevel="0" collapsed="false">
      <c r="A3" s="13" t="s">
        <v>5294</v>
      </c>
      <c r="B3" s="13" t="s">
        <v>2094</v>
      </c>
      <c r="C3" s="13" t="n">
        <v>179000</v>
      </c>
      <c r="D3" s="13" t="n">
        <v>1900</v>
      </c>
      <c r="E3" s="13" t="n">
        <v>94.0824012638231</v>
      </c>
      <c r="F3" s="13" t="s">
        <v>5288</v>
      </c>
      <c r="G3" s="13" t="s">
        <v>5289</v>
      </c>
      <c r="H3" s="13" t="s">
        <v>5289</v>
      </c>
      <c r="I3" s="13" t="s">
        <v>5289</v>
      </c>
      <c r="J3" s="13" t="s">
        <v>5289</v>
      </c>
      <c r="K3" s="13" t="s">
        <v>5292</v>
      </c>
      <c r="L3" s="13" t="s">
        <v>5295</v>
      </c>
      <c r="M3" s="13"/>
      <c r="N3" s="13" t="n">
        <v>7898301059895</v>
      </c>
      <c r="O3" s="13"/>
      <c r="P3" s="13" t="s">
        <v>5291</v>
      </c>
      <c r="Q3" s="13" t="s">
        <v>5289</v>
      </c>
      <c r="R3" s="13" t="s">
        <v>5292</v>
      </c>
      <c r="S3" s="13" t="s">
        <v>5293</v>
      </c>
      <c r="T3" s="13" t="s">
        <v>3</v>
      </c>
      <c r="U3" s="13" t="s">
        <v>57</v>
      </c>
      <c r="V3" s="13" t="n">
        <f aca="false">IF(COUNTIF($B$2:B3,B3)=1,1,0)</f>
        <v>0</v>
      </c>
      <c r="W3" s="13" t="n">
        <f aca="false">IF(COUNTIFS($B$2:B3,B3,$T$2:T3,T3)=1,1,0)</f>
        <v>0</v>
      </c>
    </row>
    <row r="4" customFormat="false" ht="15" hidden="false" customHeight="false" outlineLevel="0" collapsed="false">
      <c r="A4" s="13" t="s">
        <v>5296</v>
      </c>
      <c r="B4" s="13" t="s">
        <v>2094</v>
      </c>
      <c r="C4" s="13" t="n">
        <v>172000</v>
      </c>
      <c r="D4" s="13" t="n">
        <v>1600</v>
      </c>
      <c r="E4" s="13" t="n">
        <v>107.991841609051</v>
      </c>
      <c r="F4" s="13" t="s">
        <v>5288</v>
      </c>
      <c r="G4" s="13" t="s">
        <v>5289</v>
      </c>
      <c r="H4" s="13" t="s">
        <v>5289</v>
      </c>
      <c r="I4" s="13" t="s">
        <v>5289</v>
      </c>
      <c r="J4" s="13" t="s">
        <v>5289</v>
      </c>
      <c r="K4" s="13" t="s">
        <v>5289</v>
      </c>
      <c r="L4" s="13" t="s">
        <v>5290</v>
      </c>
      <c r="M4" s="13"/>
      <c r="N4" s="13" t="n">
        <v>7898639690388</v>
      </c>
      <c r="O4" s="13"/>
      <c r="P4" s="13" t="s">
        <v>5297</v>
      </c>
      <c r="Q4" s="13" t="s">
        <v>5289</v>
      </c>
      <c r="R4" s="13" t="s">
        <v>5292</v>
      </c>
      <c r="S4" s="13" t="s">
        <v>5293</v>
      </c>
      <c r="T4" s="13" t="s">
        <v>3</v>
      </c>
      <c r="U4" s="13" t="s">
        <v>57</v>
      </c>
      <c r="V4" s="13" t="n">
        <f aca="false">IF(COUNTIF($B$2:B4,B4)=1,1,0)</f>
        <v>0</v>
      </c>
      <c r="W4" s="13" t="n">
        <f aca="false">IF(COUNTIFS($B$2:B4,B4,$T$2:T4,T4)=1,1,0)</f>
        <v>0</v>
      </c>
    </row>
    <row r="5" customFormat="false" ht="15" hidden="false" customHeight="false" outlineLevel="0" collapsed="false">
      <c r="A5" s="13" t="s">
        <v>5298</v>
      </c>
      <c r="B5" s="13" t="s">
        <v>2096</v>
      </c>
      <c r="C5" s="13" t="n">
        <v>143000</v>
      </c>
      <c r="D5" s="13" t="n">
        <v>1400</v>
      </c>
      <c r="E5" s="13" t="n">
        <v>103.126175413372</v>
      </c>
      <c r="F5" s="13" t="s">
        <v>5288</v>
      </c>
      <c r="G5" s="13" t="s">
        <v>5289</v>
      </c>
      <c r="H5" s="13" t="s">
        <v>5289</v>
      </c>
      <c r="I5" s="13" t="s">
        <v>5289</v>
      </c>
      <c r="J5" s="13" t="s">
        <v>5289</v>
      </c>
      <c r="K5" s="13" t="s">
        <v>5289</v>
      </c>
      <c r="L5" s="13" t="s">
        <v>5299</v>
      </c>
      <c r="M5" s="13"/>
      <c r="N5" s="13" t="n">
        <v>7.89103387292379E+025</v>
      </c>
      <c r="O5" s="13"/>
      <c r="P5" s="13" t="s">
        <v>5291</v>
      </c>
      <c r="Q5" s="13" t="s">
        <v>5289</v>
      </c>
      <c r="R5" s="13" t="s">
        <v>5292</v>
      </c>
      <c r="S5" s="13" t="s">
        <v>5293</v>
      </c>
      <c r="T5" s="13" t="s">
        <v>3</v>
      </c>
      <c r="U5" s="13" t="s">
        <v>43</v>
      </c>
      <c r="V5" s="13" t="n">
        <f aca="false">IF(COUNTIF($B$2:B5,B5)=1,1,0)</f>
        <v>1</v>
      </c>
      <c r="W5" s="13" t="n">
        <f aca="false">IF(COUNTIFS($B$2:B5,B5,$T$2:T5,T5)=1,1,0)</f>
        <v>1</v>
      </c>
    </row>
    <row r="6" customFormat="false" ht="15" hidden="false" customHeight="false" outlineLevel="0" collapsed="false">
      <c r="A6" s="13" t="s">
        <v>2350</v>
      </c>
      <c r="B6" s="13" t="s">
        <v>2098</v>
      </c>
      <c r="C6" s="13" t="n">
        <v>122000</v>
      </c>
      <c r="D6" s="13" t="n">
        <v>1800</v>
      </c>
      <c r="E6" s="13" t="n">
        <v>68.4912788732394</v>
      </c>
      <c r="F6" s="13" t="s">
        <v>5288</v>
      </c>
      <c r="G6" s="13" t="s">
        <v>5289</v>
      </c>
      <c r="H6" s="13" t="s">
        <v>5289</v>
      </c>
      <c r="I6" s="13" t="s">
        <v>5292</v>
      </c>
      <c r="J6" s="13" t="s">
        <v>5289</v>
      </c>
      <c r="K6" s="13" t="s">
        <v>5292</v>
      </c>
      <c r="L6" s="13" t="s">
        <v>5300</v>
      </c>
      <c r="M6" s="13"/>
      <c r="N6" s="13" t="n">
        <v>7898301054494</v>
      </c>
      <c r="O6" s="13"/>
      <c r="P6" s="13" t="s">
        <v>5291</v>
      </c>
      <c r="Q6" s="13" t="s">
        <v>5289</v>
      </c>
      <c r="R6" s="13" t="s">
        <v>5292</v>
      </c>
      <c r="S6" s="13" t="s">
        <v>5293</v>
      </c>
      <c r="T6" s="13" t="s">
        <v>3</v>
      </c>
      <c r="U6" s="13" t="s">
        <v>57</v>
      </c>
      <c r="V6" s="13" t="n">
        <f aca="false">IF(COUNTIF($B$2:B6,B6)=1,1,0)</f>
        <v>1</v>
      </c>
      <c r="W6" s="13" t="n">
        <f aca="false">IF(COUNTIFS($B$2:B6,B6,$T$2:T6,T6)=1,1,0)</f>
        <v>1</v>
      </c>
    </row>
    <row r="7" customFormat="false" ht="15" hidden="false" customHeight="false" outlineLevel="0" collapsed="false">
      <c r="A7" s="13" t="s">
        <v>2352</v>
      </c>
      <c r="B7" s="13" t="s">
        <v>2094</v>
      </c>
      <c r="C7" s="13" t="n">
        <v>121000</v>
      </c>
      <c r="D7" s="13" t="n">
        <v>1700</v>
      </c>
      <c r="E7" s="13" t="n">
        <v>71.8071158392435</v>
      </c>
      <c r="F7" s="13" t="s">
        <v>5288</v>
      </c>
      <c r="G7" s="13" t="s">
        <v>5289</v>
      </c>
      <c r="H7" s="13" t="s">
        <v>5289</v>
      </c>
      <c r="I7" s="13" t="s">
        <v>5292</v>
      </c>
      <c r="J7" s="13" t="s">
        <v>5289</v>
      </c>
      <c r="K7" s="13" t="s">
        <v>5292</v>
      </c>
      <c r="L7" s="13" t="s">
        <v>5301</v>
      </c>
      <c r="M7" s="13"/>
      <c r="N7" s="13" t="n">
        <v>7898639690999</v>
      </c>
      <c r="O7" s="13"/>
      <c r="P7" s="13" t="s">
        <v>5291</v>
      </c>
      <c r="Q7" s="13" t="s">
        <v>5289</v>
      </c>
      <c r="R7" s="13" t="s">
        <v>5292</v>
      </c>
      <c r="S7" s="13" t="s">
        <v>5293</v>
      </c>
      <c r="T7" s="13" t="s">
        <v>3</v>
      </c>
      <c r="U7" s="13" t="s">
        <v>57</v>
      </c>
      <c r="V7" s="13" t="n">
        <f aca="false">IF(COUNTIF($B$2:B7,B7)=1,1,0)</f>
        <v>0</v>
      </c>
      <c r="W7" s="13" t="n">
        <f aca="false">IF(COUNTIFS($B$2:B7,B7,$T$2:T7,T7)=1,1,0)</f>
        <v>0</v>
      </c>
    </row>
    <row r="8" customFormat="false" ht="15" hidden="false" customHeight="false" outlineLevel="0" collapsed="false">
      <c r="A8" s="13" t="s">
        <v>2331</v>
      </c>
      <c r="B8" s="13" t="s">
        <v>2094</v>
      </c>
      <c r="C8" s="13" t="n">
        <v>114000</v>
      </c>
      <c r="D8" s="13" t="n">
        <v>1200</v>
      </c>
      <c r="E8" s="13" t="n">
        <v>93.9014143920595</v>
      </c>
      <c r="F8" s="13" t="s">
        <v>5288</v>
      </c>
      <c r="G8" s="13" t="s">
        <v>5289</v>
      </c>
      <c r="H8" s="13" t="s">
        <v>5289</v>
      </c>
      <c r="I8" s="13" t="s">
        <v>5289</v>
      </c>
      <c r="J8" s="13" t="s">
        <v>5289</v>
      </c>
      <c r="K8" s="13" t="s">
        <v>5289</v>
      </c>
      <c r="L8" s="13" t="s">
        <v>5295</v>
      </c>
      <c r="M8" s="13"/>
      <c r="N8" s="13" t="n">
        <v>7898301059895</v>
      </c>
      <c r="O8" s="13"/>
      <c r="P8" s="13" t="s">
        <v>5291</v>
      </c>
      <c r="Q8" s="13" t="s">
        <v>5289</v>
      </c>
      <c r="R8" s="13" t="s">
        <v>5292</v>
      </c>
      <c r="S8" s="13" t="s">
        <v>5293</v>
      </c>
      <c r="T8" s="13" t="s">
        <v>3</v>
      </c>
      <c r="U8" s="13" t="s">
        <v>57</v>
      </c>
      <c r="V8" s="13" t="n">
        <f aca="false">IF(COUNTIF($B$2:B8,B8)=1,1,0)</f>
        <v>0</v>
      </c>
      <c r="W8" s="13" t="n">
        <f aca="false">IF(COUNTIFS($B$2:B8,B8,$T$2:T8,T8)=1,1,0)</f>
        <v>0</v>
      </c>
    </row>
    <row r="9" customFormat="false" ht="15" hidden="false" customHeight="false" outlineLevel="0" collapsed="false">
      <c r="A9" s="13" t="s">
        <v>58</v>
      </c>
      <c r="B9" s="13" t="s">
        <v>56</v>
      </c>
      <c r="C9" s="13" t="n">
        <v>110000</v>
      </c>
      <c r="D9" s="13" t="n">
        <v>820</v>
      </c>
      <c r="E9" s="13" t="n">
        <v>134.041711491442</v>
      </c>
      <c r="F9" s="13" t="s">
        <v>5288</v>
      </c>
      <c r="G9" s="13" t="s">
        <v>5289</v>
      </c>
      <c r="H9" s="13" t="s">
        <v>5289</v>
      </c>
      <c r="I9" s="13" t="s">
        <v>5289</v>
      </c>
      <c r="J9" s="13" t="s">
        <v>5289</v>
      </c>
      <c r="K9" s="13" t="s">
        <v>5289</v>
      </c>
      <c r="L9" s="13" t="s">
        <v>5302</v>
      </c>
      <c r="M9" s="13"/>
      <c r="N9" s="13" t="n">
        <v>7898639692924</v>
      </c>
      <c r="O9" s="13"/>
      <c r="P9" s="13" t="s">
        <v>5291</v>
      </c>
      <c r="Q9" s="13" t="s">
        <v>5289</v>
      </c>
      <c r="R9" s="13" t="s">
        <v>5292</v>
      </c>
      <c r="S9" s="13" t="s">
        <v>5293</v>
      </c>
      <c r="T9" s="13" t="s">
        <v>3</v>
      </c>
      <c r="U9" s="13" t="s">
        <v>57</v>
      </c>
      <c r="V9" s="13" t="n">
        <f aca="false">IF(COUNTIF($B$2:B9,B9)=1,1,0)</f>
        <v>1</v>
      </c>
      <c r="W9" s="13" t="n">
        <f aca="false">IF(COUNTIFS($B$2:B9,B9,$T$2:T9,T9)=1,1,0)</f>
        <v>1</v>
      </c>
    </row>
    <row r="10" customFormat="false" ht="15" hidden="false" customHeight="false" outlineLevel="0" collapsed="false">
      <c r="A10" s="13" t="s">
        <v>60</v>
      </c>
      <c r="B10" s="13" t="s">
        <v>59</v>
      </c>
      <c r="C10" s="13" t="n">
        <v>109000</v>
      </c>
      <c r="D10" s="13" t="n">
        <v>1100</v>
      </c>
      <c r="E10" s="13" t="n">
        <v>102.558923512748</v>
      </c>
      <c r="F10" s="13" t="s">
        <v>5288</v>
      </c>
      <c r="G10" s="13" t="s">
        <v>5289</v>
      </c>
      <c r="H10" s="13" t="s">
        <v>5289</v>
      </c>
      <c r="I10" s="13" t="s">
        <v>5289</v>
      </c>
      <c r="J10" s="13" t="s">
        <v>5289</v>
      </c>
      <c r="K10" s="13" t="s">
        <v>5292</v>
      </c>
      <c r="L10" s="13" t="s">
        <v>5303</v>
      </c>
      <c r="M10" s="13"/>
      <c r="N10" s="13" t="n">
        <v>31655531908</v>
      </c>
      <c r="O10" s="13"/>
      <c r="P10" s="13" t="s">
        <v>5291</v>
      </c>
      <c r="Q10" s="13" t="s">
        <v>5289</v>
      </c>
      <c r="R10" s="13" t="s">
        <v>5292</v>
      </c>
      <c r="S10" s="13" t="s">
        <v>5293</v>
      </c>
      <c r="T10" s="13" t="s">
        <v>3</v>
      </c>
      <c r="U10" s="13" t="s">
        <v>43</v>
      </c>
      <c r="V10" s="13" t="n">
        <f aca="false">IF(COUNTIF($B$2:B10,B10)=1,1,0)</f>
        <v>1</v>
      </c>
      <c r="W10" s="13" t="n">
        <f aca="false">IF(COUNTIFS($B$2:B10,B10,$T$2:T10,T10)=1,1,0)</f>
        <v>1</v>
      </c>
    </row>
    <row r="11" customFormat="false" ht="15" hidden="false" customHeight="false" outlineLevel="0" collapsed="false">
      <c r="A11" s="13" t="s">
        <v>67</v>
      </c>
      <c r="B11" s="13" t="s">
        <v>65</v>
      </c>
      <c r="C11" s="13" t="n">
        <v>99700</v>
      </c>
      <c r="D11" s="13" t="n">
        <v>260</v>
      </c>
      <c r="E11" s="13" t="n">
        <v>379.201406844106</v>
      </c>
      <c r="F11" s="13" t="s">
        <v>5288</v>
      </c>
      <c r="G11" s="13" t="s">
        <v>5289</v>
      </c>
      <c r="H11" s="13" t="s">
        <v>5289</v>
      </c>
      <c r="I11" s="13" t="s">
        <v>5289</v>
      </c>
      <c r="J11" s="13" t="s">
        <v>5289</v>
      </c>
      <c r="K11" s="13" t="s">
        <v>5292</v>
      </c>
      <c r="L11" s="13" t="s">
        <v>2361</v>
      </c>
      <c r="M11" s="13"/>
      <c r="N11" s="13" t="n">
        <v>4710206002185</v>
      </c>
      <c r="O11" s="13"/>
      <c r="P11" s="13" t="s">
        <v>5291</v>
      </c>
      <c r="Q11" s="13" t="s">
        <v>5289</v>
      </c>
      <c r="R11" s="13" t="s">
        <v>5292</v>
      </c>
      <c r="S11" s="13" t="s">
        <v>5293</v>
      </c>
      <c r="T11" s="13" t="s">
        <v>3</v>
      </c>
      <c r="U11" s="13" t="s">
        <v>66</v>
      </c>
      <c r="V11" s="13" t="n">
        <f aca="false">IF(COUNTIF($B$2:B11,B11)=1,1,0)</f>
        <v>1</v>
      </c>
      <c r="W11" s="13" t="n">
        <f aca="false">IF(COUNTIFS($B$2:B11,B11,$T$2:T11,T11)=1,1,0)</f>
        <v>1</v>
      </c>
    </row>
    <row r="12" customFormat="false" ht="15" hidden="false" customHeight="false" outlineLevel="0" collapsed="false">
      <c r="A12" s="13" t="s">
        <v>58</v>
      </c>
      <c r="B12" s="13" t="s">
        <v>2094</v>
      </c>
      <c r="C12" s="13" t="n">
        <v>99700</v>
      </c>
      <c r="D12" s="13" t="n">
        <v>930</v>
      </c>
      <c r="E12" s="13" t="n">
        <v>107.043576799141</v>
      </c>
      <c r="F12" s="13" t="s">
        <v>5288</v>
      </c>
      <c r="G12" s="13" t="s">
        <v>5289</v>
      </c>
      <c r="H12" s="13" t="s">
        <v>5289</v>
      </c>
      <c r="I12" s="13" t="s">
        <v>5289</v>
      </c>
      <c r="J12" s="13" t="s">
        <v>5289</v>
      </c>
      <c r="K12" s="13" t="s">
        <v>5289</v>
      </c>
      <c r="L12" s="13" t="s">
        <v>5290</v>
      </c>
      <c r="M12" s="13"/>
      <c r="N12" s="13" t="n">
        <v>7.89863969038879E+025</v>
      </c>
      <c r="O12" s="13"/>
      <c r="P12" s="13" t="s">
        <v>5291</v>
      </c>
      <c r="Q12" s="13" t="s">
        <v>5289</v>
      </c>
      <c r="R12" s="13" t="s">
        <v>5292</v>
      </c>
      <c r="S12" s="13" t="s">
        <v>5293</v>
      </c>
      <c r="T12" s="13" t="s">
        <v>3</v>
      </c>
      <c r="U12" s="13" t="s">
        <v>57</v>
      </c>
      <c r="V12" s="13" t="n">
        <f aca="false">IF(COUNTIF($B$2:B12,B12)=1,1,0)</f>
        <v>0</v>
      </c>
      <c r="W12" s="13" t="n">
        <f aca="false">IF(COUNTIFS($B$2:B12,B12,$T$2:T12,T12)=1,1,0)</f>
        <v>0</v>
      </c>
    </row>
    <row r="13" customFormat="false" ht="15" hidden="false" customHeight="false" outlineLevel="0" collapsed="false">
      <c r="A13" s="13" t="s">
        <v>2356</v>
      </c>
      <c r="B13" s="13" t="s">
        <v>2099</v>
      </c>
      <c r="C13" s="13" t="n">
        <v>97700</v>
      </c>
      <c r="D13" s="13" t="n">
        <v>4400</v>
      </c>
      <c r="E13" s="13" t="n">
        <v>21.9887618190004</v>
      </c>
      <c r="F13" s="13" t="s">
        <v>5288</v>
      </c>
      <c r="G13" s="13" t="s">
        <v>5289</v>
      </c>
      <c r="H13" s="13" t="s">
        <v>5289</v>
      </c>
      <c r="I13" s="13" t="s">
        <v>5292</v>
      </c>
      <c r="J13" s="13" t="s">
        <v>5289</v>
      </c>
      <c r="K13" s="13" t="s">
        <v>5292</v>
      </c>
      <c r="L13" s="13" t="s">
        <v>2355</v>
      </c>
      <c r="M13" s="13"/>
      <c r="N13" s="13" t="n">
        <v>7899952324523</v>
      </c>
      <c r="O13" s="13"/>
      <c r="P13" s="13" t="s">
        <v>5304</v>
      </c>
      <c r="Q13" s="13" t="s">
        <v>5289</v>
      </c>
      <c r="R13" s="13" t="s">
        <v>5292</v>
      </c>
      <c r="S13" s="13" t="s">
        <v>5293</v>
      </c>
      <c r="T13" s="13" t="s">
        <v>3</v>
      </c>
      <c r="U13" s="13" t="s">
        <v>43</v>
      </c>
      <c r="V13" s="13" t="n">
        <f aca="false">IF(COUNTIF($B$2:B13,B13)=1,1,0)</f>
        <v>1</v>
      </c>
      <c r="W13" s="13" t="n">
        <f aca="false">IF(COUNTIFS($B$2:B13,B13,$T$2:T13,T13)=1,1,0)</f>
        <v>1</v>
      </c>
    </row>
    <row r="14" customFormat="false" ht="15" hidden="false" customHeight="false" outlineLevel="0" collapsed="false">
      <c r="A14" s="13" t="s">
        <v>70</v>
      </c>
      <c r="B14" s="13" t="s">
        <v>69</v>
      </c>
      <c r="C14" s="13" t="n">
        <v>94400</v>
      </c>
      <c r="D14" s="13" t="n">
        <v>140</v>
      </c>
      <c r="E14" s="13" t="n">
        <v>689.285547445256</v>
      </c>
      <c r="F14" s="13" t="s">
        <v>5288</v>
      </c>
      <c r="G14" s="13" t="s">
        <v>5289</v>
      </c>
      <c r="H14" s="13" t="s">
        <v>5289</v>
      </c>
      <c r="I14" s="13" t="s">
        <v>5289</v>
      </c>
      <c r="J14" s="13" t="s">
        <v>5289</v>
      </c>
      <c r="K14" s="13" t="s">
        <v>5292</v>
      </c>
      <c r="L14" s="13" t="s">
        <v>2544</v>
      </c>
      <c r="M14" s="13"/>
      <c r="N14" s="13"/>
      <c r="O14" s="13"/>
      <c r="P14" s="13" t="s">
        <v>5291</v>
      </c>
      <c r="Q14" s="13" t="s">
        <v>5289</v>
      </c>
      <c r="R14" s="13" t="s">
        <v>5292</v>
      </c>
      <c r="S14" s="13" t="s">
        <v>5293</v>
      </c>
      <c r="T14" s="13" t="s">
        <v>3</v>
      </c>
      <c r="U14" s="13" t="s">
        <v>43</v>
      </c>
      <c r="V14" s="13" t="n">
        <f aca="false">IF(COUNTIF($B$2:B14,B14)=1,1,0)</f>
        <v>1</v>
      </c>
      <c r="W14" s="13" t="n">
        <f aca="false">IF(COUNTIFS($B$2:B14,B14,$T$2:T14,T14)=1,1,0)</f>
        <v>1</v>
      </c>
    </row>
    <row r="15" customFormat="false" ht="15" hidden="false" customHeight="false" outlineLevel="0" collapsed="false">
      <c r="A15" s="13" t="s">
        <v>2363</v>
      </c>
      <c r="B15" s="13" t="s">
        <v>2094</v>
      </c>
      <c r="C15" s="13" t="n">
        <v>92800</v>
      </c>
      <c r="D15" s="13" t="n">
        <v>1900</v>
      </c>
      <c r="E15" s="13" t="n">
        <v>48.2581581685744</v>
      </c>
      <c r="F15" s="13" t="s">
        <v>5288</v>
      </c>
      <c r="G15" s="13" t="s">
        <v>5289</v>
      </c>
      <c r="H15" s="13" t="s">
        <v>5289</v>
      </c>
      <c r="I15" s="13" t="s">
        <v>5292</v>
      </c>
      <c r="J15" s="13" t="s">
        <v>5289</v>
      </c>
      <c r="K15" s="13" t="s">
        <v>5292</v>
      </c>
      <c r="L15" s="13" t="s">
        <v>5305</v>
      </c>
      <c r="M15" s="13"/>
      <c r="N15" s="13" t="n">
        <v>7898639692849</v>
      </c>
      <c r="O15" s="13"/>
      <c r="P15" s="13" t="s">
        <v>5291</v>
      </c>
      <c r="Q15" s="13" t="s">
        <v>5289</v>
      </c>
      <c r="R15" s="13" t="s">
        <v>5292</v>
      </c>
      <c r="S15" s="13" t="s">
        <v>5293</v>
      </c>
      <c r="T15" s="13" t="s">
        <v>3</v>
      </c>
      <c r="U15" s="13" t="s">
        <v>57</v>
      </c>
      <c r="V15" s="13" t="n">
        <f aca="false">IF(COUNTIF($B$2:B15,B15)=1,1,0)</f>
        <v>0</v>
      </c>
      <c r="W15" s="13" t="n">
        <f aca="false">IF(COUNTIFS($B$2:B15,B15,$T$2:T15,T15)=1,1,0)</f>
        <v>0</v>
      </c>
    </row>
    <row r="16" customFormat="false" ht="15" hidden="false" customHeight="false" outlineLevel="0" collapsed="false">
      <c r="A16" s="13" t="s">
        <v>75</v>
      </c>
      <c r="B16" s="13" t="s">
        <v>74</v>
      </c>
      <c r="C16" s="13" t="n">
        <v>92400</v>
      </c>
      <c r="D16" s="13" t="n">
        <v>480</v>
      </c>
      <c r="E16" s="13" t="n">
        <v>192.931858037578</v>
      </c>
      <c r="F16" s="13" t="s">
        <v>5288</v>
      </c>
      <c r="G16" s="13" t="s">
        <v>5289</v>
      </c>
      <c r="H16" s="13" t="s">
        <v>5289</v>
      </c>
      <c r="I16" s="13" t="s">
        <v>5289</v>
      </c>
      <c r="J16" s="13" t="s">
        <v>5289</v>
      </c>
      <c r="K16" s="13" t="s">
        <v>5289</v>
      </c>
      <c r="L16" s="13" t="s">
        <v>5306</v>
      </c>
      <c r="M16" s="13"/>
      <c r="N16" s="13"/>
      <c r="O16" s="13"/>
      <c r="P16" s="13" t="s">
        <v>5291</v>
      </c>
      <c r="Q16" s="13" t="s">
        <v>5289</v>
      </c>
      <c r="R16" s="13" t="s">
        <v>5292</v>
      </c>
      <c r="S16" s="13" t="s">
        <v>5293</v>
      </c>
      <c r="T16" s="13" t="s">
        <v>3</v>
      </c>
      <c r="U16" s="13" t="s">
        <v>43</v>
      </c>
      <c r="V16" s="13" t="n">
        <f aca="false">IF(COUNTIF($B$2:B16,B16)=1,1,0)</f>
        <v>1</v>
      </c>
      <c r="W16" s="13" t="n">
        <f aca="false">IF(COUNTIFS($B$2:B16,B16,$T$2:T16,T16)=1,1,0)</f>
        <v>1</v>
      </c>
    </row>
    <row r="17" customFormat="false" ht="15" hidden="false" customHeight="false" outlineLevel="0" collapsed="false">
      <c r="A17" s="13" t="s">
        <v>76</v>
      </c>
      <c r="B17" s="13" t="s">
        <v>69</v>
      </c>
      <c r="C17" s="13" t="n">
        <v>92000</v>
      </c>
      <c r="D17" s="13" t="n">
        <v>130</v>
      </c>
      <c r="E17" s="13" t="n">
        <v>707.433153846154</v>
      </c>
      <c r="F17" s="13" t="s">
        <v>5288</v>
      </c>
      <c r="G17" s="13" t="s">
        <v>5289</v>
      </c>
      <c r="H17" s="13" t="s">
        <v>5289</v>
      </c>
      <c r="I17" s="13" t="s">
        <v>5289</v>
      </c>
      <c r="J17" s="13" t="s">
        <v>5289</v>
      </c>
      <c r="K17" s="13" t="s">
        <v>5292</v>
      </c>
      <c r="L17" s="13" t="s">
        <v>2357</v>
      </c>
      <c r="M17" s="13"/>
      <c r="N17" s="13" t="n">
        <v>3614273852814</v>
      </c>
      <c r="O17" s="13"/>
      <c r="P17" s="13" t="s">
        <v>5291</v>
      </c>
      <c r="Q17" s="13" t="s">
        <v>5289</v>
      </c>
      <c r="R17" s="13" t="s">
        <v>5292</v>
      </c>
      <c r="S17" s="13" t="s">
        <v>5293</v>
      </c>
      <c r="T17" s="13" t="s">
        <v>3</v>
      </c>
      <c r="U17" s="13" t="s">
        <v>43</v>
      </c>
      <c r="V17" s="13" t="n">
        <f aca="false">IF(COUNTIF($B$2:B17,B17)=1,1,0)</f>
        <v>0</v>
      </c>
      <c r="W17" s="13" t="n">
        <f aca="false">IF(COUNTIFS($B$2:B17,B17,$T$2:T17,T17)=1,1,0)</f>
        <v>0</v>
      </c>
    </row>
    <row r="18" customFormat="false" ht="15" hidden="false" customHeight="false" outlineLevel="0" collapsed="false">
      <c r="A18" s="13" t="s">
        <v>2365</v>
      </c>
      <c r="B18" s="13" t="s">
        <v>2095</v>
      </c>
      <c r="C18" s="13" t="n">
        <v>91100</v>
      </c>
      <c r="D18" s="13" t="n">
        <v>1200</v>
      </c>
      <c r="E18" s="13" t="n">
        <v>76.7231986531987</v>
      </c>
      <c r="F18" s="13" t="s">
        <v>5288</v>
      </c>
      <c r="G18" s="13" t="s">
        <v>5289</v>
      </c>
      <c r="H18" s="13" t="s">
        <v>5289</v>
      </c>
      <c r="I18" s="13" t="s">
        <v>5292</v>
      </c>
      <c r="J18" s="13" t="s">
        <v>5289</v>
      </c>
      <c r="K18" s="13" t="s">
        <v>5292</v>
      </c>
      <c r="L18" s="13" t="s">
        <v>5307</v>
      </c>
      <c r="M18" s="13"/>
      <c r="N18" s="13" t="n">
        <v>7898919865567</v>
      </c>
      <c r="O18" s="13"/>
      <c r="P18" s="13" t="s">
        <v>5291</v>
      </c>
      <c r="Q18" s="13" t="s">
        <v>5289</v>
      </c>
      <c r="R18" s="13" t="s">
        <v>5292</v>
      </c>
      <c r="S18" s="13" t="s">
        <v>5293</v>
      </c>
      <c r="T18" s="13" t="s">
        <v>3</v>
      </c>
      <c r="U18" s="13" t="s">
        <v>140</v>
      </c>
      <c r="V18" s="13" t="n">
        <f aca="false">IF(COUNTIF($B$2:B18,B18)=1,1,0)</f>
        <v>1</v>
      </c>
      <c r="W18" s="13" t="n">
        <f aca="false">IF(COUNTIFS($B$2:B18,B18,$T$2:T18,T18)=1,1,0)</f>
        <v>1</v>
      </c>
    </row>
    <row r="19" customFormat="false" ht="15" hidden="false" customHeight="false" outlineLevel="0" collapsed="false">
      <c r="A19" s="13" t="s">
        <v>80</v>
      </c>
      <c r="B19" s="13" t="s">
        <v>79</v>
      </c>
      <c r="C19" s="13" t="n">
        <v>84600</v>
      </c>
      <c r="D19" s="13" t="n">
        <v>150</v>
      </c>
      <c r="E19" s="13" t="n">
        <v>571.462162162162</v>
      </c>
      <c r="F19" s="13" t="s">
        <v>5288</v>
      </c>
      <c r="G19" s="13" t="s">
        <v>5289</v>
      </c>
      <c r="H19" s="13" t="s">
        <v>5289</v>
      </c>
      <c r="I19" s="13" t="s">
        <v>5289</v>
      </c>
      <c r="J19" s="13" t="s">
        <v>5289</v>
      </c>
      <c r="K19" s="13" t="s">
        <v>5289</v>
      </c>
      <c r="L19" s="13" t="s">
        <v>5308</v>
      </c>
      <c r="M19" s="13"/>
      <c r="N19" s="13"/>
      <c r="O19" s="13"/>
      <c r="P19" s="13" t="s">
        <v>5291</v>
      </c>
      <c r="Q19" s="13" t="s">
        <v>5289</v>
      </c>
      <c r="R19" s="13" t="s">
        <v>5292</v>
      </c>
      <c r="S19" s="13" t="s">
        <v>5293</v>
      </c>
      <c r="T19" s="13" t="s">
        <v>3</v>
      </c>
      <c r="U19" s="13" t="s">
        <v>43</v>
      </c>
      <c r="V19" s="13" t="n">
        <f aca="false">IF(COUNTIF($B$2:B19,B19)=1,1,0)</f>
        <v>1</v>
      </c>
      <c r="W19" s="13" t="n">
        <f aca="false">IF(COUNTIFS($B$2:B19,B19,$T$2:T19,T19)=1,1,0)</f>
        <v>1</v>
      </c>
    </row>
    <row r="20" customFormat="false" ht="15" hidden="false" customHeight="false" outlineLevel="0" collapsed="false">
      <c r="A20" s="13" t="s">
        <v>83</v>
      </c>
      <c r="B20" s="13" t="s">
        <v>81</v>
      </c>
      <c r="C20" s="13" t="n">
        <v>84100</v>
      </c>
      <c r="D20" s="13" t="n">
        <v>750</v>
      </c>
      <c r="E20" s="13" t="n">
        <v>111.575291777188</v>
      </c>
      <c r="F20" s="13" t="s">
        <v>5288</v>
      </c>
      <c r="G20" s="13" t="s">
        <v>5289</v>
      </c>
      <c r="H20" s="13" t="s">
        <v>5289</v>
      </c>
      <c r="I20" s="13" t="s">
        <v>5289</v>
      </c>
      <c r="J20" s="13" t="s">
        <v>5289</v>
      </c>
      <c r="K20" s="13" t="s">
        <v>5292</v>
      </c>
      <c r="L20" s="13" t="s">
        <v>2369</v>
      </c>
      <c r="M20" s="13"/>
      <c r="N20" s="13" t="n">
        <v>7899206170791</v>
      </c>
      <c r="O20" s="13"/>
      <c r="P20" s="13" t="s">
        <v>5291</v>
      </c>
      <c r="Q20" s="13" t="s">
        <v>5289</v>
      </c>
      <c r="R20" s="13" t="s">
        <v>5292</v>
      </c>
      <c r="S20" s="13" t="s">
        <v>5293</v>
      </c>
      <c r="T20" s="13" t="s">
        <v>3</v>
      </c>
      <c r="U20" s="13" t="s">
        <v>82</v>
      </c>
      <c r="V20" s="13" t="n">
        <f aca="false">IF(COUNTIF($B$2:B20,B20)=1,1,0)</f>
        <v>1</v>
      </c>
      <c r="W20" s="13" t="n">
        <f aca="false">IF(COUNTIFS($B$2:B20,B20,$T$2:T20,T20)=1,1,0)</f>
        <v>1</v>
      </c>
    </row>
    <row r="21" customFormat="false" ht="15" hidden="false" customHeight="false" outlineLevel="0" collapsed="false">
      <c r="A21" s="13" t="s">
        <v>2345</v>
      </c>
      <c r="B21" s="13" t="s">
        <v>2097</v>
      </c>
      <c r="C21" s="13" t="n">
        <v>83800</v>
      </c>
      <c r="D21" s="13" t="n">
        <v>1400</v>
      </c>
      <c r="E21" s="13" t="n">
        <v>60.8369063180828</v>
      </c>
      <c r="F21" s="13" t="s">
        <v>5288</v>
      </c>
      <c r="G21" s="13" t="s">
        <v>5289</v>
      </c>
      <c r="H21" s="13" t="s">
        <v>5289</v>
      </c>
      <c r="I21" s="13" t="s">
        <v>5292</v>
      </c>
      <c r="J21" s="13" t="s">
        <v>5289</v>
      </c>
      <c r="K21" s="13" t="s">
        <v>5292</v>
      </c>
      <c r="L21" s="13" t="s">
        <v>2344</v>
      </c>
      <c r="M21" s="13"/>
      <c r="N21" s="13" t="n">
        <v>7908407005693</v>
      </c>
      <c r="O21" s="13"/>
      <c r="P21" s="13" t="s">
        <v>5291</v>
      </c>
      <c r="Q21" s="13" t="s">
        <v>5289</v>
      </c>
      <c r="R21" s="13" t="s">
        <v>5292</v>
      </c>
      <c r="S21" s="13" t="s">
        <v>5293</v>
      </c>
      <c r="T21" s="13" t="s">
        <v>3</v>
      </c>
      <c r="U21" s="13" t="s">
        <v>140</v>
      </c>
      <c r="V21" s="13" t="n">
        <f aca="false">IF(COUNTIF($B$2:B21,B21)=1,1,0)</f>
        <v>1</v>
      </c>
      <c r="W21" s="13" t="n">
        <f aca="false">IF(COUNTIFS($B$2:B21,B21,$T$2:T21,T21)=1,1,0)</f>
        <v>1</v>
      </c>
    </row>
    <row r="22" customFormat="false" ht="15" hidden="false" customHeight="false" outlineLevel="0" collapsed="false">
      <c r="A22" s="13" t="s">
        <v>2372</v>
      </c>
      <c r="B22" s="13" t="s">
        <v>2094</v>
      </c>
      <c r="C22" s="13" t="n">
        <v>80800</v>
      </c>
      <c r="D22" s="13" t="n">
        <v>780</v>
      </c>
      <c r="E22" s="13" t="n">
        <v>104.005366795367</v>
      </c>
      <c r="F22" s="13" t="s">
        <v>5288</v>
      </c>
      <c r="G22" s="13" t="s">
        <v>5289</v>
      </c>
      <c r="H22" s="13" t="s">
        <v>5289</v>
      </c>
      <c r="I22" s="13" t="s">
        <v>5289</v>
      </c>
      <c r="J22" s="13" t="s">
        <v>5289</v>
      </c>
      <c r="K22" s="13" t="s">
        <v>5289</v>
      </c>
      <c r="L22" s="13" t="s">
        <v>5309</v>
      </c>
      <c r="M22" s="13"/>
      <c r="N22" s="13" t="n">
        <v>7898639691279</v>
      </c>
      <c r="O22" s="13"/>
      <c r="P22" s="13" t="s">
        <v>5297</v>
      </c>
      <c r="Q22" s="13" t="s">
        <v>5289</v>
      </c>
      <c r="R22" s="13" t="s">
        <v>5292</v>
      </c>
      <c r="S22" s="13" t="s">
        <v>5293</v>
      </c>
      <c r="T22" s="13" t="s">
        <v>3</v>
      </c>
      <c r="U22" s="13" t="s">
        <v>57</v>
      </c>
      <c r="V22" s="13" t="n">
        <f aca="false">IF(COUNTIF($B$2:B22,B22)=1,1,0)</f>
        <v>0</v>
      </c>
      <c r="W22" s="13" t="n">
        <f aca="false">IF(COUNTIFS($B$2:B22,B22,$T$2:T22,T22)=1,1,0)</f>
        <v>0</v>
      </c>
    </row>
    <row r="23" customFormat="false" ht="15" hidden="false" customHeight="false" outlineLevel="0" collapsed="false">
      <c r="A23" s="13" t="s">
        <v>5310</v>
      </c>
      <c r="B23" s="13" t="s">
        <v>2094</v>
      </c>
      <c r="C23" s="13" t="n">
        <v>75800</v>
      </c>
      <c r="D23" s="13" t="n">
        <v>590</v>
      </c>
      <c r="E23" s="13" t="n">
        <v>128.190423011844</v>
      </c>
      <c r="F23" s="13" t="s">
        <v>5288</v>
      </c>
      <c r="G23" s="13" t="s">
        <v>5289</v>
      </c>
      <c r="H23" s="13" t="s">
        <v>5289</v>
      </c>
      <c r="I23" s="13" t="s">
        <v>5289</v>
      </c>
      <c r="J23" s="13" t="s">
        <v>5289</v>
      </c>
      <c r="K23" s="13" t="s">
        <v>5289</v>
      </c>
      <c r="L23" s="13" t="s">
        <v>5302</v>
      </c>
      <c r="M23" s="13"/>
      <c r="N23" s="13" t="n">
        <v>7898639692924</v>
      </c>
      <c r="O23" s="13"/>
      <c r="P23" s="13" t="s">
        <v>5291</v>
      </c>
      <c r="Q23" s="13" t="s">
        <v>5289</v>
      </c>
      <c r="R23" s="13" t="s">
        <v>5292</v>
      </c>
      <c r="S23" s="13" t="s">
        <v>5293</v>
      </c>
      <c r="T23" s="13" t="s">
        <v>3</v>
      </c>
      <c r="U23" s="13" t="s">
        <v>57</v>
      </c>
      <c r="V23" s="13" t="n">
        <f aca="false">IF(COUNTIF($B$2:B23,B23)=1,1,0)</f>
        <v>0</v>
      </c>
      <c r="W23" s="13" t="n">
        <f aca="false">IF(COUNTIFS($B$2:B23,B23,$T$2:T23,T23)=1,1,0)</f>
        <v>0</v>
      </c>
    </row>
    <row r="24" customFormat="false" ht="15" hidden="false" customHeight="false" outlineLevel="0" collapsed="false">
      <c r="A24" s="13" t="s">
        <v>86</v>
      </c>
      <c r="B24" s="13" t="s">
        <v>81</v>
      </c>
      <c r="C24" s="13" t="n">
        <v>74700</v>
      </c>
      <c r="D24" s="13" t="n">
        <v>720</v>
      </c>
      <c r="E24" s="13" t="n">
        <v>104.450699300699</v>
      </c>
      <c r="F24" s="13" t="s">
        <v>5288</v>
      </c>
      <c r="G24" s="13" t="s">
        <v>5289</v>
      </c>
      <c r="H24" s="13" t="s">
        <v>5289</v>
      </c>
      <c r="I24" s="13" t="s">
        <v>5289</v>
      </c>
      <c r="J24" s="13" t="s">
        <v>5289</v>
      </c>
      <c r="K24" s="13" t="s">
        <v>5292</v>
      </c>
      <c r="L24" s="13" t="s">
        <v>5311</v>
      </c>
      <c r="M24" s="13"/>
      <c r="N24" s="13" t="n">
        <v>7899206169504</v>
      </c>
      <c r="O24" s="13"/>
      <c r="P24" s="13" t="s">
        <v>5291</v>
      </c>
      <c r="Q24" s="13" t="s">
        <v>5289</v>
      </c>
      <c r="R24" s="13" t="s">
        <v>5292</v>
      </c>
      <c r="S24" s="13" t="s">
        <v>5293</v>
      </c>
      <c r="T24" s="13" t="s">
        <v>3</v>
      </c>
      <c r="U24" s="13" t="s">
        <v>85</v>
      </c>
      <c r="V24" s="13" t="n">
        <f aca="false">IF(COUNTIF($B$2:B24,B24)=1,1,0)</f>
        <v>0</v>
      </c>
      <c r="W24" s="13" t="n">
        <f aca="false">IF(COUNTIFS($B$2:B24,B24,$T$2:T24,T24)=1,1,0)</f>
        <v>0</v>
      </c>
    </row>
    <row r="25" customFormat="false" ht="15" hidden="false" customHeight="false" outlineLevel="0" collapsed="false">
      <c r="A25" s="13" t="s">
        <v>88</v>
      </c>
      <c r="B25" s="13" t="s">
        <v>87</v>
      </c>
      <c r="C25" s="13" t="n">
        <v>74300</v>
      </c>
      <c r="D25" s="13" t="n">
        <v>380</v>
      </c>
      <c r="E25" s="13" t="n">
        <v>195.00656167979</v>
      </c>
      <c r="F25" s="13" t="s">
        <v>5288</v>
      </c>
      <c r="G25" s="13" t="s">
        <v>5289</v>
      </c>
      <c r="H25" s="13" t="s">
        <v>5289</v>
      </c>
      <c r="I25" s="13" t="s">
        <v>5289</v>
      </c>
      <c r="J25" s="13" t="s">
        <v>5289</v>
      </c>
      <c r="K25" s="13" t="s">
        <v>5289</v>
      </c>
      <c r="L25" s="13" t="s">
        <v>5312</v>
      </c>
      <c r="M25" s="13"/>
      <c r="N25" s="13" t="n">
        <v>22255233699</v>
      </c>
      <c r="O25" s="13"/>
      <c r="P25" s="13" t="s">
        <v>5291</v>
      </c>
      <c r="Q25" s="13" t="s">
        <v>5289</v>
      </c>
      <c r="R25" s="13" t="s">
        <v>5292</v>
      </c>
      <c r="S25" s="13" t="s">
        <v>5293</v>
      </c>
      <c r="T25" s="13" t="s">
        <v>3</v>
      </c>
      <c r="U25" s="13" t="s">
        <v>66</v>
      </c>
      <c r="V25" s="13" t="n">
        <f aca="false">IF(COUNTIF($B$2:B25,B25)=1,1,0)</f>
        <v>1</v>
      </c>
      <c r="W25" s="13" t="n">
        <f aca="false">IF(COUNTIFS($B$2:B25,B25,$T$2:T25,T25)=1,1,0)</f>
        <v>1</v>
      </c>
    </row>
    <row r="26" customFormat="false" ht="15" hidden="false" customHeight="false" outlineLevel="0" collapsed="false">
      <c r="A26" s="13" t="s">
        <v>2376</v>
      </c>
      <c r="B26" s="13" t="s">
        <v>2098</v>
      </c>
      <c r="C26" s="13" t="n">
        <v>73900</v>
      </c>
      <c r="D26" s="13" t="n">
        <v>950</v>
      </c>
      <c r="E26" s="13" t="n">
        <v>77.9892827004219</v>
      </c>
      <c r="F26" s="13" t="s">
        <v>5288</v>
      </c>
      <c r="G26" s="13" t="s">
        <v>5289</v>
      </c>
      <c r="H26" s="13" t="s">
        <v>5289</v>
      </c>
      <c r="I26" s="13" t="s">
        <v>5292</v>
      </c>
      <c r="J26" s="13" t="s">
        <v>5289</v>
      </c>
      <c r="K26" s="13" t="s">
        <v>5292</v>
      </c>
      <c r="L26" s="13" t="s">
        <v>5313</v>
      </c>
      <c r="M26" s="13"/>
      <c r="N26" s="13" t="n">
        <v>7898301056412</v>
      </c>
      <c r="O26" s="13"/>
      <c r="P26" s="13" t="s">
        <v>5291</v>
      </c>
      <c r="Q26" s="13" t="s">
        <v>5289</v>
      </c>
      <c r="R26" s="13" t="s">
        <v>5292</v>
      </c>
      <c r="S26" s="13" t="s">
        <v>5293</v>
      </c>
      <c r="T26" s="13" t="s">
        <v>3</v>
      </c>
      <c r="U26" s="13" t="s">
        <v>57</v>
      </c>
      <c r="V26" s="13" t="n">
        <f aca="false">IF(COUNTIF($B$2:B26,B26)=1,1,0)</f>
        <v>0</v>
      </c>
      <c r="W26" s="13" t="n">
        <f aca="false">IF(COUNTIFS($B$2:B26,B26,$T$2:T26,T26)=1,1,0)</f>
        <v>0</v>
      </c>
    </row>
    <row r="27" customFormat="false" ht="15" hidden="false" customHeight="false" outlineLevel="0" collapsed="false">
      <c r="A27" s="13" t="s">
        <v>2368</v>
      </c>
      <c r="B27" s="13" t="s">
        <v>2102</v>
      </c>
      <c r="C27" s="13" t="n">
        <v>73700</v>
      </c>
      <c r="D27" s="13" t="n">
        <v>1200</v>
      </c>
      <c r="E27" s="13" t="n">
        <v>63.300034334764</v>
      </c>
      <c r="F27" s="13" t="s">
        <v>5288</v>
      </c>
      <c r="G27" s="13" t="s">
        <v>5289</v>
      </c>
      <c r="H27" s="13" t="s">
        <v>5289</v>
      </c>
      <c r="I27" s="13" t="s">
        <v>5292</v>
      </c>
      <c r="J27" s="13" t="s">
        <v>5289</v>
      </c>
      <c r="K27" s="13" t="s">
        <v>5292</v>
      </c>
      <c r="L27" s="13" t="s">
        <v>2367</v>
      </c>
      <c r="M27" s="13"/>
      <c r="N27" s="13" t="n">
        <v>7898953272826</v>
      </c>
      <c r="O27" s="13"/>
      <c r="P27" s="13" t="s">
        <v>5291</v>
      </c>
      <c r="Q27" s="13" t="s">
        <v>5289</v>
      </c>
      <c r="R27" s="13" t="s">
        <v>5292</v>
      </c>
      <c r="S27" s="13" t="s">
        <v>5293</v>
      </c>
      <c r="T27" s="13" t="s">
        <v>3</v>
      </c>
      <c r="U27" s="13" t="s">
        <v>183</v>
      </c>
      <c r="V27" s="13" t="n">
        <f aca="false">IF(COUNTIF($B$2:B27,B27)=1,1,0)</f>
        <v>1</v>
      </c>
      <c r="W27" s="13" t="n">
        <f aca="false">IF(COUNTIFS($B$2:B27,B27,$T$2:T27,T27)=1,1,0)</f>
        <v>1</v>
      </c>
    </row>
    <row r="28" customFormat="false" ht="15" hidden="false" customHeight="false" outlineLevel="0" collapsed="false">
      <c r="A28" s="13" t="s">
        <v>2383</v>
      </c>
      <c r="B28" s="13" t="s">
        <v>2104</v>
      </c>
      <c r="C28" s="13" t="n">
        <v>67000</v>
      </c>
      <c r="D28" s="13" t="n">
        <v>1900</v>
      </c>
      <c r="E28" s="13" t="n">
        <v>35.8066363636364</v>
      </c>
      <c r="F28" s="13" t="s">
        <v>5288</v>
      </c>
      <c r="G28" s="13" t="s">
        <v>5289</v>
      </c>
      <c r="H28" s="13" t="s">
        <v>5289</v>
      </c>
      <c r="I28" s="13" t="s">
        <v>5292</v>
      </c>
      <c r="J28" s="13" t="s">
        <v>5289</v>
      </c>
      <c r="K28" s="13" t="s">
        <v>5292</v>
      </c>
      <c r="L28" s="13" t="s">
        <v>2382</v>
      </c>
      <c r="M28" s="13"/>
      <c r="N28" s="13" t="n">
        <v>751320866073</v>
      </c>
      <c r="O28" s="13"/>
      <c r="P28" s="13" t="s">
        <v>5291</v>
      </c>
      <c r="Q28" s="13" t="s">
        <v>5289</v>
      </c>
      <c r="R28" s="13" t="s">
        <v>5292</v>
      </c>
      <c r="S28" s="13" t="s">
        <v>5293</v>
      </c>
      <c r="T28" s="13" t="s">
        <v>3</v>
      </c>
      <c r="U28" s="13" t="s">
        <v>57</v>
      </c>
      <c r="V28" s="13" t="n">
        <f aca="false">IF(COUNTIF($B$2:B28,B28)=1,1,0)</f>
        <v>1</v>
      </c>
      <c r="W28" s="13" t="n">
        <f aca="false">IF(COUNTIFS($B$2:B28,B28,$T$2:T28,T28)=1,1,0)</f>
        <v>1</v>
      </c>
    </row>
    <row r="29" customFormat="false" ht="15" hidden="false" customHeight="false" outlineLevel="0" collapsed="false">
      <c r="A29" s="13" t="s">
        <v>2379</v>
      </c>
      <c r="B29" s="13" t="s">
        <v>2094</v>
      </c>
      <c r="C29" s="13" t="n">
        <v>57700</v>
      </c>
      <c r="D29" s="13" t="n">
        <v>380</v>
      </c>
      <c r="E29" s="13" t="n">
        <v>149.928545454545</v>
      </c>
      <c r="F29" s="13" t="s">
        <v>5288</v>
      </c>
      <c r="G29" s="13" t="s">
        <v>5289</v>
      </c>
      <c r="H29" s="13" t="s">
        <v>5289</v>
      </c>
      <c r="I29" s="13" t="s">
        <v>5289</v>
      </c>
      <c r="J29" s="13" t="s">
        <v>5289</v>
      </c>
      <c r="K29" s="13" t="s">
        <v>5292</v>
      </c>
      <c r="L29" s="13" t="s">
        <v>5314</v>
      </c>
      <c r="M29" s="13"/>
      <c r="N29" s="13" t="n">
        <v>7898639690630</v>
      </c>
      <c r="O29" s="13"/>
      <c r="P29" s="13" t="s">
        <v>5291</v>
      </c>
      <c r="Q29" s="13" t="s">
        <v>5289</v>
      </c>
      <c r="R29" s="13" t="s">
        <v>5292</v>
      </c>
      <c r="S29" s="13" t="s">
        <v>5293</v>
      </c>
      <c r="T29" s="13" t="s">
        <v>3</v>
      </c>
      <c r="U29" s="13" t="s">
        <v>57</v>
      </c>
      <c r="V29" s="13" t="n">
        <f aca="false">IF(COUNTIF($B$2:B29,B29)=1,1,0)</f>
        <v>0</v>
      </c>
      <c r="W29" s="13" t="n">
        <f aca="false">IF(COUNTIFS($B$2:B29,B29,$T$2:T29,T29)=1,1,0)</f>
        <v>0</v>
      </c>
    </row>
    <row r="30" customFormat="false" ht="15" hidden="false" customHeight="false" outlineLevel="0" collapsed="false">
      <c r="A30" s="13" t="s">
        <v>94</v>
      </c>
      <c r="B30" s="13" t="s">
        <v>87</v>
      </c>
      <c r="C30" s="13" t="n">
        <v>57600</v>
      </c>
      <c r="D30" s="13" t="n">
        <v>440</v>
      </c>
      <c r="E30" s="13" t="n">
        <v>131.309658314351</v>
      </c>
      <c r="F30" s="13" t="s">
        <v>5288</v>
      </c>
      <c r="G30" s="13" t="s">
        <v>5289</v>
      </c>
      <c r="H30" s="13" t="s">
        <v>5289</v>
      </c>
      <c r="I30" s="13" t="s">
        <v>5289</v>
      </c>
      <c r="J30" s="13" t="s">
        <v>5289</v>
      </c>
      <c r="K30" s="13" t="s">
        <v>5292</v>
      </c>
      <c r="L30" s="13" t="s">
        <v>2391</v>
      </c>
      <c r="M30" s="13"/>
      <c r="N30" s="13" t="n">
        <v>7794290370754</v>
      </c>
      <c r="O30" s="13"/>
      <c r="P30" s="13" t="s">
        <v>5291</v>
      </c>
      <c r="Q30" s="13" t="s">
        <v>5289</v>
      </c>
      <c r="R30" s="13" t="s">
        <v>5292</v>
      </c>
      <c r="S30" s="13" t="s">
        <v>5293</v>
      </c>
      <c r="T30" s="13" t="s">
        <v>3</v>
      </c>
      <c r="U30" s="13" t="s">
        <v>66</v>
      </c>
      <c r="V30" s="13" t="n">
        <f aca="false">IF(COUNTIF($B$2:B30,B30)=1,1,0)</f>
        <v>0</v>
      </c>
      <c r="W30" s="13" t="n">
        <f aca="false">IF(COUNTIFS($B$2:B30,B30,$T$2:T30,T30)=1,1,0)</f>
        <v>0</v>
      </c>
    </row>
    <row r="31" customFormat="false" ht="15" hidden="false" customHeight="false" outlineLevel="0" collapsed="false">
      <c r="A31" s="13" t="s">
        <v>99</v>
      </c>
      <c r="B31" s="13" t="s">
        <v>97</v>
      </c>
      <c r="C31" s="13" t="n">
        <v>55500</v>
      </c>
      <c r="D31" s="13" t="n">
        <v>440</v>
      </c>
      <c r="E31" s="13" t="n">
        <v>127.092654462243</v>
      </c>
      <c r="F31" s="13" t="s">
        <v>5288</v>
      </c>
      <c r="G31" s="13" t="s">
        <v>5289</v>
      </c>
      <c r="H31" s="13" t="s">
        <v>5289</v>
      </c>
      <c r="I31" s="13" t="s">
        <v>5289</v>
      </c>
      <c r="J31" s="13" t="s">
        <v>5289</v>
      </c>
      <c r="K31" s="13" t="s">
        <v>5289</v>
      </c>
      <c r="L31" s="13" t="s">
        <v>5315</v>
      </c>
      <c r="M31" s="13"/>
      <c r="N31" s="13"/>
      <c r="O31" s="13"/>
      <c r="P31" s="13" t="s">
        <v>5291</v>
      </c>
      <c r="Q31" s="13" t="s">
        <v>5289</v>
      </c>
      <c r="R31" s="13" t="s">
        <v>5292</v>
      </c>
      <c r="S31" s="13" t="s">
        <v>5293</v>
      </c>
      <c r="T31" s="13" t="s">
        <v>3</v>
      </c>
      <c r="U31" s="13" t="s">
        <v>98</v>
      </c>
      <c r="V31" s="13" t="n">
        <f aca="false">IF(COUNTIF($B$2:B31,B31)=1,1,0)</f>
        <v>1</v>
      </c>
      <c r="W31" s="13" t="n">
        <f aca="false">IF(COUNTIFS($B$2:B31,B31,$T$2:T31,T31)=1,1,0)</f>
        <v>1</v>
      </c>
    </row>
    <row r="32" customFormat="false" ht="15" hidden="false" customHeight="false" outlineLevel="0" collapsed="false">
      <c r="A32" s="13" t="s">
        <v>100</v>
      </c>
      <c r="B32" s="13" t="s">
        <v>65</v>
      </c>
      <c r="C32" s="13" t="n">
        <v>55400</v>
      </c>
      <c r="D32" s="13" t="n">
        <v>140</v>
      </c>
      <c r="E32" s="13" t="n">
        <v>407.28205882353</v>
      </c>
      <c r="F32" s="13" t="s">
        <v>5288</v>
      </c>
      <c r="G32" s="13" t="s">
        <v>5289</v>
      </c>
      <c r="H32" s="13" t="s">
        <v>5289</v>
      </c>
      <c r="I32" s="13" t="s">
        <v>5289</v>
      </c>
      <c r="J32" s="13" t="s">
        <v>5289</v>
      </c>
      <c r="K32" s="13" t="s">
        <v>5292</v>
      </c>
      <c r="L32" s="13" t="s">
        <v>2387</v>
      </c>
      <c r="M32" s="13"/>
      <c r="N32" s="13" t="n">
        <v>4710206002192</v>
      </c>
      <c r="O32" s="13"/>
      <c r="P32" s="13" t="s">
        <v>5291</v>
      </c>
      <c r="Q32" s="13" t="s">
        <v>5289</v>
      </c>
      <c r="R32" s="13" t="s">
        <v>5292</v>
      </c>
      <c r="S32" s="13" t="s">
        <v>5293</v>
      </c>
      <c r="T32" s="13" t="s">
        <v>3</v>
      </c>
      <c r="U32" s="13" t="s">
        <v>66</v>
      </c>
      <c r="V32" s="13" t="n">
        <f aca="false">IF(COUNTIF($B$2:B32,B32)=1,1,0)</f>
        <v>0</v>
      </c>
      <c r="W32" s="13" t="n">
        <f aca="false">IF(COUNTIFS($B$2:B32,B32,$T$2:T32,T32)=1,1,0)</f>
        <v>0</v>
      </c>
    </row>
    <row r="33" customFormat="false" ht="15" hidden="false" customHeight="false" outlineLevel="0" collapsed="false">
      <c r="A33" s="13" t="s">
        <v>2396</v>
      </c>
      <c r="B33" s="13" t="s">
        <v>2095</v>
      </c>
      <c r="C33" s="13" t="n">
        <v>54900</v>
      </c>
      <c r="D33" s="13" t="n">
        <v>330</v>
      </c>
      <c r="E33" s="13" t="n">
        <v>165.401987951807</v>
      </c>
      <c r="F33" s="13" t="s">
        <v>5288</v>
      </c>
      <c r="G33" s="13" t="s">
        <v>5289</v>
      </c>
      <c r="H33" s="13" t="s">
        <v>5289</v>
      </c>
      <c r="I33" s="13" t="s">
        <v>5289</v>
      </c>
      <c r="J33" s="13" t="s">
        <v>5289</v>
      </c>
      <c r="K33" s="13" t="s">
        <v>5289</v>
      </c>
      <c r="L33" s="13" t="s">
        <v>2395</v>
      </c>
      <c r="M33" s="13"/>
      <c r="N33" s="13" t="n">
        <v>7898665435397</v>
      </c>
      <c r="O33" s="13"/>
      <c r="P33" s="13" t="s">
        <v>5297</v>
      </c>
      <c r="Q33" s="13" t="s">
        <v>5289</v>
      </c>
      <c r="R33" s="13" t="s">
        <v>5292</v>
      </c>
      <c r="S33" s="13" t="s">
        <v>5293</v>
      </c>
      <c r="T33" s="13" t="s">
        <v>3</v>
      </c>
      <c r="U33" s="13" t="s">
        <v>140</v>
      </c>
      <c r="V33" s="13" t="n">
        <f aca="false">IF(COUNTIF($B$2:B33,B33)=1,1,0)</f>
        <v>0</v>
      </c>
      <c r="W33" s="13" t="n">
        <f aca="false">IF(COUNTIFS($B$2:B33,B33,$T$2:T33,T33)=1,1,0)</f>
        <v>0</v>
      </c>
    </row>
    <row r="34" customFormat="false" ht="15" hidden="false" customHeight="false" outlineLevel="0" collapsed="false">
      <c r="A34" s="13" t="s">
        <v>2345</v>
      </c>
      <c r="B34" s="13" t="s">
        <v>2097</v>
      </c>
      <c r="C34" s="13" t="n">
        <v>54100</v>
      </c>
      <c r="D34" s="13" t="n">
        <v>900</v>
      </c>
      <c r="E34" s="13" t="n">
        <v>60.4423687150838</v>
      </c>
      <c r="F34" s="13" t="s">
        <v>5288</v>
      </c>
      <c r="G34" s="13" t="s">
        <v>5289</v>
      </c>
      <c r="H34" s="13" t="s">
        <v>5289</v>
      </c>
      <c r="I34" s="13" t="s">
        <v>5292</v>
      </c>
      <c r="J34" s="13" t="s">
        <v>5289</v>
      </c>
      <c r="K34" s="13" t="s">
        <v>5292</v>
      </c>
      <c r="L34" s="13" t="s">
        <v>2344</v>
      </c>
      <c r="M34" s="13"/>
      <c r="N34" s="13" t="n">
        <v>7908407005693</v>
      </c>
      <c r="O34" s="13"/>
      <c r="P34" s="13" t="s">
        <v>5291</v>
      </c>
      <c r="Q34" s="13" t="s">
        <v>5289</v>
      </c>
      <c r="R34" s="13" t="s">
        <v>5292</v>
      </c>
      <c r="S34" s="13" t="s">
        <v>5293</v>
      </c>
      <c r="T34" s="13" t="s">
        <v>3</v>
      </c>
      <c r="U34" s="13" t="s">
        <v>140</v>
      </c>
      <c r="V34" s="13" t="n">
        <f aca="false">IF(COUNTIF($B$2:B34,B34)=1,1,0)</f>
        <v>0</v>
      </c>
      <c r="W34" s="13" t="n">
        <f aca="false">IF(COUNTIFS($B$2:B34,B34,$T$2:T34,T34)=1,1,0)</f>
        <v>0</v>
      </c>
    </row>
    <row r="35" customFormat="false" ht="15" hidden="false" customHeight="false" outlineLevel="0" collapsed="false">
      <c r="A35" s="13" t="s">
        <v>5316</v>
      </c>
      <c r="B35" s="13" t="s">
        <v>2097</v>
      </c>
      <c r="C35" s="13" t="n">
        <v>54000</v>
      </c>
      <c r="D35" s="13" t="n">
        <v>1200</v>
      </c>
      <c r="E35" s="13" t="n">
        <v>44.0435918367347</v>
      </c>
      <c r="F35" s="13" t="s">
        <v>5288</v>
      </c>
      <c r="G35" s="13" t="s">
        <v>5289</v>
      </c>
      <c r="H35" s="13" t="s">
        <v>5289</v>
      </c>
      <c r="I35" s="13" t="s">
        <v>5292</v>
      </c>
      <c r="J35" s="13" t="s">
        <v>5289</v>
      </c>
      <c r="K35" s="13" t="s">
        <v>5292</v>
      </c>
      <c r="L35" s="13" t="s">
        <v>5317</v>
      </c>
      <c r="M35" s="13"/>
      <c r="N35" s="13"/>
      <c r="O35" s="13"/>
      <c r="P35" s="13" t="s">
        <v>5297</v>
      </c>
      <c r="Q35" s="13" t="s">
        <v>5289</v>
      </c>
      <c r="R35" s="13" t="s">
        <v>5292</v>
      </c>
      <c r="S35" s="13" t="s">
        <v>5293</v>
      </c>
      <c r="T35" s="13" t="s">
        <v>3</v>
      </c>
      <c r="U35" s="13" t="s">
        <v>140</v>
      </c>
      <c r="V35" s="13" t="n">
        <f aca="false">IF(COUNTIF($B$2:B35,B35)=1,1,0)</f>
        <v>0</v>
      </c>
      <c r="W35" s="13" t="n">
        <f aca="false">IF(COUNTIFS($B$2:B35,B35,$T$2:T35,T35)=1,1,0)</f>
        <v>0</v>
      </c>
    </row>
    <row r="36" customFormat="false" ht="15" hidden="false" customHeight="false" outlineLevel="0" collapsed="false">
      <c r="A36" s="13" t="s">
        <v>102</v>
      </c>
      <c r="B36" s="13" t="s">
        <v>65</v>
      </c>
      <c r="C36" s="13" t="n">
        <v>53500</v>
      </c>
      <c r="D36" s="13" t="n">
        <v>190</v>
      </c>
      <c r="E36" s="13" t="n">
        <v>284.313829787234</v>
      </c>
      <c r="F36" s="13" t="s">
        <v>5288</v>
      </c>
      <c r="G36" s="13" t="s">
        <v>5289</v>
      </c>
      <c r="H36" s="13" t="s">
        <v>5289</v>
      </c>
      <c r="I36" s="13" t="s">
        <v>5289</v>
      </c>
      <c r="J36" s="13" t="s">
        <v>5289</v>
      </c>
      <c r="K36" s="13" t="s">
        <v>5289</v>
      </c>
      <c r="L36" s="13" t="s">
        <v>2400</v>
      </c>
      <c r="M36" s="13"/>
      <c r="N36" s="13" t="n">
        <v>4710206002208</v>
      </c>
      <c r="O36" s="13"/>
      <c r="P36" s="13" t="s">
        <v>5291</v>
      </c>
      <c r="Q36" s="13" t="s">
        <v>5289</v>
      </c>
      <c r="R36" s="13" t="s">
        <v>5292</v>
      </c>
      <c r="S36" s="13" t="s">
        <v>5293</v>
      </c>
      <c r="T36" s="13" t="s">
        <v>3</v>
      </c>
      <c r="U36" s="13" t="s">
        <v>66</v>
      </c>
      <c r="V36" s="13" t="n">
        <f aca="false">IF(COUNTIF($B$2:B36,B36)=1,1,0)</f>
        <v>0</v>
      </c>
      <c r="W36" s="13" t="n">
        <f aca="false">IF(COUNTIFS($B$2:B36,B36,$T$2:T36,T36)=1,1,0)</f>
        <v>0</v>
      </c>
    </row>
    <row r="37" customFormat="false" ht="15" hidden="false" customHeight="false" outlineLevel="0" collapsed="false">
      <c r="A37" s="13" t="s">
        <v>2408</v>
      </c>
      <c r="B37" s="13" t="s">
        <v>2100</v>
      </c>
      <c r="C37" s="13" t="n">
        <v>51200</v>
      </c>
      <c r="D37" s="13" t="n">
        <v>770</v>
      </c>
      <c r="E37" s="13" t="n">
        <v>66.742998696219</v>
      </c>
      <c r="F37" s="13" t="s">
        <v>5288</v>
      </c>
      <c r="G37" s="13" t="s">
        <v>5289</v>
      </c>
      <c r="H37" s="13" t="s">
        <v>5289</v>
      </c>
      <c r="I37" s="13" t="s">
        <v>5292</v>
      </c>
      <c r="J37" s="13" t="s">
        <v>5289</v>
      </c>
      <c r="K37" s="13" t="s">
        <v>5292</v>
      </c>
      <c r="L37" s="13" t="s">
        <v>5318</v>
      </c>
      <c r="M37" s="13"/>
      <c r="N37" s="13" t="n">
        <v>7898936769473</v>
      </c>
      <c r="O37" s="13"/>
      <c r="P37" s="13" t="s">
        <v>5291</v>
      </c>
      <c r="Q37" s="13" t="s">
        <v>5289</v>
      </c>
      <c r="R37" s="13" t="s">
        <v>5292</v>
      </c>
      <c r="S37" s="13" t="s">
        <v>5293</v>
      </c>
      <c r="T37" s="13" t="s">
        <v>3</v>
      </c>
      <c r="U37" s="13" t="s">
        <v>43</v>
      </c>
      <c r="V37" s="13" t="n">
        <f aca="false">IF(COUNTIF($B$2:B37,B37)=1,1,0)</f>
        <v>1</v>
      </c>
      <c r="W37" s="13" t="n">
        <f aca="false">IF(COUNTIFS($B$2:B37,B37,$T$2:T37,T37)=1,1,0)</f>
        <v>1</v>
      </c>
    </row>
    <row r="38" customFormat="false" ht="15" hidden="false" customHeight="false" outlineLevel="0" collapsed="false">
      <c r="A38" s="13" t="s">
        <v>106</v>
      </c>
      <c r="B38" s="13" t="s">
        <v>105</v>
      </c>
      <c r="C38" s="13" t="n">
        <v>50000</v>
      </c>
      <c r="D38" s="13" t="n">
        <v>140</v>
      </c>
      <c r="E38" s="13" t="n">
        <v>354.281914893617</v>
      </c>
      <c r="F38" s="13" t="s">
        <v>5288</v>
      </c>
      <c r="G38" s="13" t="s">
        <v>5289</v>
      </c>
      <c r="H38" s="13" t="s">
        <v>5289</v>
      </c>
      <c r="I38" s="13" t="s">
        <v>5289</v>
      </c>
      <c r="J38" s="13" t="s">
        <v>5289</v>
      </c>
      <c r="K38" s="13" t="s">
        <v>5292</v>
      </c>
      <c r="L38" s="13" t="s">
        <v>2404</v>
      </c>
      <c r="M38" s="13"/>
      <c r="N38" s="13" t="n">
        <v>737052351100</v>
      </c>
      <c r="O38" s="13"/>
      <c r="P38" s="13" t="s">
        <v>5291</v>
      </c>
      <c r="Q38" s="13" t="s">
        <v>5289</v>
      </c>
      <c r="R38" s="13" t="s">
        <v>5292</v>
      </c>
      <c r="S38" s="13" t="s">
        <v>5293</v>
      </c>
      <c r="T38" s="13" t="s">
        <v>3</v>
      </c>
      <c r="U38" s="13" t="s">
        <v>43</v>
      </c>
      <c r="V38" s="13" t="n">
        <f aca="false">IF(COUNTIF($B$2:B38,B38)=1,1,0)</f>
        <v>1</v>
      </c>
      <c r="W38" s="13" t="n">
        <f aca="false">IF(COUNTIFS($B$2:B38,B38,$T$2:T38,T38)=1,1,0)</f>
        <v>1</v>
      </c>
    </row>
    <row r="39" customFormat="false" ht="15" hidden="false" customHeight="false" outlineLevel="0" collapsed="false">
      <c r="A39" s="13" t="s">
        <v>2412</v>
      </c>
      <c r="B39" s="13" t="s">
        <v>2094</v>
      </c>
      <c r="C39" s="13" t="n">
        <v>49100</v>
      </c>
      <c r="D39" s="13" t="n">
        <v>1200</v>
      </c>
      <c r="E39" s="13" t="n">
        <v>41.0889539748954</v>
      </c>
      <c r="F39" s="13" t="s">
        <v>5288</v>
      </c>
      <c r="G39" s="13" t="s">
        <v>5289</v>
      </c>
      <c r="H39" s="13" t="s">
        <v>5289</v>
      </c>
      <c r="I39" s="13" t="s">
        <v>5292</v>
      </c>
      <c r="J39" s="13" t="s">
        <v>5289</v>
      </c>
      <c r="K39" s="13" t="s">
        <v>5289</v>
      </c>
      <c r="L39" s="13" t="s">
        <v>5319</v>
      </c>
      <c r="M39" s="13"/>
      <c r="N39" s="13" t="n">
        <v>7898639693594</v>
      </c>
      <c r="O39" s="13"/>
      <c r="P39" s="13" t="s">
        <v>5297</v>
      </c>
      <c r="Q39" s="13" t="s">
        <v>5289</v>
      </c>
      <c r="R39" s="13" t="s">
        <v>5292</v>
      </c>
      <c r="S39" s="13" t="s">
        <v>5293</v>
      </c>
      <c r="T39" s="13" t="s">
        <v>3</v>
      </c>
      <c r="U39" s="13" t="s">
        <v>57</v>
      </c>
      <c r="V39" s="13" t="n">
        <f aca="false">IF(COUNTIF($B$2:B39,B39)=1,1,0)</f>
        <v>0</v>
      </c>
      <c r="W39" s="13" t="n">
        <f aca="false">IF(COUNTIFS($B$2:B39,B39,$T$2:T39,T39)=1,1,0)</f>
        <v>0</v>
      </c>
    </row>
    <row r="40" customFormat="false" ht="15" hidden="false" customHeight="false" outlineLevel="0" collapsed="false">
      <c r="A40" s="13" t="s">
        <v>2399</v>
      </c>
      <c r="B40" s="13" t="s">
        <v>2094</v>
      </c>
      <c r="C40" s="13" t="n">
        <v>48900</v>
      </c>
      <c r="D40" s="13" t="n">
        <v>610</v>
      </c>
      <c r="E40" s="13" t="n">
        <v>79.9234477124183</v>
      </c>
      <c r="F40" s="13" t="s">
        <v>5288</v>
      </c>
      <c r="G40" s="13" t="s">
        <v>5289</v>
      </c>
      <c r="H40" s="13" t="s">
        <v>5289</v>
      </c>
      <c r="I40" s="13" t="s">
        <v>5289</v>
      </c>
      <c r="J40" s="13" t="s">
        <v>5289</v>
      </c>
      <c r="K40" s="13" t="s">
        <v>5292</v>
      </c>
      <c r="L40" s="13" t="s">
        <v>5320</v>
      </c>
      <c r="M40" s="13"/>
      <c r="N40" s="13" t="n">
        <v>7898639692948</v>
      </c>
      <c r="O40" s="13"/>
      <c r="P40" s="13" t="s">
        <v>5297</v>
      </c>
      <c r="Q40" s="13" t="s">
        <v>5289</v>
      </c>
      <c r="R40" s="13" t="s">
        <v>5292</v>
      </c>
      <c r="S40" s="13" t="s">
        <v>5293</v>
      </c>
      <c r="T40" s="13" t="s">
        <v>3</v>
      </c>
      <c r="U40" s="13" t="s">
        <v>57</v>
      </c>
      <c r="V40" s="13" t="n">
        <f aca="false">IF(COUNTIF($B$2:B40,B40)=1,1,0)</f>
        <v>0</v>
      </c>
      <c r="W40" s="13" t="n">
        <f aca="false">IF(COUNTIFS($B$2:B40,B40,$T$2:T40,T40)=1,1,0)</f>
        <v>0</v>
      </c>
    </row>
    <row r="41" customFormat="false" ht="15" hidden="false" customHeight="false" outlineLevel="0" collapsed="false">
      <c r="A41" s="13" t="s">
        <v>5321</v>
      </c>
      <c r="B41" s="13" t="s">
        <v>2096</v>
      </c>
      <c r="C41" s="13" t="n">
        <v>48500</v>
      </c>
      <c r="D41" s="13" t="n">
        <v>470</v>
      </c>
      <c r="E41" s="13" t="n">
        <v>103.918394004283</v>
      </c>
      <c r="F41" s="13" t="s">
        <v>5288</v>
      </c>
      <c r="G41" s="13" t="s">
        <v>5289</v>
      </c>
      <c r="H41" s="13" t="s">
        <v>5289</v>
      </c>
      <c r="I41" s="13" t="s">
        <v>5289</v>
      </c>
      <c r="J41" s="13" t="s">
        <v>5289</v>
      </c>
      <c r="K41" s="13" t="s">
        <v>5289</v>
      </c>
      <c r="L41" s="13" t="s">
        <v>5322</v>
      </c>
      <c r="M41" s="13"/>
      <c r="N41" s="13"/>
      <c r="O41" s="13"/>
      <c r="P41" s="13" t="s">
        <v>5291</v>
      </c>
      <c r="Q41" s="13" t="s">
        <v>5289</v>
      </c>
      <c r="R41" s="13" t="s">
        <v>5292</v>
      </c>
      <c r="S41" s="13" t="s">
        <v>5293</v>
      </c>
      <c r="T41" s="13" t="s">
        <v>3</v>
      </c>
      <c r="U41" s="13" t="s">
        <v>43</v>
      </c>
      <c r="V41" s="13" t="n">
        <f aca="false">IF(COUNTIF($B$2:B41,B41)=1,1,0)</f>
        <v>0</v>
      </c>
      <c r="W41" s="13" t="n">
        <f aca="false">IF(COUNTIFS($B$2:B41,B41,$T$2:T41,T41)=1,1,0)</f>
        <v>0</v>
      </c>
    </row>
    <row r="42" customFormat="false" ht="15" hidden="false" customHeight="false" outlineLevel="0" collapsed="false">
      <c r="A42" s="13" t="s">
        <v>2417</v>
      </c>
      <c r="B42" s="13" t="s">
        <v>2094</v>
      </c>
      <c r="C42" s="13" t="n">
        <v>47200</v>
      </c>
      <c r="D42" s="13" t="n">
        <v>540</v>
      </c>
      <c r="E42" s="13" t="n">
        <v>87.9539851024208</v>
      </c>
      <c r="F42" s="13" t="s">
        <v>5288</v>
      </c>
      <c r="G42" s="13" t="s">
        <v>5289</v>
      </c>
      <c r="H42" s="13" t="s">
        <v>5289</v>
      </c>
      <c r="I42" s="13" t="s">
        <v>5289</v>
      </c>
      <c r="J42" s="13" t="s">
        <v>5289</v>
      </c>
      <c r="K42" s="13" t="s">
        <v>5292</v>
      </c>
      <c r="L42" s="13" t="s">
        <v>5323</v>
      </c>
      <c r="M42" s="13"/>
      <c r="N42" s="13" t="n">
        <v>7898639692955</v>
      </c>
      <c r="O42" s="13"/>
      <c r="P42" s="13" t="s">
        <v>5291</v>
      </c>
      <c r="Q42" s="13" t="s">
        <v>5289</v>
      </c>
      <c r="R42" s="13" t="s">
        <v>5292</v>
      </c>
      <c r="S42" s="13" t="s">
        <v>5293</v>
      </c>
      <c r="T42" s="13" t="s">
        <v>3</v>
      </c>
      <c r="U42" s="13" t="s">
        <v>57</v>
      </c>
      <c r="V42" s="13" t="n">
        <f aca="false">IF(COUNTIF($B$2:B42,B42)=1,1,0)</f>
        <v>0</v>
      </c>
      <c r="W42" s="13" t="n">
        <f aca="false">IF(COUNTIFS($B$2:B42,B42,$T$2:T42,T42)=1,1,0)</f>
        <v>0</v>
      </c>
    </row>
    <row r="43" customFormat="false" ht="15" hidden="false" customHeight="false" outlineLevel="0" collapsed="false">
      <c r="A43" s="13" t="s">
        <v>112</v>
      </c>
      <c r="B43" s="13" t="s">
        <v>111</v>
      </c>
      <c r="C43" s="13" t="n">
        <v>46400</v>
      </c>
      <c r="D43" s="13" t="n">
        <v>150</v>
      </c>
      <c r="E43" s="13" t="n">
        <v>305.471776315789</v>
      </c>
      <c r="F43" s="13" t="s">
        <v>5288</v>
      </c>
      <c r="G43" s="13" t="s">
        <v>5289</v>
      </c>
      <c r="H43" s="13" t="s">
        <v>5289</v>
      </c>
      <c r="I43" s="13" t="s">
        <v>5289</v>
      </c>
      <c r="J43" s="13" t="s">
        <v>5289</v>
      </c>
      <c r="K43" s="13" t="s">
        <v>5289</v>
      </c>
      <c r="L43" s="13" t="s">
        <v>5324</v>
      </c>
      <c r="M43" s="13"/>
      <c r="N43" s="13" t="n">
        <v>3595471041197</v>
      </c>
      <c r="O43" s="13"/>
      <c r="P43" s="13" t="s">
        <v>5291</v>
      </c>
      <c r="Q43" s="13" t="s">
        <v>5289</v>
      </c>
      <c r="R43" s="13" t="s">
        <v>5292</v>
      </c>
      <c r="S43" s="13" t="s">
        <v>5293</v>
      </c>
      <c r="T43" s="13" t="s">
        <v>3</v>
      </c>
      <c r="U43" s="13" t="s">
        <v>43</v>
      </c>
      <c r="V43" s="13" t="n">
        <f aca="false">IF(COUNTIF($B$2:B43,B43)=1,1,0)</f>
        <v>1</v>
      </c>
      <c r="W43" s="13" t="n">
        <f aca="false">IF(COUNTIFS($B$2:B43,B43,$T$2:T43,T43)=1,1,0)</f>
        <v>1</v>
      </c>
    </row>
    <row r="44" customFormat="false" ht="15" hidden="false" customHeight="false" outlineLevel="0" collapsed="false">
      <c r="A44" s="13" t="s">
        <v>2424</v>
      </c>
      <c r="B44" s="13" t="s">
        <v>2095</v>
      </c>
      <c r="C44" s="13" t="n">
        <v>45100</v>
      </c>
      <c r="D44" s="13" t="n">
        <v>900</v>
      </c>
      <c r="E44" s="13" t="n">
        <v>50.1597111111111</v>
      </c>
      <c r="F44" s="13" t="s">
        <v>5288</v>
      </c>
      <c r="G44" s="13" t="s">
        <v>5289</v>
      </c>
      <c r="H44" s="13" t="s">
        <v>5289</v>
      </c>
      <c r="I44" s="13" t="s">
        <v>5292</v>
      </c>
      <c r="J44" s="13" t="s">
        <v>5289</v>
      </c>
      <c r="K44" s="13" t="s">
        <v>5292</v>
      </c>
      <c r="L44" s="13" t="s">
        <v>2423</v>
      </c>
      <c r="M44" s="13"/>
      <c r="N44" s="13" t="n">
        <v>7898665430071</v>
      </c>
      <c r="O44" s="13"/>
      <c r="P44" s="13" t="s">
        <v>5291</v>
      </c>
      <c r="Q44" s="13" t="s">
        <v>5289</v>
      </c>
      <c r="R44" s="13" t="s">
        <v>5292</v>
      </c>
      <c r="S44" s="13" t="s">
        <v>5293</v>
      </c>
      <c r="T44" s="13" t="s">
        <v>3</v>
      </c>
      <c r="U44" s="13" t="s">
        <v>140</v>
      </c>
      <c r="V44" s="13" t="n">
        <f aca="false">IF(COUNTIF($B$2:B44,B44)=1,1,0)</f>
        <v>0</v>
      </c>
      <c r="W44" s="13" t="n">
        <f aca="false">IF(COUNTIFS($B$2:B44,B44,$T$2:T44,T44)=1,1,0)</f>
        <v>0</v>
      </c>
    </row>
    <row r="45" customFormat="false" ht="15" hidden="false" customHeight="false" outlineLevel="0" collapsed="false">
      <c r="A45" s="13" t="s">
        <v>2426</v>
      </c>
      <c r="B45" s="13" t="s">
        <v>2101</v>
      </c>
      <c r="C45" s="13" t="n">
        <v>44800</v>
      </c>
      <c r="D45" s="13" t="n">
        <v>450</v>
      </c>
      <c r="E45" s="13" t="n">
        <v>99.2101769911504</v>
      </c>
      <c r="F45" s="13" t="s">
        <v>5288</v>
      </c>
      <c r="G45" s="13" t="s">
        <v>5289</v>
      </c>
      <c r="H45" s="13" t="s">
        <v>5289</v>
      </c>
      <c r="I45" s="13" t="s">
        <v>5289</v>
      </c>
      <c r="J45" s="13" t="s">
        <v>5289</v>
      </c>
      <c r="K45" s="13" t="s">
        <v>5289</v>
      </c>
      <c r="L45" s="13" t="s">
        <v>2425</v>
      </c>
      <c r="M45" s="13"/>
      <c r="N45" s="13" t="n">
        <v>7908412515507</v>
      </c>
      <c r="O45" s="13"/>
      <c r="P45" s="13" t="s">
        <v>5291</v>
      </c>
      <c r="Q45" s="13" t="s">
        <v>5289</v>
      </c>
      <c r="R45" s="13" t="s">
        <v>5292</v>
      </c>
      <c r="S45" s="13" t="s">
        <v>5293</v>
      </c>
      <c r="T45" s="13" t="s">
        <v>3</v>
      </c>
      <c r="U45" s="13" t="s">
        <v>129</v>
      </c>
      <c r="V45" s="13" t="n">
        <f aca="false">IF(COUNTIF($B$2:B45,B45)=1,1,0)</f>
        <v>1</v>
      </c>
      <c r="W45" s="13" t="n">
        <f aca="false">IF(COUNTIFS($B$2:B45,B45,$T$2:T45,T45)=1,1,0)</f>
        <v>1</v>
      </c>
    </row>
    <row r="46" customFormat="false" ht="15" hidden="false" customHeight="false" outlineLevel="0" collapsed="false">
      <c r="A46" s="13" t="s">
        <v>2430</v>
      </c>
      <c r="B46" s="13" t="s">
        <v>2103</v>
      </c>
      <c r="C46" s="13" t="n">
        <v>44200</v>
      </c>
      <c r="D46" s="13" t="n">
        <v>640</v>
      </c>
      <c r="E46" s="13" t="n">
        <v>68.9672230889236</v>
      </c>
      <c r="F46" s="13" t="s">
        <v>5288</v>
      </c>
      <c r="G46" s="13" t="s">
        <v>5289</v>
      </c>
      <c r="H46" s="13" t="s">
        <v>5289</v>
      </c>
      <c r="I46" s="13" t="s">
        <v>5292</v>
      </c>
      <c r="J46" s="13" t="s">
        <v>5289</v>
      </c>
      <c r="K46" s="13" t="s">
        <v>5292</v>
      </c>
      <c r="L46" s="13" t="s">
        <v>2428</v>
      </c>
      <c r="M46" s="13"/>
      <c r="N46" s="13" t="n">
        <v>8432225129778</v>
      </c>
      <c r="O46" s="13"/>
      <c r="P46" s="13" t="s">
        <v>5291</v>
      </c>
      <c r="Q46" s="13" t="s">
        <v>5289</v>
      </c>
      <c r="R46" s="13" t="s">
        <v>5292</v>
      </c>
      <c r="S46" s="13" t="s">
        <v>5293</v>
      </c>
      <c r="T46" s="13" t="s">
        <v>3</v>
      </c>
      <c r="U46" s="13" t="s">
        <v>85</v>
      </c>
      <c r="V46" s="13" t="n">
        <f aca="false">IF(COUNTIF($B$2:B46,B46)=1,1,0)</f>
        <v>1</v>
      </c>
      <c r="W46" s="13" t="n">
        <f aca="false">IF(COUNTIFS($B$2:B46,B46,$T$2:T46,T46)=1,1,0)</f>
        <v>1</v>
      </c>
    </row>
    <row r="47" customFormat="false" ht="15" hidden="false" customHeight="false" outlineLevel="0" collapsed="false">
      <c r="A47" s="13" t="s">
        <v>116</v>
      </c>
      <c r="B47" s="13" t="s">
        <v>114</v>
      </c>
      <c r="C47" s="13" t="n">
        <v>44000</v>
      </c>
      <c r="D47" s="13" t="n">
        <v>420</v>
      </c>
      <c r="E47" s="13" t="n">
        <v>104.99</v>
      </c>
      <c r="F47" s="13" t="s">
        <v>5325</v>
      </c>
      <c r="G47" s="13" t="s">
        <v>5289</v>
      </c>
      <c r="H47" s="13" t="s">
        <v>5289</v>
      </c>
      <c r="I47" s="13" t="s">
        <v>5289</v>
      </c>
      <c r="J47" s="13" t="s">
        <v>5289</v>
      </c>
      <c r="K47" s="13" t="s">
        <v>5292</v>
      </c>
      <c r="L47" s="13" t="s">
        <v>5326</v>
      </c>
      <c r="M47" s="13"/>
      <c r="N47" s="13" t="n">
        <v>4975759103158</v>
      </c>
      <c r="O47" s="13"/>
      <c r="P47" s="13" t="s">
        <v>5291</v>
      </c>
      <c r="Q47" s="13" t="s">
        <v>5289</v>
      </c>
      <c r="R47" s="13" t="s">
        <v>5292</v>
      </c>
      <c r="S47" s="13" t="s">
        <v>5293</v>
      </c>
      <c r="T47" s="13" t="s">
        <v>3</v>
      </c>
      <c r="U47" s="13" t="s">
        <v>115</v>
      </c>
      <c r="V47" s="13" t="n">
        <f aca="false">IF(COUNTIF($B$2:B47,B47)=1,1,0)</f>
        <v>1</v>
      </c>
      <c r="W47" s="13" t="n">
        <f aca="false">IF(COUNTIFS($B$2:B47,B47,$T$2:T47,T47)=1,1,0)</f>
        <v>1</v>
      </c>
    </row>
    <row r="48" customFormat="false" ht="15" hidden="false" customHeight="false" outlineLevel="0" collapsed="false">
      <c r="A48" s="13" t="s">
        <v>118</v>
      </c>
      <c r="B48" s="13" t="s">
        <v>117</v>
      </c>
      <c r="C48" s="13" t="n">
        <v>43600</v>
      </c>
      <c r="D48" s="13" t="n">
        <v>60</v>
      </c>
      <c r="E48" s="13" t="n">
        <v>792</v>
      </c>
      <c r="F48" s="13" t="s">
        <v>5288</v>
      </c>
      <c r="G48" s="13" t="s">
        <v>5289</v>
      </c>
      <c r="H48" s="13" t="s">
        <v>5289</v>
      </c>
      <c r="I48" s="13" t="s">
        <v>5289</v>
      </c>
      <c r="J48" s="13" t="s">
        <v>5289</v>
      </c>
      <c r="K48" s="13" t="s">
        <v>5289</v>
      </c>
      <c r="L48" s="13" t="s">
        <v>2433</v>
      </c>
      <c r="M48" s="13"/>
      <c r="N48" s="13" t="n">
        <v>885911467629</v>
      </c>
      <c r="O48" s="13"/>
      <c r="P48" s="13" t="s">
        <v>5297</v>
      </c>
      <c r="Q48" s="13" t="s">
        <v>5289</v>
      </c>
      <c r="R48" s="13" t="s">
        <v>5292</v>
      </c>
      <c r="S48" s="13" t="s">
        <v>5293</v>
      </c>
      <c r="T48" s="13" t="s">
        <v>3</v>
      </c>
      <c r="U48" s="13" t="s">
        <v>98</v>
      </c>
      <c r="V48" s="13" t="n">
        <f aca="false">IF(COUNTIF($B$2:B48,B48)=1,1,0)</f>
        <v>1</v>
      </c>
      <c r="W48" s="13" t="n">
        <f aca="false">IF(COUNTIFS($B$2:B48,B48,$T$2:T48,T48)=1,1,0)</f>
        <v>1</v>
      </c>
    </row>
    <row r="49" customFormat="false" ht="15" hidden="false" customHeight="false" outlineLevel="0" collapsed="false">
      <c r="A49" s="13" t="s">
        <v>2439</v>
      </c>
      <c r="B49" s="13" t="s">
        <v>2105</v>
      </c>
      <c r="C49" s="13" t="n">
        <v>41300</v>
      </c>
      <c r="D49" s="13" t="n">
        <v>470</v>
      </c>
      <c r="E49" s="13" t="n">
        <v>88.5137259100642</v>
      </c>
      <c r="F49" s="13" t="s">
        <v>5288</v>
      </c>
      <c r="G49" s="13" t="s">
        <v>5289</v>
      </c>
      <c r="H49" s="13" t="s">
        <v>5289</v>
      </c>
      <c r="I49" s="13" t="s">
        <v>5289</v>
      </c>
      <c r="J49" s="13" t="s">
        <v>5289</v>
      </c>
      <c r="K49" s="13" t="s">
        <v>5292</v>
      </c>
      <c r="L49" s="13" t="s">
        <v>2438</v>
      </c>
      <c r="M49" s="13"/>
      <c r="N49" s="13" t="n">
        <v>4549526616860</v>
      </c>
      <c r="O49" s="13"/>
      <c r="P49" s="13" t="s">
        <v>5291</v>
      </c>
      <c r="Q49" s="13" t="s">
        <v>5289</v>
      </c>
      <c r="R49" s="13" t="s">
        <v>5292</v>
      </c>
      <c r="S49" s="13" t="s">
        <v>5293</v>
      </c>
      <c r="T49" s="13" t="s">
        <v>3</v>
      </c>
      <c r="U49" s="13" t="s">
        <v>144</v>
      </c>
      <c r="V49" s="13" t="n">
        <f aca="false">IF(COUNTIF($B$2:B49,B49)=1,1,0)</f>
        <v>1</v>
      </c>
      <c r="W49" s="13" t="n">
        <f aca="false">IF(COUNTIFS($B$2:B49,B49,$T$2:T49,T49)=1,1,0)</f>
        <v>1</v>
      </c>
    </row>
    <row r="50" customFormat="false" ht="15" hidden="false" customHeight="false" outlineLevel="0" collapsed="false">
      <c r="A50" s="13" t="s">
        <v>123</v>
      </c>
      <c r="B50" s="13" t="s">
        <v>117</v>
      </c>
      <c r="C50" s="13" t="n">
        <v>38900</v>
      </c>
      <c r="D50" s="13" t="n">
        <v>20</v>
      </c>
      <c r="E50" s="13" t="n">
        <v>1769.99090909091</v>
      </c>
      <c r="F50" s="13" t="s">
        <v>5325</v>
      </c>
      <c r="G50" s="13" t="s">
        <v>5289</v>
      </c>
      <c r="H50" s="13" t="s">
        <v>5289</v>
      </c>
      <c r="I50" s="13" t="s">
        <v>5289</v>
      </c>
      <c r="J50" s="13" t="s">
        <v>5289</v>
      </c>
      <c r="K50" s="13" t="s">
        <v>5289</v>
      </c>
      <c r="L50" s="13" t="s">
        <v>2444</v>
      </c>
      <c r="M50" s="13"/>
      <c r="N50" s="13" t="n">
        <v>885911606134</v>
      </c>
      <c r="O50" s="13"/>
      <c r="P50" s="13" t="s">
        <v>5297</v>
      </c>
      <c r="Q50" s="13" t="s">
        <v>5289</v>
      </c>
      <c r="R50" s="13" t="s">
        <v>5292</v>
      </c>
      <c r="S50" s="13" t="s">
        <v>5293</v>
      </c>
      <c r="T50" s="13" t="s">
        <v>3</v>
      </c>
      <c r="U50" s="13" t="s">
        <v>98</v>
      </c>
      <c r="V50" s="13" t="n">
        <f aca="false">IF(COUNTIF($B$2:B50,B50)=1,1,0)</f>
        <v>0</v>
      </c>
      <c r="W50" s="13" t="n">
        <f aca="false">IF(COUNTIFS($B$2:B50,B50,$T$2:T50,T50)=1,1,0)</f>
        <v>0</v>
      </c>
    </row>
    <row r="51" customFormat="false" ht="15" hidden="false" customHeight="false" outlineLevel="0" collapsed="false">
      <c r="A51" s="13" t="s">
        <v>2449</v>
      </c>
      <c r="B51" s="13" t="s">
        <v>2106</v>
      </c>
      <c r="C51" s="13" t="n">
        <v>36600</v>
      </c>
      <c r="D51" s="13" t="n">
        <v>730</v>
      </c>
      <c r="E51" s="13" t="n">
        <v>49.99</v>
      </c>
      <c r="F51" s="13" t="s">
        <v>5288</v>
      </c>
      <c r="G51" s="13" t="s">
        <v>5289</v>
      </c>
      <c r="H51" s="13" t="s">
        <v>5289</v>
      </c>
      <c r="I51" s="13" t="s">
        <v>5292</v>
      </c>
      <c r="J51" s="13" t="s">
        <v>5289</v>
      </c>
      <c r="K51" s="13" t="s">
        <v>5292</v>
      </c>
      <c r="L51" s="13" t="s">
        <v>2448</v>
      </c>
      <c r="M51" s="13"/>
      <c r="N51" s="13" t="n">
        <v>3165140799690</v>
      </c>
      <c r="O51" s="13"/>
      <c r="P51" s="13" t="s">
        <v>5291</v>
      </c>
      <c r="Q51" s="13" t="s">
        <v>5289</v>
      </c>
      <c r="R51" s="13" t="s">
        <v>5292</v>
      </c>
      <c r="S51" s="13" t="s">
        <v>5293</v>
      </c>
      <c r="T51" s="13" t="s">
        <v>3</v>
      </c>
      <c r="U51" s="13" t="s">
        <v>98</v>
      </c>
      <c r="V51" s="13" t="n">
        <f aca="false">IF(COUNTIF($B$2:B51,B51)=1,1,0)</f>
        <v>1</v>
      </c>
      <c r="W51" s="13" t="n">
        <f aca="false">IF(COUNTIFS($B$2:B51,B51,$T$2:T51,T51)=1,1,0)</f>
        <v>1</v>
      </c>
    </row>
    <row r="52" customFormat="false" ht="15" hidden="false" customHeight="false" outlineLevel="0" collapsed="false">
      <c r="A52" s="13" t="s">
        <v>127</v>
      </c>
      <c r="B52" s="13" t="s">
        <v>126</v>
      </c>
      <c r="C52" s="13" t="n">
        <v>35000</v>
      </c>
      <c r="D52" s="13" t="n">
        <v>150</v>
      </c>
      <c r="E52" s="13" t="n">
        <v>229.99</v>
      </c>
      <c r="F52" s="13" t="s">
        <v>5288</v>
      </c>
      <c r="G52" s="13" t="s">
        <v>5289</v>
      </c>
      <c r="H52" s="13" t="s">
        <v>5289</v>
      </c>
      <c r="I52" s="13" t="s">
        <v>5289</v>
      </c>
      <c r="J52" s="13" t="s">
        <v>5289</v>
      </c>
      <c r="K52" s="13" t="s">
        <v>5292</v>
      </c>
      <c r="L52" s="13" t="s">
        <v>5327</v>
      </c>
      <c r="M52" s="13"/>
      <c r="N52" s="13" t="n">
        <v>3607345809915</v>
      </c>
      <c r="O52" s="13"/>
      <c r="P52" s="13" t="s">
        <v>5291</v>
      </c>
      <c r="Q52" s="13" t="s">
        <v>5289</v>
      </c>
      <c r="R52" s="13" t="s">
        <v>5292</v>
      </c>
      <c r="S52" s="13" t="s">
        <v>5293</v>
      </c>
      <c r="T52" s="13" t="s">
        <v>3</v>
      </c>
      <c r="U52" s="13" t="s">
        <v>43</v>
      </c>
      <c r="V52" s="13" t="n">
        <f aca="false">IF(COUNTIF($B$2:B52,B52)=1,1,0)</f>
        <v>1</v>
      </c>
      <c r="W52" s="13" t="n">
        <f aca="false">IF(COUNTIFS($B$2:B52,B52,$T$2:T52,T52)=1,1,0)</f>
        <v>1</v>
      </c>
    </row>
    <row r="53" customFormat="false" ht="15" hidden="false" customHeight="false" outlineLevel="0" collapsed="false">
      <c r="A53" s="13" t="s">
        <v>130</v>
      </c>
      <c r="B53" s="13" t="s">
        <v>128</v>
      </c>
      <c r="C53" s="13" t="n">
        <v>34300</v>
      </c>
      <c r="D53" s="13" t="n">
        <v>30</v>
      </c>
      <c r="E53" s="13" t="n">
        <v>1070.3875</v>
      </c>
      <c r="F53" s="13" t="s">
        <v>5288</v>
      </c>
      <c r="G53" s="13" t="s">
        <v>5289</v>
      </c>
      <c r="H53" s="13" t="s">
        <v>5289</v>
      </c>
      <c r="I53" s="13" t="s">
        <v>5289</v>
      </c>
      <c r="J53" s="13" t="s">
        <v>5289</v>
      </c>
      <c r="K53" s="13" t="s">
        <v>5289</v>
      </c>
      <c r="L53" s="13" t="s">
        <v>2456</v>
      </c>
      <c r="M53" s="13"/>
      <c r="N53" s="13" t="n">
        <v>7896451842145</v>
      </c>
      <c r="O53" s="13"/>
      <c r="P53" s="13" t="s">
        <v>5291</v>
      </c>
      <c r="Q53" s="13" t="s">
        <v>5289</v>
      </c>
      <c r="R53" s="13" t="s">
        <v>5292</v>
      </c>
      <c r="S53" s="13" t="s">
        <v>5293</v>
      </c>
      <c r="T53" s="13" t="s">
        <v>3</v>
      </c>
      <c r="U53" s="13" t="s">
        <v>129</v>
      </c>
      <c r="V53" s="13" t="n">
        <f aca="false">IF(COUNTIF($B$2:B53,B53)=1,1,0)</f>
        <v>1</v>
      </c>
      <c r="W53" s="13" t="n">
        <f aca="false">IF(COUNTIFS($B$2:B53,B53,$T$2:T53,T53)=1,1,0)</f>
        <v>1</v>
      </c>
    </row>
    <row r="54" customFormat="false" ht="15" hidden="false" customHeight="false" outlineLevel="0" collapsed="false">
      <c r="A54" s="13" t="s">
        <v>133</v>
      </c>
      <c r="B54" s="13" t="s">
        <v>131</v>
      </c>
      <c r="C54" s="13" t="n">
        <v>34100</v>
      </c>
      <c r="D54" s="13" t="n">
        <v>60</v>
      </c>
      <c r="E54" s="13" t="n">
        <v>620.019636363636</v>
      </c>
      <c r="F54" s="13" t="s">
        <v>5288</v>
      </c>
      <c r="G54" s="13" t="s">
        <v>5289</v>
      </c>
      <c r="H54" s="13" t="s">
        <v>5289</v>
      </c>
      <c r="I54" s="13" t="s">
        <v>5289</v>
      </c>
      <c r="J54" s="13" t="s">
        <v>5289</v>
      </c>
      <c r="K54" s="13" t="s">
        <v>5292</v>
      </c>
      <c r="L54" s="13" t="s">
        <v>2459</v>
      </c>
      <c r="M54" s="13"/>
      <c r="N54" s="13" t="n">
        <v>7908137907984</v>
      </c>
      <c r="O54" s="13"/>
      <c r="P54" s="13" t="s">
        <v>5291</v>
      </c>
      <c r="Q54" s="13" t="s">
        <v>5289</v>
      </c>
      <c r="R54" s="13" t="s">
        <v>5292</v>
      </c>
      <c r="S54" s="13" t="s">
        <v>5293</v>
      </c>
      <c r="T54" s="13" t="s">
        <v>3</v>
      </c>
      <c r="U54" s="13" t="s">
        <v>66</v>
      </c>
      <c r="V54" s="13" t="n">
        <f aca="false">IF(COUNTIF($B$2:B54,B54)=1,1,0)</f>
        <v>1</v>
      </c>
      <c r="W54" s="13" t="n">
        <f aca="false">IF(COUNTIFS($B$2:B54,B54,$T$2:T54,T54)=1,1,0)</f>
        <v>1</v>
      </c>
    </row>
    <row r="55" customFormat="false" ht="15" hidden="false" customHeight="false" outlineLevel="0" collapsed="false">
      <c r="A55" s="13" t="s">
        <v>132</v>
      </c>
      <c r="B55" s="13" t="s">
        <v>131</v>
      </c>
      <c r="C55" s="13" t="n">
        <v>34100</v>
      </c>
      <c r="D55" s="13" t="n">
        <v>60</v>
      </c>
      <c r="E55" s="13" t="n">
        <v>567.753333333333</v>
      </c>
      <c r="F55" s="13" t="s">
        <v>5288</v>
      </c>
      <c r="G55" s="13" t="s">
        <v>5289</v>
      </c>
      <c r="H55" s="13" t="s">
        <v>5289</v>
      </c>
      <c r="I55" s="13" t="s">
        <v>5289</v>
      </c>
      <c r="J55" s="13" t="s">
        <v>5289</v>
      </c>
      <c r="K55" s="13" t="s">
        <v>5289</v>
      </c>
      <c r="L55" s="13" t="s">
        <v>2458</v>
      </c>
      <c r="M55" s="13"/>
      <c r="N55" s="13" t="n">
        <v>7898480944913</v>
      </c>
      <c r="O55" s="13"/>
      <c r="P55" s="13" t="s">
        <v>5291</v>
      </c>
      <c r="Q55" s="13" t="s">
        <v>5289</v>
      </c>
      <c r="R55" s="13" t="s">
        <v>5292</v>
      </c>
      <c r="S55" s="13" t="s">
        <v>5293</v>
      </c>
      <c r="T55" s="13" t="s">
        <v>3</v>
      </c>
      <c r="U55" s="13" t="s">
        <v>66</v>
      </c>
      <c r="V55" s="13" t="n">
        <f aca="false">IF(COUNTIF($B$2:B55,B55)=1,1,0)</f>
        <v>0</v>
      </c>
      <c r="W55" s="13" t="n">
        <f aca="false">IF(COUNTIFS($B$2:B55,B55,$T$2:T55,T55)=1,1,0)</f>
        <v>0</v>
      </c>
    </row>
    <row r="56" customFormat="false" ht="15" hidden="false" customHeight="false" outlineLevel="0" collapsed="false">
      <c r="A56" s="13" t="s">
        <v>2350</v>
      </c>
      <c r="B56" s="13" t="s">
        <v>2098</v>
      </c>
      <c r="C56" s="13" t="n">
        <v>33900</v>
      </c>
      <c r="D56" s="13" t="n">
        <v>480</v>
      </c>
      <c r="E56" s="13" t="n">
        <v>71.2721848739496</v>
      </c>
      <c r="F56" s="13" t="s">
        <v>5288</v>
      </c>
      <c r="G56" s="13" t="s">
        <v>5289</v>
      </c>
      <c r="H56" s="13" t="s">
        <v>5289</v>
      </c>
      <c r="I56" s="13" t="s">
        <v>5292</v>
      </c>
      <c r="J56" s="13" t="s">
        <v>5289</v>
      </c>
      <c r="K56" s="13" t="s">
        <v>5289</v>
      </c>
      <c r="L56" s="13" t="s">
        <v>5328</v>
      </c>
      <c r="M56" s="13"/>
      <c r="N56" s="13" t="n">
        <v>7898301052674</v>
      </c>
      <c r="O56" s="13"/>
      <c r="P56" s="13" t="s">
        <v>5291</v>
      </c>
      <c r="Q56" s="13" t="s">
        <v>5289</v>
      </c>
      <c r="R56" s="13" t="s">
        <v>5292</v>
      </c>
      <c r="S56" s="13" t="s">
        <v>5293</v>
      </c>
      <c r="T56" s="13" t="s">
        <v>3</v>
      </c>
      <c r="U56" s="13" t="s">
        <v>57</v>
      </c>
      <c r="V56" s="13" t="n">
        <f aca="false">IF(COUNTIF($B$2:B56,B56)=1,1,0)</f>
        <v>0</v>
      </c>
      <c r="W56" s="13" t="n">
        <f aca="false">IF(COUNTIFS($B$2:B56,B56,$T$2:T56,T56)=1,1,0)</f>
        <v>0</v>
      </c>
    </row>
    <row r="57" customFormat="false" ht="15" hidden="false" customHeight="false" outlineLevel="0" collapsed="false">
      <c r="A57" s="13" t="s">
        <v>136</v>
      </c>
      <c r="B57" s="13" t="s">
        <v>135</v>
      </c>
      <c r="C57" s="13" t="n">
        <v>33100</v>
      </c>
      <c r="D57" s="13" t="n">
        <v>50</v>
      </c>
      <c r="E57" s="13" t="n">
        <v>649.99</v>
      </c>
      <c r="F57" s="13" t="s">
        <v>5288</v>
      </c>
      <c r="G57" s="13" t="s">
        <v>5289</v>
      </c>
      <c r="H57" s="13" t="s">
        <v>5289</v>
      </c>
      <c r="I57" s="13" t="s">
        <v>5289</v>
      </c>
      <c r="J57" s="13" t="s">
        <v>5289</v>
      </c>
      <c r="K57" s="13" t="s">
        <v>5292</v>
      </c>
      <c r="L57" s="13" t="s">
        <v>2466</v>
      </c>
      <c r="M57" s="13"/>
      <c r="N57" s="13" t="n">
        <v>7896873186506</v>
      </c>
      <c r="O57" s="13"/>
      <c r="P57" s="13" t="s">
        <v>5297</v>
      </c>
      <c r="Q57" s="13" t="s">
        <v>5289</v>
      </c>
      <c r="R57" s="13" t="s">
        <v>5292</v>
      </c>
      <c r="S57" s="13" t="s">
        <v>5293</v>
      </c>
      <c r="T57" s="13" t="s">
        <v>3</v>
      </c>
      <c r="U57" s="13" t="s">
        <v>129</v>
      </c>
      <c r="V57" s="13" t="n">
        <f aca="false">IF(COUNTIF($B$2:B57,B57)=1,1,0)</f>
        <v>1</v>
      </c>
      <c r="W57" s="13" t="n">
        <f aca="false">IF(COUNTIFS($B$2:B57,B57,$T$2:T57,T57)=1,1,0)</f>
        <v>1</v>
      </c>
    </row>
    <row r="58" customFormat="false" ht="15" hidden="false" customHeight="false" outlineLevel="0" collapsed="false">
      <c r="A58" s="13" t="s">
        <v>141</v>
      </c>
      <c r="B58" s="13" t="s">
        <v>139</v>
      </c>
      <c r="C58" s="13" t="n">
        <v>33000</v>
      </c>
      <c r="D58" s="13" t="n">
        <v>160</v>
      </c>
      <c r="E58" s="13" t="n">
        <v>210.105095541401</v>
      </c>
      <c r="F58" s="13" t="s">
        <v>5325</v>
      </c>
      <c r="G58" s="13" t="s">
        <v>5289</v>
      </c>
      <c r="H58" s="13" t="s">
        <v>5289</v>
      </c>
      <c r="I58" s="13" t="s">
        <v>5289</v>
      </c>
      <c r="J58" s="13" t="s">
        <v>5289</v>
      </c>
      <c r="K58" s="13" t="s">
        <v>5292</v>
      </c>
      <c r="L58" s="13" t="s">
        <v>2467</v>
      </c>
      <c r="M58" s="13"/>
      <c r="N58" s="13" t="n">
        <v>7898962163214</v>
      </c>
      <c r="O58" s="13"/>
      <c r="P58" s="13" t="s">
        <v>5297</v>
      </c>
      <c r="Q58" s="13" t="s">
        <v>5289</v>
      </c>
      <c r="R58" s="13" t="s">
        <v>5292</v>
      </c>
      <c r="S58" s="13" t="s">
        <v>5293</v>
      </c>
      <c r="T58" s="13" t="s">
        <v>3</v>
      </c>
      <c r="U58" s="13" t="s">
        <v>140</v>
      </c>
      <c r="V58" s="13" t="n">
        <f aca="false">IF(COUNTIF($B$2:B58,B58)=1,1,0)</f>
        <v>1</v>
      </c>
      <c r="W58" s="13" t="n">
        <f aca="false">IF(COUNTIFS($B$2:B58,B58,$T$2:T58,T58)=1,1,0)</f>
        <v>1</v>
      </c>
    </row>
    <row r="59" customFormat="false" ht="15" hidden="false" customHeight="false" outlineLevel="0" collapsed="false">
      <c r="A59" s="13" t="s">
        <v>138</v>
      </c>
      <c r="B59" s="13" t="s">
        <v>69</v>
      </c>
      <c r="C59" s="13" t="n">
        <v>33000</v>
      </c>
      <c r="D59" s="13" t="n">
        <v>50</v>
      </c>
      <c r="E59" s="13" t="n">
        <v>716.381304347826</v>
      </c>
      <c r="F59" s="13" t="s">
        <v>5288</v>
      </c>
      <c r="G59" s="13" t="s">
        <v>5289</v>
      </c>
      <c r="H59" s="13" t="s">
        <v>5289</v>
      </c>
      <c r="I59" s="13" t="s">
        <v>5289</v>
      </c>
      <c r="J59" s="13" t="s">
        <v>5289</v>
      </c>
      <c r="K59" s="13" t="s">
        <v>5292</v>
      </c>
      <c r="L59" s="13" t="s">
        <v>2373</v>
      </c>
      <c r="M59" s="13"/>
      <c r="N59" s="13" t="n">
        <v>3614272648425</v>
      </c>
      <c r="O59" s="13"/>
      <c r="P59" s="13" t="s">
        <v>5291</v>
      </c>
      <c r="Q59" s="13" t="s">
        <v>5289</v>
      </c>
      <c r="R59" s="13" t="s">
        <v>5292</v>
      </c>
      <c r="S59" s="13" t="s">
        <v>5293</v>
      </c>
      <c r="T59" s="13" t="s">
        <v>3</v>
      </c>
      <c r="U59" s="13" t="s">
        <v>43</v>
      </c>
      <c r="V59" s="13" t="n">
        <f aca="false">IF(COUNTIF($B$2:B59,B59)=1,1,0)</f>
        <v>0</v>
      </c>
      <c r="W59" s="13" t="n">
        <f aca="false">IF(COUNTIFS($B$2:B59,B59,$T$2:T59,T59)=1,1,0)</f>
        <v>0</v>
      </c>
    </row>
    <row r="60" customFormat="false" ht="15" hidden="false" customHeight="false" outlineLevel="0" collapsed="false">
      <c r="A60" s="13" t="s">
        <v>73</v>
      </c>
      <c r="B60" s="13" t="s">
        <v>72</v>
      </c>
      <c r="C60" s="13" t="n">
        <v>33000</v>
      </c>
      <c r="D60" s="13" t="n">
        <v>50</v>
      </c>
      <c r="E60" s="13" t="n">
        <v>686.51</v>
      </c>
      <c r="F60" s="13" t="s">
        <v>5288</v>
      </c>
      <c r="G60" s="13" t="s">
        <v>5289</v>
      </c>
      <c r="H60" s="13" t="s">
        <v>5289</v>
      </c>
      <c r="I60" s="13" t="s">
        <v>5289</v>
      </c>
      <c r="J60" s="13" t="s">
        <v>5289</v>
      </c>
      <c r="K60" s="13" t="s">
        <v>5289</v>
      </c>
      <c r="L60" s="13" t="s">
        <v>2336</v>
      </c>
      <c r="M60" s="13"/>
      <c r="N60" s="13" t="n">
        <v>3614273760164</v>
      </c>
      <c r="O60" s="13"/>
      <c r="P60" s="13" t="s">
        <v>5291</v>
      </c>
      <c r="Q60" s="13" t="s">
        <v>5289</v>
      </c>
      <c r="R60" s="13" t="s">
        <v>5292</v>
      </c>
      <c r="S60" s="13" t="s">
        <v>5293</v>
      </c>
      <c r="T60" s="13" t="s">
        <v>3</v>
      </c>
      <c r="U60" s="13" t="s">
        <v>43</v>
      </c>
      <c r="V60" s="13" t="n">
        <f aca="false">IF(COUNTIF($B$2:B60,B60)=1,1,0)</f>
        <v>1</v>
      </c>
      <c r="W60" s="13" t="n">
        <f aca="false">IF(COUNTIFS($B$2:B60,B60,$T$2:T60,T60)=1,1,0)</f>
        <v>1</v>
      </c>
    </row>
    <row r="61" customFormat="false" ht="15" hidden="false" customHeight="false" outlineLevel="0" collapsed="false">
      <c r="A61" s="13" t="s">
        <v>142</v>
      </c>
      <c r="B61" s="13" t="s">
        <v>135</v>
      </c>
      <c r="C61" s="13" t="n">
        <v>32800</v>
      </c>
      <c r="D61" s="13" t="n">
        <v>50</v>
      </c>
      <c r="E61" s="13" t="n">
        <v>629.99</v>
      </c>
      <c r="F61" s="13" t="s">
        <v>5288</v>
      </c>
      <c r="G61" s="13" t="s">
        <v>5289</v>
      </c>
      <c r="H61" s="13" t="s">
        <v>5289</v>
      </c>
      <c r="I61" s="13" t="s">
        <v>5289</v>
      </c>
      <c r="J61" s="13" t="s">
        <v>5289</v>
      </c>
      <c r="K61" s="13" t="s">
        <v>5292</v>
      </c>
      <c r="L61" s="13" t="s">
        <v>2472</v>
      </c>
      <c r="M61" s="13"/>
      <c r="N61" s="13" t="n">
        <v>7896873186520</v>
      </c>
      <c r="O61" s="13"/>
      <c r="P61" s="13" t="s">
        <v>5297</v>
      </c>
      <c r="Q61" s="13" t="s">
        <v>5289</v>
      </c>
      <c r="R61" s="13" t="s">
        <v>5292</v>
      </c>
      <c r="S61" s="13" t="s">
        <v>5293</v>
      </c>
      <c r="T61" s="13" t="s">
        <v>3</v>
      </c>
      <c r="U61" s="13" t="s">
        <v>85</v>
      </c>
      <c r="V61" s="13" t="n">
        <f aca="false">IF(COUNTIF($B$2:B61,B61)=1,1,0)</f>
        <v>0</v>
      </c>
      <c r="W61" s="13" t="n">
        <f aca="false">IF(COUNTIFS($B$2:B61,B61,$T$2:T61,T61)=1,1,0)</f>
        <v>0</v>
      </c>
    </row>
    <row r="62" customFormat="false" ht="15" hidden="false" customHeight="false" outlineLevel="0" collapsed="false">
      <c r="A62" s="13" t="s">
        <v>2470</v>
      </c>
      <c r="B62" s="13" t="s">
        <v>2097</v>
      </c>
      <c r="C62" s="13" t="n">
        <v>32500</v>
      </c>
      <c r="D62" s="13" t="n">
        <v>400</v>
      </c>
      <c r="E62" s="13" t="n">
        <v>80.6204962779156</v>
      </c>
      <c r="F62" s="13" t="s">
        <v>5288</v>
      </c>
      <c r="G62" s="13" t="s">
        <v>5289</v>
      </c>
      <c r="H62" s="13" t="s">
        <v>5289</v>
      </c>
      <c r="I62" s="13" t="s">
        <v>5289</v>
      </c>
      <c r="J62" s="13" t="s">
        <v>5289</v>
      </c>
      <c r="K62" s="13" t="s">
        <v>5292</v>
      </c>
      <c r="L62" s="13" t="s">
        <v>2469</v>
      </c>
      <c r="M62" s="13"/>
      <c r="N62" s="13" t="n">
        <v>7908407008557</v>
      </c>
      <c r="O62" s="13"/>
      <c r="P62" s="13" t="s">
        <v>5291</v>
      </c>
      <c r="Q62" s="13" t="s">
        <v>5289</v>
      </c>
      <c r="R62" s="13" t="s">
        <v>5292</v>
      </c>
      <c r="S62" s="13" t="s">
        <v>5293</v>
      </c>
      <c r="T62" s="13" t="s">
        <v>3</v>
      </c>
      <c r="U62" s="13" t="s">
        <v>140</v>
      </c>
      <c r="V62" s="13" t="n">
        <f aca="false">IF(COUNTIF($B$2:B62,B62)=1,1,0)</f>
        <v>0</v>
      </c>
      <c r="W62" s="13" t="n">
        <f aca="false">IF(COUNTIFS($B$2:B62,B62,$T$2:T62,T62)=1,1,0)</f>
        <v>0</v>
      </c>
    </row>
    <row r="63" customFormat="false" ht="15" hidden="false" customHeight="false" outlineLevel="0" collapsed="false">
      <c r="A63" s="13" t="s">
        <v>145</v>
      </c>
      <c r="B63" s="13" t="s">
        <v>143</v>
      </c>
      <c r="C63" s="13" t="n">
        <v>32100</v>
      </c>
      <c r="D63" s="13" t="n">
        <v>80</v>
      </c>
      <c r="E63" s="13" t="n">
        <v>401.865</v>
      </c>
      <c r="F63" s="13" t="s">
        <v>5288</v>
      </c>
      <c r="G63" s="13" t="s">
        <v>5289</v>
      </c>
      <c r="H63" s="13" t="s">
        <v>5289</v>
      </c>
      <c r="I63" s="13" t="s">
        <v>5289</v>
      </c>
      <c r="J63" s="13" t="s">
        <v>5289</v>
      </c>
      <c r="K63" s="13" t="s">
        <v>5292</v>
      </c>
      <c r="L63" s="13" t="s">
        <v>5329</v>
      </c>
      <c r="M63" s="13"/>
      <c r="N63" s="13"/>
      <c r="O63" s="13"/>
      <c r="P63" s="13" t="s">
        <v>5291</v>
      </c>
      <c r="Q63" s="13" t="s">
        <v>5289</v>
      </c>
      <c r="R63" s="13" t="s">
        <v>5292</v>
      </c>
      <c r="S63" s="13" t="s">
        <v>5293</v>
      </c>
      <c r="T63" s="13" t="s">
        <v>3</v>
      </c>
      <c r="U63" s="13" t="s">
        <v>144</v>
      </c>
      <c r="V63" s="13" t="n">
        <f aca="false">IF(COUNTIF($B$2:B63,B63)=1,1,0)</f>
        <v>1</v>
      </c>
      <c r="W63" s="13" t="n">
        <f aca="false">IF(COUNTIFS($B$2:B63,B63,$T$2:T63,T63)=1,1,0)</f>
        <v>1</v>
      </c>
    </row>
    <row r="64" customFormat="false" ht="15" hidden="false" customHeight="false" outlineLevel="0" collapsed="false">
      <c r="A64" s="13" t="s">
        <v>147</v>
      </c>
      <c r="B64" s="13" t="s">
        <v>65</v>
      </c>
      <c r="C64" s="13" t="n">
        <v>31700</v>
      </c>
      <c r="D64" s="13" t="n">
        <v>100</v>
      </c>
      <c r="E64" s="13" t="n">
        <v>334</v>
      </c>
      <c r="F64" s="13" t="s">
        <v>5325</v>
      </c>
      <c r="G64" s="13" t="s">
        <v>5289</v>
      </c>
      <c r="H64" s="13" t="s">
        <v>5289</v>
      </c>
      <c r="I64" s="13" t="s">
        <v>5289</v>
      </c>
      <c r="J64" s="13" t="s">
        <v>5289</v>
      </c>
      <c r="K64" s="13" t="s">
        <v>5289</v>
      </c>
      <c r="L64" s="13" t="s">
        <v>2480</v>
      </c>
      <c r="M64" s="13"/>
      <c r="N64" s="13" t="n">
        <v>4710122017409</v>
      </c>
      <c r="O64" s="13"/>
      <c r="P64" s="13" t="s">
        <v>5291</v>
      </c>
      <c r="Q64" s="13" t="s">
        <v>5289</v>
      </c>
      <c r="R64" s="13" t="s">
        <v>5292</v>
      </c>
      <c r="S64" s="13" t="s">
        <v>5293</v>
      </c>
      <c r="T64" s="13" t="s">
        <v>3</v>
      </c>
      <c r="U64" s="13" t="s">
        <v>66</v>
      </c>
      <c r="V64" s="13" t="n">
        <f aca="false">IF(COUNTIF($B$2:B64,B64)=1,1,0)</f>
        <v>0</v>
      </c>
      <c r="W64" s="13" t="n">
        <f aca="false">IF(COUNTIFS($B$2:B64,B64,$T$2:T64,T64)=1,1,0)</f>
        <v>0</v>
      </c>
    </row>
    <row r="65" customFormat="false" ht="15" hidden="false" customHeight="false" outlineLevel="0" collapsed="false">
      <c r="A65" s="13" t="s">
        <v>149</v>
      </c>
      <c r="B65" s="13" t="s">
        <v>81</v>
      </c>
      <c r="C65" s="13" t="n">
        <v>31400</v>
      </c>
      <c r="D65" s="13" t="n">
        <v>320</v>
      </c>
      <c r="E65" s="13" t="n">
        <v>99</v>
      </c>
      <c r="F65" s="13" t="s">
        <v>5288</v>
      </c>
      <c r="G65" s="13" t="s">
        <v>5289</v>
      </c>
      <c r="H65" s="13" t="s">
        <v>5292</v>
      </c>
      <c r="I65" s="13" t="s">
        <v>5289</v>
      </c>
      <c r="J65" s="13" t="s">
        <v>5289</v>
      </c>
      <c r="K65" s="13" t="s">
        <v>5292</v>
      </c>
      <c r="L65" s="13" t="s">
        <v>2484</v>
      </c>
      <c r="M65" s="13"/>
      <c r="N65" s="13" t="n">
        <v>7899206165001</v>
      </c>
      <c r="O65" s="13"/>
      <c r="P65" s="13" t="s">
        <v>5291</v>
      </c>
      <c r="Q65" s="13" t="s">
        <v>5289</v>
      </c>
      <c r="R65" s="13" t="s">
        <v>5292</v>
      </c>
      <c r="S65" s="13" t="s">
        <v>5293</v>
      </c>
      <c r="T65" s="13" t="s">
        <v>3</v>
      </c>
      <c r="U65" s="13" t="s">
        <v>82</v>
      </c>
      <c r="V65" s="13" t="n">
        <f aca="false">IF(COUNTIF($B$2:B65,B65)=1,1,0)</f>
        <v>0</v>
      </c>
      <c r="W65" s="13" t="n">
        <f aca="false">IF(COUNTIFS($B$2:B65,B65,$T$2:T65,T65)=1,1,0)</f>
        <v>0</v>
      </c>
    </row>
    <row r="66" customFormat="false" ht="15" hidden="false" customHeight="false" outlineLevel="0" collapsed="false">
      <c r="A66" s="13" t="s">
        <v>150</v>
      </c>
      <c r="B66" s="13" t="s">
        <v>111</v>
      </c>
      <c r="C66" s="13" t="n">
        <v>31200</v>
      </c>
      <c r="D66" s="13" t="n">
        <v>110</v>
      </c>
      <c r="E66" s="13" t="n">
        <v>291.276915887851</v>
      </c>
      <c r="F66" s="13" t="s">
        <v>5288</v>
      </c>
      <c r="G66" s="13" t="s">
        <v>5289</v>
      </c>
      <c r="H66" s="13" t="s">
        <v>5289</v>
      </c>
      <c r="I66" s="13" t="s">
        <v>5289</v>
      </c>
      <c r="J66" s="13" t="s">
        <v>5289</v>
      </c>
      <c r="K66" s="13" t="s">
        <v>5292</v>
      </c>
      <c r="L66" s="13" t="s">
        <v>5330</v>
      </c>
      <c r="M66" s="13"/>
      <c r="N66" s="13" t="n">
        <v>3595471081032</v>
      </c>
      <c r="O66" s="13"/>
      <c r="P66" s="13" t="s">
        <v>5297</v>
      </c>
      <c r="Q66" s="13" t="s">
        <v>5289</v>
      </c>
      <c r="R66" s="13" t="s">
        <v>5292</v>
      </c>
      <c r="S66" s="13" t="s">
        <v>5293</v>
      </c>
      <c r="T66" s="13" t="s">
        <v>3</v>
      </c>
      <c r="U66" s="13" t="s">
        <v>43</v>
      </c>
      <c r="V66" s="13" t="n">
        <f aca="false">IF(COUNTIF($B$2:B66,B66)=1,1,0)</f>
        <v>0</v>
      </c>
      <c r="W66" s="13" t="n">
        <f aca="false">IF(COUNTIFS($B$2:B66,B66,$T$2:T66,T66)=1,1,0)</f>
        <v>0</v>
      </c>
    </row>
    <row r="67" customFormat="false" ht="15" hidden="false" customHeight="false" outlineLevel="0" collapsed="false">
      <c r="A67" s="13" t="s">
        <v>156</v>
      </c>
      <c r="B67" s="13" t="s">
        <v>155</v>
      </c>
      <c r="C67" s="13" t="n">
        <v>30700</v>
      </c>
      <c r="D67" s="13" t="n">
        <v>320</v>
      </c>
      <c r="E67" s="13" t="n">
        <v>97.4969523809523</v>
      </c>
      <c r="F67" s="13" t="s">
        <v>5288</v>
      </c>
      <c r="G67" s="13" t="s">
        <v>5289</v>
      </c>
      <c r="H67" s="13" t="s">
        <v>5289</v>
      </c>
      <c r="I67" s="13" t="s">
        <v>5289</v>
      </c>
      <c r="J67" s="13" t="s">
        <v>5289</v>
      </c>
      <c r="K67" s="13" t="s">
        <v>5292</v>
      </c>
      <c r="L67" s="13" t="s">
        <v>5331</v>
      </c>
      <c r="M67" s="13"/>
      <c r="N67" s="13" t="n">
        <v>8005610325507</v>
      </c>
      <c r="O67" s="13"/>
      <c r="P67" s="13" t="s">
        <v>5297</v>
      </c>
      <c r="Q67" s="13" t="s">
        <v>5289</v>
      </c>
      <c r="R67" s="13" t="s">
        <v>5292</v>
      </c>
      <c r="S67" s="13" t="s">
        <v>5293</v>
      </c>
      <c r="T67" s="13" t="s">
        <v>3</v>
      </c>
      <c r="U67" s="13" t="s">
        <v>43</v>
      </c>
      <c r="V67" s="13" t="n">
        <f aca="false">IF(COUNTIF($B$2:B67,B67)=1,1,0)</f>
        <v>1</v>
      </c>
      <c r="W67" s="13" t="n">
        <f aca="false">IF(COUNTIFS($B$2:B67,B67,$T$2:T67,T67)=1,1,0)</f>
        <v>1</v>
      </c>
    </row>
    <row r="68" customFormat="false" ht="15" hidden="false" customHeight="false" outlineLevel="0" collapsed="false">
      <c r="A68" s="13" t="s">
        <v>158</v>
      </c>
      <c r="B68" s="13" t="s">
        <v>157</v>
      </c>
      <c r="C68" s="13" t="n">
        <v>30600</v>
      </c>
      <c r="D68" s="13" t="n">
        <v>90</v>
      </c>
      <c r="E68" s="13" t="n">
        <v>355.255813953488</v>
      </c>
      <c r="F68" s="13" t="s">
        <v>5288</v>
      </c>
      <c r="G68" s="13" t="s">
        <v>5289</v>
      </c>
      <c r="H68" s="13" t="s">
        <v>5289</v>
      </c>
      <c r="I68" s="13" t="s">
        <v>5289</v>
      </c>
      <c r="J68" s="13" t="s">
        <v>5289</v>
      </c>
      <c r="K68" s="13" t="s">
        <v>5289</v>
      </c>
      <c r="L68" s="13" t="s">
        <v>2486</v>
      </c>
      <c r="M68" s="13"/>
      <c r="N68" s="13" t="n">
        <v>7908137908370</v>
      </c>
      <c r="O68" s="13"/>
      <c r="P68" s="13" t="s">
        <v>5297</v>
      </c>
      <c r="Q68" s="13" t="s">
        <v>5289</v>
      </c>
      <c r="R68" s="13" t="s">
        <v>5292</v>
      </c>
      <c r="S68" s="13" t="s">
        <v>5293</v>
      </c>
      <c r="T68" s="13" t="s">
        <v>3</v>
      </c>
      <c r="U68" s="13" t="s">
        <v>66</v>
      </c>
      <c r="V68" s="13" t="n">
        <f aca="false">IF(COUNTIF($B$2:B68,B68)=1,1,0)</f>
        <v>1</v>
      </c>
      <c r="W68" s="13" t="n">
        <f aca="false">IF(COUNTIFS($B$2:B68,B68,$T$2:T68,T68)=1,1,0)</f>
        <v>1</v>
      </c>
    </row>
    <row r="69" customFormat="false" ht="15" hidden="false" customHeight="false" outlineLevel="0" collapsed="false">
      <c r="A69" s="13" t="s">
        <v>163</v>
      </c>
      <c r="B69" s="13" t="s">
        <v>161</v>
      </c>
      <c r="C69" s="13" t="n">
        <v>29500</v>
      </c>
      <c r="D69" s="13" t="n">
        <v>100</v>
      </c>
      <c r="E69" s="13" t="n">
        <v>307.542604166667</v>
      </c>
      <c r="F69" s="13" t="s">
        <v>5288</v>
      </c>
      <c r="G69" s="13" t="s">
        <v>5289</v>
      </c>
      <c r="H69" s="13" t="s">
        <v>5289</v>
      </c>
      <c r="I69" s="13" t="s">
        <v>5289</v>
      </c>
      <c r="J69" s="13" t="s">
        <v>5289</v>
      </c>
      <c r="K69" s="13" t="s">
        <v>5292</v>
      </c>
      <c r="L69" s="13" t="s">
        <v>5332</v>
      </c>
      <c r="M69" s="13"/>
      <c r="N69" s="13" t="n">
        <v>3355991004672</v>
      </c>
      <c r="O69" s="13"/>
      <c r="P69" s="13" t="s">
        <v>5291</v>
      </c>
      <c r="Q69" s="13" t="s">
        <v>5289</v>
      </c>
      <c r="R69" s="13" t="s">
        <v>5292</v>
      </c>
      <c r="S69" s="13" t="s">
        <v>5293</v>
      </c>
      <c r="T69" s="13" t="s">
        <v>3</v>
      </c>
      <c r="U69" s="13" t="s">
        <v>43</v>
      </c>
      <c r="V69" s="13" t="n">
        <f aca="false">IF(COUNTIF($B$2:B69,B69)=1,1,0)</f>
        <v>1</v>
      </c>
      <c r="W69" s="13" t="n">
        <f aca="false">IF(COUNTIFS($B$2:B69,B69,$T$2:T69,T69)=1,1,0)</f>
        <v>1</v>
      </c>
    </row>
    <row r="70" customFormat="false" ht="15" hidden="false" customHeight="false" outlineLevel="0" collapsed="false">
      <c r="A70" s="13" t="s">
        <v>164</v>
      </c>
      <c r="B70" s="13" t="s">
        <v>87</v>
      </c>
      <c r="C70" s="13" t="n">
        <v>29500</v>
      </c>
      <c r="D70" s="13" t="n">
        <v>10</v>
      </c>
      <c r="E70" s="13" t="n">
        <v>2270.18461538462</v>
      </c>
      <c r="F70" s="13" t="s">
        <v>5325</v>
      </c>
      <c r="G70" s="13" t="s">
        <v>5289</v>
      </c>
      <c r="H70" s="13" t="s">
        <v>5289</v>
      </c>
      <c r="I70" s="13" t="s">
        <v>5289</v>
      </c>
      <c r="J70" s="13" t="s">
        <v>5289</v>
      </c>
      <c r="K70" s="13" t="s">
        <v>5289</v>
      </c>
      <c r="L70" s="13" t="s">
        <v>5333</v>
      </c>
      <c r="M70" s="13"/>
      <c r="N70" s="13" t="n">
        <v>22255241779</v>
      </c>
      <c r="O70" s="13"/>
      <c r="P70" s="13" t="s">
        <v>5291</v>
      </c>
      <c r="Q70" s="13" t="s">
        <v>5289</v>
      </c>
      <c r="R70" s="13" t="s">
        <v>5292</v>
      </c>
      <c r="S70" s="13" t="s">
        <v>5293</v>
      </c>
      <c r="T70" s="13" t="s">
        <v>3</v>
      </c>
      <c r="U70" s="13" t="s">
        <v>66</v>
      </c>
      <c r="V70" s="13" t="n">
        <f aca="false">IF(COUNTIF($B$2:B70,B70)=1,1,0)</f>
        <v>0</v>
      </c>
      <c r="W70" s="13" t="n">
        <f aca="false">IF(COUNTIFS($B$2:B70,B70,$T$2:T70,T70)=1,1,0)</f>
        <v>0</v>
      </c>
    </row>
    <row r="71" customFormat="false" ht="15" hidden="false" customHeight="false" outlineLevel="0" collapsed="false">
      <c r="A71" s="13" t="s">
        <v>2482</v>
      </c>
      <c r="B71" s="13" t="s">
        <v>2096</v>
      </c>
      <c r="C71" s="13" t="n">
        <v>29500</v>
      </c>
      <c r="D71" s="13" t="n">
        <v>310</v>
      </c>
      <c r="E71" s="13" t="n">
        <v>96.0715635179153</v>
      </c>
      <c r="F71" s="13" t="s">
        <v>5288</v>
      </c>
      <c r="G71" s="13" t="s">
        <v>5289</v>
      </c>
      <c r="H71" s="13" t="s">
        <v>5289</v>
      </c>
      <c r="I71" s="13" t="s">
        <v>5289</v>
      </c>
      <c r="J71" s="13" t="s">
        <v>5289</v>
      </c>
      <c r="K71" s="13" t="s">
        <v>5292</v>
      </c>
      <c r="L71" s="13" t="s">
        <v>2481</v>
      </c>
      <c r="M71" s="13"/>
      <c r="N71" s="13" t="n">
        <v>7891033507528</v>
      </c>
      <c r="O71" s="13"/>
      <c r="P71" s="13" t="s">
        <v>5297</v>
      </c>
      <c r="Q71" s="13" t="s">
        <v>5289</v>
      </c>
      <c r="R71" s="13" t="s">
        <v>5292</v>
      </c>
      <c r="S71" s="13" t="s">
        <v>5293</v>
      </c>
      <c r="T71" s="13" t="s">
        <v>3</v>
      </c>
      <c r="U71" s="13" t="s">
        <v>43</v>
      </c>
      <c r="V71" s="13" t="n">
        <f aca="false">IF(COUNTIF($B$2:B71,B71)=1,1,0)</f>
        <v>0</v>
      </c>
      <c r="W71" s="13" t="n">
        <f aca="false">IF(COUNTIFS($B$2:B71,B71,$T$2:T71,T71)=1,1,0)</f>
        <v>0</v>
      </c>
    </row>
    <row r="72" customFormat="false" ht="15" hidden="false" customHeight="false" outlineLevel="0" collapsed="false">
      <c r="A72" s="13" t="s">
        <v>166</v>
      </c>
      <c r="B72" s="13" t="s">
        <v>165</v>
      </c>
      <c r="C72" s="13" t="n">
        <v>29400</v>
      </c>
      <c r="D72" s="13" t="n">
        <v>120</v>
      </c>
      <c r="E72" s="13" t="n">
        <v>255.565130434783</v>
      </c>
      <c r="F72" s="13" t="s">
        <v>5288</v>
      </c>
      <c r="G72" s="13" t="s">
        <v>5289</v>
      </c>
      <c r="H72" s="13" t="s">
        <v>5289</v>
      </c>
      <c r="I72" s="13" t="s">
        <v>5289</v>
      </c>
      <c r="J72" s="13" t="s">
        <v>5289</v>
      </c>
      <c r="K72" s="13" t="s">
        <v>5289</v>
      </c>
      <c r="L72" s="13" t="s">
        <v>2492</v>
      </c>
      <c r="M72" s="13"/>
      <c r="N72" s="13" t="n">
        <v>3351500011476</v>
      </c>
      <c r="O72" s="13"/>
      <c r="P72" s="13" t="s">
        <v>5291</v>
      </c>
      <c r="Q72" s="13" t="s">
        <v>5289</v>
      </c>
      <c r="R72" s="13" t="s">
        <v>5292</v>
      </c>
      <c r="S72" s="13" t="s">
        <v>5293</v>
      </c>
      <c r="T72" s="13" t="s">
        <v>3</v>
      </c>
      <c r="U72" s="13" t="s">
        <v>43</v>
      </c>
      <c r="V72" s="13" t="n">
        <f aca="false">IF(COUNTIF($B$2:B72,B72)=1,1,0)</f>
        <v>1</v>
      </c>
      <c r="W72" s="13" t="n">
        <f aca="false">IF(COUNTIFS($B$2:B72,B72,$T$2:T72,T72)=1,1,0)</f>
        <v>1</v>
      </c>
    </row>
    <row r="73" customFormat="false" ht="15" hidden="false" customHeight="false" outlineLevel="0" collapsed="false">
      <c r="A73" s="13" t="s">
        <v>169</v>
      </c>
      <c r="B73" s="13" t="s">
        <v>167</v>
      </c>
      <c r="C73" s="13" t="n">
        <v>29300</v>
      </c>
      <c r="D73" s="13" t="n">
        <v>210</v>
      </c>
      <c r="E73" s="13" t="n">
        <v>140.805384615385</v>
      </c>
      <c r="F73" s="13" t="s">
        <v>5288</v>
      </c>
      <c r="G73" s="13" t="s">
        <v>5289</v>
      </c>
      <c r="H73" s="13" t="s">
        <v>5289</v>
      </c>
      <c r="I73" s="13" t="s">
        <v>5289</v>
      </c>
      <c r="J73" s="13" t="s">
        <v>5289</v>
      </c>
      <c r="K73" s="13" t="s">
        <v>5289</v>
      </c>
      <c r="L73" s="13" t="s">
        <v>5092</v>
      </c>
      <c r="M73" s="13"/>
      <c r="N73" s="13" t="n">
        <v>6.93811268850969E+025</v>
      </c>
      <c r="O73" s="13"/>
      <c r="P73" s="13" t="s">
        <v>5291</v>
      </c>
      <c r="Q73" s="13" t="s">
        <v>5289</v>
      </c>
      <c r="R73" s="13" t="s">
        <v>5292</v>
      </c>
      <c r="S73" s="13" t="s">
        <v>5293</v>
      </c>
      <c r="T73" s="13" t="s">
        <v>3</v>
      </c>
      <c r="U73" s="13" t="s">
        <v>168</v>
      </c>
      <c r="V73" s="13" t="n">
        <f aca="false">IF(COUNTIF($B$2:B73,B73)=1,1,0)</f>
        <v>1</v>
      </c>
      <c r="W73" s="13" t="n">
        <f aca="false">IF(COUNTIFS($B$2:B73,B73,$T$2:T73,T73)=1,1,0)</f>
        <v>1</v>
      </c>
    </row>
    <row r="74" customFormat="false" ht="15" hidden="false" customHeight="false" outlineLevel="0" collapsed="false">
      <c r="A74" s="13" t="s">
        <v>170</v>
      </c>
      <c r="B74" s="13" t="s">
        <v>87</v>
      </c>
      <c r="C74" s="13" t="n">
        <v>28900</v>
      </c>
      <c r="D74" s="13" t="n">
        <v>40</v>
      </c>
      <c r="E74" s="13" t="n">
        <v>801.628888888889</v>
      </c>
      <c r="F74" s="13" t="s">
        <v>5288</v>
      </c>
      <c r="G74" s="13" t="s">
        <v>5289</v>
      </c>
      <c r="H74" s="13" t="s">
        <v>5289</v>
      </c>
      <c r="I74" s="13" t="s">
        <v>5289</v>
      </c>
      <c r="J74" s="13" t="s">
        <v>5289</v>
      </c>
      <c r="K74" s="13" t="s">
        <v>5292</v>
      </c>
      <c r="L74" s="13" t="s">
        <v>5334</v>
      </c>
      <c r="M74" s="13"/>
      <c r="N74" s="13"/>
      <c r="O74" s="13"/>
      <c r="P74" s="13" t="s">
        <v>5291</v>
      </c>
      <c r="Q74" s="13" t="s">
        <v>5289</v>
      </c>
      <c r="R74" s="13" t="s">
        <v>5292</v>
      </c>
      <c r="S74" s="13" t="s">
        <v>5293</v>
      </c>
      <c r="T74" s="13" t="s">
        <v>3</v>
      </c>
      <c r="U74" s="13" t="s">
        <v>66</v>
      </c>
      <c r="V74" s="13" t="n">
        <f aca="false">IF(COUNTIF($B$2:B74,B74)=1,1,0)</f>
        <v>0</v>
      </c>
      <c r="W74" s="13" t="n">
        <f aca="false">IF(COUNTIFS($B$2:B74,B74,$T$2:T74,T74)=1,1,0)</f>
        <v>0</v>
      </c>
    </row>
    <row r="75" customFormat="false" ht="15" hidden="false" customHeight="false" outlineLevel="0" collapsed="false">
      <c r="A75" s="13" t="s">
        <v>171</v>
      </c>
      <c r="B75" s="13" t="s">
        <v>161</v>
      </c>
      <c r="C75" s="13" t="n">
        <v>28900</v>
      </c>
      <c r="D75" s="13" t="n">
        <v>100</v>
      </c>
      <c r="E75" s="13" t="n">
        <v>282.88431372549</v>
      </c>
      <c r="F75" s="13" t="s">
        <v>5288</v>
      </c>
      <c r="G75" s="13" t="s">
        <v>5289</v>
      </c>
      <c r="H75" s="13" t="s">
        <v>5292</v>
      </c>
      <c r="I75" s="13" t="s">
        <v>5289</v>
      </c>
      <c r="J75" s="13" t="s">
        <v>5289</v>
      </c>
      <c r="K75" s="13" t="s">
        <v>5289</v>
      </c>
      <c r="L75" s="13" t="s">
        <v>5335</v>
      </c>
      <c r="M75" s="13"/>
      <c r="N75" s="13" t="n">
        <v>3355991004665</v>
      </c>
      <c r="O75" s="13"/>
      <c r="P75" s="13" t="s">
        <v>5297</v>
      </c>
      <c r="Q75" s="13" t="s">
        <v>5289</v>
      </c>
      <c r="R75" s="13" t="s">
        <v>5292</v>
      </c>
      <c r="S75" s="13" t="s">
        <v>5293</v>
      </c>
      <c r="T75" s="13" t="s">
        <v>3</v>
      </c>
      <c r="U75" s="13" t="s">
        <v>43</v>
      </c>
      <c r="V75" s="13" t="n">
        <f aca="false">IF(COUNTIF($B$2:B75,B75)=1,1,0)</f>
        <v>0</v>
      </c>
      <c r="W75" s="13" t="n">
        <f aca="false">IF(COUNTIFS($B$2:B75,B75,$T$2:T75,T75)=1,1,0)</f>
        <v>0</v>
      </c>
    </row>
    <row r="76" customFormat="false" ht="15" hidden="false" customHeight="false" outlineLevel="0" collapsed="false">
      <c r="A76" s="13" t="s">
        <v>176</v>
      </c>
      <c r="B76" s="13" t="s">
        <v>175</v>
      </c>
      <c r="C76" s="13" t="n">
        <v>28300</v>
      </c>
      <c r="D76" s="13" t="n">
        <v>170</v>
      </c>
      <c r="E76" s="13" t="n">
        <v>170.692469879518</v>
      </c>
      <c r="F76" s="13" t="s">
        <v>5288</v>
      </c>
      <c r="G76" s="13" t="s">
        <v>5289</v>
      </c>
      <c r="H76" s="13" t="s">
        <v>5289</v>
      </c>
      <c r="I76" s="13" t="s">
        <v>5289</v>
      </c>
      <c r="J76" s="13" t="s">
        <v>5289</v>
      </c>
      <c r="K76" s="13" t="s">
        <v>5292</v>
      </c>
      <c r="L76" s="13" t="s">
        <v>2503</v>
      </c>
      <c r="M76" s="13"/>
      <c r="N76" s="13" t="n">
        <v>6943475888671</v>
      </c>
      <c r="O76" s="13"/>
      <c r="P76" s="13" t="s">
        <v>5291</v>
      </c>
      <c r="Q76" s="13" t="s">
        <v>5289</v>
      </c>
      <c r="R76" s="13" t="s">
        <v>5292</v>
      </c>
      <c r="S76" s="13" t="s">
        <v>5293</v>
      </c>
      <c r="T76" s="13" t="s">
        <v>3</v>
      </c>
      <c r="U76" s="13" t="s">
        <v>98</v>
      </c>
      <c r="V76" s="13" t="n">
        <f aca="false">IF(COUNTIF($B$2:B76,B76)=1,1,0)</f>
        <v>1</v>
      </c>
      <c r="W76" s="13" t="n">
        <f aca="false">IF(COUNTIFS($B$2:B76,B76,$T$2:T76,T76)=1,1,0)</f>
        <v>1</v>
      </c>
    </row>
    <row r="77" customFormat="false" ht="15" hidden="false" customHeight="false" outlineLevel="0" collapsed="false">
      <c r="A77" s="13" t="s">
        <v>2505</v>
      </c>
      <c r="B77" s="13" t="s">
        <v>2105</v>
      </c>
      <c r="C77" s="13" t="n">
        <v>28000</v>
      </c>
      <c r="D77" s="13" t="n">
        <v>500</v>
      </c>
      <c r="E77" s="13" t="n">
        <v>55.6542147117296</v>
      </c>
      <c r="F77" s="13" t="s">
        <v>5288</v>
      </c>
      <c r="G77" s="13" t="s">
        <v>5289</v>
      </c>
      <c r="H77" s="13" t="s">
        <v>5289</v>
      </c>
      <c r="I77" s="13" t="s">
        <v>5292</v>
      </c>
      <c r="J77" s="13" t="s">
        <v>5289</v>
      </c>
      <c r="K77" s="13" t="s">
        <v>5292</v>
      </c>
      <c r="L77" s="13" t="s">
        <v>2504</v>
      </c>
      <c r="M77" s="13"/>
      <c r="N77" s="13" t="n">
        <v>4549526616884</v>
      </c>
      <c r="O77" s="13"/>
      <c r="P77" s="13" t="s">
        <v>5291</v>
      </c>
      <c r="Q77" s="13" t="s">
        <v>5289</v>
      </c>
      <c r="R77" s="13" t="s">
        <v>5292</v>
      </c>
      <c r="S77" s="13" t="s">
        <v>5293</v>
      </c>
      <c r="T77" s="13" t="s">
        <v>3</v>
      </c>
      <c r="U77" s="13" t="s">
        <v>144</v>
      </c>
      <c r="V77" s="13" t="n">
        <f aca="false">IF(COUNTIF($B$2:B77,B77)=1,1,0)</f>
        <v>0</v>
      </c>
      <c r="W77" s="13" t="n">
        <f aca="false">IF(COUNTIFS($B$2:B77,B77,$T$2:T77,T77)=1,1,0)</f>
        <v>0</v>
      </c>
    </row>
    <row r="78" customFormat="false" ht="15" hidden="false" customHeight="false" outlineLevel="0" collapsed="false">
      <c r="A78" s="13" t="s">
        <v>181</v>
      </c>
      <c r="B78" s="13" t="s">
        <v>179</v>
      </c>
      <c r="C78" s="13" t="n">
        <v>27700</v>
      </c>
      <c r="D78" s="13" t="n">
        <v>160</v>
      </c>
      <c r="E78" s="13" t="n">
        <v>178.687096774194</v>
      </c>
      <c r="F78" s="13" t="s">
        <v>5325</v>
      </c>
      <c r="G78" s="13" t="s">
        <v>5289</v>
      </c>
      <c r="H78" s="13" t="s">
        <v>5289</v>
      </c>
      <c r="I78" s="13" t="s">
        <v>5289</v>
      </c>
      <c r="J78" s="13" t="s">
        <v>5289</v>
      </c>
      <c r="K78" s="13" t="s">
        <v>5292</v>
      </c>
      <c r="L78" s="13" t="s">
        <v>2506</v>
      </c>
      <c r="M78" s="13"/>
      <c r="N78" s="13" t="n">
        <v>7908005385913</v>
      </c>
      <c r="O78" s="13"/>
      <c r="P78" s="13" t="s">
        <v>5291</v>
      </c>
      <c r="Q78" s="13" t="s">
        <v>5289</v>
      </c>
      <c r="R78" s="13" t="s">
        <v>5292</v>
      </c>
      <c r="S78" s="13" t="s">
        <v>5293</v>
      </c>
      <c r="T78" s="13" t="s">
        <v>3</v>
      </c>
      <c r="U78" s="13" t="s">
        <v>180</v>
      </c>
      <c r="V78" s="13" t="n">
        <f aca="false">IF(COUNTIF($B$2:B78,B78)=1,1,0)</f>
        <v>1</v>
      </c>
      <c r="W78" s="13" t="n">
        <f aca="false">IF(COUNTIFS($B$2:B78,B78,$T$2:T78,T78)=1,1,0)</f>
        <v>1</v>
      </c>
    </row>
    <row r="79" customFormat="false" ht="15" hidden="false" customHeight="false" outlineLevel="0" collapsed="false">
      <c r="A79" s="13" t="s">
        <v>184</v>
      </c>
      <c r="B79" s="13" t="s">
        <v>182</v>
      </c>
      <c r="C79" s="13" t="n">
        <v>27600</v>
      </c>
      <c r="D79" s="13" t="n">
        <v>280</v>
      </c>
      <c r="E79" s="13" t="n">
        <v>97.5495759717314</v>
      </c>
      <c r="F79" s="13" t="s">
        <v>5288</v>
      </c>
      <c r="G79" s="13" t="s">
        <v>5289</v>
      </c>
      <c r="H79" s="13" t="s">
        <v>5289</v>
      </c>
      <c r="I79" s="13" t="s">
        <v>5289</v>
      </c>
      <c r="J79" s="13" t="s">
        <v>5289</v>
      </c>
      <c r="K79" s="13" t="s">
        <v>5292</v>
      </c>
      <c r="L79" s="13" t="s">
        <v>5336</v>
      </c>
      <c r="M79" s="13"/>
      <c r="N79" s="13" t="n">
        <v>7618900903081</v>
      </c>
      <c r="O79" s="13"/>
      <c r="P79" s="13" t="s">
        <v>5291</v>
      </c>
      <c r="Q79" s="13" t="s">
        <v>5289</v>
      </c>
      <c r="R79" s="13" t="s">
        <v>5292</v>
      </c>
      <c r="S79" s="13" t="s">
        <v>5293</v>
      </c>
      <c r="T79" s="13" t="s">
        <v>3</v>
      </c>
      <c r="U79" s="13" t="s">
        <v>183</v>
      </c>
      <c r="V79" s="13" t="n">
        <f aca="false">IF(COUNTIF($B$2:B79,B79)=1,1,0)</f>
        <v>1</v>
      </c>
      <c r="W79" s="13" t="n">
        <f aca="false">IF(COUNTIFS($B$2:B79,B79,$T$2:T79,T79)=1,1,0)</f>
        <v>1</v>
      </c>
    </row>
    <row r="80" customFormat="false" ht="15" hidden="false" customHeight="false" outlineLevel="0" collapsed="false">
      <c r="A80" s="13" t="s">
        <v>187</v>
      </c>
      <c r="B80" s="13" t="s">
        <v>186</v>
      </c>
      <c r="C80" s="13" t="n">
        <v>27300</v>
      </c>
      <c r="D80" s="13" t="n">
        <v>70</v>
      </c>
      <c r="E80" s="13" t="n">
        <v>408.120895522388</v>
      </c>
      <c r="F80" s="13" t="s">
        <v>5288</v>
      </c>
      <c r="G80" s="13" t="s">
        <v>5289</v>
      </c>
      <c r="H80" s="13" t="s">
        <v>5289</v>
      </c>
      <c r="I80" s="13" t="s">
        <v>5289</v>
      </c>
      <c r="J80" s="13" t="s">
        <v>5289</v>
      </c>
      <c r="K80" s="13" t="s">
        <v>5292</v>
      </c>
      <c r="L80" s="13" t="s">
        <v>5337</v>
      </c>
      <c r="M80" s="13"/>
      <c r="N80" s="13" t="n">
        <v>88300162505</v>
      </c>
      <c r="O80" s="13"/>
      <c r="P80" s="13" t="s">
        <v>5291</v>
      </c>
      <c r="Q80" s="13" t="s">
        <v>5289</v>
      </c>
      <c r="R80" s="13" t="s">
        <v>5292</v>
      </c>
      <c r="S80" s="13" t="s">
        <v>5293</v>
      </c>
      <c r="T80" s="13" t="s">
        <v>3</v>
      </c>
      <c r="U80" s="13" t="s">
        <v>43</v>
      </c>
      <c r="V80" s="13" t="n">
        <f aca="false">IF(COUNTIF($B$2:B80,B80)=1,1,0)</f>
        <v>1</v>
      </c>
      <c r="W80" s="13" t="n">
        <f aca="false">IF(COUNTIFS($B$2:B80,B80,$T$2:T80,T80)=1,1,0)</f>
        <v>1</v>
      </c>
    </row>
    <row r="81" customFormat="false" ht="15" hidden="false" customHeight="false" outlineLevel="0" collapsed="false">
      <c r="A81" s="13" t="s">
        <v>2508</v>
      </c>
      <c r="B81" s="13" t="s">
        <v>2112</v>
      </c>
      <c r="C81" s="13" t="n">
        <v>27200</v>
      </c>
      <c r="D81" s="13" t="n">
        <v>460</v>
      </c>
      <c r="E81" s="13" t="n">
        <v>58.9395021645022</v>
      </c>
      <c r="F81" s="13" t="s">
        <v>5288</v>
      </c>
      <c r="G81" s="13" t="s">
        <v>5289</v>
      </c>
      <c r="H81" s="13" t="s">
        <v>5289</v>
      </c>
      <c r="I81" s="13" t="s">
        <v>5292</v>
      </c>
      <c r="J81" s="13" t="s">
        <v>5289</v>
      </c>
      <c r="K81" s="13" t="s">
        <v>5292</v>
      </c>
      <c r="L81" s="13" t="s">
        <v>2507</v>
      </c>
      <c r="M81" s="13"/>
      <c r="N81" s="13" t="n">
        <v>5425017732389</v>
      </c>
      <c r="O81" s="13"/>
      <c r="P81" s="13" t="s">
        <v>5291</v>
      </c>
      <c r="Q81" s="13" t="s">
        <v>5289</v>
      </c>
      <c r="R81" s="13" t="s">
        <v>5292</v>
      </c>
      <c r="S81" s="13" t="s">
        <v>5293</v>
      </c>
      <c r="T81" s="13" t="s">
        <v>3</v>
      </c>
      <c r="U81" s="13" t="s">
        <v>43</v>
      </c>
      <c r="V81" s="13" t="n">
        <f aca="false">IF(COUNTIF($B$2:B81,B81)=1,1,0)</f>
        <v>1</v>
      </c>
      <c r="W81" s="13" t="n">
        <f aca="false">IF(COUNTIFS($B$2:B81,B81,$T$2:T81,T81)=1,1,0)</f>
        <v>1</v>
      </c>
    </row>
    <row r="82" customFormat="false" ht="15" hidden="false" customHeight="false" outlineLevel="0" collapsed="false">
      <c r="A82" s="13" t="s">
        <v>192</v>
      </c>
      <c r="B82" s="13" t="s">
        <v>191</v>
      </c>
      <c r="C82" s="13" t="n">
        <v>26600</v>
      </c>
      <c r="D82" s="13" t="n">
        <v>190</v>
      </c>
      <c r="E82" s="13" t="n">
        <v>139.99</v>
      </c>
      <c r="F82" s="13" t="s">
        <v>5288</v>
      </c>
      <c r="G82" s="13" t="s">
        <v>5289</v>
      </c>
      <c r="H82" s="13" t="s">
        <v>5289</v>
      </c>
      <c r="I82" s="13" t="s">
        <v>5289</v>
      </c>
      <c r="J82" s="13" t="s">
        <v>5289</v>
      </c>
      <c r="K82" s="13" t="s">
        <v>5292</v>
      </c>
      <c r="L82" s="13" t="s">
        <v>5338</v>
      </c>
      <c r="M82" s="13"/>
      <c r="N82" s="13" t="n">
        <v>7.89676847092579E+025</v>
      </c>
      <c r="O82" s="13"/>
      <c r="P82" s="13" t="s">
        <v>5291</v>
      </c>
      <c r="Q82" s="13" t="s">
        <v>5289</v>
      </c>
      <c r="R82" s="13" t="s">
        <v>5292</v>
      </c>
      <c r="S82" s="13" t="s">
        <v>5293</v>
      </c>
      <c r="T82" s="13" t="s">
        <v>3</v>
      </c>
      <c r="U82" s="13" t="s">
        <v>183</v>
      </c>
      <c r="V82" s="13" t="n">
        <f aca="false">IF(COUNTIF($B$2:B82,B82)=1,1,0)</f>
        <v>1</v>
      </c>
      <c r="W82" s="13" t="n">
        <f aca="false">IF(COUNTIFS($B$2:B82,B82,$T$2:T82,T82)=1,1,0)</f>
        <v>1</v>
      </c>
    </row>
    <row r="83" customFormat="false" ht="15" hidden="false" customHeight="false" outlineLevel="0" collapsed="false">
      <c r="A83" s="13" t="s">
        <v>196</v>
      </c>
      <c r="B83" s="13" t="s">
        <v>195</v>
      </c>
      <c r="C83" s="13" t="n">
        <v>26600</v>
      </c>
      <c r="D83" s="13" t="n">
        <v>50</v>
      </c>
      <c r="E83" s="13" t="n">
        <v>577.195</v>
      </c>
      <c r="F83" s="13" t="s">
        <v>5288</v>
      </c>
      <c r="G83" s="13" t="s">
        <v>5289</v>
      </c>
      <c r="H83" s="13" t="s">
        <v>5289</v>
      </c>
      <c r="I83" s="13" t="s">
        <v>5289</v>
      </c>
      <c r="J83" s="13" t="s">
        <v>5289</v>
      </c>
      <c r="K83" s="13" t="s">
        <v>5289</v>
      </c>
      <c r="L83" s="13" t="s">
        <v>2414</v>
      </c>
      <c r="M83" s="13"/>
      <c r="N83" s="13" t="n">
        <v>3616302020652</v>
      </c>
      <c r="O83" s="13"/>
      <c r="P83" s="13" t="s">
        <v>5297</v>
      </c>
      <c r="Q83" s="13" t="s">
        <v>5289</v>
      </c>
      <c r="R83" s="13" t="s">
        <v>5292</v>
      </c>
      <c r="S83" s="13" t="s">
        <v>5293</v>
      </c>
      <c r="T83" s="13" t="s">
        <v>3</v>
      </c>
      <c r="U83" s="13" t="s">
        <v>43</v>
      </c>
      <c r="V83" s="13" t="n">
        <f aca="false">IF(COUNTIF($B$2:B83,B83)=1,1,0)</f>
        <v>1</v>
      </c>
      <c r="W83" s="13" t="n">
        <f aca="false">IF(COUNTIFS($B$2:B83,B83,$T$2:T83,T83)=1,1,0)</f>
        <v>1</v>
      </c>
    </row>
    <row r="84" customFormat="false" ht="15" hidden="false" customHeight="false" outlineLevel="0" collapsed="false">
      <c r="A84" s="13" t="s">
        <v>198</v>
      </c>
      <c r="B84" s="13" t="s">
        <v>135</v>
      </c>
      <c r="C84" s="13" t="n">
        <v>26100</v>
      </c>
      <c r="D84" s="13" t="n">
        <v>70</v>
      </c>
      <c r="E84" s="13" t="n">
        <v>353.112837837838</v>
      </c>
      <c r="F84" s="13" t="s">
        <v>5288</v>
      </c>
      <c r="G84" s="13" t="s">
        <v>5289</v>
      </c>
      <c r="H84" s="13" t="s">
        <v>5289</v>
      </c>
      <c r="I84" s="13" t="s">
        <v>5289</v>
      </c>
      <c r="J84" s="13" t="s">
        <v>5289</v>
      </c>
      <c r="K84" s="13" t="s">
        <v>5292</v>
      </c>
      <c r="L84" s="13" t="s">
        <v>2514</v>
      </c>
      <c r="M84" s="13"/>
      <c r="N84" s="13" t="n">
        <v>7896873179881</v>
      </c>
      <c r="O84" s="13"/>
      <c r="P84" s="13" t="s">
        <v>5291</v>
      </c>
      <c r="Q84" s="13" t="s">
        <v>5289</v>
      </c>
      <c r="R84" s="13" t="s">
        <v>5292</v>
      </c>
      <c r="S84" s="13" t="s">
        <v>5293</v>
      </c>
      <c r="T84" s="13" t="s">
        <v>3</v>
      </c>
      <c r="U84" s="13" t="s">
        <v>129</v>
      </c>
      <c r="V84" s="13" t="n">
        <f aca="false">IF(COUNTIF($B$2:B84,B84)=1,1,0)</f>
        <v>0</v>
      </c>
      <c r="W84" s="13" t="n">
        <f aca="false">IF(COUNTIFS($B$2:B84,B84,$T$2:T84,T84)=1,1,0)</f>
        <v>0</v>
      </c>
    </row>
    <row r="85" customFormat="false" ht="15" hidden="false" customHeight="false" outlineLevel="0" collapsed="false">
      <c r="A85" s="13" t="s">
        <v>200</v>
      </c>
      <c r="B85" s="13" t="s">
        <v>65</v>
      </c>
      <c r="C85" s="13" t="n">
        <v>25700</v>
      </c>
      <c r="D85" s="13" t="n">
        <v>60</v>
      </c>
      <c r="E85" s="13" t="n">
        <v>435.56</v>
      </c>
      <c r="F85" s="13" t="s">
        <v>5288</v>
      </c>
      <c r="G85" s="13" t="s">
        <v>5289</v>
      </c>
      <c r="H85" s="13" t="s">
        <v>5289</v>
      </c>
      <c r="I85" s="13" t="s">
        <v>5289</v>
      </c>
      <c r="J85" s="13" t="s">
        <v>5289</v>
      </c>
      <c r="K85" s="13" t="s">
        <v>5289</v>
      </c>
      <c r="L85" s="13" t="s">
        <v>2517</v>
      </c>
      <c r="M85" s="13"/>
      <c r="N85" s="13" t="n">
        <v>4710122008117</v>
      </c>
      <c r="O85" s="13"/>
      <c r="P85" s="13" t="s">
        <v>5291</v>
      </c>
      <c r="Q85" s="13" t="s">
        <v>5289</v>
      </c>
      <c r="R85" s="13" t="s">
        <v>5292</v>
      </c>
      <c r="S85" s="13" t="s">
        <v>5293</v>
      </c>
      <c r="T85" s="13" t="s">
        <v>3</v>
      </c>
      <c r="U85" s="13" t="s">
        <v>66</v>
      </c>
      <c r="V85" s="13" t="n">
        <f aca="false">IF(COUNTIF($B$2:B85,B85)=1,1,0)</f>
        <v>0</v>
      </c>
      <c r="W85" s="13" t="n">
        <f aca="false">IF(COUNTIFS($B$2:B85,B85,$T$2:T85,T85)=1,1,0)</f>
        <v>0</v>
      </c>
    </row>
    <row r="86" customFormat="false" ht="15" hidden="false" customHeight="false" outlineLevel="0" collapsed="false">
      <c r="A86" s="13" t="s">
        <v>2520</v>
      </c>
      <c r="B86" s="13" t="s">
        <v>2122</v>
      </c>
      <c r="C86" s="13" t="n">
        <v>25600</v>
      </c>
      <c r="D86" s="13" t="n">
        <v>90</v>
      </c>
      <c r="E86" s="13" t="n">
        <v>297.429186046512</v>
      </c>
      <c r="F86" s="13" t="s">
        <v>5288</v>
      </c>
      <c r="G86" s="13" t="s">
        <v>5289</v>
      </c>
      <c r="H86" s="13" t="s">
        <v>5289</v>
      </c>
      <c r="I86" s="13" t="s">
        <v>5289</v>
      </c>
      <c r="J86" s="13" t="s">
        <v>5289</v>
      </c>
      <c r="K86" s="13" t="s">
        <v>5289</v>
      </c>
      <c r="L86" s="13" t="s">
        <v>2519</v>
      </c>
      <c r="M86" s="13"/>
      <c r="N86" s="13" t="n">
        <v>6290360375694</v>
      </c>
      <c r="O86" s="13"/>
      <c r="P86" s="13" t="s">
        <v>5297</v>
      </c>
      <c r="Q86" s="13" t="s">
        <v>5289</v>
      </c>
      <c r="R86" s="13" t="s">
        <v>5292</v>
      </c>
      <c r="S86" s="13" t="s">
        <v>5293</v>
      </c>
      <c r="T86" s="13" t="s">
        <v>3</v>
      </c>
      <c r="U86" s="13" t="s">
        <v>43</v>
      </c>
      <c r="V86" s="13" t="n">
        <f aca="false">IF(COUNTIF($B$2:B86,B86)=1,1,0)</f>
        <v>1</v>
      </c>
      <c r="W86" s="13" t="n">
        <f aca="false">IF(COUNTIFS($B$2:B86,B86,$T$2:T86,T86)=1,1,0)</f>
        <v>1</v>
      </c>
    </row>
    <row r="87" customFormat="false" ht="15" hidden="false" customHeight="false" outlineLevel="0" collapsed="false">
      <c r="A87" s="13" t="s">
        <v>203</v>
      </c>
      <c r="B87" s="13" t="s">
        <v>79</v>
      </c>
      <c r="C87" s="13" t="n">
        <v>25500</v>
      </c>
      <c r="D87" s="13" t="n">
        <v>50</v>
      </c>
      <c r="E87" s="13" t="n">
        <v>500.686078431373</v>
      </c>
      <c r="F87" s="13" t="s">
        <v>5288</v>
      </c>
      <c r="G87" s="13" t="s">
        <v>5289</v>
      </c>
      <c r="H87" s="13" t="s">
        <v>5289</v>
      </c>
      <c r="I87" s="13" t="s">
        <v>5289</v>
      </c>
      <c r="J87" s="13" t="s">
        <v>5289</v>
      </c>
      <c r="K87" s="13" t="s">
        <v>5289</v>
      </c>
      <c r="L87" s="13" t="s">
        <v>2521</v>
      </c>
      <c r="M87" s="13"/>
      <c r="N87" s="13" t="n">
        <v>8057971188116</v>
      </c>
      <c r="O87" s="13"/>
      <c r="P87" s="13" t="s">
        <v>5291</v>
      </c>
      <c r="Q87" s="13" t="s">
        <v>5289</v>
      </c>
      <c r="R87" s="13" t="s">
        <v>5292</v>
      </c>
      <c r="S87" s="13" t="s">
        <v>5293</v>
      </c>
      <c r="T87" s="13" t="s">
        <v>3</v>
      </c>
      <c r="U87" s="13" t="s">
        <v>43</v>
      </c>
      <c r="V87" s="13" t="n">
        <f aca="false">IF(COUNTIF($B$2:B87,B87)=1,1,0)</f>
        <v>0</v>
      </c>
      <c r="W87" s="13" t="n">
        <f aca="false">IF(COUNTIFS($B$2:B87,B87,$T$2:T87,T87)=1,1,0)</f>
        <v>0</v>
      </c>
    </row>
    <row r="88" customFormat="false" ht="15" hidden="false" customHeight="false" outlineLevel="0" collapsed="false">
      <c r="A88" s="13" t="s">
        <v>202</v>
      </c>
      <c r="B88" s="13" t="s">
        <v>87</v>
      </c>
      <c r="C88" s="13" t="n">
        <v>25500</v>
      </c>
      <c r="D88" s="13" t="n">
        <v>130</v>
      </c>
      <c r="E88" s="13" t="n">
        <v>193.184318181818</v>
      </c>
      <c r="F88" s="13" t="s">
        <v>5288</v>
      </c>
      <c r="G88" s="13" t="s">
        <v>5289</v>
      </c>
      <c r="H88" s="13" t="s">
        <v>5289</v>
      </c>
      <c r="I88" s="13" t="s">
        <v>5289</v>
      </c>
      <c r="J88" s="13" t="s">
        <v>5289</v>
      </c>
      <c r="K88" s="13" t="s">
        <v>5289</v>
      </c>
      <c r="L88" s="13" t="s">
        <v>5339</v>
      </c>
      <c r="M88" s="13"/>
      <c r="N88" s="13" t="n">
        <v>22255233682</v>
      </c>
      <c r="O88" s="13"/>
      <c r="P88" s="13" t="s">
        <v>5291</v>
      </c>
      <c r="Q88" s="13" t="s">
        <v>5289</v>
      </c>
      <c r="R88" s="13" t="s">
        <v>5292</v>
      </c>
      <c r="S88" s="13" t="s">
        <v>5293</v>
      </c>
      <c r="T88" s="13" t="s">
        <v>3</v>
      </c>
      <c r="U88" s="13" t="s">
        <v>66</v>
      </c>
      <c r="V88" s="13" t="n">
        <f aca="false">IF(COUNTIF($B$2:B88,B88)=1,1,0)</f>
        <v>0</v>
      </c>
      <c r="W88" s="13" t="n">
        <f aca="false">IF(COUNTIFS($B$2:B88,B88,$T$2:T88,T88)=1,1,0)</f>
        <v>0</v>
      </c>
    </row>
    <row r="89" customFormat="false" ht="15" hidden="false" customHeight="false" outlineLevel="0" collapsed="false">
      <c r="A89" s="13" t="s">
        <v>205</v>
      </c>
      <c r="B89" s="13" t="s">
        <v>204</v>
      </c>
      <c r="C89" s="13" t="n">
        <v>25300</v>
      </c>
      <c r="D89" s="13" t="n">
        <v>70</v>
      </c>
      <c r="E89" s="13" t="n">
        <v>361.763857142857</v>
      </c>
      <c r="F89" s="13" t="s">
        <v>5288</v>
      </c>
      <c r="G89" s="13" t="s">
        <v>5289</v>
      </c>
      <c r="H89" s="13" t="s">
        <v>5289</v>
      </c>
      <c r="I89" s="13" t="s">
        <v>5289</v>
      </c>
      <c r="J89" s="13" t="s">
        <v>5289</v>
      </c>
      <c r="K89" s="13" t="s">
        <v>5289</v>
      </c>
      <c r="L89" s="13" t="s">
        <v>2475</v>
      </c>
      <c r="M89" s="13"/>
      <c r="N89" s="13" t="n">
        <v>7640496670245</v>
      </c>
      <c r="O89" s="13"/>
      <c r="P89" s="13" t="s">
        <v>5297</v>
      </c>
      <c r="Q89" s="13" t="s">
        <v>5289</v>
      </c>
      <c r="R89" s="13" t="s">
        <v>5292</v>
      </c>
      <c r="S89" s="13" t="s">
        <v>5293</v>
      </c>
      <c r="T89" s="13" t="s">
        <v>3</v>
      </c>
      <c r="U89" s="13" t="s">
        <v>43</v>
      </c>
      <c r="V89" s="13" t="n">
        <f aca="false">IF(COUNTIF($B$2:B89,B89)=1,1,0)</f>
        <v>1</v>
      </c>
      <c r="W89" s="13" t="n">
        <f aca="false">IF(COUNTIFS($B$2:B89,B89,$T$2:T89,T89)=1,1,0)</f>
        <v>1</v>
      </c>
    </row>
    <row r="90" customFormat="false" ht="15" hidden="false" customHeight="false" outlineLevel="0" collapsed="false">
      <c r="A90" s="13" t="s">
        <v>208</v>
      </c>
      <c r="B90" s="13" t="s">
        <v>117</v>
      </c>
      <c r="C90" s="13" t="n">
        <v>24800</v>
      </c>
      <c r="D90" s="13" t="n">
        <v>20</v>
      </c>
      <c r="E90" s="13" t="n">
        <v>1379</v>
      </c>
      <c r="F90" s="13" t="s">
        <v>5288</v>
      </c>
      <c r="G90" s="13" t="s">
        <v>5289</v>
      </c>
      <c r="H90" s="13" t="s">
        <v>5289</v>
      </c>
      <c r="I90" s="13" t="s">
        <v>5289</v>
      </c>
      <c r="J90" s="13" t="s">
        <v>5289</v>
      </c>
      <c r="K90" s="13" t="s">
        <v>5289</v>
      </c>
      <c r="L90" s="13" t="s">
        <v>2524</v>
      </c>
      <c r="M90" s="13"/>
      <c r="N90" s="13" t="n">
        <v>885911769174</v>
      </c>
      <c r="O90" s="13"/>
      <c r="P90" s="13" t="s">
        <v>5291</v>
      </c>
      <c r="Q90" s="13" t="s">
        <v>5289</v>
      </c>
      <c r="R90" s="13" t="s">
        <v>5292</v>
      </c>
      <c r="S90" s="13" t="s">
        <v>5293</v>
      </c>
      <c r="T90" s="13" t="s">
        <v>3</v>
      </c>
      <c r="U90" s="13" t="s">
        <v>98</v>
      </c>
      <c r="V90" s="13" t="n">
        <f aca="false">IF(COUNTIF($B$2:B90,B90)=1,1,0)</f>
        <v>0</v>
      </c>
      <c r="W90" s="13" t="n">
        <f aca="false">IF(COUNTIFS($B$2:B90,B90,$T$2:T90,T90)=1,1,0)</f>
        <v>0</v>
      </c>
    </row>
    <row r="91" customFormat="false" ht="15" hidden="false" customHeight="false" outlineLevel="0" collapsed="false">
      <c r="A91" s="13" t="s">
        <v>214</v>
      </c>
      <c r="B91" s="13" t="s">
        <v>131</v>
      </c>
      <c r="C91" s="13" t="n">
        <v>23700</v>
      </c>
      <c r="D91" s="13" t="n">
        <v>100</v>
      </c>
      <c r="E91" s="13" t="n">
        <v>244.432989690722</v>
      </c>
      <c r="F91" s="13" t="s">
        <v>5288</v>
      </c>
      <c r="G91" s="13" t="s">
        <v>5289</v>
      </c>
      <c r="H91" s="13" t="s">
        <v>5289</v>
      </c>
      <c r="I91" s="13" t="s">
        <v>5289</v>
      </c>
      <c r="J91" s="13" t="s">
        <v>5289</v>
      </c>
      <c r="K91" s="13" t="s">
        <v>5289</v>
      </c>
      <c r="L91" s="13" t="s">
        <v>2529</v>
      </c>
      <c r="M91" s="13"/>
      <c r="N91" s="13" t="n">
        <v>7908137904020</v>
      </c>
      <c r="O91" s="13"/>
      <c r="P91" s="13" t="s">
        <v>5291</v>
      </c>
      <c r="Q91" s="13" t="s">
        <v>5289</v>
      </c>
      <c r="R91" s="13" t="s">
        <v>5292</v>
      </c>
      <c r="S91" s="13" t="s">
        <v>5293</v>
      </c>
      <c r="T91" s="13" t="s">
        <v>3</v>
      </c>
      <c r="U91" s="13" t="s">
        <v>66</v>
      </c>
      <c r="V91" s="13" t="n">
        <f aca="false">IF(COUNTIF($B$2:B91,B91)=1,1,0)</f>
        <v>0</v>
      </c>
      <c r="W91" s="13" t="n">
        <f aca="false">IF(COUNTIFS($B$2:B91,B91,$T$2:T91,T91)=1,1,0)</f>
        <v>0</v>
      </c>
    </row>
    <row r="92" customFormat="false" ht="15" hidden="false" customHeight="false" outlineLevel="0" collapsed="false">
      <c r="A92" s="13" t="s">
        <v>5340</v>
      </c>
      <c r="B92" s="13" t="s">
        <v>2116</v>
      </c>
      <c r="C92" s="13" t="n">
        <v>23600</v>
      </c>
      <c r="D92" s="13" t="n">
        <v>740</v>
      </c>
      <c r="E92" s="13" t="n">
        <v>32.0954149659864</v>
      </c>
      <c r="F92" s="13" t="s">
        <v>5288</v>
      </c>
      <c r="G92" s="13" t="s">
        <v>5289</v>
      </c>
      <c r="H92" s="13" t="s">
        <v>5289</v>
      </c>
      <c r="I92" s="13" t="s">
        <v>5292</v>
      </c>
      <c r="J92" s="13" t="s">
        <v>5289</v>
      </c>
      <c r="K92" s="13" t="s">
        <v>5292</v>
      </c>
      <c r="L92" s="13" t="s">
        <v>5341</v>
      </c>
      <c r="M92" s="13"/>
      <c r="N92" s="13" t="n">
        <v>6.93918463240769E+025</v>
      </c>
      <c r="O92" s="13"/>
      <c r="P92" s="13" t="s">
        <v>5291</v>
      </c>
      <c r="Q92" s="13" t="s">
        <v>5289</v>
      </c>
      <c r="R92" s="13" t="s">
        <v>5292</v>
      </c>
      <c r="S92" s="13" t="s">
        <v>5293</v>
      </c>
      <c r="T92" s="13" t="s">
        <v>3</v>
      </c>
      <c r="U92" s="13" t="s">
        <v>57</v>
      </c>
      <c r="V92" s="13" t="n">
        <f aca="false">IF(COUNTIF($B$2:B92,B92)=1,1,0)</f>
        <v>1</v>
      </c>
      <c r="W92" s="13" t="n">
        <f aca="false">IF(COUNTIFS($B$2:B92,B92,$T$2:T92,T92)=1,1,0)</f>
        <v>1</v>
      </c>
    </row>
    <row r="93" customFormat="false" ht="15" hidden="false" customHeight="false" outlineLevel="0" collapsed="false">
      <c r="A93" s="13" t="s">
        <v>215</v>
      </c>
      <c r="B93" s="13" t="s">
        <v>117</v>
      </c>
      <c r="C93" s="13" t="n">
        <v>23400</v>
      </c>
      <c r="D93" s="13" t="n">
        <v>30</v>
      </c>
      <c r="E93" s="13" t="n">
        <v>899</v>
      </c>
      <c r="F93" s="13" t="s">
        <v>5288</v>
      </c>
      <c r="G93" s="13" t="s">
        <v>5289</v>
      </c>
      <c r="H93" s="13" t="s">
        <v>5289</v>
      </c>
      <c r="I93" s="13" t="s">
        <v>5289</v>
      </c>
      <c r="J93" s="13" t="s">
        <v>5289</v>
      </c>
      <c r="K93" s="13" t="s">
        <v>5289</v>
      </c>
      <c r="L93" s="13" t="s">
        <v>5342</v>
      </c>
      <c r="M93" s="13"/>
      <c r="N93" s="13"/>
      <c r="O93" s="13"/>
      <c r="P93" s="13" t="s">
        <v>5297</v>
      </c>
      <c r="Q93" s="13" t="s">
        <v>5289</v>
      </c>
      <c r="R93" s="13" t="s">
        <v>5292</v>
      </c>
      <c r="S93" s="13" t="s">
        <v>5293</v>
      </c>
      <c r="T93" s="13" t="s">
        <v>3</v>
      </c>
      <c r="U93" s="13" t="s">
        <v>98</v>
      </c>
      <c r="V93" s="13" t="n">
        <f aca="false">IF(COUNTIF($B$2:B93,B93)=1,1,0)</f>
        <v>0</v>
      </c>
      <c r="W93" s="13" t="n">
        <f aca="false">IF(COUNTIFS($B$2:B93,B93,$T$2:T93,T93)=1,1,0)</f>
        <v>0</v>
      </c>
    </row>
    <row r="94" customFormat="false" ht="15" hidden="false" customHeight="false" outlineLevel="0" collapsed="false">
      <c r="A94" s="13" t="s">
        <v>216</v>
      </c>
      <c r="B94" s="13" t="s">
        <v>139</v>
      </c>
      <c r="C94" s="13" t="n">
        <v>23200</v>
      </c>
      <c r="D94" s="13" t="n">
        <v>100</v>
      </c>
      <c r="E94" s="13" t="n">
        <v>220.94</v>
      </c>
      <c r="F94" s="13" t="s">
        <v>5288</v>
      </c>
      <c r="G94" s="13" t="s">
        <v>5289</v>
      </c>
      <c r="H94" s="13" t="s">
        <v>5289</v>
      </c>
      <c r="I94" s="13" t="s">
        <v>5289</v>
      </c>
      <c r="J94" s="13" t="s">
        <v>5289</v>
      </c>
      <c r="K94" s="13" t="s">
        <v>5292</v>
      </c>
      <c r="L94" s="13" t="s">
        <v>2531</v>
      </c>
      <c r="M94" s="13"/>
      <c r="N94" s="13" t="n">
        <v>7898962163504</v>
      </c>
      <c r="O94" s="13"/>
      <c r="P94" s="13" t="s">
        <v>5291</v>
      </c>
      <c r="Q94" s="13" t="s">
        <v>5289</v>
      </c>
      <c r="R94" s="13" t="s">
        <v>5292</v>
      </c>
      <c r="S94" s="13" t="s">
        <v>5293</v>
      </c>
      <c r="T94" s="13" t="s">
        <v>3</v>
      </c>
      <c r="U94" s="13" t="s">
        <v>140</v>
      </c>
      <c r="V94" s="13" t="n">
        <f aca="false">IF(COUNTIF($B$2:B94,B94)=1,1,0)</f>
        <v>0</v>
      </c>
      <c r="W94" s="13" t="n">
        <f aca="false">IF(COUNTIFS($B$2:B94,B94,$T$2:T94,T94)=1,1,0)</f>
        <v>0</v>
      </c>
    </row>
    <row r="95" customFormat="false" ht="15" hidden="false" customHeight="false" outlineLevel="0" collapsed="false">
      <c r="A95" s="13" t="s">
        <v>2538</v>
      </c>
      <c r="B95" s="13" t="s">
        <v>2094</v>
      </c>
      <c r="C95" s="13" t="n">
        <v>22900</v>
      </c>
      <c r="D95" s="13" t="n">
        <v>150</v>
      </c>
      <c r="E95" s="13" t="n">
        <v>149.99</v>
      </c>
      <c r="F95" s="13" t="s">
        <v>5288</v>
      </c>
      <c r="G95" s="13" t="s">
        <v>5289</v>
      </c>
      <c r="H95" s="13" t="s">
        <v>5289</v>
      </c>
      <c r="I95" s="13" t="s">
        <v>5289</v>
      </c>
      <c r="J95" s="13" t="s">
        <v>5289</v>
      </c>
      <c r="K95" s="13" t="s">
        <v>5292</v>
      </c>
      <c r="L95" s="13" t="s">
        <v>5343</v>
      </c>
      <c r="M95" s="13"/>
      <c r="N95" s="13" t="n">
        <v>7898639692856</v>
      </c>
      <c r="O95" s="13"/>
      <c r="P95" s="13" t="s">
        <v>5291</v>
      </c>
      <c r="Q95" s="13" t="s">
        <v>5289</v>
      </c>
      <c r="R95" s="13" t="s">
        <v>5292</v>
      </c>
      <c r="S95" s="13" t="s">
        <v>5293</v>
      </c>
      <c r="T95" s="13" t="s">
        <v>3</v>
      </c>
      <c r="U95" s="13" t="s">
        <v>57</v>
      </c>
      <c r="V95" s="13" t="n">
        <f aca="false">IF(COUNTIF($B$2:B95,B95)=1,1,0)</f>
        <v>0</v>
      </c>
      <c r="W95" s="13" t="n">
        <f aca="false">IF(COUNTIFS($B$2:B95,B95,$T$2:T95,T95)=1,1,0)</f>
        <v>0</v>
      </c>
    </row>
    <row r="96" customFormat="false" ht="15" hidden="false" customHeight="false" outlineLevel="0" collapsed="false">
      <c r="A96" s="13" t="s">
        <v>2541</v>
      </c>
      <c r="B96" s="13" t="s">
        <v>2119</v>
      </c>
      <c r="C96" s="13" t="n">
        <v>22700</v>
      </c>
      <c r="D96" s="13" t="n">
        <v>490</v>
      </c>
      <c r="E96" s="13" t="n">
        <v>46.3554897959184</v>
      </c>
      <c r="F96" s="13" t="s">
        <v>5288</v>
      </c>
      <c r="G96" s="13" t="s">
        <v>5289</v>
      </c>
      <c r="H96" s="13" t="s">
        <v>5289</v>
      </c>
      <c r="I96" s="13" t="s">
        <v>5292</v>
      </c>
      <c r="J96" s="13" t="s">
        <v>5289</v>
      </c>
      <c r="K96" s="13" t="s">
        <v>5292</v>
      </c>
      <c r="L96" s="13" t="s">
        <v>5344</v>
      </c>
      <c r="M96" s="13"/>
      <c r="N96" s="13" t="n">
        <v>7899592821017</v>
      </c>
      <c r="O96" s="13"/>
      <c r="P96" s="13" t="s">
        <v>5291</v>
      </c>
      <c r="Q96" s="13" t="s">
        <v>5289</v>
      </c>
      <c r="R96" s="13" t="s">
        <v>5292</v>
      </c>
      <c r="S96" s="13" t="s">
        <v>5293</v>
      </c>
      <c r="T96" s="13" t="s">
        <v>3</v>
      </c>
      <c r="U96" s="13" t="s">
        <v>140</v>
      </c>
      <c r="V96" s="13" t="n">
        <f aca="false">IF(COUNTIF($B$2:B96,B96)=1,1,0)</f>
        <v>1</v>
      </c>
      <c r="W96" s="13" t="n">
        <f aca="false">IF(COUNTIFS($B$2:B96,B96,$T$2:T96,T96)=1,1,0)</f>
        <v>1</v>
      </c>
    </row>
    <row r="97" customFormat="false" ht="15" hidden="false" customHeight="false" outlineLevel="0" collapsed="false">
      <c r="A97" s="13" t="s">
        <v>223</v>
      </c>
      <c r="B97" s="13" t="s">
        <v>165</v>
      </c>
      <c r="C97" s="13" t="n">
        <v>22300</v>
      </c>
      <c r="D97" s="13" t="n">
        <v>40</v>
      </c>
      <c r="E97" s="13" t="n">
        <v>620.229722222222</v>
      </c>
      <c r="F97" s="13" t="s">
        <v>5288</v>
      </c>
      <c r="G97" s="13" t="s">
        <v>5289</v>
      </c>
      <c r="H97" s="13" t="s">
        <v>5289</v>
      </c>
      <c r="I97" s="13" t="s">
        <v>5289</v>
      </c>
      <c r="J97" s="13" t="s">
        <v>5289</v>
      </c>
      <c r="K97" s="13" t="s">
        <v>5292</v>
      </c>
      <c r="L97" s="13" t="s">
        <v>2545</v>
      </c>
      <c r="M97" s="13"/>
      <c r="N97" s="13" t="n">
        <v>3614274258073</v>
      </c>
      <c r="O97" s="13"/>
      <c r="P97" s="13" t="s">
        <v>5297</v>
      </c>
      <c r="Q97" s="13" t="s">
        <v>5289</v>
      </c>
      <c r="R97" s="13" t="s">
        <v>5292</v>
      </c>
      <c r="S97" s="13" t="s">
        <v>5293</v>
      </c>
      <c r="T97" s="13" t="s">
        <v>3</v>
      </c>
      <c r="U97" s="13" t="s">
        <v>43</v>
      </c>
      <c r="V97" s="13" t="n">
        <f aca="false">IF(COUNTIF($B$2:B97,B97)=1,1,0)</f>
        <v>0</v>
      </c>
      <c r="W97" s="13" t="n">
        <f aca="false">IF(COUNTIFS($B$2:B97,B97,$T$2:T97,T97)=1,1,0)</f>
        <v>0</v>
      </c>
    </row>
    <row r="98" customFormat="false" ht="15" hidden="false" customHeight="false" outlineLevel="0" collapsed="false">
      <c r="A98" s="13" t="s">
        <v>226</v>
      </c>
      <c r="B98" s="13" t="s">
        <v>157</v>
      </c>
      <c r="C98" s="13" t="n">
        <v>22000</v>
      </c>
      <c r="D98" s="13" t="n">
        <v>60</v>
      </c>
      <c r="E98" s="13" t="n">
        <v>349.438888888889</v>
      </c>
      <c r="F98" s="13" t="s">
        <v>5288</v>
      </c>
      <c r="G98" s="13" t="s">
        <v>5289</v>
      </c>
      <c r="H98" s="13" t="s">
        <v>5289</v>
      </c>
      <c r="I98" s="13" t="s">
        <v>5289</v>
      </c>
      <c r="J98" s="13" t="s">
        <v>5289</v>
      </c>
      <c r="K98" s="13" t="s">
        <v>5292</v>
      </c>
      <c r="L98" s="13" t="s">
        <v>5345</v>
      </c>
      <c r="M98" s="13"/>
      <c r="N98" s="13"/>
      <c r="O98" s="13"/>
      <c r="P98" s="13" t="s">
        <v>5291</v>
      </c>
      <c r="Q98" s="13" t="s">
        <v>5289</v>
      </c>
      <c r="R98" s="13" t="s">
        <v>5292</v>
      </c>
      <c r="S98" s="13" t="s">
        <v>5293</v>
      </c>
      <c r="T98" s="13" t="s">
        <v>3</v>
      </c>
      <c r="U98" s="13" t="s">
        <v>66</v>
      </c>
      <c r="V98" s="13" t="n">
        <f aca="false">IF(COUNTIF($B$2:B98,B98)=1,1,0)</f>
        <v>0</v>
      </c>
      <c r="W98" s="13" t="n">
        <f aca="false">IF(COUNTIFS($B$2:B98,B98,$T$2:T98,T98)=1,1,0)</f>
        <v>0</v>
      </c>
    </row>
    <row r="99" customFormat="false" ht="15" hidden="false" customHeight="false" outlineLevel="0" collapsed="false">
      <c r="A99" s="13" t="s">
        <v>228</v>
      </c>
      <c r="B99" s="13" t="s">
        <v>227</v>
      </c>
      <c r="C99" s="13" t="n">
        <v>22000</v>
      </c>
      <c r="D99" s="13" t="n">
        <v>100</v>
      </c>
      <c r="E99" s="13" t="n">
        <v>231.331578947368</v>
      </c>
      <c r="F99" s="13" t="s">
        <v>5325</v>
      </c>
      <c r="G99" s="13" t="s">
        <v>5289</v>
      </c>
      <c r="H99" s="13" t="s">
        <v>5289</v>
      </c>
      <c r="I99" s="13" t="s">
        <v>5289</v>
      </c>
      <c r="J99" s="13" t="s">
        <v>5289</v>
      </c>
      <c r="K99" s="13" t="s">
        <v>5289</v>
      </c>
      <c r="L99" s="13" t="s">
        <v>5346</v>
      </c>
      <c r="M99" s="13"/>
      <c r="N99" s="13" t="n">
        <v>6.07575000055608E+023</v>
      </c>
      <c r="O99" s="13"/>
      <c r="P99" s="13" t="s">
        <v>5291</v>
      </c>
      <c r="Q99" s="13" t="s">
        <v>5289</v>
      </c>
      <c r="R99" s="13" t="s">
        <v>5292</v>
      </c>
      <c r="S99" s="13" t="s">
        <v>5293</v>
      </c>
      <c r="T99" s="13" t="s">
        <v>3</v>
      </c>
      <c r="U99" s="13" t="s">
        <v>85</v>
      </c>
      <c r="V99" s="13" t="n">
        <f aca="false">IF(COUNTIF($B$2:B99,B99)=1,1,0)</f>
        <v>1</v>
      </c>
      <c r="W99" s="13" t="n">
        <f aca="false">IF(COUNTIFS($B$2:B99,B99,$T$2:T99,T99)=1,1,0)</f>
        <v>1</v>
      </c>
    </row>
    <row r="100" customFormat="false" ht="15" hidden="false" customHeight="false" outlineLevel="0" collapsed="false">
      <c r="A100" s="13" t="s">
        <v>2551</v>
      </c>
      <c r="B100" s="13" t="s">
        <v>2095</v>
      </c>
      <c r="C100" s="13" t="n">
        <v>22000</v>
      </c>
      <c r="D100" s="13" t="n">
        <v>220</v>
      </c>
      <c r="E100" s="13" t="n">
        <v>97.5722222222222</v>
      </c>
      <c r="F100" s="13" t="s">
        <v>5288</v>
      </c>
      <c r="G100" s="13" t="s">
        <v>5289</v>
      </c>
      <c r="H100" s="13" t="s">
        <v>5289</v>
      </c>
      <c r="I100" s="13" t="s">
        <v>5289</v>
      </c>
      <c r="J100" s="13" t="s">
        <v>5289</v>
      </c>
      <c r="K100" s="13" t="s">
        <v>5292</v>
      </c>
      <c r="L100" s="13" t="s">
        <v>2550</v>
      </c>
      <c r="M100" s="13"/>
      <c r="N100" s="13" t="n">
        <v>7898665431320</v>
      </c>
      <c r="O100" s="13"/>
      <c r="P100" s="13" t="s">
        <v>5291</v>
      </c>
      <c r="Q100" s="13" t="s">
        <v>5289</v>
      </c>
      <c r="R100" s="13" t="s">
        <v>5292</v>
      </c>
      <c r="S100" s="13" t="s">
        <v>5293</v>
      </c>
      <c r="T100" s="13" t="s">
        <v>3</v>
      </c>
      <c r="U100" s="13" t="s">
        <v>140</v>
      </c>
      <c r="V100" s="13" t="n">
        <f aca="false">IF(COUNTIF($B$2:B100,B100)=1,1,0)</f>
        <v>0</v>
      </c>
      <c r="W100" s="13" t="n">
        <f aca="false">IF(COUNTIFS($B$2:B100,B100,$T$2:T100,T100)=1,1,0)</f>
        <v>0</v>
      </c>
    </row>
    <row r="101" customFormat="false" ht="15" hidden="false" customHeight="false" outlineLevel="0" collapsed="false">
      <c r="A101" s="13" t="s">
        <v>2554</v>
      </c>
      <c r="B101" s="13" t="s">
        <v>2108</v>
      </c>
      <c r="C101" s="13" t="n">
        <v>21900</v>
      </c>
      <c r="D101" s="13" t="n">
        <v>260</v>
      </c>
      <c r="E101" s="13" t="n">
        <v>85.1258365758755</v>
      </c>
      <c r="F101" s="13" t="s">
        <v>5288</v>
      </c>
      <c r="G101" s="13" t="s">
        <v>5289</v>
      </c>
      <c r="H101" s="13" t="s">
        <v>5289</v>
      </c>
      <c r="I101" s="13" t="s">
        <v>5289</v>
      </c>
      <c r="J101" s="13" t="s">
        <v>5289</v>
      </c>
      <c r="K101" s="13" t="s">
        <v>5292</v>
      </c>
      <c r="L101" s="13" t="s">
        <v>2553</v>
      </c>
      <c r="M101" s="13"/>
      <c r="N101" s="13" t="n">
        <v>7891117064190</v>
      </c>
      <c r="O101" s="13"/>
      <c r="P101" s="13" t="s">
        <v>5291</v>
      </c>
      <c r="Q101" s="13" t="s">
        <v>5289</v>
      </c>
      <c r="R101" s="13" t="s">
        <v>5292</v>
      </c>
      <c r="S101" s="13" t="s">
        <v>5293</v>
      </c>
      <c r="T101" s="13" t="s">
        <v>3</v>
      </c>
      <c r="U101" s="13" t="s">
        <v>82</v>
      </c>
      <c r="V101" s="13" t="n">
        <f aca="false">IF(COUNTIF($B$2:B101,B101)=1,1,0)</f>
        <v>1</v>
      </c>
      <c r="W101" s="13" t="n">
        <f aca="false">IF(COUNTIFS($B$2:B101,B101,$T$2:T101,T101)=1,1,0)</f>
        <v>1</v>
      </c>
    </row>
    <row r="102" customFormat="false" ht="15" hidden="false" customHeight="false" outlineLevel="0" collapsed="false">
      <c r="A102" s="13" t="s">
        <v>2557</v>
      </c>
      <c r="B102" s="13" t="s">
        <v>2098</v>
      </c>
      <c r="C102" s="13" t="n">
        <v>21500</v>
      </c>
      <c r="D102" s="13" t="n">
        <v>300</v>
      </c>
      <c r="E102" s="13" t="n">
        <v>72.746813559322</v>
      </c>
      <c r="F102" s="13" t="s">
        <v>5288</v>
      </c>
      <c r="G102" s="13" t="s">
        <v>5289</v>
      </c>
      <c r="H102" s="13" t="s">
        <v>5289</v>
      </c>
      <c r="I102" s="13" t="s">
        <v>5292</v>
      </c>
      <c r="J102" s="13" t="s">
        <v>5289</v>
      </c>
      <c r="K102" s="13" t="s">
        <v>5289</v>
      </c>
      <c r="L102" s="13" t="s">
        <v>5347</v>
      </c>
      <c r="M102" s="13"/>
      <c r="N102" s="13" t="n">
        <v>7898639690524</v>
      </c>
      <c r="O102" s="13"/>
      <c r="P102" s="13" t="s">
        <v>5291</v>
      </c>
      <c r="Q102" s="13" t="s">
        <v>5289</v>
      </c>
      <c r="R102" s="13" t="s">
        <v>5292</v>
      </c>
      <c r="S102" s="13" t="s">
        <v>5293</v>
      </c>
      <c r="T102" s="13" t="s">
        <v>3</v>
      </c>
      <c r="U102" s="13" t="s">
        <v>57</v>
      </c>
      <c r="V102" s="13" t="n">
        <f aca="false">IF(COUNTIF($B$2:B102,B102)=1,1,0)</f>
        <v>0</v>
      </c>
      <c r="W102" s="13" t="n">
        <f aca="false">IF(COUNTIFS($B$2:B102,B102,$T$2:T102,T102)=1,1,0)</f>
        <v>0</v>
      </c>
    </row>
    <row r="103" customFormat="false" ht="15" hidden="false" customHeight="false" outlineLevel="0" collapsed="false">
      <c r="A103" s="13" t="s">
        <v>230</v>
      </c>
      <c r="B103" s="13" t="s">
        <v>229</v>
      </c>
      <c r="C103" s="13" t="n">
        <v>21400</v>
      </c>
      <c r="D103" s="13" t="n">
        <v>120</v>
      </c>
      <c r="E103" s="13" t="n">
        <v>184.47275862069</v>
      </c>
      <c r="F103" s="13" t="s">
        <v>5288</v>
      </c>
      <c r="G103" s="13" t="s">
        <v>5289</v>
      </c>
      <c r="H103" s="13" t="s">
        <v>5289</v>
      </c>
      <c r="I103" s="13" t="s">
        <v>5289</v>
      </c>
      <c r="J103" s="13" t="s">
        <v>5289</v>
      </c>
      <c r="K103" s="13" t="s">
        <v>5292</v>
      </c>
      <c r="L103" s="13" t="s">
        <v>5348</v>
      </c>
      <c r="M103" s="13"/>
      <c r="N103" s="13" t="n">
        <v>3414202000572</v>
      </c>
      <c r="O103" s="13"/>
      <c r="P103" s="13" t="s">
        <v>5291</v>
      </c>
      <c r="Q103" s="13" t="s">
        <v>5289</v>
      </c>
      <c r="R103" s="13" t="s">
        <v>5292</v>
      </c>
      <c r="S103" s="13" t="s">
        <v>5293</v>
      </c>
      <c r="T103" s="13" t="s">
        <v>3</v>
      </c>
      <c r="U103" s="13" t="s">
        <v>43</v>
      </c>
      <c r="V103" s="13" t="n">
        <f aca="false">IF(COUNTIF($B$2:B103,B103)=1,1,0)</f>
        <v>1</v>
      </c>
      <c r="W103" s="13" t="n">
        <f aca="false">IF(COUNTIFS($B$2:B103,B103,$T$2:T103,T103)=1,1,0)</f>
        <v>1</v>
      </c>
    </row>
    <row r="104" customFormat="false" ht="15" hidden="false" customHeight="false" outlineLevel="0" collapsed="false">
      <c r="A104" s="13" t="s">
        <v>234</v>
      </c>
      <c r="B104" s="13" t="s">
        <v>233</v>
      </c>
      <c r="C104" s="13" t="n">
        <v>20800</v>
      </c>
      <c r="D104" s="13" t="n">
        <v>100</v>
      </c>
      <c r="E104" s="13" t="n">
        <v>200.322211538462</v>
      </c>
      <c r="F104" s="13" t="s">
        <v>5288</v>
      </c>
      <c r="G104" s="13" t="s">
        <v>5289</v>
      </c>
      <c r="H104" s="13" t="s">
        <v>5289</v>
      </c>
      <c r="I104" s="13" t="s">
        <v>5289</v>
      </c>
      <c r="J104" s="13" t="s">
        <v>5289</v>
      </c>
      <c r="K104" s="13" t="s">
        <v>5289</v>
      </c>
      <c r="L104" s="13" t="s">
        <v>2564</v>
      </c>
      <c r="M104" s="13"/>
      <c r="N104" s="13" t="n">
        <v>7899524418872</v>
      </c>
      <c r="O104" s="13"/>
      <c r="P104" s="13" t="s">
        <v>5291</v>
      </c>
      <c r="Q104" s="13" t="s">
        <v>5289</v>
      </c>
      <c r="R104" s="13" t="s">
        <v>5292</v>
      </c>
      <c r="S104" s="13" t="s">
        <v>5293</v>
      </c>
      <c r="T104" s="13" t="s">
        <v>3</v>
      </c>
      <c r="U104" s="13" t="s">
        <v>57</v>
      </c>
      <c r="V104" s="13" t="n">
        <f aca="false">IF(COUNTIF($B$2:B104,B104)=1,1,0)</f>
        <v>1</v>
      </c>
      <c r="W104" s="13" t="n">
        <f aca="false">IF(COUNTIFS($B$2:B104,B104,$T$2:T104,T104)=1,1,0)</f>
        <v>1</v>
      </c>
    </row>
    <row r="105" customFormat="false" ht="15" hidden="false" customHeight="false" outlineLevel="0" collapsed="false">
      <c r="A105" s="13" t="s">
        <v>2562</v>
      </c>
      <c r="B105" s="13" t="s">
        <v>2107</v>
      </c>
      <c r="C105" s="13" t="n">
        <v>20800</v>
      </c>
      <c r="D105" s="13" t="n">
        <v>230</v>
      </c>
      <c r="E105" s="13" t="n">
        <v>89.3906866952789</v>
      </c>
      <c r="F105" s="13" t="s">
        <v>5288</v>
      </c>
      <c r="G105" s="13" t="s">
        <v>5289</v>
      </c>
      <c r="H105" s="13" t="s">
        <v>5289</v>
      </c>
      <c r="I105" s="13" t="s">
        <v>5289</v>
      </c>
      <c r="J105" s="13" t="s">
        <v>5289</v>
      </c>
      <c r="K105" s="13" t="s">
        <v>5292</v>
      </c>
      <c r="L105" s="13" t="s">
        <v>2561</v>
      </c>
      <c r="M105" s="13"/>
      <c r="N105" s="13" t="n">
        <v>8439627624306</v>
      </c>
      <c r="O105" s="13"/>
      <c r="P105" s="13" t="s">
        <v>5291</v>
      </c>
      <c r="Q105" s="13" t="s">
        <v>5289</v>
      </c>
      <c r="R105" s="13" t="s">
        <v>5292</v>
      </c>
      <c r="S105" s="13" t="s">
        <v>5293</v>
      </c>
      <c r="T105" s="13" t="s">
        <v>3</v>
      </c>
      <c r="U105" s="13" t="s">
        <v>43</v>
      </c>
      <c r="V105" s="13" t="n">
        <f aca="false">IF(COUNTIF($B$2:B105,B105)=1,1,0)</f>
        <v>1</v>
      </c>
      <c r="W105" s="13" t="n">
        <f aca="false">IF(COUNTIFS($B$2:B105,B105,$T$2:T105,T105)=1,1,0)</f>
        <v>1</v>
      </c>
    </row>
    <row r="106" customFormat="false" ht="15" hidden="false" customHeight="false" outlineLevel="0" collapsed="false">
      <c r="A106" s="13" t="s">
        <v>241</v>
      </c>
      <c r="B106" s="13" t="s">
        <v>65</v>
      </c>
      <c r="C106" s="13" t="n">
        <v>20000</v>
      </c>
      <c r="D106" s="13" t="n">
        <v>70</v>
      </c>
      <c r="E106" s="13" t="n">
        <v>302.552878787879</v>
      </c>
      <c r="F106" s="13" t="s">
        <v>5288</v>
      </c>
      <c r="G106" s="13" t="s">
        <v>5289</v>
      </c>
      <c r="H106" s="13" t="s">
        <v>5289</v>
      </c>
      <c r="I106" s="13" t="s">
        <v>5289</v>
      </c>
      <c r="J106" s="13" t="s">
        <v>5289</v>
      </c>
      <c r="K106" s="13" t="s">
        <v>5289</v>
      </c>
      <c r="L106" s="13" t="s">
        <v>2572</v>
      </c>
      <c r="M106" s="13"/>
      <c r="N106" s="13" t="n">
        <v>4710206002215</v>
      </c>
      <c r="O106" s="13"/>
      <c r="P106" s="13" t="s">
        <v>5291</v>
      </c>
      <c r="Q106" s="13" t="s">
        <v>5289</v>
      </c>
      <c r="R106" s="13" t="s">
        <v>5292</v>
      </c>
      <c r="S106" s="13" t="s">
        <v>5293</v>
      </c>
      <c r="T106" s="13" t="s">
        <v>3</v>
      </c>
      <c r="U106" s="13" t="s">
        <v>66</v>
      </c>
      <c r="V106" s="13" t="n">
        <f aca="false">IF(COUNTIF($B$2:B106,B106)=1,1,0)</f>
        <v>0</v>
      </c>
      <c r="W106" s="13" t="n">
        <f aca="false">IF(COUNTIFS($B$2:B106,B106,$T$2:T106,T106)=1,1,0)</f>
        <v>0</v>
      </c>
    </row>
    <row r="107" customFormat="false" ht="15" hidden="false" customHeight="false" outlineLevel="0" collapsed="false">
      <c r="A107" s="13" t="s">
        <v>243</v>
      </c>
      <c r="B107" s="13" t="s">
        <v>131</v>
      </c>
      <c r="C107" s="13" t="n">
        <v>19900</v>
      </c>
      <c r="D107" s="13" t="n">
        <v>340</v>
      </c>
      <c r="E107" s="13" t="n">
        <v>57.6365797101449</v>
      </c>
      <c r="F107" s="13" t="s">
        <v>5288</v>
      </c>
      <c r="G107" s="13" t="s">
        <v>5289</v>
      </c>
      <c r="H107" s="13" t="s">
        <v>5289</v>
      </c>
      <c r="I107" s="13" t="s">
        <v>5292</v>
      </c>
      <c r="J107" s="13" t="s">
        <v>5289</v>
      </c>
      <c r="K107" s="13" t="s">
        <v>5292</v>
      </c>
      <c r="L107" s="13" t="s">
        <v>2573</v>
      </c>
      <c r="M107" s="13"/>
      <c r="N107" s="13" t="n">
        <v>7908137907168</v>
      </c>
      <c r="O107" s="13"/>
      <c r="P107" s="13" t="s">
        <v>5291</v>
      </c>
      <c r="Q107" s="13" t="s">
        <v>5289</v>
      </c>
      <c r="R107" s="13" t="s">
        <v>5292</v>
      </c>
      <c r="S107" s="13" t="s">
        <v>5293</v>
      </c>
      <c r="T107" s="13" t="s">
        <v>3</v>
      </c>
      <c r="U107" s="13" t="s">
        <v>85</v>
      </c>
      <c r="V107" s="13" t="n">
        <f aca="false">IF(COUNTIF($B$2:B107,B107)=1,1,0)</f>
        <v>0</v>
      </c>
      <c r="W107" s="13" t="n">
        <f aca="false">IF(COUNTIFS($B$2:B107,B107,$T$2:T107,T107)=1,1,0)</f>
        <v>0</v>
      </c>
    </row>
    <row r="108" customFormat="false" ht="15" hidden="false" customHeight="false" outlineLevel="0" collapsed="false">
      <c r="A108" s="13" t="s">
        <v>2577</v>
      </c>
      <c r="B108" s="13" t="s">
        <v>2125</v>
      </c>
      <c r="C108" s="13" t="n">
        <v>19400</v>
      </c>
      <c r="D108" s="13" t="n">
        <v>150</v>
      </c>
      <c r="E108" s="13" t="n">
        <v>132.602602739726</v>
      </c>
      <c r="F108" s="13" t="s">
        <v>5288</v>
      </c>
      <c r="G108" s="13" t="s">
        <v>5289</v>
      </c>
      <c r="H108" s="13" t="s">
        <v>5289</v>
      </c>
      <c r="I108" s="13" t="s">
        <v>5289</v>
      </c>
      <c r="J108" s="13" t="s">
        <v>5289</v>
      </c>
      <c r="K108" s="13" t="s">
        <v>5289</v>
      </c>
      <c r="L108" s="13" t="s">
        <v>2576</v>
      </c>
      <c r="M108" s="13"/>
      <c r="N108" s="13" t="n">
        <v>7898706990236</v>
      </c>
      <c r="O108" s="13"/>
      <c r="P108" s="13" t="s">
        <v>5291</v>
      </c>
      <c r="Q108" s="13" t="s">
        <v>5289</v>
      </c>
      <c r="R108" s="13" t="s">
        <v>5292</v>
      </c>
      <c r="S108" s="13" t="s">
        <v>5293</v>
      </c>
      <c r="T108" s="13" t="s">
        <v>3</v>
      </c>
      <c r="U108" s="13" t="s">
        <v>129</v>
      </c>
      <c r="V108" s="13" t="n">
        <f aca="false">IF(COUNTIF($B$2:B108,B108)=1,1,0)</f>
        <v>1</v>
      </c>
      <c r="W108" s="13" t="n">
        <f aca="false">IF(COUNTIFS($B$2:B108,B108,$T$2:T108,T108)=1,1,0)</f>
        <v>1</v>
      </c>
    </row>
    <row r="109" customFormat="false" ht="15" hidden="false" customHeight="false" outlineLevel="0" collapsed="false">
      <c r="A109" s="13" t="s">
        <v>2580</v>
      </c>
      <c r="B109" s="13" t="s">
        <v>2100</v>
      </c>
      <c r="C109" s="13" t="n">
        <v>19300</v>
      </c>
      <c r="D109" s="13" t="n">
        <v>480</v>
      </c>
      <c r="E109" s="13" t="n">
        <v>40.1735343035343</v>
      </c>
      <c r="F109" s="13" t="s">
        <v>5288</v>
      </c>
      <c r="G109" s="13" t="s">
        <v>5289</v>
      </c>
      <c r="H109" s="13" t="s">
        <v>5289</v>
      </c>
      <c r="I109" s="13" t="s">
        <v>5292</v>
      </c>
      <c r="J109" s="13" t="s">
        <v>5289</v>
      </c>
      <c r="K109" s="13" t="s">
        <v>5292</v>
      </c>
      <c r="L109" s="13" t="s">
        <v>2579</v>
      </c>
      <c r="M109" s="13"/>
      <c r="N109" s="13" t="n">
        <v>7898410311808</v>
      </c>
      <c r="O109" s="13"/>
      <c r="P109" s="13" t="s">
        <v>5291</v>
      </c>
      <c r="Q109" s="13" t="s">
        <v>5289</v>
      </c>
      <c r="R109" s="13" t="s">
        <v>5292</v>
      </c>
      <c r="S109" s="13" t="s">
        <v>5293</v>
      </c>
      <c r="T109" s="13" t="s">
        <v>3</v>
      </c>
      <c r="U109" s="13" t="s">
        <v>43</v>
      </c>
      <c r="V109" s="13" t="n">
        <f aca="false">IF(COUNTIF($B$2:B109,B109)=1,1,0)</f>
        <v>0</v>
      </c>
      <c r="W109" s="13" t="n">
        <f aca="false">IF(COUNTIFS($B$2:B109,B109,$T$2:T109,T109)=1,1,0)</f>
        <v>0</v>
      </c>
    </row>
    <row r="110" customFormat="false" ht="15" hidden="false" customHeight="false" outlineLevel="0" collapsed="false">
      <c r="A110" s="13" t="s">
        <v>2585</v>
      </c>
      <c r="B110" s="13" t="s">
        <v>2121</v>
      </c>
      <c r="C110" s="13" t="n">
        <v>19100</v>
      </c>
      <c r="D110" s="13" t="n">
        <v>410</v>
      </c>
      <c r="E110" s="13" t="n">
        <v>46.8388235294118</v>
      </c>
      <c r="F110" s="13" t="s">
        <v>5288</v>
      </c>
      <c r="G110" s="13" t="s">
        <v>5289</v>
      </c>
      <c r="H110" s="13" t="s">
        <v>5289</v>
      </c>
      <c r="I110" s="13" t="s">
        <v>5292</v>
      </c>
      <c r="J110" s="13" t="s">
        <v>5289</v>
      </c>
      <c r="K110" s="13" t="s">
        <v>5292</v>
      </c>
      <c r="L110" s="13" t="s">
        <v>2584</v>
      </c>
      <c r="M110" s="13"/>
      <c r="N110" s="13" t="n">
        <v>7898554605528</v>
      </c>
      <c r="O110" s="13"/>
      <c r="P110" s="13" t="s">
        <v>5297</v>
      </c>
      <c r="Q110" s="13" t="s">
        <v>5289</v>
      </c>
      <c r="R110" s="13" t="s">
        <v>5292</v>
      </c>
      <c r="S110" s="13" t="s">
        <v>5293</v>
      </c>
      <c r="T110" s="13" t="s">
        <v>3</v>
      </c>
      <c r="U110" s="13" t="s">
        <v>144</v>
      </c>
      <c r="V110" s="13" t="n">
        <f aca="false">IF(COUNTIF($B$2:B110,B110)=1,1,0)</f>
        <v>1</v>
      </c>
      <c r="W110" s="13" t="n">
        <f aca="false">IF(COUNTIFS($B$2:B110,B110,$T$2:T110,T110)=1,1,0)</f>
        <v>1</v>
      </c>
    </row>
    <row r="111" customFormat="false" ht="15" hidden="false" customHeight="false" outlineLevel="0" collapsed="false">
      <c r="A111" s="13" t="s">
        <v>249</v>
      </c>
      <c r="B111" s="13" t="s">
        <v>248</v>
      </c>
      <c r="C111" s="13" t="n">
        <v>19000</v>
      </c>
      <c r="D111" s="13" t="n">
        <v>100</v>
      </c>
      <c r="E111" s="13" t="n">
        <v>192.250606060606</v>
      </c>
      <c r="F111" s="13" t="s">
        <v>5288</v>
      </c>
      <c r="G111" s="13" t="s">
        <v>5289</v>
      </c>
      <c r="H111" s="13" t="s">
        <v>5289</v>
      </c>
      <c r="I111" s="13" t="s">
        <v>5289</v>
      </c>
      <c r="J111" s="13" t="s">
        <v>5289</v>
      </c>
      <c r="K111" s="13" t="s">
        <v>5289</v>
      </c>
      <c r="L111" s="13" t="s">
        <v>5349</v>
      </c>
      <c r="M111" s="13"/>
      <c r="N111" s="13" t="n">
        <v>7896027543353</v>
      </c>
      <c r="O111" s="13"/>
      <c r="P111" s="13" t="s">
        <v>5291</v>
      </c>
      <c r="Q111" s="13" t="s">
        <v>5289</v>
      </c>
      <c r="R111" s="13" t="s">
        <v>5292</v>
      </c>
      <c r="S111" s="13" t="s">
        <v>5293</v>
      </c>
      <c r="T111" s="13" t="s">
        <v>3</v>
      </c>
      <c r="U111" s="13" t="s">
        <v>85</v>
      </c>
      <c r="V111" s="13" t="n">
        <f aca="false">IF(COUNTIF($B$2:B111,B111)=1,1,0)</f>
        <v>1</v>
      </c>
      <c r="W111" s="13" t="n">
        <f aca="false">IF(COUNTIFS($B$2:B111,B111,$T$2:T111,T111)=1,1,0)</f>
        <v>1</v>
      </c>
    </row>
    <row r="112" customFormat="false" ht="15" hidden="false" customHeight="false" outlineLevel="0" collapsed="false">
      <c r="A112" s="13" t="s">
        <v>251</v>
      </c>
      <c r="B112" s="13" t="s">
        <v>250</v>
      </c>
      <c r="C112" s="13" t="n">
        <v>18800</v>
      </c>
      <c r="D112" s="13" t="n">
        <v>170</v>
      </c>
      <c r="E112" s="13" t="n">
        <v>107.953448275862</v>
      </c>
      <c r="F112" s="13" t="s">
        <v>5288</v>
      </c>
      <c r="G112" s="13" t="s">
        <v>5289</v>
      </c>
      <c r="H112" s="13" t="s">
        <v>5289</v>
      </c>
      <c r="I112" s="13" t="s">
        <v>5292</v>
      </c>
      <c r="J112" s="13" t="s">
        <v>5289</v>
      </c>
      <c r="K112" s="13" t="s">
        <v>5289</v>
      </c>
      <c r="L112" s="13" t="s">
        <v>2588</v>
      </c>
      <c r="M112" s="13"/>
      <c r="N112" s="13" t="n">
        <v>742832706285</v>
      </c>
      <c r="O112" s="13"/>
      <c r="P112" s="13" t="s">
        <v>5291</v>
      </c>
      <c r="Q112" s="13" t="s">
        <v>5289</v>
      </c>
      <c r="R112" s="13" t="s">
        <v>5292</v>
      </c>
      <c r="S112" s="13" t="s">
        <v>5293</v>
      </c>
      <c r="T112" s="13" t="s">
        <v>3</v>
      </c>
      <c r="U112" s="13" t="s">
        <v>85</v>
      </c>
      <c r="V112" s="13" t="n">
        <f aca="false">IF(COUNTIF($B$2:B112,B112)=1,1,0)</f>
        <v>1</v>
      </c>
      <c r="W112" s="13" t="n">
        <f aca="false">IF(COUNTIFS($B$2:B112,B112,$T$2:T112,T112)=1,1,0)</f>
        <v>1</v>
      </c>
    </row>
    <row r="113" customFormat="false" ht="15" hidden="false" customHeight="false" outlineLevel="0" collapsed="false">
      <c r="A113" s="13" t="s">
        <v>5350</v>
      </c>
      <c r="B113" s="13" t="s">
        <v>2113</v>
      </c>
      <c r="C113" s="13" t="n">
        <v>18600</v>
      </c>
      <c r="D113" s="13" t="n">
        <v>210</v>
      </c>
      <c r="E113" s="13" t="n">
        <v>89.8291304347826</v>
      </c>
      <c r="F113" s="13" t="s">
        <v>5288</v>
      </c>
      <c r="G113" s="13" t="s">
        <v>5289</v>
      </c>
      <c r="H113" s="13" t="s">
        <v>5289</v>
      </c>
      <c r="I113" s="13" t="s">
        <v>5289</v>
      </c>
      <c r="J113" s="13" t="s">
        <v>5289</v>
      </c>
      <c r="K113" s="13" t="s">
        <v>5292</v>
      </c>
      <c r="L113" s="13" t="s">
        <v>5351</v>
      </c>
      <c r="M113" s="13"/>
      <c r="N113" s="13"/>
      <c r="O113" s="13"/>
      <c r="P113" s="13" t="s">
        <v>5297</v>
      </c>
      <c r="Q113" s="13" t="s">
        <v>5289</v>
      </c>
      <c r="R113" s="13" t="s">
        <v>5292</v>
      </c>
      <c r="S113" s="13" t="s">
        <v>5293</v>
      </c>
      <c r="T113" s="13" t="s">
        <v>3</v>
      </c>
      <c r="U113" s="13" t="s">
        <v>183</v>
      </c>
      <c r="V113" s="13" t="n">
        <f aca="false">IF(COUNTIF($B$2:B113,B113)=1,1,0)</f>
        <v>1</v>
      </c>
      <c r="W113" s="13" t="n">
        <f aca="false">IF(COUNTIFS($B$2:B113,B113,$T$2:T113,T113)=1,1,0)</f>
        <v>1</v>
      </c>
    </row>
    <row r="114" customFormat="false" ht="15" hidden="false" customHeight="false" outlineLevel="0" collapsed="false">
      <c r="A114" s="13" t="s">
        <v>256</v>
      </c>
      <c r="B114" s="13" t="s">
        <v>255</v>
      </c>
      <c r="C114" s="13" t="n">
        <v>18500</v>
      </c>
      <c r="D114" s="13" t="n">
        <v>120</v>
      </c>
      <c r="E114" s="13" t="n">
        <v>159.853706896552</v>
      </c>
      <c r="F114" s="13" t="s">
        <v>5288</v>
      </c>
      <c r="G114" s="13" t="s">
        <v>5289</v>
      </c>
      <c r="H114" s="13" t="s">
        <v>5289</v>
      </c>
      <c r="I114" s="13" t="s">
        <v>5289</v>
      </c>
      <c r="J114" s="13" t="s">
        <v>5289</v>
      </c>
      <c r="K114" s="13" t="s">
        <v>5292</v>
      </c>
      <c r="L114" s="13" t="s">
        <v>5352</v>
      </c>
      <c r="M114" s="13"/>
      <c r="N114" s="13" t="n">
        <v>5055810014933</v>
      </c>
      <c r="O114" s="13"/>
      <c r="P114" s="13" t="s">
        <v>5297</v>
      </c>
      <c r="Q114" s="13" t="s">
        <v>5289</v>
      </c>
      <c r="R114" s="13" t="s">
        <v>5292</v>
      </c>
      <c r="S114" s="13" t="s">
        <v>5293</v>
      </c>
      <c r="T114" s="13" t="s">
        <v>3</v>
      </c>
      <c r="U114" s="13" t="s">
        <v>43</v>
      </c>
      <c r="V114" s="13" t="n">
        <f aca="false">IF(COUNTIF($B$2:B114,B114)=1,1,0)</f>
        <v>1</v>
      </c>
      <c r="W114" s="13" t="n">
        <f aca="false">IF(COUNTIFS($B$2:B114,B114,$T$2:T114,T114)=1,1,0)</f>
        <v>1</v>
      </c>
    </row>
    <row r="115" customFormat="false" ht="15" hidden="false" customHeight="false" outlineLevel="0" collapsed="false">
      <c r="A115" s="13" t="s">
        <v>2593</v>
      </c>
      <c r="B115" s="13" t="s">
        <v>2115</v>
      </c>
      <c r="C115" s="13" t="n">
        <v>18400</v>
      </c>
      <c r="D115" s="13" t="n">
        <v>210</v>
      </c>
      <c r="E115" s="13" t="n">
        <v>88.2431100478469</v>
      </c>
      <c r="F115" s="13" t="s">
        <v>5288</v>
      </c>
      <c r="G115" s="13" t="s">
        <v>5289</v>
      </c>
      <c r="H115" s="13" t="s">
        <v>5289</v>
      </c>
      <c r="I115" s="13" t="s">
        <v>5289</v>
      </c>
      <c r="J115" s="13" t="s">
        <v>5289</v>
      </c>
      <c r="K115" s="13" t="s">
        <v>5292</v>
      </c>
      <c r="L115" s="13" t="s">
        <v>2591</v>
      </c>
      <c r="M115" s="13"/>
      <c r="N115" s="13" t="n">
        <v>7898684484369</v>
      </c>
      <c r="O115" s="13"/>
      <c r="P115" s="13" t="s">
        <v>5291</v>
      </c>
      <c r="Q115" s="13" t="s">
        <v>5289</v>
      </c>
      <c r="R115" s="13" t="s">
        <v>5292</v>
      </c>
      <c r="S115" s="13" t="s">
        <v>5293</v>
      </c>
      <c r="T115" s="13" t="s">
        <v>3</v>
      </c>
      <c r="U115" s="13" t="s">
        <v>140</v>
      </c>
      <c r="V115" s="13" t="n">
        <f aca="false">IF(COUNTIF($B$2:B115,B115)=1,1,0)</f>
        <v>1</v>
      </c>
      <c r="W115" s="13" t="n">
        <f aca="false">IF(COUNTIFS($B$2:B115,B115,$T$2:T115,T115)=1,1,0)</f>
        <v>1</v>
      </c>
    </row>
    <row r="116" customFormat="false" ht="15" hidden="false" customHeight="false" outlineLevel="0" collapsed="false">
      <c r="A116" s="13" t="s">
        <v>2595</v>
      </c>
      <c r="B116" s="13" t="s">
        <v>2096</v>
      </c>
      <c r="C116" s="13" t="n">
        <v>18200</v>
      </c>
      <c r="D116" s="13" t="n">
        <v>200</v>
      </c>
      <c r="E116" s="13" t="n">
        <v>90.8394</v>
      </c>
      <c r="F116" s="13" t="s">
        <v>5288</v>
      </c>
      <c r="G116" s="13" t="s">
        <v>5289</v>
      </c>
      <c r="H116" s="13" t="s">
        <v>5289</v>
      </c>
      <c r="I116" s="13" t="s">
        <v>5289</v>
      </c>
      <c r="J116" s="13" t="s">
        <v>5289</v>
      </c>
      <c r="K116" s="13" t="s">
        <v>5292</v>
      </c>
      <c r="L116" s="13" t="s">
        <v>5353</v>
      </c>
      <c r="M116" s="13"/>
      <c r="N116" s="13" t="n">
        <v>7891033539796</v>
      </c>
      <c r="O116" s="13"/>
      <c r="P116" s="13" t="s">
        <v>5291</v>
      </c>
      <c r="Q116" s="13" t="s">
        <v>5289</v>
      </c>
      <c r="R116" s="13" t="s">
        <v>5292</v>
      </c>
      <c r="S116" s="13" t="s">
        <v>5293</v>
      </c>
      <c r="T116" s="13" t="s">
        <v>3</v>
      </c>
      <c r="U116" s="13" t="s">
        <v>43</v>
      </c>
      <c r="V116" s="13" t="n">
        <f aca="false">IF(COUNTIF($B$2:B116,B116)=1,1,0)</f>
        <v>0</v>
      </c>
      <c r="W116" s="13" t="n">
        <f aca="false">IF(COUNTIFS($B$2:B116,B116,$T$2:T116,T116)=1,1,0)</f>
        <v>0</v>
      </c>
    </row>
    <row r="117" customFormat="false" ht="15" hidden="false" customHeight="false" outlineLevel="0" collapsed="false">
      <c r="A117" s="13" t="s">
        <v>258</v>
      </c>
      <c r="B117" s="13" t="s">
        <v>87</v>
      </c>
      <c r="C117" s="13" t="n">
        <v>17900</v>
      </c>
      <c r="D117" s="13" t="n">
        <v>50</v>
      </c>
      <c r="E117" s="13" t="n">
        <v>330.923333333333</v>
      </c>
      <c r="F117" s="13" t="s">
        <v>5288</v>
      </c>
      <c r="G117" s="13" t="s">
        <v>5289</v>
      </c>
      <c r="H117" s="13" t="s">
        <v>5289</v>
      </c>
      <c r="I117" s="13" t="s">
        <v>5289</v>
      </c>
      <c r="J117" s="13" t="s">
        <v>5289</v>
      </c>
      <c r="K117" s="13" t="s">
        <v>5289</v>
      </c>
      <c r="L117" s="13" t="s">
        <v>5354</v>
      </c>
      <c r="M117" s="13"/>
      <c r="N117" s="13"/>
      <c r="O117" s="13"/>
      <c r="P117" s="13" t="s">
        <v>5291</v>
      </c>
      <c r="Q117" s="13" t="s">
        <v>5289</v>
      </c>
      <c r="R117" s="13" t="s">
        <v>5292</v>
      </c>
      <c r="S117" s="13" t="s">
        <v>5293</v>
      </c>
      <c r="T117" s="13" t="s">
        <v>3</v>
      </c>
      <c r="U117" s="13" t="s">
        <v>66</v>
      </c>
      <c r="V117" s="13" t="n">
        <f aca="false">IF(COUNTIF($B$2:B117,B117)=1,1,0)</f>
        <v>0</v>
      </c>
      <c r="W117" s="13" t="n">
        <f aca="false">IF(COUNTIFS($B$2:B117,B117,$T$2:T117,T117)=1,1,0)</f>
        <v>0</v>
      </c>
    </row>
    <row r="118" customFormat="false" ht="15" hidden="false" customHeight="false" outlineLevel="0" collapsed="false">
      <c r="A118" s="13" t="s">
        <v>2604</v>
      </c>
      <c r="B118" s="13" t="s">
        <v>2106</v>
      </c>
      <c r="C118" s="13" t="n">
        <v>17800</v>
      </c>
      <c r="D118" s="13" t="n">
        <v>60</v>
      </c>
      <c r="E118" s="13" t="n">
        <v>295.99</v>
      </c>
      <c r="F118" s="13" t="s">
        <v>5288</v>
      </c>
      <c r="G118" s="13" t="s">
        <v>5289</v>
      </c>
      <c r="H118" s="13" t="s">
        <v>5289</v>
      </c>
      <c r="I118" s="13" t="s">
        <v>5289</v>
      </c>
      <c r="J118" s="13" t="s">
        <v>5289</v>
      </c>
      <c r="K118" s="13" t="s">
        <v>5292</v>
      </c>
      <c r="L118" s="13" t="s">
        <v>2603</v>
      </c>
      <c r="M118" s="13"/>
      <c r="N118" s="13" t="n">
        <v>7891009857909</v>
      </c>
      <c r="O118" s="13"/>
      <c r="P118" s="13" t="s">
        <v>5291</v>
      </c>
      <c r="Q118" s="13" t="s">
        <v>5289</v>
      </c>
      <c r="R118" s="13" t="s">
        <v>5292</v>
      </c>
      <c r="S118" s="13" t="s">
        <v>5293</v>
      </c>
      <c r="T118" s="13" t="s">
        <v>3</v>
      </c>
      <c r="U118" s="13" t="s">
        <v>98</v>
      </c>
      <c r="V118" s="13" t="n">
        <f aca="false">IF(COUNTIF($B$2:B118,B118)=1,1,0)</f>
        <v>0</v>
      </c>
      <c r="W118" s="13" t="n">
        <f aca="false">IF(COUNTIFS($B$2:B118,B118,$T$2:T118,T118)=1,1,0)</f>
        <v>0</v>
      </c>
    </row>
    <row r="119" customFormat="false" ht="15" hidden="false" customHeight="false" outlineLevel="0" collapsed="false">
      <c r="A119" s="13" t="s">
        <v>259</v>
      </c>
      <c r="B119" s="13" t="s">
        <v>131</v>
      </c>
      <c r="C119" s="13" t="n">
        <v>17700</v>
      </c>
      <c r="D119" s="13" t="n">
        <v>360</v>
      </c>
      <c r="E119" s="13" t="n">
        <v>49.6741456582633</v>
      </c>
      <c r="F119" s="13" t="s">
        <v>5288</v>
      </c>
      <c r="G119" s="13" t="s">
        <v>5289</v>
      </c>
      <c r="H119" s="13" t="s">
        <v>5289</v>
      </c>
      <c r="I119" s="13" t="s">
        <v>5292</v>
      </c>
      <c r="J119" s="13" t="s">
        <v>5289</v>
      </c>
      <c r="K119" s="13" t="s">
        <v>5292</v>
      </c>
      <c r="L119" s="13" t="s">
        <v>2611</v>
      </c>
      <c r="M119" s="13"/>
      <c r="N119" s="13" t="n">
        <v>7908137907144</v>
      </c>
      <c r="O119" s="13"/>
      <c r="P119" s="13" t="s">
        <v>5291</v>
      </c>
      <c r="Q119" s="13" t="s">
        <v>5289</v>
      </c>
      <c r="R119" s="13" t="s">
        <v>5292</v>
      </c>
      <c r="S119" s="13" t="s">
        <v>5293</v>
      </c>
      <c r="T119" s="13" t="s">
        <v>3</v>
      </c>
      <c r="U119" s="13" t="s">
        <v>85</v>
      </c>
      <c r="V119" s="13" t="n">
        <f aca="false">IF(COUNTIF($B$2:B119,B119)=1,1,0)</f>
        <v>0</v>
      </c>
      <c r="W119" s="13" t="n">
        <f aca="false">IF(COUNTIFS($B$2:B119,B119,$T$2:T119,T119)=1,1,0)</f>
        <v>0</v>
      </c>
    </row>
    <row r="120" customFormat="false" ht="15" hidden="false" customHeight="false" outlineLevel="0" collapsed="false">
      <c r="A120" s="13" t="s">
        <v>2610</v>
      </c>
      <c r="B120" s="13" t="s">
        <v>2132</v>
      </c>
      <c r="C120" s="13" t="n">
        <v>17700</v>
      </c>
      <c r="D120" s="13" t="n">
        <v>70</v>
      </c>
      <c r="E120" s="13" t="n">
        <v>264.511791044776</v>
      </c>
      <c r="F120" s="13" t="s">
        <v>5288</v>
      </c>
      <c r="G120" s="13" t="s">
        <v>5289</v>
      </c>
      <c r="H120" s="13" t="s">
        <v>5289</v>
      </c>
      <c r="I120" s="13" t="s">
        <v>5289</v>
      </c>
      <c r="J120" s="13" t="s">
        <v>5289</v>
      </c>
      <c r="K120" s="13" t="s">
        <v>5289</v>
      </c>
      <c r="L120" s="13" t="s">
        <v>2609</v>
      </c>
      <c r="M120" s="13"/>
      <c r="N120" s="13" t="n">
        <v>7908410309054</v>
      </c>
      <c r="O120" s="13"/>
      <c r="P120" s="13" t="s">
        <v>5291</v>
      </c>
      <c r="Q120" s="13" t="s">
        <v>5289</v>
      </c>
      <c r="R120" s="13" t="s">
        <v>5292</v>
      </c>
      <c r="S120" s="13" t="s">
        <v>5293</v>
      </c>
      <c r="T120" s="13" t="s">
        <v>3</v>
      </c>
      <c r="U120" s="13" t="s">
        <v>129</v>
      </c>
      <c r="V120" s="13" t="n">
        <f aca="false">IF(COUNTIF($B$2:B120,B120)=1,1,0)</f>
        <v>1</v>
      </c>
      <c r="W120" s="13" t="n">
        <f aca="false">IF(COUNTIFS($B$2:B120,B120,$T$2:T120,T120)=1,1,0)</f>
        <v>1</v>
      </c>
    </row>
    <row r="121" customFormat="false" ht="15" hidden="false" customHeight="false" outlineLevel="0" collapsed="false">
      <c r="A121" s="13" t="s">
        <v>2613</v>
      </c>
      <c r="B121" s="13" t="s">
        <v>2114</v>
      </c>
      <c r="C121" s="13" t="n">
        <v>17600</v>
      </c>
      <c r="D121" s="13" t="n">
        <v>320</v>
      </c>
      <c r="E121" s="13" t="n">
        <v>55.7231428571428</v>
      </c>
      <c r="F121" s="13" t="s">
        <v>5288</v>
      </c>
      <c r="G121" s="13" t="s">
        <v>5289</v>
      </c>
      <c r="H121" s="13" t="s">
        <v>5289</v>
      </c>
      <c r="I121" s="13" t="s">
        <v>5292</v>
      </c>
      <c r="J121" s="13" t="s">
        <v>5289</v>
      </c>
      <c r="K121" s="13" t="s">
        <v>5292</v>
      </c>
      <c r="L121" s="13" t="s">
        <v>5355</v>
      </c>
      <c r="M121" s="13"/>
      <c r="N121" s="13" t="n">
        <v>7898047200377</v>
      </c>
      <c r="O121" s="13"/>
      <c r="P121" s="13" t="s">
        <v>5291</v>
      </c>
      <c r="Q121" s="13" t="s">
        <v>5289</v>
      </c>
      <c r="R121" s="13" t="s">
        <v>5292</v>
      </c>
      <c r="S121" s="13" t="s">
        <v>5293</v>
      </c>
      <c r="T121" s="13" t="s">
        <v>3</v>
      </c>
      <c r="U121" s="13" t="s">
        <v>140</v>
      </c>
      <c r="V121" s="13" t="n">
        <f aca="false">IF(COUNTIF($B$2:B121,B121)=1,1,0)</f>
        <v>1</v>
      </c>
      <c r="W121" s="13" t="n">
        <f aca="false">IF(COUNTIFS($B$2:B121,B121,$T$2:T121,T121)=1,1,0)</f>
        <v>1</v>
      </c>
    </row>
    <row r="122" customFormat="false" ht="15" hidden="false" customHeight="false" outlineLevel="0" collapsed="false">
      <c r="A122" s="13" t="s">
        <v>2570</v>
      </c>
      <c r="B122" s="13" t="s">
        <v>2128</v>
      </c>
      <c r="C122" s="13" t="n">
        <v>17300</v>
      </c>
      <c r="D122" s="13" t="n">
        <v>230</v>
      </c>
      <c r="E122" s="13" t="n">
        <v>75.9863157894737</v>
      </c>
      <c r="F122" s="13" t="s">
        <v>5288</v>
      </c>
      <c r="G122" s="13" t="s">
        <v>5289</v>
      </c>
      <c r="H122" s="13" t="s">
        <v>5289</v>
      </c>
      <c r="I122" s="13" t="s">
        <v>5292</v>
      </c>
      <c r="J122" s="13" t="s">
        <v>5289</v>
      </c>
      <c r="K122" s="13" t="s">
        <v>5292</v>
      </c>
      <c r="L122" s="13" t="s">
        <v>2569</v>
      </c>
      <c r="M122" s="13"/>
      <c r="N122" s="13" t="n">
        <v>3326240816698</v>
      </c>
      <c r="O122" s="13"/>
      <c r="P122" s="13" t="s">
        <v>5291</v>
      </c>
      <c r="Q122" s="13" t="s">
        <v>5289</v>
      </c>
      <c r="R122" s="13" t="s">
        <v>5292</v>
      </c>
      <c r="S122" s="13" t="s">
        <v>5293</v>
      </c>
      <c r="T122" s="13" t="s">
        <v>3</v>
      </c>
      <c r="U122" s="13" t="s">
        <v>43</v>
      </c>
      <c r="V122" s="13" t="n">
        <f aca="false">IF(COUNTIF($B$2:B122,B122)=1,1,0)</f>
        <v>1</v>
      </c>
      <c r="W122" s="13" t="n">
        <f aca="false">IF(COUNTIFS($B$2:B122,B122,$T$2:T122,T122)=1,1,0)</f>
        <v>1</v>
      </c>
    </row>
    <row r="123" customFormat="false" ht="15" hidden="false" customHeight="false" outlineLevel="0" collapsed="false">
      <c r="A123" s="13" t="s">
        <v>262</v>
      </c>
      <c r="B123" s="13" t="s">
        <v>131</v>
      </c>
      <c r="C123" s="13" t="n">
        <v>17200</v>
      </c>
      <c r="D123" s="13" t="n">
        <v>220</v>
      </c>
      <c r="E123" s="13" t="n">
        <v>78.0080995475113</v>
      </c>
      <c r="F123" s="13" t="s">
        <v>5288</v>
      </c>
      <c r="G123" s="13" t="s">
        <v>5289</v>
      </c>
      <c r="H123" s="13" t="s">
        <v>5289</v>
      </c>
      <c r="I123" s="13" t="s">
        <v>5292</v>
      </c>
      <c r="J123" s="13" t="s">
        <v>5289</v>
      </c>
      <c r="K123" s="13" t="s">
        <v>5292</v>
      </c>
      <c r="L123" s="13" t="s">
        <v>5356</v>
      </c>
      <c r="M123" s="13"/>
      <c r="N123" s="13"/>
      <c r="O123" s="13"/>
      <c r="P123" s="13" t="s">
        <v>5291</v>
      </c>
      <c r="Q123" s="13" t="s">
        <v>5289</v>
      </c>
      <c r="R123" s="13" t="s">
        <v>5292</v>
      </c>
      <c r="S123" s="13" t="s">
        <v>5293</v>
      </c>
      <c r="T123" s="13" t="s">
        <v>3</v>
      </c>
      <c r="U123" s="13" t="s">
        <v>66</v>
      </c>
      <c r="V123" s="13" t="n">
        <f aca="false">IF(COUNTIF($B$2:B123,B123)=1,1,0)</f>
        <v>0</v>
      </c>
      <c r="W123" s="13" t="n">
        <f aca="false">IF(COUNTIFS($B$2:B123,B123,$T$2:T123,T123)=1,1,0)</f>
        <v>0</v>
      </c>
    </row>
    <row r="124" customFormat="false" ht="15" hidden="false" customHeight="false" outlineLevel="0" collapsed="false">
      <c r="A124" s="13" t="s">
        <v>264</v>
      </c>
      <c r="B124" s="13" t="s">
        <v>182</v>
      </c>
      <c r="C124" s="13" t="n">
        <v>17200</v>
      </c>
      <c r="D124" s="13" t="n">
        <v>160</v>
      </c>
      <c r="E124" s="13" t="n">
        <v>104.122848484848</v>
      </c>
      <c r="F124" s="13" t="s">
        <v>5288</v>
      </c>
      <c r="G124" s="13" t="s">
        <v>5289</v>
      </c>
      <c r="H124" s="13" t="s">
        <v>5289</v>
      </c>
      <c r="I124" s="13" t="s">
        <v>5289</v>
      </c>
      <c r="J124" s="13" t="s">
        <v>5289</v>
      </c>
      <c r="K124" s="13" t="s">
        <v>5292</v>
      </c>
      <c r="L124" s="13" t="s">
        <v>5357</v>
      </c>
      <c r="M124" s="13"/>
      <c r="N124" s="13" t="n">
        <v>7618900900080</v>
      </c>
      <c r="O124" s="13"/>
      <c r="P124" s="13" t="s">
        <v>5291</v>
      </c>
      <c r="Q124" s="13" t="s">
        <v>5289</v>
      </c>
      <c r="R124" s="13" t="s">
        <v>5292</v>
      </c>
      <c r="S124" s="13" t="s">
        <v>5293</v>
      </c>
      <c r="T124" s="13" t="s">
        <v>3</v>
      </c>
      <c r="U124" s="13" t="s">
        <v>183</v>
      </c>
      <c r="V124" s="13" t="n">
        <f aca="false">IF(COUNTIF($B$2:B124,B124)=1,1,0)</f>
        <v>0</v>
      </c>
      <c r="W124" s="13" t="n">
        <f aca="false">IF(COUNTIFS($B$2:B124,B124,$T$2:T124,T124)=1,1,0)</f>
        <v>0</v>
      </c>
    </row>
    <row r="125" customFormat="false" ht="15" hidden="false" customHeight="false" outlineLevel="0" collapsed="false">
      <c r="A125" s="13" t="s">
        <v>266</v>
      </c>
      <c r="B125" s="13" t="s">
        <v>79</v>
      </c>
      <c r="C125" s="13" t="n">
        <v>17100</v>
      </c>
      <c r="D125" s="13" t="n">
        <v>30</v>
      </c>
      <c r="E125" s="13" t="n">
        <v>588.90724137931</v>
      </c>
      <c r="F125" s="13" t="s">
        <v>5288</v>
      </c>
      <c r="G125" s="13" t="s">
        <v>5289</v>
      </c>
      <c r="H125" s="13" t="s">
        <v>5289</v>
      </c>
      <c r="I125" s="13" t="s">
        <v>5289</v>
      </c>
      <c r="J125" s="13" t="s">
        <v>5289</v>
      </c>
      <c r="K125" s="13" t="s">
        <v>5292</v>
      </c>
      <c r="L125" s="13" t="s">
        <v>2786</v>
      </c>
      <c r="M125" s="13"/>
      <c r="N125" s="13" t="n">
        <v>8.05666992578181E+025</v>
      </c>
      <c r="O125" s="13"/>
      <c r="P125" s="13" t="s">
        <v>5304</v>
      </c>
      <c r="Q125" s="13" t="s">
        <v>5289</v>
      </c>
      <c r="R125" s="13" t="s">
        <v>5292</v>
      </c>
      <c r="S125" s="13" t="s">
        <v>5293</v>
      </c>
      <c r="T125" s="13" t="s">
        <v>3</v>
      </c>
      <c r="U125" s="13" t="s">
        <v>43</v>
      </c>
      <c r="V125" s="13" t="n">
        <f aca="false">IF(COUNTIF($B$2:B125,B125)=1,1,0)</f>
        <v>0</v>
      </c>
      <c r="W125" s="13" t="n">
        <f aca="false">IF(COUNTIFS($B$2:B125,B125,$T$2:T125,T125)=1,1,0)</f>
        <v>0</v>
      </c>
    </row>
    <row r="126" customFormat="false" ht="15" hidden="false" customHeight="false" outlineLevel="0" collapsed="false">
      <c r="A126" s="13" t="s">
        <v>267</v>
      </c>
      <c r="B126" s="13" t="s">
        <v>131</v>
      </c>
      <c r="C126" s="13" t="n">
        <v>17000</v>
      </c>
      <c r="D126" s="13" t="n">
        <v>70</v>
      </c>
      <c r="E126" s="13" t="n">
        <v>246.04347826087</v>
      </c>
      <c r="F126" s="13" t="s">
        <v>5288</v>
      </c>
      <c r="G126" s="13" t="s">
        <v>5289</v>
      </c>
      <c r="H126" s="13" t="s">
        <v>5289</v>
      </c>
      <c r="I126" s="13" t="s">
        <v>5289</v>
      </c>
      <c r="J126" s="13" t="s">
        <v>5289</v>
      </c>
      <c r="K126" s="13" t="s">
        <v>5289</v>
      </c>
      <c r="L126" s="13" t="s">
        <v>2617</v>
      </c>
      <c r="M126" s="13"/>
      <c r="N126" s="13" t="n">
        <v>7908137904013</v>
      </c>
      <c r="O126" s="13"/>
      <c r="P126" s="13" t="s">
        <v>5291</v>
      </c>
      <c r="Q126" s="13" t="s">
        <v>5289</v>
      </c>
      <c r="R126" s="13" t="s">
        <v>5292</v>
      </c>
      <c r="S126" s="13" t="s">
        <v>5293</v>
      </c>
      <c r="T126" s="13" t="s">
        <v>3</v>
      </c>
      <c r="U126" s="13" t="s">
        <v>85</v>
      </c>
      <c r="V126" s="13" t="n">
        <f aca="false">IF(COUNTIF($B$2:B126,B126)=1,1,0)</f>
        <v>0</v>
      </c>
      <c r="W126" s="13" t="n">
        <f aca="false">IF(COUNTIFS($B$2:B126,B126,$T$2:T126,T126)=1,1,0)</f>
        <v>0</v>
      </c>
    </row>
    <row r="127" customFormat="false" ht="15" hidden="false" customHeight="false" outlineLevel="0" collapsed="false">
      <c r="A127" s="13" t="s">
        <v>268</v>
      </c>
      <c r="B127" s="13" t="s">
        <v>179</v>
      </c>
      <c r="C127" s="13" t="n">
        <v>17000</v>
      </c>
      <c r="D127" s="13" t="n">
        <v>170</v>
      </c>
      <c r="E127" s="13" t="n">
        <v>102.253012048193</v>
      </c>
      <c r="F127" s="13" t="s">
        <v>5325</v>
      </c>
      <c r="G127" s="13" t="s">
        <v>5289</v>
      </c>
      <c r="H127" s="13" t="s">
        <v>5289</v>
      </c>
      <c r="I127" s="13" t="s">
        <v>5289</v>
      </c>
      <c r="J127" s="13" t="s">
        <v>5289</v>
      </c>
      <c r="K127" s="13" t="s">
        <v>5292</v>
      </c>
      <c r="L127" s="13" t="s">
        <v>2616</v>
      </c>
      <c r="M127" s="13"/>
      <c r="N127" s="13" t="n">
        <v>7908005320624</v>
      </c>
      <c r="O127" s="13"/>
      <c r="P127" s="13" t="s">
        <v>5291</v>
      </c>
      <c r="Q127" s="13" t="s">
        <v>5289</v>
      </c>
      <c r="R127" s="13" t="s">
        <v>5292</v>
      </c>
      <c r="S127" s="13" t="s">
        <v>5293</v>
      </c>
      <c r="T127" s="13" t="s">
        <v>3</v>
      </c>
      <c r="U127" s="13" t="s">
        <v>180</v>
      </c>
      <c r="V127" s="13" t="n">
        <f aca="false">IF(COUNTIF($B$2:B127,B127)=1,1,0)</f>
        <v>0</v>
      </c>
      <c r="W127" s="13" t="n">
        <f aca="false">IF(COUNTIFS($B$2:B127,B127,$T$2:T127,T127)=1,1,0)</f>
        <v>0</v>
      </c>
    </row>
    <row r="128" customFormat="false" ht="15" hidden="false" customHeight="false" outlineLevel="0" collapsed="false">
      <c r="A128" s="13" t="s">
        <v>2620</v>
      </c>
      <c r="B128" s="13" t="s">
        <v>2095</v>
      </c>
      <c r="C128" s="13" t="n">
        <v>16800</v>
      </c>
      <c r="D128" s="13" t="n">
        <v>340</v>
      </c>
      <c r="E128" s="13" t="n">
        <v>49.9839465875371</v>
      </c>
      <c r="F128" s="13" t="s">
        <v>5288</v>
      </c>
      <c r="G128" s="13" t="s">
        <v>5289</v>
      </c>
      <c r="H128" s="13" t="s">
        <v>5289</v>
      </c>
      <c r="I128" s="13" t="s">
        <v>5292</v>
      </c>
      <c r="J128" s="13" t="s">
        <v>5289</v>
      </c>
      <c r="K128" s="13" t="s">
        <v>5292</v>
      </c>
      <c r="L128" s="13" t="s">
        <v>2619</v>
      </c>
      <c r="M128" s="13"/>
      <c r="N128" s="13" t="n">
        <v>7898665434123</v>
      </c>
      <c r="O128" s="13"/>
      <c r="P128" s="13" t="s">
        <v>5291</v>
      </c>
      <c r="Q128" s="13" t="s">
        <v>5289</v>
      </c>
      <c r="R128" s="13" t="s">
        <v>5292</v>
      </c>
      <c r="S128" s="13" t="s">
        <v>5293</v>
      </c>
      <c r="T128" s="13" t="s">
        <v>3</v>
      </c>
      <c r="U128" s="13" t="s">
        <v>85</v>
      </c>
      <c r="V128" s="13" t="n">
        <f aca="false">IF(COUNTIF($B$2:B128,B128)=1,1,0)</f>
        <v>0</v>
      </c>
      <c r="W128" s="13" t="n">
        <f aca="false">IF(COUNTIFS($B$2:B128,B128,$T$2:T128,T128)=1,1,0)</f>
        <v>0</v>
      </c>
    </row>
    <row r="129" customFormat="false" ht="15" hidden="false" customHeight="false" outlineLevel="0" collapsed="false">
      <c r="A129" s="13" t="s">
        <v>271</v>
      </c>
      <c r="B129" s="13" t="s">
        <v>270</v>
      </c>
      <c r="C129" s="13" t="n">
        <v>16700</v>
      </c>
      <c r="D129" s="13" t="n">
        <v>70</v>
      </c>
      <c r="E129" s="13" t="n">
        <v>245.511470588235</v>
      </c>
      <c r="F129" s="13" t="s">
        <v>5288</v>
      </c>
      <c r="G129" s="13" t="s">
        <v>5289</v>
      </c>
      <c r="H129" s="13" t="s">
        <v>5289</v>
      </c>
      <c r="I129" s="13" t="s">
        <v>5289</v>
      </c>
      <c r="J129" s="13" t="s">
        <v>5289</v>
      </c>
      <c r="K129" s="13" t="s">
        <v>5289</v>
      </c>
      <c r="L129" s="13" t="s">
        <v>2578</v>
      </c>
      <c r="M129" s="13"/>
      <c r="N129" s="13" t="n">
        <v>892456000037</v>
      </c>
      <c r="O129" s="13"/>
      <c r="P129" s="13" t="s">
        <v>5291</v>
      </c>
      <c r="Q129" s="13" t="s">
        <v>5289</v>
      </c>
      <c r="R129" s="13" t="s">
        <v>5292</v>
      </c>
      <c r="S129" s="13" t="s">
        <v>5293</v>
      </c>
      <c r="T129" s="13" t="s">
        <v>3</v>
      </c>
      <c r="U129" s="13" t="s">
        <v>43</v>
      </c>
      <c r="V129" s="13" t="n">
        <f aca="false">IF(COUNTIF($B$2:B129,B129)=1,1,0)</f>
        <v>1</v>
      </c>
      <c r="W129" s="13" t="n">
        <f aca="false">IF(COUNTIFS($B$2:B129,B129,$T$2:T129,T129)=1,1,0)</f>
        <v>1</v>
      </c>
    </row>
    <row r="130" customFormat="false" ht="15" hidden="false" customHeight="false" outlineLevel="0" collapsed="false">
      <c r="A130" s="13" t="s">
        <v>275</v>
      </c>
      <c r="B130" s="13" t="s">
        <v>186</v>
      </c>
      <c r="C130" s="13" t="n">
        <v>16400</v>
      </c>
      <c r="D130" s="13" t="n">
        <v>60</v>
      </c>
      <c r="E130" s="13" t="n">
        <v>292.230535714286</v>
      </c>
      <c r="F130" s="13" t="s">
        <v>5288</v>
      </c>
      <c r="G130" s="13" t="s">
        <v>5289</v>
      </c>
      <c r="H130" s="13" t="s">
        <v>5292</v>
      </c>
      <c r="I130" s="13" t="s">
        <v>5289</v>
      </c>
      <c r="J130" s="13" t="s">
        <v>5289</v>
      </c>
      <c r="K130" s="13" t="s">
        <v>5292</v>
      </c>
      <c r="L130" s="13" t="s">
        <v>5358</v>
      </c>
      <c r="M130" s="13"/>
      <c r="N130" s="13" t="n">
        <v>88300107438</v>
      </c>
      <c r="O130" s="13"/>
      <c r="P130" s="13" t="s">
        <v>5291</v>
      </c>
      <c r="Q130" s="13" t="s">
        <v>5289</v>
      </c>
      <c r="R130" s="13" t="s">
        <v>5292</v>
      </c>
      <c r="S130" s="13" t="s">
        <v>5293</v>
      </c>
      <c r="T130" s="13" t="s">
        <v>3</v>
      </c>
      <c r="U130" s="13" t="s">
        <v>43</v>
      </c>
      <c r="V130" s="13" t="n">
        <f aca="false">IF(COUNTIF($B$2:B130,B130)=1,1,0)</f>
        <v>0</v>
      </c>
      <c r="W130" s="13" t="n">
        <f aca="false">IF(COUNTIFS($B$2:B130,B130,$T$2:T130,T130)=1,1,0)</f>
        <v>0</v>
      </c>
    </row>
    <row r="131" customFormat="false" ht="15" hidden="false" customHeight="false" outlineLevel="0" collapsed="false">
      <c r="A131" s="13" t="s">
        <v>277</v>
      </c>
      <c r="B131" s="13" t="s">
        <v>117</v>
      </c>
      <c r="C131" s="13" t="n">
        <v>16300</v>
      </c>
      <c r="D131" s="13" t="n">
        <v>40</v>
      </c>
      <c r="E131" s="13" t="n">
        <v>387.261666666667</v>
      </c>
      <c r="F131" s="13" t="s">
        <v>5325</v>
      </c>
      <c r="G131" s="13" t="s">
        <v>5289</v>
      </c>
      <c r="H131" s="13" t="s">
        <v>5289</v>
      </c>
      <c r="I131" s="13" t="s">
        <v>5289</v>
      </c>
      <c r="J131" s="13" t="s">
        <v>5289</v>
      </c>
      <c r="K131" s="13" t="s">
        <v>5289</v>
      </c>
      <c r="L131" s="13" t="s">
        <v>2627</v>
      </c>
      <c r="M131" s="13"/>
      <c r="N131" s="13" t="n">
        <v>885911274845</v>
      </c>
      <c r="O131" s="13"/>
      <c r="P131" s="13" t="s">
        <v>5297</v>
      </c>
      <c r="Q131" s="13" t="s">
        <v>5289</v>
      </c>
      <c r="R131" s="13" t="s">
        <v>5292</v>
      </c>
      <c r="S131" s="13" t="s">
        <v>5293</v>
      </c>
      <c r="T131" s="13" t="s">
        <v>3</v>
      </c>
      <c r="U131" s="13" t="s">
        <v>98</v>
      </c>
      <c r="V131" s="13" t="n">
        <f aca="false">IF(COUNTIF($B$2:B131,B131)=1,1,0)</f>
        <v>0</v>
      </c>
      <c r="W131" s="13" t="n">
        <f aca="false">IF(COUNTIFS($B$2:B131,B131,$T$2:T131,T131)=1,1,0)</f>
        <v>0</v>
      </c>
    </row>
    <row r="132" customFormat="false" ht="15" hidden="false" customHeight="false" outlineLevel="0" collapsed="false">
      <c r="A132" s="13" t="s">
        <v>278</v>
      </c>
      <c r="B132" s="13" t="s">
        <v>117</v>
      </c>
      <c r="C132" s="13" t="n">
        <v>16300</v>
      </c>
      <c r="D132" s="13" t="n">
        <v>30</v>
      </c>
      <c r="E132" s="13" t="n">
        <v>602</v>
      </c>
      <c r="F132" s="13" t="s">
        <v>5288</v>
      </c>
      <c r="G132" s="13" t="s">
        <v>5289</v>
      </c>
      <c r="H132" s="13" t="s">
        <v>5289</v>
      </c>
      <c r="I132" s="13" t="s">
        <v>5289</v>
      </c>
      <c r="J132" s="13" t="s">
        <v>5289</v>
      </c>
      <c r="K132" s="13" t="s">
        <v>5289</v>
      </c>
      <c r="L132" s="13" t="s">
        <v>2626</v>
      </c>
      <c r="M132" s="13"/>
      <c r="N132" s="13" t="n">
        <v>885911571470</v>
      </c>
      <c r="O132" s="13"/>
      <c r="P132" s="13" t="s">
        <v>5291</v>
      </c>
      <c r="Q132" s="13" t="s">
        <v>5289</v>
      </c>
      <c r="R132" s="13" t="s">
        <v>5292</v>
      </c>
      <c r="S132" s="13" t="s">
        <v>5293</v>
      </c>
      <c r="T132" s="13" t="s">
        <v>3</v>
      </c>
      <c r="U132" s="13" t="s">
        <v>98</v>
      </c>
      <c r="V132" s="13" t="n">
        <f aca="false">IF(COUNTIF($B$2:B132,B132)=1,1,0)</f>
        <v>0</v>
      </c>
      <c r="W132" s="13" t="n">
        <f aca="false">IF(COUNTIFS($B$2:B132,B132,$T$2:T132,T132)=1,1,0)</f>
        <v>0</v>
      </c>
    </row>
    <row r="133" customFormat="false" ht="15" hidden="false" customHeight="false" outlineLevel="0" collapsed="false">
      <c r="A133" s="13" t="s">
        <v>2629</v>
      </c>
      <c r="B133" s="13" t="s">
        <v>2101</v>
      </c>
      <c r="C133" s="13" t="n">
        <v>16200</v>
      </c>
      <c r="D133" s="13" t="n">
        <v>290</v>
      </c>
      <c r="E133" s="13" t="n">
        <v>56.295574912892</v>
      </c>
      <c r="F133" s="13" t="s">
        <v>5288</v>
      </c>
      <c r="G133" s="13" t="s">
        <v>5289</v>
      </c>
      <c r="H133" s="13" t="s">
        <v>5289</v>
      </c>
      <c r="I133" s="13" t="s">
        <v>5292</v>
      </c>
      <c r="J133" s="13" t="s">
        <v>5289</v>
      </c>
      <c r="K133" s="13" t="s">
        <v>5292</v>
      </c>
      <c r="L133" s="13" t="s">
        <v>2628</v>
      </c>
      <c r="M133" s="13"/>
      <c r="N133" s="13" t="n">
        <v>7908412514418</v>
      </c>
      <c r="O133" s="13"/>
      <c r="P133" s="13" t="s">
        <v>5297</v>
      </c>
      <c r="Q133" s="13" t="s">
        <v>5289</v>
      </c>
      <c r="R133" s="13" t="s">
        <v>5292</v>
      </c>
      <c r="S133" s="13" t="s">
        <v>5293</v>
      </c>
      <c r="T133" s="13" t="s">
        <v>3</v>
      </c>
      <c r="U133" s="13" t="s">
        <v>129</v>
      </c>
      <c r="V133" s="13" t="n">
        <f aca="false">IF(COUNTIF($B$2:B133,B133)=1,1,0)</f>
        <v>0</v>
      </c>
      <c r="W133" s="13" t="n">
        <f aca="false">IF(COUNTIFS($B$2:B133,B133,$T$2:T133,T133)=1,1,0)</f>
        <v>0</v>
      </c>
    </row>
    <row r="134" customFormat="false" ht="15" hidden="false" customHeight="false" outlineLevel="0" collapsed="false">
      <c r="A134" s="13" t="s">
        <v>2632</v>
      </c>
      <c r="B134" s="13" t="s">
        <v>2100</v>
      </c>
      <c r="C134" s="13" t="n">
        <v>15800</v>
      </c>
      <c r="D134" s="13" t="n">
        <v>230</v>
      </c>
      <c r="E134" s="13" t="n">
        <v>69.7057268722467</v>
      </c>
      <c r="F134" s="13" t="s">
        <v>5288</v>
      </c>
      <c r="G134" s="13" t="s">
        <v>5289</v>
      </c>
      <c r="H134" s="13" t="s">
        <v>5289</v>
      </c>
      <c r="I134" s="13" t="s">
        <v>5292</v>
      </c>
      <c r="J134" s="13" t="s">
        <v>5289</v>
      </c>
      <c r="K134" s="13" t="s">
        <v>5292</v>
      </c>
      <c r="L134" s="13" t="s">
        <v>5359</v>
      </c>
      <c r="M134" s="13"/>
      <c r="N134" s="13" t="n">
        <v>7898410319668</v>
      </c>
      <c r="O134" s="13"/>
      <c r="P134" s="13" t="s">
        <v>5291</v>
      </c>
      <c r="Q134" s="13" t="s">
        <v>5289</v>
      </c>
      <c r="R134" s="13" t="s">
        <v>5292</v>
      </c>
      <c r="S134" s="13" t="s">
        <v>5293</v>
      </c>
      <c r="T134" s="13" t="s">
        <v>3</v>
      </c>
      <c r="U134" s="13" t="s">
        <v>43</v>
      </c>
      <c r="V134" s="13" t="n">
        <f aca="false">IF(COUNTIF($B$2:B134,B134)=1,1,0)</f>
        <v>0</v>
      </c>
      <c r="W134" s="13" t="n">
        <f aca="false">IF(COUNTIFS($B$2:B134,B134,$T$2:T134,T134)=1,1,0)</f>
        <v>0</v>
      </c>
    </row>
    <row r="135" customFormat="false" ht="15" hidden="false" customHeight="false" outlineLevel="0" collapsed="false">
      <c r="A135" s="13" t="s">
        <v>2634</v>
      </c>
      <c r="B135" s="13" t="s">
        <v>2095</v>
      </c>
      <c r="C135" s="13" t="n">
        <v>15700</v>
      </c>
      <c r="D135" s="13" t="n">
        <v>150</v>
      </c>
      <c r="E135" s="13" t="n">
        <v>105.79527027027</v>
      </c>
      <c r="F135" s="13" t="s">
        <v>5288</v>
      </c>
      <c r="G135" s="13" t="s">
        <v>5289</v>
      </c>
      <c r="H135" s="13" t="s">
        <v>5289</v>
      </c>
      <c r="I135" s="13" t="s">
        <v>5289</v>
      </c>
      <c r="J135" s="13" t="s">
        <v>5289</v>
      </c>
      <c r="K135" s="13" t="s">
        <v>5292</v>
      </c>
      <c r="L135" s="13" t="s">
        <v>2633</v>
      </c>
      <c r="M135" s="13"/>
      <c r="N135" s="13" t="n">
        <v>7898665433423</v>
      </c>
      <c r="O135" s="13"/>
      <c r="P135" s="13" t="s">
        <v>5291</v>
      </c>
      <c r="Q135" s="13" t="s">
        <v>5289</v>
      </c>
      <c r="R135" s="13" t="s">
        <v>5292</v>
      </c>
      <c r="S135" s="13" t="s">
        <v>5293</v>
      </c>
      <c r="T135" s="13" t="s">
        <v>3</v>
      </c>
      <c r="U135" s="13" t="s">
        <v>85</v>
      </c>
      <c r="V135" s="13" t="n">
        <f aca="false">IF(COUNTIF($B$2:B135,B135)=1,1,0)</f>
        <v>0</v>
      </c>
      <c r="W135" s="13" t="n">
        <f aca="false">IF(COUNTIFS($B$2:B135,B135,$T$2:T135,T135)=1,1,0)</f>
        <v>0</v>
      </c>
    </row>
    <row r="136" customFormat="false" ht="15" hidden="false" customHeight="false" outlineLevel="0" collapsed="false">
      <c r="A136" s="13" t="s">
        <v>5360</v>
      </c>
      <c r="B136" s="13" t="s">
        <v>2094</v>
      </c>
      <c r="C136" s="13" t="n">
        <v>15600</v>
      </c>
      <c r="D136" s="13" t="n">
        <v>110</v>
      </c>
      <c r="E136" s="13" t="n">
        <v>145.655607476636</v>
      </c>
      <c r="F136" s="13" t="s">
        <v>5288</v>
      </c>
      <c r="G136" s="13" t="s">
        <v>5289</v>
      </c>
      <c r="H136" s="13" t="s">
        <v>5289</v>
      </c>
      <c r="I136" s="13" t="s">
        <v>5289</v>
      </c>
      <c r="J136" s="13" t="s">
        <v>5289</v>
      </c>
      <c r="K136" s="13" t="s">
        <v>5292</v>
      </c>
      <c r="L136" s="13" t="s">
        <v>5314</v>
      </c>
      <c r="M136" s="13"/>
      <c r="N136" s="13" t="n">
        <v>7898639690630</v>
      </c>
      <c r="O136" s="13"/>
      <c r="P136" s="13" t="s">
        <v>5291</v>
      </c>
      <c r="Q136" s="13" t="s">
        <v>5289</v>
      </c>
      <c r="R136" s="13" t="s">
        <v>5292</v>
      </c>
      <c r="S136" s="13" t="s">
        <v>5293</v>
      </c>
      <c r="T136" s="13" t="s">
        <v>3</v>
      </c>
      <c r="U136" s="13" t="s">
        <v>57</v>
      </c>
      <c r="V136" s="13" t="n">
        <f aca="false">IF(COUNTIF($B$2:B136,B136)=1,1,0)</f>
        <v>0</v>
      </c>
      <c r="W136" s="13" t="n">
        <f aca="false">IF(COUNTIFS($B$2:B136,B136,$T$2:T136,T136)=1,1,0)</f>
        <v>0</v>
      </c>
    </row>
    <row r="137" customFormat="false" ht="15" hidden="false" customHeight="false" outlineLevel="0" collapsed="false">
      <c r="A137" s="13" t="s">
        <v>285</v>
      </c>
      <c r="B137" s="13" t="s">
        <v>179</v>
      </c>
      <c r="C137" s="13" t="n">
        <v>15500</v>
      </c>
      <c r="D137" s="13" t="n">
        <v>120</v>
      </c>
      <c r="E137" s="13" t="n">
        <v>129</v>
      </c>
      <c r="F137" s="13" t="s">
        <v>5325</v>
      </c>
      <c r="G137" s="13" t="s">
        <v>5289</v>
      </c>
      <c r="H137" s="13" t="s">
        <v>5289</v>
      </c>
      <c r="I137" s="13" t="s">
        <v>5289</v>
      </c>
      <c r="J137" s="13" t="s">
        <v>5289</v>
      </c>
      <c r="K137" s="13" t="s">
        <v>5292</v>
      </c>
      <c r="L137" s="13" t="s">
        <v>2640</v>
      </c>
      <c r="M137" s="13"/>
      <c r="N137" s="13" t="n">
        <v>7898618487015</v>
      </c>
      <c r="O137" s="13"/>
      <c r="P137" s="13" t="s">
        <v>5291</v>
      </c>
      <c r="Q137" s="13" t="s">
        <v>5289</v>
      </c>
      <c r="R137" s="13" t="s">
        <v>5292</v>
      </c>
      <c r="S137" s="13" t="s">
        <v>5293</v>
      </c>
      <c r="T137" s="13" t="s">
        <v>3</v>
      </c>
      <c r="U137" s="13" t="s">
        <v>180</v>
      </c>
      <c r="V137" s="13" t="n">
        <f aca="false">IF(COUNTIF($B$2:B137,B137)=1,1,0)</f>
        <v>0</v>
      </c>
      <c r="W137" s="13" t="n">
        <f aca="false">IF(COUNTIFS($B$2:B137,B137,$T$2:T137,T137)=1,1,0)</f>
        <v>0</v>
      </c>
    </row>
    <row r="138" customFormat="false" ht="15" hidden="false" customHeight="false" outlineLevel="0" collapsed="false">
      <c r="A138" s="13" t="s">
        <v>2639</v>
      </c>
      <c r="B138" s="13" t="s">
        <v>2137</v>
      </c>
      <c r="C138" s="13" t="n">
        <v>15500</v>
      </c>
      <c r="D138" s="13" t="n">
        <v>80</v>
      </c>
      <c r="E138" s="13" t="n">
        <v>200.69</v>
      </c>
      <c r="F138" s="13" t="s">
        <v>5288</v>
      </c>
      <c r="G138" s="13" t="s">
        <v>5289</v>
      </c>
      <c r="H138" s="13" t="s">
        <v>5289</v>
      </c>
      <c r="I138" s="13" t="s">
        <v>5289</v>
      </c>
      <c r="J138" s="13" t="s">
        <v>5289</v>
      </c>
      <c r="K138" s="13" t="s">
        <v>5289</v>
      </c>
      <c r="L138" s="13" t="s">
        <v>2638</v>
      </c>
      <c r="M138" s="13"/>
      <c r="N138" s="13" t="n">
        <v>7899524418834</v>
      </c>
      <c r="O138" s="13"/>
      <c r="P138" s="13" t="s">
        <v>5291</v>
      </c>
      <c r="Q138" s="13" t="s">
        <v>5289</v>
      </c>
      <c r="R138" s="13" t="s">
        <v>5292</v>
      </c>
      <c r="S138" s="13" t="s">
        <v>5293</v>
      </c>
      <c r="T138" s="13" t="s">
        <v>3</v>
      </c>
      <c r="U138" s="13" t="s">
        <v>57</v>
      </c>
      <c r="V138" s="13" t="n">
        <f aca="false">IF(COUNTIF($B$2:B138,B138)=1,1,0)</f>
        <v>1</v>
      </c>
      <c r="W138" s="13" t="n">
        <f aca="false">IF(COUNTIFS($B$2:B138,B138,$T$2:T138,T138)=1,1,0)</f>
        <v>1</v>
      </c>
    </row>
    <row r="139" customFormat="false" ht="15" hidden="false" customHeight="false" outlineLevel="0" collapsed="false">
      <c r="A139" s="13" t="s">
        <v>293</v>
      </c>
      <c r="B139" s="13" t="s">
        <v>114</v>
      </c>
      <c r="C139" s="13" t="n">
        <v>14900</v>
      </c>
      <c r="D139" s="13" t="n">
        <v>130</v>
      </c>
      <c r="E139" s="13" t="n">
        <v>117.895238095238</v>
      </c>
      <c r="F139" s="13" t="s">
        <v>5325</v>
      </c>
      <c r="G139" s="13" t="s">
        <v>5289</v>
      </c>
      <c r="H139" s="13" t="s">
        <v>5289</v>
      </c>
      <c r="I139" s="13" t="s">
        <v>5289</v>
      </c>
      <c r="J139" s="13" t="s">
        <v>5289</v>
      </c>
      <c r="K139" s="13" t="s">
        <v>5292</v>
      </c>
      <c r="L139" s="13" t="s">
        <v>5361</v>
      </c>
      <c r="M139" s="13"/>
      <c r="N139" s="13" t="n">
        <v>4975759103448</v>
      </c>
      <c r="O139" s="13" t="s">
        <v>5362</v>
      </c>
      <c r="P139" s="13" t="s">
        <v>5291</v>
      </c>
      <c r="Q139" s="13" t="s">
        <v>5289</v>
      </c>
      <c r="R139" s="13" t="s">
        <v>5292</v>
      </c>
      <c r="S139" s="13" t="s">
        <v>5293</v>
      </c>
      <c r="T139" s="13" t="s">
        <v>3</v>
      </c>
      <c r="U139" s="13" t="s">
        <v>115</v>
      </c>
      <c r="V139" s="13" t="n">
        <f aca="false">IF(COUNTIF($B$2:B139,B139)=1,1,0)</f>
        <v>0</v>
      </c>
      <c r="W139" s="13" t="n">
        <f aca="false">IF(COUNTIFS($B$2:B139,B139,$T$2:T139,T139)=1,1,0)</f>
        <v>0</v>
      </c>
    </row>
    <row r="140" customFormat="false" ht="15" hidden="false" customHeight="false" outlineLevel="0" collapsed="false">
      <c r="A140" s="13" t="s">
        <v>2650</v>
      </c>
      <c r="B140" s="13" t="s">
        <v>2096</v>
      </c>
      <c r="C140" s="13" t="n">
        <v>14800</v>
      </c>
      <c r="D140" s="13" t="n">
        <v>90</v>
      </c>
      <c r="E140" s="13" t="n">
        <v>162.99</v>
      </c>
      <c r="F140" s="13" t="s">
        <v>5288</v>
      </c>
      <c r="G140" s="13" t="s">
        <v>5289</v>
      </c>
      <c r="H140" s="13" t="s">
        <v>5289</v>
      </c>
      <c r="I140" s="13" t="s">
        <v>5289</v>
      </c>
      <c r="J140" s="13" t="s">
        <v>5289</v>
      </c>
      <c r="K140" s="13" t="s">
        <v>5292</v>
      </c>
      <c r="L140" s="13" t="s">
        <v>5363</v>
      </c>
      <c r="M140" s="13"/>
      <c r="N140" s="13" t="n">
        <v>7891033495405</v>
      </c>
      <c r="O140" s="13"/>
      <c r="P140" s="13" t="s">
        <v>5291</v>
      </c>
      <c r="Q140" s="13" t="s">
        <v>5289</v>
      </c>
      <c r="R140" s="13" t="s">
        <v>5292</v>
      </c>
      <c r="S140" s="13" t="s">
        <v>5293</v>
      </c>
      <c r="T140" s="13" t="s">
        <v>3</v>
      </c>
      <c r="U140" s="13" t="s">
        <v>43</v>
      </c>
      <c r="V140" s="13" t="n">
        <f aca="false">IF(COUNTIF($B$2:B140,B140)=1,1,0)</f>
        <v>0</v>
      </c>
      <c r="W140" s="13" t="n">
        <f aca="false">IF(COUNTIFS($B$2:B140,B140,$T$2:T140,T140)=1,1,0)</f>
        <v>0</v>
      </c>
    </row>
    <row r="141" customFormat="false" ht="15" hidden="false" customHeight="false" outlineLevel="0" collapsed="false">
      <c r="A141" s="13" t="s">
        <v>5364</v>
      </c>
      <c r="B141" s="13" t="s">
        <v>2117</v>
      </c>
      <c r="C141" s="13" t="n">
        <v>14700</v>
      </c>
      <c r="D141" s="13" t="n">
        <v>490</v>
      </c>
      <c r="E141" s="13" t="n">
        <v>30.0668032786885</v>
      </c>
      <c r="F141" s="13" t="s">
        <v>5288</v>
      </c>
      <c r="G141" s="13" t="s">
        <v>5289</v>
      </c>
      <c r="H141" s="13" t="s">
        <v>5289</v>
      </c>
      <c r="I141" s="13" t="s">
        <v>5292</v>
      </c>
      <c r="J141" s="13" t="s">
        <v>5289</v>
      </c>
      <c r="K141" s="13" t="s">
        <v>5292</v>
      </c>
      <c r="L141" s="13" t="s">
        <v>5365</v>
      </c>
      <c r="M141" s="13"/>
      <c r="N141" s="13"/>
      <c r="O141" s="13"/>
      <c r="P141" s="13" t="s">
        <v>5291</v>
      </c>
      <c r="Q141" s="13" t="s">
        <v>5289</v>
      </c>
      <c r="R141" s="13" t="s">
        <v>5292</v>
      </c>
      <c r="S141" s="13" t="s">
        <v>5293</v>
      </c>
      <c r="T141" s="13" t="s">
        <v>3</v>
      </c>
      <c r="U141" s="13" t="s">
        <v>85</v>
      </c>
      <c r="V141" s="13" t="n">
        <f aca="false">IF(COUNTIF($B$2:B141,B141)=1,1,0)</f>
        <v>1</v>
      </c>
      <c r="W141" s="13" t="n">
        <f aca="false">IF(COUNTIFS($B$2:B141,B141,$T$2:T141,T141)=1,1,0)</f>
        <v>1</v>
      </c>
    </row>
    <row r="142" customFormat="false" ht="15" hidden="false" customHeight="false" outlineLevel="0" collapsed="false">
      <c r="A142" s="13" t="s">
        <v>2659</v>
      </c>
      <c r="B142" s="13" t="s">
        <v>2112</v>
      </c>
      <c r="C142" s="13" t="n">
        <v>14400</v>
      </c>
      <c r="D142" s="13" t="n">
        <v>240</v>
      </c>
      <c r="E142" s="13" t="n">
        <v>59.153606557377</v>
      </c>
      <c r="F142" s="13" t="s">
        <v>5288</v>
      </c>
      <c r="G142" s="13" t="s">
        <v>5289</v>
      </c>
      <c r="H142" s="13" t="s">
        <v>5289</v>
      </c>
      <c r="I142" s="13" t="s">
        <v>5292</v>
      </c>
      <c r="J142" s="13" t="s">
        <v>5289</v>
      </c>
      <c r="K142" s="13" t="s">
        <v>5292</v>
      </c>
      <c r="L142" s="13" t="s">
        <v>5366</v>
      </c>
      <c r="M142" s="13"/>
      <c r="N142" s="13" t="n">
        <v>5425017736363</v>
      </c>
      <c r="O142" s="13"/>
      <c r="P142" s="13" t="s">
        <v>5291</v>
      </c>
      <c r="Q142" s="13" t="s">
        <v>5289</v>
      </c>
      <c r="R142" s="13" t="s">
        <v>5292</v>
      </c>
      <c r="S142" s="13" t="s">
        <v>5293</v>
      </c>
      <c r="T142" s="13" t="s">
        <v>3</v>
      </c>
      <c r="U142" s="13" t="s">
        <v>43</v>
      </c>
      <c r="V142" s="13" t="n">
        <f aca="false">IF(COUNTIF($B$2:B142,B142)=1,1,0)</f>
        <v>0</v>
      </c>
      <c r="W142" s="13" t="n">
        <f aca="false">IF(COUNTIFS($B$2:B142,B142,$T$2:T142,T142)=1,1,0)</f>
        <v>0</v>
      </c>
    </row>
    <row r="143" customFormat="false" ht="15" hidden="false" customHeight="false" outlineLevel="0" collapsed="false">
      <c r="A143" s="13" t="s">
        <v>2654</v>
      </c>
      <c r="B143" s="13" t="s">
        <v>2099</v>
      </c>
      <c r="C143" s="13" t="n">
        <v>14400</v>
      </c>
      <c r="D143" s="13" t="n">
        <v>290</v>
      </c>
      <c r="E143" s="13" t="n">
        <v>49.36</v>
      </c>
      <c r="F143" s="13" t="s">
        <v>5288</v>
      </c>
      <c r="G143" s="13" t="s">
        <v>5289</v>
      </c>
      <c r="H143" s="13" t="s">
        <v>5289</v>
      </c>
      <c r="I143" s="13" t="s">
        <v>5292</v>
      </c>
      <c r="J143" s="13" t="s">
        <v>5289</v>
      </c>
      <c r="K143" s="13" t="s">
        <v>5292</v>
      </c>
      <c r="L143" s="13" t="s">
        <v>2653</v>
      </c>
      <c r="M143" s="13"/>
      <c r="N143" s="13" t="n">
        <v>7899952330463</v>
      </c>
      <c r="O143" s="13"/>
      <c r="P143" s="13" t="s">
        <v>5291</v>
      </c>
      <c r="Q143" s="13" t="s">
        <v>5289</v>
      </c>
      <c r="R143" s="13" t="s">
        <v>5292</v>
      </c>
      <c r="S143" s="13" t="s">
        <v>5293</v>
      </c>
      <c r="T143" s="13" t="s">
        <v>3</v>
      </c>
      <c r="U143" s="13" t="s">
        <v>43</v>
      </c>
      <c r="V143" s="13" t="n">
        <f aca="false">IF(COUNTIF($B$2:B143,B143)=1,1,0)</f>
        <v>0</v>
      </c>
      <c r="W143" s="13" t="n">
        <f aca="false">IF(COUNTIFS($B$2:B143,B143,$T$2:T143,T143)=1,1,0)</f>
        <v>0</v>
      </c>
    </row>
    <row r="144" customFormat="false" ht="15" hidden="false" customHeight="false" outlineLevel="0" collapsed="false">
      <c r="A144" s="13" t="s">
        <v>298</v>
      </c>
      <c r="B144" s="13" t="s">
        <v>69</v>
      </c>
      <c r="C144" s="13" t="n">
        <v>14200</v>
      </c>
      <c r="D144" s="13" t="n">
        <v>30</v>
      </c>
      <c r="E144" s="13" t="n">
        <v>456.891290322581</v>
      </c>
      <c r="F144" s="13" t="s">
        <v>5288</v>
      </c>
      <c r="G144" s="13" t="s">
        <v>5289</v>
      </c>
      <c r="H144" s="13" t="s">
        <v>5292</v>
      </c>
      <c r="I144" s="13" t="s">
        <v>5289</v>
      </c>
      <c r="J144" s="13" t="s">
        <v>5289</v>
      </c>
      <c r="K144" s="13" t="s">
        <v>5292</v>
      </c>
      <c r="L144" s="13" t="s">
        <v>2393</v>
      </c>
      <c r="M144" s="13"/>
      <c r="N144" s="13" t="n">
        <v>3614272648401</v>
      </c>
      <c r="O144" s="13"/>
      <c r="P144" s="13" t="s">
        <v>5291</v>
      </c>
      <c r="Q144" s="13" t="s">
        <v>5289</v>
      </c>
      <c r="R144" s="13" t="s">
        <v>5292</v>
      </c>
      <c r="S144" s="13" t="s">
        <v>5293</v>
      </c>
      <c r="T144" s="13" t="s">
        <v>3</v>
      </c>
      <c r="U144" s="13" t="s">
        <v>43</v>
      </c>
      <c r="V144" s="13" t="n">
        <f aca="false">IF(COUNTIF($B$2:B144,B144)=1,1,0)</f>
        <v>0</v>
      </c>
      <c r="W144" s="13" t="n">
        <f aca="false">IF(COUNTIFS($B$2:B144,B144,$T$2:T144,T144)=1,1,0)</f>
        <v>0</v>
      </c>
    </row>
    <row r="145" customFormat="false" ht="15" hidden="false" customHeight="false" outlineLevel="0" collapsed="false">
      <c r="A145" s="13" t="s">
        <v>299</v>
      </c>
      <c r="B145" s="13" t="s">
        <v>179</v>
      </c>
      <c r="C145" s="13" t="n">
        <v>14100</v>
      </c>
      <c r="D145" s="13" t="n">
        <v>100</v>
      </c>
      <c r="E145" s="13" t="n">
        <v>139.99</v>
      </c>
      <c r="F145" s="13" t="s">
        <v>5325</v>
      </c>
      <c r="G145" s="13" t="s">
        <v>5289</v>
      </c>
      <c r="H145" s="13" t="s">
        <v>5289</v>
      </c>
      <c r="I145" s="13" t="s">
        <v>5289</v>
      </c>
      <c r="J145" s="13" t="s">
        <v>5289</v>
      </c>
      <c r="K145" s="13" t="s">
        <v>5292</v>
      </c>
      <c r="L145" s="13" t="s">
        <v>2664</v>
      </c>
      <c r="M145" s="13"/>
      <c r="N145" s="13" t="n">
        <v>7908005329665</v>
      </c>
      <c r="O145" s="13"/>
      <c r="P145" s="13" t="s">
        <v>5291</v>
      </c>
      <c r="Q145" s="13" t="s">
        <v>5289</v>
      </c>
      <c r="R145" s="13" t="s">
        <v>5292</v>
      </c>
      <c r="S145" s="13" t="s">
        <v>5293</v>
      </c>
      <c r="T145" s="13" t="s">
        <v>3</v>
      </c>
      <c r="U145" s="13" t="s">
        <v>180</v>
      </c>
      <c r="V145" s="13" t="n">
        <f aca="false">IF(COUNTIF($B$2:B145,B145)=1,1,0)</f>
        <v>0</v>
      </c>
      <c r="W145" s="13" t="n">
        <f aca="false">IF(COUNTIFS($B$2:B145,B145,$T$2:T145,T145)=1,1,0)</f>
        <v>0</v>
      </c>
    </row>
    <row r="146" customFormat="false" ht="15" hidden="false" customHeight="false" outlineLevel="0" collapsed="false">
      <c r="A146" s="13" t="s">
        <v>303</v>
      </c>
      <c r="B146" s="13" t="s">
        <v>302</v>
      </c>
      <c r="C146" s="13" t="n">
        <v>13900</v>
      </c>
      <c r="D146" s="13" t="n">
        <v>20</v>
      </c>
      <c r="E146" s="13" t="n">
        <v>603.304347826087</v>
      </c>
      <c r="F146" s="13" t="s">
        <v>5288</v>
      </c>
      <c r="G146" s="13" t="s">
        <v>5289</v>
      </c>
      <c r="H146" s="13" t="s">
        <v>5289</v>
      </c>
      <c r="I146" s="13" t="s">
        <v>5289</v>
      </c>
      <c r="J146" s="13" t="s">
        <v>5289</v>
      </c>
      <c r="K146" s="13" t="s">
        <v>5292</v>
      </c>
      <c r="L146" s="13" t="s">
        <v>2667</v>
      </c>
      <c r="M146" s="13"/>
      <c r="N146" s="13" t="n">
        <v>3274872480810</v>
      </c>
      <c r="O146" s="13"/>
      <c r="P146" s="13" t="s">
        <v>5297</v>
      </c>
      <c r="Q146" s="13" t="s">
        <v>5289</v>
      </c>
      <c r="R146" s="13" t="s">
        <v>5292</v>
      </c>
      <c r="S146" s="13" t="s">
        <v>5293</v>
      </c>
      <c r="T146" s="13" t="s">
        <v>3</v>
      </c>
      <c r="U146" s="13" t="s">
        <v>43</v>
      </c>
      <c r="V146" s="13" t="n">
        <f aca="false">IF(COUNTIF($B$2:B146,B146)=1,1,0)</f>
        <v>1</v>
      </c>
      <c r="W146" s="13" t="n">
        <f aca="false">IF(COUNTIFS($B$2:B146,B146,$T$2:T146,T146)=1,1,0)</f>
        <v>1</v>
      </c>
    </row>
    <row r="147" customFormat="false" ht="15" hidden="false" customHeight="false" outlineLevel="0" collapsed="false">
      <c r="A147" s="13" t="s">
        <v>305</v>
      </c>
      <c r="B147" s="13" t="s">
        <v>302</v>
      </c>
      <c r="C147" s="13" t="n">
        <v>13700</v>
      </c>
      <c r="D147" s="13" t="n">
        <v>40</v>
      </c>
      <c r="E147" s="13" t="n">
        <v>392.828285714286</v>
      </c>
      <c r="F147" s="13" t="s">
        <v>5288</v>
      </c>
      <c r="G147" s="13" t="s">
        <v>5289</v>
      </c>
      <c r="H147" s="13" t="s">
        <v>5289</v>
      </c>
      <c r="I147" s="13" t="s">
        <v>5289</v>
      </c>
      <c r="J147" s="13" t="s">
        <v>5289</v>
      </c>
      <c r="K147" s="13" t="s">
        <v>5289</v>
      </c>
      <c r="L147" s="13" t="s">
        <v>2669</v>
      </c>
      <c r="M147" s="13"/>
      <c r="N147" s="13" t="n">
        <v>3274872372139</v>
      </c>
      <c r="O147" s="13"/>
      <c r="P147" s="13" t="s">
        <v>5297</v>
      </c>
      <c r="Q147" s="13" t="s">
        <v>5289</v>
      </c>
      <c r="R147" s="13" t="s">
        <v>5292</v>
      </c>
      <c r="S147" s="13" t="s">
        <v>5293</v>
      </c>
      <c r="T147" s="13" t="s">
        <v>3</v>
      </c>
      <c r="U147" s="13" t="s">
        <v>43</v>
      </c>
      <c r="V147" s="13" t="n">
        <f aca="false">IF(COUNTIF($B$2:B147,B147)=1,1,0)</f>
        <v>0</v>
      </c>
      <c r="W147" s="13" t="n">
        <f aca="false">IF(COUNTIFS($B$2:B147,B147,$T$2:T147,T147)=1,1,0)</f>
        <v>0</v>
      </c>
    </row>
    <row r="148" customFormat="false" ht="15" hidden="false" customHeight="false" outlineLevel="0" collapsed="false">
      <c r="A148" s="13" t="s">
        <v>304</v>
      </c>
      <c r="B148" s="13" t="s">
        <v>131</v>
      </c>
      <c r="C148" s="13" t="n">
        <v>13700</v>
      </c>
      <c r="D148" s="13" t="n">
        <v>60</v>
      </c>
      <c r="E148" s="13" t="n">
        <v>245.14125</v>
      </c>
      <c r="F148" s="13" t="s">
        <v>5288</v>
      </c>
      <c r="G148" s="13" t="s">
        <v>5289</v>
      </c>
      <c r="H148" s="13" t="s">
        <v>5289</v>
      </c>
      <c r="I148" s="13" t="s">
        <v>5289</v>
      </c>
      <c r="J148" s="13" t="s">
        <v>5289</v>
      </c>
      <c r="K148" s="13" t="s">
        <v>5289</v>
      </c>
      <c r="L148" s="13" t="s">
        <v>2668</v>
      </c>
      <c r="M148" s="13"/>
      <c r="N148" s="13" t="n">
        <v>7908137901883</v>
      </c>
      <c r="O148" s="13"/>
      <c r="P148" s="13" t="s">
        <v>5291</v>
      </c>
      <c r="Q148" s="13" t="s">
        <v>5289</v>
      </c>
      <c r="R148" s="13" t="s">
        <v>5292</v>
      </c>
      <c r="S148" s="13" t="s">
        <v>5293</v>
      </c>
      <c r="T148" s="13" t="s">
        <v>3</v>
      </c>
      <c r="U148" s="13" t="s">
        <v>66</v>
      </c>
      <c r="V148" s="13" t="n">
        <f aca="false">IF(COUNTIF($B$2:B148,B148)=1,1,0)</f>
        <v>0</v>
      </c>
      <c r="W148" s="13" t="n">
        <f aca="false">IF(COUNTIFS($B$2:B148,B148,$T$2:T148,T148)=1,1,0)</f>
        <v>0</v>
      </c>
    </row>
    <row r="149" customFormat="false" ht="15" hidden="false" customHeight="false" outlineLevel="0" collapsed="false">
      <c r="A149" s="13" t="s">
        <v>2368</v>
      </c>
      <c r="B149" s="13" t="s">
        <v>2102</v>
      </c>
      <c r="C149" s="13" t="n">
        <v>13700</v>
      </c>
      <c r="D149" s="13" t="n">
        <v>220</v>
      </c>
      <c r="E149" s="13" t="n">
        <v>63.2243518518519</v>
      </c>
      <c r="F149" s="13" t="s">
        <v>5288</v>
      </c>
      <c r="G149" s="13" t="s">
        <v>5289</v>
      </c>
      <c r="H149" s="13" t="s">
        <v>5292</v>
      </c>
      <c r="I149" s="13" t="s">
        <v>5292</v>
      </c>
      <c r="J149" s="13" t="s">
        <v>5289</v>
      </c>
      <c r="K149" s="13" t="s">
        <v>5292</v>
      </c>
      <c r="L149" s="13" t="s">
        <v>2367</v>
      </c>
      <c r="M149" s="13"/>
      <c r="N149" s="13" t="n">
        <v>7898953272826</v>
      </c>
      <c r="O149" s="13"/>
      <c r="P149" s="13" t="s">
        <v>5291</v>
      </c>
      <c r="Q149" s="13" t="s">
        <v>5289</v>
      </c>
      <c r="R149" s="13" t="s">
        <v>5292</v>
      </c>
      <c r="S149" s="13" t="s">
        <v>5293</v>
      </c>
      <c r="T149" s="13" t="s">
        <v>3</v>
      </c>
      <c r="U149" s="13" t="s">
        <v>183</v>
      </c>
      <c r="V149" s="13" t="n">
        <f aca="false">IF(COUNTIF($B$2:B149,B149)=1,1,0)</f>
        <v>0</v>
      </c>
      <c r="W149" s="13" t="n">
        <f aca="false">IF(COUNTIFS($B$2:B149,B149,$T$2:T149,T149)=1,1,0)</f>
        <v>0</v>
      </c>
    </row>
    <row r="150" customFormat="false" ht="15" hidden="false" customHeight="false" outlineLevel="0" collapsed="false">
      <c r="A150" s="13" t="s">
        <v>147</v>
      </c>
      <c r="B150" s="13" t="s">
        <v>65</v>
      </c>
      <c r="C150" s="13" t="n">
        <v>13400</v>
      </c>
      <c r="D150" s="13" t="n">
        <v>40</v>
      </c>
      <c r="E150" s="13" t="n">
        <v>326.25243902439</v>
      </c>
      <c r="F150" s="13" t="s">
        <v>5288</v>
      </c>
      <c r="G150" s="13" t="s">
        <v>5289</v>
      </c>
      <c r="H150" s="13" t="s">
        <v>5289</v>
      </c>
      <c r="I150" s="13" t="s">
        <v>5289</v>
      </c>
      <c r="J150" s="13" t="s">
        <v>5289</v>
      </c>
      <c r="K150" s="13" t="s">
        <v>5289</v>
      </c>
      <c r="L150" s="13" t="s">
        <v>2679</v>
      </c>
      <c r="M150" s="13"/>
      <c r="N150" s="13" t="n">
        <v>4710122017416</v>
      </c>
      <c r="O150" s="13"/>
      <c r="P150" s="13" t="s">
        <v>5291</v>
      </c>
      <c r="Q150" s="13" t="s">
        <v>5289</v>
      </c>
      <c r="R150" s="13" t="s">
        <v>5292</v>
      </c>
      <c r="S150" s="13" t="s">
        <v>5293</v>
      </c>
      <c r="T150" s="13" t="s">
        <v>3</v>
      </c>
      <c r="U150" s="13" t="s">
        <v>66</v>
      </c>
      <c r="V150" s="13" t="n">
        <f aca="false">IF(COUNTIF($B$2:B150,B150)=1,1,0)</f>
        <v>0</v>
      </c>
      <c r="W150" s="13" t="n">
        <f aca="false">IF(COUNTIFS($B$2:B150,B150,$T$2:T150,T150)=1,1,0)</f>
        <v>0</v>
      </c>
    </row>
    <row r="151" customFormat="false" ht="15" hidden="false" customHeight="false" outlineLevel="0" collapsed="false">
      <c r="A151" s="13" t="s">
        <v>2678</v>
      </c>
      <c r="B151" s="13" t="s">
        <v>2147</v>
      </c>
      <c r="C151" s="13" t="n">
        <v>13400</v>
      </c>
      <c r="D151" s="13" t="n">
        <v>60</v>
      </c>
      <c r="E151" s="13" t="n">
        <v>215.385967741936</v>
      </c>
      <c r="F151" s="13" t="s">
        <v>5288</v>
      </c>
      <c r="G151" s="13" t="s">
        <v>5289</v>
      </c>
      <c r="H151" s="13" t="s">
        <v>5289</v>
      </c>
      <c r="I151" s="13" t="s">
        <v>5289</v>
      </c>
      <c r="J151" s="13" t="s">
        <v>5289</v>
      </c>
      <c r="K151" s="13" t="s">
        <v>5292</v>
      </c>
      <c r="L151" s="13" t="s">
        <v>2677</v>
      </c>
      <c r="M151" s="13"/>
      <c r="N151" s="13" t="n">
        <v>7891839917392</v>
      </c>
      <c r="O151" s="13"/>
      <c r="P151" s="13" t="s">
        <v>5291</v>
      </c>
      <c r="Q151" s="13" t="s">
        <v>5289</v>
      </c>
      <c r="R151" s="13" t="s">
        <v>5292</v>
      </c>
      <c r="S151" s="13" t="s">
        <v>5293</v>
      </c>
      <c r="T151" s="13" t="s">
        <v>3</v>
      </c>
      <c r="U151" s="13" t="s">
        <v>98</v>
      </c>
      <c r="V151" s="13" t="n">
        <f aca="false">IF(COUNTIF($B$2:B151,B151)=1,1,0)</f>
        <v>1</v>
      </c>
      <c r="W151" s="13" t="n">
        <f aca="false">IF(COUNTIFS($B$2:B151,B151,$T$2:T151,T151)=1,1,0)</f>
        <v>1</v>
      </c>
    </row>
    <row r="152" customFormat="false" ht="15" hidden="false" customHeight="false" outlineLevel="0" collapsed="false">
      <c r="A152" s="13" t="s">
        <v>2686</v>
      </c>
      <c r="B152" s="13" t="s">
        <v>2095</v>
      </c>
      <c r="C152" s="13" t="n">
        <v>13300</v>
      </c>
      <c r="D152" s="13" t="n">
        <v>330</v>
      </c>
      <c r="E152" s="13" t="n">
        <v>40.4177203647416</v>
      </c>
      <c r="F152" s="13" t="s">
        <v>5288</v>
      </c>
      <c r="G152" s="13" t="s">
        <v>5289</v>
      </c>
      <c r="H152" s="13" t="s">
        <v>5289</v>
      </c>
      <c r="I152" s="13" t="s">
        <v>5292</v>
      </c>
      <c r="J152" s="13" t="s">
        <v>5289</v>
      </c>
      <c r="K152" s="13" t="s">
        <v>5289</v>
      </c>
      <c r="L152" s="13" t="s">
        <v>5367</v>
      </c>
      <c r="M152" s="13"/>
      <c r="N152" s="13" t="n">
        <v>7898949730781</v>
      </c>
      <c r="O152" s="13"/>
      <c r="P152" s="13" t="s">
        <v>5291</v>
      </c>
      <c r="Q152" s="13" t="s">
        <v>5289</v>
      </c>
      <c r="R152" s="13" t="s">
        <v>5292</v>
      </c>
      <c r="S152" s="13" t="s">
        <v>5293</v>
      </c>
      <c r="T152" s="13" t="s">
        <v>3</v>
      </c>
      <c r="U152" s="13" t="s">
        <v>85</v>
      </c>
      <c r="V152" s="13" t="n">
        <f aca="false">IF(COUNTIF($B$2:B152,B152)=1,1,0)</f>
        <v>0</v>
      </c>
      <c r="W152" s="13" t="n">
        <f aca="false">IF(COUNTIFS($B$2:B152,B152,$T$2:T152,T152)=1,1,0)</f>
        <v>0</v>
      </c>
    </row>
    <row r="153" customFormat="false" ht="15" hidden="false" customHeight="false" outlineLevel="0" collapsed="false">
      <c r="A153" s="13" t="s">
        <v>2689</v>
      </c>
      <c r="B153" s="13" t="s">
        <v>2101</v>
      </c>
      <c r="C153" s="13" t="n">
        <v>13200</v>
      </c>
      <c r="D153" s="13" t="n">
        <v>40</v>
      </c>
      <c r="E153" s="13" t="n">
        <v>366.816666666667</v>
      </c>
      <c r="F153" s="13" t="s">
        <v>5288</v>
      </c>
      <c r="G153" s="13" t="s">
        <v>5289</v>
      </c>
      <c r="H153" s="13" t="s">
        <v>5289</v>
      </c>
      <c r="I153" s="13" t="s">
        <v>5289</v>
      </c>
      <c r="J153" s="13" t="s">
        <v>5289</v>
      </c>
      <c r="K153" s="13" t="s">
        <v>5289</v>
      </c>
      <c r="L153" s="13" t="s">
        <v>2688</v>
      </c>
      <c r="M153" s="13"/>
      <c r="N153" s="13" t="n">
        <v>7897013516801</v>
      </c>
      <c r="O153" s="13"/>
      <c r="P153" s="13" t="s">
        <v>5291</v>
      </c>
      <c r="Q153" s="13" t="s">
        <v>5289</v>
      </c>
      <c r="R153" s="13" t="s">
        <v>5292</v>
      </c>
      <c r="S153" s="13" t="s">
        <v>5293</v>
      </c>
      <c r="T153" s="13" t="s">
        <v>3</v>
      </c>
      <c r="U153" s="13" t="s">
        <v>144</v>
      </c>
      <c r="V153" s="13" t="n">
        <f aca="false">IF(COUNTIF($B$2:B153,B153)=1,1,0)</f>
        <v>0</v>
      </c>
      <c r="W153" s="13" t="n">
        <f aca="false">IF(COUNTIFS($B$2:B153,B153,$T$2:T153,T153)=1,1,0)</f>
        <v>0</v>
      </c>
    </row>
    <row r="154" customFormat="false" ht="15" hidden="false" customHeight="false" outlineLevel="0" collapsed="false">
      <c r="A154" s="13" t="s">
        <v>2681</v>
      </c>
      <c r="B154" s="13" t="s">
        <v>2148</v>
      </c>
      <c r="C154" s="13" t="n">
        <v>13100</v>
      </c>
      <c r="D154" s="13" t="n">
        <v>50</v>
      </c>
      <c r="E154" s="13" t="n">
        <v>273.180208333333</v>
      </c>
      <c r="F154" s="13" t="s">
        <v>5288</v>
      </c>
      <c r="G154" s="13" t="s">
        <v>5289</v>
      </c>
      <c r="H154" s="13" t="s">
        <v>5289</v>
      </c>
      <c r="I154" s="13" t="s">
        <v>5289</v>
      </c>
      <c r="J154" s="13" t="s">
        <v>5289</v>
      </c>
      <c r="K154" s="13" t="s">
        <v>5289</v>
      </c>
      <c r="L154" s="13" t="s">
        <v>2680</v>
      </c>
      <c r="M154" s="13"/>
      <c r="N154" s="13" t="n">
        <v>7891033517831</v>
      </c>
      <c r="O154" s="13"/>
      <c r="P154" s="13" t="s">
        <v>5291</v>
      </c>
      <c r="Q154" s="13" t="s">
        <v>5289</v>
      </c>
      <c r="R154" s="13" t="s">
        <v>5292</v>
      </c>
      <c r="S154" s="13" t="s">
        <v>5293</v>
      </c>
      <c r="T154" s="13" t="s">
        <v>3</v>
      </c>
      <c r="U154" s="13" t="s">
        <v>43</v>
      </c>
      <c r="V154" s="13" t="n">
        <f aca="false">IF(COUNTIF($B$2:B154,B154)=1,1,0)</f>
        <v>1</v>
      </c>
      <c r="W154" s="13" t="n">
        <f aca="false">IF(COUNTIFS($B$2:B154,B154,$T$2:T154,T154)=1,1,0)</f>
        <v>1</v>
      </c>
    </row>
    <row r="155" customFormat="false" ht="15" hidden="false" customHeight="false" outlineLevel="0" collapsed="false">
      <c r="A155" s="13" t="s">
        <v>308</v>
      </c>
      <c r="B155" s="13" t="s">
        <v>131</v>
      </c>
      <c r="C155" s="13" t="n">
        <v>13000</v>
      </c>
      <c r="D155" s="13" t="n">
        <v>40</v>
      </c>
      <c r="E155" s="13" t="n">
        <v>352.014054054054</v>
      </c>
      <c r="F155" s="13" t="s">
        <v>5288</v>
      </c>
      <c r="G155" s="13" t="s">
        <v>5289</v>
      </c>
      <c r="H155" s="13" t="s">
        <v>5289</v>
      </c>
      <c r="I155" s="13" t="s">
        <v>5289</v>
      </c>
      <c r="J155" s="13" t="s">
        <v>5289</v>
      </c>
      <c r="K155" s="13" t="s">
        <v>5289</v>
      </c>
      <c r="L155" s="13" t="s">
        <v>2690</v>
      </c>
      <c r="M155" s="13"/>
      <c r="N155" s="13" t="n">
        <v>7908137904884</v>
      </c>
      <c r="O155" s="13"/>
      <c r="P155" s="13" t="s">
        <v>5297</v>
      </c>
      <c r="Q155" s="13" t="s">
        <v>5289</v>
      </c>
      <c r="R155" s="13" t="s">
        <v>5292</v>
      </c>
      <c r="S155" s="13" t="s">
        <v>5293</v>
      </c>
      <c r="T155" s="13" t="s">
        <v>3</v>
      </c>
      <c r="U155" s="13" t="s">
        <v>66</v>
      </c>
      <c r="V155" s="13" t="n">
        <f aca="false">IF(COUNTIF($B$2:B155,B155)=1,1,0)</f>
        <v>0</v>
      </c>
      <c r="W155" s="13" t="n">
        <f aca="false">IF(COUNTIFS($B$2:B155,B155,$T$2:T155,T155)=1,1,0)</f>
        <v>0</v>
      </c>
    </row>
    <row r="156" customFormat="false" ht="15" hidden="false" customHeight="false" outlineLevel="0" collapsed="false">
      <c r="A156" s="13" t="s">
        <v>5368</v>
      </c>
      <c r="B156" s="13" t="s">
        <v>2135</v>
      </c>
      <c r="C156" s="13" t="n">
        <v>13000</v>
      </c>
      <c r="D156" s="13" t="n">
        <v>180</v>
      </c>
      <c r="E156" s="13" t="n">
        <v>71.1533333333333</v>
      </c>
      <c r="F156" s="13" t="s">
        <v>5288</v>
      </c>
      <c r="G156" s="13" t="s">
        <v>5289</v>
      </c>
      <c r="H156" s="13" t="s">
        <v>5289</v>
      </c>
      <c r="I156" s="13" t="s">
        <v>5292</v>
      </c>
      <c r="J156" s="13" t="s">
        <v>5289</v>
      </c>
      <c r="K156" s="13" t="s">
        <v>5292</v>
      </c>
      <c r="L156" s="13" t="s">
        <v>5369</v>
      </c>
      <c r="M156" s="13"/>
      <c r="N156" s="13" t="n">
        <v>3.33143087501038E+025</v>
      </c>
      <c r="O156" s="13"/>
      <c r="P156" s="13" t="s">
        <v>5291</v>
      </c>
      <c r="Q156" s="13" t="s">
        <v>5289</v>
      </c>
      <c r="R156" s="13" t="s">
        <v>5292</v>
      </c>
      <c r="S156" s="13" t="s">
        <v>5293</v>
      </c>
      <c r="T156" s="13" t="s">
        <v>3</v>
      </c>
      <c r="U156" s="13" t="s">
        <v>43</v>
      </c>
      <c r="V156" s="13" t="n">
        <f aca="false">IF(COUNTIF($B$2:B156,B156)=1,1,0)</f>
        <v>1</v>
      </c>
      <c r="W156" s="13" t="n">
        <f aca="false">IF(COUNTIFS($B$2:B156,B156,$T$2:T156,T156)=1,1,0)</f>
        <v>1</v>
      </c>
    </row>
    <row r="157" customFormat="false" ht="15" hidden="false" customHeight="false" outlineLevel="0" collapsed="false">
      <c r="A157" s="13" t="s">
        <v>2599</v>
      </c>
      <c r="B157" s="13" t="s">
        <v>2108</v>
      </c>
      <c r="C157" s="13" t="n">
        <v>12900</v>
      </c>
      <c r="D157" s="13" t="n">
        <v>330</v>
      </c>
      <c r="E157" s="13" t="n">
        <v>39.1076595744681</v>
      </c>
      <c r="F157" s="13" t="s">
        <v>5288</v>
      </c>
      <c r="G157" s="13" t="s">
        <v>5289</v>
      </c>
      <c r="H157" s="13" t="s">
        <v>5289</v>
      </c>
      <c r="I157" s="13" t="s">
        <v>5292</v>
      </c>
      <c r="J157" s="13" t="s">
        <v>5289</v>
      </c>
      <c r="K157" s="13" t="s">
        <v>5292</v>
      </c>
      <c r="L157" s="13" t="s">
        <v>5370</v>
      </c>
      <c r="M157" s="13"/>
      <c r="N157" s="13" t="n">
        <v>7891117043577</v>
      </c>
      <c r="O157" s="13"/>
      <c r="P157" s="13" t="s">
        <v>5291</v>
      </c>
      <c r="Q157" s="13" t="s">
        <v>5289</v>
      </c>
      <c r="R157" s="13" t="s">
        <v>5292</v>
      </c>
      <c r="S157" s="13" t="s">
        <v>5293</v>
      </c>
      <c r="T157" s="13" t="s">
        <v>3</v>
      </c>
      <c r="U157" s="13" t="s">
        <v>82</v>
      </c>
      <c r="V157" s="13" t="n">
        <f aca="false">IF(COUNTIF($B$2:B157,B157)=1,1,0)</f>
        <v>0</v>
      </c>
      <c r="W157" s="13" t="n">
        <f aca="false">IF(COUNTIFS($B$2:B157,B157,$T$2:T157,T157)=1,1,0)</f>
        <v>0</v>
      </c>
    </row>
    <row r="158" customFormat="false" ht="15" hidden="false" customHeight="false" outlineLevel="0" collapsed="false">
      <c r="A158" s="13" t="s">
        <v>2696</v>
      </c>
      <c r="B158" s="13" t="s">
        <v>2129</v>
      </c>
      <c r="C158" s="13" t="n">
        <v>12800</v>
      </c>
      <c r="D158" s="13" t="n">
        <v>190</v>
      </c>
      <c r="E158" s="13" t="n">
        <v>68.3259574468085</v>
      </c>
      <c r="F158" s="13" t="s">
        <v>5288</v>
      </c>
      <c r="G158" s="13" t="s">
        <v>5289</v>
      </c>
      <c r="H158" s="13" t="s">
        <v>5289</v>
      </c>
      <c r="I158" s="13" t="s">
        <v>5292</v>
      </c>
      <c r="J158" s="13" t="s">
        <v>5289</v>
      </c>
      <c r="K158" s="13" t="s">
        <v>5289</v>
      </c>
      <c r="L158" s="13" t="s">
        <v>2695</v>
      </c>
      <c r="M158" s="13"/>
      <c r="N158" s="13" t="n">
        <v>7908654009376</v>
      </c>
      <c r="O158" s="13"/>
      <c r="P158" s="13" t="s">
        <v>5291</v>
      </c>
      <c r="Q158" s="13" t="s">
        <v>5289</v>
      </c>
      <c r="R158" s="13" t="s">
        <v>5292</v>
      </c>
      <c r="S158" s="13" t="s">
        <v>5293</v>
      </c>
      <c r="T158" s="13" t="s">
        <v>3</v>
      </c>
      <c r="U158" s="13" t="s">
        <v>43</v>
      </c>
      <c r="V158" s="13" t="n">
        <f aca="false">IF(COUNTIF($B$2:B158,B158)=1,1,0)</f>
        <v>1</v>
      </c>
      <c r="W158" s="13" t="n">
        <f aca="false">IF(COUNTIFS($B$2:B158,B158,$T$2:T158,T158)=1,1,0)</f>
        <v>1</v>
      </c>
    </row>
    <row r="159" customFormat="false" ht="15" hidden="false" customHeight="false" outlineLevel="0" collapsed="false">
      <c r="A159" s="13" t="s">
        <v>5371</v>
      </c>
      <c r="B159" s="13" t="s">
        <v>2099</v>
      </c>
      <c r="C159" s="13" t="n">
        <v>12800</v>
      </c>
      <c r="D159" s="13" t="n">
        <v>560</v>
      </c>
      <c r="E159" s="13" t="n">
        <v>22.9410771992819</v>
      </c>
      <c r="F159" s="13" t="s">
        <v>5288</v>
      </c>
      <c r="G159" s="13" t="s">
        <v>5289</v>
      </c>
      <c r="H159" s="13" t="s">
        <v>5292</v>
      </c>
      <c r="I159" s="13" t="s">
        <v>5292</v>
      </c>
      <c r="J159" s="13" t="s">
        <v>5289</v>
      </c>
      <c r="K159" s="13" t="s">
        <v>5292</v>
      </c>
      <c r="L159" s="13" t="s">
        <v>2355</v>
      </c>
      <c r="M159" s="13"/>
      <c r="N159" s="13" t="n">
        <v>7899952324523</v>
      </c>
      <c r="O159" s="13"/>
      <c r="P159" s="13" t="s">
        <v>5291</v>
      </c>
      <c r="Q159" s="13" t="s">
        <v>5289</v>
      </c>
      <c r="R159" s="13" t="s">
        <v>5292</v>
      </c>
      <c r="S159" s="13" t="s">
        <v>5293</v>
      </c>
      <c r="T159" s="13" t="s">
        <v>3</v>
      </c>
      <c r="U159" s="13" t="s">
        <v>43</v>
      </c>
      <c r="V159" s="13" t="n">
        <f aca="false">IF(COUNTIF($B$2:B159,B159)=1,1,0)</f>
        <v>0</v>
      </c>
      <c r="W159" s="13" t="n">
        <f aca="false">IF(COUNTIFS($B$2:B159,B159,$T$2:T159,T159)=1,1,0)</f>
        <v>0</v>
      </c>
    </row>
    <row r="160" customFormat="false" ht="15" hidden="false" customHeight="false" outlineLevel="0" collapsed="false">
      <c r="A160" s="13" t="s">
        <v>313</v>
      </c>
      <c r="B160" s="13" t="s">
        <v>312</v>
      </c>
      <c r="C160" s="13" t="n">
        <v>12600</v>
      </c>
      <c r="D160" s="13" t="n">
        <v>80</v>
      </c>
      <c r="E160" s="13" t="n">
        <v>157.845</v>
      </c>
      <c r="F160" s="13" t="s">
        <v>5288</v>
      </c>
      <c r="G160" s="13" t="s">
        <v>5289</v>
      </c>
      <c r="H160" s="13" t="s">
        <v>5292</v>
      </c>
      <c r="I160" s="13" t="s">
        <v>5289</v>
      </c>
      <c r="J160" s="13" t="s">
        <v>5289</v>
      </c>
      <c r="K160" s="13" t="s">
        <v>5289</v>
      </c>
      <c r="L160" s="13" t="s">
        <v>2535</v>
      </c>
      <c r="M160" s="13"/>
      <c r="N160" s="13" t="n">
        <v>3700608300010</v>
      </c>
      <c r="O160" s="13"/>
      <c r="P160" s="13" t="s">
        <v>5291</v>
      </c>
      <c r="Q160" s="13" t="s">
        <v>5289</v>
      </c>
      <c r="R160" s="13" t="s">
        <v>5292</v>
      </c>
      <c r="S160" s="13" t="s">
        <v>5293</v>
      </c>
      <c r="T160" s="13" t="s">
        <v>3</v>
      </c>
      <c r="U160" s="13" t="s">
        <v>43</v>
      </c>
      <c r="V160" s="13" t="n">
        <f aca="false">IF(COUNTIF($B$2:B160,B160)=1,1,0)</f>
        <v>1</v>
      </c>
      <c r="W160" s="13" t="n">
        <f aca="false">IF(COUNTIFS($B$2:B160,B160,$T$2:T160,T160)=1,1,0)</f>
        <v>1</v>
      </c>
    </row>
    <row r="161" customFormat="false" ht="15" hidden="false" customHeight="false" outlineLevel="0" collapsed="false">
      <c r="A161" s="13" t="s">
        <v>2683</v>
      </c>
      <c r="B161" s="13" t="s">
        <v>2149</v>
      </c>
      <c r="C161" s="13" t="n">
        <v>12600</v>
      </c>
      <c r="D161" s="13" t="n">
        <v>50</v>
      </c>
      <c r="E161" s="13" t="n">
        <v>233</v>
      </c>
      <c r="F161" s="13" t="s">
        <v>5288</v>
      </c>
      <c r="G161" s="13" t="s">
        <v>5289</v>
      </c>
      <c r="H161" s="13" t="s">
        <v>5289</v>
      </c>
      <c r="I161" s="13" t="s">
        <v>5289</v>
      </c>
      <c r="J161" s="13" t="s">
        <v>5289</v>
      </c>
      <c r="K161" s="13" t="s">
        <v>5292</v>
      </c>
      <c r="L161" s="13" t="s">
        <v>2682</v>
      </c>
      <c r="M161" s="13"/>
      <c r="N161" s="13" t="n">
        <v>6943475854355</v>
      </c>
      <c r="O161" s="13"/>
      <c r="P161" s="13" t="s">
        <v>5291</v>
      </c>
      <c r="Q161" s="13" t="s">
        <v>5289</v>
      </c>
      <c r="R161" s="13" t="s">
        <v>5292</v>
      </c>
      <c r="S161" s="13" t="s">
        <v>5293</v>
      </c>
      <c r="T161" s="13" t="s">
        <v>3</v>
      </c>
      <c r="U161" s="13" t="s">
        <v>98</v>
      </c>
      <c r="V161" s="13" t="n">
        <f aca="false">IF(COUNTIF($B$2:B161,B161)=1,1,0)</f>
        <v>1</v>
      </c>
      <c r="W161" s="13" t="n">
        <f aca="false">IF(COUNTIFS($B$2:B161,B161,$T$2:T161,T161)=1,1,0)</f>
        <v>1</v>
      </c>
    </row>
    <row r="162" customFormat="false" ht="15" hidden="false" customHeight="false" outlineLevel="0" collapsed="false">
      <c r="A162" s="13" t="s">
        <v>2709</v>
      </c>
      <c r="B162" s="13" t="s">
        <v>2107</v>
      </c>
      <c r="C162" s="13" t="n">
        <v>12400</v>
      </c>
      <c r="D162" s="13" t="n">
        <v>160</v>
      </c>
      <c r="E162" s="13" t="n">
        <v>77.2322360248447</v>
      </c>
      <c r="F162" s="13" t="s">
        <v>5288</v>
      </c>
      <c r="G162" s="13" t="s">
        <v>5289</v>
      </c>
      <c r="H162" s="13" t="s">
        <v>5289</v>
      </c>
      <c r="I162" s="13" t="s">
        <v>5292</v>
      </c>
      <c r="J162" s="13" t="s">
        <v>5289</v>
      </c>
      <c r="K162" s="13" t="s">
        <v>5292</v>
      </c>
      <c r="L162" s="13" t="s">
        <v>2708</v>
      </c>
      <c r="M162" s="13"/>
      <c r="N162" s="13" t="n">
        <v>8439627620025</v>
      </c>
      <c r="O162" s="13"/>
      <c r="P162" s="13" t="s">
        <v>5297</v>
      </c>
      <c r="Q162" s="13" t="s">
        <v>5289</v>
      </c>
      <c r="R162" s="13" t="s">
        <v>5292</v>
      </c>
      <c r="S162" s="13" t="s">
        <v>5293</v>
      </c>
      <c r="T162" s="13" t="s">
        <v>3</v>
      </c>
      <c r="U162" s="13" t="s">
        <v>43</v>
      </c>
      <c r="V162" s="13" t="n">
        <f aca="false">IF(COUNTIF($B$2:B162,B162)=1,1,0)</f>
        <v>0</v>
      </c>
      <c r="W162" s="13" t="n">
        <f aca="false">IF(COUNTIFS($B$2:B162,B162,$T$2:T162,T162)=1,1,0)</f>
        <v>0</v>
      </c>
    </row>
    <row r="163" customFormat="false" ht="15" hidden="false" customHeight="false" outlineLevel="0" collapsed="false">
      <c r="A163" s="13" t="s">
        <v>321</v>
      </c>
      <c r="B163" s="13" t="s">
        <v>117</v>
      </c>
      <c r="C163" s="13" t="n">
        <v>12400</v>
      </c>
      <c r="D163" s="13" t="n">
        <v>5</v>
      </c>
      <c r="E163" s="13" t="n">
        <v>1380.88888888889</v>
      </c>
      <c r="F163" s="13" t="s">
        <v>5288</v>
      </c>
      <c r="G163" s="13" t="s">
        <v>5289</v>
      </c>
      <c r="H163" s="13" t="s">
        <v>5289</v>
      </c>
      <c r="I163" s="13" t="s">
        <v>5289</v>
      </c>
      <c r="J163" s="13" t="s">
        <v>5289</v>
      </c>
      <c r="K163" s="13" t="s">
        <v>5289</v>
      </c>
      <c r="L163" s="13" t="s">
        <v>2706</v>
      </c>
      <c r="M163" s="13"/>
      <c r="N163" s="13" t="n">
        <v>885911706100</v>
      </c>
      <c r="O163" s="13"/>
      <c r="P163" s="13" t="s">
        <v>5291</v>
      </c>
      <c r="Q163" s="13" t="s">
        <v>5289</v>
      </c>
      <c r="R163" s="13" t="s">
        <v>5292</v>
      </c>
      <c r="S163" s="13" t="s">
        <v>5293</v>
      </c>
      <c r="T163" s="13" t="s">
        <v>3</v>
      </c>
      <c r="U163" s="13" t="s">
        <v>98</v>
      </c>
      <c r="V163" s="13" t="n">
        <f aca="false">IF(COUNTIF($B$2:B163,B163)=1,1,0)</f>
        <v>0</v>
      </c>
      <c r="W163" s="13" t="n">
        <f aca="false">IF(COUNTIFS($B$2:B163,B163,$T$2:T163,T163)=1,1,0)</f>
        <v>0</v>
      </c>
    </row>
    <row r="164" customFormat="false" ht="15" hidden="false" customHeight="false" outlineLevel="0" collapsed="false">
      <c r="A164" s="13" t="s">
        <v>320</v>
      </c>
      <c r="B164" s="13" t="s">
        <v>65</v>
      </c>
      <c r="C164" s="13" t="n">
        <v>12400</v>
      </c>
      <c r="D164" s="13" t="n">
        <v>40</v>
      </c>
      <c r="E164" s="13" t="n">
        <v>317.871025641026</v>
      </c>
      <c r="F164" s="13" t="s">
        <v>5288</v>
      </c>
      <c r="G164" s="13" t="s">
        <v>5289</v>
      </c>
      <c r="H164" s="13" t="s">
        <v>5289</v>
      </c>
      <c r="I164" s="13" t="s">
        <v>5289</v>
      </c>
      <c r="J164" s="13" t="s">
        <v>5289</v>
      </c>
      <c r="K164" s="13" t="s">
        <v>5292</v>
      </c>
      <c r="L164" s="13" t="s">
        <v>2705</v>
      </c>
      <c r="M164" s="13"/>
      <c r="N164" s="13" t="n">
        <v>4710122017386</v>
      </c>
      <c r="O164" s="13"/>
      <c r="P164" s="13" t="s">
        <v>5291</v>
      </c>
      <c r="Q164" s="13" t="s">
        <v>5289</v>
      </c>
      <c r="R164" s="13" t="s">
        <v>5292</v>
      </c>
      <c r="S164" s="13" t="s">
        <v>5293</v>
      </c>
      <c r="T164" s="13" t="s">
        <v>3</v>
      </c>
      <c r="U164" s="13" t="s">
        <v>66</v>
      </c>
      <c r="V164" s="13" t="n">
        <f aca="false">IF(COUNTIF($B$2:B164,B164)=1,1,0)</f>
        <v>0</v>
      </c>
      <c r="W164" s="13" t="n">
        <f aca="false">IF(COUNTIFS($B$2:B164,B164,$T$2:T164,T164)=1,1,0)</f>
        <v>0</v>
      </c>
    </row>
    <row r="165" customFormat="false" ht="15" hidden="false" customHeight="false" outlineLevel="0" collapsed="false">
      <c r="A165" s="13" t="s">
        <v>323</v>
      </c>
      <c r="B165" s="13" t="s">
        <v>87</v>
      </c>
      <c r="C165" s="13" t="n">
        <v>12200</v>
      </c>
      <c r="D165" s="13" t="n">
        <v>20</v>
      </c>
      <c r="E165" s="13" t="n">
        <v>760.74</v>
      </c>
      <c r="F165" s="13" t="s">
        <v>5288</v>
      </c>
      <c r="G165" s="13" t="s">
        <v>5289</v>
      </c>
      <c r="H165" s="13" t="s">
        <v>5289</v>
      </c>
      <c r="I165" s="13" t="s">
        <v>5289</v>
      </c>
      <c r="J165" s="13" t="s">
        <v>5289</v>
      </c>
      <c r="K165" s="13" t="s">
        <v>5292</v>
      </c>
      <c r="L165" s="13" t="s">
        <v>5372</v>
      </c>
      <c r="M165" s="13"/>
      <c r="N165" s="13"/>
      <c r="O165" s="13"/>
      <c r="P165" s="13" t="s">
        <v>5291</v>
      </c>
      <c r="Q165" s="13" t="s">
        <v>5289</v>
      </c>
      <c r="R165" s="13" t="s">
        <v>5292</v>
      </c>
      <c r="S165" s="13" t="s">
        <v>5293</v>
      </c>
      <c r="T165" s="13" t="s">
        <v>3</v>
      </c>
      <c r="U165" s="13" t="s">
        <v>66</v>
      </c>
      <c r="V165" s="13" t="n">
        <f aca="false">IF(COUNTIF($B$2:B165,B165)=1,1,0)</f>
        <v>0</v>
      </c>
      <c r="W165" s="13" t="n">
        <f aca="false">IF(COUNTIFS($B$2:B165,B165,$T$2:T165,T165)=1,1,0)</f>
        <v>0</v>
      </c>
    </row>
    <row r="166" customFormat="false" ht="15" hidden="false" customHeight="false" outlineLevel="0" collapsed="false">
      <c r="A166" s="13" t="s">
        <v>2712</v>
      </c>
      <c r="B166" s="13" t="s">
        <v>2096</v>
      </c>
      <c r="C166" s="13" t="n">
        <v>12100</v>
      </c>
      <c r="D166" s="13" t="n">
        <v>170</v>
      </c>
      <c r="E166" s="13" t="n">
        <v>69.99</v>
      </c>
      <c r="F166" s="13" t="s">
        <v>5288</v>
      </c>
      <c r="G166" s="13" t="s">
        <v>5289</v>
      </c>
      <c r="H166" s="13" t="s">
        <v>5289</v>
      </c>
      <c r="I166" s="13" t="s">
        <v>5292</v>
      </c>
      <c r="J166" s="13" t="s">
        <v>5289</v>
      </c>
      <c r="K166" s="13" t="s">
        <v>5292</v>
      </c>
      <c r="L166" s="13" t="s">
        <v>5373</v>
      </c>
      <c r="M166" s="13"/>
      <c r="N166" s="13" t="n">
        <v>7891033502684</v>
      </c>
      <c r="O166" s="13"/>
      <c r="P166" s="13" t="s">
        <v>5291</v>
      </c>
      <c r="Q166" s="13" t="s">
        <v>5289</v>
      </c>
      <c r="R166" s="13" t="s">
        <v>5292</v>
      </c>
      <c r="S166" s="13" t="s">
        <v>5293</v>
      </c>
      <c r="T166" s="13" t="s">
        <v>3</v>
      </c>
      <c r="U166" s="13" t="s">
        <v>43</v>
      </c>
      <c r="V166" s="13" t="n">
        <f aca="false">IF(COUNTIF($B$2:B166,B166)=1,1,0)</f>
        <v>0</v>
      </c>
      <c r="W166" s="13" t="n">
        <f aca="false">IF(COUNTIFS($B$2:B166,B166,$T$2:T166,T166)=1,1,0)</f>
        <v>0</v>
      </c>
    </row>
    <row r="167" customFormat="false" ht="15" hidden="false" customHeight="false" outlineLevel="0" collapsed="false">
      <c r="A167" s="13" t="s">
        <v>325</v>
      </c>
      <c r="B167" s="13" t="s">
        <v>87</v>
      </c>
      <c r="C167" s="13" t="n">
        <v>12000</v>
      </c>
      <c r="D167" s="13" t="n">
        <v>5</v>
      </c>
      <c r="E167" s="13" t="n">
        <v>2398.104</v>
      </c>
      <c r="F167" s="13" t="s">
        <v>5288</v>
      </c>
      <c r="G167" s="13" t="s">
        <v>5289</v>
      </c>
      <c r="H167" s="13" t="s">
        <v>5289</v>
      </c>
      <c r="I167" s="13" t="s">
        <v>5289</v>
      </c>
      <c r="J167" s="13" t="s">
        <v>5289</v>
      </c>
      <c r="K167" s="13" t="s">
        <v>5289</v>
      </c>
      <c r="L167" s="13" t="s">
        <v>5374</v>
      </c>
      <c r="M167" s="13"/>
      <c r="N167" s="13" t="n">
        <v>22255268547</v>
      </c>
      <c r="O167" s="13"/>
      <c r="P167" s="13" t="s">
        <v>5291</v>
      </c>
      <c r="Q167" s="13" t="s">
        <v>5289</v>
      </c>
      <c r="R167" s="13" t="s">
        <v>5292</v>
      </c>
      <c r="S167" s="13" t="s">
        <v>5293</v>
      </c>
      <c r="T167" s="13" t="s">
        <v>3</v>
      </c>
      <c r="U167" s="13" t="s">
        <v>66</v>
      </c>
      <c r="V167" s="13" t="n">
        <f aca="false">IF(COUNTIF($B$2:B167,B167)=1,1,0)</f>
        <v>0</v>
      </c>
      <c r="W167" s="13" t="n">
        <f aca="false">IF(COUNTIFS($B$2:B167,B167,$T$2:T167,T167)=1,1,0)</f>
        <v>0</v>
      </c>
    </row>
    <row r="168" customFormat="false" ht="15" hidden="false" customHeight="false" outlineLevel="0" collapsed="false">
      <c r="A168" s="13" t="s">
        <v>332</v>
      </c>
      <c r="B168" s="13" t="s">
        <v>182</v>
      </c>
      <c r="C168" s="13" t="n">
        <v>11700</v>
      </c>
      <c r="D168" s="13" t="n">
        <v>100</v>
      </c>
      <c r="E168" s="13" t="n">
        <v>123.17</v>
      </c>
      <c r="F168" s="13" t="s">
        <v>5288</v>
      </c>
      <c r="G168" s="13" t="s">
        <v>5289</v>
      </c>
      <c r="H168" s="13" t="s">
        <v>5289</v>
      </c>
      <c r="I168" s="13" t="s">
        <v>5289</v>
      </c>
      <c r="J168" s="13" t="s">
        <v>5289</v>
      </c>
      <c r="K168" s="13" t="s">
        <v>5292</v>
      </c>
      <c r="L168" s="13" t="s">
        <v>5375</v>
      </c>
      <c r="M168" s="13"/>
      <c r="N168" s="13" t="n">
        <v>7618900995086</v>
      </c>
      <c r="O168" s="13"/>
      <c r="P168" s="13" t="s">
        <v>5291</v>
      </c>
      <c r="Q168" s="13" t="s">
        <v>5289</v>
      </c>
      <c r="R168" s="13" t="s">
        <v>5292</v>
      </c>
      <c r="S168" s="13" t="s">
        <v>5293</v>
      </c>
      <c r="T168" s="13" t="s">
        <v>3</v>
      </c>
      <c r="U168" s="13" t="s">
        <v>183</v>
      </c>
      <c r="V168" s="13" t="n">
        <f aca="false">IF(COUNTIF($B$2:B168,B168)=1,1,0)</f>
        <v>0</v>
      </c>
      <c r="W168" s="13" t="n">
        <f aca="false">IF(COUNTIFS($B$2:B168,B168,$T$2:T168,T168)=1,1,0)</f>
        <v>0</v>
      </c>
    </row>
    <row r="169" customFormat="false" ht="15" hidden="false" customHeight="false" outlineLevel="0" collapsed="false">
      <c r="A169" s="13" t="s">
        <v>2726</v>
      </c>
      <c r="B169" s="13" t="s">
        <v>2096</v>
      </c>
      <c r="C169" s="13" t="n">
        <v>11600</v>
      </c>
      <c r="D169" s="13" t="n">
        <v>120</v>
      </c>
      <c r="E169" s="13" t="n">
        <v>99.8164655172413</v>
      </c>
      <c r="F169" s="13" t="s">
        <v>5288</v>
      </c>
      <c r="G169" s="13" t="s">
        <v>5289</v>
      </c>
      <c r="H169" s="13" t="s">
        <v>5289</v>
      </c>
      <c r="I169" s="13" t="s">
        <v>5289</v>
      </c>
      <c r="J169" s="13" t="s">
        <v>5289</v>
      </c>
      <c r="K169" s="13" t="s">
        <v>5292</v>
      </c>
      <c r="L169" s="13" t="s">
        <v>5376</v>
      </c>
      <c r="M169" s="13"/>
      <c r="N169" s="13" t="n">
        <v>7891033562190</v>
      </c>
      <c r="O169" s="13"/>
      <c r="P169" s="13" t="s">
        <v>5291</v>
      </c>
      <c r="Q169" s="13" t="s">
        <v>5289</v>
      </c>
      <c r="R169" s="13" t="s">
        <v>5292</v>
      </c>
      <c r="S169" s="13" t="s">
        <v>5293</v>
      </c>
      <c r="T169" s="13" t="s">
        <v>3</v>
      </c>
      <c r="U169" s="13" t="s">
        <v>43</v>
      </c>
      <c r="V169" s="13" t="n">
        <f aca="false">IF(COUNTIF($B$2:B169,B169)=1,1,0)</f>
        <v>0</v>
      </c>
      <c r="W169" s="13" t="n">
        <f aca="false">IF(COUNTIFS($B$2:B169,B169,$T$2:T169,T169)=1,1,0)</f>
        <v>0</v>
      </c>
    </row>
    <row r="170" customFormat="false" ht="15" hidden="false" customHeight="false" outlineLevel="0" collapsed="false">
      <c r="A170" s="13" t="s">
        <v>2729</v>
      </c>
      <c r="B170" s="13" t="s">
        <v>2151</v>
      </c>
      <c r="C170" s="13" t="n">
        <v>11600</v>
      </c>
      <c r="D170" s="13" t="n">
        <v>120</v>
      </c>
      <c r="E170" s="13" t="n">
        <v>98.9</v>
      </c>
      <c r="F170" s="13" t="s">
        <v>5325</v>
      </c>
      <c r="G170" s="13" t="s">
        <v>5289</v>
      </c>
      <c r="H170" s="13" t="s">
        <v>5289</v>
      </c>
      <c r="I170" s="13" t="s">
        <v>5289</v>
      </c>
      <c r="J170" s="13" t="s">
        <v>5289</v>
      </c>
      <c r="K170" s="13" t="s">
        <v>5289</v>
      </c>
      <c r="L170" s="13" t="s">
        <v>5377</v>
      </c>
      <c r="M170" s="13"/>
      <c r="N170" s="13" t="n">
        <v>7898965429645</v>
      </c>
      <c r="O170" s="13"/>
      <c r="P170" s="13" t="s">
        <v>5291</v>
      </c>
      <c r="Q170" s="13" t="s">
        <v>5289</v>
      </c>
      <c r="R170" s="13" t="s">
        <v>5292</v>
      </c>
      <c r="S170" s="13" t="s">
        <v>5293</v>
      </c>
      <c r="T170" s="13" t="s">
        <v>3</v>
      </c>
      <c r="U170" s="13" t="s">
        <v>183</v>
      </c>
      <c r="V170" s="13" t="n">
        <f aca="false">IF(COUNTIF($B$2:B170,B170)=1,1,0)</f>
        <v>1</v>
      </c>
      <c r="W170" s="13" t="n">
        <f aca="false">IF(COUNTIFS($B$2:B170,B170,$T$2:T170,T170)=1,1,0)</f>
        <v>1</v>
      </c>
    </row>
    <row r="171" customFormat="false" ht="15" hidden="false" customHeight="false" outlineLevel="0" collapsed="false">
      <c r="A171" s="13" t="s">
        <v>336</v>
      </c>
      <c r="B171" s="13" t="s">
        <v>335</v>
      </c>
      <c r="C171" s="13" t="n">
        <v>11500</v>
      </c>
      <c r="D171" s="13" t="n">
        <v>50</v>
      </c>
      <c r="E171" s="13" t="n">
        <v>230.96</v>
      </c>
      <c r="F171" s="13" t="s">
        <v>5288</v>
      </c>
      <c r="G171" s="13" t="s">
        <v>5289</v>
      </c>
      <c r="H171" s="13" t="s">
        <v>5289</v>
      </c>
      <c r="I171" s="13" t="s">
        <v>5289</v>
      </c>
      <c r="J171" s="13" t="s">
        <v>5289</v>
      </c>
      <c r="K171" s="13" t="s">
        <v>5289</v>
      </c>
      <c r="L171" s="13" t="s">
        <v>5378</v>
      </c>
      <c r="M171" s="13"/>
      <c r="N171" s="13" t="n">
        <v>85805390600</v>
      </c>
      <c r="O171" s="13"/>
      <c r="P171" s="13" t="s">
        <v>5291</v>
      </c>
      <c r="Q171" s="13" t="s">
        <v>5289</v>
      </c>
      <c r="R171" s="13" t="s">
        <v>5292</v>
      </c>
      <c r="S171" s="13" t="s">
        <v>5293</v>
      </c>
      <c r="T171" s="13" t="s">
        <v>3</v>
      </c>
      <c r="U171" s="13" t="s">
        <v>43</v>
      </c>
      <c r="V171" s="13" t="n">
        <f aca="false">IF(COUNTIF($B$2:B171,B171)=1,1,0)</f>
        <v>1</v>
      </c>
      <c r="W171" s="13" t="n">
        <f aca="false">IF(COUNTIFS($B$2:B171,B171,$T$2:T171,T171)=1,1,0)</f>
        <v>1</v>
      </c>
    </row>
    <row r="172" customFormat="false" ht="15" hidden="false" customHeight="false" outlineLevel="0" collapsed="false">
      <c r="A172" s="13" t="s">
        <v>5379</v>
      </c>
      <c r="B172" s="13" t="s">
        <v>2116</v>
      </c>
      <c r="C172" s="13" t="n">
        <v>11500</v>
      </c>
      <c r="D172" s="13" t="n">
        <v>30</v>
      </c>
      <c r="E172" s="13" t="n">
        <v>371.346129032258</v>
      </c>
      <c r="F172" s="13" t="s">
        <v>5288</v>
      </c>
      <c r="G172" s="13" t="s">
        <v>5289</v>
      </c>
      <c r="H172" s="13" t="s">
        <v>5289</v>
      </c>
      <c r="I172" s="13" t="s">
        <v>5289</v>
      </c>
      <c r="J172" s="13" t="s">
        <v>5289</v>
      </c>
      <c r="K172" s="13" t="s">
        <v>5292</v>
      </c>
      <c r="L172" s="13" t="s">
        <v>5380</v>
      </c>
      <c r="M172" s="13"/>
      <c r="N172" s="13" t="n">
        <v>6.93918468524379E+025</v>
      </c>
      <c r="O172" s="13"/>
      <c r="P172" s="13" t="s">
        <v>5297</v>
      </c>
      <c r="Q172" s="13" t="s">
        <v>5289</v>
      </c>
      <c r="R172" s="13" t="s">
        <v>5292</v>
      </c>
      <c r="S172" s="13" t="s">
        <v>5293</v>
      </c>
      <c r="T172" s="13" t="s">
        <v>3</v>
      </c>
      <c r="U172" s="13" t="s">
        <v>85</v>
      </c>
      <c r="V172" s="13" t="n">
        <f aca="false">IF(COUNTIF($B$2:B172,B172)=1,1,0)</f>
        <v>0</v>
      </c>
      <c r="W172" s="13" t="n">
        <f aca="false">IF(COUNTIFS($B$2:B172,B172,$T$2:T172,T172)=1,1,0)</f>
        <v>0</v>
      </c>
    </row>
    <row r="173" customFormat="false" ht="15" hidden="false" customHeight="false" outlineLevel="0" collapsed="false">
      <c r="A173" s="13" t="s">
        <v>2722</v>
      </c>
      <c r="B173" s="13" t="s">
        <v>2097</v>
      </c>
      <c r="C173" s="13" t="n">
        <v>11500</v>
      </c>
      <c r="D173" s="13" t="n">
        <v>280</v>
      </c>
      <c r="E173" s="13" t="n">
        <v>41.2901438848921</v>
      </c>
      <c r="F173" s="13" t="s">
        <v>5288</v>
      </c>
      <c r="G173" s="13" t="s">
        <v>5289</v>
      </c>
      <c r="H173" s="13" t="s">
        <v>5289</v>
      </c>
      <c r="I173" s="13" t="s">
        <v>5292</v>
      </c>
      <c r="J173" s="13" t="s">
        <v>5289</v>
      </c>
      <c r="K173" s="13" t="s">
        <v>5292</v>
      </c>
      <c r="L173" s="13" t="s">
        <v>2721</v>
      </c>
      <c r="M173" s="13"/>
      <c r="N173" s="13" t="n">
        <v>7908407008533</v>
      </c>
      <c r="O173" s="13"/>
      <c r="P173" s="13" t="s">
        <v>5291</v>
      </c>
      <c r="Q173" s="13" t="s">
        <v>5289</v>
      </c>
      <c r="R173" s="13" t="s">
        <v>5292</v>
      </c>
      <c r="S173" s="13" t="s">
        <v>5293</v>
      </c>
      <c r="T173" s="13" t="s">
        <v>3</v>
      </c>
      <c r="U173" s="13" t="s">
        <v>140</v>
      </c>
      <c r="V173" s="13" t="n">
        <f aca="false">IF(COUNTIF($B$2:B173,B173)=1,1,0)</f>
        <v>0</v>
      </c>
      <c r="W173" s="13" t="n">
        <f aca="false">IF(COUNTIFS($B$2:B173,B173,$T$2:T173,T173)=1,1,0)</f>
        <v>0</v>
      </c>
    </row>
    <row r="174" customFormat="false" ht="15" hidden="false" customHeight="false" outlineLevel="0" collapsed="false">
      <c r="A174" s="13" t="s">
        <v>2737</v>
      </c>
      <c r="B174" s="13" t="s">
        <v>2100</v>
      </c>
      <c r="C174" s="13" t="n">
        <v>11300</v>
      </c>
      <c r="D174" s="13" t="n">
        <v>230</v>
      </c>
      <c r="E174" s="13" t="n">
        <v>48.8202597402597</v>
      </c>
      <c r="F174" s="13" t="s">
        <v>5288</v>
      </c>
      <c r="G174" s="13" t="s">
        <v>5289</v>
      </c>
      <c r="H174" s="13" t="s">
        <v>5289</v>
      </c>
      <c r="I174" s="13" t="s">
        <v>5292</v>
      </c>
      <c r="J174" s="13" t="s">
        <v>5289</v>
      </c>
      <c r="K174" s="13" t="s">
        <v>5292</v>
      </c>
      <c r="L174" s="13" t="s">
        <v>2736</v>
      </c>
      <c r="M174" s="13"/>
      <c r="N174" s="13" t="n">
        <v>7898410315028</v>
      </c>
      <c r="O174" s="13"/>
      <c r="P174" s="13" t="s">
        <v>5291</v>
      </c>
      <c r="Q174" s="13" t="s">
        <v>5289</v>
      </c>
      <c r="R174" s="13" t="s">
        <v>5292</v>
      </c>
      <c r="S174" s="13" t="s">
        <v>5293</v>
      </c>
      <c r="T174" s="13" t="s">
        <v>3</v>
      </c>
      <c r="U174" s="13" t="s">
        <v>85</v>
      </c>
      <c r="V174" s="13" t="n">
        <f aca="false">IF(COUNTIF($B$2:B174,B174)=1,1,0)</f>
        <v>0</v>
      </c>
      <c r="W174" s="13" t="n">
        <f aca="false">IF(COUNTIFS($B$2:B174,B174,$T$2:T174,T174)=1,1,0)</f>
        <v>0</v>
      </c>
    </row>
    <row r="175" customFormat="false" ht="15" hidden="false" customHeight="false" outlineLevel="0" collapsed="false">
      <c r="A175" s="13" t="s">
        <v>340</v>
      </c>
      <c r="B175" s="13" t="s">
        <v>105</v>
      </c>
      <c r="C175" s="13" t="n">
        <v>11300</v>
      </c>
      <c r="D175" s="13" t="n">
        <v>20</v>
      </c>
      <c r="E175" s="13" t="n">
        <v>469</v>
      </c>
      <c r="F175" s="13" t="s">
        <v>5288</v>
      </c>
      <c r="G175" s="13" t="s">
        <v>5289</v>
      </c>
      <c r="H175" s="13" t="s">
        <v>5289</v>
      </c>
      <c r="I175" s="13" t="s">
        <v>5289</v>
      </c>
      <c r="J175" s="13" t="s">
        <v>5289</v>
      </c>
      <c r="K175" s="13" t="s">
        <v>5289</v>
      </c>
      <c r="L175" s="13" t="s">
        <v>2665</v>
      </c>
      <c r="M175" s="13"/>
      <c r="N175" s="13" t="n">
        <v>3616304247644</v>
      </c>
      <c r="O175" s="13"/>
      <c r="P175" s="13" t="s">
        <v>5297</v>
      </c>
      <c r="Q175" s="13" t="s">
        <v>5289</v>
      </c>
      <c r="R175" s="13" t="s">
        <v>5292</v>
      </c>
      <c r="S175" s="13" t="s">
        <v>5293</v>
      </c>
      <c r="T175" s="13" t="s">
        <v>3</v>
      </c>
      <c r="U175" s="13" t="s">
        <v>43</v>
      </c>
      <c r="V175" s="13" t="n">
        <f aca="false">IF(COUNTIF($B$2:B175,B175)=1,1,0)</f>
        <v>0</v>
      </c>
      <c r="W175" s="13" t="n">
        <f aca="false">IF(COUNTIFS($B$2:B175,B175,$T$2:T175,T175)=1,1,0)</f>
        <v>0</v>
      </c>
    </row>
    <row r="176" customFormat="false" ht="15" hidden="false" customHeight="false" outlineLevel="0" collapsed="false">
      <c r="A176" s="13" t="s">
        <v>2720</v>
      </c>
      <c r="B176" s="13" t="s">
        <v>2097</v>
      </c>
      <c r="C176" s="13" t="n">
        <v>11200</v>
      </c>
      <c r="D176" s="13" t="n">
        <v>210</v>
      </c>
      <c r="E176" s="13" t="n">
        <v>52.771320754717</v>
      </c>
      <c r="F176" s="13" t="s">
        <v>5288</v>
      </c>
      <c r="G176" s="13" t="s">
        <v>5289</v>
      </c>
      <c r="H176" s="13" t="s">
        <v>5289</v>
      </c>
      <c r="I176" s="13" t="s">
        <v>5292</v>
      </c>
      <c r="J176" s="13" t="s">
        <v>5289</v>
      </c>
      <c r="K176" s="13" t="s">
        <v>5292</v>
      </c>
      <c r="L176" s="13" t="s">
        <v>2719</v>
      </c>
      <c r="M176" s="13"/>
      <c r="N176" s="13" t="n">
        <v>7908407004412</v>
      </c>
      <c r="O176" s="13"/>
      <c r="P176" s="13" t="s">
        <v>5291</v>
      </c>
      <c r="Q176" s="13" t="s">
        <v>5289</v>
      </c>
      <c r="R176" s="13" t="s">
        <v>5292</v>
      </c>
      <c r="S176" s="13" t="s">
        <v>5293</v>
      </c>
      <c r="T176" s="13" t="s">
        <v>3</v>
      </c>
      <c r="U176" s="13" t="s">
        <v>140</v>
      </c>
      <c r="V176" s="13" t="n">
        <f aca="false">IF(COUNTIF($B$2:B176,B176)=1,1,0)</f>
        <v>0</v>
      </c>
      <c r="W176" s="13" t="n">
        <f aca="false">IF(COUNTIFS($B$2:B176,B176,$T$2:T176,T176)=1,1,0)</f>
        <v>0</v>
      </c>
    </row>
    <row r="177" customFormat="false" ht="15" hidden="false" customHeight="false" outlineLevel="0" collapsed="false">
      <c r="A177" s="13" t="s">
        <v>342</v>
      </c>
      <c r="B177" s="13" t="s">
        <v>341</v>
      </c>
      <c r="C177" s="13" t="n">
        <v>11200</v>
      </c>
      <c r="D177" s="13" t="n">
        <v>110</v>
      </c>
      <c r="E177" s="13" t="n">
        <v>103.576759259259</v>
      </c>
      <c r="F177" s="13" t="s">
        <v>5288</v>
      </c>
      <c r="G177" s="13" t="s">
        <v>5289</v>
      </c>
      <c r="H177" s="13" t="s">
        <v>5289</v>
      </c>
      <c r="I177" s="13" t="s">
        <v>5289</v>
      </c>
      <c r="J177" s="13" t="s">
        <v>5289</v>
      </c>
      <c r="K177" s="13" t="s">
        <v>5289</v>
      </c>
      <c r="L177" s="13" t="s">
        <v>5381</v>
      </c>
      <c r="M177" s="13"/>
      <c r="N177" s="13" t="n">
        <v>4011700740062</v>
      </c>
      <c r="O177" s="13"/>
      <c r="P177" s="13" t="s">
        <v>5291</v>
      </c>
      <c r="Q177" s="13" t="s">
        <v>5289</v>
      </c>
      <c r="R177" s="13" t="s">
        <v>5292</v>
      </c>
      <c r="S177" s="13" t="s">
        <v>5293</v>
      </c>
      <c r="T177" s="13" t="s">
        <v>3</v>
      </c>
      <c r="U177" s="13" t="s">
        <v>43</v>
      </c>
      <c r="V177" s="13" t="n">
        <f aca="false">IF(COUNTIF($B$2:B177,B177)=1,1,0)</f>
        <v>1</v>
      </c>
      <c r="W177" s="13" t="n">
        <f aca="false">IF(COUNTIFS($B$2:B177,B177,$T$2:T177,T177)=1,1,0)</f>
        <v>1</v>
      </c>
    </row>
    <row r="178" customFormat="false" ht="15" hidden="false" customHeight="false" outlineLevel="0" collapsed="false">
      <c r="A178" s="13" t="s">
        <v>349</v>
      </c>
      <c r="B178" s="13" t="s">
        <v>175</v>
      </c>
      <c r="C178" s="13" t="n">
        <v>11000</v>
      </c>
      <c r="D178" s="13" t="n">
        <v>50</v>
      </c>
      <c r="E178" s="13" t="n">
        <v>233.932765957447</v>
      </c>
      <c r="F178" s="13" t="s">
        <v>5288</v>
      </c>
      <c r="G178" s="13" t="s">
        <v>5289</v>
      </c>
      <c r="H178" s="13" t="s">
        <v>5289</v>
      </c>
      <c r="I178" s="13" t="s">
        <v>5289</v>
      </c>
      <c r="J178" s="13" t="s">
        <v>5289</v>
      </c>
      <c r="K178" s="13" t="s">
        <v>5292</v>
      </c>
      <c r="L178" s="13" t="s">
        <v>2739</v>
      </c>
      <c r="M178" s="13"/>
      <c r="N178" s="13" t="n">
        <v>6943475883935</v>
      </c>
      <c r="O178" s="13"/>
      <c r="P178" s="13" t="s">
        <v>5291</v>
      </c>
      <c r="Q178" s="13" t="s">
        <v>5289</v>
      </c>
      <c r="R178" s="13" t="s">
        <v>5292</v>
      </c>
      <c r="S178" s="13" t="s">
        <v>5293</v>
      </c>
      <c r="T178" s="13" t="s">
        <v>3</v>
      </c>
      <c r="U178" s="13" t="s">
        <v>98</v>
      </c>
      <c r="V178" s="13" t="n">
        <f aca="false">IF(COUNTIF($B$2:B178,B178)=1,1,0)</f>
        <v>0</v>
      </c>
      <c r="W178" s="13" t="n">
        <f aca="false">IF(COUNTIFS($B$2:B178,B178,$T$2:T178,T178)=1,1,0)</f>
        <v>0</v>
      </c>
    </row>
    <row r="179" customFormat="false" ht="15" hidden="false" customHeight="false" outlineLevel="0" collapsed="false">
      <c r="A179" s="13" t="s">
        <v>2746</v>
      </c>
      <c r="B179" s="13" t="s">
        <v>2095</v>
      </c>
      <c r="C179" s="13" t="n">
        <v>10700</v>
      </c>
      <c r="D179" s="13" t="n">
        <v>110</v>
      </c>
      <c r="E179" s="13" t="n">
        <v>98.4432110091743</v>
      </c>
      <c r="F179" s="13" t="s">
        <v>5288</v>
      </c>
      <c r="G179" s="13" t="s">
        <v>5289</v>
      </c>
      <c r="H179" s="13" t="s">
        <v>5289</v>
      </c>
      <c r="I179" s="13" t="s">
        <v>5289</v>
      </c>
      <c r="J179" s="13" t="s">
        <v>5289</v>
      </c>
      <c r="K179" s="13" t="s">
        <v>5289</v>
      </c>
      <c r="L179" s="13" t="s">
        <v>2745</v>
      </c>
      <c r="M179" s="13"/>
      <c r="N179" s="13" t="n">
        <v>7898665435953</v>
      </c>
      <c r="O179" s="13"/>
      <c r="P179" s="13" t="s">
        <v>5297</v>
      </c>
      <c r="Q179" s="13" t="s">
        <v>5289</v>
      </c>
      <c r="R179" s="13" t="s">
        <v>5292</v>
      </c>
      <c r="S179" s="13" t="s">
        <v>5293</v>
      </c>
      <c r="T179" s="13" t="s">
        <v>3</v>
      </c>
      <c r="U179" s="13" t="s">
        <v>140</v>
      </c>
      <c r="V179" s="13" t="n">
        <f aca="false">IF(COUNTIF($B$2:B179,B179)=1,1,0)</f>
        <v>0</v>
      </c>
      <c r="W179" s="13" t="n">
        <f aca="false">IF(COUNTIFS($B$2:B179,B179,$T$2:T179,T179)=1,1,0)</f>
        <v>0</v>
      </c>
    </row>
    <row r="180" customFormat="false" ht="15" hidden="false" customHeight="false" outlineLevel="0" collapsed="false">
      <c r="A180" s="13" t="s">
        <v>352</v>
      </c>
      <c r="B180" s="13" t="s">
        <v>117</v>
      </c>
      <c r="C180" s="13" t="n">
        <v>10600</v>
      </c>
      <c r="D180" s="13" t="n">
        <v>10</v>
      </c>
      <c r="E180" s="13" t="n">
        <v>815.686923076923</v>
      </c>
      <c r="F180" s="13" t="s">
        <v>5288</v>
      </c>
      <c r="G180" s="13" t="s">
        <v>5289</v>
      </c>
      <c r="H180" s="13" t="s">
        <v>5289</v>
      </c>
      <c r="I180" s="13" t="s">
        <v>5289</v>
      </c>
      <c r="J180" s="13" t="s">
        <v>5289</v>
      </c>
      <c r="K180" s="13" t="s">
        <v>5289</v>
      </c>
      <c r="L180" s="13" t="s">
        <v>2747</v>
      </c>
      <c r="M180" s="13"/>
      <c r="N180" s="13" t="n">
        <v>885911435116</v>
      </c>
      <c r="O180" s="13"/>
      <c r="P180" s="13" t="s">
        <v>5291</v>
      </c>
      <c r="Q180" s="13" t="s">
        <v>5289</v>
      </c>
      <c r="R180" s="13" t="s">
        <v>5292</v>
      </c>
      <c r="S180" s="13" t="s">
        <v>5293</v>
      </c>
      <c r="T180" s="13" t="s">
        <v>3</v>
      </c>
      <c r="U180" s="13" t="s">
        <v>98</v>
      </c>
      <c r="V180" s="13" t="n">
        <f aca="false">IF(COUNTIF($B$2:B180,B180)=1,1,0)</f>
        <v>0</v>
      </c>
      <c r="W180" s="13" t="n">
        <f aca="false">IF(COUNTIFS($B$2:B180,B180,$T$2:T180,T180)=1,1,0)</f>
        <v>0</v>
      </c>
    </row>
    <row r="181" customFormat="false" ht="15" hidden="false" customHeight="false" outlineLevel="0" collapsed="false">
      <c r="A181" s="13" t="s">
        <v>99</v>
      </c>
      <c r="B181" s="13" t="s">
        <v>97</v>
      </c>
      <c r="C181" s="13" t="n">
        <v>10500</v>
      </c>
      <c r="D181" s="13" t="n">
        <v>100</v>
      </c>
      <c r="E181" s="13" t="n">
        <v>100.132857142857</v>
      </c>
      <c r="F181" s="13" t="s">
        <v>5288</v>
      </c>
      <c r="G181" s="13" t="s">
        <v>5289</v>
      </c>
      <c r="H181" s="13" t="s">
        <v>5289</v>
      </c>
      <c r="I181" s="13" t="s">
        <v>5289</v>
      </c>
      <c r="J181" s="13" t="s">
        <v>5289</v>
      </c>
      <c r="K181" s="13" t="s">
        <v>5292</v>
      </c>
      <c r="L181" s="13" t="s">
        <v>2753</v>
      </c>
      <c r="M181" s="13"/>
      <c r="N181" s="13" t="n">
        <v>7898735581580</v>
      </c>
      <c r="O181" s="13"/>
      <c r="P181" s="13" t="s">
        <v>5297</v>
      </c>
      <c r="Q181" s="13" t="s">
        <v>5289</v>
      </c>
      <c r="R181" s="13" t="s">
        <v>5292</v>
      </c>
      <c r="S181" s="13" t="s">
        <v>5293</v>
      </c>
      <c r="T181" s="13" t="s">
        <v>3</v>
      </c>
      <c r="U181" s="13" t="s">
        <v>98</v>
      </c>
      <c r="V181" s="13" t="n">
        <f aca="false">IF(COUNTIF($B$2:B181,B181)=1,1,0)</f>
        <v>0</v>
      </c>
      <c r="W181" s="13" t="n">
        <f aca="false">IF(COUNTIFS($B$2:B181,B181,$T$2:T181,T181)=1,1,0)</f>
        <v>0</v>
      </c>
    </row>
    <row r="182" customFormat="false" ht="15" hidden="false" customHeight="false" outlineLevel="0" collapsed="false">
      <c r="A182" s="13" t="s">
        <v>355</v>
      </c>
      <c r="B182" s="13" t="s">
        <v>128</v>
      </c>
      <c r="C182" s="13" t="n">
        <v>10500</v>
      </c>
      <c r="D182" s="13" t="n">
        <v>140</v>
      </c>
      <c r="E182" s="13" t="n">
        <v>72.6361111111111</v>
      </c>
      <c r="F182" s="13" t="s">
        <v>5288</v>
      </c>
      <c r="G182" s="13" t="s">
        <v>5289</v>
      </c>
      <c r="H182" s="13" t="s">
        <v>5289</v>
      </c>
      <c r="I182" s="13" t="s">
        <v>5292</v>
      </c>
      <c r="J182" s="13" t="s">
        <v>5289</v>
      </c>
      <c r="K182" s="13" t="s">
        <v>5292</v>
      </c>
      <c r="L182" s="13" t="s">
        <v>5382</v>
      </c>
      <c r="M182" s="13"/>
      <c r="N182" s="13"/>
      <c r="O182" s="13"/>
      <c r="P182" s="13" t="s">
        <v>5297</v>
      </c>
      <c r="Q182" s="13" t="s">
        <v>5289</v>
      </c>
      <c r="R182" s="13" t="s">
        <v>5292</v>
      </c>
      <c r="S182" s="13" t="s">
        <v>5293</v>
      </c>
      <c r="T182" s="13" t="s">
        <v>3</v>
      </c>
      <c r="U182" s="13" t="s">
        <v>129</v>
      </c>
      <c r="V182" s="13" t="n">
        <f aca="false">IF(COUNTIF($B$2:B182,B182)=1,1,0)</f>
        <v>0</v>
      </c>
      <c r="W182" s="13" t="n">
        <f aca="false">IF(COUNTIFS($B$2:B182,B182,$T$2:T182,T182)=1,1,0)</f>
        <v>0</v>
      </c>
    </row>
    <row r="183" customFormat="false" ht="15" hidden="false" customHeight="false" outlineLevel="0" collapsed="false">
      <c r="A183" s="13" t="s">
        <v>359</v>
      </c>
      <c r="B183" s="13" t="s">
        <v>92</v>
      </c>
      <c r="C183" s="13" t="n">
        <v>10300</v>
      </c>
      <c r="D183" s="13" t="n">
        <v>30</v>
      </c>
      <c r="E183" s="13" t="n">
        <v>355.426551724138</v>
      </c>
      <c r="F183" s="13" t="s">
        <v>5288</v>
      </c>
      <c r="G183" s="13" t="s">
        <v>5289</v>
      </c>
      <c r="H183" s="13" t="s">
        <v>5289</v>
      </c>
      <c r="I183" s="13" t="s">
        <v>5289</v>
      </c>
      <c r="J183" s="13" t="s">
        <v>5289</v>
      </c>
      <c r="K183" s="13" t="s">
        <v>5292</v>
      </c>
      <c r="L183" s="13" t="s">
        <v>2528</v>
      </c>
      <c r="M183" s="13"/>
      <c r="N183" s="13" t="n">
        <v>688575201901</v>
      </c>
      <c r="O183" s="13"/>
      <c r="P183" s="13" t="s">
        <v>5291</v>
      </c>
      <c r="Q183" s="13" t="s">
        <v>5289</v>
      </c>
      <c r="R183" s="13" t="s">
        <v>5292</v>
      </c>
      <c r="S183" s="13" t="s">
        <v>5293</v>
      </c>
      <c r="T183" s="13" t="s">
        <v>3</v>
      </c>
      <c r="U183" s="13" t="s">
        <v>43</v>
      </c>
      <c r="V183" s="13" t="n">
        <f aca="false">IF(COUNTIF($B$2:B183,B183)=1,1,0)</f>
        <v>1</v>
      </c>
      <c r="W183" s="13" t="n">
        <f aca="false">IF(COUNTIFS($B$2:B183,B183,$T$2:T183,T183)=1,1,0)</f>
        <v>1</v>
      </c>
    </row>
    <row r="184" customFormat="false" ht="15" hidden="false" customHeight="false" outlineLevel="0" collapsed="false">
      <c r="A184" s="13" t="s">
        <v>364</v>
      </c>
      <c r="B184" s="13" t="s">
        <v>302</v>
      </c>
      <c r="C184" s="13" t="n">
        <v>10100</v>
      </c>
      <c r="D184" s="13" t="n">
        <v>20</v>
      </c>
      <c r="E184" s="13" t="n">
        <v>529.99</v>
      </c>
      <c r="F184" s="13" t="s">
        <v>5288</v>
      </c>
      <c r="G184" s="13" t="s">
        <v>5289</v>
      </c>
      <c r="H184" s="13" t="s">
        <v>5289</v>
      </c>
      <c r="I184" s="13" t="s">
        <v>5289</v>
      </c>
      <c r="J184" s="13" t="s">
        <v>5289</v>
      </c>
      <c r="K184" s="13" t="s">
        <v>5289</v>
      </c>
      <c r="L184" s="13" t="s">
        <v>5383</v>
      </c>
      <c r="M184" s="13"/>
      <c r="N184" s="13" t="n">
        <v>3274872396197</v>
      </c>
      <c r="O184" s="13"/>
      <c r="P184" s="13" t="s">
        <v>5291</v>
      </c>
      <c r="Q184" s="13" t="s">
        <v>5289</v>
      </c>
      <c r="R184" s="13" t="s">
        <v>5292</v>
      </c>
      <c r="S184" s="13" t="s">
        <v>5293</v>
      </c>
      <c r="T184" s="13" t="s">
        <v>3</v>
      </c>
      <c r="U184" s="13" t="s">
        <v>43</v>
      </c>
      <c r="V184" s="13" t="n">
        <f aca="false">IF(COUNTIF($B$2:B184,B184)=1,1,0)</f>
        <v>0</v>
      </c>
      <c r="W184" s="13" t="n">
        <f aca="false">IF(COUNTIFS($B$2:B184,B184,$T$2:T184,T184)=1,1,0)</f>
        <v>0</v>
      </c>
    </row>
    <row r="185" customFormat="false" ht="15" hidden="false" customHeight="false" outlineLevel="0" collapsed="false">
      <c r="A185" s="13" t="s">
        <v>156</v>
      </c>
      <c r="B185" s="13" t="s">
        <v>155</v>
      </c>
      <c r="C185" s="13" t="n">
        <v>10000</v>
      </c>
      <c r="D185" s="13" t="n">
        <v>100</v>
      </c>
      <c r="E185" s="13" t="n">
        <v>95.2947619047619</v>
      </c>
      <c r="F185" s="13" t="s">
        <v>5288</v>
      </c>
      <c r="G185" s="13" t="s">
        <v>5289</v>
      </c>
      <c r="H185" s="13" t="s">
        <v>5289</v>
      </c>
      <c r="I185" s="13" t="s">
        <v>5289</v>
      </c>
      <c r="J185" s="13" t="s">
        <v>5289</v>
      </c>
      <c r="K185" s="13" t="s">
        <v>5292</v>
      </c>
      <c r="L185" s="13" t="s">
        <v>5331</v>
      </c>
      <c r="M185" s="13"/>
      <c r="N185" s="13" t="n">
        <v>8005610325507</v>
      </c>
      <c r="O185" s="13"/>
      <c r="P185" s="13" t="s">
        <v>5291</v>
      </c>
      <c r="Q185" s="13" t="s">
        <v>5289</v>
      </c>
      <c r="R185" s="13" t="s">
        <v>5292</v>
      </c>
      <c r="S185" s="13" t="s">
        <v>5293</v>
      </c>
      <c r="T185" s="13" t="s">
        <v>3</v>
      </c>
      <c r="U185" s="13" t="s">
        <v>43</v>
      </c>
      <c r="V185" s="13" t="n">
        <f aca="false">IF(COUNTIF($B$2:B185,B185)=1,1,0)</f>
        <v>0</v>
      </c>
      <c r="W185" s="13" t="n">
        <f aca="false">IF(COUNTIFS($B$2:B185,B185,$T$2:T185,T185)=1,1,0)</f>
        <v>0</v>
      </c>
    </row>
    <row r="186" customFormat="false" ht="15" hidden="false" customHeight="false" outlineLevel="0" collapsed="false">
      <c r="A186" s="13" t="s">
        <v>2775</v>
      </c>
      <c r="B186" s="13" t="s">
        <v>2095</v>
      </c>
      <c r="C186" s="13" t="n">
        <v>10000</v>
      </c>
      <c r="D186" s="13" t="n">
        <v>150</v>
      </c>
      <c r="E186" s="13" t="n">
        <v>65.6955263157895</v>
      </c>
      <c r="F186" s="13" t="s">
        <v>5288</v>
      </c>
      <c r="G186" s="13" t="s">
        <v>5289</v>
      </c>
      <c r="H186" s="13" t="s">
        <v>5289</v>
      </c>
      <c r="I186" s="13" t="s">
        <v>5292</v>
      </c>
      <c r="J186" s="13" t="s">
        <v>5289</v>
      </c>
      <c r="K186" s="13" t="s">
        <v>5292</v>
      </c>
      <c r="L186" s="13" t="s">
        <v>2774</v>
      </c>
      <c r="M186" s="13"/>
      <c r="N186" s="13" t="n">
        <v>7898665434666</v>
      </c>
      <c r="O186" s="13"/>
      <c r="P186" s="13" t="s">
        <v>5291</v>
      </c>
      <c r="Q186" s="13" t="s">
        <v>5289</v>
      </c>
      <c r="R186" s="13" t="s">
        <v>5292</v>
      </c>
      <c r="S186" s="13" t="s">
        <v>5293</v>
      </c>
      <c r="T186" s="13" t="s">
        <v>3</v>
      </c>
      <c r="U186" s="13" t="s">
        <v>140</v>
      </c>
      <c r="V186" s="13" t="n">
        <f aca="false">IF(COUNTIF($B$2:B186,B186)=1,1,0)</f>
        <v>0</v>
      </c>
      <c r="W186" s="13" t="n">
        <f aca="false">IF(COUNTIFS($B$2:B186,B186,$T$2:T186,T186)=1,1,0)</f>
        <v>0</v>
      </c>
    </row>
    <row r="187" customFormat="false" ht="15" hidden="false" customHeight="false" outlineLevel="0" collapsed="false">
      <c r="A187" s="13" t="s">
        <v>2772</v>
      </c>
      <c r="B187" s="13" t="s">
        <v>2158</v>
      </c>
      <c r="C187" s="13" t="n">
        <v>10000</v>
      </c>
      <c r="D187" s="13" t="n">
        <v>150</v>
      </c>
      <c r="E187" s="13" t="n">
        <v>64.8146753246753</v>
      </c>
      <c r="F187" s="13" t="s">
        <v>5288</v>
      </c>
      <c r="G187" s="13" t="s">
        <v>5289</v>
      </c>
      <c r="H187" s="13" t="s">
        <v>5289</v>
      </c>
      <c r="I187" s="13" t="s">
        <v>5292</v>
      </c>
      <c r="J187" s="13" t="s">
        <v>5289</v>
      </c>
      <c r="K187" s="13" t="s">
        <v>5292</v>
      </c>
      <c r="L187" s="13" t="s">
        <v>5384</v>
      </c>
      <c r="M187" s="13"/>
      <c r="N187" s="13" t="n">
        <v>7891033541911</v>
      </c>
      <c r="O187" s="13"/>
      <c r="P187" s="13" t="s">
        <v>5297</v>
      </c>
      <c r="Q187" s="13" t="s">
        <v>5289</v>
      </c>
      <c r="R187" s="13" t="s">
        <v>5292</v>
      </c>
      <c r="S187" s="13" t="s">
        <v>5293</v>
      </c>
      <c r="T187" s="13" t="s">
        <v>3</v>
      </c>
      <c r="U187" s="13" t="s">
        <v>43</v>
      </c>
      <c r="V187" s="13" t="n">
        <f aca="false">IF(COUNTIF($B$2:B187,B187)=1,1,0)</f>
        <v>1</v>
      </c>
      <c r="W187" s="13" t="n">
        <f aca="false">IF(COUNTIFS($B$2:B187,B187,$T$2:T187,T187)=1,1,0)</f>
        <v>1</v>
      </c>
    </row>
    <row r="188" customFormat="false" ht="15" hidden="false" customHeight="false" outlineLevel="0" collapsed="false">
      <c r="A188" s="13" t="s">
        <v>366</v>
      </c>
      <c r="B188" s="13" t="s">
        <v>365</v>
      </c>
      <c r="C188" s="13" t="n">
        <v>10000</v>
      </c>
      <c r="D188" s="13" t="n">
        <v>30</v>
      </c>
      <c r="E188" s="13" t="n">
        <v>369.628888888889</v>
      </c>
      <c r="F188" s="13" t="s">
        <v>5288</v>
      </c>
      <c r="G188" s="13" t="s">
        <v>5289</v>
      </c>
      <c r="H188" s="13" t="s">
        <v>5289</v>
      </c>
      <c r="I188" s="13" t="s">
        <v>5289</v>
      </c>
      <c r="J188" s="13" t="s">
        <v>5289</v>
      </c>
      <c r="K188" s="13" t="s">
        <v>5289</v>
      </c>
      <c r="L188" s="13" t="s">
        <v>2773</v>
      </c>
      <c r="M188" s="13"/>
      <c r="N188" s="13" t="n">
        <v>6290360598918</v>
      </c>
      <c r="O188" s="13"/>
      <c r="P188" s="13" t="s">
        <v>5297</v>
      </c>
      <c r="Q188" s="13" t="s">
        <v>5289</v>
      </c>
      <c r="R188" s="13" t="s">
        <v>5292</v>
      </c>
      <c r="S188" s="13" t="s">
        <v>5293</v>
      </c>
      <c r="T188" s="13" t="s">
        <v>3</v>
      </c>
      <c r="U188" s="13" t="s">
        <v>43</v>
      </c>
      <c r="V188" s="13" t="n">
        <f aca="false">IF(COUNTIF($B$2:B188,B188)=1,1,0)</f>
        <v>1</v>
      </c>
      <c r="W188" s="13" t="n">
        <f aca="false">IF(COUNTIFS($B$2:B188,B188,$T$2:T188,T188)=1,1,0)</f>
        <v>1</v>
      </c>
    </row>
    <row r="189" customFormat="false" ht="15" hidden="false" customHeight="false" outlineLevel="0" collapsed="false">
      <c r="A189" s="13" t="s">
        <v>2784</v>
      </c>
      <c r="B189" s="13" t="s">
        <v>2107</v>
      </c>
      <c r="C189" s="13" t="n">
        <v>9800</v>
      </c>
      <c r="D189" s="13" t="n">
        <v>120</v>
      </c>
      <c r="E189" s="13" t="n">
        <v>83.1680508474576</v>
      </c>
      <c r="F189" s="13" t="s">
        <v>5288</v>
      </c>
      <c r="G189" s="13" t="s">
        <v>5289</v>
      </c>
      <c r="H189" s="13" t="s">
        <v>5289</v>
      </c>
      <c r="I189" s="13" t="s">
        <v>5289</v>
      </c>
      <c r="J189" s="13" t="s">
        <v>5289</v>
      </c>
      <c r="K189" s="13" t="s">
        <v>5289</v>
      </c>
      <c r="L189" s="13" t="s">
        <v>2783</v>
      </c>
      <c r="M189" s="13"/>
      <c r="N189" s="13" t="n">
        <v>8439627603110</v>
      </c>
      <c r="O189" s="13"/>
      <c r="P189" s="13" t="s">
        <v>5291</v>
      </c>
      <c r="Q189" s="13" t="s">
        <v>5289</v>
      </c>
      <c r="R189" s="13" t="s">
        <v>5292</v>
      </c>
      <c r="S189" s="13" t="s">
        <v>5293</v>
      </c>
      <c r="T189" s="13" t="s">
        <v>3</v>
      </c>
      <c r="U189" s="13" t="s">
        <v>43</v>
      </c>
      <c r="V189" s="13" t="n">
        <f aca="false">IF(COUNTIF($B$2:B189,B189)=1,1,0)</f>
        <v>0</v>
      </c>
      <c r="W189" s="13" t="n">
        <f aca="false">IF(COUNTIFS($B$2:B189,B189,$T$2:T189,T189)=1,1,0)</f>
        <v>0</v>
      </c>
    </row>
    <row r="190" customFormat="false" ht="15" hidden="false" customHeight="false" outlineLevel="0" collapsed="false">
      <c r="A190" s="13" t="s">
        <v>2782</v>
      </c>
      <c r="B190" s="13" t="s">
        <v>2095</v>
      </c>
      <c r="C190" s="13" t="n">
        <v>9800</v>
      </c>
      <c r="D190" s="13" t="n">
        <v>160</v>
      </c>
      <c r="E190" s="13" t="n">
        <v>62.049746835443</v>
      </c>
      <c r="F190" s="13" t="s">
        <v>5288</v>
      </c>
      <c r="G190" s="13" t="s">
        <v>5289</v>
      </c>
      <c r="H190" s="13" t="s">
        <v>5289</v>
      </c>
      <c r="I190" s="13" t="s">
        <v>5292</v>
      </c>
      <c r="J190" s="13" t="s">
        <v>5289</v>
      </c>
      <c r="K190" s="13" t="s">
        <v>5292</v>
      </c>
      <c r="L190" s="13" t="s">
        <v>2781</v>
      </c>
      <c r="M190" s="13"/>
      <c r="N190" s="13" t="n">
        <v>7898665435588</v>
      </c>
      <c r="O190" s="13"/>
      <c r="P190" s="13" t="s">
        <v>5291</v>
      </c>
      <c r="Q190" s="13" t="s">
        <v>5289</v>
      </c>
      <c r="R190" s="13" t="s">
        <v>5292</v>
      </c>
      <c r="S190" s="13" t="s">
        <v>5293</v>
      </c>
      <c r="T190" s="13" t="s">
        <v>3</v>
      </c>
      <c r="U190" s="13" t="s">
        <v>140</v>
      </c>
      <c r="V190" s="13" t="n">
        <f aca="false">IF(COUNTIF($B$2:B190,B190)=1,1,0)</f>
        <v>0</v>
      </c>
      <c r="W190" s="13" t="n">
        <f aca="false">IF(COUNTIFS($B$2:B190,B190,$T$2:T190,T190)=1,1,0)</f>
        <v>0</v>
      </c>
    </row>
    <row r="191" customFormat="false" ht="15" hidden="false" customHeight="false" outlineLevel="0" collapsed="false">
      <c r="A191" s="13" t="s">
        <v>2788</v>
      </c>
      <c r="B191" s="13" t="s">
        <v>2096</v>
      </c>
      <c r="C191" s="13" t="n">
        <v>9700</v>
      </c>
      <c r="D191" s="13" t="n">
        <v>60</v>
      </c>
      <c r="E191" s="13" t="n">
        <v>158.643770491803</v>
      </c>
      <c r="F191" s="13" t="s">
        <v>5288</v>
      </c>
      <c r="G191" s="13" t="s">
        <v>5289</v>
      </c>
      <c r="H191" s="13" t="s">
        <v>5289</v>
      </c>
      <c r="I191" s="13" t="s">
        <v>5289</v>
      </c>
      <c r="J191" s="13" t="s">
        <v>5289</v>
      </c>
      <c r="K191" s="13" t="s">
        <v>5289</v>
      </c>
      <c r="L191" s="13" t="s">
        <v>5385</v>
      </c>
      <c r="M191" s="13"/>
      <c r="N191" s="13" t="n">
        <v>7891033495115</v>
      </c>
      <c r="O191" s="13"/>
      <c r="P191" s="13" t="s">
        <v>5297</v>
      </c>
      <c r="Q191" s="13" t="s">
        <v>5289</v>
      </c>
      <c r="R191" s="13" t="s">
        <v>5292</v>
      </c>
      <c r="S191" s="13" t="s">
        <v>5293</v>
      </c>
      <c r="T191" s="13" t="s">
        <v>3</v>
      </c>
      <c r="U191" s="13" t="s">
        <v>43</v>
      </c>
      <c r="V191" s="13" t="n">
        <f aca="false">IF(COUNTIF($B$2:B191,B191)=1,1,0)</f>
        <v>0</v>
      </c>
      <c r="W191" s="13" t="n">
        <f aca="false">IF(COUNTIFS($B$2:B191,B191,$T$2:T191,T191)=1,1,0)</f>
        <v>0</v>
      </c>
    </row>
    <row r="192" customFormat="false" ht="15" hidden="false" customHeight="false" outlineLevel="0" collapsed="false">
      <c r="A192" s="13" t="s">
        <v>372</v>
      </c>
      <c r="B192" s="13" t="s">
        <v>302</v>
      </c>
      <c r="C192" s="13" t="n">
        <v>9700</v>
      </c>
      <c r="D192" s="13" t="n">
        <v>20</v>
      </c>
      <c r="E192" s="13" t="n">
        <v>604.665625</v>
      </c>
      <c r="F192" s="13" t="s">
        <v>5288</v>
      </c>
      <c r="G192" s="13" t="s">
        <v>5289</v>
      </c>
      <c r="H192" s="13" t="s">
        <v>5289</v>
      </c>
      <c r="I192" s="13" t="s">
        <v>5289</v>
      </c>
      <c r="J192" s="13" t="s">
        <v>5289</v>
      </c>
      <c r="K192" s="13" t="s">
        <v>5292</v>
      </c>
      <c r="L192" s="13" t="s">
        <v>2789</v>
      </c>
      <c r="M192" s="13"/>
      <c r="N192" s="13" t="n">
        <v>3274872441033</v>
      </c>
      <c r="O192" s="13"/>
      <c r="P192" s="13" t="s">
        <v>5291</v>
      </c>
      <c r="Q192" s="13" t="s">
        <v>5289</v>
      </c>
      <c r="R192" s="13" t="s">
        <v>5292</v>
      </c>
      <c r="S192" s="13" t="s">
        <v>5293</v>
      </c>
      <c r="T192" s="13" t="s">
        <v>3</v>
      </c>
      <c r="U192" s="13" t="s">
        <v>43</v>
      </c>
      <c r="V192" s="13" t="n">
        <f aca="false">IF(COUNTIF($B$2:B192,B192)=1,1,0)</f>
        <v>0</v>
      </c>
      <c r="W192" s="13" t="n">
        <f aca="false">IF(COUNTIFS($B$2:B192,B192,$T$2:T192,T192)=1,1,0)</f>
        <v>0</v>
      </c>
    </row>
    <row r="193" customFormat="false" ht="15" hidden="false" customHeight="false" outlineLevel="0" collapsed="false">
      <c r="A193" s="13" t="s">
        <v>373</v>
      </c>
      <c r="B193" s="13" t="s">
        <v>186</v>
      </c>
      <c r="C193" s="13" t="n">
        <v>9600</v>
      </c>
      <c r="D193" s="13" t="n">
        <v>50</v>
      </c>
      <c r="E193" s="13" t="n">
        <v>192.6596</v>
      </c>
      <c r="F193" s="13" t="s">
        <v>5288</v>
      </c>
      <c r="G193" s="13" t="s">
        <v>5289</v>
      </c>
      <c r="H193" s="13" t="s">
        <v>5289</v>
      </c>
      <c r="I193" s="13" t="s">
        <v>5289</v>
      </c>
      <c r="J193" s="13" t="s">
        <v>5289</v>
      </c>
      <c r="K193" s="13" t="s">
        <v>5289</v>
      </c>
      <c r="L193" s="13" t="s">
        <v>5386</v>
      </c>
      <c r="M193" s="13"/>
      <c r="N193" s="13" t="n">
        <v>88300196814</v>
      </c>
      <c r="O193" s="13"/>
      <c r="P193" s="13" t="s">
        <v>5291</v>
      </c>
      <c r="Q193" s="13" t="s">
        <v>5289</v>
      </c>
      <c r="R193" s="13" t="s">
        <v>5292</v>
      </c>
      <c r="S193" s="13" t="s">
        <v>5293</v>
      </c>
      <c r="T193" s="13" t="s">
        <v>3</v>
      </c>
      <c r="U193" s="13" t="s">
        <v>43</v>
      </c>
      <c r="V193" s="13" t="n">
        <f aca="false">IF(COUNTIF($B$2:B193,B193)=1,1,0)</f>
        <v>0</v>
      </c>
      <c r="W193" s="13" t="n">
        <f aca="false">IF(COUNTIFS($B$2:B193,B193,$T$2:T193,T193)=1,1,0)</f>
        <v>0</v>
      </c>
    </row>
    <row r="194" customFormat="false" ht="15" hidden="false" customHeight="false" outlineLevel="0" collapsed="false">
      <c r="A194" s="13" t="s">
        <v>2735</v>
      </c>
      <c r="B194" s="13" t="s">
        <v>2100</v>
      </c>
      <c r="C194" s="13" t="n">
        <v>9600</v>
      </c>
      <c r="D194" s="13" t="n">
        <v>300</v>
      </c>
      <c r="E194" s="13" t="n">
        <v>32.373186440678</v>
      </c>
      <c r="F194" s="13" t="s">
        <v>5288</v>
      </c>
      <c r="G194" s="13" t="s">
        <v>5289</v>
      </c>
      <c r="H194" s="13" t="s">
        <v>5289</v>
      </c>
      <c r="I194" s="13" t="s">
        <v>5292</v>
      </c>
      <c r="J194" s="13" t="s">
        <v>5289</v>
      </c>
      <c r="K194" s="13" t="s">
        <v>5292</v>
      </c>
      <c r="L194" s="13" t="s">
        <v>2734</v>
      </c>
      <c r="M194" s="13"/>
      <c r="N194" s="13" t="n">
        <v>7898410319675</v>
      </c>
      <c r="O194" s="13"/>
      <c r="P194" s="13" t="s">
        <v>5304</v>
      </c>
      <c r="Q194" s="13" t="s">
        <v>5289</v>
      </c>
      <c r="R194" s="13" t="s">
        <v>5292</v>
      </c>
      <c r="S194" s="13" t="s">
        <v>5293</v>
      </c>
      <c r="T194" s="13" t="s">
        <v>3</v>
      </c>
      <c r="U194" s="13" t="s">
        <v>43</v>
      </c>
      <c r="V194" s="13" t="n">
        <f aca="false">IF(COUNTIF($B$2:B194,B194)=1,1,0)</f>
        <v>0</v>
      </c>
      <c r="W194" s="13" t="n">
        <f aca="false">IF(COUNTIFS($B$2:B194,B194,$T$2:T194,T194)=1,1,0)</f>
        <v>0</v>
      </c>
    </row>
    <row r="195" customFormat="false" ht="15" hidden="false" customHeight="false" outlineLevel="0" collapsed="false">
      <c r="A195" s="13" t="s">
        <v>377</v>
      </c>
      <c r="B195" s="13" t="s">
        <v>229</v>
      </c>
      <c r="C195" s="13" t="n">
        <v>9400</v>
      </c>
      <c r="D195" s="13" t="n">
        <v>60</v>
      </c>
      <c r="E195" s="13" t="n">
        <v>145</v>
      </c>
      <c r="F195" s="13" t="s">
        <v>5288</v>
      </c>
      <c r="G195" s="13" t="s">
        <v>5289</v>
      </c>
      <c r="H195" s="13" t="s">
        <v>5289</v>
      </c>
      <c r="I195" s="13" t="s">
        <v>5289</v>
      </c>
      <c r="J195" s="13" t="s">
        <v>5289</v>
      </c>
      <c r="K195" s="13" t="s">
        <v>5289</v>
      </c>
      <c r="L195" s="13" t="s">
        <v>5387</v>
      </c>
      <c r="M195" s="13"/>
      <c r="N195" s="13" t="n">
        <v>3414202000534</v>
      </c>
      <c r="O195" s="13"/>
      <c r="P195" s="13" t="s">
        <v>5297</v>
      </c>
      <c r="Q195" s="13" t="s">
        <v>5289</v>
      </c>
      <c r="R195" s="13" t="s">
        <v>5292</v>
      </c>
      <c r="S195" s="13" t="s">
        <v>5293</v>
      </c>
      <c r="T195" s="13" t="s">
        <v>3</v>
      </c>
      <c r="U195" s="13" t="s">
        <v>43</v>
      </c>
      <c r="V195" s="13" t="n">
        <f aca="false">IF(COUNTIF($B$2:B195,B195)=1,1,0)</f>
        <v>0</v>
      </c>
      <c r="W195" s="13" t="n">
        <f aca="false">IF(COUNTIFS($B$2:B195,B195,$T$2:T195,T195)=1,1,0)</f>
        <v>0</v>
      </c>
    </row>
    <row r="196" customFormat="false" ht="15" hidden="false" customHeight="false" outlineLevel="0" collapsed="false">
      <c r="A196" s="13" t="s">
        <v>375</v>
      </c>
      <c r="B196" s="13" t="s">
        <v>111</v>
      </c>
      <c r="C196" s="13" t="n">
        <v>9400</v>
      </c>
      <c r="D196" s="13" t="n">
        <v>20</v>
      </c>
      <c r="E196" s="13" t="n">
        <v>392.495416666667</v>
      </c>
      <c r="F196" s="13" t="s">
        <v>5288</v>
      </c>
      <c r="G196" s="13" t="s">
        <v>5289</v>
      </c>
      <c r="H196" s="13" t="s">
        <v>5289</v>
      </c>
      <c r="I196" s="13" t="s">
        <v>5289</v>
      </c>
      <c r="J196" s="13" t="s">
        <v>5289</v>
      </c>
      <c r="K196" s="13" t="s">
        <v>5289</v>
      </c>
      <c r="L196" s="13" t="s">
        <v>2757</v>
      </c>
      <c r="M196" s="13"/>
      <c r="N196" s="13" t="n">
        <v>3595471036292</v>
      </c>
      <c r="O196" s="13"/>
      <c r="P196" s="13" t="s">
        <v>5291</v>
      </c>
      <c r="Q196" s="13" t="s">
        <v>5289</v>
      </c>
      <c r="R196" s="13" t="s">
        <v>5292</v>
      </c>
      <c r="S196" s="13" t="s">
        <v>5293</v>
      </c>
      <c r="T196" s="13" t="s">
        <v>3</v>
      </c>
      <c r="U196" s="13" t="s">
        <v>43</v>
      </c>
      <c r="V196" s="13" t="n">
        <f aca="false">IF(COUNTIF($B$2:B196,B196)=1,1,0)</f>
        <v>0</v>
      </c>
      <c r="W196" s="13" t="n">
        <f aca="false">IF(COUNTIFS($B$2:B196,B196,$T$2:T196,T196)=1,1,0)</f>
        <v>0</v>
      </c>
    </row>
    <row r="197" customFormat="false" ht="15" hidden="false" customHeight="false" outlineLevel="0" collapsed="false">
      <c r="A197" s="13" t="s">
        <v>376</v>
      </c>
      <c r="B197" s="13" t="s">
        <v>335</v>
      </c>
      <c r="C197" s="13" t="n">
        <v>9400</v>
      </c>
      <c r="D197" s="13" t="n">
        <v>90</v>
      </c>
      <c r="E197" s="13" t="n">
        <v>109.104069767442</v>
      </c>
      <c r="F197" s="13" t="s">
        <v>5288</v>
      </c>
      <c r="G197" s="13" t="s">
        <v>5289</v>
      </c>
      <c r="H197" s="13" t="s">
        <v>5289</v>
      </c>
      <c r="I197" s="13" t="s">
        <v>5289</v>
      </c>
      <c r="J197" s="13" t="s">
        <v>5289</v>
      </c>
      <c r="K197" s="13" t="s">
        <v>5292</v>
      </c>
      <c r="L197" s="13" t="s">
        <v>5388</v>
      </c>
      <c r="M197" s="13"/>
      <c r="N197" s="13" t="n">
        <v>85805268848</v>
      </c>
      <c r="O197" s="13"/>
      <c r="P197" s="13" t="s">
        <v>5291</v>
      </c>
      <c r="Q197" s="13" t="s">
        <v>5289</v>
      </c>
      <c r="R197" s="13" t="s">
        <v>5292</v>
      </c>
      <c r="S197" s="13" t="s">
        <v>5293</v>
      </c>
      <c r="T197" s="13" t="s">
        <v>3</v>
      </c>
      <c r="U197" s="13" t="s">
        <v>43</v>
      </c>
      <c r="V197" s="13" t="n">
        <f aca="false">IF(COUNTIF($B$2:B197,B197)=1,1,0)</f>
        <v>0</v>
      </c>
      <c r="W197" s="13" t="n">
        <f aca="false">IF(COUNTIFS($B$2:B197,B197,$T$2:T197,T197)=1,1,0)</f>
        <v>0</v>
      </c>
    </row>
    <row r="198" customFormat="false" ht="15" hidden="false" customHeight="false" outlineLevel="0" collapsed="false">
      <c r="A198" s="13" t="s">
        <v>381</v>
      </c>
      <c r="B198" s="13" t="s">
        <v>191</v>
      </c>
      <c r="C198" s="13" t="n">
        <v>9300</v>
      </c>
      <c r="D198" s="13" t="n">
        <v>70</v>
      </c>
      <c r="E198" s="13" t="n">
        <v>131.39985915493</v>
      </c>
      <c r="F198" s="13" t="s">
        <v>5288</v>
      </c>
      <c r="G198" s="13" t="s">
        <v>5289</v>
      </c>
      <c r="H198" s="13" t="s">
        <v>5289</v>
      </c>
      <c r="I198" s="13" t="s">
        <v>5289</v>
      </c>
      <c r="J198" s="13" t="s">
        <v>5289</v>
      </c>
      <c r="K198" s="13" t="s">
        <v>5292</v>
      </c>
      <c r="L198" s="13" t="s">
        <v>5389</v>
      </c>
      <c r="M198" s="13"/>
      <c r="N198" s="13" t="n">
        <v>7.89676849451879E+025</v>
      </c>
      <c r="O198" s="13"/>
      <c r="P198" s="13" t="s">
        <v>5291</v>
      </c>
      <c r="Q198" s="13" t="s">
        <v>5289</v>
      </c>
      <c r="R198" s="13" t="s">
        <v>5292</v>
      </c>
      <c r="S198" s="13" t="s">
        <v>5293</v>
      </c>
      <c r="T198" s="13" t="s">
        <v>3</v>
      </c>
      <c r="U198" s="13" t="s">
        <v>183</v>
      </c>
      <c r="V198" s="13" t="n">
        <f aca="false">IF(COUNTIF($B$2:B198,B198)=1,1,0)</f>
        <v>0</v>
      </c>
      <c r="W198" s="13" t="n">
        <f aca="false">IF(COUNTIFS($B$2:B198,B198,$T$2:T198,T198)=1,1,0)</f>
        <v>0</v>
      </c>
    </row>
    <row r="199" customFormat="false" ht="15" hidden="false" customHeight="false" outlineLevel="0" collapsed="false">
      <c r="A199" s="13" t="s">
        <v>380</v>
      </c>
      <c r="B199" s="13" t="s">
        <v>182</v>
      </c>
      <c r="C199" s="13" t="n">
        <v>9300</v>
      </c>
      <c r="D199" s="13" t="n">
        <v>60</v>
      </c>
      <c r="E199" s="13" t="n">
        <v>166.530178571429</v>
      </c>
      <c r="F199" s="13" t="s">
        <v>5288</v>
      </c>
      <c r="G199" s="13" t="s">
        <v>5289</v>
      </c>
      <c r="H199" s="13" t="s">
        <v>5289</v>
      </c>
      <c r="I199" s="13" t="s">
        <v>5289</v>
      </c>
      <c r="J199" s="13" t="s">
        <v>5289</v>
      </c>
      <c r="K199" s="13" t="s">
        <v>5289</v>
      </c>
      <c r="L199" s="13" t="s">
        <v>5390</v>
      </c>
      <c r="M199" s="13"/>
      <c r="N199" s="13" t="n">
        <v>7618900931046</v>
      </c>
      <c r="O199" s="13"/>
      <c r="P199" s="13" t="s">
        <v>5291</v>
      </c>
      <c r="Q199" s="13" t="s">
        <v>5289</v>
      </c>
      <c r="R199" s="13" t="s">
        <v>5292</v>
      </c>
      <c r="S199" s="13" t="s">
        <v>5293</v>
      </c>
      <c r="T199" s="13" t="s">
        <v>3</v>
      </c>
      <c r="U199" s="13" t="s">
        <v>183</v>
      </c>
      <c r="V199" s="13" t="n">
        <f aca="false">IF(COUNTIF($B$2:B199,B199)=1,1,0)</f>
        <v>0</v>
      </c>
      <c r="W199" s="13" t="n">
        <f aca="false">IF(COUNTIFS($B$2:B199,B199,$T$2:T199,T199)=1,1,0)</f>
        <v>0</v>
      </c>
    </row>
    <row r="200" customFormat="false" ht="15" hidden="false" customHeight="false" outlineLevel="0" collapsed="false">
      <c r="A200" s="13" t="s">
        <v>390</v>
      </c>
      <c r="B200" s="13" t="s">
        <v>139</v>
      </c>
      <c r="C200" s="13" t="n">
        <v>9200</v>
      </c>
      <c r="D200" s="13" t="n">
        <v>40</v>
      </c>
      <c r="E200" s="13" t="n">
        <v>209.9</v>
      </c>
      <c r="F200" s="13" t="s">
        <v>5325</v>
      </c>
      <c r="G200" s="13" t="s">
        <v>5289</v>
      </c>
      <c r="H200" s="13" t="s">
        <v>5289</v>
      </c>
      <c r="I200" s="13" t="s">
        <v>5289</v>
      </c>
      <c r="J200" s="13" t="s">
        <v>5289</v>
      </c>
      <c r="K200" s="13" t="s">
        <v>5292</v>
      </c>
      <c r="L200" s="13" t="s">
        <v>2806</v>
      </c>
      <c r="M200" s="13"/>
      <c r="N200" s="13" t="n">
        <v>7898962163443</v>
      </c>
      <c r="O200" s="13"/>
      <c r="P200" s="13" t="s">
        <v>5291</v>
      </c>
      <c r="Q200" s="13" t="s">
        <v>5289</v>
      </c>
      <c r="R200" s="13" t="s">
        <v>5292</v>
      </c>
      <c r="S200" s="13" t="s">
        <v>5293</v>
      </c>
      <c r="T200" s="13" t="s">
        <v>3</v>
      </c>
      <c r="U200" s="13" t="s">
        <v>140</v>
      </c>
      <c r="V200" s="13" t="n">
        <f aca="false">IF(COUNTIF($B$2:B200,B200)=1,1,0)</f>
        <v>0</v>
      </c>
      <c r="W200" s="13" t="n">
        <f aca="false">IF(COUNTIFS($B$2:B200,B200,$T$2:T200,T200)=1,1,0)</f>
        <v>0</v>
      </c>
    </row>
    <row r="201" customFormat="false" ht="15" hidden="false" customHeight="false" outlineLevel="0" collapsed="false">
      <c r="A201" s="13" t="s">
        <v>2812</v>
      </c>
      <c r="B201" s="13" t="s">
        <v>2096</v>
      </c>
      <c r="C201" s="13" t="n">
        <v>9200</v>
      </c>
      <c r="D201" s="13" t="n">
        <v>80</v>
      </c>
      <c r="E201" s="13" t="n">
        <v>118.37858974359</v>
      </c>
      <c r="F201" s="13" t="s">
        <v>5288</v>
      </c>
      <c r="G201" s="13" t="s">
        <v>5289</v>
      </c>
      <c r="H201" s="13" t="s">
        <v>5289</v>
      </c>
      <c r="I201" s="13" t="s">
        <v>5289</v>
      </c>
      <c r="J201" s="13" t="s">
        <v>5289</v>
      </c>
      <c r="K201" s="13" t="s">
        <v>5292</v>
      </c>
      <c r="L201" s="13" t="s">
        <v>5391</v>
      </c>
      <c r="M201" s="13"/>
      <c r="N201" s="13" t="n">
        <v>7891033917150</v>
      </c>
      <c r="O201" s="13"/>
      <c r="P201" s="13" t="s">
        <v>5291</v>
      </c>
      <c r="Q201" s="13" t="s">
        <v>5289</v>
      </c>
      <c r="R201" s="13" t="s">
        <v>5292</v>
      </c>
      <c r="S201" s="13" t="s">
        <v>5293</v>
      </c>
      <c r="T201" s="13" t="s">
        <v>3</v>
      </c>
      <c r="U201" s="13" t="s">
        <v>43</v>
      </c>
      <c r="V201" s="13" t="n">
        <f aca="false">IF(COUNTIF($B$2:B201,B201)=1,1,0)</f>
        <v>0</v>
      </c>
      <c r="W201" s="13" t="n">
        <f aca="false">IF(COUNTIFS($B$2:B201,B201,$T$2:T201,T201)=1,1,0)</f>
        <v>0</v>
      </c>
    </row>
    <row r="202" customFormat="false" ht="15" hidden="false" customHeight="false" outlineLevel="0" collapsed="false">
      <c r="A202" s="13" t="s">
        <v>391</v>
      </c>
      <c r="B202" s="13" t="s">
        <v>87</v>
      </c>
      <c r="C202" s="13" t="n">
        <v>9200</v>
      </c>
      <c r="D202" s="13" t="n">
        <v>70</v>
      </c>
      <c r="E202" s="13" t="n">
        <v>127.51375</v>
      </c>
      <c r="F202" s="13" t="s">
        <v>5288</v>
      </c>
      <c r="G202" s="13" t="s">
        <v>5289</v>
      </c>
      <c r="H202" s="13" t="s">
        <v>5289</v>
      </c>
      <c r="I202" s="13" t="s">
        <v>5289</v>
      </c>
      <c r="J202" s="13" t="s">
        <v>5289</v>
      </c>
      <c r="K202" s="13" t="s">
        <v>5289</v>
      </c>
      <c r="L202" s="13" t="s">
        <v>5392</v>
      </c>
      <c r="M202" s="13"/>
      <c r="N202" s="13" t="n">
        <v>22255341189</v>
      </c>
      <c r="O202" s="13"/>
      <c r="P202" s="13" t="s">
        <v>5291</v>
      </c>
      <c r="Q202" s="13" t="s">
        <v>5289</v>
      </c>
      <c r="R202" s="13" t="s">
        <v>5292</v>
      </c>
      <c r="S202" s="13" t="s">
        <v>5293</v>
      </c>
      <c r="T202" s="13" t="s">
        <v>3</v>
      </c>
      <c r="U202" s="13" t="s">
        <v>85</v>
      </c>
      <c r="V202" s="13" t="n">
        <f aca="false">IF(COUNTIF($B$2:B202,B202)=1,1,0)</f>
        <v>0</v>
      </c>
      <c r="W202" s="13" t="n">
        <f aca="false">IF(COUNTIFS($B$2:B202,B202,$T$2:T202,T202)=1,1,0)</f>
        <v>0</v>
      </c>
    </row>
    <row r="203" customFormat="false" ht="15" hidden="false" customHeight="false" outlineLevel="0" collapsed="false">
      <c r="A203" s="13" t="s">
        <v>387</v>
      </c>
      <c r="B203" s="13" t="s">
        <v>365</v>
      </c>
      <c r="C203" s="13" t="n">
        <v>9200</v>
      </c>
      <c r="D203" s="13" t="n">
        <v>30</v>
      </c>
      <c r="E203" s="13" t="n">
        <v>327.2425</v>
      </c>
      <c r="F203" s="13" t="s">
        <v>5288</v>
      </c>
      <c r="G203" s="13" t="s">
        <v>5289</v>
      </c>
      <c r="H203" s="13" t="s">
        <v>5289</v>
      </c>
      <c r="I203" s="13" t="s">
        <v>5289</v>
      </c>
      <c r="J203" s="13" t="s">
        <v>5289</v>
      </c>
      <c r="K203" s="13" t="s">
        <v>5292</v>
      </c>
      <c r="L203" s="13" t="s">
        <v>5393</v>
      </c>
      <c r="M203" s="13"/>
      <c r="N203" s="13"/>
      <c r="O203" s="13"/>
      <c r="P203" s="13" t="s">
        <v>5304</v>
      </c>
      <c r="Q203" s="13" t="s">
        <v>5289</v>
      </c>
      <c r="R203" s="13" t="s">
        <v>5292</v>
      </c>
      <c r="S203" s="13" t="s">
        <v>5293</v>
      </c>
      <c r="T203" s="13" t="s">
        <v>3</v>
      </c>
      <c r="U203" s="13" t="s">
        <v>43</v>
      </c>
      <c r="V203" s="13" t="n">
        <f aca="false">IF(COUNTIF($B$2:B203,B203)=1,1,0)</f>
        <v>0</v>
      </c>
      <c r="W203" s="13" t="n">
        <f aca="false">IF(COUNTIFS($B$2:B203,B203,$T$2:T203,T203)=1,1,0)</f>
        <v>0</v>
      </c>
    </row>
    <row r="204" customFormat="false" ht="15" hidden="false" customHeight="false" outlineLevel="0" collapsed="false">
      <c r="A204" s="13" t="s">
        <v>2821</v>
      </c>
      <c r="B204" s="13" t="s">
        <v>2100</v>
      </c>
      <c r="C204" s="13" t="n">
        <v>9000</v>
      </c>
      <c r="D204" s="13" t="n">
        <v>130</v>
      </c>
      <c r="E204" s="13" t="n">
        <v>70.8023622047244</v>
      </c>
      <c r="F204" s="13" t="s">
        <v>5288</v>
      </c>
      <c r="G204" s="13" t="s">
        <v>5289</v>
      </c>
      <c r="H204" s="13" t="s">
        <v>5289</v>
      </c>
      <c r="I204" s="13" t="s">
        <v>5292</v>
      </c>
      <c r="J204" s="13" t="s">
        <v>5289</v>
      </c>
      <c r="K204" s="13" t="s">
        <v>5292</v>
      </c>
      <c r="L204" s="13" t="s">
        <v>5394</v>
      </c>
      <c r="M204" s="13"/>
      <c r="N204" s="13" t="n">
        <v>7898936769947</v>
      </c>
      <c r="O204" s="13"/>
      <c r="P204" s="13" t="s">
        <v>5297</v>
      </c>
      <c r="Q204" s="13" t="s">
        <v>5289</v>
      </c>
      <c r="R204" s="13" t="s">
        <v>5292</v>
      </c>
      <c r="S204" s="13" t="s">
        <v>5293</v>
      </c>
      <c r="T204" s="13" t="s">
        <v>3</v>
      </c>
      <c r="U204" s="13" t="s">
        <v>43</v>
      </c>
      <c r="V204" s="13" t="n">
        <f aca="false">IF(COUNTIF($B$2:B204,B204)=1,1,0)</f>
        <v>0</v>
      </c>
      <c r="W204" s="13" t="n">
        <f aca="false">IF(COUNTIFS($B$2:B204,B204,$T$2:T204,T204)=1,1,0)</f>
        <v>0</v>
      </c>
    </row>
    <row r="205" customFormat="false" ht="15" hidden="false" customHeight="false" outlineLevel="0" collapsed="false">
      <c r="A205" s="13" t="s">
        <v>2818</v>
      </c>
      <c r="B205" s="13" t="s">
        <v>2117</v>
      </c>
      <c r="C205" s="13" t="n">
        <v>9000</v>
      </c>
      <c r="D205" s="13" t="n">
        <v>290</v>
      </c>
      <c r="E205" s="13" t="n">
        <v>30.8411340206186</v>
      </c>
      <c r="F205" s="13" t="s">
        <v>5288</v>
      </c>
      <c r="G205" s="13" t="s">
        <v>5289</v>
      </c>
      <c r="H205" s="13" t="s">
        <v>5289</v>
      </c>
      <c r="I205" s="13" t="s">
        <v>5292</v>
      </c>
      <c r="J205" s="13" t="s">
        <v>5289</v>
      </c>
      <c r="K205" s="13" t="s">
        <v>5292</v>
      </c>
      <c r="L205" s="13" t="s">
        <v>2817</v>
      </c>
      <c r="M205" s="13"/>
      <c r="N205" s="13" t="n">
        <v>7898747480055</v>
      </c>
      <c r="O205" s="13"/>
      <c r="P205" s="13" t="s">
        <v>5291</v>
      </c>
      <c r="Q205" s="13" t="s">
        <v>5289</v>
      </c>
      <c r="R205" s="13" t="s">
        <v>5292</v>
      </c>
      <c r="S205" s="13" t="s">
        <v>5293</v>
      </c>
      <c r="T205" s="13" t="s">
        <v>3</v>
      </c>
      <c r="U205" s="13" t="s">
        <v>85</v>
      </c>
      <c r="V205" s="13" t="n">
        <f aca="false">IF(COUNTIF($B$2:B205,B205)=1,1,0)</f>
        <v>0</v>
      </c>
      <c r="W205" s="13" t="n">
        <f aca="false">IF(COUNTIFS($B$2:B205,B205,$T$2:T205,T205)=1,1,0)</f>
        <v>0</v>
      </c>
    </row>
    <row r="206" customFormat="false" ht="15" hidden="false" customHeight="false" outlineLevel="0" collapsed="false">
      <c r="A206" s="13" t="s">
        <v>396</v>
      </c>
      <c r="B206" s="13" t="s">
        <v>131</v>
      </c>
      <c r="C206" s="13" t="n">
        <v>9000</v>
      </c>
      <c r="D206" s="13" t="n">
        <v>20</v>
      </c>
      <c r="E206" s="13" t="n">
        <v>559.89625</v>
      </c>
      <c r="F206" s="13" t="s">
        <v>5288</v>
      </c>
      <c r="G206" s="13" t="s">
        <v>5289</v>
      </c>
      <c r="H206" s="13" t="s">
        <v>5289</v>
      </c>
      <c r="I206" s="13" t="s">
        <v>5289</v>
      </c>
      <c r="J206" s="13" t="s">
        <v>5289</v>
      </c>
      <c r="K206" s="13" t="s">
        <v>5289</v>
      </c>
      <c r="L206" s="13" t="s">
        <v>2819</v>
      </c>
      <c r="M206" s="13"/>
      <c r="N206" s="13" t="n">
        <v>7898480944906</v>
      </c>
      <c r="O206" s="13"/>
      <c r="P206" s="13" t="s">
        <v>5291</v>
      </c>
      <c r="Q206" s="13" t="s">
        <v>5289</v>
      </c>
      <c r="R206" s="13" t="s">
        <v>5292</v>
      </c>
      <c r="S206" s="13" t="s">
        <v>5293</v>
      </c>
      <c r="T206" s="13" t="s">
        <v>3</v>
      </c>
      <c r="U206" s="13" t="s">
        <v>66</v>
      </c>
      <c r="V206" s="13" t="n">
        <f aca="false">IF(COUNTIF($B$2:B206,B206)=1,1,0)</f>
        <v>0</v>
      </c>
      <c r="W206" s="13" t="n">
        <f aca="false">IF(COUNTIFS($B$2:B206,B206,$T$2:T206,T206)=1,1,0)</f>
        <v>0</v>
      </c>
    </row>
    <row r="207" customFormat="false" ht="15" hidden="false" customHeight="false" outlineLevel="0" collapsed="false">
      <c r="A207" s="13" t="s">
        <v>2826</v>
      </c>
      <c r="B207" s="13" t="s">
        <v>2114</v>
      </c>
      <c r="C207" s="13" t="n">
        <v>8900</v>
      </c>
      <c r="D207" s="13" t="n">
        <v>170</v>
      </c>
      <c r="E207" s="13" t="n">
        <v>51.9708720930233</v>
      </c>
      <c r="F207" s="13" t="s">
        <v>5325</v>
      </c>
      <c r="G207" s="13" t="s">
        <v>5289</v>
      </c>
      <c r="H207" s="13" t="s">
        <v>5289</v>
      </c>
      <c r="I207" s="13" t="s">
        <v>5292</v>
      </c>
      <c r="J207" s="13" t="s">
        <v>5289</v>
      </c>
      <c r="K207" s="13" t="s">
        <v>5292</v>
      </c>
      <c r="L207" s="13" t="s">
        <v>5395</v>
      </c>
      <c r="M207" s="13"/>
      <c r="N207" s="13" t="n">
        <v>7898047200742</v>
      </c>
      <c r="O207" s="13"/>
      <c r="P207" s="13" t="s">
        <v>5291</v>
      </c>
      <c r="Q207" s="13" t="s">
        <v>5289</v>
      </c>
      <c r="R207" s="13" t="s">
        <v>5292</v>
      </c>
      <c r="S207" s="13" t="s">
        <v>5293</v>
      </c>
      <c r="T207" s="13" t="s">
        <v>3</v>
      </c>
      <c r="U207" s="13" t="s">
        <v>140</v>
      </c>
      <c r="V207" s="13" t="n">
        <f aca="false">IF(COUNTIF($B$2:B207,B207)=1,1,0)</f>
        <v>0</v>
      </c>
      <c r="W207" s="13" t="n">
        <f aca="false">IF(COUNTIFS($B$2:B207,B207,$T$2:T207,T207)=1,1,0)</f>
        <v>0</v>
      </c>
    </row>
    <row r="208" customFormat="false" ht="15" hidden="false" customHeight="false" outlineLevel="0" collapsed="false">
      <c r="A208" s="13" t="s">
        <v>399</v>
      </c>
      <c r="B208" s="13" t="s">
        <v>114</v>
      </c>
      <c r="C208" s="13" t="n">
        <v>8900</v>
      </c>
      <c r="D208" s="13" t="n">
        <v>90</v>
      </c>
      <c r="E208" s="13" t="n">
        <v>97</v>
      </c>
      <c r="F208" s="13" t="s">
        <v>5325</v>
      </c>
      <c r="G208" s="13" t="s">
        <v>5289</v>
      </c>
      <c r="H208" s="13" t="s">
        <v>5289</v>
      </c>
      <c r="I208" s="13" t="s">
        <v>5289</v>
      </c>
      <c r="J208" s="13" t="s">
        <v>5289</v>
      </c>
      <c r="K208" s="13" t="s">
        <v>5292</v>
      </c>
      <c r="L208" s="13" t="s">
        <v>2824</v>
      </c>
      <c r="M208" s="13"/>
      <c r="N208" s="13" t="n">
        <v>4975759103431</v>
      </c>
      <c r="O208" s="13" t="s">
        <v>5396</v>
      </c>
      <c r="P208" s="13" t="s">
        <v>5291</v>
      </c>
      <c r="Q208" s="13" t="s">
        <v>5289</v>
      </c>
      <c r="R208" s="13" t="s">
        <v>5292</v>
      </c>
      <c r="S208" s="13" t="s">
        <v>5293</v>
      </c>
      <c r="T208" s="13" t="s">
        <v>3</v>
      </c>
      <c r="U208" s="13" t="s">
        <v>115</v>
      </c>
      <c r="V208" s="13" t="n">
        <f aca="false">IF(COUNTIF($B$2:B208,B208)=1,1,0)</f>
        <v>0</v>
      </c>
      <c r="W208" s="13" t="n">
        <f aca="false">IF(COUNTIFS($B$2:B208,B208,$T$2:T208,T208)=1,1,0)</f>
        <v>0</v>
      </c>
    </row>
    <row r="209" customFormat="false" ht="15" hidden="false" customHeight="false" outlineLevel="0" collapsed="false">
      <c r="A209" s="13" t="s">
        <v>402</v>
      </c>
      <c r="B209" s="13" t="s">
        <v>105</v>
      </c>
      <c r="C209" s="13" t="n">
        <v>8700</v>
      </c>
      <c r="D209" s="13" t="n">
        <v>30</v>
      </c>
      <c r="E209" s="13" t="n">
        <v>300.236551724138</v>
      </c>
      <c r="F209" s="13" t="s">
        <v>5288</v>
      </c>
      <c r="G209" s="13" t="s">
        <v>5289</v>
      </c>
      <c r="H209" s="13" t="s">
        <v>5289</v>
      </c>
      <c r="I209" s="13" t="s">
        <v>5289</v>
      </c>
      <c r="J209" s="13" t="s">
        <v>5289</v>
      </c>
      <c r="K209" s="13" t="s">
        <v>5289</v>
      </c>
      <c r="L209" s="13" t="s">
        <v>3655</v>
      </c>
      <c r="M209" s="13"/>
      <c r="N209" s="13"/>
      <c r="O209" s="13"/>
      <c r="P209" s="13" t="s">
        <v>5304</v>
      </c>
      <c r="Q209" s="13" t="s">
        <v>5289</v>
      </c>
      <c r="R209" s="13" t="s">
        <v>5292</v>
      </c>
      <c r="S209" s="13" t="s">
        <v>5293</v>
      </c>
      <c r="T209" s="13" t="s">
        <v>3</v>
      </c>
      <c r="U209" s="13" t="s">
        <v>43</v>
      </c>
      <c r="V209" s="13" t="n">
        <f aca="false">IF(COUNTIF($B$2:B209,B209)=1,1,0)</f>
        <v>0</v>
      </c>
      <c r="W209" s="13" t="n">
        <f aca="false">IF(COUNTIFS($B$2:B209,B209,$T$2:T209,T209)=1,1,0)</f>
        <v>0</v>
      </c>
    </row>
    <row r="210" customFormat="false" ht="15" hidden="false" customHeight="false" outlineLevel="0" collapsed="false">
      <c r="A210" s="13" t="s">
        <v>2793</v>
      </c>
      <c r="B210" s="13" t="s">
        <v>2160</v>
      </c>
      <c r="C210" s="13" t="n">
        <v>8700</v>
      </c>
      <c r="D210" s="13" t="n">
        <v>180</v>
      </c>
      <c r="E210" s="13" t="n">
        <v>46.9010810810811</v>
      </c>
      <c r="F210" s="13" t="s">
        <v>5288</v>
      </c>
      <c r="G210" s="13" t="s">
        <v>5289</v>
      </c>
      <c r="H210" s="13" t="s">
        <v>5289</v>
      </c>
      <c r="I210" s="13" t="s">
        <v>5292</v>
      </c>
      <c r="J210" s="13" t="s">
        <v>5289</v>
      </c>
      <c r="K210" s="13" t="s">
        <v>5289</v>
      </c>
      <c r="L210" s="13" t="s">
        <v>5397</v>
      </c>
      <c r="M210" s="13"/>
      <c r="N210" s="13" t="n">
        <v>7895339020514</v>
      </c>
      <c r="O210" s="13"/>
      <c r="P210" s="13" t="s">
        <v>5291</v>
      </c>
      <c r="Q210" s="13" t="s">
        <v>5289</v>
      </c>
      <c r="R210" s="13" t="s">
        <v>5292</v>
      </c>
      <c r="S210" s="13" t="s">
        <v>5293</v>
      </c>
      <c r="T210" s="13" t="s">
        <v>3</v>
      </c>
      <c r="U210" s="13" t="s">
        <v>183</v>
      </c>
      <c r="V210" s="13" t="n">
        <f aca="false">IF(COUNTIF($B$2:B210,B210)=1,1,0)</f>
        <v>1</v>
      </c>
      <c r="W210" s="13" t="n">
        <f aca="false">IF(COUNTIFS($B$2:B210,B210,$T$2:T210,T210)=1,1,0)</f>
        <v>1</v>
      </c>
    </row>
    <row r="211" customFormat="false" ht="15" hidden="false" customHeight="false" outlineLevel="0" collapsed="false">
      <c r="A211" s="13" t="s">
        <v>406</v>
      </c>
      <c r="B211" s="13" t="s">
        <v>179</v>
      </c>
      <c r="C211" s="13" t="n">
        <v>8600</v>
      </c>
      <c r="D211" s="13" t="n">
        <v>60</v>
      </c>
      <c r="E211" s="13" t="n">
        <v>157.181818181818</v>
      </c>
      <c r="F211" s="13" t="s">
        <v>5325</v>
      </c>
      <c r="G211" s="13" t="s">
        <v>5289</v>
      </c>
      <c r="H211" s="13" t="s">
        <v>5289</v>
      </c>
      <c r="I211" s="13" t="s">
        <v>5289</v>
      </c>
      <c r="J211" s="13" t="s">
        <v>5289</v>
      </c>
      <c r="K211" s="13" t="s">
        <v>5292</v>
      </c>
      <c r="L211" s="13" t="s">
        <v>2835</v>
      </c>
      <c r="M211" s="13"/>
      <c r="N211" s="13" t="n">
        <v>7898618487169</v>
      </c>
      <c r="O211" s="13"/>
      <c r="P211" s="13" t="s">
        <v>5291</v>
      </c>
      <c r="Q211" s="13" t="s">
        <v>5289</v>
      </c>
      <c r="R211" s="13" t="s">
        <v>5292</v>
      </c>
      <c r="S211" s="13" t="s">
        <v>5293</v>
      </c>
      <c r="T211" s="13" t="s">
        <v>3</v>
      </c>
      <c r="U211" s="13" t="s">
        <v>180</v>
      </c>
      <c r="V211" s="13" t="n">
        <f aca="false">IF(COUNTIF($B$2:B211,B211)=1,1,0)</f>
        <v>0</v>
      </c>
      <c r="W211" s="13" t="n">
        <f aca="false">IF(COUNTIFS($B$2:B211,B211,$T$2:T211,T211)=1,1,0)</f>
        <v>0</v>
      </c>
    </row>
    <row r="212" customFormat="false" ht="15" hidden="false" customHeight="false" outlineLevel="0" collapsed="false">
      <c r="A212" s="13" t="s">
        <v>5398</v>
      </c>
      <c r="B212" s="13" t="s">
        <v>2162</v>
      </c>
      <c r="C212" s="13" t="n">
        <v>8600</v>
      </c>
      <c r="D212" s="13" t="n">
        <v>60</v>
      </c>
      <c r="E212" s="13" t="n">
        <v>153.6</v>
      </c>
      <c r="F212" s="13" t="s">
        <v>5325</v>
      </c>
      <c r="G212" s="13" t="s">
        <v>5289</v>
      </c>
      <c r="H212" s="13" t="s">
        <v>5289</v>
      </c>
      <c r="I212" s="13" t="s">
        <v>5289</v>
      </c>
      <c r="J212" s="13" t="s">
        <v>5289</v>
      </c>
      <c r="K212" s="13" t="s">
        <v>5292</v>
      </c>
      <c r="L212" s="13" t="s">
        <v>5399</v>
      </c>
      <c r="M212" s="13"/>
      <c r="N212" s="13" t="n">
        <v>7.89860365423179E+025</v>
      </c>
      <c r="O212" s="13"/>
      <c r="P212" s="13" t="s">
        <v>5291</v>
      </c>
      <c r="Q212" s="13" t="s">
        <v>5289</v>
      </c>
      <c r="R212" s="13" t="s">
        <v>5292</v>
      </c>
      <c r="S212" s="13" t="s">
        <v>5293</v>
      </c>
      <c r="T212" s="13" t="s">
        <v>3</v>
      </c>
      <c r="U212" s="13" t="s">
        <v>43</v>
      </c>
      <c r="V212" s="13" t="n">
        <f aca="false">IF(COUNTIF($B$2:B212,B212)=1,1,0)</f>
        <v>1</v>
      </c>
      <c r="W212" s="13" t="n">
        <f aca="false">IF(COUNTIFS($B$2:B212,B212,$T$2:T212,T212)=1,1,0)</f>
        <v>1</v>
      </c>
    </row>
    <row r="213" customFormat="false" ht="15" hidden="false" customHeight="false" outlineLevel="0" collapsed="false">
      <c r="A213" s="13" t="s">
        <v>403</v>
      </c>
      <c r="B213" s="13" t="s">
        <v>179</v>
      </c>
      <c r="C213" s="13" t="n">
        <v>8600</v>
      </c>
      <c r="D213" s="13" t="n">
        <v>20</v>
      </c>
      <c r="E213" s="13" t="n">
        <v>452.621578947368</v>
      </c>
      <c r="F213" s="13" t="s">
        <v>5325</v>
      </c>
      <c r="G213" s="13" t="s">
        <v>5289</v>
      </c>
      <c r="H213" s="13" t="s">
        <v>5289</v>
      </c>
      <c r="I213" s="13" t="s">
        <v>5289</v>
      </c>
      <c r="J213" s="13" t="s">
        <v>5289</v>
      </c>
      <c r="K213" s="13" t="s">
        <v>5289</v>
      </c>
      <c r="L213" s="13" t="s">
        <v>5400</v>
      </c>
      <c r="M213" s="13"/>
      <c r="N213" s="13"/>
      <c r="O213" s="13"/>
      <c r="P213" s="13" t="s">
        <v>5297</v>
      </c>
      <c r="Q213" s="13" t="s">
        <v>5289</v>
      </c>
      <c r="R213" s="13" t="s">
        <v>5292</v>
      </c>
      <c r="S213" s="13" t="s">
        <v>5293</v>
      </c>
      <c r="T213" s="13" t="s">
        <v>3</v>
      </c>
      <c r="U213" s="13" t="s">
        <v>85</v>
      </c>
      <c r="V213" s="13" t="n">
        <f aca="false">IF(COUNTIF($B$2:B213,B213)=1,1,0)</f>
        <v>0</v>
      </c>
      <c r="W213" s="13" t="n">
        <f aca="false">IF(COUNTIFS($B$2:B213,B213,$T$2:T213,T213)=1,1,0)</f>
        <v>0</v>
      </c>
    </row>
    <row r="214" customFormat="false" ht="15" hidden="false" customHeight="false" outlineLevel="0" collapsed="false">
      <c r="A214" s="13" t="s">
        <v>405</v>
      </c>
      <c r="B214" s="13" t="s">
        <v>186</v>
      </c>
      <c r="C214" s="13" t="n">
        <v>8600</v>
      </c>
      <c r="D214" s="13" t="n">
        <v>40</v>
      </c>
      <c r="E214" s="13" t="n">
        <v>195.136136363636</v>
      </c>
      <c r="F214" s="13" t="s">
        <v>5288</v>
      </c>
      <c r="G214" s="13" t="s">
        <v>5289</v>
      </c>
      <c r="H214" s="13" t="s">
        <v>5292</v>
      </c>
      <c r="I214" s="13" t="s">
        <v>5289</v>
      </c>
      <c r="J214" s="13" t="s">
        <v>5289</v>
      </c>
      <c r="K214" s="13" t="s">
        <v>5289</v>
      </c>
      <c r="L214" s="13" t="s">
        <v>5386</v>
      </c>
      <c r="M214" s="13"/>
      <c r="N214" s="13" t="n">
        <v>88300196814</v>
      </c>
      <c r="O214" s="13"/>
      <c r="P214" s="13" t="s">
        <v>5291</v>
      </c>
      <c r="Q214" s="13" t="s">
        <v>5289</v>
      </c>
      <c r="R214" s="13" t="s">
        <v>5292</v>
      </c>
      <c r="S214" s="13" t="s">
        <v>5293</v>
      </c>
      <c r="T214" s="13" t="s">
        <v>3</v>
      </c>
      <c r="U214" s="13" t="s">
        <v>43</v>
      </c>
      <c r="V214" s="13" t="n">
        <f aca="false">IF(COUNTIF($B$2:B214,B214)=1,1,0)</f>
        <v>0</v>
      </c>
      <c r="W214" s="13" t="n">
        <f aca="false">IF(COUNTIFS($B$2:B214,B214,$T$2:T214,T214)=1,1,0)</f>
        <v>0</v>
      </c>
    </row>
    <row r="215" customFormat="false" ht="15" hidden="false" customHeight="false" outlineLevel="0" collapsed="false">
      <c r="A215" s="13" t="s">
        <v>5401</v>
      </c>
      <c r="B215" s="13" t="s">
        <v>2163</v>
      </c>
      <c r="C215" s="13" t="n">
        <v>8400</v>
      </c>
      <c r="D215" s="13" t="n">
        <v>210</v>
      </c>
      <c r="E215" s="13" t="n">
        <v>40.7320388349515</v>
      </c>
      <c r="F215" s="13" t="s">
        <v>5288</v>
      </c>
      <c r="G215" s="13" t="s">
        <v>5289</v>
      </c>
      <c r="H215" s="13" t="s">
        <v>5289</v>
      </c>
      <c r="I215" s="13" t="s">
        <v>5292</v>
      </c>
      <c r="J215" s="13" t="s">
        <v>5289</v>
      </c>
      <c r="K215" s="13" t="s">
        <v>5292</v>
      </c>
      <c r="L215" s="13" t="s">
        <v>5402</v>
      </c>
      <c r="M215" s="13"/>
      <c r="N215" s="13"/>
      <c r="O215" s="13"/>
      <c r="P215" s="13" t="s">
        <v>5291</v>
      </c>
      <c r="Q215" s="13" t="s">
        <v>5289</v>
      </c>
      <c r="R215" s="13" t="s">
        <v>5292</v>
      </c>
      <c r="S215" s="13" t="s">
        <v>5293</v>
      </c>
      <c r="T215" s="13" t="s">
        <v>3</v>
      </c>
      <c r="U215" s="13" t="s">
        <v>85</v>
      </c>
      <c r="V215" s="13" t="n">
        <f aca="false">IF(COUNTIF($B$2:B215,B215)=1,1,0)</f>
        <v>1</v>
      </c>
      <c r="W215" s="13" t="n">
        <f aca="false">IF(COUNTIFS($B$2:B215,B215,$T$2:T215,T215)=1,1,0)</f>
        <v>1</v>
      </c>
    </row>
    <row r="216" customFormat="false" ht="15" hidden="false" customHeight="false" outlineLevel="0" collapsed="false">
      <c r="A216" s="13" t="s">
        <v>410</v>
      </c>
      <c r="B216" s="13" t="s">
        <v>179</v>
      </c>
      <c r="C216" s="13" t="n">
        <v>8400</v>
      </c>
      <c r="D216" s="13" t="n">
        <v>40</v>
      </c>
      <c r="E216" s="13" t="n">
        <v>239</v>
      </c>
      <c r="F216" s="13" t="s">
        <v>5325</v>
      </c>
      <c r="G216" s="13" t="s">
        <v>5289</v>
      </c>
      <c r="H216" s="13" t="s">
        <v>5289</v>
      </c>
      <c r="I216" s="13" t="s">
        <v>5289</v>
      </c>
      <c r="J216" s="13" t="s">
        <v>5289</v>
      </c>
      <c r="K216" s="13" t="s">
        <v>5292</v>
      </c>
      <c r="L216" s="13" t="s">
        <v>2837</v>
      </c>
      <c r="M216" s="13"/>
      <c r="N216" s="13" t="n">
        <v>7908005330838</v>
      </c>
      <c r="O216" s="13"/>
      <c r="P216" s="13" t="s">
        <v>5291</v>
      </c>
      <c r="Q216" s="13" t="s">
        <v>5289</v>
      </c>
      <c r="R216" s="13" t="s">
        <v>5292</v>
      </c>
      <c r="S216" s="13" t="s">
        <v>5293</v>
      </c>
      <c r="T216" s="13" t="s">
        <v>3</v>
      </c>
      <c r="U216" s="13" t="s">
        <v>180</v>
      </c>
      <c r="V216" s="13" t="n">
        <f aca="false">IF(COUNTIF($B$2:B216,B216)=1,1,0)</f>
        <v>0</v>
      </c>
      <c r="W216" s="13" t="n">
        <f aca="false">IF(COUNTIFS($B$2:B216,B216,$T$2:T216,T216)=1,1,0)</f>
        <v>0</v>
      </c>
    </row>
    <row r="217" customFormat="false" ht="15" hidden="false" customHeight="false" outlineLevel="0" collapsed="false">
      <c r="A217" s="13" t="s">
        <v>411</v>
      </c>
      <c r="B217" s="13" t="s">
        <v>179</v>
      </c>
      <c r="C217" s="13" t="n">
        <v>8300</v>
      </c>
      <c r="D217" s="13" t="n">
        <v>60</v>
      </c>
      <c r="E217" s="13" t="n">
        <v>129</v>
      </c>
      <c r="F217" s="13" t="s">
        <v>5325</v>
      </c>
      <c r="G217" s="13" t="s">
        <v>5289</v>
      </c>
      <c r="H217" s="13" t="s">
        <v>5289</v>
      </c>
      <c r="I217" s="13" t="s">
        <v>5289</v>
      </c>
      <c r="J217" s="13" t="s">
        <v>5289</v>
      </c>
      <c r="K217" s="13" t="s">
        <v>5292</v>
      </c>
      <c r="L217" s="13" t="s">
        <v>5403</v>
      </c>
      <c r="M217" s="13"/>
      <c r="N217" s="13" t="n">
        <v>7898618486995</v>
      </c>
      <c r="O217" s="13"/>
      <c r="P217" s="13" t="s">
        <v>5297</v>
      </c>
      <c r="Q217" s="13" t="s">
        <v>5289</v>
      </c>
      <c r="R217" s="13" t="s">
        <v>5292</v>
      </c>
      <c r="S217" s="13" t="s">
        <v>5293</v>
      </c>
      <c r="T217" s="13" t="s">
        <v>3</v>
      </c>
      <c r="U217" s="13" t="s">
        <v>180</v>
      </c>
      <c r="V217" s="13" t="n">
        <f aca="false">IF(COUNTIF($B$2:B217,B217)=1,1,0)</f>
        <v>0</v>
      </c>
      <c r="W217" s="13" t="n">
        <f aca="false">IF(COUNTIFS($B$2:B217,B217,$T$2:T217,T217)=1,1,0)</f>
        <v>0</v>
      </c>
    </row>
    <row r="218" customFormat="false" ht="15" hidden="false" customHeight="false" outlineLevel="0" collapsed="false">
      <c r="A218" s="13" t="s">
        <v>416</v>
      </c>
      <c r="B218" s="13" t="s">
        <v>191</v>
      </c>
      <c r="C218" s="13" t="n">
        <v>8200</v>
      </c>
      <c r="D218" s="13" t="n">
        <v>60</v>
      </c>
      <c r="E218" s="13" t="n">
        <v>128.115</v>
      </c>
      <c r="F218" s="13" t="s">
        <v>5288</v>
      </c>
      <c r="G218" s="13" t="s">
        <v>5289</v>
      </c>
      <c r="H218" s="13" t="s">
        <v>5289</v>
      </c>
      <c r="I218" s="13" t="s">
        <v>5289</v>
      </c>
      <c r="J218" s="13" t="s">
        <v>5289</v>
      </c>
      <c r="K218" s="13" t="s">
        <v>5292</v>
      </c>
      <c r="L218" s="13" t="s">
        <v>2844</v>
      </c>
      <c r="M218" s="13"/>
      <c r="N218" s="13" t="n">
        <v>7898973267352</v>
      </c>
      <c r="O218" s="13"/>
      <c r="P218" s="13" t="s">
        <v>5291</v>
      </c>
      <c r="Q218" s="13" t="s">
        <v>5289</v>
      </c>
      <c r="R218" s="13" t="s">
        <v>5292</v>
      </c>
      <c r="S218" s="13" t="s">
        <v>5293</v>
      </c>
      <c r="T218" s="13" t="s">
        <v>3</v>
      </c>
      <c r="U218" s="13" t="s">
        <v>85</v>
      </c>
      <c r="V218" s="13" t="n">
        <f aca="false">IF(COUNTIF($B$2:B218,B218)=1,1,0)</f>
        <v>0</v>
      </c>
      <c r="W218" s="13" t="n">
        <f aca="false">IF(COUNTIFS($B$2:B218,B218,$T$2:T218,T218)=1,1,0)</f>
        <v>0</v>
      </c>
    </row>
    <row r="219" customFormat="false" ht="15" hidden="false" customHeight="false" outlineLevel="0" collapsed="false">
      <c r="A219" s="13" t="s">
        <v>2756</v>
      </c>
      <c r="B219" s="13" t="s">
        <v>2097</v>
      </c>
      <c r="C219" s="13" t="n">
        <v>8200</v>
      </c>
      <c r="D219" s="13" t="n">
        <v>160</v>
      </c>
      <c r="E219" s="13" t="n">
        <v>52.3167307692308</v>
      </c>
      <c r="F219" s="13" t="s">
        <v>5288</v>
      </c>
      <c r="G219" s="13" t="s">
        <v>5289</v>
      </c>
      <c r="H219" s="13" t="s">
        <v>5289</v>
      </c>
      <c r="I219" s="13" t="s">
        <v>5292</v>
      </c>
      <c r="J219" s="13" t="s">
        <v>5289</v>
      </c>
      <c r="K219" s="13" t="s">
        <v>5289</v>
      </c>
      <c r="L219" s="13" t="s">
        <v>2755</v>
      </c>
      <c r="M219" s="13"/>
      <c r="N219" s="13" t="n">
        <v>7908407008250</v>
      </c>
      <c r="O219" s="13"/>
      <c r="P219" s="13" t="s">
        <v>5291</v>
      </c>
      <c r="Q219" s="13" t="s">
        <v>5289</v>
      </c>
      <c r="R219" s="13" t="s">
        <v>5292</v>
      </c>
      <c r="S219" s="13" t="s">
        <v>5293</v>
      </c>
      <c r="T219" s="13" t="s">
        <v>3</v>
      </c>
      <c r="U219" s="13" t="s">
        <v>85</v>
      </c>
      <c r="V219" s="13" t="n">
        <f aca="false">IF(COUNTIF($B$2:B219,B219)=1,1,0)</f>
        <v>0</v>
      </c>
      <c r="W219" s="13" t="n">
        <f aca="false">IF(COUNTIFS($B$2:B219,B219,$T$2:T219,T219)=1,1,0)</f>
        <v>0</v>
      </c>
    </row>
    <row r="220" customFormat="false" ht="15" hidden="false" customHeight="false" outlineLevel="0" collapsed="false">
      <c r="A220" s="13" t="s">
        <v>423</v>
      </c>
      <c r="B220" s="13" t="s">
        <v>69</v>
      </c>
      <c r="C220" s="13" t="n">
        <v>8100</v>
      </c>
      <c r="D220" s="13" t="n">
        <v>5</v>
      </c>
      <c r="E220" s="13" t="n">
        <v>809.56</v>
      </c>
      <c r="F220" s="13" t="s">
        <v>5288</v>
      </c>
      <c r="G220" s="13" t="s">
        <v>5289</v>
      </c>
      <c r="H220" s="13" t="s">
        <v>5289</v>
      </c>
      <c r="I220" s="13" t="s">
        <v>5289</v>
      </c>
      <c r="J220" s="13" t="s">
        <v>5289</v>
      </c>
      <c r="K220" s="13" t="s">
        <v>5289</v>
      </c>
      <c r="L220" s="13" t="s">
        <v>2816</v>
      </c>
      <c r="M220" s="13"/>
      <c r="N220" s="13" t="n">
        <v>3614274151701</v>
      </c>
      <c r="O220" s="13"/>
      <c r="P220" s="13" t="s">
        <v>5291</v>
      </c>
      <c r="Q220" s="13" t="s">
        <v>5289</v>
      </c>
      <c r="R220" s="13" t="s">
        <v>5292</v>
      </c>
      <c r="S220" s="13" t="s">
        <v>5293</v>
      </c>
      <c r="T220" s="13" t="s">
        <v>3</v>
      </c>
      <c r="U220" s="13" t="s">
        <v>43</v>
      </c>
      <c r="V220" s="13" t="n">
        <f aca="false">IF(COUNTIF($B$2:B220,B220)=1,1,0)</f>
        <v>0</v>
      </c>
      <c r="W220" s="13" t="n">
        <f aca="false">IF(COUNTIFS($B$2:B220,B220,$T$2:T220,T220)=1,1,0)</f>
        <v>0</v>
      </c>
    </row>
    <row r="221" customFormat="false" ht="15" hidden="false" customHeight="false" outlineLevel="0" collapsed="false">
      <c r="A221" s="13" t="s">
        <v>2849</v>
      </c>
      <c r="B221" s="13" t="s">
        <v>2166</v>
      </c>
      <c r="C221" s="13" t="n">
        <v>8100</v>
      </c>
      <c r="D221" s="13" t="n">
        <v>220</v>
      </c>
      <c r="E221" s="13" t="n">
        <v>37.2988479262673</v>
      </c>
      <c r="F221" s="13" t="s">
        <v>5288</v>
      </c>
      <c r="G221" s="13" t="s">
        <v>5289</v>
      </c>
      <c r="H221" s="13" t="s">
        <v>5289</v>
      </c>
      <c r="I221" s="13" t="s">
        <v>5292</v>
      </c>
      <c r="J221" s="13" t="s">
        <v>5289</v>
      </c>
      <c r="K221" s="13" t="s">
        <v>5289</v>
      </c>
      <c r="L221" s="13" t="s">
        <v>2848</v>
      </c>
      <c r="M221" s="13"/>
      <c r="N221" s="13" t="n">
        <v>7908985904470</v>
      </c>
      <c r="O221" s="13"/>
      <c r="P221" s="13" t="s">
        <v>5291</v>
      </c>
      <c r="Q221" s="13" t="s">
        <v>5289</v>
      </c>
      <c r="R221" s="13" t="s">
        <v>5292</v>
      </c>
      <c r="S221" s="13" t="s">
        <v>5293</v>
      </c>
      <c r="T221" s="13" t="s">
        <v>3</v>
      </c>
      <c r="U221" s="13" t="s">
        <v>85</v>
      </c>
      <c r="V221" s="13" t="n">
        <f aca="false">IF(COUNTIF($B$2:B221,B221)=1,1,0)</f>
        <v>1</v>
      </c>
      <c r="W221" s="13" t="n">
        <f aca="false">IF(COUNTIFS($B$2:B221,B221,$T$2:T221,T221)=1,1,0)</f>
        <v>1</v>
      </c>
    </row>
    <row r="222" customFormat="false" ht="15" hidden="false" customHeight="false" outlineLevel="0" collapsed="false">
      <c r="A222" s="13" t="s">
        <v>314</v>
      </c>
      <c r="B222" s="13" t="s">
        <v>92</v>
      </c>
      <c r="C222" s="13" t="n">
        <v>8000</v>
      </c>
      <c r="D222" s="13" t="n">
        <v>10</v>
      </c>
      <c r="E222" s="13" t="n">
        <v>669.925833333333</v>
      </c>
      <c r="F222" s="13" t="s">
        <v>5288</v>
      </c>
      <c r="G222" s="13" t="s">
        <v>5289</v>
      </c>
      <c r="H222" s="13" t="s">
        <v>5289</v>
      </c>
      <c r="I222" s="13" t="s">
        <v>5289</v>
      </c>
      <c r="J222" s="13" t="s">
        <v>5289</v>
      </c>
      <c r="K222" s="13" t="s">
        <v>5289</v>
      </c>
      <c r="L222" s="13" t="s">
        <v>2370</v>
      </c>
      <c r="M222" s="13"/>
      <c r="N222" s="13" t="n">
        <v>3616302038633</v>
      </c>
      <c r="O222" s="13"/>
      <c r="P222" s="13" t="s">
        <v>5291</v>
      </c>
      <c r="Q222" s="13" t="s">
        <v>5289</v>
      </c>
      <c r="R222" s="13" t="s">
        <v>5292</v>
      </c>
      <c r="S222" s="13" t="s">
        <v>5293</v>
      </c>
      <c r="T222" s="13" t="s">
        <v>3</v>
      </c>
      <c r="U222" s="13" t="s">
        <v>43</v>
      </c>
      <c r="V222" s="13" t="n">
        <f aca="false">IF(COUNTIF($B$2:B222,B222)=1,1,0)</f>
        <v>0</v>
      </c>
      <c r="W222" s="13" t="n">
        <f aca="false">IF(COUNTIFS($B$2:B222,B222,$T$2:T222,T222)=1,1,0)</f>
        <v>0</v>
      </c>
    </row>
    <row r="223" customFormat="false" ht="15" hidden="false" customHeight="false" outlineLevel="0" collapsed="false">
      <c r="A223" s="13" t="s">
        <v>425</v>
      </c>
      <c r="B223" s="13" t="s">
        <v>87</v>
      </c>
      <c r="C223" s="13" t="n">
        <v>8000</v>
      </c>
      <c r="D223" s="13" t="n">
        <v>5</v>
      </c>
      <c r="E223" s="13" t="n">
        <v>1137.79142857143</v>
      </c>
      <c r="F223" s="13" t="s">
        <v>5288</v>
      </c>
      <c r="G223" s="13" t="s">
        <v>5289</v>
      </c>
      <c r="H223" s="13" t="s">
        <v>5289</v>
      </c>
      <c r="I223" s="13" t="s">
        <v>5289</v>
      </c>
      <c r="J223" s="13" t="s">
        <v>5289</v>
      </c>
      <c r="K223" s="13" t="s">
        <v>5289</v>
      </c>
      <c r="L223" s="13" t="s">
        <v>5404</v>
      </c>
      <c r="M223" s="13"/>
      <c r="N223" s="13" t="n">
        <v>22255066945</v>
      </c>
      <c r="O223" s="13"/>
      <c r="P223" s="13" t="s">
        <v>5291</v>
      </c>
      <c r="Q223" s="13" t="s">
        <v>5289</v>
      </c>
      <c r="R223" s="13" t="s">
        <v>5292</v>
      </c>
      <c r="S223" s="13" t="s">
        <v>5293</v>
      </c>
      <c r="T223" s="13" t="s">
        <v>3</v>
      </c>
      <c r="U223" s="13" t="s">
        <v>66</v>
      </c>
      <c r="V223" s="13" t="n">
        <f aca="false">IF(COUNTIF($B$2:B223,B223)=1,1,0)</f>
        <v>0</v>
      </c>
      <c r="W223" s="13" t="n">
        <f aca="false">IF(COUNTIFS($B$2:B223,B223,$T$2:T223,T223)=1,1,0)</f>
        <v>0</v>
      </c>
    </row>
    <row r="224" customFormat="false" ht="15" hidden="false" customHeight="false" outlineLevel="0" collapsed="false">
      <c r="A224" s="13" t="s">
        <v>429</v>
      </c>
      <c r="B224" s="13" t="s">
        <v>143</v>
      </c>
      <c r="C224" s="13" t="n">
        <v>7900</v>
      </c>
      <c r="D224" s="13" t="n">
        <v>20</v>
      </c>
      <c r="E224" s="13" t="n">
        <v>440.046111111111</v>
      </c>
      <c r="F224" s="13" t="s">
        <v>5288</v>
      </c>
      <c r="G224" s="13" t="s">
        <v>5289</v>
      </c>
      <c r="H224" s="13" t="s">
        <v>5289</v>
      </c>
      <c r="I224" s="13" t="s">
        <v>5289</v>
      </c>
      <c r="J224" s="13" t="s">
        <v>5289</v>
      </c>
      <c r="K224" s="13" t="s">
        <v>5289</v>
      </c>
      <c r="L224" s="13" t="s">
        <v>2862</v>
      </c>
      <c r="M224" s="13"/>
      <c r="N224" s="13" t="n">
        <v>711719572688</v>
      </c>
      <c r="O224" s="13"/>
      <c r="P224" s="13" t="s">
        <v>5297</v>
      </c>
      <c r="Q224" s="13" t="s">
        <v>5289</v>
      </c>
      <c r="R224" s="13" t="s">
        <v>5292</v>
      </c>
      <c r="S224" s="13" t="s">
        <v>5293</v>
      </c>
      <c r="T224" s="13" t="s">
        <v>3</v>
      </c>
      <c r="U224" s="13" t="s">
        <v>144</v>
      </c>
      <c r="V224" s="13" t="n">
        <f aca="false">IF(COUNTIF($B$2:B224,B224)=1,1,0)</f>
        <v>0</v>
      </c>
      <c r="W224" s="13" t="n">
        <f aca="false">IF(COUNTIFS($B$2:B224,B224,$T$2:T224,T224)=1,1,0)</f>
        <v>0</v>
      </c>
    </row>
    <row r="225" customFormat="false" ht="15" hidden="false" customHeight="false" outlineLevel="0" collapsed="false">
      <c r="A225" s="13" t="s">
        <v>435</v>
      </c>
      <c r="B225" s="13" t="s">
        <v>111</v>
      </c>
      <c r="C225" s="13" t="n">
        <v>7900</v>
      </c>
      <c r="D225" s="13" t="n">
        <v>30</v>
      </c>
      <c r="E225" s="13" t="n">
        <v>293.28962962963</v>
      </c>
      <c r="F225" s="13" t="s">
        <v>5288</v>
      </c>
      <c r="G225" s="13" t="s">
        <v>5289</v>
      </c>
      <c r="H225" s="13" t="s">
        <v>5289</v>
      </c>
      <c r="I225" s="13" t="s">
        <v>5289</v>
      </c>
      <c r="J225" s="13" t="s">
        <v>5289</v>
      </c>
      <c r="K225" s="13" t="s">
        <v>5292</v>
      </c>
      <c r="L225" s="13" t="s">
        <v>2839</v>
      </c>
      <c r="M225" s="13"/>
      <c r="N225" s="13" t="n">
        <v>3595471061010</v>
      </c>
      <c r="O225" s="13"/>
      <c r="P225" s="13" t="s">
        <v>5291</v>
      </c>
      <c r="Q225" s="13" t="s">
        <v>5289</v>
      </c>
      <c r="R225" s="13" t="s">
        <v>5292</v>
      </c>
      <c r="S225" s="13" t="s">
        <v>5293</v>
      </c>
      <c r="T225" s="13" t="s">
        <v>3</v>
      </c>
      <c r="U225" s="13" t="s">
        <v>43</v>
      </c>
      <c r="V225" s="13" t="n">
        <f aca="false">IF(COUNTIF($B$2:B225,B225)=1,1,0)</f>
        <v>0</v>
      </c>
      <c r="W225" s="13" t="n">
        <f aca="false">IF(COUNTIFS($B$2:B225,B225,$T$2:T225,T225)=1,1,0)</f>
        <v>0</v>
      </c>
    </row>
    <row r="226" customFormat="false" ht="15" hidden="false" customHeight="false" outlineLevel="0" collapsed="false">
      <c r="A226" s="13" t="s">
        <v>2724</v>
      </c>
      <c r="B226" s="13" t="s">
        <v>2111</v>
      </c>
      <c r="C226" s="13" t="n">
        <v>7900</v>
      </c>
      <c r="D226" s="13" t="n">
        <v>10</v>
      </c>
      <c r="E226" s="13" t="n">
        <v>562.421428571429</v>
      </c>
      <c r="F226" s="13" t="s">
        <v>5288</v>
      </c>
      <c r="G226" s="13" t="s">
        <v>5289</v>
      </c>
      <c r="H226" s="13" t="s">
        <v>5289</v>
      </c>
      <c r="I226" s="13" t="s">
        <v>5289</v>
      </c>
      <c r="J226" s="13" t="s">
        <v>5289</v>
      </c>
      <c r="K226" s="13" t="s">
        <v>5289</v>
      </c>
      <c r="L226" s="13" t="s">
        <v>2723</v>
      </c>
      <c r="M226" s="13"/>
      <c r="N226" s="13" t="n">
        <v>3386460119252</v>
      </c>
      <c r="O226" s="13"/>
      <c r="P226" s="13" t="s">
        <v>5291</v>
      </c>
      <c r="Q226" s="13" t="s">
        <v>5289</v>
      </c>
      <c r="R226" s="13" t="s">
        <v>5292</v>
      </c>
      <c r="S226" s="13" t="s">
        <v>5293</v>
      </c>
      <c r="T226" s="13" t="s">
        <v>3</v>
      </c>
      <c r="U226" s="13" t="s">
        <v>43</v>
      </c>
      <c r="V226" s="13" t="n">
        <f aca="false">IF(COUNTIF($B$2:B226,B226)=1,1,0)</f>
        <v>1</v>
      </c>
      <c r="W226" s="13" t="n">
        <f aca="false">IF(COUNTIFS($B$2:B226,B226,$T$2:T226,T226)=1,1,0)</f>
        <v>1</v>
      </c>
    </row>
    <row r="227" customFormat="false" ht="15" hidden="false" customHeight="false" outlineLevel="0" collapsed="false">
      <c r="A227" s="13" t="s">
        <v>438</v>
      </c>
      <c r="B227" s="13" t="s">
        <v>87</v>
      </c>
      <c r="C227" s="13" t="n">
        <v>7700</v>
      </c>
      <c r="D227" s="13" t="n">
        <v>40</v>
      </c>
      <c r="E227" s="13" t="n">
        <v>203.745263157895</v>
      </c>
      <c r="F227" s="13" t="s">
        <v>5288</v>
      </c>
      <c r="G227" s="13" t="s">
        <v>5289</v>
      </c>
      <c r="H227" s="13" t="s">
        <v>5289</v>
      </c>
      <c r="I227" s="13" t="s">
        <v>5289</v>
      </c>
      <c r="J227" s="13" t="s">
        <v>5289</v>
      </c>
      <c r="K227" s="13" t="s">
        <v>5289</v>
      </c>
      <c r="L227" s="13" t="s">
        <v>5405</v>
      </c>
      <c r="M227" s="13"/>
      <c r="N227" s="13" t="n">
        <v>22255233651</v>
      </c>
      <c r="O227" s="13"/>
      <c r="P227" s="13" t="s">
        <v>5291</v>
      </c>
      <c r="Q227" s="13" t="s">
        <v>5289</v>
      </c>
      <c r="R227" s="13" t="s">
        <v>5292</v>
      </c>
      <c r="S227" s="13" t="s">
        <v>5293</v>
      </c>
      <c r="T227" s="13" t="s">
        <v>3</v>
      </c>
      <c r="U227" s="13" t="s">
        <v>66</v>
      </c>
      <c r="V227" s="13" t="n">
        <f aca="false">IF(COUNTIF($B$2:B227,B227)=1,1,0)</f>
        <v>0</v>
      </c>
      <c r="W227" s="13" t="n">
        <f aca="false">IF(COUNTIFS($B$2:B227,B227,$T$2:T227,T227)=1,1,0)</f>
        <v>0</v>
      </c>
    </row>
    <row r="228" customFormat="false" ht="15" hidden="false" customHeight="false" outlineLevel="0" collapsed="false">
      <c r="A228" s="13" t="s">
        <v>2944</v>
      </c>
      <c r="B228" s="13" t="s">
        <v>2113</v>
      </c>
      <c r="C228" s="13" t="n">
        <v>7700</v>
      </c>
      <c r="D228" s="13" t="n">
        <v>90</v>
      </c>
      <c r="E228" s="13" t="n">
        <v>85.1417777777778</v>
      </c>
      <c r="F228" s="13" t="s">
        <v>5288</v>
      </c>
      <c r="G228" s="13" t="s">
        <v>5289</v>
      </c>
      <c r="H228" s="13" t="s">
        <v>5289</v>
      </c>
      <c r="I228" s="13" t="s">
        <v>5289</v>
      </c>
      <c r="J228" s="13" t="s">
        <v>5289</v>
      </c>
      <c r="K228" s="13" t="s">
        <v>5292</v>
      </c>
      <c r="L228" s="13" t="s">
        <v>5406</v>
      </c>
      <c r="M228" s="13"/>
      <c r="N228" s="13"/>
      <c r="O228" s="13"/>
      <c r="P228" s="13" t="s">
        <v>5291</v>
      </c>
      <c r="Q228" s="13" t="s">
        <v>5289</v>
      </c>
      <c r="R228" s="13" t="s">
        <v>5292</v>
      </c>
      <c r="S228" s="13" t="s">
        <v>5293</v>
      </c>
      <c r="T228" s="13" t="s">
        <v>3</v>
      </c>
      <c r="U228" s="13" t="s">
        <v>183</v>
      </c>
      <c r="V228" s="13" t="n">
        <f aca="false">IF(COUNTIF($B$2:B228,B228)=1,1,0)</f>
        <v>0</v>
      </c>
      <c r="W228" s="13" t="n">
        <f aca="false">IF(COUNTIFS($B$2:B228,B228,$T$2:T228,T228)=1,1,0)</f>
        <v>0</v>
      </c>
    </row>
    <row r="229" customFormat="false" ht="15" hidden="false" customHeight="false" outlineLevel="0" collapsed="false">
      <c r="A229" s="13" t="s">
        <v>2662</v>
      </c>
      <c r="B229" s="13" t="s">
        <v>2144</v>
      </c>
      <c r="C229" s="13" t="n">
        <v>7600</v>
      </c>
      <c r="D229" s="13" t="n">
        <v>40</v>
      </c>
      <c r="E229" s="13" t="n">
        <v>199.67</v>
      </c>
      <c r="F229" s="13" t="s">
        <v>5288</v>
      </c>
      <c r="G229" s="13" t="s">
        <v>5289</v>
      </c>
      <c r="H229" s="13" t="s">
        <v>5289</v>
      </c>
      <c r="I229" s="13" t="s">
        <v>5289</v>
      </c>
      <c r="J229" s="13" t="s">
        <v>5289</v>
      </c>
      <c r="K229" s="13" t="s">
        <v>5289</v>
      </c>
      <c r="L229" s="13" t="s">
        <v>5407</v>
      </c>
      <c r="M229" s="13"/>
      <c r="N229" s="13" t="n">
        <v>716393009581</v>
      </c>
      <c r="O229" s="13"/>
      <c r="P229" s="13" t="s">
        <v>5291</v>
      </c>
      <c r="Q229" s="13" t="s">
        <v>5289</v>
      </c>
      <c r="R229" s="13" t="s">
        <v>5292</v>
      </c>
      <c r="S229" s="13" t="s">
        <v>5293</v>
      </c>
      <c r="T229" s="13" t="s">
        <v>3</v>
      </c>
      <c r="U229" s="13" t="s">
        <v>43</v>
      </c>
      <c r="V229" s="13" t="n">
        <f aca="false">IF(COUNTIF($B$2:B229,B229)=1,1,0)</f>
        <v>1</v>
      </c>
      <c r="W229" s="13" t="n">
        <f aca="false">IF(COUNTIFS($B$2:B229,B229,$T$2:T229,T229)=1,1,0)</f>
        <v>1</v>
      </c>
    </row>
    <row r="230" customFormat="false" ht="15" hidden="false" customHeight="false" outlineLevel="0" collapsed="false">
      <c r="A230" s="13" t="s">
        <v>109</v>
      </c>
      <c r="B230" s="13" t="s">
        <v>69</v>
      </c>
      <c r="C230" s="13" t="n">
        <v>7500</v>
      </c>
      <c r="D230" s="13" t="n">
        <v>5</v>
      </c>
      <c r="E230" s="13" t="n">
        <v>754.08</v>
      </c>
      <c r="F230" s="13" t="s">
        <v>5288</v>
      </c>
      <c r="G230" s="13" t="s">
        <v>5289</v>
      </c>
      <c r="H230" s="13" t="s">
        <v>5289</v>
      </c>
      <c r="I230" s="13" t="s">
        <v>5289</v>
      </c>
      <c r="J230" s="13" t="s">
        <v>5289</v>
      </c>
      <c r="K230" s="13" t="s">
        <v>5292</v>
      </c>
      <c r="L230" s="13" t="s">
        <v>2394</v>
      </c>
      <c r="M230" s="13"/>
      <c r="N230" s="13" t="n">
        <v>3614273321891</v>
      </c>
      <c r="O230" s="13"/>
      <c r="P230" s="13" t="s">
        <v>5291</v>
      </c>
      <c r="Q230" s="13" t="s">
        <v>5289</v>
      </c>
      <c r="R230" s="13" t="s">
        <v>5292</v>
      </c>
      <c r="S230" s="13" t="s">
        <v>5293</v>
      </c>
      <c r="T230" s="13" t="s">
        <v>3</v>
      </c>
      <c r="U230" s="13" t="s">
        <v>43</v>
      </c>
      <c r="V230" s="13" t="n">
        <f aca="false">IF(COUNTIF($B$2:B230,B230)=1,1,0)</f>
        <v>0</v>
      </c>
      <c r="W230" s="13" t="n">
        <f aca="false">IF(COUNTIFS($B$2:B230,B230,$T$2:T230,T230)=1,1,0)</f>
        <v>0</v>
      </c>
    </row>
    <row r="231" customFormat="false" ht="15" hidden="false" customHeight="false" outlineLevel="0" collapsed="false">
      <c r="A231" s="13" t="s">
        <v>5316</v>
      </c>
      <c r="B231" s="13" t="s">
        <v>2097</v>
      </c>
      <c r="C231" s="13" t="n">
        <v>7400</v>
      </c>
      <c r="D231" s="13" t="n">
        <v>150</v>
      </c>
      <c r="E231" s="13" t="n">
        <v>48.8886184210526</v>
      </c>
      <c r="F231" s="13" t="s">
        <v>5288</v>
      </c>
      <c r="G231" s="13" t="s">
        <v>5289</v>
      </c>
      <c r="H231" s="13" t="s">
        <v>5292</v>
      </c>
      <c r="I231" s="13" t="s">
        <v>5292</v>
      </c>
      <c r="J231" s="13" t="s">
        <v>5289</v>
      </c>
      <c r="K231" s="13" t="s">
        <v>5292</v>
      </c>
      <c r="L231" s="13" t="s">
        <v>5317</v>
      </c>
      <c r="M231" s="13"/>
      <c r="N231" s="13"/>
      <c r="O231" s="13"/>
      <c r="P231" s="13" t="s">
        <v>5297</v>
      </c>
      <c r="Q231" s="13" t="s">
        <v>5289</v>
      </c>
      <c r="R231" s="13" t="s">
        <v>5292</v>
      </c>
      <c r="S231" s="13" t="s">
        <v>5293</v>
      </c>
      <c r="T231" s="13" t="s">
        <v>3</v>
      </c>
      <c r="U231" s="13" t="s">
        <v>140</v>
      </c>
      <c r="V231" s="13" t="n">
        <f aca="false">IF(COUNTIF($B$2:B231,B231)=1,1,0)</f>
        <v>0</v>
      </c>
      <c r="W231" s="13" t="n">
        <f aca="false">IF(COUNTIFS($B$2:B231,B231,$T$2:T231,T231)=1,1,0)</f>
        <v>0</v>
      </c>
    </row>
    <row r="232" customFormat="false" ht="15" hidden="false" customHeight="false" outlineLevel="0" collapsed="false">
      <c r="A232" s="13" t="s">
        <v>2796</v>
      </c>
      <c r="B232" s="13" t="s">
        <v>2095</v>
      </c>
      <c r="C232" s="13" t="n">
        <v>7400</v>
      </c>
      <c r="D232" s="13" t="n">
        <v>30</v>
      </c>
      <c r="E232" s="13" t="n">
        <v>283.538076923077</v>
      </c>
      <c r="F232" s="13" t="s">
        <v>5288</v>
      </c>
      <c r="G232" s="13" t="s">
        <v>5289</v>
      </c>
      <c r="H232" s="13" t="s">
        <v>5289</v>
      </c>
      <c r="I232" s="13" t="s">
        <v>5289</v>
      </c>
      <c r="J232" s="13" t="s">
        <v>5289</v>
      </c>
      <c r="K232" s="13" t="s">
        <v>5289</v>
      </c>
      <c r="L232" s="13" t="s">
        <v>5408</v>
      </c>
      <c r="M232" s="13"/>
      <c r="N232" s="13" t="n">
        <v>7898665433843</v>
      </c>
      <c r="O232" s="13"/>
      <c r="P232" s="13" t="s">
        <v>5291</v>
      </c>
      <c r="Q232" s="13" t="s">
        <v>5289</v>
      </c>
      <c r="R232" s="13" t="s">
        <v>5292</v>
      </c>
      <c r="S232" s="13" t="s">
        <v>5293</v>
      </c>
      <c r="T232" s="13" t="s">
        <v>3</v>
      </c>
      <c r="U232" s="13" t="s">
        <v>85</v>
      </c>
      <c r="V232" s="13" t="n">
        <f aca="false">IF(COUNTIF($B$2:B232,B232)=1,1,0)</f>
        <v>0</v>
      </c>
      <c r="W232" s="13" t="n">
        <f aca="false">IF(COUNTIFS($B$2:B232,B232,$T$2:T232,T232)=1,1,0)</f>
        <v>0</v>
      </c>
    </row>
    <row r="233" customFormat="false" ht="15" hidden="false" customHeight="false" outlineLevel="0" collapsed="false">
      <c r="A233" s="13" t="s">
        <v>454</v>
      </c>
      <c r="B233" s="13" t="s">
        <v>79</v>
      </c>
      <c r="C233" s="13" t="n">
        <v>7200</v>
      </c>
      <c r="D233" s="13" t="n">
        <v>10</v>
      </c>
      <c r="E233" s="13" t="n">
        <v>599.996666666667</v>
      </c>
      <c r="F233" s="13" t="s">
        <v>5288</v>
      </c>
      <c r="G233" s="13" t="s">
        <v>5289</v>
      </c>
      <c r="H233" s="13" t="s">
        <v>5289</v>
      </c>
      <c r="I233" s="13" t="s">
        <v>5289</v>
      </c>
      <c r="J233" s="13" t="s">
        <v>5289</v>
      </c>
      <c r="K233" s="13" t="s">
        <v>5292</v>
      </c>
      <c r="L233" s="13" t="s">
        <v>2860</v>
      </c>
      <c r="M233" s="13"/>
      <c r="N233" s="13" t="n">
        <v>8057971180493</v>
      </c>
      <c r="O233" s="13"/>
      <c r="P233" s="13" t="s">
        <v>5291</v>
      </c>
      <c r="Q233" s="13" t="s">
        <v>5289</v>
      </c>
      <c r="R233" s="13" t="s">
        <v>5292</v>
      </c>
      <c r="S233" s="13" t="s">
        <v>5293</v>
      </c>
      <c r="T233" s="13" t="s">
        <v>3</v>
      </c>
      <c r="U233" s="13" t="s">
        <v>43</v>
      </c>
      <c r="V233" s="13" t="n">
        <f aca="false">IF(COUNTIF($B$2:B233,B233)=1,1,0)</f>
        <v>0</v>
      </c>
      <c r="W233" s="13" t="n">
        <f aca="false">IF(COUNTIFS($B$2:B233,B233,$T$2:T233,T233)=1,1,0)</f>
        <v>0</v>
      </c>
    </row>
    <row r="234" customFormat="false" ht="15" hidden="false" customHeight="false" outlineLevel="0" collapsed="false">
      <c r="A234" s="13" t="s">
        <v>462</v>
      </c>
      <c r="B234" s="13" t="s">
        <v>87</v>
      </c>
      <c r="C234" s="13" t="n">
        <v>7000</v>
      </c>
      <c r="D234" s="13" t="n">
        <v>40</v>
      </c>
      <c r="E234" s="13" t="n">
        <v>189.567027027027</v>
      </c>
      <c r="F234" s="13" t="s">
        <v>5288</v>
      </c>
      <c r="G234" s="13" t="s">
        <v>5289</v>
      </c>
      <c r="H234" s="13" t="s">
        <v>5289</v>
      </c>
      <c r="I234" s="13" t="s">
        <v>5289</v>
      </c>
      <c r="J234" s="13" t="s">
        <v>5289</v>
      </c>
      <c r="K234" s="13" t="s">
        <v>5289</v>
      </c>
      <c r="L234" s="13" t="s">
        <v>5409</v>
      </c>
      <c r="M234" s="13"/>
      <c r="N234" s="13" t="n">
        <v>22255233668</v>
      </c>
      <c r="O234" s="13"/>
      <c r="P234" s="13" t="s">
        <v>5291</v>
      </c>
      <c r="Q234" s="13" t="s">
        <v>5289</v>
      </c>
      <c r="R234" s="13" t="s">
        <v>5292</v>
      </c>
      <c r="S234" s="13" t="s">
        <v>5293</v>
      </c>
      <c r="T234" s="13" t="s">
        <v>3</v>
      </c>
      <c r="U234" s="13" t="s">
        <v>66</v>
      </c>
      <c r="V234" s="13" t="n">
        <f aca="false">IF(COUNTIF($B$2:B234,B234)=1,1,0)</f>
        <v>0</v>
      </c>
      <c r="W234" s="13" t="n">
        <f aca="false">IF(COUNTIFS($B$2:B234,B234,$T$2:T234,T234)=1,1,0)</f>
        <v>0</v>
      </c>
    </row>
    <row r="235" customFormat="false" ht="15" hidden="false" customHeight="false" outlineLevel="0" collapsed="false">
      <c r="A235" s="13" t="s">
        <v>2895</v>
      </c>
      <c r="B235" s="13" t="s">
        <v>2170</v>
      </c>
      <c r="C235" s="13" t="n">
        <v>7000</v>
      </c>
      <c r="D235" s="13" t="n">
        <v>50</v>
      </c>
      <c r="E235" s="13" t="n">
        <v>131.941886792453</v>
      </c>
      <c r="F235" s="13" t="s">
        <v>5288</v>
      </c>
      <c r="G235" s="13" t="s">
        <v>5289</v>
      </c>
      <c r="H235" s="13" t="s">
        <v>5289</v>
      </c>
      <c r="I235" s="13" t="s">
        <v>5289</v>
      </c>
      <c r="J235" s="13" t="s">
        <v>5289</v>
      </c>
      <c r="K235" s="13" t="s">
        <v>5289</v>
      </c>
      <c r="L235" s="13" t="s">
        <v>2894</v>
      </c>
      <c r="M235" s="13"/>
      <c r="N235" s="13" t="n">
        <v>7896075702023</v>
      </c>
      <c r="O235" s="13"/>
      <c r="P235" s="13" t="s">
        <v>5291</v>
      </c>
      <c r="Q235" s="13" t="s">
        <v>5289</v>
      </c>
      <c r="R235" s="13" t="s">
        <v>5292</v>
      </c>
      <c r="S235" s="13" t="s">
        <v>5293</v>
      </c>
      <c r="T235" s="13" t="s">
        <v>3</v>
      </c>
      <c r="U235" s="13" t="s">
        <v>85</v>
      </c>
      <c r="V235" s="13" t="n">
        <f aca="false">IF(COUNTIF($B$2:B235,B235)=1,1,0)</f>
        <v>1</v>
      </c>
      <c r="W235" s="13" t="n">
        <f aca="false">IF(COUNTIFS($B$2:B235,B235,$T$2:T235,T235)=1,1,0)</f>
        <v>1</v>
      </c>
    </row>
    <row r="236" customFormat="false" ht="15" hidden="false" customHeight="false" outlineLevel="0" collapsed="false">
      <c r="A236" s="13" t="s">
        <v>465</v>
      </c>
      <c r="B236" s="13" t="s">
        <v>87</v>
      </c>
      <c r="C236" s="13" t="n">
        <v>7000</v>
      </c>
      <c r="D236" s="13" t="n">
        <v>2</v>
      </c>
      <c r="E236" s="13" t="n">
        <v>1745.115</v>
      </c>
      <c r="F236" s="13" t="s">
        <v>5288</v>
      </c>
      <c r="G236" s="13" t="s">
        <v>5289</v>
      </c>
      <c r="H236" s="13" t="s">
        <v>5289</v>
      </c>
      <c r="I236" s="13" t="s">
        <v>5289</v>
      </c>
      <c r="J236" s="13" t="s">
        <v>5289</v>
      </c>
      <c r="K236" s="13" t="s">
        <v>5289</v>
      </c>
      <c r="L236" s="13" t="s">
        <v>5410</v>
      </c>
      <c r="M236" s="13"/>
      <c r="N236" s="13" t="n">
        <v>22255242530</v>
      </c>
      <c r="O236" s="13"/>
      <c r="P236" s="13" t="s">
        <v>5291</v>
      </c>
      <c r="Q236" s="13" t="s">
        <v>5289</v>
      </c>
      <c r="R236" s="13" t="s">
        <v>5292</v>
      </c>
      <c r="S236" s="13" t="s">
        <v>5293</v>
      </c>
      <c r="T236" s="13" t="s">
        <v>3</v>
      </c>
      <c r="U236" s="13" t="s">
        <v>66</v>
      </c>
      <c r="V236" s="13" t="n">
        <f aca="false">IF(COUNTIF($B$2:B236,B236)=1,1,0)</f>
        <v>0</v>
      </c>
      <c r="W236" s="13" t="n">
        <f aca="false">IF(COUNTIFS($B$2:B236,B236,$T$2:T236,T236)=1,1,0)</f>
        <v>0</v>
      </c>
    </row>
    <row r="237" customFormat="false" ht="15" hidden="false" customHeight="false" outlineLevel="0" collapsed="false">
      <c r="A237" s="13" t="s">
        <v>5411</v>
      </c>
      <c r="B237" s="13" t="s">
        <v>2101</v>
      </c>
      <c r="C237" s="13" t="n">
        <v>6900</v>
      </c>
      <c r="D237" s="13" t="n">
        <v>110</v>
      </c>
      <c r="E237" s="13" t="n">
        <v>65.5183018867924</v>
      </c>
      <c r="F237" s="13" t="s">
        <v>5288</v>
      </c>
      <c r="G237" s="13" t="s">
        <v>5289</v>
      </c>
      <c r="H237" s="13" t="s">
        <v>5289</v>
      </c>
      <c r="I237" s="13" t="s">
        <v>5292</v>
      </c>
      <c r="J237" s="13" t="s">
        <v>5289</v>
      </c>
      <c r="K237" s="13" t="s">
        <v>5292</v>
      </c>
      <c r="L237" s="13" t="s">
        <v>5412</v>
      </c>
      <c r="M237" s="13"/>
      <c r="N237" s="13"/>
      <c r="O237" s="13"/>
      <c r="P237" s="13" t="s">
        <v>5297</v>
      </c>
      <c r="Q237" s="13" t="s">
        <v>5289</v>
      </c>
      <c r="R237" s="13" t="s">
        <v>5292</v>
      </c>
      <c r="S237" s="13" t="s">
        <v>5293</v>
      </c>
      <c r="T237" s="13" t="s">
        <v>3</v>
      </c>
      <c r="U237" s="13" t="s">
        <v>85</v>
      </c>
      <c r="V237" s="13" t="n">
        <f aca="false">IF(COUNTIF($B$2:B237,B237)=1,1,0)</f>
        <v>0</v>
      </c>
      <c r="W237" s="13" t="n">
        <f aca="false">IF(COUNTIFS($B$2:B237,B237,$T$2:T237,T237)=1,1,0)</f>
        <v>0</v>
      </c>
    </row>
    <row r="238" customFormat="false" ht="15" hidden="false" customHeight="false" outlineLevel="0" collapsed="false">
      <c r="A238" s="13" t="s">
        <v>471</v>
      </c>
      <c r="B238" s="13" t="s">
        <v>470</v>
      </c>
      <c r="C238" s="13" t="n">
        <v>6700</v>
      </c>
      <c r="D238" s="13" t="n">
        <v>60</v>
      </c>
      <c r="E238" s="13" t="n">
        <v>103.722615384615</v>
      </c>
      <c r="F238" s="13" t="s">
        <v>5288</v>
      </c>
      <c r="G238" s="13" t="s">
        <v>5289</v>
      </c>
      <c r="H238" s="13" t="s">
        <v>5289</v>
      </c>
      <c r="I238" s="13" t="s">
        <v>5289</v>
      </c>
      <c r="J238" s="13" t="s">
        <v>5289</v>
      </c>
      <c r="K238" s="13" t="s">
        <v>5292</v>
      </c>
      <c r="L238" s="13" t="s">
        <v>5413</v>
      </c>
      <c r="M238" s="13"/>
      <c r="N238" s="13"/>
      <c r="O238" s="13"/>
      <c r="P238" s="13" t="s">
        <v>5291</v>
      </c>
      <c r="Q238" s="13" t="s">
        <v>5289</v>
      </c>
      <c r="R238" s="13" t="s">
        <v>5292</v>
      </c>
      <c r="S238" s="13" t="s">
        <v>5293</v>
      </c>
      <c r="T238" s="13" t="s">
        <v>3</v>
      </c>
      <c r="U238" s="13" t="s">
        <v>144</v>
      </c>
      <c r="V238" s="13" t="n">
        <f aca="false">IF(COUNTIF($B$2:B238,B238)=1,1,0)</f>
        <v>1</v>
      </c>
      <c r="W238" s="13" t="n">
        <f aca="false">IF(COUNTIFS($B$2:B238,B238,$T$2:T238,T238)=1,1,0)</f>
        <v>1</v>
      </c>
    </row>
    <row r="239" customFormat="false" ht="15" hidden="false" customHeight="false" outlineLevel="0" collapsed="false">
      <c r="A239" s="13" t="s">
        <v>472</v>
      </c>
      <c r="B239" s="13" t="s">
        <v>191</v>
      </c>
      <c r="C239" s="13" t="n">
        <v>6700</v>
      </c>
      <c r="D239" s="13" t="n">
        <v>60</v>
      </c>
      <c r="E239" s="13" t="n">
        <v>113.58813559322</v>
      </c>
      <c r="F239" s="13" t="s">
        <v>5288</v>
      </c>
      <c r="G239" s="13" t="s">
        <v>5289</v>
      </c>
      <c r="H239" s="13" t="s">
        <v>5289</v>
      </c>
      <c r="I239" s="13" t="s">
        <v>5289</v>
      </c>
      <c r="J239" s="13" t="s">
        <v>5289</v>
      </c>
      <c r="K239" s="13" t="s">
        <v>5292</v>
      </c>
      <c r="L239" s="13" t="s">
        <v>5414</v>
      </c>
      <c r="M239" s="13"/>
      <c r="N239" s="13" t="n">
        <v>7898973267826</v>
      </c>
      <c r="O239" s="13"/>
      <c r="P239" s="13" t="s">
        <v>5291</v>
      </c>
      <c r="Q239" s="13" t="s">
        <v>5289</v>
      </c>
      <c r="R239" s="13" t="s">
        <v>5292</v>
      </c>
      <c r="S239" s="13" t="s">
        <v>5293</v>
      </c>
      <c r="T239" s="13" t="s">
        <v>3</v>
      </c>
      <c r="U239" s="13" t="s">
        <v>183</v>
      </c>
      <c r="V239" s="13" t="n">
        <f aca="false">IF(COUNTIF($B$2:B239,B239)=1,1,0)</f>
        <v>0</v>
      </c>
      <c r="W239" s="13" t="n">
        <f aca="false">IF(COUNTIFS($B$2:B239,B239,$T$2:T239,T239)=1,1,0)</f>
        <v>0</v>
      </c>
    </row>
    <row r="240" customFormat="false" ht="15" hidden="false" customHeight="false" outlineLevel="0" collapsed="false">
      <c r="A240" s="13" t="s">
        <v>2915</v>
      </c>
      <c r="B240" s="13" t="s">
        <v>2171</v>
      </c>
      <c r="C240" s="13" t="n">
        <v>6600</v>
      </c>
      <c r="D240" s="13" t="n">
        <v>70</v>
      </c>
      <c r="E240" s="13" t="n">
        <v>100.370909090909</v>
      </c>
      <c r="F240" s="13" t="s">
        <v>5288</v>
      </c>
      <c r="G240" s="13" t="s">
        <v>5289</v>
      </c>
      <c r="H240" s="13" t="s">
        <v>5289</v>
      </c>
      <c r="I240" s="13" t="s">
        <v>5289</v>
      </c>
      <c r="J240" s="13" t="s">
        <v>5289</v>
      </c>
      <c r="K240" s="13" t="s">
        <v>5292</v>
      </c>
      <c r="L240" s="13" t="s">
        <v>2914</v>
      </c>
      <c r="M240" s="13"/>
      <c r="N240" s="13" t="n">
        <v>8801046426982</v>
      </c>
      <c r="O240" s="13"/>
      <c r="P240" s="13" t="s">
        <v>5297</v>
      </c>
      <c r="Q240" s="13" t="s">
        <v>5289</v>
      </c>
      <c r="R240" s="13" t="s">
        <v>5292</v>
      </c>
      <c r="S240" s="13" t="s">
        <v>5293</v>
      </c>
      <c r="T240" s="13" t="s">
        <v>3</v>
      </c>
      <c r="U240" s="13" t="s">
        <v>85</v>
      </c>
      <c r="V240" s="13" t="n">
        <f aca="false">IF(COUNTIF($B$2:B240,B240)=1,1,0)</f>
        <v>1</v>
      </c>
      <c r="W240" s="13" t="n">
        <f aca="false">IF(COUNTIFS($B$2:B240,B240,$T$2:T240,T240)=1,1,0)</f>
        <v>1</v>
      </c>
    </row>
    <row r="241" customFormat="false" ht="15" hidden="false" customHeight="false" outlineLevel="0" collapsed="false">
      <c r="A241" s="13" t="s">
        <v>475</v>
      </c>
      <c r="B241" s="13" t="s">
        <v>470</v>
      </c>
      <c r="C241" s="13" t="n">
        <v>6600</v>
      </c>
      <c r="D241" s="13" t="n">
        <v>110</v>
      </c>
      <c r="E241" s="13" t="n">
        <v>59.0164285714286</v>
      </c>
      <c r="F241" s="13" t="s">
        <v>5288</v>
      </c>
      <c r="G241" s="13" t="s">
        <v>5289</v>
      </c>
      <c r="H241" s="13" t="s">
        <v>5289</v>
      </c>
      <c r="I241" s="13" t="s">
        <v>5292</v>
      </c>
      <c r="J241" s="13" t="s">
        <v>5289</v>
      </c>
      <c r="K241" s="13" t="s">
        <v>5292</v>
      </c>
      <c r="L241" s="13" t="s">
        <v>2917</v>
      </c>
      <c r="M241" s="13"/>
      <c r="N241" s="13" t="n">
        <v>4206136755517</v>
      </c>
      <c r="O241" s="13"/>
      <c r="P241" s="13" t="s">
        <v>5291</v>
      </c>
      <c r="Q241" s="13" t="s">
        <v>5289</v>
      </c>
      <c r="R241" s="13" t="s">
        <v>5292</v>
      </c>
      <c r="S241" s="13" t="s">
        <v>5293</v>
      </c>
      <c r="T241" s="13" t="s">
        <v>3</v>
      </c>
      <c r="U241" s="13" t="s">
        <v>129</v>
      </c>
      <c r="V241" s="13" t="n">
        <f aca="false">IF(COUNTIF($B$2:B241,B241)=1,1,0)</f>
        <v>0</v>
      </c>
      <c r="W241" s="13" t="n">
        <f aca="false">IF(COUNTIFS($B$2:B241,B241,$T$2:T241,T241)=1,1,0)</f>
        <v>0</v>
      </c>
    </row>
    <row r="242" customFormat="false" ht="15" hidden="false" customHeight="false" outlineLevel="0" collapsed="false">
      <c r="A242" s="13" t="s">
        <v>476</v>
      </c>
      <c r="B242" s="13" t="s">
        <v>175</v>
      </c>
      <c r="C242" s="13" t="n">
        <v>6600</v>
      </c>
      <c r="D242" s="13" t="n">
        <v>40</v>
      </c>
      <c r="E242" s="13" t="n">
        <v>169</v>
      </c>
      <c r="F242" s="13" t="s">
        <v>5288</v>
      </c>
      <c r="G242" s="13" t="s">
        <v>5289</v>
      </c>
      <c r="H242" s="13" t="s">
        <v>5289</v>
      </c>
      <c r="I242" s="13" t="s">
        <v>5289</v>
      </c>
      <c r="J242" s="13" t="s">
        <v>5289</v>
      </c>
      <c r="K242" s="13" t="s">
        <v>5289</v>
      </c>
      <c r="L242" s="13" t="s">
        <v>2913</v>
      </c>
      <c r="M242" s="13"/>
      <c r="N242" s="13" t="n">
        <v>6924328316749</v>
      </c>
      <c r="O242" s="13"/>
      <c r="P242" s="13" t="s">
        <v>5291</v>
      </c>
      <c r="Q242" s="13" t="s">
        <v>5289</v>
      </c>
      <c r="R242" s="13" t="s">
        <v>5292</v>
      </c>
      <c r="S242" s="13" t="s">
        <v>5293</v>
      </c>
      <c r="T242" s="13" t="s">
        <v>3</v>
      </c>
      <c r="U242" s="13" t="s">
        <v>85</v>
      </c>
      <c r="V242" s="13" t="n">
        <f aca="false">IF(COUNTIF($B$2:B242,B242)=1,1,0)</f>
        <v>0</v>
      </c>
      <c r="W242" s="13" t="n">
        <f aca="false">IF(COUNTIFS($B$2:B242,B242,$T$2:T242,T242)=1,1,0)</f>
        <v>0</v>
      </c>
    </row>
    <row r="243" customFormat="false" ht="15" hidden="false" customHeight="false" outlineLevel="0" collapsed="false">
      <c r="A243" s="13" t="s">
        <v>477</v>
      </c>
      <c r="B243" s="13" t="s">
        <v>179</v>
      </c>
      <c r="C243" s="13" t="n">
        <v>6600</v>
      </c>
      <c r="D243" s="13" t="n">
        <v>10</v>
      </c>
      <c r="E243" s="13" t="n">
        <v>599</v>
      </c>
      <c r="F243" s="13" t="s">
        <v>5325</v>
      </c>
      <c r="G243" s="13" t="s">
        <v>5289</v>
      </c>
      <c r="H243" s="13" t="s">
        <v>5289</v>
      </c>
      <c r="I243" s="13" t="s">
        <v>5289</v>
      </c>
      <c r="J243" s="13" t="s">
        <v>5289</v>
      </c>
      <c r="K243" s="13" t="s">
        <v>5292</v>
      </c>
      <c r="L243" s="13" t="s">
        <v>2916</v>
      </c>
      <c r="M243" s="13"/>
      <c r="N243" s="13" t="n">
        <v>7908896603752</v>
      </c>
      <c r="O243" s="13"/>
      <c r="P243" s="13" t="s">
        <v>5291</v>
      </c>
      <c r="Q243" s="13" t="s">
        <v>5289</v>
      </c>
      <c r="R243" s="13" t="s">
        <v>5292</v>
      </c>
      <c r="S243" s="13" t="s">
        <v>5293</v>
      </c>
      <c r="T243" s="13" t="s">
        <v>3</v>
      </c>
      <c r="U243" s="13" t="s">
        <v>85</v>
      </c>
      <c r="V243" s="13" t="n">
        <f aca="false">IF(COUNTIF($B$2:B243,B243)=1,1,0)</f>
        <v>0</v>
      </c>
      <c r="W243" s="13" t="n">
        <f aca="false">IF(COUNTIFS($B$2:B243,B243,$T$2:T243,T243)=1,1,0)</f>
        <v>0</v>
      </c>
    </row>
    <row r="244" customFormat="false" ht="15" hidden="false" customHeight="false" outlineLevel="0" collapsed="false">
      <c r="A244" s="13" t="s">
        <v>2924</v>
      </c>
      <c r="B244" s="13" t="s">
        <v>2153</v>
      </c>
      <c r="C244" s="13" t="n">
        <v>6500</v>
      </c>
      <c r="D244" s="13" t="n">
        <v>50</v>
      </c>
      <c r="E244" s="13" t="n">
        <v>138.903191489362</v>
      </c>
      <c r="F244" s="13" t="s">
        <v>5288</v>
      </c>
      <c r="G244" s="13" t="s">
        <v>5289</v>
      </c>
      <c r="H244" s="13" t="s">
        <v>5289</v>
      </c>
      <c r="I244" s="13" t="s">
        <v>5289</v>
      </c>
      <c r="J244" s="13" t="s">
        <v>5289</v>
      </c>
      <c r="K244" s="13" t="s">
        <v>5289</v>
      </c>
      <c r="L244" s="13" t="s">
        <v>2923</v>
      </c>
      <c r="M244" s="13"/>
      <c r="N244" s="13" t="n">
        <v>7898973267918</v>
      </c>
      <c r="O244" s="13"/>
      <c r="P244" s="13" t="s">
        <v>5291</v>
      </c>
      <c r="Q244" s="13" t="s">
        <v>5289</v>
      </c>
      <c r="R244" s="13" t="s">
        <v>5292</v>
      </c>
      <c r="S244" s="13" t="s">
        <v>5293</v>
      </c>
      <c r="T244" s="13" t="s">
        <v>3</v>
      </c>
      <c r="U244" s="13" t="s">
        <v>183</v>
      </c>
      <c r="V244" s="13" t="n">
        <f aca="false">IF(COUNTIF($B$2:B244,B244)=1,1,0)</f>
        <v>1</v>
      </c>
      <c r="W244" s="13" t="n">
        <f aca="false">IF(COUNTIFS($B$2:B244,B244,$T$2:T244,T244)=1,1,0)</f>
        <v>1</v>
      </c>
    </row>
    <row r="245" customFormat="false" ht="15" hidden="false" customHeight="false" outlineLevel="0" collapsed="false">
      <c r="A245" s="13" t="s">
        <v>479</v>
      </c>
      <c r="B245" s="13" t="s">
        <v>270</v>
      </c>
      <c r="C245" s="13" t="n">
        <v>6500</v>
      </c>
      <c r="D245" s="13" t="n">
        <v>30</v>
      </c>
      <c r="E245" s="13" t="n">
        <v>202.638125</v>
      </c>
      <c r="F245" s="13" t="s">
        <v>5288</v>
      </c>
      <c r="G245" s="13" t="s">
        <v>5289</v>
      </c>
      <c r="H245" s="13" t="s">
        <v>5289</v>
      </c>
      <c r="I245" s="13" t="s">
        <v>5289</v>
      </c>
      <c r="J245" s="13" t="s">
        <v>5289</v>
      </c>
      <c r="K245" s="13" t="s">
        <v>5292</v>
      </c>
      <c r="L245" s="13" t="s">
        <v>2625</v>
      </c>
      <c r="M245" s="13"/>
      <c r="N245" s="13"/>
      <c r="O245" s="13"/>
      <c r="P245" s="13" t="s">
        <v>5304</v>
      </c>
      <c r="Q245" s="13" t="s">
        <v>5289</v>
      </c>
      <c r="R245" s="13" t="s">
        <v>5292</v>
      </c>
      <c r="S245" s="13" t="s">
        <v>5293</v>
      </c>
      <c r="T245" s="13" t="s">
        <v>3</v>
      </c>
      <c r="U245" s="13" t="s">
        <v>43</v>
      </c>
      <c r="V245" s="13" t="n">
        <f aca="false">IF(COUNTIF($B$2:B245,B245)=1,1,0)</f>
        <v>0</v>
      </c>
      <c r="W245" s="13" t="n">
        <f aca="false">IF(COUNTIFS($B$2:B245,B245,$T$2:T245,T245)=1,1,0)</f>
        <v>0</v>
      </c>
    </row>
    <row r="246" customFormat="false" ht="15" hidden="false" customHeight="false" outlineLevel="0" collapsed="false">
      <c r="A246" s="13" t="s">
        <v>482</v>
      </c>
      <c r="B246" s="13" t="s">
        <v>65</v>
      </c>
      <c r="C246" s="13" t="n">
        <v>6500</v>
      </c>
      <c r="D246" s="13" t="n">
        <v>20</v>
      </c>
      <c r="E246" s="13" t="n">
        <v>268.756666666667</v>
      </c>
      <c r="F246" s="13" t="s">
        <v>5288</v>
      </c>
      <c r="G246" s="13" t="s">
        <v>5289</v>
      </c>
      <c r="H246" s="13" t="s">
        <v>5289</v>
      </c>
      <c r="I246" s="13" t="s">
        <v>5289</v>
      </c>
      <c r="J246" s="13" t="s">
        <v>5289</v>
      </c>
      <c r="K246" s="13" t="s">
        <v>5292</v>
      </c>
      <c r="L246" s="13" t="s">
        <v>2925</v>
      </c>
      <c r="M246" s="13"/>
      <c r="N246" s="13" t="n">
        <v>4710122017157</v>
      </c>
      <c r="O246" s="13"/>
      <c r="P246" s="13" t="s">
        <v>5291</v>
      </c>
      <c r="Q246" s="13" t="s">
        <v>5289</v>
      </c>
      <c r="R246" s="13" t="s">
        <v>5292</v>
      </c>
      <c r="S246" s="13" t="s">
        <v>5293</v>
      </c>
      <c r="T246" s="13" t="s">
        <v>3</v>
      </c>
      <c r="U246" s="13" t="s">
        <v>66</v>
      </c>
      <c r="V246" s="13" t="n">
        <f aca="false">IF(COUNTIF($B$2:B246,B246)=1,1,0)</f>
        <v>0</v>
      </c>
      <c r="W246" s="13" t="n">
        <f aca="false">IF(COUNTIFS($B$2:B246,B246,$T$2:T246,T246)=1,1,0)</f>
        <v>0</v>
      </c>
    </row>
    <row r="247" customFormat="false" ht="15" hidden="false" customHeight="false" outlineLevel="0" collapsed="false">
      <c r="A247" s="13" t="s">
        <v>2752</v>
      </c>
      <c r="B247" s="13" t="s">
        <v>2156</v>
      </c>
      <c r="C247" s="13" t="n">
        <v>6400</v>
      </c>
      <c r="D247" s="13" t="n">
        <v>20</v>
      </c>
      <c r="E247" s="13" t="n">
        <v>292.262727272727</v>
      </c>
      <c r="F247" s="13" t="s">
        <v>5288</v>
      </c>
      <c r="G247" s="13" t="s">
        <v>5289</v>
      </c>
      <c r="H247" s="13" t="s">
        <v>5289</v>
      </c>
      <c r="I247" s="13" t="s">
        <v>5289</v>
      </c>
      <c r="J247" s="13" t="s">
        <v>5289</v>
      </c>
      <c r="K247" s="13" t="s">
        <v>5292</v>
      </c>
      <c r="L247" s="13" t="s">
        <v>2750</v>
      </c>
      <c r="M247" s="13"/>
      <c r="N247" s="13" t="n">
        <v>7891033820597</v>
      </c>
      <c r="O247" s="13"/>
      <c r="P247" s="13" t="s">
        <v>5291</v>
      </c>
      <c r="Q247" s="13" t="s">
        <v>5289</v>
      </c>
      <c r="R247" s="13" t="s">
        <v>5292</v>
      </c>
      <c r="S247" s="13" t="s">
        <v>5293</v>
      </c>
      <c r="T247" s="13" t="s">
        <v>3</v>
      </c>
      <c r="U247" s="13" t="s">
        <v>43</v>
      </c>
      <c r="V247" s="13" t="n">
        <f aca="false">IF(COUNTIF($B$2:B247,B247)=1,1,0)</f>
        <v>1</v>
      </c>
      <c r="W247" s="13" t="n">
        <f aca="false">IF(COUNTIFS($B$2:B247,B247,$T$2:T247,T247)=1,1,0)</f>
        <v>1</v>
      </c>
    </row>
    <row r="248" customFormat="false" ht="15" hidden="false" customHeight="false" outlineLevel="0" collapsed="false">
      <c r="A248" s="13" t="s">
        <v>485</v>
      </c>
      <c r="B248" s="13" t="s">
        <v>126</v>
      </c>
      <c r="C248" s="13" t="n">
        <v>6400</v>
      </c>
      <c r="D248" s="13" t="n">
        <v>30</v>
      </c>
      <c r="E248" s="13" t="n">
        <v>188.815588235294</v>
      </c>
      <c r="F248" s="13" t="s">
        <v>5288</v>
      </c>
      <c r="G248" s="13" t="s">
        <v>5289</v>
      </c>
      <c r="H248" s="13" t="s">
        <v>5289</v>
      </c>
      <c r="I248" s="13" t="s">
        <v>5289</v>
      </c>
      <c r="J248" s="13" t="s">
        <v>5289</v>
      </c>
      <c r="K248" s="13" t="s">
        <v>5289</v>
      </c>
      <c r="L248" s="13" t="s">
        <v>5415</v>
      </c>
      <c r="M248" s="13"/>
      <c r="N248" s="13" t="n">
        <v>3414206000608</v>
      </c>
      <c r="O248" s="13"/>
      <c r="P248" s="13" t="s">
        <v>5291</v>
      </c>
      <c r="Q248" s="13" t="s">
        <v>5289</v>
      </c>
      <c r="R248" s="13" t="s">
        <v>5292</v>
      </c>
      <c r="S248" s="13" t="s">
        <v>5293</v>
      </c>
      <c r="T248" s="13" t="s">
        <v>3</v>
      </c>
      <c r="U248" s="13" t="s">
        <v>43</v>
      </c>
      <c r="V248" s="13" t="n">
        <f aca="false">IF(COUNTIF($B$2:B248,B248)=1,1,0)</f>
        <v>0</v>
      </c>
      <c r="W248" s="13" t="n">
        <f aca="false">IF(COUNTIFS($B$2:B248,B248,$T$2:T248,T248)=1,1,0)</f>
        <v>0</v>
      </c>
    </row>
    <row r="249" customFormat="false" ht="15" hidden="false" customHeight="false" outlineLevel="0" collapsed="false">
      <c r="A249" s="13" t="s">
        <v>2933</v>
      </c>
      <c r="B249" s="13" t="s">
        <v>2101</v>
      </c>
      <c r="C249" s="13" t="n">
        <v>6400</v>
      </c>
      <c r="D249" s="13" t="n">
        <v>160</v>
      </c>
      <c r="E249" s="13" t="n">
        <v>41.2664516129032</v>
      </c>
      <c r="F249" s="13" t="s">
        <v>5288</v>
      </c>
      <c r="G249" s="13" t="s">
        <v>5289</v>
      </c>
      <c r="H249" s="13" t="s">
        <v>5289</v>
      </c>
      <c r="I249" s="13" t="s">
        <v>5292</v>
      </c>
      <c r="J249" s="13" t="s">
        <v>5289</v>
      </c>
      <c r="K249" s="13" t="s">
        <v>5289</v>
      </c>
      <c r="L249" s="13" t="s">
        <v>2932</v>
      </c>
      <c r="M249" s="13"/>
      <c r="N249" s="13" t="n">
        <v>7897013536090</v>
      </c>
      <c r="O249" s="13"/>
      <c r="P249" s="13" t="s">
        <v>5291</v>
      </c>
      <c r="Q249" s="13" t="s">
        <v>5289</v>
      </c>
      <c r="R249" s="13" t="s">
        <v>5292</v>
      </c>
      <c r="S249" s="13" t="s">
        <v>5293</v>
      </c>
      <c r="T249" s="13" t="s">
        <v>3</v>
      </c>
      <c r="U249" s="13" t="s">
        <v>85</v>
      </c>
      <c r="V249" s="13" t="n">
        <f aca="false">IF(COUNTIF($B$2:B249,B249)=1,1,0)</f>
        <v>0</v>
      </c>
      <c r="W249" s="13" t="n">
        <f aca="false">IF(COUNTIFS($B$2:B249,B249,$T$2:T249,T249)=1,1,0)</f>
        <v>0</v>
      </c>
    </row>
    <row r="250" customFormat="false" ht="15" hidden="false" customHeight="false" outlineLevel="0" collapsed="false">
      <c r="A250" s="13" t="s">
        <v>487</v>
      </c>
      <c r="B250" s="13" t="s">
        <v>191</v>
      </c>
      <c r="C250" s="13" t="n">
        <v>6300</v>
      </c>
      <c r="D250" s="13" t="n">
        <v>40</v>
      </c>
      <c r="E250" s="13" t="n">
        <v>149.895238095238</v>
      </c>
      <c r="F250" s="13" t="s">
        <v>5288</v>
      </c>
      <c r="G250" s="13" t="s">
        <v>5289</v>
      </c>
      <c r="H250" s="13" t="s">
        <v>5289</v>
      </c>
      <c r="I250" s="13" t="s">
        <v>5289</v>
      </c>
      <c r="J250" s="13" t="s">
        <v>5289</v>
      </c>
      <c r="K250" s="13" t="s">
        <v>5289</v>
      </c>
      <c r="L250" s="13" t="s">
        <v>2936</v>
      </c>
      <c r="M250" s="13"/>
      <c r="N250" s="13" t="n">
        <v>7898973267406</v>
      </c>
      <c r="O250" s="13"/>
      <c r="P250" s="13" t="s">
        <v>5291</v>
      </c>
      <c r="Q250" s="13" t="s">
        <v>5289</v>
      </c>
      <c r="R250" s="13" t="s">
        <v>5292</v>
      </c>
      <c r="S250" s="13" t="s">
        <v>5293</v>
      </c>
      <c r="T250" s="13" t="s">
        <v>3</v>
      </c>
      <c r="U250" s="13" t="s">
        <v>183</v>
      </c>
      <c r="V250" s="13" t="n">
        <f aca="false">IF(COUNTIF($B$2:B250,B250)=1,1,0)</f>
        <v>0</v>
      </c>
      <c r="W250" s="13" t="n">
        <f aca="false">IF(COUNTIFS($B$2:B250,B250,$T$2:T250,T250)=1,1,0)</f>
        <v>0</v>
      </c>
    </row>
    <row r="251" customFormat="false" ht="15" hidden="false" customHeight="false" outlineLevel="0" collapsed="false">
      <c r="A251" s="13" t="s">
        <v>491</v>
      </c>
      <c r="B251" s="13" t="s">
        <v>490</v>
      </c>
      <c r="C251" s="13" t="n">
        <v>6200</v>
      </c>
      <c r="D251" s="13" t="n">
        <v>20</v>
      </c>
      <c r="E251" s="13" t="n">
        <v>416.536</v>
      </c>
      <c r="F251" s="13" t="s">
        <v>5288</v>
      </c>
      <c r="G251" s="13" t="s">
        <v>5289</v>
      </c>
      <c r="H251" s="13" t="s">
        <v>5289</v>
      </c>
      <c r="I251" s="13" t="s">
        <v>5289</v>
      </c>
      <c r="J251" s="13" t="s">
        <v>5289</v>
      </c>
      <c r="K251" s="13" t="s">
        <v>5289</v>
      </c>
      <c r="L251" s="13" t="s">
        <v>3939</v>
      </c>
      <c r="M251" s="13"/>
      <c r="N251" s="13" t="n">
        <v>8011003845132</v>
      </c>
      <c r="O251" s="13"/>
      <c r="P251" s="13" t="s">
        <v>5291</v>
      </c>
      <c r="Q251" s="13" t="s">
        <v>5289</v>
      </c>
      <c r="R251" s="13" t="s">
        <v>5292</v>
      </c>
      <c r="S251" s="13" t="s">
        <v>5293</v>
      </c>
      <c r="T251" s="13" t="s">
        <v>3</v>
      </c>
      <c r="U251" s="13" t="s">
        <v>43</v>
      </c>
      <c r="V251" s="13" t="n">
        <f aca="false">IF(COUNTIF($B$2:B251,B251)=1,1,0)</f>
        <v>1</v>
      </c>
      <c r="W251" s="13" t="n">
        <f aca="false">IF(COUNTIFS($B$2:B251,B251,$T$2:T251,T251)=1,1,0)</f>
        <v>1</v>
      </c>
    </row>
    <row r="252" customFormat="false" ht="15" hidden="false" customHeight="false" outlineLevel="0" collapsed="false">
      <c r="A252" s="13" t="s">
        <v>2940</v>
      </c>
      <c r="B252" s="13" t="s">
        <v>2177</v>
      </c>
      <c r="C252" s="13" t="n">
        <v>6200</v>
      </c>
      <c r="D252" s="13" t="n">
        <v>20</v>
      </c>
      <c r="E252" s="13" t="n">
        <v>258.861666666667</v>
      </c>
      <c r="F252" s="13" t="s">
        <v>5288</v>
      </c>
      <c r="G252" s="13" t="s">
        <v>5289</v>
      </c>
      <c r="H252" s="13" t="s">
        <v>5289</v>
      </c>
      <c r="I252" s="13" t="s">
        <v>5289</v>
      </c>
      <c r="J252" s="13" t="s">
        <v>5289</v>
      </c>
      <c r="K252" s="13" t="s">
        <v>5292</v>
      </c>
      <c r="L252" s="13" t="s">
        <v>2939</v>
      </c>
      <c r="M252" s="13"/>
      <c r="N252" s="13" t="n">
        <v>7895730719345</v>
      </c>
      <c r="O252" s="13"/>
      <c r="P252" s="13" t="s">
        <v>5297</v>
      </c>
      <c r="Q252" s="13" t="s">
        <v>5289</v>
      </c>
      <c r="R252" s="13" t="s">
        <v>5292</v>
      </c>
      <c r="S252" s="13" t="s">
        <v>5293</v>
      </c>
      <c r="T252" s="13" t="s">
        <v>3</v>
      </c>
      <c r="U252" s="13" t="s">
        <v>85</v>
      </c>
      <c r="V252" s="13" t="n">
        <f aca="false">IF(COUNTIF($B$2:B252,B252)=1,1,0)</f>
        <v>1</v>
      </c>
      <c r="W252" s="13" t="n">
        <f aca="false">IF(COUNTIFS($B$2:B252,B252,$T$2:T252,T252)=1,1,0)</f>
        <v>1</v>
      </c>
    </row>
    <row r="253" customFormat="false" ht="15" hidden="false" customHeight="false" outlineLevel="0" collapsed="false">
      <c r="A253" s="13" t="s">
        <v>2944</v>
      </c>
      <c r="B253" s="13" t="s">
        <v>2113</v>
      </c>
      <c r="C253" s="13" t="n">
        <v>6100</v>
      </c>
      <c r="D253" s="13" t="n">
        <v>70</v>
      </c>
      <c r="E253" s="13" t="n">
        <v>89.9820588235294</v>
      </c>
      <c r="F253" s="13" t="s">
        <v>5288</v>
      </c>
      <c r="G253" s="13" t="s">
        <v>5289</v>
      </c>
      <c r="H253" s="13" t="s">
        <v>5289</v>
      </c>
      <c r="I253" s="13" t="s">
        <v>5289</v>
      </c>
      <c r="J253" s="13" t="s">
        <v>5289</v>
      </c>
      <c r="K253" s="13" t="s">
        <v>5292</v>
      </c>
      <c r="L253" s="13" t="s">
        <v>2943</v>
      </c>
      <c r="M253" s="13"/>
      <c r="N253" s="13" t="n">
        <v>7898741806011</v>
      </c>
      <c r="O253" s="13"/>
      <c r="P253" s="13" t="s">
        <v>5297</v>
      </c>
      <c r="Q253" s="13" t="s">
        <v>5289</v>
      </c>
      <c r="R253" s="13" t="s">
        <v>5292</v>
      </c>
      <c r="S253" s="13" t="s">
        <v>5293</v>
      </c>
      <c r="T253" s="13" t="s">
        <v>3</v>
      </c>
      <c r="U253" s="13" t="s">
        <v>183</v>
      </c>
      <c r="V253" s="13" t="n">
        <f aca="false">IF(COUNTIF($B$2:B253,B253)=1,1,0)</f>
        <v>0</v>
      </c>
      <c r="W253" s="13" t="n">
        <f aca="false">IF(COUNTIFS($B$2:B253,B253,$T$2:T253,T253)=1,1,0)</f>
        <v>0</v>
      </c>
    </row>
    <row r="254" customFormat="false" ht="15" hidden="false" customHeight="false" outlineLevel="0" collapsed="false">
      <c r="A254" s="13" t="s">
        <v>496</v>
      </c>
      <c r="B254" s="13" t="s">
        <v>470</v>
      </c>
      <c r="C254" s="13" t="n">
        <v>6000</v>
      </c>
      <c r="D254" s="13" t="n">
        <v>40</v>
      </c>
      <c r="E254" s="13" t="n">
        <v>163</v>
      </c>
      <c r="F254" s="13" t="s">
        <v>5288</v>
      </c>
      <c r="G254" s="13" t="s">
        <v>5289</v>
      </c>
      <c r="H254" s="13" t="s">
        <v>5289</v>
      </c>
      <c r="I254" s="13" t="s">
        <v>5289</v>
      </c>
      <c r="J254" s="13" t="s">
        <v>5289</v>
      </c>
      <c r="K254" s="13" t="s">
        <v>5292</v>
      </c>
      <c r="L254" s="13" t="s">
        <v>2952</v>
      </c>
      <c r="M254" s="13"/>
      <c r="N254" s="13" t="n">
        <v>4895229159167</v>
      </c>
      <c r="O254" s="13"/>
      <c r="P254" s="13" t="s">
        <v>5297</v>
      </c>
      <c r="Q254" s="13" t="s">
        <v>5289</v>
      </c>
      <c r="R254" s="13" t="s">
        <v>5292</v>
      </c>
      <c r="S254" s="13" t="s">
        <v>5293</v>
      </c>
      <c r="T254" s="13" t="s">
        <v>3</v>
      </c>
      <c r="U254" s="13" t="s">
        <v>85</v>
      </c>
      <c r="V254" s="13" t="n">
        <f aca="false">IF(COUNTIF($B$2:B254,B254)=1,1,0)</f>
        <v>0</v>
      </c>
      <c r="W254" s="13" t="n">
        <f aca="false">IF(COUNTIFS($B$2:B254,B254,$T$2:T254,T254)=1,1,0)</f>
        <v>0</v>
      </c>
    </row>
    <row r="255" customFormat="false" ht="15" hidden="false" customHeight="false" outlineLevel="0" collapsed="false">
      <c r="A255" s="13" t="s">
        <v>343</v>
      </c>
      <c r="B255" s="13" t="s">
        <v>79</v>
      </c>
      <c r="C255" s="13" t="n">
        <v>5900</v>
      </c>
      <c r="D255" s="13" t="n">
        <v>10</v>
      </c>
      <c r="E255" s="13" t="n">
        <v>457.504615384615</v>
      </c>
      <c r="F255" s="13" t="s">
        <v>5288</v>
      </c>
      <c r="G255" s="13" t="s">
        <v>5289</v>
      </c>
      <c r="H255" s="13" t="s">
        <v>5289</v>
      </c>
      <c r="I255" s="13" t="s">
        <v>5289</v>
      </c>
      <c r="J255" s="13" t="s">
        <v>5289</v>
      </c>
      <c r="K255" s="13" t="s">
        <v>5289</v>
      </c>
      <c r="L255" s="13" t="s">
        <v>2530</v>
      </c>
      <c r="M255" s="13"/>
      <c r="N255" s="13" t="n">
        <v>8056669925774</v>
      </c>
      <c r="O255" s="13"/>
      <c r="P255" s="13" t="s">
        <v>5291</v>
      </c>
      <c r="Q255" s="13" t="s">
        <v>5289</v>
      </c>
      <c r="R255" s="13" t="s">
        <v>5292</v>
      </c>
      <c r="S255" s="13" t="s">
        <v>5293</v>
      </c>
      <c r="T255" s="13" t="s">
        <v>3</v>
      </c>
      <c r="U255" s="13" t="s">
        <v>43</v>
      </c>
      <c r="V255" s="13" t="n">
        <f aca="false">IF(COUNTIF($B$2:B255,B255)=1,1,0)</f>
        <v>0</v>
      </c>
      <c r="W255" s="13" t="n">
        <f aca="false">IF(COUNTIFS($B$2:B255,B255,$T$2:T255,T255)=1,1,0)</f>
        <v>0</v>
      </c>
    </row>
    <row r="256" customFormat="false" ht="15" hidden="false" customHeight="false" outlineLevel="0" collapsed="false">
      <c r="A256" s="13" t="s">
        <v>498</v>
      </c>
      <c r="B256" s="13" t="s">
        <v>65</v>
      </c>
      <c r="C256" s="13" t="n">
        <v>5900</v>
      </c>
      <c r="D256" s="13" t="n">
        <v>20</v>
      </c>
      <c r="E256" s="13" t="n">
        <v>308</v>
      </c>
      <c r="F256" s="13" t="s">
        <v>5288</v>
      </c>
      <c r="G256" s="13" t="s">
        <v>5289</v>
      </c>
      <c r="H256" s="13" t="s">
        <v>5289</v>
      </c>
      <c r="I256" s="13" t="s">
        <v>5289</v>
      </c>
      <c r="J256" s="13" t="s">
        <v>5289</v>
      </c>
      <c r="K256" s="13" t="s">
        <v>5289</v>
      </c>
      <c r="L256" s="13" t="s">
        <v>2960</v>
      </c>
      <c r="M256" s="13"/>
      <c r="N256" s="13" t="n">
        <v>4710122009855</v>
      </c>
      <c r="O256" s="13"/>
      <c r="P256" s="13" t="s">
        <v>5291</v>
      </c>
      <c r="Q256" s="13" t="s">
        <v>5289</v>
      </c>
      <c r="R256" s="13" t="s">
        <v>5292</v>
      </c>
      <c r="S256" s="13" t="s">
        <v>5293</v>
      </c>
      <c r="T256" s="13" t="s">
        <v>3</v>
      </c>
      <c r="U256" s="13" t="s">
        <v>66</v>
      </c>
      <c r="V256" s="13" t="n">
        <f aca="false">IF(COUNTIF($B$2:B256,B256)=1,1,0)</f>
        <v>0</v>
      </c>
      <c r="W256" s="13" t="n">
        <f aca="false">IF(COUNTIFS($B$2:B256,B256,$T$2:T256,T256)=1,1,0)</f>
        <v>0</v>
      </c>
    </row>
    <row r="257" customFormat="false" ht="15" hidden="false" customHeight="false" outlineLevel="0" collapsed="false">
      <c r="A257" s="13" t="s">
        <v>2968</v>
      </c>
      <c r="B257" s="13" t="s">
        <v>2172</v>
      </c>
      <c r="C257" s="13" t="n">
        <v>5800</v>
      </c>
      <c r="D257" s="13" t="n">
        <v>10</v>
      </c>
      <c r="E257" s="13" t="n">
        <v>449</v>
      </c>
      <c r="F257" s="13" t="s">
        <v>5325</v>
      </c>
      <c r="G257" s="13" t="s">
        <v>5289</v>
      </c>
      <c r="H257" s="13" t="s">
        <v>5289</v>
      </c>
      <c r="I257" s="13" t="s">
        <v>5289</v>
      </c>
      <c r="J257" s="13" t="s">
        <v>5289</v>
      </c>
      <c r="K257" s="13" t="s">
        <v>5292</v>
      </c>
      <c r="L257" s="13" t="s">
        <v>2967</v>
      </c>
      <c r="M257" s="13"/>
      <c r="N257" s="13" t="n">
        <v>7908005386859</v>
      </c>
      <c r="O257" s="13"/>
      <c r="P257" s="13" t="s">
        <v>5291</v>
      </c>
      <c r="Q257" s="13" t="s">
        <v>5289</v>
      </c>
      <c r="R257" s="13" t="s">
        <v>5292</v>
      </c>
      <c r="S257" s="13" t="s">
        <v>5293</v>
      </c>
      <c r="T257" s="13" t="s">
        <v>3</v>
      </c>
      <c r="U257" s="13" t="s">
        <v>85</v>
      </c>
      <c r="V257" s="13" t="n">
        <f aca="false">IF(COUNTIF($B$2:B257,B257)=1,1,0)</f>
        <v>1</v>
      </c>
      <c r="W257" s="13" t="n">
        <f aca="false">IF(COUNTIFS($B$2:B257,B257,$T$2:T257,T257)=1,1,0)</f>
        <v>1</v>
      </c>
    </row>
    <row r="258" customFormat="false" ht="15" hidden="false" customHeight="false" outlineLevel="0" collapsed="false">
      <c r="A258" s="13" t="s">
        <v>2976</v>
      </c>
      <c r="B258" s="13" t="s">
        <v>2124</v>
      </c>
      <c r="C258" s="13" t="n">
        <v>5800</v>
      </c>
      <c r="D258" s="13" t="n">
        <v>80</v>
      </c>
      <c r="E258" s="13" t="n">
        <v>69.99</v>
      </c>
      <c r="F258" s="13" t="s">
        <v>5288</v>
      </c>
      <c r="G258" s="13" t="s">
        <v>5289</v>
      </c>
      <c r="H258" s="13" t="s">
        <v>5289</v>
      </c>
      <c r="I258" s="13" t="s">
        <v>5292</v>
      </c>
      <c r="J258" s="13" t="s">
        <v>5289</v>
      </c>
      <c r="K258" s="13" t="s">
        <v>5292</v>
      </c>
      <c r="L258" s="13" t="s">
        <v>2975</v>
      </c>
      <c r="M258" s="13"/>
      <c r="N258" s="13" t="n">
        <v>5425017735793</v>
      </c>
      <c r="O258" s="13"/>
      <c r="P258" s="13" t="s">
        <v>5291</v>
      </c>
      <c r="Q258" s="13" t="s">
        <v>5289</v>
      </c>
      <c r="R258" s="13" t="s">
        <v>5292</v>
      </c>
      <c r="S258" s="13" t="s">
        <v>5293</v>
      </c>
      <c r="T258" s="13" t="s">
        <v>3</v>
      </c>
      <c r="U258" s="13" t="s">
        <v>43</v>
      </c>
      <c r="V258" s="13" t="n">
        <f aca="false">IF(COUNTIF($B$2:B258,B258)=1,1,0)</f>
        <v>1</v>
      </c>
      <c r="W258" s="13" t="n">
        <f aca="false">IF(COUNTIFS($B$2:B258,B258,$T$2:T258,T258)=1,1,0)</f>
        <v>1</v>
      </c>
    </row>
    <row r="259" customFormat="false" ht="15" hidden="false" customHeight="false" outlineLevel="0" collapsed="false">
      <c r="A259" s="13" t="s">
        <v>502</v>
      </c>
      <c r="B259" s="13" t="s">
        <v>191</v>
      </c>
      <c r="C259" s="13" t="n">
        <v>5800</v>
      </c>
      <c r="D259" s="13" t="n">
        <v>50</v>
      </c>
      <c r="E259" s="13" t="n">
        <v>118.509183673469</v>
      </c>
      <c r="F259" s="13" t="s">
        <v>5288</v>
      </c>
      <c r="G259" s="13" t="s">
        <v>5289</v>
      </c>
      <c r="H259" s="13" t="s">
        <v>5289</v>
      </c>
      <c r="I259" s="13" t="s">
        <v>5289</v>
      </c>
      <c r="J259" s="13" t="s">
        <v>5289</v>
      </c>
      <c r="K259" s="13" t="s">
        <v>5292</v>
      </c>
      <c r="L259" s="13" t="s">
        <v>5416</v>
      </c>
      <c r="M259" s="13"/>
      <c r="N259" s="13" t="n">
        <v>7896768499858</v>
      </c>
      <c r="O259" s="13"/>
      <c r="P259" s="13" t="s">
        <v>5291</v>
      </c>
      <c r="Q259" s="13" t="s">
        <v>5289</v>
      </c>
      <c r="R259" s="13" t="s">
        <v>5292</v>
      </c>
      <c r="S259" s="13" t="s">
        <v>5293</v>
      </c>
      <c r="T259" s="13" t="s">
        <v>3</v>
      </c>
      <c r="U259" s="13" t="s">
        <v>183</v>
      </c>
      <c r="V259" s="13" t="n">
        <f aca="false">IF(COUNTIF($B$2:B259,B259)=1,1,0)</f>
        <v>0</v>
      </c>
      <c r="W259" s="13" t="n">
        <f aca="false">IF(COUNTIFS($B$2:B259,B259,$T$2:T259,T259)=1,1,0)</f>
        <v>0</v>
      </c>
    </row>
    <row r="260" customFormat="false" ht="15" hidden="false" customHeight="false" outlineLevel="0" collapsed="false">
      <c r="A260" s="13" t="s">
        <v>2970</v>
      </c>
      <c r="B260" s="13" t="s">
        <v>2178</v>
      </c>
      <c r="C260" s="13" t="n">
        <v>5800</v>
      </c>
      <c r="D260" s="13" t="n">
        <v>10</v>
      </c>
      <c r="E260" s="13" t="n">
        <v>412.847142857143</v>
      </c>
      <c r="F260" s="13" t="s">
        <v>5288</v>
      </c>
      <c r="G260" s="13" t="s">
        <v>5289</v>
      </c>
      <c r="H260" s="13" t="s">
        <v>5289</v>
      </c>
      <c r="I260" s="13" t="s">
        <v>5289</v>
      </c>
      <c r="J260" s="13" t="s">
        <v>5289</v>
      </c>
      <c r="K260" s="13" t="s">
        <v>5292</v>
      </c>
      <c r="L260" s="13" t="s">
        <v>2969</v>
      </c>
      <c r="M260" s="13"/>
      <c r="N260" s="13" t="n">
        <v>7898681497997</v>
      </c>
      <c r="O260" s="13"/>
      <c r="P260" s="13" t="s">
        <v>5297</v>
      </c>
      <c r="Q260" s="13" t="s">
        <v>5289</v>
      </c>
      <c r="R260" s="13" t="s">
        <v>5292</v>
      </c>
      <c r="S260" s="13" t="s">
        <v>5293</v>
      </c>
      <c r="T260" s="13" t="s">
        <v>3</v>
      </c>
      <c r="U260" s="13" t="s">
        <v>85</v>
      </c>
      <c r="V260" s="13" t="n">
        <f aca="false">IF(COUNTIF($B$2:B260,B260)=1,1,0)</f>
        <v>1</v>
      </c>
      <c r="W260" s="13" t="n">
        <f aca="false">IF(COUNTIFS($B$2:B260,B260,$T$2:T260,T260)=1,1,0)</f>
        <v>1</v>
      </c>
    </row>
    <row r="261" customFormat="false" ht="15" hidden="false" customHeight="false" outlineLevel="0" collapsed="false">
      <c r="A261" s="13" t="s">
        <v>506</v>
      </c>
      <c r="B261" s="13" t="s">
        <v>191</v>
      </c>
      <c r="C261" s="13" t="n">
        <v>5700</v>
      </c>
      <c r="D261" s="13" t="n">
        <v>40</v>
      </c>
      <c r="E261" s="13" t="n">
        <v>132.886511627907</v>
      </c>
      <c r="F261" s="13" t="s">
        <v>5288</v>
      </c>
      <c r="G261" s="13" t="s">
        <v>5289</v>
      </c>
      <c r="H261" s="13" t="s">
        <v>5289</v>
      </c>
      <c r="I261" s="13" t="s">
        <v>5289</v>
      </c>
      <c r="J261" s="13" t="s">
        <v>5289</v>
      </c>
      <c r="K261" s="13" t="s">
        <v>5289</v>
      </c>
      <c r="L261" s="13" t="s">
        <v>2983</v>
      </c>
      <c r="M261" s="13"/>
      <c r="N261" s="13" t="n">
        <v>7898973267864</v>
      </c>
      <c r="O261" s="13"/>
      <c r="P261" s="13" t="s">
        <v>5291</v>
      </c>
      <c r="Q261" s="13" t="s">
        <v>5289</v>
      </c>
      <c r="R261" s="13" t="s">
        <v>5292</v>
      </c>
      <c r="S261" s="13" t="s">
        <v>5293</v>
      </c>
      <c r="T261" s="13" t="s">
        <v>3</v>
      </c>
      <c r="U261" s="13" t="s">
        <v>85</v>
      </c>
      <c r="V261" s="13" t="n">
        <f aca="false">IF(COUNTIF($B$2:B261,B261)=1,1,0)</f>
        <v>0</v>
      </c>
      <c r="W261" s="13" t="n">
        <f aca="false">IF(COUNTIFS($B$2:B261,B261,$T$2:T261,T261)=1,1,0)</f>
        <v>0</v>
      </c>
    </row>
    <row r="262" customFormat="false" ht="15" hidden="false" customHeight="false" outlineLevel="0" collapsed="false">
      <c r="A262" s="13" t="s">
        <v>5417</v>
      </c>
      <c r="B262" s="13" t="s">
        <v>2094</v>
      </c>
      <c r="C262" s="13" t="n">
        <v>5700</v>
      </c>
      <c r="D262" s="13" t="n">
        <v>60</v>
      </c>
      <c r="E262" s="13" t="n">
        <v>91.5254838709677</v>
      </c>
      <c r="F262" s="13" t="s">
        <v>5288</v>
      </c>
      <c r="G262" s="13" t="s">
        <v>5289</v>
      </c>
      <c r="H262" s="13" t="s">
        <v>5289</v>
      </c>
      <c r="I262" s="13" t="s">
        <v>5289</v>
      </c>
      <c r="J262" s="13" t="s">
        <v>5289</v>
      </c>
      <c r="K262" s="13" t="s">
        <v>5292</v>
      </c>
      <c r="L262" s="13" t="s">
        <v>5320</v>
      </c>
      <c r="M262" s="13"/>
      <c r="N262" s="13" t="n">
        <v>7898639692948</v>
      </c>
      <c r="O262" s="13"/>
      <c r="P262" s="13" t="s">
        <v>5291</v>
      </c>
      <c r="Q262" s="13" t="s">
        <v>5289</v>
      </c>
      <c r="R262" s="13" t="s">
        <v>5292</v>
      </c>
      <c r="S262" s="13" t="s">
        <v>5293</v>
      </c>
      <c r="T262" s="13" t="s">
        <v>3</v>
      </c>
      <c r="U262" s="13" t="s">
        <v>57</v>
      </c>
      <c r="V262" s="13" t="n">
        <f aca="false">IF(COUNTIF($B$2:B262,B262)=1,1,0)</f>
        <v>0</v>
      </c>
      <c r="W262" s="13" t="n">
        <f aca="false">IF(COUNTIFS($B$2:B262,B262,$T$2:T262,T262)=1,1,0)</f>
        <v>0</v>
      </c>
    </row>
    <row r="263" customFormat="false" ht="15" hidden="false" customHeight="false" outlineLevel="0" collapsed="false">
      <c r="A263" s="13" t="s">
        <v>2987</v>
      </c>
      <c r="B263" s="13" t="s">
        <v>2104</v>
      </c>
      <c r="C263" s="13" t="n">
        <v>5700</v>
      </c>
      <c r="D263" s="13" t="n">
        <v>80</v>
      </c>
      <c r="E263" s="13" t="n">
        <v>69.7923456790124</v>
      </c>
      <c r="F263" s="13" t="s">
        <v>5288</v>
      </c>
      <c r="G263" s="13" t="s">
        <v>5289</v>
      </c>
      <c r="H263" s="13" t="s">
        <v>5289</v>
      </c>
      <c r="I263" s="13" t="s">
        <v>5292</v>
      </c>
      <c r="J263" s="13" t="s">
        <v>5289</v>
      </c>
      <c r="K263" s="13" t="s">
        <v>5292</v>
      </c>
      <c r="L263" s="13" t="s">
        <v>5418</v>
      </c>
      <c r="M263" s="13"/>
      <c r="N263" s="13" t="n">
        <v>751320866066</v>
      </c>
      <c r="O263" s="13"/>
      <c r="P263" s="13" t="s">
        <v>5291</v>
      </c>
      <c r="Q263" s="13" t="s">
        <v>5289</v>
      </c>
      <c r="R263" s="13" t="s">
        <v>5292</v>
      </c>
      <c r="S263" s="13" t="s">
        <v>5293</v>
      </c>
      <c r="T263" s="13" t="s">
        <v>3</v>
      </c>
      <c r="U263" s="13" t="s">
        <v>57</v>
      </c>
      <c r="V263" s="13" t="n">
        <f aca="false">IF(COUNTIF($B$2:B263,B263)=1,1,0)</f>
        <v>0</v>
      </c>
      <c r="W263" s="13" t="n">
        <f aca="false">IF(COUNTIFS($B$2:B263,B263,$T$2:T263,T263)=1,1,0)</f>
        <v>0</v>
      </c>
    </row>
    <row r="264" customFormat="false" ht="15" hidden="false" customHeight="false" outlineLevel="0" collapsed="false">
      <c r="A264" s="13" t="s">
        <v>517</v>
      </c>
      <c r="B264" s="13" t="s">
        <v>302</v>
      </c>
      <c r="C264" s="13" t="n">
        <v>5600</v>
      </c>
      <c r="D264" s="13" t="n">
        <v>5</v>
      </c>
      <c r="E264" s="13" t="n">
        <v>623.993333333333</v>
      </c>
      <c r="F264" s="13" t="s">
        <v>5288</v>
      </c>
      <c r="G264" s="13" t="s">
        <v>5289</v>
      </c>
      <c r="H264" s="13" t="s">
        <v>5289</v>
      </c>
      <c r="I264" s="13" t="s">
        <v>5289</v>
      </c>
      <c r="J264" s="13" t="s">
        <v>5289</v>
      </c>
      <c r="K264" s="13" t="s">
        <v>5292</v>
      </c>
      <c r="L264" s="13" t="s">
        <v>5419</v>
      </c>
      <c r="M264" s="13"/>
      <c r="N264" s="13" t="n">
        <v>3274872372153</v>
      </c>
      <c r="O264" s="13"/>
      <c r="P264" s="13" t="s">
        <v>5291</v>
      </c>
      <c r="Q264" s="13" t="s">
        <v>5289</v>
      </c>
      <c r="R264" s="13" t="s">
        <v>5292</v>
      </c>
      <c r="S264" s="13" t="s">
        <v>5293</v>
      </c>
      <c r="T264" s="13" t="s">
        <v>3</v>
      </c>
      <c r="U264" s="13" t="s">
        <v>43</v>
      </c>
      <c r="V264" s="13" t="n">
        <f aca="false">IF(COUNTIF($B$2:B264,B264)=1,1,0)</f>
        <v>0</v>
      </c>
      <c r="W264" s="13" t="n">
        <f aca="false">IF(COUNTIFS($B$2:B264,B264,$T$2:T264,T264)=1,1,0)</f>
        <v>0</v>
      </c>
    </row>
    <row r="265" customFormat="false" ht="15" hidden="false" customHeight="false" outlineLevel="0" collapsed="false">
      <c r="A265" s="13" t="s">
        <v>516</v>
      </c>
      <c r="B265" s="13" t="s">
        <v>182</v>
      </c>
      <c r="C265" s="13" t="n">
        <v>5600</v>
      </c>
      <c r="D265" s="13" t="n">
        <v>40</v>
      </c>
      <c r="E265" s="13" t="n">
        <v>139.956</v>
      </c>
      <c r="F265" s="13" t="s">
        <v>5288</v>
      </c>
      <c r="G265" s="13" t="s">
        <v>5289</v>
      </c>
      <c r="H265" s="13" t="s">
        <v>5289</v>
      </c>
      <c r="I265" s="13" t="s">
        <v>5289</v>
      </c>
      <c r="J265" s="13" t="s">
        <v>5289</v>
      </c>
      <c r="K265" s="13" t="s">
        <v>5292</v>
      </c>
      <c r="L265" s="13" t="s">
        <v>5420</v>
      </c>
      <c r="M265" s="13"/>
      <c r="N265" s="13" t="n">
        <v>7618900908086</v>
      </c>
      <c r="O265" s="13"/>
      <c r="P265" s="13" t="s">
        <v>5291</v>
      </c>
      <c r="Q265" s="13" t="s">
        <v>5289</v>
      </c>
      <c r="R265" s="13" t="s">
        <v>5292</v>
      </c>
      <c r="S265" s="13" t="s">
        <v>5293</v>
      </c>
      <c r="T265" s="13" t="s">
        <v>3</v>
      </c>
      <c r="U265" s="13" t="s">
        <v>85</v>
      </c>
      <c r="V265" s="13" t="n">
        <f aca="false">IF(COUNTIF($B$2:B265,B265)=1,1,0)</f>
        <v>0</v>
      </c>
      <c r="W265" s="13" t="n">
        <f aca="false">IF(COUNTIFS($B$2:B265,B265,$T$2:T265,T265)=1,1,0)</f>
        <v>0</v>
      </c>
    </row>
    <row r="266" customFormat="false" ht="15" hidden="false" customHeight="false" outlineLevel="0" collapsed="false">
      <c r="A266" s="13" t="s">
        <v>2982</v>
      </c>
      <c r="B266" s="13" t="s">
        <v>2180</v>
      </c>
      <c r="C266" s="13" t="n">
        <v>5500</v>
      </c>
      <c r="D266" s="13" t="n">
        <v>70</v>
      </c>
      <c r="E266" s="13" t="n">
        <v>78.99</v>
      </c>
      <c r="F266" s="13" t="s">
        <v>5288</v>
      </c>
      <c r="G266" s="13" t="s">
        <v>5289</v>
      </c>
      <c r="H266" s="13" t="s">
        <v>5289</v>
      </c>
      <c r="I266" s="13" t="s">
        <v>5292</v>
      </c>
      <c r="J266" s="13" t="s">
        <v>5289</v>
      </c>
      <c r="K266" s="13" t="s">
        <v>5292</v>
      </c>
      <c r="L266" s="13" t="s">
        <v>5421</v>
      </c>
      <c r="M266" s="13"/>
      <c r="N266" s="13" t="n">
        <v>7899838874869</v>
      </c>
      <c r="O266" s="13"/>
      <c r="P266" s="13" t="s">
        <v>5291</v>
      </c>
      <c r="Q266" s="13" t="s">
        <v>5289</v>
      </c>
      <c r="R266" s="13" t="s">
        <v>5292</v>
      </c>
      <c r="S266" s="13" t="s">
        <v>5293</v>
      </c>
      <c r="T266" s="13" t="s">
        <v>3</v>
      </c>
      <c r="U266" s="13" t="s">
        <v>57</v>
      </c>
      <c r="V266" s="13" t="n">
        <f aca="false">IF(COUNTIF($B$2:B266,B266)=1,1,0)</f>
        <v>1</v>
      </c>
      <c r="W266" s="13" t="n">
        <f aca="false">IF(COUNTIFS($B$2:B266,B266,$T$2:T266,T266)=1,1,0)</f>
        <v>1</v>
      </c>
    </row>
    <row r="267" customFormat="false" ht="15" hidden="false" customHeight="false" outlineLevel="0" collapsed="false">
      <c r="A267" s="13" t="s">
        <v>3008</v>
      </c>
      <c r="B267" s="13" t="s">
        <v>2095</v>
      </c>
      <c r="C267" s="13" t="n">
        <v>5400</v>
      </c>
      <c r="D267" s="13" t="n">
        <v>40</v>
      </c>
      <c r="E267" s="13" t="n">
        <v>143.306315789474</v>
      </c>
      <c r="F267" s="13" t="s">
        <v>5288</v>
      </c>
      <c r="G267" s="13" t="s">
        <v>5289</v>
      </c>
      <c r="H267" s="13" t="s">
        <v>5289</v>
      </c>
      <c r="I267" s="13" t="s">
        <v>5289</v>
      </c>
      <c r="J267" s="13" t="s">
        <v>5289</v>
      </c>
      <c r="K267" s="13" t="s">
        <v>5289</v>
      </c>
      <c r="L267" s="13" t="s">
        <v>3007</v>
      </c>
      <c r="M267" s="13"/>
      <c r="N267" s="13" t="n">
        <v>7898949730675</v>
      </c>
      <c r="O267" s="13"/>
      <c r="P267" s="13" t="s">
        <v>5291</v>
      </c>
      <c r="Q267" s="13" t="s">
        <v>5289</v>
      </c>
      <c r="R267" s="13" t="s">
        <v>5292</v>
      </c>
      <c r="S267" s="13" t="s">
        <v>5293</v>
      </c>
      <c r="T267" s="13" t="s">
        <v>3</v>
      </c>
      <c r="U267" s="13" t="s">
        <v>140</v>
      </c>
      <c r="V267" s="13" t="n">
        <f aca="false">IF(COUNTIF($B$2:B267,B267)=1,1,0)</f>
        <v>0</v>
      </c>
      <c r="W267" s="13" t="n">
        <f aca="false">IF(COUNTIFS($B$2:B267,B267,$T$2:T267,T267)=1,1,0)</f>
        <v>0</v>
      </c>
    </row>
    <row r="268" customFormat="false" ht="15" hidden="false" customHeight="false" outlineLevel="0" collapsed="false">
      <c r="A268" s="13" t="s">
        <v>283</v>
      </c>
      <c r="B268" s="13" t="s">
        <v>79</v>
      </c>
      <c r="C268" s="13" t="n">
        <v>5400</v>
      </c>
      <c r="D268" s="13" t="n">
        <v>5</v>
      </c>
      <c r="E268" s="13" t="n">
        <v>774.57</v>
      </c>
      <c r="F268" s="13" t="s">
        <v>5288</v>
      </c>
      <c r="G268" s="13" t="s">
        <v>5289</v>
      </c>
      <c r="H268" s="13" t="s">
        <v>5289</v>
      </c>
      <c r="I268" s="13" t="s">
        <v>5289</v>
      </c>
      <c r="J268" s="13" t="s">
        <v>5289</v>
      </c>
      <c r="K268" s="13" t="s">
        <v>5289</v>
      </c>
      <c r="L268" s="13" t="s">
        <v>2450</v>
      </c>
      <c r="M268" s="13"/>
      <c r="N268" s="13" t="n">
        <v>8056669925798</v>
      </c>
      <c r="O268" s="13"/>
      <c r="P268" s="13" t="s">
        <v>5297</v>
      </c>
      <c r="Q268" s="13" t="s">
        <v>5289</v>
      </c>
      <c r="R268" s="13" t="s">
        <v>5292</v>
      </c>
      <c r="S268" s="13" t="s">
        <v>5293</v>
      </c>
      <c r="T268" s="13" t="s">
        <v>3</v>
      </c>
      <c r="U268" s="13" t="s">
        <v>43</v>
      </c>
      <c r="V268" s="13" t="n">
        <f aca="false">IF(COUNTIF($B$2:B268,B268)=1,1,0)</f>
        <v>0</v>
      </c>
      <c r="W268" s="13" t="n">
        <f aca="false">IF(COUNTIFS($B$2:B268,B268,$T$2:T268,T268)=1,1,0)</f>
        <v>0</v>
      </c>
    </row>
    <row r="269" customFormat="false" ht="15" hidden="false" customHeight="false" outlineLevel="0" collapsed="false">
      <c r="A269" s="13" t="s">
        <v>3021</v>
      </c>
      <c r="B269" s="13" t="s">
        <v>2094</v>
      </c>
      <c r="C269" s="13" t="n">
        <v>5300</v>
      </c>
      <c r="D269" s="13" t="n">
        <v>80</v>
      </c>
      <c r="E269" s="13" t="n">
        <v>62.8723529411764</v>
      </c>
      <c r="F269" s="13" t="s">
        <v>5288</v>
      </c>
      <c r="G269" s="13" t="s">
        <v>5289</v>
      </c>
      <c r="H269" s="13" t="s">
        <v>5289</v>
      </c>
      <c r="I269" s="13" t="s">
        <v>5292</v>
      </c>
      <c r="J269" s="13" t="s">
        <v>5289</v>
      </c>
      <c r="K269" s="13" t="s">
        <v>5292</v>
      </c>
      <c r="L269" s="13" t="s">
        <v>5422</v>
      </c>
      <c r="M269" s="13"/>
      <c r="N269" s="13" t="n">
        <v>7898301059635</v>
      </c>
      <c r="O269" s="13"/>
      <c r="P269" s="13" t="s">
        <v>5291</v>
      </c>
      <c r="Q269" s="13" t="s">
        <v>5289</v>
      </c>
      <c r="R269" s="13" t="s">
        <v>5292</v>
      </c>
      <c r="S269" s="13" t="s">
        <v>5293</v>
      </c>
      <c r="T269" s="13" t="s">
        <v>3</v>
      </c>
      <c r="U269" s="13" t="s">
        <v>57</v>
      </c>
      <c r="V269" s="13" t="n">
        <f aca="false">IF(COUNTIF($B$2:B269,B269)=1,1,0)</f>
        <v>0</v>
      </c>
      <c r="W269" s="13" t="n">
        <f aca="false">IF(COUNTIFS($B$2:B269,B269,$T$2:T269,T269)=1,1,0)</f>
        <v>0</v>
      </c>
    </row>
    <row r="270" customFormat="false" ht="15" hidden="false" customHeight="false" outlineLevel="0" collapsed="false">
      <c r="A270" s="13" t="s">
        <v>3019</v>
      </c>
      <c r="B270" s="13" t="s">
        <v>2101</v>
      </c>
      <c r="C270" s="13" t="n">
        <v>5300</v>
      </c>
      <c r="D270" s="13" t="n">
        <v>5</v>
      </c>
      <c r="E270" s="13" t="n">
        <v>668</v>
      </c>
      <c r="F270" s="13" t="s">
        <v>5288</v>
      </c>
      <c r="G270" s="13" t="s">
        <v>5289</v>
      </c>
      <c r="H270" s="13" t="s">
        <v>5289</v>
      </c>
      <c r="I270" s="13" t="s">
        <v>5289</v>
      </c>
      <c r="J270" s="13" t="s">
        <v>5289</v>
      </c>
      <c r="K270" s="13" t="s">
        <v>5289</v>
      </c>
      <c r="L270" s="13" t="s">
        <v>3018</v>
      </c>
      <c r="M270" s="13"/>
      <c r="N270" s="13" t="n">
        <v>7897013526107</v>
      </c>
      <c r="O270" s="13"/>
      <c r="P270" s="13" t="s">
        <v>5291</v>
      </c>
      <c r="Q270" s="13" t="s">
        <v>5289</v>
      </c>
      <c r="R270" s="13" t="s">
        <v>5292</v>
      </c>
      <c r="S270" s="13" t="s">
        <v>5293</v>
      </c>
      <c r="T270" s="13" t="s">
        <v>3</v>
      </c>
      <c r="U270" s="13" t="s">
        <v>57</v>
      </c>
      <c r="V270" s="13" t="n">
        <f aca="false">IF(COUNTIF($B$2:B270,B270)=1,1,0)</f>
        <v>0</v>
      </c>
      <c r="W270" s="13" t="n">
        <f aca="false">IF(COUNTIFS($B$2:B270,B270,$T$2:T270,T270)=1,1,0)</f>
        <v>0</v>
      </c>
    </row>
    <row r="271" customFormat="false" ht="15" hidden="false" customHeight="false" outlineLevel="0" collapsed="false">
      <c r="A271" s="13" t="s">
        <v>532</v>
      </c>
      <c r="B271" s="13" t="s">
        <v>59</v>
      </c>
      <c r="C271" s="13" t="n">
        <v>5300</v>
      </c>
      <c r="D271" s="13" t="n">
        <v>40</v>
      </c>
      <c r="E271" s="13" t="n">
        <v>129.99</v>
      </c>
      <c r="F271" s="13" t="s">
        <v>5288</v>
      </c>
      <c r="G271" s="13" t="s">
        <v>5289</v>
      </c>
      <c r="H271" s="13" t="s">
        <v>5289</v>
      </c>
      <c r="I271" s="13" t="s">
        <v>5289</v>
      </c>
      <c r="J271" s="13" t="s">
        <v>5289</v>
      </c>
      <c r="K271" s="13" t="s">
        <v>5292</v>
      </c>
      <c r="L271" s="13" t="s">
        <v>2814</v>
      </c>
      <c r="M271" s="13"/>
      <c r="N271" s="13" t="n">
        <v>3616307110136</v>
      </c>
      <c r="O271" s="13"/>
      <c r="P271" s="13" t="s">
        <v>5297</v>
      </c>
      <c r="Q271" s="13" t="s">
        <v>5289</v>
      </c>
      <c r="R271" s="13" t="s">
        <v>5292</v>
      </c>
      <c r="S271" s="13" t="s">
        <v>5293</v>
      </c>
      <c r="T271" s="13" t="s">
        <v>3</v>
      </c>
      <c r="U271" s="13" t="s">
        <v>43</v>
      </c>
      <c r="V271" s="13" t="n">
        <f aca="false">IF(COUNTIF($B$2:B271,B271)=1,1,0)</f>
        <v>0</v>
      </c>
      <c r="W271" s="13" t="n">
        <f aca="false">IF(COUNTIFS($B$2:B271,B271,$T$2:T271,T271)=1,1,0)</f>
        <v>0</v>
      </c>
    </row>
    <row r="272" customFormat="false" ht="15" hidden="false" customHeight="false" outlineLevel="0" collapsed="false">
      <c r="A272" s="13" t="s">
        <v>530</v>
      </c>
      <c r="B272" s="13" t="s">
        <v>270</v>
      </c>
      <c r="C272" s="13" t="n">
        <v>5300</v>
      </c>
      <c r="D272" s="13" t="n">
        <v>20</v>
      </c>
      <c r="E272" s="13" t="n">
        <v>294.99</v>
      </c>
      <c r="F272" s="13" t="s">
        <v>5288</v>
      </c>
      <c r="G272" s="13" t="s">
        <v>5289</v>
      </c>
      <c r="H272" s="13" t="s">
        <v>5289</v>
      </c>
      <c r="I272" s="13" t="s">
        <v>5289</v>
      </c>
      <c r="J272" s="13" t="s">
        <v>5289</v>
      </c>
      <c r="K272" s="13" t="s">
        <v>5292</v>
      </c>
      <c r="L272" s="13" t="s">
        <v>2791</v>
      </c>
      <c r="M272" s="13"/>
      <c r="N272" s="13" t="n">
        <v>892456000525</v>
      </c>
      <c r="O272" s="13"/>
      <c r="P272" s="13" t="s">
        <v>5291</v>
      </c>
      <c r="Q272" s="13" t="s">
        <v>5289</v>
      </c>
      <c r="R272" s="13" t="s">
        <v>5292</v>
      </c>
      <c r="S272" s="13" t="s">
        <v>5293</v>
      </c>
      <c r="T272" s="13" t="s">
        <v>3</v>
      </c>
      <c r="U272" s="13" t="s">
        <v>43</v>
      </c>
      <c r="V272" s="13" t="n">
        <f aca="false">IF(COUNTIF($B$2:B272,B272)=1,1,0)</f>
        <v>0</v>
      </c>
      <c r="W272" s="13" t="n">
        <f aca="false">IF(COUNTIFS($B$2:B272,B272,$T$2:T272,T272)=1,1,0)</f>
        <v>0</v>
      </c>
    </row>
    <row r="273" customFormat="false" ht="15" hidden="false" customHeight="false" outlineLevel="0" collapsed="false">
      <c r="A273" s="13" t="s">
        <v>533</v>
      </c>
      <c r="B273" s="13" t="s">
        <v>65</v>
      </c>
      <c r="C273" s="13" t="n">
        <v>5300</v>
      </c>
      <c r="D273" s="13" t="n">
        <v>10</v>
      </c>
      <c r="E273" s="13" t="n">
        <v>404.516153846154</v>
      </c>
      <c r="F273" s="13" t="s">
        <v>5288</v>
      </c>
      <c r="G273" s="13" t="s">
        <v>5289</v>
      </c>
      <c r="H273" s="13" t="s">
        <v>5292</v>
      </c>
      <c r="I273" s="13" t="s">
        <v>5289</v>
      </c>
      <c r="J273" s="13" t="s">
        <v>5289</v>
      </c>
      <c r="K273" s="13" t="s">
        <v>5292</v>
      </c>
      <c r="L273" s="13" t="s">
        <v>2387</v>
      </c>
      <c r="M273" s="13"/>
      <c r="N273" s="13" t="n">
        <v>4710206002192</v>
      </c>
      <c r="O273" s="13"/>
      <c r="P273" s="13" t="s">
        <v>5291</v>
      </c>
      <c r="Q273" s="13" t="s">
        <v>5289</v>
      </c>
      <c r="R273" s="13" t="s">
        <v>5292</v>
      </c>
      <c r="S273" s="13" t="s">
        <v>5293</v>
      </c>
      <c r="T273" s="13" t="s">
        <v>3</v>
      </c>
      <c r="U273" s="13" t="s">
        <v>85</v>
      </c>
      <c r="V273" s="13" t="n">
        <f aca="false">IF(COUNTIF($B$2:B273,B273)=1,1,0)</f>
        <v>0</v>
      </c>
      <c r="W273" s="13" t="n">
        <f aca="false">IF(COUNTIFS($B$2:B273,B273,$T$2:T273,T273)=1,1,0)</f>
        <v>0</v>
      </c>
    </row>
    <row r="274" customFormat="false" ht="15" hidden="false" customHeight="false" outlineLevel="0" collapsed="false">
      <c r="A274" s="13" t="s">
        <v>2994</v>
      </c>
      <c r="B274" s="13" t="s">
        <v>2097</v>
      </c>
      <c r="C274" s="13" t="n">
        <v>5300</v>
      </c>
      <c r="D274" s="13" t="n">
        <v>80</v>
      </c>
      <c r="E274" s="13" t="n">
        <v>62.5688095238095</v>
      </c>
      <c r="F274" s="13" t="s">
        <v>5288</v>
      </c>
      <c r="G274" s="13" t="s">
        <v>5289</v>
      </c>
      <c r="H274" s="13" t="s">
        <v>5289</v>
      </c>
      <c r="I274" s="13" t="s">
        <v>5292</v>
      </c>
      <c r="J274" s="13" t="s">
        <v>5289</v>
      </c>
      <c r="K274" s="13" t="s">
        <v>5292</v>
      </c>
      <c r="L274" s="13" t="s">
        <v>2993</v>
      </c>
      <c r="M274" s="13"/>
      <c r="N274" s="13" t="n">
        <v>7908407007789</v>
      </c>
      <c r="O274" s="13"/>
      <c r="P274" s="13" t="s">
        <v>5291</v>
      </c>
      <c r="Q274" s="13" t="s">
        <v>5289</v>
      </c>
      <c r="R274" s="13" t="s">
        <v>5292</v>
      </c>
      <c r="S274" s="13" t="s">
        <v>5293</v>
      </c>
      <c r="T274" s="13" t="s">
        <v>3</v>
      </c>
      <c r="U274" s="13" t="s">
        <v>140</v>
      </c>
      <c r="V274" s="13" t="n">
        <f aca="false">IF(COUNTIF($B$2:B274,B274)=1,1,0)</f>
        <v>0</v>
      </c>
      <c r="W274" s="13" t="n">
        <f aca="false">IF(COUNTIFS($B$2:B274,B274,$T$2:T274,T274)=1,1,0)</f>
        <v>0</v>
      </c>
    </row>
    <row r="275" customFormat="false" ht="15" hidden="false" customHeight="false" outlineLevel="0" collapsed="false">
      <c r="A275" s="13" t="s">
        <v>2902</v>
      </c>
      <c r="B275" s="13" t="s">
        <v>2167</v>
      </c>
      <c r="C275" s="13" t="n">
        <v>5200</v>
      </c>
      <c r="D275" s="13" t="n">
        <v>20</v>
      </c>
      <c r="E275" s="13" t="n">
        <v>345.281333333333</v>
      </c>
      <c r="F275" s="13" t="s">
        <v>5288</v>
      </c>
      <c r="G275" s="13" t="s">
        <v>5289</v>
      </c>
      <c r="H275" s="13" t="s">
        <v>5289</v>
      </c>
      <c r="I275" s="13" t="s">
        <v>5289</v>
      </c>
      <c r="J275" s="13" t="s">
        <v>5289</v>
      </c>
      <c r="K275" s="13" t="s">
        <v>5289</v>
      </c>
      <c r="L275" s="13" t="s">
        <v>2901</v>
      </c>
      <c r="M275" s="13"/>
      <c r="N275" s="13" t="n">
        <v>719346646550</v>
      </c>
      <c r="O275" s="13"/>
      <c r="P275" s="13" t="s">
        <v>5304</v>
      </c>
      <c r="Q275" s="13" t="s">
        <v>5289</v>
      </c>
      <c r="R275" s="13" t="s">
        <v>5292</v>
      </c>
      <c r="S275" s="13" t="s">
        <v>5293</v>
      </c>
      <c r="T275" s="13" t="s">
        <v>3</v>
      </c>
      <c r="U275" s="13" t="s">
        <v>43</v>
      </c>
      <c r="V275" s="13" t="n">
        <f aca="false">IF(COUNTIF($B$2:B275,B275)=1,1,0)</f>
        <v>1</v>
      </c>
      <c r="W275" s="13" t="n">
        <f aca="false">IF(COUNTIFS($B$2:B275,B275,$T$2:T275,T275)=1,1,0)</f>
        <v>1</v>
      </c>
    </row>
    <row r="276" customFormat="false" ht="15" hidden="false" customHeight="false" outlineLevel="0" collapsed="false">
      <c r="A276" s="13" t="s">
        <v>2964</v>
      </c>
      <c r="B276" s="13" t="s">
        <v>2097</v>
      </c>
      <c r="C276" s="13" t="n">
        <v>5200</v>
      </c>
      <c r="D276" s="13" t="n">
        <v>110</v>
      </c>
      <c r="E276" s="13" t="n">
        <v>48.3705607476636</v>
      </c>
      <c r="F276" s="13" t="s">
        <v>5288</v>
      </c>
      <c r="G276" s="13" t="s">
        <v>5289</v>
      </c>
      <c r="H276" s="13" t="s">
        <v>5289</v>
      </c>
      <c r="I276" s="13" t="s">
        <v>5292</v>
      </c>
      <c r="J276" s="13" t="s">
        <v>5289</v>
      </c>
      <c r="K276" s="13" t="s">
        <v>5292</v>
      </c>
      <c r="L276" s="13" t="s">
        <v>2963</v>
      </c>
      <c r="M276" s="13"/>
      <c r="N276" s="13" t="n">
        <v>7908407006577</v>
      </c>
      <c r="O276" s="13"/>
      <c r="P276" s="13" t="s">
        <v>5291</v>
      </c>
      <c r="Q276" s="13" t="s">
        <v>5289</v>
      </c>
      <c r="R276" s="13" t="s">
        <v>5292</v>
      </c>
      <c r="S276" s="13" t="s">
        <v>5293</v>
      </c>
      <c r="T276" s="13" t="s">
        <v>3</v>
      </c>
      <c r="U276" s="13" t="s">
        <v>140</v>
      </c>
      <c r="V276" s="13" t="n">
        <f aca="false">IF(COUNTIF($B$2:B276,B276)=1,1,0)</f>
        <v>0</v>
      </c>
      <c r="W276" s="13" t="n">
        <f aca="false">IF(COUNTIFS($B$2:B276,B276,$T$2:T276,T276)=1,1,0)</f>
        <v>0</v>
      </c>
    </row>
    <row r="277" customFormat="false" ht="15" hidden="false" customHeight="false" outlineLevel="0" collapsed="false">
      <c r="A277" s="13" t="s">
        <v>3030</v>
      </c>
      <c r="B277" s="13" t="s">
        <v>2095</v>
      </c>
      <c r="C277" s="13" t="n">
        <v>5200</v>
      </c>
      <c r="D277" s="13" t="n">
        <v>60</v>
      </c>
      <c r="E277" s="13" t="n">
        <v>86.2153333333333</v>
      </c>
      <c r="F277" s="13" t="s">
        <v>5288</v>
      </c>
      <c r="G277" s="13" t="s">
        <v>5289</v>
      </c>
      <c r="H277" s="13" t="s">
        <v>5289</v>
      </c>
      <c r="I277" s="13" t="s">
        <v>5289</v>
      </c>
      <c r="J277" s="13" t="s">
        <v>5289</v>
      </c>
      <c r="K277" s="13" t="s">
        <v>5292</v>
      </c>
      <c r="L277" s="13" t="s">
        <v>3029</v>
      </c>
      <c r="M277" s="13"/>
      <c r="N277" s="13" t="n">
        <v>7898665431580</v>
      </c>
      <c r="O277" s="13"/>
      <c r="P277" s="13" t="s">
        <v>5291</v>
      </c>
      <c r="Q277" s="13" t="s">
        <v>5289</v>
      </c>
      <c r="R277" s="13" t="s">
        <v>5292</v>
      </c>
      <c r="S277" s="13" t="s">
        <v>5293</v>
      </c>
      <c r="T277" s="13" t="s">
        <v>3</v>
      </c>
      <c r="U277" s="13" t="s">
        <v>85</v>
      </c>
      <c r="V277" s="13" t="n">
        <f aca="false">IF(COUNTIF($B$2:B277,B277)=1,1,0)</f>
        <v>0</v>
      </c>
      <c r="W277" s="13" t="n">
        <f aca="false">IF(COUNTIFS($B$2:B277,B277,$T$2:T277,T277)=1,1,0)</f>
        <v>0</v>
      </c>
    </row>
    <row r="278" customFormat="false" ht="15" hidden="false" customHeight="false" outlineLevel="0" collapsed="false">
      <c r="A278" s="13" t="s">
        <v>540</v>
      </c>
      <c r="B278" s="13" t="s">
        <v>65</v>
      </c>
      <c r="C278" s="13" t="n">
        <v>5200</v>
      </c>
      <c r="D278" s="13" t="n">
        <v>60</v>
      </c>
      <c r="E278" s="13" t="n">
        <v>94</v>
      </c>
      <c r="F278" s="13" t="s">
        <v>5288</v>
      </c>
      <c r="G278" s="13" t="s">
        <v>5289</v>
      </c>
      <c r="H278" s="13" t="s">
        <v>5289</v>
      </c>
      <c r="I278" s="13" t="s">
        <v>5289</v>
      </c>
      <c r="J278" s="13" t="s">
        <v>5289</v>
      </c>
      <c r="K278" s="13" t="s">
        <v>5289</v>
      </c>
      <c r="L278" s="13" t="s">
        <v>3031</v>
      </c>
      <c r="M278" s="13"/>
      <c r="N278" s="13" t="n">
        <v>4710214000067</v>
      </c>
      <c r="O278" s="13"/>
      <c r="P278" s="13" t="s">
        <v>5291</v>
      </c>
      <c r="Q278" s="13" t="s">
        <v>5289</v>
      </c>
      <c r="R278" s="13" t="s">
        <v>5292</v>
      </c>
      <c r="S278" s="13" t="s">
        <v>5293</v>
      </c>
      <c r="T278" s="13" t="s">
        <v>3</v>
      </c>
      <c r="U278" s="13" t="s">
        <v>66</v>
      </c>
      <c r="V278" s="13" t="n">
        <f aca="false">IF(COUNTIF($B$2:B278,B278)=1,1,0)</f>
        <v>0</v>
      </c>
      <c r="W278" s="13" t="n">
        <f aca="false">IF(COUNTIFS($B$2:B278,B278,$T$2:T278,T278)=1,1,0)</f>
        <v>0</v>
      </c>
    </row>
    <row r="279" customFormat="false" ht="15" hidden="false" customHeight="false" outlineLevel="0" collapsed="false">
      <c r="A279" s="13" t="s">
        <v>3037</v>
      </c>
      <c r="B279" s="13" t="s">
        <v>2113</v>
      </c>
      <c r="C279" s="13" t="n">
        <v>5100</v>
      </c>
      <c r="D279" s="13" t="n">
        <v>60</v>
      </c>
      <c r="E279" s="13" t="n">
        <v>89.99</v>
      </c>
      <c r="F279" s="13" t="s">
        <v>5288</v>
      </c>
      <c r="G279" s="13" t="s">
        <v>5289</v>
      </c>
      <c r="H279" s="13" t="s">
        <v>5289</v>
      </c>
      <c r="I279" s="13" t="s">
        <v>5289</v>
      </c>
      <c r="J279" s="13" t="s">
        <v>5289</v>
      </c>
      <c r="K279" s="13" t="s">
        <v>5292</v>
      </c>
      <c r="L279" s="13" t="s">
        <v>3036</v>
      </c>
      <c r="M279" s="13"/>
      <c r="N279" s="13" t="n">
        <v>7898741806059</v>
      </c>
      <c r="O279" s="13"/>
      <c r="P279" s="13" t="s">
        <v>5291</v>
      </c>
      <c r="Q279" s="13" t="s">
        <v>5289</v>
      </c>
      <c r="R279" s="13" t="s">
        <v>5292</v>
      </c>
      <c r="S279" s="13" t="s">
        <v>5293</v>
      </c>
      <c r="T279" s="13" t="s">
        <v>3</v>
      </c>
      <c r="U279" s="13" t="s">
        <v>183</v>
      </c>
      <c r="V279" s="13" t="n">
        <f aca="false">IF(COUNTIF($B$2:B279,B279)=1,1,0)</f>
        <v>0</v>
      </c>
      <c r="W279" s="13" t="n">
        <f aca="false">IF(COUNTIFS($B$2:B279,B279,$T$2:T279,T279)=1,1,0)</f>
        <v>0</v>
      </c>
    </row>
    <row r="280" customFormat="false" ht="15" hidden="false" customHeight="false" outlineLevel="0" collapsed="false">
      <c r="A280" s="13" t="s">
        <v>3041</v>
      </c>
      <c r="B280" s="13" t="s">
        <v>2157</v>
      </c>
      <c r="C280" s="13" t="n">
        <v>5100</v>
      </c>
      <c r="D280" s="13" t="n">
        <v>20</v>
      </c>
      <c r="E280" s="13" t="n">
        <v>269.9</v>
      </c>
      <c r="F280" s="13" t="s">
        <v>5288</v>
      </c>
      <c r="G280" s="13" t="s">
        <v>5289</v>
      </c>
      <c r="H280" s="13" t="s">
        <v>5289</v>
      </c>
      <c r="I280" s="13" t="s">
        <v>5289</v>
      </c>
      <c r="J280" s="13" t="s">
        <v>5289</v>
      </c>
      <c r="K280" s="13" t="s">
        <v>5289</v>
      </c>
      <c r="L280" s="13" t="s">
        <v>3040</v>
      </c>
      <c r="M280" s="13"/>
      <c r="N280" s="13" t="n">
        <v>7891033838455</v>
      </c>
      <c r="O280" s="13"/>
      <c r="P280" s="13" t="s">
        <v>5297</v>
      </c>
      <c r="Q280" s="13" t="s">
        <v>5289</v>
      </c>
      <c r="R280" s="13" t="s">
        <v>5292</v>
      </c>
      <c r="S280" s="13" t="s">
        <v>5293</v>
      </c>
      <c r="T280" s="13" t="s">
        <v>3</v>
      </c>
      <c r="U280" s="13" t="s">
        <v>43</v>
      </c>
      <c r="V280" s="13" t="n">
        <f aca="false">IF(COUNTIF($B$2:B280,B280)=1,1,0)</f>
        <v>1</v>
      </c>
      <c r="W280" s="13" t="n">
        <f aca="false">IF(COUNTIFS($B$2:B280,B280,$T$2:T280,T280)=1,1,0)</f>
        <v>1</v>
      </c>
    </row>
    <row r="281" customFormat="false" ht="15" hidden="false" customHeight="false" outlineLevel="0" collapsed="false">
      <c r="A281" s="13" t="s">
        <v>498</v>
      </c>
      <c r="B281" s="13" t="s">
        <v>65</v>
      </c>
      <c r="C281" s="13" t="n">
        <v>5100</v>
      </c>
      <c r="D281" s="13" t="n">
        <v>20</v>
      </c>
      <c r="E281" s="13" t="n">
        <v>338.663333333333</v>
      </c>
      <c r="F281" s="13" t="s">
        <v>5325</v>
      </c>
      <c r="G281" s="13" t="s">
        <v>5289</v>
      </c>
      <c r="H281" s="13" t="s">
        <v>5289</v>
      </c>
      <c r="I281" s="13" t="s">
        <v>5289</v>
      </c>
      <c r="J281" s="13" t="s">
        <v>5289</v>
      </c>
      <c r="K281" s="13" t="s">
        <v>5292</v>
      </c>
      <c r="L281" s="13" t="s">
        <v>3035</v>
      </c>
      <c r="M281" s="13"/>
      <c r="N281" s="13" t="n">
        <v>4710122009848</v>
      </c>
      <c r="O281" s="13"/>
      <c r="P281" s="13" t="s">
        <v>5291</v>
      </c>
      <c r="Q281" s="13" t="s">
        <v>5289</v>
      </c>
      <c r="R281" s="13" t="s">
        <v>5292</v>
      </c>
      <c r="S281" s="13" t="s">
        <v>5293</v>
      </c>
      <c r="T281" s="13" t="s">
        <v>3</v>
      </c>
      <c r="U281" s="13" t="s">
        <v>66</v>
      </c>
      <c r="V281" s="13" t="n">
        <f aca="false">IF(COUNTIF($B$2:B281,B281)=1,1,0)</f>
        <v>0</v>
      </c>
      <c r="W281" s="13" t="n">
        <f aca="false">IF(COUNTIFS($B$2:B281,B281,$T$2:T281,T281)=1,1,0)</f>
        <v>0</v>
      </c>
    </row>
    <row r="282" customFormat="false" ht="15" hidden="false" customHeight="false" outlineLevel="0" collapsed="false">
      <c r="A282" s="13" t="s">
        <v>542</v>
      </c>
      <c r="B282" s="13" t="s">
        <v>87</v>
      </c>
      <c r="C282" s="13" t="n">
        <v>5100</v>
      </c>
      <c r="D282" s="13" t="n">
        <v>30</v>
      </c>
      <c r="E282" s="13" t="n">
        <v>194.806153846154</v>
      </c>
      <c r="F282" s="13" t="s">
        <v>5288</v>
      </c>
      <c r="G282" s="13" t="s">
        <v>5289</v>
      </c>
      <c r="H282" s="13" t="s">
        <v>5289</v>
      </c>
      <c r="I282" s="13" t="s">
        <v>5289</v>
      </c>
      <c r="J282" s="13" t="s">
        <v>5289</v>
      </c>
      <c r="K282" s="13" t="s">
        <v>5289</v>
      </c>
      <c r="L282" s="13" t="s">
        <v>5423</v>
      </c>
      <c r="M282" s="13"/>
      <c r="N282" s="13" t="n">
        <v>22255233644</v>
      </c>
      <c r="O282" s="13"/>
      <c r="P282" s="13" t="s">
        <v>5291</v>
      </c>
      <c r="Q282" s="13" t="s">
        <v>5289</v>
      </c>
      <c r="R282" s="13" t="s">
        <v>5292</v>
      </c>
      <c r="S282" s="13" t="s">
        <v>5293</v>
      </c>
      <c r="T282" s="13" t="s">
        <v>3</v>
      </c>
      <c r="U282" s="13" t="s">
        <v>66</v>
      </c>
      <c r="V282" s="13" t="n">
        <f aca="false">IF(COUNTIF($B$2:B282,B282)=1,1,0)</f>
        <v>0</v>
      </c>
      <c r="W282" s="13" t="n">
        <f aca="false">IF(COUNTIFS($B$2:B282,B282,$T$2:T282,T282)=1,1,0)</f>
        <v>0</v>
      </c>
    </row>
    <row r="283" customFormat="false" ht="15" hidden="false" customHeight="false" outlineLevel="0" collapsed="false">
      <c r="A283" s="13" t="s">
        <v>3052</v>
      </c>
      <c r="B283" s="13" t="s">
        <v>2136</v>
      </c>
      <c r="C283" s="13" t="n">
        <v>5000</v>
      </c>
      <c r="D283" s="13" t="n">
        <v>120</v>
      </c>
      <c r="E283" s="13" t="n">
        <v>41.2897540983606</v>
      </c>
      <c r="F283" s="13" t="s">
        <v>5288</v>
      </c>
      <c r="G283" s="13" t="s">
        <v>5289</v>
      </c>
      <c r="H283" s="13" t="s">
        <v>5289</v>
      </c>
      <c r="I283" s="13" t="s">
        <v>5292</v>
      </c>
      <c r="J283" s="13" t="s">
        <v>5289</v>
      </c>
      <c r="K283" s="13" t="s">
        <v>5292</v>
      </c>
      <c r="L283" s="13" t="s">
        <v>3051</v>
      </c>
      <c r="M283" s="13"/>
      <c r="N283" s="13" t="n">
        <v>7898390942436</v>
      </c>
      <c r="O283" s="13"/>
      <c r="P283" s="13" t="s">
        <v>5291</v>
      </c>
      <c r="Q283" s="13" t="s">
        <v>5289</v>
      </c>
      <c r="R283" s="13" t="s">
        <v>5292</v>
      </c>
      <c r="S283" s="13" t="s">
        <v>5293</v>
      </c>
      <c r="T283" s="13" t="s">
        <v>3</v>
      </c>
      <c r="U283" s="13" t="s">
        <v>85</v>
      </c>
      <c r="V283" s="13" t="n">
        <f aca="false">IF(COUNTIF($B$2:B283,B283)=1,1,0)</f>
        <v>1</v>
      </c>
      <c r="W283" s="13" t="n">
        <f aca="false">IF(COUNTIFS($B$2:B283,B283,$T$2:T283,T283)=1,1,0)</f>
        <v>1</v>
      </c>
    </row>
    <row r="284" customFormat="false" ht="15" hidden="false" customHeight="false" outlineLevel="0" collapsed="false">
      <c r="A284" s="13" t="s">
        <v>3046</v>
      </c>
      <c r="B284" s="13" t="s">
        <v>2183</v>
      </c>
      <c r="C284" s="13" t="n">
        <v>5000</v>
      </c>
      <c r="D284" s="13" t="n">
        <v>60</v>
      </c>
      <c r="E284" s="13" t="n">
        <v>79.9209523809524</v>
      </c>
      <c r="F284" s="13" t="s">
        <v>5288</v>
      </c>
      <c r="G284" s="13" t="s">
        <v>5289</v>
      </c>
      <c r="H284" s="13" t="s">
        <v>5289</v>
      </c>
      <c r="I284" s="13" t="s">
        <v>5292</v>
      </c>
      <c r="J284" s="13" t="s">
        <v>5289</v>
      </c>
      <c r="K284" s="13" t="s">
        <v>5292</v>
      </c>
      <c r="L284" s="13" t="s">
        <v>3045</v>
      </c>
      <c r="M284" s="13"/>
      <c r="N284" s="13" t="n">
        <v>8439627620537</v>
      </c>
      <c r="O284" s="13"/>
      <c r="P284" s="13" t="s">
        <v>5291</v>
      </c>
      <c r="Q284" s="13" t="s">
        <v>5289</v>
      </c>
      <c r="R284" s="13" t="s">
        <v>5292</v>
      </c>
      <c r="S284" s="13" t="s">
        <v>5293</v>
      </c>
      <c r="T284" s="13" t="s">
        <v>3</v>
      </c>
      <c r="U284" s="13" t="s">
        <v>43</v>
      </c>
      <c r="V284" s="13" t="n">
        <f aca="false">IF(COUNTIF($B$2:B284,B284)=1,1,0)</f>
        <v>1</v>
      </c>
      <c r="W284" s="13" t="n">
        <f aca="false">IF(COUNTIFS($B$2:B284,B284,$T$2:T284,T284)=1,1,0)</f>
        <v>1</v>
      </c>
    </row>
    <row r="285" customFormat="false" ht="15" hidden="false" customHeight="false" outlineLevel="0" collapsed="false">
      <c r="A285" s="13" t="s">
        <v>3048</v>
      </c>
      <c r="B285" s="13" t="s">
        <v>2143</v>
      </c>
      <c r="C285" s="13" t="n">
        <v>5000</v>
      </c>
      <c r="D285" s="13" t="n">
        <v>20</v>
      </c>
      <c r="E285" s="13" t="n">
        <v>218.91347826087</v>
      </c>
      <c r="F285" s="13" t="s">
        <v>5288</v>
      </c>
      <c r="G285" s="13" t="s">
        <v>5289</v>
      </c>
      <c r="H285" s="13" t="s">
        <v>5289</v>
      </c>
      <c r="I285" s="13" t="s">
        <v>5289</v>
      </c>
      <c r="J285" s="13" t="s">
        <v>5289</v>
      </c>
      <c r="K285" s="13" t="s">
        <v>5292</v>
      </c>
      <c r="L285" s="13" t="s">
        <v>5424</v>
      </c>
      <c r="M285" s="13"/>
      <c r="N285" s="13" t="n">
        <v>3274872404328</v>
      </c>
      <c r="O285" s="13"/>
      <c r="P285" s="13" t="s">
        <v>5291</v>
      </c>
      <c r="Q285" s="13" t="s">
        <v>5289</v>
      </c>
      <c r="R285" s="13" t="s">
        <v>5292</v>
      </c>
      <c r="S285" s="13" t="s">
        <v>5293</v>
      </c>
      <c r="T285" s="13" t="s">
        <v>3</v>
      </c>
      <c r="U285" s="13" t="s">
        <v>43</v>
      </c>
      <c r="V285" s="13" t="n">
        <f aca="false">IF(COUNTIF($B$2:B285,B285)=1,1,0)</f>
        <v>1</v>
      </c>
      <c r="W285" s="13" t="n">
        <f aca="false">IF(COUNTIFS($B$2:B285,B285,$T$2:T285,T285)=1,1,0)</f>
        <v>1</v>
      </c>
    </row>
    <row r="286" customFormat="false" ht="15" hidden="false" customHeight="false" outlineLevel="0" collapsed="false">
      <c r="A286" s="13" t="s">
        <v>5425</v>
      </c>
      <c r="B286" s="13" t="s">
        <v>2108</v>
      </c>
      <c r="C286" s="13" t="n">
        <v>5000</v>
      </c>
      <c r="D286" s="13" t="n">
        <v>130</v>
      </c>
      <c r="E286" s="13" t="n">
        <v>39.4689763779528</v>
      </c>
      <c r="F286" s="13" t="s">
        <v>5288</v>
      </c>
      <c r="G286" s="13" t="s">
        <v>5289</v>
      </c>
      <c r="H286" s="13" t="s">
        <v>5292</v>
      </c>
      <c r="I286" s="13" t="s">
        <v>5292</v>
      </c>
      <c r="J286" s="13" t="s">
        <v>5289</v>
      </c>
      <c r="K286" s="13" t="s">
        <v>5292</v>
      </c>
      <c r="L286" s="13" t="s">
        <v>5370</v>
      </c>
      <c r="M286" s="13"/>
      <c r="N286" s="13" t="n">
        <v>7891117043577</v>
      </c>
      <c r="O286" s="13"/>
      <c r="P286" s="13" t="s">
        <v>5291</v>
      </c>
      <c r="Q286" s="13" t="s">
        <v>5289</v>
      </c>
      <c r="R286" s="13" t="s">
        <v>5292</v>
      </c>
      <c r="S286" s="13" t="s">
        <v>5293</v>
      </c>
      <c r="T286" s="13" t="s">
        <v>3</v>
      </c>
      <c r="U286" s="13" t="s">
        <v>82</v>
      </c>
      <c r="V286" s="13" t="n">
        <f aca="false">IF(COUNTIF($B$2:B286,B286)=1,1,0)</f>
        <v>0</v>
      </c>
      <c r="W286" s="13" t="n">
        <f aca="false">IF(COUNTIFS($B$2:B286,B286,$T$2:T286,T286)=1,1,0)</f>
        <v>0</v>
      </c>
    </row>
    <row r="287" customFormat="false" ht="15" hidden="false" customHeight="false" outlineLevel="0" collapsed="false">
      <c r="A287" s="13" t="s">
        <v>3050</v>
      </c>
      <c r="B287" s="13" t="s">
        <v>2126</v>
      </c>
      <c r="C287" s="13" t="n">
        <v>5000</v>
      </c>
      <c r="D287" s="13" t="n">
        <v>80</v>
      </c>
      <c r="E287" s="13" t="n">
        <v>58.8135294117647</v>
      </c>
      <c r="F287" s="13" t="s">
        <v>5288</v>
      </c>
      <c r="G287" s="13" t="s">
        <v>5289</v>
      </c>
      <c r="H287" s="13" t="s">
        <v>5289</v>
      </c>
      <c r="I287" s="13" t="s">
        <v>5292</v>
      </c>
      <c r="J287" s="13" t="s">
        <v>5289</v>
      </c>
      <c r="K287" s="13" t="s">
        <v>5292</v>
      </c>
      <c r="L287" s="13" t="s">
        <v>3088</v>
      </c>
      <c r="M287" s="13"/>
      <c r="N287" s="13" t="n">
        <v>7898449395022</v>
      </c>
      <c r="O287" s="13"/>
      <c r="P287" s="13" t="s">
        <v>5297</v>
      </c>
      <c r="Q287" s="13" t="s">
        <v>5289</v>
      </c>
      <c r="R287" s="13" t="s">
        <v>5292</v>
      </c>
      <c r="S287" s="13" t="s">
        <v>5293</v>
      </c>
      <c r="T287" s="13" t="s">
        <v>3</v>
      </c>
      <c r="U287" s="13" t="s">
        <v>183</v>
      </c>
      <c r="V287" s="13" t="n">
        <f aca="false">IF(COUNTIF($B$2:B287,B287)=1,1,0)</f>
        <v>1</v>
      </c>
      <c r="W287" s="13" t="n">
        <f aca="false">IF(COUNTIFS($B$2:B287,B287,$T$2:T287,T287)=1,1,0)</f>
        <v>1</v>
      </c>
    </row>
    <row r="288" customFormat="false" ht="15" hidden="false" customHeight="false" outlineLevel="0" collapsed="false">
      <c r="A288" s="13" t="s">
        <v>156</v>
      </c>
      <c r="B288" s="13" t="s">
        <v>155</v>
      </c>
      <c r="C288" s="13" t="n">
        <v>5000</v>
      </c>
      <c r="D288" s="13" t="n">
        <v>50</v>
      </c>
      <c r="E288" s="13" t="n">
        <v>96.0669230769231</v>
      </c>
      <c r="F288" s="13" t="s">
        <v>5288</v>
      </c>
      <c r="G288" s="13" t="s">
        <v>5289</v>
      </c>
      <c r="H288" s="13" t="s">
        <v>5289</v>
      </c>
      <c r="I288" s="13" t="s">
        <v>5289</v>
      </c>
      <c r="J288" s="13" t="s">
        <v>5289</v>
      </c>
      <c r="K288" s="13" t="s">
        <v>5292</v>
      </c>
      <c r="L288" s="13" t="s">
        <v>5331</v>
      </c>
      <c r="M288" s="13"/>
      <c r="N288" s="13" t="n">
        <v>8005610325507</v>
      </c>
      <c r="O288" s="13"/>
      <c r="P288" s="13" t="s">
        <v>5297</v>
      </c>
      <c r="Q288" s="13" t="s">
        <v>5289</v>
      </c>
      <c r="R288" s="13" t="s">
        <v>5292</v>
      </c>
      <c r="S288" s="13" t="s">
        <v>5293</v>
      </c>
      <c r="T288" s="13" t="s">
        <v>3</v>
      </c>
      <c r="U288" s="13" t="s">
        <v>43</v>
      </c>
      <c r="V288" s="13" t="n">
        <f aca="false">IF(COUNTIF($B$2:B288,B288)=1,1,0)</f>
        <v>0</v>
      </c>
      <c r="W288" s="13" t="n">
        <f aca="false">IF(COUNTIFS($B$2:B288,B288,$T$2:T288,T288)=1,1,0)</f>
        <v>0</v>
      </c>
    </row>
    <row r="289" customFormat="false" ht="15" hidden="false" customHeight="false" outlineLevel="0" collapsed="false">
      <c r="A289" s="13" t="s">
        <v>551</v>
      </c>
      <c r="B289" s="13" t="s">
        <v>191</v>
      </c>
      <c r="C289" s="13" t="n">
        <v>5000</v>
      </c>
      <c r="D289" s="13" t="n">
        <v>40</v>
      </c>
      <c r="E289" s="13" t="n">
        <v>137.903611111111</v>
      </c>
      <c r="F289" s="13" t="s">
        <v>5288</v>
      </c>
      <c r="G289" s="13" t="s">
        <v>5289</v>
      </c>
      <c r="H289" s="13" t="s">
        <v>5289</v>
      </c>
      <c r="I289" s="13" t="s">
        <v>5289</v>
      </c>
      <c r="J289" s="13" t="s">
        <v>5289</v>
      </c>
      <c r="K289" s="13" t="s">
        <v>5292</v>
      </c>
      <c r="L289" s="13" t="s">
        <v>3043</v>
      </c>
      <c r="M289" s="13"/>
      <c r="N289" s="13" t="n">
        <v>7896768470666</v>
      </c>
      <c r="O289" s="13"/>
      <c r="P289" s="13" t="s">
        <v>5291</v>
      </c>
      <c r="Q289" s="13" t="s">
        <v>5289</v>
      </c>
      <c r="R289" s="13" t="s">
        <v>5292</v>
      </c>
      <c r="S289" s="13" t="s">
        <v>5293</v>
      </c>
      <c r="T289" s="13" t="s">
        <v>3</v>
      </c>
      <c r="U289" s="13" t="s">
        <v>183</v>
      </c>
      <c r="V289" s="13" t="n">
        <f aca="false">IF(COUNTIF($B$2:B289,B289)=1,1,0)</f>
        <v>0</v>
      </c>
      <c r="W289" s="13" t="n">
        <f aca="false">IF(COUNTIFS($B$2:B289,B289,$T$2:T289,T289)=1,1,0)</f>
        <v>0</v>
      </c>
    </row>
    <row r="290" customFormat="false" ht="15" hidden="false" customHeight="false" outlineLevel="0" collapsed="false">
      <c r="A290" s="13" t="s">
        <v>3054</v>
      </c>
      <c r="B290" s="13" t="s">
        <v>2095</v>
      </c>
      <c r="C290" s="13" t="n">
        <v>5000</v>
      </c>
      <c r="D290" s="13" t="n">
        <v>40</v>
      </c>
      <c r="E290" s="13" t="n">
        <v>112.504090909091</v>
      </c>
      <c r="F290" s="13" t="s">
        <v>5288</v>
      </c>
      <c r="G290" s="13" t="s">
        <v>5289</v>
      </c>
      <c r="H290" s="13" t="s">
        <v>5289</v>
      </c>
      <c r="I290" s="13" t="s">
        <v>5289</v>
      </c>
      <c r="J290" s="13" t="s">
        <v>5289</v>
      </c>
      <c r="K290" s="13" t="s">
        <v>5292</v>
      </c>
      <c r="L290" s="13" t="s">
        <v>3053</v>
      </c>
      <c r="M290" s="13"/>
      <c r="N290" s="13" t="n">
        <v>7898665431610</v>
      </c>
      <c r="O290" s="13"/>
      <c r="P290" s="13" t="s">
        <v>5291</v>
      </c>
      <c r="Q290" s="13" t="s">
        <v>5289</v>
      </c>
      <c r="R290" s="13" t="s">
        <v>5292</v>
      </c>
      <c r="S290" s="13" t="s">
        <v>5293</v>
      </c>
      <c r="T290" s="13" t="s">
        <v>3</v>
      </c>
      <c r="U290" s="13" t="s">
        <v>140</v>
      </c>
      <c r="V290" s="13" t="n">
        <f aca="false">IF(COUNTIF($B$2:B290,B290)=1,1,0)</f>
        <v>0</v>
      </c>
      <c r="W290" s="13" t="n">
        <f aca="false">IF(COUNTIFS($B$2:B290,B290,$T$2:T290,T290)=1,1,0)</f>
        <v>0</v>
      </c>
    </row>
    <row r="291" customFormat="false" ht="15" hidden="false" customHeight="false" outlineLevel="0" collapsed="false">
      <c r="A291" s="13" t="s">
        <v>556</v>
      </c>
      <c r="B291" s="13" t="s">
        <v>302</v>
      </c>
      <c r="C291" s="13" t="n">
        <v>4900</v>
      </c>
      <c r="D291" s="13" t="n">
        <v>5</v>
      </c>
      <c r="E291" s="13" t="n">
        <v>618.11625</v>
      </c>
      <c r="F291" s="13" t="s">
        <v>5288</v>
      </c>
      <c r="G291" s="13" t="s">
        <v>5289</v>
      </c>
      <c r="H291" s="13" t="s">
        <v>5289</v>
      </c>
      <c r="I291" s="13" t="s">
        <v>5289</v>
      </c>
      <c r="J291" s="13" t="s">
        <v>5289</v>
      </c>
      <c r="K291" s="13" t="s">
        <v>5292</v>
      </c>
      <c r="L291" s="13" t="s">
        <v>3060</v>
      </c>
      <c r="M291" s="13"/>
      <c r="N291" s="13" t="n">
        <v>3274872439078</v>
      </c>
      <c r="O291" s="13"/>
      <c r="P291" s="13" t="s">
        <v>5291</v>
      </c>
      <c r="Q291" s="13" t="s">
        <v>5289</v>
      </c>
      <c r="R291" s="13" t="s">
        <v>5292</v>
      </c>
      <c r="S291" s="13" t="s">
        <v>5293</v>
      </c>
      <c r="T291" s="13" t="s">
        <v>3</v>
      </c>
      <c r="U291" s="13" t="s">
        <v>43</v>
      </c>
      <c r="V291" s="13" t="n">
        <f aca="false">IF(COUNTIF($B$2:B291,B291)=1,1,0)</f>
        <v>0</v>
      </c>
      <c r="W291" s="13" t="n">
        <f aca="false">IF(COUNTIFS($B$2:B291,B291,$T$2:T291,T291)=1,1,0)</f>
        <v>0</v>
      </c>
    </row>
    <row r="292" customFormat="false" ht="15" hidden="false" customHeight="false" outlineLevel="0" collapsed="false">
      <c r="A292" s="13" t="s">
        <v>553</v>
      </c>
      <c r="B292" s="13" t="s">
        <v>179</v>
      </c>
      <c r="C292" s="13" t="n">
        <v>4900</v>
      </c>
      <c r="D292" s="13" t="n">
        <v>30</v>
      </c>
      <c r="E292" s="13" t="n">
        <v>159</v>
      </c>
      <c r="F292" s="13" t="s">
        <v>5325</v>
      </c>
      <c r="G292" s="13" t="s">
        <v>5289</v>
      </c>
      <c r="H292" s="13" t="s">
        <v>5289</v>
      </c>
      <c r="I292" s="13" t="s">
        <v>5289</v>
      </c>
      <c r="J292" s="13" t="s">
        <v>5289</v>
      </c>
      <c r="K292" s="13" t="s">
        <v>5292</v>
      </c>
      <c r="L292" s="13" t="s">
        <v>3066</v>
      </c>
      <c r="M292" s="13"/>
      <c r="N292" s="13" t="n">
        <v>7908005352397</v>
      </c>
      <c r="O292" s="13"/>
      <c r="P292" s="13" t="s">
        <v>5297</v>
      </c>
      <c r="Q292" s="13" t="s">
        <v>5289</v>
      </c>
      <c r="R292" s="13" t="s">
        <v>5292</v>
      </c>
      <c r="S292" s="13" t="s">
        <v>5293</v>
      </c>
      <c r="T292" s="13" t="s">
        <v>3</v>
      </c>
      <c r="U292" s="13" t="s">
        <v>85</v>
      </c>
      <c r="V292" s="13" t="n">
        <f aca="false">IF(COUNTIF($B$2:B292,B292)=1,1,0)</f>
        <v>0</v>
      </c>
      <c r="W292" s="13" t="n">
        <f aca="false">IF(COUNTIFS($B$2:B292,B292,$T$2:T292,T292)=1,1,0)</f>
        <v>0</v>
      </c>
    </row>
    <row r="293" customFormat="false" ht="15" hidden="false" customHeight="false" outlineLevel="0" collapsed="false">
      <c r="A293" s="13" t="s">
        <v>3064</v>
      </c>
      <c r="B293" s="13" t="s">
        <v>2119</v>
      </c>
      <c r="C293" s="13" t="n">
        <v>4900</v>
      </c>
      <c r="D293" s="13" t="n">
        <v>60</v>
      </c>
      <c r="E293" s="13" t="n">
        <v>87.2544642857143</v>
      </c>
      <c r="F293" s="13" t="s">
        <v>5288</v>
      </c>
      <c r="G293" s="13" t="s">
        <v>5289</v>
      </c>
      <c r="H293" s="13" t="s">
        <v>5289</v>
      </c>
      <c r="I293" s="13" t="s">
        <v>5292</v>
      </c>
      <c r="J293" s="13" t="s">
        <v>5289</v>
      </c>
      <c r="K293" s="13" t="s">
        <v>5289</v>
      </c>
      <c r="L293" s="13" t="s">
        <v>3063</v>
      </c>
      <c r="M293" s="13"/>
      <c r="N293" s="13" t="n">
        <v>7898684484925</v>
      </c>
      <c r="O293" s="13"/>
      <c r="P293" s="13" t="s">
        <v>5291</v>
      </c>
      <c r="Q293" s="13" t="s">
        <v>5289</v>
      </c>
      <c r="R293" s="13" t="s">
        <v>5292</v>
      </c>
      <c r="S293" s="13" t="s">
        <v>5293</v>
      </c>
      <c r="T293" s="13" t="s">
        <v>3</v>
      </c>
      <c r="U293" s="13" t="s">
        <v>140</v>
      </c>
      <c r="V293" s="13" t="n">
        <f aca="false">IF(COUNTIF($B$2:B293,B293)=1,1,0)</f>
        <v>0</v>
      </c>
      <c r="W293" s="13" t="n">
        <f aca="false">IF(COUNTIFS($B$2:B293,B293,$T$2:T293,T293)=1,1,0)</f>
        <v>0</v>
      </c>
    </row>
    <row r="294" customFormat="false" ht="15" hidden="false" customHeight="false" outlineLevel="0" collapsed="false">
      <c r="A294" s="13" t="s">
        <v>3062</v>
      </c>
      <c r="B294" s="13" t="s">
        <v>2095</v>
      </c>
      <c r="C294" s="13" t="n">
        <v>4900</v>
      </c>
      <c r="D294" s="13" t="n">
        <v>50</v>
      </c>
      <c r="E294" s="13" t="n">
        <v>90.1016666666667</v>
      </c>
      <c r="F294" s="13" t="s">
        <v>5288</v>
      </c>
      <c r="G294" s="13" t="s">
        <v>5289</v>
      </c>
      <c r="H294" s="13" t="s">
        <v>5289</v>
      </c>
      <c r="I294" s="13" t="s">
        <v>5289</v>
      </c>
      <c r="J294" s="13" t="s">
        <v>5289</v>
      </c>
      <c r="K294" s="13" t="s">
        <v>5292</v>
      </c>
      <c r="L294" s="13" t="s">
        <v>3061</v>
      </c>
      <c r="M294" s="13"/>
      <c r="N294" s="13" t="n">
        <v>7898665433171</v>
      </c>
      <c r="O294" s="13"/>
      <c r="P294" s="13" t="s">
        <v>5297</v>
      </c>
      <c r="Q294" s="13" t="s">
        <v>5289</v>
      </c>
      <c r="R294" s="13" t="s">
        <v>5292</v>
      </c>
      <c r="S294" s="13" t="s">
        <v>5293</v>
      </c>
      <c r="T294" s="13" t="s">
        <v>3</v>
      </c>
      <c r="U294" s="13" t="s">
        <v>140</v>
      </c>
      <c r="V294" s="13" t="n">
        <f aca="false">IF(COUNTIF($B$2:B294,B294)=1,1,0)</f>
        <v>0</v>
      </c>
      <c r="W294" s="13" t="n">
        <f aca="false">IF(COUNTIFS($B$2:B294,B294,$T$2:T294,T294)=1,1,0)</f>
        <v>0</v>
      </c>
    </row>
    <row r="295" customFormat="false" ht="15" hidden="false" customHeight="false" outlineLevel="0" collapsed="false">
      <c r="A295" s="13" t="s">
        <v>557</v>
      </c>
      <c r="B295" s="13" t="s">
        <v>105</v>
      </c>
      <c r="C295" s="13" t="n">
        <v>4900</v>
      </c>
      <c r="D295" s="13" t="n">
        <v>5</v>
      </c>
      <c r="E295" s="13" t="n">
        <v>539.99</v>
      </c>
      <c r="F295" s="13" t="s">
        <v>5288</v>
      </c>
      <c r="G295" s="13" t="s">
        <v>5289</v>
      </c>
      <c r="H295" s="13" t="s">
        <v>5289</v>
      </c>
      <c r="I295" s="13" t="s">
        <v>5289</v>
      </c>
      <c r="J295" s="13" t="s">
        <v>5289</v>
      </c>
      <c r="K295" s="13" t="s">
        <v>5292</v>
      </c>
      <c r="L295" s="13" t="s">
        <v>2992</v>
      </c>
      <c r="M295" s="13"/>
      <c r="N295" s="13" t="n">
        <v>3616304691645</v>
      </c>
      <c r="O295" s="13"/>
      <c r="P295" s="13" t="s">
        <v>5297</v>
      </c>
      <c r="Q295" s="13" t="s">
        <v>5289</v>
      </c>
      <c r="R295" s="13" t="s">
        <v>5292</v>
      </c>
      <c r="S295" s="13" t="s">
        <v>5293</v>
      </c>
      <c r="T295" s="13" t="s">
        <v>3</v>
      </c>
      <c r="U295" s="13" t="s">
        <v>43</v>
      </c>
      <c r="V295" s="13" t="n">
        <f aca="false">IF(COUNTIF($B$2:B295,B295)=1,1,0)</f>
        <v>0</v>
      </c>
      <c r="W295" s="13" t="n">
        <f aca="false">IF(COUNTIFS($B$2:B295,B295,$T$2:T295,T295)=1,1,0)</f>
        <v>0</v>
      </c>
    </row>
    <row r="296" customFormat="false" ht="15" hidden="false" customHeight="false" outlineLevel="0" collapsed="false">
      <c r="A296" s="13" t="s">
        <v>3059</v>
      </c>
      <c r="B296" s="13" t="s">
        <v>2115</v>
      </c>
      <c r="C296" s="13" t="n">
        <v>4900</v>
      </c>
      <c r="D296" s="13" t="n">
        <v>60</v>
      </c>
      <c r="E296" s="13" t="n">
        <v>85.2478947368421</v>
      </c>
      <c r="F296" s="13" t="s">
        <v>5288</v>
      </c>
      <c r="G296" s="13" t="s">
        <v>5289</v>
      </c>
      <c r="H296" s="13" t="s">
        <v>5289</v>
      </c>
      <c r="I296" s="13" t="s">
        <v>5292</v>
      </c>
      <c r="J296" s="13" t="s">
        <v>5289</v>
      </c>
      <c r="K296" s="13" t="s">
        <v>5289</v>
      </c>
      <c r="L296" s="13" t="s">
        <v>5426</v>
      </c>
      <c r="M296" s="13"/>
      <c r="N296" s="13" t="n">
        <v>7898684482730</v>
      </c>
      <c r="O296" s="13"/>
      <c r="P296" s="13" t="s">
        <v>5291</v>
      </c>
      <c r="Q296" s="13" t="s">
        <v>5289</v>
      </c>
      <c r="R296" s="13" t="s">
        <v>5292</v>
      </c>
      <c r="S296" s="13" t="s">
        <v>5293</v>
      </c>
      <c r="T296" s="13" t="s">
        <v>3</v>
      </c>
      <c r="U296" s="13" t="s">
        <v>140</v>
      </c>
      <c r="V296" s="13" t="n">
        <f aca="false">IF(COUNTIF($B$2:B296,B296)=1,1,0)</f>
        <v>0</v>
      </c>
      <c r="W296" s="13" t="n">
        <f aca="false">IF(COUNTIFS($B$2:B296,B296,$T$2:T296,T296)=1,1,0)</f>
        <v>0</v>
      </c>
    </row>
    <row r="297" customFormat="false" ht="15" hidden="false" customHeight="false" outlineLevel="0" collapsed="false">
      <c r="A297" s="13" t="s">
        <v>560</v>
      </c>
      <c r="B297" s="13" t="s">
        <v>179</v>
      </c>
      <c r="C297" s="13" t="n">
        <v>4800</v>
      </c>
      <c r="D297" s="13" t="n">
        <v>30</v>
      </c>
      <c r="E297" s="13" t="n">
        <v>179</v>
      </c>
      <c r="F297" s="13" t="s">
        <v>5325</v>
      </c>
      <c r="G297" s="13" t="s">
        <v>5289</v>
      </c>
      <c r="H297" s="13" t="s">
        <v>5289</v>
      </c>
      <c r="I297" s="13" t="s">
        <v>5289</v>
      </c>
      <c r="J297" s="13" t="s">
        <v>5289</v>
      </c>
      <c r="K297" s="13" t="s">
        <v>5292</v>
      </c>
      <c r="L297" s="13" t="s">
        <v>3073</v>
      </c>
      <c r="M297" s="13"/>
      <c r="N297" s="13" t="n">
        <v>7898618486964</v>
      </c>
      <c r="O297" s="13"/>
      <c r="P297" s="13" t="s">
        <v>5291</v>
      </c>
      <c r="Q297" s="13" t="s">
        <v>5289</v>
      </c>
      <c r="R297" s="13" t="s">
        <v>5292</v>
      </c>
      <c r="S297" s="13" t="s">
        <v>5293</v>
      </c>
      <c r="T297" s="13" t="s">
        <v>3</v>
      </c>
      <c r="U297" s="13" t="s">
        <v>180</v>
      </c>
      <c r="V297" s="13" t="n">
        <f aca="false">IF(COUNTIF($B$2:B297,B297)=1,1,0)</f>
        <v>0</v>
      </c>
      <c r="W297" s="13" t="n">
        <f aca="false">IF(COUNTIFS($B$2:B297,B297,$T$2:T297,T297)=1,1,0)</f>
        <v>0</v>
      </c>
    </row>
    <row r="298" customFormat="false" ht="15" hidden="false" customHeight="false" outlineLevel="0" collapsed="false">
      <c r="A298" s="13" t="s">
        <v>3057</v>
      </c>
      <c r="B298" s="13" t="s">
        <v>2141</v>
      </c>
      <c r="C298" s="13" t="n">
        <v>4800</v>
      </c>
      <c r="D298" s="13" t="n">
        <v>70</v>
      </c>
      <c r="E298" s="13" t="n">
        <v>69.99</v>
      </c>
      <c r="F298" s="13" t="s">
        <v>5288</v>
      </c>
      <c r="G298" s="13" t="s">
        <v>5289</v>
      </c>
      <c r="H298" s="13" t="s">
        <v>5289</v>
      </c>
      <c r="I298" s="13" t="s">
        <v>5292</v>
      </c>
      <c r="J298" s="13" t="s">
        <v>5289</v>
      </c>
      <c r="K298" s="13" t="s">
        <v>5292</v>
      </c>
      <c r="L298" s="13" t="s">
        <v>3056</v>
      </c>
      <c r="M298" s="13"/>
      <c r="N298" s="13" t="n">
        <v>5055810015169</v>
      </c>
      <c r="O298" s="13"/>
      <c r="P298" s="13" t="s">
        <v>5291</v>
      </c>
      <c r="Q298" s="13" t="s">
        <v>5289</v>
      </c>
      <c r="R298" s="13" t="s">
        <v>5292</v>
      </c>
      <c r="S298" s="13" t="s">
        <v>5293</v>
      </c>
      <c r="T298" s="13" t="s">
        <v>3</v>
      </c>
      <c r="U298" s="13" t="s">
        <v>43</v>
      </c>
      <c r="V298" s="13" t="n">
        <f aca="false">IF(COUNTIF($B$2:B298,B298)=1,1,0)</f>
        <v>1</v>
      </c>
      <c r="W298" s="13" t="n">
        <f aca="false">IF(COUNTIFS($B$2:B298,B298,$T$2:T298,T298)=1,1,0)</f>
        <v>1</v>
      </c>
    </row>
    <row r="299" customFormat="false" ht="15" hidden="false" customHeight="false" outlineLevel="0" collapsed="false">
      <c r="A299" s="13" t="s">
        <v>562</v>
      </c>
      <c r="B299" s="13" t="s">
        <v>87</v>
      </c>
      <c r="C299" s="13" t="n">
        <v>4700</v>
      </c>
      <c r="D299" s="13" t="n">
        <v>10</v>
      </c>
      <c r="E299" s="13" t="n">
        <v>390.055</v>
      </c>
      <c r="F299" s="13" t="s">
        <v>5288</v>
      </c>
      <c r="G299" s="13" t="s">
        <v>5289</v>
      </c>
      <c r="H299" s="13" t="s">
        <v>5289</v>
      </c>
      <c r="I299" s="13" t="s">
        <v>5289</v>
      </c>
      <c r="J299" s="13" t="s">
        <v>5289</v>
      </c>
      <c r="K299" s="13" t="s">
        <v>5289</v>
      </c>
      <c r="L299" s="13" t="s">
        <v>5427</v>
      </c>
      <c r="M299" s="13"/>
      <c r="N299" s="13" t="n">
        <v>22255232616</v>
      </c>
      <c r="O299" s="13"/>
      <c r="P299" s="13" t="s">
        <v>5291</v>
      </c>
      <c r="Q299" s="13" t="s">
        <v>5289</v>
      </c>
      <c r="R299" s="13" t="s">
        <v>5292</v>
      </c>
      <c r="S299" s="13" t="s">
        <v>5293</v>
      </c>
      <c r="T299" s="13" t="s">
        <v>3</v>
      </c>
      <c r="U299" s="13" t="s">
        <v>66</v>
      </c>
      <c r="V299" s="13" t="n">
        <f aca="false">IF(COUNTIF($B$2:B299,B299)=1,1,0)</f>
        <v>0</v>
      </c>
      <c r="W299" s="13" t="n">
        <f aca="false">IF(COUNTIFS($B$2:B299,B299,$T$2:T299,T299)=1,1,0)</f>
        <v>0</v>
      </c>
    </row>
    <row r="300" customFormat="false" ht="15" hidden="false" customHeight="false" outlineLevel="0" collapsed="false">
      <c r="A300" s="13" t="s">
        <v>2949</v>
      </c>
      <c r="B300" s="13" t="s">
        <v>2143</v>
      </c>
      <c r="C300" s="13" t="n">
        <v>4700</v>
      </c>
      <c r="D300" s="13" t="n">
        <v>5</v>
      </c>
      <c r="E300" s="13" t="n">
        <v>584.98</v>
      </c>
      <c r="F300" s="13" t="s">
        <v>5288</v>
      </c>
      <c r="G300" s="13" t="s">
        <v>5289</v>
      </c>
      <c r="H300" s="13" t="s">
        <v>5289</v>
      </c>
      <c r="I300" s="13" t="s">
        <v>5289</v>
      </c>
      <c r="J300" s="13" t="s">
        <v>5289</v>
      </c>
      <c r="K300" s="13" t="s">
        <v>5292</v>
      </c>
      <c r="L300" s="13" t="s">
        <v>2948</v>
      </c>
      <c r="M300" s="13"/>
      <c r="N300" s="13" t="n">
        <v>3274872427204</v>
      </c>
      <c r="O300" s="13"/>
      <c r="P300" s="13" t="s">
        <v>5291</v>
      </c>
      <c r="Q300" s="13" t="s">
        <v>5289</v>
      </c>
      <c r="R300" s="13" t="s">
        <v>5292</v>
      </c>
      <c r="S300" s="13" t="s">
        <v>5293</v>
      </c>
      <c r="T300" s="13" t="s">
        <v>3</v>
      </c>
      <c r="U300" s="13" t="s">
        <v>43</v>
      </c>
      <c r="V300" s="13" t="n">
        <f aca="false">IF(COUNTIF($B$2:B300,B300)=1,1,0)</f>
        <v>0</v>
      </c>
      <c r="W300" s="13" t="n">
        <f aca="false">IF(COUNTIFS($B$2:B300,B300,$T$2:T300,T300)=1,1,0)</f>
        <v>0</v>
      </c>
    </row>
    <row r="301" customFormat="false" ht="15" hidden="false" customHeight="false" outlineLevel="0" collapsed="false">
      <c r="A301" s="13" t="s">
        <v>3079</v>
      </c>
      <c r="B301" s="13" t="s">
        <v>2115</v>
      </c>
      <c r="C301" s="13" t="n">
        <v>4700</v>
      </c>
      <c r="D301" s="13" t="n">
        <v>50</v>
      </c>
      <c r="E301" s="13" t="n">
        <v>89.7078846153846</v>
      </c>
      <c r="F301" s="13" t="s">
        <v>5288</v>
      </c>
      <c r="G301" s="13" t="s">
        <v>5289</v>
      </c>
      <c r="H301" s="13" t="s">
        <v>5289</v>
      </c>
      <c r="I301" s="13" t="s">
        <v>5292</v>
      </c>
      <c r="J301" s="13" t="s">
        <v>5289</v>
      </c>
      <c r="K301" s="13" t="s">
        <v>5292</v>
      </c>
      <c r="L301" s="13" t="s">
        <v>5428</v>
      </c>
      <c r="M301" s="13"/>
      <c r="N301" s="13" t="n">
        <v>7898684482778</v>
      </c>
      <c r="O301" s="13"/>
      <c r="P301" s="13" t="s">
        <v>5291</v>
      </c>
      <c r="Q301" s="13" t="s">
        <v>5289</v>
      </c>
      <c r="R301" s="13" t="s">
        <v>5292</v>
      </c>
      <c r="S301" s="13" t="s">
        <v>5293</v>
      </c>
      <c r="T301" s="13" t="s">
        <v>3</v>
      </c>
      <c r="U301" s="13" t="s">
        <v>140</v>
      </c>
      <c r="V301" s="13" t="n">
        <f aca="false">IF(COUNTIF($B$2:B301,B301)=1,1,0)</f>
        <v>0</v>
      </c>
      <c r="W301" s="13" t="n">
        <f aca="false">IF(COUNTIFS($B$2:B301,B301,$T$2:T301,T301)=1,1,0)</f>
        <v>0</v>
      </c>
    </row>
    <row r="302" customFormat="false" ht="15" hidden="false" customHeight="false" outlineLevel="0" collapsed="false">
      <c r="A302" s="13" t="s">
        <v>3083</v>
      </c>
      <c r="B302" s="13" t="s">
        <v>2184</v>
      </c>
      <c r="C302" s="13" t="n">
        <v>4700</v>
      </c>
      <c r="D302" s="13" t="n">
        <v>5</v>
      </c>
      <c r="E302" s="13" t="n">
        <v>776.053333333333</v>
      </c>
      <c r="F302" s="13" t="s">
        <v>5325</v>
      </c>
      <c r="G302" s="13" t="s">
        <v>5289</v>
      </c>
      <c r="H302" s="13" t="s">
        <v>5289</v>
      </c>
      <c r="I302" s="13" t="s">
        <v>5289</v>
      </c>
      <c r="J302" s="13" t="s">
        <v>5289</v>
      </c>
      <c r="K302" s="13" t="s">
        <v>5289</v>
      </c>
      <c r="L302" s="13" t="s">
        <v>5429</v>
      </c>
      <c r="M302" s="13"/>
      <c r="N302" s="13" t="n">
        <v>6925387193685</v>
      </c>
      <c r="O302" s="13"/>
      <c r="P302" s="13" t="s">
        <v>5291</v>
      </c>
      <c r="Q302" s="13" t="s">
        <v>5289</v>
      </c>
      <c r="R302" s="13" t="s">
        <v>5292</v>
      </c>
      <c r="S302" s="13" t="s">
        <v>5293</v>
      </c>
      <c r="T302" s="13" t="s">
        <v>3</v>
      </c>
      <c r="U302" s="13" t="s">
        <v>98</v>
      </c>
      <c r="V302" s="13" t="n">
        <f aca="false">IF(COUNTIF($B$2:B302,B302)=1,1,0)</f>
        <v>1</v>
      </c>
      <c r="W302" s="13" t="n">
        <f aca="false">IF(COUNTIFS($B$2:B302,B302,$T$2:T302,T302)=1,1,0)</f>
        <v>1</v>
      </c>
    </row>
    <row r="303" customFormat="false" ht="15" hidden="false" customHeight="false" outlineLevel="0" collapsed="false">
      <c r="A303" s="13" t="s">
        <v>3089</v>
      </c>
      <c r="B303" s="13" t="s">
        <v>2126</v>
      </c>
      <c r="C303" s="13" t="n">
        <v>4600</v>
      </c>
      <c r="D303" s="13" t="n">
        <v>90</v>
      </c>
      <c r="E303" s="13" t="n">
        <v>53.3158620689655</v>
      </c>
      <c r="F303" s="13" t="s">
        <v>5288</v>
      </c>
      <c r="G303" s="13" t="s">
        <v>5289</v>
      </c>
      <c r="H303" s="13" t="s">
        <v>5289</v>
      </c>
      <c r="I303" s="13" t="s">
        <v>5292</v>
      </c>
      <c r="J303" s="13" t="s">
        <v>5289</v>
      </c>
      <c r="K303" s="13" t="s">
        <v>5289</v>
      </c>
      <c r="L303" s="13" t="s">
        <v>3088</v>
      </c>
      <c r="M303" s="13"/>
      <c r="N303" s="13" t="n">
        <v>7898449394971</v>
      </c>
      <c r="O303" s="13"/>
      <c r="P303" s="13" t="s">
        <v>5291</v>
      </c>
      <c r="Q303" s="13" t="s">
        <v>5289</v>
      </c>
      <c r="R303" s="13" t="s">
        <v>5292</v>
      </c>
      <c r="S303" s="13" t="s">
        <v>5293</v>
      </c>
      <c r="T303" s="13" t="s">
        <v>3</v>
      </c>
      <c r="U303" s="13" t="s">
        <v>183</v>
      </c>
      <c r="V303" s="13" t="n">
        <f aca="false">IF(COUNTIF($B$2:B303,B303)=1,1,0)</f>
        <v>0</v>
      </c>
      <c r="W303" s="13" t="n">
        <f aca="false">IF(COUNTIFS($B$2:B303,B303,$T$2:T303,T303)=1,1,0)</f>
        <v>0</v>
      </c>
    </row>
    <row r="304" customFormat="false" ht="15" hidden="false" customHeight="false" outlineLevel="0" collapsed="false">
      <c r="A304" s="13" t="s">
        <v>568</v>
      </c>
      <c r="B304" s="13" t="s">
        <v>105</v>
      </c>
      <c r="C304" s="13" t="n">
        <v>4600</v>
      </c>
      <c r="D304" s="13" t="n">
        <v>5</v>
      </c>
      <c r="E304" s="13" t="n">
        <v>515</v>
      </c>
      <c r="F304" s="13" t="s">
        <v>5288</v>
      </c>
      <c r="G304" s="13" t="s">
        <v>5289</v>
      </c>
      <c r="H304" s="13" t="s">
        <v>5289</v>
      </c>
      <c r="I304" s="13" t="s">
        <v>5289</v>
      </c>
      <c r="J304" s="13" t="s">
        <v>5289</v>
      </c>
      <c r="K304" s="13" t="s">
        <v>5289</v>
      </c>
      <c r="L304" s="13" t="s">
        <v>3023</v>
      </c>
      <c r="M304" s="13"/>
      <c r="N304" s="13" t="n">
        <v>3616303173098</v>
      </c>
      <c r="O304" s="13"/>
      <c r="P304" s="13" t="s">
        <v>5304</v>
      </c>
      <c r="Q304" s="13" t="s">
        <v>5289</v>
      </c>
      <c r="R304" s="13" t="s">
        <v>5292</v>
      </c>
      <c r="S304" s="13" t="s">
        <v>5293</v>
      </c>
      <c r="T304" s="13" t="s">
        <v>3</v>
      </c>
      <c r="U304" s="13" t="s">
        <v>43</v>
      </c>
      <c r="V304" s="13" t="n">
        <f aca="false">IF(COUNTIF($B$2:B304,B304)=1,1,0)</f>
        <v>0</v>
      </c>
      <c r="W304" s="13" t="n">
        <f aca="false">IF(COUNTIFS($B$2:B304,B304,$T$2:T304,T304)=1,1,0)</f>
        <v>0</v>
      </c>
    </row>
    <row r="305" customFormat="false" ht="15" hidden="false" customHeight="false" outlineLevel="0" collapsed="false">
      <c r="A305" s="13" t="s">
        <v>573</v>
      </c>
      <c r="B305" s="13" t="s">
        <v>165</v>
      </c>
      <c r="C305" s="13" t="n">
        <v>4600</v>
      </c>
      <c r="D305" s="13" t="n">
        <v>5</v>
      </c>
      <c r="E305" s="13" t="n">
        <v>463</v>
      </c>
      <c r="F305" s="13" t="s">
        <v>5288</v>
      </c>
      <c r="G305" s="13" t="s">
        <v>5289</v>
      </c>
      <c r="H305" s="13" t="s">
        <v>5289</v>
      </c>
      <c r="I305" s="13" t="s">
        <v>5289</v>
      </c>
      <c r="J305" s="13" t="s">
        <v>5289</v>
      </c>
      <c r="K305" s="13" t="s">
        <v>5289</v>
      </c>
      <c r="L305" s="13" t="s">
        <v>2447</v>
      </c>
      <c r="M305" s="13"/>
      <c r="N305" s="13" t="n">
        <v>3614273521307</v>
      </c>
      <c r="O305" s="13"/>
      <c r="P305" s="13" t="s">
        <v>5291</v>
      </c>
      <c r="Q305" s="13" t="s">
        <v>5289</v>
      </c>
      <c r="R305" s="13" t="s">
        <v>5292</v>
      </c>
      <c r="S305" s="13" t="s">
        <v>5293</v>
      </c>
      <c r="T305" s="13" t="s">
        <v>3</v>
      </c>
      <c r="U305" s="13" t="s">
        <v>43</v>
      </c>
      <c r="V305" s="13" t="n">
        <f aca="false">IF(COUNTIF($B$2:B305,B305)=1,1,0)</f>
        <v>0</v>
      </c>
      <c r="W305" s="13" t="n">
        <f aca="false">IF(COUNTIFS($B$2:B305,B305,$T$2:T305,T305)=1,1,0)</f>
        <v>0</v>
      </c>
    </row>
    <row r="306" customFormat="false" ht="15" hidden="false" customHeight="false" outlineLevel="0" collapsed="false">
      <c r="A306" s="13" t="s">
        <v>3094</v>
      </c>
      <c r="B306" s="13" t="s">
        <v>2121</v>
      </c>
      <c r="C306" s="13" t="n">
        <v>4600</v>
      </c>
      <c r="D306" s="13" t="n">
        <v>20</v>
      </c>
      <c r="E306" s="13" t="n">
        <v>231.2445</v>
      </c>
      <c r="F306" s="13" t="s">
        <v>5288</v>
      </c>
      <c r="G306" s="13" t="s">
        <v>5289</v>
      </c>
      <c r="H306" s="13" t="s">
        <v>5289</v>
      </c>
      <c r="I306" s="13" t="s">
        <v>5289</v>
      </c>
      <c r="J306" s="13" t="s">
        <v>5289</v>
      </c>
      <c r="K306" s="13" t="s">
        <v>5292</v>
      </c>
      <c r="L306" s="13" t="s">
        <v>3093</v>
      </c>
      <c r="M306" s="13"/>
      <c r="N306" s="13" t="n">
        <v>7898554606402</v>
      </c>
      <c r="O306" s="13"/>
      <c r="P306" s="13" t="s">
        <v>5291</v>
      </c>
      <c r="Q306" s="13" t="s">
        <v>5289</v>
      </c>
      <c r="R306" s="13" t="s">
        <v>5292</v>
      </c>
      <c r="S306" s="13" t="s">
        <v>5293</v>
      </c>
      <c r="T306" s="13" t="s">
        <v>3</v>
      </c>
      <c r="U306" s="13" t="s">
        <v>85</v>
      </c>
      <c r="V306" s="13" t="n">
        <f aca="false">IF(COUNTIF($B$2:B306,B306)=1,1,0)</f>
        <v>0</v>
      </c>
      <c r="W306" s="13" t="n">
        <f aca="false">IF(COUNTIFS($B$2:B306,B306,$T$2:T306,T306)=1,1,0)</f>
        <v>0</v>
      </c>
    </row>
    <row r="307" customFormat="false" ht="15" hidden="false" customHeight="false" outlineLevel="0" collapsed="false">
      <c r="A307" s="13" t="s">
        <v>3033</v>
      </c>
      <c r="B307" s="13" t="s">
        <v>2153</v>
      </c>
      <c r="C307" s="13" t="n">
        <v>4600</v>
      </c>
      <c r="D307" s="13" t="n">
        <v>40</v>
      </c>
      <c r="E307" s="13" t="n">
        <v>128.256666666667</v>
      </c>
      <c r="F307" s="13" t="s">
        <v>5288</v>
      </c>
      <c r="G307" s="13" t="s">
        <v>5289</v>
      </c>
      <c r="H307" s="13" t="s">
        <v>5289</v>
      </c>
      <c r="I307" s="13" t="s">
        <v>5289</v>
      </c>
      <c r="J307" s="13" t="s">
        <v>5289</v>
      </c>
      <c r="K307" s="13" t="s">
        <v>5292</v>
      </c>
      <c r="L307" s="13" t="s">
        <v>3032</v>
      </c>
      <c r="M307" s="13"/>
      <c r="N307" s="13" t="n">
        <v>7896768470147</v>
      </c>
      <c r="O307" s="13"/>
      <c r="P307" s="13" t="s">
        <v>5297</v>
      </c>
      <c r="Q307" s="13" t="s">
        <v>5289</v>
      </c>
      <c r="R307" s="13" t="s">
        <v>5292</v>
      </c>
      <c r="S307" s="13" t="s">
        <v>5293</v>
      </c>
      <c r="T307" s="13" t="s">
        <v>3</v>
      </c>
      <c r="U307" s="13" t="s">
        <v>183</v>
      </c>
      <c r="V307" s="13" t="n">
        <f aca="false">IF(COUNTIF($B$2:B307,B307)=1,1,0)</f>
        <v>0</v>
      </c>
      <c r="W307" s="13" t="n">
        <f aca="false">IF(COUNTIFS($B$2:B307,B307,$T$2:T307,T307)=1,1,0)</f>
        <v>0</v>
      </c>
    </row>
    <row r="308" customFormat="false" ht="15" hidden="false" customHeight="false" outlineLevel="0" collapsed="false">
      <c r="A308" s="13" t="s">
        <v>569</v>
      </c>
      <c r="B308" s="13" t="s">
        <v>79</v>
      </c>
      <c r="C308" s="13" t="n">
        <v>4600</v>
      </c>
      <c r="D308" s="13" t="n">
        <v>5</v>
      </c>
      <c r="E308" s="13" t="n">
        <v>658.435714285714</v>
      </c>
      <c r="F308" s="13" t="s">
        <v>5288</v>
      </c>
      <c r="G308" s="13" t="s">
        <v>5289</v>
      </c>
      <c r="H308" s="13" t="s">
        <v>5289</v>
      </c>
      <c r="I308" s="13" t="s">
        <v>5289</v>
      </c>
      <c r="J308" s="13" t="s">
        <v>5289</v>
      </c>
      <c r="K308" s="13" t="s">
        <v>5289</v>
      </c>
      <c r="L308" s="13" t="s">
        <v>3096</v>
      </c>
      <c r="M308" s="13"/>
      <c r="N308" s="13" t="n">
        <v>8057971180400</v>
      </c>
      <c r="O308" s="13"/>
      <c r="P308" s="13" t="s">
        <v>5304</v>
      </c>
      <c r="Q308" s="13" t="s">
        <v>5289</v>
      </c>
      <c r="R308" s="13" t="s">
        <v>5292</v>
      </c>
      <c r="S308" s="13" t="s">
        <v>5293</v>
      </c>
      <c r="T308" s="13" t="s">
        <v>3</v>
      </c>
      <c r="U308" s="13" t="s">
        <v>43</v>
      </c>
      <c r="V308" s="13" t="n">
        <f aca="false">IF(COUNTIF($B$2:B308,B308)=1,1,0)</f>
        <v>0</v>
      </c>
      <c r="W308" s="13" t="n">
        <f aca="false">IF(COUNTIFS($B$2:B308,B308,$T$2:T308,T308)=1,1,0)</f>
        <v>0</v>
      </c>
    </row>
    <row r="309" customFormat="false" ht="15" hidden="false" customHeight="false" outlineLevel="0" collapsed="false">
      <c r="A309" s="13" t="s">
        <v>577</v>
      </c>
      <c r="B309" s="13" t="s">
        <v>79</v>
      </c>
      <c r="C309" s="13" t="n">
        <v>4600</v>
      </c>
      <c r="D309" s="13" t="n">
        <v>5</v>
      </c>
      <c r="E309" s="13" t="n">
        <v>761.456666666667</v>
      </c>
      <c r="F309" s="13" t="s">
        <v>5288</v>
      </c>
      <c r="G309" s="13" t="s">
        <v>5289</v>
      </c>
      <c r="H309" s="13" t="s">
        <v>5289</v>
      </c>
      <c r="I309" s="13" t="s">
        <v>5289</v>
      </c>
      <c r="J309" s="13" t="s">
        <v>5289</v>
      </c>
      <c r="K309" s="13" t="s">
        <v>5289</v>
      </c>
      <c r="L309" s="13" t="s">
        <v>4033</v>
      </c>
      <c r="M309" s="13"/>
      <c r="N309" s="13"/>
      <c r="O309" s="13"/>
      <c r="P309" s="13" t="s">
        <v>5291</v>
      </c>
      <c r="Q309" s="13" t="s">
        <v>5289</v>
      </c>
      <c r="R309" s="13" t="s">
        <v>5292</v>
      </c>
      <c r="S309" s="13" t="s">
        <v>5293</v>
      </c>
      <c r="T309" s="13" t="s">
        <v>3</v>
      </c>
      <c r="U309" s="13" t="s">
        <v>43</v>
      </c>
      <c r="V309" s="13" t="n">
        <f aca="false">IF(COUNTIF($B$2:B309,B309)=1,1,0)</f>
        <v>0</v>
      </c>
      <c r="W309" s="13" t="n">
        <f aca="false">IF(COUNTIFS($B$2:B309,B309,$T$2:T309,T309)=1,1,0)</f>
        <v>0</v>
      </c>
    </row>
    <row r="310" customFormat="false" ht="15" hidden="false" customHeight="false" outlineLevel="0" collapsed="false">
      <c r="A310" s="13" t="s">
        <v>570</v>
      </c>
      <c r="B310" s="13" t="s">
        <v>270</v>
      </c>
      <c r="C310" s="13" t="n">
        <v>4600</v>
      </c>
      <c r="D310" s="13" t="n">
        <v>30</v>
      </c>
      <c r="E310" s="13" t="n">
        <v>142.445625</v>
      </c>
      <c r="F310" s="13" t="s">
        <v>5288</v>
      </c>
      <c r="G310" s="13" t="s">
        <v>5289</v>
      </c>
      <c r="H310" s="13" t="s">
        <v>5289</v>
      </c>
      <c r="I310" s="13" t="s">
        <v>5289</v>
      </c>
      <c r="J310" s="13" t="s">
        <v>5289</v>
      </c>
      <c r="K310" s="13" t="s">
        <v>5289</v>
      </c>
      <c r="L310" s="13" t="s">
        <v>3090</v>
      </c>
      <c r="M310" s="13"/>
      <c r="N310" s="13" t="n">
        <v>892456000013</v>
      </c>
      <c r="O310" s="13"/>
      <c r="P310" s="13" t="s">
        <v>5291</v>
      </c>
      <c r="Q310" s="13" t="s">
        <v>5289</v>
      </c>
      <c r="R310" s="13" t="s">
        <v>5292</v>
      </c>
      <c r="S310" s="13" t="s">
        <v>5293</v>
      </c>
      <c r="T310" s="13" t="s">
        <v>3</v>
      </c>
      <c r="U310" s="13" t="s">
        <v>43</v>
      </c>
      <c r="V310" s="13" t="n">
        <f aca="false">IF(COUNTIF($B$2:B310,B310)=1,1,0)</f>
        <v>0</v>
      </c>
      <c r="W310" s="13" t="n">
        <f aca="false">IF(COUNTIFS($B$2:B310,B310,$T$2:T310,T310)=1,1,0)</f>
        <v>0</v>
      </c>
    </row>
    <row r="311" customFormat="false" ht="15" hidden="false" customHeight="false" outlineLevel="0" collapsed="false">
      <c r="A311" s="13" t="s">
        <v>584</v>
      </c>
      <c r="B311" s="13" t="s">
        <v>79</v>
      </c>
      <c r="C311" s="13" t="n">
        <v>4500</v>
      </c>
      <c r="D311" s="13" t="n">
        <v>5</v>
      </c>
      <c r="E311" s="13" t="n">
        <v>454.677</v>
      </c>
      <c r="F311" s="13" t="s">
        <v>5288</v>
      </c>
      <c r="G311" s="13" t="s">
        <v>5289</v>
      </c>
      <c r="H311" s="13" t="s">
        <v>5289</v>
      </c>
      <c r="I311" s="13" t="s">
        <v>5289</v>
      </c>
      <c r="J311" s="13" t="s">
        <v>5289</v>
      </c>
      <c r="K311" s="13" t="s">
        <v>5289</v>
      </c>
      <c r="L311" s="13" t="s">
        <v>3107</v>
      </c>
      <c r="M311" s="13"/>
      <c r="N311" s="13" t="n">
        <v>8057971180479</v>
      </c>
      <c r="O311" s="13"/>
      <c r="P311" s="13" t="s">
        <v>5291</v>
      </c>
      <c r="Q311" s="13" t="s">
        <v>5289</v>
      </c>
      <c r="R311" s="13" t="s">
        <v>5292</v>
      </c>
      <c r="S311" s="13" t="s">
        <v>5293</v>
      </c>
      <c r="T311" s="13" t="s">
        <v>3</v>
      </c>
      <c r="U311" s="13" t="s">
        <v>43</v>
      </c>
      <c r="V311" s="13" t="n">
        <f aca="false">IF(COUNTIF($B$2:B311,B311)=1,1,0)</f>
        <v>0</v>
      </c>
      <c r="W311" s="13" t="n">
        <f aca="false">IF(COUNTIFS($B$2:B311,B311,$T$2:T311,T311)=1,1,0)</f>
        <v>0</v>
      </c>
    </row>
    <row r="312" customFormat="false" ht="15" hidden="false" customHeight="false" outlineLevel="0" collapsed="false">
      <c r="A312" s="13" t="s">
        <v>3111</v>
      </c>
      <c r="B312" s="13" t="s">
        <v>2186</v>
      </c>
      <c r="C312" s="13" t="n">
        <v>4500</v>
      </c>
      <c r="D312" s="13" t="n">
        <v>30</v>
      </c>
      <c r="E312" s="13" t="n">
        <v>146.07064516129</v>
      </c>
      <c r="F312" s="13" t="s">
        <v>5288</v>
      </c>
      <c r="G312" s="13" t="s">
        <v>5289</v>
      </c>
      <c r="H312" s="13" t="s">
        <v>5289</v>
      </c>
      <c r="I312" s="13" t="s">
        <v>5289</v>
      </c>
      <c r="J312" s="13" t="s">
        <v>5289</v>
      </c>
      <c r="K312" s="13" t="s">
        <v>5289</v>
      </c>
      <c r="L312" s="13" t="s">
        <v>3110</v>
      </c>
      <c r="M312" s="13"/>
      <c r="N312" s="13" t="n">
        <v>7896460318754</v>
      </c>
      <c r="O312" s="13"/>
      <c r="P312" s="13" t="s">
        <v>5297</v>
      </c>
      <c r="Q312" s="13" t="s">
        <v>5289</v>
      </c>
      <c r="R312" s="13" t="s">
        <v>5292</v>
      </c>
      <c r="S312" s="13" t="s">
        <v>5293</v>
      </c>
      <c r="T312" s="13" t="s">
        <v>3</v>
      </c>
      <c r="U312" s="13" t="s">
        <v>85</v>
      </c>
      <c r="V312" s="13" t="n">
        <f aca="false">IF(COUNTIF($B$2:B312,B312)=1,1,0)</f>
        <v>1</v>
      </c>
      <c r="W312" s="13" t="n">
        <f aca="false">IF(COUNTIFS($B$2:B312,B312,$T$2:T312,T312)=1,1,0)</f>
        <v>1</v>
      </c>
    </row>
    <row r="313" customFormat="false" ht="15" hidden="false" customHeight="false" outlineLevel="0" collapsed="false">
      <c r="A313" s="13" t="s">
        <v>3105</v>
      </c>
      <c r="B313" s="13" t="s">
        <v>2107</v>
      </c>
      <c r="C313" s="13" t="n">
        <v>4500</v>
      </c>
      <c r="D313" s="13" t="n">
        <v>60</v>
      </c>
      <c r="E313" s="13" t="n">
        <v>77.3024137931035</v>
      </c>
      <c r="F313" s="13" t="s">
        <v>5288</v>
      </c>
      <c r="G313" s="13" t="s">
        <v>5289</v>
      </c>
      <c r="H313" s="13" t="s">
        <v>5289</v>
      </c>
      <c r="I313" s="13" t="s">
        <v>5292</v>
      </c>
      <c r="J313" s="13" t="s">
        <v>5289</v>
      </c>
      <c r="K313" s="13" t="s">
        <v>5292</v>
      </c>
      <c r="L313" s="13" t="s">
        <v>3104</v>
      </c>
      <c r="M313" s="13"/>
      <c r="N313" s="13" t="n">
        <v>8439627611603</v>
      </c>
      <c r="O313" s="13"/>
      <c r="P313" s="13" t="s">
        <v>5291</v>
      </c>
      <c r="Q313" s="13" t="s">
        <v>5289</v>
      </c>
      <c r="R313" s="13" t="s">
        <v>5292</v>
      </c>
      <c r="S313" s="13" t="s">
        <v>5293</v>
      </c>
      <c r="T313" s="13" t="s">
        <v>3</v>
      </c>
      <c r="U313" s="13" t="s">
        <v>43</v>
      </c>
      <c r="V313" s="13" t="n">
        <f aca="false">IF(COUNTIF($B$2:B313,B313)=1,1,0)</f>
        <v>0</v>
      </c>
      <c r="W313" s="13" t="n">
        <f aca="false">IF(COUNTIFS($B$2:B313,B313,$T$2:T313,T313)=1,1,0)</f>
        <v>0</v>
      </c>
    </row>
    <row r="314" customFormat="false" ht="15" hidden="false" customHeight="false" outlineLevel="0" collapsed="false">
      <c r="A314" s="13" t="s">
        <v>582</v>
      </c>
      <c r="B314" s="13" t="s">
        <v>191</v>
      </c>
      <c r="C314" s="13" t="n">
        <v>4500</v>
      </c>
      <c r="D314" s="13" t="n">
        <v>30</v>
      </c>
      <c r="E314" s="13" t="n">
        <v>139.99</v>
      </c>
      <c r="F314" s="13" t="s">
        <v>5288</v>
      </c>
      <c r="G314" s="13" t="s">
        <v>5289</v>
      </c>
      <c r="H314" s="13" t="s">
        <v>5289</v>
      </c>
      <c r="I314" s="13" t="s">
        <v>5289</v>
      </c>
      <c r="J314" s="13" t="s">
        <v>5289</v>
      </c>
      <c r="K314" s="13" t="s">
        <v>5292</v>
      </c>
      <c r="L314" s="13" t="s">
        <v>3112</v>
      </c>
      <c r="M314" s="13"/>
      <c r="N314" s="13" t="n">
        <v>7896768499469</v>
      </c>
      <c r="O314" s="13"/>
      <c r="P314" s="13" t="s">
        <v>5291</v>
      </c>
      <c r="Q314" s="13" t="s">
        <v>5289</v>
      </c>
      <c r="R314" s="13" t="s">
        <v>5292</v>
      </c>
      <c r="S314" s="13" t="s">
        <v>5293</v>
      </c>
      <c r="T314" s="13" t="s">
        <v>3</v>
      </c>
      <c r="U314" s="13" t="s">
        <v>183</v>
      </c>
      <c r="V314" s="13" t="n">
        <f aca="false">IF(COUNTIF($B$2:B314,B314)=1,1,0)</f>
        <v>0</v>
      </c>
      <c r="W314" s="13" t="n">
        <f aca="false">IF(COUNTIFS($B$2:B314,B314,$T$2:T314,T314)=1,1,0)</f>
        <v>0</v>
      </c>
    </row>
    <row r="315" customFormat="false" ht="15" hidden="false" customHeight="false" outlineLevel="0" collapsed="false">
      <c r="A315" s="13" t="s">
        <v>583</v>
      </c>
      <c r="B315" s="13" t="s">
        <v>179</v>
      </c>
      <c r="C315" s="13" t="n">
        <v>4500</v>
      </c>
      <c r="D315" s="13" t="n">
        <v>30</v>
      </c>
      <c r="E315" s="13" t="n">
        <v>159</v>
      </c>
      <c r="F315" s="13" t="s">
        <v>5325</v>
      </c>
      <c r="G315" s="13" t="s">
        <v>5289</v>
      </c>
      <c r="H315" s="13" t="s">
        <v>5289</v>
      </c>
      <c r="I315" s="13" t="s">
        <v>5289</v>
      </c>
      <c r="J315" s="13" t="s">
        <v>5289</v>
      </c>
      <c r="K315" s="13" t="s">
        <v>5289</v>
      </c>
      <c r="L315" s="13" t="s">
        <v>5430</v>
      </c>
      <c r="M315" s="13"/>
      <c r="N315" s="13" t="n">
        <v>7898618487121</v>
      </c>
      <c r="O315" s="13"/>
      <c r="P315" s="13" t="s">
        <v>5297</v>
      </c>
      <c r="Q315" s="13" t="s">
        <v>5289</v>
      </c>
      <c r="R315" s="13" t="s">
        <v>5292</v>
      </c>
      <c r="S315" s="13" t="s">
        <v>5293</v>
      </c>
      <c r="T315" s="13" t="s">
        <v>3</v>
      </c>
      <c r="U315" s="13" t="s">
        <v>180</v>
      </c>
      <c r="V315" s="13" t="n">
        <f aca="false">IF(COUNTIF($B$2:B315,B315)=1,1,0)</f>
        <v>0</v>
      </c>
      <c r="W315" s="13" t="n">
        <f aca="false">IF(COUNTIFS($B$2:B315,B315,$T$2:T315,T315)=1,1,0)</f>
        <v>0</v>
      </c>
    </row>
    <row r="316" customFormat="false" ht="15" hidden="false" customHeight="false" outlineLevel="0" collapsed="false">
      <c r="A316" s="13" t="s">
        <v>2938</v>
      </c>
      <c r="B316" s="13" t="s">
        <v>2111</v>
      </c>
      <c r="C316" s="13" t="n">
        <v>4400</v>
      </c>
      <c r="D316" s="13" t="n">
        <v>5</v>
      </c>
      <c r="E316" s="13" t="n">
        <v>556.24</v>
      </c>
      <c r="F316" s="13" t="s">
        <v>5288</v>
      </c>
      <c r="G316" s="13" t="s">
        <v>5289</v>
      </c>
      <c r="H316" s="13" t="s">
        <v>5289</v>
      </c>
      <c r="I316" s="13" t="s">
        <v>5289</v>
      </c>
      <c r="J316" s="13" t="s">
        <v>5289</v>
      </c>
      <c r="K316" s="13" t="s">
        <v>5289</v>
      </c>
      <c r="L316" s="13" t="s">
        <v>2937</v>
      </c>
      <c r="M316" s="13"/>
      <c r="N316" s="13" t="n">
        <v>3386460129879</v>
      </c>
      <c r="O316" s="13"/>
      <c r="P316" s="13" t="s">
        <v>5297</v>
      </c>
      <c r="Q316" s="13" t="s">
        <v>5289</v>
      </c>
      <c r="R316" s="13" t="s">
        <v>5292</v>
      </c>
      <c r="S316" s="13" t="s">
        <v>5293</v>
      </c>
      <c r="T316" s="13" t="s">
        <v>3</v>
      </c>
      <c r="U316" s="13" t="s">
        <v>43</v>
      </c>
      <c r="V316" s="13" t="n">
        <f aca="false">IF(COUNTIF($B$2:B316,B316)=1,1,0)</f>
        <v>0</v>
      </c>
      <c r="W316" s="13" t="n">
        <f aca="false">IF(COUNTIFS($B$2:B316,B316,$T$2:T316,T316)=1,1,0)</f>
        <v>0</v>
      </c>
    </row>
    <row r="317" customFormat="false" ht="15" hidden="false" customHeight="false" outlineLevel="0" collapsed="false">
      <c r="A317" s="13" t="s">
        <v>587</v>
      </c>
      <c r="B317" s="13" t="s">
        <v>114</v>
      </c>
      <c r="C317" s="13" t="n">
        <v>4400</v>
      </c>
      <c r="D317" s="13" t="n">
        <v>80</v>
      </c>
      <c r="E317" s="13" t="n">
        <v>59.1</v>
      </c>
      <c r="F317" s="13" t="s">
        <v>5325</v>
      </c>
      <c r="G317" s="13" t="s">
        <v>5289</v>
      </c>
      <c r="H317" s="13" t="s">
        <v>5289</v>
      </c>
      <c r="I317" s="13" t="s">
        <v>5292</v>
      </c>
      <c r="J317" s="13" t="s">
        <v>5289</v>
      </c>
      <c r="K317" s="13" t="s">
        <v>5292</v>
      </c>
      <c r="L317" s="13" t="s">
        <v>3076</v>
      </c>
      <c r="M317" s="13"/>
      <c r="N317" s="13" t="n">
        <v>4975759103080</v>
      </c>
      <c r="O317" s="13"/>
      <c r="P317" s="13" t="s">
        <v>5291</v>
      </c>
      <c r="Q317" s="13" t="s">
        <v>5289</v>
      </c>
      <c r="R317" s="13" t="s">
        <v>5292</v>
      </c>
      <c r="S317" s="13" t="s">
        <v>5293</v>
      </c>
      <c r="T317" s="13" t="s">
        <v>3</v>
      </c>
      <c r="U317" s="13" t="s">
        <v>115</v>
      </c>
      <c r="V317" s="13" t="n">
        <f aca="false">IF(COUNTIF($B$2:B317,B317)=1,1,0)</f>
        <v>0</v>
      </c>
      <c r="W317" s="13" t="n">
        <f aca="false">IF(COUNTIFS($B$2:B317,B317,$T$2:T317,T317)=1,1,0)</f>
        <v>0</v>
      </c>
    </row>
    <row r="318" customFormat="false" ht="15" hidden="false" customHeight="false" outlineLevel="0" collapsed="false">
      <c r="A318" s="13" t="s">
        <v>588</v>
      </c>
      <c r="B318" s="13" t="s">
        <v>131</v>
      </c>
      <c r="C318" s="13" t="n">
        <v>4400</v>
      </c>
      <c r="D318" s="13" t="n">
        <v>10</v>
      </c>
      <c r="E318" s="13" t="n">
        <v>312.99</v>
      </c>
      <c r="F318" s="13" t="s">
        <v>5288</v>
      </c>
      <c r="G318" s="13" t="s">
        <v>5289</v>
      </c>
      <c r="H318" s="13" t="s">
        <v>5289</v>
      </c>
      <c r="I318" s="13" t="s">
        <v>5289</v>
      </c>
      <c r="J318" s="13" t="s">
        <v>5289</v>
      </c>
      <c r="K318" s="13" t="s">
        <v>5292</v>
      </c>
      <c r="L318" s="13" t="s">
        <v>3117</v>
      </c>
      <c r="M318" s="13"/>
      <c r="N318" s="13" t="n">
        <v>7908137904907</v>
      </c>
      <c r="O318" s="13"/>
      <c r="P318" s="13" t="s">
        <v>5297</v>
      </c>
      <c r="Q318" s="13" t="s">
        <v>5289</v>
      </c>
      <c r="R318" s="13" t="s">
        <v>5292</v>
      </c>
      <c r="S318" s="13" t="s">
        <v>5293</v>
      </c>
      <c r="T318" s="13" t="s">
        <v>3</v>
      </c>
      <c r="U318" s="13" t="s">
        <v>66</v>
      </c>
      <c r="V318" s="13" t="n">
        <f aca="false">IF(COUNTIF($B$2:B318,B318)=1,1,0)</f>
        <v>0</v>
      </c>
      <c r="W318" s="13" t="n">
        <f aca="false">IF(COUNTIFS($B$2:B318,B318,$T$2:T318,T318)=1,1,0)</f>
        <v>0</v>
      </c>
    </row>
    <row r="319" customFormat="false" ht="15" hidden="false" customHeight="false" outlineLevel="0" collapsed="false">
      <c r="A319" s="13" t="s">
        <v>595</v>
      </c>
      <c r="B319" s="13" t="s">
        <v>470</v>
      </c>
      <c r="C319" s="13" t="n">
        <v>4400</v>
      </c>
      <c r="D319" s="13" t="n">
        <v>10</v>
      </c>
      <c r="E319" s="13" t="n">
        <v>336.99</v>
      </c>
      <c r="F319" s="13" t="s">
        <v>5288</v>
      </c>
      <c r="G319" s="13" t="s">
        <v>5289</v>
      </c>
      <c r="H319" s="13" t="s">
        <v>5289</v>
      </c>
      <c r="I319" s="13" t="s">
        <v>5289</v>
      </c>
      <c r="J319" s="13" t="s">
        <v>5289</v>
      </c>
      <c r="K319" s="13" t="s">
        <v>5292</v>
      </c>
      <c r="L319" s="13" t="s">
        <v>3116</v>
      </c>
      <c r="M319" s="13"/>
      <c r="N319" s="13" t="n">
        <v>4895229117563</v>
      </c>
      <c r="O319" s="13"/>
      <c r="P319" s="13" t="s">
        <v>5291</v>
      </c>
      <c r="Q319" s="13" t="s">
        <v>5289</v>
      </c>
      <c r="R319" s="13" t="s">
        <v>5292</v>
      </c>
      <c r="S319" s="13" t="s">
        <v>5293</v>
      </c>
      <c r="T319" s="13" t="s">
        <v>3</v>
      </c>
      <c r="U319" s="13" t="s">
        <v>85</v>
      </c>
      <c r="V319" s="13" t="n">
        <f aca="false">IF(COUNTIF($B$2:B319,B319)=1,1,0)</f>
        <v>0</v>
      </c>
      <c r="W319" s="13" t="n">
        <f aca="false">IF(COUNTIFS($B$2:B319,B319,$T$2:T319,T319)=1,1,0)</f>
        <v>0</v>
      </c>
    </row>
    <row r="320" customFormat="false" ht="15" hidden="false" customHeight="false" outlineLevel="0" collapsed="false">
      <c r="A320" s="13" t="s">
        <v>586</v>
      </c>
      <c r="B320" s="13" t="s">
        <v>114</v>
      </c>
      <c r="C320" s="13" t="n">
        <v>4400</v>
      </c>
      <c r="D320" s="13" t="n">
        <v>30</v>
      </c>
      <c r="E320" s="13" t="n">
        <v>167.9</v>
      </c>
      <c r="F320" s="13" t="s">
        <v>5325</v>
      </c>
      <c r="G320" s="13" t="s">
        <v>5289</v>
      </c>
      <c r="H320" s="13" t="s">
        <v>5289</v>
      </c>
      <c r="I320" s="13" t="s">
        <v>5289</v>
      </c>
      <c r="J320" s="13" t="s">
        <v>5289</v>
      </c>
      <c r="K320" s="13" t="s">
        <v>5292</v>
      </c>
      <c r="L320" s="13" t="s">
        <v>3119</v>
      </c>
      <c r="M320" s="13"/>
      <c r="N320" s="13" t="n">
        <v>4975759103103</v>
      </c>
      <c r="O320" s="13"/>
      <c r="P320" s="13" t="s">
        <v>5291</v>
      </c>
      <c r="Q320" s="13" t="s">
        <v>5289</v>
      </c>
      <c r="R320" s="13" t="s">
        <v>5292</v>
      </c>
      <c r="S320" s="13" t="s">
        <v>5293</v>
      </c>
      <c r="T320" s="13" t="s">
        <v>3</v>
      </c>
      <c r="U320" s="13" t="s">
        <v>115</v>
      </c>
      <c r="V320" s="13" t="n">
        <f aca="false">IF(COUNTIF($B$2:B320,B320)=1,1,0)</f>
        <v>0</v>
      </c>
      <c r="W320" s="13" t="n">
        <f aca="false">IF(COUNTIFS($B$2:B320,B320,$T$2:T320,T320)=1,1,0)</f>
        <v>0</v>
      </c>
    </row>
    <row r="321" customFormat="false" ht="15" hidden="false" customHeight="false" outlineLevel="0" collapsed="false">
      <c r="A321" s="13" t="s">
        <v>3127</v>
      </c>
      <c r="B321" s="13" t="s">
        <v>2100</v>
      </c>
      <c r="C321" s="13" t="n">
        <v>4400</v>
      </c>
      <c r="D321" s="13" t="n">
        <v>60</v>
      </c>
      <c r="E321" s="13" t="n">
        <v>70.1690322580645</v>
      </c>
      <c r="F321" s="13" t="s">
        <v>5288</v>
      </c>
      <c r="G321" s="13" t="s">
        <v>5289</v>
      </c>
      <c r="H321" s="13" t="s">
        <v>5289</v>
      </c>
      <c r="I321" s="13" t="s">
        <v>5292</v>
      </c>
      <c r="J321" s="13" t="s">
        <v>5289</v>
      </c>
      <c r="K321" s="13" t="s">
        <v>5292</v>
      </c>
      <c r="L321" s="13" t="s">
        <v>3126</v>
      </c>
      <c r="M321" s="13"/>
      <c r="N321" s="13" t="n">
        <v>7898936770974</v>
      </c>
      <c r="O321" s="13"/>
      <c r="P321" s="13" t="s">
        <v>5291</v>
      </c>
      <c r="Q321" s="13" t="s">
        <v>5289</v>
      </c>
      <c r="R321" s="13" t="s">
        <v>5292</v>
      </c>
      <c r="S321" s="13" t="s">
        <v>5293</v>
      </c>
      <c r="T321" s="13" t="s">
        <v>3</v>
      </c>
      <c r="U321" s="13" t="s">
        <v>43</v>
      </c>
      <c r="V321" s="13" t="n">
        <f aca="false">IF(COUNTIF($B$2:B321,B321)=1,1,0)</f>
        <v>0</v>
      </c>
      <c r="W321" s="13" t="n">
        <f aca="false">IF(COUNTIFS($B$2:B321,B321,$T$2:T321,T321)=1,1,0)</f>
        <v>0</v>
      </c>
    </row>
    <row r="322" customFormat="false" ht="15" hidden="false" customHeight="false" outlineLevel="0" collapsed="false">
      <c r="A322" s="13" t="s">
        <v>331</v>
      </c>
      <c r="B322" s="13" t="s">
        <v>79</v>
      </c>
      <c r="C322" s="13" t="n">
        <v>4300</v>
      </c>
      <c r="D322" s="13" t="n">
        <v>5</v>
      </c>
      <c r="E322" s="13" t="n">
        <v>541.7425</v>
      </c>
      <c r="F322" s="13" t="s">
        <v>5288</v>
      </c>
      <c r="G322" s="13" t="s">
        <v>5289</v>
      </c>
      <c r="H322" s="13" t="s">
        <v>5289</v>
      </c>
      <c r="I322" s="13" t="s">
        <v>5289</v>
      </c>
      <c r="J322" s="13" t="s">
        <v>5289</v>
      </c>
      <c r="K322" s="13" t="s">
        <v>5289</v>
      </c>
      <c r="L322" s="13" t="s">
        <v>3138</v>
      </c>
      <c r="M322" s="13"/>
      <c r="N322" s="13" t="n">
        <v>8057971180509</v>
      </c>
      <c r="O322" s="13"/>
      <c r="P322" s="13" t="s">
        <v>5291</v>
      </c>
      <c r="Q322" s="13" t="s">
        <v>5289</v>
      </c>
      <c r="R322" s="13" t="s">
        <v>5292</v>
      </c>
      <c r="S322" s="13" t="s">
        <v>5293</v>
      </c>
      <c r="T322" s="13" t="s">
        <v>3</v>
      </c>
      <c r="U322" s="13" t="s">
        <v>43</v>
      </c>
      <c r="V322" s="13" t="n">
        <f aca="false">IF(COUNTIF($B$2:B322,B322)=1,1,0)</f>
        <v>0</v>
      </c>
      <c r="W322" s="13" t="n">
        <f aca="false">IF(COUNTIFS($B$2:B322,B322,$T$2:T322,T322)=1,1,0)</f>
        <v>0</v>
      </c>
    </row>
    <row r="323" customFormat="false" ht="15" hidden="false" customHeight="false" outlineLevel="0" collapsed="false">
      <c r="A323" s="13" t="s">
        <v>3136</v>
      </c>
      <c r="B323" s="13" t="s">
        <v>2136</v>
      </c>
      <c r="C323" s="13" t="n">
        <v>4300</v>
      </c>
      <c r="D323" s="13" t="n">
        <v>80</v>
      </c>
      <c r="E323" s="13" t="n">
        <v>55.1687179487179</v>
      </c>
      <c r="F323" s="13" t="s">
        <v>5288</v>
      </c>
      <c r="G323" s="13" t="s">
        <v>5289</v>
      </c>
      <c r="H323" s="13" t="s">
        <v>5289</v>
      </c>
      <c r="I323" s="13" t="s">
        <v>5292</v>
      </c>
      <c r="J323" s="13" t="s">
        <v>5289</v>
      </c>
      <c r="K323" s="13" t="s">
        <v>5292</v>
      </c>
      <c r="L323" s="13" t="s">
        <v>3135</v>
      </c>
      <c r="M323" s="13"/>
      <c r="N323" s="13" t="n">
        <v>7898390944478</v>
      </c>
      <c r="O323" s="13"/>
      <c r="P323" s="13" t="s">
        <v>5297</v>
      </c>
      <c r="Q323" s="13" t="s">
        <v>5289</v>
      </c>
      <c r="R323" s="13" t="s">
        <v>5292</v>
      </c>
      <c r="S323" s="13" t="s">
        <v>5293</v>
      </c>
      <c r="T323" s="13" t="s">
        <v>3</v>
      </c>
      <c r="U323" s="13" t="s">
        <v>85</v>
      </c>
      <c r="V323" s="13" t="n">
        <f aca="false">IF(COUNTIF($B$2:B323,B323)=1,1,0)</f>
        <v>0</v>
      </c>
      <c r="W323" s="13" t="n">
        <f aca="false">IF(COUNTIFS($B$2:B323,B323,$T$2:T323,T323)=1,1,0)</f>
        <v>0</v>
      </c>
    </row>
    <row r="324" customFormat="false" ht="15" hidden="false" customHeight="false" outlineLevel="0" collapsed="false">
      <c r="A324" s="13" t="s">
        <v>5431</v>
      </c>
      <c r="B324" s="13" t="s">
        <v>2114</v>
      </c>
      <c r="C324" s="13" t="n">
        <v>4300</v>
      </c>
      <c r="D324" s="13" t="n">
        <v>70</v>
      </c>
      <c r="E324" s="13" t="n">
        <v>61</v>
      </c>
      <c r="F324" s="13" t="s">
        <v>5325</v>
      </c>
      <c r="G324" s="13" t="s">
        <v>5289</v>
      </c>
      <c r="H324" s="13" t="s">
        <v>5289</v>
      </c>
      <c r="I324" s="13" t="s">
        <v>5292</v>
      </c>
      <c r="J324" s="13" t="s">
        <v>5289</v>
      </c>
      <c r="K324" s="13" t="s">
        <v>5292</v>
      </c>
      <c r="L324" s="13" t="s">
        <v>5432</v>
      </c>
      <c r="M324" s="13"/>
      <c r="N324" s="13" t="n">
        <v>7.89804720042179E+025</v>
      </c>
      <c r="O324" s="13"/>
      <c r="P324" s="13" t="s">
        <v>5291</v>
      </c>
      <c r="Q324" s="13" t="s">
        <v>5289</v>
      </c>
      <c r="R324" s="13" t="s">
        <v>5292</v>
      </c>
      <c r="S324" s="13" t="s">
        <v>5293</v>
      </c>
      <c r="T324" s="13" t="s">
        <v>3</v>
      </c>
      <c r="U324" s="13" t="s">
        <v>140</v>
      </c>
      <c r="V324" s="13" t="n">
        <f aca="false">IF(COUNTIF($B$2:B324,B324)=1,1,0)</f>
        <v>0</v>
      </c>
      <c r="W324" s="13" t="n">
        <f aca="false">IF(COUNTIFS($B$2:B324,B324,$T$2:T324,T324)=1,1,0)</f>
        <v>0</v>
      </c>
    </row>
    <row r="325" customFormat="false" ht="15" hidden="false" customHeight="false" outlineLevel="0" collapsed="false">
      <c r="A325" s="13" t="s">
        <v>3144</v>
      </c>
      <c r="B325" s="13" t="s">
        <v>2126</v>
      </c>
      <c r="C325" s="13" t="n">
        <v>4100</v>
      </c>
      <c r="D325" s="13" t="n">
        <v>80</v>
      </c>
      <c r="E325" s="13" t="n">
        <v>52.329746835443</v>
      </c>
      <c r="F325" s="13" t="s">
        <v>5288</v>
      </c>
      <c r="G325" s="13" t="s">
        <v>5289</v>
      </c>
      <c r="H325" s="13" t="s">
        <v>5289</v>
      </c>
      <c r="I325" s="13" t="s">
        <v>5292</v>
      </c>
      <c r="J325" s="13" t="s">
        <v>5289</v>
      </c>
      <c r="K325" s="13" t="s">
        <v>5289</v>
      </c>
      <c r="L325" s="13" t="s">
        <v>3143</v>
      </c>
      <c r="M325" s="13"/>
      <c r="N325" s="13" t="n">
        <v>7898449393639</v>
      </c>
      <c r="O325" s="13"/>
      <c r="P325" s="13" t="s">
        <v>5291</v>
      </c>
      <c r="Q325" s="13" t="s">
        <v>5289</v>
      </c>
      <c r="R325" s="13" t="s">
        <v>5292</v>
      </c>
      <c r="S325" s="13" t="s">
        <v>5293</v>
      </c>
      <c r="T325" s="13" t="s">
        <v>3</v>
      </c>
      <c r="U325" s="13" t="s">
        <v>183</v>
      </c>
      <c r="V325" s="13" t="n">
        <f aca="false">IF(COUNTIF($B$2:B325,B325)=1,1,0)</f>
        <v>0</v>
      </c>
      <c r="W325" s="13" t="n">
        <f aca="false">IF(COUNTIFS($B$2:B325,B325,$T$2:T325,T325)=1,1,0)</f>
        <v>0</v>
      </c>
    </row>
    <row r="326" customFormat="false" ht="15" hidden="false" customHeight="false" outlineLevel="0" collapsed="false">
      <c r="A326" s="13" t="s">
        <v>2752</v>
      </c>
      <c r="B326" s="13" t="s">
        <v>2157</v>
      </c>
      <c r="C326" s="13" t="n">
        <v>4100</v>
      </c>
      <c r="D326" s="13" t="n">
        <v>10</v>
      </c>
      <c r="E326" s="13" t="n">
        <v>289.99</v>
      </c>
      <c r="F326" s="13" t="s">
        <v>5288</v>
      </c>
      <c r="G326" s="13" t="s">
        <v>5289</v>
      </c>
      <c r="H326" s="13" t="s">
        <v>5292</v>
      </c>
      <c r="I326" s="13" t="s">
        <v>5289</v>
      </c>
      <c r="J326" s="13" t="s">
        <v>5289</v>
      </c>
      <c r="K326" s="13" t="s">
        <v>5289</v>
      </c>
      <c r="L326" s="13" t="s">
        <v>2750</v>
      </c>
      <c r="M326" s="13"/>
      <c r="N326" s="13" t="n">
        <v>7891033820597</v>
      </c>
      <c r="O326" s="13"/>
      <c r="P326" s="13" t="s">
        <v>5291</v>
      </c>
      <c r="Q326" s="13" t="s">
        <v>5289</v>
      </c>
      <c r="R326" s="13" t="s">
        <v>5292</v>
      </c>
      <c r="S326" s="13" t="s">
        <v>5293</v>
      </c>
      <c r="T326" s="13" t="s">
        <v>3</v>
      </c>
      <c r="U326" s="13" t="s">
        <v>43</v>
      </c>
      <c r="V326" s="13" t="n">
        <f aca="false">IF(COUNTIF($B$2:B326,B326)=1,1,0)</f>
        <v>0</v>
      </c>
      <c r="W326" s="13" t="n">
        <f aca="false">IF(COUNTIFS($B$2:B326,B326,$T$2:T326,T326)=1,1,0)</f>
        <v>0</v>
      </c>
    </row>
    <row r="327" customFormat="false" ht="15" hidden="false" customHeight="false" outlineLevel="0" collapsed="false">
      <c r="A327" s="13" t="s">
        <v>3163</v>
      </c>
      <c r="B327" s="13" t="s">
        <v>2129</v>
      </c>
      <c r="C327" s="13" t="n">
        <v>4000</v>
      </c>
      <c r="D327" s="13" t="n">
        <v>50</v>
      </c>
      <c r="E327" s="13" t="n">
        <v>74.99</v>
      </c>
      <c r="F327" s="13" t="s">
        <v>5288</v>
      </c>
      <c r="G327" s="13" t="s">
        <v>5289</v>
      </c>
      <c r="H327" s="13" t="s">
        <v>5289</v>
      </c>
      <c r="I327" s="13" t="s">
        <v>5292</v>
      </c>
      <c r="J327" s="13" t="s">
        <v>5289</v>
      </c>
      <c r="K327" s="13" t="s">
        <v>5292</v>
      </c>
      <c r="L327" s="13" t="s">
        <v>3162</v>
      </c>
      <c r="M327" s="13"/>
      <c r="N327" s="13" t="n">
        <v>7908654009383</v>
      </c>
      <c r="O327" s="13"/>
      <c r="P327" s="13" t="s">
        <v>5291</v>
      </c>
      <c r="Q327" s="13" t="s">
        <v>5289</v>
      </c>
      <c r="R327" s="13" t="s">
        <v>5292</v>
      </c>
      <c r="S327" s="13" t="s">
        <v>5293</v>
      </c>
      <c r="T327" s="13" t="s">
        <v>3</v>
      </c>
      <c r="U327" s="13" t="s">
        <v>43</v>
      </c>
      <c r="V327" s="13" t="n">
        <f aca="false">IF(COUNTIF($B$2:B327,B327)=1,1,0)</f>
        <v>0</v>
      </c>
      <c r="W327" s="13" t="n">
        <f aca="false">IF(COUNTIFS($B$2:B327,B327,$T$2:T327,T327)=1,1,0)</f>
        <v>0</v>
      </c>
    </row>
    <row r="328" customFormat="false" ht="15" hidden="false" customHeight="false" outlineLevel="0" collapsed="false">
      <c r="A328" s="13" t="s">
        <v>3159</v>
      </c>
      <c r="B328" s="13" t="s">
        <v>2098</v>
      </c>
      <c r="C328" s="13" t="n">
        <v>4000</v>
      </c>
      <c r="D328" s="13" t="n">
        <v>40</v>
      </c>
      <c r="E328" s="13" t="n">
        <v>91.5172727272727</v>
      </c>
      <c r="F328" s="13" t="s">
        <v>5288</v>
      </c>
      <c r="G328" s="13" t="s">
        <v>5289</v>
      </c>
      <c r="H328" s="13" t="s">
        <v>5289</v>
      </c>
      <c r="I328" s="13" t="s">
        <v>5289</v>
      </c>
      <c r="J328" s="13" t="s">
        <v>5289</v>
      </c>
      <c r="K328" s="13" t="s">
        <v>5292</v>
      </c>
      <c r="L328" s="13" t="s">
        <v>3158</v>
      </c>
      <c r="M328" s="13"/>
      <c r="N328" s="13" t="n">
        <v>7898301058140</v>
      </c>
      <c r="O328" s="13"/>
      <c r="P328" s="13" t="s">
        <v>5291</v>
      </c>
      <c r="Q328" s="13" t="s">
        <v>5289</v>
      </c>
      <c r="R328" s="13" t="s">
        <v>5292</v>
      </c>
      <c r="S328" s="13" t="s">
        <v>5293</v>
      </c>
      <c r="T328" s="13" t="s">
        <v>3</v>
      </c>
      <c r="U328" s="13" t="s">
        <v>85</v>
      </c>
      <c r="V328" s="13" t="n">
        <f aca="false">IF(COUNTIF($B$2:B328,B328)=1,1,0)</f>
        <v>0</v>
      </c>
      <c r="W328" s="13" t="n">
        <f aca="false">IF(COUNTIFS($B$2:B328,B328,$T$2:T328,T328)=1,1,0)</f>
        <v>0</v>
      </c>
    </row>
    <row r="329" customFormat="false" ht="15" hidden="false" customHeight="false" outlineLevel="0" collapsed="false">
      <c r="A329" s="13" t="s">
        <v>611</v>
      </c>
      <c r="B329" s="13" t="s">
        <v>179</v>
      </c>
      <c r="C329" s="13" t="n">
        <v>4000</v>
      </c>
      <c r="D329" s="13" t="n">
        <v>5</v>
      </c>
      <c r="E329" s="13" t="n">
        <v>399</v>
      </c>
      <c r="F329" s="13" t="s">
        <v>5325</v>
      </c>
      <c r="G329" s="13" t="s">
        <v>5289</v>
      </c>
      <c r="H329" s="13" t="s">
        <v>5289</v>
      </c>
      <c r="I329" s="13" t="s">
        <v>5289</v>
      </c>
      <c r="J329" s="13" t="s">
        <v>5289</v>
      </c>
      <c r="K329" s="13" t="s">
        <v>5292</v>
      </c>
      <c r="L329" s="13" t="s">
        <v>3154</v>
      </c>
      <c r="M329" s="13"/>
      <c r="N329" s="13" t="n">
        <v>7908005344019</v>
      </c>
      <c r="O329" s="13"/>
      <c r="P329" s="13" t="s">
        <v>5291</v>
      </c>
      <c r="Q329" s="13" t="s">
        <v>5289</v>
      </c>
      <c r="R329" s="13" t="s">
        <v>5292</v>
      </c>
      <c r="S329" s="13" t="s">
        <v>5293</v>
      </c>
      <c r="T329" s="13" t="s">
        <v>3</v>
      </c>
      <c r="U329" s="13" t="s">
        <v>85</v>
      </c>
      <c r="V329" s="13" t="n">
        <f aca="false">IF(COUNTIF($B$2:B329,B329)=1,1,0)</f>
        <v>0</v>
      </c>
      <c r="W329" s="13" t="n">
        <f aca="false">IF(COUNTIFS($B$2:B329,B329,$T$2:T329,T329)=1,1,0)</f>
        <v>0</v>
      </c>
    </row>
    <row r="330" customFormat="false" ht="15" hidden="false" customHeight="false" outlineLevel="0" collapsed="false">
      <c r="A330" s="13" t="s">
        <v>3006</v>
      </c>
      <c r="B330" s="13" t="s">
        <v>2095</v>
      </c>
      <c r="C330" s="13" t="n">
        <v>4000</v>
      </c>
      <c r="D330" s="13" t="n">
        <v>100</v>
      </c>
      <c r="E330" s="13" t="n">
        <v>37.99</v>
      </c>
      <c r="F330" s="13" t="s">
        <v>5288</v>
      </c>
      <c r="G330" s="13" t="s">
        <v>5289</v>
      </c>
      <c r="H330" s="13" t="s">
        <v>5289</v>
      </c>
      <c r="I330" s="13" t="s">
        <v>5292</v>
      </c>
      <c r="J330" s="13" t="s">
        <v>5289</v>
      </c>
      <c r="K330" s="13" t="s">
        <v>5292</v>
      </c>
      <c r="L330" s="13" t="s">
        <v>3004</v>
      </c>
      <c r="M330" s="13"/>
      <c r="N330" s="13" t="n">
        <v>7898665435380</v>
      </c>
      <c r="O330" s="13"/>
      <c r="P330" s="13" t="s">
        <v>5291</v>
      </c>
      <c r="Q330" s="13" t="s">
        <v>5289</v>
      </c>
      <c r="R330" s="13" t="s">
        <v>5292</v>
      </c>
      <c r="S330" s="13" t="s">
        <v>5293</v>
      </c>
      <c r="T330" s="13" t="s">
        <v>3</v>
      </c>
      <c r="U330" s="13" t="s">
        <v>140</v>
      </c>
      <c r="V330" s="13" t="n">
        <f aca="false">IF(COUNTIF($B$2:B330,B330)=1,1,0)</f>
        <v>0</v>
      </c>
      <c r="W330" s="13" t="n">
        <f aca="false">IF(COUNTIFS($B$2:B330,B330,$T$2:T330,T330)=1,1,0)</f>
        <v>0</v>
      </c>
    </row>
    <row r="331" customFormat="false" ht="15" hidden="false" customHeight="false" outlineLevel="0" collapsed="false">
      <c r="A331" s="13" t="s">
        <v>3156</v>
      </c>
      <c r="B331" s="13" t="s">
        <v>2161</v>
      </c>
      <c r="C331" s="13" t="n">
        <v>4000</v>
      </c>
      <c r="D331" s="13" t="n">
        <v>5</v>
      </c>
      <c r="E331" s="13" t="n">
        <v>790</v>
      </c>
      <c r="F331" s="13" t="s">
        <v>5325</v>
      </c>
      <c r="G331" s="13" t="s">
        <v>5289</v>
      </c>
      <c r="H331" s="13" t="s">
        <v>5289</v>
      </c>
      <c r="I331" s="13" t="s">
        <v>5289</v>
      </c>
      <c r="J331" s="13" t="s">
        <v>5289</v>
      </c>
      <c r="K331" s="13" t="s">
        <v>5289</v>
      </c>
      <c r="L331" s="13" t="s">
        <v>3155</v>
      </c>
      <c r="M331" s="13"/>
      <c r="N331" s="13" t="n">
        <v>885911984911</v>
      </c>
      <c r="O331" s="13"/>
      <c r="P331" s="13" t="s">
        <v>5291</v>
      </c>
      <c r="Q331" s="13" t="s">
        <v>5289</v>
      </c>
      <c r="R331" s="13" t="s">
        <v>5292</v>
      </c>
      <c r="S331" s="13" t="s">
        <v>5293</v>
      </c>
      <c r="T331" s="13" t="s">
        <v>3</v>
      </c>
      <c r="U331" s="13" t="s">
        <v>98</v>
      </c>
      <c r="V331" s="13" t="n">
        <f aca="false">IF(COUNTIF($B$2:B331,B331)=1,1,0)</f>
        <v>1</v>
      </c>
      <c r="W331" s="13" t="n">
        <f aca="false">IF(COUNTIFS($B$2:B331,B331,$T$2:T331,T331)=1,1,0)</f>
        <v>1</v>
      </c>
    </row>
    <row r="332" customFormat="false" ht="15" hidden="false" customHeight="false" outlineLevel="0" collapsed="false">
      <c r="A332" s="13" t="s">
        <v>5433</v>
      </c>
      <c r="B332" s="13" t="s">
        <v>2159</v>
      </c>
      <c r="C332" s="13" t="n">
        <v>3900</v>
      </c>
      <c r="D332" s="13" t="n">
        <v>30</v>
      </c>
      <c r="E332" s="13" t="n">
        <v>119.224848484848</v>
      </c>
      <c r="F332" s="13" t="s">
        <v>5288</v>
      </c>
      <c r="G332" s="13" t="s">
        <v>5289</v>
      </c>
      <c r="H332" s="13" t="s">
        <v>5289</v>
      </c>
      <c r="I332" s="13" t="s">
        <v>5289</v>
      </c>
      <c r="J332" s="13" t="s">
        <v>5289</v>
      </c>
      <c r="K332" s="13" t="s">
        <v>5289</v>
      </c>
      <c r="L332" s="13" t="s">
        <v>5434</v>
      </c>
      <c r="M332" s="13"/>
      <c r="N332" s="13" t="n">
        <v>40141471994</v>
      </c>
      <c r="O332" s="13"/>
      <c r="P332" s="13" t="s">
        <v>5291</v>
      </c>
      <c r="Q332" s="13" t="s">
        <v>5289</v>
      </c>
      <c r="R332" s="13" t="s">
        <v>5292</v>
      </c>
      <c r="S332" s="13" t="s">
        <v>5293</v>
      </c>
      <c r="T332" s="13" t="s">
        <v>3</v>
      </c>
      <c r="U332" s="13" t="s">
        <v>85</v>
      </c>
      <c r="V332" s="13" t="n">
        <f aca="false">IF(COUNTIF($B$2:B332,B332)=1,1,0)</f>
        <v>1</v>
      </c>
      <c r="W332" s="13" t="n">
        <f aca="false">IF(COUNTIFS($B$2:B332,B332,$T$2:T332,T332)=1,1,0)</f>
        <v>1</v>
      </c>
    </row>
    <row r="333" customFormat="false" ht="15" hidden="false" customHeight="false" outlineLevel="0" collapsed="false">
      <c r="A333" s="13" t="s">
        <v>3166</v>
      </c>
      <c r="B333" s="13" t="s">
        <v>2115</v>
      </c>
      <c r="C333" s="13" t="n">
        <v>3900</v>
      </c>
      <c r="D333" s="13" t="n">
        <v>50</v>
      </c>
      <c r="E333" s="13" t="n">
        <v>71.4442592592593</v>
      </c>
      <c r="F333" s="13" t="s">
        <v>5288</v>
      </c>
      <c r="G333" s="13" t="s">
        <v>5289</v>
      </c>
      <c r="H333" s="13" t="s">
        <v>5289</v>
      </c>
      <c r="I333" s="13" t="s">
        <v>5292</v>
      </c>
      <c r="J333" s="13" t="s">
        <v>5289</v>
      </c>
      <c r="K333" s="13" t="s">
        <v>5292</v>
      </c>
      <c r="L333" s="13" t="s">
        <v>5435</v>
      </c>
      <c r="M333" s="13"/>
      <c r="N333" s="13" t="n">
        <v>7898684482747</v>
      </c>
      <c r="O333" s="13"/>
      <c r="P333" s="13" t="s">
        <v>5291</v>
      </c>
      <c r="Q333" s="13" t="s">
        <v>5289</v>
      </c>
      <c r="R333" s="13" t="s">
        <v>5292</v>
      </c>
      <c r="S333" s="13" t="s">
        <v>5293</v>
      </c>
      <c r="T333" s="13" t="s">
        <v>3</v>
      </c>
      <c r="U333" s="13" t="s">
        <v>140</v>
      </c>
      <c r="V333" s="13" t="n">
        <f aca="false">IF(COUNTIF($B$2:B333,B333)=1,1,0)</f>
        <v>0</v>
      </c>
      <c r="W333" s="13" t="n">
        <f aca="false">IF(COUNTIFS($B$2:B333,B333,$T$2:T333,T333)=1,1,0)</f>
        <v>0</v>
      </c>
    </row>
    <row r="334" customFormat="false" ht="15" hidden="false" customHeight="false" outlineLevel="0" collapsed="false">
      <c r="A334" s="13" t="s">
        <v>624</v>
      </c>
      <c r="B334" s="13" t="s">
        <v>179</v>
      </c>
      <c r="C334" s="13" t="n">
        <v>3800</v>
      </c>
      <c r="D334" s="13" t="n">
        <v>10</v>
      </c>
      <c r="E334" s="13" t="n">
        <v>320.833333333333</v>
      </c>
      <c r="F334" s="13" t="s">
        <v>5325</v>
      </c>
      <c r="G334" s="13" t="s">
        <v>5289</v>
      </c>
      <c r="H334" s="13" t="s">
        <v>5289</v>
      </c>
      <c r="I334" s="13" t="s">
        <v>5289</v>
      </c>
      <c r="J334" s="13" t="s">
        <v>5289</v>
      </c>
      <c r="K334" s="13" t="s">
        <v>5292</v>
      </c>
      <c r="L334" s="13" t="s">
        <v>3181</v>
      </c>
      <c r="M334" s="13"/>
      <c r="N334" s="13" t="n">
        <v>7908896603554</v>
      </c>
      <c r="O334" s="13"/>
      <c r="P334" s="13" t="s">
        <v>5297</v>
      </c>
      <c r="Q334" s="13" t="s">
        <v>5289</v>
      </c>
      <c r="R334" s="13" t="s">
        <v>5292</v>
      </c>
      <c r="S334" s="13" t="s">
        <v>5293</v>
      </c>
      <c r="T334" s="13" t="s">
        <v>3</v>
      </c>
      <c r="U334" s="13" t="s">
        <v>180</v>
      </c>
      <c r="V334" s="13" t="n">
        <f aca="false">IF(COUNTIF($B$2:B334,B334)=1,1,0)</f>
        <v>0</v>
      </c>
      <c r="W334" s="13" t="n">
        <f aca="false">IF(COUNTIFS($B$2:B334,B334,$T$2:T334,T334)=1,1,0)</f>
        <v>0</v>
      </c>
    </row>
    <row r="335" customFormat="false" ht="15" hidden="false" customHeight="false" outlineLevel="0" collapsed="false">
      <c r="A335" s="13" t="s">
        <v>548</v>
      </c>
      <c r="B335" s="13" t="s">
        <v>165</v>
      </c>
      <c r="C335" s="13" t="n">
        <v>3800</v>
      </c>
      <c r="D335" s="13" t="n">
        <v>20</v>
      </c>
      <c r="E335" s="13" t="n">
        <v>256.311333333333</v>
      </c>
      <c r="F335" s="13" t="s">
        <v>5288</v>
      </c>
      <c r="G335" s="13" t="s">
        <v>5289</v>
      </c>
      <c r="H335" s="13" t="s">
        <v>5289</v>
      </c>
      <c r="I335" s="13" t="s">
        <v>5289</v>
      </c>
      <c r="J335" s="13" t="s">
        <v>5289</v>
      </c>
      <c r="K335" s="13" t="s">
        <v>5289</v>
      </c>
      <c r="L335" s="13" t="s">
        <v>3177</v>
      </c>
      <c r="M335" s="13"/>
      <c r="N335" s="13" t="n">
        <v>3614273667418</v>
      </c>
      <c r="O335" s="13"/>
      <c r="P335" s="13" t="s">
        <v>5304</v>
      </c>
      <c r="Q335" s="13" t="s">
        <v>5289</v>
      </c>
      <c r="R335" s="13" t="s">
        <v>5292</v>
      </c>
      <c r="S335" s="13" t="s">
        <v>5293</v>
      </c>
      <c r="T335" s="13" t="s">
        <v>3</v>
      </c>
      <c r="U335" s="13" t="s">
        <v>43</v>
      </c>
      <c r="V335" s="13" t="n">
        <f aca="false">IF(COUNTIF($B$2:B335,B335)=1,1,0)</f>
        <v>0</v>
      </c>
      <c r="W335" s="13" t="n">
        <f aca="false">IF(COUNTIFS($B$2:B335,B335,$T$2:T335,T335)=1,1,0)</f>
        <v>0</v>
      </c>
    </row>
    <row r="336" customFormat="false" ht="15" hidden="false" customHeight="false" outlineLevel="0" collapsed="false">
      <c r="A336" s="13" t="s">
        <v>173</v>
      </c>
      <c r="B336" s="13" t="s">
        <v>69</v>
      </c>
      <c r="C336" s="13" t="n">
        <v>3800</v>
      </c>
      <c r="D336" s="13" t="n">
        <v>5</v>
      </c>
      <c r="E336" s="13" t="n">
        <v>478.74</v>
      </c>
      <c r="F336" s="13" t="s">
        <v>5288</v>
      </c>
      <c r="G336" s="13" t="s">
        <v>5289</v>
      </c>
      <c r="H336" s="13" t="s">
        <v>5289</v>
      </c>
      <c r="I336" s="13" t="s">
        <v>5289</v>
      </c>
      <c r="J336" s="13" t="s">
        <v>5289</v>
      </c>
      <c r="K336" s="13" t="s">
        <v>5292</v>
      </c>
      <c r="L336" s="13" t="s">
        <v>2393</v>
      </c>
      <c r="M336" s="13"/>
      <c r="N336" s="13" t="n">
        <v>3614272648401</v>
      </c>
      <c r="O336" s="13"/>
      <c r="P336" s="13" t="s">
        <v>5297</v>
      </c>
      <c r="Q336" s="13" t="s">
        <v>5289</v>
      </c>
      <c r="R336" s="13" t="s">
        <v>5292</v>
      </c>
      <c r="S336" s="13" t="s">
        <v>5293</v>
      </c>
      <c r="T336" s="13" t="s">
        <v>3</v>
      </c>
      <c r="U336" s="13" t="s">
        <v>43</v>
      </c>
      <c r="V336" s="13" t="n">
        <f aca="false">IF(COUNTIF($B$2:B336,B336)=1,1,0)</f>
        <v>0</v>
      </c>
      <c r="W336" s="13" t="n">
        <f aca="false">IF(COUNTIFS($B$2:B336,B336,$T$2:T336,T336)=1,1,0)</f>
        <v>0</v>
      </c>
    </row>
    <row r="337" customFormat="false" ht="15" hidden="false" customHeight="false" outlineLevel="0" collapsed="false">
      <c r="A337" s="13" t="s">
        <v>3180</v>
      </c>
      <c r="B337" s="13" t="s">
        <v>2100</v>
      </c>
      <c r="C337" s="13" t="n">
        <v>3800</v>
      </c>
      <c r="D337" s="13" t="n">
        <v>60</v>
      </c>
      <c r="E337" s="13" t="n">
        <v>67.9705357142857</v>
      </c>
      <c r="F337" s="13" t="s">
        <v>5288</v>
      </c>
      <c r="G337" s="13" t="s">
        <v>5289</v>
      </c>
      <c r="H337" s="13" t="s">
        <v>5289</v>
      </c>
      <c r="I337" s="13" t="s">
        <v>5292</v>
      </c>
      <c r="J337" s="13" t="s">
        <v>5289</v>
      </c>
      <c r="K337" s="13" t="s">
        <v>5292</v>
      </c>
      <c r="L337" s="13" t="s">
        <v>5436</v>
      </c>
      <c r="M337" s="13"/>
      <c r="N337" s="13" t="n">
        <v>7898410313789</v>
      </c>
      <c r="O337" s="13"/>
      <c r="P337" s="13" t="s">
        <v>5291</v>
      </c>
      <c r="Q337" s="13" t="s">
        <v>5289</v>
      </c>
      <c r="R337" s="13" t="s">
        <v>5292</v>
      </c>
      <c r="S337" s="13" t="s">
        <v>5293</v>
      </c>
      <c r="T337" s="13" t="s">
        <v>3</v>
      </c>
      <c r="U337" s="13" t="s">
        <v>43</v>
      </c>
      <c r="V337" s="13" t="n">
        <f aca="false">IF(COUNTIF($B$2:B337,B337)=1,1,0)</f>
        <v>0</v>
      </c>
      <c r="W337" s="13" t="n">
        <f aca="false">IF(COUNTIFS($B$2:B337,B337,$T$2:T337,T337)=1,1,0)</f>
        <v>0</v>
      </c>
    </row>
    <row r="338" customFormat="false" ht="15" hidden="false" customHeight="false" outlineLevel="0" collapsed="false">
      <c r="A338" s="13" t="s">
        <v>3186</v>
      </c>
      <c r="B338" s="13" t="s">
        <v>2126</v>
      </c>
      <c r="C338" s="13" t="n">
        <v>3800</v>
      </c>
      <c r="D338" s="13" t="n">
        <v>60</v>
      </c>
      <c r="E338" s="13" t="n">
        <v>58.5267692307692</v>
      </c>
      <c r="F338" s="13" t="s">
        <v>5288</v>
      </c>
      <c r="G338" s="13" t="s">
        <v>5289</v>
      </c>
      <c r="H338" s="13" t="s">
        <v>5289</v>
      </c>
      <c r="I338" s="13" t="s">
        <v>5292</v>
      </c>
      <c r="J338" s="13" t="s">
        <v>5289</v>
      </c>
      <c r="K338" s="13" t="s">
        <v>5289</v>
      </c>
      <c r="L338" s="13" t="s">
        <v>3185</v>
      </c>
      <c r="M338" s="13"/>
      <c r="N338" s="13" t="n">
        <v>7898449393660</v>
      </c>
      <c r="O338" s="13"/>
      <c r="P338" s="13" t="s">
        <v>5291</v>
      </c>
      <c r="Q338" s="13" t="s">
        <v>5289</v>
      </c>
      <c r="R338" s="13" t="s">
        <v>5292</v>
      </c>
      <c r="S338" s="13" t="s">
        <v>5293</v>
      </c>
      <c r="T338" s="13" t="s">
        <v>3</v>
      </c>
      <c r="U338" s="13" t="s">
        <v>183</v>
      </c>
      <c r="V338" s="13" t="n">
        <f aca="false">IF(COUNTIF($B$2:B338,B338)=1,1,0)</f>
        <v>0</v>
      </c>
      <c r="W338" s="13" t="n">
        <f aca="false">IF(COUNTIFS($B$2:B338,B338,$T$2:T338,T338)=1,1,0)</f>
        <v>0</v>
      </c>
    </row>
    <row r="339" customFormat="false" ht="15" hidden="false" customHeight="false" outlineLevel="0" collapsed="false">
      <c r="A339" s="13" t="s">
        <v>3086</v>
      </c>
      <c r="B339" s="13" t="s">
        <v>2185</v>
      </c>
      <c r="C339" s="13" t="n">
        <v>3800</v>
      </c>
      <c r="D339" s="13" t="n">
        <v>30</v>
      </c>
      <c r="E339" s="13" t="n">
        <v>135.68</v>
      </c>
      <c r="F339" s="13" t="s">
        <v>5288</v>
      </c>
      <c r="G339" s="13" t="s">
        <v>5289</v>
      </c>
      <c r="H339" s="13" t="s">
        <v>5289</v>
      </c>
      <c r="I339" s="13" t="s">
        <v>5289</v>
      </c>
      <c r="J339" s="13" t="s">
        <v>5289</v>
      </c>
      <c r="K339" s="13" t="s">
        <v>5289</v>
      </c>
      <c r="L339" s="13" t="s">
        <v>3085</v>
      </c>
      <c r="M339" s="13"/>
      <c r="N339" s="13" t="n">
        <v>4711530962046</v>
      </c>
      <c r="O339" s="13"/>
      <c r="P339" s="13" t="s">
        <v>5291</v>
      </c>
      <c r="Q339" s="13" t="s">
        <v>5289</v>
      </c>
      <c r="R339" s="13" t="s">
        <v>5292</v>
      </c>
      <c r="S339" s="13" t="s">
        <v>5293</v>
      </c>
      <c r="T339" s="13" t="s">
        <v>3</v>
      </c>
      <c r="U339" s="13" t="s">
        <v>144</v>
      </c>
      <c r="V339" s="13" t="n">
        <f aca="false">IF(COUNTIF($B$2:B339,B339)=1,1,0)</f>
        <v>1</v>
      </c>
      <c r="W339" s="13" t="n">
        <f aca="false">IF(COUNTIFS($B$2:B339,B339,$T$2:T339,T339)=1,1,0)</f>
        <v>1</v>
      </c>
    </row>
    <row r="340" customFormat="false" ht="15" hidden="false" customHeight="false" outlineLevel="0" collapsed="false">
      <c r="A340" s="13" t="s">
        <v>623</v>
      </c>
      <c r="B340" s="13" t="s">
        <v>191</v>
      </c>
      <c r="C340" s="13" t="n">
        <v>3800</v>
      </c>
      <c r="D340" s="13" t="n">
        <v>30</v>
      </c>
      <c r="E340" s="13" t="n">
        <v>139.99</v>
      </c>
      <c r="F340" s="13" t="s">
        <v>5288</v>
      </c>
      <c r="G340" s="13" t="s">
        <v>5289</v>
      </c>
      <c r="H340" s="13" t="s">
        <v>5289</v>
      </c>
      <c r="I340" s="13" t="s">
        <v>5289</v>
      </c>
      <c r="J340" s="13" t="s">
        <v>5289</v>
      </c>
      <c r="K340" s="13" t="s">
        <v>5292</v>
      </c>
      <c r="L340" s="13" t="s">
        <v>5437</v>
      </c>
      <c r="M340" s="13"/>
      <c r="N340" s="13" t="n">
        <v>7.89676847037679E+025</v>
      </c>
      <c r="O340" s="13"/>
      <c r="P340" s="13" t="s">
        <v>5291</v>
      </c>
      <c r="Q340" s="13" t="s">
        <v>5289</v>
      </c>
      <c r="R340" s="13" t="s">
        <v>5292</v>
      </c>
      <c r="S340" s="13" t="s">
        <v>5293</v>
      </c>
      <c r="T340" s="13" t="s">
        <v>3</v>
      </c>
      <c r="U340" s="13" t="s">
        <v>183</v>
      </c>
      <c r="V340" s="13" t="n">
        <f aca="false">IF(COUNTIF($B$2:B340,B340)=1,1,0)</f>
        <v>0</v>
      </c>
      <c r="W340" s="13" t="n">
        <f aca="false">IF(COUNTIFS($B$2:B340,B340,$T$2:T340,T340)=1,1,0)</f>
        <v>0</v>
      </c>
    </row>
    <row r="341" customFormat="false" ht="15" hidden="false" customHeight="false" outlineLevel="0" collapsed="false">
      <c r="A341" s="13" t="s">
        <v>3173</v>
      </c>
      <c r="B341" s="13" t="s">
        <v>2096</v>
      </c>
      <c r="C341" s="13" t="n">
        <v>3800</v>
      </c>
      <c r="D341" s="13" t="n">
        <v>60</v>
      </c>
      <c r="E341" s="13" t="n">
        <v>60.7520967741935</v>
      </c>
      <c r="F341" s="13" t="s">
        <v>5288</v>
      </c>
      <c r="G341" s="13" t="s">
        <v>5289</v>
      </c>
      <c r="H341" s="13" t="s">
        <v>5289</v>
      </c>
      <c r="I341" s="13" t="s">
        <v>5292</v>
      </c>
      <c r="J341" s="13" t="s">
        <v>5289</v>
      </c>
      <c r="K341" s="13" t="s">
        <v>5292</v>
      </c>
      <c r="L341" s="13" t="s">
        <v>3172</v>
      </c>
      <c r="M341" s="13"/>
      <c r="N341" s="13" t="n">
        <v>7891033580569</v>
      </c>
      <c r="O341" s="13"/>
      <c r="P341" s="13" t="s">
        <v>5291</v>
      </c>
      <c r="Q341" s="13" t="s">
        <v>5289</v>
      </c>
      <c r="R341" s="13" t="s">
        <v>5292</v>
      </c>
      <c r="S341" s="13" t="s">
        <v>5293</v>
      </c>
      <c r="T341" s="13" t="s">
        <v>3</v>
      </c>
      <c r="U341" s="13" t="s">
        <v>43</v>
      </c>
      <c r="V341" s="13" t="n">
        <f aca="false">IF(COUNTIF($B$2:B341,B341)=1,1,0)</f>
        <v>0</v>
      </c>
      <c r="W341" s="13" t="n">
        <f aca="false">IF(COUNTIFS($B$2:B341,B341,$T$2:T341,T341)=1,1,0)</f>
        <v>0</v>
      </c>
    </row>
    <row r="342" customFormat="false" ht="15" hidden="false" customHeight="false" outlineLevel="0" collapsed="false">
      <c r="A342" s="13" t="s">
        <v>632</v>
      </c>
      <c r="B342" s="13" t="s">
        <v>179</v>
      </c>
      <c r="C342" s="13" t="n">
        <v>3700</v>
      </c>
      <c r="D342" s="13" t="n">
        <v>20</v>
      </c>
      <c r="E342" s="13" t="n">
        <v>149</v>
      </c>
      <c r="F342" s="13" t="s">
        <v>5325</v>
      </c>
      <c r="G342" s="13" t="s">
        <v>5289</v>
      </c>
      <c r="H342" s="13" t="s">
        <v>5289</v>
      </c>
      <c r="I342" s="13" t="s">
        <v>5289</v>
      </c>
      <c r="J342" s="13" t="s">
        <v>5289</v>
      </c>
      <c r="K342" s="13" t="s">
        <v>5292</v>
      </c>
      <c r="L342" s="13" t="s">
        <v>3208</v>
      </c>
      <c r="M342" s="13"/>
      <c r="N342" s="13" t="n">
        <v>7908005327302</v>
      </c>
      <c r="O342" s="13"/>
      <c r="P342" s="13" t="s">
        <v>5291</v>
      </c>
      <c r="Q342" s="13" t="s">
        <v>5289</v>
      </c>
      <c r="R342" s="13" t="s">
        <v>5292</v>
      </c>
      <c r="S342" s="13" t="s">
        <v>5293</v>
      </c>
      <c r="T342" s="13" t="s">
        <v>3</v>
      </c>
      <c r="U342" s="13" t="s">
        <v>180</v>
      </c>
      <c r="V342" s="13" t="n">
        <f aca="false">IF(COUNTIF($B$2:B342,B342)=1,1,0)</f>
        <v>0</v>
      </c>
      <c r="W342" s="13" t="n">
        <f aca="false">IF(COUNTIFS($B$2:B342,B342,$T$2:T342,T342)=1,1,0)</f>
        <v>0</v>
      </c>
    </row>
    <row r="343" customFormat="false" ht="15" hidden="false" customHeight="false" outlineLevel="0" collapsed="false">
      <c r="A343" s="13" t="s">
        <v>3198</v>
      </c>
      <c r="B343" s="13" t="s">
        <v>2136</v>
      </c>
      <c r="C343" s="13" t="n">
        <v>3700</v>
      </c>
      <c r="D343" s="13" t="n">
        <v>70</v>
      </c>
      <c r="E343" s="13" t="n">
        <v>54.7136764705882</v>
      </c>
      <c r="F343" s="13" t="s">
        <v>5288</v>
      </c>
      <c r="G343" s="13" t="s">
        <v>5289</v>
      </c>
      <c r="H343" s="13" t="s">
        <v>5289</v>
      </c>
      <c r="I343" s="13" t="s">
        <v>5292</v>
      </c>
      <c r="J343" s="13" t="s">
        <v>5289</v>
      </c>
      <c r="K343" s="13" t="s">
        <v>5289</v>
      </c>
      <c r="L343" s="13" t="s">
        <v>3197</v>
      </c>
      <c r="M343" s="13"/>
      <c r="N343" s="13" t="n">
        <v>7898390944034</v>
      </c>
      <c r="O343" s="13"/>
      <c r="P343" s="13" t="s">
        <v>5291</v>
      </c>
      <c r="Q343" s="13" t="s">
        <v>5289</v>
      </c>
      <c r="R343" s="13" t="s">
        <v>5292</v>
      </c>
      <c r="S343" s="13" t="s">
        <v>5293</v>
      </c>
      <c r="T343" s="13" t="s">
        <v>3</v>
      </c>
      <c r="U343" s="13" t="s">
        <v>85</v>
      </c>
      <c r="V343" s="13" t="n">
        <f aca="false">IF(COUNTIF($B$2:B343,B343)=1,1,0)</f>
        <v>0</v>
      </c>
      <c r="W343" s="13" t="n">
        <f aca="false">IF(COUNTIFS($B$2:B343,B343,$T$2:T343,T343)=1,1,0)</f>
        <v>0</v>
      </c>
    </row>
    <row r="344" customFormat="false" ht="15" hidden="false" customHeight="false" outlineLevel="0" collapsed="false">
      <c r="A344" s="13" t="s">
        <v>3202</v>
      </c>
      <c r="B344" s="13" t="s">
        <v>2095</v>
      </c>
      <c r="C344" s="13" t="n">
        <v>3700</v>
      </c>
      <c r="D344" s="13" t="n">
        <v>30</v>
      </c>
      <c r="E344" s="13" t="n">
        <v>123.132333333333</v>
      </c>
      <c r="F344" s="13" t="s">
        <v>5288</v>
      </c>
      <c r="G344" s="13" t="s">
        <v>5289</v>
      </c>
      <c r="H344" s="13" t="s">
        <v>5289</v>
      </c>
      <c r="I344" s="13" t="s">
        <v>5289</v>
      </c>
      <c r="J344" s="13" t="s">
        <v>5289</v>
      </c>
      <c r="K344" s="13" t="s">
        <v>5292</v>
      </c>
      <c r="L344" s="13" t="s">
        <v>5438</v>
      </c>
      <c r="M344" s="13"/>
      <c r="N344" s="13" t="n">
        <v>7898665431641</v>
      </c>
      <c r="O344" s="13"/>
      <c r="P344" s="13" t="s">
        <v>5291</v>
      </c>
      <c r="Q344" s="13" t="s">
        <v>5289</v>
      </c>
      <c r="R344" s="13" t="s">
        <v>5292</v>
      </c>
      <c r="S344" s="13" t="s">
        <v>5293</v>
      </c>
      <c r="T344" s="13" t="s">
        <v>3</v>
      </c>
      <c r="U344" s="13" t="s">
        <v>85</v>
      </c>
      <c r="V344" s="13" t="n">
        <f aca="false">IF(COUNTIF($B$2:B344,B344)=1,1,0)</f>
        <v>0</v>
      </c>
      <c r="W344" s="13" t="n">
        <f aca="false">IF(COUNTIFS($B$2:B344,B344,$T$2:T344,T344)=1,1,0)</f>
        <v>0</v>
      </c>
    </row>
    <row r="345" customFormat="false" ht="15" hidden="false" customHeight="false" outlineLevel="0" collapsed="false">
      <c r="A345" s="13" t="s">
        <v>3204</v>
      </c>
      <c r="B345" s="13" t="s">
        <v>2159</v>
      </c>
      <c r="C345" s="13" t="n">
        <v>3700</v>
      </c>
      <c r="D345" s="13" t="n">
        <v>30</v>
      </c>
      <c r="E345" s="13" t="n">
        <v>126.68275862069</v>
      </c>
      <c r="F345" s="13" t="s">
        <v>5288</v>
      </c>
      <c r="G345" s="13" t="s">
        <v>5289</v>
      </c>
      <c r="H345" s="13" t="s">
        <v>5289</v>
      </c>
      <c r="I345" s="13" t="s">
        <v>5289</v>
      </c>
      <c r="J345" s="13" t="s">
        <v>5289</v>
      </c>
      <c r="K345" s="13" t="s">
        <v>5292</v>
      </c>
      <c r="L345" s="13" t="s">
        <v>5439</v>
      </c>
      <c r="M345" s="13"/>
      <c r="N345" s="13" t="n">
        <v>749355833726</v>
      </c>
      <c r="O345" s="13"/>
      <c r="P345" s="13" t="s">
        <v>5297</v>
      </c>
      <c r="Q345" s="13" t="s">
        <v>5289</v>
      </c>
      <c r="R345" s="13" t="s">
        <v>5292</v>
      </c>
      <c r="S345" s="13" t="s">
        <v>5293</v>
      </c>
      <c r="T345" s="13" t="s">
        <v>3</v>
      </c>
      <c r="U345" s="13" t="s">
        <v>43</v>
      </c>
      <c r="V345" s="13" t="n">
        <f aca="false">IF(COUNTIF($B$2:B345,B345)=1,1,0)</f>
        <v>0</v>
      </c>
      <c r="W345" s="13" t="n">
        <f aca="false">IF(COUNTIFS($B$2:B345,B345,$T$2:T345,T345)=1,1,0)</f>
        <v>0</v>
      </c>
    </row>
    <row r="346" customFormat="false" ht="15" hidden="false" customHeight="false" outlineLevel="0" collapsed="false">
      <c r="A346" s="13" t="s">
        <v>633</v>
      </c>
      <c r="B346" s="13" t="s">
        <v>179</v>
      </c>
      <c r="C346" s="13" t="n">
        <v>3700</v>
      </c>
      <c r="D346" s="13" t="n">
        <v>10</v>
      </c>
      <c r="E346" s="13" t="n">
        <v>281.692307692308</v>
      </c>
      <c r="F346" s="13" t="s">
        <v>5325</v>
      </c>
      <c r="G346" s="13" t="s">
        <v>5289</v>
      </c>
      <c r="H346" s="13" t="s">
        <v>5289</v>
      </c>
      <c r="I346" s="13" t="s">
        <v>5289</v>
      </c>
      <c r="J346" s="13" t="s">
        <v>5289</v>
      </c>
      <c r="K346" s="13" t="s">
        <v>5292</v>
      </c>
      <c r="L346" s="13" t="s">
        <v>3196</v>
      </c>
      <c r="M346" s="13"/>
      <c r="N346" s="13" t="n">
        <v>7908992003449</v>
      </c>
      <c r="O346" s="13"/>
      <c r="P346" s="13" t="s">
        <v>5291</v>
      </c>
      <c r="Q346" s="13" t="s">
        <v>5289</v>
      </c>
      <c r="R346" s="13" t="s">
        <v>5292</v>
      </c>
      <c r="S346" s="13" t="s">
        <v>5293</v>
      </c>
      <c r="T346" s="13" t="s">
        <v>3</v>
      </c>
      <c r="U346" s="13" t="s">
        <v>180</v>
      </c>
      <c r="V346" s="13" t="n">
        <f aca="false">IF(COUNTIF($B$2:B346,B346)=1,1,0)</f>
        <v>0</v>
      </c>
      <c r="W346" s="13" t="n">
        <f aca="false">IF(COUNTIFS($B$2:B346,B346,$T$2:T346,T346)=1,1,0)</f>
        <v>0</v>
      </c>
    </row>
    <row r="347" customFormat="false" ht="15" hidden="false" customHeight="false" outlineLevel="0" collapsed="false">
      <c r="A347" s="13" t="s">
        <v>3206</v>
      </c>
      <c r="B347" s="13" t="s">
        <v>2101</v>
      </c>
      <c r="C347" s="13" t="n">
        <v>3700</v>
      </c>
      <c r="D347" s="13" t="n">
        <v>60</v>
      </c>
      <c r="E347" s="13" t="n">
        <v>64.0468421052632</v>
      </c>
      <c r="F347" s="13" t="s">
        <v>5288</v>
      </c>
      <c r="G347" s="13" t="s">
        <v>5289</v>
      </c>
      <c r="H347" s="13" t="s">
        <v>5289</v>
      </c>
      <c r="I347" s="13" t="s">
        <v>5292</v>
      </c>
      <c r="J347" s="13" t="s">
        <v>5289</v>
      </c>
      <c r="K347" s="13" t="s">
        <v>5292</v>
      </c>
      <c r="L347" s="13" t="s">
        <v>3205</v>
      </c>
      <c r="M347" s="13"/>
      <c r="N347" s="13" t="n">
        <v>7908412523564</v>
      </c>
      <c r="O347" s="13"/>
      <c r="P347" s="13" t="s">
        <v>5291</v>
      </c>
      <c r="Q347" s="13" t="s">
        <v>5289</v>
      </c>
      <c r="R347" s="13" t="s">
        <v>5292</v>
      </c>
      <c r="S347" s="13" t="s">
        <v>5293</v>
      </c>
      <c r="T347" s="13" t="s">
        <v>3</v>
      </c>
      <c r="U347" s="13" t="s">
        <v>85</v>
      </c>
      <c r="V347" s="13" t="n">
        <f aca="false">IF(COUNTIF($B$2:B347,B347)=1,1,0)</f>
        <v>0</v>
      </c>
      <c r="W347" s="13" t="n">
        <f aca="false">IF(COUNTIFS($B$2:B347,B347,$T$2:T347,T347)=1,1,0)</f>
        <v>0</v>
      </c>
    </row>
    <row r="348" customFormat="false" ht="15" hidden="false" customHeight="false" outlineLevel="0" collapsed="false">
      <c r="A348" s="13" t="s">
        <v>645</v>
      </c>
      <c r="B348" s="13" t="s">
        <v>191</v>
      </c>
      <c r="C348" s="13" t="n">
        <v>3600</v>
      </c>
      <c r="D348" s="13" t="n">
        <v>30</v>
      </c>
      <c r="E348" s="13" t="n">
        <v>134.423703703704</v>
      </c>
      <c r="F348" s="13" t="s">
        <v>5288</v>
      </c>
      <c r="G348" s="13" t="s">
        <v>5289</v>
      </c>
      <c r="H348" s="13" t="s">
        <v>5289</v>
      </c>
      <c r="I348" s="13" t="s">
        <v>5289</v>
      </c>
      <c r="J348" s="13" t="s">
        <v>5289</v>
      </c>
      <c r="K348" s="13" t="s">
        <v>5292</v>
      </c>
      <c r="L348" s="13" t="s">
        <v>3189</v>
      </c>
      <c r="M348" s="13"/>
      <c r="N348" s="13" t="n">
        <v>7896768497076</v>
      </c>
      <c r="O348" s="13"/>
      <c r="P348" s="13" t="s">
        <v>5291</v>
      </c>
      <c r="Q348" s="13" t="s">
        <v>5289</v>
      </c>
      <c r="R348" s="13" t="s">
        <v>5292</v>
      </c>
      <c r="S348" s="13" t="s">
        <v>5293</v>
      </c>
      <c r="T348" s="13" t="s">
        <v>3</v>
      </c>
      <c r="U348" s="13" t="s">
        <v>183</v>
      </c>
      <c r="V348" s="13" t="n">
        <f aca="false">IF(COUNTIF($B$2:B348,B348)=1,1,0)</f>
        <v>0</v>
      </c>
      <c r="W348" s="13" t="n">
        <f aca="false">IF(COUNTIFS($B$2:B348,B348,$T$2:T348,T348)=1,1,0)</f>
        <v>0</v>
      </c>
    </row>
    <row r="349" customFormat="false" ht="15" hidden="false" customHeight="false" outlineLevel="0" collapsed="false">
      <c r="A349" s="13" t="s">
        <v>3220</v>
      </c>
      <c r="B349" s="13" t="s">
        <v>2173</v>
      </c>
      <c r="C349" s="13" t="n">
        <v>3600</v>
      </c>
      <c r="D349" s="13" t="n">
        <v>20</v>
      </c>
      <c r="E349" s="13" t="n">
        <v>240.49</v>
      </c>
      <c r="F349" s="13" t="s">
        <v>5288</v>
      </c>
      <c r="G349" s="13" t="s">
        <v>5289</v>
      </c>
      <c r="H349" s="13" t="s">
        <v>5289</v>
      </c>
      <c r="I349" s="13" t="s">
        <v>5289</v>
      </c>
      <c r="J349" s="13" t="s">
        <v>5289</v>
      </c>
      <c r="K349" s="13" t="s">
        <v>5289</v>
      </c>
      <c r="L349" s="13" t="s">
        <v>3219</v>
      </c>
      <c r="M349" s="13"/>
      <c r="N349" s="13" t="n">
        <v>7896558460426</v>
      </c>
      <c r="O349" s="13"/>
      <c r="P349" s="13" t="s">
        <v>5297</v>
      </c>
      <c r="Q349" s="13" t="s">
        <v>5289</v>
      </c>
      <c r="R349" s="13" t="s">
        <v>5292</v>
      </c>
      <c r="S349" s="13" t="s">
        <v>5293</v>
      </c>
      <c r="T349" s="13" t="s">
        <v>3</v>
      </c>
      <c r="U349" s="13" t="s">
        <v>85</v>
      </c>
      <c r="V349" s="13" t="n">
        <f aca="false">IF(COUNTIF($B$2:B349,B349)=1,1,0)</f>
        <v>1</v>
      </c>
      <c r="W349" s="13" t="n">
        <f aca="false">IF(COUNTIFS($B$2:B349,B349,$T$2:T349,T349)=1,1,0)</f>
        <v>1</v>
      </c>
    </row>
    <row r="350" customFormat="false" ht="15" hidden="false" customHeight="false" outlineLevel="0" collapsed="false">
      <c r="A350" s="13" t="s">
        <v>637</v>
      </c>
      <c r="B350" s="13" t="s">
        <v>179</v>
      </c>
      <c r="C350" s="13" t="n">
        <v>3600</v>
      </c>
      <c r="D350" s="13" t="n">
        <v>30</v>
      </c>
      <c r="E350" s="13" t="n">
        <v>119.99</v>
      </c>
      <c r="F350" s="13" t="s">
        <v>5325</v>
      </c>
      <c r="G350" s="13" t="s">
        <v>5289</v>
      </c>
      <c r="H350" s="13" t="s">
        <v>5289</v>
      </c>
      <c r="I350" s="13" t="s">
        <v>5289</v>
      </c>
      <c r="J350" s="13" t="s">
        <v>5289</v>
      </c>
      <c r="K350" s="13" t="s">
        <v>5292</v>
      </c>
      <c r="L350" s="13" t="s">
        <v>3215</v>
      </c>
      <c r="M350" s="13"/>
      <c r="N350" s="13" t="n">
        <v>7908005300763</v>
      </c>
      <c r="O350" s="13"/>
      <c r="P350" s="13" t="s">
        <v>5291</v>
      </c>
      <c r="Q350" s="13" t="s">
        <v>5289</v>
      </c>
      <c r="R350" s="13" t="s">
        <v>5292</v>
      </c>
      <c r="S350" s="13" t="s">
        <v>5293</v>
      </c>
      <c r="T350" s="13" t="s">
        <v>3</v>
      </c>
      <c r="U350" s="13" t="s">
        <v>180</v>
      </c>
      <c r="V350" s="13" t="n">
        <f aca="false">IF(COUNTIF($B$2:B350,B350)=1,1,0)</f>
        <v>0</v>
      </c>
      <c r="W350" s="13" t="n">
        <f aca="false">IF(COUNTIFS($B$2:B350,B350,$T$2:T350,T350)=1,1,0)</f>
        <v>0</v>
      </c>
    </row>
    <row r="351" customFormat="false" ht="15" hidden="false" customHeight="false" outlineLevel="0" collapsed="false">
      <c r="A351" s="13" t="s">
        <v>647</v>
      </c>
      <c r="B351" s="13" t="s">
        <v>179</v>
      </c>
      <c r="C351" s="13" t="n">
        <v>3600</v>
      </c>
      <c r="D351" s="13" t="n">
        <v>30</v>
      </c>
      <c r="E351" s="13" t="n">
        <v>115.612903225806</v>
      </c>
      <c r="F351" s="13" t="s">
        <v>5325</v>
      </c>
      <c r="G351" s="13" t="s">
        <v>5289</v>
      </c>
      <c r="H351" s="13" t="s">
        <v>5289</v>
      </c>
      <c r="I351" s="13" t="s">
        <v>5289</v>
      </c>
      <c r="J351" s="13" t="s">
        <v>5289</v>
      </c>
      <c r="K351" s="13" t="s">
        <v>5292</v>
      </c>
      <c r="L351" s="13" t="s">
        <v>3216</v>
      </c>
      <c r="M351" s="13"/>
      <c r="N351" s="13" t="n">
        <v>7908005320587</v>
      </c>
      <c r="O351" s="13"/>
      <c r="P351" s="13" t="s">
        <v>5291</v>
      </c>
      <c r="Q351" s="13" t="s">
        <v>5289</v>
      </c>
      <c r="R351" s="13" t="s">
        <v>5292</v>
      </c>
      <c r="S351" s="13" t="s">
        <v>5293</v>
      </c>
      <c r="T351" s="13" t="s">
        <v>3</v>
      </c>
      <c r="U351" s="13" t="s">
        <v>180</v>
      </c>
      <c r="V351" s="13" t="n">
        <f aca="false">IF(COUNTIF($B$2:B351,B351)=1,1,0)</f>
        <v>0</v>
      </c>
      <c r="W351" s="13" t="n">
        <f aca="false">IF(COUNTIFS($B$2:B351,B351,$T$2:T351,T351)=1,1,0)</f>
        <v>0</v>
      </c>
    </row>
    <row r="352" customFormat="false" ht="15" hidden="false" customHeight="false" outlineLevel="0" collapsed="false">
      <c r="A352" s="13" t="s">
        <v>3245</v>
      </c>
      <c r="B352" s="13" t="s">
        <v>2146</v>
      </c>
      <c r="C352" s="13" t="n">
        <v>3500</v>
      </c>
      <c r="D352" s="13" t="n">
        <v>90</v>
      </c>
      <c r="E352" s="13" t="n">
        <v>37.64</v>
      </c>
      <c r="F352" s="13" t="s">
        <v>5288</v>
      </c>
      <c r="G352" s="13" t="s">
        <v>5289</v>
      </c>
      <c r="H352" s="13" t="s">
        <v>5289</v>
      </c>
      <c r="I352" s="13" t="s">
        <v>5292</v>
      </c>
      <c r="J352" s="13" t="s">
        <v>5289</v>
      </c>
      <c r="K352" s="13" t="s">
        <v>5292</v>
      </c>
      <c r="L352" s="13" t="s">
        <v>3244</v>
      </c>
      <c r="M352" s="13"/>
      <c r="N352" s="13" t="n">
        <v>7896046700669</v>
      </c>
      <c r="O352" s="13"/>
      <c r="P352" s="13" t="s">
        <v>5291</v>
      </c>
      <c r="Q352" s="13" t="s">
        <v>5289</v>
      </c>
      <c r="R352" s="13" t="s">
        <v>5292</v>
      </c>
      <c r="S352" s="13" t="s">
        <v>5293</v>
      </c>
      <c r="T352" s="13" t="s">
        <v>3</v>
      </c>
      <c r="U352" s="13" t="s">
        <v>85</v>
      </c>
      <c r="V352" s="13" t="n">
        <f aca="false">IF(COUNTIF($B$2:B352,B352)=1,1,0)</f>
        <v>1</v>
      </c>
      <c r="W352" s="13" t="n">
        <f aca="false">IF(COUNTIFS($B$2:B352,B352,$T$2:T352,T352)=1,1,0)</f>
        <v>1</v>
      </c>
    </row>
    <row r="353" customFormat="false" ht="15" hidden="false" customHeight="false" outlineLevel="0" collapsed="false">
      <c r="A353" s="13" t="s">
        <v>3238</v>
      </c>
      <c r="B353" s="13" t="s">
        <v>2096</v>
      </c>
      <c r="C353" s="13" t="n">
        <v>3500</v>
      </c>
      <c r="D353" s="13" t="n">
        <v>60</v>
      </c>
      <c r="E353" s="13" t="n">
        <v>60.99</v>
      </c>
      <c r="F353" s="13" t="s">
        <v>5288</v>
      </c>
      <c r="G353" s="13" t="s">
        <v>5289</v>
      </c>
      <c r="H353" s="13" t="s">
        <v>5289</v>
      </c>
      <c r="I353" s="13" t="s">
        <v>5292</v>
      </c>
      <c r="J353" s="13" t="s">
        <v>5289</v>
      </c>
      <c r="K353" s="13" t="s">
        <v>5292</v>
      </c>
      <c r="L353" s="13" t="s">
        <v>3237</v>
      </c>
      <c r="M353" s="13"/>
      <c r="N353" s="13" t="n">
        <v>7891033518340</v>
      </c>
      <c r="O353" s="13"/>
      <c r="P353" s="13" t="s">
        <v>5297</v>
      </c>
      <c r="Q353" s="13" t="s">
        <v>5289</v>
      </c>
      <c r="R353" s="13" t="s">
        <v>5292</v>
      </c>
      <c r="S353" s="13" t="s">
        <v>5293</v>
      </c>
      <c r="T353" s="13" t="s">
        <v>3</v>
      </c>
      <c r="U353" s="13" t="s">
        <v>43</v>
      </c>
      <c r="V353" s="13" t="n">
        <f aca="false">IF(COUNTIF($B$2:B353,B353)=1,1,0)</f>
        <v>0</v>
      </c>
      <c r="W353" s="13" t="n">
        <f aca="false">IF(COUNTIFS($B$2:B353,B353,$T$2:T353,T353)=1,1,0)</f>
        <v>0</v>
      </c>
    </row>
    <row r="354" customFormat="false" ht="15" hidden="false" customHeight="false" outlineLevel="0" collapsed="false">
      <c r="A354" s="13" t="s">
        <v>5440</v>
      </c>
      <c r="B354" s="13" t="s">
        <v>2154</v>
      </c>
      <c r="C354" s="13" t="n">
        <v>3500</v>
      </c>
      <c r="D354" s="13" t="n">
        <v>5</v>
      </c>
      <c r="E354" s="13" t="n">
        <v>349.99</v>
      </c>
      <c r="F354" s="13" t="s">
        <v>5288</v>
      </c>
      <c r="G354" s="13" t="s">
        <v>5289</v>
      </c>
      <c r="H354" s="13" t="s">
        <v>5289</v>
      </c>
      <c r="I354" s="13" t="s">
        <v>5289</v>
      </c>
      <c r="J354" s="13" t="s">
        <v>5289</v>
      </c>
      <c r="K354" s="13" t="s">
        <v>5292</v>
      </c>
      <c r="L354" s="13"/>
      <c r="M354" s="13"/>
      <c r="N354" s="13"/>
      <c r="O354" s="13"/>
      <c r="P354" s="13" t="s">
        <v>5291</v>
      </c>
      <c r="Q354" s="13" t="s">
        <v>5289</v>
      </c>
      <c r="R354" s="13" t="s">
        <v>5292</v>
      </c>
      <c r="S354" s="13" t="s">
        <v>5293</v>
      </c>
      <c r="T354" s="13" t="s">
        <v>3</v>
      </c>
      <c r="U354" s="13" t="s">
        <v>43</v>
      </c>
      <c r="V354" s="13" t="n">
        <f aca="false">IF(COUNTIF($B$2:B354,B354)=1,1,0)</f>
        <v>1</v>
      </c>
      <c r="W354" s="13" t="n">
        <f aca="false">IF(COUNTIFS($B$2:B354,B354,$T$2:T354,T354)=1,1,0)</f>
        <v>1</v>
      </c>
    </row>
    <row r="355" customFormat="false" ht="15" hidden="false" customHeight="false" outlineLevel="0" collapsed="false">
      <c r="A355" s="13" t="s">
        <v>3243</v>
      </c>
      <c r="B355" s="13" t="s">
        <v>2196</v>
      </c>
      <c r="C355" s="13" t="n">
        <v>3500</v>
      </c>
      <c r="D355" s="13" t="n">
        <v>30</v>
      </c>
      <c r="E355" s="13" t="n">
        <v>105.535757575758</v>
      </c>
      <c r="F355" s="13" t="s">
        <v>5288</v>
      </c>
      <c r="G355" s="13" t="s">
        <v>5289</v>
      </c>
      <c r="H355" s="13" t="s">
        <v>5289</v>
      </c>
      <c r="I355" s="13" t="s">
        <v>5289</v>
      </c>
      <c r="J355" s="13" t="s">
        <v>5289</v>
      </c>
      <c r="K355" s="13" t="s">
        <v>5292</v>
      </c>
      <c r="L355" s="13" t="s">
        <v>3242</v>
      </c>
      <c r="M355" s="13"/>
      <c r="N355" s="13" t="n">
        <v>7898967229021</v>
      </c>
      <c r="O355" s="13"/>
      <c r="P355" s="13" t="s">
        <v>5291</v>
      </c>
      <c r="Q355" s="13" t="s">
        <v>5289</v>
      </c>
      <c r="R355" s="13" t="s">
        <v>5292</v>
      </c>
      <c r="S355" s="13" t="s">
        <v>5293</v>
      </c>
      <c r="T355" s="13" t="s">
        <v>3</v>
      </c>
      <c r="U355" s="13" t="s">
        <v>183</v>
      </c>
      <c r="V355" s="13" t="n">
        <f aca="false">IF(COUNTIF($B$2:B355,B355)=1,1,0)</f>
        <v>1</v>
      </c>
      <c r="W355" s="13" t="n">
        <f aca="false">IF(COUNTIFS($B$2:B355,B355,$T$2:T355,T355)=1,1,0)</f>
        <v>1</v>
      </c>
    </row>
    <row r="356" customFormat="false" ht="15" hidden="false" customHeight="false" outlineLevel="0" collapsed="false">
      <c r="A356" s="13" t="s">
        <v>651</v>
      </c>
      <c r="B356" s="13" t="s">
        <v>111</v>
      </c>
      <c r="C356" s="13" t="n">
        <v>3500</v>
      </c>
      <c r="D356" s="13" t="n">
        <v>10</v>
      </c>
      <c r="E356" s="13" t="n">
        <v>289.99</v>
      </c>
      <c r="F356" s="13" t="s">
        <v>5288</v>
      </c>
      <c r="G356" s="13" t="s">
        <v>5289</v>
      </c>
      <c r="H356" s="13" t="s">
        <v>5289</v>
      </c>
      <c r="I356" s="13" t="s">
        <v>5289</v>
      </c>
      <c r="J356" s="13" t="s">
        <v>5289</v>
      </c>
      <c r="K356" s="13" t="s">
        <v>5292</v>
      </c>
      <c r="L356" s="13" t="s">
        <v>5330</v>
      </c>
      <c r="M356" s="13"/>
      <c r="N356" s="13" t="n">
        <v>3595471081032</v>
      </c>
      <c r="O356" s="13"/>
      <c r="P356" s="13" t="s">
        <v>5291</v>
      </c>
      <c r="Q356" s="13" t="s">
        <v>5289</v>
      </c>
      <c r="R356" s="13" t="s">
        <v>5292</v>
      </c>
      <c r="S356" s="13" t="s">
        <v>5293</v>
      </c>
      <c r="T356" s="13" t="s">
        <v>3</v>
      </c>
      <c r="U356" s="13" t="s">
        <v>43</v>
      </c>
      <c r="V356" s="13" t="n">
        <f aca="false">IF(COUNTIF($B$2:B356,B356)=1,1,0)</f>
        <v>0</v>
      </c>
      <c r="W356" s="13" t="n">
        <f aca="false">IF(COUNTIFS($B$2:B356,B356,$T$2:T356,T356)=1,1,0)</f>
        <v>0</v>
      </c>
    </row>
    <row r="357" customFormat="false" ht="15" hidden="false" customHeight="false" outlineLevel="0" collapsed="false">
      <c r="A357" s="13" t="s">
        <v>512</v>
      </c>
      <c r="B357" s="13" t="s">
        <v>195</v>
      </c>
      <c r="C357" s="13" t="n">
        <v>3500</v>
      </c>
      <c r="D357" s="13" t="n">
        <v>5</v>
      </c>
      <c r="E357" s="13" t="n">
        <v>386.403333333333</v>
      </c>
      <c r="F357" s="13" t="s">
        <v>5288</v>
      </c>
      <c r="G357" s="13" t="s">
        <v>5289</v>
      </c>
      <c r="H357" s="13" t="s">
        <v>5289</v>
      </c>
      <c r="I357" s="13" t="s">
        <v>5289</v>
      </c>
      <c r="J357" s="13" t="s">
        <v>5289</v>
      </c>
      <c r="K357" s="13" t="s">
        <v>5289</v>
      </c>
      <c r="L357" s="13" t="s">
        <v>2759</v>
      </c>
      <c r="M357" s="13"/>
      <c r="N357" s="13" t="n">
        <v>3614227693241</v>
      </c>
      <c r="O357" s="13"/>
      <c r="P357" s="13" t="s">
        <v>5297</v>
      </c>
      <c r="Q357" s="13" t="s">
        <v>5289</v>
      </c>
      <c r="R357" s="13" t="s">
        <v>5292</v>
      </c>
      <c r="S357" s="13" t="s">
        <v>5293</v>
      </c>
      <c r="T357" s="13" t="s">
        <v>3</v>
      </c>
      <c r="U357" s="13" t="s">
        <v>43</v>
      </c>
      <c r="V357" s="13" t="n">
        <f aca="false">IF(COUNTIF($B$2:B357,B357)=1,1,0)</f>
        <v>0</v>
      </c>
      <c r="W357" s="13" t="n">
        <f aca="false">IF(COUNTIFS($B$2:B357,B357,$T$2:T357,T357)=1,1,0)</f>
        <v>0</v>
      </c>
    </row>
    <row r="358" customFormat="false" ht="15" hidden="false" customHeight="false" outlineLevel="0" collapsed="false">
      <c r="A358" s="13" t="s">
        <v>650</v>
      </c>
      <c r="B358" s="13" t="s">
        <v>135</v>
      </c>
      <c r="C358" s="13" t="n">
        <v>3500</v>
      </c>
      <c r="D358" s="13" t="n">
        <v>10</v>
      </c>
      <c r="E358" s="13" t="n">
        <v>315.94</v>
      </c>
      <c r="F358" s="13" t="s">
        <v>5288</v>
      </c>
      <c r="G358" s="13" t="s">
        <v>5289</v>
      </c>
      <c r="H358" s="13" t="s">
        <v>5289</v>
      </c>
      <c r="I358" s="13" t="s">
        <v>5289</v>
      </c>
      <c r="J358" s="13" t="s">
        <v>5289</v>
      </c>
      <c r="K358" s="13" t="s">
        <v>5292</v>
      </c>
      <c r="L358" s="13" t="s">
        <v>3239</v>
      </c>
      <c r="M358" s="13"/>
      <c r="N358" s="13" t="n">
        <v>7896873179904</v>
      </c>
      <c r="O358" s="13"/>
      <c r="P358" s="13" t="s">
        <v>5297</v>
      </c>
      <c r="Q358" s="13" t="s">
        <v>5289</v>
      </c>
      <c r="R358" s="13" t="s">
        <v>5292</v>
      </c>
      <c r="S358" s="13" t="s">
        <v>5293</v>
      </c>
      <c r="T358" s="13" t="s">
        <v>3</v>
      </c>
      <c r="U358" s="13" t="s">
        <v>129</v>
      </c>
      <c r="V358" s="13" t="n">
        <f aca="false">IF(COUNTIF($B$2:B358,B358)=1,1,0)</f>
        <v>0</v>
      </c>
      <c r="W358" s="13" t="n">
        <f aca="false">IF(COUNTIFS($B$2:B358,B358,$T$2:T358,T358)=1,1,0)</f>
        <v>0</v>
      </c>
    </row>
    <row r="359" customFormat="false" ht="15" hidden="false" customHeight="false" outlineLevel="0" collapsed="false">
      <c r="A359" s="13" t="s">
        <v>5321</v>
      </c>
      <c r="B359" s="13" t="s">
        <v>2096</v>
      </c>
      <c r="C359" s="13" t="n">
        <v>3400</v>
      </c>
      <c r="D359" s="13" t="n">
        <v>30</v>
      </c>
      <c r="E359" s="13" t="n">
        <v>106.62875</v>
      </c>
      <c r="F359" s="13" t="s">
        <v>5288</v>
      </c>
      <c r="G359" s="13" t="s">
        <v>5289</v>
      </c>
      <c r="H359" s="13" t="s">
        <v>5292</v>
      </c>
      <c r="I359" s="13" t="s">
        <v>5289</v>
      </c>
      <c r="J359" s="13" t="s">
        <v>5289</v>
      </c>
      <c r="K359" s="13" t="s">
        <v>5292</v>
      </c>
      <c r="L359" s="13" t="s">
        <v>5322</v>
      </c>
      <c r="M359" s="13"/>
      <c r="N359" s="13"/>
      <c r="O359" s="13"/>
      <c r="P359" s="13" t="s">
        <v>5291</v>
      </c>
      <c r="Q359" s="13" t="s">
        <v>5289</v>
      </c>
      <c r="R359" s="13" t="s">
        <v>5292</v>
      </c>
      <c r="S359" s="13" t="s">
        <v>5293</v>
      </c>
      <c r="T359" s="13" t="s">
        <v>3</v>
      </c>
      <c r="U359" s="13" t="s">
        <v>43</v>
      </c>
      <c r="V359" s="13" t="n">
        <f aca="false">IF(COUNTIF($B$2:B359,B359)=1,1,0)</f>
        <v>0</v>
      </c>
      <c r="W359" s="13" t="n">
        <f aca="false">IF(COUNTIFS($B$2:B359,B359,$T$2:T359,T359)=1,1,0)</f>
        <v>0</v>
      </c>
    </row>
    <row r="360" customFormat="false" ht="15" hidden="false" customHeight="false" outlineLevel="0" collapsed="false">
      <c r="A360" s="13" t="s">
        <v>3263</v>
      </c>
      <c r="B360" s="13" t="s">
        <v>2152</v>
      </c>
      <c r="C360" s="13" t="n">
        <v>3400</v>
      </c>
      <c r="D360" s="13" t="n">
        <v>20</v>
      </c>
      <c r="E360" s="13" t="n">
        <v>179.481578947368</v>
      </c>
      <c r="F360" s="13" t="s">
        <v>5288</v>
      </c>
      <c r="G360" s="13" t="s">
        <v>5289</v>
      </c>
      <c r="H360" s="13" t="s">
        <v>5289</v>
      </c>
      <c r="I360" s="13" t="s">
        <v>5289</v>
      </c>
      <c r="J360" s="13" t="s">
        <v>5289</v>
      </c>
      <c r="K360" s="13" t="s">
        <v>5289</v>
      </c>
      <c r="L360" s="13" t="s">
        <v>3262</v>
      </c>
      <c r="M360" s="13"/>
      <c r="N360" s="13" t="n">
        <v>6290171073796</v>
      </c>
      <c r="O360" s="13"/>
      <c r="P360" s="13" t="s">
        <v>5291</v>
      </c>
      <c r="Q360" s="13" t="s">
        <v>5289</v>
      </c>
      <c r="R360" s="13" t="s">
        <v>5292</v>
      </c>
      <c r="S360" s="13" t="s">
        <v>5293</v>
      </c>
      <c r="T360" s="13" t="s">
        <v>3</v>
      </c>
      <c r="U360" s="13" t="s">
        <v>43</v>
      </c>
      <c r="V360" s="13" t="n">
        <f aca="false">IF(COUNTIF($B$2:B360,B360)=1,1,0)</f>
        <v>1</v>
      </c>
      <c r="W360" s="13" t="n">
        <f aca="false">IF(COUNTIFS($B$2:B360,B360,$T$2:T360,T360)=1,1,0)</f>
        <v>1</v>
      </c>
    </row>
    <row r="361" customFormat="false" ht="15" hidden="false" customHeight="false" outlineLevel="0" collapsed="false">
      <c r="A361" s="13" t="s">
        <v>3275</v>
      </c>
      <c r="B361" s="13" t="s">
        <v>2141</v>
      </c>
      <c r="C361" s="13" t="n">
        <v>3400</v>
      </c>
      <c r="D361" s="13" t="n">
        <v>50</v>
      </c>
      <c r="E361" s="13" t="n">
        <v>69.5</v>
      </c>
      <c r="F361" s="13" t="s">
        <v>5288</v>
      </c>
      <c r="G361" s="13" t="s">
        <v>5289</v>
      </c>
      <c r="H361" s="13" t="s">
        <v>5289</v>
      </c>
      <c r="I361" s="13" t="s">
        <v>5292</v>
      </c>
      <c r="J361" s="13" t="s">
        <v>5289</v>
      </c>
      <c r="K361" s="13" t="s">
        <v>5292</v>
      </c>
      <c r="L361" s="13" t="s">
        <v>3274</v>
      </c>
      <c r="M361" s="13"/>
      <c r="N361" s="13" t="n">
        <v>5055810028640</v>
      </c>
      <c r="O361" s="13"/>
      <c r="P361" s="13" t="s">
        <v>5291</v>
      </c>
      <c r="Q361" s="13" t="s">
        <v>5289</v>
      </c>
      <c r="R361" s="13" t="s">
        <v>5292</v>
      </c>
      <c r="S361" s="13" t="s">
        <v>5293</v>
      </c>
      <c r="T361" s="13" t="s">
        <v>3</v>
      </c>
      <c r="U361" s="13" t="s">
        <v>43</v>
      </c>
      <c r="V361" s="13" t="n">
        <f aca="false">IF(COUNTIF($B$2:B361,B361)=1,1,0)</f>
        <v>0</v>
      </c>
      <c r="W361" s="13" t="n">
        <f aca="false">IF(COUNTIFS($B$2:B361,B361,$T$2:T361,T361)=1,1,0)</f>
        <v>0</v>
      </c>
    </row>
    <row r="362" customFormat="false" ht="15" hidden="false" customHeight="false" outlineLevel="0" collapsed="false">
      <c r="A362" s="13" t="s">
        <v>668</v>
      </c>
      <c r="B362" s="13" t="s">
        <v>74</v>
      </c>
      <c r="C362" s="13" t="n">
        <v>3400</v>
      </c>
      <c r="D362" s="13" t="n">
        <v>20</v>
      </c>
      <c r="E362" s="13" t="n">
        <v>189</v>
      </c>
      <c r="F362" s="13" t="s">
        <v>5288</v>
      </c>
      <c r="G362" s="13" t="s">
        <v>5289</v>
      </c>
      <c r="H362" s="13" t="s">
        <v>5289</v>
      </c>
      <c r="I362" s="13" t="s">
        <v>5289</v>
      </c>
      <c r="J362" s="13" t="s">
        <v>5289</v>
      </c>
      <c r="K362" s="13" t="s">
        <v>5289</v>
      </c>
      <c r="L362" s="13" t="s">
        <v>5441</v>
      </c>
      <c r="M362" s="13"/>
      <c r="N362" s="13" t="n">
        <v>7.19346094665764E+024</v>
      </c>
      <c r="O362" s="13"/>
      <c r="P362" s="13" t="s">
        <v>5291</v>
      </c>
      <c r="Q362" s="13" t="s">
        <v>5289</v>
      </c>
      <c r="R362" s="13" t="s">
        <v>5292</v>
      </c>
      <c r="S362" s="13" t="s">
        <v>5293</v>
      </c>
      <c r="T362" s="13" t="s">
        <v>3</v>
      </c>
      <c r="U362" s="13" t="s">
        <v>43</v>
      </c>
      <c r="V362" s="13" t="n">
        <f aca="false">IF(COUNTIF($B$2:B362,B362)=1,1,0)</f>
        <v>0</v>
      </c>
      <c r="W362" s="13" t="n">
        <f aca="false">IF(COUNTIFS($B$2:B362,B362,$T$2:T362,T362)=1,1,0)</f>
        <v>0</v>
      </c>
    </row>
    <row r="363" customFormat="false" ht="15" hidden="false" customHeight="false" outlineLevel="0" collapsed="false">
      <c r="A363" s="13" t="s">
        <v>665</v>
      </c>
      <c r="B363" s="13" t="s">
        <v>270</v>
      </c>
      <c r="C363" s="13" t="n">
        <v>3400</v>
      </c>
      <c r="D363" s="13" t="n">
        <v>10</v>
      </c>
      <c r="E363" s="13" t="n">
        <v>260.740769230769</v>
      </c>
      <c r="F363" s="13" t="s">
        <v>5288</v>
      </c>
      <c r="G363" s="13" t="s">
        <v>5289</v>
      </c>
      <c r="H363" s="13" t="s">
        <v>5289</v>
      </c>
      <c r="I363" s="13" t="s">
        <v>5289</v>
      </c>
      <c r="J363" s="13" t="s">
        <v>5289</v>
      </c>
      <c r="K363" s="13" t="s">
        <v>5289</v>
      </c>
      <c r="L363" s="13" t="s">
        <v>3187</v>
      </c>
      <c r="M363" s="13"/>
      <c r="N363" s="13" t="n">
        <v>878813000063</v>
      </c>
      <c r="O363" s="13"/>
      <c r="P363" s="13" t="s">
        <v>5304</v>
      </c>
      <c r="Q363" s="13" t="s">
        <v>5289</v>
      </c>
      <c r="R363" s="13" t="s">
        <v>5292</v>
      </c>
      <c r="S363" s="13" t="s">
        <v>5293</v>
      </c>
      <c r="T363" s="13" t="s">
        <v>3</v>
      </c>
      <c r="U363" s="13" t="s">
        <v>43</v>
      </c>
      <c r="V363" s="13" t="n">
        <f aca="false">IF(COUNTIF($B$2:B363,B363)=1,1,0)</f>
        <v>0</v>
      </c>
      <c r="W363" s="13" t="n">
        <f aca="false">IF(COUNTIFS($B$2:B363,B363,$T$2:T363,T363)=1,1,0)</f>
        <v>0</v>
      </c>
    </row>
    <row r="364" customFormat="false" ht="15" hidden="false" customHeight="false" outlineLevel="0" collapsed="false">
      <c r="A364" s="13" t="s">
        <v>3260</v>
      </c>
      <c r="B364" s="13" t="s">
        <v>2096</v>
      </c>
      <c r="C364" s="13" t="n">
        <v>3400</v>
      </c>
      <c r="D364" s="13" t="n">
        <v>60</v>
      </c>
      <c r="E364" s="13" t="n">
        <v>61.6069090909091</v>
      </c>
      <c r="F364" s="13" t="s">
        <v>5288</v>
      </c>
      <c r="G364" s="13" t="s">
        <v>5289</v>
      </c>
      <c r="H364" s="13" t="s">
        <v>5289</v>
      </c>
      <c r="I364" s="13" t="s">
        <v>5292</v>
      </c>
      <c r="J364" s="13" t="s">
        <v>5289</v>
      </c>
      <c r="K364" s="13" t="s">
        <v>5292</v>
      </c>
      <c r="L364" s="13" t="s">
        <v>5442</v>
      </c>
      <c r="M364" s="13"/>
      <c r="N364" s="13" t="n">
        <v>7891033934508</v>
      </c>
      <c r="O364" s="13"/>
      <c r="P364" s="13" t="s">
        <v>5297</v>
      </c>
      <c r="Q364" s="13" t="s">
        <v>5289</v>
      </c>
      <c r="R364" s="13" t="s">
        <v>5292</v>
      </c>
      <c r="S364" s="13" t="s">
        <v>5293</v>
      </c>
      <c r="T364" s="13" t="s">
        <v>3</v>
      </c>
      <c r="U364" s="13" t="s">
        <v>43</v>
      </c>
      <c r="V364" s="13" t="n">
        <f aca="false">IF(COUNTIF($B$2:B364,B364)=1,1,0)</f>
        <v>0</v>
      </c>
      <c r="W364" s="13" t="n">
        <f aca="false">IF(COUNTIFS($B$2:B364,B364,$T$2:T364,T364)=1,1,0)</f>
        <v>0</v>
      </c>
    </row>
    <row r="365" customFormat="false" ht="15" hidden="false" customHeight="false" outlineLevel="0" collapsed="false">
      <c r="A365" s="13" t="s">
        <v>667</v>
      </c>
      <c r="B365" s="13" t="s">
        <v>114</v>
      </c>
      <c r="C365" s="13" t="n">
        <v>3400</v>
      </c>
      <c r="D365" s="13" t="n">
        <v>20</v>
      </c>
      <c r="E365" s="13" t="n">
        <v>160.876190476191</v>
      </c>
      <c r="F365" s="13" t="s">
        <v>5325</v>
      </c>
      <c r="G365" s="13" t="s">
        <v>5289</v>
      </c>
      <c r="H365" s="13" t="s">
        <v>5289</v>
      </c>
      <c r="I365" s="13" t="s">
        <v>5289</v>
      </c>
      <c r="J365" s="13" t="s">
        <v>5289</v>
      </c>
      <c r="K365" s="13" t="s">
        <v>5292</v>
      </c>
      <c r="L365" s="13" t="s">
        <v>5443</v>
      </c>
      <c r="M365" s="13"/>
      <c r="N365" s="13" t="n">
        <v>4975759103462</v>
      </c>
      <c r="O365" s="13" t="s">
        <v>5444</v>
      </c>
      <c r="P365" s="13" t="s">
        <v>5291</v>
      </c>
      <c r="Q365" s="13" t="s">
        <v>5289</v>
      </c>
      <c r="R365" s="13" t="s">
        <v>5292</v>
      </c>
      <c r="S365" s="13" t="s">
        <v>5293</v>
      </c>
      <c r="T365" s="13" t="s">
        <v>3</v>
      </c>
      <c r="U365" s="13" t="s">
        <v>85</v>
      </c>
      <c r="V365" s="13" t="n">
        <f aca="false">IF(COUNTIF($B$2:B365,B365)=1,1,0)</f>
        <v>0</v>
      </c>
      <c r="W365" s="13" t="n">
        <f aca="false">IF(COUNTIFS($B$2:B365,B365,$T$2:T365,T365)=1,1,0)</f>
        <v>0</v>
      </c>
    </row>
    <row r="366" customFormat="false" ht="15" hidden="false" customHeight="false" outlineLevel="0" collapsed="false">
      <c r="A366" s="13" t="s">
        <v>3273</v>
      </c>
      <c r="B366" s="13" t="s">
        <v>2124</v>
      </c>
      <c r="C366" s="13" t="n">
        <v>3400</v>
      </c>
      <c r="D366" s="13" t="n">
        <v>50</v>
      </c>
      <c r="E366" s="13" t="n">
        <v>69.99</v>
      </c>
      <c r="F366" s="13" t="s">
        <v>5288</v>
      </c>
      <c r="G366" s="13" t="s">
        <v>5289</v>
      </c>
      <c r="H366" s="13" t="s">
        <v>5289</v>
      </c>
      <c r="I366" s="13" t="s">
        <v>5292</v>
      </c>
      <c r="J366" s="13" t="s">
        <v>5289</v>
      </c>
      <c r="K366" s="13" t="s">
        <v>5292</v>
      </c>
      <c r="L366" s="13" t="s">
        <v>3272</v>
      </c>
      <c r="M366" s="13"/>
      <c r="N366" s="13" t="n">
        <v>5425039220154</v>
      </c>
      <c r="O366" s="13"/>
      <c r="P366" s="13" t="s">
        <v>5291</v>
      </c>
      <c r="Q366" s="13" t="s">
        <v>5289</v>
      </c>
      <c r="R366" s="13" t="s">
        <v>5292</v>
      </c>
      <c r="S366" s="13" t="s">
        <v>5293</v>
      </c>
      <c r="T366" s="13" t="s">
        <v>3</v>
      </c>
      <c r="U366" s="13" t="s">
        <v>43</v>
      </c>
      <c r="V366" s="13" t="n">
        <f aca="false">IF(COUNTIF($B$2:B366,B366)=1,1,0)</f>
        <v>0</v>
      </c>
      <c r="W366" s="13" t="n">
        <f aca="false">IF(COUNTIFS($B$2:B366,B366,$T$2:T366,T366)=1,1,0)</f>
        <v>0</v>
      </c>
    </row>
    <row r="367" customFormat="false" ht="15" hidden="false" customHeight="false" outlineLevel="0" collapsed="false">
      <c r="A367" s="13" t="s">
        <v>3265</v>
      </c>
      <c r="B367" s="13" t="s">
        <v>2121</v>
      </c>
      <c r="C367" s="13" t="n">
        <v>3400</v>
      </c>
      <c r="D367" s="13" t="n">
        <v>40</v>
      </c>
      <c r="E367" s="13" t="n">
        <v>93.0672222222222</v>
      </c>
      <c r="F367" s="13" t="s">
        <v>5288</v>
      </c>
      <c r="G367" s="13" t="s">
        <v>5289</v>
      </c>
      <c r="H367" s="13" t="s">
        <v>5289</v>
      </c>
      <c r="I367" s="13" t="s">
        <v>5289</v>
      </c>
      <c r="J367" s="13" t="s">
        <v>5289</v>
      </c>
      <c r="K367" s="13" t="s">
        <v>5292</v>
      </c>
      <c r="L367" s="13" t="s">
        <v>3264</v>
      </c>
      <c r="M367" s="13"/>
      <c r="N367" s="13" t="n">
        <v>7898554605733</v>
      </c>
      <c r="O367" s="13"/>
      <c r="P367" s="13" t="s">
        <v>5291</v>
      </c>
      <c r="Q367" s="13" t="s">
        <v>5289</v>
      </c>
      <c r="R367" s="13" t="s">
        <v>5292</v>
      </c>
      <c r="S367" s="13" t="s">
        <v>5293</v>
      </c>
      <c r="T367" s="13" t="s">
        <v>3</v>
      </c>
      <c r="U367" s="13" t="s">
        <v>144</v>
      </c>
      <c r="V367" s="13" t="n">
        <f aca="false">IF(COUNTIF($B$2:B367,B367)=1,1,0)</f>
        <v>0</v>
      </c>
      <c r="W367" s="13" t="n">
        <f aca="false">IF(COUNTIFS($B$2:B367,B367,$T$2:T367,T367)=1,1,0)</f>
        <v>0</v>
      </c>
    </row>
    <row r="368" customFormat="false" ht="15" hidden="false" customHeight="false" outlineLevel="0" collapsed="false">
      <c r="A368" s="13" t="s">
        <v>671</v>
      </c>
      <c r="B368" s="13" t="s">
        <v>92</v>
      </c>
      <c r="C368" s="13" t="n">
        <v>3300</v>
      </c>
      <c r="D368" s="13" t="n">
        <v>5</v>
      </c>
      <c r="E368" s="13" t="n">
        <v>661.95</v>
      </c>
      <c r="F368" s="13" t="s">
        <v>5288</v>
      </c>
      <c r="G368" s="13" t="s">
        <v>5289</v>
      </c>
      <c r="H368" s="13" t="s">
        <v>5289</v>
      </c>
      <c r="I368" s="13" t="s">
        <v>5289</v>
      </c>
      <c r="J368" s="13" t="s">
        <v>5289</v>
      </c>
      <c r="K368" s="13" t="s">
        <v>5289</v>
      </c>
      <c r="L368" s="13" t="s">
        <v>3281</v>
      </c>
      <c r="M368" s="13"/>
      <c r="N368" s="13" t="n">
        <v>3616303312428</v>
      </c>
      <c r="O368" s="13"/>
      <c r="P368" s="13" t="s">
        <v>5291</v>
      </c>
      <c r="Q368" s="13" t="s">
        <v>5289</v>
      </c>
      <c r="R368" s="13" t="s">
        <v>5292</v>
      </c>
      <c r="S368" s="13" t="s">
        <v>5293</v>
      </c>
      <c r="T368" s="13" t="s">
        <v>3</v>
      </c>
      <c r="U368" s="13" t="s">
        <v>43</v>
      </c>
      <c r="V368" s="13" t="n">
        <f aca="false">IF(COUNTIF($B$2:B368,B368)=1,1,0)</f>
        <v>0</v>
      </c>
      <c r="W368" s="13" t="n">
        <f aca="false">IF(COUNTIFS($B$2:B368,B368,$T$2:T368,T368)=1,1,0)</f>
        <v>0</v>
      </c>
    </row>
    <row r="369" customFormat="false" ht="15" hidden="false" customHeight="false" outlineLevel="0" collapsed="false">
      <c r="A369" s="13" t="s">
        <v>3230</v>
      </c>
      <c r="B369" s="13" t="s">
        <v>2195</v>
      </c>
      <c r="C369" s="13" t="n">
        <v>3200</v>
      </c>
      <c r="D369" s="13" t="n">
        <v>40</v>
      </c>
      <c r="E369" s="13" t="n">
        <v>77.13</v>
      </c>
      <c r="F369" s="13" t="s">
        <v>5288</v>
      </c>
      <c r="G369" s="13" t="s">
        <v>5289</v>
      </c>
      <c r="H369" s="13" t="s">
        <v>5289</v>
      </c>
      <c r="I369" s="13" t="s">
        <v>5292</v>
      </c>
      <c r="J369" s="13" t="s">
        <v>5289</v>
      </c>
      <c r="K369" s="13" t="s">
        <v>5292</v>
      </c>
      <c r="L369" s="13" t="s">
        <v>3229</v>
      </c>
      <c r="M369" s="13"/>
      <c r="N369" s="13" t="n">
        <v>7899651850095</v>
      </c>
      <c r="O369" s="13"/>
      <c r="P369" s="13" t="s">
        <v>5291</v>
      </c>
      <c r="Q369" s="13" t="s">
        <v>5289</v>
      </c>
      <c r="R369" s="13" t="s">
        <v>5292</v>
      </c>
      <c r="S369" s="13" t="s">
        <v>5293</v>
      </c>
      <c r="T369" s="13" t="s">
        <v>3</v>
      </c>
      <c r="U369" s="13" t="s">
        <v>129</v>
      </c>
      <c r="V369" s="13" t="n">
        <f aca="false">IF(COUNTIF($B$2:B369,B369)=1,1,0)</f>
        <v>1</v>
      </c>
      <c r="W369" s="13" t="n">
        <f aca="false">IF(COUNTIFS($B$2:B369,B369,$T$2:T369,T369)=1,1,0)</f>
        <v>1</v>
      </c>
    </row>
    <row r="370" customFormat="false" ht="15" hidden="false" customHeight="false" outlineLevel="0" collapsed="false">
      <c r="A370" s="13" t="s">
        <v>687</v>
      </c>
      <c r="B370" s="13" t="s">
        <v>97</v>
      </c>
      <c r="C370" s="13" t="n">
        <v>3200</v>
      </c>
      <c r="D370" s="13" t="n">
        <v>10</v>
      </c>
      <c r="E370" s="13" t="n">
        <v>269.833333333333</v>
      </c>
      <c r="F370" s="13" t="s">
        <v>5288</v>
      </c>
      <c r="G370" s="13" t="s">
        <v>5289</v>
      </c>
      <c r="H370" s="13" t="s">
        <v>5289</v>
      </c>
      <c r="I370" s="13" t="s">
        <v>5289</v>
      </c>
      <c r="J370" s="13" t="s">
        <v>5289</v>
      </c>
      <c r="K370" s="13" t="s">
        <v>5292</v>
      </c>
      <c r="L370" s="13" t="s">
        <v>3299</v>
      </c>
      <c r="M370" s="13"/>
      <c r="N370" s="13" t="n">
        <v>7898735581900</v>
      </c>
      <c r="O370" s="13"/>
      <c r="P370" s="13" t="s">
        <v>5291</v>
      </c>
      <c r="Q370" s="13" t="s">
        <v>5289</v>
      </c>
      <c r="R370" s="13" t="s">
        <v>5292</v>
      </c>
      <c r="S370" s="13" t="s">
        <v>5293</v>
      </c>
      <c r="T370" s="13" t="s">
        <v>3</v>
      </c>
      <c r="U370" s="13" t="s">
        <v>98</v>
      </c>
      <c r="V370" s="13" t="n">
        <f aca="false">IF(COUNTIF($B$2:B370,B370)=1,1,0)</f>
        <v>0</v>
      </c>
      <c r="W370" s="13" t="n">
        <f aca="false">IF(COUNTIFS($B$2:B370,B370,$T$2:T370,T370)=1,1,0)</f>
        <v>0</v>
      </c>
    </row>
    <row r="371" customFormat="false" ht="15" hidden="false" customHeight="false" outlineLevel="0" collapsed="false">
      <c r="A371" s="13" t="s">
        <v>3296</v>
      </c>
      <c r="B371" s="13" t="s">
        <v>2146</v>
      </c>
      <c r="C371" s="13" t="n">
        <v>3200</v>
      </c>
      <c r="D371" s="13" t="n">
        <v>100</v>
      </c>
      <c r="E371" s="13" t="n">
        <v>32.6136363636364</v>
      </c>
      <c r="F371" s="13" t="s">
        <v>5288</v>
      </c>
      <c r="G371" s="13" t="s">
        <v>5289</v>
      </c>
      <c r="H371" s="13" t="s">
        <v>5289</v>
      </c>
      <c r="I371" s="13" t="s">
        <v>5292</v>
      </c>
      <c r="J371" s="13" t="s">
        <v>5289</v>
      </c>
      <c r="K371" s="13" t="s">
        <v>5292</v>
      </c>
      <c r="L371" s="13" t="s">
        <v>3295</v>
      </c>
      <c r="M371" s="13"/>
      <c r="N371" s="13" t="n">
        <v>7896010175615</v>
      </c>
      <c r="O371" s="13"/>
      <c r="P371" s="13" t="s">
        <v>5291</v>
      </c>
      <c r="Q371" s="13" t="s">
        <v>5289</v>
      </c>
      <c r="R371" s="13" t="s">
        <v>5292</v>
      </c>
      <c r="S371" s="13" t="s">
        <v>5293</v>
      </c>
      <c r="T371" s="13" t="s">
        <v>3</v>
      </c>
      <c r="U371" s="13" t="s">
        <v>85</v>
      </c>
      <c r="V371" s="13" t="n">
        <f aca="false">IF(COUNTIF($B$2:B371,B371)=1,1,0)</f>
        <v>0</v>
      </c>
      <c r="W371" s="13" t="n">
        <f aca="false">IF(COUNTIFS($B$2:B371,B371,$T$2:T371,T371)=1,1,0)</f>
        <v>0</v>
      </c>
    </row>
    <row r="372" customFormat="false" ht="15" hidden="false" customHeight="false" outlineLevel="0" collapsed="false">
      <c r="A372" s="13" t="s">
        <v>3301</v>
      </c>
      <c r="B372" s="13" t="s">
        <v>2129</v>
      </c>
      <c r="C372" s="13" t="n">
        <v>3200</v>
      </c>
      <c r="D372" s="13" t="n">
        <v>40</v>
      </c>
      <c r="E372" s="13" t="n">
        <v>74.99</v>
      </c>
      <c r="F372" s="13" t="s">
        <v>5288</v>
      </c>
      <c r="G372" s="13" t="s">
        <v>5289</v>
      </c>
      <c r="H372" s="13" t="s">
        <v>5289</v>
      </c>
      <c r="I372" s="13" t="s">
        <v>5292</v>
      </c>
      <c r="J372" s="13" t="s">
        <v>5289</v>
      </c>
      <c r="K372" s="13" t="s">
        <v>5292</v>
      </c>
      <c r="L372" s="13" t="s">
        <v>3300</v>
      </c>
      <c r="M372" s="13"/>
      <c r="N372" s="13" t="n">
        <v>7898976350020</v>
      </c>
      <c r="O372" s="13"/>
      <c r="P372" s="13" t="s">
        <v>5291</v>
      </c>
      <c r="Q372" s="13" t="s">
        <v>5289</v>
      </c>
      <c r="R372" s="13" t="s">
        <v>5292</v>
      </c>
      <c r="S372" s="13" t="s">
        <v>5293</v>
      </c>
      <c r="T372" s="13" t="s">
        <v>3</v>
      </c>
      <c r="U372" s="13" t="s">
        <v>43</v>
      </c>
      <c r="V372" s="13" t="n">
        <f aca="false">IF(COUNTIF($B$2:B372,B372)=1,1,0)</f>
        <v>0</v>
      </c>
      <c r="W372" s="13" t="n">
        <f aca="false">IF(COUNTIFS($B$2:B372,B372,$T$2:T372,T372)=1,1,0)</f>
        <v>0</v>
      </c>
    </row>
    <row r="373" customFormat="false" ht="15" hidden="false" customHeight="false" outlineLevel="0" collapsed="false">
      <c r="A373" s="13" t="s">
        <v>3278</v>
      </c>
      <c r="B373" s="13" t="s">
        <v>2095</v>
      </c>
      <c r="C373" s="13" t="n">
        <v>3200</v>
      </c>
      <c r="D373" s="13" t="n">
        <v>50</v>
      </c>
      <c r="E373" s="13" t="n">
        <v>68.5229787234043</v>
      </c>
      <c r="F373" s="13" t="s">
        <v>5288</v>
      </c>
      <c r="G373" s="13" t="s">
        <v>5289</v>
      </c>
      <c r="H373" s="13" t="s">
        <v>5289</v>
      </c>
      <c r="I373" s="13" t="s">
        <v>5292</v>
      </c>
      <c r="J373" s="13" t="s">
        <v>5289</v>
      </c>
      <c r="K373" s="13" t="s">
        <v>5292</v>
      </c>
      <c r="L373" s="13" t="s">
        <v>3277</v>
      </c>
      <c r="M373" s="13"/>
      <c r="N373" s="13" t="n">
        <v>7898665434789</v>
      </c>
      <c r="O373" s="13"/>
      <c r="P373" s="13" t="s">
        <v>5291</v>
      </c>
      <c r="Q373" s="13" t="s">
        <v>5289</v>
      </c>
      <c r="R373" s="13" t="s">
        <v>5292</v>
      </c>
      <c r="S373" s="13" t="s">
        <v>5293</v>
      </c>
      <c r="T373" s="13" t="s">
        <v>3</v>
      </c>
      <c r="U373" s="13" t="s">
        <v>85</v>
      </c>
      <c r="V373" s="13" t="n">
        <f aca="false">IF(COUNTIF($B$2:B373,B373)=1,1,0)</f>
        <v>0</v>
      </c>
      <c r="W373" s="13" t="n">
        <f aca="false">IF(COUNTIFS($B$2:B373,B373,$T$2:T373,T373)=1,1,0)</f>
        <v>0</v>
      </c>
    </row>
    <row r="374" customFormat="false" ht="15" hidden="false" customHeight="false" outlineLevel="0" collapsed="false">
      <c r="A374" s="13" t="s">
        <v>663</v>
      </c>
      <c r="B374" s="13" t="s">
        <v>165</v>
      </c>
      <c r="C374" s="13" t="n">
        <v>3200</v>
      </c>
      <c r="D374" s="13" t="n">
        <v>5</v>
      </c>
      <c r="E374" s="13" t="n">
        <v>535.998333333333</v>
      </c>
      <c r="F374" s="13" t="s">
        <v>5288</v>
      </c>
      <c r="G374" s="13" t="s">
        <v>5289</v>
      </c>
      <c r="H374" s="13" t="s">
        <v>5289</v>
      </c>
      <c r="I374" s="13" t="s">
        <v>5289</v>
      </c>
      <c r="J374" s="13" t="s">
        <v>5289</v>
      </c>
      <c r="K374" s="13" t="s">
        <v>5289</v>
      </c>
      <c r="L374" s="13" t="s">
        <v>3309</v>
      </c>
      <c r="M374" s="13"/>
      <c r="N374" s="13" t="n">
        <v>3614273638852</v>
      </c>
      <c r="O374" s="13"/>
      <c r="P374" s="13" t="s">
        <v>5297</v>
      </c>
      <c r="Q374" s="13" t="s">
        <v>5289</v>
      </c>
      <c r="R374" s="13" t="s">
        <v>5292</v>
      </c>
      <c r="S374" s="13" t="s">
        <v>5293</v>
      </c>
      <c r="T374" s="13" t="s">
        <v>3</v>
      </c>
      <c r="U374" s="13" t="s">
        <v>43</v>
      </c>
      <c r="V374" s="13" t="n">
        <f aca="false">IF(COUNTIF($B$2:B374,B374)=1,1,0)</f>
        <v>0</v>
      </c>
      <c r="W374" s="13" t="n">
        <f aca="false">IF(COUNTIFS($B$2:B374,B374,$T$2:T374,T374)=1,1,0)</f>
        <v>0</v>
      </c>
    </row>
    <row r="375" customFormat="false" ht="15" hidden="false" customHeight="false" outlineLevel="0" collapsed="false">
      <c r="A375" s="13" t="s">
        <v>3306</v>
      </c>
      <c r="B375" s="13" t="s">
        <v>2095</v>
      </c>
      <c r="C375" s="13" t="n">
        <v>3200</v>
      </c>
      <c r="D375" s="13" t="n">
        <v>30</v>
      </c>
      <c r="E375" s="13" t="n">
        <v>107.13</v>
      </c>
      <c r="F375" s="13" t="s">
        <v>5288</v>
      </c>
      <c r="G375" s="13" t="s">
        <v>5289</v>
      </c>
      <c r="H375" s="13" t="s">
        <v>5289</v>
      </c>
      <c r="I375" s="13" t="s">
        <v>5289</v>
      </c>
      <c r="J375" s="13" t="s">
        <v>5289</v>
      </c>
      <c r="K375" s="13" t="s">
        <v>5292</v>
      </c>
      <c r="L375" s="13" t="s">
        <v>5445</v>
      </c>
      <c r="M375" s="13"/>
      <c r="N375" s="13" t="n">
        <v>7898665433256</v>
      </c>
      <c r="O375" s="13"/>
      <c r="P375" s="13" t="s">
        <v>5291</v>
      </c>
      <c r="Q375" s="13" t="s">
        <v>5289</v>
      </c>
      <c r="R375" s="13" t="s">
        <v>5292</v>
      </c>
      <c r="S375" s="13" t="s">
        <v>5293</v>
      </c>
      <c r="T375" s="13" t="s">
        <v>3</v>
      </c>
      <c r="U375" s="13" t="s">
        <v>85</v>
      </c>
      <c r="V375" s="13" t="n">
        <f aca="false">IF(COUNTIF($B$2:B375,B375)=1,1,0)</f>
        <v>0</v>
      </c>
      <c r="W375" s="13" t="n">
        <f aca="false">IF(COUNTIFS($B$2:B375,B375,$T$2:T375,T375)=1,1,0)</f>
        <v>0</v>
      </c>
    </row>
    <row r="376" customFormat="false" ht="15" hidden="false" customHeight="false" outlineLevel="0" collapsed="false">
      <c r="A376" s="13" t="s">
        <v>686</v>
      </c>
      <c r="B376" s="13" t="s">
        <v>105</v>
      </c>
      <c r="C376" s="13" t="n">
        <v>3200</v>
      </c>
      <c r="D376" s="13" t="n">
        <v>5</v>
      </c>
      <c r="E376" s="13" t="n">
        <v>401</v>
      </c>
      <c r="F376" s="13" t="s">
        <v>5288</v>
      </c>
      <c r="G376" s="13" t="s">
        <v>5289</v>
      </c>
      <c r="H376" s="13" t="s">
        <v>5289</v>
      </c>
      <c r="I376" s="13" t="s">
        <v>5289</v>
      </c>
      <c r="J376" s="13" t="s">
        <v>5289</v>
      </c>
      <c r="K376" s="13" t="s">
        <v>5289</v>
      </c>
      <c r="L376" s="13" t="s">
        <v>3290</v>
      </c>
      <c r="M376" s="13"/>
      <c r="N376" s="13" t="n">
        <v>3616304697364</v>
      </c>
      <c r="O376" s="13"/>
      <c r="P376" s="13" t="s">
        <v>5291</v>
      </c>
      <c r="Q376" s="13" t="s">
        <v>5289</v>
      </c>
      <c r="R376" s="13" t="s">
        <v>5292</v>
      </c>
      <c r="S376" s="13" t="s">
        <v>5293</v>
      </c>
      <c r="T376" s="13" t="s">
        <v>3</v>
      </c>
      <c r="U376" s="13" t="s">
        <v>43</v>
      </c>
      <c r="V376" s="13" t="n">
        <f aca="false">IF(COUNTIF($B$2:B376,B376)=1,1,0)</f>
        <v>0</v>
      </c>
      <c r="W376" s="13" t="n">
        <f aca="false">IF(COUNTIFS($B$2:B376,B376,$T$2:T376,T376)=1,1,0)</f>
        <v>0</v>
      </c>
    </row>
    <row r="377" customFormat="false" ht="15" hidden="false" customHeight="false" outlineLevel="0" collapsed="false">
      <c r="A377" s="13" t="s">
        <v>682</v>
      </c>
      <c r="B377" s="13" t="s">
        <v>179</v>
      </c>
      <c r="C377" s="13" t="n">
        <v>3200</v>
      </c>
      <c r="D377" s="13" t="n">
        <v>20</v>
      </c>
      <c r="E377" s="13" t="n">
        <v>159.99</v>
      </c>
      <c r="F377" s="13" t="s">
        <v>5325</v>
      </c>
      <c r="G377" s="13" t="s">
        <v>5289</v>
      </c>
      <c r="H377" s="13" t="s">
        <v>5289</v>
      </c>
      <c r="I377" s="13" t="s">
        <v>5289</v>
      </c>
      <c r="J377" s="13" t="s">
        <v>5289</v>
      </c>
      <c r="K377" s="13" t="s">
        <v>5289</v>
      </c>
      <c r="L377" s="13" t="s">
        <v>5446</v>
      </c>
      <c r="M377" s="13"/>
      <c r="N377" s="13" t="n">
        <v>7898618487152</v>
      </c>
      <c r="O377" s="13"/>
      <c r="P377" s="13" t="s">
        <v>5291</v>
      </c>
      <c r="Q377" s="13" t="s">
        <v>5289</v>
      </c>
      <c r="R377" s="13" t="s">
        <v>5292</v>
      </c>
      <c r="S377" s="13" t="s">
        <v>5293</v>
      </c>
      <c r="T377" s="13" t="s">
        <v>3</v>
      </c>
      <c r="U377" s="13" t="s">
        <v>180</v>
      </c>
      <c r="V377" s="13" t="n">
        <f aca="false">IF(COUNTIF($B$2:B377,B377)=1,1,0)</f>
        <v>0</v>
      </c>
      <c r="W377" s="13" t="n">
        <f aca="false">IF(COUNTIFS($B$2:B377,B377,$T$2:T377,T377)=1,1,0)</f>
        <v>0</v>
      </c>
    </row>
    <row r="378" customFormat="false" ht="15" hidden="false" customHeight="false" outlineLevel="0" collapsed="false">
      <c r="A378" s="13" t="s">
        <v>3293</v>
      </c>
      <c r="B378" s="13" t="s">
        <v>2117</v>
      </c>
      <c r="C378" s="13" t="n">
        <v>3200</v>
      </c>
      <c r="D378" s="13" t="n">
        <v>100</v>
      </c>
      <c r="E378" s="13" t="n">
        <v>30.9529411764706</v>
      </c>
      <c r="F378" s="13" t="s">
        <v>5288</v>
      </c>
      <c r="G378" s="13" t="s">
        <v>5289</v>
      </c>
      <c r="H378" s="13" t="s">
        <v>5289</v>
      </c>
      <c r="I378" s="13" t="s">
        <v>5292</v>
      </c>
      <c r="J378" s="13" t="s">
        <v>5289</v>
      </c>
      <c r="K378" s="13" t="s">
        <v>5292</v>
      </c>
      <c r="L378" s="13" t="s">
        <v>3292</v>
      </c>
      <c r="M378" s="13"/>
      <c r="N378" s="13" t="n">
        <v>7893595770662</v>
      </c>
      <c r="O378" s="13"/>
      <c r="P378" s="13" t="s">
        <v>5291</v>
      </c>
      <c r="Q378" s="13" t="s">
        <v>5289</v>
      </c>
      <c r="R378" s="13" t="s">
        <v>5292</v>
      </c>
      <c r="S378" s="13" t="s">
        <v>5293</v>
      </c>
      <c r="T378" s="13" t="s">
        <v>3</v>
      </c>
      <c r="U378" s="13" t="s">
        <v>85</v>
      </c>
      <c r="V378" s="13" t="n">
        <f aca="false">IF(COUNTIF($B$2:B378,B378)=1,1,0)</f>
        <v>0</v>
      </c>
      <c r="W378" s="13" t="n">
        <f aca="false">IF(COUNTIFS($B$2:B378,B378,$T$2:T378,T378)=1,1,0)</f>
        <v>0</v>
      </c>
    </row>
    <row r="379" customFormat="false" ht="15" hidden="false" customHeight="false" outlineLevel="0" collapsed="false">
      <c r="A379" s="13" t="s">
        <v>690</v>
      </c>
      <c r="B379" s="13" t="s">
        <v>87</v>
      </c>
      <c r="C379" s="13" t="n">
        <v>3200</v>
      </c>
      <c r="D379" s="13" t="n">
        <v>5</v>
      </c>
      <c r="E379" s="13" t="n">
        <v>350.19</v>
      </c>
      <c r="F379" s="13" t="s">
        <v>5288</v>
      </c>
      <c r="G379" s="13" t="s">
        <v>5289</v>
      </c>
      <c r="H379" s="13" t="s">
        <v>5289</v>
      </c>
      <c r="I379" s="13" t="s">
        <v>5289</v>
      </c>
      <c r="J379" s="13" t="s">
        <v>5289</v>
      </c>
      <c r="K379" s="13" t="s">
        <v>5289</v>
      </c>
      <c r="L379" s="13" t="s">
        <v>5447</v>
      </c>
      <c r="M379" s="13"/>
      <c r="N379" s="13" t="n">
        <v>22255232609</v>
      </c>
      <c r="O379" s="13"/>
      <c r="P379" s="13" t="s">
        <v>5291</v>
      </c>
      <c r="Q379" s="13" t="s">
        <v>5289</v>
      </c>
      <c r="R379" s="13" t="s">
        <v>5292</v>
      </c>
      <c r="S379" s="13" t="s">
        <v>5293</v>
      </c>
      <c r="T379" s="13" t="s">
        <v>3</v>
      </c>
      <c r="U379" s="13" t="s">
        <v>66</v>
      </c>
      <c r="V379" s="13" t="n">
        <f aca="false">IF(COUNTIF($B$2:B379,B379)=1,1,0)</f>
        <v>0</v>
      </c>
      <c r="W379" s="13" t="n">
        <f aca="false">IF(COUNTIFS($B$2:B379,B379,$T$2:T379,T379)=1,1,0)</f>
        <v>0</v>
      </c>
    </row>
    <row r="380" customFormat="false" ht="15" hidden="false" customHeight="false" outlineLevel="0" collapsed="false">
      <c r="A380" s="13" t="s">
        <v>5448</v>
      </c>
      <c r="B380" s="13" t="s">
        <v>2204</v>
      </c>
      <c r="C380" s="13" t="n">
        <v>3100</v>
      </c>
      <c r="D380" s="13" t="n">
        <v>30</v>
      </c>
      <c r="E380" s="13" t="n">
        <v>108.331034482759</v>
      </c>
      <c r="F380" s="13" t="s">
        <v>5288</v>
      </c>
      <c r="G380" s="13" t="s">
        <v>5289</v>
      </c>
      <c r="H380" s="13" t="s">
        <v>5289</v>
      </c>
      <c r="I380" s="13" t="s">
        <v>5289</v>
      </c>
      <c r="J380" s="13" t="s">
        <v>5289</v>
      </c>
      <c r="K380" s="13" t="s">
        <v>5289</v>
      </c>
      <c r="L380" s="13" t="s">
        <v>5449</v>
      </c>
      <c r="M380" s="13"/>
      <c r="N380" s="13" t="n">
        <v>7.89658696425584E+024</v>
      </c>
      <c r="O380" s="13"/>
      <c r="P380" s="13" t="s">
        <v>5297</v>
      </c>
      <c r="Q380" s="13" t="s">
        <v>5289</v>
      </c>
      <c r="R380" s="13" t="s">
        <v>5292</v>
      </c>
      <c r="S380" s="13" t="s">
        <v>5293</v>
      </c>
      <c r="T380" s="13" t="s">
        <v>3</v>
      </c>
      <c r="U380" s="13" t="s">
        <v>57</v>
      </c>
      <c r="V380" s="13" t="n">
        <f aca="false">IF(COUNTIF($B$2:B380,B380)=1,1,0)</f>
        <v>1</v>
      </c>
      <c r="W380" s="13" t="n">
        <f aca="false">IF(COUNTIFS($B$2:B380,B380,$T$2:T380,T380)=1,1,0)</f>
        <v>1</v>
      </c>
    </row>
    <row r="381" customFormat="false" ht="15" hidden="false" customHeight="false" outlineLevel="0" collapsed="false">
      <c r="A381" s="13" t="s">
        <v>3326</v>
      </c>
      <c r="B381" s="13" t="s">
        <v>2095</v>
      </c>
      <c r="C381" s="13" t="n">
        <v>3100</v>
      </c>
      <c r="D381" s="13" t="n">
        <v>30</v>
      </c>
      <c r="E381" s="13" t="n">
        <v>104.261</v>
      </c>
      <c r="F381" s="13" t="s">
        <v>5288</v>
      </c>
      <c r="G381" s="13" t="s">
        <v>5289</v>
      </c>
      <c r="H381" s="13" t="s">
        <v>5289</v>
      </c>
      <c r="I381" s="13" t="s">
        <v>5289</v>
      </c>
      <c r="J381" s="13" t="s">
        <v>5289</v>
      </c>
      <c r="K381" s="13" t="s">
        <v>5292</v>
      </c>
      <c r="L381" s="13" t="s">
        <v>5450</v>
      </c>
      <c r="M381" s="13"/>
      <c r="N381" s="13" t="n">
        <v>7898665260036</v>
      </c>
      <c r="O381" s="13"/>
      <c r="P381" s="13" t="s">
        <v>5291</v>
      </c>
      <c r="Q381" s="13" t="s">
        <v>5289</v>
      </c>
      <c r="R381" s="13" t="s">
        <v>5292</v>
      </c>
      <c r="S381" s="13" t="s">
        <v>5293</v>
      </c>
      <c r="T381" s="13" t="s">
        <v>3</v>
      </c>
      <c r="U381" s="13" t="s">
        <v>140</v>
      </c>
      <c r="V381" s="13" t="n">
        <f aca="false">IF(COUNTIF($B$2:B381,B381)=1,1,0)</f>
        <v>0</v>
      </c>
      <c r="W381" s="13" t="n">
        <f aca="false">IF(COUNTIFS($B$2:B381,B381,$T$2:T381,T381)=1,1,0)</f>
        <v>0</v>
      </c>
    </row>
    <row r="382" customFormat="false" ht="15" hidden="false" customHeight="false" outlineLevel="0" collapsed="false">
      <c r="A382" s="13" t="s">
        <v>700</v>
      </c>
      <c r="B382" s="13" t="s">
        <v>191</v>
      </c>
      <c r="C382" s="13" t="n">
        <v>3100</v>
      </c>
      <c r="D382" s="13" t="n">
        <v>30</v>
      </c>
      <c r="E382" s="13" t="n">
        <v>119.99</v>
      </c>
      <c r="F382" s="13" t="s">
        <v>5288</v>
      </c>
      <c r="G382" s="13" t="s">
        <v>5289</v>
      </c>
      <c r="H382" s="13" t="s">
        <v>5289</v>
      </c>
      <c r="I382" s="13" t="s">
        <v>5289</v>
      </c>
      <c r="J382" s="13" t="s">
        <v>5289</v>
      </c>
      <c r="K382" s="13" t="s">
        <v>5289</v>
      </c>
      <c r="L382" s="13" t="s">
        <v>3320</v>
      </c>
      <c r="M382" s="13"/>
      <c r="N382" s="13" t="n">
        <v>7898973267222</v>
      </c>
      <c r="O382" s="13"/>
      <c r="P382" s="13" t="s">
        <v>5291</v>
      </c>
      <c r="Q382" s="13" t="s">
        <v>5289</v>
      </c>
      <c r="R382" s="13" t="s">
        <v>5292</v>
      </c>
      <c r="S382" s="13" t="s">
        <v>5293</v>
      </c>
      <c r="T382" s="13" t="s">
        <v>3</v>
      </c>
      <c r="U382" s="13" t="s">
        <v>183</v>
      </c>
      <c r="V382" s="13" t="n">
        <f aca="false">IF(COUNTIF($B$2:B382,B382)=1,1,0)</f>
        <v>0</v>
      </c>
      <c r="W382" s="13" t="n">
        <f aca="false">IF(COUNTIFS($B$2:B382,B382,$T$2:T382,T382)=1,1,0)</f>
        <v>0</v>
      </c>
    </row>
    <row r="383" customFormat="false" ht="15" hidden="false" customHeight="false" outlineLevel="0" collapsed="false">
      <c r="A383" s="13" t="s">
        <v>3331</v>
      </c>
      <c r="B383" s="13" t="s">
        <v>2101</v>
      </c>
      <c r="C383" s="13" t="n">
        <v>3100</v>
      </c>
      <c r="D383" s="13" t="n">
        <v>80</v>
      </c>
      <c r="E383" s="13" t="n">
        <v>39.5733333333333</v>
      </c>
      <c r="F383" s="13" t="s">
        <v>5288</v>
      </c>
      <c r="G383" s="13" t="s">
        <v>5289</v>
      </c>
      <c r="H383" s="13" t="s">
        <v>5289</v>
      </c>
      <c r="I383" s="13" t="s">
        <v>5292</v>
      </c>
      <c r="J383" s="13" t="s">
        <v>5289</v>
      </c>
      <c r="K383" s="13" t="s">
        <v>5292</v>
      </c>
      <c r="L383" s="13" t="s">
        <v>3330</v>
      </c>
      <c r="M383" s="13"/>
      <c r="N383" s="13" t="n">
        <v>7897013561238</v>
      </c>
      <c r="O383" s="13"/>
      <c r="P383" s="13" t="s">
        <v>5291</v>
      </c>
      <c r="Q383" s="13" t="s">
        <v>5289</v>
      </c>
      <c r="R383" s="13" t="s">
        <v>5292</v>
      </c>
      <c r="S383" s="13" t="s">
        <v>5293</v>
      </c>
      <c r="T383" s="13" t="s">
        <v>3</v>
      </c>
      <c r="U383" s="13" t="s">
        <v>85</v>
      </c>
      <c r="V383" s="13" t="n">
        <f aca="false">IF(COUNTIF($B$2:B383,B383)=1,1,0)</f>
        <v>0</v>
      </c>
      <c r="W383" s="13" t="n">
        <f aca="false">IF(COUNTIFS($B$2:B383,B383,$T$2:T383,T383)=1,1,0)</f>
        <v>0</v>
      </c>
    </row>
    <row r="384" customFormat="false" ht="15" hidden="false" customHeight="false" outlineLevel="0" collapsed="false">
      <c r="A384" s="13" t="s">
        <v>3329</v>
      </c>
      <c r="B384" s="13" t="s">
        <v>2190</v>
      </c>
      <c r="C384" s="13" t="n">
        <v>3100</v>
      </c>
      <c r="D384" s="13" t="n">
        <v>40</v>
      </c>
      <c r="E384" s="13" t="n">
        <v>68.3455555555555</v>
      </c>
      <c r="F384" s="13" t="s">
        <v>5288</v>
      </c>
      <c r="G384" s="13" t="s">
        <v>5289</v>
      </c>
      <c r="H384" s="13" t="s">
        <v>5289</v>
      </c>
      <c r="I384" s="13" t="s">
        <v>5292</v>
      </c>
      <c r="J384" s="13" t="s">
        <v>5289</v>
      </c>
      <c r="K384" s="13" t="s">
        <v>5292</v>
      </c>
      <c r="L384" s="13" t="s">
        <v>3328</v>
      </c>
      <c r="M384" s="13"/>
      <c r="N384" s="13" t="n">
        <v>5055810015183</v>
      </c>
      <c r="O384" s="13"/>
      <c r="P384" s="13" t="s">
        <v>5297</v>
      </c>
      <c r="Q384" s="13" t="s">
        <v>5289</v>
      </c>
      <c r="R384" s="13" t="s">
        <v>5292</v>
      </c>
      <c r="S384" s="13" t="s">
        <v>5293</v>
      </c>
      <c r="T384" s="13" t="s">
        <v>3</v>
      </c>
      <c r="U384" s="13" t="s">
        <v>43</v>
      </c>
      <c r="V384" s="13" t="n">
        <f aca="false">IF(COUNTIF($B$2:B384,B384)=1,1,0)</f>
        <v>1</v>
      </c>
      <c r="W384" s="13" t="n">
        <f aca="false">IF(COUNTIFS($B$2:B384,B384,$T$2:T384,T384)=1,1,0)</f>
        <v>1</v>
      </c>
    </row>
    <row r="385" customFormat="false" ht="15" hidden="false" customHeight="false" outlineLevel="0" collapsed="false">
      <c r="A385" s="13" t="s">
        <v>712</v>
      </c>
      <c r="B385" s="13" t="s">
        <v>179</v>
      </c>
      <c r="C385" s="13" t="n">
        <v>3000</v>
      </c>
      <c r="D385" s="13" t="n">
        <v>20</v>
      </c>
      <c r="E385" s="13" t="n">
        <v>169</v>
      </c>
      <c r="F385" s="13" t="s">
        <v>5325</v>
      </c>
      <c r="G385" s="13" t="s">
        <v>5289</v>
      </c>
      <c r="H385" s="13" t="s">
        <v>5289</v>
      </c>
      <c r="I385" s="13" t="s">
        <v>5289</v>
      </c>
      <c r="J385" s="13" t="s">
        <v>5289</v>
      </c>
      <c r="K385" s="13" t="s">
        <v>5292</v>
      </c>
      <c r="L385" s="13" t="s">
        <v>3339</v>
      </c>
      <c r="M385" s="13"/>
      <c r="N385" s="13" t="n">
        <v>7898618488463</v>
      </c>
      <c r="O385" s="13"/>
      <c r="P385" s="13" t="s">
        <v>5291</v>
      </c>
      <c r="Q385" s="13" t="s">
        <v>5289</v>
      </c>
      <c r="R385" s="13" t="s">
        <v>5292</v>
      </c>
      <c r="S385" s="13" t="s">
        <v>5293</v>
      </c>
      <c r="T385" s="13" t="s">
        <v>3</v>
      </c>
      <c r="U385" s="13" t="s">
        <v>85</v>
      </c>
      <c r="V385" s="13" t="n">
        <f aca="false">IF(COUNTIF($B$2:B385,B385)=1,1,0)</f>
        <v>0</v>
      </c>
      <c r="W385" s="13" t="n">
        <f aca="false">IF(COUNTIFS($B$2:B385,B385,$T$2:T385,T385)=1,1,0)</f>
        <v>0</v>
      </c>
    </row>
    <row r="386" customFormat="false" ht="15" hidden="false" customHeight="false" outlineLevel="0" collapsed="false">
      <c r="A386" s="13" t="s">
        <v>5451</v>
      </c>
      <c r="B386" s="13" t="s">
        <v>2095</v>
      </c>
      <c r="C386" s="13" t="n">
        <v>3000</v>
      </c>
      <c r="D386" s="13" t="n">
        <v>40</v>
      </c>
      <c r="E386" s="13" t="n">
        <v>79.9981578947368</v>
      </c>
      <c r="F386" s="13" t="s">
        <v>5288</v>
      </c>
      <c r="G386" s="13" t="s">
        <v>5289</v>
      </c>
      <c r="H386" s="13" t="s">
        <v>5289</v>
      </c>
      <c r="I386" s="13" t="s">
        <v>5289</v>
      </c>
      <c r="J386" s="13" t="s">
        <v>5289</v>
      </c>
      <c r="K386" s="13" t="s">
        <v>5292</v>
      </c>
      <c r="L386" s="13" t="s">
        <v>5452</v>
      </c>
      <c r="M386" s="13"/>
      <c r="N386" s="13" t="n">
        <v>7.89866543369079E+025</v>
      </c>
      <c r="O386" s="13"/>
      <c r="P386" s="13" t="s">
        <v>5291</v>
      </c>
      <c r="Q386" s="13" t="s">
        <v>5289</v>
      </c>
      <c r="R386" s="13" t="s">
        <v>5292</v>
      </c>
      <c r="S386" s="13" t="s">
        <v>5293</v>
      </c>
      <c r="T386" s="13" t="s">
        <v>3</v>
      </c>
      <c r="U386" s="13" t="s">
        <v>140</v>
      </c>
      <c r="V386" s="13" t="n">
        <f aca="false">IF(COUNTIF($B$2:B386,B386)=1,1,0)</f>
        <v>0</v>
      </c>
      <c r="W386" s="13" t="n">
        <f aca="false">IF(COUNTIFS($B$2:B386,B386,$T$2:T386,T386)=1,1,0)</f>
        <v>0</v>
      </c>
    </row>
    <row r="387" customFormat="false" ht="15" hidden="false" customHeight="false" outlineLevel="0" collapsed="false">
      <c r="A387" s="13" t="s">
        <v>5453</v>
      </c>
      <c r="B387" s="13" t="s">
        <v>2207</v>
      </c>
      <c r="C387" s="13" t="n">
        <v>3000</v>
      </c>
      <c r="D387" s="13" t="n">
        <v>30</v>
      </c>
      <c r="E387" s="13" t="n">
        <v>108.521428571429</v>
      </c>
      <c r="F387" s="13" t="s">
        <v>5288</v>
      </c>
      <c r="G387" s="13" t="s">
        <v>5289</v>
      </c>
      <c r="H387" s="13" t="s">
        <v>5289</v>
      </c>
      <c r="I387" s="13" t="s">
        <v>5289</v>
      </c>
      <c r="J387" s="13" t="s">
        <v>5289</v>
      </c>
      <c r="K387" s="13" t="s">
        <v>5289</v>
      </c>
      <c r="L387" s="13" t="s">
        <v>5454</v>
      </c>
      <c r="M387" s="13"/>
      <c r="N387" s="13"/>
      <c r="O387" s="13"/>
      <c r="P387" s="13" t="s">
        <v>5291</v>
      </c>
      <c r="Q387" s="13" t="s">
        <v>5289</v>
      </c>
      <c r="R387" s="13" t="s">
        <v>5292</v>
      </c>
      <c r="S387" s="13" t="s">
        <v>5293</v>
      </c>
      <c r="T387" s="13" t="s">
        <v>3</v>
      </c>
      <c r="U387" s="13" t="s">
        <v>85</v>
      </c>
      <c r="V387" s="13" t="n">
        <f aca="false">IF(COUNTIF($B$2:B387,B387)=1,1,0)</f>
        <v>1</v>
      </c>
      <c r="W387" s="13" t="n">
        <f aca="false">IF(COUNTIFS($B$2:B387,B387,$T$2:T387,T387)=1,1,0)</f>
        <v>1</v>
      </c>
    </row>
    <row r="388" customFormat="false" ht="15" hidden="false" customHeight="false" outlineLevel="0" collapsed="false">
      <c r="A388" s="13" t="s">
        <v>3352</v>
      </c>
      <c r="B388" s="13" t="s">
        <v>2108</v>
      </c>
      <c r="C388" s="13" t="n">
        <v>3000</v>
      </c>
      <c r="D388" s="13" t="n">
        <v>60</v>
      </c>
      <c r="E388" s="13" t="n">
        <v>51.4086440677966</v>
      </c>
      <c r="F388" s="13" t="s">
        <v>5288</v>
      </c>
      <c r="G388" s="13" t="s">
        <v>5289</v>
      </c>
      <c r="H388" s="13" t="s">
        <v>5289</v>
      </c>
      <c r="I388" s="13" t="s">
        <v>5292</v>
      </c>
      <c r="J388" s="13" t="s">
        <v>5289</v>
      </c>
      <c r="K388" s="13" t="s">
        <v>5292</v>
      </c>
      <c r="L388" s="13" t="s">
        <v>5455</v>
      </c>
      <c r="M388" s="13"/>
      <c r="N388" s="13" t="n">
        <v>7891114053623</v>
      </c>
      <c r="O388" s="13"/>
      <c r="P388" s="13" t="s">
        <v>5297</v>
      </c>
      <c r="Q388" s="13" t="s">
        <v>5289</v>
      </c>
      <c r="R388" s="13" t="s">
        <v>5292</v>
      </c>
      <c r="S388" s="13" t="s">
        <v>5293</v>
      </c>
      <c r="T388" s="13" t="s">
        <v>3</v>
      </c>
      <c r="U388" s="13" t="s">
        <v>85</v>
      </c>
      <c r="V388" s="13" t="n">
        <f aca="false">IF(COUNTIF($B$2:B388,B388)=1,1,0)</f>
        <v>0</v>
      </c>
      <c r="W388" s="13" t="n">
        <f aca="false">IF(COUNTIFS($B$2:B388,B388,$T$2:T388,T388)=1,1,0)</f>
        <v>0</v>
      </c>
    </row>
    <row r="389" customFormat="false" ht="15" hidden="false" customHeight="false" outlineLevel="0" collapsed="false">
      <c r="A389" s="13" t="s">
        <v>3347</v>
      </c>
      <c r="B389" s="13" t="s">
        <v>2125</v>
      </c>
      <c r="C389" s="13" t="n">
        <v>3000</v>
      </c>
      <c r="D389" s="13" t="n">
        <v>40</v>
      </c>
      <c r="E389" s="13" t="n">
        <v>78.99</v>
      </c>
      <c r="F389" s="13" t="s">
        <v>5288</v>
      </c>
      <c r="G389" s="13" t="s">
        <v>5289</v>
      </c>
      <c r="H389" s="13" t="s">
        <v>5289</v>
      </c>
      <c r="I389" s="13" t="s">
        <v>5292</v>
      </c>
      <c r="J389" s="13" t="s">
        <v>5289</v>
      </c>
      <c r="K389" s="13" t="s">
        <v>5292</v>
      </c>
      <c r="L389" s="13" t="s">
        <v>3346</v>
      </c>
      <c r="M389" s="13"/>
      <c r="N389" s="13" t="n">
        <v>7898706990229</v>
      </c>
      <c r="O389" s="13"/>
      <c r="P389" s="13" t="s">
        <v>5291</v>
      </c>
      <c r="Q389" s="13" t="s">
        <v>5289</v>
      </c>
      <c r="R389" s="13" t="s">
        <v>5292</v>
      </c>
      <c r="S389" s="13" t="s">
        <v>5293</v>
      </c>
      <c r="T389" s="13" t="s">
        <v>3</v>
      </c>
      <c r="U389" s="13" t="s">
        <v>129</v>
      </c>
      <c r="V389" s="13" t="n">
        <f aca="false">IF(COUNTIF($B$2:B389,B389)=1,1,0)</f>
        <v>0</v>
      </c>
      <c r="W389" s="13" t="n">
        <f aca="false">IF(COUNTIFS($B$2:B389,B389,$T$2:T389,T389)=1,1,0)</f>
        <v>0</v>
      </c>
    </row>
    <row r="390" customFormat="false" ht="15" hidden="false" customHeight="false" outlineLevel="0" collapsed="false">
      <c r="A390" s="13" t="s">
        <v>632</v>
      </c>
      <c r="B390" s="13" t="s">
        <v>179</v>
      </c>
      <c r="C390" s="13" t="n">
        <v>3000</v>
      </c>
      <c r="D390" s="13" t="n">
        <v>20</v>
      </c>
      <c r="E390" s="13" t="n">
        <v>149.99</v>
      </c>
      <c r="F390" s="13" t="s">
        <v>5325</v>
      </c>
      <c r="G390" s="13" t="s">
        <v>5289</v>
      </c>
      <c r="H390" s="13" t="s">
        <v>5289</v>
      </c>
      <c r="I390" s="13" t="s">
        <v>5289</v>
      </c>
      <c r="J390" s="13" t="s">
        <v>5289</v>
      </c>
      <c r="K390" s="13" t="s">
        <v>5292</v>
      </c>
      <c r="L390" s="13" t="s">
        <v>5456</v>
      </c>
      <c r="M390" s="13"/>
      <c r="N390" s="13"/>
      <c r="O390" s="13"/>
      <c r="P390" s="13" t="s">
        <v>5291</v>
      </c>
      <c r="Q390" s="13" t="s">
        <v>5289</v>
      </c>
      <c r="R390" s="13" t="s">
        <v>5292</v>
      </c>
      <c r="S390" s="13" t="s">
        <v>5293</v>
      </c>
      <c r="T390" s="13" t="s">
        <v>3</v>
      </c>
      <c r="U390" s="13" t="s">
        <v>180</v>
      </c>
      <c r="V390" s="13" t="n">
        <f aca="false">IF(COUNTIF($B$2:B390,B390)=1,1,0)</f>
        <v>0</v>
      </c>
      <c r="W390" s="13" t="n">
        <f aca="false">IF(COUNTIFS($B$2:B390,B390,$T$2:T390,T390)=1,1,0)</f>
        <v>0</v>
      </c>
    </row>
    <row r="391" customFormat="false" ht="15" hidden="false" customHeight="false" outlineLevel="0" collapsed="false">
      <c r="A391" s="13" t="s">
        <v>704</v>
      </c>
      <c r="B391" s="13" t="s">
        <v>362</v>
      </c>
      <c r="C391" s="13" t="n">
        <v>3000</v>
      </c>
      <c r="D391" s="13" t="n">
        <v>5</v>
      </c>
      <c r="E391" s="13" t="n">
        <v>493.47</v>
      </c>
      <c r="F391" s="13" t="s">
        <v>5288</v>
      </c>
      <c r="G391" s="13" t="s">
        <v>5289</v>
      </c>
      <c r="H391" s="13" t="s">
        <v>5289</v>
      </c>
      <c r="I391" s="13" t="s">
        <v>5289</v>
      </c>
      <c r="J391" s="13" t="s">
        <v>5289</v>
      </c>
      <c r="K391" s="13" t="s">
        <v>5289</v>
      </c>
      <c r="L391" s="13" t="s">
        <v>2838</v>
      </c>
      <c r="M391" s="13"/>
      <c r="N391" s="13"/>
      <c r="O391" s="13"/>
      <c r="P391" s="13" t="s">
        <v>5304</v>
      </c>
      <c r="Q391" s="13" t="s">
        <v>5289</v>
      </c>
      <c r="R391" s="13" t="s">
        <v>5292</v>
      </c>
      <c r="S391" s="13" t="s">
        <v>5293</v>
      </c>
      <c r="T391" s="13" t="s">
        <v>3</v>
      </c>
      <c r="U391" s="13" t="s">
        <v>43</v>
      </c>
      <c r="V391" s="13" t="n">
        <f aca="false">IF(COUNTIF($B$2:B391,B391)=1,1,0)</f>
        <v>1</v>
      </c>
      <c r="W391" s="13" t="n">
        <f aca="false">IF(COUNTIFS($B$2:B391,B391,$T$2:T391,T391)=1,1,0)</f>
        <v>1</v>
      </c>
    </row>
    <row r="392" customFormat="false" ht="15" hidden="false" customHeight="false" outlineLevel="0" collapsed="false">
      <c r="A392" s="13" t="s">
        <v>721</v>
      </c>
      <c r="B392" s="13" t="s">
        <v>191</v>
      </c>
      <c r="C392" s="13" t="n">
        <v>2900</v>
      </c>
      <c r="D392" s="13" t="n">
        <v>20</v>
      </c>
      <c r="E392" s="13" t="n">
        <v>152.449473684211</v>
      </c>
      <c r="F392" s="13" t="s">
        <v>5288</v>
      </c>
      <c r="G392" s="13" t="s">
        <v>5289</v>
      </c>
      <c r="H392" s="13" t="s">
        <v>5289</v>
      </c>
      <c r="I392" s="13" t="s">
        <v>5289</v>
      </c>
      <c r="J392" s="13" t="s">
        <v>5289</v>
      </c>
      <c r="K392" s="13" t="s">
        <v>5292</v>
      </c>
      <c r="L392" s="13" t="s">
        <v>3335</v>
      </c>
      <c r="M392" s="13"/>
      <c r="N392" s="13" t="n">
        <v>7898973267369</v>
      </c>
      <c r="O392" s="13"/>
      <c r="P392" s="13" t="s">
        <v>5291</v>
      </c>
      <c r="Q392" s="13" t="s">
        <v>5289</v>
      </c>
      <c r="R392" s="13" t="s">
        <v>5292</v>
      </c>
      <c r="S392" s="13" t="s">
        <v>5293</v>
      </c>
      <c r="T392" s="13" t="s">
        <v>3</v>
      </c>
      <c r="U392" s="13" t="s">
        <v>183</v>
      </c>
      <c r="V392" s="13" t="n">
        <f aca="false">IF(COUNTIF($B$2:B392,B392)=1,1,0)</f>
        <v>0</v>
      </c>
      <c r="W392" s="13" t="n">
        <f aca="false">IF(COUNTIFS($B$2:B392,B392,$T$2:T392,T392)=1,1,0)</f>
        <v>0</v>
      </c>
    </row>
    <row r="393" customFormat="false" ht="15" hidden="false" customHeight="false" outlineLevel="0" collapsed="false">
      <c r="A393" s="13" t="s">
        <v>3367</v>
      </c>
      <c r="B393" s="13" t="s">
        <v>2156</v>
      </c>
      <c r="C393" s="13" t="n">
        <v>2900</v>
      </c>
      <c r="D393" s="13" t="n">
        <v>5</v>
      </c>
      <c r="E393" s="13" t="n">
        <v>287.293</v>
      </c>
      <c r="F393" s="13" t="s">
        <v>5288</v>
      </c>
      <c r="G393" s="13" t="s">
        <v>5289</v>
      </c>
      <c r="H393" s="13" t="s">
        <v>5289</v>
      </c>
      <c r="I393" s="13" t="s">
        <v>5289</v>
      </c>
      <c r="J393" s="13" t="s">
        <v>5289</v>
      </c>
      <c r="K393" s="13" t="s">
        <v>5289</v>
      </c>
      <c r="L393" s="13" t="s">
        <v>3366</v>
      </c>
      <c r="M393" s="13"/>
      <c r="N393" s="13" t="n">
        <v>7891033473786</v>
      </c>
      <c r="O393" s="13"/>
      <c r="P393" s="13" t="s">
        <v>5291</v>
      </c>
      <c r="Q393" s="13" t="s">
        <v>5289</v>
      </c>
      <c r="R393" s="13" t="s">
        <v>5292</v>
      </c>
      <c r="S393" s="13" t="s">
        <v>5293</v>
      </c>
      <c r="T393" s="13" t="s">
        <v>3</v>
      </c>
      <c r="U393" s="13" t="s">
        <v>43</v>
      </c>
      <c r="V393" s="13" t="n">
        <f aca="false">IF(COUNTIF($B$2:B393,B393)=1,1,0)</f>
        <v>0</v>
      </c>
      <c r="W393" s="13" t="n">
        <f aca="false">IF(COUNTIFS($B$2:B393,B393,$T$2:T393,T393)=1,1,0)</f>
        <v>0</v>
      </c>
    </row>
    <row r="394" customFormat="false" ht="15" hidden="false" customHeight="false" outlineLevel="0" collapsed="false">
      <c r="A394" s="13" t="s">
        <v>728</v>
      </c>
      <c r="B394" s="13" t="s">
        <v>79</v>
      </c>
      <c r="C394" s="13" t="n">
        <v>2900</v>
      </c>
      <c r="D394" s="13" t="n">
        <v>2</v>
      </c>
      <c r="E394" s="13" t="n">
        <v>715.85</v>
      </c>
      <c r="F394" s="13" t="s">
        <v>5288</v>
      </c>
      <c r="G394" s="13" t="s">
        <v>5289</v>
      </c>
      <c r="H394" s="13" t="s">
        <v>5289</v>
      </c>
      <c r="I394" s="13" t="s">
        <v>5289</v>
      </c>
      <c r="J394" s="13" t="s">
        <v>5289</v>
      </c>
      <c r="K394" s="13" t="s">
        <v>5289</v>
      </c>
      <c r="L394" s="13" t="s">
        <v>3589</v>
      </c>
      <c r="M394" s="13"/>
      <c r="N394" s="13"/>
      <c r="O394" s="13"/>
      <c r="P394" s="13" t="s">
        <v>5291</v>
      </c>
      <c r="Q394" s="13" t="s">
        <v>5289</v>
      </c>
      <c r="R394" s="13" t="s">
        <v>5292</v>
      </c>
      <c r="S394" s="13" t="s">
        <v>5293</v>
      </c>
      <c r="T394" s="13" t="s">
        <v>3</v>
      </c>
      <c r="U394" s="13" t="s">
        <v>43</v>
      </c>
      <c r="V394" s="13" t="n">
        <f aca="false">IF(COUNTIF($B$2:B394,B394)=1,1,0)</f>
        <v>0</v>
      </c>
      <c r="W394" s="13" t="n">
        <f aca="false">IF(COUNTIFS($B$2:B394,B394,$T$2:T394,T394)=1,1,0)</f>
        <v>0</v>
      </c>
    </row>
    <row r="395" customFormat="false" ht="15" hidden="false" customHeight="false" outlineLevel="0" collapsed="false">
      <c r="A395" s="13" t="s">
        <v>5457</v>
      </c>
      <c r="B395" s="13" t="s">
        <v>2104</v>
      </c>
      <c r="C395" s="13" t="n">
        <v>2900</v>
      </c>
      <c r="D395" s="13" t="n">
        <v>80</v>
      </c>
      <c r="E395" s="13" t="n">
        <v>37.6402631578947</v>
      </c>
      <c r="F395" s="13" t="s">
        <v>5288</v>
      </c>
      <c r="G395" s="13" t="s">
        <v>5289</v>
      </c>
      <c r="H395" s="13" t="s">
        <v>5289</v>
      </c>
      <c r="I395" s="13" t="s">
        <v>5292</v>
      </c>
      <c r="J395" s="13" t="s">
        <v>5289</v>
      </c>
      <c r="K395" s="13" t="s">
        <v>5292</v>
      </c>
      <c r="L395" s="13" t="s">
        <v>2382</v>
      </c>
      <c r="M395" s="13"/>
      <c r="N395" s="13"/>
      <c r="O395" s="13"/>
      <c r="P395" s="13" t="s">
        <v>5291</v>
      </c>
      <c r="Q395" s="13" t="s">
        <v>5289</v>
      </c>
      <c r="R395" s="13" t="s">
        <v>5292</v>
      </c>
      <c r="S395" s="13" t="s">
        <v>5293</v>
      </c>
      <c r="T395" s="13" t="s">
        <v>3</v>
      </c>
      <c r="U395" s="13" t="s">
        <v>57</v>
      </c>
      <c r="V395" s="13" t="n">
        <f aca="false">IF(COUNTIF($B$2:B395,B395)=1,1,0)</f>
        <v>0</v>
      </c>
      <c r="W395" s="13" t="n">
        <f aca="false">IF(COUNTIFS($B$2:B395,B395,$T$2:T395,T395)=1,1,0)</f>
        <v>0</v>
      </c>
    </row>
    <row r="396" customFormat="false" ht="15" hidden="false" customHeight="false" outlineLevel="0" collapsed="false">
      <c r="A396" s="13" t="s">
        <v>740</v>
      </c>
      <c r="B396" s="13" t="s">
        <v>105</v>
      </c>
      <c r="C396" s="13" t="n">
        <v>2800</v>
      </c>
      <c r="D396" s="13" t="n">
        <v>5</v>
      </c>
      <c r="E396" s="13" t="n">
        <v>353.99375</v>
      </c>
      <c r="F396" s="13" t="s">
        <v>5288</v>
      </c>
      <c r="G396" s="13" t="s">
        <v>5289</v>
      </c>
      <c r="H396" s="13" t="s">
        <v>5289</v>
      </c>
      <c r="I396" s="13" t="s">
        <v>5289</v>
      </c>
      <c r="J396" s="13" t="s">
        <v>5289</v>
      </c>
      <c r="K396" s="13" t="s">
        <v>5292</v>
      </c>
      <c r="L396" s="13" t="s">
        <v>3388</v>
      </c>
      <c r="M396" s="13"/>
      <c r="N396" s="13" t="n">
        <v>3616304062490</v>
      </c>
      <c r="O396" s="13"/>
      <c r="P396" s="13" t="s">
        <v>5304</v>
      </c>
      <c r="Q396" s="13" t="s">
        <v>5289</v>
      </c>
      <c r="R396" s="13" t="s">
        <v>5292</v>
      </c>
      <c r="S396" s="13" t="s">
        <v>5293</v>
      </c>
      <c r="T396" s="13" t="s">
        <v>3</v>
      </c>
      <c r="U396" s="13" t="s">
        <v>43</v>
      </c>
      <c r="V396" s="13" t="n">
        <f aca="false">IF(COUNTIF($B$2:B396,B396)=1,1,0)</f>
        <v>0</v>
      </c>
      <c r="W396" s="13" t="n">
        <f aca="false">IF(COUNTIFS($B$2:B396,B396,$T$2:T396,T396)=1,1,0)</f>
        <v>0</v>
      </c>
    </row>
    <row r="397" customFormat="false" ht="15" hidden="false" customHeight="false" outlineLevel="0" collapsed="false">
      <c r="A397" s="13" t="s">
        <v>5458</v>
      </c>
      <c r="B397" s="13" t="s">
        <v>2203</v>
      </c>
      <c r="C397" s="13" t="n">
        <v>2800</v>
      </c>
      <c r="D397" s="13" t="n">
        <v>5</v>
      </c>
      <c r="E397" s="13" t="n">
        <v>399.447142857143</v>
      </c>
      <c r="F397" s="13" t="s">
        <v>5288</v>
      </c>
      <c r="G397" s="13" t="s">
        <v>5289</v>
      </c>
      <c r="H397" s="13" t="s">
        <v>5289</v>
      </c>
      <c r="I397" s="13" t="s">
        <v>5289</v>
      </c>
      <c r="J397" s="13" t="s">
        <v>5289</v>
      </c>
      <c r="K397" s="13" t="s">
        <v>5289</v>
      </c>
      <c r="L397" s="13" t="s">
        <v>5459</v>
      </c>
      <c r="M397" s="13"/>
      <c r="N397" s="13" t="n">
        <v>98691047718</v>
      </c>
      <c r="O397" s="13"/>
      <c r="P397" s="13" t="s">
        <v>5291</v>
      </c>
      <c r="Q397" s="13" t="s">
        <v>5289</v>
      </c>
      <c r="R397" s="13" t="s">
        <v>5292</v>
      </c>
      <c r="S397" s="13" t="s">
        <v>5293</v>
      </c>
      <c r="T397" s="13" t="s">
        <v>3</v>
      </c>
      <c r="U397" s="13" t="s">
        <v>43</v>
      </c>
      <c r="V397" s="13" t="n">
        <f aca="false">IF(COUNTIF($B$2:B397,B397)=1,1,0)</f>
        <v>1</v>
      </c>
      <c r="W397" s="13" t="n">
        <f aca="false">IF(COUNTIFS($B$2:B397,B397,$T$2:T397,T397)=1,1,0)</f>
        <v>1</v>
      </c>
    </row>
    <row r="398" customFormat="false" ht="15" hidden="false" customHeight="false" outlineLevel="0" collapsed="false">
      <c r="A398" s="13" t="s">
        <v>739</v>
      </c>
      <c r="B398" s="13" t="s">
        <v>270</v>
      </c>
      <c r="C398" s="13" t="n">
        <v>2800</v>
      </c>
      <c r="D398" s="13" t="n">
        <v>10</v>
      </c>
      <c r="E398" s="13" t="n">
        <v>251.069090909091</v>
      </c>
      <c r="F398" s="13" t="s">
        <v>5288</v>
      </c>
      <c r="G398" s="13" t="s">
        <v>5289</v>
      </c>
      <c r="H398" s="13" t="s">
        <v>5289</v>
      </c>
      <c r="I398" s="13" t="s">
        <v>5289</v>
      </c>
      <c r="J398" s="13" t="s">
        <v>5289</v>
      </c>
      <c r="K398" s="13" t="s">
        <v>5289</v>
      </c>
      <c r="L398" s="13" t="s">
        <v>3250</v>
      </c>
      <c r="M398" s="13"/>
      <c r="N398" s="13" t="n">
        <v>878813000025</v>
      </c>
      <c r="O398" s="13"/>
      <c r="P398" s="13" t="s">
        <v>5291</v>
      </c>
      <c r="Q398" s="13" t="s">
        <v>5289</v>
      </c>
      <c r="R398" s="13" t="s">
        <v>5292</v>
      </c>
      <c r="S398" s="13" t="s">
        <v>5293</v>
      </c>
      <c r="T398" s="13" t="s">
        <v>3</v>
      </c>
      <c r="U398" s="13" t="s">
        <v>43</v>
      </c>
      <c r="V398" s="13" t="n">
        <f aca="false">IF(COUNTIF($B$2:B398,B398)=1,1,0)</f>
        <v>0</v>
      </c>
      <c r="W398" s="13" t="n">
        <f aca="false">IF(COUNTIFS($B$2:B398,B398,$T$2:T398,T398)=1,1,0)</f>
        <v>0</v>
      </c>
    </row>
    <row r="399" customFormat="false" ht="15" hidden="false" customHeight="false" outlineLevel="0" collapsed="false">
      <c r="A399" s="13" t="s">
        <v>3183</v>
      </c>
      <c r="B399" s="13" t="s">
        <v>2095</v>
      </c>
      <c r="C399" s="13" t="n">
        <v>2700</v>
      </c>
      <c r="D399" s="13" t="n">
        <v>20</v>
      </c>
      <c r="E399" s="13" t="n">
        <v>109.3748</v>
      </c>
      <c r="F399" s="13" t="s">
        <v>5288</v>
      </c>
      <c r="G399" s="13" t="s">
        <v>5289</v>
      </c>
      <c r="H399" s="13" t="s">
        <v>5289</v>
      </c>
      <c r="I399" s="13" t="s">
        <v>5289</v>
      </c>
      <c r="J399" s="13" t="s">
        <v>5289</v>
      </c>
      <c r="K399" s="13" t="s">
        <v>5292</v>
      </c>
      <c r="L399" s="13" t="s">
        <v>3182</v>
      </c>
      <c r="M399" s="13"/>
      <c r="N399" s="13" t="n">
        <v>7898665434888</v>
      </c>
      <c r="O399" s="13"/>
      <c r="P399" s="13" t="s">
        <v>5297</v>
      </c>
      <c r="Q399" s="13" t="s">
        <v>5289</v>
      </c>
      <c r="R399" s="13" t="s">
        <v>5292</v>
      </c>
      <c r="S399" s="13" t="s">
        <v>5293</v>
      </c>
      <c r="T399" s="13" t="s">
        <v>3</v>
      </c>
      <c r="U399" s="13" t="s">
        <v>140</v>
      </c>
      <c r="V399" s="13" t="n">
        <f aca="false">IF(COUNTIF($B$2:B399,B399)=1,1,0)</f>
        <v>0</v>
      </c>
      <c r="W399" s="13" t="n">
        <f aca="false">IF(COUNTIFS($B$2:B399,B399,$T$2:T399,T399)=1,1,0)</f>
        <v>0</v>
      </c>
    </row>
    <row r="400" customFormat="false" ht="15" hidden="false" customHeight="false" outlineLevel="0" collapsed="false">
      <c r="A400" s="13" t="s">
        <v>3399</v>
      </c>
      <c r="B400" s="13" t="s">
        <v>2107</v>
      </c>
      <c r="C400" s="13" t="n">
        <v>2700</v>
      </c>
      <c r="D400" s="13" t="n">
        <v>30</v>
      </c>
      <c r="E400" s="13" t="n">
        <v>87.9229032258064</v>
      </c>
      <c r="F400" s="13" t="s">
        <v>5288</v>
      </c>
      <c r="G400" s="13" t="s">
        <v>5289</v>
      </c>
      <c r="H400" s="13" t="s">
        <v>5289</v>
      </c>
      <c r="I400" s="13" t="s">
        <v>5289</v>
      </c>
      <c r="J400" s="13" t="s">
        <v>5289</v>
      </c>
      <c r="K400" s="13" t="s">
        <v>5292</v>
      </c>
      <c r="L400" s="13" t="s">
        <v>3398</v>
      </c>
      <c r="M400" s="13"/>
      <c r="N400" s="13" t="n">
        <v>8439627638181</v>
      </c>
      <c r="O400" s="13"/>
      <c r="P400" s="13" t="s">
        <v>5297</v>
      </c>
      <c r="Q400" s="13" t="s">
        <v>5289</v>
      </c>
      <c r="R400" s="13" t="s">
        <v>5292</v>
      </c>
      <c r="S400" s="13" t="s">
        <v>5293</v>
      </c>
      <c r="T400" s="13" t="s">
        <v>3</v>
      </c>
      <c r="U400" s="13" t="s">
        <v>43</v>
      </c>
      <c r="V400" s="13" t="n">
        <f aca="false">IF(COUNTIF($B$2:B400,B400)=1,1,0)</f>
        <v>0</v>
      </c>
      <c r="W400" s="13" t="n">
        <f aca="false">IF(COUNTIFS($B$2:B400,B400,$T$2:T400,T400)=1,1,0)</f>
        <v>0</v>
      </c>
    </row>
    <row r="401" customFormat="false" ht="15" hidden="false" customHeight="false" outlineLevel="0" collapsed="false">
      <c r="A401" s="13" t="s">
        <v>753</v>
      </c>
      <c r="B401" s="13" t="s">
        <v>179</v>
      </c>
      <c r="C401" s="13" t="n">
        <v>2700</v>
      </c>
      <c r="D401" s="13" t="n">
        <v>5</v>
      </c>
      <c r="E401" s="13" t="n">
        <v>387.99</v>
      </c>
      <c r="F401" s="13" t="s">
        <v>5288</v>
      </c>
      <c r="G401" s="13" t="s">
        <v>5289</v>
      </c>
      <c r="H401" s="13" t="s">
        <v>5289</v>
      </c>
      <c r="I401" s="13" t="s">
        <v>5289</v>
      </c>
      <c r="J401" s="13" t="s">
        <v>5289</v>
      </c>
      <c r="K401" s="13" t="s">
        <v>5292</v>
      </c>
      <c r="L401" s="13" t="s">
        <v>3395</v>
      </c>
      <c r="M401" s="13"/>
      <c r="N401" s="13" t="n">
        <v>7908005352311</v>
      </c>
      <c r="O401" s="13"/>
      <c r="P401" s="13" t="s">
        <v>5291</v>
      </c>
      <c r="Q401" s="13" t="s">
        <v>5289</v>
      </c>
      <c r="R401" s="13" t="s">
        <v>5292</v>
      </c>
      <c r="S401" s="13" t="s">
        <v>5293</v>
      </c>
      <c r="T401" s="13" t="s">
        <v>3</v>
      </c>
      <c r="U401" s="13" t="s">
        <v>85</v>
      </c>
      <c r="V401" s="13" t="n">
        <f aca="false">IF(COUNTIF($B$2:B401,B401)=1,1,0)</f>
        <v>0</v>
      </c>
      <c r="W401" s="13" t="n">
        <f aca="false">IF(COUNTIFS($B$2:B401,B401,$T$2:T401,T401)=1,1,0)</f>
        <v>0</v>
      </c>
    </row>
    <row r="402" customFormat="false" ht="15" hidden="false" customHeight="false" outlineLevel="0" collapsed="false">
      <c r="A402" s="13" t="s">
        <v>3407</v>
      </c>
      <c r="B402" s="13" t="s">
        <v>2182</v>
      </c>
      <c r="C402" s="13" t="n">
        <v>2700</v>
      </c>
      <c r="D402" s="13" t="n">
        <v>30</v>
      </c>
      <c r="E402" s="13" t="n">
        <v>100.523703703704</v>
      </c>
      <c r="F402" s="13" t="s">
        <v>5288</v>
      </c>
      <c r="G402" s="13" t="s">
        <v>5289</v>
      </c>
      <c r="H402" s="13" t="s">
        <v>5289</v>
      </c>
      <c r="I402" s="13" t="s">
        <v>5289</v>
      </c>
      <c r="J402" s="13" t="s">
        <v>5289</v>
      </c>
      <c r="K402" s="13" t="s">
        <v>5292</v>
      </c>
      <c r="L402" s="13" t="s">
        <v>5460</v>
      </c>
      <c r="M402" s="13"/>
      <c r="N402" s="13" t="n">
        <v>7899828200210</v>
      </c>
      <c r="O402" s="13"/>
      <c r="P402" s="13" t="s">
        <v>5291</v>
      </c>
      <c r="Q402" s="13" t="s">
        <v>5289</v>
      </c>
      <c r="R402" s="13" t="s">
        <v>5292</v>
      </c>
      <c r="S402" s="13" t="s">
        <v>5293</v>
      </c>
      <c r="T402" s="13" t="s">
        <v>3</v>
      </c>
      <c r="U402" s="13" t="s">
        <v>57</v>
      </c>
      <c r="V402" s="13" t="n">
        <f aca="false">IF(COUNTIF($B$2:B402,B402)=1,1,0)</f>
        <v>1</v>
      </c>
      <c r="W402" s="13" t="n">
        <f aca="false">IF(COUNTIFS($B$2:B402,B402,$T$2:T402,T402)=1,1,0)</f>
        <v>1</v>
      </c>
    </row>
    <row r="403" customFormat="false" ht="15" hidden="false" customHeight="false" outlineLevel="0" collapsed="false">
      <c r="A403" s="13" t="s">
        <v>249</v>
      </c>
      <c r="B403" s="13" t="s">
        <v>248</v>
      </c>
      <c r="C403" s="13" t="n">
        <v>2700</v>
      </c>
      <c r="D403" s="13" t="n">
        <v>10</v>
      </c>
      <c r="E403" s="13" t="n">
        <v>193.784285714286</v>
      </c>
      <c r="F403" s="13" t="s">
        <v>5288</v>
      </c>
      <c r="G403" s="13" t="s">
        <v>5289</v>
      </c>
      <c r="H403" s="13" t="s">
        <v>5292</v>
      </c>
      <c r="I403" s="13" t="s">
        <v>5289</v>
      </c>
      <c r="J403" s="13" t="s">
        <v>5289</v>
      </c>
      <c r="K403" s="13" t="s">
        <v>5289</v>
      </c>
      <c r="L403" s="13" t="s">
        <v>5349</v>
      </c>
      <c r="M403" s="13"/>
      <c r="N403" s="13" t="n">
        <v>7896027543353</v>
      </c>
      <c r="O403" s="13"/>
      <c r="P403" s="13" t="s">
        <v>5291</v>
      </c>
      <c r="Q403" s="13" t="s">
        <v>5289</v>
      </c>
      <c r="R403" s="13" t="s">
        <v>5292</v>
      </c>
      <c r="S403" s="13" t="s">
        <v>5293</v>
      </c>
      <c r="T403" s="13" t="s">
        <v>3</v>
      </c>
      <c r="U403" s="13" t="s">
        <v>85</v>
      </c>
      <c r="V403" s="13" t="n">
        <f aca="false">IF(COUNTIF($B$2:B403,B403)=1,1,0)</f>
        <v>0</v>
      </c>
      <c r="W403" s="13" t="n">
        <f aca="false">IF(COUNTIFS($B$2:B403,B403,$T$2:T403,T403)=1,1,0)</f>
        <v>0</v>
      </c>
    </row>
    <row r="404" customFormat="false" ht="15" hidden="false" customHeight="false" outlineLevel="0" collapsed="false">
      <c r="A404" s="13" t="s">
        <v>3402</v>
      </c>
      <c r="B404" s="13" t="s">
        <v>2095</v>
      </c>
      <c r="C404" s="13" t="n">
        <v>2700</v>
      </c>
      <c r="D404" s="13" t="n">
        <v>60</v>
      </c>
      <c r="E404" s="13" t="n">
        <v>46.7814035087719</v>
      </c>
      <c r="F404" s="13" t="s">
        <v>5288</v>
      </c>
      <c r="G404" s="13" t="s">
        <v>5289</v>
      </c>
      <c r="H404" s="13" t="s">
        <v>5289</v>
      </c>
      <c r="I404" s="13" t="s">
        <v>5292</v>
      </c>
      <c r="J404" s="13" t="s">
        <v>5289</v>
      </c>
      <c r="K404" s="13" t="s">
        <v>5292</v>
      </c>
      <c r="L404" s="13" t="s">
        <v>5461</v>
      </c>
      <c r="M404" s="13"/>
      <c r="N404" s="13" t="n">
        <v>7898665434338</v>
      </c>
      <c r="O404" s="13"/>
      <c r="P404" s="13" t="s">
        <v>5291</v>
      </c>
      <c r="Q404" s="13" t="s">
        <v>5289</v>
      </c>
      <c r="R404" s="13" t="s">
        <v>5292</v>
      </c>
      <c r="S404" s="13" t="s">
        <v>5293</v>
      </c>
      <c r="T404" s="13" t="s">
        <v>3</v>
      </c>
      <c r="U404" s="13" t="s">
        <v>140</v>
      </c>
      <c r="V404" s="13" t="n">
        <f aca="false">IF(COUNTIF($B$2:B404,B404)=1,1,0)</f>
        <v>0</v>
      </c>
      <c r="W404" s="13" t="n">
        <f aca="false">IF(COUNTIFS($B$2:B404,B404,$T$2:T404,T404)=1,1,0)</f>
        <v>0</v>
      </c>
    </row>
    <row r="405" customFormat="false" ht="15" hidden="false" customHeight="false" outlineLevel="0" collapsed="false">
      <c r="A405" s="13" t="s">
        <v>788</v>
      </c>
      <c r="B405" s="13" t="s">
        <v>165</v>
      </c>
      <c r="C405" s="13" t="n">
        <v>2600</v>
      </c>
      <c r="D405" s="13" t="n">
        <v>5</v>
      </c>
      <c r="E405" s="13" t="n">
        <v>378.411428571429</v>
      </c>
      <c r="F405" s="13" t="s">
        <v>5325</v>
      </c>
      <c r="G405" s="13" t="s">
        <v>5289</v>
      </c>
      <c r="H405" s="13" t="s">
        <v>5289</v>
      </c>
      <c r="I405" s="13" t="s">
        <v>5289</v>
      </c>
      <c r="J405" s="13" t="s">
        <v>5289</v>
      </c>
      <c r="K405" s="13" t="s">
        <v>5289</v>
      </c>
      <c r="L405" s="13" t="s">
        <v>3423</v>
      </c>
      <c r="M405" s="13"/>
      <c r="N405" s="13" t="n">
        <v>3351500016600</v>
      </c>
      <c r="O405" s="13"/>
      <c r="P405" s="13" t="s">
        <v>5297</v>
      </c>
      <c r="Q405" s="13" t="s">
        <v>5289</v>
      </c>
      <c r="R405" s="13" t="s">
        <v>5292</v>
      </c>
      <c r="S405" s="13" t="s">
        <v>5293</v>
      </c>
      <c r="T405" s="13" t="s">
        <v>3</v>
      </c>
      <c r="U405" s="13" t="s">
        <v>43</v>
      </c>
      <c r="V405" s="13" t="n">
        <f aca="false">IF(COUNTIF($B$2:B405,B405)=1,1,0)</f>
        <v>0</v>
      </c>
      <c r="W405" s="13" t="n">
        <f aca="false">IF(COUNTIFS($B$2:B405,B405,$T$2:T405,T405)=1,1,0)</f>
        <v>0</v>
      </c>
    </row>
    <row r="406" customFormat="false" ht="15" hidden="false" customHeight="false" outlineLevel="0" collapsed="false">
      <c r="A406" s="13" t="s">
        <v>577</v>
      </c>
      <c r="B406" s="13" t="s">
        <v>79</v>
      </c>
      <c r="C406" s="13" t="n">
        <v>2600</v>
      </c>
      <c r="D406" s="13" t="n">
        <v>2</v>
      </c>
      <c r="E406" s="13" t="n">
        <v>659.72</v>
      </c>
      <c r="F406" s="13" t="s">
        <v>5288</v>
      </c>
      <c r="G406" s="13" t="s">
        <v>5289</v>
      </c>
      <c r="H406" s="13" t="s">
        <v>5289</v>
      </c>
      <c r="I406" s="13" t="s">
        <v>5289</v>
      </c>
      <c r="J406" s="13" t="s">
        <v>5289</v>
      </c>
      <c r="K406" s="13" t="s">
        <v>5289</v>
      </c>
      <c r="L406" s="13" t="s">
        <v>3437</v>
      </c>
      <c r="M406" s="13"/>
      <c r="N406" s="13" t="n">
        <v>8054754407280</v>
      </c>
      <c r="O406" s="13"/>
      <c r="P406" s="13" t="s">
        <v>5297</v>
      </c>
      <c r="Q406" s="13" t="s">
        <v>5289</v>
      </c>
      <c r="R406" s="13" t="s">
        <v>5292</v>
      </c>
      <c r="S406" s="13" t="s">
        <v>5293</v>
      </c>
      <c r="T406" s="13" t="s">
        <v>3</v>
      </c>
      <c r="U406" s="13" t="s">
        <v>43</v>
      </c>
      <c r="V406" s="13" t="n">
        <f aca="false">IF(COUNTIF($B$2:B406,B406)=1,1,0)</f>
        <v>0</v>
      </c>
      <c r="W406" s="13" t="n">
        <f aca="false">IF(COUNTIFS($B$2:B406,B406,$T$2:T406,T406)=1,1,0)</f>
        <v>0</v>
      </c>
    </row>
    <row r="407" customFormat="false" ht="15" hidden="false" customHeight="false" outlineLevel="0" collapsed="false">
      <c r="A407" s="13" t="s">
        <v>767</v>
      </c>
      <c r="B407" s="13" t="s">
        <v>161</v>
      </c>
      <c r="C407" s="13" t="n">
        <v>2600</v>
      </c>
      <c r="D407" s="13" t="n">
        <v>10</v>
      </c>
      <c r="E407" s="13" t="n">
        <v>239.850909090909</v>
      </c>
      <c r="F407" s="13" t="s">
        <v>5288</v>
      </c>
      <c r="G407" s="13" t="s">
        <v>5289</v>
      </c>
      <c r="H407" s="13" t="s">
        <v>5289</v>
      </c>
      <c r="I407" s="13" t="s">
        <v>5289</v>
      </c>
      <c r="J407" s="13" t="s">
        <v>5289</v>
      </c>
      <c r="K407" s="13" t="s">
        <v>5289</v>
      </c>
      <c r="L407" s="13" t="s">
        <v>3315</v>
      </c>
      <c r="M407" s="13"/>
      <c r="N407" s="13" t="n">
        <v>3355991005846</v>
      </c>
      <c r="O407" s="13"/>
      <c r="P407" s="13" t="s">
        <v>5291</v>
      </c>
      <c r="Q407" s="13" t="s">
        <v>5289</v>
      </c>
      <c r="R407" s="13" t="s">
        <v>5292</v>
      </c>
      <c r="S407" s="13" t="s">
        <v>5293</v>
      </c>
      <c r="T407" s="13" t="s">
        <v>3</v>
      </c>
      <c r="U407" s="13" t="s">
        <v>43</v>
      </c>
      <c r="V407" s="13" t="n">
        <f aca="false">IF(COUNTIF($B$2:B407,B407)=1,1,0)</f>
        <v>0</v>
      </c>
      <c r="W407" s="13" t="n">
        <f aca="false">IF(COUNTIFS($B$2:B407,B407,$T$2:T407,T407)=1,1,0)</f>
        <v>0</v>
      </c>
    </row>
    <row r="408" customFormat="false" ht="15" hidden="false" customHeight="false" outlineLevel="0" collapsed="false">
      <c r="A408" s="13" t="s">
        <v>768</v>
      </c>
      <c r="B408" s="13" t="s">
        <v>179</v>
      </c>
      <c r="C408" s="13" t="n">
        <v>2600</v>
      </c>
      <c r="D408" s="13" t="n">
        <v>20</v>
      </c>
      <c r="E408" s="13" t="n">
        <v>154.294117647059</v>
      </c>
      <c r="F408" s="13" t="s">
        <v>5288</v>
      </c>
      <c r="G408" s="13" t="s">
        <v>5289</v>
      </c>
      <c r="H408" s="13" t="s">
        <v>5289</v>
      </c>
      <c r="I408" s="13" t="s">
        <v>5289</v>
      </c>
      <c r="J408" s="13" t="s">
        <v>5289</v>
      </c>
      <c r="K408" s="13" t="s">
        <v>5292</v>
      </c>
      <c r="L408" s="13" t="s">
        <v>3421</v>
      </c>
      <c r="M408" s="13"/>
      <c r="N408" s="13" t="n">
        <v>7908005352373</v>
      </c>
      <c r="O408" s="13"/>
      <c r="P408" s="13" t="s">
        <v>5291</v>
      </c>
      <c r="Q408" s="13" t="s">
        <v>5289</v>
      </c>
      <c r="R408" s="13" t="s">
        <v>5292</v>
      </c>
      <c r="S408" s="13" t="s">
        <v>5293</v>
      </c>
      <c r="T408" s="13" t="s">
        <v>3</v>
      </c>
      <c r="U408" s="13" t="s">
        <v>85</v>
      </c>
      <c r="V408" s="13" t="n">
        <f aca="false">IF(COUNTIF($B$2:B408,B408)=1,1,0)</f>
        <v>0</v>
      </c>
      <c r="W408" s="13" t="n">
        <f aca="false">IF(COUNTIFS($B$2:B408,B408,$T$2:T408,T408)=1,1,0)</f>
        <v>0</v>
      </c>
    </row>
    <row r="409" customFormat="false" ht="15" hidden="false" customHeight="false" outlineLevel="0" collapsed="false">
      <c r="A409" s="13" t="s">
        <v>3397</v>
      </c>
      <c r="B409" s="13" t="s">
        <v>2101</v>
      </c>
      <c r="C409" s="13" t="n">
        <v>2600</v>
      </c>
      <c r="D409" s="13" t="n">
        <v>30</v>
      </c>
      <c r="E409" s="13" t="n">
        <v>99.9138461538461</v>
      </c>
      <c r="F409" s="13" t="s">
        <v>5288</v>
      </c>
      <c r="G409" s="13" t="s">
        <v>5289</v>
      </c>
      <c r="H409" s="13" t="s">
        <v>5289</v>
      </c>
      <c r="I409" s="13" t="s">
        <v>5289</v>
      </c>
      <c r="J409" s="13" t="s">
        <v>5289</v>
      </c>
      <c r="K409" s="13" t="s">
        <v>5292</v>
      </c>
      <c r="L409" s="13" t="s">
        <v>3396</v>
      </c>
      <c r="M409" s="13"/>
      <c r="N409" s="13" t="n">
        <v>7908412504631</v>
      </c>
      <c r="O409" s="13"/>
      <c r="P409" s="13" t="s">
        <v>5291</v>
      </c>
      <c r="Q409" s="13" t="s">
        <v>5289</v>
      </c>
      <c r="R409" s="13" t="s">
        <v>5292</v>
      </c>
      <c r="S409" s="13" t="s">
        <v>5293</v>
      </c>
      <c r="T409" s="13" t="s">
        <v>3</v>
      </c>
      <c r="U409" s="13" t="s">
        <v>85</v>
      </c>
      <c r="V409" s="13" t="n">
        <f aca="false">IF(COUNTIF($B$2:B409,B409)=1,1,0)</f>
        <v>0</v>
      </c>
      <c r="W409" s="13" t="n">
        <f aca="false">IF(COUNTIFS($B$2:B409,B409,$T$2:T409,T409)=1,1,0)</f>
        <v>0</v>
      </c>
    </row>
    <row r="410" customFormat="false" ht="15" hidden="false" customHeight="false" outlineLevel="0" collapsed="false">
      <c r="A410" s="13" t="s">
        <v>3416</v>
      </c>
      <c r="B410" s="13" t="s">
        <v>2124</v>
      </c>
      <c r="C410" s="13" t="n">
        <v>2600</v>
      </c>
      <c r="D410" s="13" t="n">
        <v>40</v>
      </c>
      <c r="E410" s="13" t="n">
        <v>69.99</v>
      </c>
      <c r="F410" s="13" t="s">
        <v>5288</v>
      </c>
      <c r="G410" s="13" t="s">
        <v>5289</v>
      </c>
      <c r="H410" s="13" t="s">
        <v>5289</v>
      </c>
      <c r="I410" s="13" t="s">
        <v>5292</v>
      </c>
      <c r="J410" s="13" t="s">
        <v>5289</v>
      </c>
      <c r="K410" s="13" t="s">
        <v>5292</v>
      </c>
      <c r="L410" s="13" t="s">
        <v>3415</v>
      </c>
      <c r="M410" s="13"/>
      <c r="N410" s="13" t="n">
        <v>5425039220161</v>
      </c>
      <c r="O410" s="13"/>
      <c r="P410" s="13" t="s">
        <v>5291</v>
      </c>
      <c r="Q410" s="13" t="s">
        <v>5289</v>
      </c>
      <c r="R410" s="13" t="s">
        <v>5292</v>
      </c>
      <c r="S410" s="13" t="s">
        <v>5293</v>
      </c>
      <c r="T410" s="13" t="s">
        <v>3</v>
      </c>
      <c r="U410" s="13" t="s">
        <v>43</v>
      </c>
      <c r="V410" s="13" t="n">
        <f aca="false">IF(COUNTIF($B$2:B410,B410)=1,1,0)</f>
        <v>0</v>
      </c>
      <c r="W410" s="13" t="n">
        <f aca="false">IF(COUNTIFS($B$2:B410,B410,$T$2:T410,T410)=1,1,0)</f>
        <v>0</v>
      </c>
    </row>
    <row r="411" customFormat="false" ht="15" hidden="false" customHeight="false" outlineLevel="0" collapsed="false">
      <c r="A411" s="13" t="s">
        <v>769</v>
      </c>
      <c r="B411" s="13" t="s">
        <v>255</v>
      </c>
      <c r="C411" s="13" t="n">
        <v>2600</v>
      </c>
      <c r="D411" s="13" t="n">
        <v>20</v>
      </c>
      <c r="E411" s="13" t="n">
        <v>152.04</v>
      </c>
      <c r="F411" s="13" t="s">
        <v>5288</v>
      </c>
      <c r="G411" s="13" t="s">
        <v>5289</v>
      </c>
      <c r="H411" s="13" t="s">
        <v>5289</v>
      </c>
      <c r="I411" s="13" t="s">
        <v>5289</v>
      </c>
      <c r="J411" s="13" t="s">
        <v>5289</v>
      </c>
      <c r="K411" s="13" t="s">
        <v>5289</v>
      </c>
      <c r="L411" s="13" t="s">
        <v>3390</v>
      </c>
      <c r="M411" s="13"/>
      <c r="N411" s="13" t="n">
        <v>5055810012786</v>
      </c>
      <c r="O411" s="13"/>
      <c r="P411" s="13" t="s">
        <v>5297</v>
      </c>
      <c r="Q411" s="13" t="s">
        <v>5289</v>
      </c>
      <c r="R411" s="13" t="s">
        <v>5292</v>
      </c>
      <c r="S411" s="13" t="s">
        <v>5293</v>
      </c>
      <c r="T411" s="13" t="s">
        <v>3</v>
      </c>
      <c r="U411" s="13" t="s">
        <v>43</v>
      </c>
      <c r="V411" s="13" t="n">
        <f aca="false">IF(COUNTIF($B$2:B411,B411)=1,1,0)</f>
        <v>0</v>
      </c>
      <c r="W411" s="13" t="n">
        <f aca="false">IF(COUNTIFS($B$2:B411,B411,$T$2:T411,T411)=1,1,0)</f>
        <v>0</v>
      </c>
    </row>
    <row r="412" customFormat="false" ht="15" hidden="false" customHeight="false" outlineLevel="0" collapsed="false">
      <c r="A412" s="13" t="s">
        <v>766</v>
      </c>
      <c r="B412" s="13" t="s">
        <v>179</v>
      </c>
      <c r="C412" s="13" t="n">
        <v>2600</v>
      </c>
      <c r="D412" s="13" t="n">
        <v>30</v>
      </c>
      <c r="E412" s="13" t="n">
        <v>99</v>
      </c>
      <c r="F412" s="13" t="s">
        <v>5325</v>
      </c>
      <c r="G412" s="13" t="s">
        <v>5289</v>
      </c>
      <c r="H412" s="13" t="s">
        <v>5289</v>
      </c>
      <c r="I412" s="13" t="s">
        <v>5289</v>
      </c>
      <c r="J412" s="13" t="s">
        <v>5289</v>
      </c>
      <c r="K412" s="13" t="s">
        <v>5292</v>
      </c>
      <c r="L412" s="13" t="s">
        <v>3417</v>
      </c>
      <c r="M412" s="13"/>
      <c r="N412" s="13" t="n">
        <v>7908005320631</v>
      </c>
      <c r="O412" s="13"/>
      <c r="P412" s="13" t="s">
        <v>5297</v>
      </c>
      <c r="Q412" s="13" t="s">
        <v>5289</v>
      </c>
      <c r="R412" s="13" t="s">
        <v>5292</v>
      </c>
      <c r="S412" s="13" t="s">
        <v>5293</v>
      </c>
      <c r="T412" s="13" t="s">
        <v>3</v>
      </c>
      <c r="U412" s="13" t="s">
        <v>180</v>
      </c>
      <c r="V412" s="13" t="n">
        <f aca="false">IF(COUNTIF($B$2:B412,B412)=1,1,0)</f>
        <v>0</v>
      </c>
      <c r="W412" s="13" t="n">
        <f aca="false">IF(COUNTIFS($B$2:B412,B412,$T$2:T412,T412)=1,1,0)</f>
        <v>0</v>
      </c>
    </row>
    <row r="413" customFormat="false" ht="15" hidden="false" customHeight="false" outlineLevel="0" collapsed="false">
      <c r="A413" s="13" t="s">
        <v>3420</v>
      </c>
      <c r="B413" s="13" t="s">
        <v>2125</v>
      </c>
      <c r="C413" s="13" t="n">
        <v>2600</v>
      </c>
      <c r="D413" s="13" t="n">
        <v>70</v>
      </c>
      <c r="E413" s="13" t="n">
        <v>38.9180303030303</v>
      </c>
      <c r="F413" s="13" t="s">
        <v>5288</v>
      </c>
      <c r="G413" s="13" t="s">
        <v>5289</v>
      </c>
      <c r="H413" s="13" t="s">
        <v>5289</v>
      </c>
      <c r="I413" s="13" t="s">
        <v>5292</v>
      </c>
      <c r="J413" s="13" t="s">
        <v>5289</v>
      </c>
      <c r="K413" s="13" t="s">
        <v>5292</v>
      </c>
      <c r="L413" s="13" t="s">
        <v>3418</v>
      </c>
      <c r="M413" s="13"/>
      <c r="N413" s="13" t="n">
        <v>7896020680581</v>
      </c>
      <c r="O413" s="13"/>
      <c r="P413" s="13" t="s">
        <v>5291</v>
      </c>
      <c r="Q413" s="13" t="s">
        <v>5289</v>
      </c>
      <c r="R413" s="13" t="s">
        <v>5292</v>
      </c>
      <c r="S413" s="13" t="s">
        <v>5293</v>
      </c>
      <c r="T413" s="13" t="s">
        <v>3</v>
      </c>
      <c r="U413" s="13" t="s">
        <v>85</v>
      </c>
      <c r="V413" s="13" t="n">
        <f aca="false">IF(COUNTIF($B$2:B413,B413)=1,1,0)</f>
        <v>0</v>
      </c>
      <c r="W413" s="13" t="n">
        <f aca="false">IF(COUNTIFS($B$2:B413,B413,$T$2:T413,T413)=1,1,0)</f>
        <v>0</v>
      </c>
    </row>
    <row r="414" customFormat="false" ht="15" hidden="false" customHeight="false" outlineLevel="0" collapsed="false">
      <c r="A414" s="13" t="s">
        <v>787</v>
      </c>
      <c r="B414" s="13" t="s">
        <v>195</v>
      </c>
      <c r="C414" s="13" t="n">
        <v>2600</v>
      </c>
      <c r="D414" s="13" t="n">
        <v>2</v>
      </c>
      <c r="E414" s="13" t="n">
        <v>639</v>
      </c>
      <c r="F414" s="13" t="s">
        <v>5288</v>
      </c>
      <c r="G414" s="13" t="s">
        <v>5289</v>
      </c>
      <c r="H414" s="13" t="s">
        <v>5289</v>
      </c>
      <c r="I414" s="13" t="s">
        <v>5289</v>
      </c>
      <c r="J414" s="13" t="s">
        <v>5289</v>
      </c>
      <c r="K414" s="13" t="s">
        <v>5289</v>
      </c>
      <c r="L414" s="13" t="s">
        <v>3024</v>
      </c>
      <c r="M414" s="13"/>
      <c r="N414" s="13" t="n">
        <v>3614227693876</v>
      </c>
      <c r="O414" s="13"/>
      <c r="P414" s="13" t="s">
        <v>5304</v>
      </c>
      <c r="Q414" s="13" t="s">
        <v>5289</v>
      </c>
      <c r="R414" s="13" t="s">
        <v>5292</v>
      </c>
      <c r="S414" s="13" t="s">
        <v>5293</v>
      </c>
      <c r="T414" s="13" t="s">
        <v>3</v>
      </c>
      <c r="U414" s="13" t="s">
        <v>43</v>
      </c>
      <c r="V414" s="13" t="n">
        <f aca="false">IF(COUNTIF($B$2:B414,B414)=1,1,0)</f>
        <v>0</v>
      </c>
      <c r="W414" s="13" t="n">
        <f aca="false">IF(COUNTIFS($B$2:B414,B414,$T$2:T414,T414)=1,1,0)</f>
        <v>0</v>
      </c>
    </row>
    <row r="415" customFormat="false" ht="15" hidden="false" customHeight="false" outlineLevel="0" collapsed="false">
      <c r="A415" s="13" t="s">
        <v>805</v>
      </c>
      <c r="B415" s="13" t="s">
        <v>179</v>
      </c>
      <c r="C415" s="13" t="n">
        <v>2500</v>
      </c>
      <c r="D415" s="13" t="n">
        <v>5</v>
      </c>
      <c r="E415" s="13" t="n">
        <v>279</v>
      </c>
      <c r="F415" s="13" t="s">
        <v>5325</v>
      </c>
      <c r="G415" s="13" t="s">
        <v>5289</v>
      </c>
      <c r="H415" s="13" t="s">
        <v>5289</v>
      </c>
      <c r="I415" s="13" t="s">
        <v>5289</v>
      </c>
      <c r="J415" s="13" t="s">
        <v>5289</v>
      </c>
      <c r="K415" s="13" t="s">
        <v>5292</v>
      </c>
      <c r="L415" s="13" t="s">
        <v>3459</v>
      </c>
      <c r="M415" s="13"/>
      <c r="N415" s="13" t="n">
        <v>7908896607217</v>
      </c>
      <c r="O415" s="13"/>
      <c r="P415" s="13" t="s">
        <v>5291</v>
      </c>
      <c r="Q415" s="13" t="s">
        <v>5289</v>
      </c>
      <c r="R415" s="13" t="s">
        <v>5292</v>
      </c>
      <c r="S415" s="13" t="s">
        <v>5293</v>
      </c>
      <c r="T415" s="13" t="s">
        <v>3</v>
      </c>
      <c r="U415" s="13" t="s">
        <v>85</v>
      </c>
      <c r="V415" s="13" t="n">
        <f aca="false">IF(COUNTIF($B$2:B415,B415)=1,1,0)</f>
        <v>0</v>
      </c>
      <c r="W415" s="13" t="n">
        <f aca="false">IF(COUNTIFS($B$2:B415,B415,$T$2:T415,T415)=1,1,0)</f>
        <v>0</v>
      </c>
    </row>
    <row r="416" customFormat="false" ht="15" hidden="false" customHeight="false" outlineLevel="0" collapsed="false">
      <c r="A416" s="13" t="s">
        <v>3252</v>
      </c>
      <c r="B416" s="13" t="s">
        <v>2197</v>
      </c>
      <c r="C416" s="13" t="n">
        <v>2500</v>
      </c>
      <c r="D416" s="13" t="n">
        <v>70</v>
      </c>
      <c r="E416" s="13" t="n">
        <v>33.6475342465753</v>
      </c>
      <c r="F416" s="13" t="s">
        <v>5288</v>
      </c>
      <c r="G416" s="13" t="s">
        <v>5289</v>
      </c>
      <c r="H416" s="13" t="s">
        <v>5292</v>
      </c>
      <c r="I416" s="13" t="s">
        <v>5292</v>
      </c>
      <c r="J416" s="13" t="s">
        <v>5289</v>
      </c>
      <c r="K416" s="13" t="s">
        <v>5292</v>
      </c>
      <c r="L416" s="13" t="s">
        <v>3251</v>
      </c>
      <c r="M416" s="13"/>
      <c r="N416" s="13" t="n">
        <v>7898390941453</v>
      </c>
      <c r="O416" s="13"/>
      <c r="P416" s="13" t="s">
        <v>5291</v>
      </c>
      <c r="Q416" s="13" t="s">
        <v>5289</v>
      </c>
      <c r="R416" s="13" t="s">
        <v>5292</v>
      </c>
      <c r="S416" s="13" t="s">
        <v>5293</v>
      </c>
      <c r="T416" s="13" t="s">
        <v>3</v>
      </c>
      <c r="U416" s="13" t="s">
        <v>85</v>
      </c>
      <c r="V416" s="13" t="n">
        <f aca="false">IF(COUNTIF($B$2:B416,B416)=1,1,0)</f>
        <v>1</v>
      </c>
      <c r="W416" s="13" t="n">
        <f aca="false">IF(COUNTIFS($B$2:B416,B416,$T$2:T416,T416)=1,1,0)</f>
        <v>1</v>
      </c>
    </row>
    <row r="417" customFormat="false" ht="15" hidden="false" customHeight="false" outlineLevel="0" collapsed="false">
      <c r="A417" s="13" t="s">
        <v>3485</v>
      </c>
      <c r="B417" s="13" t="s">
        <v>2124</v>
      </c>
      <c r="C417" s="13" t="n">
        <v>2400</v>
      </c>
      <c r="D417" s="13" t="n">
        <v>30</v>
      </c>
      <c r="E417" s="13" t="n">
        <v>78.99</v>
      </c>
      <c r="F417" s="13" t="s">
        <v>5288</v>
      </c>
      <c r="G417" s="13" t="s">
        <v>5289</v>
      </c>
      <c r="H417" s="13" t="s">
        <v>5289</v>
      </c>
      <c r="I417" s="13" t="s">
        <v>5292</v>
      </c>
      <c r="J417" s="13" t="s">
        <v>5289</v>
      </c>
      <c r="K417" s="13" t="s">
        <v>5292</v>
      </c>
      <c r="L417" s="13" t="s">
        <v>3484</v>
      </c>
      <c r="M417" s="13"/>
      <c r="N417" s="13" t="n">
        <v>5425017734277</v>
      </c>
      <c r="O417" s="13"/>
      <c r="P417" s="13" t="s">
        <v>5291</v>
      </c>
      <c r="Q417" s="13" t="s">
        <v>5289</v>
      </c>
      <c r="R417" s="13" t="s">
        <v>5292</v>
      </c>
      <c r="S417" s="13" t="s">
        <v>5293</v>
      </c>
      <c r="T417" s="13" t="s">
        <v>3</v>
      </c>
      <c r="U417" s="13" t="s">
        <v>43</v>
      </c>
      <c r="V417" s="13" t="n">
        <f aca="false">IF(COUNTIF($B$2:B417,B417)=1,1,0)</f>
        <v>0</v>
      </c>
      <c r="W417" s="13" t="n">
        <f aca="false">IF(COUNTIFS($B$2:B417,B417,$T$2:T417,T417)=1,1,0)</f>
        <v>0</v>
      </c>
    </row>
    <row r="418" customFormat="false" ht="15" hidden="false" customHeight="false" outlineLevel="0" collapsed="false">
      <c r="A418" s="13" t="s">
        <v>3494</v>
      </c>
      <c r="B418" s="13" t="s">
        <v>2212</v>
      </c>
      <c r="C418" s="13" t="n">
        <v>2400</v>
      </c>
      <c r="D418" s="13" t="n">
        <v>30</v>
      </c>
      <c r="E418" s="13" t="n">
        <v>78.99</v>
      </c>
      <c r="F418" s="13" t="s">
        <v>5288</v>
      </c>
      <c r="G418" s="13" t="s">
        <v>5289</v>
      </c>
      <c r="H418" s="13" t="s">
        <v>5289</v>
      </c>
      <c r="I418" s="13" t="s">
        <v>5292</v>
      </c>
      <c r="J418" s="13" t="s">
        <v>5289</v>
      </c>
      <c r="K418" s="13" t="s">
        <v>5292</v>
      </c>
      <c r="L418" s="13" t="s">
        <v>5462</v>
      </c>
      <c r="M418" s="13"/>
      <c r="N418" s="13" t="n">
        <v>5055810030186</v>
      </c>
      <c r="O418" s="13"/>
      <c r="P418" s="13" t="s">
        <v>5291</v>
      </c>
      <c r="Q418" s="13" t="s">
        <v>5289</v>
      </c>
      <c r="R418" s="13" t="s">
        <v>5292</v>
      </c>
      <c r="S418" s="13" t="s">
        <v>5293</v>
      </c>
      <c r="T418" s="13" t="s">
        <v>3</v>
      </c>
      <c r="U418" s="13" t="s">
        <v>43</v>
      </c>
      <c r="V418" s="13" t="n">
        <f aca="false">IF(COUNTIF($B$2:B418,B418)=1,1,0)</f>
        <v>1</v>
      </c>
      <c r="W418" s="13" t="n">
        <f aca="false">IF(COUNTIFS($B$2:B418,B418,$T$2:T418,T418)=1,1,0)</f>
        <v>1</v>
      </c>
    </row>
    <row r="419" customFormat="false" ht="15" hidden="false" customHeight="false" outlineLevel="0" collapsed="false">
      <c r="A419" s="13" t="s">
        <v>820</v>
      </c>
      <c r="B419" s="13" t="s">
        <v>175</v>
      </c>
      <c r="C419" s="13" t="n">
        <v>2400</v>
      </c>
      <c r="D419" s="13" t="n">
        <v>5</v>
      </c>
      <c r="E419" s="13" t="n">
        <v>406.99</v>
      </c>
      <c r="F419" s="13" t="s">
        <v>5288</v>
      </c>
      <c r="G419" s="13" t="s">
        <v>5289</v>
      </c>
      <c r="H419" s="13" t="s">
        <v>5289</v>
      </c>
      <c r="I419" s="13" t="s">
        <v>5289</v>
      </c>
      <c r="J419" s="13" t="s">
        <v>5289</v>
      </c>
      <c r="K419" s="13" t="s">
        <v>5292</v>
      </c>
      <c r="L419" s="13" t="s">
        <v>3476</v>
      </c>
      <c r="M419" s="13"/>
      <c r="N419" s="13" t="n">
        <v>6924328332220</v>
      </c>
      <c r="O419" s="13"/>
      <c r="P419" s="13" t="s">
        <v>5291</v>
      </c>
      <c r="Q419" s="13" t="s">
        <v>5289</v>
      </c>
      <c r="R419" s="13" t="s">
        <v>5292</v>
      </c>
      <c r="S419" s="13" t="s">
        <v>5293</v>
      </c>
      <c r="T419" s="13" t="s">
        <v>3</v>
      </c>
      <c r="U419" s="13" t="s">
        <v>98</v>
      </c>
      <c r="V419" s="13" t="n">
        <f aca="false">IF(COUNTIF($B$2:B419,B419)=1,1,0)</f>
        <v>0</v>
      </c>
      <c r="W419" s="13" t="n">
        <f aca="false">IF(COUNTIFS($B$2:B419,B419,$T$2:T419,T419)=1,1,0)</f>
        <v>0</v>
      </c>
    </row>
    <row r="420" customFormat="false" ht="15" hidden="false" customHeight="false" outlineLevel="0" collapsed="false">
      <c r="A420" s="13" t="s">
        <v>809</v>
      </c>
      <c r="B420" s="13" t="s">
        <v>335</v>
      </c>
      <c r="C420" s="13" t="n">
        <v>2400</v>
      </c>
      <c r="D420" s="13" t="n">
        <v>20</v>
      </c>
      <c r="E420" s="13" t="n">
        <v>162.512</v>
      </c>
      <c r="F420" s="13" t="s">
        <v>5288</v>
      </c>
      <c r="G420" s="13" t="s">
        <v>5289</v>
      </c>
      <c r="H420" s="13" t="s">
        <v>5289</v>
      </c>
      <c r="I420" s="13" t="s">
        <v>5289</v>
      </c>
      <c r="J420" s="13" t="s">
        <v>5289</v>
      </c>
      <c r="K420" s="13" t="s">
        <v>5292</v>
      </c>
      <c r="L420" s="13" t="s">
        <v>5463</v>
      </c>
      <c r="M420" s="13"/>
      <c r="N420" s="13" t="n">
        <v>85805757748</v>
      </c>
      <c r="O420" s="13"/>
      <c r="P420" s="13" t="s">
        <v>5291</v>
      </c>
      <c r="Q420" s="13" t="s">
        <v>5289</v>
      </c>
      <c r="R420" s="13" t="s">
        <v>5292</v>
      </c>
      <c r="S420" s="13" t="s">
        <v>5293</v>
      </c>
      <c r="T420" s="13" t="s">
        <v>3</v>
      </c>
      <c r="U420" s="13" t="s">
        <v>43</v>
      </c>
      <c r="V420" s="13" t="n">
        <f aca="false">IF(COUNTIF($B$2:B420,B420)=1,1,0)</f>
        <v>0</v>
      </c>
      <c r="W420" s="13" t="n">
        <f aca="false">IF(COUNTIFS($B$2:B420,B420,$T$2:T420,T420)=1,1,0)</f>
        <v>0</v>
      </c>
    </row>
    <row r="421" customFormat="false" ht="15" hidden="false" customHeight="false" outlineLevel="0" collapsed="false">
      <c r="A421" s="13" t="s">
        <v>3492</v>
      </c>
      <c r="B421" s="13" t="s">
        <v>2213</v>
      </c>
      <c r="C421" s="13" t="n">
        <v>2400</v>
      </c>
      <c r="D421" s="13" t="n">
        <v>10</v>
      </c>
      <c r="E421" s="13" t="n">
        <v>202</v>
      </c>
      <c r="F421" s="13" t="s">
        <v>5288</v>
      </c>
      <c r="G421" s="13" t="s">
        <v>5289</v>
      </c>
      <c r="H421" s="13" t="s">
        <v>5289</v>
      </c>
      <c r="I421" s="13" t="s">
        <v>5289</v>
      </c>
      <c r="J421" s="13" t="s">
        <v>5289</v>
      </c>
      <c r="K421" s="13" t="s">
        <v>5289</v>
      </c>
      <c r="L421" s="13" t="s">
        <v>3491</v>
      </c>
      <c r="M421" s="13"/>
      <c r="N421" s="13" t="n">
        <v>7898480957739</v>
      </c>
      <c r="O421" s="13"/>
      <c r="P421" s="13" t="s">
        <v>5291</v>
      </c>
      <c r="Q421" s="13" t="s">
        <v>5289</v>
      </c>
      <c r="R421" s="13" t="s">
        <v>5292</v>
      </c>
      <c r="S421" s="13" t="s">
        <v>5293</v>
      </c>
      <c r="T421" s="13" t="s">
        <v>3</v>
      </c>
      <c r="U421" s="13" t="s">
        <v>85</v>
      </c>
      <c r="V421" s="13" t="n">
        <f aca="false">IF(COUNTIF($B$2:B421,B421)=1,1,0)</f>
        <v>1</v>
      </c>
      <c r="W421" s="13" t="n">
        <f aca="false">IF(COUNTIFS($B$2:B421,B421,$T$2:T421,T421)=1,1,0)</f>
        <v>1</v>
      </c>
    </row>
    <row r="422" customFormat="false" ht="15" hidden="false" customHeight="false" outlineLevel="0" collapsed="false">
      <c r="A422" s="13" t="s">
        <v>811</v>
      </c>
      <c r="B422" s="13" t="s">
        <v>87</v>
      </c>
      <c r="C422" s="13" t="n">
        <v>2400</v>
      </c>
      <c r="D422" s="13" t="n">
        <v>20</v>
      </c>
      <c r="E422" s="13" t="n">
        <v>151.495</v>
      </c>
      <c r="F422" s="13" t="s">
        <v>5288</v>
      </c>
      <c r="G422" s="13" t="s">
        <v>5289</v>
      </c>
      <c r="H422" s="13" t="s">
        <v>5289</v>
      </c>
      <c r="I422" s="13" t="s">
        <v>5289</v>
      </c>
      <c r="J422" s="13" t="s">
        <v>5289</v>
      </c>
      <c r="K422" s="13" t="s">
        <v>5292</v>
      </c>
      <c r="L422" s="13" t="s">
        <v>5464</v>
      </c>
      <c r="M422" s="13"/>
      <c r="N422" s="13" t="n">
        <v>22255341172</v>
      </c>
      <c r="O422" s="13"/>
      <c r="P422" s="13" t="s">
        <v>5291</v>
      </c>
      <c r="Q422" s="13" t="s">
        <v>5289</v>
      </c>
      <c r="R422" s="13" t="s">
        <v>5292</v>
      </c>
      <c r="S422" s="13" t="s">
        <v>5293</v>
      </c>
      <c r="T422" s="13" t="s">
        <v>3</v>
      </c>
      <c r="U422" s="13" t="s">
        <v>66</v>
      </c>
      <c r="V422" s="13" t="n">
        <f aca="false">IF(COUNTIF($B$2:B422,B422)=1,1,0)</f>
        <v>0</v>
      </c>
      <c r="W422" s="13" t="n">
        <f aca="false">IF(COUNTIFS($B$2:B422,B422,$T$2:T422,T422)=1,1,0)</f>
        <v>0</v>
      </c>
    </row>
    <row r="423" customFormat="false" ht="15" hidden="false" customHeight="false" outlineLevel="0" collapsed="false">
      <c r="A423" s="13" t="s">
        <v>266</v>
      </c>
      <c r="B423" s="13" t="s">
        <v>79</v>
      </c>
      <c r="C423" s="13" t="n">
        <v>2400</v>
      </c>
      <c r="D423" s="13" t="n">
        <v>2</v>
      </c>
      <c r="E423" s="13" t="n">
        <v>604.705</v>
      </c>
      <c r="F423" s="13" t="s">
        <v>5288</v>
      </c>
      <c r="G423" s="13" t="s">
        <v>5289</v>
      </c>
      <c r="H423" s="13" t="s">
        <v>5292</v>
      </c>
      <c r="I423" s="13" t="s">
        <v>5289</v>
      </c>
      <c r="J423" s="13" t="s">
        <v>5289</v>
      </c>
      <c r="K423" s="13" t="s">
        <v>5292</v>
      </c>
      <c r="L423" s="13" t="s">
        <v>2786</v>
      </c>
      <c r="M423" s="13"/>
      <c r="N423" s="13" t="n">
        <v>8.0579711881928E+025</v>
      </c>
      <c r="O423" s="13"/>
      <c r="P423" s="13" t="s">
        <v>5291</v>
      </c>
      <c r="Q423" s="13" t="s">
        <v>5289</v>
      </c>
      <c r="R423" s="13" t="s">
        <v>5292</v>
      </c>
      <c r="S423" s="13" t="s">
        <v>5293</v>
      </c>
      <c r="T423" s="13" t="s">
        <v>3</v>
      </c>
      <c r="U423" s="13" t="s">
        <v>43</v>
      </c>
      <c r="V423" s="13" t="n">
        <f aca="false">IF(COUNTIF($B$2:B423,B423)=1,1,0)</f>
        <v>0</v>
      </c>
      <c r="W423" s="13" t="n">
        <f aca="false">IF(COUNTIFS($B$2:B423,B423,$T$2:T423,T423)=1,1,0)</f>
        <v>0</v>
      </c>
    </row>
    <row r="424" customFormat="false" ht="15" hidden="false" customHeight="false" outlineLevel="0" collapsed="false">
      <c r="A424" s="13" t="s">
        <v>3487</v>
      </c>
      <c r="B424" s="13" t="s">
        <v>2191</v>
      </c>
      <c r="C424" s="13" t="n">
        <v>2400</v>
      </c>
      <c r="D424" s="13" t="n">
        <v>5</v>
      </c>
      <c r="E424" s="13" t="n">
        <v>402.615</v>
      </c>
      <c r="F424" s="13" t="s">
        <v>5288</v>
      </c>
      <c r="G424" s="13" t="s">
        <v>5289</v>
      </c>
      <c r="H424" s="13" t="s">
        <v>5289</v>
      </c>
      <c r="I424" s="13" t="s">
        <v>5289</v>
      </c>
      <c r="J424" s="13" t="s">
        <v>5289</v>
      </c>
      <c r="K424" s="13" t="s">
        <v>5292</v>
      </c>
      <c r="L424" s="13" t="s">
        <v>3486</v>
      </c>
      <c r="M424" s="13"/>
      <c r="N424" s="13" t="n">
        <v>7891009805863</v>
      </c>
      <c r="O424" s="13"/>
      <c r="P424" s="13" t="s">
        <v>5291</v>
      </c>
      <c r="Q424" s="13" t="s">
        <v>5289</v>
      </c>
      <c r="R424" s="13" t="s">
        <v>5292</v>
      </c>
      <c r="S424" s="13" t="s">
        <v>5293</v>
      </c>
      <c r="T424" s="13" t="s">
        <v>3</v>
      </c>
      <c r="U424" s="13" t="s">
        <v>85</v>
      </c>
      <c r="V424" s="13" t="n">
        <f aca="false">IF(COUNTIF($B$2:B424,B424)=1,1,0)</f>
        <v>1</v>
      </c>
      <c r="W424" s="13" t="n">
        <f aca="false">IF(COUNTIFS($B$2:B424,B424,$T$2:T424,T424)=1,1,0)</f>
        <v>1</v>
      </c>
    </row>
    <row r="425" customFormat="false" ht="15" hidden="false" customHeight="false" outlineLevel="0" collapsed="false">
      <c r="A425" s="13" t="s">
        <v>3483</v>
      </c>
      <c r="B425" s="13" t="s">
        <v>2126</v>
      </c>
      <c r="C425" s="13" t="n">
        <v>2400</v>
      </c>
      <c r="D425" s="13" t="n">
        <v>40</v>
      </c>
      <c r="E425" s="13" t="n">
        <v>58.4953658536585</v>
      </c>
      <c r="F425" s="13" t="s">
        <v>5288</v>
      </c>
      <c r="G425" s="13" t="s">
        <v>5289</v>
      </c>
      <c r="H425" s="13" t="s">
        <v>5289</v>
      </c>
      <c r="I425" s="13" t="s">
        <v>5292</v>
      </c>
      <c r="J425" s="13" t="s">
        <v>5289</v>
      </c>
      <c r="K425" s="13" t="s">
        <v>5292</v>
      </c>
      <c r="L425" s="13" t="s">
        <v>3482</v>
      </c>
      <c r="M425" s="13"/>
      <c r="N425" s="13" t="n">
        <v>7898699846787</v>
      </c>
      <c r="O425" s="13"/>
      <c r="P425" s="13" t="s">
        <v>5291</v>
      </c>
      <c r="Q425" s="13" t="s">
        <v>5289</v>
      </c>
      <c r="R425" s="13" t="s">
        <v>5292</v>
      </c>
      <c r="S425" s="13" t="s">
        <v>5293</v>
      </c>
      <c r="T425" s="13" t="s">
        <v>3</v>
      </c>
      <c r="U425" s="13" t="s">
        <v>85</v>
      </c>
      <c r="V425" s="13" t="n">
        <f aca="false">IF(COUNTIF($B$2:B425,B425)=1,1,0)</f>
        <v>0</v>
      </c>
      <c r="W425" s="13" t="n">
        <f aca="false">IF(COUNTIFS($B$2:B425,B425,$T$2:T425,T425)=1,1,0)</f>
        <v>0</v>
      </c>
    </row>
    <row r="426" customFormat="false" ht="15" hidden="false" customHeight="false" outlineLevel="0" collapsed="false">
      <c r="A426" s="13" t="s">
        <v>3478</v>
      </c>
      <c r="B426" s="13" t="s">
        <v>2214</v>
      </c>
      <c r="C426" s="13" t="n">
        <v>2400</v>
      </c>
      <c r="D426" s="13" t="n">
        <v>20</v>
      </c>
      <c r="E426" s="13" t="n">
        <v>118.6005</v>
      </c>
      <c r="F426" s="13" t="s">
        <v>5288</v>
      </c>
      <c r="G426" s="13" t="s">
        <v>5289</v>
      </c>
      <c r="H426" s="13" t="s">
        <v>5289</v>
      </c>
      <c r="I426" s="13" t="s">
        <v>5289</v>
      </c>
      <c r="J426" s="13" t="s">
        <v>5289</v>
      </c>
      <c r="K426" s="13" t="s">
        <v>5292</v>
      </c>
      <c r="L426" s="13" t="s">
        <v>3477</v>
      </c>
      <c r="M426" s="13"/>
      <c r="N426" s="13" t="n">
        <v>7899651833319</v>
      </c>
      <c r="O426" s="13"/>
      <c r="P426" s="13" t="s">
        <v>5291</v>
      </c>
      <c r="Q426" s="13" t="s">
        <v>5289</v>
      </c>
      <c r="R426" s="13" t="s">
        <v>5292</v>
      </c>
      <c r="S426" s="13" t="s">
        <v>5293</v>
      </c>
      <c r="T426" s="13" t="s">
        <v>3</v>
      </c>
      <c r="U426" s="13" t="s">
        <v>168</v>
      </c>
      <c r="V426" s="13" t="n">
        <f aca="false">IF(COUNTIF($B$2:B426,B426)=1,1,0)</f>
        <v>1</v>
      </c>
      <c r="W426" s="13" t="n">
        <f aca="false">IF(COUNTIFS($B$2:B426,B426,$T$2:T426,T426)=1,1,0)</f>
        <v>1</v>
      </c>
    </row>
    <row r="427" customFormat="false" ht="15" hidden="false" customHeight="false" outlineLevel="0" collapsed="false">
      <c r="A427" s="13" t="s">
        <v>3474</v>
      </c>
      <c r="B427" s="13" t="s">
        <v>2152</v>
      </c>
      <c r="C427" s="13" t="n">
        <v>2400</v>
      </c>
      <c r="D427" s="13" t="n">
        <v>10</v>
      </c>
      <c r="E427" s="13" t="n">
        <v>213.936363636364</v>
      </c>
      <c r="F427" s="13" t="s">
        <v>5288</v>
      </c>
      <c r="G427" s="13" t="s">
        <v>5289</v>
      </c>
      <c r="H427" s="13" t="s">
        <v>5289</v>
      </c>
      <c r="I427" s="13" t="s">
        <v>5289</v>
      </c>
      <c r="J427" s="13" t="s">
        <v>5289</v>
      </c>
      <c r="K427" s="13" t="s">
        <v>5289</v>
      </c>
      <c r="L427" s="13" t="s">
        <v>3473</v>
      </c>
      <c r="M427" s="13"/>
      <c r="N427" s="13" t="n">
        <v>6291108732052</v>
      </c>
      <c r="O427" s="13"/>
      <c r="P427" s="13" t="s">
        <v>5291</v>
      </c>
      <c r="Q427" s="13" t="s">
        <v>5289</v>
      </c>
      <c r="R427" s="13" t="s">
        <v>5292</v>
      </c>
      <c r="S427" s="13" t="s">
        <v>5293</v>
      </c>
      <c r="T427" s="13" t="s">
        <v>3</v>
      </c>
      <c r="U427" s="13" t="s">
        <v>43</v>
      </c>
      <c r="V427" s="13" t="n">
        <f aca="false">IF(COUNTIF($B$2:B427,B427)=1,1,0)</f>
        <v>0</v>
      </c>
      <c r="W427" s="13" t="n">
        <f aca="false">IF(COUNTIFS($B$2:B427,B427,$T$2:T427,T427)=1,1,0)</f>
        <v>0</v>
      </c>
    </row>
    <row r="428" customFormat="false" ht="15" hidden="false" customHeight="false" outlineLevel="0" collapsed="false">
      <c r="A428" s="13" t="s">
        <v>3511</v>
      </c>
      <c r="B428" s="13" t="s">
        <v>2141</v>
      </c>
      <c r="C428" s="13" t="n">
        <v>2300</v>
      </c>
      <c r="D428" s="13" t="n">
        <v>30</v>
      </c>
      <c r="E428" s="13" t="n">
        <v>69.0194117647059</v>
      </c>
      <c r="F428" s="13" t="s">
        <v>5288</v>
      </c>
      <c r="G428" s="13" t="s">
        <v>5289</v>
      </c>
      <c r="H428" s="13" t="s">
        <v>5289</v>
      </c>
      <c r="I428" s="13" t="s">
        <v>5292</v>
      </c>
      <c r="J428" s="13" t="s">
        <v>5289</v>
      </c>
      <c r="K428" s="13" t="s">
        <v>5292</v>
      </c>
      <c r="L428" s="13" t="s">
        <v>3510</v>
      </c>
      <c r="M428" s="13"/>
      <c r="N428" s="13" t="n">
        <v>5055810015145</v>
      </c>
      <c r="O428" s="13"/>
      <c r="P428" s="13" t="s">
        <v>5291</v>
      </c>
      <c r="Q428" s="13" t="s">
        <v>5289</v>
      </c>
      <c r="R428" s="13" t="s">
        <v>5292</v>
      </c>
      <c r="S428" s="13" t="s">
        <v>5293</v>
      </c>
      <c r="T428" s="13" t="s">
        <v>3</v>
      </c>
      <c r="U428" s="13" t="s">
        <v>43</v>
      </c>
      <c r="V428" s="13" t="n">
        <f aca="false">IF(COUNTIF($B$2:B428,B428)=1,1,0)</f>
        <v>0</v>
      </c>
      <c r="W428" s="13" t="n">
        <f aca="false">IF(COUNTIFS($B$2:B428,B428,$T$2:T428,T428)=1,1,0)</f>
        <v>0</v>
      </c>
    </row>
    <row r="429" customFormat="false" ht="15" hidden="false" customHeight="false" outlineLevel="0" collapsed="false">
      <c r="A429" s="13" t="s">
        <v>5465</v>
      </c>
      <c r="B429" s="13" t="s">
        <v>2107</v>
      </c>
      <c r="C429" s="13" t="n">
        <v>2300</v>
      </c>
      <c r="D429" s="13" t="n">
        <v>30</v>
      </c>
      <c r="E429" s="13" t="n">
        <v>90.1830769230769</v>
      </c>
      <c r="F429" s="13" t="s">
        <v>5288</v>
      </c>
      <c r="G429" s="13" t="s">
        <v>5289</v>
      </c>
      <c r="H429" s="13" t="s">
        <v>5292</v>
      </c>
      <c r="I429" s="13" t="s">
        <v>5289</v>
      </c>
      <c r="J429" s="13" t="s">
        <v>5289</v>
      </c>
      <c r="K429" s="13" t="s">
        <v>5292</v>
      </c>
      <c r="L429" s="13" t="s">
        <v>5466</v>
      </c>
      <c r="M429" s="13"/>
      <c r="N429" s="13"/>
      <c r="O429" s="13"/>
      <c r="P429" s="13" t="s">
        <v>5291</v>
      </c>
      <c r="Q429" s="13" t="s">
        <v>5289</v>
      </c>
      <c r="R429" s="13" t="s">
        <v>5292</v>
      </c>
      <c r="S429" s="13" t="s">
        <v>5293</v>
      </c>
      <c r="T429" s="13" t="s">
        <v>3</v>
      </c>
      <c r="U429" s="13" t="s">
        <v>43</v>
      </c>
      <c r="V429" s="13" t="n">
        <f aca="false">IF(COUNTIF($B$2:B429,B429)=1,1,0)</f>
        <v>0</v>
      </c>
      <c r="W429" s="13" t="n">
        <f aca="false">IF(COUNTIFS($B$2:B429,B429,$T$2:T429,T429)=1,1,0)</f>
        <v>0</v>
      </c>
    </row>
    <row r="430" customFormat="false" ht="15" hidden="false" customHeight="false" outlineLevel="0" collapsed="false">
      <c r="A430" s="13" t="s">
        <v>3514</v>
      </c>
      <c r="B430" s="13" t="s">
        <v>2217</v>
      </c>
      <c r="C430" s="13" t="n">
        <v>2300</v>
      </c>
      <c r="D430" s="13" t="n">
        <v>5</v>
      </c>
      <c r="E430" s="13" t="n">
        <v>389.99</v>
      </c>
      <c r="F430" s="13" t="s">
        <v>5288</v>
      </c>
      <c r="G430" s="13" t="s">
        <v>5289</v>
      </c>
      <c r="H430" s="13" t="s">
        <v>5289</v>
      </c>
      <c r="I430" s="13" t="s">
        <v>5289</v>
      </c>
      <c r="J430" s="13" t="s">
        <v>5289</v>
      </c>
      <c r="K430" s="13" t="s">
        <v>5289</v>
      </c>
      <c r="L430" s="13" t="s">
        <v>5467</v>
      </c>
      <c r="M430" s="13"/>
      <c r="N430" s="13" t="n">
        <v>7898700160352</v>
      </c>
      <c r="O430" s="13"/>
      <c r="P430" s="13" t="s">
        <v>5297</v>
      </c>
      <c r="Q430" s="13" t="s">
        <v>5289</v>
      </c>
      <c r="R430" s="13" t="s">
        <v>5292</v>
      </c>
      <c r="S430" s="13" t="s">
        <v>5293</v>
      </c>
      <c r="T430" s="13" t="s">
        <v>3</v>
      </c>
      <c r="U430" s="13" t="s">
        <v>85</v>
      </c>
      <c r="V430" s="13" t="n">
        <f aca="false">IF(COUNTIF($B$2:B430,B430)=1,1,0)</f>
        <v>1</v>
      </c>
      <c r="W430" s="13" t="n">
        <f aca="false">IF(COUNTIFS($B$2:B430,B430,$T$2:T430,T430)=1,1,0)</f>
        <v>1</v>
      </c>
    </row>
    <row r="431" customFormat="false" ht="15" hidden="false" customHeight="false" outlineLevel="0" collapsed="false">
      <c r="A431" s="13" t="s">
        <v>846</v>
      </c>
      <c r="B431" s="13" t="s">
        <v>179</v>
      </c>
      <c r="C431" s="13" t="n">
        <v>2300</v>
      </c>
      <c r="D431" s="13" t="n">
        <v>5</v>
      </c>
      <c r="E431" s="13" t="n">
        <v>389</v>
      </c>
      <c r="F431" s="13" t="s">
        <v>5325</v>
      </c>
      <c r="G431" s="13" t="s">
        <v>5289</v>
      </c>
      <c r="H431" s="13" t="s">
        <v>5289</v>
      </c>
      <c r="I431" s="13" t="s">
        <v>5289</v>
      </c>
      <c r="J431" s="13" t="s">
        <v>5289</v>
      </c>
      <c r="K431" s="13" t="s">
        <v>5292</v>
      </c>
      <c r="L431" s="13" t="s">
        <v>3515</v>
      </c>
      <c r="M431" s="13"/>
      <c r="N431" s="13" t="n">
        <v>7898618486896</v>
      </c>
      <c r="O431" s="13"/>
      <c r="P431" s="13" t="s">
        <v>5291</v>
      </c>
      <c r="Q431" s="13" t="s">
        <v>5289</v>
      </c>
      <c r="R431" s="13" t="s">
        <v>5292</v>
      </c>
      <c r="S431" s="13" t="s">
        <v>5293</v>
      </c>
      <c r="T431" s="13" t="s">
        <v>3</v>
      </c>
      <c r="U431" s="13" t="s">
        <v>85</v>
      </c>
      <c r="V431" s="13" t="n">
        <f aca="false">IF(COUNTIF($B$2:B431,B431)=1,1,0)</f>
        <v>0</v>
      </c>
      <c r="W431" s="13" t="n">
        <f aca="false">IF(COUNTIFS($B$2:B431,B431,$T$2:T431,T431)=1,1,0)</f>
        <v>0</v>
      </c>
    </row>
    <row r="432" customFormat="false" ht="15" hidden="false" customHeight="false" outlineLevel="0" collapsed="false">
      <c r="A432" s="13" t="s">
        <v>829</v>
      </c>
      <c r="B432" s="13" t="s">
        <v>179</v>
      </c>
      <c r="C432" s="13" t="n">
        <v>2300</v>
      </c>
      <c r="D432" s="13" t="n">
        <v>20</v>
      </c>
      <c r="E432" s="13" t="n">
        <v>129</v>
      </c>
      <c r="F432" s="13" t="s">
        <v>5325</v>
      </c>
      <c r="G432" s="13" t="s">
        <v>5289</v>
      </c>
      <c r="H432" s="13" t="s">
        <v>5289</v>
      </c>
      <c r="I432" s="13" t="s">
        <v>5289</v>
      </c>
      <c r="J432" s="13" t="s">
        <v>5289</v>
      </c>
      <c r="K432" s="13" t="s">
        <v>5292</v>
      </c>
      <c r="L432" s="13" t="s">
        <v>3512</v>
      </c>
      <c r="M432" s="13"/>
      <c r="N432" s="13" t="n">
        <v>7908005320549</v>
      </c>
      <c r="O432" s="13"/>
      <c r="P432" s="13" t="s">
        <v>5291</v>
      </c>
      <c r="Q432" s="13" t="s">
        <v>5289</v>
      </c>
      <c r="R432" s="13" t="s">
        <v>5292</v>
      </c>
      <c r="S432" s="13" t="s">
        <v>5293</v>
      </c>
      <c r="T432" s="13" t="s">
        <v>3</v>
      </c>
      <c r="U432" s="13" t="s">
        <v>85</v>
      </c>
      <c r="V432" s="13" t="n">
        <f aca="false">IF(COUNTIF($B$2:B432,B432)=1,1,0)</f>
        <v>0</v>
      </c>
      <c r="W432" s="13" t="n">
        <f aca="false">IF(COUNTIFS($B$2:B432,B432,$T$2:T432,T432)=1,1,0)</f>
        <v>0</v>
      </c>
    </row>
    <row r="433" customFormat="false" ht="15" hidden="false" customHeight="false" outlineLevel="0" collapsed="false">
      <c r="A433" s="13" t="s">
        <v>2905</v>
      </c>
      <c r="B433" s="13" t="s">
        <v>2111</v>
      </c>
      <c r="C433" s="13" t="n">
        <v>2300</v>
      </c>
      <c r="D433" s="13" t="n">
        <v>2</v>
      </c>
      <c r="E433" s="13" t="n">
        <v>576.25</v>
      </c>
      <c r="F433" s="13" t="s">
        <v>5288</v>
      </c>
      <c r="G433" s="13" t="s">
        <v>5289</v>
      </c>
      <c r="H433" s="13" t="s">
        <v>5289</v>
      </c>
      <c r="I433" s="13" t="s">
        <v>5289</v>
      </c>
      <c r="J433" s="13" t="s">
        <v>5289</v>
      </c>
      <c r="K433" s="13" t="s">
        <v>5289</v>
      </c>
      <c r="L433" s="13" t="s">
        <v>2904</v>
      </c>
      <c r="M433" s="13"/>
      <c r="N433" s="13" t="n">
        <v>3386460141703</v>
      </c>
      <c r="O433" s="13"/>
      <c r="P433" s="13" t="s">
        <v>5297</v>
      </c>
      <c r="Q433" s="13" t="s">
        <v>5289</v>
      </c>
      <c r="R433" s="13" t="s">
        <v>5292</v>
      </c>
      <c r="S433" s="13" t="s">
        <v>5293</v>
      </c>
      <c r="T433" s="13" t="s">
        <v>3</v>
      </c>
      <c r="U433" s="13" t="s">
        <v>43</v>
      </c>
      <c r="V433" s="13" t="n">
        <f aca="false">IF(COUNTIF($B$2:B433,B433)=1,1,0)</f>
        <v>0</v>
      </c>
      <c r="W433" s="13" t="n">
        <f aca="false">IF(COUNTIFS($B$2:B433,B433,$T$2:T433,T433)=1,1,0)</f>
        <v>0</v>
      </c>
    </row>
    <row r="434" customFormat="false" ht="15" hidden="false" customHeight="false" outlineLevel="0" collapsed="false">
      <c r="A434" s="13" t="s">
        <v>3519</v>
      </c>
      <c r="B434" s="13" t="s">
        <v>2114</v>
      </c>
      <c r="C434" s="13" t="n">
        <v>2300</v>
      </c>
      <c r="D434" s="13" t="n">
        <v>50</v>
      </c>
      <c r="E434" s="13" t="n">
        <v>45.0362745098039</v>
      </c>
      <c r="F434" s="13" t="s">
        <v>5325</v>
      </c>
      <c r="G434" s="13" t="s">
        <v>5289</v>
      </c>
      <c r="H434" s="13" t="s">
        <v>5289</v>
      </c>
      <c r="I434" s="13" t="s">
        <v>5292</v>
      </c>
      <c r="J434" s="13" t="s">
        <v>5289</v>
      </c>
      <c r="K434" s="13" t="s">
        <v>5292</v>
      </c>
      <c r="L434" s="13" t="s">
        <v>5468</v>
      </c>
      <c r="M434" s="13"/>
      <c r="N434" s="13" t="n">
        <v>7898047200797</v>
      </c>
      <c r="O434" s="13"/>
      <c r="P434" s="13" t="s">
        <v>5291</v>
      </c>
      <c r="Q434" s="13" t="s">
        <v>5289</v>
      </c>
      <c r="R434" s="13" t="s">
        <v>5292</v>
      </c>
      <c r="S434" s="13" t="s">
        <v>5293</v>
      </c>
      <c r="T434" s="13" t="s">
        <v>3</v>
      </c>
      <c r="U434" s="13" t="s">
        <v>140</v>
      </c>
      <c r="V434" s="13" t="n">
        <f aca="false">IF(COUNTIF($B$2:B434,B434)=1,1,0)</f>
        <v>0</v>
      </c>
      <c r="W434" s="13" t="n">
        <f aca="false">IF(COUNTIFS($B$2:B434,B434,$T$2:T434,T434)=1,1,0)</f>
        <v>0</v>
      </c>
    </row>
    <row r="435" customFormat="false" ht="15" hidden="false" customHeight="false" outlineLevel="0" collapsed="false">
      <c r="A435" s="13" t="s">
        <v>5469</v>
      </c>
      <c r="B435" s="13" t="s">
        <v>2169</v>
      </c>
      <c r="C435" s="13" t="n">
        <v>2200</v>
      </c>
      <c r="D435" s="13" t="n">
        <v>40</v>
      </c>
      <c r="E435" s="13" t="n">
        <v>62.04</v>
      </c>
      <c r="F435" s="13" t="s">
        <v>5288</v>
      </c>
      <c r="G435" s="13" t="s">
        <v>5289</v>
      </c>
      <c r="H435" s="13" t="s">
        <v>5289</v>
      </c>
      <c r="I435" s="13" t="s">
        <v>5292</v>
      </c>
      <c r="J435" s="13" t="s">
        <v>5289</v>
      </c>
      <c r="K435" s="13" t="s">
        <v>5289</v>
      </c>
      <c r="L435" s="13" t="s">
        <v>5470</v>
      </c>
      <c r="M435" s="13"/>
      <c r="N435" s="13"/>
      <c r="O435" s="13"/>
      <c r="P435" s="13" t="s">
        <v>5291</v>
      </c>
      <c r="Q435" s="13" t="s">
        <v>5289</v>
      </c>
      <c r="R435" s="13" t="s">
        <v>5292</v>
      </c>
      <c r="S435" s="13" t="s">
        <v>5293</v>
      </c>
      <c r="T435" s="13" t="s">
        <v>3</v>
      </c>
      <c r="U435" s="13" t="s">
        <v>85</v>
      </c>
      <c r="V435" s="13" t="n">
        <f aca="false">IF(COUNTIF($B$2:B435,B435)=1,1,0)</f>
        <v>1</v>
      </c>
      <c r="W435" s="13" t="n">
        <f aca="false">IF(COUNTIFS($B$2:B435,B435,$T$2:T435,T435)=1,1,0)</f>
        <v>1</v>
      </c>
    </row>
    <row r="436" customFormat="false" ht="15" hidden="false" customHeight="false" outlineLevel="0" collapsed="false">
      <c r="A436" s="13" t="s">
        <v>867</v>
      </c>
      <c r="B436" s="13" t="s">
        <v>179</v>
      </c>
      <c r="C436" s="13" t="n">
        <v>2200</v>
      </c>
      <c r="D436" s="13" t="n">
        <v>20</v>
      </c>
      <c r="E436" s="13" t="n">
        <v>139</v>
      </c>
      <c r="F436" s="13" t="s">
        <v>5325</v>
      </c>
      <c r="G436" s="13" t="s">
        <v>5289</v>
      </c>
      <c r="H436" s="13" t="s">
        <v>5289</v>
      </c>
      <c r="I436" s="13" t="s">
        <v>5289</v>
      </c>
      <c r="J436" s="13" t="s">
        <v>5289</v>
      </c>
      <c r="K436" s="13" t="s">
        <v>5289</v>
      </c>
      <c r="L436" s="13" t="s">
        <v>3537</v>
      </c>
      <c r="M436" s="13"/>
      <c r="N436" s="13" t="n">
        <v>7908005329658</v>
      </c>
      <c r="O436" s="13"/>
      <c r="P436" s="13" t="s">
        <v>5291</v>
      </c>
      <c r="Q436" s="13" t="s">
        <v>5289</v>
      </c>
      <c r="R436" s="13" t="s">
        <v>5292</v>
      </c>
      <c r="S436" s="13" t="s">
        <v>5293</v>
      </c>
      <c r="T436" s="13" t="s">
        <v>3</v>
      </c>
      <c r="U436" s="13" t="s">
        <v>180</v>
      </c>
      <c r="V436" s="13" t="n">
        <f aca="false">IF(COUNTIF($B$2:B436,B436)=1,1,0)</f>
        <v>0</v>
      </c>
      <c r="W436" s="13" t="n">
        <f aca="false">IF(COUNTIFS($B$2:B436,B436,$T$2:T436,T436)=1,1,0)</f>
        <v>0</v>
      </c>
    </row>
    <row r="437" customFormat="false" ht="15" hidden="false" customHeight="false" outlineLevel="0" collapsed="false">
      <c r="A437" s="13" t="s">
        <v>3534</v>
      </c>
      <c r="B437" s="13" t="s">
        <v>2096</v>
      </c>
      <c r="C437" s="13" t="n">
        <v>2200</v>
      </c>
      <c r="D437" s="13" t="n">
        <v>20</v>
      </c>
      <c r="E437" s="13" t="n">
        <v>99.99</v>
      </c>
      <c r="F437" s="13" t="s">
        <v>5288</v>
      </c>
      <c r="G437" s="13" t="s">
        <v>5289</v>
      </c>
      <c r="H437" s="13" t="s">
        <v>5289</v>
      </c>
      <c r="I437" s="13" t="s">
        <v>5289</v>
      </c>
      <c r="J437" s="13" t="s">
        <v>5289</v>
      </c>
      <c r="K437" s="13" t="s">
        <v>5292</v>
      </c>
      <c r="L437" s="13" t="s">
        <v>5471</v>
      </c>
      <c r="M437" s="13"/>
      <c r="N437" s="13" t="n">
        <v>7891033940912</v>
      </c>
      <c r="O437" s="13"/>
      <c r="P437" s="13" t="s">
        <v>5297</v>
      </c>
      <c r="Q437" s="13" t="s">
        <v>5289</v>
      </c>
      <c r="R437" s="13" t="s">
        <v>5292</v>
      </c>
      <c r="S437" s="13" t="s">
        <v>5293</v>
      </c>
      <c r="T437" s="13" t="s">
        <v>3</v>
      </c>
      <c r="U437" s="13" t="s">
        <v>43</v>
      </c>
      <c r="V437" s="13" t="n">
        <f aca="false">IF(COUNTIF($B$2:B437,B437)=1,1,0)</f>
        <v>0</v>
      </c>
      <c r="W437" s="13" t="n">
        <f aca="false">IF(COUNTIFS($B$2:B437,B437,$T$2:T437,T437)=1,1,0)</f>
        <v>0</v>
      </c>
    </row>
    <row r="438" customFormat="false" ht="15" hidden="false" customHeight="false" outlineLevel="0" collapsed="false">
      <c r="A438" s="13" t="s">
        <v>869</v>
      </c>
      <c r="B438" s="13" t="s">
        <v>312</v>
      </c>
      <c r="C438" s="13" t="n">
        <v>2200</v>
      </c>
      <c r="D438" s="13" t="n">
        <v>10</v>
      </c>
      <c r="E438" s="13" t="n">
        <v>155.67</v>
      </c>
      <c r="F438" s="13" t="s">
        <v>5288</v>
      </c>
      <c r="G438" s="13" t="s">
        <v>5289</v>
      </c>
      <c r="H438" s="13" t="s">
        <v>5289</v>
      </c>
      <c r="I438" s="13" t="s">
        <v>5289</v>
      </c>
      <c r="J438" s="13" t="s">
        <v>5289</v>
      </c>
      <c r="K438" s="13" t="s">
        <v>5289</v>
      </c>
      <c r="L438" s="13" t="s">
        <v>2535</v>
      </c>
      <c r="M438" s="13"/>
      <c r="N438" s="13" t="n">
        <v>3700608300010</v>
      </c>
      <c r="O438" s="13"/>
      <c r="P438" s="13" t="s">
        <v>5304</v>
      </c>
      <c r="Q438" s="13" t="s">
        <v>5289</v>
      </c>
      <c r="R438" s="13" t="s">
        <v>5292</v>
      </c>
      <c r="S438" s="13" t="s">
        <v>5293</v>
      </c>
      <c r="T438" s="13" t="s">
        <v>3</v>
      </c>
      <c r="U438" s="13" t="s">
        <v>43</v>
      </c>
      <c r="V438" s="13" t="n">
        <f aca="false">IF(COUNTIF($B$2:B438,B438)=1,1,0)</f>
        <v>0</v>
      </c>
      <c r="W438" s="13" t="n">
        <f aca="false">IF(COUNTIFS($B$2:B438,B438,$T$2:T438,T438)=1,1,0)</f>
        <v>0</v>
      </c>
    </row>
    <row r="439" customFormat="false" ht="15" hidden="false" customHeight="false" outlineLevel="0" collapsed="false">
      <c r="A439" s="13" t="s">
        <v>3527</v>
      </c>
      <c r="B439" s="13" t="s">
        <v>2152</v>
      </c>
      <c r="C439" s="13" t="n">
        <v>2200</v>
      </c>
      <c r="D439" s="13" t="n">
        <v>10</v>
      </c>
      <c r="E439" s="13" t="n">
        <v>167.418461538462</v>
      </c>
      <c r="F439" s="13" t="s">
        <v>5288</v>
      </c>
      <c r="G439" s="13" t="s">
        <v>5289</v>
      </c>
      <c r="H439" s="13" t="s">
        <v>5289</v>
      </c>
      <c r="I439" s="13" t="s">
        <v>5289</v>
      </c>
      <c r="J439" s="13" t="s">
        <v>5289</v>
      </c>
      <c r="K439" s="13" t="s">
        <v>5289</v>
      </c>
      <c r="L439" s="13" t="s">
        <v>3526</v>
      </c>
      <c r="M439" s="13"/>
      <c r="N439" s="13" t="n">
        <v>6291108730461</v>
      </c>
      <c r="O439" s="13"/>
      <c r="P439" s="13" t="s">
        <v>5291</v>
      </c>
      <c r="Q439" s="13" t="s">
        <v>5289</v>
      </c>
      <c r="R439" s="13" t="s">
        <v>5292</v>
      </c>
      <c r="S439" s="13" t="s">
        <v>5293</v>
      </c>
      <c r="T439" s="13" t="s">
        <v>3</v>
      </c>
      <c r="U439" s="13" t="s">
        <v>43</v>
      </c>
      <c r="V439" s="13" t="n">
        <f aca="false">IF(COUNTIF($B$2:B439,B439)=1,1,0)</f>
        <v>0</v>
      </c>
      <c r="W439" s="13" t="n">
        <f aca="false">IF(COUNTIFS($B$2:B439,B439,$T$2:T439,T439)=1,1,0)</f>
        <v>0</v>
      </c>
    </row>
    <row r="440" customFormat="false" ht="15" hidden="false" customHeight="false" outlineLevel="0" collapsed="false">
      <c r="A440" s="13" t="s">
        <v>866</v>
      </c>
      <c r="B440" s="13" t="s">
        <v>79</v>
      </c>
      <c r="C440" s="13" t="n">
        <v>2200</v>
      </c>
      <c r="D440" s="13" t="n">
        <v>2</v>
      </c>
      <c r="E440" s="13" t="n">
        <v>725.406666666667</v>
      </c>
      <c r="F440" s="13" t="s">
        <v>5288</v>
      </c>
      <c r="G440" s="13" t="s">
        <v>5289</v>
      </c>
      <c r="H440" s="13" t="s">
        <v>5289</v>
      </c>
      <c r="I440" s="13" t="s">
        <v>5289</v>
      </c>
      <c r="J440" s="13" t="s">
        <v>5289</v>
      </c>
      <c r="K440" s="13" t="s">
        <v>5289</v>
      </c>
      <c r="L440" s="13" t="s">
        <v>3362</v>
      </c>
      <c r="M440" s="13"/>
      <c r="N440" s="13" t="n">
        <v>8057971180462</v>
      </c>
      <c r="O440" s="13"/>
      <c r="P440" s="13" t="s">
        <v>5291</v>
      </c>
      <c r="Q440" s="13" t="s">
        <v>5289</v>
      </c>
      <c r="R440" s="13" t="s">
        <v>5292</v>
      </c>
      <c r="S440" s="13" t="s">
        <v>5293</v>
      </c>
      <c r="T440" s="13" t="s">
        <v>3</v>
      </c>
      <c r="U440" s="13" t="s">
        <v>43</v>
      </c>
      <c r="V440" s="13" t="n">
        <f aca="false">IF(COUNTIF($B$2:B440,B440)=1,1,0)</f>
        <v>0</v>
      </c>
      <c r="W440" s="13" t="n">
        <f aca="false">IF(COUNTIFS($B$2:B440,B440,$T$2:T440,T440)=1,1,0)</f>
        <v>0</v>
      </c>
    </row>
    <row r="441" customFormat="false" ht="15" hidden="false" customHeight="false" outlineLevel="0" collapsed="false">
      <c r="A441" s="13" t="s">
        <v>3540</v>
      </c>
      <c r="B441" s="13" t="s">
        <v>2175</v>
      </c>
      <c r="C441" s="13" t="n">
        <v>2200</v>
      </c>
      <c r="D441" s="13" t="n">
        <v>10</v>
      </c>
      <c r="E441" s="13" t="n">
        <v>155.285714285714</v>
      </c>
      <c r="F441" s="13" t="s">
        <v>5288</v>
      </c>
      <c r="G441" s="13" t="s">
        <v>5289</v>
      </c>
      <c r="H441" s="13" t="s">
        <v>5289</v>
      </c>
      <c r="I441" s="13" t="s">
        <v>5289</v>
      </c>
      <c r="J441" s="13" t="s">
        <v>5289</v>
      </c>
      <c r="K441" s="13" t="s">
        <v>5289</v>
      </c>
      <c r="L441" s="13" t="s">
        <v>3539</v>
      </c>
      <c r="M441" s="13"/>
      <c r="N441" s="13" t="n">
        <v>5055810037024</v>
      </c>
      <c r="O441" s="13"/>
      <c r="P441" s="13" t="s">
        <v>5291</v>
      </c>
      <c r="Q441" s="13" t="s">
        <v>5289</v>
      </c>
      <c r="R441" s="13" t="s">
        <v>5292</v>
      </c>
      <c r="S441" s="13" t="s">
        <v>5293</v>
      </c>
      <c r="T441" s="13" t="s">
        <v>3</v>
      </c>
      <c r="U441" s="13" t="s">
        <v>43</v>
      </c>
      <c r="V441" s="13" t="n">
        <f aca="false">IF(COUNTIF($B$2:B441,B441)=1,1,0)</f>
        <v>1</v>
      </c>
      <c r="W441" s="13" t="n">
        <f aca="false">IF(COUNTIFS($B$2:B441,B441,$T$2:T441,T441)=1,1,0)</f>
        <v>1</v>
      </c>
    </row>
    <row r="442" customFormat="false" ht="15" hidden="false" customHeight="false" outlineLevel="0" collapsed="false">
      <c r="A442" s="13" t="s">
        <v>865</v>
      </c>
      <c r="B442" s="13" t="s">
        <v>135</v>
      </c>
      <c r="C442" s="13" t="n">
        <v>2200</v>
      </c>
      <c r="D442" s="13" t="n">
        <v>5</v>
      </c>
      <c r="E442" s="13" t="n">
        <v>309.99</v>
      </c>
      <c r="F442" s="13" t="s">
        <v>5288</v>
      </c>
      <c r="G442" s="13" t="s">
        <v>5289</v>
      </c>
      <c r="H442" s="13" t="s">
        <v>5289</v>
      </c>
      <c r="I442" s="13" t="s">
        <v>5289</v>
      </c>
      <c r="J442" s="13" t="s">
        <v>5289</v>
      </c>
      <c r="K442" s="13" t="s">
        <v>5292</v>
      </c>
      <c r="L442" s="13" t="s">
        <v>3530</v>
      </c>
      <c r="M442" s="13"/>
      <c r="N442" s="13" t="n">
        <v>7896873179911</v>
      </c>
      <c r="O442" s="13"/>
      <c r="P442" s="13" t="s">
        <v>5297</v>
      </c>
      <c r="Q442" s="13" t="s">
        <v>5289</v>
      </c>
      <c r="R442" s="13" t="s">
        <v>5292</v>
      </c>
      <c r="S442" s="13" t="s">
        <v>5293</v>
      </c>
      <c r="T442" s="13" t="s">
        <v>3</v>
      </c>
      <c r="U442" s="13" t="s">
        <v>129</v>
      </c>
      <c r="V442" s="13" t="n">
        <f aca="false">IF(COUNTIF($B$2:B442,B442)=1,1,0)</f>
        <v>0</v>
      </c>
      <c r="W442" s="13" t="n">
        <f aca="false">IF(COUNTIFS($B$2:B442,B442,$T$2:T442,T442)=1,1,0)</f>
        <v>0</v>
      </c>
    </row>
    <row r="443" customFormat="false" ht="15" hidden="false" customHeight="false" outlineLevel="0" collapsed="false">
      <c r="A443" s="13" t="s">
        <v>3536</v>
      </c>
      <c r="B443" s="13" t="s">
        <v>2124</v>
      </c>
      <c r="C443" s="13" t="n">
        <v>2200</v>
      </c>
      <c r="D443" s="13" t="n">
        <v>30</v>
      </c>
      <c r="E443" s="13" t="n">
        <v>69.99</v>
      </c>
      <c r="F443" s="13" t="s">
        <v>5288</v>
      </c>
      <c r="G443" s="13" t="s">
        <v>5289</v>
      </c>
      <c r="H443" s="13" t="s">
        <v>5289</v>
      </c>
      <c r="I443" s="13" t="s">
        <v>5292</v>
      </c>
      <c r="J443" s="13" t="s">
        <v>5289</v>
      </c>
      <c r="K443" s="13" t="s">
        <v>5292</v>
      </c>
      <c r="L443" s="13" t="s">
        <v>3535</v>
      </c>
      <c r="M443" s="13"/>
      <c r="N443" s="13" t="n">
        <v>5425039220123</v>
      </c>
      <c r="O443" s="13"/>
      <c r="P443" s="13" t="s">
        <v>5291</v>
      </c>
      <c r="Q443" s="13" t="s">
        <v>5289</v>
      </c>
      <c r="R443" s="13" t="s">
        <v>5292</v>
      </c>
      <c r="S443" s="13" t="s">
        <v>5293</v>
      </c>
      <c r="T443" s="13" t="s">
        <v>3</v>
      </c>
      <c r="U443" s="13" t="s">
        <v>43</v>
      </c>
      <c r="V443" s="13" t="n">
        <f aca="false">IF(COUNTIF($B$2:B443,B443)=1,1,0)</f>
        <v>0</v>
      </c>
      <c r="W443" s="13" t="n">
        <f aca="false">IF(COUNTIFS($B$2:B443,B443,$T$2:T443,T443)=1,1,0)</f>
        <v>0</v>
      </c>
    </row>
    <row r="444" customFormat="false" ht="15" hidden="false" customHeight="false" outlineLevel="0" collapsed="false">
      <c r="A444" s="13" t="s">
        <v>868</v>
      </c>
      <c r="B444" s="13" t="s">
        <v>65</v>
      </c>
      <c r="C444" s="13" t="n">
        <v>2200</v>
      </c>
      <c r="D444" s="13" t="n">
        <v>5</v>
      </c>
      <c r="E444" s="13" t="n">
        <v>433.56</v>
      </c>
      <c r="F444" s="13" t="s">
        <v>5288</v>
      </c>
      <c r="G444" s="13" t="s">
        <v>5289</v>
      </c>
      <c r="H444" s="13" t="s">
        <v>5292</v>
      </c>
      <c r="I444" s="13" t="s">
        <v>5289</v>
      </c>
      <c r="J444" s="13" t="s">
        <v>5289</v>
      </c>
      <c r="K444" s="13" t="s">
        <v>5289</v>
      </c>
      <c r="L444" s="13" t="s">
        <v>3233</v>
      </c>
      <c r="M444" s="13"/>
      <c r="N444" s="13" t="n">
        <v>4710122008100</v>
      </c>
      <c r="O444" s="13"/>
      <c r="P444" s="13" t="s">
        <v>5291</v>
      </c>
      <c r="Q444" s="13" t="s">
        <v>5289</v>
      </c>
      <c r="R444" s="13" t="s">
        <v>5292</v>
      </c>
      <c r="S444" s="13" t="s">
        <v>5293</v>
      </c>
      <c r="T444" s="13" t="s">
        <v>3</v>
      </c>
      <c r="U444" s="13" t="s">
        <v>85</v>
      </c>
      <c r="V444" s="13" t="n">
        <f aca="false">IF(COUNTIF($B$2:B444,B444)=1,1,0)</f>
        <v>0</v>
      </c>
      <c r="W444" s="13" t="n">
        <f aca="false">IF(COUNTIFS($B$2:B444,B444,$T$2:T444,T444)=1,1,0)</f>
        <v>0</v>
      </c>
    </row>
    <row r="445" customFormat="false" ht="15" hidden="false" customHeight="false" outlineLevel="0" collapsed="false">
      <c r="A445" s="13" t="s">
        <v>2756</v>
      </c>
      <c r="B445" s="13" t="s">
        <v>2097</v>
      </c>
      <c r="C445" s="13" t="n">
        <v>2200</v>
      </c>
      <c r="D445" s="13" t="n">
        <v>40</v>
      </c>
      <c r="E445" s="13" t="n">
        <v>52.4865853658537</v>
      </c>
      <c r="F445" s="13" t="s">
        <v>5288</v>
      </c>
      <c r="G445" s="13" t="s">
        <v>5289</v>
      </c>
      <c r="H445" s="13" t="s">
        <v>5292</v>
      </c>
      <c r="I445" s="13" t="s">
        <v>5292</v>
      </c>
      <c r="J445" s="13" t="s">
        <v>5289</v>
      </c>
      <c r="K445" s="13" t="s">
        <v>5289</v>
      </c>
      <c r="L445" s="13" t="s">
        <v>2755</v>
      </c>
      <c r="M445" s="13"/>
      <c r="N445" s="13" t="n">
        <v>7908407008250</v>
      </c>
      <c r="O445" s="13"/>
      <c r="P445" s="13" t="s">
        <v>5291</v>
      </c>
      <c r="Q445" s="13" t="s">
        <v>5289</v>
      </c>
      <c r="R445" s="13" t="s">
        <v>5292</v>
      </c>
      <c r="S445" s="13" t="s">
        <v>5293</v>
      </c>
      <c r="T445" s="13" t="s">
        <v>3</v>
      </c>
      <c r="U445" s="13" t="s">
        <v>85</v>
      </c>
      <c r="V445" s="13" t="n">
        <f aca="false">IF(COUNTIF($B$2:B445,B445)=1,1,0)</f>
        <v>0</v>
      </c>
      <c r="W445" s="13" t="n">
        <f aca="false">IF(COUNTIFS($B$2:B445,B445,$T$2:T445,T445)=1,1,0)</f>
        <v>0</v>
      </c>
    </row>
    <row r="446" customFormat="false" ht="15" hidden="false" customHeight="false" outlineLevel="0" collapsed="false">
      <c r="A446" s="13" t="s">
        <v>3439</v>
      </c>
      <c r="B446" s="13" t="s">
        <v>2182</v>
      </c>
      <c r="C446" s="13" t="n">
        <v>2100</v>
      </c>
      <c r="D446" s="13" t="n">
        <v>20</v>
      </c>
      <c r="E446" s="13" t="n">
        <v>119.051666666667</v>
      </c>
      <c r="F446" s="13" t="s">
        <v>5288</v>
      </c>
      <c r="G446" s="13" t="s">
        <v>5289</v>
      </c>
      <c r="H446" s="13" t="s">
        <v>5289</v>
      </c>
      <c r="I446" s="13" t="s">
        <v>5289</v>
      </c>
      <c r="J446" s="13" t="s">
        <v>5289</v>
      </c>
      <c r="K446" s="13" t="s">
        <v>5289</v>
      </c>
      <c r="L446" s="13" t="s">
        <v>5472</v>
      </c>
      <c r="M446" s="13"/>
      <c r="N446" s="13" t="n">
        <v>7896540792757</v>
      </c>
      <c r="O446" s="13"/>
      <c r="P446" s="13" t="s">
        <v>5297</v>
      </c>
      <c r="Q446" s="13" t="s">
        <v>5289</v>
      </c>
      <c r="R446" s="13" t="s">
        <v>5292</v>
      </c>
      <c r="S446" s="13" t="s">
        <v>5293</v>
      </c>
      <c r="T446" s="13" t="s">
        <v>3</v>
      </c>
      <c r="U446" s="13" t="s">
        <v>57</v>
      </c>
      <c r="V446" s="13" t="n">
        <f aca="false">IF(COUNTIF($B$2:B446,B446)=1,1,0)</f>
        <v>0</v>
      </c>
      <c r="W446" s="13" t="n">
        <f aca="false">IF(COUNTIFS($B$2:B446,B446,$T$2:T446,T446)=1,1,0)</f>
        <v>0</v>
      </c>
    </row>
    <row r="447" customFormat="false" ht="15" hidden="false" customHeight="false" outlineLevel="0" collapsed="false">
      <c r="A447" s="13" t="s">
        <v>3571</v>
      </c>
      <c r="B447" s="13" t="s">
        <v>2107</v>
      </c>
      <c r="C447" s="13" t="n">
        <v>2100</v>
      </c>
      <c r="D447" s="13" t="n">
        <v>30</v>
      </c>
      <c r="E447" s="13" t="n">
        <v>78.99</v>
      </c>
      <c r="F447" s="13" t="s">
        <v>5288</v>
      </c>
      <c r="G447" s="13" t="s">
        <v>5289</v>
      </c>
      <c r="H447" s="13" t="s">
        <v>5289</v>
      </c>
      <c r="I447" s="13" t="s">
        <v>5292</v>
      </c>
      <c r="J447" s="13" t="s">
        <v>5289</v>
      </c>
      <c r="K447" s="13" t="s">
        <v>5292</v>
      </c>
      <c r="L447" s="13" t="s">
        <v>3570</v>
      </c>
      <c r="M447" s="13"/>
      <c r="N447" s="13" t="n">
        <v>8439627606708</v>
      </c>
      <c r="O447" s="13"/>
      <c r="P447" s="13" t="s">
        <v>5291</v>
      </c>
      <c r="Q447" s="13" t="s">
        <v>5289</v>
      </c>
      <c r="R447" s="13" t="s">
        <v>5292</v>
      </c>
      <c r="S447" s="13" t="s">
        <v>5293</v>
      </c>
      <c r="T447" s="13" t="s">
        <v>3</v>
      </c>
      <c r="U447" s="13" t="s">
        <v>43</v>
      </c>
      <c r="V447" s="13" t="n">
        <f aca="false">IF(COUNTIF($B$2:B447,B447)=1,1,0)</f>
        <v>0</v>
      </c>
      <c r="W447" s="13" t="n">
        <f aca="false">IF(COUNTIFS($B$2:B447,B447,$T$2:T447,T447)=1,1,0)</f>
        <v>0</v>
      </c>
    </row>
    <row r="448" customFormat="false" ht="15" hidden="false" customHeight="false" outlineLevel="0" collapsed="false">
      <c r="A448" s="13" t="s">
        <v>885</v>
      </c>
      <c r="B448" s="13" t="s">
        <v>191</v>
      </c>
      <c r="C448" s="13" t="n">
        <v>2100</v>
      </c>
      <c r="D448" s="13" t="n">
        <v>20</v>
      </c>
      <c r="E448" s="13" t="n">
        <v>140</v>
      </c>
      <c r="F448" s="13" t="s">
        <v>5288</v>
      </c>
      <c r="G448" s="13" t="s">
        <v>5289</v>
      </c>
      <c r="H448" s="13" t="s">
        <v>5289</v>
      </c>
      <c r="I448" s="13" t="s">
        <v>5289</v>
      </c>
      <c r="J448" s="13" t="s">
        <v>5289</v>
      </c>
      <c r="K448" s="13" t="s">
        <v>5289</v>
      </c>
      <c r="L448" s="13" t="s">
        <v>3560</v>
      </c>
      <c r="M448" s="13"/>
      <c r="N448" s="13" t="n">
        <v>7898973267796</v>
      </c>
      <c r="O448" s="13"/>
      <c r="P448" s="13" t="s">
        <v>5291</v>
      </c>
      <c r="Q448" s="13" t="s">
        <v>5289</v>
      </c>
      <c r="R448" s="13" t="s">
        <v>5292</v>
      </c>
      <c r="S448" s="13" t="s">
        <v>5293</v>
      </c>
      <c r="T448" s="13" t="s">
        <v>3</v>
      </c>
      <c r="U448" s="13" t="s">
        <v>183</v>
      </c>
      <c r="V448" s="13" t="n">
        <f aca="false">IF(COUNTIF($B$2:B448,B448)=1,1,0)</f>
        <v>0</v>
      </c>
      <c r="W448" s="13" t="n">
        <f aca="false">IF(COUNTIFS($B$2:B448,B448,$T$2:T448,T448)=1,1,0)</f>
        <v>0</v>
      </c>
    </row>
    <row r="449" customFormat="false" ht="15" hidden="false" customHeight="false" outlineLevel="0" collapsed="false">
      <c r="A449" s="13" t="s">
        <v>3564</v>
      </c>
      <c r="B449" s="13" t="s">
        <v>2202</v>
      </c>
      <c r="C449" s="13" t="n">
        <v>2100</v>
      </c>
      <c r="D449" s="13" t="n">
        <v>70</v>
      </c>
      <c r="E449" s="13" t="n">
        <v>29.0209722222222</v>
      </c>
      <c r="F449" s="13" t="s">
        <v>5288</v>
      </c>
      <c r="G449" s="13" t="s">
        <v>5289</v>
      </c>
      <c r="H449" s="13" t="s">
        <v>5289</v>
      </c>
      <c r="I449" s="13" t="s">
        <v>5292</v>
      </c>
      <c r="J449" s="13" t="s">
        <v>5289</v>
      </c>
      <c r="K449" s="13" t="s">
        <v>5292</v>
      </c>
      <c r="L449" s="13" t="s">
        <v>3563</v>
      </c>
      <c r="M449" s="13"/>
      <c r="N449" s="13" t="n">
        <v>7898702040799</v>
      </c>
      <c r="O449" s="13"/>
      <c r="P449" s="13" t="s">
        <v>5291</v>
      </c>
      <c r="Q449" s="13" t="s">
        <v>5289</v>
      </c>
      <c r="R449" s="13" t="s">
        <v>5292</v>
      </c>
      <c r="S449" s="13" t="s">
        <v>5293</v>
      </c>
      <c r="T449" s="13" t="s">
        <v>3</v>
      </c>
      <c r="U449" s="13" t="s">
        <v>140</v>
      </c>
      <c r="V449" s="13" t="n">
        <f aca="false">IF(COUNTIF($B$2:B449,B449)=1,1,0)</f>
        <v>1</v>
      </c>
      <c r="W449" s="13" t="n">
        <f aca="false">IF(COUNTIFS($B$2:B449,B449,$T$2:T449,T449)=1,1,0)</f>
        <v>1</v>
      </c>
    </row>
    <row r="450" customFormat="false" ht="15" hidden="false" customHeight="false" outlineLevel="0" collapsed="false">
      <c r="A450" s="13" t="s">
        <v>884</v>
      </c>
      <c r="B450" s="13" t="s">
        <v>117</v>
      </c>
      <c r="C450" s="13" t="n">
        <v>2100</v>
      </c>
      <c r="D450" s="13" t="n">
        <v>1</v>
      </c>
      <c r="E450" s="13" t="n">
        <v>2086</v>
      </c>
      <c r="F450" s="13" t="s">
        <v>5288</v>
      </c>
      <c r="G450" s="13" t="s">
        <v>5289</v>
      </c>
      <c r="H450" s="13" t="s">
        <v>5289</v>
      </c>
      <c r="I450" s="13" t="s">
        <v>5289</v>
      </c>
      <c r="J450" s="13" t="s">
        <v>5289</v>
      </c>
      <c r="K450" s="13" t="s">
        <v>5289</v>
      </c>
      <c r="L450" s="13" t="s">
        <v>3567</v>
      </c>
      <c r="M450" s="13"/>
      <c r="N450" s="13" t="n">
        <v>885911725699</v>
      </c>
      <c r="O450" s="13"/>
      <c r="P450" s="13" t="s">
        <v>5291</v>
      </c>
      <c r="Q450" s="13" t="s">
        <v>5289</v>
      </c>
      <c r="R450" s="13" t="s">
        <v>5292</v>
      </c>
      <c r="S450" s="13" t="s">
        <v>5293</v>
      </c>
      <c r="T450" s="13" t="s">
        <v>3</v>
      </c>
      <c r="U450" s="13" t="s">
        <v>85</v>
      </c>
      <c r="V450" s="13" t="n">
        <f aca="false">IF(COUNTIF($B$2:B450,B450)=1,1,0)</f>
        <v>0</v>
      </c>
      <c r="W450" s="13" t="n">
        <f aca="false">IF(COUNTIFS($B$2:B450,B450,$T$2:T450,T450)=1,1,0)</f>
        <v>0</v>
      </c>
    </row>
    <row r="451" customFormat="false" ht="15" hidden="false" customHeight="false" outlineLevel="0" collapsed="false">
      <c r="A451" s="13" t="s">
        <v>3558</v>
      </c>
      <c r="B451" s="13" t="s">
        <v>2142</v>
      </c>
      <c r="C451" s="13" t="n">
        <v>2100</v>
      </c>
      <c r="D451" s="13" t="n">
        <v>50</v>
      </c>
      <c r="E451" s="13" t="n">
        <v>38.43</v>
      </c>
      <c r="F451" s="13" t="s">
        <v>5288</v>
      </c>
      <c r="G451" s="13" t="s">
        <v>5289</v>
      </c>
      <c r="H451" s="13" t="s">
        <v>5289</v>
      </c>
      <c r="I451" s="13" t="s">
        <v>5292</v>
      </c>
      <c r="J451" s="13" t="s">
        <v>5289</v>
      </c>
      <c r="K451" s="13" t="s">
        <v>5289</v>
      </c>
      <c r="L451" s="13" t="s">
        <v>3556</v>
      </c>
      <c r="M451" s="13"/>
      <c r="N451" s="13" t="n">
        <v>7908038600939</v>
      </c>
      <c r="O451" s="13"/>
      <c r="P451" s="13" t="s">
        <v>5304</v>
      </c>
      <c r="Q451" s="13" t="s">
        <v>5289</v>
      </c>
      <c r="R451" s="13" t="s">
        <v>5292</v>
      </c>
      <c r="S451" s="13" t="s">
        <v>5293</v>
      </c>
      <c r="T451" s="13" t="s">
        <v>3</v>
      </c>
      <c r="U451" s="13" t="s">
        <v>85</v>
      </c>
      <c r="V451" s="13" t="n">
        <f aca="false">IF(COUNTIF($B$2:B451,B451)=1,1,0)</f>
        <v>1</v>
      </c>
      <c r="W451" s="13" t="n">
        <f aca="false">IF(COUNTIFS($B$2:B451,B451,$T$2:T451,T451)=1,1,0)</f>
        <v>1</v>
      </c>
    </row>
    <row r="452" customFormat="false" ht="15" hidden="false" customHeight="false" outlineLevel="0" collapsed="false">
      <c r="A452" s="13" t="s">
        <v>3562</v>
      </c>
      <c r="B452" s="13" t="s">
        <v>2152</v>
      </c>
      <c r="C452" s="13" t="n">
        <v>2100</v>
      </c>
      <c r="D452" s="13" t="n">
        <v>5</v>
      </c>
      <c r="E452" s="13" t="n">
        <v>230.107777777778</v>
      </c>
      <c r="F452" s="13" t="s">
        <v>5288</v>
      </c>
      <c r="G452" s="13" t="s">
        <v>5289</v>
      </c>
      <c r="H452" s="13" t="s">
        <v>5289</v>
      </c>
      <c r="I452" s="13" t="s">
        <v>5289</v>
      </c>
      <c r="J452" s="13" t="s">
        <v>5289</v>
      </c>
      <c r="K452" s="13" t="s">
        <v>5289</v>
      </c>
      <c r="L452" s="13" t="s">
        <v>3561</v>
      </c>
      <c r="M452" s="13"/>
      <c r="N452" s="13" t="n">
        <v>6291106908435</v>
      </c>
      <c r="O452" s="13"/>
      <c r="P452" s="13" t="s">
        <v>5297</v>
      </c>
      <c r="Q452" s="13" t="s">
        <v>5289</v>
      </c>
      <c r="R452" s="13" t="s">
        <v>5292</v>
      </c>
      <c r="S452" s="13" t="s">
        <v>5293</v>
      </c>
      <c r="T452" s="13" t="s">
        <v>3</v>
      </c>
      <c r="U452" s="13" t="s">
        <v>43</v>
      </c>
      <c r="V452" s="13" t="n">
        <f aca="false">IF(COUNTIF($B$2:B452,B452)=1,1,0)</f>
        <v>0</v>
      </c>
      <c r="W452" s="13" t="n">
        <f aca="false">IF(COUNTIFS($B$2:B452,B452,$T$2:T452,T452)=1,1,0)</f>
        <v>0</v>
      </c>
    </row>
    <row r="453" customFormat="false" ht="15" hidden="false" customHeight="false" outlineLevel="0" collapsed="false">
      <c r="A453" s="13" t="s">
        <v>3569</v>
      </c>
      <c r="B453" s="13" t="s">
        <v>2115</v>
      </c>
      <c r="C453" s="13" t="n">
        <v>2100</v>
      </c>
      <c r="D453" s="13" t="n">
        <v>20</v>
      </c>
      <c r="E453" s="13" t="n">
        <v>86.2083333333333</v>
      </c>
      <c r="F453" s="13" t="s">
        <v>5288</v>
      </c>
      <c r="G453" s="13" t="s">
        <v>5289</v>
      </c>
      <c r="H453" s="13" t="s">
        <v>5289</v>
      </c>
      <c r="I453" s="13" t="s">
        <v>5292</v>
      </c>
      <c r="J453" s="13" t="s">
        <v>5289</v>
      </c>
      <c r="K453" s="13" t="s">
        <v>5292</v>
      </c>
      <c r="L453" s="13" t="s">
        <v>5473</v>
      </c>
      <c r="M453" s="13"/>
      <c r="N453" s="13" t="n">
        <v>7898684482754</v>
      </c>
      <c r="O453" s="13"/>
      <c r="P453" s="13" t="s">
        <v>5291</v>
      </c>
      <c r="Q453" s="13" t="s">
        <v>5289</v>
      </c>
      <c r="R453" s="13" t="s">
        <v>5292</v>
      </c>
      <c r="S453" s="13" t="s">
        <v>5293</v>
      </c>
      <c r="T453" s="13" t="s">
        <v>3</v>
      </c>
      <c r="U453" s="13" t="s">
        <v>85</v>
      </c>
      <c r="V453" s="13" t="n">
        <f aca="false">IF(COUNTIF($B$2:B453,B453)=1,1,0)</f>
        <v>0</v>
      </c>
      <c r="W453" s="13" t="n">
        <f aca="false">IF(COUNTIFS($B$2:B453,B453,$T$2:T453,T453)=1,1,0)</f>
        <v>0</v>
      </c>
    </row>
    <row r="454" customFormat="false" ht="15" hidden="false" customHeight="false" outlineLevel="0" collapsed="false">
      <c r="A454" s="13" t="s">
        <v>883</v>
      </c>
      <c r="B454" s="13" t="s">
        <v>186</v>
      </c>
      <c r="C454" s="13" t="n">
        <v>2100</v>
      </c>
      <c r="D454" s="13" t="n">
        <v>5</v>
      </c>
      <c r="E454" s="13" t="n">
        <v>229.287777777778</v>
      </c>
      <c r="F454" s="13" t="s">
        <v>5288</v>
      </c>
      <c r="G454" s="13" t="s">
        <v>5289</v>
      </c>
      <c r="H454" s="13" t="s">
        <v>5289</v>
      </c>
      <c r="I454" s="13" t="s">
        <v>5289</v>
      </c>
      <c r="J454" s="13" t="s">
        <v>5289</v>
      </c>
      <c r="K454" s="13" t="s">
        <v>5292</v>
      </c>
      <c r="L454" s="13" t="s">
        <v>5474</v>
      </c>
      <c r="M454" s="13"/>
      <c r="N454" s="13" t="n">
        <v>88300196890</v>
      </c>
      <c r="O454" s="13"/>
      <c r="P454" s="13" t="s">
        <v>5291</v>
      </c>
      <c r="Q454" s="13" t="s">
        <v>5289</v>
      </c>
      <c r="R454" s="13" t="s">
        <v>5292</v>
      </c>
      <c r="S454" s="13" t="s">
        <v>5293</v>
      </c>
      <c r="T454" s="13" t="s">
        <v>3</v>
      </c>
      <c r="U454" s="13" t="s">
        <v>43</v>
      </c>
      <c r="V454" s="13" t="n">
        <f aca="false">IF(COUNTIF($B$2:B454,B454)=1,1,0)</f>
        <v>0</v>
      </c>
      <c r="W454" s="13" t="n">
        <f aca="false">IF(COUNTIFS($B$2:B454,B454,$T$2:T454,T454)=1,1,0)</f>
        <v>0</v>
      </c>
    </row>
    <row r="455" customFormat="false" ht="15" hidden="false" customHeight="false" outlineLevel="0" collapsed="false">
      <c r="A455" s="13" t="s">
        <v>3610</v>
      </c>
      <c r="B455" s="13" t="s">
        <v>2101</v>
      </c>
      <c r="C455" s="13" t="n">
        <v>2000</v>
      </c>
      <c r="D455" s="13" t="n">
        <v>30</v>
      </c>
      <c r="E455" s="13" t="n">
        <v>64</v>
      </c>
      <c r="F455" s="13" t="s">
        <v>5288</v>
      </c>
      <c r="G455" s="13" t="s">
        <v>5289</v>
      </c>
      <c r="H455" s="13" t="s">
        <v>5289</v>
      </c>
      <c r="I455" s="13" t="s">
        <v>5292</v>
      </c>
      <c r="J455" s="13" t="s">
        <v>5289</v>
      </c>
      <c r="K455" s="13" t="s">
        <v>5292</v>
      </c>
      <c r="L455" s="13" t="s">
        <v>3609</v>
      </c>
      <c r="M455" s="13"/>
      <c r="N455" s="13" t="n">
        <v>7908412512193</v>
      </c>
      <c r="O455" s="13"/>
      <c r="P455" s="13" t="s">
        <v>5291</v>
      </c>
      <c r="Q455" s="13" t="s">
        <v>5289</v>
      </c>
      <c r="R455" s="13" t="s">
        <v>5292</v>
      </c>
      <c r="S455" s="13" t="s">
        <v>5293</v>
      </c>
      <c r="T455" s="13" t="s">
        <v>3</v>
      </c>
      <c r="U455" s="13" t="s">
        <v>85</v>
      </c>
      <c r="V455" s="13" t="n">
        <f aca="false">IF(COUNTIF($B$2:B455,B455)=1,1,0)</f>
        <v>0</v>
      </c>
      <c r="W455" s="13" t="n">
        <f aca="false">IF(COUNTIFS($B$2:B455,B455,$T$2:T455,T455)=1,1,0)</f>
        <v>0</v>
      </c>
    </row>
    <row r="456" customFormat="false" ht="15" hidden="false" customHeight="false" outlineLevel="0" collapsed="false">
      <c r="A456" s="13" t="s">
        <v>917</v>
      </c>
      <c r="B456" s="13" t="s">
        <v>87</v>
      </c>
      <c r="C456" s="13" t="n">
        <v>2000</v>
      </c>
      <c r="D456" s="13" t="n">
        <v>10</v>
      </c>
      <c r="E456" s="13" t="n">
        <v>145.49</v>
      </c>
      <c r="F456" s="13" t="s">
        <v>5288</v>
      </c>
      <c r="G456" s="13" t="s">
        <v>5289</v>
      </c>
      <c r="H456" s="13" t="s">
        <v>5289</v>
      </c>
      <c r="I456" s="13" t="s">
        <v>5289</v>
      </c>
      <c r="J456" s="13" t="s">
        <v>5289</v>
      </c>
      <c r="K456" s="13" t="s">
        <v>5289</v>
      </c>
      <c r="L456" s="13" t="s">
        <v>3603</v>
      </c>
      <c r="M456" s="13"/>
      <c r="N456" s="13" t="n">
        <v>9415291022616</v>
      </c>
      <c r="O456" s="13"/>
      <c r="P456" s="13" t="s">
        <v>5291</v>
      </c>
      <c r="Q456" s="13" t="s">
        <v>5289</v>
      </c>
      <c r="R456" s="13" t="s">
        <v>5292</v>
      </c>
      <c r="S456" s="13" t="s">
        <v>5293</v>
      </c>
      <c r="T456" s="13" t="s">
        <v>3</v>
      </c>
      <c r="U456" s="13" t="s">
        <v>85</v>
      </c>
      <c r="V456" s="13" t="n">
        <f aca="false">IF(COUNTIF($B$2:B456,B456)=1,1,0)</f>
        <v>0</v>
      </c>
      <c r="W456" s="13" t="n">
        <f aca="false">IF(COUNTIFS($B$2:B456,B456,$T$2:T456,T456)=1,1,0)</f>
        <v>0</v>
      </c>
    </row>
    <row r="457" customFormat="false" ht="15" hidden="false" customHeight="false" outlineLevel="0" collapsed="false">
      <c r="A457" s="13" t="s">
        <v>3596</v>
      </c>
      <c r="B457" s="13" t="s">
        <v>2222</v>
      </c>
      <c r="C457" s="13" t="n">
        <v>2000</v>
      </c>
      <c r="D457" s="13" t="n">
        <v>60</v>
      </c>
      <c r="E457" s="13" t="n">
        <v>36.3685714285714</v>
      </c>
      <c r="F457" s="13" t="s">
        <v>5288</v>
      </c>
      <c r="G457" s="13" t="s">
        <v>5289</v>
      </c>
      <c r="H457" s="13" t="s">
        <v>5289</v>
      </c>
      <c r="I457" s="13" t="s">
        <v>5292</v>
      </c>
      <c r="J457" s="13" t="s">
        <v>5289</v>
      </c>
      <c r="K457" s="13" t="s">
        <v>5292</v>
      </c>
      <c r="L457" s="13" t="s">
        <v>3595</v>
      </c>
      <c r="M457" s="13"/>
      <c r="N457" s="13" t="n">
        <v>7898556790628</v>
      </c>
      <c r="O457" s="13"/>
      <c r="P457" s="13" t="s">
        <v>5291</v>
      </c>
      <c r="Q457" s="13" t="s">
        <v>5289</v>
      </c>
      <c r="R457" s="13" t="s">
        <v>5292</v>
      </c>
      <c r="S457" s="13" t="s">
        <v>5293</v>
      </c>
      <c r="T457" s="13" t="s">
        <v>3</v>
      </c>
      <c r="U457" s="13" t="s">
        <v>140</v>
      </c>
      <c r="V457" s="13" t="n">
        <f aca="false">IF(COUNTIF($B$2:B457,B457)=1,1,0)</f>
        <v>1</v>
      </c>
      <c r="W457" s="13" t="n">
        <f aca="false">IF(COUNTIFS($B$2:B457,B457,$T$2:T457,T457)=1,1,0)</f>
        <v>1</v>
      </c>
    </row>
    <row r="458" customFormat="false" ht="15" hidden="false" customHeight="false" outlineLevel="0" collapsed="false">
      <c r="A458" s="13" t="s">
        <v>426</v>
      </c>
      <c r="B458" s="13" t="s">
        <v>79</v>
      </c>
      <c r="C458" s="13" t="n">
        <v>2000</v>
      </c>
      <c r="D458" s="13" t="n">
        <v>2</v>
      </c>
      <c r="E458" s="13" t="n">
        <v>508.07</v>
      </c>
      <c r="F458" s="13" t="s">
        <v>5288</v>
      </c>
      <c r="G458" s="13" t="s">
        <v>5289</v>
      </c>
      <c r="H458" s="13" t="s">
        <v>5289</v>
      </c>
      <c r="I458" s="13" t="s">
        <v>5289</v>
      </c>
      <c r="J458" s="13" t="s">
        <v>5289</v>
      </c>
      <c r="K458" s="13" t="s">
        <v>5289</v>
      </c>
      <c r="L458" s="13" t="s">
        <v>3065</v>
      </c>
      <c r="M458" s="13"/>
      <c r="N458" s="13" t="n">
        <v>8056669925705</v>
      </c>
      <c r="O458" s="13"/>
      <c r="P458" s="13" t="s">
        <v>5297</v>
      </c>
      <c r="Q458" s="13" t="s">
        <v>5289</v>
      </c>
      <c r="R458" s="13" t="s">
        <v>5292</v>
      </c>
      <c r="S458" s="13" t="s">
        <v>5293</v>
      </c>
      <c r="T458" s="13" t="s">
        <v>3</v>
      </c>
      <c r="U458" s="13" t="s">
        <v>43</v>
      </c>
      <c r="V458" s="13" t="n">
        <f aca="false">IF(COUNTIF($B$2:B458,B458)=1,1,0)</f>
        <v>0</v>
      </c>
      <c r="W458" s="13" t="n">
        <f aca="false">IF(COUNTIFS($B$2:B458,B458,$T$2:T458,T458)=1,1,0)</f>
        <v>0</v>
      </c>
    </row>
    <row r="459" customFormat="false" ht="15" hidden="false" customHeight="false" outlineLevel="0" collapsed="false">
      <c r="A459" s="13" t="s">
        <v>3592</v>
      </c>
      <c r="B459" s="13" t="s">
        <v>2161</v>
      </c>
      <c r="C459" s="13" t="n">
        <v>2000</v>
      </c>
      <c r="D459" s="13" t="n">
        <v>2</v>
      </c>
      <c r="E459" s="13" t="n">
        <v>675.93</v>
      </c>
      <c r="F459" s="13" t="s">
        <v>5288</v>
      </c>
      <c r="G459" s="13" t="s">
        <v>5289</v>
      </c>
      <c r="H459" s="13" t="s">
        <v>5289</v>
      </c>
      <c r="I459" s="13" t="s">
        <v>5289</v>
      </c>
      <c r="J459" s="13" t="s">
        <v>5289</v>
      </c>
      <c r="K459" s="13" t="s">
        <v>5289</v>
      </c>
      <c r="L459" s="13" t="s">
        <v>3591</v>
      </c>
      <c r="M459" s="13"/>
      <c r="N459" s="13" t="n">
        <v>885911482394</v>
      </c>
      <c r="O459" s="13"/>
      <c r="P459" s="13" t="s">
        <v>5291</v>
      </c>
      <c r="Q459" s="13" t="s">
        <v>5289</v>
      </c>
      <c r="R459" s="13" t="s">
        <v>5292</v>
      </c>
      <c r="S459" s="13" t="s">
        <v>5293</v>
      </c>
      <c r="T459" s="13" t="s">
        <v>3</v>
      </c>
      <c r="U459" s="13" t="s">
        <v>98</v>
      </c>
      <c r="V459" s="13" t="n">
        <f aca="false">IF(COUNTIF($B$2:B459,B459)=1,1,0)</f>
        <v>0</v>
      </c>
      <c r="W459" s="13" t="n">
        <f aca="false">IF(COUNTIFS($B$2:B459,B459,$T$2:T459,T459)=1,1,0)</f>
        <v>0</v>
      </c>
    </row>
    <row r="460" customFormat="false" ht="15" hidden="false" customHeight="false" outlineLevel="0" collapsed="false">
      <c r="A460" s="13" t="s">
        <v>918</v>
      </c>
      <c r="B460" s="13" t="s">
        <v>312</v>
      </c>
      <c r="C460" s="13" t="n">
        <v>2000</v>
      </c>
      <c r="D460" s="13" t="n">
        <v>10</v>
      </c>
      <c r="E460" s="13" t="n">
        <v>155.446923076923</v>
      </c>
      <c r="F460" s="13" t="s">
        <v>5288</v>
      </c>
      <c r="G460" s="13" t="s">
        <v>5289</v>
      </c>
      <c r="H460" s="13" t="s">
        <v>5289</v>
      </c>
      <c r="I460" s="13" t="s">
        <v>5289</v>
      </c>
      <c r="J460" s="13" t="s">
        <v>5289</v>
      </c>
      <c r="K460" s="13" t="s">
        <v>5289</v>
      </c>
      <c r="L460" s="13" t="s">
        <v>5475</v>
      </c>
      <c r="M460" s="13"/>
      <c r="N460" s="13" t="n">
        <v>3700608320230</v>
      </c>
      <c r="O460" s="13"/>
      <c r="P460" s="13" t="s">
        <v>5291</v>
      </c>
      <c r="Q460" s="13" t="s">
        <v>5289</v>
      </c>
      <c r="R460" s="13" t="s">
        <v>5292</v>
      </c>
      <c r="S460" s="13" t="s">
        <v>5293</v>
      </c>
      <c r="T460" s="13" t="s">
        <v>3</v>
      </c>
      <c r="U460" s="13" t="s">
        <v>43</v>
      </c>
      <c r="V460" s="13" t="n">
        <f aca="false">IF(COUNTIF($B$2:B460,B460)=1,1,0)</f>
        <v>0</v>
      </c>
      <c r="W460" s="13" t="n">
        <f aca="false">IF(COUNTIFS($B$2:B460,B460,$T$2:T460,T460)=1,1,0)</f>
        <v>0</v>
      </c>
    </row>
    <row r="461" customFormat="false" ht="15" hidden="false" customHeight="false" outlineLevel="0" collapsed="false">
      <c r="A461" s="13" t="s">
        <v>2482</v>
      </c>
      <c r="B461" s="13" t="s">
        <v>2096</v>
      </c>
      <c r="C461" s="13" t="n">
        <v>2000</v>
      </c>
      <c r="D461" s="13" t="n">
        <v>20</v>
      </c>
      <c r="E461" s="13" t="n">
        <v>96</v>
      </c>
      <c r="F461" s="13" t="s">
        <v>5288</v>
      </c>
      <c r="G461" s="13" t="s">
        <v>5289</v>
      </c>
      <c r="H461" s="13" t="s">
        <v>5292</v>
      </c>
      <c r="I461" s="13" t="s">
        <v>5289</v>
      </c>
      <c r="J461" s="13" t="s">
        <v>5289</v>
      </c>
      <c r="K461" s="13" t="s">
        <v>5289</v>
      </c>
      <c r="L461" s="13" t="s">
        <v>2481</v>
      </c>
      <c r="M461" s="13"/>
      <c r="N461" s="13" t="n">
        <v>7891033507528</v>
      </c>
      <c r="O461" s="13"/>
      <c r="P461" s="13" t="s">
        <v>5291</v>
      </c>
      <c r="Q461" s="13" t="s">
        <v>5289</v>
      </c>
      <c r="R461" s="13" t="s">
        <v>5292</v>
      </c>
      <c r="S461" s="13" t="s">
        <v>5293</v>
      </c>
      <c r="T461" s="13" t="s">
        <v>3</v>
      </c>
      <c r="U461" s="13" t="s">
        <v>43</v>
      </c>
      <c r="V461" s="13" t="n">
        <f aca="false">IF(COUNTIF($B$2:B461,B461)=1,1,0)</f>
        <v>0</v>
      </c>
      <c r="W461" s="13" t="n">
        <f aca="false">IF(COUNTIFS($B$2:B461,B461,$T$2:T461,T461)=1,1,0)</f>
        <v>0</v>
      </c>
    </row>
    <row r="462" customFormat="false" ht="15" hidden="false" customHeight="false" outlineLevel="0" collapsed="false">
      <c r="A462" s="13" t="s">
        <v>922</v>
      </c>
      <c r="B462" s="13" t="s">
        <v>161</v>
      </c>
      <c r="C462" s="13" t="n">
        <v>2000</v>
      </c>
      <c r="D462" s="13" t="n">
        <v>5</v>
      </c>
      <c r="E462" s="13" t="n">
        <v>287.132857142857</v>
      </c>
      <c r="F462" s="13" t="s">
        <v>5288</v>
      </c>
      <c r="G462" s="13" t="s">
        <v>5289</v>
      </c>
      <c r="H462" s="13" t="s">
        <v>5292</v>
      </c>
      <c r="I462" s="13" t="s">
        <v>5289</v>
      </c>
      <c r="J462" s="13" t="s">
        <v>5289</v>
      </c>
      <c r="K462" s="13" t="s">
        <v>5292</v>
      </c>
      <c r="L462" s="13" t="s">
        <v>5332</v>
      </c>
      <c r="M462" s="13"/>
      <c r="N462" s="13" t="n">
        <v>3355991004672</v>
      </c>
      <c r="O462" s="13"/>
      <c r="P462" s="13" t="s">
        <v>5291</v>
      </c>
      <c r="Q462" s="13" t="s">
        <v>5289</v>
      </c>
      <c r="R462" s="13" t="s">
        <v>5292</v>
      </c>
      <c r="S462" s="13" t="s">
        <v>5293</v>
      </c>
      <c r="T462" s="13" t="s">
        <v>3</v>
      </c>
      <c r="U462" s="13" t="s">
        <v>43</v>
      </c>
      <c r="V462" s="13" t="n">
        <f aca="false">IF(COUNTIF($B$2:B462,B462)=1,1,0)</f>
        <v>0</v>
      </c>
      <c r="W462" s="13" t="n">
        <f aca="false">IF(COUNTIFS($B$2:B462,B462,$T$2:T462,T462)=1,1,0)</f>
        <v>0</v>
      </c>
    </row>
    <row r="463" customFormat="false" ht="15" hidden="false" customHeight="false" outlineLevel="0" collapsed="false">
      <c r="A463" s="13" t="s">
        <v>5476</v>
      </c>
      <c r="B463" s="13" t="s">
        <v>2095</v>
      </c>
      <c r="C463" s="13" t="n">
        <v>2000</v>
      </c>
      <c r="D463" s="13" t="n">
        <v>5</v>
      </c>
      <c r="E463" s="13" t="n">
        <v>286.997142857143</v>
      </c>
      <c r="F463" s="13" t="s">
        <v>5288</v>
      </c>
      <c r="G463" s="13" t="s">
        <v>5289</v>
      </c>
      <c r="H463" s="13" t="s">
        <v>5292</v>
      </c>
      <c r="I463" s="13" t="s">
        <v>5289</v>
      </c>
      <c r="J463" s="13" t="s">
        <v>5289</v>
      </c>
      <c r="K463" s="13" t="s">
        <v>5289</v>
      </c>
      <c r="L463" s="13" t="s">
        <v>5408</v>
      </c>
      <c r="M463" s="13"/>
      <c r="N463" s="13" t="n">
        <v>7898665433843</v>
      </c>
      <c r="O463" s="13"/>
      <c r="P463" s="13" t="s">
        <v>5291</v>
      </c>
      <c r="Q463" s="13" t="s">
        <v>5289</v>
      </c>
      <c r="R463" s="13" t="s">
        <v>5292</v>
      </c>
      <c r="S463" s="13" t="s">
        <v>5293</v>
      </c>
      <c r="T463" s="13" t="s">
        <v>3</v>
      </c>
      <c r="U463" s="13" t="s">
        <v>85</v>
      </c>
      <c r="V463" s="13" t="n">
        <f aca="false">IF(COUNTIF($B$2:B463,B463)=1,1,0)</f>
        <v>0</v>
      </c>
      <c r="W463" s="13" t="n">
        <f aca="false">IF(COUNTIFS($B$2:B463,B463,$T$2:T463,T463)=1,1,0)</f>
        <v>0</v>
      </c>
    </row>
    <row r="464" customFormat="false" ht="15" hidden="false" customHeight="false" outlineLevel="0" collapsed="false">
      <c r="A464" s="13" t="s">
        <v>3600</v>
      </c>
      <c r="B464" s="13" t="s">
        <v>2175</v>
      </c>
      <c r="C464" s="13" t="n">
        <v>2000</v>
      </c>
      <c r="D464" s="13" t="n">
        <v>10</v>
      </c>
      <c r="E464" s="13" t="n">
        <v>166.9925</v>
      </c>
      <c r="F464" s="13" t="s">
        <v>5288</v>
      </c>
      <c r="G464" s="13" t="s">
        <v>5289</v>
      </c>
      <c r="H464" s="13" t="s">
        <v>5289</v>
      </c>
      <c r="I464" s="13" t="s">
        <v>5289</v>
      </c>
      <c r="J464" s="13" t="s">
        <v>5289</v>
      </c>
      <c r="K464" s="13" t="s">
        <v>5289</v>
      </c>
      <c r="L464" s="13" t="s">
        <v>3599</v>
      </c>
      <c r="M464" s="13"/>
      <c r="N464" s="13" t="n">
        <v>5055810038090</v>
      </c>
      <c r="O464" s="13"/>
      <c r="P464" s="13" t="s">
        <v>5291</v>
      </c>
      <c r="Q464" s="13" t="s">
        <v>5289</v>
      </c>
      <c r="R464" s="13" t="s">
        <v>5292</v>
      </c>
      <c r="S464" s="13" t="s">
        <v>5293</v>
      </c>
      <c r="T464" s="13" t="s">
        <v>3</v>
      </c>
      <c r="U464" s="13" t="s">
        <v>43</v>
      </c>
      <c r="V464" s="13" t="n">
        <f aca="false">IF(COUNTIF($B$2:B464,B464)=1,1,0)</f>
        <v>0</v>
      </c>
      <c r="W464" s="13" t="n">
        <f aca="false">IF(COUNTIFS($B$2:B464,B464,$T$2:T464,T464)=1,1,0)</f>
        <v>0</v>
      </c>
    </row>
    <row r="465" customFormat="false" ht="15" hidden="false" customHeight="false" outlineLevel="0" collapsed="false">
      <c r="A465" s="13" t="s">
        <v>916</v>
      </c>
      <c r="B465" s="13" t="s">
        <v>179</v>
      </c>
      <c r="C465" s="13" t="n">
        <v>2000</v>
      </c>
      <c r="D465" s="13" t="n">
        <v>2</v>
      </c>
      <c r="E465" s="13" t="n">
        <v>499</v>
      </c>
      <c r="F465" s="13" t="s">
        <v>5325</v>
      </c>
      <c r="G465" s="13" t="s">
        <v>5289</v>
      </c>
      <c r="H465" s="13" t="s">
        <v>5289</v>
      </c>
      <c r="I465" s="13" t="s">
        <v>5289</v>
      </c>
      <c r="J465" s="13" t="s">
        <v>5289</v>
      </c>
      <c r="K465" s="13" t="s">
        <v>5292</v>
      </c>
      <c r="L465" s="13" t="s">
        <v>5477</v>
      </c>
      <c r="M465" s="13"/>
      <c r="N465" s="13"/>
      <c r="O465" s="13"/>
      <c r="P465" s="13" t="s">
        <v>5291</v>
      </c>
      <c r="Q465" s="13" t="s">
        <v>5289</v>
      </c>
      <c r="R465" s="13" t="s">
        <v>5292</v>
      </c>
      <c r="S465" s="13" t="s">
        <v>5293</v>
      </c>
      <c r="T465" s="13" t="s">
        <v>3</v>
      </c>
      <c r="U465" s="13" t="s">
        <v>180</v>
      </c>
      <c r="V465" s="13" t="n">
        <f aca="false">IF(COUNTIF($B$2:B465,B465)=1,1,0)</f>
        <v>0</v>
      </c>
      <c r="W465" s="13" t="n">
        <f aca="false">IF(COUNTIFS($B$2:B465,B465,$T$2:T465,T465)=1,1,0)</f>
        <v>0</v>
      </c>
    </row>
    <row r="466" customFormat="false" ht="15" hidden="false" customHeight="false" outlineLevel="0" collapsed="false">
      <c r="A466" s="13" t="s">
        <v>3343</v>
      </c>
      <c r="B466" s="13" t="s">
        <v>2106</v>
      </c>
      <c r="C466" s="13" t="n">
        <v>2000</v>
      </c>
      <c r="D466" s="13" t="n">
        <v>2</v>
      </c>
      <c r="E466" s="13" t="n">
        <v>989.99</v>
      </c>
      <c r="F466" s="13" t="s">
        <v>5325</v>
      </c>
      <c r="G466" s="13" t="s">
        <v>5289</v>
      </c>
      <c r="H466" s="13" t="s">
        <v>5289</v>
      </c>
      <c r="I466" s="13" t="s">
        <v>5289</v>
      </c>
      <c r="J466" s="13" t="s">
        <v>5289</v>
      </c>
      <c r="K466" s="13" t="s">
        <v>5292</v>
      </c>
      <c r="L466" s="13" t="s">
        <v>3342</v>
      </c>
      <c r="M466" s="13"/>
      <c r="N466" s="13" t="n">
        <v>7891009795324</v>
      </c>
      <c r="O466" s="13"/>
      <c r="P466" s="13" t="s">
        <v>5291</v>
      </c>
      <c r="Q466" s="13" t="s">
        <v>5289</v>
      </c>
      <c r="R466" s="13" t="s">
        <v>5292</v>
      </c>
      <c r="S466" s="13" t="s">
        <v>5293</v>
      </c>
      <c r="T466" s="13" t="s">
        <v>3</v>
      </c>
      <c r="U466" s="13" t="s">
        <v>98</v>
      </c>
      <c r="V466" s="13" t="n">
        <f aca="false">IF(COUNTIF($B$2:B466,B466)=1,1,0)</f>
        <v>0</v>
      </c>
      <c r="W466" s="13" t="n">
        <f aca="false">IF(COUNTIFS($B$2:B466,B466,$T$2:T466,T466)=1,1,0)</f>
        <v>0</v>
      </c>
    </row>
    <row r="467" customFormat="false" ht="15" hidden="false" customHeight="false" outlineLevel="0" collapsed="false">
      <c r="A467" s="13" t="s">
        <v>915</v>
      </c>
      <c r="B467" s="13" t="s">
        <v>179</v>
      </c>
      <c r="C467" s="13" t="n">
        <v>2000</v>
      </c>
      <c r="D467" s="13" t="n">
        <v>5</v>
      </c>
      <c r="E467" s="13" t="n">
        <v>329</v>
      </c>
      <c r="F467" s="13" t="s">
        <v>5325</v>
      </c>
      <c r="G467" s="13" t="s">
        <v>5289</v>
      </c>
      <c r="H467" s="13" t="s">
        <v>5289</v>
      </c>
      <c r="I467" s="13" t="s">
        <v>5289</v>
      </c>
      <c r="J467" s="13" t="s">
        <v>5289</v>
      </c>
      <c r="K467" s="13" t="s">
        <v>5292</v>
      </c>
      <c r="L467" s="13" t="s">
        <v>5478</v>
      </c>
      <c r="M467" s="13"/>
      <c r="N467" s="13"/>
      <c r="O467" s="13"/>
      <c r="P467" s="13" t="s">
        <v>5291</v>
      </c>
      <c r="Q467" s="13" t="s">
        <v>5289</v>
      </c>
      <c r="R467" s="13" t="s">
        <v>5292</v>
      </c>
      <c r="S467" s="13" t="s">
        <v>5293</v>
      </c>
      <c r="T467" s="13" t="s">
        <v>3</v>
      </c>
      <c r="U467" s="13" t="s">
        <v>85</v>
      </c>
      <c r="V467" s="13" t="n">
        <f aca="false">IF(COUNTIF($B$2:B467,B467)=1,1,0)</f>
        <v>0</v>
      </c>
      <c r="W467" s="13" t="n">
        <f aca="false">IF(COUNTIFS($B$2:B467,B467,$T$2:T467,T467)=1,1,0)</f>
        <v>0</v>
      </c>
    </row>
    <row r="468" customFormat="false" ht="15" hidden="false" customHeight="false" outlineLevel="0" collapsed="false">
      <c r="A468" s="13" t="s">
        <v>923</v>
      </c>
      <c r="B468" s="13" t="s">
        <v>191</v>
      </c>
      <c r="C468" s="13" t="n">
        <v>2000</v>
      </c>
      <c r="D468" s="13" t="n">
        <v>10</v>
      </c>
      <c r="E468" s="13" t="n">
        <v>139.99</v>
      </c>
      <c r="F468" s="13" t="s">
        <v>5288</v>
      </c>
      <c r="G468" s="13" t="s">
        <v>5289</v>
      </c>
      <c r="H468" s="13" t="s">
        <v>5289</v>
      </c>
      <c r="I468" s="13" t="s">
        <v>5289</v>
      </c>
      <c r="J468" s="13" t="s">
        <v>5289</v>
      </c>
      <c r="K468" s="13" t="s">
        <v>5292</v>
      </c>
      <c r="L468" s="13" t="s">
        <v>5479</v>
      </c>
      <c r="M468" s="13"/>
      <c r="N468" s="13" t="n">
        <v>7896768499476</v>
      </c>
      <c r="O468" s="13"/>
      <c r="P468" s="13" t="s">
        <v>5291</v>
      </c>
      <c r="Q468" s="13" t="s">
        <v>5289</v>
      </c>
      <c r="R468" s="13" t="s">
        <v>5292</v>
      </c>
      <c r="S468" s="13" t="s">
        <v>5293</v>
      </c>
      <c r="T468" s="13" t="s">
        <v>3</v>
      </c>
      <c r="U468" s="13" t="s">
        <v>183</v>
      </c>
      <c r="V468" s="13" t="n">
        <f aca="false">IF(COUNTIF($B$2:B468,B468)=1,1,0)</f>
        <v>0</v>
      </c>
      <c r="W468" s="13" t="n">
        <f aca="false">IF(COUNTIFS($B$2:B468,B468,$T$2:T468,T468)=1,1,0)</f>
        <v>0</v>
      </c>
    </row>
    <row r="469" customFormat="false" ht="15" hidden="false" customHeight="false" outlineLevel="0" collapsed="false">
      <c r="A469" s="13" t="s">
        <v>3594</v>
      </c>
      <c r="B469" s="13" t="s">
        <v>2124</v>
      </c>
      <c r="C469" s="13" t="n">
        <v>2000</v>
      </c>
      <c r="D469" s="13" t="n">
        <v>30</v>
      </c>
      <c r="E469" s="13" t="n">
        <v>69.99</v>
      </c>
      <c r="F469" s="13" t="s">
        <v>5288</v>
      </c>
      <c r="G469" s="13" t="s">
        <v>5289</v>
      </c>
      <c r="H469" s="13" t="s">
        <v>5289</v>
      </c>
      <c r="I469" s="13" t="s">
        <v>5292</v>
      </c>
      <c r="J469" s="13" t="s">
        <v>5289</v>
      </c>
      <c r="K469" s="13" t="s">
        <v>5292</v>
      </c>
      <c r="L469" s="13" t="s">
        <v>3593</v>
      </c>
      <c r="M469" s="13"/>
      <c r="N469" s="13" t="n">
        <v>5425017735076</v>
      </c>
      <c r="O469" s="13"/>
      <c r="P469" s="13" t="s">
        <v>5291</v>
      </c>
      <c r="Q469" s="13" t="s">
        <v>5289</v>
      </c>
      <c r="R469" s="13" t="s">
        <v>5292</v>
      </c>
      <c r="S469" s="13" t="s">
        <v>5293</v>
      </c>
      <c r="T469" s="13" t="s">
        <v>3</v>
      </c>
      <c r="U469" s="13" t="s">
        <v>43</v>
      </c>
      <c r="V469" s="13" t="n">
        <f aca="false">IF(COUNTIF($B$2:B469,B469)=1,1,0)</f>
        <v>0</v>
      </c>
      <c r="W469" s="13" t="n">
        <f aca="false">IF(COUNTIFS($B$2:B469,B469,$T$2:T469,T469)=1,1,0)</f>
        <v>0</v>
      </c>
    </row>
    <row r="470" customFormat="false" ht="15" hidden="false" customHeight="false" outlineLevel="0" collapsed="false">
      <c r="A470" s="13" t="s">
        <v>938</v>
      </c>
      <c r="B470" s="13" t="s">
        <v>270</v>
      </c>
      <c r="C470" s="13" t="n">
        <v>1900</v>
      </c>
      <c r="D470" s="13" t="n">
        <v>5</v>
      </c>
      <c r="E470" s="13" t="n">
        <v>194.811</v>
      </c>
      <c r="F470" s="13" t="s">
        <v>5288</v>
      </c>
      <c r="G470" s="13" t="s">
        <v>5289</v>
      </c>
      <c r="H470" s="13" t="s">
        <v>5289</v>
      </c>
      <c r="I470" s="13" t="s">
        <v>5289</v>
      </c>
      <c r="J470" s="13" t="s">
        <v>5289</v>
      </c>
      <c r="K470" s="13" t="s">
        <v>5289</v>
      </c>
      <c r="L470" s="13" t="s">
        <v>3312</v>
      </c>
      <c r="M470" s="13"/>
      <c r="N470" s="13" t="n">
        <v>878813001251</v>
      </c>
      <c r="O470" s="13"/>
      <c r="P470" s="13" t="s">
        <v>5297</v>
      </c>
      <c r="Q470" s="13" t="s">
        <v>5289</v>
      </c>
      <c r="R470" s="13" t="s">
        <v>5292</v>
      </c>
      <c r="S470" s="13" t="s">
        <v>5293</v>
      </c>
      <c r="T470" s="13" t="s">
        <v>3</v>
      </c>
      <c r="U470" s="13" t="s">
        <v>43</v>
      </c>
      <c r="V470" s="13" t="n">
        <f aca="false">IF(COUNTIF($B$2:B470,B470)=1,1,0)</f>
        <v>0</v>
      </c>
      <c r="W470" s="13" t="n">
        <f aca="false">IF(COUNTIFS($B$2:B470,B470,$T$2:T470,T470)=1,1,0)</f>
        <v>0</v>
      </c>
    </row>
    <row r="471" customFormat="false" ht="15" hidden="false" customHeight="false" outlineLevel="0" collapsed="false">
      <c r="A471" s="13" t="s">
        <v>3631</v>
      </c>
      <c r="B471" s="13" t="s">
        <v>2095</v>
      </c>
      <c r="C471" s="13" t="n">
        <v>1900</v>
      </c>
      <c r="D471" s="13" t="n">
        <v>30</v>
      </c>
      <c r="E471" s="13" t="n">
        <v>64.493</v>
      </c>
      <c r="F471" s="13" t="s">
        <v>5288</v>
      </c>
      <c r="G471" s="13" t="s">
        <v>5289</v>
      </c>
      <c r="H471" s="13" t="s">
        <v>5289</v>
      </c>
      <c r="I471" s="13" t="s">
        <v>5292</v>
      </c>
      <c r="J471" s="13" t="s">
        <v>5289</v>
      </c>
      <c r="K471" s="13" t="s">
        <v>5292</v>
      </c>
      <c r="L471" s="13" t="s">
        <v>5480</v>
      </c>
      <c r="M471" s="13"/>
      <c r="N471" s="13" t="n">
        <v>7898665431436</v>
      </c>
      <c r="O471" s="13"/>
      <c r="P471" s="13" t="s">
        <v>5291</v>
      </c>
      <c r="Q471" s="13" t="s">
        <v>5289</v>
      </c>
      <c r="R471" s="13" t="s">
        <v>5292</v>
      </c>
      <c r="S471" s="13" t="s">
        <v>5293</v>
      </c>
      <c r="T471" s="13" t="s">
        <v>3</v>
      </c>
      <c r="U471" s="13" t="s">
        <v>85</v>
      </c>
      <c r="V471" s="13" t="n">
        <f aca="false">IF(COUNTIF($B$2:B471,B471)=1,1,0)</f>
        <v>0</v>
      </c>
      <c r="W471" s="13" t="n">
        <f aca="false">IF(COUNTIFS($B$2:B471,B471,$T$2:T471,T471)=1,1,0)</f>
        <v>0</v>
      </c>
    </row>
    <row r="472" customFormat="false" ht="15" hidden="false" customHeight="false" outlineLevel="0" collapsed="false">
      <c r="A472" s="13" t="s">
        <v>3640</v>
      </c>
      <c r="B472" s="13" t="s">
        <v>2117</v>
      </c>
      <c r="C472" s="13" t="n">
        <v>1900</v>
      </c>
      <c r="D472" s="13" t="n">
        <v>60</v>
      </c>
      <c r="E472" s="13" t="n">
        <v>30.2215625</v>
      </c>
      <c r="F472" s="13" t="s">
        <v>5288</v>
      </c>
      <c r="G472" s="13" t="s">
        <v>5289</v>
      </c>
      <c r="H472" s="13" t="s">
        <v>5289</v>
      </c>
      <c r="I472" s="13" t="s">
        <v>5292</v>
      </c>
      <c r="J472" s="13" t="s">
        <v>5289</v>
      </c>
      <c r="K472" s="13" t="s">
        <v>5292</v>
      </c>
      <c r="L472" s="13" t="s">
        <v>3639</v>
      </c>
      <c r="M472" s="13"/>
      <c r="N472" s="13" t="n">
        <v>7893595771041</v>
      </c>
      <c r="O472" s="13"/>
      <c r="P472" s="13" t="s">
        <v>5291</v>
      </c>
      <c r="Q472" s="13" t="s">
        <v>5289</v>
      </c>
      <c r="R472" s="13" t="s">
        <v>5292</v>
      </c>
      <c r="S472" s="13" t="s">
        <v>5293</v>
      </c>
      <c r="T472" s="13" t="s">
        <v>3</v>
      </c>
      <c r="U472" s="13" t="s">
        <v>85</v>
      </c>
      <c r="V472" s="13" t="n">
        <f aca="false">IF(COUNTIF($B$2:B472,B472)=1,1,0)</f>
        <v>0</v>
      </c>
      <c r="W472" s="13" t="n">
        <f aca="false">IF(COUNTIFS($B$2:B472,B472,$T$2:T472,T472)=1,1,0)</f>
        <v>0</v>
      </c>
    </row>
    <row r="473" customFormat="false" ht="15" hidden="false" customHeight="false" outlineLevel="0" collapsed="false">
      <c r="A473" s="13" t="s">
        <v>3635</v>
      </c>
      <c r="B473" s="13" t="s">
        <v>2126</v>
      </c>
      <c r="C473" s="13" t="n">
        <v>1900</v>
      </c>
      <c r="D473" s="13" t="n">
        <v>30</v>
      </c>
      <c r="E473" s="13" t="n">
        <v>56.49</v>
      </c>
      <c r="F473" s="13" t="s">
        <v>5288</v>
      </c>
      <c r="G473" s="13" t="s">
        <v>5289</v>
      </c>
      <c r="H473" s="13" t="s">
        <v>5289</v>
      </c>
      <c r="I473" s="13" t="s">
        <v>5292</v>
      </c>
      <c r="J473" s="13" t="s">
        <v>5289</v>
      </c>
      <c r="K473" s="13" t="s">
        <v>5292</v>
      </c>
      <c r="L473" s="13" t="s">
        <v>3634</v>
      </c>
      <c r="M473" s="13"/>
      <c r="N473" s="13" t="n">
        <v>7898962932216</v>
      </c>
      <c r="O473" s="13"/>
      <c r="P473" s="13" t="s">
        <v>5291</v>
      </c>
      <c r="Q473" s="13" t="s">
        <v>5289</v>
      </c>
      <c r="R473" s="13" t="s">
        <v>5292</v>
      </c>
      <c r="S473" s="13" t="s">
        <v>5293</v>
      </c>
      <c r="T473" s="13" t="s">
        <v>3</v>
      </c>
      <c r="U473" s="13" t="s">
        <v>183</v>
      </c>
      <c r="V473" s="13" t="n">
        <f aca="false">IF(COUNTIF($B$2:B473,B473)=1,1,0)</f>
        <v>0</v>
      </c>
      <c r="W473" s="13" t="n">
        <f aca="false">IF(COUNTIFS($B$2:B473,B473,$T$2:T473,T473)=1,1,0)</f>
        <v>0</v>
      </c>
    </row>
    <row r="474" customFormat="false" ht="15" hidden="false" customHeight="false" outlineLevel="0" collapsed="false">
      <c r="A474" s="13" t="s">
        <v>3642</v>
      </c>
      <c r="B474" s="13" t="s">
        <v>2095</v>
      </c>
      <c r="C474" s="13" t="n">
        <v>1900</v>
      </c>
      <c r="D474" s="13" t="n">
        <v>30</v>
      </c>
      <c r="E474" s="13" t="n">
        <v>63.66</v>
      </c>
      <c r="F474" s="13" t="s">
        <v>5288</v>
      </c>
      <c r="G474" s="13" t="s">
        <v>5289</v>
      </c>
      <c r="H474" s="13" t="s">
        <v>5289</v>
      </c>
      <c r="I474" s="13" t="s">
        <v>5292</v>
      </c>
      <c r="J474" s="13" t="s">
        <v>5289</v>
      </c>
      <c r="K474" s="13" t="s">
        <v>5292</v>
      </c>
      <c r="L474" s="13" t="s">
        <v>3641</v>
      </c>
      <c r="M474" s="13"/>
      <c r="N474" s="13" t="n">
        <v>7898665435526</v>
      </c>
      <c r="O474" s="13"/>
      <c r="P474" s="13" t="s">
        <v>5291</v>
      </c>
      <c r="Q474" s="13" t="s">
        <v>5289</v>
      </c>
      <c r="R474" s="13" t="s">
        <v>5292</v>
      </c>
      <c r="S474" s="13" t="s">
        <v>5293</v>
      </c>
      <c r="T474" s="13" t="s">
        <v>3</v>
      </c>
      <c r="U474" s="13" t="s">
        <v>140</v>
      </c>
      <c r="V474" s="13" t="n">
        <f aca="false">IF(COUNTIF($B$2:B474,B474)=1,1,0)</f>
        <v>0</v>
      </c>
      <c r="W474" s="13" t="n">
        <f aca="false">IF(COUNTIFS($B$2:B474,B474,$T$2:T474,T474)=1,1,0)</f>
        <v>0</v>
      </c>
    </row>
    <row r="475" customFormat="false" ht="15" hidden="false" customHeight="false" outlineLevel="0" collapsed="false">
      <c r="A475" s="13" t="s">
        <v>3644</v>
      </c>
      <c r="B475" s="13" t="s">
        <v>2159</v>
      </c>
      <c r="C475" s="13" t="n">
        <v>1900</v>
      </c>
      <c r="D475" s="13" t="n">
        <v>30</v>
      </c>
      <c r="E475" s="13" t="n">
        <v>72.99</v>
      </c>
      <c r="F475" s="13" t="s">
        <v>5288</v>
      </c>
      <c r="G475" s="13" t="s">
        <v>5289</v>
      </c>
      <c r="H475" s="13" t="s">
        <v>5289</v>
      </c>
      <c r="I475" s="13" t="s">
        <v>5292</v>
      </c>
      <c r="J475" s="13" t="s">
        <v>5289</v>
      </c>
      <c r="K475" s="13" t="s">
        <v>5292</v>
      </c>
      <c r="L475" s="13" t="s">
        <v>3643</v>
      </c>
      <c r="M475" s="13"/>
      <c r="N475" s="13" t="n">
        <v>7908654009390</v>
      </c>
      <c r="O475" s="13"/>
      <c r="P475" s="13" t="s">
        <v>5291</v>
      </c>
      <c r="Q475" s="13" t="s">
        <v>5289</v>
      </c>
      <c r="R475" s="13" t="s">
        <v>5292</v>
      </c>
      <c r="S475" s="13" t="s">
        <v>5293</v>
      </c>
      <c r="T475" s="13" t="s">
        <v>3</v>
      </c>
      <c r="U475" s="13" t="s">
        <v>43</v>
      </c>
      <c r="V475" s="13" t="n">
        <f aca="false">IF(COUNTIF($B$2:B475,B475)=1,1,0)</f>
        <v>0</v>
      </c>
      <c r="W475" s="13" t="n">
        <f aca="false">IF(COUNTIFS($B$2:B475,B475,$T$2:T475,T475)=1,1,0)</f>
        <v>0</v>
      </c>
    </row>
    <row r="476" customFormat="false" ht="15" hidden="false" customHeight="false" outlineLevel="0" collapsed="false">
      <c r="A476" s="13" t="s">
        <v>3637</v>
      </c>
      <c r="B476" s="13" t="s">
        <v>2117</v>
      </c>
      <c r="C476" s="13" t="n">
        <v>1900</v>
      </c>
      <c r="D476" s="13" t="n">
        <v>60</v>
      </c>
      <c r="E476" s="13" t="n">
        <v>30.2217741935484</v>
      </c>
      <c r="F476" s="13" t="s">
        <v>5288</v>
      </c>
      <c r="G476" s="13" t="s">
        <v>5289</v>
      </c>
      <c r="H476" s="13" t="s">
        <v>5289</v>
      </c>
      <c r="I476" s="13" t="s">
        <v>5292</v>
      </c>
      <c r="J476" s="13" t="s">
        <v>5289</v>
      </c>
      <c r="K476" s="13" t="s">
        <v>5292</v>
      </c>
      <c r="L476" s="13" t="s">
        <v>3636</v>
      </c>
      <c r="M476" s="13"/>
      <c r="N476" s="13" t="n">
        <v>7893595770655</v>
      </c>
      <c r="O476" s="13"/>
      <c r="P476" s="13" t="s">
        <v>5291</v>
      </c>
      <c r="Q476" s="13" t="s">
        <v>5289</v>
      </c>
      <c r="R476" s="13" t="s">
        <v>5292</v>
      </c>
      <c r="S476" s="13" t="s">
        <v>5293</v>
      </c>
      <c r="T476" s="13" t="s">
        <v>3</v>
      </c>
      <c r="U476" s="13" t="s">
        <v>85</v>
      </c>
      <c r="V476" s="13" t="n">
        <f aca="false">IF(COUNTIF($B$2:B476,B476)=1,1,0)</f>
        <v>0</v>
      </c>
      <c r="W476" s="13" t="n">
        <f aca="false">IF(COUNTIFS($B$2:B476,B476,$T$2:T476,T476)=1,1,0)</f>
        <v>0</v>
      </c>
    </row>
    <row r="477" customFormat="false" ht="15" hidden="false" customHeight="false" outlineLevel="0" collapsed="false">
      <c r="A477" s="13" t="s">
        <v>965</v>
      </c>
      <c r="B477" s="13" t="s">
        <v>81</v>
      </c>
      <c r="C477" s="13" t="n">
        <v>1800</v>
      </c>
      <c r="D477" s="13" t="n">
        <v>50</v>
      </c>
      <c r="E477" s="13" t="n">
        <v>40.1073913043478</v>
      </c>
      <c r="F477" s="13" t="s">
        <v>5288</v>
      </c>
      <c r="G477" s="13" t="s">
        <v>5289</v>
      </c>
      <c r="H477" s="13" t="s">
        <v>5289</v>
      </c>
      <c r="I477" s="13" t="s">
        <v>5292</v>
      </c>
      <c r="J477" s="13" t="s">
        <v>5289</v>
      </c>
      <c r="K477" s="13" t="s">
        <v>5292</v>
      </c>
      <c r="L477" s="13" t="s">
        <v>5481</v>
      </c>
      <c r="M477" s="13"/>
      <c r="N477" s="13" t="n">
        <v>7899206186587</v>
      </c>
      <c r="O477" s="13"/>
      <c r="P477" s="13" t="s">
        <v>5291</v>
      </c>
      <c r="Q477" s="13" t="s">
        <v>5289</v>
      </c>
      <c r="R477" s="13" t="s">
        <v>5292</v>
      </c>
      <c r="S477" s="13" t="s">
        <v>5293</v>
      </c>
      <c r="T477" s="13" t="s">
        <v>3</v>
      </c>
      <c r="U477" s="13" t="s">
        <v>129</v>
      </c>
      <c r="V477" s="13" t="n">
        <f aca="false">IF(COUNTIF($B$2:B477,B477)=1,1,0)</f>
        <v>0</v>
      </c>
      <c r="W477" s="13" t="n">
        <f aca="false">IF(COUNTIFS($B$2:B477,B477,$T$2:T477,T477)=1,1,0)</f>
        <v>0</v>
      </c>
    </row>
    <row r="478" customFormat="false" ht="15" hidden="false" customHeight="false" outlineLevel="0" collapsed="false">
      <c r="A478" s="13" t="s">
        <v>3678</v>
      </c>
      <c r="B478" s="13" t="s">
        <v>2100</v>
      </c>
      <c r="C478" s="13" t="n">
        <v>1800</v>
      </c>
      <c r="D478" s="13" t="n">
        <v>40</v>
      </c>
      <c r="E478" s="13" t="n">
        <v>52.5225714285714</v>
      </c>
      <c r="F478" s="13" t="s">
        <v>5288</v>
      </c>
      <c r="G478" s="13" t="s">
        <v>5289</v>
      </c>
      <c r="H478" s="13" t="s">
        <v>5289</v>
      </c>
      <c r="I478" s="13" t="s">
        <v>5292</v>
      </c>
      <c r="J478" s="13" t="s">
        <v>5289</v>
      </c>
      <c r="K478" s="13" t="s">
        <v>5292</v>
      </c>
      <c r="L478" s="13" t="s">
        <v>5482</v>
      </c>
      <c r="M478" s="13"/>
      <c r="N478" s="13" t="n">
        <v>7898410319934</v>
      </c>
      <c r="O478" s="13"/>
      <c r="P478" s="13" t="s">
        <v>5297</v>
      </c>
      <c r="Q478" s="13" t="s">
        <v>5289</v>
      </c>
      <c r="R478" s="13" t="s">
        <v>5292</v>
      </c>
      <c r="S478" s="13" t="s">
        <v>5293</v>
      </c>
      <c r="T478" s="13" t="s">
        <v>3</v>
      </c>
      <c r="U478" s="13" t="s">
        <v>43</v>
      </c>
      <c r="V478" s="13" t="n">
        <f aca="false">IF(COUNTIF($B$2:B478,B478)=1,1,0)</f>
        <v>0</v>
      </c>
      <c r="W478" s="13" t="n">
        <f aca="false">IF(COUNTIFS($B$2:B478,B478,$T$2:T478,T478)=1,1,0)</f>
        <v>0</v>
      </c>
    </row>
    <row r="479" customFormat="false" ht="15" hidden="false" customHeight="false" outlineLevel="0" collapsed="false">
      <c r="A479" s="13" t="s">
        <v>3692</v>
      </c>
      <c r="B479" s="13" t="s">
        <v>2223</v>
      </c>
      <c r="C479" s="13" t="n">
        <v>1800</v>
      </c>
      <c r="D479" s="13" t="n">
        <v>2</v>
      </c>
      <c r="E479" s="13" t="n">
        <v>458.4</v>
      </c>
      <c r="F479" s="13" t="s">
        <v>5325</v>
      </c>
      <c r="G479" s="13" t="s">
        <v>5289</v>
      </c>
      <c r="H479" s="13" t="s">
        <v>5289</v>
      </c>
      <c r="I479" s="13" t="s">
        <v>5289</v>
      </c>
      <c r="J479" s="13" t="s">
        <v>5289</v>
      </c>
      <c r="K479" s="13" t="s">
        <v>5289</v>
      </c>
      <c r="L479" s="13" t="s">
        <v>5483</v>
      </c>
      <c r="M479" s="13"/>
      <c r="N479" s="13" t="n">
        <v>736532470300</v>
      </c>
      <c r="O479" s="13"/>
      <c r="P479" s="13" t="s">
        <v>5291</v>
      </c>
      <c r="Q479" s="13" t="s">
        <v>5289</v>
      </c>
      <c r="R479" s="13" t="s">
        <v>5292</v>
      </c>
      <c r="S479" s="13" t="s">
        <v>5293</v>
      </c>
      <c r="T479" s="13" t="s">
        <v>3</v>
      </c>
      <c r="U479" s="13" t="s">
        <v>85</v>
      </c>
      <c r="V479" s="13" t="n">
        <f aca="false">IF(COUNTIF($B$2:B479,B479)=1,1,0)</f>
        <v>1</v>
      </c>
      <c r="W479" s="13" t="n">
        <f aca="false">IF(COUNTIFS($B$2:B479,B479,$T$2:T479,T479)=1,1,0)</f>
        <v>1</v>
      </c>
    </row>
    <row r="480" customFormat="false" ht="15" hidden="false" customHeight="false" outlineLevel="0" collapsed="false">
      <c r="A480" s="13" t="s">
        <v>3685</v>
      </c>
      <c r="B480" s="13" t="s">
        <v>2210</v>
      </c>
      <c r="C480" s="13" t="n">
        <v>1800</v>
      </c>
      <c r="D480" s="13" t="n">
        <v>20</v>
      </c>
      <c r="E480" s="13" t="n">
        <v>73.23</v>
      </c>
      <c r="F480" s="13" t="s">
        <v>5288</v>
      </c>
      <c r="G480" s="13" t="s">
        <v>5289</v>
      </c>
      <c r="H480" s="13" t="s">
        <v>5289</v>
      </c>
      <c r="I480" s="13" t="s">
        <v>5292</v>
      </c>
      <c r="J480" s="13" t="s">
        <v>5289</v>
      </c>
      <c r="K480" s="13" t="s">
        <v>5292</v>
      </c>
      <c r="L480" s="13" t="s">
        <v>3684</v>
      </c>
      <c r="M480" s="13"/>
      <c r="N480" s="13" t="n">
        <v>7899455914870</v>
      </c>
      <c r="O480" s="13"/>
      <c r="P480" s="13" t="s">
        <v>5291</v>
      </c>
      <c r="Q480" s="13" t="s">
        <v>5289</v>
      </c>
      <c r="R480" s="13" t="s">
        <v>5292</v>
      </c>
      <c r="S480" s="13" t="s">
        <v>5293</v>
      </c>
      <c r="T480" s="13" t="s">
        <v>3</v>
      </c>
      <c r="U480" s="13" t="s">
        <v>85</v>
      </c>
      <c r="V480" s="13" t="n">
        <f aca="false">IF(COUNTIF($B$2:B480,B480)=1,1,0)</f>
        <v>1</v>
      </c>
      <c r="W480" s="13" t="n">
        <f aca="false">IF(COUNTIFS($B$2:B480,B480,$T$2:T480,T480)=1,1,0)</f>
        <v>1</v>
      </c>
    </row>
    <row r="481" customFormat="false" ht="15" hidden="false" customHeight="false" outlineLevel="0" collapsed="false">
      <c r="A481" s="13" t="s">
        <v>3650</v>
      </c>
      <c r="B481" s="13" t="s">
        <v>2142</v>
      </c>
      <c r="C481" s="13" t="n">
        <v>1800</v>
      </c>
      <c r="D481" s="13" t="n">
        <v>30</v>
      </c>
      <c r="E481" s="13" t="n">
        <v>60.6666666666667</v>
      </c>
      <c r="F481" s="13" t="s">
        <v>5288</v>
      </c>
      <c r="G481" s="13" t="s">
        <v>5289</v>
      </c>
      <c r="H481" s="13" t="s">
        <v>5289</v>
      </c>
      <c r="I481" s="13" t="s">
        <v>5289</v>
      </c>
      <c r="J481" s="13" t="s">
        <v>5289</v>
      </c>
      <c r="K481" s="13" t="s">
        <v>5292</v>
      </c>
      <c r="L481" s="13" t="s">
        <v>5484</v>
      </c>
      <c r="M481" s="13"/>
      <c r="N481" s="13" t="n">
        <v>7898952577588</v>
      </c>
      <c r="O481" s="13"/>
      <c r="P481" s="13" t="s">
        <v>5291</v>
      </c>
      <c r="Q481" s="13" t="s">
        <v>5289</v>
      </c>
      <c r="R481" s="13" t="s">
        <v>5292</v>
      </c>
      <c r="S481" s="13" t="s">
        <v>5293</v>
      </c>
      <c r="T481" s="13" t="s">
        <v>3</v>
      </c>
      <c r="U481" s="13" t="s">
        <v>85</v>
      </c>
      <c r="V481" s="13" t="n">
        <f aca="false">IF(COUNTIF($B$2:B481,B481)=1,1,0)</f>
        <v>0</v>
      </c>
      <c r="W481" s="13" t="n">
        <f aca="false">IF(COUNTIFS($B$2:B481,B481,$T$2:T481,T481)=1,1,0)</f>
        <v>0</v>
      </c>
    </row>
    <row r="482" customFormat="false" ht="15" hidden="false" customHeight="false" outlineLevel="0" collapsed="false">
      <c r="A482" s="13" t="s">
        <v>5485</v>
      </c>
      <c r="B482" s="13" t="s">
        <v>2169</v>
      </c>
      <c r="C482" s="13" t="n">
        <v>1800</v>
      </c>
      <c r="D482" s="13" t="n">
        <v>30</v>
      </c>
      <c r="E482" s="13" t="n">
        <v>60.5803333333333</v>
      </c>
      <c r="F482" s="13" t="s">
        <v>5288</v>
      </c>
      <c r="G482" s="13" t="s">
        <v>5289</v>
      </c>
      <c r="H482" s="13" t="s">
        <v>5289</v>
      </c>
      <c r="I482" s="13" t="s">
        <v>5292</v>
      </c>
      <c r="J482" s="13" t="s">
        <v>5289</v>
      </c>
      <c r="K482" s="13" t="s">
        <v>5292</v>
      </c>
      <c r="L482" s="13" t="s">
        <v>5486</v>
      </c>
      <c r="M482" s="13"/>
      <c r="N482" s="13"/>
      <c r="O482" s="13"/>
      <c r="P482" s="13" t="s">
        <v>5291</v>
      </c>
      <c r="Q482" s="13" t="s">
        <v>5289</v>
      </c>
      <c r="R482" s="13" t="s">
        <v>5292</v>
      </c>
      <c r="S482" s="13" t="s">
        <v>5293</v>
      </c>
      <c r="T482" s="13" t="s">
        <v>3</v>
      </c>
      <c r="U482" s="13" t="s">
        <v>85</v>
      </c>
      <c r="V482" s="13" t="n">
        <f aca="false">IF(COUNTIF($B$2:B482,B482)=1,1,0)</f>
        <v>0</v>
      </c>
      <c r="W482" s="13" t="n">
        <f aca="false">IF(COUNTIFS($B$2:B482,B482,$T$2:T482,T482)=1,1,0)</f>
        <v>0</v>
      </c>
    </row>
    <row r="483" customFormat="false" ht="15" hidden="false" customHeight="false" outlineLevel="0" collapsed="false">
      <c r="A483" s="13" t="s">
        <v>3622</v>
      </c>
      <c r="B483" s="13" t="s">
        <v>2095</v>
      </c>
      <c r="C483" s="13" t="n">
        <v>1800</v>
      </c>
      <c r="D483" s="13" t="n">
        <v>10</v>
      </c>
      <c r="E483" s="13" t="n">
        <v>139.220769230769</v>
      </c>
      <c r="F483" s="13" t="s">
        <v>5288</v>
      </c>
      <c r="G483" s="13" t="s">
        <v>5289</v>
      </c>
      <c r="H483" s="13" t="s">
        <v>5289</v>
      </c>
      <c r="I483" s="13" t="s">
        <v>5289</v>
      </c>
      <c r="J483" s="13" t="s">
        <v>5289</v>
      </c>
      <c r="K483" s="13" t="s">
        <v>5292</v>
      </c>
      <c r="L483" s="13" t="s">
        <v>3621</v>
      </c>
      <c r="M483" s="13"/>
      <c r="N483" s="13" t="n">
        <v>7898665435823</v>
      </c>
      <c r="O483" s="13"/>
      <c r="P483" s="13" t="s">
        <v>5291</v>
      </c>
      <c r="Q483" s="13" t="s">
        <v>5289</v>
      </c>
      <c r="R483" s="13" t="s">
        <v>5292</v>
      </c>
      <c r="S483" s="13" t="s">
        <v>5293</v>
      </c>
      <c r="T483" s="13" t="s">
        <v>3</v>
      </c>
      <c r="U483" s="13" t="s">
        <v>140</v>
      </c>
      <c r="V483" s="13" t="n">
        <f aca="false">IF(COUNTIF($B$2:B483,B483)=1,1,0)</f>
        <v>0</v>
      </c>
      <c r="W483" s="13" t="n">
        <f aca="false">IF(COUNTIFS($B$2:B483,B483,$T$2:T483,T483)=1,1,0)</f>
        <v>0</v>
      </c>
    </row>
    <row r="484" customFormat="false" ht="15" hidden="false" customHeight="false" outlineLevel="0" collapsed="false">
      <c r="A484" s="13" t="s">
        <v>3680</v>
      </c>
      <c r="B484" s="13" t="s">
        <v>2094</v>
      </c>
      <c r="C484" s="13" t="n">
        <v>1800</v>
      </c>
      <c r="D484" s="13" t="n">
        <v>20</v>
      </c>
      <c r="E484" s="13" t="n">
        <v>100.540555555556</v>
      </c>
      <c r="F484" s="13" t="s">
        <v>5288</v>
      </c>
      <c r="G484" s="13" t="s">
        <v>5289</v>
      </c>
      <c r="H484" s="13" t="s">
        <v>5289</v>
      </c>
      <c r="I484" s="13" t="s">
        <v>5289</v>
      </c>
      <c r="J484" s="13" t="s">
        <v>5289</v>
      </c>
      <c r="K484" s="13" t="s">
        <v>5292</v>
      </c>
      <c r="L484" s="13" t="s">
        <v>5487</v>
      </c>
      <c r="M484" s="13"/>
      <c r="N484" s="13" t="n">
        <v>7898639690586</v>
      </c>
      <c r="O484" s="13"/>
      <c r="P484" s="13" t="s">
        <v>5297</v>
      </c>
      <c r="Q484" s="13" t="s">
        <v>5289</v>
      </c>
      <c r="R484" s="13" t="s">
        <v>5292</v>
      </c>
      <c r="S484" s="13" t="s">
        <v>5293</v>
      </c>
      <c r="T484" s="13" t="s">
        <v>3</v>
      </c>
      <c r="U484" s="13" t="s">
        <v>57</v>
      </c>
      <c r="V484" s="13" t="n">
        <f aca="false">IF(COUNTIF($B$2:B484,B484)=1,1,0)</f>
        <v>0</v>
      </c>
      <c r="W484" s="13" t="n">
        <f aca="false">IF(COUNTIFS($B$2:B484,B484,$T$2:T484,T484)=1,1,0)</f>
        <v>0</v>
      </c>
    </row>
    <row r="485" customFormat="false" ht="15" hidden="false" customHeight="false" outlineLevel="0" collapsed="false">
      <c r="A485" s="13" t="s">
        <v>3676</v>
      </c>
      <c r="B485" s="13" t="s">
        <v>2141</v>
      </c>
      <c r="C485" s="13" t="n">
        <v>1800</v>
      </c>
      <c r="D485" s="13" t="n">
        <v>30</v>
      </c>
      <c r="E485" s="13" t="n">
        <v>52.5208823529412</v>
      </c>
      <c r="F485" s="13" t="s">
        <v>5288</v>
      </c>
      <c r="G485" s="13" t="s">
        <v>5289</v>
      </c>
      <c r="H485" s="13" t="s">
        <v>5289</v>
      </c>
      <c r="I485" s="13" t="s">
        <v>5292</v>
      </c>
      <c r="J485" s="13" t="s">
        <v>5289</v>
      </c>
      <c r="K485" s="13" t="s">
        <v>5292</v>
      </c>
      <c r="L485" s="13" t="s">
        <v>3675</v>
      </c>
      <c r="M485" s="13"/>
      <c r="N485" s="13" t="n">
        <v>5055810028657</v>
      </c>
      <c r="O485" s="13"/>
      <c r="P485" s="13" t="s">
        <v>5291</v>
      </c>
      <c r="Q485" s="13" t="s">
        <v>5289</v>
      </c>
      <c r="R485" s="13" t="s">
        <v>5292</v>
      </c>
      <c r="S485" s="13" t="s">
        <v>5293</v>
      </c>
      <c r="T485" s="13" t="s">
        <v>3</v>
      </c>
      <c r="U485" s="13" t="s">
        <v>43</v>
      </c>
      <c r="V485" s="13" t="n">
        <f aca="false">IF(COUNTIF($B$2:B485,B485)=1,1,0)</f>
        <v>0</v>
      </c>
      <c r="W485" s="13" t="n">
        <f aca="false">IF(COUNTIFS($B$2:B485,B485,$T$2:T485,T485)=1,1,0)</f>
        <v>0</v>
      </c>
    </row>
    <row r="486" customFormat="false" ht="15" hidden="false" customHeight="false" outlineLevel="0" collapsed="false">
      <c r="A486" s="13" t="s">
        <v>3667</v>
      </c>
      <c r="B486" s="13" t="s">
        <v>2224</v>
      </c>
      <c r="C486" s="13" t="n">
        <v>1800</v>
      </c>
      <c r="D486" s="13" t="n">
        <v>2</v>
      </c>
      <c r="E486" s="13" t="n">
        <v>446</v>
      </c>
      <c r="F486" s="13" t="s">
        <v>5288</v>
      </c>
      <c r="G486" s="13" t="s">
        <v>5289</v>
      </c>
      <c r="H486" s="13" t="s">
        <v>5289</v>
      </c>
      <c r="I486" s="13" t="s">
        <v>5289</v>
      </c>
      <c r="J486" s="13" t="s">
        <v>5289</v>
      </c>
      <c r="K486" s="13" t="s">
        <v>5289</v>
      </c>
      <c r="L486" s="13" t="s">
        <v>3666</v>
      </c>
      <c r="M486" s="13"/>
      <c r="N486" s="13" t="n">
        <v>8651794845487</v>
      </c>
      <c r="O486" s="13"/>
      <c r="P486" s="13" t="s">
        <v>5291</v>
      </c>
      <c r="Q486" s="13" t="s">
        <v>5289</v>
      </c>
      <c r="R486" s="13" t="s">
        <v>5292</v>
      </c>
      <c r="S486" s="13" t="s">
        <v>5293</v>
      </c>
      <c r="T486" s="13" t="s">
        <v>3</v>
      </c>
      <c r="U486" s="13" t="s">
        <v>85</v>
      </c>
      <c r="V486" s="13" t="n">
        <f aca="false">IF(COUNTIF($B$2:B486,B486)=1,1,0)</f>
        <v>1</v>
      </c>
      <c r="W486" s="13" t="n">
        <f aca="false">IF(COUNTIFS($B$2:B486,B486,$T$2:T486,T486)=1,1,0)</f>
        <v>1</v>
      </c>
    </row>
    <row r="487" customFormat="false" ht="15" hidden="false" customHeight="false" outlineLevel="0" collapsed="false">
      <c r="A487" s="13" t="s">
        <v>3670</v>
      </c>
      <c r="B487" s="13" t="s">
        <v>2146</v>
      </c>
      <c r="C487" s="13" t="n">
        <v>1800</v>
      </c>
      <c r="D487" s="13" t="n">
        <v>40</v>
      </c>
      <c r="E487" s="13" t="n">
        <v>47.8008108108108</v>
      </c>
      <c r="F487" s="13" t="s">
        <v>5288</v>
      </c>
      <c r="G487" s="13" t="s">
        <v>5289</v>
      </c>
      <c r="H487" s="13" t="s">
        <v>5289</v>
      </c>
      <c r="I487" s="13" t="s">
        <v>5292</v>
      </c>
      <c r="J487" s="13" t="s">
        <v>5289</v>
      </c>
      <c r="K487" s="13" t="s">
        <v>5292</v>
      </c>
      <c r="L487" s="13" t="s">
        <v>3669</v>
      </c>
      <c r="M487" s="13"/>
      <c r="N487" s="13" t="n">
        <v>7896046700607</v>
      </c>
      <c r="O487" s="13"/>
      <c r="P487" s="13" t="s">
        <v>5291</v>
      </c>
      <c r="Q487" s="13" t="s">
        <v>5289</v>
      </c>
      <c r="R487" s="13" t="s">
        <v>5292</v>
      </c>
      <c r="S487" s="13" t="s">
        <v>5293</v>
      </c>
      <c r="T487" s="13" t="s">
        <v>3</v>
      </c>
      <c r="U487" s="13" t="s">
        <v>85</v>
      </c>
      <c r="V487" s="13" t="n">
        <f aca="false">IF(COUNTIF($B$2:B487,B487)=1,1,0)</f>
        <v>0</v>
      </c>
      <c r="W487" s="13" t="n">
        <f aca="false">IF(COUNTIFS($B$2:B487,B487,$T$2:T487,T487)=1,1,0)</f>
        <v>0</v>
      </c>
    </row>
    <row r="488" customFormat="false" ht="15" hidden="false" customHeight="false" outlineLevel="0" collapsed="false">
      <c r="A488" s="13" t="s">
        <v>952</v>
      </c>
      <c r="B488" s="13" t="s">
        <v>81</v>
      </c>
      <c r="C488" s="13" t="n">
        <v>1800</v>
      </c>
      <c r="D488" s="13" t="n">
        <v>30</v>
      </c>
      <c r="E488" s="13" t="n">
        <v>62.87</v>
      </c>
      <c r="F488" s="13" t="s">
        <v>5288</v>
      </c>
      <c r="G488" s="13" t="s">
        <v>5289</v>
      </c>
      <c r="H488" s="13" t="s">
        <v>5289</v>
      </c>
      <c r="I488" s="13" t="s">
        <v>5292</v>
      </c>
      <c r="J488" s="13" t="s">
        <v>5289</v>
      </c>
      <c r="K488" s="13" t="s">
        <v>5292</v>
      </c>
      <c r="L488" s="13" t="s">
        <v>3690</v>
      </c>
      <c r="M488" s="13"/>
      <c r="N488" s="13" t="n">
        <v>7899206158515</v>
      </c>
      <c r="O488" s="13"/>
      <c r="P488" s="13" t="s">
        <v>5291</v>
      </c>
      <c r="Q488" s="13" t="s">
        <v>5289</v>
      </c>
      <c r="R488" s="13" t="s">
        <v>5292</v>
      </c>
      <c r="S488" s="13" t="s">
        <v>5293</v>
      </c>
      <c r="T488" s="13" t="s">
        <v>3</v>
      </c>
      <c r="U488" s="13" t="s">
        <v>85</v>
      </c>
      <c r="V488" s="13" t="n">
        <f aca="false">IF(COUNTIF($B$2:B488,B488)=1,1,0)</f>
        <v>0</v>
      </c>
      <c r="W488" s="13" t="n">
        <f aca="false">IF(COUNTIFS($B$2:B488,B488,$T$2:T488,T488)=1,1,0)</f>
        <v>0</v>
      </c>
    </row>
    <row r="489" customFormat="false" ht="15" hidden="false" customHeight="false" outlineLevel="0" collapsed="false">
      <c r="A489" s="13" t="s">
        <v>951</v>
      </c>
      <c r="B489" s="13" t="s">
        <v>255</v>
      </c>
      <c r="C489" s="13" t="n">
        <v>1800</v>
      </c>
      <c r="D489" s="13" t="n">
        <v>10</v>
      </c>
      <c r="E489" s="13" t="n">
        <v>159.99</v>
      </c>
      <c r="F489" s="13" t="s">
        <v>5288</v>
      </c>
      <c r="G489" s="13" t="s">
        <v>5289</v>
      </c>
      <c r="H489" s="13" t="s">
        <v>5289</v>
      </c>
      <c r="I489" s="13" t="s">
        <v>5289</v>
      </c>
      <c r="J489" s="13" t="s">
        <v>5289</v>
      </c>
      <c r="K489" s="13" t="s">
        <v>5292</v>
      </c>
      <c r="L489" s="13" t="s">
        <v>3668</v>
      </c>
      <c r="M489" s="13"/>
      <c r="N489" s="13" t="n">
        <v>5055810042844</v>
      </c>
      <c r="O489" s="13"/>
      <c r="P489" s="13" t="s">
        <v>5297</v>
      </c>
      <c r="Q489" s="13" t="s">
        <v>5289</v>
      </c>
      <c r="R489" s="13" t="s">
        <v>5292</v>
      </c>
      <c r="S489" s="13" t="s">
        <v>5293</v>
      </c>
      <c r="T489" s="13" t="s">
        <v>3</v>
      </c>
      <c r="U489" s="13" t="s">
        <v>43</v>
      </c>
      <c r="V489" s="13" t="n">
        <f aca="false">IF(COUNTIF($B$2:B489,B489)=1,1,0)</f>
        <v>0</v>
      </c>
      <c r="W489" s="13" t="n">
        <f aca="false">IF(COUNTIFS($B$2:B489,B489,$T$2:T489,T489)=1,1,0)</f>
        <v>0</v>
      </c>
    </row>
    <row r="490" customFormat="false" ht="15" hidden="false" customHeight="false" outlineLevel="0" collapsed="false">
      <c r="A490" s="13" t="s">
        <v>966</v>
      </c>
      <c r="B490" s="13" t="s">
        <v>131</v>
      </c>
      <c r="C490" s="13" t="n">
        <v>1800</v>
      </c>
      <c r="D490" s="13" t="n">
        <v>5</v>
      </c>
      <c r="E490" s="13" t="n">
        <v>219.9</v>
      </c>
      <c r="F490" s="13" t="s">
        <v>5288</v>
      </c>
      <c r="G490" s="13" t="s">
        <v>5289</v>
      </c>
      <c r="H490" s="13" t="s">
        <v>5289</v>
      </c>
      <c r="I490" s="13" t="s">
        <v>5289</v>
      </c>
      <c r="J490" s="13" t="s">
        <v>5289</v>
      </c>
      <c r="K490" s="13" t="s">
        <v>5292</v>
      </c>
      <c r="L490" s="13" t="s">
        <v>3681</v>
      </c>
      <c r="M490" s="13"/>
      <c r="N490" s="13" t="n">
        <v>7908137901876</v>
      </c>
      <c r="O490" s="13"/>
      <c r="P490" s="13" t="s">
        <v>5297</v>
      </c>
      <c r="Q490" s="13" t="s">
        <v>5289</v>
      </c>
      <c r="R490" s="13" t="s">
        <v>5292</v>
      </c>
      <c r="S490" s="13" t="s">
        <v>5293</v>
      </c>
      <c r="T490" s="13" t="s">
        <v>3</v>
      </c>
      <c r="U490" s="13" t="s">
        <v>66</v>
      </c>
      <c r="V490" s="13" t="n">
        <f aca="false">IF(COUNTIF($B$2:B490,B490)=1,1,0)</f>
        <v>0</v>
      </c>
      <c r="W490" s="13" t="n">
        <f aca="false">IF(COUNTIFS($B$2:B490,B490,$T$2:T490,T490)=1,1,0)</f>
        <v>0</v>
      </c>
    </row>
    <row r="491" customFormat="false" ht="15" hidden="false" customHeight="false" outlineLevel="0" collapsed="false">
      <c r="A491" s="13" t="s">
        <v>530</v>
      </c>
      <c r="B491" s="13" t="s">
        <v>270</v>
      </c>
      <c r="C491" s="13" t="n">
        <v>1700</v>
      </c>
      <c r="D491" s="13" t="n">
        <v>5</v>
      </c>
      <c r="E491" s="13" t="n">
        <v>291.656666666667</v>
      </c>
      <c r="F491" s="13" t="s">
        <v>5288</v>
      </c>
      <c r="G491" s="13" t="s">
        <v>5289</v>
      </c>
      <c r="H491" s="13" t="s">
        <v>5292</v>
      </c>
      <c r="I491" s="13" t="s">
        <v>5289</v>
      </c>
      <c r="J491" s="13" t="s">
        <v>5289</v>
      </c>
      <c r="K491" s="13" t="s">
        <v>5292</v>
      </c>
      <c r="L491" s="13" t="s">
        <v>2791</v>
      </c>
      <c r="M491" s="13"/>
      <c r="N491" s="13" t="n">
        <v>892456000525</v>
      </c>
      <c r="O491" s="13"/>
      <c r="P491" s="13" t="s">
        <v>5291</v>
      </c>
      <c r="Q491" s="13" t="s">
        <v>5289</v>
      </c>
      <c r="R491" s="13" t="s">
        <v>5292</v>
      </c>
      <c r="S491" s="13" t="s">
        <v>5293</v>
      </c>
      <c r="T491" s="13" t="s">
        <v>3</v>
      </c>
      <c r="U491" s="13" t="s">
        <v>43</v>
      </c>
      <c r="V491" s="13" t="n">
        <f aca="false">IF(COUNTIF($B$2:B491,B491)=1,1,0)</f>
        <v>0</v>
      </c>
      <c r="W491" s="13" t="n">
        <f aca="false">IF(COUNTIFS($B$2:B491,B491,$T$2:T491,T491)=1,1,0)</f>
        <v>0</v>
      </c>
    </row>
    <row r="492" customFormat="false" ht="15" hidden="false" customHeight="false" outlineLevel="0" collapsed="false">
      <c r="A492" s="13" t="s">
        <v>3728</v>
      </c>
      <c r="B492" s="13" t="s">
        <v>2146</v>
      </c>
      <c r="C492" s="13" t="n">
        <v>1700</v>
      </c>
      <c r="D492" s="13" t="n">
        <v>40</v>
      </c>
      <c r="E492" s="13" t="n">
        <v>39.66</v>
      </c>
      <c r="F492" s="13" t="s">
        <v>5288</v>
      </c>
      <c r="G492" s="13" t="s">
        <v>5289</v>
      </c>
      <c r="H492" s="13" t="s">
        <v>5289</v>
      </c>
      <c r="I492" s="13" t="s">
        <v>5292</v>
      </c>
      <c r="J492" s="13" t="s">
        <v>5289</v>
      </c>
      <c r="K492" s="13" t="s">
        <v>5292</v>
      </c>
      <c r="L492" s="13" t="s">
        <v>3727</v>
      </c>
      <c r="M492" s="13"/>
      <c r="N492" s="13" t="n">
        <v>7896046716226</v>
      </c>
      <c r="O492" s="13"/>
      <c r="P492" s="13" t="s">
        <v>5291</v>
      </c>
      <c r="Q492" s="13" t="s">
        <v>5289</v>
      </c>
      <c r="R492" s="13" t="s">
        <v>5292</v>
      </c>
      <c r="S492" s="13" t="s">
        <v>5293</v>
      </c>
      <c r="T492" s="13" t="s">
        <v>3</v>
      </c>
      <c r="U492" s="13" t="s">
        <v>85</v>
      </c>
      <c r="V492" s="13" t="n">
        <f aca="false">IF(COUNTIF($B$2:B492,B492)=1,1,0)</f>
        <v>0</v>
      </c>
      <c r="W492" s="13" t="n">
        <f aca="false">IF(COUNTIFS($B$2:B492,B492,$T$2:T492,T492)=1,1,0)</f>
        <v>0</v>
      </c>
    </row>
    <row r="493" customFormat="false" ht="15" hidden="false" customHeight="false" outlineLevel="0" collapsed="false">
      <c r="A493" s="13" t="s">
        <v>979</v>
      </c>
      <c r="B493" s="13" t="s">
        <v>179</v>
      </c>
      <c r="C493" s="13" t="n">
        <v>1700</v>
      </c>
      <c r="D493" s="13" t="n">
        <v>5</v>
      </c>
      <c r="E493" s="13" t="n">
        <v>349</v>
      </c>
      <c r="F493" s="13" t="s">
        <v>5325</v>
      </c>
      <c r="G493" s="13" t="s">
        <v>5289</v>
      </c>
      <c r="H493" s="13" t="s">
        <v>5289</v>
      </c>
      <c r="I493" s="13" t="s">
        <v>5289</v>
      </c>
      <c r="J493" s="13" t="s">
        <v>5289</v>
      </c>
      <c r="K493" s="13" t="s">
        <v>5292</v>
      </c>
      <c r="L493" s="13" t="s">
        <v>3705</v>
      </c>
      <c r="M493" s="13"/>
      <c r="N493" s="13" t="n">
        <v>7908005327289</v>
      </c>
      <c r="O493" s="13"/>
      <c r="P493" s="13" t="s">
        <v>5291</v>
      </c>
      <c r="Q493" s="13" t="s">
        <v>5289</v>
      </c>
      <c r="R493" s="13" t="s">
        <v>5292</v>
      </c>
      <c r="S493" s="13" t="s">
        <v>5293</v>
      </c>
      <c r="T493" s="13" t="s">
        <v>3</v>
      </c>
      <c r="U493" s="13" t="s">
        <v>85</v>
      </c>
      <c r="V493" s="13" t="n">
        <f aca="false">IF(COUNTIF($B$2:B493,B493)=1,1,0)</f>
        <v>0</v>
      </c>
      <c r="W493" s="13" t="n">
        <f aca="false">IF(COUNTIFS($B$2:B493,B493,$T$2:T493,T493)=1,1,0)</f>
        <v>0</v>
      </c>
    </row>
    <row r="494" customFormat="false" ht="15" hidden="false" customHeight="false" outlineLevel="0" collapsed="false">
      <c r="A494" s="13" t="s">
        <v>3726</v>
      </c>
      <c r="B494" s="13" t="s">
        <v>2136</v>
      </c>
      <c r="C494" s="13" t="n">
        <v>1700</v>
      </c>
      <c r="D494" s="13" t="n">
        <v>60</v>
      </c>
      <c r="E494" s="13" t="n">
        <v>27.9588524590164</v>
      </c>
      <c r="F494" s="13" t="s">
        <v>5288</v>
      </c>
      <c r="G494" s="13" t="s">
        <v>5289</v>
      </c>
      <c r="H494" s="13" t="s">
        <v>5289</v>
      </c>
      <c r="I494" s="13" t="s">
        <v>5292</v>
      </c>
      <c r="J494" s="13" t="s">
        <v>5289</v>
      </c>
      <c r="K494" s="13" t="s">
        <v>5289</v>
      </c>
      <c r="L494" s="13" t="s">
        <v>3725</v>
      </c>
      <c r="M494" s="13"/>
      <c r="N494" s="13" t="n">
        <v>7898390940647</v>
      </c>
      <c r="O494" s="13"/>
      <c r="P494" s="13" t="s">
        <v>5291</v>
      </c>
      <c r="Q494" s="13" t="s">
        <v>5289</v>
      </c>
      <c r="R494" s="13" t="s">
        <v>5292</v>
      </c>
      <c r="S494" s="13" t="s">
        <v>5293</v>
      </c>
      <c r="T494" s="13" t="s">
        <v>3</v>
      </c>
      <c r="U494" s="13" t="s">
        <v>85</v>
      </c>
      <c r="V494" s="13" t="n">
        <f aca="false">IF(COUNTIF($B$2:B494,B494)=1,1,0)</f>
        <v>0</v>
      </c>
      <c r="W494" s="13" t="n">
        <f aca="false">IF(COUNTIFS($B$2:B494,B494,$T$2:T494,T494)=1,1,0)</f>
        <v>0</v>
      </c>
    </row>
    <row r="495" customFormat="false" ht="15" hidden="false" customHeight="false" outlineLevel="0" collapsed="false">
      <c r="A495" s="13" t="s">
        <v>3724</v>
      </c>
      <c r="B495" s="13" t="s">
        <v>2114</v>
      </c>
      <c r="C495" s="13" t="n">
        <v>1700</v>
      </c>
      <c r="D495" s="13" t="n">
        <v>40</v>
      </c>
      <c r="E495" s="13" t="n">
        <v>38.72</v>
      </c>
      <c r="F495" s="13" t="s">
        <v>5288</v>
      </c>
      <c r="G495" s="13" t="s">
        <v>5289</v>
      </c>
      <c r="H495" s="13" t="s">
        <v>5289</v>
      </c>
      <c r="I495" s="13" t="s">
        <v>5292</v>
      </c>
      <c r="J495" s="13" t="s">
        <v>5289</v>
      </c>
      <c r="K495" s="13" t="s">
        <v>5289</v>
      </c>
      <c r="L495" s="13" t="s">
        <v>5488</v>
      </c>
      <c r="M495" s="13"/>
      <c r="N495" s="13" t="n">
        <v>7898047200278</v>
      </c>
      <c r="O495" s="13"/>
      <c r="P495" s="13" t="s">
        <v>5291</v>
      </c>
      <c r="Q495" s="13" t="s">
        <v>5289</v>
      </c>
      <c r="R495" s="13" t="s">
        <v>5292</v>
      </c>
      <c r="S495" s="13" t="s">
        <v>5293</v>
      </c>
      <c r="T495" s="13" t="s">
        <v>3</v>
      </c>
      <c r="U495" s="13" t="s">
        <v>140</v>
      </c>
      <c r="V495" s="13" t="n">
        <f aca="false">IF(COUNTIF($B$2:B495,B495)=1,1,0)</f>
        <v>0</v>
      </c>
      <c r="W495" s="13" t="n">
        <f aca="false">IF(COUNTIFS($B$2:B495,B495,$T$2:T495,T495)=1,1,0)</f>
        <v>0</v>
      </c>
    </row>
    <row r="496" customFormat="false" ht="15" hidden="false" customHeight="false" outlineLevel="0" collapsed="false">
      <c r="A496" s="13" t="s">
        <v>275</v>
      </c>
      <c r="B496" s="13" t="s">
        <v>186</v>
      </c>
      <c r="C496" s="13" t="n">
        <v>1700</v>
      </c>
      <c r="D496" s="13" t="n">
        <v>5</v>
      </c>
      <c r="E496" s="13" t="n">
        <v>339.99</v>
      </c>
      <c r="F496" s="13" t="s">
        <v>5288</v>
      </c>
      <c r="G496" s="13" t="s">
        <v>5289</v>
      </c>
      <c r="H496" s="13" t="s">
        <v>5289</v>
      </c>
      <c r="I496" s="13" t="s">
        <v>5289</v>
      </c>
      <c r="J496" s="13" t="s">
        <v>5289</v>
      </c>
      <c r="K496" s="13" t="s">
        <v>5292</v>
      </c>
      <c r="L496" s="13" t="s">
        <v>5358</v>
      </c>
      <c r="M496" s="13"/>
      <c r="N496" s="13" t="n">
        <v>88300107438</v>
      </c>
      <c r="O496" s="13"/>
      <c r="P496" s="13" t="s">
        <v>5291</v>
      </c>
      <c r="Q496" s="13" t="s">
        <v>5289</v>
      </c>
      <c r="R496" s="13" t="s">
        <v>5292</v>
      </c>
      <c r="S496" s="13" t="s">
        <v>5293</v>
      </c>
      <c r="T496" s="13" t="s">
        <v>3</v>
      </c>
      <c r="U496" s="13" t="s">
        <v>43</v>
      </c>
      <c r="V496" s="13" t="n">
        <f aca="false">IF(COUNTIF($B$2:B496,B496)=1,1,0)</f>
        <v>0</v>
      </c>
      <c r="W496" s="13" t="n">
        <f aca="false">IF(COUNTIFS($B$2:B496,B496,$T$2:T496,T496)=1,1,0)</f>
        <v>0</v>
      </c>
    </row>
    <row r="497" customFormat="false" ht="15" hidden="false" customHeight="false" outlineLevel="0" collapsed="false">
      <c r="A497" s="13" t="s">
        <v>3710</v>
      </c>
      <c r="B497" s="13" t="s">
        <v>2095</v>
      </c>
      <c r="C497" s="13" t="n">
        <v>1700</v>
      </c>
      <c r="D497" s="13" t="n">
        <v>40</v>
      </c>
      <c r="E497" s="13" t="n">
        <v>44.99</v>
      </c>
      <c r="F497" s="13" t="s">
        <v>5288</v>
      </c>
      <c r="G497" s="13" t="s">
        <v>5289</v>
      </c>
      <c r="H497" s="13" t="s">
        <v>5289</v>
      </c>
      <c r="I497" s="13" t="s">
        <v>5292</v>
      </c>
      <c r="J497" s="13" t="s">
        <v>5289</v>
      </c>
      <c r="K497" s="13" t="s">
        <v>5292</v>
      </c>
      <c r="L497" s="13" t="s">
        <v>5489</v>
      </c>
      <c r="M497" s="13"/>
      <c r="N497" s="13" t="n">
        <v>7898665433188</v>
      </c>
      <c r="O497" s="13"/>
      <c r="P497" s="13" t="s">
        <v>5291</v>
      </c>
      <c r="Q497" s="13" t="s">
        <v>5289</v>
      </c>
      <c r="R497" s="13" t="s">
        <v>5292</v>
      </c>
      <c r="S497" s="13" t="s">
        <v>5293</v>
      </c>
      <c r="T497" s="13" t="s">
        <v>3</v>
      </c>
      <c r="U497" s="13" t="s">
        <v>140</v>
      </c>
      <c r="V497" s="13" t="n">
        <f aca="false">IF(COUNTIF($B$2:B497,B497)=1,1,0)</f>
        <v>0</v>
      </c>
      <c r="W497" s="13" t="n">
        <f aca="false">IF(COUNTIFS($B$2:B497,B497,$T$2:T497,T497)=1,1,0)</f>
        <v>0</v>
      </c>
    </row>
    <row r="498" customFormat="false" ht="15" hidden="false" customHeight="false" outlineLevel="0" collapsed="false">
      <c r="A498" s="13" t="s">
        <v>3722</v>
      </c>
      <c r="B498" s="13" t="s">
        <v>2228</v>
      </c>
      <c r="C498" s="13" t="n">
        <v>1700</v>
      </c>
      <c r="D498" s="13" t="n">
        <v>20</v>
      </c>
      <c r="E498" s="13" t="n">
        <v>78.99</v>
      </c>
      <c r="F498" s="13" t="s">
        <v>5288</v>
      </c>
      <c r="G498" s="13" t="s">
        <v>5289</v>
      </c>
      <c r="H498" s="13" t="s">
        <v>5289</v>
      </c>
      <c r="I498" s="13" t="s">
        <v>5292</v>
      </c>
      <c r="J498" s="13" t="s">
        <v>5289</v>
      </c>
      <c r="K498" s="13" t="s">
        <v>5292</v>
      </c>
      <c r="L498" s="13" t="s">
        <v>3721</v>
      </c>
      <c r="M498" s="13"/>
      <c r="N498" s="13" t="n">
        <v>5055810030162</v>
      </c>
      <c r="O498" s="13"/>
      <c r="P498" s="13" t="s">
        <v>5297</v>
      </c>
      <c r="Q498" s="13" t="s">
        <v>5289</v>
      </c>
      <c r="R498" s="13" t="s">
        <v>5292</v>
      </c>
      <c r="S498" s="13" t="s">
        <v>5293</v>
      </c>
      <c r="T498" s="13" t="s">
        <v>3</v>
      </c>
      <c r="U498" s="13" t="s">
        <v>43</v>
      </c>
      <c r="V498" s="13" t="n">
        <f aca="false">IF(COUNTIF($B$2:B498,B498)=1,1,0)</f>
        <v>1</v>
      </c>
      <c r="W498" s="13" t="n">
        <f aca="false">IF(COUNTIFS($B$2:B498,B498,$T$2:T498,T498)=1,1,0)</f>
        <v>1</v>
      </c>
    </row>
    <row r="499" customFormat="false" ht="15" hidden="false" customHeight="false" outlineLevel="0" collapsed="false">
      <c r="A499" s="13" t="s">
        <v>3712</v>
      </c>
      <c r="B499" s="13" t="s">
        <v>2096</v>
      </c>
      <c r="C499" s="13" t="n">
        <v>1700</v>
      </c>
      <c r="D499" s="13" t="n">
        <v>20</v>
      </c>
      <c r="E499" s="13" t="n">
        <v>78.89</v>
      </c>
      <c r="F499" s="13" t="s">
        <v>5288</v>
      </c>
      <c r="G499" s="13" t="s">
        <v>5289</v>
      </c>
      <c r="H499" s="13" t="s">
        <v>5289</v>
      </c>
      <c r="I499" s="13" t="s">
        <v>5292</v>
      </c>
      <c r="J499" s="13" t="s">
        <v>5289</v>
      </c>
      <c r="K499" s="13" t="s">
        <v>5292</v>
      </c>
      <c r="L499" s="13" t="s">
        <v>5490</v>
      </c>
      <c r="M499" s="13"/>
      <c r="N499" s="13" t="n">
        <v>7891033129676</v>
      </c>
      <c r="O499" s="13"/>
      <c r="P499" s="13" t="s">
        <v>5291</v>
      </c>
      <c r="Q499" s="13" t="s">
        <v>5289</v>
      </c>
      <c r="R499" s="13" t="s">
        <v>5292</v>
      </c>
      <c r="S499" s="13" t="s">
        <v>5293</v>
      </c>
      <c r="T499" s="13" t="s">
        <v>3</v>
      </c>
      <c r="U499" s="13" t="s">
        <v>183</v>
      </c>
      <c r="V499" s="13" t="n">
        <f aca="false">IF(COUNTIF($B$2:B499,B499)=1,1,0)</f>
        <v>0</v>
      </c>
      <c r="W499" s="13" t="n">
        <f aca="false">IF(COUNTIFS($B$2:B499,B499,$T$2:T499,T499)=1,1,0)</f>
        <v>0</v>
      </c>
    </row>
    <row r="500" customFormat="false" ht="15" hidden="false" customHeight="false" outlineLevel="0" collapsed="false">
      <c r="A500" s="13" t="s">
        <v>3732</v>
      </c>
      <c r="B500" s="13" t="s">
        <v>2156</v>
      </c>
      <c r="C500" s="13" t="n">
        <v>1700</v>
      </c>
      <c r="D500" s="13" t="n">
        <v>5</v>
      </c>
      <c r="E500" s="13" t="n">
        <v>276</v>
      </c>
      <c r="F500" s="13" t="s">
        <v>5288</v>
      </c>
      <c r="G500" s="13" t="s">
        <v>5289</v>
      </c>
      <c r="H500" s="13" t="s">
        <v>5289</v>
      </c>
      <c r="I500" s="13" t="s">
        <v>5289</v>
      </c>
      <c r="J500" s="13" t="s">
        <v>5289</v>
      </c>
      <c r="K500" s="13" t="s">
        <v>5289</v>
      </c>
      <c r="L500" s="13" t="s">
        <v>3731</v>
      </c>
      <c r="M500" s="13"/>
      <c r="N500" s="13" t="n">
        <v>7891033579655</v>
      </c>
      <c r="O500" s="13"/>
      <c r="P500" s="13" t="s">
        <v>5297</v>
      </c>
      <c r="Q500" s="13" t="s">
        <v>5289</v>
      </c>
      <c r="R500" s="13" t="s">
        <v>5292</v>
      </c>
      <c r="S500" s="13" t="s">
        <v>5293</v>
      </c>
      <c r="T500" s="13" t="s">
        <v>3</v>
      </c>
      <c r="U500" s="13" t="s">
        <v>85</v>
      </c>
      <c r="V500" s="13" t="n">
        <f aca="false">IF(COUNTIF($B$2:B500,B500)=1,1,0)</f>
        <v>0</v>
      </c>
      <c r="W500" s="13" t="n">
        <f aca="false">IF(COUNTIFS($B$2:B500,B500,$T$2:T500,T500)=1,1,0)</f>
        <v>0</v>
      </c>
    </row>
    <row r="501" customFormat="false" ht="15" hidden="false" customHeight="false" outlineLevel="0" collapsed="false">
      <c r="A501" s="13" t="s">
        <v>3783</v>
      </c>
      <c r="B501" s="13" t="s">
        <v>2161</v>
      </c>
      <c r="C501" s="13" t="n">
        <v>1600</v>
      </c>
      <c r="D501" s="13" t="n">
        <v>2</v>
      </c>
      <c r="E501" s="13" t="n">
        <v>411.99</v>
      </c>
      <c r="F501" s="13" t="s">
        <v>5288</v>
      </c>
      <c r="G501" s="13" t="s">
        <v>5289</v>
      </c>
      <c r="H501" s="13" t="s">
        <v>5289</v>
      </c>
      <c r="I501" s="13" t="s">
        <v>5289</v>
      </c>
      <c r="J501" s="13" t="s">
        <v>5289</v>
      </c>
      <c r="K501" s="13" t="s">
        <v>5292</v>
      </c>
      <c r="L501" s="13" t="s">
        <v>3782</v>
      </c>
      <c r="M501" s="13"/>
      <c r="N501" s="13" t="n">
        <v>885911723275</v>
      </c>
      <c r="O501" s="13"/>
      <c r="P501" s="13" t="s">
        <v>5291</v>
      </c>
      <c r="Q501" s="13" t="s">
        <v>5289</v>
      </c>
      <c r="R501" s="13" t="s">
        <v>5292</v>
      </c>
      <c r="S501" s="13" t="s">
        <v>5293</v>
      </c>
      <c r="T501" s="13" t="s">
        <v>3</v>
      </c>
      <c r="U501" s="13" t="s">
        <v>85</v>
      </c>
      <c r="V501" s="13" t="n">
        <f aca="false">IF(COUNTIF($B$2:B501,B501)=1,1,0)</f>
        <v>0</v>
      </c>
      <c r="W501" s="13" t="n">
        <f aca="false">IF(COUNTIFS($B$2:B501,B501,$T$2:T501,T501)=1,1,0)</f>
        <v>0</v>
      </c>
    </row>
    <row r="502" customFormat="false" ht="15" hidden="false" customHeight="false" outlineLevel="0" collapsed="false">
      <c r="A502" s="13" t="s">
        <v>3758</v>
      </c>
      <c r="B502" s="13" t="s">
        <v>2146</v>
      </c>
      <c r="C502" s="13" t="n">
        <v>1600</v>
      </c>
      <c r="D502" s="13" t="n">
        <v>60</v>
      </c>
      <c r="E502" s="13" t="n">
        <v>29.325</v>
      </c>
      <c r="F502" s="13" t="s">
        <v>5288</v>
      </c>
      <c r="G502" s="13" t="s">
        <v>5289</v>
      </c>
      <c r="H502" s="13" t="s">
        <v>5289</v>
      </c>
      <c r="I502" s="13" t="s">
        <v>5292</v>
      </c>
      <c r="J502" s="13" t="s">
        <v>5289</v>
      </c>
      <c r="K502" s="13" t="s">
        <v>5292</v>
      </c>
      <c r="L502" s="13" t="s">
        <v>3757</v>
      </c>
      <c r="M502" s="13"/>
      <c r="N502" s="13" t="n">
        <v>7896010177305</v>
      </c>
      <c r="O502" s="13"/>
      <c r="P502" s="13" t="s">
        <v>5291</v>
      </c>
      <c r="Q502" s="13" t="s">
        <v>5289</v>
      </c>
      <c r="R502" s="13" t="s">
        <v>5292</v>
      </c>
      <c r="S502" s="13" t="s">
        <v>5293</v>
      </c>
      <c r="T502" s="13" t="s">
        <v>3</v>
      </c>
      <c r="U502" s="13" t="s">
        <v>85</v>
      </c>
      <c r="V502" s="13" t="n">
        <f aca="false">IF(COUNTIF($B$2:B502,B502)=1,1,0)</f>
        <v>0</v>
      </c>
      <c r="W502" s="13" t="n">
        <f aca="false">IF(COUNTIFS($B$2:B502,B502,$T$2:T502,T502)=1,1,0)</f>
        <v>0</v>
      </c>
    </row>
    <row r="503" customFormat="false" ht="15" hidden="false" customHeight="false" outlineLevel="0" collapsed="false">
      <c r="A503" s="13" t="s">
        <v>3790</v>
      </c>
      <c r="B503" s="13" t="s">
        <v>2229</v>
      </c>
      <c r="C503" s="13" t="n">
        <v>1600</v>
      </c>
      <c r="D503" s="13" t="n">
        <v>30</v>
      </c>
      <c r="E503" s="13" t="n">
        <v>58.1964285714286</v>
      </c>
      <c r="F503" s="13" t="s">
        <v>5288</v>
      </c>
      <c r="G503" s="13" t="s">
        <v>5289</v>
      </c>
      <c r="H503" s="13" t="s">
        <v>5289</v>
      </c>
      <c r="I503" s="13" t="s">
        <v>5292</v>
      </c>
      <c r="J503" s="13" t="s">
        <v>5289</v>
      </c>
      <c r="K503" s="13" t="s">
        <v>5289</v>
      </c>
      <c r="L503" s="13" t="s">
        <v>5491</v>
      </c>
      <c r="M503" s="13"/>
      <c r="N503" s="13" t="n">
        <v>7895097903357</v>
      </c>
      <c r="O503" s="13"/>
      <c r="P503" s="13" t="s">
        <v>5291</v>
      </c>
      <c r="Q503" s="13" t="s">
        <v>5289</v>
      </c>
      <c r="R503" s="13" t="s">
        <v>5292</v>
      </c>
      <c r="S503" s="13" t="s">
        <v>5293</v>
      </c>
      <c r="T503" s="13" t="s">
        <v>3</v>
      </c>
      <c r="U503" s="13" t="s">
        <v>85</v>
      </c>
      <c r="V503" s="13" t="n">
        <f aca="false">IF(COUNTIF($B$2:B503,B503)=1,1,0)</f>
        <v>1</v>
      </c>
      <c r="W503" s="13" t="n">
        <f aca="false">IF(COUNTIFS($B$2:B503,B503,$T$2:T503,T503)=1,1,0)</f>
        <v>1</v>
      </c>
    </row>
    <row r="504" customFormat="false" ht="15" hidden="false" customHeight="false" outlineLevel="0" collapsed="false">
      <c r="A504" s="13" t="s">
        <v>3781</v>
      </c>
      <c r="B504" s="13" t="s">
        <v>2175</v>
      </c>
      <c r="C504" s="13" t="n">
        <v>1600</v>
      </c>
      <c r="D504" s="13" t="n">
        <v>5</v>
      </c>
      <c r="E504" s="13" t="n">
        <v>176.656666666667</v>
      </c>
      <c r="F504" s="13" t="s">
        <v>5288</v>
      </c>
      <c r="G504" s="13" t="s">
        <v>5289</v>
      </c>
      <c r="H504" s="13" t="s">
        <v>5289</v>
      </c>
      <c r="I504" s="13" t="s">
        <v>5289</v>
      </c>
      <c r="J504" s="13" t="s">
        <v>5289</v>
      </c>
      <c r="K504" s="13" t="s">
        <v>5292</v>
      </c>
      <c r="L504" s="13" t="s">
        <v>3780</v>
      </c>
      <c r="M504" s="13"/>
      <c r="N504" s="13" t="n">
        <v>5055810036966</v>
      </c>
      <c r="O504" s="13"/>
      <c r="P504" s="13" t="s">
        <v>5297</v>
      </c>
      <c r="Q504" s="13" t="s">
        <v>5289</v>
      </c>
      <c r="R504" s="13" t="s">
        <v>5292</v>
      </c>
      <c r="S504" s="13" t="s">
        <v>5293</v>
      </c>
      <c r="T504" s="13" t="s">
        <v>3</v>
      </c>
      <c r="U504" s="13" t="s">
        <v>43</v>
      </c>
      <c r="V504" s="13" t="n">
        <f aca="false">IF(COUNTIF($B$2:B504,B504)=1,1,0)</f>
        <v>0</v>
      </c>
      <c r="W504" s="13" t="n">
        <f aca="false">IF(COUNTIFS($B$2:B504,B504,$T$2:T504,T504)=1,1,0)</f>
        <v>0</v>
      </c>
    </row>
    <row r="505" customFormat="false" ht="15" hidden="false" customHeight="false" outlineLevel="0" collapsed="false">
      <c r="A505" s="13" t="s">
        <v>3788</v>
      </c>
      <c r="B505" s="13" t="s">
        <v>2173</v>
      </c>
      <c r="C505" s="13" t="n">
        <v>1600</v>
      </c>
      <c r="D505" s="13" t="n">
        <v>20</v>
      </c>
      <c r="E505" s="13" t="n">
        <v>93.4058823529412</v>
      </c>
      <c r="F505" s="13" t="s">
        <v>5288</v>
      </c>
      <c r="G505" s="13" t="s">
        <v>5289</v>
      </c>
      <c r="H505" s="13" t="s">
        <v>5289</v>
      </c>
      <c r="I505" s="13" t="s">
        <v>5289</v>
      </c>
      <c r="J505" s="13" t="s">
        <v>5289</v>
      </c>
      <c r="K505" s="13" t="s">
        <v>5292</v>
      </c>
      <c r="L505" s="13" t="s">
        <v>3787</v>
      </c>
      <c r="M505" s="13"/>
      <c r="N505" s="13" t="n">
        <v>7896558440015</v>
      </c>
      <c r="O505" s="13"/>
      <c r="P505" s="13" t="s">
        <v>5291</v>
      </c>
      <c r="Q505" s="13" t="s">
        <v>5289</v>
      </c>
      <c r="R505" s="13" t="s">
        <v>5292</v>
      </c>
      <c r="S505" s="13" t="s">
        <v>5293</v>
      </c>
      <c r="T505" s="13" t="s">
        <v>3</v>
      </c>
      <c r="U505" s="13" t="s">
        <v>129</v>
      </c>
      <c r="V505" s="13" t="n">
        <f aca="false">IF(COUNTIF($B$2:B505,B505)=1,1,0)</f>
        <v>0</v>
      </c>
      <c r="W505" s="13" t="n">
        <f aca="false">IF(COUNTIFS($B$2:B505,B505,$T$2:T505,T505)=1,1,0)</f>
        <v>0</v>
      </c>
    </row>
    <row r="506" customFormat="false" ht="15" hidden="false" customHeight="false" outlineLevel="0" collapsed="false">
      <c r="A506" s="13" t="s">
        <v>5492</v>
      </c>
      <c r="B506" s="13" t="s">
        <v>2100</v>
      </c>
      <c r="C506" s="13" t="n">
        <v>1600</v>
      </c>
      <c r="D506" s="13" t="n">
        <v>50</v>
      </c>
      <c r="E506" s="13" t="n">
        <v>33.6634042553191</v>
      </c>
      <c r="F506" s="13" t="s">
        <v>5288</v>
      </c>
      <c r="G506" s="13" t="s">
        <v>5289</v>
      </c>
      <c r="H506" s="13" t="s">
        <v>5292</v>
      </c>
      <c r="I506" s="13" t="s">
        <v>5292</v>
      </c>
      <c r="J506" s="13" t="s">
        <v>5289</v>
      </c>
      <c r="K506" s="13" t="s">
        <v>5292</v>
      </c>
      <c r="L506" s="13" t="s">
        <v>2734</v>
      </c>
      <c r="M506" s="13"/>
      <c r="N506" s="13" t="n">
        <v>7898410319675</v>
      </c>
      <c r="O506" s="13"/>
      <c r="P506" s="13" t="s">
        <v>5291</v>
      </c>
      <c r="Q506" s="13" t="s">
        <v>5289</v>
      </c>
      <c r="R506" s="13" t="s">
        <v>5292</v>
      </c>
      <c r="S506" s="13" t="s">
        <v>5293</v>
      </c>
      <c r="T506" s="13" t="s">
        <v>3</v>
      </c>
      <c r="U506" s="13" t="s">
        <v>43</v>
      </c>
      <c r="V506" s="13" t="n">
        <f aca="false">IF(COUNTIF($B$2:B506,B506)=1,1,0)</f>
        <v>0</v>
      </c>
      <c r="W506" s="13" t="n">
        <f aca="false">IF(COUNTIFS($B$2:B506,B506,$T$2:T506,T506)=1,1,0)</f>
        <v>0</v>
      </c>
    </row>
    <row r="507" customFormat="false" ht="15" hidden="false" customHeight="false" outlineLevel="0" collapsed="false">
      <c r="A507" s="13" t="s">
        <v>3576</v>
      </c>
      <c r="B507" s="13" t="s">
        <v>2114</v>
      </c>
      <c r="C507" s="13" t="n">
        <v>1600</v>
      </c>
      <c r="D507" s="13" t="n">
        <v>40</v>
      </c>
      <c r="E507" s="13" t="n">
        <v>40.4546153846154</v>
      </c>
      <c r="F507" s="13" t="s">
        <v>5288</v>
      </c>
      <c r="G507" s="13" t="s">
        <v>5289</v>
      </c>
      <c r="H507" s="13" t="s">
        <v>5292</v>
      </c>
      <c r="I507" s="13" t="s">
        <v>5292</v>
      </c>
      <c r="J507" s="13" t="s">
        <v>5289</v>
      </c>
      <c r="K507" s="13" t="s">
        <v>5292</v>
      </c>
      <c r="L507" s="13" t="s">
        <v>5493</v>
      </c>
      <c r="M507" s="13"/>
      <c r="N507" s="13" t="n">
        <v>7898047200469</v>
      </c>
      <c r="O507" s="13"/>
      <c r="P507" s="13" t="s">
        <v>5291</v>
      </c>
      <c r="Q507" s="13" t="s">
        <v>5289</v>
      </c>
      <c r="R507" s="13" t="s">
        <v>5292</v>
      </c>
      <c r="S507" s="13" t="s">
        <v>5293</v>
      </c>
      <c r="T507" s="13" t="s">
        <v>3</v>
      </c>
      <c r="U507" s="13" t="s">
        <v>140</v>
      </c>
      <c r="V507" s="13" t="n">
        <f aca="false">IF(COUNTIF($B$2:B507,B507)=1,1,0)</f>
        <v>0</v>
      </c>
      <c r="W507" s="13" t="n">
        <f aca="false">IF(COUNTIFS($B$2:B507,B507,$T$2:T507,T507)=1,1,0)</f>
        <v>0</v>
      </c>
    </row>
    <row r="508" customFormat="false" ht="15" hidden="false" customHeight="false" outlineLevel="0" collapsed="false">
      <c r="A508" s="13" t="s">
        <v>3756</v>
      </c>
      <c r="B508" s="13" t="s">
        <v>2108</v>
      </c>
      <c r="C508" s="13" t="n">
        <v>1600</v>
      </c>
      <c r="D508" s="13" t="n">
        <v>40</v>
      </c>
      <c r="E508" s="13" t="n">
        <v>35.7854545454545</v>
      </c>
      <c r="F508" s="13" t="s">
        <v>5288</v>
      </c>
      <c r="G508" s="13" t="s">
        <v>5289</v>
      </c>
      <c r="H508" s="13" t="s">
        <v>5289</v>
      </c>
      <c r="I508" s="13" t="s">
        <v>5292</v>
      </c>
      <c r="J508" s="13" t="s">
        <v>5289</v>
      </c>
      <c r="K508" s="13" t="s">
        <v>5292</v>
      </c>
      <c r="L508" s="13" t="s">
        <v>3755</v>
      </c>
      <c r="M508" s="13"/>
      <c r="N508" s="13" t="n">
        <v>7891112284869</v>
      </c>
      <c r="O508" s="13"/>
      <c r="P508" s="13" t="s">
        <v>5291</v>
      </c>
      <c r="Q508" s="13" t="s">
        <v>5289</v>
      </c>
      <c r="R508" s="13" t="s">
        <v>5292</v>
      </c>
      <c r="S508" s="13" t="s">
        <v>5293</v>
      </c>
      <c r="T508" s="13" t="s">
        <v>3</v>
      </c>
      <c r="U508" s="13" t="s">
        <v>85</v>
      </c>
      <c r="V508" s="13" t="n">
        <f aca="false">IF(COUNTIF($B$2:B508,B508)=1,1,0)</f>
        <v>0</v>
      </c>
      <c r="W508" s="13" t="n">
        <f aca="false">IF(COUNTIFS($B$2:B508,B508,$T$2:T508,T508)=1,1,0)</f>
        <v>0</v>
      </c>
    </row>
    <row r="509" customFormat="false" ht="15" hidden="false" customHeight="false" outlineLevel="0" collapsed="false">
      <c r="A509" s="13" t="s">
        <v>3765</v>
      </c>
      <c r="B509" s="13" t="s">
        <v>2101</v>
      </c>
      <c r="C509" s="13" t="n">
        <v>1600</v>
      </c>
      <c r="D509" s="13" t="n">
        <v>70</v>
      </c>
      <c r="E509" s="13" t="n">
        <v>21.56</v>
      </c>
      <c r="F509" s="13" t="s">
        <v>5288</v>
      </c>
      <c r="G509" s="13" t="s">
        <v>5289</v>
      </c>
      <c r="H509" s="13" t="s">
        <v>5289</v>
      </c>
      <c r="I509" s="13" t="s">
        <v>5292</v>
      </c>
      <c r="J509" s="13" t="s">
        <v>5289</v>
      </c>
      <c r="K509" s="13" t="s">
        <v>5292</v>
      </c>
      <c r="L509" s="13" t="s">
        <v>3764</v>
      </c>
      <c r="M509" s="13"/>
      <c r="N509" s="13" t="n">
        <v>7908412509377</v>
      </c>
      <c r="O509" s="13"/>
      <c r="P509" s="13" t="s">
        <v>5291</v>
      </c>
      <c r="Q509" s="13" t="s">
        <v>5289</v>
      </c>
      <c r="R509" s="13" t="s">
        <v>5292</v>
      </c>
      <c r="S509" s="13" t="s">
        <v>5293</v>
      </c>
      <c r="T509" s="13" t="s">
        <v>3</v>
      </c>
      <c r="U509" s="13" t="s">
        <v>85</v>
      </c>
      <c r="V509" s="13" t="n">
        <f aca="false">IF(COUNTIF($B$2:B509,B509)=1,1,0)</f>
        <v>0</v>
      </c>
      <c r="W509" s="13" t="n">
        <f aca="false">IF(COUNTIFS($B$2:B509,B509,$T$2:T509,T509)=1,1,0)</f>
        <v>0</v>
      </c>
    </row>
    <row r="510" customFormat="false" ht="15" hidden="false" customHeight="false" outlineLevel="0" collapsed="false">
      <c r="A510" s="13" t="s">
        <v>3773</v>
      </c>
      <c r="B510" s="13" t="s">
        <v>2169</v>
      </c>
      <c r="C510" s="13" t="n">
        <v>1600</v>
      </c>
      <c r="D510" s="13" t="n">
        <v>30</v>
      </c>
      <c r="E510" s="13" t="n">
        <v>60.1884615384615</v>
      </c>
      <c r="F510" s="13" t="s">
        <v>5288</v>
      </c>
      <c r="G510" s="13" t="s">
        <v>5289</v>
      </c>
      <c r="H510" s="13" t="s">
        <v>5289</v>
      </c>
      <c r="I510" s="13" t="s">
        <v>5292</v>
      </c>
      <c r="J510" s="13" t="s">
        <v>5289</v>
      </c>
      <c r="K510" s="13" t="s">
        <v>5292</v>
      </c>
      <c r="L510" s="13" t="s">
        <v>3771</v>
      </c>
      <c r="M510" s="13"/>
      <c r="N510" s="13" t="n">
        <v>7898664340845</v>
      </c>
      <c r="O510" s="13"/>
      <c r="P510" s="13" t="s">
        <v>5291</v>
      </c>
      <c r="Q510" s="13" t="s">
        <v>5289</v>
      </c>
      <c r="R510" s="13" t="s">
        <v>5292</v>
      </c>
      <c r="S510" s="13" t="s">
        <v>5293</v>
      </c>
      <c r="T510" s="13" t="s">
        <v>3</v>
      </c>
      <c r="U510" s="13" t="s">
        <v>85</v>
      </c>
      <c r="V510" s="13" t="n">
        <f aca="false">IF(COUNTIF($B$2:B510,B510)=1,1,0)</f>
        <v>0</v>
      </c>
      <c r="W510" s="13" t="n">
        <f aca="false">IF(COUNTIFS($B$2:B510,B510,$T$2:T510,T510)=1,1,0)</f>
        <v>0</v>
      </c>
    </row>
    <row r="511" customFormat="false" ht="15" hidden="false" customHeight="false" outlineLevel="0" collapsed="false">
      <c r="A511" s="13" t="s">
        <v>3775</v>
      </c>
      <c r="B511" s="13" t="s">
        <v>2095</v>
      </c>
      <c r="C511" s="13" t="n">
        <v>1600</v>
      </c>
      <c r="D511" s="13" t="n">
        <v>10</v>
      </c>
      <c r="E511" s="13" t="n">
        <v>119.99</v>
      </c>
      <c r="F511" s="13" t="s">
        <v>5288</v>
      </c>
      <c r="G511" s="13" t="s">
        <v>5289</v>
      </c>
      <c r="H511" s="13" t="s">
        <v>5289</v>
      </c>
      <c r="I511" s="13" t="s">
        <v>5289</v>
      </c>
      <c r="J511" s="13" t="s">
        <v>5289</v>
      </c>
      <c r="K511" s="13" t="s">
        <v>5292</v>
      </c>
      <c r="L511" s="13" t="s">
        <v>3774</v>
      </c>
      <c r="M511" s="13"/>
      <c r="N511" s="13" t="n">
        <v>7898665435786</v>
      </c>
      <c r="O511" s="13"/>
      <c r="P511" s="13" t="s">
        <v>5291</v>
      </c>
      <c r="Q511" s="13" t="s">
        <v>5289</v>
      </c>
      <c r="R511" s="13" t="s">
        <v>5292</v>
      </c>
      <c r="S511" s="13" t="s">
        <v>5293</v>
      </c>
      <c r="T511" s="13" t="s">
        <v>3</v>
      </c>
      <c r="U511" s="13" t="s">
        <v>140</v>
      </c>
      <c r="V511" s="13" t="n">
        <f aca="false">IF(COUNTIF($B$2:B511,B511)=1,1,0)</f>
        <v>0</v>
      </c>
      <c r="W511" s="13" t="n">
        <f aca="false">IF(COUNTIFS($B$2:B511,B511,$T$2:T511,T511)=1,1,0)</f>
        <v>0</v>
      </c>
    </row>
    <row r="512" customFormat="false" ht="15" hidden="false" customHeight="false" outlineLevel="0" collapsed="false">
      <c r="A512" s="13" t="s">
        <v>3807</v>
      </c>
      <c r="B512" s="13" t="s">
        <v>2231</v>
      </c>
      <c r="C512" s="13" t="n">
        <v>1500</v>
      </c>
      <c r="D512" s="13" t="n">
        <v>30</v>
      </c>
      <c r="E512" s="13" t="n">
        <v>49.9</v>
      </c>
      <c r="F512" s="13" t="s">
        <v>5325</v>
      </c>
      <c r="G512" s="13" t="s">
        <v>5289</v>
      </c>
      <c r="H512" s="13" t="s">
        <v>5289</v>
      </c>
      <c r="I512" s="13" t="s">
        <v>5292</v>
      </c>
      <c r="J512" s="13" t="s">
        <v>5289</v>
      </c>
      <c r="K512" s="13" t="s">
        <v>5292</v>
      </c>
      <c r="L512" s="13" t="s">
        <v>3806</v>
      </c>
      <c r="M512" s="13"/>
      <c r="N512" s="13" t="n">
        <v>7895140755360</v>
      </c>
      <c r="O512" s="13"/>
      <c r="P512" s="13" t="s">
        <v>5297</v>
      </c>
      <c r="Q512" s="13" t="s">
        <v>5289</v>
      </c>
      <c r="R512" s="13" t="s">
        <v>5292</v>
      </c>
      <c r="S512" s="13" t="s">
        <v>5293</v>
      </c>
      <c r="T512" s="13" t="s">
        <v>3</v>
      </c>
      <c r="U512" s="13" t="s">
        <v>85</v>
      </c>
      <c r="V512" s="13" t="n">
        <f aca="false">IF(COUNTIF($B$2:B512,B512)=1,1,0)</f>
        <v>1</v>
      </c>
      <c r="W512" s="13" t="n">
        <f aca="false">IF(COUNTIFS($B$2:B512,B512,$T$2:T512,T512)=1,1,0)</f>
        <v>1</v>
      </c>
    </row>
    <row r="513" customFormat="false" ht="15" hidden="false" customHeight="false" outlineLevel="0" collapsed="false">
      <c r="A513" s="13" t="s">
        <v>1040</v>
      </c>
      <c r="B513" s="13" t="s">
        <v>179</v>
      </c>
      <c r="C513" s="13" t="n">
        <v>1500</v>
      </c>
      <c r="D513" s="13" t="n">
        <v>2</v>
      </c>
      <c r="E513" s="13" t="n">
        <v>759</v>
      </c>
      <c r="F513" s="13" t="s">
        <v>5325</v>
      </c>
      <c r="G513" s="13" t="s">
        <v>5289</v>
      </c>
      <c r="H513" s="13" t="s">
        <v>5289</v>
      </c>
      <c r="I513" s="13" t="s">
        <v>5289</v>
      </c>
      <c r="J513" s="13" t="s">
        <v>5289</v>
      </c>
      <c r="K513" s="13" t="s">
        <v>5292</v>
      </c>
      <c r="L513" s="13" t="s">
        <v>3803</v>
      </c>
      <c r="M513" s="13"/>
      <c r="N513" s="13" t="n">
        <v>7908896605084</v>
      </c>
      <c r="O513" s="13"/>
      <c r="P513" s="13" t="s">
        <v>5291</v>
      </c>
      <c r="Q513" s="13" t="s">
        <v>5289</v>
      </c>
      <c r="R513" s="13" t="s">
        <v>5292</v>
      </c>
      <c r="S513" s="13" t="s">
        <v>5293</v>
      </c>
      <c r="T513" s="13" t="s">
        <v>3</v>
      </c>
      <c r="U513" s="13" t="s">
        <v>180</v>
      </c>
      <c r="V513" s="13" t="n">
        <f aca="false">IF(COUNTIF($B$2:B513,B513)=1,1,0)</f>
        <v>0</v>
      </c>
      <c r="W513" s="13" t="n">
        <f aca="false">IF(COUNTIFS($B$2:B513,B513,$T$2:T513,T513)=1,1,0)</f>
        <v>0</v>
      </c>
    </row>
    <row r="514" customFormat="false" ht="15" hidden="false" customHeight="false" outlineLevel="0" collapsed="false">
      <c r="A514" s="13" t="s">
        <v>3809</v>
      </c>
      <c r="B514" s="13" t="s">
        <v>2141</v>
      </c>
      <c r="C514" s="13" t="n">
        <v>1500</v>
      </c>
      <c r="D514" s="13" t="n">
        <v>20</v>
      </c>
      <c r="E514" s="13" t="n">
        <v>65.99</v>
      </c>
      <c r="F514" s="13" t="s">
        <v>5288</v>
      </c>
      <c r="G514" s="13" t="s">
        <v>5289</v>
      </c>
      <c r="H514" s="13" t="s">
        <v>5289</v>
      </c>
      <c r="I514" s="13" t="s">
        <v>5292</v>
      </c>
      <c r="J514" s="13" t="s">
        <v>5289</v>
      </c>
      <c r="K514" s="13" t="s">
        <v>5292</v>
      </c>
      <c r="L514" s="13" t="s">
        <v>3808</v>
      </c>
      <c r="M514" s="13"/>
      <c r="N514" s="13" t="n">
        <v>5055810015176</v>
      </c>
      <c r="O514" s="13"/>
      <c r="P514" s="13" t="s">
        <v>5291</v>
      </c>
      <c r="Q514" s="13" t="s">
        <v>5289</v>
      </c>
      <c r="R514" s="13" t="s">
        <v>5292</v>
      </c>
      <c r="S514" s="13" t="s">
        <v>5293</v>
      </c>
      <c r="T514" s="13" t="s">
        <v>3</v>
      </c>
      <c r="U514" s="13" t="s">
        <v>43</v>
      </c>
      <c r="V514" s="13" t="n">
        <f aca="false">IF(COUNTIF($B$2:B514,B514)=1,1,0)</f>
        <v>0</v>
      </c>
      <c r="W514" s="13" t="n">
        <f aca="false">IF(COUNTIFS($B$2:B514,B514,$T$2:T514,T514)=1,1,0)</f>
        <v>0</v>
      </c>
    </row>
    <row r="515" customFormat="false" ht="15" hidden="false" customHeight="false" outlineLevel="0" collapsed="false">
      <c r="A515" s="13" t="s">
        <v>3805</v>
      </c>
      <c r="B515" s="13" t="s">
        <v>2191</v>
      </c>
      <c r="C515" s="13" t="n">
        <v>1500</v>
      </c>
      <c r="D515" s="13" t="n">
        <v>5</v>
      </c>
      <c r="E515" s="13" t="n">
        <v>246.99</v>
      </c>
      <c r="F515" s="13" t="s">
        <v>5288</v>
      </c>
      <c r="G515" s="13" t="s">
        <v>5289</v>
      </c>
      <c r="H515" s="13" t="s">
        <v>5289</v>
      </c>
      <c r="I515" s="13" t="s">
        <v>5289</v>
      </c>
      <c r="J515" s="13" t="s">
        <v>5289</v>
      </c>
      <c r="K515" s="13" t="s">
        <v>5292</v>
      </c>
      <c r="L515" s="13" t="s">
        <v>3804</v>
      </c>
      <c r="M515" s="13"/>
      <c r="N515" s="13" t="n">
        <v>7891009858302</v>
      </c>
      <c r="O515" s="13"/>
      <c r="P515" s="13" t="s">
        <v>5297</v>
      </c>
      <c r="Q515" s="13" t="s">
        <v>5289</v>
      </c>
      <c r="R515" s="13" t="s">
        <v>5292</v>
      </c>
      <c r="S515" s="13" t="s">
        <v>5293</v>
      </c>
      <c r="T515" s="13" t="s">
        <v>3</v>
      </c>
      <c r="U515" s="13" t="s">
        <v>85</v>
      </c>
      <c r="V515" s="13" t="n">
        <f aca="false">IF(COUNTIF($B$2:B515,B515)=1,1,0)</f>
        <v>0</v>
      </c>
      <c r="W515" s="13" t="n">
        <f aca="false">IF(COUNTIFS($B$2:B515,B515,$T$2:T515,T515)=1,1,0)</f>
        <v>0</v>
      </c>
    </row>
    <row r="516" customFormat="false" ht="15" hidden="false" customHeight="false" outlineLevel="0" collapsed="false">
      <c r="A516" s="13" t="s">
        <v>5494</v>
      </c>
      <c r="B516" s="13" t="s">
        <v>2095</v>
      </c>
      <c r="C516" s="13" t="n">
        <v>1400</v>
      </c>
      <c r="D516" s="13" t="n">
        <v>40</v>
      </c>
      <c r="E516" s="13" t="n">
        <v>37.99</v>
      </c>
      <c r="F516" s="13" t="s">
        <v>5288</v>
      </c>
      <c r="G516" s="13" t="s">
        <v>5289</v>
      </c>
      <c r="H516" s="13" t="s">
        <v>5292</v>
      </c>
      <c r="I516" s="13" t="s">
        <v>5292</v>
      </c>
      <c r="J516" s="13" t="s">
        <v>5289</v>
      </c>
      <c r="K516" s="13" t="s">
        <v>5292</v>
      </c>
      <c r="L516" s="13" t="s">
        <v>3004</v>
      </c>
      <c r="M516" s="13"/>
      <c r="N516" s="13" t="n">
        <v>7898665435380</v>
      </c>
      <c r="O516" s="13"/>
      <c r="P516" s="13" t="s">
        <v>5291</v>
      </c>
      <c r="Q516" s="13" t="s">
        <v>5289</v>
      </c>
      <c r="R516" s="13" t="s">
        <v>5292</v>
      </c>
      <c r="S516" s="13" t="s">
        <v>5293</v>
      </c>
      <c r="T516" s="13" t="s">
        <v>3</v>
      </c>
      <c r="U516" s="13" t="s">
        <v>140</v>
      </c>
      <c r="V516" s="13" t="n">
        <f aca="false">IF(COUNTIF($B$2:B516,B516)=1,1,0)</f>
        <v>0</v>
      </c>
      <c r="W516" s="13" t="n">
        <f aca="false">IF(COUNTIFS($B$2:B516,B516,$T$2:T516,T516)=1,1,0)</f>
        <v>0</v>
      </c>
    </row>
    <row r="517" customFormat="false" ht="15" hidden="false" customHeight="false" outlineLevel="0" collapsed="false">
      <c r="A517" s="13" t="s">
        <v>3855</v>
      </c>
      <c r="B517" s="13" t="s">
        <v>2099</v>
      </c>
      <c r="C517" s="13" t="n">
        <v>1400</v>
      </c>
      <c r="D517" s="13" t="n">
        <v>20</v>
      </c>
      <c r="E517" s="13" t="n">
        <v>74.99</v>
      </c>
      <c r="F517" s="13" t="s">
        <v>5288</v>
      </c>
      <c r="G517" s="13" t="s">
        <v>5289</v>
      </c>
      <c r="H517" s="13" t="s">
        <v>5289</v>
      </c>
      <c r="I517" s="13" t="s">
        <v>5292</v>
      </c>
      <c r="J517" s="13" t="s">
        <v>5289</v>
      </c>
      <c r="K517" s="13" t="s">
        <v>5292</v>
      </c>
      <c r="L517" s="13" t="s">
        <v>3854</v>
      </c>
      <c r="M517" s="13"/>
      <c r="N517" s="13" t="n">
        <v>7899952325834</v>
      </c>
      <c r="O517" s="13"/>
      <c r="P517" s="13" t="s">
        <v>5297</v>
      </c>
      <c r="Q517" s="13" t="s">
        <v>5289</v>
      </c>
      <c r="R517" s="13" t="s">
        <v>5292</v>
      </c>
      <c r="S517" s="13" t="s">
        <v>5293</v>
      </c>
      <c r="T517" s="13" t="s">
        <v>3</v>
      </c>
      <c r="U517" s="13" t="s">
        <v>43</v>
      </c>
      <c r="V517" s="13" t="n">
        <f aca="false">IF(COUNTIF($B$2:B517,B517)=1,1,0)</f>
        <v>0</v>
      </c>
      <c r="W517" s="13" t="n">
        <f aca="false">IF(COUNTIFS($B$2:B517,B517,$T$2:T517,T517)=1,1,0)</f>
        <v>0</v>
      </c>
    </row>
    <row r="518" customFormat="false" ht="15" hidden="false" customHeight="false" outlineLevel="0" collapsed="false">
      <c r="A518" s="13" t="s">
        <v>3837</v>
      </c>
      <c r="B518" s="13" t="s">
        <v>2234</v>
      </c>
      <c r="C518" s="13" t="n">
        <v>1400</v>
      </c>
      <c r="D518" s="13" t="n">
        <v>20</v>
      </c>
      <c r="E518" s="13" t="n">
        <v>69.99</v>
      </c>
      <c r="F518" s="13" t="s">
        <v>5288</v>
      </c>
      <c r="G518" s="13" t="s">
        <v>5289</v>
      </c>
      <c r="H518" s="13" t="s">
        <v>5289</v>
      </c>
      <c r="I518" s="13" t="s">
        <v>5292</v>
      </c>
      <c r="J518" s="13" t="s">
        <v>5289</v>
      </c>
      <c r="K518" s="13" t="s">
        <v>5292</v>
      </c>
      <c r="L518" s="13" t="s">
        <v>3836</v>
      </c>
      <c r="M518" s="13"/>
      <c r="N518" s="13" t="n">
        <v>5425017735809</v>
      </c>
      <c r="O518" s="13"/>
      <c r="P518" s="13" t="s">
        <v>5291</v>
      </c>
      <c r="Q518" s="13" t="s">
        <v>5289</v>
      </c>
      <c r="R518" s="13" t="s">
        <v>5292</v>
      </c>
      <c r="S518" s="13" t="s">
        <v>5293</v>
      </c>
      <c r="T518" s="13" t="s">
        <v>3</v>
      </c>
      <c r="U518" s="13" t="s">
        <v>43</v>
      </c>
      <c r="V518" s="13" t="n">
        <f aca="false">IF(COUNTIF($B$2:B518,B518)=1,1,0)</f>
        <v>1</v>
      </c>
      <c r="W518" s="13" t="n">
        <f aca="false">IF(COUNTIFS($B$2:B518,B518,$T$2:T518,T518)=1,1,0)</f>
        <v>1</v>
      </c>
    </row>
    <row r="519" customFormat="false" ht="15" hidden="false" customHeight="false" outlineLevel="0" collapsed="false">
      <c r="A519" s="13" t="s">
        <v>3848</v>
      </c>
      <c r="B519" s="13" t="s">
        <v>2233</v>
      </c>
      <c r="C519" s="13" t="n">
        <v>1400</v>
      </c>
      <c r="D519" s="13" t="n">
        <v>10</v>
      </c>
      <c r="E519" s="13" t="n">
        <v>107.605384615385</v>
      </c>
      <c r="F519" s="13" t="s">
        <v>5288</v>
      </c>
      <c r="G519" s="13" t="s">
        <v>5289</v>
      </c>
      <c r="H519" s="13" t="s">
        <v>5289</v>
      </c>
      <c r="I519" s="13" t="s">
        <v>5292</v>
      </c>
      <c r="J519" s="13" t="s">
        <v>5289</v>
      </c>
      <c r="K519" s="13" t="s">
        <v>5292</v>
      </c>
      <c r="L519" s="13" t="s">
        <v>3847</v>
      </c>
      <c r="M519" s="13"/>
      <c r="N519" s="13" t="n">
        <v>8439627646643</v>
      </c>
      <c r="O519" s="13"/>
      <c r="P519" s="13" t="s">
        <v>5304</v>
      </c>
      <c r="Q519" s="13" t="s">
        <v>5289</v>
      </c>
      <c r="R519" s="13" t="s">
        <v>5292</v>
      </c>
      <c r="S519" s="13" t="s">
        <v>5293</v>
      </c>
      <c r="T519" s="13" t="s">
        <v>3</v>
      </c>
      <c r="U519" s="13" t="s">
        <v>43</v>
      </c>
      <c r="V519" s="13" t="n">
        <f aca="false">IF(COUNTIF($B$2:B519,B519)=1,1,0)</f>
        <v>1</v>
      </c>
      <c r="W519" s="13" t="n">
        <f aca="false">IF(COUNTIFS($B$2:B519,B519,$T$2:T519,T519)=1,1,0)</f>
        <v>1</v>
      </c>
    </row>
    <row r="520" customFormat="false" ht="15" hidden="false" customHeight="false" outlineLevel="0" collapsed="false">
      <c r="A520" s="13" t="s">
        <v>1074</v>
      </c>
      <c r="B520" s="13" t="s">
        <v>191</v>
      </c>
      <c r="C520" s="13" t="n">
        <v>1400</v>
      </c>
      <c r="D520" s="13" t="n">
        <v>5</v>
      </c>
      <c r="E520" s="13" t="n">
        <v>232.9</v>
      </c>
      <c r="F520" s="13" t="s">
        <v>5288</v>
      </c>
      <c r="G520" s="13" t="s">
        <v>5289</v>
      </c>
      <c r="H520" s="13" t="s">
        <v>5289</v>
      </c>
      <c r="I520" s="13" t="s">
        <v>5289</v>
      </c>
      <c r="J520" s="13" t="s">
        <v>5289</v>
      </c>
      <c r="K520" s="13" t="s">
        <v>5292</v>
      </c>
      <c r="L520" s="13" t="s">
        <v>3863</v>
      </c>
      <c r="M520" s="13"/>
      <c r="N520" s="13" t="n">
        <v>7896768470512</v>
      </c>
      <c r="O520" s="13"/>
      <c r="P520" s="13" t="s">
        <v>5291</v>
      </c>
      <c r="Q520" s="13" t="s">
        <v>5289</v>
      </c>
      <c r="R520" s="13" t="s">
        <v>5292</v>
      </c>
      <c r="S520" s="13" t="s">
        <v>5293</v>
      </c>
      <c r="T520" s="13" t="s">
        <v>3</v>
      </c>
      <c r="U520" s="13" t="s">
        <v>85</v>
      </c>
      <c r="V520" s="13" t="n">
        <f aca="false">IF(COUNTIF($B$2:B520,B520)=1,1,0)</f>
        <v>0</v>
      </c>
      <c r="W520" s="13" t="n">
        <f aca="false">IF(COUNTIFS($B$2:B520,B520,$T$2:T520,T520)=1,1,0)</f>
        <v>0</v>
      </c>
    </row>
    <row r="521" customFormat="false" ht="15" hidden="false" customHeight="false" outlineLevel="0" collapsed="false">
      <c r="A521" s="13" t="s">
        <v>3843</v>
      </c>
      <c r="B521" s="13" t="s">
        <v>2105</v>
      </c>
      <c r="C521" s="13" t="n">
        <v>1400</v>
      </c>
      <c r="D521" s="13" t="n">
        <v>5</v>
      </c>
      <c r="E521" s="13" t="n">
        <v>279</v>
      </c>
      <c r="F521" s="13" t="s">
        <v>5288</v>
      </c>
      <c r="G521" s="13" t="s">
        <v>5289</v>
      </c>
      <c r="H521" s="13" t="s">
        <v>5289</v>
      </c>
      <c r="I521" s="13" t="s">
        <v>5289</v>
      </c>
      <c r="J521" s="13" t="s">
        <v>5289</v>
      </c>
      <c r="K521" s="13" t="s">
        <v>5292</v>
      </c>
      <c r="L521" s="13" t="s">
        <v>3842</v>
      </c>
      <c r="M521" s="13"/>
      <c r="N521" s="13" t="n">
        <v>4971850099659</v>
      </c>
      <c r="O521" s="13"/>
      <c r="P521" s="13" t="s">
        <v>5291</v>
      </c>
      <c r="Q521" s="13" t="s">
        <v>5289</v>
      </c>
      <c r="R521" s="13" t="s">
        <v>5292</v>
      </c>
      <c r="S521" s="13" t="s">
        <v>5293</v>
      </c>
      <c r="T521" s="13" t="s">
        <v>3</v>
      </c>
      <c r="U521" s="13" t="s">
        <v>144</v>
      </c>
      <c r="V521" s="13" t="n">
        <f aca="false">IF(COUNTIF($B$2:B521,B521)=1,1,0)</f>
        <v>0</v>
      </c>
      <c r="W521" s="13" t="n">
        <f aca="false">IF(COUNTIFS($B$2:B521,B521,$T$2:T521,T521)=1,1,0)</f>
        <v>0</v>
      </c>
    </row>
    <row r="522" customFormat="false" ht="15" hidden="false" customHeight="false" outlineLevel="0" collapsed="false">
      <c r="A522" s="13" t="s">
        <v>1075</v>
      </c>
      <c r="B522" s="13" t="s">
        <v>182</v>
      </c>
      <c r="C522" s="13" t="n">
        <v>1400</v>
      </c>
      <c r="D522" s="13" t="n">
        <v>10</v>
      </c>
      <c r="E522" s="13" t="n">
        <v>99.6328571428571</v>
      </c>
      <c r="F522" s="13" t="s">
        <v>5288</v>
      </c>
      <c r="G522" s="13" t="s">
        <v>5289</v>
      </c>
      <c r="H522" s="13" t="s">
        <v>5292</v>
      </c>
      <c r="I522" s="13" t="s">
        <v>5289</v>
      </c>
      <c r="J522" s="13" t="s">
        <v>5289</v>
      </c>
      <c r="K522" s="13" t="s">
        <v>5292</v>
      </c>
      <c r="L522" s="13" t="s">
        <v>5336</v>
      </c>
      <c r="M522" s="13"/>
      <c r="N522" s="13" t="n">
        <v>7618900903081</v>
      </c>
      <c r="O522" s="13"/>
      <c r="P522" s="13" t="s">
        <v>5291</v>
      </c>
      <c r="Q522" s="13" t="s">
        <v>5289</v>
      </c>
      <c r="R522" s="13" t="s">
        <v>5292</v>
      </c>
      <c r="S522" s="13" t="s">
        <v>5293</v>
      </c>
      <c r="T522" s="13" t="s">
        <v>3</v>
      </c>
      <c r="U522" s="13" t="s">
        <v>85</v>
      </c>
      <c r="V522" s="13" t="n">
        <f aca="false">IF(COUNTIF($B$2:B522,B522)=1,1,0)</f>
        <v>0</v>
      </c>
      <c r="W522" s="13" t="n">
        <f aca="false">IF(COUNTIFS($B$2:B522,B522,$T$2:T522,T522)=1,1,0)</f>
        <v>0</v>
      </c>
    </row>
    <row r="523" customFormat="false" ht="15" hidden="false" customHeight="false" outlineLevel="0" collapsed="false">
      <c r="A523" s="13" t="s">
        <v>3859</v>
      </c>
      <c r="B523" s="13" t="s">
        <v>2142</v>
      </c>
      <c r="C523" s="13" t="n">
        <v>1400</v>
      </c>
      <c r="D523" s="13" t="n">
        <v>30</v>
      </c>
      <c r="E523" s="13" t="n">
        <v>40.9044117647059</v>
      </c>
      <c r="F523" s="13" t="s">
        <v>5288</v>
      </c>
      <c r="G523" s="13" t="s">
        <v>5289</v>
      </c>
      <c r="H523" s="13" t="s">
        <v>5289</v>
      </c>
      <c r="I523" s="13" t="s">
        <v>5292</v>
      </c>
      <c r="J523" s="13" t="s">
        <v>5289</v>
      </c>
      <c r="K523" s="13" t="s">
        <v>5292</v>
      </c>
      <c r="L523" s="13" t="s">
        <v>3858</v>
      </c>
      <c r="M523" s="13"/>
      <c r="N523" s="13" t="n">
        <v>7908038604753</v>
      </c>
      <c r="O523" s="13"/>
      <c r="P523" s="13" t="s">
        <v>5291</v>
      </c>
      <c r="Q523" s="13" t="s">
        <v>5289</v>
      </c>
      <c r="R523" s="13" t="s">
        <v>5292</v>
      </c>
      <c r="S523" s="13" t="s">
        <v>5293</v>
      </c>
      <c r="T523" s="13" t="s">
        <v>3</v>
      </c>
      <c r="U523" s="13" t="s">
        <v>85</v>
      </c>
      <c r="V523" s="13" t="n">
        <f aca="false">IF(COUNTIF($B$2:B523,B523)=1,1,0)</f>
        <v>0</v>
      </c>
      <c r="W523" s="13" t="n">
        <f aca="false">IF(COUNTIFS($B$2:B523,B523,$T$2:T523,T523)=1,1,0)</f>
        <v>0</v>
      </c>
    </row>
    <row r="524" customFormat="false" ht="15" hidden="false" customHeight="false" outlineLevel="0" collapsed="false">
      <c r="A524" s="13" t="s">
        <v>3850</v>
      </c>
      <c r="B524" s="13" t="s">
        <v>2101</v>
      </c>
      <c r="C524" s="13" t="n">
        <v>1400</v>
      </c>
      <c r="D524" s="13" t="n">
        <v>30</v>
      </c>
      <c r="E524" s="13" t="n">
        <v>53.3361538461539</v>
      </c>
      <c r="F524" s="13" t="s">
        <v>5288</v>
      </c>
      <c r="G524" s="13" t="s">
        <v>5289</v>
      </c>
      <c r="H524" s="13" t="s">
        <v>5289</v>
      </c>
      <c r="I524" s="13" t="s">
        <v>5292</v>
      </c>
      <c r="J524" s="13" t="s">
        <v>5289</v>
      </c>
      <c r="K524" s="13" t="s">
        <v>5292</v>
      </c>
      <c r="L524" s="13" t="s">
        <v>3849</v>
      </c>
      <c r="M524" s="13"/>
      <c r="N524" s="13" t="n">
        <v>7897013578571</v>
      </c>
      <c r="O524" s="13"/>
      <c r="P524" s="13" t="s">
        <v>5291</v>
      </c>
      <c r="Q524" s="13" t="s">
        <v>5289</v>
      </c>
      <c r="R524" s="13" t="s">
        <v>5292</v>
      </c>
      <c r="S524" s="13" t="s">
        <v>5293</v>
      </c>
      <c r="T524" s="13" t="s">
        <v>3</v>
      </c>
      <c r="U524" s="13" t="s">
        <v>85</v>
      </c>
      <c r="V524" s="13" t="n">
        <f aca="false">IF(COUNTIF($B$2:B524,B524)=1,1,0)</f>
        <v>0</v>
      </c>
      <c r="W524" s="13" t="n">
        <f aca="false">IF(COUNTIFS($B$2:B524,B524,$T$2:T524,T524)=1,1,0)</f>
        <v>0</v>
      </c>
    </row>
    <row r="525" customFormat="false" ht="15" hidden="false" customHeight="false" outlineLevel="0" collapsed="false">
      <c r="A525" s="13" t="s">
        <v>3840</v>
      </c>
      <c r="B525" s="13" t="s">
        <v>2117</v>
      </c>
      <c r="C525" s="13" t="n">
        <v>1400</v>
      </c>
      <c r="D525" s="13" t="n">
        <v>40</v>
      </c>
      <c r="E525" s="13" t="n">
        <v>32.0755813953488</v>
      </c>
      <c r="F525" s="13" t="s">
        <v>5325</v>
      </c>
      <c r="G525" s="13" t="s">
        <v>5289</v>
      </c>
      <c r="H525" s="13" t="s">
        <v>5289</v>
      </c>
      <c r="I525" s="13" t="s">
        <v>5292</v>
      </c>
      <c r="J525" s="13" t="s">
        <v>5289</v>
      </c>
      <c r="K525" s="13" t="s">
        <v>5292</v>
      </c>
      <c r="L525" s="13" t="s">
        <v>5495</v>
      </c>
      <c r="M525" s="13"/>
      <c r="N525" s="13" t="n">
        <v>735201084169</v>
      </c>
      <c r="O525" s="13"/>
      <c r="P525" s="13" t="s">
        <v>5291</v>
      </c>
      <c r="Q525" s="13" t="s">
        <v>5289</v>
      </c>
      <c r="R525" s="13" t="s">
        <v>5292</v>
      </c>
      <c r="S525" s="13" t="s">
        <v>5293</v>
      </c>
      <c r="T525" s="13" t="s">
        <v>3</v>
      </c>
      <c r="U525" s="13" t="s">
        <v>85</v>
      </c>
      <c r="V525" s="13" t="n">
        <f aca="false">IF(COUNTIF($B$2:B525,B525)=1,1,0)</f>
        <v>0</v>
      </c>
      <c r="W525" s="13" t="n">
        <f aca="false">IF(COUNTIFS($B$2:B525,B525,$T$2:T525,T525)=1,1,0)</f>
        <v>0</v>
      </c>
    </row>
    <row r="526" customFormat="false" ht="15" hidden="false" customHeight="false" outlineLevel="0" collapsed="false">
      <c r="A526" s="13" t="s">
        <v>3480</v>
      </c>
      <c r="B526" s="13" t="s">
        <v>2107</v>
      </c>
      <c r="C526" s="13" t="n">
        <v>1400</v>
      </c>
      <c r="D526" s="13" t="n">
        <v>20</v>
      </c>
      <c r="E526" s="13" t="n">
        <v>72.0426315789474</v>
      </c>
      <c r="F526" s="13" t="s">
        <v>5288</v>
      </c>
      <c r="G526" s="13" t="s">
        <v>5289</v>
      </c>
      <c r="H526" s="13" t="s">
        <v>5292</v>
      </c>
      <c r="I526" s="13" t="s">
        <v>5292</v>
      </c>
      <c r="J526" s="13" t="s">
        <v>5289</v>
      </c>
      <c r="K526" s="13" t="s">
        <v>5292</v>
      </c>
      <c r="L526" s="13" t="s">
        <v>3479</v>
      </c>
      <c r="M526" s="13"/>
      <c r="N526" s="13" t="n">
        <v>8439627602939</v>
      </c>
      <c r="O526" s="13"/>
      <c r="P526" s="13" t="s">
        <v>5297</v>
      </c>
      <c r="Q526" s="13" t="s">
        <v>5289</v>
      </c>
      <c r="R526" s="13" t="s">
        <v>5292</v>
      </c>
      <c r="S526" s="13" t="s">
        <v>5293</v>
      </c>
      <c r="T526" s="13" t="s">
        <v>3</v>
      </c>
      <c r="U526" s="13" t="s">
        <v>43</v>
      </c>
      <c r="V526" s="13" t="n">
        <f aca="false">IF(COUNTIF($B$2:B526,B526)=1,1,0)</f>
        <v>0</v>
      </c>
      <c r="W526" s="13" t="n">
        <f aca="false">IF(COUNTIFS($B$2:B526,B526,$T$2:T526,T526)=1,1,0)</f>
        <v>0</v>
      </c>
    </row>
    <row r="527" customFormat="false" ht="15" hidden="false" customHeight="false" outlineLevel="0" collapsed="false">
      <c r="A527" s="13" t="s">
        <v>5496</v>
      </c>
      <c r="B527" s="13" t="s">
        <v>2169</v>
      </c>
      <c r="C527" s="13" t="n">
        <v>1400</v>
      </c>
      <c r="D527" s="13" t="n">
        <v>20</v>
      </c>
      <c r="E527" s="13" t="n">
        <v>61.9790909090909</v>
      </c>
      <c r="F527" s="13" t="s">
        <v>5288</v>
      </c>
      <c r="G527" s="13" t="s">
        <v>5289</v>
      </c>
      <c r="H527" s="13" t="s">
        <v>5289</v>
      </c>
      <c r="I527" s="13" t="s">
        <v>5292</v>
      </c>
      <c r="J527" s="13" t="s">
        <v>5289</v>
      </c>
      <c r="K527" s="13" t="s">
        <v>5289</v>
      </c>
      <c r="L527" s="13" t="s">
        <v>5497</v>
      </c>
      <c r="M527" s="13"/>
      <c r="N527" s="13"/>
      <c r="O527" s="13"/>
      <c r="P527" s="13" t="s">
        <v>5291</v>
      </c>
      <c r="Q527" s="13" t="s">
        <v>5289</v>
      </c>
      <c r="R527" s="13" t="s">
        <v>5292</v>
      </c>
      <c r="S527" s="13" t="s">
        <v>5293</v>
      </c>
      <c r="T527" s="13" t="s">
        <v>3</v>
      </c>
      <c r="U527" s="13" t="s">
        <v>85</v>
      </c>
      <c r="V527" s="13" t="n">
        <f aca="false">IF(COUNTIF($B$2:B527,B527)=1,1,0)</f>
        <v>0</v>
      </c>
      <c r="W527" s="13" t="n">
        <f aca="false">IF(COUNTIFS($B$2:B527,B527,$T$2:T527,T527)=1,1,0)</f>
        <v>0</v>
      </c>
    </row>
    <row r="528" customFormat="false" ht="15" hidden="false" customHeight="false" outlineLevel="0" collapsed="false">
      <c r="A528" s="13" t="s">
        <v>1076</v>
      </c>
      <c r="B528" s="13" t="s">
        <v>165</v>
      </c>
      <c r="C528" s="13" t="n">
        <v>1400</v>
      </c>
      <c r="D528" s="13" t="n">
        <v>5</v>
      </c>
      <c r="E528" s="13" t="n">
        <v>169.99</v>
      </c>
      <c r="F528" s="13" t="s">
        <v>5288</v>
      </c>
      <c r="G528" s="13" t="s">
        <v>5289</v>
      </c>
      <c r="H528" s="13" t="s">
        <v>5289</v>
      </c>
      <c r="I528" s="13" t="s">
        <v>5289</v>
      </c>
      <c r="J528" s="13" t="s">
        <v>5289</v>
      </c>
      <c r="K528" s="13" t="s">
        <v>5292</v>
      </c>
      <c r="L528" s="13" t="s">
        <v>4841</v>
      </c>
      <c r="M528" s="13"/>
      <c r="N528" s="13"/>
      <c r="O528" s="13"/>
      <c r="P528" s="13" t="s">
        <v>5291</v>
      </c>
      <c r="Q528" s="13" t="s">
        <v>5289</v>
      </c>
      <c r="R528" s="13" t="s">
        <v>5292</v>
      </c>
      <c r="S528" s="13" t="s">
        <v>5293</v>
      </c>
      <c r="T528" s="13" t="s">
        <v>3</v>
      </c>
      <c r="U528" s="13" t="s">
        <v>43</v>
      </c>
      <c r="V528" s="13" t="n">
        <f aca="false">IF(COUNTIF($B$2:B528,B528)=1,1,0)</f>
        <v>0</v>
      </c>
      <c r="W528" s="13" t="n">
        <f aca="false">IF(COUNTIFS($B$2:B528,B528,$T$2:T528,T528)=1,1,0)</f>
        <v>0</v>
      </c>
    </row>
    <row r="529" customFormat="false" ht="15" hidden="false" customHeight="false" outlineLevel="0" collapsed="false">
      <c r="A529" s="13" t="s">
        <v>1077</v>
      </c>
      <c r="B529" s="13" t="s">
        <v>179</v>
      </c>
      <c r="C529" s="13" t="n">
        <v>1400</v>
      </c>
      <c r="D529" s="13" t="n">
        <v>5</v>
      </c>
      <c r="E529" s="13" t="n">
        <v>169</v>
      </c>
      <c r="F529" s="13" t="s">
        <v>5325</v>
      </c>
      <c r="G529" s="13" t="s">
        <v>5289</v>
      </c>
      <c r="H529" s="13" t="s">
        <v>5289</v>
      </c>
      <c r="I529" s="13" t="s">
        <v>5289</v>
      </c>
      <c r="J529" s="13" t="s">
        <v>5289</v>
      </c>
      <c r="K529" s="13" t="s">
        <v>5292</v>
      </c>
      <c r="L529" s="13" t="s">
        <v>3852</v>
      </c>
      <c r="M529" s="13"/>
      <c r="N529" s="13" t="n">
        <v>7908992000691</v>
      </c>
      <c r="O529" s="13"/>
      <c r="P529" s="13" t="s">
        <v>5297</v>
      </c>
      <c r="Q529" s="13" t="s">
        <v>5289</v>
      </c>
      <c r="R529" s="13" t="s">
        <v>5292</v>
      </c>
      <c r="S529" s="13" t="s">
        <v>5293</v>
      </c>
      <c r="T529" s="13" t="s">
        <v>3</v>
      </c>
      <c r="U529" s="13" t="s">
        <v>180</v>
      </c>
      <c r="V529" s="13" t="n">
        <f aca="false">IF(COUNTIF($B$2:B529,B529)=1,1,0)</f>
        <v>0</v>
      </c>
      <c r="W529" s="13" t="n">
        <f aca="false">IF(COUNTIFS($B$2:B529,B529,$T$2:T529,T529)=1,1,0)</f>
        <v>0</v>
      </c>
    </row>
    <row r="530" customFormat="false" ht="15" hidden="false" customHeight="false" outlineLevel="0" collapsed="false">
      <c r="A530" s="13" t="s">
        <v>5498</v>
      </c>
      <c r="B530" s="13" t="s">
        <v>2239</v>
      </c>
      <c r="C530" s="13" t="n">
        <v>1300</v>
      </c>
      <c r="D530" s="13" t="n">
        <v>5</v>
      </c>
      <c r="E530" s="13" t="n">
        <v>269.578</v>
      </c>
      <c r="F530" s="13" t="s">
        <v>5288</v>
      </c>
      <c r="G530" s="13" t="s">
        <v>5289</v>
      </c>
      <c r="H530" s="13" t="s">
        <v>5289</v>
      </c>
      <c r="I530" s="13" t="s">
        <v>5289</v>
      </c>
      <c r="J530" s="13" t="s">
        <v>5289</v>
      </c>
      <c r="K530" s="13" t="s">
        <v>5292</v>
      </c>
      <c r="L530" s="13" t="s">
        <v>5499</v>
      </c>
      <c r="M530" s="13"/>
      <c r="N530" s="13"/>
      <c r="O530" s="13"/>
      <c r="P530" s="13" t="s">
        <v>5291</v>
      </c>
      <c r="Q530" s="13" t="s">
        <v>5289</v>
      </c>
      <c r="R530" s="13" t="s">
        <v>5292</v>
      </c>
      <c r="S530" s="13" t="s">
        <v>5293</v>
      </c>
      <c r="T530" s="13" t="s">
        <v>3</v>
      </c>
      <c r="U530" s="13" t="s">
        <v>57</v>
      </c>
      <c r="V530" s="13" t="n">
        <f aca="false">IF(COUNTIF($B$2:B530,B530)=1,1,0)</f>
        <v>1</v>
      </c>
      <c r="W530" s="13" t="n">
        <f aca="false">IF(COUNTIFS($B$2:B530,B530,$T$2:T530,T530)=1,1,0)</f>
        <v>1</v>
      </c>
    </row>
    <row r="531" customFormat="false" ht="15" hidden="false" customHeight="false" outlineLevel="0" collapsed="false">
      <c r="A531" s="13" t="s">
        <v>3896</v>
      </c>
      <c r="B531" s="13" t="s">
        <v>2142</v>
      </c>
      <c r="C531" s="13" t="n">
        <v>1300</v>
      </c>
      <c r="D531" s="13" t="n">
        <v>30</v>
      </c>
      <c r="E531" s="13" t="n">
        <v>48.0128571428572</v>
      </c>
      <c r="F531" s="13" t="s">
        <v>5288</v>
      </c>
      <c r="G531" s="13" t="s">
        <v>5289</v>
      </c>
      <c r="H531" s="13" t="s">
        <v>5289</v>
      </c>
      <c r="I531" s="13" t="s">
        <v>5292</v>
      </c>
      <c r="J531" s="13" t="s">
        <v>5289</v>
      </c>
      <c r="K531" s="13" t="s">
        <v>5292</v>
      </c>
      <c r="L531" s="13" t="s">
        <v>5500</v>
      </c>
      <c r="M531" s="13"/>
      <c r="N531" s="13" t="n">
        <v>7908038600724</v>
      </c>
      <c r="O531" s="13"/>
      <c r="P531" s="13" t="s">
        <v>5291</v>
      </c>
      <c r="Q531" s="13" t="s">
        <v>5289</v>
      </c>
      <c r="R531" s="13" t="s">
        <v>5292</v>
      </c>
      <c r="S531" s="13" t="s">
        <v>5293</v>
      </c>
      <c r="T531" s="13" t="s">
        <v>3</v>
      </c>
      <c r="U531" s="13" t="s">
        <v>85</v>
      </c>
      <c r="V531" s="13" t="n">
        <f aca="false">IF(COUNTIF($B$2:B531,B531)=1,1,0)</f>
        <v>0</v>
      </c>
      <c r="W531" s="13" t="n">
        <f aca="false">IF(COUNTIFS($B$2:B531,B531,$T$2:T531,T531)=1,1,0)</f>
        <v>0</v>
      </c>
    </row>
    <row r="532" customFormat="false" ht="15" hidden="false" customHeight="false" outlineLevel="0" collapsed="false">
      <c r="A532" s="13" t="s">
        <v>3879</v>
      </c>
      <c r="B532" s="13" t="s">
        <v>2095</v>
      </c>
      <c r="C532" s="13" t="n">
        <v>1300</v>
      </c>
      <c r="D532" s="13" t="n">
        <v>10</v>
      </c>
      <c r="E532" s="13" t="n">
        <v>102.99</v>
      </c>
      <c r="F532" s="13" t="s">
        <v>5288</v>
      </c>
      <c r="G532" s="13" t="s">
        <v>5289</v>
      </c>
      <c r="H532" s="13" t="s">
        <v>5289</v>
      </c>
      <c r="I532" s="13" t="s">
        <v>5289</v>
      </c>
      <c r="J532" s="13" t="s">
        <v>5289</v>
      </c>
      <c r="K532" s="13" t="s">
        <v>5292</v>
      </c>
      <c r="L532" s="13" t="s">
        <v>5501</v>
      </c>
      <c r="M532" s="13"/>
      <c r="N532" s="13" t="n">
        <v>7898949730880</v>
      </c>
      <c r="O532" s="13"/>
      <c r="P532" s="13" t="s">
        <v>5291</v>
      </c>
      <c r="Q532" s="13" t="s">
        <v>5289</v>
      </c>
      <c r="R532" s="13" t="s">
        <v>5292</v>
      </c>
      <c r="S532" s="13" t="s">
        <v>5293</v>
      </c>
      <c r="T532" s="13" t="s">
        <v>3</v>
      </c>
      <c r="U532" s="13" t="s">
        <v>85</v>
      </c>
      <c r="V532" s="13" t="n">
        <f aca="false">IF(COUNTIF($B$2:B532,B532)=1,1,0)</f>
        <v>0</v>
      </c>
      <c r="W532" s="13" t="n">
        <f aca="false">IF(COUNTIFS($B$2:B532,B532,$T$2:T532,T532)=1,1,0)</f>
        <v>0</v>
      </c>
    </row>
    <row r="533" customFormat="false" ht="15" hidden="false" customHeight="false" outlineLevel="0" collapsed="false">
      <c r="A533" s="13" t="s">
        <v>3901</v>
      </c>
      <c r="B533" s="13" t="s">
        <v>2096</v>
      </c>
      <c r="C533" s="13" t="n">
        <v>1300</v>
      </c>
      <c r="D533" s="13" t="n">
        <v>20</v>
      </c>
      <c r="E533" s="13" t="n">
        <v>78</v>
      </c>
      <c r="F533" s="13" t="s">
        <v>5288</v>
      </c>
      <c r="G533" s="13" t="s">
        <v>5289</v>
      </c>
      <c r="H533" s="13" t="s">
        <v>5289</v>
      </c>
      <c r="I533" s="13" t="s">
        <v>5292</v>
      </c>
      <c r="J533" s="13" t="s">
        <v>5289</v>
      </c>
      <c r="K533" s="13" t="s">
        <v>5292</v>
      </c>
      <c r="L533" s="13" t="s">
        <v>5502</v>
      </c>
      <c r="M533" s="13"/>
      <c r="N533" s="13" t="n">
        <v>7891033940516</v>
      </c>
      <c r="O533" s="13"/>
      <c r="P533" s="13" t="s">
        <v>5297</v>
      </c>
      <c r="Q533" s="13" t="s">
        <v>5289</v>
      </c>
      <c r="R533" s="13" t="s">
        <v>5292</v>
      </c>
      <c r="S533" s="13" t="s">
        <v>5293</v>
      </c>
      <c r="T533" s="13" t="s">
        <v>3</v>
      </c>
      <c r="U533" s="13" t="s">
        <v>43</v>
      </c>
      <c r="V533" s="13" t="n">
        <f aca="false">IF(COUNTIF($B$2:B533,B533)=1,1,0)</f>
        <v>0</v>
      </c>
      <c r="W533" s="13" t="n">
        <f aca="false">IF(COUNTIFS($B$2:B533,B533,$T$2:T533,T533)=1,1,0)</f>
        <v>0</v>
      </c>
    </row>
    <row r="534" customFormat="false" ht="15" hidden="false" customHeight="false" outlineLevel="0" collapsed="false">
      <c r="A534" s="13" t="s">
        <v>3877</v>
      </c>
      <c r="B534" s="13" t="s">
        <v>2238</v>
      </c>
      <c r="C534" s="13" t="n">
        <v>1300</v>
      </c>
      <c r="D534" s="13" t="n">
        <v>2</v>
      </c>
      <c r="E534" s="13" t="n">
        <v>331.2825</v>
      </c>
      <c r="F534" s="13" t="s">
        <v>5288</v>
      </c>
      <c r="G534" s="13" t="s">
        <v>5289</v>
      </c>
      <c r="H534" s="13" t="s">
        <v>5289</v>
      </c>
      <c r="I534" s="13" t="s">
        <v>5289</v>
      </c>
      <c r="J534" s="13" t="s">
        <v>5289</v>
      </c>
      <c r="K534" s="13" t="s">
        <v>5289</v>
      </c>
      <c r="L534" s="13" t="s">
        <v>5503</v>
      </c>
      <c r="M534" s="13"/>
      <c r="N534" s="13" t="n">
        <v>17896098810498</v>
      </c>
      <c r="O534" s="13"/>
      <c r="P534" s="13" t="s">
        <v>5297</v>
      </c>
      <c r="Q534" s="13" t="s">
        <v>5289</v>
      </c>
      <c r="R534" s="13" t="s">
        <v>5292</v>
      </c>
      <c r="S534" s="13" t="s">
        <v>5293</v>
      </c>
      <c r="T534" s="13" t="s">
        <v>3</v>
      </c>
      <c r="U534" s="13" t="s">
        <v>85</v>
      </c>
      <c r="V534" s="13" t="n">
        <f aca="false">IF(COUNTIF($B$2:B534,B534)=1,1,0)</f>
        <v>1</v>
      </c>
      <c r="W534" s="13" t="n">
        <f aca="false">IF(COUNTIFS($B$2:B534,B534,$T$2:T534,T534)=1,1,0)</f>
        <v>1</v>
      </c>
    </row>
    <row r="535" customFormat="false" ht="15" hidden="false" customHeight="false" outlineLevel="0" collapsed="false">
      <c r="A535" s="13" t="s">
        <v>3194</v>
      </c>
      <c r="B535" s="13" t="s">
        <v>2135</v>
      </c>
      <c r="C535" s="13" t="n">
        <v>1300</v>
      </c>
      <c r="D535" s="13" t="n">
        <v>5</v>
      </c>
      <c r="E535" s="13" t="n">
        <v>145.531111111111</v>
      </c>
      <c r="F535" s="13" t="s">
        <v>5288</v>
      </c>
      <c r="G535" s="13" t="s">
        <v>5289</v>
      </c>
      <c r="H535" s="13" t="s">
        <v>5289</v>
      </c>
      <c r="I535" s="13" t="s">
        <v>5289</v>
      </c>
      <c r="J535" s="13" t="s">
        <v>5289</v>
      </c>
      <c r="K535" s="13" t="s">
        <v>5289</v>
      </c>
      <c r="L535" s="13" t="s">
        <v>3193</v>
      </c>
      <c r="M535" s="13"/>
      <c r="N535" s="13" t="n">
        <v>3760040114217</v>
      </c>
      <c r="O535" s="13"/>
      <c r="P535" s="13" t="s">
        <v>5297</v>
      </c>
      <c r="Q535" s="13" t="s">
        <v>5289</v>
      </c>
      <c r="R535" s="13" t="s">
        <v>5292</v>
      </c>
      <c r="S535" s="13" t="s">
        <v>5293</v>
      </c>
      <c r="T535" s="13" t="s">
        <v>3</v>
      </c>
      <c r="U535" s="13" t="s">
        <v>43</v>
      </c>
      <c r="V535" s="13" t="n">
        <f aca="false">IF(COUNTIF($B$2:B535,B535)=1,1,0)</f>
        <v>0</v>
      </c>
      <c r="W535" s="13" t="n">
        <f aca="false">IF(COUNTIFS($B$2:B535,B535,$T$2:T535,T535)=1,1,0)</f>
        <v>0</v>
      </c>
    </row>
    <row r="536" customFormat="false" ht="15" hidden="false" customHeight="false" outlineLevel="0" collapsed="false">
      <c r="A536" s="13" t="s">
        <v>200</v>
      </c>
      <c r="B536" s="13" t="s">
        <v>65</v>
      </c>
      <c r="C536" s="13" t="n">
        <v>1300</v>
      </c>
      <c r="D536" s="13" t="n">
        <v>2</v>
      </c>
      <c r="E536" s="13" t="n">
        <v>433.56</v>
      </c>
      <c r="F536" s="13" t="s">
        <v>5288</v>
      </c>
      <c r="G536" s="13" t="s">
        <v>5289</v>
      </c>
      <c r="H536" s="13" t="s">
        <v>5289</v>
      </c>
      <c r="I536" s="13" t="s">
        <v>5289</v>
      </c>
      <c r="J536" s="13" t="s">
        <v>5289</v>
      </c>
      <c r="K536" s="13" t="s">
        <v>5289</v>
      </c>
      <c r="L536" s="13" t="s">
        <v>3233</v>
      </c>
      <c r="M536" s="13"/>
      <c r="N536" s="13" t="n">
        <v>4710122008100</v>
      </c>
      <c r="O536" s="13"/>
      <c r="P536" s="13" t="s">
        <v>5291</v>
      </c>
      <c r="Q536" s="13" t="s">
        <v>5289</v>
      </c>
      <c r="R536" s="13" t="s">
        <v>5292</v>
      </c>
      <c r="S536" s="13" t="s">
        <v>5293</v>
      </c>
      <c r="T536" s="13" t="s">
        <v>3</v>
      </c>
      <c r="U536" s="13" t="s">
        <v>66</v>
      </c>
      <c r="V536" s="13" t="n">
        <f aca="false">IF(COUNTIF($B$2:B536,B536)=1,1,0)</f>
        <v>0</v>
      </c>
      <c r="W536" s="13" t="n">
        <f aca="false">IF(COUNTIFS($B$2:B536,B536,$T$2:T536,T536)=1,1,0)</f>
        <v>0</v>
      </c>
    </row>
    <row r="537" customFormat="false" ht="15" hidden="false" customHeight="false" outlineLevel="0" collapsed="false">
      <c r="A537" s="13" t="s">
        <v>1122</v>
      </c>
      <c r="B537" s="13" t="s">
        <v>65</v>
      </c>
      <c r="C537" s="13" t="n">
        <v>1300</v>
      </c>
      <c r="D537" s="13" t="n">
        <v>5</v>
      </c>
      <c r="E537" s="13" t="n">
        <v>184.804285714286</v>
      </c>
      <c r="F537" s="13" t="s">
        <v>5288</v>
      </c>
      <c r="G537" s="13" t="s">
        <v>5289</v>
      </c>
      <c r="H537" s="13" t="s">
        <v>5289</v>
      </c>
      <c r="I537" s="13" t="s">
        <v>5289</v>
      </c>
      <c r="J537" s="13" t="s">
        <v>5289</v>
      </c>
      <c r="K537" s="13" t="s">
        <v>5292</v>
      </c>
      <c r="L537" s="13" t="s">
        <v>3906</v>
      </c>
      <c r="M537" s="13"/>
      <c r="N537" s="13" t="n">
        <v>4710218001091</v>
      </c>
      <c r="O537" s="13"/>
      <c r="P537" s="13" t="s">
        <v>5291</v>
      </c>
      <c r="Q537" s="13" t="s">
        <v>5289</v>
      </c>
      <c r="R537" s="13" t="s">
        <v>5292</v>
      </c>
      <c r="S537" s="13" t="s">
        <v>5293</v>
      </c>
      <c r="T537" s="13" t="s">
        <v>3</v>
      </c>
      <c r="U537" s="13" t="s">
        <v>66</v>
      </c>
      <c r="V537" s="13" t="n">
        <f aca="false">IF(COUNTIF($B$2:B537,B537)=1,1,0)</f>
        <v>0</v>
      </c>
      <c r="W537" s="13" t="n">
        <f aca="false">IF(COUNTIFS($B$2:B537,B537,$T$2:T537,T537)=1,1,0)</f>
        <v>0</v>
      </c>
    </row>
    <row r="538" customFormat="false" ht="15" hidden="false" customHeight="false" outlineLevel="0" collapsed="false">
      <c r="A538" s="13" t="s">
        <v>1124</v>
      </c>
      <c r="B538" s="13" t="s">
        <v>131</v>
      </c>
      <c r="C538" s="13" t="n">
        <v>1300</v>
      </c>
      <c r="D538" s="13" t="n">
        <v>5</v>
      </c>
      <c r="E538" s="13" t="n">
        <v>129.191</v>
      </c>
      <c r="F538" s="13" t="s">
        <v>5325</v>
      </c>
      <c r="G538" s="13" t="s">
        <v>5289</v>
      </c>
      <c r="H538" s="13" t="s">
        <v>5289</v>
      </c>
      <c r="I538" s="13" t="s">
        <v>5289</v>
      </c>
      <c r="J538" s="13" t="s">
        <v>5289</v>
      </c>
      <c r="K538" s="13" t="s">
        <v>5292</v>
      </c>
      <c r="L538" s="13" t="s">
        <v>3885</v>
      </c>
      <c r="M538" s="13"/>
      <c r="N538" s="13" t="n">
        <v>7908137906437</v>
      </c>
      <c r="O538" s="13"/>
      <c r="P538" s="13" t="s">
        <v>5291</v>
      </c>
      <c r="Q538" s="13" t="s">
        <v>5289</v>
      </c>
      <c r="R538" s="13" t="s">
        <v>5292</v>
      </c>
      <c r="S538" s="13" t="s">
        <v>5293</v>
      </c>
      <c r="T538" s="13" t="s">
        <v>3</v>
      </c>
      <c r="U538" s="13" t="s">
        <v>66</v>
      </c>
      <c r="V538" s="13" t="n">
        <f aca="false">IF(COUNTIF($B$2:B538,B538)=1,1,0)</f>
        <v>0</v>
      </c>
      <c r="W538" s="13" t="n">
        <f aca="false">IF(COUNTIFS($B$2:B538,B538,$T$2:T538,T538)=1,1,0)</f>
        <v>0</v>
      </c>
    </row>
    <row r="539" customFormat="false" ht="15" hidden="false" customHeight="false" outlineLevel="0" collapsed="false">
      <c r="A539" s="13" t="s">
        <v>1123</v>
      </c>
      <c r="B539" s="13" t="s">
        <v>114</v>
      </c>
      <c r="C539" s="13" t="n">
        <v>1300</v>
      </c>
      <c r="D539" s="13" t="n">
        <v>5</v>
      </c>
      <c r="E539" s="13" t="n">
        <v>128.6</v>
      </c>
      <c r="F539" s="13" t="s">
        <v>5325</v>
      </c>
      <c r="G539" s="13" t="s">
        <v>5289</v>
      </c>
      <c r="H539" s="13" t="s">
        <v>5289</v>
      </c>
      <c r="I539" s="13" t="s">
        <v>5289</v>
      </c>
      <c r="J539" s="13" t="s">
        <v>5289</v>
      </c>
      <c r="K539" s="13" t="s">
        <v>5292</v>
      </c>
      <c r="L539" s="13" t="s">
        <v>5504</v>
      </c>
      <c r="M539" s="13"/>
      <c r="N539" s="13" t="n">
        <v>4975759001713</v>
      </c>
      <c r="O539" s="13" t="s">
        <v>5505</v>
      </c>
      <c r="P539" s="13" t="s">
        <v>5297</v>
      </c>
      <c r="Q539" s="13" t="s">
        <v>5289</v>
      </c>
      <c r="R539" s="13" t="s">
        <v>5292</v>
      </c>
      <c r="S539" s="13" t="s">
        <v>5293</v>
      </c>
      <c r="T539" s="13" t="s">
        <v>3</v>
      </c>
      <c r="U539" s="13" t="s">
        <v>85</v>
      </c>
      <c r="V539" s="13" t="n">
        <f aca="false">IF(COUNTIF($B$2:B539,B539)=1,1,0)</f>
        <v>0</v>
      </c>
      <c r="W539" s="13" t="n">
        <f aca="false">IF(COUNTIFS($B$2:B539,B539,$T$2:T539,T539)=1,1,0)</f>
        <v>0</v>
      </c>
    </row>
    <row r="540" customFormat="false" ht="15" hidden="false" customHeight="false" outlineLevel="0" collapsed="false">
      <c r="A540" s="13" t="s">
        <v>3888</v>
      </c>
      <c r="B540" s="13" t="s">
        <v>2115</v>
      </c>
      <c r="C540" s="13" t="n">
        <v>1300</v>
      </c>
      <c r="D540" s="13" t="n">
        <v>20</v>
      </c>
      <c r="E540" s="13" t="n">
        <v>84.5393333333333</v>
      </c>
      <c r="F540" s="13" t="s">
        <v>5288</v>
      </c>
      <c r="G540" s="13" t="s">
        <v>5289</v>
      </c>
      <c r="H540" s="13" t="s">
        <v>5289</v>
      </c>
      <c r="I540" s="13" t="s">
        <v>5292</v>
      </c>
      <c r="J540" s="13" t="s">
        <v>5289</v>
      </c>
      <c r="K540" s="13" t="s">
        <v>5292</v>
      </c>
      <c r="L540" s="13" t="s">
        <v>5506</v>
      </c>
      <c r="M540" s="13"/>
      <c r="N540" s="13" t="n">
        <v>7898684483072</v>
      </c>
      <c r="O540" s="13"/>
      <c r="P540" s="13" t="s">
        <v>5291</v>
      </c>
      <c r="Q540" s="13" t="s">
        <v>5289</v>
      </c>
      <c r="R540" s="13" t="s">
        <v>5292</v>
      </c>
      <c r="S540" s="13" t="s">
        <v>5293</v>
      </c>
      <c r="T540" s="13" t="s">
        <v>3</v>
      </c>
      <c r="U540" s="13" t="s">
        <v>140</v>
      </c>
      <c r="V540" s="13" t="n">
        <f aca="false">IF(COUNTIF($B$2:B540,B540)=1,1,0)</f>
        <v>0</v>
      </c>
      <c r="W540" s="13" t="n">
        <f aca="false">IF(COUNTIFS($B$2:B540,B540,$T$2:T540,T540)=1,1,0)</f>
        <v>0</v>
      </c>
    </row>
    <row r="541" customFormat="false" ht="15" hidden="false" customHeight="false" outlineLevel="0" collapsed="false">
      <c r="A541" s="13" t="s">
        <v>3874</v>
      </c>
      <c r="B541" s="13" t="s">
        <v>2237</v>
      </c>
      <c r="C541" s="13" t="n">
        <v>1300</v>
      </c>
      <c r="D541" s="13" t="n">
        <v>20</v>
      </c>
      <c r="E541" s="13" t="n">
        <v>50.1976</v>
      </c>
      <c r="F541" s="13" t="s">
        <v>5288</v>
      </c>
      <c r="G541" s="13" t="s">
        <v>5289</v>
      </c>
      <c r="H541" s="13" t="s">
        <v>5289</v>
      </c>
      <c r="I541" s="13" t="s">
        <v>5292</v>
      </c>
      <c r="J541" s="13" t="s">
        <v>5289</v>
      </c>
      <c r="K541" s="13" t="s">
        <v>5292</v>
      </c>
      <c r="L541" s="13" t="s">
        <v>5507</v>
      </c>
      <c r="M541" s="13"/>
      <c r="N541" s="13" t="n">
        <v>7898946433784</v>
      </c>
      <c r="O541" s="13"/>
      <c r="P541" s="13" t="s">
        <v>5297</v>
      </c>
      <c r="Q541" s="13" t="s">
        <v>5289</v>
      </c>
      <c r="R541" s="13" t="s">
        <v>5292</v>
      </c>
      <c r="S541" s="13" t="s">
        <v>5293</v>
      </c>
      <c r="T541" s="13" t="s">
        <v>3</v>
      </c>
      <c r="U541" s="13" t="s">
        <v>140</v>
      </c>
      <c r="V541" s="13" t="n">
        <f aca="false">IF(COUNTIF($B$2:B541,B541)=1,1,0)</f>
        <v>1</v>
      </c>
      <c r="W541" s="13" t="n">
        <f aca="false">IF(COUNTIFS($B$2:B541,B541,$T$2:T541,T541)=1,1,0)</f>
        <v>1</v>
      </c>
    </row>
    <row r="542" customFormat="false" ht="15" hidden="false" customHeight="false" outlineLevel="0" collapsed="false">
      <c r="A542" s="13" t="s">
        <v>3946</v>
      </c>
      <c r="B542" s="13" t="s">
        <v>2157</v>
      </c>
      <c r="C542" s="13" t="n">
        <v>1200</v>
      </c>
      <c r="D542" s="13" t="n">
        <v>2</v>
      </c>
      <c r="E542" s="13" t="n">
        <v>309.99</v>
      </c>
      <c r="F542" s="13" t="s">
        <v>5288</v>
      </c>
      <c r="G542" s="13" t="s">
        <v>5289</v>
      </c>
      <c r="H542" s="13" t="s">
        <v>5289</v>
      </c>
      <c r="I542" s="13" t="s">
        <v>5289</v>
      </c>
      <c r="J542" s="13" t="s">
        <v>5289</v>
      </c>
      <c r="K542" s="13" t="s">
        <v>5292</v>
      </c>
      <c r="L542" s="13" t="s">
        <v>3945</v>
      </c>
      <c r="M542" s="13"/>
      <c r="N542" s="13" t="n">
        <v>7891033820603</v>
      </c>
      <c r="O542" s="13"/>
      <c r="P542" s="13" t="s">
        <v>5297</v>
      </c>
      <c r="Q542" s="13" t="s">
        <v>5289</v>
      </c>
      <c r="R542" s="13" t="s">
        <v>5292</v>
      </c>
      <c r="S542" s="13" t="s">
        <v>5293</v>
      </c>
      <c r="T542" s="13" t="s">
        <v>3</v>
      </c>
      <c r="U542" s="13" t="s">
        <v>43</v>
      </c>
      <c r="V542" s="13" t="n">
        <f aca="false">IF(COUNTIF($B$2:B542,B542)=1,1,0)</f>
        <v>0</v>
      </c>
      <c r="W542" s="13" t="n">
        <f aca="false">IF(COUNTIFS($B$2:B542,B542,$T$2:T542,T542)=1,1,0)</f>
        <v>0</v>
      </c>
    </row>
    <row r="543" customFormat="false" ht="15" hidden="false" customHeight="false" outlineLevel="0" collapsed="false">
      <c r="A543" s="13" t="s">
        <v>3542</v>
      </c>
      <c r="B543" s="13" t="s">
        <v>2211</v>
      </c>
      <c r="C543" s="13" t="n">
        <v>1200</v>
      </c>
      <c r="D543" s="13" t="n">
        <v>5</v>
      </c>
      <c r="E543" s="13" t="n">
        <v>122.786</v>
      </c>
      <c r="F543" s="13" t="s">
        <v>5288</v>
      </c>
      <c r="G543" s="13" t="s">
        <v>5289</v>
      </c>
      <c r="H543" s="13" t="s">
        <v>5289</v>
      </c>
      <c r="I543" s="13" t="s">
        <v>5289</v>
      </c>
      <c r="J543" s="13" t="s">
        <v>5289</v>
      </c>
      <c r="K543" s="13" t="s">
        <v>5292</v>
      </c>
      <c r="L543" s="13" t="s">
        <v>3541</v>
      </c>
      <c r="M543" s="13"/>
      <c r="N543" s="13" t="n">
        <v>6917189026063</v>
      </c>
      <c r="O543" s="13"/>
      <c r="P543" s="13" t="s">
        <v>5291</v>
      </c>
      <c r="Q543" s="13" t="s">
        <v>5289</v>
      </c>
      <c r="R543" s="13" t="s">
        <v>5292</v>
      </c>
      <c r="S543" s="13" t="s">
        <v>5293</v>
      </c>
      <c r="T543" s="13" t="s">
        <v>3</v>
      </c>
      <c r="U543" s="13" t="s">
        <v>85</v>
      </c>
      <c r="V543" s="13" t="n">
        <f aca="false">IF(COUNTIF($B$2:B543,B543)=1,1,0)</f>
        <v>1</v>
      </c>
      <c r="W543" s="13" t="n">
        <f aca="false">IF(COUNTIFS($B$2:B543,B543,$T$2:T543,T543)=1,1,0)</f>
        <v>1</v>
      </c>
    </row>
    <row r="544" customFormat="false" ht="15" hidden="false" customHeight="false" outlineLevel="0" collapsed="false">
      <c r="A544" s="13" t="s">
        <v>3942</v>
      </c>
      <c r="B544" s="13" t="s">
        <v>2236</v>
      </c>
      <c r="C544" s="13" t="n">
        <v>1200</v>
      </c>
      <c r="D544" s="13" t="n">
        <v>2</v>
      </c>
      <c r="E544" s="13" t="n">
        <v>305.99</v>
      </c>
      <c r="F544" s="13" t="s">
        <v>5288</v>
      </c>
      <c r="G544" s="13" t="s">
        <v>5289</v>
      </c>
      <c r="H544" s="13" t="s">
        <v>5289</v>
      </c>
      <c r="I544" s="13" t="s">
        <v>5289</v>
      </c>
      <c r="J544" s="13" t="s">
        <v>5289</v>
      </c>
      <c r="K544" s="13" t="s">
        <v>5292</v>
      </c>
      <c r="L544" s="13" t="s">
        <v>3941</v>
      </c>
      <c r="M544" s="13"/>
      <c r="N544" s="13" t="n">
        <v>892456000518</v>
      </c>
      <c r="O544" s="13"/>
      <c r="P544" s="13" t="s">
        <v>5291</v>
      </c>
      <c r="Q544" s="13" t="s">
        <v>5289</v>
      </c>
      <c r="R544" s="13" t="s">
        <v>5292</v>
      </c>
      <c r="S544" s="13" t="s">
        <v>5293</v>
      </c>
      <c r="T544" s="13" t="s">
        <v>3</v>
      </c>
      <c r="U544" s="13" t="s">
        <v>43</v>
      </c>
      <c r="V544" s="13" t="n">
        <f aca="false">IF(COUNTIF($B$2:B544,B544)=1,1,0)</f>
        <v>1</v>
      </c>
      <c r="W544" s="13" t="n">
        <f aca="false">IF(COUNTIFS($B$2:B544,B544,$T$2:T544,T544)=1,1,0)</f>
        <v>1</v>
      </c>
    </row>
    <row r="545" customFormat="false" ht="15" hidden="false" customHeight="false" outlineLevel="0" collapsed="false">
      <c r="A545" s="13" t="s">
        <v>5508</v>
      </c>
      <c r="B545" s="13" t="s">
        <v>2099</v>
      </c>
      <c r="C545" s="13" t="n">
        <v>1200</v>
      </c>
      <c r="D545" s="13" t="n">
        <v>30</v>
      </c>
      <c r="E545" s="13" t="n">
        <v>45.1011111111111</v>
      </c>
      <c r="F545" s="13" t="s">
        <v>5288</v>
      </c>
      <c r="G545" s="13" t="s">
        <v>5289</v>
      </c>
      <c r="H545" s="13" t="s">
        <v>5289</v>
      </c>
      <c r="I545" s="13" t="s">
        <v>5292</v>
      </c>
      <c r="J545" s="13" t="s">
        <v>5289</v>
      </c>
      <c r="K545" s="13" t="s">
        <v>5292</v>
      </c>
      <c r="L545" s="13" t="s">
        <v>5509</v>
      </c>
      <c r="M545" s="13"/>
      <c r="N545" s="13"/>
      <c r="O545" s="13"/>
      <c r="P545" s="13" t="s">
        <v>5291</v>
      </c>
      <c r="Q545" s="13" t="s">
        <v>5289</v>
      </c>
      <c r="R545" s="13" t="s">
        <v>5292</v>
      </c>
      <c r="S545" s="13" t="s">
        <v>5293</v>
      </c>
      <c r="T545" s="13" t="s">
        <v>3</v>
      </c>
      <c r="U545" s="13" t="s">
        <v>43</v>
      </c>
      <c r="V545" s="13" t="n">
        <f aca="false">IF(COUNTIF($B$2:B545,B545)=1,1,0)</f>
        <v>0</v>
      </c>
      <c r="W545" s="13" t="n">
        <f aca="false">IF(COUNTIFS($B$2:B545,B545,$T$2:T545,T545)=1,1,0)</f>
        <v>0</v>
      </c>
    </row>
    <row r="546" customFormat="false" ht="15" hidden="false" customHeight="false" outlineLevel="0" collapsed="false">
      <c r="A546" s="13" t="s">
        <v>3950</v>
      </c>
      <c r="B546" s="13" t="s">
        <v>2227</v>
      </c>
      <c r="C546" s="13" t="n">
        <v>1200</v>
      </c>
      <c r="D546" s="13" t="n">
        <v>10</v>
      </c>
      <c r="E546" s="13" t="n">
        <v>109.99</v>
      </c>
      <c r="F546" s="13" t="s">
        <v>5325</v>
      </c>
      <c r="G546" s="13" t="s">
        <v>5289</v>
      </c>
      <c r="H546" s="13" t="s">
        <v>5289</v>
      </c>
      <c r="I546" s="13" t="s">
        <v>5289</v>
      </c>
      <c r="J546" s="13" t="s">
        <v>5289</v>
      </c>
      <c r="K546" s="13" t="s">
        <v>5292</v>
      </c>
      <c r="L546" s="13" t="s">
        <v>5510</v>
      </c>
      <c r="M546" s="13"/>
      <c r="N546" s="13" t="n">
        <v>7898555609235</v>
      </c>
      <c r="O546" s="13"/>
      <c r="P546" s="13" t="s">
        <v>5297</v>
      </c>
      <c r="Q546" s="13" t="s">
        <v>5289</v>
      </c>
      <c r="R546" s="13" t="s">
        <v>5292</v>
      </c>
      <c r="S546" s="13" t="s">
        <v>5293</v>
      </c>
      <c r="T546" s="13" t="s">
        <v>3</v>
      </c>
      <c r="U546" s="13" t="s">
        <v>183</v>
      </c>
      <c r="V546" s="13" t="n">
        <f aca="false">IF(COUNTIF($B$2:B546,B546)=1,1,0)</f>
        <v>1</v>
      </c>
      <c r="W546" s="13" t="n">
        <f aca="false">IF(COUNTIFS($B$2:B546,B546,$T$2:T546,T546)=1,1,0)</f>
        <v>1</v>
      </c>
    </row>
    <row r="547" customFormat="false" ht="15" hidden="false" customHeight="false" outlineLevel="0" collapsed="false">
      <c r="A547" s="13" t="s">
        <v>1146</v>
      </c>
      <c r="B547" s="13" t="s">
        <v>114</v>
      </c>
      <c r="C547" s="13" t="n">
        <v>1200</v>
      </c>
      <c r="D547" s="13" t="n">
        <v>10</v>
      </c>
      <c r="E547" s="13" t="n">
        <v>109.9</v>
      </c>
      <c r="F547" s="13" t="s">
        <v>5288</v>
      </c>
      <c r="G547" s="13" t="s">
        <v>5289</v>
      </c>
      <c r="H547" s="13" t="s">
        <v>5289</v>
      </c>
      <c r="I547" s="13" t="s">
        <v>5289</v>
      </c>
      <c r="J547" s="13" t="s">
        <v>5289</v>
      </c>
      <c r="K547" s="13" t="s">
        <v>5292</v>
      </c>
      <c r="L547" s="13" t="s">
        <v>3944</v>
      </c>
      <c r="M547" s="13"/>
      <c r="N547" s="13" t="n">
        <v>4975759105282</v>
      </c>
      <c r="O547" s="13"/>
      <c r="P547" s="13" t="s">
        <v>5291</v>
      </c>
      <c r="Q547" s="13" t="s">
        <v>5289</v>
      </c>
      <c r="R547" s="13" t="s">
        <v>5292</v>
      </c>
      <c r="S547" s="13" t="s">
        <v>5293</v>
      </c>
      <c r="T547" s="13" t="s">
        <v>3</v>
      </c>
      <c r="U547" s="13" t="s">
        <v>85</v>
      </c>
      <c r="V547" s="13" t="n">
        <f aca="false">IF(COUNTIF($B$2:B547,B547)=1,1,0)</f>
        <v>0</v>
      </c>
      <c r="W547" s="13" t="n">
        <f aca="false">IF(COUNTIFS($B$2:B547,B547,$T$2:T547,T547)=1,1,0)</f>
        <v>0</v>
      </c>
    </row>
    <row r="548" customFormat="false" ht="15" hidden="false" customHeight="false" outlineLevel="0" collapsed="false">
      <c r="A548" s="13" t="s">
        <v>3952</v>
      </c>
      <c r="B548" s="13" t="s">
        <v>2241</v>
      </c>
      <c r="C548" s="13" t="n">
        <v>1200</v>
      </c>
      <c r="D548" s="13" t="n">
        <v>5</v>
      </c>
      <c r="E548" s="13" t="n">
        <v>170.561428571429</v>
      </c>
      <c r="F548" s="13" t="s">
        <v>5288</v>
      </c>
      <c r="G548" s="13" t="s">
        <v>5289</v>
      </c>
      <c r="H548" s="13" t="s">
        <v>5292</v>
      </c>
      <c r="I548" s="13" t="s">
        <v>5289</v>
      </c>
      <c r="J548" s="13" t="s">
        <v>5289</v>
      </c>
      <c r="K548" s="13" t="s">
        <v>5289</v>
      </c>
      <c r="L548" s="13" t="s">
        <v>3951</v>
      </c>
      <c r="M548" s="13"/>
      <c r="N548" s="13" t="n">
        <v>7891133025625</v>
      </c>
      <c r="O548" s="13"/>
      <c r="P548" s="13" t="s">
        <v>5297</v>
      </c>
      <c r="Q548" s="13" t="s">
        <v>5289</v>
      </c>
      <c r="R548" s="13" t="s">
        <v>5292</v>
      </c>
      <c r="S548" s="13" t="s">
        <v>5293</v>
      </c>
      <c r="T548" s="13" t="s">
        <v>3</v>
      </c>
      <c r="U548" s="13" t="s">
        <v>85</v>
      </c>
      <c r="V548" s="13" t="n">
        <f aca="false">IF(COUNTIF($B$2:B548,B548)=1,1,0)</f>
        <v>1</v>
      </c>
      <c r="W548" s="13" t="n">
        <f aca="false">IF(COUNTIFS($B$2:B548,B548,$T$2:T548,T548)=1,1,0)</f>
        <v>1</v>
      </c>
    </row>
    <row r="549" customFormat="false" ht="15" hidden="false" customHeight="false" outlineLevel="0" collapsed="false">
      <c r="A549" s="13" t="s">
        <v>3929</v>
      </c>
      <c r="B549" s="13" t="s">
        <v>2096</v>
      </c>
      <c r="C549" s="13" t="n">
        <v>1200</v>
      </c>
      <c r="D549" s="13" t="n">
        <v>20</v>
      </c>
      <c r="E549" s="13" t="n">
        <v>73.99</v>
      </c>
      <c r="F549" s="13" t="s">
        <v>5288</v>
      </c>
      <c r="G549" s="13" t="s">
        <v>5289</v>
      </c>
      <c r="H549" s="13" t="s">
        <v>5289</v>
      </c>
      <c r="I549" s="13" t="s">
        <v>5292</v>
      </c>
      <c r="J549" s="13" t="s">
        <v>5289</v>
      </c>
      <c r="K549" s="13" t="s">
        <v>5292</v>
      </c>
      <c r="L549" s="13" t="s">
        <v>3928</v>
      </c>
      <c r="M549" s="13"/>
      <c r="N549" s="13" t="n">
        <v>7891033502714</v>
      </c>
      <c r="O549" s="13"/>
      <c r="P549" s="13" t="s">
        <v>5304</v>
      </c>
      <c r="Q549" s="13" t="s">
        <v>5289</v>
      </c>
      <c r="R549" s="13" t="s">
        <v>5292</v>
      </c>
      <c r="S549" s="13" t="s">
        <v>5293</v>
      </c>
      <c r="T549" s="13" t="s">
        <v>3</v>
      </c>
      <c r="U549" s="13" t="s">
        <v>43</v>
      </c>
      <c r="V549" s="13" t="n">
        <f aca="false">IF(COUNTIF($B$2:B549,B549)=1,1,0)</f>
        <v>0</v>
      </c>
      <c r="W549" s="13" t="n">
        <f aca="false">IF(COUNTIFS($B$2:B549,B549,$T$2:T549,T549)=1,1,0)</f>
        <v>0</v>
      </c>
    </row>
    <row r="550" customFormat="false" ht="15" hidden="false" customHeight="false" outlineLevel="0" collapsed="false">
      <c r="A550" s="13" t="s">
        <v>3932</v>
      </c>
      <c r="B550" s="13" t="s">
        <v>2206</v>
      </c>
      <c r="C550" s="13" t="n">
        <v>1200</v>
      </c>
      <c r="D550" s="13" t="n">
        <v>5</v>
      </c>
      <c r="E550" s="13" t="n">
        <v>117.92</v>
      </c>
      <c r="F550" s="13" t="s">
        <v>5325</v>
      </c>
      <c r="G550" s="13" t="s">
        <v>5289</v>
      </c>
      <c r="H550" s="13" t="s">
        <v>5289</v>
      </c>
      <c r="I550" s="13" t="s">
        <v>5289</v>
      </c>
      <c r="J550" s="13" t="s">
        <v>5289</v>
      </c>
      <c r="K550" s="13" t="s">
        <v>5289</v>
      </c>
      <c r="L550" s="13" t="s">
        <v>3931</v>
      </c>
      <c r="M550" s="13"/>
      <c r="N550" s="13" t="n">
        <v>3701171701396</v>
      </c>
      <c r="O550" s="13"/>
      <c r="P550" s="13" t="s">
        <v>5291</v>
      </c>
      <c r="Q550" s="13" t="s">
        <v>5289</v>
      </c>
      <c r="R550" s="13" t="s">
        <v>5292</v>
      </c>
      <c r="S550" s="13" t="s">
        <v>5293</v>
      </c>
      <c r="T550" s="13" t="s">
        <v>3</v>
      </c>
      <c r="U550" s="13" t="s">
        <v>85</v>
      </c>
      <c r="V550" s="13" t="n">
        <f aca="false">IF(COUNTIF($B$2:B550,B550)=1,1,0)</f>
        <v>1</v>
      </c>
      <c r="W550" s="13" t="n">
        <f aca="false">IF(COUNTIFS($B$2:B550,B550,$T$2:T550,T550)=1,1,0)</f>
        <v>1</v>
      </c>
    </row>
    <row r="551" customFormat="false" ht="15" hidden="false" customHeight="false" outlineLevel="0" collapsed="false">
      <c r="A551" s="13" t="s">
        <v>1144</v>
      </c>
      <c r="B551" s="13" t="s">
        <v>74</v>
      </c>
      <c r="C551" s="13" t="n">
        <v>1200</v>
      </c>
      <c r="D551" s="13" t="n">
        <v>5</v>
      </c>
      <c r="E551" s="13" t="n">
        <v>130.083333333333</v>
      </c>
      <c r="F551" s="13" t="s">
        <v>5288</v>
      </c>
      <c r="G551" s="13" t="s">
        <v>5289</v>
      </c>
      <c r="H551" s="13" t="s">
        <v>5289</v>
      </c>
      <c r="I551" s="13" t="s">
        <v>5289</v>
      </c>
      <c r="J551" s="13" t="s">
        <v>5289</v>
      </c>
      <c r="K551" s="13" t="s">
        <v>5289</v>
      </c>
      <c r="L551" s="13" t="s">
        <v>5511</v>
      </c>
      <c r="M551" s="13"/>
      <c r="N551" s="13"/>
      <c r="O551" s="13"/>
      <c r="P551" s="13" t="s">
        <v>5297</v>
      </c>
      <c r="Q551" s="13" t="s">
        <v>5289</v>
      </c>
      <c r="R551" s="13" t="s">
        <v>5292</v>
      </c>
      <c r="S551" s="13" t="s">
        <v>5293</v>
      </c>
      <c r="T551" s="13" t="s">
        <v>3</v>
      </c>
      <c r="U551" s="13" t="s">
        <v>43</v>
      </c>
      <c r="V551" s="13" t="n">
        <f aca="false">IF(COUNTIF($B$2:B551,B551)=1,1,0)</f>
        <v>0</v>
      </c>
      <c r="W551" s="13" t="n">
        <f aca="false">IF(COUNTIFS($B$2:B551,B551,$T$2:T551,T551)=1,1,0)</f>
        <v>0</v>
      </c>
    </row>
    <row r="552" customFormat="false" ht="15" hidden="false" customHeight="false" outlineLevel="0" collapsed="false">
      <c r="A552" s="13" t="s">
        <v>1145</v>
      </c>
      <c r="B552" s="13" t="s">
        <v>179</v>
      </c>
      <c r="C552" s="13" t="n">
        <v>1200</v>
      </c>
      <c r="D552" s="13" t="n">
        <v>20</v>
      </c>
      <c r="E552" s="13" t="n">
        <v>78</v>
      </c>
      <c r="F552" s="13" t="s">
        <v>5325</v>
      </c>
      <c r="G552" s="13" t="s">
        <v>5289</v>
      </c>
      <c r="H552" s="13" t="s">
        <v>5289</v>
      </c>
      <c r="I552" s="13" t="s">
        <v>5292</v>
      </c>
      <c r="J552" s="13" t="s">
        <v>5289</v>
      </c>
      <c r="K552" s="13" t="s">
        <v>5292</v>
      </c>
      <c r="L552" s="13" t="s">
        <v>3933</v>
      </c>
      <c r="M552" s="13"/>
      <c r="N552" s="13" t="n">
        <v>7908005388747</v>
      </c>
      <c r="O552" s="13"/>
      <c r="P552" s="13" t="s">
        <v>5291</v>
      </c>
      <c r="Q552" s="13" t="s">
        <v>5289</v>
      </c>
      <c r="R552" s="13" t="s">
        <v>5292</v>
      </c>
      <c r="S552" s="13" t="s">
        <v>5293</v>
      </c>
      <c r="T552" s="13" t="s">
        <v>3</v>
      </c>
      <c r="U552" s="13" t="s">
        <v>85</v>
      </c>
      <c r="V552" s="13" t="n">
        <f aca="false">IF(COUNTIF($B$2:B552,B552)=1,1,0)</f>
        <v>0</v>
      </c>
      <c r="W552" s="13" t="n">
        <f aca="false">IF(COUNTIFS($B$2:B552,B552,$T$2:T552,T552)=1,1,0)</f>
        <v>0</v>
      </c>
    </row>
    <row r="553" customFormat="false" ht="15" hidden="false" customHeight="false" outlineLevel="0" collapsed="false">
      <c r="A553" s="13" t="s">
        <v>1206</v>
      </c>
      <c r="B553" s="13" t="s">
        <v>179</v>
      </c>
      <c r="C553" s="13" t="n">
        <v>1100</v>
      </c>
      <c r="D553" s="13" t="n">
        <v>5</v>
      </c>
      <c r="E553" s="13" t="n">
        <v>229</v>
      </c>
      <c r="F553" s="13" t="s">
        <v>5325</v>
      </c>
      <c r="G553" s="13" t="s">
        <v>5289</v>
      </c>
      <c r="H553" s="13" t="s">
        <v>5289</v>
      </c>
      <c r="I553" s="13" t="s">
        <v>5289</v>
      </c>
      <c r="J553" s="13" t="s">
        <v>5289</v>
      </c>
      <c r="K553" s="13" t="s">
        <v>5292</v>
      </c>
      <c r="L553" s="13" t="s">
        <v>3967</v>
      </c>
      <c r="M553" s="13"/>
      <c r="N553" s="13" t="n">
        <v>7908992003432</v>
      </c>
      <c r="O553" s="13"/>
      <c r="P553" s="13" t="s">
        <v>5291</v>
      </c>
      <c r="Q553" s="13" t="s">
        <v>5289</v>
      </c>
      <c r="R553" s="13" t="s">
        <v>5292</v>
      </c>
      <c r="S553" s="13" t="s">
        <v>5293</v>
      </c>
      <c r="T553" s="13" t="s">
        <v>3</v>
      </c>
      <c r="U553" s="13" t="s">
        <v>180</v>
      </c>
      <c r="V553" s="13" t="n">
        <f aca="false">IF(COUNTIF($B$2:B553,B553)=1,1,0)</f>
        <v>0</v>
      </c>
      <c r="W553" s="13" t="n">
        <f aca="false">IF(COUNTIFS($B$2:B553,B553,$T$2:T553,T553)=1,1,0)</f>
        <v>0</v>
      </c>
    </row>
    <row r="554" customFormat="false" ht="15" hidden="false" customHeight="false" outlineLevel="0" collapsed="false">
      <c r="A554" s="13" t="s">
        <v>4013</v>
      </c>
      <c r="B554" s="13" t="s">
        <v>2221</v>
      </c>
      <c r="C554" s="13" t="n">
        <v>1100</v>
      </c>
      <c r="D554" s="13" t="n">
        <v>2</v>
      </c>
      <c r="E554" s="13" t="n">
        <v>379.99</v>
      </c>
      <c r="F554" s="13" t="s">
        <v>5288</v>
      </c>
      <c r="G554" s="13" t="s">
        <v>5289</v>
      </c>
      <c r="H554" s="13" t="s">
        <v>5289</v>
      </c>
      <c r="I554" s="13" t="s">
        <v>5289</v>
      </c>
      <c r="J554" s="13" t="s">
        <v>5289</v>
      </c>
      <c r="K554" s="13" t="s">
        <v>5292</v>
      </c>
      <c r="L554" s="13" t="s">
        <v>4012</v>
      </c>
      <c r="M554" s="13"/>
      <c r="N554" s="13" t="n">
        <v>7908422601689</v>
      </c>
      <c r="O554" s="13"/>
      <c r="P554" s="13" t="s">
        <v>5297</v>
      </c>
      <c r="Q554" s="13" t="s">
        <v>5289</v>
      </c>
      <c r="R554" s="13" t="s">
        <v>5292</v>
      </c>
      <c r="S554" s="13" t="s">
        <v>5293</v>
      </c>
      <c r="T554" s="13" t="s">
        <v>3</v>
      </c>
      <c r="U554" s="13" t="s">
        <v>85</v>
      </c>
      <c r="V554" s="13" t="n">
        <f aca="false">IF(COUNTIF($B$2:B554,B554)=1,1,0)</f>
        <v>1</v>
      </c>
      <c r="W554" s="13" t="n">
        <f aca="false">IF(COUNTIFS($B$2:B554,B554,$T$2:T554,T554)=1,1,0)</f>
        <v>1</v>
      </c>
    </row>
    <row r="555" customFormat="false" ht="15" hidden="false" customHeight="false" outlineLevel="0" collapsed="false">
      <c r="A555" s="13" t="s">
        <v>3996</v>
      </c>
      <c r="B555" s="13" t="s">
        <v>2187</v>
      </c>
      <c r="C555" s="13" t="n">
        <v>1100</v>
      </c>
      <c r="D555" s="13" t="n">
        <v>5</v>
      </c>
      <c r="E555" s="13" t="n">
        <v>189.99</v>
      </c>
      <c r="F555" s="13" t="s">
        <v>5325</v>
      </c>
      <c r="G555" s="13" t="s">
        <v>5289</v>
      </c>
      <c r="H555" s="13" t="s">
        <v>5289</v>
      </c>
      <c r="I555" s="13" t="s">
        <v>5289</v>
      </c>
      <c r="J555" s="13" t="s">
        <v>5289</v>
      </c>
      <c r="K555" s="13" t="s">
        <v>5292</v>
      </c>
      <c r="L555" s="13" t="s">
        <v>5512</v>
      </c>
      <c r="M555" s="13"/>
      <c r="N555" s="13" t="n">
        <v>7898965429478</v>
      </c>
      <c r="O555" s="13"/>
      <c r="P555" s="13" t="s">
        <v>5297</v>
      </c>
      <c r="Q555" s="13" t="s">
        <v>5289</v>
      </c>
      <c r="R555" s="13" t="s">
        <v>5292</v>
      </c>
      <c r="S555" s="13" t="s">
        <v>5293</v>
      </c>
      <c r="T555" s="13" t="s">
        <v>3</v>
      </c>
      <c r="U555" s="13" t="s">
        <v>85</v>
      </c>
      <c r="V555" s="13" t="n">
        <f aca="false">IF(COUNTIF($B$2:B555,B555)=1,1,0)</f>
        <v>1</v>
      </c>
      <c r="W555" s="13" t="n">
        <f aca="false">IF(COUNTIFS($B$2:B555,B555,$T$2:T555,T555)=1,1,0)</f>
        <v>1</v>
      </c>
    </row>
    <row r="556" customFormat="false" ht="15" hidden="false" customHeight="false" outlineLevel="0" collapsed="false">
      <c r="A556" s="13" t="s">
        <v>3972</v>
      </c>
      <c r="B556" s="13" t="s">
        <v>2206</v>
      </c>
      <c r="C556" s="13" t="n">
        <v>1100</v>
      </c>
      <c r="D556" s="13" t="n">
        <v>10</v>
      </c>
      <c r="E556" s="13" t="n">
        <v>102.13</v>
      </c>
      <c r="F556" s="13" t="s">
        <v>5325</v>
      </c>
      <c r="G556" s="13" t="s">
        <v>5289</v>
      </c>
      <c r="H556" s="13" t="s">
        <v>5289</v>
      </c>
      <c r="I556" s="13" t="s">
        <v>5289</v>
      </c>
      <c r="J556" s="13" t="s">
        <v>5289</v>
      </c>
      <c r="K556" s="13" t="s">
        <v>5289</v>
      </c>
      <c r="L556" s="13" t="s">
        <v>5513</v>
      </c>
      <c r="M556" s="13"/>
      <c r="N556" s="13" t="n">
        <v>3401054229299</v>
      </c>
      <c r="O556" s="13"/>
      <c r="P556" s="13" t="s">
        <v>5297</v>
      </c>
      <c r="Q556" s="13" t="s">
        <v>5289</v>
      </c>
      <c r="R556" s="13" t="s">
        <v>5292</v>
      </c>
      <c r="S556" s="13" t="s">
        <v>5293</v>
      </c>
      <c r="T556" s="13" t="s">
        <v>3</v>
      </c>
      <c r="U556" s="13" t="s">
        <v>85</v>
      </c>
      <c r="V556" s="13" t="n">
        <f aca="false">IF(COUNTIF($B$2:B556,B556)=1,1,0)</f>
        <v>0</v>
      </c>
      <c r="W556" s="13" t="n">
        <f aca="false">IF(COUNTIFS($B$2:B556,B556,$T$2:T556,T556)=1,1,0)</f>
        <v>0</v>
      </c>
    </row>
    <row r="557" customFormat="false" ht="15" hidden="false" customHeight="false" outlineLevel="0" collapsed="false">
      <c r="A557" s="13" t="s">
        <v>3988</v>
      </c>
      <c r="B557" s="13" t="s">
        <v>2124</v>
      </c>
      <c r="C557" s="13" t="n">
        <v>1100</v>
      </c>
      <c r="D557" s="13" t="n">
        <v>20</v>
      </c>
      <c r="E557" s="13" t="n">
        <v>69.99</v>
      </c>
      <c r="F557" s="13" t="s">
        <v>5288</v>
      </c>
      <c r="G557" s="13" t="s">
        <v>5289</v>
      </c>
      <c r="H557" s="13" t="s">
        <v>5289</v>
      </c>
      <c r="I557" s="13" t="s">
        <v>5292</v>
      </c>
      <c r="J557" s="13" t="s">
        <v>5289</v>
      </c>
      <c r="K557" s="13" t="s">
        <v>5292</v>
      </c>
      <c r="L557" s="13" t="s">
        <v>3987</v>
      </c>
      <c r="M557" s="13"/>
      <c r="N557" s="13" t="n">
        <v>5425017730712</v>
      </c>
      <c r="O557" s="13"/>
      <c r="P557" s="13" t="s">
        <v>5291</v>
      </c>
      <c r="Q557" s="13" t="s">
        <v>5289</v>
      </c>
      <c r="R557" s="13" t="s">
        <v>5292</v>
      </c>
      <c r="S557" s="13" t="s">
        <v>5293</v>
      </c>
      <c r="T557" s="13" t="s">
        <v>3</v>
      </c>
      <c r="U557" s="13" t="s">
        <v>43</v>
      </c>
      <c r="V557" s="13" t="n">
        <f aca="false">IF(COUNTIF($B$2:B557,B557)=1,1,0)</f>
        <v>0</v>
      </c>
      <c r="W557" s="13" t="n">
        <f aca="false">IF(COUNTIFS($B$2:B557,B557,$T$2:T557,T557)=1,1,0)</f>
        <v>0</v>
      </c>
    </row>
    <row r="558" customFormat="false" ht="15" hidden="false" customHeight="false" outlineLevel="0" collapsed="false">
      <c r="A558" s="13" t="s">
        <v>3183</v>
      </c>
      <c r="B558" s="13" t="s">
        <v>2095</v>
      </c>
      <c r="C558" s="13" t="n">
        <v>1100</v>
      </c>
      <c r="D558" s="13" t="n">
        <v>5</v>
      </c>
      <c r="E558" s="13" t="n">
        <v>111.454</v>
      </c>
      <c r="F558" s="13" t="s">
        <v>5288</v>
      </c>
      <c r="G558" s="13" t="s">
        <v>5289</v>
      </c>
      <c r="H558" s="13" t="s">
        <v>5292</v>
      </c>
      <c r="I558" s="13" t="s">
        <v>5289</v>
      </c>
      <c r="J558" s="13" t="s">
        <v>5289</v>
      </c>
      <c r="K558" s="13" t="s">
        <v>5292</v>
      </c>
      <c r="L558" s="13" t="s">
        <v>3182</v>
      </c>
      <c r="M558" s="13"/>
      <c r="N558" s="13" t="n">
        <v>7898665434888</v>
      </c>
      <c r="O558" s="13"/>
      <c r="P558" s="13" t="s">
        <v>5291</v>
      </c>
      <c r="Q558" s="13" t="s">
        <v>5289</v>
      </c>
      <c r="R558" s="13" t="s">
        <v>5292</v>
      </c>
      <c r="S558" s="13" t="s">
        <v>5293</v>
      </c>
      <c r="T558" s="13" t="s">
        <v>3</v>
      </c>
      <c r="U558" s="13" t="s">
        <v>140</v>
      </c>
      <c r="V558" s="13" t="n">
        <f aca="false">IF(COUNTIF($B$2:B558,B558)=1,1,0)</f>
        <v>0</v>
      </c>
      <c r="W558" s="13" t="n">
        <f aca="false">IF(COUNTIFS($B$2:B558,B558,$T$2:T558,T558)=1,1,0)</f>
        <v>0</v>
      </c>
    </row>
    <row r="559" customFormat="false" ht="15" hidden="false" customHeight="false" outlineLevel="0" collapsed="false">
      <c r="A559" s="13" t="s">
        <v>1207</v>
      </c>
      <c r="B559" s="13" t="s">
        <v>179</v>
      </c>
      <c r="C559" s="13" t="n">
        <v>1100</v>
      </c>
      <c r="D559" s="13" t="n">
        <v>5</v>
      </c>
      <c r="E559" s="13" t="n">
        <v>159</v>
      </c>
      <c r="F559" s="13" t="s">
        <v>5325</v>
      </c>
      <c r="G559" s="13" t="s">
        <v>5289</v>
      </c>
      <c r="H559" s="13" t="s">
        <v>5289</v>
      </c>
      <c r="I559" s="13" t="s">
        <v>5289</v>
      </c>
      <c r="J559" s="13" t="s">
        <v>5289</v>
      </c>
      <c r="K559" s="13" t="s">
        <v>5289</v>
      </c>
      <c r="L559" s="13" t="s">
        <v>4005</v>
      </c>
      <c r="M559" s="13"/>
      <c r="N559" s="13" t="n">
        <v>7898618486810</v>
      </c>
      <c r="O559" s="13"/>
      <c r="P559" s="13" t="s">
        <v>5291</v>
      </c>
      <c r="Q559" s="13" t="s">
        <v>5289</v>
      </c>
      <c r="R559" s="13" t="s">
        <v>5292</v>
      </c>
      <c r="S559" s="13" t="s">
        <v>5293</v>
      </c>
      <c r="T559" s="13" t="s">
        <v>3</v>
      </c>
      <c r="U559" s="13" t="s">
        <v>85</v>
      </c>
      <c r="V559" s="13" t="n">
        <f aca="false">IF(COUNTIF($B$2:B559,B559)=1,1,0)</f>
        <v>0</v>
      </c>
      <c r="W559" s="13" t="n">
        <f aca="false">IF(COUNTIFS($B$2:B559,B559,$T$2:T559,T559)=1,1,0)</f>
        <v>0</v>
      </c>
    </row>
    <row r="560" customFormat="false" ht="15" hidden="false" customHeight="false" outlineLevel="0" collapsed="false">
      <c r="A560" s="13" t="s">
        <v>5514</v>
      </c>
      <c r="B560" s="13" t="s">
        <v>2161</v>
      </c>
      <c r="C560" s="13" t="n">
        <v>1100</v>
      </c>
      <c r="D560" s="13" t="n">
        <v>2</v>
      </c>
      <c r="E560" s="13" t="n">
        <v>555.8</v>
      </c>
      <c r="F560" s="13" t="s">
        <v>5288</v>
      </c>
      <c r="G560" s="13" t="s">
        <v>5289</v>
      </c>
      <c r="H560" s="13" t="s">
        <v>5289</v>
      </c>
      <c r="I560" s="13" t="s">
        <v>5289</v>
      </c>
      <c r="J560" s="13" t="s">
        <v>5289</v>
      </c>
      <c r="K560" s="13" t="s">
        <v>5289</v>
      </c>
      <c r="L560" s="13" t="s">
        <v>5515</v>
      </c>
      <c r="M560" s="13"/>
      <c r="N560" s="13"/>
      <c r="O560" s="13"/>
      <c r="P560" s="13" t="s">
        <v>5291</v>
      </c>
      <c r="Q560" s="13" t="s">
        <v>5289</v>
      </c>
      <c r="R560" s="13" t="s">
        <v>5292</v>
      </c>
      <c r="S560" s="13" t="s">
        <v>5293</v>
      </c>
      <c r="T560" s="13" t="s">
        <v>3</v>
      </c>
      <c r="U560" s="13" t="s">
        <v>85</v>
      </c>
      <c r="V560" s="13" t="n">
        <f aca="false">IF(COUNTIF($B$2:B560,B560)=1,1,0)</f>
        <v>0</v>
      </c>
      <c r="W560" s="13" t="n">
        <f aca="false">IF(COUNTIFS($B$2:B560,B560,$T$2:T560,T560)=1,1,0)</f>
        <v>0</v>
      </c>
    </row>
    <row r="561" customFormat="false" ht="15" hidden="false" customHeight="false" outlineLevel="0" collapsed="false">
      <c r="A561" s="13" t="s">
        <v>3869</v>
      </c>
      <c r="B561" s="13" t="s">
        <v>2101</v>
      </c>
      <c r="C561" s="13" t="n">
        <v>1100</v>
      </c>
      <c r="D561" s="13" t="n">
        <v>20</v>
      </c>
      <c r="E561" s="13" t="n">
        <v>72.99</v>
      </c>
      <c r="F561" s="13" t="s">
        <v>5288</v>
      </c>
      <c r="G561" s="13" t="s">
        <v>5289</v>
      </c>
      <c r="H561" s="13" t="s">
        <v>5289</v>
      </c>
      <c r="I561" s="13" t="s">
        <v>5292</v>
      </c>
      <c r="J561" s="13" t="s">
        <v>5289</v>
      </c>
      <c r="K561" s="13" t="s">
        <v>5292</v>
      </c>
      <c r="L561" s="13" t="s">
        <v>3868</v>
      </c>
      <c r="M561" s="13"/>
      <c r="N561" s="13" t="n">
        <v>7908412515422</v>
      </c>
      <c r="O561" s="13"/>
      <c r="P561" s="13" t="s">
        <v>5291</v>
      </c>
      <c r="Q561" s="13" t="s">
        <v>5289</v>
      </c>
      <c r="R561" s="13" t="s">
        <v>5292</v>
      </c>
      <c r="S561" s="13" t="s">
        <v>5293</v>
      </c>
      <c r="T561" s="13" t="s">
        <v>3</v>
      </c>
      <c r="U561" s="13" t="s">
        <v>85</v>
      </c>
      <c r="V561" s="13" t="n">
        <f aca="false">IF(COUNTIF($B$2:B561,B561)=1,1,0)</f>
        <v>0</v>
      </c>
      <c r="W561" s="13" t="n">
        <f aca="false">IF(COUNTIFS($B$2:B561,B561,$T$2:T561,T561)=1,1,0)</f>
        <v>0</v>
      </c>
    </row>
    <row r="562" customFormat="false" ht="15" hidden="false" customHeight="false" outlineLevel="0" collapsed="false">
      <c r="A562" s="13" t="s">
        <v>1209</v>
      </c>
      <c r="B562" s="13" t="s">
        <v>179</v>
      </c>
      <c r="C562" s="13" t="n">
        <v>1100</v>
      </c>
      <c r="D562" s="13" t="n">
        <v>5</v>
      </c>
      <c r="E562" s="13" t="n">
        <v>182.333333333333</v>
      </c>
      <c r="F562" s="13" t="s">
        <v>5288</v>
      </c>
      <c r="G562" s="13" t="s">
        <v>5289</v>
      </c>
      <c r="H562" s="13" t="s">
        <v>5289</v>
      </c>
      <c r="I562" s="13" t="s">
        <v>5289</v>
      </c>
      <c r="J562" s="13" t="s">
        <v>5289</v>
      </c>
      <c r="K562" s="13" t="s">
        <v>5292</v>
      </c>
      <c r="L562" s="13" t="s">
        <v>3999</v>
      </c>
      <c r="M562" s="13"/>
      <c r="N562" s="13" t="n">
        <v>7908005390481</v>
      </c>
      <c r="O562" s="13"/>
      <c r="P562" s="13" t="s">
        <v>5297</v>
      </c>
      <c r="Q562" s="13" t="s">
        <v>5289</v>
      </c>
      <c r="R562" s="13" t="s">
        <v>5292</v>
      </c>
      <c r="S562" s="13" t="s">
        <v>5293</v>
      </c>
      <c r="T562" s="13" t="s">
        <v>3</v>
      </c>
      <c r="U562" s="13" t="s">
        <v>180</v>
      </c>
      <c r="V562" s="13" t="n">
        <f aca="false">IF(COUNTIF($B$2:B562,B562)=1,1,0)</f>
        <v>0</v>
      </c>
      <c r="W562" s="13" t="n">
        <f aca="false">IF(COUNTIFS($B$2:B562,B562,$T$2:T562,T562)=1,1,0)</f>
        <v>0</v>
      </c>
    </row>
    <row r="563" customFormat="false" ht="15" hidden="false" customHeight="false" outlineLevel="0" collapsed="false">
      <c r="A563" s="13" t="s">
        <v>3975</v>
      </c>
      <c r="B563" s="13" t="s">
        <v>2124</v>
      </c>
      <c r="C563" s="13" t="n">
        <v>1100</v>
      </c>
      <c r="D563" s="13" t="n">
        <v>20</v>
      </c>
      <c r="E563" s="13" t="n">
        <v>72.79</v>
      </c>
      <c r="F563" s="13" t="s">
        <v>5288</v>
      </c>
      <c r="G563" s="13" t="s">
        <v>5289</v>
      </c>
      <c r="H563" s="13" t="s">
        <v>5289</v>
      </c>
      <c r="I563" s="13" t="s">
        <v>5292</v>
      </c>
      <c r="J563" s="13" t="s">
        <v>5289</v>
      </c>
      <c r="K563" s="13" t="s">
        <v>5292</v>
      </c>
      <c r="L563" s="13" t="s">
        <v>3974</v>
      </c>
      <c r="M563" s="13"/>
      <c r="N563" s="13" t="n">
        <v>5425039221076</v>
      </c>
      <c r="O563" s="13"/>
      <c r="P563" s="13" t="s">
        <v>5291</v>
      </c>
      <c r="Q563" s="13" t="s">
        <v>5289</v>
      </c>
      <c r="R563" s="13" t="s">
        <v>5292</v>
      </c>
      <c r="S563" s="13" t="s">
        <v>5293</v>
      </c>
      <c r="T563" s="13" t="s">
        <v>3</v>
      </c>
      <c r="U563" s="13" t="s">
        <v>43</v>
      </c>
      <c r="V563" s="13" t="n">
        <f aca="false">IF(COUNTIF($B$2:B563,B563)=1,1,0)</f>
        <v>0</v>
      </c>
      <c r="W563" s="13" t="n">
        <f aca="false">IF(COUNTIFS($B$2:B563,B563,$T$2:T563,T563)=1,1,0)</f>
        <v>0</v>
      </c>
    </row>
    <row r="564" customFormat="false" ht="15" hidden="false" customHeight="false" outlineLevel="0" collapsed="false">
      <c r="A564" s="13" t="s">
        <v>1205</v>
      </c>
      <c r="B564" s="13" t="s">
        <v>143</v>
      </c>
      <c r="C564" s="13" t="n">
        <v>1100</v>
      </c>
      <c r="D564" s="13" t="n">
        <v>1</v>
      </c>
      <c r="E564" s="13" t="n">
        <v>1088.48</v>
      </c>
      <c r="F564" s="13" t="s">
        <v>5288</v>
      </c>
      <c r="G564" s="13" t="s">
        <v>5289</v>
      </c>
      <c r="H564" s="13" t="s">
        <v>5289</v>
      </c>
      <c r="I564" s="13" t="s">
        <v>5289</v>
      </c>
      <c r="J564" s="13" t="s">
        <v>5289</v>
      </c>
      <c r="K564" s="13" t="s">
        <v>5289</v>
      </c>
      <c r="L564" s="13" t="s">
        <v>4002</v>
      </c>
      <c r="M564" s="13"/>
      <c r="N564" s="13" t="n">
        <v>711719587996</v>
      </c>
      <c r="O564" s="13"/>
      <c r="P564" s="13" t="s">
        <v>5291</v>
      </c>
      <c r="Q564" s="13" t="s">
        <v>5289</v>
      </c>
      <c r="R564" s="13" t="s">
        <v>5292</v>
      </c>
      <c r="S564" s="13" t="s">
        <v>5293</v>
      </c>
      <c r="T564" s="13" t="s">
        <v>3</v>
      </c>
      <c r="U564" s="13" t="s">
        <v>85</v>
      </c>
      <c r="V564" s="13" t="n">
        <f aca="false">IF(COUNTIF($B$2:B564,B564)=1,1,0)</f>
        <v>0</v>
      </c>
      <c r="W564" s="13" t="n">
        <f aca="false">IF(COUNTIFS($B$2:B564,B564,$T$2:T564,T564)=1,1,0)</f>
        <v>0</v>
      </c>
    </row>
    <row r="565" customFormat="false" ht="15" hidden="false" customHeight="false" outlineLevel="0" collapsed="false">
      <c r="A565" s="13" t="s">
        <v>171</v>
      </c>
      <c r="B565" s="13" t="s">
        <v>161</v>
      </c>
      <c r="C565" s="13" t="n">
        <v>1100</v>
      </c>
      <c r="D565" s="13" t="n">
        <v>2</v>
      </c>
      <c r="E565" s="13" t="n">
        <v>271.59</v>
      </c>
      <c r="F565" s="13" t="s">
        <v>5288</v>
      </c>
      <c r="G565" s="13" t="s">
        <v>5289</v>
      </c>
      <c r="H565" s="13" t="s">
        <v>5289</v>
      </c>
      <c r="I565" s="13" t="s">
        <v>5289</v>
      </c>
      <c r="J565" s="13" t="s">
        <v>5289</v>
      </c>
      <c r="K565" s="13" t="s">
        <v>5289</v>
      </c>
      <c r="L565" s="13" t="s">
        <v>5335</v>
      </c>
      <c r="M565" s="13"/>
      <c r="N565" s="13" t="n">
        <v>3355991004665</v>
      </c>
      <c r="O565" s="13"/>
      <c r="P565" s="13" t="s">
        <v>5297</v>
      </c>
      <c r="Q565" s="13" t="s">
        <v>5289</v>
      </c>
      <c r="R565" s="13" t="s">
        <v>5292</v>
      </c>
      <c r="S565" s="13" t="s">
        <v>5293</v>
      </c>
      <c r="T565" s="13" t="s">
        <v>3</v>
      </c>
      <c r="U565" s="13" t="s">
        <v>43</v>
      </c>
      <c r="V565" s="13" t="n">
        <f aca="false">IF(COUNTIF($B$2:B565,B565)=1,1,0)</f>
        <v>0</v>
      </c>
      <c r="W565" s="13" t="n">
        <f aca="false">IF(COUNTIFS($B$2:B565,B565,$T$2:T565,T565)=1,1,0)</f>
        <v>0</v>
      </c>
    </row>
    <row r="566" customFormat="false" ht="15" hidden="false" customHeight="false" outlineLevel="0" collapsed="false">
      <c r="A566" s="13" t="s">
        <v>4007</v>
      </c>
      <c r="B566" s="13" t="s">
        <v>2094</v>
      </c>
      <c r="C566" s="13" t="n">
        <v>1100</v>
      </c>
      <c r="D566" s="13" t="n">
        <v>20</v>
      </c>
      <c r="E566" s="13" t="n">
        <v>63.5082352941176</v>
      </c>
      <c r="F566" s="13" t="s">
        <v>5288</v>
      </c>
      <c r="G566" s="13" t="s">
        <v>5289</v>
      </c>
      <c r="H566" s="13" t="s">
        <v>5289</v>
      </c>
      <c r="I566" s="13" t="s">
        <v>5292</v>
      </c>
      <c r="J566" s="13" t="s">
        <v>5289</v>
      </c>
      <c r="K566" s="13" t="s">
        <v>5292</v>
      </c>
      <c r="L566" s="13" t="s">
        <v>5516</v>
      </c>
      <c r="M566" s="13"/>
      <c r="N566" s="13" t="n">
        <v>7898639691477</v>
      </c>
      <c r="O566" s="13"/>
      <c r="P566" s="13" t="s">
        <v>5291</v>
      </c>
      <c r="Q566" s="13" t="s">
        <v>5289</v>
      </c>
      <c r="R566" s="13" t="s">
        <v>5292</v>
      </c>
      <c r="S566" s="13" t="s">
        <v>5293</v>
      </c>
      <c r="T566" s="13" t="s">
        <v>3</v>
      </c>
      <c r="U566" s="13" t="s">
        <v>85</v>
      </c>
      <c r="V566" s="13" t="n">
        <f aca="false">IF(COUNTIF($B$2:B566,B566)=1,1,0)</f>
        <v>0</v>
      </c>
      <c r="W566" s="13" t="n">
        <f aca="false">IF(COUNTIFS($B$2:B566,B566,$T$2:T566,T566)=1,1,0)</f>
        <v>0</v>
      </c>
    </row>
    <row r="567" customFormat="false" ht="15" hidden="false" customHeight="false" outlineLevel="0" collapsed="false">
      <c r="A567" s="13" t="s">
        <v>3994</v>
      </c>
      <c r="B567" s="13" t="s">
        <v>2202</v>
      </c>
      <c r="C567" s="13" t="n">
        <v>1100</v>
      </c>
      <c r="D567" s="13" t="n">
        <v>30</v>
      </c>
      <c r="E567" s="13" t="n">
        <v>37.0758620689655</v>
      </c>
      <c r="F567" s="13" t="s">
        <v>5288</v>
      </c>
      <c r="G567" s="13" t="s">
        <v>5289</v>
      </c>
      <c r="H567" s="13" t="s">
        <v>5289</v>
      </c>
      <c r="I567" s="13" t="s">
        <v>5292</v>
      </c>
      <c r="J567" s="13" t="s">
        <v>5289</v>
      </c>
      <c r="K567" s="13" t="s">
        <v>5292</v>
      </c>
      <c r="L567" s="13" t="s">
        <v>3993</v>
      </c>
      <c r="M567" s="13"/>
      <c r="N567" s="13" t="n">
        <v>7898702041925</v>
      </c>
      <c r="O567" s="13"/>
      <c r="P567" s="13" t="s">
        <v>5297</v>
      </c>
      <c r="Q567" s="13" t="s">
        <v>5289</v>
      </c>
      <c r="R567" s="13" t="s">
        <v>5292</v>
      </c>
      <c r="S567" s="13" t="s">
        <v>5293</v>
      </c>
      <c r="T567" s="13" t="s">
        <v>3</v>
      </c>
      <c r="U567" s="13" t="s">
        <v>140</v>
      </c>
      <c r="V567" s="13" t="n">
        <f aca="false">IF(COUNTIF($B$2:B567,B567)=1,1,0)</f>
        <v>0</v>
      </c>
      <c r="W567" s="13" t="n">
        <f aca="false">IF(COUNTIFS($B$2:B567,B567,$T$2:T567,T567)=1,1,0)</f>
        <v>0</v>
      </c>
    </row>
    <row r="568" customFormat="false" ht="15" hidden="false" customHeight="false" outlineLevel="0" collapsed="false">
      <c r="A568" s="13" t="s">
        <v>1204</v>
      </c>
      <c r="B568" s="13" t="s">
        <v>97</v>
      </c>
      <c r="C568" s="13" t="n">
        <v>1100</v>
      </c>
      <c r="D568" s="13" t="n">
        <v>5</v>
      </c>
      <c r="E568" s="13" t="n">
        <v>212.574</v>
      </c>
      <c r="F568" s="13" t="s">
        <v>5288</v>
      </c>
      <c r="G568" s="13" t="s">
        <v>5289</v>
      </c>
      <c r="H568" s="13" t="s">
        <v>5289</v>
      </c>
      <c r="I568" s="13" t="s">
        <v>5289</v>
      </c>
      <c r="J568" s="13" t="s">
        <v>5289</v>
      </c>
      <c r="K568" s="13" t="s">
        <v>5289</v>
      </c>
      <c r="L568" s="13" t="s">
        <v>4003</v>
      </c>
      <c r="M568" s="13"/>
      <c r="N568" s="13" t="n">
        <v>885911674928</v>
      </c>
      <c r="O568" s="13"/>
      <c r="P568" s="13" t="s">
        <v>5291</v>
      </c>
      <c r="Q568" s="13" t="s">
        <v>5289</v>
      </c>
      <c r="R568" s="13" t="s">
        <v>5292</v>
      </c>
      <c r="S568" s="13" t="s">
        <v>5293</v>
      </c>
      <c r="T568" s="13" t="s">
        <v>3</v>
      </c>
      <c r="U568" s="13" t="s">
        <v>98</v>
      </c>
      <c r="V568" s="13" t="n">
        <f aca="false">IF(COUNTIF($B$2:B568,B568)=1,1,0)</f>
        <v>0</v>
      </c>
      <c r="W568" s="13" t="n">
        <f aca="false">IF(COUNTIFS($B$2:B568,B568,$T$2:T568,T568)=1,1,0)</f>
        <v>0</v>
      </c>
    </row>
    <row r="569" customFormat="false" ht="15" hidden="false" customHeight="false" outlineLevel="0" collapsed="false">
      <c r="A569" s="13" t="s">
        <v>3991</v>
      </c>
      <c r="B569" s="13" t="s">
        <v>2146</v>
      </c>
      <c r="C569" s="13" t="n">
        <v>1100</v>
      </c>
      <c r="D569" s="13" t="n">
        <v>40</v>
      </c>
      <c r="E569" s="13" t="n">
        <v>28.7227027027027</v>
      </c>
      <c r="F569" s="13" t="s">
        <v>5288</v>
      </c>
      <c r="G569" s="13" t="s">
        <v>5289</v>
      </c>
      <c r="H569" s="13" t="s">
        <v>5289</v>
      </c>
      <c r="I569" s="13" t="s">
        <v>5292</v>
      </c>
      <c r="J569" s="13" t="s">
        <v>5289</v>
      </c>
      <c r="K569" s="13" t="s">
        <v>5292</v>
      </c>
      <c r="L569" s="13" t="s">
        <v>3990</v>
      </c>
      <c r="M569" s="13"/>
      <c r="N569" s="13" t="n">
        <v>7896010177114</v>
      </c>
      <c r="O569" s="13"/>
      <c r="P569" s="13" t="s">
        <v>5291</v>
      </c>
      <c r="Q569" s="13" t="s">
        <v>5289</v>
      </c>
      <c r="R569" s="13" t="s">
        <v>5292</v>
      </c>
      <c r="S569" s="13" t="s">
        <v>5293</v>
      </c>
      <c r="T569" s="13" t="s">
        <v>3</v>
      </c>
      <c r="U569" s="13" t="s">
        <v>85</v>
      </c>
      <c r="V569" s="13" t="n">
        <f aca="false">IF(COUNTIF($B$2:B569,B569)=1,1,0)</f>
        <v>0</v>
      </c>
      <c r="W569" s="13" t="n">
        <f aca="false">IF(COUNTIFS($B$2:B569,B569,$T$2:T569,T569)=1,1,0)</f>
        <v>0</v>
      </c>
    </row>
    <row r="570" customFormat="false" ht="15" hidden="false" customHeight="false" outlineLevel="0" collapsed="false">
      <c r="A570" s="13" t="s">
        <v>1182</v>
      </c>
      <c r="B570" s="13" t="s">
        <v>79</v>
      </c>
      <c r="C570" s="13" t="n">
        <v>1100</v>
      </c>
      <c r="D570" s="13" t="n">
        <v>2</v>
      </c>
      <c r="E570" s="13" t="n">
        <v>531</v>
      </c>
      <c r="F570" s="13" t="s">
        <v>5288</v>
      </c>
      <c r="G570" s="13" t="s">
        <v>5289</v>
      </c>
      <c r="H570" s="13" t="s">
        <v>5289</v>
      </c>
      <c r="I570" s="13" t="s">
        <v>5289</v>
      </c>
      <c r="J570" s="13" t="s">
        <v>5289</v>
      </c>
      <c r="K570" s="13" t="s">
        <v>5289</v>
      </c>
      <c r="L570" s="13" t="s">
        <v>4011</v>
      </c>
      <c r="M570" s="13"/>
      <c r="N570" s="13" t="n">
        <v>8057971180424</v>
      </c>
      <c r="O570" s="13"/>
      <c r="P570" s="13" t="s">
        <v>5297</v>
      </c>
      <c r="Q570" s="13" t="s">
        <v>5289</v>
      </c>
      <c r="R570" s="13" t="s">
        <v>5292</v>
      </c>
      <c r="S570" s="13" t="s">
        <v>5293</v>
      </c>
      <c r="T570" s="13" t="s">
        <v>3</v>
      </c>
      <c r="U570" s="13" t="s">
        <v>43</v>
      </c>
      <c r="V570" s="13" t="n">
        <f aca="false">IF(COUNTIF($B$2:B570,B570)=1,1,0)</f>
        <v>0</v>
      </c>
      <c r="W570" s="13" t="n">
        <f aca="false">IF(COUNTIFS($B$2:B570,B570,$T$2:T570,T570)=1,1,0)</f>
        <v>0</v>
      </c>
    </row>
    <row r="571" customFormat="false" ht="15" hidden="false" customHeight="false" outlineLevel="0" collapsed="false">
      <c r="A571" s="13" t="s">
        <v>3343</v>
      </c>
      <c r="B571" s="13" t="s">
        <v>2106</v>
      </c>
      <c r="C571" s="13" t="n">
        <v>1000</v>
      </c>
      <c r="D571" s="13" t="n">
        <v>1</v>
      </c>
      <c r="E571" s="13" t="n">
        <v>1049.99</v>
      </c>
      <c r="F571" s="13" t="s">
        <v>5325</v>
      </c>
      <c r="G571" s="13" t="s">
        <v>5289</v>
      </c>
      <c r="H571" s="13" t="s">
        <v>5289</v>
      </c>
      <c r="I571" s="13" t="s">
        <v>5289</v>
      </c>
      <c r="J571" s="13" t="s">
        <v>5289</v>
      </c>
      <c r="K571" s="13" t="s">
        <v>5292</v>
      </c>
      <c r="L571" s="13" t="s">
        <v>3342</v>
      </c>
      <c r="M571" s="13"/>
      <c r="N571" s="13" t="n">
        <v>7891009795324</v>
      </c>
      <c r="O571" s="13"/>
      <c r="P571" s="13" t="s">
        <v>5291</v>
      </c>
      <c r="Q571" s="13" t="s">
        <v>5289</v>
      </c>
      <c r="R571" s="13" t="s">
        <v>5292</v>
      </c>
      <c r="S571" s="13" t="s">
        <v>5293</v>
      </c>
      <c r="T571" s="13" t="s">
        <v>3</v>
      </c>
      <c r="U571" s="13" t="s">
        <v>98</v>
      </c>
      <c r="V571" s="13" t="n">
        <f aca="false">IF(COUNTIF($B$2:B571,B571)=1,1,0)</f>
        <v>0</v>
      </c>
      <c r="W571" s="13" t="n">
        <f aca="false">IF(COUNTIFS($B$2:B571,B571,$T$2:T571,T571)=1,1,0)</f>
        <v>0</v>
      </c>
    </row>
    <row r="572" customFormat="false" ht="15" hidden="false" customHeight="false" outlineLevel="0" collapsed="false">
      <c r="A572" s="13" t="s">
        <v>1227</v>
      </c>
      <c r="B572" s="13" t="s">
        <v>191</v>
      </c>
      <c r="C572" s="13" t="n">
        <v>1000</v>
      </c>
      <c r="D572" s="13" t="n">
        <v>40</v>
      </c>
      <c r="E572" s="13" t="n">
        <v>25.99</v>
      </c>
      <c r="F572" s="13" t="s">
        <v>5288</v>
      </c>
      <c r="G572" s="13" t="s">
        <v>5289</v>
      </c>
      <c r="H572" s="13" t="s">
        <v>5289</v>
      </c>
      <c r="I572" s="13" t="s">
        <v>5292</v>
      </c>
      <c r="J572" s="13" t="s">
        <v>5289</v>
      </c>
      <c r="K572" s="13" t="s">
        <v>5292</v>
      </c>
      <c r="L572" s="13" t="s">
        <v>4041</v>
      </c>
      <c r="M572" s="13"/>
      <c r="N572" s="13" t="n">
        <v>7898973267697</v>
      </c>
      <c r="O572" s="13"/>
      <c r="P572" s="13" t="s">
        <v>5297</v>
      </c>
      <c r="Q572" s="13" t="s">
        <v>5289</v>
      </c>
      <c r="R572" s="13" t="s">
        <v>5292</v>
      </c>
      <c r="S572" s="13" t="s">
        <v>5293</v>
      </c>
      <c r="T572" s="13" t="s">
        <v>3</v>
      </c>
      <c r="U572" s="13" t="s">
        <v>85</v>
      </c>
      <c r="V572" s="13" t="n">
        <f aca="false">IF(COUNTIF($B$2:B572,B572)=1,1,0)</f>
        <v>0</v>
      </c>
      <c r="W572" s="13" t="n">
        <f aca="false">IF(COUNTIFS($B$2:B572,B572,$T$2:T572,T572)=1,1,0)</f>
        <v>0</v>
      </c>
    </row>
    <row r="573" customFormat="false" ht="15" hidden="false" customHeight="false" outlineLevel="0" collapsed="false">
      <c r="A573" s="13" t="s">
        <v>4046</v>
      </c>
      <c r="B573" s="13" t="s">
        <v>2124</v>
      </c>
      <c r="C573" s="13" t="n">
        <v>1000</v>
      </c>
      <c r="D573" s="13" t="n">
        <v>10</v>
      </c>
      <c r="E573" s="13" t="n">
        <v>73.99</v>
      </c>
      <c r="F573" s="13" t="s">
        <v>5288</v>
      </c>
      <c r="G573" s="13" t="s">
        <v>5289</v>
      </c>
      <c r="H573" s="13" t="s">
        <v>5289</v>
      </c>
      <c r="I573" s="13" t="s">
        <v>5292</v>
      </c>
      <c r="J573" s="13" t="s">
        <v>5289</v>
      </c>
      <c r="K573" s="13" t="s">
        <v>5292</v>
      </c>
      <c r="L573" s="13" t="s">
        <v>4045</v>
      </c>
      <c r="M573" s="13"/>
      <c r="N573" s="13" t="n">
        <v>5425039221489</v>
      </c>
      <c r="O573" s="13"/>
      <c r="P573" s="13" t="s">
        <v>5291</v>
      </c>
      <c r="Q573" s="13" t="s">
        <v>5289</v>
      </c>
      <c r="R573" s="13" t="s">
        <v>5292</v>
      </c>
      <c r="S573" s="13" t="s">
        <v>5293</v>
      </c>
      <c r="T573" s="13" t="s">
        <v>3</v>
      </c>
      <c r="U573" s="13" t="s">
        <v>43</v>
      </c>
      <c r="V573" s="13" t="n">
        <f aca="false">IF(COUNTIF($B$2:B573,B573)=1,1,0)</f>
        <v>0</v>
      </c>
      <c r="W573" s="13" t="n">
        <f aca="false">IF(COUNTIFS($B$2:B573,B573,$T$2:T573,T573)=1,1,0)</f>
        <v>0</v>
      </c>
    </row>
    <row r="574" customFormat="false" ht="15" hidden="false" customHeight="false" outlineLevel="0" collapsed="false">
      <c r="A574" s="13" t="s">
        <v>1228</v>
      </c>
      <c r="B574" s="13" t="s">
        <v>195</v>
      </c>
      <c r="C574" s="13" t="n">
        <v>1000</v>
      </c>
      <c r="D574" s="13" t="n">
        <v>2</v>
      </c>
      <c r="E574" s="13" t="n">
        <v>514.13</v>
      </c>
      <c r="F574" s="13" t="s">
        <v>5288</v>
      </c>
      <c r="G574" s="13" t="s">
        <v>5289</v>
      </c>
      <c r="H574" s="13" t="s">
        <v>5289</v>
      </c>
      <c r="I574" s="13" t="s">
        <v>5289</v>
      </c>
      <c r="J574" s="13" t="s">
        <v>5289</v>
      </c>
      <c r="K574" s="13" t="s">
        <v>5289</v>
      </c>
      <c r="L574" s="13" t="s">
        <v>4031</v>
      </c>
      <c r="M574" s="13"/>
      <c r="N574" s="13" t="n">
        <v>3614229820799</v>
      </c>
      <c r="O574" s="13"/>
      <c r="P574" s="13" t="s">
        <v>5291</v>
      </c>
      <c r="Q574" s="13" t="s">
        <v>5289</v>
      </c>
      <c r="R574" s="13" t="s">
        <v>5292</v>
      </c>
      <c r="S574" s="13" t="s">
        <v>5293</v>
      </c>
      <c r="T574" s="13" t="s">
        <v>3</v>
      </c>
      <c r="U574" s="13" t="s">
        <v>43</v>
      </c>
      <c r="V574" s="13" t="n">
        <f aca="false">IF(COUNTIF($B$2:B574,B574)=1,1,0)</f>
        <v>0</v>
      </c>
      <c r="W574" s="13" t="n">
        <f aca="false">IF(COUNTIFS($B$2:B574,B574,$T$2:T574,T574)=1,1,0)</f>
        <v>0</v>
      </c>
    </row>
    <row r="575" customFormat="false" ht="15" hidden="false" customHeight="false" outlineLevel="0" collapsed="false">
      <c r="A575" s="13" t="s">
        <v>1226</v>
      </c>
      <c r="B575" s="13" t="s">
        <v>175</v>
      </c>
      <c r="C575" s="13" t="n">
        <v>1000</v>
      </c>
      <c r="D575" s="13" t="n">
        <v>2</v>
      </c>
      <c r="E575" s="13" t="n">
        <v>341</v>
      </c>
      <c r="F575" s="13" t="s">
        <v>5288</v>
      </c>
      <c r="G575" s="13" t="s">
        <v>5289</v>
      </c>
      <c r="H575" s="13" t="s">
        <v>5289</v>
      </c>
      <c r="I575" s="13" t="s">
        <v>5289</v>
      </c>
      <c r="J575" s="13" t="s">
        <v>5289</v>
      </c>
      <c r="K575" s="13" t="s">
        <v>5289</v>
      </c>
      <c r="L575" s="13" t="s">
        <v>5517</v>
      </c>
      <c r="M575" s="13"/>
      <c r="N575" s="13"/>
      <c r="O575" s="13"/>
      <c r="P575" s="13" t="s">
        <v>5291</v>
      </c>
      <c r="Q575" s="13" t="s">
        <v>5289</v>
      </c>
      <c r="R575" s="13" t="s">
        <v>5292</v>
      </c>
      <c r="S575" s="13" t="s">
        <v>5293</v>
      </c>
      <c r="T575" s="13" t="s">
        <v>3</v>
      </c>
      <c r="U575" s="13" t="s">
        <v>98</v>
      </c>
      <c r="V575" s="13" t="n">
        <f aca="false">IF(COUNTIF($B$2:B575,B575)=1,1,0)</f>
        <v>0</v>
      </c>
      <c r="W575" s="13" t="n">
        <f aca="false">IF(COUNTIFS($B$2:B575,B575,$T$2:T575,T575)=1,1,0)</f>
        <v>0</v>
      </c>
    </row>
    <row r="576" customFormat="false" ht="15" hidden="false" customHeight="false" outlineLevel="0" collapsed="false">
      <c r="A576" s="13" t="s">
        <v>1229</v>
      </c>
      <c r="B576" s="13" t="s">
        <v>302</v>
      </c>
      <c r="C576" s="13" t="n">
        <v>1000</v>
      </c>
      <c r="D576" s="13" t="n">
        <v>2</v>
      </c>
      <c r="E576" s="13" t="n">
        <v>340.143333333333</v>
      </c>
      <c r="F576" s="13" t="s">
        <v>5288</v>
      </c>
      <c r="G576" s="13" t="s">
        <v>5289</v>
      </c>
      <c r="H576" s="13" t="s">
        <v>5289</v>
      </c>
      <c r="I576" s="13" t="s">
        <v>5289</v>
      </c>
      <c r="J576" s="13" t="s">
        <v>5289</v>
      </c>
      <c r="K576" s="13" t="s">
        <v>5292</v>
      </c>
      <c r="L576" s="13" t="s">
        <v>5518</v>
      </c>
      <c r="M576" s="13"/>
      <c r="N576" s="13" t="n">
        <v>3274872396203</v>
      </c>
      <c r="O576" s="13"/>
      <c r="P576" s="13" t="s">
        <v>5291</v>
      </c>
      <c r="Q576" s="13" t="s">
        <v>5289</v>
      </c>
      <c r="R576" s="13" t="s">
        <v>5292</v>
      </c>
      <c r="S576" s="13" t="s">
        <v>5293</v>
      </c>
      <c r="T576" s="13" t="s">
        <v>3</v>
      </c>
      <c r="U576" s="13" t="s">
        <v>43</v>
      </c>
      <c r="V576" s="13" t="n">
        <f aca="false">IF(COUNTIF($B$2:B576,B576)=1,1,0)</f>
        <v>0</v>
      </c>
      <c r="W576" s="13" t="n">
        <f aca="false">IF(COUNTIFS($B$2:B576,B576,$T$2:T576,T576)=1,1,0)</f>
        <v>0</v>
      </c>
    </row>
    <row r="577" customFormat="false" ht="15" hidden="false" customHeight="false" outlineLevel="0" collapsed="false">
      <c r="A577" s="13" t="s">
        <v>4056</v>
      </c>
      <c r="B577" s="13" t="s">
        <v>2173</v>
      </c>
      <c r="C577" s="13" t="n">
        <v>1000</v>
      </c>
      <c r="D577" s="13" t="n">
        <v>20</v>
      </c>
      <c r="E577" s="13" t="n">
        <v>63.615</v>
      </c>
      <c r="F577" s="13" t="s">
        <v>5288</v>
      </c>
      <c r="G577" s="13" t="s">
        <v>5289</v>
      </c>
      <c r="H577" s="13" t="s">
        <v>5289</v>
      </c>
      <c r="I577" s="13" t="s">
        <v>5292</v>
      </c>
      <c r="J577" s="13" t="s">
        <v>5289</v>
      </c>
      <c r="K577" s="13" t="s">
        <v>5292</v>
      </c>
      <c r="L577" s="13" t="s">
        <v>4055</v>
      </c>
      <c r="M577" s="13"/>
      <c r="N577" s="13" t="n">
        <v>7896558413866</v>
      </c>
      <c r="O577" s="13"/>
      <c r="P577" s="13" t="s">
        <v>5291</v>
      </c>
      <c r="Q577" s="13" t="s">
        <v>5289</v>
      </c>
      <c r="R577" s="13" t="s">
        <v>5292</v>
      </c>
      <c r="S577" s="13" t="s">
        <v>5293</v>
      </c>
      <c r="T577" s="13" t="s">
        <v>3</v>
      </c>
      <c r="U577" s="13" t="s">
        <v>180</v>
      </c>
      <c r="V577" s="13" t="n">
        <f aca="false">IF(COUNTIF($B$2:B577,B577)=1,1,0)</f>
        <v>0</v>
      </c>
      <c r="W577" s="13" t="n">
        <f aca="false">IF(COUNTIFS($B$2:B577,B577,$T$2:T577,T577)=1,1,0)</f>
        <v>0</v>
      </c>
    </row>
    <row r="578" customFormat="false" ht="15" hidden="false" customHeight="false" outlineLevel="0" collapsed="false">
      <c r="A578" s="13" t="s">
        <v>4044</v>
      </c>
      <c r="B578" s="13" t="s">
        <v>2142</v>
      </c>
      <c r="C578" s="13" t="n">
        <v>1000</v>
      </c>
      <c r="D578" s="13" t="n">
        <v>30</v>
      </c>
      <c r="E578" s="13" t="n">
        <v>36.0957142857143</v>
      </c>
      <c r="F578" s="13" t="s">
        <v>5288</v>
      </c>
      <c r="G578" s="13" t="s">
        <v>5289</v>
      </c>
      <c r="H578" s="13" t="s">
        <v>5289</v>
      </c>
      <c r="I578" s="13" t="s">
        <v>5292</v>
      </c>
      <c r="J578" s="13" t="s">
        <v>5289</v>
      </c>
      <c r="K578" s="13" t="s">
        <v>5292</v>
      </c>
      <c r="L578" s="13" t="s">
        <v>4043</v>
      </c>
      <c r="M578" s="13"/>
      <c r="N578" s="13" t="n">
        <v>7908038600731</v>
      </c>
      <c r="O578" s="13"/>
      <c r="P578" s="13" t="s">
        <v>5291</v>
      </c>
      <c r="Q578" s="13" t="s">
        <v>5289</v>
      </c>
      <c r="R578" s="13" t="s">
        <v>5292</v>
      </c>
      <c r="S578" s="13" t="s">
        <v>5293</v>
      </c>
      <c r="T578" s="13" t="s">
        <v>3</v>
      </c>
      <c r="U578" s="13" t="s">
        <v>85</v>
      </c>
      <c r="V578" s="13" t="n">
        <f aca="false">IF(COUNTIF($B$2:B578,B578)=1,1,0)</f>
        <v>0</v>
      </c>
      <c r="W578" s="13" t="n">
        <f aca="false">IF(COUNTIFS($B$2:B578,B578,$T$2:T578,T578)=1,1,0)</f>
        <v>0</v>
      </c>
    </row>
    <row r="579" customFormat="false" ht="15" hidden="false" customHeight="false" outlineLevel="0" collapsed="false">
      <c r="A579" s="13" t="s">
        <v>4054</v>
      </c>
      <c r="B579" s="13" t="s">
        <v>2124</v>
      </c>
      <c r="C579" s="13" t="n">
        <v>1000</v>
      </c>
      <c r="D579" s="13" t="n">
        <v>20</v>
      </c>
      <c r="E579" s="13" t="n">
        <v>66.99</v>
      </c>
      <c r="F579" s="13" t="s">
        <v>5288</v>
      </c>
      <c r="G579" s="13" t="s">
        <v>5289</v>
      </c>
      <c r="H579" s="13" t="s">
        <v>5289</v>
      </c>
      <c r="I579" s="13" t="s">
        <v>5292</v>
      </c>
      <c r="J579" s="13" t="s">
        <v>5289</v>
      </c>
      <c r="K579" s="13" t="s">
        <v>5292</v>
      </c>
      <c r="L579" s="13" t="s">
        <v>4053</v>
      </c>
      <c r="M579" s="13"/>
      <c r="N579" s="13" t="n">
        <v>5425017730774</v>
      </c>
      <c r="O579" s="13"/>
      <c r="P579" s="13" t="s">
        <v>5297</v>
      </c>
      <c r="Q579" s="13" t="s">
        <v>5289</v>
      </c>
      <c r="R579" s="13" t="s">
        <v>5292</v>
      </c>
      <c r="S579" s="13" t="s">
        <v>5293</v>
      </c>
      <c r="T579" s="13" t="s">
        <v>3</v>
      </c>
      <c r="U579" s="13" t="s">
        <v>43</v>
      </c>
      <c r="V579" s="13" t="n">
        <f aca="false">IF(COUNTIF($B$2:B579,B579)=1,1,0)</f>
        <v>0</v>
      </c>
      <c r="W579" s="13" t="n">
        <f aca="false">IF(COUNTIFS($B$2:B579,B579,$T$2:T579,T579)=1,1,0)</f>
        <v>0</v>
      </c>
    </row>
    <row r="580" customFormat="false" ht="15" hidden="false" customHeight="false" outlineLevel="0" collapsed="false">
      <c r="A580" s="13" t="s">
        <v>4039</v>
      </c>
      <c r="B580" s="13" t="s">
        <v>2142</v>
      </c>
      <c r="C580" s="13" t="n">
        <v>1000</v>
      </c>
      <c r="D580" s="13" t="n">
        <v>30</v>
      </c>
      <c r="E580" s="13" t="n">
        <v>29.4179411764706</v>
      </c>
      <c r="F580" s="13" t="s">
        <v>5288</v>
      </c>
      <c r="G580" s="13" t="s">
        <v>5289</v>
      </c>
      <c r="H580" s="13" t="s">
        <v>5289</v>
      </c>
      <c r="I580" s="13" t="s">
        <v>5292</v>
      </c>
      <c r="J580" s="13" t="s">
        <v>5289</v>
      </c>
      <c r="K580" s="13" t="s">
        <v>5292</v>
      </c>
      <c r="L580" s="13" t="s">
        <v>4038</v>
      </c>
      <c r="M580" s="13"/>
      <c r="N580" s="13" t="n">
        <v>7908038600762</v>
      </c>
      <c r="O580" s="13"/>
      <c r="P580" s="13" t="s">
        <v>5297</v>
      </c>
      <c r="Q580" s="13" t="s">
        <v>5289</v>
      </c>
      <c r="R580" s="13" t="s">
        <v>5292</v>
      </c>
      <c r="S580" s="13" t="s">
        <v>5293</v>
      </c>
      <c r="T580" s="13" t="s">
        <v>3</v>
      </c>
      <c r="U580" s="13" t="s">
        <v>183</v>
      </c>
      <c r="V580" s="13" t="n">
        <f aca="false">IF(COUNTIF($B$2:B580,B580)=1,1,0)</f>
        <v>0</v>
      </c>
      <c r="W580" s="13" t="n">
        <f aca="false">IF(COUNTIFS($B$2:B580,B580,$T$2:T580,T580)=1,1,0)</f>
        <v>0</v>
      </c>
    </row>
    <row r="581" customFormat="false" ht="15" hidden="false" customHeight="false" outlineLevel="0" collapsed="false">
      <c r="A581" s="13" t="s">
        <v>5519</v>
      </c>
      <c r="B581" s="13" t="s">
        <v>2107</v>
      </c>
      <c r="C581" s="13" t="n">
        <v>1000</v>
      </c>
      <c r="D581" s="13" t="n">
        <v>10</v>
      </c>
      <c r="E581" s="13" t="n">
        <v>71.1328571428571</v>
      </c>
      <c r="F581" s="13" t="s">
        <v>5288</v>
      </c>
      <c r="G581" s="13" t="s">
        <v>5289</v>
      </c>
      <c r="H581" s="13" t="s">
        <v>5289</v>
      </c>
      <c r="I581" s="13" t="s">
        <v>5292</v>
      </c>
      <c r="J581" s="13" t="s">
        <v>5289</v>
      </c>
      <c r="K581" s="13" t="s">
        <v>5292</v>
      </c>
      <c r="L581" s="13" t="s">
        <v>3479</v>
      </c>
      <c r="M581" s="13"/>
      <c r="N581" s="13" t="n">
        <v>8439627602939</v>
      </c>
      <c r="O581" s="13"/>
      <c r="P581" s="13" t="s">
        <v>5297</v>
      </c>
      <c r="Q581" s="13" t="s">
        <v>5289</v>
      </c>
      <c r="R581" s="13" t="s">
        <v>5292</v>
      </c>
      <c r="S581" s="13" t="s">
        <v>5293</v>
      </c>
      <c r="T581" s="13" t="s">
        <v>3</v>
      </c>
      <c r="U581" s="13" t="s">
        <v>43</v>
      </c>
      <c r="V581" s="13" t="n">
        <f aca="false">IF(COUNTIF($B$2:B581,B581)=1,1,0)</f>
        <v>0</v>
      </c>
      <c r="W581" s="13" t="n">
        <f aca="false">IF(COUNTIFS($B$2:B581,B581,$T$2:T581,T581)=1,1,0)</f>
        <v>0</v>
      </c>
    </row>
    <row r="582" customFormat="false" ht="15" hidden="false" customHeight="false" outlineLevel="0" collapsed="false">
      <c r="A582" s="13" t="s">
        <v>1242</v>
      </c>
      <c r="B582" s="13" t="s">
        <v>365</v>
      </c>
      <c r="C582" s="13" t="n">
        <v>990</v>
      </c>
      <c r="D582" s="13" t="n">
        <v>10</v>
      </c>
      <c r="E582" s="13" t="n">
        <v>89.9</v>
      </c>
      <c r="F582" s="13" t="s">
        <v>5288</v>
      </c>
      <c r="G582" s="13" t="s">
        <v>5289</v>
      </c>
      <c r="H582" s="13" t="s">
        <v>5289</v>
      </c>
      <c r="I582" s="13" t="s">
        <v>5289</v>
      </c>
      <c r="J582" s="13" t="s">
        <v>5289</v>
      </c>
      <c r="K582" s="13" t="s">
        <v>5292</v>
      </c>
      <c r="L582" s="13" t="s">
        <v>4068</v>
      </c>
      <c r="M582" s="13"/>
      <c r="N582" s="13" t="n">
        <v>6290362348788</v>
      </c>
      <c r="O582" s="13"/>
      <c r="P582" s="13" t="s">
        <v>5291</v>
      </c>
      <c r="Q582" s="13" t="s">
        <v>5289</v>
      </c>
      <c r="R582" s="13" t="s">
        <v>5292</v>
      </c>
      <c r="S582" s="13" t="s">
        <v>5293</v>
      </c>
      <c r="T582" s="13" t="s">
        <v>3</v>
      </c>
      <c r="U582" s="13" t="s">
        <v>43</v>
      </c>
      <c r="V582" s="13" t="n">
        <f aca="false">IF(COUNTIF($B$2:B582,B582)=1,1,0)</f>
        <v>0</v>
      </c>
      <c r="W582" s="13" t="n">
        <f aca="false">IF(COUNTIFS($B$2:B582,B582,$T$2:T582,T582)=1,1,0)</f>
        <v>0</v>
      </c>
    </row>
    <row r="583" customFormat="false" ht="15" hidden="false" customHeight="false" outlineLevel="0" collapsed="false">
      <c r="A583" s="13" t="s">
        <v>4065</v>
      </c>
      <c r="B583" s="13" t="s">
        <v>2101</v>
      </c>
      <c r="C583" s="13" t="n">
        <v>990</v>
      </c>
      <c r="D583" s="13" t="n">
        <v>20</v>
      </c>
      <c r="E583" s="13" t="n">
        <v>57.99</v>
      </c>
      <c r="F583" s="13" t="s">
        <v>5288</v>
      </c>
      <c r="G583" s="13" t="s">
        <v>5289</v>
      </c>
      <c r="H583" s="13" t="s">
        <v>5289</v>
      </c>
      <c r="I583" s="13" t="s">
        <v>5292</v>
      </c>
      <c r="J583" s="13" t="s">
        <v>5289</v>
      </c>
      <c r="K583" s="13" t="s">
        <v>5292</v>
      </c>
      <c r="L583" s="13" t="s">
        <v>4064</v>
      </c>
      <c r="M583" s="13"/>
      <c r="N583" s="13" t="n">
        <v>7908412511516</v>
      </c>
      <c r="O583" s="13"/>
      <c r="P583" s="13" t="s">
        <v>5297</v>
      </c>
      <c r="Q583" s="13" t="s">
        <v>5289</v>
      </c>
      <c r="R583" s="13" t="s">
        <v>5292</v>
      </c>
      <c r="S583" s="13" t="s">
        <v>5293</v>
      </c>
      <c r="T583" s="13" t="s">
        <v>3</v>
      </c>
      <c r="U583" s="13" t="s">
        <v>85</v>
      </c>
      <c r="V583" s="13" t="n">
        <f aca="false">IF(COUNTIF($B$2:B583,B583)=1,1,0)</f>
        <v>0</v>
      </c>
      <c r="W583" s="13" t="n">
        <f aca="false">IF(COUNTIFS($B$2:B583,B583,$T$2:T583,T583)=1,1,0)</f>
        <v>0</v>
      </c>
    </row>
    <row r="584" customFormat="false" ht="15" hidden="false" customHeight="false" outlineLevel="0" collapsed="false">
      <c r="A584" s="13" t="s">
        <v>3542</v>
      </c>
      <c r="B584" s="13" t="s">
        <v>2211</v>
      </c>
      <c r="C584" s="13" t="n">
        <v>990</v>
      </c>
      <c r="D584" s="13" t="n">
        <v>5</v>
      </c>
      <c r="E584" s="13" t="n">
        <v>109.512222222222</v>
      </c>
      <c r="F584" s="13" t="s">
        <v>5288</v>
      </c>
      <c r="G584" s="13" t="s">
        <v>5289</v>
      </c>
      <c r="H584" s="13" t="s">
        <v>5292</v>
      </c>
      <c r="I584" s="13" t="s">
        <v>5289</v>
      </c>
      <c r="J584" s="13" t="s">
        <v>5289</v>
      </c>
      <c r="K584" s="13" t="s">
        <v>5292</v>
      </c>
      <c r="L584" s="13" t="s">
        <v>3541</v>
      </c>
      <c r="M584" s="13"/>
      <c r="N584" s="13" t="n">
        <v>6917189026063</v>
      </c>
      <c r="O584" s="13"/>
      <c r="P584" s="13" t="s">
        <v>5291</v>
      </c>
      <c r="Q584" s="13" t="s">
        <v>5289</v>
      </c>
      <c r="R584" s="13" t="s">
        <v>5292</v>
      </c>
      <c r="S584" s="13" t="s">
        <v>5293</v>
      </c>
      <c r="T584" s="13" t="s">
        <v>3</v>
      </c>
      <c r="U584" s="13" t="s">
        <v>85</v>
      </c>
      <c r="V584" s="13" t="n">
        <f aca="false">IF(COUNTIF($B$2:B584,B584)=1,1,0)</f>
        <v>0</v>
      </c>
      <c r="W584" s="13" t="n">
        <f aca="false">IF(COUNTIFS($B$2:B584,B584,$T$2:T584,T584)=1,1,0)</f>
        <v>0</v>
      </c>
    </row>
    <row r="585" customFormat="false" ht="15" hidden="false" customHeight="false" outlineLevel="0" collapsed="false">
      <c r="A585" s="13" t="s">
        <v>4081</v>
      </c>
      <c r="B585" s="13" t="s">
        <v>2124</v>
      </c>
      <c r="C585" s="13" t="n">
        <v>980</v>
      </c>
      <c r="D585" s="13" t="n">
        <v>10</v>
      </c>
      <c r="E585" s="13" t="n">
        <v>69.99</v>
      </c>
      <c r="F585" s="13" t="s">
        <v>5288</v>
      </c>
      <c r="G585" s="13" t="s">
        <v>5289</v>
      </c>
      <c r="H585" s="13" t="s">
        <v>5289</v>
      </c>
      <c r="I585" s="13" t="s">
        <v>5292</v>
      </c>
      <c r="J585" s="13" t="s">
        <v>5289</v>
      </c>
      <c r="K585" s="13" t="s">
        <v>5292</v>
      </c>
      <c r="L585" s="13" t="s">
        <v>4080</v>
      </c>
      <c r="M585" s="13"/>
      <c r="N585" s="13" t="n">
        <v>5425039221748</v>
      </c>
      <c r="O585" s="13"/>
      <c r="P585" s="13" t="s">
        <v>5291</v>
      </c>
      <c r="Q585" s="13" t="s">
        <v>5289</v>
      </c>
      <c r="R585" s="13" t="s">
        <v>5292</v>
      </c>
      <c r="S585" s="13" t="s">
        <v>5293</v>
      </c>
      <c r="T585" s="13" t="s">
        <v>3</v>
      </c>
      <c r="U585" s="13" t="s">
        <v>43</v>
      </c>
      <c r="V585" s="13" t="n">
        <f aca="false">IF(COUNTIF($B$2:B585,B585)=1,1,0)</f>
        <v>0</v>
      </c>
      <c r="W585" s="13" t="n">
        <f aca="false">IF(COUNTIFS($B$2:B585,B585,$T$2:T585,T585)=1,1,0)</f>
        <v>0</v>
      </c>
    </row>
    <row r="586" customFormat="false" ht="15" hidden="false" customHeight="false" outlineLevel="0" collapsed="false">
      <c r="A586" s="13" t="s">
        <v>4079</v>
      </c>
      <c r="B586" s="13" t="s">
        <v>2124</v>
      </c>
      <c r="C586" s="13" t="n">
        <v>980</v>
      </c>
      <c r="D586" s="13" t="n">
        <v>10</v>
      </c>
      <c r="E586" s="13" t="n">
        <v>69.99</v>
      </c>
      <c r="F586" s="13" t="s">
        <v>5288</v>
      </c>
      <c r="G586" s="13" t="s">
        <v>5289</v>
      </c>
      <c r="H586" s="13" t="s">
        <v>5289</v>
      </c>
      <c r="I586" s="13" t="s">
        <v>5292</v>
      </c>
      <c r="J586" s="13" t="s">
        <v>5289</v>
      </c>
      <c r="K586" s="13" t="s">
        <v>5292</v>
      </c>
      <c r="L586" s="13" t="s">
        <v>4078</v>
      </c>
      <c r="M586" s="13"/>
      <c r="N586" s="13" t="n">
        <v>5425017736431</v>
      </c>
      <c r="O586" s="13"/>
      <c r="P586" s="13" t="s">
        <v>5291</v>
      </c>
      <c r="Q586" s="13" t="s">
        <v>5289</v>
      </c>
      <c r="R586" s="13" t="s">
        <v>5292</v>
      </c>
      <c r="S586" s="13" t="s">
        <v>5293</v>
      </c>
      <c r="T586" s="13" t="s">
        <v>3</v>
      </c>
      <c r="U586" s="13" t="s">
        <v>43</v>
      </c>
      <c r="V586" s="13" t="n">
        <f aca="false">IF(COUNTIF($B$2:B586,B586)=1,1,0)</f>
        <v>0</v>
      </c>
      <c r="W586" s="13" t="n">
        <f aca="false">IF(COUNTIFS($B$2:B586,B586,$T$2:T586,T586)=1,1,0)</f>
        <v>0</v>
      </c>
    </row>
    <row r="587" customFormat="false" ht="15" hidden="false" customHeight="false" outlineLevel="0" collapsed="false">
      <c r="A587" s="13" t="s">
        <v>5520</v>
      </c>
      <c r="B587" s="13" t="s">
        <v>2247</v>
      </c>
      <c r="C587" s="13" t="n">
        <v>980</v>
      </c>
      <c r="D587" s="13" t="n">
        <v>10</v>
      </c>
      <c r="E587" s="13" t="n">
        <v>69.99</v>
      </c>
      <c r="F587" s="13" t="s">
        <v>5288</v>
      </c>
      <c r="G587" s="13" t="s">
        <v>5289</v>
      </c>
      <c r="H587" s="13" t="s">
        <v>5289</v>
      </c>
      <c r="I587" s="13" t="s">
        <v>5292</v>
      </c>
      <c r="J587" s="13" t="s">
        <v>5289</v>
      </c>
      <c r="K587" s="13" t="s">
        <v>5292</v>
      </c>
      <c r="L587" s="13" t="s">
        <v>5521</v>
      </c>
      <c r="M587" s="13"/>
      <c r="N587" s="13"/>
      <c r="O587" s="13"/>
      <c r="P587" s="13" t="s">
        <v>5291</v>
      </c>
      <c r="Q587" s="13" t="s">
        <v>5289</v>
      </c>
      <c r="R587" s="13" t="s">
        <v>5292</v>
      </c>
      <c r="S587" s="13" t="s">
        <v>5293</v>
      </c>
      <c r="T587" s="13" t="s">
        <v>3</v>
      </c>
      <c r="U587" s="13" t="s">
        <v>85</v>
      </c>
      <c r="V587" s="13" t="n">
        <f aca="false">IF(COUNTIF($B$2:B587,B587)=1,1,0)</f>
        <v>1</v>
      </c>
      <c r="W587" s="13" t="n">
        <f aca="false">IF(COUNTIFS($B$2:B587,B587,$T$2:T587,T587)=1,1,0)</f>
        <v>1</v>
      </c>
    </row>
    <row r="588" customFormat="false" ht="15" hidden="false" customHeight="false" outlineLevel="0" collapsed="false">
      <c r="A588" s="13" t="s">
        <v>5522</v>
      </c>
      <c r="B588" s="13" t="s">
        <v>2197</v>
      </c>
      <c r="C588" s="13" t="n">
        <v>970</v>
      </c>
      <c r="D588" s="13" t="n">
        <v>20</v>
      </c>
      <c r="E588" s="13" t="n">
        <v>38.99</v>
      </c>
      <c r="F588" s="13" t="s">
        <v>5288</v>
      </c>
      <c r="G588" s="13" t="s">
        <v>5289</v>
      </c>
      <c r="H588" s="13" t="s">
        <v>5289</v>
      </c>
      <c r="I588" s="13" t="s">
        <v>5292</v>
      </c>
      <c r="J588" s="13" t="s">
        <v>5289</v>
      </c>
      <c r="K588" s="13" t="s">
        <v>5292</v>
      </c>
      <c r="L588" s="13" t="s">
        <v>3251</v>
      </c>
      <c r="M588" s="13"/>
      <c r="N588" s="13" t="n">
        <v>7898390941453</v>
      </c>
      <c r="O588" s="13"/>
      <c r="P588" s="13" t="s">
        <v>5291</v>
      </c>
      <c r="Q588" s="13" t="s">
        <v>5289</v>
      </c>
      <c r="R588" s="13" t="s">
        <v>5292</v>
      </c>
      <c r="S588" s="13" t="s">
        <v>5293</v>
      </c>
      <c r="T588" s="13" t="s">
        <v>3</v>
      </c>
      <c r="U588" s="13" t="s">
        <v>85</v>
      </c>
      <c r="V588" s="13" t="n">
        <f aca="false">IF(COUNTIF($B$2:B588,B588)=1,1,0)</f>
        <v>0</v>
      </c>
      <c r="W588" s="13" t="n">
        <f aca="false">IF(COUNTIFS($B$2:B588,B588,$T$2:T588,T588)=1,1,0)</f>
        <v>0</v>
      </c>
    </row>
    <row r="589" customFormat="false" ht="15" hidden="false" customHeight="false" outlineLevel="0" collapsed="false">
      <c r="A589" s="13" t="s">
        <v>1262</v>
      </c>
      <c r="B589" s="13" t="s">
        <v>131</v>
      </c>
      <c r="C589" s="13" t="n">
        <v>970</v>
      </c>
      <c r="D589" s="13" t="n">
        <v>1</v>
      </c>
      <c r="E589" s="13" t="n">
        <v>971.99</v>
      </c>
      <c r="F589" s="13" t="s">
        <v>5288</v>
      </c>
      <c r="G589" s="13" t="s">
        <v>5289</v>
      </c>
      <c r="H589" s="13" t="s">
        <v>5289</v>
      </c>
      <c r="I589" s="13" t="s">
        <v>5289</v>
      </c>
      <c r="J589" s="13" t="s">
        <v>5289</v>
      </c>
      <c r="K589" s="13" t="s">
        <v>5292</v>
      </c>
      <c r="L589" s="13" t="s">
        <v>4090</v>
      </c>
      <c r="M589" s="13"/>
      <c r="N589" s="13" t="n">
        <v>7908137905683</v>
      </c>
      <c r="O589" s="13"/>
      <c r="P589" s="13" t="s">
        <v>5291</v>
      </c>
      <c r="Q589" s="13" t="s">
        <v>5289</v>
      </c>
      <c r="R589" s="13" t="s">
        <v>5292</v>
      </c>
      <c r="S589" s="13" t="s">
        <v>5293</v>
      </c>
      <c r="T589" s="13" t="s">
        <v>3</v>
      </c>
      <c r="U589" s="13" t="s">
        <v>66</v>
      </c>
      <c r="V589" s="13" t="n">
        <f aca="false">IF(COUNTIF($B$2:B589,B589)=1,1,0)</f>
        <v>0</v>
      </c>
      <c r="W589" s="13" t="n">
        <f aca="false">IF(COUNTIFS($B$2:B589,B589,$T$2:T589,T589)=1,1,0)</f>
        <v>0</v>
      </c>
    </row>
    <row r="590" customFormat="false" ht="15" hidden="false" customHeight="false" outlineLevel="0" collapsed="false">
      <c r="A590" s="13" t="s">
        <v>4098</v>
      </c>
      <c r="B590" s="13" t="s">
        <v>2142</v>
      </c>
      <c r="C590" s="13" t="n">
        <v>960</v>
      </c>
      <c r="D590" s="13" t="n">
        <v>30</v>
      </c>
      <c r="E590" s="13" t="n">
        <v>34.2942857142857</v>
      </c>
      <c r="F590" s="13" t="s">
        <v>5288</v>
      </c>
      <c r="G590" s="13" t="s">
        <v>5289</v>
      </c>
      <c r="H590" s="13" t="s">
        <v>5289</v>
      </c>
      <c r="I590" s="13" t="s">
        <v>5292</v>
      </c>
      <c r="J590" s="13" t="s">
        <v>5289</v>
      </c>
      <c r="K590" s="13" t="s">
        <v>5292</v>
      </c>
      <c r="L590" s="13" t="s">
        <v>5523</v>
      </c>
      <c r="M590" s="13"/>
      <c r="N590" s="13" t="n">
        <v>7898952577380</v>
      </c>
      <c r="O590" s="13"/>
      <c r="P590" s="13" t="s">
        <v>5291</v>
      </c>
      <c r="Q590" s="13" t="s">
        <v>5289</v>
      </c>
      <c r="R590" s="13" t="s">
        <v>5292</v>
      </c>
      <c r="S590" s="13" t="s">
        <v>5293</v>
      </c>
      <c r="T590" s="13" t="s">
        <v>3</v>
      </c>
      <c r="U590" s="13" t="s">
        <v>85</v>
      </c>
      <c r="V590" s="13" t="n">
        <f aca="false">IF(COUNTIF($B$2:B590,B590)=1,1,0)</f>
        <v>0</v>
      </c>
      <c r="W590" s="13" t="n">
        <f aca="false">IF(COUNTIFS($B$2:B590,B590,$T$2:T590,T590)=1,1,0)</f>
        <v>0</v>
      </c>
    </row>
    <row r="591" customFormat="false" ht="15" hidden="false" customHeight="false" outlineLevel="0" collapsed="false">
      <c r="A591" s="13" t="s">
        <v>1294</v>
      </c>
      <c r="B591" s="13" t="s">
        <v>204</v>
      </c>
      <c r="C591" s="13" t="n">
        <v>920</v>
      </c>
      <c r="D591" s="13" t="n">
        <v>2</v>
      </c>
      <c r="E591" s="13" t="n">
        <v>306</v>
      </c>
      <c r="F591" s="13" t="s">
        <v>5288</v>
      </c>
      <c r="G591" s="13" t="s">
        <v>5289</v>
      </c>
      <c r="H591" s="13" t="s">
        <v>5289</v>
      </c>
      <c r="I591" s="13" t="s">
        <v>5289</v>
      </c>
      <c r="J591" s="13" t="s">
        <v>5289</v>
      </c>
      <c r="K591" s="13" t="s">
        <v>5292</v>
      </c>
      <c r="L591" s="13" t="s">
        <v>3101</v>
      </c>
      <c r="M591" s="13"/>
      <c r="N591" s="13" t="n">
        <v>7640496670139</v>
      </c>
      <c r="O591" s="13"/>
      <c r="P591" s="13" t="s">
        <v>5291</v>
      </c>
      <c r="Q591" s="13" t="s">
        <v>5289</v>
      </c>
      <c r="R591" s="13" t="s">
        <v>5292</v>
      </c>
      <c r="S591" s="13" t="s">
        <v>5293</v>
      </c>
      <c r="T591" s="13" t="s">
        <v>3</v>
      </c>
      <c r="U591" s="13" t="s">
        <v>43</v>
      </c>
      <c r="V591" s="13" t="n">
        <f aca="false">IF(COUNTIF($B$2:B591,B591)=1,1,0)</f>
        <v>0</v>
      </c>
      <c r="W591" s="13" t="n">
        <f aca="false">IF(COUNTIFS($B$2:B591,B591,$T$2:T591,T591)=1,1,0)</f>
        <v>0</v>
      </c>
    </row>
    <row r="592" customFormat="false" ht="15" hidden="false" customHeight="false" outlineLevel="0" collapsed="false">
      <c r="A592" s="13" t="s">
        <v>1301</v>
      </c>
      <c r="B592" s="13" t="s">
        <v>81</v>
      </c>
      <c r="C592" s="13" t="n">
        <v>910</v>
      </c>
      <c r="D592" s="13" t="n">
        <v>20</v>
      </c>
      <c r="E592" s="13" t="n">
        <v>37.99</v>
      </c>
      <c r="F592" s="13" t="s">
        <v>5288</v>
      </c>
      <c r="G592" s="13" t="s">
        <v>5289</v>
      </c>
      <c r="H592" s="13" t="s">
        <v>5289</v>
      </c>
      <c r="I592" s="13" t="s">
        <v>5292</v>
      </c>
      <c r="J592" s="13" t="s">
        <v>5289</v>
      </c>
      <c r="K592" s="13" t="s">
        <v>5292</v>
      </c>
      <c r="L592" s="13" t="s">
        <v>5524</v>
      </c>
      <c r="M592" s="13"/>
      <c r="N592" s="13" t="n">
        <v>7899206176489</v>
      </c>
      <c r="O592" s="13"/>
      <c r="P592" s="13" t="s">
        <v>5291</v>
      </c>
      <c r="Q592" s="13" t="s">
        <v>5289</v>
      </c>
      <c r="R592" s="13" t="s">
        <v>5292</v>
      </c>
      <c r="S592" s="13" t="s">
        <v>5293</v>
      </c>
      <c r="T592" s="13" t="s">
        <v>3</v>
      </c>
      <c r="U592" s="13" t="s">
        <v>85</v>
      </c>
      <c r="V592" s="13" t="n">
        <f aca="false">IF(COUNTIF($B$2:B592,B592)=1,1,0)</f>
        <v>0</v>
      </c>
      <c r="W592" s="13" t="n">
        <f aca="false">IF(COUNTIFS($B$2:B592,B592,$T$2:T592,T592)=1,1,0)</f>
        <v>0</v>
      </c>
    </row>
    <row r="593" customFormat="false" ht="15" hidden="false" customHeight="false" outlineLevel="0" collapsed="false">
      <c r="A593" s="13" t="s">
        <v>1300</v>
      </c>
      <c r="B593" s="13" t="s">
        <v>179</v>
      </c>
      <c r="C593" s="13" t="n">
        <v>910</v>
      </c>
      <c r="D593" s="13" t="n">
        <v>5</v>
      </c>
      <c r="E593" s="13" t="n">
        <v>129.99</v>
      </c>
      <c r="F593" s="13" t="s">
        <v>5288</v>
      </c>
      <c r="G593" s="13" t="s">
        <v>5289</v>
      </c>
      <c r="H593" s="13" t="s">
        <v>5289</v>
      </c>
      <c r="I593" s="13" t="s">
        <v>5289</v>
      </c>
      <c r="J593" s="13" t="s">
        <v>5289</v>
      </c>
      <c r="K593" s="13" t="s">
        <v>5292</v>
      </c>
      <c r="L593" s="13" t="s">
        <v>4127</v>
      </c>
      <c r="M593" s="13"/>
      <c r="N593" s="13" t="n">
        <v>7908005324165</v>
      </c>
      <c r="O593" s="13"/>
      <c r="P593" s="13" t="s">
        <v>5291</v>
      </c>
      <c r="Q593" s="13" t="s">
        <v>5289</v>
      </c>
      <c r="R593" s="13" t="s">
        <v>5292</v>
      </c>
      <c r="S593" s="13" t="s">
        <v>5293</v>
      </c>
      <c r="T593" s="13" t="s">
        <v>3</v>
      </c>
      <c r="U593" s="13" t="s">
        <v>85</v>
      </c>
      <c r="V593" s="13" t="n">
        <f aca="false">IF(COUNTIF($B$2:B593,B593)=1,1,0)</f>
        <v>0</v>
      </c>
      <c r="W593" s="13" t="n">
        <f aca="false">IF(COUNTIFS($B$2:B593,B593,$T$2:T593,T593)=1,1,0)</f>
        <v>0</v>
      </c>
    </row>
    <row r="594" customFormat="false" ht="15" hidden="false" customHeight="false" outlineLevel="0" collapsed="false">
      <c r="A594" s="13" t="s">
        <v>4131</v>
      </c>
      <c r="B594" s="13" t="s">
        <v>2248</v>
      </c>
      <c r="C594" s="13" t="n">
        <v>910</v>
      </c>
      <c r="D594" s="13" t="n">
        <v>2</v>
      </c>
      <c r="E594" s="13" t="n">
        <v>302.63</v>
      </c>
      <c r="F594" s="13" t="s">
        <v>5325</v>
      </c>
      <c r="G594" s="13" t="s">
        <v>5289</v>
      </c>
      <c r="H594" s="13" t="s">
        <v>5289</v>
      </c>
      <c r="I594" s="13" t="s">
        <v>5289</v>
      </c>
      <c r="J594" s="13" t="s">
        <v>5289</v>
      </c>
      <c r="K594" s="13" t="s">
        <v>5289</v>
      </c>
      <c r="L594" s="13" t="s">
        <v>4130</v>
      </c>
      <c r="M594" s="13"/>
      <c r="N594" s="13" t="n">
        <v>7896558449872</v>
      </c>
      <c r="O594" s="13"/>
      <c r="P594" s="13" t="s">
        <v>5291</v>
      </c>
      <c r="Q594" s="13" t="s">
        <v>5289</v>
      </c>
      <c r="R594" s="13" t="s">
        <v>5292</v>
      </c>
      <c r="S594" s="13" t="s">
        <v>5293</v>
      </c>
      <c r="T594" s="13" t="s">
        <v>3</v>
      </c>
      <c r="U594" s="13" t="s">
        <v>66</v>
      </c>
      <c r="V594" s="13" t="n">
        <f aca="false">IF(COUNTIF($B$2:B594,B594)=1,1,0)</f>
        <v>1</v>
      </c>
      <c r="W594" s="13" t="n">
        <f aca="false">IF(COUNTIFS($B$2:B594,B594,$T$2:T594,T594)=1,1,0)</f>
        <v>1</v>
      </c>
    </row>
    <row r="595" customFormat="false" ht="15" hidden="false" customHeight="false" outlineLevel="0" collapsed="false">
      <c r="A595" s="13" t="s">
        <v>4145</v>
      </c>
      <c r="B595" s="13" t="s">
        <v>2100</v>
      </c>
      <c r="C595" s="13" t="n">
        <v>900</v>
      </c>
      <c r="D595" s="13" t="n">
        <v>10</v>
      </c>
      <c r="E595" s="13" t="n">
        <v>69.5215384615385</v>
      </c>
      <c r="F595" s="13" t="s">
        <v>5288</v>
      </c>
      <c r="G595" s="13" t="s">
        <v>5289</v>
      </c>
      <c r="H595" s="13" t="s">
        <v>5289</v>
      </c>
      <c r="I595" s="13" t="s">
        <v>5292</v>
      </c>
      <c r="J595" s="13" t="s">
        <v>5289</v>
      </c>
      <c r="K595" s="13" t="s">
        <v>5292</v>
      </c>
      <c r="L595" s="13" t="s">
        <v>4144</v>
      </c>
      <c r="M595" s="13"/>
      <c r="N595" s="13" t="n">
        <v>7898410312683</v>
      </c>
      <c r="O595" s="13"/>
      <c r="P595" s="13" t="s">
        <v>5291</v>
      </c>
      <c r="Q595" s="13" t="s">
        <v>5289</v>
      </c>
      <c r="R595" s="13" t="s">
        <v>5292</v>
      </c>
      <c r="S595" s="13" t="s">
        <v>5293</v>
      </c>
      <c r="T595" s="13" t="s">
        <v>3</v>
      </c>
      <c r="U595" s="13" t="s">
        <v>43</v>
      </c>
      <c r="V595" s="13" t="n">
        <f aca="false">IF(COUNTIF($B$2:B595,B595)=1,1,0)</f>
        <v>0</v>
      </c>
      <c r="W595" s="13" t="n">
        <f aca="false">IF(COUNTIFS($B$2:B595,B595,$T$2:T595,T595)=1,1,0)</f>
        <v>0</v>
      </c>
    </row>
    <row r="596" customFormat="false" ht="15" hidden="false" customHeight="false" outlineLevel="0" collapsed="false">
      <c r="A596" s="13" t="s">
        <v>4136</v>
      </c>
      <c r="B596" s="13" t="s">
        <v>2096</v>
      </c>
      <c r="C596" s="13" t="n">
        <v>900</v>
      </c>
      <c r="D596" s="13" t="n">
        <v>5</v>
      </c>
      <c r="E596" s="13" t="n">
        <v>100.323333333333</v>
      </c>
      <c r="F596" s="13" t="s">
        <v>5288</v>
      </c>
      <c r="G596" s="13" t="s">
        <v>5289</v>
      </c>
      <c r="H596" s="13" t="s">
        <v>5289</v>
      </c>
      <c r="I596" s="13" t="s">
        <v>5289</v>
      </c>
      <c r="J596" s="13" t="s">
        <v>5289</v>
      </c>
      <c r="K596" s="13" t="s">
        <v>5292</v>
      </c>
      <c r="L596" s="13" t="s">
        <v>5525</v>
      </c>
      <c r="M596" s="13"/>
      <c r="N596" s="13" t="n">
        <v>7891033935413</v>
      </c>
      <c r="O596" s="13"/>
      <c r="P596" s="13" t="s">
        <v>5297</v>
      </c>
      <c r="Q596" s="13" t="s">
        <v>5289</v>
      </c>
      <c r="R596" s="13" t="s">
        <v>5292</v>
      </c>
      <c r="S596" s="13" t="s">
        <v>5293</v>
      </c>
      <c r="T596" s="13" t="s">
        <v>3</v>
      </c>
      <c r="U596" s="13" t="s">
        <v>43</v>
      </c>
      <c r="V596" s="13" t="n">
        <f aca="false">IF(COUNTIF($B$2:B596,B596)=1,1,0)</f>
        <v>0</v>
      </c>
      <c r="W596" s="13" t="n">
        <f aca="false">IF(COUNTIFS($B$2:B596,B596,$T$2:T596,T596)=1,1,0)</f>
        <v>0</v>
      </c>
    </row>
    <row r="597" customFormat="false" ht="15" hidden="false" customHeight="false" outlineLevel="0" collapsed="false">
      <c r="A597" s="13" t="s">
        <v>1305</v>
      </c>
      <c r="B597" s="13" t="s">
        <v>191</v>
      </c>
      <c r="C597" s="13" t="n">
        <v>900</v>
      </c>
      <c r="D597" s="13" t="n">
        <v>5</v>
      </c>
      <c r="E597" s="13" t="n">
        <v>99.99</v>
      </c>
      <c r="F597" s="13" t="s">
        <v>5288</v>
      </c>
      <c r="G597" s="13" t="s">
        <v>5289</v>
      </c>
      <c r="H597" s="13" t="s">
        <v>5289</v>
      </c>
      <c r="I597" s="13" t="s">
        <v>5289</v>
      </c>
      <c r="J597" s="13" t="s">
        <v>5289</v>
      </c>
      <c r="K597" s="13" t="s">
        <v>5292</v>
      </c>
      <c r="L597" s="13" t="s">
        <v>5526</v>
      </c>
      <c r="M597" s="13"/>
      <c r="N597" s="13" t="n">
        <v>7896768470048</v>
      </c>
      <c r="O597" s="13"/>
      <c r="P597" s="13" t="s">
        <v>5297</v>
      </c>
      <c r="Q597" s="13" t="s">
        <v>5289</v>
      </c>
      <c r="R597" s="13" t="s">
        <v>5292</v>
      </c>
      <c r="S597" s="13" t="s">
        <v>5293</v>
      </c>
      <c r="T597" s="13" t="s">
        <v>3</v>
      </c>
      <c r="U597" s="13" t="s">
        <v>183</v>
      </c>
      <c r="V597" s="13" t="n">
        <f aca="false">IF(COUNTIF($B$2:B597,B597)=1,1,0)</f>
        <v>0</v>
      </c>
      <c r="W597" s="13" t="n">
        <f aca="false">IF(COUNTIFS($B$2:B597,B597,$T$2:T597,T597)=1,1,0)</f>
        <v>0</v>
      </c>
    </row>
    <row r="598" customFormat="false" ht="15" hidden="false" customHeight="false" outlineLevel="0" collapsed="false">
      <c r="A598" s="13" t="s">
        <v>4138</v>
      </c>
      <c r="B598" s="13" t="s">
        <v>2107</v>
      </c>
      <c r="C598" s="13" t="n">
        <v>900</v>
      </c>
      <c r="D598" s="13" t="n">
        <v>5</v>
      </c>
      <c r="E598" s="13" t="n">
        <v>99.99</v>
      </c>
      <c r="F598" s="13" t="s">
        <v>5325</v>
      </c>
      <c r="G598" s="13" t="s">
        <v>5289</v>
      </c>
      <c r="H598" s="13" t="s">
        <v>5289</v>
      </c>
      <c r="I598" s="13" t="s">
        <v>5289</v>
      </c>
      <c r="J598" s="13" t="s">
        <v>5289</v>
      </c>
      <c r="K598" s="13" t="s">
        <v>5292</v>
      </c>
      <c r="L598" s="13" t="s">
        <v>4137</v>
      </c>
      <c r="M598" s="13"/>
      <c r="N598" s="13" t="n">
        <v>8439627623750</v>
      </c>
      <c r="O598" s="13"/>
      <c r="P598" s="13" t="s">
        <v>5297</v>
      </c>
      <c r="Q598" s="13" t="s">
        <v>5289</v>
      </c>
      <c r="R598" s="13" t="s">
        <v>5292</v>
      </c>
      <c r="S598" s="13" t="s">
        <v>5293</v>
      </c>
      <c r="T598" s="13" t="s">
        <v>3</v>
      </c>
      <c r="U598" s="13" t="s">
        <v>43</v>
      </c>
      <c r="V598" s="13" t="n">
        <f aca="false">IF(COUNTIF($B$2:B598,B598)=1,1,0)</f>
        <v>0</v>
      </c>
      <c r="W598" s="13" t="n">
        <f aca="false">IF(COUNTIFS($B$2:B598,B598,$T$2:T598,T598)=1,1,0)</f>
        <v>0</v>
      </c>
    </row>
    <row r="599" customFormat="false" ht="15" hidden="false" customHeight="false" outlineLevel="0" collapsed="false">
      <c r="A599" s="13" t="s">
        <v>1304</v>
      </c>
      <c r="B599" s="13" t="s">
        <v>179</v>
      </c>
      <c r="C599" s="13" t="n">
        <v>900</v>
      </c>
      <c r="D599" s="13" t="n">
        <v>5</v>
      </c>
      <c r="E599" s="13" t="n">
        <v>179</v>
      </c>
      <c r="F599" s="13" t="s">
        <v>5288</v>
      </c>
      <c r="G599" s="13" t="s">
        <v>5289</v>
      </c>
      <c r="H599" s="13" t="s">
        <v>5289</v>
      </c>
      <c r="I599" s="13" t="s">
        <v>5289</v>
      </c>
      <c r="J599" s="13" t="s">
        <v>5289</v>
      </c>
      <c r="K599" s="13" t="s">
        <v>5292</v>
      </c>
      <c r="L599" s="13" t="s">
        <v>4134</v>
      </c>
      <c r="M599" s="13"/>
      <c r="N599" s="13" t="n">
        <v>7898618487190</v>
      </c>
      <c r="O599" s="13"/>
      <c r="P599" s="13" t="s">
        <v>5291</v>
      </c>
      <c r="Q599" s="13" t="s">
        <v>5289</v>
      </c>
      <c r="R599" s="13" t="s">
        <v>5292</v>
      </c>
      <c r="S599" s="13" t="s">
        <v>5293</v>
      </c>
      <c r="T599" s="13" t="s">
        <v>3</v>
      </c>
      <c r="U599" s="13" t="s">
        <v>85</v>
      </c>
      <c r="V599" s="13" t="n">
        <f aca="false">IF(COUNTIF($B$2:B599,B599)=1,1,0)</f>
        <v>0</v>
      </c>
      <c r="W599" s="13" t="n">
        <f aca="false">IF(COUNTIFS($B$2:B599,B599,$T$2:T599,T599)=1,1,0)</f>
        <v>0</v>
      </c>
    </row>
    <row r="600" customFormat="false" ht="15" hidden="false" customHeight="false" outlineLevel="0" collapsed="false">
      <c r="A600" s="13" t="s">
        <v>4150</v>
      </c>
      <c r="B600" s="13" t="s">
        <v>2172</v>
      </c>
      <c r="C600" s="13" t="n">
        <v>890</v>
      </c>
      <c r="D600" s="13" t="n">
        <v>5</v>
      </c>
      <c r="E600" s="13" t="n">
        <v>149</v>
      </c>
      <c r="F600" s="13" t="s">
        <v>5325</v>
      </c>
      <c r="G600" s="13" t="s">
        <v>5289</v>
      </c>
      <c r="H600" s="13" t="s">
        <v>5289</v>
      </c>
      <c r="I600" s="13" t="s">
        <v>5289</v>
      </c>
      <c r="J600" s="13" t="s">
        <v>5289</v>
      </c>
      <c r="K600" s="13" t="s">
        <v>5292</v>
      </c>
      <c r="L600" s="13" t="s">
        <v>5527</v>
      </c>
      <c r="M600" s="13"/>
      <c r="N600" s="13" t="n">
        <v>7908005345467</v>
      </c>
      <c r="O600" s="13"/>
      <c r="P600" s="13" t="s">
        <v>5297</v>
      </c>
      <c r="Q600" s="13" t="s">
        <v>5289</v>
      </c>
      <c r="R600" s="13" t="s">
        <v>5292</v>
      </c>
      <c r="S600" s="13" t="s">
        <v>5293</v>
      </c>
      <c r="T600" s="13" t="s">
        <v>3</v>
      </c>
      <c r="U600" s="13" t="s">
        <v>85</v>
      </c>
      <c r="V600" s="13" t="n">
        <f aca="false">IF(COUNTIF($B$2:B600,B600)=1,1,0)</f>
        <v>0</v>
      </c>
      <c r="W600" s="13" t="n">
        <f aca="false">IF(COUNTIFS($B$2:B600,B600,$T$2:T600,T600)=1,1,0)</f>
        <v>0</v>
      </c>
    </row>
    <row r="601" customFormat="false" ht="15" hidden="false" customHeight="false" outlineLevel="0" collapsed="false">
      <c r="A601" s="13" t="s">
        <v>1311</v>
      </c>
      <c r="B601" s="13" t="s">
        <v>179</v>
      </c>
      <c r="C601" s="13" t="n">
        <v>890</v>
      </c>
      <c r="D601" s="13" t="n">
        <v>5</v>
      </c>
      <c r="E601" s="13" t="n">
        <v>99</v>
      </c>
      <c r="F601" s="13" t="s">
        <v>5325</v>
      </c>
      <c r="G601" s="13" t="s">
        <v>5289</v>
      </c>
      <c r="H601" s="13" t="s">
        <v>5289</v>
      </c>
      <c r="I601" s="13" t="s">
        <v>5289</v>
      </c>
      <c r="J601" s="13" t="s">
        <v>5289</v>
      </c>
      <c r="K601" s="13" t="s">
        <v>5289</v>
      </c>
      <c r="L601" s="13" t="s">
        <v>4148</v>
      </c>
      <c r="M601" s="13"/>
      <c r="N601" s="13" t="n">
        <v>7908005376690</v>
      </c>
      <c r="O601" s="13"/>
      <c r="P601" s="13" t="s">
        <v>5291</v>
      </c>
      <c r="Q601" s="13" t="s">
        <v>5289</v>
      </c>
      <c r="R601" s="13" t="s">
        <v>5292</v>
      </c>
      <c r="S601" s="13" t="s">
        <v>5293</v>
      </c>
      <c r="T601" s="13" t="s">
        <v>3</v>
      </c>
      <c r="U601" s="13" t="s">
        <v>180</v>
      </c>
      <c r="V601" s="13" t="n">
        <f aca="false">IF(COUNTIF($B$2:B601,B601)=1,1,0)</f>
        <v>0</v>
      </c>
      <c r="W601" s="13" t="n">
        <f aca="false">IF(COUNTIFS($B$2:B601,B601,$T$2:T601,T601)=1,1,0)</f>
        <v>0</v>
      </c>
    </row>
    <row r="602" customFormat="false" ht="15" hidden="false" customHeight="false" outlineLevel="0" collapsed="false">
      <c r="A602" s="13" t="s">
        <v>4154</v>
      </c>
      <c r="B602" s="13" t="s">
        <v>2126</v>
      </c>
      <c r="C602" s="13" t="n">
        <v>880</v>
      </c>
      <c r="D602" s="13" t="n">
        <v>20</v>
      </c>
      <c r="E602" s="13" t="n">
        <v>54.718125</v>
      </c>
      <c r="F602" s="13" t="s">
        <v>5288</v>
      </c>
      <c r="G602" s="13" t="s">
        <v>5289</v>
      </c>
      <c r="H602" s="13" t="s">
        <v>5289</v>
      </c>
      <c r="I602" s="13" t="s">
        <v>5292</v>
      </c>
      <c r="J602" s="13" t="s">
        <v>5289</v>
      </c>
      <c r="K602" s="13" t="s">
        <v>5289</v>
      </c>
      <c r="L602" s="13" t="s">
        <v>4153</v>
      </c>
      <c r="M602" s="13"/>
      <c r="N602" s="13" t="n">
        <v>7898449393677</v>
      </c>
      <c r="O602" s="13"/>
      <c r="P602" s="13" t="s">
        <v>5291</v>
      </c>
      <c r="Q602" s="13" t="s">
        <v>5289</v>
      </c>
      <c r="R602" s="13" t="s">
        <v>5292</v>
      </c>
      <c r="S602" s="13" t="s">
        <v>5293</v>
      </c>
      <c r="T602" s="13" t="s">
        <v>3</v>
      </c>
      <c r="U602" s="13" t="s">
        <v>183</v>
      </c>
      <c r="V602" s="13" t="n">
        <f aca="false">IF(COUNTIF($B$2:B602,B602)=1,1,0)</f>
        <v>0</v>
      </c>
      <c r="W602" s="13" t="n">
        <f aca="false">IF(COUNTIFS($B$2:B602,B602,$T$2:T602,T602)=1,1,0)</f>
        <v>0</v>
      </c>
    </row>
    <row r="603" customFormat="false" ht="15" hidden="false" customHeight="false" outlineLevel="0" collapsed="false">
      <c r="A603" s="13" t="s">
        <v>4126</v>
      </c>
      <c r="B603" s="13" t="s">
        <v>2142</v>
      </c>
      <c r="C603" s="13" t="n">
        <v>870</v>
      </c>
      <c r="D603" s="13" t="n">
        <v>30</v>
      </c>
      <c r="E603" s="13" t="n">
        <v>32.3033333333333</v>
      </c>
      <c r="F603" s="13" t="s">
        <v>5288</v>
      </c>
      <c r="G603" s="13" t="s">
        <v>5289</v>
      </c>
      <c r="H603" s="13" t="s">
        <v>5289</v>
      </c>
      <c r="I603" s="13" t="s">
        <v>5292</v>
      </c>
      <c r="J603" s="13" t="s">
        <v>5289</v>
      </c>
      <c r="K603" s="13" t="s">
        <v>5292</v>
      </c>
      <c r="L603" s="13" t="s">
        <v>4125</v>
      </c>
      <c r="M603" s="13"/>
      <c r="N603" s="13" t="n">
        <v>7898952577090</v>
      </c>
      <c r="O603" s="13"/>
      <c r="P603" s="13" t="s">
        <v>5291</v>
      </c>
      <c r="Q603" s="13" t="s">
        <v>5289</v>
      </c>
      <c r="R603" s="13" t="s">
        <v>5292</v>
      </c>
      <c r="S603" s="13" t="s">
        <v>5293</v>
      </c>
      <c r="T603" s="13" t="s">
        <v>3</v>
      </c>
      <c r="U603" s="13" t="s">
        <v>85</v>
      </c>
      <c r="V603" s="13" t="n">
        <f aca="false">IF(COUNTIF($B$2:B603,B603)=1,1,0)</f>
        <v>0</v>
      </c>
      <c r="W603" s="13" t="n">
        <f aca="false">IF(COUNTIFS($B$2:B603,B603,$T$2:T603,T603)=1,1,0)</f>
        <v>0</v>
      </c>
    </row>
    <row r="604" customFormat="false" ht="15" hidden="false" customHeight="false" outlineLevel="0" collapsed="false">
      <c r="A604" s="13" t="s">
        <v>1331</v>
      </c>
      <c r="B604" s="13" t="s">
        <v>79</v>
      </c>
      <c r="C604" s="13" t="n">
        <v>870</v>
      </c>
      <c r="D604" s="13" t="n">
        <v>1</v>
      </c>
      <c r="E604" s="13" t="n">
        <v>868.75</v>
      </c>
      <c r="F604" s="13" t="s">
        <v>5288</v>
      </c>
      <c r="G604" s="13" t="s">
        <v>5289</v>
      </c>
      <c r="H604" s="13" t="s">
        <v>5289</v>
      </c>
      <c r="I604" s="13" t="s">
        <v>5289</v>
      </c>
      <c r="J604" s="13" t="s">
        <v>5289</v>
      </c>
      <c r="K604" s="13" t="s">
        <v>5289</v>
      </c>
      <c r="L604" s="13" t="s">
        <v>2961</v>
      </c>
      <c r="M604" s="13"/>
      <c r="N604" s="13" t="n">
        <v>8056669925866</v>
      </c>
      <c r="O604" s="13"/>
      <c r="P604" s="13" t="s">
        <v>5291</v>
      </c>
      <c r="Q604" s="13" t="s">
        <v>5289</v>
      </c>
      <c r="R604" s="13" t="s">
        <v>5292</v>
      </c>
      <c r="S604" s="13" t="s">
        <v>5293</v>
      </c>
      <c r="T604" s="13" t="s">
        <v>3</v>
      </c>
      <c r="U604" s="13" t="s">
        <v>43</v>
      </c>
      <c r="V604" s="13" t="n">
        <f aca="false">IF(COUNTIF($B$2:B604,B604)=1,1,0)</f>
        <v>0</v>
      </c>
      <c r="W604" s="13" t="n">
        <f aca="false">IF(COUNTIFS($B$2:B604,B604,$T$2:T604,T604)=1,1,0)</f>
        <v>0</v>
      </c>
    </row>
    <row r="605" customFormat="false" ht="15" hidden="false" customHeight="false" outlineLevel="0" collapsed="false">
      <c r="A605" s="13" t="s">
        <v>1334</v>
      </c>
      <c r="B605" s="13" t="s">
        <v>114</v>
      </c>
      <c r="C605" s="13" t="n">
        <v>860</v>
      </c>
      <c r="D605" s="13" t="n">
        <v>10</v>
      </c>
      <c r="E605" s="13" t="n">
        <v>71.5966666666667</v>
      </c>
      <c r="F605" s="13" t="s">
        <v>5325</v>
      </c>
      <c r="G605" s="13" t="s">
        <v>5289</v>
      </c>
      <c r="H605" s="13" t="s">
        <v>5289</v>
      </c>
      <c r="I605" s="13" t="s">
        <v>5292</v>
      </c>
      <c r="J605" s="13" t="s">
        <v>5289</v>
      </c>
      <c r="K605" s="13" t="s">
        <v>5289</v>
      </c>
      <c r="L605" s="13" t="s">
        <v>4111</v>
      </c>
      <c r="M605" s="13"/>
      <c r="N605" s="13" t="n">
        <v>4975759103189</v>
      </c>
      <c r="O605" s="13"/>
      <c r="P605" s="13" t="s">
        <v>5291</v>
      </c>
      <c r="Q605" s="13" t="s">
        <v>5289</v>
      </c>
      <c r="R605" s="13" t="s">
        <v>5292</v>
      </c>
      <c r="S605" s="13" t="s">
        <v>5293</v>
      </c>
      <c r="T605" s="13" t="s">
        <v>3</v>
      </c>
      <c r="U605" s="13" t="s">
        <v>115</v>
      </c>
      <c r="V605" s="13" t="n">
        <f aca="false">IF(COUNTIF($B$2:B605,B605)=1,1,0)</f>
        <v>0</v>
      </c>
      <c r="W605" s="13" t="n">
        <f aca="false">IF(COUNTIFS($B$2:B605,B605,$T$2:T605,T605)=1,1,0)</f>
        <v>0</v>
      </c>
    </row>
    <row r="606" customFormat="false" ht="15" hidden="false" customHeight="false" outlineLevel="0" collapsed="false">
      <c r="A606" s="13" t="s">
        <v>1343</v>
      </c>
      <c r="B606" s="13" t="s">
        <v>117</v>
      </c>
      <c r="C606" s="13" t="n">
        <v>850</v>
      </c>
      <c r="D606" s="13" t="n">
        <v>1</v>
      </c>
      <c r="E606" s="13" t="n">
        <v>849</v>
      </c>
      <c r="F606" s="13" t="s">
        <v>5325</v>
      </c>
      <c r="G606" s="13" t="s">
        <v>5289</v>
      </c>
      <c r="H606" s="13" t="s">
        <v>5289</v>
      </c>
      <c r="I606" s="13" t="s">
        <v>5289</v>
      </c>
      <c r="J606" s="13" t="s">
        <v>5289</v>
      </c>
      <c r="K606" s="13" t="s">
        <v>5289</v>
      </c>
      <c r="L606" s="13" t="s">
        <v>5528</v>
      </c>
      <c r="M606" s="13"/>
      <c r="N606" s="13"/>
      <c r="O606" s="13"/>
      <c r="P606" s="13" t="s">
        <v>5291</v>
      </c>
      <c r="Q606" s="13" t="s">
        <v>5289</v>
      </c>
      <c r="R606" s="13" t="s">
        <v>5292</v>
      </c>
      <c r="S606" s="13" t="s">
        <v>5293</v>
      </c>
      <c r="T606" s="13" t="s">
        <v>3</v>
      </c>
      <c r="U606" s="13" t="s">
        <v>85</v>
      </c>
      <c r="V606" s="13" t="n">
        <f aca="false">IF(COUNTIF($B$2:B606,B606)=1,1,0)</f>
        <v>0</v>
      </c>
      <c r="W606" s="13" t="n">
        <f aca="false">IF(COUNTIFS($B$2:B606,B606,$T$2:T606,T606)=1,1,0)</f>
        <v>0</v>
      </c>
    </row>
    <row r="607" customFormat="false" ht="15" hidden="false" customHeight="false" outlineLevel="0" collapsed="false">
      <c r="A607" s="13" t="s">
        <v>4177</v>
      </c>
      <c r="B607" s="13" t="s">
        <v>2251</v>
      </c>
      <c r="C607" s="13" t="n">
        <v>850</v>
      </c>
      <c r="D607" s="13" t="n">
        <v>5</v>
      </c>
      <c r="E607" s="13" t="n">
        <v>94.08</v>
      </c>
      <c r="F607" s="13" t="s">
        <v>5288</v>
      </c>
      <c r="G607" s="13" t="s">
        <v>5289</v>
      </c>
      <c r="H607" s="13" t="s">
        <v>5289</v>
      </c>
      <c r="I607" s="13" t="s">
        <v>5289</v>
      </c>
      <c r="J607" s="13" t="s">
        <v>5289</v>
      </c>
      <c r="K607" s="13" t="s">
        <v>5289</v>
      </c>
      <c r="L607" s="13" t="s">
        <v>4176</v>
      </c>
      <c r="M607" s="13"/>
      <c r="N607" s="13" t="n">
        <v>8715658999195</v>
      </c>
      <c r="O607" s="13"/>
      <c r="P607" s="13" t="s">
        <v>5291</v>
      </c>
      <c r="Q607" s="13" t="s">
        <v>5289</v>
      </c>
      <c r="R607" s="13" t="s">
        <v>5292</v>
      </c>
      <c r="S607" s="13" t="s">
        <v>5293</v>
      </c>
      <c r="T607" s="13" t="s">
        <v>3</v>
      </c>
      <c r="U607" s="13" t="s">
        <v>43</v>
      </c>
      <c r="V607" s="13" t="n">
        <f aca="false">IF(COUNTIF($B$2:B607,B607)=1,1,0)</f>
        <v>1</v>
      </c>
      <c r="W607" s="13" t="n">
        <f aca="false">IF(COUNTIFS($B$2:B607,B607,$T$2:T607,T607)=1,1,0)</f>
        <v>1</v>
      </c>
    </row>
    <row r="608" customFormat="false" ht="15" hidden="false" customHeight="false" outlineLevel="0" collapsed="false">
      <c r="A608" s="13" t="s">
        <v>4195</v>
      </c>
      <c r="B608" s="13" t="s">
        <v>2099</v>
      </c>
      <c r="C608" s="13" t="n">
        <v>840</v>
      </c>
      <c r="D608" s="13" t="n">
        <v>30</v>
      </c>
      <c r="E608" s="13" t="n">
        <v>26.365</v>
      </c>
      <c r="F608" s="13" t="s">
        <v>5288</v>
      </c>
      <c r="G608" s="13" t="s">
        <v>5289</v>
      </c>
      <c r="H608" s="13" t="s">
        <v>5289</v>
      </c>
      <c r="I608" s="13" t="s">
        <v>5292</v>
      </c>
      <c r="J608" s="13" t="s">
        <v>5289</v>
      </c>
      <c r="K608" s="13" t="s">
        <v>5292</v>
      </c>
      <c r="L608" s="13" t="s">
        <v>4193</v>
      </c>
      <c r="M608" s="13"/>
      <c r="N608" s="13" t="n">
        <v>7899952326343</v>
      </c>
      <c r="O608" s="13"/>
      <c r="P608" s="13" t="s">
        <v>5291</v>
      </c>
      <c r="Q608" s="13" t="s">
        <v>5289</v>
      </c>
      <c r="R608" s="13" t="s">
        <v>5292</v>
      </c>
      <c r="S608" s="13" t="s">
        <v>5293</v>
      </c>
      <c r="T608" s="13" t="s">
        <v>3</v>
      </c>
      <c r="U608" s="13" t="s">
        <v>43</v>
      </c>
      <c r="V608" s="13" t="n">
        <f aca="false">IF(COUNTIF($B$2:B608,B608)=1,1,0)</f>
        <v>0</v>
      </c>
      <c r="W608" s="13" t="n">
        <f aca="false">IF(COUNTIFS($B$2:B608,B608,$T$2:T608,T608)=1,1,0)</f>
        <v>0</v>
      </c>
    </row>
    <row r="609" customFormat="false" ht="15" hidden="false" customHeight="false" outlineLevel="0" collapsed="false">
      <c r="A609" s="13" t="s">
        <v>4192</v>
      </c>
      <c r="B609" s="13" t="s">
        <v>2187</v>
      </c>
      <c r="C609" s="13" t="n">
        <v>840</v>
      </c>
      <c r="D609" s="13" t="n">
        <v>5</v>
      </c>
      <c r="E609" s="13" t="n">
        <v>105.25</v>
      </c>
      <c r="F609" s="13" t="s">
        <v>5325</v>
      </c>
      <c r="G609" s="13" t="s">
        <v>5289</v>
      </c>
      <c r="H609" s="13" t="s">
        <v>5289</v>
      </c>
      <c r="I609" s="13" t="s">
        <v>5289</v>
      </c>
      <c r="J609" s="13" t="s">
        <v>5289</v>
      </c>
      <c r="K609" s="13" t="s">
        <v>5292</v>
      </c>
      <c r="L609" s="13" t="s">
        <v>5529</v>
      </c>
      <c r="M609" s="13"/>
      <c r="N609" s="13" t="n">
        <v>7898965429348</v>
      </c>
      <c r="O609" s="13"/>
      <c r="P609" s="13" t="s">
        <v>5297</v>
      </c>
      <c r="Q609" s="13" t="s">
        <v>5289</v>
      </c>
      <c r="R609" s="13" t="s">
        <v>5292</v>
      </c>
      <c r="S609" s="13" t="s">
        <v>5293</v>
      </c>
      <c r="T609" s="13" t="s">
        <v>3</v>
      </c>
      <c r="U609" s="13" t="s">
        <v>85</v>
      </c>
      <c r="V609" s="13" t="n">
        <f aca="false">IF(COUNTIF($B$2:B609,B609)=1,1,0)</f>
        <v>0</v>
      </c>
      <c r="W609" s="13" t="n">
        <f aca="false">IF(COUNTIFS($B$2:B609,B609,$T$2:T609,T609)=1,1,0)</f>
        <v>0</v>
      </c>
    </row>
    <row r="610" customFormat="false" ht="15" hidden="false" customHeight="false" outlineLevel="0" collapsed="false">
      <c r="A610" s="13" t="s">
        <v>5364</v>
      </c>
      <c r="B610" s="13" t="s">
        <v>2117</v>
      </c>
      <c r="C610" s="13" t="n">
        <v>840</v>
      </c>
      <c r="D610" s="13" t="n">
        <v>30</v>
      </c>
      <c r="E610" s="13" t="n">
        <v>31.0111111111111</v>
      </c>
      <c r="F610" s="13" t="s">
        <v>5288</v>
      </c>
      <c r="G610" s="13" t="s">
        <v>5289</v>
      </c>
      <c r="H610" s="13" t="s">
        <v>5292</v>
      </c>
      <c r="I610" s="13" t="s">
        <v>5292</v>
      </c>
      <c r="J610" s="13" t="s">
        <v>5289</v>
      </c>
      <c r="K610" s="13" t="s">
        <v>5292</v>
      </c>
      <c r="L610" s="13" t="s">
        <v>5365</v>
      </c>
      <c r="M610" s="13"/>
      <c r="N610" s="13"/>
      <c r="O610" s="13"/>
      <c r="P610" s="13" t="s">
        <v>5291</v>
      </c>
      <c r="Q610" s="13" t="s">
        <v>5289</v>
      </c>
      <c r="R610" s="13" t="s">
        <v>5292</v>
      </c>
      <c r="S610" s="13" t="s">
        <v>5293</v>
      </c>
      <c r="T610" s="13" t="s">
        <v>3</v>
      </c>
      <c r="U610" s="13" t="s">
        <v>85</v>
      </c>
      <c r="V610" s="13" t="n">
        <f aca="false">IF(COUNTIF($B$2:B610,B610)=1,1,0)</f>
        <v>0</v>
      </c>
      <c r="W610" s="13" t="n">
        <f aca="false">IF(COUNTIFS($B$2:B610,B610,$T$2:T610,T610)=1,1,0)</f>
        <v>0</v>
      </c>
    </row>
    <row r="611" customFormat="false" ht="15" hidden="false" customHeight="false" outlineLevel="0" collapsed="false">
      <c r="A611" s="13" t="s">
        <v>1351</v>
      </c>
      <c r="B611" s="13" t="s">
        <v>179</v>
      </c>
      <c r="C611" s="13" t="n">
        <v>840</v>
      </c>
      <c r="D611" s="13" t="n">
        <v>2</v>
      </c>
      <c r="E611" s="13" t="n">
        <v>209</v>
      </c>
      <c r="F611" s="13" t="s">
        <v>5288</v>
      </c>
      <c r="G611" s="13" t="s">
        <v>5289</v>
      </c>
      <c r="H611" s="13" t="s">
        <v>5289</v>
      </c>
      <c r="I611" s="13" t="s">
        <v>5289</v>
      </c>
      <c r="J611" s="13" t="s">
        <v>5289</v>
      </c>
      <c r="K611" s="13" t="s">
        <v>5292</v>
      </c>
      <c r="L611" s="13" t="s">
        <v>4188</v>
      </c>
      <c r="M611" s="13"/>
      <c r="N611" s="13" t="n">
        <v>7908992000721</v>
      </c>
      <c r="O611" s="13"/>
      <c r="P611" s="13" t="s">
        <v>5297</v>
      </c>
      <c r="Q611" s="13" t="s">
        <v>5289</v>
      </c>
      <c r="R611" s="13" t="s">
        <v>5292</v>
      </c>
      <c r="S611" s="13" t="s">
        <v>5293</v>
      </c>
      <c r="T611" s="13" t="s">
        <v>3</v>
      </c>
      <c r="U611" s="13" t="s">
        <v>180</v>
      </c>
      <c r="V611" s="13" t="n">
        <f aca="false">IF(COUNTIF($B$2:B611,B611)=1,1,0)</f>
        <v>0</v>
      </c>
      <c r="W611" s="13" t="n">
        <f aca="false">IF(COUNTIFS($B$2:B611,B611,$T$2:T611,T611)=1,1,0)</f>
        <v>0</v>
      </c>
    </row>
    <row r="612" customFormat="false" ht="15" hidden="false" customHeight="false" outlineLevel="0" collapsed="false">
      <c r="A612" s="13" t="s">
        <v>3086</v>
      </c>
      <c r="B612" s="13" t="s">
        <v>2185</v>
      </c>
      <c r="C612" s="13" t="n">
        <v>820</v>
      </c>
      <c r="D612" s="13" t="n">
        <v>5</v>
      </c>
      <c r="E612" s="13" t="n">
        <v>137.47</v>
      </c>
      <c r="F612" s="13" t="s">
        <v>5288</v>
      </c>
      <c r="G612" s="13" t="s">
        <v>5289</v>
      </c>
      <c r="H612" s="13" t="s">
        <v>5289</v>
      </c>
      <c r="I612" s="13" t="s">
        <v>5289</v>
      </c>
      <c r="J612" s="13" t="s">
        <v>5289</v>
      </c>
      <c r="K612" s="13" t="s">
        <v>5289</v>
      </c>
      <c r="L612" s="13" t="s">
        <v>3085</v>
      </c>
      <c r="M612" s="13"/>
      <c r="N612" s="13" t="n">
        <v>4711530962046</v>
      </c>
      <c r="O612" s="13"/>
      <c r="P612" s="13" t="s">
        <v>5291</v>
      </c>
      <c r="Q612" s="13" t="s">
        <v>5289</v>
      </c>
      <c r="R612" s="13" t="s">
        <v>5292</v>
      </c>
      <c r="S612" s="13" t="s">
        <v>5293</v>
      </c>
      <c r="T612" s="13" t="s">
        <v>3</v>
      </c>
      <c r="U612" s="13" t="s">
        <v>144</v>
      </c>
      <c r="V612" s="13" t="n">
        <f aca="false">IF(COUNTIF($B$2:B612,B612)=1,1,0)</f>
        <v>0</v>
      </c>
      <c r="W612" s="13" t="n">
        <f aca="false">IF(COUNTIFS($B$2:B612,B612,$T$2:T612,T612)=1,1,0)</f>
        <v>0</v>
      </c>
    </row>
    <row r="613" customFormat="false" ht="15" hidden="false" customHeight="false" outlineLevel="0" collapsed="false">
      <c r="A613" s="13" t="s">
        <v>4205</v>
      </c>
      <c r="B613" s="13" t="s">
        <v>2218</v>
      </c>
      <c r="C613" s="13" t="n">
        <v>820</v>
      </c>
      <c r="D613" s="13" t="n">
        <v>20</v>
      </c>
      <c r="E613" s="13" t="n">
        <v>51.5</v>
      </c>
      <c r="F613" s="13" t="s">
        <v>5288</v>
      </c>
      <c r="G613" s="13" t="s">
        <v>5289</v>
      </c>
      <c r="H613" s="13" t="s">
        <v>5289</v>
      </c>
      <c r="I613" s="13" t="s">
        <v>5292</v>
      </c>
      <c r="J613" s="13" t="s">
        <v>5289</v>
      </c>
      <c r="K613" s="13" t="s">
        <v>5292</v>
      </c>
      <c r="L613" s="13" t="s">
        <v>4204</v>
      </c>
      <c r="M613" s="13"/>
      <c r="N613" s="13" t="n">
        <v>7898600996150</v>
      </c>
      <c r="O613" s="13"/>
      <c r="P613" s="13" t="s">
        <v>5291</v>
      </c>
      <c r="Q613" s="13" t="s">
        <v>5289</v>
      </c>
      <c r="R613" s="13" t="s">
        <v>5292</v>
      </c>
      <c r="S613" s="13" t="s">
        <v>5293</v>
      </c>
      <c r="T613" s="13" t="s">
        <v>3</v>
      </c>
      <c r="U613" s="13" t="s">
        <v>85</v>
      </c>
      <c r="V613" s="13" t="n">
        <f aca="false">IF(COUNTIF($B$2:B613,B613)=1,1,0)</f>
        <v>1</v>
      </c>
      <c r="W613" s="13" t="n">
        <f aca="false">IF(COUNTIFS($B$2:B613,B613,$T$2:T613,T613)=1,1,0)</f>
        <v>1</v>
      </c>
    </row>
    <row r="614" customFormat="false" ht="15" hidden="false" customHeight="false" outlineLevel="0" collapsed="false">
      <c r="A614" s="13" t="s">
        <v>4209</v>
      </c>
      <c r="B614" s="13" t="s">
        <v>2230</v>
      </c>
      <c r="C614" s="13" t="n">
        <v>820</v>
      </c>
      <c r="D614" s="13" t="n">
        <v>10</v>
      </c>
      <c r="E614" s="13" t="n">
        <v>74.74</v>
      </c>
      <c r="F614" s="13" t="s">
        <v>5288</v>
      </c>
      <c r="G614" s="13" t="s">
        <v>5289</v>
      </c>
      <c r="H614" s="13" t="s">
        <v>5289</v>
      </c>
      <c r="I614" s="13" t="s">
        <v>5292</v>
      </c>
      <c r="J614" s="13" t="s">
        <v>5289</v>
      </c>
      <c r="K614" s="13" t="s">
        <v>5292</v>
      </c>
      <c r="L614" s="13" t="s">
        <v>5530</v>
      </c>
      <c r="M614" s="13"/>
      <c r="N614" s="13" t="n">
        <v>8715658400714</v>
      </c>
      <c r="O614" s="13"/>
      <c r="P614" s="13" t="s">
        <v>5291</v>
      </c>
      <c r="Q614" s="13" t="s">
        <v>5289</v>
      </c>
      <c r="R614" s="13" t="s">
        <v>5292</v>
      </c>
      <c r="S614" s="13" t="s">
        <v>5293</v>
      </c>
      <c r="T614" s="13" t="s">
        <v>3</v>
      </c>
      <c r="U614" s="13" t="s">
        <v>43</v>
      </c>
      <c r="V614" s="13" t="n">
        <f aca="false">IF(COUNTIF($B$2:B614,B614)=1,1,0)</f>
        <v>1</v>
      </c>
      <c r="W614" s="13" t="n">
        <f aca="false">IF(COUNTIFS($B$2:B614,B614,$T$2:T614,T614)=1,1,0)</f>
        <v>1</v>
      </c>
    </row>
    <row r="615" customFormat="false" ht="15" hidden="false" customHeight="false" outlineLevel="0" collapsed="false">
      <c r="A615" s="13" t="s">
        <v>1363</v>
      </c>
      <c r="B615" s="13" t="s">
        <v>286</v>
      </c>
      <c r="C615" s="13" t="n">
        <v>820</v>
      </c>
      <c r="D615" s="13" t="n">
        <v>2</v>
      </c>
      <c r="E615" s="13" t="n">
        <v>274</v>
      </c>
      <c r="F615" s="13" t="s">
        <v>5288</v>
      </c>
      <c r="G615" s="13" t="s">
        <v>5289</v>
      </c>
      <c r="H615" s="13" t="s">
        <v>5289</v>
      </c>
      <c r="I615" s="13" t="s">
        <v>5289</v>
      </c>
      <c r="J615" s="13" t="s">
        <v>5289</v>
      </c>
      <c r="K615" s="13" t="s">
        <v>5289</v>
      </c>
      <c r="L615" s="13" t="s">
        <v>2542</v>
      </c>
      <c r="M615" s="13"/>
      <c r="N615" s="13" t="n">
        <v>6085010094991</v>
      </c>
      <c r="O615" s="13"/>
      <c r="P615" s="13" t="s">
        <v>5291</v>
      </c>
      <c r="Q615" s="13" t="s">
        <v>5289</v>
      </c>
      <c r="R615" s="13" t="s">
        <v>5292</v>
      </c>
      <c r="S615" s="13" t="s">
        <v>5293</v>
      </c>
      <c r="T615" s="13" t="s">
        <v>3</v>
      </c>
      <c r="U615" s="13" t="s">
        <v>43</v>
      </c>
      <c r="V615" s="13" t="n">
        <f aca="false">IF(COUNTIF($B$2:B615,B615)=1,1,0)</f>
        <v>1</v>
      </c>
      <c r="W615" s="13" t="n">
        <f aca="false">IF(COUNTIFS($B$2:B615,B615,$T$2:T615,T615)=1,1,0)</f>
        <v>1</v>
      </c>
    </row>
    <row r="616" customFormat="false" ht="15" hidden="false" customHeight="false" outlineLevel="0" collapsed="false">
      <c r="A616" s="13" t="s">
        <v>1369</v>
      </c>
      <c r="B616" s="13" t="s">
        <v>179</v>
      </c>
      <c r="C616" s="13" t="n">
        <v>810</v>
      </c>
      <c r="D616" s="13" t="n">
        <v>2</v>
      </c>
      <c r="E616" s="13" t="n">
        <v>404</v>
      </c>
      <c r="F616" s="13" t="s">
        <v>5325</v>
      </c>
      <c r="G616" s="13" t="s">
        <v>5289</v>
      </c>
      <c r="H616" s="13" t="s">
        <v>5289</v>
      </c>
      <c r="I616" s="13" t="s">
        <v>5289</v>
      </c>
      <c r="J616" s="13" t="s">
        <v>5289</v>
      </c>
      <c r="K616" s="13" t="s">
        <v>5292</v>
      </c>
      <c r="L616" s="13" t="s">
        <v>5531</v>
      </c>
      <c r="M616" s="13"/>
      <c r="N616" s="13"/>
      <c r="O616" s="13"/>
      <c r="P616" s="13" t="s">
        <v>5291</v>
      </c>
      <c r="Q616" s="13" t="s">
        <v>5289</v>
      </c>
      <c r="R616" s="13" t="s">
        <v>5292</v>
      </c>
      <c r="S616" s="13" t="s">
        <v>5293</v>
      </c>
      <c r="T616" s="13" t="s">
        <v>3</v>
      </c>
      <c r="U616" s="13" t="s">
        <v>85</v>
      </c>
      <c r="V616" s="13" t="n">
        <f aca="false">IF(COUNTIF($B$2:B616,B616)=1,1,0)</f>
        <v>0</v>
      </c>
      <c r="W616" s="13" t="n">
        <f aca="false">IF(COUNTIFS($B$2:B616,B616,$T$2:T616,T616)=1,1,0)</f>
        <v>0</v>
      </c>
    </row>
    <row r="617" customFormat="false" ht="15" hidden="false" customHeight="false" outlineLevel="0" collapsed="false">
      <c r="A617" s="13" t="s">
        <v>4218</v>
      </c>
      <c r="B617" s="13" t="s">
        <v>2152</v>
      </c>
      <c r="C617" s="13" t="n">
        <v>810</v>
      </c>
      <c r="D617" s="13" t="n">
        <v>5</v>
      </c>
      <c r="E617" s="13" t="n">
        <v>161.55</v>
      </c>
      <c r="F617" s="13" t="s">
        <v>5288</v>
      </c>
      <c r="G617" s="13" t="s">
        <v>5289</v>
      </c>
      <c r="H617" s="13" t="s">
        <v>5289</v>
      </c>
      <c r="I617" s="13" t="s">
        <v>5289</v>
      </c>
      <c r="J617" s="13" t="s">
        <v>5289</v>
      </c>
      <c r="K617" s="13" t="s">
        <v>5289</v>
      </c>
      <c r="L617" s="13" t="s">
        <v>4217</v>
      </c>
      <c r="M617" s="13"/>
      <c r="N617" s="13" t="n">
        <v>6291108734049</v>
      </c>
      <c r="O617" s="13"/>
      <c r="P617" s="13" t="s">
        <v>5297</v>
      </c>
      <c r="Q617" s="13" t="s">
        <v>5289</v>
      </c>
      <c r="R617" s="13" t="s">
        <v>5292</v>
      </c>
      <c r="S617" s="13" t="s">
        <v>5293</v>
      </c>
      <c r="T617" s="13" t="s">
        <v>3</v>
      </c>
      <c r="U617" s="13" t="s">
        <v>43</v>
      </c>
      <c r="V617" s="13" t="n">
        <f aca="false">IF(COUNTIF($B$2:B617,B617)=1,1,0)</f>
        <v>0</v>
      </c>
      <c r="W617" s="13" t="n">
        <f aca="false">IF(COUNTIFS($B$2:B617,B617,$T$2:T617,T617)=1,1,0)</f>
        <v>0</v>
      </c>
    </row>
    <row r="618" customFormat="false" ht="15" hidden="false" customHeight="false" outlineLevel="0" collapsed="false">
      <c r="A618" s="13" t="s">
        <v>1378</v>
      </c>
      <c r="B618" s="13" t="s">
        <v>135</v>
      </c>
      <c r="C618" s="13" t="n">
        <v>800</v>
      </c>
      <c r="D618" s="13" t="n">
        <v>1</v>
      </c>
      <c r="E618" s="13" t="n">
        <v>799</v>
      </c>
      <c r="F618" s="13" t="s">
        <v>5288</v>
      </c>
      <c r="G618" s="13" t="s">
        <v>5289</v>
      </c>
      <c r="H618" s="13" t="s">
        <v>5289</v>
      </c>
      <c r="I618" s="13" t="s">
        <v>5289</v>
      </c>
      <c r="J618" s="13" t="s">
        <v>5289</v>
      </c>
      <c r="K618" s="13" t="s">
        <v>5292</v>
      </c>
      <c r="L618" s="13" t="s">
        <v>5532</v>
      </c>
      <c r="M618" s="13"/>
      <c r="N618" s="13"/>
      <c r="O618" s="13"/>
      <c r="P618" s="13" t="s">
        <v>5297</v>
      </c>
      <c r="Q618" s="13" t="s">
        <v>5289</v>
      </c>
      <c r="R618" s="13" t="s">
        <v>5292</v>
      </c>
      <c r="S618" s="13" t="s">
        <v>5293</v>
      </c>
      <c r="T618" s="13" t="s">
        <v>3</v>
      </c>
      <c r="U618" s="13" t="s">
        <v>129</v>
      </c>
      <c r="V618" s="13" t="n">
        <f aca="false">IF(COUNTIF($B$2:B618,B618)=1,1,0)</f>
        <v>0</v>
      </c>
      <c r="W618" s="13" t="n">
        <f aca="false">IF(COUNTIFS($B$2:B618,B618,$T$2:T618,T618)=1,1,0)</f>
        <v>0</v>
      </c>
    </row>
    <row r="619" customFormat="false" ht="15" hidden="false" customHeight="false" outlineLevel="0" collapsed="false">
      <c r="A619" s="13" t="s">
        <v>4233</v>
      </c>
      <c r="B619" s="13" t="s">
        <v>2094</v>
      </c>
      <c r="C619" s="13" t="n">
        <v>790</v>
      </c>
      <c r="D619" s="13" t="n">
        <v>20</v>
      </c>
      <c r="E619" s="13" t="n">
        <v>52.99</v>
      </c>
      <c r="F619" s="13" t="s">
        <v>5288</v>
      </c>
      <c r="G619" s="13" t="s">
        <v>5289</v>
      </c>
      <c r="H619" s="13" t="s">
        <v>5289</v>
      </c>
      <c r="I619" s="13" t="s">
        <v>5292</v>
      </c>
      <c r="J619" s="13" t="s">
        <v>5289</v>
      </c>
      <c r="K619" s="13" t="s">
        <v>5292</v>
      </c>
      <c r="L619" s="13" t="s">
        <v>5533</v>
      </c>
      <c r="M619" s="13"/>
      <c r="N619" s="13" t="n">
        <v>7898301055842</v>
      </c>
      <c r="O619" s="13"/>
      <c r="P619" s="13" t="s">
        <v>5297</v>
      </c>
      <c r="Q619" s="13" t="s">
        <v>5289</v>
      </c>
      <c r="R619" s="13" t="s">
        <v>5292</v>
      </c>
      <c r="S619" s="13" t="s">
        <v>5293</v>
      </c>
      <c r="T619" s="13" t="s">
        <v>3</v>
      </c>
      <c r="U619" s="13" t="s">
        <v>129</v>
      </c>
      <c r="V619" s="13" t="n">
        <f aca="false">IF(COUNTIF($B$2:B619,B619)=1,1,0)</f>
        <v>0</v>
      </c>
      <c r="W619" s="13" t="n">
        <f aca="false">IF(COUNTIFS($B$2:B619,B619,$T$2:T619,T619)=1,1,0)</f>
        <v>0</v>
      </c>
    </row>
    <row r="620" customFormat="false" ht="15" hidden="false" customHeight="false" outlineLevel="0" collapsed="false">
      <c r="A620" s="13" t="s">
        <v>4237</v>
      </c>
      <c r="B620" s="13" t="s">
        <v>2225</v>
      </c>
      <c r="C620" s="13" t="n">
        <v>790</v>
      </c>
      <c r="D620" s="13" t="n">
        <v>5</v>
      </c>
      <c r="E620" s="13" t="n">
        <v>78.99</v>
      </c>
      <c r="F620" s="13" t="s">
        <v>5288</v>
      </c>
      <c r="G620" s="13" t="s">
        <v>5289</v>
      </c>
      <c r="H620" s="13" t="s">
        <v>5289</v>
      </c>
      <c r="I620" s="13" t="s">
        <v>5292</v>
      </c>
      <c r="J620" s="13" t="s">
        <v>5289</v>
      </c>
      <c r="K620" s="13" t="s">
        <v>5292</v>
      </c>
      <c r="L620" s="13" t="s">
        <v>4236</v>
      </c>
      <c r="M620" s="13"/>
      <c r="N620" s="13" t="n">
        <v>8715658997283</v>
      </c>
      <c r="O620" s="13"/>
      <c r="P620" s="13" t="s">
        <v>5291</v>
      </c>
      <c r="Q620" s="13" t="s">
        <v>5289</v>
      </c>
      <c r="R620" s="13" t="s">
        <v>5292</v>
      </c>
      <c r="S620" s="13" t="s">
        <v>5293</v>
      </c>
      <c r="T620" s="13" t="s">
        <v>3</v>
      </c>
      <c r="U620" s="13" t="s">
        <v>43</v>
      </c>
      <c r="V620" s="13" t="n">
        <f aca="false">IF(COUNTIF($B$2:B620,B620)=1,1,0)</f>
        <v>1</v>
      </c>
      <c r="W620" s="13" t="n">
        <f aca="false">IF(COUNTIFS($B$2:B620,B620,$T$2:T620,T620)=1,1,0)</f>
        <v>1</v>
      </c>
    </row>
    <row r="621" customFormat="false" ht="15" hidden="false" customHeight="false" outlineLevel="0" collapsed="false">
      <c r="A621" s="13" t="s">
        <v>4227</v>
      </c>
      <c r="B621" s="13" t="s">
        <v>2096</v>
      </c>
      <c r="C621" s="13" t="n">
        <v>790</v>
      </c>
      <c r="D621" s="13" t="n">
        <v>5</v>
      </c>
      <c r="E621" s="13" t="n">
        <v>78.99</v>
      </c>
      <c r="F621" s="13" t="s">
        <v>5288</v>
      </c>
      <c r="G621" s="13" t="s">
        <v>5289</v>
      </c>
      <c r="H621" s="13" t="s">
        <v>5289</v>
      </c>
      <c r="I621" s="13" t="s">
        <v>5292</v>
      </c>
      <c r="J621" s="13" t="s">
        <v>5289</v>
      </c>
      <c r="K621" s="13" t="s">
        <v>5292</v>
      </c>
      <c r="L621" s="13" t="s">
        <v>5534</v>
      </c>
      <c r="M621" s="13"/>
      <c r="N621" s="13" t="n">
        <v>7891033129614</v>
      </c>
      <c r="O621" s="13"/>
      <c r="P621" s="13" t="s">
        <v>5297</v>
      </c>
      <c r="Q621" s="13" t="s">
        <v>5289</v>
      </c>
      <c r="R621" s="13" t="s">
        <v>5292</v>
      </c>
      <c r="S621" s="13" t="s">
        <v>5293</v>
      </c>
      <c r="T621" s="13" t="s">
        <v>3</v>
      </c>
      <c r="U621" s="13" t="s">
        <v>183</v>
      </c>
      <c r="V621" s="13" t="n">
        <f aca="false">IF(COUNTIF($B$2:B621,B621)=1,1,0)</f>
        <v>0</v>
      </c>
      <c r="W621" s="13" t="n">
        <f aca="false">IF(COUNTIFS($B$2:B621,B621,$T$2:T621,T621)=1,1,0)</f>
        <v>0</v>
      </c>
    </row>
    <row r="622" customFormat="false" ht="15" hidden="false" customHeight="false" outlineLevel="0" collapsed="false">
      <c r="A622" s="13" t="s">
        <v>4231</v>
      </c>
      <c r="B622" s="13" t="s">
        <v>2096</v>
      </c>
      <c r="C622" s="13" t="n">
        <v>790</v>
      </c>
      <c r="D622" s="13" t="n">
        <v>5</v>
      </c>
      <c r="E622" s="13" t="n">
        <v>98.43</v>
      </c>
      <c r="F622" s="13" t="s">
        <v>5288</v>
      </c>
      <c r="G622" s="13" t="s">
        <v>5289</v>
      </c>
      <c r="H622" s="13" t="s">
        <v>5289</v>
      </c>
      <c r="I622" s="13" t="s">
        <v>5289</v>
      </c>
      <c r="J622" s="13" t="s">
        <v>5289</v>
      </c>
      <c r="K622" s="13" t="s">
        <v>5292</v>
      </c>
      <c r="L622" s="13" t="s">
        <v>4230</v>
      </c>
      <c r="M622" s="13"/>
      <c r="N622" s="13" t="n">
        <v>7891033529438</v>
      </c>
      <c r="O622" s="13"/>
      <c r="P622" s="13" t="s">
        <v>5291</v>
      </c>
      <c r="Q622" s="13" t="s">
        <v>5289</v>
      </c>
      <c r="R622" s="13" t="s">
        <v>5292</v>
      </c>
      <c r="S622" s="13" t="s">
        <v>5293</v>
      </c>
      <c r="T622" s="13" t="s">
        <v>3</v>
      </c>
      <c r="U622" s="13" t="s">
        <v>43</v>
      </c>
      <c r="V622" s="13" t="n">
        <f aca="false">IF(COUNTIF($B$2:B622,B622)=1,1,0)</f>
        <v>0</v>
      </c>
      <c r="W622" s="13" t="n">
        <f aca="false">IF(COUNTIFS($B$2:B622,B622,$T$2:T622,T622)=1,1,0)</f>
        <v>0</v>
      </c>
    </row>
    <row r="623" customFormat="false" ht="15" hidden="false" customHeight="false" outlineLevel="0" collapsed="false">
      <c r="A623" s="13" t="s">
        <v>4240</v>
      </c>
      <c r="B623" s="13" t="s">
        <v>2124</v>
      </c>
      <c r="C623" s="13" t="n">
        <v>780</v>
      </c>
      <c r="D623" s="13" t="n">
        <v>10</v>
      </c>
      <c r="E623" s="13" t="n">
        <v>70.7</v>
      </c>
      <c r="F623" s="13" t="s">
        <v>5288</v>
      </c>
      <c r="G623" s="13" t="s">
        <v>5289</v>
      </c>
      <c r="H623" s="13" t="s">
        <v>5289</v>
      </c>
      <c r="I623" s="13" t="s">
        <v>5292</v>
      </c>
      <c r="J623" s="13" t="s">
        <v>5289</v>
      </c>
      <c r="K623" s="13" t="s">
        <v>5292</v>
      </c>
      <c r="L623" s="13" t="s">
        <v>4239</v>
      </c>
      <c r="M623" s="13"/>
      <c r="N623" s="13" t="n">
        <v>5425039220239</v>
      </c>
      <c r="O623" s="13"/>
      <c r="P623" s="13" t="s">
        <v>5291</v>
      </c>
      <c r="Q623" s="13" t="s">
        <v>5289</v>
      </c>
      <c r="R623" s="13" t="s">
        <v>5292</v>
      </c>
      <c r="S623" s="13" t="s">
        <v>5293</v>
      </c>
      <c r="T623" s="13" t="s">
        <v>3</v>
      </c>
      <c r="U623" s="13" t="s">
        <v>43</v>
      </c>
      <c r="V623" s="13" t="n">
        <f aca="false">IF(COUNTIF($B$2:B623,B623)=1,1,0)</f>
        <v>0</v>
      </c>
      <c r="W623" s="13" t="n">
        <f aca="false">IF(COUNTIFS($B$2:B623,B623,$T$2:T623,T623)=1,1,0)</f>
        <v>0</v>
      </c>
    </row>
    <row r="624" customFormat="false" ht="15" hidden="false" customHeight="false" outlineLevel="0" collapsed="false">
      <c r="A624" s="13" t="s">
        <v>4247</v>
      </c>
      <c r="B624" s="13" t="s">
        <v>2101</v>
      </c>
      <c r="C624" s="13" t="n">
        <v>770</v>
      </c>
      <c r="D624" s="13" t="n">
        <v>5</v>
      </c>
      <c r="E624" s="13" t="n">
        <v>77.325</v>
      </c>
      <c r="F624" s="13" t="s">
        <v>5288</v>
      </c>
      <c r="G624" s="13" t="s">
        <v>5289</v>
      </c>
      <c r="H624" s="13" t="s">
        <v>5289</v>
      </c>
      <c r="I624" s="13" t="s">
        <v>5292</v>
      </c>
      <c r="J624" s="13" t="s">
        <v>5289</v>
      </c>
      <c r="K624" s="13" t="s">
        <v>5292</v>
      </c>
      <c r="L624" s="13" t="s">
        <v>4246</v>
      </c>
      <c r="M624" s="13"/>
      <c r="N624" s="13" t="n">
        <v>7908412515460</v>
      </c>
      <c r="O624" s="13"/>
      <c r="P624" s="13" t="s">
        <v>5291</v>
      </c>
      <c r="Q624" s="13" t="s">
        <v>5289</v>
      </c>
      <c r="R624" s="13" t="s">
        <v>5292</v>
      </c>
      <c r="S624" s="13" t="s">
        <v>5293</v>
      </c>
      <c r="T624" s="13" t="s">
        <v>3</v>
      </c>
      <c r="U624" s="13" t="s">
        <v>129</v>
      </c>
      <c r="V624" s="13" t="n">
        <f aca="false">IF(COUNTIF($B$2:B624,B624)=1,1,0)</f>
        <v>0</v>
      </c>
      <c r="W624" s="13" t="n">
        <f aca="false">IF(COUNTIFS($B$2:B624,B624,$T$2:T624,T624)=1,1,0)</f>
        <v>0</v>
      </c>
    </row>
    <row r="625" customFormat="false" ht="15" hidden="false" customHeight="false" outlineLevel="0" collapsed="false">
      <c r="A625" s="13" t="s">
        <v>1417</v>
      </c>
      <c r="B625" s="13" t="s">
        <v>114</v>
      </c>
      <c r="C625" s="13" t="n">
        <v>760</v>
      </c>
      <c r="D625" s="13" t="n">
        <v>5</v>
      </c>
      <c r="E625" s="13" t="n">
        <v>84.9</v>
      </c>
      <c r="F625" s="13" t="s">
        <v>5288</v>
      </c>
      <c r="G625" s="13" t="s">
        <v>5289</v>
      </c>
      <c r="H625" s="13" t="s">
        <v>5289</v>
      </c>
      <c r="I625" s="13" t="s">
        <v>5289</v>
      </c>
      <c r="J625" s="13" t="s">
        <v>5289</v>
      </c>
      <c r="K625" s="13" t="s">
        <v>5292</v>
      </c>
      <c r="L625" s="13" t="s">
        <v>4261</v>
      </c>
      <c r="M625" s="13"/>
      <c r="N625" s="13" t="n">
        <v>4975759042877</v>
      </c>
      <c r="O625" s="13"/>
      <c r="P625" s="13" t="s">
        <v>5291</v>
      </c>
      <c r="Q625" s="13" t="s">
        <v>5289</v>
      </c>
      <c r="R625" s="13" t="s">
        <v>5292</v>
      </c>
      <c r="S625" s="13" t="s">
        <v>5293</v>
      </c>
      <c r="T625" s="13" t="s">
        <v>3</v>
      </c>
      <c r="U625" s="13" t="s">
        <v>183</v>
      </c>
      <c r="V625" s="13" t="n">
        <f aca="false">IF(COUNTIF($B$2:B625,B625)=1,1,0)</f>
        <v>0</v>
      </c>
      <c r="W625" s="13" t="n">
        <f aca="false">IF(COUNTIFS($B$2:B625,B625,$T$2:T625,T625)=1,1,0)</f>
        <v>0</v>
      </c>
    </row>
    <row r="626" customFormat="false" ht="15" hidden="false" customHeight="false" outlineLevel="0" collapsed="false">
      <c r="A626" s="13" t="s">
        <v>1246</v>
      </c>
      <c r="B626" s="13" t="s">
        <v>69</v>
      </c>
      <c r="C626" s="13" t="n">
        <v>760</v>
      </c>
      <c r="D626" s="13" t="n">
        <v>2</v>
      </c>
      <c r="E626" s="13" t="n">
        <v>380.495</v>
      </c>
      <c r="F626" s="13" t="s">
        <v>5288</v>
      </c>
      <c r="G626" s="13" t="s">
        <v>5289</v>
      </c>
      <c r="H626" s="13" t="s">
        <v>5289</v>
      </c>
      <c r="I626" s="13" t="s">
        <v>5289</v>
      </c>
      <c r="J626" s="13" t="s">
        <v>5289</v>
      </c>
      <c r="K626" s="13" t="s">
        <v>5289</v>
      </c>
      <c r="L626" s="13" t="s">
        <v>3392</v>
      </c>
      <c r="M626" s="13"/>
      <c r="N626" s="13" t="n">
        <v>3365440003866</v>
      </c>
      <c r="O626" s="13"/>
      <c r="P626" s="13" t="s">
        <v>5297</v>
      </c>
      <c r="Q626" s="13" t="s">
        <v>5289</v>
      </c>
      <c r="R626" s="13" t="s">
        <v>5292</v>
      </c>
      <c r="S626" s="13" t="s">
        <v>5293</v>
      </c>
      <c r="T626" s="13" t="s">
        <v>3</v>
      </c>
      <c r="U626" s="13" t="s">
        <v>43</v>
      </c>
      <c r="V626" s="13" t="n">
        <f aca="false">IF(COUNTIF($B$2:B626,B626)=1,1,0)</f>
        <v>0</v>
      </c>
      <c r="W626" s="13" t="n">
        <f aca="false">IF(COUNTIFS($B$2:B626,B626,$T$2:T626,T626)=1,1,0)</f>
        <v>0</v>
      </c>
    </row>
    <row r="627" customFormat="false" ht="15" hidden="false" customHeight="false" outlineLevel="0" collapsed="false">
      <c r="A627" s="13" t="s">
        <v>4274</v>
      </c>
      <c r="B627" s="13" t="s">
        <v>2142</v>
      </c>
      <c r="C627" s="13" t="n">
        <v>750</v>
      </c>
      <c r="D627" s="13" t="n">
        <v>20</v>
      </c>
      <c r="E627" s="13" t="n">
        <v>37.564</v>
      </c>
      <c r="F627" s="13" t="s">
        <v>5288</v>
      </c>
      <c r="G627" s="13" t="s">
        <v>5289</v>
      </c>
      <c r="H627" s="13" t="s">
        <v>5289</v>
      </c>
      <c r="I627" s="13" t="s">
        <v>5292</v>
      </c>
      <c r="J627" s="13" t="s">
        <v>5289</v>
      </c>
      <c r="K627" s="13" t="s">
        <v>5292</v>
      </c>
      <c r="L627" s="13" t="s">
        <v>4273</v>
      </c>
      <c r="M627" s="13"/>
      <c r="N627" s="13" t="n">
        <v>7908038607808</v>
      </c>
      <c r="O627" s="13"/>
      <c r="P627" s="13" t="s">
        <v>5291</v>
      </c>
      <c r="Q627" s="13" t="s">
        <v>5289</v>
      </c>
      <c r="R627" s="13" t="s">
        <v>5292</v>
      </c>
      <c r="S627" s="13" t="s">
        <v>5293</v>
      </c>
      <c r="T627" s="13" t="s">
        <v>3</v>
      </c>
      <c r="U627" s="13" t="s">
        <v>85</v>
      </c>
      <c r="V627" s="13" t="n">
        <f aca="false">IF(COUNTIF($B$2:B627,B627)=1,1,0)</f>
        <v>0</v>
      </c>
      <c r="W627" s="13" t="n">
        <f aca="false">IF(COUNTIFS($B$2:B627,B627,$T$2:T627,T627)=1,1,0)</f>
        <v>0</v>
      </c>
    </row>
    <row r="628" customFormat="false" ht="15" hidden="false" customHeight="false" outlineLevel="0" collapsed="false">
      <c r="A628" s="13" t="s">
        <v>1423</v>
      </c>
      <c r="B628" s="13" t="s">
        <v>117</v>
      </c>
      <c r="C628" s="13" t="n">
        <v>750</v>
      </c>
      <c r="D628" s="13" t="n">
        <v>1</v>
      </c>
      <c r="E628" s="13" t="n">
        <v>751</v>
      </c>
      <c r="F628" s="13" t="s">
        <v>5325</v>
      </c>
      <c r="G628" s="13" t="s">
        <v>5289</v>
      </c>
      <c r="H628" s="13" t="s">
        <v>5289</v>
      </c>
      <c r="I628" s="13" t="s">
        <v>5289</v>
      </c>
      <c r="J628" s="13" t="s">
        <v>5289</v>
      </c>
      <c r="K628" s="13" t="s">
        <v>5289</v>
      </c>
      <c r="L628" s="13" t="s">
        <v>4269</v>
      </c>
      <c r="M628" s="13"/>
      <c r="N628" s="13" t="n">
        <v>885911387101</v>
      </c>
      <c r="O628" s="13"/>
      <c r="P628" s="13" t="s">
        <v>5297</v>
      </c>
      <c r="Q628" s="13" t="s">
        <v>5289</v>
      </c>
      <c r="R628" s="13" t="s">
        <v>5292</v>
      </c>
      <c r="S628" s="13" t="s">
        <v>5293</v>
      </c>
      <c r="T628" s="13" t="s">
        <v>3</v>
      </c>
      <c r="U628" s="13" t="s">
        <v>98</v>
      </c>
      <c r="V628" s="13" t="n">
        <f aca="false">IF(COUNTIF($B$2:B628,B628)=1,1,0)</f>
        <v>0</v>
      </c>
      <c r="W628" s="13" t="n">
        <f aca="false">IF(COUNTIFS($B$2:B628,B628,$T$2:T628,T628)=1,1,0)</f>
        <v>0</v>
      </c>
    </row>
    <row r="629" customFormat="false" ht="15" hidden="false" customHeight="false" outlineLevel="0" collapsed="false">
      <c r="A629" s="13" t="s">
        <v>5535</v>
      </c>
      <c r="B629" s="13" t="s">
        <v>2210</v>
      </c>
      <c r="C629" s="13" t="n">
        <v>750</v>
      </c>
      <c r="D629" s="13" t="n">
        <v>5</v>
      </c>
      <c r="E629" s="13" t="n">
        <v>74.99</v>
      </c>
      <c r="F629" s="13" t="s">
        <v>5288</v>
      </c>
      <c r="G629" s="13" t="s">
        <v>5289</v>
      </c>
      <c r="H629" s="13" t="s">
        <v>5289</v>
      </c>
      <c r="I629" s="13" t="s">
        <v>5292</v>
      </c>
      <c r="J629" s="13" t="s">
        <v>5289</v>
      </c>
      <c r="K629" s="13" t="s">
        <v>5289</v>
      </c>
      <c r="L629" s="13" t="s">
        <v>5536</v>
      </c>
      <c r="M629" s="13"/>
      <c r="N629" s="13"/>
      <c r="O629" s="13"/>
      <c r="P629" s="13" t="s">
        <v>5291</v>
      </c>
      <c r="Q629" s="13" t="s">
        <v>5289</v>
      </c>
      <c r="R629" s="13" t="s">
        <v>5292</v>
      </c>
      <c r="S629" s="13" t="s">
        <v>5293</v>
      </c>
      <c r="T629" s="13" t="s">
        <v>3</v>
      </c>
      <c r="U629" s="13" t="s">
        <v>85</v>
      </c>
      <c r="V629" s="13" t="n">
        <f aca="false">IF(COUNTIF($B$2:B629,B629)=1,1,0)</f>
        <v>0</v>
      </c>
      <c r="W629" s="13" t="n">
        <f aca="false">IF(COUNTIFS($B$2:B629,B629,$T$2:T629,T629)=1,1,0)</f>
        <v>0</v>
      </c>
    </row>
    <row r="630" customFormat="false" ht="15" hidden="false" customHeight="false" outlineLevel="0" collapsed="false">
      <c r="A630" s="13" t="s">
        <v>1424</v>
      </c>
      <c r="B630" s="13" t="s">
        <v>191</v>
      </c>
      <c r="C630" s="13" t="n">
        <v>750</v>
      </c>
      <c r="D630" s="13" t="n">
        <v>5</v>
      </c>
      <c r="E630" s="13" t="n">
        <v>124.971666666667</v>
      </c>
      <c r="F630" s="13" t="s">
        <v>5288</v>
      </c>
      <c r="G630" s="13" t="s">
        <v>5289</v>
      </c>
      <c r="H630" s="13" t="s">
        <v>5289</v>
      </c>
      <c r="I630" s="13" t="s">
        <v>5289</v>
      </c>
      <c r="J630" s="13" t="s">
        <v>5289</v>
      </c>
      <c r="K630" s="13" t="s">
        <v>5292</v>
      </c>
      <c r="L630" s="13" t="s">
        <v>4270</v>
      </c>
      <c r="M630" s="13"/>
      <c r="N630" s="13" t="n">
        <v>7898973267437</v>
      </c>
      <c r="O630" s="13"/>
      <c r="P630" s="13" t="s">
        <v>5291</v>
      </c>
      <c r="Q630" s="13" t="s">
        <v>5289</v>
      </c>
      <c r="R630" s="13" t="s">
        <v>5292</v>
      </c>
      <c r="S630" s="13" t="s">
        <v>5293</v>
      </c>
      <c r="T630" s="13" t="s">
        <v>3</v>
      </c>
      <c r="U630" s="13" t="s">
        <v>183</v>
      </c>
      <c r="V630" s="13" t="n">
        <f aca="false">IF(COUNTIF($B$2:B630,B630)=1,1,0)</f>
        <v>0</v>
      </c>
      <c r="W630" s="13" t="n">
        <f aca="false">IF(COUNTIFS($B$2:B630,B630,$T$2:T630,T630)=1,1,0)</f>
        <v>0</v>
      </c>
    </row>
    <row r="631" customFormat="false" ht="15" hidden="false" customHeight="false" outlineLevel="0" collapsed="false">
      <c r="A631" s="13" t="s">
        <v>4286</v>
      </c>
      <c r="B631" s="13" t="s">
        <v>2152</v>
      </c>
      <c r="C631" s="13" t="n">
        <v>740</v>
      </c>
      <c r="D631" s="13" t="n">
        <v>5</v>
      </c>
      <c r="E631" s="13" t="n">
        <v>149</v>
      </c>
      <c r="F631" s="13" t="s">
        <v>5288</v>
      </c>
      <c r="G631" s="13" t="s">
        <v>5289</v>
      </c>
      <c r="H631" s="13" t="s">
        <v>5289</v>
      </c>
      <c r="I631" s="13" t="s">
        <v>5289</v>
      </c>
      <c r="J631" s="13" t="s">
        <v>5289</v>
      </c>
      <c r="K631" s="13" t="s">
        <v>5289</v>
      </c>
      <c r="L631" s="13" t="s">
        <v>4285</v>
      </c>
      <c r="M631" s="13"/>
      <c r="N631" s="13" t="n">
        <v>6290171073802</v>
      </c>
      <c r="O631" s="13"/>
      <c r="P631" s="13" t="s">
        <v>5297</v>
      </c>
      <c r="Q631" s="13" t="s">
        <v>5289</v>
      </c>
      <c r="R631" s="13" t="s">
        <v>5292</v>
      </c>
      <c r="S631" s="13" t="s">
        <v>5293</v>
      </c>
      <c r="T631" s="13" t="s">
        <v>3</v>
      </c>
      <c r="U631" s="13" t="s">
        <v>43</v>
      </c>
      <c r="V631" s="13" t="n">
        <f aca="false">IF(COUNTIF($B$2:B631,B631)=1,1,0)</f>
        <v>0</v>
      </c>
      <c r="W631" s="13" t="n">
        <f aca="false">IF(COUNTIFS($B$2:B631,B631,$T$2:T631,T631)=1,1,0)</f>
        <v>0</v>
      </c>
    </row>
    <row r="632" customFormat="false" ht="15" hidden="false" customHeight="false" outlineLevel="0" collapsed="false">
      <c r="A632" s="13" t="s">
        <v>1438</v>
      </c>
      <c r="B632" s="13" t="s">
        <v>182</v>
      </c>
      <c r="C632" s="13" t="n">
        <v>740</v>
      </c>
      <c r="D632" s="13" t="n">
        <v>5</v>
      </c>
      <c r="E632" s="13" t="n">
        <v>122.643333333333</v>
      </c>
      <c r="F632" s="13" t="s">
        <v>5288</v>
      </c>
      <c r="G632" s="13" t="s">
        <v>5289</v>
      </c>
      <c r="H632" s="13" t="s">
        <v>5292</v>
      </c>
      <c r="I632" s="13" t="s">
        <v>5289</v>
      </c>
      <c r="J632" s="13" t="s">
        <v>5289</v>
      </c>
      <c r="K632" s="13" t="s">
        <v>5292</v>
      </c>
      <c r="L632" s="13" t="s">
        <v>5375</v>
      </c>
      <c r="M632" s="13"/>
      <c r="N632" s="13" t="n">
        <v>7618900995086</v>
      </c>
      <c r="O632" s="13"/>
      <c r="P632" s="13" t="s">
        <v>5297</v>
      </c>
      <c r="Q632" s="13" t="s">
        <v>5289</v>
      </c>
      <c r="R632" s="13" t="s">
        <v>5292</v>
      </c>
      <c r="S632" s="13" t="s">
        <v>5293</v>
      </c>
      <c r="T632" s="13" t="s">
        <v>3</v>
      </c>
      <c r="U632" s="13" t="s">
        <v>85</v>
      </c>
      <c r="V632" s="13" t="n">
        <f aca="false">IF(COUNTIF($B$2:B632,B632)=1,1,0)</f>
        <v>0</v>
      </c>
      <c r="W632" s="13" t="n">
        <f aca="false">IF(COUNTIFS($B$2:B632,B632,$T$2:T632,T632)=1,1,0)</f>
        <v>0</v>
      </c>
    </row>
    <row r="633" customFormat="false" ht="15" hidden="false" customHeight="false" outlineLevel="0" collapsed="false">
      <c r="A633" s="13" t="s">
        <v>4293</v>
      </c>
      <c r="B633" s="13" t="s">
        <v>2101</v>
      </c>
      <c r="C633" s="13" t="n">
        <v>730</v>
      </c>
      <c r="D633" s="13" t="n">
        <v>5</v>
      </c>
      <c r="E633" s="13" t="n">
        <v>121</v>
      </c>
      <c r="F633" s="13" t="s">
        <v>5288</v>
      </c>
      <c r="G633" s="13" t="s">
        <v>5289</v>
      </c>
      <c r="H633" s="13" t="s">
        <v>5289</v>
      </c>
      <c r="I633" s="13" t="s">
        <v>5289</v>
      </c>
      <c r="J633" s="13" t="s">
        <v>5289</v>
      </c>
      <c r="K633" s="13" t="s">
        <v>5292</v>
      </c>
      <c r="L633" s="13" t="s">
        <v>5537</v>
      </c>
      <c r="M633" s="13"/>
      <c r="N633" s="13" t="n">
        <v>7897013566257</v>
      </c>
      <c r="O633" s="13"/>
      <c r="P633" s="13" t="s">
        <v>5291</v>
      </c>
      <c r="Q633" s="13" t="s">
        <v>5289</v>
      </c>
      <c r="R633" s="13" t="s">
        <v>5292</v>
      </c>
      <c r="S633" s="13" t="s">
        <v>5293</v>
      </c>
      <c r="T633" s="13" t="s">
        <v>3</v>
      </c>
      <c r="U633" s="13" t="s">
        <v>85</v>
      </c>
      <c r="V633" s="13" t="n">
        <f aca="false">IF(COUNTIF($B$2:B633,B633)=1,1,0)</f>
        <v>0</v>
      </c>
      <c r="W633" s="13" t="n">
        <f aca="false">IF(COUNTIFS($B$2:B633,B633,$T$2:T633,T633)=1,1,0)</f>
        <v>0</v>
      </c>
    </row>
    <row r="634" customFormat="false" ht="15" hidden="false" customHeight="false" outlineLevel="0" collapsed="false">
      <c r="A634" s="13" t="s">
        <v>4168</v>
      </c>
      <c r="B634" s="13" t="s">
        <v>2099</v>
      </c>
      <c r="C634" s="13" t="n">
        <v>720</v>
      </c>
      <c r="D634" s="13" t="n">
        <v>20</v>
      </c>
      <c r="E634" s="13" t="n">
        <v>28.99</v>
      </c>
      <c r="F634" s="13" t="s">
        <v>5288</v>
      </c>
      <c r="G634" s="13" t="s">
        <v>5289</v>
      </c>
      <c r="H634" s="13" t="s">
        <v>5289</v>
      </c>
      <c r="I634" s="13" t="s">
        <v>5292</v>
      </c>
      <c r="J634" s="13" t="s">
        <v>5289</v>
      </c>
      <c r="K634" s="13" t="s">
        <v>5292</v>
      </c>
      <c r="L634" s="13" t="s">
        <v>4167</v>
      </c>
      <c r="M634" s="13"/>
      <c r="N634" s="13" t="n">
        <v>7899952321416</v>
      </c>
      <c r="O634" s="13"/>
      <c r="P634" s="13" t="s">
        <v>5297</v>
      </c>
      <c r="Q634" s="13" t="s">
        <v>5289</v>
      </c>
      <c r="R634" s="13" t="s">
        <v>5292</v>
      </c>
      <c r="S634" s="13" t="s">
        <v>5293</v>
      </c>
      <c r="T634" s="13" t="s">
        <v>3</v>
      </c>
      <c r="U634" s="13" t="s">
        <v>43</v>
      </c>
      <c r="V634" s="13" t="n">
        <f aca="false">IF(COUNTIF($B$2:B634,B634)=1,1,0)</f>
        <v>0</v>
      </c>
      <c r="W634" s="13" t="n">
        <f aca="false">IF(COUNTIFS($B$2:B634,B634,$T$2:T634,T634)=1,1,0)</f>
        <v>0</v>
      </c>
    </row>
    <row r="635" customFormat="false" ht="15" hidden="false" customHeight="false" outlineLevel="0" collapsed="false">
      <c r="A635" s="13" t="s">
        <v>2944</v>
      </c>
      <c r="B635" s="13" t="s">
        <v>2113</v>
      </c>
      <c r="C635" s="13" t="n">
        <v>720</v>
      </c>
      <c r="D635" s="13" t="n">
        <v>5</v>
      </c>
      <c r="E635" s="13" t="n">
        <v>89.99</v>
      </c>
      <c r="F635" s="13" t="s">
        <v>5288</v>
      </c>
      <c r="G635" s="13" t="s">
        <v>5289</v>
      </c>
      <c r="H635" s="13" t="s">
        <v>5289</v>
      </c>
      <c r="I635" s="13" t="s">
        <v>5289</v>
      </c>
      <c r="J635" s="13" t="s">
        <v>5289</v>
      </c>
      <c r="K635" s="13" t="s">
        <v>5292</v>
      </c>
      <c r="L635" s="13" t="s">
        <v>5538</v>
      </c>
      <c r="M635" s="13"/>
      <c r="N635" s="13" t="n">
        <v>7896032657144</v>
      </c>
      <c r="O635" s="13"/>
      <c r="P635" s="13" t="s">
        <v>5291</v>
      </c>
      <c r="Q635" s="13" t="s">
        <v>5289</v>
      </c>
      <c r="R635" s="13" t="s">
        <v>5292</v>
      </c>
      <c r="S635" s="13" t="s">
        <v>5293</v>
      </c>
      <c r="T635" s="13" t="s">
        <v>3</v>
      </c>
      <c r="U635" s="13" t="s">
        <v>183</v>
      </c>
      <c r="V635" s="13" t="n">
        <f aca="false">IF(COUNTIF($B$2:B635,B635)=1,1,0)</f>
        <v>0</v>
      </c>
      <c r="W635" s="13" t="n">
        <f aca="false">IF(COUNTIFS($B$2:B635,B635,$T$2:T635,T635)=1,1,0)</f>
        <v>0</v>
      </c>
    </row>
    <row r="636" customFormat="false" ht="15" hidden="false" customHeight="false" outlineLevel="0" collapsed="false">
      <c r="A636" s="13" t="s">
        <v>2944</v>
      </c>
      <c r="B636" s="13" t="s">
        <v>2113</v>
      </c>
      <c r="C636" s="13" t="n">
        <v>720</v>
      </c>
      <c r="D636" s="13" t="n">
        <v>5</v>
      </c>
      <c r="E636" s="13" t="n">
        <v>89.99</v>
      </c>
      <c r="F636" s="13" t="s">
        <v>5288</v>
      </c>
      <c r="G636" s="13" t="s">
        <v>5289</v>
      </c>
      <c r="H636" s="13" t="s">
        <v>5289</v>
      </c>
      <c r="I636" s="13" t="s">
        <v>5289</v>
      </c>
      <c r="J636" s="13" t="s">
        <v>5289</v>
      </c>
      <c r="K636" s="13" t="s">
        <v>5292</v>
      </c>
      <c r="L636" s="13" t="s">
        <v>4307</v>
      </c>
      <c r="M636" s="13"/>
      <c r="N636" s="13" t="n">
        <v>7898741806028</v>
      </c>
      <c r="O636" s="13"/>
      <c r="P636" s="13" t="s">
        <v>5297</v>
      </c>
      <c r="Q636" s="13" t="s">
        <v>5289</v>
      </c>
      <c r="R636" s="13" t="s">
        <v>5292</v>
      </c>
      <c r="S636" s="13" t="s">
        <v>5293</v>
      </c>
      <c r="T636" s="13" t="s">
        <v>3</v>
      </c>
      <c r="U636" s="13" t="s">
        <v>183</v>
      </c>
      <c r="V636" s="13" t="n">
        <f aca="false">IF(COUNTIF($B$2:B636,B636)=1,1,0)</f>
        <v>0</v>
      </c>
      <c r="W636" s="13" t="n">
        <f aca="false">IF(COUNTIFS($B$2:B636,B636,$T$2:T636,T636)=1,1,0)</f>
        <v>0</v>
      </c>
    </row>
    <row r="637" customFormat="false" ht="15" hidden="false" customHeight="false" outlineLevel="0" collapsed="false">
      <c r="A637" s="13" t="s">
        <v>1464</v>
      </c>
      <c r="B637" s="13" t="s">
        <v>179</v>
      </c>
      <c r="C637" s="13" t="n">
        <v>710</v>
      </c>
      <c r="D637" s="13" t="n">
        <v>2</v>
      </c>
      <c r="E637" s="13" t="n">
        <v>237.65</v>
      </c>
      <c r="F637" s="13" t="s">
        <v>5288</v>
      </c>
      <c r="G637" s="13" t="s">
        <v>5289</v>
      </c>
      <c r="H637" s="13" t="s">
        <v>5289</v>
      </c>
      <c r="I637" s="13" t="s">
        <v>5289</v>
      </c>
      <c r="J637" s="13" t="s">
        <v>5289</v>
      </c>
      <c r="K637" s="13" t="s">
        <v>5292</v>
      </c>
      <c r="L637" s="13" t="s">
        <v>4317</v>
      </c>
      <c r="M637" s="13"/>
      <c r="N637" s="13" t="n">
        <v>7898618489941</v>
      </c>
      <c r="O637" s="13"/>
      <c r="P637" s="13" t="s">
        <v>5291</v>
      </c>
      <c r="Q637" s="13" t="s">
        <v>5289</v>
      </c>
      <c r="R637" s="13" t="s">
        <v>5292</v>
      </c>
      <c r="S637" s="13" t="s">
        <v>5293</v>
      </c>
      <c r="T637" s="13" t="s">
        <v>3</v>
      </c>
      <c r="U637" s="13" t="s">
        <v>180</v>
      </c>
      <c r="V637" s="13" t="n">
        <f aca="false">IF(COUNTIF($B$2:B637,B637)=1,1,0)</f>
        <v>0</v>
      </c>
      <c r="W637" s="13" t="n">
        <f aca="false">IF(COUNTIFS($B$2:B637,B637,$T$2:T637,T637)=1,1,0)</f>
        <v>0</v>
      </c>
    </row>
    <row r="638" customFormat="false" ht="15" hidden="false" customHeight="false" outlineLevel="0" collapsed="false">
      <c r="A638" s="13" t="s">
        <v>5539</v>
      </c>
      <c r="B638" s="13" t="s">
        <v>2160</v>
      </c>
      <c r="C638" s="13" t="n">
        <v>700</v>
      </c>
      <c r="D638" s="13" t="n">
        <v>20</v>
      </c>
      <c r="E638" s="13" t="n">
        <v>46.7</v>
      </c>
      <c r="F638" s="13" t="s">
        <v>5288</v>
      </c>
      <c r="G638" s="13" t="s">
        <v>5289</v>
      </c>
      <c r="H638" s="13" t="s">
        <v>5292</v>
      </c>
      <c r="I638" s="13" t="s">
        <v>5292</v>
      </c>
      <c r="J638" s="13" t="s">
        <v>5289</v>
      </c>
      <c r="K638" s="13" t="s">
        <v>5289</v>
      </c>
      <c r="L638" s="13" t="s">
        <v>5397</v>
      </c>
      <c r="M638" s="13"/>
      <c r="N638" s="13" t="n">
        <v>7895339020514</v>
      </c>
      <c r="O638" s="13"/>
      <c r="P638" s="13" t="s">
        <v>5291</v>
      </c>
      <c r="Q638" s="13" t="s">
        <v>5289</v>
      </c>
      <c r="R638" s="13" t="s">
        <v>5292</v>
      </c>
      <c r="S638" s="13" t="s">
        <v>5293</v>
      </c>
      <c r="T638" s="13" t="s">
        <v>3</v>
      </c>
      <c r="U638" s="13" t="s">
        <v>183</v>
      </c>
      <c r="V638" s="13" t="n">
        <f aca="false">IF(COUNTIF($B$2:B638,B638)=1,1,0)</f>
        <v>0</v>
      </c>
      <c r="W638" s="13" t="n">
        <f aca="false">IF(COUNTIFS($B$2:B638,B638,$T$2:T638,T638)=1,1,0)</f>
        <v>0</v>
      </c>
    </row>
    <row r="639" customFormat="false" ht="15" hidden="false" customHeight="false" outlineLevel="0" collapsed="false">
      <c r="A639" s="13" t="s">
        <v>4326</v>
      </c>
      <c r="B639" s="13" t="s">
        <v>2096</v>
      </c>
      <c r="C639" s="13" t="n">
        <v>700</v>
      </c>
      <c r="D639" s="13" t="n">
        <v>5</v>
      </c>
      <c r="E639" s="13" t="n">
        <v>100</v>
      </c>
      <c r="F639" s="13" t="s">
        <v>5288</v>
      </c>
      <c r="G639" s="13" t="s">
        <v>5289</v>
      </c>
      <c r="H639" s="13" t="s">
        <v>5289</v>
      </c>
      <c r="I639" s="13" t="s">
        <v>5289</v>
      </c>
      <c r="J639" s="13" t="s">
        <v>5289</v>
      </c>
      <c r="K639" s="13" t="s">
        <v>5289</v>
      </c>
      <c r="L639" s="13" t="s">
        <v>4325</v>
      </c>
      <c r="M639" s="13"/>
      <c r="N639" s="13" t="n">
        <v>7891033531448</v>
      </c>
      <c r="O639" s="13"/>
      <c r="P639" s="13" t="s">
        <v>5291</v>
      </c>
      <c r="Q639" s="13" t="s">
        <v>5289</v>
      </c>
      <c r="R639" s="13" t="s">
        <v>5292</v>
      </c>
      <c r="S639" s="13" t="s">
        <v>5293</v>
      </c>
      <c r="T639" s="13" t="s">
        <v>3</v>
      </c>
      <c r="U639" s="13" t="s">
        <v>85</v>
      </c>
      <c r="V639" s="13" t="n">
        <f aca="false">IF(COUNTIF($B$2:B639,B639)=1,1,0)</f>
        <v>0</v>
      </c>
      <c r="W639" s="13" t="n">
        <f aca="false">IF(COUNTIFS($B$2:B639,B639,$T$2:T639,T639)=1,1,0)</f>
        <v>0</v>
      </c>
    </row>
    <row r="640" customFormat="false" ht="15" hidden="false" customHeight="false" outlineLevel="0" collapsed="false">
      <c r="A640" s="13" t="s">
        <v>1475</v>
      </c>
      <c r="B640" s="13" t="s">
        <v>179</v>
      </c>
      <c r="C640" s="13" t="n">
        <v>700</v>
      </c>
      <c r="D640" s="13" t="n">
        <v>5</v>
      </c>
      <c r="E640" s="13" t="n">
        <v>139.99</v>
      </c>
      <c r="F640" s="13" t="s">
        <v>5325</v>
      </c>
      <c r="G640" s="13" t="s">
        <v>5289</v>
      </c>
      <c r="H640" s="13" t="s">
        <v>5289</v>
      </c>
      <c r="I640" s="13" t="s">
        <v>5289</v>
      </c>
      <c r="J640" s="13" t="s">
        <v>5289</v>
      </c>
      <c r="K640" s="13" t="s">
        <v>5292</v>
      </c>
      <c r="L640" s="13" t="s">
        <v>4320</v>
      </c>
      <c r="M640" s="13"/>
      <c r="N640" s="13" t="n">
        <v>7908005376638</v>
      </c>
      <c r="O640" s="13"/>
      <c r="P640" s="13" t="s">
        <v>5291</v>
      </c>
      <c r="Q640" s="13" t="s">
        <v>5289</v>
      </c>
      <c r="R640" s="13" t="s">
        <v>5292</v>
      </c>
      <c r="S640" s="13" t="s">
        <v>5293</v>
      </c>
      <c r="T640" s="13" t="s">
        <v>3</v>
      </c>
      <c r="U640" s="13" t="s">
        <v>180</v>
      </c>
      <c r="V640" s="13" t="n">
        <f aca="false">IF(COUNTIF($B$2:B640,B640)=1,1,0)</f>
        <v>0</v>
      </c>
      <c r="W640" s="13" t="n">
        <f aca="false">IF(COUNTIFS($B$2:B640,B640,$T$2:T640,T640)=1,1,0)</f>
        <v>0</v>
      </c>
    </row>
    <row r="641" customFormat="false" ht="15" hidden="false" customHeight="false" outlineLevel="0" collapsed="false">
      <c r="A641" s="13" t="s">
        <v>2683</v>
      </c>
      <c r="B641" s="13" t="s">
        <v>2149</v>
      </c>
      <c r="C641" s="13" t="n">
        <v>700</v>
      </c>
      <c r="D641" s="13" t="n">
        <v>2</v>
      </c>
      <c r="E641" s="13" t="n">
        <v>233</v>
      </c>
      <c r="F641" s="13" t="s">
        <v>5288</v>
      </c>
      <c r="G641" s="13" t="s">
        <v>5289</v>
      </c>
      <c r="H641" s="13" t="s">
        <v>5292</v>
      </c>
      <c r="I641" s="13" t="s">
        <v>5289</v>
      </c>
      <c r="J641" s="13" t="s">
        <v>5289</v>
      </c>
      <c r="K641" s="13" t="s">
        <v>5292</v>
      </c>
      <c r="L641" s="13" t="s">
        <v>2682</v>
      </c>
      <c r="M641" s="13"/>
      <c r="N641" s="13" t="n">
        <v>6943475854355</v>
      </c>
      <c r="O641" s="13"/>
      <c r="P641" s="13" t="s">
        <v>5291</v>
      </c>
      <c r="Q641" s="13" t="s">
        <v>5289</v>
      </c>
      <c r="R641" s="13" t="s">
        <v>5292</v>
      </c>
      <c r="S641" s="13" t="s">
        <v>5293</v>
      </c>
      <c r="T641" s="13" t="s">
        <v>3</v>
      </c>
      <c r="U641" s="13" t="s">
        <v>98</v>
      </c>
      <c r="V641" s="13" t="n">
        <f aca="false">IF(COUNTIF($B$2:B641,B641)=1,1,0)</f>
        <v>0</v>
      </c>
      <c r="W641" s="13" t="n">
        <f aca="false">IF(COUNTIFS($B$2:B641,B641,$T$2:T641,T641)=1,1,0)</f>
        <v>0</v>
      </c>
    </row>
    <row r="642" customFormat="false" ht="15" hidden="false" customHeight="false" outlineLevel="0" collapsed="false">
      <c r="A642" s="13" t="s">
        <v>1476</v>
      </c>
      <c r="B642" s="13" t="s">
        <v>81</v>
      </c>
      <c r="C642" s="13" t="n">
        <v>700</v>
      </c>
      <c r="D642" s="13" t="n">
        <v>2</v>
      </c>
      <c r="E642" s="13" t="n">
        <v>174.5</v>
      </c>
      <c r="F642" s="13" t="s">
        <v>5288</v>
      </c>
      <c r="G642" s="13" t="s">
        <v>5289</v>
      </c>
      <c r="H642" s="13" t="s">
        <v>5289</v>
      </c>
      <c r="I642" s="13" t="s">
        <v>5289</v>
      </c>
      <c r="J642" s="13" t="s">
        <v>5289</v>
      </c>
      <c r="K642" s="13" t="s">
        <v>5289</v>
      </c>
      <c r="L642" s="13" t="s">
        <v>4340</v>
      </c>
      <c r="M642" s="13"/>
      <c r="N642" s="13" t="n">
        <v>7899206171866</v>
      </c>
      <c r="O642" s="13"/>
      <c r="P642" s="13" t="s">
        <v>5297</v>
      </c>
      <c r="Q642" s="13" t="s">
        <v>5289</v>
      </c>
      <c r="R642" s="13" t="s">
        <v>5292</v>
      </c>
      <c r="S642" s="13" t="s">
        <v>5293</v>
      </c>
      <c r="T642" s="13" t="s">
        <v>3</v>
      </c>
      <c r="U642" s="13" t="s">
        <v>85</v>
      </c>
      <c r="V642" s="13" t="n">
        <f aca="false">IF(COUNTIF($B$2:B642,B642)=1,1,0)</f>
        <v>0</v>
      </c>
      <c r="W642" s="13" t="n">
        <f aca="false">IF(COUNTIFS($B$2:B642,B642,$T$2:T642,T642)=1,1,0)</f>
        <v>0</v>
      </c>
    </row>
    <row r="643" customFormat="false" ht="15" hidden="false" customHeight="false" outlineLevel="0" collapsed="false">
      <c r="A643" s="13" t="s">
        <v>4328</v>
      </c>
      <c r="B643" s="13" t="s">
        <v>2142</v>
      </c>
      <c r="C643" s="13" t="n">
        <v>700</v>
      </c>
      <c r="D643" s="13" t="n">
        <v>20</v>
      </c>
      <c r="E643" s="13" t="n">
        <v>34.8675</v>
      </c>
      <c r="F643" s="13" t="s">
        <v>5288</v>
      </c>
      <c r="G643" s="13" t="s">
        <v>5289</v>
      </c>
      <c r="H643" s="13" t="s">
        <v>5289</v>
      </c>
      <c r="I643" s="13" t="s">
        <v>5292</v>
      </c>
      <c r="J643" s="13" t="s">
        <v>5289</v>
      </c>
      <c r="K643" s="13" t="s">
        <v>5292</v>
      </c>
      <c r="L643" s="13" t="s">
        <v>4327</v>
      </c>
      <c r="M643" s="13"/>
      <c r="N643" s="13" t="n">
        <v>7898952577250</v>
      </c>
      <c r="O643" s="13"/>
      <c r="P643" s="13" t="s">
        <v>5291</v>
      </c>
      <c r="Q643" s="13" t="s">
        <v>5289</v>
      </c>
      <c r="R643" s="13" t="s">
        <v>5292</v>
      </c>
      <c r="S643" s="13" t="s">
        <v>5293</v>
      </c>
      <c r="T643" s="13" t="s">
        <v>3</v>
      </c>
      <c r="U643" s="13" t="s">
        <v>85</v>
      </c>
      <c r="V643" s="13" t="n">
        <f aca="false">IF(COUNTIF($B$2:B643,B643)=1,1,0)</f>
        <v>0</v>
      </c>
      <c r="W643" s="13" t="n">
        <f aca="false">IF(COUNTIFS($B$2:B643,B643,$T$2:T643,T643)=1,1,0)</f>
        <v>0</v>
      </c>
    </row>
    <row r="644" customFormat="false" ht="15" hidden="false" customHeight="false" outlineLevel="0" collapsed="false">
      <c r="A644" s="13" t="s">
        <v>4344</v>
      </c>
      <c r="B644" s="13" t="s">
        <v>2190</v>
      </c>
      <c r="C644" s="13" t="n">
        <v>690</v>
      </c>
      <c r="D644" s="13" t="n">
        <v>5</v>
      </c>
      <c r="E644" s="13" t="n">
        <v>69.19</v>
      </c>
      <c r="F644" s="13" t="s">
        <v>5288</v>
      </c>
      <c r="G644" s="13" t="s">
        <v>5289</v>
      </c>
      <c r="H644" s="13" t="s">
        <v>5289</v>
      </c>
      <c r="I644" s="13" t="s">
        <v>5292</v>
      </c>
      <c r="J644" s="13" t="s">
        <v>5289</v>
      </c>
      <c r="K644" s="13" t="s">
        <v>5292</v>
      </c>
      <c r="L644" s="13" t="s">
        <v>4343</v>
      </c>
      <c r="M644" s="13"/>
      <c r="N644" s="13" t="n">
        <v>5055810030513</v>
      </c>
      <c r="O644" s="13"/>
      <c r="P644" s="13" t="s">
        <v>5291</v>
      </c>
      <c r="Q644" s="13" t="s">
        <v>5289</v>
      </c>
      <c r="R644" s="13" t="s">
        <v>5292</v>
      </c>
      <c r="S644" s="13" t="s">
        <v>5293</v>
      </c>
      <c r="T644" s="13" t="s">
        <v>3</v>
      </c>
      <c r="U644" s="13" t="s">
        <v>43</v>
      </c>
      <c r="V644" s="13" t="n">
        <f aca="false">IF(COUNTIF($B$2:B644,B644)=1,1,0)</f>
        <v>0</v>
      </c>
      <c r="W644" s="13" t="n">
        <f aca="false">IF(COUNTIFS($B$2:B644,B644,$T$2:T644,T644)=1,1,0)</f>
        <v>0</v>
      </c>
    </row>
    <row r="645" customFormat="false" ht="15" hidden="false" customHeight="false" outlineLevel="0" collapsed="false">
      <c r="A645" s="13" t="s">
        <v>5540</v>
      </c>
      <c r="B645" s="13" t="s">
        <v>2257</v>
      </c>
      <c r="C645" s="13" t="n">
        <v>690</v>
      </c>
      <c r="D645" s="13" t="n">
        <v>20</v>
      </c>
      <c r="E645" s="13" t="n">
        <v>40.5558823529412</v>
      </c>
      <c r="F645" s="13" t="s">
        <v>5288</v>
      </c>
      <c r="G645" s="13" t="s">
        <v>5289</v>
      </c>
      <c r="H645" s="13" t="s">
        <v>5289</v>
      </c>
      <c r="I645" s="13" t="s">
        <v>5292</v>
      </c>
      <c r="J645" s="13" t="s">
        <v>5289</v>
      </c>
      <c r="K645" s="13" t="s">
        <v>5289</v>
      </c>
      <c r="L645" s="13" t="s">
        <v>5541</v>
      </c>
      <c r="M645" s="13"/>
      <c r="N645" s="13" t="n">
        <v>6.09963958542603E+023</v>
      </c>
      <c r="O645" s="13"/>
      <c r="P645" s="13" t="s">
        <v>5291</v>
      </c>
      <c r="Q645" s="13" t="s">
        <v>5289</v>
      </c>
      <c r="R645" s="13" t="s">
        <v>5292</v>
      </c>
      <c r="S645" s="13" t="s">
        <v>5293</v>
      </c>
      <c r="T645" s="13" t="s">
        <v>3</v>
      </c>
      <c r="U645" s="13" t="s">
        <v>183</v>
      </c>
      <c r="V645" s="13" t="n">
        <f aca="false">IF(COUNTIF($B$2:B645,B645)=1,1,0)</f>
        <v>1</v>
      </c>
      <c r="W645" s="13" t="n">
        <f aca="false">IF(COUNTIFS($B$2:B645,B645,$T$2:T645,T645)=1,1,0)</f>
        <v>1</v>
      </c>
    </row>
    <row r="646" customFormat="false" ht="15" hidden="false" customHeight="false" outlineLevel="0" collapsed="false">
      <c r="A646" s="13" t="s">
        <v>4350</v>
      </c>
      <c r="B646" s="13" t="s">
        <v>2218</v>
      </c>
      <c r="C646" s="13" t="n">
        <v>680</v>
      </c>
      <c r="D646" s="13" t="n">
        <v>5</v>
      </c>
      <c r="E646" s="13" t="n">
        <v>85.54</v>
      </c>
      <c r="F646" s="13" t="s">
        <v>5288</v>
      </c>
      <c r="G646" s="13" t="s">
        <v>5289</v>
      </c>
      <c r="H646" s="13" t="s">
        <v>5289</v>
      </c>
      <c r="I646" s="13" t="s">
        <v>5289</v>
      </c>
      <c r="J646" s="13" t="s">
        <v>5289</v>
      </c>
      <c r="K646" s="13" t="s">
        <v>5292</v>
      </c>
      <c r="L646" s="13" t="s">
        <v>4349</v>
      </c>
      <c r="M646" s="13"/>
      <c r="N646" s="13" t="n">
        <v>7898600994132</v>
      </c>
      <c r="O646" s="13"/>
      <c r="P646" s="13" t="s">
        <v>5291</v>
      </c>
      <c r="Q646" s="13" t="s">
        <v>5289</v>
      </c>
      <c r="R646" s="13" t="s">
        <v>5292</v>
      </c>
      <c r="S646" s="13" t="s">
        <v>5293</v>
      </c>
      <c r="T646" s="13" t="s">
        <v>3</v>
      </c>
      <c r="U646" s="13" t="s">
        <v>85</v>
      </c>
      <c r="V646" s="13" t="n">
        <f aca="false">IF(COUNTIF($B$2:B646,B646)=1,1,0)</f>
        <v>0</v>
      </c>
      <c r="W646" s="13" t="n">
        <f aca="false">IF(COUNTIFS($B$2:B646,B646,$T$2:T646,T646)=1,1,0)</f>
        <v>0</v>
      </c>
    </row>
    <row r="647" customFormat="false" ht="15" hidden="false" customHeight="false" outlineLevel="0" collapsed="false">
      <c r="A647" s="13" t="s">
        <v>4354</v>
      </c>
      <c r="B647" s="13" t="s">
        <v>2108</v>
      </c>
      <c r="C647" s="13" t="n">
        <v>680</v>
      </c>
      <c r="D647" s="13" t="n">
        <v>2</v>
      </c>
      <c r="E647" s="13" t="n">
        <v>170.68</v>
      </c>
      <c r="F647" s="13" t="s">
        <v>5325</v>
      </c>
      <c r="G647" s="13" t="s">
        <v>5289</v>
      </c>
      <c r="H647" s="13" t="s">
        <v>5289</v>
      </c>
      <c r="I647" s="13" t="s">
        <v>5289</v>
      </c>
      <c r="J647" s="13" t="s">
        <v>5289</v>
      </c>
      <c r="K647" s="13" t="s">
        <v>5289</v>
      </c>
      <c r="L647" s="13" t="s">
        <v>4353</v>
      </c>
      <c r="M647" s="13"/>
      <c r="N647" s="13" t="n">
        <v>7891117004479</v>
      </c>
      <c r="O647" s="13"/>
      <c r="P647" s="13" t="s">
        <v>5291</v>
      </c>
      <c r="Q647" s="13" t="s">
        <v>5289</v>
      </c>
      <c r="R647" s="13" t="s">
        <v>5292</v>
      </c>
      <c r="S647" s="13" t="s">
        <v>5293</v>
      </c>
      <c r="T647" s="13" t="s">
        <v>3</v>
      </c>
      <c r="U647" s="13" t="s">
        <v>85</v>
      </c>
      <c r="V647" s="13" t="n">
        <f aca="false">IF(COUNTIF($B$2:B647,B647)=1,1,0)</f>
        <v>0</v>
      </c>
      <c r="W647" s="13" t="n">
        <f aca="false">IF(COUNTIFS($B$2:B647,B647,$T$2:T647,T647)=1,1,0)</f>
        <v>0</v>
      </c>
    </row>
    <row r="648" customFormat="false" ht="15" hidden="false" customHeight="false" outlineLevel="0" collapsed="false">
      <c r="A648" s="13" t="s">
        <v>1497</v>
      </c>
      <c r="B648" s="13" t="s">
        <v>286</v>
      </c>
      <c r="C648" s="13" t="n">
        <v>680</v>
      </c>
      <c r="D648" s="13" t="n">
        <v>2</v>
      </c>
      <c r="E648" s="13" t="n">
        <v>339.99</v>
      </c>
      <c r="F648" s="13" t="s">
        <v>5288</v>
      </c>
      <c r="G648" s="13" t="s">
        <v>5289</v>
      </c>
      <c r="H648" s="13" t="s">
        <v>5289</v>
      </c>
      <c r="I648" s="13" t="s">
        <v>5289</v>
      </c>
      <c r="J648" s="13" t="s">
        <v>5289</v>
      </c>
      <c r="K648" s="13" t="s">
        <v>5292</v>
      </c>
      <c r="L648" s="13" t="s">
        <v>3440</v>
      </c>
      <c r="M648" s="13"/>
      <c r="N648" s="13" t="n">
        <v>6295199801116</v>
      </c>
      <c r="O648" s="13"/>
      <c r="P648" s="13" t="s">
        <v>5291</v>
      </c>
      <c r="Q648" s="13" t="s">
        <v>5289</v>
      </c>
      <c r="R648" s="13" t="s">
        <v>5292</v>
      </c>
      <c r="S648" s="13" t="s">
        <v>5293</v>
      </c>
      <c r="T648" s="13" t="s">
        <v>3</v>
      </c>
      <c r="U648" s="13" t="s">
        <v>43</v>
      </c>
      <c r="V648" s="13" t="n">
        <f aca="false">IF(COUNTIF($B$2:B648,B648)=1,1,0)</f>
        <v>0</v>
      </c>
      <c r="W648" s="13" t="n">
        <f aca="false">IF(COUNTIFS($B$2:B648,B648,$T$2:T648,T648)=1,1,0)</f>
        <v>0</v>
      </c>
    </row>
    <row r="649" customFormat="false" ht="15" hidden="false" customHeight="false" outlineLevel="0" collapsed="false">
      <c r="A649" s="13" t="s">
        <v>1492</v>
      </c>
      <c r="B649" s="13" t="s">
        <v>114</v>
      </c>
      <c r="C649" s="13" t="n">
        <v>680</v>
      </c>
      <c r="D649" s="13" t="n">
        <v>2</v>
      </c>
      <c r="E649" s="13" t="n">
        <v>169.9</v>
      </c>
      <c r="F649" s="13" t="s">
        <v>5325</v>
      </c>
      <c r="G649" s="13" t="s">
        <v>5289</v>
      </c>
      <c r="H649" s="13" t="s">
        <v>5289</v>
      </c>
      <c r="I649" s="13" t="s">
        <v>5289</v>
      </c>
      <c r="J649" s="13" t="s">
        <v>5289</v>
      </c>
      <c r="K649" s="13" t="s">
        <v>5292</v>
      </c>
      <c r="L649" s="13" t="s">
        <v>4348</v>
      </c>
      <c r="M649" s="13"/>
      <c r="N649" s="13" t="n">
        <v>4975759001775</v>
      </c>
      <c r="O649" s="13" t="s">
        <v>5542</v>
      </c>
      <c r="P649" s="13" t="s">
        <v>5291</v>
      </c>
      <c r="Q649" s="13" t="s">
        <v>5289</v>
      </c>
      <c r="R649" s="13" t="s">
        <v>5292</v>
      </c>
      <c r="S649" s="13" t="s">
        <v>5293</v>
      </c>
      <c r="T649" s="13" t="s">
        <v>3</v>
      </c>
      <c r="U649" s="13" t="s">
        <v>85</v>
      </c>
      <c r="V649" s="13" t="n">
        <f aca="false">IF(COUNTIF($B$2:B649,B649)=1,1,0)</f>
        <v>0</v>
      </c>
      <c r="W649" s="13" t="n">
        <f aca="false">IF(COUNTIFS($B$2:B649,B649,$T$2:T649,T649)=1,1,0)</f>
        <v>0</v>
      </c>
    </row>
    <row r="650" customFormat="false" ht="15" hidden="false" customHeight="false" outlineLevel="0" collapsed="false">
      <c r="A650" s="13" t="s">
        <v>1493</v>
      </c>
      <c r="B650" s="13" t="s">
        <v>179</v>
      </c>
      <c r="C650" s="13" t="n">
        <v>680</v>
      </c>
      <c r="D650" s="13" t="n">
        <v>2</v>
      </c>
      <c r="E650" s="13" t="n">
        <v>339</v>
      </c>
      <c r="F650" s="13" t="s">
        <v>5325</v>
      </c>
      <c r="G650" s="13" t="s">
        <v>5289</v>
      </c>
      <c r="H650" s="13" t="s">
        <v>5289</v>
      </c>
      <c r="I650" s="13" t="s">
        <v>5289</v>
      </c>
      <c r="J650" s="13" t="s">
        <v>5289</v>
      </c>
      <c r="K650" s="13" t="s">
        <v>5292</v>
      </c>
      <c r="L650" s="13" t="s">
        <v>5543</v>
      </c>
      <c r="M650" s="13"/>
      <c r="N650" s="13" t="n">
        <v>7.89861848558579E+025</v>
      </c>
      <c r="O650" s="13"/>
      <c r="P650" s="13" t="s">
        <v>5291</v>
      </c>
      <c r="Q650" s="13" t="s">
        <v>5289</v>
      </c>
      <c r="R650" s="13" t="s">
        <v>5292</v>
      </c>
      <c r="S650" s="13" t="s">
        <v>5293</v>
      </c>
      <c r="T650" s="13" t="s">
        <v>3</v>
      </c>
      <c r="U650" s="13" t="s">
        <v>180</v>
      </c>
      <c r="V650" s="13" t="n">
        <f aca="false">IF(COUNTIF($B$2:B650,B650)=1,1,0)</f>
        <v>0</v>
      </c>
      <c r="W650" s="13" t="n">
        <f aca="false">IF(COUNTIFS($B$2:B650,B650,$T$2:T650,T650)=1,1,0)</f>
        <v>0</v>
      </c>
    </row>
    <row r="651" customFormat="false" ht="15" hidden="false" customHeight="false" outlineLevel="0" collapsed="false">
      <c r="A651" s="13" t="s">
        <v>1496</v>
      </c>
      <c r="B651" s="13" t="s">
        <v>179</v>
      </c>
      <c r="C651" s="13" t="n">
        <v>680</v>
      </c>
      <c r="D651" s="13" t="n">
        <v>2</v>
      </c>
      <c r="E651" s="13" t="n">
        <v>169</v>
      </c>
      <c r="F651" s="13" t="s">
        <v>5325</v>
      </c>
      <c r="G651" s="13" t="s">
        <v>5289</v>
      </c>
      <c r="H651" s="13" t="s">
        <v>5289</v>
      </c>
      <c r="I651" s="13" t="s">
        <v>5289</v>
      </c>
      <c r="J651" s="13" t="s">
        <v>5289</v>
      </c>
      <c r="K651" s="13" t="s">
        <v>5292</v>
      </c>
      <c r="L651" s="13" t="s">
        <v>4359</v>
      </c>
      <c r="M651" s="13"/>
      <c r="N651" s="13" t="n">
        <v>7908992000707</v>
      </c>
      <c r="O651" s="13"/>
      <c r="P651" s="13" t="s">
        <v>5297</v>
      </c>
      <c r="Q651" s="13" t="s">
        <v>5289</v>
      </c>
      <c r="R651" s="13" t="s">
        <v>5292</v>
      </c>
      <c r="S651" s="13" t="s">
        <v>5293</v>
      </c>
      <c r="T651" s="13" t="s">
        <v>3</v>
      </c>
      <c r="U651" s="13" t="s">
        <v>180</v>
      </c>
      <c r="V651" s="13" t="n">
        <f aca="false">IF(COUNTIF($B$2:B651,B651)=1,1,0)</f>
        <v>0</v>
      </c>
      <c r="W651" s="13" t="n">
        <f aca="false">IF(COUNTIFS($B$2:B651,B651,$T$2:T651,T651)=1,1,0)</f>
        <v>0</v>
      </c>
    </row>
    <row r="652" customFormat="false" ht="15" hidden="false" customHeight="false" outlineLevel="0" collapsed="false">
      <c r="A652" s="13" t="s">
        <v>4352</v>
      </c>
      <c r="B652" s="13" t="s">
        <v>2258</v>
      </c>
      <c r="C652" s="13" t="n">
        <v>680</v>
      </c>
      <c r="D652" s="13" t="n">
        <v>2</v>
      </c>
      <c r="E652" s="13" t="n">
        <v>225</v>
      </c>
      <c r="F652" s="13" t="s">
        <v>5288</v>
      </c>
      <c r="G652" s="13" t="s">
        <v>5289</v>
      </c>
      <c r="H652" s="13" t="s">
        <v>5289</v>
      </c>
      <c r="I652" s="13" t="s">
        <v>5289</v>
      </c>
      <c r="J652" s="13" t="s">
        <v>5289</v>
      </c>
      <c r="K652" s="13" t="s">
        <v>5289</v>
      </c>
      <c r="L652" s="13" t="s">
        <v>4351</v>
      </c>
      <c r="M652" s="13"/>
      <c r="N652" s="13" t="n">
        <v>6297001574027</v>
      </c>
      <c r="O652" s="13"/>
      <c r="P652" s="13" t="s">
        <v>5291</v>
      </c>
      <c r="Q652" s="13" t="s">
        <v>5289</v>
      </c>
      <c r="R652" s="13" t="s">
        <v>5292</v>
      </c>
      <c r="S652" s="13" t="s">
        <v>5293</v>
      </c>
      <c r="T652" s="13" t="s">
        <v>3</v>
      </c>
      <c r="U652" s="13" t="s">
        <v>43</v>
      </c>
      <c r="V652" s="13" t="n">
        <f aca="false">IF(COUNTIF($B$2:B652,B652)=1,1,0)</f>
        <v>1</v>
      </c>
      <c r="W652" s="13" t="n">
        <f aca="false">IF(COUNTIFS($B$2:B652,B652,$T$2:T652,T652)=1,1,0)</f>
        <v>1</v>
      </c>
    </row>
    <row r="653" customFormat="false" ht="15" hidden="false" customHeight="false" outlineLevel="0" collapsed="false">
      <c r="A653" s="13" t="s">
        <v>1507</v>
      </c>
      <c r="B653" s="13" t="s">
        <v>97</v>
      </c>
      <c r="C653" s="13" t="n">
        <v>670</v>
      </c>
      <c r="D653" s="13" t="n">
        <v>5</v>
      </c>
      <c r="E653" s="13" t="n">
        <v>133.99</v>
      </c>
      <c r="F653" s="13" t="s">
        <v>5288</v>
      </c>
      <c r="G653" s="13" t="s">
        <v>5289</v>
      </c>
      <c r="H653" s="13" t="s">
        <v>5289</v>
      </c>
      <c r="I653" s="13" t="s">
        <v>5289</v>
      </c>
      <c r="J653" s="13" t="s">
        <v>5289</v>
      </c>
      <c r="K653" s="13" t="s">
        <v>5292</v>
      </c>
      <c r="L653" s="13" t="s">
        <v>4215</v>
      </c>
      <c r="M653" s="13"/>
      <c r="N653" s="13" t="n">
        <v>7896525011095</v>
      </c>
      <c r="O653" s="13"/>
      <c r="P653" s="13" t="s">
        <v>5291</v>
      </c>
      <c r="Q653" s="13" t="s">
        <v>5289</v>
      </c>
      <c r="R653" s="13" t="s">
        <v>5292</v>
      </c>
      <c r="S653" s="13" t="s">
        <v>5293</v>
      </c>
      <c r="T653" s="13" t="s">
        <v>3</v>
      </c>
      <c r="U653" s="13" t="s">
        <v>85</v>
      </c>
      <c r="V653" s="13" t="n">
        <f aca="false">IF(COUNTIF($B$2:B653,B653)=1,1,0)</f>
        <v>0</v>
      </c>
      <c r="W653" s="13" t="n">
        <f aca="false">IF(COUNTIFS($B$2:B653,B653,$T$2:T653,T653)=1,1,0)</f>
        <v>0</v>
      </c>
    </row>
    <row r="654" customFormat="false" ht="15" hidden="false" customHeight="false" outlineLevel="0" collapsed="false">
      <c r="A654" s="13" t="s">
        <v>1508</v>
      </c>
      <c r="B654" s="13" t="s">
        <v>179</v>
      </c>
      <c r="C654" s="13" t="n">
        <v>670</v>
      </c>
      <c r="D654" s="13" t="n">
        <v>1</v>
      </c>
      <c r="E654" s="13" t="n">
        <v>669</v>
      </c>
      <c r="F654" s="13" t="s">
        <v>5325</v>
      </c>
      <c r="G654" s="13" t="s">
        <v>5289</v>
      </c>
      <c r="H654" s="13" t="s">
        <v>5289</v>
      </c>
      <c r="I654" s="13" t="s">
        <v>5289</v>
      </c>
      <c r="J654" s="13" t="s">
        <v>5289</v>
      </c>
      <c r="K654" s="13" t="s">
        <v>5292</v>
      </c>
      <c r="L654" s="13" t="s">
        <v>5544</v>
      </c>
      <c r="M654" s="13"/>
      <c r="N654" s="13"/>
      <c r="O654" s="13"/>
      <c r="P654" s="13" t="s">
        <v>5291</v>
      </c>
      <c r="Q654" s="13" t="s">
        <v>5289</v>
      </c>
      <c r="R654" s="13" t="s">
        <v>5292</v>
      </c>
      <c r="S654" s="13" t="s">
        <v>5293</v>
      </c>
      <c r="T654" s="13" t="s">
        <v>3</v>
      </c>
      <c r="U654" s="13" t="s">
        <v>180</v>
      </c>
      <c r="V654" s="13" t="n">
        <f aca="false">IF(COUNTIF($B$2:B654,B654)=1,1,0)</f>
        <v>0</v>
      </c>
      <c r="W654" s="13" t="n">
        <f aca="false">IF(COUNTIFS($B$2:B654,B654,$T$2:T654,T654)=1,1,0)</f>
        <v>0</v>
      </c>
    </row>
    <row r="655" customFormat="false" ht="15" hidden="false" customHeight="false" outlineLevel="0" collapsed="false">
      <c r="A655" s="13" t="s">
        <v>3921</v>
      </c>
      <c r="B655" s="13" t="s">
        <v>2142</v>
      </c>
      <c r="C655" s="13" t="n">
        <v>660</v>
      </c>
      <c r="D655" s="13" t="n">
        <v>20</v>
      </c>
      <c r="E655" s="13" t="n">
        <v>38.9247058823529</v>
      </c>
      <c r="F655" s="13" t="s">
        <v>5288</v>
      </c>
      <c r="G655" s="13" t="s">
        <v>5289</v>
      </c>
      <c r="H655" s="13" t="s">
        <v>5289</v>
      </c>
      <c r="I655" s="13" t="s">
        <v>5292</v>
      </c>
      <c r="J655" s="13" t="s">
        <v>5289</v>
      </c>
      <c r="K655" s="13" t="s">
        <v>5292</v>
      </c>
      <c r="L655" s="13" t="s">
        <v>5545</v>
      </c>
      <c r="M655" s="13"/>
      <c r="N655" s="13" t="n">
        <v>7898952577212</v>
      </c>
      <c r="O655" s="13"/>
      <c r="P655" s="13" t="s">
        <v>5291</v>
      </c>
      <c r="Q655" s="13" t="s">
        <v>5289</v>
      </c>
      <c r="R655" s="13" t="s">
        <v>5292</v>
      </c>
      <c r="S655" s="13" t="s">
        <v>5293</v>
      </c>
      <c r="T655" s="13" t="s">
        <v>3</v>
      </c>
      <c r="U655" s="13" t="s">
        <v>85</v>
      </c>
      <c r="V655" s="13" t="n">
        <f aca="false">IF(COUNTIF($B$2:B655,B655)=1,1,0)</f>
        <v>0</v>
      </c>
      <c r="W655" s="13" t="n">
        <f aca="false">IF(COUNTIFS($B$2:B655,B655,$T$2:T655,T655)=1,1,0)</f>
        <v>0</v>
      </c>
    </row>
    <row r="656" customFormat="false" ht="15" hidden="false" customHeight="false" outlineLevel="0" collapsed="false">
      <c r="A656" s="13" t="s">
        <v>4373</v>
      </c>
      <c r="B656" s="13" t="s">
        <v>2167</v>
      </c>
      <c r="C656" s="13" t="n">
        <v>660</v>
      </c>
      <c r="D656" s="13" t="n">
        <v>2</v>
      </c>
      <c r="E656" s="13" t="n">
        <v>329.99</v>
      </c>
      <c r="F656" s="13" t="s">
        <v>5288</v>
      </c>
      <c r="G656" s="13" t="s">
        <v>5289</v>
      </c>
      <c r="H656" s="13" t="s">
        <v>5289</v>
      </c>
      <c r="I656" s="13" t="s">
        <v>5289</v>
      </c>
      <c r="J656" s="13" t="s">
        <v>5289</v>
      </c>
      <c r="K656" s="13" t="s">
        <v>5292</v>
      </c>
      <c r="L656" s="13" t="s">
        <v>4372</v>
      </c>
      <c r="M656" s="13"/>
      <c r="N656" s="13" t="n">
        <v>719346253260</v>
      </c>
      <c r="O656" s="13"/>
      <c r="P656" s="13" t="s">
        <v>5291</v>
      </c>
      <c r="Q656" s="13" t="s">
        <v>5289</v>
      </c>
      <c r="R656" s="13" t="s">
        <v>5292</v>
      </c>
      <c r="S656" s="13" t="s">
        <v>5293</v>
      </c>
      <c r="T656" s="13" t="s">
        <v>3</v>
      </c>
      <c r="U656" s="13" t="s">
        <v>43</v>
      </c>
      <c r="V656" s="13" t="n">
        <f aca="false">IF(COUNTIF($B$2:B656,B656)=1,1,0)</f>
        <v>0</v>
      </c>
      <c r="W656" s="13" t="n">
        <f aca="false">IF(COUNTIFS($B$2:B656,B656,$T$2:T656,T656)=1,1,0)</f>
        <v>0</v>
      </c>
    </row>
    <row r="657" customFormat="false" ht="15" hidden="false" customHeight="false" outlineLevel="0" collapsed="false">
      <c r="A657" s="13" t="s">
        <v>5546</v>
      </c>
      <c r="B657" s="13" t="s">
        <v>2259</v>
      </c>
      <c r="C657" s="13" t="n">
        <v>660</v>
      </c>
      <c r="D657" s="13" t="n">
        <v>2</v>
      </c>
      <c r="E657" s="13" t="n">
        <v>164.99</v>
      </c>
      <c r="F657" s="13" t="s">
        <v>5288</v>
      </c>
      <c r="G657" s="13" t="s">
        <v>5289</v>
      </c>
      <c r="H657" s="13" t="s">
        <v>5289</v>
      </c>
      <c r="I657" s="13" t="s">
        <v>5289</v>
      </c>
      <c r="J657" s="13" t="s">
        <v>5289</v>
      </c>
      <c r="K657" s="13" t="s">
        <v>5292</v>
      </c>
      <c r="L657" s="13" t="s">
        <v>5547</v>
      </c>
      <c r="M657" s="13"/>
      <c r="N657" s="13"/>
      <c r="O657" s="13"/>
      <c r="P657" s="13" t="s">
        <v>5291</v>
      </c>
      <c r="Q657" s="13" t="s">
        <v>5289</v>
      </c>
      <c r="R657" s="13" t="s">
        <v>5292</v>
      </c>
      <c r="S657" s="13" t="s">
        <v>5293</v>
      </c>
      <c r="T657" s="13" t="s">
        <v>3</v>
      </c>
      <c r="U657" s="13" t="s">
        <v>57</v>
      </c>
      <c r="V657" s="13" t="n">
        <f aca="false">IF(COUNTIF($B$2:B657,B657)=1,1,0)</f>
        <v>1</v>
      </c>
      <c r="W657" s="13" t="n">
        <f aca="false">IF(COUNTIFS($B$2:B657,B657,$T$2:T657,T657)=1,1,0)</f>
        <v>1</v>
      </c>
    </row>
    <row r="658" customFormat="false" ht="15" hidden="false" customHeight="false" outlineLevel="0" collapsed="false">
      <c r="A658" s="13" t="s">
        <v>4375</v>
      </c>
      <c r="B658" s="13" t="s">
        <v>2206</v>
      </c>
      <c r="C658" s="13" t="n">
        <v>660</v>
      </c>
      <c r="D658" s="13" t="n">
        <v>5</v>
      </c>
      <c r="E658" s="13" t="n">
        <v>131.9</v>
      </c>
      <c r="F658" s="13" t="s">
        <v>5325</v>
      </c>
      <c r="G658" s="13" t="s">
        <v>5289</v>
      </c>
      <c r="H658" s="13" t="s">
        <v>5289</v>
      </c>
      <c r="I658" s="13" t="s">
        <v>5289</v>
      </c>
      <c r="J658" s="13" t="s">
        <v>5289</v>
      </c>
      <c r="K658" s="13" t="s">
        <v>5292</v>
      </c>
      <c r="L658" s="13" t="s">
        <v>5548</v>
      </c>
      <c r="M658" s="13"/>
      <c r="N658" s="13" t="n">
        <v>3701171701235</v>
      </c>
      <c r="O658" s="13"/>
      <c r="P658" s="13" t="s">
        <v>5297</v>
      </c>
      <c r="Q658" s="13" t="s">
        <v>5289</v>
      </c>
      <c r="R658" s="13" t="s">
        <v>5292</v>
      </c>
      <c r="S658" s="13" t="s">
        <v>5293</v>
      </c>
      <c r="T658" s="13" t="s">
        <v>3</v>
      </c>
      <c r="U658" s="13" t="s">
        <v>85</v>
      </c>
      <c r="V658" s="13" t="n">
        <f aca="false">IF(COUNTIF($B$2:B658,B658)=1,1,0)</f>
        <v>0</v>
      </c>
      <c r="W658" s="13" t="n">
        <f aca="false">IF(COUNTIFS($B$2:B658,B658,$T$2:T658,T658)=1,1,0)</f>
        <v>0</v>
      </c>
    </row>
    <row r="659" customFormat="false" ht="15" hidden="false" customHeight="false" outlineLevel="0" collapsed="false">
      <c r="A659" s="13" t="s">
        <v>1528</v>
      </c>
      <c r="B659" s="13" t="s">
        <v>191</v>
      </c>
      <c r="C659" s="13" t="n">
        <v>650</v>
      </c>
      <c r="D659" s="13" t="n">
        <v>5</v>
      </c>
      <c r="E659" s="13" t="n">
        <v>130.73</v>
      </c>
      <c r="F659" s="13" t="s">
        <v>5288</v>
      </c>
      <c r="G659" s="13" t="s">
        <v>5289</v>
      </c>
      <c r="H659" s="13" t="s">
        <v>5289</v>
      </c>
      <c r="I659" s="13" t="s">
        <v>5289</v>
      </c>
      <c r="J659" s="13" t="s">
        <v>5289</v>
      </c>
      <c r="K659" s="13" t="s">
        <v>5289</v>
      </c>
      <c r="L659" s="13" t="s">
        <v>4395</v>
      </c>
      <c r="M659" s="13"/>
      <c r="N659" s="13" t="n">
        <v>7896768470055</v>
      </c>
      <c r="O659" s="13"/>
      <c r="P659" s="13" t="s">
        <v>5297</v>
      </c>
      <c r="Q659" s="13" t="s">
        <v>5289</v>
      </c>
      <c r="R659" s="13" t="s">
        <v>5292</v>
      </c>
      <c r="S659" s="13" t="s">
        <v>5293</v>
      </c>
      <c r="T659" s="13" t="s">
        <v>3</v>
      </c>
      <c r="U659" s="13" t="s">
        <v>183</v>
      </c>
      <c r="V659" s="13" t="n">
        <f aca="false">IF(COUNTIF($B$2:B659,B659)=1,1,0)</f>
        <v>0</v>
      </c>
      <c r="W659" s="13" t="n">
        <f aca="false">IF(COUNTIFS($B$2:B659,B659,$T$2:T659,T659)=1,1,0)</f>
        <v>0</v>
      </c>
    </row>
    <row r="660" customFormat="false" ht="15" hidden="false" customHeight="false" outlineLevel="0" collapsed="false">
      <c r="A660" s="13" t="s">
        <v>913</v>
      </c>
      <c r="B660" s="13" t="s">
        <v>79</v>
      </c>
      <c r="C660" s="13" t="n">
        <v>640</v>
      </c>
      <c r="D660" s="13" t="n">
        <v>1</v>
      </c>
      <c r="E660" s="13" t="n">
        <v>645</v>
      </c>
      <c r="F660" s="13" t="s">
        <v>5288</v>
      </c>
      <c r="G660" s="13" t="s">
        <v>5289</v>
      </c>
      <c r="H660" s="13" t="s">
        <v>5289</v>
      </c>
      <c r="I660" s="13" t="s">
        <v>5289</v>
      </c>
      <c r="J660" s="13" t="s">
        <v>5289</v>
      </c>
      <c r="K660" s="13" t="s">
        <v>5289</v>
      </c>
      <c r="L660" s="13" t="s">
        <v>3410</v>
      </c>
      <c r="M660" s="13"/>
      <c r="N660" s="13" t="n">
        <v>8057971188727</v>
      </c>
      <c r="O660" s="13"/>
      <c r="P660" s="13" t="s">
        <v>5291</v>
      </c>
      <c r="Q660" s="13" t="s">
        <v>5289</v>
      </c>
      <c r="R660" s="13" t="s">
        <v>5292</v>
      </c>
      <c r="S660" s="13" t="s">
        <v>5293</v>
      </c>
      <c r="T660" s="13" t="s">
        <v>3</v>
      </c>
      <c r="U660" s="13" t="s">
        <v>43</v>
      </c>
      <c r="V660" s="13" t="n">
        <f aca="false">IF(COUNTIF($B$2:B660,B660)=1,1,0)</f>
        <v>0</v>
      </c>
      <c r="W660" s="13" t="n">
        <f aca="false">IF(COUNTIFS($B$2:B660,B660,$T$2:T660,T660)=1,1,0)</f>
        <v>0</v>
      </c>
    </row>
    <row r="661" customFormat="false" ht="15" hidden="false" customHeight="false" outlineLevel="0" collapsed="false">
      <c r="A661" s="13" t="s">
        <v>903</v>
      </c>
      <c r="B661" s="13" t="s">
        <v>92</v>
      </c>
      <c r="C661" s="13" t="n">
        <v>640</v>
      </c>
      <c r="D661" s="13" t="n">
        <v>1</v>
      </c>
      <c r="E661" s="13" t="n">
        <v>639.99</v>
      </c>
      <c r="F661" s="13" t="s">
        <v>5288</v>
      </c>
      <c r="G661" s="13" t="s">
        <v>5289</v>
      </c>
      <c r="H661" s="13" t="s">
        <v>5289</v>
      </c>
      <c r="I661" s="13" t="s">
        <v>5289</v>
      </c>
      <c r="J661" s="13" t="s">
        <v>5289</v>
      </c>
      <c r="K661" s="13" t="s">
        <v>5292</v>
      </c>
      <c r="L661" s="13" t="s">
        <v>3140</v>
      </c>
      <c r="M661" s="13"/>
      <c r="N661" s="13" t="n">
        <v>3607346232385</v>
      </c>
      <c r="O661" s="13"/>
      <c r="P661" s="13" t="s">
        <v>5291</v>
      </c>
      <c r="Q661" s="13" t="s">
        <v>5289</v>
      </c>
      <c r="R661" s="13" t="s">
        <v>5292</v>
      </c>
      <c r="S661" s="13" t="s">
        <v>5293</v>
      </c>
      <c r="T661" s="13" t="s">
        <v>3</v>
      </c>
      <c r="U661" s="13" t="s">
        <v>43</v>
      </c>
      <c r="V661" s="13" t="n">
        <f aca="false">IF(COUNTIF($B$2:B661,B661)=1,1,0)</f>
        <v>0</v>
      </c>
      <c r="W661" s="13" t="n">
        <f aca="false">IF(COUNTIFS($B$2:B661,B661,$T$2:T661,T661)=1,1,0)</f>
        <v>0</v>
      </c>
    </row>
    <row r="662" customFormat="false" ht="15" hidden="false" customHeight="false" outlineLevel="0" collapsed="false">
      <c r="A662" s="13" t="s">
        <v>4418</v>
      </c>
      <c r="B662" s="13" t="s">
        <v>2106</v>
      </c>
      <c r="C662" s="13" t="n">
        <v>630</v>
      </c>
      <c r="D662" s="13" t="n">
        <v>2</v>
      </c>
      <c r="E662" s="13" t="n">
        <v>315.99</v>
      </c>
      <c r="F662" s="13" t="s">
        <v>5288</v>
      </c>
      <c r="G662" s="13" t="s">
        <v>5289</v>
      </c>
      <c r="H662" s="13" t="s">
        <v>5289</v>
      </c>
      <c r="I662" s="13" t="s">
        <v>5289</v>
      </c>
      <c r="J662" s="13" t="s">
        <v>5289</v>
      </c>
      <c r="K662" s="13" t="s">
        <v>5292</v>
      </c>
      <c r="L662" s="13" t="s">
        <v>4417</v>
      </c>
      <c r="M662" s="13"/>
      <c r="N662" s="13" t="n">
        <v>4053423348033</v>
      </c>
      <c r="O662" s="13"/>
      <c r="P662" s="13" t="s">
        <v>5291</v>
      </c>
      <c r="Q662" s="13" t="s">
        <v>5289</v>
      </c>
      <c r="R662" s="13" t="s">
        <v>5292</v>
      </c>
      <c r="S662" s="13" t="s">
        <v>5293</v>
      </c>
      <c r="T662" s="13" t="s">
        <v>3</v>
      </c>
      <c r="U662" s="13" t="s">
        <v>98</v>
      </c>
      <c r="V662" s="13" t="n">
        <f aca="false">IF(COUNTIF($B$2:B662,B662)=1,1,0)</f>
        <v>0</v>
      </c>
      <c r="W662" s="13" t="n">
        <f aca="false">IF(COUNTIFS($B$2:B662,B662,$T$2:T662,T662)=1,1,0)</f>
        <v>0</v>
      </c>
    </row>
    <row r="663" customFormat="false" ht="15" hidden="false" customHeight="false" outlineLevel="0" collapsed="false">
      <c r="A663" s="13" t="s">
        <v>4408</v>
      </c>
      <c r="B663" s="13" t="s">
        <v>2099</v>
      </c>
      <c r="C663" s="13" t="n">
        <v>630</v>
      </c>
      <c r="D663" s="13" t="n">
        <v>5</v>
      </c>
      <c r="E663" s="13" t="n">
        <v>78.99</v>
      </c>
      <c r="F663" s="13" t="s">
        <v>5288</v>
      </c>
      <c r="G663" s="13" t="s">
        <v>5289</v>
      </c>
      <c r="H663" s="13" t="s">
        <v>5289</v>
      </c>
      <c r="I663" s="13" t="s">
        <v>5292</v>
      </c>
      <c r="J663" s="13" t="s">
        <v>5289</v>
      </c>
      <c r="K663" s="13" t="s">
        <v>5292</v>
      </c>
      <c r="L663" s="13" t="s">
        <v>4407</v>
      </c>
      <c r="M663" s="13"/>
      <c r="N663" s="13" t="n">
        <v>7899952325827</v>
      </c>
      <c r="O663" s="13"/>
      <c r="P663" s="13" t="s">
        <v>5291</v>
      </c>
      <c r="Q663" s="13" t="s">
        <v>5289</v>
      </c>
      <c r="R663" s="13" t="s">
        <v>5292</v>
      </c>
      <c r="S663" s="13" t="s">
        <v>5293</v>
      </c>
      <c r="T663" s="13" t="s">
        <v>3</v>
      </c>
      <c r="U663" s="13" t="s">
        <v>43</v>
      </c>
      <c r="V663" s="13" t="n">
        <f aca="false">IF(COUNTIF($B$2:B663,B663)=1,1,0)</f>
        <v>0</v>
      </c>
      <c r="W663" s="13" t="n">
        <f aca="false">IF(COUNTIFS($B$2:B663,B663,$T$2:T663,T663)=1,1,0)</f>
        <v>0</v>
      </c>
    </row>
    <row r="664" customFormat="false" ht="15" hidden="false" customHeight="false" outlineLevel="0" collapsed="false">
      <c r="A664" s="13" t="s">
        <v>4412</v>
      </c>
      <c r="B664" s="13" t="s">
        <v>2124</v>
      </c>
      <c r="C664" s="13" t="n">
        <v>630</v>
      </c>
      <c r="D664" s="13" t="n">
        <v>5</v>
      </c>
      <c r="E664" s="13" t="n">
        <v>69.99</v>
      </c>
      <c r="F664" s="13" t="s">
        <v>5288</v>
      </c>
      <c r="G664" s="13" t="s">
        <v>5289</v>
      </c>
      <c r="H664" s="13" t="s">
        <v>5289</v>
      </c>
      <c r="I664" s="13" t="s">
        <v>5292</v>
      </c>
      <c r="J664" s="13" t="s">
        <v>5289</v>
      </c>
      <c r="K664" s="13" t="s">
        <v>5292</v>
      </c>
      <c r="L664" s="13" t="s">
        <v>4411</v>
      </c>
      <c r="M664" s="13"/>
      <c r="N664" s="13" t="n">
        <v>5425017734314</v>
      </c>
      <c r="O664" s="13"/>
      <c r="P664" s="13" t="s">
        <v>5291</v>
      </c>
      <c r="Q664" s="13" t="s">
        <v>5289</v>
      </c>
      <c r="R664" s="13" t="s">
        <v>5292</v>
      </c>
      <c r="S664" s="13" t="s">
        <v>5293</v>
      </c>
      <c r="T664" s="13" t="s">
        <v>3</v>
      </c>
      <c r="U664" s="13" t="s">
        <v>43</v>
      </c>
      <c r="V664" s="13" t="n">
        <f aca="false">IF(COUNTIF($B$2:B664,B664)=1,1,0)</f>
        <v>0</v>
      </c>
      <c r="W664" s="13" t="n">
        <f aca="false">IF(COUNTIFS($B$2:B664,B664,$T$2:T664,T664)=1,1,0)</f>
        <v>0</v>
      </c>
    </row>
    <row r="665" customFormat="false" ht="15" hidden="false" customHeight="false" outlineLevel="0" collapsed="false">
      <c r="A665" s="13" t="s">
        <v>4415</v>
      </c>
      <c r="B665" s="13" t="s">
        <v>2226</v>
      </c>
      <c r="C665" s="13" t="n">
        <v>630</v>
      </c>
      <c r="D665" s="13" t="n">
        <v>10</v>
      </c>
      <c r="E665" s="13" t="n">
        <v>44.99</v>
      </c>
      <c r="F665" s="13" t="s">
        <v>5288</v>
      </c>
      <c r="G665" s="13" t="s">
        <v>5289</v>
      </c>
      <c r="H665" s="13" t="s">
        <v>5289</v>
      </c>
      <c r="I665" s="13" t="s">
        <v>5292</v>
      </c>
      <c r="J665" s="13" t="s">
        <v>5289</v>
      </c>
      <c r="K665" s="13" t="s">
        <v>5292</v>
      </c>
      <c r="L665" s="13" t="s">
        <v>4414</v>
      </c>
      <c r="M665" s="13"/>
      <c r="N665" s="13" t="n">
        <v>7899612705778</v>
      </c>
      <c r="O665" s="13"/>
      <c r="P665" s="13" t="s">
        <v>5297</v>
      </c>
      <c r="Q665" s="13" t="s">
        <v>5289</v>
      </c>
      <c r="R665" s="13" t="s">
        <v>5292</v>
      </c>
      <c r="S665" s="13" t="s">
        <v>5293</v>
      </c>
      <c r="T665" s="13" t="s">
        <v>3</v>
      </c>
      <c r="U665" s="13" t="s">
        <v>85</v>
      </c>
      <c r="V665" s="13" t="n">
        <f aca="false">IF(COUNTIF($B$2:B665,B665)=1,1,0)</f>
        <v>1</v>
      </c>
      <c r="W665" s="13" t="n">
        <f aca="false">IF(COUNTIFS($B$2:B665,B665,$T$2:T665,T665)=1,1,0)</f>
        <v>1</v>
      </c>
    </row>
    <row r="666" customFormat="false" ht="15" hidden="false" customHeight="false" outlineLevel="0" collapsed="false">
      <c r="A666" s="13" t="s">
        <v>4410</v>
      </c>
      <c r="B666" s="13" t="s">
        <v>2146</v>
      </c>
      <c r="C666" s="13" t="n">
        <v>630</v>
      </c>
      <c r="D666" s="13" t="n">
        <v>20</v>
      </c>
      <c r="E666" s="13" t="n">
        <v>34.99</v>
      </c>
      <c r="F666" s="13" t="s">
        <v>5288</v>
      </c>
      <c r="G666" s="13" t="s">
        <v>5289</v>
      </c>
      <c r="H666" s="13" t="s">
        <v>5289</v>
      </c>
      <c r="I666" s="13" t="s">
        <v>5292</v>
      </c>
      <c r="J666" s="13" t="s">
        <v>5289</v>
      </c>
      <c r="K666" s="13" t="s">
        <v>5292</v>
      </c>
      <c r="L666" s="13" t="s">
        <v>4409</v>
      </c>
      <c r="M666" s="13"/>
      <c r="N666" s="13" t="n">
        <v>7896046702656</v>
      </c>
      <c r="O666" s="13"/>
      <c r="P666" s="13" t="s">
        <v>5291</v>
      </c>
      <c r="Q666" s="13" t="s">
        <v>5289</v>
      </c>
      <c r="R666" s="13" t="s">
        <v>5292</v>
      </c>
      <c r="S666" s="13" t="s">
        <v>5293</v>
      </c>
      <c r="T666" s="13" t="s">
        <v>3</v>
      </c>
      <c r="U666" s="13" t="s">
        <v>183</v>
      </c>
      <c r="V666" s="13" t="n">
        <f aca="false">IF(COUNTIF($B$2:B666,B666)=1,1,0)</f>
        <v>0</v>
      </c>
      <c r="W666" s="13" t="n">
        <f aca="false">IF(COUNTIFS($B$2:B666,B666,$T$2:T666,T666)=1,1,0)</f>
        <v>0</v>
      </c>
    </row>
    <row r="667" customFormat="false" ht="15" hidden="false" customHeight="false" outlineLevel="0" collapsed="false">
      <c r="A667" s="13" t="s">
        <v>1555</v>
      </c>
      <c r="B667" s="13" t="s">
        <v>302</v>
      </c>
      <c r="C667" s="13" t="n">
        <v>630</v>
      </c>
      <c r="D667" s="13" t="n">
        <v>1</v>
      </c>
      <c r="E667" s="13" t="n">
        <v>629.39</v>
      </c>
      <c r="F667" s="13" t="s">
        <v>5288</v>
      </c>
      <c r="G667" s="13" t="s">
        <v>5289</v>
      </c>
      <c r="H667" s="13" t="s">
        <v>5289</v>
      </c>
      <c r="I667" s="13" t="s">
        <v>5289</v>
      </c>
      <c r="J667" s="13" t="s">
        <v>5289</v>
      </c>
      <c r="K667" s="13" t="s">
        <v>5289</v>
      </c>
      <c r="L667" s="13" t="s">
        <v>4405</v>
      </c>
      <c r="M667" s="13"/>
      <c r="N667" s="13" t="n">
        <v>3274872448780</v>
      </c>
      <c r="O667" s="13"/>
      <c r="P667" s="13" t="s">
        <v>5291</v>
      </c>
      <c r="Q667" s="13" t="s">
        <v>5289</v>
      </c>
      <c r="R667" s="13" t="s">
        <v>5292</v>
      </c>
      <c r="S667" s="13" t="s">
        <v>5293</v>
      </c>
      <c r="T667" s="13" t="s">
        <v>3</v>
      </c>
      <c r="U667" s="13" t="s">
        <v>43</v>
      </c>
      <c r="V667" s="13" t="n">
        <f aca="false">IF(COUNTIF($B$2:B667,B667)=1,1,0)</f>
        <v>0</v>
      </c>
      <c r="W667" s="13" t="n">
        <f aca="false">IF(COUNTIFS($B$2:B667,B667,$T$2:T667,T667)=1,1,0)</f>
        <v>0</v>
      </c>
    </row>
    <row r="668" customFormat="false" ht="15" hidden="false" customHeight="false" outlineLevel="0" collapsed="false">
      <c r="A668" s="13" t="s">
        <v>1554</v>
      </c>
      <c r="B668" s="13" t="s">
        <v>365</v>
      </c>
      <c r="C668" s="13" t="n">
        <v>630</v>
      </c>
      <c r="D668" s="13" t="n">
        <v>5</v>
      </c>
      <c r="E668" s="13" t="n">
        <v>89.9</v>
      </c>
      <c r="F668" s="13" t="s">
        <v>5288</v>
      </c>
      <c r="G668" s="13" t="s">
        <v>5289</v>
      </c>
      <c r="H668" s="13" t="s">
        <v>5289</v>
      </c>
      <c r="I668" s="13" t="s">
        <v>5289</v>
      </c>
      <c r="J668" s="13" t="s">
        <v>5289</v>
      </c>
      <c r="K668" s="13" t="s">
        <v>5292</v>
      </c>
      <c r="L668" s="13" t="s">
        <v>4419</v>
      </c>
      <c r="M668" s="13"/>
      <c r="N668" s="13" t="n">
        <v>6290362348757</v>
      </c>
      <c r="O668" s="13"/>
      <c r="P668" s="13" t="s">
        <v>5291</v>
      </c>
      <c r="Q668" s="13" t="s">
        <v>5289</v>
      </c>
      <c r="R668" s="13" t="s">
        <v>5292</v>
      </c>
      <c r="S668" s="13" t="s">
        <v>5293</v>
      </c>
      <c r="T668" s="13" t="s">
        <v>3</v>
      </c>
      <c r="U668" s="13" t="s">
        <v>43</v>
      </c>
      <c r="V668" s="13" t="n">
        <f aca="false">IF(COUNTIF($B$2:B668,B668)=1,1,0)</f>
        <v>0</v>
      </c>
      <c r="W668" s="13" t="n">
        <f aca="false">IF(COUNTIFS($B$2:B668,B668,$T$2:T668,T668)=1,1,0)</f>
        <v>0</v>
      </c>
    </row>
    <row r="669" customFormat="false" ht="15" hidden="false" customHeight="false" outlineLevel="0" collapsed="false">
      <c r="A669" s="13" t="s">
        <v>3626</v>
      </c>
      <c r="B669" s="13" t="s">
        <v>2260</v>
      </c>
      <c r="C669" s="13" t="n">
        <v>620</v>
      </c>
      <c r="D669" s="13" t="n">
        <v>2</v>
      </c>
      <c r="E669" s="13" t="n">
        <v>155.4225</v>
      </c>
      <c r="F669" s="13" t="s">
        <v>5288</v>
      </c>
      <c r="G669" s="13" t="s">
        <v>5289</v>
      </c>
      <c r="H669" s="13" t="s">
        <v>5289</v>
      </c>
      <c r="I669" s="13" t="s">
        <v>5289</v>
      </c>
      <c r="J669" s="13" t="s">
        <v>5289</v>
      </c>
      <c r="K669" s="13" t="s">
        <v>5289</v>
      </c>
      <c r="L669" s="13" t="s">
        <v>5549</v>
      </c>
      <c r="M669" s="13"/>
      <c r="N669" s="13" t="n">
        <v>3700608320339</v>
      </c>
      <c r="O669" s="13"/>
      <c r="P669" s="13" t="s">
        <v>5291</v>
      </c>
      <c r="Q669" s="13" t="s">
        <v>5289</v>
      </c>
      <c r="R669" s="13" t="s">
        <v>5292</v>
      </c>
      <c r="S669" s="13" t="s">
        <v>5293</v>
      </c>
      <c r="T669" s="13" t="s">
        <v>3</v>
      </c>
      <c r="U669" s="13" t="s">
        <v>43</v>
      </c>
      <c r="V669" s="13" t="n">
        <f aca="false">IF(COUNTIF($B$2:B669,B669)=1,1,0)</f>
        <v>1</v>
      </c>
      <c r="W669" s="13" t="n">
        <f aca="false">IF(COUNTIFS($B$2:B669,B669,$T$2:T669,T669)=1,1,0)</f>
        <v>1</v>
      </c>
    </row>
    <row r="670" customFormat="false" ht="15" hidden="false" customHeight="false" outlineLevel="0" collapsed="false">
      <c r="A670" s="13" t="s">
        <v>4432</v>
      </c>
      <c r="B670" s="13" t="s">
        <v>2122</v>
      </c>
      <c r="C670" s="13" t="n">
        <v>620</v>
      </c>
      <c r="D670" s="13" t="n">
        <v>2</v>
      </c>
      <c r="E670" s="13" t="n">
        <v>309.99</v>
      </c>
      <c r="F670" s="13" t="s">
        <v>5288</v>
      </c>
      <c r="G670" s="13" t="s">
        <v>5289</v>
      </c>
      <c r="H670" s="13" t="s">
        <v>5289</v>
      </c>
      <c r="I670" s="13" t="s">
        <v>5289</v>
      </c>
      <c r="J670" s="13" t="s">
        <v>5289</v>
      </c>
      <c r="K670" s="13" t="s">
        <v>5292</v>
      </c>
      <c r="L670" s="13" t="s">
        <v>4431</v>
      </c>
      <c r="M670" s="13"/>
      <c r="N670" s="13" t="n">
        <v>6290360375687</v>
      </c>
      <c r="O670" s="13"/>
      <c r="P670" s="13" t="s">
        <v>5291</v>
      </c>
      <c r="Q670" s="13" t="s">
        <v>5289</v>
      </c>
      <c r="R670" s="13" t="s">
        <v>5292</v>
      </c>
      <c r="S670" s="13" t="s">
        <v>5293</v>
      </c>
      <c r="T670" s="13" t="s">
        <v>3</v>
      </c>
      <c r="U670" s="13" t="s">
        <v>43</v>
      </c>
      <c r="V670" s="13" t="n">
        <f aca="false">IF(COUNTIF($B$2:B670,B670)=1,1,0)</f>
        <v>0</v>
      </c>
      <c r="W670" s="13" t="n">
        <f aca="false">IF(COUNTIFS($B$2:B670,B670,$T$2:T670,T670)=1,1,0)</f>
        <v>0</v>
      </c>
    </row>
    <row r="671" customFormat="false" ht="15" hidden="false" customHeight="false" outlineLevel="0" collapsed="false">
      <c r="A671" s="13" t="s">
        <v>2964</v>
      </c>
      <c r="B671" s="13" t="s">
        <v>2097</v>
      </c>
      <c r="C671" s="13" t="n">
        <v>620</v>
      </c>
      <c r="D671" s="13" t="n">
        <v>10</v>
      </c>
      <c r="E671" s="13" t="n">
        <v>51.61</v>
      </c>
      <c r="F671" s="13" t="s">
        <v>5288</v>
      </c>
      <c r="G671" s="13" t="s">
        <v>5289</v>
      </c>
      <c r="H671" s="13" t="s">
        <v>5292</v>
      </c>
      <c r="I671" s="13" t="s">
        <v>5292</v>
      </c>
      <c r="J671" s="13" t="s">
        <v>5289</v>
      </c>
      <c r="K671" s="13" t="s">
        <v>5289</v>
      </c>
      <c r="L671" s="13" t="s">
        <v>2963</v>
      </c>
      <c r="M671" s="13"/>
      <c r="N671" s="13" t="n">
        <v>7908407006577</v>
      </c>
      <c r="O671" s="13"/>
      <c r="P671" s="13" t="s">
        <v>5291</v>
      </c>
      <c r="Q671" s="13" t="s">
        <v>5289</v>
      </c>
      <c r="R671" s="13" t="s">
        <v>5292</v>
      </c>
      <c r="S671" s="13" t="s">
        <v>5293</v>
      </c>
      <c r="T671" s="13" t="s">
        <v>3</v>
      </c>
      <c r="U671" s="13" t="s">
        <v>140</v>
      </c>
      <c r="V671" s="13" t="n">
        <f aca="false">IF(COUNTIF($B$2:B671,B671)=1,1,0)</f>
        <v>0</v>
      </c>
      <c r="W671" s="13" t="n">
        <f aca="false">IF(COUNTIFS($B$2:B671,B671,$T$2:T671,T671)=1,1,0)</f>
        <v>0</v>
      </c>
    </row>
    <row r="672" customFormat="false" ht="15" hidden="false" customHeight="false" outlineLevel="0" collapsed="false">
      <c r="A672" s="13" t="s">
        <v>1575</v>
      </c>
      <c r="B672" s="13" t="s">
        <v>312</v>
      </c>
      <c r="C672" s="13" t="n">
        <v>610</v>
      </c>
      <c r="D672" s="13" t="n">
        <v>2</v>
      </c>
      <c r="E672" s="13" t="n">
        <v>153.2</v>
      </c>
      <c r="F672" s="13" t="s">
        <v>5288</v>
      </c>
      <c r="G672" s="13" t="s">
        <v>5289</v>
      </c>
      <c r="H672" s="13" t="s">
        <v>5289</v>
      </c>
      <c r="I672" s="13" t="s">
        <v>5289</v>
      </c>
      <c r="J672" s="13" t="s">
        <v>5289</v>
      </c>
      <c r="K672" s="13" t="s">
        <v>5289</v>
      </c>
      <c r="L672" s="13" t="s">
        <v>5550</v>
      </c>
      <c r="M672" s="13"/>
      <c r="N672" s="13" t="n">
        <v>3700608323330</v>
      </c>
      <c r="O672" s="13"/>
      <c r="P672" s="13" t="s">
        <v>5297</v>
      </c>
      <c r="Q672" s="13" t="s">
        <v>5289</v>
      </c>
      <c r="R672" s="13" t="s">
        <v>5292</v>
      </c>
      <c r="S672" s="13" t="s">
        <v>5293</v>
      </c>
      <c r="T672" s="13" t="s">
        <v>3</v>
      </c>
      <c r="U672" s="13" t="s">
        <v>43</v>
      </c>
      <c r="V672" s="13" t="n">
        <f aca="false">IF(COUNTIF($B$2:B672,B672)=1,1,0)</f>
        <v>0</v>
      </c>
      <c r="W672" s="13" t="n">
        <f aca="false">IF(COUNTIFS($B$2:B672,B672,$T$2:T672,T672)=1,1,0)</f>
        <v>0</v>
      </c>
    </row>
    <row r="673" customFormat="false" ht="15" hidden="false" customHeight="false" outlineLevel="0" collapsed="false">
      <c r="A673" s="13" t="s">
        <v>1578</v>
      </c>
      <c r="B673" s="13" t="s">
        <v>365</v>
      </c>
      <c r="C673" s="13" t="n">
        <v>610</v>
      </c>
      <c r="D673" s="13" t="n">
        <v>5</v>
      </c>
      <c r="E673" s="13" t="n">
        <v>87.29</v>
      </c>
      <c r="F673" s="13" t="s">
        <v>5288</v>
      </c>
      <c r="G673" s="13" t="s">
        <v>5289</v>
      </c>
      <c r="H673" s="13" t="s">
        <v>5289</v>
      </c>
      <c r="I673" s="13" t="s">
        <v>5289</v>
      </c>
      <c r="J673" s="13" t="s">
        <v>5289</v>
      </c>
      <c r="K673" s="13" t="s">
        <v>5289</v>
      </c>
      <c r="L673" s="13" t="s">
        <v>4433</v>
      </c>
      <c r="M673" s="13"/>
      <c r="N673" s="13" t="n">
        <v>6290362348849</v>
      </c>
      <c r="O673" s="13"/>
      <c r="P673" s="13" t="s">
        <v>5297</v>
      </c>
      <c r="Q673" s="13" t="s">
        <v>5289</v>
      </c>
      <c r="R673" s="13" t="s">
        <v>5292</v>
      </c>
      <c r="S673" s="13" t="s">
        <v>5293</v>
      </c>
      <c r="T673" s="13" t="s">
        <v>3</v>
      </c>
      <c r="U673" s="13" t="s">
        <v>43</v>
      </c>
      <c r="V673" s="13" t="n">
        <f aca="false">IF(COUNTIF($B$2:B673,B673)=1,1,0)</f>
        <v>0</v>
      </c>
      <c r="W673" s="13" t="n">
        <f aca="false">IF(COUNTIFS($B$2:B673,B673,$T$2:T673,T673)=1,1,0)</f>
        <v>0</v>
      </c>
    </row>
    <row r="674" customFormat="false" ht="15" hidden="false" customHeight="false" outlineLevel="0" collapsed="false">
      <c r="A674" s="13" t="s">
        <v>5551</v>
      </c>
      <c r="B674" s="13" t="s">
        <v>2221</v>
      </c>
      <c r="C674" s="13" t="n">
        <v>610</v>
      </c>
      <c r="D674" s="13" t="n">
        <v>2</v>
      </c>
      <c r="E674" s="13" t="n">
        <v>305</v>
      </c>
      <c r="F674" s="13" t="s">
        <v>5325</v>
      </c>
      <c r="G674" s="13" t="s">
        <v>5289</v>
      </c>
      <c r="H674" s="13" t="s">
        <v>5292</v>
      </c>
      <c r="I674" s="13" t="s">
        <v>5289</v>
      </c>
      <c r="J674" s="13" t="s">
        <v>5289</v>
      </c>
      <c r="K674" s="13" t="s">
        <v>5292</v>
      </c>
      <c r="L674" s="13" t="s">
        <v>5552</v>
      </c>
      <c r="M674" s="13"/>
      <c r="N674" s="13" t="n">
        <v>40232896750</v>
      </c>
      <c r="O674" s="13"/>
      <c r="P674" s="13" t="s">
        <v>5291</v>
      </c>
      <c r="Q674" s="13" t="s">
        <v>5289</v>
      </c>
      <c r="R674" s="13" t="s">
        <v>5292</v>
      </c>
      <c r="S674" s="13" t="s">
        <v>5293</v>
      </c>
      <c r="T674" s="13" t="s">
        <v>3</v>
      </c>
      <c r="U674" s="13" t="s">
        <v>85</v>
      </c>
      <c r="V674" s="13" t="n">
        <f aca="false">IF(COUNTIF($B$2:B674,B674)=1,1,0)</f>
        <v>0</v>
      </c>
      <c r="W674" s="13" t="n">
        <f aca="false">IF(COUNTIFS($B$2:B674,B674,$T$2:T674,T674)=1,1,0)</f>
        <v>0</v>
      </c>
    </row>
    <row r="675" customFormat="false" ht="15" hidden="false" customHeight="false" outlineLevel="0" collapsed="false">
      <c r="A675" s="13" t="s">
        <v>4441</v>
      </c>
      <c r="B675" s="13" t="s">
        <v>2141</v>
      </c>
      <c r="C675" s="13" t="n">
        <v>610</v>
      </c>
      <c r="D675" s="13" t="n">
        <v>5</v>
      </c>
      <c r="E675" s="13" t="n">
        <v>67.4366666666667</v>
      </c>
      <c r="F675" s="13" t="s">
        <v>5288</v>
      </c>
      <c r="G675" s="13" t="s">
        <v>5289</v>
      </c>
      <c r="H675" s="13" t="s">
        <v>5289</v>
      </c>
      <c r="I675" s="13" t="s">
        <v>5292</v>
      </c>
      <c r="J675" s="13" t="s">
        <v>5289</v>
      </c>
      <c r="K675" s="13" t="s">
        <v>5292</v>
      </c>
      <c r="L675" s="13" t="s">
        <v>4440</v>
      </c>
      <c r="M675" s="13"/>
      <c r="N675" s="13" t="n">
        <v>5055810030520</v>
      </c>
      <c r="O675" s="13"/>
      <c r="P675" s="13" t="s">
        <v>5291</v>
      </c>
      <c r="Q675" s="13" t="s">
        <v>5289</v>
      </c>
      <c r="R675" s="13" t="s">
        <v>5292</v>
      </c>
      <c r="S675" s="13" t="s">
        <v>5293</v>
      </c>
      <c r="T675" s="13" t="s">
        <v>3</v>
      </c>
      <c r="U675" s="13" t="s">
        <v>43</v>
      </c>
      <c r="V675" s="13" t="n">
        <f aca="false">IF(COUNTIF($B$2:B675,B675)=1,1,0)</f>
        <v>0</v>
      </c>
      <c r="W675" s="13" t="n">
        <f aca="false">IF(COUNTIFS($B$2:B675,B675,$T$2:T675,T675)=1,1,0)</f>
        <v>0</v>
      </c>
    </row>
    <row r="676" customFormat="false" ht="15" hidden="false" customHeight="false" outlineLevel="0" collapsed="false">
      <c r="A676" s="13" t="s">
        <v>1593</v>
      </c>
      <c r="B676" s="13" t="s">
        <v>182</v>
      </c>
      <c r="C676" s="13" t="n">
        <v>600</v>
      </c>
      <c r="D676" s="13" t="n">
        <v>5</v>
      </c>
      <c r="E676" s="13" t="n">
        <v>100.823333333333</v>
      </c>
      <c r="F676" s="13" t="s">
        <v>5288</v>
      </c>
      <c r="G676" s="13" t="s">
        <v>5289</v>
      </c>
      <c r="H676" s="13" t="s">
        <v>5292</v>
      </c>
      <c r="I676" s="13" t="s">
        <v>5289</v>
      </c>
      <c r="J676" s="13" t="s">
        <v>5289</v>
      </c>
      <c r="K676" s="13" t="s">
        <v>5292</v>
      </c>
      <c r="L676" s="13" t="s">
        <v>5357</v>
      </c>
      <c r="M676" s="13"/>
      <c r="N676" s="13" t="n">
        <v>7618900900080</v>
      </c>
      <c r="O676" s="13"/>
      <c r="P676" s="13" t="s">
        <v>5291</v>
      </c>
      <c r="Q676" s="13" t="s">
        <v>5289</v>
      </c>
      <c r="R676" s="13" t="s">
        <v>5292</v>
      </c>
      <c r="S676" s="13" t="s">
        <v>5293</v>
      </c>
      <c r="T676" s="13" t="s">
        <v>3</v>
      </c>
      <c r="U676" s="13" t="s">
        <v>85</v>
      </c>
      <c r="V676" s="13" t="n">
        <f aca="false">IF(COUNTIF($B$2:B676,B676)=1,1,0)</f>
        <v>0</v>
      </c>
      <c r="W676" s="13" t="n">
        <f aca="false">IF(COUNTIFS($B$2:B676,B676,$T$2:T676,T676)=1,1,0)</f>
        <v>0</v>
      </c>
    </row>
    <row r="677" customFormat="false" ht="15" hidden="false" customHeight="false" outlineLevel="0" collapsed="false">
      <c r="A677" s="13" t="s">
        <v>2949</v>
      </c>
      <c r="B677" s="13" t="s">
        <v>2143</v>
      </c>
      <c r="C677" s="13" t="n">
        <v>600</v>
      </c>
      <c r="D677" s="13" t="n">
        <v>1</v>
      </c>
      <c r="E677" s="13" t="n">
        <v>599.99</v>
      </c>
      <c r="F677" s="13" t="s">
        <v>5288</v>
      </c>
      <c r="G677" s="13" t="s">
        <v>5289</v>
      </c>
      <c r="H677" s="13" t="s">
        <v>5289</v>
      </c>
      <c r="I677" s="13" t="s">
        <v>5289</v>
      </c>
      <c r="J677" s="13" t="s">
        <v>5289</v>
      </c>
      <c r="K677" s="13" t="s">
        <v>5292</v>
      </c>
      <c r="L677" s="13" t="s">
        <v>2948</v>
      </c>
      <c r="M677" s="13"/>
      <c r="N677" s="13" t="n">
        <v>3274872427204</v>
      </c>
      <c r="O677" s="13"/>
      <c r="P677" s="13" t="s">
        <v>5291</v>
      </c>
      <c r="Q677" s="13" t="s">
        <v>5289</v>
      </c>
      <c r="R677" s="13" t="s">
        <v>5292</v>
      </c>
      <c r="S677" s="13" t="s">
        <v>5293</v>
      </c>
      <c r="T677" s="13" t="s">
        <v>3</v>
      </c>
      <c r="U677" s="13" t="s">
        <v>43</v>
      </c>
      <c r="V677" s="13" t="n">
        <f aca="false">IF(COUNTIF($B$2:B677,B677)=1,1,0)</f>
        <v>0</v>
      </c>
      <c r="W677" s="13" t="n">
        <f aca="false">IF(COUNTIFS($B$2:B677,B677,$T$2:T677,T677)=1,1,0)</f>
        <v>0</v>
      </c>
    </row>
    <row r="678" customFormat="false" ht="15" hidden="false" customHeight="false" outlineLevel="0" collapsed="false">
      <c r="A678" s="13" t="s">
        <v>1589</v>
      </c>
      <c r="B678" s="13" t="s">
        <v>179</v>
      </c>
      <c r="C678" s="13" t="n">
        <v>600</v>
      </c>
      <c r="D678" s="13" t="n">
        <v>2</v>
      </c>
      <c r="E678" s="13" t="n">
        <v>299.99</v>
      </c>
      <c r="F678" s="13" t="s">
        <v>5288</v>
      </c>
      <c r="G678" s="13" t="s">
        <v>5289</v>
      </c>
      <c r="H678" s="13" t="s">
        <v>5289</v>
      </c>
      <c r="I678" s="13" t="s">
        <v>5289</v>
      </c>
      <c r="J678" s="13" t="s">
        <v>5289</v>
      </c>
      <c r="K678" s="13" t="s">
        <v>5292</v>
      </c>
      <c r="L678" s="13" t="s">
        <v>4447</v>
      </c>
      <c r="M678" s="13"/>
      <c r="N678" s="13" t="n">
        <v>7898618486858</v>
      </c>
      <c r="O678" s="13"/>
      <c r="P678" s="13" t="s">
        <v>5291</v>
      </c>
      <c r="Q678" s="13" t="s">
        <v>5289</v>
      </c>
      <c r="R678" s="13" t="s">
        <v>5292</v>
      </c>
      <c r="S678" s="13" t="s">
        <v>5293</v>
      </c>
      <c r="T678" s="13" t="s">
        <v>3</v>
      </c>
      <c r="U678" s="13" t="s">
        <v>180</v>
      </c>
      <c r="V678" s="13" t="n">
        <f aca="false">IF(COUNTIF($B$2:B678,B678)=1,1,0)</f>
        <v>0</v>
      </c>
      <c r="W678" s="13" t="n">
        <f aca="false">IF(COUNTIFS($B$2:B678,B678,$T$2:T678,T678)=1,1,0)</f>
        <v>0</v>
      </c>
    </row>
    <row r="679" customFormat="false" ht="15" hidden="false" customHeight="false" outlineLevel="0" collapsed="false">
      <c r="A679" s="13" t="s">
        <v>1590</v>
      </c>
      <c r="B679" s="13" t="s">
        <v>179</v>
      </c>
      <c r="C679" s="13" t="n">
        <v>600</v>
      </c>
      <c r="D679" s="13" t="n">
        <v>5</v>
      </c>
      <c r="E679" s="13" t="n">
        <v>99.99</v>
      </c>
      <c r="F679" s="13" t="s">
        <v>5288</v>
      </c>
      <c r="G679" s="13" t="s">
        <v>5289</v>
      </c>
      <c r="H679" s="13" t="s">
        <v>5289</v>
      </c>
      <c r="I679" s="13" t="s">
        <v>5289</v>
      </c>
      <c r="J679" s="13" t="s">
        <v>5289</v>
      </c>
      <c r="K679" s="13" t="s">
        <v>5292</v>
      </c>
      <c r="L679" s="13" t="s">
        <v>4452</v>
      </c>
      <c r="M679" s="13"/>
      <c r="N679" s="13" t="n">
        <v>7908005376683</v>
      </c>
      <c r="O679" s="13"/>
      <c r="P679" s="13" t="s">
        <v>5291</v>
      </c>
      <c r="Q679" s="13" t="s">
        <v>5289</v>
      </c>
      <c r="R679" s="13" t="s">
        <v>5292</v>
      </c>
      <c r="S679" s="13" t="s">
        <v>5293</v>
      </c>
      <c r="T679" s="13" t="s">
        <v>3</v>
      </c>
      <c r="U679" s="13" t="s">
        <v>85</v>
      </c>
      <c r="V679" s="13" t="n">
        <f aca="false">IF(COUNTIF($B$2:B679,B679)=1,1,0)</f>
        <v>0</v>
      </c>
      <c r="W679" s="13" t="n">
        <f aca="false">IF(COUNTIFS($B$2:B679,B679,$T$2:T679,T679)=1,1,0)</f>
        <v>0</v>
      </c>
    </row>
    <row r="680" customFormat="false" ht="15" hidden="false" customHeight="false" outlineLevel="0" collapsed="false">
      <c r="A680" s="13" t="s">
        <v>1592</v>
      </c>
      <c r="B680" s="13" t="s">
        <v>179</v>
      </c>
      <c r="C680" s="13" t="n">
        <v>600</v>
      </c>
      <c r="D680" s="13" t="n">
        <v>2</v>
      </c>
      <c r="E680" s="13" t="n">
        <v>149</v>
      </c>
      <c r="F680" s="13" t="s">
        <v>5288</v>
      </c>
      <c r="G680" s="13" t="s">
        <v>5289</v>
      </c>
      <c r="H680" s="13" t="s">
        <v>5289</v>
      </c>
      <c r="I680" s="13" t="s">
        <v>5289</v>
      </c>
      <c r="J680" s="13" t="s">
        <v>5289</v>
      </c>
      <c r="K680" s="13" t="s">
        <v>5292</v>
      </c>
      <c r="L680" s="13" t="s">
        <v>4455</v>
      </c>
      <c r="M680" s="13"/>
      <c r="N680" s="13" t="n">
        <v>7908992000714</v>
      </c>
      <c r="O680" s="13"/>
      <c r="P680" s="13" t="s">
        <v>5291</v>
      </c>
      <c r="Q680" s="13" t="s">
        <v>5289</v>
      </c>
      <c r="R680" s="13" t="s">
        <v>5292</v>
      </c>
      <c r="S680" s="13" t="s">
        <v>5293</v>
      </c>
      <c r="T680" s="13" t="s">
        <v>3</v>
      </c>
      <c r="U680" s="13" t="s">
        <v>180</v>
      </c>
      <c r="V680" s="13" t="n">
        <f aca="false">IF(COUNTIF($B$2:B680,B680)=1,1,0)</f>
        <v>0</v>
      </c>
      <c r="W680" s="13" t="n">
        <f aca="false">IF(COUNTIFS($B$2:B680,B680,$T$2:T680,T680)=1,1,0)</f>
        <v>0</v>
      </c>
    </row>
    <row r="681" customFormat="false" ht="15" hidden="false" customHeight="false" outlineLevel="0" collapsed="false">
      <c r="A681" s="13" t="s">
        <v>4467</v>
      </c>
      <c r="B681" s="13" t="s">
        <v>2151</v>
      </c>
      <c r="C681" s="13" t="n">
        <v>590</v>
      </c>
      <c r="D681" s="13" t="n">
        <v>5</v>
      </c>
      <c r="E681" s="13" t="n">
        <v>99</v>
      </c>
      <c r="F681" s="13" t="s">
        <v>5325</v>
      </c>
      <c r="G681" s="13" t="s">
        <v>5289</v>
      </c>
      <c r="H681" s="13" t="s">
        <v>5289</v>
      </c>
      <c r="I681" s="13" t="s">
        <v>5289</v>
      </c>
      <c r="J681" s="13" t="s">
        <v>5289</v>
      </c>
      <c r="K681" s="13" t="s">
        <v>5292</v>
      </c>
      <c r="L681" s="13" t="s">
        <v>5553</v>
      </c>
      <c r="M681" s="13"/>
      <c r="N681" s="13" t="n">
        <v>7908791000359</v>
      </c>
      <c r="O681" s="13"/>
      <c r="P681" s="13" t="s">
        <v>5297</v>
      </c>
      <c r="Q681" s="13" t="s">
        <v>5289</v>
      </c>
      <c r="R681" s="13" t="s">
        <v>5292</v>
      </c>
      <c r="S681" s="13" t="s">
        <v>5293</v>
      </c>
      <c r="T681" s="13" t="s">
        <v>3</v>
      </c>
      <c r="U681" s="13" t="s">
        <v>43</v>
      </c>
      <c r="V681" s="13" t="n">
        <f aca="false">IF(COUNTIF($B$2:B681,B681)=1,1,0)</f>
        <v>0</v>
      </c>
      <c r="W681" s="13" t="n">
        <f aca="false">IF(COUNTIFS($B$2:B681,B681,$T$2:T681,T681)=1,1,0)</f>
        <v>0</v>
      </c>
    </row>
    <row r="682" customFormat="false" ht="15" hidden="false" customHeight="false" outlineLevel="0" collapsed="false">
      <c r="A682" s="13" t="s">
        <v>4338</v>
      </c>
      <c r="B682" s="13" t="s">
        <v>2099</v>
      </c>
      <c r="C682" s="13" t="n">
        <v>590</v>
      </c>
      <c r="D682" s="13" t="n">
        <v>20</v>
      </c>
      <c r="E682" s="13" t="n">
        <v>32.99</v>
      </c>
      <c r="F682" s="13" t="s">
        <v>5288</v>
      </c>
      <c r="G682" s="13" t="s">
        <v>5289</v>
      </c>
      <c r="H682" s="13" t="s">
        <v>5289</v>
      </c>
      <c r="I682" s="13" t="s">
        <v>5292</v>
      </c>
      <c r="J682" s="13" t="s">
        <v>5289</v>
      </c>
      <c r="K682" s="13" t="s">
        <v>5292</v>
      </c>
      <c r="L682" s="13" t="s">
        <v>4337</v>
      </c>
      <c r="M682" s="13"/>
      <c r="N682" s="13" t="n">
        <v>7899601701125</v>
      </c>
      <c r="O682" s="13"/>
      <c r="P682" s="13" t="s">
        <v>5291</v>
      </c>
      <c r="Q682" s="13" t="s">
        <v>5289</v>
      </c>
      <c r="R682" s="13" t="s">
        <v>5292</v>
      </c>
      <c r="S682" s="13" t="s">
        <v>5293</v>
      </c>
      <c r="T682" s="13" t="s">
        <v>3</v>
      </c>
      <c r="U682" s="13" t="s">
        <v>43</v>
      </c>
      <c r="V682" s="13" t="n">
        <f aca="false">IF(COUNTIF($B$2:B682,B682)=1,1,0)</f>
        <v>0</v>
      </c>
      <c r="W682" s="13" t="n">
        <f aca="false">IF(COUNTIFS($B$2:B682,B682,$T$2:T682,T682)=1,1,0)</f>
        <v>0</v>
      </c>
    </row>
    <row r="683" customFormat="false" ht="15" hidden="false" customHeight="false" outlineLevel="0" collapsed="false">
      <c r="A683" s="13" t="s">
        <v>1596</v>
      </c>
      <c r="B683" s="13" t="s">
        <v>191</v>
      </c>
      <c r="C683" s="13" t="n">
        <v>590</v>
      </c>
      <c r="D683" s="13" t="n">
        <v>30</v>
      </c>
      <c r="E683" s="13" t="n">
        <v>19</v>
      </c>
      <c r="F683" s="13" t="s">
        <v>5288</v>
      </c>
      <c r="G683" s="13" t="s">
        <v>5289</v>
      </c>
      <c r="H683" s="13" t="s">
        <v>5289</v>
      </c>
      <c r="I683" s="13" t="s">
        <v>5292</v>
      </c>
      <c r="J683" s="13" t="s">
        <v>5289</v>
      </c>
      <c r="K683" s="13" t="s">
        <v>5292</v>
      </c>
      <c r="L683" s="13" t="s">
        <v>4465</v>
      </c>
      <c r="M683" s="13"/>
      <c r="N683" s="13" t="n">
        <v>7898973267758</v>
      </c>
      <c r="O683" s="13"/>
      <c r="P683" s="13" t="s">
        <v>5291</v>
      </c>
      <c r="Q683" s="13" t="s">
        <v>5289</v>
      </c>
      <c r="R683" s="13" t="s">
        <v>5292</v>
      </c>
      <c r="S683" s="13" t="s">
        <v>5293</v>
      </c>
      <c r="T683" s="13" t="s">
        <v>3</v>
      </c>
      <c r="U683" s="13" t="s">
        <v>85</v>
      </c>
      <c r="V683" s="13" t="n">
        <f aca="false">IF(COUNTIF($B$2:B683,B683)=1,1,0)</f>
        <v>0</v>
      </c>
      <c r="W683" s="13" t="n">
        <f aca="false">IF(COUNTIFS($B$2:B683,B683,$T$2:T683,T683)=1,1,0)</f>
        <v>0</v>
      </c>
    </row>
    <row r="684" customFormat="false" ht="15" hidden="false" customHeight="false" outlineLevel="0" collapsed="false">
      <c r="A684" s="13" t="s">
        <v>1595</v>
      </c>
      <c r="B684" s="13" t="s">
        <v>302</v>
      </c>
      <c r="C684" s="13" t="n">
        <v>590</v>
      </c>
      <c r="D684" s="13" t="n">
        <v>1</v>
      </c>
      <c r="E684" s="13" t="n">
        <v>586.01</v>
      </c>
      <c r="F684" s="13" t="s">
        <v>5288</v>
      </c>
      <c r="G684" s="13" t="s">
        <v>5289</v>
      </c>
      <c r="H684" s="13" t="s">
        <v>5289</v>
      </c>
      <c r="I684" s="13" t="s">
        <v>5289</v>
      </c>
      <c r="J684" s="13" t="s">
        <v>5289</v>
      </c>
      <c r="K684" s="13" t="s">
        <v>5289</v>
      </c>
      <c r="L684" s="13" t="s">
        <v>4468</v>
      </c>
      <c r="M684" s="13"/>
      <c r="N684" s="13" t="n">
        <v>3274872441057</v>
      </c>
      <c r="O684" s="13"/>
      <c r="P684" s="13" t="s">
        <v>5291</v>
      </c>
      <c r="Q684" s="13" t="s">
        <v>5289</v>
      </c>
      <c r="R684" s="13" t="s">
        <v>5292</v>
      </c>
      <c r="S684" s="13" t="s">
        <v>5293</v>
      </c>
      <c r="T684" s="13" t="s">
        <v>3</v>
      </c>
      <c r="U684" s="13" t="s">
        <v>43</v>
      </c>
      <c r="V684" s="13" t="n">
        <f aca="false">IF(COUNTIF($B$2:B684,B684)=1,1,0)</f>
        <v>0</v>
      </c>
      <c r="W684" s="13" t="n">
        <f aca="false">IF(COUNTIFS($B$2:B684,B684,$T$2:T684,T684)=1,1,0)</f>
        <v>0</v>
      </c>
    </row>
    <row r="685" customFormat="false" ht="15" hidden="false" customHeight="false" outlineLevel="0" collapsed="false">
      <c r="A685" s="13" t="s">
        <v>5554</v>
      </c>
      <c r="B685" s="13" t="s">
        <v>2263</v>
      </c>
      <c r="C685" s="13" t="n">
        <v>570</v>
      </c>
      <c r="D685" s="13" t="n">
        <v>10</v>
      </c>
      <c r="E685" s="13" t="n">
        <v>40.8478571428571</v>
      </c>
      <c r="F685" s="13" t="s">
        <v>5288</v>
      </c>
      <c r="G685" s="13" t="s">
        <v>5289</v>
      </c>
      <c r="H685" s="13" t="s">
        <v>5292</v>
      </c>
      <c r="I685" s="13" t="s">
        <v>5292</v>
      </c>
      <c r="J685" s="13" t="s">
        <v>5289</v>
      </c>
      <c r="K685" s="13" t="s">
        <v>5292</v>
      </c>
      <c r="L685" s="13" t="s">
        <v>5545</v>
      </c>
      <c r="M685" s="13"/>
      <c r="N685" s="13" t="n">
        <v>7898952577212</v>
      </c>
      <c r="O685" s="13"/>
      <c r="P685" s="13" t="s">
        <v>5291</v>
      </c>
      <c r="Q685" s="13" t="s">
        <v>5289</v>
      </c>
      <c r="R685" s="13" t="s">
        <v>5292</v>
      </c>
      <c r="S685" s="13" t="s">
        <v>5293</v>
      </c>
      <c r="T685" s="13" t="s">
        <v>3</v>
      </c>
      <c r="U685" s="13" t="s">
        <v>85</v>
      </c>
      <c r="V685" s="13" t="n">
        <f aca="false">IF(COUNTIF($B$2:B685,B685)=1,1,0)</f>
        <v>1</v>
      </c>
      <c r="W685" s="13" t="n">
        <f aca="false">IF(COUNTIFS($B$2:B685,B685,$T$2:T685,T685)=1,1,0)</f>
        <v>1</v>
      </c>
    </row>
    <row r="686" customFormat="false" ht="15" hidden="false" customHeight="false" outlineLevel="0" collapsed="false">
      <c r="A686" s="13" t="s">
        <v>4485</v>
      </c>
      <c r="B686" s="13" t="s">
        <v>2187</v>
      </c>
      <c r="C686" s="13" t="n">
        <v>570</v>
      </c>
      <c r="D686" s="13" t="n">
        <v>5</v>
      </c>
      <c r="E686" s="13" t="n">
        <v>94.73</v>
      </c>
      <c r="F686" s="13" t="s">
        <v>5325</v>
      </c>
      <c r="G686" s="13" t="s">
        <v>5289</v>
      </c>
      <c r="H686" s="13" t="s">
        <v>5289</v>
      </c>
      <c r="I686" s="13" t="s">
        <v>5289</v>
      </c>
      <c r="J686" s="13" t="s">
        <v>5289</v>
      </c>
      <c r="K686" s="13" t="s">
        <v>5292</v>
      </c>
      <c r="L686" s="13" t="s">
        <v>5555</v>
      </c>
      <c r="M686" s="13"/>
      <c r="N686" s="13" t="n">
        <v>7898965429232</v>
      </c>
      <c r="O686" s="13"/>
      <c r="P686" s="13" t="s">
        <v>5297</v>
      </c>
      <c r="Q686" s="13" t="s">
        <v>5289</v>
      </c>
      <c r="R686" s="13" t="s">
        <v>5292</v>
      </c>
      <c r="S686" s="13" t="s">
        <v>5293</v>
      </c>
      <c r="T686" s="13" t="s">
        <v>3</v>
      </c>
      <c r="U686" s="13" t="s">
        <v>85</v>
      </c>
      <c r="V686" s="13" t="n">
        <f aca="false">IF(COUNTIF($B$2:B686,B686)=1,1,0)</f>
        <v>0</v>
      </c>
      <c r="W686" s="13" t="n">
        <f aca="false">IF(COUNTIFS($B$2:B686,B686,$T$2:T686,T686)=1,1,0)</f>
        <v>0</v>
      </c>
    </row>
    <row r="687" customFormat="false" ht="15" hidden="false" customHeight="false" outlineLevel="0" collapsed="false">
      <c r="A687" s="13" t="s">
        <v>5556</v>
      </c>
      <c r="B687" s="13" t="s">
        <v>2187</v>
      </c>
      <c r="C687" s="13" t="n">
        <v>570</v>
      </c>
      <c r="D687" s="13" t="n">
        <v>5</v>
      </c>
      <c r="E687" s="13" t="n">
        <v>94.73</v>
      </c>
      <c r="F687" s="13" t="s">
        <v>5325</v>
      </c>
      <c r="G687" s="13" t="s">
        <v>5289</v>
      </c>
      <c r="H687" s="13" t="s">
        <v>5289</v>
      </c>
      <c r="I687" s="13" t="s">
        <v>5289</v>
      </c>
      <c r="J687" s="13" t="s">
        <v>5289</v>
      </c>
      <c r="K687" s="13" t="s">
        <v>5292</v>
      </c>
      <c r="L687" s="13" t="s">
        <v>5557</v>
      </c>
      <c r="M687" s="13"/>
      <c r="N687" s="13" t="n">
        <v>7.89896542912679E+025</v>
      </c>
      <c r="O687" s="13"/>
      <c r="P687" s="13" t="s">
        <v>5291</v>
      </c>
      <c r="Q687" s="13" t="s">
        <v>5289</v>
      </c>
      <c r="R687" s="13" t="s">
        <v>5292</v>
      </c>
      <c r="S687" s="13" t="s">
        <v>5293</v>
      </c>
      <c r="T687" s="13" t="s">
        <v>3</v>
      </c>
      <c r="U687" s="13" t="s">
        <v>85</v>
      </c>
      <c r="V687" s="13" t="n">
        <f aca="false">IF(COUNTIF($B$2:B687,B687)=1,1,0)</f>
        <v>0</v>
      </c>
      <c r="W687" s="13" t="n">
        <f aca="false">IF(COUNTIFS($B$2:B687,B687,$T$2:T687,T687)=1,1,0)</f>
        <v>0</v>
      </c>
    </row>
    <row r="688" customFormat="false" ht="15" hidden="false" customHeight="false" outlineLevel="0" collapsed="false">
      <c r="A688" s="13" t="s">
        <v>1627</v>
      </c>
      <c r="B688" s="13" t="s">
        <v>470</v>
      </c>
      <c r="C688" s="13" t="n">
        <v>560</v>
      </c>
      <c r="D688" s="13" t="n">
        <v>5</v>
      </c>
      <c r="E688" s="13" t="n">
        <v>112.85</v>
      </c>
      <c r="F688" s="13" t="s">
        <v>5288</v>
      </c>
      <c r="G688" s="13" t="s">
        <v>5289</v>
      </c>
      <c r="H688" s="13" t="s">
        <v>5289</v>
      </c>
      <c r="I688" s="13" t="s">
        <v>5289</v>
      </c>
      <c r="J688" s="13" t="s">
        <v>5289</v>
      </c>
      <c r="K688" s="13" t="s">
        <v>5289</v>
      </c>
      <c r="L688" s="13" t="s">
        <v>5558</v>
      </c>
      <c r="M688" s="13"/>
      <c r="N688" s="13"/>
      <c r="O688" s="13"/>
      <c r="P688" s="13" t="s">
        <v>5297</v>
      </c>
      <c r="Q688" s="13" t="s">
        <v>5289</v>
      </c>
      <c r="R688" s="13" t="s">
        <v>5292</v>
      </c>
      <c r="S688" s="13" t="s">
        <v>5293</v>
      </c>
      <c r="T688" s="13" t="s">
        <v>3</v>
      </c>
      <c r="U688" s="13" t="s">
        <v>85</v>
      </c>
      <c r="V688" s="13" t="n">
        <f aca="false">IF(COUNTIF($B$2:B688,B688)=1,1,0)</f>
        <v>0</v>
      </c>
      <c r="W688" s="13" t="n">
        <f aca="false">IF(COUNTIFS($B$2:B688,B688,$T$2:T688,T688)=1,1,0)</f>
        <v>0</v>
      </c>
    </row>
    <row r="689" customFormat="false" ht="15" hidden="false" customHeight="false" outlineLevel="0" collapsed="false">
      <c r="A689" s="13" t="s">
        <v>4491</v>
      </c>
      <c r="B689" s="13" t="s">
        <v>2106</v>
      </c>
      <c r="C689" s="13" t="n">
        <v>560</v>
      </c>
      <c r="D689" s="13" t="n">
        <v>2</v>
      </c>
      <c r="E689" s="13" t="n">
        <v>139</v>
      </c>
      <c r="F689" s="13" t="s">
        <v>5288</v>
      </c>
      <c r="G689" s="13" t="s">
        <v>5289</v>
      </c>
      <c r="H689" s="13" t="s">
        <v>5289</v>
      </c>
      <c r="I689" s="13" t="s">
        <v>5289</v>
      </c>
      <c r="J689" s="13" t="s">
        <v>5289</v>
      </c>
      <c r="K689" s="13" t="s">
        <v>5292</v>
      </c>
      <c r="L689" s="13" t="s">
        <v>4490</v>
      </c>
      <c r="M689" s="13"/>
      <c r="N689" s="13" t="n">
        <v>6949509226983</v>
      </c>
      <c r="O689" s="13"/>
      <c r="P689" s="13" t="s">
        <v>5297</v>
      </c>
      <c r="Q689" s="13" t="s">
        <v>5289</v>
      </c>
      <c r="R689" s="13" t="s">
        <v>5292</v>
      </c>
      <c r="S689" s="13" t="s">
        <v>5293</v>
      </c>
      <c r="T689" s="13" t="s">
        <v>3</v>
      </c>
      <c r="U689" s="13" t="s">
        <v>85</v>
      </c>
      <c r="V689" s="13" t="n">
        <f aca="false">IF(COUNTIF($B$2:B689,B689)=1,1,0)</f>
        <v>0</v>
      </c>
      <c r="W689" s="13" t="n">
        <f aca="false">IF(COUNTIFS($B$2:B689,B689,$T$2:T689,T689)=1,1,0)</f>
        <v>0</v>
      </c>
    </row>
    <row r="690" customFormat="false" ht="15" hidden="false" customHeight="false" outlineLevel="0" collapsed="false">
      <c r="A690" s="13" t="s">
        <v>5559</v>
      </c>
      <c r="B690" s="13" t="s">
        <v>2094</v>
      </c>
      <c r="C690" s="13" t="n">
        <v>550</v>
      </c>
      <c r="D690" s="13" t="n">
        <v>5</v>
      </c>
      <c r="E690" s="13" t="n">
        <v>78.99</v>
      </c>
      <c r="F690" s="13" t="s">
        <v>5288</v>
      </c>
      <c r="G690" s="13" t="s">
        <v>5289</v>
      </c>
      <c r="H690" s="13" t="s">
        <v>5289</v>
      </c>
      <c r="I690" s="13" t="s">
        <v>5292</v>
      </c>
      <c r="J690" s="13" t="s">
        <v>5289</v>
      </c>
      <c r="K690" s="13" t="s">
        <v>5292</v>
      </c>
      <c r="L690" s="13" t="s">
        <v>5560</v>
      </c>
      <c r="M690" s="13"/>
      <c r="N690" s="13"/>
      <c r="O690" s="13"/>
      <c r="P690" s="13" t="s">
        <v>5291</v>
      </c>
      <c r="Q690" s="13" t="s">
        <v>5289</v>
      </c>
      <c r="R690" s="13" t="s">
        <v>5292</v>
      </c>
      <c r="S690" s="13" t="s">
        <v>5293</v>
      </c>
      <c r="T690" s="13" t="s">
        <v>3</v>
      </c>
      <c r="U690" s="13" t="s">
        <v>85</v>
      </c>
      <c r="V690" s="13" t="n">
        <f aca="false">IF(COUNTIF($B$2:B690,B690)=1,1,0)</f>
        <v>0</v>
      </c>
      <c r="W690" s="13" t="n">
        <f aca="false">IF(COUNTIFS($B$2:B690,B690,$T$2:T690,T690)=1,1,0)</f>
        <v>0</v>
      </c>
    </row>
    <row r="691" customFormat="false" ht="15" hidden="false" customHeight="false" outlineLevel="0" collapsed="false">
      <c r="A691" s="13" t="s">
        <v>2720</v>
      </c>
      <c r="B691" s="13" t="s">
        <v>2097</v>
      </c>
      <c r="C691" s="13" t="n">
        <v>540</v>
      </c>
      <c r="D691" s="13" t="n">
        <v>5</v>
      </c>
      <c r="E691" s="13" t="n">
        <v>53.6</v>
      </c>
      <c r="F691" s="13" t="s">
        <v>5288</v>
      </c>
      <c r="G691" s="13" t="s">
        <v>5289</v>
      </c>
      <c r="H691" s="13" t="s">
        <v>5292</v>
      </c>
      <c r="I691" s="13" t="s">
        <v>5292</v>
      </c>
      <c r="J691" s="13" t="s">
        <v>5289</v>
      </c>
      <c r="K691" s="13" t="s">
        <v>5292</v>
      </c>
      <c r="L691" s="13" t="s">
        <v>2719</v>
      </c>
      <c r="M691" s="13"/>
      <c r="N691" s="13" t="n">
        <v>7908407004412</v>
      </c>
      <c r="O691" s="13"/>
      <c r="P691" s="13" t="s">
        <v>5291</v>
      </c>
      <c r="Q691" s="13" t="s">
        <v>5289</v>
      </c>
      <c r="R691" s="13" t="s">
        <v>5292</v>
      </c>
      <c r="S691" s="13" t="s">
        <v>5293</v>
      </c>
      <c r="T691" s="13" t="s">
        <v>3</v>
      </c>
      <c r="U691" s="13" t="s">
        <v>140</v>
      </c>
      <c r="V691" s="13" t="n">
        <f aca="false">IF(COUNTIF($B$2:B691,B691)=1,1,0)</f>
        <v>0</v>
      </c>
      <c r="W691" s="13" t="n">
        <f aca="false">IF(COUNTIFS($B$2:B691,B691,$T$2:T691,T691)=1,1,0)</f>
        <v>0</v>
      </c>
    </row>
    <row r="692" customFormat="false" ht="15" hidden="false" customHeight="false" outlineLevel="0" collapsed="false">
      <c r="A692" s="13" t="s">
        <v>1643</v>
      </c>
      <c r="B692" s="13" t="s">
        <v>179</v>
      </c>
      <c r="C692" s="13" t="n">
        <v>530</v>
      </c>
      <c r="D692" s="13" t="n">
        <v>5</v>
      </c>
      <c r="E692" s="13" t="n">
        <v>89</v>
      </c>
      <c r="F692" s="13" t="s">
        <v>5325</v>
      </c>
      <c r="G692" s="13" t="s">
        <v>5289</v>
      </c>
      <c r="H692" s="13" t="s">
        <v>5289</v>
      </c>
      <c r="I692" s="13" t="s">
        <v>5289</v>
      </c>
      <c r="J692" s="13" t="s">
        <v>5289</v>
      </c>
      <c r="K692" s="13" t="s">
        <v>5292</v>
      </c>
      <c r="L692" s="13" t="s">
        <v>4520</v>
      </c>
      <c r="M692" s="13"/>
      <c r="N692" s="13" t="n">
        <v>7898618488500</v>
      </c>
      <c r="O692" s="13"/>
      <c r="P692" s="13" t="s">
        <v>5291</v>
      </c>
      <c r="Q692" s="13" t="s">
        <v>5289</v>
      </c>
      <c r="R692" s="13" t="s">
        <v>5292</v>
      </c>
      <c r="S692" s="13" t="s">
        <v>5293</v>
      </c>
      <c r="T692" s="13" t="s">
        <v>3</v>
      </c>
      <c r="U692" s="13" t="s">
        <v>180</v>
      </c>
      <c r="V692" s="13" t="n">
        <f aca="false">IF(COUNTIF($B$2:B692,B692)=1,1,0)</f>
        <v>0</v>
      </c>
      <c r="W692" s="13" t="n">
        <f aca="false">IF(COUNTIFS($B$2:B692,B692,$T$2:T692,T692)=1,1,0)</f>
        <v>0</v>
      </c>
    </row>
    <row r="693" customFormat="false" ht="15" hidden="false" customHeight="false" outlineLevel="0" collapsed="false">
      <c r="A693" s="13" t="s">
        <v>4527</v>
      </c>
      <c r="B693" s="13" t="s">
        <v>2096</v>
      </c>
      <c r="C693" s="13" t="n">
        <v>530</v>
      </c>
      <c r="D693" s="13" t="n">
        <v>5</v>
      </c>
      <c r="E693" s="13" t="n">
        <v>105.99</v>
      </c>
      <c r="F693" s="13" t="s">
        <v>5288</v>
      </c>
      <c r="G693" s="13" t="s">
        <v>5289</v>
      </c>
      <c r="H693" s="13" t="s">
        <v>5289</v>
      </c>
      <c r="I693" s="13" t="s">
        <v>5289</v>
      </c>
      <c r="J693" s="13" t="s">
        <v>5289</v>
      </c>
      <c r="K693" s="13" t="s">
        <v>5292</v>
      </c>
      <c r="L693" s="13" t="s">
        <v>5561</v>
      </c>
      <c r="M693" s="13"/>
      <c r="N693" s="13" t="n">
        <v>7891033922192</v>
      </c>
      <c r="O693" s="13"/>
      <c r="P693" s="13" t="s">
        <v>5297</v>
      </c>
      <c r="Q693" s="13" t="s">
        <v>5289</v>
      </c>
      <c r="R693" s="13" t="s">
        <v>5292</v>
      </c>
      <c r="S693" s="13" t="s">
        <v>5293</v>
      </c>
      <c r="T693" s="13" t="s">
        <v>3</v>
      </c>
      <c r="U693" s="13" t="s">
        <v>43</v>
      </c>
      <c r="V693" s="13" t="n">
        <f aca="false">IF(COUNTIF($B$2:B693,B693)=1,1,0)</f>
        <v>0</v>
      </c>
      <c r="W693" s="13" t="n">
        <f aca="false">IF(COUNTIFS($B$2:B693,B693,$T$2:T693,T693)=1,1,0)</f>
        <v>0</v>
      </c>
    </row>
    <row r="694" customFormat="false" ht="15" hidden="false" customHeight="false" outlineLevel="0" collapsed="false">
      <c r="A694" s="13" t="s">
        <v>4534</v>
      </c>
      <c r="B694" s="13" t="s">
        <v>2226</v>
      </c>
      <c r="C694" s="13" t="n">
        <v>530</v>
      </c>
      <c r="D694" s="13" t="n">
        <v>20</v>
      </c>
      <c r="E694" s="13" t="n">
        <v>21.99</v>
      </c>
      <c r="F694" s="13" t="s">
        <v>5288</v>
      </c>
      <c r="G694" s="13" t="s">
        <v>5289</v>
      </c>
      <c r="H694" s="13" t="s">
        <v>5289</v>
      </c>
      <c r="I694" s="13" t="s">
        <v>5292</v>
      </c>
      <c r="J694" s="13" t="s">
        <v>5289</v>
      </c>
      <c r="K694" s="13" t="s">
        <v>5292</v>
      </c>
      <c r="L694" s="13" t="s">
        <v>4533</v>
      </c>
      <c r="M694" s="13"/>
      <c r="N694" s="13" t="n">
        <v>7899612702500</v>
      </c>
      <c r="O694" s="13"/>
      <c r="P694" s="13" t="s">
        <v>5291</v>
      </c>
      <c r="Q694" s="13" t="s">
        <v>5289</v>
      </c>
      <c r="R694" s="13" t="s">
        <v>5292</v>
      </c>
      <c r="S694" s="13" t="s">
        <v>5293</v>
      </c>
      <c r="T694" s="13" t="s">
        <v>3</v>
      </c>
      <c r="U694" s="13" t="s">
        <v>85</v>
      </c>
      <c r="V694" s="13" t="n">
        <f aca="false">IF(COUNTIF($B$2:B694,B694)=1,1,0)</f>
        <v>0</v>
      </c>
      <c r="W694" s="13" t="n">
        <f aca="false">IF(COUNTIFS($B$2:B694,B694,$T$2:T694,T694)=1,1,0)</f>
        <v>0</v>
      </c>
    </row>
    <row r="695" customFormat="false" ht="15" hidden="false" customHeight="false" outlineLevel="0" collapsed="false">
      <c r="A695" s="13" t="s">
        <v>4549</v>
      </c>
      <c r="B695" s="13" t="s">
        <v>2225</v>
      </c>
      <c r="C695" s="13" t="n">
        <v>520</v>
      </c>
      <c r="D695" s="13" t="n">
        <v>5</v>
      </c>
      <c r="E695" s="13" t="n">
        <v>74.9</v>
      </c>
      <c r="F695" s="13" t="s">
        <v>5288</v>
      </c>
      <c r="G695" s="13" t="s">
        <v>5289</v>
      </c>
      <c r="H695" s="13" t="s">
        <v>5289</v>
      </c>
      <c r="I695" s="13" t="s">
        <v>5292</v>
      </c>
      <c r="J695" s="13" t="s">
        <v>5289</v>
      </c>
      <c r="K695" s="13" t="s">
        <v>5292</v>
      </c>
      <c r="L695" s="13" t="s">
        <v>5562</v>
      </c>
      <c r="M695" s="13"/>
      <c r="N695" s="13" t="n">
        <v>8715658390237</v>
      </c>
      <c r="O695" s="13"/>
      <c r="P695" s="13" t="s">
        <v>5297</v>
      </c>
      <c r="Q695" s="13" t="s">
        <v>5289</v>
      </c>
      <c r="R695" s="13" t="s">
        <v>5292</v>
      </c>
      <c r="S695" s="13" t="s">
        <v>5293</v>
      </c>
      <c r="T695" s="13" t="s">
        <v>3</v>
      </c>
      <c r="U695" s="13" t="s">
        <v>43</v>
      </c>
      <c r="V695" s="13" t="n">
        <f aca="false">IF(COUNTIF($B$2:B695,B695)=1,1,0)</f>
        <v>0</v>
      </c>
      <c r="W695" s="13" t="n">
        <f aca="false">IF(COUNTIFS($B$2:B695,B695,$T$2:T695,T695)=1,1,0)</f>
        <v>0</v>
      </c>
    </row>
    <row r="696" customFormat="false" ht="15" hidden="false" customHeight="false" outlineLevel="0" collapsed="false">
      <c r="A696" s="13" t="s">
        <v>4544</v>
      </c>
      <c r="B696" s="13" t="s">
        <v>2099</v>
      </c>
      <c r="C696" s="13" t="n">
        <v>520</v>
      </c>
      <c r="D696" s="13" t="n">
        <v>20</v>
      </c>
      <c r="E696" s="13" t="n">
        <v>25.99</v>
      </c>
      <c r="F696" s="13" t="s">
        <v>5288</v>
      </c>
      <c r="G696" s="13" t="s">
        <v>5289</v>
      </c>
      <c r="H696" s="13" t="s">
        <v>5289</v>
      </c>
      <c r="I696" s="13" t="s">
        <v>5292</v>
      </c>
      <c r="J696" s="13" t="s">
        <v>5289</v>
      </c>
      <c r="K696" s="13" t="s">
        <v>5292</v>
      </c>
      <c r="L696" s="13" t="s">
        <v>4543</v>
      </c>
      <c r="M696" s="13"/>
      <c r="N696" s="13" t="n">
        <v>7899952331552</v>
      </c>
      <c r="O696" s="13"/>
      <c r="P696" s="13" t="s">
        <v>5297</v>
      </c>
      <c r="Q696" s="13" t="s">
        <v>5289</v>
      </c>
      <c r="R696" s="13" t="s">
        <v>5292</v>
      </c>
      <c r="S696" s="13" t="s">
        <v>5293</v>
      </c>
      <c r="T696" s="13" t="s">
        <v>3</v>
      </c>
      <c r="U696" s="13" t="s">
        <v>43</v>
      </c>
      <c r="V696" s="13" t="n">
        <f aca="false">IF(COUNTIF($B$2:B696,B696)=1,1,0)</f>
        <v>0</v>
      </c>
      <c r="W696" s="13" t="n">
        <f aca="false">IF(COUNTIFS($B$2:B696,B696,$T$2:T696,T696)=1,1,0)</f>
        <v>0</v>
      </c>
    </row>
    <row r="697" customFormat="false" ht="15" hidden="false" customHeight="false" outlineLevel="0" collapsed="false">
      <c r="A697" s="13" t="s">
        <v>5563</v>
      </c>
      <c r="B697" s="13" t="s">
        <v>2153</v>
      </c>
      <c r="C697" s="13" t="n">
        <v>510</v>
      </c>
      <c r="D697" s="13" t="n">
        <v>2</v>
      </c>
      <c r="E697" s="13" t="n">
        <v>128.04</v>
      </c>
      <c r="F697" s="13" t="s">
        <v>5288</v>
      </c>
      <c r="G697" s="13" t="s">
        <v>5289</v>
      </c>
      <c r="H697" s="13" t="s">
        <v>5292</v>
      </c>
      <c r="I697" s="13" t="s">
        <v>5289</v>
      </c>
      <c r="J697" s="13" t="s">
        <v>5289</v>
      </c>
      <c r="K697" s="13" t="s">
        <v>5292</v>
      </c>
      <c r="L697" s="13" t="s">
        <v>3032</v>
      </c>
      <c r="M697" s="13"/>
      <c r="N697" s="13" t="n">
        <v>7896768470147</v>
      </c>
      <c r="O697" s="13"/>
      <c r="P697" s="13" t="s">
        <v>5291</v>
      </c>
      <c r="Q697" s="13" t="s">
        <v>5289</v>
      </c>
      <c r="R697" s="13" t="s">
        <v>5292</v>
      </c>
      <c r="S697" s="13" t="s">
        <v>5293</v>
      </c>
      <c r="T697" s="13" t="s">
        <v>3</v>
      </c>
      <c r="U697" s="13" t="s">
        <v>183</v>
      </c>
      <c r="V697" s="13" t="n">
        <f aca="false">IF(COUNTIF($B$2:B697,B697)=1,1,0)</f>
        <v>0</v>
      </c>
      <c r="W697" s="13" t="n">
        <f aca="false">IF(COUNTIFS($B$2:B697,B697,$T$2:T697,T697)=1,1,0)</f>
        <v>0</v>
      </c>
    </row>
    <row r="698" customFormat="false" ht="15" hidden="false" customHeight="false" outlineLevel="0" collapsed="false">
      <c r="A698" s="13" t="s">
        <v>1658</v>
      </c>
      <c r="B698" s="13" t="s">
        <v>97</v>
      </c>
      <c r="C698" s="13" t="n">
        <v>510</v>
      </c>
      <c r="D698" s="13" t="n">
        <v>2</v>
      </c>
      <c r="E698" s="13" t="n">
        <v>169</v>
      </c>
      <c r="F698" s="13" t="s">
        <v>5288</v>
      </c>
      <c r="G698" s="13" t="s">
        <v>5289</v>
      </c>
      <c r="H698" s="13" t="s">
        <v>5289</v>
      </c>
      <c r="I698" s="13" t="s">
        <v>5289</v>
      </c>
      <c r="J698" s="13" t="s">
        <v>5289</v>
      </c>
      <c r="K698" s="13" t="s">
        <v>5292</v>
      </c>
      <c r="L698" s="13" t="s">
        <v>5564</v>
      </c>
      <c r="M698" s="13"/>
      <c r="N698" s="13"/>
      <c r="O698" s="13"/>
      <c r="P698" s="13" t="s">
        <v>5291</v>
      </c>
      <c r="Q698" s="13" t="s">
        <v>5289</v>
      </c>
      <c r="R698" s="13" t="s">
        <v>5292</v>
      </c>
      <c r="S698" s="13" t="s">
        <v>5293</v>
      </c>
      <c r="T698" s="13" t="s">
        <v>3</v>
      </c>
      <c r="U698" s="13" t="s">
        <v>98</v>
      </c>
      <c r="V698" s="13" t="n">
        <f aca="false">IF(COUNTIF($B$2:B698,B698)=1,1,0)</f>
        <v>0</v>
      </c>
      <c r="W698" s="13" t="n">
        <f aca="false">IF(COUNTIFS($B$2:B698,B698,$T$2:T698,T698)=1,1,0)</f>
        <v>0</v>
      </c>
    </row>
    <row r="699" customFormat="false" ht="15" hidden="false" customHeight="false" outlineLevel="0" collapsed="false">
      <c r="A699" s="13" t="s">
        <v>4561</v>
      </c>
      <c r="B699" s="13" t="s">
        <v>2187</v>
      </c>
      <c r="C699" s="13" t="n">
        <v>510</v>
      </c>
      <c r="D699" s="13" t="n">
        <v>5</v>
      </c>
      <c r="E699" s="13" t="n">
        <v>84.2</v>
      </c>
      <c r="F699" s="13" t="s">
        <v>5325</v>
      </c>
      <c r="G699" s="13" t="s">
        <v>5289</v>
      </c>
      <c r="H699" s="13" t="s">
        <v>5289</v>
      </c>
      <c r="I699" s="13" t="s">
        <v>5289</v>
      </c>
      <c r="J699" s="13" t="s">
        <v>5289</v>
      </c>
      <c r="K699" s="13" t="s">
        <v>5292</v>
      </c>
      <c r="L699" s="13" t="s">
        <v>5565</v>
      </c>
      <c r="M699" s="13"/>
      <c r="N699" s="13" t="n">
        <v>7898965429041</v>
      </c>
      <c r="O699" s="13"/>
      <c r="P699" s="13" t="s">
        <v>5297</v>
      </c>
      <c r="Q699" s="13" t="s">
        <v>5289</v>
      </c>
      <c r="R699" s="13" t="s">
        <v>5292</v>
      </c>
      <c r="S699" s="13" t="s">
        <v>5293</v>
      </c>
      <c r="T699" s="13" t="s">
        <v>3</v>
      </c>
      <c r="U699" s="13" t="s">
        <v>85</v>
      </c>
      <c r="V699" s="13" t="n">
        <f aca="false">IF(COUNTIF($B$2:B699,B699)=1,1,0)</f>
        <v>0</v>
      </c>
      <c r="W699" s="13" t="n">
        <f aca="false">IF(COUNTIFS($B$2:B699,B699,$T$2:T699,T699)=1,1,0)</f>
        <v>0</v>
      </c>
    </row>
    <row r="700" customFormat="false" ht="15" hidden="false" customHeight="false" outlineLevel="0" collapsed="false">
      <c r="A700" s="13" t="s">
        <v>4564</v>
      </c>
      <c r="B700" s="13" t="s">
        <v>2227</v>
      </c>
      <c r="C700" s="13" t="n">
        <v>500</v>
      </c>
      <c r="D700" s="13" t="n">
        <v>5</v>
      </c>
      <c r="E700" s="13" t="n">
        <v>99.37</v>
      </c>
      <c r="F700" s="13" t="s">
        <v>5325</v>
      </c>
      <c r="G700" s="13" t="s">
        <v>5289</v>
      </c>
      <c r="H700" s="13" t="s">
        <v>5289</v>
      </c>
      <c r="I700" s="13" t="s">
        <v>5289</v>
      </c>
      <c r="J700" s="13" t="s">
        <v>5289</v>
      </c>
      <c r="K700" s="13" t="s">
        <v>5292</v>
      </c>
      <c r="L700" s="13" t="s">
        <v>5566</v>
      </c>
      <c r="M700" s="13"/>
      <c r="N700" s="13" t="n">
        <v>7898555602199</v>
      </c>
      <c r="O700" s="13"/>
      <c r="P700" s="13" t="s">
        <v>5291</v>
      </c>
      <c r="Q700" s="13" t="s">
        <v>5289</v>
      </c>
      <c r="R700" s="13" t="s">
        <v>5292</v>
      </c>
      <c r="S700" s="13" t="s">
        <v>5293</v>
      </c>
      <c r="T700" s="13" t="s">
        <v>3</v>
      </c>
      <c r="U700" s="13" t="s">
        <v>85</v>
      </c>
      <c r="V700" s="13" t="n">
        <f aca="false">IF(COUNTIF($B$2:B700,B700)=1,1,0)</f>
        <v>0</v>
      </c>
      <c r="W700" s="13" t="n">
        <f aca="false">IF(COUNTIFS($B$2:B700,B700,$T$2:T700,T700)=1,1,0)</f>
        <v>0</v>
      </c>
    </row>
    <row r="701" customFormat="false" ht="15" hidden="false" customHeight="false" outlineLevel="0" collapsed="false">
      <c r="A701" s="13" t="s">
        <v>4568</v>
      </c>
      <c r="B701" s="13" t="s">
        <v>2152</v>
      </c>
      <c r="C701" s="13" t="n">
        <v>500</v>
      </c>
      <c r="D701" s="13" t="n">
        <v>2</v>
      </c>
      <c r="E701" s="13" t="n">
        <v>165</v>
      </c>
      <c r="F701" s="13" t="s">
        <v>5288</v>
      </c>
      <c r="G701" s="13" t="s">
        <v>5292</v>
      </c>
      <c r="H701" s="13" t="s">
        <v>5289</v>
      </c>
      <c r="I701" s="13" t="s">
        <v>5289</v>
      </c>
      <c r="J701" s="13" t="s">
        <v>5289</v>
      </c>
      <c r="K701" s="13" t="s">
        <v>5292</v>
      </c>
      <c r="L701" s="13" t="s">
        <v>4567</v>
      </c>
      <c r="M701" s="13"/>
      <c r="N701" s="13" t="n">
        <v>6291107454894</v>
      </c>
      <c r="O701" s="13"/>
      <c r="P701" s="13" t="s">
        <v>5291</v>
      </c>
      <c r="Q701" s="13" t="s">
        <v>5289</v>
      </c>
      <c r="R701" s="13" t="s">
        <v>5292</v>
      </c>
      <c r="S701" s="13" t="s">
        <v>5293</v>
      </c>
      <c r="T701" s="13" t="s">
        <v>3</v>
      </c>
      <c r="U701" s="13" t="s">
        <v>43</v>
      </c>
      <c r="V701" s="13" t="n">
        <f aca="false">IF(COUNTIF($B$2:B701,B701)=1,1,0)</f>
        <v>0</v>
      </c>
      <c r="W701" s="13" t="n">
        <f aca="false">IF(COUNTIFS($B$2:B701,B701,$T$2:T701,T701)=1,1,0)</f>
        <v>0</v>
      </c>
    </row>
    <row r="702" customFormat="false" ht="15" hidden="false" customHeight="false" outlineLevel="0" collapsed="false">
      <c r="A702" s="13" t="s">
        <v>1674</v>
      </c>
      <c r="B702" s="13" t="s">
        <v>191</v>
      </c>
      <c r="C702" s="13" t="n">
        <v>490</v>
      </c>
      <c r="D702" s="13" t="n">
        <v>20</v>
      </c>
      <c r="E702" s="13" t="n">
        <v>25.99</v>
      </c>
      <c r="F702" s="13" t="s">
        <v>5288</v>
      </c>
      <c r="G702" s="13" t="s">
        <v>5289</v>
      </c>
      <c r="H702" s="13" t="s">
        <v>5289</v>
      </c>
      <c r="I702" s="13" t="s">
        <v>5292</v>
      </c>
      <c r="J702" s="13" t="s">
        <v>5289</v>
      </c>
      <c r="K702" s="13" t="s">
        <v>5292</v>
      </c>
      <c r="L702" s="13" t="s">
        <v>4580</v>
      </c>
      <c r="M702" s="13"/>
      <c r="N702" s="13" t="n">
        <v>7898973267741</v>
      </c>
      <c r="O702" s="13"/>
      <c r="P702" s="13" t="s">
        <v>5291</v>
      </c>
      <c r="Q702" s="13" t="s">
        <v>5289</v>
      </c>
      <c r="R702" s="13" t="s">
        <v>5292</v>
      </c>
      <c r="S702" s="13" t="s">
        <v>5293</v>
      </c>
      <c r="T702" s="13" t="s">
        <v>3</v>
      </c>
      <c r="U702" s="13" t="s">
        <v>140</v>
      </c>
      <c r="V702" s="13" t="n">
        <f aca="false">IF(COUNTIF($B$2:B702,B702)=1,1,0)</f>
        <v>0</v>
      </c>
      <c r="W702" s="13" t="n">
        <f aca="false">IF(COUNTIFS($B$2:B702,B702,$T$2:T702,T702)=1,1,0)</f>
        <v>0</v>
      </c>
    </row>
    <row r="703" customFormat="false" ht="15" hidden="false" customHeight="false" outlineLevel="0" collapsed="false">
      <c r="A703" s="13" t="s">
        <v>4586</v>
      </c>
      <c r="B703" s="13" t="s">
        <v>2099</v>
      </c>
      <c r="C703" s="13" t="n">
        <v>480</v>
      </c>
      <c r="D703" s="13" t="n">
        <v>20</v>
      </c>
      <c r="E703" s="13" t="n">
        <v>24.154</v>
      </c>
      <c r="F703" s="13" t="s">
        <v>5288</v>
      </c>
      <c r="G703" s="13" t="s">
        <v>5289</v>
      </c>
      <c r="H703" s="13" t="s">
        <v>5289</v>
      </c>
      <c r="I703" s="13" t="s">
        <v>5292</v>
      </c>
      <c r="J703" s="13" t="s">
        <v>5289</v>
      </c>
      <c r="K703" s="13" t="s">
        <v>5292</v>
      </c>
      <c r="L703" s="13" t="s">
        <v>4585</v>
      </c>
      <c r="M703" s="13"/>
      <c r="N703" s="13" t="n">
        <v>7899952324615</v>
      </c>
      <c r="O703" s="13"/>
      <c r="P703" s="13" t="s">
        <v>5297</v>
      </c>
      <c r="Q703" s="13" t="s">
        <v>5289</v>
      </c>
      <c r="R703" s="13" t="s">
        <v>5292</v>
      </c>
      <c r="S703" s="13" t="s">
        <v>5293</v>
      </c>
      <c r="T703" s="13" t="s">
        <v>3</v>
      </c>
      <c r="U703" s="13" t="s">
        <v>43</v>
      </c>
      <c r="V703" s="13" t="n">
        <f aca="false">IF(COUNTIF($B$2:B703,B703)=1,1,0)</f>
        <v>0</v>
      </c>
      <c r="W703" s="13" t="n">
        <f aca="false">IF(COUNTIFS($B$2:B703,B703,$T$2:T703,T703)=1,1,0)</f>
        <v>0</v>
      </c>
    </row>
    <row r="704" customFormat="false" ht="15" hidden="false" customHeight="false" outlineLevel="0" collapsed="false">
      <c r="A704" s="13" t="s">
        <v>4583</v>
      </c>
      <c r="B704" s="13" t="s">
        <v>2136</v>
      </c>
      <c r="C704" s="13" t="n">
        <v>480</v>
      </c>
      <c r="D704" s="13" t="n">
        <v>10</v>
      </c>
      <c r="E704" s="13" t="n">
        <v>34.3571428571429</v>
      </c>
      <c r="F704" s="13" t="s">
        <v>5288</v>
      </c>
      <c r="G704" s="13" t="s">
        <v>5289</v>
      </c>
      <c r="H704" s="13" t="s">
        <v>5289</v>
      </c>
      <c r="I704" s="13" t="s">
        <v>5292</v>
      </c>
      <c r="J704" s="13" t="s">
        <v>5289</v>
      </c>
      <c r="K704" s="13" t="s">
        <v>5292</v>
      </c>
      <c r="L704" s="13" t="s">
        <v>4582</v>
      </c>
      <c r="M704" s="13"/>
      <c r="N704" s="13" t="n">
        <v>7898390941170</v>
      </c>
      <c r="O704" s="13"/>
      <c r="P704" s="13" t="s">
        <v>5291</v>
      </c>
      <c r="Q704" s="13" t="s">
        <v>5289</v>
      </c>
      <c r="R704" s="13" t="s">
        <v>5292</v>
      </c>
      <c r="S704" s="13" t="s">
        <v>5293</v>
      </c>
      <c r="T704" s="13" t="s">
        <v>3</v>
      </c>
      <c r="U704" s="13" t="s">
        <v>85</v>
      </c>
      <c r="V704" s="13" t="n">
        <f aca="false">IF(COUNTIF($B$2:B704,B704)=1,1,0)</f>
        <v>0</v>
      </c>
      <c r="W704" s="13" t="n">
        <f aca="false">IF(COUNTIFS($B$2:B704,B704,$T$2:T704,T704)=1,1,0)</f>
        <v>0</v>
      </c>
    </row>
    <row r="705" customFormat="false" ht="15" hidden="false" customHeight="false" outlineLevel="0" collapsed="false">
      <c r="A705" s="13" t="s">
        <v>3352</v>
      </c>
      <c r="B705" s="13" t="s">
        <v>2108</v>
      </c>
      <c r="C705" s="13" t="n">
        <v>480</v>
      </c>
      <c r="D705" s="13" t="n">
        <v>5</v>
      </c>
      <c r="E705" s="13" t="n">
        <v>59.99</v>
      </c>
      <c r="F705" s="13" t="s">
        <v>5288</v>
      </c>
      <c r="G705" s="13" t="s">
        <v>5289</v>
      </c>
      <c r="H705" s="13" t="s">
        <v>5289</v>
      </c>
      <c r="I705" s="13" t="s">
        <v>5292</v>
      </c>
      <c r="J705" s="13" t="s">
        <v>5289</v>
      </c>
      <c r="K705" s="13" t="s">
        <v>5292</v>
      </c>
      <c r="L705" s="13" t="s">
        <v>4588</v>
      </c>
      <c r="M705" s="13"/>
      <c r="N705" s="13" t="n">
        <v>7891114053616</v>
      </c>
      <c r="O705" s="13"/>
      <c r="P705" s="13" t="s">
        <v>5291</v>
      </c>
      <c r="Q705" s="13" t="s">
        <v>5289</v>
      </c>
      <c r="R705" s="13" t="s">
        <v>5292</v>
      </c>
      <c r="S705" s="13" t="s">
        <v>5293</v>
      </c>
      <c r="T705" s="13" t="s">
        <v>3</v>
      </c>
      <c r="U705" s="13" t="s">
        <v>85</v>
      </c>
      <c r="V705" s="13" t="n">
        <f aca="false">IF(COUNTIF($B$2:B705,B705)=1,1,0)</f>
        <v>0</v>
      </c>
      <c r="W705" s="13" t="n">
        <f aca="false">IF(COUNTIFS($B$2:B705,B705,$T$2:T705,T705)=1,1,0)</f>
        <v>0</v>
      </c>
    </row>
    <row r="706" customFormat="false" ht="15" hidden="false" customHeight="false" outlineLevel="0" collapsed="false">
      <c r="A706" s="13" t="s">
        <v>5567</v>
      </c>
      <c r="B706" s="13" t="s">
        <v>2182</v>
      </c>
      <c r="C706" s="13" t="n">
        <v>480</v>
      </c>
      <c r="D706" s="13" t="n">
        <v>2</v>
      </c>
      <c r="E706" s="13" t="n">
        <v>119.155</v>
      </c>
      <c r="F706" s="13" t="s">
        <v>5288</v>
      </c>
      <c r="G706" s="13" t="s">
        <v>5289</v>
      </c>
      <c r="H706" s="13" t="s">
        <v>5292</v>
      </c>
      <c r="I706" s="13" t="s">
        <v>5289</v>
      </c>
      <c r="J706" s="13" t="s">
        <v>5289</v>
      </c>
      <c r="K706" s="13" t="s">
        <v>5289</v>
      </c>
      <c r="L706" s="13" t="s">
        <v>5472</v>
      </c>
      <c r="M706" s="13"/>
      <c r="N706" s="13" t="n">
        <v>7896540792757</v>
      </c>
      <c r="O706" s="13"/>
      <c r="P706" s="13" t="s">
        <v>5291</v>
      </c>
      <c r="Q706" s="13" t="s">
        <v>5289</v>
      </c>
      <c r="R706" s="13" t="s">
        <v>5292</v>
      </c>
      <c r="S706" s="13" t="s">
        <v>5293</v>
      </c>
      <c r="T706" s="13" t="s">
        <v>3</v>
      </c>
      <c r="U706" s="13" t="s">
        <v>57</v>
      </c>
      <c r="V706" s="13" t="n">
        <f aca="false">IF(COUNTIF($B$2:B706,B706)=1,1,0)</f>
        <v>0</v>
      </c>
      <c r="W706" s="13" t="n">
        <f aca="false">IF(COUNTIFS($B$2:B706,B706,$T$2:T706,T706)=1,1,0)</f>
        <v>0</v>
      </c>
    </row>
    <row r="707" customFormat="false" ht="15" hidden="false" customHeight="false" outlineLevel="0" collapsed="false">
      <c r="A707" s="13" t="s">
        <v>426</v>
      </c>
      <c r="B707" s="13" t="s">
        <v>79</v>
      </c>
      <c r="C707" s="13" t="n">
        <v>480</v>
      </c>
      <c r="D707" s="13" t="n">
        <v>1</v>
      </c>
      <c r="E707" s="13" t="n">
        <v>475.29</v>
      </c>
      <c r="F707" s="13" t="s">
        <v>5288</v>
      </c>
      <c r="G707" s="13" t="s">
        <v>5289</v>
      </c>
      <c r="H707" s="13" t="s">
        <v>5289</v>
      </c>
      <c r="I707" s="13" t="s">
        <v>5289</v>
      </c>
      <c r="J707" s="13" t="s">
        <v>5289</v>
      </c>
      <c r="K707" s="13" t="s">
        <v>5289</v>
      </c>
      <c r="L707" s="13" t="s">
        <v>3799</v>
      </c>
      <c r="M707" s="13"/>
      <c r="N707" s="13" t="n">
        <v>8056669925699</v>
      </c>
      <c r="O707" s="13"/>
      <c r="P707" s="13" t="s">
        <v>5291</v>
      </c>
      <c r="Q707" s="13" t="s">
        <v>5289</v>
      </c>
      <c r="R707" s="13" t="s">
        <v>5292</v>
      </c>
      <c r="S707" s="13" t="s">
        <v>5293</v>
      </c>
      <c r="T707" s="13" t="s">
        <v>3</v>
      </c>
      <c r="U707" s="13" t="s">
        <v>43</v>
      </c>
      <c r="V707" s="13" t="n">
        <f aca="false">IF(COUNTIF($B$2:B707,B707)=1,1,0)</f>
        <v>0</v>
      </c>
      <c r="W707" s="13" t="n">
        <f aca="false">IF(COUNTIFS($B$2:B707,B707,$T$2:T707,T707)=1,1,0)</f>
        <v>0</v>
      </c>
    </row>
    <row r="708" customFormat="false" ht="15" hidden="false" customHeight="false" outlineLevel="0" collapsed="false">
      <c r="A708" s="13" t="s">
        <v>1693</v>
      </c>
      <c r="B708" s="13" t="s">
        <v>128</v>
      </c>
      <c r="C708" s="13" t="n">
        <v>470</v>
      </c>
      <c r="D708" s="13" t="n">
        <v>5</v>
      </c>
      <c r="E708" s="13" t="n">
        <v>78.99</v>
      </c>
      <c r="F708" s="13" t="s">
        <v>5288</v>
      </c>
      <c r="G708" s="13" t="s">
        <v>5289</v>
      </c>
      <c r="H708" s="13" t="s">
        <v>5289</v>
      </c>
      <c r="I708" s="13" t="s">
        <v>5292</v>
      </c>
      <c r="J708" s="13" t="s">
        <v>5289</v>
      </c>
      <c r="K708" s="13" t="s">
        <v>5292</v>
      </c>
      <c r="L708" s="13" t="s">
        <v>4597</v>
      </c>
      <c r="M708" s="13"/>
      <c r="N708" s="13" t="n">
        <v>7896451813862</v>
      </c>
      <c r="O708" s="13"/>
      <c r="P708" s="13" t="s">
        <v>5291</v>
      </c>
      <c r="Q708" s="13" t="s">
        <v>5289</v>
      </c>
      <c r="R708" s="13" t="s">
        <v>5292</v>
      </c>
      <c r="S708" s="13" t="s">
        <v>5293</v>
      </c>
      <c r="T708" s="13" t="s">
        <v>3</v>
      </c>
      <c r="U708" s="13" t="s">
        <v>85</v>
      </c>
      <c r="V708" s="13" t="n">
        <f aca="false">IF(COUNTIF($B$2:B708,B708)=1,1,0)</f>
        <v>0</v>
      </c>
      <c r="W708" s="13" t="n">
        <f aca="false">IF(COUNTIFS($B$2:B708,B708,$T$2:T708,T708)=1,1,0)</f>
        <v>0</v>
      </c>
    </row>
    <row r="709" customFormat="false" ht="15" hidden="false" customHeight="false" outlineLevel="0" collapsed="false">
      <c r="A709" s="13" t="s">
        <v>1699</v>
      </c>
      <c r="B709" s="13" t="s">
        <v>365</v>
      </c>
      <c r="C709" s="13" t="n">
        <v>470</v>
      </c>
      <c r="D709" s="13" t="n">
        <v>5</v>
      </c>
      <c r="E709" s="13" t="n">
        <v>78.99</v>
      </c>
      <c r="F709" s="13" t="s">
        <v>5288</v>
      </c>
      <c r="G709" s="13" t="s">
        <v>5289</v>
      </c>
      <c r="H709" s="13" t="s">
        <v>5289</v>
      </c>
      <c r="I709" s="13" t="s">
        <v>5292</v>
      </c>
      <c r="J709" s="13" t="s">
        <v>5289</v>
      </c>
      <c r="K709" s="13" t="s">
        <v>5292</v>
      </c>
      <c r="L709" s="13" t="s">
        <v>4601</v>
      </c>
      <c r="M709" s="13"/>
      <c r="N709" s="13" t="n">
        <v>6290362348801</v>
      </c>
      <c r="O709" s="13"/>
      <c r="P709" s="13" t="s">
        <v>5291</v>
      </c>
      <c r="Q709" s="13" t="s">
        <v>5289</v>
      </c>
      <c r="R709" s="13" t="s">
        <v>5292</v>
      </c>
      <c r="S709" s="13" t="s">
        <v>5293</v>
      </c>
      <c r="T709" s="13" t="s">
        <v>3</v>
      </c>
      <c r="U709" s="13" t="s">
        <v>43</v>
      </c>
      <c r="V709" s="13" t="n">
        <f aca="false">IF(COUNTIF($B$2:B709,B709)=1,1,0)</f>
        <v>0</v>
      </c>
      <c r="W709" s="13" t="n">
        <f aca="false">IF(COUNTIFS($B$2:B709,B709,$T$2:T709,T709)=1,1,0)</f>
        <v>0</v>
      </c>
    </row>
    <row r="710" customFormat="false" ht="15" hidden="false" customHeight="false" outlineLevel="0" collapsed="false">
      <c r="A710" s="13" t="s">
        <v>4591</v>
      </c>
      <c r="B710" s="13" t="s">
        <v>2225</v>
      </c>
      <c r="C710" s="13" t="n">
        <v>470</v>
      </c>
      <c r="D710" s="13" t="n">
        <v>5</v>
      </c>
      <c r="E710" s="13" t="n">
        <v>78.99</v>
      </c>
      <c r="F710" s="13" t="s">
        <v>5288</v>
      </c>
      <c r="G710" s="13" t="s">
        <v>5289</v>
      </c>
      <c r="H710" s="13" t="s">
        <v>5289</v>
      </c>
      <c r="I710" s="13" t="s">
        <v>5292</v>
      </c>
      <c r="J710" s="13" t="s">
        <v>5289</v>
      </c>
      <c r="K710" s="13" t="s">
        <v>5292</v>
      </c>
      <c r="L710" s="13" t="s">
        <v>4590</v>
      </c>
      <c r="M710" s="13"/>
      <c r="N710" s="13" t="n">
        <v>8715658400721</v>
      </c>
      <c r="O710" s="13"/>
      <c r="P710" s="13" t="s">
        <v>5297</v>
      </c>
      <c r="Q710" s="13" t="s">
        <v>5289</v>
      </c>
      <c r="R710" s="13" t="s">
        <v>5292</v>
      </c>
      <c r="S710" s="13" t="s">
        <v>5293</v>
      </c>
      <c r="T710" s="13" t="s">
        <v>3</v>
      </c>
      <c r="U710" s="13" t="s">
        <v>43</v>
      </c>
      <c r="V710" s="13" t="n">
        <f aca="false">IF(COUNTIF($B$2:B710,B710)=1,1,0)</f>
        <v>0</v>
      </c>
      <c r="W710" s="13" t="n">
        <f aca="false">IF(COUNTIFS($B$2:B710,B710,$T$2:T710,T710)=1,1,0)</f>
        <v>0</v>
      </c>
    </row>
    <row r="711" customFormat="false" ht="15" hidden="false" customHeight="false" outlineLevel="0" collapsed="false">
      <c r="A711" s="13" t="s">
        <v>4603</v>
      </c>
      <c r="B711" s="13" t="s">
        <v>2142</v>
      </c>
      <c r="C711" s="13" t="n">
        <v>470</v>
      </c>
      <c r="D711" s="13" t="n">
        <v>10</v>
      </c>
      <c r="E711" s="13" t="n">
        <v>36.3961538461538</v>
      </c>
      <c r="F711" s="13" t="s">
        <v>5288</v>
      </c>
      <c r="G711" s="13" t="s">
        <v>5289</v>
      </c>
      <c r="H711" s="13" t="s">
        <v>5289</v>
      </c>
      <c r="I711" s="13" t="s">
        <v>5292</v>
      </c>
      <c r="J711" s="13" t="s">
        <v>5289</v>
      </c>
      <c r="K711" s="13" t="s">
        <v>5292</v>
      </c>
      <c r="L711" s="13" t="s">
        <v>4602</v>
      </c>
      <c r="M711" s="13"/>
      <c r="N711" s="13" t="n">
        <v>7908038605057</v>
      </c>
      <c r="O711" s="13"/>
      <c r="P711" s="13" t="s">
        <v>5291</v>
      </c>
      <c r="Q711" s="13" t="s">
        <v>5289</v>
      </c>
      <c r="R711" s="13" t="s">
        <v>5292</v>
      </c>
      <c r="S711" s="13" t="s">
        <v>5293</v>
      </c>
      <c r="T711" s="13" t="s">
        <v>3</v>
      </c>
      <c r="U711" s="13" t="s">
        <v>85</v>
      </c>
      <c r="V711" s="13" t="n">
        <f aca="false">IF(COUNTIF($B$2:B711,B711)=1,1,0)</f>
        <v>0</v>
      </c>
      <c r="W711" s="13" t="n">
        <f aca="false">IF(COUNTIFS($B$2:B711,B711,$T$2:T711,T711)=1,1,0)</f>
        <v>0</v>
      </c>
    </row>
    <row r="712" customFormat="false" ht="15" hidden="false" customHeight="false" outlineLevel="0" collapsed="false">
      <c r="A712" s="13" t="s">
        <v>5568</v>
      </c>
      <c r="B712" s="13" t="s">
        <v>2098</v>
      </c>
      <c r="C712" s="13" t="n">
        <v>470</v>
      </c>
      <c r="D712" s="13" t="n">
        <v>5</v>
      </c>
      <c r="E712" s="13" t="n">
        <v>78.1566666666667</v>
      </c>
      <c r="F712" s="13" t="s">
        <v>5288</v>
      </c>
      <c r="G712" s="13" t="s">
        <v>5289</v>
      </c>
      <c r="H712" s="13" t="s">
        <v>5292</v>
      </c>
      <c r="I712" s="13" t="s">
        <v>5292</v>
      </c>
      <c r="J712" s="13" t="s">
        <v>5289</v>
      </c>
      <c r="K712" s="13" t="s">
        <v>5292</v>
      </c>
      <c r="L712" s="13" t="s">
        <v>5313</v>
      </c>
      <c r="M712" s="13"/>
      <c r="N712" s="13" t="n">
        <v>7898301056412</v>
      </c>
      <c r="O712" s="13"/>
      <c r="P712" s="13" t="s">
        <v>5291</v>
      </c>
      <c r="Q712" s="13" t="s">
        <v>5289</v>
      </c>
      <c r="R712" s="13" t="s">
        <v>5292</v>
      </c>
      <c r="S712" s="13" t="s">
        <v>5293</v>
      </c>
      <c r="T712" s="13" t="s">
        <v>3</v>
      </c>
      <c r="U712" s="13" t="s">
        <v>57</v>
      </c>
      <c r="V712" s="13" t="n">
        <f aca="false">IF(COUNTIF($B$2:B712,B712)=1,1,0)</f>
        <v>0</v>
      </c>
      <c r="W712" s="13" t="n">
        <f aca="false">IF(COUNTIFS($B$2:B712,B712,$T$2:T712,T712)=1,1,0)</f>
        <v>0</v>
      </c>
    </row>
    <row r="713" customFormat="false" ht="15" hidden="false" customHeight="false" outlineLevel="0" collapsed="false">
      <c r="A713" s="13" t="s">
        <v>1705</v>
      </c>
      <c r="B713" s="13" t="s">
        <v>143</v>
      </c>
      <c r="C713" s="13" t="n">
        <v>460</v>
      </c>
      <c r="D713" s="13" t="n">
        <v>1</v>
      </c>
      <c r="E713" s="13" t="n">
        <v>456.21</v>
      </c>
      <c r="F713" s="13" t="s">
        <v>5288</v>
      </c>
      <c r="G713" s="13" t="s">
        <v>5289</v>
      </c>
      <c r="H713" s="13" t="s">
        <v>5289</v>
      </c>
      <c r="I713" s="13" t="s">
        <v>5289</v>
      </c>
      <c r="J713" s="13" t="s">
        <v>5289</v>
      </c>
      <c r="K713" s="13" t="s">
        <v>5289</v>
      </c>
      <c r="L713" s="13" t="s">
        <v>4612</v>
      </c>
      <c r="M713" s="13"/>
      <c r="N713" s="13" t="n">
        <v>711719574316</v>
      </c>
      <c r="O713" s="13"/>
      <c r="P713" s="13" t="s">
        <v>5297</v>
      </c>
      <c r="Q713" s="13" t="s">
        <v>5289</v>
      </c>
      <c r="R713" s="13" t="s">
        <v>5292</v>
      </c>
      <c r="S713" s="13" t="s">
        <v>5293</v>
      </c>
      <c r="T713" s="13" t="s">
        <v>3</v>
      </c>
      <c r="U713" s="13" t="s">
        <v>144</v>
      </c>
      <c r="V713" s="13" t="n">
        <f aca="false">IF(COUNTIF($B$2:B713,B713)=1,1,0)</f>
        <v>0</v>
      </c>
      <c r="W713" s="13" t="n">
        <f aca="false">IF(COUNTIFS($B$2:B713,B713,$T$2:T713,T713)=1,1,0)</f>
        <v>0</v>
      </c>
    </row>
    <row r="714" customFormat="false" ht="15" hidden="false" customHeight="false" outlineLevel="0" collapsed="false">
      <c r="A714" s="13" t="s">
        <v>4624</v>
      </c>
      <c r="B714" s="13" t="s">
        <v>2108</v>
      </c>
      <c r="C714" s="13" t="n">
        <v>450</v>
      </c>
      <c r="D714" s="13" t="n">
        <v>5</v>
      </c>
      <c r="E714" s="13" t="n">
        <v>64.99</v>
      </c>
      <c r="F714" s="13" t="s">
        <v>5288</v>
      </c>
      <c r="G714" s="13" t="s">
        <v>5289</v>
      </c>
      <c r="H714" s="13" t="s">
        <v>5289</v>
      </c>
      <c r="I714" s="13" t="s">
        <v>5292</v>
      </c>
      <c r="J714" s="13" t="s">
        <v>5289</v>
      </c>
      <c r="K714" s="13" t="s">
        <v>5292</v>
      </c>
      <c r="L714" s="13" t="s">
        <v>4623</v>
      </c>
      <c r="M714" s="13"/>
      <c r="N714" s="13" t="n">
        <v>7891117107606</v>
      </c>
      <c r="O714" s="13"/>
      <c r="P714" s="13" t="s">
        <v>5291</v>
      </c>
      <c r="Q714" s="13" t="s">
        <v>5289</v>
      </c>
      <c r="R714" s="13" t="s">
        <v>5292</v>
      </c>
      <c r="S714" s="13" t="s">
        <v>5293</v>
      </c>
      <c r="T714" s="13" t="s">
        <v>3</v>
      </c>
      <c r="U714" s="13" t="s">
        <v>85</v>
      </c>
      <c r="V714" s="13" t="n">
        <f aca="false">IF(COUNTIF($B$2:B714,B714)=1,1,0)</f>
        <v>0</v>
      </c>
      <c r="W714" s="13" t="n">
        <f aca="false">IF(COUNTIFS($B$2:B714,B714,$T$2:T714,T714)=1,1,0)</f>
        <v>0</v>
      </c>
    </row>
    <row r="715" customFormat="false" ht="15" hidden="false" customHeight="false" outlineLevel="0" collapsed="false">
      <c r="A715" s="13" t="s">
        <v>4628</v>
      </c>
      <c r="B715" s="13" t="s">
        <v>2136</v>
      </c>
      <c r="C715" s="13" t="n">
        <v>450</v>
      </c>
      <c r="D715" s="13" t="n">
        <v>5</v>
      </c>
      <c r="E715" s="13" t="n">
        <v>45.172</v>
      </c>
      <c r="F715" s="13" t="s">
        <v>5288</v>
      </c>
      <c r="G715" s="13" t="s">
        <v>5289</v>
      </c>
      <c r="H715" s="13" t="s">
        <v>5289</v>
      </c>
      <c r="I715" s="13" t="s">
        <v>5292</v>
      </c>
      <c r="J715" s="13" t="s">
        <v>5289</v>
      </c>
      <c r="K715" s="13" t="s">
        <v>5289</v>
      </c>
      <c r="L715" s="13" t="s">
        <v>4627</v>
      </c>
      <c r="M715" s="13"/>
      <c r="N715" s="13" t="n">
        <v>7898390942443</v>
      </c>
      <c r="O715" s="13"/>
      <c r="P715" s="13" t="s">
        <v>5291</v>
      </c>
      <c r="Q715" s="13" t="s">
        <v>5289</v>
      </c>
      <c r="R715" s="13" t="s">
        <v>5292</v>
      </c>
      <c r="S715" s="13" t="s">
        <v>5293</v>
      </c>
      <c r="T715" s="13" t="s">
        <v>3</v>
      </c>
      <c r="U715" s="13" t="s">
        <v>85</v>
      </c>
      <c r="V715" s="13" t="n">
        <f aca="false">IF(COUNTIF($B$2:B715,B715)=1,1,0)</f>
        <v>0</v>
      </c>
      <c r="W715" s="13" t="n">
        <f aca="false">IF(COUNTIFS($B$2:B715,B715,$T$2:T715,T715)=1,1,0)</f>
        <v>0</v>
      </c>
    </row>
    <row r="716" customFormat="false" ht="15" hidden="false" customHeight="false" outlineLevel="0" collapsed="false">
      <c r="A716" s="13" t="s">
        <v>4630</v>
      </c>
      <c r="B716" s="13" t="s">
        <v>2101</v>
      </c>
      <c r="C716" s="13" t="n">
        <v>450</v>
      </c>
      <c r="D716" s="13" t="n">
        <v>1</v>
      </c>
      <c r="E716" s="13" t="n">
        <v>449.99</v>
      </c>
      <c r="F716" s="13" t="s">
        <v>5288</v>
      </c>
      <c r="G716" s="13" t="s">
        <v>5289</v>
      </c>
      <c r="H716" s="13" t="s">
        <v>5289</v>
      </c>
      <c r="I716" s="13" t="s">
        <v>5289</v>
      </c>
      <c r="J716" s="13" t="s">
        <v>5289</v>
      </c>
      <c r="K716" s="13" t="s">
        <v>5292</v>
      </c>
      <c r="L716" s="13" t="s">
        <v>4629</v>
      </c>
      <c r="M716" s="13"/>
      <c r="N716" s="13" t="n">
        <v>7897013514166</v>
      </c>
      <c r="O716" s="13"/>
      <c r="P716" s="13" t="s">
        <v>5291</v>
      </c>
      <c r="Q716" s="13" t="s">
        <v>5289</v>
      </c>
      <c r="R716" s="13" t="s">
        <v>5292</v>
      </c>
      <c r="S716" s="13" t="s">
        <v>5293</v>
      </c>
      <c r="T716" s="13" t="s">
        <v>3</v>
      </c>
      <c r="U716" s="13" t="s">
        <v>144</v>
      </c>
      <c r="V716" s="13" t="n">
        <f aca="false">IF(COUNTIF($B$2:B716,B716)=1,1,0)</f>
        <v>0</v>
      </c>
      <c r="W716" s="13" t="n">
        <f aca="false">IF(COUNTIFS($B$2:B716,B716,$T$2:T716,T716)=1,1,0)</f>
        <v>0</v>
      </c>
    </row>
    <row r="717" customFormat="false" ht="15" hidden="false" customHeight="false" outlineLevel="0" collapsed="false">
      <c r="A717" s="13" t="s">
        <v>4632</v>
      </c>
      <c r="B717" s="13" t="s">
        <v>2230</v>
      </c>
      <c r="C717" s="13" t="n">
        <v>450</v>
      </c>
      <c r="D717" s="13" t="n">
        <v>5</v>
      </c>
      <c r="E717" s="13" t="n">
        <v>74.74</v>
      </c>
      <c r="F717" s="13" t="s">
        <v>5288</v>
      </c>
      <c r="G717" s="13" t="s">
        <v>5289</v>
      </c>
      <c r="H717" s="13" t="s">
        <v>5289</v>
      </c>
      <c r="I717" s="13" t="s">
        <v>5292</v>
      </c>
      <c r="J717" s="13" t="s">
        <v>5289</v>
      </c>
      <c r="K717" s="13" t="s">
        <v>5292</v>
      </c>
      <c r="L717" s="13" t="s">
        <v>5569</v>
      </c>
      <c r="M717" s="13"/>
      <c r="N717" s="13" t="n">
        <v>8715658400363</v>
      </c>
      <c r="O717" s="13"/>
      <c r="P717" s="13" t="s">
        <v>5291</v>
      </c>
      <c r="Q717" s="13" t="s">
        <v>5289</v>
      </c>
      <c r="R717" s="13" t="s">
        <v>5292</v>
      </c>
      <c r="S717" s="13" t="s">
        <v>5293</v>
      </c>
      <c r="T717" s="13" t="s">
        <v>3</v>
      </c>
      <c r="U717" s="13" t="s">
        <v>43</v>
      </c>
      <c r="V717" s="13" t="n">
        <f aca="false">IF(COUNTIF($B$2:B717,B717)=1,1,0)</f>
        <v>0</v>
      </c>
      <c r="W717" s="13" t="n">
        <f aca="false">IF(COUNTIFS($B$2:B717,B717,$T$2:T717,T717)=1,1,0)</f>
        <v>0</v>
      </c>
    </row>
    <row r="718" customFormat="false" ht="15" hidden="false" customHeight="false" outlineLevel="0" collapsed="false">
      <c r="A718" s="13" t="s">
        <v>632</v>
      </c>
      <c r="B718" s="13" t="s">
        <v>179</v>
      </c>
      <c r="C718" s="13" t="n">
        <v>450</v>
      </c>
      <c r="D718" s="13" t="n">
        <v>2</v>
      </c>
      <c r="E718" s="13" t="n">
        <v>149</v>
      </c>
      <c r="F718" s="13" t="s">
        <v>5325</v>
      </c>
      <c r="G718" s="13" t="s">
        <v>5289</v>
      </c>
      <c r="H718" s="13" t="s">
        <v>5289</v>
      </c>
      <c r="I718" s="13" t="s">
        <v>5289</v>
      </c>
      <c r="J718" s="13" t="s">
        <v>5289</v>
      </c>
      <c r="K718" s="13" t="s">
        <v>5292</v>
      </c>
      <c r="L718" s="13" t="s">
        <v>5570</v>
      </c>
      <c r="M718" s="13"/>
      <c r="N718" s="13"/>
      <c r="O718" s="13"/>
      <c r="P718" s="13" t="s">
        <v>5291</v>
      </c>
      <c r="Q718" s="13" t="s">
        <v>5289</v>
      </c>
      <c r="R718" s="13" t="s">
        <v>5292</v>
      </c>
      <c r="S718" s="13" t="s">
        <v>5293</v>
      </c>
      <c r="T718" s="13" t="s">
        <v>3</v>
      </c>
      <c r="U718" s="13" t="s">
        <v>180</v>
      </c>
      <c r="V718" s="13" t="n">
        <f aca="false">IF(COUNTIF($B$2:B718,B718)=1,1,0)</f>
        <v>0</v>
      </c>
      <c r="W718" s="13" t="n">
        <f aca="false">IF(COUNTIFS($B$2:B718,B718,$T$2:T718,T718)=1,1,0)</f>
        <v>0</v>
      </c>
    </row>
    <row r="719" customFormat="false" ht="15" hidden="false" customHeight="false" outlineLevel="0" collapsed="false">
      <c r="A719" s="13" t="s">
        <v>1720</v>
      </c>
      <c r="B719" s="13" t="s">
        <v>114</v>
      </c>
      <c r="C719" s="13" t="n">
        <v>450</v>
      </c>
      <c r="D719" s="13" t="n">
        <v>5</v>
      </c>
      <c r="E719" s="13" t="n">
        <v>74.4</v>
      </c>
      <c r="F719" s="13" t="s">
        <v>5325</v>
      </c>
      <c r="G719" s="13" t="s">
        <v>5289</v>
      </c>
      <c r="H719" s="13" t="s">
        <v>5289</v>
      </c>
      <c r="I719" s="13" t="s">
        <v>5292</v>
      </c>
      <c r="J719" s="13" t="s">
        <v>5289</v>
      </c>
      <c r="K719" s="13" t="s">
        <v>5292</v>
      </c>
      <c r="L719" s="13" t="s">
        <v>4618</v>
      </c>
      <c r="M719" s="13" t="s">
        <v>114</v>
      </c>
      <c r="N719" s="13" t="n">
        <v>4975759020660</v>
      </c>
      <c r="O719" s="13"/>
      <c r="P719" s="13" t="s">
        <v>5291</v>
      </c>
      <c r="Q719" s="13" t="s">
        <v>5289</v>
      </c>
      <c r="R719" s="13" t="s">
        <v>5292</v>
      </c>
      <c r="S719" s="13" t="s">
        <v>5293</v>
      </c>
      <c r="T719" s="13" t="s">
        <v>3</v>
      </c>
      <c r="U719" s="13" t="s">
        <v>85</v>
      </c>
      <c r="V719" s="13" t="n">
        <f aca="false">IF(COUNTIF($B$2:B719,B719)=1,1,0)</f>
        <v>0</v>
      </c>
      <c r="W719" s="13" t="n">
        <f aca="false">IF(COUNTIFS($B$2:B719,B719,$T$2:T719,T719)=1,1,0)</f>
        <v>0</v>
      </c>
    </row>
    <row r="720" customFormat="false" ht="15" hidden="false" customHeight="false" outlineLevel="0" collapsed="false">
      <c r="A720" s="13" t="s">
        <v>3576</v>
      </c>
      <c r="B720" s="13" t="s">
        <v>2114</v>
      </c>
      <c r="C720" s="13" t="n">
        <v>450</v>
      </c>
      <c r="D720" s="13" t="n">
        <v>10</v>
      </c>
      <c r="E720" s="13" t="n">
        <v>40.4618181818182</v>
      </c>
      <c r="F720" s="13" t="s">
        <v>5288</v>
      </c>
      <c r="G720" s="13" t="s">
        <v>5289</v>
      </c>
      <c r="H720" s="13" t="s">
        <v>5289</v>
      </c>
      <c r="I720" s="13" t="s">
        <v>5292</v>
      </c>
      <c r="J720" s="13" t="s">
        <v>5289</v>
      </c>
      <c r="K720" s="13" t="s">
        <v>5292</v>
      </c>
      <c r="L720" s="13" t="s">
        <v>5493</v>
      </c>
      <c r="M720" s="13"/>
      <c r="N720" s="13" t="n">
        <v>7898047200469</v>
      </c>
      <c r="O720" s="13"/>
      <c r="P720" s="13" t="s">
        <v>5291</v>
      </c>
      <c r="Q720" s="13" t="s">
        <v>5289</v>
      </c>
      <c r="R720" s="13" t="s">
        <v>5292</v>
      </c>
      <c r="S720" s="13" t="s">
        <v>5293</v>
      </c>
      <c r="T720" s="13" t="s">
        <v>3</v>
      </c>
      <c r="U720" s="13" t="s">
        <v>140</v>
      </c>
      <c r="V720" s="13" t="n">
        <f aca="false">IF(COUNTIF($B$2:B720,B720)=1,1,0)</f>
        <v>0</v>
      </c>
      <c r="W720" s="13" t="n">
        <f aca="false">IF(COUNTIFS($B$2:B720,B720,$T$2:T720,T720)=1,1,0)</f>
        <v>0</v>
      </c>
    </row>
    <row r="721" customFormat="false" ht="15" hidden="false" customHeight="false" outlineLevel="0" collapsed="false">
      <c r="A721" s="13" t="s">
        <v>1705</v>
      </c>
      <c r="B721" s="13" t="s">
        <v>143</v>
      </c>
      <c r="C721" s="13" t="n">
        <v>440</v>
      </c>
      <c r="D721" s="13" t="n">
        <v>1</v>
      </c>
      <c r="E721" s="13" t="n">
        <v>441.52</v>
      </c>
      <c r="F721" s="13" t="s">
        <v>5288</v>
      </c>
      <c r="G721" s="13" t="s">
        <v>5289</v>
      </c>
      <c r="H721" s="13" t="s">
        <v>5289</v>
      </c>
      <c r="I721" s="13" t="s">
        <v>5289</v>
      </c>
      <c r="J721" s="13" t="s">
        <v>5289</v>
      </c>
      <c r="K721" s="13" t="s">
        <v>5289</v>
      </c>
      <c r="L721" s="13" t="s">
        <v>4643</v>
      </c>
      <c r="M721" s="13"/>
      <c r="N721" s="13" t="n">
        <v>711719572671</v>
      </c>
      <c r="O721" s="13"/>
      <c r="P721" s="13" t="s">
        <v>5297</v>
      </c>
      <c r="Q721" s="13" t="s">
        <v>5289</v>
      </c>
      <c r="R721" s="13" t="s">
        <v>5292</v>
      </c>
      <c r="S721" s="13" t="s">
        <v>5293</v>
      </c>
      <c r="T721" s="13" t="s">
        <v>3</v>
      </c>
      <c r="U721" s="13" t="s">
        <v>144</v>
      </c>
      <c r="V721" s="13" t="n">
        <f aca="false">IF(COUNTIF($B$2:B721,B721)=1,1,0)</f>
        <v>0</v>
      </c>
      <c r="W721" s="13" t="n">
        <f aca="false">IF(COUNTIFS($B$2:B721,B721,$T$2:T721,T721)=1,1,0)</f>
        <v>0</v>
      </c>
    </row>
    <row r="722" customFormat="false" ht="15" hidden="false" customHeight="false" outlineLevel="0" collapsed="false">
      <c r="A722" s="13" t="s">
        <v>4640</v>
      </c>
      <c r="B722" s="13" t="s">
        <v>2146</v>
      </c>
      <c r="C722" s="13" t="n">
        <v>440</v>
      </c>
      <c r="D722" s="13" t="n">
        <v>10</v>
      </c>
      <c r="E722" s="13" t="n">
        <v>31.39</v>
      </c>
      <c r="F722" s="13" t="s">
        <v>5288</v>
      </c>
      <c r="G722" s="13" t="s">
        <v>5289</v>
      </c>
      <c r="H722" s="13" t="s">
        <v>5289</v>
      </c>
      <c r="I722" s="13" t="s">
        <v>5292</v>
      </c>
      <c r="J722" s="13" t="s">
        <v>5289</v>
      </c>
      <c r="K722" s="13" t="s">
        <v>5292</v>
      </c>
      <c r="L722" s="13" t="s">
        <v>4639</v>
      </c>
      <c r="M722" s="13"/>
      <c r="N722" s="13" t="n">
        <v>7896010175950</v>
      </c>
      <c r="O722" s="13"/>
      <c r="P722" s="13" t="s">
        <v>5291</v>
      </c>
      <c r="Q722" s="13" t="s">
        <v>5289</v>
      </c>
      <c r="R722" s="13" t="s">
        <v>5292</v>
      </c>
      <c r="S722" s="13" t="s">
        <v>5293</v>
      </c>
      <c r="T722" s="13" t="s">
        <v>3</v>
      </c>
      <c r="U722" s="13" t="s">
        <v>85</v>
      </c>
      <c r="V722" s="13" t="n">
        <f aca="false">IF(COUNTIF($B$2:B722,B722)=1,1,0)</f>
        <v>0</v>
      </c>
      <c r="W722" s="13" t="n">
        <f aca="false">IF(COUNTIFS($B$2:B722,B722,$T$2:T722,T722)=1,1,0)</f>
        <v>0</v>
      </c>
    </row>
    <row r="723" customFormat="false" ht="15" hidden="false" customHeight="false" outlineLevel="0" collapsed="false">
      <c r="A723" s="13" t="s">
        <v>4203</v>
      </c>
      <c r="B723" s="13" t="s">
        <v>2108</v>
      </c>
      <c r="C723" s="13" t="n">
        <v>440</v>
      </c>
      <c r="D723" s="13" t="n">
        <v>20</v>
      </c>
      <c r="E723" s="13" t="n">
        <v>29</v>
      </c>
      <c r="F723" s="13" t="s">
        <v>5288</v>
      </c>
      <c r="G723" s="13" t="s">
        <v>5289</v>
      </c>
      <c r="H723" s="13" t="s">
        <v>5289</v>
      </c>
      <c r="I723" s="13" t="s">
        <v>5292</v>
      </c>
      <c r="J723" s="13" t="s">
        <v>5289</v>
      </c>
      <c r="K723" s="13" t="s">
        <v>5292</v>
      </c>
      <c r="L723" s="13" t="s">
        <v>4202</v>
      </c>
      <c r="M723" s="13"/>
      <c r="N723" s="13" t="n">
        <v>7891117102045</v>
      </c>
      <c r="O723" s="13"/>
      <c r="P723" s="13" t="s">
        <v>5291</v>
      </c>
      <c r="Q723" s="13" t="s">
        <v>5289</v>
      </c>
      <c r="R723" s="13" t="s">
        <v>5292</v>
      </c>
      <c r="S723" s="13" t="s">
        <v>5293</v>
      </c>
      <c r="T723" s="13" t="s">
        <v>3</v>
      </c>
      <c r="U723" s="13" t="s">
        <v>85</v>
      </c>
      <c r="V723" s="13" t="n">
        <f aca="false">IF(COUNTIF($B$2:B723,B723)=1,1,0)</f>
        <v>0</v>
      </c>
      <c r="W723" s="13" t="n">
        <f aca="false">IF(COUNTIFS($B$2:B723,B723,$T$2:T723,T723)=1,1,0)</f>
        <v>0</v>
      </c>
    </row>
    <row r="724" customFormat="false" ht="15" hidden="false" customHeight="false" outlineLevel="0" collapsed="false">
      <c r="A724" s="13" t="s">
        <v>4651</v>
      </c>
      <c r="B724" s="13" t="s">
        <v>2099</v>
      </c>
      <c r="C724" s="13" t="n">
        <v>430</v>
      </c>
      <c r="D724" s="13" t="n">
        <v>20</v>
      </c>
      <c r="E724" s="13" t="n">
        <v>28.99</v>
      </c>
      <c r="F724" s="13" t="s">
        <v>5288</v>
      </c>
      <c r="G724" s="13" t="s">
        <v>5289</v>
      </c>
      <c r="H724" s="13" t="s">
        <v>5289</v>
      </c>
      <c r="I724" s="13" t="s">
        <v>5292</v>
      </c>
      <c r="J724" s="13" t="s">
        <v>5289</v>
      </c>
      <c r="K724" s="13" t="s">
        <v>5292</v>
      </c>
      <c r="L724" s="13" t="s">
        <v>4650</v>
      </c>
      <c r="M724" s="13"/>
      <c r="N724" s="13" t="n">
        <v>7899952325605</v>
      </c>
      <c r="O724" s="13"/>
      <c r="P724" s="13" t="s">
        <v>5291</v>
      </c>
      <c r="Q724" s="13" t="s">
        <v>5289</v>
      </c>
      <c r="R724" s="13" t="s">
        <v>5292</v>
      </c>
      <c r="S724" s="13" t="s">
        <v>5293</v>
      </c>
      <c r="T724" s="13" t="s">
        <v>3</v>
      </c>
      <c r="U724" s="13" t="s">
        <v>43</v>
      </c>
      <c r="V724" s="13" t="n">
        <f aca="false">IF(COUNTIF($B$2:B724,B724)=1,1,0)</f>
        <v>0</v>
      </c>
      <c r="W724" s="13" t="n">
        <f aca="false">IF(COUNTIFS($B$2:B724,B724,$T$2:T724,T724)=1,1,0)</f>
        <v>0</v>
      </c>
    </row>
    <row r="725" customFormat="false" ht="15" hidden="false" customHeight="false" outlineLevel="0" collapsed="false">
      <c r="A725" s="13" t="s">
        <v>5571</v>
      </c>
      <c r="B725" s="13" t="s">
        <v>2169</v>
      </c>
      <c r="C725" s="13" t="n">
        <v>430</v>
      </c>
      <c r="D725" s="13" t="n">
        <v>5</v>
      </c>
      <c r="E725" s="13" t="n">
        <v>43.298</v>
      </c>
      <c r="F725" s="13" t="s">
        <v>5288</v>
      </c>
      <c r="G725" s="13" t="s">
        <v>5289</v>
      </c>
      <c r="H725" s="13" t="s">
        <v>5289</v>
      </c>
      <c r="I725" s="13" t="s">
        <v>5292</v>
      </c>
      <c r="J725" s="13" t="s">
        <v>5289</v>
      </c>
      <c r="K725" s="13" t="s">
        <v>5292</v>
      </c>
      <c r="L725" s="13" t="s">
        <v>5572</v>
      </c>
      <c r="M725" s="13"/>
      <c r="N725" s="13"/>
      <c r="O725" s="13"/>
      <c r="P725" s="13" t="s">
        <v>5297</v>
      </c>
      <c r="Q725" s="13" t="s">
        <v>5289</v>
      </c>
      <c r="R725" s="13" t="s">
        <v>5292</v>
      </c>
      <c r="S725" s="13" t="s">
        <v>5293</v>
      </c>
      <c r="T725" s="13" t="s">
        <v>3</v>
      </c>
      <c r="U725" s="13" t="s">
        <v>85</v>
      </c>
      <c r="V725" s="13" t="n">
        <f aca="false">IF(COUNTIF($B$2:B725,B725)=1,1,0)</f>
        <v>0</v>
      </c>
      <c r="W725" s="13" t="n">
        <f aca="false">IF(COUNTIFS($B$2:B725,B725,$T$2:T725,T725)=1,1,0)</f>
        <v>0</v>
      </c>
    </row>
    <row r="726" customFormat="false" ht="15" hidden="false" customHeight="false" outlineLevel="0" collapsed="false">
      <c r="A726" s="13" t="s">
        <v>1739</v>
      </c>
      <c r="B726" s="13" t="s">
        <v>302</v>
      </c>
      <c r="C726" s="13" t="n">
        <v>430</v>
      </c>
      <c r="D726" s="13" t="n">
        <v>1</v>
      </c>
      <c r="E726" s="13" t="n">
        <v>429.99</v>
      </c>
      <c r="F726" s="13" t="s">
        <v>5288</v>
      </c>
      <c r="G726" s="13" t="s">
        <v>5289</v>
      </c>
      <c r="H726" s="13" t="s">
        <v>5289</v>
      </c>
      <c r="I726" s="13" t="s">
        <v>5289</v>
      </c>
      <c r="J726" s="13" t="s">
        <v>5289</v>
      </c>
      <c r="K726" s="13" t="s">
        <v>5292</v>
      </c>
      <c r="L726" s="13" t="s">
        <v>5573</v>
      </c>
      <c r="M726" s="13"/>
      <c r="N726" s="13" t="n">
        <v>3274872395503</v>
      </c>
      <c r="O726" s="13"/>
      <c r="P726" s="13" t="s">
        <v>5291</v>
      </c>
      <c r="Q726" s="13" t="s">
        <v>5289</v>
      </c>
      <c r="R726" s="13" t="s">
        <v>5292</v>
      </c>
      <c r="S726" s="13" t="s">
        <v>5293</v>
      </c>
      <c r="T726" s="13" t="s">
        <v>3</v>
      </c>
      <c r="U726" s="13" t="s">
        <v>43</v>
      </c>
      <c r="V726" s="13" t="n">
        <f aca="false">IF(COUNTIF($B$2:B726,B726)=1,1,0)</f>
        <v>0</v>
      </c>
      <c r="W726" s="13" t="n">
        <f aca="false">IF(COUNTIFS($B$2:B726,B726,$T$2:T726,T726)=1,1,0)</f>
        <v>0</v>
      </c>
    </row>
    <row r="727" customFormat="false" ht="15" hidden="false" customHeight="false" outlineLevel="0" collapsed="false">
      <c r="A727" s="13" t="s">
        <v>5316</v>
      </c>
      <c r="B727" s="13" t="s">
        <v>2097</v>
      </c>
      <c r="C727" s="13" t="n">
        <v>430</v>
      </c>
      <c r="D727" s="13" t="n">
        <v>2</v>
      </c>
      <c r="E727" s="13" t="n">
        <v>107.49</v>
      </c>
      <c r="F727" s="13" t="s">
        <v>5288</v>
      </c>
      <c r="G727" s="13" t="s">
        <v>5289</v>
      </c>
      <c r="H727" s="13" t="s">
        <v>5292</v>
      </c>
      <c r="I727" s="13" t="s">
        <v>5289</v>
      </c>
      <c r="J727" s="13" t="s">
        <v>5289</v>
      </c>
      <c r="K727" s="13" t="s">
        <v>5292</v>
      </c>
      <c r="L727" s="13" t="s">
        <v>2469</v>
      </c>
      <c r="M727" s="13"/>
      <c r="N727" s="13" t="n">
        <v>7908407008557</v>
      </c>
      <c r="O727" s="13"/>
      <c r="P727" s="13" t="s">
        <v>5291</v>
      </c>
      <c r="Q727" s="13" t="s">
        <v>5289</v>
      </c>
      <c r="R727" s="13" t="s">
        <v>5292</v>
      </c>
      <c r="S727" s="13" t="s">
        <v>5293</v>
      </c>
      <c r="T727" s="13" t="s">
        <v>3</v>
      </c>
      <c r="U727" s="13" t="s">
        <v>140</v>
      </c>
      <c r="V727" s="13" t="n">
        <f aca="false">IF(COUNTIF($B$2:B727,B727)=1,1,0)</f>
        <v>0</v>
      </c>
      <c r="W727" s="13" t="n">
        <f aca="false">IF(COUNTIFS($B$2:B727,B727,$T$2:T727,T727)=1,1,0)</f>
        <v>0</v>
      </c>
    </row>
    <row r="728" customFormat="false" ht="15" hidden="false" customHeight="false" outlineLevel="0" collapsed="false">
      <c r="A728" s="13" t="s">
        <v>516</v>
      </c>
      <c r="B728" s="13" t="s">
        <v>182</v>
      </c>
      <c r="C728" s="13" t="n">
        <v>420</v>
      </c>
      <c r="D728" s="13" t="n">
        <v>2</v>
      </c>
      <c r="E728" s="13" t="n">
        <v>140.763333333333</v>
      </c>
      <c r="F728" s="13" t="s">
        <v>5288</v>
      </c>
      <c r="G728" s="13" t="s">
        <v>5289</v>
      </c>
      <c r="H728" s="13" t="s">
        <v>5292</v>
      </c>
      <c r="I728" s="13" t="s">
        <v>5289</v>
      </c>
      <c r="J728" s="13" t="s">
        <v>5289</v>
      </c>
      <c r="K728" s="13" t="s">
        <v>5292</v>
      </c>
      <c r="L728" s="13" t="s">
        <v>5420</v>
      </c>
      <c r="M728" s="13"/>
      <c r="N728" s="13" t="n">
        <v>7618900908086</v>
      </c>
      <c r="O728" s="13"/>
      <c r="P728" s="13" t="s">
        <v>5291</v>
      </c>
      <c r="Q728" s="13" t="s">
        <v>5289</v>
      </c>
      <c r="R728" s="13" t="s">
        <v>5292</v>
      </c>
      <c r="S728" s="13" t="s">
        <v>5293</v>
      </c>
      <c r="T728" s="13" t="s">
        <v>3</v>
      </c>
      <c r="U728" s="13" t="s">
        <v>85</v>
      </c>
      <c r="V728" s="13" t="n">
        <f aca="false">IF(COUNTIF($B$2:B728,B728)=1,1,0)</f>
        <v>0</v>
      </c>
      <c r="W728" s="13" t="n">
        <f aca="false">IF(COUNTIFS($B$2:B728,B728,$T$2:T728,T728)=1,1,0)</f>
        <v>0</v>
      </c>
    </row>
    <row r="729" customFormat="false" ht="15" hidden="false" customHeight="false" outlineLevel="0" collapsed="false">
      <c r="A729" s="13" t="s">
        <v>5574</v>
      </c>
      <c r="B729" s="13" t="s">
        <v>2100</v>
      </c>
      <c r="C729" s="13" t="n">
        <v>420</v>
      </c>
      <c r="D729" s="13" t="n">
        <v>5</v>
      </c>
      <c r="E729" s="13" t="n">
        <v>83.3</v>
      </c>
      <c r="F729" s="13" t="s">
        <v>5288</v>
      </c>
      <c r="G729" s="13" t="s">
        <v>5289</v>
      </c>
      <c r="H729" s="13" t="s">
        <v>5289</v>
      </c>
      <c r="I729" s="13" t="s">
        <v>5292</v>
      </c>
      <c r="J729" s="13" t="s">
        <v>5289</v>
      </c>
      <c r="K729" s="13" t="s">
        <v>5292</v>
      </c>
      <c r="L729" s="13" t="s">
        <v>5575</v>
      </c>
      <c r="M729" s="13"/>
      <c r="N729" s="13"/>
      <c r="O729" s="13"/>
      <c r="P729" s="13" t="s">
        <v>5291</v>
      </c>
      <c r="Q729" s="13" t="s">
        <v>5289</v>
      </c>
      <c r="R729" s="13" t="s">
        <v>5292</v>
      </c>
      <c r="S729" s="13" t="s">
        <v>5293</v>
      </c>
      <c r="T729" s="13" t="s">
        <v>3</v>
      </c>
      <c r="U729" s="13" t="s">
        <v>43</v>
      </c>
      <c r="V729" s="13" t="n">
        <f aca="false">IF(COUNTIF($B$2:B729,B729)=1,1,0)</f>
        <v>0</v>
      </c>
      <c r="W729" s="13" t="n">
        <f aca="false">IF(COUNTIFS($B$2:B729,B729,$T$2:T729,T729)=1,1,0)</f>
        <v>0</v>
      </c>
    </row>
    <row r="730" customFormat="false" ht="15" hidden="false" customHeight="false" outlineLevel="0" collapsed="false">
      <c r="A730" s="13" t="s">
        <v>4690</v>
      </c>
      <c r="B730" s="13" t="s">
        <v>2190</v>
      </c>
      <c r="C730" s="13" t="n">
        <v>400</v>
      </c>
      <c r="D730" s="13" t="n">
        <v>5</v>
      </c>
      <c r="E730" s="13" t="n">
        <v>67.03</v>
      </c>
      <c r="F730" s="13" t="s">
        <v>5288</v>
      </c>
      <c r="G730" s="13" t="s">
        <v>5289</v>
      </c>
      <c r="H730" s="13" t="s">
        <v>5289</v>
      </c>
      <c r="I730" s="13" t="s">
        <v>5292</v>
      </c>
      <c r="J730" s="13" t="s">
        <v>5289</v>
      </c>
      <c r="K730" s="13" t="s">
        <v>5292</v>
      </c>
      <c r="L730" s="13" t="s">
        <v>4689</v>
      </c>
      <c r="M730" s="13"/>
      <c r="N730" s="13" t="n">
        <v>5055810015152</v>
      </c>
      <c r="O730" s="13"/>
      <c r="P730" s="13" t="s">
        <v>5291</v>
      </c>
      <c r="Q730" s="13" t="s">
        <v>5289</v>
      </c>
      <c r="R730" s="13" t="s">
        <v>5292</v>
      </c>
      <c r="S730" s="13" t="s">
        <v>5293</v>
      </c>
      <c r="T730" s="13" t="s">
        <v>3</v>
      </c>
      <c r="U730" s="13" t="s">
        <v>43</v>
      </c>
      <c r="V730" s="13" t="n">
        <f aca="false">IF(COUNTIF($B$2:B730,B730)=1,1,0)</f>
        <v>0</v>
      </c>
      <c r="W730" s="13" t="n">
        <f aca="false">IF(COUNTIFS($B$2:B730,B730,$T$2:T730,T730)=1,1,0)</f>
        <v>0</v>
      </c>
    </row>
    <row r="731" customFormat="false" ht="15" hidden="false" customHeight="false" outlineLevel="0" collapsed="false">
      <c r="A731" s="13" t="s">
        <v>4686</v>
      </c>
      <c r="B731" s="13" t="s">
        <v>2142</v>
      </c>
      <c r="C731" s="13" t="n">
        <v>400</v>
      </c>
      <c r="D731" s="13" t="n">
        <v>5</v>
      </c>
      <c r="E731" s="13" t="n">
        <v>50.22875</v>
      </c>
      <c r="F731" s="13" t="s">
        <v>5288</v>
      </c>
      <c r="G731" s="13" t="s">
        <v>5289</v>
      </c>
      <c r="H731" s="13" t="s">
        <v>5289</v>
      </c>
      <c r="I731" s="13" t="s">
        <v>5292</v>
      </c>
      <c r="J731" s="13" t="s">
        <v>5289</v>
      </c>
      <c r="K731" s="13" t="s">
        <v>5292</v>
      </c>
      <c r="L731" s="13" t="s">
        <v>4685</v>
      </c>
      <c r="M731" s="13"/>
      <c r="N731" s="13" t="n">
        <v>7908038607396</v>
      </c>
      <c r="O731" s="13"/>
      <c r="P731" s="13" t="s">
        <v>5291</v>
      </c>
      <c r="Q731" s="13" t="s">
        <v>5289</v>
      </c>
      <c r="R731" s="13" t="s">
        <v>5292</v>
      </c>
      <c r="S731" s="13" t="s">
        <v>5293</v>
      </c>
      <c r="T731" s="13" t="s">
        <v>3</v>
      </c>
      <c r="U731" s="13" t="s">
        <v>85</v>
      </c>
      <c r="V731" s="13" t="n">
        <f aca="false">IF(COUNTIF($B$2:B731,B731)=1,1,0)</f>
        <v>0</v>
      </c>
      <c r="W731" s="13" t="n">
        <f aca="false">IF(COUNTIFS($B$2:B731,B731,$T$2:T731,T731)=1,1,0)</f>
        <v>0</v>
      </c>
    </row>
    <row r="732" customFormat="false" ht="15" hidden="false" customHeight="false" outlineLevel="0" collapsed="false">
      <c r="A732" s="13" t="s">
        <v>5576</v>
      </c>
      <c r="B732" s="13" t="s">
        <v>2203</v>
      </c>
      <c r="C732" s="13" t="n">
        <v>400</v>
      </c>
      <c r="D732" s="13" t="n">
        <v>1</v>
      </c>
      <c r="E732" s="13" t="n">
        <v>400</v>
      </c>
      <c r="F732" s="13" t="s">
        <v>5288</v>
      </c>
      <c r="G732" s="13" t="s">
        <v>5289</v>
      </c>
      <c r="H732" s="13" t="s">
        <v>5289</v>
      </c>
      <c r="I732" s="13" t="s">
        <v>5289</v>
      </c>
      <c r="J732" s="13" t="s">
        <v>5289</v>
      </c>
      <c r="K732" s="13" t="s">
        <v>5289</v>
      </c>
      <c r="L732" s="13" t="s">
        <v>5577</v>
      </c>
      <c r="M732" s="13"/>
      <c r="N732" s="13" t="n">
        <v>98691036491</v>
      </c>
      <c r="O732" s="13"/>
      <c r="P732" s="13" t="s">
        <v>5291</v>
      </c>
      <c r="Q732" s="13" t="s">
        <v>5289</v>
      </c>
      <c r="R732" s="13" t="s">
        <v>5292</v>
      </c>
      <c r="S732" s="13" t="s">
        <v>5293</v>
      </c>
      <c r="T732" s="13" t="s">
        <v>3</v>
      </c>
      <c r="U732" s="13" t="s">
        <v>43</v>
      </c>
      <c r="V732" s="13" t="n">
        <f aca="false">IF(COUNTIF($B$2:B732,B732)=1,1,0)</f>
        <v>0</v>
      </c>
      <c r="W732" s="13" t="n">
        <f aca="false">IF(COUNTIFS($B$2:B732,B732,$T$2:T732,T732)=1,1,0)</f>
        <v>0</v>
      </c>
    </row>
    <row r="733" customFormat="false" ht="15" hidden="false" customHeight="false" outlineLevel="0" collapsed="false">
      <c r="A733" s="13" t="s">
        <v>4700</v>
      </c>
      <c r="B733" s="13" t="s">
        <v>2099</v>
      </c>
      <c r="C733" s="13" t="n">
        <v>390</v>
      </c>
      <c r="D733" s="13" t="n">
        <v>20</v>
      </c>
      <c r="E733" s="13" t="n">
        <v>22.99</v>
      </c>
      <c r="F733" s="13" t="s">
        <v>5288</v>
      </c>
      <c r="G733" s="13" t="s">
        <v>5289</v>
      </c>
      <c r="H733" s="13" t="s">
        <v>5289</v>
      </c>
      <c r="I733" s="13" t="s">
        <v>5292</v>
      </c>
      <c r="J733" s="13" t="s">
        <v>5289</v>
      </c>
      <c r="K733" s="13" t="s">
        <v>5292</v>
      </c>
      <c r="L733" s="13" t="s">
        <v>4699</v>
      </c>
      <c r="M733" s="13"/>
      <c r="N733" s="13" t="n">
        <v>7899952325148</v>
      </c>
      <c r="O733" s="13"/>
      <c r="P733" s="13" t="s">
        <v>5297</v>
      </c>
      <c r="Q733" s="13" t="s">
        <v>5289</v>
      </c>
      <c r="R733" s="13" t="s">
        <v>5292</v>
      </c>
      <c r="S733" s="13" t="s">
        <v>5293</v>
      </c>
      <c r="T733" s="13" t="s">
        <v>3</v>
      </c>
      <c r="U733" s="13" t="s">
        <v>43</v>
      </c>
      <c r="V733" s="13" t="n">
        <f aca="false">IF(COUNTIF($B$2:B733,B733)=1,1,0)</f>
        <v>0</v>
      </c>
      <c r="W733" s="13" t="n">
        <f aca="false">IF(COUNTIFS($B$2:B733,B733,$T$2:T733,T733)=1,1,0)</f>
        <v>0</v>
      </c>
    </row>
    <row r="734" customFormat="false" ht="15" hidden="false" customHeight="false" outlineLevel="0" collapsed="false">
      <c r="A734" s="13" t="s">
        <v>4496</v>
      </c>
      <c r="B734" s="13" t="s">
        <v>2099</v>
      </c>
      <c r="C734" s="13" t="n">
        <v>390</v>
      </c>
      <c r="D734" s="13" t="n">
        <v>20</v>
      </c>
      <c r="E734" s="13" t="n">
        <v>25.99</v>
      </c>
      <c r="F734" s="13" t="s">
        <v>5288</v>
      </c>
      <c r="G734" s="13" t="s">
        <v>5289</v>
      </c>
      <c r="H734" s="13" t="s">
        <v>5289</v>
      </c>
      <c r="I734" s="13" t="s">
        <v>5292</v>
      </c>
      <c r="J734" s="13" t="s">
        <v>5289</v>
      </c>
      <c r="K734" s="13" t="s">
        <v>5292</v>
      </c>
      <c r="L734" s="13" t="s">
        <v>4495</v>
      </c>
      <c r="M734" s="13"/>
      <c r="N734" s="13" t="n">
        <v>7899952322789</v>
      </c>
      <c r="O734" s="13"/>
      <c r="P734" s="13" t="s">
        <v>5291</v>
      </c>
      <c r="Q734" s="13" t="s">
        <v>5289</v>
      </c>
      <c r="R734" s="13" t="s">
        <v>5292</v>
      </c>
      <c r="S734" s="13" t="s">
        <v>5293</v>
      </c>
      <c r="T734" s="13" t="s">
        <v>3</v>
      </c>
      <c r="U734" s="13" t="s">
        <v>43</v>
      </c>
      <c r="V734" s="13" t="n">
        <f aca="false">IF(COUNTIF($B$2:B734,B734)=1,1,0)</f>
        <v>0</v>
      </c>
      <c r="W734" s="13" t="n">
        <f aca="false">IF(COUNTIFS($B$2:B734,B734,$T$2:T734,T734)=1,1,0)</f>
        <v>0</v>
      </c>
    </row>
    <row r="735" customFormat="false" ht="15" hidden="false" customHeight="false" outlineLevel="0" collapsed="false">
      <c r="A735" s="13" t="s">
        <v>4695</v>
      </c>
      <c r="B735" s="13" t="s">
        <v>2099</v>
      </c>
      <c r="C735" s="13" t="n">
        <v>390</v>
      </c>
      <c r="D735" s="13" t="n">
        <v>10</v>
      </c>
      <c r="E735" s="13" t="n">
        <v>29.9130769230769</v>
      </c>
      <c r="F735" s="13" t="s">
        <v>5288</v>
      </c>
      <c r="G735" s="13" t="s">
        <v>5289</v>
      </c>
      <c r="H735" s="13" t="s">
        <v>5289</v>
      </c>
      <c r="I735" s="13" t="s">
        <v>5292</v>
      </c>
      <c r="J735" s="13" t="s">
        <v>5289</v>
      </c>
      <c r="K735" s="13" t="s">
        <v>5292</v>
      </c>
      <c r="L735" s="13" t="s">
        <v>4694</v>
      </c>
      <c r="M735" s="13"/>
      <c r="N735" s="13" t="n">
        <v>7899952323663</v>
      </c>
      <c r="O735" s="13"/>
      <c r="P735" s="13" t="s">
        <v>5304</v>
      </c>
      <c r="Q735" s="13" t="s">
        <v>5289</v>
      </c>
      <c r="R735" s="13" t="s">
        <v>5292</v>
      </c>
      <c r="S735" s="13" t="s">
        <v>5293</v>
      </c>
      <c r="T735" s="13" t="s">
        <v>3</v>
      </c>
      <c r="U735" s="13" t="s">
        <v>43</v>
      </c>
      <c r="V735" s="13" t="n">
        <f aca="false">IF(COUNTIF($B$2:B735,B735)=1,1,0)</f>
        <v>0</v>
      </c>
      <c r="W735" s="13" t="n">
        <f aca="false">IF(COUNTIFS($B$2:B735,B735,$T$2:T735,T735)=1,1,0)</f>
        <v>0</v>
      </c>
    </row>
    <row r="736" customFormat="false" ht="15" hidden="false" customHeight="false" outlineLevel="0" collapsed="false">
      <c r="A736" s="13" t="s">
        <v>4708</v>
      </c>
      <c r="B736" s="13" t="s">
        <v>2095</v>
      </c>
      <c r="C736" s="13" t="n">
        <v>380</v>
      </c>
      <c r="D736" s="13" t="n">
        <v>5</v>
      </c>
      <c r="E736" s="13" t="n">
        <v>75.99</v>
      </c>
      <c r="F736" s="13" t="s">
        <v>5325</v>
      </c>
      <c r="G736" s="13" t="s">
        <v>5289</v>
      </c>
      <c r="H736" s="13" t="s">
        <v>5289</v>
      </c>
      <c r="I736" s="13" t="s">
        <v>5292</v>
      </c>
      <c r="J736" s="13" t="s">
        <v>5289</v>
      </c>
      <c r="K736" s="13" t="s">
        <v>5292</v>
      </c>
      <c r="L736" s="13" t="s">
        <v>5578</v>
      </c>
      <c r="M736" s="13"/>
      <c r="N736" s="13" t="n">
        <v>7898919865697</v>
      </c>
      <c r="O736" s="13"/>
      <c r="P736" s="13" t="s">
        <v>5291</v>
      </c>
      <c r="Q736" s="13" t="s">
        <v>5289</v>
      </c>
      <c r="R736" s="13" t="s">
        <v>5292</v>
      </c>
      <c r="S736" s="13" t="s">
        <v>5293</v>
      </c>
      <c r="T736" s="13" t="s">
        <v>3</v>
      </c>
      <c r="U736" s="13" t="s">
        <v>140</v>
      </c>
      <c r="V736" s="13" t="n">
        <f aca="false">IF(COUNTIF($B$2:B736,B736)=1,1,0)</f>
        <v>0</v>
      </c>
      <c r="W736" s="13" t="n">
        <f aca="false">IF(COUNTIFS($B$2:B736,B736,$T$2:T736,T736)=1,1,0)</f>
        <v>0</v>
      </c>
    </row>
    <row r="737" customFormat="false" ht="15" hidden="false" customHeight="false" outlineLevel="0" collapsed="false">
      <c r="A737" s="13" t="s">
        <v>4714</v>
      </c>
      <c r="B737" s="13" t="s">
        <v>2187</v>
      </c>
      <c r="C737" s="13" t="n">
        <v>380</v>
      </c>
      <c r="D737" s="13" t="n">
        <v>2</v>
      </c>
      <c r="E737" s="13" t="n">
        <v>94.73</v>
      </c>
      <c r="F737" s="13" t="s">
        <v>5325</v>
      </c>
      <c r="G737" s="13" t="s">
        <v>5289</v>
      </c>
      <c r="H737" s="13" t="s">
        <v>5289</v>
      </c>
      <c r="I737" s="13" t="s">
        <v>5289</v>
      </c>
      <c r="J737" s="13" t="s">
        <v>5289</v>
      </c>
      <c r="K737" s="13" t="s">
        <v>5292</v>
      </c>
      <c r="L737" s="13" t="s">
        <v>5579</v>
      </c>
      <c r="M737" s="13"/>
      <c r="N737" s="13" t="n">
        <v>7908791000007</v>
      </c>
      <c r="O737" s="13"/>
      <c r="P737" s="13" t="s">
        <v>5291</v>
      </c>
      <c r="Q737" s="13" t="s">
        <v>5289</v>
      </c>
      <c r="R737" s="13" t="s">
        <v>5292</v>
      </c>
      <c r="S737" s="13" t="s">
        <v>5293</v>
      </c>
      <c r="T737" s="13" t="s">
        <v>3</v>
      </c>
      <c r="U737" s="13" t="s">
        <v>85</v>
      </c>
      <c r="V737" s="13" t="n">
        <f aca="false">IF(COUNTIF($B$2:B737,B737)=1,1,0)</f>
        <v>0</v>
      </c>
      <c r="W737" s="13" t="n">
        <f aca="false">IF(COUNTIFS($B$2:B737,B737,$T$2:T737,T737)=1,1,0)</f>
        <v>0</v>
      </c>
    </row>
    <row r="738" customFormat="false" ht="15" hidden="false" customHeight="false" outlineLevel="0" collapsed="false">
      <c r="A738" s="13" t="s">
        <v>5580</v>
      </c>
      <c r="B738" s="13" t="s">
        <v>2108</v>
      </c>
      <c r="C738" s="13" t="n">
        <v>380</v>
      </c>
      <c r="D738" s="13" t="n">
        <v>10</v>
      </c>
      <c r="E738" s="13" t="n">
        <v>29</v>
      </c>
      <c r="F738" s="13" t="s">
        <v>5288</v>
      </c>
      <c r="G738" s="13" t="s">
        <v>5289</v>
      </c>
      <c r="H738" s="13" t="s">
        <v>5292</v>
      </c>
      <c r="I738" s="13" t="s">
        <v>5292</v>
      </c>
      <c r="J738" s="13" t="s">
        <v>5289</v>
      </c>
      <c r="K738" s="13" t="s">
        <v>5292</v>
      </c>
      <c r="L738" s="13" t="s">
        <v>4202</v>
      </c>
      <c r="M738" s="13"/>
      <c r="N738" s="13" t="n">
        <v>7891117102045</v>
      </c>
      <c r="O738" s="13"/>
      <c r="P738" s="13" t="s">
        <v>5291</v>
      </c>
      <c r="Q738" s="13" t="s">
        <v>5289</v>
      </c>
      <c r="R738" s="13" t="s">
        <v>5292</v>
      </c>
      <c r="S738" s="13" t="s">
        <v>5293</v>
      </c>
      <c r="T738" s="13" t="s">
        <v>3</v>
      </c>
      <c r="U738" s="13" t="s">
        <v>85</v>
      </c>
      <c r="V738" s="13" t="n">
        <f aca="false">IF(COUNTIF($B$2:B738,B738)=1,1,0)</f>
        <v>0</v>
      </c>
      <c r="W738" s="13" t="n">
        <f aca="false">IF(COUNTIFS($B$2:B738,B738,$T$2:T738,T738)=1,1,0)</f>
        <v>0</v>
      </c>
    </row>
    <row r="739" customFormat="false" ht="15" hidden="false" customHeight="false" outlineLevel="0" collapsed="false">
      <c r="A739" s="13" t="s">
        <v>1794</v>
      </c>
      <c r="B739" s="13" t="s">
        <v>81</v>
      </c>
      <c r="C739" s="13" t="n">
        <v>380</v>
      </c>
      <c r="D739" s="13" t="n">
        <v>5</v>
      </c>
      <c r="E739" s="13" t="n">
        <v>37.582</v>
      </c>
      <c r="F739" s="13" t="s">
        <v>5288</v>
      </c>
      <c r="G739" s="13" t="s">
        <v>5289</v>
      </c>
      <c r="H739" s="13" t="s">
        <v>5289</v>
      </c>
      <c r="I739" s="13" t="s">
        <v>5292</v>
      </c>
      <c r="J739" s="13" t="s">
        <v>5289</v>
      </c>
      <c r="K739" s="13" t="s">
        <v>5292</v>
      </c>
      <c r="L739" s="13" t="s">
        <v>4701</v>
      </c>
      <c r="M739" s="13"/>
      <c r="N739" s="13" t="n">
        <v>7899206171989</v>
      </c>
      <c r="O739" s="13"/>
      <c r="P739" s="13" t="s">
        <v>5297</v>
      </c>
      <c r="Q739" s="13" t="s">
        <v>5289</v>
      </c>
      <c r="R739" s="13" t="s">
        <v>5292</v>
      </c>
      <c r="S739" s="13" t="s">
        <v>5293</v>
      </c>
      <c r="T739" s="13" t="s">
        <v>3</v>
      </c>
      <c r="U739" s="13" t="s">
        <v>85</v>
      </c>
      <c r="V739" s="13" t="n">
        <f aca="false">IF(COUNTIF($B$2:B739,B739)=1,1,0)</f>
        <v>0</v>
      </c>
      <c r="W739" s="13" t="n">
        <f aca="false">IF(COUNTIFS($B$2:B739,B739,$T$2:T739,T739)=1,1,0)</f>
        <v>0</v>
      </c>
    </row>
    <row r="740" customFormat="false" ht="15" hidden="false" customHeight="false" outlineLevel="0" collapsed="false">
      <c r="A740" s="13" t="s">
        <v>4488</v>
      </c>
      <c r="B740" s="13" t="s">
        <v>2264</v>
      </c>
      <c r="C740" s="13" t="n">
        <v>370</v>
      </c>
      <c r="D740" s="13" t="n">
        <v>2</v>
      </c>
      <c r="E740" s="13" t="n">
        <v>185.5</v>
      </c>
      <c r="F740" s="13" t="s">
        <v>5288</v>
      </c>
      <c r="G740" s="13" t="s">
        <v>5289</v>
      </c>
      <c r="H740" s="13" t="s">
        <v>5289</v>
      </c>
      <c r="I740" s="13" t="s">
        <v>5289</v>
      </c>
      <c r="J740" s="13" t="s">
        <v>5289</v>
      </c>
      <c r="K740" s="13" t="s">
        <v>5289</v>
      </c>
      <c r="L740" s="13" t="s">
        <v>4487</v>
      </c>
      <c r="M740" s="13"/>
      <c r="N740" s="13" t="n">
        <v>7895293668968</v>
      </c>
      <c r="O740" s="13"/>
      <c r="P740" s="13" t="s">
        <v>5297</v>
      </c>
      <c r="Q740" s="13" t="s">
        <v>5289</v>
      </c>
      <c r="R740" s="13" t="s">
        <v>5292</v>
      </c>
      <c r="S740" s="13" t="s">
        <v>5293</v>
      </c>
      <c r="T740" s="13" t="s">
        <v>3</v>
      </c>
      <c r="U740" s="13" t="s">
        <v>85</v>
      </c>
      <c r="V740" s="13" t="n">
        <f aca="false">IF(COUNTIF($B$2:B740,B740)=1,1,0)</f>
        <v>1</v>
      </c>
      <c r="W740" s="13" t="n">
        <f aca="false">IF(COUNTIFS($B$2:B740,B740,$T$2:T740,T740)=1,1,0)</f>
        <v>1</v>
      </c>
    </row>
    <row r="741" customFormat="false" ht="15" hidden="false" customHeight="false" outlineLevel="0" collapsed="false">
      <c r="A741" s="13" t="s">
        <v>4617</v>
      </c>
      <c r="B741" s="13" t="s">
        <v>2099</v>
      </c>
      <c r="C741" s="13" t="n">
        <v>370</v>
      </c>
      <c r="D741" s="13" t="n">
        <v>10</v>
      </c>
      <c r="E741" s="13" t="n">
        <v>28.11</v>
      </c>
      <c r="F741" s="13" t="s">
        <v>5288</v>
      </c>
      <c r="G741" s="13" t="s">
        <v>5289</v>
      </c>
      <c r="H741" s="13" t="s">
        <v>5289</v>
      </c>
      <c r="I741" s="13" t="s">
        <v>5292</v>
      </c>
      <c r="J741" s="13" t="s">
        <v>5289</v>
      </c>
      <c r="K741" s="13" t="s">
        <v>5292</v>
      </c>
      <c r="L741" s="13" t="s">
        <v>4616</v>
      </c>
      <c r="M741" s="13"/>
      <c r="N741" s="13" t="n">
        <v>7899952323564</v>
      </c>
      <c r="O741" s="13"/>
      <c r="P741" s="13" t="s">
        <v>5291</v>
      </c>
      <c r="Q741" s="13" t="s">
        <v>5289</v>
      </c>
      <c r="R741" s="13" t="s">
        <v>5292</v>
      </c>
      <c r="S741" s="13" t="s">
        <v>5293</v>
      </c>
      <c r="T741" s="13" t="s">
        <v>3</v>
      </c>
      <c r="U741" s="13" t="s">
        <v>43</v>
      </c>
      <c r="V741" s="13" t="n">
        <f aca="false">IF(COUNTIF($B$2:B741,B741)=1,1,0)</f>
        <v>0</v>
      </c>
      <c r="W741" s="13" t="n">
        <f aca="false">IF(COUNTIFS($B$2:B741,B741,$T$2:T741,T741)=1,1,0)</f>
        <v>0</v>
      </c>
    </row>
    <row r="742" customFormat="false" ht="15" hidden="false" customHeight="false" outlineLevel="0" collapsed="false">
      <c r="A742" s="13" t="s">
        <v>1828</v>
      </c>
      <c r="B742" s="13" t="s">
        <v>114</v>
      </c>
      <c r="C742" s="13" t="n">
        <v>360</v>
      </c>
      <c r="D742" s="13" t="n">
        <v>2</v>
      </c>
      <c r="E742" s="13" t="n">
        <v>119.9</v>
      </c>
      <c r="F742" s="13" t="s">
        <v>5288</v>
      </c>
      <c r="G742" s="13" t="s">
        <v>5289</v>
      </c>
      <c r="H742" s="13" t="s">
        <v>5289</v>
      </c>
      <c r="I742" s="13" t="s">
        <v>5289</v>
      </c>
      <c r="J742" s="13" t="s">
        <v>5289</v>
      </c>
      <c r="K742" s="13" t="s">
        <v>5292</v>
      </c>
      <c r="L742" s="13" t="s">
        <v>5581</v>
      </c>
      <c r="M742" s="13"/>
      <c r="N742" s="13"/>
      <c r="O742" s="13" t="s">
        <v>5582</v>
      </c>
      <c r="P742" s="13" t="s">
        <v>5291</v>
      </c>
      <c r="Q742" s="13" t="s">
        <v>5289</v>
      </c>
      <c r="R742" s="13" t="s">
        <v>5292</v>
      </c>
      <c r="S742" s="13" t="s">
        <v>5293</v>
      </c>
      <c r="T742" s="13" t="s">
        <v>3</v>
      </c>
      <c r="U742" s="13" t="s">
        <v>85</v>
      </c>
      <c r="V742" s="13" t="n">
        <f aca="false">IF(COUNTIF($B$2:B742,B742)=1,1,0)</f>
        <v>0</v>
      </c>
      <c r="W742" s="13" t="n">
        <f aca="false">IF(COUNTIFS($B$2:B742,B742,$T$2:T742,T742)=1,1,0)</f>
        <v>0</v>
      </c>
    </row>
    <row r="743" customFormat="false" ht="15" hidden="false" customHeight="false" outlineLevel="0" collapsed="false">
      <c r="A743" s="13" t="s">
        <v>4728</v>
      </c>
      <c r="B743" s="13" t="s">
        <v>2151</v>
      </c>
      <c r="C743" s="13" t="n">
        <v>360</v>
      </c>
      <c r="D743" s="13" t="n">
        <v>2</v>
      </c>
      <c r="E743" s="13" t="n">
        <v>119.9</v>
      </c>
      <c r="F743" s="13" t="s">
        <v>5288</v>
      </c>
      <c r="G743" s="13" t="s">
        <v>5289</v>
      </c>
      <c r="H743" s="13" t="s">
        <v>5289</v>
      </c>
      <c r="I743" s="13" t="s">
        <v>5289</v>
      </c>
      <c r="J743" s="13" t="s">
        <v>5289</v>
      </c>
      <c r="K743" s="13" t="s">
        <v>5292</v>
      </c>
      <c r="L743" s="13" t="s">
        <v>4727</v>
      </c>
      <c r="M743" s="13"/>
      <c r="N743" s="13" t="n">
        <v>7908791001424</v>
      </c>
      <c r="O743" s="13"/>
      <c r="P743" s="13" t="s">
        <v>5291</v>
      </c>
      <c r="Q743" s="13" t="s">
        <v>5289</v>
      </c>
      <c r="R743" s="13" t="s">
        <v>5292</v>
      </c>
      <c r="S743" s="13" t="s">
        <v>5293</v>
      </c>
      <c r="T743" s="13" t="s">
        <v>3</v>
      </c>
      <c r="U743" s="13" t="s">
        <v>85</v>
      </c>
      <c r="V743" s="13" t="n">
        <f aca="false">IF(COUNTIF($B$2:B743,B743)=1,1,0)</f>
        <v>0</v>
      </c>
      <c r="W743" s="13" t="n">
        <f aca="false">IF(COUNTIFS($B$2:B743,B743,$T$2:T743,T743)=1,1,0)</f>
        <v>0</v>
      </c>
    </row>
    <row r="744" customFormat="false" ht="15" hidden="false" customHeight="false" outlineLevel="0" collapsed="false">
      <c r="A744" s="13" t="s">
        <v>1829</v>
      </c>
      <c r="B744" s="13" t="s">
        <v>179</v>
      </c>
      <c r="C744" s="13" t="n">
        <v>360</v>
      </c>
      <c r="D744" s="13" t="n">
        <v>2</v>
      </c>
      <c r="E744" s="13" t="n">
        <v>179</v>
      </c>
      <c r="F744" s="13" t="s">
        <v>5325</v>
      </c>
      <c r="G744" s="13" t="s">
        <v>5289</v>
      </c>
      <c r="H744" s="13" t="s">
        <v>5289</v>
      </c>
      <c r="I744" s="13" t="s">
        <v>5289</v>
      </c>
      <c r="J744" s="13" t="s">
        <v>5289</v>
      </c>
      <c r="K744" s="13" t="s">
        <v>5289</v>
      </c>
      <c r="L744" s="13" t="s">
        <v>5583</v>
      </c>
      <c r="M744" s="13"/>
      <c r="N744" s="13" t="n">
        <v>7908896602519</v>
      </c>
      <c r="O744" s="13"/>
      <c r="P744" s="13" t="s">
        <v>5291</v>
      </c>
      <c r="Q744" s="13" t="s">
        <v>5289</v>
      </c>
      <c r="R744" s="13" t="s">
        <v>5292</v>
      </c>
      <c r="S744" s="13" t="s">
        <v>5293</v>
      </c>
      <c r="T744" s="13" t="s">
        <v>3</v>
      </c>
      <c r="U744" s="13" t="s">
        <v>180</v>
      </c>
      <c r="V744" s="13" t="n">
        <f aca="false">IF(COUNTIF($B$2:B744,B744)=1,1,0)</f>
        <v>0</v>
      </c>
      <c r="W744" s="13" t="n">
        <f aca="false">IF(COUNTIFS($B$2:B744,B744,$T$2:T744,T744)=1,1,0)</f>
        <v>0</v>
      </c>
    </row>
    <row r="745" customFormat="false" ht="15" hidden="false" customHeight="false" outlineLevel="0" collapsed="false">
      <c r="A745" s="13" t="s">
        <v>1830</v>
      </c>
      <c r="B745" s="13" t="s">
        <v>191</v>
      </c>
      <c r="C745" s="13" t="n">
        <v>360</v>
      </c>
      <c r="D745" s="13" t="n">
        <v>2</v>
      </c>
      <c r="E745" s="13" t="n">
        <v>119</v>
      </c>
      <c r="F745" s="13" t="s">
        <v>5325</v>
      </c>
      <c r="G745" s="13" t="s">
        <v>5289</v>
      </c>
      <c r="H745" s="13" t="s">
        <v>5289</v>
      </c>
      <c r="I745" s="13" t="s">
        <v>5289</v>
      </c>
      <c r="J745" s="13" t="s">
        <v>5289</v>
      </c>
      <c r="K745" s="13" t="s">
        <v>5292</v>
      </c>
      <c r="L745" s="13" t="s">
        <v>4722</v>
      </c>
      <c r="M745" s="13"/>
      <c r="N745" s="13" t="n">
        <v>7898973267468</v>
      </c>
      <c r="O745" s="13"/>
      <c r="P745" s="13" t="s">
        <v>5291</v>
      </c>
      <c r="Q745" s="13" t="s">
        <v>5289</v>
      </c>
      <c r="R745" s="13" t="s">
        <v>5292</v>
      </c>
      <c r="S745" s="13" t="s">
        <v>5293</v>
      </c>
      <c r="T745" s="13" t="s">
        <v>3</v>
      </c>
      <c r="U745" s="13" t="s">
        <v>183</v>
      </c>
      <c r="V745" s="13" t="n">
        <f aca="false">IF(COUNTIF($B$2:B745,B745)=1,1,0)</f>
        <v>0</v>
      </c>
      <c r="W745" s="13" t="n">
        <f aca="false">IF(COUNTIFS($B$2:B745,B745,$T$2:T745,T745)=1,1,0)</f>
        <v>0</v>
      </c>
    </row>
    <row r="746" customFormat="false" ht="15" hidden="false" customHeight="false" outlineLevel="0" collapsed="false">
      <c r="A746" s="13" t="s">
        <v>4743</v>
      </c>
      <c r="B746" s="13" t="s">
        <v>2101</v>
      </c>
      <c r="C746" s="13" t="n">
        <v>350</v>
      </c>
      <c r="D746" s="13" t="n">
        <v>5</v>
      </c>
      <c r="E746" s="13" t="n">
        <v>69.99</v>
      </c>
      <c r="F746" s="13" t="s">
        <v>5288</v>
      </c>
      <c r="G746" s="13" t="s">
        <v>5289</v>
      </c>
      <c r="H746" s="13" t="s">
        <v>5289</v>
      </c>
      <c r="I746" s="13" t="s">
        <v>5292</v>
      </c>
      <c r="J746" s="13" t="s">
        <v>5289</v>
      </c>
      <c r="K746" s="13" t="s">
        <v>5292</v>
      </c>
      <c r="L746" s="13" t="s">
        <v>4742</v>
      </c>
      <c r="M746" s="13"/>
      <c r="N746" s="13" t="n">
        <v>7908412553356</v>
      </c>
      <c r="O746" s="13"/>
      <c r="P746" s="13" t="s">
        <v>5291</v>
      </c>
      <c r="Q746" s="13" t="s">
        <v>5289</v>
      </c>
      <c r="R746" s="13" t="s">
        <v>5292</v>
      </c>
      <c r="S746" s="13" t="s">
        <v>5293</v>
      </c>
      <c r="T746" s="13" t="s">
        <v>3</v>
      </c>
      <c r="U746" s="13" t="s">
        <v>98</v>
      </c>
      <c r="V746" s="13" t="n">
        <f aca="false">IF(COUNTIF($B$2:B746,B746)=1,1,0)</f>
        <v>0</v>
      </c>
      <c r="W746" s="13" t="n">
        <f aca="false">IF(COUNTIFS($B$2:B746,B746,$T$2:T746,T746)=1,1,0)</f>
        <v>0</v>
      </c>
    </row>
    <row r="747" customFormat="false" ht="15" hidden="false" customHeight="false" outlineLevel="0" collapsed="false">
      <c r="A747" s="13" t="s">
        <v>4739</v>
      </c>
      <c r="B747" s="13" t="s">
        <v>2167</v>
      </c>
      <c r="C747" s="13" t="n">
        <v>350</v>
      </c>
      <c r="D747" s="13" t="n">
        <v>1</v>
      </c>
      <c r="E747" s="13" t="n">
        <v>349.1</v>
      </c>
      <c r="F747" s="13" t="s">
        <v>5288</v>
      </c>
      <c r="G747" s="13" t="s">
        <v>5289</v>
      </c>
      <c r="H747" s="13" t="s">
        <v>5289</v>
      </c>
      <c r="I747" s="13" t="s">
        <v>5289</v>
      </c>
      <c r="J747" s="13" t="s">
        <v>5289</v>
      </c>
      <c r="K747" s="13" t="s">
        <v>5289</v>
      </c>
      <c r="L747" s="13" t="s">
        <v>5584</v>
      </c>
      <c r="M747" s="13"/>
      <c r="N747" s="13" t="n">
        <v>719346629379</v>
      </c>
      <c r="O747" s="13"/>
      <c r="P747" s="13" t="s">
        <v>5291</v>
      </c>
      <c r="Q747" s="13" t="s">
        <v>5289</v>
      </c>
      <c r="R747" s="13" t="s">
        <v>5292</v>
      </c>
      <c r="S747" s="13" t="s">
        <v>5293</v>
      </c>
      <c r="T747" s="13" t="s">
        <v>3</v>
      </c>
      <c r="U747" s="13" t="s">
        <v>43</v>
      </c>
      <c r="V747" s="13" t="n">
        <f aca="false">IF(COUNTIF($B$2:B747,B747)=1,1,0)</f>
        <v>0</v>
      </c>
      <c r="W747" s="13" t="n">
        <f aca="false">IF(COUNTIFS($B$2:B747,B747,$T$2:T747,T747)=1,1,0)</f>
        <v>0</v>
      </c>
    </row>
    <row r="748" customFormat="false" ht="15" hidden="false" customHeight="false" outlineLevel="0" collapsed="false">
      <c r="A748" s="13" t="s">
        <v>1834</v>
      </c>
      <c r="B748" s="13" t="s">
        <v>179</v>
      </c>
      <c r="C748" s="13" t="n">
        <v>350</v>
      </c>
      <c r="D748" s="13" t="n">
        <v>1</v>
      </c>
      <c r="E748" s="13" t="n">
        <v>349</v>
      </c>
      <c r="F748" s="13" t="s">
        <v>5325</v>
      </c>
      <c r="G748" s="13" t="s">
        <v>5289</v>
      </c>
      <c r="H748" s="13" t="s">
        <v>5289</v>
      </c>
      <c r="I748" s="13" t="s">
        <v>5289</v>
      </c>
      <c r="J748" s="13" t="s">
        <v>5289</v>
      </c>
      <c r="K748" s="13" t="s">
        <v>5292</v>
      </c>
      <c r="L748" s="13" t="s">
        <v>4745</v>
      </c>
      <c r="M748" s="13"/>
      <c r="N748" s="13" t="n">
        <v>7908005386781</v>
      </c>
      <c r="O748" s="13"/>
      <c r="P748" s="13" t="s">
        <v>5291</v>
      </c>
      <c r="Q748" s="13" t="s">
        <v>5289</v>
      </c>
      <c r="R748" s="13" t="s">
        <v>5292</v>
      </c>
      <c r="S748" s="13" t="s">
        <v>5293</v>
      </c>
      <c r="T748" s="13" t="s">
        <v>3</v>
      </c>
      <c r="U748" s="13" t="s">
        <v>85</v>
      </c>
      <c r="V748" s="13" t="n">
        <f aca="false">IF(COUNTIF($B$2:B748,B748)=1,1,0)</f>
        <v>0</v>
      </c>
      <c r="W748" s="13" t="n">
        <f aca="false">IF(COUNTIFS($B$2:B748,B748,$T$2:T748,T748)=1,1,0)</f>
        <v>0</v>
      </c>
    </row>
    <row r="749" customFormat="false" ht="15" hidden="false" customHeight="false" outlineLevel="0" collapsed="false">
      <c r="A749" s="13" t="s">
        <v>1772</v>
      </c>
      <c r="B749" s="13" t="s">
        <v>490</v>
      </c>
      <c r="C749" s="13" t="n">
        <v>340</v>
      </c>
      <c r="D749" s="13" t="n">
        <v>1</v>
      </c>
      <c r="E749" s="13" t="n">
        <v>343.37</v>
      </c>
      <c r="F749" s="13" t="s">
        <v>5288</v>
      </c>
      <c r="G749" s="13" t="s">
        <v>5289</v>
      </c>
      <c r="H749" s="13" t="s">
        <v>5289</v>
      </c>
      <c r="I749" s="13" t="s">
        <v>5289</v>
      </c>
      <c r="J749" s="13" t="s">
        <v>5289</v>
      </c>
      <c r="K749" s="13" t="s">
        <v>5289</v>
      </c>
      <c r="L749" s="13" t="s">
        <v>5585</v>
      </c>
      <c r="M749" s="13"/>
      <c r="N749" s="13" t="n">
        <v>8011003826711</v>
      </c>
      <c r="O749" s="13"/>
      <c r="P749" s="13" t="s">
        <v>5291</v>
      </c>
      <c r="Q749" s="13" t="s">
        <v>5289</v>
      </c>
      <c r="R749" s="13" t="s">
        <v>5292</v>
      </c>
      <c r="S749" s="13" t="s">
        <v>5293</v>
      </c>
      <c r="T749" s="13" t="s">
        <v>3</v>
      </c>
      <c r="U749" s="13" t="s">
        <v>43</v>
      </c>
      <c r="V749" s="13" t="n">
        <f aca="false">IF(COUNTIF($B$2:B749,B749)=1,1,0)</f>
        <v>0</v>
      </c>
      <c r="W749" s="13" t="n">
        <f aca="false">IF(COUNTIFS($B$2:B749,B749,$T$2:T749,T749)=1,1,0)</f>
        <v>0</v>
      </c>
    </row>
    <row r="750" customFormat="false" ht="15" hidden="false" customHeight="false" outlineLevel="0" collapsed="false">
      <c r="A750" s="13" t="s">
        <v>4752</v>
      </c>
      <c r="B750" s="13" t="s">
        <v>2276</v>
      </c>
      <c r="C750" s="13" t="n">
        <v>340</v>
      </c>
      <c r="D750" s="13" t="n">
        <v>2</v>
      </c>
      <c r="E750" s="13" t="n">
        <v>170.54</v>
      </c>
      <c r="F750" s="13" t="s">
        <v>5288</v>
      </c>
      <c r="G750" s="13" t="s">
        <v>5289</v>
      </c>
      <c r="H750" s="13" t="s">
        <v>5289</v>
      </c>
      <c r="I750" s="13" t="s">
        <v>5289</v>
      </c>
      <c r="J750" s="13" t="s">
        <v>5289</v>
      </c>
      <c r="K750" s="13" t="s">
        <v>5292</v>
      </c>
      <c r="L750" s="13" t="s">
        <v>4751</v>
      </c>
      <c r="M750" s="13"/>
      <c r="N750" s="13" t="n">
        <v>7896039709679</v>
      </c>
      <c r="O750" s="13"/>
      <c r="P750" s="13" t="s">
        <v>5297</v>
      </c>
      <c r="Q750" s="13" t="s">
        <v>5289</v>
      </c>
      <c r="R750" s="13" t="s">
        <v>5292</v>
      </c>
      <c r="S750" s="13" t="s">
        <v>5293</v>
      </c>
      <c r="T750" s="13" t="s">
        <v>3</v>
      </c>
      <c r="U750" s="13" t="s">
        <v>85</v>
      </c>
      <c r="V750" s="13" t="n">
        <f aca="false">IF(COUNTIF($B$2:B750,B750)=1,1,0)</f>
        <v>1</v>
      </c>
      <c r="W750" s="13" t="n">
        <f aca="false">IF(COUNTIFS($B$2:B750,B750,$T$2:T750,T750)=1,1,0)</f>
        <v>1</v>
      </c>
    </row>
    <row r="751" customFormat="false" ht="15" hidden="false" customHeight="false" outlineLevel="0" collapsed="false">
      <c r="A751" s="13" t="s">
        <v>5586</v>
      </c>
      <c r="B751" s="13" t="s">
        <v>2249</v>
      </c>
      <c r="C751" s="13" t="n">
        <v>330</v>
      </c>
      <c r="D751" s="13" t="n">
        <v>2</v>
      </c>
      <c r="E751" s="13" t="n">
        <v>83.4975</v>
      </c>
      <c r="F751" s="13" t="s">
        <v>5288</v>
      </c>
      <c r="G751" s="13" t="s">
        <v>5289</v>
      </c>
      <c r="H751" s="13" t="s">
        <v>5289</v>
      </c>
      <c r="I751" s="13" t="s">
        <v>5289</v>
      </c>
      <c r="J751" s="13" t="s">
        <v>5289</v>
      </c>
      <c r="K751" s="13" t="s">
        <v>5292</v>
      </c>
      <c r="L751" s="13" t="s">
        <v>5587</v>
      </c>
      <c r="M751" s="13"/>
      <c r="N751" s="13" t="n">
        <v>70341102985</v>
      </c>
      <c r="O751" s="13"/>
      <c r="P751" s="13" t="s">
        <v>5291</v>
      </c>
      <c r="Q751" s="13" t="s">
        <v>5289</v>
      </c>
      <c r="R751" s="13" t="s">
        <v>5292</v>
      </c>
      <c r="S751" s="13" t="s">
        <v>5293</v>
      </c>
      <c r="T751" s="13" t="s">
        <v>3</v>
      </c>
      <c r="U751" s="13" t="s">
        <v>85</v>
      </c>
      <c r="V751" s="13" t="n">
        <f aca="false">IF(COUNTIF($B$2:B751,B751)=1,1,0)</f>
        <v>1</v>
      </c>
      <c r="W751" s="13" t="n">
        <f aca="false">IF(COUNTIFS($B$2:B751,B751,$T$2:T751,T751)=1,1,0)</f>
        <v>1</v>
      </c>
    </row>
    <row r="752" customFormat="false" ht="15" hidden="false" customHeight="false" outlineLevel="0" collapsed="false">
      <c r="A752" s="13" t="s">
        <v>4769</v>
      </c>
      <c r="B752" s="13" t="s">
        <v>2175</v>
      </c>
      <c r="C752" s="13" t="n">
        <v>330</v>
      </c>
      <c r="D752" s="13" t="n">
        <v>2</v>
      </c>
      <c r="E752" s="13" t="n">
        <v>164.89</v>
      </c>
      <c r="F752" s="13" t="s">
        <v>5288</v>
      </c>
      <c r="G752" s="13" t="s">
        <v>5289</v>
      </c>
      <c r="H752" s="13" t="s">
        <v>5289</v>
      </c>
      <c r="I752" s="13" t="s">
        <v>5289</v>
      </c>
      <c r="J752" s="13" t="s">
        <v>5289</v>
      </c>
      <c r="K752" s="13" t="s">
        <v>5289</v>
      </c>
      <c r="L752" s="13" t="s">
        <v>4768</v>
      </c>
      <c r="M752" s="13"/>
      <c r="N752" s="13" t="n">
        <v>5055810036959</v>
      </c>
      <c r="O752" s="13"/>
      <c r="P752" s="13" t="s">
        <v>5291</v>
      </c>
      <c r="Q752" s="13" t="s">
        <v>5289</v>
      </c>
      <c r="R752" s="13" t="s">
        <v>5292</v>
      </c>
      <c r="S752" s="13" t="s">
        <v>5293</v>
      </c>
      <c r="T752" s="13" t="s">
        <v>3</v>
      </c>
      <c r="U752" s="13" t="s">
        <v>43</v>
      </c>
      <c r="V752" s="13" t="n">
        <f aca="false">IF(COUNTIF($B$2:B752,B752)=1,1,0)</f>
        <v>0</v>
      </c>
      <c r="W752" s="13" t="n">
        <f aca="false">IF(COUNTIFS($B$2:B752,B752,$T$2:T752,T752)=1,1,0)</f>
        <v>0</v>
      </c>
    </row>
    <row r="753" customFormat="false" ht="15" hidden="false" customHeight="false" outlineLevel="0" collapsed="false">
      <c r="A753" s="13" t="s">
        <v>4771</v>
      </c>
      <c r="B753" s="13" t="s">
        <v>2099</v>
      </c>
      <c r="C753" s="13" t="n">
        <v>330</v>
      </c>
      <c r="D753" s="13" t="n">
        <v>10</v>
      </c>
      <c r="E753" s="13" t="n">
        <v>25.2976923076923</v>
      </c>
      <c r="F753" s="13" t="s">
        <v>5288</v>
      </c>
      <c r="G753" s="13" t="s">
        <v>5289</v>
      </c>
      <c r="H753" s="13" t="s">
        <v>5289</v>
      </c>
      <c r="I753" s="13" t="s">
        <v>5292</v>
      </c>
      <c r="J753" s="13" t="s">
        <v>5289</v>
      </c>
      <c r="K753" s="13" t="s">
        <v>5292</v>
      </c>
      <c r="L753" s="13" t="s">
        <v>4770</v>
      </c>
      <c r="M753" s="13"/>
      <c r="N753" s="13" t="n">
        <v>7899952324486</v>
      </c>
      <c r="O753" s="13"/>
      <c r="P753" s="13" t="s">
        <v>5304</v>
      </c>
      <c r="Q753" s="13" t="s">
        <v>5289</v>
      </c>
      <c r="R753" s="13" t="s">
        <v>5292</v>
      </c>
      <c r="S753" s="13" t="s">
        <v>5293</v>
      </c>
      <c r="T753" s="13" t="s">
        <v>3</v>
      </c>
      <c r="U753" s="13" t="s">
        <v>43</v>
      </c>
      <c r="V753" s="13" t="n">
        <f aca="false">IF(COUNTIF($B$2:B753,B753)=1,1,0)</f>
        <v>0</v>
      </c>
      <c r="W753" s="13" t="n">
        <f aca="false">IF(COUNTIFS($B$2:B753,B753,$T$2:T753,T753)=1,1,0)</f>
        <v>0</v>
      </c>
    </row>
    <row r="754" customFormat="false" ht="15" hidden="false" customHeight="false" outlineLevel="0" collapsed="false">
      <c r="A754" s="13" t="s">
        <v>1852</v>
      </c>
      <c r="B754" s="13" t="s">
        <v>81</v>
      </c>
      <c r="C754" s="13" t="n">
        <v>320</v>
      </c>
      <c r="D754" s="13" t="n">
        <v>5</v>
      </c>
      <c r="E754" s="13" t="n">
        <v>31.99</v>
      </c>
      <c r="F754" s="13" t="s">
        <v>5288</v>
      </c>
      <c r="G754" s="13" t="s">
        <v>5289</v>
      </c>
      <c r="H754" s="13" t="s">
        <v>5289</v>
      </c>
      <c r="I754" s="13" t="s">
        <v>5292</v>
      </c>
      <c r="J754" s="13" t="s">
        <v>5289</v>
      </c>
      <c r="K754" s="13" t="s">
        <v>5292</v>
      </c>
      <c r="L754" s="13" t="s">
        <v>4775</v>
      </c>
      <c r="M754" s="13"/>
      <c r="N754" s="13" t="n">
        <v>7899206179589</v>
      </c>
      <c r="O754" s="13"/>
      <c r="P754" s="13" t="s">
        <v>5291</v>
      </c>
      <c r="Q754" s="13" t="s">
        <v>5289</v>
      </c>
      <c r="R754" s="13" t="s">
        <v>5292</v>
      </c>
      <c r="S754" s="13" t="s">
        <v>5293</v>
      </c>
      <c r="T754" s="13" t="s">
        <v>3</v>
      </c>
      <c r="U754" s="13" t="s">
        <v>85</v>
      </c>
      <c r="V754" s="13" t="n">
        <f aca="false">IF(COUNTIF($B$2:B754,B754)=1,1,0)</f>
        <v>0</v>
      </c>
      <c r="W754" s="13" t="n">
        <f aca="false">IF(COUNTIFS($B$2:B754,B754,$T$2:T754,T754)=1,1,0)</f>
        <v>0</v>
      </c>
    </row>
    <row r="755" customFormat="false" ht="15" hidden="false" customHeight="false" outlineLevel="0" collapsed="false">
      <c r="A755" s="13" t="s">
        <v>5588</v>
      </c>
      <c r="B755" s="13" t="s">
        <v>2249</v>
      </c>
      <c r="C755" s="13" t="n">
        <v>320</v>
      </c>
      <c r="D755" s="13" t="n">
        <v>2</v>
      </c>
      <c r="E755" s="13" t="n">
        <v>79</v>
      </c>
      <c r="F755" s="13" t="s">
        <v>5288</v>
      </c>
      <c r="G755" s="13" t="s">
        <v>5289</v>
      </c>
      <c r="H755" s="13" t="s">
        <v>5289</v>
      </c>
      <c r="I755" s="13" t="s">
        <v>5289</v>
      </c>
      <c r="J755" s="13" t="s">
        <v>5289</v>
      </c>
      <c r="K755" s="13" t="s">
        <v>5292</v>
      </c>
      <c r="L755" s="13" t="s">
        <v>5589</v>
      </c>
      <c r="M755" s="13"/>
      <c r="N755" s="13" t="n">
        <v>40141385642</v>
      </c>
      <c r="O755" s="13"/>
      <c r="P755" s="13" t="s">
        <v>5291</v>
      </c>
      <c r="Q755" s="13" t="s">
        <v>5289</v>
      </c>
      <c r="R755" s="13" t="s">
        <v>5292</v>
      </c>
      <c r="S755" s="13" t="s">
        <v>5293</v>
      </c>
      <c r="T755" s="13" t="s">
        <v>3</v>
      </c>
      <c r="U755" s="13" t="s">
        <v>85</v>
      </c>
      <c r="V755" s="13" t="n">
        <f aca="false">IF(COUNTIF($B$2:B755,B755)=1,1,0)</f>
        <v>0</v>
      </c>
      <c r="W755" s="13" t="n">
        <f aca="false">IF(COUNTIFS($B$2:B755,B755,$T$2:T755,T755)=1,1,0)</f>
        <v>0</v>
      </c>
    </row>
    <row r="756" customFormat="false" ht="15" hidden="false" customHeight="false" outlineLevel="0" collapsed="false">
      <c r="A756" s="13" t="s">
        <v>1853</v>
      </c>
      <c r="B756" s="13" t="s">
        <v>365</v>
      </c>
      <c r="C756" s="13" t="n">
        <v>320</v>
      </c>
      <c r="D756" s="13" t="n">
        <v>2</v>
      </c>
      <c r="E756" s="13" t="n">
        <v>78.99</v>
      </c>
      <c r="F756" s="13" t="s">
        <v>5288</v>
      </c>
      <c r="G756" s="13" t="s">
        <v>5289</v>
      </c>
      <c r="H756" s="13" t="s">
        <v>5289</v>
      </c>
      <c r="I756" s="13" t="s">
        <v>5292</v>
      </c>
      <c r="J756" s="13" t="s">
        <v>5289</v>
      </c>
      <c r="K756" s="13" t="s">
        <v>5292</v>
      </c>
      <c r="L756" s="13" t="s">
        <v>4779</v>
      </c>
      <c r="M756" s="13"/>
      <c r="N756" s="13" t="n">
        <v>6290362348832</v>
      </c>
      <c r="O756" s="13"/>
      <c r="P756" s="13" t="s">
        <v>5291</v>
      </c>
      <c r="Q756" s="13" t="s">
        <v>5289</v>
      </c>
      <c r="R756" s="13" t="s">
        <v>5292</v>
      </c>
      <c r="S756" s="13" t="s">
        <v>5293</v>
      </c>
      <c r="T756" s="13" t="s">
        <v>3</v>
      </c>
      <c r="U756" s="13" t="s">
        <v>43</v>
      </c>
      <c r="V756" s="13" t="n">
        <f aca="false">IF(COUNTIF($B$2:B756,B756)=1,1,0)</f>
        <v>0</v>
      </c>
      <c r="W756" s="13" t="n">
        <f aca="false">IF(COUNTIFS($B$2:B756,B756,$T$2:T756,T756)=1,1,0)</f>
        <v>0</v>
      </c>
    </row>
    <row r="757" customFormat="false" ht="15" hidden="false" customHeight="false" outlineLevel="0" collapsed="false">
      <c r="A757" s="13" t="s">
        <v>4774</v>
      </c>
      <c r="B757" s="13" t="s">
        <v>2230</v>
      </c>
      <c r="C757" s="13" t="n">
        <v>320</v>
      </c>
      <c r="D757" s="13" t="n">
        <v>2</v>
      </c>
      <c r="E757" s="13" t="n">
        <v>78.99</v>
      </c>
      <c r="F757" s="13" t="s">
        <v>5288</v>
      </c>
      <c r="G757" s="13" t="s">
        <v>5289</v>
      </c>
      <c r="H757" s="13" t="s">
        <v>5289</v>
      </c>
      <c r="I757" s="13" t="s">
        <v>5292</v>
      </c>
      <c r="J757" s="13" t="s">
        <v>5289</v>
      </c>
      <c r="K757" s="13" t="s">
        <v>5292</v>
      </c>
      <c r="L757" s="13" t="s">
        <v>5590</v>
      </c>
      <c r="M757" s="13"/>
      <c r="N757" s="13" t="n">
        <v>8715658969594</v>
      </c>
      <c r="O757" s="13"/>
      <c r="P757" s="13" t="s">
        <v>5291</v>
      </c>
      <c r="Q757" s="13" t="s">
        <v>5289</v>
      </c>
      <c r="R757" s="13" t="s">
        <v>5292</v>
      </c>
      <c r="S757" s="13" t="s">
        <v>5293</v>
      </c>
      <c r="T757" s="13" t="s">
        <v>3</v>
      </c>
      <c r="U757" s="13" t="s">
        <v>43</v>
      </c>
      <c r="V757" s="13" t="n">
        <f aca="false">IF(COUNTIF($B$2:B757,B757)=1,1,0)</f>
        <v>0</v>
      </c>
      <c r="W757" s="13" t="n">
        <f aca="false">IF(COUNTIFS($B$2:B757,B757,$T$2:T757,T757)=1,1,0)</f>
        <v>0</v>
      </c>
    </row>
    <row r="758" customFormat="false" ht="15" hidden="false" customHeight="false" outlineLevel="0" collapsed="false">
      <c r="A758" s="13" t="s">
        <v>4671</v>
      </c>
      <c r="B758" s="13" t="s">
        <v>2218</v>
      </c>
      <c r="C758" s="13" t="n">
        <v>320</v>
      </c>
      <c r="D758" s="13" t="n">
        <v>2</v>
      </c>
      <c r="E758" s="13" t="n">
        <v>78.9</v>
      </c>
      <c r="F758" s="13" t="s">
        <v>5288</v>
      </c>
      <c r="G758" s="13" t="s">
        <v>5289</v>
      </c>
      <c r="H758" s="13" t="s">
        <v>5289</v>
      </c>
      <c r="I758" s="13" t="s">
        <v>5292</v>
      </c>
      <c r="J758" s="13" t="s">
        <v>5289</v>
      </c>
      <c r="K758" s="13" t="s">
        <v>5292</v>
      </c>
      <c r="L758" s="13" t="s">
        <v>4670</v>
      </c>
      <c r="M758" s="13"/>
      <c r="N758" s="13" t="n">
        <v>7898600993234</v>
      </c>
      <c r="O758" s="13"/>
      <c r="P758" s="13" t="s">
        <v>5291</v>
      </c>
      <c r="Q758" s="13" t="s">
        <v>5289</v>
      </c>
      <c r="R758" s="13" t="s">
        <v>5292</v>
      </c>
      <c r="S758" s="13" t="s">
        <v>5293</v>
      </c>
      <c r="T758" s="13" t="s">
        <v>3</v>
      </c>
      <c r="U758" s="13" t="s">
        <v>183</v>
      </c>
      <c r="V758" s="13" t="n">
        <f aca="false">IF(COUNTIF($B$2:B758,B758)=1,1,0)</f>
        <v>0</v>
      </c>
      <c r="W758" s="13" t="n">
        <f aca="false">IF(COUNTIFS($B$2:B758,B758,$T$2:T758,T758)=1,1,0)</f>
        <v>0</v>
      </c>
    </row>
    <row r="759" customFormat="false" ht="15" hidden="false" customHeight="false" outlineLevel="0" collapsed="false">
      <c r="A759" s="13" t="s">
        <v>1866</v>
      </c>
      <c r="B759" s="13" t="s">
        <v>286</v>
      </c>
      <c r="C759" s="13" t="n">
        <v>310</v>
      </c>
      <c r="D759" s="13" t="n">
        <v>1</v>
      </c>
      <c r="E759" s="13" t="n">
        <v>311.99</v>
      </c>
      <c r="F759" s="13" t="s">
        <v>5288</v>
      </c>
      <c r="G759" s="13" t="s">
        <v>5289</v>
      </c>
      <c r="H759" s="13" t="s">
        <v>5289</v>
      </c>
      <c r="I759" s="13" t="s">
        <v>5289</v>
      </c>
      <c r="J759" s="13" t="s">
        <v>5289</v>
      </c>
      <c r="K759" s="13" t="s">
        <v>5292</v>
      </c>
      <c r="L759" s="13" t="s">
        <v>4346</v>
      </c>
      <c r="M759" s="13"/>
      <c r="N759" s="13" t="n">
        <v>6294015132120</v>
      </c>
      <c r="O759" s="13"/>
      <c r="P759" s="13" t="s">
        <v>5291</v>
      </c>
      <c r="Q759" s="13" t="s">
        <v>5289</v>
      </c>
      <c r="R759" s="13" t="s">
        <v>5292</v>
      </c>
      <c r="S759" s="13" t="s">
        <v>5293</v>
      </c>
      <c r="T759" s="13" t="s">
        <v>3</v>
      </c>
      <c r="U759" s="13" t="s">
        <v>43</v>
      </c>
      <c r="V759" s="13" t="n">
        <f aca="false">IF(COUNTIF($B$2:B759,B759)=1,1,0)</f>
        <v>0</v>
      </c>
      <c r="W759" s="13" t="n">
        <f aca="false">IF(COUNTIFS($B$2:B759,B759,$T$2:T759,T759)=1,1,0)</f>
        <v>0</v>
      </c>
    </row>
    <row r="760" customFormat="false" ht="15" hidden="false" customHeight="false" outlineLevel="0" collapsed="false">
      <c r="A760" s="13" t="s">
        <v>4784</v>
      </c>
      <c r="B760" s="13" t="s">
        <v>2218</v>
      </c>
      <c r="C760" s="13" t="n">
        <v>310</v>
      </c>
      <c r="D760" s="13" t="n">
        <v>5</v>
      </c>
      <c r="E760" s="13" t="n">
        <v>51.6</v>
      </c>
      <c r="F760" s="13" t="s">
        <v>5288</v>
      </c>
      <c r="G760" s="13" t="s">
        <v>5289</v>
      </c>
      <c r="H760" s="13" t="s">
        <v>5289</v>
      </c>
      <c r="I760" s="13" t="s">
        <v>5292</v>
      </c>
      <c r="J760" s="13" t="s">
        <v>5289</v>
      </c>
      <c r="K760" s="13" t="s">
        <v>5292</v>
      </c>
      <c r="L760" s="13" t="s">
        <v>4783</v>
      </c>
      <c r="M760" s="13"/>
      <c r="N760" s="13" t="n">
        <v>7898600993005</v>
      </c>
      <c r="O760" s="13"/>
      <c r="P760" s="13" t="s">
        <v>5291</v>
      </c>
      <c r="Q760" s="13" t="s">
        <v>5289</v>
      </c>
      <c r="R760" s="13" t="s">
        <v>5292</v>
      </c>
      <c r="S760" s="13" t="s">
        <v>5293</v>
      </c>
      <c r="T760" s="13" t="s">
        <v>3</v>
      </c>
      <c r="U760" s="13" t="s">
        <v>85</v>
      </c>
      <c r="V760" s="13" t="n">
        <f aca="false">IF(COUNTIF($B$2:B760,B760)=1,1,0)</f>
        <v>0</v>
      </c>
      <c r="W760" s="13" t="n">
        <f aca="false">IF(COUNTIFS($B$2:B760,B760,$T$2:T760,T760)=1,1,0)</f>
        <v>0</v>
      </c>
    </row>
    <row r="761" customFormat="false" ht="15" hidden="false" customHeight="false" outlineLevel="0" collapsed="false">
      <c r="A761" s="13" t="s">
        <v>587</v>
      </c>
      <c r="B761" s="13" t="s">
        <v>114</v>
      </c>
      <c r="C761" s="13" t="n">
        <v>310</v>
      </c>
      <c r="D761" s="13" t="n">
        <v>5</v>
      </c>
      <c r="E761" s="13" t="n">
        <v>61.9</v>
      </c>
      <c r="F761" s="13" t="s">
        <v>5325</v>
      </c>
      <c r="G761" s="13" t="s">
        <v>5289</v>
      </c>
      <c r="H761" s="13" t="s">
        <v>5292</v>
      </c>
      <c r="I761" s="13" t="s">
        <v>5292</v>
      </c>
      <c r="J761" s="13" t="s">
        <v>5289</v>
      </c>
      <c r="K761" s="13" t="s">
        <v>5292</v>
      </c>
      <c r="L761" s="13" t="s">
        <v>3076</v>
      </c>
      <c r="M761" s="13"/>
      <c r="N761" s="13" t="n">
        <v>4975759103080</v>
      </c>
      <c r="O761" s="13"/>
      <c r="P761" s="13" t="s">
        <v>5291</v>
      </c>
      <c r="Q761" s="13" t="s">
        <v>5289</v>
      </c>
      <c r="R761" s="13" t="s">
        <v>5292</v>
      </c>
      <c r="S761" s="13" t="s">
        <v>5293</v>
      </c>
      <c r="T761" s="13" t="s">
        <v>3</v>
      </c>
      <c r="U761" s="13" t="s">
        <v>115</v>
      </c>
      <c r="V761" s="13" t="n">
        <f aca="false">IF(COUNTIF($B$2:B761,B761)=1,1,0)</f>
        <v>0</v>
      </c>
      <c r="W761" s="13" t="n">
        <f aca="false">IF(COUNTIFS($B$2:B761,B761,$T$2:T761,T761)=1,1,0)</f>
        <v>0</v>
      </c>
    </row>
    <row r="762" customFormat="false" ht="15" hidden="false" customHeight="false" outlineLevel="0" collapsed="false">
      <c r="A762" s="13" t="s">
        <v>5591</v>
      </c>
      <c r="B762" s="13" t="s">
        <v>2169</v>
      </c>
      <c r="C762" s="13" t="n">
        <v>310</v>
      </c>
      <c r="D762" s="13" t="n">
        <v>5</v>
      </c>
      <c r="E762" s="13" t="n">
        <v>61.84</v>
      </c>
      <c r="F762" s="13" t="s">
        <v>5288</v>
      </c>
      <c r="G762" s="13" t="s">
        <v>5289</v>
      </c>
      <c r="H762" s="13" t="s">
        <v>5289</v>
      </c>
      <c r="I762" s="13" t="s">
        <v>5292</v>
      </c>
      <c r="J762" s="13" t="s">
        <v>5289</v>
      </c>
      <c r="K762" s="13" t="s">
        <v>5289</v>
      </c>
      <c r="L762" s="13" t="s">
        <v>5592</v>
      </c>
      <c r="M762" s="13"/>
      <c r="N762" s="13"/>
      <c r="O762" s="13"/>
      <c r="P762" s="13" t="s">
        <v>5291</v>
      </c>
      <c r="Q762" s="13" t="s">
        <v>5289</v>
      </c>
      <c r="R762" s="13" t="s">
        <v>5292</v>
      </c>
      <c r="S762" s="13" t="s">
        <v>5293</v>
      </c>
      <c r="T762" s="13" t="s">
        <v>3</v>
      </c>
      <c r="U762" s="13" t="s">
        <v>85</v>
      </c>
      <c r="V762" s="13" t="n">
        <f aca="false">IF(COUNTIF($B$2:B762,B762)=1,1,0)</f>
        <v>0</v>
      </c>
      <c r="W762" s="13" t="n">
        <f aca="false">IF(COUNTIFS($B$2:B762,B762,$T$2:T762,T762)=1,1,0)</f>
        <v>0</v>
      </c>
    </row>
    <row r="763" customFormat="false" ht="15" hidden="false" customHeight="false" outlineLevel="0" collapsed="false">
      <c r="A763" s="13" t="s">
        <v>5593</v>
      </c>
      <c r="B763" s="13" t="s">
        <v>2195</v>
      </c>
      <c r="C763" s="13" t="n">
        <v>310</v>
      </c>
      <c r="D763" s="13" t="n">
        <v>2</v>
      </c>
      <c r="E763" s="13" t="n">
        <v>77.13</v>
      </c>
      <c r="F763" s="13" t="s">
        <v>5288</v>
      </c>
      <c r="G763" s="13" t="s">
        <v>5289</v>
      </c>
      <c r="H763" s="13" t="s">
        <v>5292</v>
      </c>
      <c r="I763" s="13" t="s">
        <v>5292</v>
      </c>
      <c r="J763" s="13" t="s">
        <v>5289</v>
      </c>
      <c r="K763" s="13" t="s">
        <v>5292</v>
      </c>
      <c r="L763" s="13" t="s">
        <v>3229</v>
      </c>
      <c r="M763" s="13"/>
      <c r="N763" s="13" t="n">
        <v>7899651850095</v>
      </c>
      <c r="O763" s="13"/>
      <c r="P763" s="13" t="s">
        <v>5291</v>
      </c>
      <c r="Q763" s="13" t="s">
        <v>5289</v>
      </c>
      <c r="R763" s="13" t="s">
        <v>5292</v>
      </c>
      <c r="S763" s="13" t="s">
        <v>5293</v>
      </c>
      <c r="T763" s="13" t="s">
        <v>3</v>
      </c>
      <c r="U763" s="13" t="s">
        <v>129</v>
      </c>
      <c r="V763" s="13" t="n">
        <f aca="false">IF(COUNTIF($B$2:B763,B763)=1,1,0)</f>
        <v>0</v>
      </c>
      <c r="W763" s="13" t="n">
        <f aca="false">IF(COUNTIFS($B$2:B763,B763,$T$2:T763,T763)=1,1,0)</f>
        <v>0</v>
      </c>
    </row>
    <row r="764" customFormat="false" ht="15" hidden="false" customHeight="false" outlineLevel="0" collapsed="false">
      <c r="A764" s="13" t="s">
        <v>1865</v>
      </c>
      <c r="B764" s="13" t="s">
        <v>365</v>
      </c>
      <c r="C764" s="13" t="n">
        <v>310</v>
      </c>
      <c r="D764" s="13" t="n">
        <v>1</v>
      </c>
      <c r="E764" s="13" t="n">
        <v>307.99</v>
      </c>
      <c r="F764" s="13" t="s">
        <v>5288</v>
      </c>
      <c r="G764" s="13" t="s">
        <v>5289</v>
      </c>
      <c r="H764" s="13" t="s">
        <v>5292</v>
      </c>
      <c r="I764" s="13" t="s">
        <v>5289</v>
      </c>
      <c r="J764" s="13" t="s">
        <v>5289</v>
      </c>
      <c r="K764" s="13" t="s">
        <v>5292</v>
      </c>
      <c r="L764" s="13" t="s">
        <v>4781</v>
      </c>
      <c r="M764" s="13"/>
      <c r="N764" s="13" t="n">
        <v>6290360592695</v>
      </c>
      <c r="O764" s="13"/>
      <c r="P764" s="13" t="s">
        <v>5291</v>
      </c>
      <c r="Q764" s="13" t="s">
        <v>5289</v>
      </c>
      <c r="R764" s="13" t="s">
        <v>5292</v>
      </c>
      <c r="S764" s="13" t="s">
        <v>5293</v>
      </c>
      <c r="T764" s="13" t="s">
        <v>3</v>
      </c>
      <c r="U764" s="13" t="s">
        <v>43</v>
      </c>
      <c r="V764" s="13" t="n">
        <f aca="false">IF(COUNTIF($B$2:B764,B764)=1,1,0)</f>
        <v>0</v>
      </c>
      <c r="W764" s="13" t="n">
        <f aca="false">IF(COUNTIFS($B$2:B764,B764,$T$2:T764,T764)=1,1,0)</f>
        <v>0</v>
      </c>
    </row>
    <row r="765" customFormat="false" ht="15" hidden="false" customHeight="false" outlineLevel="0" collapsed="false">
      <c r="A765" s="13" t="s">
        <v>5594</v>
      </c>
      <c r="B765" s="13" t="s">
        <v>2221</v>
      </c>
      <c r="C765" s="13" t="n">
        <v>300</v>
      </c>
      <c r="D765" s="13" t="n">
        <v>1</v>
      </c>
      <c r="E765" s="13" t="n">
        <v>305</v>
      </c>
      <c r="F765" s="13" t="s">
        <v>5325</v>
      </c>
      <c r="G765" s="13" t="s">
        <v>5289</v>
      </c>
      <c r="H765" s="13" t="s">
        <v>5289</v>
      </c>
      <c r="I765" s="13" t="s">
        <v>5289</v>
      </c>
      <c r="J765" s="13" t="s">
        <v>5289</v>
      </c>
      <c r="K765" s="13" t="s">
        <v>5292</v>
      </c>
      <c r="L765" s="13" t="s">
        <v>5552</v>
      </c>
      <c r="M765" s="13"/>
      <c r="N765" s="13" t="n">
        <v>40232896750</v>
      </c>
      <c r="O765" s="13"/>
      <c r="P765" s="13" t="s">
        <v>5291</v>
      </c>
      <c r="Q765" s="13" t="s">
        <v>5289</v>
      </c>
      <c r="R765" s="13" t="s">
        <v>5292</v>
      </c>
      <c r="S765" s="13" t="s">
        <v>5293</v>
      </c>
      <c r="T765" s="13" t="s">
        <v>3</v>
      </c>
      <c r="U765" s="13" t="s">
        <v>85</v>
      </c>
      <c r="V765" s="13" t="n">
        <f aca="false">IF(COUNTIF($B$2:B765,B765)=1,1,0)</f>
        <v>0</v>
      </c>
      <c r="W765" s="13" t="n">
        <f aca="false">IF(COUNTIFS($B$2:B765,B765,$T$2:T765,T765)=1,1,0)</f>
        <v>0</v>
      </c>
    </row>
    <row r="766" customFormat="false" ht="15" hidden="false" customHeight="false" outlineLevel="0" collapsed="false">
      <c r="A766" s="13" t="s">
        <v>2994</v>
      </c>
      <c r="B766" s="13" t="s">
        <v>2097</v>
      </c>
      <c r="C766" s="13" t="n">
        <v>300</v>
      </c>
      <c r="D766" s="13" t="n">
        <v>5</v>
      </c>
      <c r="E766" s="13" t="n">
        <v>60.98</v>
      </c>
      <c r="F766" s="13" t="s">
        <v>5288</v>
      </c>
      <c r="G766" s="13" t="s">
        <v>5289</v>
      </c>
      <c r="H766" s="13" t="s">
        <v>5292</v>
      </c>
      <c r="I766" s="13" t="s">
        <v>5292</v>
      </c>
      <c r="J766" s="13" t="s">
        <v>5289</v>
      </c>
      <c r="K766" s="13" t="s">
        <v>5292</v>
      </c>
      <c r="L766" s="13" t="s">
        <v>2993</v>
      </c>
      <c r="M766" s="13"/>
      <c r="N766" s="13" t="n">
        <v>7908407007789</v>
      </c>
      <c r="O766" s="13"/>
      <c r="P766" s="13" t="s">
        <v>5291</v>
      </c>
      <c r="Q766" s="13" t="s">
        <v>5289</v>
      </c>
      <c r="R766" s="13" t="s">
        <v>5292</v>
      </c>
      <c r="S766" s="13" t="s">
        <v>5293</v>
      </c>
      <c r="T766" s="13" t="s">
        <v>3</v>
      </c>
      <c r="U766" s="13" t="s">
        <v>140</v>
      </c>
      <c r="V766" s="13" t="n">
        <f aca="false">IF(COUNTIF($B$2:B766,B766)=1,1,0)</f>
        <v>0</v>
      </c>
      <c r="W766" s="13" t="n">
        <f aca="false">IF(COUNTIFS($B$2:B766,B766,$T$2:T766,T766)=1,1,0)</f>
        <v>0</v>
      </c>
    </row>
    <row r="767" customFormat="false" ht="15" hidden="false" customHeight="false" outlineLevel="0" collapsed="false">
      <c r="A767" s="13" t="s">
        <v>4804</v>
      </c>
      <c r="B767" s="13" t="s">
        <v>2101</v>
      </c>
      <c r="C767" s="13" t="n">
        <v>300</v>
      </c>
      <c r="D767" s="13" t="n">
        <v>5</v>
      </c>
      <c r="E767" s="13" t="n">
        <v>50</v>
      </c>
      <c r="F767" s="13" t="s">
        <v>5288</v>
      </c>
      <c r="G767" s="13" t="s">
        <v>5289</v>
      </c>
      <c r="H767" s="13" t="s">
        <v>5289</v>
      </c>
      <c r="I767" s="13" t="s">
        <v>5292</v>
      </c>
      <c r="J767" s="13" t="s">
        <v>5289</v>
      </c>
      <c r="K767" s="13" t="s">
        <v>5292</v>
      </c>
      <c r="L767" s="13" t="s">
        <v>4803</v>
      </c>
      <c r="M767" s="13"/>
      <c r="N767" s="13" t="n">
        <v>7908412514425</v>
      </c>
      <c r="O767" s="13"/>
      <c r="P767" s="13" t="s">
        <v>5297</v>
      </c>
      <c r="Q767" s="13" t="s">
        <v>5289</v>
      </c>
      <c r="R767" s="13" t="s">
        <v>5292</v>
      </c>
      <c r="S767" s="13" t="s">
        <v>5293</v>
      </c>
      <c r="T767" s="13" t="s">
        <v>3</v>
      </c>
      <c r="U767" s="13" t="s">
        <v>129</v>
      </c>
      <c r="V767" s="13" t="n">
        <f aca="false">IF(COUNTIF($B$2:B767,B767)=1,1,0)</f>
        <v>0</v>
      </c>
      <c r="W767" s="13" t="n">
        <f aca="false">IF(COUNTIFS($B$2:B767,B767,$T$2:T767,T767)=1,1,0)</f>
        <v>0</v>
      </c>
    </row>
    <row r="768" customFormat="false" ht="15" hidden="false" customHeight="false" outlineLevel="0" collapsed="false">
      <c r="A768" s="13" t="s">
        <v>1876</v>
      </c>
      <c r="B768" s="13" t="s">
        <v>191</v>
      </c>
      <c r="C768" s="13" t="n">
        <v>300</v>
      </c>
      <c r="D768" s="13" t="n">
        <v>20</v>
      </c>
      <c r="E768" s="13" t="n">
        <v>19.99</v>
      </c>
      <c r="F768" s="13" t="s">
        <v>5288</v>
      </c>
      <c r="G768" s="13" t="s">
        <v>5289</v>
      </c>
      <c r="H768" s="13" t="s">
        <v>5289</v>
      </c>
      <c r="I768" s="13" t="s">
        <v>5292</v>
      </c>
      <c r="J768" s="13" t="s">
        <v>5289</v>
      </c>
      <c r="K768" s="13" t="s">
        <v>5292</v>
      </c>
      <c r="L768" s="13" t="s">
        <v>4808</v>
      </c>
      <c r="M768" s="13"/>
      <c r="N768" s="13" t="n">
        <v>7896768470871</v>
      </c>
      <c r="O768" s="13"/>
      <c r="P768" s="13" t="s">
        <v>5297</v>
      </c>
      <c r="Q768" s="13" t="s">
        <v>5289</v>
      </c>
      <c r="R768" s="13" t="s">
        <v>5292</v>
      </c>
      <c r="S768" s="13" t="s">
        <v>5293</v>
      </c>
      <c r="T768" s="13" t="s">
        <v>3</v>
      </c>
      <c r="U768" s="13" t="s">
        <v>183</v>
      </c>
      <c r="V768" s="13" t="n">
        <f aca="false">IF(COUNTIF($B$2:B768,B768)=1,1,0)</f>
        <v>0</v>
      </c>
      <c r="W768" s="13" t="n">
        <f aca="false">IF(COUNTIFS($B$2:B768,B768,$T$2:T768,T768)=1,1,0)</f>
        <v>0</v>
      </c>
    </row>
    <row r="769" customFormat="false" ht="15" hidden="false" customHeight="false" outlineLevel="0" collapsed="false">
      <c r="A769" s="13" t="s">
        <v>4801</v>
      </c>
      <c r="B769" s="13" t="s">
        <v>2262</v>
      </c>
      <c r="C769" s="13" t="n">
        <v>300</v>
      </c>
      <c r="D769" s="13" t="n">
        <v>2</v>
      </c>
      <c r="E769" s="13" t="n">
        <v>147.92</v>
      </c>
      <c r="F769" s="13" t="s">
        <v>5288</v>
      </c>
      <c r="G769" s="13" t="s">
        <v>5289</v>
      </c>
      <c r="H769" s="13" t="s">
        <v>5289</v>
      </c>
      <c r="I769" s="13" t="s">
        <v>5289</v>
      </c>
      <c r="J769" s="13" t="s">
        <v>5289</v>
      </c>
      <c r="K769" s="13" t="s">
        <v>5289</v>
      </c>
      <c r="L769" s="13" t="s">
        <v>5595</v>
      </c>
      <c r="M769" s="13"/>
      <c r="N769" s="13" t="n">
        <v>6924574517228</v>
      </c>
      <c r="O769" s="13"/>
      <c r="P769" s="13" t="s">
        <v>5297</v>
      </c>
      <c r="Q769" s="13" t="s">
        <v>5289</v>
      </c>
      <c r="R769" s="13" t="s">
        <v>5292</v>
      </c>
      <c r="S769" s="13" t="s">
        <v>5293</v>
      </c>
      <c r="T769" s="13" t="s">
        <v>3</v>
      </c>
      <c r="U769" s="13" t="s">
        <v>43</v>
      </c>
      <c r="V769" s="13" t="n">
        <f aca="false">IF(COUNTIF($B$2:B769,B769)=1,1,0)</f>
        <v>1</v>
      </c>
      <c r="W769" s="13" t="n">
        <f aca="false">IF(COUNTIFS($B$2:B769,B769,$T$2:T769,T769)=1,1,0)</f>
        <v>1</v>
      </c>
    </row>
    <row r="770" customFormat="false" ht="15" hidden="false" customHeight="false" outlineLevel="0" collapsed="false">
      <c r="A770" s="13" t="s">
        <v>4817</v>
      </c>
      <c r="B770" s="13" t="s">
        <v>2278</v>
      </c>
      <c r="C770" s="13" t="n">
        <v>290</v>
      </c>
      <c r="D770" s="13" t="n">
        <v>1</v>
      </c>
      <c r="E770" s="13" t="n">
        <v>293.99</v>
      </c>
      <c r="F770" s="13" t="s">
        <v>5288</v>
      </c>
      <c r="G770" s="13" t="s">
        <v>5289</v>
      </c>
      <c r="H770" s="13" t="s">
        <v>5289</v>
      </c>
      <c r="I770" s="13" t="s">
        <v>5289</v>
      </c>
      <c r="J770" s="13" t="s">
        <v>5289</v>
      </c>
      <c r="K770" s="13" t="s">
        <v>5292</v>
      </c>
      <c r="L770" s="13" t="s">
        <v>5596</v>
      </c>
      <c r="M770" s="13"/>
      <c r="N770" s="13" t="n">
        <v>7897013513725</v>
      </c>
      <c r="O770" s="13"/>
      <c r="P770" s="13" t="s">
        <v>5291</v>
      </c>
      <c r="Q770" s="13" t="s">
        <v>5289</v>
      </c>
      <c r="R770" s="13" t="s">
        <v>5292</v>
      </c>
      <c r="S770" s="13" t="s">
        <v>5293</v>
      </c>
      <c r="T770" s="13" t="s">
        <v>3</v>
      </c>
      <c r="U770" s="13" t="s">
        <v>144</v>
      </c>
      <c r="V770" s="13" t="n">
        <f aca="false">IF(COUNTIF($B$2:B770,B770)=1,1,0)</f>
        <v>1</v>
      </c>
      <c r="W770" s="13" t="n">
        <f aca="false">IF(COUNTIFS($B$2:B770,B770,$T$2:T770,T770)=1,1,0)</f>
        <v>1</v>
      </c>
    </row>
    <row r="771" customFormat="false" ht="15" hidden="false" customHeight="false" outlineLevel="0" collapsed="false">
      <c r="A771" s="13" t="s">
        <v>4828</v>
      </c>
      <c r="B771" s="13" t="s">
        <v>2142</v>
      </c>
      <c r="C771" s="13" t="n">
        <v>280</v>
      </c>
      <c r="D771" s="13" t="n">
        <v>5</v>
      </c>
      <c r="E771" s="13" t="n">
        <v>46.96</v>
      </c>
      <c r="F771" s="13" t="s">
        <v>5288</v>
      </c>
      <c r="G771" s="13" t="s">
        <v>5289</v>
      </c>
      <c r="H771" s="13" t="s">
        <v>5289</v>
      </c>
      <c r="I771" s="13" t="s">
        <v>5292</v>
      </c>
      <c r="J771" s="13" t="s">
        <v>5289</v>
      </c>
      <c r="K771" s="13" t="s">
        <v>5292</v>
      </c>
      <c r="L771" s="13" t="s">
        <v>5597</v>
      </c>
      <c r="M771" s="13"/>
      <c r="N771" s="13" t="n">
        <v>7898952577472</v>
      </c>
      <c r="O771" s="13"/>
      <c r="P771" s="13" t="s">
        <v>5291</v>
      </c>
      <c r="Q771" s="13" t="s">
        <v>5289</v>
      </c>
      <c r="R771" s="13" t="s">
        <v>5292</v>
      </c>
      <c r="S771" s="13" t="s">
        <v>5293</v>
      </c>
      <c r="T771" s="13" t="s">
        <v>3</v>
      </c>
      <c r="U771" s="13" t="s">
        <v>85</v>
      </c>
      <c r="V771" s="13" t="n">
        <f aca="false">IF(COUNTIF($B$2:B771,B771)=1,1,0)</f>
        <v>0</v>
      </c>
      <c r="W771" s="13" t="n">
        <f aca="false">IF(COUNTIFS($B$2:B771,B771,$T$2:T771,T771)=1,1,0)</f>
        <v>0</v>
      </c>
    </row>
    <row r="772" customFormat="false" ht="15" hidden="false" customHeight="false" outlineLevel="0" collapsed="false">
      <c r="A772" s="13" t="s">
        <v>4839</v>
      </c>
      <c r="B772" s="13" t="s">
        <v>2108</v>
      </c>
      <c r="C772" s="13" t="n">
        <v>280</v>
      </c>
      <c r="D772" s="13" t="n">
        <v>5</v>
      </c>
      <c r="E772" s="13" t="n">
        <v>39.99</v>
      </c>
      <c r="F772" s="13" t="s">
        <v>5288</v>
      </c>
      <c r="G772" s="13" t="s">
        <v>5289</v>
      </c>
      <c r="H772" s="13" t="s">
        <v>5289</v>
      </c>
      <c r="I772" s="13" t="s">
        <v>5292</v>
      </c>
      <c r="J772" s="13" t="s">
        <v>5289</v>
      </c>
      <c r="K772" s="13" t="s">
        <v>5292</v>
      </c>
      <c r="L772" s="13" t="s">
        <v>4838</v>
      </c>
      <c r="M772" s="13"/>
      <c r="N772" s="13" t="n">
        <v>7891114157567</v>
      </c>
      <c r="O772" s="13"/>
      <c r="P772" s="13" t="s">
        <v>5291</v>
      </c>
      <c r="Q772" s="13" t="s">
        <v>5289</v>
      </c>
      <c r="R772" s="13" t="s">
        <v>5292</v>
      </c>
      <c r="S772" s="13" t="s">
        <v>5293</v>
      </c>
      <c r="T772" s="13" t="s">
        <v>3</v>
      </c>
      <c r="U772" s="13" t="s">
        <v>85</v>
      </c>
      <c r="V772" s="13" t="n">
        <f aca="false">IF(COUNTIF($B$2:B772,B772)=1,1,0)</f>
        <v>0</v>
      </c>
      <c r="W772" s="13" t="n">
        <f aca="false">IF(COUNTIFS($B$2:B772,B772,$T$2:T772,T772)=1,1,0)</f>
        <v>0</v>
      </c>
    </row>
    <row r="773" customFormat="false" ht="15" hidden="false" customHeight="false" outlineLevel="0" collapsed="false">
      <c r="A773" s="13" t="s">
        <v>4824</v>
      </c>
      <c r="B773" s="13" t="s">
        <v>2142</v>
      </c>
      <c r="C773" s="13" t="n">
        <v>280</v>
      </c>
      <c r="D773" s="13" t="n">
        <v>5</v>
      </c>
      <c r="E773" s="13" t="n">
        <v>46.23</v>
      </c>
      <c r="F773" s="13" t="s">
        <v>5288</v>
      </c>
      <c r="G773" s="13" t="s">
        <v>5289</v>
      </c>
      <c r="H773" s="13" t="s">
        <v>5289</v>
      </c>
      <c r="I773" s="13" t="s">
        <v>5292</v>
      </c>
      <c r="J773" s="13" t="s">
        <v>5289</v>
      </c>
      <c r="K773" s="13" t="s">
        <v>5292</v>
      </c>
      <c r="L773" s="13" t="s">
        <v>4823</v>
      </c>
      <c r="M773" s="13"/>
      <c r="N773" s="13" t="n">
        <v>7908038607488</v>
      </c>
      <c r="O773" s="13"/>
      <c r="P773" s="13" t="s">
        <v>5291</v>
      </c>
      <c r="Q773" s="13" t="s">
        <v>5289</v>
      </c>
      <c r="R773" s="13" t="s">
        <v>5292</v>
      </c>
      <c r="S773" s="13" t="s">
        <v>5293</v>
      </c>
      <c r="T773" s="13" t="s">
        <v>3</v>
      </c>
      <c r="U773" s="13" t="s">
        <v>85</v>
      </c>
      <c r="V773" s="13" t="n">
        <f aca="false">IF(COUNTIF($B$2:B773,B773)=1,1,0)</f>
        <v>0</v>
      </c>
      <c r="W773" s="13" t="n">
        <f aca="false">IF(COUNTIFS($B$2:B773,B773,$T$2:T773,T773)=1,1,0)</f>
        <v>0</v>
      </c>
    </row>
    <row r="774" customFormat="false" ht="15" hidden="false" customHeight="false" outlineLevel="0" collapsed="false">
      <c r="A774" s="13" t="s">
        <v>4834</v>
      </c>
      <c r="B774" s="13" t="s">
        <v>2279</v>
      </c>
      <c r="C774" s="13" t="n">
        <v>280</v>
      </c>
      <c r="D774" s="13" t="n">
        <v>2</v>
      </c>
      <c r="E774" s="13" t="n">
        <v>137.74</v>
      </c>
      <c r="F774" s="13" t="s">
        <v>5288</v>
      </c>
      <c r="G774" s="13" t="s">
        <v>5289</v>
      </c>
      <c r="H774" s="13" t="s">
        <v>5289</v>
      </c>
      <c r="I774" s="13" t="s">
        <v>5289</v>
      </c>
      <c r="J774" s="13" t="s">
        <v>5289</v>
      </c>
      <c r="K774" s="13" t="s">
        <v>5289</v>
      </c>
      <c r="L774" s="13" t="s">
        <v>4833</v>
      </c>
      <c r="M774" s="13"/>
      <c r="N774" s="13" t="n">
        <v>7898740530535</v>
      </c>
      <c r="O774" s="13"/>
      <c r="P774" s="13" t="s">
        <v>5291</v>
      </c>
      <c r="Q774" s="13" t="s">
        <v>5289</v>
      </c>
      <c r="R774" s="13" t="s">
        <v>5292</v>
      </c>
      <c r="S774" s="13" t="s">
        <v>5293</v>
      </c>
      <c r="T774" s="13" t="s">
        <v>3</v>
      </c>
      <c r="U774" s="13" t="s">
        <v>183</v>
      </c>
      <c r="V774" s="13" t="n">
        <f aca="false">IF(COUNTIF($B$2:B774,B774)=1,1,0)</f>
        <v>1</v>
      </c>
      <c r="W774" s="13" t="n">
        <f aca="false">IF(COUNTIFS($B$2:B774,B774,$T$2:T774,T774)=1,1,0)</f>
        <v>1</v>
      </c>
    </row>
    <row r="775" customFormat="false" ht="15" hidden="false" customHeight="false" outlineLevel="0" collapsed="false">
      <c r="A775" s="13" t="s">
        <v>5598</v>
      </c>
      <c r="B775" s="13" t="s">
        <v>2148</v>
      </c>
      <c r="C775" s="13" t="n">
        <v>270</v>
      </c>
      <c r="D775" s="13" t="n">
        <v>1</v>
      </c>
      <c r="E775" s="13" t="n">
        <v>274.99</v>
      </c>
      <c r="F775" s="13" t="s">
        <v>5288</v>
      </c>
      <c r="G775" s="13" t="s">
        <v>5289</v>
      </c>
      <c r="H775" s="13" t="s">
        <v>5292</v>
      </c>
      <c r="I775" s="13" t="s">
        <v>5289</v>
      </c>
      <c r="J775" s="13" t="s">
        <v>5289</v>
      </c>
      <c r="K775" s="13" t="s">
        <v>5289</v>
      </c>
      <c r="L775" s="13" t="s">
        <v>2680</v>
      </c>
      <c r="M775" s="13"/>
      <c r="N775" s="13" t="n">
        <v>7891033517831</v>
      </c>
      <c r="O775" s="13"/>
      <c r="P775" s="13" t="s">
        <v>5291</v>
      </c>
      <c r="Q775" s="13" t="s">
        <v>5289</v>
      </c>
      <c r="R775" s="13" t="s">
        <v>5292</v>
      </c>
      <c r="S775" s="13" t="s">
        <v>5293</v>
      </c>
      <c r="T775" s="13" t="s">
        <v>3</v>
      </c>
      <c r="U775" s="13" t="s">
        <v>43</v>
      </c>
      <c r="V775" s="13" t="n">
        <f aca="false">IF(COUNTIF($B$2:B775,B775)=1,1,0)</f>
        <v>0</v>
      </c>
      <c r="W775" s="13" t="n">
        <f aca="false">IF(COUNTIFS($B$2:B775,B775,$T$2:T775,T775)=1,1,0)</f>
        <v>0</v>
      </c>
    </row>
    <row r="776" customFormat="false" ht="15" hidden="false" customHeight="false" outlineLevel="0" collapsed="false">
      <c r="A776" s="13" t="s">
        <v>4850</v>
      </c>
      <c r="B776" s="13" t="s">
        <v>2099</v>
      </c>
      <c r="C776" s="13" t="n">
        <v>270</v>
      </c>
      <c r="D776" s="13" t="n">
        <v>10</v>
      </c>
      <c r="E776" s="13" t="n">
        <v>24.99</v>
      </c>
      <c r="F776" s="13" t="s">
        <v>5288</v>
      </c>
      <c r="G776" s="13" t="s">
        <v>5289</v>
      </c>
      <c r="H776" s="13" t="s">
        <v>5289</v>
      </c>
      <c r="I776" s="13" t="s">
        <v>5292</v>
      </c>
      <c r="J776" s="13" t="s">
        <v>5289</v>
      </c>
      <c r="K776" s="13" t="s">
        <v>5292</v>
      </c>
      <c r="L776" s="13" t="s">
        <v>4849</v>
      </c>
      <c r="M776" s="13"/>
      <c r="N776" s="13" t="n">
        <v>7899952328835</v>
      </c>
      <c r="O776" s="13"/>
      <c r="P776" s="13" t="s">
        <v>5291</v>
      </c>
      <c r="Q776" s="13" t="s">
        <v>5289</v>
      </c>
      <c r="R776" s="13" t="s">
        <v>5292</v>
      </c>
      <c r="S776" s="13" t="s">
        <v>5293</v>
      </c>
      <c r="T776" s="13" t="s">
        <v>3</v>
      </c>
      <c r="U776" s="13" t="s">
        <v>43</v>
      </c>
      <c r="V776" s="13" t="n">
        <f aca="false">IF(COUNTIF($B$2:B776,B776)=1,1,0)</f>
        <v>0</v>
      </c>
      <c r="W776" s="13" t="n">
        <f aca="false">IF(COUNTIFS($B$2:B776,B776,$T$2:T776,T776)=1,1,0)</f>
        <v>0</v>
      </c>
    </row>
    <row r="777" customFormat="false" ht="15" hidden="false" customHeight="false" outlineLevel="0" collapsed="false">
      <c r="A777" s="13" t="s">
        <v>4853</v>
      </c>
      <c r="B777" s="13" t="s">
        <v>2187</v>
      </c>
      <c r="C777" s="13" t="n">
        <v>270</v>
      </c>
      <c r="D777" s="13" t="n">
        <v>2</v>
      </c>
      <c r="E777" s="13" t="n">
        <v>136.83</v>
      </c>
      <c r="F777" s="13" t="s">
        <v>5325</v>
      </c>
      <c r="G777" s="13" t="s">
        <v>5289</v>
      </c>
      <c r="H777" s="13" t="s">
        <v>5289</v>
      </c>
      <c r="I777" s="13" t="s">
        <v>5289</v>
      </c>
      <c r="J777" s="13" t="s">
        <v>5289</v>
      </c>
      <c r="K777" s="13" t="s">
        <v>5292</v>
      </c>
      <c r="L777" s="13" t="s">
        <v>5599</v>
      </c>
      <c r="M777" s="13"/>
      <c r="N777" s="13" t="n">
        <v>7908791000366</v>
      </c>
      <c r="O777" s="13"/>
      <c r="P777" s="13" t="s">
        <v>5297</v>
      </c>
      <c r="Q777" s="13" t="s">
        <v>5289</v>
      </c>
      <c r="R777" s="13" t="s">
        <v>5292</v>
      </c>
      <c r="S777" s="13" t="s">
        <v>5293</v>
      </c>
      <c r="T777" s="13" t="s">
        <v>3</v>
      </c>
      <c r="U777" s="13" t="s">
        <v>85</v>
      </c>
      <c r="V777" s="13" t="n">
        <f aca="false">IF(COUNTIF($B$2:B777,B777)=1,1,0)</f>
        <v>0</v>
      </c>
      <c r="W777" s="13" t="n">
        <f aca="false">IF(COUNTIFS($B$2:B777,B777,$T$2:T777,T777)=1,1,0)</f>
        <v>0</v>
      </c>
    </row>
    <row r="778" customFormat="false" ht="15" hidden="false" customHeight="false" outlineLevel="0" collapsed="false">
      <c r="A778" s="13" t="s">
        <v>4861</v>
      </c>
      <c r="B778" s="13" t="s">
        <v>2226</v>
      </c>
      <c r="C778" s="13" t="n">
        <v>270</v>
      </c>
      <c r="D778" s="13" t="n">
        <v>2</v>
      </c>
      <c r="E778" s="13" t="n">
        <v>90</v>
      </c>
      <c r="F778" s="13" t="s">
        <v>5288</v>
      </c>
      <c r="G778" s="13" t="s">
        <v>5289</v>
      </c>
      <c r="H778" s="13" t="s">
        <v>5289</v>
      </c>
      <c r="I778" s="13" t="s">
        <v>5289</v>
      </c>
      <c r="J778" s="13" t="s">
        <v>5289</v>
      </c>
      <c r="K778" s="13" t="s">
        <v>5292</v>
      </c>
      <c r="L778" s="13" t="s">
        <v>4860</v>
      </c>
      <c r="M778" s="13"/>
      <c r="N778" s="13" t="n">
        <v>7899612718228</v>
      </c>
      <c r="O778" s="13"/>
      <c r="P778" s="13" t="s">
        <v>5297</v>
      </c>
      <c r="Q778" s="13" t="s">
        <v>5289</v>
      </c>
      <c r="R778" s="13" t="s">
        <v>5292</v>
      </c>
      <c r="S778" s="13" t="s">
        <v>5293</v>
      </c>
      <c r="T778" s="13" t="s">
        <v>3</v>
      </c>
      <c r="U778" s="13" t="s">
        <v>85</v>
      </c>
      <c r="V778" s="13" t="n">
        <f aca="false">IF(COUNTIF($B$2:B778,B778)=1,1,0)</f>
        <v>0</v>
      </c>
      <c r="W778" s="13" t="n">
        <f aca="false">IF(COUNTIFS($B$2:B778,B778,$T$2:T778,T778)=1,1,0)</f>
        <v>0</v>
      </c>
    </row>
    <row r="779" customFormat="false" ht="15" hidden="false" customHeight="false" outlineLevel="0" collapsed="false">
      <c r="A779" s="13" t="s">
        <v>4863</v>
      </c>
      <c r="B779" s="13" t="s">
        <v>2113</v>
      </c>
      <c r="C779" s="13" t="n">
        <v>270</v>
      </c>
      <c r="D779" s="13" t="n">
        <v>2</v>
      </c>
      <c r="E779" s="13" t="n">
        <v>89.99</v>
      </c>
      <c r="F779" s="13" t="s">
        <v>5288</v>
      </c>
      <c r="G779" s="13" t="s">
        <v>5289</v>
      </c>
      <c r="H779" s="13" t="s">
        <v>5289</v>
      </c>
      <c r="I779" s="13" t="s">
        <v>5289</v>
      </c>
      <c r="J779" s="13" t="s">
        <v>5289</v>
      </c>
      <c r="K779" s="13" t="s">
        <v>5292</v>
      </c>
      <c r="L779" s="13" t="s">
        <v>4862</v>
      </c>
      <c r="M779" s="13"/>
      <c r="N779" s="13" t="n">
        <v>7898741806042</v>
      </c>
      <c r="O779" s="13"/>
      <c r="P779" s="13" t="s">
        <v>5291</v>
      </c>
      <c r="Q779" s="13" t="s">
        <v>5289</v>
      </c>
      <c r="R779" s="13" t="s">
        <v>5292</v>
      </c>
      <c r="S779" s="13" t="s">
        <v>5293</v>
      </c>
      <c r="T779" s="13" t="s">
        <v>3</v>
      </c>
      <c r="U779" s="13" t="s">
        <v>183</v>
      </c>
      <c r="V779" s="13" t="n">
        <f aca="false">IF(COUNTIF($B$2:B779,B779)=1,1,0)</f>
        <v>0</v>
      </c>
      <c r="W779" s="13" t="n">
        <f aca="false">IF(COUNTIFS($B$2:B779,B779,$T$2:T779,T779)=1,1,0)</f>
        <v>0</v>
      </c>
    </row>
    <row r="780" customFormat="false" ht="15" hidden="false" customHeight="false" outlineLevel="0" collapsed="false">
      <c r="A780" s="13" t="s">
        <v>4857</v>
      </c>
      <c r="B780" s="13" t="s">
        <v>2113</v>
      </c>
      <c r="C780" s="13" t="n">
        <v>270</v>
      </c>
      <c r="D780" s="13" t="n">
        <v>2</v>
      </c>
      <c r="E780" s="13" t="n">
        <v>89.99</v>
      </c>
      <c r="F780" s="13" t="s">
        <v>5288</v>
      </c>
      <c r="G780" s="13" t="s">
        <v>5289</v>
      </c>
      <c r="H780" s="13" t="s">
        <v>5289</v>
      </c>
      <c r="I780" s="13" t="s">
        <v>5289</v>
      </c>
      <c r="J780" s="13" t="s">
        <v>5289</v>
      </c>
      <c r="K780" s="13" t="s">
        <v>5292</v>
      </c>
      <c r="L780" s="13" t="s">
        <v>5600</v>
      </c>
      <c r="M780" s="13"/>
      <c r="N780" s="13" t="n">
        <v>7896032657052</v>
      </c>
      <c r="O780" s="13"/>
      <c r="P780" s="13" t="s">
        <v>5297</v>
      </c>
      <c r="Q780" s="13" t="s">
        <v>5289</v>
      </c>
      <c r="R780" s="13" t="s">
        <v>5292</v>
      </c>
      <c r="S780" s="13" t="s">
        <v>5293</v>
      </c>
      <c r="T780" s="13" t="s">
        <v>3</v>
      </c>
      <c r="U780" s="13" t="s">
        <v>183</v>
      </c>
      <c r="V780" s="13" t="n">
        <f aca="false">IF(COUNTIF($B$2:B780,B780)=1,1,0)</f>
        <v>0</v>
      </c>
      <c r="W780" s="13" t="n">
        <f aca="false">IF(COUNTIFS($B$2:B780,B780,$T$2:T780,T780)=1,1,0)</f>
        <v>0</v>
      </c>
    </row>
    <row r="781" customFormat="false" ht="15" hidden="false" customHeight="false" outlineLevel="0" collapsed="false">
      <c r="A781" s="13" t="s">
        <v>5601</v>
      </c>
      <c r="B781" s="13" t="s">
        <v>2098</v>
      </c>
      <c r="C781" s="13" t="n">
        <v>270</v>
      </c>
      <c r="D781" s="13" t="n">
        <v>2</v>
      </c>
      <c r="E781" s="13" t="n">
        <v>67.435</v>
      </c>
      <c r="F781" s="13" t="s">
        <v>5288</v>
      </c>
      <c r="G781" s="13" t="s">
        <v>5289</v>
      </c>
      <c r="H781" s="13" t="s">
        <v>5292</v>
      </c>
      <c r="I781" s="13" t="s">
        <v>5292</v>
      </c>
      <c r="J781" s="13" t="s">
        <v>5289</v>
      </c>
      <c r="K781" s="13" t="s">
        <v>5292</v>
      </c>
      <c r="L781" s="13" t="s">
        <v>5300</v>
      </c>
      <c r="M781" s="13"/>
      <c r="N781" s="13" t="n">
        <v>7898301054494</v>
      </c>
      <c r="O781" s="13"/>
      <c r="P781" s="13" t="s">
        <v>5291</v>
      </c>
      <c r="Q781" s="13" t="s">
        <v>5289</v>
      </c>
      <c r="R781" s="13" t="s">
        <v>5292</v>
      </c>
      <c r="S781" s="13" t="s">
        <v>5293</v>
      </c>
      <c r="T781" s="13" t="s">
        <v>3</v>
      </c>
      <c r="U781" s="13" t="s">
        <v>57</v>
      </c>
      <c r="V781" s="13" t="n">
        <f aca="false">IF(COUNTIF($B$2:B781,B781)=1,1,0)</f>
        <v>0</v>
      </c>
      <c r="W781" s="13" t="n">
        <f aca="false">IF(COUNTIFS($B$2:B781,B781,$T$2:T781,T781)=1,1,0)</f>
        <v>0</v>
      </c>
    </row>
    <row r="782" customFormat="false" ht="15" hidden="false" customHeight="false" outlineLevel="0" collapsed="false">
      <c r="A782" s="13" t="s">
        <v>4848</v>
      </c>
      <c r="B782" s="13" t="s">
        <v>2280</v>
      </c>
      <c r="C782" s="13" t="n">
        <v>270</v>
      </c>
      <c r="D782" s="13" t="n">
        <v>2</v>
      </c>
      <c r="E782" s="13" t="n">
        <v>133.99</v>
      </c>
      <c r="F782" s="13" t="s">
        <v>5288</v>
      </c>
      <c r="G782" s="13" t="s">
        <v>5289</v>
      </c>
      <c r="H782" s="13" t="s">
        <v>5289</v>
      </c>
      <c r="I782" s="13" t="s">
        <v>5289</v>
      </c>
      <c r="J782" s="13" t="s">
        <v>5289</v>
      </c>
      <c r="K782" s="13" t="s">
        <v>5292</v>
      </c>
      <c r="L782" s="13" t="s">
        <v>4847</v>
      </c>
      <c r="M782" s="13"/>
      <c r="N782" s="13" t="n">
        <v>7899612725745</v>
      </c>
      <c r="O782" s="13"/>
      <c r="P782" s="13" t="s">
        <v>5297</v>
      </c>
      <c r="Q782" s="13" t="s">
        <v>5289</v>
      </c>
      <c r="R782" s="13" t="s">
        <v>5292</v>
      </c>
      <c r="S782" s="13" t="s">
        <v>5293</v>
      </c>
      <c r="T782" s="13" t="s">
        <v>3</v>
      </c>
      <c r="U782" s="13" t="s">
        <v>85</v>
      </c>
      <c r="V782" s="13" t="n">
        <f aca="false">IF(COUNTIF($B$2:B782,B782)=1,1,0)</f>
        <v>1</v>
      </c>
      <c r="W782" s="13" t="n">
        <f aca="false">IF(COUNTIFS($B$2:B782,B782,$T$2:T782,T782)=1,1,0)</f>
        <v>1</v>
      </c>
    </row>
    <row r="783" customFormat="false" ht="15" hidden="false" customHeight="false" outlineLevel="0" collapsed="false">
      <c r="A783" s="13" t="s">
        <v>4846</v>
      </c>
      <c r="B783" s="13" t="s">
        <v>2262</v>
      </c>
      <c r="C783" s="13" t="n">
        <v>270</v>
      </c>
      <c r="D783" s="13" t="n">
        <v>2</v>
      </c>
      <c r="E783" s="13" t="n">
        <v>133.85</v>
      </c>
      <c r="F783" s="13" t="s">
        <v>5288</v>
      </c>
      <c r="G783" s="13" t="s">
        <v>5289</v>
      </c>
      <c r="H783" s="13" t="s">
        <v>5289</v>
      </c>
      <c r="I783" s="13" t="s">
        <v>5289</v>
      </c>
      <c r="J783" s="13" t="s">
        <v>5289</v>
      </c>
      <c r="K783" s="13" t="s">
        <v>5289</v>
      </c>
      <c r="L783" s="13" t="s">
        <v>5602</v>
      </c>
      <c r="M783" s="13"/>
      <c r="N783" s="13" t="n">
        <v>6924574591006</v>
      </c>
      <c r="O783" s="13"/>
      <c r="P783" s="13" t="s">
        <v>5297</v>
      </c>
      <c r="Q783" s="13" t="s">
        <v>5289</v>
      </c>
      <c r="R783" s="13" t="s">
        <v>5292</v>
      </c>
      <c r="S783" s="13" t="s">
        <v>5293</v>
      </c>
      <c r="T783" s="13" t="s">
        <v>3</v>
      </c>
      <c r="U783" s="13" t="s">
        <v>43</v>
      </c>
      <c r="V783" s="13" t="n">
        <f aca="false">IF(COUNTIF($B$2:B783,B783)=1,1,0)</f>
        <v>0</v>
      </c>
      <c r="W783" s="13" t="n">
        <f aca="false">IF(COUNTIFS($B$2:B783,B783,$T$2:T783,T783)=1,1,0)</f>
        <v>0</v>
      </c>
    </row>
    <row r="784" customFormat="false" ht="15" hidden="false" customHeight="false" outlineLevel="0" collapsed="false">
      <c r="A784" s="13" t="s">
        <v>1926</v>
      </c>
      <c r="B784" s="13" t="s">
        <v>250</v>
      </c>
      <c r="C784" s="13" t="n">
        <v>260</v>
      </c>
      <c r="D784" s="13" t="n">
        <v>2</v>
      </c>
      <c r="E784" s="13" t="n">
        <v>131.95</v>
      </c>
      <c r="F784" s="13" t="s">
        <v>5288</v>
      </c>
      <c r="G784" s="13" t="s">
        <v>5289</v>
      </c>
      <c r="H784" s="13" t="s">
        <v>5292</v>
      </c>
      <c r="I784" s="13" t="s">
        <v>5289</v>
      </c>
      <c r="J784" s="13" t="s">
        <v>5289</v>
      </c>
      <c r="K784" s="13" t="s">
        <v>5289</v>
      </c>
      <c r="L784" s="13" t="s">
        <v>5603</v>
      </c>
      <c r="M784" s="13"/>
      <c r="N784" s="13" t="n">
        <v>44677102001</v>
      </c>
      <c r="O784" s="13"/>
      <c r="P784" s="13" t="s">
        <v>5291</v>
      </c>
      <c r="Q784" s="13" t="s">
        <v>5289</v>
      </c>
      <c r="R784" s="13" t="s">
        <v>5292</v>
      </c>
      <c r="S784" s="13" t="s">
        <v>5293</v>
      </c>
      <c r="T784" s="13" t="s">
        <v>3</v>
      </c>
      <c r="U784" s="13" t="s">
        <v>57</v>
      </c>
      <c r="V784" s="13" t="n">
        <f aca="false">IF(COUNTIF($B$2:B784,B784)=1,1,0)</f>
        <v>0</v>
      </c>
      <c r="W784" s="13" t="n">
        <f aca="false">IF(COUNTIFS($B$2:B784,B784,$T$2:T784,T784)=1,1,0)</f>
        <v>0</v>
      </c>
    </row>
    <row r="785" customFormat="false" ht="15" hidden="false" customHeight="false" outlineLevel="0" collapsed="false">
      <c r="A785" s="13" t="s">
        <v>5465</v>
      </c>
      <c r="B785" s="13" t="s">
        <v>2107</v>
      </c>
      <c r="C785" s="13" t="n">
        <v>260</v>
      </c>
      <c r="D785" s="13" t="n">
        <v>2</v>
      </c>
      <c r="E785" s="13" t="n">
        <v>86.6566666666667</v>
      </c>
      <c r="F785" s="13" t="s">
        <v>5288</v>
      </c>
      <c r="G785" s="13" t="s">
        <v>5289</v>
      </c>
      <c r="H785" s="13" t="s">
        <v>5289</v>
      </c>
      <c r="I785" s="13" t="s">
        <v>5289</v>
      </c>
      <c r="J785" s="13" t="s">
        <v>5289</v>
      </c>
      <c r="K785" s="13" t="s">
        <v>5292</v>
      </c>
      <c r="L785" s="13" t="s">
        <v>5466</v>
      </c>
      <c r="M785" s="13"/>
      <c r="N785" s="13"/>
      <c r="O785" s="13"/>
      <c r="P785" s="13" t="s">
        <v>5291</v>
      </c>
      <c r="Q785" s="13" t="s">
        <v>5289</v>
      </c>
      <c r="R785" s="13" t="s">
        <v>5292</v>
      </c>
      <c r="S785" s="13" t="s">
        <v>5293</v>
      </c>
      <c r="T785" s="13" t="s">
        <v>3</v>
      </c>
      <c r="U785" s="13" t="s">
        <v>43</v>
      </c>
      <c r="V785" s="13" t="n">
        <f aca="false">IF(COUNTIF($B$2:B785,B785)=1,1,0)</f>
        <v>0</v>
      </c>
      <c r="W785" s="13" t="n">
        <f aca="false">IF(COUNTIFS($B$2:B785,B785,$T$2:T785,T785)=1,1,0)</f>
        <v>0</v>
      </c>
    </row>
    <row r="786" customFormat="false" ht="15" hidden="false" customHeight="false" outlineLevel="0" collapsed="false">
      <c r="A786" s="13" t="s">
        <v>5604</v>
      </c>
      <c r="B786" s="13" t="s">
        <v>2281</v>
      </c>
      <c r="C786" s="13" t="n">
        <v>260</v>
      </c>
      <c r="D786" s="13" t="n">
        <v>1</v>
      </c>
      <c r="E786" s="13" t="n">
        <v>259</v>
      </c>
      <c r="F786" s="13" t="s">
        <v>5288</v>
      </c>
      <c r="G786" s="13" t="s">
        <v>5289</v>
      </c>
      <c r="H786" s="13" t="s">
        <v>5289</v>
      </c>
      <c r="I786" s="13" t="s">
        <v>5289</v>
      </c>
      <c r="J786" s="13" t="s">
        <v>5289</v>
      </c>
      <c r="K786" s="13" t="s">
        <v>5292</v>
      </c>
      <c r="L786" s="13" t="s">
        <v>5605</v>
      </c>
      <c r="M786" s="13"/>
      <c r="N786" s="13"/>
      <c r="O786" s="13"/>
      <c r="P786" s="13" t="s">
        <v>5291</v>
      </c>
      <c r="Q786" s="13" t="s">
        <v>5289</v>
      </c>
      <c r="R786" s="13" t="s">
        <v>5292</v>
      </c>
      <c r="S786" s="13" t="s">
        <v>5293</v>
      </c>
      <c r="T786" s="13" t="s">
        <v>3</v>
      </c>
      <c r="U786" s="13" t="s">
        <v>85</v>
      </c>
      <c r="V786" s="13" t="n">
        <f aca="false">IF(COUNTIF($B$2:B786,B786)=1,1,0)</f>
        <v>1</v>
      </c>
      <c r="W786" s="13" t="n">
        <f aca="false">IF(COUNTIFS($B$2:B786,B786,$T$2:T786,T786)=1,1,0)</f>
        <v>1</v>
      </c>
    </row>
    <row r="787" customFormat="false" ht="15" hidden="false" customHeight="false" outlineLevel="0" collapsed="false">
      <c r="A787" s="13" t="s">
        <v>4880</v>
      </c>
      <c r="B787" s="13" t="s">
        <v>2285</v>
      </c>
      <c r="C787" s="13" t="n">
        <v>250</v>
      </c>
      <c r="D787" s="13" t="n">
        <v>2</v>
      </c>
      <c r="E787" s="13" t="n">
        <v>62.99</v>
      </c>
      <c r="F787" s="13" t="s">
        <v>5288</v>
      </c>
      <c r="G787" s="13" t="s">
        <v>5289</v>
      </c>
      <c r="H787" s="13" t="s">
        <v>5289</v>
      </c>
      <c r="I787" s="13" t="s">
        <v>5292</v>
      </c>
      <c r="J787" s="13" t="s">
        <v>5289</v>
      </c>
      <c r="K787" s="13" t="s">
        <v>5292</v>
      </c>
      <c r="L787" s="13" t="s">
        <v>5606</v>
      </c>
      <c r="M787" s="13"/>
      <c r="N787" s="13" t="n">
        <v>727295088130</v>
      </c>
      <c r="O787" s="13"/>
      <c r="P787" s="13" t="s">
        <v>5291</v>
      </c>
      <c r="Q787" s="13" t="s">
        <v>5289</v>
      </c>
      <c r="R787" s="13" t="s">
        <v>5292</v>
      </c>
      <c r="S787" s="13" t="s">
        <v>5293</v>
      </c>
      <c r="T787" s="13" t="s">
        <v>3</v>
      </c>
      <c r="U787" s="13" t="s">
        <v>85</v>
      </c>
      <c r="V787" s="13" t="n">
        <f aca="false">IF(COUNTIF($B$2:B787,B787)=1,1,0)</f>
        <v>1</v>
      </c>
      <c r="W787" s="13" t="n">
        <f aca="false">IF(COUNTIFS($B$2:B787,B787,$T$2:T787,T787)=1,1,0)</f>
        <v>1</v>
      </c>
    </row>
    <row r="788" customFormat="false" ht="15" hidden="false" customHeight="false" outlineLevel="0" collapsed="false">
      <c r="A788" s="13" t="s">
        <v>1954</v>
      </c>
      <c r="B788" s="13" t="s">
        <v>250</v>
      </c>
      <c r="C788" s="13" t="n">
        <v>240</v>
      </c>
      <c r="D788" s="13" t="n">
        <v>2</v>
      </c>
      <c r="E788" s="13" t="n">
        <v>59.9</v>
      </c>
      <c r="F788" s="13" t="s">
        <v>5288</v>
      </c>
      <c r="G788" s="13" t="s">
        <v>5289</v>
      </c>
      <c r="H788" s="13" t="s">
        <v>5289</v>
      </c>
      <c r="I788" s="13" t="s">
        <v>5292</v>
      </c>
      <c r="J788" s="13" t="s">
        <v>5289</v>
      </c>
      <c r="K788" s="13" t="s">
        <v>5289</v>
      </c>
      <c r="L788" s="13" t="s">
        <v>5607</v>
      </c>
      <c r="M788" s="13"/>
      <c r="N788" s="13" t="n">
        <v>44677204200</v>
      </c>
      <c r="O788" s="13"/>
      <c r="P788" s="13" t="s">
        <v>5291</v>
      </c>
      <c r="Q788" s="13" t="s">
        <v>5289</v>
      </c>
      <c r="R788" s="13" t="s">
        <v>5292</v>
      </c>
      <c r="S788" s="13" t="s">
        <v>5293</v>
      </c>
      <c r="T788" s="13" t="s">
        <v>3</v>
      </c>
      <c r="U788" s="13" t="s">
        <v>85</v>
      </c>
      <c r="V788" s="13" t="n">
        <f aca="false">IF(COUNTIF($B$2:B788,B788)=1,1,0)</f>
        <v>0</v>
      </c>
      <c r="W788" s="13" t="n">
        <f aca="false">IF(COUNTIFS($B$2:B788,B788,$T$2:T788,T788)=1,1,0)</f>
        <v>0</v>
      </c>
    </row>
    <row r="789" customFormat="false" ht="15" hidden="false" customHeight="false" outlineLevel="0" collapsed="false">
      <c r="A789" s="13" t="s">
        <v>5608</v>
      </c>
      <c r="B789" s="13" t="s">
        <v>2249</v>
      </c>
      <c r="C789" s="13" t="n">
        <v>240</v>
      </c>
      <c r="D789" s="13" t="n">
        <v>2</v>
      </c>
      <c r="E789" s="13" t="n">
        <v>78.99</v>
      </c>
      <c r="F789" s="13" t="s">
        <v>5288</v>
      </c>
      <c r="G789" s="13" t="s">
        <v>5289</v>
      </c>
      <c r="H789" s="13" t="s">
        <v>5289</v>
      </c>
      <c r="I789" s="13" t="s">
        <v>5289</v>
      </c>
      <c r="J789" s="13" t="s">
        <v>5289</v>
      </c>
      <c r="K789" s="13" t="s">
        <v>5292</v>
      </c>
      <c r="L789" s="13" t="s">
        <v>5609</v>
      </c>
      <c r="M789" s="13"/>
      <c r="N789" s="13" t="n">
        <v>70341449288</v>
      </c>
      <c r="O789" s="13"/>
      <c r="P789" s="13" t="s">
        <v>5291</v>
      </c>
      <c r="Q789" s="13" t="s">
        <v>5289</v>
      </c>
      <c r="R789" s="13" t="s">
        <v>5292</v>
      </c>
      <c r="S789" s="13" t="s">
        <v>5293</v>
      </c>
      <c r="T789" s="13" t="s">
        <v>3</v>
      </c>
      <c r="U789" s="13" t="s">
        <v>85</v>
      </c>
      <c r="V789" s="13" t="n">
        <f aca="false">IF(COUNTIF($B$2:B789,B789)=1,1,0)</f>
        <v>0</v>
      </c>
      <c r="W789" s="13" t="n">
        <f aca="false">IF(COUNTIFS($B$2:B789,B789,$T$2:T789,T789)=1,1,0)</f>
        <v>0</v>
      </c>
    </row>
    <row r="790" customFormat="false" ht="15" hidden="false" customHeight="false" outlineLevel="0" collapsed="false">
      <c r="A790" s="13" t="s">
        <v>5610</v>
      </c>
      <c r="B790" s="13" t="s">
        <v>2275</v>
      </c>
      <c r="C790" s="13" t="n">
        <v>240</v>
      </c>
      <c r="D790" s="13" t="n">
        <v>2</v>
      </c>
      <c r="E790" s="13" t="n">
        <v>78.99</v>
      </c>
      <c r="F790" s="13" t="s">
        <v>5288</v>
      </c>
      <c r="G790" s="13" t="s">
        <v>5289</v>
      </c>
      <c r="H790" s="13" t="s">
        <v>5292</v>
      </c>
      <c r="I790" s="13" t="s">
        <v>5292</v>
      </c>
      <c r="J790" s="13" t="s">
        <v>5289</v>
      </c>
      <c r="K790" s="13" t="s">
        <v>5292</v>
      </c>
      <c r="L790" s="13" t="s">
        <v>5421</v>
      </c>
      <c r="M790" s="13"/>
      <c r="N790" s="13" t="n">
        <v>7899838874869</v>
      </c>
      <c r="O790" s="13"/>
      <c r="P790" s="13" t="s">
        <v>5291</v>
      </c>
      <c r="Q790" s="13" t="s">
        <v>5289</v>
      </c>
      <c r="R790" s="13" t="s">
        <v>5292</v>
      </c>
      <c r="S790" s="13" t="s">
        <v>5293</v>
      </c>
      <c r="T790" s="13" t="s">
        <v>3</v>
      </c>
      <c r="U790" s="13" t="s">
        <v>57</v>
      </c>
      <c r="V790" s="13" t="n">
        <f aca="false">IF(COUNTIF($B$2:B790,B790)=1,1,0)</f>
        <v>1</v>
      </c>
      <c r="W790" s="13" t="n">
        <f aca="false">IF(COUNTIFS($B$2:B790,B790,$T$2:T790,T790)=1,1,0)</f>
        <v>1</v>
      </c>
    </row>
    <row r="791" customFormat="false" ht="15" hidden="false" customHeight="false" outlineLevel="0" collapsed="false">
      <c r="A791" s="13" t="s">
        <v>1953</v>
      </c>
      <c r="B791" s="13" t="s">
        <v>179</v>
      </c>
      <c r="C791" s="13" t="n">
        <v>240</v>
      </c>
      <c r="D791" s="13" t="n">
        <v>2</v>
      </c>
      <c r="E791" s="13" t="n">
        <v>59</v>
      </c>
      <c r="F791" s="13" t="s">
        <v>5288</v>
      </c>
      <c r="G791" s="13" t="s">
        <v>5289</v>
      </c>
      <c r="H791" s="13" t="s">
        <v>5289</v>
      </c>
      <c r="I791" s="13" t="s">
        <v>5292</v>
      </c>
      <c r="J791" s="13" t="s">
        <v>5289</v>
      </c>
      <c r="K791" s="13" t="s">
        <v>5292</v>
      </c>
      <c r="L791" s="13" t="s">
        <v>4888</v>
      </c>
      <c r="M791" s="13"/>
      <c r="N791" s="13" t="n">
        <v>7908005319062</v>
      </c>
      <c r="O791" s="13"/>
      <c r="P791" s="13" t="s">
        <v>5291</v>
      </c>
      <c r="Q791" s="13" t="s">
        <v>5289</v>
      </c>
      <c r="R791" s="13" t="s">
        <v>5292</v>
      </c>
      <c r="S791" s="13" t="s">
        <v>5293</v>
      </c>
      <c r="T791" s="13" t="s">
        <v>3</v>
      </c>
      <c r="U791" s="13" t="s">
        <v>85</v>
      </c>
      <c r="V791" s="13" t="n">
        <f aca="false">IF(COUNTIF($B$2:B791,B791)=1,1,0)</f>
        <v>0</v>
      </c>
      <c r="W791" s="13" t="n">
        <f aca="false">IF(COUNTIFS($B$2:B791,B791,$T$2:T791,T791)=1,1,0)</f>
        <v>0</v>
      </c>
    </row>
    <row r="792" customFormat="false" ht="15" hidden="false" customHeight="false" outlineLevel="0" collapsed="false">
      <c r="A792" s="13" t="s">
        <v>4910</v>
      </c>
      <c r="B792" s="13" t="s">
        <v>2108</v>
      </c>
      <c r="C792" s="13" t="n">
        <v>230</v>
      </c>
      <c r="D792" s="13" t="n">
        <v>1</v>
      </c>
      <c r="E792" s="13" t="n">
        <v>229.9</v>
      </c>
      <c r="F792" s="13" t="s">
        <v>5288</v>
      </c>
      <c r="G792" s="13" t="s">
        <v>5289</v>
      </c>
      <c r="H792" s="13" t="s">
        <v>5289</v>
      </c>
      <c r="I792" s="13" t="s">
        <v>5289</v>
      </c>
      <c r="J792" s="13" t="s">
        <v>5289</v>
      </c>
      <c r="K792" s="13" t="s">
        <v>5292</v>
      </c>
      <c r="L792" s="13" t="s">
        <v>4909</v>
      </c>
      <c r="M792" s="13"/>
      <c r="N792" s="13" t="n">
        <v>7891116159040</v>
      </c>
      <c r="O792" s="13"/>
      <c r="P792" s="13" t="s">
        <v>5291</v>
      </c>
      <c r="Q792" s="13" t="s">
        <v>5289</v>
      </c>
      <c r="R792" s="13" t="s">
        <v>5292</v>
      </c>
      <c r="S792" s="13" t="s">
        <v>5293</v>
      </c>
      <c r="T792" s="13" t="s">
        <v>3</v>
      </c>
      <c r="U792" s="13" t="s">
        <v>85</v>
      </c>
      <c r="V792" s="13" t="n">
        <f aca="false">IF(COUNTIF($B$2:B792,B792)=1,1,0)</f>
        <v>0</v>
      </c>
      <c r="W792" s="13" t="n">
        <f aca="false">IF(COUNTIFS($B$2:B792,B792,$T$2:T792,T792)=1,1,0)</f>
        <v>0</v>
      </c>
    </row>
    <row r="793" customFormat="false" ht="15" hidden="false" customHeight="false" outlineLevel="0" collapsed="false">
      <c r="A793" s="13" t="s">
        <v>5611</v>
      </c>
      <c r="B793" s="13" t="s">
        <v>2211</v>
      </c>
      <c r="C793" s="13" t="n">
        <v>230</v>
      </c>
      <c r="D793" s="13" t="n">
        <v>2</v>
      </c>
      <c r="E793" s="13" t="n">
        <v>75.9</v>
      </c>
      <c r="F793" s="13" t="s">
        <v>5288</v>
      </c>
      <c r="G793" s="13" t="s">
        <v>5289</v>
      </c>
      <c r="H793" s="13" t="s">
        <v>5289</v>
      </c>
      <c r="I793" s="13" t="s">
        <v>5292</v>
      </c>
      <c r="J793" s="13" t="s">
        <v>5289</v>
      </c>
      <c r="K793" s="13" t="s">
        <v>5292</v>
      </c>
      <c r="L793" s="13" t="s">
        <v>5612</v>
      </c>
      <c r="M793" s="13"/>
      <c r="N793" s="13"/>
      <c r="O793" s="13"/>
      <c r="P793" s="13" t="s">
        <v>5291</v>
      </c>
      <c r="Q793" s="13" t="s">
        <v>5289</v>
      </c>
      <c r="R793" s="13" t="s">
        <v>5292</v>
      </c>
      <c r="S793" s="13" t="s">
        <v>5293</v>
      </c>
      <c r="T793" s="13" t="s">
        <v>3</v>
      </c>
      <c r="U793" s="13" t="s">
        <v>85</v>
      </c>
      <c r="V793" s="13" t="n">
        <f aca="false">IF(COUNTIF($B$2:B793,B793)=1,1,0)</f>
        <v>0</v>
      </c>
      <c r="W793" s="13" t="n">
        <f aca="false">IF(COUNTIFS($B$2:B793,B793,$T$2:T793,T793)=1,1,0)</f>
        <v>0</v>
      </c>
    </row>
    <row r="794" customFormat="false" ht="15" hidden="false" customHeight="false" outlineLevel="0" collapsed="false">
      <c r="A794" s="13" t="s">
        <v>4921</v>
      </c>
      <c r="B794" s="13" t="s">
        <v>2101</v>
      </c>
      <c r="C794" s="13" t="n">
        <v>220</v>
      </c>
      <c r="D794" s="13" t="n">
        <v>1</v>
      </c>
      <c r="E794" s="13" t="n">
        <v>220.99</v>
      </c>
      <c r="F794" s="13" t="s">
        <v>5288</v>
      </c>
      <c r="G794" s="13" t="s">
        <v>5289</v>
      </c>
      <c r="H794" s="13" t="s">
        <v>5289</v>
      </c>
      <c r="I794" s="13" t="s">
        <v>5289</v>
      </c>
      <c r="J794" s="13" t="s">
        <v>5289</v>
      </c>
      <c r="K794" s="13" t="s">
        <v>5292</v>
      </c>
      <c r="L794" s="13" t="s">
        <v>4920</v>
      </c>
      <c r="M794" s="13"/>
      <c r="N794" s="13" t="n">
        <v>7897013533754</v>
      </c>
      <c r="O794" s="13"/>
      <c r="P794" s="13" t="s">
        <v>5297</v>
      </c>
      <c r="Q794" s="13" t="s">
        <v>5289</v>
      </c>
      <c r="R794" s="13" t="s">
        <v>5292</v>
      </c>
      <c r="S794" s="13" t="s">
        <v>5293</v>
      </c>
      <c r="T794" s="13" t="s">
        <v>3</v>
      </c>
      <c r="U794" s="13" t="s">
        <v>144</v>
      </c>
      <c r="V794" s="13" t="n">
        <f aca="false">IF(COUNTIF($B$2:B794,B794)=1,1,0)</f>
        <v>0</v>
      </c>
      <c r="W794" s="13" t="n">
        <f aca="false">IF(COUNTIFS($B$2:B794,B794,$T$2:T794,T794)=1,1,0)</f>
        <v>0</v>
      </c>
    </row>
    <row r="795" customFormat="false" ht="15" hidden="false" customHeight="false" outlineLevel="0" collapsed="false">
      <c r="A795" s="13" t="s">
        <v>5613</v>
      </c>
      <c r="B795" s="13" t="s">
        <v>2101</v>
      </c>
      <c r="C795" s="13" t="n">
        <v>220</v>
      </c>
      <c r="D795" s="13" t="n">
        <v>2</v>
      </c>
      <c r="E795" s="13" t="n">
        <v>72.99</v>
      </c>
      <c r="F795" s="13" t="s">
        <v>5288</v>
      </c>
      <c r="G795" s="13" t="s">
        <v>5289</v>
      </c>
      <c r="H795" s="13" t="s">
        <v>5292</v>
      </c>
      <c r="I795" s="13" t="s">
        <v>5292</v>
      </c>
      <c r="J795" s="13" t="s">
        <v>5289</v>
      </c>
      <c r="K795" s="13" t="s">
        <v>5292</v>
      </c>
      <c r="L795" s="13" t="s">
        <v>3868</v>
      </c>
      <c r="M795" s="13"/>
      <c r="N795" s="13" t="n">
        <v>7908412515422</v>
      </c>
      <c r="O795" s="13"/>
      <c r="P795" s="13" t="s">
        <v>5291</v>
      </c>
      <c r="Q795" s="13" t="s">
        <v>5289</v>
      </c>
      <c r="R795" s="13" t="s">
        <v>5292</v>
      </c>
      <c r="S795" s="13" t="s">
        <v>5293</v>
      </c>
      <c r="T795" s="13" t="s">
        <v>3</v>
      </c>
      <c r="U795" s="13" t="s">
        <v>85</v>
      </c>
      <c r="V795" s="13" t="n">
        <f aca="false">IF(COUNTIF($B$2:B795,B795)=1,1,0)</f>
        <v>0</v>
      </c>
      <c r="W795" s="13" t="n">
        <f aca="false">IF(COUNTIFS($B$2:B795,B795,$T$2:T795,T795)=1,1,0)</f>
        <v>0</v>
      </c>
    </row>
    <row r="796" customFormat="false" ht="15" hidden="false" customHeight="false" outlineLevel="0" collapsed="false">
      <c r="A796" s="13" t="s">
        <v>4925</v>
      </c>
      <c r="B796" s="13" t="s">
        <v>2108</v>
      </c>
      <c r="C796" s="13" t="n">
        <v>220</v>
      </c>
      <c r="D796" s="13" t="n">
        <v>2</v>
      </c>
      <c r="E796" s="13" t="n">
        <v>71.99</v>
      </c>
      <c r="F796" s="13" t="s">
        <v>5288</v>
      </c>
      <c r="G796" s="13" t="s">
        <v>5289</v>
      </c>
      <c r="H796" s="13" t="s">
        <v>5289</v>
      </c>
      <c r="I796" s="13" t="s">
        <v>5292</v>
      </c>
      <c r="J796" s="13" t="s">
        <v>5289</v>
      </c>
      <c r="K796" s="13" t="s">
        <v>5292</v>
      </c>
      <c r="L796" s="13" t="s">
        <v>5614</v>
      </c>
      <c r="M796" s="13"/>
      <c r="N796" s="13" t="n">
        <v>7891114124941</v>
      </c>
      <c r="O796" s="13"/>
      <c r="P796" s="13" t="s">
        <v>5297</v>
      </c>
      <c r="Q796" s="13" t="s">
        <v>5289</v>
      </c>
      <c r="R796" s="13" t="s">
        <v>5292</v>
      </c>
      <c r="S796" s="13" t="s">
        <v>5293</v>
      </c>
      <c r="T796" s="13" t="s">
        <v>3</v>
      </c>
      <c r="U796" s="13" t="s">
        <v>85</v>
      </c>
      <c r="V796" s="13" t="n">
        <f aca="false">IF(COUNTIF($B$2:B796,B796)=1,1,0)</f>
        <v>0</v>
      </c>
      <c r="W796" s="13" t="n">
        <f aca="false">IF(COUNTIFS($B$2:B796,B796,$T$2:T796,T796)=1,1,0)</f>
        <v>0</v>
      </c>
    </row>
    <row r="797" customFormat="false" ht="15" hidden="false" customHeight="false" outlineLevel="0" collapsed="false">
      <c r="A797" s="13" t="s">
        <v>4941</v>
      </c>
      <c r="B797" s="13" t="s">
        <v>2175</v>
      </c>
      <c r="C797" s="13" t="n">
        <v>210</v>
      </c>
      <c r="D797" s="13" t="n">
        <v>1</v>
      </c>
      <c r="E797" s="13" t="n">
        <v>214.21</v>
      </c>
      <c r="F797" s="13" t="s">
        <v>5288</v>
      </c>
      <c r="G797" s="13" t="s">
        <v>5289</v>
      </c>
      <c r="H797" s="13" t="s">
        <v>5289</v>
      </c>
      <c r="I797" s="13" t="s">
        <v>5289</v>
      </c>
      <c r="J797" s="13" t="s">
        <v>5289</v>
      </c>
      <c r="K797" s="13" t="s">
        <v>5289</v>
      </c>
      <c r="L797" s="13" t="s">
        <v>4940</v>
      </c>
      <c r="M797" s="13"/>
      <c r="N797" s="13" t="n">
        <v>5055810037017</v>
      </c>
      <c r="O797" s="13"/>
      <c r="P797" s="13" t="s">
        <v>5297</v>
      </c>
      <c r="Q797" s="13" t="s">
        <v>5289</v>
      </c>
      <c r="R797" s="13" t="s">
        <v>5292</v>
      </c>
      <c r="S797" s="13" t="s">
        <v>5293</v>
      </c>
      <c r="T797" s="13" t="s">
        <v>3</v>
      </c>
      <c r="U797" s="13" t="s">
        <v>43</v>
      </c>
      <c r="V797" s="13" t="n">
        <f aca="false">IF(COUNTIF($B$2:B797,B797)=1,1,0)</f>
        <v>0</v>
      </c>
      <c r="W797" s="13" t="n">
        <f aca="false">IF(COUNTIFS($B$2:B797,B797,$T$2:T797,T797)=1,1,0)</f>
        <v>0</v>
      </c>
    </row>
    <row r="798" customFormat="false" ht="15" hidden="false" customHeight="false" outlineLevel="0" collapsed="false">
      <c r="A798" s="13" t="s">
        <v>4930</v>
      </c>
      <c r="B798" s="13" t="s">
        <v>2265</v>
      </c>
      <c r="C798" s="13" t="n">
        <v>210</v>
      </c>
      <c r="D798" s="13" t="n">
        <v>5</v>
      </c>
      <c r="E798" s="13" t="n">
        <v>35</v>
      </c>
      <c r="F798" s="13" t="s">
        <v>5288</v>
      </c>
      <c r="G798" s="13" t="s">
        <v>5289</v>
      </c>
      <c r="H798" s="13" t="s">
        <v>5289</v>
      </c>
      <c r="I798" s="13" t="s">
        <v>5292</v>
      </c>
      <c r="J798" s="13" t="s">
        <v>5289</v>
      </c>
      <c r="K798" s="13" t="s">
        <v>5292</v>
      </c>
      <c r="L798" s="13" t="s">
        <v>4929</v>
      </c>
      <c r="M798" s="13"/>
      <c r="N798" s="13" t="n">
        <v>7908103726496</v>
      </c>
      <c r="O798" s="13"/>
      <c r="P798" s="13" t="s">
        <v>5297</v>
      </c>
      <c r="Q798" s="13" t="s">
        <v>5289</v>
      </c>
      <c r="R798" s="13" t="s">
        <v>5292</v>
      </c>
      <c r="S798" s="13" t="s">
        <v>5293</v>
      </c>
      <c r="T798" s="13" t="s">
        <v>3</v>
      </c>
      <c r="U798" s="13" t="s">
        <v>85</v>
      </c>
      <c r="V798" s="13" t="n">
        <f aca="false">IF(COUNTIF($B$2:B798,B798)=1,1,0)</f>
        <v>1</v>
      </c>
      <c r="W798" s="13" t="n">
        <f aca="false">IF(COUNTIFS($B$2:B798,B798,$T$2:T798,T798)=1,1,0)</f>
        <v>1</v>
      </c>
    </row>
    <row r="799" customFormat="false" ht="15" hidden="false" customHeight="false" outlineLevel="0" collapsed="false">
      <c r="A799" s="13" t="s">
        <v>1463</v>
      </c>
      <c r="B799" s="13" t="s">
        <v>59</v>
      </c>
      <c r="C799" s="13" t="n">
        <v>210</v>
      </c>
      <c r="D799" s="13" t="n">
        <v>1</v>
      </c>
      <c r="E799" s="13" t="n">
        <v>209.99</v>
      </c>
      <c r="F799" s="13" t="s">
        <v>5288</v>
      </c>
      <c r="G799" s="13" t="s">
        <v>5289</v>
      </c>
      <c r="H799" s="13" t="s">
        <v>5289</v>
      </c>
      <c r="I799" s="13" t="s">
        <v>5289</v>
      </c>
      <c r="J799" s="13" t="s">
        <v>5289</v>
      </c>
      <c r="K799" s="13" t="s">
        <v>5292</v>
      </c>
      <c r="L799" s="13" t="s">
        <v>5615</v>
      </c>
      <c r="M799" s="13"/>
      <c r="N799" s="13" t="n">
        <v>3614228834032</v>
      </c>
      <c r="O799" s="13"/>
      <c r="P799" s="13" t="s">
        <v>5297</v>
      </c>
      <c r="Q799" s="13" t="s">
        <v>5289</v>
      </c>
      <c r="R799" s="13" t="s">
        <v>5292</v>
      </c>
      <c r="S799" s="13" t="s">
        <v>5293</v>
      </c>
      <c r="T799" s="13" t="s">
        <v>3</v>
      </c>
      <c r="U799" s="13" t="s">
        <v>43</v>
      </c>
      <c r="V799" s="13" t="n">
        <f aca="false">IF(COUNTIF($B$2:B799,B799)=1,1,0)</f>
        <v>0</v>
      </c>
      <c r="W799" s="13" t="n">
        <f aca="false">IF(COUNTIFS($B$2:B799,B799,$T$2:T799,T799)=1,1,0)</f>
        <v>0</v>
      </c>
    </row>
    <row r="800" customFormat="false" ht="15" hidden="false" customHeight="false" outlineLevel="0" collapsed="false">
      <c r="A800" s="13" t="s">
        <v>1978</v>
      </c>
      <c r="B800" s="13" t="s">
        <v>179</v>
      </c>
      <c r="C800" s="13" t="n">
        <v>210</v>
      </c>
      <c r="D800" s="13" t="n">
        <v>1</v>
      </c>
      <c r="E800" s="13" t="n">
        <v>209</v>
      </c>
      <c r="F800" s="13" t="s">
        <v>5325</v>
      </c>
      <c r="G800" s="13" t="s">
        <v>5289</v>
      </c>
      <c r="H800" s="13" t="s">
        <v>5289</v>
      </c>
      <c r="I800" s="13" t="s">
        <v>5289</v>
      </c>
      <c r="J800" s="13" t="s">
        <v>5289</v>
      </c>
      <c r="K800" s="13" t="s">
        <v>5292</v>
      </c>
      <c r="L800" s="13" t="s">
        <v>4942</v>
      </c>
      <c r="M800" s="13"/>
      <c r="N800" s="13" t="n">
        <v>7898618488456</v>
      </c>
      <c r="O800" s="13"/>
      <c r="P800" s="13" t="s">
        <v>5291</v>
      </c>
      <c r="Q800" s="13" t="s">
        <v>5289</v>
      </c>
      <c r="R800" s="13" t="s">
        <v>5292</v>
      </c>
      <c r="S800" s="13" t="s">
        <v>5293</v>
      </c>
      <c r="T800" s="13" t="s">
        <v>3</v>
      </c>
      <c r="U800" s="13" t="s">
        <v>180</v>
      </c>
      <c r="V800" s="13" t="n">
        <f aca="false">IF(COUNTIF($B$2:B800,B800)=1,1,0)</f>
        <v>0</v>
      </c>
      <c r="W800" s="13" t="n">
        <f aca="false">IF(COUNTIFS($B$2:B800,B800,$T$2:T800,T800)=1,1,0)</f>
        <v>0</v>
      </c>
    </row>
    <row r="801" customFormat="false" ht="15" hidden="false" customHeight="false" outlineLevel="0" collapsed="false">
      <c r="A801" s="13" t="s">
        <v>4934</v>
      </c>
      <c r="B801" s="13" t="s">
        <v>2141</v>
      </c>
      <c r="C801" s="13" t="n">
        <v>210</v>
      </c>
      <c r="D801" s="13" t="n">
        <v>2</v>
      </c>
      <c r="E801" s="13" t="n">
        <v>69.6566666666667</v>
      </c>
      <c r="F801" s="13" t="s">
        <v>5288</v>
      </c>
      <c r="G801" s="13" t="s">
        <v>5289</v>
      </c>
      <c r="H801" s="13" t="s">
        <v>5289</v>
      </c>
      <c r="I801" s="13" t="s">
        <v>5292</v>
      </c>
      <c r="J801" s="13" t="s">
        <v>5289</v>
      </c>
      <c r="K801" s="13" t="s">
        <v>5292</v>
      </c>
      <c r="L801" s="13" t="s">
        <v>4933</v>
      </c>
      <c r="M801" s="13"/>
      <c r="N801" s="13" t="n">
        <v>5055810015138</v>
      </c>
      <c r="O801" s="13"/>
      <c r="P801" s="13" t="s">
        <v>5291</v>
      </c>
      <c r="Q801" s="13" t="s">
        <v>5289</v>
      </c>
      <c r="R801" s="13" t="s">
        <v>5292</v>
      </c>
      <c r="S801" s="13" t="s">
        <v>5293</v>
      </c>
      <c r="T801" s="13" t="s">
        <v>3</v>
      </c>
      <c r="U801" s="13" t="s">
        <v>43</v>
      </c>
      <c r="V801" s="13" t="n">
        <f aca="false">IF(COUNTIF($B$2:B801,B801)=1,1,0)</f>
        <v>0</v>
      </c>
      <c r="W801" s="13" t="n">
        <f aca="false">IF(COUNTIFS($B$2:B801,B801,$T$2:T801,T801)=1,1,0)</f>
        <v>0</v>
      </c>
    </row>
    <row r="802" customFormat="false" ht="15" hidden="false" customHeight="false" outlineLevel="0" collapsed="false">
      <c r="A802" s="13" t="s">
        <v>4859</v>
      </c>
      <c r="B802" s="13" t="s">
        <v>2173</v>
      </c>
      <c r="C802" s="13" t="n">
        <v>200</v>
      </c>
      <c r="D802" s="13" t="n">
        <v>2</v>
      </c>
      <c r="E802" s="13" t="n">
        <v>67.99</v>
      </c>
      <c r="F802" s="13" t="s">
        <v>5288</v>
      </c>
      <c r="G802" s="13" t="s">
        <v>5289</v>
      </c>
      <c r="H802" s="13" t="s">
        <v>5289</v>
      </c>
      <c r="I802" s="13" t="s">
        <v>5292</v>
      </c>
      <c r="J802" s="13" t="s">
        <v>5289</v>
      </c>
      <c r="K802" s="13" t="s">
        <v>5292</v>
      </c>
      <c r="L802" s="13" t="s">
        <v>4858</v>
      </c>
      <c r="M802" s="13"/>
      <c r="N802" s="13" t="n">
        <v>7896558462604</v>
      </c>
      <c r="O802" s="13"/>
      <c r="P802" s="13" t="s">
        <v>5291</v>
      </c>
      <c r="Q802" s="13" t="s">
        <v>5289</v>
      </c>
      <c r="R802" s="13" t="s">
        <v>5292</v>
      </c>
      <c r="S802" s="13" t="s">
        <v>5293</v>
      </c>
      <c r="T802" s="13" t="s">
        <v>3</v>
      </c>
      <c r="U802" s="13" t="s">
        <v>85</v>
      </c>
      <c r="V802" s="13" t="n">
        <f aca="false">IF(COUNTIF($B$2:B802,B802)=1,1,0)</f>
        <v>0</v>
      </c>
      <c r="W802" s="13" t="n">
        <f aca="false">IF(COUNTIFS($B$2:B802,B802,$T$2:T802,T802)=1,1,0)</f>
        <v>0</v>
      </c>
    </row>
    <row r="803" customFormat="false" ht="15" hidden="false" customHeight="false" outlineLevel="0" collapsed="false">
      <c r="A803" s="13" t="s">
        <v>2722</v>
      </c>
      <c r="B803" s="13" t="s">
        <v>2097</v>
      </c>
      <c r="C803" s="13" t="n">
        <v>200</v>
      </c>
      <c r="D803" s="13" t="n">
        <v>2</v>
      </c>
      <c r="E803" s="13" t="n">
        <v>50.475</v>
      </c>
      <c r="F803" s="13" t="s">
        <v>5288</v>
      </c>
      <c r="G803" s="13" t="s">
        <v>5289</v>
      </c>
      <c r="H803" s="13" t="s">
        <v>5292</v>
      </c>
      <c r="I803" s="13" t="s">
        <v>5292</v>
      </c>
      <c r="J803" s="13" t="s">
        <v>5289</v>
      </c>
      <c r="K803" s="13" t="s">
        <v>5292</v>
      </c>
      <c r="L803" s="13" t="s">
        <v>2721</v>
      </c>
      <c r="M803" s="13"/>
      <c r="N803" s="13" t="n">
        <v>7908407008533</v>
      </c>
      <c r="O803" s="13"/>
      <c r="P803" s="13" t="s">
        <v>5291</v>
      </c>
      <c r="Q803" s="13" t="s">
        <v>5289</v>
      </c>
      <c r="R803" s="13" t="s">
        <v>5292</v>
      </c>
      <c r="S803" s="13" t="s">
        <v>5293</v>
      </c>
      <c r="T803" s="13" t="s">
        <v>3</v>
      </c>
      <c r="U803" s="13" t="s">
        <v>140</v>
      </c>
      <c r="V803" s="13" t="n">
        <f aca="false">IF(COUNTIF($B$2:B803,B803)=1,1,0)</f>
        <v>0</v>
      </c>
      <c r="W803" s="13" t="n">
        <f aca="false">IF(COUNTIFS($B$2:B803,B803,$T$2:T803,T803)=1,1,0)</f>
        <v>0</v>
      </c>
    </row>
    <row r="804" customFormat="false" ht="15" hidden="false" customHeight="false" outlineLevel="0" collapsed="false">
      <c r="A804" s="13" t="s">
        <v>1987</v>
      </c>
      <c r="B804" s="13" t="s">
        <v>233</v>
      </c>
      <c r="C804" s="13" t="n">
        <v>200</v>
      </c>
      <c r="D804" s="13" t="n">
        <v>1</v>
      </c>
      <c r="E804" s="13" t="n">
        <v>199.99</v>
      </c>
      <c r="F804" s="13" t="s">
        <v>5288</v>
      </c>
      <c r="G804" s="13" t="s">
        <v>5289</v>
      </c>
      <c r="H804" s="13" t="s">
        <v>5289</v>
      </c>
      <c r="I804" s="13" t="s">
        <v>5289</v>
      </c>
      <c r="J804" s="13" t="s">
        <v>5289</v>
      </c>
      <c r="K804" s="13" t="s">
        <v>5292</v>
      </c>
      <c r="L804" s="13" t="s">
        <v>5616</v>
      </c>
      <c r="M804" s="13"/>
      <c r="N804" s="13"/>
      <c r="O804" s="13"/>
      <c r="P804" s="13" t="s">
        <v>5297</v>
      </c>
      <c r="Q804" s="13" t="s">
        <v>5289</v>
      </c>
      <c r="R804" s="13" t="s">
        <v>5292</v>
      </c>
      <c r="S804" s="13" t="s">
        <v>5293</v>
      </c>
      <c r="T804" s="13" t="s">
        <v>3</v>
      </c>
      <c r="U804" s="13" t="s">
        <v>57</v>
      </c>
      <c r="V804" s="13" t="n">
        <f aca="false">IF(COUNTIF($B$2:B804,B804)=1,1,0)</f>
        <v>0</v>
      </c>
      <c r="W804" s="13" t="n">
        <f aca="false">IF(COUNTIFS($B$2:B804,B804,$T$2:T804,T804)=1,1,0)</f>
        <v>0</v>
      </c>
    </row>
    <row r="805" customFormat="false" ht="15" hidden="false" customHeight="false" outlineLevel="0" collapsed="false">
      <c r="A805" s="13" t="s">
        <v>1990</v>
      </c>
      <c r="B805" s="13" t="s">
        <v>179</v>
      </c>
      <c r="C805" s="13" t="n">
        <v>200</v>
      </c>
      <c r="D805" s="13" t="n">
        <v>1</v>
      </c>
      <c r="E805" s="13" t="n">
        <v>199</v>
      </c>
      <c r="F805" s="13" t="s">
        <v>5288</v>
      </c>
      <c r="G805" s="13" t="s">
        <v>5289</v>
      </c>
      <c r="H805" s="13" t="s">
        <v>5289</v>
      </c>
      <c r="I805" s="13" t="s">
        <v>5289</v>
      </c>
      <c r="J805" s="13" t="s">
        <v>5289</v>
      </c>
      <c r="K805" s="13" t="s">
        <v>5292</v>
      </c>
      <c r="L805" s="13" t="s">
        <v>4949</v>
      </c>
      <c r="M805" s="13"/>
      <c r="N805" s="13" t="n">
        <v>7908992000684</v>
      </c>
      <c r="O805" s="13"/>
      <c r="P805" s="13" t="s">
        <v>5291</v>
      </c>
      <c r="Q805" s="13" t="s">
        <v>5289</v>
      </c>
      <c r="R805" s="13" t="s">
        <v>5292</v>
      </c>
      <c r="S805" s="13" t="s">
        <v>5293</v>
      </c>
      <c r="T805" s="13" t="s">
        <v>3</v>
      </c>
      <c r="U805" s="13" t="s">
        <v>180</v>
      </c>
      <c r="V805" s="13" t="n">
        <f aca="false">IF(COUNTIF($B$2:B805,B805)=1,1,0)</f>
        <v>0</v>
      </c>
      <c r="W805" s="13" t="n">
        <f aca="false">IF(COUNTIFS($B$2:B805,B805,$T$2:T805,T805)=1,1,0)</f>
        <v>0</v>
      </c>
    </row>
    <row r="806" customFormat="false" ht="15" hidden="false" customHeight="false" outlineLevel="0" collapsed="false">
      <c r="A806" s="13" t="s">
        <v>4946</v>
      </c>
      <c r="B806" s="13" t="s">
        <v>2289</v>
      </c>
      <c r="C806" s="13" t="n">
        <v>200</v>
      </c>
      <c r="D806" s="13" t="n">
        <v>2</v>
      </c>
      <c r="E806" s="13" t="n">
        <v>65.7</v>
      </c>
      <c r="F806" s="13" t="s">
        <v>5325</v>
      </c>
      <c r="G806" s="13" t="s">
        <v>5289</v>
      </c>
      <c r="H806" s="13" t="s">
        <v>5289</v>
      </c>
      <c r="I806" s="13" t="s">
        <v>5292</v>
      </c>
      <c r="J806" s="13" t="s">
        <v>5289</v>
      </c>
      <c r="K806" s="13" t="s">
        <v>5292</v>
      </c>
      <c r="L806" s="13" t="s">
        <v>5617</v>
      </c>
      <c r="M806" s="13"/>
      <c r="N806" s="13" t="n">
        <v>192505237835</v>
      </c>
      <c r="O806" s="13"/>
      <c r="P806" s="13" t="s">
        <v>5291</v>
      </c>
      <c r="Q806" s="13" t="s">
        <v>5289</v>
      </c>
      <c r="R806" s="13" t="s">
        <v>5292</v>
      </c>
      <c r="S806" s="13" t="s">
        <v>5293</v>
      </c>
      <c r="T806" s="13" t="s">
        <v>3</v>
      </c>
      <c r="U806" s="13" t="s">
        <v>140</v>
      </c>
      <c r="V806" s="13" t="n">
        <f aca="false">IF(COUNTIF($B$2:B806,B806)=1,1,0)</f>
        <v>1</v>
      </c>
      <c r="W806" s="13" t="n">
        <f aca="false">IF(COUNTIFS($B$2:B806,B806,$T$2:T806,T806)=1,1,0)</f>
        <v>1</v>
      </c>
    </row>
    <row r="807" customFormat="false" ht="15" hidden="false" customHeight="false" outlineLevel="0" collapsed="false">
      <c r="A807" s="13" t="s">
        <v>4951</v>
      </c>
      <c r="B807" s="13" t="s">
        <v>2125</v>
      </c>
      <c r="C807" s="13" t="n">
        <v>200</v>
      </c>
      <c r="D807" s="13" t="n">
        <v>1</v>
      </c>
      <c r="E807" s="13" t="n">
        <v>196.99</v>
      </c>
      <c r="F807" s="13" t="s">
        <v>5288</v>
      </c>
      <c r="G807" s="13" t="s">
        <v>5289</v>
      </c>
      <c r="H807" s="13" t="s">
        <v>5289</v>
      </c>
      <c r="I807" s="13" t="s">
        <v>5289</v>
      </c>
      <c r="J807" s="13" t="s">
        <v>5289</v>
      </c>
      <c r="K807" s="13" t="s">
        <v>5292</v>
      </c>
      <c r="L807" s="13" t="s">
        <v>4950</v>
      </c>
      <c r="M807" s="13"/>
      <c r="N807" s="13" t="n">
        <v>7896020615118</v>
      </c>
      <c r="O807" s="13"/>
      <c r="P807" s="13" t="s">
        <v>5297</v>
      </c>
      <c r="Q807" s="13" t="s">
        <v>5289</v>
      </c>
      <c r="R807" s="13" t="s">
        <v>5292</v>
      </c>
      <c r="S807" s="13" t="s">
        <v>5293</v>
      </c>
      <c r="T807" s="13" t="s">
        <v>3</v>
      </c>
      <c r="U807" s="13" t="s">
        <v>129</v>
      </c>
      <c r="V807" s="13" t="n">
        <f aca="false">IF(COUNTIF($B$2:B807,B807)=1,1,0)</f>
        <v>0</v>
      </c>
      <c r="W807" s="13" t="n">
        <f aca="false">IF(COUNTIFS($B$2:B807,B807,$T$2:T807,T807)=1,1,0)</f>
        <v>0</v>
      </c>
    </row>
    <row r="808" customFormat="false" ht="15" hidden="false" customHeight="false" outlineLevel="0" collapsed="false">
      <c r="A808" s="13" t="s">
        <v>5618</v>
      </c>
      <c r="B808" s="13" t="s">
        <v>2170</v>
      </c>
      <c r="C808" s="13" t="n">
        <v>200</v>
      </c>
      <c r="D808" s="13" t="n">
        <v>5</v>
      </c>
      <c r="E808" s="13" t="n">
        <v>19.6</v>
      </c>
      <c r="F808" s="13" t="s">
        <v>5288</v>
      </c>
      <c r="G808" s="13" t="s">
        <v>5289</v>
      </c>
      <c r="H808" s="13" t="s">
        <v>5289</v>
      </c>
      <c r="I808" s="13" t="s">
        <v>5292</v>
      </c>
      <c r="J808" s="13" t="s">
        <v>5289</v>
      </c>
      <c r="K808" s="13" t="s">
        <v>5292</v>
      </c>
      <c r="L808" s="13" t="s">
        <v>5619</v>
      </c>
      <c r="M808" s="13"/>
      <c r="N808" s="13"/>
      <c r="O808" s="13"/>
      <c r="P808" s="13" t="s">
        <v>5291</v>
      </c>
      <c r="Q808" s="13" t="s">
        <v>5289</v>
      </c>
      <c r="R808" s="13" t="s">
        <v>5292</v>
      </c>
      <c r="S808" s="13" t="s">
        <v>5293</v>
      </c>
      <c r="T808" s="13" t="s">
        <v>3</v>
      </c>
      <c r="U808" s="13" t="s">
        <v>85</v>
      </c>
      <c r="V808" s="13" t="n">
        <f aca="false">IF(COUNTIF($B$2:B808,B808)=1,1,0)</f>
        <v>0</v>
      </c>
      <c r="W808" s="13" t="n">
        <f aca="false">IF(COUNTIFS($B$2:B808,B808,$T$2:T808,T808)=1,1,0)</f>
        <v>0</v>
      </c>
    </row>
    <row r="809" customFormat="false" ht="15" hidden="false" customHeight="false" outlineLevel="0" collapsed="false">
      <c r="A809" s="13" t="s">
        <v>4963</v>
      </c>
      <c r="B809" s="13" t="s">
        <v>2095</v>
      </c>
      <c r="C809" s="13" t="n">
        <v>190</v>
      </c>
      <c r="D809" s="13" t="n">
        <v>2</v>
      </c>
      <c r="E809" s="13" t="n">
        <v>64.99</v>
      </c>
      <c r="F809" s="13" t="s">
        <v>5288</v>
      </c>
      <c r="G809" s="13" t="s">
        <v>5289</v>
      </c>
      <c r="H809" s="13" t="s">
        <v>5289</v>
      </c>
      <c r="I809" s="13" t="s">
        <v>5292</v>
      </c>
      <c r="J809" s="13" t="s">
        <v>5289</v>
      </c>
      <c r="K809" s="13" t="s">
        <v>5292</v>
      </c>
      <c r="L809" s="13" t="s">
        <v>5620</v>
      </c>
      <c r="M809" s="13"/>
      <c r="N809" s="13" t="n">
        <v>7898665434130</v>
      </c>
      <c r="O809" s="13"/>
      <c r="P809" s="13" t="s">
        <v>5291</v>
      </c>
      <c r="Q809" s="13" t="s">
        <v>5289</v>
      </c>
      <c r="R809" s="13" t="s">
        <v>5292</v>
      </c>
      <c r="S809" s="13" t="s">
        <v>5293</v>
      </c>
      <c r="T809" s="13" t="s">
        <v>3</v>
      </c>
      <c r="U809" s="13" t="s">
        <v>140</v>
      </c>
      <c r="V809" s="13" t="n">
        <f aca="false">IF(COUNTIF($B$2:B809,B809)=1,1,0)</f>
        <v>0</v>
      </c>
      <c r="W809" s="13" t="n">
        <f aca="false">IF(COUNTIFS($B$2:B809,B809,$T$2:T809,T809)=1,1,0)</f>
        <v>0</v>
      </c>
    </row>
    <row r="810" customFormat="false" ht="15" hidden="false" customHeight="false" outlineLevel="0" collapsed="false">
      <c r="A810" s="13" t="s">
        <v>4957</v>
      </c>
      <c r="B810" s="13" t="s">
        <v>2255</v>
      </c>
      <c r="C810" s="13" t="n">
        <v>190</v>
      </c>
      <c r="D810" s="13" t="n">
        <v>1</v>
      </c>
      <c r="E810" s="13" t="n">
        <v>189.99</v>
      </c>
      <c r="F810" s="13" t="s">
        <v>5288</v>
      </c>
      <c r="G810" s="13" t="s">
        <v>5289</v>
      </c>
      <c r="H810" s="13" t="s">
        <v>5289</v>
      </c>
      <c r="I810" s="13" t="s">
        <v>5289</v>
      </c>
      <c r="J810" s="13" t="s">
        <v>5289</v>
      </c>
      <c r="K810" s="13" t="s">
        <v>5292</v>
      </c>
      <c r="L810" s="13" t="s">
        <v>4956</v>
      </c>
      <c r="M810" s="13"/>
      <c r="N810" s="13" t="n">
        <v>6294019001293</v>
      </c>
      <c r="O810" s="13"/>
      <c r="P810" s="13" t="s">
        <v>5291</v>
      </c>
      <c r="Q810" s="13" t="s">
        <v>5289</v>
      </c>
      <c r="R810" s="13" t="s">
        <v>5292</v>
      </c>
      <c r="S810" s="13" t="s">
        <v>5293</v>
      </c>
      <c r="T810" s="13" t="s">
        <v>3</v>
      </c>
      <c r="U810" s="13" t="s">
        <v>43</v>
      </c>
      <c r="V810" s="13" t="n">
        <f aca="false">IF(COUNTIF($B$2:B810,B810)=1,1,0)</f>
        <v>1</v>
      </c>
      <c r="W810" s="13" t="n">
        <f aca="false">IF(COUNTIFS($B$2:B810,B810,$T$2:T810,T810)=1,1,0)</f>
        <v>1</v>
      </c>
    </row>
    <row r="811" customFormat="false" ht="15" hidden="false" customHeight="false" outlineLevel="0" collapsed="false">
      <c r="A811" s="13" t="s">
        <v>2003</v>
      </c>
      <c r="B811" s="13" t="s">
        <v>255</v>
      </c>
      <c r="C811" s="13" t="n">
        <v>190</v>
      </c>
      <c r="D811" s="13" t="n">
        <v>1</v>
      </c>
      <c r="E811" s="13" t="n">
        <v>189.99</v>
      </c>
      <c r="F811" s="13" t="s">
        <v>5288</v>
      </c>
      <c r="G811" s="13" t="s">
        <v>5289</v>
      </c>
      <c r="H811" s="13" t="s">
        <v>5292</v>
      </c>
      <c r="I811" s="13" t="s">
        <v>5289</v>
      </c>
      <c r="J811" s="13" t="s">
        <v>5289</v>
      </c>
      <c r="K811" s="13" t="s">
        <v>5292</v>
      </c>
      <c r="L811" s="13" t="s">
        <v>3390</v>
      </c>
      <c r="M811" s="13"/>
      <c r="N811" s="13" t="n">
        <v>5055810012786</v>
      </c>
      <c r="O811" s="13"/>
      <c r="P811" s="13" t="s">
        <v>5291</v>
      </c>
      <c r="Q811" s="13" t="s">
        <v>5289</v>
      </c>
      <c r="R811" s="13" t="s">
        <v>5292</v>
      </c>
      <c r="S811" s="13" t="s">
        <v>5293</v>
      </c>
      <c r="T811" s="13" t="s">
        <v>3</v>
      </c>
      <c r="U811" s="13" t="s">
        <v>43</v>
      </c>
      <c r="V811" s="13" t="n">
        <f aca="false">IF(COUNTIF($B$2:B811,B811)=1,1,0)</f>
        <v>0</v>
      </c>
      <c r="W811" s="13" t="n">
        <f aca="false">IF(COUNTIFS($B$2:B811,B811,$T$2:T811,T811)=1,1,0)</f>
        <v>0</v>
      </c>
    </row>
    <row r="812" customFormat="false" ht="15" hidden="false" customHeight="false" outlineLevel="0" collapsed="false">
      <c r="A812" s="13" t="s">
        <v>4968</v>
      </c>
      <c r="B812" s="13" t="s">
        <v>2187</v>
      </c>
      <c r="C812" s="13" t="n">
        <v>190</v>
      </c>
      <c r="D812" s="13" t="n">
        <v>2</v>
      </c>
      <c r="E812" s="13" t="n">
        <v>63.15</v>
      </c>
      <c r="F812" s="13" t="s">
        <v>5325</v>
      </c>
      <c r="G812" s="13" t="s">
        <v>5289</v>
      </c>
      <c r="H812" s="13" t="s">
        <v>5289</v>
      </c>
      <c r="I812" s="13" t="s">
        <v>5292</v>
      </c>
      <c r="J812" s="13" t="s">
        <v>5289</v>
      </c>
      <c r="K812" s="13" t="s">
        <v>5292</v>
      </c>
      <c r="L812" s="13" t="s">
        <v>5621</v>
      </c>
      <c r="M812" s="13"/>
      <c r="N812" s="13" t="n">
        <v>7898965429379</v>
      </c>
      <c r="O812" s="13"/>
      <c r="P812" s="13" t="s">
        <v>5291</v>
      </c>
      <c r="Q812" s="13" t="s">
        <v>5289</v>
      </c>
      <c r="R812" s="13" t="s">
        <v>5292</v>
      </c>
      <c r="S812" s="13" t="s">
        <v>5293</v>
      </c>
      <c r="T812" s="13" t="s">
        <v>3</v>
      </c>
      <c r="U812" s="13" t="s">
        <v>183</v>
      </c>
      <c r="V812" s="13" t="n">
        <f aca="false">IF(COUNTIF($B$2:B812,B812)=1,1,0)</f>
        <v>0</v>
      </c>
      <c r="W812" s="13" t="n">
        <f aca="false">IF(COUNTIFS($B$2:B812,B812,$T$2:T812,T812)=1,1,0)</f>
        <v>0</v>
      </c>
    </row>
    <row r="813" customFormat="false" ht="15" hidden="false" customHeight="false" outlineLevel="0" collapsed="false">
      <c r="A813" s="13" t="s">
        <v>5622</v>
      </c>
      <c r="B813" s="13" t="s">
        <v>2264</v>
      </c>
      <c r="C813" s="13" t="n">
        <v>190</v>
      </c>
      <c r="D813" s="13" t="n">
        <v>1</v>
      </c>
      <c r="E813" s="13" t="n">
        <v>185.5</v>
      </c>
      <c r="F813" s="13" t="s">
        <v>5288</v>
      </c>
      <c r="G813" s="13" t="s">
        <v>5289</v>
      </c>
      <c r="H813" s="13" t="s">
        <v>5292</v>
      </c>
      <c r="I813" s="13" t="s">
        <v>5289</v>
      </c>
      <c r="J813" s="13" t="s">
        <v>5289</v>
      </c>
      <c r="K813" s="13" t="s">
        <v>5289</v>
      </c>
      <c r="L813" s="13" t="s">
        <v>4487</v>
      </c>
      <c r="M813" s="13"/>
      <c r="N813" s="13" t="n">
        <v>7895293668968</v>
      </c>
      <c r="O813" s="13"/>
      <c r="P813" s="13" t="s">
        <v>5297</v>
      </c>
      <c r="Q813" s="13" t="s">
        <v>5289</v>
      </c>
      <c r="R813" s="13" t="s">
        <v>5292</v>
      </c>
      <c r="S813" s="13" t="s">
        <v>5293</v>
      </c>
      <c r="T813" s="13" t="s">
        <v>3</v>
      </c>
      <c r="U813" s="13" t="s">
        <v>85</v>
      </c>
      <c r="V813" s="13" t="n">
        <f aca="false">IF(COUNTIF($B$2:B813,B813)=1,1,0)</f>
        <v>0</v>
      </c>
      <c r="W813" s="13" t="n">
        <f aca="false">IF(COUNTIFS($B$2:B813,B813,$T$2:T813,T813)=1,1,0)</f>
        <v>0</v>
      </c>
    </row>
    <row r="814" customFormat="false" ht="15" hidden="false" customHeight="false" outlineLevel="0" collapsed="false">
      <c r="A814" s="13" t="s">
        <v>4994</v>
      </c>
      <c r="B814" s="13" t="s">
        <v>2142</v>
      </c>
      <c r="C814" s="13" t="n">
        <v>180</v>
      </c>
      <c r="D814" s="13" t="n">
        <v>2</v>
      </c>
      <c r="E814" s="13" t="n">
        <v>45.9675</v>
      </c>
      <c r="F814" s="13" t="s">
        <v>5288</v>
      </c>
      <c r="G814" s="13" t="s">
        <v>5289</v>
      </c>
      <c r="H814" s="13" t="s">
        <v>5289</v>
      </c>
      <c r="I814" s="13" t="s">
        <v>5292</v>
      </c>
      <c r="J814" s="13" t="s">
        <v>5289</v>
      </c>
      <c r="K814" s="13" t="s">
        <v>5292</v>
      </c>
      <c r="L814" s="13" t="s">
        <v>4993</v>
      </c>
      <c r="M814" s="13"/>
      <c r="N814" s="13" t="n">
        <v>7908038600922</v>
      </c>
      <c r="O814" s="13"/>
      <c r="P814" s="13" t="s">
        <v>5291</v>
      </c>
      <c r="Q814" s="13" t="s">
        <v>5289</v>
      </c>
      <c r="R814" s="13" t="s">
        <v>5292</v>
      </c>
      <c r="S814" s="13" t="s">
        <v>5293</v>
      </c>
      <c r="T814" s="13" t="s">
        <v>3</v>
      </c>
      <c r="U814" s="13" t="s">
        <v>85</v>
      </c>
      <c r="V814" s="13" t="n">
        <f aca="false">IF(COUNTIF($B$2:B814,B814)=1,1,0)</f>
        <v>0</v>
      </c>
      <c r="W814" s="13" t="n">
        <f aca="false">IF(COUNTIFS($B$2:B814,B814,$T$2:T814,T814)=1,1,0)</f>
        <v>0</v>
      </c>
    </row>
    <row r="815" customFormat="false" ht="15" hidden="false" customHeight="false" outlineLevel="0" collapsed="false">
      <c r="A815" s="13" t="s">
        <v>4990</v>
      </c>
      <c r="B815" s="13" t="s">
        <v>2265</v>
      </c>
      <c r="C815" s="13" t="n">
        <v>180</v>
      </c>
      <c r="D815" s="13" t="n">
        <v>5</v>
      </c>
      <c r="E815" s="13" t="n">
        <v>26</v>
      </c>
      <c r="F815" s="13" t="s">
        <v>5288</v>
      </c>
      <c r="G815" s="13" t="s">
        <v>5289</v>
      </c>
      <c r="H815" s="13" t="s">
        <v>5289</v>
      </c>
      <c r="I815" s="13" t="s">
        <v>5292</v>
      </c>
      <c r="J815" s="13" t="s">
        <v>5289</v>
      </c>
      <c r="K815" s="13" t="s">
        <v>5292</v>
      </c>
      <c r="L815" s="13" t="s">
        <v>4989</v>
      </c>
      <c r="M815" s="13"/>
      <c r="N815" s="13" t="n">
        <v>7908103726489</v>
      </c>
      <c r="O815" s="13"/>
      <c r="P815" s="13" t="s">
        <v>5297</v>
      </c>
      <c r="Q815" s="13" t="s">
        <v>5289</v>
      </c>
      <c r="R815" s="13" t="s">
        <v>5292</v>
      </c>
      <c r="S815" s="13" t="s">
        <v>5293</v>
      </c>
      <c r="T815" s="13" t="s">
        <v>3</v>
      </c>
      <c r="U815" s="13" t="s">
        <v>85</v>
      </c>
      <c r="V815" s="13" t="n">
        <f aca="false">IF(COUNTIF($B$2:B815,B815)=1,1,0)</f>
        <v>0</v>
      </c>
      <c r="W815" s="13" t="n">
        <f aca="false">IF(COUNTIFS($B$2:B815,B815,$T$2:T815,T815)=1,1,0)</f>
        <v>0</v>
      </c>
    </row>
    <row r="816" customFormat="false" ht="15" hidden="false" customHeight="false" outlineLevel="0" collapsed="false">
      <c r="A816" s="13" t="s">
        <v>4978</v>
      </c>
      <c r="B816" s="13" t="s">
        <v>2287</v>
      </c>
      <c r="C816" s="13" t="n">
        <v>180</v>
      </c>
      <c r="D816" s="13" t="n">
        <v>5</v>
      </c>
      <c r="E816" s="13" t="n">
        <v>36.4</v>
      </c>
      <c r="F816" s="13" t="s">
        <v>5288</v>
      </c>
      <c r="G816" s="13" t="s">
        <v>5289</v>
      </c>
      <c r="H816" s="13" t="s">
        <v>5289</v>
      </c>
      <c r="I816" s="13" t="s">
        <v>5292</v>
      </c>
      <c r="J816" s="13" t="s">
        <v>5289</v>
      </c>
      <c r="K816" s="13" t="s">
        <v>5289</v>
      </c>
      <c r="L816" s="13" t="s">
        <v>4977</v>
      </c>
      <c r="M816" s="13"/>
      <c r="N816" s="13" t="n">
        <v>7896193243408</v>
      </c>
      <c r="O816" s="13"/>
      <c r="P816" s="13" t="s">
        <v>5297</v>
      </c>
      <c r="Q816" s="13" t="s">
        <v>5289</v>
      </c>
      <c r="R816" s="13" t="s">
        <v>5292</v>
      </c>
      <c r="S816" s="13" t="s">
        <v>5293</v>
      </c>
      <c r="T816" s="13" t="s">
        <v>3</v>
      </c>
      <c r="U816" s="13" t="s">
        <v>85</v>
      </c>
      <c r="V816" s="13" t="n">
        <f aca="false">IF(COUNTIF($B$2:B816,B816)=1,1,0)</f>
        <v>1</v>
      </c>
      <c r="W816" s="13" t="n">
        <f aca="false">IF(COUNTIFS($B$2:B816,B816,$T$2:T816,T816)=1,1,0)</f>
        <v>1</v>
      </c>
    </row>
    <row r="817" customFormat="false" ht="15" hidden="false" customHeight="false" outlineLevel="0" collapsed="false">
      <c r="A817" s="13" t="s">
        <v>4998</v>
      </c>
      <c r="B817" s="13" t="s">
        <v>2255</v>
      </c>
      <c r="C817" s="13" t="n">
        <v>180</v>
      </c>
      <c r="D817" s="13" t="n">
        <v>1</v>
      </c>
      <c r="E817" s="13" t="n">
        <v>179.99</v>
      </c>
      <c r="F817" s="13" t="s">
        <v>5288</v>
      </c>
      <c r="G817" s="13" t="s">
        <v>5289</v>
      </c>
      <c r="H817" s="13" t="s">
        <v>5289</v>
      </c>
      <c r="I817" s="13" t="s">
        <v>5289</v>
      </c>
      <c r="J817" s="13" t="s">
        <v>5289</v>
      </c>
      <c r="K817" s="13" t="s">
        <v>5292</v>
      </c>
      <c r="L817" s="13" t="s">
        <v>4997</v>
      </c>
      <c r="M817" s="13"/>
      <c r="N817" s="13" t="n">
        <v>6291109843023</v>
      </c>
      <c r="O817" s="13"/>
      <c r="P817" s="13" t="s">
        <v>5291</v>
      </c>
      <c r="Q817" s="13" t="s">
        <v>5289</v>
      </c>
      <c r="R817" s="13" t="s">
        <v>5292</v>
      </c>
      <c r="S817" s="13" t="s">
        <v>5293</v>
      </c>
      <c r="T817" s="13" t="s">
        <v>3</v>
      </c>
      <c r="U817" s="13" t="s">
        <v>43</v>
      </c>
      <c r="V817" s="13" t="n">
        <f aca="false">IF(COUNTIF($B$2:B817,B817)=1,1,0)</f>
        <v>0</v>
      </c>
      <c r="W817" s="13" t="n">
        <f aca="false">IF(COUNTIFS($B$2:B817,B817,$T$2:T817,T817)=1,1,0)</f>
        <v>0</v>
      </c>
    </row>
    <row r="818" customFormat="false" ht="15" hidden="false" customHeight="false" outlineLevel="0" collapsed="false">
      <c r="A818" s="13" t="s">
        <v>4996</v>
      </c>
      <c r="B818" s="13" t="s">
        <v>2255</v>
      </c>
      <c r="C818" s="13" t="n">
        <v>180</v>
      </c>
      <c r="D818" s="13" t="n">
        <v>1</v>
      </c>
      <c r="E818" s="13" t="n">
        <v>179.99</v>
      </c>
      <c r="F818" s="13" t="s">
        <v>5288</v>
      </c>
      <c r="G818" s="13" t="s">
        <v>5289</v>
      </c>
      <c r="H818" s="13" t="s">
        <v>5289</v>
      </c>
      <c r="I818" s="13" t="s">
        <v>5289</v>
      </c>
      <c r="J818" s="13" t="s">
        <v>5289</v>
      </c>
      <c r="K818" s="13" t="s">
        <v>5292</v>
      </c>
      <c r="L818" s="13" t="s">
        <v>4995</v>
      </c>
      <c r="M818" s="13"/>
      <c r="N818" s="13" t="n">
        <v>6291107921433</v>
      </c>
      <c r="O818" s="13"/>
      <c r="P818" s="13" t="s">
        <v>5291</v>
      </c>
      <c r="Q818" s="13" t="s">
        <v>5289</v>
      </c>
      <c r="R818" s="13" t="s">
        <v>5292</v>
      </c>
      <c r="S818" s="13" t="s">
        <v>5293</v>
      </c>
      <c r="T818" s="13" t="s">
        <v>3</v>
      </c>
      <c r="U818" s="13" t="s">
        <v>43</v>
      </c>
      <c r="V818" s="13" t="n">
        <f aca="false">IF(COUNTIF($B$2:B818,B818)=1,1,0)</f>
        <v>0</v>
      </c>
      <c r="W818" s="13" t="n">
        <f aca="false">IF(COUNTIFS($B$2:B818,B818,$T$2:T818,T818)=1,1,0)</f>
        <v>0</v>
      </c>
    </row>
    <row r="819" customFormat="false" ht="15" hidden="false" customHeight="false" outlineLevel="0" collapsed="false">
      <c r="A819" s="13" t="s">
        <v>4980</v>
      </c>
      <c r="B819" s="13" t="s">
        <v>2107</v>
      </c>
      <c r="C819" s="13" t="n">
        <v>180</v>
      </c>
      <c r="D819" s="13" t="n">
        <v>2</v>
      </c>
      <c r="E819" s="13" t="n">
        <v>89.99</v>
      </c>
      <c r="F819" s="13" t="s">
        <v>5288</v>
      </c>
      <c r="G819" s="13" t="s">
        <v>5289</v>
      </c>
      <c r="H819" s="13" t="s">
        <v>5289</v>
      </c>
      <c r="I819" s="13" t="s">
        <v>5289</v>
      </c>
      <c r="J819" s="13" t="s">
        <v>5289</v>
      </c>
      <c r="K819" s="13" t="s">
        <v>5292</v>
      </c>
      <c r="L819" s="13" t="s">
        <v>4979</v>
      </c>
      <c r="M819" s="13"/>
      <c r="N819" s="13" t="n">
        <v>8439627638204</v>
      </c>
      <c r="O819" s="13"/>
      <c r="P819" s="13" t="s">
        <v>5291</v>
      </c>
      <c r="Q819" s="13" t="s">
        <v>5289</v>
      </c>
      <c r="R819" s="13" t="s">
        <v>5292</v>
      </c>
      <c r="S819" s="13" t="s">
        <v>5293</v>
      </c>
      <c r="T819" s="13" t="s">
        <v>3</v>
      </c>
      <c r="U819" s="13" t="s">
        <v>43</v>
      </c>
      <c r="V819" s="13" t="n">
        <f aca="false">IF(COUNTIF($B$2:B819,B819)=1,1,0)</f>
        <v>0</v>
      </c>
      <c r="W819" s="13" t="n">
        <f aca="false">IF(COUNTIFS($B$2:B819,B819,$T$2:T819,T819)=1,1,0)</f>
        <v>0</v>
      </c>
    </row>
    <row r="820" customFormat="false" ht="15" hidden="false" customHeight="false" outlineLevel="0" collapsed="false">
      <c r="A820" s="13" t="s">
        <v>4974</v>
      </c>
      <c r="B820" s="13" t="s">
        <v>2114</v>
      </c>
      <c r="C820" s="13" t="n">
        <v>180</v>
      </c>
      <c r="D820" s="13" t="n">
        <v>5</v>
      </c>
      <c r="E820" s="13" t="n">
        <v>29.9</v>
      </c>
      <c r="F820" s="13" t="s">
        <v>5288</v>
      </c>
      <c r="G820" s="13" t="s">
        <v>5289</v>
      </c>
      <c r="H820" s="13" t="s">
        <v>5289</v>
      </c>
      <c r="I820" s="13" t="s">
        <v>5292</v>
      </c>
      <c r="J820" s="13" t="s">
        <v>5289</v>
      </c>
      <c r="K820" s="13" t="s">
        <v>5292</v>
      </c>
      <c r="L820" s="13" t="s">
        <v>4973</v>
      </c>
      <c r="M820" s="13"/>
      <c r="N820" s="13" t="n">
        <v>7898047200353</v>
      </c>
      <c r="O820" s="13"/>
      <c r="P820" s="13" t="s">
        <v>5297</v>
      </c>
      <c r="Q820" s="13" t="s">
        <v>5289</v>
      </c>
      <c r="R820" s="13" t="s">
        <v>5292</v>
      </c>
      <c r="S820" s="13" t="s">
        <v>5293</v>
      </c>
      <c r="T820" s="13" t="s">
        <v>3</v>
      </c>
      <c r="U820" s="13" t="s">
        <v>140</v>
      </c>
      <c r="V820" s="13" t="n">
        <f aca="false">IF(COUNTIF($B$2:B820,B820)=1,1,0)</f>
        <v>0</v>
      </c>
      <c r="W820" s="13" t="n">
        <f aca="false">IF(COUNTIFS($B$2:B820,B820,$T$2:T820,T820)=1,1,0)</f>
        <v>0</v>
      </c>
    </row>
    <row r="821" customFormat="false" ht="15" hidden="false" customHeight="false" outlineLevel="0" collapsed="false">
      <c r="A821" s="13" t="s">
        <v>4985</v>
      </c>
      <c r="B821" s="13" t="s">
        <v>2255</v>
      </c>
      <c r="C821" s="13" t="n">
        <v>180</v>
      </c>
      <c r="D821" s="13" t="n">
        <v>1</v>
      </c>
      <c r="E821" s="13" t="n">
        <v>179</v>
      </c>
      <c r="F821" s="13" t="s">
        <v>5288</v>
      </c>
      <c r="G821" s="13" t="s">
        <v>5289</v>
      </c>
      <c r="H821" s="13" t="s">
        <v>5289</v>
      </c>
      <c r="I821" s="13" t="s">
        <v>5289</v>
      </c>
      <c r="J821" s="13" t="s">
        <v>5289</v>
      </c>
      <c r="K821" s="13" t="s">
        <v>5292</v>
      </c>
      <c r="L821" s="13" t="s">
        <v>4984</v>
      </c>
      <c r="M821" s="13"/>
      <c r="N821" s="13" t="n">
        <v>6294019001309</v>
      </c>
      <c r="O821" s="13"/>
      <c r="P821" s="13" t="s">
        <v>5291</v>
      </c>
      <c r="Q821" s="13" t="s">
        <v>5289</v>
      </c>
      <c r="R821" s="13" t="s">
        <v>5292</v>
      </c>
      <c r="S821" s="13" t="s">
        <v>5293</v>
      </c>
      <c r="T821" s="13" t="s">
        <v>3</v>
      </c>
      <c r="U821" s="13" t="s">
        <v>43</v>
      </c>
      <c r="V821" s="13" t="n">
        <f aca="false">IF(COUNTIF($B$2:B821,B821)=1,1,0)</f>
        <v>0</v>
      </c>
      <c r="W821" s="13" t="n">
        <f aca="false">IF(COUNTIFS($B$2:B821,B821,$T$2:T821,T821)=1,1,0)</f>
        <v>0</v>
      </c>
    </row>
    <row r="822" customFormat="false" ht="15" hidden="false" customHeight="false" outlineLevel="0" collapsed="false">
      <c r="A822" s="13" t="s">
        <v>4976</v>
      </c>
      <c r="B822" s="13" t="s">
        <v>2142</v>
      </c>
      <c r="C822" s="13" t="n">
        <v>180</v>
      </c>
      <c r="D822" s="13" t="n">
        <v>5</v>
      </c>
      <c r="E822" s="13" t="n">
        <v>35.528</v>
      </c>
      <c r="F822" s="13" t="s">
        <v>5288</v>
      </c>
      <c r="G822" s="13" t="s">
        <v>5289</v>
      </c>
      <c r="H822" s="13" t="s">
        <v>5289</v>
      </c>
      <c r="I822" s="13" t="s">
        <v>5292</v>
      </c>
      <c r="J822" s="13" t="s">
        <v>5289</v>
      </c>
      <c r="K822" s="13" t="s">
        <v>5292</v>
      </c>
      <c r="L822" s="13" t="s">
        <v>5623</v>
      </c>
      <c r="M822" s="13"/>
      <c r="N822" s="13" t="n">
        <v>7898952577236</v>
      </c>
      <c r="O822" s="13"/>
      <c r="P822" s="13" t="s">
        <v>5291</v>
      </c>
      <c r="Q822" s="13" t="s">
        <v>5289</v>
      </c>
      <c r="R822" s="13" t="s">
        <v>5292</v>
      </c>
      <c r="S822" s="13" t="s">
        <v>5293</v>
      </c>
      <c r="T822" s="13" t="s">
        <v>3</v>
      </c>
      <c r="U822" s="13" t="s">
        <v>85</v>
      </c>
      <c r="V822" s="13" t="n">
        <f aca="false">IF(COUNTIF($B$2:B822,B822)=1,1,0)</f>
        <v>0</v>
      </c>
      <c r="W822" s="13" t="n">
        <f aca="false">IF(COUNTIFS($B$2:B822,B822,$T$2:T822,T822)=1,1,0)</f>
        <v>0</v>
      </c>
    </row>
    <row r="823" customFormat="false" ht="15" hidden="false" customHeight="false" outlineLevel="0" collapsed="false">
      <c r="A823" s="13" t="s">
        <v>5624</v>
      </c>
      <c r="B823" s="13" t="s">
        <v>2094</v>
      </c>
      <c r="C823" s="13" t="n">
        <v>180</v>
      </c>
      <c r="D823" s="13" t="n">
        <v>2</v>
      </c>
      <c r="E823" s="13" t="n">
        <v>88.1</v>
      </c>
      <c r="F823" s="13" t="s">
        <v>5288</v>
      </c>
      <c r="G823" s="13" t="s">
        <v>5289</v>
      </c>
      <c r="H823" s="13" t="s">
        <v>5292</v>
      </c>
      <c r="I823" s="13" t="s">
        <v>5289</v>
      </c>
      <c r="J823" s="13" t="s">
        <v>5289</v>
      </c>
      <c r="K823" s="13" t="s">
        <v>5289</v>
      </c>
      <c r="L823" s="13" t="s">
        <v>5323</v>
      </c>
      <c r="M823" s="13"/>
      <c r="N823" s="13" t="n">
        <v>7898639692955</v>
      </c>
      <c r="O823" s="13"/>
      <c r="P823" s="13" t="s">
        <v>5291</v>
      </c>
      <c r="Q823" s="13" t="s">
        <v>5289</v>
      </c>
      <c r="R823" s="13" t="s">
        <v>5292</v>
      </c>
      <c r="S823" s="13" t="s">
        <v>5293</v>
      </c>
      <c r="T823" s="13" t="s">
        <v>3</v>
      </c>
      <c r="U823" s="13" t="s">
        <v>57</v>
      </c>
      <c r="V823" s="13" t="n">
        <f aca="false">IF(COUNTIF($B$2:B823,B823)=1,1,0)</f>
        <v>0</v>
      </c>
      <c r="W823" s="13" t="n">
        <f aca="false">IF(COUNTIFS($B$2:B823,B823,$T$2:T823,T823)=1,1,0)</f>
        <v>0</v>
      </c>
    </row>
    <row r="824" customFormat="false" ht="15" hidden="false" customHeight="false" outlineLevel="0" collapsed="false">
      <c r="A824" s="13" t="s">
        <v>5625</v>
      </c>
      <c r="B824" s="13" t="s">
        <v>2099</v>
      </c>
      <c r="C824" s="13" t="n">
        <v>170</v>
      </c>
      <c r="D824" s="13" t="n">
        <v>5</v>
      </c>
      <c r="E824" s="13" t="n">
        <v>29.1566666666667</v>
      </c>
      <c r="F824" s="13" t="s">
        <v>5288</v>
      </c>
      <c r="G824" s="13" t="s">
        <v>5289</v>
      </c>
      <c r="H824" s="13" t="s">
        <v>5292</v>
      </c>
      <c r="I824" s="13" t="s">
        <v>5292</v>
      </c>
      <c r="J824" s="13" t="s">
        <v>5289</v>
      </c>
      <c r="K824" s="13" t="s">
        <v>5292</v>
      </c>
      <c r="L824" s="13" t="s">
        <v>4495</v>
      </c>
      <c r="M824" s="13"/>
      <c r="N824" s="13" t="n">
        <v>7899952322789</v>
      </c>
      <c r="O824" s="13"/>
      <c r="P824" s="13" t="s">
        <v>5291</v>
      </c>
      <c r="Q824" s="13" t="s">
        <v>5289</v>
      </c>
      <c r="R824" s="13" t="s">
        <v>5292</v>
      </c>
      <c r="S824" s="13" t="s">
        <v>5293</v>
      </c>
      <c r="T824" s="13" t="s">
        <v>3</v>
      </c>
      <c r="U824" s="13" t="s">
        <v>43</v>
      </c>
      <c r="V824" s="13" t="n">
        <f aca="false">IF(COUNTIF($B$2:B824,B824)=1,1,0)</f>
        <v>0</v>
      </c>
      <c r="W824" s="13" t="n">
        <f aca="false">IF(COUNTIFS($B$2:B824,B824,$T$2:T824,T824)=1,1,0)</f>
        <v>0</v>
      </c>
    </row>
    <row r="825" customFormat="false" ht="15" hidden="false" customHeight="false" outlineLevel="0" collapsed="false">
      <c r="A825" s="13" t="s">
        <v>5002</v>
      </c>
      <c r="B825" s="13" t="s">
        <v>2099</v>
      </c>
      <c r="C825" s="13" t="n">
        <v>170</v>
      </c>
      <c r="D825" s="13" t="n">
        <v>2</v>
      </c>
      <c r="E825" s="13" t="n">
        <v>42.99</v>
      </c>
      <c r="F825" s="13" t="s">
        <v>5288</v>
      </c>
      <c r="G825" s="13" t="s">
        <v>5289</v>
      </c>
      <c r="H825" s="13" t="s">
        <v>5289</v>
      </c>
      <c r="I825" s="13" t="s">
        <v>5292</v>
      </c>
      <c r="J825" s="13" t="s">
        <v>5289</v>
      </c>
      <c r="K825" s="13" t="s">
        <v>5292</v>
      </c>
      <c r="L825" s="13" t="s">
        <v>5001</v>
      </c>
      <c r="M825" s="13"/>
      <c r="N825" s="13" t="n">
        <v>7899952330166</v>
      </c>
      <c r="O825" s="13"/>
      <c r="P825" s="13" t="s">
        <v>5291</v>
      </c>
      <c r="Q825" s="13" t="s">
        <v>5289</v>
      </c>
      <c r="R825" s="13" t="s">
        <v>5292</v>
      </c>
      <c r="S825" s="13" t="s">
        <v>5293</v>
      </c>
      <c r="T825" s="13" t="s">
        <v>3</v>
      </c>
      <c r="U825" s="13" t="s">
        <v>43</v>
      </c>
      <c r="V825" s="13" t="n">
        <f aca="false">IF(COUNTIF($B$2:B825,B825)=1,1,0)</f>
        <v>0</v>
      </c>
      <c r="W825" s="13" t="n">
        <f aca="false">IF(COUNTIFS($B$2:B825,B825,$T$2:T825,T825)=1,1,0)</f>
        <v>0</v>
      </c>
    </row>
    <row r="826" customFormat="false" ht="15" hidden="false" customHeight="false" outlineLevel="0" collapsed="false">
      <c r="A826" s="13" t="s">
        <v>5007</v>
      </c>
      <c r="B826" s="13" t="s">
        <v>2108</v>
      </c>
      <c r="C826" s="13" t="n">
        <v>170</v>
      </c>
      <c r="D826" s="13" t="n">
        <v>1</v>
      </c>
      <c r="E826" s="13" t="n">
        <v>166.99</v>
      </c>
      <c r="F826" s="13" t="s">
        <v>5288</v>
      </c>
      <c r="G826" s="13" t="s">
        <v>5289</v>
      </c>
      <c r="H826" s="13" t="s">
        <v>5289</v>
      </c>
      <c r="I826" s="13" t="s">
        <v>5289</v>
      </c>
      <c r="J826" s="13" t="s">
        <v>5289</v>
      </c>
      <c r="K826" s="13" t="s">
        <v>5292</v>
      </c>
      <c r="L826" s="13" t="s">
        <v>5006</v>
      </c>
      <c r="M826" s="13"/>
      <c r="N826" s="13" t="n">
        <v>7891112214873</v>
      </c>
      <c r="O826" s="13"/>
      <c r="P826" s="13" t="s">
        <v>5291</v>
      </c>
      <c r="Q826" s="13" t="s">
        <v>5289</v>
      </c>
      <c r="R826" s="13" t="s">
        <v>5292</v>
      </c>
      <c r="S826" s="13" t="s">
        <v>5293</v>
      </c>
      <c r="T826" s="13" t="s">
        <v>3</v>
      </c>
      <c r="U826" s="13" t="s">
        <v>85</v>
      </c>
      <c r="V826" s="13" t="n">
        <f aca="false">IF(COUNTIF($B$2:B826,B826)=1,1,0)</f>
        <v>0</v>
      </c>
      <c r="W826" s="13" t="n">
        <f aca="false">IF(COUNTIFS($B$2:B826,B826,$T$2:T826,T826)=1,1,0)</f>
        <v>0</v>
      </c>
    </row>
    <row r="827" customFormat="false" ht="15" hidden="false" customHeight="false" outlineLevel="0" collapsed="false">
      <c r="A827" s="13" t="s">
        <v>5020</v>
      </c>
      <c r="B827" s="13" t="s">
        <v>2291</v>
      </c>
      <c r="C827" s="13" t="n">
        <v>160</v>
      </c>
      <c r="D827" s="13" t="n">
        <v>5</v>
      </c>
      <c r="E827" s="13" t="n">
        <v>32.69</v>
      </c>
      <c r="F827" s="13" t="s">
        <v>5288</v>
      </c>
      <c r="G827" s="13" t="s">
        <v>5289</v>
      </c>
      <c r="H827" s="13" t="s">
        <v>5289</v>
      </c>
      <c r="I827" s="13" t="s">
        <v>5292</v>
      </c>
      <c r="J827" s="13" t="s">
        <v>5289</v>
      </c>
      <c r="K827" s="13" t="s">
        <v>5292</v>
      </c>
      <c r="L827" s="13" t="s">
        <v>5019</v>
      </c>
      <c r="M827" s="13"/>
      <c r="N827" s="13" t="n">
        <v>7896000629081</v>
      </c>
      <c r="O827" s="13"/>
      <c r="P827" s="13" t="s">
        <v>5291</v>
      </c>
      <c r="Q827" s="13" t="s">
        <v>5289</v>
      </c>
      <c r="R827" s="13" t="s">
        <v>5292</v>
      </c>
      <c r="S827" s="13" t="s">
        <v>5293</v>
      </c>
      <c r="T827" s="13" t="s">
        <v>3</v>
      </c>
      <c r="U827" s="13" t="s">
        <v>85</v>
      </c>
      <c r="V827" s="13" t="n">
        <f aca="false">IF(COUNTIF($B$2:B827,B827)=1,1,0)</f>
        <v>1</v>
      </c>
      <c r="W827" s="13" t="n">
        <f aca="false">IF(COUNTIFS($B$2:B827,B827,$T$2:T827,T827)=1,1,0)</f>
        <v>1</v>
      </c>
    </row>
    <row r="828" customFormat="false" ht="15" hidden="false" customHeight="false" outlineLevel="0" collapsed="false">
      <c r="A828" s="13" t="s">
        <v>5027</v>
      </c>
      <c r="B828" s="13" t="s">
        <v>2108</v>
      </c>
      <c r="C828" s="13" t="n">
        <v>160</v>
      </c>
      <c r="D828" s="13" t="n">
        <v>2</v>
      </c>
      <c r="E828" s="13" t="n">
        <v>53.45</v>
      </c>
      <c r="F828" s="13" t="s">
        <v>5288</v>
      </c>
      <c r="G828" s="13" t="s">
        <v>5289</v>
      </c>
      <c r="H828" s="13" t="s">
        <v>5289</v>
      </c>
      <c r="I828" s="13" t="s">
        <v>5292</v>
      </c>
      <c r="J828" s="13" t="s">
        <v>5289</v>
      </c>
      <c r="K828" s="13" t="s">
        <v>5289</v>
      </c>
      <c r="L828" s="13" t="s">
        <v>5626</v>
      </c>
      <c r="M828" s="13"/>
      <c r="N828" s="13" t="n">
        <v>7891114062717</v>
      </c>
      <c r="O828" s="13"/>
      <c r="P828" s="13" t="s">
        <v>5297</v>
      </c>
      <c r="Q828" s="13" t="s">
        <v>5289</v>
      </c>
      <c r="R828" s="13" t="s">
        <v>5292</v>
      </c>
      <c r="S828" s="13" t="s">
        <v>5293</v>
      </c>
      <c r="T828" s="13" t="s">
        <v>3</v>
      </c>
      <c r="U828" s="13" t="s">
        <v>85</v>
      </c>
      <c r="V828" s="13" t="n">
        <f aca="false">IF(COUNTIF($B$2:B828,B828)=1,1,0)</f>
        <v>0</v>
      </c>
      <c r="W828" s="13" t="n">
        <f aca="false">IF(COUNTIFS($B$2:B828,B828,$T$2:T828,T828)=1,1,0)</f>
        <v>0</v>
      </c>
    </row>
    <row r="829" customFormat="false" ht="15" hidden="false" customHeight="false" outlineLevel="0" collapsed="false">
      <c r="A829" s="13" t="s">
        <v>2028</v>
      </c>
      <c r="B829" s="13" t="s">
        <v>255</v>
      </c>
      <c r="C829" s="13" t="n">
        <v>160</v>
      </c>
      <c r="D829" s="13" t="n">
        <v>1</v>
      </c>
      <c r="E829" s="13" t="n">
        <v>159.99</v>
      </c>
      <c r="F829" s="13" t="s">
        <v>5288</v>
      </c>
      <c r="G829" s="13" t="s">
        <v>5289</v>
      </c>
      <c r="H829" s="13" t="s">
        <v>5289</v>
      </c>
      <c r="I829" s="13" t="s">
        <v>5289</v>
      </c>
      <c r="J829" s="13" t="s">
        <v>5289</v>
      </c>
      <c r="K829" s="13" t="s">
        <v>5292</v>
      </c>
      <c r="L829" s="13" t="s">
        <v>5036</v>
      </c>
      <c r="M829" s="13"/>
      <c r="N829" s="13" t="n">
        <v>5055810029807</v>
      </c>
      <c r="O829" s="13"/>
      <c r="P829" s="13" t="s">
        <v>5291</v>
      </c>
      <c r="Q829" s="13" t="s">
        <v>5289</v>
      </c>
      <c r="R829" s="13" t="s">
        <v>5292</v>
      </c>
      <c r="S829" s="13" t="s">
        <v>5293</v>
      </c>
      <c r="T829" s="13" t="s">
        <v>3</v>
      </c>
      <c r="U829" s="13" t="s">
        <v>43</v>
      </c>
      <c r="V829" s="13" t="n">
        <f aca="false">IF(COUNTIF($B$2:B829,B829)=1,1,0)</f>
        <v>0</v>
      </c>
      <c r="W829" s="13" t="n">
        <f aca="false">IF(COUNTIFS($B$2:B829,B829,$T$2:T829,T829)=1,1,0)</f>
        <v>0</v>
      </c>
    </row>
    <row r="830" customFormat="false" ht="15" hidden="false" customHeight="false" outlineLevel="0" collapsed="false">
      <c r="A830" s="13" t="s">
        <v>2026</v>
      </c>
      <c r="B830" s="13" t="s">
        <v>191</v>
      </c>
      <c r="C830" s="13" t="n">
        <v>160</v>
      </c>
      <c r="D830" s="13" t="n">
        <v>5</v>
      </c>
      <c r="E830" s="13" t="n">
        <v>19.9</v>
      </c>
      <c r="F830" s="13" t="s">
        <v>5288</v>
      </c>
      <c r="G830" s="13" t="s">
        <v>5289</v>
      </c>
      <c r="H830" s="13" t="s">
        <v>5289</v>
      </c>
      <c r="I830" s="13" t="s">
        <v>5292</v>
      </c>
      <c r="J830" s="13" t="s">
        <v>5289</v>
      </c>
      <c r="K830" s="13" t="s">
        <v>5292</v>
      </c>
      <c r="L830" s="13" t="s">
        <v>5627</v>
      </c>
      <c r="M830" s="13"/>
      <c r="N830" s="13" t="n">
        <v>7896768499827</v>
      </c>
      <c r="O830" s="13"/>
      <c r="P830" s="13" t="s">
        <v>5297</v>
      </c>
      <c r="Q830" s="13" t="s">
        <v>5289</v>
      </c>
      <c r="R830" s="13" t="s">
        <v>5292</v>
      </c>
      <c r="S830" s="13" t="s">
        <v>5293</v>
      </c>
      <c r="T830" s="13" t="s">
        <v>3</v>
      </c>
      <c r="U830" s="13" t="s">
        <v>85</v>
      </c>
      <c r="V830" s="13" t="n">
        <f aca="false">IF(COUNTIF($B$2:B830,B830)=1,1,0)</f>
        <v>0</v>
      </c>
      <c r="W830" s="13" t="n">
        <f aca="false">IF(COUNTIFS($B$2:B830,B830,$T$2:T830,T830)=1,1,0)</f>
        <v>0</v>
      </c>
    </row>
    <row r="831" customFormat="false" ht="15" hidden="false" customHeight="false" outlineLevel="0" collapsed="false">
      <c r="A831" s="13" t="s">
        <v>4892</v>
      </c>
      <c r="B831" s="13" t="s">
        <v>2095</v>
      </c>
      <c r="C831" s="13" t="n">
        <v>160</v>
      </c>
      <c r="D831" s="13" t="n">
        <v>2</v>
      </c>
      <c r="E831" s="13" t="n">
        <v>78.99</v>
      </c>
      <c r="F831" s="13" t="s">
        <v>5288</v>
      </c>
      <c r="G831" s="13" t="s">
        <v>5289</v>
      </c>
      <c r="H831" s="13" t="s">
        <v>5289</v>
      </c>
      <c r="I831" s="13" t="s">
        <v>5292</v>
      </c>
      <c r="J831" s="13" t="s">
        <v>5289</v>
      </c>
      <c r="K831" s="13" t="s">
        <v>5292</v>
      </c>
      <c r="L831" s="13" t="s">
        <v>4890</v>
      </c>
      <c r="M831" s="13"/>
      <c r="N831" s="13" t="n">
        <v>7898919865079</v>
      </c>
      <c r="O831" s="13"/>
      <c r="P831" s="13" t="s">
        <v>5291</v>
      </c>
      <c r="Q831" s="13" t="s">
        <v>5289</v>
      </c>
      <c r="R831" s="13" t="s">
        <v>5292</v>
      </c>
      <c r="S831" s="13" t="s">
        <v>5293</v>
      </c>
      <c r="T831" s="13" t="s">
        <v>3</v>
      </c>
      <c r="U831" s="13" t="s">
        <v>140</v>
      </c>
      <c r="V831" s="13" t="n">
        <f aca="false">IF(COUNTIF($B$2:B831,B831)=1,1,0)</f>
        <v>0</v>
      </c>
      <c r="W831" s="13" t="n">
        <f aca="false">IF(COUNTIFS($B$2:B831,B831,$T$2:T831,T831)=1,1,0)</f>
        <v>0</v>
      </c>
    </row>
    <row r="832" customFormat="false" ht="15" hidden="false" customHeight="false" outlineLevel="0" collapsed="false">
      <c r="A832" s="13" t="s">
        <v>5033</v>
      </c>
      <c r="B832" s="13" t="s">
        <v>2265</v>
      </c>
      <c r="C832" s="13" t="n">
        <v>160</v>
      </c>
      <c r="D832" s="13" t="n">
        <v>2</v>
      </c>
      <c r="E832" s="13" t="n">
        <v>78.9</v>
      </c>
      <c r="F832" s="13" t="s">
        <v>5288</v>
      </c>
      <c r="G832" s="13" t="s">
        <v>5289</v>
      </c>
      <c r="H832" s="13" t="s">
        <v>5289</v>
      </c>
      <c r="I832" s="13" t="s">
        <v>5292</v>
      </c>
      <c r="J832" s="13" t="s">
        <v>5289</v>
      </c>
      <c r="K832" s="13" t="s">
        <v>5292</v>
      </c>
      <c r="L832" s="13" t="s">
        <v>5032</v>
      </c>
      <c r="M832" s="13"/>
      <c r="N832" s="13" t="n">
        <v>7908103713854</v>
      </c>
      <c r="O832" s="13"/>
      <c r="P832" s="13" t="s">
        <v>5297</v>
      </c>
      <c r="Q832" s="13" t="s">
        <v>5289</v>
      </c>
      <c r="R832" s="13" t="s">
        <v>5292</v>
      </c>
      <c r="S832" s="13" t="s">
        <v>5293</v>
      </c>
      <c r="T832" s="13" t="s">
        <v>3</v>
      </c>
      <c r="U832" s="13" t="s">
        <v>85</v>
      </c>
      <c r="V832" s="13" t="n">
        <f aca="false">IF(COUNTIF($B$2:B832,B832)=1,1,0)</f>
        <v>0</v>
      </c>
      <c r="W832" s="13" t="n">
        <f aca="false">IF(COUNTIFS($B$2:B832,B832,$T$2:T832,T832)=1,1,0)</f>
        <v>0</v>
      </c>
    </row>
    <row r="833" customFormat="false" ht="15" hidden="false" customHeight="false" outlineLevel="0" collapsed="false">
      <c r="A833" s="13" t="s">
        <v>5058</v>
      </c>
      <c r="B833" s="13" t="s">
        <v>2094</v>
      </c>
      <c r="C833" s="13" t="n">
        <v>150</v>
      </c>
      <c r="D833" s="13" t="n">
        <v>1</v>
      </c>
      <c r="E833" s="13" t="n">
        <v>153.58</v>
      </c>
      <c r="F833" s="13" t="s">
        <v>5288</v>
      </c>
      <c r="G833" s="13" t="s">
        <v>5289</v>
      </c>
      <c r="H833" s="13" t="s">
        <v>5289</v>
      </c>
      <c r="I833" s="13" t="s">
        <v>5289</v>
      </c>
      <c r="J833" s="13" t="s">
        <v>5289</v>
      </c>
      <c r="K833" s="13" t="s">
        <v>5289</v>
      </c>
      <c r="L833" s="13" t="s">
        <v>5057</v>
      </c>
      <c r="M833" s="13"/>
      <c r="N833" s="13" t="n">
        <v>7898301059932</v>
      </c>
      <c r="O833" s="13"/>
      <c r="P833" s="13" t="s">
        <v>5297</v>
      </c>
      <c r="Q833" s="13" t="s">
        <v>5289</v>
      </c>
      <c r="R833" s="13" t="s">
        <v>5292</v>
      </c>
      <c r="S833" s="13" t="s">
        <v>5293</v>
      </c>
      <c r="T833" s="13" t="s">
        <v>3</v>
      </c>
      <c r="U833" s="13" t="s">
        <v>85</v>
      </c>
      <c r="V833" s="13" t="n">
        <f aca="false">IF(COUNTIF($B$2:B833,B833)=1,1,0)</f>
        <v>0</v>
      </c>
      <c r="W833" s="13" t="n">
        <f aca="false">IF(COUNTIFS($B$2:B833,B833,$T$2:T833,T833)=1,1,0)</f>
        <v>0</v>
      </c>
    </row>
    <row r="834" customFormat="false" ht="15" hidden="false" customHeight="false" outlineLevel="0" collapsed="false">
      <c r="A834" s="13" t="s">
        <v>5052</v>
      </c>
      <c r="B834" s="13" t="s">
        <v>2124</v>
      </c>
      <c r="C834" s="13" t="n">
        <v>150</v>
      </c>
      <c r="D834" s="13" t="n">
        <v>2</v>
      </c>
      <c r="E834" s="13" t="n">
        <v>76</v>
      </c>
      <c r="F834" s="13" t="s">
        <v>5288</v>
      </c>
      <c r="G834" s="13" t="s">
        <v>5289</v>
      </c>
      <c r="H834" s="13" t="s">
        <v>5289</v>
      </c>
      <c r="I834" s="13" t="s">
        <v>5292</v>
      </c>
      <c r="J834" s="13" t="s">
        <v>5289</v>
      </c>
      <c r="K834" s="13" t="s">
        <v>5292</v>
      </c>
      <c r="L834" s="13" t="s">
        <v>5051</v>
      </c>
      <c r="M834" s="13"/>
      <c r="N834" s="13" t="n">
        <v>5425017735069</v>
      </c>
      <c r="O834" s="13"/>
      <c r="P834" s="13" t="s">
        <v>5291</v>
      </c>
      <c r="Q834" s="13" t="s">
        <v>5289</v>
      </c>
      <c r="R834" s="13" t="s">
        <v>5292</v>
      </c>
      <c r="S834" s="13" t="s">
        <v>5293</v>
      </c>
      <c r="T834" s="13" t="s">
        <v>3</v>
      </c>
      <c r="U834" s="13" t="s">
        <v>43</v>
      </c>
      <c r="V834" s="13" t="n">
        <f aca="false">IF(COUNTIF($B$2:B834,B834)=1,1,0)</f>
        <v>0</v>
      </c>
      <c r="W834" s="13" t="n">
        <f aca="false">IF(COUNTIFS($B$2:B834,B834,$T$2:T834,T834)=1,1,0)</f>
        <v>0</v>
      </c>
    </row>
    <row r="835" customFormat="false" ht="15" hidden="false" customHeight="false" outlineLevel="0" collapsed="false">
      <c r="A835" s="13" t="s">
        <v>2620</v>
      </c>
      <c r="B835" s="13" t="s">
        <v>2095</v>
      </c>
      <c r="C835" s="13" t="n">
        <v>150</v>
      </c>
      <c r="D835" s="13" t="n">
        <v>2</v>
      </c>
      <c r="E835" s="13" t="n">
        <v>49.99</v>
      </c>
      <c r="F835" s="13" t="s">
        <v>5288</v>
      </c>
      <c r="G835" s="13" t="s">
        <v>5289</v>
      </c>
      <c r="H835" s="13" t="s">
        <v>5292</v>
      </c>
      <c r="I835" s="13" t="s">
        <v>5292</v>
      </c>
      <c r="J835" s="13" t="s">
        <v>5289</v>
      </c>
      <c r="K835" s="13" t="s">
        <v>5292</v>
      </c>
      <c r="L835" s="13" t="s">
        <v>2619</v>
      </c>
      <c r="M835" s="13"/>
      <c r="N835" s="13" t="n">
        <v>7898665434123</v>
      </c>
      <c r="O835" s="13"/>
      <c r="P835" s="13" t="s">
        <v>5291</v>
      </c>
      <c r="Q835" s="13" t="s">
        <v>5289</v>
      </c>
      <c r="R835" s="13" t="s">
        <v>5292</v>
      </c>
      <c r="S835" s="13" t="s">
        <v>5293</v>
      </c>
      <c r="T835" s="13" t="s">
        <v>3</v>
      </c>
      <c r="U835" s="13" t="s">
        <v>85</v>
      </c>
      <c r="V835" s="13" t="n">
        <f aca="false">IF(COUNTIF($B$2:B835,B835)=1,1,0)</f>
        <v>0</v>
      </c>
      <c r="W835" s="13" t="n">
        <f aca="false">IF(COUNTIFS($B$2:B835,B835,$T$2:T835,T835)=1,1,0)</f>
        <v>0</v>
      </c>
    </row>
    <row r="836" customFormat="false" ht="15" hidden="false" customHeight="false" outlineLevel="0" collapsed="false">
      <c r="A836" s="13" t="s">
        <v>5061</v>
      </c>
      <c r="B836" s="13" t="s">
        <v>2292</v>
      </c>
      <c r="C836" s="13" t="n">
        <v>150</v>
      </c>
      <c r="D836" s="13" t="n">
        <v>1</v>
      </c>
      <c r="E836" s="13" t="n">
        <v>145.99</v>
      </c>
      <c r="F836" s="13" t="s">
        <v>5288</v>
      </c>
      <c r="G836" s="13" t="s">
        <v>5289</v>
      </c>
      <c r="H836" s="13" t="s">
        <v>5289</v>
      </c>
      <c r="I836" s="13" t="s">
        <v>5289</v>
      </c>
      <c r="J836" s="13" t="s">
        <v>5289</v>
      </c>
      <c r="K836" s="13" t="s">
        <v>5292</v>
      </c>
      <c r="L836" s="13" t="s">
        <v>5628</v>
      </c>
      <c r="M836" s="13"/>
      <c r="N836" s="13" t="n">
        <v>741527445973</v>
      </c>
      <c r="O836" s="13"/>
      <c r="P836" s="13" t="s">
        <v>5297</v>
      </c>
      <c r="Q836" s="13" t="s">
        <v>5289</v>
      </c>
      <c r="R836" s="13" t="s">
        <v>5292</v>
      </c>
      <c r="S836" s="13" t="s">
        <v>5293</v>
      </c>
      <c r="T836" s="13" t="s">
        <v>3</v>
      </c>
      <c r="U836" s="13" t="s">
        <v>43</v>
      </c>
      <c r="V836" s="13" t="n">
        <f aca="false">IF(COUNTIF($B$2:B836,B836)=1,1,0)</f>
        <v>1</v>
      </c>
      <c r="W836" s="13" t="n">
        <f aca="false">IF(COUNTIFS($B$2:B836,B836,$T$2:T836,T836)=1,1,0)</f>
        <v>1</v>
      </c>
    </row>
    <row r="837" customFormat="false" ht="15" hidden="false" customHeight="false" outlineLevel="0" collapsed="false">
      <c r="A837" s="13" t="s">
        <v>721</v>
      </c>
      <c r="B837" s="13" t="s">
        <v>191</v>
      </c>
      <c r="C837" s="13" t="n">
        <v>150</v>
      </c>
      <c r="D837" s="13" t="n">
        <v>1</v>
      </c>
      <c r="E837" s="13" t="n">
        <v>145.29</v>
      </c>
      <c r="F837" s="13" t="s">
        <v>5288</v>
      </c>
      <c r="G837" s="13" t="s">
        <v>5289</v>
      </c>
      <c r="H837" s="13" t="s">
        <v>5292</v>
      </c>
      <c r="I837" s="13" t="s">
        <v>5289</v>
      </c>
      <c r="J837" s="13" t="s">
        <v>5289</v>
      </c>
      <c r="K837" s="13" t="s">
        <v>5289</v>
      </c>
      <c r="L837" s="13" t="s">
        <v>3335</v>
      </c>
      <c r="M837" s="13"/>
      <c r="N837" s="13" t="n">
        <v>7898973267369</v>
      </c>
      <c r="O837" s="13"/>
      <c r="P837" s="13" t="s">
        <v>5291</v>
      </c>
      <c r="Q837" s="13" t="s">
        <v>5289</v>
      </c>
      <c r="R837" s="13" t="s">
        <v>5292</v>
      </c>
      <c r="S837" s="13" t="s">
        <v>5293</v>
      </c>
      <c r="T837" s="13" t="s">
        <v>3</v>
      </c>
      <c r="U837" s="13" t="s">
        <v>183</v>
      </c>
      <c r="V837" s="13" t="n">
        <f aca="false">IF(COUNTIF($B$2:B837,B837)=1,1,0)</f>
        <v>0</v>
      </c>
      <c r="W837" s="13" t="n">
        <f aca="false">IF(COUNTIFS($B$2:B837,B837,$T$2:T837,T837)=1,1,0)</f>
        <v>0</v>
      </c>
    </row>
    <row r="838" customFormat="false" ht="15" hidden="false" customHeight="false" outlineLevel="0" collapsed="false">
      <c r="A838" s="13" t="s">
        <v>4168</v>
      </c>
      <c r="B838" s="13" t="s">
        <v>2099</v>
      </c>
      <c r="C838" s="13" t="n">
        <v>140</v>
      </c>
      <c r="D838" s="13" t="n">
        <v>5</v>
      </c>
      <c r="E838" s="13" t="n">
        <v>28.99</v>
      </c>
      <c r="F838" s="13" t="s">
        <v>5288</v>
      </c>
      <c r="G838" s="13" t="s">
        <v>5289</v>
      </c>
      <c r="H838" s="13" t="s">
        <v>5292</v>
      </c>
      <c r="I838" s="13" t="s">
        <v>5292</v>
      </c>
      <c r="J838" s="13" t="s">
        <v>5289</v>
      </c>
      <c r="K838" s="13" t="s">
        <v>5292</v>
      </c>
      <c r="L838" s="13" t="s">
        <v>4167</v>
      </c>
      <c r="M838" s="13"/>
      <c r="N838" s="13" t="n">
        <v>7899952321416</v>
      </c>
      <c r="O838" s="13"/>
      <c r="P838" s="13" t="s">
        <v>5291</v>
      </c>
      <c r="Q838" s="13" t="s">
        <v>5289</v>
      </c>
      <c r="R838" s="13" t="s">
        <v>5292</v>
      </c>
      <c r="S838" s="13" t="s">
        <v>5293</v>
      </c>
      <c r="T838" s="13" t="s">
        <v>3</v>
      </c>
      <c r="U838" s="13" t="s">
        <v>43</v>
      </c>
      <c r="V838" s="13" t="n">
        <f aca="false">IF(COUNTIF($B$2:B838,B838)=1,1,0)</f>
        <v>0</v>
      </c>
      <c r="W838" s="13" t="n">
        <f aca="false">IF(COUNTIFS($B$2:B838,B838,$T$2:T838,T838)=1,1,0)</f>
        <v>0</v>
      </c>
    </row>
    <row r="839" customFormat="false" ht="15" hidden="false" customHeight="false" outlineLevel="0" collapsed="false">
      <c r="A839" s="13" t="s">
        <v>5063</v>
      </c>
      <c r="B839" s="13" t="s">
        <v>2099</v>
      </c>
      <c r="C839" s="13" t="n">
        <v>140</v>
      </c>
      <c r="D839" s="13" t="n">
        <v>5</v>
      </c>
      <c r="E839" s="13" t="n">
        <v>23.8233333333333</v>
      </c>
      <c r="F839" s="13" t="s">
        <v>5288</v>
      </c>
      <c r="G839" s="13" t="s">
        <v>5289</v>
      </c>
      <c r="H839" s="13" t="s">
        <v>5289</v>
      </c>
      <c r="I839" s="13" t="s">
        <v>5292</v>
      </c>
      <c r="J839" s="13" t="s">
        <v>5289</v>
      </c>
      <c r="K839" s="13" t="s">
        <v>5292</v>
      </c>
      <c r="L839" s="13" t="s">
        <v>5062</v>
      </c>
      <c r="M839" s="13"/>
      <c r="N839" s="13" t="n">
        <v>7899952328804</v>
      </c>
      <c r="O839" s="13"/>
      <c r="P839" s="13" t="s">
        <v>5291</v>
      </c>
      <c r="Q839" s="13" t="s">
        <v>5289</v>
      </c>
      <c r="R839" s="13" t="s">
        <v>5292</v>
      </c>
      <c r="S839" s="13" t="s">
        <v>5293</v>
      </c>
      <c r="T839" s="13" t="s">
        <v>3</v>
      </c>
      <c r="U839" s="13" t="s">
        <v>43</v>
      </c>
      <c r="V839" s="13" t="n">
        <f aca="false">IF(COUNTIF($B$2:B839,B839)=1,1,0)</f>
        <v>0</v>
      </c>
      <c r="W839" s="13" t="n">
        <f aca="false">IF(COUNTIFS($B$2:B839,B839,$T$2:T839,T839)=1,1,0)</f>
        <v>0</v>
      </c>
    </row>
    <row r="840" customFormat="false" ht="15" hidden="false" customHeight="false" outlineLevel="0" collapsed="false">
      <c r="A840" s="13" t="s">
        <v>2036</v>
      </c>
      <c r="B840" s="13" t="s">
        <v>470</v>
      </c>
      <c r="C840" s="13" t="n">
        <v>140</v>
      </c>
      <c r="D840" s="13" t="n">
        <v>1</v>
      </c>
      <c r="E840" s="13" t="n">
        <v>141.99</v>
      </c>
      <c r="F840" s="13" t="s">
        <v>5288</v>
      </c>
      <c r="G840" s="13" t="s">
        <v>5289</v>
      </c>
      <c r="H840" s="13" t="s">
        <v>5289</v>
      </c>
      <c r="I840" s="13" t="s">
        <v>5289</v>
      </c>
      <c r="J840" s="13" t="s">
        <v>5289</v>
      </c>
      <c r="K840" s="13" t="s">
        <v>5292</v>
      </c>
      <c r="L840" s="13" t="s">
        <v>5073</v>
      </c>
      <c r="M840" s="13"/>
      <c r="N840" s="13" t="n">
        <v>4895229150140</v>
      </c>
      <c r="O840" s="13"/>
      <c r="P840" s="13" t="s">
        <v>5291</v>
      </c>
      <c r="Q840" s="13" t="s">
        <v>5289</v>
      </c>
      <c r="R840" s="13" t="s">
        <v>5292</v>
      </c>
      <c r="S840" s="13" t="s">
        <v>5293</v>
      </c>
      <c r="T840" s="13" t="s">
        <v>3</v>
      </c>
      <c r="U840" s="13" t="s">
        <v>85</v>
      </c>
      <c r="V840" s="13" t="n">
        <f aca="false">IF(COUNTIF($B$2:B840,B840)=1,1,0)</f>
        <v>0</v>
      </c>
      <c r="W840" s="13" t="n">
        <f aca="false">IF(COUNTIFS($B$2:B840,B840,$T$2:T840,T840)=1,1,0)</f>
        <v>0</v>
      </c>
    </row>
    <row r="841" customFormat="false" ht="15" hidden="false" customHeight="false" outlineLevel="0" collapsed="false">
      <c r="A841" s="13" t="s">
        <v>5069</v>
      </c>
      <c r="B841" s="13" t="s">
        <v>2294</v>
      </c>
      <c r="C841" s="13" t="n">
        <v>140</v>
      </c>
      <c r="D841" s="13" t="n">
        <v>2</v>
      </c>
      <c r="E841" s="13" t="n">
        <v>70.9</v>
      </c>
      <c r="F841" s="13" t="s">
        <v>5288</v>
      </c>
      <c r="G841" s="13" t="s">
        <v>5289</v>
      </c>
      <c r="H841" s="13" t="s">
        <v>5289</v>
      </c>
      <c r="I841" s="13" t="s">
        <v>5292</v>
      </c>
      <c r="J841" s="13" t="s">
        <v>5289</v>
      </c>
      <c r="K841" s="13" t="s">
        <v>5292</v>
      </c>
      <c r="L841" s="13" t="s">
        <v>5068</v>
      </c>
      <c r="M841" s="13"/>
      <c r="N841" s="13" t="n">
        <v>5425039221731</v>
      </c>
      <c r="O841" s="13"/>
      <c r="P841" s="13" t="s">
        <v>5291</v>
      </c>
      <c r="Q841" s="13" t="s">
        <v>5289</v>
      </c>
      <c r="R841" s="13" t="s">
        <v>5292</v>
      </c>
      <c r="S841" s="13" t="s">
        <v>5293</v>
      </c>
      <c r="T841" s="13" t="s">
        <v>3</v>
      </c>
      <c r="U841" s="13" t="s">
        <v>43</v>
      </c>
      <c r="V841" s="13" t="n">
        <f aca="false">IF(COUNTIF($B$2:B841,B841)=1,1,0)</f>
        <v>1</v>
      </c>
      <c r="W841" s="13" t="n">
        <f aca="false">IF(COUNTIFS($B$2:B841,B841,$T$2:T841,T841)=1,1,0)</f>
        <v>1</v>
      </c>
    </row>
    <row r="842" customFormat="false" ht="15" hidden="false" customHeight="false" outlineLevel="0" collapsed="false">
      <c r="A842" s="13" t="s">
        <v>5629</v>
      </c>
      <c r="B842" s="13" t="s">
        <v>2095</v>
      </c>
      <c r="C842" s="13" t="n">
        <v>140</v>
      </c>
      <c r="D842" s="13" t="n">
        <v>1</v>
      </c>
      <c r="E842" s="13" t="n">
        <v>140.99</v>
      </c>
      <c r="F842" s="13" t="s">
        <v>5288</v>
      </c>
      <c r="G842" s="13" t="s">
        <v>5289</v>
      </c>
      <c r="H842" s="13" t="s">
        <v>5289</v>
      </c>
      <c r="I842" s="13" t="s">
        <v>5289</v>
      </c>
      <c r="J842" s="13" t="s">
        <v>5289</v>
      </c>
      <c r="K842" s="13" t="s">
        <v>5292</v>
      </c>
      <c r="L842" s="13" t="s">
        <v>3621</v>
      </c>
      <c r="M842" s="13"/>
      <c r="N842" s="13" t="n">
        <v>7898665435823</v>
      </c>
      <c r="O842" s="13"/>
      <c r="P842" s="13" t="s">
        <v>5291</v>
      </c>
      <c r="Q842" s="13" t="s">
        <v>5289</v>
      </c>
      <c r="R842" s="13" t="s">
        <v>5292</v>
      </c>
      <c r="S842" s="13" t="s">
        <v>5293</v>
      </c>
      <c r="T842" s="13" t="s">
        <v>3</v>
      </c>
      <c r="U842" s="13" t="s">
        <v>140</v>
      </c>
      <c r="V842" s="13" t="n">
        <f aca="false">IF(COUNTIF($B$2:B842,B842)=1,1,0)</f>
        <v>0</v>
      </c>
      <c r="W842" s="13" t="n">
        <f aca="false">IF(COUNTIFS($B$2:B842,B842,$T$2:T842,T842)=1,1,0)</f>
        <v>0</v>
      </c>
    </row>
    <row r="843" customFormat="false" ht="15" hidden="false" customHeight="false" outlineLevel="0" collapsed="false">
      <c r="A843" s="13" t="s">
        <v>2035</v>
      </c>
      <c r="B843" s="13" t="s">
        <v>191</v>
      </c>
      <c r="C843" s="13" t="n">
        <v>140</v>
      </c>
      <c r="D843" s="13" t="n">
        <v>1</v>
      </c>
      <c r="E843" s="13" t="n">
        <v>139.99</v>
      </c>
      <c r="F843" s="13" t="s">
        <v>5288</v>
      </c>
      <c r="G843" s="13" t="s">
        <v>5289</v>
      </c>
      <c r="H843" s="13" t="s">
        <v>5292</v>
      </c>
      <c r="I843" s="13" t="s">
        <v>5289</v>
      </c>
      <c r="J843" s="13" t="s">
        <v>5289</v>
      </c>
      <c r="K843" s="13" t="s">
        <v>5292</v>
      </c>
      <c r="L843" s="13" t="s">
        <v>3189</v>
      </c>
      <c r="M843" s="13"/>
      <c r="N843" s="13" t="n">
        <v>7896768497076</v>
      </c>
      <c r="O843" s="13"/>
      <c r="P843" s="13" t="s">
        <v>5291</v>
      </c>
      <c r="Q843" s="13" t="s">
        <v>5289</v>
      </c>
      <c r="R843" s="13" t="s">
        <v>5292</v>
      </c>
      <c r="S843" s="13" t="s">
        <v>5293</v>
      </c>
      <c r="T843" s="13" t="s">
        <v>3</v>
      </c>
      <c r="U843" s="13" t="s">
        <v>140</v>
      </c>
      <c r="V843" s="13" t="n">
        <f aca="false">IF(COUNTIF($B$2:B843,B843)=1,1,0)</f>
        <v>0</v>
      </c>
      <c r="W843" s="13" t="n">
        <f aca="false">IF(COUNTIFS($B$2:B843,B843,$T$2:T843,T843)=1,1,0)</f>
        <v>0</v>
      </c>
    </row>
    <row r="844" customFormat="false" ht="15" hidden="false" customHeight="false" outlineLevel="0" collapsed="false">
      <c r="A844" s="13" t="s">
        <v>2037</v>
      </c>
      <c r="B844" s="13" t="s">
        <v>97</v>
      </c>
      <c r="C844" s="13" t="n">
        <v>140</v>
      </c>
      <c r="D844" s="13" t="n">
        <v>1</v>
      </c>
      <c r="E844" s="13" t="n">
        <v>139.99</v>
      </c>
      <c r="F844" s="13" t="s">
        <v>5288</v>
      </c>
      <c r="G844" s="13" t="s">
        <v>5289</v>
      </c>
      <c r="H844" s="13" t="s">
        <v>5292</v>
      </c>
      <c r="I844" s="13" t="s">
        <v>5289</v>
      </c>
      <c r="J844" s="13" t="s">
        <v>5289</v>
      </c>
      <c r="K844" s="13" t="s">
        <v>5292</v>
      </c>
      <c r="L844" s="13" t="s">
        <v>4215</v>
      </c>
      <c r="M844" s="13"/>
      <c r="N844" s="13" t="n">
        <v>7896525011095</v>
      </c>
      <c r="O844" s="13"/>
      <c r="P844" s="13" t="s">
        <v>5291</v>
      </c>
      <c r="Q844" s="13" t="s">
        <v>5289</v>
      </c>
      <c r="R844" s="13" t="s">
        <v>5292</v>
      </c>
      <c r="S844" s="13" t="s">
        <v>5293</v>
      </c>
      <c r="T844" s="13" t="s">
        <v>3</v>
      </c>
      <c r="U844" s="13" t="s">
        <v>85</v>
      </c>
      <c r="V844" s="13" t="n">
        <f aca="false">IF(COUNTIF($B$2:B844,B844)=1,1,0)</f>
        <v>0</v>
      </c>
      <c r="W844" s="13" t="n">
        <f aca="false">IF(COUNTIFS($B$2:B844,B844,$T$2:T844,T844)=1,1,0)</f>
        <v>0</v>
      </c>
    </row>
    <row r="845" customFormat="false" ht="15" hidden="false" customHeight="false" outlineLevel="0" collapsed="false">
      <c r="A845" s="13" t="s">
        <v>3278</v>
      </c>
      <c r="B845" s="13" t="s">
        <v>2095</v>
      </c>
      <c r="C845" s="13" t="n">
        <v>140</v>
      </c>
      <c r="D845" s="13" t="n">
        <v>2</v>
      </c>
      <c r="E845" s="13" t="n">
        <v>69.99</v>
      </c>
      <c r="F845" s="13" t="s">
        <v>5288</v>
      </c>
      <c r="G845" s="13" t="s">
        <v>5289</v>
      </c>
      <c r="H845" s="13" t="s">
        <v>5292</v>
      </c>
      <c r="I845" s="13" t="s">
        <v>5292</v>
      </c>
      <c r="J845" s="13" t="s">
        <v>5289</v>
      </c>
      <c r="K845" s="13" t="s">
        <v>5292</v>
      </c>
      <c r="L845" s="13" t="s">
        <v>3277</v>
      </c>
      <c r="M845" s="13"/>
      <c r="N845" s="13" t="n">
        <v>7898665434789</v>
      </c>
      <c r="O845" s="13"/>
      <c r="P845" s="13" t="s">
        <v>5291</v>
      </c>
      <c r="Q845" s="13" t="s">
        <v>5289</v>
      </c>
      <c r="R845" s="13" t="s">
        <v>5292</v>
      </c>
      <c r="S845" s="13" t="s">
        <v>5293</v>
      </c>
      <c r="T845" s="13" t="s">
        <v>3</v>
      </c>
      <c r="U845" s="13" t="s">
        <v>85</v>
      </c>
      <c r="V845" s="13" t="n">
        <f aca="false">IF(COUNTIF($B$2:B845,B845)=1,1,0)</f>
        <v>0</v>
      </c>
      <c r="W845" s="13" t="n">
        <f aca="false">IF(COUNTIFS($B$2:B845,B845,$T$2:T845,T845)=1,1,0)</f>
        <v>0</v>
      </c>
    </row>
    <row r="846" customFormat="false" ht="15" hidden="false" customHeight="false" outlineLevel="0" collapsed="false">
      <c r="A846" s="13" t="s">
        <v>3057</v>
      </c>
      <c r="B846" s="13" t="s">
        <v>2141</v>
      </c>
      <c r="C846" s="13" t="n">
        <v>140</v>
      </c>
      <c r="D846" s="13" t="n">
        <v>2</v>
      </c>
      <c r="E846" s="13" t="n">
        <v>69.99</v>
      </c>
      <c r="F846" s="13" t="s">
        <v>5288</v>
      </c>
      <c r="G846" s="13" t="s">
        <v>5289</v>
      </c>
      <c r="H846" s="13" t="s">
        <v>5292</v>
      </c>
      <c r="I846" s="13" t="s">
        <v>5292</v>
      </c>
      <c r="J846" s="13" t="s">
        <v>5289</v>
      </c>
      <c r="K846" s="13" t="s">
        <v>5292</v>
      </c>
      <c r="L846" s="13" t="s">
        <v>3056</v>
      </c>
      <c r="M846" s="13"/>
      <c r="N846" s="13" t="n">
        <v>5055810015169</v>
      </c>
      <c r="O846" s="13"/>
      <c r="P846" s="13" t="s">
        <v>5291</v>
      </c>
      <c r="Q846" s="13" t="s">
        <v>5289</v>
      </c>
      <c r="R846" s="13" t="s">
        <v>5292</v>
      </c>
      <c r="S846" s="13" t="s">
        <v>5293</v>
      </c>
      <c r="T846" s="13" t="s">
        <v>3</v>
      </c>
      <c r="U846" s="13" t="s">
        <v>43</v>
      </c>
      <c r="V846" s="13" t="n">
        <f aca="false">IF(COUNTIF($B$2:B846,B846)=1,1,0)</f>
        <v>0</v>
      </c>
      <c r="W846" s="13" t="n">
        <f aca="false">IF(COUNTIFS($B$2:B846,B846,$T$2:T846,T846)=1,1,0)</f>
        <v>0</v>
      </c>
    </row>
    <row r="847" customFormat="false" ht="15" hidden="false" customHeight="false" outlineLevel="0" collapsed="false">
      <c r="A847" s="13" t="s">
        <v>169</v>
      </c>
      <c r="B847" s="13" t="s">
        <v>167</v>
      </c>
      <c r="C847" s="13" t="n">
        <v>140</v>
      </c>
      <c r="D847" s="13" t="n">
        <v>1</v>
      </c>
      <c r="E847" s="13" t="n">
        <v>139.26</v>
      </c>
      <c r="F847" s="13" t="s">
        <v>5288</v>
      </c>
      <c r="G847" s="13" t="s">
        <v>5289</v>
      </c>
      <c r="H847" s="13" t="s">
        <v>5292</v>
      </c>
      <c r="I847" s="13" t="s">
        <v>5289</v>
      </c>
      <c r="J847" s="13" t="s">
        <v>5289</v>
      </c>
      <c r="K847" s="13" t="s">
        <v>5289</v>
      </c>
      <c r="L847" s="13" t="s">
        <v>5092</v>
      </c>
      <c r="M847" s="13"/>
      <c r="N847" s="13" t="n">
        <v>6938112688509</v>
      </c>
      <c r="O847" s="13"/>
      <c r="P847" s="13" t="s">
        <v>5291</v>
      </c>
      <c r="Q847" s="13" t="s">
        <v>5289</v>
      </c>
      <c r="R847" s="13" t="s">
        <v>5292</v>
      </c>
      <c r="S847" s="13" t="s">
        <v>5293</v>
      </c>
      <c r="T847" s="13" t="s">
        <v>3</v>
      </c>
      <c r="U847" s="13" t="s">
        <v>168</v>
      </c>
      <c r="V847" s="13" t="n">
        <f aca="false">IF(COUNTIF($B$2:B847,B847)=1,1,0)</f>
        <v>0</v>
      </c>
      <c r="W847" s="13" t="n">
        <f aca="false">IF(COUNTIFS($B$2:B847,B847,$T$2:T847,T847)=1,1,0)</f>
        <v>0</v>
      </c>
    </row>
    <row r="848" customFormat="false" ht="15" hidden="false" customHeight="false" outlineLevel="0" collapsed="false">
      <c r="A848" s="13" t="s">
        <v>5080</v>
      </c>
      <c r="B848" s="13" t="s">
        <v>2129</v>
      </c>
      <c r="C848" s="13" t="n">
        <v>140</v>
      </c>
      <c r="D848" s="13" t="n">
        <v>2</v>
      </c>
      <c r="E848" s="13" t="n">
        <v>69.45</v>
      </c>
      <c r="F848" s="13" t="s">
        <v>5288</v>
      </c>
      <c r="G848" s="13" t="s">
        <v>5289</v>
      </c>
      <c r="H848" s="13" t="s">
        <v>5289</v>
      </c>
      <c r="I848" s="13" t="s">
        <v>5292</v>
      </c>
      <c r="J848" s="13" t="s">
        <v>5289</v>
      </c>
      <c r="K848" s="13" t="s">
        <v>5292</v>
      </c>
      <c r="L848" s="13" t="s">
        <v>5079</v>
      </c>
      <c r="M848" s="13"/>
      <c r="N848" s="13" t="n">
        <v>7908654010631</v>
      </c>
      <c r="O848" s="13"/>
      <c r="P848" s="13" t="s">
        <v>5291</v>
      </c>
      <c r="Q848" s="13" t="s">
        <v>5289</v>
      </c>
      <c r="R848" s="13" t="s">
        <v>5292</v>
      </c>
      <c r="S848" s="13" t="s">
        <v>5293</v>
      </c>
      <c r="T848" s="13" t="s">
        <v>3</v>
      </c>
      <c r="U848" s="13" t="s">
        <v>43</v>
      </c>
      <c r="V848" s="13" t="n">
        <f aca="false">IF(COUNTIF($B$2:B848,B848)=1,1,0)</f>
        <v>0</v>
      </c>
      <c r="W848" s="13" t="n">
        <f aca="false">IF(COUNTIFS($B$2:B848,B848,$T$2:T848,T848)=1,1,0)</f>
        <v>0</v>
      </c>
    </row>
    <row r="849" customFormat="false" ht="15" hidden="false" customHeight="false" outlineLevel="0" collapsed="false">
      <c r="A849" s="13" t="s">
        <v>5090</v>
      </c>
      <c r="B849" s="13" t="s">
        <v>2101</v>
      </c>
      <c r="C849" s="13" t="n">
        <v>140</v>
      </c>
      <c r="D849" s="13" t="n">
        <v>2</v>
      </c>
      <c r="E849" s="13" t="n">
        <v>68.99</v>
      </c>
      <c r="F849" s="13" t="s">
        <v>5288</v>
      </c>
      <c r="G849" s="13" t="s">
        <v>5289</v>
      </c>
      <c r="H849" s="13" t="s">
        <v>5289</v>
      </c>
      <c r="I849" s="13" t="s">
        <v>5292</v>
      </c>
      <c r="J849" s="13" t="s">
        <v>5289</v>
      </c>
      <c r="K849" s="13" t="s">
        <v>5292</v>
      </c>
      <c r="L849" s="13" t="s">
        <v>5089</v>
      </c>
      <c r="M849" s="13"/>
      <c r="N849" s="13" t="n">
        <v>7908412510755</v>
      </c>
      <c r="O849" s="13"/>
      <c r="P849" s="13" t="s">
        <v>5297</v>
      </c>
      <c r="Q849" s="13" t="s">
        <v>5289</v>
      </c>
      <c r="R849" s="13" t="s">
        <v>5292</v>
      </c>
      <c r="S849" s="13" t="s">
        <v>5293</v>
      </c>
      <c r="T849" s="13" t="s">
        <v>3</v>
      </c>
      <c r="U849" s="13" t="s">
        <v>98</v>
      </c>
      <c r="V849" s="13" t="n">
        <f aca="false">IF(COUNTIF($B$2:B849,B849)=1,1,0)</f>
        <v>0</v>
      </c>
      <c r="W849" s="13" t="n">
        <f aca="false">IF(COUNTIFS($B$2:B849,B849,$T$2:T849,T849)=1,1,0)</f>
        <v>0</v>
      </c>
    </row>
    <row r="850" customFormat="false" ht="15" hidden="false" customHeight="false" outlineLevel="0" collapsed="false">
      <c r="A850" s="13" t="s">
        <v>5630</v>
      </c>
      <c r="B850" s="13" t="s">
        <v>2226</v>
      </c>
      <c r="C850" s="13" t="n">
        <v>130</v>
      </c>
      <c r="D850" s="13" t="n">
        <v>5</v>
      </c>
      <c r="E850" s="13" t="n">
        <v>21.55</v>
      </c>
      <c r="F850" s="13" t="s">
        <v>5288</v>
      </c>
      <c r="G850" s="13" t="s">
        <v>5289</v>
      </c>
      <c r="H850" s="13" t="s">
        <v>5289</v>
      </c>
      <c r="I850" s="13" t="s">
        <v>5292</v>
      </c>
      <c r="J850" s="13" t="s">
        <v>5289</v>
      </c>
      <c r="K850" s="13" t="s">
        <v>5292</v>
      </c>
      <c r="L850" s="13" t="s">
        <v>5631</v>
      </c>
      <c r="M850" s="13"/>
      <c r="N850" s="13"/>
      <c r="O850" s="13"/>
      <c r="P850" s="13" t="s">
        <v>5297</v>
      </c>
      <c r="Q850" s="13" t="s">
        <v>5289</v>
      </c>
      <c r="R850" s="13" t="s">
        <v>5292</v>
      </c>
      <c r="S850" s="13" t="s">
        <v>5293</v>
      </c>
      <c r="T850" s="13" t="s">
        <v>3</v>
      </c>
      <c r="U850" s="13" t="s">
        <v>85</v>
      </c>
      <c r="V850" s="13" t="n">
        <f aca="false">IF(COUNTIF($B$2:B850,B850)=1,1,0)</f>
        <v>0</v>
      </c>
      <c r="W850" s="13" t="n">
        <f aca="false">IF(COUNTIFS($B$2:B850,B850,$T$2:T850,T850)=1,1,0)</f>
        <v>0</v>
      </c>
    </row>
    <row r="851" customFormat="false" ht="15" hidden="false" customHeight="false" outlineLevel="0" collapsed="false">
      <c r="A851" s="13" t="s">
        <v>5632</v>
      </c>
      <c r="B851" s="13" t="s">
        <v>2136</v>
      </c>
      <c r="C851" s="13" t="n">
        <v>120</v>
      </c>
      <c r="D851" s="13" t="n">
        <v>2</v>
      </c>
      <c r="E851" s="13" t="n">
        <v>40.99</v>
      </c>
      <c r="F851" s="13" t="s">
        <v>5288</v>
      </c>
      <c r="G851" s="13" t="s">
        <v>5289</v>
      </c>
      <c r="H851" s="13" t="s">
        <v>5292</v>
      </c>
      <c r="I851" s="13" t="s">
        <v>5292</v>
      </c>
      <c r="J851" s="13" t="s">
        <v>5289</v>
      </c>
      <c r="K851" s="13" t="s">
        <v>5292</v>
      </c>
      <c r="L851" s="13" t="s">
        <v>5633</v>
      </c>
      <c r="M851" s="13"/>
      <c r="N851" s="13"/>
      <c r="O851" s="13"/>
      <c r="P851" s="13" t="s">
        <v>5291</v>
      </c>
      <c r="Q851" s="13" t="s">
        <v>5289</v>
      </c>
      <c r="R851" s="13" t="s">
        <v>5292</v>
      </c>
      <c r="S851" s="13" t="s">
        <v>5293</v>
      </c>
      <c r="T851" s="13" t="s">
        <v>3</v>
      </c>
      <c r="U851" s="13" t="s">
        <v>85</v>
      </c>
      <c r="V851" s="13" t="n">
        <f aca="false">IF(COUNTIF($B$2:B851,B851)=1,1,0)</f>
        <v>0</v>
      </c>
      <c r="W851" s="13" t="n">
        <f aca="false">IF(COUNTIFS($B$2:B851,B851,$T$2:T851,T851)=1,1,0)</f>
        <v>0</v>
      </c>
    </row>
    <row r="852" customFormat="false" ht="15" hidden="false" customHeight="false" outlineLevel="0" collapsed="false">
      <c r="A852" s="13" t="s">
        <v>5124</v>
      </c>
      <c r="B852" s="13" t="s">
        <v>2095</v>
      </c>
      <c r="C852" s="13" t="n">
        <v>120</v>
      </c>
      <c r="D852" s="13" t="n">
        <v>1</v>
      </c>
      <c r="E852" s="13" t="n">
        <v>119.99</v>
      </c>
      <c r="F852" s="13" t="s">
        <v>5288</v>
      </c>
      <c r="G852" s="13" t="s">
        <v>5289</v>
      </c>
      <c r="H852" s="13" t="s">
        <v>5289</v>
      </c>
      <c r="I852" s="13" t="s">
        <v>5289</v>
      </c>
      <c r="J852" s="13" t="s">
        <v>5289</v>
      </c>
      <c r="K852" s="13" t="s">
        <v>5292</v>
      </c>
      <c r="L852" s="13" t="s">
        <v>5122</v>
      </c>
      <c r="M852" s="13"/>
      <c r="N852" s="13" t="n">
        <v>7898665434567</v>
      </c>
      <c r="O852" s="13"/>
      <c r="P852" s="13" t="s">
        <v>5291</v>
      </c>
      <c r="Q852" s="13" t="s">
        <v>5289</v>
      </c>
      <c r="R852" s="13" t="s">
        <v>5292</v>
      </c>
      <c r="S852" s="13" t="s">
        <v>5293</v>
      </c>
      <c r="T852" s="13" t="s">
        <v>3</v>
      </c>
      <c r="U852" s="13" t="s">
        <v>140</v>
      </c>
      <c r="V852" s="13" t="n">
        <f aca="false">IF(COUNTIF($B$2:B852,B852)=1,1,0)</f>
        <v>0</v>
      </c>
      <c r="W852" s="13" t="n">
        <f aca="false">IF(COUNTIFS($B$2:B852,B852,$T$2:T852,T852)=1,1,0)</f>
        <v>0</v>
      </c>
    </row>
    <row r="853" customFormat="false" ht="15" hidden="false" customHeight="false" outlineLevel="0" collapsed="false">
      <c r="A853" s="13" t="s">
        <v>5109</v>
      </c>
      <c r="B853" s="13" t="s">
        <v>2126</v>
      </c>
      <c r="C853" s="13" t="n">
        <v>120</v>
      </c>
      <c r="D853" s="13" t="n">
        <v>2</v>
      </c>
      <c r="E853" s="13" t="n">
        <v>59.99</v>
      </c>
      <c r="F853" s="13" t="s">
        <v>5288</v>
      </c>
      <c r="G853" s="13" t="s">
        <v>5289</v>
      </c>
      <c r="H853" s="13" t="s">
        <v>5289</v>
      </c>
      <c r="I853" s="13" t="s">
        <v>5292</v>
      </c>
      <c r="J853" s="13" t="s">
        <v>5289</v>
      </c>
      <c r="K853" s="13" t="s">
        <v>5292</v>
      </c>
      <c r="L853" s="13" t="s">
        <v>5108</v>
      </c>
      <c r="M853" s="13"/>
      <c r="N853" s="13" t="n">
        <v>7898699845353</v>
      </c>
      <c r="O853" s="13"/>
      <c r="P853" s="13" t="s">
        <v>5297</v>
      </c>
      <c r="Q853" s="13" t="s">
        <v>5289</v>
      </c>
      <c r="R853" s="13" t="s">
        <v>5292</v>
      </c>
      <c r="S853" s="13" t="s">
        <v>5293</v>
      </c>
      <c r="T853" s="13" t="s">
        <v>3</v>
      </c>
      <c r="U853" s="13" t="s">
        <v>85</v>
      </c>
      <c r="V853" s="13" t="n">
        <f aca="false">IF(COUNTIF($B$2:B853,B853)=1,1,0)</f>
        <v>0</v>
      </c>
      <c r="W853" s="13" t="n">
        <f aca="false">IF(COUNTIFS($B$2:B853,B853,$T$2:T853,T853)=1,1,0)</f>
        <v>0</v>
      </c>
    </row>
    <row r="854" customFormat="false" ht="15" hidden="false" customHeight="false" outlineLevel="0" collapsed="false">
      <c r="A854" s="13" t="s">
        <v>2055</v>
      </c>
      <c r="B854" s="13" t="s">
        <v>114</v>
      </c>
      <c r="C854" s="13" t="n">
        <v>110</v>
      </c>
      <c r="D854" s="13" t="n">
        <v>1</v>
      </c>
      <c r="E854" s="13" t="n">
        <v>114.9</v>
      </c>
      <c r="F854" s="13" t="s">
        <v>5325</v>
      </c>
      <c r="G854" s="13" t="s">
        <v>5289</v>
      </c>
      <c r="H854" s="13" t="s">
        <v>5289</v>
      </c>
      <c r="I854" s="13" t="s">
        <v>5289</v>
      </c>
      <c r="J854" s="13" t="s">
        <v>5289</v>
      </c>
      <c r="K854" s="13" t="s">
        <v>5292</v>
      </c>
      <c r="L854" s="13" t="s">
        <v>5142</v>
      </c>
      <c r="M854" s="13"/>
      <c r="N854" s="13" t="n">
        <v>4975759001911</v>
      </c>
      <c r="O854" s="13" t="s">
        <v>5634</v>
      </c>
      <c r="P854" s="13" t="s">
        <v>5291</v>
      </c>
      <c r="Q854" s="13" t="s">
        <v>5289</v>
      </c>
      <c r="R854" s="13" t="s">
        <v>5292</v>
      </c>
      <c r="S854" s="13" t="s">
        <v>5293</v>
      </c>
      <c r="T854" s="13" t="s">
        <v>3</v>
      </c>
      <c r="U854" s="13" t="s">
        <v>85</v>
      </c>
      <c r="V854" s="13" t="n">
        <f aca="false">IF(COUNTIF($B$2:B854,B854)=1,1,0)</f>
        <v>0</v>
      </c>
      <c r="W854" s="13" t="n">
        <f aca="false">IF(COUNTIFS($B$2:B854,B854,$T$2:T854,T854)=1,1,0)</f>
        <v>0</v>
      </c>
    </row>
    <row r="855" customFormat="false" ht="15" hidden="false" customHeight="false" outlineLevel="0" collapsed="false">
      <c r="A855" s="13" t="s">
        <v>4338</v>
      </c>
      <c r="B855" s="13" t="s">
        <v>2099</v>
      </c>
      <c r="C855" s="13" t="n">
        <v>110</v>
      </c>
      <c r="D855" s="13" t="n">
        <v>2</v>
      </c>
      <c r="E855" s="13" t="n">
        <v>37.6566666666667</v>
      </c>
      <c r="F855" s="13" t="s">
        <v>5288</v>
      </c>
      <c r="G855" s="13" t="s">
        <v>5289</v>
      </c>
      <c r="H855" s="13" t="s">
        <v>5292</v>
      </c>
      <c r="I855" s="13" t="s">
        <v>5292</v>
      </c>
      <c r="J855" s="13" t="s">
        <v>5289</v>
      </c>
      <c r="K855" s="13" t="s">
        <v>5292</v>
      </c>
      <c r="L855" s="13" t="s">
        <v>4337</v>
      </c>
      <c r="M855" s="13"/>
      <c r="N855" s="13" t="n">
        <v>7899601701125</v>
      </c>
      <c r="O855" s="13"/>
      <c r="P855" s="13" t="s">
        <v>5291</v>
      </c>
      <c r="Q855" s="13" t="s">
        <v>5289</v>
      </c>
      <c r="R855" s="13" t="s">
        <v>5292</v>
      </c>
      <c r="S855" s="13" t="s">
        <v>5293</v>
      </c>
      <c r="T855" s="13" t="s">
        <v>3</v>
      </c>
      <c r="U855" s="13" t="s">
        <v>43</v>
      </c>
      <c r="V855" s="13" t="n">
        <f aca="false">IF(COUNTIF($B$2:B855,B855)=1,1,0)</f>
        <v>0</v>
      </c>
      <c r="W855" s="13" t="n">
        <f aca="false">IF(COUNTIFS($B$2:B855,B855,$T$2:T855,T855)=1,1,0)</f>
        <v>0</v>
      </c>
    </row>
    <row r="856" customFormat="false" ht="15" hidden="false" customHeight="false" outlineLevel="0" collapsed="false">
      <c r="A856" s="13" t="s">
        <v>5635</v>
      </c>
      <c r="B856" s="13" t="s">
        <v>2297</v>
      </c>
      <c r="C856" s="13" t="n">
        <v>110</v>
      </c>
      <c r="D856" s="13" t="n">
        <v>1</v>
      </c>
      <c r="E856" s="13" t="n">
        <v>109.99</v>
      </c>
      <c r="F856" s="13" t="s">
        <v>5288</v>
      </c>
      <c r="G856" s="13" t="s">
        <v>5289</v>
      </c>
      <c r="H856" s="13" t="s">
        <v>5289</v>
      </c>
      <c r="I856" s="13" t="s">
        <v>5289</v>
      </c>
      <c r="J856" s="13" t="s">
        <v>5289</v>
      </c>
      <c r="K856" s="13" t="s">
        <v>5292</v>
      </c>
      <c r="L856" s="13" t="s">
        <v>5636</v>
      </c>
      <c r="M856" s="13"/>
      <c r="N856" s="13" t="n">
        <v>70341102848</v>
      </c>
      <c r="O856" s="13"/>
      <c r="P856" s="13" t="s">
        <v>5297</v>
      </c>
      <c r="Q856" s="13" t="s">
        <v>5289</v>
      </c>
      <c r="R856" s="13" t="s">
        <v>5292</v>
      </c>
      <c r="S856" s="13" t="s">
        <v>5293</v>
      </c>
      <c r="T856" s="13" t="s">
        <v>3</v>
      </c>
      <c r="U856" s="13" t="s">
        <v>43</v>
      </c>
      <c r="V856" s="13" t="n">
        <f aca="false">IF(COUNTIF($B$2:B856,B856)=1,1,0)</f>
        <v>1</v>
      </c>
      <c r="W856" s="13" t="n">
        <f aca="false">IF(COUNTIFS($B$2:B856,B856,$T$2:T856,T856)=1,1,0)</f>
        <v>1</v>
      </c>
    </row>
    <row r="857" customFormat="false" ht="15" hidden="false" customHeight="false" outlineLevel="0" collapsed="false">
      <c r="A857" s="13" t="s">
        <v>2061</v>
      </c>
      <c r="B857" s="13" t="s">
        <v>81</v>
      </c>
      <c r="C857" s="13" t="n">
        <v>100</v>
      </c>
      <c r="D857" s="13" t="n">
        <v>2</v>
      </c>
      <c r="E857" s="13" t="n">
        <v>51.99</v>
      </c>
      <c r="F857" s="13" t="s">
        <v>5288</v>
      </c>
      <c r="G857" s="13" t="s">
        <v>5289</v>
      </c>
      <c r="H857" s="13" t="s">
        <v>5289</v>
      </c>
      <c r="I857" s="13" t="s">
        <v>5292</v>
      </c>
      <c r="J857" s="13" t="s">
        <v>5289</v>
      </c>
      <c r="K857" s="13" t="s">
        <v>5292</v>
      </c>
      <c r="L857" s="13" t="s">
        <v>5171</v>
      </c>
      <c r="M857" s="13"/>
      <c r="N857" s="13" t="n">
        <v>7899206119288</v>
      </c>
      <c r="O857" s="13"/>
      <c r="P857" s="13" t="s">
        <v>5297</v>
      </c>
      <c r="Q857" s="13" t="s">
        <v>5289</v>
      </c>
      <c r="R857" s="13" t="s">
        <v>5292</v>
      </c>
      <c r="S857" s="13" t="s">
        <v>5293</v>
      </c>
      <c r="T857" s="13" t="s">
        <v>3</v>
      </c>
      <c r="U857" s="13" t="s">
        <v>85</v>
      </c>
      <c r="V857" s="13" t="n">
        <f aca="false">IF(COUNTIF($B$2:B857,B857)=1,1,0)</f>
        <v>0</v>
      </c>
      <c r="W857" s="13" t="n">
        <f aca="false">IF(COUNTIFS($B$2:B857,B857,$T$2:T857,T857)=1,1,0)</f>
        <v>0</v>
      </c>
    </row>
    <row r="858" customFormat="false" ht="15" hidden="false" customHeight="false" outlineLevel="0" collapsed="false">
      <c r="A858" s="13" t="s">
        <v>3144</v>
      </c>
      <c r="B858" s="13" t="s">
        <v>2126</v>
      </c>
      <c r="C858" s="13" t="n">
        <v>100</v>
      </c>
      <c r="D858" s="13" t="n">
        <v>2</v>
      </c>
      <c r="E858" s="13" t="n">
        <v>50.99</v>
      </c>
      <c r="F858" s="13" t="s">
        <v>5288</v>
      </c>
      <c r="G858" s="13" t="s">
        <v>5289</v>
      </c>
      <c r="H858" s="13" t="s">
        <v>5292</v>
      </c>
      <c r="I858" s="13" t="s">
        <v>5292</v>
      </c>
      <c r="J858" s="13" t="s">
        <v>5289</v>
      </c>
      <c r="K858" s="13" t="s">
        <v>5289</v>
      </c>
      <c r="L858" s="13" t="s">
        <v>3143</v>
      </c>
      <c r="M858" s="13"/>
      <c r="N858" s="13" t="n">
        <v>7898449393639</v>
      </c>
      <c r="O858" s="13"/>
      <c r="P858" s="13" t="s">
        <v>5291</v>
      </c>
      <c r="Q858" s="13" t="s">
        <v>5289</v>
      </c>
      <c r="R858" s="13" t="s">
        <v>5292</v>
      </c>
      <c r="S858" s="13" t="s">
        <v>5293</v>
      </c>
      <c r="T858" s="13" t="s">
        <v>3</v>
      </c>
      <c r="U858" s="13" t="s">
        <v>183</v>
      </c>
      <c r="V858" s="13" t="n">
        <f aca="false">IF(COUNTIF($B$2:B858,B858)=1,1,0)</f>
        <v>0</v>
      </c>
      <c r="W858" s="13" t="n">
        <f aca="false">IF(COUNTIFS($B$2:B858,B858,$T$2:T858,T858)=1,1,0)</f>
        <v>0</v>
      </c>
    </row>
    <row r="859" customFormat="false" ht="15" hidden="false" customHeight="false" outlineLevel="0" collapsed="false">
      <c r="A859" s="13" t="s">
        <v>5151</v>
      </c>
      <c r="B859" s="13" t="s">
        <v>2275</v>
      </c>
      <c r="C859" s="13" t="n">
        <v>100</v>
      </c>
      <c r="D859" s="13" t="n">
        <v>1</v>
      </c>
      <c r="E859" s="13" t="n">
        <v>99.99</v>
      </c>
      <c r="F859" s="13" t="s">
        <v>5288</v>
      </c>
      <c r="G859" s="13" t="s">
        <v>5289</v>
      </c>
      <c r="H859" s="13" t="s">
        <v>5289</v>
      </c>
      <c r="I859" s="13" t="s">
        <v>5289</v>
      </c>
      <c r="J859" s="13" t="s">
        <v>5289</v>
      </c>
      <c r="K859" s="13" t="s">
        <v>5292</v>
      </c>
      <c r="L859" s="13" t="s">
        <v>5150</v>
      </c>
      <c r="M859" s="13"/>
      <c r="N859" s="13" t="n">
        <v>7899838899961</v>
      </c>
      <c r="O859" s="13"/>
      <c r="P859" s="13" t="s">
        <v>5297</v>
      </c>
      <c r="Q859" s="13" t="s">
        <v>5289</v>
      </c>
      <c r="R859" s="13" t="s">
        <v>5292</v>
      </c>
      <c r="S859" s="13" t="s">
        <v>5293</v>
      </c>
      <c r="T859" s="13" t="s">
        <v>3</v>
      </c>
      <c r="U859" s="13" t="s">
        <v>57</v>
      </c>
      <c r="V859" s="13" t="n">
        <f aca="false">IF(COUNTIF($B$2:B859,B859)=1,1,0)</f>
        <v>0</v>
      </c>
      <c r="W859" s="13" t="n">
        <f aca="false">IF(COUNTIFS($B$2:B859,B859,$T$2:T859,T859)=1,1,0)</f>
        <v>0</v>
      </c>
    </row>
    <row r="860" customFormat="false" ht="15" hidden="false" customHeight="false" outlineLevel="0" collapsed="false">
      <c r="A860" s="13" t="s">
        <v>3397</v>
      </c>
      <c r="B860" s="13" t="s">
        <v>2101</v>
      </c>
      <c r="C860" s="13" t="n">
        <v>100</v>
      </c>
      <c r="D860" s="13" t="n">
        <v>1</v>
      </c>
      <c r="E860" s="13" t="n">
        <v>99.99</v>
      </c>
      <c r="F860" s="13" t="s">
        <v>5288</v>
      </c>
      <c r="G860" s="13" t="s">
        <v>5289</v>
      </c>
      <c r="H860" s="13" t="s">
        <v>5292</v>
      </c>
      <c r="I860" s="13" t="s">
        <v>5289</v>
      </c>
      <c r="J860" s="13" t="s">
        <v>5289</v>
      </c>
      <c r="K860" s="13" t="s">
        <v>5292</v>
      </c>
      <c r="L860" s="13" t="s">
        <v>3396</v>
      </c>
      <c r="M860" s="13"/>
      <c r="N860" s="13" t="n">
        <v>7908412504631</v>
      </c>
      <c r="O860" s="13"/>
      <c r="P860" s="13" t="s">
        <v>5291</v>
      </c>
      <c r="Q860" s="13" t="s">
        <v>5289</v>
      </c>
      <c r="R860" s="13" t="s">
        <v>5292</v>
      </c>
      <c r="S860" s="13" t="s">
        <v>5293</v>
      </c>
      <c r="T860" s="13" t="s">
        <v>3</v>
      </c>
      <c r="U860" s="13" t="s">
        <v>85</v>
      </c>
      <c r="V860" s="13" t="n">
        <f aca="false">IF(COUNTIF($B$2:B860,B860)=1,1,0)</f>
        <v>0</v>
      </c>
      <c r="W860" s="13" t="n">
        <f aca="false">IF(COUNTIFS($B$2:B860,B860,$T$2:T860,T860)=1,1,0)</f>
        <v>0</v>
      </c>
    </row>
    <row r="861" customFormat="false" ht="15" hidden="false" customHeight="false" outlineLevel="0" collapsed="false">
      <c r="A861" s="13" t="s">
        <v>5637</v>
      </c>
      <c r="B861" s="13" t="s">
        <v>2298</v>
      </c>
      <c r="C861" s="13" t="n">
        <v>100</v>
      </c>
      <c r="D861" s="13" t="n">
        <v>1</v>
      </c>
      <c r="E861" s="13" t="n">
        <v>98.97</v>
      </c>
      <c r="F861" s="13" t="s">
        <v>5288</v>
      </c>
      <c r="G861" s="13" t="s">
        <v>5289</v>
      </c>
      <c r="H861" s="13" t="s">
        <v>5289</v>
      </c>
      <c r="I861" s="13" t="s">
        <v>5289</v>
      </c>
      <c r="J861" s="13" t="s">
        <v>5289</v>
      </c>
      <c r="K861" s="13" t="s">
        <v>5292</v>
      </c>
      <c r="L861" s="13" t="s">
        <v>5638</v>
      </c>
      <c r="M861" s="13"/>
      <c r="N861" s="13"/>
      <c r="O861" s="13"/>
      <c r="P861" s="13" t="s">
        <v>5291</v>
      </c>
      <c r="Q861" s="13" t="s">
        <v>5289</v>
      </c>
      <c r="R861" s="13" t="s">
        <v>5292</v>
      </c>
      <c r="S861" s="13" t="s">
        <v>5293</v>
      </c>
      <c r="T861" s="13" t="s">
        <v>3</v>
      </c>
      <c r="U861" s="13" t="s">
        <v>43</v>
      </c>
      <c r="V861" s="13" t="n">
        <f aca="false">IF(COUNTIF($B$2:B861,B861)=1,1,0)</f>
        <v>1</v>
      </c>
      <c r="W861" s="13" t="n">
        <f aca="false">IF(COUNTIFS($B$2:B861,B861,$T$2:T861,T861)=1,1,0)</f>
        <v>1</v>
      </c>
    </row>
    <row r="862" customFormat="false" ht="15" hidden="false" customHeight="false" outlineLevel="0" collapsed="false">
      <c r="A862" s="13" t="s">
        <v>5183</v>
      </c>
      <c r="B862" s="13" t="s">
        <v>2115</v>
      </c>
      <c r="C862" s="13" t="n">
        <v>90</v>
      </c>
      <c r="D862" s="13" t="n">
        <v>1</v>
      </c>
      <c r="E862" s="13" t="n">
        <v>94.99</v>
      </c>
      <c r="F862" s="13" t="s">
        <v>5288</v>
      </c>
      <c r="G862" s="13" t="s">
        <v>5289</v>
      </c>
      <c r="H862" s="13" t="s">
        <v>5289</v>
      </c>
      <c r="I862" s="13" t="s">
        <v>5289</v>
      </c>
      <c r="J862" s="13" t="s">
        <v>5289</v>
      </c>
      <c r="K862" s="13" t="s">
        <v>5292</v>
      </c>
      <c r="L862" s="13" t="s">
        <v>5182</v>
      </c>
      <c r="M862" s="13"/>
      <c r="N862" s="13" t="n">
        <v>7898684484208</v>
      </c>
      <c r="O862" s="13"/>
      <c r="P862" s="13" t="s">
        <v>5297</v>
      </c>
      <c r="Q862" s="13" t="s">
        <v>5289</v>
      </c>
      <c r="R862" s="13" t="s">
        <v>5292</v>
      </c>
      <c r="S862" s="13" t="s">
        <v>5293</v>
      </c>
      <c r="T862" s="13" t="s">
        <v>3</v>
      </c>
      <c r="U862" s="13" t="s">
        <v>140</v>
      </c>
      <c r="V862" s="13" t="n">
        <f aca="false">IF(COUNTIF($B$2:B862,B862)=1,1,0)</f>
        <v>0</v>
      </c>
      <c r="W862" s="13" t="n">
        <f aca="false">IF(COUNTIFS($B$2:B862,B862,$T$2:T862,T862)=1,1,0)</f>
        <v>0</v>
      </c>
    </row>
    <row r="863" customFormat="false" ht="15" hidden="false" customHeight="false" outlineLevel="0" collapsed="false">
      <c r="A863" s="13" t="s">
        <v>5175</v>
      </c>
      <c r="B863" s="13" t="s">
        <v>2100</v>
      </c>
      <c r="C863" s="13" t="n">
        <v>90</v>
      </c>
      <c r="D863" s="13" t="n">
        <v>1</v>
      </c>
      <c r="E863" s="13" t="n">
        <v>94.9</v>
      </c>
      <c r="F863" s="13" t="s">
        <v>5288</v>
      </c>
      <c r="G863" s="13" t="s">
        <v>5289</v>
      </c>
      <c r="H863" s="13" t="s">
        <v>5289</v>
      </c>
      <c r="I863" s="13" t="s">
        <v>5292</v>
      </c>
      <c r="J863" s="13" t="s">
        <v>5289</v>
      </c>
      <c r="K863" s="13" t="s">
        <v>5292</v>
      </c>
      <c r="L863" s="13" t="s">
        <v>5639</v>
      </c>
      <c r="M863" s="13"/>
      <c r="N863" s="13" t="n">
        <v>7898410315035</v>
      </c>
      <c r="O863" s="13"/>
      <c r="P863" s="13" t="s">
        <v>5297</v>
      </c>
      <c r="Q863" s="13" t="s">
        <v>5289</v>
      </c>
      <c r="R863" s="13" t="s">
        <v>5292</v>
      </c>
      <c r="S863" s="13" t="s">
        <v>5293</v>
      </c>
      <c r="T863" s="13" t="s">
        <v>3</v>
      </c>
      <c r="U863" s="13" t="s">
        <v>43</v>
      </c>
      <c r="V863" s="13" t="n">
        <f aca="false">IF(COUNTIF($B$2:B863,B863)=1,1,0)</f>
        <v>0</v>
      </c>
      <c r="W863" s="13" t="n">
        <f aca="false">IF(COUNTIFS($B$2:B863,B863,$T$2:T863,T863)=1,1,0)</f>
        <v>0</v>
      </c>
    </row>
    <row r="864" customFormat="false" ht="15" hidden="false" customHeight="false" outlineLevel="0" collapsed="false">
      <c r="A864" s="13" t="s">
        <v>5177</v>
      </c>
      <c r="B864" s="13" t="s">
        <v>2226</v>
      </c>
      <c r="C864" s="13" t="n">
        <v>90</v>
      </c>
      <c r="D864" s="13" t="n">
        <v>2</v>
      </c>
      <c r="E864" s="13" t="n">
        <v>30.92</v>
      </c>
      <c r="F864" s="13" t="s">
        <v>5288</v>
      </c>
      <c r="G864" s="13" t="s">
        <v>5289</v>
      </c>
      <c r="H864" s="13" t="s">
        <v>5289</v>
      </c>
      <c r="I864" s="13" t="s">
        <v>5292</v>
      </c>
      <c r="J864" s="13" t="s">
        <v>5289</v>
      </c>
      <c r="K864" s="13" t="s">
        <v>5292</v>
      </c>
      <c r="L864" s="13" t="s">
        <v>5176</v>
      </c>
      <c r="M864" s="13"/>
      <c r="N864" s="13" t="n">
        <v>7899612725776</v>
      </c>
      <c r="O864" s="13"/>
      <c r="P864" s="13" t="s">
        <v>5291</v>
      </c>
      <c r="Q864" s="13" t="s">
        <v>5289</v>
      </c>
      <c r="R864" s="13" t="s">
        <v>5292</v>
      </c>
      <c r="S864" s="13" t="s">
        <v>5293</v>
      </c>
      <c r="T864" s="13" t="s">
        <v>3</v>
      </c>
      <c r="U864" s="13" t="s">
        <v>85</v>
      </c>
      <c r="V864" s="13" t="n">
        <f aca="false">IF(COUNTIF($B$2:B864,B864)=1,1,0)</f>
        <v>0</v>
      </c>
      <c r="W864" s="13" t="n">
        <f aca="false">IF(COUNTIFS($B$2:B864,B864,$T$2:T864,T864)=1,1,0)</f>
        <v>0</v>
      </c>
    </row>
    <row r="865" customFormat="false" ht="15" hidden="false" customHeight="false" outlineLevel="0" collapsed="false">
      <c r="A865" s="13" t="s">
        <v>5187</v>
      </c>
      <c r="B865" s="13" t="s">
        <v>2206</v>
      </c>
      <c r="C865" s="13" t="n">
        <v>90</v>
      </c>
      <c r="D865" s="13" t="n">
        <v>1</v>
      </c>
      <c r="E865" s="13" t="n">
        <v>90.99</v>
      </c>
      <c r="F865" s="13" t="s">
        <v>5325</v>
      </c>
      <c r="G865" s="13" t="s">
        <v>5289</v>
      </c>
      <c r="H865" s="13" t="s">
        <v>5289</v>
      </c>
      <c r="I865" s="13" t="s">
        <v>5289</v>
      </c>
      <c r="J865" s="13" t="s">
        <v>5289</v>
      </c>
      <c r="K865" s="13" t="s">
        <v>5289</v>
      </c>
      <c r="L865" s="13" t="s">
        <v>5640</v>
      </c>
      <c r="M865" s="13"/>
      <c r="N865" s="13" t="n">
        <v>3701171701242</v>
      </c>
      <c r="O865" s="13"/>
      <c r="P865" s="13" t="s">
        <v>5297</v>
      </c>
      <c r="Q865" s="13" t="s">
        <v>5289</v>
      </c>
      <c r="R865" s="13" t="s">
        <v>5292</v>
      </c>
      <c r="S865" s="13" t="s">
        <v>5293</v>
      </c>
      <c r="T865" s="13" t="s">
        <v>3</v>
      </c>
      <c r="U865" s="13" t="s">
        <v>85</v>
      </c>
      <c r="V865" s="13" t="n">
        <f aca="false">IF(COUNTIF($B$2:B865,B865)=1,1,0)</f>
        <v>0</v>
      </c>
      <c r="W865" s="13" t="n">
        <f aca="false">IF(COUNTIFS($B$2:B865,B865,$T$2:T865,T865)=1,1,0)</f>
        <v>0</v>
      </c>
    </row>
    <row r="866" customFormat="false" ht="15" hidden="false" customHeight="false" outlineLevel="0" collapsed="false">
      <c r="A866" s="13" t="s">
        <v>2944</v>
      </c>
      <c r="B866" s="13" t="s">
        <v>2113</v>
      </c>
      <c r="C866" s="13" t="n">
        <v>90</v>
      </c>
      <c r="D866" s="13" t="n">
        <v>1</v>
      </c>
      <c r="E866" s="13" t="n">
        <v>89.99</v>
      </c>
      <c r="F866" s="13" t="s">
        <v>5288</v>
      </c>
      <c r="G866" s="13" t="s">
        <v>5289</v>
      </c>
      <c r="H866" s="13" t="s">
        <v>5289</v>
      </c>
      <c r="I866" s="13" t="s">
        <v>5289</v>
      </c>
      <c r="J866" s="13" t="s">
        <v>5289</v>
      </c>
      <c r="K866" s="13" t="s">
        <v>5292</v>
      </c>
      <c r="L866" s="13" t="s">
        <v>5641</v>
      </c>
      <c r="M866" s="13"/>
      <c r="N866" s="13"/>
      <c r="O866" s="13"/>
      <c r="P866" s="13" t="s">
        <v>5297</v>
      </c>
      <c r="Q866" s="13" t="s">
        <v>5289</v>
      </c>
      <c r="R866" s="13" t="s">
        <v>5292</v>
      </c>
      <c r="S866" s="13" t="s">
        <v>5293</v>
      </c>
      <c r="T866" s="13" t="s">
        <v>3</v>
      </c>
      <c r="U866" s="13" t="s">
        <v>183</v>
      </c>
      <c r="V866" s="13" t="n">
        <f aca="false">IF(COUNTIF($B$2:B866,B866)=1,1,0)</f>
        <v>0</v>
      </c>
      <c r="W866" s="13" t="n">
        <f aca="false">IF(COUNTIFS($B$2:B866,B866,$T$2:T866,T866)=1,1,0)</f>
        <v>0</v>
      </c>
    </row>
    <row r="867" customFormat="false" ht="15" hidden="false" customHeight="false" outlineLevel="0" collapsed="false">
      <c r="A867" s="13" t="s">
        <v>5642</v>
      </c>
      <c r="B867" s="13" t="s">
        <v>2299</v>
      </c>
      <c r="C867" s="13" t="n">
        <v>90</v>
      </c>
      <c r="D867" s="13" t="n">
        <v>1</v>
      </c>
      <c r="E867" s="13" t="n">
        <v>85.92</v>
      </c>
      <c r="F867" s="13" t="s">
        <v>5288</v>
      </c>
      <c r="G867" s="13" t="s">
        <v>5289</v>
      </c>
      <c r="H867" s="13" t="s">
        <v>5289</v>
      </c>
      <c r="I867" s="13" t="s">
        <v>5289</v>
      </c>
      <c r="J867" s="13" t="s">
        <v>5289</v>
      </c>
      <c r="K867" s="13" t="s">
        <v>5292</v>
      </c>
      <c r="L867" s="13" t="s">
        <v>5643</v>
      </c>
      <c r="M867" s="13"/>
      <c r="N867" s="13"/>
      <c r="O867" s="13"/>
      <c r="P867" s="13" t="s">
        <v>5291</v>
      </c>
      <c r="Q867" s="13" t="s">
        <v>5289</v>
      </c>
      <c r="R867" s="13" t="s">
        <v>5292</v>
      </c>
      <c r="S867" s="13" t="s">
        <v>5293</v>
      </c>
      <c r="T867" s="13" t="s">
        <v>3</v>
      </c>
      <c r="U867" s="13" t="s">
        <v>85</v>
      </c>
      <c r="V867" s="13" t="n">
        <f aca="false">IF(COUNTIF($B$2:B867,B867)=1,1,0)</f>
        <v>1</v>
      </c>
      <c r="W867" s="13" t="n">
        <f aca="false">IF(COUNTIFS($B$2:B867,B867,$T$2:T867,T867)=1,1,0)</f>
        <v>1</v>
      </c>
    </row>
    <row r="868" customFormat="false" ht="15" hidden="false" customHeight="false" outlineLevel="0" collapsed="false">
      <c r="A868" s="13" t="s">
        <v>5179</v>
      </c>
      <c r="B868" s="13" t="s">
        <v>2300</v>
      </c>
      <c r="C868" s="13" t="n">
        <v>90</v>
      </c>
      <c r="D868" s="13" t="n">
        <v>5</v>
      </c>
      <c r="E868" s="13" t="n">
        <v>17.024</v>
      </c>
      <c r="F868" s="13" t="s">
        <v>5325</v>
      </c>
      <c r="G868" s="13" t="s">
        <v>5289</v>
      </c>
      <c r="H868" s="13" t="s">
        <v>5289</v>
      </c>
      <c r="I868" s="13" t="s">
        <v>5292</v>
      </c>
      <c r="J868" s="13" t="s">
        <v>5289</v>
      </c>
      <c r="K868" s="13" t="s">
        <v>5292</v>
      </c>
      <c r="L868" s="13" t="s">
        <v>5178</v>
      </c>
      <c r="M868" s="13"/>
      <c r="N868" s="13" t="n">
        <v>7899612796028</v>
      </c>
      <c r="O868" s="13"/>
      <c r="P868" s="13" t="s">
        <v>5291</v>
      </c>
      <c r="Q868" s="13" t="s">
        <v>5289</v>
      </c>
      <c r="R868" s="13" t="s">
        <v>5292</v>
      </c>
      <c r="S868" s="13" t="s">
        <v>5293</v>
      </c>
      <c r="T868" s="13" t="s">
        <v>3</v>
      </c>
      <c r="U868" s="13" t="s">
        <v>85</v>
      </c>
      <c r="V868" s="13" t="n">
        <f aca="false">IF(COUNTIF($B$2:B868,B868)=1,1,0)</f>
        <v>1</v>
      </c>
      <c r="W868" s="13" t="n">
        <f aca="false">IF(COUNTIFS($B$2:B868,B868,$T$2:T868,T868)=1,1,0)</f>
        <v>1</v>
      </c>
    </row>
    <row r="869" customFormat="false" ht="15" hidden="false" customHeight="false" outlineLevel="0" collapsed="false">
      <c r="A869" s="13" t="s">
        <v>4617</v>
      </c>
      <c r="B869" s="13" t="s">
        <v>2099</v>
      </c>
      <c r="C869" s="13" t="n">
        <v>80</v>
      </c>
      <c r="D869" s="13" t="n">
        <v>2</v>
      </c>
      <c r="E869" s="13" t="n">
        <v>28.11</v>
      </c>
      <c r="F869" s="13" t="s">
        <v>5288</v>
      </c>
      <c r="G869" s="13" t="s">
        <v>5289</v>
      </c>
      <c r="H869" s="13" t="s">
        <v>5292</v>
      </c>
      <c r="I869" s="13" t="s">
        <v>5292</v>
      </c>
      <c r="J869" s="13" t="s">
        <v>5289</v>
      </c>
      <c r="K869" s="13" t="s">
        <v>5292</v>
      </c>
      <c r="L869" s="13" t="s">
        <v>4616</v>
      </c>
      <c r="M869" s="13"/>
      <c r="N869" s="13" t="n">
        <v>7899952323564</v>
      </c>
      <c r="O869" s="13"/>
      <c r="P869" s="13" t="s">
        <v>5291</v>
      </c>
      <c r="Q869" s="13" t="s">
        <v>5289</v>
      </c>
      <c r="R869" s="13" t="s">
        <v>5292</v>
      </c>
      <c r="S869" s="13" t="s">
        <v>5293</v>
      </c>
      <c r="T869" s="13" t="s">
        <v>3</v>
      </c>
      <c r="U869" s="13" t="s">
        <v>43</v>
      </c>
      <c r="V869" s="13" t="n">
        <f aca="false">IF(COUNTIF($B$2:B869,B869)=1,1,0)</f>
        <v>0</v>
      </c>
      <c r="W869" s="13" t="n">
        <f aca="false">IF(COUNTIFS($B$2:B869,B869,$T$2:T869,T869)=1,1,0)</f>
        <v>0</v>
      </c>
    </row>
    <row r="870" customFormat="false" ht="15" hidden="false" customHeight="false" outlineLevel="0" collapsed="false">
      <c r="A870" s="13" t="s">
        <v>5189</v>
      </c>
      <c r="B870" s="13" t="s">
        <v>2101</v>
      </c>
      <c r="C870" s="13" t="n">
        <v>80</v>
      </c>
      <c r="D870" s="13" t="n">
        <v>2</v>
      </c>
      <c r="E870" s="13" t="n">
        <v>41.99</v>
      </c>
      <c r="F870" s="13" t="s">
        <v>5288</v>
      </c>
      <c r="G870" s="13" t="s">
        <v>5289</v>
      </c>
      <c r="H870" s="13" t="s">
        <v>5289</v>
      </c>
      <c r="I870" s="13" t="s">
        <v>5292</v>
      </c>
      <c r="J870" s="13" t="s">
        <v>5289</v>
      </c>
      <c r="K870" s="13" t="s">
        <v>5292</v>
      </c>
      <c r="L870" s="13" t="s">
        <v>5188</v>
      </c>
      <c r="M870" s="13"/>
      <c r="N870" s="13" t="n">
        <v>7897013567698</v>
      </c>
      <c r="O870" s="13"/>
      <c r="P870" s="13" t="s">
        <v>5297</v>
      </c>
      <c r="Q870" s="13" t="s">
        <v>5289</v>
      </c>
      <c r="R870" s="13" t="s">
        <v>5292</v>
      </c>
      <c r="S870" s="13" t="s">
        <v>5293</v>
      </c>
      <c r="T870" s="13" t="s">
        <v>3</v>
      </c>
      <c r="U870" s="13" t="s">
        <v>85</v>
      </c>
      <c r="V870" s="13" t="n">
        <f aca="false">IF(COUNTIF($B$2:B870,B870)=1,1,0)</f>
        <v>0</v>
      </c>
      <c r="W870" s="13" t="n">
        <f aca="false">IF(COUNTIFS($B$2:B870,B870,$T$2:T870,T870)=1,1,0)</f>
        <v>0</v>
      </c>
    </row>
    <row r="871" customFormat="false" ht="15" hidden="false" customHeight="false" outlineLevel="0" collapsed="false">
      <c r="A871" s="13" t="s">
        <v>5644</v>
      </c>
      <c r="B871" s="13" t="s">
        <v>2142</v>
      </c>
      <c r="C871" s="13" t="n">
        <v>80</v>
      </c>
      <c r="D871" s="13" t="n">
        <v>1</v>
      </c>
      <c r="E871" s="13" t="n">
        <v>82.9</v>
      </c>
      <c r="F871" s="13" t="s">
        <v>5288</v>
      </c>
      <c r="G871" s="13" t="s">
        <v>5289</v>
      </c>
      <c r="H871" s="13" t="s">
        <v>5292</v>
      </c>
      <c r="I871" s="13" t="s">
        <v>5289</v>
      </c>
      <c r="J871" s="13" t="s">
        <v>5289</v>
      </c>
      <c r="K871" s="13" t="s">
        <v>5292</v>
      </c>
      <c r="L871" s="13" t="s">
        <v>5484</v>
      </c>
      <c r="M871" s="13"/>
      <c r="N871" s="13" t="n">
        <v>7898952577588</v>
      </c>
      <c r="O871" s="13"/>
      <c r="P871" s="13" t="s">
        <v>5291</v>
      </c>
      <c r="Q871" s="13" t="s">
        <v>5289</v>
      </c>
      <c r="R871" s="13" t="s">
        <v>5292</v>
      </c>
      <c r="S871" s="13" t="s">
        <v>5293</v>
      </c>
      <c r="T871" s="13" t="s">
        <v>3</v>
      </c>
      <c r="U871" s="13" t="s">
        <v>183</v>
      </c>
      <c r="V871" s="13" t="n">
        <f aca="false">IF(COUNTIF($B$2:B871,B871)=1,1,0)</f>
        <v>0</v>
      </c>
      <c r="W871" s="13" t="n">
        <f aca="false">IF(COUNTIFS($B$2:B871,B871,$T$2:T871,T871)=1,1,0)</f>
        <v>0</v>
      </c>
    </row>
    <row r="872" customFormat="false" ht="15" hidden="false" customHeight="false" outlineLevel="0" collapsed="false">
      <c r="A872" s="13" t="s">
        <v>2064</v>
      </c>
      <c r="B872" s="13" t="s">
        <v>365</v>
      </c>
      <c r="C872" s="13" t="n">
        <v>80</v>
      </c>
      <c r="D872" s="13" t="n">
        <v>1</v>
      </c>
      <c r="E872" s="13" t="n">
        <v>78.99</v>
      </c>
      <c r="F872" s="13" t="s">
        <v>5288</v>
      </c>
      <c r="G872" s="13" t="s">
        <v>5289</v>
      </c>
      <c r="H872" s="13" t="s">
        <v>5289</v>
      </c>
      <c r="I872" s="13" t="s">
        <v>5292</v>
      </c>
      <c r="J872" s="13" t="s">
        <v>5289</v>
      </c>
      <c r="K872" s="13" t="s">
        <v>5292</v>
      </c>
      <c r="L872" s="13" t="s">
        <v>5197</v>
      </c>
      <c r="M872" s="13"/>
      <c r="N872" s="13" t="n">
        <v>6290362348771</v>
      </c>
      <c r="O872" s="13"/>
      <c r="P872" s="13" t="s">
        <v>5291</v>
      </c>
      <c r="Q872" s="13" t="s">
        <v>5289</v>
      </c>
      <c r="R872" s="13" t="s">
        <v>5292</v>
      </c>
      <c r="S872" s="13" t="s">
        <v>5293</v>
      </c>
      <c r="T872" s="13" t="s">
        <v>3</v>
      </c>
      <c r="U872" s="13" t="s">
        <v>43</v>
      </c>
      <c r="V872" s="13" t="n">
        <f aca="false">IF(COUNTIF($B$2:B872,B872)=1,1,0)</f>
        <v>0</v>
      </c>
      <c r="W872" s="13" t="n">
        <f aca="false">IF(COUNTIFS($B$2:B872,B872,$T$2:T872,T872)=1,1,0)</f>
        <v>0</v>
      </c>
    </row>
    <row r="873" customFormat="false" ht="15" hidden="false" customHeight="false" outlineLevel="0" collapsed="false">
      <c r="A873" s="13" t="s">
        <v>5194</v>
      </c>
      <c r="B873" s="13" t="s">
        <v>2107</v>
      </c>
      <c r="C873" s="13" t="n">
        <v>80</v>
      </c>
      <c r="D873" s="13" t="n">
        <v>1</v>
      </c>
      <c r="E873" s="13" t="n">
        <v>78.99</v>
      </c>
      <c r="F873" s="13" t="s">
        <v>5288</v>
      </c>
      <c r="G873" s="13" t="s">
        <v>5289</v>
      </c>
      <c r="H873" s="13" t="s">
        <v>5289</v>
      </c>
      <c r="I873" s="13" t="s">
        <v>5292</v>
      </c>
      <c r="J873" s="13" t="s">
        <v>5289</v>
      </c>
      <c r="K873" s="13" t="s">
        <v>5292</v>
      </c>
      <c r="L873" s="13" t="s">
        <v>5193</v>
      </c>
      <c r="M873" s="13"/>
      <c r="N873" s="13" t="n">
        <v>8439627613959</v>
      </c>
      <c r="O873" s="13"/>
      <c r="P873" s="13" t="s">
        <v>5291</v>
      </c>
      <c r="Q873" s="13" t="s">
        <v>5289</v>
      </c>
      <c r="R873" s="13" t="s">
        <v>5292</v>
      </c>
      <c r="S873" s="13" t="s">
        <v>5293</v>
      </c>
      <c r="T873" s="13" t="s">
        <v>3</v>
      </c>
      <c r="U873" s="13" t="s">
        <v>43</v>
      </c>
      <c r="V873" s="13" t="n">
        <f aca="false">IF(COUNTIF($B$2:B873,B873)=1,1,0)</f>
        <v>0</v>
      </c>
      <c r="W873" s="13" t="n">
        <f aca="false">IF(COUNTIFS($B$2:B873,B873,$T$2:T873,T873)=1,1,0)</f>
        <v>0</v>
      </c>
    </row>
    <row r="874" customFormat="false" ht="15" hidden="false" customHeight="false" outlineLevel="0" collapsed="false">
      <c r="A874" s="13" t="s">
        <v>4892</v>
      </c>
      <c r="B874" s="13" t="s">
        <v>2095</v>
      </c>
      <c r="C874" s="13" t="n">
        <v>80</v>
      </c>
      <c r="D874" s="13" t="n">
        <v>1</v>
      </c>
      <c r="E874" s="13" t="n">
        <v>78.99</v>
      </c>
      <c r="F874" s="13" t="s">
        <v>5288</v>
      </c>
      <c r="G874" s="13" t="s">
        <v>5289</v>
      </c>
      <c r="H874" s="13" t="s">
        <v>5292</v>
      </c>
      <c r="I874" s="13" t="s">
        <v>5292</v>
      </c>
      <c r="J874" s="13" t="s">
        <v>5289</v>
      </c>
      <c r="K874" s="13" t="s">
        <v>5292</v>
      </c>
      <c r="L874" s="13" t="s">
        <v>4890</v>
      </c>
      <c r="M874" s="13"/>
      <c r="N874" s="13" t="n">
        <v>7898919865079</v>
      </c>
      <c r="O874" s="13"/>
      <c r="P874" s="13" t="s">
        <v>5291</v>
      </c>
      <c r="Q874" s="13" t="s">
        <v>5289</v>
      </c>
      <c r="R874" s="13" t="s">
        <v>5292</v>
      </c>
      <c r="S874" s="13" t="s">
        <v>5293</v>
      </c>
      <c r="T874" s="13" t="s">
        <v>3</v>
      </c>
      <c r="U874" s="13" t="s">
        <v>140</v>
      </c>
      <c r="V874" s="13" t="n">
        <f aca="false">IF(COUNTIF($B$2:B874,B874)=1,1,0)</f>
        <v>0</v>
      </c>
      <c r="W874" s="13" t="n">
        <f aca="false">IF(COUNTIFS($B$2:B874,B874,$T$2:T874,T874)=1,1,0)</f>
        <v>0</v>
      </c>
    </row>
    <row r="875" customFormat="false" ht="15" hidden="false" customHeight="false" outlineLevel="0" collapsed="false">
      <c r="A875" s="13" t="s">
        <v>5191</v>
      </c>
      <c r="B875" s="13" t="s">
        <v>2226</v>
      </c>
      <c r="C875" s="13" t="n">
        <v>80</v>
      </c>
      <c r="D875" s="13" t="n">
        <v>1</v>
      </c>
      <c r="E875" s="13" t="n">
        <v>78.99</v>
      </c>
      <c r="F875" s="13" t="s">
        <v>5288</v>
      </c>
      <c r="G875" s="13" t="s">
        <v>5289</v>
      </c>
      <c r="H875" s="13" t="s">
        <v>5289</v>
      </c>
      <c r="I875" s="13" t="s">
        <v>5292</v>
      </c>
      <c r="J875" s="13" t="s">
        <v>5289</v>
      </c>
      <c r="K875" s="13" t="s">
        <v>5292</v>
      </c>
      <c r="L875" s="13" t="s">
        <v>5190</v>
      </c>
      <c r="M875" s="13"/>
      <c r="N875" s="13" t="n">
        <v>7899612700759</v>
      </c>
      <c r="O875" s="13"/>
      <c r="P875" s="13" t="s">
        <v>5291</v>
      </c>
      <c r="Q875" s="13" t="s">
        <v>5289</v>
      </c>
      <c r="R875" s="13" t="s">
        <v>5292</v>
      </c>
      <c r="S875" s="13" t="s">
        <v>5293</v>
      </c>
      <c r="T875" s="13" t="s">
        <v>3</v>
      </c>
      <c r="U875" s="13" t="s">
        <v>85</v>
      </c>
      <c r="V875" s="13" t="n">
        <f aca="false">IF(COUNTIF($B$2:B875,B875)=1,1,0)</f>
        <v>0</v>
      </c>
      <c r="W875" s="13" t="n">
        <f aca="false">IF(COUNTIFS($B$2:B875,B875,$T$2:T875,T875)=1,1,0)</f>
        <v>0</v>
      </c>
    </row>
    <row r="876" customFormat="false" ht="15" hidden="false" customHeight="false" outlineLevel="0" collapsed="false">
      <c r="A876" s="13" t="s">
        <v>5645</v>
      </c>
      <c r="B876" s="13" t="s">
        <v>2301</v>
      </c>
      <c r="C876" s="13" t="n">
        <v>80</v>
      </c>
      <c r="D876" s="13" t="n">
        <v>1</v>
      </c>
      <c r="E876" s="13" t="n">
        <v>78.99</v>
      </c>
      <c r="F876" s="13" t="s">
        <v>5288</v>
      </c>
      <c r="G876" s="13" t="s">
        <v>5289</v>
      </c>
      <c r="H876" s="13" t="s">
        <v>5289</v>
      </c>
      <c r="I876" s="13" t="s">
        <v>5292</v>
      </c>
      <c r="J876" s="13" t="s">
        <v>5289</v>
      </c>
      <c r="K876" s="13" t="s">
        <v>5292</v>
      </c>
      <c r="L876" s="13" t="s">
        <v>5646</v>
      </c>
      <c r="M876" s="13"/>
      <c r="N876" s="13" t="n">
        <v>40141135025</v>
      </c>
      <c r="O876" s="13"/>
      <c r="P876" s="13" t="s">
        <v>5297</v>
      </c>
      <c r="Q876" s="13" t="s">
        <v>5289</v>
      </c>
      <c r="R876" s="13" t="s">
        <v>5292</v>
      </c>
      <c r="S876" s="13" t="s">
        <v>5293</v>
      </c>
      <c r="T876" s="13" t="s">
        <v>3</v>
      </c>
      <c r="U876" s="13" t="s">
        <v>43</v>
      </c>
      <c r="V876" s="13" t="n">
        <f aca="false">IF(COUNTIF($B$2:B876,B876)=1,1,0)</f>
        <v>1</v>
      </c>
      <c r="W876" s="13" t="n">
        <f aca="false">IF(COUNTIFS($B$2:B876,B876,$T$2:T876,T876)=1,1,0)</f>
        <v>1</v>
      </c>
    </row>
    <row r="877" customFormat="false" ht="15" hidden="false" customHeight="false" outlineLevel="0" collapsed="false">
      <c r="A877" s="13" t="s">
        <v>4671</v>
      </c>
      <c r="B877" s="13" t="s">
        <v>2218</v>
      </c>
      <c r="C877" s="13" t="n">
        <v>80</v>
      </c>
      <c r="D877" s="13" t="n">
        <v>1</v>
      </c>
      <c r="E877" s="13" t="n">
        <v>78.9</v>
      </c>
      <c r="F877" s="13" t="s">
        <v>5288</v>
      </c>
      <c r="G877" s="13" t="s">
        <v>5289</v>
      </c>
      <c r="H877" s="13" t="s">
        <v>5292</v>
      </c>
      <c r="I877" s="13" t="s">
        <v>5292</v>
      </c>
      <c r="J877" s="13" t="s">
        <v>5289</v>
      </c>
      <c r="K877" s="13" t="s">
        <v>5292</v>
      </c>
      <c r="L877" s="13" t="s">
        <v>4670</v>
      </c>
      <c r="M877" s="13"/>
      <c r="N877" s="13" t="n">
        <v>7898600993234</v>
      </c>
      <c r="O877" s="13"/>
      <c r="P877" s="13" t="s">
        <v>5291</v>
      </c>
      <c r="Q877" s="13" t="s">
        <v>5289</v>
      </c>
      <c r="R877" s="13" t="s">
        <v>5292</v>
      </c>
      <c r="S877" s="13" t="s">
        <v>5293</v>
      </c>
      <c r="T877" s="13" t="s">
        <v>3</v>
      </c>
      <c r="U877" s="13" t="s">
        <v>183</v>
      </c>
      <c r="V877" s="13" t="n">
        <f aca="false">IF(COUNTIF($B$2:B877,B877)=1,1,0)</f>
        <v>0</v>
      </c>
      <c r="W877" s="13" t="n">
        <f aca="false">IF(COUNTIFS($B$2:B877,B877,$T$2:T877,T877)=1,1,0)</f>
        <v>0</v>
      </c>
    </row>
    <row r="878" customFormat="false" ht="15" hidden="false" customHeight="false" outlineLevel="0" collapsed="false">
      <c r="A878" s="13" t="s">
        <v>5601</v>
      </c>
      <c r="B878" s="13" t="s">
        <v>2094</v>
      </c>
      <c r="C878" s="13" t="n">
        <v>70</v>
      </c>
      <c r="D878" s="13" t="n">
        <v>1</v>
      </c>
      <c r="E878" s="13" t="n">
        <v>71.76</v>
      </c>
      <c r="F878" s="13" t="s">
        <v>5288</v>
      </c>
      <c r="G878" s="13" t="s">
        <v>5289</v>
      </c>
      <c r="H878" s="13" t="s">
        <v>5292</v>
      </c>
      <c r="I878" s="13" t="s">
        <v>5292</v>
      </c>
      <c r="J878" s="13" t="s">
        <v>5289</v>
      </c>
      <c r="K878" s="13" t="s">
        <v>5289</v>
      </c>
      <c r="L878" s="13" t="s">
        <v>5328</v>
      </c>
      <c r="M878" s="13"/>
      <c r="N878" s="13" t="n">
        <v>7898301052674</v>
      </c>
      <c r="O878" s="13"/>
      <c r="P878" s="13" t="s">
        <v>5291</v>
      </c>
      <c r="Q878" s="13" t="s">
        <v>5289</v>
      </c>
      <c r="R878" s="13" t="s">
        <v>5292</v>
      </c>
      <c r="S878" s="13" t="s">
        <v>5293</v>
      </c>
      <c r="T878" s="13" t="s">
        <v>3</v>
      </c>
      <c r="U878" s="13" t="s">
        <v>57</v>
      </c>
      <c r="V878" s="13" t="n">
        <f aca="false">IF(COUNTIF($B$2:B878,B878)=1,1,0)</f>
        <v>0</v>
      </c>
      <c r="W878" s="13" t="n">
        <f aca="false">IF(COUNTIFS($B$2:B878,B878,$T$2:T878,T878)=1,1,0)</f>
        <v>0</v>
      </c>
    </row>
    <row r="879" customFormat="false" ht="15" hidden="false" customHeight="false" outlineLevel="0" collapsed="false">
      <c r="A879" s="13" t="s">
        <v>1334</v>
      </c>
      <c r="B879" s="13" t="s">
        <v>114</v>
      </c>
      <c r="C879" s="13" t="n">
        <v>70</v>
      </c>
      <c r="D879" s="13" t="n">
        <v>1</v>
      </c>
      <c r="E879" s="13" t="n">
        <v>69.9</v>
      </c>
      <c r="F879" s="13" t="s">
        <v>5325</v>
      </c>
      <c r="G879" s="13" t="s">
        <v>5289</v>
      </c>
      <c r="H879" s="13" t="s">
        <v>5292</v>
      </c>
      <c r="I879" s="13" t="s">
        <v>5292</v>
      </c>
      <c r="J879" s="13" t="s">
        <v>5289</v>
      </c>
      <c r="K879" s="13" t="s">
        <v>5289</v>
      </c>
      <c r="L879" s="13" t="s">
        <v>4111</v>
      </c>
      <c r="M879" s="13"/>
      <c r="N879" s="13" t="n">
        <v>4975759103189</v>
      </c>
      <c r="O879" s="13"/>
      <c r="P879" s="13" t="s">
        <v>5291</v>
      </c>
      <c r="Q879" s="13" t="s">
        <v>5289</v>
      </c>
      <c r="R879" s="13" t="s">
        <v>5292</v>
      </c>
      <c r="S879" s="13" t="s">
        <v>5293</v>
      </c>
      <c r="T879" s="13" t="s">
        <v>3</v>
      </c>
      <c r="U879" s="13" t="s">
        <v>115</v>
      </c>
      <c r="V879" s="13" t="n">
        <f aca="false">IF(COUNTIF($B$2:B879,B879)=1,1,0)</f>
        <v>0</v>
      </c>
      <c r="W879" s="13" t="n">
        <f aca="false">IF(COUNTIFS($B$2:B879,B879,$T$2:T879,T879)=1,1,0)</f>
        <v>0</v>
      </c>
    </row>
    <row r="880" customFormat="false" ht="15" hidden="false" customHeight="false" outlineLevel="0" collapsed="false">
      <c r="A880" s="13" t="s">
        <v>5209</v>
      </c>
      <c r="B880" s="13" t="s">
        <v>2099</v>
      </c>
      <c r="C880" s="13" t="n">
        <v>70</v>
      </c>
      <c r="D880" s="13" t="n">
        <v>2</v>
      </c>
      <c r="E880" s="13" t="n">
        <v>22.99</v>
      </c>
      <c r="F880" s="13" t="s">
        <v>5288</v>
      </c>
      <c r="G880" s="13" t="s">
        <v>5289</v>
      </c>
      <c r="H880" s="13" t="s">
        <v>5289</v>
      </c>
      <c r="I880" s="13" t="s">
        <v>5292</v>
      </c>
      <c r="J880" s="13" t="s">
        <v>5289</v>
      </c>
      <c r="K880" s="13" t="s">
        <v>5292</v>
      </c>
      <c r="L880" s="13" t="s">
        <v>5208</v>
      </c>
      <c r="M880" s="13"/>
      <c r="N880" s="13" t="n">
        <v>7899952326220</v>
      </c>
      <c r="O880" s="13"/>
      <c r="P880" s="13" t="s">
        <v>5291</v>
      </c>
      <c r="Q880" s="13" t="s">
        <v>5289</v>
      </c>
      <c r="R880" s="13" t="s">
        <v>5292</v>
      </c>
      <c r="S880" s="13" t="s">
        <v>5293</v>
      </c>
      <c r="T880" s="13" t="s">
        <v>3</v>
      </c>
      <c r="U880" s="13" t="s">
        <v>43</v>
      </c>
      <c r="V880" s="13" t="n">
        <f aca="false">IF(COUNTIF($B$2:B880,B880)=1,1,0)</f>
        <v>0</v>
      </c>
      <c r="W880" s="13" t="n">
        <f aca="false">IF(COUNTIFS($B$2:B880,B880,$T$2:T880,T880)=1,1,0)</f>
        <v>0</v>
      </c>
    </row>
    <row r="881" customFormat="false" ht="15" hidden="false" customHeight="false" outlineLevel="0" collapsed="false">
      <c r="A881" s="13" t="s">
        <v>4859</v>
      </c>
      <c r="B881" s="13" t="s">
        <v>2173</v>
      </c>
      <c r="C881" s="13" t="n">
        <v>70</v>
      </c>
      <c r="D881" s="13" t="n">
        <v>1</v>
      </c>
      <c r="E881" s="13" t="n">
        <v>67.99</v>
      </c>
      <c r="F881" s="13" t="s">
        <v>5288</v>
      </c>
      <c r="G881" s="13" t="s">
        <v>5289</v>
      </c>
      <c r="H881" s="13" t="s">
        <v>5292</v>
      </c>
      <c r="I881" s="13" t="s">
        <v>5292</v>
      </c>
      <c r="J881" s="13" t="s">
        <v>5289</v>
      </c>
      <c r="K881" s="13" t="s">
        <v>5292</v>
      </c>
      <c r="L881" s="13" t="s">
        <v>4858</v>
      </c>
      <c r="M881" s="13"/>
      <c r="N881" s="13" t="n">
        <v>7896558462604</v>
      </c>
      <c r="O881" s="13"/>
      <c r="P881" s="13" t="s">
        <v>5291</v>
      </c>
      <c r="Q881" s="13" t="s">
        <v>5289</v>
      </c>
      <c r="R881" s="13" t="s">
        <v>5292</v>
      </c>
      <c r="S881" s="13" t="s">
        <v>5293</v>
      </c>
      <c r="T881" s="13" t="s">
        <v>3</v>
      </c>
      <c r="U881" s="13" t="s">
        <v>85</v>
      </c>
      <c r="V881" s="13" t="n">
        <f aca="false">IF(COUNTIF($B$2:B881,B881)=1,1,0)</f>
        <v>0</v>
      </c>
      <c r="W881" s="13" t="n">
        <f aca="false">IF(COUNTIFS($B$2:B881,B881,$T$2:T881,T881)=1,1,0)</f>
        <v>0</v>
      </c>
    </row>
    <row r="882" customFormat="false" ht="15" hidden="false" customHeight="false" outlineLevel="0" collapsed="false">
      <c r="A882" s="13" t="s">
        <v>5647</v>
      </c>
      <c r="B882" s="13" t="s">
        <v>2094</v>
      </c>
      <c r="C882" s="13" t="n">
        <v>70</v>
      </c>
      <c r="D882" s="13" t="n">
        <v>2</v>
      </c>
      <c r="E882" s="13" t="n">
        <v>33.99</v>
      </c>
      <c r="F882" s="13" t="s">
        <v>5288</v>
      </c>
      <c r="G882" s="13" t="s">
        <v>5289</v>
      </c>
      <c r="H882" s="13" t="s">
        <v>5289</v>
      </c>
      <c r="I882" s="13" t="s">
        <v>5292</v>
      </c>
      <c r="J882" s="13" t="s">
        <v>5289</v>
      </c>
      <c r="K882" s="13" t="s">
        <v>5292</v>
      </c>
      <c r="L882" s="13" t="s">
        <v>5648</v>
      </c>
      <c r="M882" s="13"/>
      <c r="N882" s="13" t="n">
        <v>7.89863969332779E+051</v>
      </c>
      <c r="O882" s="13"/>
      <c r="P882" s="13" t="s">
        <v>5291</v>
      </c>
      <c r="Q882" s="13" t="s">
        <v>5289</v>
      </c>
      <c r="R882" s="13" t="s">
        <v>5292</v>
      </c>
      <c r="S882" s="13" t="s">
        <v>5293</v>
      </c>
      <c r="T882" s="13" t="s">
        <v>3</v>
      </c>
      <c r="U882" s="13" t="s">
        <v>85</v>
      </c>
      <c r="V882" s="13" t="n">
        <f aca="false">IF(COUNTIF($B$2:B882,B882)=1,1,0)</f>
        <v>0</v>
      </c>
      <c r="W882" s="13" t="n">
        <f aca="false">IF(COUNTIFS($B$2:B882,B882,$T$2:T882,T882)=1,1,0)</f>
        <v>0</v>
      </c>
    </row>
    <row r="883" customFormat="false" ht="15" hidden="false" customHeight="false" outlineLevel="0" collapsed="false">
      <c r="A883" s="13" t="s">
        <v>5207</v>
      </c>
      <c r="B883" s="13" t="s">
        <v>2101</v>
      </c>
      <c r="C883" s="13" t="n">
        <v>70</v>
      </c>
      <c r="D883" s="13" t="n">
        <v>1</v>
      </c>
      <c r="E883" s="13" t="n">
        <v>66.99</v>
      </c>
      <c r="F883" s="13" t="s">
        <v>5288</v>
      </c>
      <c r="G883" s="13" t="s">
        <v>5289</v>
      </c>
      <c r="H883" s="13" t="s">
        <v>5289</v>
      </c>
      <c r="I883" s="13" t="s">
        <v>5292</v>
      </c>
      <c r="J883" s="13" t="s">
        <v>5289</v>
      </c>
      <c r="K883" s="13" t="s">
        <v>5292</v>
      </c>
      <c r="L883" s="13" t="s">
        <v>5206</v>
      </c>
      <c r="M883" s="13"/>
      <c r="N883" s="13" t="n">
        <v>7908412518829</v>
      </c>
      <c r="O883" s="13"/>
      <c r="P883" s="13" t="s">
        <v>5297</v>
      </c>
      <c r="Q883" s="13" t="s">
        <v>5289</v>
      </c>
      <c r="R883" s="13" t="s">
        <v>5292</v>
      </c>
      <c r="S883" s="13" t="s">
        <v>5293</v>
      </c>
      <c r="T883" s="13" t="s">
        <v>3</v>
      </c>
      <c r="U883" s="13" t="s">
        <v>85</v>
      </c>
      <c r="V883" s="13" t="n">
        <f aca="false">IF(COUNTIF($B$2:B883,B883)=1,1,0)</f>
        <v>0</v>
      </c>
      <c r="W883" s="13" t="n">
        <f aca="false">IF(COUNTIFS($B$2:B883,B883,$T$2:T883,T883)=1,1,0)</f>
        <v>0</v>
      </c>
    </row>
    <row r="884" customFormat="false" ht="15" hidden="false" customHeight="false" outlineLevel="0" collapsed="false">
      <c r="A884" s="13" t="s">
        <v>5220</v>
      </c>
      <c r="B884" s="13" t="s">
        <v>2287</v>
      </c>
      <c r="C884" s="13" t="n">
        <v>60</v>
      </c>
      <c r="D884" s="13" t="n">
        <v>2</v>
      </c>
      <c r="E884" s="13" t="n">
        <v>32.32</v>
      </c>
      <c r="F884" s="13" t="s">
        <v>5288</v>
      </c>
      <c r="G884" s="13" t="s">
        <v>5289</v>
      </c>
      <c r="H884" s="13" t="s">
        <v>5289</v>
      </c>
      <c r="I884" s="13" t="s">
        <v>5292</v>
      </c>
      <c r="J884" s="13" t="s">
        <v>5289</v>
      </c>
      <c r="K884" s="13" t="s">
        <v>5289</v>
      </c>
      <c r="L884" s="13" t="s">
        <v>5219</v>
      </c>
      <c r="M884" s="13"/>
      <c r="N884" s="13" t="n">
        <v>7896193250567</v>
      </c>
      <c r="O884" s="13"/>
      <c r="P884" s="13" t="s">
        <v>5297</v>
      </c>
      <c r="Q884" s="13" t="s">
        <v>5289</v>
      </c>
      <c r="R884" s="13" t="s">
        <v>5292</v>
      </c>
      <c r="S884" s="13" t="s">
        <v>5293</v>
      </c>
      <c r="T884" s="13" t="s">
        <v>3</v>
      </c>
      <c r="U884" s="13" t="s">
        <v>85</v>
      </c>
      <c r="V884" s="13" t="n">
        <f aca="false">IF(COUNTIF($B$2:B884,B884)=1,1,0)</f>
        <v>0</v>
      </c>
      <c r="W884" s="13" t="n">
        <f aca="false">IF(COUNTIFS($B$2:B884,B884,$T$2:T884,T884)=1,1,0)</f>
        <v>0</v>
      </c>
    </row>
    <row r="885" customFormat="false" ht="15" hidden="false" customHeight="false" outlineLevel="0" collapsed="false">
      <c r="A885" s="13" t="s">
        <v>2075</v>
      </c>
      <c r="B885" s="13" t="s">
        <v>81</v>
      </c>
      <c r="C885" s="13" t="n">
        <v>60</v>
      </c>
      <c r="D885" s="13" t="n">
        <v>1</v>
      </c>
      <c r="E885" s="13" t="n">
        <v>59.99</v>
      </c>
      <c r="F885" s="13" t="s">
        <v>5288</v>
      </c>
      <c r="G885" s="13" t="s">
        <v>5289</v>
      </c>
      <c r="H885" s="13" t="s">
        <v>5289</v>
      </c>
      <c r="I885" s="13" t="s">
        <v>5292</v>
      </c>
      <c r="J885" s="13" t="s">
        <v>5289</v>
      </c>
      <c r="K885" s="13" t="s">
        <v>5292</v>
      </c>
      <c r="L885" s="13" t="s">
        <v>5228</v>
      </c>
      <c r="M885" s="13"/>
      <c r="N885" s="13" t="n">
        <v>7899206179473</v>
      </c>
      <c r="O885" s="13"/>
      <c r="P885" s="13" t="s">
        <v>5297</v>
      </c>
      <c r="Q885" s="13" t="s">
        <v>5289</v>
      </c>
      <c r="R885" s="13" t="s">
        <v>5292</v>
      </c>
      <c r="S885" s="13" t="s">
        <v>5293</v>
      </c>
      <c r="T885" s="13" t="s">
        <v>3</v>
      </c>
      <c r="U885" s="13" t="s">
        <v>85</v>
      </c>
      <c r="V885" s="13" t="n">
        <f aca="false">IF(COUNTIF($B$2:B885,B885)=1,1,0)</f>
        <v>0</v>
      </c>
      <c r="W885" s="13" t="n">
        <f aca="false">IF(COUNTIFS($B$2:B885,B885,$T$2:T885,T885)=1,1,0)</f>
        <v>0</v>
      </c>
    </row>
    <row r="886" customFormat="false" ht="15" hidden="false" customHeight="false" outlineLevel="0" collapsed="false">
      <c r="A886" s="13" t="s">
        <v>2081</v>
      </c>
      <c r="B886" s="13" t="s">
        <v>250</v>
      </c>
      <c r="C886" s="13" t="n">
        <v>60</v>
      </c>
      <c r="D886" s="13" t="n">
        <v>1</v>
      </c>
      <c r="E886" s="13" t="n">
        <v>59.9</v>
      </c>
      <c r="F886" s="13" t="s">
        <v>5288</v>
      </c>
      <c r="G886" s="13" t="s">
        <v>5289</v>
      </c>
      <c r="H886" s="13" t="s">
        <v>5292</v>
      </c>
      <c r="I886" s="13" t="s">
        <v>5292</v>
      </c>
      <c r="J886" s="13" t="s">
        <v>5289</v>
      </c>
      <c r="K886" s="13" t="s">
        <v>5289</v>
      </c>
      <c r="L886" s="13" t="s">
        <v>5607</v>
      </c>
      <c r="M886" s="13"/>
      <c r="N886" s="13" t="n">
        <v>44677204200</v>
      </c>
      <c r="O886" s="13"/>
      <c r="P886" s="13" t="s">
        <v>5291</v>
      </c>
      <c r="Q886" s="13" t="s">
        <v>5289</v>
      </c>
      <c r="R886" s="13" t="s">
        <v>5292</v>
      </c>
      <c r="S886" s="13" t="s">
        <v>5293</v>
      </c>
      <c r="T886" s="13" t="s">
        <v>3</v>
      </c>
      <c r="U886" s="13" t="s">
        <v>85</v>
      </c>
      <c r="V886" s="13" t="n">
        <f aca="false">IF(COUNTIF($B$2:B886,B886)=1,1,0)</f>
        <v>0</v>
      </c>
      <c r="W886" s="13" t="n">
        <f aca="false">IF(COUNTIFS($B$2:B886,B886,$T$2:T886,T886)=1,1,0)</f>
        <v>0</v>
      </c>
    </row>
    <row r="887" customFormat="false" ht="15" hidden="false" customHeight="false" outlineLevel="0" collapsed="false">
      <c r="A887" s="13" t="s">
        <v>5240</v>
      </c>
      <c r="B887" s="13" t="s">
        <v>2126</v>
      </c>
      <c r="C887" s="13" t="n">
        <v>50</v>
      </c>
      <c r="D887" s="13" t="n">
        <v>1</v>
      </c>
      <c r="E887" s="13" t="n">
        <v>52</v>
      </c>
      <c r="F887" s="13" t="s">
        <v>5288</v>
      </c>
      <c r="G887" s="13" t="s">
        <v>5289</v>
      </c>
      <c r="H887" s="13" t="s">
        <v>5289</v>
      </c>
      <c r="I887" s="13" t="s">
        <v>5292</v>
      </c>
      <c r="J887" s="13" t="s">
        <v>5289</v>
      </c>
      <c r="K887" s="13" t="s">
        <v>5289</v>
      </c>
      <c r="L887" s="13" t="s">
        <v>5239</v>
      </c>
      <c r="M887" s="13"/>
      <c r="N887" s="13" t="n">
        <v>7898449395039</v>
      </c>
      <c r="O887" s="13"/>
      <c r="P887" s="13" t="s">
        <v>5297</v>
      </c>
      <c r="Q887" s="13" t="s">
        <v>5289</v>
      </c>
      <c r="R887" s="13" t="s">
        <v>5292</v>
      </c>
      <c r="S887" s="13" t="s">
        <v>5293</v>
      </c>
      <c r="T887" s="13" t="s">
        <v>3</v>
      </c>
      <c r="U887" s="13" t="s">
        <v>183</v>
      </c>
      <c r="V887" s="13" t="n">
        <f aca="false">IF(COUNTIF($B$2:B887,B887)=1,1,0)</f>
        <v>0</v>
      </c>
      <c r="W887" s="13" t="n">
        <f aca="false">IF(COUNTIFS($B$2:B887,B887,$T$2:T887,T887)=1,1,0)</f>
        <v>0</v>
      </c>
    </row>
    <row r="888" customFormat="false" ht="15" hidden="false" customHeight="false" outlineLevel="0" collapsed="false">
      <c r="A888" s="13" t="s">
        <v>5246</v>
      </c>
      <c r="B888" s="13" t="s">
        <v>2121</v>
      </c>
      <c r="C888" s="13" t="n">
        <v>50</v>
      </c>
      <c r="D888" s="13" t="n">
        <v>1</v>
      </c>
      <c r="E888" s="13" t="n">
        <v>49.99</v>
      </c>
      <c r="F888" s="13" t="s">
        <v>5288</v>
      </c>
      <c r="G888" s="13" t="s">
        <v>5289</v>
      </c>
      <c r="H888" s="13" t="s">
        <v>5289</v>
      </c>
      <c r="I888" s="13" t="s">
        <v>5292</v>
      </c>
      <c r="J888" s="13" t="s">
        <v>5289</v>
      </c>
      <c r="K888" s="13" t="s">
        <v>5292</v>
      </c>
      <c r="L888" s="13" t="s">
        <v>5245</v>
      </c>
      <c r="M888" s="13"/>
      <c r="N888" s="13" t="n">
        <v>7898554605603</v>
      </c>
      <c r="O888" s="13"/>
      <c r="P888" s="13" t="s">
        <v>5291</v>
      </c>
      <c r="Q888" s="13" t="s">
        <v>5289</v>
      </c>
      <c r="R888" s="13" t="s">
        <v>5292</v>
      </c>
      <c r="S888" s="13" t="s">
        <v>5293</v>
      </c>
      <c r="T888" s="13" t="s">
        <v>3</v>
      </c>
      <c r="U888" s="13" t="s">
        <v>144</v>
      </c>
      <c r="V888" s="13" t="n">
        <f aca="false">IF(COUNTIF($B$2:B888,B888)=1,1,0)</f>
        <v>0</v>
      </c>
      <c r="W888" s="13" t="n">
        <f aca="false">IF(COUNTIFS($B$2:B888,B888,$T$2:T888,T888)=1,1,0)</f>
        <v>0</v>
      </c>
    </row>
    <row r="889" customFormat="false" ht="15" hidden="false" customHeight="false" outlineLevel="0" collapsed="false">
      <c r="A889" s="13" t="s">
        <v>5649</v>
      </c>
      <c r="B889" s="13" t="s">
        <v>2169</v>
      </c>
      <c r="C889" s="13" t="n">
        <v>40</v>
      </c>
      <c r="D889" s="13" t="n">
        <v>1</v>
      </c>
      <c r="E889" s="13" t="n">
        <v>43.64</v>
      </c>
      <c r="F889" s="13" t="s">
        <v>5288</v>
      </c>
      <c r="G889" s="13" t="s">
        <v>5289</v>
      </c>
      <c r="H889" s="13" t="s">
        <v>5289</v>
      </c>
      <c r="I889" s="13" t="s">
        <v>5292</v>
      </c>
      <c r="J889" s="13" t="s">
        <v>5289</v>
      </c>
      <c r="K889" s="13" t="s">
        <v>5289</v>
      </c>
      <c r="L889" s="13" t="s">
        <v>5650</v>
      </c>
      <c r="M889" s="13"/>
      <c r="N889" s="13"/>
      <c r="O889" s="13"/>
      <c r="P889" s="13" t="s">
        <v>5297</v>
      </c>
      <c r="Q889" s="13" t="s">
        <v>5289</v>
      </c>
      <c r="R889" s="13" t="s">
        <v>5292</v>
      </c>
      <c r="S889" s="13" t="s">
        <v>5293</v>
      </c>
      <c r="T889" s="13" t="s">
        <v>3</v>
      </c>
      <c r="U889" s="13" t="s">
        <v>85</v>
      </c>
      <c r="V889" s="13" t="n">
        <f aca="false">IF(COUNTIF($B$2:B889,B889)=1,1,0)</f>
        <v>0</v>
      </c>
      <c r="W889" s="13" t="n">
        <f aca="false">IF(COUNTIFS($B$2:B889,B889,$T$2:T889,T889)=1,1,0)</f>
        <v>0</v>
      </c>
    </row>
    <row r="890" customFormat="false" ht="15" hidden="false" customHeight="false" outlineLevel="0" collapsed="false">
      <c r="A890" s="13" t="s">
        <v>5651</v>
      </c>
      <c r="B890" s="13" t="s">
        <v>2304</v>
      </c>
      <c r="C890" s="13" t="n">
        <v>40</v>
      </c>
      <c r="D890" s="13" t="n">
        <v>1</v>
      </c>
      <c r="E890" s="13" t="n">
        <v>40.99</v>
      </c>
      <c r="F890" s="13" t="s">
        <v>5288</v>
      </c>
      <c r="G890" s="13" t="s">
        <v>5289</v>
      </c>
      <c r="H890" s="13" t="s">
        <v>5292</v>
      </c>
      <c r="I890" s="13" t="s">
        <v>5292</v>
      </c>
      <c r="J890" s="13" t="s">
        <v>5289</v>
      </c>
      <c r="K890" s="13" t="s">
        <v>5292</v>
      </c>
      <c r="L890" s="13" t="s">
        <v>5541</v>
      </c>
      <c r="M890" s="13"/>
      <c r="N890" s="13" t="n">
        <v>6.09963958542603E+023</v>
      </c>
      <c r="O890" s="13"/>
      <c r="P890" s="13" t="s">
        <v>5291</v>
      </c>
      <c r="Q890" s="13" t="s">
        <v>5289</v>
      </c>
      <c r="R890" s="13" t="s">
        <v>5292</v>
      </c>
      <c r="S890" s="13" t="s">
        <v>5293</v>
      </c>
      <c r="T890" s="13" t="s">
        <v>3</v>
      </c>
      <c r="U890" s="13" t="s">
        <v>183</v>
      </c>
      <c r="V890" s="13" t="n">
        <f aca="false">IF(COUNTIF($B$2:B890,B890)=1,1,0)</f>
        <v>1</v>
      </c>
      <c r="W890" s="13" t="n">
        <f aca="false">IF(COUNTIFS($B$2:B890,B890,$T$2:T890,T890)=1,1,0)</f>
        <v>1</v>
      </c>
    </row>
    <row r="891" customFormat="false" ht="15" hidden="false" customHeight="false" outlineLevel="0" collapsed="false">
      <c r="A891" s="13" t="s">
        <v>5632</v>
      </c>
      <c r="B891" s="13" t="s">
        <v>2136</v>
      </c>
      <c r="C891" s="13" t="n">
        <v>40</v>
      </c>
      <c r="D891" s="13" t="n">
        <v>1</v>
      </c>
      <c r="E891" s="13" t="n">
        <v>40.99</v>
      </c>
      <c r="F891" s="13" t="s">
        <v>5288</v>
      </c>
      <c r="G891" s="13" t="s">
        <v>5289</v>
      </c>
      <c r="H891" s="13" t="s">
        <v>5289</v>
      </c>
      <c r="I891" s="13" t="s">
        <v>5292</v>
      </c>
      <c r="J891" s="13" t="s">
        <v>5289</v>
      </c>
      <c r="K891" s="13" t="s">
        <v>5292</v>
      </c>
      <c r="L891" s="13" t="s">
        <v>5633</v>
      </c>
      <c r="M891" s="13"/>
      <c r="N891" s="13"/>
      <c r="O891" s="13"/>
      <c r="P891" s="13" t="s">
        <v>5291</v>
      </c>
      <c r="Q891" s="13" t="s">
        <v>5289</v>
      </c>
      <c r="R891" s="13" t="s">
        <v>5292</v>
      </c>
      <c r="S891" s="13" t="s">
        <v>5293</v>
      </c>
      <c r="T891" s="13" t="s">
        <v>3</v>
      </c>
      <c r="U891" s="13" t="s">
        <v>85</v>
      </c>
      <c r="V891" s="13" t="n">
        <f aca="false">IF(COUNTIF($B$2:B891,B891)=1,1,0)</f>
        <v>0</v>
      </c>
      <c r="W891" s="13" t="n">
        <f aca="false">IF(COUNTIFS($B$2:B891,B891,$T$2:T891,T891)=1,1,0)</f>
        <v>0</v>
      </c>
    </row>
    <row r="892" customFormat="false" ht="15" hidden="false" customHeight="false" outlineLevel="0" collapsed="false">
      <c r="A892" s="13" t="s">
        <v>5261</v>
      </c>
      <c r="B892" s="13" t="s">
        <v>2302</v>
      </c>
      <c r="C892" s="13" t="n">
        <v>40</v>
      </c>
      <c r="D892" s="13" t="n">
        <v>1</v>
      </c>
      <c r="E892" s="13" t="n">
        <v>37.99</v>
      </c>
      <c r="F892" s="13" t="s">
        <v>5288</v>
      </c>
      <c r="G892" s="13" t="s">
        <v>5289</v>
      </c>
      <c r="H892" s="13" t="s">
        <v>5289</v>
      </c>
      <c r="I892" s="13" t="s">
        <v>5292</v>
      </c>
      <c r="J892" s="13" t="s">
        <v>5289</v>
      </c>
      <c r="K892" s="13" t="s">
        <v>5292</v>
      </c>
      <c r="L892" s="13" t="s">
        <v>5652</v>
      </c>
      <c r="M892" s="13"/>
      <c r="N892" s="13" t="n">
        <v>7898583342548</v>
      </c>
      <c r="O892" s="13"/>
      <c r="P892" s="13" t="s">
        <v>5291</v>
      </c>
      <c r="Q892" s="13" t="s">
        <v>5289</v>
      </c>
      <c r="R892" s="13" t="s">
        <v>5292</v>
      </c>
      <c r="S892" s="13" t="s">
        <v>5293</v>
      </c>
      <c r="T892" s="13" t="s">
        <v>3</v>
      </c>
      <c r="U892" s="13" t="s">
        <v>183</v>
      </c>
      <c r="V892" s="13" t="n">
        <f aca="false">IF(COUNTIF($B$2:B892,B892)=1,1,0)</f>
        <v>1</v>
      </c>
      <c r="W892" s="13" t="n">
        <f aca="false">IF(COUNTIFS($B$2:B892,B892,$T$2:T892,T892)=1,1,0)</f>
        <v>1</v>
      </c>
    </row>
    <row r="893" customFormat="false" ht="15" hidden="false" customHeight="false" outlineLevel="0" collapsed="false">
      <c r="A893" s="13" t="s">
        <v>4126</v>
      </c>
      <c r="B893" s="13" t="s">
        <v>2142</v>
      </c>
      <c r="C893" s="13" t="n">
        <v>40</v>
      </c>
      <c r="D893" s="13" t="n">
        <v>1</v>
      </c>
      <c r="E893" s="13" t="n">
        <v>36.9</v>
      </c>
      <c r="F893" s="13" t="s">
        <v>5288</v>
      </c>
      <c r="G893" s="13" t="s">
        <v>5289</v>
      </c>
      <c r="H893" s="13" t="s">
        <v>5289</v>
      </c>
      <c r="I893" s="13" t="s">
        <v>5292</v>
      </c>
      <c r="J893" s="13" t="s">
        <v>5289</v>
      </c>
      <c r="K893" s="13" t="s">
        <v>5292</v>
      </c>
      <c r="L893" s="13" t="s">
        <v>4125</v>
      </c>
      <c r="M893" s="13"/>
      <c r="N893" s="13" t="n">
        <v>7898952577090</v>
      </c>
      <c r="O893" s="13"/>
      <c r="P893" s="13" t="s">
        <v>5291</v>
      </c>
      <c r="Q893" s="13" t="s">
        <v>5289</v>
      </c>
      <c r="R893" s="13" t="s">
        <v>5292</v>
      </c>
      <c r="S893" s="13" t="s">
        <v>5293</v>
      </c>
      <c r="T893" s="13" t="s">
        <v>3</v>
      </c>
      <c r="U893" s="13" t="s">
        <v>85</v>
      </c>
      <c r="V893" s="13" t="n">
        <f aca="false">IF(COUNTIF($B$2:B893,B893)=1,1,0)</f>
        <v>0</v>
      </c>
      <c r="W893" s="13" t="n">
        <f aca="false">IF(COUNTIFS($B$2:B893,B893,$T$2:T893,T893)=1,1,0)</f>
        <v>0</v>
      </c>
    </row>
    <row r="894" customFormat="false" ht="15" hidden="false" customHeight="false" outlineLevel="0" collapsed="false">
      <c r="A894" s="13" t="s">
        <v>5263</v>
      </c>
      <c r="B894" s="13" t="s">
        <v>2100</v>
      </c>
      <c r="C894" s="13" t="n">
        <v>40</v>
      </c>
      <c r="D894" s="13" t="n">
        <v>1</v>
      </c>
      <c r="E894" s="13" t="n">
        <v>35</v>
      </c>
      <c r="F894" s="13" t="s">
        <v>5288</v>
      </c>
      <c r="G894" s="13" t="s">
        <v>5289</v>
      </c>
      <c r="H894" s="13" t="s">
        <v>5289</v>
      </c>
      <c r="I894" s="13" t="s">
        <v>5292</v>
      </c>
      <c r="J894" s="13" t="s">
        <v>5289</v>
      </c>
      <c r="K894" s="13" t="s">
        <v>5292</v>
      </c>
      <c r="L894" s="13" t="s">
        <v>5262</v>
      </c>
      <c r="M894" s="13"/>
      <c r="N894" s="13" t="n">
        <v>7898410310399</v>
      </c>
      <c r="O894" s="13"/>
      <c r="P894" s="13" t="s">
        <v>5291</v>
      </c>
      <c r="Q894" s="13" t="s">
        <v>5289</v>
      </c>
      <c r="R894" s="13" t="s">
        <v>5292</v>
      </c>
      <c r="S894" s="13" t="s">
        <v>5293</v>
      </c>
      <c r="T894" s="13" t="s">
        <v>3</v>
      </c>
      <c r="U894" s="13" t="s">
        <v>43</v>
      </c>
      <c r="V894" s="13" t="n">
        <f aca="false">IF(COUNTIF($B$2:B894,B894)=1,1,0)</f>
        <v>0</v>
      </c>
      <c r="W894" s="13" t="n">
        <f aca="false">IF(COUNTIFS($B$2:B894,B894,$T$2:T894,T894)=1,1,0)</f>
        <v>0</v>
      </c>
    </row>
    <row r="895" customFormat="false" ht="15" hidden="false" customHeight="false" outlineLevel="0" collapsed="false">
      <c r="A895" s="13" t="s">
        <v>47</v>
      </c>
      <c r="B895" s="13" t="s">
        <v>42</v>
      </c>
      <c r="C895" s="13" t="n">
        <v>281000</v>
      </c>
      <c r="D895" s="13" t="n">
        <v>480</v>
      </c>
      <c r="E895" s="13" t="n">
        <v>585.616875</v>
      </c>
      <c r="F895" s="13" t="s">
        <v>5288</v>
      </c>
      <c r="G895" s="13" t="s">
        <v>5289</v>
      </c>
      <c r="H895" s="13" t="s">
        <v>5289</v>
      </c>
      <c r="I895" s="13" t="s">
        <v>5289</v>
      </c>
      <c r="J895" s="13" t="s">
        <v>5289</v>
      </c>
      <c r="K895" s="13" t="s">
        <v>5289</v>
      </c>
      <c r="L895" s="13" t="s">
        <v>5653</v>
      </c>
      <c r="M895" s="13"/>
      <c r="N895" s="13" t="n">
        <v>8411061120620</v>
      </c>
      <c r="O895" s="13"/>
      <c r="P895" s="13" t="s">
        <v>5291</v>
      </c>
      <c r="Q895" s="13" t="s">
        <v>5289</v>
      </c>
      <c r="R895" s="13" t="s">
        <v>5292</v>
      </c>
      <c r="S895" s="13" t="s">
        <v>5293</v>
      </c>
      <c r="T895" s="13" t="s">
        <v>4</v>
      </c>
      <c r="U895" s="13" t="s">
        <v>43</v>
      </c>
      <c r="V895" s="13" t="n">
        <f aca="false">IF(COUNTIF($B$2:B895,B895)=1,1,0)</f>
        <v>1</v>
      </c>
      <c r="W895" s="13" t="n">
        <f aca="false">IF(COUNTIFS($B$2:B895,B895,$T$2:T895,T895)=1,1,0)</f>
        <v>1</v>
      </c>
    </row>
    <row r="896" customFormat="false" ht="15" hidden="false" customHeight="false" outlineLevel="0" collapsed="false">
      <c r="A896" s="13" t="s">
        <v>48</v>
      </c>
      <c r="B896" s="13" t="s">
        <v>42</v>
      </c>
      <c r="C896" s="13" t="n">
        <v>267000</v>
      </c>
      <c r="D896" s="13" t="n">
        <v>430</v>
      </c>
      <c r="E896" s="13" t="n">
        <v>616.123732718894</v>
      </c>
      <c r="F896" s="13" t="s">
        <v>5288</v>
      </c>
      <c r="G896" s="13" t="s">
        <v>5289</v>
      </c>
      <c r="H896" s="13" t="s">
        <v>5289</v>
      </c>
      <c r="I896" s="13" t="s">
        <v>5289</v>
      </c>
      <c r="J896" s="13" t="s">
        <v>5289</v>
      </c>
      <c r="K896" s="13" t="s">
        <v>5289</v>
      </c>
      <c r="L896" s="13" t="s">
        <v>5654</v>
      </c>
      <c r="M896" s="13"/>
      <c r="N896" s="13" t="n">
        <v>8411061838778</v>
      </c>
      <c r="O896" s="13"/>
      <c r="P896" s="13" t="s">
        <v>5291</v>
      </c>
      <c r="Q896" s="13" t="s">
        <v>5289</v>
      </c>
      <c r="R896" s="13" t="s">
        <v>5292</v>
      </c>
      <c r="S896" s="13" t="s">
        <v>5293</v>
      </c>
      <c r="T896" s="13" t="s">
        <v>4</v>
      </c>
      <c r="U896" s="13" t="s">
        <v>43</v>
      </c>
      <c r="V896" s="13" t="n">
        <f aca="false">IF(COUNTIF($B$2:B896,B896)=1,1,0)</f>
        <v>0</v>
      </c>
      <c r="W896" s="13" t="n">
        <f aca="false">IF(COUNTIFS($B$2:B896,B896,$T$2:T896,T896)=1,1,0)</f>
        <v>0</v>
      </c>
    </row>
    <row r="897" customFormat="false" ht="15" hidden="false" customHeight="false" outlineLevel="0" collapsed="false">
      <c r="A897" s="13" t="s">
        <v>52</v>
      </c>
      <c r="B897" s="13" t="s">
        <v>50</v>
      </c>
      <c r="C897" s="13" t="n">
        <v>183000</v>
      </c>
      <c r="D897" s="13" t="n">
        <v>300</v>
      </c>
      <c r="E897" s="13" t="n">
        <v>598.496196721312</v>
      </c>
      <c r="F897" s="13" t="s">
        <v>5288</v>
      </c>
      <c r="G897" s="13" t="s">
        <v>5292</v>
      </c>
      <c r="H897" s="13" t="s">
        <v>5289</v>
      </c>
      <c r="I897" s="13" t="s">
        <v>5289</v>
      </c>
      <c r="J897" s="13" t="s">
        <v>5289</v>
      </c>
      <c r="K897" s="13" t="s">
        <v>5289</v>
      </c>
      <c r="L897" s="13" t="s">
        <v>5655</v>
      </c>
      <c r="M897" s="13"/>
      <c r="N897" s="13" t="n">
        <v>3349668566372</v>
      </c>
      <c r="O897" s="13"/>
      <c r="P897" s="13" t="s">
        <v>5291</v>
      </c>
      <c r="Q897" s="13" t="s">
        <v>5289</v>
      </c>
      <c r="R897" s="13" t="s">
        <v>5292</v>
      </c>
      <c r="S897" s="13" t="s">
        <v>5293</v>
      </c>
      <c r="T897" s="13" t="s">
        <v>4</v>
      </c>
      <c r="U897" s="13" t="s">
        <v>43</v>
      </c>
      <c r="V897" s="13" t="n">
        <f aca="false">IF(COUNTIF($B$2:B897,B897)=1,1,0)</f>
        <v>1</v>
      </c>
      <c r="W897" s="13" t="n">
        <f aca="false">IF(COUNTIFS($B$2:B897,B897,$T$2:T897,T897)=1,1,0)</f>
        <v>1</v>
      </c>
    </row>
    <row r="898" customFormat="false" ht="15" hidden="false" customHeight="false" outlineLevel="0" collapsed="false">
      <c r="A898" s="13" t="s">
        <v>52</v>
      </c>
      <c r="B898" s="13" t="s">
        <v>50</v>
      </c>
      <c r="C898" s="13" t="n">
        <v>95300</v>
      </c>
      <c r="D898" s="13" t="n">
        <v>200</v>
      </c>
      <c r="E898" s="13" t="n">
        <v>483.691776649746</v>
      </c>
      <c r="F898" s="13" t="s">
        <v>5288</v>
      </c>
      <c r="G898" s="13" t="s">
        <v>5289</v>
      </c>
      <c r="H898" s="13" t="s">
        <v>5289</v>
      </c>
      <c r="I898" s="13" t="s">
        <v>5289</v>
      </c>
      <c r="J898" s="13" t="s">
        <v>5289</v>
      </c>
      <c r="K898" s="13" t="s">
        <v>5289</v>
      </c>
      <c r="L898" s="13" t="s">
        <v>5656</v>
      </c>
      <c r="M898" s="13"/>
      <c r="N898" s="13" t="n">
        <v>3349666007921</v>
      </c>
      <c r="O898" s="13"/>
      <c r="P898" s="13" t="s">
        <v>5291</v>
      </c>
      <c r="Q898" s="13" t="s">
        <v>5289</v>
      </c>
      <c r="R898" s="13" t="s">
        <v>5292</v>
      </c>
      <c r="S898" s="13" t="s">
        <v>5293</v>
      </c>
      <c r="T898" s="13" t="s">
        <v>4</v>
      </c>
      <c r="U898" s="13" t="s">
        <v>43</v>
      </c>
      <c r="V898" s="13" t="n">
        <f aca="false">IF(COUNTIF($B$2:B898,B898)=1,1,0)</f>
        <v>0</v>
      </c>
      <c r="W898" s="13" t="n">
        <f aca="false">IF(COUNTIFS($B$2:B898,B898,$T$2:T898,T898)=1,1,0)</f>
        <v>0</v>
      </c>
    </row>
    <row r="899" customFormat="false" ht="15" hidden="false" customHeight="false" outlineLevel="0" collapsed="false">
      <c r="A899" s="13" t="s">
        <v>93</v>
      </c>
      <c r="B899" s="13" t="s">
        <v>92</v>
      </c>
      <c r="C899" s="13" t="n">
        <v>59100</v>
      </c>
      <c r="D899" s="13" t="n">
        <v>80</v>
      </c>
      <c r="E899" s="13" t="n">
        <v>766.915454545454</v>
      </c>
      <c r="F899" s="13" t="s">
        <v>5325</v>
      </c>
      <c r="G899" s="13" t="s">
        <v>5289</v>
      </c>
      <c r="H899" s="13" t="s">
        <v>5292</v>
      </c>
      <c r="I899" s="13" t="s">
        <v>5289</v>
      </c>
      <c r="J899" s="13" t="s">
        <v>5289</v>
      </c>
      <c r="K899" s="13" t="s">
        <v>5289</v>
      </c>
      <c r="L899" s="13" t="s">
        <v>5657</v>
      </c>
      <c r="M899" s="13"/>
      <c r="N899" s="13" t="n">
        <v>3616302038633</v>
      </c>
      <c r="O899" s="13"/>
      <c r="P899" s="13" t="s">
        <v>5291</v>
      </c>
      <c r="Q899" s="13" t="s">
        <v>5289</v>
      </c>
      <c r="R899" s="13" t="s">
        <v>5292</v>
      </c>
      <c r="S899" s="13" t="s">
        <v>5293</v>
      </c>
      <c r="T899" s="13" t="s">
        <v>4</v>
      </c>
      <c r="U899" s="13" t="s">
        <v>43</v>
      </c>
      <c r="V899" s="13" t="n">
        <f aca="false">IF(COUNTIF($B$2:B899,B899)=1,1,0)</f>
        <v>0</v>
      </c>
      <c r="W899" s="13" t="n">
        <f aca="false">IF(COUNTIFS($B$2:B899,B899,$T$2:T899,T899)=1,1,0)</f>
        <v>1</v>
      </c>
    </row>
    <row r="900" customFormat="false" ht="15" hidden="false" customHeight="false" outlineLevel="0" collapsed="false">
      <c r="A900" s="13" t="s">
        <v>89</v>
      </c>
      <c r="B900" s="13" t="s">
        <v>42</v>
      </c>
      <c r="C900" s="13" t="n">
        <v>45100</v>
      </c>
      <c r="D900" s="13" t="n">
        <v>70</v>
      </c>
      <c r="E900" s="13" t="n">
        <v>673.121343283582</v>
      </c>
      <c r="F900" s="13" t="s">
        <v>5288</v>
      </c>
      <c r="G900" s="13" t="s">
        <v>5289</v>
      </c>
      <c r="H900" s="13" t="s">
        <v>5289</v>
      </c>
      <c r="I900" s="13" t="s">
        <v>5289</v>
      </c>
      <c r="J900" s="13" t="s">
        <v>5289</v>
      </c>
      <c r="K900" s="13" t="s">
        <v>5289</v>
      </c>
      <c r="L900" s="13" t="s">
        <v>5658</v>
      </c>
      <c r="M900" s="13"/>
      <c r="N900" s="13" t="n">
        <v>8411061853207</v>
      </c>
      <c r="O900" s="13"/>
      <c r="P900" s="13" t="s">
        <v>5291</v>
      </c>
      <c r="Q900" s="13" t="s">
        <v>5289</v>
      </c>
      <c r="R900" s="13" t="s">
        <v>5292</v>
      </c>
      <c r="S900" s="13" t="s">
        <v>5293</v>
      </c>
      <c r="T900" s="13" t="s">
        <v>4</v>
      </c>
      <c r="U900" s="13" t="s">
        <v>43</v>
      </c>
      <c r="V900" s="13" t="n">
        <f aca="false">IF(COUNTIF($B$2:B900,B900)=1,1,0)</f>
        <v>0</v>
      </c>
      <c r="W900" s="13" t="n">
        <f aca="false">IF(COUNTIFS($B$2:B900,B900,$T$2:T900,T900)=1,1,0)</f>
        <v>0</v>
      </c>
    </row>
    <row r="901" customFormat="false" ht="15" hidden="false" customHeight="false" outlineLevel="0" collapsed="false">
      <c r="A901" s="13" t="s">
        <v>71</v>
      </c>
      <c r="B901" s="13" t="s">
        <v>50</v>
      </c>
      <c r="C901" s="13" t="n">
        <v>43400</v>
      </c>
      <c r="D901" s="13" t="n">
        <v>60</v>
      </c>
      <c r="E901" s="13" t="n">
        <v>688.138571428571</v>
      </c>
      <c r="F901" s="13" t="s">
        <v>5288</v>
      </c>
      <c r="G901" s="13" t="s">
        <v>5289</v>
      </c>
      <c r="H901" s="13" t="s">
        <v>5289</v>
      </c>
      <c r="I901" s="13" t="s">
        <v>5289</v>
      </c>
      <c r="J901" s="13" t="s">
        <v>5289</v>
      </c>
      <c r="K901" s="13" t="s">
        <v>5289</v>
      </c>
      <c r="L901" s="13" t="s">
        <v>5659</v>
      </c>
      <c r="M901" s="13"/>
      <c r="N901" s="13" t="n">
        <v>3349668592388</v>
      </c>
      <c r="O901" s="13"/>
      <c r="P901" s="13" t="s">
        <v>5291</v>
      </c>
      <c r="Q901" s="13" t="s">
        <v>5289</v>
      </c>
      <c r="R901" s="13" t="s">
        <v>5292</v>
      </c>
      <c r="S901" s="13" t="s">
        <v>5293</v>
      </c>
      <c r="T901" s="13" t="s">
        <v>4</v>
      </c>
      <c r="U901" s="13" t="s">
        <v>43</v>
      </c>
      <c r="V901" s="13" t="n">
        <f aca="false">IF(COUNTIF($B$2:B901,B901)=1,1,0)</f>
        <v>0</v>
      </c>
      <c r="W901" s="13" t="n">
        <f aca="false">IF(COUNTIFS($B$2:B901,B901,$T$2:T901,T901)=1,1,0)</f>
        <v>0</v>
      </c>
    </row>
    <row r="902" customFormat="false" ht="15" hidden="false" customHeight="false" outlineLevel="0" collapsed="false">
      <c r="A902" s="13" t="s">
        <v>47</v>
      </c>
      <c r="B902" s="13" t="s">
        <v>42</v>
      </c>
      <c r="C902" s="13" t="n">
        <v>34000</v>
      </c>
      <c r="D902" s="13" t="n">
        <v>50</v>
      </c>
      <c r="E902" s="13" t="n">
        <v>679.2</v>
      </c>
      <c r="F902" s="13" t="s">
        <v>5288</v>
      </c>
      <c r="G902" s="13" t="s">
        <v>5289</v>
      </c>
      <c r="H902" s="13" t="s">
        <v>5289</v>
      </c>
      <c r="I902" s="13" t="s">
        <v>5289</v>
      </c>
      <c r="J902" s="13" t="s">
        <v>5289</v>
      </c>
      <c r="K902" s="13" t="s">
        <v>5289</v>
      </c>
      <c r="L902" s="13" t="s">
        <v>5660</v>
      </c>
      <c r="M902" s="13"/>
      <c r="N902" s="13" t="n">
        <v>8411061105016</v>
      </c>
      <c r="O902" s="13"/>
      <c r="P902" s="13" t="s">
        <v>5291</v>
      </c>
      <c r="Q902" s="13" t="s">
        <v>5289</v>
      </c>
      <c r="R902" s="13" t="s">
        <v>5292</v>
      </c>
      <c r="S902" s="13" t="s">
        <v>5293</v>
      </c>
      <c r="T902" s="13" t="s">
        <v>4</v>
      </c>
      <c r="U902" s="13" t="s">
        <v>43</v>
      </c>
      <c r="V902" s="13" t="n">
        <f aca="false">IF(COUNTIF($B$2:B902,B902)=1,1,0)</f>
        <v>0</v>
      </c>
      <c r="W902" s="13" t="n">
        <f aca="false">IF(COUNTIFS($B$2:B902,B902,$T$2:T902,T902)=1,1,0)</f>
        <v>0</v>
      </c>
    </row>
    <row r="903" customFormat="false" ht="15" hidden="false" customHeight="false" outlineLevel="0" collapsed="false">
      <c r="A903" s="13" t="s">
        <v>146</v>
      </c>
      <c r="B903" s="13" t="s">
        <v>42</v>
      </c>
      <c r="C903" s="13" t="n">
        <v>31900</v>
      </c>
      <c r="D903" s="13" t="n">
        <v>40</v>
      </c>
      <c r="E903" s="13" t="n">
        <v>740.717441860465</v>
      </c>
      <c r="F903" s="13" t="s">
        <v>5288</v>
      </c>
      <c r="G903" s="13" t="s">
        <v>5289</v>
      </c>
      <c r="H903" s="13" t="s">
        <v>5289</v>
      </c>
      <c r="I903" s="13" t="s">
        <v>5289</v>
      </c>
      <c r="J903" s="13" t="s">
        <v>5289</v>
      </c>
      <c r="K903" s="13" t="s">
        <v>5289</v>
      </c>
      <c r="L903" s="13" t="s">
        <v>5661</v>
      </c>
      <c r="M903" s="13"/>
      <c r="N903" s="13" t="n">
        <v>8.41106110193384E+025</v>
      </c>
      <c r="O903" s="13"/>
      <c r="P903" s="13" t="s">
        <v>5291</v>
      </c>
      <c r="Q903" s="13" t="s">
        <v>5289</v>
      </c>
      <c r="R903" s="13" t="s">
        <v>5292</v>
      </c>
      <c r="S903" s="13" t="s">
        <v>5293</v>
      </c>
      <c r="T903" s="13" t="s">
        <v>4</v>
      </c>
      <c r="U903" s="13" t="s">
        <v>43</v>
      </c>
      <c r="V903" s="13" t="n">
        <f aca="false">IF(COUNTIF($B$2:B903,B903)=1,1,0)</f>
        <v>0</v>
      </c>
      <c r="W903" s="13" t="n">
        <f aca="false">IF(COUNTIFS($B$2:B903,B903,$T$2:T903,T903)=1,1,0)</f>
        <v>0</v>
      </c>
    </row>
    <row r="904" customFormat="false" ht="15" hidden="false" customHeight="false" outlineLevel="0" collapsed="false">
      <c r="A904" s="13" t="s">
        <v>148</v>
      </c>
      <c r="B904" s="13" t="s">
        <v>50</v>
      </c>
      <c r="C904" s="13" t="n">
        <v>31400</v>
      </c>
      <c r="D904" s="13" t="n">
        <v>60</v>
      </c>
      <c r="E904" s="13" t="n">
        <v>505.70064516129</v>
      </c>
      <c r="F904" s="13" t="s">
        <v>5325</v>
      </c>
      <c r="G904" s="13" t="s">
        <v>5289</v>
      </c>
      <c r="H904" s="13" t="s">
        <v>5289</v>
      </c>
      <c r="I904" s="13" t="s">
        <v>5289</v>
      </c>
      <c r="J904" s="13" t="s">
        <v>5289</v>
      </c>
      <c r="K904" s="13" t="s">
        <v>5289</v>
      </c>
      <c r="L904" s="13" t="s">
        <v>5656</v>
      </c>
      <c r="M904" s="13"/>
      <c r="N904" s="13" t="n">
        <v>3349666007921</v>
      </c>
      <c r="O904" s="13"/>
      <c r="P904" s="13" t="s">
        <v>5291</v>
      </c>
      <c r="Q904" s="13" t="s">
        <v>5289</v>
      </c>
      <c r="R904" s="13" t="s">
        <v>5292</v>
      </c>
      <c r="S904" s="13" t="s">
        <v>5293</v>
      </c>
      <c r="T904" s="13" t="s">
        <v>4</v>
      </c>
      <c r="U904" s="13" t="s">
        <v>43</v>
      </c>
      <c r="V904" s="13" t="n">
        <f aca="false">IF(COUNTIF($B$2:B904,B904)=1,1,0)</f>
        <v>0</v>
      </c>
      <c r="W904" s="13" t="n">
        <f aca="false">IF(COUNTIFS($B$2:B904,B904,$T$2:T904,T904)=1,1,0)</f>
        <v>0</v>
      </c>
    </row>
    <row r="905" customFormat="false" ht="15" hidden="false" customHeight="false" outlineLevel="0" collapsed="false">
      <c r="A905" s="13" t="s">
        <v>49</v>
      </c>
      <c r="B905" s="13" t="s">
        <v>45</v>
      </c>
      <c r="C905" s="13" t="n">
        <v>31200</v>
      </c>
      <c r="D905" s="13" t="n">
        <v>40</v>
      </c>
      <c r="E905" s="13" t="n">
        <v>844.503783783784</v>
      </c>
      <c r="F905" s="13" t="s">
        <v>5288</v>
      </c>
      <c r="G905" s="13" t="s">
        <v>5289</v>
      </c>
      <c r="H905" s="13" t="s">
        <v>5289</v>
      </c>
      <c r="I905" s="13" t="s">
        <v>5289</v>
      </c>
      <c r="J905" s="13" t="s">
        <v>5289</v>
      </c>
      <c r="K905" s="13" t="s">
        <v>5289</v>
      </c>
      <c r="L905" s="13" t="s">
        <v>5662</v>
      </c>
      <c r="M905" s="13"/>
      <c r="N905" s="13" t="n">
        <v>8435415032360</v>
      </c>
      <c r="O905" s="13"/>
      <c r="P905" s="13" t="s">
        <v>5291</v>
      </c>
      <c r="Q905" s="13" t="s">
        <v>5289</v>
      </c>
      <c r="R905" s="13" t="s">
        <v>5292</v>
      </c>
      <c r="S905" s="13" t="s">
        <v>5293</v>
      </c>
      <c r="T905" s="13" t="s">
        <v>4</v>
      </c>
      <c r="U905" s="13" t="s">
        <v>43</v>
      </c>
      <c r="V905" s="13" t="n">
        <f aca="false">IF(COUNTIF($B$2:B905,B905)=1,1,0)</f>
        <v>1</v>
      </c>
      <c r="W905" s="13" t="n">
        <f aca="false">IF(COUNTIFS($B$2:B905,B905,$T$2:T905,T905)=1,1,0)</f>
        <v>1</v>
      </c>
    </row>
    <row r="906" customFormat="false" ht="15" hidden="false" customHeight="false" outlineLevel="0" collapsed="false">
      <c r="A906" s="13" t="s">
        <v>64</v>
      </c>
      <c r="B906" s="13" t="s">
        <v>50</v>
      </c>
      <c r="C906" s="13" t="n">
        <v>30500</v>
      </c>
      <c r="D906" s="13" t="n">
        <v>40</v>
      </c>
      <c r="E906" s="13" t="n">
        <v>781.110256410256</v>
      </c>
      <c r="F906" s="13" t="s">
        <v>5288</v>
      </c>
      <c r="G906" s="13" t="s">
        <v>5292</v>
      </c>
      <c r="H906" s="13" t="s">
        <v>5289</v>
      </c>
      <c r="I906" s="13" t="s">
        <v>5289</v>
      </c>
      <c r="J906" s="13" t="s">
        <v>5289</v>
      </c>
      <c r="K906" s="13" t="s">
        <v>5289</v>
      </c>
      <c r="L906" s="13" t="s">
        <v>5663</v>
      </c>
      <c r="M906" s="13"/>
      <c r="N906" s="13" t="n">
        <v>3349668614530</v>
      </c>
      <c r="O906" s="13"/>
      <c r="P906" s="13" t="s">
        <v>5291</v>
      </c>
      <c r="Q906" s="13" t="s">
        <v>5289</v>
      </c>
      <c r="R906" s="13" t="s">
        <v>5292</v>
      </c>
      <c r="S906" s="13" t="s">
        <v>5293</v>
      </c>
      <c r="T906" s="13" t="s">
        <v>4</v>
      </c>
      <c r="U906" s="13" t="s">
        <v>43</v>
      </c>
      <c r="V906" s="13" t="n">
        <f aca="false">IF(COUNTIF($B$2:B906,B906)=1,1,0)</f>
        <v>0</v>
      </c>
      <c r="W906" s="13" t="n">
        <f aca="false">IF(COUNTIFS($B$2:B906,B906,$T$2:T906,T906)=1,1,0)</f>
        <v>0</v>
      </c>
    </row>
    <row r="907" customFormat="false" ht="15" hidden="false" customHeight="false" outlineLevel="0" collapsed="false">
      <c r="A907" s="13" t="s">
        <v>162</v>
      </c>
      <c r="B907" s="13" t="s">
        <v>161</v>
      </c>
      <c r="C907" s="13" t="n">
        <v>29800</v>
      </c>
      <c r="D907" s="13" t="n">
        <v>100</v>
      </c>
      <c r="E907" s="13" t="n">
        <v>303.675918367347</v>
      </c>
      <c r="F907" s="13" t="s">
        <v>5288</v>
      </c>
      <c r="G907" s="13" t="s">
        <v>5289</v>
      </c>
      <c r="H907" s="13" t="s">
        <v>5289</v>
      </c>
      <c r="I907" s="13" t="s">
        <v>5289</v>
      </c>
      <c r="J907" s="13" t="s">
        <v>5289</v>
      </c>
      <c r="K907" s="13" t="s">
        <v>5289</v>
      </c>
      <c r="L907" s="13" t="s">
        <v>5664</v>
      </c>
      <c r="M907" s="13"/>
      <c r="N907" s="13" t="n">
        <v>3355991005174</v>
      </c>
      <c r="O907" s="13"/>
      <c r="P907" s="13" t="s">
        <v>5291</v>
      </c>
      <c r="Q907" s="13" t="s">
        <v>5289</v>
      </c>
      <c r="R907" s="13" t="s">
        <v>5292</v>
      </c>
      <c r="S907" s="13" t="s">
        <v>5293</v>
      </c>
      <c r="T907" s="13" t="s">
        <v>4</v>
      </c>
      <c r="U907" s="13" t="s">
        <v>43</v>
      </c>
      <c r="V907" s="13" t="n">
        <f aca="false">IF(COUNTIF($B$2:B907,B907)=1,1,0)</f>
        <v>0</v>
      </c>
      <c r="W907" s="13" t="n">
        <f aca="false">IF(COUNTIFS($B$2:B907,B907,$T$2:T907,T907)=1,1,0)</f>
        <v>1</v>
      </c>
    </row>
    <row r="908" customFormat="false" ht="15" hidden="false" customHeight="false" outlineLevel="0" collapsed="false">
      <c r="A908" s="13" t="s">
        <v>172</v>
      </c>
      <c r="B908" s="13" t="s">
        <v>50</v>
      </c>
      <c r="C908" s="13" t="n">
        <v>28700</v>
      </c>
      <c r="D908" s="13" t="n">
        <v>60</v>
      </c>
      <c r="E908" s="13" t="n">
        <v>512.445357142857</v>
      </c>
      <c r="F908" s="13" t="s">
        <v>5288</v>
      </c>
      <c r="G908" s="13" t="s">
        <v>5289</v>
      </c>
      <c r="H908" s="13" t="s">
        <v>5289</v>
      </c>
      <c r="I908" s="13" t="s">
        <v>5289</v>
      </c>
      <c r="J908" s="13" t="s">
        <v>5289</v>
      </c>
      <c r="K908" s="13" t="s">
        <v>5289</v>
      </c>
      <c r="L908" s="13" t="s">
        <v>5665</v>
      </c>
      <c r="M908" s="13"/>
      <c r="N908" s="13" t="n">
        <v>3349668515660</v>
      </c>
      <c r="O908" s="13"/>
      <c r="P908" s="13" t="s">
        <v>5297</v>
      </c>
      <c r="Q908" s="13" t="s">
        <v>5289</v>
      </c>
      <c r="R908" s="13" t="s">
        <v>5292</v>
      </c>
      <c r="S908" s="13" t="s">
        <v>5293</v>
      </c>
      <c r="T908" s="13" t="s">
        <v>4</v>
      </c>
      <c r="U908" s="13" t="s">
        <v>43</v>
      </c>
      <c r="V908" s="13" t="n">
        <f aca="false">IF(COUNTIF($B$2:B908,B908)=1,1,0)</f>
        <v>0</v>
      </c>
      <c r="W908" s="13" t="n">
        <f aca="false">IF(COUNTIFS($B$2:B908,B908,$T$2:T908,T908)=1,1,0)</f>
        <v>0</v>
      </c>
    </row>
    <row r="909" customFormat="false" ht="15" hidden="false" customHeight="false" outlineLevel="0" collapsed="false">
      <c r="A909" s="13" t="s">
        <v>174</v>
      </c>
      <c r="B909" s="13" t="s">
        <v>161</v>
      </c>
      <c r="C909" s="13" t="n">
        <v>28300</v>
      </c>
      <c r="D909" s="13" t="n">
        <v>100</v>
      </c>
      <c r="E909" s="13" t="n">
        <v>294.300833333333</v>
      </c>
      <c r="F909" s="13" t="s">
        <v>5325</v>
      </c>
      <c r="G909" s="13" t="s">
        <v>5289</v>
      </c>
      <c r="H909" s="13" t="s">
        <v>5292</v>
      </c>
      <c r="I909" s="13" t="s">
        <v>5289</v>
      </c>
      <c r="J909" s="13" t="s">
        <v>5289</v>
      </c>
      <c r="K909" s="13" t="s">
        <v>5289</v>
      </c>
      <c r="L909" s="13" t="s">
        <v>5666</v>
      </c>
      <c r="M909" s="13"/>
      <c r="N909" s="13" t="n">
        <v>3355991002319</v>
      </c>
      <c r="O909" s="13"/>
      <c r="P909" s="13" t="s">
        <v>5291</v>
      </c>
      <c r="Q909" s="13" t="s">
        <v>5289</v>
      </c>
      <c r="R909" s="13" t="s">
        <v>5292</v>
      </c>
      <c r="S909" s="13" t="s">
        <v>5293</v>
      </c>
      <c r="T909" s="13" t="s">
        <v>4</v>
      </c>
      <c r="U909" s="13" t="s">
        <v>43</v>
      </c>
      <c r="V909" s="13" t="n">
        <f aca="false">IF(COUNTIF($B$2:B909,B909)=1,1,0)</f>
        <v>0</v>
      </c>
      <c r="W909" s="13" t="n">
        <f aca="false">IF(COUNTIFS($B$2:B909,B909,$T$2:T909,T909)=1,1,0)</f>
        <v>0</v>
      </c>
    </row>
    <row r="910" customFormat="false" ht="15" hidden="false" customHeight="false" outlineLevel="0" collapsed="false">
      <c r="A910" s="13" t="s">
        <v>185</v>
      </c>
      <c r="B910" s="13" t="s">
        <v>50</v>
      </c>
      <c r="C910" s="13" t="n">
        <v>27500</v>
      </c>
      <c r="D910" s="13" t="n">
        <v>30</v>
      </c>
      <c r="E910" s="13" t="n">
        <v>948.27</v>
      </c>
      <c r="F910" s="13" t="s">
        <v>5325</v>
      </c>
      <c r="G910" s="13" t="s">
        <v>5289</v>
      </c>
      <c r="H910" s="13" t="s">
        <v>5289</v>
      </c>
      <c r="I910" s="13" t="s">
        <v>5289</v>
      </c>
      <c r="J910" s="13" t="s">
        <v>5289</v>
      </c>
      <c r="K910" s="13" t="s">
        <v>5289</v>
      </c>
      <c r="L910" s="13" t="s">
        <v>5667</v>
      </c>
      <c r="M910" s="13"/>
      <c r="N910" s="13" t="n">
        <v>3349668600298</v>
      </c>
      <c r="O910" s="13"/>
      <c r="P910" s="13" t="s">
        <v>5297</v>
      </c>
      <c r="Q910" s="13" t="s">
        <v>5289</v>
      </c>
      <c r="R910" s="13" t="s">
        <v>5292</v>
      </c>
      <c r="S910" s="13" t="s">
        <v>5293</v>
      </c>
      <c r="T910" s="13" t="s">
        <v>4</v>
      </c>
      <c r="U910" s="13" t="s">
        <v>43</v>
      </c>
      <c r="V910" s="13" t="n">
        <f aca="false">IF(COUNTIF($B$2:B910,B910)=1,1,0)</f>
        <v>0</v>
      </c>
      <c r="W910" s="13" t="n">
        <f aca="false">IF(COUNTIFS($B$2:B910,B910,$T$2:T910,T910)=1,1,0)</f>
        <v>0</v>
      </c>
    </row>
    <row r="911" customFormat="false" ht="15" hidden="false" customHeight="false" outlineLevel="0" collapsed="false">
      <c r="A911" s="13" t="s">
        <v>201</v>
      </c>
      <c r="B911" s="13" t="s">
        <v>161</v>
      </c>
      <c r="C911" s="13" t="n">
        <v>25600</v>
      </c>
      <c r="D911" s="13" t="n">
        <v>70</v>
      </c>
      <c r="E911" s="13" t="n">
        <v>387.551818181818</v>
      </c>
      <c r="F911" s="13" t="s">
        <v>5325</v>
      </c>
      <c r="G911" s="13" t="s">
        <v>5289</v>
      </c>
      <c r="H911" s="13" t="s">
        <v>5292</v>
      </c>
      <c r="I911" s="13" t="s">
        <v>5289</v>
      </c>
      <c r="J911" s="13" t="s">
        <v>5289</v>
      </c>
      <c r="K911" s="13" t="s">
        <v>5289</v>
      </c>
      <c r="L911" s="13" t="s">
        <v>5668</v>
      </c>
      <c r="M911" s="13"/>
      <c r="N911" s="13" t="n">
        <v>3355991004672</v>
      </c>
      <c r="O911" s="13"/>
      <c r="P911" s="13" t="s">
        <v>5291</v>
      </c>
      <c r="Q911" s="13" t="s">
        <v>5289</v>
      </c>
      <c r="R911" s="13" t="s">
        <v>5292</v>
      </c>
      <c r="S911" s="13" t="s">
        <v>5293</v>
      </c>
      <c r="T911" s="13" t="s">
        <v>4</v>
      </c>
      <c r="U911" s="13" t="s">
        <v>43</v>
      </c>
      <c r="V911" s="13" t="n">
        <f aca="false">IF(COUNTIF($B$2:B911,B911)=1,1,0)</f>
        <v>0</v>
      </c>
      <c r="W911" s="13" t="n">
        <f aca="false">IF(COUNTIFS($B$2:B911,B911,$T$2:T911,T911)=1,1,0)</f>
        <v>0</v>
      </c>
    </row>
    <row r="912" customFormat="false" ht="15" hidden="false" customHeight="false" outlineLevel="0" collapsed="false">
      <c r="A912" s="13" t="s">
        <v>172</v>
      </c>
      <c r="B912" s="13" t="s">
        <v>50</v>
      </c>
      <c r="C912" s="13" t="n">
        <v>25500</v>
      </c>
      <c r="D912" s="13" t="n">
        <v>50</v>
      </c>
      <c r="E912" s="13" t="n">
        <v>555.308695652174</v>
      </c>
      <c r="F912" s="13" t="s">
        <v>5325</v>
      </c>
      <c r="G912" s="13" t="s">
        <v>5289</v>
      </c>
      <c r="H912" s="13" t="s">
        <v>5289</v>
      </c>
      <c r="I912" s="13" t="s">
        <v>5289</v>
      </c>
      <c r="J912" s="13" t="s">
        <v>5289</v>
      </c>
      <c r="K912" s="13" t="s">
        <v>5289</v>
      </c>
      <c r="L912" s="13" t="s">
        <v>5665</v>
      </c>
      <c r="M912" s="13"/>
      <c r="N912" s="13" t="n">
        <v>3349668515660</v>
      </c>
      <c r="O912" s="13"/>
      <c r="P912" s="13" t="s">
        <v>5291</v>
      </c>
      <c r="Q912" s="13" t="s">
        <v>5289</v>
      </c>
      <c r="R912" s="13" t="s">
        <v>5292</v>
      </c>
      <c r="S912" s="13" t="s">
        <v>5293</v>
      </c>
      <c r="T912" s="13" t="s">
        <v>4</v>
      </c>
      <c r="U912" s="13" t="s">
        <v>43</v>
      </c>
      <c r="V912" s="13" t="n">
        <f aca="false">IF(COUNTIF($B$2:B912,B912)=1,1,0)</f>
        <v>0</v>
      </c>
      <c r="W912" s="13" t="n">
        <f aca="false">IF(COUNTIFS($B$2:B912,B912,$T$2:T912,T912)=1,1,0)</f>
        <v>0</v>
      </c>
    </row>
    <row r="913" customFormat="false" ht="15" hidden="false" customHeight="false" outlineLevel="0" collapsed="false">
      <c r="A913" s="13" t="s">
        <v>209</v>
      </c>
      <c r="B913" s="13" t="s">
        <v>42</v>
      </c>
      <c r="C913" s="13" t="n">
        <v>24700</v>
      </c>
      <c r="D913" s="13" t="n">
        <v>40</v>
      </c>
      <c r="E913" s="13" t="n">
        <v>687.27</v>
      </c>
      <c r="F913" s="13" t="s">
        <v>5325</v>
      </c>
      <c r="G913" s="13" t="s">
        <v>5289</v>
      </c>
      <c r="H913" s="13" t="s">
        <v>5289</v>
      </c>
      <c r="I913" s="13" t="s">
        <v>5289</v>
      </c>
      <c r="J913" s="13" t="s">
        <v>5289</v>
      </c>
      <c r="K913" s="13" t="s">
        <v>5289</v>
      </c>
      <c r="L913" s="13" t="s">
        <v>5669</v>
      </c>
      <c r="M913" s="13"/>
      <c r="N913" s="13" t="n">
        <v>8411061088166</v>
      </c>
      <c r="O913" s="13"/>
      <c r="P913" s="13" t="s">
        <v>5291</v>
      </c>
      <c r="Q913" s="13" t="s">
        <v>5289</v>
      </c>
      <c r="R913" s="13" t="s">
        <v>5292</v>
      </c>
      <c r="S913" s="13" t="s">
        <v>5293</v>
      </c>
      <c r="T913" s="13" t="s">
        <v>4</v>
      </c>
      <c r="U913" s="13" t="s">
        <v>43</v>
      </c>
      <c r="V913" s="13" t="n">
        <f aca="false">IF(COUNTIF($B$2:B913,B913)=1,1,0)</f>
        <v>0</v>
      </c>
      <c r="W913" s="13" t="n">
        <f aca="false">IF(COUNTIFS($B$2:B913,B913,$T$2:T913,T913)=1,1,0)</f>
        <v>0</v>
      </c>
    </row>
    <row r="914" customFormat="false" ht="15" hidden="false" customHeight="false" outlineLevel="0" collapsed="false">
      <c r="A914" s="13" t="s">
        <v>213</v>
      </c>
      <c r="B914" s="13" t="s">
        <v>42</v>
      </c>
      <c r="C914" s="13" t="n">
        <v>24200</v>
      </c>
      <c r="D914" s="13" t="n">
        <v>40</v>
      </c>
      <c r="E914" s="13" t="n">
        <v>691.249142857143</v>
      </c>
      <c r="F914" s="13" t="s">
        <v>5288</v>
      </c>
      <c r="G914" s="13" t="s">
        <v>5289</v>
      </c>
      <c r="H914" s="13" t="s">
        <v>5289</v>
      </c>
      <c r="I914" s="13" t="s">
        <v>5289</v>
      </c>
      <c r="J914" s="13" t="s">
        <v>5289</v>
      </c>
      <c r="K914" s="13" t="s">
        <v>5289</v>
      </c>
      <c r="L914" s="13" t="s">
        <v>5670</v>
      </c>
      <c r="M914" s="13"/>
      <c r="N914" s="13" t="n">
        <v>8411061088173</v>
      </c>
      <c r="O914" s="13"/>
      <c r="P914" s="13" t="s">
        <v>5291</v>
      </c>
      <c r="Q914" s="13" t="s">
        <v>5289</v>
      </c>
      <c r="R914" s="13" t="s">
        <v>5292</v>
      </c>
      <c r="S914" s="13" t="s">
        <v>5293</v>
      </c>
      <c r="T914" s="13" t="s">
        <v>4</v>
      </c>
      <c r="U914" s="13" t="s">
        <v>43</v>
      </c>
      <c r="V914" s="13" t="n">
        <f aca="false">IF(COUNTIF($B$2:B914,B914)=1,1,0)</f>
        <v>0</v>
      </c>
      <c r="W914" s="13" t="n">
        <f aca="false">IF(COUNTIFS($B$2:B914,B914,$T$2:T914,T914)=1,1,0)</f>
        <v>0</v>
      </c>
    </row>
    <row r="915" customFormat="false" ht="15" hidden="false" customHeight="false" outlineLevel="0" collapsed="false">
      <c r="A915" s="13" t="s">
        <v>217</v>
      </c>
      <c r="B915" s="13" t="s">
        <v>186</v>
      </c>
      <c r="C915" s="13" t="n">
        <v>23100</v>
      </c>
      <c r="D915" s="13" t="n">
        <v>50</v>
      </c>
      <c r="E915" s="13" t="n">
        <v>472.167346938776</v>
      </c>
      <c r="F915" s="13" t="s">
        <v>5288</v>
      </c>
      <c r="G915" s="13" t="s">
        <v>5289</v>
      </c>
      <c r="H915" s="13" t="s">
        <v>5292</v>
      </c>
      <c r="I915" s="13" t="s">
        <v>5289</v>
      </c>
      <c r="J915" s="13" t="s">
        <v>5289</v>
      </c>
      <c r="K915" s="13" t="s">
        <v>5289</v>
      </c>
      <c r="L915" s="13" t="s">
        <v>5671</v>
      </c>
      <c r="M915" s="13"/>
      <c r="N915" s="13" t="n">
        <v>88300162505</v>
      </c>
      <c r="O915" s="13"/>
      <c r="P915" s="13" t="s">
        <v>5291</v>
      </c>
      <c r="Q915" s="13" t="s">
        <v>5289</v>
      </c>
      <c r="R915" s="13" t="s">
        <v>5292</v>
      </c>
      <c r="S915" s="13" t="s">
        <v>5293</v>
      </c>
      <c r="T915" s="13" t="s">
        <v>4</v>
      </c>
      <c r="U915" s="13" t="s">
        <v>43</v>
      </c>
      <c r="V915" s="13" t="n">
        <f aca="false">IF(COUNTIF($B$2:B915,B915)=1,1,0)</f>
        <v>0</v>
      </c>
      <c r="W915" s="13" t="n">
        <f aca="false">IF(COUNTIFS($B$2:B915,B915,$T$2:T915,T915)=1,1,0)</f>
        <v>1</v>
      </c>
    </row>
    <row r="916" customFormat="false" ht="15" hidden="false" customHeight="false" outlineLevel="0" collapsed="false">
      <c r="A916" s="13" t="s">
        <v>225</v>
      </c>
      <c r="B916" s="13" t="s">
        <v>50</v>
      </c>
      <c r="C916" s="13" t="n">
        <v>22200</v>
      </c>
      <c r="D916" s="13" t="n">
        <v>30</v>
      </c>
      <c r="E916" s="13" t="n">
        <v>764.15</v>
      </c>
      <c r="F916" s="13" t="s">
        <v>5288</v>
      </c>
      <c r="G916" s="13" t="s">
        <v>5289</v>
      </c>
      <c r="H916" s="13" t="s">
        <v>5289</v>
      </c>
      <c r="I916" s="13" t="s">
        <v>5289</v>
      </c>
      <c r="J916" s="13" t="s">
        <v>5289</v>
      </c>
      <c r="K916" s="13" t="s">
        <v>5289</v>
      </c>
      <c r="L916" s="13" t="s">
        <v>5672</v>
      </c>
      <c r="M916" s="13"/>
      <c r="N916" s="13" t="n">
        <v>3349668600304</v>
      </c>
      <c r="O916" s="13"/>
      <c r="P916" s="13" t="s">
        <v>5291</v>
      </c>
      <c r="Q916" s="13" t="s">
        <v>5289</v>
      </c>
      <c r="R916" s="13" t="s">
        <v>5292</v>
      </c>
      <c r="S916" s="13" t="s">
        <v>5293</v>
      </c>
      <c r="T916" s="13" t="s">
        <v>4</v>
      </c>
      <c r="U916" s="13" t="s">
        <v>43</v>
      </c>
      <c r="V916" s="13" t="n">
        <f aca="false">IF(COUNTIF($B$2:B916,B916)=1,1,0)</f>
        <v>0</v>
      </c>
      <c r="W916" s="13" t="n">
        <f aca="false">IF(COUNTIFS($B$2:B916,B916,$T$2:T916,T916)=1,1,0)</f>
        <v>0</v>
      </c>
    </row>
    <row r="917" customFormat="false" ht="15" hidden="false" customHeight="false" outlineLevel="0" collapsed="false">
      <c r="A917" s="13" t="s">
        <v>240</v>
      </c>
      <c r="B917" s="13" t="s">
        <v>42</v>
      </c>
      <c r="C917" s="13" t="n">
        <v>20000</v>
      </c>
      <c r="D917" s="13" t="n">
        <v>30</v>
      </c>
      <c r="E917" s="13" t="n">
        <v>625.908125</v>
      </c>
      <c r="F917" s="13" t="s">
        <v>5288</v>
      </c>
      <c r="G917" s="13" t="s">
        <v>5289</v>
      </c>
      <c r="H917" s="13" t="s">
        <v>5289</v>
      </c>
      <c r="I917" s="13" t="s">
        <v>5289</v>
      </c>
      <c r="J917" s="13" t="s">
        <v>5289</v>
      </c>
      <c r="K917" s="13" t="s">
        <v>5289</v>
      </c>
      <c r="L917" s="13" t="s">
        <v>5673</v>
      </c>
      <c r="M917" s="13"/>
      <c r="N917" s="13" t="n">
        <v>8411061122488</v>
      </c>
      <c r="O917" s="13"/>
      <c r="P917" s="13" t="s">
        <v>5291</v>
      </c>
      <c r="Q917" s="13" t="s">
        <v>5289</v>
      </c>
      <c r="R917" s="13" t="s">
        <v>5292</v>
      </c>
      <c r="S917" s="13" t="s">
        <v>5293</v>
      </c>
      <c r="T917" s="13" t="s">
        <v>4</v>
      </c>
      <c r="U917" s="13" t="s">
        <v>43</v>
      </c>
      <c r="V917" s="13" t="n">
        <f aca="false">IF(COUNTIF($B$2:B917,B917)=1,1,0)</f>
        <v>0</v>
      </c>
      <c r="W917" s="13" t="n">
        <f aca="false">IF(COUNTIFS($B$2:B917,B917,$T$2:T917,T917)=1,1,0)</f>
        <v>0</v>
      </c>
    </row>
    <row r="918" customFormat="false" ht="15" hidden="false" customHeight="false" outlineLevel="0" collapsed="false">
      <c r="A918" s="13" t="s">
        <v>242</v>
      </c>
      <c r="B918" s="13" t="s">
        <v>42</v>
      </c>
      <c r="C918" s="13" t="n">
        <v>19900</v>
      </c>
      <c r="D918" s="13" t="n">
        <v>30</v>
      </c>
      <c r="E918" s="13" t="n">
        <v>764.15</v>
      </c>
      <c r="F918" s="13" t="s">
        <v>5288</v>
      </c>
      <c r="G918" s="13" t="s">
        <v>5289</v>
      </c>
      <c r="H918" s="13" t="s">
        <v>5289</v>
      </c>
      <c r="I918" s="13" t="s">
        <v>5289</v>
      </c>
      <c r="J918" s="13" t="s">
        <v>5289</v>
      </c>
      <c r="K918" s="13" t="s">
        <v>5289</v>
      </c>
      <c r="L918" s="13" t="s">
        <v>5674</v>
      </c>
      <c r="M918" s="13"/>
      <c r="N918" s="13" t="n">
        <v>8411061067895</v>
      </c>
      <c r="O918" s="13"/>
      <c r="P918" s="13" t="s">
        <v>5291</v>
      </c>
      <c r="Q918" s="13" t="s">
        <v>5289</v>
      </c>
      <c r="R918" s="13" t="s">
        <v>5292</v>
      </c>
      <c r="S918" s="13" t="s">
        <v>5293</v>
      </c>
      <c r="T918" s="13" t="s">
        <v>4</v>
      </c>
      <c r="U918" s="13" t="s">
        <v>43</v>
      </c>
      <c r="V918" s="13" t="n">
        <f aca="false">IF(COUNTIF($B$2:B918,B918)=1,1,0)</f>
        <v>0</v>
      </c>
      <c r="W918" s="13" t="n">
        <f aca="false">IF(COUNTIFS($B$2:B918,B918,$T$2:T918,T918)=1,1,0)</f>
        <v>0</v>
      </c>
    </row>
    <row r="919" customFormat="false" ht="15" hidden="false" customHeight="false" outlineLevel="0" collapsed="false">
      <c r="A919" s="13" t="s">
        <v>247</v>
      </c>
      <c r="B919" s="13" t="s">
        <v>45</v>
      </c>
      <c r="C919" s="13" t="n">
        <v>19700</v>
      </c>
      <c r="D919" s="13" t="n">
        <v>30</v>
      </c>
      <c r="E919" s="13" t="n">
        <v>678.54</v>
      </c>
      <c r="F919" s="13" t="s">
        <v>5288</v>
      </c>
      <c r="G919" s="13" t="s">
        <v>5289</v>
      </c>
      <c r="H919" s="13" t="s">
        <v>5289</v>
      </c>
      <c r="I919" s="13" t="s">
        <v>5289</v>
      </c>
      <c r="J919" s="13" t="s">
        <v>5289</v>
      </c>
      <c r="K919" s="13" t="s">
        <v>5289</v>
      </c>
      <c r="L919" s="13" t="s">
        <v>5675</v>
      </c>
      <c r="M919" s="13"/>
      <c r="N919" s="13" t="n">
        <v>8435415012027</v>
      </c>
      <c r="O919" s="13"/>
      <c r="P919" s="13" t="s">
        <v>5291</v>
      </c>
      <c r="Q919" s="13" t="s">
        <v>5289</v>
      </c>
      <c r="R919" s="13" t="s">
        <v>5292</v>
      </c>
      <c r="S919" s="13" t="s">
        <v>5293</v>
      </c>
      <c r="T919" s="13" t="s">
        <v>4</v>
      </c>
      <c r="U919" s="13" t="s">
        <v>43</v>
      </c>
      <c r="V919" s="13" t="n">
        <f aca="false">IF(COUNTIF($B$2:B919,B919)=1,1,0)</f>
        <v>0</v>
      </c>
      <c r="W919" s="13" t="n">
        <f aca="false">IF(COUNTIFS($B$2:B919,B919,$T$2:T919,T919)=1,1,0)</f>
        <v>0</v>
      </c>
    </row>
    <row r="920" customFormat="false" ht="15" hidden="false" customHeight="false" outlineLevel="0" collapsed="false">
      <c r="A920" s="13" t="s">
        <v>265</v>
      </c>
      <c r="B920" s="13" t="s">
        <v>42</v>
      </c>
      <c r="C920" s="13" t="n">
        <v>17100</v>
      </c>
      <c r="D920" s="13" t="n">
        <v>20</v>
      </c>
      <c r="E920" s="13" t="n">
        <v>901.17</v>
      </c>
      <c r="F920" s="13" t="s">
        <v>5325</v>
      </c>
      <c r="G920" s="13" t="s">
        <v>5289</v>
      </c>
      <c r="H920" s="13" t="s">
        <v>5292</v>
      </c>
      <c r="I920" s="13" t="s">
        <v>5289</v>
      </c>
      <c r="J920" s="13" t="s">
        <v>5289</v>
      </c>
      <c r="K920" s="13" t="s">
        <v>5289</v>
      </c>
      <c r="L920" s="13" t="s">
        <v>5676</v>
      </c>
      <c r="M920" s="13"/>
      <c r="N920" s="13" t="n">
        <v>8411061134481</v>
      </c>
      <c r="O920" s="13"/>
      <c r="P920" s="13" t="s">
        <v>5291</v>
      </c>
      <c r="Q920" s="13" t="s">
        <v>5289</v>
      </c>
      <c r="R920" s="13" t="s">
        <v>5292</v>
      </c>
      <c r="S920" s="13" t="s">
        <v>5293</v>
      </c>
      <c r="T920" s="13" t="s">
        <v>4</v>
      </c>
      <c r="U920" s="13" t="s">
        <v>43</v>
      </c>
      <c r="V920" s="13" t="n">
        <f aca="false">IF(COUNTIF($B$2:B920,B920)=1,1,0)</f>
        <v>0</v>
      </c>
      <c r="W920" s="13" t="n">
        <f aca="false">IF(COUNTIFS($B$2:B920,B920,$T$2:T920,T920)=1,1,0)</f>
        <v>0</v>
      </c>
    </row>
    <row r="921" customFormat="false" ht="15" hidden="false" customHeight="false" outlineLevel="0" collapsed="false">
      <c r="A921" s="13" t="s">
        <v>273</v>
      </c>
      <c r="B921" s="13" t="s">
        <v>186</v>
      </c>
      <c r="C921" s="13" t="n">
        <v>16600</v>
      </c>
      <c r="D921" s="13" t="n">
        <v>40</v>
      </c>
      <c r="E921" s="13" t="n">
        <v>404.763170731707</v>
      </c>
      <c r="F921" s="13" t="s">
        <v>5288</v>
      </c>
      <c r="G921" s="13" t="s">
        <v>5289</v>
      </c>
      <c r="H921" s="13" t="s">
        <v>5292</v>
      </c>
      <c r="I921" s="13" t="s">
        <v>5289</v>
      </c>
      <c r="J921" s="13" t="s">
        <v>5289</v>
      </c>
      <c r="K921" s="13" t="s">
        <v>5289</v>
      </c>
      <c r="L921" s="13" t="s">
        <v>5677</v>
      </c>
      <c r="M921" s="13"/>
      <c r="N921" s="13" t="n">
        <v>88300107438</v>
      </c>
      <c r="O921" s="13"/>
      <c r="P921" s="13" t="s">
        <v>5291</v>
      </c>
      <c r="Q921" s="13" t="s">
        <v>5289</v>
      </c>
      <c r="R921" s="13" t="s">
        <v>5292</v>
      </c>
      <c r="S921" s="13" t="s">
        <v>5293</v>
      </c>
      <c r="T921" s="13" t="s">
        <v>4</v>
      </c>
      <c r="U921" s="13" t="s">
        <v>43</v>
      </c>
      <c r="V921" s="13" t="n">
        <f aca="false">IF(COUNTIF($B$2:B921,B921)=1,1,0)</f>
        <v>0</v>
      </c>
      <c r="W921" s="13" t="n">
        <f aca="false">IF(COUNTIFS($B$2:B921,B921,$T$2:T921,T921)=1,1,0)</f>
        <v>0</v>
      </c>
    </row>
    <row r="922" customFormat="false" ht="15" hidden="false" customHeight="false" outlineLevel="0" collapsed="false">
      <c r="A922" s="13" t="s">
        <v>276</v>
      </c>
      <c r="B922" s="13" t="s">
        <v>186</v>
      </c>
      <c r="C922" s="13" t="n">
        <v>16400</v>
      </c>
      <c r="D922" s="13" t="n">
        <v>40</v>
      </c>
      <c r="E922" s="13" t="n">
        <v>365.518666666667</v>
      </c>
      <c r="F922" s="13" t="s">
        <v>5288</v>
      </c>
      <c r="G922" s="13" t="s">
        <v>5289</v>
      </c>
      <c r="H922" s="13" t="s">
        <v>5292</v>
      </c>
      <c r="I922" s="13" t="s">
        <v>5289</v>
      </c>
      <c r="J922" s="13" t="s">
        <v>5289</v>
      </c>
      <c r="K922" s="13" t="s">
        <v>5289</v>
      </c>
      <c r="L922" s="13" t="s">
        <v>5678</v>
      </c>
      <c r="M922" s="13"/>
      <c r="N922" s="13" t="n">
        <v>3616303473396</v>
      </c>
      <c r="O922" s="13"/>
      <c r="P922" s="13" t="s">
        <v>5291</v>
      </c>
      <c r="Q922" s="13" t="s">
        <v>5289</v>
      </c>
      <c r="R922" s="13" t="s">
        <v>5292</v>
      </c>
      <c r="S922" s="13" t="s">
        <v>5293</v>
      </c>
      <c r="T922" s="13" t="s">
        <v>4</v>
      </c>
      <c r="U922" s="13" t="s">
        <v>43</v>
      </c>
      <c r="V922" s="13" t="n">
        <f aca="false">IF(COUNTIF($B$2:B922,B922)=1,1,0)</f>
        <v>0</v>
      </c>
      <c r="W922" s="13" t="n">
        <f aca="false">IF(COUNTIFS($B$2:B922,B922,$T$2:T922,T922)=1,1,0)</f>
        <v>0</v>
      </c>
    </row>
    <row r="923" customFormat="false" ht="15" hidden="false" customHeight="false" outlineLevel="0" collapsed="false">
      <c r="A923" s="13" t="s">
        <v>284</v>
      </c>
      <c r="B923" s="13" t="s">
        <v>42</v>
      </c>
      <c r="C923" s="13" t="n">
        <v>15600</v>
      </c>
      <c r="D923" s="13" t="n">
        <v>20</v>
      </c>
      <c r="E923" s="13" t="n">
        <v>678.54</v>
      </c>
      <c r="F923" s="13" t="s">
        <v>5288</v>
      </c>
      <c r="G923" s="13" t="s">
        <v>5289</v>
      </c>
      <c r="H923" s="13" t="s">
        <v>5289</v>
      </c>
      <c r="I923" s="13" t="s">
        <v>5289</v>
      </c>
      <c r="J923" s="13" t="s">
        <v>5289</v>
      </c>
      <c r="K923" s="13" t="s">
        <v>5289</v>
      </c>
      <c r="L923" s="13" t="s">
        <v>5679</v>
      </c>
      <c r="M923" s="13"/>
      <c r="N923" s="13" t="n">
        <v>8411061099728</v>
      </c>
      <c r="O923" s="13"/>
      <c r="P923" s="13" t="s">
        <v>5291</v>
      </c>
      <c r="Q923" s="13" t="s">
        <v>5289</v>
      </c>
      <c r="R923" s="13" t="s">
        <v>5292</v>
      </c>
      <c r="S923" s="13" t="s">
        <v>5293</v>
      </c>
      <c r="T923" s="13" t="s">
        <v>4</v>
      </c>
      <c r="U923" s="13" t="s">
        <v>43</v>
      </c>
      <c r="V923" s="13" t="n">
        <f aca="false">IF(COUNTIF($B$2:B923,B923)=1,1,0)</f>
        <v>0</v>
      </c>
      <c r="W923" s="13" t="n">
        <f aca="false">IF(COUNTIFS($B$2:B923,B923,$T$2:T923,T923)=1,1,0)</f>
        <v>0</v>
      </c>
    </row>
    <row r="924" customFormat="false" ht="15" hidden="false" customHeight="false" outlineLevel="0" collapsed="false">
      <c r="A924" s="13" t="s">
        <v>287</v>
      </c>
      <c r="B924" s="13" t="s">
        <v>286</v>
      </c>
      <c r="C924" s="13" t="n">
        <v>15500</v>
      </c>
      <c r="D924" s="13" t="n">
        <v>60</v>
      </c>
      <c r="E924" s="13" t="n">
        <v>246.654920634921</v>
      </c>
      <c r="F924" s="13" t="s">
        <v>5288</v>
      </c>
      <c r="G924" s="13" t="s">
        <v>5289</v>
      </c>
      <c r="H924" s="13" t="s">
        <v>5292</v>
      </c>
      <c r="I924" s="13" t="s">
        <v>5289</v>
      </c>
      <c r="J924" s="13" t="s">
        <v>5289</v>
      </c>
      <c r="K924" s="13" t="s">
        <v>5289</v>
      </c>
      <c r="L924" s="13" t="s">
        <v>5680</v>
      </c>
      <c r="M924" s="13"/>
      <c r="N924" s="13" t="n">
        <v>6085010094991</v>
      </c>
      <c r="O924" s="13"/>
      <c r="P924" s="13" t="s">
        <v>5291</v>
      </c>
      <c r="Q924" s="13" t="s">
        <v>5289</v>
      </c>
      <c r="R924" s="13" t="s">
        <v>5292</v>
      </c>
      <c r="S924" s="13" t="s">
        <v>5293</v>
      </c>
      <c r="T924" s="13" t="s">
        <v>4</v>
      </c>
      <c r="U924" s="13" t="s">
        <v>43</v>
      </c>
      <c r="V924" s="13" t="n">
        <f aca="false">IF(COUNTIF($B$2:B924,B924)=1,1,0)</f>
        <v>0</v>
      </c>
      <c r="W924" s="13" t="n">
        <f aca="false">IF(COUNTIFS($B$2:B924,B924,$T$2:T924,T924)=1,1,0)</f>
        <v>1</v>
      </c>
    </row>
    <row r="925" customFormat="false" ht="15" hidden="false" customHeight="false" outlineLevel="0" collapsed="false">
      <c r="A925" s="13" t="s">
        <v>288</v>
      </c>
      <c r="B925" s="13" t="s">
        <v>105</v>
      </c>
      <c r="C925" s="13" t="n">
        <v>15300</v>
      </c>
      <c r="D925" s="13" t="n">
        <v>20</v>
      </c>
      <c r="E925" s="13" t="n">
        <v>612.7296</v>
      </c>
      <c r="F925" s="13" t="s">
        <v>5288</v>
      </c>
      <c r="G925" s="13" t="s">
        <v>5289</v>
      </c>
      <c r="H925" s="13" t="s">
        <v>5292</v>
      </c>
      <c r="I925" s="13" t="s">
        <v>5289</v>
      </c>
      <c r="J925" s="13" t="s">
        <v>5289</v>
      </c>
      <c r="K925" s="13" t="s">
        <v>5289</v>
      </c>
      <c r="L925" s="13" t="s">
        <v>5681</v>
      </c>
      <c r="M925" s="13"/>
      <c r="N925" s="13" t="n">
        <v>737052189765</v>
      </c>
      <c r="O925" s="13"/>
      <c r="P925" s="13" t="s">
        <v>5291</v>
      </c>
      <c r="Q925" s="13" t="s">
        <v>5289</v>
      </c>
      <c r="R925" s="13" t="s">
        <v>5292</v>
      </c>
      <c r="S925" s="13" t="s">
        <v>5293</v>
      </c>
      <c r="T925" s="13" t="s">
        <v>4</v>
      </c>
      <c r="U925" s="13" t="s">
        <v>43</v>
      </c>
      <c r="V925" s="13" t="n">
        <f aca="false">IF(COUNTIF($B$2:B925,B925)=1,1,0)</f>
        <v>0</v>
      </c>
      <c r="W925" s="13" t="n">
        <f aca="false">IF(COUNTIFS($B$2:B925,B925,$T$2:T925,T925)=1,1,0)</f>
        <v>1</v>
      </c>
    </row>
    <row r="926" customFormat="false" ht="15" hidden="false" customHeight="false" outlineLevel="0" collapsed="false">
      <c r="A926" s="13" t="s">
        <v>246</v>
      </c>
      <c r="B926" s="13" t="s">
        <v>42</v>
      </c>
      <c r="C926" s="13" t="n">
        <v>15300</v>
      </c>
      <c r="D926" s="13" t="n">
        <v>30</v>
      </c>
      <c r="E926" s="13" t="n">
        <v>448.674117647059</v>
      </c>
      <c r="F926" s="13" t="s">
        <v>5288</v>
      </c>
      <c r="G926" s="13" t="s">
        <v>5289</v>
      </c>
      <c r="H926" s="13" t="s">
        <v>5289</v>
      </c>
      <c r="I926" s="13" t="s">
        <v>5289</v>
      </c>
      <c r="J926" s="13" t="s">
        <v>5289</v>
      </c>
      <c r="K926" s="13" t="s">
        <v>5289</v>
      </c>
      <c r="L926" s="13" t="s">
        <v>5682</v>
      </c>
      <c r="M926" s="13"/>
      <c r="N926" s="13" t="n">
        <v>8411061056776</v>
      </c>
      <c r="O926" s="13"/>
      <c r="P926" s="13" t="s">
        <v>5291</v>
      </c>
      <c r="Q926" s="13" t="s">
        <v>5289</v>
      </c>
      <c r="R926" s="13" t="s">
        <v>5292</v>
      </c>
      <c r="S926" s="13" t="s">
        <v>5293</v>
      </c>
      <c r="T926" s="13" t="s">
        <v>4</v>
      </c>
      <c r="U926" s="13" t="s">
        <v>43</v>
      </c>
      <c r="V926" s="13" t="n">
        <f aca="false">IF(COUNTIF($B$2:B926,B926)=1,1,0)</f>
        <v>0</v>
      </c>
      <c r="W926" s="13" t="n">
        <f aca="false">IF(COUNTIFS($B$2:B926,B926,$T$2:T926,T926)=1,1,0)</f>
        <v>0</v>
      </c>
    </row>
    <row r="927" customFormat="false" ht="15" hidden="false" customHeight="false" outlineLevel="0" collapsed="false">
      <c r="A927" s="13" t="s">
        <v>151</v>
      </c>
      <c r="B927" s="13" t="s">
        <v>42</v>
      </c>
      <c r="C927" s="13" t="n">
        <v>15100</v>
      </c>
      <c r="D927" s="13" t="n">
        <v>20</v>
      </c>
      <c r="E927" s="13" t="n">
        <v>720.3</v>
      </c>
      <c r="F927" s="13" t="s">
        <v>5288</v>
      </c>
      <c r="G927" s="13" t="s">
        <v>5292</v>
      </c>
      <c r="H927" s="13" t="s">
        <v>5289</v>
      </c>
      <c r="I927" s="13" t="s">
        <v>5289</v>
      </c>
      <c r="J927" s="13" t="s">
        <v>5289</v>
      </c>
      <c r="K927" s="13" t="s">
        <v>5289</v>
      </c>
      <c r="L927" s="13" t="s">
        <v>5683</v>
      </c>
      <c r="M927" s="13"/>
      <c r="N927" s="13" t="n">
        <v>8411061782347</v>
      </c>
      <c r="O927" s="13"/>
      <c r="P927" s="13" t="s">
        <v>5297</v>
      </c>
      <c r="Q927" s="13" t="s">
        <v>5289</v>
      </c>
      <c r="R927" s="13" t="s">
        <v>5292</v>
      </c>
      <c r="S927" s="13" t="s">
        <v>5293</v>
      </c>
      <c r="T927" s="13" t="s">
        <v>4</v>
      </c>
      <c r="U927" s="13" t="s">
        <v>43</v>
      </c>
      <c r="V927" s="13" t="n">
        <f aca="false">IF(COUNTIF($B$2:B927,B927)=1,1,0)</f>
        <v>0</v>
      </c>
      <c r="W927" s="13" t="n">
        <f aca="false">IF(COUNTIFS($B$2:B927,B927,$T$2:T927,T927)=1,1,0)</f>
        <v>0</v>
      </c>
    </row>
    <row r="928" customFormat="false" ht="15" hidden="false" customHeight="false" outlineLevel="0" collapsed="false">
      <c r="A928" s="13" t="s">
        <v>292</v>
      </c>
      <c r="B928" s="13" t="s">
        <v>45</v>
      </c>
      <c r="C928" s="13" t="n">
        <v>15000</v>
      </c>
      <c r="D928" s="13" t="n">
        <v>20</v>
      </c>
      <c r="E928" s="13" t="n">
        <v>935.824375</v>
      </c>
      <c r="F928" s="13" t="s">
        <v>5288</v>
      </c>
      <c r="G928" s="13" t="s">
        <v>5289</v>
      </c>
      <c r="H928" s="13" t="s">
        <v>5289</v>
      </c>
      <c r="I928" s="13" t="s">
        <v>5289</v>
      </c>
      <c r="J928" s="13" t="s">
        <v>5289</v>
      </c>
      <c r="K928" s="13" t="s">
        <v>5289</v>
      </c>
      <c r="L928" s="13" t="s">
        <v>5684</v>
      </c>
      <c r="M928" s="13"/>
      <c r="N928" s="13" t="n">
        <v>8435415080392</v>
      </c>
      <c r="O928" s="13"/>
      <c r="P928" s="13" t="s">
        <v>5291</v>
      </c>
      <c r="Q928" s="13" t="s">
        <v>5289</v>
      </c>
      <c r="R928" s="13" t="s">
        <v>5292</v>
      </c>
      <c r="S928" s="13" t="s">
        <v>5293</v>
      </c>
      <c r="T928" s="13" t="s">
        <v>4</v>
      </c>
      <c r="U928" s="13" t="s">
        <v>43</v>
      </c>
      <c r="V928" s="13" t="n">
        <f aca="false">IF(COUNTIF($B$2:B928,B928)=1,1,0)</f>
        <v>0</v>
      </c>
      <c r="W928" s="13" t="n">
        <f aca="false">IF(COUNTIFS($B$2:B928,B928,$T$2:T928,T928)=1,1,0)</f>
        <v>0</v>
      </c>
    </row>
    <row r="929" customFormat="false" ht="15" hidden="false" customHeight="false" outlineLevel="0" collapsed="false">
      <c r="A929" s="13" t="s">
        <v>297</v>
      </c>
      <c r="B929" s="13" t="s">
        <v>79</v>
      </c>
      <c r="C929" s="13" t="n">
        <v>14300</v>
      </c>
      <c r="D929" s="13" t="n">
        <v>20</v>
      </c>
      <c r="E929" s="13" t="n">
        <v>794.2</v>
      </c>
      <c r="F929" s="13" t="s">
        <v>5288</v>
      </c>
      <c r="G929" s="13" t="s">
        <v>5289</v>
      </c>
      <c r="H929" s="13" t="s">
        <v>5292</v>
      </c>
      <c r="I929" s="13" t="s">
        <v>5289</v>
      </c>
      <c r="J929" s="13" t="s">
        <v>5289</v>
      </c>
      <c r="K929" s="13" t="s">
        <v>5289</v>
      </c>
      <c r="L929" s="13" t="s">
        <v>5685</v>
      </c>
      <c r="M929" s="13"/>
      <c r="N929" s="13" t="n">
        <v>8056669923992</v>
      </c>
      <c r="O929" s="13"/>
      <c r="P929" s="13" t="s">
        <v>5291</v>
      </c>
      <c r="Q929" s="13" t="s">
        <v>5289</v>
      </c>
      <c r="R929" s="13" t="s">
        <v>5292</v>
      </c>
      <c r="S929" s="13" t="s">
        <v>5293</v>
      </c>
      <c r="T929" s="13" t="s">
        <v>4</v>
      </c>
      <c r="U929" s="13" t="s">
        <v>43</v>
      </c>
      <c r="V929" s="13" t="n">
        <f aca="false">IF(COUNTIF($B$2:B929,B929)=1,1,0)</f>
        <v>0</v>
      </c>
      <c r="W929" s="13" t="n">
        <f aca="false">IF(COUNTIFS($B$2:B929,B929,$T$2:T929,T929)=1,1,0)</f>
        <v>1</v>
      </c>
    </row>
    <row r="930" customFormat="false" ht="15" hidden="false" customHeight="false" outlineLevel="0" collapsed="false">
      <c r="A930" s="13" t="s">
        <v>52</v>
      </c>
      <c r="B930" s="13" t="s">
        <v>50</v>
      </c>
      <c r="C930" s="13" t="n">
        <v>14200</v>
      </c>
      <c r="D930" s="13" t="n">
        <v>50</v>
      </c>
      <c r="E930" s="13" t="n">
        <v>295.059375</v>
      </c>
      <c r="F930" s="13" t="s">
        <v>5288</v>
      </c>
      <c r="G930" s="13" t="s">
        <v>5289</v>
      </c>
      <c r="H930" s="13" t="s">
        <v>5289</v>
      </c>
      <c r="I930" s="13" t="s">
        <v>5289</v>
      </c>
      <c r="J930" s="13" t="s">
        <v>5289</v>
      </c>
      <c r="K930" s="13" t="s">
        <v>5289</v>
      </c>
      <c r="L930" s="13" t="s">
        <v>5686</v>
      </c>
      <c r="M930" s="13"/>
      <c r="N930" s="13" t="n">
        <v>3349668616237</v>
      </c>
      <c r="O930" s="13"/>
      <c r="P930" s="13" t="s">
        <v>5291</v>
      </c>
      <c r="Q930" s="13" t="s">
        <v>5289</v>
      </c>
      <c r="R930" s="13" t="s">
        <v>5292</v>
      </c>
      <c r="S930" s="13" t="s">
        <v>5293</v>
      </c>
      <c r="T930" s="13" t="s">
        <v>4</v>
      </c>
      <c r="U930" s="13" t="s">
        <v>43</v>
      </c>
      <c r="V930" s="13" t="n">
        <f aca="false">IF(COUNTIF($B$2:B930,B930)=1,1,0)</f>
        <v>0</v>
      </c>
      <c r="W930" s="13" t="n">
        <f aca="false">IF(COUNTIFS($B$2:B930,B930,$T$2:T930,T930)=1,1,0)</f>
        <v>0</v>
      </c>
    </row>
    <row r="931" customFormat="false" ht="15" hidden="false" customHeight="false" outlineLevel="0" collapsed="false">
      <c r="A931" s="13" t="s">
        <v>301</v>
      </c>
      <c r="B931" s="13" t="s">
        <v>45</v>
      </c>
      <c r="C931" s="13" t="n">
        <v>14000</v>
      </c>
      <c r="D931" s="13" t="n">
        <v>20</v>
      </c>
      <c r="E931" s="13" t="n">
        <v>666.72</v>
      </c>
      <c r="F931" s="13" t="s">
        <v>5288</v>
      </c>
      <c r="G931" s="13" t="s">
        <v>5289</v>
      </c>
      <c r="H931" s="13" t="s">
        <v>5289</v>
      </c>
      <c r="I931" s="13" t="s">
        <v>5289</v>
      </c>
      <c r="J931" s="13" t="s">
        <v>5289</v>
      </c>
      <c r="K931" s="13" t="s">
        <v>5289</v>
      </c>
      <c r="L931" s="13" t="s">
        <v>5687</v>
      </c>
      <c r="M931" s="13"/>
      <c r="N931" s="13" t="n">
        <v>8435415091169</v>
      </c>
      <c r="O931" s="13"/>
      <c r="P931" s="13" t="s">
        <v>5291</v>
      </c>
      <c r="Q931" s="13" t="s">
        <v>5289</v>
      </c>
      <c r="R931" s="13" t="s">
        <v>5292</v>
      </c>
      <c r="S931" s="13" t="s">
        <v>5293</v>
      </c>
      <c r="T931" s="13" t="s">
        <v>4</v>
      </c>
      <c r="U931" s="13" t="s">
        <v>43</v>
      </c>
      <c r="V931" s="13" t="n">
        <f aca="false">IF(COUNTIF($B$2:B931,B931)=1,1,0)</f>
        <v>0</v>
      </c>
      <c r="W931" s="13" t="n">
        <f aca="false">IF(COUNTIFS($B$2:B931,B931,$T$2:T931,T931)=1,1,0)</f>
        <v>0</v>
      </c>
    </row>
    <row r="932" customFormat="false" ht="15" hidden="false" customHeight="false" outlineLevel="0" collapsed="false">
      <c r="A932" s="13" t="s">
        <v>185</v>
      </c>
      <c r="B932" s="13" t="s">
        <v>50</v>
      </c>
      <c r="C932" s="13" t="n">
        <v>13200</v>
      </c>
      <c r="D932" s="13" t="n">
        <v>20</v>
      </c>
      <c r="E932" s="13" t="n">
        <v>883.32</v>
      </c>
      <c r="F932" s="13" t="s">
        <v>5288</v>
      </c>
      <c r="G932" s="13" t="s">
        <v>5289</v>
      </c>
      <c r="H932" s="13" t="s">
        <v>5289</v>
      </c>
      <c r="I932" s="13" t="s">
        <v>5289</v>
      </c>
      <c r="J932" s="13" t="s">
        <v>5289</v>
      </c>
      <c r="K932" s="13" t="s">
        <v>5289</v>
      </c>
      <c r="L932" s="13" t="s">
        <v>5667</v>
      </c>
      <c r="M932" s="13"/>
      <c r="N932" s="13" t="n">
        <v>3349668600298</v>
      </c>
      <c r="O932" s="13"/>
      <c r="P932" s="13" t="s">
        <v>5297</v>
      </c>
      <c r="Q932" s="13" t="s">
        <v>5289</v>
      </c>
      <c r="R932" s="13" t="s">
        <v>5292</v>
      </c>
      <c r="S932" s="13" t="s">
        <v>5293</v>
      </c>
      <c r="T932" s="13" t="s">
        <v>4</v>
      </c>
      <c r="U932" s="13" t="s">
        <v>43</v>
      </c>
      <c r="V932" s="13" t="n">
        <f aca="false">IF(COUNTIF($B$2:B932,B932)=1,1,0)</f>
        <v>0</v>
      </c>
      <c r="W932" s="13" t="n">
        <f aca="false">IF(COUNTIFS($B$2:B932,B932,$T$2:T932,T932)=1,1,0)</f>
        <v>0</v>
      </c>
    </row>
    <row r="933" customFormat="false" ht="15" hidden="false" customHeight="false" outlineLevel="0" collapsed="false">
      <c r="A933" s="13" t="s">
        <v>306</v>
      </c>
      <c r="B933" s="13" t="s">
        <v>42</v>
      </c>
      <c r="C933" s="13" t="n">
        <v>13200</v>
      </c>
      <c r="D933" s="13" t="n">
        <v>60</v>
      </c>
      <c r="E933" s="13" t="n">
        <v>223.22186440678</v>
      </c>
      <c r="F933" s="13" t="s">
        <v>5288</v>
      </c>
      <c r="G933" s="13" t="s">
        <v>5292</v>
      </c>
      <c r="H933" s="13" t="s">
        <v>5289</v>
      </c>
      <c r="I933" s="13" t="s">
        <v>5289</v>
      </c>
      <c r="J933" s="13" t="s">
        <v>5289</v>
      </c>
      <c r="K933" s="13" t="s">
        <v>5289</v>
      </c>
      <c r="L933" s="13" t="s">
        <v>5688</v>
      </c>
      <c r="M933" s="13"/>
      <c r="N933" s="13" t="n">
        <v>8411061021538</v>
      </c>
      <c r="O933" s="13"/>
      <c r="P933" s="13" t="s">
        <v>5291</v>
      </c>
      <c r="Q933" s="13" t="s">
        <v>5289</v>
      </c>
      <c r="R933" s="13" t="s">
        <v>5292</v>
      </c>
      <c r="S933" s="13" t="s">
        <v>5293</v>
      </c>
      <c r="T933" s="13" t="s">
        <v>4</v>
      </c>
      <c r="U933" s="13" t="s">
        <v>43</v>
      </c>
      <c r="V933" s="13" t="n">
        <f aca="false">IF(COUNTIF($B$2:B933,B933)=1,1,0)</f>
        <v>0</v>
      </c>
      <c r="W933" s="13" t="n">
        <f aca="false">IF(COUNTIFS($B$2:B933,B933,$T$2:T933,T933)=1,1,0)</f>
        <v>0</v>
      </c>
    </row>
    <row r="934" customFormat="false" ht="15" hidden="false" customHeight="false" outlineLevel="0" collapsed="false">
      <c r="A934" s="13" t="s">
        <v>307</v>
      </c>
      <c r="B934" s="13" t="s">
        <v>42</v>
      </c>
      <c r="C934" s="13" t="n">
        <v>13100</v>
      </c>
      <c r="D934" s="13" t="n">
        <v>20</v>
      </c>
      <c r="E934" s="13" t="n">
        <v>690.504210526316</v>
      </c>
      <c r="F934" s="13" t="s">
        <v>5288</v>
      </c>
      <c r="G934" s="13" t="s">
        <v>5289</v>
      </c>
      <c r="H934" s="13" t="s">
        <v>5292</v>
      </c>
      <c r="I934" s="13" t="s">
        <v>5289</v>
      </c>
      <c r="J934" s="13" t="s">
        <v>5289</v>
      </c>
      <c r="K934" s="13" t="s">
        <v>5289</v>
      </c>
      <c r="L934" s="13" t="s">
        <v>5670</v>
      </c>
      <c r="M934" s="13"/>
      <c r="N934" s="13" t="n">
        <v>8411061088173</v>
      </c>
      <c r="O934" s="13"/>
      <c r="P934" s="13" t="s">
        <v>5291</v>
      </c>
      <c r="Q934" s="13" t="s">
        <v>5289</v>
      </c>
      <c r="R934" s="13" t="s">
        <v>5292</v>
      </c>
      <c r="S934" s="13" t="s">
        <v>5293</v>
      </c>
      <c r="T934" s="13" t="s">
        <v>4</v>
      </c>
      <c r="U934" s="13" t="s">
        <v>43</v>
      </c>
      <c r="V934" s="13" t="n">
        <f aca="false">IF(COUNTIF($B$2:B934,B934)=1,1,0)</f>
        <v>0</v>
      </c>
      <c r="W934" s="13" t="n">
        <f aca="false">IF(COUNTIFS($B$2:B934,B934,$T$2:T934,T934)=1,1,0)</f>
        <v>0</v>
      </c>
    </row>
    <row r="935" customFormat="false" ht="15" hidden="false" customHeight="false" outlineLevel="0" collapsed="false">
      <c r="A935" s="13" t="s">
        <v>49</v>
      </c>
      <c r="B935" s="13" t="s">
        <v>45</v>
      </c>
      <c r="C935" s="13" t="n">
        <v>13000</v>
      </c>
      <c r="D935" s="13" t="n">
        <v>20</v>
      </c>
      <c r="E935" s="13" t="n">
        <v>721.54</v>
      </c>
      <c r="F935" s="13" t="s">
        <v>5288</v>
      </c>
      <c r="G935" s="13" t="s">
        <v>5289</v>
      </c>
      <c r="H935" s="13" t="s">
        <v>5289</v>
      </c>
      <c r="I935" s="13" t="s">
        <v>5289</v>
      </c>
      <c r="J935" s="13" t="s">
        <v>5289</v>
      </c>
      <c r="K935" s="13" t="s">
        <v>5289</v>
      </c>
      <c r="L935" s="13" t="s">
        <v>5689</v>
      </c>
      <c r="M935" s="13"/>
      <c r="N935" s="13" t="n">
        <v>8435415032315</v>
      </c>
      <c r="O935" s="13"/>
      <c r="P935" s="13" t="s">
        <v>5291</v>
      </c>
      <c r="Q935" s="13" t="s">
        <v>5289</v>
      </c>
      <c r="R935" s="13" t="s">
        <v>5292</v>
      </c>
      <c r="S935" s="13" t="s">
        <v>5293</v>
      </c>
      <c r="T935" s="13" t="s">
        <v>4</v>
      </c>
      <c r="U935" s="13" t="s">
        <v>43</v>
      </c>
      <c r="V935" s="13" t="n">
        <f aca="false">IF(COUNTIF($B$2:B935,B935)=1,1,0)</f>
        <v>0</v>
      </c>
      <c r="W935" s="13" t="n">
        <f aca="false">IF(COUNTIFS($B$2:B935,B935,$T$2:T935,T935)=1,1,0)</f>
        <v>0</v>
      </c>
    </row>
    <row r="936" customFormat="false" ht="15" hidden="false" customHeight="false" outlineLevel="0" collapsed="false">
      <c r="A936" s="13" t="s">
        <v>113</v>
      </c>
      <c r="B936" s="13" t="s">
        <v>45</v>
      </c>
      <c r="C936" s="13" t="n">
        <v>12900</v>
      </c>
      <c r="D936" s="13" t="n">
        <v>20</v>
      </c>
      <c r="E936" s="13" t="n">
        <v>613.853809523809</v>
      </c>
      <c r="F936" s="13" t="s">
        <v>5288</v>
      </c>
      <c r="G936" s="13" t="s">
        <v>5289</v>
      </c>
      <c r="H936" s="13" t="s">
        <v>5289</v>
      </c>
      <c r="I936" s="13" t="s">
        <v>5289</v>
      </c>
      <c r="J936" s="13" t="s">
        <v>5289</v>
      </c>
      <c r="K936" s="13" t="s">
        <v>5289</v>
      </c>
      <c r="L936" s="13" t="s">
        <v>5690</v>
      </c>
      <c r="M936" s="13"/>
      <c r="N936" s="13" t="n">
        <v>8435415030885</v>
      </c>
      <c r="O936" s="13"/>
      <c r="P936" s="13" t="s">
        <v>5291</v>
      </c>
      <c r="Q936" s="13" t="s">
        <v>5289</v>
      </c>
      <c r="R936" s="13" t="s">
        <v>5292</v>
      </c>
      <c r="S936" s="13" t="s">
        <v>5293</v>
      </c>
      <c r="T936" s="13" t="s">
        <v>4</v>
      </c>
      <c r="U936" s="13" t="s">
        <v>43</v>
      </c>
      <c r="V936" s="13" t="n">
        <f aca="false">IF(COUNTIF($B$2:B936,B936)=1,1,0)</f>
        <v>0</v>
      </c>
      <c r="W936" s="13" t="n">
        <f aca="false">IF(COUNTIFS($B$2:B936,B936,$T$2:T936,T936)=1,1,0)</f>
        <v>0</v>
      </c>
    </row>
    <row r="937" customFormat="false" ht="15" hidden="false" customHeight="false" outlineLevel="0" collapsed="false">
      <c r="A937" s="13" t="s">
        <v>47</v>
      </c>
      <c r="B937" s="13" t="s">
        <v>42</v>
      </c>
      <c r="C937" s="13" t="n">
        <v>12700</v>
      </c>
      <c r="D937" s="13" t="n">
        <v>20</v>
      </c>
      <c r="E937" s="13" t="n">
        <v>705.87</v>
      </c>
      <c r="F937" s="13" t="s">
        <v>5325</v>
      </c>
      <c r="G937" s="13" t="s">
        <v>5289</v>
      </c>
      <c r="H937" s="13" t="s">
        <v>5289</v>
      </c>
      <c r="I937" s="13" t="s">
        <v>5289</v>
      </c>
      <c r="J937" s="13" t="s">
        <v>5289</v>
      </c>
      <c r="K937" s="13" t="s">
        <v>5289</v>
      </c>
      <c r="L937" s="13" t="s">
        <v>5691</v>
      </c>
      <c r="M937" s="13"/>
      <c r="N937" s="13" t="n">
        <v>8411061043844</v>
      </c>
      <c r="O937" s="13"/>
      <c r="P937" s="13" t="s">
        <v>5291</v>
      </c>
      <c r="Q937" s="13" t="s">
        <v>5289</v>
      </c>
      <c r="R937" s="13" t="s">
        <v>5292</v>
      </c>
      <c r="S937" s="13" t="s">
        <v>5293</v>
      </c>
      <c r="T937" s="13" t="s">
        <v>4</v>
      </c>
      <c r="U937" s="13" t="s">
        <v>43</v>
      </c>
      <c r="V937" s="13" t="n">
        <f aca="false">IF(COUNTIF($B$2:B937,B937)=1,1,0)</f>
        <v>0</v>
      </c>
      <c r="W937" s="13" t="n">
        <f aca="false">IF(COUNTIFS($B$2:B937,B937,$T$2:T937,T937)=1,1,0)</f>
        <v>0</v>
      </c>
    </row>
    <row r="938" customFormat="false" ht="15" hidden="false" customHeight="false" outlineLevel="0" collapsed="false">
      <c r="A938" s="13" t="s">
        <v>317</v>
      </c>
      <c r="B938" s="13" t="s">
        <v>50</v>
      </c>
      <c r="C938" s="13" t="n">
        <v>12400</v>
      </c>
      <c r="D938" s="13" t="n">
        <v>20</v>
      </c>
      <c r="E938" s="13" t="n">
        <v>727.002352941177</v>
      </c>
      <c r="F938" s="13" t="s">
        <v>5288</v>
      </c>
      <c r="G938" s="13" t="s">
        <v>5289</v>
      </c>
      <c r="H938" s="13" t="s">
        <v>5289</v>
      </c>
      <c r="I938" s="13" t="s">
        <v>5289</v>
      </c>
      <c r="J938" s="13" t="s">
        <v>5289</v>
      </c>
      <c r="K938" s="13" t="s">
        <v>5289</v>
      </c>
      <c r="L938" s="13" t="s">
        <v>5692</v>
      </c>
      <c r="M938" s="13"/>
      <c r="N938" s="13" t="n">
        <v>3349668636648</v>
      </c>
      <c r="O938" s="13"/>
      <c r="P938" s="13" t="s">
        <v>5291</v>
      </c>
      <c r="Q938" s="13" t="s">
        <v>5289</v>
      </c>
      <c r="R938" s="13" t="s">
        <v>5292</v>
      </c>
      <c r="S938" s="13" t="s">
        <v>5293</v>
      </c>
      <c r="T938" s="13" t="s">
        <v>4</v>
      </c>
      <c r="U938" s="13" t="s">
        <v>43</v>
      </c>
      <c r="V938" s="13" t="n">
        <f aca="false">IF(COUNTIF($B$2:B938,B938)=1,1,0)</f>
        <v>0</v>
      </c>
      <c r="W938" s="13" t="n">
        <f aca="false">IF(COUNTIFS($B$2:B938,B938,$T$2:T938,T938)=1,1,0)</f>
        <v>0</v>
      </c>
    </row>
    <row r="939" customFormat="false" ht="15" hidden="false" customHeight="false" outlineLevel="0" collapsed="false">
      <c r="A939" s="13" t="s">
        <v>91</v>
      </c>
      <c r="B939" s="13" t="s">
        <v>42</v>
      </c>
      <c r="C939" s="13" t="n">
        <v>12100</v>
      </c>
      <c r="D939" s="13" t="n">
        <v>20</v>
      </c>
      <c r="E939" s="13" t="n">
        <v>757.02125</v>
      </c>
      <c r="F939" s="13" t="s">
        <v>5325</v>
      </c>
      <c r="G939" s="13" t="s">
        <v>5289</v>
      </c>
      <c r="H939" s="13" t="s">
        <v>5289</v>
      </c>
      <c r="I939" s="13" t="s">
        <v>5289</v>
      </c>
      <c r="J939" s="13" t="s">
        <v>5289</v>
      </c>
      <c r="K939" s="13" t="s">
        <v>5289</v>
      </c>
      <c r="L939" s="13" t="s">
        <v>5693</v>
      </c>
      <c r="M939" s="13"/>
      <c r="N939" s="13" t="n">
        <v>8411061786161</v>
      </c>
      <c r="O939" s="13"/>
      <c r="P939" s="13" t="s">
        <v>5291</v>
      </c>
      <c r="Q939" s="13" t="s">
        <v>5289</v>
      </c>
      <c r="R939" s="13" t="s">
        <v>5292</v>
      </c>
      <c r="S939" s="13" t="s">
        <v>5293</v>
      </c>
      <c r="T939" s="13" t="s">
        <v>4</v>
      </c>
      <c r="U939" s="13" t="s">
        <v>43</v>
      </c>
      <c r="V939" s="13" t="n">
        <f aca="false">IF(COUNTIF($B$2:B939,B939)=1,1,0)</f>
        <v>0</v>
      </c>
      <c r="W939" s="13" t="n">
        <f aca="false">IF(COUNTIFS($B$2:B939,B939,$T$2:T939,T939)=1,1,0)</f>
        <v>0</v>
      </c>
    </row>
    <row r="940" customFormat="false" ht="15" hidden="false" customHeight="false" outlineLevel="0" collapsed="false">
      <c r="A940" s="13" t="s">
        <v>324</v>
      </c>
      <c r="B940" s="13" t="s">
        <v>42</v>
      </c>
      <c r="C940" s="13" t="n">
        <v>12000</v>
      </c>
      <c r="D940" s="13" t="n">
        <v>20</v>
      </c>
      <c r="E940" s="13" t="n">
        <v>665.753333333333</v>
      </c>
      <c r="F940" s="13" t="s">
        <v>5288</v>
      </c>
      <c r="G940" s="13" t="s">
        <v>5289</v>
      </c>
      <c r="H940" s="13" t="s">
        <v>5289</v>
      </c>
      <c r="I940" s="13" t="s">
        <v>5289</v>
      </c>
      <c r="J940" s="13" t="s">
        <v>5289</v>
      </c>
      <c r="K940" s="13" t="s">
        <v>5289</v>
      </c>
      <c r="L940" s="13" t="s">
        <v>5694</v>
      </c>
      <c r="M940" s="13"/>
      <c r="N940" s="13" t="n">
        <v>8411061123607</v>
      </c>
      <c r="O940" s="13"/>
      <c r="P940" s="13" t="s">
        <v>5291</v>
      </c>
      <c r="Q940" s="13" t="s">
        <v>5289</v>
      </c>
      <c r="R940" s="13" t="s">
        <v>5292</v>
      </c>
      <c r="S940" s="13" t="s">
        <v>5293</v>
      </c>
      <c r="T940" s="13" t="s">
        <v>4</v>
      </c>
      <c r="U940" s="13" t="s">
        <v>43</v>
      </c>
      <c r="V940" s="13" t="n">
        <f aca="false">IF(COUNTIF($B$2:B940,B940)=1,1,0)</f>
        <v>0</v>
      </c>
      <c r="W940" s="13" t="n">
        <f aca="false">IF(COUNTIFS($B$2:B940,B940,$T$2:T940,T940)=1,1,0)</f>
        <v>0</v>
      </c>
    </row>
    <row r="941" customFormat="false" ht="15" hidden="false" customHeight="false" outlineLevel="0" collapsed="false">
      <c r="A941" s="13" t="s">
        <v>333</v>
      </c>
      <c r="B941" s="13" t="s">
        <v>186</v>
      </c>
      <c r="C941" s="13" t="n">
        <v>11600</v>
      </c>
      <c r="D941" s="13" t="n">
        <v>30</v>
      </c>
      <c r="E941" s="13" t="n">
        <v>447.197692307692</v>
      </c>
      <c r="F941" s="13" t="s">
        <v>5325</v>
      </c>
      <c r="G941" s="13" t="s">
        <v>5289</v>
      </c>
      <c r="H941" s="13" t="s">
        <v>5292</v>
      </c>
      <c r="I941" s="13" t="s">
        <v>5289</v>
      </c>
      <c r="J941" s="13" t="s">
        <v>5289</v>
      </c>
      <c r="K941" s="13" t="s">
        <v>5289</v>
      </c>
      <c r="L941" s="13" t="s">
        <v>5677</v>
      </c>
      <c r="M941" s="13"/>
      <c r="N941" s="13" t="n">
        <v>88300107438</v>
      </c>
      <c r="O941" s="13"/>
      <c r="P941" s="13" t="s">
        <v>5291</v>
      </c>
      <c r="Q941" s="13" t="s">
        <v>5289</v>
      </c>
      <c r="R941" s="13" t="s">
        <v>5292</v>
      </c>
      <c r="S941" s="13" t="s">
        <v>5293</v>
      </c>
      <c r="T941" s="13" t="s">
        <v>4</v>
      </c>
      <c r="U941" s="13" t="s">
        <v>43</v>
      </c>
      <c r="V941" s="13" t="n">
        <f aca="false">IF(COUNTIF($B$2:B941,B941)=1,1,0)</f>
        <v>0</v>
      </c>
      <c r="W941" s="13" t="n">
        <f aca="false">IF(COUNTIFS($B$2:B941,B941,$T$2:T941,T941)=1,1,0)</f>
        <v>0</v>
      </c>
    </row>
    <row r="942" customFormat="false" ht="15" hidden="false" customHeight="false" outlineLevel="0" collapsed="false">
      <c r="A942" s="13" t="s">
        <v>189</v>
      </c>
      <c r="B942" s="13" t="s">
        <v>50</v>
      </c>
      <c r="C942" s="13" t="n">
        <v>11600</v>
      </c>
      <c r="D942" s="13" t="n">
        <v>10</v>
      </c>
      <c r="E942" s="13" t="n">
        <v>829.17</v>
      </c>
      <c r="F942" s="13" t="s">
        <v>5325</v>
      </c>
      <c r="G942" s="13" t="s">
        <v>5289</v>
      </c>
      <c r="H942" s="13" t="s">
        <v>5289</v>
      </c>
      <c r="I942" s="13" t="s">
        <v>5289</v>
      </c>
      <c r="J942" s="13" t="s">
        <v>5289</v>
      </c>
      <c r="K942" s="13" t="s">
        <v>5289</v>
      </c>
      <c r="L942" s="13" t="s">
        <v>5695</v>
      </c>
      <c r="M942" s="13"/>
      <c r="N942" s="13" t="n">
        <v>3349668596348</v>
      </c>
      <c r="O942" s="13"/>
      <c r="P942" s="13" t="s">
        <v>5291</v>
      </c>
      <c r="Q942" s="13" t="s">
        <v>5289</v>
      </c>
      <c r="R942" s="13" t="s">
        <v>5292</v>
      </c>
      <c r="S942" s="13" t="s">
        <v>5293</v>
      </c>
      <c r="T942" s="13" t="s">
        <v>4</v>
      </c>
      <c r="U942" s="13" t="s">
        <v>43</v>
      </c>
      <c r="V942" s="13" t="n">
        <f aca="false">IF(COUNTIF($B$2:B942,B942)=1,1,0)</f>
        <v>0</v>
      </c>
      <c r="W942" s="13" t="n">
        <f aca="false">IF(COUNTIFS($B$2:B942,B942,$T$2:T942,T942)=1,1,0)</f>
        <v>0</v>
      </c>
    </row>
    <row r="943" customFormat="false" ht="15" hidden="false" customHeight="false" outlineLevel="0" collapsed="false">
      <c r="A943" s="13" t="s">
        <v>337</v>
      </c>
      <c r="B943" s="13" t="s">
        <v>161</v>
      </c>
      <c r="C943" s="13" t="n">
        <v>11400</v>
      </c>
      <c r="D943" s="13" t="n">
        <v>40</v>
      </c>
      <c r="E943" s="13" t="n">
        <v>308.45</v>
      </c>
      <c r="F943" s="13" t="s">
        <v>5288</v>
      </c>
      <c r="G943" s="13" t="s">
        <v>5289</v>
      </c>
      <c r="H943" s="13" t="s">
        <v>5292</v>
      </c>
      <c r="I943" s="13" t="s">
        <v>5289</v>
      </c>
      <c r="J943" s="13" t="s">
        <v>5289</v>
      </c>
      <c r="K943" s="13" t="s">
        <v>5289</v>
      </c>
      <c r="L943" s="13" t="s">
        <v>5696</v>
      </c>
      <c r="M943" s="13"/>
      <c r="N943" s="13" t="n">
        <v>3355991005181</v>
      </c>
      <c r="O943" s="13"/>
      <c r="P943" s="13" t="s">
        <v>5297</v>
      </c>
      <c r="Q943" s="13" t="s">
        <v>5289</v>
      </c>
      <c r="R943" s="13" t="s">
        <v>5292</v>
      </c>
      <c r="S943" s="13" t="s">
        <v>5293</v>
      </c>
      <c r="T943" s="13" t="s">
        <v>4</v>
      </c>
      <c r="U943" s="13" t="s">
        <v>43</v>
      </c>
      <c r="V943" s="13" t="n">
        <f aca="false">IF(COUNTIF($B$2:B943,B943)=1,1,0)</f>
        <v>0</v>
      </c>
      <c r="W943" s="13" t="n">
        <f aca="false">IF(COUNTIFS($B$2:B943,B943,$T$2:T943,T943)=1,1,0)</f>
        <v>0</v>
      </c>
    </row>
    <row r="944" customFormat="false" ht="15" hidden="false" customHeight="false" outlineLevel="0" collapsed="false">
      <c r="A944" s="13" t="s">
        <v>338</v>
      </c>
      <c r="B944" s="13" t="s">
        <v>42</v>
      </c>
      <c r="C944" s="13" t="n">
        <v>11300</v>
      </c>
      <c r="D944" s="13" t="n">
        <v>40</v>
      </c>
      <c r="E944" s="13" t="n">
        <v>281.993</v>
      </c>
      <c r="F944" s="13" t="s">
        <v>5288</v>
      </c>
      <c r="G944" s="13" t="s">
        <v>5292</v>
      </c>
      <c r="H944" s="13" t="s">
        <v>5289</v>
      </c>
      <c r="I944" s="13" t="s">
        <v>5289</v>
      </c>
      <c r="J944" s="13" t="s">
        <v>5289</v>
      </c>
      <c r="K944" s="13" t="s">
        <v>5289</v>
      </c>
      <c r="L944" s="13" t="s">
        <v>5697</v>
      </c>
      <c r="M944" s="13"/>
      <c r="N944" s="13" t="n">
        <v>8411061093252</v>
      </c>
      <c r="O944" s="13"/>
      <c r="P944" s="13" t="s">
        <v>5291</v>
      </c>
      <c r="Q944" s="13" t="s">
        <v>5289</v>
      </c>
      <c r="R944" s="13" t="s">
        <v>5292</v>
      </c>
      <c r="S944" s="13" t="s">
        <v>5293</v>
      </c>
      <c r="T944" s="13" t="s">
        <v>4</v>
      </c>
      <c r="U944" s="13" t="s">
        <v>43</v>
      </c>
      <c r="V944" s="13" t="n">
        <f aca="false">IF(COUNTIF($B$2:B944,B944)=1,1,0)</f>
        <v>0</v>
      </c>
      <c r="W944" s="13" t="n">
        <f aca="false">IF(COUNTIFS($B$2:B944,B944,$T$2:T944,T944)=1,1,0)</f>
        <v>0</v>
      </c>
    </row>
    <row r="945" customFormat="false" ht="15" hidden="false" customHeight="false" outlineLevel="0" collapsed="false">
      <c r="A945" s="13" t="s">
        <v>345</v>
      </c>
      <c r="B945" s="13" t="s">
        <v>42</v>
      </c>
      <c r="C945" s="13" t="n">
        <v>11100</v>
      </c>
      <c r="D945" s="13" t="n">
        <v>20</v>
      </c>
      <c r="E945" s="13" t="n">
        <v>461.565</v>
      </c>
      <c r="F945" s="13" t="s">
        <v>5288</v>
      </c>
      <c r="G945" s="13" t="s">
        <v>5289</v>
      </c>
      <c r="H945" s="13" t="s">
        <v>5289</v>
      </c>
      <c r="I945" s="13" t="s">
        <v>5289</v>
      </c>
      <c r="J945" s="13" t="s">
        <v>5289</v>
      </c>
      <c r="K945" s="13" t="s">
        <v>5289</v>
      </c>
      <c r="L945" s="13" t="s">
        <v>5698</v>
      </c>
      <c r="M945" s="13"/>
      <c r="N945" s="13" t="n">
        <v>8411061081600</v>
      </c>
      <c r="O945" s="13"/>
      <c r="P945" s="13" t="s">
        <v>5291</v>
      </c>
      <c r="Q945" s="13" t="s">
        <v>5289</v>
      </c>
      <c r="R945" s="13" t="s">
        <v>5292</v>
      </c>
      <c r="S945" s="13" t="s">
        <v>5293</v>
      </c>
      <c r="T945" s="13" t="s">
        <v>4</v>
      </c>
      <c r="U945" s="13" t="s">
        <v>43</v>
      </c>
      <c r="V945" s="13" t="n">
        <f aca="false">IF(COUNTIF($B$2:B945,B945)=1,1,0)</f>
        <v>0</v>
      </c>
      <c r="W945" s="13" t="n">
        <f aca="false">IF(COUNTIFS($B$2:B945,B945,$T$2:T945,T945)=1,1,0)</f>
        <v>0</v>
      </c>
    </row>
    <row r="946" customFormat="false" ht="15" hidden="false" customHeight="false" outlineLevel="0" collapsed="false">
      <c r="A946" s="13" t="s">
        <v>350</v>
      </c>
      <c r="B946" s="13" t="s">
        <v>186</v>
      </c>
      <c r="C946" s="13" t="n">
        <v>10900</v>
      </c>
      <c r="D946" s="13" t="n">
        <v>20</v>
      </c>
      <c r="E946" s="13" t="n">
        <v>497.661363636364</v>
      </c>
      <c r="F946" s="13" t="s">
        <v>5325</v>
      </c>
      <c r="G946" s="13" t="s">
        <v>5289</v>
      </c>
      <c r="H946" s="13" t="s">
        <v>5292</v>
      </c>
      <c r="I946" s="13" t="s">
        <v>5289</v>
      </c>
      <c r="J946" s="13" t="s">
        <v>5289</v>
      </c>
      <c r="K946" s="13" t="s">
        <v>5289</v>
      </c>
      <c r="L946" s="13" t="s">
        <v>5671</v>
      </c>
      <c r="M946" s="13"/>
      <c r="N946" s="13" t="n">
        <v>88300162505</v>
      </c>
      <c r="O946" s="13"/>
      <c r="P946" s="13" t="s">
        <v>5291</v>
      </c>
      <c r="Q946" s="13" t="s">
        <v>5289</v>
      </c>
      <c r="R946" s="13" t="s">
        <v>5292</v>
      </c>
      <c r="S946" s="13" t="s">
        <v>5293</v>
      </c>
      <c r="T946" s="13" t="s">
        <v>4</v>
      </c>
      <c r="U946" s="13" t="s">
        <v>43</v>
      </c>
      <c r="V946" s="13" t="n">
        <f aca="false">IF(COUNTIF($B$2:B946,B946)=1,1,0)</f>
        <v>0</v>
      </c>
      <c r="W946" s="13" t="n">
        <f aca="false">IF(COUNTIFS($B$2:B946,B946,$T$2:T946,T946)=1,1,0)</f>
        <v>0</v>
      </c>
    </row>
    <row r="947" customFormat="false" ht="15" hidden="false" customHeight="false" outlineLevel="0" collapsed="false">
      <c r="A947" s="13" t="s">
        <v>91</v>
      </c>
      <c r="B947" s="13" t="s">
        <v>42</v>
      </c>
      <c r="C947" s="13" t="n">
        <v>10600</v>
      </c>
      <c r="D947" s="13" t="n">
        <v>20</v>
      </c>
      <c r="E947" s="13" t="n">
        <v>661.34</v>
      </c>
      <c r="F947" s="13" t="s">
        <v>5288</v>
      </c>
      <c r="G947" s="13" t="s">
        <v>5289</v>
      </c>
      <c r="H947" s="13" t="s">
        <v>5289</v>
      </c>
      <c r="I947" s="13" t="s">
        <v>5289</v>
      </c>
      <c r="J947" s="13" t="s">
        <v>5289</v>
      </c>
      <c r="K947" s="13" t="s">
        <v>5289</v>
      </c>
      <c r="L947" s="13" t="s">
        <v>5699</v>
      </c>
      <c r="M947" s="13"/>
      <c r="N947" s="13" t="n">
        <v>8411061067925</v>
      </c>
      <c r="O947" s="13"/>
      <c r="P947" s="13" t="s">
        <v>5291</v>
      </c>
      <c r="Q947" s="13" t="s">
        <v>5289</v>
      </c>
      <c r="R947" s="13" t="s">
        <v>5292</v>
      </c>
      <c r="S947" s="13" t="s">
        <v>5293</v>
      </c>
      <c r="T947" s="13" t="s">
        <v>4</v>
      </c>
      <c r="U947" s="13" t="s">
        <v>43</v>
      </c>
      <c r="V947" s="13" t="n">
        <f aca="false">IF(COUNTIF($B$2:B947,B947)=1,1,0)</f>
        <v>0</v>
      </c>
      <c r="W947" s="13" t="n">
        <f aca="false">IF(COUNTIFS($B$2:B947,B947,$T$2:T947,T947)=1,1,0)</f>
        <v>0</v>
      </c>
    </row>
    <row r="948" customFormat="false" ht="15" hidden="false" customHeight="false" outlineLevel="0" collapsed="false">
      <c r="A948" s="13" t="s">
        <v>354</v>
      </c>
      <c r="B948" s="13" t="s">
        <v>92</v>
      </c>
      <c r="C948" s="13" t="n">
        <v>10500</v>
      </c>
      <c r="D948" s="13" t="n">
        <v>20</v>
      </c>
      <c r="E948" s="13" t="n">
        <v>457.995217391304</v>
      </c>
      <c r="F948" s="13" t="s">
        <v>5325</v>
      </c>
      <c r="G948" s="13" t="s">
        <v>5289</v>
      </c>
      <c r="H948" s="13" t="s">
        <v>5292</v>
      </c>
      <c r="I948" s="13" t="s">
        <v>5289</v>
      </c>
      <c r="J948" s="13" t="s">
        <v>5289</v>
      </c>
      <c r="K948" s="13" t="s">
        <v>5289</v>
      </c>
      <c r="L948" s="13" t="s">
        <v>5700</v>
      </c>
      <c r="M948" s="13"/>
      <c r="N948" s="13" t="n">
        <v>688575201901</v>
      </c>
      <c r="O948" s="13"/>
      <c r="P948" s="13" t="s">
        <v>5291</v>
      </c>
      <c r="Q948" s="13" t="s">
        <v>5289</v>
      </c>
      <c r="R948" s="13" t="s">
        <v>5292</v>
      </c>
      <c r="S948" s="13" t="s">
        <v>5293</v>
      </c>
      <c r="T948" s="13" t="s">
        <v>4</v>
      </c>
      <c r="U948" s="13" t="s">
        <v>43</v>
      </c>
      <c r="V948" s="13" t="n">
        <f aca="false">IF(COUNTIF($B$2:B948,B948)=1,1,0)</f>
        <v>0</v>
      </c>
      <c r="W948" s="13" t="n">
        <f aca="false">IF(COUNTIFS($B$2:B948,B948,$T$2:T948,T948)=1,1,0)</f>
        <v>0</v>
      </c>
    </row>
    <row r="949" customFormat="false" ht="15" hidden="false" customHeight="false" outlineLevel="0" collapsed="false">
      <c r="A949" s="13" t="s">
        <v>44</v>
      </c>
      <c r="B949" s="13" t="s">
        <v>42</v>
      </c>
      <c r="C949" s="13" t="n">
        <v>10500</v>
      </c>
      <c r="D949" s="13" t="n">
        <v>20</v>
      </c>
      <c r="E949" s="13" t="n">
        <v>456.72</v>
      </c>
      <c r="F949" s="13" t="s">
        <v>5288</v>
      </c>
      <c r="G949" s="13" t="s">
        <v>5289</v>
      </c>
      <c r="H949" s="13" t="s">
        <v>5289</v>
      </c>
      <c r="I949" s="13" t="s">
        <v>5289</v>
      </c>
      <c r="J949" s="13" t="s">
        <v>5289</v>
      </c>
      <c r="K949" s="13" t="s">
        <v>5289</v>
      </c>
      <c r="L949" s="13" t="s">
        <v>5701</v>
      </c>
      <c r="M949" s="13"/>
      <c r="N949" s="13" t="n">
        <v>8411061041673</v>
      </c>
      <c r="O949" s="13"/>
      <c r="P949" s="13" t="s">
        <v>5291</v>
      </c>
      <c r="Q949" s="13" t="s">
        <v>5289</v>
      </c>
      <c r="R949" s="13" t="s">
        <v>5292</v>
      </c>
      <c r="S949" s="13" t="s">
        <v>5293</v>
      </c>
      <c r="T949" s="13" t="s">
        <v>4</v>
      </c>
      <c r="U949" s="13" t="s">
        <v>43</v>
      </c>
      <c r="V949" s="13" t="n">
        <f aca="false">IF(COUNTIF($B$2:B949,B949)=1,1,0)</f>
        <v>0</v>
      </c>
      <c r="W949" s="13" t="n">
        <f aca="false">IF(COUNTIFS($B$2:B949,B949,$T$2:T949,T949)=1,1,0)</f>
        <v>0</v>
      </c>
    </row>
    <row r="950" customFormat="false" ht="15" hidden="false" customHeight="false" outlineLevel="0" collapsed="false">
      <c r="A950" s="13" t="s">
        <v>296</v>
      </c>
      <c r="B950" s="13" t="s">
        <v>42</v>
      </c>
      <c r="C950" s="13" t="n">
        <v>10400</v>
      </c>
      <c r="D950" s="13" t="n">
        <v>20</v>
      </c>
      <c r="E950" s="13" t="n">
        <v>647.66</v>
      </c>
      <c r="F950" s="13" t="s">
        <v>5325</v>
      </c>
      <c r="G950" s="13" t="s">
        <v>5289</v>
      </c>
      <c r="H950" s="13" t="s">
        <v>5289</v>
      </c>
      <c r="I950" s="13" t="s">
        <v>5289</v>
      </c>
      <c r="J950" s="13" t="s">
        <v>5289</v>
      </c>
      <c r="K950" s="13" t="s">
        <v>5289</v>
      </c>
      <c r="L950" s="13" t="s">
        <v>5702</v>
      </c>
      <c r="M950" s="13"/>
      <c r="N950" s="13" t="n">
        <v>8411061865583</v>
      </c>
      <c r="O950" s="13"/>
      <c r="P950" s="13" t="s">
        <v>5291</v>
      </c>
      <c r="Q950" s="13" t="s">
        <v>5289</v>
      </c>
      <c r="R950" s="13" t="s">
        <v>5292</v>
      </c>
      <c r="S950" s="13" t="s">
        <v>5293</v>
      </c>
      <c r="T950" s="13" t="s">
        <v>4</v>
      </c>
      <c r="U950" s="13" t="s">
        <v>43</v>
      </c>
      <c r="V950" s="13" t="n">
        <f aca="false">IF(COUNTIF($B$2:B950,B950)=1,1,0)</f>
        <v>0</v>
      </c>
      <c r="W950" s="13" t="n">
        <f aca="false">IF(COUNTIFS($B$2:B950,B950,$T$2:T950,T950)=1,1,0)</f>
        <v>0</v>
      </c>
    </row>
    <row r="951" customFormat="false" ht="15" hidden="false" customHeight="false" outlineLevel="0" collapsed="false">
      <c r="A951" s="13" t="s">
        <v>358</v>
      </c>
      <c r="B951" s="13" t="s">
        <v>42</v>
      </c>
      <c r="C951" s="13" t="n">
        <v>10300</v>
      </c>
      <c r="D951" s="13" t="n">
        <v>20</v>
      </c>
      <c r="E951" s="13" t="n">
        <v>571.12</v>
      </c>
      <c r="F951" s="13" t="s">
        <v>5288</v>
      </c>
      <c r="G951" s="13" t="s">
        <v>5289</v>
      </c>
      <c r="H951" s="13" t="s">
        <v>5289</v>
      </c>
      <c r="I951" s="13" t="s">
        <v>5289</v>
      </c>
      <c r="J951" s="13" t="s">
        <v>5289</v>
      </c>
      <c r="K951" s="13" t="s">
        <v>5289</v>
      </c>
      <c r="L951" s="13" t="s">
        <v>5703</v>
      </c>
      <c r="M951" s="13"/>
      <c r="N951" s="13" t="n">
        <v>8.41106112391184E+025</v>
      </c>
      <c r="O951" s="13"/>
      <c r="P951" s="13" t="s">
        <v>5291</v>
      </c>
      <c r="Q951" s="13" t="s">
        <v>5289</v>
      </c>
      <c r="R951" s="13" t="s">
        <v>5292</v>
      </c>
      <c r="S951" s="13" t="s">
        <v>5293</v>
      </c>
      <c r="T951" s="13" t="s">
        <v>4</v>
      </c>
      <c r="U951" s="13" t="s">
        <v>43</v>
      </c>
      <c r="V951" s="13" t="n">
        <f aca="false">IF(COUNTIF($B$2:B951,B951)=1,1,0)</f>
        <v>0</v>
      </c>
      <c r="W951" s="13" t="n">
        <f aca="false">IF(COUNTIFS($B$2:B951,B951,$T$2:T951,T951)=1,1,0)</f>
        <v>0</v>
      </c>
    </row>
    <row r="952" customFormat="false" ht="15" hidden="false" customHeight="false" outlineLevel="0" collapsed="false">
      <c r="A952" s="13" t="s">
        <v>361</v>
      </c>
      <c r="B952" s="13" t="s">
        <v>186</v>
      </c>
      <c r="C952" s="13" t="n">
        <v>10200</v>
      </c>
      <c r="D952" s="13" t="n">
        <v>20</v>
      </c>
      <c r="E952" s="13" t="n">
        <v>508.0015</v>
      </c>
      <c r="F952" s="13" t="s">
        <v>5325</v>
      </c>
      <c r="G952" s="13" t="s">
        <v>5289</v>
      </c>
      <c r="H952" s="13" t="s">
        <v>5292</v>
      </c>
      <c r="I952" s="13" t="s">
        <v>5289</v>
      </c>
      <c r="J952" s="13" t="s">
        <v>5289</v>
      </c>
      <c r="K952" s="13" t="s">
        <v>5289</v>
      </c>
      <c r="L952" s="13" t="s">
        <v>5704</v>
      </c>
      <c r="M952" s="13"/>
      <c r="N952" s="13" t="n">
        <v>88300601400</v>
      </c>
      <c r="O952" s="13"/>
      <c r="P952" s="13" t="s">
        <v>5291</v>
      </c>
      <c r="Q952" s="13" t="s">
        <v>5289</v>
      </c>
      <c r="R952" s="13" t="s">
        <v>5292</v>
      </c>
      <c r="S952" s="13" t="s">
        <v>5293</v>
      </c>
      <c r="T952" s="13" t="s">
        <v>4</v>
      </c>
      <c r="U952" s="13" t="s">
        <v>43</v>
      </c>
      <c r="V952" s="13" t="n">
        <f aca="false">IF(COUNTIF($B$2:B952,B952)=1,1,0)</f>
        <v>0</v>
      </c>
      <c r="W952" s="13" t="n">
        <f aca="false">IF(COUNTIFS($B$2:B952,B952,$T$2:T952,T952)=1,1,0)</f>
        <v>0</v>
      </c>
    </row>
    <row r="953" customFormat="false" ht="15" hidden="false" customHeight="false" outlineLevel="0" collapsed="false">
      <c r="A953" s="13" t="s">
        <v>363</v>
      </c>
      <c r="B953" s="13" t="s">
        <v>362</v>
      </c>
      <c r="C953" s="13" t="n">
        <v>10100</v>
      </c>
      <c r="D953" s="13" t="n">
        <v>20</v>
      </c>
      <c r="E953" s="13" t="n">
        <v>671.778666666667</v>
      </c>
      <c r="F953" s="13" t="s">
        <v>5288</v>
      </c>
      <c r="G953" s="13" t="s">
        <v>5289</v>
      </c>
      <c r="H953" s="13" t="s">
        <v>5292</v>
      </c>
      <c r="I953" s="13" t="s">
        <v>5289</v>
      </c>
      <c r="J953" s="13" t="s">
        <v>5289</v>
      </c>
      <c r="K953" s="13" t="s">
        <v>5289</v>
      </c>
      <c r="L953" s="13" t="s">
        <v>5705</v>
      </c>
      <c r="M953" s="13"/>
      <c r="N953" s="13" t="n">
        <v>3386460153720</v>
      </c>
      <c r="O953" s="13"/>
      <c r="P953" s="13" t="s">
        <v>5291</v>
      </c>
      <c r="Q953" s="13" t="s">
        <v>5289</v>
      </c>
      <c r="R953" s="13" t="s">
        <v>5292</v>
      </c>
      <c r="S953" s="13" t="s">
        <v>5293</v>
      </c>
      <c r="T953" s="13" t="s">
        <v>4</v>
      </c>
      <c r="U953" s="13" t="s">
        <v>43</v>
      </c>
      <c r="V953" s="13" t="n">
        <f aca="false">IF(COUNTIF($B$2:B953,B953)=1,1,0)</f>
        <v>0</v>
      </c>
      <c r="W953" s="13" t="n">
        <f aca="false">IF(COUNTIFS($B$2:B953,B953,$T$2:T953,T953)=1,1,0)</f>
        <v>1</v>
      </c>
    </row>
    <row r="954" customFormat="false" ht="15" hidden="false" customHeight="false" outlineLevel="0" collapsed="false">
      <c r="A954" s="13" t="s">
        <v>171</v>
      </c>
      <c r="B954" s="13" t="s">
        <v>161</v>
      </c>
      <c r="C954" s="13" t="n">
        <v>10000</v>
      </c>
      <c r="D954" s="13" t="n">
        <v>40</v>
      </c>
      <c r="E954" s="13" t="n">
        <v>269.658108108108</v>
      </c>
      <c r="F954" s="13" t="s">
        <v>5288</v>
      </c>
      <c r="G954" s="13" t="s">
        <v>5289</v>
      </c>
      <c r="H954" s="13" t="s">
        <v>5292</v>
      </c>
      <c r="I954" s="13" t="s">
        <v>5289</v>
      </c>
      <c r="J954" s="13" t="s">
        <v>5289</v>
      </c>
      <c r="K954" s="13" t="s">
        <v>5289</v>
      </c>
      <c r="L954" s="13" t="s">
        <v>5666</v>
      </c>
      <c r="M954" s="13"/>
      <c r="N954" s="13" t="n">
        <v>3355991002319</v>
      </c>
      <c r="O954" s="13"/>
      <c r="P954" s="13" t="s">
        <v>5291</v>
      </c>
      <c r="Q954" s="13" t="s">
        <v>5289</v>
      </c>
      <c r="R954" s="13" t="s">
        <v>5292</v>
      </c>
      <c r="S954" s="13" t="s">
        <v>5293</v>
      </c>
      <c r="T954" s="13" t="s">
        <v>4</v>
      </c>
      <c r="U954" s="13" t="s">
        <v>43</v>
      </c>
      <c r="V954" s="13" t="n">
        <f aca="false">IF(COUNTIF($B$2:B954,B954)=1,1,0)</f>
        <v>0</v>
      </c>
      <c r="W954" s="13" t="n">
        <f aca="false">IF(COUNTIFS($B$2:B954,B954,$T$2:T954,T954)=1,1,0)</f>
        <v>0</v>
      </c>
    </row>
    <row r="955" customFormat="false" ht="15" hidden="false" customHeight="false" outlineLevel="0" collapsed="false">
      <c r="A955" s="13" t="s">
        <v>49</v>
      </c>
      <c r="B955" s="13" t="s">
        <v>45</v>
      </c>
      <c r="C955" s="13" t="n">
        <v>9900</v>
      </c>
      <c r="D955" s="13" t="n">
        <v>10</v>
      </c>
      <c r="E955" s="13" t="n">
        <v>900.859090909091</v>
      </c>
      <c r="F955" s="13" t="s">
        <v>5325</v>
      </c>
      <c r="G955" s="13" t="s">
        <v>5289</v>
      </c>
      <c r="H955" s="13" t="s">
        <v>5289</v>
      </c>
      <c r="I955" s="13" t="s">
        <v>5289</v>
      </c>
      <c r="J955" s="13" t="s">
        <v>5289</v>
      </c>
      <c r="K955" s="13" t="s">
        <v>5289</v>
      </c>
      <c r="L955" s="13" t="s">
        <v>5662</v>
      </c>
      <c r="M955" s="13"/>
      <c r="N955" s="13" t="n">
        <v>8435415032360</v>
      </c>
      <c r="O955" s="13"/>
      <c r="P955" s="13" t="s">
        <v>5291</v>
      </c>
      <c r="Q955" s="13" t="s">
        <v>5289</v>
      </c>
      <c r="R955" s="13" t="s">
        <v>5292</v>
      </c>
      <c r="S955" s="13" t="s">
        <v>5293</v>
      </c>
      <c r="T955" s="13" t="s">
        <v>4</v>
      </c>
      <c r="U955" s="13" t="s">
        <v>43</v>
      </c>
      <c r="V955" s="13" t="n">
        <f aca="false">IF(COUNTIF($B$2:B955,B955)=1,1,0)</f>
        <v>0</v>
      </c>
      <c r="W955" s="13" t="n">
        <f aca="false">IF(COUNTIFS($B$2:B955,B955,$T$2:T955,T955)=1,1,0)</f>
        <v>0</v>
      </c>
    </row>
    <row r="956" customFormat="false" ht="15" hidden="false" customHeight="false" outlineLevel="0" collapsed="false">
      <c r="A956" s="13" t="s">
        <v>369</v>
      </c>
      <c r="B956" s="13" t="s">
        <v>69</v>
      </c>
      <c r="C956" s="13" t="n">
        <v>9800</v>
      </c>
      <c r="D956" s="13" t="n">
        <v>5</v>
      </c>
      <c r="E956" s="13" t="n">
        <v>983.956</v>
      </c>
      <c r="F956" s="13" t="s">
        <v>5325</v>
      </c>
      <c r="G956" s="13" t="s">
        <v>5289</v>
      </c>
      <c r="H956" s="13" t="s">
        <v>5292</v>
      </c>
      <c r="I956" s="13" t="s">
        <v>5289</v>
      </c>
      <c r="J956" s="13" t="s">
        <v>5289</v>
      </c>
      <c r="K956" s="13" t="s">
        <v>5289</v>
      </c>
      <c r="L956" s="13" t="s">
        <v>5706</v>
      </c>
      <c r="M956" s="13"/>
      <c r="N956" s="13" t="n">
        <v>3614274114645</v>
      </c>
      <c r="O956" s="13"/>
      <c r="P956" s="13" t="s">
        <v>5297</v>
      </c>
      <c r="Q956" s="13" t="s">
        <v>5289</v>
      </c>
      <c r="R956" s="13" t="s">
        <v>5292</v>
      </c>
      <c r="S956" s="13" t="s">
        <v>5293</v>
      </c>
      <c r="T956" s="13" t="s">
        <v>4</v>
      </c>
      <c r="U956" s="13" t="s">
        <v>43</v>
      </c>
      <c r="V956" s="13" t="n">
        <f aca="false">IF(COUNTIF($B$2:B956,B956)=1,1,0)</f>
        <v>0</v>
      </c>
      <c r="W956" s="13" t="n">
        <f aca="false">IF(COUNTIFS($B$2:B956,B956,$T$2:T956,T956)=1,1,0)</f>
        <v>1</v>
      </c>
    </row>
    <row r="957" customFormat="false" ht="15" hidden="false" customHeight="false" outlineLevel="0" collapsed="false">
      <c r="A957" s="13" t="s">
        <v>213</v>
      </c>
      <c r="B957" s="13" t="s">
        <v>42</v>
      </c>
      <c r="C957" s="13" t="n">
        <v>9600</v>
      </c>
      <c r="D957" s="13" t="n">
        <v>10</v>
      </c>
      <c r="E957" s="13" t="n">
        <v>735.08</v>
      </c>
      <c r="F957" s="13" t="s">
        <v>5325</v>
      </c>
      <c r="G957" s="13" t="s">
        <v>5289</v>
      </c>
      <c r="H957" s="13" t="s">
        <v>5289</v>
      </c>
      <c r="I957" s="13" t="s">
        <v>5289</v>
      </c>
      <c r="J957" s="13" t="s">
        <v>5289</v>
      </c>
      <c r="K957" s="13" t="s">
        <v>5289</v>
      </c>
      <c r="L957" s="13" t="s">
        <v>5670</v>
      </c>
      <c r="M957" s="13"/>
      <c r="N957" s="13" t="n">
        <v>8411061088173</v>
      </c>
      <c r="O957" s="13"/>
      <c r="P957" s="13" t="s">
        <v>5291</v>
      </c>
      <c r="Q957" s="13" t="s">
        <v>5289</v>
      </c>
      <c r="R957" s="13" t="s">
        <v>5292</v>
      </c>
      <c r="S957" s="13" t="s">
        <v>5293</v>
      </c>
      <c r="T957" s="13" t="s">
        <v>4</v>
      </c>
      <c r="U957" s="13" t="s">
        <v>43</v>
      </c>
      <c r="V957" s="13" t="n">
        <f aca="false">IF(COUNTIF($B$2:B957,B957)=1,1,0)</f>
        <v>0</v>
      </c>
      <c r="W957" s="13" t="n">
        <f aca="false">IF(COUNTIFS($B$2:B957,B957,$T$2:T957,T957)=1,1,0)</f>
        <v>0</v>
      </c>
    </row>
    <row r="958" customFormat="false" ht="15" hidden="false" customHeight="false" outlineLevel="0" collapsed="false">
      <c r="A958" s="13" t="s">
        <v>374</v>
      </c>
      <c r="B958" s="13" t="s">
        <v>42</v>
      </c>
      <c r="C958" s="13" t="n">
        <v>9500</v>
      </c>
      <c r="D958" s="13" t="n">
        <v>10</v>
      </c>
      <c r="E958" s="13" t="n">
        <v>730.14</v>
      </c>
      <c r="F958" s="13" t="s">
        <v>5325</v>
      </c>
      <c r="G958" s="13" t="s">
        <v>5289</v>
      </c>
      <c r="H958" s="13" t="s">
        <v>5292</v>
      </c>
      <c r="I958" s="13" t="s">
        <v>5289</v>
      </c>
      <c r="J958" s="13" t="s">
        <v>5289</v>
      </c>
      <c r="K958" s="13" t="s">
        <v>5289</v>
      </c>
      <c r="L958" s="13" t="s">
        <v>5660</v>
      </c>
      <c r="M958" s="13"/>
      <c r="N958" s="13" t="n">
        <v>8411061105016</v>
      </c>
      <c r="O958" s="13"/>
      <c r="P958" s="13" t="s">
        <v>5291</v>
      </c>
      <c r="Q958" s="13" t="s">
        <v>5289</v>
      </c>
      <c r="R958" s="13" t="s">
        <v>5292</v>
      </c>
      <c r="S958" s="13" t="s">
        <v>5293</v>
      </c>
      <c r="T958" s="13" t="s">
        <v>4</v>
      </c>
      <c r="U958" s="13" t="s">
        <v>43</v>
      </c>
      <c r="V958" s="13" t="n">
        <f aca="false">IF(COUNTIF($B$2:B958,B958)=1,1,0)</f>
        <v>0</v>
      </c>
      <c r="W958" s="13" t="n">
        <f aca="false">IF(COUNTIFS($B$2:B958,B958,$T$2:T958,T958)=1,1,0)</f>
        <v>0</v>
      </c>
    </row>
    <row r="959" customFormat="false" ht="15" hidden="false" customHeight="false" outlineLevel="0" collapsed="false">
      <c r="A959" s="13" t="s">
        <v>113</v>
      </c>
      <c r="B959" s="13" t="s">
        <v>45</v>
      </c>
      <c r="C959" s="13" t="n">
        <v>9500</v>
      </c>
      <c r="D959" s="13" t="n">
        <v>10</v>
      </c>
      <c r="E959" s="13" t="n">
        <v>789.65</v>
      </c>
      <c r="F959" s="13" t="s">
        <v>5288</v>
      </c>
      <c r="G959" s="13" t="s">
        <v>5289</v>
      </c>
      <c r="H959" s="13" t="s">
        <v>5289</v>
      </c>
      <c r="I959" s="13" t="s">
        <v>5289</v>
      </c>
      <c r="J959" s="13" t="s">
        <v>5289</v>
      </c>
      <c r="K959" s="13" t="s">
        <v>5289</v>
      </c>
      <c r="L959" s="13" t="s">
        <v>5707</v>
      </c>
      <c r="M959" s="13"/>
      <c r="N959" s="13" t="n">
        <v>8435415059060</v>
      </c>
      <c r="O959" s="13"/>
      <c r="P959" s="13" t="s">
        <v>5291</v>
      </c>
      <c r="Q959" s="13" t="s">
        <v>5289</v>
      </c>
      <c r="R959" s="13" t="s">
        <v>5292</v>
      </c>
      <c r="S959" s="13" t="s">
        <v>5293</v>
      </c>
      <c r="T959" s="13" t="s">
        <v>4</v>
      </c>
      <c r="U959" s="13" t="s">
        <v>43</v>
      </c>
      <c r="V959" s="13" t="n">
        <f aca="false">IF(COUNTIF($B$2:B959,B959)=1,1,0)</f>
        <v>0</v>
      </c>
      <c r="W959" s="13" t="n">
        <f aca="false">IF(COUNTIFS($B$2:B959,B959,$T$2:T959,T959)=1,1,0)</f>
        <v>0</v>
      </c>
    </row>
    <row r="960" customFormat="false" ht="15" hidden="false" customHeight="false" outlineLevel="0" collapsed="false">
      <c r="A960" s="13" t="s">
        <v>189</v>
      </c>
      <c r="B960" s="13" t="s">
        <v>50</v>
      </c>
      <c r="C960" s="13" t="n">
        <v>9300</v>
      </c>
      <c r="D960" s="13" t="n">
        <v>10</v>
      </c>
      <c r="E960" s="13" t="n">
        <v>715.17</v>
      </c>
      <c r="F960" s="13" t="s">
        <v>5325</v>
      </c>
      <c r="G960" s="13" t="s">
        <v>5289</v>
      </c>
      <c r="H960" s="13" t="s">
        <v>5289</v>
      </c>
      <c r="I960" s="13" t="s">
        <v>5289</v>
      </c>
      <c r="J960" s="13" t="s">
        <v>5289</v>
      </c>
      <c r="K960" s="13" t="s">
        <v>5289</v>
      </c>
      <c r="L960" s="13" t="s">
        <v>5708</v>
      </c>
      <c r="M960" s="13"/>
      <c r="N960" s="13" t="n">
        <v>3349668582297</v>
      </c>
      <c r="O960" s="13"/>
      <c r="P960" s="13" t="s">
        <v>5291</v>
      </c>
      <c r="Q960" s="13" t="s">
        <v>5289</v>
      </c>
      <c r="R960" s="13" t="s">
        <v>5292</v>
      </c>
      <c r="S960" s="13" t="s">
        <v>5293</v>
      </c>
      <c r="T960" s="13" t="s">
        <v>4</v>
      </c>
      <c r="U960" s="13" t="s">
        <v>43</v>
      </c>
      <c r="V960" s="13" t="n">
        <f aca="false">IF(COUNTIF($B$2:B960,B960)=1,1,0)</f>
        <v>0</v>
      </c>
      <c r="W960" s="13" t="n">
        <f aca="false">IF(COUNTIFS($B$2:B960,B960,$T$2:T960,T960)=1,1,0)</f>
        <v>0</v>
      </c>
    </row>
    <row r="961" customFormat="false" ht="15" hidden="false" customHeight="false" outlineLevel="0" collapsed="false">
      <c r="A961" s="13" t="s">
        <v>386</v>
      </c>
      <c r="B961" s="13" t="s">
        <v>79</v>
      </c>
      <c r="C961" s="13" t="n">
        <v>9300</v>
      </c>
      <c r="D961" s="13" t="n">
        <v>20</v>
      </c>
      <c r="E961" s="13" t="n">
        <v>488.863684210526</v>
      </c>
      <c r="F961" s="13" t="s">
        <v>5325</v>
      </c>
      <c r="G961" s="13" t="s">
        <v>5289</v>
      </c>
      <c r="H961" s="13" t="s">
        <v>5292</v>
      </c>
      <c r="I961" s="13" t="s">
        <v>5289</v>
      </c>
      <c r="J961" s="13" t="s">
        <v>5289</v>
      </c>
      <c r="K961" s="13" t="s">
        <v>5289</v>
      </c>
      <c r="L961" s="13" t="s">
        <v>5709</v>
      </c>
      <c r="M961" s="13"/>
      <c r="N961" s="13" t="n">
        <v>8056669925927</v>
      </c>
      <c r="O961" s="13"/>
      <c r="P961" s="13" t="s">
        <v>5291</v>
      </c>
      <c r="Q961" s="13" t="s">
        <v>5289</v>
      </c>
      <c r="R961" s="13" t="s">
        <v>5292</v>
      </c>
      <c r="S961" s="13" t="s">
        <v>5293</v>
      </c>
      <c r="T961" s="13" t="s">
        <v>4</v>
      </c>
      <c r="U961" s="13" t="s">
        <v>43</v>
      </c>
      <c r="V961" s="13" t="n">
        <f aca="false">IF(COUNTIF($B$2:B961,B961)=1,1,0)</f>
        <v>0</v>
      </c>
      <c r="W961" s="13" t="n">
        <f aca="false">IF(COUNTIFS($B$2:B961,B961,$T$2:T961,T961)=1,1,0)</f>
        <v>0</v>
      </c>
    </row>
    <row r="962" customFormat="false" ht="15" hidden="false" customHeight="false" outlineLevel="0" collapsed="false">
      <c r="A962" s="13" t="s">
        <v>378</v>
      </c>
      <c r="B962" s="13" t="s">
        <v>50</v>
      </c>
      <c r="C962" s="13" t="n">
        <v>9300</v>
      </c>
      <c r="D962" s="13" t="n">
        <v>10</v>
      </c>
      <c r="E962" s="13" t="n">
        <v>712.94</v>
      </c>
      <c r="F962" s="13" t="s">
        <v>5288</v>
      </c>
      <c r="G962" s="13" t="s">
        <v>5289</v>
      </c>
      <c r="H962" s="13" t="s">
        <v>5289</v>
      </c>
      <c r="I962" s="13" t="s">
        <v>5289</v>
      </c>
      <c r="J962" s="13" t="s">
        <v>5289</v>
      </c>
      <c r="K962" s="13" t="s">
        <v>5289</v>
      </c>
      <c r="L962" s="13" t="s">
        <v>5710</v>
      </c>
      <c r="M962" s="13"/>
      <c r="N962" s="13" t="n">
        <v>3349668614592</v>
      </c>
      <c r="O962" s="13"/>
      <c r="P962" s="13" t="s">
        <v>5291</v>
      </c>
      <c r="Q962" s="13" t="s">
        <v>5289</v>
      </c>
      <c r="R962" s="13" t="s">
        <v>5292</v>
      </c>
      <c r="S962" s="13" t="s">
        <v>5293</v>
      </c>
      <c r="T962" s="13" t="s">
        <v>4</v>
      </c>
      <c r="U962" s="13" t="s">
        <v>43</v>
      </c>
      <c r="V962" s="13" t="n">
        <f aca="false">IF(COUNTIF($B$2:B962,B962)=1,1,0)</f>
        <v>0</v>
      </c>
      <c r="W962" s="13" t="n">
        <f aca="false">IF(COUNTIFS($B$2:B962,B962,$T$2:T962,T962)=1,1,0)</f>
        <v>0</v>
      </c>
    </row>
    <row r="963" customFormat="false" ht="15" hidden="false" customHeight="false" outlineLevel="0" collapsed="false">
      <c r="A963" s="13" t="s">
        <v>388</v>
      </c>
      <c r="B963" s="13" t="s">
        <v>126</v>
      </c>
      <c r="C963" s="13" t="n">
        <v>9200</v>
      </c>
      <c r="D963" s="13" t="n">
        <v>50</v>
      </c>
      <c r="E963" s="13" t="n">
        <v>186.993673469388</v>
      </c>
      <c r="F963" s="13" t="s">
        <v>5288</v>
      </c>
      <c r="G963" s="13" t="s">
        <v>5289</v>
      </c>
      <c r="H963" s="13" t="s">
        <v>5292</v>
      </c>
      <c r="I963" s="13" t="s">
        <v>5289</v>
      </c>
      <c r="J963" s="13" t="s">
        <v>5289</v>
      </c>
      <c r="K963" s="13" t="s">
        <v>5289</v>
      </c>
      <c r="L963" s="13" t="s">
        <v>5711</v>
      </c>
      <c r="M963" s="13"/>
      <c r="N963" s="13" t="n">
        <v>3414206000592</v>
      </c>
      <c r="O963" s="13"/>
      <c r="P963" s="13" t="s">
        <v>5291</v>
      </c>
      <c r="Q963" s="13" t="s">
        <v>5289</v>
      </c>
      <c r="R963" s="13" t="s">
        <v>5292</v>
      </c>
      <c r="S963" s="13" t="s">
        <v>5293</v>
      </c>
      <c r="T963" s="13" t="s">
        <v>4</v>
      </c>
      <c r="U963" s="13" t="s">
        <v>43</v>
      </c>
      <c r="V963" s="13" t="n">
        <f aca="false">IF(COUNTIF($B$2:B963,B963)=1,1,0)</f>
        <v>0</v>
      </c>
      <c r="W963" s="13" t="n">
        <f aca="false">IF(COUNTIFS($B$2:B963,B963,$T$2:T963,T963)=1,1,0)</f>
        <v>1</v>
      </c>
    </row>
    <row r="964" customFormat="false" ht="15" hidden="false" customHeight="false" outlineLevel="0" collapsed="false">
      <c r="A964" s="13" t="s">
        <v>113</v>
      </c>
      <c r="B964" s="13" t="s">
        <v>45</v>
      </c>
      <c r="C964" s="13" t="n">
        <v>9100</v>
      </c>
      <c r="D964" s="13" t="n">
        <v>10</v>
      </c>
      <c r="E964" s="13" t="n">
        <v>824.25</v>
      </c>
      <c r="F964" s="13" t="s">
        <v>5288</v>
      </c>
      <c r="G964" s="13" t="s">
        <v>5289</v>
      </c>
      <c r="H964" s="13" t="s">
        <v>5289</v>
      </c>
      <c r="I964" s="13" t="s">
        <v>5289</v>
      </c>
      <c r="J964" s="13" t="s">
        <v>5289</v>
      </c>
      <c r="K964" s="13" t="s">
        <v>5289</v>
      </c>
      <c r="L964" s="13" t="s">
        <v>5712</v>
      </c>
      <c r="M964" s="13"/>
      <c r="N964" s="13" t="n">
        <v>8435415055963</v>
      </c>
      <c r="O964" s="13"/>
      <c r="P964" s="13" t="s">
        <v>5291</v>
      </c>
      <c r="Q964" s="13" t="s">
        <v>5289</v>
      </c>
      <c r="R964" s="13" t="s">
        <v>5292</v>
      </c>
      <c r="S964" s="13" t="s">
        <v>5293</v>
      </c>
      <c r="T964" s="13" t="s">
        <v>4</v>
      </c>
      <c r="U964" s="13" t="s">
        <v>43</v>
      </c>
      <c r="V964" s="13" t="n">
        <f aca="false">IF(COUNTIF($B$2:B964,B964)=1,1,0)</f>
        <v>0</v>
      </c>
      <c r="W964" s="13" t="n">
        <f aca="false">IF(COUNTIFS($B$2:B964,B964,$T$2:T964,T964)=1,1,0)</f>
        <v>0</v>
      </c>
    </row>
    <row r="965" customFormat="false" ht="15" hidden="false" customHeight="false" outlineLevel="0" collapsed="false">
      <c r="A965" s="13" t="s">
        <v>398</v>
      </c>
      <c r="B965" s="13" t="s">
        <v>270</v>
      </c>
      <c r="C965" s="13" t="n">
        <v>9000</v>
      </c>
      <c r="D965" s="13" t="n">
        <v>30</v>
      </c>
      <c r="E965" s="13" t="n">
        <v>310.972068965517</v>
      </c>
      <c r="F965" s="13" t="s">
        <v>5288</v>
      </c>
      <c r="G965" s="13" t="s">
        <v>5289</v>
      </c>
      <c r="H965" s="13" t="s">
        <v>5292</v>
      </c>
      <c r="I965" s="13" t="s">
        <v>5289</v>
      </c>
      <c r="J965" s="13" t="s">
        <v>5289</v>
      </c>
      <c r="K965" s="13" t="s">
        <v>5289</v>
      </c>
      <c r="L965" s="13" t="s">
        <v>5713</v>
      </c>
      <c r="M965" s="13"/>
      <c r="N965" s="13" t="n">
        <v>892456000174</v>
      </c>
      <c r="O965" s="13"/>
      <c r="P965" s="13" t="s">
        <v>5291</v>
      </c>
      <c r="Q965" s="13" t="s">
        <v>5289</v>
      </c>
      <c r="R965" s="13" t="s">
        <v>5292</v>
      </c>
      <c r="S965" s="13" t="s">
        <v>5293</v>
      </c>
      <c r="T965" s="13" t="s">
        <v>4</v>
      </c>
      <c r="U965" s="13" t="s">
        <v>43</v>
      </c>
      <c r="V965" s="13" t="n">
        <f aca="false">IF(COUNTIF($B$2:B965,B965)=1,1,0)</f>
        <v>0</v>
      </c>
      <c r="W965" s="13" t="n">
        <f aca="false">IF(COUNTIFS($B$2:B965,B965,$T$2:T965,T965)=1,1,0)</f>
        <v>1</v>
      </c>
    </row>
    <row r="966" customFormat="false" ht="15" hidden="false" customHeight="false" outlineLevel="0" collapsed="false">
      <c r="A966" s="13" t="s">
        <v>395</v>
      </c>
      <c r="B966" s="13" t="s">
        <v>42</v>
      </c>
      <c r="C966" s="13" t="n">
        <v>9000</v>
      </c>
      <c r="D966" s="13" t="n">
        <v>10</v>
      </c>
      <c r="E966" s="13" t="n">
        <v>642.93</v>
      </c>
      <c r="F966" s="13" t="s">
        <v>5288</v>
      </c>
      <c r="G966" s="13" t="s">
        <v>5289</v>
      </c>
      <c r="H966" s="13" t="s">
        <v>5289</v>
      </c>
      <c r="I966" s="13" t="s">
        <v>5289</v>
      </c>
      <c r="J966" s="13" t="s">
        <v>5289</v>
      </c>
      <c r="K966" s="13" t="s">
        <v>5289</v>
      </c>
      <c r="L966" s="13" t="s">
        <v>5669</v>
      </c>
      <c r="M966" s="13"/>
      <c r="N966" s="13" t="n">
        <v>8411061088166</v>
      </c>
      <c r="O966" s="13"/>
      <c r="P966" s="13" t="s">
        <v>5291</v>
      </c>
      <c r="Q966" s="13" t="s">
        <v>5289</v>
      </c>
      <c r="R966" s="13" t="s">
        <v>5292</v>
      </c>
      <c r="S966" s="13" t="s">
        <v>5293</v>
      </c>
      <c r="T966" s="13" t="s">
        <v>4</v>
      </c>
      <c r="U966" s="13" t="s">
        <v>43</v>
      </c>
      <c r="V966" s="13" t="n">
        <f aca="false">IF(COUNTIF($B$2:B966,B966)=1,1,0)</f>
        <v>0</v>
      </c>
      <c r="W966" s="13" t="n">
        <f aca="false">IF(COUNTIFS($B$2:B966,B966,$T$2:T966,T966)=1,1,0)</f>
        <v>0</v>
      </c>
    </row>
    <row r="967" customFormat="false" ht="15" hidden="false" customHeight="false" outlineLevel="0" collapsed="false">
      <c r="A967" s="13" t="s">
        <v>101</v>
      </c>
      <c r="B967" s="13" t="s">
        <v>45</v>
      </c>
      <c r="C967" s="13" t="n">
        <v>8800</v>
      </c>
      <c r="D967" s="13" t="n">
        <v>20</v>
      </c>
      <c r="E967" s="13" t="n">
        <v>585.65</v>
      </c>
      <c r="F967" s="13" t="s">
        <v>5288</v>
      </c>
      <c r="G967" s="13" t="s">
        <v>5289</v>
      </c>
      <c r="H967" s="13" t="s">
        <v>5289</v>
      </c>
      <c r="I967" s="13" t="s">
        <v>5289</v>
      </c>
      <c r="J967" s="13" t="s">
        <v>5289</v>
      </c>
      <c r="K967" s="13" t="s">
        <v>5289</v>
      </c>
      <c r="L967" s="13" t="s">
        <v>5714</v>
      </c>
      <c r="M967" s="13"/>
      <c r="N967" s="13" t="n">
        <v>8435415032278</v>
      </c>
      <c r="O967" s="13"/>
      <c r="P967" s="13" t="s">
        <v>5291</v>
      </c>
      <c r="Q967" s="13" t="s">
        <v>5289</v>
      </c>
      <c r="R967" s="13" t="s">
        <v>5292</v>
      </c>
      <c r="S967" s="13" t="s">
        <v>5293</v>
      </c>
      <c r="T967" s="13" t="s">
        <v>4</v>
      </c>
      <c r="U967" s="13" t="s">
        <v>43</v>
      </c>
      <c r="V967" s="13" t="n">
        <f aca="false">IF(COUNTIF($B$2:B967,B967)=1,1,0)</f>
        <v>0</v>
      </c>
      <c r="W967" s="13" t="n">
        <f aca="false">IF(COUNTIFS($B$2:B967,B967,$T$2:T967,T967)=1,1,0)</f>
        <v>0</v>
      </c>
    </row>
    <row r="968" customFormat="false" ht="15" hidden="false" customHeight="false" outlineLevel="0" collapsed="false">
      <c r="A968" s="13" t="s">
        <v>404</v>
      </c>
      <c r="B968" s="13" t="s">
        <v>50</v>
      </c>
      <c r="C968" s="13" t="n">
        <v>8600</v>
      </c>
      <c r="D968" s="13" t="n">
        <v>10</v>
      </c>
      <c r="E968" s="13" t="n">
        <v>712.94</v>
      </c>
      <c r="F968" s="13" t="s">
        <v>5288</v>
      </c>
      <c r="G968" s="13" t="s">
        <v>5292</v>
      </c>
      <c r="H968" s="13" t="s">
        <v>5289</v>
      </c>
      <c r="I968" s="13" t="s">
        <v>5289</v>
      </c>
      <c r="J968" s="13" t="s">
        <v>5289</v>
      </c>
      <c r="K968" s="13" t="s">
        <v>5289</v>
      </c>
      <c r="L968" s="13" t="s">
        <v>5715</v>
      </c>
      <c r="M968" s="13"/>
      <c r="N968" s="13" t="n">
        <v>3349668617050</v>
      </c>
      <c r="O968" s="13"/>
      <c r="P968" s="13" t="s">
        <v>5291</v>
      </c>
      <c r="Q968" s="13" t="s">
        <v>5289</v>
      </c>
      <c r="R968" s="13" t="s">
        <v>5292</v>
      </c>
      <c r="S968" s="13" t="s">
        <v>5293</v>
      </c>
      <c r="T968" s="13" t="s">
        <v>4</v>
      </c>
      <c r="U968" s="13" t="s">
        <v>43</v>
      </c>
      <c r="V968" s="13" t="n">
        <f aca="false">IF(COUNTIF($B$2:B968,B968)=1,1,0)</f>
        <v>0</v>
      </c>
      <c r="W968" s="13" t="n">
        <f aca="false">IF(COUNTIFS($B$2:B968,B968,$T$2:T968,T968)=1,1,0)</f>
        <v>0</v>
      </c>
    </row>
    <row r="969" customFormat="false" ht="15" hidden="false" customHeight="false" outlineLevel="0" collapsed="false">
      <c r="A969" s="13" t="s">
        <v>407</v>
      </c>
      <c r="B969" s="13" t="s">
        <v>79</v>
      </c>
      <c r="C969" s="13" t="n">
        <v>8500</v>
      </c>
      <c r="D969" s="13" t="n">
        <v>5</v>
      </c>
      <c r="E969" s="13" t="n">
        <v>1066.6125</v>
      </c>
      <c r="F969" s="13" t="s">
        <v>5288</v>
      </c>
      <c r="G969" s="13" t="s">
        <v>5289</v>
      </c>
      <c r="H969" s="13" t="s">
        <v>5292</v>
      </c>
      <c r="I969" s="13" t="s">
        <v>5289</v>
      </c>
      <c r="J969" s="13" t="s">
        <v>5289</v>
      </c>
      <c r="K969" s="13" t="s">
        <v>5289</v>
      </c>
      <c r="L969" s="13" t="s">
        <v>5716</v>
      </c>
      <c r="M969" s="13"/>
      <c r="N969" s="13" t="n">
        <v>8056669925897</v>
      </c>
      <c r="O969" s="13"/>
      <c r="P969" s="13" t="s">
        <v>5291</v>
      </c>
      <c r="Q969" s="13" t="s">
        <v>5289</v>
      </c>
      <c r="R969" s="13" t="s">
        <v>5292</v>
      </c>
      <c r="S969" s="13" t="s">
        <v>5293</v>
      </c>
      <c r="T969" s="13" t="s">
        <v>4</v>
      </c>
      <c r="U969" s="13" t="s">
        <v>43</v>
      </c>
      <c r="V969" s="13" t="n">
        <f aca="false">IF(COUNTIF($B$2:B969,B969)=1,1,0)</f>
        <v>0</v>
      </c>
      <c r="W969" s="13" t="n">
        <f aca="false">IF(COUNTIFS($B$2:B969,B969,$T$2:T969,T969)=1,1,0)</f>
        <v>0</v>
      </c>
    </row>
    <row r="970" customFormat="false" ht="15" hidden="false" customHeight="false" outlineLevel="0" collapsed="false">
      <c r="A970" s="13" t="s">
        <v>296</v>
      </c>
      <c r="B970" s="13" t="s">
        <v>42</v>
      </c>
      <c r="C970" s="13" t="n">
        <v>8400</v>
      </c>
      <c r="D970" s="13" t="n">
        <v>10</v>
      </c>
      <c r="E970" s="13" t="n">
        <v>599.43</v>
      </c>
      <c r="F970" s="13" t="s">
        <v>5288</v>
      </c>
      <c r="G970" s="13" t="s">
        <v>5289</v>
      </c>
      <c r="H970" s="13" t="s">
        <v>5289</v>
      </c>
      <c r="I970" s="13" t="s">
        <v>5289</v>
      </c>
      <c r="J970" s="13" t="s">
        <v>5289</v>
      </c>
      <c r="K970" s="13" t="s">
        <v>5289</v>
      </c>
      <c r="L970" s="13" t="s">
        <v>5702</v>
      </c>
      <c r="M970" s="13"/>
      <c r="N970" s="13" t="n">
        <v>8411061865583</v>
      </c>
      <c r="O970" s="13"/>
      <c r="P970" s="13" t="s">
        <v>5291</v>
      </c>
      <c r="Q970" s="13" t="s">
        <v>5289</v>
      </c>
      <c r="R970" s="13" t="s">
        <v>5292</v>
      </c>
      <c r="S970" s="13" t="s">
        <v>5293</v>
      </c>
      <c r="T970" s="13" t="s">
        <v>4</v>
      </c>
      <c r="U970" s="13" t="s">
        <v>43</v>
      </c>
      <c r="V970" s="13" t="n">
        <f aca="false">IF(COUNTIF($B$2:B970,B970)=1,1,0)</f>
        <v>0</v>
      </c>
      <c r="W970" s="13" t="n">
        <f aca="false">IF(COUNTIFS($B$2:B970,B970,$T$2:T970,T970)=1,1,0)</f>
        <v>0</v>
      </c>
    </row>
    <row r="971" customFormat="false" ht="15" hidden="false" customHeight="false" outlineLevel="0" collapsed="false">
      <c r="A971" s="13" t="s">
        <v>409</v>
      </c>
      <c r="B971" s="13" t="s">
        <v>45</v>
      </c>
      <c r="C971" s="13" t="n">
        <v>8400</v>
      </c>
      <c r="D971" s="13" t="n">
        <v>10</v>
      </c>
      <c r="E971" s="13" t="n">
        <v>761.607272727273</v>
      </c>
      <c r="F971" s="13" t="s">
        <v>5288</v>
      </c>
      <c r="G971" s="13" t="s">
        <v>5289</v>
      </c>
      <c r="H971" s="13" t="s">
        <v>5289</v>
      </c>
      <c r="I971" s="13" t="s">
        <v>5289</v>
      </c>
      <c r="J971" s="13" t="s">
        <v>5289</v>
      </c>
      <c r="K971" s="13" t="s">
        <v>5289</v>
      </c>
      <c r="L971" s="13" t="s">
        <v>5717</v>
      </c>
      <c r="M971" s="13"/>
      <c r="N971" s="13" t="n">
        <v>8435415091251</v>
      </c>
      <c r="O971" s="13"/>
      <c r="P971" s="13" t="s">
        <v>5291</v>
      </c>
      <c r="Q971" s="13" t="s">
        <v>5289</v>
      </c>
      <c r="R971" s="13" t="s">
        <v>5292</v>
      </c>
      <c r="S971" s="13" t="s">
        <v>5293</v>
      </c>
      <c r="T971" s="13" t="s">
        <v>4</v>
      </c>
      <c r="U971" s="13" t="s">
        <v>43</v>
      </c>
      <c r="V971" s="13" t="n">
        <f aca="false">IF(COUNTIF($B$2:B971,B971)=1,1,0)</f>
        <v>0</v>
      </c>
      <c r="W971" s="13" t="n">
        <f aca="false">IF(COUNTIFS($B$2:B971,B971,$T$2:T971,T971)=1,1,0)</f>
        <v>0</v>
      </c>
    </row>
    <row r="972" customFormat="false" ht="15" hidden="false" customHeight="false" outlineLevel="0" collapsed="false">
      <c r="A972" s="13" t="s">
        <v>412</v>
      </c>
      <c r="B972" s="13" t="s">
        <v>50</v>
      </c>
      <c r="C972" s="13" t="n">
        <v>8300</v>
      </c>
      <c r="D972" s="13" t="n">
        <v>10</v>
      </c>
      <c r="E972" s="13" t="n">
        <v>636.994615384615</v>
      </c>
      <c r="F972" s="13" t="s">
        <v>5288</v>
      </c>
      <c r="G972" s="13" t="s">
        <v>5289</v>
      </c>
      <c r="H972" s="13" t="s">
        <v>5289</v>
      </c>
      <c r="I972" s="13" t="s">
        <v>5289</v>
      </c>
      <c r="J972" s="13" t="s">
        <v>5289</v>
      </c>
      <c r="K972" s="13" t="s">
        <v>5289</v>
      </c>
      <c r="L972" s="13" t="s">
        <v>5718</v>
      </c>
      <c r="M972" s="13"/>
      <c r="N972" s="13" t="n">
        <v>3349668576111</v>
      </c>
      <c r="O972" s="13"/>
      <c r="P972" s="13" t="s">
        <v>5291</v>
      </c>
      <c r="Q972" s="13" t="s">
        <v>5289</v>
      </c>
      <c r="R972" s="13" t="s">
        <v>5292</v>
      </c>
      <c r="S972" s="13" t="s">
        <v>5293</v>
      </c>
      <c r="T972" s="13" t="s">
        <v>4</v>
      </c>
      <c r="U972" s="13" t="s">
        <v>43</v>
      </c>
      <c r="V972" s="13" t="n">
        <f aca="false">IF(COUNTIF($B$2:B972,B972)=1,1,0)</f>
        <v>0</v>
      </c>
      <c r="W972" s="13" t="n">
        <f aca="false">IF(COUNTIFS($B$2:B972,B972,$T$2:T972,T972)=1,1,0)</f>
        <v>0</v>
      </c>
    </row>
    <row r="973" customFormat="false" ht="15" hidden="false" customHeight="false" outlineLevel="0" collapsed="false">
      <c r="A973" s="13" t="s">
        <v>356</v>
      </c>
      <c r="B973" s="13" t="s">
        <v>42</v>
      </c>
      <c r="C973" s="13" t="n">
        <v>8200</v>
      </c>
      <c r="D973" s="13" t="n">
        <v>10</v>
      </c>
      <c r="E973" s="13" t="n">
        <v>634.23</v>
      </c>
      <c r="F973" s="13" t="s">
        <v>5288</v>
      </c>
      <c r="G973" s="13" t="s">
        <v>5289</v>
      </c>
      <c r="H973" s="13" t="s">
        <v>5289</v>
      </c>
      <c r="I973" s="13" t="s">
        <v>5289</v>
      </c>
      <c r="J973" s="13" t="s">
        <v>5289</v>
      </c>
      <c r="K973" s="13" t="s">
        <v>5289</v>
      </c>
      <c r="L973" s="13" t="s">
        <v>5719</v>
      </c>
      <c r="M973" s="13"/>
      <c r="N973" s="13" t="n">
        <v>8411061026250</v>
      </c>
      <c r="O973" s="13"/>
      <c r="P973" s="13" t="s">
        <v>5291</v>
      </c>
      <c r="Q973" s="13" t="s">
        <v>5289</v>
      </c>
      <c r="R973" s="13" t="s">
        <v>5292</v>
      </c>
      <c r="S973" s="13" t="s">
        <v>5293</v>
      </c>
      <c r="T973" s="13" t="s">
        <v>4</v>
      </c>
      <c r="U973" s="13" t="s">
        <v>43</v>
      </c>
      <c r="V973" s="13" t="n">
        <f aca="false">IF(COUNTIF($B$2:B973,B973)=1,1,0)</f>
        <v>0</v>
      </c>
      <c r="W973" s="13" t="n">
        <f aca="false">IF(COUNTIFS($B$2:B973,B973,$T$2:T973,T973)=1,1,0)</f>
        <v>0</v>
      </c>
    </row>
    <row r="974" customFormat="false" ht="15" hidden="false" customHeight="false" outlineLevel="0" collapsed="false">
      <c r="A974" s="13" t="s">
        <v>415</v>
      </c>
      <c r="B974" s="13" t="s">
        <v>153</v>
      </c>
      <c r="C974" s="13" t="n">
        <v>8200</v>
      </c>
      <c r="D974" s="13" t="n">
        <v>10</v>
      </c>
      <c r="E974" s="13" t="n">
        <v>683.42</v>
      </c>
      <c r="F974" s="13" t="s">
        <v>5288</v>
      </c>
      <c r="G974" s="13" t="s">
        <v>5289</v>
      </c>
      <c r="H974" s="13" t="s">
        <v>5292</v>
      </c>
      <c r="I974" s="13" t="s">
        <v>5289</v>
      </c>
      <c r="J974" s="13" t="s">
        <v>5289</v>
      </c>
      <c r="K974" s="13" t="s">
        <v>5289</v>
      </c>
      <c r="L974" s="13" t="s">
        <v>5720</v>
      </c>
      <c r="M974" s="13"/>
      <c r="N974" s="13" t="n">
        <v>8011003846627</v>
      </c>
      <c r="O974" s="13"/>
      <c r="P974" s="13" t="s">
        <v>5291</v>
      </c>
      <c r="Q974" s="13" t="s">
        <v>5289</v>
      </c>
      <c r="R974" s="13" t="s">
        <v>5292</v>
      </c>
      <c r="S974" s="13" t="s">
        <v>5293</v>
      </c>
      <c r="T974" s="13" t="s">
        <v>4</v>
      </c>
      <c r="U974" s="13" t="s">
        <v>43</v>
      </c>
      <c r="V974" s="13" t="n">
        <f aca="false">IF(COUNTIF($B$2:B974,B974)=1,1,0)</f>
        <v>1</v>
      </c>
      <c r="W974" s="13" t="n">
        <f aca="false">IF(COUNTIFS($B$2:B974,B974,$T$2:T974,T974)=1,1,0)</f>
        <v>1</v>
      </c>
    </row>
    <row r="975" customFormat="false" ht="15" hidden="false" customHeight="false" outlineLevel="0" collapsed="false">
      <c r="A975" s="13" t="s">
        <v>417</v>
      </c>
      <c r="B975" s="13" t="s">
        <v>50</v>
      </c>
      <c r="C975" s="13" t="n">
        <v>8200</v>
      </c>
      <c r="D975" s="13" t="n">
        <v>5</v>
      </c>
      <c r="E975" s="13" t="n">
        <v>819.18</v>
      </c>
      <c r="F975" s="13" t="s">
        <v>5288</v>
      </c>
      <c r="G975" s="13" t="s">
        <v>5289</v>
      </c>
      <c r="H975" s="13" t="s">
        <v>5289</v>
      </c>
      <c r="I975" s="13" t="s">
        <v>5289</v>
      </c>
      <c r="J975" s="13" t="s">
        <v>5289</v>
      </c>
      <c r="K975" s="13" t="s">
        <v>5289</v>
      </c>
      <c r="L975" s="13" t="s">
        <v>5721</v>
      </c>
      <c r="M975" s="13"/>
      <c r="N975" s="13" t="n">
        <v>3349668630264</v>
      </c>
      <c r="O975" s="13"/>
      <c r="P975" s="13" t="s">
        <v>5291</v>
      </c>
      <c r="Q975" s="13" t="s">
        <v>5289</v>
      </c>
      <c r="R975" s="13" t="s">
        <v>5292</v>
      </c>
      <c r="S975" s="13" t="s">
        <v>5293</v>
      </c>
      <c r="T975" s="13" t="s">
        <v>4</v>
      </c>
      <c r="U975" s="13" t="s">
        <v>43</v>
      </c>
      <c r="V975" s="13" t="n">
        <f aca="false">IF(COUNTIF($B$2:B975,B975)=1,1,0)</f>
        <v>0</v>
      </c>
      <c r="W975" s="13" t="n">
        <f aca="false">IF(COUNTIFS($B$2:B975,B975,$T$2:T975,T975)=1,1,0)</f>
        <v>0</v>
      </c>
    </row>
    <row r="976" customFormat="false" ht="15" hidden="false" customHeight="false" outlineLevel="0" collapsed="false">
      <c r="A976" s="13" t="s">
        <v>324</v>
      </c>
      <c r="B976" s="13" t="s">
        <v>42</v>
      </c>
      <c r="C976" s="13" t="n">
        <v>8200</v>
      </c>
      <c r="D976" s="13" t="n">
        <v>5</v>
      </c>
      <c r="E976" s="13" t="n">
        <v>818.59</v>
      </c>
      <c r="F976" s="13" t="s">
        <v>5288</v>
      </c>
      <c r="G976" s="13" t="s">
        <v>5289</v>
      </c>
      <c r="H976" s="13" t="s">
        <v>5289</v>
      </c>
      <c r="I976" s="13" t="s">
        <v>5289</v>
      </c>
      <c r="J976" s="13" t="s">
        <v>5289</v>
      </c>
      <c r="K976" s="13" t="s">
        <v>5289</v>
      </c>
      <c r="L976" s="13" t="s">
        <v>5722</v>
      </c>
      <c r="M976" s="13"/>
      <c r="N976" s="13" t="n">
        <v>8411061123614</v>
      </c>
      <c r="O976" s="13"/>
      <c r="P976" s="13" t="s">
        <v>5297</v>
      </c>
      <c r="Q976" s="13" t="s">
        <v>5289</v>
      </c>
      <c r="R976" s="13" t="s">
        <v>5292</v>
      </c>
      <c r="S976" s="13" t="s">
        <v>5293</v>
      </c>
      <c r="T976" s="13" t="s">
        <v>4</v>
      </c>
      <c r="U976" s="13" t="s">
        <v>43</v>
      </c>
      <c r="V976" s="13" t="n">
        <f aca="false">IF(COUNTIF($B$2:B976,B976)=1,1,0)</f>
        <v>0</v>
      </c>
      <c r="W976" s="13" t="n">
        <f aca="false">IF(COUNTIFS($B$2:B976,B976,$T$2:T976,T976)=1,1,0)</f>
        <v>0</v>
      </c>
    </row>
    <row r="977" customFormat="false" ht="15" hidden="false" customHeight="false" outlineLevel="0" collapsed="false">
      <c r="A977" s="13" t="s">
        <v>422</v>
      </c>
      <c r="B977" s="13" t="s">
        <v>42</v>
      </c>
      <c r="C977" s="13" t="n">
        <v>8100</v>
      </c>
      <c r="D977" s="13" t="n">
        <v>10</v>
      </c>
      <c r="E977" s="13" t="n">
        <v>677.97</v>
      </c>
      <c r="F977" s="13" t="s">
        <v>5325</v>
      </c>
      <c r="G977" s="13" t="s">
        <v>5292</v>
      </c>
      <c r="H977" s="13" t="s">
        <v>5289</v>
      </c>
      <c r="I977" s="13" t="s">
        <v>5289</v>
      </c>
      <c r="J977" s="13" t="s">
        <v>5289</v>
      </c>
      <c r="K977" s="13" t="s">
        <v>5289</v>
      </c>
      <c r="L977" s="13" t="s">
        <v>5723</v>
      </c>
      <c r="M977" s="13"/>
      <c r="N977" s="13" t="n">
        <v>8411061043868</v>
      </c>
      <c r="O977" s="13"/>
      <c r="P977" s="13" t="s">
        <v>5291</v>
      </c>
      <c r="Q977" s="13" t="s">
        <v>5289</v>
      </c>
      <c r="R977" s="13" t="s">
        <v>5292</v>
      </c>
      <c r="S977" s="13" t="s">
        <v>5293</v>
      </c>
      <c r="T977" s="13" t="s">
        <v>4</v>
      </c>
      <c r="U977" s="13" t="s">
        <v>43</v>
      </c>
      <c r="V977" s="13" t="n">
        <f aca="false">IF(COUNTIF($B$2:B977,B977)=1,1,0)</f>
        <v>0</v>
      </c>
      <c r="W977" s="13" t="n">
        <f aca="false">IF(COUNTIFS($B$2:B977,B977,$T$2:T977,T977)=1,1,0)</f>
        <v>0</v>
      </c>
    </row>
    <row r="978" customFormat="false" ht="15" hidden="false" customHeight="false" outlineLevel="0" collapsed="false">
      <c r="A978" s="13" t="s">
        <v>137</v>
      </c>
      <c r="B978" s="13" t="s">
        <v>42</v>
      </c>
      <c r="C978" s="13" t="n">
        <v>8100</v>
      </c>
      <c r="D978" s="13" t="n">
        <v>5</v>
      </c>
      <c r="E978" s="13" t="n">
        <v>813.099</v>
      </c>
      <c r="F978" s="13" t="s">
        <v>5288</v>
      </c>
      <c r="G978" s="13" t="s">
        <v>5289</v>
      </c>
      <c r="H978" s="13" t="s">
        <v>5289</v>
      </c>
      <c r="I978" s="13" t="s">
        <v>5289</v>
      </c>
      <c r="J978" s="13" t="s">
        <v>5289</v>
      </c>
      <c r="K978" s="13" t="s">
        <v>5289</v>
      </c>
      <c r="L978" s="13" t="s">
        <v>5724</v>
      </c>
      <c r="M978" s="13"/>
      <c r="N978" s="13" t="n">
        <v>8411061077160</v>
      </c>
      <c r="O978" s="13"/>
      <c r="P978" s="13" t="s">
        <v>5291</v>
      </c>
      <c r="Q978" s="13" t="s">
        <v>5289</v>
      </c>
      <c r="R978" s="13" t="s">
        <v>5292</v>
      </c>
      <c r="S978" s="13" t="s">
        <v>5293</v>
      </c>
      <c r="T978" s="13" t="s">
        <v>4</v>
      </c>
      <c r="U978" s="13" t="s">
        <v>43</v>
      </c>
      <c r="V978" s="13" t="n">
        <f aca="false">IF(COUNTIF($B$2:B978,B978)=1,1,0)</f>
        <v>0</v>
      </c>
      <c r="W978" s="13" t="n">
        <f aca="false">IF(COUNTIFS($B$2:B978,B978,$T$2:T978,T978)=1,1,0)</f>
        <v>0</v>
      </c>
    </row>
    <row r="979" customFormat="false" ht="15" hidden="false" customHeight="false" outlineLevel="0" collapsed="false">
      <c r="A979" s="13" t="s">
        <v>427</v>
      </c>
      <c r="B979" s="13" t="s">
        <v>42</v>
      </c>
      <c r="C979" s="13" t="n">
        <v>8000</v>
      </c>
      <c r="D979" s="13" t="n">
        <v>10</v>
      </c>
      <c r="E979" s="13" t="n">
        <v>571.12</v>
      </c>
      <c r="F979" s="13" t="s">
        <v>5288</v>
      </c>
      <c r="G979" s="13" t="s">
        <v>5289</v>
      </c>
      <c r="H979" s="13" t="s">
        <v>5289</v>
      </c>
      <c r="I979" s="13" t="s">
        <v>5289</v>
      </c>
      <c r="J979" s="13" t="s">
        <v>5289</v>
      </c>
      <c r="K979" s="13" t="s">
        <v>5289</v>
      </c>
      <c r="L979" s="13" t="s">
        <v>5725</v>
      </c>
      <c r="M979" s="13"/>
      <c r="N979" s="13" t="n">
        <v>8411061954966</v>
      </c>
      <c r="O979" s="13"/>
      <c r="P979" s="13" t="s">
        <v>5291</v>
      </c>
      <c r="Q979" s="13" t="s">
        <v>5289</v>
      </c>
      <c r="R979" s="13" t="s">
        <v>5292</v>
      </c>
      <c r="S979" s="13" t="s">
        <v>5293</v>
      </c>
      <c r="T979" s="13" t="s">
        <v>4</v>
      </c>
      <c r="U979" s="13" t="s">
        <v>43</v>
      </c>
      <c r="V979" s="13" t="n">
        <f aca="false">IF(COUNTIF($B$2:B979,B979)=1,1,0)</f>
        <v>0</v>
      </c>
      <c r="W979" s="13" t="n">
        <f aca="false">IF(COUNTIFS($B$2:B979,B979,$T$2:T979,T979)=1,1,0)</f>
        <v>0</v>
      </c>
    </row>
    <row r="980" customFormat="false" ht="15" hidden="false" customHeight="false" outlineLevel="0" collapsed="false">
      <c r="A980" s="13" t="s">
        <v>428</v>
      </c>
      <c r="B980" s="13" t="s">
        <v>45</v>
      </c>
      <c r="C980" s="13" t="n">
        <v>8000</v>
      </c>
      <c r="D980" s="13" t="n">
        <v>5</v>
      </c>
      <c r="E980" s="13" t="n">
        <v>887.908888888889</v>
      </c>
      <c r="F980" s="13" t="s">
        <v>5288</v>
      </c>
      <c r="G980" s="13" t="s">
        <v>5292</v>
      </c>
      <c r="H980" s="13" t="s">
        <v>5292</v>
      </c>
      <c r="I980" s="13" t="s">
        <v>5289</v>
      </c>
      <c r="J980" s="13" t="s">
        <v>5289</v>
      </c>
      <c r="K980" s="13" t="s">
        <v>5289</v>
      </c>
      <c r="L980" s="13" t="s">
        <v>5726</v>
      </c>
      <c r="M980" s="13"/>
      <c r="N980" s="13" t="n">
        <v>8435415064637</v>
      </c>
      <c r="O980" s="13"/>
      <c r="P980" s="13" t="s">
        <v>5291</v>
      </c>
      <c r="Q980" s="13" t="s">
        <v>5289</v>
      </c>
      <c r="R980" s="13" t="s">
        <v>5292</v>
      </c>
      <c r="S980" s="13" t="s">
        <v>5293</v>
      </c>
      <c r="T980" s="13" t="s">
        <v>4</v>
      </c>
      <c r="U980" s="13" t="s">
        <v>43</v>
      </c>
      <c r="V980" s="13" t="n">
        <f aca="false">IF(COUNTIF($B$2:B980,B980)=1,1,0)</f>
        <v>0</v>
      </c>
      <c r="W980" s="13" t="n">
        <f aca="false">IF(COUNTIFS($B$2:B980,B980,$T$2:T980,T980)=1,1,0)</f>
        <v>0</v>
      </c>
    </row>
    <row r="981" customFormat="false" ht="15" hidden="false" customHeight="false" outlineLevel="0" collapsed="false">
      <c r="A981" s="13" t="s">
        <v>430</v>
      </c>
      <c r="B981" s="13" t="s">
        <v>45</v>
      </c>
      <c r="C981" s="13" t="n">
        <v>7900</v>
      </c>
      <c r="D981" s="13" t="n">
        <v>5</v>
      </c>
      <c r="E981" s="13" t="n">
        <v>792.336</v>
      </c>
      <c r="F981" s="13" t="s">
        <v>5325</v>
      </c>
      <c r="G981" s="13" t="s">
        <v>5289</v>
      </c>
      <c r="H981" s="13" t="s">
        <v>5289</v>
      </c>
      <c r="I981" s="13" t="s">
        <v>5289</v>
      </c>
      <c r="J981" s="13" t="s">
        <v>5289</v>
      </c>
      <c r="K981" s="13" t="s">
        <v>5289</v>
      </c>
      <c r="L981" s="13" t="s">
        <v>5727</v>
      </c>
      <c r="M981" s="13"/>
      <c r="N981" s="13" t="n">
        <v>8435415017244</v>
      </c>
      <c r="O981" s="13"/>
      <c r="P981" s="13" t="s">
        <v>5291</v>
      </c>
      <c r="Q981" s="13" t="s">
        <v>5289</v>
      </c>
      <c r="R981" s="13" t="s">
        <v>5292</v>
      </c>
      <c r="S981" s="13" t="s">
        <v>5293</v>
      </c>
      <c r="T981" s="13" t="s">
        <v>4</v>
      </c>
      <c r="U981" s="13" t="s">
        <v>43</v>
      </c>
      <c r="V981" s="13" t="n">
        <f aca="false">IF(COUNTIF($B$2:B981,B981)=1,1,0)</f>
        <v>0</v>
      </c>
      <c r="W981" s="13" t="n">
        <f aca="false">IF(COUNTIFS($B$2:B981,B981,$T$2:T981,T981)=1,1,0)</f>
        <v>0</v>
      </c>
    </row>
    <row r="982" customFormat="false" ht="15" hidden="false" customHeight="false" outlineLevel="0" collapsed="false">
      <c r="A982" s="13" t="s">
        <v>431</v>
      </c>
      <c r="B982" s="13" t="s">
        <v>312</v>
      </c>
      <c r="C982" s="13" t="n">
        <v>7900</v>
      </c>
      <c r="D982" s="13" t="n">
        <v>40</v>
      </c>
      <c r="E982" s="13" t="n">
        <v>188.49380952381</v>
      </c>
      <c r="F982" s="13" t="s">
        <v>5288</v>
      </c>
      <c r="G982" s="13" t="s">
        <v>5289</v>
      </c>
      <c r="H982" s="13" t="s">
        <v>5292</v>
      </c>
      <c r="I982" s="13" t="s">
        <v>5289</v>
      </c>
      <c r="J982" s="13" t="s">
        <v>5289</v>
      </c>
      <c r="K982" s="13" t="s">
        <v>5289</v>
      </c>
      <c r="L982" s="13" t="s">
        <v>5728</v>
      </c>
      <c r="M982" s="13"/>
      <c r="N982" s="13" t="n">
        <v>3700608300010</v>
      </c>
      <c r="O982" s="13"/>
      <c r="P982" s="13" t="s">
        <v>5291</v>
      </c>
      <c r="Q982" s="13" t="s">
        <v>5289</v>
      </c>
      <c r="R982" s="13" t="s">
        <v>5292</v>
      </c>
      <c r="S982" s="13" t="s">
        <v>5293</v>
      </c>
      <c r="T982" s="13" t="s">
        <v>4</v>
      </c>
      <c r="U982" s="13" t="s">
        <v>43</v>
      </c>
      <c r="V982" s="13" t="n">
        <f aca="false">IF(COUNTIF($B$2:B982,B982)=1,1,0)</f>
        <v>0</v>
      </c>
      <c r="W982" s="13" t="n">
        <f aca="false">IF(COUNTIFS($B$2:B982,B982,$T$2:T982,T982)=1,1,0)</f>
        <v>1</v>
      </c>
    </row>
    <row r="983" customFormat="false" ht="15" hidden="false" customHeight="false" outlineLevel="0" collapsed="false">
      <c r="A983" s="13" t="s">
        <v>437</v>
      </c>
      <c r="B983" s="13" t="s">
        <v>50</v>
      </c>
      <c r="C983" s="13" t="n">
        <v>7700</v>
      </c>
      <c r="D983" s="13" t="n">
        <v>5</v>
      </c>
      <c r="E983" s="13" t="n">
        <v>769.579</v>
      </c>
      <c r="F983" s="13" t="s">
        <v>5288</v>
      </c>
      <c r="G983" s="13" t="s">
        <v>5289</v>
      </c>
      <c r="H983" s="13" t="s">
        <v>5289</v>
      </c>
      <c r="I983" s="13" t="s">
        <v>5289</v>
      </c>
      <c r="J983" s="13" t="s">
        <v>5289</v>
      </c>
      <c r="K983" s="13" t="s">
        <v>5289</v>
      </c>
      <c r="L983" s="13" t="s">
        <v>5729</v>
      </c>
      <c r="M983" s="13"/>
      <c r="N983" s="13" t="n">
        <v>3349668664733</v>
      </c>
      <c r="O983" s="13"/>
      <c r="P983" s="13" t="s">
        <v>5291</v>
      </c>
      <c r="Q983" s="13" t="s">
        <v>5289</v>
      </c>
      <c r="R983" s="13" t="s">
        <v>5292</v>
      </c>
      <c r="S983" s="13" t="s">
        <v>5293</v>
      </c>
      <c r="T983" s="13" t="s">
        <v>4</v>
      </c>
      <c r="U983" s="13" t="s">
        <v>43</v>
      </c>
      <c r="V983" s="13" t="n">
        <f aca="false">IF(COUNTIF($B$2:B983,B983)=1,1,0)</f>
        <v>0</v>
      </c>
      <c r="W983" s="13" t="n">
        <f aca="false">IF(COUNTIFS($B$2:B983,B983,$T$2:T983,T983)=1,1,0)</f>
        <v>0</v>
      </c>
    </row>
    <row r="984" customFormat="false" ht="15" hidden="false" customHeight="false" outlineLevel="0" collapsed="false">
      <c r="A984" s="13" t="s">
        <v>189</v>
      </c>
      <c r="B984" s="13" t="s">
        <v>50</v>
      </c>
      <c r="C984" s="13" t="n">
        <v>7600</v>
      </c>
      <c r="D984" s="13" t="n">
        <v>5</v>
      </c>
      <c r="E984" s="13" t="n">
        <v>763.236</v>
      </c>
      <c r="F984" s="13" t="s">
        <v>5288</v>
      </c>
      <c r="G984" s="13" t="s">
        <v>5289</v>
      </c>
      <c r="H984" s="13" t="s">
        <v>5289</v>
      </c>
      <c r="I984" s="13" t="s">
        <v>5289</v>
      </c>
      <c r="J984" s="13" t="s">
        <v>5289</v>
      </c>
      <c r="K984" s="13" t="s">
        <v>5289</v>
      </c>
      <c r="L984" s="13" t="s">
        <v>5695</v>
      </c>
      <c r="M984" s="13"/>
      <c r="N984" s="13" t="n">
        <v>3349668596348</v>
      </c>
      <c r="O984" s="13"/>
      <c r="P984" s="13" t="s">
        <v>5291</v>
      </c>
      <c r="Q984" s="13" t="s">
        <v>5289</v>
      </c>
      <c r="R984" s="13" t="s">
        <v>5292</v>
      </c>
      <c r="S984" s="13" t="s">
        <v>5293</v>
      </c>
      <c r="T984" s="13" t="s">
        <v>4</v>
      </c>
      <c r="U984" s="13" t="s">
        <v>43</v>
      </c>
      <c r="V984" s="13" t="n">
        <f aca="false">IF(COUNTIF($B$2:B984,B984)=1,1,0)</f>
        <v>0</v>
      </c>
      <c r="W984" s="13" t="n">
        <f aca="false">IF(COUNTIFS($B$2:B984,B984,$T$2:T984,T984)=1,1,0)</f>
        <v>0</v>
      </c>
    </row>
    <row r="985" customFormat="false" ht="15" hidden="false" customHeight="false" outlineLevel="0" collapsed="false">
      <c r="A985" s="13" t="s">
        <v>5730</v>
      </c>
      <c r="B985" s="13" t="s">
        <v>2110</v>
      </c>
      <c r="C985" s="13" t="n">
        <v>7600</v>
      </c>
      <c r="D985" s="13" t="n">
        <v>20</v>
      </c>
      <c r="E985" s="13" t="n">
        <v>401.002105263158</v>
      </c>
      <c r="F985" s="13" t="s">
        <v>5288</v>
      </c>
      <c r="G985" s="13" t="s">
        <v>5292</v>
      </c>
      <c r="H985" s="13" t="s">
        <v>5289</v>
      </c>
      <c r="I985" s="13" t="s">
        <v>5289</v>
      </c>
      <c r="J985" s="13" t="s">
        <v>5289</v>
      </c>
      <c r="K985" s="13" t="s">
        <v>5289</v>
      </c>
      <c r="L985" s="13" t="s">
        <v>5731</v>
      </c>
      <c r="M985" s="13"/>
      <c r="N985" s="13" t="n">
        <v>7.37052413174339E+024</v>
      </c>
      <c r="O985" s="13"/>
      <c r="P985" s="13" t="s">
        <v>5297</v>
      </c>
      <c r="Q985" s="13" t="s">
        <v>5289</v>
      </c>
      <c r="R985" s="13" t="s">
        <v>5292</v>
      </c>
      <c r="S985" s="13" t="s">
        <v>5293</v>
      </c>
      <c r="T985" s="13" t="s">
        <v>4</v>
      </c>
      <c r="U985" s="13" t="s">
        <v>43</v>
      </c>
      <c r="V985" s="13" t="n">
        <f aca="false">IF(COUNTIF($B$2:B985,B985)=1,1,0)</f>
        <v>1</v>
      </c>
      <c r="W985" s="13" t="n">
        <f aca="false">IF(COUNTIFS($B$2:B985,B985,$T$2:T985,T985)=1,1,0)</f>
        <v>1</v>
      </c>
    </row>
    <row r="986" customFormat="false" ht="15" hidden="false" customHeight="false" outlineLevel="0" collapsed="false">
      <c r="A986" s="13" t="s">
        <v>443</v>
      </c>
      <c r="B986" s="13" t="s">
        <v>50</v>
      </c>
      <c r="C986" s="13" t="n">
        <v>7500</v>
      </c>
      <c r="D986" s="13" t="n">
        <v>10</v>
      </c>
      <c r="E986" s="13" t="n">
        <v>627.886666666667</v>
      </c>
      <c r="F986" s="13" t="s">
        <v>5288</v>
      </c>
      <c r="G986" s="13" t="s">
        <v>5289</v>
      </c>
      <c r="H986" s="13" t="s">
        <v>5289</v>
      </c>
      <c r="I986" s="13" t="s">
        <v>5289</v>
      </c>
      <c r="J986" s="13" t="s">
        <v>5289</v>
      </c>
      <c r="K986" s="13" t="s">
        <v>5289</v>
      </c>
      <c r="L986" s="13" t="s">
        <v>5732</v>
      </c>
      <c r="M986" s="13"/>
      <c r="N986" s="13" t="n">
        <v>3349668555062</v>
      </c>
      <c r="O986" s="13"/>
      <c r="P986" s="13" t="s">
        <v>5291</v>
      </c>
      <c r="Q986" s="13" t="s">
        <v>5289</v>
      </c>
      <c r="R986" s="13" t="s">
        <v>5292</v>
      </c>
      <c r="S986" s="13" t="s">
        <v>5293</v>
      </c>
      <c r="T986" s="13" t="s">
        <v>4</v>
      </c>
      <c r="U986" s="13" t="s">
        <v>43</v>
      </c>
      <c r="V986" s="13" t="n">
        <f aca="false">IF(COUNTIF($B$2:B986,B986)=1,1,0)</f>
        <v>0</v>
      </c>
      <c r="W986" s="13" t="n">
        <f aca="false">IF(COUNTIFS($B$2:B986,B986,$T$2:T986,T986)=1,1,0)</f>
        <v>0</v>
      </c>
    </row>
    <row r="987" customFormat="false" ht="15" hidden="false" customHeight="false" outlineLevel="0" collapsed="false">
      <c r="A987" s="13" t="s">
        <v>445</v>
      </c>
      <c r="B987" s="13" t="s">
        <v>362</v>
      </c>
      <c r="C987" s="13" t="n">
        <v>7500</v>
      </c>
      <c r="D987" s="13" t="n">
        <v>10</v>
      </c>
      <c r="E987" s="13" t="n">
        <v>578.840769230769</v>
      </c>
      <c r="F987" s="13" t="s">
        <v>5288</v>
      </c>
      <c r="G987" s="13" t="s">
        <v>5289</v>
      </c>
      <c r="H987" s="13" t="s">
        <v>5292</v>
      </c>
      <c r="I987" s="13" t="s">
        <v>5289</v>
      </c>
      <c r="J987" s="13" t="s">
        <v>5289</v>
      </c>
      <c r="K987" s="13" t="s">
        <v>5289</v>
      </c>
      <c r="L987" s="13" t="s">
        <v>5733</v>
      </c>
      <c r="M987" s="13"/>
      <c r="N987" s="13" t="n">
        <v>3386460118125</v>
      </c>
      <c r="O987" s="13"/>
      <c r="P987" s="13" t="s">
        <v>5291</v>
      </c>
      <c r="Q987" s="13" t="s">
        <v>5289</v>
      </c>
      <c r="R987" s="13" t="s">
        <v>5292</v>
      </c>
      <c r="S987" s="13" t="s">
        <v>5293</v>
      </c>
      <c r="T987" s="13" t="s">
        <v>4</v>
      </c>
      <c r="U987" s="13" t="s">
        <v>43</v>
      </c>
      <c r="V987" s="13" t="n">
        <f aca="false">IF(COUNTIF($B$2:B987,B987)=1,1,0)</f>
        <v>0</v>
      </c>
      <c r="W987" s="13" t="n">
        <f aca="false">IF(COUNTIFS($B$2:B987,B987,$T$2:T987,T987)=1,1,0)</f>
        <v>0</v>
      </c>
    </row>
    <row r="988" customFormat="false" ht="15" hidden="false" customHeight="false" outlineLevel="0" collapsed="false">
      <c r="A988" s="13" t="s">
        <v>324</v>
      </c>
      <c r="B988" s="13" t="s">
        <v>42</v>
      </c>
      <c r="C988" s="13" t="n">
        <v>7500</v>
      </c>
      <c r="D988" s="13" t="n">
        <v>5</v>
      </c>
      <c r="E988" s="13" t="n">
        <v>936.39</v>
      </c>
      <c r="F988" s="13" t="s">
        <v>5325</v>
      </c>
      <c r="G988" s="13" t="s">
        <v>5289</v>
      </c>
      <c r="H988" s="13" t="s">
        <v>5289</v>
      </c>
      <c r="I988" s="13" t="s">
        <v>5289</v>
      </c>
      <c r="J988" s="13" t="s">
        <v>5289</v>
      </c>
      <c r="K988" s="13" t="s">
        <v>5289</v>
      </c>
      <c r="L988" s="13" t="s">
        <v>5722</v>
      </c>
      <c r="M988" s="13"/>
      <c r="N988" s="13" t="n">
        <v>8411061123614</v>
      </c>
      <c r="O988" s="13"/>
      <c r="P988" s="13" t="s">
        <v>5291</v>
      </c>
      <c r="Q988" s="13" t="s">
        <v>5289</v>
      </c>
      <c r="R988" s="13" t="s">
        <v>5292</v>
      </c>
      <c r="S988" s="13" t="s">
        <v>5293</v>
      </c>
      <c r="T988" s="13" t="s">
        <v>4</v>
      </c>
      <c r="U988" s="13" t="s">
        <v>43</v>
      </c>
      <c r="V988" s="13" t="n">
        <f aca="false">IF(COUNTIF($B$2:B988,B988)=1,1,0)</f>
        <v>0</v>
      </c>
      <c r="W988" s="13" t="n">
        <f aca="false">IF(COUNTIFS($B$2:B988,B988,$T$2:T988,T988)=1,1,0)</f>
        <v>0</v>
      </c>
    </row>
    <row r="989" customFormat="false" ht="15" hidden="false" customHeight="false" outlineLevel="0" collapsed="false">
      <c r="A989" s="13" t="s">
        <v>444</v>
      </c>
      <c r="B989" s="13" t="s">
        <v>42</v>
      </c>
      <c r="C989" s="13" t="n">
        <v>7500</v>
      </c>
      <c r="D989" s="13" t="n">
        <v>10</v>
      </c>
      <c r="E989" s="13" t="n">
        <v>534.371428571428</v>
      </c>
      <c r="F989" s="13" t="s">
        <v>5288</v>
      </c>
      <c r="G989" s="13" t="s">
        <v>5289</v>
      </c>
      <c r="H989" s="13" t="s">
        <v>5289</v>
      </c>
      <c r="I989" s="13" t="s">
        <v>5289</v>
      </c>
      <c r="J989" s="13" t="s">
        <v>5289</v>
      </c>
      <c r="K989" s="13" t="s">
        <v>5289</v>
      </c>
      <c r="L989" s="13" t="s">
        <v>5734</v>
      </c>
      <c r="M989" s="13"/>
      <c r="N989" s="13" t="n">
        <v>8411061093849</v>
      </c>
      <c r="O989" s="13"/>
      <c r="P989" s="13" t="s">
        <v>5291</v>
      </c>
      <c r="Q989" s="13" t="s">
        <v>5289</v>
      </c>
      <c r="R989" s="13" t="s">
        <v>5292</v>
      </c>
      <c r="S989" s="13" t="s">
        <v>5293</v>
      </c>
      <c r="T989" s="13" t="s">
        <v>4</v>
      </c>
      <c r="U989" s="13" t="s">
        <v>43</v>
      </c>
      <c r="V989" s="13" t="n">
        <f aca="false">IF(COUNTIF($B$2:B989,B989)=1,1,0)</f>
        <v>0</v>
      </c>
      <c r="W989" s="13" t="n">
        <f aca="false">IF(COUNTIFS($B$2:B989,B989,$T$2:T989,T989)=1,1,0)</f>
        <v>0</v>
      </c>
    </row>
    <row r="990" customFormat="false" ht="15" hidden="false" customHeight="false" outlineLevel="0" collapsed="false">
      <c r="A990" s="13" t="s">
        <v>449</v>
      </c>
      <c r="B990" s="13" t="s">
        <v>229</v>
      </c>
      <c r="C990" s="13" t="n">
        <v>7400</v>
      </c>
      <c r="D990" s="13" t="n">
        <v>20</v>
      </c>
      <c r="E990" s="13" t="n">
        <v>338.137272727273</v>
      </c>
      <c r="F990" s="13" t="s">
        <v>5325</v>
      </c>
      <c r="G990" s="13" t="s">
        <v>5289</v>
      </c>
      <c r="H990" s="13" t="s">
        <v>5292</v>
      </c>
      <c r="I990" s="13" t="s">
        <v>5289</v>
      </c>
      <c r="J990" s="13" t="s">
        <v>5289</v>
      </c>
      <c r="K990" s="13" t="s">
        <v>5289</v>
      </c>
      <c r="L990" s="13" t="s">
        <v>5735</v>
      </c>
      <c r="M990" s="13"/>
      <c r="N990" s="13" t="n">
        <v>3607342359789</v>
      </c>
      <c r="O990" s="13"/>
      <c r="P990" s="13" t="s">
        <v>5291</v>
      </c>
      <c r="Q990" s="13" t="s">
        <v>5289</v>
      </c>
      <c r="R990" s="13" t="s">
        <v>5292</v>
      </c>
      <c r="S990" s="13" t="s">
        <v>5293</v>
      </c>
      <c r="T990" s="13" t="s">
        <v>4</v>
      </c>
      <c r="U990" s="13" t="s">
        <v>43</v>
      </c>
      <c r="V990" s="13" t="n">
        <f aca="false">IF(COUNTIF($B$2:B990,B990)=1,1,0)</f>
        <v>0</v>
      </c>
      <c r="W990" s="13" t="n">
        <f aca="false">IF(COUNTIFS($B$2:B990,B990,$T$2:T990,T990)=1,1,0)</f>
        <v>1</v>
      </c>
    </row>
    <row r="991" customFormat="false" ht="15" hidden="false" customHeight="false" outlineLevel="0" collapsed="false">
      <c r="A991" s="13" t="s">
        <v>446</v>
      </c>
      <c r="B991" s="13" t="s">
        <v>270</v>
      </c>
      <c r="C991" s="13" t="n">
        <v>7400</v>
      </c>
      <c r="D991" s="13" t="n">
        <v>20</v>
      </c>
      <c r="E991" s="13" t="n">
        <v>352.055714285714</v>
      </c>
      <c r="F991" s="13" t="s">
        <v>5325</v>
      </c>
      <c r="G991" s="13" t="s">
        <v>5292</v>
      </c>
      <c r="H991" s="13" t="s">
        <v>5292</v>
      </c>
      <c r="I991" s="13" t="s">
        <v>5289</v>
      </c>
      <c r="J991" s="13" t="s">
        <v>5289</v>
      </c>
      <c r="K991" s="13" t="s">
        <v>5289</v>
      </c>
      <c r="L991" s="13" t="s">
        <v>5713</v>
      </c>
      <c r="M991" s="13"/>
      <c r="N991" s="13" t="n">
        <v>892456000174</v>
      </c>
      <c r="O991" s="13"/>
      <c r="P991" s="13" t="s">
        <v>5291</v>
      </c>
      <c r="Q991" s="13" t="s">
        <v>5289</v>
      </c>
      <c r="R991" s="13" t="s">
        <v>5292</v>
      </c>
      <c r="S991" s="13" t="s">
        <v>5293</v>
      </c>
      <c r="T991" s="13" t="s">
        <v>4</v>
      </c>
      <c r="U991" s="13" t="s">
        <v>43</v>
      </c>
      <c r="V991" s="13" t="n">
        <f aca="false">IF(COUNTIF($B$2:B991,B991)=1,1,0)</f>
        <v>0</v>
      </c>
      <c r="W991" s="13" t="n">
        <f aca="false">IF(COUNTIFS($B$2:B991,B991,$T$2:T991,T991)=1,1,0)</f>
        <v>0</v>
      </c>
    </row>
    <row r="992" customFormat="false" ht="15" hidden="false" customHeight="false" outlineLevel="0" collapsed="false">
      <c r="A992" s="13" t="s">
        <v>2809</v>
      </c>
      <c r="B992" s="13" t="s">
        <v>2140</v>
      </c>
      <c r="C992" s="13" t="n">
        <v>7400</v>
      </c>
      <c r="D992" s="13" t="n">
        <v>30</v>
      </c>
      <c r="E992" s="13" t="n">
        <v>230.84</v>
      </c>
      <c r="F992" s="13" t="s">
        <v>5288</v>
      </c>
      <c r="G992" s="13" t="s">
        <v>5289</v>
      </c>
      <c r="H992" s="13" t="s">
        <v>5292</v>
      </c>
      <c r="I992" s="13" t="s">
        <v>5289</v>
      </c>
      <c r="J992" s="13" t="s">
        <v>5289</v>
      </c>
      <c r="K992" s="13" t="s">
        <v>5289</v>
      </c>
      <c r="L992" s="13" t="s">
        <v>5736</v>
      </c>
      <c r="M992" s="13"/>
      <c r="N992" s="13" t="n">
        <v>3331845850862</v>
      </c>
      <c r="O992" s="13"/>
      <c r="P992" s="13" t="s">
        <v>5291</v>
      </c>
      <c r="Q992" s="13" t="s">
        <v>5289</v>
      </c>
      <c r="R992" s="13" t="s">
        <v>5292</v>
      </c>
      <c r="S992" s="13" t="s">
        <v>5293</v>
      </c>
      <c r="T992" s="13" t="s">
        <v>4</v>
      </c>
      <c r="U992" s="13" t="s">
        <v>43</v>
      </c>
      <c r="V992" s="13" t="n">
        <f aca="false">IF(COUNTIF($B$2:B992,B992)=1,1,0)</f>
        <v>1</v>
      </c>
      <c r="W992" s="13" t="n">
        <f aca="false">IF(COUNTIFS($B$2:B992,B992,$T$2:T992,T992)=1,1,0)</f>
        <v>1</v>
      </c>
    </row>
    <row r="993" customFormat="false" ht="15" hidden="false" customHeight="false" outlineLevel="0" collapsed="false">
      <c r="A993" s="13" t="s">
        <v>95</v>
      </c>
      <c r="B993" s="13" t="s">
        <v>50</v>
      </c>
      <c r="C993" s="13" t="n">
        <v>7400</v>
      </c>
      <c r="D993" s="13" t="n">
        <v>5</v>
      </c>
      <c r="E993" s="13" t="n">
        <v>738.65</v>
      </c>
      <c r="F993" s="13" t="s">
        <v>5288</v>
      </c>
      <c r="G993" s="13" t="s">
        <v>5289</v>
      </c>
      <c r="H993" s="13" t="s">
        <v>5289</v>
      </c>
      <c r="I993" s="13" t="s">
        <v>5289</v>
      </c>
      <c r="J993" s="13" t="s">
        <v>5289</v>
      </c>
      <c r="K993" s="13" t="s">
        <v>5289</v>
      </c>
      <c r="L993" s="13" t="s">
        <v>5737</v>
      </c>
      <c r="M993" s="13"/>
      <c r="N993" s="13" t="n">
        <v>3.34966861263534E+025</v>
      </c>
      <c r="O993" s="13"/>
      <c r="P993" s="13" t="s">
        <v>5291</v>
      </c>
      <c r="Q993" s="13" t="s">
        <v>5289</v>
      </c>
      <c r="R993" s="13" t="s">
        <v>5292</v>
      </c>
      <c r="S993" s="13" t="s">
        <v>5293</v>
      </c>
      <c r="T993" s="13" t="s">
        <v>4</v>
      </c>
      <c r="U993" s="13" t="s">
        <v>43</v>
      </c>
      <c r="V993" s="13" t="n">
        <f aca="false">IF(COUNTIF($B$2:B993,B993)=1,1,0)</f>
        <v>0</v>
      </c>
      <c r="W993" s="13" t="n">
        <f aca="false">IF(COUNTIFS($B$2:B993,B993,$T$2:T993,T993)=1,1,0)</f>
        <v>0</v>
      </c>
    </row>
    <row r="994" customFormat="false" ht="15" hidden="false" customHeight="false" outlineLevel="0" collapsed="false">
      <c r="A994" s="13" t="s">
        <v>451</v>
      </c>
      <c r="B994" s="13" t="s">
        <v>177</v>
      </c>
      <c r="C994" s="13" t="n">
        <v>7300</v>
      </c>
      <c r="D994" s="13" t="n">
        <v>5</v>
      </c>
      <c r="E994" s="13" t="n">
        <v>815.265555555555</v>
      </c>
      <c r="F994" s="13" t="s">
        <v>5288</v>
      </c>
      <c r="G994" s="13" t="s">
        <v>5289</v>
      </c>
      <c r="H994" s="13" t="s">
        <v>5292</v>
      </c>
      <c r="I994" s="13" t="s">
        <v>5289</v>
      </c>
      <c r="J994" s="13" t="s">
        <v>5289</v>
      </c>
      <c r="K994" s="13" t="s">
        <v>5289</v>
      </c>
      <c r="L994" s="13" t="s">
        <v>5738</v>
      </c>
      <c r="M994" s="13"/>
      <c r="N994" s="13" t="n">
        <v>3616304175893</v>
      </c>
      <c r="O994" s="13"/>
      <c r="P994" s="13" t="s">
        <v>5291</v>
      </c>
      <c r="Q994" s="13" t="s">
        <v>5289</v>
      </c>
      <c r="R994" s="13" t="s">
        <v>5292</v>
      </c>
      <c r="S994" s="13" t="s">
        <v>5293</v>
      </c>
      <c r="T994" s="13" t="s">
        <v>4</v>
      </c>
      <c r="U994" s="13" t="s">
        <v>43</v>
      </c>
      <c r="V994" s="13" t="n">
        <f aca="false">IF(COUNTIF($B$2:B994,B994)=1,1,0)</f>
        <v>1</v>
      </c>
      <c r="W994" s="13" t="n">
        <f aca="false">IF(COUNTIFS($B$2:B994,B994,$T$2:T994,T994)=1,1,0)</f>
        <v>1</v>
      </c>
    </row>
    <row r="995" customFormat="false" ht="15" hidden="false" customHeight="false" outlineLevel="0" collapsed="false">
      <c r="A995" s="13" t="s">
        <v>453</v>
      </c>
      <c r="B995" s="13" t="s">
        <v>50</v>
      </c>
      <c r="C995" s="13" t="n">
        <v>7300</v>
      </c>
      <c r="D995" s="13" t="n">
        <v>5</v>
      </c>
      <c r="E995" s="13" t="n">
        <v>1047.64</v>
      </c>
      <c r="F995" s="13" t="s">
        <v>5288</v>
      </c>
      <c r="G995" s="13" t="s">
        <v>5289</v>
      </c>
      <c r="H995" s="13" t="s">
        <v>5289</v>
      </c>
      <c r="I995" s="13" t="s">
        <v>5289</v>
      </c>
      <c r="J995" s="13" t="s">
        <v>5289</v>
      </c>
      <c r="K995" s="13" t="s">
        <v>5289</v>
      </c>
      <c r="L995" s="13" t="s">
        <v>5739</v>
      </c>
      <c r="M995" s="13"/>
      <c r="N995" s="13" t="n">
        <v>3349668662685</v>
      </c>
      <c r="O995" s="13"/>
      <c r="P995" s="13" t="s">
        <v>5291</v>
      </c>
      <c r="Q995" s="13" t="s">
        <v>5289</v>
      </c>
      <c r="R995" s="13" t="s">
        <v>5292</v>
      </c>
      <c r="S995" s="13" t="s">
        <v>5293</v>
      </c>
      <c r="T995" s="13" t="s">
        <v>4</v>
      </c>
      <c r="U995" s="13" t="s">
        <v>43</v>
      </c>
      <c r="V995" s="13" t="n">
        <f aca="false">IF(COUNTIF($B$2:B995,B995)=1,1,0)</f>
        <v>0</v>
      </c>
      <c r="W995" s="13" t="n">
        <f aca="false">IF(COUNTIFS($B$2:B995,B995,$T$2:T995,T995)=1,1,0)</f>
        <v>0</v>
      </c>
    </row>
    <row r="996" customFormat="false" ht="15" hidden="false" customHeight="false" outlineLevel="0" collapsed="false">
      <c r="A996" s="13" t="s">
        <v>452</v>
      </c>
      <c r="B996" s="13" t="s">
        <v>50</v>
      </c>
      <c r="C996" s="13" t="n">
        <v>7300</v>
      </c>
      <c r="D996" s="13" t="n">
        <v>10</v>
      </c>
      <c r="E996" s="13" t="n">
        <v>665.970909090909</v>
      </c>
      <c r="F996" s="13" t="s">
        <v>5288</v>
      </c>
      <c r="G996" s="13" t="s">
        <v>5289</v>
      </c>
      <c r="H996" s="13" t="s">
        <v>5289</v>
      </c>
      <c r="I996" s="13" t="s">
        <v>5289</v>
      </c>
      <c r="J996" s="13" t="s">
        <v>5289</v>
      </c>
      <c r="K996" s="13" t="s">
        <v>5289</v>
      </c>
      <c r="L996" s="13" t="s">
        <v>5740</v>
      </c>
      <c r="M996" s="13"/>
      <c r="N996" s="13" t="n">
        <v>3349668630257</v>
      </c>
      <c r="O996" s="13"/>
      <c r="P996" s="13" t="s">
        <v>5291</v>
      </c>
      <c r="Q996" s="13" t="s">
        <v>5289</v>
      </c>
      <c r="R996" s="13" t="s">
        <v>5292</v>
      </c>
      <c r="S996" s="13" t="s">
        <v>5293</v>
      </c>
      <c r="T996" s="13" t="s">
        <v>4</v>
      </c>
      <c r="U996" s="13" t="s">
        <v>43</v>
      </c>
      <c r="V996" s="13" t="n">
        <f aca="false">IF(COUNTIF($B$2:B996,B996)=1,1,0)</f>
        <v>0</v>
      </c>
      <c r="W996" s="13" t="n">
        <f aca="false">IF(COUNTIFS($B$2:B996,B996,$T$2:T996,T996)=1,1,0)</f>
        <v>0</v>
      </c>
    </row>
    <row r="997" customFormat="false" ht="15" hidden="false" customHeight="false" outlineLevel="0" collapsed="false">
      <c r="A997" s="13" t="s">
        <v>458</v>
      </c>
      <c r="B997" s="13" t="s">
        <v>105</v>
      </c>
      <c r="C997" s="13" t="n">
        <v>7100</v>
      </c>
      <c r="D997" s="13" t="n">
        <v>10</v>
      </c>
      <c r="E997" s="13" t="n">
        <v>648.441818181818</v>
      </c>
      <c r="F997" s="13" t="s">
        <v>5325</v>
      </c>
      <c r="G997" s="13" t="s">
        <v>5289</v>
      </c>
      <c r="H997" s="13" t="s">
        <v>5292</v>
      </c>
      <c r="I997" s="13" t="s">
        <v>5289</v>
      </c>
      <c r="J997" s="13" t="s">
        <v>5289</v>
      </c>
      <c r="K997" s="13" t="s">
        <v>5289</v>
      </c>
      <c r="L997" s="13" t="s">
        <v>5681</v>
      </c>
      <c r="M997" s="13"/>
      <c r="N997" s="13" t="n">
        <v>737052189765</v>
      </c>
      <c r="O997" s="13"/>
      <c r="P997" s="13" t="s">
        <v>5291</v>
      </c>
      <c r="Q997" s="13" t="s">
        <v>5289</v>
      </c>
      <c r="R997" s="13" t="s">
        <v>5292</v>
      </c>
      <c r="S997" s="13" t="s">
        <v>5293</v>
      </c>
      <c r="T997" s="13" t="s">
        <v>4</v>
      </c>
      <c r="U997" s="13" t="s">
        <v>43</v>
      </c>
      <c r="V997" s="13" t="n">
        <f aca="false">IF(COUNTIF($B$2:B997,B997)=1,1,0)</f>
        <v>0</v>
      </c>
      <c r="W997" s="13" t="n">
        <f aca="false">IF(COUNTIFS($B$2:B997,B997,$T$2:T997,T997)=1,1,0)</f>
        <v>0</v>
      </c>
    </row>
    <row r="998" customFormat="false" ht="15" hidden="false" customHeight="false" outlineLevel="0" collapsed="false">
      <c r="A998" s="13" t="s">
        <v>457</v>
      </c>
      <c r="B998" s="13" t="s">
        <v>50</v>
      </c>
      <c r="C998" s="13" t="n">
        <v>7100</v>
      </c>
      <c r="D998" s="13" t="n">
        <v>20</v>
      </c>
      <c r="E998" s="13" t="n">
        <v>471.194666666667</v>
      </c>
      <c r="F998" s="13" t="s">
        <v>5288</v>
      </c>
      <c r="G998" s="13" t="s">
        <v>5289</v>
      </c>
      <c r="H998" s="13" t="s">
        <v>5292</v>
      </c>
      <c r="I998" s="13" t="s">
        <v>5289</v>
      </c>
      <c r="J998" s="13" t="s">
        <v>5289</v>
      </c>
      <c r="K998" s="13" t="s">
        <v>5289</v>
      </c>
      <c r="L998" s="13" t="s">
        <v>5656</v>
      </c>
      <c r="M998" s="13"/>
      <c r="N998" s="13" t="n">
        <v>3349666007921</v>
      </c>
      <c r="O998" s="13"/>
      <c r="P998" s="13" t="s">
        <v>5291</v>
      </c>
      <c r="Q998" s="13" t="s">
        <v>5289</v>
      </c>
      <c r="R998" s="13" t="s">
        <v>5292</v>
      </c>
      <c r="S998" s="13" t="s">
        <v>5293</v>
      </c>
      <c r="T998" s="13" t="s">
        <v>4</v>
      </c>
      <c r="U998" s="13" t="s">
        <v>43</v>
      </c>
      <c r="V998" s="13" t="n">
        <f aca="false">IF(COUNTIF($B$2:B998,B998)=1,1,0)</f>
        <v>0</v>
      </c>
      <c r="W998" s="13" t="n">
        <f aca="false">IF(COUNTIFS($B$2:B998,B998,$T$2:T998,T998)=1,1,0)</f>
        <v>0</v>
      </c>
    </row>
    <row r="999" customFormat="false" ht="15" hidden="false" customHeight="false" outlineLevel="0" collapsed="false">
      <c r="A999" s="13" t="s">
        <v>48</v>
      </c>
      <c r="B999" s="13" t="s">
        <v>42</v>
      </c>
      <c r="C999" s="13" t="n">
        <v>7000</v>
      </c>
      <c r="D999" s="13" t="n">
        <v>5</v>
      </c>
      <c r="E999" s="13" t="n">
        <v>782.04</v>
      </c>
      <c r="F999" s="13" t="s">
        <v>5325</v>
      </c>
      <c r="G999" s="13" t="s">
        <v>5289</v>
      </c>
      <c r="H999" s="13" t="s">
        <v>5289</v>
      </c>
      <c r="I999" s="13" t="s">
        <v>5289</v>
      </c>
      <c r="J999" s="13" t="s">
        <v>5289</v>
      </c>
      <c r="K999" s="13" t="s">
        <v>5289</v>
      </c>
      <c r="L999" s="13" t="s">
        <v>5654</v>
      </c>
      <c r="M999" s="13"/>
      <c r="N999" s="13" t="n">
        <v>8411061838778</v>
      </c>
      <c r="O999" s="13"/>
      <c r="P999" s="13" t="s">
        <v>5291</v>
      </c>
      <c r="Q999" s="13" t="s">
        <v>5289</v>
      </c>
      <c r="R999" s="13" t="s">
        <v>5292</v>
      </c>
      <c r="S999" s="13" t="s">
        <v>5293</v>
      </c>
      <c r="T999" s="13" t="s">
        <v>4</v>
      </c>
      <c r="U999" s="13" t="s">
        <v>43</v>
      </c>
      <c r="V999" s="13" t="n">
        <f aca="false">IF(COUNTIF($B$2:B999,B999)=1,1,0)</f>
        <v>0</v>
      </c>
      <c r="W999" s="13" t="n">
        <f aca="false">IF(COUNTIFS($B$2:B999,B999,$T$2:T999,T999)=1,1,0)</f>
        <v>0</v>
      </c>
    </row>
    <row r="1000" customFormat="false" ht="15" hidden="false" customHeight="false" outlineLevel="0" collapsed="false">
      <c r="A1000" s="13" t="s">
        <v>461</v>
      </c>
      <c r="B1000" s="13" t="s">
        <v>50</v>
      </c>
      <c r="C1000" s="13" t="n">
        <v>7000</v>
      </c>
      <c r="D1000" s="13" t="n">
        <v>5</v>
      </c>
      <c r="E1000" s="13" t="n">
        <v>781.915555555556</v>
      </c>
      <c r="F1000" s="13" t="s">
        <v>5288</v>
      </c>
      <c r="G1000" s="13" t="s">
        <v>5289</v>
      </c>
      <c r="H1000" s="13" t="s">
        <v>5289</v>
      </c>
      <c r="I1000" s="13" t="s">
        <v>5289</v>
      </c>
      <c r="J1000" s="13" t="s">
        <v>5289</v>
      </c>
      <c r="K1000" s="13" t="s">
        <v>5289</v>
      </c>
      <c r="L1000" s="13" t="s">
        <v>5741</v>
      </c>
      <c r="M1000" s="13"/>
      <c r="N1000" s="13" t="n">
        <v>3349668642717</v>
      </c>
      <c r="O1000" s="13"/>
      <c r="P1000" s="13" t="s">
        <v>5291</v>
      </c>
      <c r="Q1000" s="13" t="s">
        <v>5289</v>
      </c>
      <c r="R1000" s="13" t="s">
        <v>5292</v>
      </c>
      <c r="S1000" s="13" t="s">
        <v>5293</v>
      </c>
      <c r="T1000" s="13" t="s">
        <v>4</v>
      </c>
      <c r="U1000" s="13" t="s">
        <v>43</v>
      </c>
      <c r="V1000" s="13" t="n">
        <f aca="false">IF(COUNTIF($B$2:B1000,B1000)=1,1,0)</f>
        <v>0</v>
      </c>
      <c r="W1000" s="13" t="n">
        <f aca="false">IF(COUNTIFS($B$2:B1000,B1000,$T$2:T1000,T1000)=1,1,0)</f>
        <v>0</v>
      </c>
    </row>
    <row r="1001" customFormat="false" ht="15" hidden="false" customHeight="false" outlineLevel="0" collapsed="false">
      <c r="A1001" s="13" t="s">
        <v>463</v>
      </c>
      <c r="B1001" s="13" t="s">
        <v>229</v>
      </c>
      <c r="C1001" s="13" t="n">
        <v>7000</v>
      </c>
      <c r="D1001" s="13" t="n">
        <v>30</v>
      </c>
      <c r="E1001" s="13" t="n">
        <v>260.321111111111</v>
      </c>
      <c r="F1001" s="13" t="s">
        <v>5288</v>
      </c>
      <c r="G1001" s="13" t="s">
        <v>5289</v>
      </c>
      <c r="H1001" s="13" t="s">
        <v>5292</v>
      </c>
      <c r="I1001" s="13" t="s">
        <v>5289</v>
      </c>
      <c r="J1001" s="13" t="s">
        <v>5289</v>
      </c>
      <c r="K1001" s="13" t="s">
        <v>5289</v>
      </c>
      <c r="L1001" s="13" t="s">
        <v>5742</v>
      </c>
      <c r="M1001" s="13"/>
      <c r="N1001" s="13" t="n">
        <v>3414202000572</v>
      </c>
      <c r="O1001" s="13"/>
      <c r="P1001" s="13" t="s">
        <v>5291</v>
      </c>
      <c r="Q1001" s="13" t="s">
        <v>5289</v>
      </c>
      <c r="R1001" s="13" t="s">
        <v>5292</v>
      </c>
      <c r="S1001" s="13" t="s">
        <v>5293</v>
      </c>
      <c r="T1001" s="13" t="s">
        <v>4</v>
      </c>
      <c r="U1001" s="13" t="s">
        <v>43</v>
      </c>
      <c r="V1001" s="13" t="n">
        <f aca="false">IF(COUNTIF($B$2:B1001,B1001)=1,1,0)</f>
        <v>0</v>
      </c>
      <c r="W1001" s="13" t="n">
        <f aca="false">IF(COUNTIFS($B$2:B1001,B1001,$T$2:T1001,T1001)=1,1,0)</f>
        <v>0</v>
      </c>
    </row>
    <row r="1002" customFormat="false" ht="15" hidden="false" customHeight="false" outlineLevel="0" collapsed="false">
      <c r="A1002" s="13" t="s">
        <v>469</v>
      </c>
      <c r="B1002" s="13" t="s">
        <v>79</v>
      </c>
      <c r="C1002" s="13" t="n">
        <v>6900</v>
      </c>
      <c r="D1002" s="13" t="n">
        <v>5</v>
      </c>
      <c r="E1002" s="13" t="n">
        <v>769.196666666666</v>
      </c>
      <c r="F1002" s="13" t="s">
        <v>5325</v>
      </c>
      <c r="G1002" s="13" t="s">
        <v>5289</v>
      </c>
      <c r="H1002" s="13" t="s">
        <v>5292</v>
      </c>
      <c r="I1002" s="13" t="s">
        <v>5289</v>
      </c>
      <c r="J1002" s="13" t="s">
        <v>5289</v>
      </c>
      <c r="K1002" s="13" t="s">
        <v>5289</v>
      </c>
      <c r="L1002" s="13" t="s">
        <v>5743</v>
      </c>
      <c r="M1002" s="13"/>
      <c r="N1002" s="13" t="n">
        <v>8056669925781</v>
      </c>
      <c r="O1002" s="13"/>
      <c r="P1002" s="13" t="s">
        <v>5291</v>
      </c>
      <c r="Q1002" s="13" t="s">
        <v>5289</v>
      </c>
      <c r="R1002" s="13" t="s">
        <v>5292</v>
      </c>
      <c r="S1002" s="13" t="s">
        <v>5293</v>
      </c>
      <c r="T1002" s="13" t="s">
        <v>4</v>
      </c>
      <c r="U1002" s="13" t="s">
        <v>43</v>
      </c>
      <c r="V1002" s="13" t="n">
        <f aca="false">IF(COUNTIF($B$2:B1002,B1002)=1,1,0)</f>
        <v>0</v>
      </c>
      <c r="W1002" s="13" t="n">
        <f aca="false">IF(COUNTIFS($B$2:B1002,B1002,$T$2:T1002,T1002)=1,1,0)</f>
        <v>0</v>
      </c>
    </row>
    <row r="1003" customFormat="false" ht="15" hidden="false" customHeight="false" outlineLevel="0" collapsed="false">
      <c r="A1003" s="13" t="s">
        <v>110</v>
      </c>
      <c r="B1003" s="13" t="s">
        <v>50</v>
      </c>
      <c r="C1003" s="13" t="n">
        <v>6900</v>
      </c>
      <c r="D1003" s="13" t="n">
        <v>5</v>
      </c>
      <c r="E1003" s="13" t="n">
        <v>864.46</v>
      </c>
      <c r="F1003" s="13" t="s">
        <v>5288</v>
      </c>
      <c r="G1003" s="13" t="s">
        <v>5289</v>
      </c>
      <c r="H1003" s="13" t="s">
        <v>5289</v>
      </c>
      <c r="I1003" s="13" t="s">
        <v>5289</v>
      </c>
      <c r="J1003" s="13" t="s">
        <v>5289</v>
      </c>
      <c r="K1003" s="13" t="s">
        <v>5289</v>
      </c>
      <c r="L1003" s="13" t="s">
        <v>5744</v>
      </c>
      <c r="M1003" s="13"/>
      <c r="N1003" s="13" t="n">
        <v>3349668644940</v>
      </c>
      <c r="O1003" s="13"/>
      <c r="P1003" s="13" t="s">
        <v>5297</v>
      </c>
      <c r="Q1003" s="13" t="s">
        <v>5289</v>
      </c>
      <c r="R1003" s="13" t="s">
        <v>5292</v>
      </c>
      <c r="S1003" s="13" t="s">
        <v>5293</v>
      </c>
      <c r="T1003" s="13" t="s">
        <v>4</v>
      </c>
      <c r="U1003" s="13" t="s">
        <v>43</v>
      </c>
      <c r="V1003" s="13" t="n">
        <f aca="false">IF(COUNTIF($B$2:B1003,B1003)=1,1,0)</f>
        <v>0</v>
      </c>
      <c r="W1003" s="13" t="n">
        <f aca="false">IF(COUNTIFS($B$2:B1003,B1003,$T$2:T1003,T1003)=1,1,0)</f>
        <v>0</v>
      </c>
    </row>
    <row r="1004" customFormat="false" ht="15" hidden="false" customHeight="false" outlineLevel="0" collapsed="false">
      <c r="A1004" s="13" t="s">
        <v>468</v>
      </c>
      <c r="B1004" s="13" t="s">
        <v>42</v>
      </c>
      <c r="C1004" s="13" t="n">
        <v>6900</v>
      </c>
      <c r="D1004" s="13" t="n">
        <v>5</v>
      </c>
      <c r="E1004" s="13" t="n">
        <v>762.866666666667</v>
      </c>
      <c r="F1004" s="13" t="s">
        <v>5288</v>
      </c>
      <c r="G1004" s="13" t="s">
        <v>5289</v>
      </c>
      <c r="H1004" s="13" t="s">
        <v>5289</v>
      </c>
      <c r="I1004" s="13" t="s">
        <v>5289</v>
      </c>
      <c r="J1004" s="13" t="s">
        <v>5289</v>
      </c>
      <c r="K1004" s="13" t="s">
        <v>5289</v>
      </c>
      <c r="L1004" s="13" t="s">
        <v>5745</v>
      </c>
      <c r="M1004" s="13"/>
      <c r="N1004" s="13" t="n">
        <v>8411061109953</v>
      </c>
      <c r="O1004" s="13"/>
      <c r="P1004" s="13" t="s">
        <v>5291</v>
      </c>
      <c r="Q1004" s="13" t="s">
        <v>5289</v>
      </c>
      <c r="R1004" s="13" t="s">
        <v>5292</v>
      </c>
      <c r="S1004" s="13" t="s">
        <v>5293</v>
      </c>
      <c r="T1004" s="13" t="s">
        <v>4</v>
      </c>
      <c r="U1004" s="13" t="s">
        <v>43</v>
      </c>
      <c r="V1004" s="13" t="n">
        <f aca="false">IF(COUNTIF($B$2:B1004,B1004)=1,1,0)</f>
        <v>0</v>
      </c>
      <c r="W1004" s="13" t="n">
        <f aca="false">IF(COUNTIFS($B$2:B1004,B1004,$T$2:T1004,T1004)=1,1,0)</f>
        <v>0</v>
      </c>
    </row>
    <row r="1005" customFormat="false" ht="15" hidden="false" customHeight="false" outlineLevel="0" collapsed="false">
      <c r="A1005" s="13" t="s">
        <v>171</v>
      </c>
      <c r="B1005" s="13" t="s">
        <v>161</v>
      </c>
      <c r="C1005" s="13" t="n">
        <v>6700</v>
      </c>
      <c r="D1005" s="13" t="n">
        <v>20</v>
      </c>
      <c r="E1005" s="13" t="n">
        <v>373.45</v>
      </c>
      <c r="F1005" s="13" t="s">
        <v>5288</v>
      </c>
      <c r="G1005" s="13" t="s">
        <v>5289</v>
      </c>
      <c r="H1005" s="13" t="s">
        <v>5289</v>
      </c>
      <c r="I1005" s="13" t="s">
        <v>5289</v>
      </c>
      <c r="J1005" s="13" t="s">
        <v>5289</v>
      </c>
      <c r="K1005" s="13" t="s">
        <v>5289</v>
      </c>
      <c r="L1005" s="13" t="s">
        <v>5746</v>
      </c>
      <c r="M1005" s="13"/>
      <c r="N1005" s="13" t="n">
        <v>3355991004665</v>
      </c>
      <c r="O1005" s="13"/>
      <c r="P1005" s="13" t="s">
        <v>5291</v>
      </c>
      <c r="Q1005" s="13" t="s">
        <v>5289</v>
      </c>
      <c r="R1005" s="13" t="s">
        <v>5292</v>
      </c>
      <c r="S1005" s="13" t="s">
        <v>5293</v>
      </c>
      <c r="T1005" s="13" t="s">
        <v>4</v>
      </c>
      <c r="U1005" s="13" t="s">
        <v>43</v>
      </c>
      <c r="V1005" s="13" t="n">
        <f aca="false">IF(COUNTIF($B$2:B1005,B1005)=1,1,0)</f>
        <v>0</v>
      </c>
      <c r="W1005" s="13" t="n">
        <f aca="false">IF(COUNTIFS($B$2:B1005,B1005,$T$2:T1005,T1005)=1,1,0)</f>
        <v>0</v>
      </c>
    </row>
    <row r="1006" customFormat="false" ht="15" hidden="false" customHeight="false" outlineLevel="0" collapsed="false">
      <c r="A1006" s="13" t="s">
        <v>474</v>
      </c>
      <c r="B1006" s="13" t="s">
        <v>42</v>
      </c>
      <c r="C1006" s="13" t="n">
        <v>6700</v>
      </c>
      <c r="D1006" s="13" t="n">
        <v>5</v>
      </c>
      <c r="E1006" s="13" t="n">
        <v>833.34</v>
      </c>
      <c r="F1006" s="13" t="s">
        <v>5288</v>
      </c>
      <c r="G1006" s="13" t="s">
        <v>5289</v>
      </c>
      <c r="H1006" s="13" t="s">
        <v>5289</v>
      </c>
      <c r="I1006" s="13" t="s">
        <v>5289</v>
      </c>
      <c r="J1006" s="13" t="s">
        <v>5289</v>
      </c>
      <c r="K1006" s="13" t="s">
        <v>5289</v>
      </c>
      <c r="L1006" s="13" t="s">
        <v>5676</v>
      </c>
      <c r="M1006" s="13"/>
      <c r="N1006" s="13" t="n">
        <v>8.41106107523484E+025</v>
      </c>
      <c r="O1006" s="13"/>
      <c r="P1006" s="13" t="s">
        <v>5291</v>
      </c>
      <c r="Q1006" s="13" t="s">
        <v>5289</v>
      </c>
      <c r="R1006" s="13" t="s">
        <v>5292</v>
      </c>
      <c r="S1006" s="13" t="s">
        <v>5293</v>
      </c>
      <c r="T1006" s="13" t="s">
        <v>4</v>
      </c>
      <c r="U1006" s="13" t="s">
        <v>43</v>
      </c>
      <c r="V1006" s="13" t="n">
        <f aca="false">IF(COUNTIF($B$2:B1006,B1006)=1,1,0)</f>
        <v>0</v>
      </c>
      <c r="W1006" s="13" t="n">
        <f aca="false">IF(COUNTIFS($B$2:B1006,B1006,$T$2:T1006,T1006)=1,1,0)</f>
        <v>0</v>
      </c>
    </row>
    <row r="1007" customFormat="false" ht="15" hidden="false" customHeight="false" outlineLevel="0" collapsed="false">
      <c r="A1007" s="13" t="s">
        <v>478</v>
      </c>
      <c r="B1007" s="13" t="s">
        <v>229</v>
      </c>
      <c r="C1007" s="13" t="n">
        <v>6600</v>
      </c>
      <c r="D1007" s="13" t="n">
        <v>20</v>
      </c>
      <c r="E1007" s="13" t="n">
        <v>316.659047619048</v>
      </c>
      <c r="F1007" s="13" t="s">
        <v>5288</v>
      </c>
      <c r="G1007" s="13" t="s">
        <v>5289</v>
      </c>
      <c r="H1007" s="13" t="s">
        <v>5292</v>
      </c>
      <c r="I1007" s="13" t="s">
        <v>5289</v>
      </c>
      <c r="J1007" s="13" t="s">
        <v>5289</v>
      </c>
      <c r="K1007" s="13" t="s">
        <v>5289</v>
      </c>
      <c r="L1007" s="13" t="s">
        <v>5735</v>
      </c>
      <c r="M1007" s="13"/>
      <c r="N1007" s="13" t="n">
        <v>3607342359789</v>
      </c>
      <c r="O1007" s="13"/>
      <c r="P1007" s="13" t="s">
        <v>5291</v>
      </c>
      <c r="Q1007" s="13" t="s">
        <v>5289</v>
      </c>
      <c r="R1007" s="13" t="s">
        <v>5292</v>
      </c>
      <c r="S1007" s="13" t="s">
        <v>5293</v>
      </c>
      <c r="T1007" s="13" t="s">
        <v>4</v>
      </c>
      <c r="U1007" s="13" t="s">
        <v>43</v>
      </c>
      <c r="V1007" s="13" t="n">
        <f aca="false">IF(COUNTIF($B$2:B1007,B1007)=1,1,0)</f>
        <v>0</v>
      </c>
      <c r="W1007" s="13" t="n">
        <f aca="false">IF(COUNTIFS($B$2:B1007,B1007,$T$2:T1007,T1007)=1,1,0)</f>
        <v>0</v>
      </c>
    </row>
    <row r="1008" customFormat="false" ht="15" hidden="false" customHeight="false" outlineLevel="0" collapsed="false">
      <c r="A1008" s="13" t="s">
        <v>481</v>
      </c>
      <c r="B1008" s="13" t="s">
        <v>50</v>
      </c>
      <c r="C1008" s="13" t="n">
        <v>6500</v>
      </c>
      <c r="D1008" s="13" t="n">
        <v>5</v>
      </c>
      <c r="E1008" s="13" t="n">
        <v>816.895</v>
      </c>
      <c r="F1008" s="13" t="s">
        <v>5325</v>
      </c>
      <c r="G1008" s="13" t="s">
        <v>5289</v>
      </c>
      <c r="H1008" s="13" t="s">
        <v>5292</v>
      </c>
      <c r="I1008" s="13" t="s">
        <v>5289</v>
      </c>
      <c r="J1008" s="13" t="s">
        <v>5289</v>
      </c>
      <c r="K1008" s="13" t="s">
        <v>5289</v>
      </c>
      <c r="L1008" s="13" t="s">
        <v>5659</v>
      </c>
      <c r="M1008" s="13"/>
      <c r="N1008" s="13" t="n">
        <v>3349668592388</v>
      </c>
      <c r="O1008" s="13"/>
      <c r="P1008" s="13" t="s">
        <v>5291</v>
      </c>
      <c r="Q1008" s="13" t="s">
        <v>5289</v>
      </c>
      <c r="R1008" s="13" t="s">
        <v>5292</v>
      </c>
      <c r="S1008" s="13" t="s">
        <v>5293</v>
      </c>
      <c r="T1008" s="13" t="s">
        <v>4</v>
      </c>
      <c r="U1008" s="13" t="s">
        <v>43</v>
      </c>
      <c r="V1008" s="13" t="n">
        <f aca="false">IF(COUNTIF($B$2:B1008,B1008)=1,1,0)</f>
        <v>0</v>
      </c>
      <c r="W1008" s="13" t="n">
        <f aca="false">IF(COUNTIFS($B$2:B1008,B1008,$T$2:T1008,T1008)=1,1,0)</f>
        <v>0</v>
      </c>
    </row>
    <row r="1009" customFormat="false" ht="15" hidden="false" customHeight="false" outlineLevel="0" collapsed="false">
      <c r="A1009" s="13" t="s">
        <v>480</v>
      </c>
      <c r="B1009" s="13" t="s">
        <v>50</v>
      </c>
      <c r="C1009" s="13" t="n">
        <v>6500</v>
      </c>
      <c r="D1009" s="13" t="n">
        <v>5</v>
      </c>
      <c r="E1009" s="13" t="n">
        <v>648.098</v>
      </c>
      <c r="F1009" s="13" t="s">
        <v>5288</v>
      </c>
      <c r="G1009" s="13" t="s">
        <v>5289</v>
      </c>
      <c r="H1009" s="13" t="s">
        <v>5289</v>
      </c>
      <c r="I1009" s="13" t="s">
        <v>5289</v>
      </c>
      <c r="J1009" s="13" t="s">
        <v>5289</v>
      </c>
      <c r="K1009" s="13" t="s">
        <v>5289</v>
      </c>
      <c r="L1009" s="13" t="s">
        <v>5747</v>
      </c>
      <c r="M1009" s="13"/>
      <c r="N1009" s="13" t="n">
        <v>3349668630035</v>
      </c>
      <c r="O1009" s="13"/>
      <c r="P1009" s="13" t="s">
        <v>5291</v>
      </c>
      <c r="Q1009" s="13" t="s">
        <v>5289</v>
      </c>
      <c r="R1009" s="13" t="s">
        <v>5292</v>
      </c>
      <c r="S1009" s="13" t="s">
        <v>5293</v>
      </c>
      <c r="T1009" s="13" t="s">
        <v>4</v>
      </c>
      <c r="U1009" s="13" t="s">
        <v>43</v>
      </c>
      <c r="V1009" s="13" t="n">
        <f aca="false">IF(COUNTIF($B$2:B1009,B1009)=1,1,0)</f>
        <v>0</v>
      </c>
      <c r="W1009" s="13" t="n">
        <f aca="false">IF(COUNTIFS($B$2:B1009,B1009,$T$2:T1009,T1009)=1,1,0)</f>
        <v>0</v>
      </c>
    </row>
    <row r="1010" customFormat="false" ht="15" hidden="false" customHeight="false" outlineLevel="0" collapsed="false">
      <c r="A1010" s="13" t="s">
        <v>91</v>
      </c>
      <c r="B1010" s="13" t="s">
        <v>42</v>
      </c>
      <c r="C1010" s="13" t="n">
        <v>6500</v>
      </c>
      <c r="D1010" s="13" t="n">
        <v>5</v>
      </c>
      <c r="E1010" s="13" t="n">
        <v>717.062222222222</v>
      </c>
      <c r="F1010" s="13" t="s">
        <v>5288</v>
      </c>
      <c r="G1010" s="13" t="s">
        <v>5289</v>
      </c>
      <c r="H1010" s="13" t="s">
        <v>5289</v>
      </c>
      <c r="I1010" s="13" t="s">
        <v>5289</v>
      </c>
      <c r="J1010" s="13" t="s">
        <v>5289</v>
      </c>
      <c r="K1010" s="13" t="s">
        <v>5289</v>
      </c>
      <c r="L1010" s="13" t="s">
        <v>5693</v>
      </c>
      <c r="M1010" s="13"/>
      <c r="N1010" s="13" t="n">
        <v>8411061786161</v>
      </c>
      <c r="O1010" s="13"/>
      <c r="P1010" s="13" t="s">
        <v>5291</v>
      </c>
      <c r="Q1010" s="13" t="s">
        <v>5289</v>
      </c>
      <c r="R1010" s="13" t="s">
        <v>5292</v>
      </c>
      <c r="S1010" s="13" t="s">
        <v>5293</v>
      </c>
      <c r="T1010" s="13" t="s">
        <v>4</v>
      </c>
      <c r="U1010" s="13" t="s">
        <v>43</v>
      </c>
      <c r="V1010" s="13" t="n">
        <f aca="false">IF(COUNTIF($B$2:B1010,B1010)=1,1,0)</f>
        <v>0</v>
      </c>
      <c r="W1010" s="13" t="n">
        <f aca="false">IF(COUNTIFS($B$2:B1010,B1010,$T$2:T1010,T1010)=1,1,0)</f>
        <v>0</v>
      </c>
    </row>
    <row r="1011" customFormat="false" ht="15" hidden="false" customHeight="false" outlineLevel="0" collapsed="false">
      <c r="A1011" s="13" t="s">
        <v>104</v>
      </c>
      <c r="B1011" s="13" t="s">
        <v>103</v>
      </c>
      <c r="C1011" s="13" t="n">
        <v>6400</v>
      </c>
      <c r="D1011" s="13" t="n">
        <v>30</v>
      </c>
      <c r="E1011" s="13" t="n">
        <v>227.107857142857</v>
      </c>
      <c r="F1011" s="13" t="s">
        <v>5288</v>
      </c>
      <c r="G1011" s="13" t="s">
        <v>5292</v>
      </c>
      <c r="H1011" s="13" t="s">
        <v>5289</v>
      </c>
      <c r="I1011" s="13" t="s">
        <v>5289</v>
      </c>
      <c r="J1011" s="13" t="s">
        <v>5289</v>
      </c>
      <c r="K1011" s="13" t="s">
        <v>5289</v>
      </c>
      <c r="L1011" s="13" t="s">
        <v>5748</v>
      </c>
      <c r="M1011" s="13"/>
      <c r="N1011" s="13" t="n">
        <v>8.41106173783584E+025</v>
      </c>
      <c r="O1011" s="13"/>
      <c r="P1011" s="13" t="s">
        <v>5291</v>
      </c>
      <c r="Q1011" s="13" t="s">
        <v>5289</v>
      </c>
      <c r="R1011" s="13" t="s">
        <v>5292</v>
      </c>
      <c r="S1011" s="13" t="s">
        <v>5293</v>
      </c>
      <c r="T1011" s="13" t="s">
        <v>4</v>
      </c>
      <c r="U1011" s="13" t="s">
        <v>43</v>
      </c>
      <c r="V1011" s="13" t="n">
        <f aca="false">IF(COUNTIF($B$2:B1011,B1011)=1,1,0)</f>
        <v>1</v>
      </c>
      <c r="W1011" s="13" t="n">
        <f aca="false">IF(COUNTIFS($B$2:B1011,B1011,$T$2:T1011,T1011)=1,1,0)</f>
        <v>1</v>
      </c>
    </row>
    <row r="1012" customFormat="false" ht="15" hidden="false" customHeight="false" outlineLevel="0" collapsed="false">
      <c r="A1012" s="13" t="s">
        <v>488</v>
      </c>
      <c r="B1012" s="13" t="s">
        <v>286</v>
      </c>
      <c r="C1012" s="13" t="n">
        <v>6300</v>
      </c>
      <c r="D1012" s="13" t="n">
        <v>20</v>
      </c>
      <c r="E1012" s="13" t="n">
        <v>264.305</v>
      </c>
      <c r="F1012" s="13" t="s">
        <v>5325</v>
      </c>
      <c r="G1012" s="13" t="s">
        <v>5289</v>
      </c>
      <c r="H1012" s="13" t="s">
        <v>5292</v>
      </c>
      <c r="I1012" s="13" t="s">
        <v>5289</v>
      </c>
      <c r="J1012" s="13" t="s">
        <v>5289</v>
      </c>
      <c r="K1012" s="13" t="s">
        <v>5289</v>
      </c>
      <c r="L1012" s="13" t="s">
        <v>5680</v>
      </c>
      <c r="M1012" s="13"/>
      <c r="N1012" s="13" t="n">
        <v>6085010094991</v>
      </c>
      <c r="O1012" s="13"/>
      <c r="P1012" s="13" t="s">
        <v>5291</v>
      </c>
      <c r="Q1012" s="13" t="s">
        <v>5289</v>
      </c>
      <c r="R1012" s="13" t="s">
        <v>5292</v>
      </c>
      <c r="S1012" s="13" t="s">
        <v>5293</v>
      </c>
      <c r="T1012" s="13" t="s">
        <v>4</v>
      </c>
      <c r="U1012" s="13" t="s">
        <v>43</v>
      </c>
      <c r="V1012" s="13" t="n">
        <f aca="false">IF(COUNTIF($B$2:B1012,B1012)=1,1,0)</f>
        <v>0</v>
      </c>
      <c r="W1012" s="13" t="n">
        <f aca="false">IF(COUNTIFS($B$2:B1012,B1012,$T$2:T1012,T1012)=1,1,0)</f>
        <v>0</v>
      </c>
    </row>
    <row r="1013" customFormat="false" ht="15" hidden="false" customHeight="false" outlineLevel="0" collapsed="false">
      <c r="A1013" s="13" t="s">
        <v>422</v>
      </c>
      <c r="B1013" s="13" t="s">
        <v>42</v>
      </c>
      <c r="C1013" s="13" t="n">
        <v>6300</v>
      </c>
      <c r="D1013" s="13" t="n">
        <v>5</v>
      </c>
      <c r="E1013" s="13" t="n">
        <v>634.23</v>
      </c>
      <c r="F1013" s="13" t="s">
        <v>5288</v>
      </c>
      <c r="G1013" s="13" t="s">
        <v>5289</v>
      </c>
      <c r="H1013" s="13" t="s">
        <v>5289</v>
      </c>
      <c r="I1013" s="13" t="s">
        <v>5289</v>
      </c>
      <c r="J1013" s="13" t="s">
        <v>5289</v>
      </c>
      <c r="K1013" s="13" t="s">
        <v>5289</v>
      </c>
      <c r="L1013" s="13" t="s">
        <v>5723</v>
      </c>
      <c r="M1013" s="13"/>
      <c r="N1013" s="13" t="n">
        <v>8411061043868</v>
      </c>
      <c r="O1013" s="13"/>
      <c r="P1013" s="13" t="s">
        <v>5291</v>
      </c>
      <c r="Q1013" s="13" t="s">
        <v>5289</v>
      </c>
      <c r="R1013" s="13" t="s">
        <v>5292</v>
      </c>
      <c r="S1013" s="13" t="s">
        <v>5293</v>
      </c>
      <c r="T1013" s="13" t="s">
        <v>4</v>
      </c>
      <c r="U1013" s="13" t="s">
        <v>43</v>
      </c>
      <c r="V1013" s="13" t="n">
        <f aca="false">IF(COUNTIF($B$2:B1013,B1013)=1,1,0)</f>
        <v>0</v>
      </c>
      <c r="W1013" s="13" t="n">
        <f aca="false">IF(COUNTIFS($B$2:B1013,B1013,$T$2:T1013,T1013)=1,1,0)</f>
        <v>0</v>
      </c>
    </row>
    <row r="1014" customFormat="false" ht="15" hidden="false" customHeight="false" outlineLevel="0" collapsed="false">
      <c r="A1014" s="13" t="s">
        <v>2798</v>
      </c>
      <c r="B1014" s="13" t="s">
        <v>2110</v>
      </c>
      <c r="C1014" s="13" t="n">
        <v>6300</v>
      </c>
      <c r="D1014" s="13" t="n">
        <v>20</v>
      </c>
      <c r="E1014" s="13" t="n">
        <v>348.296666666667</v>
      </c>
      <c r="F1014" s="13" t="s">
        <v>5288</v>
      </c>
      <c r="G1014" s="13" t="s">
        <v>5289</v>
      </c>
      <c r="H1014" s="13" t="s">
        <v>5289</v>
      </c>
      <c r="I1014" s="13" t="s">
        <v>5289</v>
      </c>
      <c r="J1014" s="13" t="s">
        <v>5289</v>
      </c>
      <c r="K1014" s="13" t="s">
        <v>5289</v>
      </c>
      <c r="L1014" s="13" t="s">
        <v>5749</v>
      </c>
      <c r="M1014" s="13"/>
      <c r="N1014" s="13" t="n">
        <v>3386460149280</v>
      </c>
      <c r="O1014" s="13"/>
      <c r="P1014" s="13" t="s">
        <v>5291</v>
      </c>
      <c r="Q1014" s="13" t="s">
        <v>5289</v>
      </c>
      <c r="R1014" s="13" t="s">
        <v>5292</v>
      </c>
      <c r="S1014" s="13" t="s">
        <v>5293</v>
      </c>
      <c r="T1014" s="13" t="s">
        <v>4</v>
      </c>
      <c r="U1014" s="13" t="s">
        <v>43</v>
      </c>
      <c r="V1014" s="13" t="n">
        <f aca="false">IF(COUNTIF($B$2:B1014,B1014)=1,1,0)</f>
        <v>0</v>
      </c>
      <c r="W1014" s="13" t="n">
        <f aca="false">IF(COUNTIFS($B$2:B1014,B1014,$T$2:T1014,T1014)=1,1,0)</f>
        <v>0</v>
      </c>
    </row>
    <row r="1015" customFormat="false" ht="15" hidden="false" customHeight="false" outlineLevel="0" collapsed="false">
      <c r="A1015" s="13" t="s">
        <v>151</v>
      </c>
      <c r="B1015" s="13" t="s">
        <v>42</v>
      </c>
      <c r="C1015" s="13" t="n">
        <v>6300</v>
      </c>
      <c r="D1015" s="13" t="n">
        <v>5</v>
      </c>
      <c r="E1015" s="13" t="n">
        <v>782.04</v>
      </c>
      <c r="F1015" s="13" t="s">
        <v>5325</v>
      </c>
      <c r="G1015" s="13" t="s">
        <v>5289</v>
      </c>
      <c r="H1015" s="13" t="s">
        <v>5289</v>
      </c>
      <c r="I1015" s="13" t="s">
        <v>5289</v>
      </c>
      <c r="J1015" s="13" t="s">
        <v>5289</v>
      </c>
      <c r="K1015" s="13" t="s">
        <v>5289</v>
      </c>
      <c r="L1015" s="13" t="s">
        <v>5683</v>
      </c>
      <c r="M1015" s="13"/>
      <c r="N1015" s="13" t="n">
        <v>8411061782347</v>
      </c>
      <c r="O1015" s="13"/>
      <c r="P1015" s="13" t="s">
        <v>5297</v>
      </c>
      <c r="Q1015" s="13" t="s">
        <v>5289</v>
      </c>
      <c r="R1015" s="13" t="s">
        <v>5292</v>
      </c>
      <c r="S1015" s="13" t="s">
        <v>5293</v>
      </c>
      <c r="T1015" s="13" t="s">
        <v>4</v>
      </c>
      <c r="U1015" s="13" t="s">
        <v>43</v>
      </c>
      <c r="V1015" s="13" t="n">
        <f aca="false">IF(COUNTIF($B$2:B1015,B1015)=1,1,0)</f>
        <v>0</v>
      </c>
      <c r="W1015" s="13" t="n">
        <f aca="false">IF(COUNTIFS($B$2:B1015,B1015,$T$2:T1015,T1015)=1,1,0)</f>
        <v>0</v>
      </c>
    </row>
    <row r="1016" customFormat="false" ht="15" hidden="false" customHeight="false" outlineLevel="0" collapsed="false">
      <c r="A1016" s="13" t="s">
        <v>489</v>
      </c>
      <c r="B1016" s="13" t="s">
        <v>50</v>
      </c>
      <c r="C1016" s="13" t="n">
        <v>6200</v>
      </c>
      <c r="D1016" s="13" t="n">
        <v>10</v>
      </c>
      <c r="E1016" s="13" t="n">
        <v>444.11</v>
      </c>
      <c r="F1016" s="13" t="s">
        <v>5288</v>
      </c>
      <c r="G1016" s="13" t="s">
        <v>5289</v>
      </c>
      <c r="H1016" s="13" t="s">
        <v>5289</v>
      </c>
      <c r="I1016" s="13" t="s">
        <v>5289</v>
      </c>
      <c r="J1016" s="13" t="s">
        <v>5289</v>
      </c>
      <c r="K1016" s="13" t="s">
        <v>5289</v>
      </c>
      <c r="L1016" s="13" t="s">
        <v>5750</v>
      </c>
      <c r="M1016" s="13"/>
      <c r="N1016" s="13" t="n">
        <v>3349668613427</v>
      </c>
      <c r="O1016" s="13"/>
      <c r="P1016" s="13" t="s">
        <v>5291</v>
      </c>
      <c r="Q1016" s="13" t="s">
        <v>5289</v>
      </c>
      <c r="R1016" s="13" t="s">
        <v>5292</v>
      </c>
      <c r="S1016" s="13" t="s">
        <v>5293</v>
      </c>
      <c r="T1016" s="13" t="s">
        <v>4</v>
      </c>
      <c r="U1016" s="13" t="s">
        <v>43</v>
      </c>
      <c r="V1016" s="13" t="n">
        <f aca="false">IF(COUNTIF($B$2:B1016,B1016)=1,1,0)</f>
        <v>0</v>
      </c>
      <c r="W1016" s="13" t="n">
        <f aca="false">IF(COUNTIFS($B$2:B1016,B1016,$T$2:T1016,T1016)=1,1,0)</f>
        <v>0</v>
      </c>
    </row>
    <row r="1017" customFormat="false" ht="15" hidden="false" customHeight="false" outlineLevel="0" collapsed="false">
      <c r="A1017" s="13" t="s">
        <v>244</v>
      </c>
      <c r="B1017" s="13" t="s">
        <v>42</v>
      </c>
      <c r="C1017" s="13" t="n">
        <v>6000</v>
      </c>
      <c r="D1017" s="13" t="n">
        <v>10</v>
      </c>
      <c r="E1017" s="13" t="n">
        <v>464.796153846154</v>
      </c>
      <c r="F1017" s="13" t="s">
        <v>5288</v>
      </c>
      <c r="G1017" s="13" t="s">
        <v>5289</v>
      </c>
      <c r="H1017" s="13" t="s">
        <v>5289</v>
      </c>
      <c r="I1017" s="13" t="s">
        <v>5289</v>
      </c>
      <c r="J1017" s="13" t="s">
        <v>5289</v>
      </c>
      <c r="K1017" s="13" t="s">
        <v>5289</v>
      </c>
      <c r="L1017" s="13" t="s">
        <v>5751</v>
      </c>
      <c r="M1017" s="13"/>
      <c r="N1017" s="13" t="n">
        <v>8411061077146</v>
      </c>
      <c r="O1017" s="13"/>
      <c r="P1017" s="13" t="s">
        <v>5291</v>
      </c>
      <c r="Q1017" s="13" t="s">
        <v>5289</v>
      </c>
      <c r="R1017" s="13" t="s">
        <v>5292</v>
      </c>
      <c r="S1017" s="13" t="s">
        <v>5293</v>
      </c>
      <c r="T1017" s="13" t="s">
        <v>4</v>
      </c>
      <c r="U1017" s="13" t="s">
        <v>43</v>
      </c>
      <c r="V1017" s="13" t="n">
        <f aca="false">IF(COUNTIF($B$2:B1017,B1017)=1,1,0)</f>
        <v>0</v>
      </c>
      <c r="W1017" s="13" t="n">
        <f aca="false">IF(COUNTIFS($B$2:B1017,B1017,$T$2:T1017,T1017)=1,1,0)</f>
        <v>0</v>
      </c>
    </row>
    <row r="1018" customFormat="false" ht="15" hidden="false" customHeight="false" outlineLevel="0" collapsed="false">
      <c r="A1018" s="13" t="s">
        <v>189</v>
      </c>
      <c r="B1018" s="13" t="s">
        <v>50</v>
      </c>
      <c r="C1018" s="13" t="n">
        <v>6000</v>
      </c>
      <c r="D1018" s="13" t="n">
        <v>5</v>
      </c>
      <c r="E1018" s="13" t="n">
        <v>661.34</v>
      </c>
      <c r="F1018" s="13" t="s">
        <v>5288</v>
      </c>
      <c r="G1018" s="13" t="s">
        <v>5289</v>
      </c>
      <c r="H1018" s="13" t="s">
        <v>5289</v>
      </c>
      <c r="I1018" s="13" t="s">
        <v>5289</v>
      </c>
      <c r="J1018" s="13" t="s">
        <v>5289</v>
      </c>
      <c r="K1018" s="13" t="s">
        <v>5289</v>
      </c>
      <c r="L1018" s="13" t="s">
        <v>5708</v>
      </c>
      <c r="M1018" s="13"/>
      <c r="N1018" s="13" t="n">
        <v>3349668582297</v>
      </c>
      <c r="O1018" s="13"/>
      <c r="P1018" s="13" t="s">
        <v>5291</v>
      </c>
      <c r="Q1018" s="13" t="s">
        <v>5289</v>
      </c>
      <c r="R1018" s="13" t="s">
        <v>5292</v>
      </c>
      <c r="S1018" s="13" t="s">
        <v>5293</v>
      </c>
      <c r="T1018" s="13" t="s">
        <v>4</v>
      </c>
      <c r="U1018" s="13" t="s">
        <v>43</v>
      </c>
      <c r="V1018" s="13" t="n">
        <f aca="false">IF(COUNTIF($B$2:B1018,B1018)=1,1,0)</f>
        <v>0</v>
      </c>
      <c r="W1018" s="13" t="n">
        <f aca="false">IF(COUNTIFS($B$2:B1018,B1018,$T$2:T1018,T1018)=1,1,0)</f>
        <v>0</v>
      </c>
    </row>
    <row r="1019" customFormat="false" ht="15" hidden="false" customHeight="false" outlineLevel="0" collapsed="false">
      <c r="A1019" s="13" t="s">
        <v>113</v>
      </c>
      <c r="B1019" s="13" t="s">
        <v>45</v>
      </c>
      <c r="C1019" s="13" t="n">
        <v>5900</v>
      </c>
      <c r="D1019" s="13" t="n">
        <v>5</v>
      </c>
      <c r="E1019" s="13" t="n">
        <v>849.708571428571</v>
      </c>
      <c r="F1019" s="13" t="s">
        <v>5288</v>
      </c>
      <c r="G1019" s="13" t="s">
        <v>5289</v>
      </c>
      <c r="H1019" s="13" t="s">
        <v>5289</v>
      </c>
      <c r="I1019" s="13" t="s">
        <v>5289</v>
      </c>
      <c r="J1019" s="13" t="s">
        <v>5289</v>
      </c>
      <c r="K1019" s="13" t="s">
        <v>5289</v>
      </c>
      <c r="L1019" s="13" t="s">
        <v>5752</v>
      </c>
      <c r="M1019" s="13"/>
      <c r="N1019" s="13" t="n">
        <v>8435415050760</v>
      </c>
      <c r="O1019" s="13"/>
      <c r="P1019" s="13" t="s">
        <v>5291</v>
      </c>
      <c r="Q1019" s="13" t="s">
        <v>5289</v>
      </c>
      <c r="R1019" s="13" t="s">
        <v>5292</v>
      </c>
      <c r="S1019" s="13" t="s">
        <v>5293</v>
      </c>
      <c r="T1019" s="13" t="s">
        <v>4</v>
      </c>
      <c r="U1019" s="13" t="s">
        <v>43</v>
      </c>
      <c r="V1019" s="13" t="n">
        <f aca="false">IF(COUNTIF($B$2:B1019,B1019)=1,1,0)</f>
        <v>0</v>
      </c>
      <c r="W1019" s="13" t="n">
        <f aca="false">IF(COUNTIFS($B$2:B1019,B1019,$T$2:T1019,T1019)=1,1,0)</f>
        <v>0</v>
      </c>
    </row>
    <row r="1020" customFormat="false" ht="15" hidden="false" customHeight="false" outlineLevel="0" collapsed="false">
      <c r="A1020" s="13" t="s">
        <v>499</v>
      </c>
      <c r="B1020" s="13" t="s">
        <v>45</v>
      </c>
      <c r="C1020" s="13" t="n">
        <v>5900</v>
      </c>
      <c r="D1020" s="13" t="n">
        <v>5</v>
      </c>
      <c r="E1020" s="13" t="n">
        <v>846.815714285714</v>
      </c>
      <c r="F1020" s="13" t="s">
        <v>5288</v>
      </c>
      <c r="G1020" s="13" t="s">
        <v>5289</v>
      </c>
      <c r="H1020" s="13" t="s">
        <v>5289</v>
      </c>
      <c r="I1020" s="13" t="s">
        <v>5289</v>
      </c>
      <c r="J1020" s="13" t="s">
        <v>5289</v>
      </c>
      <c r="K1020" s="13" t="s">
        <v>5289</v>
      </c>
      <c r="L1020" s="13" t="s">
        <v>5753</v>
      </c>
      <c r="M1020" s="13"/>
      <c r="N1020" s="13" t="n">
        <v>8435415065214</v>
      </c>
      <c r="O1020" s="13"/>
      <c r="P1020" s="13" t="s">
        <v>5291</v>
      </c>
      <c r="Q1020" s="13" t="s">
        <v>5289</v>
      </c>
      <c r="R1020" s="13" t="s">
        <v>5292</v>
      </c>
      <c r="S1020" s="13" t="s">
        <v>5293</v>
      </c>
      <c r="T1020" s="13" t="s">
        <v>4</v>
      </c>
      <c r="U1020" s="13" t="s">
        <v>43</v>
      </c>
      <c r="V1020" s="13" t="n">
        <f aca="false">IF(COUNTIF($B$2:B1020,B1020)=1,1,0)</f>
        <v>0</v>
      </c>
      <c r="W1020" s="13" t="n">
        <f aca="false">IF(COUNTIFS($B$2:B1020,B1020,$T$2:T1020,T1020)=1,1,0)</f>
        <v>0</v>
      </c>
    </row>
    <row r="1021" customFormat="false" ht="15" hidden="false" customHeight="false" outlineLevel="0" collapsed="false">
      <c r="A1021" s="13" t="s">
        <v>500</v>
      </c>
      <c r="B1021" s="13" t="s">
        <v>42</v>
      </c>
      <c r="C1021" s="13" t="n">
        <v>5900</v>
      </c>
      <c r="D1021" s="13" t="n">
        <v>5</v>
      </c>
      <c r="E1021" s="13" t="n">
        <v>841.181428571429</v>
      </c>
      <c r="F1021" s="13" t="s">
        <v>5288</v>
      </c>
      <c r="G1021" s="13" t="s">
        <v>5289</v>
      </c>
      <c r="H1021" s="13" t="s">
        <v>5289</v>
      </c>
      <c r="I1021" s="13" t="s">
        <v>5289</v>
      </c>
      <c r="J1021" s="13" t="s">
        <v>5289</v>
      </c>
      <c r="K1021" s="13" t="s">
        <v>5289</v>
      </c>
      <c r="L1021" s="13" t="s">
        <v>5754</v>
      </c>
      <c r="M1021" s="13"/>
      <c r="N1021" s="13" t="n">
        <v>8411061134559</v>
      </c>
      <c r="O1021" s="13"/>
      <c r="P1021" s="13" t="s">
        <v>5291</v>
      </c>
      <c r="Q1021" s="13" t="s">
        <v>5289</v>
      </c>
      <c r="R1021" s="13" t="s">
        <v>5292</v>
      </c>
      <c r="S1021" s="13" t="s">
        <v>5293</v>
      </c>
      <c r="T1021" s="13" t="s">
        <v>4</v>
      </c>
      <c r="U1021" s="13" t="s">
        <v>43</v>
      </c>
      <c r="V1021" s="13" t="n">
        <f aca="false">IF(COUNTIF($B$2:B1021,B1021)=1,1,0)</f>
        <v>0</v>
      </c>
      <c r="W1021" s="13" t="n">
        <f aca="false">IF(COUNTIFS($B$2:B1021,B1021,$T$2:T1021,T1021)=1,1,0)</f>
        <v>0</v>
      </c>
    </row>
    <row r="1022" customFormat="false" ht="15" hidden="false" customHeight="false" outlineLevel="0" collapsed="false">
      <c r="A1022" s="13" t="s">
        <v>324</v>
      </c>
      <c r="B1022" s="13" t="s">
        <v>42</v>
      </c>
      <c r="C1022" s="13" t="n">
        <v>5900</v>
      </c>
      <c r="D1022" s="13" t="n">
        <v>10</v>
      </c>
      <c r="E1022" s="13" t="n">
        <v>489.575</v>
      </c>
      <c r="F1022" s="13" t="s">
        <v>5288</v>
      </c>
      <c r="G1022" s="13" t="s">
        <v>5289</v>
      </c>
      <c r="H1022" s="13" t="s">
        <v>5289</v>
      </c>
      <c r="I1022" s="13" t="s">
        <v>5289</v>
      </c>
      <c r="J1022" s="13" t="s">
        <v>5289</v>
      </c>
      <c r="K1022" s="13" t="s">
        <v>5289</v>
      </c>
      <c r="L1022" s="13" t="s">
        <v>5755</v>
      </c>
      <c r="M1022" s="13"/>
      <c r="N1022" s="13" t="n">
        <v>8411061123591</v>
      </c>
      <c r="O1022" s="13"/>
      <c r="P1022" s="13" t="s">
        <v>5291</v>
      </c>
      <c r="Q1022" s="13" t="s">
        <v>5289</v>
      </c>
      <c r="R1022" s="13" t="s">
        <v>5292</v>
      </c>
      <c r="S1022" s="13" t="s">
        <v>5293</v>
      </c>
      <c r="T1022" s="13" t="s">
        <v>4</v>
      </c>
      <c r="U1022" s="13" t="s">
        <v>43</v>
      </c>
      <c r="V1022" s="13" t="n">
        <f aca="false">IF(COUNTIF($B$2:B1022,B1022)=1,1,0)</f>
        <v>0</v>
      </c>
      <c r="W1022" s="13" t="n">
        <f aca="false">IF(COUNTIFS($B$2:B1022,B1022,$T$2:T1022,T1022)=1,1,0)</f>
        <v>0</v>
      </c>
    </row>
    <row r="1023" customFormat="false" ht="15" hidden="false" customHeight="false" outlineLevel="0" collapsed="false">
      <c r="A1023" s="13" t="s">
        <v>497</v>
      </c>
      <c r="B1023" s="13" t="s">
        <v>42</v>
      </c>
      <c r="C1023" s="13" t="n">
        <v>5900</v>
      </c>
      <c r="D1023" s="13" t="n">
        <v>5</v>
      </c>
      <c r="E1023" s="13" t="n">
        <v>652.41</v>
      </c>
      <c r="F1023" s="13" t="s">
        <v>5325</v>
      </c>
      <c r="G1023" s="13" t="s">
        <v>5292</v>
      </c>
      <c r="H1023" s="13" t="s">
        <v>5289</v>
      </c>
      <c r="I1023" s="13" t="s">
        <v>5289</v>
      </c>
      <c r="J1023" s="13" t="s">
        <v>5289</v>
      </c>
      <c r="K1023" s="13" t="s">
        <v>5289</v>
      </c>
      <c r="L1023" s="13" t="s">
        <v>5756</v>
      </c>
      <c r="M1023" s="13"/>
      <c r="N1023" s="13" t="n">
        <v>8411061711804</v>
      </c>
      <c r="O1023" s="13"/>
      <c r="P1023" s="13" t="s">
        <v>5297</v>
      </c>
      <c r="Q1023" s="13" t="s">
        <v>5289</v>
      </c>
      <c r="R1023" s="13" t="s">
        <v>5292</v>
      </c>
      <c r="S1023" s="13" t="s">
        <v>5293</v>
      </c>
      <c r="T1023" s="13" t="s">
        <v>4</v>
      </c>
      <c r="U1023" s="13" t="s">
        <v>43</v>
      </c>
      <c r="V1023" s="13" t="n">
        <f aca="false">IF(COUNTIF($B$2:B1023,B1023)=1,1,0)</f>
        <v>0</v>
      </c>
      <c r="W1023" s="13" t="n">
        <f aca="false">IF(COUNTIFS($B$2:B1023,B1023,$T$2:T1023,T1023)=1,1,0)</f>
        <v>0</v>
      </c>
    </row>
    <row r="1024" customFormat="false" ht="15" hidden="false" customHeight="false" outlineLevel="0" collapsed="false">
      <c r="A1024" s="13" t="s">
        <v>503</v>
      </c>
      <c r="B1024" s="13" t="s">
        <v>79</v>
      </c>
      <c r="C1024" s="13" t="n">
        <v>5800</v>
      </c>
      <c r="D1024" s="13" t="n">
        <v>5</v>
      </c>
      <c r="E1024" s="13" t="n">
        <v>835.46</v>
      </c>
      <c r="F1024" s="13" t="s">
        <v>5325</v>
      </c>
      <c r="G1024" s="13" t="s">
        <v>5292</v>
      </c>
      <c r="H1024" s="13" t="s">
        <v>5292</v>
      </c>
      <c r="I1024" s="13" t="s">
        <v>5289</v>
      </c>
      <c r="J1024" s="13" t="s">
        <v>5289</v>
      </c>
      <c r="K1024" s="13" t="s">
        <v>5289</v>
      </c>
      <c r="L1024" s="13" t="s">
        <v>5685</v>
      </c>
      <c r="M1024" s="13"/>
      <c r="N1024" s="13" t="n">
        <v>8056669923992</v>
      </c>
      <c r="O1024" s="13"/>
      <c r="P1024" s="13" t="s">
        <v>5291</v>
      </c>
      <c r="Q1024" s="13" t="s">
        <v>5289</v>
      </c>
      <c r="R1024" s="13" t="s">
        <v>5292</v>
      </c>
      <c r="S1024" s="13" t="s">
        <v>5293</v>
      </c>
      <c r="T1024" s="13" t="s">
        <v>4</v>
      </c>
      <c r="U1024" s="13" t="s">
        <v>43</v>
      </c>
      <c r="V1024" s="13" t="n">
        <f aca="false">IF(COUNTIF($B$2:B1024,B1024)=1,1,0)</f>
        <v>0</v>
      </c>
      <c r="W1024" s="13" t="n">
        <f aca="false">IF(COUNTIFS($B$2:B1024,B1024,$T$2:T1024,T1024)=1,1,0)</f>
        <v>0</v>
      </c>
    </row>
    <row r="1025" customFormat="false" ht="15" hidden="false" customHeight="false" outlineLevel="0" collapsed="false">
      <c r="A1025" s="13" t="s">
        <v>47</v>
      </c>
      <c r="B1025" s="13" t="s">
        <v>42</v>
      </c>
      <c r="C1025" s="13" t="n">
        <v>5800</v>
      </c>
      <c r="D1025" s="13" t="n">
        <v>5</v>
      </c>
      <c r="E1025" s="13" t="n">
        <v>730.14</v>
      </c>
      <c r="F1025" s="13" t="s">
        <v>5325</v>
      </c>
      <c r="G1025" s="13" t="s">
        <v>5289</v>
      </c>
      <c r="H1025" s="13" t="s">
        <v>5289</v>
      </c>
      <c r="I1025" s="13" t="s">
        <v>5289</v>
      </c>
      <c r="J1025" s="13" t="s">
        <v>5289</v>
      </c>
      <c r="K1025" s="13" t="s">
        <v>5289</v>
      </c>
      <c r="L1025" s="13" t="s">
        <v>5660</v>
      </c>
      <c r="M1025" s="13"/>
      <c r="N1025" s="13" t="n">
        <v>8411061105016</v>
      </c>
      <c r="O1025" s="13"/>
      <c r="P1025" s="13" t="s">
        <v>5291</v>
      </c>
      <c r="Q1025" s="13" t="s">
        <v>5289</v>
      </c>
      <c r="R1025" s="13" t="s">
        <v>5292</v>
      </c>
      <c r="S1025" s="13" t="s">
        <v>5293</v>
      </c>
      <c r="T1025" s="13" t="s">
        <v>4</v>
      </c>
      <c r="U1025" s="13" t="s">
        <v>43</v>
      </c>
      <c r="V1025" s="13" t="n">
        <f aca="false">IF(COUNTIF($B$2:B1025,B1025)=1,1,0)</f>
        <v>0</v>
      </c>
      <c r="W1025" s="13" t="n">
        <f aca="false">IF(COUNTIFS($B$2:B1025,B1025,$T$2:T1025,T1025)=1,1,0)</f>
        <v>0</v>
      </c>
    </row>
    <row r="1026" customFormat="false" ht="15" hidden="false" customHeight="false" outlineLevel="0" collapsed="false">
      <c r="A1026" s="13" t="s">
        <v>2973</v>
      </c>
      <c r="B1026" s="13" t="s">
        <v>2138</v>
      </c>
      <c r="C1026" s="13" t="n">
        <v>5800</v>
      </c>
      <c r="D1026" s="13" t="n">
        <v>10</v>
      </c>
      <c r="E1026" s="13" t="n">
        <v>481.96</v>
      </c>
      <c r="F1026" s="13" t="s">
        <v>5288</v>
      </c>
      <c r="G1026" s="13" t="s">
        <v>5289</v>
      </c>
      <c r="H1026" s="13" t="s">
        <v>5289</v>
      </c>
      <c r="I1026" s="13" t="s">
        <v>5289</v>
      </c>
      <c r="J1026" s="13" t="s">
        <v>5289</v>
      </c>
      <c r="K1026" s="13" t="s">
        <v>5289</v>
      </c>
      <c r="L1026" s="13" t="s">
        <v>5757</v>
      </c>
      <c r="M1026" s="13"/>
      <c r="N1026" s="13" t="n">
        <v>3386460066082</v>
      </c>
      <c r="O1026" s="13"/>
      <c r="P1026" s="13" t="s">
        <v>5291</v>
      </c>
      <c r="Q1026" s="13" t="s">
        <v>5289</v>
      </c>
      <c r="R1026" s="13" t="s">
        <v>5292</v>
      </c>
      <c r="S1026" s="13" t="s">
        <v>5293</v>
      </c>
      <c r="T1026" s="13" t="s">
        <v>4</v>
      </c>
      <c r="U1026" s="13" t="s">
        <v>43</v>
      </c>
      <c r="V1026" s="13" t="n">
        <f aca="false">IF(COUNTIF($B$2:B1026,B1026)=1,1,0)</f>
        <v>1</v>
      </c>
      <c r="W1026" s="13" t="n">
        <f aca="false">IF(COUNTIFS($B$2:B1026,B1026,$T$2:T1026,T1026)=1,1,0)</f>
        <v>1</v>
      </c>
    </row>
    <row r="1027" customFormat="false" ht="15" hidden="false" customHeight="false" outlineLevel="0" collapsed="false">
      <c r="A1027" s="13" t="s">
        <v>501</v>
      </c>
      <c r="B1027" s="13" t="s">
        <v>42</v>
      </c>
      <c r="C1027" s="13" t="n">
        <v>5800</v>
      </c>
      <c r="D1027" s="13" t="n">
        <v>5</v>
      </c>
      <c r="E1027" s="13" t="n">
        <v>719.37125</v>
      </c>
      <c r="F1027" s="13" t="s">
        <v>5288</v>
      </c>
      <c r="G1027" s="13" t="s">
        <v>5289</v>
      </c>
      <c r="H1027" s="13" t="s">
        <v>5292</v>
      </c>
      <c r="I1027" s="13" t="s">
        <v>5289</v>
      </c>
      <c r="J1027" s="13" t="s">
        <v>5289</v>
      </c>
      <c r="K1027" s="13" t="s">
        <v>5289</v>
      </c>
      <c r="L1027" s="13" t="s">
        <v>5693</v>
      </c>
      <c r="M1027" s="13"/>
      <c r="N1027" s="13" t="n">
        <v>8411061786161</v>
      </c>
      <c r="O1027" s="13"/>
      <c r="P1027" s="13" t="s">
        <v>5291</v>
      </c>
      <c r="Q1027" s="13" t="s">
        <v>5289</v>
      </c>
      <c r="R1027" s="13" t="s">
        <v>5292</v>
      </c>
      <c r="S1027" s="13" t="s">
        <v>5293</v>
      </c>
      <c r="T1027" s="13" t="s">
        <v>4</v>
      </c>
      <c r="U1027" s="13" t="s">
        <v>43</v>
      </c>
      <c r="V1027" s="13" t="n">
        <f aca="false">IF(COUNTIF($B$2:B1027,B1027)=1,1,0)</f>
        <v>0</v>
      </c>
      <c r="W1027" s="13" t="n">
        <f aca="false">IF(COUNTIFS($B$2:B1027,B1027,$T$2:T1027,T1027)=1,1,0)</f>
        <v>0</v>
      </c>
    </row>
    <row r="1028" customFormat="false" ht="15" hidden="false" customHeight="false" outlineLevel="0" collapsed="false">
      <c r="A1028" s="13" t="s">
        <v>509</v>
      </c>
      <c r="B1028" s="13" t="s">
        <v>50</v>
      </c>
      <c r="C1028" s="13" t="n">
        <v>5700</v>
      </c>
      <c r="D1028" s="13" t="n">
        <v>5</v>
      </c>
      <c r="E1028" s="13" t="n">
        <v>818.271428571428</v>
      </c>
      <c r="F1028" s="13" t="s">
        <v>5288</v>
      </c>
      <c r="G1028" s="13" t="s">
        <v>5289</v>
      </c>
      <c r="H1028" s="13" t="s">
        <v>5289</v>
      </c>
      <c r="I1028" s="13" t="s">
        <v>5289</v>
      </c>
      <c r="J1028" s="13" t="s">
        <v>5289</v>
      </c>
      <c r="K1028" s="13" t="s">
        <v>5289</v>
      </c>
      <c r="L1028" s="13" t="s">
        <v>5758</v>
      </c>
      <c r="M1028" s="13"/>
      <c r="N1028" s="13" t="n">
        <v>3349668643929</v>
      </c>
      <c r="O1028" s="13"/>
      <c r="P1028" s="13" t="s">
        <v>5291</v>
      </c>
      <c r="Q1028" s="13" t="s">
        <v>5289</v>
      </c>
      <c r="R1028" s="13" t="s">
        <v>5292</v>
      </c>
      <c r="S1028" s="13" t="s">
        <v>5293</v>
      </c>
      <c r="T1028" s="13" t="s">
        <v>4</v>
      </c>
      <c r="U1028" s="13" t="s">
        <v>43</v>
      </c>
      <c r="V1028" s="13" t="n">
        <f aca="false">IF(COUNTIF($B$2:B1028,B1028)=1,1,0)</f>
        <v>0</v>
      </c>
      <c r="W1028" s="13" t="n">
        <f aca="false">IF(COUNTIFS($B$2:B1028,B1028,$T$2:T1028,T1028)=1,1,0)</f>
        <v>0</v>
      </c>
    </row>
    <row r="1029" customFormat="false" ht="15" hidden="false" customHeight="false" outlineLevel="0" collapsed="false">
      <c r="A1029" s="13" t="s">
        <v>511</v>
      </c>
      <c r="B1029" s="13" t="s">
        <v>103</v>
      </c>
      <c r="C1029" s="13" t="n">
        <v>5700</v>
      </c>
      <c r="D1029" s="13" t="n">
        <v>30</v>
      </c>
      <c r="E1029" s="13" t="n">
        <v>197.417586206897</v>
      </c>
      <c r="F1029" s="13" t="s">
        <v>5288</v>
      </c>
      <c r="G1029" s="13" t="s">
        <v>5292</v>
      </c>
      <c r="H1029" s="13" t="s">
        <v>5289</v>
      </c>
      <c r="I1029" s="13" t="s">
        <v>5289</v>
      </c>
      <c r="J1029" s="13" t="s">
        <v>5289</v>
      </c>
      <c r="K1029" s="13" t="s">
        <v>5289</v>
      </c>
      <c r="L1029" s="13" t="s">
        <v>5759</v>
      </c>
      <c r="M1029" s="13"/>
      <c r="N1029" s="13" t="n">
        <v>8411061081358</v>
      </c>
      <c r="O1029" s="13"/>
      <c r="P1029" s="13" t="s">
        <v>5291</v>
      </c>
      <c r="Q1029" s="13" t="s">
        <v>5289</v>
      </c>
      <c r="R1029" s="13" t="s">
        <v>5292</v>
      </c>
      <c r="S1029" s="13" t="s">
        <v>5293</v>
      </c>
      <c r="T1029" s="13" t="s">
        <v>4</v>
      </c>
      <c r="U1029" s="13" t="s">
        <v>43</v>
      </c>
      <c r="V1029" s="13" t="n">
        <f aca="false">IF(COUNTIF($B$2:B1029,B1029)=1,1,0)</f>
        <v>0</v>
      </c>
      <c r="W1029" s="13" t="n">
        <f aca="false">IF(COUNTIFS($B$2:B1029,B1029,$T$2:T1029,T1029)=1,1,0)</f>
        <v>0</v>
      </c>
    </row>
    <row r="1030" customFormat="false" ht="15" hidden="false" customHeight="false" outlineLevel="0" collapsed="false">
      <c r="A1030" s="13" t="s">
        <v>508</v>
      </c>
      <c r="B1030" s="13" t="s">
        <v>45</v>
      </c>
      <c r="C1030" s="13" t="n">
        <v>5700</v>
      </c>
      <c r="D1030" s="13" t="n">
        <v>5</v>
      </c>
      <c r="E1030" s="13" t="n">
        <v>713.25875</v>
      </c>
      <c r="F1030" s="13" t="s">
        <v>5288</v>
      </c>
      <c r="G1030" s="13" t="s">
        <v>5289</v>
      </c>
      <c r="H1030" s="13" t="s">
        <v>5289</v>
      </c>
      <c r="I1030" s="13" t="s">
        <v>5289</v>
      </c>
      <c r="J1030" s="13" t="s">
        <v>5289</v>
      </c>
      <c r="K1030" s="13" t="s">
        <v>5289</v>
      </c>
      <c r="L1030" s="13" t="s">
        <v>5760</v>
      </c>
      <c r="M1030" s="13"/>
      <c r="N1030" s="13" t="n">
        <v>8435415114363</v>
      </c>
      <c r="O1030" s="13"/>
      <c r="P1030" s="13" t="s">
        <v>5291</v>
      </c>
      <c r="Q1030" s="13" t="s">
        <v>5289</v>
      </c>
      <c r="R1030" s="13" t="s">
        <v>5292</v>
      </c>
      <c r="S1030" s="13" t="s">
        <v>5293</v>
      </c>
      <c r="T1030" s="13" t="s">
        <v>4</v>
      </c>
      <c r="U1030" s="13" t="s">
        <v>43</v>
      </c>
      <c r="V1030" s="13" t="n">
        <f aca="false">IF(COUNTIF($B$2:B1030,B1030)=1,1,0)</f>
        <v>0</v>
      </c>
      <c r="W1030" s="13" t="n">
        <f aca="false">IF(COUNTIFS($B$2:B1030,B1030,$T$2:T1030,T1030)=1,1,0)</f>
        <v>0</v>
      </c>
    </row>
    <row r="1031" customFormat="false" ht="15" hidden="false" customHeight="false" outlineLevel="0" collapsed="false">
      <c r="A1031" s="13" t="s">
        <v>510</v>
      </c>
      <c r="B1031" s="13" t="s">
        <v>42</v>
      </c>
      <c r="C1031" s="13" t="n">
        <v>5700</v>
      </c>
      <c r="D1031" s="13" t="n">
        <v>5</v>
      </c>
      <c r="E1031" s="13" t="n">
        <v>712.94</v>
      </c>
      <c r="F1031" s="13" t="s">
        <v>5288</v>
      </c>
      <c r="G1031" s="13" t="s">
        <v>5289</v>
      </c>
      <c r="H1031" s="13" t="s">
        <v>5289</v>
      </c>
      <c r="I1031" s="13" t="s">
        <v>5289</v>
      </c>
      <c r="J1031" s="13" t="s">
        <v>5289</v>
      </c>
      <c r="K1031" s="13" t="s">
        <v>5289</v>
      </c>
      <c r="L1031" s="13" t="s">
        <v>5761</v>
      </c>
      <c r="M1031" s="13"/>
      <c r="N1031" s="13" t="n">
        <v>8411061088180</v>
      </c>
      <c r="O1031" s="13"/>
      <c r="P1031" s="13" t="s">
        <v>5291</v>
      </c>
      <c r="Q1031" s="13" t="s">
        <v>5289</v>
      </c>
      <c r="R1031" s="13" t="s">
        <v>5292</v>
      </c>
      <c r="S1031" s="13" t="s">
        <v>5293</v>
      </c>
      <c r="T1031" s="13" t="s">
        <v>4</v>
      </c>
      <c r="U1031" s="13" t="s">
        <v>43</v>
      </c>
      <c r="V1031" s="13" t="n">
        <f aca="false">IF(COUNTIF($B$2:B1031,B1031)=1,1,0)</f>
        <v>0</v>
      </c>
      <c r="W1031" s="13" t="n">
        <f aca="false">IF(COUNTIFS($B$2:B1031,B1031,$T$2:T1031,T1031)=1,1,0)</f>
        <v>0</v>
      </c>
    </row>
    <row r="1032" customFormat="false" ht="15" hidden="false" customHeight="false" outlineLevel="0" collapsed="false">
      <c r="A1032" s="13" t="s">
        <v>507</v>
      </c>
      <c r="B1032" s="13" t="s">
        <v>59</v>
      </c>
      <c r="C1032" s="13" t="n">
        <v>5700</v>
      </c>
      <c r="D1032" s="13" t="n">
        <v>40</v>
      </c>
      <c r="E1032" s="13" t="n">
        <v>149.797894736842</v>
      </c>
      <c r="F1032" s="13" t="s">
        <v>5288</v>
      </c>
      <c r="G1032" s="13" t="s">
        <v>5289</v>
      </c>
      <c r="H1032" s="13" t="s">
        <v>5292</v>
      </c>
      <c r="I1032" s="13" t="s">
        <v>5289</v>
      </c>
      <c r="J1032" s="13" t="s">
        <v>5289</v>
      </c>
      <c r="K1032" s="13" t="s">
        <v>5289</v>
      </c>
      <c r="L1032" s="13" t="s">
        <v>5762</v>
      </c>
      <c r="M1032" s="13"/>
      <c r="N1032" s="13" t="n">
        <v>31655531908</v>
      </c>
      <c r="O1032" s="13"/>
      <c r="P1032" s="13" t="s">
        <v>5291</v>
      </c>
      <c r="Q1032" s="13" t="s">
        <v>5289</v>
      </c>
      <c r="R1032" s="13" t="s">
        <v>5292</v>
      </c>
      <c r="S1032" s="13" t="s">
        <v>5293</v>
      </c>
      <c r="T1032" s="13" t="s">
        <v>4</v>
      </c>
      <c r="U1032" s="13" t="s">
        <v>43</v>
      </c>
      <c r="V1032" s="13" t="n">
        <f aca="false">IF(COUNTIF($B$2:B1032,B1032)=1,1,0)</f>
        <v>0</v>
      </c>
      <c r="W1032" s="13" t="n">
        <f aca="false">IF(COUNTIFS($B$2:B1032,B1032,$T$2:T1032,T1032)=1,1,0)</f>
        <v>1</v>
      </c>
    </row>
    <row r="1033" customFormat="false" ht="15" hidden="false" customHeight="false" outlineLevel="0" collapsed="false">
      <c r="A1033" s="13" t="s">
        <v>513</v>
      </c>
      <c r="B1033" s="13" t="s">
        <v>105</v>
      </c>
      <c r="C1033" s="13" t="n">
        <v>5600</v>
      </c>
      <c r="D1033" s="13" t="n">
        <v>5</v>
      </c>
      <c r="E1033" s="13" t="n">
        <v>560.746</v>
      </c>
      <c r="F1033" s="13" t="s">
        <v>5288</v>
      </c>
      <c r="G1033" s="13" t="s">
        <v>5289</v>
      </c>
      <c r="H1033" s="13" t="s">
        <v>5289</v>
      </c>
      <c r="I1033" s="13" t="s">
        <v>5289</v>
      </c>
      <c r="J1033" s="13" t="s">
        <v>5289</v>
      </c>
      <c r="K1033" s="13" t="s">
        <v>5289</v>
      </c>
      <c r="L1033" s="13" t="s">
        <v>5763</v>
      </c>
      <c r="M1033" s="13"/>
      <c r="N1033" s="13" t="n">
        <v>3616305160584</v>
      </c>
      <c r="O1033" s="13"/>
      <c r="P1033" s="13" t="s">
        <v>5291</v>
      </c>
      <c r="Q1033" s="13" t="s">
        <v>5289</v>
      </c>
      <c r="R1033" s="13" t="s">
        <v>5292</v>
      </c>
      <c r="S1033" s="13" t="s">
        <v>5293</v>
      </c>
      <c r="T1033" s="13" t="s">
        <v>4</v>
      </c>
      <c r="U1033" s="13" t="s">
        <v>43</v>
      </c>
      <c r="V1033" s="13" t="n">
        <f aca="false">IF(COUNTIF($B$2:B1033,B1033)=1,1,0)</f>
        <v>0</v>
      </c>
      <c r="W1033" s="13" t="n">
        <f aca="false">IF(COUNTIFS($B$2:B1033,B1033,$T$2:T1033,T1033)=1,1,0)</f>
        <v>0</v>
      </c>
    </row>
    <row r="1034" customFormat="false" ht="15" hidden="false" customHeight="false" outlineLevel="0" collapsed="false">
      <c r="A1034" s="13" t="s">
        <v>514</v>
      </c>
      <c r="B1034" s="13" t="s">
        <v>153</v>
      </c>
      <c r="C1034" s="13" t="n">
        <v>5600</v>
      </c>
      <c r="D1034" s="13" t="n">
        <v>5</v>
      </c>
      <c r="E1034" s="13" t="n">
        <v>560.495</v>
      </c>
      <c r="F1034" s="13" t="s">
        <v>5288</v>
      </c>
      <c r="G1034" s="13" t="s">
        <v>5292</v>
      </c>
      <c r="H1034" s="13" t="s">
        <v>5292</v>
      </c>
      <c r="I1034" s="13" t="s">
        <v>5289</v>
      </c>
      <c r="J1034" s="13" t="s">
        <v>5289</v>
      </c>
      <c r="K1034" s="13" t="s">
        <v>5289</v>
      </c>
      <c r="L1034" s="13" t="s">
        <v>5764</v>
      </c>
      <c r="M1034" s="13"/>
      <c r="N1034" s="13" t="n">
        <v>8011003825745</v>
      </c>
      <c r="O1034" s="13"/>
      <c r="P1034" s="13" t="s">
        <v>5291</v>
      </c>
      <c r="Q1034" s="13" t="s">
        <v>5289</v>
      </c>
      <c r="R1034" s="13" t="s">
        <v>5292</v>
      </c>
      <c r="S1034" s="13" t="s">
        <v>5293</v>
      </c>
      <c r="T1034" s="13" t="s">
        <v>4</v>
      </c>
      <c r="U1034" s="13" t="s">
        <v>43</v>
      </c>
      <c r="V1034" s="13" t="n">
        <f aca="false">IF(COUNTIF($B$2:B1034,B1034)=1,1,0)</f>
        <v>0</v>
      </c>
      <c r="W1034" s="13" t="n">
        <f aca="false">IF(COUNTIFS($B$2:B1034,B1034,$T$2:T1034,T1034)=1,1,0)</f>
        <v>0</v>
      </c>
    </row>
    <row r="1035" customFormat="false" ht="15" hidden="false" customHeight="false" outlineLevel="0" collapsed="false">
      <c r="A1035" s="13" t="s">
        <v>46</v>
      </c>
      <c r="B1035" s="13" t="s">
        <v>45</v>
      </c>
      <c r="C1035" s="13" t="n">
        <v>5600</v>
      </c>
      <c r="D1035" s="13" t="n">
        <v>5</v>
      </c>
      <c r="E1035" s="13" t="n">
        <v>926.44</v>
      </c>
      <c r="F1035" s="13" t="s">
        <v>5325</v>
      </c>
      <c r="G1035" s="13" t="s">
        <v>5289</v>
      </c>
      <c r="H1035" s="13" t="s">
        <v>5289</v>
      </c>
      <c r="I1035" s="13" t="s">
        <v>5289</v>
      </c>
      <c r="J1035" s="13" t="s">
        <v>5289</v>
      </c>
      <c r="K1035" s="13" t="s">
        <v>5289</v>
      </c>
      <c r="L1035" s="13" t="s">
        <v>5765</v>
      </c>
      <c r="M1035" s="13"/>
      <c r="N1035" s="13" t="n">
        <v>8435415076906</v>
      </c>
      <c r="O1035" s="13"/>
      <c r="P1035" s="13" t="s">
        <v>5291</v>
      </c>
      <c r="Q1035" s="13" t="s">
        <v>5289</v>
      </c>
      <c r="R1035" s="13" t="s">
        <v>5292</v>
      </c>
      <c r="S1035" s="13" t="s">
        <v>5293</v>
      </c>
      <c r="T1035" s="13" t="s">
        <v>4</v>
      </c>
      <c r="U1035" s="13" t="s">
        <v>43</v>
      </c>
      <c r="V1035" s="13" t="n">
        <f aca="false">IF(COUNTIF($B$2:B1035,B1035)=1,1,0)</f>
        <v>0</v>
      </c>
      <c r="W1035" s="13" t="n">
        <f aca="false">IF(COUNTIFS($B$2:B1035,B1035,$T$2:T1035,T1035)=1,1,0)</f>
        <v>0</v>
      </c>
    </row>
    <row r="1036" customFormat="false" ht="15" hidden="false" customHeight="false" outlineLevel="0" collapsed="false">
      <c r="A1036" s="13" t="s">
        <v>518</v>
      </c>
      <c r="B1036" s="13" t="s">
        <v>69</v>
      </c>
      <c r="C1036" s="13" t="n">
        <v>5500</v>
      </c>
      <c r="D1036" s="13" t="n">
        <v>5</v>
      </c>
      <c r="E1036" s="13" t="n">
        <v>788.105714285714</v>
      </c>
      <c r="F1036" s="13" t="s">
        <v>5288</v>
      </c>
      <c r="G1036" s="13" t="s">
        <v>5292</v>
      </c>
      <c r="H1036" s="13" t="s">
        <v>5292</v>
      </c>
      <c r="I1036" s="13" t="s">
        <v>5289</v>
      </c>
      <c r="J1036" s="13" t="s">
        <v>5289</v>
      </c>
      <c r="K1036" s="13" t="s">
        <v>5289</v>
      </c>
      <c r="L1036" s="13" t="s">
        <v>5766</v>
      </c>
      <c r="M1036" s="13"/>
      <c r="N1036" s="13" t="n">
        <v>3614274114652</v>
      </c>
      <c r="O1036" s="13"/>
      <c r="P1036" s="13" t="s">
        <v>5291</v>
      </c>
      <c r="Q1036" s="13" t="s">
        <v>5289</v>
      </c>
      <c r="R1036" s="13" t="s">
        <v>5292</v>
      </c>
      <c r="S1036" s="13" t="s">
        <v>5293</v>
      </c>
      <c r="T1036" s="13" t="s">
        <v>4</v>
      </c>
      <c r="U1036" s="13" t="s">
        <v>43</v>
      </c>
      <c r="V1036" s="13" t="n">
        <f aca="false">IF(COUNTIF($B$2:B1036,B1036)=1,1,0)</f>
        <v>0</v>
      </c>
      <c r="W1036" s="13" t="n">
        <f aca="false">IF(COUNTIFS($B$2:B1036,B1036,$T$2:T1036,T1036)=1,1,0)</f>
        <v>0</v>
      </c>
    </row>
    <row r="1037" customFormat="false" ht="15" hidden="false" customHeight="false" outlineLevel="0" collapsed="false">
      <c r="A1037" s="13" t="s">
        <v>523</v>
      </c>
      <c r="B1037" s="13" t="s">
        <v>50</v>
      </c>
      <c r="C1037" s="13" t="n">
        <v>5500</v>
      </c>
      <c r="D1037" s="13" t="n">
        <v>5</v>
      </c>
      <c r="E1037" s="13" t="n">
        <v>687.27</v>
      </c>
      <c r="F1037" s="13" t="s">
        <v>5325</v>
      </c>
      <c r="G1037" s="13" t="s">
        <v>5289</v>
      </c>
      <c r="H1037" s="13" t="s">
        <v>5292</v>
      </c>
      <c r="I1037" s="13" t="s">
        <v>5289</v>
      </c>
      <c r="J1037" s="13" t="s">
        <v>5289</v>
      </c>
      <c r="K1037" s="13" t="s">
        <v>5289</v>
      </c>
      <c r="L1037" s="13" t="s">
        <v>5767</v>
      </c>
      <c r="M1037" s="13"/>
      <c r="N1037" s="13" t="n">
        <v>3349668576173</v>
      </c>
      <c r="O1037" s="13"/>
      <c r="P1037" s="13" t="s">
        <v>5291</v>
      </c>
      <c r="Q1037" s="13" t="s">
        <v>5289</v>
      </c>
      <c r="R1037" s="13" t="s">
        <v>5292</v>
      </c>
      <c r="S1037" s="13" t="s">
        <v>5293</v>
      </c>
      <c r="T1037" s="13" t="s">
        <v>4</v>
      </c>
      <c r="U1037" s="13" t="s">
        <v>43</v>
      </c>
      <c r="V1037" s="13" t="n">
        <f aca="false">IF(COUNTIF($B$2:B1037,B1037)=1,1,0)</f>
        <v>0</v>
      </c>
      <c r="W1037" s="13" t="n">
        <f aca="false">IF(COUNTIFS($B$2:B1037,B1037,$T$2:T1037,T1037)=1,1,0)</f>
        <v>0</v>
      </c>
    </row>
    <row r="1038" customFormat="false" ht="15" hidden="false" customHeight="false" outlineLevel="0" collapsed="false">
      <c r="A1038" s="13" t="s">
        <v>522</v>
      </c>
      <c r="B1038" s="13" t="s">
        <v>79</v>
      </c>
      <c r="C1038" s="13" t="n">
        <v>5500</v>
      </c>
      <c r="D1038" s="13" t="n">
        <v>10</v>
      </c>
      <c r="E1038" s="13" t="n">
        <v>391.795714285714</v>
      </c>
      <c r="F1038" s="13" t="s">
        <v>5288</v>
      </c>
      <c r="G1038" s="13" t="s">
        <v>5289</v>
      </c>
      <c r="H1038" s="13" t="s">
        <v>5292</v>
      </c>
      <c r="I1038" s="13" t="s">
        <v>5289</v>
      </c>
      <c r="J1038" s="13" t="s">
        <v>5289</v>
      </c>
      <c r="K1038" s="13" t="s">
        <v>5289</v>
      </c>
      <c r="L1038" s="13" t="s">
        <v>5768</v>
      </c>
      <c r="M1038" s="13"/>
      <c r="N1038" s="13" t="n">
        <v>8056669927112</v>
      </c>
      <c r="O1038" s="13"/>
      <c r="P1038" s="13" t="s">
        <v>5291</v>
      </c>
      <c r="Q1038" s="13" t="s">
        <v>5289</v>
      </c>
      <c r="R1038" s="13" t="s">
        <v>5292</v>
      </c>
      <c r="S1038" s="13" t="s">
        <v>5293</v>
      </c>
      <c r="T1038" s="13" t="s">
        <v>4</v>
      </c>
      <c r="U1038" s="13" t="s">
        <v>43</v>
      </c>
      <c r="V1038" s="13" t="n">
        <f aca="false">IF(COUNTIF($B$2:B1038,B1038)=1,1,0)</f>
        <v>0</v>
      </c>
      <c r="W1038" s="13" t="n">
        <f aca="false">IF(COUNTIFS($B$2:B1038,B1038,$T$2:T1038,T1038)=1,1,0)</f>
        <v>0</v>
      </c>
    </row>
    <row r="1039" customFormat="false" ht="15" hidden="false" customHeight="false" outlineLevel="0" collapsed="false">
      <c r="A1039" s="13" t="s">
        <v>2990</v>
      </c>
      <c r="B1039" s="13" t="s">
        <v>2140</v>
      </c>
      <c r="C1039" s="13" t="n">
        <v>5400</v>
      </c>
      <c r="D1039" s="13" t="n">
        <v>20</v>
      </c>
      <c r="E1039" s="13" t="n">
        <v>226.89</v>
      </c>
      <c r="F1039" s="13" t="s">
        <v>5288</v>
      </c>
      <c r="G1039" s="13" t="s">
        <v>5289</v>
      </c>
      <c r="H1039" s="13" t="s">
        <v>5292</v>
      </c>
      <c r="I1039" s="13" t="s">
        <v>5289</v>
      </c>
      <c r="J1039" s="13" t="s">
        <v>5289</v>
      </c>
      <c r="K1039" s="13" t="s">
        <v>5289</v>
      </c>
      <c r="L1039" s="13" t="s">
        <v>5769</v>
      </c>
      <c r="M1039" s="13"/>
      <c r="N1039" s="13" t="n">
        <v>3331845870877</v>
      </c>
      <c r="O1039" s="13"/>
      <c r="P1039" s="13" t="s">
        <v>5291</v>
      </c>
      <c r="Q1039" s="13" t="s">
        <v>5289</v>
      </c>
      <c r="R1039" s="13" t="s">
        <v>5292</v>
      </c>
      <c r="S1039" s="13" t="s">
        <v>5293</v>
      </c>
      <c r="T1039" s="13" t="s">
        <v>4</v>
      </c>
      <c r="U1039" s="13" t="s">
        <v>43</v>
      </c>
      <c r="V1039" s="13" t="n">
        <f aca="false">IF(COUNTIF($B$2:B1039,B1039)=1,1,0)</f>
        <v>0</v>
      </c>
      <c r="W1039" s="13" t="n">
        <f aca="false">IF(COUNTIFS($B$2:B1039,B1039,$T$2:T1039,T1039)=1,1,0)</f>
        <v>0</v>
      </c>
    </row>
    <row r="1040" customFormat="false" ht="15" hidden="false" customHeight="false" outlineLevel="0" collapsed="false">
      <c r="A1040" s="13" t="s">
        <v>529</v>
      </c>
      <c r="B1040" s="13" t="s">
        <v>186</v>
      </c>
      <c r="C1040" s="13" t="n">
        <v>5400</v>
      </c>
      <c r="D1040" s="13" t="n">
        <v>10</v>
      </c>
      <c r="E1040" s="13" t="n">
        <v>418.766923076923</v>
      </c>
      <c r="F1040" s="13" t="s">
        <v>5325</v>
      </c>
      <c r="G1040" s="13" t="s">
        <v>5289</v>
      </c>
      <c r="H1040" s="13" t="s">
        <v>5292</v>
      </c>
      <c r="I1040" s="13" t="s">
        <v>5289</v>
      </c>
      <c r="J1040" s="13" t="s">
        <v>5289</v>
      </c>
      <c r="K1040" s="13" t="s">
        <v>5289</v>
      </c>
      <c r="L1040" s="13" t="s">
        <v>5770</v>
      </c>
      <c r="M1040" s="13"/>
      <c r="N1040" s="13" t="n">
        <v>88300104437</v>
      </c>
      <c r="O1040" s="13"/>
      <c r="P1040" s="13" t="s">
        <v>5291</v>
      </c>
      <c r="Q1040" s="13" t="s">
        <v>5289</v>
      </c>
      <c r="R1040" s="13" t="s">
        <v>5292</v>
      </c>
      <c r="S1040" s="13" t="s">
        <v>5293</v>
      </c>
      <c r="T1040" s="13" t="s">
        <v>4</v>
      </c>
      <c r="U1040" s="13" t="s">
        <v>43</v>
      </c>
      <c r="V1040" s="13" t="n">
        <f aca="false">IF(COUNTIF($B$2:B1040,B1040)=1,1,0)</f>
        <v>0</v>
      </c>
      <c r="W1040" s="13" t="n">
        <f aca="false">IF(COUNTIFS($B$2:B1040,B1040,$T$2:T1040,T1040)=1,1,0)</f>
        <v>0</v>
      </c>
    </row>
    <row r="1041" customFormat="false" ht="15" hidden="false" customHeight="false" outlineLevel="0" collapsed="false">
      <c r="A1041" s="13" t="s">
        <v>535</v>
      </c>
      <c r="B1041" s="13" t="s">
        <v>105</v>
      </c>
      <c r="C1041" s="13" t="n">
        <v>5300</v>
      </c>
      <c r="D1041" s="13" t="n">
        <v>5</v>
      </c>
      <c r="E1041" s="13" t="n">
        <v>666.135</v>
      </c>
      <c r="F1041" s="13" t="s">
        <v>5325</v>
      </c>
      <c r="G1041" s="13" t="s">
        <v>5289</v>
      </c>
      <c r="H1041" s="13" t="s">
        <v>5292</v>
      </c>
      <c r="I1041" s="13" t="s">
        <v>5289</v>
      </c>
      <c r="J1041" s="13" t="s">
        <v>5289</v>
      </c>
      <c r="K1041" s="13" t="s">
        <v>5289</v>
      </c>
      <c r="L1041" s="13" t="s">
        <v>5771</v>
      </c>
      <c r="M1041" s="13"/>
      <c r="N1041" s="13" t="n">
        <v>3614229828542</v>
      </c>
      <c r="O1041" s="13"/>
      <c r="P1041" s="13" t="s">
        <v>5297</v>
      </c>
      <c r="Q1041" s="13" t="s">
        <v>5289</v>
      </c>
      <c r="R1041" s="13" t="s">
        <v>5292</v>
      </c>
      <c r="S1041" s="13" t="s">
        <v>5293</v>
      </c>
      <c r="T1041" s="13" t="s">
        <v>4</v>
      </c>
      <c r="U1041" s="13" t="s">
        <v>43</v>
      </c>
      <c r="V1041" s="13" t="n">
        <f aca="false">IF(COUNTIF($B$2:B1041,B1041)=1,1,0)</f>
        <v>0</v>
      </c>
      <c r="W1041" s="13" t="n">
        <f aca="false">IF(COUNTIFS($B$2:B1041,B1041,$T$2:T1041,T1041)=1,1,0)</f>
        <v>0</v>
      </c>
    </row>
    <row r="1042" customFormat="false" ht="15" hidden="false" customHeight="false" outlineLevel="0" collapsed="false">
      <c r="A1042" s="13" t="s">
        <v>424</v>
      </c>
      <c r="B1042" s="13" t="s">
        <v>45</v>
      </c>
      <c r="C1042" s="13" t="n">
        <v>5300</v>
      </c>
      <c r="D1042" s="13" t="n">
        <v>5</v>
      </c>
      <c r="E1042" s="13" t="n">
        <v>663.17</v>
      </c>
      <c r="F1042" s="13" t="s">
        <v>5288</v>
      </c>
      <c r="G1042" s="13" t="s">
        <v>5289</v>
      </c>
      <c r="H1042" s="13" t="s">
        <v>5289</v>
      </c>
      <c r="I1042" s="13" t="s">
        <v>5289</v>
      </c>
      <c r="J1042" s="13" t="s">
        <v>5289</v>
      </c>
      <c r="K1042" s="13" t="s">
        <v>5289</v>
      </c>
      <c r="L1042" s="13" t="s">
        <v>5772</v>
      </c>
      <c r="M1042" s="13"/>
      <c r="N1042" s="13" t="n">
        <v>8435415017206</v>
      </c>
      <c r="O1042" s="13"/>
      <c r="P1042" s="13" t="s">
        <v>5291</v>
      </c>
      <c r="Q1042" s="13" t="s">
        <v>5289</v>
      </c>
      <c r="R1042" s="13" t="s">
        <v>5292</v>
      </c>
      <c r="S1042" s="13" t="s">
        <v>5293</v>
      </c>
      <c r="T1042" s="13" t="s">
        <v>4</v>
      </c>
      <c r="U1042" s="13" t="s">
        <v>43</v>
      </c>
      <c r="V1042" s="13" t="n">
        <f aca="false">IF(COUNTIF($B$2:B1042,B1042)=1,1,0)</f>
        <v>0</v>
      </c>
      <c r="W1042" s="13" t="n">
        <f aca="false">IF(COUNTIFS($B$2:B1042,B1042,$T$2:T1042,T1042)=1,1,0)</f>
        <v>0</v>
      </c>
    </row>
    <row r="1043" customFormat="false" ht="15" hidden="false" customHeight="false" outlineLevel="0" collapsed="false">
      <c r="A1043" s="13" t="s">
        <v>539</v>
      </c>
      <c r="B1043" s="13" t="s">
        <v>186</v>
      </c>
      <c r="C1043" s="13" t="n">
        <v>5200</v>
      </c>
      <c r="D1043" s="13" t="n">
        <v>10</v>
      </c>
      <c r="E1043" s="13" t="n">
        <v>403.670769230769</v>
      </c>
      <c r="F1043" s="13" t="s">
        <v>5288</v>
      </c>
      <c r="G1043" s="13" t="s">
        <v>5289</v>
      </c>
      <c r="H1043" s="13" t="s">
        <v>5292</v>
      </c>
      <c r="I1043" s="13" t="s">
        <v>5289</v>
      </c>
      <c r="J1043" s="13" t="s">
        <v>5289</v>
      </c>
      <c r="K1043" s="13" t="s">
        <v>5289</v>
      </c>
      <c r="L1043" s="13" t="s">
        <v>5770</v>
      </c>
      <c r="M1043" s="13"/>
      <c r="N1043" s="13" t="n">
        <v>88300104437</v>
      </c>
      <c r="O1043" s="13"/>
      <c r="P1043" s="13" t="s">
        <v>5291</v>
      </c>
      <c r="Q1043" s="13" t="s">
        <v>5289</v>
      </c>
      <c r="R1043" s="13" t="s">
        <v>5292</v>
      </c>
      <c r="S1043" s="13" t="s">
        <v>5293</v>
      </c>
      <c r="T1043" s="13" t="s">
        <v>4</v>
      </c>
      <c r="U1043" s="13" t="s">
        <v>43</v>
      </c>
      <c r="V1043" s="13" t="n">
        <f aca="false">IF(COUNTIF($B$2:B1043,B1043)=1,1,0)</f>
        <v>0</v>
      </c>
      <c r="W1043" s="13" t="n">
        <f aca="false">IF(COUNTIFS($B$2:B1043,B1043,$T$2:T1043,T1043)=1,1,0)</f>
        <v>0</v>
      </c>
    </row>
    <row r="1044" customFormat="false" ht="15" hidden="false" customHeight="false" outlineLevel="0" collapsed="false">
      <c r="A1044" s="13" t="s">
        <v>3026</v>
      </c>
      <c r="B1044" s="13" t="s">
        <v>2120</v>
      </c>
      <c r="C1044" s="13" t="n">
        <v>5200</v>
      </c>
      <c r="D1044" s="13" t="n">
        <v>5</v>
      </c>
      <c r="E1044" s="13" t="n">
        <v>748</v>
      </c>
      <c r="F1044" s="13" t="s">
        <v>5288</v>
      </c>
      <c r="G1044" s="13" t="s">
        <v>5289</v>
      </c>
      <c r="H1044" s="13" t="s">
        <v>5292</v>
      </c>
      <c r="I1044" s="13" t="s">
        <v>5289</v>
      </c>
      <c r="J1044" s="13" t="s">
        <v>5289</v>
      </c>
      <c r="K1044" s="13" t="s">
        <v>5289</v>
      </c>
      <c r="L1044" s="13" t="s">
        <v>5773</v>
      </c>
      <c r="M1044" s="13"/>
      <c r="N1044" s="13" t="n">
        <v>3423222119485</v>
      </c>
      <c r="O1044" s="13"/>
      <c r="P1044" s="13" t="s">
        <v>5291</v>
      </c>
      <c r="Q1044" s="13" t="s">
        <v>5289</v>
      </c>
      <c r="R1044" s="13" t="s">
        <v>5292</v>
      </c>
      <c r="S1044" s="13" t="s">
        <v>5293</v>
      </c>
      <c r="T1044" s="13" t="s">
        <v>4</v>
      </c>
      <c r="U1044" s="13" t="s">
        <v>43</v>
      </c>
      <c r="V1044" s="13" t="n">
        <f aca="false">IF(COUNTIF($B$2:B1044,B1044)=1,1,0)</f>
        <v>1</v>
      </c>
      <c r="W1044" s="13" t="n">
        <f aca="false">IF(COUNTIFS($B$2:B1044,B1044,$T$2:T1044,T1044)=1,1,0)</f>
        <v>1</v>
      </c>
    </row>
    <row r="1045" customFormat="false" ht="15" hidden="false" customHeight="false" outlineLevel="0" collapsed="false">
      <c r="A1045" s="13" t="s">
        <v>246</v>
      </c>
      <c r="B1045" s="13" t="s">
        <v>42</v>
      </c>
      <c r="C1045" s="13" t="n">
        <v>5100</v>
      </c>
      <c r="D1045" s="13" t="n">
        <v>5</v>
      </c>
      <c r="E1045" s="13" t="n">
        <v>735.08</v>
      </c>
      <c r="F1045" s="13" t="s">
        <v>5325</v>
      </c>
      <c r="G1045" s="13" t="s">
        <v>5289</v>
      </c>
      <c r="H1045" s="13" t="s">
        <v>5289</v>
      </c>
      <c r="I1045" s="13" t="s">
        <v>5289</v>
      </c>
      <c r="J1045" s="13" t="s">
        <v>5289</v>
      </c>
      <c r="K1045" s="13" t="s">
        <v>5289</v>
      </c>
      <c r="L1045" s="13" t="s">
        <v>5774</v>
      </c>
      <c r="M1045" s="13"/>
      <c r="N1045" s="13" t="n">
        <v>8411061056769</v>
      </c>
      <c r="O1045" s="13"/>
      <c r="P1045" s="13" t="s">
        <v>5291</v>
      </c>
      <c r="Q1045" s="13" t="s">
        <v>5289</v>
      </c>
      <c r="R1045" s="13" t="s">
        <v>5292</v>
      </c>
      <c r="S1045" s="13" t="s">
        <v>5293</v>
      </c>
      <c r="T1045" s="13" t="s">
        <v>4</v>
      </c>
      <c r="U1045" s="13" t="s">
        <v>43</v>
      </c>
      <c r="V1045" s="13" t="n">
        <f aca="false">IF(COUNTIF($B$2:B1045,B1045)=1,1,0)</f>
        <v>0</v>
      </c>
      <c r="W1045" s="13" t="n">
        <f aca="false">IF(COUNTIFS($B$2:B1045,B1045,$T$2:T1045,T1045)=1,1,0)</f>
        <v>0</v>
      </c>
    </row>
    <row r="1046" customFormat="false" ht="15" hidden="false" customHeight="false" outlineLevel="0" collapsed="false">
      <c r="A1046" s="13" t="s">
        <v>543</v>
      </c>
      <c r="B1046" s="13" t="s">
        <v>153</v>
      </c>
      <c r="C1046" s="13" t="n">
        <v>5100</v>
      </c>
      <c r="D1046" s="13" t="n">
        <v>5</v>
      </c>
      <c r="E1046" s="13" t="n">
        <v>571.711111111111</v>
      </c>
      <c r="F1046" s="13" t="s">
        <v>5288</v>
      </c>
      <c r="G1046" s="13" t="s">
        <v>5292</v>
      </c>
      <c r="H1046" s="13" t="s">
        <v>5292</v>
      </c>
      <c r="I1046" s="13" t="s">
        <v>5289</v>
      </c>
      <c r="J1046" s="13" t="s">
        <v>5289</v>
      </c>
      <c r="K1046" s="13" t="s">
        <v>5289</v>
      </c>
      <c r="L1046" s="13" t="s">
        <v>5775</v>
      </c>
      <c r="M1046" s="13"/>
      <c r="N1046" s="13" t="n">
        <v>8011003890804</v>
      </c>
      <c r="O1046" s="13"/>
      <c r="P1046" s="13" t="s">
        <v>5291</v>
      </c>
      <c r="Q1046" s="13" t="s">
        <v>5289</v>
      </c>
      <c r="R1046" s="13" t="s">
        <v>5292</v>
      </c>
      <c r="S1046" s="13" t="s">
        <v>5293</v>
      </c>
      <c r="T1046" s="13" t="s">
        <v>4</v>
      </c>
      <c r="U1046" s="13" t="s">
        <v>43</v>
      </c>
      <c r="V1046" s="13" t="n">
        <f aca="false">IF(COUNTIF($B$2:B1046,B1046)=1,1,0)</f>
        <v>0</v>
      </c>
      <c r="W1046" s="13" t="n">
        <f aca="false">IF(COUNTIFS($B$2:B1046,B1046,$T$2:T1046,T1046)=1,1,0)</f>
        <v>0</v>
      </c>
    </row>
    <row r="1047" customFormat="false" ht="15" hidden="false" customHeight="false" outlineLevel="0" collapsed="false">
      <c r="A1047" s="13" t="s">
        <v>541</v>
      </c>
      <c r="B1047" s="13" t="s">
        <v>50</v>
      </c>
      <c r="C1047" s="13" t="n">
        <v>5100</v>
      </c>
      <c r="D1047" s="13" t="n">
        <v>5</v>
      </c>
      <c r="E1047" s="13" t="n">
        <v>728.46</v>
      </c>
      <c r="F1047" s="13" t="s">
        <v>5288</v>
      </c>
      <c r="G1047" s="13" t="s">
        <v>5289</v>
      </c>
      <c r="H1047" s="13" t="s">
        <v>5289</v>
      </c>
      <c r="I1047" s="13" t="s">
        <v>5289</v>
      </c>
      <c r="J1047" s="13" t="s">
        <v>5289</v>
      </c>
      <c r="K1047" s="13" t="s">
        <v>5289</v>
      </c>
      <c r="L1047" s="13" t="s">
        <v>5776</v>
      </c>
      <c r="M1047" s="13"/>
      <c r="N1047" s="13" t="n">
        <v>3349668667024</v>
      </c>
      <c r="O1047" s="13"/>
      <c r="P1047" s="13" t="s">
        <v>5291</v>
      </c>
      <c r="Q1047" s="13" t="s">
        <v>5289</v>
      </c>
      <c r="R1047" s="13" t="s">
        <v>5292</v>
      </c>
      <c r="S1047" s="13" t="s">
        <v>5293</v>
      </c>
      <c r="T1047" s="13" t="s">
        <v>4</v>
      </c>
      <c r="U1047" s="13" t="s">
        <v>43</v>
      </c>
      <c r="V1047" s="13" t="n">
        <f aca="false">IF(COUNTIF($B$2:B1047,B1047)=1,1,0)</f>
        <v>0</v>
      </c>
      <c r="W1047" s="13" t="n">
        <f aca="false">IF(COUNTIFS($B$2:B1047,B1047,$T$2:T1047,T1047)=1,1,0)</f>
        <v>0</v>
      </c>
    </row>
    <row r="1048" customFormat="false" ht="15" hidden="false" customHeight="false" outlineLevel="0" collapsed="false">
      <c r="A1048" s="13" t="s">
        <v>522</v>
      </c>
      <c r="B1048" s="13" t="s">
        <v>79</v>
      </c>
      <c r="C1048" s="13" t="n">
        <v>5100</v>
      </c>
      <c r="D1048" s="13" t="n">
        <v>5</v>
      </c>
      <c r="E1048" s="13" t="n">
        <v>845.376666666667</v>
      </c>
      <c r="F1048" s="13" t="s">
        <v>5288</v>
      </c>
      <c r="G1048" s="13" t="s">
        <v>5292</v>
      </c>
      <c r="H1048" s="13" t="s">
        <v>5292</v>
      </c>
      <c r="I1048" s="13" t="s">
        <v>5289</v>
      </c>
      <c r="J1048" s="13" t="s">
        <v>5289</v>
      </c>
      <c r="K1048" s="13" t="s">
        <v>5289</v>
      </c>
      <c r="L1048" s="13" t="s">
        <v>5777</v>
      </c>
      <c r="M1048" s="13"/>
      <c r="N1048" s="13" t="n">
        <v>8056669927136</v>
      </c>
      <c r="O1048" s="13"/>
      <c r="P1048" s="13" t="s">
        <v>5291</v>
      </c>
      <c r="Q1048" s="13" t="s">
        <v>5289</v>
      </c>
      <c r="R1048" s="13" t="s">
        <v>5292</v>
      </c>
      <c r="S1048" s="13" t="s">
        <v>5293</v>
      </c>
      <c r="T1048" s="13" t="s">
        <v>4</v>
      </c>
      <c r="U1048" s="13" t="s">
        <v>43</v>
      </c>
      <c r="V1048" s="13" t="n">
        <f aca="false">IF(COUNTIF($B$2:B1048,B1048)=1,1,0)</f>
        <v>0</v>
      </c>
      <c r="W1048" s="13" t="n">
        <f aca="false">IF(COUNTIFS($B$2:B1048,B1048,$T$2:T1048,T1048)=1,1,0)</f>
        <v>0</v>
      </c>
    </row>
    <row r="1049" customFormat="false" ht="15" hidden="false" customHeight="false" outlineLevel="0" collapsed="false">
      <c r="A1049" s="13" t="s">
        <v>544</v>
      </c>
      <c r="B1049" s="13" t="s">
        <v>155</v>
      </c>
      <c r="C1049" s="13" t="n">
        <v>5100</v>
      </c>
      <c r="D1049" s="13" t="n">
        <v>40</v>
      </c>
      <c r="E1049" s="13" t="n">
        <v>136.995405405405</v>
      </c>
      <c r="F1049" s="13" t="s">
        <v>5288</v>
      </c>
      <c r="G1049" s="13" t="s">
        <v>5289</v>
      </c>
      <c r="H1049" s="13" t="s">
        <v>5292</v>
      </c>
      <c r="I1049" s="13" t="s">
        <v>5289</v>
      </c>
      <c r="J1049" s="13" t="s">
        <v>5289</v>
      </c>
      <c r="K1049" s="13" t="s">
        <v>5289</v>
      </c>
      <c r="L1049" s="13" t="s">
        <v>5778</v>
      </c>
      <c r="M1049" s="13"/>
      <c r="N1049" s="13" t="n">
        <v>8005610325507</v>
      </c>
      <c r="O1049" s="13"/>
      <c r="P1049" s="13" t="s">
        <v>5291</v>
      </c>
      <c r="Q1049" s="13" t="s">
        <v>5289</v>
      </c>
      <c r="R1049" s="13" t="s">
        <v>5292</v>
      </c>
      <c r="S1049" s="13" t="s">
        <v>5293</v>
      </c>
      <c r="T1049" s="13" t="s">
        <v>4</v>
      </c>
      <c r="U1049" s="13" t="s">
        <v>43</v>
      </c>
      <c r="V1049" s="13" t="n">
        <f aca="false">IF(COUNTIF($B$2:B1049,B1049)=1,1,0)</f>
        <v>0</v>
      </c>
      <c r="W1049" s="13" t="n">
        <f aca="false">IF(COUNTIFS($B$2:B1049,B1049,$T$2:T1049,T1049)=1,1,0)</f>
        <v>1</v>
      </c>
    </row>
    <row r="1050" customFormat="false" ht="15" hidden="false" customHeight="false" outlineLevel="0" collapsed="false">
      <c r="A1050" s="13" t="s">
        <v>550</v>
      </c>
      <c r="B1050" s="13" t="s">
        <v>186</v>
      </c>
      <c r="C1050" s="13" t="n">
        <v>5000</v>
      </c>
      <c r="D1050" s="13" t="n">
        <v>10</v>
      </c>
      <c r="E1050" s="13" t="n">
        <v>451.222727272727</v>
      </c>
      <c r="F1050" s="13" t="s">
        <v>5325</v>
      </c>
      <c r="G1050" s="13" t="s">
        <v>5289</v>
      </c>
      <c r="H1050" s="13" t="s">
        <v>5289</v>
      </c>
      <c r="I1050" s="13" t="s">
        <v>5289</v>
      </c>
      <c r="J1050" s="13" t="s">
        <v>5289</v>
      </c>
      <c r="K1050" s="13" t="s">
        <v>5289</v>
      </c>
      <c r="L1050" s="13" t="s">
        <v>5779</v>
      </c>
      <c r="M1050" s="13"/>
      <c r="N1050" s="13" t="n">
        <v>3614229135145</v>
      </c>
      <c r="O1050" s="13"/>
      <c r="P1050" s="13" t="s">
        <v>5291</v>
      </c>
      <c r="Q1050" s="13" t="s">
        <v>5289</v>
      </c>
      <c r="R1050" s="13" t="s">
        <v>5292</v>
      </c>
      <c r="S1050" s="13" t="s">
        <v>5293</v>
      </c>
      <c r="T1050" s="13" t="s">
        <v>4</v>
      </c>
      <c r="U1050" s="13" t="s">
        <v>43</v>
      </c>
      <c r="V1050" s="13" t="n">
        <f aca="false">IF(COUNTIF($B$2:B1050,B1050)=1,1,0)</f>
        <v>0</v>
      </c>
      <c r="W1050" s="13" t="n">
        <f aca="false">IF(COUNTIFS($B$2:B1050,B1050,$T$2:T1050,T1050)=1,1,0)</f>
        <v>0</v>
      </c>
    </row>
    <row r="1051" customFormat="false" ht="15" hidden="false" customHeight="false" outlineLevel="0" collapsed="false">
      <c r="A1051" s="13" t="s">
        <v>552</v>
      </c>
      <c r="B1051" s="13" t="s">
        <v>204</v>
      </c>
      <c r="C1051" s="13" t="n">
        <v>5000</v>
      </c>
      <c r="D1051" s="13" t="n">
        <v>5</v>
      </c>
      <c r="E1051" s="13" t="n">
        <v>495.937</v>
      </c>
      <c r="F1051" s="13" t="s">
        <v>5325</v>
      </c>
      <c r="G1051" s="13" t="s">
        <v>5289</v>
      </c>
      <c r="H1051" s="13" t="s">
        <v>5292</v>
      </c>
      <c r="I1051" s="13" t="s">
        <v>5289</v>
      </c>
      <c r="J1051" s="13" t="s">
        <v>5289</v>
      </c>
      <c r="K1051" s="13" t="s">
        <v>5289</v>
      </c>
      <c r="L1051" s="13" t="s">
        <v>5780</v>
      </c>
      <c r="M1051" s="13"/>
      <c r="N1051" s="13" t="n">
        <v>7640496670245</v>
      </c>
      <c r="O1051" s="13"/>
      <c r="P1051" s="13" t="s">
        <v>5291</v>
      </c>
      <c r="Q1051" s="13" t="s">
        <v>5289</v>
      </c>
      <c r="R1051" s="13" t="s">
        <v>5292</v>
      </c>
      <c r="S1051" s="13" t="s">
        <v>5293</v>
      </c>
      <c r="T1051" s="13" t="s">
        <v>4</v>
      </c>
      <c r="U1051" s="13" t="s">
        <v>43</v>
      </c>
      <c r="V1051" s="13" t="n">
        <f aca="false">IF(COUNTIF($B$2:B1051,B1051)=1,1,0)</f>
        <v>0</v>
      </c>
      <c r="W1051" s="13" t="n">
        <f aca="false">IF(COUNTIFS($B$2:B1051,B1051,$T$2:T1051,T1051)=1,1,0)</f>
        <v>1</v>
      </c>
    </row>
    <row r="1052" customFormat="false" ht="15" hidden="false" customHeight="false" outlineLevel="0" collapsed="false">
      <c r="A1052" s="13" t="s">
        <v>324</v>
      </c>
      <c r="B1052" s="13" t="s">
        <v>42</v>
      </c>
      <c r="C1052" s="13" t="n">
        <v>4900</v>
      </c>
      <c r="D1052" s="13" t="n">
        <v>5</v>
      </c>
      <c r="E1052" s="13" t="n">
        <v>705.868571428571</v>
      </c>
      <c r="F1052" s="13" t="s">
        <v>5325</v>
      </c>
      <c r="G1052" s="13" t="s">
        <v>5289</v>
      </c>
      <c r="H1052" s="13" t="s">
        <v>5289</v>
      </c>
      <c r="I1052" s="13" t="s">
        <v>5289</v>
      </c>
      <c r="J1052" s="13" t="s">
        <v>5289</v>
      </c>
      <c r="K1052" s="13" t="s">
        <v>5289</v>
      </c>
      <c r="L1052" s="13" t="s">
        <v>5694</v>
      </c>
      <c r="M1052" s="13"/>
      <c r="N1052" s="13" t="n">
        <v>8411061123607</v>
      </c>
      <c r="O1052" s="13"/>
      <c r="P1052" s="13" t="s">
        <v>5291</v>
      </c>
      <c r="Q1052" s="13" t="s">
        <v>5289</v>
      </c>
      <c r="R1052" s="13" t="s">
        <v>5292</v>
      </c>
      <c r="S1052" s="13" t="s">
        <v>5293</v>
      </c>
      <c r="T1052" s="13" t="s">
        <v>4</v>
      </c>
      <c r="U1052" s="13" t="s">
        <v>43</v>
      </c>
      <c r="V1052" s="13" t="n">
        <f aca="false">IF(COUNTIF($B$2:B1052,B1052)=1,1,0)</f>
        <v>0</v>
      </c>
      <c r="W1052" s="13" t="n">
        <f aca="false">IF(COUNTIFS($B$2:B1052,B1052,$T$2:T1052,T1052)=1,1,0)</f>
        <v>0</v>
      </c>
    </row>
    <row r="1053" customFormat="false" ht="15" hidden="false" customHeight="false" outlineLevel="0" collapsed="false">
      <c r="A1053" s="13" t="s">
        <v>559</v>
      </c>
      <c r="B1053" s="13" t="s">
        <v>42</v>
      </c>
      <c r="C1053" s="13" t="n">
        <v>4800</v>
      </c>
      <c r="D1053" s="13" t="n">
        <v>5</v>
      </c>
      <c r="E1053" s="13" t="n">
        <v>605.77</v>
      </c>
      <c r="F1053" s="13" t="s">
        <v>5288</v>
      </c>
      <c r="G1053" s="13" t="s">
        <v>5289</v>
      </c>
      <c r="H1053" s="13" t="s">
        <v>5292</v>
      </c>
      <c r="I1053" s="13" t="s">
        <v>5289</v>
      </c>
      <c r="J1053" s="13" t="s">
        <v>5289</v>
      </c>
      <c r="K1053" s="13" t="s">
        <v>5289</v>
      </c>
      <c r="L1053" s="13" t="s">
        <v>5654</v>
      </c>
      <c r="M1053" s="13"/>
      <c r="N1053" s="13" t="n">
        <v>8411061838778</v>
      </c>
      <c r="O1053" s="13"/>
      <c r="P1053" s="13" t="s">
        <v>5297</v>
      </c>
      <c r="Q1053" s="13" t="s">
        <v>5289</v>
      </c>
      <c r="R1053" s="13" t="s">
        <v>5292</v>
      </c>
      <c r="S1053" s="13" t="s">
        <v>5293</v>
      </c>
      <c r="T1053" s="13" t="s">
        <v>4</v>
      </c>
      <c r="U1053" s="13" t="s">
        <v>43</v>
      </c>
      <c r="V1053" s="13" t="n">
        <f aca="false">IF(COUNTIF($B$2:B1053,B1053)=1,1,0)</f>
        <v>0</v>
      </c>
      <c r="W1053" s="13" t="n">
        <f aca="false">IF(COUNTIFS($B$2:B1053,B1053,$T$2:T1053,T1053)=1,1,0)</f>
        <v>0</v>
      </c>
    </row>
    <row r="1054" customFormat="false" ht="15" hidden="false" customHeight="false" outlineLevel="0" collapsed="false">
      <c r="A1054" s="13" t="s">
        <v>292</v>
      </c>
      <c r="B1054" s="13" t="s">
        <v>45</v>
      </c>
      <c r="C1054" s="13" t="n">
        <v>4800</v>
      </c>
      <c r="D1054" s="13" t="n">
        <v>5</v>
      </c>
      <c r="E1054" s="13" t="n">
        <v>794.97</v>
      </c>
      <c r="F1054" s="13" t="s">
        <v>5325</v>
      </c>
      <c r="G1054" s="13" t="s">
        <v>5289</v>
      </c>
      <c r="H1054" s="13" t="s">
        <v>5289</v>
      </c>
      <c r="I1054" s="13" t="s">
        <v>5289</v>
      </c>
      <c r="J1054" s="13" t="s">
        <v>5289</v>
      </c>
      <c r="K1054" s="13" t="s">
        <v>5289</v>
      </c>
      <c r="L1054" s="13" t="s">
        <v>5781</v>
      </c>
      <c r="M1054" s="13"/>
      <c r="N1054" s="13" t="n">
        <v>8435415080422</v>
      </c>
      <c r="O1054" s="13"/>
      <c r="P1054" s="13" t="s">
        <v>5291</v>
      </c>
      <c r="Q1054" s="13" t="s">
        <v>5289</v>
      </c>
      <c r="R1054" s="13" t="s">
        <v>5292</v>
      </c>
      <c r="S1054" s="13" t="s">
        <v>5293</v>
      </c>
      <c r="T1054" s="13" t="s">
        <v>4</v>
      </c>
      <c r="U1054" s="13" t="s">
        <v>43</v>
      </c>
      <c r="V1054" s="13" t="n">
        <f aca="false">IF(COUNTIF($B$2:B1054,B1054)=1,1,0)</f>
        <v>0</v>
      </c>
      <c r="W1054" s="13" t="n">
        <f aca="false">IF(COUNTIFS($B$2:B1054,B1054,$T$2:T1054,T1054)=1,1,0)</f>
        <v>0</v>
      </c>
    </row>
    <row r="1055" customFormat="false" ht="15" hidden="false" customHeight="false" outlineLevel="0" collapsed="false">
      <c r="A1055" s="13" t="s">
        <v>561</v>
      </c>
      <c r="B1055" s="13" t="s">
        <v>42</v>
      </c>
      <c r="C1055" s="13" t="n">
        <v>4700</v>
      </c>
      <c r="D1055" s="13" t="n">
        <v>5</v>
      </c>
      <c r="E1055" s="13" t="n">
        <v>585.6375</v>
      </c>
      <c r="F1055" s="13" t="s">
        <v>5288</v>
      </c>
      <c r="G1055" s="13" t="s">
        <v>5289</v>
      </c>
      <c r="H1055" s="13" t="s">
        <v>5289</v>
      </c>
      <c r="I1055" s="13" t="s">
        <v>5289</v>
      </c>
      <c r="J1055" s="13" t="s">
        <v>5289</v>
      </c>
      <c r="K1055" s="13" t="s">
        <v>5289</v>
      </c>
      <c r="L1055" s="13" t="s">
        <v>5782</v>
      </c>
      <c r="M1055" s="13"/>
      <c r="N1055" s="13" t="n">
        <v>8411061041802</v>
      </c>
      <c r="O1055" s="13"/>
      <c r="P1055" s="13" t="s">
        <v>5291</v>
      </c>
      <c r="Q1055" s="13" t="s">
        <v>5289</v>
      </c>
      <c r="R1055" s="13" t="s">
        <v>5292</v>
      </c>
      <c r="S1055" s="13" t="s">
        <v>5293</v>
      </c>
      <c r="T1055" s="13" t="s">
        <v>4</v>
      </c>
      <c r="U1055" s="13" t="s">
        <v>183</v>
      </c>
      <c r="V1055" s="13" t="n">
        <f aca="false">IF(COUNTIF($B$2:B1055,B1055)=1,1,0)</f>
        <v>0</v>
      </c>
      <c r="W1055" s="13" t="n">
        <f aca="false">IF(COUNTIFS($B$2:B1055,B1055,$T$2:T1055,T1055)=1,1,0)</f>
        <v>0</v>
      </c>
    </row>
    <row r="1056" customFormat="false" ht="15" hidden="false" customHeight="false" outlineLevel="0" collapsed="false">
      <c r="A1056" s="13" t="s">
        <v>571</v>
      </c>
      <c r="B1056" s="13" t="s">
        <v>186</v>
      </c>
      <c r="C1056" s="13" t="n">
        <v>4600</v>
      </c>
      <c r="D1056" s="13" t="n">
        <v>5</v>
      </c>
      <c r="E1056" s="13" t="n">
        <v>769.365</v>
      </c>
      <c r="F1056" s="13" t="s">
        <v>5288</v>
      </c>
      <c r="G1056" s="13" t="s">
        <v>5289</v>
      </c>
      <c r="H1056" s="13" t="s">
        <v>5292</v>
      </c>
      <c r="I1056" s="13" t="s">
        <v>5289</v>
      </c>
      <c r="J1056" s="13" t="s">
        <v>5289</v>
      </c>
      <c r="K1056" s="13" t="s">
        <v>5289</v>
      </c>
      <c r="L1056" s="13" t="s">
        <v>5783</v>
      </c>
      <c r="M1056" s="13"/>
      <c r="N1056" s="13" t="n">
        <v>3616305965639</v>
      </c>
      <c r="O1056" s="13"/>
      <c r="P1056" s="13" t="s">
        <v>5291</v>
      </c>
      <c r="Q1056" s="13" t="s">
        <v>5289</v>
      </c>
      <c r="R1056" s="13" t="s">
        <v>5292</v>
      </c>
      <c r="S1056" s="13" t="s">
        <v>5293</v>
      </c>
      <c r="T1056" s="13" t="s">
        <v>4</v>
      </c>
      <c r="U1056" s="13" t="s">
        <v>43</v>
      </c>
      <c r="V1056" s="13" t="n">
        <f aca="false">IF(COUNTIF($B$2:B1056,B1056)=1,1,0)</f>
        <v>0</v>
      </c>
      <c r="W1056" s="13" t="n">
        <f aca="false">IF(COUNTIFS($B$2:B1056,B1056,$T$2:T1056,T1056)=1,1,0)</f>
        <v>0</v>
      </c>
    </row>
    <row r="1057" customFormat="false" ht="15" hidden="false" customHeight="false" outlineLevel="0" collapsed="false">
      <c r="A1057" s="13" t="s">
        <v>64</v>
      </c>
      <c r="B1057" s="13" t="s">
        <v>50</v>
      </c>
      <c r="C1057" s="13" t="n">
        <v>4600</v>
      </c>
      <c r="D1057" s="13" t="n">
        <v>5</v>
      </c>
      <c r="E1057" s="13" t="n">
        <v>921.75</v>
      </c>
      <c r="F1057" s="13" t="s">
        <v>5325</v>
      </c>
      <c r="G1057" s="13" t="s">
        <v>5289</v>
      </c>
      <c r="H1057" s="13" t="s">
        <v>5289</v>
      </c>
      <c r="I1057" s="13" t="s">
        <v>5289</v>
      </c>
      <c r="J1057" s="13" t="s">
        <v>5289</v>
      </c>
      <c r="K1057" s="13" t="s">
        <v>5289</v>
      </c>
      <c r="L1057" s="13" t="s">
        <v>5663</v>
      </c>
      <c r="M1057" s="13"/>
      <c r="N1057" s="13" t="n">
        <v>3349668614530</v>
      </c>
      <c r="O1057" s="13"/>
      <c r="P1057" s="13" t="s">
        <v>5291</v>
      </c>
      <c r="Q1057" s="13" t="s">
        <v>5289</v>
      </c>
      <c r="R1057" s="13" t="s">
        <v>5292</v>
      </c>
      <c r="S1057" s="13" t="s">
        <v>5293</v>
      </c>
      <c r="T1057" s="13" t="s">
        <v>4</v>
      </c>
      <c r="U1057" s="13" t="s">
        <v>43</v>
      </c>
      <c r="V1057" s="13" t="n">
        <f aca="false">IF(COUNTIF($B$2:B1057,B1057)=1,1,0)</f>
        <v>0</v>
      </c>
      <c r="W1057" s="13" t="n">
        <f aca="false">IF(COUNTIFS($B$2:B1057,B1057,$T$2:T1057,T1057)=1,1,0)</f>
        <v>0</v>
      </c>
    </row>
    <row r="1058" customFormat="false" ht="15" hidden="false" customHeight="false" outlineLevel="0" collapsed="false">
      <c r="A1058" s="13" t="s">
        <v>572</v>
      </c>
      <c r="B1058" s="13" t="s">
        <v>153</v>
      </c>
      <c r="C1058" s="13" t="n">
        <v>4600</v>
      </c>
      <c r="D1058" s="13" t="n">
        <v>5</v>
      </c>
      <c r="E1058" s="13" t="n">
        <v>572.2225</v>
      </c>
      <c r="F1058" s="13" t="s">
        <v>5288</v>
      </c>
      <c r="G1058" s="13" t="s">
        <v>5292</v>
      </c>
      <c r="H1058" s="13" t="s">
        <v>5292</v>
      </c>
      <c r="I1058" s="13" t="s">
        <v>5289</v>
      </c>
      <c r="J1058" s="13" t="s">
        <v>5289</v>
      </c>
      <c r="K1058" s="13" t="s">
        <v>5289</v>
      </c>
      <c r="L1058" s="13" t="s">
        <v>5784</v>
      </c>
      <c r="M1058" s="13"/>
      <c r="N1058" s="13" t="n">
        <v>8018365071469</v>
      </c>
      <c r="O1058" s="13"/>
      <c r="P1058" s="13" t="s">
        <v>5297</v>
      </c>
      <c r="Q1058" s="13" t="s">
        <v>5289</v>
      </c>
      <c r="R1058" s="13" t="s">
        <v>5292</v>
      </c>
      <c r="S1058" s="13" t="s">
        <v>5293</v>
      </c>
      <c r="T1058" s="13" t="s">
        <v>4</v>
      </c>
      <c r="U1058" s="13" t="s">
        <v>43</v>
      </c>
      <c r="V1058" s="13" t="n">
        <f aca="false">IF(COUNTIF($B$2:B1058,B1058)=1,1,0)</f>
        <v>0</v>
      </c>
      <c r="W1058" s="13" t="n">
        <f aca="false">IF(COUNTIFS($B$2:B1058,B1058,$T$2:T1058,T1058)=1,1,0)</f>
        <v>0</v>
      </c>
    </row>
    <row r="1059" customFormat="false" ht="15" hidden="false" customHeight="false" outlineLevel="0" collapsed="false">
      <c r="A1059" s="13" t="s">
        <v>137</v>
      </c>
      <c r="B1059" s="13" t="s">
        <v>42</v>
      </c>
      <c r="C1059" s="13" t="n">
        <v>4600</v>
      </c>
      <c r="D1059" s="13" t="n">
        <v>5</v>
      </c>
      <c r="E1059" s="13" t="n">
        <v>653.121428571429</v>
      </c>
      <c r="F1059" s="13" t="s">
        <v>5288</v>
      </c>
      <c r="G1059" s="13" t="s">
        <v>5289</v>
      </c>
      <c r="H1059" s="13" t="s">
        <v>5289</v>
      </c>
      <c r="I1059" s="13" t="s">
        <v>5289</v>
      </c>
      <c r="J1059" s="13" t="s">
        <v>5289</v>
      </c>
      <c r="K1059" s="13" t="s">
        <v>5289</v>
      </c>
      <c r="L1059" s="13" t="s">
        <v>5785</v>
      </c>
      <c r="M1059" s="13"/>
      <c r="N1059" s="13" t="n">
        <v>8411061077153</v>
      </c>
      <c r="O1059" s="13"/>
      <c r="P1059" s="13" t="s">
        <v>5291</v>
      </c>
      <c r="Q1059" s="13" t="s">
        <v>5289</v>
      </c>
      <c r="R1059" s="13" t="s">
        <v>5292</v>
      </c>
      <c r="S1059" s="13" t="s">
        <v>5293</v>
      </c>
      <c r="T1059" s="13" t="s">
        <v>4</v>
      </c>
      <c r="U1059" s="13" t="s">
        <v>43</v>
      </c>
      <c r="V1059" s="13" t="n">
        <f aca="false">IF(COUNTIF($B$2:B1059,B1059)=1,1,0)</f>
        <v>0</v>
      </c>
      <c r="W1059" s="13" t="n">
        <f aca="false">IF(COUNTIFS($B$2:B1059,B1059,$T$2:T1059,T1059)=1,1,0)</f>
        <v>0</v>
      </c>
    </row>
    <row r="1060" customFormat="false" ht="15" hidden="false" customHeight="false" outlineLevel="0" collapsed="false">
      <c r="A1060" s="13" t="s">
        <v>2927</v>
      </c>
      <c r="B1060" s="13" t="s">
        <v>2165</v>
      </c>
      <c r="C1060" s="13" t="n">
        <v>4500</v>
      </c>
      <c r="D1060" s="13" t="n">
        <v>20</v>
      </c>
      <c r="E1060" s="13" t="n">
        <v>252.75</v>
      </c>
      <c r="F1060" s="13" t="s">
        <v>5288</v>
      </c>
      <c r="G1060" s="13" t="s">
        <v>5289</v>
      </c>
      <c r="H1060" s="13" t="s">
        <v>5289</v>
      </c>
      <c r="I1060" s="13" t="s">
        <v>5289</v>
      </c>
      <c r="J1060" s="13" t="s">
        <v>5289</v>
      </c>
      <c r="K1060" s="13" t="s">
        <v>5289</v>
      </c>
      <c r="L1060" s="13" t="s">
        <v>5786</v>
      </c>
      <c r="M1060" s="13"/>
      <c r="N1060" s="13" t="n">
        <v>5060524511142</v>
      </c>
      <c r="O1060" s="13"/>
      <c r="P1060" s="13" t="s">
        <v>5291</v>
      </c>
      <c r="Q1060" s="13" t="s">
        <v>5289</v>
      </c>
      <c r="R1060" s="13" t="s">
        <v>5292</v>
      </c>
      <c r="S1060" s="13" t="s">
        <v>5293</v>
      </c>
      <c r="T1060" s="13" t="s">
        <v>4</v>
      </c>
      <c r="U1060" s="13" t="s">
        <v>43</v>
      </c>
      <c r="V1060" s="13" t="n">
        <f aca="false">IF(COUNTIF($B$2:B1060,B1060)=1,1,0)</f>
        <v>1</v>
      </c>
      <c r="W1060" s="13" t="n">
        <f aca="false">IF(COUNTIFS($B$2:B1060,B1060,$T$2:T1060,T1060)=1,1,0)</f>
        <v>1</v>
      </c>
    </row>
    <row r="1061" customFormat="false" ht="15" hidden="false" customHeight="false" outlineLevel="0" collapsed="false">
      <c r="A1061" s="13" t="s">
        <v>565</v>
      </c>
      <c r="B1061" s="13" t="s">
        <v>329</v>
      </c>
      <c r="C1061" s="13" t="n">
        <v>4500</v>
      </c>
      <c r="D1061" s="13" t="n">
        <v>5</v>
      </c>
      <c r="E1061" s="13" t="n">
        <v>565.10375</v>
      </c>
      <c r="F1061" s="13" t="s">
        <v>5288</v>
      </c>
      <c r="G1061" s="13" t="s">
        <v>5289</v>
      </c>
      <c r="H1061" s="13" t="s">
        <v>5289</v>
      </c>
      <c r="I1061" s="13" t="s">
        <v>5289</v>
      </c>
      <c r="J1061" s="13" t="s">
        <v>5289</v>
      </c>
      <c r="K1061" s="13" t="s">
        <v>5289</v>
      </c>
      <c r="L1061" s="13" t="s">
        <v>5787</v>
      </c>
      <c r="M1061" s="13"/>
      <c r="N1061" s="13" t="n">
        <v>3137370357476</v>
      </c>
      <c r="O1061" s="13"/>
      <c r="P1061" s="13" t="s">
        <v>5291</v>
      </c>
      <c r="Q1061" s="13" t="s">
        <v>5289</v>
      </c>
      <c r="R1061" s="13" t="s">
        <v>5292</v>
      </c>
      <c r="S1061" s="13" t="s">
        <v>5293</v>
      </c>
      <c r="T1061" s="13" t="s">
        <v>4</v>
      </c>
      <c r="U1061" s="13" t="s">
        <v>43</v>
      </c>
      <c r="V1061" s="13" t="n">
        <f aca="false">IF(COUNTIF($B$2:B1061,B1061)=1,1,0)</f>
        <v>1</v>
      </c>
      <c r="W1061" s="13" t="n">
        <f aca="false">IF(COUNTIFS($B$2:B1061,B1061,$T$2:T1061,T1061)=1,1,0)</f>
        <v>1</v>
      </c>
    </row>
    <row r="1062" customFormat="false" ht="15" hidden="false" customHeight="false" outlineLevel="0" collapsed="false">
      <c r="A1062" s="13" t="s">
        <v>585</v>
      </c>
      <c r="B1062" s="13" t="s">
        <v>161</v>
      </c>
      <c r="C1062" s="13" t="n">
        <v>4500</v>
      </c>
      <c r="D1062" s="13" t="n">
        <v>20</v>
      </c>
      <c r="E1062" s="13" t="n">
        <v>297.058</v>
      </c>
      <c r="F1062" s="13" t="s">
        <v>5325</v>
      </c>
      <c r="G1062" s="13" t="s">
        <v>5289</v>
      </c>
      <c r="H1062" s="13" t="s">
        <v>5292</v>
      </c>
      <c r="I1062" s="13" t="s">
        <v>5289</v>
      </c>
      <c r="J1062" s="13" t="s">
        <v>5289</v>
      </c>
      <c r="K1062" s="13" t="s">
        <v>5289</v>
      </c>
      <c r="L1062" s="13" t="s">
        <v>5788</v>
      </c>
      <c r="M1062" s="13"/>
      <c r="N1062" s="13" t="n">
        <v>3355991003019</v>
      </c>
      <c r="O1062" s="13"/>
      <c r="P1062" s="13" t="s">
        <v>5291</v>
      </c>
      <c r="Q1062" s="13" t="s">
        <v>5289</v>
      </c>
      <c r="R1062" s="13" t="s">
        <v>5292</v>
      </c>
      <c r="S1062" s="13" t="s">
        <v>5293</v>
      </c>
      <c r="T1062" s="13" t="s">
        <v>4</v>
      </c>
      <c r="U1062" s="13" t="s">
        <v>43</v>
      </c>
      <c r="V1062" s="13" t="n">
        <f aca="false">IF(COUNTIF($B$2:B1062,B1062)=1,1,0)</f>
        <v>0</v>
      </c>
      <c r="W1062" s="13" t="n">
        <f aca="false">IF(COUNTIFS($B$2:B1062,B1062,$T$2:T1062,T1062)=1,1,0)</f>
        <v>0</v>
      </c>
    </row>
    <row r="1063" customFormat="false" ht="15" hidden="false" customHeight="false" outlineLevel="0" collapsed="false">
      <c r="A1063" s="13" t="s">
        <v>2996</v>
      </c>
      <c r="B1063" s="13" t="s">
        <v>2176</v>
      </c>
      <c r="C1063" s="13" t="n">
        <v>4400</v>
      </c>
      <c r="D1063" s="13" t="n">
        <v>20</v>
      </c>
      <c r="E1063" s="13" t="n">
        <v>277.65875</v>
      </c>
      <c r="F1063" s="13" t="s">
        <v>5288</v>
      </c>
      <c r="G1063" s="13" t="s">
        <v>5289</v>
      </c>
      <c r="H1063" s="13" t="s">
        <v>5292</v>
      </c>
      <c r="I1063" s="13" t="s">
        <v>5289</v>
      </c>
      <c r="J1063" s="13" t="s">
        <v>5289</v>
      </c>
      <c r="K1063" s="13" t="s">
        <v>5289</v>
      </c>
      <c r="L1063" s="13" t="s">
        <v>5789</v>
      </c>
      <c r="M1063" s="13"/>
      <c r="N1063" s="13" t="n">
        <v>3355992000260</v>
      </c>
      <c r="O1063" s="13"/>
      <c r="P1063" s="13" t="s">
        <v>5291</v>
      </c>
      <c r="Q1063" s="13" t="s">
        <v>5289</v>
      </c>
      <c r="R1063" s="13" t="s">
        <v>5292</v>
      </c>
      <c r="S1063" s="13" t="s">
        <v>5293</v>
      </c>
      <c r="T1063" s="13" t="s">
        <v>4</v>
      </c>
      <c r="U1063" s="13" t="s">
        <v>85</v>
      </c>
      <c r="V1063" s="13" t="n">
        <f aca="false">IF(COUNTIF($B$2:B1063,B1063)=1,1,0)</f>
        <v>1</v>
      </c>
      <c r="W1063" s="13" t="n">
        <f aca="false">IF(COUNTIFS($B$2:B1063,B1063,$T$2:T1063,T1063)=1,1,0)</f>
        <v>1</v>
      </c>
    </row>
    <row r="1064" customFormat="false" ht="15" hidden="false" customHeight="false" outlineLevel="0" collapsed="false">
      <c r="A1064" s="13" t="s">
        <v>597</v>
      </c>
      <c r="B1064" s="13" t="s">
        <v>50</v>
      </c>
      <c r="C1064" s="13" t="n">
        <v>4400</v>
      </c>
      <c r="D1064" s="13" t="n">
        <v>5</v>
      </c>
      <c r="E1064" s="13" t="n">
        <v>738.65</v>
      </c>
      <c r="F1064" s="13" t="s">
        <v>5288</v>
      </c>
      <c r="G1064" s="13" t="s">
        <v>5289</v>
      </c>
      <c r="H1064" s="13" t="s">
        <v>5289</v>
      </c>
      <c r="I1064" s="13" t="s">
        <v>5289</v>
      </c>
      <c r="J1064" s="13" t="s">
        <v>5289</v>
      </c>
      <c r="K1064" s="13" t="s">
        <v>5289</v>
      </c>
      <c r="L1064" s="13" t="s">
        <v>5790</v>
      </c>
      <c r="M1064" s="13"/>
      <c r="N1064" s="13" t="n">
        <v>3349668579839</v>
      </c>
      <c r="O1064" s="13"/>
      <c r="P1064" s="13" t="s">
        <v>5291</v>
      </c>
      <c r="Q1064" s="13" t="s">
        <v>5289</v>
      </c>
      <c r="R1064" s="13" t="s">
        <v>5292</v>
      </c>
      <c r="S1064" s="13" t="s">
        <v>5293</v>
      </c>
      <c r="T1064" s="13" t="s">
        <v>4</v>
      </c>
      <c r="U1064" s="13" t="s">
        <v>43</v>
      </c>
      <c r="V1064" s="13" t="n">
        <f aca="false">IF(COUNTIF($B$2:B1064,B1064)=1,1,0)</f>
        <v>0</v>
      </c>
      <c r="W1064" s="13" t="n">
        <f aca="false">IF(COUNTIFS($B$2:B1064,B1064,$T$2:T1064,T1064)=1,1,0)</f>
        <v>0</v>
      </c>
    </row>
    <row r="1065" customFormat="false" ht="15" hidden="false" customHeight="false" outlineLevel="0" collapsed="false">
      <c r="A1065" s="13" t="s">
        <v>596</v>
      </c>
      <c r="B1065" s="13" t="s">
        <v>50</v>
      </c>
      <c r="C1065" s="13" t="n">
        <v>4400</v>
      </c>
      <c r="D1065" s="13" t="n">
        <v>5</v>
      </c>
      <c r="E1065" s="13" t="n">
        <v>623.355714285714</v>
      </c>
      <c r="F1065" s="13" t="s">
        <v>5288</v>
      </c>
      <c r="G1065" s="13" t="s">
        <v>5289</v>
      </c>
      <c r="H1065" s="13" t="s">
        <v>5289</v>
      </c>
      <c r="I1065" s="13" t="s">
        <v>5289</v>
      </c>
      <c r="J1065" s="13" t="s">
        <v>5289</v>
      </c>
      <c r="K1065" s="13" t="s">
        <v>5289</v>
      </c>
      <c r="L1065" s="13" t="s">
        <v>5791</v>
      </c>
      <c r="M1065" s="13"/>
      <c r="N1065" s="13" t="n">
        <v>3349668545636</v>
      </c>
      <c r="O1065" s="13"/>
      <c r="P1065" s="13" t="s">
        <v>5291</v>
      </c>
      <c r="Q1065" s="13" t="s">
        <v>5289</v>
      </c>
      <c r="R1065" s="13" t="s">
        <v>5292</v>
      </c>
      <c r="S1065" s="13" t="s">
        <v>5293</v>
      </c>
      <c r="T1065" s="13" t="s">
        <v>4</v>
      </c>
      <c r="U1065" s="13" t="s">
        <v>43</v>
      </c>
      <c r="V1065" s="13" t="n">
        <f aca="false">IF(COUNTIF($B$2:B1065,B1065)=1,1,0)</f>
        <v>0</v>
      </c>
      <c r="W1065" s="13" t="n">
        <f aca="false">IF(COUNTIFS($B$2:B1065,B1065,$T$2:T1065,T1065)=1,1,0)</f>
        <v>0</v>
      </c>
    </row>
    <row r="1066" customFormat="false" ht="15" hidden="false" customHeight="false" outlineLevel="0" collapsed="false">
      <c r="A1066" s="13" t="s">
        <v>598</v>
      </c>
      <c r="B1066" s="13" t="s">
        <v>50</v>
      </c>
      <c r="C1066" s="13" t="n">
        <v>4300</v>
      </c>
      <c r="D1066" s="13" t="n">
        <v>5</v>
      </c>
      <c r="E1066" s="13" t="n">
        <v>615.325714285714</v>
      </c>
      <c r="F1066" s="13" t="s">
        <v>5288</v>
      </c>
      <c r="G1066" s="13" t="s">
        <v>5292</v>
      </c>
      <c r="H1066" s="13" t="s">
        <v>5292</v>
      </c>
      <c r="I1066" s="13" t="s">
        <v>5289</v>
      </c>
      <c r="J1066" s="13" t="s">
        <v>5289</v>
      </c>
      <c r="K1066" s="13" t="s">
        <v>5289</v>
      </c>
      <c r="L1066" s="13" t="s">
        <v>5655</v>
      </c>
      <c r="M1066" s="13"/>
      <c r="N1066" s="13" t="n">
        <v>3349668566372</v>
      </c>
      <c r="O1066" s="13"/>
      <c r="P1066" s="13" t="s">
        <v>5291</v>
      </c>
      <c r="Q1066" s="13" t="s">
        <v>5289</v>
      </c>
      <c r="R1066" s="13" t="s">
        <v>5292</v>
      </c>
      <c r="S1066" s="13" t="s">
        <v>5293</v>
      </c>
      <c r="T1066" s="13" t="s">
        <v>4</v>
      </c>
      <c r="U1066" s="13" t="s">
        <v>43</v>
      </c>
      <c r="V1066" s="13" t="n">
        <f aca="false">IF(COUNTIF($B$2:B1066,B1066)=1,1,0)</f>
        <v>0</v>
      </c>
      <c r="W1066" s="13" t="n">
        <f aca="false">IF(COUNTIFS($B$2:B1066,B1066,$T$2:T1066,T1066)=1,1,0)</f>
        <v>0</v>
      </c>
    </row>
    <row r="1067" customFormat="false" ht="15" hidden="false" customHeight="false" outlineLevel="0" collapsed="false">
      <c r="A1067" s="13" t="s">
        <v>599</v>
      </c>
      <c r="B1067" s="13" t="s">
        <v>204</v>
      </c>
      <c r="C1067" s="13" t="n">
        <v>4300</v>
      </c>
      <c r="D1067" s="13" t="n">
        <v>5</v>
      </c>
      <c r="E1067" s="13" t="n">
        <v>475.9</v>
      </c>
      <c r="F1067" s="13" t="s">
        <v>5288</v>
      </c>
      <c r="G1067" s="13" t="s">
        <v>5289</v>
      </c>
      <c r="H1067" s="13" t="s">
        <v>5289</v>
      </c>
      <c r="I1067" s="13" t="s">
        <v>5289</v>
      </c>
      <c r="J1067" s="13" t="s">
        <v>5289</v>
      </c>
      <c r="K1067" s="13" t="s">
        <v>5289</v>
      </c>
      <c r="L1067" s="13" t="s">
        <v>5792</v>
      </c>
      <c r="M1067" s="13"/>
      <c r="N1067" s="13" t="n">
        <v>7.64049667023802E+024</v>
      </c>
      <c r="O1067" s="13"/>
      <c r="P1067" s="13" t="s">
        <v>5291</v>
      </c>
      <c r="Q1067" s="13" t="s">
        <v>5289</v>
      </c>
      <c r="R1067" s="13" t="s">
        <v>5292</v>
      </c>
      <c r="S1067" s="13" t="s">
        <v>5293</v>
      </c>
      <c r="T1067" s="13" t="s">
        <v>4</v>
      </c>
      <c r="U1067" s="13" t="s">
        <v>43</v>
      </c>
      <c r="V1067" s="13" t="n">
        <f aca="false">IF(COUNTIF($B$2:B1067,B1067)=1,1,0)</f>
        <v>0</v>
      </c>
      <c r="W1067" s="13" t="n">
        <f aca="false">IF(COUNTIFS($B$2:B1067,B1067,$T$2:T1067,T1067)=1,1,0)</f>
        <v>0</v>
      </c>
    </row>
    <row r="1068" customFormat="false" ht="15" hidden="false" customHeight="false" outlineLevel="0" collapsed="false">
      <c r="A1068" s="13" t="s">
        <v>602</v>
      </c>
      <c r="B1068" s="13" t="s">
        <v>42</v>
      </c>
      <c r="C1068" s="13" t="n">
        <v>4300</v>
      </c>
      <c r="D1068" s="13" t="n">
        <v>5</v>
      </c>
      <c r="E1068" s="13" t="n">
        <v>608.13</v>
      </c>
      <c r="F1068" s="13" t="s">
        <v>5288</v>
      </c>
      <c r="G1068" s="13" t="s">
        <v>5289</v>
      </c>
      <c r="H1068" s="13" t="s">
        <v>5289</v>
      </c>
      <c r="I1068" s="13" t="s">
        <v>5289</v>
      </c>
      <c r="J1068" s="13" t="s">
        <v>5289</v>
      </c>
      <c r="K1068" s="13" t="s">
        <v>5289</v>
      </c>
      <c r="L1068" s="13" t="s">
        <v>5793</v>
      </c>
      <c r="M1068" s="13"/>
      <c r="N1068" s="13" t="n">
        <v>8411061777183</v>
      </c>
      <c r="O1068" s="13"/>
      <c r="P1068" s="13" t="s">
        <v>5291</v>
      </c>
      <c r="Q1068" s="13" t="s">
        <v>5289</v>
      </c>
      <c r="R1068" s="13" t="s">
        <v>5292</v>
      </c>
      <c r="S1068" s="13" t="s">
        <v>5293</v>
      </c>
      <c r="T1068" s="13" t="s">
        <v>4</v>
      </c>
      <c r="U1068" s="13" t="s">
        <v>43</v>
      </c>
      <c r="V1068" s="13" t="n">
        <f aca="false">IF(COUNTIF($B$2:B1068,B1068)=1,1,0)</f>
        <v>0</v>
      </c>
      <c r="W1068" s="13" t="n">
        <f aca="false">IF(COUNTIFS($B$2:B1068,B1068,$T$2:T1068,T1068)=1,1,0)</f>
        <v>0</v>
      </c>
    </row>
    <row r="1069" customFormat="false" ht="15" hidden="false" customHeight="false" outlineLevel="0" collapsed="false">
      <c r="A1069" s="13" t="s">
        <v>152</v>
      </c>
      <c r="B1069" s="13" t="s">
        <v>42</v>
      </c>
      <c r="C1069" s="13" t="n">
        <v>4200</v>
      </c>
      <c r="D1069" s="13" t="n">
        <v>5</v>
      </c>
      <c r="E1069" s="13" t="n">
        <v>421.012</v>
      </c>
      <c r="F1069" s="13" t="s">
        <v>5288</v>
      </c>
      <c r="G1069" s="13" t="s">
        <v>5289</v>
      </c>
      <c r="H1069" s="13" t="s">
        <v>5289</v>
      </c>
      <c r="I1069" s="13" t="s">
        <v>5289</v>
      </c>
      <c r="J1069" s="13" t="s">
        <v>5289</v>
      </c>
      <c r="K1069" s="13" t="s">
        <v>5289</v>
      </c>
      <c r="L1069" s="13" t="s">
        <v>5794</v>
      </c>
      <c r="M1069" s="13"/>
      <c r="N1069" s="13" t="n">
        <v>8411061781197</v>
      </c>
      <c r="O1069" s="13"/>
      <c r="P1069" s="13" t="s">
        <v>5291</v>
      </c>
      <c r="Q1069" s="13" t="s">
        <v>5289</v>
      </c>
      <c r="R1069" s="13" t="s">
        <v>5292</v>
      </c>
      <c r="S1069" s="13" t="s">
        <v>5293</v>
      </c>
      <c r="T1069" s="13" t="s">
        <v>4</v>
      </c>
      <c r="U1069" s="13" t="s">
        <v>43</v>
      </c>
      <c r="V1069" s="13" t="n">
        <f aca="false">IF(COUNTIF($B$2:B1069,B1069)=1,1,0)</f>
        <v>0</v>
      </c>
      <c r="W1069" s="13" t="n">
        <f aca="false">IF(COUNTIFS($B$2:B1069,B1069,$T$2:T1069,T1069)=1,1,0)</f>
        <v>0</v>
      </c>
    </row>
    <row r="1070" customFormat="false" ht="15" hidden="false" customHeight="false" outlineLevel="0" collapsed="false">
      <c r="A1070" s="13" t="s">
        <v>605</v>
      </c>
      <c r="B1070" s="13" t="s">
        <v>153</v>
      </c>
      <c r="C1070" s="13" t="n">
        <v>4200</v>
      </c>
      <c r="D1070" s="13" t="n">
        <v>5</v>
      </c>
      <c r="E1070" s="13" t="n">
        <v>701.603333333333</v>
      </c>
      <c r="F1070" s="13" t="s">
        <v>5325</v>
      </c>
      <c r="G1070" s="13" t="s">
        <v>5289</v>
      </c>
      <c r="H1070" s="13" t="s">
        <v>5292</v>
      </c>
      <c r="I1070" s="13" t="s">
        <v>5289</v>
      </c>
      <c r="J1070" s="13" t="s">
        <v>5289</v>
      </c>
      <c r="K1070" s="13" t="s">
        <v>5289</v>
      </c>
      <c r="L1070" s="13" t="s">
        <v>5795</v>
      </c>
      <c r="M1070" s="13"/>
      <c r="N1070" s="13" t="n">
        <v>8011003823536</v>
      </c>
      <c r="O1070" s="13"/>
      <c r="P1070" s="13" t="s">
        <v>5291</v>
      </c>
      <c r="Q1070" s="13" t="s">
        <v>5289</v>
      </c>
      <c r="R1070" s="13" t="s">
        <v>5292</v>
      </c>
      <c r="S1070" s="13" t="s">
        <v>5293</v>
      </c>
      <c r="T1070" s="13" t="s">
        <v>4</v>
      </c>
      <c r="U1070" s="13" t="s">
        <v>43</v>
      </c>
      <c r="V1070" s="13" t="n">
        <f aca="false">IF(COUNTIF($B$2:B1070,B1070)=1,1,0)</f>
        <v>0</v>
      </c>
      <c r="W1070" s="13" t="n">
        <f aca="false">IF(COUNTIFS($B$2:B1070,B1070,$T$2:T1070,T1070)=1,1,0)</f>
        <v>0</v>
      </c>
    </row>
    <row r="1071" customFormat="false" ht="15" hidden="false" customHeight="false" outlineLevel="0" collapsed="false">
      <c r="A1071" s="13" t="s">
        <v>279</v>
      </c>
      <c r="B1071" s="13" t="s">
        <v>45</v>
      </c>
      <c r="C1071" s="13" t="n">
        <v>4200</v>
      </c>
      <c r="D1071" s="13" t="n">
        <v>5</v>
      </c>
      <c r="E1071" s="13" t="n">
        <v>839.11</v>
      </c>
      <c r="F1071" s="13" t="s">
        <v>5288</v>
      </c>
      <c r="G1071" s="13" t="s">
        <v>5289</v>
      </c>
      <c r="H1071" s="13" t="s">
        <v>5289</v>
      </c>
      <c r="I1071" s="13" t="s">
        <v>5289</v>
      </c>
      <c r="J1071" s="13" t="s">
        <v>5289</v>
      </c>
      <c r="K1071" s="13" t="s">
        <v>5289</v>
      </c>
      <c r="L1071" s="13" t="s">
        <v>5796</v>
      </c>
      <c r="M1071" s="13"/>
      <c r="N1071" s="13" t="n">
        <v>8435415102735</v>
      </c>
      <c r="O1071" s="13"/>
      <c r="P1071" s="13" t="s">
        <v>5291</v>
      </c>
      <c r="Q1071" s="13" t="s">
        <v>5289</v>
      </c>
      <c r="R1071" s="13" t="s">
        <v>5292</v>
      </c>
      <c r="S1071" s="13" t="s">
        <v>5293</v>
      </c>
      <c r="T1071" s="13" t="s">
        <v>4</v>
      </c>
      <c r="U1071" s="13" t="s">
        <v>43</v>
      </c>
      <c r="V1071" s="13" t="n">
        <f aca="false">IF(COUNTIF($B$2:B1071,B1071)=1,1,0)</f>
        <v>0</v>
      </c>
      <c r="W1071" s="13" t="n">
        <f aca="false">IF(COUNTIFS($B$2:B1071,B1071,$T$2:T1071,T1071)=1,1,0)</f>
        <v>0</v>
      </c>
    </row>
    <row r="1072" customFormat="false" ht="15" hidden="false" customHeight="false" outlineLevel="0" collapsed="false">
      <c r="A1072" s="13" t="s">
        <v>5797</v>
      </c>
      <c r="B1072" s="13" t="s">
        <v>2144</v>
      </c>
      <c r="C1072" s="13" t="n">
        <v>4200</v>
      </c>
      <c r="D1072" s="13" t="n">
        <v>20</v>
      </c>
      <c r="E1072" s="13" t="n">
        <v>259.99</v>
      </c>
      <c r="F1072" s="13" t="s">
        <v>5288</v>
      </c>
      <c r="G1072" s="13" t="s">
        <v>5289</v>
      </c>
      <c r="H1072" s="13" t="s">
        <v>5292</v>
      </c>
      <c r="I1072" s="13" t="s">
        <v>5289</v>
      </c>
      <c r="J1072" s="13" t="s">
        <v>5289</v>
      </c>
      <c r="K1072" s="13" t="s">
        <v>5289</v>
      </c>
      <c r="L1072" s="13" t="s">
        <v>5798</v>
      </c>
      <c r="M1072" s="13"/>
      <c r="N1072" s="13" t="n">
        <v>716393009581</v>
      </c>
      <c r="O1072" s="13"/>
      <c r="P1072" s="13" t="s">
        <v>5291</v>
      </c>
      <c r="Q1072" s="13" t="s">
        <v>5289</v>
      </c>
      <c r="R1072" s="13" t="s">
        <v>5292</v>
      </c>
      <c r="S1072" s="13" t="s">
        <v>5293</v>
      </c>
      <c r="T1072" s="13" t="s">
        <v>4</v>
      </c>
      <c r="U1072" s="13" t="s">
        <v>85</v>
      </c>
      <c r="V1072" s="13" t="n">
        <f aca="false">IF(COUNTIF($B$2:B1072,B1072)=1,1,0)</f>
        <v>0</v>
      </c>
      <c r="W1072" s="13" t="n">
        <f aca="false">IF(COUNTIFS($B$2:B1072,B1072,$T$2:T1072,T1072)=1,1,0)</f>
        <v>1</v>
      </c>
    </row>
    <row r="1073" customFormat="false" ht="15" hidden="false" customHeight="false" outlineLevel="0" collapsed="false">
      <c r="A1073" s="13" t="s">
        <v>608</v>
      </c>
      <c r="B1073" s="13" t="s">
        <v>362</v>
      </c>
      <c r="C1073" s="13" t="n">
        <v>4100</v>
      </c>
      <c r="D1073" s="13" t="n">
        <v>5</v>
      </c>
      <c r="E1073" s="13" t="n">
        <v>820.696</v>
      </c>
      <c r="F1073" s="13" t="s">
        <v>5288</v>
      </c>
      <c r="G1073" s="13" t="s">
        <v>5289</v>
      </c>
      <c r="H1073" s="13" t="s">
        <v>5292</v>
      </c>
      <c r="I1073" s="13" t="s">
        <v>5289</v>
      </c>
      <c r="J1073" s="13" t="s">
        <v>5289</v>
      </c>
      <c r="K1073" s="13" t="s">
        <v>5289</v>
      </c>
      <c r="L1073" s="13" t="s">
        <v>5799</v>
      </c>
      <c r="M1073" s="13"/>
      <c r="N1073" s="13" t="n">
        <v>3386460169950</v>
      </c>
      <c r="O1073" s="13"/>
      <c r="P1073" s="13" t="s">
        <v>5291</v>
      </c>
      <c r="Q1073" s="13" t="s">
        <v>5289</v>
      </c>
      <c r="R1073" s="13" t="s">
        <v>5292</v>
      </c>
      <c r="S1073" s="13" t="s">
        <v>5293</v>
      </c>
      <c r="T1073" s="13" t="s">
        <v>4</v>
      </c>
      <c r="U1073" s="13" t="s">
        <v>43</v>
      </c>
      <c r="V1073" s="13" t="n">
        <f aca="false">IF(COUNTIF($B$2:B1073,B1073)=1,1,0)</f>
        <v>0</v>
      </c>
      <c r="W1073" s="13" t="n">
        <f aca="false">IF(COUNTIFS($B$2:B1073,B1073,$T$2:T1073,T1073)=1,1,0)</f>
        <v>0</v>
      </c>
    </row>
    <row r="1074" customFormat="false" ht="15" hidden="false" customHeight="false" outlineLevel="0" collapsed="false">
      <c r="A1074" s="13" t="s">
        <v>609</v>
      </c>
      <c r="B1074" s="13" t="s">
        <v>50</v>
      </c>
      <c r="C1074" s="13" t="n">
        <v>4100</v>
      </c>
      <c r="D1074" s="13" t="n">
        <v>5</v>
      </c>
      <c r="E1074" s="13" t="n">
        <v>817.156</v>
      </c>
      <c r="F1074" s="13" t="s">
        <v>5325</v>
      </c>
      <c r="G1074" s="13" t="s">
        <v>5289</v>
      </c>
      <c r="H1074" s="13" t="s">
        <v>5289</v>
      </c>
      <c r="I1074" s="13" t="s">
        <v>5289</v>
      </c>
      <c r="J1074" s="13" t="s">
        <v>5289</v>
      </c>
      <c r="K1074" s="13" t="s">
        <v>5289</v>
      </c>
      <c r="L1074" s="13" t="s">
        <v>5800</v>
      </c>
      <c r="M1074" s="13"/>
      <c r="N1074" s="13" t="n">
        <v>3349668666850</v>
      </c>
      <c r="O1074" s="13"/>
      <c r="P1074" s="13" t="s">
        <v>5291</v>
      </c>
      <c r="Q1074" s="13" t="s">
        <v>5289</v>
      </c>
      <c r="R1074" s="13" t="s">
        <v>5292</v>
      </c>
      <c r="S1074" s="13" t="s">
        <v>5293</v>
      </c>
      <c r="T1074" s="13" t="s">
        <v>4</v>
      </c>
      <c r="U1074" s="13" t="s">
        <v>183</v>
      </c>
      <c r="V1074" s="13" t="n">
        <f aca="false">IF(COUNTIF($B$2:B1074,B1074)=1,1,0)</f>
        <v>0</v>
      </c>
      <c r="W1074" s="13" t="n">
        <f aca="false">IF(COUNTIFS($B$2:B1074,B1074,$T$2:T1074,T1074)=1,1,0)</f>
        <v>0</v>
      </c>
    </row>
    <row r="1075" customFormat="false" ht="15" hidden="false" customHeight="false" outlineLevel="0" collapsed="false">
      <c r="A1075" s="13" t="s">
        <v>610</v>
      </c>
      <c r="B1075" s="13" t="s">
        <v>45</v>
      </c>
      <c r="C1075" s="13" t="n">
        <v>4100</v>
      </c>
      <c r="D1075" s="13" t="n">
        <v>5</v>
      </c>
      <c r="E1075" s="13" t="n">
        <v>453.025555555556</v>
      </c>
      <c r="F1075" s="13" t="s">
        <v>5288</v>
      </c>
      <c r="G1075" s="13" t="s">
        <v>5289</v>
      </c>
      <c r="H1075" s="13" t="s">
        <v>5289</v>
      </c>
      <c r="I1075" s="13" t="s">
        <v>5289</v>
      </c>
      <c r="J1075" s="13" t="s">
        <v>5289</v>
      </c>
      <c r="K1075" s="13" t="s">
        <v>5289</v>
      </c>
      <c r="L1075" s="13" t="s">
        <v>5801</v>
      </c>
      <c r="M1075" s="13"/>
      <c r="N1075" s="13" t="n">
        <v>8435415103121</v>
      </c>
      <c r="O1075" s="13"/>
      <c r="P1075" s="13" t="s">
        <v>5291</v>
      </c>
      <c r="Q1075" s="13" t="s">
        <v>5289</v>
      </c>
      <c r="R1075" s="13" t="s">
        <v>5292</v>
      </c>
      <c r="S1075" s="13" t="s">
        <v>5293</v>
      </c>
      <c r="T1075" s="13" t="s">
        <v>4</v>
      </c>
      <c r="U1075" s="13" t="s">
        <v>43</v>
      </c>
      <c r="V1075" s="13" t="n">
        <f aca="false">IF(COUNTIF($B$2:B1075,B1075)=1,1,0)</f>
        <v>0</v>
      </c>
      <c r="W1075" s="13" t="n">
        <f aca="false">IF(COUNTIFS($B$2:B1075,B1075,$T$2:T1075,T1075)=1,1,0)</f>
        <v>0</v>
      </c>
    </row>
    <row r="1076" customFormat="false" ht="15" hidden="false" customHeight="false" outlineLevel="0" collapsed="false">
      <c r="A1076" s="13" t="s">
        <v>206</v>
      </c>
      <c r="B1076" s="13" t="s">
        <v>42</v>
      </c>
      <c r="C1076" s="13" t="n">
        <v>4100</v>
      </c>
      <c r="D1076" s="13" t="n">
        <v>5</v>
      </c>
      <c r="E1076" s="13" t="n">
        <v>813.99</v>
      </c>
      <c r="F1076" s="13" t="s">
        <v>5288</v>
      </c>
      <c r="G1076" s="13" t="s">
        <v>5289</v>
      </c>
      <c r="H1076" s="13" t="s">
        <v>5289</v>
      </c>
      <c r="I1076" s="13" t="s">
        <v>5289</v>
      </c>
      <c r="J1076" s="13" t="s">
        <v>5289</v>
      </c>
      <c r="K1076" s="13" t="s">
        <v>5289</v>
      </c>
      <c r="L1076" s="13" t="s">
        <v>5802</v>
      </c>
      <c r="M1076" s="13"/>
      <c r="N1076" s="13" t="n">
        <v>8411061995754</v>
      </c>
      <c r="O1076" s="13"/>
      <c r="P1076" s="13" t="s">
        <v>5291</v>
      </c>
      <c r="Q1076" s="13" t="s">
        <v>5289</v>
      </c>
      <c r="R1076" s="13" t="s">
        <v>5292</v>
      </c>
      <c r="S1076" s="13" t="s">
        <v>5293</v>
      </c>
      <c r="T1076" s="13" t="s">
        <v>4</v>
      </c>
      <c r="U1076" s="13" t="s">
        <v>43</v>
      </c>
      <c r="V1076" s="13" t="n">
        <f aca="false">IF(COUNTIF($B$2:B1076,B1076)=1,1,0)</f>
        <v>0</v>
      </c>
      <c r="W1076" s="13" t="n">
        <f aca="false">IF(COUNTIFS($B$2:B1076,B1076,$T$2:T1076,T1076)=1,1,0)</f>
        <v>0</v>
      </c>
    </row>
    <row r="1077" customFormat="false" ht="15" hidden="false" customHeight="false" outlineLevel="0" collapsed="false">
      <c r="A1077" s="13" t="s">
        <v>469</v>
      </c>
      <c r="B1077" s="13" t="s">
        <v>79</v>
      </c>
      <c r="C1077" s="13" t="n">
        <v>4100</v>
      </c>
      <c r="D1077" s="13" t="n">
        <v>2</v>
      </c>
      <c r="E1077" s="13" t="n">
        <v>1017.44</v>
      </c>
      <c r="F1077" s="13" t="s">
        <v>5325</v>
      </c>
      <c r="G1077" s="13" t="s">
        <v>5289</v>
      </c>
      <c r="H1077" s="13" t="s">
        <v>5292</v>
      </c>
      <c r="I1077" s="13" t="s">
        <v>5289</v>
      </c>
      <c r="J1077" s="13" t="s">
        <v>5289</v>
      </c>
      <c r="K1077" s="13" t="s">
        <v>5289</v>
      </c>
      <c r="L1077" s="13" t="s">
        <v>5803</v>
      </c>
      <c r="M1077" s="13"/>
      <c r="N1077" s="13" t="n">
        <v>8056669925798</v>
      </c>
      <c r="O1077" s="13"/>
      <c r="P1077" s="13" t="s">
        <v>5291</v>
      </c>
      <c r="Q1077" s="13" t="s">
        <v>5289</v>
      </c>
      <c r="R1077" s="13" t="s">
        <v>5292</v>
      </c>
      <c r="S1077" s="13" t="s">
        <v>5293</v>
      </c>
      <c r="T1077" s="13" t="s">
        <v>4</v>
      </c>
      <c r="U1077" s="13" t="s">
        <v>43</v>
      </c>
      <c r="V1077" s="13" t="n">
        <f aca="false">IF(COUNTIF($B$2:B1077,B1077)=1,1,0)</f>
        <v>0</v>
      </c>
      <c r="W1077" s="13" t="n">
        <f aca="false">IF(COUNTIFS($B$2:B1077,B1077,$T$2:T1077,T1077)=1,1,0)</f>
        <v>0</v>
      </c>
    </row>
    <row r="1078" customFormat="false" ht="15" hidden="false" customHeight="false" outlineLevel="0" collapsed="false">
      <c r="A1078" s="13" t="s">
        <v>616</v>
      </c>
      <c r="B1078" s="13" t="s">
        <v>204</v>
      </c>
      <c r="C1078" s="13" t="n">
        <v>4000</v>
      </c>
      <c r="D1078" s="13" t="n">
        <v>20</v>
      </c>
      <c r="E1078" s="13" t="n">
        <v>191.686666666667</v>
      </c>
      <c r="F1078" s="13" t="s">
        <v>5288</v>
      </c>
      <c r="G1078" s="13" t="s">
        <v>5292</v>
      </c>
      <c r="H1078" s="13" t="s">
        <v>5292</v>
      </c>
      <c r="I1078" s="13" t="s">
        <v>5289</v>
      </c>
      <c r="J1078" s="13" t="s">
        <v>5289</v>
      </c>
      <c r="K1078" s="13" t="s">
        <v>5289</v>
      </c>
      <c r="L1078" s="13" t="s">
        <v>5804</v>
      </c>
      <c r="M1078" s="13"/>
      <c r="N1078" s="13" t="n">
        <v>7640496670115</v>
      </c>
      <c r="O1078" s="13"/>
      <c r="P1078" s="13" t="s">
        <v>5291</v>
      </c>
      <c r="Q1078" s="13" t="s">
        <v>5289</v>
      </c>
      <c r="R1078" s="13" t="s">
        <v>5292</v>
      </c>
      <c r="S1078" s="13" t="s">
        <v>5293</v>
      </c>
      <c r="T1078" s="13" t="s">
        <v>4</v>
      </c>
      <c r="U1078" s="13" t="s">
        <v>43</v>
      </c>
      <c r="V1078" s="13" t="n">
        <f aca="false">IF(COUNTIF($B$2:B1078,B1078)=1,1,0)</f>
        <v>0</v>
      </c>
      <c r="W1078" s="13" t="n">
        <f aca="false">IF(COUNTIFS($B$2:B1078,B1078,$T$2:T1078,T1078)=1,1,0)</f>
        <v>0</v>
      </c>
    </row>
    <row r="1079" customFormat="false" ht="15" hidden="false" customHeight="false" outlineLevel="0" collapsed="false">
      <c r="A1079" s="13" t="s">
        <v>2885</v>
      </c>
      <c r="B1079" s="13" t="s">
        <v>2110</v>
      </c>
      <c r="C1079" s="13" t="n">
        <v>4000</v>
      </c>
      <c r="D1079" s="13" t="n">
        <v>5</v>
      </c>
      <c r="E1079" s="13" t="n">
        <v>574.28</v>
      </c>
      <c r="F1079" s="13" t="s">
        <v>5325</v>
      </c>
      <c r="G1079" s="13" t="s">
        <v>5289</v>
      </c>
      <c r="H1079" s="13" t="s">
        <v>5292</v>
      </c>
      <c r="I1079" s="13" t="s">
        <v>5289</v>
      </c>
      <c r="J1079" s="13" t="s">
        <v>5289</v>
      </c>
      <c r="K1079" s="13" t="s">
        <v>5289</v>
      </c>
      <c r="L1079" s="13" t="s">
        <v>5805</v>
      </c>
      <c r="M1079" s="13"/>
      <c r="N1079" s="13" t="n">
        <v>3386460156875</v>
      </c>
      <c r="O1079" s="13"/>
      <c r="P1079" s="13" t="s">
        <v>5291</v>
      </c>
      <c r="Q1079" s="13" t="s">
        <v>5289</v>
      </c>
      <c r="R1079" s="13" t="s">
        <v>5292</v>
      </c>
      <c r="S1079" s="13" t="s">
        <v>5293</v>
      </c>
      <c r="T1079" s="13" t="s">
        <v>4</v>
      </c>
      <c r="U1079" s="13" t="s">
        <v>43</v>
      </c>
      <c r="V1079" s="13" t="n">
        <f aca="false">IF(COUNTIF($B$2:B1079,B1079)=1,1,0)</f>
        <v>0</v>
      </c>
      <c r="W1079" s="13" t="n">
        <f aca="false">IF(COUNTIFS($B$2:B1079,B1079,$T$2:T1079,T1079)=1,1,0)</f>
        <v>0</v>
      </c>
    </row>
    <row r="1080" customFormat="false" ht="15" hidden="false" customHeight="false" outlineLevel="0" collapsed="false">
      <c r="A1080" s="13" t="s">
        <v>615</v>
      </c>
      <c r="B1080" s="13" t="s">
        <v>45</v>
      </c>
      <c r="C1080" s="13" t="n">
        <v>4000</v>
      </c>
      <c r="D1080" s="13" t="n">
        <v>5</v>
      </c>
      <c r="E1080" s="13" t="n">
        <v>791.476</v>
      </c>
      <c r="F1080" s="13" t="s">
        <v>5288</v>
      </c>
      <c r="G1080" s="13" t="s">
        <v>5289</v>
      </c>
      <c r="H1080" s="13" t="s">
        <v>5289</v>
      </c>
      <c r="I1080" s="13" t="s">
        <v>5289</v>
      </c>
      <c r="J1080" s="13" t="s">
        <v>5289</v>
      </c>
      <c r="K1080" s="13" t="s">
        <v>5289</v>
      </c>
      <c r="L1080" s="13" t="s">
        <v>5806</v>
      </c>
      <c r="M1080" s="13"/>
      <c r="N1080" s="13" t="n">
        <v>8435415055956</v>
      </c>
      <c r="O1080" s="13"/>
      <c r="P1080" s="13" t="s">
        <v>5291</v>
      </c>
      <c r="Q1080" s="13" t="s">
        <v>5289</v>
      </c>
      <c r="R1080" s="13" t="s">
        <v>5292</v>
      </c>
      <c r="S1080" s="13" t="s">
        <v>5293</v>
      </c>
      <c r="T1080" s="13" t="s">
        <v>4</v>
      </c>
      <c r="U1080" s="13" t="s">
        <v>43</v>
      </c>
      <c r="V1080" s="13" t="n">
        <f aca="false">IF(COUNTIF($B$2:B1080,B1080)=1,1,0)</f>
        <v>0</v>
      </c>
      <c r="W1080" s="13" t="n">
        <f aca="false">IF(COUNTIFS($B$2:B1080,B1080,$T$2:T1080,T1080)=1,1,0)</f>
        <v>0</v>
      </c>
    </row>
    <row r="1081" customFormat="false" ht="15" hidden="false" customHeight="false" outlineLevel="0" collapsed="false">
      <c r="A1081" s="13" t="s">
        <v>47</v>
      </c>
      <c r="B1081" s="13" t="s">
        <v>42</v>
      </c>
      <c r="C1081" s="13" t="n">
        <v>3900</v>
      </c>
      <c r="D1081" s="13" t="n">
        <v>5</v>
      </c>
      <c r="E1081" s="13" t="n">
        <v>786.75</v>
      </c>
      <c r="F1081" s="13" t="s">
        <v>5325</v>
      </c>
      <c r="G1081" s="13" t="s">
        <v>5289</v>
      </c>
      <c r="H1081" s="13" t="s">
        <v>5289</v>
      </c>
      <c r="I1081" s="13" t="s">
        <v>5289</v>
      </c>
      <c r="J1081" s="13" t="s">
        <v>5289</v>
      </c>
      <c r="K1081" s="13" t="s">
        <v>5289</v>
      </c>
      <c r="L1081" s="13" t="s">
        <v>5653</v>
      </c>
      <c r="M1081" s="13"/>
      <c r="N1081" s="13" t="n">
        <v>8.41106112062084E+025</v>
      </c>
      <c r="O1081" s="13"/>
      <c r="P1081" s="13" t="s">
        <v>5291</v>
      </c>
      <c r="Q1081" s="13" t="s">
        <v>5289</v>
      </c>
      <c r="R1081" s="13" t="s">
        <v>5292</v>
      </c>
      <c r="S1081" s="13" t="s">
        <v>5293</v>
      </c>
      <c r="T1081" s="13" t="s">
        <v>4</v>
      </c>
      <c r="U1081" s="13" t="s">
        <v>43</v>
      </c>
      <c r="V1081" s="13" t="n">
        <f aca="false">IF(COUNTIF($B$2:B1081,B1081)=1,1,0)</f>
        <v>0</v>
      </c>
      <c r="W1081" s="13" t="n">
        <f aca="false">IF(COUNTIFS($B$2:B1081,B1081,$T$2:T1081,T1081)=1,1,0)</f>
        <v>0</v>
      </c>
    </row>
    <row r="1082" customFormat="false" ht="15" hidden="false" customHeight="false" outlineLevel="0" collapsed="false">
      <c r="A1082" s="13" t="s">
        <v>619</v>
      </c>
      <c r="B1082" s="13" t="s">
        <v>45</v>
      </c>
      <c r="C1082" s="13" t="n">
        <v>3900</v>
      </c>
      <c r="D1082" s="13" t="n">
        <v>5</v>
      </c>
      <c r="E1082" s="13" t="n">
        <v>552.665714285714</v>
      </c>
      <c r="F1082" s="13" t="s">
        <v>5288</v>
      </c>
      <c r="G1082" s="13" t="s">
        <v>5289</v>
      </c>
      <c r="H1082" s="13" t="s">
        <v>5289</v>
      </c>
      <c r="I1082" s="13" t="s">
        <v>5289</v>
      </c>
      <c r="J1082" s="13" t="s">
        <v>5289</v>
      </c>
      <c r="K1082" s="13" t="s">
        <v>5289</v>
      </c>
      <c r="L1082" s="13" t="s">
        <v>5807</v>
      </c>
      <c r="M1082" s="13"/>
      <c r="N1082" s="13" t="n">
        <v>8435415103152</v>
      </c>
      <c r="O1082" s="13"/>
      <c r="P1082" s="13" t="s">
        <v>5291</v>
      </c>
      <c r="Q1082" s="13" t="s">
        <v>5289</v>
      </c>
      <c r="R1082" s="13" t="s">
        <v>5292</v>
      </c>
      <c r="S1082" s="13" t="s">
        <v>5293</v>
      </c>
      <c r="T1082" s="13" t="s">
        <v>4</v>
      </c>
      <c r="U1082" s="13" t="s">
        <v>43</v>
      </c>
      <c r="V1082" s="13" t="n">
        <f aca="false">IF(COUNTIF($B$2:B1082,B1082)=1,1,0)</f>
        <v>0</v>
      </c>
      <c r="W1082" s="13" t="n">
        <f aca="false">IF(COUNTIFS($B$2:B1082,B1082,$T$2:T1082,T1082)=1,1,0)</f>
        <v>0</v>
      </c>
    </row>
    <row r="1083" customFormat="false" ht="15" hidden="false" customHeight="false" outlineLevel="0" collapsed="false">
      <c r="A1083" s="13" t="s">
        <v>618</v>
      </c>
      <c r="B1083" s="13" t="s">
        <v>50</v>
      </c>
      <c r="C1083" s="13" t="n">
        <v>3900</v>
      </c>
      <c r="D1083" s="13" t="n">
        <v>5</v>
      </c>
      <c r="E1083" s="13" t="n">
        <v>642.93</v>
      </c>
      <c r="F1083" s="13" t="s">
        <v>5288</v>
      </c>
      <c r="G1083" s="13" t="s">
        <v>5289</v>
      </c>
      <c r="H1083" s="13" t="s">
        <v>5289</v>
      </c>
      <c r="I1083" s="13" t="s">
        <v>5289</v>
      </c>
      <c r="J1083" s="13" t="s">
        <v>5289</v>
      </c>
      <c r="K1083" s="13" t="s">
        <v>5289</v>
      </c>
      <c r="L1083" s="13" t="s">
        <v>5767</v>
      </c>
      <c r="M1083" s="13"/>
      <c r="N1083" s="13" t="n">
        <v>3349668576173</v>
      </c>
      <c r="O1083" s="13"/>
      <c r="P1083" s="13" t="s">
        <v>5291</v>
      </c>
      <c r="Q1083" s="13" t="s">
        <v>5289</v>
      </c>
      <c r="R1083" s="13" t="s">
        <v>5292</v>
      </c>
      <c r="S1083" s="13" t="s">
        <v>5293</v>
      </c>
      <c r="T1083" s="13" t="s">
        <v>4</v>
      </c>
      <c r="U1083" s="13" t="s">
        <v>43</v>
      </c>
      <c r="V1083" s="13" t="n">
        <f aca="false">IF(COUNTIF($B$2:B1083,B1083)=1,1,0)</f>
        <v>0</v>
      </c>
      <c r="W1083" s="13" t="n">
        <f aca="false">IF(COUNTIFS($B$2:B1083,B1083,$T$2:T1083,T1083)=1,1,0)</f>
        <v>0</v>
      </c>
    </row>
    <row r="1084" customFormat="false" ht="15" hidden="false" customHeight="false" outlineLevel="0" collapsed="false">
      <c r="A1084" s="13" t="s">
        <v>317</v>
      </c>
      <c r="B1084" s="13" t="s">
        <v>50</v>
      </c>
      <c r="C1084" s="13" t="n">
        <v>3800</v>
      </c>
      <c r="D1084" s="13" t="n">
        <v>5</v>
      </c>
      <c r="E1084" s="13" t="n">
        <v>765</v>
      </c>
      <c r="F1084" s="13" t="s">
        <v>5325</v>
      </c>
      <c r="G1084" s="13" t="s">
        <v>5289</v>
      </c>
      <c r="H1084" s="13" t="s">
        <v>5289</v>
      </c>
      <c r="I1084" s="13" t="s">
        <v>5289</v>
      </c>
      <c r="J1084" s="13" t="s">
        <v>5289</v>
      </c>
      <c r="K1084" s="13" t="s">
        <v>5289</v>
      </c>
      <c r="L1084" s="13" t="s">
        <v>5692</v>
      </c>
      <c r="M1084" s="13"/>
      <c r="N1084" s="13" t="n">
        <v>3349668636648</v>
      </c>
      <c r="O1084" s="13"/>
      <c r="P1084" s="13" t="s">
        <v>5291</v>
      </c>
      <c r="Q1084" s="13" t="s">
        <v>5289</v>
      </c>
      <c r="R1084" s="13" t="s">
        <v>5292</v>
      </c>
      <c r="S1084" s="13" t="s">
        <v>5293</v>
      </c>
      <c r="T1084" s="13" t="s">
        <v>4</v>
      </c>
      <c r="U1084" s="13" t="s">
        <v>43</v>
      </c>
      <c r="V1084" s="13" t="n">
        <f aca="false">IF(COUNTIF($B$2:B1084,B1084)=1,1,0)</f>
        <v>0</v>
      </c>
      <c r="W1084" s="13" t="n">
        <f aca="false">IF(COUNTIFS($B$2:B1084,B1084,$T$2:T1084,T1084)=1,1,0)</f>
        <v>0</v>
      </c>
    </row>
    <row r="1085" customFormat="false" ht="15" hidden="false" customHeight="false" outlineLevel="0" collapsed="false">
      <c r="A1085" s="13" t="s">
        <v>497</v>
      </c>
      <c r="B1085" s="13" t="s">
        <v>42</v>
      </c>
      <c r="C1085" s="13" t="n">
        <v>3800</v>
      </c>
      <c r="D1085" s="13" t="n">
        <v>5</v>
      </c>
      <c r="E1085" s="13" t="n">
        <v>636.09</v>
      </c>
      <c r="F1085" s="13" t="s">
        <v>5288</v>
      </c>
      <c r="G1085" s="13" t="s">
        <v>5292</v>
      </c>
      <c r="H1085" s="13" t="s">
        <v>5289</v>
      </c>
      <c r="I1085" s="13" t="s">
        <v>5289</v>
      </c>
      <c r="J1085" s="13" t="s">
        <v>5289</v>
      </c>
      <c r="K1085" s="13" t="s">
        <v>5289</v>
      </c>
      <c r="L1085" s="13" t="s">
        <v>5756</v>
      </c>
      <c r="M1085" s="13"/>
      <c r="N1085" s="13" t="n">
        <v>8411061711804</v>
      </c>
      <c r="O1085" s="13"/>
      <c r="P1085" s="13" t="s">
        <v>5297</v>
      </c>
      <c r="Q1085" s="13" t="s">
        <v>5289</v>
      </c>
      <c r="R1085" s="13" t="s">
        <v>5292</v>
      </c>
      <c r="S1085" s="13" t="s">
        <v>5293</v>
      </c>
      <c r="T1085" s="13" t="s">
        <v>4</v>
      </c>
      <c r="U1085" s="13" t="s">
        <v>43</v>
      </c>
      <c r="V1085" s="13" t="n">
        <f aca="false">IF(COUNTIF($B$2:B1085,B1085)=1,1,0)</f>
        <v>0</v>
      </c>
      <c r="W1085" s="13" t="n">
        <f aca="false">IF(COUNTIFS($B$2:B1085,B1085,$T$2:T1085,T1085)=1,1,0)</f>
        <v>0</v>
      </c>
    </row>
    <row r="1086" customFormat="false" ht="15" hidden="false" customHeight="false" outlineLevel="0" collapsed="false">
      <c r="A1086" s="13" t="s">
        <v>625</v>
      </c>
      <c r="B1086" s="13" t="s">
        <v>229</v>
      </c>
      <c r="C1086" s="13" t="n">
        <v>3800</v>
      </c>
      <c r="D1086" s="13" t="n">
        <v>5</v>
      </c>
      <c r="E1086" s="13" t="n">
        <v>380.17</v>
      </c>
      <c r="F1086" s="13" t="s">
        <v>5288</v>
      </c>
      <c r="G1086" s="13" t="s">
        <v>5292</v>
      </c>
      <c r="H1086" s="13" t="s">
        <v>5292</v>
      </c>
      <c r="I1086" s="13" t="s">
        <v>5289</v>
      </c>
      <c r="J1086" s="13" t="s">
        <v>5289</v>
      </c>
      <c r="K1086" s="13" t="s">
        <v>5289</v>
      </c>
      <c r="L1086" s="13" t="s">
        <v>5808</v>
      </c>
      <c r="M1086" s="13"/>
      <c r="N1086" s="13" t="n">
        <v>3616305638625</v>
      </c>
      <c r="O1086" s="13"/>
      <c r="P1086" s="13" t="s">
        <v>5291</v>
      </c>
      <c r="Q1086" s="13" t="s">
        <v>5289</v>
      </c>
      <c r="R1086" s="13" t="s">
        <v>5292</v>
      </c>
      <c r="S1086" s="13" t="s">
        <v>5293</v>
      </c>
      <c r="T1086" s="13" t="s">
        <v>4</v>
      </c>
      <c r="U1086" s="13" t="s">
        <v>43</v>
      </c>
      <c r="V1086" s="13" t="n">
        <f aca="false">IF(COUNTIF($B$2:B1086,B1086)=1,1,0)</f>
        <v>0</v>
      </c>
      <c r="W1086" s="13" t="n">
        <f aca="false">IF(COUNTIFS($B$2:B1086,B1086,$T$2:T1086,T1086)=1,1,0)</f>
        <v>0</v>
      </c>
    </row>
    <row r="1087" customFormat="false" ht="15" hidden="false" customHeight="false" outlineLevel="0" collapsed="false">
      <c r="A1087" s="13" t="s">
        <v>174</v>
      </c>
      <c r="B1087" s="13" t="s">
        <v>161</v>
      </c>
      <c r="C1087" s="13" t="n">
        <v>3800</v>
      </c>
      <c r="D1087" s="13" t="n">
        <v>5</v>
      </c>
      <c r="E1087" s="13" t="n">
        <v>379.566</v>
      </c>
      <c r="F1087" s="13" t="s">
        <v>5325</v>
      </c>
      <c r="G1087" s="13" t="s">
        <v>5289</v>
      </c>
      <c r="H1087" s="13" t="s">
        <v>5292</v>
      </c>
      <c r="I1087" s="13" t="s">
        <v>5289</v>
      </c>
      <c r="J1087" s="13" t="s">
        <v>5289</v>
      </c>
      <c r="K1087" s="13" t="s">
        <v>5289</v>
      </c>
      <c r="L1087" s="13" t="s">
        <v>5746</v>
      </c>
      <c r="M1087" s="13"/>
      <c r="N1087" s="13" t="n">
        <v>3355991004665</v>
      </c>
      <c r="O1087" s="13"/>
      <c r="P1087" s="13" t="s">
        <v>5291</v>
      </c>
      <c r="Q1087" s="13" t="s">
        <v>5289</v>
      </c>
      <c r="R1087" s="13" t="s">
        <v>5292</v>
      </c>
      <c r="S1087" s="13" t="s">
        <v>5293</v>
      </c>
      <c r="T1087" s="13" t="s">
        <v>4</v>
      </c>
      <c r="U1087" s="13" t="s">
        <v>43</v>
      </c>
      <c r="V1087" s="13" t="n">
        <f aca="false">IF(COUNTIF($B$2:B1087,B1087)=1,1,0)</f>
        <v>0</v>
      </c>
      <c r="W1087" s="13" t="n">
        <f aca="false">IF(COUNTIFS($B$2:B1087,B1087,$T$2:T1087,T1087)=1,1,0)</f>
        <v>0</v>
      </c>
    </row>
    <row r="1088" customFormat="false" ht="15" hidden="false" customHeight="false" outlineLevel="0" collapsed="false">
      <c r="A1088" s="13" t="s">
        <v>3114</v>
      </c>
      <c r="B1088" s="13" t="s">
        <v>2133</v>
      </c>
      <c r="C1088" s="13" t="n">
        <v>3800</v>
      </c>
      <c r="D1088" s="13" t="n">
        <v>5</v>
      </c>
      <c r="E1088" s="13" t="n">
        <v>628.42</v>
      </c>
      <c r="F1088" s="13" t="s">
        <v>5288</v>
      </c>
      <c r="G1088" s="13" t="s">
        <v>5289</v>
      </c>
      <c r="H1088" s="13" t="s">
        <v>5292</v>
      </c>
      <c r="I1088" s="13" t="s">
        <v>5289</v>
      </c>
      <c r="J1088" s="13" t="s">
        <v>5289</v>
      </c>
      <c r="K1088" s="13" t="s">
        <v>5289</v>
      </c>
      <c r="L1088" s="13" t="s">
        <v>5809</v>
      </c>
      <c r="M1088" s="13"/>
      <c r="N1088" s="13" t="n">
        <v>783320427152</v>
      </c>
      <c r="O1088" s="13"/>
      <c r="P1088" s="13" t="s">
        <v>5297</v>
      </c>
      <c r="Q1088" s="13" t="s">
        <v>5289</v>
      </c>
      <c r="R1088" s="13" t="s">
        <v>5292</v>
      </c>
      <c r="S1088" s="13" t="s">
        <v>5293</v>
      </c>
      <c r="T1088" s="13" t="s">
        <v>4</v>
      </c>
      <c r="U1088" s="13" t="s">
        <v>85</v>
      </c>
      <c r="V1088" s="13" t="n">
        <f aca="false">IF(COUNTIF($B$2:B1088,B1088)=1,1,0)</f>
        <v>1</v>
      </c>
      <c r="W1088" s="13" t="n">
        <f aca="false">IF(COUNTIFS($B$2:B1088,B1088,$T$2:T1088,T1088)=1,1,0)</f>
        <v>1</v>
      </c>
    </row>
    <row r="1089" customFormat="false" ht="15" hidden="false" customHeight="false" outlineLevel="0" collapsed="false">
      <c r="A1089" s="13" t="s">
        <v>46</v>
      </c>
      <c r="B1089" s="13" t="s">
        <v>45</v>
      </c>
      <c r="C1089" s="13" t="n">
        <v>3800</v>
      </c>
      <c r="D1089" s="13" t="n">
        <v>5</v>
      </c>
      <c r="E1089" s="13" t="n">
        <v>625.8</v>
      </c>
      <c r="F1089" s="13" t="s">
        <v>5288</v>
      </c>
      <c r="G1089" s="13" t="s">
        <v>5292</v>
      </c>
      <c r="H1089" s="13" t="s">
        <v>5289</v>
      </c>
      <c r="I1089" s="13" t="s">
        <v>5289</v>
      </c>
      <c r="J1089" s="13" t="s">
        <v>5289</v>
      </c>
      <c r="K1089" s="13" t="s">
        <v>5289</v>
      </c>
      <c r="L1089" s="13" t="s">
        <v>5810</v>
      </c>
      <c r="M1089" s="13"/>
      <c r="N1089" s="13" t="n">
        <v>8435415102339</v>
      </c>
      <c r="O1089" s="13"/>
      <c r="P1089" s="13" t="s">
        <v>5291</v>
      </c>
      <c r="Q1089" s="13" t="s">
        <v>5289</v>
      </c>
      <c r="R1089" s="13" t="s">
        <v>5292</v>
      </c>
      <c r="S1089" s="13" t="s">
        <v>5293</v>
      </c>
      <c r="T1089" s="13" t="s">
        <v>4</v>
      </c>
      <c r="U1089" s="13" t="s">
        <v>43</v>
      </c>
      <c r="V1089" s="13" t="n">
        <f aca="false">IF(COUNTIF($B$2:B1089,B1089)=1,1,0)</f>
        <v>0</v>
      </c>
      <c r="W1089" s="13" t="n">
        <f aca="false">IF(COUNTIFS($B$2:B1089,B1089,$T$2:T1089,T1089)=1,1,0)</f>
        <v>0</v>
      </c>
    </row>
    <row r="1090" customFormat="false" ht="15" hidden="false" customHeight="false" outlineLevel="0" collapsed="false">
      <c r="A1090" s="13" t="s">
        <v>3069</v>
      </c>
      <c r="B1090" s="13" t="s">
        <v>2111</v>
      </c>
      <c r="C1090" s="13" t="n">
        <v>3700</v>
      </c>
      <c r="D1090" s="13" t="n">
        <v>5</v>
      </c>
      <c r="E1090" s="13" t="n">
        <v>534.77</v>
      </c>
      <c r="F1090" s="13" t="s">
        <v>5288</v>
      </c>
      <c r="G1090" s="13" t="s">
        <v>5292</v>
      </c>
      <c r="H1090" s="13" t="s">
        <v>5292</v>
      </c>
      <c r="I1090" s="13" t="s">
        <v>5289</v>
      </c>
      <c r="J1090" s="13" t="s">
        <v>5289</v>
      </c>
      <c r="K1090" s="13" t="s">
        <v>5289</v>
      </c>
      <c r="L1090" s="13" t="s">
        <v>5811</v>
      </c>
      <c r="M1090" s="13"/>
      <c r="N1090" s="13" t="n">
        <v>3386460025478</v>
      </c>
      <c r="O1090" s="13"/>
      <c r="P1090" s="13" t="s">
        <v>5291</v>
      </c>
      <c r="Q1090" s="13" t="s">
        <v>5289</v>
      </c>
      <c r="R1090" s="13" t="s">
        <v>5292</v>
      </c>
      <c r="S1090" s="13" t="s">
        <v>5293</v>
      </c>
      <c r="T1090" s="13" t="s">
        <v>4</v>
      </c>
      <c r="U1090" s="13" t="s">
        <v>43</v>
      </c>
      <c r="V1090" s="13" t="n">
        <f aca="false">IF(COUNTIF($B$2:B1090,B1090)=1,1,0)</f>
        <v>0</v>
      </c>
      <c r="W1090" s="13" t="n">
        <f aca="false">IF(COUNTIFS($B$2:B1090,B1090,$T$2:T1090,T1090)=1,1,0)</f>
        <v>1</v>
      </c>
    </row>
    <row r="1091" customFormat="false" ht="15" hidden="false" customHeight="false" outlineLevel="0" collapsed="false">
      <c r="A1091" s="13" t="s">
        <v>3152</v>
      </c>
      <c r="B1091" s="13" t="s">
        <v>2120</v>
      </c>
      <c r="C1091" s="13" t="n">
        <v>3700</v>
      </c>
      <c r="D1091" s="13" t="n">
        <v>5</v>
      </c>
      <c r="E1091" s="13" t="n">
        <v>374.11</v>
      </c>
      <c r="F1091" s="13" t="s">
        <v>5288</v>
      </c>
      <c r="G1091" s="13" t="s">
        <v>5289</v>
      </c>
      <c r="H1091" s="13" t="s">
        <v>5289</v>
      </c>
      <c r="I1091" s="13" t="s">
        <v>5289</v>
      </c>
      <c r="J1091" s="13" t="s">
        <v>5289</v>
      </c>
      <c r="K1091" s="13" t="s">
        <v>5289</v>
      </c>
      <c r="L1091" s="13" t="s">
        <v>5812</v>
      </c>
      <c r="M1091" s="13"/>
      <c r="N1091" s="13" t="n">
        <v>3423470485547</v>
      </c>
      <c r="O1091" s="13"/>
      <c r="P1091" s="13" t="s">
        <v>5291</v>
      </c>
      <c r="Q1091" s="13" t="s">
        <v>5289</v>
      </c>
      <c r="R1091" s="13" t="s">
        <v>5292</v>
      </c>
      <c r="S1091" s="13" t="s">
        <v>5293</v>
      </c>
      <c r="T1091" s="13" t="s">
        <v>4</v>
      </c>
      <c r="U1091" s="13" t="s">
        <v>43</v>
      </c>
      <c r="V1091" s="13" t="n">
        <f aca="false">IF(COUNTIF($B$2:B1091,B1091)=1,1,0)</f>
        <v>0</v>
      </c>
      <c r="W1091" s="13" t="n">
        <f aca="false">IF(COUNTIFS($B$2:B1091,B1091,$T$2:T1091,T1091)=1,1,0)</f>
        <v>0</v>
      </c>
    </row>
    <row r="1092" customFormat="false" ht="15" hidden="false" customHeight="false" outlineLevel="0" collapsed="false">
      <c r="A1092" s="13" t="s">
        <v>631</v>
      </c>
      <c r="B1092" s="13" t="s">
        <v>630</v>
      </c>
      <c r="C1092" s="13" t="n">
        <v>3700</v>
      </c>
      <c r="D1092" s="13" t="n">
        <v>20</v>
      </c>
      <c r="E1092" s="13" t="n">
        <v>196.491052631579</v>
      </c>
      <c r="F1092" s="13" t="s">
        <v>5288</v>
      </c>
      <c r="G1092" s="13" t="s">
        <v>5289</v>
      </c>
      <c r="H1092" s="13" t="s">
        <v>5289</v>
      </c>
      <c r="I1092" s="13" t="s">
        <v>5289</v>
      </c>
      <c r="J1092" s="13" t="s">
        <v>5289</v>
      </c>
      <c r="K1092" s="13" t="s">
        <v>5289</v>
      </c>
      <c r="L1092" s="13" t="s">
        <v>5813</v>
      </c>
      <c r="M1092" s="13"/>
      <c r="N1092" s="13" t="n">
        <v>8433982003400</v>
      </c>
      <c r="O1092" s="13"/>
      <c r="P1092" s="13" t="s">
        <v>5291</v>
      </c>
      <c r="Q1092" s="13" t="s">
        <v>5289</v>
      </c>
      <c r="R1092" s="13" t="s">
        <v>5292</v>
      </c>
      <c r="S1092" s="13" t="s">
        <v>5293</v>
      </c>
      <c r="T1092" s="13" t="s">
        <v>4</v>
      </c>
      <c r="U1092" s="13" t="s">
        <v>43</v>
      </c>
      <c r="V1092" s="13" t="n">
        <f aca="false">IF(COUNTIF($B$2:B1092,B1092)=1,1,0)</f>
        <v>1</v>
      </c>
      <c r="W1092" s="13" t="n">
        <f aca="false">IF(COUNTIFS($B$2:B1092,B1092,$T$2:T1092,T1092)=1,1,0)</f>
        <v>1</v>
      </c>
    </row>
    <row r="1093" customFormat="false" ht="15" hidden="false" customHeight="false" outlineLevel="0" collapsed="false">
      <c r="A1093" s="13" t="s">
        <v>634</v>
      </c>
      <c r="B1093" s="13" t="s">
        <v>42</v>
      </c>
      <c r="C1093" s="13" t="n">
        <v>3700</v>
      </c>
      <c r="D1093" s="13" t="n">
        <v>5</v>
      </c>
      <c r="E1093" s="13" t="n">
        <v>743.256</v>
      </c>
      <c r="F1093" s="13" t="s">
        <v>5288</v>
      </c>
      <c r="G1093" s="13" t="s">
        <v>5289</v>
      </c>
      <c r="H1093" s="13" t="s">
        <v>5292</v>
      </c>
      <c r="I1093" s="13" t="s">
        <v>5289</v>
      </c>
      <c r="J1093" s="13" t="s">
        <v>5289</v>
      </c>
      <c r="K1093" s="13" t="s">
        <v>5289</v>
      </c>
      <c r="L1093" s="13" t="s">
        <v>5658</v>
      </c>
      <c r="M1093" s="13"/>
      <c r="N1093" s="13" t="n">
        <v>8411061853207</v>
      </c>
      <c r="O1093" s="13"/>
      <c r="P1093" s="13" t="s">
        <v>5291</v>
      </c>
      <c r="Q1093" s="13" t="s">
        <v>5289</v>
      </c>
      <c r="R1093" s="13" t="s">
        <v>5292</v>
      </c>
      <c r="S1093" s="13" t="s">
        <v>5293</v>
      </c>
      <c r="T1093" s="13" t="s">
        <v>4</v>
      </c>
      <c r="U1093" s="13" t="s">
        <v>43</v>
      </c>
      <c r="V1093" s="13" t="n">
        <f aca="false">IF(COUNTIF($B$2:B1093,B1093)=1,1,0)</f>
        <v>0</v>
      </c>
      <c r="W1093" s="13" t="n">
        <f aca="false">IF(COUNTIFS($B$2:B1093,B1093,$T$2:T1093,T1093)=1,1,0)</f>
        <v>0</v>
      </c>
    </row>
    <row r="1094" customFormat="false" ht="15" hidden="false" customHeight="false" outlineLevel="0" collapsed="false">
      <c r="A1094" s="13" t="s">
        <v>301</v>
      </c>
      <c r="B1094" s="13" t="s">
        <v>45</v>
      </c>
      <c r="C1094" s="13" t="n">
        <v>3700</v>
      </c>
      <c r="D1094" s="13" t="n">
        <v>5</v>
      </c>
      <c r="E1094" s="13" t="n">
        <v>735.56</v>
      </c>
      <c r="F1094" s="13" t="s">
        <v>5325</v>
      </c>
      <c r="G1094" s="13" t="s">
        <v>5292</v>
      </c>
      <c r="H1094" s="13" t="s">
        <v>5289</v>
      </c>
      <c r="I1094" s="13" t="s">
        <v>5289</v>
      </c>
      <c r="J1094" s="13" t="s">
        <v>5289</v>
      </c>
      <c r="K1094" s="13" t="s">
        <v>5289</v>
      </c>
      <c r="L1094" s="13" t="s">
        <v>5687</v>
      </c>
      <c r="M1094" s="13"/>
      <c r="N1094" s="13" t="n">
        <v>8435415091169</v>
      </c>
      <c r="O1094" s="13"/>
      <c r="P1094" s="13" t="s">
        <v>5291</v>
      </c>
      <c r="Q1094" s="13" t="s">
        <v>5289</v>
      </c>
      <c r="R1094" s="13" t="s">
        <v>5292</v>
      </c>
      <c r="S1094" s="13" t="s">
        <v>5293</v>
      </c>
      <c r="T1094" s="13" t="s">
        <v>4</v>
      </c>
      <c r="U1094" s="13" t="s">
        <v>43</v>
      </c>
      <c r="V1094" s="13" t="n">
        <f aca="false">IF(COUNTIF($B$2:B1094,B1094)=1,1,0)</f>
        <v>0</v>
      </c>
      <c r="W1094" s="13" t="n">
        <f aca="false">IF(COUNTIFS($B$2:B1094,B1094,$T$2:T1094,T1094)=1,1,0)</f>
        <v>0</v>
      </c>
    </row>
    <row r="1095" customFormat="false" ht="15" hidden="false" customHeight="false" outlineLevel="0" collapsed="false">
      <c r="A1095" s="13" t="s">
        <v>636</v>
      </c>
      <c r="B1095" s="13" t="s">
        <v>302</v>
      </c>
      <c r="C1095" s="13" t="n">
        <v>3700</v>
      </c>
      <c r="D1095" s="13" t="n">
        <v>5</v>
      </c>
      <c r="E1095" s="13" t="n">
        <v>734.434</v>
      </c>
      <c r="F1095" s="13" t="s">
        <v>5325</v>
      </c>
      <c r="G1095" s="13" t="s">
        <v>5292</v>
      </c>
      <c r="H1095" s="13" t="s">
        <v>5292</v>
      </c>
      <c r="I1095" s="13" t="s">
        <v>5289</v>
      </c>
      <c r="J1095" s="13" t="s">
        <v>5289</v>
      </c>
      <c r="K1095" s="13" t="s">
        <v>5289</v>
      </c>
      <c r="L1095" s="13" t="s">
        <v>5814</v>
      </c>
      <c r="M1095" s="13"/>
      <c r="N1095" s="13" t="n">
        <v>3274872456341</v>
      </c>
      <c r="O1095" s="13"/>
      <c r="P1095" s="13" t="s">
        <v>5291</v>
      </c>
      <c r="Q1095" s="13" t="s">
        <v>5289</v>
      </c>
      <c r="R1095" s="13" t="s">
        <v>5292</v>
      </c>
      <c r="S1095" s="13" t="s">
        <v>5293</v>
      </c>
      <c r="T1095" s="13" t="s">
        <v>4</v>
      </c>
      <c r="U1095" s="13" t="s">
        <v>43</v>
      </c>
      <c r="V1095" s="13" t="n">
        <f aca="false">IF(COUNTIF($B$2:B1095,B1095)=1,1,0)</f>
        <v>0</v>
      </c>
      <c r="W1095" s="13" t="n">
        <f aca="false">IF(COUNTIFS($B$2:B1095,B1095,$T$2:T1095,T1095)=1,1,0)</f>
        <v>1</v>
      </c>
    </row>
    <row r="1096" customFormat="false" ht="15" hidden="false" customHeight="false" outlineLevel="0" collapsed="false">
      <c r="A1096" s="13" t="s">
        <v>635</v>
      </c>
      <c r="B1096" s="13" t="s">
        <v>329</v>
      </c>
      <c r="C1096" s="13" t="n">
        <v>3700</v>
      </c>
      <c r="D1096" s="13" t="n">
        <v>5</v>
      </c>
      <c r="E1096" s="13" t="n">
        <v>524.357142857143</v>
      </c>
      <c r="F1096" s="13" t="s">
        <v>5288</v>
      </c>
      <c r="G1096" s="13" t="s">
        <v>5289</v>
      </c>
      <c r="H1096" s="13" t="s">
        <v>5289</v>
      </c>
      <c r="I1096" s="13" t="s">
        <v>5289</v>
      </c>
      <c r="J1096" s="13" t="s">
        <v>5289</v>
      </c>
      <c r="K1096" s="13" t="s">
        <v>5289</v>
      </c>
      <c r="L1096" s="13" t="s">
        <v>5815</v>
      </c>
      <c r="M1096" s="13"/>
      <c r="N1096" s="13" t="n">
        <v>3137370357681</v>
      </c>
      <c r="O1096" s="13"/>
      <c r="P1096" s="13" t="s">
        <v>5291</v>
      </c>
      <c r="Q1096" s="13" t="s">
        <v>5289</v>
      </c>
      <c r="R1096" s="13" t="s">
        <v>5292</v>
      </c>
      <c r="S1096" s="13" t="s">
        <v>5293</v>
      </c>
      <c r="T1096" s="13" t="s">
        <v>4</v>
      </c>
      <c r="U1096" s="13" t="s">
        <v>43</v>
      </c>
      <c r="V1096" s="13" t="n">
        <f aca="false">IF(COUNTIF($B$2:B1096,B1096)=1,1,0)</f>
        <v>0</v>
      </c>
      <c r="W1096" s="13" t="n">
        <f aca="false">IF(COUNTIFS($B$2:B1096,B1096,$T$2:T1096,T1096)=1,1,0)</f>
        <v>0</v>
      </c>
    </row>
    <row r="1097" customFormat="false" ht="15" hidden="false" customHeight="false" outlineLevel="0" collapsed="false">
      <c r="A1097" s="13" t="s">
        <v>358</v>
      </c>
      <c r="B1097" s="13" t="s">
        <v>42</v>
      </c>
      <c r="C1097" s="13" t="n">
        <v>3700</v>
      </c>
      <c r="D1097" s="13" t="n">
        <v>5</v>
      </c>
      <c r="E1097" s="13" t="n">
        <v>610.06</v>
      </c>
      <c r="F1097" s="13" t="s">
        <v>5325</v>
      </c>
      <c r="G1097" s="13" t="s">
        <v>5289</v>
      </c>
      <c r="H1097" s="13" t="s">
        <v>5289</v>
      </c>
      <c r="I1097" s="13" t="s">
        <v>5289</v>
      </c>
      <c r="J1097" s="13" t="s">
        <v>5289</v>
      </c>
      <c r="K1097" s="13" t="s">
        <v>5289</v>
      </c>
      <c r="L1097" s="13" t="s">
        <v>5703</v>
      </c>
      <c r="M1097" s="13"/>
      <c r="N1097" s="13" t="n">
        <v>8411061123911</v>
      </c>
      <c r="O1097" s="13"/>
      <c r="P1097" s="13" t="s">
        <v>5291</v>
      </c>
      <c r="Q1097" s="13" t="s">
        <v>5289</v>
      </c>
      <c r="R1097" s="13" t="s">
        <v>5292</v>
      </c>
      <c r="S1097" s="13" t="s">
        <v>5293</v>
      </c>
      <c r="T1097" s="13" t="s">
        <v>4</v>
      </c>
      <c r="U1097" s="13" t="s">
        <v>43</v>
      </c>
      <c r="V1097" s="13" t="n">
        <f aca="false">IF(COUNTIF($B$2:B1097,B1097)=1,1,0)</f>
        <v>0</v>
      </c>
      <c r="W1097" s="13" t="n">
        <f aca="false">IF(COUNTIFS($B$2:B1097,B1097,$T$2:T1097,T1097)=1,1,0)</f>
        <v>0</v>
      </c>
    </row>
    <row r="1098" customFormat="false" ht="15" hidden="false" customHeight="false" outlineLevel="0" collapsed="false">
      <c r="A1098" s="13" t="s">
        <v>237</v>
      </c>
      <c r="B1098" s="13" t="s">
        <v>42</v>
      </c>
      <c r="C1098" s="13" t="n">
        <v>3600</v>
      </c>
      <c r="D1098" s="13" t="n">
        <v>5</v>
      </c>
      <c r="E1098" s="13" t="n">
        <v>608.13</v>
      </c>
      <c r="F1098" s="13" t="s">
        <v>5288</v>
      </c>
      <c r="G1098" s="13" t="s">
        <v>5289</v>
      </c>
      <c r="H1098" s="13" t="s">
        <v>5289</v>
      </c>
      <c r="I1098" s="13" t="s">
        <v>5289</v>
      </c>
      <c r="J1098" s="13" t="s">
        <v>5289</v>
      </c>
      <c r="K1098" s="13" t="s">
        <v>5289</v>
      </c>
      <c r="L1098" s="13" t="s">
        <v>5816</v>
      </c>
      <c r="M1098" s="13"/>
      <c r="N1098" s="13" t="n">
        <v>8411061067901</v>
      </c>
      <c r="O1098" s="13"/>
      <c r="P1098" s="13" t="s">
        <v>5291</v>
      </c>
      <c r="Q1098" s="13" t="s">
        <v>5289</v>
      </c>
      <c r="R1098" s="13" t="s">
        <v>5292</v>
      </c>
      <c r="S1098" s="13" t="s">
        <v>5293</v>
      </c>
      <c r="T1098" s="13" t="s">
        <v>4</v>
      </c>
      <c r="U1098" s="13" t="s">
        <v>43</v>
      </c>
      <c r="V1098" s="13" t="n">
        <f aca="false">IF(COUNTIF($B$2:B1098,B1098)=1,1,0)</f>
        <v>0</v>
      </c>
      <c r="W1098" s="13" t="n">
        <f aca="false">IF(COUNTIFS($B$2:B1098,B1098,$T$2:T1098,T1098)=1,1,0)</f>
        <v>0</v>
      </c>
    </row>
    <row r="1099" customFormat="false" ht="15" hidden="false" customHeight="false" outlineLevel="0" collapsed="false">
      <c r="A1099" s="13" t="s">
        <v>646</v>
      </c>
      <c r="B1099" s="13" t="s">
        <v>50</v>
      </c>
      <c r="C1099" s="13" t="n">
        <v>3600</v>
      </c>
      <c r="D1099" s="13" t="n">
        <v>5</v>
      </c>
      <c r="E1099" s="13" t="n">
        <v>728.46</v>
      </c>
      <c r="F1099" s="13" t="s">
        <v>5288</v>
      </c>
      <c r="G1099" s="13" t="s">
        <v>5289</v>
      </c>
      <c r="H1099" s="13" t="s">
        <v>5292</v>
      </c>
      <c r="I1099" s="13" t="s">
        <v>5289</v>
      </c>
      <c r="J1099" s="13" t="s">
        <v>5289</v>
      </c>
      <c r="K1099" s="13" t="s">
        <v>5289</v>
      </c>
      <c r="L1099" s="13" t="s">
        <v>5776</v>
      </c>
      <c r="M1099" s="13"/>
      <c r="N1099" s="13" t="n">
        <v>3349668667024</v>
      </c>
      <c r="O1099" s="13"/>
      <c r="P1099" s="13" t="s">
        <v>5291</v>
      </c>
      <c r="Q1099" s="13" t="s">
        <v>5289</v>
      </c>
      <c r="R1099" s="13" t="s">
        <v>5292</v>
      </c>
      <c r="S1099" s="13" t="s">
        <v>5293</v>
      </c>
      <c r="T1099" s="13" t="s">
        <v>4</v>
      </c>
      <c r="U1099" s="13" t="s">
        <v>43</v>
      </c>
      <c r="V1099" s="13" t="n">
        <f aca="false">IF(COUNTIF($B$2:B1099,B1099)=1,1,0)</f>
        <v>0</v>
      </c>
      <c r="W1099" s="13" t="n">
        <f aca="false">IF(COUNTIFS($B$2:B1099,B1099,$T$2:T1099,T1099)=1,1,0)</f>
        <v>0</v>
      </c>
    </row>
    <row r="1100" customFormat="false" ht="15" hidden="false" customHeight="false" outlineLevel="0" collapsed="false">
      <c r="A1100" s="13" t="s">
        <v>46</v>
      </c>
      <c r="B1100" s="13" t="s">
        <v>45</v>
      </c>
      <c r="C1100" s="13" t="n">
        <v>3600</v>
      </c>
      <c r="D1100" s="13" t="n">
        <v>2</v>
      </c>
      <c r="E1100" s="13" t="n">
        <v>910.53</v>
      </c>
      <c r="F1100" s="13" t="s">
        <v>5288</v>
      </c>
      <c r="G1100" s="13" t="s">
        <v>5289</v>
      </c>
      <c r="H1100" s="13" t="s">
        <v>5289</v>
      </c>
      <c r="I1100" s="13" t="s">
        <v>5289</v>
      </c>
      <c r="J1100" s="13" t="s">
        <v>5289</v>
      </c>
      <c r="K1100" s="13" t="s">
        <v>5289</v>
      </c>
      <c r="L1100" s="13" t="s">
        <v>5817</v>
      </c>
      <c r="M1100" s="13"/>
      <c r="N1100" s="13" t="n">
        <v>8435415102353</v>
      </c>
      <c r="O1100" s="13"/>
      <c r="P1100" s="13" t="s">
        <v>5291</v>
      </c>
      <c r="Q1100" s="13" t="s">
        <v>5289</v>
      </c>
      <c r="R1100" s="13" t="s">
        <v>5292</v>
      </c>
      <c r="S1100" s="13" t="s">
        <v>5293</v>
      </c>
      <c r="T1100" s="13" t="s">
        <v>4</v>
      </c>
      <c r="U1100" s="13" t="s">
        <v>43</v>
      </c>
      <c r="V1100" s="13" t="n">
        <f aca="false">IF(COUNTIF($B$2:B1100,B1100)=1,1,0)</f>
        <v>0</v>
      </c>
      <c r="W1100" s="13" t="n">
        <f aca="false">IF(COUNTIFS($B$2:B1100,B1100,$T$2:T1100,T1100)=1,1,0)</f>
        <v>0</v>
      </c>
    </row>
    <row r="1101" customFormat="false" ht="15" hidden="false" customHeight="false" outlineLevel="0" collapsed="false">
      <c r="A1101" s="13" t="s">
        <v>644</v>
      </c>
      <c r="B1101" s="13" t="s">
        <v>50</v>
      </c>
      <c r="C1101" s="13" t="n">
        <v>3600</v>
      </c>
      <c r="D1101" s="13" t="n">
        <v>5</v>
      </c>
      <c r="E1101" s="13" t="n">
        <v>715.17</v>
      </c>
      <c r="F1101" s="13" t="s">
        <v>5325</v>
      </c>
      <c r="G1101" s="13" t="s">
        <v>5289</v>
      </c>
      <c r="H1101" s="13" t="s">
        <v>5289</v>
      </c>
      <c r="I1101" s="13" t="s">
        <v>5289</v>
      </c>
      <c r="J1101" s="13" t="s">
        <v>5289</v>
      </c>
      <c r="K1101" s="13" t="s">
        <v>5289</v>
      </c>
      <c r="L1101" s="13" t="s">
        <v>5818</v>
      </c>
      <c r="M1101" s="13"/>
      <c r="N1101" s="13" t="n">
        <v>3349668661640</v>
      </c>
      <c r="O1101" s="13"/>
      <c r="P1101" s="13" t="s">
        <v>5291</v>
      </c>
      <c r="Q1101" s="13" t="s">
        <v>5289</v>
      </c>
      <c r="R1101" s="13" t="s">
        <v>5292</v>
      </c>
      <c r="S1101" s="13" t="s">
        <v>5293</v>
      </c>
      <c r="T1101" s="13" t="s">
        <v>4</v>
      </c>
      <c r="U1101" s="13" t="s">
        <v>43</v>
      </c>
      <c r="V1101" s="13" t="n">
        <f aca="false">IF(COUNTIF($B$2:B1101,B1101)=1,1,0)</f>
        <v>0</v>
      </c>
      <c r="W1101" s="13" t="n">
        <f aca="false">IF(COUNTIFS($B$2:B1101,B1101,$T$2:T1101,T1101)=1,1,0)</f>
        <v>0</v>
      </c>
    </row>
    <row r="1102" customFormat="false" ht="15" hidden="false" customHeight="false" outlineLevel="0" collapsed="false">
      <c r="A1102" s="13" t="s">
        <v>643</v>
      </c>
      <c r="B1102" s="13" t="s">
        <v>42</v>
      </c>
      <c r="C1102" s="13" t="n">
        <v>3600</v>
      </c>
      <c r="D1102" s="13" t="n">
        <v>2</v>
      </c>
      <c r="E1102" s="13" t="n">
        <v>892.1675</v>
      </c>
      <c r="F1102" s="13" t="s">
        <v>5288</v>
      </c>
      <c r="G1102" s="13" t="s">
        <v>5289</v>
      </c>
      <c r="H1102" s="13" t="s">
        <v>5289</v>
      </c>
      <c r="I1102" s="13" t="s">
        <v>5289</v>
      </c>
      <c r="J1102" s="13" t="s">
        <v>5289</v>
      </c>
      <c r="K1102" s="13" t="s">
        <v>5289</v>
      </c>
      <c r="L1102" s="13" t="s">
        <v>5819</v>
      </c>
      <c r="M1102" s="13"/>
      <c r="N1102" s="13" t="n">
        <v>8411061122709</v>
      </c>
      <c r="O1102" s="13"/>
      <c r="P1102" s="13" t="s">
        <v>5291</v>
      </c>
      <c r="Q1102" s="13" t="s">
        <v>5289</v>
      </c>
      <c r="R1102" s="13" t="s">
        <v>5292</v>
      </c>
      <c r="S1102" s="13" t="s">
        <v>5293</v>
      </c>
      <c r="T1102" s="13" t="s">
        <v>4</v>
      </c>
      <c r="U1102" s="13" t="s">
        <v>43</v>
      </c>
      <c r="V1102" s="13" t="n">
        <f aca="false">IF(COUNTIF($B$2:B1102,B1102)=1,1,0)</f>
        <v>0</v>
      </c>
      <c r="W1102" s="13" t="n">
        <f aca="false">IF(COUNTIFS($B$2:B1102,B1102,$T$2:T1102,T1102)=1,1,0)</f>
        <v>0</v>
      </c>
    </row>
    <row r="1103" customFormat="false" ht="15" hidden="false" customHeight="false" outlineLevel="0" collapsed="false">
      <c r="A1103" s="13" t="s">
        <v>648</v>
      </c>
      <c r="B1103" s="13" t="s">
        <v>204</v>
      </c>
      <c r="C1103" s="13" t="n">
        <v>3600</v>
      </c>
      <c r="D1103" s="13" t="n">
        <v>5</v>
      </c>
      <c r="E1103" s="13" t="n">
        <v>394.79</v>
      </c>
      <c r="F1103" s="13" t="s">
        <v>5288</v>
      </c>
      <c r="G1103" s="13" t="s">
        <v>5289</v>
      </c>
      <c r="H1103" s="13" t="s">
        <v>5292</v>
      </c>
      <c r="I1103" s="13" t="s">
        <v>5289</v>
      </c>
      <c r="J1103" s="13" t="s">
        <v>5289</v>
      </c>
      <c r="K1103" s="13" t="s">
        <v>5289</v>
      </c>
      <c r="L1103" s="13" t="s">
        <v>5820</v>
      </c>
      <c r="M1103" s="13"/>
      <c r="N1103" s="13" t="n">
        <v>7640496670139</v>
      </c>
      <c r="O1103" s="13"/>
      <c r="P1103" s="13" t="s">
        <v>5291</v>
      </c>
      <c r="Q1103" s="13" t="s">
        <v>5289</v>
      </c>
      <c r="R1103" s="13" t="s">
        <v>5292</v>
      </c>
      <c r="S1103" s="13" t="s">
        <v>5293</v>
      </c>
      <c r="T1103" s="13" t="s">
        <v>4</v>
      </c>
      <c r="U1103" s="13" t="s">
        <v>43</v>
      </c>
      <c r="V1103" s="13" t="n">
        <f aca="false">IF(COUNTIF($B$2:B1103,B1103)=1,1,0)</f>
        <v>0</v>
      </c>
      <c r="W1103" s="13" t="n">
        <f aca="false">IF(COUNTIFS($B$2:B1103,B1103,$T$2:T1103,T1103)=1,1,0)</f>
        <v>0</v>
      </c>
    </row>
    <row r="1104" customFormat="false" ht="15" hidden="false" customHeight="false" outlineLevel="0" collapsed="false">
      <c r="A1104" s="13" t="s">
        <v>652</v>
      </c>
      <c r="B1104" s="13" t="s">
        <v>50</v>
      </c>
      <c r="C1104" s="13" t="n">
        <v>3500</v>
      </c>
      <c r="D1104" s="13" t="n">
        <v>5</v>
      </c>
      <c r="E1104" s="13" t="n">
        <v>706</v>
      </c>
      <c r="F1104" s="13" t="s">
        <v>5288</v>
      </c>
      <c r="G1104" s="13" t="s">
        <v>5289</v>
      </c>
      <c r="H1104" s="13" t="s">
        <v>5289</v>
      </c>
      <c r="I1104" s="13" t="s">
        <v>5289</v>
      </c>
      <c r="J1104" s="13" t="s">
        <v>5289</v>
      </c>
      <c r="K1104" s="13" t="s">
        <v>5289</v>
      </c>
      <c r="L1104" s="13" t="s">
        <v>5821</v>
      </c>
      <c r="M1104" s="13"/>
      <c r="N1104" s="13" t="n">
        <v>3349668667086</v>
      </c>
      <c r="O1104" s="13"/>
      <c r="P1104" s="13" t="s">
        <v>5291</v>
      </c>
      <c r="Q1104" s="13" t="s">
        <v>5289</v>
      </c>
      <c r="R1104" s="13" t="s">
        <v>5292</v>
      </c>
      <c r="S1104" s="13" t="s">
        <v>5293</v>
      </c>
      <c r="T1104" s="13" t="s">
        <v>4</v>
      </c>
      <c r="U1104" s="13" t="s">
        <v>43</v>
      </c>
      <c r="V1104" s="13" t="n">
        <f aca="false">IF(COUNTIF($B$2:B1104,B1104)=1,1,0)</f>
        <v>0</v>
      </c>
      <c r="W1104" s="13" t="n">
        <f aca="false">IF(COUNTIFS($B$2:B1104,B1104,$T$2:T1104,T1104)=1,1,0)</f>
        <v>0</v>
      </c>
    </row>
    <row r="1105" customFormat="false" ht="15" hidden="false" customHeight="false" outlineLevel="0" collapsed="false">
      <c r="A1105" s="13" t="s">
        <v>289</v>
      </c>
      <c r="B1105" s="13" t="s">
        <v>50</v>
      </c>
      <c r="C1105" s="13" t="n">
        <v>3500</v>
      </c>
      <c r="D1105" s="13" t="n">
        <v>5</v>
      </c>
      <c r="E1105" s="13" t="n">
        <v>704.65</v>
      </c>
      <c r="F1105" s="13" t="s">
        <v>5288</v>
      </c>
      <c r="G1105" s="13" t="s">
        <v>5289</v>
      </c>
      <c r="H1105" s="13" t="s">
        <v>5289</v>
      </c>
      <c r="I1105" s="13" t="s">
        <v>5289</v>
      </c>
      <c r="J1105" s="13" t="s">
        <v>5289</v>
      </c>
      <c r="K1105" s="13" t="s">
        <v>5289</v>
      </c>
      <c r="L1105" s="13" t="s">
        <v>5822</v>
      </c>
      <c r="M1105" s="13"/>
      <c r="N1105" s="13" t="n">
        <v>3349668630349</v>
      </c>
      <c r="O1105" s="13"/>
      <c r="P1105" s="13" t="s">
        <v>5291</v>
      </c>
      <c r="Q1105" s="13" t="s">
        <v>5289</v>
      </c>
      <c r="R1105" s="13" t="s">
        <v>5292</v>
      </c>
      <c r="S1105" s="13" t="s">
        <v>5293</v>
      </c>
      <c r="T1105" s="13" t="s">
        <v>4</v>
      </c>
      <c r="U1105" s="13" t="s">
        <v>43</v>
      </c>
      <c r="V1105" s="13" t="n">
        <f aca="false">IF(COUNTIF($B$2:B1105,B1105)=1,1,0)</f>
        <v>0</v>
      </c>
      <c r="W1105" s="13" t="n">
        <f aca="false">IF(COUNTIFS($B$2:B1105,B1105,$T$2:T1105,T1105)=1,1,0)</f>
        <v>0</v>
      </c>
    </row>
    <row r="1106" customFormat="false" ht="15" hidden="false" customHeight="false" outlineLevel="0" collapsed="false">
      <c r="A1106" s="13" t="s">
        <v>2978</v>
      </c>
      <c r="B1106" s="13" t="s">
        <v>2120</v>
      </c>
      <c r="C1106" s="13" t="n">
        <v>3500</v>
      </c>
      <c r="D1106" s="13" t="n">
        <v>5</v>
      </c>
      <c r="E1106" s="13" t="n">
        <v>702.928</v>
      </c>
      <c r="F1106" s="13" t="s">
        <v>5288</v>
      </c>
      <c r="G1106" s="13" t="s">
        <v>5292</v>
      </c>
      <c r="H1106" s="13" t="s">
        <v>5292</v>
      </c>
      <c r="I1106" s="13" t="s">
        <v>5289</v>
      </c>
      <c r="J1106" s="13" t="s">
        <v>5289</v>
      </c>
      <c r="K1106" s="13" t="s">
        <v>5289</v>
      </c>
      <c r="L1106" s="13" t="s">
        <v>5823</v>
      </c>
      <c r="M1106" s="13"/>
      <c r="N1106" s="13" t="n">
        <v>3423222118396</v>
      </c>
      <c r="O1106" s="13"/>
      <c r="P1106" s="13" t="s">
        <v>5297</v>
      </c>
      <c r="Q1106" s="13" t="s">
        <v>5289</v>
      </c>
      <c r="R1106" s="13" t="s">
        <v>5292</v>
      </c>
      <c r="S1106" s="13" t="s">
        <v>5293</v>
      </c>
      <c r="T1106" s="13" t="s">
        <v>4</v>
      </c>
      <c r="U1106" s="13" t="s">
        <v>43</v>
      </c>
      <c r="V1106" s="13" t="n">
        <f aca="false">IF(COUNTIF($B$2:B1106,B1106)=1,1,0)</f>
        <v>0</v>
      </c>
      <c r="W1106" s="13" t="n">
        <f aca="false">IF(COUNTIFS($B$2:B1106,B1106,$T$2:T1106,T1106)=1,1,0)</f>
        <v>0</v>
      </c>
    </row>
    <row r="1107" customFormat="false" ht="15" hidden="false" customHeight="false" outlineLevel="0" collapsed="false">
      <c r="A1107" s="13" t="s">
        <v>660</v>
      </c>
      <c r="B1107" s="13" t="s">
        <v>79</v>
      </c>
      <c r="C1107" s="13" t="n">
        <v>3500</v>
      </c>
      <c r="D1107" s="13" t="n">
        <v>5</v>
      </c>
      <c r="E1107" s="13" t="n">
        <v>585.61</v>
      </c>
      <c r="F1107" s="13" t="s">
        <v>5288</v>
      </c>
      <c r="G1107" s="13" t="s">
        <v>5292</v>
      </c>
      <c r="H1107" s="13" t="s">
        <v>5292</v>
      </c>
      <c r="I1107" s="13" t="s">
        <v>5289</v>
      </c>
      <c r="J1107" s="13" t="s">
        <v>5289</v>
      </c>
      <c r="K1107" s="13" t="s">
        <v>5289</v>
      </c>
      <c r="L1107" s="13" t="s">
        <v>5824</v>
      </c>
      <c r="M1107" s="13"/>
      <c r="N1107" s="13" t="n">
        <v>3423473049654</v>
      </c>
      <c r="O1107" s="13"/>
      <c r="P1107" s="13" t="s">
        <v>5297</v>
      </c>
      <c r="Q1107" s="13" t="s">
        <v>5289</v>
      </c>
      <c r="R1107" s="13" t="s">
        <v>5292</v>
      </c>
      <c r="S1107" s="13" t="s">
        <v>5293</v>
      </c>
      <c r="T1107" s="13" t="s">
        <v>4</v>
      </c>
      <c r="U1107" s="13" t="s">
        <v>43</v>
      </c>
      <c r="V1107" s="13" t="n">
        <f aca="false">IF(COUNTIF($B$2:B1107,B1107)=1,1,0)</f>
        <v>0</v>
      </c>
      <c r="W1107" s="13" t="n">
        <f aca="false">IF(COUNTIFS($B$2:B1107,B1107,$T$2:T1107,T1107)=1,1,0)</f>
        <v>0</v>
      </c>
    </row>
    <row r="1108" customFormat="false" ht="15" hidden="false" customHeight="false" outlineLevel="0" collapsed="false">
      <c r="A1108" s="13" t="s">
        <v>430</v>
      </c>
      <c r="B1108" s="13" t="s">
        <v>45</v>
      </c>
      <c r="C1108" s="13" t="n">
        <v>3500</v>
      </c>
      <c r="D1108" s="13" t="n">
        <v>5</v>
      </c>
      <c r="E1108" s="13" t="n">
        <v>694.002</v>
      </c>
      <c r="F1108" s="13" t="s">
        <v>5288</v>
      </c>
      <c r="G1108" s="13" t="s">
        <v>5289</v>
      </c>
      <c r="H1108" s="13" t="s">
        <v>5289</v>
      </c>
      <c r="I1108" s="13" t="s">
        <v>5289</v>
      </c>
      <c r="J1108" s="13" t="s">
        <v>5289</v>
      </c>
      <c r="K1108" s="13" t="s">
        <v>5289</v>
      </c>
      <c r="L1108" s="13" t="s">
        <v>5727</v>
      </c>
      <c r="M1108" s="13"/>
      <c r="N1108" s="13" t="n">
        <v>8435415017244</v>
      </c>
      <c r="O1108" s="13"/>
      <c r="P1108" s="13" t="s">
        <v>5291</v>
      </c>
      <c r="Q1108" s="13" t="s">
        <v>5289</v>
      </c>
      <c r="R1108" s="13" t="s">
        <v>5292</v>
      </c>
      <c r="S1108" s="13" t="s">
        <v>5293</v>
      </c>
      <c r="T1108" s="13" t="s">
        <v>4</v>
      </c>
      <c r="U1108" s="13" t="s">
        <v>43</v>
      </c>
      <c r="V1108" s="13" t="n">
        <f aca="false">IF(COUNTIF($B$2:B1108,B1108)=1,1,0)</f>
        <v>0</v>
      </c>
      <c r="W1108" s="13" t="n">
        <f aca="false">IF(COUNTIFS($B$2:B1108,B1108,$T$2:T1108,T1108)=1,1,0)</f>
        <v>0</v>
      </c>
    </row>
    <row r="1109" customFormat="false" ht="15" hidden="false" customHeight="false" outlineLevel="0" collapsed="false">
      <c r="A1109" s="13" t="s">
        <v>653</v>
      </c>
      <c r="B1109" s="13" t="s">
        <v>79</v>
      </c>
      <c r="C1109" s="13" t="n">
        <v>3500</v>
      </c>
      <c r="D1109" s="13" t="n">
        <v>5</v>
      </c>
      <c r="E1109" s="13" t="n">
        <v>575.325</v>
      </c>
      <c r="F1109" s="13" t="s">
        <v>5288</v>
      </c>
      <c r="G1109" s="13" t="s">
        <v>5289</v>
      </c>
      <c r="H1109" s="13" t="s">
        <v>5292</v>
      </c>
      <c r="I1109" s="13" t="s">
        <v>5289</v>
      </c>
      <c r="J1109" s="13" t="s">
        <v>5289</v>
      </c>
      <c r="K1109" s="13" t="s">
        <v>5289</v>
      </c>
      <c r="L1109" s="13" t="s">
        <v>5825</v>
      </c>
      <c r="M1109" s="13"/>
      <c r="N1109" s="13" t="n">
        <v>8057971186679</v>
      </c>
      <c r="O1109" s="13"/>
      <c r="P1109" s="13" t="s">
        <v>5291</v>
      </c>
      <c r="Q1109" s="13" t="s">
        <v>5289</v>
      </c>
      <c r="R1109" s="13" t="s">
        <v>5292</v>
      </c>
      <c r="S1109" s="13" t="s">
        <v>5293</v>
      </c>
      <c r="T1109" s="13" t="s">
        <v>4</v>
      </c>
      <c r="U1109" s="13" t="s">
        <v>43</v>
      </c>
      <c r="V1109" s="13" t="n">
        <f aca="false">IF(COUNTIF($B$2:B1109,B1109)=1,1,0)</f>
        <v>0</v>
      </c>
      <c r="W1109" s="13" t="n">
        <f aca="false">IF(COUNTIFS($B$2:B1109,B1109,$T$2:T1109,T1109)=1,1,0)</f>
        <v>0</v>
      </c>
    </row>
    <row r="1110" customFormat="false" ht="15" hidden="false" customHeight="false" outlineLevel="0" collapsed="false">
      <c r="A1110" s="13" t="s">
        <v>301</v>
      </c>
      <c r="B1110" s="13" t="s">
        <v>45</v>
      </c>
      <c r="C1110" s="13" t="n">
        <v>3400</v>
      </c>
      <c r="D1110" s="13" t="n">
        <v>2</v>
      </c>
      <c r="E1110" s="13" t="n">
        <v>861.3375</v>
      </c>
      <c r="F1110" s="13" t="s">
        <v>5288</v>
      </c>
      <c r="G1110" s="13" t="s">
        <v>5292</v>
      </c>
      <c r="H1110" s="13" t="s">
        <v>5289</v>
      </c>
      <c r="I1110" s="13" t="s">
        <v>5289</v>
      </c>
      <c r="J1110" s="13" t="s">
        <v>5289</v>
      </c>
      <c r="K1110" s="13" t="s">
        <v>5289</v>
      </c>
      <c r="L1110" s="13" t="s">
        <v>5826</v>
      </c>
      <c r="M1110" s="13"/>
      <c r="N1110" s="13" t="n">
        <v>8435415082686</v>
      </c>
      <c r="O1110" s="13"/>
      <c r="P1110" s="13" t="s">
        <v>5291</v>
      </c>
      <c r="Q1110" s="13" t="s">
        <v>5289</v>
      </c>
      <c r="R1110" s="13" t="s">
        <v>5292</v>
      </c>
      <c r="S1110" s="13" t="s">
        <v>5293</v>
      </c>
      <c r="T1110" s="13" t="s">
        <v>4</v>
      </c>
      <c r="U1110" s="13" t="s">
        <v>43</v>
      </c>
      <c r="V1110" s="13" t="n">
        <f aca="false">IF(COUNTIF($B$2:B1110,B1110)=1,1,0)</f>
        <v>0</v>
      </c>
      <c r="W1110" s="13" t="n">
        <f aca="false">IF(COUNTIFS($B$2:B1110,B1110,$T$2:T1110,T1110)=1,1,0)</f>
        <v>0</v>
      </c>
    </row>
    <row r="1111" customFormat="false" ht="15" hidden="false" customHeight="false" outlineLevel="0" collapsed="false">
      <c r="A1111" s="13" t="s">
        <v>353</v>
      </c>
      <c r="B1111" s="13" t="s">
        <v>42</v>
      </c>
      <c r="C1111" s="13" t="n">
        <v>3400</v>
      </c>
      <c r="D1111" s="13" t="n">
        <v>2</v>
      </c>
      <c r="E1111" s="13" t="n">
        <v>856.8475</v>
      </c>
      <c r="F1111" s="13" t="s">
        <v>5288</v>
      </c>
      <c r="G1111" s="13" t="s">
        <v>5289</v>
      </c>
      <c r="H1111" s="13" t="s">
        <v>5289</v>
      </c>
      <c r="I1111" s="13" t="s">
        <v>5289</v>
      </c>
      <c r="J1111" s="13" t="s">
        <v>5289</v>
      </c>
      <c r="K1111" s="13" t="s">
        <v>5289</v>
      </c>
      <c r="L1111" s="13" t="s">
        <v>5827</v>
      </c>
      <c r="M1111" s="13"/>
      <c r="N1111" s="13" t="n">
        <v>8411061056752</v>
      </c>
      <c r="O1111" s="13"/>
      <c r="P1111" s="13" t="s">
        <v>5291</v>
      </c>
      <c r="Q1111" s="13" t="s">
        <v>5289</v>
      </c>
      <c r="R1111" s="13" t="s">
        <v>5292</v>
      </c>
      <c r="S1111" s="13" t="s">
        <v>5293</v>
      </c>
      <c r="T1111" s="13" t="s">
        <v>4</v>
      </c>
      <c r="U1111" s="13" t="s">
        <v>43</v>
      </c>
      <c r="V1111" s="13" t="n">
        <f aca="false">IF(COUNTIF($B$2:B1111,B1111)=1,1,0)</f>
        <v>0</v>
      </c>
      <c r="W1111" s="13" t="n">
        <f aca="false">IF(COUNTIFS($B$2:B1111,B1111,$T$2:T1111,T1111)=1,1,0)</f>
        <v>0</v>
      </c>
    </row>
    <row r="1112" customFormat="false" ht="15" hidden="false" customHeight="false" outlineLevel="0" collapsed="false">
      <c r="A1112" s="13" t="s">
        <v>3271</v>
      </c>
      <c r="B1112" s="13" t="s">
        <v>2131</v>
      </c>
      <c r="C1112" s="13" t="n">
        <v>3400</v>
      </c>
      <c r="D1112" s="13" t="n">
        <v>5</v>
      </c>
      <c r="E1112" s="13" t="n">
        <v>684.418</v>
      </c>
      <c r="F1112" s="13" t="s">
        <v>5288</v>
      </c>
      <c r="G1112" s="13" t="s">
        <v>5289</v>
      </c>
      <c r="H1112" s="13" t="s">
        <v>5292</v>
      </c>
      <c r="I1112" s="13" t="s">
        <v>5289</v>
      </c>
      <c r="J1112" s="13" t="s">
        <v>5289</v>
      </c>
      <c r="K1112" s="13" t="s">
        <v>5289</v>
      </c>
      <c r="L1112" s="13" t="s">
        <v>5828</v>
      </c>
      <c r="M1112" s="13"/>
      <c r="N1112" s="13" t="n">
        <v>3423478807655</v>
      </c>
      <c r="O1112" s="13"/>
      <c r="P1112" s="13" t="s">
        <v>5291</v>
      </c>
      <c r="Q1112" s="13" t="s">
        <v>5289</v>
      </c>
      <c r="R1112" s="13" t="s">
        <v>5292</v>
      </c>
      <c r="S1112" s="13" t="s">
        <v>5293</v>
      </c>
      <c r="T1112" s="13" t="s">
        <v>4</v>
      </c>
      <c r="U1112" s="13" t="s">
        <v>43</v>
      </c>
      <c r="V1112" s="13" t="n">
        <f aca="false">IF(COUNTIF($B$2:B1112,B1112)=1,1,0)</f>
        <v>1</v>
      </c>
      <c r="W1112" s="13" t="n">
        <f aca="false">IF(COUNTIFS($B$2:B1112,B1112,$T$2:T1112,T1112)=1,1,0)</f>
        <v>1</v>
      </c>
    </row>
    <row r="1113" customFormat="false" ht="15" hidden="false" customHeight="false" outlineLevel="0" collapsed="false">
      <c r="A1113" s="13" t="s">
        <v>666</v>
      </c>
      <c r="B1113" s="13" t="s">
        <v>50</v>
      </c>
      <c r="C1113" s="13" t="n">
        <v>3400</v>
      </c>
      <c r="D1113" s="13" t="n">
        <v>5</v>
      </c>
      <c r="E1113" s="13" t="n">
        <v>569.06</v>
      </c>
      <c r="F1113" s="13" t="s">
        <v>5325</v>
      </c>
      <c r="G1113" s="13" t="s">
        <v>5289</v>
      </c>
      <c r="H1113" s="13" t="s">
        <v>5292</v>
      </c>
      <c r="I1113" s="13" t="s">
        <v>5289</v>
      </c>
      <c r="J1113" s="13" t="s">
        <v>5289</v>
      </c>
      <c r="K1113" s="13" t="s">
        <v>5289</v>
      </c>
      <c r="L1113" s="13" t="s">
        <v>5665</v>
      </c>
      <c r="M1113" s="13"/>
      <c r="N1113" s="13" t="n">
        <v>3349668515660</v>
      </c>
      <c r="O1113" s="13"/>
      <c r="P1113" s="13" t="s">
        <v>5291</v>
      </c>
      <c r="Q1113" s="13" t="s">
        <v>5289</v>
      </c>
      <c r="R1113" s="13" t="s">
        <v>5292</v>
      </c>
      <c r="S1113" s="13" t="s">
        <v>5293</v>
      </c>
      <c r="T1113" s="13" t="s">
        <v>4</v>
      </c>
      <c r="U1113" s="13" t="s">
        <v>43</v>
      </c>
      <c r="V1113" s="13" t="n">
        <f aca="false">IF(COUNTIF($B$2:B1113,B1113)=1,1,0)</f>
        <v>0</v>
      </c>
      <c r="W1113" s="13" t="n">
        <f aca="false">IF(COUNTIFS($B$2:B1113,B1113,$T$2:T1113,T1113)=1,1,0)</f>
        <v>0</v>
      </c>
    </row>
    <row r="1114" customFormat="false" ht="15" hidden="false" customHeight="false" outlineLevel="0" collapsed="false">
      <c r="A1114" s="13" t="s">
        <v>101</v>
      </c>
      <c r="B1114" s="13" t="s">
        <v>45</v>
      </c>
      <c r="C1114" s="13" t="n">
        <v>3400</v>
      </c>
      <c r="D1114" s="13" t="n">
        <v>5</v>
      </c>
      <c r="E1114" s="13" t="n">
        <v>375.186666666667</v>
      </c>
      <c r="F1114" s="13" t="s">
        <v>5288</v>
      </c>
      <c r="G1114" s="13" t="s">
        <v>5289</v>
      </c>
      <c r="H1114" s="13" t="s">
        <v>5289</v>
      </c>
      <c r="I1114" s="13" t="s">
        <v>5289</v>
      </c>
      <c r="J1114" s="13" t="s">
        <v>5289</v>
      </c>
      <c r="K1114" s="13" t="s">
        <v>5289</v>
      </c>
      <c r="L1114" s="13" t="s">
        <v>5829</v>
      </c>
      <c r="M1114" s="13"/>
      <c r="N1114" s="13" t="n">
        <v>8435415012607</v>
      </c>
      <c r="O1114" s="13"/>
      <c r="P1114" s="13" t="s">
        <v>5291</v>
      </c>
      <c r="Q1114" s="13" t="s">
        <v>5289</v>
      </c>
      <c r="R1114" s="13" t="s">
        <v>5292</v>
      </c>
      <c r="S1114" s="13" t="s">
        <v>5293</v>
      </c>
      <c r="T1114" s="13" t="s">
        <v>4</v>
      </c>
      <c r="U1114" s="13" t="s">
        <v>43</v>
      </c>
      <c r="V1114" s="13" t="n">
        <f aca="false">IF(COUNTIF($B$2:B1114,B1114)=1,1,0)</f>
        <v>0</v>
      </c>
      <c r="W1114" s="13" t="n">
        <f aca="false">IF(COUNTIFS($B$2:B1114,B1114,$T$2:T1114,T1114)=1,1,0)</f>
        <v>0</v>
      </c>
    </row>
    <row r="1115" customFormat="false" ht="15" hidden="false" customHeight="false" outlineLevel="0" collapsed="false">
      <c r="A1115" s="13" t="s">
        <v>661</v>
      </c>
      <c r="B1115" s="13" t="s">
        <v>335</v>
      </c>
      <c r="C1115" s="13" t="n">
        <v>3400</v>
      </c>
      <c r="D1115" s="13" t="n">
        <v>5</v>
      </c>
      <c r="E1115" s="13" t="n">
        <v>336.51</v>
      </c>
      <c r="F1115" s="13" t="s">
        <v>5325</v>
      </c>
      <c r="G1115" s="13" t="s">
        <v>5292</v>
      </c>
      <c r="H1115" s="13" t="s">
        <v>5292</v>
      </c>
      <c r="I1115" s="13" t="s">
        <v>5289</v>
      </c>
      <c r="J1115" s="13" t="s">
        <v>5289</v>
      </c>
      <c r="K1115" s="13" t="s">
        <v>5289</v>
      </c>
      <c r="L1115" s="13" t="s">
        <v>5830</v>
      </c>
      <c r="M1115" s="13"/>
      <c r="N1115" s="13" t="n">
        <v>85805558420</v>
      </c>
      <c r="O1115" s="13"/>
      <c r="P1115" s="13" t="s">
        <v>5297</v>
      </c>
      <c r="Q1115" s="13" t="s">
        <v>5289</v>
      </c>
      <c r="R1115" s="13" t="s">
        <v>5292</v>
      </c>
      <c r="S1115" s="13" t="s">
        <v>5293</v>
      </c>
      <c r="T1115" s="13" t="s">
        <v>4</v>
      </c>
      <c r="U1115" s="13" t="s">
        <v>43</v>
      </c>
      <c r="V1115" s="13" t="n">
        <f aca="false">IF(COUNTIF($B$2:B1115,B1115)=1,1,0)</f>
        <v>0</v>
      </c>
      <c r="W1115" s="13" t="n">
        <f aca="false">IF(COUNTIFS($B$2:B1115,B1115,$T$2:T1115,T1115)=1,1,0)</f>
        <v>1</v>
      </c>
    </row>
    <row r="1116" customFormat="false" ht="15" hidden="false" customHeight="false" outlineLevel="0" collapsed="false">
      <c r="A1116" s="13" t="s">
        <v>679</v>
      </c>
      <c r="B1116" s="13" t="s">
        <v>45</v>
      </c>
      <c r="C1116" s="13" t="n">
        <v>3300</v>
      </c>
      <c r="D1116" s="13" t="n">
        <v>2</v>
      </c>
      <c r="E1116" s="13" t="n">
        <v>837.045</v>
      </c>
      <c r="F1116" s="13" t="s">
        <v>5288</v>
      </c>
      <c r="G1116" s="13" t="s">
        <v>5289</v>
      </c>
      <c r="H1116" s="13" t="s">
        <v>5289</v>
      </c>
      <c r="I1116" s="13" t="s">
        <v>5289</v>
      </c>
      <c r="J1116" s="13" t="s">
        <v>5289</v>
      </c>
      <c r="K1116" s="13" t="s">
        <v>5289</v>
      </c>
      <c r="L1116" s="13" t="s">
        <v>5831</v>
      </c>
      <c r="M1116" s="13"/>
      <c r="N1116" s="13" t="n">
        <v>8435415116664</v>
      </c>
      <c r="O1116" s="13"/>
      <c r="P1116" s="13" t="s">
        <v>5291</v>
      </c>
      <c r="Q1116" s="13" t="s">
        <v>5289</v>
      </c>
      <c r="R1116" s="13" t="s">
        <v>5292</v>
      </c>
      <c r="S1116" s="13" t="s">
        <v>5293</v>
      </c>
      <c r="T1116" s="13" t="s">
        <v>4</v>
      </c>
      <c r="U1116" s="13" t="s">
        <v>183</v>
      </c>
      <c r="V1116" s="13" t="n">
        <f aca="false">IF(COUNTIF($B$2:B1116,B1116)=1,1,0)</f>
        <v>0</v>
      </c>
      <c r="W1116" s="13" t="n">
        <f aca="false">IF(COUNTIFS($B$2:B1116,B1116,$T$2:T1116,T1116)=1,1,0)</f>
        <v>0</v>
      </c>
    </row>
    <row r="1117" customFormat="false" ht="15" hidden="false" customHeight="false" outlineLevel="0" collapsed="false">
      <c r="A1117" s="13" t="s">
        <v>437</v>
      </c>
      <c r="B1117" s="13" t="s">
        <v>50</v>
      </c>
      <c r="C1117" s="13" t="n">
        <v>3300</v>
      </c>
      <c r="D1117" s="13" t="n">
        <v>2</v>
      </c>
      <c r="E1117" s="13" t="n">
        <v>836.07</v>
      </c>
      <c r="F1117" s="13" t="s">
        <v>5325</v>
      </c>
      <c r="G1117" s="13" t="s">
        <v>5292</v>
      </c>
      <c r="H1117" s="13" t="s">
        <v>5289</v>
      </c>
      <c r="I1117" s="13" t="s">
        <v>5289</v>
      </c>
      <c r="J1117" s="13" t="s">
        <v>5289</v>
      </c>
      <c r="K1117" s="13" t="s">
        <v>5289</v>
      </c>
      <c r="L1117" s="13" t="s">
        <v>5729</v>
      </c>
      <c r="M1117" s="13"/>
      <c r="N1117" s="13" t="n">
        <v>3349668664733</v>
      </c>
      <c r="O1117" s="13"/>
      <c r="P1117" s="13" t="s">
        <v>5291</v>
      </c>
      <c r="Q1117" s="13" t="s">
        <v>5289</v>
      </c>
      <c r="R1117" s="13" t="s">
        <v>5292</v>
      </c>
      <c r="S1117" s="13" t="s">
        <v>5293</v>
      </c>
      <c r="T1117" s="13" t="s">
        <v>4</v>
      </c>
      <c r="U1117" s="13" t="s">
        <v>43</v>
      </c>
      <c r="V1117" s="13" t="n">
        <f aca="false">IF(COUNTIF($B$2:B1117,B1117)=1,1,0)</f>
        <v>0</v>
      </c>
      <c r="W1117" s="13" t="n">
        <f aca="false">IF(COUNTIFS($B$2:B1117,B1117,$T$2:T1117,T1117)=1,1,0)</f>
        <v>0</v>
      </c>
    </row>
    <row r="1118" customFormat="false" ht="15" hidden="false" customHeight="false" outlineLevel="0" collapsed="false">
      <c r="A1118" s="13" t="s">
        <v>113</v>
      </c>
      <c r="B1118" s="13" t="s">
        <v>45</v>
      </c>
      <c r="C1118" s="13" t="n">
        <v>3300</v>
      </c>
      <c r="D1118" s="13" t="n">
        <v>2</v>
      </c>
      <c r="E1118" s="13" t="n">
        <v>832.515</v>
      </c>
      <c r="F1118" s="13" t="s">
        <v>5325</v>
      </c>
      <c r="G1118" s="13" t="s">
        <v>5289</v>
      </c>
      <c r="H1118" s="13" t="s">
        <v>5289</v>
      </c>
      <c r="I1118" s="13" t="s">
        <v>5289</v>
      </c>
      <c r="J1118" s="13" t="s">
        <v>5289</v>
      </c>
      <c r="K1118" s="13" t="s">
        <v>5289</v>
      </c>
      <c r="L1118" s="13" t="s">
        <v>5707</v>
      </c>
      <c r="M1118" s="13"/>
      <c r="N1118" s="13" t="n">
        <v>8.43541505906084E+025</v>
      </c>
      <c r="O1118" s="13"/>
      <c r="P1118" s="13" t="s">
        <v>5291</v>
      </c>
      <c r="Q1118" s="13" t="s">
        <v>5289</v>
      </c>
      <c r="R1118" s="13" t="s">
        <v>5292</v>
      </c>
      <c r="S1118" s="13" t="s">
        <v>5293</v>
      </c>
      <c r="T1118" s="13" t="s">
        <v>4</v>
      </c>
      <c r="U1118" s="13" t="s">
        <v>43</v>
      </c>
      <c r="V1118" s="13" t="n">
        <f aca="false">IF(COUNTIF($B$2:B1118,B1118)=1,1,0)</f>
        <v>0</v>
      </c>
      <c r="W1118" s="13" t="n">
        <f aca="false">IF(COUNTIFS($B$2:B1118,B1118,$T$2:T1118,T1118)=1,1,0)</f>
        <v>0</v>
      </c>
    </row>
    <row r="1119" customFormat="false" ht="15" hidden="false" customHeight="false" outlineLevel="0" collapsed="false">
      <c r="A1119" s="13" t="s">
        <v>644</v>
      </c>
      <c r="B1119" s="13" t="s">
        <v>50</v>
      </c>
      <c r="C1119" s="13" t="n">
        <v>3300</v>
      </c>
      <c r="D1119" s="13" t="n">
        <v>5</v>
      </c>
      <c r="E1119" s="13" t="n">
        <v>661.34</v>
      </c>
      <c r="F1119" s="13" t="s">
        <v>5288</v>
      </c>
      <c r="G1119" s="13" t="s">
        <v>5289</v>
      </c>
      <c r="H1119" s="13" t="s">
        <v>5289</v>
      </c>
      <c r="I1119" s="13" t="s">
        <v>5289</v>
      </c>
      <c r="J1119" s="13" t="s">
        <v>5289</v>
      </c>
      <c r="K1119" s="13" t="s">
        <v>5289</v>
      </c>
      <c r="L1119" s="13" t="s">
        <v>5818</v>
      </c>
      <c r="M1119" s="13"/>
      <c r="N1119" s="13" t="n">
        <v>3349668661640</v>
      </c>
      <c r="O1119" s="13"/>
      <c r="P1119" s="13" t="s">
        <v>5291</v>
      </c>
      <c r="Q1119" s="13" t="s">
        <v>5289</v>
      </c>
      <c r="R1119" s="13" t="s">
        <v>5292</v>
      </c>
      <c r="S1119" s="13" t="s">
        <v>5293</v>
      </c>
      <c r="T1119" s="13" t="s">
        <v>4</v>
      </c>
      <c r="U1119" s="13" t="s">
        <v>43</v>
      </c>
      <c r="V1119" s="13" t="n">
        <f aca="false">IF(COUNTIF($B$2:B1119,B1119)=1,1,0)</f>
        <v>0</v>
      </c>
      <c r="W1119" s="13" t="n">
        <f aca="false">IF(COUNTIFS($B$2:B1119,B1119,$T$2:T1119,T1119)=1,1,0)</f>
        <v>0</v>
      </c>
    </row>
    <row r="1120" customFormat="false" ht="15" hidden="false" customHeight="false" outlineLevel="0" collapsed="false">
      <c r="A1120" s="13" t="s">
        <v>680</v>
      </c>
      <c r="B1120" s="13" t="s">
        <v>186</v>
      </c>
      <c r="C1120" s="13" t="n">
        <v>3300</v>
      </c>
      <c r="D1120" s="13" t="n">
        <v>5</v>
      </c>
      <c r="E1120" s="13" t="n">
        <v>469.171428571429</v>
      </c>
      <c r="F1120" s="13" t="s">
        <v>5288</v>
      </c>
      <c r="G1120" s="13" t="s">
        <v>5292</v>
      </c>
      <c r="H1120" s="13" t="s">
        <v>5292</v>
      </c>
      <c r="I1120" s="13" t="s">
        <v>5289</v>
      </c>
      <c r="J1120" s="13" t="s">
        <v>5289</v>
      </c>
      <c r="K1120" s="13" t="s">
        <v>5289</v>
      </c>
      <c r="L1120" s="13" t="s">
        <v>5832</v>
      </c>
      <c r="M1120" s="13"/>
      <c r="N1120" s="13" t="n">
        <v>3616306130012</v>
      </c>
      <c r="O1120" s="13"/>
      <c r="P1120" s="13" t="s">
        <v>5291</v>
      </c>
      <c r="Q1120" s="13" t="s">
        <v>5289</v>
      </c>
      <c r="R1120" s="13" t="s">
        <v>5292</v>
      </c>
      <c r="S1120" s="13" t="s">
        <v>5293</v>
      </c>
      <c r="T1120" s="13" t="s">
        <v>4</v>
      </c>
      <c r="U1120" s="13" t="s">
        <v>43</v>
      </c>
      <c r="V1120" s="13" t="n">
        <f aca="false">IF(COUNTIF($B$2:B1120,B1120)=1,1,0)</f>
        <v>0</v>
      </c>
      <c r="W1120" s="13" t="n">
        <f aca="false">IF(COUNTIFS($B$2:B1120,B1120,$T$2:T1120,T1120)=1,1,0)</f>
        <v>0</v>
      </c>
    </row>
    <row r="1121" customFormat="false" ht="15" hidden="false" customHeight="false" outlineLevel="0" collapsed="false">
      <c r="A1121" s="13" t="s">
        <v>677</v>
      </c>
      <c r="B1121" s="13" t="s">
        <v>177</v>
      </c>
      <c r="C1121" s="13" t="n">
        <v>3300</v>
      </c>
      <c r="D1121" s="13" t="n">
        <v>2</v>
      </c>
      <c r="E1121" s="13" t="n">
        <v>816.72</v>
      </c>
      <c r="F1121" s="13" t="s">
        <v>5325</v>
      </c>
      <c r="G1121" s="13" t="s">
        <v>5289</v>
      </c>
      <c r="H1121" s="13" t="s">
        <v>5292</v>
      </c>
      <c r="I1121" s="13" t="s">
        <v>5289</v>
      </c>
      <c r="J1121" s="13" t="s">
        <v>5289</v>
      </c>
      <c r="K1121" s="13" t="s">
        <v>5289</v>
      </c>
      <c r="L1121" s="13" t="s">
        <v>5833</v>
      </c>
      <c r="M1121" s="13"/>
      <c r="N1121" s="13" t="n">
        <v>3614229382167</v>
      </c>
      <c r="O1121" s="13"/>
      <c r="P1121" s="13" t="s">
        <v>5291</v>
      </c>
      <c r="Q1121" s="13" t="s">
        <v>5289</v>
      </c>
      <c r="R1121" s="13" t="s">
        <v>5292</v>
      </c>
      <c r="S1121" s="13" t="s">
        <v>5293</v>
      </c>
      <c r="T1121" s="13" t="s">
        <v>4</v>
      </c>
      <c r="U1121" s="13" t="s">
        <v>43</v>
      </c>
      <c r="V1121" s="13" t="n">
        <f aca="false">IF(COUNTIF($B$2:B1121,B1121)=1,1,0)</f>
        <v>0</v>
      </c>
      <c r="W1121" s="13" t="n">
        <f aca="false">IF(COUNTIFS($B$2:B1121,B1121,$T$2:T1121,T1121)=1,1,0)</f>
        <v>0</v>
      </c>
    </row>
    <row r="1122" customFormat="false" ht="15" hidden="false" customHeight="false" outlineLevel="0" collapsed="false">
      <c r="A1122" s="13" t="s">
        <v>3092</v>
      </c>
      <c r="B1122" s="13" t="s">
        <v>2138</v>
      </c>
      <c r="C1122" s="13" t="n">
        <v>3300</v>
      </c>
      <c r="D1122" s="13" t="n">
        <v>5</v>
      </c>
      <c r="E1122" s="13" t="n">
        <v>653.162</v>
      </c>
      <c r="F1122" s="13" t="s">
        <v>5288</v>
      </c>
      <c r="G1122" s="13" t="s">
        <v>5289</v>
      </c>
      <c r="H1122" s="13" t="s">
        <v>5289</v>
      </c>
      <c r="I1122" s="13" t="s">
        <v>5289</v>
      </c>
      <c r="J1122" s="13" t="s">
        <v>5289</v>
      </c>
      <c r="K1122" s="13" t="s">
        <v>5289</v>
      </c>
      <c r="L1122" s="13" t="s">
        <v>5834</v>
      </c>
      <c r="M1122" s="13"/>
      <c r="N1122" s="13" t="n">
        <v>3386460066075</v>
      </c>
      <c r="O1122" s="13"/>
      <c r="P1122" s="13" t="s">
        <v>5291</v>
      </c>
      <c r="Q1122" s="13" t="s">
        <v>5289</v>
      </c>
      <c r="R1122" s="13" t="s">
        <v>5292</v>
      </c>
      <c r="S1122" s="13" t="s">
        <v>5293</v>
      </c>
      <c r="T1122" s="13" t="s">
        <v>4</v>
      </c>
      <c r="U1122" s="13" t="s">
        <v>43</v>
      </c>
      <c r="V1122" s="13" t="n">
        <f aca="false">IF(COUNTIF($B$2:B1122,B1122)=1,1,0)</f>
        <v>0</v>
      </c>
      <c r="W1122" s="13" t="n">
        <f aca="false">IF(COUNTIFS($B$2:B1122,B1122,$T$2:T1122,T1122)=1,1,0)</f>
        <v>0</v>
      </c>
    </row>
    <row r="1123" customFormat="false" ht="15" hidden="false" customHeight="false" outlineLevel="0" collapsed="false">
      <c r="A1123" s="13" t="s">
        <v>239</v>
      </c>
      <c r="B1123" s="13" t="s">
        <v>50</v>
      </c>
      <c r="C1123" s="13" t="n">
        <v>3300</v>
      </c>
      <c r="D1123" s="13" t="n">
        <v>5</v>
      </c>
      <c r="E1123" s="13" t="n">
        <v>464.764285714286</v>
      </c>
      <c r="F1123" s="13" t="s">
        <v>5288</v>
      </c>
      <c r="G1123" s="13" t="s">
        <v>5289</v>
      </c>
      <c r="H1123" s="13" t="s">
        <v>5289</v>
      </c>
      <c r="I1123" s="13" t="s">
        <v>5289</v>
      </c>
      <c r="J1123" s="13" t="s">
        <v>5289</v>
      </c>
      <c r="K1123" s="13" t="s">
        <v>5289</v>
      </c>
      <c r="L1123" s="13" t="s">
        <v>5835</v>
      </c>
      <c r="M1123" s="13"/>
      <c r="N1123" s="13" t="n">
        <v>3349668021345</v>
      </c>
      <c r="O1123" s="13"/>
      <c r="P1123" s="13" t="s">
        <v>5291</v>
      </c>
      <c r="Q1123" s="13" t="s">
        <v>5289</v>
      </c>
      <c r="R1123" s="13" t="s">
        <v>5292</v>
      </c>
      <c r="S1123" s="13" t="s">
        <v>5293</v>
      </c>
      <c r="T1123" s="13" t="s">
        <v>4</v>
      </c>
      <c r="U1123" s="13" t="s">
        <v>43</v>
      </c>
      <c r="V1123" s="13" t="n">
        <f aca="false">IF(COUNTIF($B$2:B1123,B1123)=1,1,0)</f>
        <v>0</v>
      </c>
      <c r="W1123" s="13" t="n">
        <f aca="false">IF(COUNTIFS($B$2:B1123,B1123,$T$2:T1123,T1123)=1,1,0)</f>
        <v>0</v>
      </c>
    </row>
    <row r="1124" customFormat="false" ht="15" hidden="false" customHeight="false" outlineLevel="0" collapsed="false">
      <c r="A1124" s="13" t="s">
        <v>5836</v>
      </c>
      <c r="B1124" s="13" t="s">
        <v>2111</v>
      </c>
      <c r="C1124" s="13" t="n">
        <v>3200</v>
      </c>
      <c r="D1124" s="13" t="n">
        <v>5</v>
      </c>
      <c r="E1124" s="13" t="n">
        <v>648.938</v>
      </c>
      <c r="F1124" s="13" t="s">
        <v>5325</v>
      </c>
      <c r="G1124" s="13" t="s">
        <v>5292</v>
      </c>
      <c r="H1124" s="13" t="s">
        <v>5292</v>
      </c>
      <c r="I1124" s="13" t="s">
        <v>5289</v>
      </c>
      <c r="J1124" s="13" t="s">
        <v>5289</v>
      </c>
      <c r="K1124" s="13" t="s">
        <v>5289</v>
      </c>
      <c r="L1124" s="13" t="s">
        <v>5837</v>
      </c>
      <c r="M1124" s="13"/>
      <c r="N1124" s="13" t="n">
        <v>3386460119252</v>
      </c>
      <c r="O1124" s="13"/>
      <c r="P1124" s="13" t="s">
        <v>5291</v>
      </c>
      <c r="Q1124" s="13" t="s">
        <v>5289</v>
      </c>
      <c r="R1124" s="13" t="s">
        <v>5292</v>
      </c>
      <c r="S1124" s="13" t="s">
        <v>5293</v>
      </c>
      <c r="T1124" s="13" t="s">
        <v>4</v>
      </c>
      <c r="U1124" s="13" t="s">
        <v>43</v>
      </c>
      <c r="V1124" s="13" t="n">
        <f aca="false">IF(COUNTIF($B$2:B1124,B1124)=1,1,0)</f>
        <v>0</v>
      </c>
      <c r="W1124" s="13" t="n">
        <f aca="false">IF(COUNTIFS($B$2:B1124,B1124,$T$2:T1124,T1124)=1,1,0)</f>
        <v>0</v>
      </c>
    </row>
    <row r="1125" customFormat="false" ht="15" hidden="false" customHeight="false" outlineLevel="0" collapsed="false">
      <c r="A1125" s="13" t="s">
        <v>225</v>
      </c>
      <c r="B1125" s="13" t="s">
        <v>50</v>
      </c>
      <c r="C1125" s="13" t="n">
        <v>3200</v>
      </c>
      <c r="D1125" s="13" t="n">
        <v>2</v>
      </c>
      <c r="E1125" s="13" t="n">
        <v>808.4725</v>
      </c>
      <c r="F1125" s="13" t="s">
        <v>5325</v>
      </c>
      <c r="G1125" s="13" t="s">
        <v>5292</v>
      </c>
      <c r="H1125" s="13" t="s">
        <v>5289</v>
      </c>
      <c r="I1125" s="13" t="s">
        <v>5289</v>
      </c>
      <c r="J1125" s="13" t="s">
        <v>5289</v>
      </c>
      <c r="K1125" s="13" t="s">
        <v>5289</v>
      </c>
      <c r="L1125" s="13" t="s">
        <v>5672</v>
      </c>
      <c r="M1125" s="13"/>
      <c r="N1125" s="13" t="n">
        <v>3349668600304</v>
      </c>
      <c r="O1125" s="13"/>
      <c r="P1125" s="13" t="s">
        <v>5291</v>
      </c>
      <c r="Q1125" s="13" t="s">
        <v>5289</v>
      </c>
      <c r="R1125" s="13" t="s">
        <v>5292</v>
      </c>
      <c r="S1125" s="13" t="s">
        <v>5293</v>
      </c>
      <c r="T1125" s="13" t="s">
        <v>4</v>
      </c>
      <c r="U1125" s="13" t="s">
        <v>43</v>
      </c>
      <c r="V1125" s="13" t="n">
        <f aca="false">IF(COUNTIF($B$2:B1125,B1125)=1,1,0)</f>
        <v>0</v>
      </c>
      <c r="W1125" s="13" t="n">
        <f aca="false">IF(COUNTIFS($B$2:B1125,B1125,$T$2:T1125,T1125)=1,1,0)</f>
        <v>0</v>
      </c>
    </row>
    <row r="1126" customFormat="false" ht="15" hidden="false" customHeight="false" outlineLevel="0" collapsed="false">
      <c r="A1126" s="13" t="s">
        <v>692</v>
      </c>
      <c r="B1126" s="13" t="s">
        <v>362</v>
      </c>
      <c r="C1126" s="13" t="n">
        <v>3200</v>
      </c>
      <c r="D1126" s="13" t="n">
        <v>5</v>
      </c>
      <c r="E1126" s="13" t="n">
        <v>645.3</v>
      </c>
      <c r="F1126" s="13" t="s">
        <v>5288</v>
      </c>
      <c r="G1126" s="13" t="s">
        <v>5292</v>
      </c>
      <c r="H1126" s="13" t="s">
        <v>5292</v>
      </c>
      <c r="I1126" s="13" t="s">
        <v>5289</v>
      </c>
      <c r="J1126" s="13" t="s">
        <v>5289</v>
      </c>
      <c r="K1126" s="13" t="s">
        <v>5289</v>
      </c>
      <c r="L1126" s="13" t="s">
        <v>5838</v>
      </c>
      <c r="M1126" s="13"/>
      <c r="N1126" s="13" t="n">
        <v>3386460155397</v>
      </c>
      <c r="O1126" s="13"/>
      <c r="P1126" s="13" t="s">
        <v>5291</v>
      </c>
      <c r="Q1126" s="13" t="s">
        <v>5289</v>
      </c>
      <c r="R1126" s="13" t="s">
        <v>5292</v>
      </c>
      <c r="S1126" s="13" t="s">
        <v>5293</v>
      </c>
      <c r="T1126" s="13" t="s">
        <v>4</v>
      </c>
      <c r="U1126" s="13" t="s">
        <v>43</v>
      </c>
      <c r="V1126" s="13" t="n">
        <f aca="false">IF(COUNTIF($B$2:B1126,B1126)=1,1,0)</f>
        <v>0</v>
      </c>
      <c r="W1126" s="13" t="n">
        <f aca="false">IF(COUNTIFS($B$2:B1126,B1126,$T$2:T1126,T1126)=1,1,0)</f>
        <v>0</v>
      </c>
    </row>
    <row r="1127" customFormat="false" ht="15" hidden="false" customHeight="false" outlineLevel="0" collapsed="false">
      <c r="A1127" s="13" t="s">
        <v>693</v>
      </c>
      <c r="B1127" s="13" t="s">
        <v>42</v>
      </c>
      <c r="C1127" s="13" t="n">
        <v>3200</v>
      </c>
      <c r="D1127" s="13" t="n">
        <v>10</v>
      </c>
      <c r="E1127" s="13" t="n">
        <v>245.52</v>
      </c>
      <c r="F1127" s="13" t="s">
        <v>5288</v>
      </c>
      <c r="G1127" s="13" t="s">
        <v>5292</v>
      </c>
      <c r="H1127" s="13" t="s">
        <v>5289</v>
      </c>
      <c r="I1127" s="13" t="s">
        <v>5289</v>
      </c>
      <c r="J1127" s="13" t="s">
        <v>5289</v>
      </c>
      <c r="K1127" s="13" t="s">
        <v>5289</v>
      </c>
      <c r="L1127" s="13" t="s">
        <v>5839</v>
      </c>
      <c r="M1127" s="13"/>
      <c r="N1127" s="13" t="n">
        <v>8411061945858</v>
      </c>
      <c r="O1127" s="13"/>
      <c r="P1127" s="13" t="s">
        <v>5291</v>
      </c>
      <c r="Q1127" s="13" t="s">
        <v>5289</v>
      </c>
      <c r="R1127" s="13" t="s">
        <v>5292</v>
      </c>
      <c r="S1127" s="13" t="s">
        <v>5293</v>
      </c>
      <c r="T1127" s="13" t="s">
        <v>4</v>
      </c>
      <c r="U1127" s="13" t="s">
        <v>43</v>
      </c>
      <c r="V1127" s="13" t="n">
        <f aca="false">IF(COUNTIF($B$2:B1127,B1127)=1,1,0)</f>
        <v>0</v>
      </c>
      <c r="W1127" s="13" t="n">
        <f aca="false">IF(COUNTIFS($B$2:B1127,B1127,$T$2:T1127,T1127)=1,1,0)</f>
        <v>0</v>
      </c>
    </row>
    <row r="1128" customFormat="false" ht="15" hidden="false" customHeight="false" outlineLevel="0" collapsed="false">
      <c r="A1128" s="13" t="s">
        <v>691</v>
      </c>
      <c r="B1128" s="13" t="s">
        <v>45</v>
      </c>
      <c r="C1128" s="13" t="n">
        <v>3200</v>
      </c>
      <c r="D1128" s="13" t="n">
        <v>2</v>
      </c>
      <c r="E1128" s="13" t="n">
        <v>789.65</v>
      </c>
      <c r="F1128" s="13" t="s">
        <v>5288</v>
      </c>
      <c r="G1128" s="13" t="s">
        <v>5289</v>
      </c>
      <c r="H1128" s="13" t="s">
        <v>5292</v>
      </c>
      <c r="I1128" s="13" t="s">
        <v>5289</v>
      </c>
      <c r="J1128" s="13" t="s">
        <v>5289</v>
      </c>
      <c r="K1128" s="13" t="s">
        <v>5289</v>
      </c>
      <c r="L1128" s="13" t="s">
        <v>5707</v>
      </c>
      <c r="M1128" s="13"/>
      <c r="N1128" s="13" t="n">
        <v>8435415059060</v>
      </c>
      <c r="O1128" s="13"/>
      <c r="P1128" s="13" t="s">
        <v>5297</v>
      </c>
      <c r="Q1128" s="13" t="s">
        <v>5289</v>
      </c>
      <c r="R1128" s="13" t="s">
        <v>5292</v>
      </c>
      <c r="S1128" s="13" t="s">
        <v>5293</v>
      </c>
      <c r="T1128" s="13" t="s">
        <v>4</v>
      </c>
      <c r="U1128" s="13" t="s">
        <v>43</v>
      </c>
      <c r="V1128" s="13" t="n">
        <f aca="false">IF(COUNTIF($B$2:B1128,B1128)=1,1,0)</f>
        <v>0</v>
      </c>
      <c r="W1128" s="13" t="n">
        <f aca="false">IF(COUNTIFS($B$2:B1128,B1128,$T$2:T1128,T1128)=1,1,0)</f>
        <v>0</v>
      </c>
    </row>
    <row r="1129" customFormat="false" ht="15" hidden="false" customHeight="false" outlineLevel="0" collapsed="false">
      <c r="A1129" s="13" t="s">
        <v>697</v>
      </c>
      <c r="B1129" s="13" t="s">
        <v>335</v>
      </c>
      <c r="C1129" s="13" t="n">
        <v>3100</v>
      </c>
      <c r="D1129" s="13" t="n">
        <v>20</v>
      </c>
      <c r="E1129" s="13" t="n">
        <v>157.3685</v>
      </c>
      <c r="F1129" s="13" t="s">
        <v>5288</v>
      </c>
      <c r="G1129" s="13" t="s">
        <v>5289</v>
      </c>
      <c r="H1129" s="13" t="s">
        <v>5292</v>
      </c>
      <c r="I1129" s="13" t="s">
        <v>5289</v>
      </c>
      <c r="J1129" s="13" t="s">
        <v>5289</v>
      </c>
      <c r="K1129" s="13" t="s">
        <v>5289</v>
      </c>
      <c r="L1129" s="13" t="s">
        <v>5840</v>
      </c>
      <c r="M1129" s="13"/>
      <c r="N1129" s="13" t="n">
        <v>85805268848</v>
      </c>
      <c r="O1129" s="13"/>
      <c r="P1129" s="13" t="s">
        <v>5291</v>
      </c>
      <c r="Q1129" s="13" t="s">
        <v>5289</v>
      </c>
      <c r="R1129" s="13" t="s">
        <v>5292</v>
      </c>
      <c r="S1129" s="13" t="s">
        <v>5293</v>
      </c>
      <c r="T1129" s="13" t="s">
        <v>4</v>
      </c>
      <c r="U1129" s="13" t="s">
        <v>43</v>
      </c>
      <c r="V1129" s="13" t="n">
        <f aca="false">IF(COUNTIF($B$2:B1129,B1129)=1,1,0)</f>
        <v>0</v>
      </c>
      <c r="W1129" s="13" t="n">
        <f aca="false">IF(COUNTIFS($B$2:B1129,B1129,$T$2:T1129,T1129)=1,1,0)</f>
        <v>0</v>
      </c>
    </row>
    <row r="1130" customFormat="false" ht="15" hidden="false" customHeight="false" outlineLevel="0" collapsed="false">
      <c r="A1130" s="13" t="s">
        <v>414</v>
      </c>
      <c r="B1130" s="13" t="s">
        <v>92</v>
      </c>
      <c r="C1130" s="13" t="n">
        <v>3100</v>
      </c>
      <c r="D1130" s="13" t="n">
        <v>5</v>
      </c>
      <c r="E1130" s="13" t="n">
        <v>628.26</v>
      </c>
      <c r="F1130" s="13" t="s">
        <v>5288</v>
      </c>
      <c r="G1130" s="13" t="s">
        <v>5289</v>
      </c>
      <c r="H1130" s="13" t="s">
        <v>5289</v>
      </c>
      <c r="I1130" s="13" t="s">
        <v>5289</v>
      </c>
      <c r="J1130" s="13" t="s">
        <v>5289</v>
      </c>
      <c r="K1130" s="13" t="s">
        <v>5289</v>
      </c>
      <c r="L1130" s="13" t="s">
        <v>5841</v>
      </c>
      <c r="M1130" s="13"/>
      <c r="N1130" s="13" t="n">
        <v>3607346232347</v>
      </c>
      <c r="O1130" s="13"/>
      <c r="P1130" s="13" t="s">
        <v>5291</v>
      </c>
      <c r="Q1130" s="13" t="s">
        <v>5289</v>
      </c>
      <c r="R1130" s="13" t="s">
        <v>5292</v>
      </c>
      <c r="S1130" s="13" t="s">
        <v>5293</v>
      </c>
      <c r="T1130" s="13" t="s">
        <v>4</v>
      </c>
      <c r="U1130" s="13" t="s">
        <v>43</v>
      </c>
      <c r="V1130" s="13" t="n">
        <f aca="false">IF(COUNTIF($B$2:B1130,B1130)=1,1,0)</f>
        <v>0</v>
      </c>
      <c r="W1130" s="13" t="n">
        <f aca="false">IF(COUNTIFS($B$2:B1130,B1130,$T$2:T1130,T1130)=1,1,0)</f>
        <v>0</v>
      </c>
    </row>
    <row r="1131" customFormat="false" ht="15" hidden="false" customHeight="false" outlineLevel="0" collapsed="false">
      <c r="A1131" s="13" t="s">
        <v>698</v>
      </c>
      <c r="B1131" s="13" t="s">
        <v>186</v>
      </c>
      <c r="C1131" s="13" t="n">
        <v>3100</v>
      </c>
      <c r="D1131" s="13" t="n">
        <v>2</v>
      </c>
      <c r="E1131" s="13" t="n">
        <v>781.08</v>
      </c>
      <c r="F1131" s="13" t="s">
        <v>5288</v>
      </c>
      <c r="G1131" s="13" t="s">
        <v>5292</v>
      </c>
      <c r="H1131" s="13" t="s">
        <v>5292</v>
      </c>
      <c r="I1131" s="13" t="s">
        <v>5289</v>
      </c>
      <c r="J1131" s="13" t="s">
        <v>5289</v>
      </c>
      <c r="K1131" s="13" t="s">
        <v>5289</v>
      </c>
      <c r="L1131" s="13" t="s">
        <v>5842</v>
      </c>
      <c r="M1131" s="13"/>
      <c r="N1131" s="13" t="n">
        <v>3616306701960</v>
      </c>
      <c r="O1131" s="13"/>
      <c r="P1131" s="13" t="s">
        <v>5291</v>
      </c>
      <c r="Q1131" s="13" t="s">
        <v>5289</v>
      </c>
      <c r="R1131" s="13" t="s">
        <v>5292</v>
      </c>
      <c r="S1131" s="13" t="s">
        <v>5293</v>
      </c>
      <c r="T1131" s="13" t="s">
        <v>4</v>
      </c>
      <c r="U1131" s="13" t="s">
        <v>43</v>
      </c>
      <c r="V1131" s="13" t="n">
        <f aca="false">IF(COUNTIF($B$2:B1131,B1131)=1,1,0)</f>
        <v>0</v>
      </c>
      <c r="W1131" s="13" t="n">
        <f aca="false">IF(COUNTIFS($B$2:B1131,B1131,$T$2:T1131,T1131)=1,1,0)</f>
        <v>0</v>
      </c>
    </row>
    <row r="1132" customFormat="false" ht="15" hidden="false" customHeight="false" outlineLevel="0" collapsed="false">
      <c r="A1132" s="13" t="s">
        <v>3319</v>
      </c>
      <c r="B1132" s="13" t="s">
        <v>2133</v>
      </c>
      <c r="C1132" s="13" t="n">
        <v>3100</v>
      </c>
      <c r="D1132" s="13" t="n">
        <v>2</v>
      </c>
      <c r="E1132" s="13" t="n">
        <v>776.05</v>
      </c>
      <c r="F1132" s="13" t="s">
        <v>5325</v>
      </c>
      <c r="G1132" s="13" t="s">
        <v>5292</v>
      </c>
      <c r="H1132" s="13" t="s">
        <v>5292</v>
      </c>
      <c r="I1132" s="13" t="s">
        <v>5289</v>
      </c>
      <c r="J1132" s="13" t="s">
        <v>5289</v>
      </c>
      <c r="K1132" s="13" t="s">
        <v>5289</v>
      </c>
      <c r="L1132" s="13" t="s">
        <v>5843</v>
      </c>
      <c r="M1132" s="13"/>
      <c r="N1132" s="13" t="n">
        <v>783320420566</v>
      </c>
      <c r="O1132" s="13"/>
      <c r="P1132" s="13" t="s">
        <v>5291</v>
      </c>
      <c r="Q1132" s="13" t="s">
        <v>5289</v>
      </c>
      <c r="R1132" s="13" t="s">
        <v>5292</v>
      </c>
      <c r="S1132" s="13" t="s">
        <v>5293</v>
      </c>
      <c r="T1132" s="13" t="s">
        <v>4</v>
      </c>
      <c r="U1132" s="13" t="s">
        <v>43</v>
      </c>
      <c r="V1132" s="13" t="n">
        <f aca="false">IF(COUNTIF($B$2:B1132,B1132)=1,1,0)</f>
        <v>0</v>
      </c>
      <c r="W1132" s="13" t="n">
        <f aca="false">IF(COUNTIFS($B$2:B1132,B1132,$T$2:T1132,T1132)=1,1,0)</f>
        <v>0</v>
      </c>
    </row>
    <row r="1133" customFormat="false" ht="15" hidden="false" customHeight="false" outlineLevel="0" collapsed="false">
      <c r="A1133" s="13" t="s">
        <v>701</v>
      </c>
      <c r="B1133" s="13" t="s">
        <v>50</v>
      </c>
      <c r="C1133" s="13" t="n">
        <v>3100</v>
      </c>
      <c r="D1133" s="13" t="n">
        <v>10</v>
      </c>
      <c r="E1133" s="13" t="n">
        <v>235.509230769231</v>
      </c>
      <c r="F1133" s="13" t="s">
        <v>5288</v>
      </c>
      <c r="G1133" s="13" t="s">
        <v>5292</v>
      </c>
      <c r="H1133" s="13" t="s">
        <v>5292</v>
      </c>
      <c r="I1133" s="13" t="s">
        <v>5289</v>
      </c>
      <c r="J1133" s="13" t="s">
        <v>5289</v>
      </c>
      <c r="K1133" s="13" t="s">
        <v>5289</v>
      </c>
      <c r="L1133" s="13" t="s">
        <v>5844</v>
      </c>
      <c r="M1133" s="13"/>
      <c r="N1133" s="13" t="n">
        <v>3349668530564</v>
      </c>
      <c r="O1133" s="13"/>
      <c r="P1133" s="13" t="s">
        <v>5291</v>
      </c>
      <c r="Q1133" s="13" t="s">
        <v>5289</v>
      </c>
      <c r="R1133" s="13" t="s">
        <v>5292</v>
      </c>
      <c r="S1133" s="13" t="s">
        <v>5293</v>
      </c>
      <c r="T1133" s="13" t="s">
        <v>4</v>
      </c>
      <c r="U1133" s="13" t="s">
        <v>43</v>
      </c>
      <c r="V1133" s="13" t="n">
        <f aca="false">IF(COUNTIF($B$2:B1133,B1133)=1,1,0)</f>
        <v>0</v>
      </c>
      <c r="W1133" s="13" t="n">
        <f aca="false">IF(COUNTIFS($B$2:B1133,B1133,$T$2:T1133,T1133)=1,1,0)</f>
        <v>0</v>
      </c>
    </row>
    <row r="1134" customFormat="false" ht="15" hidden="false" customHeight="false" outlineLevel="0" collapsed="false">
      <c r="A1134" s="13" t="s">
        <v>401</v>
      </c>
      <c r="B1134" s="13" t="s">
        <v>45</v>
      </c>
      <c r="C1134" s="13" t="n">
        <v>3100</v>
      </c>
      <c r="D1134" s="13" t="n">
        <v>2</v>
      </c>
      <c r="E1134" s="13" t="n">
        <v>764.15</v>
      </c>
      <c r="F1134" s="13" t="s">
        <v>5288</v>
      </c>
      <c r="G1134" s="13" t="s">
        <v>5289</v>
      </c>
      <c r="H1134" s="13" t="s">
        <v>5289</v>
      </c>
      <c r="I1134" s="13" t="s">
        <v>5289</v>
      </c>
      <c r="J1134" s="13" t="s">
        <v>5289</v>
      </c>
      <c r="K1134" s="13" t="s">
        <v>5289</v>
      </c>
      <c r="L1134" s="13" t="s">
        <v>5845</v>
      </c>
      <c r="M1134" s="13"/>
      <c r="N1134" s="13" t="n">
        <v>8435415011341</v>
      </c>
      <c r="O1134" s="13"/>
      <c r="P1134" s="13" t="s">
        <v>5291</v>
      </c>
      <c r="Q1134" s="13" t="s">
        <v>5289</v>
      </c>
      <c r="R1134" s="13" t="s">
        <v>5292</v>
      </c>
      <c r="S1134" s="13" t="s">
        <v>5293</v>
      </c>
      <c r="T1134" s="13" t="s">
        <v>4</v>
      </c>
      <c r="U1134" s="13" t="s">
        <v>43</v>
      </c>
      <c r="V1134" s="13" t="n">
        <f aca="false">IF(COUNTIF($B$2:B1134,B1134)=1,1,0)</f>
        <v>0</v>
      </c>
      <c r="W1134" s="13" t="n">
        <f aca="false">IF(COUNTIFS($B$2:B1134,B1134,$T$2:T1134,T1134)=1,1,0)</f>
        <v>0</v>
      </c>
    </row>
    <row r="1135" customFormat="false" ht="15" hidden="false" customHeight="false" outlineLevel="0" collapsed="false">
      <c r="A1135" s="13" t="s">
        <v>699</v>
      </c>
      <c r="B1135" s="13" t="s">
        <v>50</v>
      </c>
      <c r="C1135" s="13" t="n">
        <v>3100</v>
      </c>
      <c r="D1135" s="13" t="n">
        <v>2</v>
      </c>
      <c r="E1135" s="13" t="n">
        <v>764.15</v>
      </c>
      <c r="F1135" s="13" t="s">
        <v>5288</v>
      </c>
      <c r="G1135" s="13" t="s">
        <v>5289</v>
      </c>
      <c r="H1135" s="13" t="s">
        <v>5289</v>
      </c>
      <c r="I1135" s="13" t="s">
        <v>5289</v>
      </c>
      <c r="J1135" s="13" t="s">
        <v>5289</v>
      </c>
      <c r="K1135" s="13" t="s">
        <v>5289</v>
      </c>
      <c r="L1135" s="13" t="s">
        <v>5846</v>
      </c>
      <c r="M1135" s="13"/>
      <c r="N1135" s="13" t="n">
        <v>3349668592371</v>
      </c>
      <c r="O1135" s="13"/>
      <c r="P1135" s="13" t="s">
        <v>5291</v>
      </c>
      <c r="Q1135" s="13" t="s">
        <v>5289</v>
      </c>
      <c r="R1135" s="13" t="s">
        <v>5292</v>
      </c>
      <c r="S1135" s="13" t="s">
        <v>5293</v>
      </c>
      <c r="T1135" s="13" t="s">
        <v>4</v>
      </c>
      <c r="U1135" s="13" t="s">
        <v>43</v>
      </c>
      <c r="V1135" s="13" t="n">
        <f aca="false">IF(COUNTIF($B$2:B1135,B1135)=1,1,0)</f>
        <v>0</v>
      </c>
      <c r="W1135" s="13" t="n">
        <f aca="false">IF(COUNTIFS($B$2:B1135,B1135,$T$2:T1135,T1135)=1,1,0)</f>
        <v>0</v>
      </c>
    </row>
    <row r="1136" customFormat="false" ht="15" hidden="false" customHeight="false" outlineLevel="0" collapsed="false">
      <c r="A1136" s="13" t="s">
        <v>292</v>
      </c>
      <c r="B1136" s="13" t="s">
        <v>45</v>
      </c>
      <c r="C1136" s="13" t="n">
        <v>3000</v>
      </c>
      <c r="D1136" s="13" t="n">
        <v>2</v>
      </c>
      <c r="E1136" s="13" t="n">
        <v>1015.2</v>
      </c>
      <c r="F1136" s="13" t="s">
        <v>5325</v>
      </c>
      <c r="G1136" s="13" t="s">
        <v>5289</v>
      </c>
      <c r="H1136" s="13" t="s">
        <v>5289</v>
      </c>
      <c r="I1136" s="13" t="s">
        <v>5289</v>
      </c>
      <c r="J1136" s="13" t="s">
        <v>5289</v>
      </c>
      <c r="K1136" s="13" t="s">
        <v>5289</v>
      </c>
      <c r="L1136" s="13" t="s">
        <v>5684</v>
      </c>
      <c r="M1136" s="13"/>
      <c r="N1136" s="13" t="n">
        <v>8435415080392</v>
      </c>
      <c r="O1136" s="13"/>
      <c r="P1136" s="13" t="s">
        <v>5291</v>
      </c>
      <c r="Q1136" s="13" t="s">
        <v>5289</v>
      </c>
      <c r="R1136" s="13" t="s">
        <v>5292</v>
      </c>
      <c r="S1136" s="13" t="s">
        <v>5293</v>
      </c>
      <c r="T1136" s="13" t="s">
        <v>4</v>
      </c>
      <c r="U1136" s="13" t="s">
        <v>43</v>
      </c>
      <c r="V1136" s="13" t="n">
        <f aca="false">IF(COUNTIF($B$2:B1136,B1136)=1,1,0)</f>
        <v>0</v>
      </c>
      <c r="W1136" s="13" t="n">
        <f aca="false">IF(COUNTIFS($B$2:B1136,B1136,$T$2:T1136,T1136)=1,1,0)</f>
        <v>0</v>
      </c>
    </row>
    <row r="1137" customFormat="false" ht="15" hidden="false" customHeight="false" outlineLevel="0" collapsed="false">
      <c r="A1137" s="13" t="s">
        <v>705</v>
      </c>
      <c r="B1137" s="13" t="s">
        <v>362</v>
      </c>
      <c r="C1137" s="13" t="n">
        <v>3000</v>
      </c>
      <c r="D1137" s="13" t="n">
        <v>5</v>
      </c>
      <c r="E1137" s="13" t="n">
        <v>602.538</v>
      </c>
      <c r="F1137" s="13" t="s">
        <v>5325</v>
      </c>
      <c r="G1137" s="13" t="s">
        <v>5289</v>
      </c>
      <c r="H1137" s="13" t="s">
        <v>5292</v>
      </c>
      <c r="I1137" s="13" t="s">
        <v>5289</v>
      </c>
      <c r="J1137" s="13" t="s">
        <v>5289</v>
      </c>
      <c r="K1137" s="13" t="s">
        <v>5289</v>
      </c>
      <c r="L1137" s="13" t="s">
        <v>5847</v>
      </c>
      <c r="M1137" s="13"/>
      <c r="N1137" s="13" t="n">
        <v>3386460113588</v>
      </c>
      <c r="O1137" s="13"/>
      <c r="P1137" s="13" t="s">
        <v>5291</v>
      </c>
      <c r="Q1137" s="13" t="s">
        <v>5289</v>
      </c>
      <c r="R1137" s="13" t="s">
        <v>5292</v>
      </c>
      <c r="S1137" s="13" t="s">
        <v>5293</v>
      </c>
      <c r="T1137" s="13" t="s">
        <v>4</v>
      </c>
      <c r="U1137" s="13" t="s">
        <v>43</v>
      </c>
      <c r="V1137" s="13" t="n">
        <f aca="false">IF(COUNTIF($B$2:B1137,B1137)=1,1,0)</f>
        <v>0</v>
      </c>
      <c r="W1137" s="13" t="n">
        <f aca="false">IF(COUNTIFS($B$2:B1137,B1137,$T$2:T1137,T1137)=1,1,0)</f>
        <v>0</v>
      </c>
    </row>
    <row r="1138" customFormat="false" ht="15" hidden="false" customHeight="false" outlineLevel="0" collapsed="false">
      <c r="A1138" s="13" t="s">
        <v>3132</v>
      </c>
      <c r="B1138" s="13" t="s">
        <v>2111</v>
      </c>
      <c r="C1138" s="13" t="n">
        <v>3000</v>
      </c>
      <c r="D1138" s="13" t="n">
        <v>5</v>
      </c>
      <c r="E1138" s="13" t="n">
        <v>601.7</v>
      </c>
      <c r="F1138" s="13" t="s">
        <v>5288</v>
      </c>
      <c r="G1138" s="13" t="s">
        <v>5289</v>
      </c>
      <c r="H1138" s="13" t="s">
        <v>5292</v>
      </c>
      <c r="I1138" s="13" t="s">
        <v>5289</v>
      </c>
      <c r="J1138" s="13" t="s">
        <v>5289</v>
      </c>
      <c r="K1138" s="13" t="s">
        <v>5289</v>
      </c>
      <c r="L1138" s="13" t="s">
        <v>5848</v>
      </c>
      <c r="M1138" s="13"/>
      <c r="N1138" s="13" t="n">
        <v>3386460160827</v>
      </c>
      <c r="O1138" s="13"/>
      <c r="P1138" s="13" t="s">
        <v>5291</v>
      </c>
      <c r="Q1138" s="13" t="s">
        <v>5289</v>
      </c>
      <c r="R1138" s="13" t="s">
        <v>5292</v>
      </c>
      <c r="S1138" s="13" t="s">
        <v>5293</v>
      </c>
      <c r="T1138" s="13" t="s">
        <v>4</v>
      </c>
      <c r="U1138" s="13" t="s">
        <v>43</v>
      </c>
      <c r="V1138" s="13" t="n">
        <f aca="false">IF(COUNTIF($B$2:B1138,B1138)=1,1,0)</f>
        <v>0</v>
      </c>
      <c r="W1138" s="13" t="n">
        <f aca="false">IF(COUNTIFS($B$2:B1138,B1138,$T$2:T1138,T1138)=1,1,0)</f>
        <v>0</v>
      </c>
    </row>
    <row r="1139" customFormat="false" ht="15" hidden="false" customHeight="false" outlineLevel="0" collapsed="false">
      <c r="A1139" s="13" t="s">
        <v>715</v>
      </c>
      <c r="B1139" s="13" t="s">
        <v>286</v>
      </c>
      <c r="C1139" s="13" t="n">
        <v>3000</v>
      </c>
      <c r="D1139" s="13" t="n">
        <v>5</v>
      </c>
      <c r="E1139" s="13" t="n">
        <v>334.145555555556</v>
      </c>
      <c r="F1139" s="13" t="s">
        <v>5325</v>
      </c>
      <c r="G1139" s="13" t="s">
        <v>5289</v>
      </c>
      <c r="H1139" s="13" t="s">
        <v>5292</v>
      </c>
      <c r="I1139" s="13" t="s">
        <v>5289</v>
      </c>
      <c r="J1139" s="13" t="s">
        <v>5289</v>
      </c>
      <c r="K1139" s="13" t="s">
        <v>5289</v>
      </c>
      <c r="L1139" s="13" t="s">
        <v>5849</v>
      </c>
      <c r="M1139" s="13"/>
      <c r="N1139" s="13" t="n">
        <v>6085010044712</v>
      </c>
      <c r="O1139" s="13"/>
      <c r="P1139" s="13" t="s">
        <v>5291</v>
      </c>
      <c r="Q1139" s="13" t="s">
        <v>5289</v>
      </c>
      <c r="R1139" s="13" t="s">
        <v>5292</v>
      </c>
      <c r="S1139" s="13" t="s">
        <v>5293</v>
      </c>
      <c r="T1139" s="13" t="s">
        <v>4</v>
      </c>
      <c r="U1139" s="13" t="s">
        <v>43</v>
      </c>
      <c r="V1139" s="13" t="n">
        <f aca="false">IF(COUNTIF($B$2:B1139,B1139)=1,1,0)</f>
        <v>0</v>
      </c>
      <c r="W1139" s="13" t="n">
        <f aca="false">IF(COUNTIFS($B$2:B1139,B1139,$T$2:T1139,T1139)=1,1,0)</f>
        <v>0</v>
      </c>
    </row>
    <row r="1140" customFormat="false" ht="15" hidden="false" customHeight="false" outlineLevel="0" collapsed="false">
      <c r="A1140" s="13" t="s">
        <v>3341</v>
      </c>
      <c r="B1140" s="13" t="s">
        <v>2133</v>
      </c>
      <c r="C1140" s="13" t="n">
        <v>3000</v>
      </c>
      <c r="D1140" s="13" t="n">
        <v>2</v>
      </c>
      <c r="E1140" s="13" t="n">
        <v>751.3825</v>
      </c>
      <c r="F1140" s="13" t="s">
        <v>5288</v>
      </c>
      <c r="G1140" s="13" t="s">
        <v>5292</v>
      </c>
      <c r="H1140" s="13" t="s">
        <v>5292</v>
      </c>
      <c r="I1140" s="13" t="s">
        <v>5289</v>
      </c>
      <c r="J1140" s="13" t="s">
        <v>5289</v>
      </c>
      <c r="K1140" s="13" t="s">
        <v>5289</v>
      </c>
      <c r="L1140" s="13" t="s">
        <v>5850</v>
      </c>
      <c r="M1140" s="13"/>
      <c r="N1140" s="13" t="n">
        <v>783320419461</v>
      </c>
      <c r="O1140" s="13"/>
      <c r="P1140" s="13" t="s">
        <v>5291</v>
      </c>
      <c r="Q1140" s="13" t="s">
        <v>5289</v>
      </c>
      <c r="R1140" s="13" t="s">
        <v>5292</v>
      </c>
      <c r="S1140" s="13" t="s">
        <v>5293</v>
      </c>
      <c r="T1140" s="13" t="s">
        <v>4</v>
      </c>
      <c r="U1140" s="13" t="s">
        <v>43</v>
      </c>
      <c r="V1140" s="13" t="n">
        <f aca="false">IF(COUNTIF($B$2:B1140,B1140)=1,1,0)</f>
        <v>0</v>
      </c>
      <c r="W1140" s="13" t="n">
        <f aca="false">IF(COUNTIFS($B$2:B1140,B1140,$T$2:T1140,T1140)=1,1,0)</f>
        <v>0</v>
      </c>
    </row>
    <row r="1141" customFormat="false" ht="15" hidden="false" customHeight="false" outlineLevel="0" collapsed="false">
      <c r="A1141" s="13" t="s">
        <v>714</v>
      </c>
      <c r="B1141" s="13" t="s">
        <v>177</v>
      </c>
      <c r="C1141" s="13" t="n">
        <v>3000</v>
      </c>
      <c r="D1141" s="13" t="n">
        <v>2</v>
      </c>
      <c r="E1141" s="13" t="n">
        <v>750.8025</v>
      </c>
      <c r="F1141" s="13" t="s">
        <v>5288</v>
      </c>
      <c r="G1141" s="13" t="s">
        <v>5289</v>
      </c>
      <c r="H1141" s="13" t="s">
        <v>5292</v>
      </c>
      <c r="I1141" s="13" t="s">
        <v>5289</v>
      </c>
      <c r="J1141" s="13" t="s">
        <v>5289</v>
      </c>
      <c r="K1141" s="13" t="s">
        <v>5289</v>
      </c>
      <c r="L1141" s="13" t="s">
        <v>5851</v>
      </c>
      <c r="M1141" s="13"/>
      <c r="N1141" s="13" t="n">
        <v>3616301794639</v>
      </c>
      <c r="O1141" s="13"/>
      <c r="P1141" s="13" t="s">
        <v>5291</v>
      </c>
      <c r="Q1141" s="13" t="s">
        <v>5289</v>
      </c>
      <c r="R1141" s="13" t="s">
        <v>5292</v>
      </c>
      <c r="S1141" s="13" t="s">
        <v>5293</v>
      </c>
      <c r="T1141" s="13" t="s">
        <v>4</v>
      </c>
      <c r="U1141" s="13" t="s">
        <v>43</v>
      </c>
      <c r="V1141" s="13" t="n">
        <f aca="false">IF(COUNTIF($B$2:B1141,B1141)=1,1,0)</f>
        <v>0</v>
      </c>
      <c r="W1141" s="13" t="n">
        <f aca="false">IF(COUNTIFS($B$2:B1141,B1141,$T$2:T1141,T1141)=1,1,0)</f>
        <v>0</v>
      </c>
    </row>
    <row r="1142" customFormat="false" ht="15" hidden="false" customHeight="false" outlineLevel="0" collapsed="false">
      <c r="A1142" s="13" t="s">
        <v>609</v>
      </c>
      <c r="B1142" s="13" t="s">
        <v>50</v>
      </c>
      <c r="C1142" s="13" t="n">
        <v>3000</v>
      </c>
      <c r="D1142" s="13" t="n">
        <v>2</v>
      </c>
      <c r="E1142" s="13" t="n">
        <v>746.96</v>
      </c>
      <c r="F1142" s="13" t="s">
        <v>5288</v>
      </c>
      <c r="G1142" s="13" t="s">
        <v>5292</v>
      </c>
      <c r="H1142" s="13" t="s">
        <v>5289</v>
      </c>
      <c r="I1142" s="13" t="s">
        <v>5289</v>
      </c>
      <c r="J1142" s="13" t="s">
        <v>5289</v>
      </c>
      <c r="K1142" s="13" t="s">
        <v>5289</v>
      </c>
      <c r="L1142" s="13" t="s">
        <v>5800</v>
      </c>
      <c r="M1142" s="13"/>
      <c r="N1142" s="13" t="n">
        <v>3349668666850</v>
      </c>
      <c r="O1142" s="13"/>
      <c r="P1142" s="13" t="s">
        <v>5291</v>
      </c>
      <c r="Q1142" s="13" t="s">
        <v>5289</v>
      </c>
      <c r="R1142" s="13" t="s">
        <v>5292</v>
      </c>
      <c r="S1142" s="13" t="s">
        <v>5293</v>
      </c>
      <c r="T1142" s="13" t="s">
        <v>4</v>
      </c>
      <c r="U1142" s="13" t="s">
        <v>183</v>
      </c>
      <c r="V1142" s="13" t="n">
        <f aca="false">IF(COUNTIF($B$2:B1142,B1142)=1,1,0)</f>
        <v>0</v>
      </c>
      <c r="W1142" s="13" t="n">
        <f aca="false">IF(COUNTIFS($B$2:B1142,B1142,$T$2:T1142,T1142)=1,1,0)</f>
        <v>0</v>
      </c>
    </row>
    <row r="1143" customFormat="false" ht="15" hidden="false" customHeight="false" outlineLevel="0" collapsed="false">
      <c r="A1143" s="13" t="s">
        <v>711</v>
      </c>
      <c r="B1143" s="13" t="s">
        <v>111</v>
      </c>
      <c r="C1143" s="13" t="n">
        <v>3000</v>
      </c>
      <c r="D1143" s="13" t="n">
        <v>5</v>
      </c>
      <c r="E1143" s="13" t="n">
        <v>373.39</v>
      </c>
      <c r="F1143" s="13" t="s">
        <v>5288</v>
      </c>
      <c r="G1143" s="13" t="s">
        <v>5289</v>
      </c>
      <c r="H1143" s="13" t="s">
        <v>5292</v>
      </c>
      <c r="I1143" s="13" t="s">
        <v>5289</v>
      </c>
      <c r="J1143" s="13" t="s">
        <v>5289</v>
      </c>
      <c r="K1143" s="13" t="s">
        <v>5289</v>
      </c>
      <c r="L1143" s="13" t="s">
        <v>5852</v>
      </c>
      <c r="M1143" s="13"/>
      <c r="N1143" s="13" t="n">
        <v>3595471081032</v>
      </c>
      <c r="O1143" s="13"/>
      <c r="P1143" s="13" t="s">
        <v>5291</v>
      </c>
      <c r="Q1143" s="13" t="s">
        <v>5289</v>
      </c>
      <c r="R1143" s="13" t="s">
        <v>5292</v>
      </c>
      <c r="S1143" s="13" t="s">
        <v>5293</v>
      </c>
      <c r="T1143" s="13" t="s">
        <v>4</v>
      </c>
      <c r="U1143" s="13" t="s">
        <v>43</v>
      </c>
      <c r="V1143" s="13" t="n">
        <f aca="false">IF(COUNTIF($B$2:B1143,B1143)=1,1,0)</f>
        <v>0</v>
      </c>
      <c r="W1143" s="13" t="n">
        <f aca="false">IF(COUNTIFS($B$2:B1143,B1143,$T$2:T1143,T1143)=1,1,0)</f>
        <v>1</v>
      </c>
    </row>
    <row r="1144" customFormat="false" ht="15" hidden="false" customHeight="false" outlineLevel="0" collapsed="false">
      <c r="A1144" s="13" t="s">
        <v>710</v>
      </c>
      <c r="B1144" s="13" t="s">
        <v>362</v>
      </c>
      <c r="C1144" s="13" t="n">
        <v>3000</v>
      </c>
      <c r="D1144" s="13" t="n">
        <v>5</v>
      </c>
      <c r="E1144" s="13" t="n">
        <v>596.12</v>
      </c>
      <c r="F1144" s="13" t="s">
        <v>5288</v>
      </c>
      <c r="G1144" s="13" t="s">
        <v>5289</v>
      </c>
      <c r="H1144" s="13" t="s">
        <v>5292</v>
      </c>
      <c r="I1144" s="13" t="s">
        <v>5289</v>
      </c>
      <c r="J1144" s="13" t="s">
        <v>5289</v>
      </c>
      <c r="K1144" s="13" t="s">
        <v>5289</v>
      </c>
      <c r="L1144" s="13" t="s">
        <v>5853</v>
      </c>
      <c r="M1144" s="13"/>
      <c r="N1144" s="13" t="n">
        <v>3386460101035</v>
      </c>
      <c r="O1144" s="13"/>
      <c r="P1144" s="13" t="s">
        <v>5291</v>
      </c>
      <c r="Q1144" s="13" t="s">
        <v>5289</v>
      </c>
      <c r="R1144" s="13" t="s">
        <v>5292</v>
      </c>
      <c r="S1144" s="13" t="s">
        <v>5293</v>
      </c>
      <c r="T1144" s="13" t="s">
        <v>4</v>
      </c>
      <c r="U1144" s="13" t="s">
        <v>43</v>
      </c>
      <c r="V1144" s="13" t="n">
        <f aca="false">IF(COUNTIF($B$2:B1144,B1144)=1,1,0)</f>
        <v>0</v>
      </c>
      <c r="W1144" s="13" t="n">
        <f aca="false">IF(COUNTIFS($B$2:B1144,B1144,$T$2:T1144,T1144)=1,1,0)</f>
        <v>0</v>
      </c>
    </row>
    <row r="1145" customFormat="false" ht="15" hidden="false" customHeight="false" outlineLevel="0" collapsed="false">
      <c r="A1145" s="13" t="s">
        <v>719</v>
      </c>
      <c r="B1145" s="13" t="s">
        <v>92</v>
      </c>
      <c r="C1145" s="13" t="n">
        <v>3000</v>
      </c>
      <c r="D1145" s="13" t="n">
        <v>2</v>
      </c>
      <c r="E1145" s="13" t="n">
        <v>741.58</v>
      </c>
      <c r="F1145" s="13" t="s">
        <v>5325</v>
      </c>
      <c r="G1145" s="13" t="s">
        <v>5289</v>
      </c>
      <c r="H1145" s="13" t="s">
        <v>5292</v>
      </c>
      <c r="I1145" s="13" t="s">
        <v>5289</v>
      </c>
      <c r="J1145" s="13" t="s">
        <v>5289</v>
      </c>
      <c r="K1145" s="13" t="s">
        <v>5289</v>
      </c>
      <c r="L1145" s="13" t="s">
        <v>5854</v>
      </c>
      <c r="M1145" s="13"/>
      <c r="N1145" s="13" t="n">
        <v>3607346232385</v>
      </c>
      <c r="O1145" s="13"/>
      <c r="P1145" s="13" t="s">
        <v>5291</v>
      </c>
      <c r="Q1145" s="13" t="s">
        <v>5289</v>
      </c>
      <c r="R1145" s="13" t="s">
        <v>5292</v>
      </c>
      <c r="S1145" s="13" t="s">
        <v>5293</v>
      </c>
      <c r="T1145" s="13" t="s">
        <v>4</v>
      </c>
      <c r="U1145" s="13" t="s">
        <v>43</v>
      </c>
      <c r="V1145" s="13" t="n">
        <f aca="false">IF(COUNTIF($B$2:B1145,B1145)=1,1,0)</f>
        <v>0</v>
      </c>
      <c r="W1145" s="13" t="n">
        <f aca="false">IF(COUNTIFS($B$2:B1145,B1145,$T$2:T1145,T1145)=1,1,0)</f>
        <v>0</v>
      </c>
    </row>
    <row r="1146" customFormat="false" ht="15" hidden="false" customHeight="false" outlineLevel="0" collapsed="false">
      <c r="A1146" s="13" t="s">
        <v>44</v>
      </c>
      <c r="B1146" s="13" t="s">
        <v>42</v>
      </c>
      <c r="C1146" s="13" t="n">
        <v>3000</v>
      </c>
      <c r="D1146" s="13" t="n">
        <v>5</v>
      </c>
      <c r="E1146" s="13" t="n">
        <v>493.05</v>
      </c>
      <c r="F1146" s="13" t="s">
        <v>5325</v>
      </c>
      <c r="G1146" s="13" t="s">
        <v>5289</v>
      </c>
      <c r="H1146" s="13" t="s">
        <v>5289</v>
      </c>
      <c r="I1146" s="13" t="s">
        <v>5289</v>
      </c>
      <c r="J1146" s="13" t="s">
        <v>5289</v>
      </c>
      <c r="K1146" s="13" t="s">
        <v>5289</v>
      </c>
      <c r="L1146" s="13" t="s">
        <v>5701</v>
      </c>
      <c r="M1146" s="13"/>
      <c r="N1146" s="13" t="n">
        <v>8411061041673</v>
      </c>
      <c r="O1146" s="13"/>
      <c r="P1146" s="13" t="s">
        <v>5291</v>
      </c>
      <c r="Q1146" s="13" t="s">
        <v>5289</v>
      </c>
      <c r="R1146" s="13" t="s">
        <v>5292</v>
      </c>
      <c r="S1146" s="13" t="s">
        <v>5293</v>
      </c>
      <c r="T1146" s="13" t="s">
        <v>4</v>
      </c>
      <c r="U1146" s="13" t="s">
        <v>43</v>
      </c>
      <c r="V1146" s="13" t="n">
        <f aca="false">IF(COUNTIF($B$2:B1146,B1146)=1,1,0)</f>
        <v>0</v>
      </c>
      <c r="W1146" s="13" t="n">
        <f aca="false">IF(COUNTIFS($B$2:B1146,B1146,$T$2:T1146,T1146)=1,1,0)</f>
        <v>0</v>
      </c>
    </row>
    <row r="1147" customFormat="false" ht="15" hidden="false" customHeight="false" outlineLevel="0" collapsed="false">
      <c r="A1147" s="13" t="s">
        <v>713</v>
      </c>
      <c r="B1147" s="13" t="s">
        <v>50</v>
      </c>
      <c r="C1147" s="13" t="n">
        <v>3000</v>
      </c>
      <c r="D1147" s="13" t="n">
        <v>2</v>
      </c>
      <c r="E1147" s="13" t="n">
        <v>738.65</v>
      </c>
      <c r="F1147" s="13" t="s">
        <v>5288</v>
      </c>
      <c r="G1147" s="13" t="s">
        <v>5289</v>
      </c>
      <c r="H1147" s="13" t="s">
        <v>5292</v>
      </c>
      <c r="I1147" s="13" t="s">
        <v>5289</v>
      </c>
      <c r="J1147" s="13" t="s">
        <v>5289</v>
      </c>
      <c r="K1147" s="13" t="s">
        <v>5289</v>
      </c>
      <c r="L1147" s="13" t="s">
        <v>5790</v>
      </c>
      <c r="M1147" s="13"/>
      <c r="N1147" s="13" t="n">
        <v>3349668579839</v>
      </c>
      <c r="O1147" s="13"/>
      <c r="P1147" s="13" t="s">
        <v>5291</v>
      </c>
      <c r="Q1147" s="13" t="s">
        <v>5289</v>
      </c>
      <c r="R1147" s="13" t="s">
        <v>5292</v>
      </c>
      <c r="S1147" s="13" t="s">
        <v>5293</v>
      </c>
      <c r="T1147" s="13" t="s">
        <v>4</v>
      </c>
      <c r="U1147" s="13" t="s">
        <v>43</v>
      </c>
      <c r="V1147" s="13" t="n">
        <f aca="false">IF(COUNTIF($B$2:B1147,B1147)=1,1,0)</f>
        <v>0</v>
      </c>
      <c r="W1147" s="13" t="n">
        <f aca="false">IF(COUNTIFS($B$2:B1147,B1147,$T$2:T1147,T1147)=1,1,0)</f>
        <v>0</v>
      </c>
    </row>
    <row r="1148" customFormat="false" ht="15" hidden="false" customHeight="false" outlineLevel="0" collapsed="false">
      <c r="A1148" s="13" t="s">
        <v>735</v>
      </c>
      <c r="B1148" s="13" t="s">
        <v>50</v>
      </c>
      <c r="C1148" s="13" t="n">
        <v>2900</v>
      </c>
      <c r="D1148" s="13" t="n">
        <v>2</v>
      </c>
      <c r="E1148" s="13" t="n">
        <v>728.0175</v>
      </c>
      <c r="F1148" s="13" t="s">
        <v>5325</v>
      </c>
      <c r="G1148" s="13" t="s">
        <v>5289</v>
      </c>
      <c r="H1148" s="13" t="s">
        <v>5292</v>
      </c>
      <c r="I1148" s="13" t="s">
        <v>5289</v>
      </c>
      <c r="J1148" s="13" t="s">
        <v>5289</v>
      </c>
      <c r="K1148" s="13" t="s">
        <v>5289</v>
      </c>
      <c r="L1148" s="13" t="s">
        <v>5655</v>
      </c>
      <c r="M1148" s="13"/>
      <c r="N1148" s="13" t="n">
        <v>3349668566372</v>
      </c>
      <c r="O1148" s="13"/>
      <c r="P1148" s="13" t="s">
        <v>5291</v>
      </c>
      <c r="Q1148" s="13" t="s">
        <v>5289</v>
      </c>
      <c r="R1148" s="13" t="s">
        <v>5292</v>
      </c>
      <c r="S1148" s="13" t="s">
        <v>5293</v>
      </c>
      <c r="T1148" s="13" t="s">
        <v>4</v>
      </c>
      <c r="U1148" s="13" t="s">
        <v>43</v>
      </c>
      <c r="V1148" s="13" t="n">
        <f aca="false">IF(COUNTIF($B$2:B1148,B1148)=1,1,0)</f>
        <v>0</v>
      </c>
      <c r="W1148" s="13" t="n">
        <f aca="false">IF(COUNTIFS($B$2:B1148,B1148,$T$2:T1148,T1148)=1,1,0)</f>
        <v>0</v>
      </c>
    </row>
    <row r="1149" customFormat="false" ht="15" hidden="false" customHeight="false" outlineLevel="0" collapsed="false">
      <c r="A1149" s="13" t="s">
        <v>52</v>
      </c>
      <c r="B1149" s="13" t="s">
        <v>50</v>
      </c>
      <c r="C1149" s="13" t="n">
        <v>2900</v>
      </c>
      <c r="D1149" s="13" t="n">
        <v>2</v>
      </c>
      <c r="E1149" s="13" t="n">
        <v>728.0175</v>
      </c>
      <c r="F1149" s="13" t="s">
        <v>5325</v>
      </c>
      <c r="G1149" s="13" t="s">
        <v>5289</v>
      </c>
      <c r="H1149" s="13" t="s">
        <v>5289</v>
      </c>
      <c r="I1149" s="13" t="s">
        <v>5289</v>
      </c>
      <c r="J1149" s="13" t="s">
        <v>5289</v>
      </c>
      <c r="K1149" s="13" t="s">
        <v>5289</v>
      </c>
      <c r="L1149" s="13" t="s">
        <v>5655</v>
      </c>
      <c r="M1149" s="13"/>
      <c r="N1149" s="13" t="n">
        <v>3349668566372</v>
      </c>
      <c r="O1149" s="13"/>
      <c r="P1149" s="13" t="s">
        <v>5291</v>
      </c>
      <c r="Q1149" s="13" t="s">
        <v>5289</v>
      </c>
      <c r="R1149" s="13" t="s">
        <v>5292</v>
      </c>
      <c r="S1149" s="13" t="s">
        <v>5293</v>
      </c>
      <c r="T1149" s="13" t="s">
        <v>4</v>
      </c>
      <c r="U1149" s="13" t="s">
        <v>43</v>
      </c>
      <c r="V1149" s="13" t="n">
        <f aca="false">IF(COUNTIF($B$2:B1149,B1149)=1,1,0)</f>
        <v>0</v>
      </c>
      <c r="W1149" s="13" t="n">
        <f aca="false">IF(COUNTIFS($B$2:B1149,B1149,$T$2:T1149,T1149)=1,1,0)</f>
        <v>0</v>
      </c>
    </row>
    <row r="1150" customFormat="false" ht="15" hidden="false" customHeight="false" outlineLevel="0" collapsed="false">
      <c r="A1150" s="13" t="s">
        <v>736</v>
      </c>
      <c r="B1150" s="13" t="s">
        <v>153</v>
      </c>
      <c r="C1150" s="13" t="n">
        <v>2900</v>
      </c>
      <c r="D1150" s="13" t="n">
        <v>2</v>
      </c>
      <c r="E1150" s="13" t="n">
        <v>726.75</v>
      </c>
      <c r="F1150" s="13" t="s">
        <v>5288</v>
      </c>
      <c r="G1150" s="13" t="s">
        <v>5292</v>
      </c>
      <c r="H1150" s="13" t="s">
        <v>5292</v>
      </c>
      <c r="I1150" s="13" t="s">
        <v>5289</v>
      </c>
      <c r="J1150" s="13" t="s">
        <v>5289</v>
      </c>
      <c r="K1150" s="13" t="s">
        <v>5289</v>
      </c>
      <c r="L1150" s="13" t="s">
        <v>5855</v>
      </c>
      <c r="M1150" s="13"/>
      <c r="N1150" s="13" t="n">
        <v>8011003801619</v>
      </c>
      <c r="O1150" s="13"/>
      <c r="P1150" s="13" t="s">
        <v>5291</v>
      </c>
      <c r="Q1150" s="13" t="s">
        <v>5289</v>
      </c>
      <c r="R1150" s="13" t="s">
        <v>5292</v>
      </c>
      <c r="S1150" s="13" t="s">
        <v>5293</v>
      </c>
      <c r="T1150" s="13" t="s">
        <v>4</v>
      </c>
      <c r="U1150" s="13" t="s">
        <v>43</v>
      </c>
      <c r="V1150" s="13" t="n">
        <f aca="false">IF(COUNTIF($B$2:B1150,B1150)=1,1,0)</f>
        <v>0</v>
      </c>
      <c r="W1150" s="13" t="n">
        <f aca="false">IF(COUNTIFS($B$2:B1150,B1150,$T$2:T1150,T1150)=1,1,0)</f>
        <v>0</v>
      </c>
    </row>
    <row r="1151" customFormat="false" ht="15" hidden="false" customHeight="false" outlineLevel="0" collapsed="false">
      <c r="A1151" s="13" t="s">
        <v>734</v>
      </c>
      <c r="B1151" s="13" t="s">
        <v>255</v>
      </c>
      <c r="C1151" s="13" t="n">
        <v>2900</v>
      </c>
      <c r="D1151" s="13" t="n">
        <v>10</v>
      </c>
      <c r="E1151" s="13" t="n">
        <v>240.273333333333</v>
      </c>
      <c r="F1151" s="13" t="s">
        <v>5325</v>
      </c>
      <c r="G1151" s="13" t="s">
        <v>5292</v>
      </c>
      <c r="H1151" s="13" t="s">
        <v>5292</v>
      </c>
      <c r="I1151" s="13" t="s">
        <v>5289</v>
      </c>
      <c r="J1151" s="13" t="s">
        <v>5289</v>
      </c>
      <c r="K1151" s="13" t="s">
        <v>5289</v>
      </c>
      <c r="L1151" s="13" t="s">
        <v>5856</v>
      </c>
      <c r="M1151" s="13"/>
      <c r="N1151" s="13" t="n">
        <v>5055810035273</v>
      </c>
      <c r="O1151" s="13"/>
      <c r="P1151" s="13" t="s">
        <v>5291</v>
      </c>
      <c r="Q1151" s="13" t="s">
        <v>5289</v>
      </c>
      <c r="R1151" s="13" t="s">
        <v>5292</v>
      </c>
      <c r="S1151" s="13" t="s">
        <v>5293</v>
      </c>
      <c r="T1151" s="13" t="s">
        <v>4</v>
      </c>
      <c r="U1151" s="13" t="s">
        <v>43</v>
      </c>
      <c r="V1151" s="13" t="n">
        <f aca="false">IF(COUNTIF($B$2:B1151,B1151)=1,1,0)</f>
        <v>0</v>
      </c>
      <c r="W1151" s="13" t="n">
        <f aca="false">IF(COUNTIFS($B$2:B1151,B1151,$T$2:T1151,T1151)=1,1,0)</f>
        <v>1</v>
      </c>
    </row>
    <row r="1152" customFormat="false" ht="15" hidden="false" customHeight="false" outlineLevel="0" collapsed="false">
      <c r="A1152" s="13" t="s">
        <v>725</v>
      </c>
      <c r="B1152" s="13" t="s">
        <v>50</v>
      </c>
      <c r="C1152" s="13" t="n">
        <v>2900</v>
      </c>
      <c r="D1152" s="13" t="n">
        <v>2</v>
      </c>
      <c r="E1152" s="13" t="n">
        <v>719.19</v>
      </c>
      <c r="F1152" s="13" t="s">
        <v>5288</v>
      </c>
      <c r="G1152" s="13" t="s">
        <v>5289</v>
      </c>
      <c r="H1152" s="13" t="s">
        <v>5289</v>
      </c>
      <c r="I1152" s="13" t="s">
        <v>5289</v>
      </c>
      <c r="J1152" s="13" t="s">
        <v>5289</v>
      </c>
      <c r="K1152" s="13" t="s">
        <v>5289</v>
      </c>
      <c r="L1152" s="13" t="s">
        <v>5857</v>
      </c>
      <c r="M1152" s="13"/>
      <c r="N1152" s="13" t="n">
        <v>3349668627530</v>
      </c>
      <c r="O1152" s="13"/>
      <c r="P1152" s="13" t="s">
        <v>5291</v>
      </c>
      <c r="Q1152" s="13" t="s">
        <v>5289</v>
      </c>
      <c r="R1152" s="13" t="s">
        <v>5292</v>
      </c>
      <c r="S1152" s="13" t="s">
        <v>5293</v>
      </c>
      <c r="T1152" s="13" t="s">
        <v>4</v>
      </c>
      <c r="U1152" s="13" t="s">
        <v>43</v>
      </c>
      <c r="V1152" s="13" t="n">
        <f aca="false">IF(COUNTIF($B$2:B1152,B1152)=1,1,0)</f>
        <v>0</v>
      </c>
      <c r="W1152" s="13" t="n">
        <f aca="false">IF(COUNTIFS($B$2:B1152,B1152,$T$2:T1152,T1152)=1,1,0)</f>
        <v>0</v>
      </c>
    </row>
    <row r="1153" customFormat="false" ht="15" hidden="false" customHeight="false" outlineLevel="0" collapsed="false">
      <c r="A1153" s="13" t="s">
        <v>726</v>
      </c>
      <c r="B1153" s="13" t="s">
        <v>286</v>
      </c>
      <c r="C1153" s="13" t="n">
        <v>2900</v>
      </c>
      <c r="D1153" s="13" t="n">
        <v>5</v>
      </c>
      <c r="E1153" s="13" t="n">
        <v>287.516</v>
      </c>
      <c r="F1153" s="13" t="s">
        <v>5288</v>
      </c>
      <c r="G1153" s="13" t="s">
        <v>5289</v>
      </c>
      <c r="H1153" s="13" t="s">
        <v>5292</v>
      </c>
      <c r="I1153" s="13" t="s">
        <v>5289</v>
      </c>
      <c r="J1153" s="13" t="s">
        <v>5289</v>
      </c>
      <c r="K1153" s="13" t="s">
        <v>5289</v>
      </c>
      <c r="L1153" s="13" t="s">
        <v>5858</v>
      </c>
      <c r="M1153" s="13"/>
      <c r="N1153" s="13" t="n">
        <v>6294015151596</v>
      </c>
      <c r="O1153" s="13"/>
      <c r="P1153" s="13" t="s">
        <v>5297</v>
      </c>
      <c r="Q1153" s="13" t="s">
        <v>5289</v>
      </c>
      <c r="R1153" s="13" t="s">
        <v>5292</v>
      </c>
      <c r="S1153" s="13" t="s">
        <v>5293</v>
      </c>
      <c r="T1153" s="13" t="s">
        <v>4</v>
      </c>
      <c r="U1153" s="13" t="s">
        <v>43</v>
      </c>
      <c r="V1153" s="13" t="n">
        <f aca="false">IF(COUNTIF($B$2:B1153,B1153)=1,1,0)</f>
        <v>0</v>
      </c>
      <c r="W1153" s="13" t="n">
        <f aca="false">IF(COUNTIFS($B$2:B1153,B1153,$T$2:T1153,T1153)=1,1,0)</f>
        <v>0</v>
      </c>
    </row>
    <row r="1154" customFormat="false" ht="15" hidden="false" customHeight="false" outlineLevel="0" collapsed="false">
      <c r="A1154" s="13" t="s">
        <v>3372</v>
      </c>
      <c r="B1154" s="13" t="s">
        <v>2110</v>
      </c>
      <c r="C1154" s="13" t="n">
        <v>2900</v>
      </c>
      <c r="D1154" s="13" t="n">
        <v>5</v>
      </c>
      <c r="E1154" s="13" t="n">
        <v>410.727142857143</v>
      </c>
      <c r="F1154" s="13" t="s">
        <v>5288</v>
      </c>
      <c r="G1154" s="13" t="s">
        <v>5289</v>
      </c>
      <c r="H1154" s="13" t="s">
        <v>5292</v>
      </c>
      <c r="I1154" s="13" t="s">
        <v>5289</v>
      </c>
      <c r="J1154" s="13" t="s">
        <v>5289</v>
      </c>
      <c r="K1154" s="13" t="s">
        <v>5289</v>
      </c>
      <c r="L1154" s="13" t="s">
        <v>5859</v>
      </c>
      <c r="M1154" s="13"/>
      <c r="N1154" s="13" t="n">
        <v>3386460149174</v>
      </c>
      <c r="O1154" s="13"/>
      <c r="P1154" s="13" t="s">
        <v>5291</v>
      </c>
      <c r="Q1154" s="13" t="s">
        <v>5289</v>
      </c>
      <c r="R1154" s="13" t="s">
        <v>5292</v>
      </c>
      <c r="S1154" s="13" t="s">
        <v>5293</v>
      </c>
      <c r="T1154" s="13" t="s">
        <v>4</v>
      </c>
      <c r="U1154" s="13" t="s">
        <v>43</v>
      </c>
      <c r="V1154" s="13" t="n">
        <f aca="false">IF(COUNTIF($B$2:B1154,B1154)=1,1,0)</f>
        <v>0</v>
      </c>
      <c r="W1154" s="13" t="n">
        <f aca="false">IF(COUNTIFS($B$2:B1154,B1154,$T$2:T1154,T1154)=1,1,0)</f>
        <v>0</v>
      </c>
    </row>
    <row r="1155" customFormat="false" ht="15" hidden="false" customHeight="false" outlineLevel="0" collapsed="false">
      <c r="A1155" s="13" t="s">
        <v>77</v>
      </c>
      <c r="B1155" s="13" t="s">
        <v>50</v>
      </c>
      <c r="C1155" s="13" t="n">
        <v>2900</v>
      </c>
      <c r="D1155" s="13" t="n">
        <v>2</v>
      </c>
      <c r="E1155" s="13" t="n">
        <v>716.49</v>
      </c>
      <c r="F1155" s="13" t="s">
        <v>5288</v>
      </c>
      <c r="G1155" s="13" t="s">
        <v>5289</v>
      </c>
      <c r="H1155" s="13" t="s">
        <v>5289</v>
      </c>
      <c r="I1155" s="13" t="s">
        <v>5289</v>
      </c>
      <c r="J1155" s="13" t="s">
        <v>5289</v>
      </c>
      <c r="K1155" s="13" t="s">
        <v>5289</v>
      </c>
      <c r="L1155" s="13" t="s">
        <v>5860</v>
      </c>
      <c r="M1155" s="13"/>
      <c r="N1155" s="13" t="n">
        <v>3349668508587</v>
      </c>
      <c r="O1155" s="13"/>
      <c r="P1155" s="13" t="s">
        <v>5291</v>
      </c>
      <c r="Q1155" s="13" t="s">
        <v>5289</v>
      </c>
      <c r="R1155" s="13" t="s">
        <v>5292</v>
      </c>
      <c r="S1155" s="13" t="s">
        <v>5293</v>
      </c>
      <c r="T1155" s="13" t="s">
        <v>4</v>
      </c>
      <c r="U1155" s="13" t="s">
        <v>43</v>
      </c>
      <c r="V1155" s="13" t="n">
        <f aca="false">IF(COUNTIF($B$2:B1155,B1155)=1,1,0)</f>
        <v>0</v>
      </c>
      <c r="W1155" s="13" t="n">
        <f aca="false">IF(COUNTIFS($B$2:B1155,B1155,$T$2:T1155,T1155)=1,1,0)</f>
        <v>0</v>
      </c>
    </row>
    <row r="1156" customFormat="false" ht="15" hidden="false" customHeight="false" outlineLevel="0" collapsed="false">
      <c r="A1156" s="13" t="s">
        <v>752</v>
      </c>
      <c r="B1156" s="13" t="s">
        <v>45</v>
      </c>
      <c r="C1156" s="13" t="n">
        <v>2800</v>
      </c>
      <c r="D1156" s="13" t="n">
        <v>5</v>
      </c>
      <c r="E1156" s="13" t="n">
        <v>568.62</v>
      </c>
      <c r="F1156" s="13" t="s">
        <v>5288</v>
      </c>
      <c r="G1156" s="13" t="s">
        <v>5289</v>
      </c>
      <c r="H1156" s="13" t="s">
        <v>5292</v>
      </c>
      <c r="I1156" s="13" t="s">
        <v>5289</v>
      </c>
      <c r="J1156" s="13" t="s">
        <v>5289</v>
      </c>
      <c r="K1156" s="13" t="s">
        <v>5289</v>
      </c>
      <c r="L1156" s="13" t="s">
        <v>5861</v>
      </c>
      <c r="M1156" s="13"/>
      <c r="N1156" s="13" t="n">
        <v>8435415116558</v>
      </c>
      <c r="O1156" s="13"/>
      <c r="P1156" s="13" t="s">
        <v>5291</v>
      </c>
      <c r="Q1156" s="13" t="s">
        <v>5289</v>
      </c>
      <c r="R1156" s="13" t="s">
        <v>5292</v>
      </c>
      <c r="S1156" s="13" t="s">
        <v>5293</v>
      </c>
      <c r="T1156" s="13" t="s">
        <v>4</v>
      </c>
      <c r="U1156" s="13" t="s">
        <v>43</v>
      </c>
      <c r="V1156" s="13" t="n">
        <f aca="false">IF(COUNTIF($B$2:B1156,B1156)=1,1,0)</f>
        <v>0</v>
      </c>
      <c r="W1156" s="13" t="n">
        <f aca="false">IF(COUNTIFS($B$2:B1156,B1156,$T$2:T1156,T1156)=1,1,0)</f>
        <v>0</v>
      </c>
    </row>
    <row r="1157" customFormat="false" ht="15" hidden="false" customHeight="false" outlineLevel="0" collapsed="false">
      <c r="A1157" s="13" t="s">
        <v>292</v>
      </c>
      <c r="B1157" s="13" t="s">
        <v>45</v>
      </c>
      <c r="C1157" s="13" t="n">
        <v>2800</v>
      </c>
      <c r="D1157" s="13" t="n">
        <v>2</v>
      </c>
      <c r="E1157" s="13" t="n">
        <v>705.88</v>
      </c>
      <c r="F1157" s="13" t="s">
        <v>5288</v>
      </c>
      <c r="G1157" s="13" t="s">
        <v>5292</v>
      </c>
      <c r="H1157" s="13" t="s">
        <v>5289</v>
      </c>
      <c r="I1157" s="13" t="s">
        <v>5289</v>
      </c>
      <c r="J1157" s="13" t="s">
        <v>5289</v>
      </c>
      <c r="K1157" s="13" t="s">
        <v>5289</v>
      </c>
      <c r="L1157" s="13" t="s">
        <v>5781</v>
      </c>
      <c r="M1157" s="13"/>
      <c r="N1157" s="13" t="n">
        <v>8435415080422</v>
      </c>
      <c r="O1157" s="13"/>
      <c r="P1157" s="13" t="s">
        <v>5291</v>
      </c>
      <c r="Q1157" s="13" t="s">
        <v>5289</v>
      </c>
      <c r="R1157" s="13" t="s">
        <v>5292</v>
      </c>
      <c r="S1157" s="13" t="s">
        <v>5293</v>
      </c>
      <c r="T1157" s="13" t="s">
        <v>4</v>
      </c>
      <c r="U1157" s="13" t="s">
        <v>43</v>
      </c>
      <c r="V1157" s="13" t="n">
        <f aca="false">IF(COUNTIF($B$2:B1157,B1157)=1,1,0)</f>
        <v>0</v>
      </c>
      <c r="W1157" s="13" t="n">
        <f aca="false">IF(COUNTIFS($B$2:B1157,B1157,$T$2:T1157,T1157)=1,1,0)</f>
        <v>0</v>
      </c>
    </row>
    <row r="1158" customFormat="false" ht="15" hidden="false" customHeight="false" outlineLevel="0" collapsed="false">
      <c r="A1158" s="13" t="s">
        <v>113</v>
      </c>
      <c r="B1158" s="13" t="s">
        <v>45</v>
      </c>
      <c r="C1158" s="13" t="n">
        <v>2800</v>
      </c>
      <c r="D1158" s="13" t="n">
        <v>2</v>
      </c>
      <c r="E1158" s="13" t="n">
        <v>704.65</v>
      </c>
      <c r="F1158" s="13" t="s">
        <v>5288</v>
      </c>
      <c r="G1158" s="13" t="s">
        <v>5289</v>
      </c>
      <c r="H1158" s="13" t="s">
        <v>5289</v>
      </c>
      <c r="I1158" s="13" t="s">
        <v>5289</v>
      </c>
      <c r="J1158" s="13" t="s">
        <v>5289</v>
      </c>
      <c r="K1158" s="13" t="s">
        <v>5289</v>
      </c>
      <c r="L1158" s="13" t="s">
        <v>5862</v>
      </c>
      <c r="M1158" s="13"/>
      <c r="N1158" s="13" t="n">
        <v>8435415050753</v>
      </c>
      <c r="O1158" s="13"/>
      <c r="P1158" s="13" t="s">
        <v>5291</v>
      </c>
      <c r="Q1158" s="13" t="s">
        <v>5289</v>
      </c>
      <c r="R1158" s="13" t="s">
        <v>5292</v>
      </c>
      <c r="S1158" s="13" t="s">
        <v>5293</v>
      </c>
      <c r="T1158" s="13" t="s">
        <v>4</v>
      </c>
      <c r="U1158" s="13" t="s">
        <v>43</v>
      </c>
      <c r="V1158" s="13" t="n">
        <f aca="false">IF(COUNTIF($B$2:B1158,B1158)=1,1,0)</f>
        <v>0</v>
      </c>
      <c r="W1158" s="13" t="n">
        <f aca="false">IF(COUNTIFS($B$2:B1158,B1158,$T$2:T1158,T1158)=1,1,0)</f>
        <v>0</v>
      </c>
    </row>
    <row r="1159" customFormat="false" ht="15" hidden="false" customHeight="false" outlineLevel="0" collapsed="false">
      <c r="A1159" s="13" t="s">
        <v>751</v>
      </c>
      <c r="B1159" s="13" t="s">
        <v>79</v>
      </c>
      <c r="C1159" s="13" t="n">
        <v>2800</v>
      </c>
      <c r="D1159" s="13" t="n">
        <v>2</v>
      </c>
      <c r="E1159" s="13" t="n">
        <v>703.45</v>
      </c>
      <c r="F1159" s="13" t="s">
        <v>5288</v>
      </c>
      <c r="G1159" s="13" t="s">
        <v>5289</v>
      </c>
      <c r="H1159" s="13" t="s">
        <v>5292</v>
      </c>
      <c r="I1159" s="13" t="s">
        <v>5289</v>
      </c>
      <c r="J1159" s="13" t="s">
        <v>5289</v>
      </c>
      <c r="K1159" s="13" t="s">
        <v>5289</v>
      </c>
      <c r="L1159" s="13" t="s">
        <v>5743</v>
      </c>
      <c r="M1159" s="13"/>
      <c r="N1159" s="13" t="n">
        <v>8056669925781</v>
      </c>
      <c r="O1159" s="13"/>
      <c r="P1159" s="13" t="s">
        <v>5291</v>
      </c>
      <c r="Q1159" s="13" t="s">
        <v>5289</v>
      </c>
      <c r="R1159" s="13" t="s">
        <v>5292</v>
      </c>
      <c r="S1159" s="13" t="s">
        <v>5293</v>
      </c>
      <c r="T1159" s="13" t="s">
        <v>4</v>
      </c>
      <c r="U1159" s="13" t="s">
        <v>43</v>
      </c>
      <c r="V1159" s="13" t="n">
        <f aca="false">IF(COUNTIF($B$2:B1159,B1159)=1,1,0)</f>
        <v>0</v>
      </c>
      <c r="W1159" s="13" t="n">
        <f aca="false">IF(COUNTIFS($B$2:B1159,B1159,$T$2:T1159,T1159)=1,1,0)</f>
        <v>0</v>
      </c>
    </row>
    <row r="1160" customFormat="false" ht="15" hidden="false" customHeight="false" outlineLevel="0" collapsed="false">
      <c r="A1160" s="13" t="s">
        <v>738</v>
      </c>
      <c r="B1160" s="13" t="s">
        <v>286</v>
      </c>
      <c r="C1160" s="13" t="n">
        <v>2800</v>
      </c>
      <c r="D1160" s="13" t="n">
        <v>5</v>
      </c>
      <c r="E1160" s="13" t="n">
        <v>312.54</v>
      </c>
      <c r="F1160" s="13" t="s">
        <v>5288</v>
      </c>
      <c r="G1160" s="13" t="s">
        <v>5292</v>
      </c>
      <c r="H1160" s="13" t="s">
        <v>5292</v>
      </c>
      <c r="I1160" s="13" t="s">
        <v>5289</v>
      </c>
      <c r="J1160" s="13" t="s">
        <v>5289</v>
      </c>
      <c r="K1160" s="13" t="s">
        <v>5289</v>
      </c>
      <c r="L1160" s="13" t="s">
        <v>5863</v>
      </c>
      <c r="M1160" s="13"/>
      <c r="N1160" s="13" t="n">
        <v>6085010094151</v>
      </c>
      <c r="O1160" s="13"/>
      <c r="P1160" s="13" t="s">
        <v>5297</v>
      </c>
      <c r="Q1160" s="13" t="s">
        <v>5289</v>
      </c>
      <c r="R1160" s="13" t="s">
        <v>5292</v>
      </c>
      <c r="S1160" s="13" t="s">
        <v>5293</v>
      </c>
      <c r="T1160" s="13" t="s">
        <v>4</v>
      </c>
      <c r="U1160" s="13" t="s">
        <v>43</v>
      </c>
      <c r="V1160" s="13" t="n">
        <f aca="false">IF(COUNTIF($B$2:B1160,B1160)=1,1,0)</f>
        <v>0</v>
      </c>
      <c r="W1160" s="13" t="n">
        <f aca="false">IF(COUNTIFS($B$2:B1160,B1160,$T$2:T1160,T1160)=1,1,0)</f>
        <v>0</v>
      </c>
    </row>
    <row r="1161" customFormat="false" ht="15" hidden="false" customHeight="false" outlineLevel="0" collapsed="false">
      <c r="A1161" s="13" t="s">
        <v>585</v>
      </c>
      <c r="B1161" s="13" t="s">
        <v>161</v>
      </c>
      <c r="C1161" s="13" t="n">
        <v>2800</v>
      </c>
      <c r="D1161" s="13" t="n">
        <v>5</v>
      </c>
      <c r="E1161" s="13" t="n">
        <v>350.2</v>
      </c>
      <c r="F1161" s="13" t="s">
        <v>5288</v>
      </c>
      <c r="G1161" s="13" t="s">
        <v>5289</v>
      </c>
      <c r="H1161" s="13" t="s">
        <v>5292</v>
      </c>
      <c r="I1161" s="13" t="s">
        <v>5289</v>
      </c>
      <c r="J1161" s="13" t="s">
        <v>5289</v>
      </c>
      <c r="K1161" s="13" t="s">
        <v>5289</v>
      </c>
      <c r="L1161" s="13" t="s">
        <v>5668</v>
      </c>
      <c r="M1161" s="13"/>
      <c r="N1161" s="13" t="n">
        <v>3355991004672</v>
      </c>
      <c r="O1161" s="13"/>
      <c r="P1161" s="13" t="s">
        <v>5291</v>
      </c>
      <c r="Q1161" s="13" t="s">
        <v>5289</v>
      </c>
      <c r="R1161" s="13" t="s">
        <v>5292</v>
      </c>
      <c r="S1161" s="13" t="s">
        <v>5293</v>
      </c>
      <c r="T1161" s="13" t="s">
        <v>4</v>
      </c>
      <c r="U1161" s="13" t="s">
        <v>43</v>
      </c>
      <c r="V1161" s="13" t="n">
        <f aca="false">IF(COUNTIF($B$2:B1161,B1161)=1,1,0)</f>
        <v>0</v>
      </c>
      <c r="W1161" s="13" t="n">
        <f aca="false">IF(COUNTIFS($B$2:B1161,B1161,$T$2:T1161,T1161)=1,1,0)</f>
        <v>0</v>
      </c>
    </row>
    <row r="1162" customFormat="false" ht="15" hidden="false" customHeight="false" outlineLevel="0" collapsed="false">
      <c r="A1162" s="13" t="s">
        <v>750</v>
      </c>
      <c r="B1162" s="13" t="s">
        <v>50</v>
      </c>
      <c r="C1162" s="13" t="n">
        <v>2800</v>
      </c>
      <c r="D1162" s="13" t="n">
        <v>2</v>
      </c>
      <c r="E1162" s="13" t="n">
        <v>700.31</v>
      </c>
      <c r="F1162" s="13" t="s">
        <v>5288</v>
      </c>
      <c r="G1162" s="13" t="s">
        <v>5289</v>
      </c>
      <c r="H1162" s="13" t="s">
        <v>5289</v>
      </c>
      <c r="I1162" s="13" t="s">
        <v>5289</v>
      </c>
      <c r="J1162" s="13" t="s">
        <v>5289</v>
      </c>
      <c r="K1162" s="13" t="s">
        <v>5289</v>
      </c>
      <c r="L1162" s="13" t="s">
        <v>5864</v>
      </c>
      <c r="M1162" s="13"/>
      <c r="N1162" s="13" t="n">
        <v>3349668627479</v>
      </c>
      <c r="O1162" s="13"/>
      <c r="P1162" s="13" t="s">
        <v>5291</v>
      </c>
      <c r="Q1162" s="13" t="s">
        <v>5289</v>
      </c>
      <c r="R1162" s="13" t="s">
        <v>5292</v>
      </c>
      <c r="S1162" s="13" t="s">
        <v>5293</v>
      </c>
      <c r="T1162" s="13" t="s">
        <v>4</v>
      </c>
      <c r="U1162" s="13" t="s">
        <v>43</v>
      </c>
      <c r="V1162" s="13" t="n">
        <f aca="false">IF(COUNTIF($B$2:B1162,B1162)=1,1,0)</f>
        <v>0</v>
      </c>
      <c r="W1162" s="13" t="n">
        <f aca="false">IF(COUNTIFS($B$2:B1162,B1162,$T$2:T1162,T1162)=1,1,0)</f>
        <v>0</v>
      </c>
    </row>
    <row r="1163" customFormat="false" ht="15" hidden="false" customHeight="false" outlineLevel="0" collapsed="false">
      <c r="A1163" s="13" t="s">
        <v>3387</v>
      </c>
      <c r="B1163" s="13" t="s">
        <v>2133</v>
      </c>
      <c r="C1163" s="13" t="n">
        <v>2800</v>
      </c>
      <c r="D1163" s="13" t="n">
        <v>2</v>
      </c>
      <c r="E1163" s="13" t="n">
        <v>929.61</v>
      </c>
      <c r="F1163" s="13" t="s">
        <v>5288</v>
      </c>
      <c r="G1163" s="13" t="s">
        <v>5292</v>
      </c>
      <c r="H1163" s="13" t="s">
        <v>5292</v>
      </c>
      <c r="I1163" s="13" t="s">
        <v>5289</v>
      </c>
      <c r="J1163" s="13" t="s">
        <v>5289</v>
      </c>
      <c r="K1163" s="13" t="s">
        <v>5289</v>
      </c>
      <c r="L1163" s="13" t="s">
        <v>5865</v>
      </c>
      <c r="M1163" s="13"/>
      <c r="N1163" s="13" t="n">
        <v>783320423802</v>
      </c>
      <c r="O1163" s="13"/>
      <c r="P1163" s="13" t="s">
        <v>5291</v>
      </c>
      <c r="Q1163" s="13" t="s">
        <v>5289</v>
      </c>
      <c r="R1163" s="13" t="s">
        <v>5292</v>
      </c>
      <c r="S1163" s="13" t="s">
        <v>5293</v>
      </c>
      <c r="T1163" s="13" t="s">
        <v>4</v>
      </c>
      <c r="U1163" s="13" t="s">
        <v>43</v>
      </c>
      <c r="V1163" s="13" t="n">
        <f aca="false">IF(COUNTIF($B$2:B1163,B1163)=1,1,0)</f>
        <v>0</v>
      </c>
      <c r="W1163" s="13" t="n">
        <f aca="false">IF(COUNTIFS($B$2:B1163,B1163,$T$2:T1163,T1163)=1,1,0)</f>
        <v>0</v>
      </c>
    </row>
    <row r="1164" customFormat="false" ht="15" hidden="false" customHeight="false" outlineLevel="0" collapsed="false">
      <c r="A1164" s="13" t="s">
        <v>500</v>
      </c>
      <c r="B1164" s="13" t="s">
        <v>42</v>
      </c>
      <c r="C1164" s="13" t="n">
        <v>2800</v>
      </c>
      <c r="D1164" s="13" t="n">
        <v>2</v>
      </c>
      <c r="E1164" s="13" t="n">
        <v>927.026666666667</v>
      </c>
      <c r="F1164" s="13" t="s">
        <v>5325</v>
      </c>
      <c r="G1164" s="13" t="s">
        <v>5289</v>
      </c>
      <c r="H1164" s="13" t="s">
        <v>5289</v>
      </c>
      <c r="I1164" s="13" t="s">
        <v>5289</v>
      </c>
      <c r="J1164" s="13" t="s">
        <v>5289</v>
      </c>
      <c r="K1164" s="13" t="s">
        <v>5289</v>
      </c>
      <c r="L1164" s="13" t="s">
        <v>5754</v>
      </c>
      <c r="M1164" s="13"/>
      <c r="N1164" s="13" t="n">
        <v>8411061134559</v>
      </c>
      <c r="O1164" s="13"/>
      <c r="P1164" s="13" t="s">
        <v>5291</v>
      </c>
      <c r="Q1164" s="13" t="s">
        <v>5289</v>
      </c>
      <c r="R1164" s="13" t="s">
        <v>5292</v>
      </c>
      <c r="S1164" s="13" t="s">
        <v>5293</v>
      </c>
      <c r="T1164" s="13" t="s">
        <v>4</v>
      </c>
      <c r="U1164" s="13" t="s">
        <v>43</v>
      </c>
      <c r="V1164" s="13" t="n">
        <f aca="false">IF(COUNTIF($B$2:B1164,B1164)=1,1,0)</f>
        <v>0</v>
      </c>
      <c r="W1164" s="13" t="n">
        <f aca="false">IF(COUNTIFS($B$2:B1164,B1164,$T$2:T1164,T1164)=1,1,0)</f>
        <v>0</v>
      </c>
    </row>
    <row r="1165" customFormat="false" ht="15" hidden="false" customHeight="false" outlineLevel="0" collapsed="false">
      <c r="A1165" s="13" t="s">
        <v>499</v>
      </c>
      <c r="B1165" s="13" t="s">
        <v>45</v>
      </c>
      <c r="C1165" s="13" t="n">
        <v>2800</v>
      </c>
      <c r="D1165" s="13" t="n">
        <v>2</v>
      </c>
      <c r="E1165" s="13" t="n">
        <v>923.51</v>
      </c>
      <c r="F1165" s="13" t="s">
        <v>5325</v>
      </c>
      <c r="G1165" s="13" t="s">
        <v>5289</v>
      </c>
      <c r="H1165" s="13" t="s">
        <v>5289</v>
      </c>
      <c r="I1165" s="13" t="s">
        <v>5289</v>
      </c>
      <c r="J1165" s="13" t="s">
        <v>5289</v>
      </c>
      <c r="K1165" s="13" t="s">
        <v>5289</v>
      </c>
      <c r="L1165" s="13" t="s">
        <v>5753</v>
      </c>
      <c r="M1165" s="13"/>
      <c r="N1165" s="13" t="n">
        <v>8435415065214</v>
      </c>
      <c r="O1165" s="13"/>
      <c r="P1165" s="13" t="s">
        <v>5291</v>
      </c>
      <c r="Q1165" s="13" t="s">
        <v>5289</v>
      </c>
      <c r="R1165" s="13" t="s">
        <v>5292</v>
      </c>
      <c r="S1165" s="13" t="s">
        <v>5293</v>
      </c>
      <c r="T1165" s="13" t="s">
        <v>4</v>
      </c>
      <c r="U1165" s="13" t="s">
        <v>43</v>
      </c>
      <c r="V1165" s="13" t="n">
        <f aca="false">IF(COUNTIF($B$2:B1165,B1165)=1,1,0)</f>
        <v>0</v>
      </c>
      <c r="W1165" s="13" t="n">
        <f aca="false">IF(COUNTIFS($B$2:B1165,B1165,$T$2:T1165,T1165)=1,1,0)</f>
        <v>0</v>
      </c>
    </row>
    <row r="1166" customFormat="false" ht="15" hidden="false" customHeight="false" outlineLevel="0" collapsed="false">
      <c r="A1166" s="13" t="s">
        <v>89</v>
      </c>
      <c r="B1166" s="13" t="s">
        <v>42</v>
      </c>
      <c r="C1166" s="13" t="n">
        <v>2800</v>
      </c>
      <c r="D1166" s="13" t="n">
        <v>5</v>
      </c>
      <c r="E1166" s="13" t="n">
        <v>346.0075</v>
      </c>
      <c r="F1166" s="13" t="s">
        <v>5288</v>
      </c>
      <c r="G1166" s="13" t="s">
        <v>5289</v>
      </c>
      <c r="H1166" s="13" t="s">
        <v>5289</v>
      </c>
      <c r="I1166" s="13" t="s">
        <v>5289</v>
      </c>
      <c r="J1166" s="13" t="s">
        <v>5289</v>
      </c>
      <c r="K1166" s="13" t="s">
        <v>5289</v>
      </c>
      <c r="L1166" s="13" t="s">
        <v>5866</v>
      </c>
      <c r="M1166" s="13"/>
      <c r="N1166" s="13" t="n">
        <v>8411061853115</v>
      </c>
      <c r="O1166" s="13"/>
      <c r="P1166" s="13" t="s">
        <v>5291</v>
      </c>
      <c r="Q1166" s="13" t="s">
        <v>5289</v>
      </c>
      <c r="R1166" s="13" t="s">
        <v>5292</v>
      </c>
      <c r="S1166" s="13" t="s">
        <v>5293</v>
      </c>
      <c r="T1166" s="13" t="s">
        <v>4</v>
      </c>
      <c r="U1166" s="13" t="s">
        <v>43</v>
      </c>
      <c r="V1166" s="13" t="n">
        <f aca="false">IF(COUNTIF($B$2:B1166,B1166)=1,1,0)</f>
        <v>0</v>
      </c>
      <c r="W1166" s="13" t="n">
        <f aca="false">IF(COUNTIFS($B$2:B1166,B1166,$T$2:T1166,T1166)=1,1,0)</f>
        <v>0</v>
      </c>
    </row>
    <row r="1167" customFormat="false" ht="15" hidden="false" customHeight="false" outlineLevel="0" collapsed="false">
      <c r="A1167" s="13" t="s">
        <v>749</v>
      </c>
      <c r="B1167" s="13" t="s">
        <v>50</v>
      </c>
      <c r="C1167" s="13" t="n">
        <v>2800</v>
      </c>
      <c r="D1167" s="13" t="n">
        <v>2</v>
      </c>
      <c r="E1167" s="13" t="n">
        <v>691.2575</v>
      </c>
      <c r="F1167" s="13" t="s">
        <v>5288</v>
      </c>
      <c r="G1167" s="13" t="s">
        <v>5289</v>
      </c>
      <c r="H1167" s="13" t="s">
        <v>5292</v>
      </c>
      <c r="I1167" s="13" t="s">
        <v>5289</v>
      </c>
      <c r="J1167" s="13" t="s">
        <v>5289</v>
      </c>
      <c r="K1167" s="13" t="s">
        <v>5289</v>
      </c>
      <c r="L1167" s="13" t="s">
        <v>5659</v>
      </c>
      <c r="M1167" s="13"/>
      <c r="N1167" s="13" t="n">
        <v>3349668592388</v>
      </c>
      <c r="O1167" s="13"/>
      <c r="P1167" s="13" t="s">
        <v>5291</v>
      </c>
      <c r="Q1167" s="13" t="s">
        <v>5289</v>
      </c>
      <c r="R1167" s="13" t="s">
        <v>5292</v>
      </c>
      <c r="S1167" s="13" t="s">
        <v>5293</v>
      </c>
      <c r="T1167" s="13" t="s">
        <v>4</v>
      </c>
      <c r="U1167" s="13" t="s">
        <v>43</v>
      </c>
      <c r="V1167" s="13" t="n">
        <f aca="false">IF(COUNTIF($B$2:B1167,B1167)=1,1,0)</f>
        <v>0</v>
      </c>
      <c r="W1167" s="13" t="n">
        <f aca="false">IF(COUNTIFS($B$2:B1167,B1167,$T$2:T1167,T1167)=1,1,0)</f>
        <v>0</v>
      </c>
    </row>
    <row r="1168" customFormat="false" ht="15" hidden="false" customHeight="false" outlineLevel="0" collapsed="false">
      <c r="A1168" s="13" t="s">
        <v>754</v>
      </c>
      <c r="B1168" s="13" t="s">
        <v>50</v>
      </c>
      <c r="C1168" s="13" t="n">
        <v>2700</v>
      </c>
      <c r="D1168" s="13" t="n">
        <v>2</v>
      </c>
      <c r="E1168" s="13" t="n">
        <v>687.27</v>
      </c>
      <c r="F1168" s="13" t="s">
        <v>5325</v>
      </c>
      <c r="G1168" s="13" t="s">
        <v>5289</v>
      </c>
      <c r="H1168" s="13" t="s">
        <v>5292</v>
      </c>
      <c r="I1168" s="13" t="s">
        <v>5289</v>
      </c>
      <c r="J1168" s="13" t="s">
        <v>5289</v>
      </c>
      <c r="K1168" s="13" t="s">
        <v>5289</v>
      </c>
      <c r="L1168" s="13" t="s">
        <v>5718</v>
      </c>
      <c r="M1168" s="13"/>
      <c r="N1168" s="13" t="n">
        <v>3349668576111</v>
      </c>
      <c r="O1168" s="13"/>
      <c r="P1168" s="13" t="s">
        <v>5291</v>
      </c>
      <c r="Q1168" s="13" t="s">
        <v>5289</v>
      </c>
      <c r="R1168" s="13" t="s">
        <v>5292</v>
      </c>
      <c r="S1168" s="13" t="s">
        <v>5293</v>
      </c>
      <c r="T1168" s="13" t="s">
        <v>4</v>
      </c>
      <c r="U1168" s="13" t="s">
        <v>43</v>
      </c>
      <c r="V1168" s="13" t="n">
        <f aca="false">IF(COUNTIF($B$2:B1168,B1168)=1,1,0)</f>
        <v>0</v>
      </c>
      <c r="W1168" s="13" t="n">
        <f aca="false">IF(COUNTIFS($B$2:B1168,B1168,$T$2:T1168,T1168)=1,1,0)</f>
        <v>0</v>
      </c>
    </row>
    <row r="1169" customFormat="false" ht="15" hidden="false" customHeight="false" outlineLevel="0" collapsed="false">
      <c r="A1169" s="13" t="s">
        <v>113</v>
      </c>
      <c r="B1169" s="13" t="s">
        <v>45</v>
      </c>
      <c r="C1169" s="13" t="n">
        <v>2700</v>
      </c>
      <c r="D1169" s="13" t="n">
        <v>2</v>
      </c>
      <c r="E1169" s="13" t="n">
        <v>911.106666666667</v>
      </c>
      <c r="F1169" s="13" t="s">
        <v>5325</v>
      </c>
      <c r="G1169" s="13" t="s">
        <v>5292</v>
      </c>
      <c r="H1169" s="13" t="s">
        <v>5289</v>
      </c>
      <c r="I1169" s="13" t="s">
        <v>5289</v>
      </c>
      <c r="J1169" s="13" t="s">
        <v>5289</v>
      </c>
      <c r="K1169" s="13" t="s">
        <v>5289</v>
      </c>
      <c r="L1169" s="13" t="s">
        <v>5752</v>
      </c>
      <c r="M1169" s="13"/>
      <c r="N1169" s="13" t="n">
        <v>8435415050760</v>
      </c>
      <c r="O1169" s="13"/>
      <c r="P1169" s="13" t="s">
        <v>5291</v>
      </c>
      <c r="Q1169" s="13" t="s">
        <v>5289</v>
      </c>
      <c r="R1169" s="13" t="s">
        <v>5292</v>
      </c>
      <c r="S1169" s="13" t="s">
        <v>5293</v>
      </c>
      <c r="T1169" s="13" t="s">
        <v>4</v>
      </c>
      <c r="U1169" s="13" t="s">
        <v>43</v>
      </c>
      <c r="V1169" s="13" t="n">
        <f aca="false">IF(COUNTIF($B$2:B1169,B1169)=1,1,0)</f>
        <v>0</v>
      </c>
      <c r="W1169" s="13" t="n">
        <f aca="false">IF(COUNTIFS($B$2:B1169,B1169,$T$2:T1169,T1169)=1,1,0)</f>
        <v>0</v>
      </c>
    </row>
    <row r="1170" customFormat="false" ht="15" hidden="false" customHeight="false" outlineLevel="0" collapsed="false">
      <c r="A1170" s="13" t="s">
        <v>596</v>
      </c>
      <c r="B1170" s="13" t="s">
        <v>50</v>
      </c>
      <c r="C1170" s="13" t="n">
        <v>2700</v>
      </c>
      <c r="D1170" s="13" t="n">
        <v>2</v>
      </c>
      <c r="E1170" s="13" t="n">
        <v>677.97</v>
      </c>
      <c r="F1170" s="13" t="s">
        <v>5325</v>
      </c>
      <c r="G1170" s="13" t="s">
        <v>5289</v>
      </c>
      <c r="H1170" s="13" t="s">
        <v>5289</v>
      </c>
      <c r="I1170" s="13" t="s">
        <v>5289</v>
      </c>
      <c r="J1170" s="13" t="s">
        <v>5289</v>
      </c>
      <c r="K1170" s="13" t="s">
        <v>5289</v>
      </c>
      <c r="L1170" s="13" t="s">
        <v>5791</v>
      </c>
      <c r="M1170" s="13"/>
      <c r="N1170" s="13" t="n">
        <v>3349668545636</v>
      </c>
      <c r="O1170" s="13"/>
      <c r="P1170" s="13" t="s">
        <v>5291</v>
      </c>
      <c r="Q1170" s="13" t="s">
        <v>5289</v>
      </c>
      <c r="R1170" s="13" t="s">
        <v>5292</v>
      </c>
      <c r="S1170" s="13" t="s">
        <v>5293</v>
      </c>
      <c r="T1170" s="13" t="s">
        <v>4</v>
      </c>
      <c r="U1170" s="13" t="s">
        <v>43</v>
      </c>
      <c r="V1170" s="13" t="n">
        <f aca="false">IF(COUNTIF($B$2:B1170,B1170)=1,1,0)</f>
        <v>0</v>
      </c>
      <c r="W1170" s="13" t="n">
        <f aca="false">IF(COUNTIFS($B$2:B1170,B1170,$T$2:T1170,T1170)=1,1,0)</f>
        <v>0</v>
      </c>
    </row>
    <row r="1171" customFormat="false" ht="15" hidden="false" customHeight="false" outlineLevel="0" collapsed="false">
      <c r="A1171" s="13" t="s">
        <v>474</v>
      </c>
      <c r="B1171" s="13" t="s">
        <v>42</v>
      </c>
      <c r="C1171" s="13" t="n">
        <v>2700</v>
      </c>
      <c r="D1171" s="13" t="n">
        <v>2</v>
      </c>
      <c r="E1171" s="13" t="n">
        <v>901.17</v>
      </c>
      <c r="F1171" s="13" t="s">
        <v>5325</v>
      </c>
      <c r="G1171" s="13" t="s">
        <v>5289</v>
      </c>
      <c r="H1171" s="13" t="s">
        <v>5289</v>
      </c>
      <c r="I1171" s="13" t="s">
        <v>5289</v>
      </c>
      <c r="J1171" s="13" t="s">
        <v>5289</v>
      </c>
      <c r="K1171" s="13" t="s">
        <v>5289</v>
      </c>
      <c r="L1171" s="13" t="s">
        <v>5676</v>
      </c>
      <c r="M1171" s="13"/>
      <c r="N1171" s="13" t="n">
        <v>8411061134481</v>
      </c>
      <c r="O1171" s="13"/>
      <c r="P1171" s="13" t="s">
        <v>5291</v>
      </c>
      <c r="Q1171" s="13" t="s">
        <v>5289</v>
      </c>
      <c r="R1171" s="13" t="s">
        <v>5292</v>
      </c>
      <c r="S1171" s="13" t="s">
        <v>5293</v>
      </c>
      <c r="T1171" s="13" t="s">
        <v>4</v>
      </c>
      <c r="U1171" s="13" t="s">
        <v>43</v>
      </c>
      <c r="V1171" s="13" t="n">
        <f aca="false">IF(COUNTIF($B$2:B1171,B1171)=1,1,0)</f>
        <v>0</v>
      </c>
      <c r="W1171" s="13" t="n">
        <f aca="false">IF(COUNTIFS($B$2:B1171,B1171,$T$2:T1171,T1171)=1,1,0)</f>
        <v>0</v>
      </c>
    </row>
    <row r="1172" customFormat="false" ht="15" hidden="false" customHeight="false" outlineLevel="0" collapsed="false">
      <c r="A1172" s="13" t="s">
        <v>755</v>
      </c>
      <c r="B1172" s="13" t="s">
        <v>45</v>
      </c>
      <c r="C1172" s="13" t="n">
        <v>2700</v>
      </c>
      <c r="D1172" s="13" t="n">
        <v>2</v>
      </c>
      <c r="E1172" s="13" t="n">
        <v>900.156666666667</v>
      </c>
      <c r="F1172" s="13" t="s">
        <v>5325</v>
      </c>
      <c r="G1172" s="13" t="s">
        <v>5289</v>
      </c>
      <c r="H1172" s="13" t="s">
        <v>5292</v>
      </c>
      <c r="I1172" s="13" t="s">
        <v>5289</v>
      </c>
      <c r="J1172" s="13" t="s">
        <v>5289</v>
      </c>
      <c r="K1172" s="13" t="s">
        <v>5289</v>
      </c>
      <c r="L1172" s="13" t="s">
        <v>5662</v>
      </c>
      <c r="M1172" s="13"/>
      <c r="N1172" s="13" t="n">
        <v>8435415032360</v>
      </c>
      <c r="O1172" s="13"/>
      <c r="P1172" s="13" t="s">
        <v>5291</v>
      </c>
      <c r="Q1172" s="13" t="s">
        <v>5289</v>
      </c>
      <c r="R1172" s="13" t="s">
        <v>5292</v>
      </c>
      <c r="S1172" s="13" t="s">
        <v>5293</v>
      </c>
      <c r="T1172" s="13" t="s">
        <v>4</v>
      </c>
      <c r="U1172" s="13" t="s">
        <v>43</v>
      </c>
      <c r="V1172" s="13" t="n">
        <f aca="false">IF(COUNTIF($B$2:B1172,B1172)=1,1,0)</f>
        <v>0</v>
      </c>
      <c r="W1172" s="13" t="n">
        <f aca="false">IF(COUNTIFS($B$2:B1172,B1172,$T$2:T1172,T1172)=1,1,0)</f>
        <v>0</v>
      </c>
    </row>
    <row r="1173" customFormat="false" ht="15" hidden="false" customHeight="false" outlineLevel="0" collapsed="false">
      <c r="A1173" s="13" t="s">
        <v>382</v>
      </c>
      <c r="B1173" s="13" t="s">
        <v>50</v>
      </c>
      <c r="C1173" s="13" t="n">
        <v>2700</v>
      </c>
      <c r="D1173" s="13" t="n">
        <v>2</v>
      </c>
      <c r="E1173" s="13" t="n">
        <v>669.6625</v>
      </c>
      <c r="F1173" s="13" t="s">
        <v>5288</v>
      </c>
      <c r="G1173" s="13" t="s">
        <v>5289</v>
      </c>
      <c r="H1173" s="13" t="s">
        <v>5289</v>
      </c>
      <c r="I1173" s="13" t="s">
        <v>5289</v>
      </c>
      <c r="J1173" s="13" t="s">
        <v>5289</v>
      </c>
      <c r="K1173" s="13" t="s">
        <v>5289</v>
      </c>
      <c r="L1173" s="13" t="s">
        <v>5867</v>
      </c>
      <c r="M1173" s="13"/>
      <c r="N1173" s="13" t="n">
        <v>3349668622009</v>
      </c>
      <c r="O1173" s="13"/>
      <c r="P1173" s="13" t="s">
        <v>5291</v>
      </c>
      <c r="Q1173" s="13" t="s">
        <v>5289</v>
      </c>
      <c r="R1173" s="13" t="s">
        <v>5292</v>
      </c>
      <c r="S1173" s="13" t="s">
        <v>5293</v>
      </c>
      <c r="T1173" s="13" t="s">
        <v>4</v>
      </c>
      <c r="U1173" s="13" t="s">
        <v>43</v>
      </c>
      <c r="V1173" s="13" t="n">
        <f aca="false">IF(COUNTIF($B$2:B1173,B1173)=1,1,0)</f>
        <v>0</v>
      </c>
      <c r="W1173" s="13" t="n">
        <f aca="false">IF(COUNTIFS($B$2:B1173,B1173,$T$2:T1173,T1173)=1,1,0)</f>
        <v>0</v>
      </c>
    </row>
    <row r="1174" customFormat="false" ht="15" hidden="false" customHeight="false" outlineLevel="0" collapsed="false">
      <c r="A1174" s="13" t="s">
        <v>757</v>
      </c>
      <c r="B1174" s="13" t="s">
        <v>50</v>
      </c>
      <c r="C1174" s="13" t="n">
        <v>2700</v>
      </c>
      <c r="D1174" s="13" t="n">
        <v>5</v>
      </c>
      <c r="E1174" s="13" t="n">
        <v>444.11</v>
      </c>
      <c r="F1174" s="13" t="s">
        <v>5288</v>
      </c>
      <c r="G1174" s="13" t="s">
        <v>5289</v>
      </c>
      <c r="H1174" s="13" t="s">
        <v>5289</v>
      </c>
      <c r="I1174" s="13" t="s">
        <v>5289</v>
      </c>
      <c r="J1174" s="13" t="s">
        <v>5289</v>
      </c>
      <c r="K1174" s="13" t="s">
        <v>5289</v>
      </c>
      <c r="L1174" s="13" t="s">
        <v>5868</v>
      </c>
      <c r="M1174" s="13"/>
      <c r="N1174" s="13" t="n">
        <v>3349668612611</v>
      </c>
      <c r="O1174" s="13"/>
      <c r="P1174" s="13" t="s">
        <v>5291</v>
      </c>
      <c r="Q1174" s="13" t="s">
        <v>5289</v>
      </c>
      <c r="R1174" s="13" t="s">
        <v>5292</v>
      </c>
      <c r="S1174" s="13" t="s">
        <v>5293</v>
      </c>
      <c r="T1174" s="13" t="s">
        <v>4</v>
      </c>
      <c r="U1174" s="13" t="s">
        <v>43</v>
      </c>
      <c r="V1174" s="13" t="n">
        <f aca="false">IF(COUNTIF($B$2:B1174,B1174)=1,1,0)</f>
        <v>0</v>
      </c>
      <c r="W1174" s="13" t="n">
        <f aca="false">IF(COUNTIFS($B$2:B1174,B1174,$T$2:T1174,T1174)=1,1,0)</f>
        <v>0</v>
      </c>
    </row>
    <row r="1175" customFormat="false" ht="15" hidden="false" customHeight="false" outlineLevel="0" collapsed="false">
      <c r="A1175" s="13" t="s">
        <v>575</v>
      </c>
      <c r="B1175" s="13" t="s">
        <v>329</v>
      </c>
      <c r="C1175" s="13" t="n">
        <v>2600</v>
      </c>
      <c r="D1175" s="13" t="n">
        <v>5</v>
      </c>
      <c r="E1175" s="13" t="n">
        <v>440.863333333333</v>
      </c>
      <c r="F1175" s="13" t="s">
        <v>5288</v>
      </c>
      <c r="G1175" s="13" t="s">
        <v>5289</v>
      </c>
      <c r="H1175" s="13" t="s">
        <v>5289</v>
      </c>
      <c r="I1175" s="13" t="s">
        <v>5289</v>
      </c>
      <c r="J1175" s="13" t="s">
        <v>5289</v>
      </c>
      <c r="K1175" s="13" t="s">
        <v>5289</v>
      </c>
      <c r="L1175" s="13" t="s">
        <v>5869</v>
      </c>
      <c r="M1175" s="13"/>
      <c r="N1175" s="13" t="n">
        <v>3137370360940</v>
      </c>
      <c r="O1175" s="13"/>
      <c r="P1175" s="13" t="s">
        <v>5291</v>
      </c>
      <c r="Q1175" s="13" t="s">
        <v>5289</v>
      </c>
      <c r="R1175" s="13" t="s">
        <v>5292</v>
      </c>
      <c r="S1175" s="13" t="s">
        <v>5293</v>
      </c>
      <c r="T1175" s="13" t="s">
        <v>4</v>
      </c>
      <c r="U1175" s="13" t="s">
        <v>43</v>
      </c>
      <c r="V1175" s="13" t="n">
        <f aca="false">IF(COUNTIF($B$2:B1175,B1175)=1,1,0)</f>
        <v>0</v>
      </c>
      <c r="W1175" s="13" t="n">
        <f aca="false">IF(COUNTIFS($B$2:B1175,B1175,$T$2:T1175,T1175)=1,1,0)</f>
        <v>0</v>
      </c>
    </row>
    <row r="1176" customFormat="false" ht="15" hidden="false" customHeight="false" outlineLevel="0" collapsed="false">
      <c r="A1176" s="13" t="s">
        <v>778</v>
      </c>
      <c r="B1176" s="13" t="s">
        <v>42</v>
      </c>
      <c r="C1176" s="13" t="n">
        <v>2600</v>
      </c>
      <c r="D1176" s="13" t="n">
        <v>2</v>
      </c>
      <c r="E1176" s="13" t="n">
        <v>874.65</v>
      </c>
      <c r="F1176" s="13" t="s">
        <v>5288</v>
      </c>
      <c r="G1176" s="13" t="s">
        <v>5289</v>
      </c>
      <c r="H1176" s="13" t="s">
        <v>5292</v>
      </c>
      <c r="I1176" s="13" t="s">
        <v>5289</v>
      </c>
      <c r="J1176" s="13" t="s">
        <v>5289</v>
      </c>
      <c r="K1176" s="13" t="s">
        <v>5289</v>
      </c>
      <c r="L1176" s="13" t="s">
        <v>5724</v>
      </c>
      <c r="M1176" s="13"/>
      <c r="N1176" s="13" t="n">
        <v>8411061077160</v>
      </c>
      <c r="O1176" s="13"/>
      <c r="P1176" s="13" t="s">
        <v>5291</v>
      </c>
      <c r="Q1176" s="13" t="s">
        <v>5289</v>
      </c>
      <c r="R1176" s="13" t="s">
        <v>5292</v>
      </c>
      <c r="S1176" s="13" t="s">
        <v>5293</v>
      </c>
      <c r="T1176" s="13" t="s">
        <v>4</v>
      </c>
      <c r="U1176" s="13" t="s">
        <v>43</v>
      </c>
      <c r="V1176" s="13" t="n">
        <f aca="false">IF(COUNTIF($B$2:B1176,B1176)=1,1,0)</f>
        <v>0</v>
      </c>
      <c r="W1176" s="13" t="n">
        <f aca="false">IF(COUNTIFS($B$2:B1176,B1176,$T$2:T1176,T1176)=1,1,0)</f>
        <v>0</v>
      </c>
    </row>
    <row r="1177" customFormat="false" ht="15" hidden="false" customHeight="false" outlineLevel="0" collapsed="false">
      <c r="A1177" s="13" t="s">
        <v>779</v>
      </c>
      <c r="B1177" s="13" t="s">
        <v>153</v>
      </c>
      <c r="C1177" s="13" t="n">
        <v>2600</v>
      </c>
      <c r="D1177" s="13" t="n">
        <v>2</v>
      </c>
      <c r="E1177" s="13" t="n">
        <v>655.17</v>
      </c>
      <c r="F1177" s="13" t="s">
        <v>5325</v>
      </c>
      <c r="G1177" s="13" t="s">
        <v>5292</v>
      </c>
      <c r="H1177" s="13" t="s">
        <v>5292</v>
      </c>
      <c r="I1177" s="13" t="s">
        <v>5289</v>
      </c>
      <c r="J1177" s="13" t="s">
        <v>5289</v>
      </c>
      <c r="K1177" s="13" t="s">
        <v>5289</v>
      </c>
      <c r="L1177" s="13" t="s">
        <v>5870</v>
      </c>
      <c r="M1177" s="13"/>
      <c r="N1177" s="13" t="n">
        <v>8011003858552</v>
      </c>
      <c r="O1177" s="13"/>
      <c r="P1177" s="13" t="s">
        <v>5291</v>
      </c>
      <c r="Q1177" s="13" t="s">
        <v>5289</v>
      </c>
      <c r="R1177" s="13" t="s">
        <v>5292</v>
      </c>
      <c r="S1177" s="13" t="s">
        <v>5293</v>
      </c>
      <c r="T1177" s="13" t="s">
        <v>4</v>
      </c>
      <c r="U1177" s="13" t="s">
        <v>43</v>
      </c>
      <c r="V1177" s="13" t="n">
        <f aca="false">IF(COUNTIF($B$2:B1177,B1177)=1,1,0)</f>
        <v>0</v>
      </c>
      <c r="W1177" s="13" t="n">
        <f aca="false">IF(COUNTIFS($B$2:B1177,B1177,$T$2:T1177,T1177)=1,1,0)</f>
        <v>0</v>
      </c>
    </row>
    <row r="1178" customFormat="false" ht="15" hidden="false" customHeight="false" outlineLevel="0" collapsed="false">
      <c r="A1178" s="13" t="s">
        <v>772</v>
      </c>
      <c r="B1178" s="13" t="s">
        <v>153</v>
      </c>
      <c r="C1178" s="13" t="n">
        <v>2600</v>
      </c>
      <c r="D1178" s="13" t="n">
        <v>2</v>
      </c>
      <c r="E1178" s="13" t="n">
        <v>652.84</v>
      </c>
      <c r="F1178" s="13" t="s">
        <v>5288</v>
      </c>
      <c r="G1178" s="13" t="s">
        <v>5292</v>
      </c>
      <c r="H1178" s="13" t="s">
        <v>5292</v>
      </c>
      <c r="I1178" s="13" t="s">
        <v>5289</v>
      </c>
      <c r="J1178" s="13" t="s">
        <v>5289</v>
      </c>
      <c r="K1178" s="13" t="s">
        <v>5289</v>
      </c>
      <c r="L1178" s="13" t="s">
        <v>5871</v>
      </c>
      <c r="M1178" s="13"/>
      <c r="N1178" s="13" t="n">
        <v>8011003890699</v>
      </c>
      <c r="O1178" s="13"/>
      <c r="P1178" s="13" t="s">
        <v>5291</v>
      </c>
      <c r="Q1178" s="13" t="s">
        <v>5289</v>
      </c>
      <c r="R1178" s="13" t="s">
        <v>5292</v>
      </c>
      <c r="S1178" s="13" t="s">
        <v>5293</v>
      </c>
      <c r="T1178" s="13" t="s">
        <v>4</v>
      </c>
      <c r="U1178" s="13" t="s">
        <v>43</v>
      </c>
      <c r="V1178" s="13" t="n">
        <f aca="false">IF(COUNTIF($B$2:B1178,B1178)=1,1,0)</f>
        <v>0</v>
      </c>
      <c r="W1178" s="13" t="n">
        <f aca="false">IF(COUNTIFS($B$2:B1178,B1178,$T$2:T1178,T1178)=1,1,0)</f>
        <v>0</v>
      </c>
    </row>
    <row r="1179" customFormat="false" ht="15" hidden="false" customHeight="false" outlineLevel="0" collapsed="false">
      <c r="A1179" s="13" t="s">
        <v>644</v>
      </c>
      <c r="B1179" s="13" t="s">
        <v>50</v>
      </c>
      <c r="C1179" s="13" t="n">
        <v>2600</v>
      </c>
      <c r="D1179" s="13" t="n">
        <v>2</v>
      </c>
      <c r="E1179" s="13" t="n">
        <v>870.33</v>
      </c>
      <c r="F1179" s="13" t="s">
        <v>5288</v>
      </c>
      <c r="G1179" s="13" t="s">
        <v>5289</v>
      </c>
      <c r="H1179" s="13" t="s">
        <v>5289</v>
      </c>
      <c r="I1179" s="13" t="s">
        <v>5289</v>
      </c>
      <c r="J1179" s="13" t="s">
        <v>5289</v>
      </c>
      <c r="K1179" s="13" t="s">
        <v>5289</v>
      </c>
      <c r="L1179" s="13" t="s">
        <v>5872</v>
      </c>
      <c r="M1179" s="13"/>
      <c r="N1179" s="13" t="n">
        <v>3349668661657</v>
      </c>
      <c r="O1179" s="13"/>
      <c r="P1179" s="13" t="s">
        <v>5291</v>
      </c>
      <c r="Q1179" s="13" t="s">
        <v>5289</v>
      </c>
      <c r="R1179" s="13" t="s">
        <v>5292</v>
      </c>
      <c r="S1179" s="13" t="s">
        <v>5293</v>
      </c>
      <c r="T1179" s="13" t="s">
        <v>4</v>
      </c>
      <c r="U1179" s="13" t="s">
        <v>43</v>
      </c>
      <c r="V1179" s="13" t="n">
        <f aca="false">IF(COUNTIF($B$2:B1179,B1179)=1,1,0)</f>
        <v>0</v>
      </c>
      <c r="W1179" s="13" t="n">
        <f aca="false">IF(COUNTIFS($B$2:B1179,B1179,$T$2:T1179,T1179)=1,1,0)</f>
        <v>0</v>
      </c>
    </row>
    <row r="1180" customFormat="false" ht="15" hidden="false" customHeight="false" outlineLevel="0" collapsed="false">
      <c r="A1180" s="13" t="s">
        <v>773</v>
      </c>
      <c r="B1180" s="13" t="s">
        <v>92</v>
      </c>
      <c r="C1180" s="13" t="n">
        <v>2600</v>
      </c>
      <c r="D1180" s="13" t="n">
        <v>5</v>
      </c>
      <c r="E1180" s="13" t="n">
        <v>434.063333333333</v>
      </c>
      <c r="F1180" s="13" t="s">
        <v>5288</v>
      </c>
      <c r="G1180" s="13" t="s">
        <v>5289</v>
      </c>
      <c r="H1180" s="13" t="s">
        <v>5292</v>
      </c>
      <c r="I1180" s="13" t="s">
        <v>5289</v>
      </c>
      <c r="J1180" s="13" t="s">
        <v>5289</v>
      </c>
      <c r="K1180" s="13" t="s">
        <v>5289</v>
      </c>
      <c r="L1180" s="13" t="s">
        <v>5700</v>
      </c>
      <c r="M1180" s="13"/>
      <c r="N1180" s="13" t="n">
        <v>688575201901</v>
      </c>
      <c r="O1180" s="13"/>
      <c r="P1180" s="13" t="s">
        <v>5291</v>
      </c>
      <c r="Q1180" s="13" t="s">
        <v>5289</v>
      </c>
      <c r="R1180" s="13" t="s">
        <v>5292</v>
      </c>
      <c r="S1180" s="13" t="s">
        <v>5293</v>
      </c>
      <c r="T1180" s="13" t="s">
        <v>4</v>
      </c>
      <c r="U1180" s="13" t="s">
        <v>43</v>
      </c>
      <c r="V1180" s="13" t="n">
        <f aca="false">IF(COUNTIF($B$2:B1180,B1180)=1,1,0)</f>
        <v>0</v>
      </c>
      <c r="W1180" s="13" t="n">
        <f aca="false">IF(COUNTIFS($B$2:B1180,B1180,$T$2:T1180,T1180)=1,1,0)</f>
        <v>0</v>
      </c>
    </row>
    <row r="1181" customFormat="false" ht="15" hidden="false" customHeight="false" outlineLevel="0" collapsed="false">
      <c r="A1181" s="13" t="s">
        <v>770</v>
      </c>
      <c r="B1181" s="13" t="s">
        <v>341</v>
      </c>
      <c r="C1181" s="13" t="n">
        <v>2600</v>
      </c>
      <c r="D1181" s="13" t="n">
        <v>5</v>
      </c>
      <c r="E1181" s="13" t="n">
        <v>288.828888888889</v>
      </c>
      <c r="F1181" s="13" t="s">
        <v>5288</v>
      </c>
      <c r="G1181" s="13" t="s">
        <v>5289</v>
      </c>
      <c r="H1181" s="13" t="s">
        <v>5292</v>
      </c>
      <c r="I1181" s="13" t="s">
        <v>5289</v>
      </c>
      <c r="J1181" s="13" t="s">
        <v>5289</v>
      </c>
      <c r="K1181" s="13" t="s">
        <v>5289</v>
      </c>
      <c r="L1181" s="13" t="s">
        <v>5873</v>
      </c>
      <c r="M1181" s="13"/>
      <c r="N1181" s="13" t="n">
        <v>4011700740048</v>
      </c>
      <c r="O1181" s="13"/>
      <c r="P1181" s="13" t="s">
        <v>5291</v>
      </c>
      <c r="Q1181" s="13" t="s">
        <v>5289</v>
      </c>
      <c r="R1181" s="13" t="s">
        <v>5292</v>
      </c>
      <c r="S1181" s="13" t="s">
        <v>5293</v>
      </c>
      <c r="T1181" s="13" t="s">
        <v>4</v>
      </c>
      <c r="U1181" s="13" t="s">
        <v>43</v>
      </c>
      <c r="V1181" s="13" t="n">
        <f aca="false">IF(COUNTIF($B$2:B1181,B1181)=1,1,0)</f>
        <v>0</v>
      </c>
      <c r="W1181" s="13" t="n">
        <f aca="false">IF(COUNTIFS($B$2:B1181,B1181,$T$2:T1181,T1181)=1,1,0)</f>
        <v>1</v>
      </c>
    </row>
    <row r="1182" customFormat="false" ht="15" hidden="false" customHeight="false" outlineLevel="0" collapsed="false">
      <c r="A1182" s="13" t="s">
        <v>3430</v>
      </c>
      <c r="B1182" s="13" t="s">
        <v>2138</v>
      </c>
      <c r="C1182" s="13" t="n">
        <v>2600</v>
      </c>
      <c r="D1182" s="13" t="n">
        <v>2</v>
      </c>
      <c r="E1182" s="13" t="n">
        <v>649.5725</v>
      </c>
      <c r="F1182" s="13" t="s">
        <v>5288</v>
      </c>
      <c r="G1182" s="13" t="s">
        <v>5292</v>
      </c>
      <c r="H1182" s="13" t="s">
        <v>5289</v>
      </c>
      <c r="I1182" s="13" t="s">
        <v>5289</v>
      </c>
      <c r="J1182" s="13" t="s">
        <v>5289</v>
      </c>
      <c r="K1182" s="13" t="s">
        <v>5289</v>
      </c>
      <c r="L1182" s="13" t="s">
        <v>5874</v>
      </c>
      <c r="M1182" s="13"/>
      <c r="N1182" s="13" t="n">
        <v>3386460135177</v>
      </c>
      <c r="O1182" s="13"/>
      <c r="P1182" s="13" t="s">
        <v>5291</v>
      </c>
      <c r="Q1182" s="13" t="s">
        <v>5289</v>
      </c>
      <c r="R1182" s="13" t="s">
        <v>5292</v>
      </c>
      <c r="S1182" s="13" t="s">
        <v>5293</v>
      </c>
      <c r="T1182" s="13" t="s">
        <v>4</v>
      </c>
      <c r="U1182" s="13" t="s">
        <v>43</v>
      </c>
      <c r="V1182" s="13" t="n">
        <f aca="false">IF(COUNTIF($B$2:B1182,B1182)=1,1,0)</f>
        <v>0</v>
      </c>
      <c r="W1182" s="13" t="n">
        <f aca="false">IF(COUNTIFS($B$2:B1182,B1182,$T$2:T1182,T1182)=1,1,0)</f>
        <v>0</v>
      </c>
    </row>
    <row r="1183" customFormat="false" ht="15" hidden="false" customHeight="false" outlineLevel="0" collapsed="false">
      <c r="A1183" s="13" t="s">
        <v>771</v>
      </c>
      <c r="B1183" s="13" t="s">
        <v>45</v>
      </c>
      <c r="C1183" s="13" t="n">
        <v>2600</v>
      </c>
      <c r="D1183" s="13" t="n">
        <v>2</v>
      </c>
      <c r="E1183" s="13" t="n">
        <v>863.97</v>
      </c>
      <c r="F1183" s="13" t="s">
        <v>5325</v>
      </c>
      <c r="G1183" s="13" t="s">
        <v>5292</v>
      </c>
      <c r="H1183" s="13" t="s">
        <v>5292</v>
      </c>
      <c r="I1183" s="13" t="s">
        <v>5289</v>
      </c>
      <c r="J1183" s="13" t="s">
        <v>5289</v>
      </c>
      <c r="K1183" s="13" t="s">
        <v>5289</v>
      </c>
      <c r="L1183" s="13" t="s">
        <v>5875</v>
      </c>
      <c r="M1183" s="13"/>
      <c r="N1183" s="13" t="n">
        <v>8435415116572</v>
      </c>
      <c r="O1183" s="13"/>
      <c r="P1183" s="13" t="s">
        <v>5291</v>
      </c>
      <c r="Q1183" s="13" t="s">
        <v>5289</v>
      </c>
      <c r="R1183" s="13" t="s">
        <v>5292</v>
      </c>
      <c r="S1183" s="13" t="s">
        <v>5293</v>
      </c>
      <c r="T1183" s="13" t="s">
        <v>4</v>
      </c>
      <c r="U1183" s="13" t="s">
        <v>43</v>
      </c>
      <c r="V1183" s="13" t="n">
        <f aca="false">IF(COUNTIF($B$2:B1183,B1183)=1,1,0)</f>
        <v>0</v>
      </c>
      <c r="W1183" s="13" t="n">
        <f aca="false">IF(COUNTIFS($B$2:B1183,B1183,$T$2:T1183,T1183)=1,1,0)</f>
        <v>0</v>
      </c>
    </row>
    <row r="1184" customFormat="false" ht="15" hidden="false" customHeight="false" outlineLevel="0" collapsed="false">
      <c r="A1184" s="13" t="s">
        <v>776</v>
      </c>
      <c r="B1184" s="13" t="s">
        <v>42</v>
      </c>
      <c r="C1184" s="13" t="n">
        <v>2600</v>
      </c>
      <c r="D1184" s="13" t="n">
        <v>2</v>
      </c>
      <c r="E1184" s="13" t="n">
        <v>647.66</v>
      </c>
      <c r="F1184" s="13" t="s">
        <v>5325</v>
      </c>
      <c r="G1184" s="13" t="s">
        <v>5289</v>
      </c>
      <c r="H1184" s="13" t="s">
        <v>5292</v>
      </c>
      <c r="I1184" s="13" t="s">
        <v>5289</v>
      </c>
      <c r="J1184" s="13" t="s">
        <v>5289</v>
      </c>
      <c r="K1184" s="13" t="s">
        <v>5289</v>
      </c>
      <c r="L1184" s="13" t="s">
        <v>5702</v>
      </c>
      <c r="M1184" s="13"/>
      <c r="N1184" s="13" t="n">
        <v>8411061865583</v>
      </c>
      <c r="O1184" s="13"/>
      <c r="P1184" s="13" t="s">
        <v>5291</v>
      </c>
      <c r="Q1184" s="13" t="s">
        <v>5289</v>
      </c>
      <c r="R1184" s="13" t="s">
        <v>5292</v>
      </c>
      <c r="S1184" s="13" t="s">
        <v>5293</v>
      </c>
      <c r="T1184" s="13" t="s">
        <v>4</v>
      </c>
      <c r="U1184" s="13" t="s">
        <v>43</v>
      </c>
      <c r="V1184" s="13" t="n">
        <f aca="false">IF(COUNTIF($B$2:B1184,B1184)=1,1,0)</f>
        <v>0</v>
      </c>
      <c r="W1184" s="13" t="n">
        <f aca="false">IF(COUNTIFS($B$2:B1184,B1184,$T$2:T1184,T1184)=1,1,0)</f>
        <v>0</v>
      </c>
    </row>
    <row r="1185" customFormat="false" ht="15" hidden="false" customHeight="false" outlineLevel="0" collapsed="false">
      <c r="A1185" s="13" t="s">
        <v>777</v>
      </c>
      <c r="B1185" s="13" t="s">
        <v>50</v>
      </c>
      <c r="C1185" s="13" t="n">
        <v>2600</v>
      </c>
      <c r="D1185" s="13" t="n">
        <v>10</v>
      </c>
      <c r="E1185" s="13" t="n">
        <v>234.454545454545</v>
      </c>
      <c r="F1185" s="13" t="s">
        <v>5288</v>
      </c>
      <c r="G1185" s="13" t="s">
        <v>5292</v>
      </c>
      <c r="H1185" s="13" t="s">
        <v>5289</v>
      </c>
      <c r="I1185" s="13" t="s">
        <v>5289</v>
      </c>
      <c r="J1185" s="13" t="s">
        <v>5289</v>
      </c>
      <c r="K1185" s="13" t="s">
        <v>5289</v>
      </c>
      <c r="L1185" s="13" t="s">
        <v>5876</v>
      </c>
      <c r="M1185" s="13"/>
      <c r="N1185" s="13" t="n">
        <v>3349668530502</v>
      </c>
      <c r="O1185" s="13"/>
      <c r="P1185" s="13" t="s">
        <v>5297</v>
      </c>
      <c r="Q1185" s="13" t="s">
        <v>5289</v>
      </c>
      <c r="R1185" s="13" t="s">
        <v>5292</v>
      </c>
      <c r="S1185" s="13" t="s">
        <v>5293</v>
      </c>
      <c r="T1185" s="13" t="s">
        <v>4</v>
      </c>
      <c r="U1185" s="13" t="s">
        <v>43</v>
      </c>
      <c r="V1185" s="13" t="n">
        <f aca="false">IF(COUNTIF($B$2:B1185,B1185)=1,1,0)</f>
        <v>0</v>
      </c>
      <c r="W1185" s="13" t="n">
        <f aca="false">IF(COUNTIFS($B$2:B1185,B1185,$T$2:T1185,T1185)=1,1,0)</f>
        <v>0</v>
      </c>
    </row>
    <row r="1186" customFormat="false" ht="15" hidden="false" customHeight="false" outlineLevel="0" collapsed="false">
      <c r="A1186" s="13" t="s">
        <v>279</v>
      </c>
      <c r="B1186" s="13" t="s">
        <v>45</v>
      </c>
      <c r="C1186" s="13" t="n">
        <v>2600</v>
      </c>
      <c r="D1186" s="13" t="n">
        <v>2</v>
      </c>
      <c r="E1186" s="13" t="n">
        <v>644.18</v>
      </c>
      <c r="F1186" s="13" t="s">
        <v>5288</v>
      </c>
      <c r="G1186" s="13" t="s">
        <v>5292</v>
      </c>
      <c r="H1186" s="13" t="s">
        <v>5289</v>
      </c>
      <c r="I1186" s="13" t="s">
        <v>5289</v>
      </c>
      <c r="J1186" s="13" t="s">
        <v>5289</v>
      </c>
      <c r="K1186" s="13" t="s">
        <v>5289</v>
      </c>
      <c r="L1186" s="13" t="s">
        <v>5877</v>
      </c>
      <c r="M1186" s="13"/>
      <c r="N1186" s="13" t="n">
        <v>8435415102698</v>
      </c>
      <c r="O1186" s="13"/>
      <c r="P1186" s="13" t="s">
        <v>5291</v>
      </c>
      <c r="Q1186" s="13" t="s">
        <v>5289</v>
      </c>
      <c r="R1186" s="13" t="s">
        <v>5292</v>
      </c>
      <c r="S1186" s="13" t="s">
        <v>5293</v>
      </c>
      <c r="T1186" s="13" t="s">
        <v>4</v>
      </c>
      <c r="U1186" s="13" t="s">
        <v>43</v>
      </c>
      <c r="V1186" s="13" t="n">
        <f aca="false">IF(COUNTIF($B$2:B1186,B1186)=1,1,0)</f>
        <v>0</v>
      </c>
      <c r="W1186" s="13" t="n">
        <f aca="false">IF(COUNTIFS($B$2:B1186,B1186,$T$2:T1186,T1186)=1,1,0)</f>
        <v>0</v>
      </c>
    </row>
    <row r="1187" customFormat="false" ht="15" hidden="false" customHeight="false" outlineLevel="0" collapsed="false">
      <c r="A1187" s="13" t="s">
        <v>279</v>
      </c>
      <c r="B1187" s="13" t="s">
        <v>45</v>
      </c>
      <c r="C1187" s="13" t="n">
        <v>2600</v>
      </c>
      <c r="D1187" s="13" t="n">
        <v>2</v>
      </c>
      <c r="E1187" s="13" t="n">
        <v>855.96</v>
      </c>
      <c r="F1187" s="13" t="s">
        <v>5288</v>
      </c>
      <c r="G1187" s="13" t="s">
        <v>5289</v>
      </c>
      <c r="H1187" s="13" t="s">
        <v>5289</v>
      </c>
      <c r="I1187" s="13" t="s">
        <v>5289</v>
      </c>
      <c r="J1187" s="13" t="s">
        <v>5289</v>
      </c>
      <c r="K1187" s="13" t="s">
        <v>5289</v>
      </c>
      <c r="L1187" s="13" t="s">
        <v>5878</v>
      </c>
      <c r="M1187" s="13"/>
      <c r="N1187" s="13" t="n">
        <v>8435415102704</v>
      </c>
      <c r="O1187" s="13"/>
      <c r="P1187" s="13" t="s">
        <v>5291</v>
      </c>
      <c r="Q1187" s="13" t="s">
        <v>5289</v>
      </c>
      <c r="R1187" s="13" t="s">
        <v>5292</v>
      </c>
      <c r="S1187" s="13" t="s">
        <v>5293</v>
      </c>
      <c r="T1187" s="13" t="s">
        <v>4</v>
      </c>
      <c r="U1187" s="13" t="s">
        <v>43</v>
      </c>
      <c r="V1187" s="13" t="n">
        <f aca="false">IF(COUNTIF($B$2:B1187,B1187)=1,1,0)</f>
        <v>0</v>
      </c>
      <c r="W1187" s="13" t="n">
        <f aca="false">IF(COUNTIFS($B$2:B1187,B1187,$T$2:T1187,T1187)=1,1,0)</f>
        <v>0</v>
      </c>
    </row>
    <row r="1188" customFormat="false" ht="15" hidden="false" customHeight="false" outlineLevel="0" collapsed="false">
      <c r="A1188" s="13" t="s">
        <v>775</v>
      </c>
      <c r="B1188" s="13" t="s">
        <v>45</v>
      </c>
      <c r="C1188" s="13" t="n">
        <v>2600</v>
      </c>
      <c r="D1188" s="13" t="n">
        <v>2</v>
      </c>
      <c r="E1188" s="13" t="n">
        <v>855.953333333333</v>
      </c>
      <c r="F1188" s="13" t="s">
        <v>5288</v>
      </c>
      <c r="G1188" s="13" t="s">
        <v>5289</v>
      </c>
      <c r="H1188" s="13" t="s">
        <v>5289</v>
      </c>
      <c r="I1188" s="13" t="s">
        <v>5289</v>
      </c>
      <c r="J1188" s="13" t="s">
        <v>5289</v>
      </c>
      <c r="K1188" s="13" t="s">
        <v>5289</v>
      </c>
      <c r="L1188" s="13" t="s">
        <v>5879</v>
      </c>
      <c r="M1188" s="13"/>
      <c r="N1188" s="13" t="n">
        <v>8435415116534</v>
      </c>
      <c r="O1188" s="13"/>
      <c r="P1188" s="13" t="s">
        <v>5291</v>
      </c>
      <c r="Q1188" s="13" t="s">
        <v>5289</v>
      </c>
      <c r="R1188" s="13" t="s">
        <v>5292</v>
      </c>
      <c r="S1188" s="13" t="s">
        <v>5293</v>
      </c>
      <c r="T1188" s="13" t="s">
        <v>4</v>
      </c>
      <c r="U1188" s="13" t="s">
        <v>43</v>
      </c>
      <c r="V1188" s="13" t="n">
        <f aca="false">IF(COUNTIF($B$2:B1188,B1188)=1,1,0)</f>
        <v>0</v>
      </c>
      <c r="W1188" s="13" t="n">
        <f aca="false">IF(COUNTIFS($B$2:B1188,B1188,$T$2:T1188,T1188)=1,1,0)</f>
        <v>0</v>
      </c>
    </row>
    <row r="1189" customFormat="false" ht="15" hidden="false" customHeight="false" outlineLevel="0" collapsed="false">
      <c r="A1189" s="13" t="s">
        <v>774</v>
      </c>
      <c r="B1189" s="13" t="s">
        <v>270</v>
      </c>
      <c r="C1189" s="13" t="n">
        <v>2600</v>
      </c>
      <c r="D1189" s="13" t="n">
        <v>5</v>
      </c>
      <c r="E1189" s="13" t="n">
        <v>366.447142857143</v>
      </c>
      <c r="F1189" s="13" t="s">
        <v>5288</v>
      </c>
      <c r="G1189" s="13" t="s">
        <v>5289</v>
      </c>
      <c r="H1189" s="13" t="s">
        <v>5292</v>
      </c>
      <c r="I1189" s="13" t="s">
        <v>5289</v>
      </c>
      <c r="J1189" s="13" t="s">
        <v>5289</v>
      </c>
      <c r="K1189" s="13" t="s">
        <v>5289</v>
      </c>
      <c r="L1189" s="13" t="s">
        <v>5880</v>
      </c>
      <c r="M1189" s="13"/>
      <c r="N1189" s="13" t="n">
        <v>892456000525</v>
      </c>
      <c r="O1189" s="13"/>
      <c r="P1189" s="13" t="s">
        <v>5291</v>
      </c>
      <c r="Q1189" s="13" t="s">
        <v>5289</v>
      </c>
      <c r="R1189" s="13" t="s">
        <v>5292</v>
      </c>
      <c r="S1189" s="13" t="s">
        <v>5293</v>
      </c>
      <c r="T1189" s="13" t="s">
        <v>4</v>
      </c>
      <c r="U1189" s="13" t="s">
        <v>43</v>
      </c>
      <c r="V1189" s="13" t="n">
        <f aca="false">IF(COUNTIF($B$2:B1189,B1189)=1,1,0)</f>
        <v>0</v>
      </c>
      <c r="W1189" s="13" t="n">
        <f aca="false">IF(COUNTIFS($B$2:B1189,B1189,$T$2:T1189,T1189)=1,1,0)</f>
        <v>0</v>
      </c>
    </row>
    <row r="1190" customFormat="false" ht="15" hidden="false" customHeight="false" outlineLevel="0" collapsed="false">
      <c r="A1190" s="13" t="s">
        <v>3358</v>
      </c>
      <c r="B1190" s="13" t="s">
        <v>2110</v>
      </c>
      <c r="C1190" s="13" t="n">
        <v>2500</v>
      </c>
      <c r="D1190" s="13" t="n">
        <v>5</v>
      </c>
      <c r="E1190" s="13" t="n">
        <v>509.22</v>
      </c>
      <c r="F1190" s="13" t="s">
        <v>5325</v>
      </c>
      <c r="G1190" s="13" t="s">
        <v>5292</v>
      </c>
      <c r="H1190" s="13" t="s">
        <v>5289</v>
      </c>
      <c r="I1190" s="13" t="s">
        <v>5289</v>
      </c>
      <c r="J1190" s="13" t="s">
        <v>5289</v>
      </c>
      <c r="K1190" s="13" t="s">
        <v>5289</v>
      </c>
      <c r="L1190" s="13" t="s">
        <v>5881</v>
      </c>
      <c r="M1190" s="13"/>
      <c r="N1190" s="13" t="n">
        <v>3386460149969</v>
      </c>
      <c r="O1190" s="13"/>
      <c r="P1190" s="13" t="s">
        <v>5291</v>
      </c>
      <c r="Q1190" s="13" t="s">
        <v>5289</v>
      </c>
      <c r="R1190" s="13" t="s">
        <v>5292</v>
      </c>
      <c r="S1190" s="13" t="s">
        <v>5293</v>
      </c>
      <c r="T1190" s="13" t="s">
        <v>4</v>
      </c>
      <c r="U1190" s="13" t="s">
        <v>43</v>
      </c>
      <c r="V1190" s="13" t="n">
        <f aca="false">IF(COUNTIF($B$2:B1190,B1190)=1,1,0)</f>
        <v>0</v>
      </c>
      <c r="W1190" s="13" t="n">
        <f aca="false">IF(COUNTIFS($B$2:B1190,B1190,$T$2:T1190,T1190)=1,1,0)</f>
        <v>0</v>
      </c>
    </row>
    <row r="1191" customFormat="false" ht="15" hidden="false" customHeight="false" outlineLevel="0" collapsed="false">
      <c r="A1191" s="13" t="s">
        <v>802</v>
      </c>
      <c r="B1191" s="13" t="s">
        <v>45</v>
      </c>
      <c r="C1191" s="13" t="n">
        <v>2500</v>
      </c>
      <c r="D1191" s="13" t="n">
        <v>2</v>
      </c>
      <c r="E1191" s="13" t="n">
        <v>845.39</v>
      </c>
      <c r="F1191" s="13" t="s">
        <v>5325</v>
      </c>
      <c r="G1191" s="13" t="s">
        <v>5289</v>
      </c>
      <c r="H1191" s="13" t="s">
        <v>5292</v>
      </c>
      <c r="I1191" s="13" t="s">
        <v>5289</v>
      </c>
      <c r="J1191" s="13" t="s">
        <v>5289</v>
      </c>
      <c r="K1191" s="13" t="s">
        <v>5289</v>
      </c>
      <c r="L1191" s="13" t="s">
        <v>5707</v>
      </c>
      <c r="M1191" s="13"/>
      <c r="N1191" s="13" t="n">
        <v>8435415059060</v>
      </c>
      <c r="O1191" s="13"/>
      <c r="P1191" s="13" t="s">
        <v>5291</v>
      </c>
      <c r="Q1191" s="13" t="s">
        <v>5289</v>
      </c>
      <c r="R1191" s="13" t="s">
        <v>5292</v>
      </c>
      <c r="S1191" s="13" t="s">
        <v>5293</v>
      </c>
      <c r="T1191" s="13" t="s">
        <v>4</v>
      </c>
      <c r="U1191" s="13" t="s">
        <v>43</v>
      </c>
      <c r="V1191" s="13" t="n">
        <f aca="false">IF(COUNTIF($B$2:B1191,B1191)=1,1,0)</f>
        <v>0</v>
      </c>
      <c r="W1191" s="13" t="n">
        <f aca="false">IF(COUNTIFS($B$2:B1191,B1191,$T$2:T1191,T1191)=1,1,0)</f>
        <v>0</v>
      </c>
    </row>
    <row r="1192" customFormat="false" ht="15" hidden="false" customHeight="false" outlineLevel="0" collapsed="false">
      <c r="A1192" s="13" t="s">
        <v>803</v>
      </c>
      <c r="B1192" s="13" t="s">
        <v>45</v>
      </c>
      <c r="C1192" s="13" t="n">
        <v>2500</v>
      </c>
      <c r="D1192" s="13" t="n">
        <v>2</v>
      </c>
      <c r="E1192" s="13" t="n">
        <v>844.153333333333</v>
      </c>
      <c r="F1192" s="13" t="s">
        <v>5288</v>
      </c>
      <c r="G1192" s="13" t="s">
        <v>5289</v>
      </c>
      <c r="H1192" s="13" t="s">
        <v>5289</v>
      </c>
      <c r="I1192" s="13" t="s">
        <v>5289</v>
      </c>
      <c r="J1192" s="13" t="s">
        <v>5289</v>
      </c>
      <c r="K1192" s="13" t="s">
        <v>5289</v>
      </c>
      <c r="L1192" s="13" t="s">
        <v>5882</v>
      </c>
      <c r="M1192" s="13"/>
      <c r="N1192" s="13" t="n">
        <v>8435415103169</v>
      </c>
      <c r="O1192" s="13"/>
      <c r="P1192" s="13" t="s">
        <v>5291</v>
      </c>
      <c r="Q1192" s="13" t="s">
        <v>5289</v>
      </c>
      <c r="R1192" s="13" t="s">
        <v>5292</v>
      </c>
      <c r="S1192" s="13" t="s">
        <v>5293</v>
      </c>
      <c r="T1192" s="13" t="s">
        <v>4</v>
      </c>
      <c r="U1192" s="13" t="s">
        <v>43</v>
      </c>
      <c r="V1192" s="13" t="n">
        <f aca="false">IF(COUNTIF($B$2:B1192,B1192)=1,1,0)</f>
        <v>0</v>
      </c>
      <c r="W1192" s="13" t="n">
        <f aca="false">IF(COUNTIFS($B$2:B1192,B1192,$T$2:T1192,T1192)=1,1,0)</f>
        <v>0</v>
      </c>
    </row>
    <row r="1193" customFormat="false" ht="15" hidden="false" customHeight="false" outlineLevel="0" collapsed="false">
      <c r="A1193" s="13" t="s">
        <v>804</v>
      </c>
      <c r="B1193" s="13" t="s">
        <v>270</v>
      </c>
      <c r="C1193" s="13" t="n">
        <v>2500</v>
      </c>
      <c r="D1193" s="13" t="n">
        <v>5</v>
      </c>
      <c r="E1193" s="13" t="n">
        <v>315.63375</v>
      </c>
      <c r="F1193" s="13" t="s">
        <v>5288</v>
      </c>
      <c r="G1193" s="13" t="s">
        <v>5289</v>
      </c>
      <c r="H1193" s="13" t="s">
        <v>5292</v>
      </c>
      <c r="I1193" s="13" t="s">
        <v>5289</v>
      </c>
      <c r="J1193" s="13" t="s">
        <v>5289</v>
      </c>
      <c r="K1193" s="13" t="s">
        <v>5289</v>
      </c>
      <c r="L1193" s="13" t="s">
        <v>5883</v>
      </c>
      <c r="M1193" s="13"/>
      <c r="N1193" s="13" t="n">
        <v>892456000310</v>
      </c>
      <c r="O1193" s="13"/>
      <c r="P1193" s="13" t="s">
        <v>5291</v>
      </c>
      <c r="Q1193" s="13" t="s">
        <v>5289</v>
      </c>
      <c r="R1193" s="13" t="s">
        <v>5292</v>
      </c>
      <c r="S1193" s="13" t="s">
        <v>5293</v>
      </c>
      <c r="T1193" s="13" t="s">
        <v>4</v>
      </c>
      <c r="U1193" s="13" t="s">
        <v>43</v>
      </c>
      <c r="V1193" s="13" t="n">
        <f aca="false">IF(COUNTIF($B$2:B1193,B1193)=1,1,0)</f>
        <v>0</v>
      </c>
      <c r="W1193" s="13" t="n">
        <f aca="false">IF(COUNTIFS($B$2:B1193,B1193,$T$2:T1193,T1193)=1,1,0)</f>
        <v>0</v>
      </c>
    </row>
    <row r="1194" customFormat="false" ht="15" hidden="false" customHeight="false" outlineLevel="0" collapsed="false">
      <c r="A1194" s="13" t="s">
        <v>3103</v>
      </c>
      <c r="B1194" s="13" t="s">
        <v>2120</v>
      </c>
      <c r="C1194" s="13" t="n">
        <v>2500</v>
      </c>
      <c r="D1194" s="13" t="n">
        <v>2</v>
      </c>
      <c r="E1194" s="13" t="n">
        <v>627.7475</v>
      </c>
      <c r="F1194" s="13" t="s">
        <v>5288</v>
      </c>
      <c r="G1194" s="13" t="s">
        <v>5289</v>
      </c>
      <c r="H1194" s="13" t="s">
        <v>5292</v>
      </c>
      <c r="I1194" s="13" t="s">
        <v>5289</v>
      </c>
      <c r="J1194" s="13" t="s">
        <v>5289</v>
      </c>
      <c r="K1194" s="13" t="s">
        <v>5289</v>
      </c>
      <c r="L1194" s="13" t="s">
        <v>5884</v>
      </c>
      <c r="M1194" s="13"/>
      <c r="N1194" s="13" t="n">
        <v>3423470311365</v>
      </c>
      <c r="O1194" s="13"/>
      <c r="P1194" s="13" t="s">
        <v>5291</v>
      </c>
      <c r="Q1194" s="13" t="s">
        <v>5289</v>
      </c>
      <c r="R1194" s="13" t="s">
        <v>5292</v>
      </c>
      <c r="S1194" s="13" t="s">
        <v>5293</v>
      </c>
      <c r="T1194" s="13" t="s">
        <v>4</v>
      </c>
      <c r="U1194" s="13" t="s">
        <v>85</v>
      </c>
      <c r="V1194" s="13" t="n">
        <f aca="false">IF(COUNTIF($B$2:B1194,B1194)=1,1,0)</f>
        <v>0</v>
      </c>
      <c r="W1194" s="13" t="n">
        <f aca="false">IF(COUNTIFS($B$2:B1194,B1194,$T$2:T1194,T1194)=1,1,0)</f>
        <v>0</v>
      </c>
    </row>
    <row r="1195" customFormat="false" ht="15" hidden="false" customHeight="false" outlineLevel="0" collapsed="false">
      <c r="A1195" s="13" t="s">
        <v>801</v>
      </c>
      <c r="B1195" s="13" t="s">
        <v>177</v>
      </c>
      <c r="C1195" s="13" t="n">
        <v>2500</v>
      </c>
      <c r="D1195" s="13" t="n">
        <v>2</v>
      </c>
      <c r="E1195" s="13" t="n">
        <v>831.5</v>
      </c>
      <c r="F1195" s="13" t="s">
        <v>5325</v>
      </c>
      <c r="G1195" s="13" t="s">
        <v>5289</v>
      </c>
      <c r="H1195" s="13" t="s">
        <v>5292</v>
      </c>
      <c r="I1195" s="13" t="s">
        <v>5289</v>
      </c>
      <c r="J1195" s="13" t="s">
        <v>5289</v>
      </c>
      <c r="K1195" s="13" t="s">
        <v>5289</v>
      </c>
      <c r="L1195" s="13" t="s">
        <v>5885</v>
      </c>
      <c r="M1195" s="13"/>
      <c r="N1195" s="13" t="n">
        <v>3616304175916</v>
      </c>
      <c r="O1195" s="13"/>
      <c r="P1195" s="13" t="s">
        <v>5291</v>
      </c>
      <c r="Q1195" s="13" t="s">
        <v>5289</v>
      </c>
      <c r="R1195" s="13" t="s">
        <v>5292</v>
      </c>
      <c r="S1195" s="13" t="s">
        <v>5293</v>
      </c>
      <c r="T1195" s="13" t="s">
        <v>4</v>
      </c>
      <c r="U1195" s="13" t="s">
        <v>43</v>
      </c>
      <c r="V1195" s="13" t="n">
        <f aca="false">IF(COUNTIF($B$2:B1195,B1195)=1,1,0)</f>
        <v>0</v>
      </c>
      <c r="W1195" s="13" t="n">
        <f aca="false">IF(COUNTIFS($B$2:B1195,B1195,$T$2:T1195,T1195)=1,1,0)</f>
        <v>0</v>
      </c>
    </row>
    <row r="1196" customFormat="false" ht="15" hidden="false" customHeight="false" outlineLevel="0" collapsed="false">
      <c r="A1196" s="13" t="s">
        <v>5886</v>
      </c>
      <c r="B1196" s="13" t="s">
        <v>2128</v>
      </c>
      <c r="C1196" s="13" t="n">
        <v>2500</v>
      </c>
      <c r="D1196" s="13" t="n">
        <v>20</v>
      </c>
      <c r="E1196" s="13" t="n">
        <v>131.18</v>
      </c>
      <c r="F1196" s="13" t="s">
        <v>5288</v>
      </c>
      <c r="G1196" s="13" t="s">
        <v>5289</v>
      </c>
      <c r="H1196" s="13" t="s">
        <v>5292</v>
      </c>
      <c r="I1196" s="13" t="s">
        <v>5289</v>
      </c>
      <c r="J1196" s="13" t="s">
        <v>5289</v>
      </c>
      <c r="K1196" s="13" t="s">
        <v>5289</v>
      </c>
      <c r="L1196" s="13" t="s">
        <v>5887</v>
      </c>
      <c r="M1196" s="13"/>
      <c r="N1196" s="13" t="n">
        <v>3326240816698</v>
      </c>
      <c r="O1196" s="13"/>
      <c r="P1196" s="13" t="s">
        <v>5291</v>
      </c>
      <c r="Q1196" s="13" t="s">
        <v>5289</v>
      </c>
      <c r="R1196" s="13" t="s">
        <v>5292</v>
      </c>
      <c r="S1196" s="13" t="s">
        <v>5293</v>
      </c>
      <c r="T1196" s="13" t="s">
        <v>4</v>
      </c>
      <c r="U1196" s="13" t="s">
        <v>85</v>
      </c>
      <c r="V1196" s="13" t="n">
        <f aca="false">IF(COUNTIF($B$2:B1196,B1196)=1,1,0)</f>
        <v>0</v>
      </c>
      <c r="W1196" s="13" t="n">
        <f aca="false">IF(COUNTIFS($B$2:B1196,B1196,$T$2:T1196,T1196)=1,1,0)</f>
        <v>1</v>
      </c>
    </row>
    <row r="1197" customFormat="false" ht="15" hidden="false" customHeight="false" outlineLevel="0" collapsed="false">
      <c r="A1197" s="13" t="s">
        <v>699</v>
      </c>
      <c r="B1197" s="13" t="s">
        <v>50</v>
      </c>
      <c r="C1197" s="13" t="n">
        <v>2500</v>
      </c>
      <c r="D1197" s="13" t="n">
        <v>2</v>
      </c>
      <c r="E1197" s="13" t="n">
        <v>827.08</v>
      </c>
      <c r="F1197" s="13" t="s">
        <v>5325</v>
      </c>
      <c r="G1197" s="13" t="s">
        <v>5292</v>
      </c>
      <c r="H1197" s="13" t="s">
        <v>5289</v>
      </c>
      <c r="I1197" s="13" t="s">
        <v>5289</v>
      </c>
      <c r="J1197" s="13" t="s">
        <v>5289</v>
      </c>
      <c r="K1197" s="13" t="s">
        <v>5289</v>
      </c>
      <c r="L1197" s="13" t="s">
        <v>5846</v>
      </c>
      <c r="M1197" s="13"/>
      <c r="N1197" s="13"/>
      <c r="O1197" s="13"/>
      <c r="P1197" s="13" t="s">
        <v>5291</v>
      </c>
      <c r="Q1197" s="13" t="s">
        <v>5289</v>
      </c>
      <c r="R1197" s="13" t="s">
        <v>5292</v>
      </c>
      <c r="S1197" s="13" t="s">
        <v>5293</v>
      </c>
      <c r="T1197" s="13" t="s">
        <v>4</v>
      </c>
      <c r="U1197" s="13" t="s">
        <v>43</v>
      </c>
      <c r="V1197" s="13" t="n">
        <f aca="false">IF(COUNTIF($B$2:B1197,B1197)=1,1,0)</f>
        <v>0</v>
      </c>
      <c r="W1197" s="13" t="n">
        <f aca="false">IF(COUNTIFS($B$2:B1197,B1197,$T$2:T1197,T1197)=1,1,0)</f>
        <v>0</v>
      </c>
    </row>
    <row r="1198" customFormat="false" ht="15" hidden="false" customHeight="false" outlineLevel="0" collapsed="false">
      <c r="A1198" s="13" t="s">
        <v>5888</v>
      </c>
      <c r="B1198" s="13" t="s">
        <v>2144</v>
      </c>
      <c r="C1198" s="13" t="n">
        <v>2500</v>
      </c>
      <c r="D1198" s="13" t="n">
        <v>5</v>
      </c>
      <c r="E1198" s="13" t="n">
        <v>308.2275</v>
      </c>
      <c r="F1198" s="13" t="s">
        <v>5325</v>
      </c>
      <c r="G1198" s="13" t="s">
        <v>5292</v>
      </c>
      <c r="H1198" s="13" t="s">
        <v>5292</v>
      </c>
      <c r="I1198" s="13" t="s">
        <v>5289</v>
      </c>
      <c r="J1198" s="13" t="s">
        <v>5289</v>
      </c>
      <c r="K1198" s="13" t="s">
        <v>5289</v>
      </c>
      <c r="L1198" s="13" t="s">
        <v>5798</v>
      </c>
      <c r="M1198" s="13"/>
      <c r="N1198" s="13" t="n">
        <v>716393009581</v>
      </c>
      <c r="O1198" s="13"/>
      <c r="P1198" s="13" t="s">
        <v>5291</v>
      </c>
      <c r="Q1198" s="13" t="s">
        <v>5289</v>
      </c>
      <c r="R1198" s="13" t="s">
        <v>5292</v>
      </c>
      <c r="S1198" s="13" t="s">
        <v>5293</v>
      </c>
      <c r="T1198" s="13" t="s">
        <v>4</v>
      </c>
      <c r="U1198" s="13" t="s">
        <v>85</v>
      </c>
      <c r="V1198" s="13" t="n">
        <f aca="false">IF(COUNTIF($B$2:B1198,B1198)=1,1,0)</f>
        <v>0</v>
      </c>
      <c r="W1198" s="13" t="n">
        <f aca="false">IF(COUNTIFS($B$2:B1198,B1198,$T$2:T1198,T1198)=1,1,0)</f>
        <v>0</v>
      </c>
    </row>
    <row r="1199" customFormat="false" ht="15" hidden="false" customHeight="false" outlineLevel="0" collapsed="false">
      <c r="A1199" s="13" t="s">
        <v>810</v>
      </c>
      <c r="B1199" s="13" t="s">
        <v>42</v>
      </c>
      <c r="C1199" s="13" t="n">
        <v>2400</v>
      </c>
      <c r="D1199" s="13" t="n">
        <v>5</v>
      </c>
      <c r="E1199" s="13" t="n">
        <v>244.82</v>
      </c>
      <c r="F1199" s="13" t="s">
        <v>5325</v>
      </c>
      <c r="G1199" s="13" t="s">
        <v>5292</v>
      </c>
      <c r="H1199" s="13" t="s">
        <v>5292</v>
      </c>
      <c r="I1199" s="13" t="s">
        <v>5289</v>
      </c>
      <c r="J1199" s="13" t="s">
        <v>5289</v>
      </c>
      <c r="K1199" s="13" t="s">
        <v>5289</v>
      </c>
      <c r="L1199" s="13" t="s">
        <v>5688</v>
      </c>
      <c r="M1199" s="13"/>
      <c r="N1199" s="13" t="n">
        <v>8411061021538</v>
      </c>
      <c r="O1199" s="13"/>
      <c r="P1199" s="13" t="s">
        <v>5291</v>
      </c>
      <c r="Q1199" s="13" t="s">
        <v>5289</v>
      </c>
      <c r="R1199" s="13" t="s">
        <v>5292</v>
      </c>
      <c r="S1199" s="13" t="s">
        <v>5293</v>
      </c>
      <c r="T1199" s="13" t="s">
        <v>4</v>
      </c>
      <c r="U1199" s="13" t="s">
        <v>43</v>
      </c>
      <c r="V1199" s="13" t="n">
        <f aca="false">IF(COUNTIF($B$2:B1199,B1199)=1,1,0)</f>
        <v>0</v>
      </c>
      <c r="W1199" s="13" t="n">
        <f aca="false">IF(COUNTIFS($B$2:B1199,B1199,$T$2:T1199,T1199)=1,1,0)</f>
        <v>0</v>
      </c>
    </row>
    <row r="1200" customFormat="false" ht="15" hidden="false" customHeight="false" outlineLevel="0" collapsed="false">
      <c r="A1200" s="13" t="s">
        <v>808</v>
      </c>
      <c r="B1200" s="13" t="s">
        <v>50</v>
      </c>
      <c r="C1200" s="13" t="n">
        <v>2400</v>
      </c>
      <c r="D1200" s="13" t="n">
        <v>2</v>
      </c>
      <c r="E1200" s="13" t="n">
        <v>812.993333333333</v>
      </c>
      <c r="F1200" s="13" t="s">
        <v>5288</v>
      </c>
      <c r="G1200" s="13" t="s">
        <v>5289</v>
      </c>
      <c r="H1200" s="13" t="s">
        <v>5289</v>
      </c>
      <c r="I1200" s="13" t="s">
        <v>5289</v>
      </c>
      <c r="J1200" s="13" t="s">
        <v>5289</v>
      </c>
      <c r="K1200" s="13" t="s">
        <v>5289</v>
      </c>
      <c r="L1200" s="13" t="s">
        <v>5889</v>
      </c>
      <c r="M1200" s="13"/>
      <c r="N1200" s="13" t="n">
        <v>3349668614615</v>
      </c>
      <c r="O1200" s="13"/>
      <c r="P1200" s="13" t="s">
        <v>5291</v>
      </c>
      <c r="Q1200" s="13" t="s">
        <v>5289</v>
      </c>
      <c r="R1200" s="13" t="s">
        <v>5292</v>
      </c>
      <c r="S1200" s="13" t="s">
        <v>5293</v>
      </c>
      <c r="T1200" s="13" t="s">
        <v>4</v>
      </c>
      <c r="U1200" s="13" t="s">
        <v>43</v>
      </c>
      <c r="V1200" s="13" t="n">
        <f aca="false">IF(COUNTIF($B$2:B1200,B1200)=1,1,0)</f>
        <v>0</v>
      </c>
      <c r="W1200" s="13" t="n">
        <f aca="false">IF(COUNTIFS($B$2:B1200,B1200,$T$2:T1200,T1200)=1,1,0)</f>
        <v>0</v>
      </c>
    </row>
    <row r="1201" customFormat="false" ht="15" hidden="false" customHeight="false" outlineLevel="0" collapsed="false">
      <c r="A1201" s="13" t="s">
        <v>824</v>
      </c>
      <c r="B1201" s="13" t="s">
        <v>42</v>
      </c>
      <c r="C1201" s="13" t="n">
        <v>2400</v>
      </c>
      <c r="D1201" s="13" t="n">
        <v>2</v>
      </c>
      <c r="E1201" s="13" t="n">
        <v>607.18</v>
      </c>
      <c r="F1201" s="13" t="s">
        <v>5288</v>
      </c>
      <c r="G1201" s="13" t="s">
        <v>5289</v>
      </c>
      <c r="H1201" s="13" t="s">
        <v>5289</v>
      </c>
      <c r="I1201" s="13" t="s">
        <v>5289</v>
      </c>
      <c r="J1201" s="13" t="s">
        <v>5289</v>
      </c>
      <c r="K1201" s="13" t="s">
        <v>5289</v>
      </c>
      <c r="L1201" s="13" t="s">
        <v>5890</v>
      </c>
      <c r="M1201" s="13"/>
      <c r="N1201" s="13" t="n">
        <v>8411061106389</v>
      </c>
      <c r="O1201" s="13"/>
      <c r="P1201" s="13" t="s">
        <v>5291</v>
      </c>
      <c r="Q1201" s="13" t="s">
        <v>5289</v>
      </c>
      <c r="R1201" s="13" t="s">
        <v>5292</v>
      </c>
      <c r="S1201" s="13" t="s">
        <v>5293</v>
      </c>
      <c r="T1201" s="13" t="s">
        <v>4</v>
      </c>
      <c r="U1201" s="13" t="s">
        <v>43</v>
      </c>
      <c r="V1201" s="13" t="n">
        <f aca="false">IF(COUNTIF($B$2:B1201,B1201)=1,1,0)</f>
        <v>0</v>
      </c>
      <c r="W1201" s="13" t="n">
        <f aca="false">IF(COUNTIFS($B$2:B1201,B1201,$T$2:T1201,T1201)=1,1,0)</f>
        <v>0</v>
      </c>
    </row>
    <row r="1202" customFormat="false" ht="15" hidden="false" customHeight="false" outlineLevel="0" collapsed="false">
      <c r="A1202" s="13" t="s">
        <v>825</v>
      </c>
      <c r="B1202" s="13" t="s">
        <v>45</v>
      </c>
      <c r="C1202" s="13" t="n">
        <v>2400</v>
      </c>
      <c r="D1202" s="13" t="n">
        <v>2</v>
      </c>
      <c r="E1202" s="13" t="n">
        <v>809.216666666667</v>
      </c>
      <c r="F1202" s="13" t="s">
        <v>5288</v>
      </c>
      <c r="G1202" s="13" t="s">
        <v>5289</v>
      </c>
      <c r="H1202" s="13" t="s">
        <v>5292</v>
      </c>
      <c r="I1202" s="13" t="s">
        <v>5289</v>
      </c>
      <c r="J1202" s="13" t="s">
        <v>5289</v>
      </c>
      <c r="K1202" s="13" t="s">
        <v>5289</v>
      </c>
      <c r="L1202" s="13" t="s">
        <v>5891</v>
      </c>
      <c r="M1202" s="13"/>
      <c r="N1202" s="13" t="n">
        <v>8435415080385</v>
      </c>
      <c r="O1202" s="13"/>
      <c r="P1202" s="13" t="s">
        <v>5291</v>
      </c>
      <c r="Q1202" s="13" t="s">
        <v>5289</v>
      </c>
      <c r="R1202" s="13" t="s">
        <v>5292</v>
      </c>
      <c r="S1202" s="13" t="s">
        <v>5293</v>
      </c>
      <c r="T1202" s="13" t="s">
        <v>4</v>
      </c>
      <c r="U1202" s="13" t="s">
        <v>43</v>
      </c>
      <c r="V1202" s="13" t="n">
        <f aca="false">IF(COUNTIF($B$2:B1202,B1202)=1,1,0)</f>
        <v>0</v>
      </c>
      <c r="W1202" s="13" t="n">
        <f aca="false">IF(COUNTIFS($B$2:B1202,B1202,$T$2:T1202,T1202)=1,1,0)</f>
        <v>0</v>
      </c>
    </row>
    <row r="1203" customFormat="false" ht="15" hidden="false" customHeight="false" outlineLevel="0" collapsed="false">
      <c r="A1203" s="13" t="s">
        <v>826</v>
      </c>
      <c r="B1203" s="13" t="s">
        <v>42</v>
      </c>
      <c r="C1203" s="13" t="n">
        <v>2400</v>
      </c>
      <c r="D1203" s="13" t="n">
        <v>5</v>
      </c>
      <c r="E1203" s="13" t="n">
        <v>303.05</v>
      </c>
      <c r="F1203" s="13" t="s">
        <v>5325</v>
      </c>
      <c r="G1203" s="13" t="s">
        <v>5292</v>
      </c>
      <c r="H1203" s="13" t="s">
        <v>5292</v>
      </c>
      <c r="I1203" s="13" t="s">
        <v>5289</v>
      </c>
      <c r="J1203" s="13" t="s">
        <v>5289</v>
      </c>
      <c r="K1203" s="13" t="s">
        <v>5289</v>
      </c>
      <c r="L1203" s="13" t="s">
        <v>5697</v>
      </c>
      <c r="M1203" s="13"/>
      <c r="N1203" s="13" t="n">
        <v>8411061093252</v>
      </c>
      <c r="O1203" s="13"/>
      <c r="P1203" s="13" t="s">
        <v>5297</v>
      </c>
      <c r="Q1203" s="13" t="s">
        <v>5289</v>
      </c>
      <c r="R1203" s="13" t="s">
        <v>5292</v>
      </c>
      <c r="S1203" s="13" t="s">
        <v>5293</v>
      </c>
      <c r="T1203" s="13" t="s">
        <v>4</v>
      </c>
      <c r="U1203" s="13" t="s">
        <v>43</v>
      </c>
      <c r="V1203" s="13" t="n">
        <f aca="false">IF(COUNTIF($B$2:B1203,B1203)=1,1,0)</f>
        <v>0</v>
      </c>
      <c r="W1203" s="13" t="n">
        <f aca="false">IF(COUNTIFS($B$2:B1203,B1203,$T$2:T1203,T1203)=1,1,0)</f>
        <v>0</v>
      </c>
    </row>
    <row r="1204" customFormat="false" ht="15" hidden="false" customHeight="false" outlineLevel="0" collapsed="false">
      <c r="A1204" s="13" t="s">
        <v>113</v>
      </c>
      <c r="B1204" s="13" t="s">
        <v>45</v>
      </c>
      <c r="C1204" s="13" t="n">
        <v>2400</v>
      </c>
      <c r="D1204" s="13" t="n">
        <v>5</v>
      </c>
      <c r="E1204" s="13" t="n">
        <v>483.12</v>
      </c>
      <c r="F1204" s="13" t="s">
        <v>5288</v>
      </c>
      <c r="G1204" s="13" t="s">
        <v>5289</v>
      </c>
      <c r="H1204" s="13" t="s">
        <v>5289</v>
      </c>
      <c r="I1204" s="13" t="s">
        <v>5289</v>
      </c>
      <c r="J1204" s="13" t="s">
        <v>5289</v>
      </c>
      <c r="K1204" s="13" t="s">
        <v>5289</v>
      </c>
      <c r="L1204" s="13" t="s">
        <v>5892</v>
      </c>
      <c r="M1204" s="13"/>
      <c r="N1204" s="13" t="n">
        <v>8435415050777</v>
      </c>
      <c r="O1204" s="13"/>
      <c r="P1204" s="13" t="s">
        <v>5291</v>
      </c>
      <c r="Q1204" s="13" t="s">
        <v>5289</v>
      </c>
      <c r="R1204" s="13" t="s">
        <v>5292</v>
      </c>
      <c r="S1204" s="13" t="s">
        <v>5293</v>
      </c>
      <c r="T1204" s="13" t="s">
        <v>4</v>
      </c>
      <c r="U1204" s="13" t="s">
        <v>43</v>
      </c>
      <c r="V1204" s="13" t="n">
        <f aca="false">IF(COUNTIF($B$2:B1204,B1204)=1,1,0)</f>
        <v>0</v>
      </c>
      <c r="W1204" s="13" t="n">
        <f aca="false">IF(COUNTIFS($B$2:B1204,B1204,$T$2:T1204,T1204)=1,1,0)</f>
        <v>0</v>
      </c>
    </row>
    <row r="1205" customFormat="false" ht="15" hidden="false" customHeight="false" outlineLevel="0" collapsed="false">
      <c r="A1205" s="13" t="s">
        <v>827</v>
      </c>
      <c r="B1205" s="13" t="s">
        <v>153</v>
      </c>
      <c r="C1205" s="13" t="n">
        <v>2400</v>
      </c>
      <c r="D1205" s="13" t="n">
        <v>2</v>
      </c>
      <c r="E1205" s="13" t="n">
        <v>601.435</v>
      </c>
      <c r="F1205" s="13" t="s">
        <v>5325</v>
      </c>
      <c r="G1205" s="13" t="s">
        <v>5289</v>
      </c>
      <c r="H1205" s="13" t="s">
        <v>5292</v>
      </c>
      <c r="I1205" s="13" t="s">
        <v>5289</v>
      </c>
      <c r="J1205" s="13" t="s">
        <v>5289</v>
      </c>
      <c r="K1205" s="13" t="s">
        <v>5289</v>
      </c>
      <c r="L1205" s="13" t="s">
        <v>5764</v>
      </c>
      <c r="M1205" s="13"/>
      <c r="N1205" s="13" t="n">
        <v>8011003825745</v>
      </c>
      <c r="O1205" s="13"/>
      <c r="P1205" s="13" t="s">
        <v>5291</v>
      </c>
      <c r="Q1205" s="13" t="s">
        <v>5289</v>
      </c>
      <c r="R1205" s="13" t="s">
        <v>5292</v>
      </c>
      <c r="S1205" s="13" t="s">
        <v>5293</v>
      </c>
      <c r="T1205" s="13" t="s">
        <v>4</v>
      </c>
      <c r="U1205" s="13" t="s">
        <v>43</v>
      </c>
      <c r="V1205" s="13" t="n">
        <f aca="false">IF(COUNTIF($B$2:B1205,B1205)=1,1,0)</f>
        <v>0</v>
      </c>
      <c r="W1205" s="13" t="n">
        <f aca="false">IF(COUNTIFS($B$2:B1205,B1205,$T$2:T1205,T1205)=1,1,0)</f>
        <v>0</v>
      </c>
    </row>
    <row r="1206" customFormat="false" ht="15" hidden="false" customHeight="false" outlineLevel="0" collapsed="false">
      <c r="A1206" s="13" t="s">
        <v>828</v>
      </c>
      <c r="B1206" s="13" t="s">
        <v>286</v>
      </c>
      <c r="C1206" s="13" t="n">
        <v>2400</v>
      </c>
      <c r="D1206" s="13" t="n">
        <v>5</v>
      </c>
      <c r="E1206" s="13" t="n">
        <v>299.93125</v>
      </c>
      <c r="F1206" s="13" t="s">
        <v>5288</v>
      </c>
      <c r="G1206" s="13" t="s">
        <v>5289</v>
      </c>
      <c r="H1206" s="13" t="s">
        <v>5292</v>
      </c>
      <c r="I1206" s="13" t="s">
        <v>5289</v>
      </c>
      <c r="J1206" s="13" t="s">
        <v>5289</v>
      </c>
      <c r="K1206" s="13" t="s">
        <v>5289</v>
      </c>
      <c r="L1206" s="13" t="s">
        <v>5849</v>
      </c>
      <c r="M1206" s="13"/>
      <c r="N1206" s="13" t="n">
        <v>6085010044712</v>
      </c>
      <c r="O1206" s="13"/>
      <c r="P1206" s="13" t="s">
        <v>5291</v>
      </c>
      <c r="Q1206" s="13" t="s">
        <v>5289</v>
      </c>
      <c r="R1206" s="13" t="s">
        <v>5292</v>
      </c>
      <c r="S1206" s="13" t="s">
        <v>5293</v>
      </c>
      <c r="T1206" s="13" t="s">
        <v>4</v>
      </c>
      <c r="U1206" s="13" t="s">
        <v>43</v>
      </c>
      <c r="V1206" s="13" t="n">
        <f aca="false">IF(COUNTIF($B$2:B1206,B1206)=1,1,0)</f>
        <v>0</v>
      </c>
      <c r="W1206" s="13" t="n">
        <f aca="false">IF(COUNTIFS($B$2:B1206,B1206,$T$2:T1206,T1206)=1,1,0)</f>
        <v>0</v>
      </c>
    </row>
    <row r="1207" customFormat="false" ht="15" hidden="false" customHeight="false" outlineLevel="0" collapsed="false">
      <c r="A1207" s="13" t="s">
        <v>823</v>
      </c>
      <c r="B1207" s="13" t="s">
        <v>42</v>
      </c>
      <c r="C1207" s="13" t="n">
        <v>2400</v>
      </c>
      <c r="D1207" s="13" t="n">
        <v>2</v>
      </c>
      <c r="E1207" s="13" t="n">
        <v>599.43</v>
      </c>
      <c r="F1207" s="13" t="s">
        <v>5288</v>
      </c>
      <c r="G1207" s="13" t="s">
        <v>5289</v>
      </c>
      <c r="H1207" s="13" t="s">
        <v>5292</v>
      </c>
      <c r="I1207" s="13" t="s">
        <v>5289</v>
      </c>
      <c r="J1207" s="13" t="s">
        <v>5289</v>
      </c>
      <c r="K1207" s="13" t="s">
        <v>5289</v>
      </c>
      <c r="L1207" s="13" t="s">
        <v>5702</v>
      </c>
      <c r="M1207" s="13"/>
      <c r="N1207" s="13" t="n">
        <v>8411061865583</v>
      </c>
      <c r="O1207" s="13"/>
      <c r="P1207" s="13" t="s">
        <v>5291</v>
      </c>
      <c r="Q1207" s="13" t="s">
        <v>5289</v>
      </c>
      <c r="R1207" s="13" t="s">
        <v>5292</v>
      </c>
      <c r="S1207" s="13" t="s">
        <v>5293</v>
      </c>
      <c r="T1207" s="13" t="s">
        <v>4</v>
      </c>
      <c r="U1207" s="13" t="s">
        <v>43</v>
      </c>
      <c r="V1207" s="13" t="n">
        <f aca="false">IF(COUNTIF($B$2:B1207,B1207)=1,1,0)</f>
        <v>0</v>
      </c>
      <c r="W1207" s="13" t="n">
        <f aca="false">IF(COUNTIFS($B$2:B1207,B1207,$T$2:T1207,T1207)=1,1,0)</f>
        <v>0</v>
      </c>
    </row>
    <row r="1208" customFormat="false" ht="15" hidden="false" customHeight="false" outlineLevel="0" collapsed="false">
      <c r="A1208" s="13" t="s">
        <v>5893</v>
      </c>
      <c r="B1208" s="13" t="s">
        <v>2135</v>
      </c>
      <c r="C1208" s="13" t="n">
        <v>2400</v>
      </c>
      <c r="D1208" s="13" t="n">
        <v>5</v>
      </c>
      <c r="E1208" s="13" t="n">
        <v>266.13</v>
      </c>
      <c r="F1208" s="13" t="s">
        <v>5325</v>
      </c>
      <c r="G1208" s="13" t="s">
        <v>5289</v>
      </c>
      <c r="H1208" s="13" t="s">
        <v>5292</v>
      </c>
      <c r="I1208" s="13" t="s">
        <v>5289</v>
      </c>
      <c r="J1208" s="13" t="s">
        <v>5289</v>
      </c>
      <c r="K1208" s="13" t="s">
        <v>5289</v>
      </c>
      <c r="L1208" s="13" t="s">
        <v>5894</v>
      </c>
      <c r="M1208" s="13"/>
      <c r="N1208" s="13" t="n">
        <v>3760040114217</v>
      </c>
      <c r="O1208" s="13"/>
      <c r="P1208" s="13" t="s">
        <v>5291</v>
      </c>
      <c r="Q1208" s="13" t="s">
        <v>5289</v>
      </c>
      <c r="R1208" s="13" t="s">
        <v>5292</v>
      </c>
      <c r="S1208" s="13" t="s">
        <v>5293</v>
      </c>
      <c r="T1208" s="13" t="s">
        <v>4</v>
      </c>
      <c r="U1208" s="13" t="s">
        <v>85</v>
      </c>
      <c r="V1208" s="13" t="n">
        <f aca="false">IF(COUNTIF($B$2:B1208,B1208)=1,1,0)</f>
        <v>0</v>
      </c>
      <c r="W1208" s="13" t="n">
        <f aca="false">IF(COUNTIFS($B$2:B1208,B1208,$T$2:T1208,T1208)=1,1,0)</f>
        <v>1</v>
      </c>
    </row>
    <row r="1209" customFormat="false" ht="15" hidden="false" customHeight="false" outlineLevel="0" collapsed="false">
      <c r="A1209" s="13" t="s">
        <v>822</v>
      </c>
      <c r="B1209" s="13" t="s">
        <v>45</v>
      </c>
      <c r="C1209" s="13" t="n">
        <v>2400</v>
      </c>
      <c r="D1209" s="13" t="n">
        <v>2</v>
      </c>
      <c r="E1209" s="13" t="n">
        <v>594.575</v>
      </c>
      <c r="F1209" s="13" t="s">
        <v>5288</v>
      </c>
      <c r="G1209" s="13" t="s">
        <v>5289</v>
      </c>
      <c r="H1209" s="13" t="s">
        <v>5292</v>
      </c>
      <c r="I1209" s="13" t="s">
        <v>5289</v>
      </c>
      <c r="J1209" s="13" t="s">
        <v>5289</v>
      </c>
      <c r="K1209" s="13" t="s">
        <v>5289</v>
      </c>
      <c r="L1209" s="13" t="s">
        <v>5690</v>
      </c>
      <c r="M1209" s="13"/>
      <c r="N1209" s="13" t="n">
        <v>8435415030885</v>
      </c>
      <c r="O1209" s="13"/>
      <c r="P1209" s="13" t="s">
        <v>5291</v>
      </c>
      <c r="Q1209" s="13" t="s">
        <v>5289</v>
      </c>
      <c r="R1209" s="13" t="s">
        <v>5292</v>
      </c>
      <c r="S1209" s="13" t="s">
        <v>5293</v>
      </c>
      <c r="T1209" s="13" t="s">
        <v>4</v>
      </c>
      <c r="U1209" s="13" t="s">
        <v>43</v>
      </c>
      <c r="V1209" s="13" t="n">
        <f aca="false">IF(COUNTIF($B$2:B1209,B1209)=1,1,0)</f>
        <v>0</v>
      </c>
      <c r="W1209" s="13" t="n">
        <f aca="false">IF(COUNTIFS($B$2:B1209,B1209,$T$2:T1209,T1209)=1,1,0)</f>
        <v>0</v>
      </c>
    </row>
    <row r="1210" customFormat="false" ht="15" hidden="false" customHeight="false" outlineLevel="0" collapsed="false">
      <c r="A1210" s="13" t="s">
        <v>508</v>
      </c>
      <c r="B1210" s="13" t="s">
        <v>45</v>
      </c>
      <c r="C1210" s="13" t="n">
        <v>2400</v>
      </c>
      <c r="D1210" s="13" t="n">
        <v>2</v>
      </c>
      <c r="E1210" s="13" t="n">
        <v>593.78</v>
      </c>
      <c r="F1210" s="13" t="s">
        <v>5288</v>
      </c>
      <c r="G1210" s="13" t="s">
        <v>5292</v>
      </c>
      <c r="H1210" s="13" t="s">
        <v>5289</v>
      </c>
      <c r="I1210" s="13" t="s">
        <v>5289</v>
      </c>
      <c r="J1210" s="13" t="s">
        <v>5289</v>
      </c>
      <c r="K1210" s="13" t="s">
        <v>5289</v>
      </c>
      <c r="L1210" s="13" t="s">
        <v>5895</v>
      </c>
      <c r="M1210" s="13"/>
      <c r="N1210" s="13" t="n">
        <v>8435415114356</v>
      </c>
      <c r="O1210" s="13"/>
      <c r="P1210" s="13" t="s">
        <v>5291</v>
      </c>
      <c r="Q1210" s="13" t="s">
        <v>5289</v>
      </c>
      <c r="R1210" s="13" t="s">
        <v>5292</v>
      </c>
      <c r="S1210" s="13" t="s">
        <v>5293</v>
      </c>
      <c r="T1210" s="13" t="s">
        <v>4</v>
      </c>
      <c r="U1210" s="13" t="s">
        <v>43</v>
      </c>
      <c r="V1210" s="13" t="n">
        <f aca="false">IF(COUNTIF($B$2:B1210,B1210)=1,1,0)</f>
        <v>0</v>
      </c>
      <c r="W1210" s="13" t="n">
        <f aca="false">IF(COUNTIFS($B$2:B1210,B1210,$T$2:T1210,T1210)=1,1,0)</f>
        <v>0</v>
      </c>
    </row>
    <row r="1211" customFormat="false" ht="15" hidden="false" customHeight="false" outlineLevel="0" collapsed="false">
      <c r="A1211" s="13" t="s">
        <v>821</v>
      </c>
      <c r="B1211" s="13" t="s">
        <v>50</v>
      </c>
      <c r="C1211" s="13" t="n">
        <v>2400</v>
      </c>
      <c r="D1211" s="13" t="n">
        <v>5</v>
      </c>
      <c r="E1211" s="13" t="n">
        <v>474.05</v>
      </c>
      <c r="F1211" s="13" t="s">
        <v>5325</v>
      </c>
      <c r="G1211" s="13" t="s">
        <v>5289</v>
      </c>
      <c r="H1211" s="13" t="s">
        <v>5292</v>
      </c>
      <c r="I1211" s="13" t="s">
        <v>5289</v>
      </c>
      <c r="J1211" s="13" t="s">
        <v>5289</v>
      </c>
      <c r="K1211" s="13" t="s">
        <v>5289</v>
      </c>
      <c r="L1211" s="13" t="s">
        <v>5750</v>
      </c>
      <c r="M1211" s="13"/>
      <c r="N1211" s="13" t="n">
        <v>3349668613427</v>
      </c>
      <c r="O1211" s="13"/>
      <c r="P1211" s="13" t="s">
        <v>5297</v>
      </c>
      <c r="Q1211" s="13" t="s">
        <v>5289</v>
      </c>
      <c r="R1211" s="13" t="s">
        <v>5292</v>
      </c>
      <c r="S1211" s="13" t="s">
        <v>5293</v>
      </c>
      <c r="T1211" s="13" t="s">
        <v>4</v>
      </c>
      <c r="U1211" s="13" t="s">
        <v>43</v>
      </c>
      <c r="V1211" s="13" t="n">
        <f aca="false">IF(COUNTIF($B$2:B1211,B1211)=1,1,0)</f>
        <v>0</v>
      </c>
      <c r="W1211" s="13" t="n">
        <f aca="false">IF(COUNTIFS($B$2:B1211,B1211,$T$2:T1211,T1211)=1,1,0)</f>
        <v>0</v>
      </c>
    </row>
    <row r="1212" customFormat="false" ht="15" hidden="false" customHeight="false" outlineLevel="0" collapsed="false">
      <c r="A1212" s="13" t="s">
        <v>119</v>
      </c>
      <c r="B1212" s="13" t="s">
        <v>45</v>
      </c>
      <c r="C1212" s="13" t="n">
        <v>2400</v>
      </c>
      <c r="D1212" s="13" t="n">
        <v>2</v>
      </c>
      <c r="E1212" s="13" t="n">
        <v>789.65</v>
      </c>
      <c r="F1212" s="13" t="s">
        <v>5288</v>
      </c>
      <c r="G1212" s="13" t="s">
        <v>5289</v>
      </c>
      <c r="H1212" s="13" t="s">
        <v>5289</v>
      </c>
      <c r="I1212" s="13" t="s">
        <v>5289</v>
      </c>
      <c r="J1212" s="13" t="s">
        <v>5289</v>
      </c>
      <c r="K1212" s="13" t="s">
        <v>5289</v>
      </c>
      <c r="L1212" s="13" t="s">
        <v>5896</v>
      </c>
      <c r="M1212" s="13"/>
      <c r="N1212" s="13" t="n">
        <v>8435415076944</v>
      </c>
      <c r="O1212" s="13"/>
      <c r="P1212" s="13" t="s">
        <v>5291</v>
      </c>
      <c r="Q1212" s="13" t="s">
        <v>5289</v>
      </c>
      <c r="R1212" s="13" t="s">
        <v>5292</v>
      </c>
      <c r="S1212" s="13" t="s">
        <v>5293</v>
      </c>
      <c r="T1212" s="13" t="s">
        <v>4</v>
      </c>
      <c r="U1212" s="13" t="s">
        <v>43</v>
      </c>
      <c r="V1212" s="13" t="n">
        <f aca="false">IF(COUNTIF($B$2:B1212,B1212)=1,1,0)</f>
        <v>0</v>
      </c>
      <c r="W1212" s="13" t="n">
        <f aca="false">IF(COUNTIFS($B$2:B1212,B1212,$T$2:T1212,T1212)=1,1,0)</f>
        <v>0</v>
      </c>
    </row>
    <row r="1213" customFormat="false" ht="15" hidden="false" customHeight="false" outlineLevel="0" collapsed="false">
      <c r="A1213" s="13" t="s">
        <v>819</v>
      </c>
      <c r="B1213" s="13" t="s">
        <v>42</v>
      </c>
      <c r="C1213" s="13" t="n">
        <v>2400</v>
      </c>
      <c r="D1213" s="13" t="n">
        <v>2</v>
      </c>
      <c r="E1213" s="13" t="n">
        <v>590.73</v>
      </c>
      <c r="F1213" s="13" t="s">
        <v>5288</v>
      </c>
      <c r="G1213" s="13" t="s">
        <v>5289</v>
      </c>
      <c r="H1213" s="13" t="s">
        <v>5292</v>
      </c>
      <c r="I1213" s="13" t="s">
        <v>5289</v>
      </c>
      <c r="J1213" s="13" t="s">
        <v>5289</v>
      </c>
      <c r="K1213" s="13" t="s">
        <v>5289</v>
      </c>
      <c r="L1213" s="13" t="s">
        <v>5782</v>
      </c>
      <c r="M1213" s="13"/>
      <c r="N1213" s="13" t="n">
        <v>8411061041802</v>
      </c>
      <c r="O1213" s="13"/>
      <c r="P1213" s="13" t="s">
        <v>5291</v>
      </c>
      <c r="Q1213" s="13" t="s">
        <v>5289</v>
      </c>
      <c r="R1213" s="13" t="s">
        <v>5292</v>
      </c>
      <c r="S1213" s="13" t="s">
        <v>5293</v>
      </c>
      <c r="T1213" s="13" t="s">
        <v>4</v>
      </c>
      <c r="U1213" s="13" t="s">
        <v>183</v>
      </c>
      <c r="V1213" s="13" t="n">
        <f aca="false">IF(COUNTIF($B$2:B1213,B1213)=1,1,0)</f>
        <v>0</v>
      </c>
      <c r="W1213" s="13" t="n">
        <f aca="false">IF(COUNTIFS($B$2:B1213,B1213,$T$2:T1213,T1213)=1,1,0)</f>
        <v>0</v>
      </c>
    </row>
    <row r="1214" customFormat="false" ht="15" hidden="false" customHeight="false" outlineLevel="0" collapsed="false">
      <c r="A1214" s="13" t="s">
        <v>818</v>
      </c>
      <c r="B1214" s="13" t="s">
        <v>50</v>
      </c>
      <c r="C1214" s="13" t="n">
        <v>2400</v>
      </c>
      <c r="D1214" s="13" t="n">
        <v>5</v>
      </c>
      <c r="E1214" s="13" t="n">
        <v>471.752</v>
      </c>
      <c r="F1214" s="13" t="s">
        <v>5288</v>
      </c>
      <c r="G1214" s="13" t="s">
        <v>5289</v>
      </c>
      <c r="H1214" s="13" t="s">
        <v>5289</v>
      </c>
      <c r="I1214" s="13" t="s">
        <v>5289</v>
      </c>
      <c r="J1214" s="13" t="s">
        <v>5289</v>
      </c>
      <c r="K1214" s="13" t="s">
        <v>5289</v>
      </c>
      <c r="L1214" s="13" t="s">
        <v>5897</v>
      </c>
      <c r="M1214" s="13"/>
      <c r="N1214" s="13" t="n">
        <v>3349668643936</v>
      </c>
      <c r="O1214" s="13"/>
      <c r="P1214" s="13" t="s">
        <v>5291</v>
      </c>
      <c r="Q1214" s="13" t="s">
        <v>5289</v>
      </c>
      <c r="R1214" s="13" t="s">
        <v>5292</v>
      </c>
      <c r="S1214" s="13" t="s">
        <v>5293</v>
      </c>
      <c r="T1214" s="13" t="s">
        <v>4</v>
      </c>
      <c r="U1214" s="13" t="s">
        <v>43</v>
      </c>
      <c r="V1214" s="13" t="n">
        <f aca="false">IF(COUNTIF($B$2:B1214,B1214)=1,1,0)</f>
        <v>0</v>
      </c>
      <c r="W1214" s="13" t="n">
        <f aca="false">IF(COUNTIFS($B$2:B1214,B1214,$T$2:T1214,T1214)=1,1,0)</f>
        <v>0</v>
      </c>
    </row>
    <row r="1215" customFormat="false" ht="15" hidden="false" customHeight="false" outlineLevel="0" collapsed="false">
      <c r="A1215" s="13" t="s">
        <v>817</v>
      </c>
      <c r="B1215" s="13" t="s">
        <v>50</v>
      </c>
      <c r="C1215" s="13" t="n">
        <v>2400</v>
      </c>
      <c r="D1215" s="13" t="n">
        <v>2</v>
      </c>
      <c r="E1215" s="13" t="n">
        <v>783.51</v>
      </c>
      <c r="F1215" s="13" t="s">
        <v>5325</v>
      </c>
      <c r="G1215" s="13" t="s">
        <v>5289</v>
      </c>
      <c r="H1215" s="13" t="s">
        <v>5292</v>
      </c>
      <c r="I1215" s="13" t="s">
        <v>5289</v>
      </c>
      <c r="J1215" s="13" t="s">
        <v>5289</v>
      </c>
      <c r="K1215" s="13" t="s">
        <v>5289</v>
      </c>
      <c r="L1215" s="13" t="s">
        <v>5776</v>
      </c>
      <c r="M1215" s="13"/>
      <c r="N1215" s="13" t="n">
        <v>3349668667024</v>
      </c>
      <c r="O1215" s="13"/>
      <c r="P1215" s="13" t="s">
        <v>5291</v>
      </c>
      <c r="Q1215" s="13" t="s">
        <v>5289</v>
      </c>
      <c r="R1215" s="13" t="s">
        <v>5292</v>
      </c>
      <c r="S1215" s="13" t="s">
        <v>5293</v>
      </c>
      <c r="T1215" s="13" t="s">
        <v>4</v>
      </c>
      <c r="U1215" s="13" t="s">
        <v>43</v>
      </c>
      <c r="V1215" s="13" t="n">
        <f aca="false">IF(COUNTIF($B$2:B1215,B1215)=1,1,0)</f>
        <v>0</v>
      </c>
      <c r="W1215" s="13" t="n">
        <f aca="false">IF(COUNTIFS($B$2:B1215,B1215,$T$2:T1215,T1215)=1,1,0)</f>
        <v>0</v>
      </c>
    </row>
    <row r="1216" customFormat="false" ht="15" hidden="false" customHeight="false" outlineLevel="0" collapsed="false">
      <c r="A1216" s="13" t="s">
        <v>814</v>
      </c>
      <c r="B1216" s="13" t="s">
        <v>50</v>
      </c>
      <c r="C1216" s="13" t="n">
        <v>2400</v>
      </c>
      <c r="D1216" s="13" t="n">
        <v>2</v>
      </c>
      <c r="E1216" s="13" t="n">
        <v>783.493333333333</v>
      </c>
      <c r="F1216" s="13" t="s">
        <v>5325</v>
      </c>
      <c r="G1216" s="13" t="s">
        <v>5289</v>
      </c>
      <c r="H1216" s="13" t="s">
        <v>5289</v>
      </c>
      <c r="I1216" s="13" t="s">
        <v>5289</v>
      </c>
      <c r="J1216" s="13" t="s">
        <v>5289</v>
      </c>
      <c r="K1216" s="13" t="s">
        <v>5289</v>
      </c>
      <c r="L1216" s="13" t="s">
        <v>5898</v>
      </c>
      <c r="M1216" s="13"/>
      <c r="N1216" s="13" t="n">
        <v>3349668645213</v>
      </c>
      <c r="O1216" s="13"/>
      <c r="P1216" s="13" t="s">
        <v>5291</v>
      </c>
      <c r="Q1216" s="13" t="s">
        <v>5289</v>
      </c>
      <c r="R1216" s="13" t="s">
        <v>5292</v>
      </c>
      <c r="S1216" s="13" t="s">
        <v>5293</v>
      </c>
      <c r="T1216" s="13" t="s">
        <v>4</v>
      </c>
      <c r="U1216" s="13" t="s">
        <v>43</v>
      </c>
      <c r="V1216" s="13" t="n">
        <f aca="false">IF(COUNTIF($B$2:B1216,B1216)=1,1,0)</f>
        <v>0</v>
      </c>
      <c r="W1216" s="13" t="n">
        <f aca="false">IF(COUNTIFS($B$2:B1216,B1216,$T$2:T1216,T1216)=1,1,0)</f>
        <v>0</v>
      </c>
    </row>
    <row r="1217" customFormat="false" ht="15" hidden="false" customHeight="false" outlineLevel="0" collapsed="false">
      <c r="A1217" s="13" t="s">
        <v>838</v>
      </c>
      <c r="B1217" s="13" t="s">
        <v>42</v>
      </c>
      <c r="C1217" s="13" t="n">
        <v>2300</v>
      </c>
      <c r="D1217" s="13" t="n">
        <v>2</v>
      </c>
      <c r="E1217" s="13" t="n">
        <v>587.16</v>
      </c>
      <c r="F1217" s="13" t="s">
        <v>5288</v>
      </c>
      <c r="G1217" s="13" t="s">
        <v>5292</v>
      </c>
      <c r="H1217" s="13" t="s">
        <v>5289</v>
      </c>
      <c r="I1217" s="13" t="s">
        <v>5289</v>
      </c>
      <c r="J1217" s="13" t="s">
        <v>5289</v>
      </c>
      <c r="K1217" s="13" t="s">
        <v>5289</v>
      </c>
      <c r="L1217" s="13" t="s">
        <v>5899</v>
      </c>
      <c r="M1217" s="13"/>
      <c r="N1217" s="13" t="n">
        <v>8411061994702</v>
      </c>
      <c r="O1217" s="13"/>
      <c r="P1217" s="13" t="s">
        <v>5297</v>
      </c>
      <c r="Q1217" s="13" t="s">
        <v>5289</v>
      </c>
      <c r="R1217" s="13" t="s">
        <v>5292</v>
      </c>
      <c r="S1217" s="13" t="s">
        <v>5293</v>
      </c>
      <c r="T1217" s="13" t="s">
        <v>4</v>
      </c>
      <c r="U1217" s="13" t="s">
        <v>43</v>
      </c>
      <c r="V1217" s="13" t="n">
        <f aca="false">IF(COUNTIF($B$2:B1217,B1217)=1,1,0)</f>
        <v>0</v>
      </c>
      <c r="W1217" s="13" t="n">
        <f aca="false">IF(COUNTIFS($B$2:B1217,B1217,$T$2:T1217,T1217)=1,1,0)</f>
        <v>0</v>
      </c>
    </row>
    <row r="1218" customFormat="false" ht="15" hidden="false" customHeight="false" outlineLevel="0" collapsed="false">
      <c r="A1218" s="13" t="s">
        <v>844</v>
      </c>
      <c r="B1218" s="13" t="s">
        <v>186</v>
      </c>
      <c r="C1218" s="13" t="n">
        <v>2300</v>
      </c>
      <c r="D1218" s="13" t="n">
        <v>2</v>
      </c>
      <c r="E1218" s="13" t="n">
        <v>781.08</v>
      </c>
      <c r="F1218" s="13" t="s">
        <v>5288</v>
      </c>
      <c r="G1218" s="13" t="s">
        <v>5292</v>
      </c>
      <c r="H1218" s="13" t="s">
        <v>5292</v>
      </c>
      <c r="I1218" s="13" t="s">
        <v>5289</v>
      </c>
      <c r="J1218" s="13" t="s">
        <v>5289</v>
      </c>
      <c r="K1218" s="13" t="s">
        <v>5289</v>
      </c>
      <c r="L1218" s="13" t="s">
        <v>5900</v>
      </c>
      <c r="M1218" s="13"/>
      <c r="N1218" s="13" t="n">
        <v>3616306701953</v>
      </c>
      <c r="O1218" s="13"/>
      <c r="P1218" s="13" t="s">
        <v>5291</v>
      </c>
      <c r="Q1218" s="13" t="s">
        <v>5289</v>
      </c>
      <c r="R1218" s="13" t="s">
        <v>5292</v>
      </c>
      <c r="S1218" s="13" t="s">
        <v>5293</v>
      </c>
      <c r="T1218" s="13" t="s">
        <v>4</v>
      </c>
      <c r="U1218" s="13" t="s">
        <v>43</v>
      </c>
      <c r="V1218" s="13" t="n">
        <f aca="false">IF(COUNTIF($B$2:B1218,B1218)=1,1,0)</f>
        <v>0</v>
      </c>
      <c r="W1218" s="13" t="n">
        <f aca="false">IF(COUNTIFS($B$2:B1218,B1218,$T$2:T1218,T1218)=1,1,0)</f>
        <v>0</v>
      </c>
    </row>
    <row r="1219" customFormat="false" ht="15" hidden="false" customHeight="false" outlineLevel="0" collapsed="false">
      <c r="A1219" s="13" t="s">
        <v>444</v>
      </c>
      <c r="B1219" s="13" t="s">
        <v>42</v>
      </c>
      <c r="C1219" s="13" t="n">
        <v>2300</v>
      </c>
      <c r="D1219" s="13" t="n">
        <v>2</v>
      </c>
      <c r="E1219" s="13" t="n">
        <v>585.695</v>
      </c>
      <c r="F1219" s="13" t="s">
        <v>5325</v>
      </c>
      <c r="G1219" s="13" t="s">
        <v>5289</v>
      </c>
      <c r="H1219" s="13" t="s">
        <v>5289</v>
      </c>
      <c r="I1219" s="13" t="s">
        <v>5289</v>
      </c>
      <c r="J1219" s="13" t="s">
        <v>5289</v>
      </c>
      <c r="K1219" s="13" t="s">
        <v>5289</v>
      </c>
      <c r="L1219" s="13" t="s">
        <v>5734</v>
      </c>
      <c r="M1219" s="13"/>
      <c r="N1219" s="13" t="n">
        <v>8411061093849</v>
      </c>
      <c r="O1219" s="13"/>
      <c r="P1219" s="13" t="s">
        <v>5291</v>
      </c>
      <c r="Q1219" s="13" t="s">
        <v>5289</v>
      </c>
      <c r="R1219" s="13" t="s">
        <v>5292</v>
      </c>
      <c r="S1219" s="13" t="s">
        <v>5293</v>
      </c>
      <c r="T1219" s="13" t="s">
        <v>4</v>
      </c>
      <c r="U1219" s="13" t="s">
        <v>43</v>
      </c>
      <c r="V1219" s="13" t="n">
        <f aca="false">IF(COUNTIF($B$2:B1219,B1219)=1,1,0)</f>
        <v>0</v>
      </c>
      <c r="W1219" s="13" t="n">
        <f aca="false">IF(COUNTIFS($B$2:B1219,B1219,$T$2:T1219,T1219)=1,1,0)</f>
        <v>0</v>
      </c>
    </row>
    <row r="1220" customFormat="false" ht="15" hidden="false" customHeight="false" outlineLevel="0" collapsed="false">
      <c r="A1220" s="13" t="s">
        <v>830</v>
      </c>
      <c r="B1220" s="13" t="s">
        <v>74</v>
      </c>
      <c r="C1220" s="13" t="n">
        <v>2300</v>
      </c>
      <c r="D1220" s="13" t="n">
        <v>5</v>
      </c>
      <c r="E1220" s="13" t="n">
        <v>292.275</v>
      </c>
      <c r="F1220" s="13" t="s">
        <v>5325</v>
      </c>
      <c r="G1220" s="13" t="s">
        <v>5289</v>
      </c>
      <c r="H1220" s="13" t="s">
        <v>5292</v>
      </c>
      <c r="I1220" s="13" t="s">
        <v>5289</v>
      </c>
      <c r="J1220" s="13" t="s">
        <v>5289</v>
      </c>
      <c r="K1220" s="13" t="s">
        <v>5289</v>
      </c>
      <c r="L1220" s="13" t="s">
        <v>5901</v>
      </c>
      <c r="M1220" s="13"/>
      <c r="N1220" s="13" t="n">
        <v>7640372090037</v>
      </c>
      <c r="O1220" s="13"/>
      <c r="P1220" s="13" t="s">
        <v>5291</v>
      </c>
      <c r="Q1220" s="13" t="s">
        <v>5289</v>
      </c>
      <c r="R1220" s="13" t="s">
        <v>5292</v>
      </c>
      <c r="S1220" s="13" t="s">
        <v>5293</v>
      </c>
      <c r="T1220" s="13" t="s">
        <v>4</v>
      </c>
      <c r="U1220" s="13" t="s">
        <v>43</v>
      </c>
      <c r="V1220" s="13" t="n">
        <f aca="false">IF(COUNTIF($B$2:B1220,B1220)=1,1,0)</f>
        <v>0</v>
      </c>
      <c r="W1220" s="13" t="n">
        <f aca="false">IF(COUNTIFS($B$2:B1220,B1220,$T$2:T1220,T1220)=1,1,0)</f>
        <v>1</v>
      </c>
    </row>
    <row r="1221" customFormat="false" ht="15" hidden="false" customHeight="false" outlineLevel="0" collapsed="false">
      <c r="A1221" s="13" t="s">
        <v>831</v>
      </c>
      <c r="B1221" s="13" t="s">
        <v>105</v>
      </c>
      <c r="C1221" s="13" t="n">
        <v>2300</v>
      </c>
      <c r="D1221" s="13" t="n">
        <v>2</v>
      </c>
      <c r="E1221" s="13" t="n">
        <v>584.26</v>
      </c>
      <c r="F1221" s="13" t="s">
        <v>5288</v>
      </c>
      <c r="G1221" s="13" t="s">
        <v>5292</v>
      </c>
      <c r="H1221" s="13" t="s">
        <v>5292</v>
      </c>
      <c r="I1221" s="13" t="s">
        <v>5289</v>
      </c>
      <c r="J1221" s="13" t="s">
        <v>5289</v>
      </c>
      <c r="K1221" s="13" t="s">
        <v>5289</v>
      </c>
      <c r="L1221" s="13" t="s">
        <v>5902</v>
      </c>
      <c r="M1221" s="13"/>
      <c r="N1221" s="13" t="n">
        <v>3616306096202</v>
      </c>
      <c r="O1221" s="13"/>
      <c r="P1221" s="13" t="s">
        <v>5297</v>
      </c>
      <c r="Q1221" s="13" t="s">
        <v>5289</v>
      </c>
      <c r="R1221" s="13" t="s">
        <v>5292</v>
      </c>
      <c r="S1221" s="13" t="s">
        <v>5293</v>
      </c>
      <c r="T1221" s="13" t="s">
        <v>4</v>
      </c>
      <c r="U1221" s="13" t="s">
        <v>43</v>
      </c>
      <c r="V1221" s="13" t="n">
        <f aca="false">IF(COUNTIF($B$2:B1221,B1221)=1,1,0)</f>
        <v>0</v>
      </c>
      <c r="W1221" s="13" t="n">
        <f aca="false">IF(COUNTIFS($B$2:B1221,B1221,$T$2:T1221,T1221)=1,1,0)</f>
        <v>0</v>
      </c>
    </row>
    <row r="1222" customFormat="false" ht="15" hidden="false" customHeight="false" outlineLevel="0" collapsed="false">
      <c r="A1222" s="13" t="s">
        <v>351</v>
      </c>
      <c r="B1222" s="13" t="s">
        <v>42</v>
      </c>
      <c r="C1222" s="13" t="n">
        <v>2300</v>
      </c>
      <c r="D1222" s="13" t="n">
        <v>2</v>
      </c>
      <c r="E1222" s="13" t="n">
        <v>582.03</v>
      </c>
      <c r="F1222" s="13" t="s">
        <v>5288</v>
      </c>
      <c r="G1222" s="13" t="s">
        <v>5289</v>
      </c>
      <c r="H1222" s="13" t="s">
        <v>5289</v>
      </c>
      <c r="I1222" s="13" t="s">
        <v>5289</v>
      </c>
      <c r="J1222" s="13" t="s">
        <v>5289</v>
      </c>
      <c r="K1222" s="13" t="s">
        <v>5289</v>
      </c>
      <c r="L1222" s="13" t="s">
        <v>5903</v>
      </c>
      <c r="M1222" s="13"/>
      <c r="N1222" s="13" t="n">
        <v>8411061894026</v>
      </c>
      <c r="O1222" s="13"/>
      <c r="P1222" s="13" t="s">
        <v>5291</v>
      </c>
      <c r="Q1222" s="13" t="s">
        <v>5289</v>
      </c>
      <c r="R1222" s="13" t="s">
        <v>5292</v>
      </c>
      <c r="S1222" s="13" t="s">
        <v>5293</v>
      </c>
      <c r="T1222" s="13" t="s">
        <v>4</v>
      </c>
      <c r="U1222" s="13" t="s">
        <v>43</v>
      </c>
      <c r="V1222" s="13" t="n">
        <f aca="false">IF(COUNTIF($B$2:B1222,B1222)=1,1,0)</f>
        <v>0</v>
      </c>
      <c r="W1222" s="13" t="n">
        <f aca="false">IF(COUNTIFS($B$2:B1222,B1222,$T$2:T1222,T1222)=1,1,0)</f>
        <v>0</v>
      </c>
    </row>
    <row r="1223" customFormat="false" ht="15" hidden="false" customHeight="false" outlineLevel="0" collapsed="false">
      <c r="A1223" s="13" t="s">
        <v>71</v>
      </c>
      <c r="B1223" s="13" t="s">
        <v>50</v>
      </c>
      <c r="C1223" s="13" t="n">
        <v>2300</v>
      </c>
      <c r="D1223" s="13" t="n">
        <v>2</v>
      </c>
      <c r="E1223" s="13" t="n">
        <v>771.54</v>
      </c>
      <c r="F1223" s="13" t="s">
        <v>5325</v>
      </c>
      <c r="G1223" s="13" t="s">
        <v>5289</v>
      </c>
      <c r="H1223" s="13" t="s">
        <v>5289</v>
      </c>
      <c r="I1223" s="13" t="s">
        <v>5289</v>
      </c>
      <c r="J1223" s="13" t="s">
        <v>5289</v>
      </c>
      <c r="K1223" s="13" t="s">
        <v>5289</v>
      </c>
      <c r="L1223" s="13" t="s">
        <v>5659</v>
      </c>
      <c r="M1223" s="13"/>
      <c r="N1223" s="13" t="n">
        <v>3349668592388</v>
      </c>
      <c r="O1223" s="13"/>
      <c r="P1223" s="13" t="s">
        <v>5291</v>
      </c>
      <c r="Q1223" s="13" t="s">
        <v>5289</v>
      </c>
      <c r="R1223" s="13" t="s">
        <v>5292</v>
      </c>
      <c r="S1223" s="13" t="s">
        <v>5293</v>
      </c>
      <c r="T1223" s="13" t="s">
        <v>4</v>
      </c>
      <c r="U1223" s="13" t="s">
        <v>43</v>
      </c>
      <c r="V1223" s="13" t="n">
        <f aca="false">IF(COUNTIF($B$2:B1223,B1223)=1,1,0)</f>
        <v>0</v>
      </c>
      <c r="W1223" s="13" t="n">
        <f aca="false">IF(COUNTIFS($B$2:B1223,B1223,$T$2:T1223,T1223)=1,1,0)</f>
        <v>0</v>
      </c>
    </row>
    <row r="1224" customFormat="false" ht="15" hidden="false" customHeight="false" outlineLevel="0" collapsed="false">
      <c r="A1224" s="13" t="s">
        <v>852</v>
      </c>
      <c r="B1224" s="13" t="s">
        <v>50</v>
      </c>
      <c r="C1224" s="13" t="n">
        <v>2300</v>
      </c>
      <c r="D1224" s="13" t="n">
        <v>2</v>
      </c>
      <c r="E1224" s="13" t="n">
        <v>767.99</v>
      </c>
      <c r="F1224" s="13" t="s">
        <v>5288</v>
      </c>
      <c r="G1224" s="13" t="s">
        <v>5289</v>
      </c>
      <c r="H1224" s="13" t="s">
        <v>5289</v>
      </c>
      <c r="I1224" s="13" t="s">
        <v>5289</v>
      </c>
      <c r="J1224" s="13" t="s">
        <v>5289</v>
      </c>
      <c r="K1224" s="13" t="s">
        <v>5289</v>
      </c>
      <c r="L1224" s="13" t="s">
        <v>5904</v>
      </c>
      <c r="M1224" s="13"/>
      <c r="N1224" s="13" t="n">
        <v>3349668599417</v>
      </c>
      <c r="O1224" s="13"/>
      <c r="P1224" s="13" t="s">
        <v>5297</v>
      </c>
      <c r="Q1224" s="13" t="s">
        <v>5289</v>
      </c>
      <c r="R1224" s="13" t="s">
        <v>5292</v>
      </c>
      <c r="S1224" s="13" t="s">
        <v>5293</v>
      </c>
      <c r="T1224" s="13" t="s">
        <v>4</v>
      </c>
      <c r="U1224" s="13" t="s">
        <v>43</v>
      </c>
      <c r="V1224" s="13" t="n">
        <f aca="false">IF(COUNTIF($B$2:B1224,B1224)=1,1,0)</f>
        <v>0</v>
      </c>
      <c r="W1224" s="13" t="n">
        <f aca="false">IF(COUNTIFS($B$2:B1224,B1224,$T$2:T1224,T1224)=1,1,0)</f>
        <v>0</v>
      </c>
    </row>
    <row r="1225" customFormat="false" ht="15" hidden="false" customHeight="false" outlineLevel="0" collapsed="false">
      <c r="A1225" s="13" t="s">
        <v>750</v>
      </c>
      <c r="B1225" s="13" t="s">
        <v>50</v>
      </c>
      <c r="C1225" s="13" t="n">
        <v>2300</v>
      </c>
      <c r="D1225" s="13" t="n">
        <v>2</v>
      </c>
      <c r="E1225" s="13" t="n">
        <v>765.47</v>
      </c>
      <c r="F1225" s="13" t="s">
        <v>5325</v>
      </c>
      <c r="G1225" s="13" t="s">
        <v>5292</v>
      </c>
      <c r="H1225" s="13" t="s">
        <v>5289</v>
      </c>
      <c r="I1225" s="13" t="s">
        <v>5289</v>
      </c>
      <c r="J1225" s="13" t="s">
        <v>5289</v>
      </c>
      <c r="K1225" s="13" t="s">
        <v>5289</v>
      </c>
      <c r="L1225" s="13" t="s">
        <v>5864</v>
      </c>
      <c r="M1225" s="13"/>
      <c r="N1225" s="13" t="n">
        <v>3349668627479</v>
      </c>
      <c r="O1225" s="13"/>
      <c r="P1225" s="13" t="s">
        <v>5291</v>
      </c>
      <c r="Q1225" s="13" t="s">
        <v>5289</v>
      </c>
      <c r="R1225" s="13" t="s">
        <v>5292</v>
      </c>
      <c r="S1225" s="13" t="s">
        <v>5293</v>
      </c>
      <c r="T1225" s="13" t="s">
        <v>4</v>
      </c>
      <c r="U1225" s="13" t="s">
        <v>43</v>
      </c>
      <c r="V1225" s="13" t="n">
        <f aca="false">IF(COUNTIF($B$2:B1225,B1225)=1,1,0)</f>
        <v>0</v>
      </c>
      <c r="W1225" s="13" t="n">
        <f aca="false">IF(COUNTIFS($B$2:B1225,B1225,$T$2:T1225,T1225)=1,1,0)</f>
        <v>0</v>
      </c>
    </row>
    <row r="1226" customFormat="false" ht="15" hidden="false" customHeight="false" outlineLevel="0" collapsed="false">
      <c r="A1226" s="13" t="s">
        <v>850</v>
      </c>
      <c r="B1226" s="13" t="s">
        <v>153</v>
      </c>
      <c r="C1226" s="13" t="n">
        <v>2300</v>
      </c>
      <c r="D1226" s="13" t="n">
        <v>2</v>
      </c>
      <c r="E1226" s="13" t="n">
        <v>573.68</v>
      </c>
      <c r="F1226" s="13" t="s">
        <v>5288</v>
      </c>
      <c r="G1226" s="13" t="s">
        <v>5289</v>
      </c>
      <c r="H1226" s="13" t="s">
        <v>5292</v>
      </c>
      <c r="I1226" s="13" t="s">
        <v>5289</v>
      </c>
      <c r="J1226" s="13" t="s">
        <v>5289</v>
      </c>
      <c r="K1226" s="13" t="s">
        <v>5289</v>
      </c>
      <c r="L1226" s="13" t="s">
        <v>5905</v>
      </c>
      <c r="M1226" s="13"/>
      <c r="N1226" s="13" t="n">
        <v>8011003997022</v>
      </c>
      <c r="O1226" s="13"/>
      <c r="P1226" s="13" t="s">
        <v>5291</v>
      </c>
      <c r="Q1226" s="13" t="s">
        <v>5289</v>
      </c>
      <c r="R1226" s="13" t="s">
        <v>5292</v>
      </c>
      <c r="S1226" s="13" t="s">
        <v>5293</v>
      </c>
      <c r="T1226" s="13" t="s">
        <v>4</v>
      </c>
      <c r="U1226" s="13" t="s">
        <v>43</v>
      </c>
      <c r="V1226" s="13" t="n">
        <f aca="false">IF(COUNTIF($B$2:B1226,B1226)=1,1,0)</f>
        <v>0</v>
      </c>
      <c r="W1226" s="13" t="n">
        <f aca="false">IF(COUNTIFS($B$2:B1226,B1226,$T$2:T1226,T1226)=1,1,0)</f>
        <v>0</v>
      </c>
    </row>
    <row r="1227" customFormat="false" ht="15" hidden="false" customHeight="false" outlineLevel="0" collapsed="false">
      <c r="A1227" s="13" t="s">
        <v>5906</v>
      </c>
      <c r="B1227" s="13" t="s">
        <v>2120</v>
      </c>
      <c r="C1227" s="13" t="n">
        <v>2300</v>
      </c>
      <c r="D1227" s="13" t="n">
        <v>2</v>
      </c>
      <c r="E1227" s="13" t="n">
        <v>764.28</v>
      </c>
      <c r="F1227" s="13" t="s">
        <v>5325</v>
      </c>
      <c r="G1227" s="13" t="s">
        <v>5289</v>
      </c>
      <c r="H1227" s="13" t="s">
        <v>5292</v>
      </c>
      <c r="I1227" s="13" t="s">
        <v>5289</v>
      </c>
      <c r="J1227" s="13" t="s">
        <v>5289</v>
      </c>
      <c r="K1227" s="13" t="s">
        <v>5289</v>
      </c>
      <c r="L1227" s="13" t="s">
        <v>5823</v>
      </c>
      <c r="M1227" s="13"/>
      <c r="N1227" s="13" t="n">
        <v>3423222118396</v>
      </c>
      <c r="O1227" s="13"/>
      <c r="P1227" s="13" t="s">
        <v>5291</v>
      </c>
      <c r="Q1227" s="13" t="s">
        <v>5289</v>
      </c>
      <c r="R1227" s="13" t="s">
        <v>5292</v>
      </c>
      <c r="S1227" s="13" t="s">
        <v>5293</v>
      </c>
      <c r="T1227" s="13" t="s">
        <v>4</v>
      </c>
      <c r="U1227" s="13" t="s">
        <v>85</v>
      </c>
      <c r="V1227" s="13" t="n">
        <f aca="false">IF(COUNTIF($B$2:B1227,B1227)=1,1,0)</f>
        <v>0</v>
      </c>
      <c r="W1227" s="13" t="n">
        <f aca="false">IF(COUNTIFS($B$2:B1227,B1227,$T$2:T1227,T1227)=1,1,0)</f>
        <v>0</v>
      </c>
    </row>
    <row r="1228" customFormat="false" ht="15" hidden="false" customHeight="false" outlineLevel="0" collapsed="false">
      <c r="A1228" s="13" t="s">
        <v>737</v>
      </c>
      <c r="B1228" s="13" t="s">
        <v>42</v>
      </c>
      <c r="C1228" s="13" t="n">
        <v>2300</v>
      </c>
      <c r="D1228" s="13" t="n">
        <v>2</v>
      </c>
      <c r="E1228" s="13" t="n">
        <v>764.15</v>
      </c>
      <c r="F1228" s="13" t="s">
        <v>5288</v>
      </c>
      <c r="G1228" s="13" t="s">
        <v>5289</v>
      </c>
      <c r="H1228" s="13" t="s">
        <v>5289</v>
      </c>
      <c r="I1228" s="13" t="s">
        <v>5289</v>
      </c>
      <c r="J1228" s="13" t="s">
        <v>5289</v>
      </c>
      <c r="K1228" s="13" t="s">
        <v>5289</v>
      </c>
      <c r="L1228" s="13" t="s">
        <v>5907</v>
      </c>
      <c r="M1228" s="13"/>
      <c r="N1228" s="13" t="n">
        <v>8411061088197</v>
      </c>
      <c r="O1228" s="13"/>
      <c r="P1228" s="13" t="s">
        <v>5291</v>
      </c>
      <c r="Q1228" s="13" t="s">
        <v>5289</v>
      </c>
      <c r="R1228" s="13" t="s">
        <v>5292</v>
      </c>
      <c r="S1228" s="13" t="s">
        <v>5293</v>
      </c>
      <c r="T1228" s="13" t="s">
        <v>4</v>
      </c>
      <c r="U1228" s="13" t="s">
        <v>43</v>
      </c>
      <c r="V1228" s="13" t="n">
        <f aca="false">IF(COUNTIF($B$2:B1228,B1228)=1,1,0)</f>
        <v>0</v>
      </c>
      <c r="W1228" s="13" t="n">
        <f aca="false">IF(COUNTIFS($B$2:B1228,B1228,$T$2:T1228,T1228)=1,1,0)</f>
        <v>0</v>
      </c>
    </row>
    <row r="1229" customFormat="false" ht="15" hidden="false" customHeight="false" outlineLevel="0" collapsed="false">
      <c r="A1229" s="13" t="s">
        <v>843</v>
      </c>
      <c r="B1229" s="13" t="s">
        <v>177</v>
      </c>
      <c r="C1229" s="13" t="n">
        <v>2300</v>
      </c>
      <c r="D1229" s="13" t="n">
        <v>2</v>
      </c>
      <c r="E1229" s="13" t="n">
        <v>755.84</v>
      </c>
      <c r="F1229" s="13" t="s">
        <v>5325</v>
      </c>
      <c r="G1229" s="13" t="s">
        <v>5289</v>
      </c>
      <c r="H1229" s="13" t="s">
        <v>5292</v>
      </c>
      <c r="I1229" s="13" t="s">
        <v>5289</v>
      </c>
      <c r="J1229" s="13" t="s">
        <v>5289</v>
      </c>
      <c r="K1229" s="13" t="s">
        <v>5289</v>
      </c>
      <c r="L1229" s="13" t="s">
        <v>5908</v>
      </c>
      <c r="M1229" s="13"/>
      <c r="N1229" s="13" t="n">
        <v>3616305169273</v>
      </c>
      <c r="O1229" s="13"/>
      <c r="P1229" s="13" t="s">
        <v>5291</v>
      </c>
      <c r="Q1229" s="13" t="s">
        <v>5289</v>
      </c>
      <c r="R1229" s="13" t="s">
        <v>5292</v>
      </c>
      <c r="S1229" s="13" t="s">
        <v>5293</v>
      </c>
      <c r="T1229" s="13" t="s">
        <v>4</v>
      </c>
      <c r="U1229" s="13" t="s">
        <v>43</v>
      </c>
      <c r="V1229" s="13" t="n">
        <f aca="false">IF(COUNTIF($B$2:B1229,B1229)=1,1,0)</f>
        <v>0</v>
      </c>
      <c r="W1229" s="13" t="n">
        <f aca="false">IF(COUNTIFS($B$2:B1229,B1229,$T$2:T1229,T1229)=1,1,0)</f>
        <v>0</v>
      </c>
    </row>
    <row r="1230" customFormat="false" ht="15" hidden="false" customHeight="false" outlineLevel="0" collapsed="false">
      <c r="A1230" s="13" t="s">
        <v>3317</v>
      </c>
      <c r="B1230" s="13" t="s">
        <v>2174</v>
      </c>
      <c r="C1230" s="13" t="n">
        <v>2300</v>
      </c>
      <c r="D1230" s="13" t="n">
        <v>5</v>
      </c>
      <c r="E1230" s="13" t="n">
        <v>377.12</v>
      </c>
      <c r="F1230" s="13" t="s">
        <v>5288</v>
      </c>
      <c r="G1230" s="13" t="s">
        <v>5289</v>
      </c>
      <c r="H1230" s="13" t="s">
        <v>5292</v>
      </c>
      <c r="I1230" s="13" t="s">
        <v>5289</v>
      </c>
      <c r="J1230" s="13" t="s">
        <v>5289</v>
      </c>
      <c r="K1230" s="13" t="s">
        <v>5289</v>
      </c>
      <c r="L1230" s="13" t="s">
        <v>5909</v>
      </c>
      <c r="M1230" s="13"/>
      <c r="N1230" s="13" t="n">
        <v>3494800300038</v>
      </c>
      <c r="O1230" s="13"/>
      <c r="P1230" s="13" t="s">
        <v>5291</v>
      </c>
      <c r="Q1230" s="13" t="s">
        <v>5289</v>
      </c>
      <c r="R1230" s="13" t="s">
        <v>5292</v>
      </c>
      <c r="S1230" s="13" t="s">
        <v>5293</v>
      </c>
      <c r="T1230" s="13" t="s">
        <v>4</v>
      </c>
      <c r="U1230" s="13" t="s">
        <v>43</v>
      </c>
      <c r="V1230" s="13" t="n">
        <f aca="false">IF(COUNTIF($B$2:B1230,B1230)=1,1,0)</f>
        <v>1</v>
      </c>
      <c r="W1230" s="13" t="n">
        <f aca="false">IF(COUNTIFS($B$2:B1230,B1230,$T$2:T1230,T1230)=1,1,0)</f>
        <v>1</v>
      </c>
    </row>
    <row r="1231" customFormat="false" ht="15" hidden="false" customHeight="false" outlineLevel="0" collapsed="false">
      <c r="A1231" s="13" t="s">
        <v>720</v>
      </c>
      <c r="B1231" s="13" t="s">
        <v>92</v>
      </c>
      <c r="C1231" s="13" t="n">
        <v>2300</v>
      </c>
      <c r="D1231" s="13" t="n">
        <v>2</v>
      </c>
      <c r="E1231" s="13" t="n">
        <v>753.856666666667</v>
      </c>
      <c r="F1231" s="13" t="s">
        <v>5288</v>
      </c>
      <c r="G1231" s="13" t="s">
        <v>5289</v>
      </c>
      <c r="H1231" s="13" t="s">
        <v>5289</v>
      </c>
      <c r="I1231" s="13" t="s">
        <v>5289</v>
      </c>
      <c r="J1231" s="13" t="s">
        <v>5289</v>
      </c>
      <c r="K1231" s="13" t="s">
        <v>5289</v>
      </c>
      <c r="L1231" s="13" t="s">
        <v>5910</v>
      </c>
      <c r="M1231" s="13"/>
      <c r="N1231" s="13" t="n">
        <v>3616303445584</v>
      </c>
      <c r="O1231" s="13"/>
      <c r="P1231" s="13" t="s">
        <v>5291</v>
      </c>
      <c r="Q1231" s="13" t="s">
        <v>5289</v>
      </c>
      <c r="R1231" s="13" t="s">
        <v>5292</v>
      </c>
      <c r="S1231" s="13" t="s">
        <v>5293</v>
      </c>
      <c r="T1231" s="13" t="s">
        <v>4</v>
      </c>
      <c r="U1231" s="13" t="s">
        <v>43</v>
      </c>
      <c r="V1231" s="13" t="n">
        <f aca="false">IF(COUNTIF($B$2:B1231,B1231)=1,1,0)</f>
        <v>0</v>
      </c>
      <c r="W1231" s="13" t="n">
        <f aca="false">IF(COUNTIFS($B$2:B1231,B1231,$T$2:T1231,T1231)=1,1,0)</f>
        <v>0</v>
      </c>
    </row>
    <row r="1232" customFormat="false" ht="15" hidden="false" customHeight="false" outlineLevel="0" collapsed="false">
      <c r="A1232" s="13" t="s">
        <v>601</v>
      </c>
      <c r="B1232" s="13" t="s">
        <v>42</v>
      </c>
      <c r="C1232" s="13" t="n">
        <v>2300</v>
      </c>
      <c r="D1232" s="13" t="n">
        <v>5</v>
      </c>
      <c r="E1232" s="13" t="n">
        <v>225.104</v>
      </c>
      <c r="F1232" s="13" t="s">
        <v>5288</v>
      </c>
      <c r="G1232" s="13" t="s">
        <v>5292</v>
      </c>
      <c r="H1232" s="13" t="s">
        <v>5289</v>
      </c>
      <c r="I1232" s="13" t="s">
        <v>5289</v>
      </c>
      <c r="J1232" s="13" t="s">
        <v>5289</v>
      </c>
      <c r="K1232" s="13" t="s">
        <v>5289</v>
      </c>
      <c r="L1232" s="13" t="s">
        <v>5911</v>
      </c>
      <c r="M1232" s="13"/>
      <c r="N1232" s="13" t="n">
        <v>8411061959367</v>
      </c>
      <c r="O1232" s="13"/>
      <c r="P1232" s="13" t="s">
        <v>5291</v>
      </c>
      <c r="Q1232" s="13" t="s">
        <v>5289</v>
      </c>
      <c r="R1232" s="13" t="s">
        <v>5292</v>
      </c>
      <c r="S1232" s="13" t="s">
        <v>5293</v>
      </c>
      <c r="T1232" s="13" t="s">
        <v>4</v>
      </c>
      <c r="U1232" s="13" t="s">
        <v>43</v>
      </c>
      <c r="V1232" s="13" t="n">
        <f aca="false">IF(COUNTIF($B$2:B1232,B1232)=1,1,0)</f>
        <v>0</v>
      </c>
      <c r="W1232" s="13" t="n">
        <f aca="false">IF(COUNTIFS($B$2:B1232,B1232,$T$2:T1232,T1232)=1,1,0)</f>
        <v>0</v>
      </c>
    </row>
    <row r="1233" customFormat="false" ht="15" hidden="false" customHeight="false" outlineLevel="0" collapsed="false">
      <c r="A1233" s="13" t="s">
        <v>856</v>
      </c>
      <c r="B1233" s="13" t="s">
        <v>42</v>
      </c>
      <c r="C1233" s="13" t="n">
        <v>2200</v>
      </c>
      <c r="D1233" s="13" t="n">
        <v>2</v>
      </c>
      <c r="E1233" s="13" t="n">
        <v>748.87</v>
      </c>
      <c r="F1233" s="13" t="s">
        <v>5288</v>
      </c>
      <c r="G1233" s="13" t="s">
        <v>5289</v>
      </c>
      <c r="H1233" s="13" t="s">
        <v>5289</v>
      </c>
      <c r="I1233" s="13" t="s">
        <v>5289</v>
      </c>
      <c r="J1233" s="13" t="s">
        <v>5289</v>
      </c>
      <c r="K1233" s="13" t="s">
        <v>5289</v>
      </c>
      <c r="L1233" s="13" t="s">
        <v>5912</v>
      </c>
      <c r="M1233" s="13"/>
      <c r="N1233" s="13" t="n">
        <v>8.41106110998484E+038</v>
      </c>
      <c r="O1233" s="13"/>
      <c r="P1233" s="13" t="s">
        <v>5291</v>
      </c>
      <c r="Q1233" s="13" t="s">
        <v>5289</v>
      </c>
      <c r="R1233" s="13" t="s">
        <v>5292</v>
      </c>
      <c r="S1233" s="13" t="s">
        <v>5293</v>
      </c>
      <c r="T1233" s="13" t="s">
        <v>4</v>
      </c>
      <c r="U1233" s="13" t="s">
        <v>43</v>
      </c>
      <c r="V1233" s="13" t="n">
        <f aca="false">IF(COUNTIF($B$2:B1233,B1233)=1,1,0)</f>
        <v>0</v>
      </c>
      <c r="W1233" s="13" t="n">
        <f aca="false">IF(COUNTIFS($B$2:B1233,B1233,$T$2:T1233,T1233)=1,1,0)</f>
        <v>0</v>
      </c>
    </row>
    <row r="1234" customFormat="false" ht="15" hidden="false" customHeight="false" outlineLevel="0" collapsed="false">
      <c r="A1234" s="13" t="s">
        <v>306</v>
      </c>
      <c r="B1234" s="13" t="s">
        <v>42</v>
      </c>
      <c r="C1234" s="13" t="n">
        <v>2200</v>
      </c>
      <c r="D1234" s="13" t="n">
        <v>5</v>
      </c>
      <c r="E1234" s="13" t="n">
        <v>244.683333333333</v>
      </c>
      <c r="F1234" s="13" t="s">
        <v>5325</v>
      </c>
      <c r="G1234" s="13" t="s">
        <v>5292</v>
      </c>
      <c r="H1234" s="13" t="s">
        <v>5289</v>
      </c>
      <c r="I1234" s="13" t="s">
        <v>5289</v>
      </c>
      <c r="J1234" s="13" t="s">
        <v>5289</v>
      </c>
      <c r="K1234" s="13" t="s">
        <v>5289</v>
      </c>
      <c r="L1234" s="13" t="s">
        <v>5688</v>
      </c>
      <c r="M1234" s="13"/>
      <c r="N1234" s="13" t="n">
        <v>8411061021538</v>
      </c>
      <c r="O1234" s="13"/>
      <c r="P1234" s="13" t="s">
        <v>5291</v>
      </c>
      <c r="Q1234" s="13" t="s">
        <v>5289</v>
      </c>
      <c r="R1234" s="13" t="s">
        <v>5292</v>
      </c>
      <c r="S1234" s="13" t="s">
        <v>5293</v>
      </c>
      <c r="T1234" s="13" t="s">
        <v>4</v>
      </c>
      <c r="U1234" s="13" t="s">
        <v>43</v>
      </c>
      <c r="V1234" s="13" t="n">
        <f aca="false">IF(COUNTIF($B$2:B1234,B1234)=1,1,0)</f>
        <v>0</v>
      </c>
      <c r="W1234" s="13" t="n">
        <f aca="false">IF(COUNTIFS($B$2:B1234,B1234,$T$2:T1234,T1234)=1,1,0)</f>
        <v>0</v>
      </c>
    </row>
    <row r="1235" customFormat="false" ht="15" hidden="false" customHeight="false" outlineLevel="0" collapsed="false">
      <c r="A1235" s="13" t="s">
        <v>871</v>
      </c>
      <c r="B1235" s="13" t="s">
        <v>186</v>
      </c>
      <c r="C1235" s="13" t="n">
        <v>2200</v>
      </c>
      <c r="D1235" s="13" t="n">
        <v>5</v>
      </c>
      <c r="E1235" s="13" t="n">
        <v>436.424</v>
      </c>
      <c r="F1235" s="13" t="s">
        <v>5288</v>
      </c>
      <c r="G1235" s="13" t="s">
        <v>5292</v>
      </c>
      <c r="H1235" s="13" t="s">
        <v>5292</v>
      </c>
      <c r="I1235" s="13" t="s">
        <v>5289</v>
      </c>
      <c r="J1235" s="13" t="s">
        <v>5289</v>
      </c>
      <c r="K1235" s="13" t="s">
        <v>5289</v>
      </c>
      <c r="L1235" s="13" t="s">
        <v>5913</v>
      </c>
      <c r="M1235" s="13"/>
      <c r="N1235" s="13" t="n">
        <v>3616301781172</v>
      </c>
      <c r="O1235" s="13"/>
      <c r="P1235" s="13" t="s">
        <v>5297</v>
      </c>
      <c r="Q1235" s="13" t="s">
        <v>5289</v>
      </c>
      <c r="R1235" s="13" t="s">
        <v>5292</v>
      </c>
      <c r="S1235" s="13" t="s">
        <v>5293</v>
      </c>
      <c r="T1235" s="13" t="s">
        <v>4</v>
      </c>
      <c r="U1235" s="13" t="s">
        <v>43</v>
      </c>
      <c r="V1235" s="13" t="n">
        <f aca="false">IF(COUNTIF($B$2:B1235,B1235)=1,1,0)</f>
        <v>0</v>
      </c>
      <c r="W1235" s="13" t="n">
        <f aca="false">IF(COUNTIFS($B$2:B1235,B1235,$T$2:T1235,T1235)=1,1,0)</f>
        <v>0</v>
      </c>
    </row>
    <row r="1236" customFormat="false" ht="15" hidden="false" customHeight="false" outlineLevel="0" collapsed="false">
      <c r="A1236" s="13" t="s">
        <v>3175</v>
      </c>
      <c r="B1236" s="13" t="s">
        <v>2134</v>
      </c>
      <c r="C1236" s="13" t="n">
        <v>2200</v>
      </c>
      <c r="D1236" s="13" t="n">
        <v>2</v>
      </c>
      <c r="E1236" s="13" t="n">
        <v>544.9</v>
      </c>
      <c r="F1236" s="13" t="s">
        <v>5325</v>
      </c>
      <c r="G1236" s="13" t="s">
        <v>5292</v>
      </c>
      <c r="H1236" s="13" t="s">
        <v>5292</v>
      </c>
      <c r="I1236" s="13" t="s">
        <v>5289</v>
      </c>
      <c r="J1236" s="13" t="s">
        <v>5289</v>
      </c>
      <c r="K1236" s="13" t="s">
        <v>5289</v>
      </c>
      <c r="L1236" s="13" t="s">
        <v>5914</v>
      </c>
      <c r="M1236" s="13"/>
      <c r="N1236" s="13" t="n">
        <v>3386460109567</v>
      </c>
      <c r="O1236" s="13"/>
      <c r="P1236" s="13" t="s">
        <v>5297</v>
      </c>
      <c r="Q1236" s="13" t="s">
        <v>5289</v>
      </c>
      <c r="R1236" s="13" t="s">
        <v>5292</v>
      </c>
      <c r="S1236" s="13" t="s">
        <v>5293</v>
      </c>
      <c r="T1236" s="13" t="s">
        <v>4</v>
      </c>
      <c r="U1236" s="13" t="s">
        <v>43</v>
      </c>
      <c r="V1236" s="13" t="n">
        <f aca="false">IF(COUNTIF($B$2:B1236,B1236)=1,1,0)</f>
        <v>1</v>
      </c>
      <c r="W1236" s="13" t="n">
        <f aca="false">IF(COUNTIFS($B$2:B1236,B1236,$T$2:T1236,T1236)=1,1,0)</f>
        <v>1</v>
      </c>
    </row>
    <row r="1237" customFormat="false" ht="15" hidden="false" customHeight="false" outlineLevel="0" collapsed="false">
      <c r="A1237" s="13" t="s">
        <v>870</v>
      </c>
      <c r="B1237" s="13" t="s">
        <v>45</v>
      </c>
      <c r="C1237" s="13" t="n">
        <v>2200</v>
      </c>
      <c r="D1237" s="13" t="n">
        <v>2</v>
      </c>
      <c r="E1237" s="13" t="n">
        <v>721.65</v>
      </c>
      <c r="F1237" s="13" t="s">
        <v>5288</v>
      </c>
      <c r="G1237" s="13" t="s">
        <v>5292</v>
      </c>
      <c r="H1237" s="13" t="s">
        <v>5289</v>
      </c>
      <c r="I1237" s="13" t="s">
        <v>5289</v>
      </c>
      <c r="J1237" s="13" t="s">
        <v>5289</v>
      </c>
      <c r="K1237" s="13" t="s">
        <v>5289</v>
      </c>
      <c r="L1237" s="13" t="s">
        <v>5915</v>
      </c>
      <c r="M1237" s="13"/>
      <c r="N1237" s="13" t="n">
        <v>8435415049405</v>
      </c>
      <c r="O1237" s="13"/>
      <c r="P1237" s="13" t="s">
        <v>5291</v>
      </c>
      <c r="Q1237" s="13" t="s">
        <v>5289</v>
      </c>
      <c r="R1237" s="13" t="s">
        <v>5292</v>
      </c>
      <c r="S1237" s="13" t="s">
        <v>5293</v>
      </c>
      <c r="T1237" s="13" t="s">
        <v>4</v>
      </c>
      <c r="U1237" s="13" t="s">
        <v>43</v>
      </c>
      <c r="V1237" s="13" t="n">
        <f aca="false">IF(COUNTIF($B$2:B1237,B1237)=1,1,0)</f>
        <v>0</v>
      </c>
      <c r="W1237" s="13" t="n">
        <f aca="false">IF(COUNTIFS($B$2:B1237,B1237,$T$2:T1237,T1237)=1,1,0)</f>
        <v>0</v>
      </c>
    </row>
    <row r="1238" customFormat="false" ht="15" hidden="false" customHeight="false" outlineLevel="0" collapsed="false">
      <c r="A1238" s="13" t="s">
        <v>863</v>
      </c>
      <c r="B1238" s="13" t="s">
        <v>270</v>
      </c>
      <c r="C1238" s="13" t="n">
        <v>2200</v>
      </c>
      <c r="D1238" s="13" t="n">
        <v>5</v>
      </c>
      <c r="E1238" s="13" t="n">
        <v>359.685</v>
      </c>
      <c r="F1238" s="13" t="s">
        <v>5288</v>
      </c>
      <c r="G1238" s="13" t="s">
        <v>5289</v>
      </c>
      <c r="H1238" s="13" t="s">
        <v>5292</v>
      </c>
      <c r="I1238" s="13" t="s">
        <v>5289</v>
      </c>
      <c r="J1238" s="13" t="s">
        <v>5289</v>
      </c>
      <c r="K1238" s="13" t="s">
        <v>5289</v>
      </c>
      <c r="L1238" s="13" t="s">
        <v>5916</v>
      </c>
      <c r="M1238" s="13"/>
      <c r="N1238" s="13" t="n">
        <v>892456000037</v>
      </c>
      <c r="O1238" s="13"/>
      <c r="P1238" s="13" t="s">
        <v>5291</v>
      </c>
      <c r="Q1238" s="13" t="s">
        <v>5289</v>
      </c>
      <c r="R1238" s="13" t="s">
        <v>5292</v>
      </c>
      <c r="S1238" s="13" t="s">
        <v>5293</v>
      </c>
      <c r="T1238" s="13" t="s">
        <v>4</v>
      </c>
      <c r="U1238" s="13" t="s">
        <v>43</v>
      </c>
      <c r="V1238" s="13" t="n">
        <f aca="false">IF(COUNTIF($B$2:B1238,B1238)=1,1,0)</f>
        <v>0</v>
      </c>
      <c r="W1238" s="13" t="n">
        <f aca="false">IF(COUNTIFS($B$2:B1238,B1238,$T$2:T1238,T1238)=1,1,0)</f>
        <v>0</v>
      </c>
    </row>
    <row r="1239" customFormat="false" ht="15" hidden="false" customHeight="false" outlineLevel="0" collapsed="false">
      <c r="A1239" s="13" t="s">
        <v>864</v>
      </c>
      <c r="B1239" s="13" t="s">
        <v>153</v>
      </c>
      <c r="C1239" s="13" t="n">
        <v>2200</v>
      </c>
      <c r="D1239" s="13" t="n">
        <v>2</v>
      </c>
      <c r="E1239" s="13" t="n">
        <v>537.7425</v>
      </c>
      <c r="F1239" s="13" t="s">
        <v>5288</v>
      </c>
      <c r="G1239" s="13" t="s">
        <v>5289</v>
      </c>
      <c r="H1239" s="13" t="s">
        <v>5292</v>
      </c>
      <c r="I1239" s="13" t="s">
        <v>5289</v>
      </c>
      <c r="J1239" s="13" t="s">
        <v>5289</v>
      </c>
      <c r="K1239" s="13" t="s">
        <v>5289</v>
      </c>
      <c r="L1239" s="13" t="s">
        <v>5917</v>
      </c>
      <c r="M1239" s="13"/>
      <c r="N1239" s="13" t="n">
        <v>8011003809219</v>
      </c>
      <c r="O1239" s="13"/>
      <c r="P1239" s="13" t="s">
        <v>5297</v>
      </c>
      <c r="Q1239" s="13" t="s">
        <v>5289</v>
      </c>
      <c r="R1239" s="13" t="s">
        <v>5292</v>
      </c>
      <c r="S1239" s="13" t="s">
        <v>5293</v>
      </c>
      <c r="T1239" s="13" t="s">
        <v>4</v>
      </c>
      <c r="U1239" s="13" t="s">
        <v>43</v>
      </c>
      <c r="V1239" s="13" t="n">
        <f aca="false">IF(COUNTIF($B$2:B1239,B1239)=1,1,0)</f>
        <v>0</v>
      </c>
      <c r="W1239" s="13" t="n">
        <f aca="false">IF(COUNTIFS($B$2:B1239,B1239,$T$2:T1239,T1239)=1,1,0)</f>
        <v>0</v>
      </c>
    </row>
    <row r="1240" customFormat="false" ht="15" hidden="false" customHeight="false" outlineLevel="0" collapsed="false">
      <c r="A1240" s="13" t="s">
        <v>879</v>
      </c>
      <c r="B1240" s="13" t="s">
        <v>341</v>
      </c>
      <c r="C1240" s="13" t="n">
        <v>2100</v>
      </c>
      <c r="D1240" s="13" t="n">
        <v>2</v>
      </c>
      <c r="E1240" s="13" t="n">
        <v>532.35</v>
      </c>
      <c r="F1240" s="13" t="s">
        <v>5325</v>
      </c>
      <c r="G1240" s="13" t="s">
        <v>5289</v>
      </c>
      <c r="H1240" s="13" t="s">
        <v>5292</v>
      </c>
      <c r="I1240" s="13" t="s">
        <v>5289</v>
      </c>
      <c r="J1240" s="13" t="s">
        <v>5289</v>
      </c>
      <c r="K1240" s="13" t="s">
        <v>5289</v>
      </c>
      <c r="L1240" s="13" t="s">
        <v>5918</v>
      </c>
      <c r="M1240" s="13"/>
      <c r="N1240" s="13" t="n">
        <v>4011700740031</v>
      </c>
      <c r="O1240" s="13"/>
      <c r="P1240" s="13" t="s">
        <v>5291</v>
      </c>
      <c r="Q1240" s="13" t="s">
        <v>5289</v>
      </c>
      <c r="R1240" s="13" t="s">
        <v>5292</v>
      </c>
      <c r="S1240" s="13" t="s">
        <v>5293</v>
      </c>
      <c r="T1240" s="13" t="s">
        <v>4</v>
      </c>
      <c r="U1240" s="13" t="s">
        <v>43</v>
      </c>
      <c r="V1240" s="13" t="n">
        <f aca="false">IF(COUNTIF($B$2:B1240,B1240)=1,1,0)</f>
        <v>0</v>
      </c>
      <c r="W1240" s="13" t="n">
        <f aca="false">IF(COUNTIFS($B$2:B1240,B1240,$T$2:T1240,T1240)=1,1,0)</f>
        <v>0</v>
      </c>
    </row>
    <row r="1241" customFormat="false" ht="15" hidden="false" customHeight="false" outlineLevel="0" collapsed="false">
      <c r="A1241" s="13" t="s">
        <v>878</v>
      </c>
      <c r="B1241" s="13" t="s">
        <v>177</v>
      </c>
      <c r="C1241" s="13" t="n">
        <v>2100</v>
      </c>
      <c r="D1241" s="13" t="n">
        <v>2</v>
      </c>
      <c r="E1241" s="13" t="n">
        <v>707.39</v>
      </c>
      <c r="F1241" s="13" t="s">
        <v>5288</v>
      </c>
      <c r="G1241" s="13" t="s">
        <v>5289</v>
      </c>
      <c r="H1241" s="13" t="s">
        <v>5292</v>
      </c>
      <c r="I1241" s="13" t="s">
        <v>5289</v>
      </c>
      <c r="J1241" s="13" t="s">
        <v>5289</v>
      </c>
      <c r="K1241" s="13" t="s">
        <v>5289</v>
      </c>
      <c r="L1241" s="13" t="s">
        <v>5908</v>
      </c>
      <c r="M1241" s="13"/>
      <c r="N1241" s="13" t="n">
        <v>3616305169273</v>
      </c>
      <c r="O1241" s="13"/>
      <c r="P1241" s="13" t="s">
        <v>5291</v>
      </c>
      <c r="Q1241" s="13" t="s">
        <v>5289</v>
      </c>
      <c r="R1241" s="13" t="s">
        <v>5292</v>
      </c>
      <c r="S1241" s="13" t="s">
        <v>5293</v>
      </c>
      <c r="T1241" s="13" t="s">
        <v>4</v>
      </c>
      <c r="U1241" s="13" t="s">
        <v>43</v>
      </c>
      <c r="V1241" s="13" t="n">
        <f aca="false">IF(COUNTIF($B$2:B1241,B1241)=1,1,0)</f>
        <v>0</v>
      </c>
      <c r="W1241" s="13" t="n">
        <f aca="false">IF(COUNTIFS($B$2:B1241,B1241,$T$2:T1241,T1241)=1,1,0)</f>
        <v>0</v>
      </c>
    </row>
    <row r="1242" customFormat="false" ht="15" hidden="false" customHeight="false" outlineLevel="0" collapsed="false">
      <c r="A1242" s="13" t="s">
        <v>877</v>
      </c>
      <c r="B1242" s="13" t="s">
        <v>50</v>
      </c>
      <c r="C1242" s="13" t="n">
        <v>2100</v>
      </c>
      <c r="D1242" s="13" t="n">
        <v>2</v>
      </c>
      <c r="E1242" s="13" t="n">
        <v>706.883333333333</v>
      </c>
      <c r="F1242" s="13" t="s">
        <v>5288</v>
      </c>
      <c r="G1242" s="13" t="s">
        <v>5289</v>
      </c>
      <c r="H1242" s="13" t="s">
        <v>5289</v>
      </c>
      <c r="I1242" s="13" t="s">
        <v>5289</v>
      </c>
      <c r="J1242" s="13" t="s">
        <v>5289</v>
      </c>
      <c r="K1242" s="13" t="s">
        <v>5289</v>
      </c>
      <c r="L1242" s="13" t="s">
        <v>5919</v>
      </c>
      <c r="M1242" s="13"/>
      <c r="N1242" s="13" t="n">
        <v>3349668617173</v>
      </c>
      <c r="O1242" s="13"/>
      <c r="P1242" s="13" t="s">
        <v>5291</v>
      </c>
      <c r="Q1242" s="13" t="s">
        <v>5289</v>
      </c>
      <c r="R1242" s="13" t="s">
        <v>5292</v>
      </c>
      <c r="S1242" s="13" t="s">
        <v>5293</v>
      </c>
      <c r="T1242" s="13" t="s">
        <v>4</v>
      </c>
      <c r="U1242" s="13" t="s">
        <v>43</v>
      </c>
      <c r="V1242" s="13" t="n">
        <f aca="false">IF(COUNTIF($B$2:B1242,B1242)=1,1,0)</f>
        <v>0</v>
      </c>
      <c r="W1242" s="13" t="n">
        <f aca="false">IF(COUNTIFS($B$2:B1242,B1242,$T$2:T1242,T1242)=1,1,0)</f>
        <v>0</v>
      </c>
    </row>
    <row r="1243" customFormat="false" ht="15" hidden="false" customHeight="false" outlineLevel="0" collapsed="false">
      <c r="A1243" s="13" t="s">
        <v>635</v>
      </c>
      <c r="B1243" s="13" t="s">
        <v>329</v>
      </c>
      <c r="C1243" s="13" t="n">
        <v>2100</v>
      </c>
      <c r="D1243" s="13" t="n">
        <v>5</v>
      </c>
      <c r="E1243" s="13" t="n">
        <v>301.208571428571</v>
      </c>
      <c r="F1243" s="13" t="s">
        <v>5288</v>
      </c>
      <c r="G1243" s="13" t="s">
        <v>5289</v>
      </c>
      <c r="H1243" s="13" t="s">
        <v>5289</v>
      </c>
      <c r="I1243" s="13" t="s">
        <v>5289</v>
      </c>
      <c r="J1243" s="13" t="s">
        <v>5289</v>
      </c>
      <c r="K1243" s="13" t="s">
        <v>5289</v>
      </c>
      <c r="L1243" s="13" t="s">
        <v>5920</v>
      </c>
      <c r="M1243" s="13"/>
      <c r="N1243" s="13" t="n">
        <v>3137370357704</v>
      </c>
      <c r="O1243" s="13"/>
      <c r="P1243" s="13" t="s">
        <v>5297</v>
      </c>
      <c r="Q1243" s="13" t="s">
        <v>5289</v>
      </c>
      <c r="R1243" s="13" t="s">
        <v>5292</v>
      </c>
      <c r="S1243" s="13" t="s">
        <v>5293</v>
      </c>
      <c r="T1243" s="13" t="s">
        <v>4</v>
      </c>
      <c r="U1243" s="13" t="s">
        <v>43</v>
      </c>
      <c r="V1243" s="13" t="n">
        <f aca="false">IF(COUNTIF($B$2:B1243,B1243)=1,1,0)</f>
        <v>0</v>
      </c>
      <c r="W1243" s="13" t="n">
        <f aca="false">IF(COUNTIFS($B$2:B1243,B1243,$T$2:T1243,T1243)=1,1,0)</f>
        <v>0</v>
      </c>
    </row>
    <row r="1244" customFormat="false" ht="15" hidden="false" customHeight="false" outlineLevel="0" collapsed="false">
      <c r="A1244" s="13" t="s">
        <v>893</v>
      </c>
      <c r="B1244" s="13" t="s">
        <v>50</v>
      </c>
      <c r="C1244" s="13" t="n">
        <v>2100</v>
      </c>
      <c r="D1244" s="13" t="n">
        <v>5</v>
      </c>
      <c r="E1244" s="13" t="n">
        <v>300.622857142857</v>
      </c>
      <c r="F1244" s="13" t="s">
        <v>5288</v>
      </c>
      <c r="G1244" s="13" t="s">
        <v>5289</v>
      </c>
      <c r="H1244" s="13" t="s">
        <v>5292</v>
      </c>
      <c r="I1244" s="13" t="s">
        <v>5289</v>
      </c>
      <c r="J1244" s="13" t="s">
        <v>5289</v>
      </c>
      <c r="K1244" s="13" t="s">
        <v>5289</v>
      </c>
      <c r="L1244" s="13" t="s">
        <v>5686</v>
      </c>
      <c r="M1244" s="13"/>
      <c r="N1244" s="13" t="n">
        <v>3349668616237</v>
      </c>
      <c r="O1244" s="13"/>
      <c r="P1244" s="13" t="s">
        <v>5291</v>
      </c>
      <c r="Q1244" s="13" t="s">
        <v>5289</v>
      </c>
      <c r="R1244" s="13" t="s">
        <v>5292</v>
      </c>
      <c r="S1244" s="13" t="s">
        <v>5293</v>
      </c>
      <c r="T1244" s="13" t="s">
        <v>4</v>
      </c>
      <c r="U1244" s="13" t="s">
        <v>43</v>
      </c>
      <c r="V1244" s="13" t="n">
        <f aca="false">IF(COUNTIF($B$2:B1244,B1244)=1,1,0)</f>
        <v>0</v>
      </c>
      <c r="W1244" s="13" t="n">
        <f aca="false">IF(COUNTIFS($B$2:B1244,B1244,$T$2:T1244,T1244)=1,1,0)</f>
        <v>0</v>
      </c>
    </row>
    <row r="1245" customFormat="false" ht="15" hidden="false" customHeight="false" outlineLevel="0" collapsed="false">
      <c r="A1245" s="13" t="s">
        <v>348</v>
      </c>
      <c r="B1245" s="13" t="s">
        <v>42</v>
      </c>
      <c r="C1245" s="13" t="n">
        <v>2100</v>
      </c>
      <c r="D1245" s="13" t="n">
        <v>5</v>
      </c>
      <c r="E1245" s="13" t="n">
        <v>262.97875</v>
      </c>
      <c r="F1245" s="13" t="s">
        <v>5288</v>
      </c>
      <c r="G1245" s="13" t="s">
        <v>5289</v>
      </c>
      <c r="H1245" s="13" t="s">
        <v>5289</v>
      </c>
      <c r="I1245" s="13" t="s">
        <v>5289</v>
      </c>
      <c r="J1245" s="13" t="s">
        <v>5289</v>
      </c>
      <c r="K1245" s="13" t="s">
        <v>5289</v>
      </c>
      <c r="L1245" s="13" t="s">
        <v>5921</v>
      </c>
      <c r="M1245" s="13"/>
      <c r="N1245" s="13" t="n">
        <v>8411061043820</v>
      </c>
      <c r="O1245" s="13"/>
      <c r="P1245" s="13" t="s">
        <v>5291</v>
      </c>
      <c r="Q1245" s="13" t="s">
        <v>5289</v>
      </c>
      <c r="R1245" s="13" t="s">
        <v>5292</v>
      </c>
      <c r="S1245" s="13" t="s">
        <v>5293</v>
      </c>
      <c r="T1245" s="13" t="s">
        <v>4</v>
      </c>
      <c r="U1245" s="13" t="s">
        <v>43</v>
      </c>
      <c r="V1245" s="13" t="n">
        <f aca="false">IF(COUNTIF($B$2:B1245,B1245)=1,1,0)</f>
        <v>0</v>
      </c>
      <c r="W1245" s="13" t="n">
        <f aca="false">IF(COUNTIFS($B$2:B1245,B1245,$T$2:T1245,T1245)=1,1,0)</f>
        <v>0</v>
      </c>
    </row>
    <row r="1246" customFormat="false" ht="15" hidden="false" customHeight="false" outlineLevel="0" collapsed="false">
      <c r="A1246" s="13" t="s">
        <v>892</v>
      </c>
      <c r="B1246" s="13" t="s">
        <v>45</v>
      </c>
      <c r="C1246" s="13" t="n">
        <v>2100</v>
      </c>
      <c r="D1246" s="13" t="n">
        <v>2</v>
      </c>
      <c r="E1246" s="13" t="n">
        <v>698.28</v>
      </c>
      <c r="F1246" s="13" t="s">
        <v>5325</v>
      </c>
      <c r="G1246" s="13" t="s">
        <v>5289</v>
      </c>
      <c r="H1246" s="13" t="s">
        <v>5292</v>
      </c>
      <c r="I1246" s="13" t="s">
        <v>5289</v>
      </c>
      <c r="J1246" s="13" t="s">
        <v>5289</v>
      </c>
      <c r="K1246" s="13" t="s">
        <v>5289</v>
      </c>
      <c r="L1246" s="13" t="s">
        <v>5922</v>
      </c>
      <c r="M1246" s="13"/>
      <c r="N1246" s="13" t="n">
        <v>8435415062213</v>
      </c>
      <c r="O1246" s="13"/>
      <c r="P1246" s="13" t="s">
        <v>5291</v>
      </c>
      <c r="Q1246" s="13" t="s">
        <v>5289</v>
      </c>
      <c r="R1246" s="13" t="s">
        <v>5292</v>
      </c>
      <c r="S1246" s="13" t="s">
        <v>5293</v>
      </c>
      <c r="T1246" s="13" t="s">
        <v>4</v>
      </c>
      <c r="U1246" s="13" t="s">
        <v>43</v>
      </c>
      <c r="V1246" s="13" t="n">
        <f aca="false">IF(COUNTIF($B$2:B1246,B1246)=1,1,0)</f>
        <v>0</v>
      </c>
      <c r="W1246" s="13" t="n">
        <f aca="false">IF(COUNTIFS($B$2:B1246,B1246,$T$2:T1246,T1246)=1,1,0)</f>
        <v>0</v>
      </c>
    </row>
    <row r="1247" customFormat="false" ht="15" hidden="false" customHeight="false" outlineLevel="0" collapsed="false">
      <c r="A1247" s="13" t="s">
        <v>895</v>
      </c>
      <c r="B1247" s="13" t="s">
        <v>490</v>
      </c>
      <c r="C1247" s="13" t="n">
        <v>2100</v>
      </c>
      <c r="D1247" s="13" t="n">
        <v>2</v>
      </c>
      <c r="E1247" s="13" t="n">
        <v>521.5</v>
      </c>
      <c r="F1247" s="13" t="s">
        <v>5288</v>
      </c>
      <c r="G1247" s="13" t="s">
        <v>5289</v>
      </c>
      <c r="H1247" s="13" t="s">
        <v>5292</v>
      </c>
      <c r="I1247" s="13" t="s">
        <v>5289</v>
      </c>
      <c r="J1247" s="13" t="s">
        <v>5289</v>
      </c>
      <c r="K1247" s="13" t="s">
        <v>5289</v>
      </c>
      <c r="L1247" s="13" t="s">
        <v>5923</v>
      </c>
      <c r="M1247" s="13"/>
      <c r="N1247" s="13" t="n">
        <v>8011003839308</v>
      </c>
      <c r="O1247" s="13"/>
      <c r="P1247" s="13" t="s">
        <v>5291</v>
      </c>
      <c r="Q1247" s="13" t="s">
        <v>5289</v>
      </c>
      <c r="R1247" s="13" t="s">
        <v>5292</v>
      </c>
      <c r="S1247" s="13" t="s">
        <v>5293</v>
      </c>
      <c r="T1247" s="13" t="s">
        <v>4</v>
      </c>
      <c r="U1247" s="13" t="s">
        <v>43</v>
      </c>
      <c r="V1247" s="13" t="n">
        <f aca="false">IF(COUNTIF($B$2:B1247,B1247)=1,1,0)</f>
        <v>0</v>
      </c>
      <c r="W1247" s="13" t="n">
        <f aca="false">IF(COUNTIFS($B$2:B1247,B1247,$T$2:T1247,T1247)=1,1,0)</f>
        <v>1</v>
      </c>
    </row>
    <row r="1248" customFormat="false" ht="15" hidden="false" customHeight="false" outlineLevel="0" collapsed="false">
      <c r="A1248" s="13" t="s">
        <v>412</v>
      </c>
      <c r="B1248" s="13" t="s">
        <v>50</v>
      </c>
      <c r="C1248" s="13" t="n">
        <v>2100</v>
      </c>
      <c r="D1248" s="13" t="n">
        <v>2</v>
      </c>
      <c r="E1248" s="13" t="n">
        <v>687.27</v>
      </c>
      <c r="F1248" s="13" t="s">
        <v>5325</v>
      </c>
      <c r="G1248" s="13" t="s">
        <v>5289</v>
      </c>
      <c r="H1248" s="13" t="s">
        <v>5289</v>
      </c>
      <c r="I1248" s="13" t="s">
        <v>5289</v>
      </c>
      <c r="J1248" s="13" t="s">
        <v>5289</v>
      </c>
      <c r="K1248" s="13" t="s">
        <v>5289</v>
      </c>
      <c r="L1248" s="13" t="s">
        <v>5718</v>
      </c>
      <c r="M1248" s="13"/>
      <c r="N1248" s="13" t="n">
        <v>3349668576111</v>
      </c>
      <c r="O1248" s="13"/>
      <c r="P1248" s="13" t="s">
        <v>5291</v>
      </c>
      <c r="Q1248" s="13" t="s">
        <v>5289</v>
      </c>
      <c r="R1248" s="13" t="s">
        <v>5292</v>
      </c>
      <c r="S1248" s="13" t="s">
        <v>5293</v>
      </c>
      <c r="T1248" s="13" t="s">
        <v>4</v>
      </c>
      <c r="U1248" s="13" t="s">
        <v>43</v>
      </c>
      <c r="V1248" s="13" t="n">
        <f aca="false">IF(COUNTIF($B$2:B1248,B1248)=1,1,0)</f>
        <v>0</v>
      </c>
      <c r="W1248" s="13" t="n">
        <f aca="false">IF(COUNTIFS($B$2:B1248,B1248,$T$2:T1248,T1248)=1,1,0)</f>
        <v>0</v>
      </c>
    </row>
    <row r="1249" customFormat="false" ht="15" hidden="false" customHeight="false" outlineLevel="0" collapsed="false">
      <c r="A1249" s="13" t="s">
        <v>246</v>
      </c>
      <c r="B1249" s="13" t="s">
        <v>42</v>
      </c>
      <c r="C1249" s="13" t="n">
        <v>2100</v>
      </c>
      <c r="D1249" s="13" t="n">
        <v>2</v>
      </c>
      <c r="E1249" s="13" t="n">
        <v>687.14</v>
      </c>
      <c r="F1249" s="13" t="s">
        <v>5288</v>
      </c>
      <c r="G1249" s="13" t="s">
        <v>5292</v>
      </c>
      <c r="H1249" s="13" t="s">
        <v>5289</v>
      </c>
      <c r="I1249" s="13" t="s">
        <v>5289</v>
      </c>
      <c r="J1249" s="13" t="s">
        <v>5289</v>
      </c>
      <c r="K1249" s="13" t="s">
        <v>5289</v>
      </c>
      <c r="L1249" s="13" t="s">
        <v>5774</v>
      </c>
      <c r="M1249" s="13"/>
      <c r="N1249" s="13" t="n">
        <v>8411061056769</v>
      </c>
      <c r="O1249" s="13"/>
      <c r="P1249" s="13" t="s">
        <v>5291</v>
      </c>
      <c r="Q1249" s="13" t="s">
        <v>5289</v>
      </c>
      <c r="R1249" s="13" t="s">
        <v>5292</v>
      </c>
      <c r="S1249" s="13" t="s">
        <v>5293</v>
      </c>
      <c r="T1249" s="13" t="s">
        <v>4</v>
      </c>
      <c r="U1249" s="13" t="s">
        <v>43</v>
      </c>
      <c r="V1249" s="13" t="n">
        <f aca="false">IF(COUNTIF($B$2:B1249,B1249)=1,1,0)</f>
        <v>0</v>
      </c>
      <c r="W1249" s="13" t="n">
        <f aca="false">IF(COUNTIFS($B$2:B1249,B1249,$T$2:T1249,T1249)=1,1,0)</f>
        <v>0</v>
      </c>
    </row>
    <row r="1250" customFormat="false" ht="15" hidden="false" customHeight="false" outlineLevel="0" collapsed="false">
      <c r="A1250" s="13" t="s">
        <v>896</v>
      </c>
      <c r="B1250" s="13" t="s">
        <v>42</v>
      </c>
      <c r="C1250" s="13" t="n">
        <v>2100</v>
      </c>
      <c r="D1250" s="13" t="n">
        <v>5</v>
      </c>
      <c r="E1250" s="13" t="n">
        <v>257.24</v>
      </c>
      <c r="F1250" s="13" t="s">
        <v>5288</v>
      </c>
      <c r="G1250" s="13" t="s">
        <v>5292</v>
      </c>
      <c r="H1250" s="13" t="s">
        <v>5292</v>
      </c>
      <c r="I1250" s="13" t="s">
        <v>5289</v>
      </c>
      <c r="J1250" s="13" t="s">
        <v>5289</v>
      </c>
      <c r="K1250" s="13" t="s">
        <v>5289</v>
      </c>
      <c r="L1250" s="13" t="s">
        <v>5924</v>
      </c>
      <c r="M1250" s="13"/>
      <c r="N1250" s="13" t="n">
        <v>8411061906804</v>
      </c>
      <c r="O1250" s="13"/>
      <c r="P1250" s="13" t="s">
        <v>5291</v>
      </c>
      <c r="Q1250" s="13" t="s">
        <v>5289</v>
      </c>
      <c r="R1250" s="13" t="s">
        <v>5292</v>
      </c>
      <c r="S1250" s="13" t="s">
        <v>5293</v>
      </c>
      <c r="T1250" s="13" t="s">
        <v>4</v>
      </c>
      <c r="U1250" s="13" t="s">
        <v>43</v>
      </c>
      <c r="V1250" s="13" t="n">
        <f aca="false">IF(COUNTIF($B$2:B1250,B1250)=1,1,0)</f>
        <v>0</v>
      </c>
      <c r="W1250" s="13" t="n">
        <f aca="false">IF(COUNTIFS($B$2:B1250,B1250,$T$2:T1250,T1250)=1,1,0)</f>
        <v>0</v>
      </c>
    </row>
    <row r="1251" customFormat="false" ht="15" hidden="false" customHeight="false" outlineLevel="0" collapsed="false">
      <c r="A1251" s="13" t="s">
        <v>219</v>
      </c>
      <c r="B1251" s="13" t="s">
        <v>42</v>
      </c>
      <c r="C1251" s="13" t="n">
        <v>2000</v>
      </c>
      <c r="D1251" s="13" t="n">
        <v>2</v>
      </c>
      <c r="E1251" s="13" t="n">
        <v>679.15</v>
      </c>
      <c r="F1251" s="13" t="s">
        <v>5288</v>
      </c>
      <c r="G1251" s="13" t="s">
        <v>5292</v>
      </c>
      <c r="H1251" s="13" t="s">
        <v>5289</v>
      </c>
      <c r="I1251" s="13" t="s">
        <v>5289</v>
      </c>
      <c r="J1251" s="13" t="s">
        <v>5289</v>
      </c>
      <c r="K1251" s="13" t="s">
        <v>5289</v>
      </c>
      <c r="L1251" s="13" t="s">
        <v>5925</v>
      </c>
      <c r="M1251" s="13"/>
      <c r="N1251" s="13" t="n">
        <v>8411061083499</v>
      </c>
      <c r="O1251" s="13"/>
      <c r="P1251" s="13" t="s">
        <v>5291</v>
      </c>
      <c r="Q1251" s="13" t="s">
        <v>5289</v>
      </c>
      <c r="R1251" s="13" t="s">
        <v>5292</v>
      </c>
      <c r="S1251" s="13" t="s">
        <v>5293</v>
      </c>
      <c r="T1251" s="13" t="s">
        <v>4</v>
      </c>
      <c r="U1251" s="13" t="s">
        <v>43</v>
      </c>
      <c r="V1251" s="13" t="n">
        <f aca="false">IF(COUNTIF($B$2:B1251,B1251)=1,1,0)</f>
        <v>0</v>
      </c>
      <c r="W1251" s="13" t="n">
        <f aca="false">IF(COUNTIFS($B$2:B1251,B1251,$T$2:T1251,T1251)=1,1,0)</f>
        <v>0</v>
      </c>
    </row>
    <row r="1252" customFormat="false" ht="15" hidden="false" customHeight="false" outlineLevel="0" collapsed="false">
      <c r="A1252" s="13" t="s">
        <v>912</v>
      </c>
      <c r="B1252" s="13" t="s">
        <v>42</v>
      </c>
      <c r="C1252" s="13" t="n">
        <v>2000</v>
      </c>
      <c r="D1252" s="13" t="n">
        <v>2</v>
      </c>
      <c r="E1252" s="13" t="n">
        <v>673.4</v>
      </c>
      <c r="F1252" s="13" t="s">
        <v>5288</v>
      </c>
      <c r="G1252" s="13" t="s">
        <v>5292</v>
      </c>
      <c r="H1252" s="13" t="s">
        <v>5289</v>
      </c>
      <c r="I1252" s="13" t="s">
        <v>5289</v>
      </c>
      <c r="J1252" s="13" t="s">
        <v>5289</v>
      </c>
      <c r="K1252" s="13" t="s">
        <v>5289</v>
      </c>
      <c r="L1252" s="13" t="s">
        <v>5926</v>
      </c>
      <c r="M1252" s="13"/>
      <c r="N1252" s="13" t="n">
        <v>8411061058466</v>
      </c>
      <c r="O1252" s="13"/>
      <c r="P1252" s="13" t="s">
        <v>5291</v>
      </c>
      <c r="Q1252" s="13" t="s">
        <v>5289</v>
      </c>
      <c r="R1252" s="13" t="s">
        <v>5292</v>
      </c>
      <c r="S1252" s="13" t="s">
        <v>5293</v>
      </c>
      <c r="T1252" s="13" t="s">
        <v>4</v>
      </c>
      <c r="U1252" s="13" t="s">
        <v>43</v>
      </c>
      <c r="V1252" s="13" t="n">
        <f aca="false">IF(COUNTIF($B$2:B1252,B1252)=1,1,0)</f>
        <v>0</v>
      </c>
      <c r="W1252" s="13" t="n">
        <f aca="false">IF(COUNTIFS($B$2:B1252,B1252,$T$2:T1252,T1252)=1,1,0)</f>
        <v>0</v>
      </c>
    </row>
    <row r="1253" customFormat="false" ht="15" hidden="false" customHeight="false" outlineLevel="0" collapsed="false">
      <c r="A1253" s="13" t="s">
        <v>909</v>
      </c>
      <c r="B1253" s="13" t="s">
        <v>204</v>
      </c>
      <c r="C1253" s="13" t="n">
        <v>2000</v>
      </c>
      <c r="D1253" s="13" t="n">
        <v>5</v>
      </c>
      <c r="E1253" s="13" t="n">
        <v>403.638</v>
      </c>
      <c r="F1253" s="13" t="s">
        <v>5288</v>
      </c>
      <c r="G1253" s="13" t="s">
        <v>5292</v>
      </c>
      <c r="H1253" s="13" t="s">
        <v>5292</v>
      </c>
      <c r="I1253" s="13" t="s">
        <v>5289</v>
      </c>
      <c r="J1253" s="13" t="s">
        <v>5289</v>
      </c>
      <c r="K1253" s="13" t="s">
        <v>5289</v>
      </c>
      <c r="L1253" s="13" t="s">
        <v>5927</v>
      </c>
      <c r="M1253" s="13"/>
      <c r="N1253" s="13" t="n">
        <v>7640496670160</v>
      </c>
      <c r="O1253" s="13"/>
      <c r="P1253" s="13" t="s">
        <v>5291</v>
      </c>
      <c r="Q1253" s="13" t="s">
        <v>5289</v>
      </c>
      <c r="R1253" s="13" t="s">
        <v>5292</v>
      </c>
      <c r="S1253" s="13" t="s">
        <v>5293</v>
      </c>
      <c r="T1253" s="13" t="s">
        <v>4</v>
      </c>
      <c r="U1253" s="13" t="s">
        <v>43</v>
      </c>
      <c r="V1253" s="13" t="n">
        <f aca="false">IF(COUNTIF($B$2:B1253,B1253)=1,1,0)</f>
        <v>0</v>
      </c>
      <c r="W1253" s="13" t="n">
        <f aca="false">IF(COUNTIFS($B$2:B1253,B1253,$T$2:T1253,T1253)=1,1,0)</f>
        <v>0</v>
      </c>
    </row>
    <row r="1254" customFormat="false" ht="15" hidden="false" customHeight="false" outlineLevel="0" collapsed="false">
      <c r="A1254" s="13" t="s">
        <v>910</v>
      </c>
      <c r="B1254" s="13" t="s">
        <v>630</v>
      </c>
      <c r="C1254" s="13" t="n">
        <v>2000</v>
      </c>
      <c r="D1254" s="13" t="n">
        <v>5</v>
      </c>
      <c r="E1254" s="13" t="n">
        <v>223.814444444444</v>
      </c>
      <c r="F1254" s="13" t="s">
        <v>5288</v>
      </c>
      <c r="G1254" s="13" t="s">
        <v>5289</v>
      </c>
      <c r="H1254" s="13" t="s">
        <v>5292</v>
      </c>
      <c r="I1254" s="13" t="s">
        <v>5289</v>
      </c>
      <c r="J1254" s="13" t="s">
        <v>5289</v>
      </c>
      <c r="K1254" s="13" t="s">
        <v>5289</v>
      </c>
      <c r="L1254" s="13" t="s">
        <v>5928</v>
      </c>
      <c r="M1254" s="13"/>
      <c r="N1254" s="13" t="n">
        <v>8433982026218</v>
      </c>
      <c r="O1254" s="13"/>
      <c r="P1254" s="13" t="s">
        <v>5291</v>
      </c>
      <c r="Q1254" s="13" t="s">
        <v>5289</v>
      </c>
      <c r="R1254" s="13" t="s">
        <v>5292</v>
      </c>
      <c r="S1254" s="13" t="s">
        <v>5293</v>
      </c>
      <c r="T1254" s="13" t="s">
        <v>4</v>
      </c>
      <c r="U1254" s="13" t="s">
        <v>43</v>
      </c>
      <c r="V1254" s="13" t="n">
        <f aca="false">IF(COUNTIF($B$2:B1254,B1254)=1,1,0)</f>
        <v>0</v>
      </c>
      <c r="W1254" s="13" t="n">
        <f aca="false">IF(COUNTIFS($B$2:B1254,B1254,$T$2:T1254,T1254)=1,1,0)</f>
        <v>0</v>
      </c>
    </row>
    <row r="1255" customFormat="false" ht="15" hidden="false" customHeight="false" outlineLevel="0" collapsed="false">
      <c r="A1255" s="13" t="s">
        <v>911</v>
      </c>
      <c r="B1255" s="13" t="s">
        <v>50</v>
      </c>
      <c r="C1255" s="13" t="n">
        <v>2000</v>
      </c>
      <c r="D1255" s="13" t="n">
        <v>2</v>
      </c>
      <c r="E1255" s="13" t="n">
        <v>666.366666666667</v>
      </c>
      <c r="F1255" s="13" t="s">
        <v>5288</v>
      </c>
      <c r="G1255" s="13" t="s">
        <v>5289</v>
      </c>
      <c r="H1255" s="13" t="s">
        <v>5289</v>
      </c>
      <c r="I1255" s="13" t="s">
        <v>5289</v>
      </c>
      <c r="J1255" s="13" t="s">
        <v>5289</v>
      </c>
      <c r="K1255" s="13" t="s">
        <v>5289</v>
      </c>
      <c r="L1255" s="13" t="s">
        <v>5929</v>
      </c>
      <c r="M1255" s="13"/>
      <c r="N1255" s="13" t="n">
        <v>3349668643943</v>
      </c>
      <c r="O1255" s="13"/>
      <c r="P1255" s="13" t="s">
        <v>5291</v>
      </c>
      <c r="Q1255" s="13" t="s">
        <v>5289</v>
      </c>
      <c r="R1255" s="13" t="s">
        <v>5292</v>
      </c>
      <c r="S1255" s="13" t="s">
        <v>5293</v>
      </c>
      <c r="T1255" s="13" t="s">
        <v>4</v>
      </c>
      <c r="U1255" s="13" t="s">
        <v>43</v>
      </c>
      <c r="V1255" s="13" t="n">
        <f aca="false">IF(COUNTIF($B$2:B1255,B1255)=1,1,0)</f>
        <v>0</v>
      </c>
      <c r="W1255" s="13" t="n">
        <f aca="false">IF(COUNTIFS($B$2:B1255,B1255,$T$2:T1255,T1255)=1,1,0)</f>
        <v>0</v>
      </c>
    </row>
    <row r="1256" customFormat="false" ht="15" hidden="false" customHeight="false" outlineLevel="0" collapsed="false">
      <c r="A1256" s="13" t="s">
        <v>927</v>
      </c>
      <c r="B1256" s="13" t="s">
        <v>79</v>
      </c>
      <c r="C1256" s="13" t="n">
        <v>2000</v>
      </c>
      <c r="D1256" s="13" t="n">
        <v>5</v>
      </c>
      <c r="E1256" s="13" t="n">
        <v>399.4</v>
      </c>
      <c r="F1256" s="13" t="s">
        <v>5325</v>
      </c>
      <c r="G1256" s="13" t="s">
        <v>5292</v>
      </c>
      <c r="H1256" s="13" t="s">
        <v>5292</v>
      </c>
      <c r="I1256" s="13" t="s">
        <v>5289</v>
      </c>
      <c r="J1256" s="13" t="s">
        <v>5289</v>
      </c>
      <c r="K1256" s="13" t="s">
        <v>5289</v>
      </c>
      <c r="L1256" s="13" t="s">
        <v>5930</v>
      </c>
      <c r="M1256" s="13"/>
      <c r="N1256" s="13" t="n">
        <v>8057971183715</v>
      </c>
      <c r="O1256" s="13"/>
      <c r="P1256" s="13" t="s">
        <v>5297</v>
      </c>
      <c r="Q1256" s="13" t="s">
        <v>5289</v>
      </c>
      <c r="R1256" s="13" t="s">
        <v>5292</v>
      </c>
      <c r="S1256" s="13" t="s">
        <v>5293</v>
      </c>
      <c r="T1256" s="13" t="s">
        <v>4</v>
      </c>
      <c r="U1256" s="13" t="s">
        <v>43</v>
      </c>
      <c r="V1256" s="13" t="n">
        <f aca="false">IF(COUNTIF($B$2:B1256,B1256)=1,1,0)</f>
        <v>0</v>
      </c>
      <c r="W1256" s="13" t="n">
        <f aca="false">IF(COUNTIFS($B$2:B1256,B1256,$T$2:T1256,T1256)=1,1,0)</f>
        <v>0</v>
      </c>
    </row>
    <row r="1257" customFormat="false" ht="15" hidden="false" customHeight="false" outlineLevel="0" collapsed="false">
      <c r="A1257" s="13" t="s">
        <v>926</v>
      </c>
      <c r="B1257" s="13" t="s">
        <v>50</v>
      </c>
      <c r="C1257" s="13" t="n">
        <v>2000</v>
      </c>
      <c r="D1257" s="13" t="n">
        <v>2</v>
      </c>
      <c r="E1257" s="13" t="n">
        <v>497.99</v>
      </c>
      <c r="F1257" s="13" t="s">
        <v>5325</v>
      </c>
      <c r="G1257" s="13" t="s">
        <v>5292</v>
      </c>
      <c r="H1257" s="13" t="s">
        <v>5292</v>
      </c>
      <c r="I1257" s="13" t="s">
        <v>5289</v>
      </c>
      <c r="J1257" s="13" t="s">
        <v>5289</v>
      </c>
      <c r="K1257" s="13" t="s">
        <v>5289</v>
      </c>
      <c r="L1257" s="13" t="s">
        <v>5656</v>
      </c>
      <c r="M1257" s="13"/>
      <c r="N1257" s="13" t="n">
        <v>3349666007921</v>
      </c>
      <c r="O1257" s="13"/>
      <c r="P1257" s="13" t="s">
        <v>5291</v>
      </c>
      <c r="Q1257" s="13" t="s">
        <v>5289</v>
      </c>
      <c r="R1257" s="13" t="s">
        <v>5292</v>
      </c>
      <c r="S1257" s="13" t="s">
        <v>5293</v>
      </c>
      <c r="T1257" s="13" t="s">
        <v>4</v>
      </c>
      <c r="U1257" s="13" t="s">
        <v>43</v>
      </c>
      <c r="V1257" s="13" t="n">
        <f aca="false">IF(COUNTIF($B$2:B1257,B1257)=1,1,0)</f>
        <v>0</v>
      </c>
      <c r="W1257" s="13" t="n">
        <f aca="false">IF(COUNTIFS($B$2:B1257,B1257,$T$2:T1257,T1257)=1,1,0)</f>
        <v>0</v>
      </c>
    </row>
    <row r="1258" customFormat="false" ht="15" hidden="false" customHeight="false" outlineLevel="0" collapsed="false">
      <c r="A1258" s="13" t="s">
        <v>778</v>
      </c>
      <c r="B1258" s="13" t="s">
        <v>42</v>
      </c>
      <c r="C1258" s="13" t="n">
        <v>2000</v>
      </c>
      <c r="D1258" s="13" t="n">
        <v>2</v>
      </c>
      <c r="E1258" s="13" t="n">
        <v>496.4525</v>
      </c>
      <c r="F1258" s="13" t="s">
        <v>5288</v>
      </c>
      <c r="G1258" s="13" t="s">
        <v>5289</v>
      </c>
      <c r="H1258" s="13" t="s">
        <v>5292</v>
      </c>
      <c r="I1258" s="13" t="s">
        <v>5289</v>
      </c>
      <c r="J1258" s="13" t="s">
        <v>5289</v>
      </c>
      <c r="K1258" s="13" t="s">
        <v>5289</v>
      </c>
      <c r="L1258" s="13" t="s">
        <v>5751</v>
      </c>
      <c r="M1258" s="13"/>
      <c r="N1258" s="13" t="n">
        <v>8411061077146</v>
      </c>
      <c r="O1258" s="13"/>
      <c r="P1258" s="13" t="s">
        <v>5291</v>
      </c>
      <c r="Q1258" s="13" t="s">
        <v>5289</v>
      </c>
      <c r="R1258" s="13" t="s">
        <v>5292</v>
      </c>
      <c r="S1258" s="13" t="s">
        <v>5293</v>
      </c>
      <c r="T1258" s="13" t="s">
        <v>4</v>
      </c>
      <c r="U1258" s="13" t="s">
        <v>43</v>
      </c>
      <c r="V1258" s="13" t="n">
        <f aca="false">IF(COUNTIF($B$2:B1258,B1258)=1,1,0)</f>
        <v>0</v>
      </c>
      <c r="W1258" s="13" t="n">
        <f aca="false">IF(COUNTIFS($B$2:B1258,B1258,$T$2:T1258,T1258)=1,1,0)</f>
        <v>0</v>
      </c>
    </row>
    <row r="1259" customFormat="false" ht="15" hidden="false" customHeight="false" outlineLevel="0" collapsed="false">
      <c r="A1259" s="13" t="s">
        <v>5931</v>
      </c>
      <c r="B1259" s="13" t="s">
        <v>2165</v>
      </c>
      <c r="C1259" s="13" t="n">
        <v>2000</v>
      </c>
      <c r="D1259" s="13" t="n">
        <v>5</v>
      </c>
      <c r="E1259" s="13" t="n">
        <v>283.585714285714</v>
      </c>
      <c r="F1259" s="13" t="s">
        <v>5325</v>
      </c>
      <c r="G1259" s="13" t="s">
        <v>5289</v>
      </c>
      <c r="H1259" s="13" t="s">
        <v>5292</v>
      </c>
      <c r="I1259" s="13" t="s">
        <v>5289</v>
      </c>
      <c r="J1259" s="13" t="s">
        <v>5289</v>
      </c>
      <c r="K1259" s="13" t="s">
        <v>5289</v>
      </c>
      <c r="L1259" s="13" t="s">
        <v>5786</v>
      </c>
      <c r="M1259" s="13"/>
      <c r="N1259" s="13" t="n">
        <v>5060524511142</v>
      </c>
      <c r="O1259" s="13"/>
      <c r="P1259" s="13" t="s">
        <v>5291</v>
      </c>
      <c r="Q1259" s="13" t="s">
        <v>5289</v>
      </c>
      <c r="R1259" s="13" t="s">
        <v>5292</v>
      </c>
      <c r="S1259" s="13" t="s">
        <v>5293</v>
      </c>
      <c r="T1259" s="13" t="s">
        <v>4</v>
      </c>
      <c r="U1259" s="13" t="s">
        <v>43</v>
      </c>
      <c r="V1259" s="13" t="n">
        <f aca="false">IF(COUNTIF($B$2:B1259,B1259)=1,1,0)</f>
        <v>0</v>
      </c>
      <c r="W1259" s="13" t="n">
        <f aca="false">IF(COUNTIFS($B$2:B1259,B1259,$T$2:T1259,T1259)=1,1,0)</f>
        <v>0</v>
      </c>
    </row>
    <row r="1260" customFormat="false" ht="15" hidden="false" customHeight="false" outlineLevel="0" collapsed="false">
      <c r="A1260" s="13" t="s">
        <v>920</v>
      </c>
      <c r="B1260" s="13" t="s">
        <v>153</v>
      </c>
      <c r="C1260" s="13" t="n">
        <v>2000</v>
      </c>
      <c r="D1260" s="13" t="n">
        <v>5</v>
      </c>
      <c r="E1260" s="13" t="n">
        <v>330.516666666667</v>
      </c>
      <c r="F1260" s="13" t="s">
        <v>5288</v>
      </c>
      <c r="G1260" s="13" t="s">
        <v>5292</v>
      </c>
      <c r="H1260" s="13" t="s">
        <v>5292</v>
      </c>
      <c r="I1260" s="13" t="s">
        <v>5289</v>
      </c>
      <c r="J1260" s="13" t="s">
        <v>5289</v>
      </c>
      <c r="K1260" s="13" t="s">
        <v>5289</v>
      </c>
      <c r="L1260" s="13" t="s">
        <v>5932</v>
      </c>
      <c r="M1260" s="13"/>
      <c r="N1260" s="13" t="n">
        <v>8011003858538</v>
      </c>
      <c r="O1260" s="13"/>
      <c r="P1260" s="13" t="s">
        <v>5297</v>
      </c>
      <c r="Q1260" s="13" t="s">
        <v>5289</v>
      </c>
      <c r="R1260" s="13" t="s">
        <v>5292</v>
      </c>
      <c r="S1260" s="13" t="s">
        <v>5293</v>
      </c>
      <c r="T1260" s="13" t="s">
        <v>4</v>
      </c>
      <c r="U1260" s="13" t="s">
        <v>43</v>
      </c>
      <c r="V1260" s="13" t="n">
        <f aca="false">IF(COUNTIF($B$2:B1260,B1260)=1,1,0)</f>
        <v>0</v>
      </c>
      <c r="W1260" s="13" t="n">
        <f aca="false">IF(COUNTIFS($B$2:B1260,B1260,$T$2:T1260,T1260)=1,1,0)</f>
        <v>0</v>
      </c>
    </row>
    <row r="1261" customFormat="false" ht="15" hidden="false" customHeight="false" outlineLevel="0" collapsed="false">
      <c r="A1261" s="13" t="s">
        <v>900</v>
      </c>
      <c r="B1261" s="13" t="s">
        <v>79</v>
      </c>
      <c r="C1261" s="13" t="n">
        <v>2000</v>
      </c>
      <c r="D1261" s="13" t="n">
        <v>2</v>
      </c>
      <c r="E1261" s="13" t="n">
        <v>991.105</v>
      </c>
      <c r="F1261" s="13" t="s">
        <v>5325</v>
      </c>
      <c r="G1261" s="13" t="s">
        <v>5292</v>
      </c>
      <c r="H1261" s="13" t="s">
        <v>5292</v>
      </c>
      <c r="I1261" s="13" t="s">
        <v>5289</v>
      </c>
      <c r="J1261" s="13" t="s">
        <v>5289</v>
      </c>
      <c r="K1261" s="13" t="s">
        <v>5289</v>
      </c>
      <c r="L1261" s="13" t="s">
        <v>5933</v>
      </c>
      <c r="M1261" s="13"/>
      <c r="N1261" s="13" t="n">
        <v>8057971180417</v>
      </c>
      <c r="O1261" s="13"/>
      <c r="P1261" s="13" t="s">
        <v>5291</v>
      </c>
      <c r="Q1261" s="13" t="s">
        <v>5289</v>
      </c>
      <c r="R1261" s="13" t="s">
        <v>5292</v>
      </c>
      <c r="S1261" s="13" t="s">
        <v>5293</v>
      </c>
      <c r="T1261" s="13" t="s">
        <v>4</v>
      </c>
      <c r="U1261" s="13" t="s">
        <v>43</v>
      </c>
      <c r="V1261" s="13" t="n">
        <f aca="false">IF(COUNTIF($B$2:B1261,B1261)=1,1,0)</f>
        <v>0</v>
      </c>
      <c r="W1261" s="13" t="n">
        <f aca="false">IF(COUNTIFS($B$2:B1261,B1261,$T$2:T1261,T1261)=1,1,0)</f>
        <v>0</v>
      </c>
    </row>
    <row r="1262" customFormat="false" ht="15" hidden="false" customHeight="false" outlineLevel="0" collapsed="false">
      <c r="A1262" s="13" t="s">
        <v>902</v>
      </c>
      <c r="B1262" s="13" t="s">
        <v>42</v>
      </c>
      <c r="C1262" s="13" t="n">
        <v>2000</v>
      </c>
      <c r="D1262" s="13" t="n">
        <v>2</v>
      </c>
      <c r="E1262" s="13" t="n">
        <v>660.333333333333</v>
      </c>
      <c r="F1262" s="13" t="s">
        <v>5288</v>
      </c>
      <c r="G1262" s="13" t="s">
        <v>5289</v>
      </c>
      <c r="H1262" s="13" t="s">
        <v>5292</v>
      </c>
      <c r="I1262" s="13" t="s">
        <v>5289</v>
      </c>
      <c r="J1262" s="13" t="s">
        <v>5289</v>
      </c>
      <c r="K1262" s="13" t="s">
        <v>5289</v>
      </c>
      <c r="L1262" s="13" t="s">
        <v>5694</v>
      </c>
      <c r="M1262" s="13"/>
      <c r="N1262" s="13" t="n">
        <v>8411061123607</v>
      </c>
      <c r="O1262" s="13"/>
      <c r="P1262" s="13" t="s">
        <v>5291</v>
      </c>
      <c r="Q1262" s="13" t="s">
        <v>5289</v>
      </c>
      <c r="R1262" s="13" t="s">
        <v>5292</v>
      </c>
      <c r="S1262" s="13" t="s">
        <v>5293</v>
      </c>
      <c r="T1262" s="13" t="s">
        <v>4</v>
      </c>
      <c r="U1262" s="13" t="s">
        <v>43</v>
      </c>
      <c r="V1262" s="13" t="n">
        <f aca="false">IF(COUNTIF($B$2:B1262,B1262)=1,1,0)</f>
        <v>0</v>
      </c>
      <c r="W1262" s="13" t="n">
        <f aca="false">IF(COUNTIFS($B$2:B1262,B1262,$T$2:T1262,T1262)=1,1,0)</f>
        <v>0</v>
      </c>
    </row>
    <row r="1263" customFormat="false" ht="15" hidden="false" customHeight="false" outlineLevel="0" collapsed="false">
      <c r="A1263" s="13" t="s">
        <v>3304</v>
      </c>
      <c r="B1263" s="13" t="s">
        <v>2120</v>
      </c>
      <c r="C1263" s="13" t="n">
        <v>2000</v>
      </c>
      <c r="D1263" s="13" t="n">
        <v>2</v>
      </c>
      <c r="E1263" s="13" t="n">
        <v>657.376666666667</v>
      </c>
      <c r="F1263" s="13" t="s">
        <v>5325</v>
      </c>
      <c r="G1263" s="13" t="s">
        <v>5289</v>
      </c>
      <c r="H1263" s="13" t="s">
        <v>5292</v>
      </c>
      <c r="I1263" s="13" t="s">
        <v>5289</v>
      </c>
      <c r="J1263" s="13" t="s">
        <v>5289</v>
      </c>
      <c r="K1263" s="13" t="s">
        <v>5289</v>
      </c>
      <c r="L1263" s="13" t="s">
        <v>5884</v>
      </c>
      <c r="M1263" s="13"/>
      <c r="N1263" s="13" t="n">
        <v>3423470311365</v>
      </c>
      <c r="O1263" s="13"/>
      <c r="P1263" s="13" t="s">
        <v>5291</v>
      </c>
      <c r="Q1263" s="13" t="s">
        <v>5289</v>
      </c>
      <c r="R1263" s="13" t="s">
        <v>5292</v>
      </c>
      <c r="S1263" s="13" t="s">
        <v>5293</v>
      </c>
      <c r="T1263" s="13" t="s">
        <v>4</v>
      </c>
      <c r="U1263" s="13" t="s">
        <v>85</v>
      </c>
      <c r="V1263" s="13" t="n">
        <f aca="false">IF(COUNTIF($B$2:B1263,B1263)=1,1,0)</f>
        <v>0</v>
      </c>
      <c r="W1263" s="13" t="n">
        <f aca="false">IF(COUNTIFS($B$2:B1263,B1263,$T$2:T1263,T1263)=1,1,0)</f>
        <v>0</v>
      </c>
    </row>
    <row r="1264" customFormat="false" ht="15" hidden="false" customHeight="false" outlineLevel="0" collapsed="false">
      <c r="A1264" s="13" t="s">
        <v>901</v>
      </c>
      <c r="B1264" s="13" t="s">
        <v>42</v>
      </c>
      <c r="C1264" s="13" t="n">
        <v>2000</v>
      </c>
      <c r="D1264" s="13" t="n">
        <v>5</v>
      </c>
      <c r="E1264" s="13" t="n">
        <v>281.295714285714</v>
      </c>
      <c r="F1264" s="13" t="s">
        <v>5325</v>
      </c>
      <c r="G1264" s="13" t="s">
        <v>5292</v>
      </c>
      <c r="H1264" s="13" t="s">
        <v>5292</v>
      </c>
      <c r="I1264" s="13" t="s">
        <v>5289</v>
      </c>
      <c r="J1264" s="13" t="s">
        <v>5289</v>
      </c>
      <c r="K1264" s="13" t="s">
        <v>5289</v>
      </c>
      <c r="L1264" s="13" t="s">
        <v>5924</v>
      </c>
      <c r="M1264" s="13"/>
      <c r="N1264" s="13" t="n">
        <v>8411061906804</v>
      </c>
      <c r="O1264" s="13"/>
      <c r="P1264" s="13" t="s">
        <v>5297</v>
      </c>
      <c r="Q1264" s="13" t="s">
        <v>5289</v>
      </c>
      <c r="R1264" s="13" t="s">
        <v>5292</v>
      </c>
      <c r="S1264" s="13" t="s">
        <v>5293</v>
      </c>
      <c r="T1264" s="13" t="s">
        <v>4</v>
      </c>
      <c r="U1264" s="13" t="s">
        <v>43</v>
      </c>
      <c r="V1264" s="13" t="n">
        <f aca="false">IF(COUNTIF($B$2:B1264,B1264)=1,1,0)</f>
        <v>0</v>
      </c>
      <c r="W1264" s="13" t="n">
        <f aca="false">IF(COUNTIFS($B$2:B1264,B1264,$T$2:T1264,T1264)=1,1,0)</f>
        <v>0</v>
      </c>
    </row>
    <row r="1265" customFormat="false" ht="15" hidden="false" customHeight="false" outlineLevel="0" collapsed="false">
      <c r="A1265" s="13" t="s">
        <v>3132</v>
      </c>
      <c r="B1265" s="13" t="s">
        <v>2111</v>
      </c>
      <c r="C1265" s="13" t="n">
        <v>2000</v>
      </c>
      <c r="D1265" s="13" t="n">
        <v>5</v>
      </c>
      <c r="E1265" s="13" t="n">
        <v>391.154</v>
      </c>
      <c r="F1265" s="13" t="s">
        <v>5288</v>
      </c>
      <c r="G1265" s="13" t="s">
        <v>5289</v>
      </c>
      <c r="H1265" s="13" t="s">
        <v>5292</v>
      </c>
      <c r="I1265" s="13" t="s">
        <v>5289</v>
      </c>
      <c r="J1265" s="13" t="s">
        <v>5289</v>
      </c>
      <c r="K1265" s="13" t="s">
        <v>5289</v>
      </c>
      <c r="L1265" s="13" t="s">
        <v>5934</v>
      </c>
      <c r="M1265" s="13"/>
      <c r="N1265" s="13" t="n">
        <v>3386460160841</v>
      </c>
      <c r="O1265" s="13"/>
      <c r="P1265" s="13" t="s">
        <v>5291</v>
      </c>
      <c r="Q1265" s="13" t="s">
        <v>5289</v>
      </c>
      <c r="R1265" s="13" t="s">
        <v>5292</v>
      </c>
      <c r="S1265" s="13" t="s">
        <v>5293</v>
      </c>
      <c r="T1265" s="13" t="s">
        <v>4</v>
      </c>
      <c r="U1265" s="13" t="s">
        <v>43</v>
      </c>
      <c r="V1265" s="13" t="n">
        <f aca="false">IF(COUNTIF($B$2:B1265,B1265)=1,1,0)</f>
        <v>0</v>
      </c>
      <c r="W1265" s="13" t="n">
        <f aca="false">IF(COUNTIFS($B$2:B1265,B1265,$T$2:T1265,T1265)=1,1,0)</f>
        <v>0</v>
      </c>
    </row>
    <row r="1266" customFormat="false" ht="15" hidden="false" customHeight="false" outlineLevel="0" collapsed="false">
      <c r="A1266" s="13" t="s">
        <v>799</v>
      </c>
      <c r="B1266" s="13" t="s">
        <v>153</v>
      </c>
      <c r="C1266" s="13" t="n">
        <v>1900</v>
      </c>
      <c r="D1266" s="13" t="n">
        <v>2</v>
      </c>
      <c r="E1266" s="13" t="n">
        <v>648.59</v>
      </c>
      <c r="F1266" s="13" t="s">
        <v>5288</v>
      </c>
      <c r="G1266" s="13" t="s">
        <v>5289</v>
      </c>
      <c r="H1266" s="13" t="s">
        <v>5289</v>
      </c>
      <c r="I1266" s="13" t="s">
        <v>5289</v>
      </c>
      <c r="J1266" s="13" t="s">
        <v>5289</v>
      </c>
      <c r="K1266" s="13" t="s">
        <v>5289</v>
      </c>
      <c r="L1266" s="13" t="s">
        <v>5935</v>
      </c>
      <c r="M1266" s="13"/>
      <c r="N1266" s="13" t="n">
        <v>8011003895755</v>
      </c>
      <c r="O1266" s="13"/>
      <c r="P1266" s="13" t="s">
        <v>5291</v>
      </c>
      <c r="Q1266" s="13" t="s">
        <v>5289</v>
      </c>
      <c r="R1266" s="13" t="s">
        <v>5292</v>
      </c>
      <c r="S1266" s="13" t="s">
        <v>5293</v>
      </c>
      <c r="T1266" s="13" t="s">
        <v>4</v>
      </c>
      <c r="U1266" s="13" t="s">
        <v>43</v>
      </c>
      <c r="V1266" s="13" t="n">
        <f aca="false">IF(COUNTIF($B$2:B1266,B1266)=1,1,0)</f>
        <v>0</v>
      </c>
      <c r="W1266" s="13" t="n">
        <f aca="false">IF(COUNTIFS($B$2:B1266,B1266,$T$2:T1266,T1266)=1,1,0)</f>
        <v>0</v>
      </c>
    </row>
    <row r="1267" customFormat="false" ht="15" hidden="false" customHeight="false" outlineLevel="0" collapsed="false">
      <c r="A1267" s="13" t="s">
        <v>928</v>
      </c>
      <c r="B1267" s="13" t="s">
        <v>45</v>
      </c>
      <c r="C1267" s="13" t="n">
        <v>1900</v>
      </c>
      <c r="D1267" s="13" t="n">
        <v>2</v>
      </c>
      <c r="E1267" s="13" t="n">
        <v>967.16</v>
      </c>
      <c r="F1267" s="13" t="s">
        <v>5325</v>
      </c>
      <c r="G1267" s="13" t="s">
        <v>5289</v>
      </c>
      <c r="H1267" s="13" t="s">
        <v>5292</v>
      </c>
      <c r="I1267" s="13" t="s">
        <v>5289</v>
      </c>
      <c r="J1267" s="13" t="s">
        <v>5289</v>
      </c>
      <c r="K1267" s="13" t="s">
        <v>5289</v>
      </c>
      <c r="L1267" s="13" t="s">
        <v>5726</v>
      </c>
      <c r="M1267" s="13"/>
      <c r="N1267" s="13" t="n">
        <v>8435415064637</v>
      </c>
      <c r="O1267" s="13"/>
      <c r="P1267" s="13" t="s">
        <v>5291</v>
      </c>
      <c r="Q1267" s="13" t="s">
        <v>5289</v>
      </c>
      <c r="R1267" s="13" t="s">
        <v>5292</v>
      </c>
      <c r="S1267" s="13" t="s">
        <v>5293</v>
      </c>
      <c r="T1267" s="13" t="s">
        <v>4</v>
      </c>
      <c r="U1267" s="13" t="s">
        <v>43</v>
      </c>
      <c r="V1267" s="13" t="n">
        <f aca="false">IF(COUNTIF($B$2:B1267,B1267)=1,1,0)</f>
        <v>0</v>
      </c>
      <c r="W1267" s="13" t="n">
        <f aca="false">IF(COUNTIFS($B$2:B1267,B1267,$T$2:T1267,T1267)=1,1,0)</f>
        <v>0</v>
      </c>
    </row>
    <row r="1268" customFormat="false" ht="15" hidden="false" customHeight="false" outlineLevel="0" collapsed="false">
      <c r="A1268" s="13" t="s">
        <v>3629</v>
      </c>
      <c r="B1268" s="13" t="s">
        <v>2198</v>
      </c>
      <c r="C1268" s="13" t="n">
        <v>1900</v>
      </c>
      <c r="D1268" s="13" t="n">
        <v>5</v>
      </c>
      <c r="E1268" s="13" t="n">
        <v>385.39</v>
      </c>
      <c r="F1268" s="13" t="s">
        <v>5288</v>
      </c>
      <c r="G1268" s="13" t="s">
        <v>5289</v>
      </c>
      <c r="H1268" s="13" t="s">
        <v>5292</v>
      </c>
      <c r="I1268" s="13" t="s">
        <v>5289</v>
      </c>
      <c r="J1268" s="13" t="s">
        <v>5289</v>
      </c>
      <c r="K1268" s="13" t="s">
        <v>5289</v>
      </c>
      <c r="L1268" s="13" t="s">
        <v>5936</v>
      </c>
      <c r="M1268" s="13"/>
      <c r="N1268" s="13" t="n">
        <v>3494800300243</v>
      </c>
      <c r="O1268" s="13"/>
      <c r="P1268" s="13" t="s">
        <v>5291</v>
      </c>
      <c r="Q1268" s="13" t="s">
        <v>5289</v>
      </c>
      <c r="R1268" s="13" t="s">
        <v>5292</v>
      </c>
      <c r="S1268" s="13" t="s">
        <v>5293</v>
      </c>
      <c r="T1268" s="13" t="s">
        <v>4</v>
      </c>
      <c r="U1268" s="13" t="s">
        <v>183</v>
      </c>
      <c r="V1268" s="13" t="n">
        <f aca="false">IF(COUNTIF($B$2:B1268,B1268)=1,1,0)</f>
        <v>1</v>
      </c>
      <c r="W1268" s="13" t="n">
        <f aca="false">IF(COUNTIFS($B$2:B1268,B1268,$T$2:T1268,T1268)=1,1,0)</f>
        <v>1</v>
      </c>
    </row>
    <row r="1269" customFormat="false" ht="15" hidden="false" customHeight="false" outlineLevel="0" collapsed="false">
      <c r="A1269" s="13" t="s">
        <v>289</v>
      </c>
      <c r="B1269" s="13" t="s">
        <v>50</v>
      </c>
      <c r="C1269" s="13" t="n">
        <v>1900</v>
      </c>
      <c r="D1269" s="13" t="n">
        <v>2</v>
      </c>
      <c r="E1269" s="13" t="n">
        <v>950.38</v>
      </c>
      <c r="F1269" s="13" t="s">
        <v>5325</v>
      </c>
      <c r="G1269" s="13" t="s">
        <v>5289</v>
      </c>
      <c r="H1269" s="13" t="s">
        <v>5289</v>
      </c>
      <c r="I1269" s="13" t="s">
        <v>5289</v>
      </c>
      <c r="J1269" s="13" t="s">
        <v>5289</v>
      </c>
      <c r="K1269" s="13" t="s">
        <v>5289</v>
      </c>
      <c r="L1269" s="13" t="s">
        <v>5937</v>
      </c>
      <c r="M1269" s="13"/>
      <c r="N1269" s="13" t="n">
        <v>3349668630356</v>
      </c>
      <c r="O1269" s="13"/>
      <c r="P1269" s="13" t="s">
        <v>5291</v>
      </c>
      <c r="Q1269" s="13" t="s">
        <v>5289</v>
      </c>
      <c r="R1269" s="13" t="s">
        <v>5292</v>
      </c>
      <c r="S1269" s="13" t="s">
        <v>5293</v>
      </c>
      <c r="T1269" s="13" t="s">
        <v>4</v>
      </c>
      <c r="U1269" s="13" t="s">
        <v>43</v>
      </c>
      <c r="V1269" s="13" t="n">
        <f aca="false">IF(COUNTIF($B$2:B1269,B1269)=1,1,0)</f>
        <v>0</v>
      </c>
      <c r="W1269" s="13" t="n">
        <f aca="false">IF(COUNTIFS($B$2:B1269,B1269,$T$2:T1269,T1269)=1,1,0)</f>
        <v>0</v>
      </c>
    </row>
    <row r="1270" customFormat="false" ht="15" hidden="false" customHeight="false" outlineLevel="0" collapsed="false">
      <c r="A1270" s="13" t="s">
        <v>929</v>
      </c>
      <c r="B1270" s="13" t="s">
        <v>50</v>
      </c>
      <c r="C1270" s="13" t="n">
        <v>1900</v>
      </c>
      <c r="D1270" s="13" t="n">
        <v>2</v>
      </c>
      <c r="E1270" s="13" t="n">
        <v>474.05</v>
      </c>
      <c r="F1270" s="13" t="s">
        <v>5325</v>
      </c>
      <c r="G1270" s="13" t="s">
        <v>5289</v>
      </c>
      <c r="H1270" s="13" t="s">
        <v>5292</v>
      </c>
      <c r="I1270" s="13" t="s">
        <v>5289</v>
      </c>
      <c r="J1270" s="13" t="s">
        <v>5289</v>
      </c>
      <c r="K1270" s="13" t="s">
        <v>5289</v>
      </c>
      <c r="L1270" s="13" t="s">
        <v>5868</v>
      </c>
      <c r="M1270" s="13"/>
      <c r="N1270" s="13" t="n">
        <v>3349668612611</v>
      </c>
      <c r="O1270" s="13"/>
      <c r="P1270" s="13" t="s">
        <v>5291</v>
      </c>
      <c r="Q1270" s="13" t="s">
        <v>5289</v>
      </c>
      <c r="R1270" s="13" t="s">
        <v>5292</v>
      </c>
      <c r="S1270" s="13" t="s">
        <v>5293</v>
      </c>
      <c r="T1270" s="13" t="s">
        <v>4</v>
      </c>
      <c r="U1270" s="13" t="s">
        <v>43</v>
      </c>
      <c r="V1270" s="13" t="n">
        <f aca="false">IF(COUNTIF($B$2:B1270,B1270)=1,1,0)</f>
        <v>0</v>
      </c>
      <c r="W1270" s="13" t="n">
        <f aca="false">IF(COUNTIFS($B$2:B1270,B1270,$T$2:T1270,T1270)=1,1,0)</f>
        <v>0</v>
      </c>
    </row>
    <row r="1271" customFormat="false" ht="15" hidden="false" customHeight="false" outlineLevel="0" collapsed="false">
      <c r="A1271" s="13" t="s">
        <v>937</v>
      </c>
      <c r="B1271" s="13" t="s">
        <v>312</v>
      </c>
      <c r="C1271" s="13" t="n">
        <v>1900</v>
      </c>
      <c r="D1271" s="13" t="n">
        <v>5</v>
      </c>
      <c r="E1271" s="13" t="n">
        <v>189.573</v>
      </c>
      <c r="F1271" s="13" t="s">
        <v>5288</v>
      </c>
      <c r="G1271" s="13" t="s">
        <v>5289</v>
      </c>
      <c r="H1271" s="13" t="s">
        <v>5292</v>
      </c>
      <c r="I1271" s="13" t="s">
        <v>5289</v>
      </c>
      <c r="J1271" s="13" t="s">
        <v>5289</v>
      </c>
      <c r="K1271" s="13" t="s">
        <v>5289</v>
      </c>
      <c r="L1271" s="13" t="s">
        <v>5938</v>
      </c>
      <c r="M1271" s="13"/>
      <c r="N1271" s="13" t="n">
        <v>5055121801192</v>
      </c>
      <c r="O1271" s="13"/>
      <c r="P1271" s="13" t="s">
        <v>5291</v>
      </c>
      <c r="Q1271" s="13" t="s">
        <v>5289</v>
      </c>
      <c r="R1271" s="13" t="s">
        <v>5292</v>
      </c>
      <c r="S1271" s="13" t="s">
        <v>5293</v>
      </c>
      <c r="T1271" s="13" t="s">
        <v>4</v>
      </c>
      <c r="U1271" s="13" t="s">
        <v>43</v>
      </c>
      <c r="V1271" s="13" t="n">
        <f aca="false">IF(COUNTIF($B$2:B1271,B1271)=1,1,0)</f>
        <v>0</v>
      </c>
      <c r="W1271" s="13" t="n">
        <f aca="false">IF(COUNTIFS($B$2:B1271,B1271,$T$2:T1271,T1271)=1,1,0)</f>
        <v>0</v>
      </c>
    </row>
    <row r="1272" customFormat="false" ht="15" hidden="false" customHeight="false" outlineLevel="0" collapsed="false">
      <c r="A1272" s="13" t="s">
        <v>930</v>
      </c>
      <c r="B1272" s="13" t="s">
        <v>42</v>
      </c>
      <c r="C1272" s="13" t="n">
        <v>1900</v>
      </c>
      <c r="D1272" s="13" t="n">
        <v>2</v>
      </c>
      <c r="E1272" s="13" t="n">
        <v>627.886666666667</v>
      </c>
      <c r="F1272" s="13" t="s">
        <v>5288</v>
      </c>
      <c r="G1272" s="13" t="s">
        <v>5289</v>
      </c>
      <c r="H1272" s="13" t="s">
        <v>5292</v>
      </c>
      <c r="I1272" s="13" t="s">
        <v>5289</v>
      </c>
      <c r="J1272" s="13" t="s">
        <v>5289</v>
      </c>
      <c r="K1272" s="13" t="s">
        <v>5289</v>
      </c>
      <c r="L1272" s="13" t="s">
        <v>5723</v>
      </c>
      <c r="M1272" s="13"/>
      <c r="N1272" s="13" t="n">
        <v>8411061043868</v>
      </c>
      <c r="O1272" s="13"/>
      <c r="P1272" s="13" t="s">
        <v>5291</v>
      </c>
      <c r="Q1272" s="13" t="s">
        <v>5289</v>
      </c>
      <c r="R1272" s="13" t="s">
        <v>5292</v>
      </c>
      <c r="S1272" s="13" t="s">
        <v>5293</v>
      </c>
      <c r="T1272" s="13" t="s">
        <v>4</v>
      </c>
      <c r="U1272" s="13" t="s">
        <v>43</v>
      </c>
      <c r="V1272" s="13" t="n">
        <f aca="false">IF(COUNTIF($B$2:B1272,B1272)=1,1,0)</f>
        <v>0</v>
      </c>
      <c r="W1272" s="13" t="n">
        <f aca="false">IF(COUNTIFS($B$2:B1272,B1272,$T$2:T1272,T1272)=1,1,0)</f>
        <v>0</v>
      </c>
    </row>
    <row r="1273" customFormat="false" ht="15" hidden="false" customHeight="false" outlineLevel="0" collapsed="false">
      <c r="A1273" s="13" t="s">
        <v>279</v>
      </c>
      <c r="B1273" s="13" t="s">
        <v>45</v>
      </c>
      <c r="C1273" s="13" t="n">
        <v>1900</v>
      </c>
      <c r="D1273" s="13" t="n">
        <v>2</v>
      </c>
      <c r="E1273" s="13" t="n">
        <v>932.685</v>
      </c>
      <c r="F1273" s="13" t="s">
        <v>5325</v>
      </c>
      <c r="G1273" s="13" t="s">
        <v>5292</v>
      </c>
      <c r="H1273" s="13" t="s">
        <v>5289</v>
      </c>
      <c r="I1273" s="13" t="s">
        <v>5289</v>
      </c>
      <c r="J1273" s="13" t="s">
        <v>5289</v>
      </c>
      <c r="K1273" s="13" t="s">
        <v>5289</v>
      </c>
      <c r="L1273" s="13" t="s">
        <v>5796</v>
      </c>
      <c r="M1273" s="13"/>
      <c r="N1273" s="13" t="n">
        <v>8435415102735</v>
      </c>
      <c r="O1273" s="13"/>
      <c r="P1273" s="13" t="s">
        <v>5291</v>
      </c>
      <c r="Q1273" s="13" t="s">
        <v>5289</v>
      </c>
      <c r="R1273" s="13" t="s">
        <v>5292</v>
      </c>
      <c r="S1273" s="13" t="s">
        <v>5293</v>
      </c>
      <c r="T1273" s="13" t="s">
        <v>4</v>
      </c>
      <c r="U1273" s="13" t="s">
        <v>43</v>
      </c>
      <c r="V1273" s="13" t="n">
        <f aca="false">IF(COUNTIF($B$2:B1273,B1273)=1,1,0)</f>
        <v>0</v>
      </c>
      <c r="W1273" s="13" t="n">
        <f aca="false">IF(COUNTIFS($B$2:B1273,B1273,$T$2:T1273,T1273)=1,1,0)</f>
        <v>0</v>
      </c>
    </row>
    <row r="1274" customFormat="false" ht="15" hidden="false" customHeight="false" outlineLevel="0" collapsed="false">
      <c r="A1274" s="13" t="s">
        <v>931</v>
      </c>
      <c r="B1274" s="13" t="s">
        <v>45</v>
      </c>
      <c r="C1274" s="13" t="n">
        <v>1900</v>
      </c>
      <c r="D1274" s="13" t="n">
        <v>2</v>
      </c>
      <c r="E1274" s="13" t="n">
        <v>926.44</v>
      </c>
      <c r="F1274" s="13" t="s">
        <v>5325</v>
      </c>
      <c r="G1274" s="13" t="s">
        <v>5289</v>
      </c>
      <c r="H1274" s="13" t="s">
        <v>5292</v>
      </c>
      <c r="I1274" s="13" t="s">
        <v>5289</v>
      </c>
      <c r="J1274" s="13" t="s">
        <v>5289</v>
      </c>
      <c r="K1274" s="13" t="s">
        <v>5289</v>
      </c>
      <c r="L1274" s="13" t="s">
        <v>5765</v>
      </c>
      <c r="M1274" s="13"/>
      <c r="N1274" s="13" t="n">
        <v>8435415076906</v>
      </c>
      <c r="O1274" s="13"/>
      <c r="P1274" s="13" t="s">
        <v>5297</v>
      </c>
      <c r="Q1274" s="13" t="s">
        <v>5289</v>
      </c>
      <c r="R1274" s="13" t="s">
        <v>5292</v>
      </c>
      <c r="S1274" s="13" t="s">
        <v>5293</v>
      </c>
      <c r="T1274" s="13" t="s">
        <v>4</v>
      </c>
      <c r="U1274" s="13" t="s">
        <v>43</v>
      </c>
      <c r="V1274" s="13" t="n">
        <f aca="false">IF(COUNTIF($B$2:B1274,B1274)=1,1,0)</f>
        <v>0</v>
      </c>
      <c r="W1274" s="13" t="n">
        <f aca="false">IF(COUNTIFS($B$2:B1274,B1274,$T$2:T1274,T1274)=1,1,0)</f>
        <v>0</v>
      </c>
    </row>
    <row r="1275" customFormat="false" ht="15" hidden="false" customHeight="false" outlineLevel="0" collapsed="false">
      <c r="A1275" s="13" t="s">
        <v>205</v>
      </c>
      <c r="B1275" s="13" t="s">
        <v>204</v>
      </c>
      <c r="C1275" s="13" t="n">
        <v>1800</v>
      </c>
      <c r="D1275" s="13" t="n">
        <v>2</v>
      </c>
      <c r="E1275" s="13" t="n">
        <v>460.63</v>
      </c>
      <c r="F1275" s="13" t="s">
        <v>5288</v>
      </c>
      <c r="G1275" s="13" t="s">
        <v>5289</v>
      </c>
      <c r="H1275" s="13" t="s">
        <v>5289</v>
      </c>
      <c r="I1275" s="13" t="s">
        <v>5289</v>
      </c>
      <c r="J1275" s="13" t="s">
        <v>5289</v>
      </c>
      <c r="K1275" s="13" t="s">
        <v>5289</v>
      </c>
      <c r="L1275" s="13" t="s">
        <v>5780</v>
      </c>
      <c r="M1275" s="13"/>
      <c r="N1275" s="13" t="n">
        <v>7640496670245</v>
      </c>
      <c r="O1275" s="13"/>
      <c r="P1275" s="13" t="s">
        <v>5291</v>
      </c>
      <c r="Q1275" s="13" t="s">
        <v>5289</v>
      </c>
      <c r="R1275" s="13" t="s">
        <v>5292</v>
      </c>
      <c r="S1275" s="13" t="s">
        <v>5293</v>
      </c>
      <c r="T1275" s="13" t="s">
        <v>4</v>
      </c>
      <c r="U1275" s="13" t="s">
        <v>43</v>
      </c>
      <c r="V1275" s="13" t="n">
        <f aca="false">IF(COUNTIF($B$2:B1275,B1275)=1,1,0)</f>
        <v>0</v>
      </c>
      <c r="W1275" s="13" t="n">
        <f aca="false">IF(COUNTIFS($B$2:B1275,B1275,$T$2:T1275,T1275)=1,1,0)</f>
        <v>0</v>
      </c>
    </row>
    <row r="1276" customFormat="false" ht="15" hidden="false" customHeight="false" outlineLevel="0" collapsed="false">
      <c r="A1276" s="13" t="s">
        <v>948</v>
      </c>
      <c r="B1276" s="13" t="s">
        <v>50</v>
      </c>
      <c r="C1276" s="13" t="n">
        <v>1800</v>
      </c>
      <c r="D1276" s="13" t="n">
        <v>2</v>
      </c>
      <c r="E1276" s="13" t="n">
        <v>919.08</v>
      </c>
      <c r="F1276" s="13" t="s">
        <v>5325</v>
      </c>
      <c r="G1276" s="13" t="s">
        <v>5289</v>
      </c>
      <c r="H1276" s="13" t="s">
        <v>5292</v>
      </c>
      <c r="I1276" s="13" t="s">
        <v>5289</v>
      </c>
      <c r="J1276" s="13" t="s">
        <v>5289</v>
      </c>
      <c r="K1276" s="13" t="s">
        <v>5289</v>
      </c>
      <c r="L1276" s="13" t="s">
        <v>5872</v>
      </c>
      <c r="M1276" s="13"/>
      <c r="N1276" s="13" t="n">
        <v>3349668661657</v>
      </c>
      <c r="O1276" s="13"/>
      <c r="P1276" s="13" t="s">
        <v>5291</v>
      </c>
      <c r="Q1276" s="13" t="s">
        <v>5289</v>
      </c>
      <c r="R1276" s="13" t="s">
        <v>5292</v>
      </c>
      <c r="S1276" s="13" t="s">
        <v>5293</v>
      </c>
      <c r="T1276" s="13" t="s">
        <v>4</v>
      </c>
      <c r="U1276" s="13" t="s">
        <v>43</v>
      </c>
      <c r="V1276" s="13" t="n">
        <f aca="false">IF(COUNTIF($B$2:B1276,B1276)=1,1,0)</f>
        <v>0</v>
      </c>
      <c r="W1276" s="13" t="n">
        <f aca="false">IF(COUNTIFS($B$2:B1276,B1276,$T$2:T1276,T1276)=1,1,0)</f>
        <v>0</v>
      </c>
    </row>
    <row r="1277" customFormat="false" ht="15" hidden="false" customHeight="false" outlineLevel="0" collapsed="false">
      <c r="A1277" s="13" t="s">
        <v>5939</v>
      </c>
      <c r="B1277" s="13" t="s">
        <v>2140</v>
      </c>
      <c r="C1277" s="13" t="n">
        <v>1800</v>
      </c>
      <c r="D1277" s="13" t="n">
        <v>5</v>
      </c>
      <c r="E1277" s="13" t="n">
        <v>261.578571428571</v>
      </c>
      <c r="F1277" s="13" t="s">
        <v>5325</v>
      </c>
      <c r="G1277" s="13" t="s">
        <v>5289</v>
      </c>
      <c r="H1277" s="13" t="s">
        <v>5292</v>
      </c>
      <c r="I1277" s="13" t="s">
        <v>5289</v>
      </c>
      <c r="J1277" s="13" t="s">
        <v>5289</v>
      </c>
      <c r="K1277" s="13" t="s">
        <v>5289</v>
      </c>
      <c r="L1277" s="13" t="s">
        <v>5736</v>
      </c>
      <c r="M1277" s="13"/>
      <c r="N1277" s="13" t="n">
        <v>3331845850862</v>
      </c>
      <c r="O1277" s="13"/>
      <c r="P1277" s="13" t="s">
        <v>5291</v>
      </c>
      <c r="Q1277" s="13" t="s">
        <v>5289</v>
      </c>
      <c r="R1277" s="13" t="s">
        <v>5292</v>
      </c>
      <c r="S1277" s="13" t="s">
        <v>5293</v>
      </c>
      <c r="T1277" s="13" t="s">
        <v>4</v>
      </c>
      <c r="U1277" s="13" t="s">
        <v>43</v>
      </c>
      <c r="V1277" s="13" t="n">
        <f aca="false">IF(COUNTIF($B$2:B1277,B1277)=1,1,0)</f>
        <v>0</v>
      </c>
      <c r="W1277" s="13" t="n">
        <f aca="false">IF(COUNTIFS($B$2:B1277,B1277,$T$2:T1277,T1277)=1,1,0)</f>
        <v>0</v>
      </c>
    </row>
    <row r="1278" customFormat="false" ht="15" hidden="false" customHeight="false" outlineLevel="0" collapsed="false">
      <c r="A1278" s="13" t="s">
        <v>522</v>
      </c>
      <c r="B1278" s="13" t="s">
        <v>79</v>
      </c>
      <c r="C1278" s="13" t="n">
        <v>1800</v>
      </c>
      <c r="D1278" s="13" t="n">
        <v>2</v>
      </c>
      <c r="E1278" s="13" t="n">
        <v>608.3</v>
      </c>
      <c r="F1278" s="13" t="s">
        <v>5288</v>
      </c>
      <c r="G1278" s="13" t="s">
        <v>5289</v>
      </c>
      <c r="H1278" s="13" t="s">
        <v>5292</v>
      </c>
      <c r="I1278" s="13" t="s">
        <v>5289</v>
      </c>
      <c r="J1278" s="13" t="s">
        <v>5289</v>
      </c>
      <c r="K1278" s="13" t="s">
        <v>5289</v>
      </c>
      <c r="L1278" s="13" t="s">
        <v>5940</v>
      </c>
      <c r="M1278" s="13"/>
      <c r="N1278" s="13" t="n">
        <v>8056669927129</v>
      </c>
      <c r="O1278" s="13"/>
      <c r="P1278" s="13" t="s">
        <v>5291</v>
      </c>
      <c r="Q1278" s="13" t="s">
        <v>5289</v>
      </c>
      <c r="R1278" s="13" t="s">
        <v>5292</v>
      </c>
      <c r="S1278" s="13" t="s">
        <v>5293</v>
      </c>
      <c r="T1278" s="13" t="s">
        <v>4</v>
      </c>
      <c r="U1278" s="13" t="s">
        <v>43</v>
      </c>
      <c r="V1278" s="13" t="n">
        <f aca="false">IF(COUNTIF($B$2:B1278,B1278)=1,1,0)</f>
        <v>0</v>
      </c>
      <c r="W1278" s="13" t="n">
        <f aca="false">IF(COUNTIFS($B$2:B1278,B1278,$T$2:T1278,T1278)=1,1,0)</f>
        <v>0</v>
      </c>
    </row>
    <row r="1279" customFormat="false" ht="15" hidden="false" customHeight="false" outlineLevel="0" collapsed="false">
      <c r="A1279" s="13" t="s">
        <v>294</v>
      </c>
      <c r="B1279" s="13" t="s">
        <v>50</v>
      </c>
      <c r="C1279" s="13" t="n">
        <v>1800</v>
      </c>
      <c r="D1279" s="13" t="n">
        <v>2</v>
      </c>
      <c r="E1279" s="13" t="n">
        <v>903.825</v>
      </c>
      <c r="F1279" s="13" t="s">
        <v>5288</v>
      </c>
      <c r="G1279" s="13" t="s">
        <v>5292</v>
      </c>
      <c r="H1279" s="13" t="s">
        <v>5289</v>
      </c>
      <c r="I1279" s="13" t="s">
        <v>5289</v>
      </c>
      <c r="J1279" s="13" t="s">
        <v>5289</v>
      </c>
      <c r="K1279" s="13" t="s">
        <v>5289</v>
      </c>
      <c r="L1279" s="13" t="s">
        <v>5941</v>
      </c>
      <c r="M1279" s="13"/>
      <c r="N1279" s="13" t="n">
        <v>3349668641840</v>
      </c>
      <c r="O1279" s="13"/>
      <c r="P1279" s="13" t="s">
        <v>5291</v>
      </c>
      <c r="Q1279" s="13" t="s">
        <v>5289</v>
      </c>
      <c r="R1279" s="13" t="s">
        <v>5292</v>
      </c>
      <c r="S1279" s="13" t="s">
        <v>5293</v>
      </c>
      <c r="T1279" s="13" t="s">
        <v>4</v>
      </c>
      <c r="U1279" s="13" t="s">
        <v>43</v>
      </c>
      <c r="V1279" s="13" t="n">
        <f aca="false">IF(COUNTIF($B$2:B1279,B1279)=1,1,0)</f>
        <v>0</v>
      </c>
      <c r="W1279" s="13" t="n">
        <f aca="false">IF(COUNTIFS($B$2:B1279,B1279,$T$2:T1279,T1279)=1,1,0)</f>
        <v>0</v>
      </c>
    </row>
    <row r="1280" customFormat="false" ht="15" hidden="false" customHeight="false" outlineLevel="0" collapsed="false">
      <c r="A1280" s="13" t="s">
        <v>944</v>
      </c>
      <c r="B1280" s="13" t="s">
        <v>42</v>
      </c>
      <c r="C1280" s="13" t="n">
        <v>1800</v>
      </c>
      <c r="D1280" s="13" t="n">
        <v>2</v>
      </c>
      <c r="E1280" s="13" t="n">
        <v>451.505</v>
      </c>
      <c r="F1280" s="13" t="s">
        <v>5288</v>
      </c>
      <c r="G1280" s="13" t="s">
        <v>5289</v>
      </c>
      <c r="H1280" s="13" t="s">
        <v>5292</v>
      </c>
      <c r="I1280" s="13" t="s">
        <v>5289</v>
      </c>
      <c r="J1280" s="13" t="s">
        <v>5289</v>
      </c>
      <c r="K1280" s="13" t="s">
        <v>5289</v>
      </c>
      <c r="L1280" s="13" t="s">
        <v>5682</v>
      </c>
      <c r="M1280" s="13"/>
      <c r="N1280" s="13" t="n">
        <v>8411061056776</v>
      </c>
      <c r="O1280" s="13"/>
      <c r="P1280" s="13" t="s">
        <v>5291</v>
      </c>
      <c r="Q1280" s="13" t="s">
        <v>5289</v>
      </c>
      <c r="R1280" s="13" t="s">
        <v>5292</v>
      </c>
      <c r="S1280" s="13" t="s">
        <v>5293</v>
      </c>
      <c r="T1280" s="13" t="s">
        <v>4</v>
      </c>
      <c r="U1280" s="13" t="s">
        <v>43</v>
      </c>
      <c r="V1280" s="13" t="n">
        <f aca="false">IF(COUNTIF($B$2:B1280,B1280)=1,1,0)</f>
        <v>0</v>
      </c>
      <c r="W1280" s="13" t="n">
        <f aca="false">IF(COUNTIFS($B$2:B1280,B1280,$T$2:T1280,T1280)=1,1,0)</f>
        <v>0</v>
      </c>
    </row>
    <row r="1281" customFormat="false" ht="15" hidden="false" customHeight="false" outlineLevel="0" collapsed="false">
      <c r="A1281" s="13" t="s">
        <v>953</v>
      </c>
      <c r="B1281" s="13" t="s">
        <v>50</v>
      </c>
      <c r="C1281" s="13" t="n">
        <v>1800</v>
      </c>
      <c r="D1281" s="13" t="n">
        <v>2</v>
      </c>
      <c r="E1281" s="13" t="n">
        <v>601.14</v>
      </c>
      <c r="F1281" s="13" t="s">
        <v>5288</v>
      </c>
      <c r="G1281" s="13" t="s">
        <v>5289</v>
      </c>
      <c r="H1281" s="13" t="s">
        <v>5292</v>
      </c>
      <c r="I1281" s="13" t="s">
        <v>5289</v>
      </c>
      <c r="J1281" s="13" t="s">
        <v>5289</v>
      </c>
      <c r="K1281" s="13" t="s">
        <v>5289</v>
      </c>
      <c r="L1281" s="13" t="s">
        <v>5942</v>
      </c>
      <c r="M1281" s="13"/>
      <c r="N1281" s="13" t="n">
        <v>3349668568093</v>
      </c>
      <c r="O1281" s="13"/>
      <c r="P1281" s="13" t="s">
        <v>5291</v>
      </c>
      <c r="Q1281" s="13" t="s">
        <v>5289</v>
      </c>
      <c r="R1281" s="13" t="s">
        <v>5292</v>
      </c>
      <c r="S1281" s="13" t="s">
        <v>5293</v>
      </c>
      <c r="T1281" s="13" t="s">
        <v>4</v>
      </c>
      <c r="U1281" s="13" t="s">
        <v>43</v>
      </c>
      <c r="V1281" s="13" t="n">
        <f aca="false">IF(COUNTIF($B$2:B1281,B1281)=1,1,0)</f>
        <v>0</v>
      </c>
      <c r="W1281" s="13" t="n">
        <f aca="false">IF(COUNTIFS($B$2:B1281,B1281,$T$2:T1281,T1281)=1,1,0)</f>
        <v>0</v>
      </c>
    </row>
    <row r="1282" customFormat="false" ht="15" hidden="false" customHeight="false" outlineLevel="0" collapsed="false">
      <c r="A1282" s="13" t="s">
        <v>469</v>
      </c>
      <c r="B1282" s="13" t="s">
        <v>79</v>
      </c>
      <c r="C1282" s="13" t="n">
        <v>1800</v>
      </c>
      <c r="D1282" s="13" t="n">
        <v>2</v>
      </c>
      <c r="E1282" s="13" t="n">
        <v>900.51</v>
      </c>
      <c r="F1282" s="13" t="s">
        <v>5288</v>
      </c>
      <c r="G1282" s="13" t="s">
        <v>5289</v>
      </c>
      <c r="H1282" s="13" t="s">
        <v>5292</v>
      </c>
      <c r="I1282" s="13" t="s">
        <v>5289</v>
      </c>
      <c r="J1282" s="13" t="s">
        <v>5289</v>
      </c>
      <c r="K1282" s="13" t="s">
        <v>5289</v>
      </c>
      <c r="L1282" s="13" t="s">
        <v>5943</v>
      </c>
      <c r="M1282" s="13"/>
      <c r="N1282" s="13" t="n">
        <v>8056669925712</v>
      </c>
      <c r="O1282" s="13"/>
      <c r="P1282" s="13" t="s">
        <v>5291</v>
      </c>
      <c r="Q1282" s="13" t="s">
        <v>5289</v>
      </c>
      <c r="R1282" s="13" t="s">
        <v>5292</v>
      </c>
      <c r="S1282" s="13" t="s">
        <v>5293</v>
      </c>
      <c r="T1282" s="13" t="s">
        <v>4</v>
      </c>
      <c r="U1282" s="13" t="s">
        <v>43</v>
      </c>
      <c r="V1282" s="13" t="n">
        <f aca="false">IF(COUNTIF($B$2:B1282,B1282)=1,1,0)</f>
        <v>0</v>
      </c>
      <c r="W1282" s="13" t="n">
        <f aca="false">IF(COUNTIFS($B$2:B1282,B1282,$T$2:T1282,T1282)=1,1,0)</f>
        <v>0</v>
      </c>
    </row>
    <row r="1283" customFormat="false" ht="15" hidden="false" customHeight="false" outlineLevel="0" collapsed="false">
      <c r="A1283" s="13" t="s">
        <v>389</v>
      </c>
      <c r="B1283" s="13" t="s">
        <v>42</v>
      </c>
      <c r="C1283" s="13" t="n">
        <v>1800</v>
      </c>
      <c r="D1283" s="13" t="n">
        <v>5</v>
      </c>
      <c r="E1283" s="13" t="n">
        <v>257.21</v>
      </c>
      <c r="F1283" s="13" t="s">
        <v>5288</v>
      </c>
      <c r="G1283" s="13" t="s">
        <v>5289</v>
      </c>
      <c r="H1283" s="13" t="s">
        <v>5289</v>
      </c>
      <c r="I1283" s="13" t="s">
        <v>5289</v>
      </c>
      <c r="J1283" s="13" t="s">
        <v>5289</v>
      </c>
      <c r="K1283" s="13" t="s">
        <v>5289</v>
      </c>
      <c r="L1283" s="13" t="s">
        <v>5944</v>
      </c>
      <c r="M1283" s="13"/>
      <c r="N1283" s="13" t="n">
        <v>8.41106194530884E+025</v>
      </c>
      <c r="O1283" s="13"/>
      <c r="P1283" s="13" t="s">
        <v>5291</v>
      </c>
      <c r="Q1283" s="13" t="s">
        <v>5289</v>
      </c>
      <c r="R1283" s="13" t="s">
        <v>5292</v>
      </c>
      <c r="S1283" s="13" t="s">
        <v>5293</v>
      </c>
      <c r="T1283" s="13" t="s">
        <v>4</v>
      </c>
      <c r="U1283" s="13" t="s">
        <v>43</v>
      </c>
      <c r="V1283" s="13" t="n">
        <f aca="false">IF(COUNTIF($B$2:B1283,B1283)=1,1,0)</f>
        <v>0</v>
      </c>
      <c r="W1283" s="13" t="n">
        <f aca="false">IF(COUNTIFS($B$2:B1283,B1283,$T$2:T1283,T1283)=1,1,0)</f>
        <v>0</v>
      </c>
    </row>
    <row r="1284" customFormat="false" ht="15" hidden="false" customHeight="false" outlineLevel="0" collapsed="false">
      <c r="A1284" s="13" t="s">
        <v>947</v>
      </c>
      <c r="B1284" s="13" t="s">
        <v>50</v>
      </c>
      <c r="C1284" s="13" t="n">
        <v>1800</v>
      </c>
      <c r="D1284" s="13" t="n">
        <v>2</v>
      </c>
      <c r="E1284" s="13" t="n">
        <v>900</v>
      </c>
      <c r="F1284" s="13" t="s">
        <v>5288</v>
      </c>
      <c r="G1284" s="13" t="s">
        <v>5292</v>
      </c>
      <c r="H1284" s="13" t="s">
        <v>5289</v>
      </c>
      <c r="I1284" s="13" t="s">
        <v>5289</v>
      </c>
      <c r="J1284" s="13" t="s">
        <v>5289</v>
      </c>
      <c r="K1284" s="13" t="s">
        <v>5289</v>
      </c>
      <c r="L1284" s="13" t="s">
        <v>5945</v>
      </c>
      <c r="M1284" s="13"/>
      <c r="N1284" s="13" t="n">
        <v>3349668663187</v>
      </c>
      <c r="O1284" s="13"/>
      <c r="P1284" s="13" t="s">
        <v>5297</v>
      </c>
      <c r="Q1284" s="13" t="s">
        <v>5289</v>
      </c>
      <c r="R1284" s="13" t="s">
        <v>5292</v>
      </c>
      <c r="S1284" s="13" t="s">
        <v>5293</v>
      </c>
      <c r="T1284" s="13" t="s">
        <v>4</v>
      </c>
      <c r="U1284" s="13" t="s">
        <v>43</v>
      </c>
      <c r="V1284" s="13" t="n">
        <f aca="false">IF(COUNTIF($B$2:B1284,B1284)=1,1,0)</f>
        <v>0</v>
      </c>
      <c r="W1284" s="13" t="n">
        <f aca="false">IF(COUNTIFS($B$2:B1284,B1284,$T$2:T1284,T1284)=1,1,0)</f>
        <v>0</v>
      </c>
    </row>
    <row r="1285" customFormat="false" ht="15" hidden="false" customHeight="false" outlineLevel="0" collapsed="false">
      <c r="A1285" s="13" t="s">
        <v>679</v>
      </c>
      <c r="B1285" s="13" t="s">
        <v>45</v>
      </c>
      <c r="C1285" s="13" t="n">
        <v>1800</v>
      </c>
      <c r="D1285" s="13" t="n">
        <v>2</v>
      </c>
      <c r="E1285" s="13" t="n">
        <v>896.815</v>
      </c>
      <c r="F1285" s="13" t="s">
        <v>5325</v>
      </c>
      <c r="G1285" s="13" t="s">
        <v>5289</v>
      </c>
      <c r="H1285" s="13" t="s">
        <v>5289</v>
      </c>
      <c r="I1285" s="13" t="s">
        <v>5289</v>
      </c>
      <c r="J1285" s="13" t="s">
        <v>5289</v>
      </c>
      <c r="K1285" s="13" t="s">
        <v>5289</v>
      </c>
      <c r="L1285" s="13" t="s">
        <v>5831</v>
      </c>
      <c r="M1285" s="13"/>
      <c r="N1285" s="13" t="n">
        <v>8.43541509257984E+025</v>
      </c>
      <c r="O1285" s="13"/>
      <c r="P1285" s="13" t="s">
        <v>5291</v>
      </c>
      <c r="Q1285" s="13" t="s">
        <v>5289</v>
      </c>
      <c r="R1285" s="13" t="s">
        <v>5292</v>
      </c>
      <c r="S1285" s="13" t="s">
        <v>5293</v>
      </c>
      <c r="T1285" s="13" t="s">
        <v>4</v>
      </c>
      <c r="U1285" s="13" t="s">
        <v>183</v>
      </c>
      <c r="V1285" s="13" t="n">
        <f aca="false">IF(COUNTIF($B$2:B1285,B1285)=1,1,0)</f>
        <v>0</v>
      </c>
      <c r="W1285" s="13" t="n">
        <f aca="false">IF(COUNTIFS($B$2:B1285,B1285,$T$2:T1285,T1285)=1,1,0)</f>
        <v>0</v>
      </c>
    </row>
    <row r="1286" customFormat="false" ht="15" hidden="false" customHeight="false" outlineLevel="0" collapsed="false">
      <c r="A1286" s="13" t="s">
        <v>945</v>
      </c>
      <c r="B1286" s="13" t="s">
        <v>45</v>
      </c>
      <c r="C1286" s="13" t="n">
        <v>1800</v>
      </c>
      <c r="D1286" s="13" t="n">
        <v>2</v>
      </c>
      <c r="E1286" s="13" t="n">
        <v>895.785</v>
      </c>
      <c r="F1286" s="13" t="s">
        <v>5325</v>
      </c>
      <c r="G1286" s="13" t="s">
        <v>5289</v>
      </c>
      <c r="H1286" s="13" t="s">
        <v>5292</v>
      </c>
      <c r="I1286" s="13" t="s">
        <v>5289</v>
      </c>
      <c r="J1286" s="13" t="s">
        <v>5289</v>
      </c>
      <c r="K1286" s="13" t="s">
        <v>5289</v>
      </c>
      <c r="L1286" s="13" t="s">
        <v>5831</v>
      </c>
      <c r="M1286" s="13"/>
      <c r="N1286" s="13" t="n">
        <v>8435415116664</v>
      </c>
      <c r="O1286" s="13"/>
      <c r="P1286" s="13" t="s">
        <v>5291</v>
      </c>
      <c r="Q1286" s="13" t="s">
        <v>5289</v>
      </c>
      <c r="R1286" s="13" t="s">
        <v>5292</v>
      </c>
      <c r="S1286" s="13" t="s">
        <v>5293</v>
      </c>
      <c r="T1286" s="13" t="s">
        <v>4</v>
      </c>
      <c r="U1286" s="13" t="s">
        <v>43</v>
      </c>
      <c r="V1286" s="13" t="n">
        <f aca="false">IF(COUNTIF($B$2:B1286,B1286)=1,1,0)</f>
        <v>0</v>
      </c>
      <c r="W1286" s="13" t="n">
        <f aca="false">IF(COUNTIFS($B$2:B1286,B1286,$T$2:T1286,T1286)=1,1,0)</f>
        <v>0</v>
      </c>
    </row>
    <row r="1287" customFormat="false" ht="15" hidden="false" customHeight="false" outlineLevel="0" collapsed="false">
      <c r="A1287" s="13" t="s">
        <v>946</v>
      </c>
      <c r="B1287" s="13" t="s">
        <v>45</v>
      </c>
      <c r="C1287" s="13" t="n">
        <v>1800</v>
      </c>
      <c r="D1287" s="13" t="n">
        <v>2</v>
      </c>
      <c r="E1287" s="13" t="n">
        <v>891.87</v>
      </c>
      <c r="F1287" s="13" t="s">
        <v>5325</v>
      </c>
      <c r="G1287" s="13" t="s">
        <v>5292</v>
      </c>
      <c r="H1287" s="13" t="s">
        <v>5292</v>
      </c>
      <c r="I1287" s="13" t="s">
        <v>5289</v>
      </c>
      <c r="J1287" s="13" t="s">
        <v>5289</v>
      </c>
      <c r="K1287" s="13" t="s">
        <v>5289</v>
      </c>
      <c r="L1287" s="13" t="s">
        <v>5946</v>
      </c>
      <c r="M1287" s="13"/>
      <c r="N1287" s="13" t="n">
        <v>8435415114028</v>
      </c>
      <c r="O1287" s="13"/>
      <c r="P1287" s="13" t="s">
        <v>5291</v>
      </c>
      <c r="Q1287" s="13" t="s">
        <v>5289</v>
      </c>
      <c r="R1287" s="13" t="s">
        <v>5292</v>
      </c>
      <c r="S1287" s="13" t="s">
        <v>5293</v>
      </c>
      <c r="T1287" s="13" t="s">
        <v>4</v>
      </c>
      <c r="U1287" s="13" t="s">
        <v>43</v>
      </c>
      <c r="V1287" s="13" t="n">
        <f aca="false">IF(COUNTIF($B$2:B1287,B1287)=1,1,0)</f>
        <v>0</v>
      </c>
      <c r="W1287" s="13" t="n">
        <f aca="false">IF(COUNTIFS($B$2:B1287,B1287,$T$2:T1287,T1287)=1,1,0)</f>
        <v>0</v>
      </c>
    </row>
    <row r="1288" customFormat="false" ht="15" hidden="false" customHeight="false" outlineLevel="0" collapsed="false">
      <c r="A1288" s="13" t="s">
        <v>943</v>
      </c>
      <c r="B1288" s="13" t="s">
        <v>341</v>
      </c>
      <c r="C1288" s="13" t="n">
        <v>1800</v>
      </c>
      <c r="D1288" s="13" t="n">
        <v>10</v>
      </c>
      <c r="E1288" s="13" t="n">
        <v>160.97</v>
      </c>
      <c r="F1288" s="13" t="s">
        <v>5288</v>
      </c>
      <c r="G1288" s="13" t="s">
        <v>5289</v>
      </c>
      <c r="H1288" s="13" t="s">
        <v>5292</v>
      </c>
      <c r="I1288" s="13" t="s">
        <v>5289</v>
      </c>
      <c r="J1288" s="13" t="s">
        <v>5289</v>
      </c>
      <c r="K1288" s="13" t="s">
        <v>5289</v>
      </c>
      <c r="L1288" s="13" t="s">
        <v>5947</v>
      </c>
      <c r="M1288" s="13"/>
      <c r="N1288" s="13" t="n">
        <v>4011700740062</v>
      </c>
      <c r="O1288" s="13"/>
      <c r="P1288" s="13" t="s">
        <v>5297</v>
      </c>
      <c r="Q1288" s="13" t="s">
        <v>5289</v>
      </c>
      <c r="R1288" s="13" t="s">
        <v>5292</v>
      </c>
      <c r="S1288" s="13" t="s">
        <v>5293</v>
      </c>
      <c r="T1288" s="13" t="s">
        <v>4</v>
      </c>
      <c r="U1288" s="13" t="s">
        <v>43</v>
      </c>
      <c r="V1288" s="13" t="n">
        <f aca="false">IF(COUNTIF($B$2:B1288,B1288)=1,1,0)</f>
        <v>0</v>
      </c>
      <c r="W1288" s="13" t="n">
        <f aca="false">IF(COUNTIFS($B$2:B1288,B1288,$T$2:T1288,T1288)=1,1,0)</f>
        <v>0</v>
      </c>
    </row>
    <row r="1289" customFormat="false" ht="15" hidden="false" customHeight="false" outlineLevel="0" collapsed="false">
      <c r="A1289" s="13" t="s">
        <v>970</v>
      </c>
      <c r="B1289" s="13" t="s">
        <v>92</v>
      </c>
      <c r="C1289" s="13" t="n">
        <v>1800</v>
      </c>
      <c r="D1289" s="13" t="n">
        <v>2</v>
      </c>
      <c r="E1289" s="13" t="n">
        <v>589.193333333333</v>
      </c>
      <c r="F1289" s="13" t="s">
        <v>5288</v>
      </c>
      <c r="G1289" s="13" t="s">
        <v>5292</v>
      </c>
      <c r="H1289" s="13" t="s">
        <v>5292</v>
      </c>
      <c r="I1289" s="13" t="s">
        <v>5289</v>
      </c>
      <c r="J1289" s="13" t="s">
        <v>5289</v>
      </c>
      <c r="K1289" s="13" t="s">
        <v>5289</v>
      </c>
      <c r="L1289" s="13" t="s">
        <v>5948</v>
      </c>
      <c r="M1289" s="13"/>
      <c r="N1289" s="13" t="n">
        <v>3616306128965</v>
      </c>
      <c r="O1289" s="13"/>
      <c r="P1289" s="13" t="s">
        <v>5291</v>
      </c>
      <c r="Q1289" s="13" t="s">
        <v>5289</v>
      </c>
      <c r="R1289" s="13" t="s">
        <v>5292</v>
      </c>
      <c r="S1289" s="13" t="s">
        <v>5293</v>
      </c>
      <c r="T1289" s="13" t="s">
        <v>4</v>
      </c>
      <c r="U1289" s="13" t="s">
        <v>43</v>
      </c>
      <c r="V1289" s="13" t="n">
        <f aca="false">IF(COUNTIF($B$2:B1289,B1289)=1,1,0)</f>
        <v>0</v>
      </c>
      <c r="W1289" s="13" t="n">
        <f aca="false">IF(COUNTIFS($B$2:B1289,B1289,$T$2:T1289,T1289)=1,1,0)</f>
        <v>0</v>
      </c>
    </row>
    <row r="1290" customFormat="false" ht="15" hidden="false" customHeight="false" outlineLevel="0" collapsed="false">
      <c r="A1290" s="13" t="s">
        <v>967</v>
      </c>
      <c r="B1290" s="13" t="s">
        <v>45</v>
      </c>
      <c r="C1290" s="13" t="n">
        <v>1800</v>
      </c>
      <c r="D1290" s="13" t="n">
        <v>2</v>
      </c>
      <c r="E1290" s="13" t="n">
        <v>589</v>
      </c>
      <c r="F1290" s="13" t="s">
        <v>5288</v>
      </c>
      <c r="G1290" s="13" t="s">
        <v>5289</v>
      </c>
      <c r="H1290" s="13" t="s">
        <v>5292</v>
      </c>
      <c r="I1290" s="13" t="s">
        <v>5289</v>
      </c>
      <c r="J1290" s="13" t="s">
        <v>5289</v>
      </c>
      <c r="K1290" s="13" t="s">
        <v>5289</v>
      </c>
      <c r="L1290" s="13" t="s">
        <v>5949</v>
      </c>
      <c r="M1290" s="13"/>
      <c r="N1290" s="13" t="n">
        <v>8435415017213</v>
      </c>
      <c r="O1290" s="13"/>
      <c r="P1290" s="13" t="s">
        <v>5291</v>
      </c>
      <c r="Q1290" s="13" t="s">
        <v>5289</v>
      </c>
      <c r="R1290" s="13" t="s">
        <v>5292</v>
      </c>
      <c r="S1290" s="13" t="s">
        <v>5293</v>
      </c>
      <c r="T1290" s="13" t="s">
        <v>4</v>
      </c>
      <c r="U1290" s="13" t="s">
        <v>43</v>
      </c>
      <c r="V1290" s="13" t="n">
        <f aca="false">IF(COUNTIF($B$2:B1290,B1290)=1,1,0)</f>
        <v>0</v>
      </c>
      <c r="W1290" s="13" t="n">
        <f aca="false">IF(COUNTIFS($B$2:B1290,B1290,$T$2:T1290,T1290)=1,1,0)</f>
        <v>0</v>
      </c>
    </row>
    <row r="1291" customFormat="false" ht="15" hidden="false" customHeight="false" outlineLevel="0" collapsed="false">
      <c r="A1291" s="13" t="s">
        <v>968</v>
      </c>
      <c r="B1291" s="13" t="s">
        <v>362</v>
      </c>
      <c r="C1291" s="13" t="n">
        <v>1800</v>
      </c>
      <c r="D1291" s="13" t="n">
        <v>2</v>
      </c>
      <c r="E1291" s="13" t="n">
        <v>588.31</v>
      </c>
      <c r="F1291" s="13" t="s">
        <v>5288</v>
      </c>
      <c r="G1291" s="13" t="s">
        <v>5289</v>
      </c>
      <c r="H1291" s="13" t="s">
        <v>5292</v>
      </c>
      <c r="I1291" s="13" t="s">
        <v>5289</v>
      </c>
      <c r="J1291" s="13" t="s">
        <v>5289</v>
      </c>
      <c r="K1291" s="13" t="s">
        <v>5289</v>
      </c>
      <c r="L1291" s="13" t="s">
        <v>5950</v>
      </c>
      <c r="M1291" s="13"/>
      <c r="N1291" s="13" t="n">
        <v>3386460144230</v>
      </c>
      <c r="O1291" s="13"/>
      <c r="P1291" s="13" t="s">
        <v>5291</v>
      </c>
      <c r="Q1291" s="13" t="s">
        <v>5289</v>
      </c>
      <c r="R1291" s="13" t="s">
        <v>5292</v>
      </c>
      <c r="S1291" s="13" t="s">
        <v>5293</v>
      </c>
      <c r="T1291" s="13" t="s">
        <v>4</v>
      </c>
      <c r="U1291" s="13" t="s">
        <v>43</v>
      </c>
      <c r="V1291" s="13" t="n">
        <f aca="false">IF(COUNTIF($B$2:B1291,B1291)=1,1,0)</f>
        <v>0</v>
      </c>
      <c r="W1291" s="13" t="n">
        <f aca="false">IF(COUNTIFS($B$2:B1291,B1291,$T$2:T1291,T1291)=1,1,0)</f>
        <v>0</v>
      </c>
    </row>
    <row r="1292" customFormat="false" ht="15" hidden="false" customHeight="false" outlineLevel="0" collapsed="false">
      <c r="A1292" s="13" t="s">
        <v>44</v>
      </c>
      <c r="B1292" s="13" t="s">
        <v>42</v>
      </c>
      <c r="C1292" s="13" t="n">
        <v>1800</v>
      </c>
      <c r="D1292" s="13" t="n">
        <v>2</v>
      </c>
      <c r="E1292" s="13" t="n">
        <v>881.79</v>
      </c>
      <c r="F1292" s="13" t="s">
        <v>5325</v>
      </c>
      <c r="G1292" s="13" t="s">
        <v>5289</v>
      </c>
      <c r="H1292" s="13" t="s">
        <v>5289</v>
      </c>
      <c r="I1292" s="13" t="s">
        <v>5289</v>
      </c>
      <c r="J1292" s="13" t="s">
        <v>5289</v>
      </c>
      <c r="K1292" s="13" t="s">
        <v>5289</v>
      </c>
      <c r="L1292" s="13" t="s">
        <v>5951</v>
      </c>
      <c r="M1292" s="13"/>
      <c r="N1292" s="13" t="n">
        <v>8411061026342</v>
      </c>
      <c r="O1292" s="13"/>
      <c r="P1292" s="13" t="s">
        <v>5291</v>
      </c>
      <c r="Q1292" s="13" t="s">
        <v>5289</v>
      </c>
      <c r="R1292" s="13" t="s">
        <v>5292</v>
      </c>
      <c r="S1292" s="13" t="s">
        <v>5293</v>
      </c>
      <c r="T1292" s="13" t="s">
        <v>4</v>
      </c>
      <c r="U1292" s="13" t="s">
        <v>43</v>
      </c>
      <c r="V1292" s="13" t="n">
        <f aca="false">IF(COUNTIF($B$2:B1292,B1292)=1,1,0)</f>
        <v>0</v>
      </c>
      <c r="W1292" s="13" t="n">
        <f aca="false">IF(COUNTIFS($B$2:B1292,B1292,$T$2:T1292,T1292)=1,1,0)</f>
        <v>0</v>
      </c>
    </row>
    <row r="1293" customFormat="false" ht="15" hidden="false" customHeight="false" outlineLevel="0" collapsed="false">
      <c r="A1293" s="13" t="s">
        <v>430</v>
      </c>
      <c r="B1293" s="13" t="s">
        <v>45</v>
      </c>
      <c r="C1293" s="13" t="n">
        <v>1800</v>
      </c>
      <c r="D1293" s="13" t="n">
        <v>2</v>
      </c>
      <c r="E1293" s="13" t="n">
        <v>876.215</v>
      </c>
      <c r="F1293" s="13" t="s">
        <v>5288</v>
      </c>
      <c r="G1293" s="13" t="s">
        <v>5289</v>
      </c>
      <c r="H1293" s="13" t="s">
        <v>5289</v>
      </c>
      <c r="I1293" s="13" t="s">
        <v>5289</v>
      </c>
      <c r="J1293" s="13" t="s">
        <v>5289</v>
      </c>
      <c r="K1293" s="13" t="s">
        <v>5289</v>
      </c>
      <c r="L1293" s="13" t="s">
        <v>5952</v>
      </c>
      <c r="M1293" s="13"/>
      <c r="N1293" s="13" t="n">
        <v>8435415049542</v>
      </c>
      <c r="O1293" s="13"/>
      <c r="P1293" s="13" t="s">
        <v>5291</v>
      </c>
      <c r="Q1293" s="13" t="s">
        <v>5289</v>
      </c>
      <c r="R1293" s="13" t="s">
        <v>5292</v>
      </c>
      <c r="S1293" s="13" t="s">
        <v>5293</v>
      </c>
      <c r="T1293" s="13" t="s">
        <v>4</v>
      </c>
      <c r="U1293" s="13" t="s">
        <v>43</v>
      </c>
      <c r="V1293" s="13" t="n">
        <f aca="false">IF(COUNTIF($B$2:B1293,B1293)=1,1,0)</f>
        <v>0</v>
      </c>
      <c r="W1293" s="13" t="n">
        <f aca="false">IF(COUNTIFS($B$2:B1293,B1293,$T$2:T1293,T1293)=1,1,0)</f>
        <v>0</v>
      </c>
    </row>
    <row r="1294" customFormat="false" ht="15" hidden="false" customHeight="false" outlineLevel="0" collapsed="false">
      <c r="A1294" s="13" t="s">
        <v>986</v>
      </c>
      <c r="B1294" s="13" t="s">
        <v>153</v>
      </c>
      <c r="C1294" s="13" t="n">
        <v>1700</v>
      </c>
      <c r="D1294" s="13" t="n">
        <v>2</v>
      </c>
      <c r="E1294" s="13" t="n">
        <v>582.496666666667</v>
      </c>
      <c r="F1294" s="13" t="s">
        <v>5288</v>
      </c>
      <c r="G1294" s="13" t="s">
        <v>5289</v>
      </c>
      <c r="H1294" s="13" t="s">
        <v>5292</v>
      </c>
      <c r="I1294" s="13" t="s">
        <v>5289</v>
      </c>
      <c r="J1294" s="13" t="s">
        <v>5289</v>
      </c>
      <c r="K1294" s="13" t="s">
        <v>5289</v>
      </c>
      <c r="L1294" s="13" t="s">
        <v>5953</v>
      </c>
      <c r="M1294" s="13"/>
      <c r="N1294" s="13" t="n">
        <v>8011003890989</v>
      </c>
      <c r="O1294" s="13"/>
      <c r="P1294" s="13" t="s">
        <v>5291</v>
      </c>
      <c r="Q1294" s="13" t="s">
        <v>5289</v>
      </c>
      <c r="R1294" s="13" t="s">
        <v>5292</v>
      </c>
      <c r="S1294" s="13" t="s">
        <v>5293</v>
      </c>
      <c r="T1294" s="13" t="s">
        <v>4</v>
      </c>
      <c r="U1294" s="13" t="s">
        <v>43</v>
      </c>
      <c r="V1294" s="13" t="n">
        <f aca="false">IF(COUNTIF($B$2:B1294,B1294)=1,1,0)</f>
        <v>0</v>
      </c>
      <c r="W1294" s="13" t="n">
        <f aca="false">IF(COUNTIFS($B$2:B1294,B1294,$T$2:T1294,T1294)=1,1,0)</f>
        <v>0</v>
      </c>
    </row>
    <row r="1295" customFormat="false" ht="15" hidden="false" customHeight="false" outlineLevel="0" collapsed="false">
      <c r="A1295" s="13" t="s">
        <v>3730</v>
      </c>
      <c r="B1295" s="13" t="s">
        <v>2193</v>
      </c>
      <c r="C1295" s="13" t="n">
        <v>1700</v>
      </c>
      <c r="D1295" s="13" t="n">
        <v>2</v>
      </c>
      <c r="E1295" s="13" t="n">
        <v>581.86</v>
      </c>
      <c r="F1295" s="13" t="s">
        <v>5288</v>
      </c>
      <c r="G1295" s="13" t="s">
        <v>5289</v>
      </c>
      <c r="H1295" s="13" t="s">
        <v>5292</v>
      </c>
      <c r="I1295" s="13" t="s">
        <v>5289</v>
      </c>
      <c r="J1295" s="13" t="s">
        <v>5289</v>
      </c>
      <c r="K1295" s="13" t="s">
        <v>5289</v>
      </c>
      <c r="L1295" s="13" t="s">
        <v>5954</v>
      </c>
      <c r="M1295" s="13"/>
      <c r="N1295" s="13" t="n">
        <v>3386460119948</v>
      </c>
      <c r="O1295" s="13"/>
      <c r="P1295" s="13" t="s">
        <v>5291</v>
      </c>
      <c r="Q1295" s="13" t="s">
        <v>5289</v>
      </c>
      <c r="R1295" s="13" t="s">
        <v>5292</v>
      </c>
      <c r="S1295" s="13" t="s">
        <v>5293</v>
      </c>
      <c r="T1295" s="13" t="s">
        <v>4</v>
      </c>
      <c r="U1295" s="13" t="s">
        <v>43</v>
      </c>
      <c r="V1295" s="13" t="n">
        <f aca="false">IF(COUNTIF($B$2:B1295,B1295)=1,1,0)</f>
        <v>1</v>
      </c>
      <c r="W1295" s="13" t="n">
        <f aca="false">IF(COUNTIFS($B$2:B1295,B1295,$T$2:T1295,T1295)=1,1,0)</f>
        <v>1</v>
      </c>
    </row>
    <row r="1296" customFormat="false" ht="15" hidden="false" customHeight="false" outlineLevel="0" collapsed="false">
      <c r="A1296" s="13" t="s">
        <v>3443</v>
      </c>
      <c r="B1296" s="13" t="s">
        <v>2189</v>
      </c>
      <c r="C1296" s="13" t="n">
        <v>1700</v>
      </c>
      <c r="D1296" s="13" t="n">
        <v>2</v>
      </c>
      <c r="E1296" s="13" t="n">
        <v>869.13</v>
      </c>
      <c r="F1296" s="13" t="s">
        <v>5288</v>
      </c>
      <c r="G1296" s="13" t="s">
        <v>5292</v>
      </c>
      <c r="H1296" s="13" t="s">
        <v>5292</v>
      </c>
      <c r="I1296" s="13" t="s">
        <v>5289</v>
      </c>
      <c r="J1296" s="13" t="s">
        <v>5289</v>
      </c>
      <c r="K1296" s="13" t="s">
        <v>5289</v>
      </c>
      <c r="L1296" s="13" t="s">
        <v>5955</v>
      </c>
      <c r="M1296" s="13"/>
      <c r="N1296" s="13" t="n">
        <v>3700608301543</v>
      </c>
      <c r="O1296" s="13"/>
      <c r="P1296" s="13" t="s">
        <v>5297</v>
      </c>
      <c r="Q1296" s="13" t="s">
        <v>5289</v>
      </c>
      <c r="R1296" s="13" t="s">
        <v>5292</v>
      </c>
      <c r="S1296" s="13" t="s">
        <v>5293</v>
      </c>
      <c r="T1296" s="13" t="s">
        <v>4</v>
      </c>
      <c r="U1296" s="13" t="s">
        <v>43</v>
      </c>
      <c r="V1296" s="13" t="n">
        <f aca="false">IF(COUNTIF($B$2:B1296,B1296)=1,1,0)</f>
        <v>1</v>
      </c>
      <c r="W1296" s="13" t="n">
        <f aca="false">IF(COUNTIFS($B$2:B1296,B1296,$T$2:T1296,T1296)=1,1,0)</f>
        <v>1</v>
      </c>
    </row>
    <row r="1297" customFormat="false" ht="15" hidden="false" customHeight="false" outlineLevel="0" collapsed="false">
      <c r="A1297" s="13" t="s">
        <v>301</v>
      </c>
      <c r="B1297" s="13" t="s">
        <v>45</v>
      </c>
      <c r="C1297" s="13" t="n">
        <v>1700</v>
      </c>
      <c r="D1297" s="13" t="n">
        <v>2</v>
      </c>
      <c r="E1297" s="13" t="n">
        <v>866.72</v>
      </c>
      <c r="F1297" s="13" t="s">
        <v>5325</v>
      </c>
      <c r="G1297" s="13" t="s">
        <v>5292</v>
      </c>
      <c r="H1297" s="13" t="s">
        <v>5289</v>
      </c>
      <c r="I1297" s="13" t="s">
        <v>5289</v>
      </c>
      <c r="J1297" s="13" t="s">
        <v>5289</v>
      </c>
      <c r="K1297" s="13" t="s">
        <v>5289</v>
      </c>
      <c r="L1297" s="13" t="s">
        <v>5956</v>
      </c>
      <c r="M1297" s="13"/>
      <c r="N1297" s="13" t="n">
        <v>8435415076838</v>
      </c>
      <c r="O1297" s="13"/>
      <c r="P1297" s="13" t="s">
        <v>5291</v>
      </c>
      <c r="Q1297" s="13" t="s">
        <v>5289</v>
      </c>
      <c r="R1297" s="13" t="s">
        <v>5292</v>
      </c>
      <c r="S1297" s="13" t="s">
        <v>5293</v>
      </c>
      <c r="T1297" s="13" t="s">
        <v>4</v>
      </c>
      <c r="U1297" s="13" t="s">
        <v>43</v>
      </c>
      <c r="V1297" s="13" t="n">
        <f aca="false">IF(COUNTIF($B$2:B1297,B1297)=1,1,0)</f>
        <v>0</v>
      </c>
      <c r="W1297" s="13" t="n">
        <f aca="false">IF(COUNTIFS($B$2:B1297,B1297,$T$2:T1297,T1297)=1,1,0)</f>
        <v>0</v>
      </c>
    </row>
    <row r="1298" customFormat="false" ht="15" hidden="false" customHeight="false" outlineLevel="0" collapsed="false">
      <c r="A1298" s="13" t="s">
        <v>980</v>
      </c>
      <c r="B1298" s="13" t="s">
        <v>45</v>
      </c>
      <c r="C1298" s="13" t="n">
        <v>1700</v>
      </c>
      <c r="D1298" s="13" t="n">
        <v>2</v>
      </c>
      <c r="E1298" s="13" t="n">
        <v>866.575</v>
      </c>
      <c r="F1298" s="13" t="s">
        <v>5288</v>
      </c>
      <c r="G1298" s="13" t="s">
        <v>5289</v>
      </c>
      <c r="H1298" s="13" t="s">
        <v>5292</v>
      </c>
      <c r="I1298" s="13" t="s">
        <v>5289</v>
      </c>
      <c r="J1298" s="13" t="s">
        <v>5289</v>
      </c>
      <c r="K1298" s="13" t="s">
        <v>5289</v>
      </c>
      <c r="L1298" s="13" t="s">
        <v>5952</v>
      </c>
      <c r="M1298" s="13"/>
      <c r="N1298" s="13" t="n">
        <v>8435415049542</v>
      </c>
      <c r="O1298" s="13"/>
      <c r="P1298" s="13" t="s">
        <v>5291</v>
      </c>
      <c r="Q1298" s="13" t="s">
        <v>5289</v>
      </c>
      <c r="R1298" s="13" t="s">
        <v>5292</v>
      </c>
      <c r="S1298" s="13" t="s">
        <v>5293</v>
      </c>
      <c r="T1298" s="13" t="s">
        <v>4</v>
      </c>
      <c r="U1298" s="13" t="s">
        <v>43</v>
      </c>
      <c r="V1298" s="13" t="n">
        <f aca="false">IF(COUNTIF($B$2:B1298,B1298)=1,1,0)</f>
        <v>0</v>
      </c>
      <c r="W1298" s="13" t="n">
        <f aca="false">IF(COUNTIFS($B$2:B1298,B1298,$T$2:T1298,T1298)=1,1,0)</f>
        <v>0</v>
      </c>
    </row>
    <row r="1299" customFormat="false" ht="15" hidden="false" customHeight="false" outlineLevel="0" collapsed="false">
      <c r="A1299" s="13" t="s">
        <v>974</v>
      </c>
      <c r="B1299" s="13" t="s">
        <v>255</v>
      </c>
      <c r="C1299" s="13" t="n">
        <v>1700</v>
      </c>
      <c r="D1299" s="13" t="n">
        <v>5</v>
      </c>
      <c r="E1299" s="13" t="n">
        <v>244.071428571429</v>
      </c>
      <c r="F1299" s="13" t="s">
        <v>5288</v>
      </c>
      <c r="G1299" s="13" t="s">
        <v>5292</v>
      </c>
      <c r="H1299" s="13" t="s">
        <v>5292</v>
      </c>
      <c r="I1299" s="13" t="s">
        <v>5289</v>
      </c>
      <c r="J1299" s="13" t="s">
        <v>5289</v>
      </c>
      <c r="K1299" s="13" t="s">
        <v>5289</v>
      </c>
      <c r="L1299" s="13" t="s">
        <v>5957</v>
      </c>
      <c r="M1299" s="13"/>
      <c r="N1299" s="13" t="n">
        <v>5055810012168</v>
      </c>
      <c r="O1299" s="13"/>
      <c r="P1299" s="13" t="s">
        <v>5291</v>
      </c>
      <c r="Q1299" s="13" t="s">
        <v>5289</v>
      </c>
      <c r="R1299" s="13" t="s">
        <v>5292</v>
      </c>
      <c r="S1299" s="13" t="s">
        <v>5293</v>
      </c>
      <c r="T1299" s="13" t="s">
        <v>4</v>
      </c>
      <c r="U1299" s="13" t="s">
        <v>43</v>
      </c>
      <c r="V1299" s="13" t="n">
        <f aca="false">IF(COUNTIF($B$2:B1299,B1299)=1,1,0)</f>
        <v>0</v>
      </c>
      <c r="W1299" s="13" t="n">
        <f aca="false">IF(COUNTIFS($B$2:B1299,B1299,$T$2:T1299,T1299)=1,1,0)</f>
        <v>0</v>
      </c>
    </row>
    <row r="1300" customFormat="false" ht="15" hidden="false" customHeight="false" outlineLevel="0" collapsed="false">
      <c r="A1300" s="13" t="s">
        <v>973</v>
      </c>
      <c r="B1300" s="13" t="s">
        <v>50</v>
      </c>
      <c r="C1300" s="13" t="n">
        <v>1700</v>
      </c>
      <c r="D1300" s="13" t="n">
        <v>2</v>
      </c>
      <c r="E1300" s="13" t="n">
        <v>568.65</v>
      </c>
      <c r="F1300" s="13" t="s">
        <v>5288</v>
      </c>
      <c r="G1300" s="13" t="s">
        <v>5292</v>
      </c>
      <c r="H1300" s="13" t="s">
        <v>5289</v>
      </c>
      <c r="I1300" s="13" t="s">
        <v>5289</v>
      </c>
      <c r="J1300" s="13" t="s">
        <v>5289</v>
      </c>
      <c r="K1300" s="13" t="s">
        <v>5289</v>
      </c>
      <c r="L1300" s="13" t="s">
        <v>5958</v>
      </c>
      <c r="M1300" s="13"/>
      <c r="N1300" s="13" t="n">
        <v>3349668614585</v>
      </c>
      <c r="O1300" s="13"/>
      <c r="P1300" s="13" t="s">
        <v>5297</v>
      </c>
      <c r="Q1300" s="13" t="s">
        <v>5289</v>
      </c>
      <c r="R1300" s="13" t="s">
        <v>5292</v>
      </c>
      <c r="S1300" s="13" t="s">
        <v>5293</v>
      </c>
      <c r="T1300" s="13" t="s">
        <v>4</v>
      </c>
      <c r="U1300" s="13" t="s">
        <v>43</v>
      </c>
      <c r="V1300" s="13" t="n">
        <f aca="false">IF(COUNTIF($B$2:B1300,B1300)=1,1,0)</f>
        <v>0</v>
      </c>
      <c r="W1300" s="13" t="n">
        <f aca="false">IF(COUNTIFS($B$2:B1300,B1300,$T$2:T1300,T1300)=1,1,0)</f>
        <v>0</v>
      </c>
    </row>
    <row r="1301" customFormat="false" ht="15" hidden="false" customHeight="false" outlineLevel="0" collapsed="false">
      <c r="A1301" s="13" t="s">
        <v>972</v>
      </c>
      <c r="B1301" s="13" t="s">
        <v>42</v>
      </c>
      <c r="C1301" s="13" t="n">
        <v>1700</v>
      </c>
      <c r="D1301" s="13" t="n">
        <v>2</v>
      </c>
      <c r="E1301" s="13" t="n">
        <v>852.72</v>
      </c>
      <c r="F1301" s="13" t="s">
        <v>5288</v>
      </c>
      <c r="G1301" s="13" t="s">
        <v>5289</v>
      </c>
      <c r="H1301" s="13" t="s">
        <v>5292</v>
      </c>
      <c r="I1301" s="13" t="s">
        <v>5289</v>
      </c>
      <c r="J1301" s="13" t="s">
        <v>5289</v>
      </c>
      <c r="K1301" s="13" t="s">
        <v>5289</v>
      </c>
      <c r="L1301" s="13" t="s">
        <v>5959</v>
      </c>
      <c r="M1301" s="13"/>
      <c r="N1301" s="13" t="n">
        <v>8411061136843</v>
      </c>
      <c r="O1301" s="13"/>
      <c r="P1301" s="13" t="s">
        <v>5291</v>
      </c>
      <c r="Q1301" s="13" t="s">
        <v>5289</v>
      </c>
      <c r="R1301" s="13" t="s">
        <v>5292</v>
      </c>
      <c r="S1301" s="13" t="s">
        <v>5293</v>
      </c>
      <c r="T1301" s="13" t="s">
        <v>4</v>
      </c>
      <c r="U1301" s="13" t="s">
        <v>43</v>
      </c>
      <c r="V1301" s="13" t="n">
        <f aca="false">IF(COUNTIF($B$2:B1301,B1301)=1,1,0)</f>
        <v>0</v>
      </c>
      <c r="W1301" s="13" t="n">
        <f aca="false">IF(COUNTIFS($B$2:B1301,B1301,$T$2:T1301,T1301)=1,1,0)</f>
        <v>0</v>
      </c>
    </row>
    <row r="1302" customFormat="false" ht="15" hidden="false" customHeight="false" outlineLevel="0" collapsed="false">
      <c r="A1302" s="13" t="s">
        <v>538</v>
      </c>
      <c r="B1302" s="13" t="s">
        <v>362</v>
      </c>
      <c r="C1302" s="13" t="n">
        <v>1700</v>
      </c>
      <c r="D1302" s="13" t="n">
        <v>5</v>
      </c>
      <c r="E1302" s="13" t="n">
        <v>340.494</v>
      </c>
      <c r="F1302" s="13" t="s">
        <v>5288</v>
      </c>
      <c r="G1302" s="13" t="s">
        <v>5292</v>
      </c>
      <c r="H1302" s="13" t="s">
        <v>5289</v>
      </c>
      <c r="I1302" s="13" t="s">
        <v>5289</v>
      </c>
      <c r="J1302" s="13" t="s">
        <v>5289</v>
      </c>
      <c r="K1302" s="13" t="s">
        <v>5289</v>
      </c>
      <c r="L1302" s="13" t="s">
        <v>5960</v>
      </c>
      <c r="M1302" s="13"/>
      <c r="N1302" s="13" t="n">
        <v>3386460113601</v>
      </c>
      <c r="O1302" s="13"/>
      <c r="P1302" s="13" t="s">
        <v>5291</v>
      </c>
      <c r="Q1302" s="13" t="s">
        <v>5289</v>
      </c>
      <c r="R1302" s="13" t="s">
        <v>5292</v>
      </c>
      <c r="S1302" s="13" t="s">
        <v>5293</v>
      </c>
      <c r="T1302" s="13" t="s">
        <v>4</v>
      </c>
      <c r="U1302" s="13" t="s">
        <v>43</v>
      </c>
      <c r="V1302" s="13" t="n">
        <f aca="false">IF(COUNTIF($B$2:B1302,B1302)=1,1,0)</f>
        <v>0</v>
      </c>
      <c r="W1302" s="13" t="n">
        <f aca="false">IF(COUNTIFS($B$2:B1302,B1302,$T$2:T1302,T1302)=1,1,0)</f>
        <v>0</v>
      </c>
    </row>
    <row r="1303" customFormat="false" ht="15" hidden="false" customHeight="false" outlineLevel="0" collapsed="false">
      <c r="A1303" s="13" t="s">
        <v>5961</v>
      </c>
      <c r="B1303" s="13" t="s">
        <v>2167</v>
      </c>
      <c r="C1303" s="13" t="n">
        <v>1700</v>
      </c>
      <c r="D1303" s="13" t="n">
        <v>2</v>
      </c>
      <c r="E1303" s="13" t="n">
        <v>423.265</v>
      </c>
      <c r="F1303" s="13" t="s">
        <v>5288</v>
      </c>
      <c r="G1303" s="13" t="s">
        <v>5289</v>
      </c>
      <c r="H1303" s="13" t="s">
        <v>5292</v>
      </c>
      <c r="I1303" s="13" t="s">
        <v>5289</v>
      </c>
      <c r="J1303" s="13" t="s">
        <v>5289</v>
      </c>
      <c r="K1303" s="13" t="s">
        <v>5289</v>
      </c>
      <c r="L1303" s="13" t="s">
        <v>5962</v>
      </c>
      <c r="M1303" s="13"/>
      <c r="N1303" s="13" t="n">
        <v>719346646550</v>
      </c>
      <c r="O1303" s="13"/>
      <c r="P1303" s="13" t="s">
        <v>5291</v>
      </c>
      <c r="Q1303" s="13" t="s">
        <v>5289</v>
      </c>
      <c r="R1303" s="13" t="s">
        <v>5292</v>
      </c>
      <c r="S1303" s="13" t="s">
        <v>5293</v>
      </c>
      <c r="T1303" s="13" t="s">
        <v>4</v>
      </c>
      <c r="U1303" s="13" t="s">
        <v>85</v>
      </c>
      <c r="V1303" s="13" t="n">
        <f aca="false">IF(COUNTIF($B$2:B1303,B1303)=1,1,0)</f>
        <v>0</v>
      </c>
      <c r="W1303" s="13" t="n">
        <f aca="false">IF(COUNTIFS($B$2:B1303,B1303,$T$2:T1303,T1303)=1,1,0)</f>
        <v>1</v>
      </c>
    </row>
    <row r="1304" customFormat="false" ht="15" hidden="false" customHeight="false" outlineLevel="0" collapsed="false">
      <c r="A1304" s="13" t="s">
        <v>160</v>
      </c>
      <c r="B1304" s="13" t="s">
        <v>50</v>
      </c>
      <c r="C1304" s="13" t="n">
        <v>1700</v>
      </c>
      <c r="D1304" s="13" t="n">
        <v>2</v>
      </c>
      <c r="E1304" s="13" t="n">
        <v>846.23</v>
      </c>
      <c r="F1304" s="13" t="s">
        <v>5288</v>
      </c>
      <c r="G1304" s="13" t="s">
        <v>5289</v>
      </c>
      <c r="H1304" s="13" t="s">
        <v>5289</v>
      </c>
      <c r="I1304" s="13" t="s">
        <v>5289</v>
      </c>
      <c r="J1304" s="13" t="s">
        <v>5289</v>
      </c>
      <c r="K1304" s="13" t="s">
        <v>5289</v>
      </c>
      <c r="L1304" s="13" t="s">
        <v>5963</v>
      </c>
      <c r="M1304" s="13"/>
      <c r="N1304" s="13" t="n">
        <v>3349668614608</v>
      </c>
      <c r="O1304" s="13"/>
      <c r="P1304" s="13" t="s">
        <v>5291</v>
      </c>
      <c r="Q1304" s="13" t="s">
        <v>5289</v>
      </c>
      <c r="R1304" s="13" t="s">
        <v>5292</v>
      </c>
      <c r="S1304" s="13" t="s">
        <v>5293</v>
      </c>
      <c r="T1304" s="13" t="s">
        <v>4</v>
      </c>
      <c r="U1304" s="13" t="s">
        <v>43</v>
      </c>
      <c r="V1304" s="13" t="n">
        <f aca="false">IF(COUNTIF($B$2:B1304,B1304)=1,1,0)</f>
        <v>0</v>
      </c>
      <c r="W1304" s="13" t="n">
        <f aca="false">IF(COUNTIFS($B$2:B1304,B1304,$T$2:T1304,T1304)=1,1,0)</f>
        <v>0</v>
      </c>
    </row>
    <row r="1305" customFormat="false" ht="15" hidden="false" customHeight="false" outlineLevel="0" collapsed="false">
      <c r="A1305" s="13" t="s">
        <v>984</v>
      </c>
      <c r="B1305" s="13" t="s">
        <v>362</v>
      </c>
      <c r="C1305" s="13" t="n">
        <v>1700</v>
      </c>
      <c r="D1305" s="13" t="n">
        <v>2</v>
      </c>
      <c r="E1305" s="13" t="n">
        <v>845.45</v>
      </c>
      <c r="F1305" s="13" t="s">
        <v>5325</v>
      </c>
      <c r="G1305" s="13" t="s">
        <v>5292</v>
      </c>
      <c r="H1305" s="13" t="s">
        <v>5292</v>
      </c>
      <c r="I1305" s="13" t="s">
        <v>5289</v>
      </c>
      <c r="J1305" s="13" t="s">
        <v>5289</v>
      </c>
      <c r="K1305" s="13" t="s">
        <v>5289</v>
      </c>
      <c r="L1305" s="13" t="s">
        <v>5799</v>
      </c>
      <c r="M1305" s="13"/>
      <c r="N1305" s="13" t="n">
        <v>3386460169950</v>
      </c>
      <c r="O1305" s="13"/>
      <c r="P1305" s="13" t="s">
        <v>5291</v>
      </c>
      <c r="Q1305" s="13" t="s">
        <v>5289</v>
      </c>
      <c r="R1305" s="13" t="s">
        <v>5292</v>
      </c>
      <c r="S1305" s="13" t="s">
        <v>5293</v>
      </c>
      <c r="T1305" s="13" t="s">
        <v>4</v>
      </c>
      <c r="U1305" s="13" t="s">
        <v>43</v>
      </c>
      <c r="V1305" s="13" t="n">
        <f aca="false">IF(COUNTIF($B$2:B1305,B1305)=1,1,0)</f>
        <v>0</v>
      </c>
      <c r="W1305" s="13" t="n">
        <f aca="false">IF(COUNTIFS($B$2:B1305,B1305,$T$2:T1305,T1305)=1,1,0)</f>
        <v>0</v>
      </c>
    </row>
    <row r="1306" customFormat="false" ht="15" hidden="false" customHeight="false" outlineLevel="0" collapsed="false">
      <c r="A1306" s="13" t="s">
        <v>985</v>
      </c>
      <c r="B1306" s="13" t="s">
        <v>50</v>
      </c>
      <c r="C1306" s="13" t="n">
        <v>1700</v>
      </c>
      <c r="D1306" s="13" t="n">
        <v>2</v>
      </c>
      <c r="E1306" s="13" t="n">
        <v>845.06</v>
      </c>
      <c r="F1306" s="13" t="s">
        <v>5325</v>
      </c>
      <c r="G1306" s="13" t="s">
        <v>5289</v>
      </c>
      <c r="H1306" s="13" t="s">
        <v>5292</v>
      </c>
      <c r="I1306" s="13" t="s">
        <v>5289</v>
      </c>
      <c r="J1306" s="13" t="s">
        <v>5289</v>
      </c>
      <c r="K1306" s="13" t="s">
        <v>5289</v>
      </c>
      <c r="L1306" s="13" t="s">
        <v>5729</v>
      </c>
      <c r="M1306" s="13"/>
      <c r="N1306" s="13" t="n">
        <v>3349668664733</v>
      </c>
      <c r="O1306" s="13"/>
      <c r="P1306" s="13" t="s">
        <v>5291</v>
      </c>
      <c r="Q1306" s="13" t="s">
        <v>5289</v>
      </c>
      <c r="R1306" s="13" t="s">
        <v>5292</v>
      </c>
      <c r="S1306" s="13" t="s">
        <v>5293</v>
      </c>
      <c r="T1306" s="13" t="s">
        <v>4</v>
      </c>
      <c r="U1306" s="13" t="s">
        <v>43</v>
      </c>
      <c r="V1306" s="13" t="n">
        <f aca="false">IF(COUNTIF($B$2:B1306,B1306)=1,1,0)</f>
        <v>0</v>
      </c>
      <c r="W1306" s="13" t="n">
        <f aca="false">IF(COUNTIFS($B$2:B1306,B1306,$T$2:T1306,T1306)=1,1,0)</f>
        <v>0</v>
      </c>
    </row>
    <row r="1307" customFormat="false" ht="15" hidden="false" customHeight="false" outlineLevel="0" collapsed="false">
      <c r="A1307" s="13" t="s">
        <v>469</v>
      </c>
      <c r="B1307" s="13" t="s">
        <v>79</v>
      </c>
      <c r="C1307" s="13" t="n">
        <v>1700</v>
      </c>
      <c r="D1307" s="13" t="n">
        <v>2</v>
      </c>
      <c r="E1307" s="13" t="n">
        <v>562.213333333333</v>
      </c>
      <c r="F1307" s="13" t="s">
        <v>5325</v>
      </c>
      <c r="G1307" s="13" t="s">
        <v>5289</v>
      </c>
      <c r="H1307" s="13" t="s">
        <v>5292</v>
      </c>
      <c r="I1307" s="13" t="s">
        <v>5289</v>
      </c>
      <c r="J1307" s="13" t="s">
        <v>5289</v>
      </c>
      <c r="K1307" s="13" t="s">
        <v>5289</v>
      </c>
      <c r="L1307" s="13" t="s">
        <v>5964</v>
      </c>
      <c r="M1307" s="13"/>
      <c r="N1307" s="13" t="n">
        <v>8056669925774</v>
      </c>
      <c r="O1307" s="13"/>
      <c r="P1307" s="13" t="s">
        <v>5291</v>
      </c>
      <c r="Q1307" s="13" t="s">
        <v>5289</v>
      </c>
      <c r="R1307" s="13" t="s">
        <v>5292</v>
      </c>
      <c r="S1307" s="13" t="s">
        <v>5293</v>
      </c>
      <c r="T1307" s="13" t="s">
        <v>4</v>
      </c>
      <c r="U1307" s="13" t="s">
        <v>43</v>
      </c>
      <c r="V1307" s="13" t="n">
        <f aca="false">IF(COUNTIF($B$2:B1307,B1307)=1,1,0)</f>
        <v>0</v>
      </c>
      <c r="W1307" s="13" t="n">
        <f aca="false">IF(COUNTIFS($B$2:B1307,B1307,$T$2:T1307,T1307)=1,1,0)</f>
        <v>0</v>
      </c>
    </row>
    <row r="1308" customFormat="false" ht="15" hidden="false" customHeight="false" outlineLevel="0" collapsed="false">
      <c r="A1308" s="13" t="s">
        <v>3720</v>
      </c>
      <c r="B1308" s="13" t="s">
        <v>2131</v>
      </c>
      <c r="C1308" s="13" t="n">
        <v>1700</v>
      </c>
      <c r="D1308" s="13" t="n">
        <v>2</v>
      </c>
      <c r="E1308" s="13" t="n">
        <v>842.175</v>
      </c>
      <c r="F1308" s="13" t="s">
        <v>5288</v>
      </c>
      <c r="G1308" s="13" t="s">
        <v>5289</v>
      </c>
      <c r="H1308" s="13" t="s">
        <v>5292</v>
      </c>
      <c r="I1308" s="13" t="s">
        <v>5289</v>
      </c>
      <c r="J1308" s="13" t="s">
        <v>5289</v>
      </c>
      <c r="K1308" s="13" t="s">
        <v>5289</v>
      </c>
      <c r="L1308" s="13" t="s">
        <v>5965</v>
      </c>
      <c r="M1308" s="13"/>
      <c r="N1308" s="13" t="n">
        <v>3423470890129</v>
      </c>
      <c r="O1308" s="13"/>
      <c r="P1308" s="13" t="s">
        <v>5291</v>
      </c>
      <c r="Q1308" s="13" t="s">
        <v>5289</v>
      </c>
      <c r="R1308" s="13" t="s">
        <v>5292</v>
      </c>
      <c r="S1308" s="13" t="s">
        <v>5293</v>
      </c>
      <c r="T1308" s="13" t="s">
        <v>4</v>
      </c>
      <c r="U1308" s="13" t="s">
        <v>43</v>
      </c>
      <c r="V1308" s="13" t="n">
        <f aca="false">IF(COUNTIF($B$2:B1308,B1308)=1,1,0)</f>
        <v>0</v>
      </c>
      <c r="W1308" s="13" t="n">
        <f aca="false">IF(COUNTIFS($B$2:B1308,B1308,$T$2:T1308,T1308)=1,1,0)</f>
        <v>0</v>
      </c>
    </row>
    <row r="1309" customFormat="false" ht="15" hidden="false" customHeight="false" outlineLevel="0" collapsed="false">
      <c r="A1309" s="13" t="s">
        <v>420</v>
      </c>
      <c r="B1309" s="13" t="s">
        <v>103</v>
      </c>
      <c r="C1309" s="13" t="n">
        <v>1700</v>
      </c>
      <c r="D1309" s="13" t="n">
        <v>5</v>
      </c>
      <c r="E1309" s="13" t="n">
        <v>240.17</v>
      </c>
      <c r="F1309" s="13" t="s">
        <v>5288</v>
      </c>
      <c r="G1309" s="13" t="s">
        <v>5289</v>
      </c>
      <c r="H1309" s="13" t="s">
        <v>5289</v>
      </c>
      <c r="I1309" s="13" t="s">
        <v>5289</v>
      </c>
      <c r="J1309" s="13" t="s">
        <v>5289</v>
      </c>
      <c r="K1309" s="13" t="s">
        <v>5289</v>
      </c>
      <c r="L1309" s="13" t="s">
        <v>5966</v>
      </c>
      <c r="M1309" s="13"/>
      <c r="N1309" s="13" t="n">
        <v>8411061081037</v>
      </c>
      <c r="O1309" s="13"/>
      <c r="P1309" s="13" t="s">
        <v>5291</v>
      </c>
      <c r="Q1309" s="13" t="s">
        <v>5289</v>
      </c>
      <c r="R1309" s="13" t="s">
        <v>5292</v>
      </c>
      <c r="S1309" s="13" t="s">
        <v>5293</v>
      </c>
      <c r="T1309" s="13" t="s">
        <v>4</v>
      </c>
      <c r="U1309" s="13" t="s">
        <v>43</v>
      </c>
      <c r="V1309" s="13" t="n">
        <f aca="false">IF(COUNTIF($B$2:B1309,B1309)=1,1,0)</f>
        <v>0</v>
      </c>
      <c r="W1309" s="13" t="n">
        <f aca="false">IF(COUNTIFS($B$2:B1309,B1309,$T$2:T1309,T1309)=1,1,0)</f>
        <v>0</v>
      </c>
    </row>
    <row r="1310" customFormat="false" ht="15" hidden="false" customHeight="false" outlineLevel="0" collapsed="false">
      <c r="A1310" s="13" t="s">
        <v>971</v>
      </c>
      <c r="B1310" s="13" t="s">
        <v>153</v>
      </c>
      <c r="C1310" s="13" t="n">
        <v>1700</v>
      </c>
      <c r="D1310" s="13" t="n">
        <v>5</v>
      </c>
      <c r="E1310" s="13" t="n">
        <v>335.332</v>
      </c>
      <c r="F1310" s="13" t="s">
        <v>5288</v>
      </c>
      <c r="G1310" s="13" t="s">
        <v>5289</v>
      </c>
      <c r="H1310" s="13" t="s">
        <v>5289</v>
      </c>
      <c r="I1310" s="13" t="s">
        <v>5289</v>
      </c>
      <c r="J1310" s="13" t="s">
        <v>5289</v>
      </c>
      <c r="K1310" s="13" t="s">
        <v>5289</v>
      </c>
      <c r="L1310" s="13" t="s">
        <v>5967</v>
      </c>
      <c r="M1310" s="13"/>
      <c r="N1310" s="13" t="n">
        <v>8011003804542</v>
      </c>
      <c r="O1310" s="13"/>
      <c r="P1310" s="13" t="s">
        <v>5291</v>
      </c>
      <c r="Q1310" s="13" t="s">
        <v>5289</v>
      </c>
      <c r="R1310" s="13" t="s">
        <v>5292</v>
      </c>
      <c r="S1310" s="13" t="s">
        <v>5293</v>
      </c>
      <c r="T1310" s="13" t="s">
        <v>4</v>
      </c>
      <c r="U1310" s="13" t="s">
        <v>43</v>
      </c>
      <c r="V1310" s="13" t="n">
        <f aca="false">IF(COUNTIF($B$2:B1310,B1310)=1,1,0)</f>
        <v>0</v>
      </c>
      <c r="W1310" s="13" t="n">
        <f aca="false">IF(COUNTIFS($B$2:B1310,B1310,$T$2:T1310,T1310)=1,1,0)</f>
        <v>0</v>
      </c>
    </row>
    <row r="1311" customFormat="false" ht="15" hidden="false" customHeight="false" outlineLevel="0" collapsed="false">
      <c r="A1311" s="13" t="s">
        <v>976</v>
      </c>
      <c r="B1311" s="13" t="s">
        <v>105</v>
      </c>
      <c r="C1311" s="13" t="n">
        <v>1700</v>
      </c>
      <c r="D1311" s="13" t="n">
        <v>2</v>
      </c>
      <c r="E1311" s="13" t="n">
        <v>558.35</v>
      </c>
      <c r="F1311" s="13" t="s">
        <v>5325</v>
      </c>
      <c r="G1311" s="13" t="s">
        <v>5289</v>
      </c>
      <c r="H1311" s="13" t="s">
        <v>5292</v>
      </c>
      <c r="I1311" s="13" t="s">
        <v>5289</v>
      </c>
      <c r="J1311" s="13" t="s">
        <v>5289</v>
      </c>
      <c r="K1311" s="13" t="s">
        <v>5289</v>
      </c>
      <c r="L1311" s="13" t="s">
        <v>5968</v>
      </c>
      <c r="M1311" s="13"/>
      <c r="N1311" s="13" t="n">
        <v>3616304247644</v>
      </c>
      <c r="O1311" s="13"/>
      <c r="P1311" s="13" t="s">
        <v>5291</v>
      </c>
      <c r="Q1311" s="13" t="s">
        <v>5289</v>
      </c>
      <c r="R1311" s="13" t="s">
        <v>5292</v>
      </c>
      <c r="S1311" s="13" t="s">
        <v>5293</v>
      </c>
      <c r="T1311" s="13" t="s">
        <v>4</v>
      </c>
      <c r="U1311" s="13" t="s">
        <v>43</v>
      </c>
      <c r="V1311" s="13" t="n">
        <f aca="false">IF(COUNTIF($B$2:B1311,B1311)=1,1,0)</f>
        <v>0</v>
      </c>
      <c r="W1311" s="13" t="n">
        <f aca="false">IF(COUNTIFS($B$2:B1311,B1311,$T$2:T1311,T1311)=1,1,0)</f>
        <v>0</v>
      </c>
    </row>
    <row r="1312" customFormat="false" ht="15" hidden="false" customHeight="false" outlineLevel="0" collapsed="false">
      <c r="A1312" s="13" t="s">
        <v>975</v>
      </c>
      <c r="B1312" s="13" t="s">
        <v>286</v>
      </c>
      <c r="C1312" s="13" t="n">
        <v>1700</v>
      </c>
      <c r="D1312" s="13" t="n">
        <v>2</v>
      </c>
      <c r="E1312" s="13" t="n">
        <v>418.52</v>
      </c>
      <c r="F1312" s="13" t="s">
        <v>5288</v>
      </c>
      <c r="G1312" s="13" t="s">
        <v>5289</v>
      </c>
      <c r="H1312" s="13" t="s">
        <v>5292</v>
      </c>
      <c r="I1312" s="13" t="s">
        <v>5289</v>
      </c>
      <c r="J1312" s="13" t="s">
        <v>5289</v>
      </c>
      <c r="K1312" s="13" t="s">
        <v>5289</v>
      </c>
      <c r="L1312" s="13" t="s">
        <v>5969</v>
      </c>
      <c r="M1312" s="13"/>
      <c r="N1312" s="13" t="n">
        <v>6294015183641</v>
      </c>
      <c r="O1312" s="13"/>
      <c r="P1312" s="13" t="s">
        <v>5291</v>
      </c>
      <c r="Q1312" s="13" t="s">
        <v>5289</v>
      </c>
      <c r="R1312" s="13" t="s">
        <v>5292</v>
      </c>
      <c r="S1312" s="13" t="s">
        <v>5293</v>
      </c>
      <c r="T1312" s="13" t="s">
        <v>4</v>
      </c>
      <c r="U1312" s="13" t="s">
        <v>43</v>
      </c>
      <c r="V1312" s="13" t="n">
        <f aca="false">IF(COUNTIF($B$2:B1312,B1312)=1,1,0)</f>
        <v>0</v>
      </c>
      <c r="W1312" s="13" t="n">
        <f aca="false">IF(COUNTIFS($B$2:B1312,B1312,$T$2:T1312,T1312)=1,1,0)</f>
        <v>0</v>
      </c>
    </row>
    <row r="1313" customFormat="false" ht="15" hidden="false" customHeight="false" outlineLevel="0" collapsed="false">
      <c r="A1313" s="13" t="s">
        <v>977</v>
      </c>
      <c r="B1313" s="13" t="s">
        <v>42</v>
      </c>
      <c r="C1313" s="13" t="n">
        <v>1700</v>
      </c>
      <c r="D1313" s="13" t="n">
        <v>2</v>
      </c>
      <c r="E1313" s="13" t="n">
        <v>833.34</v>
      </c>
      <c r="F1313" s="13" t="s">
        <v>5288</v>
      </c>
      <c r="G1313" s="13" t="s">
        <v>5289</v>
      </c>
      <c r="H1313" s="13" t="s">
        <v>5292</v>
      </c>
      <c r="I1313" s="13" t="s">
        <v>5289</v>
      </c>
      <c r="J1313" s="13" t="s">
        <v>5289</v>
      </c>
      <c r="K1313" s="13" t="s">
        <v>5289</v>
      </c>
      <c r="L1313" s="13" t="s">
        <v>5676</v>
      </c>
      <c r="M1313" s="13"/>
      <c r="N1313" s="13" t="n">
        <v>8411061134481</v>
      </c>
      <c r="O1313" s="13"/>
      <c r="P1313" s="13" t="s">
        <v>5291</v>
      </c>
      <c r="Q1313" s="13" t="s">
        <v>5289</v>
      </c>
      <c r="R1313" s="13" t="s">
        <v>5292</v>
      </c>
      <c r="S1313" s="13" t="s">
        <v>5293</v>
      </c>
      <c r="T1313" s="13" t="s">
        <v>4</v>
      </c>
      <c r="U1313" s="13" t="s">
        <v>43</v>
      </c>
      <c r="V1313" s="13" t="n">
        <f aca="false">IF(COUNTIF($B$2:B1313,B1313)=1,1,0)</f>
        <v>0</v>
      </c>
      <c r="W1313" s="13" t="n">
        <f aca="false">IF(COUNTIFS($B$2:B1313,B1313,$T$2:T1313,T1313)=1,1,0)</f>
        <v>0</v>
      </c>
    </row>
    <row r="1314" customFormat="false" ht="15" hidden="false" customHeight="false" outlineLevel="0" collapsed="false">
      <c r="A1314" s="13" t="s">
        <v>981</v>
      </c>
      <c r="B1314" s="13" t="s">
        <v>42</v>
      </c>
      <c r="C1314" s="13" t="n">
        <v>1700</v>
      </c>
      <c r="D1314" s="13" t="n">
        <v>2</v>
      </c>
      <c r="E1314" s="13" t="n">
        <v>831.57</v>
      </c>
      <c r="F1314" s="13" t="s">
        <v>5288</v>
      </c>
      <c r="G1314" s="13" t="s">
        <v>5289</v>
      </c>
      <c r="H1314" s="13" t="s">
        <v>5292</v>
      </c>
      <c r="I1314" s="13" t="s">
        <v>5289</v>
      </c>
      <c r="J1314" s="13" t="s">
        <v>5289</v>
      </c>
      <c r="K1314" s="13" t="s">
        <v>5289</v>
      </c>
      <c r="L1314" s="13" t="s">
        <v>5802</v>
      </c>
      <c r="M1314" s="13"/>
      <c r="N1314" s="13" t="n">
        <v>8411061124802</v>
      </c>
      <c r="O1314" s="13"/>
      <c r="P1314" s="13" t="s">
        <v>5291</v>
      </c>
      <c r="Q1314" s="13" t="s">
        <v>5289</v>
      </c>
      <c r="R1314" s="13" t="s">
        <v>5292</v>
      </c>
      <c r="S1314" s="13" t="s">
        <v>5293</v>
      </c>
      <c r="T1314" s="13" t="s">
        <v>4</v>
      </c>
      <c r="U1314" s="13" t="s">
        <v>43</v>
      </c>
      <c r="V1314" s="13" t="n">
        <f aca="false">IF(COUNTIF($B$2:B1314,B1314)=1,1,0)</f>
        <v>0</v>
      </c>
      <c r="W1314" s="13" t="n">
        <f aca="false">IF(COUNTIFS($B$2:B1314,B1314,$T$2:T1314,T1314)=1,1,0)</f>
        <v>0</v>
      </c>
    </row>
    <row r="1315" customFormat="false" ht="15" hidden="false" customHeight="false" outlineLevel="0" collapsed="false">
      <c r="A1315" s="13" t="s">
        <v>737</v>
      </c>
      <c r="B1315" s="13" t="s">
        <v>42</v>
      </c>
      <c r="C1315" s="13" t="n">
        <v>1700</v>
      </c>
      <c r="D1315" s="13" t="n">
        <v>2</v>
      </c>
      <c r="E1315" s="13" t="n">
        <v>827.08</v>
      </c>
      <c r="F1315" s="13" t="s">
        <v>5325</v>
      </c>
      <c r="G1315" s="13" t="s">
        <v>5289</v>
      </c>
      <c r="H1315" s="13" t="s">
        <v>5289</v>
      </c>
      <c r="I1315" s="13" t="s">
        <v>5289</v>
      </c>
      <c r="J1315" s="13" t="s">
        <v>5289</v>
      </c>
      <c r="K1315" s="13" t="s">
        <v>5289</v>
      </c>
      <c r="L1315" s="13" t="s">
        <v>5907</v>
      </c>
      <c r="M1315" s="13"/>
      <c r="N1315" s="13" t="n">
        <v>8411061088197</v>
      </c>
      <c r="O1315" s="13"/>
      <c r="P1315" s="13" t="s">
        <v>5291</v>
      </c>
      <c r="Q1315" s="13" t="s">
        <v>5289</v>
      </c>
      <c r="R1315" s="13" t="s">
        <v>5292</v>
      </c>
      <c r="S1315" s="13" t="s">
        <v>5293</v>
      </c>
      <c r="T1315" s="13" t="s">
        <v>4</v>
      </c>
      <c r="U1315" s="13" t="s">
        <v>43</v>
      </c>
      <c r="V1315" s="13" t="n">
        <f aca="false">IF(COUNTIF($B$2:B1315,B1315)=1,1,0)</f>
        <v>0</v>
      </c>
      <c r="W1315" s="13" t="n">
        <f aca="false">IF(COUNTIFS($B$2:B1315,B1315,$T$2:T1315,T1315)=1,1,0)</f>
        <v>0</v>
      </c>
    </row>
    <row r="1316" customFormat="false" ht="15" hidden="false" customHeight="false" outlineLevel="0" collapsed="false">
      <c r="A1316" s="13" t="s">
        <v>146</v>
      </c>
      <c r="B1316" s="13" t="s">
        <v>42</v>
      </c>
      <c r="C1316" s="13" t="n">
        <v>1700</v>
      </c>
      <c r="D1316" s="13" t="n">
        <v>2</v>
      </c>
      <c r="E1316" s="13" t="n">
        <v>827.08</v>
      </c>
      <c r="F1316" s="13" t="s">
        <v>5325</v>
      </c>
      <c r="G1316" s="13" t="s">
        <v>5289</v>
      </c>
      <c r="H1316" s="13" t="s">
        <v>5289</v>
      </c>
      <c r="I1316" s="13" t="s">
        <v>5289</v>
      </c>
      <c r="J1316" s="13" t="s">
        <v>5289</v>
      </c>
      <c r="K1316" s="13" t="s">
        <v>5289</v>
      </c>
      <c r="L1316" s="13" t="s">
        <v>5661</v>
      </c>
      <c r="M1316" s="13"/>
      <c r="N1316" s="13" t="n">
        <v>8411061134450</v>
      </c>
      <c r="O1316" s="13"/>
      <c r="P1316" s="13" t="s">
        <v>5291</v>
      </c>
      <c r="Q1316" s="13" t="s">
        <v>5289</v>
      </c>
      <c r="R1316" s="13" t="s">
        <v>5292</v>
      </c>
      <c r="S1316" s="13" t="s">
        <v>5293</v>
      </c>
      <c r="T1316" s="13" t="s">
        <v>4</v>
      </c>
      <c r="U1316" s="13" t="s">
        <v>43</v>
      </c>
      <c r="V1316" s="13" t="n">
        <f aca="false">IF(COUNTIF($B$2:B1316,B1316)=1,1,0)</f>
        <v>0</v>
      </c>
      <c r="W1316" s="13" t="n">
        <f aca="false">IF(COUNTIFS($B$2:B1316,B1316,$T$2:T1316,T1316)=1,1,0)</f>
        <v>0</v>
      </c>
    </row>
    <row r="1317" customFormat="false" ht="15" hidden="false" customHeight="false" outlineLevel="0" collapsed="false">
      <c r="A1317" s="13" t="s">
        <v>220</v>
      </c>
      <c r="B1317" s="13" t="s">
        <v>50</v>
      </c>
      <c r="C1317" s="13" t="n">
        <v>1700</v>
      </c>
      <c r="D1317" s="13" t="n">
        <v>2</v>
      </c>
      <c r="E1317" s="13" t="n">
        <v>413.0575</v>
      </c>
      <c r="F1317" s="13" t="s">
        <v>5288</v>
      </c>
      <c r="G1317" s="13" t="s">
        <v>5289</v>
      </c>
      <c r="H1317" s="13" t="s">
        <v>5289</v>
      </c>
      <c r="I1317" s="13" t="s">
        <v>5289</v>
      </c>
      <c r="J1317" s="13" t="s">
        <v>5289</v>
      </c>
      <c r="K1317" s="13" t="s">
        <v>5289</v>
      </c>
      <c r="L1317" s="13" t="s">
        <v>5970</v>
      </c>
      <c r="M1317" s="13"/>
      <c r="N1317" s="13" t="n">
        <v>3349668566730</v>
      </c>
      <c r="O1317" s="13"/>
      <c r="P1317" s="13" t="s">
        <v>5291</v>
      </c>
      <c r="Q1317" s="13" t="s">
        <v>5289</v>
      </c>
      <c r="R1317" s="13" t="s">
        <v>5292</v>
      </c>
      <c r="S1317" s="13" t="s">
        <v>5293</v>
      </c>
      <c r="T1317" s="13" t="s">
        <v>4</v>
      </c>
      <c r="U1317" s="13" t="s">
        <v>43</v>
      </c>
      <c r="V1317" s="13" t="n">
        <f aca="false">IF(COUNTIF($B$2:B1317,B1317)=1,1,0)</f>
        <v>0</v>
      </c>
      <c r="W1317" s="13" t="n">
        <f aca="false">IF(COUNTIFS($B$2:B1317,B1317,$T$2:T1317,T1317)=1,1,0)</f>
        <v>0</v>
      </c>
    </row>
    <row r="1318" customFormat="false" ht="15" hidden="false" customHeight="false" outlineLevel="0" collapsed="false">
      <c r="A1318" s="13" t="s">
        <v>44</v>
      </c>
      <c r="B1318" s="13" t="s">
        <v>42</v>
      </c>
      <c r="C1318" s="13" t="n">
        <v>1600</v>
      </c>
      <c r="D1318" s="13" t="n">
        <v>2</v>
      </c>
      <c r="E1318" s="13" t="n">
        <v>823.65</v>
      </c>
      <c r="F1318" s="13" t="s">
        <v>5288</v>
      </c>
      <c r="G1318" s="13" t="s">
        <v>5289</v>
      </c>
      <c r="H1318" s="13" t="s">
        <v>5289</v>
      </c>
      <c r="I1318" s="13" t="s">
        <v>5289</v>
      </c>
      <c r="J1318" s="13" t="s">
        <v>5289</v>
      </c>
      <c r="K1318" s="13" t="s">
        <v>5289</v>
      </c>
      <c r="L1318" s="13" t="s">
        <v>5951</v>
      </c>
      <c r="M1318" s="13"/>
      <c r="N1318" s="13" t="n">
        <v>8411061026342</v>
      </c>
      <c r="O1318" s="13"/>
      <c r="P1318" s="13" t="s">
        <v>5291</v>
      </c>
      <c r="Q1318" s="13" t="s">
        <v>5289</v>
      </c>
      <c r="R1318" s="13" t="s">
        <v>5292</v>
      </c>
      <c r="S1318" s="13" t="s">
        <v>5293</v>
      </c>
      <c r="T1318" s="13" t="s">
        <v>4</v>
      </c>
      <c r="U1318" s="13" t="s">
        <v>43</v>
      </c>
      <c r="V1318" s="13" t="n">
        <f aca="false">IF(COUNTIF($B$2:B1318,B1318)=1,1,0)</f>
        <v>0</v>
      </c>
      <c r="W1318" s="13" t="n">
        <f aca="false">IF(COUNTIFS($B$2:B1318,B1318,$T$2:T1318,T1318)=1,1,0)</f>
        <v>0</v>
      </c>
    </row>
    <row r="1319" customFormat="false" ht="15" hidden="false" customHeight="false" outlineLevel="0" collapsed="false">
      <c r="A1319" s="13" t="s">
        <v>3304</v>
      </c>
      <c r="B1319" s="13" t="s">
        <v>2120</v>
      </c>
      <c r="C1319" s="13" t="n">
        <v>1600</v>
      </c>
      <c r="D1319" s="13" t="n">
        <v>2</v>
      </c>
      <c r="E1319" s="13" t="n">
        <v>820.14</v>
      </c>
      <c r="F1319" s="13" t="s">
        <v>5325</v>
      </c>
      <c r="G1319" s="13" t="s">
        <v>5289</v>
      </c>
      <c r="H1319" s="13" t="s">
        <v>5292</v>
      </c>
      <c r="I1319" s="13" t="s">
        <v>5289</v>
      </c>
      <c r="J1319" s="13" t="s">
        <v>5289</v>
      </c>
      <c r="K1319" s="13" t="s">
        <v>5289</v>
      </c>
      <c r="L1319" s="13" t="s">
        <v>5971</v>
      </c>
      <c r="M1319" s="13"/>
      <c r="N1319" s="13" t="n">
        <v>3423470485448</v>
      </c>
      <c r="O1319" s="13"/>
      <c r="P1319" s="13" t="s">
        <v>5291</v>
      </c>
      <c r="Q1319" s="13" t="s">
        <v>5289</v>
      </c>
      <c r="R1319" s="13" t="s">
        <v>5292</v>
      </c>
      <c r="S1319" s="13" t="s">
        <v>5293</v>
      </c>
      <c r="T1319" s="13" t="s">
        <v>4</v>
      </c>
      <c r="U1319" s="13" t="s">
        <v>85</v>
      </c>
      <c r="V1319" s="13" t="n">
        <f aca="false">IF(COUNTIF($B$2:B1319,B1319)=1,1,0)</f>
        <v>0</v>
      </c>
      <c r="W1319" s="13" t="n">
        <f aca="false">IF(COUNTIFS($B$2:B1319,B1319,$T$2:T1319,T1319)=1,1,0)</f>
        <v>0</v>
      </c>
    </row>
    <row r="1320" customFormat="false" ht="15" hidden="false" customHeight="false" outlineLevel="0" collapsed="false">
      <c r="A1320" s="13" t="s">
        <v>1025</v>
      </c>
      <c r="B1320" s="13" t="s">
        <v>153</v>
      </c>
      <c r="C1320" s="13" t="n">
        <v>1600</v>
      </c>
      <c r="D1320" s="13" t="n">
        <v>5</v>
      </c>
      <c r="E1320" s="13" t="n">
        <v>326.978</v>
      </c>
      <c r="F1320" s="13" t="s">
        <v>5288</v>
      </c>
      <c r="G1320" s="13" t="s">
        <v>5292</v>
      </c>
      <c r="H1320" s="13" t="s">
        <v>5292</v>
      </c>
      <c r="I1320" s="13" t="s">
        <v>5289</v>
      </c>
      <c r="J1320" s="13" t="s">
        <v>5289</v>
      </c>
      <c r="K1320" s="13" t="s">
        <v>5289</v>
      </c>
      <c r="L1320" s="13" t="s">
        <v>5972</v>
      </c>
      <c r="M1320" s="13"/>
      <c r="N1320" s="13" t="n">
        <v>8018365071162</v>
      </c>
      <c r="O1320" s="13"/>
      <c r="P1320" s="13" t="s">
        <v>5297</v>
      </c>
      <c r="Q1320" s="13" t="s">
        <v>5289</v>
      </c>
      <c r="R1320" s="13" t="s">
        <v>5292</v>
      </c>
      <c r="S1320" s="13" t="s">
        <v>5293</v>
      </c>
      <c r="T1320" s="13" t="s">
        <v>4</v>
      </c>
      <c r="U1320" s="13" t="s">
        <v>43</v>
      </c>
      <c r="V1320" s="13" t="n">
        <f aca="false">IF(COUNTIF($B$2:B1320,B1320)=1,1,0)</f>
        <v>0</v>
      </c>
      <c r="W1320" s="13" t="n">
        <f aca="false">IF(COUNTIFS($B$2:B1320,B1320,$T$2:T1320,T1320)=1,1,0)</f>
        <v>0</v>
      </c>
    </row>
    <row r="1321" customFormat="false" ht="15" hidden="false" customHeight="false" outlineLevel="0" collapsed="false">
      <c r="A1321" s="13" t="s">
        <v>1026</v>
      </c>
      <c r="B1321" s="13" t="s">
        <v>153</v>
      </c>
      <c r="C1321" s="13" t="n">
        <v>1600</v>
      </c>
      <c r="D1321" s="13" t="n">
        <v>2</v>
      </c>
      <c r="E1321" s="13" t="n">
        <v>815.24</v>
      </c>
      <c r="F1321" s="13" t="s">
        <v>5325</v>
      </c>
      <c r="G1321" s="13" t="s">
        <v>5289</v>
      </c>
      <c r="H1321" s="13" t="s">
        <v>5292</v>
      </c>
      <c r="I1321" s="13" t="s">
        <v>5289</v>
      </c>
      <c r="J1321" s="13" t="s">
        <v>5289</v>
      </c>
      <c r="K1321" s="13" t="s">
        <v>5289</v>
      </c>
      <c r="L1321" s="13" t="s">
        <v>5973</v>
      </c>
      <c r="M1321" s="13"/>
      <c r="N1321" s="13" t="n">
        <v>8011003890811</v>
      </c>
      <c r="O1321" s="13"/>
      <c r="P1321" s="13" t="s">
        <v>5297</v>
      </c>
      <c r="Q1321" s="13" t="s">
        <v>5289</v>
      </c>
      <c r="R1321" s="13" t="s">
        <v>5292</v>
      </c>
      <c r="S1321" s="13" t="s">
        <v>5293</v>
      </c>
      <c r="T1321" s="13" t="s">
        <v>4</v>
      </c>
      <c r="U1321" s="13" t="s">
        <v>43</v>
      </c>
      <c r="V1321" s="13" t="n">
        <f aca="false">IF(COUNTIF($B$2:B1321,B1321)=1,1,0)</f>
        <v>0</v>
      </c>
      <c r="W1321" s="13" t="n">
        <f aca="false">IF(COUNTIFS($B$2:B1321,B1321,$T$2:T1321,T1321)=1,1,0)</f>
        <v>0</v>
      </c>
    </row>
    <row r="1322" customFormat="false" ht="15" hidden="false" customHeight="false" outlineLevel="0" collapsed="false">
      <c r="A1322" s="13" t="s">
        <v>1024</v>
      </c>
      <c r="B1322" s="13" t="s">
        <v>50</v>
      </c>
      <c r="C1322" s="13" t="n">
        <v>1600</v>
      </c>
      <c r="D1322" s="13" t="n">
        <v>2</v>
      </c>
      <c r="E1322" s="13" t="n">
        <v>403.34</v>
      </c>
      <c r="F1322" s="13" t="s">
        <v>5288</v>
      </c>
      <c r="G1322" s="13" t="s">
        <v>5292</v>
      </c>
      <c r="H1322" s="13" t="s">
        <v>5292</v>
      </c>
      <c r="I1322" s="13" t="s">
        <v>5289</v>
      </c>
      <c r="J1322" s="13" t="s">
        <v>5289</v>
      </c>
      <c r="K1322" s="13" t="s">
        <v>5289</v>
      </c>
      <c r="L1322" s="13" t="s">
        <v>5974</v>
      </c>
      <c r="M1322" s="13"/>
      <c r="N1322" s="13" t="n">
        <v>3349668614646</v>
      </c>
      <c r="O1322" s="13"/>
      <c r="P1322" s="13" t="s">
        <v>5291</v>
      </c>
      <c r="Q1322" s="13" t="s">
        <v>5289</v>
      </c>
      <c r="R1322" s="13" t="s">
        <v>5292</v>
      </c>
      <c r="S1322" s="13" t="s">
        <v>5293</v>
      </c>
      <c r="T1322" s="13" t="s">
        <v>4</v>
      </c>
      <c r="U1322" s="13" t="s">
        <v>43</v>
      </c>
      <c r="V1322" s="13" t="n">
        <f aca="false">IF(COUNTIF($B$2:B1322,B1322)=1,1,0)</f>
        <v>0</v>
      </c>
      <c r="W1322" s="13" t="n">
        <f aca="false">IF(COUNTIFS($B$2:B1322,B1322,$T$2:T1322,T1322)=1,1,0)</f>
        <v>0</v>
      </c>
    </row>
    <row r="1323" customFormat="false" ht="15" hidden="false" customHeight="false" outlineLevel="0" collapsed="false">
      <c r="A1323" s="13" t="s">
        <v>3769</v>
      </c>
      <c r="B1323" s="13" t="s">
        <v>2174</v>
      </c>
      <c r="C1323" s="13" t="n">
        <v>1600</v>
      </c>
      <c r="D1323" s="13" t="n">
        <v>2</v>
      </c>
      <c r="E1323" s="13" t="n">
        <v>403.26</v>
      </c>
      <c r="F1323" s="13" t="s">
        <v>5325</v>
      </c>
      <c r="G1323" s="13" t="s">
        <v>5292</v>
      </c>
      <c r="H1323" s="13" t="s">
        <v>5292</v>
      </c>
      <c r="I1323" s="13" t="s">
        <v>5289</v>
      </c>
      <c r="J1323" s="13" t="s">
        <v>5289</v>
      </c>
      <c r="K1323" s="13" t="s">
        <v>5289</v>
      </c>
      <c r="L1323" s="13" t="s">
        <v>5975</v>
      </c>
      <c r="M1323" s="13"/>
      <c r="N1323" s="13" t="n">
        <v>3494800028031</v>
      </c>
      <c r="O1323" s="13"/>
      <c r="P1323" s="13" t="s">
        <v>5291</v>
      </c>
      <c r="Q1323" s="13" t="s">
        <v>5289</v>
      </c>
      <c r="R1323" s="13" t="s">
        <v>5292</v>
      </c>
      <c r="S1323" s="13" t="s">
        <v>5293</v>
      </c>
      <c r="T1323" s="13" t="s">
        <v>4</v>
      </c>
      <c r="U1323" s="13" t="s">
        <v>43</v>
      </c>
      <c r="V1323" s="13" t="n">
        <f aca="false">IF(COUNTIF($B$2:B1323,B1323)=1,1,0)</f>
        <v>0</v>
      </c>
      <c r="W1323" s="13" t="n">
        <f aca="false">IF(COUNTIFS($B$2:B1323,B1323,$T$2:T1323,T1323)=1,1,0)</f>
        <v>0</v>
      </c>
    </row>
    <row r="1324" customFormat="false" ht="15" hidden="false" customHeight="false" outlineLevel="0" collapsed="false">
      <c r="A1324" s="13" t="s">
        <v>1020</v>
      </c>
      <c r="B1324" s="13" t="s">
        <v>362</v>
      </c>
      <c r="C1324" s="13" t="n">
        <v>1600</v>
      </c>
      <c r="D1324" s="13" t="n">
        <v>2</v>
      </c>
      <c r="E1324" s="13" t="n">
        <v>534.85</v>
      </c>
      <c r="F1324" s="13" t="s">
        <v>5288</v>
      </c>
      <c r="G1324" s="13" t="s">
        <v>5289</v>
      </c>
      <c r="H1324" s="13" t="s">
        <v>5292</v>
      </c>
      <c r="I1324" s="13" t="s">
        <v>5289</v>
      </c>
      <c r="J1324" s="13" t="s">
        <v>5289</v>
      </c>
      <c r="K1324" s="13" t="s">
        <v>5289</v>
      </c>
      <c r="L1324" s="13" t="s">
        <v>5976</v>
      </c>
      <c r="M1324" s="13"/>
      <c r="N1324" s="13" t="n">
        <v>3386460032681</v>
      </c>
      <c r="O1324" s="13"/>
      <c r="P1324" s="13" t="s">
        <v>5291</v>
      </c>
      <c r="Q1324" s="13" t="s">
        <v>5289</v>
      </c>
      <c r="R1324" s="13" t="s">
        <v>5292</v>
      </c>
      <c r="S1324" s="13" t="s">
        <v>5293</v>
      </c>
      <c r="T1324" s="13" t="s">
        <v>4</v>
      </c>
      <c r="U1324" s="13" t="s">
        <v>43</v>
      </c>
      <c r="V1324" s="13" t="n">
        <f aca="false">IF(COUNTIF($B$2:B1324,B1324)=1,1,0)</f>
        <v>0</v>
      </c>
      <c r="W1324" s="13" t="n">
        <f aca="false">IF(COUNTIFS($B$2:B1324,B1324,$T$2:T1324,T1324)=1,1,0)</f>
        <v>0</v>
      </c>
    </row>
    <row r="1325" customFormat="false" ht="15" hidden="false" customHeight="false" outlineLevel="0" collapsed="false">
      <c r="A1325" s="13" t="s">
        <v>1021</v>
      </c>
      <c r="B1325" s="13" t="s">
        <v>50</v>
      </c>
      <c r="C1325" s="13" t="n">
        <v>1600</v>
      </c>
      <c r="D1325" s="13" t="n">
        <v>2</v>
      </c>
      <c r="E1325" s="13" t="n">
        <v>799.48</v>
      </c>
      <c r="F1325" s="13" t="s">
        <v>5325</v>
      </c>
      <c r="G1325" s="13" t="s">
        <v>5289</v>
      </c>
      <c r="H1325" s="13" t="s">
        <v>5292</v>
      </c>
      <c r="I1325" s="13" t="s">
        <v>5289</v>
      </c>
      <c r="J1325" s="13" t="s">
        <v>5289</v>
      </c>
      <c r="K1325" s="13" t="s">
        <v>5289</v>
      </c>
      <c r="L1325" s="13" t="s">
        <v>5737</v>
      </c>
      <c r="M1325" s="13"/>
      <c r="N1325" s="13" t="n">
        <v>3349668612635</v>
      </c>
      <c r="O1325" s="13"/>
      <c r="P1325" s="13" t="s">
        <v>5291</v>
      </c>
      <c r="Q1325" s="13" t="s">
        <v>5289</v>
      </c>
      <c r="R1325" s="13" t="s">
        <v>5292</v>
      </c>
      <c r="S1325" s="13" t="s">
        <v>5293</v>
      </c>
      <c r="T1325" s="13" t="s">
        <v>4</v>
      </c>
      <c r="U1325" s="13" t="s">
        <v>43</v>
      </c>
      <c r="V1325" s="13" t="n">
        <f aca="false">IF(COUNTIF($B$2:B1325,B1325)=1,1,0)</f>
        <v>0</v>
      </c>
      <c r="W1325" s="13" t="n">
        <f aca="false">IF(COUNTIFS($B$2:B1325,B1325,$T$2:T1325,T1325)=1,1,0)</f>
        <v>0</v>
      </c>
    </row>
    <row r="1326" customFormat="false" ht="15" hidden="false" customHeight="false" outlineLevel="0" collapsed="false">
      <c r="A1326" s="13" t="s">
        <v>292</v>
      </c>
      <c r="B1326" s="13" t="s">
        <v>45</v>
      </c>
      <c r="C1326" s="13" t="n">
        <v>1600</v>
      </c>
      <c r="D1326" s="13" t="n">
        <v>2</v>
      </c>
      <c r="E1326" s="13" t="n">
        <v>797.75</v>
      </c>
      <c r="F1326" s="13" t="s">
        <v>5288</v>
      </c>
      <c r="G1326" s="13" t="s">
        <v>5289</v>
      </c>
      <c r="H1326" s="13" t="s">
        <v>5289</v>
      </c>
      <c r="I1326" s="13" t="s">
        <v>5289</v>
      </c>
      <c r="J1326" s="13" t="s">
        <v>5289</v>
      </c>
      <c r="K1326" s="13" t="s">
        <v>5289</v>
      </c>
      <c r="L1326" s="13" t="s">
        <v>5891</v>
      </c>
      <c r="M1326" s="13"/>
      <c r="N1326" s="13" t="n">
        <v>8435415080385</v>
      </c>
      <c r="O1326" s="13"/>
      <c r="P1326" s="13" t="s">
        <v>5291</v>
      </c>
      <c r="Q1326" s="13" t="s">
        <v>5289</v>
      </c>
      <c r="R1326" s="13" t="s">
        <v>5292</v>
      </c>
      <c r="S1326" s="13" t="s">
        <v>5293</v>
      </c>
      <c r="T1326" s="13" t="s">
        <v>4</v>
      </c>
      <c r="U1326" s="13" t="s">
        <v>43</v>
      </c>
      <c r="V1326" s="13" t="n">
        <f aca="false">IF(COUNTIF($B$2:B1326,B1326)=1,1,0)</f>
        <v>0</v>
      </c>
      <c r="W1326" s="13" t="n">
        <f aca="false">IF(COUNTIFS($B$2:B1326,B1326,$T$2:T1326,T1326)=1,1,0)</f>
        <v>0</v>
      </c>
    </row>
    <row r="1327" customFormat="false" ht="15" hidden="false" customHeight="false" outlineLevel="0" collapsed="false">
      <c r="A1327" s="13" t="s">
        <v>5977</v>
      </c>
      <c r="B1327" s="13" t="s">
        <v>2134</v>
      </c>
      <c r="C1327" s="13" t="n">
        <v>1600</v>
      </c>
      <c r="D1327" s="13" t="n">
        <v>2</v>
      </c>
      <c r="E1327" s="13" t="n">
        <v>531.79</v>
      </c>
      <c r="F1327" s="13" t="s">
        <v>5288</v>
      </c>
      <c r="G1327" s="13" t="s">
        <v>5289</v>
      </c>
      <c r="H1327" s="13" t="s">
        <v>5292</v>
      </c>
      <c r="I1327" s="13" t="s">
        <v>5289</v>
      </c>
      <c r="J1327" s="13" t="s">
        <v>5289</v>
      </c>
      <c r="K1327" s="13" t="s">
        <v>5289</v>
      </c>
      <c r="L1327" s="13" t="s">
        <v>5914</v>
      </c>
      <c r="M1327" s="13"/>
      <c r="N1327" s="13" t="n">
        <v>3386460109567</v>
      </c>
      <c r="O1327" s="13"/>
      <c r="P1327" s="13" t="s">
        <v>5291</v>
      </c>
      <c r="Q1327" s="13" t="s">
        <v>5289</v>
      </c>
      <c r="R1327" s="13" t="s">
        <v>5292</v>
      </c>
      <c r="S1327" s="13" t="s">
        <v>5293</v>
      </c>
      <c r="T1327" s="13" t="s">
        <v>4</v>
      </c>
      <c r="U1327" s="13" t="s">
        <v>43</v>
      </c>
      <c r="V1327" s="13" t="n">
        <f aca="false">IF(COUNTIF($B$2:B1327,B1327)=1,1,0)</f>
        <v>0</v>
      </c>
      <c r="W1327" s="13" t="n">
        <f aca="false">IF(COUNTIFS($B$2:B1327,B1327,$T$2:T1327,T1327)=1,1,0)</f>
        <v>0</v>
      </c>
    </row>
    <row r="1328" customFormat="false" ht="15" hidden="false" customHeight="false" outlineLevel="0" collapsed="false">
      <c r="A1328" s="13" t="s">
        <v>324</v>
      </c>
      <c r="B1328" s="13" t="s">
        <v>42</v>
      </c>
      <c r="C1328" s="13" t="n">
        <v>1600</v>
      </c>
      <c r="D1328" s="13" t="n">
        <v>2</v>
      </c>
      <c r="E1328" s="13" t="n">
        <v>531.05</v>
      </c>
      <c r="F1328" s="13" t="s">
        <v>5325</v>
      </c>
      <c r="G1328" s="13" t="s">
        <v>5289</v>
      </c>
      <c r="H1328" s="13" t="s">
        <v>5289</v>
      </c>
      <c r="I1328" s="13" t="s">
        <v>5289</v>
      </c>
      <c r="J1328" s="13" t="s">
        <v>5289</v>
      </c>
      <c r="K1328" s="13" t="s">
        <v>5289</v>
      </c>
      <c r="L1328" s="13" t="s">
        <v>5755</v>
      </c>
      <c r="M1328" s="13"/>
      <c r="N1328" s="13" t="n">
        <v>8411061123591</v>
      </c>
      <c r="O1328" s="13"/>
      <c r="P1328" s="13" t="s">
        <v>5291</v>
      </c>
      <c r="Q1328" s="13" t="s">
        <v>5289</v>
      </c>
      <c r="R1328" s="13" t="s">
        <v>5292</v>
      </c>
      <c r="S1328" s="13" t="s">
        <v>5293</v>
      </c>
      <c r="T1328" s="13" t="s">
        <v>4</v>
      </c>
      <c r="U1328" s="13" t="s">
        <v>43</v>
      </c>
      <c r="V1328" s="13" t="n">
        <f aca="false">IF(COUNTIF($B$2:B1328,B1328)=1,1,0)</f>
        <v>0</v>
      </c>
      <c r="W1328" s="13" t="n">
        <f aca="false">IF(COUNTIFS($B$2:B1328,B1328,$T$2:T1328,T1328)=1,1,0)</f>
        <v>0</v>
      </c>
    </row>
    <row r="1329" customFormat="false" ht="15" hidden="false" customHeight="false" outlineLevel="0" collapsed="false">
      <c r="A1329" s="13" t="s">
        <v>3375</v>
      </c>
      <c r="B1329" s="13" t="s">
        <v>2111</v>
      </c>
      <c r="C1329" s="13" t="n">
        <v>1600</v>
      </c>
      <c r="D1329" s="13" t="n">
        <v>2</v>
      </c>
      <c r="E1329" s="13" t="n">
        <v>397.765</v>
      </c>
      <c r="F1329" s="13" t="s">
        <v>5288</v>
      </c>
      <c r="G1329" s="13" t="s">
        <v>5289</v>
      </c>
      <c r="H1329" s="13" t="s">
        <v>5292</v>
      </c>
      <c r="I1329" s="13" t="s">
        <v>5289</v>
      </c>
      <c r="J1329" s="13" t="s">
        <v>5289</v>
      </c>
      <c r="K1329" s="13" t="s">
        <v>5289</v>
      </c>
      <c r="L1329" s="13" t="s">
        <v>5978</v>
      </c>
      <c r="M1329" s="13"/>
      <c r="N1329" s="13" t="n">
        <v>3386460119276</v>
      </c>
      <c r="O1329" s="13"/>
      <c r="P1329" s="13" t="s">
        <v>5291</v>
      </c>
      <c r="Q1329" s="13" t="s">
        <v>5289</v>
      </c>
      <c r="R1329" s="13" t="s">
        <v>5292</v>
      </c>
      <c r="S1329" s="13" t="s">
        <v>5293</v>
      </c>
      <c r="T1329" s="13" t="s">
        <v>4</v>
      </c>
      <c r="U1329" s="13" t="s">
        <v>43</v>
      </c>
      <c r="V1329" s="13" t="n">
        <f aca="false">IF(COUNTIF($B$2:B1329,B1329)=1,1,0)</f>
        <v>0</v>
      </c>
      <c r="W1329" s="13" t="n">
        <f aca="false">IF(COUNTIFS($B$2:B1329,B1329,$T$2:T1329,T1329)=1,1,0)</f>
        <v>0</v>
      </c>
    </row>
    <row r="1330" customFormat="false" ht="15" hidden="false" customHeight="false" outlineLevel="0" collapsed="false">
      <c r="A1330" s="13" t="s">
        <v>1023</v>
      </c>
      <c r="B1330" s="13" t="s">
        <v>45</v>
      </c>
      <c r="C1330" s="13" t="n">
        <v>1600</v>
      </c>
      <c r="D1330" s="13" t="n">
        <v>2</v>
      </c>
      <c r="E1330" s="13" t="n">
        <v>794.97</v>
      </c>
      <c r="F1330" s="13" t="s">
        <v>5325</v>
      </c>
      <c r="G1330" s="13" t="s">
        <v>5289</v>
      </c>
      <c r="H1330" s="13" t="s">
        <v>5292</v>
      </c>
      <c r="I1330" s="13" t="s">
        <v>5289</v>
      </c>
      <c r="J1330" s="13" t="s">
        <v>5289</v>
      </c>
      <c r="K1330" s="13" t="s">
        <v>5289</v>
      </c>
      <c r="L1330" s="13" t="s">
        <v>5781</v>
      </c>
      <c r="M1330" s="13"/>
      <c r="N1330" s="13" t="n">
        <v>8435415080422</v>
      </c>
      <c r="O1330" s="13"/>
      <c r="P1330" s="13" t="s">
        <v>5291</v>
      </c>
      <c r="Q1330" s="13" t="s">
        <v>5289</v>
      </c>
      <c r="R1330" s="13" t="s">
        <v>5292</v>
      </c>
      <c r="S1330" s="13" t="s">
        <v>5293</v>
      </c>
      <c r="T1330" s="13" t="s">
        <v>4</v>
      </c>
      <c r="U1330" s="13" t="s">
        <v>43</v>
      </c>
      <c r="V1330" s="13" t="n">
        <f aca="false">IF(COUNTIF($B$2:B1330,B1330)=1,1,0)</f>
        <v>0</v>
      </c>
      <c r="W1330" s="13" t="n">
        <f aca="false">IF(COUNTIFS($B$2:B1330,B1330,$T$2:T1330,T1330)=1,1,0)</f>
        <v>0</v>
      </c>
    </row>
    <row r="1331" customFormat="false" ht="15" hidden="false" customHeight="false" outlineLevel="0" collapsed="false">
      <c r="A1331" s="13" t="s">
        <v>3333</v>
      </c>
      <c r="B1331" s="13" t="s">
        <v>2205</v>
      </c>
      <c r="C1331" s="13" t="n">
        <v>1600</v>
      </c>
      <c r="D1331" s="13" t="n">
        <v>5</v>
      </c>
      <c r="E1331" s="13" t="n">
        <v>264.575</v>
      </c>
      <c r="F1331" s="13" t="s">
        <v>5325</v>
      </c>
      <c r="G1331" s="13" t="s">
        <v>5289</v>
      </c>
      <c r="H1331" s="13" t="s">
        <v>5292</v>
      </c>
      <c r="I1331" s="13" t="s">
        <v>5289</v>
      </c>
      <c r="J1331" s="13" t="s">
        <v>5289</v>
      </c>
      <c r="K1331" s="13" t="s">
        <v>5289</v>
      </c>
      <c r="L1331" s="13" t="s">
        <v>5979</v>
      </c>
      <c r="M1331" s="13"/>
      <c r="N1331" s="13" t="n">
        <v>7640111494027</v>
      </c>
      <c r="O1331" s="13"/>
      <c r="P1331" s="13" t="s">
        <v>5291</v>
      </c>
      <c r="Q1331" s="13" t="s">
        <v>5289</v>
      </c>
      <c r="R1331" s="13" t="s">
        <v>5292</v>
      </c>
      <c r="S1331" s="13" t="s">
        <v>5293</v>
      </c>
      <c r="T1331" s="13" t="s">
        <v>4</v>
      </c>
      <c r="U1331" s="13" t="s">
        <v>43</v>
      </c>
      <c r="V1331" s="13" t="n">
        <f aca="false">IF(COUNTIF($B$2:B1331,B1331)=1,1,0)</f>
        <v>1</v>
      </c>
      <c r="W1331" s="13" t="n">
        <f aca="false">IF(COUNTIFS($B$2:B1331,B1331,$T$2:T1331,T1331)=1,1,0)</f>
        <v>1</v>
      </c>
    </row>
    <row r="1332" customFormat="false" ht="15" hidden="false" customHeight="false" outlineLevel="0" collapsed="false">
      <c r="A1332" s="13" t="s">
        <v>3779</v>
      </c>
      <c r="B1332" s="13" t="s">
        <v>2134</v>
      </c>
      <c r="C1332" s="13" t="n">
        <v>1600</v>
      </c>
      <c r="D1332" s="13" t="n">
        <v>5</v>
      </c>
      <c r="E1332" s="13" t="n">
        <v>316.956</v>
      </c>
      <c r="F1332" s="13" t="s">
        <v>5288</v>
      </c>
      <c r="G1332" s="13" t="s">
        <v>5289</v>
      </c>
      <c r="H1332" s="13" t="s">
        <v>5289</v>
      </c>
      <c r="I1332" s="13" t="s">
        <v>5289</v>
      </c>
      <c r="J1332" s="13" t="s">
        <v>5289</v>
      </c>
      <c r="K1332" s="13" t="s">
        <v>5289</v>
      </c>
      <c r="L1332" s="13" t="s">
        <v>5980</v>
      </c>
      <c r="M1332" s="13"/>
      <c r="N1332" s="13" t="n">
        <v>3386460109581</v>
      </c>
      <c r="O1332" s="13"/>
      <c r="P1332" s="13" t="s">
        <v>5291</v>
      </c>
      <c r="Q1332" s="13" t="s">
        <v>5289</v>
      </c>
      <c r="R1332" s="13" t="s">
        <v>5292</v>
      </c>
      <c r="S1332" s="13" t="s">
        <v>5293</v>
      </c>
      <c r="T1332" s="13" t="s">
        <v>4</v>
      </c>
      <c r="U1332" s="13" t="s">
        <v>43</v>
      </c>
      <c r="V1332" s="13" t="n">
        <f aca="false">IF(COUNTIF($B$2:B1332,B1332)=1,1,0)</f>
        <v>0</v>
      </c>
      <c r="W1332" s="13" t="n">
        <f aca="false">IF(COUNTIFS($B$2:B1332,B1332,$T$2:T1332,T1332)=1,1,0)</f>
        <v>0</v>
      </c>
    </row>
    <row r="1333" customFormat="false" ht="15" hidden="false" customHeight="false" outlineLevel="0" collapsed="false">
      <c r="A1333" s="13" t="s">
        <v>526</v>
      </c>
      <c r="B1333" s="13" t="s">
        <v>50</v>
      </c>
      <c r="C1333" s="13" t="n">
        <v>1600</v>
      </c>
      <c r="D1333" s="13" t="n">
        <v>2</v>
      </c>
      <c r="E1333" s="13" t="n">
        <v>791.72</v>
      </c>
      <c r="F1333" s="13" t="s">
        <v>5288</v>
      </c>
      <c r="G1333" s="13" t="s">
        <v>5289</v>
      </c>
      <c r="H1333" s="13" t="s">
        <v>5289</v>
      </c>
      <c r="I1333" s="13" t="s">
        <v>5289</v>
      </c>
      <c r="J1333" s="13" t="s">
        <v>5289</v>
      </c>
      <c r="K1333" s="13" t="s">
        <v>5289</v>
      </c>
      <c r="L1333" s="13" t="s">
        <v>5981</v>
      </c>
      <c r="M1333" s="13"/>
      <c r="N1333" s="13" t="n">
        <v>3349668644025</v>
      </c>
      <c r="O1333" s="13"/>
      <c r="P1333" s="13" t="s">
        <v>5291</v>
      </c>
      <c r="Q1333" s="13" t="s">
        <v>5289</v>
      </c>
      <c r="R1333" s="13" t="s">
        <v>5292</v>
      </c>
      <c r="S1333" s="13" t="s">
        <v>5293</v>
      </c>
      <c r="T1333" s="13" t="s">
        <v>4</v>
      </c>
      <c r="U1333" s="13" t="s">
        <v>43</v>
      </c>
      <c r="V1333" s="13" t="n">
        <f aca="false">IF(COUNTIF($B$2:B1333,B1333)=1,1,0)</f>
        <v>0</v>
      </c>
      <c r="W1333" s="13" t="n">
        <f aca="false">IF(COUNTIFS($B$2:B1333,B1333,$T$2:T1333,T1333)=1,1,0)</f>
        <v>0</v>
      </c>
    </row>
    <row r="1334" customFormat="false" ht="15" hidden="false" customHeight="false" outlineLevel="0" collapsed="false">
      <c r="A1334" s="13" t="s">
        <v>294</v>
      </c>
      <c r="B1334" s="13" t="s">
        <v>50</v>
      </c>
      <c r="C1334" s="13" t="n">
        <v>1600</v>
      </c>
      <c r="D1334" s="13" t="n">
        <v>2</v>
      </c>
      <c r="E1334" s="13" t="n">
        <v>789.95</v>
      </c>
      <c r="F1334" s="13" t="s">
        <v>5288</v>
      </c>
      <c r="G1334" s="13" t="s">
        <v>5289</v>
      </c>
      <c r="H1334" s="13" t="s">
        <v>5289</v>
      </c>
      <c r="I1334" s="13" t="s">
        <v>5289</v>
      </c>
      <c r="J1334" s="13" t="s">
        <v>5289</v>
      </c>
      <c r="K1334" s="13" t="s">
        <v>5289</v>
      </c>
      <c r="L1334" s="13" t="s">
        <v>5982</v>
      </c>
      <c r="M1334" s="13"/>
      <c r="N1334" s="13" t="n">
        <v>3349668641833</v>
      </c>
      <c r="O1334" s="13"/>
      <c r="P1334" s="13" t="s">
        <v>5291</v>
      </c>
      <c r="Q1334" s="13" t="s">
        <v>5289</v>
      </c>
      <c r="R1334" s="13" t="s">
        <v>5292</v>
      </c>
      <c r="S1334" s="13" t="s">
        <v>5293</v>
      </c>
      <c r="T1334" s="13" t="s">
        <v>4</v>
      </c>
      <c r="U1334" s="13" t="s">
        <v>43</v>
      </c>
      <c r="V1334" s="13" t="n">
        <f aca="false">IF(COUNTIF($B$2:B1334,B1334)=1,1,0)</f>
        <v>0</v>
      </c>
      <c r="W1334" s="13" t="n">
        <f aca="false">IF(COUNTIFS($B$2:B1334,B1334,$T$2:T1334,T1334)=1,1,0)</f>
        <v>0</v>
      </c>
    </row>
    <row r="1335" customFormat="false" ht="15" hidden="false" customHeight="false" outlineLevel="0" collapsed="false">
      <c r="A1335" s="13" t="s">
        <v>1022</v>
      </c>
      <c r="B1335" s="13" t="s">
        <v>45</v>
      </c>
      <c r="C1335" s="13" t="n">
        <v>1600</v>
      </c>
      <c r="D1335" s="13" t="n">
        <v>2</v>
      </c>
      <c r="E1335" s="13" t="n">
        <v>789.65</v>
      </c>
      <c r="F1335" s="13" t="s">
        <v>5288</v>
      </c>
      <c r="G1335" s="13" t="s">
        <v>5289</v>
      </c>
      <c r="H1335" s="13" t="s">
        <v>5292</v>
      </c>
      <c r="I1335" s="13" t="s">
        <v>5289</v>
      </c>
      <c r="J1335" s="13" t="s">
        <v>5289</v>
      </c>
      <c r="K1335" s="13" t="s">
        <v>5289</v>
      </c>
      <c r="L1335" s="13" t="s">
        <v>5896</v>
      </c>
      <c r="M1335" s="13"/>
      <c r="N1335" s="13" t="n">
        <v>8435415076944</v>
      </c>
      <c r="O1335" s="13"/>
      <c r="P1335" s="13" t="s">
        <v>5291</v>
      </c>
      <c r="Q1335" s="13" t="s">
        <v>5289</v>
      </c>
      <c r="R1335" s="13" t="s">
        <v>5292</v>
      </c>
      <c r="S1335" s="13" t="s">
        <v>5293</v>
      </c>
      <c r="T1335" s="13" t="s">
        <v>4</v>
      </c>
      <c r="U1335" s="13" t="s">
        <v>43</v>
      </c>
      <c r="V1335" s="13" t="n">
        <f aca="false">IF(COUNTIF($B$2:B1335,B1335)=1,1,0)</f>
        <v>0</v>
      </c>
      <c r="W1335" s="13" t="n">
        <f aca="false">IF(COUNTIFS($B$2:B1335,B1335,$T$2:T1335,T1335)=1,1,0)</f>
        <v>0</v>
      </c>
    </row>
    <row r="1336" customFormat="false" ht="15" hidden="false" customHeight="false" outlineLevel="0" collapsed="false">
      <c r="A1336" s="13" t="s">
        <v>541</v>
      </c>
      <c r="B1336" s="13" t="s">
        <v>50</v>
      </c>
      <c r="C1336" s="13" t="n">
        <v>1600</v>
      </c>
      <c r="D1336" s="13" t="n">
        <v>2</v>
      </c>
      <c r="E1336" s="13" t="n">
        <v>787.93</v>
      </c>
      <c r="F1336" s="13" t="s">
        <v>5325</v>
      </c>
      <c r="G1336" s="13" t="s">
        <v>5289</v>
      </c>
      <c r="H1336" s="13" t="s">
        <v>5289</v>
      </c>
      <c r="I1336" s="13" t="s">
        <v>5289</v>
      </c>
      <c r="J1336" s="13" t="s">
        <v>5289</v>
      </c>
      <c r="K1336" s="13" t="s">
        <v>5289</v>
      </c>
      <c r="L1336" s="13" t="s">
        <v>5776</v>
      </c>
      <c r="M1336" s="13"/>
      <c r="N1336" s="13" t="n">
        <v>3.34966864283034E+025</v>
      </c>
      <c r="O1336" s="13"/>
      <c r="P1336" s="13" t="s">
        <v>5291</v>
      </c>
      <c r="Q1336" s="13" t="s">
        <v>5289</v>
      </c>
      <c r="R1336" s="13" t="s">
        <v>5292</v>
      </c>
      <c r="S1336" s="13" t="s">
        <v>5293</v>
      </c>
      <c r="T1336" s="13" t="s">
        <v>4</v>
      </c>
      <c r="U1336" s="13" t="s">
        <v>43</v>
      </c>
      <c r="V1336" s="13" t="n">
        <f aca="false">IF(COUNTIF($B$2:B1336,B1336)=1,1,0)</f>
        <v>0</v>
      </c>
      <c r="W1336" s="13" t="n">
        <f aca="false">IF(COUNTIFS($B$2:B1336,B1336,$T$2:T1336,T1336)=1,1,0)</f>
        <v>0</v>
      </c>
    </row>
    <row r="1337" customFormat="false" ht="15" hidden="false" customHeight="false" outlineLevel="0" collapsed="false">
      <c r="A1337" s="13" t="s">
        <v>5983</v>
      </c>
      <c r="B1337" s="13" t="s">
        <v>2120</v>
      </c>
      <c r="C1337" s="13" t="n">
        <v>1600</v>
      </c>
      <c r="D1337" s="13" t="n">
        <v>2</v>
      </c>
      <c r="E1337" s="13" t="n">
        <v>783.66</v>
      </c>
      <c r="F1337" s="13" t="s">
        <v>5288</v>
      </c>
      <c r="G1337" s="13" t="s">
        <v>5289</v>
      </c>
      <c r="H1337" s="13" t="s">
        <v>5289</v>
      </c>
      <c r="I1337" s="13" t="s">
        <v>5289</v>
      </c>
      <c r="J1337" s="13" t="s">
        <v>5289</v>
      </c>
      <c r="K1337" s="13" t="s">
        <v>5289</v>
      </c>
      <c r="L1337" s="13" t="s">
        <v>5971</v>
      </c>
      <c r="M1337" s="13"/>
      <c r="N1337" s="13" t="n">
        <v>3423470485448</v>
      </c>
      <c r="O1337" s="13"/>
      <c r="P1337" s="13" t="s">
        <v>5291</v>
      </c>
      <c r="Q1337" s="13" t="s">
        <v>5289</v>
      </c>
      <c r="R1337" s="13" t="s">
        <v>5292</v>
      </c>
      <c r="S1337" s="13" t="s">
        <v>5293</v>
      </c>
      <c r="T1337" s="13" t="s">
        <v>4</v>
      </c>
      <c r="U1337" s="13" t="s">
        <v>43</v>
      </c>
      <c r="V1337" s="13" t="n">
        <f aca="false">IF(COUNTIF($B$2:B1337,B1337)=1,1,0)</f>
        <v>0</v>
      </c>
      <c r="W1337" s="13" t="n">
        <f aca="false">IF(COUNTIFS($B$2:B1337,B1337,$T$2:T1337,T1337)=1,1,0)</f>
        <v>0</v>
      </c>
    </row>
    <row r="1338" customFormat="false" ht="15" hidden="false" customHeight="false" outlineLevel="0" collapsed="false">
      <c r="A1338" s="13" t="s">
        <v>1019</v>
      </c>
      <c r="B1338" s="13" t="s">
        <v>45</v>
      </c>
      <c r="C1338" s="13" t="n">
        <v>1600</v>
      </c>
      <c r="D1338" s="13" t="n">
        <v>2</v>
      </c>
      <c r="E1338" s="13" t="n">
        <v>391.27</v>
      </c>
      <c r="F1338" s="13" t="s">
        <v>5288</v>
      </c>
      <c r="G1338" s="13" t="s">
        <v>5289</v>
      </c>
      <c r="H1338" s="13" t="s">
        <v>5292</v>
      </c>
      <c r="I1338" s="13" t="s">
        <v>5289</v>
      </c>
      <c r="J1338" s="13" t="s">
        <v>5289</v>
      </c>
      <c r="K1338" s="13" t="s">
        <v>5289</v>
      </c>
      <c r="L1338" s="13" t="s">
        <v>5984</v>
      </c>
      <c r="M1338" s="13"/>
      <c r="N1338" s="13" t="n">
        <v>8435415011280</v>
      </c>
      <c r="O1338" s="13"/>
      <c r="P1338" s="13" t="s">
        <v>5291</v>
      </c>
      <c r="Q1338" s="13" t="s">
        <v>5289</v>
      </c>
      <c r="R1338" s="13" t="s">
        <v>5292</v>
      </c>
      <c r="S1338" s="13" t="s">
        <v>5293</v>
      </c>
      <c r="T1338" s="13" t="s">
        <v>4</v>
      </c>
      <c r="U1338" s="13" t="s">
        <v>43</v>
      </c>
      <c r="V1338" s="13" t="n">
        <f aca="false">IF(COUNTIF($B$2:B1338,B1338)=1,1,0)</f>
        <v>0</v>
      </c>
      <c r="W1338" s="13" t="n">
        <f aca="false">IF(COUNTIFS($B$2:B1338,B1338,$T$2:T1338,T1338)=1,1,0)</f>
        <v>0</v>
      </c>
    </row>
    <row r="1339" customFormat="false" ht="15" hidden="false" customHeight="false" outlineLevel="0" collapsed="false">
      <c r="A1339" s="13" t="s">
        <v>1017</v>
      </c>
      <c r="B1339" s="13" t="s">
        <v>50</v>
      </c>
      <c r="C1339" s="13" t="n">
        <v>1600</v>
      </c>
      <c r="D1339" s="13" t="n">
        <v>2</v>
      </c>
      <c r="E1339" s="13" t="n">
        <v>521.13</v>
      </c>
      <c r="F1339" s="13" t="s">
        <v>5288</v>
      </c>
      <c r="G1339" s="13" t="s">
        <v>5289</v>
      </c>
      <c r="H1339" s="13" t="s">
        <v>5289</v>
      </c>
      <c r="I1339" s="13" t="s">
        <v>5289</v>
      </c>
      <c r="J1339" s="13" t="s">
        <v>5289</v>
      </c>
      <c r="K1339" s="13" t="s">
        <v>5289</v>
      </c>
      <c r="L1339" s="13" t="s">
        <v>5985</v>
      </c>
      <c r="M1339" s="13"/>
      <c r="N1339" s="13" t="n">
        <v>3.34966864522034E+025</v>
      </c>
      <c r="O1339" s="13"/>
      <c r="P1339" s="13" t="s">
        <v>5291</v>
      </c>
      <c r="Q1339" s="13" t="s">
        <v>5289</v>
      </c>
      <c r="R1339" s="13" t="s">
        <v>5292</v>
      </c>
      <c r="S1339" s="13" t="s">
        <v>5293</v>
      </c>
      <c r="T1339" s="13" t="s">
        <v>4</v>
      </c>
      <c r="U1339" s="13" t="s">
        <v>43</v>
      </c>
      <c r="V1339" s="13" t="n">
        <f aca="false">IF(COUNTIF($B$2:B1339,B1339)=1,1,0)</f>
        <v>0</v>
      </c>
      <c r="W1339" s="13" t="n">
        <f aca="false">IF(COUNTIFS($B$2:B1339,B1339,$T$2:T1339,T1339)=1,1,0)</f>
        <v>0</v>
      </c>
    </row>
    <row r="1340" customFormat="false" ht="15" hidden="false" customHeight="false" outlineLevel="0" collapsed="false">
      <c r="A1340" s="13" t="s">
        <v>822</v>
      </c>
      <c r="B1340" s="13" t="s">
        <v>45</v>
      </c>
      <c r="C1340" s="13" t="n">
        <v>1600</v>
      </c>
      <c r="D1340" s="13" t="n">
        <v>2</v>
      </c>
      <c r="E1340" s="13" t="n">
        <v>520.02</v>
      </c>
      <c r="F1340" s="13" t="s">
        <v>5288</v>
      </c>
      <c r="G1340" s="13" t="s">
        <v>5289</v>
      </c>
      <c r="H1340" s="13" t="s">
        <v>5292</v>
      </c>
      <c r="I1340" s="13" t="s">
        <v>5289</v>
      </c>
      <c r="J1340" s="13" t="s">
        <v>5289</v>
      </c>
      <c r="K1340" s="13" t="s">
        <v>5289</v>
      </c>
      <c r="L1340" s="13" t="s">
        <v>5986</v>
      </c>
      <c r="M1340" s="13"/>
      <c r="N1340" s="13" t="n">
        <v>8435415030908</v>
      </c>
      <c r="O1340" s="13"/>
      <c r="P1340" s="13" t="s">
        <v>5291</v>
      </c>
      <c r="Q1340" s="13" t="s">
        <v>5289</v>
      </c>
      <c r="R1340" s="13" t="s">
        <v>5292</v>
      </c>
      <c r="S1340" s="13" t="s">
        <v>5293</v>
      </c>
      <c r="T1340" s="13" t="s">
        <v>4</v>
      </c>
      <c r="U1340" s="13" t="s">
        <v>43</v>
      </c>
      <c r="V1340" s="13" t="n">
        <f aca="false">IF(COUNTIF($B$2:B1340,B1340)=1,1,0)</f>
        <v>0</v>
      </c>
      <c r="W1340" s="13" t="n">
        <f aca="false">IF(COUNTIFS($B$2:B1340,B1340,$T$2:T1340,T1340)=1,1,0)</f>
        <v>0</v>
      </c>
    </row>
    <row r="1341" customFormat="false" ht="15" hidden="false" customHeight="false" outlineLevel="0" collapsed="false">
      <c r="A1341" s="13" t="s">
        <v>1016</v>
      </c>
      <c r="B1341" s="13" t="s">
        <v>50</v>
      </c>
      <c r="C1341" s="13" t="n">
        <v>1600</v>
      </c>
      <c r="D1341" s="13" t="n">
        <v>2</v>
      </c>
      <c r="E1341" s="13" t="n">
        <v>776</v>
      </c>
      <c r="F1341" s="13" t="s">
        <v>5288</v>
      </c>
      <c r="G1341" s="13" t="s">
        <v>5289</v>
      </c>
      <c r="H1341" s="13" t="s">
        <v>5292</v>
      </c>
      <c r="I1341" s="13" t="s">
        <v>5289</v>
      </c>
      <c r="J1341" s="13" t="s">
        <v>5289</v>
      </c>
      <c r="K1341" s="13" t="s">
        <v>5289</v>
      </c>
      <c r="L1341" s="13" t="s">
        <v>5741</v>
      </c>
      <c r="M1341" s="13"/>
      <c r="N1341" s="13" t="n">
        <v>3349668642717</v>
      </c>
      <c r="O1341" s="13"/>
      <c r="P1341" s="13" t="s">
        <v>5291</v>
      </c>
      <c r="Q1341" s="13" t="s">
        <v>5289</v>
      </c>
      <c r="R1341" s="13" t="s">
        <v>5292</v>
      </c>
      <c r="S1341" s="13" t="s">
        <v>5293</v>
      </c>
      <c r="T1341" s="13" t="s">
        <v>4</v>
      </c>
      <c r="U1341" s="13" t="s">
        <v>43</v>
      </c>
      <c r="V1341" s="13" t="n">
        <f aca="false">IF(COUNTIF($B$2:B1341,B1341)=1,1,0)</f>
        <v>0</v>
      </c>
      <c r="W1341" s="13" t="n">
        <f aca="false">IF(COUNTIFS($B$2:B1341,B1341,$T$2:T1341,T1341)=1,1,0)</f>
        <v>0</v>
      </c>
    </row>
    <row r="1342" customFormat="false" ht="15" hidden="false" customHeight="false" outlineLevel="0" collapsed="false">
      <c r="A1342" s="13" t="s">
        <v>5987</v>
      </c>
      <c r="B1342" s="13" t="s">
        <v>2110</v>
      </c>
      <c r="C1342" s="13" t="n">
        <v>1500</v>
      </c>
      <c r="D1342" s="13" t="n">
        <v>2</v>
      </c>
      <c r="E1342" s="13" t="n">
        <v>387.22</v>
      </c>
      <c r="F1342" s="13" t="s">
        <v>5325</v>
      </c>
      <c r="G1342" s="13" t="s">
        <v>5289</v>
      </c>
      <c r="H1342" s="13" t="s">
        <v>5292</v>
      </c>
      <c r="I1342" s="13" t="s">
        <v>5289</v>
      </c>
      <c r="J1342" s="13" t="s">
        <v>5289</v>
      </c>
      <c r="K1342" s="13" t="s">
        <v>5289</v>
      </c>
      <c r="L1342" s="13" t="s">
        <v>5749</v>
      </c>
      <c r="M1342" s="13"/>
      <c r="N1342" s="13" t="n">
        <v>3386460149280</v>
      </c>
      <c r="O1342" s="13"/>
      <c r="P1342" s="13" t="s">
        <v>5291</v>
      </c>
      <c r="Q1342" s="13" t="s">
        <v>5289</v>
      </c>
      <c r="R1342" s="13" t="s">
        <v>5292</v>
      </c>
      <c r="S1342" s="13" t="s">
        <v>5293</v>
      </c>
      <c r="T1342" s="13" t="s">
        <v>4</v>
      </c>
      <c r="U1342" s="13" t="s">
        <v>43</v>
      </c>
      <c r="V1342" s="13" t="n">
        <f aca="false">IF(COUNTIF($B$2:B1342,B1342)=1,1,0)</f>
        <v>0</v>
      </c>
      <c r="W1342" s="13" t="n">
        <f aca="false">IF(COUNTIFS($B$2:B1342,B1342,$T$2:T1342,T1342)=1,1,0)</f>
        <v>0</v>
      </c>
    </row>
    <row r="1343" customFormat="false" ht="15" hidden="false" customHeight="false" outlineLevel="0" collapsed="false">
      <c r="A1343" s="13" t="s">
        <v>1055</v>
      </c>
      <c r="B1343" s="13" t="s">
        <v>45</v>
      </c>
      <c r="C1343" s="13" t="n">
        <v>1500</v>
      </c>
      <c r="D1343" s="13" t="n">
        <v>2</v>
      </c>
      <c r="E1343" s="13" t="n">
        <v>771.88</v>
      </c>
      <c r="F1343" s="13" t="s">
        <v>5325</v>
      </c>
      <c r="G1343" s="13" t="s">
        <v>5289</v>
      </c>
      <c r="H1343" s="13" t="s">
        <v>5292</v>
      </c>
      <c r="I1343" s="13" t="s">
        <v>5289</v>
      </c>
      <c r="J1343" s="13" t="s">
        <v>5289</v>
      </c>
      <c r="K1343" s="13" t="s">
        <v>5289</v>
      </c>
      <c r="L1343" s="13" t="s">
        <v>5689</v>
      </c>
      <c r="M1343" s="13"/>
      <c r="N1343" s="13" t="n">
        <v>8435415032315</v>
      </c>
      <c r="O1343" s="13"/>
      <c r="P1343" s="13" t="s">
        <v>5291</v>
      </c>
      <c r="Q1343" s="13" t="s">
        <v>5289</v>
      </c>
      <c r="R1343" s="13" t="s">
        <v>5292</v>
      </c>
      <c r="S1343" s="13" t="s">
        <v>5293</v>
      </c>
      <c r="T1343" s="13" t="s">
        <v>4</v>
      </c>
      <c r="U1343" s="13" t="s">
        <v>43</v>
      </c>
      <c r="V1343" s="13" t="n">
        <f aca="false">IF(COUNTIF($B$2:B1343,B1343)=1,1,0)</f>
        <v>0</v>
      </c>
      <c r="W1343" s="13" t="n">
        <f aca="false">IF(COUNTIFS($B$2:B1343,B1343,$T$2:T1343,T1343)=1,1,0)</f>
        <v>0</v>
      </c>
    </row>
    <row r="1344" customFormat="false" ht="15" hidden="false" customHeight="false" outlineLevel="0" collapsed="false">
      <c r="A1344" s="13" t="s">
        <v>1056</v>
      </c>
      <c r="B1344" s="13" t="s">
        <v>79</v>
      </c>
      <c r="C1344" s="13" t="n">
        <v>1500</v>
      </c>
      <c r="D1344" s="13" t="n">
        <v>2</v>
      </c>
      <c r="E1344" s="13" t="n">
        <v>771.695</v>
      </c>
      <c r="F1344" s="13" t="s">
        <v>5325</v>
      </c>
      <c r="G1344" s="13" t="s">
        <v>5289</v>
      </c>
      <c r="H1344" s="13" t="s">
        <v>5292</v>
      </c>
      <c r="I1344" s="13" t="s">
        <v>5289</v>
      </c>
      <c r="J1344" s="13" t="s">
        <v>5289</v>
      </c>
      <c r="K1344" s="13" t="s">
        <v>5289</v>
      </c>
      <c r="L1344" s="13" t="s">
        <v>5988</v>
      </c>
      <c r="M1344" s="13"/>
      <c r="N1344" s="13" t="n">
        <v>3.42347302136081E+025</v>
      </c>
      <c r="O1344" s="13"/>
      <c r="P1344" s="13" t="s">
        <v>5291</v>
      </c>
      <c r="Q1344" s="13" t="s">
        <v>5289</v>
      </c>
      <c r="R1344" s="13" t="s">
        <v>5292</v>
      </c>
      <c r="S1344" s="13" t="s">
        <v>5293</v>
      </c>
      <c r="T1344" s="13" t="s">
        <v>4</v>
      </c>
      <c r="U1344" s="13" t="s">
        <v>43</v>
      </c>
      <c r="V1344" s="13" t="n">
        <f aca="false">IF(COUNTIF($B$2:B1344,B1344)=1,1,0)</f>
        <v>0</v>
      </c>
      <c r="W1344" s="13" t="n">
        <f aca="false">IF(COUNTIFS($B$2:B1344,B1344,$T$2:T1344,T1344)=1,1,0)</f>
        <v>0</v>
      </c>
    </row>
    <row r="1345" customFormat="false" ht="15" hidden="false" customHeight="false" outlineLevel="0" collapsed="false">
      <c r="A1345" s="13" t="s">
        <v>3582</v>
      </c>
      <c r="B1345" s="13" t="s">
        <v>2143</v>
      </c>
      <c r="C1345" s="13" t="n">
        <v>1500</v>
      </c>
      <c r="D1345" s="13" t="n">
        <v>2</v>
      </c>
      <c r="E1345" s="13" t="n">
        <v>509.86</v>
      </c>
      <c r="F1345" s="13" t="s">
        <v>5288</v>
      </c>
      <c r="G1345" s="13" t="s">
        <v>5292</v>
      </c>
      <c r="H1345" s="13" t="s">
        <v>5292</v>
      </c>
      <c r="I1345" s="13" t="s">
        <v>5289</v>
      </c>
      <c r="J1345" s="13" t="s">
        <v>5289</v>
      </c>
      <c r="K1345" s="13" t="s">
        <v>5289</v>
      </c>
      <c r="L1345" s="13" t="s">
        <v>5989</v>
      </c>
      <c r="M1345" s="13"/>
      <c r="N1345" s="13" t="n">
        <v>3274872423336</v>
      </c>
      <c r="O1345" s="13"/>
      <c r="P1345" s="13" t="s">
        <v>5291</v>
      </c>
      <c r="Q1345" s="13" t="s">
        <v>5289</v>
      </c>
      <c r="R1345" s="13" t="s">
        <v>5292</v>
      </c>
      <c r="S1345" s="13" t="s">
        <v>5293</v>
      </c>
      <c r="T1345" s="13" t="s">
        <v>4</v>
      </c>
      <c r="U1345" s="13" t="s">
        <v>43</v>
      </c>
      <c r="V1345" s="13" t="n">
        <f aca="false">IF(COUNTIF($B$2:B1345,B1345)=1,1,0)</f>
        <v>0</v>
      </c>
      <c r="W1345" s="13" t="n">
        <f aca="false">IF(COUNTIFS($B$2:B1345,B1345,$T$2:T1345,T1345)=1,1,0)</f>
        <v>1</v>
      </c>
    </row>
    <row r="1346" customFormat="false" ht="15" hidden="false" customHeight="false" outlineLevel="0" collapsed="false">
      <c r="A1346" s="13" t="s">
        <v>237</v>
      </c>
      <c r="B1346" s="13" t="s">
        <v>42</v>
      </c>
      <c r="C1346" s="13" t="n">
        <v>1500</v>
      </c>
      <c r="D1346" s="13" t="n">
        <v>2</v>
      </c>
      <c r="E1346" s="13" t="n">
        <v>764.15</v>
      </c>
      <c r="F1346" s="13" t="s">
        <v>5288</v>
      </c>
      <c r="G1346" s="13" t="s">
        <v>5289</v>
      </c>
      <c r="H1346" s="13" t="s">
        <v>5292</v>
      </c>
      <c r="I1346" s="13" t="s">
        <v>5289</v>
      </c>
      <c r="J1346" s="13" t="s">
        <v>5289</v>
      </c>
      <c r="K1346" s="13" t="s">
        <v>5289</v>
      </c>
      <c r="L1346" s="13" t="s">
        <v>5674</v>
      </c>
      <c r="M1346" s="13"/>
      <c r="N1346" s="13" t="n">
        <v>8411061067895</v>
      </c>
      <c r="O1346" s="13"/>
      <c r="P1346" s="13" t="s">
        <v>5291</v>
      </c>
      <c r="Q1346" s="13" t="s">
        <v>5289</v>
      </c>
      <c r="R1346" s="13" t="s">
        <v>5292</v>
      </c>
      <c r="S1346" s="13" t="s">
        <v>5293</v>
      </c>
      <c r="T1346" s="13" t="s">
        <v>4</v>
      </c>
      <c r="U1346" s="13" t="s">
        <v>43</v>
      </c>
      <c r="V1346" s="13" t="n">
        <f aca="false">IF(COUNTIF($B$2:B1346,B1346)=1,1,0)</f>
        <v>0</v>
      </c>
      <c r="W1346" s="13" t="n">
        <f aca="false">IF(COUNTIFS($B$2:B1346,B1346,$T$2:T1346,T1346)=1,1,0)</f>
        <v>0</v>
      </c>
    </row>
    <row r="1347" customFormat="false" ht="15" hidden="false" customHeight="false" outlineLevel="0" collapsed="false">
      <c r="A1347" s="13" t="s">
        <v>436</v>
      </c>
      <c r="B1347" s="13" t="s">
        <v>45</v>
      </c>
      <c r="C1347" s="13" t="n">
        <v>1500</v>
      </c>
      <c r="D1347" s="13" t="n">
        <v>2</v>
      </c>
      <c r="E1347" s="13" t="n">
        <v>764.15</v>
      </c>
      <c r="F1347" s="13" t="s">
        <v>5288</v>
      </c>
      <c r="G1347" s="13" t="s">
        <v>5292</v>
      </c>
      <c r="H1347" s="13" t="s">
        <v>5289</v>
      </c>
      <c r="I1347" s="13" t="s">
        <v>5289</v>
      </c>
      <c r="J1347" s="13" t="s">
        <v>5289</v>
      </c>
      <c r="K1347" s="13" t="s">
        <v>5289</v>
      </c>
      <c r="L1347" s="13" t="s">
        <v>5990</v>
      </c>
      <c r="M1347" s="13"/>
      <c r="N1347" s="13" t="n">
        <v>8435415091275</v>
      </c>
      <c r="O1347" s="13"/>
      <c r="P1347" s="13" t="s">
        <v>5291</v>
      </c>
      <c r="Q1347" s="13" t="s">
        <v>5289</v>
      </c>
      <c r="R1347" s="13" t="s">
        <v>5292</v>
      </c>
      <c r="S1347" s="13" t="s">
        <v>5293</v>
      </c>
      <c r="T1347" s="13" t="s">
        <v>4</v>
      </c>
      <c r="U1347" s="13" t="s">
        <v>43</v>
      </c>
      <c r="V1347" s="13" t="n">
        <f aca="false">IF(COUNTIF($B$2:B1347,B1347)=1,1,0)</f>
        <v>0</v>
      </c>
      <c r="W1347" s="13" t="n">
        <f aca="false">IF(COUNTIFS($B$2:B1347,B1347,$T$2:T1347,T1347)=1,1,0)</f>
        <v>0</v>
      </c>
    </row>
    <row r="1348" customFormat="false" ht="15" hidden="false" customHeight="false" outlineLevel="0" collapsed="false">
      <c r="A1348" s="13" t="s">
        <v>1028</v>
      </c>
      <c r="B1348" s="13" t="s">
        <v>50</v>
      </c>
      <c r="C1348" s="13" t="n">
        <v>1500</v>
      </c>
      <c r="D1348" s="13" t="n">
        <v>2</v>
      </c>
      <c r="E1348" s="13" t="n">
        <v>381.81</v>
      </c>
      <c r="F1348" s="13" t="s">
        <v>5288</v>
      </c>
      <c r="G1348" s="13" t="s">
        <v>5292</v>
      </c>
      <c r="H1348" s="13" t="s">
        <v>5289</v>
      </c>
      <c r="I1348" s="13" t="s">
        <v>5289</v>
      </c>
      <c r="J1348" s="13" t="s">
        <v>5289</v>
      </c>
      <c r="K1348" s="13" t="s">
        <v>5289</v>
      </c>
      <c r="L1348" s="13" t="s">
        <v>5991</v>
      </c>
      <c r="M1348" s="13"/>
      <c r="N1348" s="13" t="n">
        <v>3349668555123</v>
      </c>
      <c r="O1348" s="13"/>
      <c r="P1348" s="13" t="s">
        <v>5291</v>
      </c>
      <c r="Q1348" s="13" t="s">
        <v>5289</v>
      </c>
      <c r="R1348" s="13" t="s">
        <v>5292</v>
      </c>
      <c r="S1348" s="13" t="s">
        <v>5293</v>
      </c>
      <c r="T1348" s="13" t="s">
        <v>4</v>
      </c>
      <c r="U1348" s="13" t="s">
        <v>43</v>
      </c>
      <c r="V1348" s="13" t="n">
        <f aca="false">IF(COUNTIF($B$2:B1348,B1348)=1,1,0)</f>
        <v>0</v>
      </c>
      <c r="W1348" s="13" t="n">
        <f aca="false">IF(COUNTIFS($B$2:B1348,B1348,$T$2:T1348,T1348)=1,1,0)</f>
        <v>0</v>
      </c>
    </row>
    <row r="1349" customFormat="false" ht="15" hidden="false" customHeight="false" outlineLevel="0" collapsed="false">
      <c r="A1349" s="13" t="s">
        <v>3578</v>
      </c>
      <c r="B1349" s="13" t="s">
        <v>2133</v>
      </c>
      <c r="C1349" s="13" t="n">
        <v>1500</v>
      </c>
      <c r="D1349" s="13" t="n">
        <v>2</v>
      </c>
      <c r="E1349" s="13" t="n">
        <v>507.65</v>
      </c>
      <c r="F1349" s="13" t="s">
        <v>5288</v>
      </c>
      <c r="G1349" s="13" t="s">
        <v>5289</v>
      </c>
      <c r="H1349" s="13" t="s">
        <v>5292</v>
      </c>
      <c r="I1349" s="13" t="s">
        <v>5289</v>
      </c>
      <c r="J1349" s="13" t="s">
        <v>5289</v>
      </c>
      <c r="K1349" s="13" t="s">
        <v>5289</v>
      </c>
      <c r="L1349" s="13" t="s">
        <v>5992</v>
      </c>
      <c r="M1349" s="13"/>
      <c r="N1349" s="13" t="n">
        <v>783320420627</v>
      </c>
      <c r="O1349" s="13"/>
      <c r="P1349" s="13" t="s">
        <v>5297</v>
      </c>
      <c r="Q1349" s="13" t="s">
        <v>5289</v>
      </c>
      <c r="R1349" s="13" t="s">
        <v>5292</v>
      </c>
      <c r="S1349" s="13" t="s">
        <v>5293</v>
      </c>
      <c r="T1349" s="13" t="s">
        <v>4</v>
      </c>
      <c r="U1349" s="13" t="s">
        <v>43</v>
      </c>
      <c r="V1349" s="13" t="n">
        <f aca="false">IF(COUNTIF($B$2:B1349,B1349)=1,1,0)</f>
        <v>0</v>
      </c>
      <c r="W1349" s="13" t="n">
        <f aca="false">IF(COUNTIFS($B$2:B1349,B1349,$T$2:T1349,T1349)=1,1,0)</f>
        <v>0</v>
      </c>
    </row>
    <row r="1350" customFormat="false" ht="15" hidden="false" customHeight="false" outlineLevel="0" collapsed="false">
      <c r="A1350" s="13" t="s">
        <v>1044</v>
      </c>
      <c r="B1350" s="13" t="s">
        <v>177</v>
      </c>
      <c r="C1350" s="13" t="n">
        <v>1500</v>
      </c>
      <c r="D1350" s="13" t="n">
        <v>2</v>
      </c>
      <c r="E1350" s="13" t="n">
        <v>760.315</v>
      </c>
      <c r="F1350" s="13" t="s">
        <v>5325</v>
      </c>
      <c r="G1350" s="13" t="s">
        <v>5292</v>
      </c>
      <c r="H1350" s="13" t="s">
        <v>5292</v>
      </c>
      <c r="I1350" s="13" t="s">
        <v>5289</v>
      </c>
      <c r="J1350" s="13" t="s">
        <v>5289</v>
      </c>
      <c r="K1350" s="13" t="s">
        <v>5289</v>
      </c>
      <c r="L1350" s="13" t="s">
        <v>5993</v>
      </c>
      <c r="M1350" s="13"/>
      <c r="N1350" s="13" t="n">
        <v>3616303470791</v>
      </c>
      <c r="O1350" s="13"/>
      <c r="P1350" s="13" t="s">
        <v>5291</v>
      </c>
      <c r="Q1350" s="13" t="s">
        <v>5289</v>
      </c>
      <c r="R1350" s="13" t="s">
        <v>5292</v>
      </c>
      <c r="S1350" s="13" t="s">
        <v>5293</v>
      </c>
      <c r="T1350" s="13" t="s">
        <v>4</v>
      </c>
      <c r="U1350" s="13" t="s">
        <v>43</v>
      </c>
      <c r="V1350" s="13" t="n">
        <f aca="false">IF(COUNTIF($B$2:B1350,B1350)=1,1,0)</f>
        <v>0</v>
      </c>
      <c r="W1350" s="13" t="n">
        <f aca="false">IF(COUNTIFS($B$2:B1350,B1350,$T$2:T1350,T1350)=1,1,0)</f>
        <v>0</v>
      </c>
    </row>
    <row r="1351" customFormat="false" ht="15" hidden="false" customHeight="false" outlineLevel="0" collapsed="false">
      <c r="A1351" s="13" t="s">
        <v>1053</v>
      </c>
      <c r="B1351" s="13" t="s">
        <v>45</v>
      </c>
      <c r="C1351" s="13" t="n">
        <v>1500</v>
      </c>
      <c r="D1351" s="13" t="n">
        <v>2</v>
      </c>
      <c r="E1351" s="13" t="n">
        <v>756.8</v>
      </c>
      <c r="F1351" s="13" t="s">
        <v>5288</v>
      </c>
      <c r="G1351" s="13" t="s">
        <v>5289</v>
      </c>
      <c r="H1351" s="13" t="s">
        <v>5292</v>
      </c>
      <c r="I1351" s="13" t="s">
        <v>5289</v>
      </c>
      <c r="J1351" s="13" t="s">
        <v>5289</v>
      </c>
      <c r="K1351" s="13" t="s">
        <v>5289</v>
      </c>
      <c r="L1351" s="13" t="s">
        <v>5994</v>
      </c>
      <c r="M1351" s="13"/>
      <c r="N1351" s="13" t="n">
        <v>8435415062190</v>
      </c>
      <c r="O1351" s="13"/>
      <c r="P1351" s="13" t="s">
        <v>5291</v>
      </c>
      <c r="Q1351" s="13" t="s">
        <v>5289</v>
      </c>
      <c r="R1351" s="13" t="s">
        <v>5292</v>
      </c>
      <c r="S1351" s="13" t="s">
        <v>5293</v>
      </c>
      <c r="T1351" s="13" t="s">
        <v>4</v>
      </c>
      <c r="U1351" s="13" t="s">
        <v>43</v>
      </c>
      <c r="V1351" s="13" t="n">
        <f aca="false">IF(COUNTIF($B$2:B1351,B1351)=1,1,0)</f>
        <v>0</v>
      </c>
      <c r="W1351" s="13" t="n">
        <f aca="false">IF(COUNTIFS($B$2:B1351,B1351,$T$2:T1351,T1351)=1,1,0)</f>
        <v>0</v>
      </c>
    </row>
    <row r="1352" customFormat="false" ht="15" hidden="false" customHeight="false" outlineLevel="0" collapsed="false">
      <c r="A1352" s="13" t="s">
        <v>1054</v>
      </c>
      <c r="B1352" s="13" t="s">
        <v>42</v>
      </c>
      <c r="C1352" s="13" t="n">
        <v>1500</v>
      </c>
      <c r="D1352" s="13" t="n">
        <v>2</v>
      </c>
      <c r="E1352" s="13" t="n">
        <v>752.79</v>
      </c>
      <c r="F1352" s="13" t="s">
        <v>5288</v>
      </c>
      <c r="G1352" s="13" t="s">
        <v>5289</v>
      </c>
      <c r="H1352" s="13" t="s">
        <v>5292</v>
      </c>
      <c r="I1352" s="13" t="s">
        <v>5289</v>
      </c>
      <c r="J1352" s="13" t="s">
        <v>5289</v>
      </c>
      <c r="K1352" s="13" t="s">
        <v>5289</v>
      </c>
      <c r="L1352" s="13" t="s">
        <v>5661</v>
      </c>
      <c r="M1352" s="13"/>
      <c r="N1352" s="13" t="n">
        <v>8.41106113445084E+025</v>
      </c>
      <c r="O1352" s="13"/>
      <c r="P1352" s="13" t="s">
        <v>5291</v>
      </c>
      <c r="Q1352" s="13" t="s">
        <v>5289</v>
      </c>
      <c r="R1352" s="13" t="s">
        <v>5292</v>
      </c>
      <c r="S1352" s="13" t="s">
        <v>5293</v>
      </c>
      <c r="T1352" s="13" t="s">
        <v>4</v>
      </c>
      <c r="U1352" s="13" t="s">
        <v>43</v>
      </c>
      <c r="V1352" s="13" t="n">
        <f aca="false">IF(COUNTIF($B$2:B1352,B1352)=1,1,0)</f>
        <v>0</v>
      </c>
      <c r="W1352" s="13" t="n">
        <f aca="false">IF(COUNTIFS($B$2:B1352,B1352,$T$2:T1352,T1352)=1,1,0)</f>
        <v>0</v>
      </c>
    </row>
    <row r="1353" customFormat="false" ht="15" hidden="false" customHeight="false" outlineLevel="0" collapsed="false">
      <c r="A1353" s="13" t="s">
        <v>785</v>
      </c>
      <c r="B1353" s="13" t="s">
        <v>50</v>
      </c>
      <c r="C1353" s="13" t="n">
        <v>1500</v>
      </c>
      <c r="D1353" s="13" t="n">
        <v>2</v>
      </c>
      <c r="E1353" s="13" t="n">
        <v>750</v>
      </c>
      <c r="F1353" s="13" t="s">
        <v>5288</v>
      </c>
      <c r="G1353" s="13" t="s">
        <v>5289</v>
      </c>
      <c r="H1353" s="13" t="s">
        <v>5292</v>
      </c>
      <c r="I1353" s="13" t="s">
        <v>5289</v>
      </c>
      <c r="J1353" s="13" t="s">
        <v>5289</v>
      </c>
      <c r="K1353" s="13" t="s">
        <v>5289</v>
      </c>
      <c r="L1353" s="13" t="s">
        <v>5663</v>
      </c>
      <c r="M1353" s="13"/>
      <c r="N1353" s="13" t="n">
        <v>3349668614530</v>
      </c>
      <c r="O1353" s="13"/>
      <c r="P1353" s="13" t="s">
        <v>5291</v>
      </c>
      <c r="Q1353" s="13" t="s">
        <v>5289</v>
      </c>
      <c r="R1353" s="13" t="s">
        <v>5292</v>
      </c>
      <c r="S1353" s="13" t="s">
        <v>5293</v>
      </c>
      <c r="T1353" s="13" t="s">
        <v>4</v>
      </c>
      <c r="U1353" s="13" t="s">
        <v>43</v>
      </c>
      <c r="V1353" s="13" t="n">
        <f aca="false">IF(COUNTIF($B$2:B1353,B1353)=1,1,0)</f>
        <v>0</v>
      </c>
      <c r="W1353" s="13" t="n">
        <f aca="false">IF(COUNTIFS($B$2:B1353,B1353,$T$2:T1353,T1353)=1,1,0)</f>
        <v>0</v>
      </c>
    </row>
    <row r="1354" customFormat="false" ht="15" hidden="false" customHeight="false" outlineLevel="0" collapsed="false">
      <c r="A1354" s="13" t="s">
        <v>1043</v>
      </c>
      <c r="B1354" s="13" t="s">
        <v>42</v>
      </c>
      <c r="C1354" s="13" t="n">
        <v>1500</v>
      </c>
      <c r="D1354" s="13" t="n">
        <v>2</v>
      </c>
      <c r="E1354" s="13" t="n">
        <v>747.065</v>
      </c>
      <c r="F1354" s="13" t="s">
        <v>5325</v>
      </c>
      <c r="G1354" s="13" t="s">
        <v>5289</v>
      </c>
      <c r="H1354" s="13" t="s">
        <v>5292</v>
      </c>
      <c r="I1354" s="13" t="s">
        <v>5289</v>
      </c>
      <c r="J1354" s="13" t="s">
        <v>5289</v>
      </c>
      <c r="K1354" s="13" t="s">
        <v>5289</v>
      </c>
      <c r="L1354" s="13" t="s">
        <v>5670</v>
      </c>
      <c r="M1354" s="13"/>
      <c r="N1354" s="13" t="n">
        <v>8411061088173</v>
      </c>
      <c r="O1354" s="13"/>
      <c r="P1354" s="13" t="s">
        <v>5291</v>
      </c>
      <c r="Q1354" s="13" t="s">
        <v>5289</v>
      </c>
      <c r="R1354" s="13" t="s">
        <v>5292</v>
      </c>
      <c r="S1354" s="13" t="s">
        <v>5293</v>
      </c>
      <c r="T1354" s="13" t="s">
        <v>4</v>
      </c>
      <c r="U1354" s="13" t="s">
        <v>43</v>
      </c>
      <c r="V1354" s="13" t="n">
        <f aca="false">IF(COUNTIF($B$2:B1354,B1354)=1,1,0)</f>
        <v>0</v>
      </c>
      <c r="W1354" s="13" t="n">
        <f aca="false">IF(COUNTIFS($B$2:B1354,B1354,$T$2:T1354,T1354)=1,1,0)</f>
        <v>0</v>
      </c>
    </row>
    <row r="1355" customFormat="false" ht="15" hidden="false" customHeight="false" outlineLevel="0" collapsed="false">
      <c r="A1355" s="13" t="s">
        <v>1045</v>
      </c>
      <c r="B1355" s="13" t="s">
        <v>161</v>
      </c>
      <c r="C1355" s="13" t="n">
        <v>1500</v>
      </c>
      <c r="D1355" s="13" t="n">
        <v>2</v>
      </c>
      <c r="E1355" s="13" t="n">
        <v>373.45</v>
      </c>
      <c r="F1355" s="13" t="s">
        <v>5288</v>
      </c>
      <c r="G1355" s="13" t="s">
        <v>5289</v>
      </c>
      <c r="H1355" s="13" t="s">
        <v>5292</v>
      </c>
      <c r="I1355" s="13" t="s">
        <v>5289</v>
      </c>
      <c r="J1355" s="13" t="s">
        <v>5289</v>
      </c>
      <c r="K1355" s="13" t="s">
        <v>5289</v>
      </c>
      <c r="L1355" s="13" t="s">
        <v>5746</v>
      </c>
      <c r="M1355" s="13"/>
      <c r="N1355" s="13" t="n">
        <v>3355991004665</v>
      </c>
      <c r="O1355" s="13"/>
      <c r="P1355" s="13" t="s">
        <v>5291</v>
      </c>
      <c r="Q1355" s="13" t="s">
        <v>5289</v>
      </c>
      <c r="R1355" s="13" t="s">
        <v>5292</v>
      </c>
      <c r="S1355" s="13" t="s">
        <v>5293</v>
      </c>
      <c r="T1355" s="13" t="s">
        <v>4</v>
      </c>
      <c r="U1355" s="13" t="s">
        <v>43</v>
      </c>
      <c r="V1355" s="13" t="n">
        <f aca="false">IF(COUNTIF($B$2:B1355,B1355)=1,1,0)</f>
        <v>0</v>
      </c>
      <c r="W1355" s="13" t="n">
        <f aca="false">IF(COUNTIFS($B$2:B1355,B1355,$T$2:T1355,T1355)=1,1,0)</f>
        <v>0</v>
      </c>
    </row>
    <row r="1356" customFormat="false" ht="15" hidden="false" customHeight="false" outlineLevel="0" collapsed="false">
      <c r="A1356" s="13" t="s">
        <v>5995</v>
      </c>
      <c r="B1356" s="13" t="s">
        <v>2205</v>
      </c>
      <c r="C1356" s="13" t="n">
        <v>1500</v>
      </c>
      <c r="D1356" s="13" t="n">
        <v>5</v>
      </c>
      <c r="E1356" s="13" t="n">
        <v>245.736666666667</v>
      </c>
      <c r="F1356" s="13" t="s">
        <v>5288</v>
      </c>
      <c r="G1356" s="13" t="s">
        <v>5289</v>
      </c>
      <c r="H1356" s="13" t="s">
        <v>5292</v>
      </c>
      <c r="I1356" s="13" t="s">
        <v>5289</v>
      </c>
      <c r="J1356" s="13" t="s">
        <v>5289</v>
      </c>
      <c r="K1356" s="13" t="s">
        <v>5289</v>
      </c>
      <c r="L1356" s="13" t="s">
        <v>5979</v>
      </c>
      <c r="M1356" s="13"/>
      <c r="N1356" s="13" t="n">
        <v>7640111494027</v>
      </c>
      <c r="O1356" s="13"/>
      <c r="P1356" s="13" t="s">
        <v>5291</v>
      </c>
      <c r="Q1356" s="13" t="s">
        <v>5289</v>
      </c>
      <c r="R1356" s="13" t="s">
        <v>5292</v>
      </c>
      <c r="S1356" s="13" t="s">
        <v>5293</v>
      </c>
      <c r="T1356" s="13" t="s">
        <v>4</v>
      </c>
      <c r="U1356" s="13" t="s">
        <v>85</v>
      </c>
      <c r="V1356" s="13" t="n">
        <f aca="false">IF(COUNTIF($B$2:B1356,B1356)=1,1,0)</f>
        <v>0</v>
      </c>
      <c r="W1356" s="13" t="n">
        <f aca="false">IF(COUNTIFS($B$2:B1356,B1356,$T$2:T1356,T1356)=1,1,0)</f>
        <v>0</v>
      </c>
    </row>
    <row r="1357" customFormat="false" ht="15" hidden="false" customHeight="false" outlineLevel="0" collapsed="false">
      <c r="A1357" s="13" t="s">
        <v>1041</v>
      </c>
      <c r="B1357" s="13" t="s">
        <v>45</v>
      </c>
      <c r="C1357" s="13" t="n">
        <v>1500</v>
      </c>
      <c r="D1357" s="13" t="n">
        <v>2</v>
      </c>
      <c r="E1357" s="13" t="n">
        <v>735.56</v>
      </c>
      <c r="F1357" s="13" t="s">
        <v>5325</v>
      </c>
      <c r="G1357" s="13" t="s">
        <v>5292</v>
      </c>
      <c r="H1357" s="13" t="s">
        <v>5292</v>
      </c>
      <c r="I1357" s="13" t="s">
        <v>5289</v>
      </c>
      <c r="J1357" s="13" t="s">
        <v>5289</v>
      </c>
      <c r="K1357" s="13" t="s">
        <v>5289</v>
      </c>
      <c r="L1357" s="13" t="s">
        <v>5687</v>
      </c>
      <c r="M1357" s="13"/>
      <c r="N1357" s="13" t="n">
        <v>8435415091169</v>
      </c>
      <c r="O1357" s="13"/>
      <c r="P1357" s="13" t="s">
        <v>5291</v>
      </c>
      <c r="Q1357" s="13" t="s">
        <v>5289</v>
      </c>
      <c r="R1357" s="13" t="s">
        <v>5292</v>
      </c>
      <c r="S1357" s="13" t="s">
        <v>5293</v>
      </c>
      <c r="T1357" s="13" t="s">
        <v>4</v>
      </c>
      <c r="U1357" s="13" t="s">
        <v>43</v>
      </c>
      <c r="V1357" s="13" t="n">
        <f aca="false">IF(COUNTIF($B$2:B1357,B1357)=1,1,0)</f>
        <v>0</v>
      </c>
      <c r="W1357" s="13" t="n">
        <f aca="false">IF(COUNTIFS($B$2:B1357,B1357,$T$2:T1357,T1357)=1,1,0)</f>
        <v>0</v>
      </c>
    </row>
    <row r="1358" customFormat="false" ht="15" hidden="false" customHeight="false" outlineLevel="0" collapsed="false">
      <c r="A1358" s="13" t="s">
        <v>1042</v>
      </c>
      <c r="B1358" s="13" t="s">
        <v>42</v>
      </c>
      <c r="C1358" s="13" t="n">
        <v>1500</v>
      </c>
      <c r="D1358" s="13" t="n">
        <v>2</v>
      </c>
      <c r="E1358" s="13" t="n">
        <v>733.18</v>
      </c>
      <c r="F1358" s="13" t="s">
        <v>5288</v>
      </c>
      <c r="G1358" s="13" t="s">
        <v>5292</v>
      </c>
      <c r="H1358" s="13" t="s">
        <v>5289</v>
      </c>
      <c r="I1358" s="13" t="s">
        <v>5289</v>
      </c>
      <c r="J1358" s="13" t="s">
        <v>5289</v>
      </c>
      <c r="K1358" s="13" t="s">
        <v>5289</v>
      </c>
      <c r="L1358" s="13" t="s">
        <v>5996</v>
      </c>
      <c r="M1358" s="13"/>
      <c r="N1358" s="13" t="n">
        <v>8411061113851</v>
      </c>
      <c r="O1358" s="13"/>
      <c r="P1358" s="13" t="s">
        <v>5291</v>
      </c>
      <c r="Q1358" s="13" t="s">
        <v>5289</v>
      </c>
      <c r="R1358" s="13" t="s">
        <v>5292</v>
      </c>
      <c r="S1358" s="13" t="s">
        <v>5293</v>
      </c>
      <c r="T1358" s="13" t="s">
        <v>4</v>
      </c>
      <c r="U1358" s="13" t="s">
        <v>43</v>
      </c>
      <c r="V1358" s="13" t="n">
        <f aca="false">IF(COUNTIF($B$2:B1358,B1358)=1,1,0)</f>
        <v>0</v>
      </c>
      <c r="W1358" s="13" t="n">
        <f aca="false">IF(COUNTIFS($B$2:B1358,B1358,$T$2:T1358,T1358)=1,1,0)</f>
        <v>0</v>
      </c>
    </row>
    <row r="1359" customFormat="false" ht="15" hidden="false" customHeight="false" outlineLevel="0" collapsed="false">
      <c r="A1359" s="13" t="s">
        <v>460</v>
      </c>
      <c r="B1359" s="13" t="s">
        <v>42</v>
      </c>
      <c r="C1359" s="13" t="n">
        <v>1500</v>
      </c>
      <c r="D1359" s="13" t="n">
        <v>2</v>
      </c>
      <c r="E1359" s="13" t="n">
        <v>730.14</v>
      </c>
      <c r="F1359" s="13" t="s">
        <v>5288</v>
      </c>
      <c r="G1359" s="13" t="s">
        <v>5292</v>
      </c>
      <c r="H1359" s="13" t="s">
        <v>5289</v>
      </c>
      <c r="I1359" s="13" t="s">
        <v>5289</v>
      </c>
      <c r="J1359" s="13" t="s">
        <v>5289</v>
      </c>
      <c r="K1359" s="13" t="s">
        <v>5289</v>
      </c>
      <c r="L1359" s="13" t="s">
        <v>5997</v>
      </c>
      <c r="M1359" s="13"/>
      <c r="N1359" s="13" t="n">
        <v>8.41106105705684E+025</v>
      </c>
      <c r="O1359" s="13"/>
      <c r="P1359" s="13" t="s">
        <v>5291</v>
      </c>
      <c r="Q1359" s="13" t="s">
        <v>5289</v>
      </c>
      <c r="R1359" s="13" t="s">
        <v>5292</v>
      </c>
      <c r="S1359" s="13" t="s">
        <v>5293</v>
      </c>
      <c r="T1359" s="13" t="s">
        <v>4</v>
      </c>
      <c r="U1359" s="13" t="s">
        <v>43</v>
      </c>
      <c r="V1359" s="13" t="n">
        <f aca="false">IF(COUNTIF($B$2:B1359,B1359)=1,1,0)</f>
        <v>0</v>
      </c>
      <c r="W1359" s="13" t="n">
        <f aca="false">IF(COUNTIFS($B$2:B1359,B1359,$T$2:T1359,T1359)=1,1,0)</f>
        <v>0</v>
      </c>
    </row>
    <row r="1360" customFormat="false" ht="15" hidden="false" customHeight="false" outlineLevel="0" collapsed="false">
      <c r="A1360" s="13" t="s">
        <v>1039</v>
      </c>
      <c r="B1360" s="13" t="s">
        <v>153</v>
      </c>
      <c r="C1360" s="13" t="n">
        <v>1500</v>
      </c>
      <c r="D1360" s="13" t="n">
        <v>2</v>
      </c>
      <c r="E1360" s="13" t="n">
        <v>727.55</v>
      </c>
      <c r="F1360" s="13" t="s">
        <v>5325</v>
      </c>
      <c r="G1360" s="13" t="s">
        <v>5289</v>
      </c>
      <c r="H1360" s="13" t="s">
        <v>5292</v>
      </c>
      <c r="I1360" s="13" t="s">
        <v>5289</v>
      </c>
      <c r="J1360" s="13" t="s">
        <v>5289</v>
      </c>
      <c r="K1360" s="13" t="s">
        <v>5289</v>
      </c>
      <c r="L1360" s="13" t="s">
        <v>5998</v>
      </c>
      <c r="M1360" s="13"/>
      <c r="N1360" s="13" t="n">
        <v>8011003803132</v>
      </c>
      <c r="O1360" s="13"/>
      <c r="P1360" s="13" t="s">
        <v>5297</v>
      </c>
      <c r="Q1360" s="13" t="s">
        <v>5289</v>
      </c>
      <c r="R1360" s="13" t="s">
        <v>5292</v>
      </c>
      <c r="S1360" s="13" t="s">
        <v>5293</v>
      </c>
      <c r="T1360" s="13" t="s">
        <v>4</v>
      </c>
      <c r="U1360" s="13" t="s">
        <v>43</v>
      </c>
      <c r="V1360" s="13" t="n">
        <f aca="false">IF(COUNTIF($B$2:B1360,B1360)=1,1,0)</f>
        <v>0</v>
      </c>
      <c r="W1360" s="13" t="n">
        <f aca="false">IF(COUNTIFS($B$2:B1360,B1360,$T$2:T1360,T1360)=1,1,0)</f>
        <v>0</v>
      </c>
    </row>
    <row r="1361" customFormat="false" ht="15" hidden="false" customHeight="false" outlineLevel="0" collapsed="false">
      <c r="A1361" s="13" t="s">
        <v>1099</v>
      </c>
      <c r="B1361" s="13" t="s">
        <v>45</v>
      </c>
      <c r="C1361" s="13" t="n">
        <v>1400</v>
      </c>
      <c r="D1361" s="13" t="n">
        <v>5</v>
      </c>
      <c r="E1361" s="13" t="n">
        <v>239.41</v>
      </c>
      <c r="F1361" s="13" t="s">
        <v>5288</v>
      </c>
      <c r="G1361" s="13" t="s">
        <v>5292</v>
      </c>
      <c r="H1361" s="13" t="s">
        <v>5289</v>
      </c>
      <c r="I1361" s="13" t="s">
        <v>5289</v>
      </c>
      <c r="J1361" s="13" t="s">
        <v>5289</v>
      </c>
      <c r="K1361" s="13" t="s">
        <v>5289</v>
      </c>
      <c r="L1361" s="13" t="s">
        <v>5999</v>
      </c>
      <c r="M1361" s="13"/>
      <c r="N1361" s="13" t="n">
        <v>8435415012843</v>
      </c>
      <c r="O1361" s="13"/>
      <c r="P1361" s="13" t="s">
        <v>5291</v>
      </c>
      <c r="Q1361" s="13" t="s">
        <v>5289</v>
      </c>
      <c r="R1361" s="13" t="s">
        <v>5292</v>
      </c>
      <c r="S1361" s="13" t="s">
        <v>5293</v>
      </c>
      <c r="T1361" s="13" t="s">
        <v>4</v>
      </c>
      <c r="U1361" s="13" t="s">
        <v>43</v>
      </c>
      <c r="V1361" s="13" t="n">
        <f aca="false">IF(COUNTIF($B$2:B1361,B1361)=1,1,0)</f>
        <v>0</v>
      </c>
      <c r="W1361" s="13" t="n">
        <f aca="false">IF(COUNTIFS($B$2:B1361,B1361,$T$2:T1361,T1361)=1,1,0)</f>
        <v>0</v>
      </c>
    </row>
    <row r="1362" customFormat="false" ht="15" hidden="false" customHeight="false" outlineLevel="0" collapsed="false">
      <c r="A1362" s="13" t="s">
        <v>1100</v>
      </c>
      <c r="B1362" s="13" t="s">
        <v>341</v>
      </c>
      <c r="C1362" s="13" t="n">
        <v>1400</v>
      </c>
      <c r="D1362" s="13" t="n">
        <v>5</v>
      </c>
      <c r="E1362" s="13" t="n">
        <v>179.07375</v>
      </c>
      <c r="F1362" s="13" t="s">
        <v>5325</v>
      </c>
      <c r="G1362" s="13" t="s">
        <v>5292</v>
      </c>
      <c r="H1362" s="13" t="s">
        <v>5292</v>
      </c>
      <c r="I1362" s="13" t="s">
        <v>5289</v>
      </c>
      <c r="J1362" s="13" t="s">
        <v>5289</v>
      </c>
      <c r="K1362" s="13" t="s">
        <v>5289</v>
      </c>
      <c r="L1362" s="13" t="s">
        <v>5947</v>
      </c>
      <c r="M1362" s="13"/>
      <c r="N1362" s="13" t="n">
        <v>4011700740062</v>
      </c>
      <c r="O1362" s="13"/>
      <c r="P1362" s="13" t="s">
        <v>5291</v>
      </c>
      <c r="Q1362" s="13" t="s">
        <v>5289</v>
      </c>
      <c r="R1362" s="13" t="s">
        <v>5292</v>
      </c>
      <c r="S1362" s="13" t="s">
        <v>5293</v>
      </c>
      <c r="T1362" s="13" t="s">
        <v>4</v>
      </c>
      <c r="U1362" s="13" t="s">
        <v>85</v>
      </c>
      <c r="V1362" s="13" t="n">
        <f aca="false">IF(COUNTIF($B$2:B1362,B1362)=1,1,0)</f>
        <v>0</v>
      </c>
      <c r="W1362" s="13" t="n">
        <f aca="false">IF(COUNTIFS($B$2:B1362,B1362,$T$2:T1362,T1362)=1,1,0)</f>
        <v>0</v>
      </c>
    </row>
    <row r="1363" customFormat="false" ht="15" hidden="false" customHeight="false" outlineLevel="0" collapsed="false">
      <c r="A1363" s="13" t="s">
        <v>1101</v>
      </c>
      <c r="B1363" s="13" t="s">
        <v>50</v>
      </c>
      <c r="C1363" s="13" t="n">
        <v>1400</v>
      </c>
      <c r="D1363" s="13" t="n">
        <v>2</v>
      </c>
      <c r="E1363" s="13" t="n">
        <v>715.17</v>
      </c>
      <c r="F1363" s="13" t="s">
        <v>5325</v>
      </c>
      <c r="G1363" s="13" t="s">
        <v>5289</v>
      </c>
      <c r="H1363" s="13" t="s">
        <v>5292</v>
      </c>
      <c r="I1363" s="13" t="s">
        <v>5289</v>
      </c>
      <c r="J1363" s="13" t="s">
        <v>5289</v>
      </c>
      <c r="K1363" s="13" t="s">
        <v>5289</v>
      </c>
      <c r="L1363" s="13" t="s">
        <v>5818</v>
      </c>
      <c r="M1363" s="13"/>
      <c r="N1363" s="13" t="n">
        <v>3349668661640</v>
      </c>
      <c r="O1363" s="13"/>
      <c r="P1363" s="13" t="s">
        <v>5291</v>
      </c>
      <c r="Q1363" s="13" t="s">
        <v>5289</v>
      </c>
      <c r="R1363" s="13" t="s">
        <v>5292</v>
      </c>
      <c r="S1363" s="13" t="s">
        <v>5293</v>
      </c>
      <c r="T1363" s="13" t="s">
        <v>4</v>
      </c>
      <c r="U1363" s="13" t="s">
        <v>43</v>
      </c>
      <c r="V1363" s="13" t="n">
        <f aca="false">IF(COUNTIF($B$2:B1363,B1363)=1,1,0)</f>
        <v>0</v>
      </c>
      <c r="W1363" s="13" t="n">
        <f aca="false">IF(COUNTIFS($B$2:B1363,B1363,$T$2:T1363,T1363)=1,1,0)</f>
        <v>0</v>
      </c>
    </row>
    <row r="1364" customFormat="false" ht="15" hidden="false" customHeight="false" outlineLevel="0" collapsed="false">
      <c r="A1364" s="13" t="s">
        <v>1095</v>
      </c>
      <c r="B1364" s="13" t="s">
        <v>45</v>
      </c>
      <c r="C1364" s="13" t="n">
        <v>1400</v>
      </c>
      <c r="D1364" s="13" t="n">
        <v>2</v>
      </c>
      <c r="E1364" s="13" t="n">
        <v>714.915</v>
      </c>
      <c r="F1364" s="13" t="s">
        <v>5288</v>
      </c>
      <c r="G1364" s="13" t="s">
        <v>5289</v>
      </c>
      <c r="H1364" s="13" t="s">
        <v>5292</v>
      </c>
      <c r="I1364" s="13" t="s">
        <v>5289</v>
      </c>
      <c r="J1364" s="13" t="s">
        <v>5289</v>
      </c>
      <c r="K1364" s="13" t="s">
        <v>5289</v>
      </c>
      <c r="L1364" s="13" t="s">
        <v>5760</v>
      </c>
      <c r="M1364" s="13"/>
      <c r="N1364" s="13" t="n">
        <v>8435415114363</v>
      </c>
      <c r="O1364" s="13"/>
      <c r="P1364" s="13" t="s">
        <v>5291</v>
      </c>
      <c r="Q1364" s="13" t="s">
        <v>5289</v>
      </c>
      <c r="R1364" s="13" t="s">
        <v>5292</v>
      </c>
      <c r="S1364" s="13" t="s">
        <v>5293</v>
      </c>
      <c r="T1364" s="13" t="s">
        <v>4</v>
      </c>
      <c r="U1364" s="13" t="s">
        <v>43</v>
      </c>
      <c r="V1364" s="13" t="n">
        <f aca="false">IF(COUNTIF($B$2:B1364,B1364)=1,1,0)</f>
        <v>0</v>
      </c>
      <c r="W1364" s="13" t="n">
        <f aca="false">IF(COUNTIFS($B$2:B1364,B1364,$T$2:T1364,T1364)=1,1,0)</f>
        <v>0</v>
      </c>
    </row>
    <row r="1365" customFormat="false" ht="15" hidden="false" customHeight="false" outlineLevel="0" collapsed="false">
      <c r="A1365" s="13" t="s">
        <v>757</v>
      </c>
      <c r="B1365" s="13" t="s">
        <v>50</v>
      </c>
      <c r="C1365" s="13" t="n">
        <v>1400</v>
      </c>
      <c r="D1365" s="13" t="n">
        <v>2</v>
      </c>
      <c r="E1365" s="13" t="n">
        <v>474.05</v>
      </c>
      <c r="F1365" s="13" t="s">
        <v>5325</v>
      </c>
      <c r="G1365" s="13" t="s">
        <v>5289</v>
      </c>
      <c r="H1365" s="13" t="s">
        <v>5289</v>
      </c>
      <c r="I1365" s="13" t="s">
        <v>5289</v>
      </c>
      <c r="J1365" s="13" t="s">
        <v>5289</v>
      </c>
      <c r="K1365" s="13" t="s">
        <v>5289</v>
      </c>
      <c r="L1365" s="13" t="s">
        <v>5868</v>
      </c>
      <c r="M1365" s="13"/>
      <c r="N1365" s="13" t="n">
        <v>3349668612611</v>
      </c>
      <c r="O1365" s="13"/>
      <c r="P1365" s="13" t="s">
        <v>5297</v>
      </c>
      <c r="Q1365" s="13" t="s">
        <v>5289</v>
      </c>
      <c r="R1365" s="13" t="s">
        <v>5292</v>
      </c>
      <c r="S1365" s="13" t="s">
        <v>5293</v>
      </c>
      <c r="T1365" s="13" t="s">
        <v>4</v>
      </c>
      <c r="U1365" s="13" t="s">
        <v>43</v>
      </c>
      <c r="V1365" s="13" t="n">
        <f aca="false">IF(COUNTIF($B$2:B1365,B1365)=1,1,0)</f>
        <v>0</v>
      </c>
      <c r="W1365" s="13" t="n">
        <f aca="false">IF(COUNTIFS($B$2:B1365,B1365,$T$2:T1365,T1365)=1,1,0)</f>
        <v>0</v>
      </c>
    </row>
    <row r="1366" customFormat="false" ht="15" hidden="false" customHeight="false" outlineLevel="0" collapsed="false">
      <c r="A1366" s="13" t="s">
        <v>1097</v>
      </c>
      <c r="B1366" s="13" t="s">
        <v>42</v>
      </c>
      <c r="C1366" s="13" t="n">
        <v>1400</v>
      </c>
      <c r="D1366" s="13" t="n">
        <v>5</v>
      </c>
      <c r="E1366" s="13" t="n">
        <v>236.653333333333</v>
      </c>
      <c r="F1366" s="13" t="s">
        <v>5288</v>
      </c>
      <c r="G1366" s="13" t="s">
        <v>5292</v>
      </c>
      <c r="H1366" s="13" t="s">
        <v>5292</v>
      </c>
      <c r="I1366" s="13" t="s">
        <v>5289</v>
      </c>
      <c r="J1366" s="13" t="s">
        <v>5289</v>
      </c>
      <c r="K1366" s="13" t="s">
        <v>5289</v>
      </c>
      <c r="L1366" s="13" t="s">
        <v>6000</v>
      </c>
      <c r="M1366" s="13"/>
      <c r="N1366" s="13" t="n">
        <v>8411061023167</v>
      </c>
      <c r="O1366" s="13"/>
      <c r="P1366" s="13" t="s">
        <v>5291</v>
      </c>
      <c r="Q1366" s="13" t="s">
        <v>5289</v>
      </c>
      <c r="R1366" s="13" t="s">
        <v>5292</v>
      </c>
      <c r="S1366" s="13" t="s">
        <v>5293</v>
      </c>
      <c r="T1366" s="13" t="s">
        <v>4</v>
      </c>
      <c r="U1366" s="13" t="s">
        <v>43</v>
      </c>
      <c r="V1366" s="13" t="n">
        <f aca="false">IF(COUNTIF($B$2:B1366,B1366)=1,1,0)</f>
        <v>0</v>
      </c>
      <c r="W1366" s="13" t="n">
        <f aca="false">IF(COUNTIFS($B$2:B1366,B1366,$T$2:T1366,T1366)=1,1,0)</f>
        <v>0</v>
      </c>
    </row>
    <row r="1367" customFormat="false" ht="15" hidden="false" customHeight="false" outlineLevel="0" collapsed="false">
      <c r="A1367" s="13" t="s">
        <v>773</v>
      </c>
      <c r="B1367" s="13" t="s">
        <v>92</v>
      </c>
      <c r="C1367" s="13" t="n">
        <v>1400</v>
      </c>
      <c r="D1367" s="13" t="n">
        <v>2</v>
      </c>
      <c r="E1367" s="13" t="n">
        <v>707.74</v>
      </c>
      <c r="F1367" s="13" t="s">
        <v>5288</v>
      </c>
      <c r="G1367" s="13" t="s">
        <v>5289</v>
      </c>
      <c r="H1367" s="13" t="s">
        <v>5292</v>
      </c>
      <c r="I1367" s="13" t="s">
        <v>5289</v>
      </c>
      <c r="J1367" s="13" t="s">
        <v>5289</v>
      </c>
      <c r="K1367" s="13" t="s">
        <v>5289</v>
      </c>
      <c r="L1367" s="13" t="s">
        <v>5657</v>
      </c>
      <c r="M1367" s="13"/>
      <c r="N1367" s="13" t="n">
        <v>3616302038633</v>
      </c>
      <c r="O1367" s="13"/>
      <c r="P1367" s="13" t="s">
        <v>5291</v>
      </c>
      <c r="Q1367" s="13" t="s">
        <v>5289</v>
      </c>
      <c r="R1367" s="13" t="s">
        <v>5292</v>
      </c>
      <c r="S1367" s="13" t="s">
        <v>5293</v>
      </c>
      <c r="T1367" s="13" t="s">
        <v>4</v>
      </c>
      <c r="U1367" s="13" t="s">
        <v>43</v>
      </c>
      <c r="V1367" s="13" t="n">
        <f aca="false">IF(COUNTIF($B$2:B1367,B1367)=1,1,0)</f>
        <v>0</v>
      </c>
      <c r="W1367" s="13" t="n">
        <f aca="false">IF(COUNTIFS($B$2:B1367,B1367,$T$2:T1367,T1367)=1,1,0)</f>
        <v>0</v>
      </c>
    </row>
    <row r="1368" customFormat="false" ht="15" hidden="false" customHeight="false" outlineLevel="0" collapsed="false">
      <c r="A1368" s="13" t="s">
        <v>912</v>
      </c>
      <c r="B1368" s="13" t="s">
        <v>42</v>
      </c>
      <c r="C1368" s="13" t="n">
        <v>1400</v>
      </c>
      <c r="D1368" s="13" t="n">
        <v>2</v>
      </c>
      <c r="E1368" s="13" t="n">
        <v>704.67</v>
      </c>
      <c r="F1368" s="13" t="s">
        <v>5288</v>
      </c>
      <c r="G1368" s="13" t="s">
        <v>5289</v>
      </c>
      <c r="H1368" s="13" t="s">
        <v>5289</v>
      </c>
      <c r="I1368" s="13" t="s">
        <v>5289</v>
      </c>
      <c r="J1368" s="13" t="s">
        <v>5289</v>
      </c>
      <c r="K1368" s="13" t="s">
        <v>5289</v>
      </c>
      <c r="L1368" s="13" t="s">
        <v>6001</v>
      </c>
      <c r="M1368" s="13"/>
      <c r="N1368" s="13" t="n">
        <v>8411061106211</v>
      </c>
      <c r="O1368" s="13"/>
      <c r="P1368" s="13" t="s">
        <v>5291</v>
      </c>
      <c r="Q1368" s="13" t="s">
        <v>5289</v>
      </c>
      <c r="R1368" s="13" t="s">
        <v>5292</v>
      </c>
      <c r="S1368" s="13" t="s">
        <v>5293</v>
      </c>
      <c r="T1368" s="13" t="s">
        <v>4</v>
      </c>
      <c r="U1368" s="13" t="s">
        <v>43</v>
      </c>
      <c r="V1368" s="13" t="n">
        <f aca="false">IF(COUNTIF($B$2:B1368,B1368)=1,1,0)</f>
        <v>0</v>
      </c>
      <c r="W1368" s="13" t="n">
        <f aca="false">IF(COUNTIFS($B$2:B1368,B1368,$T$2:T1368,T1368)=1,1,0)</f>
        <v>0</v>
      </c>
    </row>
    <row r="1369" customFormat="false" ht="15" hidden="false" customHeight="false" outlineLevel="0" collapsed="false">
      <c r="A1369" s="13" t="s">
        <v>1063</v>
      </c>
      <c r="B1369" s="13" t="s">
        <v>45</v>
      </c>
      <c r="C1369" s="13" t="n">
        <v>1400</v>
      </c>
      <c r="D1369" s="13" t="n">
        <v>2</v>
      </c>
      <c r="E1369" s="13" t="n">
        <v>704.65</v>
      </c>
      <c r="F1369" s="13" t="s">
        <v>5288</v>
      </c>
      <c r="G1369" s="13" t="s">
        <v>5289</v>
      </c>
      <c r="H1369" s="13" t="s">
        <v>5292</v>
      </c>
      <c r="I1369" s="13" t="s">
        <v>5289</v>
      </c>
      <c r="J1369" s="13" t="s">
        <v>5289</v>
      </c>
      <c r="K1369" s="13" t="s">
        <v>5289</v>
      </c>
      <c r="L1369" s="13" t="s">
        <v>5877</v>
      </c>
      <c r="M1369" s="13"/>
      <c r="N1369" s="13" t="n">
        <v>8435415102698</v>
      </c>
      <c r="O1369" s="13"/>
      <c r="P1369" s="13" t="s">
        <v>5291</v>
      </c>
      <c r="Q1369" s="13" t="s">
        <v>5289</v>
      </c>
      <c r="R1369" s="13" t="s">
        <v>5292</v>
      </c>
      <c r="S1369" s="13" t="s">
        <v>5293</v>
      </c>
      <c r="T1369" s="13" t="s">
        <v>4</v>
      </c>
      <c r="U1369" s="13" t="s">
        <v>43</v>
      </c>
      <c r="V1369" s="13" t="n">
        <f aca="false">IF(COUNTIF($B$2:B1369,B1369)=1,1,0)</f>
        <v>0</v>
      </c>
      <c r="W1369" s="13" t="n">
        <f aca="false">IF(COUNTIFS($B$2:B1369,B1369,$T$2:T1369,T1369)=1,1,0)</f>
        <v>0</v>
      </c>
    </row>
    <row r="1370" customFormat="false" ht="15" hidden="false" customHeight="false" outlineLevel="0" collapsed="false">
      <c r="A1370" s="13" t="s">
        <v>1064</v>
      </c>
      <c r="B1370" s="13" t="s">
        <v>42</v>
      </c>
      <c r="C1370" s="13" t="n">
        <v>1400</v>
      </c>
      <c r="D1370" s="13" t="n">
        <v>2</v>
      </c>
      <c r="E1370" s="13" t="n">
        <v>701</v>
      </c>
      <c r="F1370" s="13" t="s">
        <v>5325</v>
      </c>
      <c r="G1370" s="13" t="s">
        <v>5289</v>
      </c>
      <c r="H1370" s="13" t="s">
        <v>5292</v>
      </c>
      <c r="I1370" s="13" t="s">
        <v>5289</v>
      </c>
      <c r="J1370" s="13" t="s">
        <v>5289</v>
      </c>
      <c r="K1370" s="13" t="s">
        <v>5289</v>
      </c>
      <c r="L1370" s="13" t="s">
        <v>5694</v>
      </c>
      <c r="M1370" s="13"/>
      <c r="N1370" s="13" t="n">
        <v>8411061123607</v>
      </c>
      <c r="O1370" s="13"/>
      <c r="P1370" s="13" t="s">
        <v>5291</v>
      </c>
      <c r="Q1370" s="13" t="s">
        <v>5289</v>
      </c>
      <c r="R1370" s="13" t="s">
        <v>5292</v>
      </c>
      <c r="S1370" s="13" t="s">
        <v>5293</v>
      </c>
      <c r="T1370" s="13" t="s">
        <v>4</v>
      </c>
      <c r="U1370" s="13" t="s">
        <v>43</v>
      </c>
      <c r="V1370" s="13" t="n">
        <f aca="false">IF(COUNTIF($B$2:B1370,B1370)=1,1,0)</f>
        <v>0</v>
      </c>
      <c r="W1370" s="13" t="n">
        <f aca="false">IF(COUNTIFS($B$2:B1370,B1370,$T$2:T1370,T1370)=1,1,0)</f>
        <v>0</v>
      </c>
    </row>
    <row r="1371" customFormat="false" ht="15" hidden="false" customHeight="false" outlineLevel="0" collapsed="false">
      <c r="A1371" s="13" t="s">
        <v>3857</v>
      </c>
      <c r="B1371" s="13" t="s">
        <v>2110</v>
      </c>
      <c r="C1371" s="13" t="n">
        <v>1400</v>
      </c>
      <c r="D1371" s="13" t="n">
        <v>2</v>
      </c>
      <c r="E1371" s="13" t="n">
        <v>465.913333333333</v>
      </c>
      <c r="F1371" s="13" t="s">
        <v>5288</v>
      </c>
      <c r="G1371" s="13" t="s">
        <v>5289</v>
      </c>
      <c r="H1371" s="13" t="s">
        <v>5292</v>
      </c>
      <c r="I1371" s="13" t="s">
        <v>5289</v>
      </c>
      <c r="J1371" s="13" t="s">
        <v>5289</v>
      </c>
      <c r="K1371" s="13" t="s">
        <v>5289</v>
      </c>
      <c r="L1371" s="13" t="s">
        <v>6002</v>
      </c>
      <c r="M1371" s="13"/>
      <c r="N1371" s="13" t="n">
        <v>3386460165884</v>
      </c>
      <c r="O1371" s="13"/>
      <c r="P1371" s="13" t="s">
        <v>5297</v>
      </c>
      <c r="Q1371" s="13" t="s">
        <v>5289</v>
      </c>
      <c r="R1371" s="13" t="s">
        <v>5292</v>
      </c>
      <c r="S1371" s="13" t="s">
        <v>5293</v>
      </c>
      <c r="T1371" s="13" t="s">
        <v>4</v>
      </c>
      <c r="U1371" s="13" t="s">
        <v>43</v>
      </c>
      <c r="V1371" s="13" t="n">
        <f aca="false">IF(COUNTIF($B$2:B1371,B1371)=1,1,0)</f>
        <v>0</v>
      </c>
      <c r="W1371" s="13" t="n">
        <f aca="false">IF(COUNTIFS($B$2:B1371,B1371,$T$2:T1371,T1371)=1,1,0)</f>
        <v>0</v>
      </c>
    </row>
    <row r="1372" customFormat="false" ht="15" hidden="false" customHeight="false" outlineLevel="0" collapsed="false">
      <c r="A1372" s="13" t="s">
        <v>1062</v>
      </c>
      <c r="B1372" s="13" t="s">
        <v>286</v>
      </c>
      <c r="C1372" s="13" t="n">
        <v>1400</v>
      </c>
      <c r="D1372" s="13" t="n">
        <v>2</v>
      </c>
      <c r="E1372" s="13" t="n">
        <v>348.11</v>
      </c>
      <c r="F1372" s="13" t="s">
        <v>5288</v>
      </c>
      <c r="G1372" s="13" t="s">
        <v>5289</v>
      </c>
      <c r="H1372" s="13" t="s">
        <v>5292</v>
      </c>
      <c r="I1372" s="13" t="s">
        <v>5289</v>
      </c>
      <c r="J1372" s="13" t="s">
        <v>5289</v>
      </c>
      <c r="K1372" s="13" t="s">
        <v>5289</v>
      </c>
      <c r="L1372" s="13" t="s">
        <v>6003</v>
      </c>
      <c r="M1372" s="13"/>
      <c r="N1372" s="13" t="n">
        <v>6295199805022</v>
      </c>
      <c r="O1372" s="13"/>
      <c r="P1372" s="13" t="s">
        <v>5297</v>
      </c>
      <c r="Q1372" s="13" t="s">
        <v>5289</v>
      </c>
      <c r="R1372" s="13" t="s">
        <v>5292</v>
      </c>
      <c r="S1372" s="13" t="s">
        <v>5293</v>
      </c>
      <c r="T1372" s="13" t="s">
        <v>4</v>
      </c>
      <c r="U1372" s="13" t="s">
        <v>43</v>
      </c>
      <c r="V1372" s="13" t="n">
        <f aca="false">IF(COUNTIF($B$2:B1372,B1372)=1,1,0)</f>
        <v>0</v>
      </c>
      <c r="W1372" s="13" t="n">
        <f aca="false">IF(COUNTIFS($B$2:B1372,B1372,$T$2:T1372,T1372)=1,1,0)</f>
        <v>0</v>
      </c>
    </row>
    <row r="1373" customFormat="false" ht="15" hidden="false" customHeight="false" outlineLevel="0" collapsed="false">
      <c r="A1373" s="13" t="s">
        <v>240</v>
      </c>
      <c r="B1373" s="13" t="s">
        <v>42</v>
      </c>
      <c r="C1373" s="13" t="n">
        <v>1400</v>
      </c>
      <c r="D1373" s="13" t="n">
        <v>2</v>
      </c>
      <c r="E1373" s="13" t="n">
        <v>692.55</v>
      </c>
      <c r="F1373" s="13" t="s">
        <v>5325</v>
      </c>
      <c r="G1373" s="13" t="s">
        <v>5292</v>
      </c>
      <c r="H1373" s="13" t="s">
        <v>5289</v>
      </c>
      <c r="I1373" s="13" t="s">
        <v>5289</v>
      </c>
      <c r="J1373" s="13" t="s">
        <v>5289</v>
      </c>
      <c r="K1373" s="13" t="s">
        <v>5289</v>
      </c>
      <c r="L1373" s="13" t="s">
        <v>5673</v>
      </c>
      <c r="M1373" s="13"/>
      <c r="N1373" s="13" t="n">
        <v>8411061122488</v>
      </c>
      <c r="O1373" s="13"/>
      <c r="P1373" s="13" t="s">
        <v>5297</v>
      </c>
      <c r="Q1373" s="13" t="s">
        <v>5289</v>
      </c>
      <c r="R1373" s="13" t="s">
        <v>5292</v>
      </c>
      <c r="S1373" s="13" t="s">
        <v>5293</v>
      </c>
      <c r="T1373" s="13" t="s">
        <v>4</v>
      </c>
      <c r="U1373" s="13" t="s">
        <v>43</v>
      </c>
      <c r="V1373" s="13" t="n">
        <f aca="false">IF(COUNTIF($B$2:B1373,B1373)=1,1,0)</f>
        <v>0</v>
      </c>
      <c r="W1373" s="13" t="n">
        <f aca="false">IF(COUNTIFS($B$2:B1373,B1373,$T$2:T1373,T1373)=1,1,0)</f>
        <v>0</v>
      </c>
    </row>
    <row r="1374" customFormat="false" ht="15" hidden="false" customHeight="false" outlineLevel="0" collapsed="false">
      <c r="A1374" s="13" t="s">
        <v>1096</v>
      </c>
      <c r="B1374" s="13" t="s">
        <v>111</v>
      </c>
      <c r="C1374" s="13" t="n">
        <v>1400</v>
      </c>
      <c r="D1374" s="13" t="n">
        <v>2</v>
      </c>
      <c r="E1374" s="13" t="n">
        <v>460.8</v>
      </c>
      <c r="F1374" s="13" t="s">
        <v>5325</v>
      </c>
      <c r="G1374" s="13" t="s">
        <v>5292</v>
      </c>
      <c r="H1374" s="13" t="s">
        <v>5292</v>
      </c>
      <c r="I1374" s="13" t="s">
        <v>5289</v>
      </c>
      <c r="J1374" s="13" t="s">
        <v>5289</v>
      </c>
      <c r="K1374" s="13" t="s">
        <v>5289</v>
      </c>
      <c r="L1374" s="13" t="s">
        <v>6004</v>
      </c>
      <c r="M1374" s="13"/>
      <c r="N1374" s="13" t="n">
        <v>3595471111012</v>
      </c>
      <c r="O1374" s="13"/>
      <c r="P1374" s="13" t="s">
        <v>5291</v>
      </c>
      <c r="Q1374" s="13" t="s">
        <v>5289</v>
      </c>
      <c r="R1374" s="13" t="s">
        <v>5292</v>
      </c>
      <c r="S1374" s="13" t="s">
        <v>5293</v>
      </c>
      <c r="T1374" s="13" t="s">
        <v>4</v>
      </c>
      <c r="U1374" s="13" t="s">
        <v>43</v>
      </c>
      <c r="V1374" s="13" t="n">
        <f aca="false">IF(COUNTIF($B$2:B1374,B1374)=1,1,0)</f>
        <v>0</v>
      </c>
      <c r="W1374" s="13" t="n">
        <f aca="false">IF(COUNTIFS($B$2:B1374,B1374,$T$2:T1374,T1374)=1,1,0)</f>
        <v>0</v>
      </c>
    </row>
    <row r="1375" customFormat="false" ht="15" hidden="false" customHeight="false" outlineLevel="0" collapsed="false">
      <c r="A1375" s="13" t="s">
        <v>1098</v>
      </c>
      <c r="B1375" s="13" t="s">
        <v>362</v>
      </c>
      <c r="C1375" s="13" t="n">
        <v>1400</v>
      </c>
      <c r="D1375" s="13" t="n">
        <v>2</v>
      </c>
      <c r="E1375" s="13" t="n">
        <v>688.755</v>
      </c>
      <c r="F1375" s="13" t="s">
        <v>5325</v>
      </c>
      <c r="G1375" s="13" t="s">
        <v>5292</v>
      </c>
      <c r="H1375" s="13" t="s">
        <v>5292</v>
      </c>
      <c r="I1375" s="13" t="s">
        <v>5289</v>
      </c>
      <c r="J1375" s="13" t="s">
        <v>5289</v>
      </c>
      <c r="K1375" s="13" t="s">
        <v>5289</v>
      </c>
      <c r="L1375" s="13" t="s">
        <v>5838</v>
      </c>
      <c r="M1375" s="13"/>
      <c r="N1375" s="13" t="n">
        <v>3386460155397</v>
      </c>
      <c r="O1375" s="13"/>
      <c r="P1375" s="13" t="s">
        <v>5291</v>
      </c>
      <c r="Q1375" s="13" t="s">
        <v>5289</v>
      </c>
      <c r="R1375" s="13" t="s">
        <v>5292</v>
      </c>
      <c r="S1375" s="13" t="s">
        <v>5293</v>
      </c>
      <c r="T1375" s="13" t="s">
        <v>4</v>
      </c>
      <c r="U1375" s="13" t="s">
        <v>43</v>
      </c>
      <c r="V1375" s="13" t="n">
        <f aca="false">IF(COUNTIF($B$2:B1375,B1375)=1,1,0)</f>
        <v>0</v>
      </c>
      <c r="W1375" s="13" t="n">
        <f aca="false">IF(COUNTIFS($B$2:B1375,B1375,$T$2:T1375,T1375)=1,1,0)</f>
        <v>0</v>
      </c>
    </row>
    <row r="1376" customFormat="false" ht="15" hidden="false" customHeight="false" outlineLevel="0" collapsed="false">
      <c r="A1376" s="13" t="s">
        <v>106</v>
      </c>
      <c r="B1376" s="13" t="s">
        <v>105</v>
      </c>
      <c r="C1376" s="13" t="n">
        <v>1400</v>
      </c>
      <c r="D1376" s="13" t="n">
        <v>2</v>
      </c>
      <c r="E1376" s="13" t="n">
        <v>458.966666666667</v>
      </c>
      <c r="F1376" s="13" t="s">
        <v>5288</v>
      </c>
      <c r="G1376" s="13" t="s">
        <v>5289</v>
      </c>
      <c r="H1376" s="13" t="s">
        <v>5289</v>
      </c>
      <c r="I1376" s="13" t="s">
        <v>5289</v>
      </c>
      <c r="J1376" s="13" t="s">
        <v>5289</v>
      </c>
      <c r="K1376" s="13" t="s">
        <v>5289</v>
      </c>
      <c r="L1376" s="13" t="s">
        <v>6005</v>
      </c>
      <c r="M1376" s="13"/>
      <c r="N1376" s="13" t="n">
        <v>737052351100</v>
      </c>
      <c r="O1376" s="13"/>
      <c r="P1376" s="13" t="s">
        <v>5291</v>
      </c>
      <c r="Q1376" s="13" t="s">
        <v>5289</v>
      </c>
      <c r="R1376" s="13" t="s">
        <v>5292</v>
      </c>
      <c r="S1376" s="13" t="s">
        <v>5293</v>
      </c>
      <c r="T1376" s="13" t="s">
        <v>4</v>
      </c>
      <c r="U1376" s="13" t="s">
        <v>43</v>
      </c>
      <c r="V1376" s="13" t="n">
        <f aca="false">IF(COUNTIF($B$2:B1376,B1376)=1,1,0)</f>
        <v>0</v>
      </c>
      <c r="W1376" s="13" t="n">
        <f aca="false">IF(COUNTIFS($B$2:B1376,B1376,$T$2:T1376,T1376)=1,1,0)</f>
        <v>0</v>
      </c>
    </row>
    <row r="1377" customFormat="false" ht="15" hidden="false" customHeight="false" outlineLevel="0" collapsed="false">
      <c r="A1377" s="13" t="s">
        <v>1093</v>
      </c>
      <c r="B1377" s="13" t="s">
        <v>630</v>
      </c>
      <c r="C1377" s="13" t="n">
        <v>1400</v>
      </c>
      <c r="D1377" s="13" t="n">
        <v>5</v>
      </c>
      <c r="E1377" s="13" t="n">
        <v>195.952857142857</v>
      </c>
      <c r="F1377" s="13" t="s">
        <v>5288</v>
      </c>
      <c r="G1377" s="13" t="s">
        <v>5292</v>
      </c>
      <c r="H1377" s="13" t="s">
        <v>5292</v>
      </c>
      <c r="I1377" s="13" t="s">
        <v>5289</v>
      </c>
      <c r="J1377" s="13" t="s">
        <v>5289</v>
      </c>
      <c r="K1377" s="13" t="s">
        <v>5289</v>
      </c>
      <c r="L1377" s="13" t="s">
        <v>6006</v>
      </c>
      <c r="M1377" s="13"/>
      <c r="N1377" s="13" t="n">
        <v>8433982024283</v>
      </c>
      <c r="O1377" s="13"/>
      <c r="P1377" s="13" t="s">
        <v>5297</v>
      </c>
      <c r="Q1377" s="13" t="s">
        <v>5289</v>
      </c>
      <c r="R1377" s="13" t="s">
        <v>5292</v>
      </c>
      <c r="S1377" s="13" t="s">
        <v>5293</v>
      </c>
      <c r="T1377" s="13" t="s">
        <v>4</v>
      </c>
      <c r="U1377" s="13" t="s">
        <v>43</v>
      </c>
      <c r="V1377" s="13" t="n">
        <f aca="false">IF(COUNTIF($B$2:B1377,B1377)=1,1,0)</f>
        <v>0</v>
      </c>
      <c r="W1377" s="13" t="n">
        <f aca="false">IF(COUNTIFS($B$2:B1377,B1377,$T$2:T1377,T1377)=1,1,0)</f>
        <v>0</v>
      </c>
    </row>
    <row r="1378" customFormat="false" ht="15" hidden="false" customHeight="false" outlineLevel="0" collapsed="false">
      <c r="A1378" s="13" t="s">
        <v>1094</v>
      </c>
      <c r="B1378" s="13" t="s">
        <v>286</v>
      </c>
      <c r="C1378" s="13" t="n">
        <v>1400</v>
      </c>
      <c r="D1378" s="13" t="n">
        <v>2</v>
      </c>
      <c r="E1378" s="13" t="n">
        <v>342.81</v>
      </c>
      <c r="F1378" s="13" t="s">
        <v>5325</v>
      </c>
      <c r="G1378" s="13" t="s">
        <v>5289</v>
      </c>
      <c r="H1378" s="13" t="s">
        <v>5292</v>
      </c>
      <c r="I1378" s="13" t="s">
        <v>5289</v>
      </c>
      <c r="J1378" s="13" t="s">
        <v>5289</v>
      </c>
      <c r="K1378" s="13" t="s">
        <v>5289</v>
      </c>
      <c r="L1378" s="13" t="s">
        <v>5863</v>
      </c>
      <c r="M1378" s="13"/>
      <c r="N1378" s="13" t="n">
        <v>6085010094151</v>
      </c>
      <c r="O1378" s="13"/>
      <c r="P1378" s="13" t="s">
        <v>5297</v>
      </c>
      <c r="Q1378" s="13" t="s">
        <v>5289</v>
      </c>
      <c r="R1378" s="13" t="s">
        <v>5292</v>
      </c>
      <c r="S1378" s="13" t="s">
        <v>5293</v>
      </c>
      <c r="T1378" s="13" t="s">
        <v>4</v>
      </c>
      <c r="U1378" s="13" t="s">
        <v>43</v>
      </c>
      <c r="V1378" s="13" t="n">
        <f aca="false">IF(COUNTIF($B$2:B1378,B1378)=1,1,0)</f>
        <v>0</v>
      </c>
      <c r="W1378" s="13" t="n">
        <f aca="false">IF(COUNTIFS($B$2:B1378,B1378,$T$2:T1378,T1378)=1,1,0)</f>
        <v>0</v>
      </c>
    </row>
    <row r="1379" customFormat="false" ht="15" hidden="false" customHeight="false" outlineLevel="0" collapsed="false">
      <c r="A1379" s="13" t="s">
        <v>1091</v>
      </c>
      <c r="B1379" s="13" t="s">
        <v>45</v>
      </c>
      <c r="C1379" s="13" t="n">
        <v>1400</v>
      </c>
      <c r="D1379" s="13" t="n">
        <v>2</v>
      </c>
      <c r="E1379" s="13" t="n">
        <v>680.33</v>
      </c>
      <c r="F1379" s="13" t="s">
        <v>5325</v>
      </c>
      <c r="G1379" s="13" t="s">
        <v>5289</v>
      </c>
      <c r="H1379" s="13" t="s">
        <v>5292</v>
      </c>
      <c r="I1379" s="13" t="s">
        <v>5289</v>
      </c>
      <c r="J1379" s="13" t="s">
        <v>5289</v>
      </c>
      <c r="K1379" s="13" t="s">
        <v>5289</v>
      </c>
      <c r="L1379" s="13" t="s">
        <v>5810</v>
      </c>
      <c r="M1379" s="13"/>
      <c r="N1379" s="13" t="n">
        <v>8435415102339</v>
      </c>
      <c r="O1379" s="13"/>
      <c r="P1379" s="13" t="s">
        <v>5291</v>
      </c>
      <c r="Q1379" s="13" t="s">
        <v>5289</v>
      </c>
      <c r="R1379" s="13" t="s">
        <v>5292</v>
      </c>
      <c r="S1379" s="13" t="s">
        <v>5293</v>
      </c>
      <c r="T1379" s="13" t="s">
        <v>4</v>
      </c>
      <c r="U1379" s="13" t="s">
        <v>43</v>
      </c>
      <c r="V1379" s="13" t="n">
        <f aca="false">IF(COUNTIF($B$2:B1379,B1379)=1,1,0)</f>
        <v>0</v>
      </c>
      <c r="W1379" s="13" t="n">
        <f aca="false">IF(COUNTIFS($B$2:B1379,B1379,$T$2:T1379,T1379)=1,1,0)</f>
        <v>0</v>
      </c>
    </row>
    <row r="1380" customFormat="false" ht="15" hidden="false" customHeight="false" outlineLevel="0" collapsed="false">
      <c r="A1380" s="13" t="s">
        <v>51</v>
      </c>
      <c r="B1380" s="13" t="s">
        <v>50</v>
      </c>
      <c r="C1380" s="13" t="n">
        <v>1400</v>
      </c>
      <c r="D1380" s="13" t="n">
        <v>2</v>
      </c>
      <c r="E1380" s="13" t="n">
        <v>680</v>
      </c>
      <c r="F1380" s="13" t="s">
        <v>5288</v>
      </c>
      <c r="G1380" s="13" t="s">
        <v>5292</v>
      </c>
      <c r="H1380" s="13" t="s">
        <v>5289</v>
      </c>
      <c r="I1380" s="13" t="s">
        <v>5289</v>
      </c>
      <c r="J1380" s="13" t="s">
        <v>5289</v>
      </c>
      <c r="K1380" s="13" t="s">
        <v>5289</v>
      </c>
      <c r="L1380" s="13" t="s">
        <v>6007</v>
      </c>
      <c r="M1380" s="13"/>
      <c r="N1380" s="13" t="n">
        <v>3349668589678</v>
      </c>
      <c r="O1380" s="13"/>
      <c r="P1380" s="13" t="s">
        <v>5297</v>
      </c>
      <c r="Q1380" s="13" t="s">
        <v>5289</v>
      </c>
      <c r="R1380" s="13" t="s">
        <v>5292</v>
      </c>
      <c r="S1380" s="13" t="s">
        <v>5293</v>
      </c>
      <c r="T1380" s="13" t="s">
        <v>4</v>
      </c>
      <c r="U1380" s="13" t="s">
        <v>43</v>
      </c>
      <c r="V1380" s="13" t="n">
        <f aca="false">IF(COUNTIF($B$2:B1380,B1380)=1,1,0)</f>
        <v>0</v>
      </c>
      <c r="W1380" s="13" t="n">
        <f aca="false">IF(COUNTIFS($B$2:B1380,B1380,$T$2:T1380,T1380)=1,1,0)</f>
        <v>0</v>
      </c>
    </row>
    <row r="1381" customFormat="false" ht="15" hidden="false" customHeight="false" outlineLevel="0" collapsed="false">
      <c r="A1381" s="13" t="s">
        <v>634</v>
      </c>
      <c r="B1381" s="13" t="s">
        <v>42</v>
      </c>
      <c r="C1381" s="13" t="n">
        <v>1400</v>
      </c>
      <c r="D1381" s="13" t="n">
        <v>2</v>
      </c>
      <c r="E1381" s="13" t="n">
        <v>677.97</v>
      </c>
      <c r="F1381" s="13" t="s">
        <v>5325</v>
      </c>
      <c r="G1381" s="13" t="s">
        <v>5289</v>
      </c>
      <c r="H1381" s="13" t="s">
        <v>5292</v>
      </c>
      <c r="I1381" s="13" t="s">
        <v>5289</v>
      </c>
      <c r="J1381" s="13" t="s">
        <v>5289</v>
      </c>
      <c r="K1381" s="13" t="s">
        <v>5289</v>
      </c>
      <c r="L1381" s="13" t="s">
        <v>5723</v>
      </c>
      <c r="M1381" s="13"/>
      <c r="N1381" s="13" t="n">
        <v>8411061043868</v>
      </c>
      <c r="O1381" s="13"/>
      <c r="P1381" s="13" t="s">
        <v>5297</v>
      </c>
      <c r="Q1381" s="13" t="s">
        <v>5289</v>
      </c>
      <c r="R1381" s="13" t="s">
        <v>5292</v>
      </c>
      <c r="S1381" s="13" t="s">
        <v>5293</v>
      </c>
      <c r="T1381" s="13" t="s">
        <v>4</v>
      </c>
      <c r="U1381" s="13" t="s">
        <v>43</v>
      </c>
      <c r="V1381" s="13" t="n">
        <f aca="false">IF(COUNTIF($B$2:B1381,B1381)=1,1,0)</f>
        <v>0</v>
      </c>
      <c r="W1381" s="13" t="n">
        <f aca="false">IF(COUNTIFS($B$2:B1381,B1381,$T$2:T1381,T1381)=1,1,0)</f>
        <v>0</v>
      </c>
    </row>
    <row r="1382" customFormat="false" ht="15" hidden="false" customHeight="false" outlineLevel="0" collapsed="false">
      <c r="A1382" s="13" t="s">
        <v>1092</v>
      </c>
      <c r="B1382" s="13" t="s">
        <v>630</v>
      </c>
      <c r="C1382" s="13" t="n">
        <v>1400</v>
      </c>
      <c r="D1382" s="13" t="n">
        <v>5</v>
      </c>
      <c r="E1382" s="13" t="n">
        <v>225.186666666667</v>
      </c>
      <c r="F1382" s="13" t="s">
        <v>5288</v>
      </c>
      <c r="G1382" s="13" t="s">
        <v>5289</v>
      </c>
      <c r="H1382" s="13" t="s">
        <v>5289</v>
      </c>
      <c r="I1382" s="13" t="s">
        <v>5289</v>
      </c>
      <c r="J1382" s="13" t="s">
        <v>5289</v>
      </c>
      <c r="K1382" s="13" t="s">
        <v>5289</v>
      </c>
      <c r="L1382" s="13" t="s">
        <v>6008</v>
      </c>
      <c r="M1382" s="13"/>
      <c r="N1382" s="13" t="n">
        <v>8433982026331</v>
      </c>
      <c r="O1382" s="13"/>
      <c r="P1382" s="13" t="s">
        <v>5291</v>
      </c>
      <c r="Q1382" s="13" t="s">
        <v>5289</v>
      </c>
      <c r="R1382" s="13" t="s">
        <v>5292</v>
      </c>
      <c r="S1382" s="13" t="s">
        <v>5293</v>
      </c>
      <c r="T1382" s="13" t="s">
        <v>4</v>
      </c>
      <c r="U1382" s="13" t="s">
        <v>43</v>
      </c>
      <c r="V1382" s="13" t="n">
        <f aca="false">IF(COUNTIF($B$2:B1382,B1382)=1,1,0)</f>
        <v>0</v>
      </c>
      <c r="W1382" s="13" t="n">
        <f aca="false">IF(COUNTIFS($B$2:B1382,B1382,$T$2:T1382,T1382)=1,1,0)</f>
        <v>0</v>
      </c>
    </row>
    <row r="1383" customFormat="false" ht="15" hidden="false" customHeight="false" outlineLevel="0" collapsed="false">
      <c r="A1383" s="13" t="s">
        <v>101</v>
      </c>
      <c r="B1383" s="13" t="s">
        <v>45</v>
      </c>
      <c r="C1383" s="13" t="n">
        <v>1300</v>
      </c>
      <c r="D1383" s="13" t="n">
        <v>2</v>
      </c>
      <c r="E1383" s="13" t="n">
        <v>669.94</v>
      </c>
      <c r="F1383" s="13" t="s">
        <v>5288</v>
      </c>
      <c r="G1383" s="13" t="s">
        <v>5289</v>
      </c>
      <c r="H1383" s="13" t="s">
        <v>5289</v>
      </c>
      <c r="I1383" s="13" t="s">
        <v>5289</v>
      </c>
      <c r="J1383" s="13" t="s">
        <v>5289</v>
      </c>
      <c r="K1383" s="13" t="s">
        <v>5289</v>
      </c>
      <c r="L1383" s="13" t="s">
        <v>6009</v>
      </c>
      <c r="M1383" s="13"/>
      <c r="N1383" s="13" t="n">
        <v>8435415012669</v>
      </c>
      <c r="O1383" s="13"/>
      <c r="P1383" s="13" t="s">
        <v>5291</v>
      </c>
      <c r="Q1383" s="13" t="s">
        <v>5289</v>
      </c>
      <c r="R1383" s="13" t="s">
        <v>5292</v>
      </c>
      <c r="S1383" s="13" t="s">
        <v>5293</v>
      </c>
      <c r="T1383" s="13" t="s">
        <v>4</v>
      </c>
      <c r="U1383" s="13" t="s">
        <v>43</v>
      </c>
      <c r="V1383" s="13" t="n">
        <f aca="false">IF(COUNTIF($B$2:B1383,B1383)=1,1,0)</f>
        <v>0</v>
      </c>
      <c r="W1383" s="13" t="n">
        <f aca="false">IF(COUNTIFS($B$2:B1383,B1383,$T$2:T1383,T1383)=1,1,0)</f>
        <v>0</v>
      </c>
    </row>
    <row r="1384" customFormat="false" ht="15" hidden="false" customHeight="false" outlineLevel="0" collapsed="false">
      <c r="A1384" s="13" t="s">
        <v>3890</v>
      </c>
      <c r="B1384" s="13" t="s">
        <v>2111</v>
      </c>
      <c r="C1384" s="13" t="n">
        <v>1300</v>
      </c>
      <c r="D1384" s="13" t="n">
        <v>2</v>
      </c>
      <c r="E1384" s="13" t="n">
        <v>333.56</v>
      </c>
      <c r="F1384" s="13" t="s">
        <v>5288</v>
      </c>
      <c r="G1384" s="13" t="s">
        <v>5289</v>
      </c>
      <c r="H1384" s="13" t="s">
        <v>5289</v>
      </c>
      <c r="I1384" s="13" t="s">
        <v>5289</v>
      </c>
      <c r="J1384" s="13" t="s">
        <v>5289</v>
      </c>
      <c r="K1384" s="13" t="s">
        <v>5289</v>
      </c>
      <c r="L1384" s="13" t="s">
        <v>6010</v>
      </c>
      <c r="M1384" s="13"/>
      <c r="N1384" s="13" t="n">
        <v>3386460097345</v>
      </c>
      <c r="O1384" s="13"/>
      <c r="P1384" s="13" t="s">
        <v>5291</v>
      </c>
      <c r="Q1384" s="13" t="s">
        <v>5289</v>
      </c>
      <c r="R1384" s="13" t="s">
        <v>5292</v>
      </c>
      <c r="S1384" s="13" t="s">
        <v>5293</v>
      </c>
      <c r="T1384" s="13" t="s">
        <v>4</v>
      </c>
      <c r="U1384" s="13" t="s">
        <v>43</v>
      </c>
      <c r="V1384" s="13" t="n">
        <f aca="false">IF(COUNTIF($B$2:B1384,B1384)=1,1,0)</f>
        <v>0</v>
      </c>
      <c r="W1384" s="13" t="n">
        <f aca="false">IF(COUNTIFS($B$2:B1384,B1384,$T$2:T1384,T1384)=1,1,0)</f>
        <v>0</v>
      </c>
    </row>
    <row r="1385" customFormat="false" ht="15" hidden="false" customHeight="false" outlineLevel="0" collapsed="false">
      <c r="A1385" s="13" t="s">
        <v>426</v>
      </c>
      <c r="B1385" s="13" t="s">
        <v>79</v>
      </c>
      <c r="C1385" s="13" t="n">
        <v>1300</v>
      </c>
      <c r="D1385" s="13" t="n">
        <v>2</v>
      </c>
      <c r="E1385" s="13" t="n">
        <v>666.255</v>
      </c>
      <c r="F1385" s="13" t="s">
        <v>5288</v>
      </c>
      <c r="G1385" s="13" t="s">
        <v>5289</v>
      </c>
      <c r="H1385" s="13" t="s">
        <v>5289</v>
      </c>
      <c r="I1385" s="13" t="s">
        <v>5289</v>
      </c>
      <c r="J1385" s="13" t="s">
        <v>5289</v>
      </c>
      <c r="K1385" s="13" t="s">
        <v>5289</v>
      </c>
      <c r="L1385" s="13" t="s">
        <v>6011</v>
      </c>
      <c r="M1385" s="13"/>
      <c r="N1385" s="13" t="n">
        <v>8056669925705</v>
      </c>
      <c r="O1385" s="13"/>
      <c r="P1385" s="13" t="s">
        <v>5291</v>
      </c>
      <c r="Q1385" s="13" t="s">
        <v>5289</v>
      </c>
      <c r="R1385" s="13" t="s">
        <v>5292</v>
      </c>
      <c r="S1385" s="13" t="s">
        <v>5293</v>
      </c>
      <c r="T1385" s="13" t="s">
        <v>4</v>
      </c>
      <c r="U1385" s="13" t="s">
        <v>43</v>
      </c>
      <c r="V1385" s="13" t="n">
        <f aca="false">IF(COUNTIF($B$2:B1385,B1385)=1,1,0)</f>
        <v>0</v>
      </c>
      <c r="W1385" s="13" t="n">
        <f aca="false">IF(COUNTIFS($B$2:B1385,B1385,$T$2:T1385,T1385)=1,1,0)</f>
        <v>0</v>
      </c>
    </row>
    <row r="1386" customFormat="false" ht="15" hidden="false" customHeight="false" outlineLevel="0" collapsed="false">
      <c r="A1386" s="13" t="s">
        <v>1126</v>
      </c>
      <c r="B1386" s="13" t="s">
        <v>45</v>
      </c>
      <c r="C1386" s="13" t="n">
        <v>1300</v>
      </c>
      <c r="D1386" s="13" t="n">
        <v>2</v>
      </c>
      <c r="E1386" s="13" t="n">
        <v>663.27</v>
      </c>
      <c r="F1386" s="13" t="s">
        <v>5288</v>
      </c>
      <c r="G1386" s="13" t="s">
        <v>5289</v>
      </c>
      <c r="H1386" s="13" t="s">
        <v>5292</v>
      </c>
      <c r="I1386" s="13" t="s">
        <v>5289</v>
      </c>
      <c r="J1386" s="13" t="s">
        <v>5289</v>
      </c>
      <c r="K1386" s="13" t="s">
        <v>5289</v>
      </c>
      <c r="L1386" s="13" t="s">
        <v>5727</v>
      </c>
      <c r="M1386" s="13"/>
      <c r="N1386" s="13" t="n">
        <v>8435415017244</v>
      </c>
      <c r="O1386" s="13"/>
      <c r="P1386" s="13" t="s">
        <v>5291</v>
      </c>
      <c r="Q1386" s="13" t="s">
        <v>5289</v>
      </c>
      <c r="R1386" s="13" t="s">
        <v>5292</v>
      </c>
      <c r="S1386" s="13" t="s">
        <v>5293</v>
      </c>
      <c r="T1386" s="13" t="s">
        <v>4</v>
      </c>
      <c r="U1386" s="13" t="s">
        <v>43</v>
      </c>
      <c r="V1386" s="13" t="n">
        <f aca="false">IF(COUNTIF($B$2:B1386,B1386)=1,1,0)</f>
        <v>0</v>
      </c>
      <c r="W1386" s="13" t="n">
        <f aca="false">IF(COUNTIFS($B$2:B1386,B1386,$T$2:T1386,T1386)=1,1,0)</f>
        <v>0</v>
      </c>
    </row>
    <row r="1387" customFormat="false" ht="15" hidden="false" customHeight="false" outlineLevel="0" collapsed="false">
      <c r="A1387" s="13" t="s">
        <v>6012</v>
      </c>
      <c r="B1387" s="13" t="s">
        <v>2138</v>
      </c>
      <c r="C1387" s="13" t="n">
        <v>1300</v>
      </c>
      <c r="D1387" s="13" t="n">
        <v>2</v>
      </c>
      <c r="E1387" s="13" t="n">
        <v>660.23</v>
      </c>
      <c r="F1387" s="13" t="s">
        <v>5288</v>
      </c>
      <c r="G1387" s="13" t="s">
        <v>5289</v>
      </c>
      <c r="H1387" s="13" t="s">
        <v>5292</v>
      </c>
      <c r="I1387" s="13" t="s">
        <v>5289</v>
      </c>
      <c r="J1387" s="13" t="s">
        <v>5289</v>
      </c>
      <c r="K1387" s="13" t="s">
        <v>5289</v>
      </c>
      <c r="L1387" s="13" t="s">
        <v>5834</v>
      </c>
      <c r="M1387" s="13"/>
      <c r="N1387" s="13" t="n">
        <v>3386460066075</v>
      </c>
      <c r="O1387" s="13"/>
      <c r="P1387" s="13" t="s">
        <v>5291</v>
      </c>
      <c r="Q1387" s="13" t="s">
        <v>5289</v>
      </c>
      <c r="R1387" s="13" t="s">
        <v>5292</v>
      </c>
      <c r="S1387" s="13" t="s">
        <v>5293</v>
      </c>
      <c r="T1387" s="13" t="s">
        <v>4</v>
      </c>
      <c r="U1387" s="13" t="s">
        <v>43</v>
      </c>
      <c r="V1387" s="13" t="n">
        <f aca="false">IF(COUNTIF($B$2:B1387,B1387)=1,1,0)</f>
        <v>0</v>
      </c>
      <c r="W1387" s="13" t="n">
        <f aca="false">IF(COUNTIFS($B$2:B1387,B1387,$T$2:T1387,T1387)=1,1,0)</f>
        <v>0</v>
      </c>
    </row>
    <row r="1388" customFormat="false" ht="15" hidden="false" customHeight="false" outlineLevel="0" collapsed="false">
      <c r="A1388" s="13" t="s">
        <v>1127</v>
      </c>
      <c r="B1388" s="13" t="s">
        <v>312</v>
      </c>
      <c r="C1388" s="13" t="n">
        <v>1300</v>
      </c>
      <c r="D1388" s="13" t="n">
        <v>5</v>
      </c>
      <c r="E1388" s="13" t="n">
        <v>188.561428571429</v>
      </c>
      <c r="F1388" s="13" t="s">
        <v>5288</v>
      </c>
      <c r="G1388" s="13" t="s">
        <v>5289</v>
      </c>
      <c r="H1388" s="13" t="s">
        <v>5292</v>
      </c>
      <c r="I1388" s="13" t="s">
        <v>5289</v>
      </c>
      <c r="J1388" s="13" t="s">
        <v>5289</v>
      </c>
      <c r="K1388" s="13" t="s">
        <v>5289</v>
      </c>
      <c r="L1388" s="13" t="s">
        <v>6013</v>
      </c>
      <c r="M1388" s="13"/>
      <c r="N1388" s="13" t="n">
        <v>3700608320339</v>
      </c>
      <c r="O1388" s="13"/>
      <c r="P1388" s="13" t="s">
        <v>5291</v>
      </c>
      <c r="Q1388" s="13" t="s">
        <v>5289</v>
      </c>
      <c r="R1388" s="13" t="s">
        <v>5292</v>
      </c>
      <c r="S1388" s="13" t="s">
        <v>5293</v>
      </c>
      <c r="T1388" s="13" t="s">
        <v>4</v>
      </c>
      <c r="U1388" s="13" t="s">
        <v>43</v>
      </c>
      <c r="V1388" s="13" t="n">
        <f aca="false">IF(COUNTIF($B$2:B1388,B1388)=1,1,0)</f>
        <v>0</v>
      </c>
      <c r="W1388" s="13" t="n">
        <f aca="false">IF(COUNTIFS($B$2:B1388,B1388,$T$2:T1388,T1388)=1,1,0)</f>
        <v>0</v>
      </c>
    </row>
    <row r="1389" customFormat="false" ht="15" hidden="false" customHeight="false" outlineLevel="0" collapsed="false">
      <c r="A1389" s="13" t="s">
        <v>1121</v>
      </c>
      <c r="B1389" s="13" t="s">
        <v>153</v>
      </c>
      <c r="C1389" s="13" t="n">
        <v>1300</v>
      </c>
      <c r="D1389" s="13" t="n">
        <v>2</v>
      </c>
      <c r="E1389" s="13" t="n">
        <v>655.17</v>
      </c>
      <c r="F1389" s="13" t="s">
        <v>5325</v>
      </c>
      <c r="G1389" s="13" t="s">
        <v>5289</v>
      </c>
      <c r="H1389" s="13" t="s">
        <v>5292</v>
      </c>
      <c r="I1389" s="13" t="s">
        <v>5289</v>
      </c>
      <c r="J1389" s="13" t="s">
        <v>5289</v>
      </c>
      <c r="K1389" s="13" t="s">
        <v>5289</v>
      </c>
      <c r="L1389" s="13" t="s">
        <v>6014</v>
      </c>
      <c r="M1389" s="13"/>
      <c r="N1389" s="13" t="n">
        <v>8011003861224</v>
      </c>
      <c r="O1389" s="13"/>
      <c r="P1389" s="13" t="s">
        <v>5291</v>
      </c>
      <c r="Q1389" s="13" t="s">
        <v>5289</v>
      </c>
      <c r="R1389" s="13" t="s">
        <v>5292</v>
      </c>
      <c r="S1389" s="13" t="s">
        <v>5293</v>
      </c>
      <c r="T1389" s="13" t="s">
        <v>4</v>
      </c>
      <c r="U1389" s="13" t="s">
        <v>43</v>
      </c>
      <c r="V1389" s="13" t="n">
        <f aca="false">IF(COUNTIF($B$2:B1389,B1389)=1,1,0)</f>
        <v>0</v>
      </c>
      <c r="W1389" s="13" t="n">
        <f aca="false">IF(COUNTIFS($B$2:B1389,B1389,$T$2:T1389,T1389)=1,1,0)</f>
        <v>0</v>
      </c>
    </row>
    <row r="1390" customFormat="false" ht="15" hidden="false" customHeight="false" outlineLevel="0" collapsed="false">
      <c r="A1390" s="13" t="s">
        <v>6015</v>
      </c>
      <c r="B1390" s="13" t="s">
        <v>2111</v>
      </c>
      <c r="C1390" s="13" t="n">
        <v>1300</v>
      </c>
      <c r="D1390" s="13" t="n">
        <v>2</v>
      </c>
      <c r="E1390" s="13" t="n">
        <v>654.02</v>
      </c>
      <c r="F1390" s="13" t="s">
        <v>5325</v>
      </c>
      <c r="G1390" s="13" t="s">
        <v>5292</v>
      </c>
      <c r="H1390" s="13" t="s">
        <v>5289</v>
      </c>
      <c r="I1390" s="13" t="s">
        <v>5289</v>
      </c>
      <c r="J1390" s="13" t="s">
        <v>5289</v>
      </c>
      <c r="K1390" s="13" t="s">
        <v>5289</v>
      </c>
      <c r="L1390" s="13" t="s">
        <v>5848</v>
      </c>
      <c r="M1390" s="13"/>
      <c r="N1390" s="13" t="n">
        <v>3386460160827</v>
      </c>
      <c r="O1390" s="13"/>
      <c r="P1390" s="13" t="s">
        <v>5291</v>
      </c>
      <c r="Q1390" s="13" t="s">
        <v>5289</v>
      </c>
      <c r="R1390" s="13" t="s">
        <v>5292</v>
      </c>
      <c r="S1390" s="13" t="s">
        <v>5293</v>
      </c>
      <c r="T1390" s="13" t="s">
        <v>4</v>
      </c>
      <c r="U1390" s="13" t="s">
        <v>43</v>
      </c>
      <c r="V1390" s="13" t="n">
        <f aca="false">IF(COUNTIF($B$2:B1390,B1390)=1,1,0)</f>
        <v>0</v>
      </c>
      <c r="W1390" s="13" t="n">
        <f aca="false">IF(COUNTIFS($B$2:B1390,B1390,$T$2:T1390,T1390)=1,1,0)</f>
        <v>0</v>
      </c>
    </row>
    <row r="1391" customFormat="false" ht="15" hidden="false" customHeight="false" outlineLevel="0" collapsed="false">
      <c r="A1391" s="13" t="s">
        <v>1120</v>
      </c>
      <c r="B1391" s="13" t="s">
        <v>42</v>
      </c>
      <c r="C1391" s="13" t="n">
        <v>1300</v>
      </c>
      <c r="D1391" s="13" t="n">
        <v>2</v>
      </c>
      <c r="E1391" s="13" t="n">
        <v>652.74</v>
      </c>
      <c r="F1391" s="13" t="s">
        <v>5288</v>
      </c>
      <c r="G1391" s="13" t="s">
        <v>5289</v>
      </c>
      <c r="H1391" s="13" t="s">
        <v>5292</v>
      </c>
      <c r="I1391" s="13" t="s">
        <v>5289</v>
      </c>
      <c r="J1391" s="13" t="s">
        <v>5289</v>
      </c>
      <c r="K1391" s="13" t="s">
        <v>5289</v>
      </c>
      <c r="L1391" s="13" t="s">
        <v>5691</v>
      </c>
      <c r="M1391" s="13"/>
      <c r="N1391" s="13" t="n">
        <v>8411061043844</v>
      </c>
      <c r="O1391" s="13"/>
      <c r="P1391" s="13" t="s">
        <v>5291</v>
      </c>
      <c r="Q1391" s="13" t="s">
        <v>5289</v>
      </c>
      <c r="R1391" s="13" t="s">
        <v>5292</v>
      </c>
      <c r="S1391" s="13" t="s">
        <v>5293</v>
      </c>
      <c r="T1391" s="13" t="s">
        <v>4</v>
      </c>
      <c r="U1391" s="13" t="s">
        <v>43</v>
      </c>
      <c r="V1391" s="13" t="n">
        <f aca="false">IF(COUNTIF($B$2:B1391,B1391)=1,1,0)</f>
        <v>0</v>
      </c>
      <c r="W1391" s="13" t="n">
        <f aca="false">IF(COUNTIFS($B$2:B1391,B1391,$T$2:T1391,T1391)=1,1,0)</f>
        <v>0</v>
      </c>
    </row>
    <row r="1392" customFormat="false" ht="15" hidden="false" customHeight="false" outlineLevel="0" collapsed="false">
      <c r="A1392" s="13" t="s">
        <v>1128</v>
      </c>
      <c r="B1392" s="13" t="s">
        <v>286</v>
      </c>
      <c r="C1392" s="13" t="n">
        <v>1300</v>
      </c>
      <c r="D1392" s="13" t="n">
        <v>5</v>
      </c>
      <c r="E1392" s="13" t="n">
        <v>260.89</v>
      </c>
      <c r="F1392" s="13" t="s">
        <v>5288</v>
      </c>
      <c r="G1392" s="13" t="s">
        <v>5289</v>
      </c>
      <c r="H1392" s="13" t="s">
        <v>5292</v>
      </c>
      <c r="I1392" s="13" t="s">
        <v>5289</v>
      </c>
      <c r="J1392" s="13" t="s">
        <v>5289</v>
      </c>
      <c r="K1392" s="13" t="s">
        <v>5289</v>
      </c>
      <c r="L1392" s="13" t="s">
        <v>6016</v>
      </c>
      <c r="M1392" s="13"/>
      <c r="N1392" s="13" t="n">
        <v>6294015102239</v>
      </c>
      <c r="O1392" s="13"/>
      <c r="P1392" s="13" t="s">
        <v>5291</v>
      </c>
      <c r="Q1392" s="13" t="s">
        <v>5289</v>
      </c>
      <c r="R1392" s="13" t="s">
        <v>5292</v>
      </c>
      <c r="S1392" s="13" t="s">
        <v>5293</v>
      </c>
      <c r="T1392" s="13" t="s">
        <v>4</v>
      </c>
      <c r="U1392" s="13" t="s">
        <v>43</v>
      </c>
      <c r="V1392" s="13" t="n">
        <f aca="false">IF(COUNTIF($B$2:B1392,B1392)=1,1,0)</f>
        <v>0</v>
      </c>
      <c r="W1392" s="13" t="n">
        <f aca="false">IF(COUNTIFS($B$2:B1392,B1392,$T$2:T1392,T1392)=1,1,0)</f>
        <v>0</v>
      </c>
    </row>
    <row r="1393" customFormat="false" ht="15" hidden="false" customHeight="false" outlineLevel="0" collapsed="false">
      <c r="A1393" s="13" t="s">
        <v>1129</v>
      </c>
      <c r="B1393" s="13" t="s">
        <v>490</v>
      </c>
      <c r="C1393" s="13" t="n">
        <v>1300</v>
      </c>
      <c r="D1393" s="13" t="n">
        <v>2</v>
      </c>
      <c r="E1393" s="13" t="n">
        <v>433.71</v>
      </c>
      <c r="F1393" s="13" t="s">
        <v>5288</v>
      </c>
      <c r="G1393" s="13" t="s">
        <v>5289</v>
      </c>
      <c r="H1393" s="13" t="s">
        <v>5289</v>
      </c>
      <c r="I1393" s="13" t="s">
        <v>5289</v>
      </c>
      <c r="J1393" s="13" t="s">
        <v>5289</v>
      </c>
      <c r="K1393" s="13" t="s">
        <v>5289</v>
      </c>
      <c r="L1393" s="13" t="s">
        <v>6017</v>
      </c>
      <c r="M1393" s="13"/>
      <c r="N1393" s="13" t="n">
        <v>8011003991457</v>
      </c>
      <c r="O1393" s="13"/>
      <c r="P1393" s="13" t="s">
        <v>5291</v>
      </c>
      <c r="Q1393" s="13" t="s">
        <v>5289</v>
      </c>
      <c r="R1393" s="13" t="s">
        <v>5292</v>
      </c>
      <c r="S1393" s="13" t="s">
        <v>5293</v>
      </c>
      <c r="T1393" s="13" t="s">
        <v>4</v>
      </c>
      <c r="U1393" s="13" t="s">
        <v>43</v>
      </c>
      <c r="V1393" s="13" t="n">
        <f aca="false">IF(COUNTIF($B$2:B1393,B1393)=1,1,0)</f>
        <v>0</v>
      </c>
      <c r="W1393" s="13" t="n">
        <f aca="false">IF(COUNTIFS($B$2:B1393,B1393,$T$2:T1393,T1393)=1,1,0)</f>
        <v>0</v>
      </c>
    </row>
    <row r="1394" customFormat="false" ht="15" hidden="false" customHeight="false" outlineLevel="0" collapsed="false">
      <c r="A1394" s="13" t="s">
        <v>1130</v>
      </c>
      <c r="B1394" s="13" t="s">
        <v>45</v>
      </c>
      <c r="C1394" s="13" t="n">
        <v>1300</v>
      </c>
      <c r="D1394" s="13" t="n">
        <v>2</v>
      </c>
      <c r="E1394" s="13" t="n">
        <v>650.56</v>
      </c>
      <c r="F1394" s="13" t="s">
        <v>5325</v>
      </c>
      <c r="G1394" s="13" t="s">
        <v>5292</v>
      </c>
      <c r="H1394" s="13" t="s">
        <v>5292</v>
      </c>
      <c r="I1394" s="13" t="s">
        <v>5289</v>
      </c>
      <c r="J1394" s="13" t="s">
        <v>5289</v>
      </c>
      <c r="K1394" s="13" t="s">
        <v>5289</v>
      </c>
      <c r="L1394" s="13" t="s">
        <v>5949</v>
      </c>
      <c r="M1394" s="13"/>
      <c r="N1394" s="13" t="n">
        <v>8435415017213</v>
      </c>
      <c r="O1394" s="13"/>
      <c r="P1394" s="13" t="s">
        <v>5291</v>
      </c>
      <c r="Q1394" s="13" t="s">
        <v>5289</v>
      </c>
      <c r="R1394" s="13" t="s">
        <v>5292</v>
      </c>
      <c r="S1394" s="13" t="s">
        <v>5293</v>
      </c>
      <c r="T1394" s="13" t="s">
        <v>4</v>
      </c>
      <c r="U1394" s="13" t="s">
        <v>43</v>
      </c>
      <c r="V1394" s="13" t="n">
        <f aca="false">IF(COUNTIF($B$2:B1394,B1394)=1,1,0)</f>
        <v>0</v>
      </c>
      <c r="W1394" s="13" t="n">
        <f aca="false">IF(COUNTIFS($B$2:B1394,B1394,$T$2:T1394,T1394)=1,1,0)</f>
        <v>0</v>
      </c>
    </row>
    <row r="1395" customFormat="false" ht="15" hidden="false" customHeight="false" outlineLevel="0" collapsed="false">
      <c r="A1395" s="13" t="s">
        <v>1138</v>
      </c>
      <c r="B1395" s="13" t="s">
        <v>42</v>
      </c>
      <c r="C1395" s="13" t="n">
        <v>1300</v>
      </c>
      <c r="D1395" s="13" t="n">
        <v>2</v>
      </c>
      <c r="E1395" s="13" t="n">
        <v>650.07</v>
      </c>
      <c r="F1395" s="13" t="s">
        <v>5325</v>
      </c>
      <c r="G1395" s="13" t="s">
        <v>5289</v>
      </c>
      <c r="H1395" s="13" t="s">
        <v>5289</v>
      </c>
      <c r="I1395" s="13" t="s">
        <v>5289</v>
      </c>
      <c r="J1395" s="13" t="s">
        <v>5289</v>
      </c>
      <c r="K1395" s="13" t="s">
        <v>5289</v>
      </c>
      <c r="L1395" s="13" t="s">
        <v>5816</v>
      </c>
      <c r="M1395" s="13"/>
      <c r="N1395" s="13" t="n">
        <v>8411061067901</v>
      </c>
      <c r="O1395" s="13"/>
      <c r="P1395" s="13" t="s">
        <v>5291</v>
      </c>
      <c r="Q1395" s="13" t="s">
        <v>5289</v>
      </c>
      <c r="R1395" s="13" t="s">
        <v>5292</v>
      </c>
      <c r="S1395" s="13" t="s">
        <v>5293</v>
      </c>
      <c r="T1395" s="13" t="s">
        <v>4</v>
      </c>
      <c r="U1395" s="13" t="s">
        <v>43</v>
      </c>
      <c r="V1395" s="13" t="n">
        <f aca="false">IF(COUNTIF($B$2:B1395,B1395)=1,1,0)</f>
        <v>0</v>
      </c>
      <c r="W1395" s="13" t="n">
        <f aca="false">IF(COUNTIFS($B$2:B1395,B1395,$T$2:T1395,T1395)=1,1,0)</f>
        <v>0</v>
      </c>
    </row>
    <row r="1396" customFormat="false" ht="15" hidden="false" customHeight="false" outlineLevel="0" collapsed="false">
      <c r="A1396" s="13" t="s">
        <v>1114</v>
      </c>
      <c r="B1396" s="13" t="s">
        <v>45</v>
      </c>
      <c r="C1396" s="13" t="n">
        <v>1300</v>
      </c>
      <c r="D1396" s="13" t="n">
        <v>2</v>
      </c>
      <c r="E1396" s="13" t="n">
        <v>646</v>
      </c>
      <c r="F1396" s="13" t="s">
        <v>5288</v>
      </c>
      <c r="G1396" s="13" t="s">
        <v>5289</v>
      </c>
      <c r="H1396" s="13" t="s">
        <v>5292</v>
      </c>
      <c r="I1396" s="13" t="s">
        <v>5289</v>
      </c>
      <c r="J1396" s="13" t="s">
        <v>5289</v>
      </c>
      <c r="K1396" s="13" t="s">
        <v>5289</v>
      </c>
      <c r="L1396" s="13" t="s">
        <v>5687</v>
      </c>
      <c r="M1396" s="13"/>
      <c r="N1396" s="13" t="n">
        <v>8435415091169</v>
      </c>
      <c r="O1396" s="13"/>
      <c r="P1396" s="13" t="s">
        <v>5297</v>
      </c>
      <c r="Q1396" s="13" t="s">
        <v>5289</v>
      </c>
      <c r="R1396" s="13" t="s">
        <v>5292</v>
      </c>
      <c r="S1396" s="13" t="s">
        <v>5293</v>
      </c>
      <c r="T1396" s="13" t="s">
        <v>4</v>
      </c>
      <c r="U1396" s="13" t="s">
        <v>43</v>
      </c>
      <c r="V1396" s="13" t="n">
        <f aca="false">IF(COUNTIF($B$2:B1396,B1396)=1,1,0)</f>
        <v>0</v>
      </c>
      <c r="W1396" s="13" t="n">
        <f aca="false">IF(COUNTIFS($B$2:B1396,B1396,$T$2:T1396,T1396)=1,1,0)</f>
        <v>0</v>
      </c>
    </row>
    <row r="1397" customFormat="false" ht="15" hidden="false" customHeight="false" outlineLevel="0" collapsed="false">
      <c r="A1397" s="13" t="s">
        <v>1125</v>
      </c>
      <c r="B1397" s="13" t="s">
        <v>50</v>
      </c>
      <c r="C1397" s="13" t="n">
        <v>1300</v>
      </c>
      <c r="D1397" s="13" t="n">
        <v>2</v>
      </c>
      <c r="E1397" s="13" t="n">
        <v>645.24</v>
      </c>
      <c r="F1397" s="13" t="s">
        <v>5288</v>
      </c>
      <c r="G1397" s="13" t="s">
        <v>5289</v>
      </c>
      <c r="H1397" s="13" t="s">
        <v>5292</v>
      </c>
      <c r="I1397" s="13" t="s">
        <v>5289</v>
      </c>
      <c r="J1397" s="13" t="s">
        <v>5289</v>
      </c>
      <c r="K1397" s="13" t="s">
        <v>5289</v>
      </c>
      <c r="L1397" s="13" t="s">
        <v>6018</v>
      </c>
      <c r="M1397" s="13"/>
      <c r="N1397" s="13" t="n">
        <v>3349668588732</v>
      </c>
      <c r="O1397" s="13"/>
      <c r="P1397" s="13" t="s">
        <v>5291</v>
      </c>
      <c r="Q1397" s="13" t="s">
        <v>5289</v>
      </c>
      <c r="R1397" s="13" t="s">
        <v>5292</v>
      </c>
      <c r="S1397" s="13" t="s">
        <v>5293</v>
      </c>
      <c r="T1397" s="13" t="s">
        <v>4</v>
      </c>
      <c r="U1397" s="13" t="s">
        <v>43</v>
      </c>
      <c r="V1397" s="13" t="n">
        <f aca="false">IF(COUNTIF($B$2:B1397,B1397)=1,1,0)</f>
        <v>0</v>
      </c>
      <c r="W1397" s="13" t="n">
        <f aca="false">IF(COUNTIFS($B$2:B1397,B1397,$T$2:T1397,T1397)=1,1,0)</f>
        <v>0</v>
      </c>
    </row>
    <row r="1398" customFormat="false" ht="15" hidden="false" customHeight="false" outlineLevel="0" collapsed="false">
      <c r="A1398" s="13" t="s">
        <v>412</v>
      </c>
      <c r="B1398" s="13" t="s">
        <v>50</v>
      </c>
      <c r="C1398" s="13" t="n">
        <v>1300</v>
      </c>
      <c r="D1398" s="13" t="n">
        <v>2</v>
      </c>
      <c r="E1398" s="13" t="n">
        <v>642.93</v>
      </c>
      <c r="F1398" s="13" t="s">
        <v>5288</v>
      </c>
      <c r="G1398" s="13" t="s">
        <v>5289</v>
      </c>
      <c r="H1398" s="13" t="s">
        <v>5292</v>
      </c>
      <c r="I1398" s="13" t="s">
        <v>5289</v>
      </c>
      <c r="J1398" s="13" t="s">
        <v>5289</v>
      </c>
      <c r="K1398" s="13" t="s">
        <v>5289</v>
      </c>
      <c r="L1398" s="13" t="s">
        <v>5718</v>
      </c>
      <c r="M1398" s="13"/>
      <c r="N1398" s="13" t="n">
        <v>3349668576111</v>
      </c>
      <c r="O1398" s="13"/>
      <c r="P1398" s="13" t="s">
        <v>5291</v>
      </c>
      <c r="Q1398" s="13" t="s">
        <v>5289</v>
      </c>
      <c r="R1398" s="13" t="s">
        <v>5292</v>
      </c>
      <c r="S1398" s="13" t="s">
        <v>5293</v>
      </c>
      <c r="T1398" s="13" t="s">
        <v>4</v>
      </c>
      <c r="U1398" s="13" t="s">
        <v>43</v>
      </c>
      <c r="V1398" s="13" t="n">
        <f aca="false">IF(COUNTIF($B$2:B1398,B1398)=1,1,0)</f>
        <v>0</v>
      </c>
      <c r="W1398" s="13" t="n">
        <f aca="false">IF(COUNTIFS($B$2:B1398,B1398,$T$2:T1398,T1398)=1,1,0)</f>
        <v>0</v>
      </c>
    </row>
    <row r="1399" customFormat="false" ht="15" hidden="false" customHeight="false" outlineLevel="0" collapsed="false">
      <c r="A1399" s="13" t="s">
        <v>46</v>
      </c>
      <c r="B1399" s="13" t="s">
        <v>45</v>
      </c>
      <c r="C1399" s="13" t="n">
        <v>1300</v>
      </c>
      <c r="D1399" s="13" t="n">
        <v>2</v>
      </c>
      <c r="E1399" s="13" t="n">
        <v>642.93</v>
      </c>
      <c r="F1399" s="13" t="s">
        <v>5288</v>
      </c>
      <c r="G1399" s="13" t="s">
        <v>5289</v>
      </c>
      <c r="H1399" s="13" t="s">
        <v>5292</v>
      </c>
      <c r="I1399" s="13" t="s">
        <v>5289</v>
      </c>
      <c r="J1399" s="13" t="s">
        <v>5289</v>
      </c>
      <c r="K1399" s="13" t="s">
        <v>5289</v>
      </c>
      <c r="L1399" s="13" t="s">
        <v>6019</v>
      </c>
      <c r="M1399" s="13"/>
      <c r="N1399" s="13" t="n">
        <v>8435415076937</v>
      </c>
      <c r="O1399" s="13"/>
      <c r="P1399" s="13" t="s">
        <v>5291</v>
      </c>
      <c r="Q1399" s="13" t="s">
        <v>5289</v>
      </c>
      <c r="R1399" s="13" t="s">
        <v>5292</v>
      </c>
      <c r="S1399" s="13" t="s">
        <v>5293</v>
      </c>
      <c r="T1399" s="13" t="s">
        <v>4</v>
      </c>
      <c r="U1399" s="13" t="s">
        <v>43</v>
      </c>
      <c r="V1399" s="13" t="n">
        <f aca="false">IF(COUNTIF($B$2:B1399,B1399)=1,1,0)</f>
        <v>0</v>
      </c>
      <c r="W1399" s="13" t="n">
        <f aca="false">IF(COUNTIFS($B$2:B1399,B1399,$T$2:T1399,T1399)=1,1,0)</f>
        <v>0</v>
      </c>
    </row>
    <row r="1400" customFormat="false" ht="15" hidden="false" customHeight="false" outlineLevel="0" collapsed="false">
      <c r="A1400" s="13" t="s">
        <v>3898</v>
      </c>
      <c r="B1400" s="13" t="s">
        <v>2120</v>
      </c>
      <c r="C1400" s="13" t="n">
        <v>1300</v>
      </c>
      <c r="D1400" s="13" t="n">
        <v>2</v>
      </c>
      <c r="E1400" s="13" t="n">
        <v>636.37</v>
      </c>
      <c r="F1400" s="13" t="s">
        <v>5288</v>
      </c>
      <c r="G1400" s="13" t="s">
        <v>5292</v>
      </c>
      <c r="H1400" s="13" t="s">
        <v>5292</v>
      </c>
      <c r="I1400" s="13" t="s">
        <v>5289</v>
      </c>
      <c r="J1400" s="13" t="s">
        <v>5289</v>
      </c>
      <c r="K1400" s="13" t="s">
        <v>5289</v>
      </c>
      <c r="L1400" s="13" t="s">
        <v>6020</v>
      </c>
      <c r="M1400" s="13"/>
      <c r="N1400" s="13" t="n">
        <v>3423470300161</v>
      </c>
      <c r="O1400" s="13"/>
      <c r="P1400" s="13" t="s">
        <v>5291</v>
      </c>
      <c r="Q1400" s="13" t="s">
        <v>5289</v>
      </c>
      <c r="R1400" s="13" t="s">
        <v>5292</v>
      </c>
      <c r="S1400" s="13" t="s">
        <v>5293</v>
      </c>
      <c r="T1400" s="13" t="s">
        <v>4</v>
      </c>
      <c r="U1400" s="13" t="s">
        <v>85</v>
      </c>
      <c r="V1400" s="13" t="n">
        <f aca="false">IF(COUNTIF($B$2:B1400,B1400)=1,1,0)</f>
        <v>0</v>
      </c>
      <c r="W1400" s="13" t="n">
        <f aca="false">IF(COUNTIFS($B$2:B1400,B1400,$T$2:T1400,T1400)=1,1,0)</f>
        <v>0</v>
      </c>
    </row>
    <row r="1401" customFormat="false" ht="15" hidden="false" customHeight="false" outlineLevel="0" collapsed="false">
      <c r="A1401" s="13" t="s">
        <v>113</v>
      </c>
      <c r="B1401" s="13" t="s">
        <v>45</v>
      </c>
      <c r="C1401" s="13" t="n">
        <v>1300</v>
      </c>
      <c r="D1401" s="13" t="n">
        <v>2</v>
      </c>
      <c r="E1401" s="13" t="n">
        <v>634.23</v>
      </c>
      <c r="F1401" s="13" t="s">
        <v>5288</v>
      </c>
      <c r="G1401" s="13" t="s">
        <v>5289</v>
      </c>
      <c r="H1401" s="13" t="s">
        <v>5289</v>
      </c>
      <c r="I1401" s="13" t="s">
        <v>5289</v>
      </c>
      <c r="J1401" s="13" t="s">
        <v>5289</v>
      </c>
      <c r="K1401" s="13" t="s">
        <v>5289</v>
      </c>
      <c r="L1401" s="13" t="s">
        <v>6021</v>
      </c>
      <c r="M1401" s="13"/>
      <c r="N1401" s="13" t="n">
        <v>8435415100496</v>
      </c>
      <c r="O1401" s="13"/>
      <c r="P1401" s="13" t="s">
        <v>5291</v>
      </c>
      <c r="Q1401" s="13" t="s">
        <v>5289</v>
      </c>
      <c r="R1401" s="13" t="s">
        <v>5292</v>
      </c>
      <c r="S1401" s="13" t="s">
        <v>5293</v>
      </c>
      <c r="T1401" s="13" t="s">
        <v>4</v>
      </c>
      <c r="U1401" s="13" t="s">
        <v>43</v>
      </c>
      <c r="V1401" s="13" t="n">
        <f aca="false">IF(COUNTIF($B$2:B1401,B1401)=1,1,0)</f>
        <v>0</v>
      </c>
      <c r="W1401" s="13" t="n">
        <f aca="false">IF(COUNTIFS($B$2:B1401,B1401,$T$2:T1401,T1401)=1,1,0)</f>
        <v>0</v>
      </c>
    </row>
    <row r="1402" customFormat="false" ht="15" hidden="false" customHeight="false" outlineLevel="0" collapsed="false">
      <c r="A1402" s="13" t="s">
        <v>53</v>
      </c>
      <c r="B1402" s="13" t="s">
        <v>42</v>
      </c>
      <c r="C1402" s="13" t="n">
        <v>1300</v>
      </c>
      <c r="D1402" s="13" t="n">
        <v>2</v>
      </c>
      <c r="E1402" s="13" t="n">
        <v>634.23</v>
      </c>
      <c r="F1402" s="13" t="s">
        <v>5288</v>
      </c>
      <c r="G1402" s="13" t="s">
        <v>5289</v>
      </c>
      <c r="H1402" s="13" t="s">
        <v>5289</v>
      </c>
      <c r="I1402" s="13" t="s">
        <v>5289</v>
      </c>
      <c r="J1402" s="13" t="s">
        <v>5289</v>
      </c>
      <c r="K1402" s="13" t="s">
        <v>5289</v>
      </c>
      <c r="L1402" s="13" t="s">
        <v>6022</v>
      </c>
      <c r="M1402" s="13"/>
      <c r="N1402" s="13" t="n">
        <v>8411061972656</v>
      </c>
      <c r="O1402" s="13"/>
      <c r="P1402" s="13" t="s">
        <v>5291</v>
      </c>
      <c r="Q1402" s="13" t="s">
        <v>5289</v>
      </c>
      <c r="R1402" s="13" t="s">
        <v>5292</v>
      </c>
      <c r="S1402" s="13" t="s">
        <v>5293</v>
      </c>
      <c r="T1402" s="13" t="s">
        <v>4</v>
      </c>
      <c r="U1402" s="13" t="s">
        <v>43</v>
      </c>
      <c r="V1402" s="13" t="n">
        <f aca="false">IF(COUNTIF($B$2:B1402,B1402)=1,1,0)</f>
        <v>0</v>
      </c>
      <c r="W1402" s="13" t="n">
        <f aca="false">IF(COUNTIFS($B$2:B1402,B1402,$T$2:T1402,T1402)=1,1,0)</f>
        <v>0</v>
      </c>
    </row>
    <row r="1403" customFormat="false" ht="15" hidden="false" customHeight="false" outlineLevel="0" collapsed="false">
      <c r="A1403" s="13" t="s">
        <v>1140</v>
      </c>
      <c r="B1403" s="13" t="s">
        <v>45</v>
      </c>
      <c r="C1403" s="13" t="n">
        <v>1300</v>
      </c>
      <c r="D1403" s="13" t="n">
        <v>2</v>
      </c>
      <c r="E1403" s="13" t="n">
        <v>634.23</v>
      </c>
      <c r="F1403" s="13" t="s">
        <v>5288</v>
      </c>
      <c r="G1403" s="13" t="s">
        <v>5289</v>
      </c>
      <c r="H1403" s="13" t="s">
        <v>5292</v>
      </c>
      <c r="I1403" s="13" t="s">
        <v>5289</v>
      </c>
      <c r="J1403" s="13" t="s">
        <v>5289</v>
      </c>
      <c r="K1403" s="13" t="s">
        <v>5289</v>
      </c>
      <c r="L1403" s="13" t="s">
        <v>6021</v>
      </c>
      <c r="M1403" s="13"/>
      <c r="N1403" s="13" t="n">
        <v>8435415100496</v>
      </c>
      <c r="O1403" s="13"/>
      <c r="P1403" s="13" t="s">
        <v>5291</v>
      </c>
      <c r="Q1403" s="13" t="s">
        <v>5289</v>
      </c>
      <c r="R1403" s="13" t="s">
        <v>5292</v>
      </c>
      <c r="S1403" s="13" t="s">
        <v>5293</v>
      </c>
      <c r="T1403" s="13" t="s">
        <v>4</v>
      </c>
      <c r="U1403" s="13" t="s">
        <v>43</v>
      </c>
      <c r="V1403" s="13" t="n">
        <f aca="false">IF(COUNTIF($B$2:B1403,B1403)=1,1,0)</f>
        <v>0</v>
      </c>
      <c r="W1403" s="13" t="n">
        <f aca="false">IF(COUNTIFS($B$2:B1403,B1403,$T$2:T1403,T1403)=1,1,0)</f>
        <v>0</v>
      </c>
    </row>
    <row r="1404" customFormat="false" ht="15" hidden="false" customHeight="false" outlineLevel="0" collapsed="false">
      <c r="A1404" s="13" t="s">
        <v>1139</v>
      </c>
      <c r="B1404" s="13" t="s">
        <v>50</v>
      </c>
      <c r="C1404" s="13" t="n">
        <v>1300</v>
      </c>
      <c r="D1404" s="13" t="n">
        <v>2</v>
      </c>
      <c r="E1404" s="13" t="n">
        <v>633.88</v>
      </c>
      <c r="F1404" s="13" t="s">
        <v>5325</v>
      </c>
      <c r="G1404" s="13" t="s">
        <v>5289</v>
      </c>
      <c r="H1404" s="13" t="s">
        <v>5289</v>
      </c>
      <c r="I1404" s="13" t="s">
        <v>5289</v>
      </c>
      <c r="J1404" s="13" t="s">
        <v>5289</v>
      </c>
      <c r="K1404" s="13" t="s">
        <v>5289</v>
      </c>
      <c r="L1404" s="13" t="s">
        <v>6023</v>
      </c>
      <c r="M1404" s="13"/>
      <c r="N1404" s="13" t="n">
        <v>3349668576081</v>
      </c>
      <c r="O1404" s="13"/>
      <c r="P1404" s="13" t="s">
        <v>5291</v>
      </c>
      <c r="Q1404" s="13" t="s">
        <v>5289</v>
      </c>
      <c r="R1404" s="13" t="s">
        <v>5292</v>
      </c>
      <c r="S1404" s="13" t="s">
        <v>5293</v>
      </c>
      <c r="T1404" s="13" t="s">
        <v>4</v>
      </c>
      <c r="U1404" s="13" t="s">
        <v>43</v>
      </c>
      <c r="V1404" s="13" t="n">
        <f aca="false">IF(COUNTIF($B$2:B1404,B1404)=1,1,0)</f>
        <v>0</v>
      </c>
      <c r="W1404" s="13" t="n">
        <f aca="false">IF(COUNTIFS($B$2:B1404,B1404,$T$2:T1404,T1404)=1,1,0)</f>
        <v>0</v>
      </c>
    </row>
    <row r="1405" customFormat="false" ht="15" hidden="false" customHeight="false" outlineLevel="0" collapsed="false">
      <c r="A1405" s="13" t="s">
        <v>1141</v>
      </c>
      <c r="B1405" s="13" t="s">
        <v>161</v>
      </c>
      <c r="C1405" s="13" t="n">
        <v>1300</v>
      </c>
      <c r="D1405" s="13" t="n">
        <v>5</v>
      </c>
      <c r="E1405" s="13" t="n">
        <v>253.168</v>
      </c>
      <c r="F1405" s="13" t="s">
        <v>5288</v>
      </c>
      <c r="G1405" s="13" t="s">
        <v>5289</v>
      </c>
      <c r="H1405" s="13" t="s">
        <v>5292</v>
      </c>
      <c r="I1405" s="13" t="s">
        <v>5289</v>
      </c>
      <c r="J1405" s="13" t="s">
        <v>5289</v>
      </c>
      <c r="K1405" s="13" t="s">
        <v>5289</v>
      </c>
      <c r="L1405" s="13" t="s">
        <v>5788</v>
      </c>
      <c r="M1405" s="13"/>
      <c r="N1405" s="13" t="n">
        <v>3355991003019</v>
      </c>
      <c r="O1405" s="13"/>
      <c r="P1405" s="13" t="s">
        <v>5291</v>
      </c>
      <c r="Q1405" s="13" t="s">
        <v>5289</v>
      </c>
      <c r="R1405" s="13" t="s">
        <v>5292</v>
      </c>
      <c r="S1405" s="13" t="s">
        <v>5293</v>
      </c>
      <c r="T1405" s="13" t="s">
        <v>4</v>
      </c>
      <c r="U1405" s="13" t="s">
        <v>43</v>
      </c>
      <c r="V1405" s="13" t="n">
        <f aca="false">IF(COUNTIF($B$2:B1405,B1405)=1,1,0)</f>
        <v>0</v>
      </c>
      <c r="W1405" s="13" t="n">
        <f aca="false">IF(COUNTIFS($B$2:B1405,B1405,$T$2:T1405,T1405)=1,1,0)</f>
        <v>0</v>
      </c>
    </row>
    <row r="1406" customFormat="false" ht="15" hidden="false" customHeight="false" outlineLevel="0" collapsed="false">
      <c r="A1406" s="13" t="s">
        <v>1160</v>
      </c>
      <c r="B1406" s="13" t="s">
        <v>79</v>
      </c>
      <c r="C1406" s="13" t="n">
        <v>1200</v>
      </c>
      <c r="D1406" s="13" t="n">
        <v>2</v>
      </c>
      <c r="E1406" s="13" t="n">
        <v>613.655</v>
      </c>
      <c r="F1406" s="13" t="s">
        <v>5288</v>
      </c>
      <c r="G1406" s="13" t="s">
        <v>5292</v>
      </c>
      <c r="H1406" s="13" t="s">
        <v>5292</v>
      </c>
      <c r="I1406" s="13" t="s">
        <v>5289</v>
      </c>
      <c r="J1406" s="13" t="s">
        <v>5289</v>
      </c>
      <c r="K1406" s="13" t="s">
        <v>5289</v>
      </c>
      <c r="L1406" s="13" t="s">
        <v>6024</v>
      </c>
      <c r="M1406" s="13"/>
      <c r="N1406" s="13" t="n">
        <v>8057971184903</v>
      </c>
      <c r="O1406" s="13"/>
      <c r="P1406" s="13" t="s">
        <v>5291</v>
      </c>
      <c r="Q1406" s="13" t="s">
        <v>5289</v>
      </c>
      <c r="R1406" s="13" t="s">
        <v>5292</v>
      </c>
      <c r="S1406" s="13" t="s">
        <v>5293</v>
      </c>
      <c r="T1406" s="13" t="s">
        <v>4</v>
      </c>
      <c r="U1406" s="13" t="s">
        <v>43</v>
      </c>
      <c r="V1406" s="13" t="n">
        <f aca="false">IF(COUNTIF($B$2:B1406,B1406)=1,1,0)</f>
        <v>0</v>
      </c>
      <c r="W1406" s="13" t="n">
        <f aca="false">IF(COUNTIFS($B$2:B1406,B1406,$T$2:T1406,T1406)=1,1,0)</f>
        <v>0</v>
      </c>
    </row>
    <row r="1407" customFormat="false" ht="15" hidden="false" customHeight="false" outlineLevel="0" collapsed="false">
      <c r="A1407" s="13" t="s">
        <v>1161</v>
      </c>
      <c r="B1407" s="13" t="s">
        <v>362</v>
      </c>
      <c r="C1407" s="13" t="n">
        <v>1200</v>
      </c>
      <c r="D1407" s="13" t="n">
        <v>2</v>
      </c>
      <c r="E1407" s="13" t="n">
        <v>613.51</v>
      </c>
      <c r="F1407" s="13" t="s">
        <v>5325</v>
      </c>
      <c r="G1407" s="13" t="s">
        <v>5289</v>
      </c>
      <c r="H1407" s="13" t="s">
        <v>5292</v>
      </c>
      <c r="I1407" s="13" t="s">
        <v>5289</v>
      </c>
      <c r="J1407" s="13" t="s">
        <v>5289</v>
      </c>
      <c r="K1407" s="13" t="s">
        <v>5289</v>
      </c>
      <c r="L1407" s="13" t="s">
        <v>6025</v>
      </c>
      <c r="M1407" s="13"/>
      <c r="N1407" s="13" t="n">
        <v>3386460135818</v>
      </c>
      <c r="O1407" s="13"/>
      <c r="P1407" s="13" t="s">
        <v>5291</v>
      </c>
      <c r="Q1407" s="13" t="s">
        <v>5289</v>
      </c>
      <c r="R1407" s="13" t="s">
        <v>5292</v>
      </c>
      <c r="S1407" s="13" t="s">
        <v>5293</v>
      </c>
      <c r="T1407" s="13" t="s">
        <v>4</v>
      </c>
      <c r="U1407" s="13" t="s">
        <v>43</v>
      </c>
      <c r="V1407" s="13" t="n">
        <f aca="false">IF(COUNTIF($B$2:B1407,B1407)=1,1,0)</f>
        <v>0</v>
      </c>
      <c r="W1407" s="13" t="n">
        <f aca="false">IF(COUNTIFS($B$2:B1407,B1407,$T$2:T1407,T1407)=1,1,0)</f>
        <v>0</v>
      </c>
    </row>
    <row r="1408" customFormat="false" ht="15" hidden="false" customHeight="false" outlineLevel="0" collapsed="false">
      <c r="A1408" s="13" t="s">
        <v>1155</v>
      </c>
      <c r="B1408" s="13" t="s">
        <v>186</v>
      </c>
      <c r="C1408" s="13" t="n">
        <v>1200</v>
      </c>
      <c r="D1408" s="13" t="n">
        <v>2</v>
      </c>
      <c r="E1408" s="13" t="n">
        <v>406.72</v>
      </c>
      <c r="F1408" s="13" t="s">
        <v>5325</v>
      </c>
      <c r="G1408" s="13" t="s">
        <v>5292</v>
      </c>
      <c r="H1408" s="13" t="s">
        <v>5292</v>
      </c>
      <c r="I1408" s="13" t="s">
        <v>5289</v>
      </c>
      <c r="J1408" s="13" t="s">
        <v>5289</v>
      </c>
      <c r="K1408" s="13" t="s">
        <v>5289</v>
      </c>
      <c r="L1408" s="13" t="s">
        <v>5678</v>
      </c>
      <c r="M1408" s="13"/>
      <c r="N1408" s="13" t="n">
        <v>3616303473396</v>
      </c>
      <c r="O1408" s="13"/>
      <c r="P1408" s="13" t="s">
        <v>5291</v>
      </c>
      <c r="Q1408" s="13" t="s">
        <v>5289</v>
      </c>
      <c r="R1408" s="13" t="s">
        <v>5292</v>
      </c>
      <c r="S1408" s="13" t="s">
        <v>5293</v>
      </c>
      <c r="T1408" s="13" t="s">
        <v>4</v>
      </c>
      <c r="U1408" s="13" t="s">
        <v>43</v>
      </c>
      <c r="V1408" s="13" t="n">
        <f aca="false">IF(COUNTIF($B$2:B1408,B1408)=1,1,0)</f>
        <v>0</v>
      </c>
      <c r="W1408" s="13" t="n">
        <f aca="false">IF(COUNTIFS($B$2:B1408,B1408,$T$2:T1408,T1408)=1,1,0)</f>
        <v>0</v>
      </c>
    </row>
    <row r="1409" customFormat="false" ht="15" hidden="false" customHeight="false" outlineLevel="0" collapsed="false">
      <c r="A1409" s="13" t="s">
        <v>1156</v>
      </c>
      <c r="B1409" s="13" t="s">
        <v>42</v>
      </c>
      <c r="C1409" s="13" t="n">
        <v>1200</v>
      </c>
      <c r="D1409" s="13" t="n">
        <v>2</v>
      </c>
      <c r="E1409" s="13" t="n">
        <v>610.06</v>
      </c>
      <c r="F1409" s="13" t="s">
        <v>5325</v>
      </c>
      <c r="G1409" s="13" t="s">
        <v>5289</v>
      </c>
      <c r="H1409" s="13" t="s">
        <v>5292</v>
      </c>
      <c r="I1409" s="13" t="s">
        <v>5289</v>
      </c>
      <c r="J1409" s="13" t="s">
        <v>5289</v>
      </c>
      <c r="K1409" s="13" t="s">
        <v>5289</v>
      </c>
      <c r="L1409" s="13" t="s">
        <v>5725</v>
      </c>
      <c r="M1409" s="13"/>
      <c r="N1409" s="13" t="n">
        <v>8411061954966</v>
      </c>
      <c r="O1409" s="13"/>
      <c r="P1409" s="13" t="s">
        <v>5291</v>
      </c>
      <c r="Q1409" s="13" t="s">
        <v>5289</v>
      </c>
      <c r="R1409" s="13" t="s">
        <v>5292</v>
      </c>
      <c r="S1409" s="13" t="s">
        <v>5293</v>
      </c>
      <c r="T1409" s="13" t="s">
        <v>4</v>
      </c>
      <c r="U1409" s="13" t="s">
        <v>43</v>
      </c>
      <c r="V1409" s="13" t="n">
        <f aca="false">IF(COUNTIF($B$2:B1409,B1409)=1,1,0)</f>
        <v>0</v>
      </c>
      <c r="W1409" s="13" t="n">
        <f aca="false">IF(COUNTIFS($B$2:B1409,B1409,$T$2:T1409,T1409)=1,1,0)</f>
        <v>0</v>
      </c>
    </row>
    <row r="1410" customFormat="false" ht="15" hidden="false" customHeight="false" outlineLevel="0" collapsed="false">
      <c r="A1410" s="13" t="s">
        <v>1157</v>
      </c>
      <c r="B1410" s="13" t="s">
        <v>42</v>
      </c>
      <c r="C1410" s="13" t="n">
        <v>1200</v>
      </c>
      <c r="D1410" s="13" t="n">
        <v>2</v>
      </c>
      <c r="E1410" s="13" t="n">
        <v>608.13</v>
      </c>
      <c r="F1410" s="13" t="s">
        <v>5288</v>
      </c>
      <c r="G1410" s="13" t="s">
        <v>5289</v>
      </c>
      <c r="H1410" s="13" t="s">
        <v>5292</v>
      </c>
      <c r="I1410" s="13" t="s">
        <v>5289</v>
      </c>
      <c r="J1410" s="13" t="s">
        <v>5289</v>
      </c>
      <c r="K1410" s="13" t="s">
        <v>5289</v>
      </c>
      <c r="L1410" s="13" t="s">
        <v>5793</v>
      </c>
      <c r="M1410" s="13"/>
      <c r="N1410" s="13" t="n">
        <v>8411061777183</v>
      </c>
      <c r="O1410" s="13"/>
      <c r="P1410" s="13" t="s">
        <v>5291</v>
      </c>
      <c r="Q1410" s="13" t="s">
        <v>5289</v>
      </c>
      <c r="R1410" s="13" t="s">
        <v>5292</v>
      </c>
      <c r="S1410" s="13" t="s">
        <v>5293</v>
      </c>
      <c r="T1410" s="13" t="s">
        <v>4</v>
      </c>
      <c r="U1410" s="13" t="s">
        <v>43</v>
      </c>
      <c r="V1410" s="13" t="n">
        <f aca="false">IF(COUNTIF($B$2:B1410,B1410)=1,1,0)</f>
        <v>0</v>
      </c>
      <c r="W1410" s="13" t="n">
        <f aca="false">IF(COUNTIFS($B$2:B1410,B1410,$T$2:T1410,T1410)=1,1,0)</f>
        <v>0</v>
      </c>
    </row>
    <row r="1411" customFormat="false" ht="15" hidden="false" customHeight="false" outlineLevel="0" collapsed="false">
      <c r="A1411" s="13" t="s">
        <v>1153</v>
      </c>
      <c r="B1411" s="13" t="s">
        <v>177</v>
      </c>
      <c r="C1411" s="13" t="n">
        <v>1200</v>
      </c>
      <c r="D1411" s="13" t="n">
        <v>2</v>
      </c>
      <c r="E1411" s="13" t="n">
        <v>606.75</v>
      </c>
      <c r="F1411" s="13" t="s">
        <v>5288</v>
      </c>
      <c r="G1411" s="13" t="s">
        <v>5292</v>
      </c>
      <c r="H1411" s="13" t="s">
        <v>5292</v>
      </c>
      <c r="I1411" s="13" t="s">
        <v>5289</v>
      </c>
      <c r="J1411" s="13" t="s">
        <v>5289</v>
      </c>
      <c r="K1411" s="13" t="s">
        <v>5289</v>
      </c>
      <c r="L1411" s="13" t="s">
        <v>6026</v>
      </c>
      <c r="M1411" s="13"/>
      <c r="N1411" s="13" t="n">
        <v>3616305259462</v>
      </c>
      <c r="O1411" s="13"/>
      <c r="P1411" s="13" t="s">
        <v>5291</v>
      </c>
      <c r="Q1411" s="13" t="s">
        <v>5289</v>
      </c>
      <c r="R1411" s="13" t="s">
        <v>5292</v>
      </c>
      <c r="S1411" s="13" t="s">
        <v>5293</v>
      </c>
      <c r="T1411" s="13" t="s">
        <v>4</v>
      </c>
      <c r="U1411" s="13" t="s">
        <v>43</v>
      </c>
      <c r="V1411" s="13" t="n">
        <f aca="false">IF(COUNTIF($B$2:B1411,B1411)=1,1,0)</f>
        <v>0</v>
      </c>
      <c r="W1411" s="13" t="n">
        <f aca="false">IF(COUNTIFS($B$2:B1411,B1411,$T$2:T1411,T1411)=1,1,0)</f>
        <v>0</v>
      </c>
    </row>
    <row r="1412" customFormat="false" ht="15" hidden="false" customHeight="false" outlineLevel="0" collapsed="false">
      <c r="A1412" s="13" t="s">
        <v>6027</v>
      </c>
      <c r="B1412" s="13" t="s">
        <v>2216</v>
      </c>
      <c r="C1412" s="13" t="n">
        <v>1200</v>
      </c>
      <c r="D1412" s="13" t="n">
        <v>5</v>
      </c>
      <c r="E1412" s="13" t="n">
        <v>242.1</v>
      </c>
      <c r="F1412" s="13" t="s">
        <v>5325</v>
      </c>
      <c r="G1412" s="13" t="s">
        <v>5292</v>
      </c>
      <c r="H1412" s="13" t="s">
        <v>5289</v>
      </c>
      <c r="I1412" s="13" t="s">
        <v>5289</v>
      </c>
      <c r="J1412" s="13" t="s">
        <v>5289</v>
      </c>
      <c r="K1412" s="13" t="s">
        <v>5289</v>
      </c>
      <c r="L1412" s="13" t="s">
        <v>6028</v>
      </c>
      <c r="M1412" s="13"/>
      <c r="N1412" s="13" t="n">
        <v>8436581941982</v>
      </c>
      <c r="O1412" s="13"/>
      <c r="P1412" s="13" t="s">
        <v>5291</v>
      </c>
      <c r="Q1412" s="13" t="s">
        <v>5289</v>
      </c>
      <c r="R1412" s="13" t="s">
        <v>5292</v>
      </c>
      <c r="S1412" s="13" t="s">
        <v>5293</v>
      </c>
      <c r="T1412" s="13" t="s">
        <v>4</v>
      </c>
      <c r="U1412" s="13" t="s">
        <v>43</v>
      </c>
      <c r="V1412" s="13" t="n">
        <f aca="false">IF(COUNTIF($B$2:B1412,B1412)=1,1,0)</f>
        <v>1</v>
      </c>
      <c r="W1412" s="13" t="n">
        <f aca="false">IF(COUNTIFS($B$2:B1412,B1412,$T$2:T1412,T1412)=1,1,0)</f>
        <v>1</v>
      </c>
    </row>
    <row r="1413" customFormat="false" ht="15" hidden="false" customHeight="false" outlineLevel="0" collapsed="false">
      <c r="A1413" s="13" t="s">
        <v>1152</v>
      </c>
      <c r="B1413" s="13" t="s">
        <v>105</v>
      </c>
      <c r="C1413" s="13" t="n">
        <v>1200</v>
      </c>
      <c r="D1413" s="13" t="n">
        <v>2</v>
      </c>
      <c r="E1413" s="13" t="n">
        <v>602.72</v>
      </c>
      <c r="F1413" s="13" t="s">
        <v>5325</v>
      </c>
      <c r="G1413" s="13" t="s">
        <v>5292</v>
      </c>
      <c r="H1413" s="13" t="s">
        <v>5292</v>
      </c>
      <c r="I1413" s="13" t="s">
        <v>5289</v>
      </c>
      <c r="J1413" s="13" t="s">
        <v>5289</v>
      </c>
      <c r="K1413" s="13" t="s">
        <v>5289</v>
      </c>
      <c r="L1413" s="13" t="s">
        <v>5763</v>
      </c>
      <c r="M1413" s="13"/>
      <c r="N1413" s="13" t="n">
        <v>3616305160584</v>
      </c>
      <c r="O1413" s="13"/>
      <c r="P1413" s="13" t="s">
        <v>5291</v>
      </c>
      <c r="Q1413" s="13" t="s">
        <v>5289</v>
      </c>
      <c r="R1413" s="13" t="s">
        <v>5292</v>
      </c>
      <c r="S1413" s="13" t="s">
        <v>5293</v>
      </c>
      <c r="T1413" s="13" t="s">
        <v>4</v>
      </c>
      <c r="U1413" s="13" t="s">
        <v>43</v>
      </c>
      <c r="V1413" s="13" t="n">
        <f aca="false">IF(COUNTIF($B$2:B1413,B1413)=1,1,0)</f>
        <v>0</v>
      </c>
      <c r="W1413" s="13" t="n">
        <f aca="false">IF(COUNTIFS($B$2:B1413,B1413,$T$2:T1413,T1413)=1,1,0)</f>
        <v>0</v>
      </c>
    </row>
    <row r="1414" customFormat="false" ht="15" hidden="false" customHeight="false" outlineLevel="0" collapsed="false">
      <c r="A1414" s="13" t="s">
        <v>1139</v>
      </c>
      <c r="B1414" s="13" t="s">
        <v>50</v>
      </c>
      <c r="C1414" s="13" t="n">
        <v>1200</v>
      </c>
      <c r="D1414" s="13" t="n">
        <v>2</v>
      </c>
      <c r="E1414" s="13" t="n">
        <v>599.43</v>
      </c>
      <c r="F1414" s="13" t="s">
        <v>5288</v>
      </c>
      <c r="G1414" s="13" t="s">
        <v>5289</v>
      </c>
      <c r="H1414" s="13" t="s">
        <v>5289</v>
      </c>
      <c r="I1414" s="13" t="s">
        <v>5289</v>
      </c>
      <c r="J1414" s="13" t="s">
        <v>5289</v>
      </c>
      <c r="K1414" s="13" t="s">
        <v>5289</v>
      </c>
      <c r="L1414" s="13" t="s">
        <v>6023</v>
      </c>
      <c r="M1414" s="13"/>
      <c r="N1414" s="13" t="n">
        <v>3349668576081</v>
      </c>
      <c r="O1414" s="13"/>
      <c r="P1414" s="13" t="s">
        <v>5297</v>
      </c>
      <c r="Q1414" s="13" t="s">
        <v>5289</v>
      </c>
      <c r="R1414" s="13" t="s">
        <v>5292</v>
      </c>
      <c r="S1414" s="13" t="s">
        <v>5293</v>
      </c>
      <c r="T1414" s="13" t="s">
        <v>4</v>
      </c>
      <c r="U1414" s="13" t="s">
        <v>43</v>
      </c>
      <c r="V1414" s="13" t="n">
        <f aca="false">IF(COUNTIF($B$2:B1414,B1414)=1,1,0)</f>
        <v>0</v>
      </c>
      <c r="W1414" s="13" t="n">
        <f aca="false">IF(COUNTIFS($B$2:B1414,B1414,$T$2:T1414,T1414)=1,1,0)</f>
        <v>0</v>
      </c>
    </row>
    <row r="1415" customFormat="false" ht="15" hidden="false" customHeight="false" outlineLevel="0" collapsed="false">
      <c r="A1415" s="13" t="s">
        <v>1159</v>
      </c>
      <c r="B1415" s="13" t="s">
        <v>42</v>
      </c>
      <c r="C1415" s="13" t="n">
        <v>1200</v>
      </c>
      <c r="D1415" s="13" t="n">
        <v>2</v>
      </c>
      <c r="E1415" s="13" t="n">
        <v>399.61</v>
      </c>
      <c r="F1415" s="13" t="s">
        <v>5288</v>
      </c>
      <c r="G1415" s="13" t="s">
        <v>5289</v>
      </c>
      <c r="H1415" s="13" t="s">
        <v>5292</v>
      </c>
      <c r="I1415" s="13" t="s">
        <v>5289</v>
      </c>
      <c r="J1415" s="13" t="s">
        <v>5289</v>
      </c>
      <c r="K1415" s="13" t="s">
        <v>5289</v>
      </c>
      <c r="L1415" s="13" t="s">
        <v>6029</v>
      </c>
      <c r="M1415" s="13"/>
      <c r="N1415" s="13" t="n">
        <v>8411061906651</v>
      </c>
      <c r="O1415" s="13"/>
      <c r="P1415" s="13" t="s">
        <v>5291</v>
      </c>
      <c r="Q1415" s="13" t="s">
        <v>5289</v>
      </c>
      <c r="R1415" s="13" t="s">
        <v>5292</v>
      </c>
      <c r="S1415" s="13" t="s">
        <v>5293</v>
      </c>
      <c r="T1415" s="13" t="s">
        <v>4</v>
      </c>
      <c r="U1415" s="13" t="s">
        <v>43</v>
      </c>
      <c r="V1415" s="13" t="n">
        <f aca="false">IF(COUNTIF($B$2:B1415,B1415)=1,1,0)</f>
        <v>0</v>
      </c>
      <c r="W1415" s="13" t="n">
        <f aca="false">IF(COUNTIFS($B$2:B1415,B1415,$T$2:T1415,T1415)=1,1,0)</f>
        <v>0</v>
      </c>
    </row>
    <row r="1416" customFormat="false" ht="15" hidden="false" customHeight="false" outlineLevel="0" collapsed="false">
      <c r="A1416" s="13" t="s">
        <v>6030</v>
      </c>
      <c r="B1416" s="13" t="s">
        <v>2111</v>
      </c>
      <c r="C1416" s="13" t="n">
        <v>1200</v>
      </c>
      <c r="D1416" s="13" t="n">
        <v>2</v>
      </c>
      <c r="E1416" s="13" t="n">
        <v>598.13</v>
      </c>
      <c r="F1416" s="13" t="s">
        <v>5325</v>
      </c>
      <c r="G1416" s="13" t="s">
        <v>5289</v>
      </c>
      <c r="H1416" s="13" t="s">
        <v>5292</v>
      </c>
      <c r="I1416" s="13" t="s">
        <v>5289</v>
      </c>
      <c r="J1416" s="13" t="s">
        <v>5289</v>
      </c>
      <c r="K1416" s="13" t="s">
        <v>5289</v>
      </c>
      <c r="L1416" s="13" t="s">
        <v>5811</v>
      </c>
      <c r="M1416" s="13"/>
      <c r="N1416" s="13" t="n">
        <v>3386460025478</v>
      </c>
      <c r="O1416" s="13"/>
      <c r="P1416" s="13" t="s">
        <v>5291</v>
      </c>
      <c r="Q1416" s="13" t="s">
        <v>5289</v>
      </c>
      <c r="R1416" s="13" t="s">
        <v>5292</v>
      </c>
      <c r="S1416" s="13" t="s">
        <v>5293</v>
      </c>
      <c r="T1416" s="13" t="s">
        <v>4</v>
      </c>
      <c r="U1416" s="13" t="s">
        <v>43</v>
      </c>
      <c r="V1416" s="13" t="n">
        <f aca="false">IF(COUNTIF($B$2:B1416,B1416)=1,1,0)</f>
        <v>0</v>
      </c>
      <c r="W1416" s="13" t="n">
        <f aca="false">IF(COUNTIFS($B$2:B1416,B1416,$T$2:T1416,T1416)=1,1,0)</f>
        <v>0</v>
      </c>
    </row>
    <row r="1417" customFormat="false" ht="15" hidden="false" customHeight="false" outlineLevel="0" collapsed="false">
      <c r="A1417" s="13" t="s">
        <v>6031</v>
      </c>
      <c r="B1417" s="13" t="s">
        <v>2176</v>
      </c>
      <c r="C1417" s="13" t="n">
        <v>1200</v>
      </c>
      <c r="D1417" s="13" t="n">
        <v>2</v>
      </c>
      <c r="E1417" s="13" t="n">
        <v>298.4525</v>
      </c>
      <c r="F1417" s="13" t="s">
        <v>5325</v>
      </c>
      <c r="G1417" s="13" t="s">
        <v>5289</v>
      </c>
      <c r="H1417" s="13" t="s">
        <v>5292</v>
      </c>
      <c r="I1417" s="13" t="s">
        <v>5289</v>
      </c>
      <c r="J1417" s="13" t="s">
        <v>5289</v>
      </c>
      <c r="K1417" s="13" t="s">
        <v>5289</v>
      </c>
      <c r="L1417" s="13" t="s">
        <v>5789</v>
      </c>
      <c r="M1417" s="13"/>
      <c r="N1417" s="13" t="n">
        <v>3355992000260</v>
      </c>
      <c r="O1417" s="13"/>
      <c r="P1417" s="13" t="s">
        <v>5297</v>
      </c>
      <c r="Q1417" s="13" t="s">
        <v>5289</v>
      </c>
      <c r="R1417" s="13" t="s">
        <v>5292</v>
      </c>
      <c r="S1417" s="13" t="s">
        <v>5293</v>
      </c>
      <c r="T1417" s="13" t="s">
        <v>4</v>
      </c>
      <c r="U1417" s="13" t="s">
        <v>85</v>
      </c>
      <c r="V1417" s="13" t="n">
        <f aca="false">IF(COUNTIF($B$2:B1417,B1417)=1,1,0)</f>
        <v>0</v>
      </c>
      <c r="W1417" s="13" t="n">
        <f aca="false">IF(COUNTIFS($B$2:B1417,B1417,$T$2:T1417,T1417)=1,1,0)</f>
        <v>0</v>
      </c>
    </row>
    <row r="1418" customFormat="false" ht="15" hidden="false" customHeight="false" outlineLevel="0" collapsed="false">
      <c r="A1418" s="13" t="s">
        <v>1143</v>
      </c>
      <c r="B1418" s="13" t="s">
        <v>79</v>
      </c>
      <c r="C1418" s="13" t="n">
        <v>1200</v>
      </c>
      <c r="D1418" s="13" t="n">
        <v>2</v>
      </c>
      <c r="E1418" s="13" t="n">
        <v>595.68</v>
      </c>
      <c r="F1418" s="13" t="s">
        <v>5288</v>
      </c>
      <c r="G1418" s="13" t="s">
        <v>5289</v>
      </c>
      <c r="H1418" s="13" t="s">
        <v>5292</v>
      </c>
      <c r="I1418" s="13" t="s">
        <v>5289</v>
      </c>
      <c r="J1418" s="13" t="s">
        <v>5289</v>
      </c>
      <c r="K1418" s="13" t="s">
        <v>5289</v>
      </c>
      <c r="L1418" s="13" t="s">
        <v>6032</v>
      </c>
      <c r="M1418" s="13"/>
      <c r="N1418" s="13" t="n">
        <v>8057971181544</v>
      </c>
      <c r="O1418" s="13"/>
      <c r="P1418" s="13" t="s">
        <v>5297</v>
      </c>
      <c r="Q1418" s="13" t="s">
        <v>5289</v>
      </c>
      <c r="R1418" s="13" t="s">
        <v>5292</v>
      </c>
      <c r="S1418" s="13" t="s">
        <v>5293</v>
      </c>
      <c r="T1418" s="13" t="s">
        <v>4</v>
      </c>
      <c r="U1418" s="13" t="s">
        <v>43</v>
      </c>
      <c r="V1418" s="13" t="n">
        <f aca="false">IF(COUNTIF($B$2:B1418,B1418)=1,1,0)</f>
        <v>0</v>
      </c>
      <c r="W1418" s="13" t="n">
        <f aca="false">IF(COUNTIFS($B$2:B1418,B1418,$T$2:T1418,T1418)=1,1,0)</f>
        <v>0</v>
      </c>
    </row>
    <row r="1419" customFormat="false" ht="15" hidden="false" customHeight="false" outlineLevel="0" collapsed="false">
      <c r="A1419" s="13" t="s">
        <v>1142</v>
      </c>
      <c r="B1419" s="13" t="s">
        <v>103</v>
      </c>
      <c r="C1419" s="13" t="n">
        <v>1200</v>
      </c>
      <c r="D1419" s="13" t="n">
        <v>5</v>
      </c>
      <c r="E1419" s="13" t="n">
        <v>236.178</v>
      </c>
      <c r="F1419" s="13" t="s">
        <v>5288</v>
      </c>
      <c r="G1419" s="13" t="s">
        <v>5289</v>
      </c>
      <c r="H1419" s="13" t="s">
        <v>5289</v>
      </c>
      <c r="I1419" s="13" t="s">
        <v>5289</v>
      </c>
      <c r="J1419" s="13" t="s">
        <v>5289</v>
      </c>
      <c r="K1419" s="13" t="s">
        <v>5289</v>
      </c>
      <c r="L1419" s="13" t="s">
        <v>6033</v>
      </c>
      <c r="M1419" s="13"/>
      <c r="N1419" s="13" t="n">
        <v>8411061084076</v>
      </c>
      <c r="O1419" s="13"/>
      <c r="P1419" s="13" t="s">
        <v>5291</v>
      </c>
      <c r="Q1419" s="13" t="s">
        <v>5289</v>
      </c>
      <c r="R1419" s="13" t="s">
        <v>5292</v>
      </c>
      <c r="S1419" s="13" t="s">
        <v>5293</v>
      </c>
      <c r="T1419" s="13" t="s">
        <v>4</v>
      </c>
      <c r="U1419" s="13" t="s">
        <v>43</v>
      </c>
      <c r="V1419" s="13" t="n">
        <f aca="false">IF(COUNTIF($B$2:B1419,B1419)=1,1,0)</f>
        <v>0</v>
      </c>
      <c r="W1419" s="13" t="n">
        <f aca="false">IF(COUNTIFS($B$2:B1419,B1419,$T$2:T1419,T1419)=1,1,0)</f>
        <v>0</v>
      </c>
    </row>
    <row r="1420" customFormat="false" ht="15" hidden="false" customHeight="false" outlineLevel="0" collapsed="false">
      <c r="A1420" s="13" t="s">
        <v>1151</v>
      </c>
      <c r="B1420" s="13" t="s">
        <v>177</v>
      </c>
      <c r="C1420" s="13" t="n">
        <v>1200</v>
      </c>
      <c r="D1420" s="13" t="n">
        <v>2</v>
      </c>
      <c r="E1420" s="13" t="n">
        <v>588.55</v>
      </c>
      <c r="F1420" s="13" t="s">
        <v>5288</v>
      </c>
      <c r="G1420" s="13" t="s">
        <v>5292</v>
      </c>
      <c r="H1420" s="13" t="s">
        <v>5292</v>
      </c>
      <c r="I1420" s="13" t="s">
        <v>5289</v>
      </c>
      <c r="J1420" s="13" t="s">
        <v>5289</v>
      </c>
      <c r="K1420" s="13" t="s">
        <v>5289</v>
      </c>
      <c r="L1420" s="13" t="s">
        <v>6034</v>
      </c>
      <c r="M1420" s="13"/>
      <c r="N1420" s="13" t="n">
        <v>3614227758117</v>
      </c>
      <c r="O1420" s="13"/>
      <c r="P1420" s="13" t="s">
        <v>5291</v>
      </c>
      <c r="Q1420" s="13" t="s">
        <v>5289</v>
      </c>
      <c r="R1420" s="13" t="s">
        <v>5292</v>
      </c>
      <c r="S1420" s="13" t="s">
        <v>5293</v>
      </c>
      <c r="T1420" s="13" t="s">
        <v>4</v>
      </c>
      <c r="U1420" s="13" t="s">
        <v>43</v>
      </c>
      <c r="V1420" s="13" t="n">
        <f aca="false">IF(COUNTIF($B$2:B1420,B1420)=1,1,0)</f>
        <v>0</v>
      </c>
      <c r="W1420" s="13" t="n">
        <f aca="false">IF(COUNTIFS($B$2:B1420,B1420,$T$2:T1420,T1420)=1,1,0)</f>
        <v>0</v>
      </c>
    </row>
    <row r="1421" customFormat="false" ht="15" hidden="false" customHeight="false" outlineLevel="0" collapsed="false">
      <c r="A1421" s="13" t="s">
        <v>3698</v>
      </c>
      <c r="B1421" s="13" t="s">
        <v>2134</v>
      </c>
      <c r="C1421" s="13" t="n">
        <v>1200</v>
      </c>
      <c r="D1421" s="13" t="n">
        <v>2</v>
      </c>
      <c r="E1421" s="13" t="n">
        <v>587.88</v>
      </c>
      <c r="F1421" s="13" t="s">
        <v>5325</v>
      </c>
      <c r="G1421" s="13" t="s">
        <v>5292</v>
      </c>
      <c r="H1421" s="13" t="s">
        <v>5292</v>
      </c>
      <c r="I1421" s="13" t="s">
        <v>5289</v>
      </c>
      <c r="J1421" s="13" t="s">
        <v>5289</v>
      </c>
      <c r="K1421" s="13" t="s">
        <v>5289</v>
      </c>
      <c r="L1421" s="13" t="s">
        <v>6035</v>
      </c>
      <c r="M1421" s="13"/>
      <c r="N1421" s="13" t="n">
        <v>3386460126571</v>
      </c>
      <c r="O1421" s="13"/>
      <c r="P1421" s="13" t="s">
        <v>5291</v>
      </c>
      <c r="Q1421" s="13" t="s">
        <v>5289</v>
      </c>
      <c r="R1421" s="13" t="s">
        <v>5292</v>
      </c>
      <c r="S1421" s="13" t="s">
        <v>5293</v>
      </c>
      <c r="T1421" s="13" t="s">
        <v>4</v>
      </c>
      <c r="U1421" s="13" t="s">
        <v>43</v>
      </c>
      <c r="V1421" s="13" t="n">
        <f aca="false">IF(COUNTIF($B$2:B1421,B1421)=1,1,0)</f>
        <v>0</v>
      </c>
      <c r="W1421" s="13" t="n">
        <f aca="false">IF(COUNTIFS($B$2:B1421,B1421,$T$2:T1421,T1421)=1,1,0)</f>
        <v>0</v>
      </c>
    </row>
    <row r="1422" customFormat="false" ht="15" hidden="false" customHeight="false" outlineLevel="0" collapsed="false">
      <c r="A1422" s="13" t="s">
        <v>1154</v>
      </c>
      <c r="B1422" s="13" t="s">
        <v>365</v>
      </c>
      <c r="C1422" s="13" t="n">
        <v>1200</v>
      </c>
      <c r="D1422" s="13" t="n">
        <v>2</v>
      </c>
      <c r="E1422" s="13" t="n">
        <v>389.5</v>
      </c>
      <c r="F1422" s="13" t="s">
        <v>5325</v>
      </c>
      <c r="G1422" s="13" t="s">
        <v>5292</v>
      </c>
      <c r="H1422" s="13" t="s">
        <v>5292</v>
      </c>
      <c r="I1422" s="13" t="s">
        <v>5289</v>
      </c>
      <c r="J1422" s="13" t="s">
        <v>5289</v>
      </c>
      <c r="K1422" s="13" t="s">
        <v>5289</v>
      </c>
      <c r="L1422" s="13" t="s">
        <v>6036</v>
      </c>
      <c r="M1422" s="13"/>
      <c r="N1422" s="13" t="n">
        <v>6291108737194</v>
      </c>
      <c r="O1422" s="13"/>
      <c r="P1422" s="13" t="s">
        <v>5291</v>
      </c>
      <c r="Q1422" s="13" t="s">
        <v>5289</v>
      </c>
      <c r="R1422" s="13" t="s">
        <v>5292</v>
      </c>
      <c r="S1422" s="13" t="s">
        <v>5293</v>
      </c>
      <c r="T1422" s="13" t="s">
        <v>4</v>
      </c>
      <c r="U1422" s="13" t="s">
        <v>43</v>
      </c>
      <c r="V1422" s="13" t="n">
        <f aca="false">IF(COUNTIF($B$2:B1422,B1422)=1,1,0)</f>
        <v>0</v>
      </c>
      <c r="W1422" s="13" t="n">
        <f aca="false">IF(COUNTIFS($B$2:B1422,B1422,$T$2:T1422,T1422)=1,1,0)</f>
        <v>1</v>
      </c>
    </row>
    <row r="1423" customFormat="false" ht="15" hidden="false" customHeight="false" outlineLevel="0" collapsed="false">
      <c r="A1423" s="13" t="s">
        <v>1149</v>
      </c>
      <c r="B1423" s="13" t="s">
        <v>153</v>
      </c>
      <c r="C1423" s="13" t="n">
        <v>1200</v>
      </c>
      <c r="D1423" s="13" t="n">
        <v>2</v>
      </c>
      <c r="E1423" s="13" t="n">
        <v>581.27</v>
      </c>
      <c r="F1423" s="13" t="s">
        <v>5288</v>
      </c>
      <c r="G1423" s="13" t="s">
        <v>5292</v>
      </c>
      <c r="H1423" s="13" t="s">
        <v>5292</v>
      </c>
      <c r="I1423" s="13" t="s">
        <v>5289</v>
      </c>
      <c r="J1423" s="13" t="s">
        <v>5289</v>
      </c>
      <c r="K1423" s="13" t="s">
        <v>5289</v>
      </c>
      <c r="L1423" s="13" t="s">
        <v>6037</v>
      </c>
      <c r="M1423" s="13"/>
      <c r="N1423" s="13" t="n">
        <v>8011003804566</v>
      </c>
      <c r="O1423" s="13"/>
      <c r="P1423" s="13" t="s">
        <v>5291</v>
      </c>
      <c r="Q1423" s="13" t="s">
        <v>5289</v>
      </c>
      <c r="R1423" s="13" t="s">
        <v>5292</v>
      </c>
      <c r="S1423" s="13" t="s">
        <v>5293</v>
      </c>
      <c r="T1423" s="13" t="s">
        <v>4</v>
      </c>
      <c r="U1423" s="13" t="s">
        <v>43</v>
      </c>
      <c r="V1423" s="13" t="n">
        <f aca="false">IF(COUNTIF($B$2:B1423,B1423)=1,1,0)</f>
        <v>0</v>
      </c>
      <c r="W1423" s="13" t="n">
        <f aca="false">IF(COUNTIFS($B$2:B1423,B1423,$T$2:T1423,T1423)=1,1,0)</f>
        <v>0</v>
      </c>
    </row>
    <row r="1424" customFormat="false" ht="15" hidden="false" customHeight="false" outlineLevel="0" collapsed="false">
      <c r="A1424" s="13" t="s">
        <v>1150</v>
      </c>
      <c r="B1424" s="13" t="s">
        <v>490</v>
      </c>
      <c r="C1424" s="13" t="n">
        <v>1200</v>
      </c>
      <c r="D1424" s="13" t="n">
        <v>2</v>
      </c>
      <c r="E1424" s="13" t="n">
        <v>580.17</v>
      </c>
      <c r="F1424" s="13" t="s">
        <v>5288</v>
      </c>
      <c r="G1424" s="13" t="s">
        <v>5289</v>
      </c>
      <c r="H1424" s="13" t="s">
        <v>5292</v>
      </c>
      <c r="I1424" s="13" t="s">
        <v>5289</v>
      </c>
      <c r="J1424" s="13" t="s">
        <v>5289</v>
      </c>
      <c r="K1424" s="13" t="s">
        <v>5289</v>
      </c>
      <c r="L1424" s="13" t="s">
        <v>6038</v>
      </c>
      <c r="M1424" s="13"/>
      <c r="N1424" s="13" t="n">
        <v>8011003906345</v>
      </c>
      <c r="O1424" s="13"/>
      <c r="P1424" s="13" t="s">
        <v>5291</v>
      </c>
      <c r="Q1424" s="13" t="s">
        <v>5289</v>
      </c>
      <c r="R1424" s="13" t="s">
        <v>5292</v>
      </c>
      <c r="S1424" s="13" t="s">
        <v>5293</v>
      </c>
      <c r="T1424" s="13" t="s">
        <v>4</v>
      </c>
      <c r="U1424" s="13" t="s">
        <v>43</v>
      </c>
      <c r="V1424" s="13" t="n">
        <f aca="false">IF(COUNTIF($B$2:B1424,B1424)=1,1,0)</f>
        <v>0</v>
      </c>
      <c r="W1424" s="13" t="n">
        <f aca="false">IF(COUNTIFS($B$2:B1424,B1424,$T$2:T1424,T1424)=1,1,0)</f>
        <v>0</v>
      </c>
    </row>
    <row r="1425" customFormat="false" ht="15" hidden="false" customHeight="false" outlineLevel="0" collapsed="false">
      <c r="A1425" s="13" t="s">
        <v>993</v>
      </c>
      <c r="B1425" s="13" t="s">
        <v>153</v>
      </c>
      <c r="C1425" s="13" t="n">
        <v>1200</v>
      </c>
      <c r="D1425" s="13" t="n">
        <v>2</v>
      </c>
      <c r="E1425" s="13" t="n">
        <v>578.72</v>
      </c>
      <c r="F1425" s="13" t="s">
        <v>5288</v>
      </c>
      <c r="G1425" s="13" t="s">
        <v>5289</v>
      </c>
      <c r="H1425" s="13" t="s">
        <v>5289</v>
      </c>
      <c r="I1425" s="13" t="s">
        <v>5289</v>
      </c>
      <c r="J1425" s="13" t="s">
        <v>5289</v>
      </c>
      <c r="K1425" s="13" t="s">
        <v>5289</v>
      </c>
      <c r="L1425" s="13" t="s">
        <v>6014</v>
      </c>
      <c r="M1425" s="13"/>
      <c r="N1425" s="13" t="n">
        <v>8011003861224</v>
      </c>
      <c r="O1425" s="13"/>
      <c r="P1425" s="13" t="s">
        <v>5297</v>
      </c>
      <c r="Q1425" s="13" t="s">
        <v>5289</v>
      </c>
      <c r="R1425" s="13" t="s">
        <v>5292</v>
      </c>
      <c r="S1425" s="13" t="s">
        <v>5293</v>
      </c>
      <c r="T1425" s="13" t="s">
        <v>4</v>
      </c>
      <c r="U1425" s="13" t="s">
        <v>43</v>
      </c>
      <c r="V1425" s="13" t="n">
        <f aca="false">IF(COUNTIF($B$2:B1425,B1425)=1,1,0)</f>
        <v>0</v>
      </c>
      <c r="W1425" s="13" t="n">
        <f aca="false">IF(COUNTIFS($B$2:B1425,B1425,$T$2:T1425,T1425)=1,1,0)</f>
        <v>0</v>
      </c>
    </row>
    <row r="1426" customFormat="false" ht="15" hidden="false" customHeight="false" outlineLevel="0" collapsed="false">
      <c r="A1426" s="13" t="s">
        <v>1158</v>
      </c>
      <c r="B1426" s="13" t="s">
        <v>42</v>
      </c>
      <c r="C1426" s="13" t="n">
        <v>1200</v>
      </c>
      <c r="D1426" s="13" t="n">
        <v>2</v>
      </c>
      <c r="E1426" s="13" t="n">
        <v>577</v>
      </c>
      <c r="F1426" s="13" t="s">
        <v>5288</v>
      </c>
      <c r="G1426" s="13" t="s">
        <v>5289</v>
      </c>
      <c r="H1426" s="13" t="s">
        <v>5292</v>
      </c>
      <c r="I1426" s="13" t="s">
        <v>5289</v>
      </c>
      <c r="J1426" s="13" t="s">
        <v>5289</v>
      </c>
      <c r="K1426" s="13" t="s">
        <v>5289</v>
      </c>
      <c r="L1426" s="13" t="s">
        <v>5653</v>
      </c>
      <c r="M1426" s="13"/>
      <c r="N1426" s="13" t="n">
        <v>8411061120620</v>
      </c>
      <c r="O1426" s="13"/>
      <c r="P1426" s="13" t="s">
        <v>5291</v>
      </c>
      <c r="Q1426" s="13" t="s">
        <v>5289</v>
      </c>
      <c r="R1426" s="13" t="s">
        <v>5292</v>
      </c>
      <c r="S1426" s="13" t="s">
        <v>5293</v>
      </c>
      <c r="T1426" s="13" t="s">
        <v>4</v>
      </c>
      <c r="U1426" s="13" t="s">
        <v>43</v>
      </c>
      <c r="V1426" s="13" t="n">
        <f aca="false">IF(COUNTIF($B$2:B1426,B1426)=1,1,0)</f>
        <v>0</v>
      </c>
      <c r="W1426" s="13" t="n">
        <f aca="false">IF(COUNTIFS($B$2:B1426,B1426,$T$2:T1426,T1426)=1,1,0)</f>
        <v>0</v>
      </c>
    </row>
    <row r="1427" customFormat="false" ht="15" hidden="false" customHeight="false" outlineLevel="0" collapsed="false">
      <c r="A1427" s="13" t="s">
        <v>47</v>
      </c>
      <c r="B1427" s="13" t="s">
        <v>42</v>
      </c>
      <c r="C1427" s="13" t="n">
        <v>1100</v>
      </c>
      <c r="D1427" s="13" t="n">
        <v>2</v>
      </c>
      <c r="E1427" s="13" t="n">
        <v>574.76</v>
      </c>
      <c r="F1427" s="13" t="s">
        <v>5288</v>
      </c>
      <c r="G1427" s="13" t="s">
        <v>5292</v>
      </c>
      <c r="H1427" s="13" t="s">
        <v>5289</v>
      </c>
      <c r="I1427" s="13" t="s">
        <v>5289</v>
      </c>
      <c r="J1427" s="13" t="s">
        <v>5289</v>
      </c>
      <c r="K1427" s="13" t="s">
        <v>5289</v>
      </c>
      <c r="L1427" s="13" t="s">
        <v>6039</v>
      </c>
      <c r="M1427" s="13"/>
      <c r="N1427" s="13" t="n">
        <v>8411061105009</v>
      </c>
      <c r="O1427" s="13"/>
      <c r="P1427" s="13" t="s">
        <v>5291</v>
      </c>
      <c r="Q1427" s="13" t="s">
        <v>5289</v>
      </c>
      <c r="R1427" s="13" t="s">
        <v>5292</v>
      </c>
      <c r="S1427" s="13" t="s">
        <v>5293</v>
      </c>
      <c r="T1427" s="13" t="s">
        <v>4</v>
      </c>
      <c r="U1427" s="13" t="s">
        <v>43</v>
      </c>
      <c r="V1427" s="13" t="n">
        <f aca="false">IF(COUNTIF($B$2:B1427,B1427)=1,1,0)</f>
        <v>0</v>
      </c>
      <c r="W1427" s="13" t="n">
        <f aca="false">IF(COUNTIFS($B$2:B1427,B1427,$T$2:T1427,T1427)=1,1,0)</f>
        <v>0</v>
      </c>
    </row>
    <row r="1428" customFormat="false" ht="15" hidden="false" customHeight="false" outlineLevel="0" collapsed="false">
      <c r="A1428" s="13" t="s">
        <v>1189</v>
      </c>
      <c r="B1428" s="13" t="s">
        <v>42</v>
      </c>
      <c r="C1428" s="13" t="n">
        <v>1100</v>
      </c>
      <c r="D1428" s="13" t="n">
        <v>2</v>
      </c>
      <c r="E1428" s="13" t="n">
        <v>571.12</v>
      </c>
      <c r="F1428" s="13" t="s">
        <v>5288</v>
      </c>
      <c r="G1428" s="13" t="s">
        <v>5289</v>
      </c>
      <c r="H1428" s="13" t="s">
        <v>5292</v>
      </c>
      <c r="I1428" s="13" t="s">
        <v>5289</v>
      </c>
      <c r="J1428" s="13" t="s">
        <v>5289</v>
      </c>
      <c r="K1428" s="13" t="s">
        <v>5289</v>
      </c>
      <c r="L1428" s="13" t="s">
        <v>5703</v>
      </c>
      <c r="M1428" s="13"/>
      <c r="N1428" s="13" t="n">
        <v>8411061123911</v>
      </c>
      <c r="O1428" s="13"/>
      <c r="P1428" s="13" t="s">
        <v>5291</v>
      </c>
      <c r="Q1428" s="13" t="s">
        <v>5289</v>
      </c>
      <c r="R1428" s="13" t="s">
        <v>5292</v>
      </c>
      <c r="S1428" s="13" t="s">
        <v>5293</v>
      </c>
      <c r="T1428" s="13" t="s">
        <v>4</v>
      </c>
      <c r="U1428" s="13" t="s">
        <v>43</v>
      </c>
      <c r="V1428" s="13" t="n">
        <f aca="false">IF(COUNTIF($B$2:B1428,B1428)=1,1,0)</f>
        <v>0</v>
      </c>
      <c r="W1428" s="13" t="n">
        <f aca="false">IF(COUNTIFS($B$2:B1428,B1428,$T$2:T1428,T1428)=1,1,0)</f>
        <v>0</v>
      </c>
    </row>
    <row r="1429" customFormat="false" ht="15" hidden="false" customHeight="false" outlineLevel="0" collapsed="false">
      <c r="A1429" s="13" t="s">
        <v>3986</v>
      </c>
      <c r="B1429" s="13" t="s">
        <v>2110</v>
      </c>
      <c r="C1429" s="13" t="n">
        <v>1100</v>
      </c>
      <c r="D1429" s="13" t="n">
        <v>2</v>
      </c>
      <c r="E1429" s="13" t="n">
        <v>570.93</v>
      </c>
      <c r="F1429" s="13" t="s">
        <v>5288</v>
      </c>
      <c r="G1429" s="13" t="s">
        <v>5292</v>
      </c>
      <c r="H1429" s="13" t="s">
        <v>5292</v>
      </c>
      <c r="I1429" s="13" t="s">
        <v>5289</v>
      </c>
      <c r="J1429" s="13" t="s">
        <v>5289</v>
      </c>
      <c r="K1429" s="13" t="s">
        <v>5289</v>
      </c>
      <c r="L1429" s="13" t="s">
        <v>6040</v>
      </c>
      <c r="M1429" s="13"/>
      <c r="N1429" s="13" t="n">
        <v>3386460149211</v>
      </c>
      <c r="O1429" s="13"/>
      <c r="P1429" s="13" t="s">
        <v>5291</v>
      </c>
      <c r="Q1429" s="13" t="s">
        <v>5289</v>
      </c>
      <c r="R1429" s="13" t="s">
        <v>5292</v>
      </c>
      <c r="S1429" s="13" t="s">
        <v>5293</v>
      </c>
      <c r="T1429" s="13" t="s">
        <v>4</v>
      </c>
      <c r="U1429" s="13" t="s">
        <v>43</v>
      </c>
      <c r="V1429" s="13" t="n">
        <f aca="false">IF(COUNTIF($B$2:B1429,B1429)=1,1,0)</f>
        <v>0</v>
      </c>
      <c r="W1429" s="13" t="n">
        <f aca="false">IF(COUNTIFS($B$2:B1429,B1429,$T$2:T1429,T1429)=1,1,0)</f>
        <v>0</v>
      </c>
    </row>
    <row r="1430" customFormat="false" ht="15" hidden="false" customHeight="false" outlineLevel="0" collapsed="false">
      <c r="A1430" s="13" t="s">
        <v>3981</v>
      </c>
      <c r="B1430" s="13" t="s">
        <v>2139</v>
      </c>
      <c r="C1430" s="13" t="n">
        <v>1100</v>
      </c>
      <c r="D1430" s="13" t="n">
        <v>5</v>
      </c>
      <c r="E1430" s="13" t="n">
        <v>188.34</v>
      </c>
      <c r="F1430" s="13" t="s">
        <v>5288</v>
      </c>
      <c r="G1430" s="13" t="s">
        <v>5292</v>
      </c>
      <c r="H1430" s="13" t="s">
        <v>5289</v>
      </c>
      <c r="I1430" s="13" t="s">
        <v>5289</v>
      </c>
      <c r="J1430" s="13" t="s">
        <v>5289</v>
      </c>
      <c r="K1430" s="13" t="s">
        <v>5289</v>
      </c>
      <c r="L1430" s="13" t="s">
        <v>6041</v>
      </c>
      <c r="M1430" s="13"/>
      <c r="N1430" s="13" t="n">
        <v>8411061030004</v>
      </c>
      <c r="O1430" s="13"/>
      <c r="P1430" s="13" t="s">
        <v>5291</v>
      </c>
      <c r="Q1430" s="13" t="s">
        <v>5289</v>
      </c>
      <c r="R1430" s="13" t="s">
        <v>5292</v>
      </c>
      <c r="S1430" s="13" t="s">
        <v>5293</v>
      </c>
      <c r="T1430" s="13" t="s">
        <v>4</v>
      </c>
      <c r="U1430" s="13" t="s">
        <v>85</v>
      </c>
      <c r="V1430" s="13" t="n">
        <f aca="false">IF(COUNTIF($B$2:B1430,B1430)=1,1,0)</f>
        <v>1</v>
      </c>
      <c r="W1430" s="13" t="n">
        <f aca="false">IF(COUNTIFS($B$2:B1430,B1430,$T$2:T1430,T1430)=1,1,0)</f>
        <v>1</v>
      </c>
    </row>
    <row r="1431" customFormat="false" ht="15" hidden="false" customHeight="false" outlineLevel="0" collapsed="false">
      <c r="A1431" s="13" t="s">
        <v>3704</v>
      </c>
      <c r="B1431" s="13" t="s">
        <v>2181</v>
      </c>
      <c r="C1431" s="13" t="n">
        <v>1100</v>
      </c>
      <c r="D1431" s="13" t="n">
        <v>2</v>
      </c>
      <c r="E1431" s="13" t="n">
        <v>564.935</v>
      </c>
      <c r="F1431" s="13" t="s">
        <v>5288</v>
      </c>
      <c r="G1431" s="13" t="s">
        <v>5292</v>
      </c>
      <c r="H1431" s="13" t="s">
        <v>5292</v>
      </c>
      <c r="I1431" s="13" t="s">
        <v>5289</v>
      </c>
      <c r="J1431" s="13" t="s">
        <v>5289</v>
      </c>
      <c r="K1431" s="13" t="s">
        <v>5289</v>
      </c>
      <c r="L1431" s="13" t="s">
        <v>6042</v>
      </c>
      <c r="M1431" s="13"/>
      <c r="N1431" s="13" t="n">
        <v>3386460102926</v>
      </c>
      <c r="O1431" s="13"/>
      <c r="P1431" s="13" t="s">
        <v>5291</v>
      </c>
      <c r="Q1431" s="13" t="s">
        <v>5289</v>
      </c>
      <c r="R1431" s="13" t="s">
        <v>5292</v>
      </c>
      <c r="S1431" s="13" t="s">
        <v>5293</v>
      </c>
      <c r="T1431" s="13" t="s">
        <v>4</v>
      </c>
      <c r="U1431" s="13" t="s">
        <v>43</v>
      </c>
      <c r="V1431" s="13" t="n">
        <f aca="false">IF(COUNTIF($B$2:B1431,B1431)=1,1,0)</f>
        <v>1</v>
      </c>
      <c r="W1431" s="13" t="n">
        <f aca="false">IF(COUNTIFS($B$2:B1431,B1431,$T$2:T1431,T1431)=1,1,0)</f>
        <v>1</v>
      </c>
    </row>
    <row r="1432" customFormat="false" ht="15" hidden="false" customHeight="false" outlineLevel="0" collapsed="false">
      <c r="A1432" s="13" t="s">
        <v>3983</v>
      </c>
      <c r="B1432" s="13" t="s">
        <v>2138</v>
      </c>
      <c r="C1432" s="13" t="n">
        <v>1100</v>
      </c>
      <c r="D1432" s="13" t="n">
        <v>2</v>
      </c>
      <c r="E1432" s="13" t="n">
        <v>376.186666666667</v>
      </c>
      <c r="F1432" s="13" t="s">
        <v>5288</v>
      </c>
      <c r="G1432" s="13" t="s">
        <v>5289</v>
      </c>
      <c r="H1432" s="13" t="s">
        <v>5289</v>
      </c>
      <c r="I1432" s="13" t="s">
        <v>5289</v>
      </c>
      <c r="J1432" s="13" t="s">
        <v>5289</v>
      </c>
      <c r="K1432" s="13" t="s">
        <v>5289</v>
      </c>
      <c r="L1432" s="13" t="s">
        <v>6043</v>
      </c>
      <c r="M1432" s="13"/>
      <c r="N1432" s="13" t="n">
        <v>3386460066099</v>
      </c>
      <c r="O1432" s="13"/>
      <c r="P1432" s="13" t="s">
        <v>5291</v>
      </c>
      <c r="Q1432" s="13" t="s">
        <v>5289</v>
      </c>
      <c r="R1432" s="13" t="s">
        <v>5292</v>
      </c>
      <c r="S1432" s="13" t="s">
        <v>5293</v>
      </c>
      <c r="T1432" s="13" t="s">
        <v>4</v>
      </c>
      <c r="U1432" s="13" t="s">
        <v>43</v>
      </c>
      <c r="V1432" s="13" t="n">
        <f aca="false">IF(COUNTIF($B$2:B1432,B1432)=1,1,0)</f>
        <v>0</v>
      </c>
      <c r="W1432" s="13" t="n">
        <f aca="false">IF(COUNTIFS($B$2:B1432,B1432,$T$2:T1432,T1432)=1,1,0)</f>
        <v>0</v>
      </c>
    </row>
    <row r="1433" customFormat="false" ht="15" hidden="false" customHeight="false" outlineLevel="0" collapsed="false">
      <c r="A1433" s="13" t="s">
        <v>1181</v>
      </c>
      <c r="B1433" s="13" t="s">
        <v>79</v>
      </c>
      <c r="C1433" s="13" t="n">
        <v>1100</v>
      </c>
      <c r="D1433" s="13" t="n">
        <v>2</v>
      </c>
      <c r="E1433" s="13" t="n">
        <v>372.413333333333</v>
      </c>
      <c r="F1433" s="13" t="s">
        <v>5288</v>
      </c>
      <c r="G1433" s="13" t="s">
        <v>5292</v>
      </c>
      <c r="H1433" s="13" t="s">
        <v>5292</v>
      </c>
      <c r="I1433" s="13" t="s">
        <v>5289</v>
      </c>
      <c r="J1433" s="13" t="s">
        <v>5289</v>
      </c>
      <c r="K1433" s="13" t="s">
        <v>5289</v>
      </c>
      <c r="L1433" s="13" t="s">
        <v>5930</v>
      </c>
      <c r="M1433" s="13"/>
      <c r="N1433" s="13" t="n">
        <v>8057971183715</v>
      </c>
      <c r="O1433" s="13"/>
      <c r="P1433" s="13" t="s">
        <v>5291</v>
      </c>
      <c r="Q1433" s="13" t="s">
        <v>5289</v>
      </c>
      <c r="R1433" s="13" t="s">
        <v>5292</v>
      </c>
      <c r="S1433" s="13" t="s">
        <v>5293</v>
      </c>
      <c r="T1433" s="13" t="s">
        <v>4</v>
      </c>
      <c r="U1433" s="13" t="s">
        <v>43</v>
      </c>
      <c r="V1433" s="13" t="n">
        <f aca="false">IF(COUNTIF($B$2:B1433,B1433)=1,1,0)</f>
        <v>0</v>
      </c>
      <c r="W1433" s="13" t="n">
        <f aca="false">IF(COUNTIFS($B$2:B1433,B1433,$T$2:T1433,T1433)=1,1,0)</f>
        <v>0</v>
      </c>
    </row>
    <row r="1434" customFormat="false" ht="15" hidden="false" customHeight="false" outlineLevel="0" collapsed="false">
      <c r="A1434" s="13" t="s">
        <v>1017</v>
      </c>
      <c r="B1434" s="13" t="s">
        <v>50</v>
      </c>
      <c r="C1434" s="13" t="n">
        <v>1100</v>
      </c>
      <c r="D1434" s="13" t="n">
        <v>2</v>
      </c>
      <c r="E1434" s="13" t="n">
        <v>557.07</v>
      </c>
      <c r="F1434" s="13" t="s">
        <v>5325</v>
      </c>
      <c r="G1434" s="13" t="s">
        <v>5289</v>
      </c>
      <c r="H1434" s="13" t="s">
        <v>5289</v>
      </c>
      <c r="I1434" s="13" t="s">
        <v>5289</v>
      </c>
      <c r="J1434" s="13" t="s">
        <v>5289</v>
      </c>
      <c r="K1434" s="13" t="s">
        <v>5289</v>
      </c>
      <c r="L1434" s="13" t="s">
        <v>5985</v>
      </c>
      <c r="M1434" s="13"/>
      <c r="N1434" s="13" t="n">
        <v>3349668645220</v>
      </c>
      <c r="O1434" s="13"/>
      <c r="P1434" s="13" t="s">
        <v>5291</v>
      </c>
      <c r="Q1434" s="13" t="s">
        <v>5289</v>
      </c>
      <c r="R1434" s="13" t="s">
        <v>5292</v>
      </c>
      <c r="S1434" s="13" t="s">
        <v>5293</v>
      </c>
      <c r="T1434" s="13" t="s">
        <v>4</v>
      </c>
      <c r="U1434" s="13" t="s">
        <v>43</v>
      </c>
      <c r="V1434" s="13" t="n">
        <f aca="false">IF(COUNTIF($B$2:B1434,B1434)=1,1,0)</f>
        <v>0</v>
      </c>
      <c r="W1434" s="13" t="n">
        <f aca="false">IF(COUNTIFS($B$2:B1434,B1434,$T$2:T1434,T1434)=1,1,0)</f>
        <v>0</v>
      </c>
    </row>
    <row r="1435" customFormat="false" ht="15" hidden="false" customHeight="false" outlineLevel="0" collapsed="false">
      <c r="A1435" s="13" t="s">
        <v>453</v>
      </c>
      <c r="B1435" s="13" t="s">
        <v>50</v>
      </c>
      <c r="C1435" s="13" t="n">
        <v>1100</v>
      </c>
      <c r="D1435" s="13" t="n">
        <v>1</v>
      </c>
      <c r="E1435" s="13" t="n">
        <v>1110.55</v>
      </c>
      <c r="F1435" s="13" t="s">
        <v>5325</v>
      </c>
      <c r="G1435" s="13" t="s">
        <v>5292</v>
      </c>
      <c r="H1435" s="13" t="s">
        <v>5289</v>
      </c>
      <c r="I1435" s="13" t="s">
        <v>5289</v>
      </c>
      <c r="J1435" s="13" t="s">
        <v>5289</v>
      </c>
      <c r="K1435" s="13" t="s">
        <v>5289</v>
      </c>
      <c r="L1435" s="13" t="s">
        <v>5739</v>
      </c>
      <c r="M1435" s="13"/>
      <c r="N1435" s="13" t="n">
        <v>3349668662685</v>
      </c>
      <c r="O1435" s="13"/>
      <c r="P1435" s="13" t="s">
        <v>5291</v>
      </c>
      <c r="Q1435" s="13" t="s">
        <v>5289</v>
      </c>
      <c r="R1435" s="13" t="s">
        <v>5292</v>
      </c>
      <c r="S1435" s="13" t="s">
        <v>5293</v>
      </c>
      <c r="T1435" s="13" t="s">
        <v>4</v>
      </c>
      <c r="U1435" s="13" t="s">
        <v>43</v>
      </c>
      <c r="V1435" s="13" t="n">
        <f aca="false">IF(COUNTIF($B$2:B1435,B1435)=1,1,0)</f>
        <v>0</v>
      </c>
      <c r="W1435" s="13" t="n">
        <f aca="false">IF(COUNTIFS($B$2:B1435,B1435,$T$2:T1435,T1435)=1,1,0)</f>
        <v>0</v>
      </c>
    </row>
    <row r="1436" customFormat="false" ht="15" hidden="false" customHeight="false" outlineLevel="0" collapsed="false">
      <c r="A1436" s="13" t="s">
        <v>1208</v>
      </c>
      <c r="B1436" s="13" t="s">
        <v>329</v>
      </c>
      <c r="C1436" s="13" t="n">
        <v>1100</v>
      </c>
      <c r="D1436" s="13" t="n">
        <v>2</v>
      </c>
      <c r="E1436" s="13" t="n">
        <v>551.08</v>
      </c>
      <c r="F1436" s="13" t="s">
        <v>5288</v>
      </c>
      <c r="G1436" s="13" t="s">
        <v>5289</v>
      </c>
      <c r="H1436" s="13" t="s">
        <v>5289</v>
      </c>
      <c r="I1436" s="13" t="s">
        <v>5289</v>
      </c>
      <c r="J1436" s="13" t="s">
        <v>5289</v>
      </c>
      <c r="K1436" s="13" t="s">
        <v>5289</v>
      </c>
      <c r="L1436" s="13" t="s">
        <v>6044</v>
      </c>
      <c r="M1436" s="13"/>
      <c r="N1436" s="13" t="n">
        <v>3137370365174</v>
      </c>
      <c r="O1436" s="13"/>
      <c r="P1436" s="13" t="s">
        <v>5291</v>
      </c>
      <c r="Q1436" s="13" t="s">
        <v>5289</v>
      </c>
      <c r="R1436" s="13" t="s">
        <v>5292</v>
      </c>
      <c r="S1436" s="13" t="s">
        <v>5293</v>
      </c>
      <c r="T1436" s="13" t="s">
        <v>4</v>
      </c>
      <c r="U1436" s="13" t="s">
        <v>43</v>
      </c>
      <c r="V1436" s="13" t="n">
        <f aca="false">IF(COUNTIF($B$2:B1436,B1436)=1,1,0)</f>
        <v>0</v>
      </c>
      <c r="W1436" s="13" t="n">
        <f aca="false">IF(COUNTIFS($B$2:B1436,B1436,$T$2:T1436,T1436)=1,1,0)</f>
        <v>0</v>
      </c>
    </row>
    <row r="1437" customFormat="false" ht="15" hidden="false" customHeight="false" outlineLevel="0" collapsed="false">
      <c r="A1437" s="13" t="s">
        <v>3998</v>
      </c>
      <c r="B1437" s="13" t="s">
        <v>2134</v>
      </c>
      <c r="C1437" s="13" t="n">
        <v>1100</v>
      </c>
      <c r="D1437" s="13" t="n">
        <v>2</v>
      </c>
      <c r="E1437" s="13" t="n">
        <v>548.16</v>
      </c>
      <c r="F1437" s="13" t="s">
        <v>5288</v>
      </c>
      <c r="G1437" s="13" t="s">
        <v>5292</v>
      </c>
      <c r="H1437" s="13" t="s">
        <v>5292</v>
      </c>
      <c r="I1437" s="13" t="s">
        <v>5289</v>
      </c>
      <c r="J1437" s="13" t="s">
        <v>5289</v>
      </c>
      <c r="K1437" s="13" t="s">
        <v>5289</v>
      </c>
      <c r="L1437" s="13" t="s">
        <v>6045</v>
      </c>
      <c r="M1437" s="13"/>
      <c r="N1437" s="13" t="n">
        <v>3386460078306</v>
      </c>
      <c r="O1437" s="13"/>
      <c r="P1437" s="13" t="s">
        <v>5291</v>
      </c>
      <c r="Q1437" s="13" t="s">
        <v>5289</v>
      </c>
      <c r="R1437" s="13" t="s">
        <v>5292</v>
      </c>
      <c r="S1437" s="13" t="s">
        <v>5293</v>
      </c>
      <c r="T1437" s="13" t="s">
        <v>4</v>
      </c>
      <c r="U1437" s="13" t="s">
        <v>43</v>
      </c>
      <c r="V1437" s="13" t="n">
        <f aca="false">IF(COUNTIF($B$2:B1437,B1437)=1,1,0)</f>
        <v>0</v>
      </c>
      <c r="W1437" s="13" t="n">
        <f aca="false">IF(COUNTIFS($B$2:B1437,B1437,$T$2:T1437,T1437)=1,1,0)</f>
        <v>0</v>
      </c>
    </row>
    <row r="1438" customFormat="false" ht="15" hidden="false" customHeight="false" outlineLevel="0" collapsed="false">
      <c r="A1438" s="13" t="s">
        <v>1188</v>
      </c>
      <c r="B1438" s="13" t="s">
        <v>59</v>
      </c>
      <c r="C1438" s="13" t="n">
        <v>1100</v>
      </c>
      <c r="D1438" s="13" t="n">
        <v>5</v>
      </c>
      <c r="E1438" s="13" t="n">
        <v>156.004285714286</v>
      </c>
      <c r="F1438" s="13" t="s">
        <v>5325</v>
      </c>
      <c r="G1438" s="13" t="s">
        <v>5292</v>
      </c>
      <c r="H1438" s="13" t="s">
        <v>5292</v>
      </c>
      <c r="I1438" s="13" t="s">
        <v>5289</v>
      </c>
      <c r="J1438" s="13" t="s">
        <v>5289</v>
      </c>
      <c r="K1438" s="13" t="s">
        <v>5289</v>
      </c>
      <c r="L1438" s="13" t="s">
        <v>6046</v>
      </c>
      <c r="M1438" s="13"/>
      <c r="N1438" s="13" t="n">
        <v>3607348938230</v>
      </c>
      <c r="O1438" s="13"/>
      <c r="P1438" s="13" t="s">
        <v>5291</v>
      </c>
      <c r="Q1438" s="13" t="s">
        <v>5289</v>
      </c>
      <c r="R1438" s="13" t="s">
        <v>5292</v>
      </c>
      <c r="S1438" s="13" t="s">
        <v>5293</v>
      </c>
      <c r="T1438" s="13" t="s">
        <v>4</v>
      </c>
      <c r="U1438" s="13" t="s">
        <v>43</v>
      </c>
      <c r="V1438" s="13" t="n">
        <f aca="false">IF(COUNTIF($B$2:B1438,B1438)=1,1,0)</f>
        <v>0</v>
      </c>
      <c r="W1438" s="13" t="n">
        <f aca="false">IF(COUNTIFS($B$2:B1438,B1438,$T$2:T1438,T1438)=1,1,0)</f>
        <v>0</v>
      </c>
    </row>
    <row r="1439" customFormat="false" ht="15" hidden="false" customHeight="false" outlineLevel="0" collapsed="false">
      <c r="A1439" s="13" t="s">
        <v>1187</v>
      </c>
      <c r="B1439" s="13" t="s">
        <v>42</v>
      </c>
      <c r="C1439" s="13" t="n">
        <v>1100</v>
      </c>
      <c r="D1439" s="13" t="n">
        <v>2</v>
      </c>
      <c r="E1439" s="13" t="n">
        <v>273</v>
      </c>
      <c r="F1439" s="13" t="s">
        <v>5325</v>
      </c>
      <c r="G1439" s="13" t="s">
        <v>5292</v>
      </c>
      <c r="H1439" s="13" t="s">
        <v>5292</v>
      </c>
      <c r="I1439" s="13" t="s">
        <v>5289</v>
      </c>
      <c r="J1439" s="13" t="s">
        <v>5289</v>
      </c>
      <c r="K1439" s="13" t="s">
        <v>5289</v>
      </c>
      <c r="L1439" s="13" t="s">
        <v>6047</v>
      </c>
      <c r="M1439" s="13"/>
      <c r="N1439" s="13" t="n">
        <v>8411061805893</v>
      </c>
      <c r="O1439" s="13"/>
      <c r="P1439" s="13" t="s">
        <v>5297</v>
      </c>
      <c r="Q1439" s="13" t="s">
        <v>5289</v>
      </c>
      <c r="R1439" s="13" t="s">
        <v>5292</v>
      </c>
      <c r="S1439" s="13" t="s">
        <v>5293</v>
      </c>
      <c r="T1439" s="13" t="s">
        <v>4</v>
      </c>
      <c r="U1439" s="13" t="s">
        <v>43</v>
      </c>
      <c r="V1439" s="13" t="n">
        <f aca="false">IF(COUNTIF($B$2:B1439,B1439)=1,1,0)</f>
        <v>0</v>
      </c>
      <c r="W1439" s="13" t="n">
        <f aca="false">IF(COUNTIFS($B$2:B1439,B1439,$T$2:T1439,T1439)=1,1,0)</f>
        <v>0</v>
      </c>
    </row>
    <row r="1440" customFormat="false" ht="15" hidden="false" customHeight="false" outlineLevel="0" collapsed="false">
      <c r="A1440" s="13" t="s">
        <v>1186</v>
      </c>
      <c r="B1440" s="13" t="s">
        <v>153</v>
      </c>
      <c r="C1440" s="13" t="n">
        <v>1100</v>
      </c>
      <c r="D1440" s="13" t="n">
        <v>2</v>
      </c>
      <c r="E1440" s="13" t="n">
        <v>361.31</v>
      </c>
      <c r="F1440" s="13" t="s">
        <v>5325</v>
      </c>
      <c r="G1440" s="13" t="s">
        <v>5289</v>
      </c>
      <c r="H1440" s="13" t="s">
        <v>5292</v>
      </c>
      <c r="I1440" s="13" t="s">
        <v>5289</v>
      </c>
      <c r="J1440" s="13" t="s">
        <v>5289</v>
      </c>
      <c r="K1440" s="13" t="s">
        <v>5289</v>
      </c>
      <c r="L1440" s="13" t="s">
        <v>6048</v>
      </c>
      <c r="M1440" s="13"/>
      <c r="N1440" s="13" t="n">
        <v>8011003995943</v>
      </c>
      <c r="O1440" s="13"/>
      <c r="P1440" s="13" t="s">
        <v>5291</v>
      </c>
      <c r="Q1440" s="13" t="s">
        <v>5289</v>
      </c>
      <c r="R1440" s="13" t="s">
        <v>5292</v>
      </c>
      <c r="S1440" s="13" t="s">
        <v>5293</v>
      </c>
      <c r="T1440" s="13" t="s">
        <v>4</v>
      </c>
      <c r="U1440" s="13" t="s">
        <v>43</v>
      </c>
      <c r="V1440" s="13" t="n">
        <f aca="false">IF(COUNTIF($B$2:B1440,B1440)=1,1,0)</f>
        <v>0</v>
      </c>
      <c r="W1440" s="13" t="n">
        <f aca="false">IF(COUNTIFS($B$2:B1440,B1440,$T$2:T1440,T1440)=1,1,0)</f>
        <v>0</v>
      </c>
    </row>
    <row r="1441" customFormat="false" ht="15" hidden="false" customHeight="false" outlineLevel="0" collapsed="false">
      <c r="A1441" s="13" t="s">
        <v>1210</v>
      </c>
      <c r="B1441" s="13" t="s">
        <v>302</v>
      </c>
      <c r="C1441" s="13" t="n">
        <v>1100</v>
      </c>
      <c r="D1441" s="13" t="n">
        <v>2</v>
      </c>
      <c r="E1441" s="13" t="n">
        <v>539.47</v>
      </c>
      <c r="F1441" s="13" t="s">
        <v>5288</v>
      </c>
      <c r="G1441" s="13" t="s">
        <v>5289</v>
      </c>
      <c r="H1441" s="13" t="s">
        <v>5292</v>
      </c>
      <c r="I1441" s="13" t="s">
        <v>5289</v>
      </c>
      <c r="J1441" s="13" t="s">
        <v>5289</v>
      </c>
      <c r="K1441" s="13" t="s">
        <v>5289</v>
      </c>
      <c r="L1441" s="13" t="s">
        <v>6049</v>
      </c>
      <c r="M1441" s="13"/>
      <c r="N1441" s="13" t="n">
        <v>3274872495586</v>
      </c>
      <c r="O1441" s="13"/>
      <c r="P1441" s="13" t="s">
        <v>5291</v>
      </c>
      <c r="Q1441" s="13" t="s">
        <v>5289</v>
      </c>
      <c r="R1441" s="13" t="s">
        <v>5292</v>
      </c>
      <c r="S1441" s="13" t="s">
        <v>5293</v>
      </c>
      <c r="T1441" s="13" t="s">
        <v>4</v>
      </c>
      <c r="U1441" s="13" t="s">
        <v>43</v>
      </c>
      <c r="V1441" s="13" t="n">
        <f aca="false">IF(COUNTIF($B$2:B1441,B1441)=1,1,0)</f>
        <v>0</v>
      </c>
      <c r="W1441" s="13" t="n">
        <f aca="false">IF(COUNTIFS($B$2:B1441,B1441,$T$2:T1441,T1441)=1,1,0)</f>
        <v>0</v>
      </c>
    </row>
    <row r="1442" customFormat="false" ht="15" hidden="false" customHeight="false" outlineLevel="0" collapsed="false">
      <c r="A1442" s="13" t="s">
        <v>1180</v>
      </c>
      <c r="B1442" s="13" t="s">
        <v>79</v>
      </c>
      <c r="C1442" s="13" t="n">
        <v>1100</v>
      </c>
      <c r="D1442" s="13" t="n">
        <v>1</v>
      </c>
      <c r="E1442" s="13" t="n">
        <v>1072.8</v>
      </c>
      <c r="F1442" s="13" t="s">
        <v>5288</v>
      </c>
      <c r="G1442" s="13" t="s">
        <v>5292</v>
      </c>
      <c r="H1442" s="13" t="s">
        <v>5292</v>
      </c>
      <c r="I1442" s="13" t="s">
        <v>5289</v>
      </c>
      <c r="J1442" s="13" t="s">
        <v>5289</v>
      </c>
      <c r="K1442" s="13" t="s">
        <v>5289</v>
      </c>
      <c r="L1442" s="13" t="s">
        <v>6050</v>
      </c>
      <c r="M1442" s="13"/>
      <c r="N1442" s="13" t="n">
        <v>8057971183937</v>
      </c>
      <c r="O1442" s="13"/>
      <c r="P1442" s="13" t="s">
        <v>5291</v>
      </c>
      <c r="Q1442" s="13" t="s">
        <v>5289</v>
      </c>
      <c r="R1442" s="13" t="s">
        <v>5292</v>
      </c>
      <c r="S1442" s="13" t="s">
        <v>5293</v>
      </c>
      <c r="T1442" s="13" t="s">
        <v>4</v>
      </c>
      <c r="U1442" s="13" t="s">
        <v>43</v>
      </c>
      <c r="V1442" s="13" t="n">
        <f aca="false">IF(COUNTIF($B$2:B1442,B1442)=1,1,0)</f>
        <v>0</v>
      </c>
      <c r="W1442" s="13" t="n">
        <f aca="false">IF(COUNTIFS($B$2:B1442,B1442,$T$2:T1442,T1442)=1,1,0)</f>
        <v>0</v>
      </c>
    </row>
    <row r="1443" customFormat="false" ht="15" hidden="false" customHeight="false" outlineLevel="0" collapsed="false">
      <c r="A1443" s="13" t="s">
        <v>1178</v>
      </c>
      <c r="B1443" s="13" t="s">
        <v>50</v>
      </c>
      <c r="C1443" s="13" t="n">
        <v>1100</v>
      </c>
      <c r="D1443" s="13" t="n">
        <v>2</v>
      </c>
      <c r="E1443" s="13" t="n">
        <v>535.275</v>
      </c>
      <c r="F1443" s="13" t="s">
        <v>5288</v>
      </c>
      <c r="G1443" s="13" t="s">
        <v>5289</v>
      </c>
      <c r="H1443" s="13" t="s">
        <v>5289</v>
      </c>
      <c r="I1443" s="13" t="s">
        <v>5289</v>
      </c>
      <c r="J1443" s="13" t="s">
        <v>5289</v>
      </c>
      <c r="K1443" s="13" t="s">
        <v>5289</v>
      </c>
      <c r="L1443" s="13" t="s">
        <v>6051</v>
      </c>
      <c r="M1443" s="13"/>
      <c r="N1443" s="13" t="n">
        <v>3349668599448</v>
      </c>
      <c r="O1443" s="13"/>
      <c r="P1443" s="13" t="s">
        <v>5291</v>
      </c>
      <c r="Q1443" s="13" t="s">
        <v>5289</v>
      </c>
      <c r="R1443" s="13" t="s">
        <v>5292</v>
      </c>
      <c r="S1443" s="13" t="s">
        <v>5293</v>
      </c>
      <c r="T1443" s="13" t="s">
        <v>4</v>
      </c>
      <c r="U1443" s="13" t="s">
        <v>43</v>
      </c>
      <c r="V1443" s="13" t="n">
        <f aca="false">IF(COUNTIF($B$2:B1443,B1443)=1,1,0)</f>
        <v>0</v>
      </c>
      <c r="W1443" s="13" t="n">
        <f aca="false">IF(COUNTIFS($B$2:B1443,B1443,$T$2:T1443,T1443)=1,1,0)</f>
        <v>0</v>
      </c>
    </row>
    <row r="1444" customFormat="false" ht="15" hidden="false" customHeight="false" outlineLevel="0" collapsed="false">
      <c r="A1444" s="13" t="s">
        <v>113</v>
      </c>
      <c r="B1444" s="13" t="s">
        <v>45</v>
      </c>
      <c r="C1444" s="13" t="n">
        <v>1100</v>
      </c>
      <c r="D1444" s="13" t="n">
        <v>2</v>
      </c>
      <c r="E1444" s="13" t="n">
        <v>530.53</v>
      </c>
      <c r="F1444" s="13" t="s">
        <v>5288</v>
      </c>
      <c r="G1444" s="13" t="s">
        <v>5292</v>
      </c>
      <c r="H1444" s="13" t="s">
        <v>5289</v>
      </c>
      <c r="I1444" s="13" t="s">
        <v>5289</v>
      </c>
      <c r="J1444" s="13" t="s">
        <v>5289</v>
      </c>
      <c r="K1444" s="13" t="s">
        <v>5289</v>
      </c>
      <c r="L1444" s="13" t="s">
        <v>5986</v>
      </c>
      <c r="M1444" s="13"/>
      <c r="N1444" s="13" t="n">
        <v>8435415030908</v>
      </c>
      <c r="O1444" s="13"/>
      <c r="P1444" s="13" t="s">
        <v>5291</v>
      </c>
      <c r="Q1444" s="13" t="s">
        <v>5289</v>
      </c>
      <c r="R1444" s="13" t="s">
        <v>5292</v>
      </c>
      <c r="S1444" s="13" t="s">
        <v>5293</v>
      </c>
      <c r="T1444" s="13" t="s">
        <v>4</v>
      </c>
      <c r="U1444" s="13" t="s">
        <v>43</v>
      </c>
      <c r="V1444" s="13" t="n">
        <f aca="false">IF(COUNTIF($B$2:B1444,B1444)=1,1,0)</f>
        <v>0</v>
      </c>
      <c r="W1444" s="13" t="n">
        <f aca="false">IF(COUNTIFS($B$2:B1444,B1444,$T$2:T1444,T1444)=1,1,0)</f>
        <v>0</v>
      </c>
    </row>
    <row r="1445" customFormat="false" ht="15" hidden="false" customHeight="false" outlineLevel="0" collapsed="false">
      <c r="A1445" s="13" t="s">
        <v>1179</v>
      </c>
      <c r="B1445" s="13" t="s">
        <v>50</v>
      </c>
      <c r="C1445" s="13" t="n">
        <v>1100</v>
      </c>
      <c r="D1445" s="13" t="n">
        <v>2</v>
      </c>
      <c r="E1445" s="13" t="n">
        <v>530</v>
      </c>
      <c r="F1445" s="13" t="s">
        <v>5288</v>
      </c>
      <c r="G1445" s="13" t="s">
        <v>5289</v>
      </c>
      <c r="H1445" s="13" t="s">
        <v>5289</v>
      </c>
      <c r="I1445" s="13" t="s">
        <v>5289</v>
      </c>
      <c r="J1445" s="13" t="s">
        <v>5289</v>
      </c>
      <c r="K1445" s="13" t="s">
        <v>5289</v>
      </c>
      <c r="L1445" s="13" t="s">
        <v>6052</v>
      </c>
      <c r="M1445" s="13"/>
      <c r="N1445" s="13" t="n">
        <v>3349668545667</v>
      </c>
      <c r="O1445" s="13"/>
      <c r="P1445" s="13" t="s">
        <v>5291</v>
      </c>
      <c r="Q1445" s="13" t="s">
        <v>5289</v>
      </c>
      <c r="R1445" s="13" t="s">
        <v>5292</v>
      </c>
      <c r="S1445" s="13" t="s">
        <v>5293</v>
      </c>
      <c r="T1445" s="13" t="s">
        <v>4</v>
      </c>
      <c r="U1445" s="13" t="s">
        <v>43</v>
      </c>
      <c r="V1445" s="13" t="n">
        <f aca="false">IF(COUNTIF($B$2:B1445,B1445)=1,1,0)</f>
        <v>0</v>
      </c>
      <c r="W1445" s="13" t="n">
        <f aca="false">IF(COUNTIFS($B$2:B1445,B1445,$T$2:T1445,T1445)=1,1,0)</f>
        <v>0</v>
      </c>
    </row>
    <row r="1446" customFormat="false" ht="15" hidden="false" customHeight="false" outlineLevel="0" collapsed="false">
      <c r="A1446" s="13" t="s">
        <v>6053</v>
      </c>
      <c r="B1446" s="13" t="s">
        <v>2110</v>
      </c>
      <c r="C1446" s="13" t="n">
        <v>1100</v>
      </c>
      <c r="D1446" s="13" t="n">
        <v>2</v>
      </c>
      <c r="E1446" s="13" t="n">
        <v>350.95</v>
      </c>
      <c r="F1446" s="13" t="s">
        <v>5288</v>
      </c>
      <c r="G1446" s="13" t="s">
        <v>5289</v>
      </c>
      <c r="H1446" s="13" t="s">
        <v>5292</v>
      </c>
      <c r="I1446" s="13" t="s">
        <v>5289</v>
      </c>
      <c r="J1446" s="13" t="s">
        <v>5289</v>
      </c>
      <c r="K1446" s="13" t="s">
        <v>5289</v>
      </c>
      <c r="L1446" s="13" t="s">
        <v>5749</v>
      </c>
      <c r="M1446" s="13"/>
      <c r="N1446" s="13" t="n">
        <v>3386460149280</v>
      </c>
      <c r="O1446" s="13"/>
      <c r="P1446" s="13" t="s">
        <v>5291</v>
      </c>
      <c r="Q1446" s="13" t="s">
        <v>5289</v>
      </c>
      <c r="R1446" s="13" t="s">
        <v>5292</v>
      </c>
      <c r="S1446" s="13" t="s">
        <v>5293</v>
      </c>
      <c r="T1446" s="13" t="s">
        <v>4</v>
      </c>
      <c r="U1446" s="13" t="s">
        <v>43</v>
      </c>
      <c r="V1446" s="13" t="n">
        <f aca="false">IF(COUNTIF($B$2:B1446,B1446)=1,1,0)</f>
        <v>0</v>
      </c>
      <c r="W1446" s="13" t="n">
        <f aca="false">IF(COUNTIFS($B$2:B1446,B1446,$T$2:T1446,T1446)=1,1,0)</f>
        <v>0</v>
      </c>
    </row>
    <row r="1447" customFormat="false" ht="15" hidden="false" customHeight="false" outlineLevel="0" collapsed="false">
      <c r="A1447" s="13" t="s">
        <v>4015</v>
      </c>
      <c r="B1447" s="13" t="s">
        <v>2243</v>
      </c>
      <c r="C1447" s="13" t="n">
        <v>1100</v>
      </c>
      <c r="D1447" s="13" t="n">
        <v>5</v>
      </c>
      <c r="E1447" s="13" t="n">
        <v>210.552</v>
      </c>
      <c r="F1447" s="13" t="s">
        <v>5288</v>
      </c>
      <c r="G1447" s="13" t="s">
        <v>5289</v>
      </c>
      <c r="H1447" s="13" t="s">
        <v>5292</v>
      </c>
      <c r="I1447" s="13" t="s">
        <v>5289</v>
      </c>
      <c r="J1447" s="13" t="s">
        <v>5289</v>
      </c>
      <c r="K1447" s="13" t="s">
        <v>5289</v>
      </c>
      <c r="L1447" s="13" t="s">
        <v>6054</v>
      </c>
      <c r="M1447" s="13"/>
      <c r="N1447" s="13" t="n">
        <v>3607348816552</v>
      </c>
      <c r="O1447" s="13"/>
      <c r="P1447" s="13" t="s">
        <v>5291</v>
      </c>
      <c r="Q1447" s="13" t="s">
        <v>5289</v>
      </c>
      <c r="R1447" s="13" t="s">
        <v>5292</v>
      </c>
      <c r="S1447" s="13" t="s">
        <v>5293</v>
      </c>
      <c r="T1447" s="13" t="s">
        <v>4</v>
      </c>
      <c r="U1447" s="13" t="s">
        <v>43</v>
      </c>
      <c r="V1447" s="13" t="n">
        <f aca="false">IF(COUNTIF($B$2:B1447,B1447)=1,1,0)</f>
        <v>1</v>
      </c>
      <c r="W1447" s="13" t="n">
        <f aca="false">IF(COUNTIFS($B$2:B1447,B1447,$T$2:T1447,T1447)=1,1,0)</f>
        <v>1</v>
      </c>
    </row>
    <row r="1448" customFormat="false" ht="15" hidden="false" customHeight="false" outlineLevel="0" collapsed="false">
      <c r="A1448" s="13" t="s">
        <v>1177</v>
      </c>
      <c r="B1448" s="13" t="s">
        <v>186</v>
      </c>
      <c r="C1448" s="13" t="n">
        <v>1100</v>
      </c>
      <c r="D1448" s="13" t="n">
        <v>2</v>
      </c>
      <c r="E1448" s="13" t="n">
        <v>350.3</v>
      </c>
      <c r="F1448" s="13" t="s">
        <v>5288</v>
      </c>
      <c r="G1448" s="13" t="s">
        <v>5292</v>
      </c>
      <c r="H1448" s="13" t="s">
        <v>5292</v>
      </c>
      <c r="I1448" s="13" t="s">
        <v>5289</v>
      </c>
      <c r="J1448" s="13" t="s">
        <v>5289</v>
      </c>
      <c r="K1448" s="13" t="s">
        <v>5289</v>
      </c>
      <c r="L1448" s="13" t="s">
        <v>6055</v>
      </c>
      <c r="M1448" s="13"/>
      <c r="N1448" s="13" t="n">
        <v>3616301781127</v>
      </c>
      <c r="O1448" s="13"/>
      <c r="P1448" s="13" t="s">
        <v>5297</v>
      </c>
      <c r="Q1448" s="13" t="s">
        <v>5289</v>
      </c>
      <c r="R1448" s="13" t="s">
        <v>5292</v>
      </c>
      <c r="S1448" s="13" t="s">
        <v>5293</v>
      </c>
      <c r="T1448" s="13" t="s">
        <v>4</v>
      </c>
      <c r="U1448" s="13" t="s">
        <v>43</v>
      </c>
      <c r="V1448" s="13" t="n">
        <f aca="false">IF(COUNTIF($B$2:B1448,B1448)=1,1,0)</f>
        <v>0</v>
      </c>
      <c r="W1448" s="13" t="n">
        <f aca="false">IF(COUNTIFS($B$2:B1448,B1448,$T$2:T1448,T1448)=1,1,0)</f>
        <v>0</v>
      </c>
    </row>
    <row r="1449" customFormat="false" ht="15" hidden="false" customHeight="false" outlineLevel="0" collapsed="false">
      <c r="A1449" s="13" t="s">
        <v>4048</v>
      </c>
      <c r="B1449" s="13" t="s">
        <v>2134</v>
      </c>
      <c r="C1449" s="13" t="n">
        <v>1000</v>
      </c>
      <c r="D1449" s="13" t="n">
        <v>2</v>
      </c>
      <c r="E1449" s="13" t="n">
        <v>524.3</v>
      </c>
      <c r="F1449" s="13" t="s">
        <v>5288</v>
      </c>
      <c r="G1449" s="13" t="s">
        <v>5292</v>
      </c>
      <c r="H1449" s="13" t="s">
        <v>5289</v>
      </c>
      <c r="I1449" s="13" t="s">
        <v>5289</v>
      </c>
      <c r="J1449" s="13" t="s">
        <v>5289</v>
      </c>
      <c r="K1449" s="13" t="s">
        <v>5289</v>
      </c>
      <c r="L1449" s="13" t="s">
        <v>6056</v>
      </c>
      <c r="M1449" s="13"/>
      <c r="N1449" s="13" t="n">
        <v>3386460151962</v>
      </c>
      <c r="O1449" s="13"/>
      <c r="P1449" s="13" t="s">
        <v>5291</v>
      </c>
      <c r="Q1449" s="13" t="s">
        <v>5289</v>
      </c>
      <c r="R1449" s="13" t="s">
        <v>5292</v>
      </c>
      <c r="S1449" s="13" t="s">
        <v>5293</v>
      </c>
      <c r="T1449" s="13" t="s">
        <v>4</v>
      </c>
      <c r="U1449" s="13" t="s">
        <v>43</v>
      </c>
      <c r="V1449" s="13" t="n">
        <f aca="false">IF(COUNTIF($B$2:B1449,B1449)=1,1,0)</f>
        <v>0</v>
      </c>
      <c r="W1449" s="13" t="n">
        <f aca="false">IF(COUNTIFS($B$2:B1449,B1449,$T$2:T1449,T1449)=1,1,0)</f>
        <v>0</v>
      </c>
    </row>
    <row r="1450" customFormat="false" ht="15" hidden="false" customHeight="false" outlineLevel="0" collapsed="false">
      <c r="A1450" s="13" t="s">
        <v>1219</v>
      </c>
      <c r="B1450" s="13" t="s">
        <v>153</v>
      </c>
      <c r="C1450" s="13" t="n">
        <v>1000</v>
      </c>
      <c r="D1450" s="13" t="n">
        <v>2</v>
      </c>
      <c r="E1450" s="13" t="n">
        <v>524.195</v>
      </c>
      <c r="F1450" s="13" t="s">
        <v>5325</v>
      </c>
      <c r="G1450" s="13" t="s">
        <v>5292</v>
      </c>
      <c r="H1450" s="13" t="s">
        <v>5292</v>
      </c>
      <c r="I1450" s="13" t="s">
        <v>5289</v>
      </c>
      <c r="J1450" s="13" t="s">
        <v>5289</v>
      </c>
      <c r="K1450" s="13" t="s">
        <v>5289</v>
      </c>
      <c r="L1450" s="13" t="s">
        <v>6057</v>
      </c>
      <c r="M1450" s="13"/>
      <c r="N1450" s="13" t="n">
        <v>8011003890798</v>
      </c>
      <c r="O1450" s="13"/>
      <c r="P1450" s="13" t="s">
        <v>5291</v>
      </c>
      <c r="Q1450" s="13" t="s">
        <v>5289</v>
      </c>
      <c r="R1450" s="13" t="s">
        <v>5292</v>
      </c>
      <c r="S1450" s="13" t="s">
        <v>5293</v>
      </c>
      <c r="T1450" s="13" t="s">
        <v>4</v>
      </c>
      <c r="U1450" s="13" t="s">
        <v>43</v>
      </c>
      <c r="V1450" s="13" t="n">
        <f aca="false">IF(COUNTIF($B$2:B1450,B1450)=1,1,0)</f>
        <v>0</v>
      </c>
      <c r="W1450" s="13" t="n">
        <f aca="false">IF(COUNTIFS($B$2:B1450,B1450,$T$2:T1450,T1450)=1,1,0)</f>
        <v>0</v>
      </c>
    </row>
    <row r="1451" customFormat="false" ht="15" hidden="false" customHeight="false" outlineLevel="0" collapsed="false">
      <c r="A1451" s="13" t="s">
        <v>1224</v>
      </c>
      <c r="B1451" s="13" t="s">
        <v>42</v>
      </c>
      <c r="C1451" s="13" t="n">
        <v>1000</v>
      </c>
      <c r="D1451" s="13" t="n">
        <v>2</v>
      </c>
      <c r="E1451" s="13" t="n">
        <v>521.55</v>
      </c>
      <c r="F1451" s="13" t="s">
        <v>5325</v>
      </c>
      <c r="G1451" s="13" t="s">
        <v>5289</v>
      </c>
      <c r="H1451" s="13" t="s">
        <v>5292</v>
      </c>
      <c r="I1451" s="13" t="s">
        <v>5289</v>
      </c>
      <c r="J1451" s="13" t="s">
        <v>5289</v>
      </c>
      <c r="K1451" s="13" t="s">
        <v>5289</v>
      </c>
      <c r="L1451" s="13" t="s">
        <v>5698</v>
      </c>
      <c r="M1451" s="13"/>
      <c r="N1451" s="13" t="n">
        <v>8411061081600</v>
      </c>
      <c r="O1451" s="13"/>
      <c r="P1451" s="13" t="s">
        <v>5291</v>
      </c>
      <c r="Q1451" s="13" t="s">
        <v>5289</v>
      </c>
      <c r="R1451" s="13" t="s">
        <v>5292</v>
      </c>
      <c r="S1451" s="13" t="s">
        <v>5293</v>
      </c>
      <c r="T1451" s="13" t="s">
        <v>4</v>
      </c>
      <c r="U1451" s="13" t="s">
        <v>43</v>
      </c>
      <c r="V1451" s="13" t="n">
        <f aca="false">IF(COUNTIF($B$2:B1451,B1451)=1,1,0)</f>
        <v>0</v>
      </c>
      <c r="W1451" s="13" t="n">
        <f aca="false">IF(COUNTIFS($B$2:B1451,B1451,$T$2:T1451,T1451)=1,1,0)</f>
        <v>0</v>
      </c>
    </row>
    <row r="1452" customFormat="false" ht="15" hidden="false" customHeight="false" outlineLevel="0" collapsed="false">
      <c r="A1452" s="13" t="s">
        <v>1223</v>
      </c>
      <c r="B1452" s="13" t="s">
        <v>92</v>
      </c>
      <c r="C1452" s="13" t="n">
        <v>1000</v>
      </c>
      <c r="D1452" s="13" t="n">
        <v>2</v>
      </c>
      <c r="E1452" s="13" t="n">
        <v>521.265</v>
      </c>
      <c r="F1452" s="13" t="s">
        <v>5288</v>
      </c>
      <c r="G1452" s="13" t="s">
        <v>5289</v>
      </c>
      <c r="H1452" s="13" t="s">
        <v>5292</v>
      </c>
      <c r="I1452" s="13" t="s">
        <v>5289</v>
      </c>
      <c r="J1452" s="13" t="s">
        <v>5289</v>
      </c>
      <c r="K1452" s="13" t="s">
        <v>5289</v>
      </c>
      <c r="L1452" s="13" t="s">
        <v>6058</v>
      </c>
      <c r="M1452" s="13"/>
      <c r="N1452" s="13" t="n">
        <v>3616303477936</v>
      </c>
      <c r="O1452" s="13"/>
      <c r="P1452" s="13" t="s">
        <v>5291</v>
      </c>
      <c r="Q1452" s="13" t="s">
        <v>5289</v>
      </c>
      <c r="R1452" s="13" t="s">
        <v>5292</v>
      </c>
      <c r="S1452" s="13" t="s">
        <v>5293</v>
      </c>
      <c r="T1452" s="13" t="s">
        <v>4</v>
      </c>
      <c r="U1452" s="13" t="s">
        <v>43</v>
      </c>
      <c r="V1452" s="13" t="n">
        <f aca="false">IF(COUNTIF($B$2:B1452,B1452)=1,1,0)</f>
        <v>0</v>
      </c>
      <c r="W1452" s="13" t="n">
        <f aca="false">IF(COUNTIFS($B$2:B1452,B1452,$T$2:T1452,T1452)=1,1,0)</f>
        <v>0</v>
      </c>
    </row>
    <row r="1453" customFormat="false" ht="15" hidden="false" customHeight="false" outlineLevel="0" collapsed="false">
      <c r="A1453" s="13" t="s">
        <v>4037</v>
      </c>
      <c r="B1453" s="13" t="s">
        <v>2134</v>
      </c>
      <c r="C1453" s="13" t="n">
        <v>1000</v>
      </c>
      <c r="D1453" s="13" t="n">
        <v>2</v>
      </c>
      <c r="E1453" s="13" t="n">
        <v>347.253333333333</v>
      </c>
      <c r="F1453" s="13" t="s">
        <v>5288</v>
      </c>
      <c r="G1453" s="13" t="s">
        <v>5289</v>
      </c>
      <c r="H1453" s="13" t="s">
        <v>5292</v>
      </c>
      <c r="I1453" s="13" t="s">
        <v>5289</v>
      </c>
      <c r="J1453" s="13" t="s">
        <v>5289</v>
      </c>
      <c r="K1453" s="13" t="s">
        <v>5289</v>
      </c>
      <c r="L1453" s="13" t="s">
        <v>6059</v>
      </c>
      <c r="M1453" s="13"/>
      <c r="N1453" s="13" t="n">
        <v>3386460078320</v>
      </c>
      <c r="O1453" s="13"/>
      <c r="P1453" s="13" t="s">
        <v>5291</v>
      </c>
      <c r="Q1453" s="13" t="s">
        <v>5289</v>
      </c>
      <c r="R1453" s="13" t="s">
        <v>5292</v>
      </c>
      <c r="S1453" s="13" t="s">
        <v>5293</v>
      </c>
      <c r="T1453" s="13" t="s">
        <v>4</v>
      </c>
      <c r="U1453" s="13" t="s">
        <v>43</v>
      </c>
      <c r="V1453" s="13" t="n">
        <f aca="false">IF(COUNTIF($B$2:B1453,B1453)=1,1,0)</f>
        <v>0</v>
      </c>
      <c r="W1453" s="13" t="n">
        <f aca="false">IF(COUNTIFS($B$2:B1453,B1453,$T$2:T1453,T1453)=1,1,0)</f>
        <v>0</v>
      </c>
    </row>
    <row r="1454" customFormat="false" ht="15" hidden="false" customHeight="false" outlineLevel="0" collapsed="false">
      <c r="A1454" s="13" t="s">
        <v>644</v>
      </c>
      <c r="B1454" s="13" t="s">
        <v>50</v>
      </c>
      <c r="C1454" s="13" t="n">
        <v>1000</v>
      </c>
      <c r="D1454" s="13" t="n">
        <v>2</v>
      </c>
      <c r="E1454" s="13" t="n">
        <v>515.14</v>
      </c>
      <c r="F1454" s="13" t="s">
        <v>5288</v>
      </c>
      <c r="G1454" s="13" t="s">
        <v>5292</v>
      </c>
      <c r="H1454" s="13" t="s">
        <v>5289</v>
      </c>
      <c r="I1454" s="13" t="s">
        <v>5289</v>
      </c>
      <c r="J1454" s="13" t="s">
        <v>5289</v>
      </c>
      <c r="K1454" s="13" t="s">
        <v>5289</v>
      </c>
      <c r="L1454" s="13" t="s">
        <v>6060</v>
      </c>
      <c r="M1454" s="13"/>
      <c r="N1454" s="13" t="n">
        <v>3349668661916</v>
      </c>
      <c r="O1454" s="13"/>
      <c r="P1454" s="13" t="s">
        <v>5291</v>
      </c>
      <c r="Q1454" s="13" t="s">
        <v>5289</v>
      </c>
      <c r="R1454" s="13" t="s">
        <v>5292</v>
      </c>
      <c r="S1454" s="13" t="s">
        <v>5293</v>
      </c>
      <c r="T1454" s="13" t="s">
        <v>4</v>
      </c>
      <c r="U1454" s="13" t="s">
        <v>43</v>
      </c>
      <c r="V1454" s="13" t="n">
        <f aca="false">IF(COUNTIF($B$2:B1454,B1454)=1,1,0)</f>
        <v>0</v>
      </c>
      <c r="W1454" s="13" t="n">
        <f aca="false">IF(COUNTIFS($B$2:B1454,B1454,$T$2:T1454,T1454)=1,1,0)</f>
        <v>0</v>
      </c>
    </row>
    <row r="1455" customFormat="false" ht="15" hidden="false" customHeight="false" outlineLevel="0" collapsed="false">
      <c r="A1455" s="13" t="s">
        <v>812</v>
      </c>
      <c r="B1455" s="13" t="s">
        <v>45</v>
      </c>
      <c r="C1455" s="13" t="n">
        <v>1000</v>
      </c>
      <c r="D1455" s="13" t="n">
        <v>1</v>
      </c>
      <c r="E1455" s="13" t="n">
        <v>1029.8</v>
      </c>
      <c r="F1455" s="13" t="s">
        <v>5288</v>
      </c>
      <c r="G1455" s="13" t="s">
        <v>5289</v>
      </c>
      <c r="H1455" s="13" t="s">
        <v>5289</v>
      </c>
      <c r="I1455" s="13" t="s">
        <v>5289</v>
      </c>
      <c r="J1455" s="13" t="s">
        <v>5289</v>
      </c>
      <c r="K1455" s="13" t="s">
        <v>5289</v>
      </c>
      <c r="L1455" s="13" t="s">
        <v>6061</v>
      </c>
      <c r="M1455" s="13"/>
      <c r="N1455" s="13" t="n">
        <v>8435415114011</v>
      </c>
      <c r="O1455" s="13"/>
      <c r="P1455" s="13" t="s">
        <v>5291</v>
      </c>
      <c r="Q1455" s="13" t="s">
        <v>5289</v>
      </c>
      <c r="R1455" s="13" t="s">
        <v>5292</v>
      </c>
      <c r="S1455" s="13" t="s">
        <v>5293</v>
      </c>
      <c r="T1455" s="13" t="s">
        <v>4</v>
      </c>
      <c r="U1455" s="13" t="s">
        <v>43</v>
      </c>
      <c r="V1455" s="13" t="n">
        <f aca="false">IF(COUNTIF($B$2:B1455,B1455)=1,1,0)</f>
        <v>0</v>
      </c>
      <c r="W1455" s="13" t="n">
        <f aca="false">IF(COUNTIFS($B$2:B1455,B1455,$T$2:T1455,T1455)=1,1,0)</f>
        <v>0</v>
      </c>
    </row>
    <row r="1456" customFormat="false" ht="15" hidden="false" customHeight="false" outlineLevel="0" collapsed="false">
      <c r="A1456" s="13" t="s">
        <v>1232</v>
      </c>
      <c r="B1456" s="13" t="s">
        <v>270</v>
      </c>
      <c r="C1456" s="13" t="n">
        <v>1000</v>
      </c>
      <c r="D1456" s="13" t="n">
        <v>2</v>
      </c>
      <c r="E1456" s="13" t="n">
        <v>256.2</v>
      </c>
      <c r="F1456" s="13" t="s">
        <v>5288</v>
      </c>
      <c r="G1456" s="13" t="s">
        <v>5289</v>
      </c>
      <c r="H1456" s="13" t="s">
        <v>5292</v>
      </c>
      <c r="I1456" s="13" t="s">
        <v>5289</v>
      </c>
      <c r="J1456" s="13" t="s">
        <v>5289</v>
      </c>
      <c r="K1456" s="13" t="s">
        <v>5289</v>
      </c>
      <c r="L1456" s="13" t="s">
        <v>6062</v>
      </c>
      <c r="M1456" s="13"/>
      <c r="N1456" s="13" t="n">
        <v>878813001251</v>
      </c>
      <c r="O1456" s="13"/>
      <c r="P1456" s="13" t="s">
        <v>5291</v>
      </c>
      <c r="Q1456" s="13" t="s">
        <v>5289</v>
      </c>
      <c r="R1456" s="13" t="s">
        <v>5292</v>
      </c>
      <c r="S1456" s="13" t="s">
        <v>5293</v>
      </c>
      <c r="T1456" s="13" t="s">
        <v>4</v>
      </c>
      <c r="U1456" s="13" t="s">
        <v>43</v>
      </c>
      <c r="V1456" s="13" t="n">
        <f aca="false">IF(COUNTIF($B$2:B1456,B1456)=1,1,0)</f>
        <v>0</v>
      </c>
      <c r="W1456" s="13" t="n">
        <f aca="false">IF(COUNTIFS($B$2:B1456,B1456,$T$2:T1456,T1456)=1,1,0)</f>
        <v>0</v>
      </c>
    </row>
    <row r="1457" customFormat="false" ht="15" hidden="false" customHeight="false" outlineLevel="0" collapsed="false">
      <c r="A1457" s="13" t="s">
        <v>1231</v>
      </c>
      <c r="B1457" s="13" t="s">
        <v>79</v>
      </c>
      <c r="C1457" s="13" t="n">
        <v>1000</v>
      </c>
      <c r="D1457" s="13" t="n">
        <v>2</v>
      </c>
      <c r="E1457" s="13" t="n">
        <v>508.67</v>
      </c>
      <c r="F1457" s="13" t="s">
        <v>5288</v>
      </c>
      <c r="G1457" s="13" t="s">
        <v>5292</v>
      </c>
      <c r="H1457" s="13" t="s">
        <v>5289</v>
      </c>
      <c r="I1457" s="13" t="s">
        <v>5289</v>
      </c>
      <c r="J1457" s="13" t="s">
        <v>5289</v>
      </c>
      <c r="K1457" s="13" t="s">
        <v>5289</v>
      </c>
      <c r="L1457" s="13" t="s">
        <v>6063</v>
      </c>
      <c r="M1457" s="13"/>
      <c r="N1457" s="13" t="n">
        <v>3423473020783</v>
      </c>
      <c r="O1457" s="13"/>
      <c r="P1457" s="13" t="s">
        <v>5291</v>
      </c>
      <c r="Q1457" s="13" t="s">
        <v>5289</v>
      </c>
      <c r="R1457" s="13" t="s">
        <v>5292</v>
      </c>
      <c r="S1457" s="13" t="s">
        <v>5293</v>
      </c>
      <c r="T1457" s="13" t="s">
        <v>4</v>
      </c>
      <c r="U1457" s="13" t="s">
        <v>43</v>
      </c>
      <c r="V1457" s="13" t="n">
        <f aca="false">IF(COUNTIF($B$2:B1457,B1457)=1,1,0)</f>
        <v>0</v>
      </c>
      <c r="W1457" s="13" t="n">
        <f aca="false">IF(COUNTIFS($B$2:B1457,B1457,$T$2:T1457,T1457)=1,1,0)</f>
        <v>0</v>
      </c>
    </row>
    <row r="1458" customFormat="false" ht="15" hidden="false" customHeight="false" outlineLevel="0" collapsed="false">
      <c r="A1458" s="13" t="s">
        <v>1222</v>
      </c>
      <c r="B1458" s="13" t="s">
        <v>111</v>
      </c>
      <c r="C1458" s="13" t="n">
        <v>1000</v>
      </c>
      <c r="D1458" s="13" t="n">
        <v>2</v>
      </c>
      <c r="E1458" s="13" t="n">
        <v>508.44</v>
      </c>
      <c r="F1458" s="13" t="s">
        <v>5288</v>
      </c>
      <c r="G1458" s="13" t="s">
        <v>5289</v>
      </c>
      <c r="H1458" s="13" t="s">
        <v>5292</v>
      </c>
      <c r="I1458" s="13" t="s">
        <v>5289</v>
      </c>
      <c r="J1458" s="13" t="s">
        <v>5289</v>
      </c>
      <c r="K1458" s="13" t="s">
        <v>5289</v>
      </c>
      <c r="L1458" s="13" t="s">
        <v>6064</v>
      </c>
      <c r="M1458" s="13"/>
      <c r="N1458" s="13" t="n">
        <v>3595471036292</v>
      </c>
      <c r="O1458" s="13"/>
      <c r="P1458" s="13" t="s">
        <v>5291</v>
      </c>
      <c r="Q1458" s="13" t="s">
        <v>5289</v>
      </c>
      <c r="R1458" s="13" t="s">
        <v>5292</v>
      </c>
      <c r="S1458" s="13" t="s">
        <v>5293</v>
      </c>
      <c r="T1458" s="13" t="s">
        <v>4</v>
      </c>
      <c r="U1458" s="13" t="s">
        <v>43</v>
      </c>
      <c r="V1458" s="13" t="n">
        <f aca="false">IF(COUNTIF($B$2:B1458,B1458)=1,1,0)</f>
        <v>0</v>
      </c>
      <c r="W1458" s="13" t="n">
        <f aca="false">IF(COUNTIFS($B$2:B1458,B1458,$T$2:T1458,T1458)=1,1,0)</f>
        <v>0</v>
      </c>
    </row>
    <row r="1459" customFormat="false" ht="15" hidden="false" customHeight="false" outlineLevel="0" collapsed="false">
      <c r="A1459" s="13" t="s">
        <v>1220</v>
      </c>
      <c r="B1459" s="13" t="s">
        <v>79</v>
      </c>
      <c r="C1459" s="13" t="n">
        <v>1000</v>
      </c>
      <c r="D1459" s="13" t="n">
        <v>1</v>
      </c>
      <c r="E1459" s="13" t="n">
        <v>1006.2</v>
      </c>
      <c r="F1459" s="13" t="s">
        <v>5325</v>
      </c>
      <c r="G1459" s="13" t="s">
        <v>5292</v>
      </c>
      <c r="H1459" s="13" t="s">
        <v>5292</v>
      </c>
      <c r="I1459" s="13" t="s">
        <v>5289</v>
      </c>
      <c r="J1459" s="13" t="s">
        <v>5289</v>
      </c>
      <c r="K1459" s="13" t="s">
        <v>5289</v>
      </c>
      <c r="L1459" s="13" t="s">
        <v>6065</v>
      </c>
      <c r="M1459" s="13"/>
      <c r="N1459" s="13" t="n">
        <v>8057971188123</v>
      </c>
      <c r="O1459" s="13"/>
      <c r="P1459" s="13" t="s">
        <v>5291</v>
      </c>
      <c r="Q1459" s="13" t="s">
        <v>5289</v>
      </c>
      <c r="R1459" s="13" t="s">
        <v>5292</v>
      </c>
      <c r="S1459" s="13" t="s">
        <v>5293</v>
      </c>
      <c r="T1459" s="13" t="s">
        <v>4</v>
      </c>
      <c r="U1459" s="13" t="s">
        <v>43</v>
      </c>
      <c r="V1459" s="13" t="n">
        <f aca="false">IF(COUNTIF($B$2:B1459,B1459)=1,1,0)</f>
        <v>0</v>
      </c>
      <c r="W1459" s="13" t="n">
        <f aca="false">IF(COUNTIFS($B$2:B1459,B1459,$T$2:T1459,T1459)=1,1,0)</f>
        <v>0</v>
      </c>
    </row>
    <row r="1460" customFormat="false" ht="15" hidden="false" customHeight="false" outlineLevel="0" collapsed="false">
      <c r="A1460" s="13" t="s">
        <v>1221</v>
      </c>
      <c r="B1460" s="13" t="s">
        <v>270</v>
      </c>
      <c r="C1460" s="13" t="n">
        <v>1000</v>
      </c>
      <c r="D1460" s="13" t="n">
        <v>2</v>
      </c>
      <c r="E1460" s="13" t="n">
        <v>332.376666666667</v>
      </c>
      <c r="F1460" s="13" t="s">
        <v>5325</v>
      </c>
      <c r="G1460" s="13" t="s">
        <v>5289</v>
      </c>
      <c r="H1460" s="13" t="s">
        <v>5292</v>
      </c>
      <c r="I1460" s="13" t="s">
        <v>5289</v>
      </c>
      <c r="J1460" s="13" t="s">
        <v>5289</v>
      </c>
      <c r="K1460" s="13" t="s">
        <v>5289</v>
      </c>
      <c r="L1460" s="13" t="s">
        <v>5883</v>
      </c>
      <c r="M1460" s="13"/>
      <c r="N1460" s="13" t="n">
        <v>892456000310</v>
      </c>
      <c r="O1460" s="13"/>
      <c r="P1460" s="13" t="s">
        <v>5291</v>
      </c>
      <c r="Q1460" s="13" t="s">
        <v>5289</v>
      </c>
      <c r="R1460" s="13" t="s">
        <v>5292</v>
      </c>
      <c r="S1460" s="13" t="s">
        <v>5293</v>
      </c>
      <c r="T1460" s="13" t="s">
        <v>4</v>
      </c>
      <c r="U1460" s="13" t="s">
        <v>43</v>
      </c>
      <c r="V1460" s="13" t="n">
        <f aca="false">IF(COUNTIF($B$2:B1460,B1460)=1,1,0)</f>
        <v>0</v>
      </c>
      <c r="W1460" s="13" t="n">
        <f aca="false">IF(COUNTIFS($B$2:B1460,B1460,$T$2:T1460,T1460)=1,1,0)</f>
        <v>0</v>
      </c>
    </row>
    <row r="1461" customFormat="false" ht="15" hidden="false" customHeight="false" outlineLevel="0" collapsed="false">
      <c r="A1461" s="13" t="s">
        <v>239</v>
      </c>
      <c r="B1461" s="13" t="s">
        <v>50</v>
      </c>
      <c r="C1461" s="13" t="n">
        <v>990</v>
      </c>
      <c r="D1461" s="13" t="n">
        <v>2</v>
      </c>
      <c r="E1461" s="13" t="n">
        <v>497.26</v>
      </c>
      <c r="F1461" s="13" t="s">
        <v>5325</v>
      </c>
      <c r="G1461" s="13" t="s">
        <v>5289</v>
      </c>
      <c r="H1461" s="13" t="s">
        <v>5289</v>
      </c>
      <c r="I1461" s="13" t="s">
        <v>5289</v>
      </c>
      <c r="J1461" s="13" t="s">
        <v>5289</v>
      </c>
      <c r="K1461" s="13" t="s">
        <v>5289</v>
      </c>
      <c r="L1461" s="13" t="s">
        <v>5835</v>
      </c>
      <c r="M1461" s="13"/>
      <c r="N1461" s="13" t="n">
        <v>3349668021345</v>
      </c>
      <c r="O1461" s="13"/>
      <c r="P1461" s="13" t="s">
        <v>5291</v>
      </c>
      <c r="Q1461" s="13" t="s">
        <v>5289</v>
      </c>
      <c r="R1461" s="13" t="s">
        <v>5292</v>
      </c>
      <c r="S1461" s="13" t="s">
        <v>5293</v>
      </c>
      <c r="T1461" s="13" t="s">
        <v>4</v>
      </c>
      <c r="U1461" s="13" t="s">
        <v>43</v>
      </c>
      <c r="V1461" s="13" t="n">
        <f aca="false">IF(COUNTIF($B$2:B1461,B1461)=1,1,0)</f>
        <v>0</v>
      </c>
      <c r="W1461" s="13" t="n">
        <f aca="false">IF(COUNTIFS($B$2:B1461,B1461,$T$2:T1461,T1461)=1,1,0)</f>
        <v>0</v>
      </c>
    </row>
    <row r="1462" customFormat="false" ht="15" hidden="false" customHeight="false" outlineLevel="0" collapsed="false">
      <c r="A1462" s="13" t="s">
        <v>1244</v>
      </c>
      <c r="B1462" s="13" t="s">
        <v>186</v>
      </c>
      <c r="C1462" s="13" t="n">
        <v>990</v>
      </c>
      <c r="D1462" s="13" t="n">
        <v>2</v>
      </c>
      <c r="E1462" s="13" t="n">
        <v>497.07</v>
      </c>
      <c r="F1462" s="13" t="s">
        <v>5288</v>
      </c>
      <c r="G1462" s="13" t="s">
        <v>5289</v>
      </c>
      <c r="H1462" s="13" t="s">
        <v>5289</v>
      </c>
      <c r="I1462" s="13" t="s">
        <v>5289</v>
      </c>
      <c r="J1462" s="13" t="s">
        <v>5289</v>
      </c>
      <c r="K1462" s="13" t="s">
        <v>5289</v>
      </c>
      <c r="L1462" s="13" t="s">
        <v>5704</v>
      </c>
      <c r="M1462" s="13"/>
      <c r="N1462" s="13" t="n">
        <v>88300601400</v>
      </c>
      <c r="O1462" s="13"/>
      <c r="P1462" s="13" t="s">
        <v>5291</v>
      </c>
      <c r="Q1462" s="13" t="s">
        <v>5289</v>
      </c>
      <c r="R1462" s="13" t="s">
        <v>5292</v>
      </c>
      <c r="S1462" s="13" t="s">
        <v>5293</v>
      </c>
      <c r="T1462" s="13" t="s">
        <v>4</v>
      </c>
      <c r="U1462" s="13" t="s">
        <v>43</v>
      </c>
      <c r="V1462" s="13" t="n">
        <f aca="false">IF(COUNTIF($B$2:B1462,B1462)=1,1,0)</f>
        <v>0</v>
      </c>
      <c r="W1462" s="13" t="n">
        <f aca="false">IF(COUNTIFS($B$2:B1462,B1462,$T$2:T1462,T1462)=1,1,0)</f>
        <v>0</v>
      </c>
    </row>
    <row r="1463" customFormat="false" ht="15" hidden="false" customHeight="false" outlineLevel="0" collapsed="false">
      <c r="A1463" s="13" t="s">
        <v>1243</v>
      </c>
      <c r="B1463" s="13" t="s">
        <v>50</v>
      </c>
      <c r="C1463" s="13" t="n">
        <v>990</v>
      </c>
      <c r="D1463" s="13" t="n">
        <v>2</v>
      </c>
      <c r="E1463" s="13" t="n">
        <v>331.186666666667</v>
      </c>
      <c r="F1463" s="13" t="s">
        <v>5325</v>
      </c>
      <c r="G1463" s="13" t="s">
        <v>5289</v>
      </c>
      <c r="H1463" s="13" t="s">
        <v>5292</v>
      </c>
      <c r="I1463" s="13" t="s">
        <v>5289</v>
      </c>
      <c r="J1463" s="13" t="s">
        <v>5289</v>
      </c>
      <c r="K1463" s="13" t="s">
        <v>5289</v>
      </c>
      <c r="L1463" s="13" t="s">
        <v>5686</v>
      </c>
      <c r="M1463" s="13"/>
      <c r="N1463" s="13" t="n">
        <v>3349668616237</v>
      </c>
      <c r="O1463" s="13"/>
      <c r="P1463" s="13" t="s">
        <v>5291</v>
      </c>
      <c r="Q1463" s="13" t="s">
        <v>5289</v>
      </c>
      <c r="R1463" s="13" t="s">
        <v>5292</v>
      </c>
      <c r="S1463" s="13" t="s">
        <v>5293</v>
      </c>
      <c r="T1463" s="13" t="s">
        <v>4</v>
      </c>
      <c r="U1463" s="13" t="s">
        <v>43</v>
      </c>
      <c r="V1463" s="13" t="n">
        <f aca="false">IF(COUNTIF($B$2:B1463,B1463)=1,1,0)</f>
        <v>0</v>
      </c>
      <c r="W1463" s="13" t="n">
        <f aca="false">IF(COUNTIFS($B$2:B1463,B1463,$T$2:T1463,T1463)=1,1,0)</f>
        <v>0</v>
      </c>
    </row>
    <row r="1464" customFormat="false" ht="15" hidden="false" customHeight="false" outlineLevel="0" collapsed="false">
      <c r="A1464" s="13" t="s">
        <v>1248</v>
      </c>
      <c r="B1464" s="13" t="s">
        <v>42</v>
      </c>
      <c r="C1464" s="13" t="n">
        <v>990</v>
      </c>
      <c r="D1464" s="13" t="n">
        <v>1</v>
      </c>
      <c r="E1464" s="13" t="n">
        <v>992.68</v>
      </c>
      <c r="F1464" s="13" t="s">
        <v>5325</v>
      </c>
      <c r="G1464" s="13" t="s">
        <v>5292</v>
      </c>
      <c r="H1464" s="13" t="s">
        <v>5292</v>
      </c>
      <c r="I1464" s="13" t="s">
        <v>5289</v>
      </c>
      <c r="J1464" s="13" t="s">
        <v>5289</v>
      </c>
      <c r="K1464" s="13" t="s">
        <v>5289</v>
      </c>
      <c r="L1464" s="13" t="s">
        <v>5819</v>
      </c>
      <c r="M1464" s="13"/>
      <c r="N1464" s="13" t="n">
        <v>8411061122709</v>
      </c>
      <c r="O1464" s="13"/>
      <c r="P1464" s="13" t="s">
        <v>5291</v>
      </c>
      <c r="Q1464" s="13" t="s">
        <v>5289</v>
      </c>
      <c r="R1464" s="13" t="s">
        <v>5292</v>
      </c>
      <c r="S1464" s="13" t="s">
        <v>5293</v>
      </c>
      <c r="T1464" s="13" t="s">
        <v>4</v>
      </c>
      <c r="U1464" s="13" t="s">
        <v>43</v>
      </c>
      <c r="V1464" s="13" t="n">
        <f aca="false">IF(COUNTIF($B$2:B1464,B1464)=1,1,0)</f>
        <v>0</v>
      </c>
      <c r="W1464" s="13" t="n">
        <f aca="false">IF(COUNTIFS($B$2:B1464,B1464,$T$2:T1464,T1464)=1,1,0)</f>
        <v>0</v>
      </c>
    </row>
    <row r="1465" customFormat="false" ht="15" hidden="false" customHeight="false" outlineLevel="0" collapsed="false">
      <c r="A1465" s="13" t="s">
        <v>1249</v>
      </c>
      <c r="B1465" s="13" t="s">
        <v>105</v>
      </c>
      <c r="C1465" s="13" t="n">
        <v>990</v>
      </c>
      <c r="D1465" s="13" t="n">
        <v>2</v>
      </c>
      <c r="E1465" s="13" t="n">
        <v>494.94</v>
      </c>
      <c r="F1465" s="13" t="s">
        <v>5288</v>
      </c>
      <c r="G1465" s="13" t="s">
        <v>5292</v>
      </c>
      <c r="H1465" s="13" t="s">
        <v>5292</v>
      </c>
      <c r="I1465" s="13" t="s">
        <v>5289</v>
      </c>
      <c r="J1465" s="13" t="s">
        <v>5289</v>
      </c>
      <c r="K1465" s="13" t="s">
        <v>5289</v>
      </c>
      <c r="L1465" s="13" t="s">
        <v>5968</v>
      </c>
      <c r="M1465" s="13"/>
      <c r="N1465" s="13" t="n">
        <v>3616304247644</v>
      </c>
      <c r="O1465" s="13"/>
      <c r="P1465" s="13" t="s">
        <v>5297</v>
      </c>
      <c r="Q1465" s="13" t="s">
        <v>5289</v>
      </c>
      <c r="R1465" s="13" t="s">
        <v>5292</v>
      </c>
      <c r="S1465" s="13" t="s">
        <v>5293</v>
      </c>
      <c r="T1465" s="13" t="s">
        <v>4</v>
      </c>
      <c r="U1465" s="13" t="s">
        <v>43</v>
      </c>
      <c r="V1465" s="13" t="n">
        <f aca="false">IF(COUNTIF($B$2:B1465,B1465)=1,1,0)</f>
        <v>0</v>
      </c>
      <c r="W1465" s="13" t="n">
        <f aca="false">IF(COUNTIFS($B$2:B1465,B1465,$T$2:T1465,T1465)=1,1,0)</f>
        <v>0</v>
      </c>
    </row>
    <row r="1466" customFormat="false" ht="15" hidden="false" customHeight="false" outlineLevel="0" collapsed="false">
      <c r="A1466" s="13" t="s">
        <v>1250</v>
      </c>
      <c r="B1466" s="13" t="s">
        <v>186</v>
      </c>
      <c r="C1466" s="13" t="n">
        <v>990</v>
      </c>
      <c r="D1466" s="13" t="n">
        <v>2</v>
      </c>
      <c r="E1466" s="13" t="n">
        <v>329.4</v>
      </c>
      <c r="F1466" s="13" t="s">
        <v>5288</v>
      </c>
      <c r="G1466" s="13" t="s">
        <v>5292</v>
      </c>
      <c r="H1466" s="13" t="s">
        <v>5292</v>
      </c>
      <c r="I1466" s="13" t="s">
        <v>5289</v>
      </c>
      <c r="J1466" s="13" t="s">
        <v>5289</v>
      </c>
      <c r="K1466" s="13" t="s">
        <v>5289</v>
      </c>
      <c r="L1466" s="13" t="s">
        <v>6066</v>
      </c>
      <c r="M1466" s="13"/>
      <c r="N1466" s="13" t="n">
        <v>88300196890</v>
      </c>
      <c r="O1466" s="13"/>
      <c r="P1466" s="13" t="s">
        <v>5291</v>
      </c>
      <c r="Q1466" s="13" t="s">
        <v>5289</v>
      </c>
      <c r="R1466" s="13" t="s">
        <v>5292</v>
      </c>
      <c r="S1466" s="13" t="s">
        <v>5293</v>
      </c>
      <c r="T1466" s="13" t="s">
        <v>4</v>
      </c>
      <c r="U1466" s="13" t="s">
        <v>43</v>
      </c>
      <c r="V1466" s="13" t="n">
        <f aca="false">IF(COUNTIF($B$2:B1466,B1466)=1,1,0)</f>
        <v>0</v>
      </c>
      <c r="W1466" s="13" t="n">
        <f aca="false">IF(COUNTIFS($B$2:B1466,B1466,$T$2:T1466,T1466)=1,1,0)</f>
        <v>0</v>
      </c>
    </row>
    <row r="1467" customFormat="false" ht="15" hidden="false" customHeight="false" outlineLevel="0" collapsed="false">
      <c r="A1467" s="13" t="s">
        <v>1254</v>
      </c>
      <c r="B1467" s="13" t="s">
        <v>45</v>
      </c>
      <c r="C1467" s="13" t="n">
        <v>980</v>
      </c>
      <c r="D1467" s="13" t="n">
        <v>1</v>
      </c>
      <c r="E1467" s="13" t="n">
        <v>983.48</v>
      </c>
      <c r="F1467" s="13" t="s">
        <v>5325</v>
      </c>
      <c r="G1467" s="13" t="s">
        <v>5289</v>
      </c>
      <c r="H1467" s="13" t="s">
        <v>5292</v>
      </c>
      <c r="I1467" s="13" t="s">
        <v>5289</v>
      </c>
      <c r="J1467" s="13" t="s">
        <v>5289</v>
      </c>
      <c r="K1467" s="13" t="s">
        <v>5289</v>
      </c>
      <c r="L1467" s="13" t="s">
        <v>6067</v>
      </c>
      <c r="M1467" s="13"/>
      <c r="N1467" s="13" t="n">
        <v>8435415113960</v>
      </c>
      <c r="O1467" s="13"/>
      <c r="P1467" s="13" t="s">
        <v>5291</v>
      </c>
      <c r="Q1467" s="13" t="s">
        <v>5289</v>
      </c>
      <c r="R1467" s="13" t="s">
        <v>5292</v>
      </c>
      <c r="S1467" s="13" t="s">
        <v>5293</v>
      </c>
      <c r="T1467" s="13" t="s">
        <v>4</v>
      </c>
      <c r="U1467" s="13" t="s">
        <v>43</v>
      </c>
      <c r="V1467" s="13" t="n">
        <f aca="false">IF(COUNTIF($B$2:B1467,B1467)=1,1,0)</f>
        <v>0</v>
      </c>
      <c r="W1467" s="13" t="n">
        <f aca="false">IF(COUNTIFS($B$2:B1467,B1467,$T$2:T1467,T1467)=1,1,0)</f>
        <v>0</v>
      </c>
    </row>
    <row r="1468" customFormat="false" ht="15" hidden="false" customHeight="false" outlineLevel="0" collapsed="false">
      <c r="A1468" s="13" t="s">
        <v>1255</v>
      </c>
      <c r="B1468" s="13" t="s">
        <v>42</v>
      </c>
      <c r="C1468" s="13" t="n">
        <v>980</v>
      </c>
      <c r="D1468" s="13" t="n">
        <v>1</v>
      </c>
      <c r="E1468" s="13" t="n">
        <v>981.89</v>
      </c>
      <c r="F1468" s="13" t="s">
        <v>5325</v>
      </c>
      <c r="G1468" s="13" t="s">
        <v>5289</v>
      </c>
      <c r="H1468" s="13" t="s">
        <v>5292</v>
      </c>
      <c r="I1468" s="13" t="s">
        <v>5289</v>
      </c>
      <c r="J1468" s="13" t="s">
        <v>5289</v>
      </c>
      <c r="K1468" s="13" t="s">
        <v>5289</v>
      </c>
      <c r="L1468" s="13" t="s">
        <v>6068</v>
      </c>
      <c r="M1468" s="13"/>
      <c r="N1468" s="13" t="n">
        <v>8411061083659</v>
      </c>
      <c r="O1468" s="13"/>
      <c r="P1468" s="13" t="s">
        <v>5291</v>
      </c>
      <c r="Q1468" s="13" t="s">
        <v>5289</v>
      </c>
      <c r="R1468" s="13" t="s">
        <v>5292</v>
      </c>
      <c r="S1468" s="13" t="s">
        <v>5293</v>
      </c>
      <c r="T1468" s="13" t="s">
        <v>4</v>
      </c>
      <c r="U1468" s="13" t="s">
        <v>43</v>
      </c>
      <c r="V1468" s="13" t="n">
        <f aca="false">IF(COUNTIF($B$2:B1468,B1468)=1,1,0)</f>
        <v>0</v>
      </c>
      <c r="W1468" s="13" t="n">
        <f aca="false">IF(COUNTIFS($B$2:B1468,B1468,$T$2:T1468,T1468)=1,1,0)</f>
        <v>0</v>
      </c>
    </row>
    <row r="1469" customFormat="false" ht="15" hidden="false" customHeight="false" outlineLevel="0" collapsed="false">
      <c r="A1469" s="13" t="s">
        <v>1253</v>
      </c>
      <c r="B1469" s="13" t="s">
        <v>105</v>
      </c>
      <c r="C1469" s="13" t="n">
        <v>980</v>
      </c>
      <c r="D1469" s="13" t="n">
        <v>2</v>
      </c>
      <c r="E1469" s="13" t="n">
        <v>489.28</v>
      </c>
      <c r="F1469" s="13" t="s">
        <v>5288</v>
      </c>
      <c r="G1469" s="13" t="s">
        <v>5289</v>
      </c>
      <c r="H1469" s="13" t="s">
        <v>5292</v>
      </c>
      <c r="I1469" s="13" t="s">
        <v>5289</v>
      </c>
      <c r="J1469" s="13" t="s">
        <v>5289</v>
      </c>
      <c r="K1469" s="13" t="s">
        <v>5289</v>
      </c>
      <c r="L1469" s="13" t="s">
        <v>6069</v>
      </c>
      <c r="M1469" s="13"/>
      <c r="N1469" s="13" t="n">
        <v>3616305040480</v>
      </c>
      <c r="O1469" s="13"/>
      <c r="P1469" s="13" t="s">
        <v>5291</v>
      </c>
      <c r="Q1469" s="13" t="s">
        <v>5289</v>
      </c>
      <c r="R1469" s="13" t="s">
        <v>5292</v>
      </c>
      <c r="S1469" s="13" t="s">
        <v>5293</v>
      </c>
      <c r="T1469" s="13" t="s">
        <v>4</v>
      </c>
      <c r="U1469" s="13" t="s">
        <v>43</v>
      </c>
      <c r="V1469" s="13" t="n">
        <f aca="false">IF(COUNTIF($B$2:B1469,B1469)=1,1,0)</f>
        <v>0</v>
      </c>
      <c r="W1469" s="13" t="n">
        <f aca="false">IF(COUNTIFS($B$2:B1469,B1469,$T$2:T1469,T1469)=1,1,0)</f>
        <v>0</v>
      </c>
    </row>
    <row r="1470" customFormat="false" ht="15" hidden="false" customHeight="false" outlineLevel="0" collapsed="false">
      <c r="A1470" s="13" t="s">
        <v>46</v>
      </c>
      <c r="B1470" s="13" t="s">
        <v>45</v>
      </c>
      <c r="C1470" s="13" t="n">
        <v>980</v>
      </c>
      <c r="D1470" s="13" t="n">
        <v>1</v>
      </c>
      <c r="E1470" s="13" t="n">
        <v>975</v>
      </c>
      <c r="F1470" s="13" t="s">
        <v>5325</v>
      </c>
      <c r="G1470" s="13" t="s">
        <v>5289</v>
      </c>
      <c r="H1470" s="13" t="s">
        <v>5289</v>
      </c>
      <c r="I1470" s="13" t="s">
        <v>5289</v>
      </c>
      <c r="J1470" s="13" t="s">
        <v>5289</v>
      </c>
      <c r="K1470" s="13" t="s">
        <v>5289</v>
      </c>
      <c r="L1470" s="13" t="s">
        <v>5817</v>
      </c>
      <c r="M1470" s="13"/>
      <c r="N1470" s="13" t="n">
        <v>8435415102353</v>
      </c>
      <c r="O1470" s="13"/>
      <c r="P1470" s="13" t="s">
        <v>5291</v>
      </c>
      <c r="Q1470" s="13" t="s">
        <v>5289</v>
      </c>
      <c r="R1470" s="13" t="s">
        <v>5292</v>
      </c>
      <c r="S1470" s="13" t="s">
        <v>5293</v>
      </c>
      <c r="T1470" s="13" t="s">
        <v>4</v>
      </c>
      <c r="U1470" s="13" t="s">
        <v>43</v>
      </c>
      <c r="V1470" s="13" t="n">
        <f aca="false">IF(COUNTIF($B$2:B1470,B1470)=1,1,0)</f>
        <v>0</v>
      </c>
      <c r="W1470" s="13" t="n">
        <f aca="false">IF(COUNTIFS($B$2:B1470,B1470,$T$2:T1470,T1470)=1,1,0)</f>
        <v>0</v>
      </c>
    </row>
    <row r="1471" customFormat="false" ht="15" hidden="false" customHeight="false" outlineLevel="0" collapsed="false">
      <c r="A1471" s="13" t="s">
        <v>575</v>
      </c>
      <c r="B1471" s="13" t="s">
        <v>329</v>
      </c>
      <c r="C1471" s="13" t="n">
        <v>970</v>
      </c>
      <c r="D1471" s="13" t="n">
        <v>2</v>
      </c>
      <c r="E1471" s="13" t="n">
        <v>485.63</v>
      </c>
      <c r="F1471" s="13" t="s">
        <v>5325</v>
      </c>
      <c r="G1471" s="13" t="s">
        <v>5289</v>
      </c>
      <c r="H1471" s="13" t="s">
        <v>5289</v>
      </c>
      <c r="I1471" s="13" t="s">
        <v>5289</v>
      </c>
      <c r="J1471" s="13" t="s">
        <v>5289</v>
      </c>
      <c r="K1471" s="13" t="s">
        <v>5289</v>
      </c>
      <c r="L1471" s="13" t="s">
        <v>6070</v>
      </c>
      <c r="M1471" s="13"/>
      <c r="N1471" s="13" t="n">
        <v>3137370364214</v>
      </c>
      <c r="O1471" s="13"/>
      <c r="P1471" s="13" t="s">
        <v>5297</v>
      </c>
      <c r="Q1471" s="13" t="s">
        <v>5289</v>
      </c>
      <c r="R1471" s="13" t="s">
        <v>5292</v>
      </c>
      <c r="S1471" s="13" t="s">
        <v>5293</v>
      </c>
      <c r="T1471" s="13" t="s">
        <v>4</v>
      </c>
      <c r="U1471" s="13" t="s">
        <v>43</v>
      </c>
      <c r="V1471" s="13" t="n">
        <f aca="false">IF(COUNTIF($B$2:B1471,B1471)=1,1,0)</f>
        <v>0</v>
      </c>
      <c r="W1471" s="13" t="n">
        <f aca="false">IF(COUNTIFS($B$2:B1471,B1471,$T$2:T1471,T1471)=1,1,0)</f>
        <v>0</v>
      </c>
    </row>
    <row r="1472" customFormat="false" ht="15" hidden="false" customHeight="false" outlineLevel="0" collapsed="false">
      <c r="A1472" s="13" t="s">
        <v>1261</v>
      </c>
      <c r="B1472" s="13" t="s">
        <v>42</v>
      </c>
      <c r="C1472" s="13" t="n">
        <v>970</v>
      </c>
      <c r="D1472" s="13" t="n">
        <v>2</v>
      </c>
      <c r="E1472" s="13" t="n">
        <v>242.45</v>
      </c>
      <c r="F1472" s="13" t="s">
        <v>5288</v>
      </c>
      <c r="G1472" s="13" t="s">
        <v>5292</v>
      </c>
      <c r="H1472" s="13" t="s">
        <v>5292</v>
      </c>
      <c r="I1472" s="13" t="s">
        <v>5289</v>
      </c>
      <c r="J1472" s="13" t="s">
        <v>5289</v>
      </c>
      <c r="K1472" s="13" t="s">
        <v>5289</v>
      </c>
      <c r="L1472" s="13" t="s">
        <v>5839</v>
      </c>
      <c r="M1472" s="13"/>
      <c r="N1472" s="13" t="n">
        <v>8411061945858</v>
      </c>
      <c r="O1472" s="13"/>
      <c r="P1472" s="13" t="s">
        <v>5291</v>
      </c>
      <c r="Q1472" s="13" t="s">
        <v>5289</v>
      </c>
      <c r="R1472" s="13" t="s">
        <v>5292</v>
      </c>
      <c r="S1472" s="13" t="s">
        <v>5293</v>
      </c>
      <c r="T1472" s="13" t="s">
        <v>4</v>
      </c>
      <c r="U1472" s="13" t="s">
        <v>43</v>
      </c>
      <c r="V1472" s="13" t="n">
        <f aca="false">IF(COUNTIF($B$2:B1472,B1472)=1,1,0)</f>
        <v>0</v>
      </c>
      <c r="W1472" s="13" t="n">
        <f aca="false">IF(COUNTIFS($B$2:B1472,B1472,$T$2:T1472,T1472)=1,1,0)</f>
        <v>0</v>
      </c>
    </row>
    <row r="1473" customFormat="false" ht="15" hidden="false" customHeight="false" outlineLevel="0" collapsed="false">
      <c r="A1473" s="13" t="s">
        <v>426</v>
      </c>
      <c r="B1473" s="13" t="s">
        <v>79</v>
      </c>
      <c r="C1473" s="13" t="n">
        <v>960</v>
      </c>
      <c r="D1473" s="13" t="n">
        <v>1</v>
      </c>
      <c r="E1473" s="13" t="n">
        <v>962</v>
      </c>
      <c r="F1473" s="13" t="s">
        <v>5288</v>
      </c>
      <c r="G1473" s="13" t="s">
        <v>5289</v>
      </c>
      <c r="H1473" s="13" t="s">
        <v>5289</v>
      </c>
      <c r="I1473" s="13" t="s">
        <v>5289</v>
      </c>
      <c r="J1473" s="13" t="s">
        <v>5289</v>
      </c>
      <c r="K1473" s="13" t="s">
        <v>5289</v>
      </c>
      <c r="L1473" s="13" t="s">
        <v>5943</v>
      </c>
      <c r="M1473" s="13"/>
      <c r="N1473" s="13" t="n">
        <v>8056669925712</v>
      </c>
      <c r="O1473" s="13"/>
      <c r="P1473" s="13" t="s">
        <v>5291</v>
      </c>
      <c r="Q1473" s="13" t="s">
        <v>5289</v>
      </c>
      <c r="R1473" s="13" t="s">
        <v>5292</v>
      </c>
      <c r="S1473" s="13" t="s">
        <v>5293</v>
      </c>
      <c r="T1473" s="13" t="s">
        <v>4</v>
      </c>
      <c r="U1473" s="13" t="s">
        <v>43</v>
      </c>
      <c r="V1473" s="13" t="n">
        <f aca="false">IF(COUNTIF($B$2:B1473,B1473)=1,1,0)</f>
        <v>0</v>
      </c>
      <c r="W1473" s="13" t="n">
        <f aca="false">IF(COUNTIFS($B$2:B1473,B1473,$T$2:T1473,T1473)=1,1,0)</f>
        <v>0</v>
      </c>
    </row>
    <row r="1474" customFormat="false" ht="15" hidden="false" customHeight="false" outlineLevel="0" collapsed="false">
      <c r="A1474" s="13" t="s">
        <v>1265</v>
      </c>
      <c r="B1474" s="13" t="s">
        <v>50</v>
      </c>
      <c r="C1474" s="13" t="n">
        <v>960</v>
      </c>
      <c r="D1474" s="13" t="n">
        <v>1</v>
      </c>
      <c r="E1474" s="13" t="n">
        <v>961.73</v>
      </c>
      <c r="F1474" s="13" t="s">
        <v>5325</v>
      </c>
      <c r="G1474" s="13" t="s">
        <v>5292</v>
      </c>
      <c r="H1474" s="13" t="s">
        <v>5292</v>
      </c>
      <c r="I1474" s="13" t="s">
        <v>5289</v>
      </c>
      <c r="J1474" s="13" t="s">
        <v>5289</v>
      </c>
      <c r="K1474" s="13" t="s">
        <v>5289</v>
      </c>
      <c r="L1474" s="13" t="s">
        <v>5744</v>
      </c>
      <c r="M1474" s="13"/>
      <c r="N1474" s="13" t="n">
        <v>3349668644940</v>
      </c>
      <c r="O1474" s="13"/>
      <c r="P1474" s="13" t="s">
        <v>5297</v>
      </c>
      <c r="Q1474" s="13" t="s">
        <v>5289</v>
      </c>
      <c r="R1474" s="13" t="s">
        <v>5292</v>
      </c>
      <c r="S1474" s="13" t="s">
        <v>5293</v>
      </c>
      <c r="T1474" s="13" t="s">
        <v>4</v>
      </c>
      <c r="U1474" s="13" t="s">
        <v>43</v>
      </c>
      <c r="V1474" s="13" t="n">
        <f aca="false">IF(COUNTIF($B$2:B1474,B1474)=1,1,0)</f>
        <v>0</v>
      </c>
      <c r="W1474" s="13" t="n">
        <f aca="false">IF(COUNTIFS($B$2:B1474,B1474,$T$2:T1474,T1474)=1,1,0)</f>
        <v>0</v>
      </c>
    </row>
    <row r="1475" customFormat="false" ht="15" hidden="false" customHeight="false" outlineLevel="0" collapsed="false">
      <c r="A1475" s="13" t="s">
        <v>4093</v>
      </c>
      <c r="B1475" s="13" t="s">
        <v>2181</v>
      </c>
      <c r="C1475" s="13" t="n">
        <v>960</v>
      </c>
      <c r="D1475" s="13" t="n">
        <v>2</v>
      </c>
      <c r="E1475" s="13" t="n">
        <v>479.45</v>
      </c>
      <c r="F1475" s="13" t="s">
        <v>5288</v>
      </c>
      <c r="G1475" s="13" t="s">
        <v>5292</v>
      </c>
      <c r="H1475" s="13" t="s">
        <v>5292</v>
      </c>
      <c r="I1475" s="13" t="s">
        <v>5289</v>
      </c>
      <c r="J1475" s="13" t="s">
        <v>5289</v>
      </c>
      <c r="K1475" s="13" t="s">
        <v>5289</v>
      </c>
      <c r="L1475" s="13" t="s">
        <v>6071</v>
      </c>
      <c r="M1475" s="13"/>
      <c r="N1475" s="13" t="n">
        <v>3386460102933</v>
      </c>
      <c r="O1475" s="13"/>
      <c r="P1475" s="13" t="s">
        <v>5291</v>
      </c>
      <c r="Q1475" s="13" t="s">
        <v>5289</v>
      </c>
      <c r="R1475" s="13" t="s">
        <v>5292</v>
      </c>
      <c r="S1475" s="13" t="s">
        <v>5293</v>
      </c>
      <c r="T1475" s="13" t="s">
        <v>4</v>
      </c>
      <c r="U1475" s="13" t="s">
        <v>43</v>
      </c>
      <c r="V1475" s="13" t="n">
        <f aca="false">IF(COUNTIF($B$2:B1475,B1475)=1,1,0)</f>
        <v>0</v>
      </c>
      <c r="W1475" s="13" t="n">
        <f aca="false">IF(COUNTIFS($B$2:B1475,B1475,$T$2:T1475,T1475)=1,1,0)</f>
        <v>0</v>
      </c>
    </row>
    <row r="1476" customFormat="false" ht="15" hidden="false" customHeight="false" outlineLevel="0" collapsed="false">
      <c r="A1476" s="13" t="s">
        <v>816</v>
      </c>
      <c r="B1476" s="13" t="s">
        <v>42</v>
      </c>
      <c r="C1476" s="13" t="n">
        <v>960</v>
      </c>
      <c r="D1476" s="13" t="n">
        <v>2</v>
      </c>
      <c r="E1476" s="13" t="n">
        <v>239.125</v>
      </c>
      <c r="F1476" s="13" t="s">
        <v>5288</v>
      </c>
      <c r="G1476" s="13" t="s">
        <v>5292</v>
      </c>
      <c r="H1476" s="13" t="s">
        <v>5289</v>
      </c>
      <c r="I1476" s="13" t="s">
        <v>5289</v>
      </c>
      <c r="J1476" s="13" t="s">
        <v>5289</v>
      </c>
      <c r="K1476" s="13" t="s">
        <v>5289</v>
      </c>
      <c r="L1476" s="13" t="s">
        <v>6000</v>
      </c>
      <c r="M1476" s="13"/>
      <c r="N1476" s="13" t="n">
        <v>8411061023167</v>
      </c>
      <c r="O1476" s="13"/>
      <c r="P1476" s="13" t="s">
        <v>5291</v>
      </c>
      <c r="Q1476" s="13" t="s">
        <v>5289</v>
      </c>
      <c r="R1476" s="13" t="s">
        <v>5292</v>
      </c>
      <c r="S1476" s="13" t="s">
        <v>5293</v>
      </c>
      <c r="T1476" s="13" t="s">
        <v>4</v>
      </c>
      <c r="U1476" s="13" t="s">
        <v>43</v>
      </c>
      <c r="V1476" s="13" t="n">
        <f aca="false">IF(COUNTIF($B$2:B1476,B1476)=1,1,0)</f>
        <v>0</v>
      </c>
      <c r="W1476" s="13" t="n">
        <f aca="false">IF(COUNTIFS($B$2:B1476,B1476,$T$2:T1476,T1476)=1,1,0)</f>
        <v>0</v>
      </c>
    </row>
    <row r="1477" customFormat="false" ht="15" hidden="false" customHeight="false" outlineLevel="0" collapsed="false">
      <c r="A1477" s="13" t="s">
        <v>1272</v>
      </c>
      <c r="B1477" s="13" t="s">
        <v>50</v>
      </c>
      <c r="C1477" s="13" t="n">
        <v>950</v>
      </c>
      <c r="D1477" s="13" t="n">
        <v>1</v>
      </c>
      <c r="E1477" s="13" t="n">
        <v>950.38</v>
      </c>
      <c r="F1477" s="13" t="s">
        <v>5325</v>
      </c>
      <c r="G1477" s="13" t="s">
        <v>5289</v>
      </c>
      <c r="H1477" s="13" t="s">
        <v>5292</v>
      </c>
      <c r="I1477" s="13" t="s">
        <v>5289</v>
      </c>
      <c r="J1477" s="13" t="s">
        <v>5289</v>
      </c>
      <c r="K1477" s="13" t="s">
        <v>5289</v>
      </c>
      <c r="L1477" s="13" t="s">
        <v>5937</v>
      </c>
      <c r="M1477" s="13"/>
      <c r="N1477" s="13" t="n">
        <v>3349668630356</v>
      </c>
      <c r="O1477" s="13"/>
      <c r="P1477" s="13" t="s">
        <v>5291</v>
      </c>
      <c r="Q1477" s="13" t="s">
        <v>5289</v>
      </c>
      <c r="R1477" s="13" t="s">
        <v>5292</v>
      </c>
      <c r="S1477" s="13" t="s">
        <v>5293</v>
      </c>
      <c r="T1477" s="13" t="s">
        <v>4</v>
      </c>
      <c r="U1477" s="13" t="s">
        <v>43</v>
      </c>
      <c r="V1477" s="13" t="n">
        <f aca="false">IF(COUNTIF($B$2:B1477,B1477)=1,1,0)</f>
        <v>0</v>
      </c>
      <c r="W1477" s="13" t="n">
        <f aca="false">IF(COUNTIFS($B$2:B1477,B1477,$T$2:T1477,T1477)=1,1,0)</f>
        <v>0</v>
      </c>
    </row>
    <row r="1478" customFormat="false" ht="15" hidden="false" customHeight="false" outlineLevel="0" collapsed="false">
      <c r="A1478" s="13" t="s">
        <v>3663</v>
      </c>
      <c r="B1478" s="13" t="s">
        <v>2189</v>
      </c>
      <c r="C1478" s="13" t="n">
        <v>950</v>
      </c>
      <c r="D1478" s="13" t="n">
        <v>1</v>
      </c>
      <c r="E1478" s="13" t="n">
        <v>949.05</v>
      </c>
      <c r="F1478" s="13" t="s">
        <v>5325</v>
      </c>
      <c r="G1478" s="13" t="s">
        <v>5292</v>
      </c>
      <c r="H1478" s="13" t="s">
        <v>5292</v>
      </c>
      <c r="I1478" s="13" t="s">
        <v>5289</v>
      </c>
      <c r="J1478" s="13" t="s">
        <v>5289</v>
      </c>
      <c r="K1478" s="13" t="s">
        <v>5289</v>
      </c>
      <c r="L1478" s="13" t="s">
        <v>6072</v>
      </c>
      <c r="M1478" s="13"/>
      <c r="N1478" s="13" t="n">
        <v>3700608301550</v>
      </c>
      <c r="O1478" s="13"/>
      <c r="P1478" s="13" t="s">
        <v>5291</v>
      </c>
      <c r="Q1478" s="13" t="s">
        <v>5289</v>
      </c>
      <c r="R1478" s="13" t="s">
        <v>5292</v>
      </c>
      <c r="S1478" s="13" t="s">
        <v>5293</v>
      </c>
      <c r="T1478" s="13" t="s">
        <v>4</v>
      </c>
      <c r="U1478" s="13" t="s">
        <v>43</v>
      </c>
      <c r="V1478" s="13" t="n">
        <f aca="false">IF(COUNTIF($B$2:B1478,B1478)=1,1,0)</f>
        <v>0</v>
      </c>
      <c r="W1478" s="13" t="n">
        <f aca="false">IF(COUNTIFS($B$2:B1478,B1478,$T$2:T1478,T1478)=1,1,0)</f>
        <v>0</v>
      </c>
    </row>
    <row r="1479" customFormat="false" ht="15" hidden="false" customHeight="false" outlineLevel="0" collapsed="false">
      <c r="A1479" s="13" t="s">
        <v>1279</v>
      </c>
      <c r="B1479" s="13" t="s">
        <v>195</v>
      </c>
      <c r="C1479" s="13" t="n">
        <v>940</v>
      </c>
      <c r="D1479" s="13" t="n">
        <v>1</v>
      </c>
      <c r="E1479" s="13" t="n">
        <v>944.3</v>
      </c>
      <c r="F1479" s="13" t="s">
        <v>5325</v>
      </c>
      <c r="G1479" s="13" t="s">
        <v>5292</v>
      </c>
      <c r="H1479" s="13" t="s">
        <v>5292</v>
      </c>
      <c r="I1479" s="13" t="s">
        <v>5289</v>
      </c>
      <c r="J1479" s="13" t="s">
        <v>5289</v>
      </c>
      <c r="K1479" s="13" t="s">
        <v>5289</v>
      </c>
      <c r="L1479" s="13" t="s">
        <v>6073</v>
      </c>
      <c r="M1479" s="13"/>
      <c r="N1479" s="13" t="n">
        <v>3616304679438</v>
      </c>
      <c r="O1479" s="13"/>
      <c r="P1479" s="13" t="s">
        <v>5291</v>
      </c>
      <c r="Q1479" s="13" t="s">
        <v>5289</v>
      </c>
      <c r="R1479" s="13" t="s">
        <v>5292</v>
      </c>
      <c r="S1479" s="13" t="s">
        <v>5293</v>
      </c>
      <c r="T1479" s="13" t="s">
        <v>4</v>
      </c>
      <c r="U1479" s="13" t="s">
        <v>43</v>
      </c>
      <c r="V1479" s="13" t="n">
        <f aca="false">IF(COUNTIF($B$2:B1479,B1479)=1,1,0)</f>
        <v>0</v>
      </c>
      <c r="W1479" s="13" t="n">
        <f aca="false">IF(COUNTIFS($B$2:B1479,B1479,$T$2:T1479,T1479)=1,1,0)</f>
        <v>1</v>
      </c>
    </row>
    <row r="1480" customFormat="false" ht="15" hidden="false" customHeight="false" outlineLevel="0" collapsed="false">
      <c r="A1480" s="13" t="s">
        <v>63</v>
      </c>
      <c r="B1480" s="13" t="s">
        <v>50</v>
      </c>
      <c r="C1480" s="13" t="n">
        <v>940</v>
      </c>
      <c r="D1480" s="13" t="n">
        <v>1</v>
      </c>
      <c r="E1480" s="13" t="n">
        <v>938.79</v>
      </c>
      <c r="F1480" s="13" t="s">
        <v>5325</v>
      </c>
      <c r="G1480" s="13" t="s">
        <v>5289</v>
      </c>
      <c r="H1480" s="13" t="s">
        <v>5289</v>
      </c>
      <c r="I1480" s="13" t="s">
        <v>5289</v>
      </c>
      <c r="J1480" s="13" t="s">
        <v>5289</v>
      </c>
      <c r="K1480" s="13" t="s">
        <v>5289</v>
      </c>
      <c r="L1480" s="13" t="s">
        <v>6074</v>
      </c>
      <c r="M1480" s="13"/>
      <c r="N1480" s="13" t="n">
        <v>3349668581948</v>
      </c>
      <c r="O1480" s="13"/>
      <c r="P1480" s="13" t="s">
        <v>5297</v>
      </c>
      <c r="Q1480" s="13" t="s">
        <v>5289</v>
      </c>
      <c r="R1480" s="13" t="s">
        <v>5292</v>
      </c>
      <c r="S1480" s="13" t="s">
        <v>5293</v>
      </c>
      <c r="T1480" s="13" t="s">
        <v>4</v>
      </c>
      <c r="U1480" s="13" t="s">
        <v>43</v>
      </c>
      <c r="V1480" s="13" t="n">
        <f aca="false">IF(COUNTIF($B$2:B1480,B1480)=1,1,0)</f>
        <v>0</v>
      </c>
      <c r="W1480" s="13" t="n">
        <f aca="false">IF(COUNTIFS($B$2:B1480,B1480,$T$2:T1480,T1480)=1,1,0)</f>
        <v>0</v>
      </c>
    </row>
    <row r="1481" customFormat="false" ht="15" hidden="false" customHeight="false" outlineLevel="0" collapsed="false">
      <c r="A1481" s="13" t="s">
        <v>1278</v>
      </c>
      <c r="B1481" s="13" t="s">
        <v>50</v>
      </c>
      <c r="C1481" s="13" t="n">
        <v>940</v>
      </c>
      <c r="D1481" s="13" t="n">
        <v>1</v>
      </c>
      <c r="E1481" s="13" t="n">
        <v>938.79</v>
      </c>
      <c r="F1481" s="13" t="s">
        <v>5325</v>
      </c>
      <c r="G1481" s="13" t="s">
        <v>5289</v>
      </c>
      <c r="H1481" s="13" t="s">
        <v>5292</v>
      </c>
      <c r="I1481" s="13" t="s">
        <v>5289</v>
      </c>
      <c r="J1481" s="13" t="s">
        <v>5289</v>
      </c>
      <c r="K1481" s="13" t="s">
        <v>5289</v>
      </c>
      <c r="L1481" s="13" t="s">
        <v>6074</v>
      </c>
      <c r="M1481" s="13"/>
      <c r="N1481" s="13" t="n">
        <v>3349668581948</v>
      </c>
      <c r="O1481" s="13"/>
      <c r="P1481" s="13" t="s">
        <v>5291</v>
      </c>
      <c r="Q1481" s="13" t="s">
        <v>5289</v>
      </c>
      <c r="R1481" s="13" t="s">
        <v>5292</v>
      </c>
      <c r="S1481" s="13" t="s">
        <v>5293</v>
      </c>
      <c r="T1481" s="13" t="s">
        <v>4</v>
      </c>
      <c r="U1481" s="13" t="s">
        <v>43</v>
      </c>
      <c r="V1481" s="13" t="n">
        <f aca="false">IF(COUNTIF($B$2:B1481,B1481)=1,1,0)</f>
        <v>0</v>
      </c>
      <c r="W1481" s="13" t="n">
        <f aca="false">IF(COUNTIFS($B$2:B1481,B1481,$T$2:T1481,T1481)=1,1,0)</f>
        <v>0</v>
      </c>
    </row>
    <row r="1482" customFormat="false" ht="15" hidden="false" customHeight="false" outlineLevel="0" collapsed="false">
      <c r="A1482" s="13" t="s">
        <v>914</v>
      </c>
      <c r="B1482" s="13" t="s">
        <v>42</v>
      </c>
      <c r="C1482" s="13" t="n">
        <v>940</v>
      </c>
      <c r="D1482" s="13" t="n">
        <v>2</v>
      </c>
      <c r="E1482" s="13" t="n">
        <v>468.93</v>
      </c>
      <c r="F1482" s="13" t="s">
        <v>5288</v>
      </c>
      <c r="G1482" s="13" t="s">
        <v>5292</v>
      </c>
      <c r="H1482" s="13" t="s">
        <v>5289</v>
      </c>
      <c r="I1482" s="13" t="s">
        <v>5289</v>
      </c>
      <c r="J1482" s="13" t="s">
        <v>5289</v>
      </c>
      <c r="K1482" s="13" t="s">
        <v>5289</v>
      </c>
      <c r="L1482" s="13" t="s">
        <v>6075</v>
      </c>
      <c r="M1482" s="13"/>
      <c r="N1482" s="13" t="n">
        <v>8411061041659</v>
      </c>
      <c r="O1482" s="13"/>
      <c r="P1482" s="13" t="s">
        <v>5291</v>
      </c>
      <c r="Q1482" s="13" t="s">
        <v>5289</v>
      </c>
      <c r="R1482" s="13" t="s">
        <v>5292</v>
      </c>
      <c r="S1482" s="13" t="s">
        <v>5293</v>
      </c>
      <c r="T1482" s="13" t="s">
        <v>4</v>
      </c>
      <c r="U1482" s="13" t="s">
        <v>43</v>
      </c>
      <c r="V1482" s="13" t="n">
        <f aca="false">IF(COUNTIF($B$2:B1482,B1482)=1,1,0)</f>
        <v>0</v>
      </c>
      <c r="W1482" s="13" t="n">
        <f aca="false">IF(COUNTIFS($B$2:B1482,B1482,$T$2:T1482,T1482)=1,1,0)</f>
        <v>0</v>
      </c>
    </row>
    <row r="1483" customFormat="false" ht="15" hidden="false" customHeight="false" outlineLevel="0" collapsed="false">
      <c r="A1483" s="13" t="s">
        <v>1275</v>
      </c>
      <c r="B1483" s="13" t="s">
        <v>50</v>
      </c>
      <c r="C1483" s="13" t="n">
        <v>940</v>
      </c>
      <c r="D1483" s="13" t="n">
        <v>2</v>
      </c>
      <c r="E1483" s="13" t="n">
        <v>234.36</v>
      </c>
      <c r="F1483" s="13" t="s">
        <v>5288</v>
      </c>
      <c r="G1483" s="13" t="s">
        <v>5292</v>
      </c>
      <c r="H1483" s="13" t="s">
        <v>5292</v>
      </c>
      <c r="I1483" s="13" t="s">
        <v>5289</v>
      </c>
      <c r="J1483" s="13" t="s">
        <v>5289</v>
      </c>
      <c r="K1483" s="13" t="s">
        <v>5289</v>
      </c>
      <c r="L1483" s="13" t="s">
        <v>6076</v>
      </c>
      <c r="M1483" s="13"/>
      <c r="N1483" s="13" t="n">
        <v>3349668583485</v>
      </c>
      <c r="O1483" s="13"/>
      <c r="P1483" s="13" t="s">
        <v>5291</v>
      </c>
      <c r="Q1483" s="13" t="s">
        <v>5289</v>
      </c>
      <c r="R1483" s="13" t="s">
        <v>5292</v>
      </c>
      <c r="S1483" s="13" t="s">
        <v>5293</v>
      </c>
      <c r="T1483" s="13" t="s">
        <v>4</v>
      </c>
      <c r="U1483" s="13" t="s">
        <v>43</v>
      </c>
      <c r="V1483" s="13" t="n">
        <f aca="false">IF(COUNTIF($B$2:B1483,B1483)=1,1,0)</f>
        <v>0</v>
      </c>
      <c r="W1483" s="13" t="n">
        <f aca="false">IF(COUNTIFS($B$2:B1483,B1483,$T$2:T1483,T1483)=1,1,0)</f>
        <v>0</v>
      </c>
    </row>
    <row r="1484" customFormat="false" ht="15" hidden="false" customHeight="false" outlineLevel="0" collapsed="false">
      <c r="A1484" s="13" t="s">
        <v>279</v>
      </c>
      <c r="B1484" s="13" t="s">
        <v>45</v>
      </c>
      <c r="C1484" s="13" t="n">
        <v>940</v>
      </c>
      <c r="D1484" s="13" t="n">
        <v>2</v>
      </c>
      <c r="E1484" s="13" t="n">
        <v>468.63</v>
      </c>
      <c r="F1484" s="13" t="s">
        <v>5288</v>
      </c>
      <c r="G1484" s="13" t="s">
        <v>5289</v>
      </c>
      <c r="H1484" s="13" t="s">
        <v>5289</v>
      </c>
      <c r="I1484" s="13" t="s">
        <v>5289</v>
      </c>
      <c r="J1484" s="13" t="s">
        <v>5289</v>
      </c>
      <c r="K1484" s="13" t="s">
        <v>5289</v>
      </c>
      <c r="L1484" s="13" t="s">
        <v>6077</v>
      </c>
      <c r="M1484" s="13"/>
      <c r="N1484" s="13" t="n">
        <v>8435415102681</v>
      </c>
      <c r="O1484" s="13"/>
      <c r="P1484" s="13" t="s">
        <v>5291</v>
      </c>
      <c r="Q1484" s="13" t="s">
        <v>5289</v>
      </c>
      <c r="R1484" s="13" t="s">
        <v>5292</v>
      </c>
      <c r="S1484" s="13" t="s">
        <v>5293</v>
      </c>
      <c r="T1484" s="13" t="s">
        <v>4</v>
      </c>
      <c r="U1484" s="13" t="s">
        <v>43</v>
      </c>
      <c r="V1484" s="13" t="n">
        <f aca="false">IF(COUNTIF($B$2:B1484,B1484)=1,1,0)</f>
        <v>0</v>
      </c>
      <c r="W1484" s="13" t="n">
        <f aca="false">IF(COUNTIFS($B$2:B1484,B1484,$T$2:T1484,T1484)=1,1,0)</f>
        <v>0</v>
      </c>
    </row>
    <row r="1485" customFormat="false" ht="15" hidden="false" customHeight="false" outlineLevel="0" collapsed="false">
      <c r="A1485" s="13" t="s">
        <v>1276</v>
      </c>
      <c r="B1485" s="13" t="s">
        <v>42</v>
      </c>
      <c r="C1485" s="13" t="n">
        <v>940</v>
      </c>
      <c r="D1485" s="13" t="n">
        <v>1</v>
      </c>
      <c r="E1485" s="13" t="n">
        <v>936.39</v>
      </c>
      <c r="F1485" s="13" t="s">
        <v>5325</v>
      </c>
      <c r="G1485" s="13" t="s">
        <v>5289</v>
      </c>
      <c r="H1485" s="13" t="s">
        <v>5292</v>
      </c>
      <c r="I1485" s="13" t="s">
        <v>5289</v>
      </c>
      <c r="J1485" s="13" t="s">
        <v>5289</v>
      </c>
      <c r="K1485" s="13" t="s">
        <v>5289</v>
      </c>
      <c r="L1485" s="13" t="s">
        <v>5722</v>
      </c>
      <c r="M1485" s="13"/>
      <c r="N1485" s="13" t="n">
        <v>8411061123614</v>
      </c>
      <c r="O1485" s="13"/>
      <c r="P1485" s="13" t="s">
        <v>5291</v>
      </c>
      <c r="Q1485" s="13" t="s">
        <v>5289</v>
      </c>
      <c r="R1485" s="13" t="s">
        <v>5292</v>
      </c>
      <c r="S1485" s="13" t="s">
        <v>5293</v>
      </c>
      <c r="T1485" s="13" t="s">
        <v>4</v>
      </c>
      <c r="U1485" s="13" t="s">
        <v>43</v>
      </c>
      <c r="V1485" s="13" t="n">
        <f aca="false">IF(COUNTIF($B$2:B1485,B1485)=1,1,0)</f>
        <v>0</v>
      </c>
      <c r="W1485" s="13" t="n">
        <f aca="false">IF(COUNTIFS($B$2:B1485,B1485,$T$2:T1485,T1485)=1,1,0)</f>
        <v>0</v>
      </c>
    </row>
    <row r="1486" customFormat="false" ht="15" hidden="false" customHeight="false" outlineLevel="0" collapsed="false">
      <c r="A1486" s="13" t="s">
        <v>1277</v>
      </c>
      <c r="B1486" s="13" t="s">
        <v>72</v>
      </c>
      <c r="C1486" s="13" t="n">
        <v>940</v>
      </c>
      <c r="D1486" s="13" t="n">
        <v>1</v>
      </c>
      <c r="E1486" s="13" t="n">
        <v>935.28</v>
      </c>
      <c r="F1486" s="13" t="s">
        <v>5288</v>
      </c>
      <c r="G1486" s="13" t="s">
        <v>5292</v>
      </c>
      <c r="H1486" s="13" t="s">
        <v>5292</v>
      </c>
      <c r="I1486" s="13" t="s">
        <v>5289</v>
      </c>
      <c r="J1486" s="13" t="s">
        <v>5289</v>
      </c>
      <c r="K1486" s="13" t="s">
        <v>5289</v>
      </c>
      <c r="L1486" s="13" t="s">
        <v>6078</v>
      </c>
      <c r="M1486" s="13"/>
      <c r="N1486" s="13" t="n">
        <v>3614274089356</v>
      </c>
      <c r="O1486" s="13"/>
      <c r="P1486" s="13" t="s">
        <v>5291</v>
      </c>
      <c r="Q1486" s="13" t="s">
        <v>5289</v>
      </c>
      <c r="R1486" s="13" t="s">
        <v>5292</v>
      </c>
      <c r="S1486" s="13" t="s">
        <v>5293</v>
      </c>
      <c r="T1486" s="13" t="s">
        <v>4</v>
      </c>
      <c r="U1486" s="13" t="s">
        <v>43</v>
      </c>
      <c r="V1486" s="13" t="n">
        <f aca="false">IF(COUNTIF($B$2:B1486,B1486)=1,1,0)</f>
        <v>0</v>
      </c>
      <c r="W1486" s="13" t="n">
        <f aca="false">IF(COUNTIFS($B$2:B1486,B1486,$T$2:T1486,T1486)=1,1,0)</f>
        <v>1</v>
      </c>
    </row>
    <row r="1487" customFormat="false" ht="15" hidden="false" customHeight="false" outlineLevel="0" collapsed="false">
      <c r="A1487" s="13" t="s">
        <v>4113</v>
      </c>
      <c r="B1487" s="13" t="s">
        <v>2179</v>
      </c>
      <c r="C1487" s="13" t="n">
        <v>930</v>
      </c>
      <c r="D1487" s="13" t="n">
        <v>2</v>
      </c>
      <c r="E1487" s="13" t="n">
        <v>311.513333333333</v>
      </c>
      <c r="F1487" s="13" t="s">
        <v>5288</v>
      </c>
      <c r="G1487" s="13" t="s">
        <v>5292</v>
      </c>
      <c r="H1487" s="13" t="s">
        <v>5289</v>
      </c>
      <c r="I1487" s="13" t="s">
        <v>5289</v>
      </c>
      <c r="J1487" s="13" t="s">
        <v>5289</v>
      </c>
      <c r="K1487" s="13" t="s">
        <v>5289</v>
      </c>
      <c r="L1487" s="13" t="s">
        <v>6079</v>
      </c>
      <c r="M1487" s="13"/>
      <c r="N1487" s="13" t="n">
        <v>8410190627185</v>
      </c>
      <c r="O1487" s="13"/>
      <c r="P1487" s="13" t="s">
        <v>5291</v>
      </c>
      <c r="Q1487" s="13" t="s">
        <v>5289</v>
      </c>
      <c r="R1487" s="13" t="s">
        <v>5292</v>
      </c>
      <c r="S1487" s="13" t="s">
        <v>5293</v>
      </c>
      <c r="T1487" s="13" t="s">
        <v>4</v>
      </c>
      <c r="U1487" s="13" t="s">
        <v>43</v>
      </c>
      <c r="V1487" s="13" t="n">
        <f aca="false">IF(COUNTIF($B$2:B1487,B1487)=1,1,0)</f>
        <v>1</v>
      </c>
      <c r="W1487" s="13" t="n">
        <f aca="false">IF(COUNTIFS($B$2:B1487,B1487,$T$2:T1487,T1487)=1,1,0)</f>
        <v>1</v>
      </c>
    </row>
    <row r="1488" customFormat="false" ht="15" hidden="false" customHeight="false" outlineLevel="0" collapsed="false">
      <c r="A1488" s="13" t="s">
        <v>1285</v>
      </c>
      <c r="B1488" s="13" t="s">
        <v>42</v>
      </c>
      <c r="C1488" s="13" t="n">
        <v>930</v>
      </c>
      <c r="D1488" s="13" t="n">
        <v>1</v>
      </c>
      <c r="E1488" s="13" t="n">
        <v>934.15</v>
      </c>
      <c r="F1488" s="13" t="s">
        <v>5288</v>
      </c>
      <c r="G1488" s="13" t="s">
        <v>5292</v>
      </c>
      <c r="H1488" s="13" t="s">
        <v>5289</v>
      </c>
      <c r="I1488" s="13" t="s">
        <v>5289</v>
      </c>
      <c r="J1488" s="13" t="s">
        <v>5289</v>
      </c>
      <c r="K1488" s="13" t="s">
        <v>5289</v>
      </c>
      <c r="L1488" s="13" t="s">
        <v>6080</v>
      </c>
      <c r="M1488" s="13"/>
      <c r="N1488" s="13" t="n">
        <v>8411061057209</v>
      </c>
      <c r="O1488" s="13"/>
      <c r="P1488" s="13" t="s">
        <v>5291</v>
      </c>
      <c r="Q1488" s="13" t="s">
        <v>5289</v>
      </c>
      <c r="R1488" s="13" t="s">
        <v>5292</v>
      </c>
      <c r="S1488" s="13" t="s">
        <v>5293</v>
      </c>
      <c r="T1488" s="13" t="s">
        <v>4</v>
      </c>
      <c r="U1488" s="13" t="s">
        <v>43</v>
      </c>
      <c r="V1488" s="13" t="n">
        <f aca="false">IF(COUNTIF($B$2:B1488,B1488)=1,1,0)</f>
        <v>0</v>
      </c>
      <c r="W1488" s="13" t="n">
        <f aca="false">IF(COUNTIFS($B$2:B1488,B1488,$T$2:T1488,T1488)=1,1,0)</f>
        <v>0</v>
      </c>
    </row>
    <row r="1489" customFormat="false" ht="15" hidden="false" customHeight="false" outlineLevel="0" collapsed="false">
      <c r="A1489" s="13" t="s">
        <v>1290</v>
      </c>
      <c r="B1489" s="13" t="s">
        <v>45</v>
      </c>
      <c r="C1489" s="13" t="n">
        <v>930</v>
      </c>
      <c r="D1489" s="13" t="n">
        <v>2</v>
      </c>
      <c r="E1489" s="13" t="n">
        <v>466.94</v>
      </c>
      <c r="F1489" s="13" t="s">
        <v>5325</v>
      </c>
      <c r="G1489" s="13" t="s">
        <v>5289</v>
      </c>
      <c r="H1489" s="13" t="s">
        <v>5289</v>
      </c>
      <c r="I1489" s="13" t="s">
        <v>5289</v>
      </c>
      <c r="J1489" s="13" t="s">
        <v>5289</v>
      </c>
      <c r="K1489" s="13" t="s">
        <v>5289</v>
      </c>
      <c r="L1489" s="13" t="s">
        <v>6081</v>
      </c>
      <c r="M1489" s="13"/>
      <c r="N1489" s="13" t="n">
        <v>8435415017237</v>
      </c>
      <c r="O1489" s="13"/>
      <c r="P1489" s="13" t="s">
        <v>5291</v>
      </c>
      <c r="Q1489" s="13" t="s">
        <v>5289</v>
      </c>
      <c r="R1489" s="13" t="s">
        <v>5292</v>
      </c>
      <c r="S1489" s="13" t="s">
        <v>5293</v>
      </c>
      <c r="T1489" s="13" t="s">
        <v>4</v>
      </c>
      <c r="U1489" s="13" t="s">
        <v>43</v>
      </c>
      <c r="V1489" s="13" t="n">
        <f aca="false">IF(COUNTIF($B$2:B1489,B1489)=1,1,0)</f>
        <v>0</v>
      </c>
      <c r="W1489" s="13" t="n">
        <f aca="false">IF(COUNTIFS($B$2:B1489,B1489,$T$2:T1489,T1489)=1,1,0)</f>
        <v>0</v>
      </c>
    </row>
    <row r="1490" customFormat="false" ht="15" hidden="false" customHeight="false" outlineLevel="0" collapsed="false">
      <c r="A1490" s="13" t="s">
        <v>499</v>
      </c>
      <c r="B1490" s="13" t="s">
        <v>45</v>
      </c>
      <c r="C1490" s="13" t="n">
        <v>930</v>
      </c>
      <c r="D1490" s="13" t="n">
        <v>1</v>
      </c>
      <c r="E1490" s="13" t="n">
        <v>927.29</v>
      </c>
      <c r="F1490" s="13" t="s">
        <v>5325</v>
      </c>
      <c r="G1490" s="13" t="s">
        <v>5292</v>
      </c>
      <c r="H1490" s="13" t="s">
        <v>5292</v>
      </c>
      <c r="I1490" s="13" t="s">
        <v>5289</v>
      </c>
      <c r="J1490" s="13" t="s">
        <v>5289</v>
      </c>
      <c r="K1490" s="13" t="s">
        <v>5289</v>
      </c>
      <c r="L1490" s="13" t="s">
        <v>5752</v>
      </c>
      <c r="M1490" s="13"/>
      <c r="N1490" s="13" t="n">
        <v>8435415050760</v>
      </c>
      <c r="O1490" s="13"/>
      <c r="P1490" s="13" t="s">
        <v>5297</v>
      </c>
      <c r="Q1490" s="13" t="s">
        <v>5289</v>
      </c>
      <c r="R1490" s="13" t="s">
        <v>5292</v>
      </c>
      <c r="S1490" s="13" t="s">
        <v>5293</v>
      </c>
      <c r="T1490" s="13" t="s">
        <v>4</v>
      </c>
      <c r="U1490" s="13" t="s">
        <v>43</v>
      </c>
      <c r="V1490" s="13" t="n">
        <f aca="false">IF(COUNTIF($B$2:B1490,B1490)=1,1,0)</f>
        <v>0</v>
      </c>
      <c r="W1490" s="13" t="n">
        <f aca="false">IF(COUNTIFS($B$2:B1490,B1490,$T$2:T1490,T1490)=1,1,0)</f>
        <v>0</v>
      </c>
    </row>
    <row r="1491" customFormat="false" ht="15" hidden="false" customHeight="false" outlineLevel="0" collapsed="false">
      <c r="A1491" s="13" t="s">
        <v>4115</v>
      </c>
      <c r="B1491" s="13" t="s">
        <v>2165</v>
      </c>
      <c r="C1491" s="13" t="n">
        <v>930</v>
      </c>
      <c r="D1491" s="13" t="n">
        <v>2</v>
      </c>
      <c r="E1491" s="13" t="n">
        <v>308.903333333333</v>
      </c>
      <c r="F1491" s="13" t="s">
        <v>5288</v>
      </c>
      <c r="G1491" s="13" t="s">
        <v>5292</v>
      </c>
      <c r="H1491" s="13" t="s">
        <v>5292</v>
      </c>
      <c r="I1491" s="13" t="s">
        <v>5289</v>
      </c>
      <c r="J1491" s="13" t="s">
        <v>5289</v>
      </c>
      <c r="K1491" s="13" t="s">
        <v>5289</v>
      </c>
      <c r="L1491" s="13" t="s">
        <v>6082</v>
      </c>
      <c r="M1491" s="13"/>
      <c r="N1491" s="13" t="n">
        <v>5060524511494</v>
      </c>
      <c r="O1491" s="13"/>
      <c r="P1491" s="13" t="s">
        <v>5291</v>
      </c>
      <c r="Q1491" s="13" t="s">
        <v>5289</v>
      </c>
      <c r="R1491" s="13" t="s">
        <v>5292</v>
      </c>
      <c r="S1491" s="13" t="s">
        <v>5293</v>
      </c>
      <c r="T1491" s="13" t="s">
        <v>4</v>
      </c>
      <c r="U1491" s="13" t="s">
        <v>85</v>
      </c>
      <c r="V1491" s="13" t="n">
        <f aca="false">IF(COUNTIF($B$2:B1491,B1491)=1,1,0)</f>
        <v>0</v>
      </c>
      <c r="W1491" s="13" t="n">
        <f aca="false">IF(COUNTIFS($B$2:B1491,B1491,$T$2:T1491,T1491)=1,1,0)</f>
        <v>0</v>
      </c>
    </row>
    <row r="1492" customFormat="false" ht="15" hidden="false" customHeight="false" outlineLevel="0" collapsed="false">
      <c r="A1492" s="13" t="s">
        <v>1287</v>
      </c>
      <c r="B1492" s="13" t="s">
        <v>335</v>
      </c>
      <c r="C1492" s="13" t="n">
        <v>930</v>
      </c>
      <c r="D1492" s="13" t="n">
        <v>2</v>
      </c>
      <c r="E1492" s="13" t="n">
        <v>308.9</v>
      </c>
      <c r="F1492" s="13" t="s">
        <v>5288</v>
      </c>
      <c r="G1492" s="13" t="s">
        <v>5292</v>
      </c>
      <c r="H1492" s="13" t="s">
        <v>5289</v>
      </c>
      <c r="I1492" s="13" t="s">
        <v>5289</v>
      </c>
      <c r="J1492" s="13" t="s">
        <v>5289</v>
      </c>
      <c r="K1492" s="13" t="s">
        <v>5289</v>
      </c>
      <c r="L1492" s="13" t="s">
        <v>5830</v>
      </c>
      <c r="M1492" s="13"/>
      <c r="N1492" s="13" t="n">
        <v>85805558420</v>
      </c>
      <c r="O1492" s="13"/>
      <c r="P1492" s="13" t="s">
        <v>5297</v>
      </c>
      <c r="Q1492" s="13" t="s">
        <v>5289</v>
      </c>
      <c r="R1492" s="13" t="s">
        <v>5292</v>
      </c>
      <c r="S1492" s="13" t="s">
        <v>5293</v>
      </c>
      <c r="T1492" s="13" t="s">
        <v>4</v>
      </c>
      <c r="U1492" s="13" t="s">
        <v>43</v>
      </c>
      <c r="V1492" s="13" t="n">
        <f aca="false">IF(COUNTIF($B$2:B1492,B1492)=1,1,0)</f>
        <v>0</v>
      </c>
      <c r="W1492" s="13" t="n">
        <f aca="false">IF(COUNTIFS($B$2:B1492,B1492,$T$2:T1492,T1492)=1,1,0)</f>
        <v>0</v>
      </c>
    </row>
    <row r="1493" customFormat="false" ht="15" hidden="false" customHeight="false" outlineLevel="0" collapsed="false">
      <c r="A1493" s="13" t="s">
        <v>1286</v>
      </c>
      <c r="B1493" s="13" t="s">
        <v>50</v>
      </c>
      <c r="C1493" s="13" t="n">
        <v>930</v>
      </c>
      <c r="D1493" s="13" t="n">
        <v>1</v>
      </c>
      <c r="E1493" s="13" t="n">
        <v>926.1</v>
      </c>
      <c r="F1493" s="13" t="s">
        <v>5325</v>
      </c>
      <c r="G1493" s="13" t="s">
        <v>5292</v>
      </c>
      <c r="H1493" s="13" t="s">
        <v>5292</v>
      </c>
      <c r="I1493" s="13" t="s">
        <v>5289</v>
      </c>
      <c r="J1493" s="13" t="s">
        <v>5289</v>
      </c>
      <c r="K1493" s="13" t="s">
        <v>5289</v>
      </c>
      <c r="L1493" s="13" t="s">
        <v>6083</v>
      </c>
      <c r="M1493" s="13"/>
      <c r="N1493" s="13" t="n">
        <v>3349668614660</v>
      </c>
      <c r="O1493" s="13"/>
      <c r="P1493" s="13" t="s">
        <v>5291</v>
      </c>
      <c r="Q1493" s="13" t="s">
        <v>5289</v>
      </c>
      <c r="R1493" s="13" t="s">
        <v>5292</v>
      </c>
      <c r="S1493" s="13" t="s">
        <v>5293</v>
      </c>
      <c r="T1493" s="13" t="s">
        <v>4</v>
      </c>
      <c r="U1493" s="13" t="s">
        <v>43</v>
      </c>
      <c r="V1493" s="13" t="n">
        <f aca="false">IF(COUNTIF($B$2:B1493,B1493)=1,1,0)</f>
        <v>0</v>
      </c>
      <c r="W1493" s="13" t="n">
        <f aca="false">IF(COUNTIFS($B$2:B1493,B1493,$T$2:T1493,T1493)=1,1,0)</f>
        <v>0</v>
      </c>
    </row>
    <row r="1494" customFormat="false" ht="15" hidden="false" customHeight="false" outlineLevel="0" collapsed="false">
      <c r="A1494" s="13" t="s">
        <v>137</v>
      </c>
      <c r="B1494" s="13" t="s">
        <v>42</v>
      </c>
      <c r="C1494" s="13" t="n">
        <v>930</v>
      </c>
      <c r="D1494" s="13" t="n">
        <v>1</v>
      </c>
      <c r="E1494" s="13" t="n">
        <v>926.1</v>
      </c>
      <c r="F1494" s="13" t="s">
        <v>5325</v>
      </c>
      <c r="G1494" s="13" t="s">
        <v>5289</v>
      </c>
      <c r="H1494" s="13" t="s">
        <v>5289</v>
      </c>
      <c r="I1494" s="13" t="s">
        <v>5289</v>
      </c>
      <c r="J1494" s="13" t="s">
        <v>5289</v>
      </c>
      <c r="K1494" s="13" t="s">
        <v>5289</v>
      </c>
      <c r="L1494" s="13" t="s">
        <v>5724</v>
      </c>
      <c r="M1494" s="13"/>
      <c r="N1494" s="13" t="n">
        <v>8411061077160</v>
      </c>
      <c r="O1494" s="13"/>
      <c r="P1494" s="13" t="s">
        <v>5291</v>
      </c>
      <c r="Q1494" s="13" t="s">
        <v>5289</v>
      </c>
      <c r="R1494" s="13" t="s">
        <v>5292</v>
      </c>
      <c r="S1494" s="13" t="s">
        <v>5293</v>
      </c>
      <c r="T1494" s="13" t="s">
        <v>4</v>
      </c>
      <c r="U1494" s="13" t="s">
        <v>43</v>
      </c>
      <c r="V1494" s="13" t="n">
        <f aca="false">IF(COUNTIF($B$2:B1494,B1494)=1,1,0)</f>
        <v>0</v>
      </c>
      <c r="W1494" s="13" t="n">
        <f aca="false">IF(COUNTIFS($B$2:B1494,B1494,$T$2:T1494,T1494)=1,1,0)</f>
        <v>0</v>
      </c>
    </row>
    <row r="1495" customFormat="false" ht="15" hidden="false" customHeight="false" outlineLevel="0" collapsed="false">
      <c r="A1495" s="13" t="s">
        <v>1292</v>
      </c>
      <c r="B1495" s="13" t="s">
        <v>45</v>
      </c>
      <c r="C1495" s="13" t="n">
        <v>920</v>
      </c>
      <c r="D1495" s="13" t="n">
        <v>1</v>
      </c>
      <c r="E1495" s="13" t="n">
        <v>923.51</v>
      </c>
      <c r="F1495" s="13" t="s">
        <v>5325</v>
      </c>
      <c r="G1495" s="13" t="s">
        <v>5289</v>
      </c>
      <c r="H1495" s="13" t="s">
        <v>5292</v>
      </c>
      <c r="I1495" s="13" t="s">
        <v>5289</v>
      </c>
      <c r="J1495" s="13" t="s">
        <v>5289</v>
      </c>
      <c r="K1495" s="13" t="s">
        <v>5289</v>
      </c>
      <c r="L1495" s="13" t="s">
        <v>5753</v>
      </c>
      <c r="M1495" s="13"/>
      <c r="N1495" s="13" t="n">
        <v>8435415065214</v>
      </c>
      <c r="O1495" s="13"/>
      <c r="P1495" s="13" t="s">
        <v>5291</v>
      </c>
      <c r="Q1495" s="13" t="s">
        <v>5289</v>
      </c>
      <c r="R1495" s="13" t="s">
        <v>5292</v>
      </c>
      <c r="S1495" s="13" t="s">
        <v>5293</v>
      </c>
      <c r="T1495" s="13" t="s">
        <v>4</v>
      </c>
      <c r="U1495" s="13" t="s">
        <v>43</v>
      </c>
      <c r="V1495" s="13" t="n">
        <f aca="false">IF(COUNTIF($B$2:B1495,B1495)=1,1,0)</f>
        <v>0</v>
      </c>
      <c r="W1495" s="13" t="n">
        <f aca="false">IF(COUNTIFS($B$2:B1495,B1495,$T$2:T1495,T1495)=1,1,0)</f>
        <v>0</v>
      </c>
    </row>
    <row r="1496" customFormat="false" ht="15" hidden="false" customHeight="false" outlineLevel="0" collapsed="false">
      <c r="A1496" s="13" t="s">
        <v>1295</v>
      </c>
      <c r="B1496" s="13" t="s">
        <v>50</v>
      </c>
      <c r="C1496" s="13" t="n">
        <v>920</v>
      </c>
      <c r="D1496" s="13" t="n">
        <v>1</v>
      </c>
      <c r="E1496" s="13" t="n">
        <v>921.75</v>
      </c>
      <c r="F1496" s="13" t="s">
        <v>5325</v>
      </c>
      <c r="G1496" s="13" t="s">
        <v>5289</v>
      </c>
      <c r="H1496" s="13" t="s">
        <v>5292</v>
      </c>
      <c r="I1496" s="13" t="s">
        <v>5289</v>
      </c>
      <c r="J1496" s="13" t="s">
        <v>5289</v>
      </c>
      <c r="K1496" s="13" t="s">
        <v>5289</v>
      </c>
      <c r="L1496" s="13" t="s">
        <v>5663</v>
      </c>
      <c r="M1496" s="13"/>
      <c r="N1496" s="13" t="n">
        <v>3349668614530</v>
      </c>
      <c r="O1496" s="13"/>
      <c r="P1496" s="13" t="s">
        <v>5291</v>
      </c>
      <c r="Q1496" s="13" t="s">
        <v>5289</v>
      </c>
      <c r="R1496" s="13" t="s">
        <v>5292</v>
      </c>
      <c r="S1496" s="13" t="s">
        <v>5293</v>
      </c>
      <c r="T1496" s="13" t="s">
        <v>4</v>
      </c>
      <c r="U1496" s="13" t="s">
        <v>43</v>
      </c>
      <c r="V1496" s="13" t="n">
        <f aca="false">IF(COUNTIF($B$2:B1496,B1496)=1,1,0)</f>
        <v>0</v>
      </c>
      <c r="W1496" s="13" t="n">
        <f aca="false">IF(COUNTIFS($B$2:B1496,B1496,$T$2:T1496,T1496)=1,1,0)</f>
        <v>0</v>
      </c>
    </row>
    <row r="1497" customFormat="false" ht="15" hidden="false" customHeight="false" outlineLevel="0" collapsed="false">
      <c r="A1497" s="13" t="s">
        <v>1291</v>
      </c>
      <c r="B1497" s="13" t="s">
        <v>105</v>
      </c>
      <c r="C1497" s="13" t="n">
        <v>920</v>
      </c>
      <c r="D1497" s="13" t="n">
        <v>2</v>
      </c>
      <c r="E1497" s="13" t="n">
        <v>460.3</v>
      </c>
      <c r="F1497" s="13" t="s">
        <v>5325</v>
      </c>
      <c r="G1497" s="13" t="s">
        <v>5292</v>
      </c>
      <c r="H1497" s="13" t="s">
        <v>5292</v>
      </c>
      <c r="I1497" s="13" t="s">
        <v>5289</v>
      </c>
      <c r="J1497" s="13" t="s">
        <v>5289</v>
      </c>
      <c r="K1497" s="13" t="s">
        <v>5289</v>
      </c>
      <c r="L1497" s="13" t="s">
        <v>6084</v>
      </c>
      <c r="M1497" s="13"/>
      <c r="N1497" s="13" t="n">
        <v>737052352060</v>
      </c>
      <c r="O1497" s="13"/>
      <c r="P1497" s="13" t="s">
        <v>5291</v>
      </c>
      <c r="Q1497" s="13" t="s">
        <v>5289</v>
      </c>
      <c r="R1497" s="13" t="s">
        <v>5292</v>
      </c>
      <c r="S1497" s="13" t="s">
        <v>5293</v>
      </c>
      <c r="T1497" s="13" t="s">
        <v>4</v>
      </c>
      <c r="U1497" s="13" t="s">
        <v>43</v>
      </c>
      <c r="V1497" s="13" t="n">
        <f aca="false">IF(COUNTIF($B$2:B1497,B1497)=1,1,0)</f>
        <v>0</v>
      </c>
      <c r="W1497" s="13" t="n">
        <f aca="false">IF(COUNTIFS($B$2:B1497,B1497,$T$2:T1497,T1497)=1,1,0)</f>
        <v>0</v>
      </c>
    </row>
    <row r="1498" customFormat="false" ht="15" hidden="false" customHeight="false" outlineLevel="0" collapsed="false">
      <c r="A1498" s="13" t="s">
        <v>219</v>
      </c>
      <c r="B1498" s="13" t="s">
        <v>42</v>
      </c>
      <c r="C1498" s="13" t="n">
        <v>920</v>
      </c>
      <c r="D1498" s="13" t="n">
        <v>2</v>
      </c>
      <c r="E1498" s="13" t="n">
        <v>460.23</v>
      </c>
      <c r="F1498" s="13" t="s">
        <v>5288</v>
      </c>
      <c r="G1498" s="13" t="s">
        <v>5292</v>
      </c>
      <c r="H1498" s="13" t="s">
        <v>5289</v>
      </c>
      <c r="I1498" s="13" t="s">
        <v>5289</v>
      </c>
      <c r="J1498" s="13" t="s">
        <v>5289</v>
      </c>
      <c r="K1498" s="13" t="s">
        <v>5289</v>
      </c>
      <c r="L1498" s="13" t="s">
        <v>6085</v>
      </c>
      <c r="M1498" s="13"/>
      <c r="N1498" s="13" t="n">
        <v>8411061083505</v>
      </c>
      <c r="O1498" s="13"/>
      <c r="P1498" s="13" t="s">
        <v>5291</v>
      </c>
      <c r="Q1498" s="13" t="s">
        <v>5289</v>
      </c>
      <c r="R1498" s="13" t="s">
        <v>5292</v>
      </c>
      <c r="S1498" s="13" t="s">
        <v>5293</v>
      </c>
      <c r="T1498" s="13" t="s">
        <v>4</v>
      </c>
      <c r="U1498" s="13" t="s">
        <v>43</v>
      </c>
      <c r="V1498" s="13" t="n">
        <f aca="false">IF(COUNTIF($B$2:B1498,B1498)=1,1,0)</f>
        <v>0</v>
      </c>
      <c r="W1498" s="13" t="n">
        <f aca="false">IF(COUNTIFS($B$2:B1498,B1498,$T$2:T1498,T1498)=1,1,0)</f>
        <v>0</v>
      </c>
    </row>
    <row r="1499" customFormat="false" ht="15" hidden="false" customHeight="false" outlineLevel="0" collapsed="false">
      <c r="A1499" s="13" t="s">
        <v>1293</v>
      </c>
      <c r="B1499" s="13" t="s">
        <v>50</v>
      </c>
      <c r="C1499" s="13" t="n">
        <v>920</v>
      </c>
      <c r="D1499" s="13" t="n">
        <v>1</v>
      </c>
      <c r="E1499" s="13" t="n">
        <v>919.08</v>
      </c>
      <c r="F1499" s="13" t="s">
        <v>5288</v>
      </c>
      <c r="G1499" s="13" t="s">
        <v>5289</v>
      </c>
      <c r="H1499" s="13" t="s">
        <v>5289</v>
      </c>
      <c r="I1499" s="13" t="s">
        <v>5289</v>
      </c>
      <c r="J1499" s="13" t="s">
        <v>5289</v>
      </c>
      <c r="K1499" s="13" t="s">
        <v>5289</v>
      </c>
      <c r="L1499" s="13" t="s">
        <v>6086</v>
      </c>
      <c r="M1499" s="13"/>
      <c r="N1499" s="13" t="n">
        <v>3349668662937</v>
      </c>
      <c r="O1499" s="13"/>
      <c r="P1499" s="13" t="s">
        <v>5291</v>
      </c>
      <c r="Q1499" s="13" t="s">
        <v>5289</v>
      </c>
      <c r="R1499" s="13" t="s">
        <v>5292</v>
      </c>
      <c r="S1499" s="13" t="s">
        <v>5293</v>
      </c>
      <c r="T1499" s="13" t="s">
        <v>4</v>
      </c>
      <c r="U1499" s="13" t="s">
        <v>43</v>
      </c>
      <c r="V1499" s="13" t="n">
        <f aca="false">IF(COUNTIF($B$2:B1499,B1499)=1,1,0)</f>
        <v>0</v>
      </c>
      <c r="W1499" s="13" t="n">
        <f aca="false">IF(COUNTIFS($B$2:B1499,B1499,$T$2:T1499,T1499)=1,1,0)</f>
        <v>0</v>
      </c>
    </row>
    <row r="1500" customFormat="false" ht="15" hidden="false" customHeight="false" outlineLevel="0" collapsed="false">
      <c r="A1500" s="13" t="s">
        <v>912</v>
      </c>
      <c r="B1500" s="13" t="s">
        <v>42</v>
      </c>
      <c r="C1500" s="13" t="n">
        <v>920</v>
      </c>
      <c r="D1500" s="13" t="n">
        <v>1</v>
      </c>
      <c r="E1500" s="13" t="n">
        <v>917.15</v>
      </c>
      <c r="F1500" s="13" t="s">
        <v>5325</v>
      </c>
      <c r="G1500" s="13" t="s">
        <v>5289</v>
      </c>
      <c r="H1500" s="13" t="s">
        <v>5289</v>
      </c>
      <c r="I1500" s="13" t="s">
        <v>5289</v>
      </c>
      <c r="J1500" s="13" t="s">
        <v>5289</v>
      </c>
      <c r="K1500" s="13" t="s">
        <v>5289</v>
      </c>
      <c r="L1500" s="13" t="s">
        <v>6087</v>
      </c>
      <c r="M1500" s="13"/>
      <c r="N1500" s="13" t="n">
        <v>8411061106228</v>
      </c>
      <c r="O1500" s="13"/>
      <c r="P1500" s="13" t="s">
        <v>5291</v>
      </c>
      <c r="Q1500" s="13" t="s">
        <v>5289</v>
      </c>
      <c r="R1500" s="13" t="s">
        <v>5292</v>
      </c>
      <c r="S1500" s="13" t="s">
        <v>5293</v>
      </c>
      <c r="T1500" s="13" t="s">
        <v>4</v>
      </c>
      <c r="U1500" s="13" t="s">
        <v>43</v>
      </c>
      <c r="V1500" s="13" t="n">
        <f aca="false">IF(COUNTIF($B$2:B1500,B1500)=1,1,0)</f>
        <v>0</v>
      </c>
      <c r="W1500" s="13" t="n">
        <f aca="false">IF(COUNTIFS($B$2:B1500,B1500,$T$2:T1500,T1500)=1,1,0)</f>
        <v>0</v>
      </c>
    </row>
    <row r="1501" customFormat="false" ht="15" hidden="false" customHeight="false" outlineLevel="0" collapsed="false">
      <c r="A1501" s="13" t="s">
        <v>301</v>
      </c>
      <c r="B1501" s="13" t="s">
        <v>45</v>
      </c>
      <c r="C1501" s="13" t="n">
        <v>920</v>
      </c>
      <c r="D1501" s="13" t="n">
        <v>2</v>
      </c>
      <c r="E1501" s="13" t="n">
        <v>458.31</v>
      </c>
      <c r="F1501" s="13" t="s">
        <v>5288</v>
      </c>
      <c r="G1501" s="13" t="s">
        <v>5289</v>
      </c>
      <c r="H1501" s="13" t="s">
        <v>5289</v>
      </c>
      <c r="I1501" s="13" t="s">
        <v>5289</v>
      </c>
      <c r="J1501" s="13" t="s">
        <v>5289</v>
      </c>
      <c r="K1501" s="13" t="s">
        <v>5289</v>
      </c>
      <c r="L1501" s="13" t="s">
        <v>6088</v>
      </c>
      <c r="M1501" s="13"/>
      <c r="N1501" s="13" t="n">
        <v>8435415114776</v>
      </c>
      <c r="O1501" s="13"/>
      <c r="P1501" s="13" t="s">
        <v>5297</v>
      </c>
      <c r="Q1501" s="13" t="s">
        <v>5289</v>
      </c>
      <c r="R1501" s="13" t="s">
        <v>5292</v>
      </c>
      <c r="S1501" s="13" t="s">
        <v>5293</v>
      </c>
      <c r="T1501" s="13" t="s">
        <v>4</v>
      </c>
      <c r="U1501" s="13" t="s">
        <v>43</v>
      </c>
      <c r="V1501" s="13" t="n">
        <f aca="false">IF(COUNTIF($B$2:B1501,B1501)=1,1,0)</f>
        <v>0</v>
      </c>
      <c r="W1501" s="13" t="n">
        <f aca="false">IF(COUNTIFS($B$2:B1501,B1501,$T$2:T1501,T1501)=1,1,0)</f>
        <v>0</v>
      </c>
    </row>
    <row r="1502" customFormat="false" ht="15" hidden="false" customHeight="false" outlineLevel="0" collapsed="false">
      <c r="A1502" s="13" t="s">
        <v>4122</v>
      </c>
      <c r="B1502" s="13" t="s">
        <v>2245</v>
      </c>
      <c r="C1502" s="13" t="n">
        <v>920</v>
      </c>
      <c r="D1502" s="13" t="n">
        <v>5</v>
      </c>
      <c r="E1502" s="13" t="n">
        <v>183.17</v>
      </c>
      <c r="F1502" s="13" t="s">
        <v>5288</v>
      </c>
      <c r="G1502" s="13" t="s">
        <v>5292</v>
      </c>
      <c r="H1502" s="13" t="s">
        <v>5292</v>
      </c>
      <c r="I1502" s="13" t="s">
        <v>5289</v>
      </c>
      <c r="J1502" s="13" t="s">
        <v>5289</v>
      </c>
      <c r="K1502" s="13" t="s">
        <v>5289</v>
      </c>
      <c r="L1502" s="13" t="s">
        <v>6089</v>
      </c>
      <c r="M1502" s="13"/>
      <c r="N1502" s="13" t="n">
        <v>3331849022630</v>
      </c>
      <c r="O1502" s="13"/>
      <c r="P1502" s="13" t="s">
        <v>5291</v>
      </c>
      <c r="Q1502" s="13" t="s">
        <v>5289</v>
      </c>
      <c r="R1502" s="13" t="s">
        <v>5292</v>
      </c>
      <c r="S1502" s="13" t="s">
        <v>5293</v>
      </c>
      <c r="T1502" s="13" t="s">
        <v>4</v>
      </c>
      <c r="U1502" s="13" t="s">
        <v>85</v>
      </c>
      <c r="V1502" s="13" t="n">
        <f aca="false">IF(COUNTIF($B$2:B1502,B1502)=1,1,0)</f>
        <v>1</v>
      </c>
      <c r="W1502" s="13" t="n">
        <f aca="false">IF(COUNTIFS($B$2:B1502,B1502,$T$2:T1502,T1502)=1,1,0)</f>
        <v>1</v>
      </c>
    </row>
    <row r="1503" customFormat="false" ht="15" hidden="false" customHeight="false" outlineLevel="0" collapsed="false">
      <c r="A1503" s="13" t="s">
        <v>330</v>
      </c>
      <c r="B1503" s="13" t="s">
        <v>329</v>
      </c>
      <c r="C1503" s="13" t="n">
        <v>910</v>
      </c>
      <c r="D1503" s="13" t="n">
        <v>2</v>
      </c>
      <c r="E1503" s="13" t="n">
        <v>457.41</v>
      </c>
      <c r="F1503" s="13" t="s">
        <v>5288</v>
      </c>
      <c r="G1503" s="13" t="s">
        <v>5289</v>
      </c>
      <c r="H1503" s="13" t="s">
        <v>5289</v>
      </c>
      <c r="I1503" s="13" t="s">
        <v>5289</v>
      </c>
      <c r="J1503" s="13" t="s">
        <v>5289</v>
      </c>
      <c r="K1503" s="13" t="s">
        <v>5289</v>
      </c>
      <c r="L1503" s="13" t="s">
        <v>6090</v>
      </c>
      <c r="M1503" s="13"/>
      <c r="N1503" s="13" t="n">
        <v>3137370361121</v>
      </c>
      <c r="O1503" s="13"/>
      <c r="P1503" s="13" t="s">
        <v>5291</v>
      </c>
      <c r="Q1503" s="13" t="s">
        <v>5289</v>
      </c>
      <c r="R1503" s="13" t="s">
        <v>5292</v>
      </c>
      <c r="S1503" s="13" t="s">
        <v>5293</v>
      </c>
      <c r="T1503" s="13" t="s">
        <v>4</v>
      </c>
      <c r="U1503" s="13" t="s">
        <v>43</v>
      </c>
      <c r="V1503" s="13" t="n">
        <f aca="false">IF(COUNTIF($B$2:B1503,B1503)=1,1,0)</f>
        <v>0</v>
      </c>
      <c r="W1503" s="13" t="n">
        <f aca="false">IF(COUNTIFS($B$2:B1503,B1503,$T$2:T1503,T1503)=1,1,0)</f>
        <v>0</v>
      </c>
    </row>
    <row r="1504" customFormat="false" ht="15" hidden="false" customHeight="false" outlineLevel="0" collapsed="false">
      <c r="A1504" s="13" t="s">
        <v>1299</v>
      </c>
      <c r="B1504" s="13" t="s">
        <v>341</v>
      </c>
      <c r="C1504" s="13" t="n">
        <v>910</v>
      </c>
      <c r="D1504" s="13" t="n">
        <v>2</v>
      </c>
      <c r="E1504" s="13" t="n">
        <v>304.87</v>
      </c>
      <c r="F1504" s="13" t="s">
        <v>5325</v>
      </c>
      <c r="G1504" s="13" t="s">
        <v>5289</v>
      </c>
      <c r="H1504" s="13" t="s">
        <v>5292</v>
      </c>
      <c r="I1504" s="13" t="s">
        <v>5289</v>
      </c>
      <c r="J1504" s="13" t="s">
        <v>5289</v>
      </c>
      <c r="K1504" s="13" t="s">
        <v>5289</v>
      </c>
      <c r="L1504" s="13" t="s">
        <v>5873</v>
      </c>
      <c r="M1504" s="13"/>
      <c r="N1504" s="13" t="n">
        <v>4011700740048</v>
      </c>
      <c r="O1504" s="13"/>
      <c r="P1504" s="13" t="s">
        <v>5291</v>
      </c>
      <c r="Q1504" s="13" t="s">
        <v>5289</v>
      </c>
      <c r="R1504" s="13" t="s">
        <v>5292</v>
      </c>
      <c r="S1504" s="13" t="s">
        <v>5293</v>
      </c>
      <c r="T1504" s="13" t="s">
        <v>4</v>
      </c>
      <c r="U1504" s="13" t="s">
        <v>85</v>
      </c>
      <c r="V1504" s="13" t="n">
        <f aca="false">IF(COUNTIF($B$2:B1504,B1504)=1,1,0)</f>
        <v>0</v>
      </c>
      <c r="W1504" s="13" t="n">
        <f aca="false">IF(COUNTIFS($B$2:B1504,B1504,$T$2:T1504,T1504)=1,1,0)</f>
        <v>0</v>
      </c>
    </row>
    <row r="1505" customFormat="false" ht="15" hidden="false" customHeight="false" outlineLevel="0" collapsed="false">
      <c r="A1505" s="13" t="s">
        <v>1298</v>
      </c>
      <c r="B1505" s="13" t="s">
        <v>45</v>
      </c>
      <c r="C1505" s="13" t="n">
        <v>910</v>
      </c>
      <c r="D1505" s="13" t="n">
        <v>1</v>
      </c>
      <c r="E1505" s="13" t="n">
        <v>910.53</v>
      </c>
      <c r="F1505" s="13" t="s">
        <v>5288</v>
      </c>
      <c r="G1505" s="13" t="s">
        <v>5289</v>
      </c>
      <c r="H1505" s="13" t="s">
        <v>5292</v>
      </c>
      <c r="I1505" s="13" t="s">
        <v>5289</v>
      </c>
      <c r="J1505" s="13" t="s">
        <v>5289</v>
      </c>
      <c r="K1505" s="13" t="s">
        <v>5289</v>
      </c>
      <c r="L1505" s="13" t="s">
        <v>5817</v>
      </c>
      <c r="M1505" s="13"/>
      <c r="N1505" s="13" t="n">
        <v>8435415102353</v>
      </c>
      <c r="O1505" s="13"/>
      <c r="P1505" s="13" t="s">
        <v>5291</v>
      </c>
      <c r="Q1505" s="13" t="s">
        <v>5289</v>
      </c>
      <c r="R1505" s="13" t="s">
        <v>5292</v>
      </c>
      <c r="S1505" s="13" t="s">
        <v>5293</v>
      </c>
      <c r="T1505" s="13" t="s">
        <v>4</v>
      </c>
      <c r="U1505" s="13" t="s">
        <v>43</v>
      </c>
      <c r="V1505" s="13" t="n">
        <f aca="false">IF(COUNTIF($B$2:B1505,B1505)=1,1,0)</f>
        <v>0</v>
      </c>
      <c r="W1505" s="13" t="n">
        <f aca="false">IF(COUNTIFS($B$2:B1505,B1505,$T$2:T1505,T1505)=1,1,0)</f>
        <v>0</v>
      </c>
    </row>
    <row r="1506" customFormat="false" ht="15" hidden="false" customHeight="false" outlineLevel="0" collapsed="false">
      <c r="A1506" s="13" t="s">
        <v>460</v>
      </c>
      <c r="B1506" s="13" t="s">
        <v>42</v>
      </c>
      <c r="C1506" s="13" t="n">
        <v>910</v>
      </c>
      <c r="D1506" s="13" t="n">
        <v>1</v>
      </c>
      <c r="E1506" s="13" t="n">
        <v>906.13</v>
      </c>
      <c r="F1506" s="13" t="s">
        <v>5288</v>
      </c>
      <c r="G1506" s="13" t="s">
        <v>5292</v>
      </c>
      <c r="H1506" s="13" t="s">
        <v>5292</v>
      </c>
      <c r="I1506" s="13" t="s">
        <v>5289</v>
      </c>
      <c r="J1506" s="13" t="s">
        <v>5289</v>
      </c>
      <c r="K1506" s="13" t="s">
        <v>5289</v>
      </c>
      <c r="L1506" s="13" t="s">
        <v>6080</v>
      </c>
      <c r="M1506" s="13"/>
      <c r="N1506" s="13" t="n">
        <v>8411061057209</v>
      </c>
      <c r="O1506" s="13"/>
      <c r="P1506" s="13" t="s">
        <v>5291</v>
      </c>
      <c r="Q1506" s="13" t="s">
        <v>5289</v>
      </c>
      <c r="R1506" s="13" t="s">
        <v>5292</v>
      </c>
      <c r="S1506" s="13" t="s">
        <v>5293</v>
      </c>
      <c r="T1506" s="13" t="s">
        <v>4</v>
      </c>
      <c r="U1506" s="13" t="s">
        <v>43</v>
      </c>
      <c r="V1506" s="13" t="n">
        <f aca="false">IF(COUNTIF($B$2:B1506,B1506)=1,1,0)</f>
        <v>0</v>
      </c>
      <c r="W1506" s="13" t="n">
        <f aca="false">IF(COUNTIFS($B$2:B1506,B1506,$T$2:T1506,T1506)=1,1,0)</f>
        <v>0</v>
      </c>
    </row>
    <row r="1507" customFormat="false" ht="15" hidden="false" customHeight="false" outlineLevel="0" collapsed="false">
      <c r="A1507" s="13" t="s">
        <v>1303</v>
      </c>
      <c r="B1507" s="13" t="s">
        <v>79</v>
      </c>
      <c r="C1507" s="13" t="n">
        <v>900</v>
      </c>
      <c r="D1507" s="13" t="n">
        <v>1</v>
      </c>
      <c r="E1507" s="13" t="n">
        <v>900.35</v>
      </c>
      <c r="F1507" s="13" t="s">
        <v>5325</v>
      </c>
      <c r="G1507" s="13" t="s">
        <v>5289</v>
      </c>
      <c r="H1507" s="13" t="s">
        <v>5292</v>
      </c>
      <c r="I1507" s="13" t="s">
        <v>5289</v>
      </c>
      <c r="J1507" s="13" t="s">
        <v>5289</v>
      </c>
      <c r="K1507" s="13" t="s">
        <v>5289</v>
      </c>
      <c r="L1507" s="13" t="s">
        <v>6091</v>
      </c>
      <c r="M1507" s="13"/>
      <c r="N1507" s="13" t="n">
        <v>8057971183739</v>
      </c>
      <c r="O1507" s="13"/>
      <c r="P1507" s="13" t="s">
        <v>5291</v>
      </c>
      <c r="Q1507" s="13" t="s">
        <v>5289</v>
      </c>
      <c r="R1507" s="13" t="s">
        <v>5292</v>
      </c>
      <c r="S1507" s="13" t="s">
        <v>5293</v>
      </c>
      <c r="T1507" s="13" t="s">
        <v>4</v>
      </c>
      <c r="U1507" s="13" t="s">
        <v>43</v>
      </c>
      <c r="V1507" s="13" t="n">
        <f aca="false">IF(COUNTIF($B$2:B1507,B1507)=1,1,0)</f>
        <v>0</v>
      </c>
      <c r="W1507" s="13" t="n">
        <f aca="false">IF(COUNTIFS($B$2:B1507,B1507,$T$2:T1507,T1507)=1,1,0)</f>
        <v>0</v>
      </c>
    </row>
    <row r="1508" customFormat="false" ht="15" hidden="false" customHeight="false" outlineLevel="0" collapsed="false">
      <c r="A1508" s="13" t="s">
        <v>1302</v>
      </c>
      <c r="B1508" s="13" t="s">
        <v>286</v>
      </c>
      <c r="C1508" s="13" t="n">
        <v>900</v>
      </c>
      <c r="D1508" s="13" t="n">
        <v>2</v>
      </c>
      <c r="E1508" s="13" t="n">
        <v>449.52</v>
      </c>
      <c r="F1508" s="13" t="s">
        <v>5325</v>
      </c>
      <c r="G1508" s="13" t="s">
        <v>5292</v>
      </c>
      <c r="H1508" s="13" t="s">
        <v>5292</v>
      </c>
      <c r="I1508" s="13" t="s">
        <v>5289</v>
      </c>
      <c r="J1508" s="13" t="s">
        <v>5289</v>
      </c>
      <c r="K1508" s="13" t="s">
        <v>5289</v>
      </c>
      <c r="L1508" s="13" t="s">
        <v>5969</v>
      </c>
      <c r="M1508" s="13"/>
      <c r="N1508" s="13" t="n">
        <v>6294015183641</v>
      </c>
      <c r="O1508" s="13"/>
      <c r="P1508" s="13" t="s">
        <v>5291</v>
      </c>
      <c r="Q1508" s="13" t="s">
        <v>5289</v>
      </c>
      <c r="R1508" s="13" t="s">
        <v>5292</v>
      </c>
      <c r="S1508" s="13" t="s">
        <v>5293</v>
      </c>
      <c r="T1508" s="13" t="s">
        <v>4</v>
      </c>
      <c r="U1508" s="13" t="s">
        <v>43</v>
      </c>
      <c r="V1508" s="13" t="n">
        <f aca="false">IF(COUNTIF($B$2:B1508,B1508)=1,1,0)</f>
        <v>0</v>
      </c>
      <c r="W1508" s="13" t="n">
        <f aca="false">IF(COUNTIFS($B$2:B1508,B1508,$T$2:T1508,T1508)=1,1,0)</f>
        <v>0</v>
      </c>
    </row>
    <row r="1509" customFormat="false" ht="15" hidden="false" customHeight="false" outlineLevel="0" collapsed="false">
      <c r="A1509" s="13" t="s">
        <v>219</v>
      </c>
      <c r="B1509" s="13" t="s">
        <v>42</v>
      </c>
      <c r="C1509" s="13" t="n">
        <v>900</v>
      </c>
      <c r="D1509" s="13" t="n">
        <v>1</v>
      </c>
      <c r="E1509" s="13" t="n">
        <v>898.32</v>
      </c>
      <c r="F1509" s="13" t="s">
        <v>5325</v>
      </c>
      <c r="G1509" s="13" t="s">
        <v>5289</v>
      </c>
      <c r="H1509" s="13" t="s">
        <v>5289</v>
      </c>
      <c r="I1509" s="13" t="s">
        <v>5289</v>
      </c>
      <c r="J1509" s="13" t="s">
        <v>5289</v>
      </c>
      <c r="K1509" s="13" t="s">
        <v>5289</v>
      </c>
      <c r="L1509" s="13" t="s">
        <v>6092</v>
      </c>
      <c r="M1509" s="13"/>
      <c r="N1509" s="13" t="n">
        <v>8411061083482</v>
      </c>
      <c r="O1509" s="13"/>
      <c r="P1509" s="13" t="s">
        <v>5291</v>
      </c>
      <c r="Q1509" s="13" t="s">
        <v>5289</v>
      </c>
      <c r="R1509" s="13" t="s">
        <v>5292</v>
      </c>
      <c r="S1509" s="13" t="s">
        <v>5293</v>
      </c>
      <c r="T1509" s="13" t="s">
        <v>4</v>
      </c>
      <c r="U1509" s="13" t="s">
        <v>43</v>
      </c>
      <c r="V1509" s="13" t="n">
        <f aca="false">IF(COUNTIF($B$2:B1509,B1509)=1,1,0)</f>
        <v>0</v>
      </c>
      <c r="W1509" s="13" t="n">
        <f aca="false">IF(COUNTIFS($B$2:B1509,B1509,$T$2:T1509,T1509)=1,1,0)</f>
        <v>0</v>
      </c>
    </row>
    <row r="1510" customFormat="false" ht="15" hidden="false" customHeight="false" outlineLevel="0" collapsed="false">
      <c r="A1510" s="13" t="s">
        <v>3737</v>
      </c>
      <c r="B1510" s="13" t="s">
        <v>2134</v>
      </c>
      <c r="C1510" s="13" t="n">
        <v>890</v>
      </c>
      <c r="D1510" s="13" t="n">
        <v>2</v>
      </c>
      <c r="E1510" s="13" t="n">
        <v>447.39</v>
      </c>
      <c r="F1510" s="13" t="s">
        <v>5325</v>
      </c>
      <c r="G1510" s="13" t="s">
        <v>5292</v>
      </c>
      <c r="H1510" s="13" t="s">
        <v>5292</v>
      </c>
      <c r="I1510" s="13" t="s">
        <v>5289</v>
      </c>
      <c r="J1510" s="13" t="s">
        <v>5289</v>
      </c>
      <c r="K1510" s="13" t="s">
        <v>5289</v>
      </c>
      <c r="L1510" s="13" t="s">
        <v>6093</v>
      </c>
      <c r="M1510" s="13"/>
      <c r="N1510" s="13" t="n">
        <v>3386460151979</v>
      </c>
      <c r="O1510" s="13"/>
      <c r="P1510" s="13" t="s">
        <v>5297</v>
      </c>
      <c r="Q1510" s="13" t="s">
        <v>5289</v>
      </c>
      <c r="R1510" s="13" t="s">
        <v>5292</v>
      </c>
      <c r="S1510" s="13" t="s">
        <v>5293</v>
      </c>
      <c r="T1510" s="13" t="s">
        <v>4</v>
      </c>
      <c r="U1510" s="13" t="s">
        <v>43</v>
      </c>
      <c r="V1510" s="13" t="n">
        <f aca="false">IF(COUNTIF($B$2:B1510,B1510)=1,1,0)</f>
        <v>0</v>
      </c>
      <c r="W1510" s="13" t="n">
        <f aca="false">IF(COUNTIFS($B$2:B1510,B1510,$T$2:T1510,T1510)=1,1,0)</f>
        <v>0</v>
      </c>
    </row>
    <row r="1511" customFormat="false" ht="15" hidden="false" customHeight="false" outlineLevel="0" collapsed="false">
      <c r="A1511" s="13" t="s">
        <v>644</v>
      </c>
      <c r="B1511" s="13" t="s">
        <v>50</v>
      </c>
      <c r="C1511" s="13" t="n">
        <v>890</v>
      </c>
      <c r="D1511" s="13" t="n">
        <v>1</v>
      </c>
      <c r="E1511" s="13" t="n">
        <v>891.51</v>
      </c>
      <c r="F1511" s="13" t="s">
        <v>5325</v>
      </c>
      <c r="G1511" s="13" t="s">
        <v>5289</v>
      </c>
      <c r="H1511" s="13" t="s">
        <v>5289</v>
      </c>
      <c r="I1511" s="13" t="s">
        <v>5289</v>
      </c>
      <c r="J1511" s="13" t="s">
        <v>5289</v>
      </c>
      <c r="K1511" s="13" t="s">
        <v>5289</v>
      </c>
      <c r="L1511" s="13" t="s">
        <v>5872</v>
      </c>
      <c r="M1511" s="13"/>
      <c r="N1511" s="13" t="n">
        <v>3349668661657</v>
      </c>
      <c r="O1511" s="13"/>
      <c r="P1511" s="13" t="s">
        <v>5291</v>
      </c>
      <c r="Q1511" s="13" t="s">
        <v>5289</v>
      </c>
      <c r="R1511" s="13" t="s">
        <v>5292</v>
      </c>
      <c r="S1511" s="13" t="s">
        <v>5293</v>
      </c>
      <c r="T1511" s="13" t="s">
        <v>4</v>
      </c>
      <c r="U1511" s="13" t="s">
        <v>43</v>
      </c>
      <c r="V1511" s="13" t="n">
        <f aca="false">IF(COUNTIF($B$2:B1511,B1511)=1,1,0)</f>
        <v>0</v>
      </c>
      <c r="W1511" s="13" t="n">
        <f aca="false">IF(COUNTIFS($B$2:B1511,B1511,$T$2:T1511,T1511)=1,1,0)</f>
        <v>0</v>
      </c>
    </row>
    <row r="1512" customFormat="false" ht="15" hidden="false" customHeight="false" outlineLevel="0" collapsed="false">
      <c r="A1512" s="13" t="s">
        <v>292</v>
      </c>
      <c r="B1512" s="13" t="s">
        <v>45</v>
      </c>
      <c r="C1512" s="13" t="n">
        <v>890</v>
      </c>
      <c r="D1512" s="13" t="n">
        <v>1</v>
      </c>
      <c r="E1512" s="13" t="n">
        <v>890.89</v>
      </c>
      <c r="F1512" s="13" t="s">
        <v>5325</v>
      </c>
      <c r="G1512" s="13" t="s">
        <v>5289</v>
      </c>
      <c r="H1512" s="13" t="s">
        <v>5289</v>
      </c>
      <c r="I1512" s="13" t="s">
        <v>5289</v>
      </c>
      <c r="J1512" s="13" t="s">
        <v>5289</v>
      </c>
      <c r="K1512" s="13" t="s">
        <v>5289</v>
      </c>
      <c r="L1512" s="13" t="s">
        <v>5891</v>
      </c>
      <c r="M1512" s="13"/>
      <c r="N1512" s="13" t="n">
        <v>8435415080385</v>
      </c>
      <c r="O1512" s="13"/>
      <c r="P1512" s="13" t="s">
        <v>5291</v>
      </c>
      <c r="Q1512" s="13" t="s">
        <v>5289</v>
      </c>
      <c r="R1512" s="13" t="s">
        <v>5292</v>
      </c>
      <c r="S1512" s="13" t="s">
        <v>5293</v>
      </c>
      <c r="T1512" s="13" t="s">
        <v>4</v>
      </c>
      <c r="U1512" s="13" t="s">
        <v>43</v>
      </c>
      <c r="V1512" s="13" t="n">
        <f aca="false">IF(COUNTIF($B$2:B1512,B1512)=1,1,0)</f>
        <v>0</v>
      </c>
      <c r="W1512" s="13" t="n">
        <f aca="false">IF(COUNTIFS($B$2:B1512,B1512,$T$2:T1512,T1512)=1,1,0)</f>
        <v>0</v>
      </c>
    </row>
    <row r="1513" customFormat="false" ht="15" hidden="false" customHeight="false" outlineLevel="0" collapsed="false">
      <c r="A1513" s="13" t="s">
        <v>237</v>
      </c>
      <c r="B1513" s="13" t="s">
        <v>42</v>
      </c>
      <c r="C1513" s="13" t="n">
        <v>890</v>
      </c>
      <c r="D1513" s="13" t="n">
        <v>2</v>
      </c>
      <c r="E1513" s="13" t="n">
        <v>444.11</v>
      </c>
      <c r="F1513" s="13" t="s">
        <v>5288</v>
      </c>
      <c r="G1513" s="13" t="s">
        <v>5289</v>
      </c>
      <c r="H1513" s="13" t="s">
        <v>5289</v>
      </c>
      <c r="I1513" s="13" t="s">
        <v>5289</v>
      </c>
      <c r="J1513" s="13" t="s">
        <v>5289</v>
      </c>
      <c r="K1513" s="13" t="s">
        <v>5289</v>
      </c>
      <c r="L1513" s="13" t="s">
        <v>6094</v>
      </c>
      <c r="M1513" s="13"/>
      <c r="N1513" s="13" t="n">
        <v>8411061607176</v>
      </c>
      <c r="O1513" s="13"/>
      <c r="P1513" s="13" t="s">
        <v>5291</v>
      </c>
      <c r="Q1513" s="13" t="s">
        <v>5289</v>
      </c>
      <c r="R1513" s="13" t="s">
        <v>5292</v>
      </c>
      <c r="S1513" s="13" t="s">
        <v>5293</v>
      </c>
      <c r="T1513" s="13" t="s">
        <v>4</v>
      </c>
      <c r="U1513" s="13" t="s">
        <v>43</v>
      </c>
      <c r="V1513" s="13" t="n">
        <f aca="false">IF(COUNTIF($B$2:B1513,B1513)=1,1,0)</f>
        <v>0</v>
      </c>
      <c r="W1513" s="13" t="n">
        <f aca="false">IF(COUNTIFS($B$2:B1513,B1513,$T$2:T1513,T1513)=1,1,0)</f>
        <v>0</v>
      </c>
    </row>
    <row r="1514" customFormat="false" ht="15" hidden="false" customHeight="false" outlineLevel="0" collapsed="false">
      <c r="A1514" s="13" t="s">
        <v>1316</v>
      </c>
      <c r="B1514" s="13" t="s">
        <v>50</v>
      </c>
      <c r="C1514" s="13" t="n">
        <v>880</v>
      </c>
      <c r="D1514" s="13" t="n">
        <v>1</v>
      </c>
      <c r="E1514" s="13" t="n">
        <v>883.32</v>
      </c>
      <c r="F1514" s="13" t="s">
        <v>5288</v>
      </c>
      <c r="G1514" s="13" t="s">
        <v>5289</v>
      </c>
      <c r="H1514" s="13" t="s">
        <v>5292</v>
      </c>
      <c r="I1514" s="13" t="s">
        <v>5289</v>
      </c>
      <c r="J1514" s="13" t="s">
        <v>5289</v>
      </c>
      <c r="K1514" s="13" t="s">
        <v>5289</v>
      </c>
      <c r="L1514" s="13" t="s">
        <v>5667</v>
      </c>
      <c r="M1514" s="13"/>
      <c r="N1514" s="13" t="n">
        <v>3349668600298</v>
      </c>
      <c r="O1514" s="13"/>
      <c r="P1514" s="13" t="s">
        <v>5291</v>
      </c>
      <c r="Q1514" s="13" t="s">
        <v>5289</v>
      </c>
      <c r="R1514" s="13" t="s">
        <v>5292</v>
      </c>
      <c r="S1514" s="13" t="s">
        <v>5293</v>
      </c>
      <c r="T1514" s="13" t="s">
        <v>4</v>
      </c>
      <c r="U1514" s="13" t="s">
        <v>43</v>
      </c>
      <c r="V1514" s="13" t="n">
        <f aca="false">IF(COUNTIF($B$2:B1514,B1514)=1,1,0)</f>
        <v>0</v>
      </c>
      <c r="W1514" s="13" t="n">
        <f aca="false">IF(COUNTIFS($B$2:B1514,B1514,$T$2:T1514,T1514)=1,1,0)</f>
        <v>0</v>
      </c>
    </row>
    <row r="1515" customFormat="false" ht="15" hidden="false" customHeight="false" outlineLevel="0" collapsed="false">
      <c r="A1515" s="13" t="s">
        <v>615</v>
      </c>
      <c r="B1515" s="13" t="s">
        <v>45</v>
      </c>
      <c r="C1515" s="13" t="n">
        <v>880</v>
      </c>
      <c r="D1515" s="13" t="n">
        <v>1</v>
      </c>
      <c r="E1515" s="13" t="n">
        <v>881.79</v>
      </c>
      <c r="F1515" s="13" t="s">
        <v>5325</v>
      </c>
      <c r="G1515" s="13" t="s">
        <v>5289</v>
      </c>
      <c r="H1515" s="13" t="s">
        <v>5289</v>
      </c>
      <c r="I1515" s="13" t="s">
        <v>5289</v>
      </c>
      <c r="J1515" s="13" t="s">
        <v>5289</v>
      </c>
      <c r="K1515" s="13" t="s">
        <v>5289</v>
      </c>
      <c r="L1515" s="13" t="s">
        <v>5806</v>
      </c>
      <c r="M1515" s="13"/>
      <c r="N1515" s="13" t="n">
        <v>8435415055956</v>
      </c>
      <c r="O1515" s="13"/>
      <c r="P1515" s="13" t="s">
        <v>5291</v>
      </c>
      <c r="Q1515" s="13" t="s">
        <v>5289</v>
      </c>
      <c r="R1515" s="13" t="s">
        <v>5292</v>
      </c>
      <c r="S1515" s="13" t="s">
        <v>5293</v>
      </c>
      <c r="T1515" s="13" t="s">
        <v>4</v>
      </c>
      <c r="U1515" s="13" t="s">
        <v>43</v>
      </c>
      <c r="V1515" s="13" t="n">
        <f aca="false">IF(COUNTIF($B$2:B1515,B1515)=1,1,0)</f>
        <v>0</v>
      </c>
      <c r="W1515" s="13" t="n">
        <f aca="false">IF(COUNTIFS($B$2:B1515,B1515,$T$2:T1515,T1515)=1,1,0)</f>
        <v>0</v>
      </c>
    </row>
    <row r="1516" customFormat="false" ht="15" hidden="false" customHeight="false" outlineLevel="0" collapsed="false">
      <c r="A1516" s="13" t="s">
        <v>289</v>
      </c>
      <c r="B1516" s="13" t="s">
        <v>50</v>
      </c>
      <c r="C1516" s="13" t="n">
        <v>880</v>
      </c>
      <c r="D1516" s="13" t="n">
        <v>1</v>
      </c>
      <c r="E1516" s="13" t="n">
        <v>880.84</v>
      </c>
      <c r="F1516" s="13" t="s">
        <v>5288</v>
      </c>
      <c r="G1516" s="13" t="s">
        <v>5289</v>
      </c>
      <c r="H1516" s="13" t="s">
        <v>5289</v>
      </c>
      <c r="I1516" s="13" t="s">
        <v>5289</v>
      </c>
      <c r="J1516" s="13" t="s">
        <v>5289</v>
      </c>
      <c r="K1516" s="13" t="s">
        <v>5289</v>
      </c>
      <c r="L1516" s="13" t="s">
        <v>5937</v>
      </c>
      <c r="M1516" s="13"/>
      <c r="N1516" s="13" t="n">
        <v>3349668630356</v>
      </c>
      <c r="O1516" s="13"/>
      <c r="P1516" s="13" t="s">
        <v>5297</v>
      </c>
      <c r="Q1516" s="13" t="s">
        <v>5289</v>
      </c>
      <c r="R1516" s="13" t="s">
        <v>5292</v>
      </c>
      <c r="S1516" s="13" t="s">
        <v>5293</v>
      </c>
      <c r="T1516" s="13" t="s">
        <v>4</v>
      </c>
      <c r="U1516" s="13" t="s">
        <v>43</v>
      </c>
      <c r="V1516" s="13" t="n">
        <f aca="false">IF(COUNTIF($B$2:B1516,B1516)=1,1,0)</f>
        <v>0</v>
      </c>
      <c r="W1516" s="13" t="n">
        <f aca="false">IF(COUNTIFS($B$2:B1516,B1516,$T$2:T1516,T1516)=1,1,0)</f>
        <v>0</v>
      </c>
    </row>
    <row r="1517" customFormat="false" ht="15" hidden="false" customHeight="false" outlineLevel="0" collapsed="false">
      <c r="A1517" s="13" t="s">
        <v>113</v>
      </c>
      <c r="B1517" s="13" t="s">
        <v>45</v>
      </c>
      <c r="C1517" s="13" t="n">
        <v>880</v>
      </c>
      <c r="D1517" s="13" t="n">
        <v>1</v>
      </c>
      <c r="E1517" s="13" t="n">
        <v>879.2</v>
      </c>
      <c r="F1517" s="13" t="s">
        <v>5325</v>
      </c>
      <c r="G1517" s="13" t="s">
        <v>5292</v>
      </c>
      <c r="H1517" s="13" t="s">
        <v>5289</v>
      </c>
      <c r="I1517" s="13" t="s">
        <v>5289</v>
      </c>
      <c r="J1517" s="13" t="s">
        <v>5289</v>
      </c>
      <c r="K1517" s="13" t="s">
        <v>5289</v>
      </c>
      <c r="L1517" s="13" t="s">
        <v>5712</v>
      </c>
      <c r="M1517" s="13"/>
      <c r="N1517" s="13" t="n">
        <v>8435415055963</v>
      </c>
      <c r="O1517" s="13"/>
      <c r="P1517" s="13" t="s">
        <v>5291</v>
      </c>
      <c r="Q1517" s="13" t="s">
        <v>5289</v>
      </c>
      <c r="R1517" s="13" t="s">
        <v>5292</v>
      </c>
      <c r="S1517" s="13" t="s">
        <v>5293</v>
      </c>
      <c r="T1517" s="13" t="s">
        <v>4</v>
      </c>
      <c r="U1517" s="13" t="s">
        <v>43</v>
      </c>
      <c r="V1517" s="13" t="n">
        <f aca="false">IF(COUNTIF($B$2:B1517,B1517)=1,1,0)</f>
        <v>0</v>
      </c>
      <c r="W1517" s="13" t="n">
        <f aca="false">IF(COUNTIFS($B$2:B1517,B1517,$T$2:T1517,T1517)=1,1,0)</f>
        <v>0</v>
      </c>
    </row>
    <row r="1518" customFormat="false" ht="15" hidden="false" customHeight="false" outlineLevel="0" collapsed="false">
      <c r="A1518" s="13" t="s">
        <v>246</v>
      </c>
      <c r="B1518" s="13" t="s">
        <v>42</v>
      </c>
      <c r="C1518" s="13" t="n">
        <v>880</v>
      </c>
      <c r="D1518" s="13" t="n">
        <v>1</v>
      </c>
      <c r="E1518" s="13" t="n">
        <v>879.17</v>
      </c>
      <c r="F1518" s="13" t="s">
        <v>5288</v>
      </c>
      <c r="G1518" s="13" t="s">
        <v>5289</v>
      </c>
      <c r="H1518" s="13" t="s">
        <v>5289</v>
      </c>
      <c r="I1518" s="13" t="s">
        <v>5289</v>
      </c>
      <c r="J1518" s="13" t="s">
        <v>5289</v>
      </c>
      <c r="K1518" s="13" t="s">
        <v>5289</v>
      </c>
      <c r="L1518" s="13" t="s">
        <v>6068</v>
      </c>
      <c r="M1518" s="13"/>
      <c r="N1518" s="13" t="n">
        <v>8411061083659</v>
      </c>
      <c r="O1518" s="13"/>
      <c r="P1518" s="13" t="s">
        <v>5291</v>
      </c>
      <c r="Q1518" s="13" t="s">
        <v>5289</v>
      </c>
      <c r="R1518" s="13" t="s">
        <v>5292</v>
      </c>
      <c r="S1518" s="13" t="s">
        <v>5293</v>
      </c>
      <c r="T1518" s="13" t="s">
        <v>4</v>
      </c>
      <c r="U1518" s="13" t="s">
        <v>43</v>
      </c>
      <c r="V1518" s="13" t="n">
        <f aca="false">IF(COUNTIF($B$2:B1518,B1518)=1,1,0)</f>
        <v>0</v>
      </c>
      <c r="W1518" s="13" t="n">
        <f aca="false">IF(COUNTIFS($B$2:B1518,B1518,$T$2:T1518,T1518)=1,1,0)</f>
        <v>0</v>
      </c>
    </row>
    <row r="1519" customFormat="false" ht="15" hidden="false" customHeight="false" outlineLevel="0" collapsed="false">
      <c r="A1519" s="13" t="s">
        <v>1315</v>
      </c>
      <c r="B1519" s="13" t="s">
        <v>50</v>
      </c>
      <c r="C1519" s="13" t="n">
        <v>880</v>
      </c>
      <c r="D1519" s="13" t="n">
        <v>1</v>
      </c>
      <c r="E1519" s="13" t="n">
        <v>879.12</v>
      </c>
      <c r="F1519" s="13" t="s">
        <v>5325</v>
      </c>
      <c r="G1519" s="13" t="s">
        <v>5289</v>
      </c>
      <c r="H1519" s="13" t="s">
        <v>5292</v>
      </c>
      <c r="I1519" s="13" t="s">
        <v>5289</v>
      </c>
      <c r="J1519" s="13" t="s">
        <v>5289</v>
      </c>
      <c r="K1519" s="13" t="s">
        <v>5289</v>
      </c>
      <c r="L1519" s="13" t="s">
        <v>5721</v>
      </c>
      <c r="M1519" s="13"/>
      <c r="N1519" s="13" t="n">
        <v>3349668630264</v>
      </c>
      <c r="O1519" s="13"/>
      <c r="P1519" s="13" t="s">
        <v>5291</v>
      </c>
      <c r="Q1519" s="13" t="s">
        <v>5289</v>
      </c>
      <c r="R1519" s="13" t="s">
        <v>5292</v>
      </c>
      <c r="S1519" s="13" t="s">
        <v>5293</v>
      </c>
      <c r="T1519" s="13" t="s">
        <v>4</v>
      </c>
      <c r="U1519" s="13" t="s">
        <v>43</v>
      </c>
      <c r="V1519" s="13" t="n">
        <f aca="false">IF(COUNTIF($B$2:B1519,B1519)=1,1,0)</f>
        <v>0</v>
      </c>
      <c r="W1519" s="13" t="n">
        <f aca="false">IF(COUNTIFS($B$2:B1519,B1519,$T$2:T1519,T1519)=1,1,0)</f>
        <v>0</v>
      </c>
    </row>
    <row r="1520" customFormat="false" ht="15" hidden="false" customHeight="false" outlineLevel="0" collapsed="false">
      <c r="A1520" s="13" t="s">
        <v>417</v>
      </c>
      <c r="B1520" s="13" t="s">
        <v>50</v>
      </c>
      <c r="C1520" s="13" t="n">
        <v>880</v>
      </c>
      <c r="D1520" s="13" t="n">
        <v>1</v>
      </c>
      <c r="E1520" s="13" t="n">
        <v>879.12</v>
      </c>
      <c r="F1520" s="13" t="s">
        <v>5325</v>
      </c>
      <c r="G1520" s="13" t="s">
        <v>5289</v>
      </c>
      <c r="H1520" s="13" t="s">
        <v>5289</v>
      </c>
      <c r="I1520" s="13" t="s">
        <v>5289</v>
      </c>
      <c r="J1520" s="13" t="s">
        <v>5289</v>
      </c>
      <c r="K1520" s="13" t="s">
        <v>5289</v>
      </c>
      <c r="L1520" s="13" t="s">
        <v>5721</v>
      </c>
      <c r="M1520" s="13"/>
      <c r="N1520" s="13" t="n">
        <v>3349668630264</v>
      </c>
      <c r="O1520" s="13"/>
      <c r="P1520" s="13" t="s">
        <v>5291</v>
      </c>
      <c r="Q1520" s="13" t="s">
        <v>5289</v>
      </c>
      <c r="R1520" s="13" t="s">
        <v>5292</v>
      </c>
      <c r="S1520" s="13" t="s">
        <v>5293</v>
      </c>
      <c r="T1520" s="13" t="s">
        <v>4</v>
      </c>
      <c r="U1520" s="13" t="s">
        <v>43</v>
      </c>
      <c r="V1520" s="13" t="n">
        <f aca="false">IF(COUNTIF($B$2:B1520,B1520)=1,1,0)</f>
        <v>0</v>
      </c>
      <c r="W1520" s="13" t="n">
        <f aca="false">IF(COUNTIFS($B$2:B1520,B1520,$T$2:T1520,T1520)=1,1,0)</f>
        <v>0</v>
      </c>
    </row>
    <row r="1521" customFormat="false" ht="15" hidden="false" customHeight="false" outlineLevel="0" collapsed="false">
      <c r="A1521" s="13" t="s">
        <v>1317</v>
      </c>
      <c r="B1521" s="13" t="s">
        <v>42</v>
      </c>
      <c r="C1521" s="13" t="n">
        <v>880</v>
      </c>
      <c r="D1521" s="13" t="n">
        <v>1</v>
      </c>
      <c r="E1521" s="13" t="n">
        <v>876.34</v>
      </c>
      <c r="F1521" s="13" t="s">
        <v>5288</v>
      </c>
      <c r="G1521" s="13" t="s">
        <v>5289</v>
      </c>
      <c r="H1521" s="13" t="s">
        <v>5292</v>
      </c>
      <c r="I1521" s="13" t="s">
        <v>5289</v>
      </c>
      <c r="J1521" s="13" t="s">
        <v>5289</v>
      </c>
      <c r="K1521" s="13" t="s">
        <v>5289</v>
      </c>
      <c r="L1521" s="13" t="s">
        <v>6095</v>
      </c>
      <c r="M1521" s="13"/>
      <c r="N1521" s="13" t="n">
        <v>8411061045497</v>
      </c>
      <c r="O1521" s="13"/>
      <c r="P1521" s="13" t="s">
        <v>5291</v>
      </c>
      <c r="Q1521" s="13" t="s">
        <v>5289</v>
      </c>
      <c r="R1521" s="13" t="s">
        <v>5292</v>
      </c>
      <c r="S1521" s="13" t="s">
        <v>5293</v>
      </c>
      <c r="T1521" s="13" t="s">
        <v>4</v>
      </c>
      <c r="U1521" s="13" t="s">
        <v>43</v>
      </c>
      <c r="V1521" s="13" t="n">
        <f aca="false">IF(COUNTIF($B$2:B1521,B1521)=1,1,0)</f>
        <v>0</v>
      </c>
      <c r="W1521" s="13" t="n">
        <f aca="false">IF(COUNTIFS($B$2:B1521,B1521,$T$2:T1521,T1521)=1,1,0)</f>
        <v>0</v>
      </c>
    </row>
    <row r="1522" customFormat="false" ht="15" hidden="false" customHeight="false" outlineLevel="0" collapsed="false">
      <c r="A1522" s="13" t="s">
        <v>1322</v>
      </c>
      <c r="B1522" s="13" t="s">
        <v>50</v>
      </c>
      <c r="C1522" s="13" t="n">
        <v>870</v>
      </c>
      <c r="D1522" s="13" t="n">
        <v>1</v>
      </c>
      <c r="E1522" s="13" t="n">
        <v>874</v>
      </c>
      <c r="F1522" s="13" t="s">
        <v>5288</v>
      </c>
      <c r="G1522" s="13" t="s">
        <v>5292</v>
      </c>
      <c r="H1522" s="13" t="s">
        <v>5289</v>
      </c>
      <c r="I1522" s="13" t="s">
        <v>5289</v>
      </c>
      <c r="J1522" s="13" t="s">
        <v>5289</v>
      </c>
      <c r="K1522" s="13" t="s">
        <v>5289</v>
      </c>
      <c r="L1522" s="13" t="s">
        <v>6096</v>
      </c>
      <c r="M1522" s="13"/>
      <c r="N1522" s="13" t="n">
        <v>3349668630271</v>
      </c>
      <c r="O1522" s="13"/>
      <c r="P1522" s="13" t="s">
        <v>5291</v>
      </c>
      <c r="Q1522" s="13" t="s">
        <v>5289</v>
      </c>
      <c r="R1522" s="13" t="s">
        <v>5292</v>
      </c>
      <c r="S1522" s="13" t="s">
        <v>5293</v>
      </c>
      <c r="T1522" s="13" t="s">
        <v>4</v>
      </c>
      <c r="U1522" s="13" t="s">
        <v>43</v>
      </c>
      <c r="V1522" s="13" t="n">
        <f aca="false">IF(COUNTIF($B$2:B1522,B1522)=1,1,0)</f>
        <v>0</v>
      </c>
      <c r="W1522" s="13" t="n">
        <f aca="false">IF(COUNTIFS($B$2:B1522,B1522,$T$2:T1522,T1522)=1,1,0)</f>
        <v>0</v>
      </c>
    </row>
    <row r="1523" customFormat="false" ht="15" hidden="false" customHeight="false" outlineLevel="0" collapsed="false">
      <c r="A1523" s="13" t="s">
        <v>1327</v>
      </c>
      <c r="B1523" s="13" t="s">
        <v>45</v>
      </c>
      <c r="C1523" s="13" t="n">
        <v>870</v>
      </c>
      <c r="D1523" s="13" t="n">
        <v>1</v>
      </c>
      <c r="E1523" s="13" t="n">
        <v>869.13</v>
      </c>
      <c r="F1523" s="13" t="s">
        <v>5288</v>
      </c>
      <c r="G1523" s="13" t="s">
        <v>5292</v>
      </c>
      <c r="H1523" s="13" t="s">
        <v>5292</v>
      </c>
      <c r="I1523" s="13" t="s">
        <v>5289</v>
      </c>
      <c r="J1523" s="13" t="s">
        <v>5289</v>
      </c>
      <c r="K1523" s="13" t="s">
        <v>5289</v>
      </c>
      <c r="L1523" s="13" t="s">
        <v>6097</v>
      </c>
      <c r="M1523" s="13"/>
      <c r="N1523" s="13" t="n">
        <v>8435415114790</v>
      </c>
      <c r="O1523" s="13"/>
      <c r="P1523" s="13" t="s">
        <v>5291</v>
      </c>
      <c r="Q1523" s="13" t="s">
        <v>5289</v>
      </c>
      <c r="R1523" s="13" t="s">
        <v>5292</v>
      </c>
      <c r="S1523" s="13" t="s">
        <v>5293</v>
      </c>
      <c r="T1523" s="13" t="s">
        <v>4</v>
      </c>
      <c r="U1523" s="13" t="s">
        <v>43</v>
      </c>
      <c r="V1523" s="13" t="n">
        <f aca="false">IF(COUNTIF($B$2:B1523,B1523)=1,1,0)</f>
        <v>0</v>
      </c>
      <c r="W1523" s="13" t="n">
        <f aca="false">IF(COUNTIFS($B$2:B1523,B1523,$T$2:T1523,T1523)=1,1,0)</f>
        <v>0</v>
      </c>
    </row>
    <row r="1524" customFormat="false" ht="15" hidden="false" customHeight="false" outlineLevel="0" collapsed="false">
      <c r="A1524" s="13" t="s">
        <v>6098</v>
      </c>
      <c r="B1524" s="13" t="s">
        <v>2189</v>
      </c>
      <c r="C1524" s="13" t="n">
        <v>870</v>
      </c>
      <c r="D1524" s="13" t="n">
        <v>1</v>
      </c>
      <c r="E1524" s="13" t="n">
        <v>869.13</v>
      </c>
      <c r="F1524" s="13" t="s">
        <v>5288</v>
      </c>
      <c r="G1524" s="13" t="s">
        <v>5292</v>
      </c>
      <c r="H1524" s="13" t="s">
        <v>5289</v>
      </c>
      <c r="I1524" s="13" t="s">
        <v>5289</v>
      </c>
      <c r="J1524" s="13" t="s">
        <v>5289</v>
      </c>
      <c r="K1524" s="13" t="s">
        <v>5289</v>
      </c>
      <c r="L1524" s="13" t="s">
        <v>6072</v>
      </c>
      <c r="M1524" s="13"/>
      <c r="N1524" s="13" t="n">
        <v>3700608301550</v>
      </c>
      <c r="O1524" s="13"/>
      <c r="P1524" s="13" t="s">
        <v>5291</v>
      </c>
      <c r="Q1524" s="13" t="s">
        <v>5289</v>
      </c>
      <c r="R1524" s="13" t="s">
        <v>5292</v>
      </c>
      <c r="S1524" s="13" t="s">
        <v>5293</v>
      </c>
      <c r="T1524" s="13" t="s">
        <v>4</v>
      </c>
      <c r="U1524" s="13" t="s">
        <v>43</v>
      </c>
      <c r="V1524" s="13" t="n">
        <f aca="false">IF(COUNTIF($B$2:B1524,B1524)=1,1,0)</f>
        <v>0</v>
      </c>
      <c r="W1524" s="13" t="n">
        <f aca="false">IF(COUNTIFS($B$2:B1524,B1524,$T$2:T1524,T1524)=1,1,0)</f>
        <v>0</v>
      </c>
    </row>
    <row r="1525" customFormat="false" ht="15" hidden="false" customHeight="false" outlineLevel="0" collapsed="false">
      <c r="A1525" s="13" t="s">
        <v>6099</v>
      </c>
      <c r="B1525" s="13" t="s">
        <v>2189</v>
      </c>
      <c r="C1525" s="13" t="n">
        <v>870</v>
      </c>
      <c r="D1525" s="13" t="n">
        <v>1</v>
      </c>
      <c r="E1525" s="13" t="n">
        <v>869.13</v>
      </c>
      <c r="F1525" s="13" t="s">
        <v>5288</v>
      </c>
      <c r="G1525" s="13" t="s">
        <v>5292</v>
      </c>
      <c r="H1525" s="13" t="s">
        <v>5289</v>
      </c>
      <c r="I1525" s="13" t="s">
        <v>5289</v>
      </c>
      <c r="J1525" s="13" t="s">
        <v>5289</v>
      </c>
      <c r="K1525" s="13" t="s">
        <v>5289</v>
      </c>
      <c r="L1525" s="13" t="s">
        <v>5955</v>
      </c>
      <c r="M1525" s="13"/>
      <c r="N1525" s="13" t="n">
        <v>3700608301543</v>
      </c>
      <c r="O1525" s="13"/>
      <c r="P1525" s="13" t="s">
        <v>5291</v>
      </c>
      <c r="Q1525" s="13" t="s">
        <v>5289</v>
      </c>
      <c r="R1525" s="13" t="s">
        <v>5292</v>
      </c>
      <c r="S1525" s="13" t="s">
        <v>5293</v>
      </c>
      <c r="T1525" s="13" t="s">
        <v>4</v>
      </c>
      <c r="U1525" s="13" t="s">
        <v>43</v>
      </c>
      <c r="V1525" s="13" t="n">
        <f aca="false">IF(COUNTIF($B$2:B1525,B1525)=1,1,0)</f>
        <v>0</v>
      </c>
      <c r="W1525" s="13" t="n">
        <f aca="false">IF(COUNTIFS($B$2:B1525,B1525,$T$2:T1525,T1525)=1,1,0)</f>
        <v>0</v>
      </c>
    </row>
    <row r="1526" customFormat="false" ht="15" hidden="false" customHeight="false" outlineLevel="0" collapsed="false">
      <c r="A1526" s="13" t="s">
        <v>1324</v>
      </c>
      <c r="B1526" s="13" t="s">
        <v>153</v>
      </c>
      <c r="C1526" s="13" t="n">
        <v>870</v>
      </c>
      <c r="D1526" s="13" t="n">
        <v>2</v>
      </c>
      <c r="E1526" s="13" t="n">
        <v>289.67</v>
      </c>
      <c r="F1526" s="13" t="s">
        <v>5288</v>
      </c>
      <c r="G1526" s="13" t="s">
        <v>5289</v>
      </c>
      <c r="H1526" s="13" t="s">
        <v>5292</v>
      </c>
      <c r="I1526" s="13" t="s">
        <v>5289</v>
      </c>
      <c r="J1526" s="13" t="s">
        <v>5289</v>
      </c>
      <c r="K1526" s="13" t="s">
        <v>5289</v>
      </c>
      <c r="L1526" s="13" t="s">
        <v>6100</v>
      </c>
      <c r="M1526" s="13"/>
      <c r="N1526" s="13" t="n">
        <v>8018365270756</v>
      </c>
      <c r="O1526" s="13"/>
      <c r="P1526" s="13" t="s">
        <v>5291</v>
      </c>
      <c r="Q1526" s="13" t="s">
        <v>5289</v>
      </c>
      <c r="R1526" s="13" t="s">
        <v>5292</v>
      </c>
      <c r="S1526" s="13" t="s">
        <v>5293</v>
      </c>
      <c r="T1526" s="13" t="s">
        <v>4</v>
      </c>
      <c r="U1526" s="13" t="s">
        <v>43</v>
      </c>
      <c r="V1526" s="13" t="n">
        <f aca="false">IF(COUNTIF($B$2:B1526,B1526)=1,1,0)</f>
        <v>0</v>
      </c>
      <c r="W1526" s="13" t="n">
        <f aca="false">IF(COUNTIFS($B$2:B1526,B1526,$T$2:T1526,T1526)=1,1,0)</f>
        <v>0</v>
      </c>
    </row>
    <row r="1527" customFormat="false" ht="15" hidden="false" customHeight="false" outlineLevel="0" collapsed="false">
      <c r="A1527" s="13" t="s">
        <v>1323</v>
      </c>
      <c r="B1527" s="13" t="s">
        <v>79</v>
      </c>
      <c r="C1527" s="13" t="n">
        <v>870</v>
      </c>
      <c r="D1527" s="13" t="n">
        <v>1</v>
      </c>
      <c r="E1527" s="13" t="n">
        <v>868.7</v>
      </c>
      <c r="F1527" s="13" t="s">
        <v>5288</v>
      </c>
      <c r="G1527" s="13" t="s">
        <v>5289</v>
      </c>
      <c r="H1527" s="13" t="s">
        <v>5292</v>
      </c>
      <c r="I1527" s="13" t="s">
        <v>5289</v>
      </c>
      <c r="J1527" s="13" t="s">
        <v>5289</v>
      </c>
      <c r="K1527" s="13" t="s">
        <v>5289</v>
      </c>
      <c r="L1527" s="13" t="s">
        <v>6101</v>
      </c>
      <c r="M1527" s="13"/>
      <c r="N1527" s="13" t="n">
        <v>8057971183661</v>
      </c>
      <c r="O1527" s="13"/>
      <c r="P1527" s="13" t="s">
        <v>5291</v>
      </c>
      <c r="Q1527" s="13" t="s">
        <v>5289</v>
      </c>
      <c r="R1527" s="13" t="s">
        <v>5292</v>
      </c>
      <c r="S1527" s="13" t="s">
        <v>5293</v>
      </c>
      <c r="T1527" s="13" t="s">
        <v>4</v>
      </c>
      <c r="U1527" s="13" t="s">
        <v>43</v>
      </c>
      <c r="V1527" s="13" t="n">
        <f aca="false">IF(COUNTIF($B$2:B1527,B1527)=1,1,0)</f>
        <v>0</v>
      </c>
      <c r="W1527" s="13" t="n">
        <f aca="false">IF(COUNTIFS($B$2:B1527,B1527,$T$2:T1527,T1527)=1,1,0)</f>
        <v>0</v>
      </c>
    </row>
    <row r="1528" customFormat="false" ht="15" hidden="false" customHeight="false" outlineLevel="0" collapsed="false">
      <c r="A1528" s="13" t="s">
        <v>1329</v>
      </c>
      <c r="B1528" s="13" t="s">
        <v>195</v>
      </c>
      <c r="C1528" s="13" t="n">
        <v>870</v>
      </c>
      <c r="D1528" s="13" t="n">
        <v>1</v>
      </c>
      <c r="E1528" s="13" t="n">
        <v>868.21</v>
      </c>
      <c r="F1528" s="13" t="s">
        <v>5325</v>
      </c>
      <c r="G1528" s="13" t="s">
        <v>5292</v>
      </c>
      <c r="H1528" s="13" t="s">
        <v>5292</v>
      </c>
      <c r="I1528" s="13" t="s">
        <v>5289</v>
      </c>
      <c r="J1528" s="13" t="s">
        <v>5289</v>
      </c>
      <c r="K1528" s="13" t="s">
        <v>5289</v>
      </c>
      <c r="L1528" s="13" t="s">
        <v>6102</v>
      </c>
      <c r="M1528" s="13"/>
      <c r="N1528" s="13" t="n">
        <v>3616305271563</v>
      </c>
      <c r="O1528" s="13"/>
      <c r="P1528" s="13" t="s">
        <v>5291</v>
      </c>
      <c r="Q1528" s="13" t="s">
        <v>5289</v>
      </c>
      <c r="R1528" s="13" t="s">
        <v>5292</v>
      </c>
      <c r="S1528" s="13" t="s">
        <v>5293</v>
      </c>
      <c r="T1528" s="13" t="s">
        <v>4</v>
      </c>
      <c r="U1528" s="13" t="s">
        <v>43</v>
      </c>
      <c r="V1528" s="13" t="n">
        <f aca="false">IF(COUNTIF($B$2:B1528,B1528)=1,1,0)</f>
        <v>0</v>
      </c>
      <c r="W1528" s="13" t="n">
        <f aca="false">IF(COUNTIFS($B$2:B1528,B1528,$T$2:T1528,T1528)=1,1,0)</f>
        <v>0</v>
      </c>
    </row>
    <row r="1529" customFormat="false" ht="15" hidden="false" customHeight="false" outlineLevel="0" collapsed="false">
      <c r="A1529" s="13" t="s">
        <v>1328</v>
      </c>
      <c r="B1529" s="13" t="s">
        <v>490</v>
      </c>
      <c r="C1529" s="13" t="n">
        <v>870</v>
      </c>
      <c r="D1529" s="13" t="n">
        <v>2</v>
      </c>
      <c r="E1529" s="13" t="n">
        <v>433.71</v>
      </c>
      <c r="F1529" s="13" t="s">
        <v>5288</v>
      </c>
      <c r="G1529" s="13" t="s">
        <v>5289</v>
      </c>
      <c r="H1529" s="13" t="s">
        <v>5292</v>
      </c>
      <c r="I1529" s="13" t="s">
        <v>5289</v>
      </c>
      <c r="J1529" s="13" t="s">
        <v>5289</v>
      </c>
      <c r="K1529" s="13" t="s">
        <v>5289</v>
      </c>
      <c r="L1529" s="13" t="s">
        <v>6017</v>
      </c>
      <c r="M1529" s="13"/>
      <c r="N1529" s="13" t="n">
        <v>8011003991457</v>
      </c>
      <c r="O1529" s="13"/>
      <c r="P1529" s="13" t="s">
        <v>5291</v>
      </c>
      <c r="Q1529" s="13" t="s">
        <v>5289</v>
      </c>
      <c r="R1529" s="13" t="s">
        <v>5292</v>
      </c>
      <c r="S1529" s="13" t="s">
        <v>5293</v>
      </c>
      <c r="T1529" s="13" t="s">
        <v>4</v>
      </c>
      <c r="U1529" s="13" t="s">
        <v>43</v>
      </c>
      <c r="V1529" s="13" t="n">
        <f aca="false">IF(COUNTIF($B$2:B1529,B1529)=1,1,0)</f>
        <v>0</v>
      </c>
      <c r="W1529" s="13" t="n">
        <f aca="false">IF(COUNTIFS($B$2:B1529,B1529,$T$2:T1529,T1529)=1,1,0)</f>
        <v>0</v>
      </c>
    </row>
    <row r="1530" customFormat="false" ht="15" hidden="false" customHeight="false" outlineLevel="0" collapsed="false">
      <c r="A1530" s="13" t="s">
        <v>1325</v>
      </c>
      <c r="B1530" s="13" t="s">
        <v>45</v>
      </c>
      <c r="C1530" s="13" t="n">
        <v>870</v>
      </c>
      <c r="D1530" s="13" t="n">
        <v>1</v>
      </c>
      <c r="E1530" s="13" t="n">
        <v>866.72</v>
      </c>
      <c r="F1530" s="13" t="s">
        <v>5325</v>
      </c>
      <c r="G1530" s="13" t="s">
        <v>5292</v>
      </c>
      <c r="H1530" s="13" t="s">
        <v>5292</v>
      </c>
      <c r="I1530" s="13" t="s">
        <v>5289</v>
      </c>
      <c r="J1530" s="13" t="s">
        <v>5289</v>
      </c>
      <c r="K1530" s="13" t="s">
        <v>5289</v>
      </c>
      <c r="L1530" s="13" t="s">
        <v>5956</v>
      </c>
      <c r="M1530" s="13"/>
      <c r="N1530" s="13" t="n">
        <v>8435415076838</v>
      </c>
      <c r="O1530" s="13"/>
      <c r="P1530" s="13" t="s">
        <v>5291</v>
      </c>
      <c r="Q1530" s="13" t="s">
        <v>5289</v>
      </c>
      <c r="R1530" s="13" t="s">
        <v>5292</v>
      </c>
      <c r="S1530" s="13" t="s">
        <v>5293</v>
      </c>
      <c r="T1530" s="13" t="s">
        <v>4</v>
      </c>
      <c r="U1530" s="13" t="s">
        <v>43</v>
      </c>
      <c r="V1530" s="13" t="n">
        <f aca="false">IF(COUNTIF($B$2:B1530,B1530)=1,1,0)</f>
        <v>0</v>
      </c>
      <c r="W1530" s="13" t="n">
        <f aca="false">IF(COUNTIFS($B$2:B1530,B1530,$T$2:T1530,T1530)=1,1,0)</f>
        <v>0</v>
      </c>
    </row>
    <row r="1531" customFormat="false" ht="15" hidden="false" customHeight="false" outlineLevel="0" collapsed="false">
      <c r="A1531" s="13" t="s">
        <v>1326</v>
      </c>
      <c r="B1531" s="13" t="s">
        <v>50</v>
      </c>
      <c r="C1531" s="13" t="n">
        <v>870</v>
      </c>
      <c r="D1531" s="13" t="n">
        <v>1</v>
      </c>
      <c r="E1531" s="13" t="n">
        <v>865.06</v>
      </c>
      <c r="F1531" s="13" t="s">
        <v>5288</v>
      </c>
      <c r="G1531" s="13" t="s">
        <v>5289</v>
      </c>
      <c r="H1531" s="13" t="s">
        <v>5292</v>
      </c>
      <c r="I1531" s="13" t="s">
        <v>5289</v>
      </c>
      <c r="J1531" s="13" t="s">
        <v>5289</v>
      </c>
      <c r="K1531" s="13" t="s">
        <v>5289</v>
      </c>
      <c r="L1531" s="13" t="s">
        <v>6103</v>
      </c>
      <c r="M1531" s="13"/>
      <c r="N1531" s="13" t="n">
        <v>3349668627547</v>
      </c>
      <c r="O1531" s="13"/>
      <c r="P1531" s="13" t="s">
        <v>5291</v>
      </c>
      <c r="Q1531" s="13" t="s">
        <v>5289</v>
      </c>
      <c r="R1531" s="13" t="s">
        <v>5292</v>
      </c>
      <c r="S1531" s="13" t="s">
        <v>5293</v>
      </c>
      <c r="T1531" s="13" t="s">
        <v>4</v>
      </c>
      <c r="U1531" s="13" t="s">
        <v>43</v>
      </c>
      <c r="V1531" s="13" t="n">
        <f aca="false">IF(COUNTIF($B$2:B1531,B1531)=1,1,0)</f>
        <v>0</v>
      </c>
      <c r="W1531" s="13" t="n">
        <f aca="false">IF(COUNTIFS($B$2:B1531,B1531,$T$2:T1531,T1531)=1,1,0)</f>
        <v>0</v>
      </c>
    </row>
    <row r="1532" customFormat="false" ht="15" hidden="false" customHeight="false" outlineLevel="0" collapsed="false">
      <c r="A1532" s="13" t="s">
        <v>1339</v>
      </c>
      <c r="B1532" s="13" t="s">
        <v>153</v>
      </c>
      <c r="C1532" s="13" t="n">
        <v>860</v>
      </c>
      <c r="D1532" s="13" t="n">
        <v>1</v>
      </c>
      <c r="E1532" s="13" t="n">
        <v>857.22</v>
      </c>
      <c r="F1532" s="13" t="s">
        <v>5325</v>
      </c>
      <c r="G1532" s="13" t="s">
        <v>5292</v>
      </c>
      <c r="H1532" s="13" t="s">
        <v>5292</v>
      </c>
      <c r="I1532" s="13" t="s">
        <v>5289</v>
      </c>
      <c r="J1532" s="13" t="s">
        <v>5289</v>
      </c>
      <c r="K1532" s="13" t="s">
        <v>5289</v>
      </c>
      <c r="L1532" s="13" t="s">
        <v>6104</v>
      </c>
      <c r="M1532" s="13"/>
      <c r="N1532" s="13" t="n">
        <v>8011003890996</v>
      </c>
      <c r="O1532" s="13"/>
      <c r="P1532" s="13" t="s">
        <v>5291</v>
      </c>
      <c r="Q1532" s="13" t="s">
        <v>5289</v>
      </c>
      <c r="R1532" s="13" t="s">
        <v>5292</v>
      </c>
      <c r="S1532" s="13" t="s">
        <v>5293</v>
      </c>
      <c r="T1532" s="13" t="s">
        <v>4</v>
      </c>
      <c r="U1532" s="13" t="s">
        <v>43</v>
      </c>
      <c r="V1532" s="13" t="n">
        <f aca="false">IF(COUNTIF($B$2:B1532,B1532)=1,1,0)</f>
        <v>0</v>
      </c>
      <c r="W1532" s="13" t="n">
        <f aca="false">IF(COUNTIFS($B$2:B1532,B1532,$T$2:T1532,T1532)=1,1,0)</f>
        <v>0</v>
      </c>
    </row>
    <row r="1533" customFormat="false" ht="15" hidden="false" customHeight="false" outlineLevel="0" collapsed="false">
      <c r="A1533" s="13" t="s">
        <v>3961</v>
      </c>
      <c r="B1533" s="13" t="s">
        <v>2235</v>
      </c>
      <c r="C1533" s="13" t="n">
        <v>860</v>
      </c>
      <c r="D1533" s="13" t="n">
        <v>2</v>
      </c>
      <c r="E1533" s="13" t="n">
        <v>285.31</v>
      </c>
      <c r="F1533" s="13" t="s">
        <v>5325</v>
      </c>
      <c r="G1533" s="13" t="s">
        <v>5292</v>
      </c>
      <c r="H1533" s="13" t="s">
        <v>5292</v>
      </c>
      <c r="I1533" s="13" t="s">
        <v>5289</v>
      </c>
      <c r="J1533" s="13" t="s">
        <v>5289</v>
      </c>
      <c r="K1533" s="13" t="s">
        <v>5289</v>
      </c>
      <c r="L1533" s="13" t="s">
        <v>6105</v>
      </c>
      <c r="M1533" s="13"/>
      <c r="N1533" s="13" t="n">
        <v>8411114057187</v>
      </c>
      <c r="O1533" s="13"/>
      <c r="P1533" s="13" t="s">
        <v>5291</v>
      </c>
      <c r="Q1533" s="13" t="s">
        <v>5289</v>
      </c>
      <c r="R1533" s="13" t="s">
        <v>5292</v>
      </c>
      <c r="S1533" s="13" t="s">
        <v>5293</v>
      </c>
      <c r="T1533" s="13" t="s">
        <v>4</v>
      </c>
      <c r="U1533" s="13" t="s">
        <v>43</v>
      </c>
      <c r="V1533" s="13" t="n">
        <f aca="false">IF(COUNTIF($B$2:B1533,B1533)=1,1,0)</f>
        <v>1</v>
      </c>
      <c r="W1533" s="13" t="n">
        <f aca="false">IF(COUNTIFS($B$2:B1533,B1533,$T$2:T1533,T1533)=1,1,0)</f>
        <v>1</v>
      </c>
    </row>
    <row r="1534" customFormat="false" ht="15" hidden="false" customHeight="false" outlineLevel="0" collapsed="false">
      <c r="A1534" s="13" t="s">
        <v>1344</v>
      </c>
      <c r="B1534" s="13" t="s">
        <v>50</v>
      </c>
      <c r="C1534" s="13" t="n">
        <v>850</v>
      </c>
      <c r="D1534" s="13" t="n">
        <v>1</v>
      </c>
      <c r="E1534" s="13" t="n">
        <v>854.07</v>
      </c>
      <c r="F1534" s="13" t="s">
        <v>5288</v>
      </c>
      <c r="G1534" s="13" t="s">
        <v>5292</v>
      </c>
      <c r="H1534" s="13" t="s">
        <v>5292</v>
      </c>
      <c r="I1534" s="13" t="s">
        <v>5289</v>
      </c>
      <c r="J1534" s="13" t="s">
        <v>5289</v>
      </c>
      <c r="K1534" s="13" t="s">
        <v>5289</v>
      </c>
      <c r="L1534" s="13" t="s">
        <v>6083</v>
      </c>
      <c r="M1534" s="13"/>
      <c r="N1534" s="13" t="n">
        <v>3349668614660</v>
      </c>
      <c r="O1534" s="13"/>
      <c r="P1534" s="13" t="s">
        <v>5291</v>
      </c>
      <c r="Q1534" s="13" t="s">
        <v>5289</v>
      </c>
      <c r="R1534" s="13" t="s">
        <v>5292</v>
      </c>
      <c r="S1534" s="13" t="s">
        <v>5293</v>
      </c>
      <c r="T1534" s="13" t="s">
        <v>4</v>
      </c>
      <c r="U1534" s="13" t="s">
        <v>43</v>
      </c>
      <c r="V1534" s="13" t="n">
        <f aca="false">IF(COUNTIF($B$2:B1534,B1534)=1,1,0)</f>
        <v>0</v>
      </c>
      <c r="W1534" s="13" t="n">
        <f aca="false">IF(COUNTIFS($B$2:B1534,B1534,$T$2:T1534,T1534)=1,1,0)</f>
        <v>0</v>
      </c>
    </row>
    <row r="1535" customFormat="false" ht="15" hidden="false" customHeight="false" outlineLevel="0" collapsed="false">
      <c r="A1535" s="13" t="s">
        <v>4175</v>
      </c>
      <c r="B1535" s="13" t="s">
        <v>2133</v>
      </c>
      <c r="C1535" s="13" t="n">
        <v>850</v>
      </c>
      <c r="D1535" s="13" t="n">
        <v>1</v>
      </c>
      <c r="E1535" s="13" t="n">
        <v>854.07</v>
      </c>
      <c r="F1535" s="13" t="s">
        <v>5325</v>
      </c>
      <c r="G1535" s="13" t="s">
        <v>5292</v>
      </c>
      <c r="H1535" s="13" t="s">
        <v>5292</v>
      </c>
      <c r="I1535" s="13" t="s">
        <v>5289</v>
      </c>
      <c r="J1535" s="13" t="s">
        <v>5289</v>
      </c>
      <c r="K1535" s="13" t="s">
        <v>5289</v>
      </c>
      <c r="L1535" s="13" t="s">
        <v>6106</v>
      </c>
      <c r="M1535" s="13"/>
      <c r="N1535" s="13" t="n">
        <v>783320421297</v>
      </c>
      <c r="O1535" s="13"/>
      <c r="P1535" s="13" t="s">
        <v>5291</v>
      </c>
      <c r="Q1535" s="13" t="s">
        <v>5289</v>
      </c>
      <c r="R1535" s="13" t="s">
        <v>5292</v>
      </c>
      <c r="S1535" s="13" t="s">
        <v>5293</v>
      </c>
      <c r="T1535" s="13" t="s">
        <v>4</v>
      </c>
      <c r="U1535" s="13" t="s">
        <v>43</v>
      </c>
      <c r="V1535" s="13" t="n">
        <f aca="false">IF(COUNTIF($B$2:B1535,B1535)=1,1,0)</f>
        <v>0</v>
      </c>
      <c r="W1535" s="13" t="n">
        <f aca="false">IF(COUNTIFS($B$2:B1535,B1535,$T$2:T1535,T1535)=1,1,0)</f>
        <v>0</v>
      </c>
    </row>
    <row r="1536" customFormat="false" ht="15" hidden="false" customHeight="false" outlineLevel="0" collapsed="false">
      <c r="A1536" s="13" t="s">
        <v>499</v>
      </c>
      <c r="B1536" s="13" t="s">
        <v>45</v>
      </c>
      <c r="C1536" s="13" t="n">
        <v>850</v>
      </c>
      <c r="D1536" s="13" t="n">
        <v>1</v>
      </c>
      <c r="E1536" s="13" t="n">
        <v>853.37</v>
      </c>
      <c r="F1536" s="13" t="s">
        <v>5288</v>
      </c>
      <c r="G1536" s="13" t="s">
        <v>5289</v>
      </c>
      <c r="H1536" s="13" t="s">
        <v>5292</v>
      </c>
      <c r="I1536" s="13" t="s">
        <v>5289</v>
      </c>
      <c r="J1536" s="13" t="s">
        <v>5289</v>
      </c>
      <c r="K1536" s="13" t="s">
        <v>5289</v>
      </c>
      <c r="L1536" s="13" t="s">
        <v>5753</v>
      </c>
      <c r="M1536" s="13"/>
      <c r="N1536" s="13" t="n">
        <v>8435415065214</v>
      </c>
      <c r="O1536" s="13"/>
      <c r="P1536" s="13" t="s">
        <v>5291</v>
      </c>
      <c r="Q1536" s="13" t="s">
        <v>5289</v>
      </c>
      <c r="R1536" s="13" t="s">
        <v>5292</v>
      </c>
      <c r="S1536" s="13" t="s">
        <v>5293</v>
      </c>
      <c r="T1536" s="13" t="s">
        <v>4</v>
      </c>
      <c r="U1536" s="13" t="s">
        <v>43</v>
      </c>
      <c r="V1536" s="13" t="n">
        <f aca="false">IF(COUNTIF($B$2:B1536,B1536)=1,1,0)</f>
        <v>0</v>
      </c>
      <c r="W1536" s="13" t="n">
        <f aca="false">IF(COUNTIFS($B$2:B1536,B1536,$T$2:T1536,T1536)=1,1,0)</f>
        <v>0</v>
      </c>
    </row>
    <row r="1537" customFormat="false" ht="15" hidden="false" customHeight="false" outlineLevel="0" collapsed="false">
      <c r="A1537" s="13" t="s">
        <v>838</v>
      </c>
      <c r="B1537" s="13" t="s">
        <v>42</v>
      </c>
      <c r="C1537" s="13" t="n">
        <v>850</v>
      </c>
      <c r="D1537" s="13" t="n">
        <v>2</v>
      </c>
      <c r="E1537" s="13" t="n">
        <v>425.43</v>
      </c>
      <c r="F1537" s="13" t="s">
        <v>5288</v>
      </c>
      <c r="G1537" s="13" t="s">
        <v>5292</v>
      </c>
      <c r="H1537" s="13" t="s">
        <v>5289</v>
      </c>
      <c r="I1537" s="13" t="s">
        <v>5289</v>
      </c>
      <c r="J1537" s="13" t="s">
        <v>5289</v>
      </c>
      <c r="K1537" s="13" t="s">
        <v>5289</v>
      </c>
      <c r="L1537" s="13" t="s">
        <v>6107</v>
      </c>
      <c r="M1537" s="13"/>
      <c r="N1537" s="13" t="n">
        <v>8411061996539</v>
      </c>
      <c r="O1537" s="13"/>
      <c r="P1537" s="13" t="s">
        <v>5291</v>
      </c>
      <c r="Q1537" s="13" t="s">
        <v>5289</v>
      </c>
      <c r="R1537" s="13" t="s">
        <v>5292</v>
      </c>
      <c r="S1537" s="13" t="s">
        <v>5293</v>
      </c>
      <c r="T1537" s="13" t="s">
        <v>4</v>
      </c>
      <c r="U1537" s="13" t="s">
        <v>43</v>
      </c>
      <c r="V1537" s="13" t="n">
        <f aca="false">IF(COUNTIF($B$2:B1537,B1537)=1,1,0)</f>
        <v>0</v>
      </c>
      <c r="W1537" s="13" t="n">
        <f aca="false">IF(COUNTIFS($B$2:B1537,B1537,$T$2:T1537,T1537)=1,1,0)</f>
        <v>0</v>
      </c>
    </row>
    <row r="1538" customFormat="false" ht="15" hidden="false" customHeight="false" outlineLevel="0" collapsed="false">
      <c r="A1538" s="13" t="s">
        <v>1347</v>
      </c>
      <c r="B1538" s="13" t="s">
        <v>50</v>
      </c>
      <c r="C1538" s="13" t="n">
        <v>850</v>
      </c>
      <c r="D1538" s="13" t="n">
        <v>1</v>
      </c>
      <c r="E1538" s="13" t="n">
        <v>849.15</v>
      </c>
      <c r="F1538" s="13" t="s">
        <v>5288</v>
      </c>
      <c r="G1538" s="13" t="s">
        <v>5292</v>
      </c>
      <c r="H1538" s="13" t="s">
        <v>5289</v>
      </c>
      <c r="I1538" s="13" t="s">
        <v>5289</v>
      </c>
      <c r="J1538" s="13" t="s">
        <v>5289</v>
      </c>
      <c r="K1538" s="13" t="s">
        <v>5289</v>
      </c>
      <c r="L1538" s="13" t="s">
        <v>6108</v>
      </c>
      <c r="M1538" s="13"/>
      <c r="N1538" s="13" t="n">
        <v>3349668641772</v>
      </c>
      <c r="O1538" s="13"/>
      <c r="P1538" s="13" t="s">
        <v>5291</v>
      </c>
      <c r="Q1538" s="13" t="s">
        <v>5289</v>
      </c>
      <c r="R1538" s="13" t="s">
        <v>5292</v>
      </c>
      <c r="S1538" s="13" t="s">
        <v>5293</v>
      </c>
      <c r="T1538" s="13" t="s">
        <v>4</v>
      </c>
      <c r="U1538" s="13" t="s">
        <v>43</v>
      </c>
      <c r="V1538" s="13" t="n">
        <f aca="false">IF(COUNTIF($B$2:B1538,B1538)=1,1,0)</f>
        <v>0</v>
      </c>
      <c r="W1538" s="13" t="n">
        <f aca="false">IF(COUNTIFS($B$2:B1538,B1538,$T$2:T1538,T1538)=1,1,0)</f>
        <v>0</v>
      </c>
    </row>
    <row r="1539" customFormat="false" ht="15" hidden="false" customHeight="false" outlineLevel="0" collapsed="false">
      <c r="A1539" s="13" t="s">
        <v>4172</v>
      </c>
      <c r="B1539" s="13" t="s">
        <v>2134</v>
      </c>
      <c r="C1539" s="13" t="n">
        <v>850</v>
      </c>
      <c r="D1539" s="13" t="n">
        <v>1</v>
      </c>
      <c r="E1539" s="13" t="n">
        <v>849</v>
      </c>
      <c r="F1539" s="13" t="s">
        <v>5288</v>
      </c>
      <c r="G1539" s="13" t="s">
        <v>5292</v>
      </c>
      <c r="H1539" s="13" t="s">
        <v>5292</v>
      </c>
      <c r="I1539" s="13" t="s">
        <v>5289</v>
      </c>
      <c r="J1539" s="13" t="s">
        <v>5289</v>
      </c>
      <c r="K1539" s="13" t="s">
        <v>5292</v>
      </c>
      <c r="L1539" s="13" t="s">
        <v>6109</v>
      </c>
      <c r="M1539" s="13"/>
      <c r="N1539" s="13" t="n">
        <v>3386460154277</v>
      </c>
      <c r="O1539" s="13"/>
      <c r="P1539" s="13" t="s">
        <v>5291</v>
      </c>
      <c r="Q1539" s="13" t="s">
        <v>5289</v>
      </c>
      <c r="R1539" s="13" t="s">
        <v>5292</v>
      </c>
      <c r="S1539" s="13" t="s">
        <v>5293</v>
      </c>
      <c r="T1539" s="13" t="s">
        <v>4</v>
      </c>
      <c r="U1539" s="13" t="s">
        <v>43</v>
      </c>
      <c r="V1539" s="13" t="n">
        <f aca="false">IF(COUNTIF($B$2:B1539,B1539)=1,1,0)</f>
        <v>0</v>
      </c>
      <c r="W1539" s="13" t="n">
        <f aca="false">IF(COUNTIFS($B$2:B1539,B1539,$T$2:T1539,T1539)=1,1,0)</f>
        <v>0</v>
      </c>
    </row>
    <row r="1540" customFormat="false" ht="15" hidden="false" customHeight="false" outlineLevel="0" collapsed="false">
      <c r="A1540" s="13" t="s">
        <v>1346</v>
      </c>
      <c r="B1540" s="13" t="s">
        <v>50</v>
      </c>
      <c r="C1540" s="13" t="n">
        <v>850</v>
      </c>
      <c r="D1540" s="13" t="n">
        <v>1</v>
      </c>
      <c r="E1540" s="13" t="n">
        <v>848</v>
      </c>
      <c r="F1540" s="13" t="s">
        <v>5288</v>
      </c>
      <c r="G1540" s="13" t="s">
        <v>5289</v>
      </c>
      <c r="H1540" s="13" t="s">
        <v>5292</v>
      </c>
      <c r="I1540" s="13" t="s">
        <v>5289</v>
      </c>
      <c r="J1540" s="13" t="s">
        <v>5289</v>
      </c>
      <c r="K1540" s="13" t="s">
        <v>5289</v>
      </c>
      <c r="L1540" s="13" t="s">
        <v>5872</v>
      </c>
      <c r="M1540" s="13"/>
      <c r="N1540" s="13" t="n">
        <v>3349668661657</v>
      </c>
      <c r="O1540" s="13"/>
      <c r="P1540" s="13" t="s">
        <v>5291</v>
      </c>
      <c r="Q1540" s="13" t="s">
        <v>5289</v>
      </c>
      <c r="R1540" s="13" t="s">
        <v>5292</v>
      </c>
      <c r="S1540" s="13" t="s">
        <v>5293</v>
      </c>
      <c r="T1540" s="13" t="s">
        <v>4</v>
      </c>
      <c r="U1540" s="13" t="s">
        <v>43</v>
      </c>
      <c r="V1540" s="13" t="n">
        <f aca="false">IF(COUNTIF($B$2:B1540,B1540)=1,1,0)</f>
        <v>0</v>
      </c>
      <c r="W1540" s="13" t="n">
        <f aca="false">IF(COUNTIFS($B$2:B1540,B1540,$T$2:T1540,T1540)=1,1,0)</f>
        <v>0</v>
      </c>
    </row>
    <row r="1541" customFormat="false" ht="15" hidden="false" customHeight="false" outlineLevel="0" collapsed="false">
      <c r="A1541" s="13" t="s">
        <v>1345</v>
      </c>
      <c r="B1541" s="13" t="s">
        <v>286</v>
      </c>
      <c r="C1541" s="13" t="n">
        <v>850</v>
      </c>
      <c r="D1541" s="13" t="n">
        <v>2</v>
      </c>
      <c r="E1541" s="13" t="n">
        <v>422.92</v>
      </c>
      <c r="F1541" s="13" t="s">
        <v>5325</v>
      </c>
      <c r="G1541" s="13" t="s">
        <v>5289</v>
      </c>
      <c r="H1541" s="13" t="s">
        <v>5292</v>
      </c>
      <c r="I1541" s="13" t="s">
        <v>5289</v>
      </c>
      <c r="J1541" s="13" t="s">
        <v>5289</v>
      </c>
      <c r="K1541" s="13" t="s">
        <v>5289</v>
      </c>
      <c r="L1541" s="13" t="s">
        <v>6110</v>
      </c>
      <c r="M1541" s="13"/>
      <c r="N1541" s="13" t="n">
        <v>6295199800942</v>
      </c>
      <c r="O1541" s="13"/>
      <c r="P1541" s="13" t="s">
        <v>5291</v>
      </c>
      <c r="Q1541" s="13" t="s">
        <v>5289</v>
      </c>
      <c r="R1541" s="13" t="s">
        <v>5292</v>
      </c>
      <c r="S1541" s="13" t="s">
        <v>5293</v>
      </c>
      <c r="T1541" s="13" t="s">
        <v>4</v>
      </c>
      <c r="U1541" s="13" t="s">
        <v>43</v>
      </c>
      <c r="V1541" s="13" t="n">
        <f aca="false">IF(COUNTIF($B$2:B1541,B1541)=1,1,0)</f>
        <v>0</v>
      </c>
      <c r="W1541" s="13" t="n">
        <f aca="false">IF(COUNTIFS($B$2:B1541,B1541,$T$2:T1541,T1541)=1,1,0)</f>
        <v>0</v>
      </c>
    </row>
    <row r="1542" customFormat="false" ht="15" hidden="false" customHeight="false" outlineLevel="0" collapsed="false">
      <c r="A1542" s="13" t="s">
        <v>1348</v>
      </c>
      <c r="B1542" s="13" t="s">
        <v>111</v>
      </c>
      <c r="C1542" s="13" t="n">
        <v>840</v>
      </c>
      <c r="D1542" s="13" t="n">
        <v>2</v>
      </c>
      <c r="E1542" s="13" t="n">
        <v>422.37</v>
      </c>
      <c r="F1542" s="13" t="s">
        <v>5288</v>
      </c>
      <c r="G1542" s="13" t="s">
        <v>5292</v>
      </c>
      <c r="H1542" s="13" t="s">
        <v>5292</v>
      </c>
      <c r="I1542" s="13" t="s">
        <v>5289</v>
      </c>
      <c r="J1542" s="13" t="s">
        <v>5289</v>
      </c>
      <c r="K1542" s="13" t="s">
        <v>5289</v>
      </c>
      <c r="L1542" s="13" t="s">
        <v>6004</v>
      </c>
      <c r="M1542" s="13"/>
      <c r="N1542" s="13" t="n">
        <v>3595471111012</v>
      </c>
      <c r="O1542" s="13"/>
      <c r="P1542" s="13" t="s">
        <v>5297</v>
      </c>
      <c r="Q1542" s="13" t="s">
        <v>5289</v>
      </c>
      <c r="R1542" s="13" t="s">
        <v>5292</v>
      </c>
      <c r="S1542" s="13" t="s">
        <v>5293</v>
      </c>
      <c r="T1542" s="13" t="s">
        <v>4</v>
      </c>
      <c r="U1542" s="13" t="s">
        <v>43</v>
      </c>
      <c r="V1542" s="13" t="n">
        <f aca="false">IF(COUNTIF($B$2:B1542,B1542)=1,1,0)</f>
        <v>0</v>
      </c>
      <c r="W1542" s="13" t="n">
        <f aca="false">IF(COUNTIFS($B$2:B1542,B1542,$T$2:T1542,T1542)=1,1,0)</f>
        <v>0</v>
      </c>
    </row>
    <row r="1543" customFormat="false" ht="15" hidden="false" customHeight="false" outlineLevel="0" collapsed="false">
      <c r="A1543" s="13" t="s">
        <v>1355</v>
      </c>
      <c r="B1543" s="13" t="s">
        <v>50</v>
      </c>
      <c r="C1543" s="13" t="n">
        <v>840</v>
      </c>
      <c r="D1543" s="13" t="n">
        <v>1</v>
      </c>
      <c r="E1543" s="13" t="n">
        <v>838.43</v>
      </c>
      <c r="F1543" s="13" t="s">
        <v>5325</v>
      </c>
      <c r="G1543" s="13" t="s">
        <v>5289</v>
      </c>
      <c r="H1543" s="13" t="s">
        <v>5292</v>
      </c>
      <c r="I1543" s="13" t="s">
        <v>5289</v>
      </c>
      <c r="J1543" s="13" t="s">
        <v>5289</v>
      </c>
      <c r="K1543" s="13" t="s">
        <v>5289</v>
      </c>
      <c r="L1543" s="13" t="s">
        <v>5741</v>
      </c>
      <c r="M1543" s="13"/>
      <c r="N1543" s="13" t="n">
        <v>3349668642717</v>
      </c>
      <c r="O1543" s="13"/>
      <c r="P1543" s="13" t="s">
        <v>5291</v>
      </c>
      <c r="Q1543" s="13" t="s">
        <v>5289</v>
      </c>
      <c r="R1543" s="13" t="s">
        <v>5292</v>
      </c>
      <c r="S1543" s="13" t="s">
        <v>5293</v>
      </c>
      <c r="T1543" s="13" t="s">
        <v>4</v>
      </c>
      <c r="U1543" s="13" t="s">
        <v>43</v>
      </c>
      <c r="V1543" s="13" t="n">
        <f aca="false">IF(COUNTIF($B$2:B1543,B1543)=1,1,0)</f>
        <v>0</v>
      </c>
      <c r="W1543" s="13" t="n">
        <f aca="false">IF(COUNTIFS($B$2:B1543,B1543,$T$2:T1543,T1543)=1,1,0)</f>
        <v>0</v>
      </c>
    </row>
    <row r="1544" customFormat="false" ht="15" hidden="false" customHeight="false" outlineLevel="0" collapsed="false">
      <c r="A1544" s="13" t="s">
        <v>461</v>
      </c>
      <c r="B1544" s="13" t="s">
        <v>50</v>
      </c>
      <c r="C1544" s="13" t="n">
        <v>840</v>
      </c>
      <c r="D1544" s="13" t="n">
        <v>1</v>
      </c>
      <c r="E1544" s="13" t="n">
        <v>838.43</v>
      </c>
      <c r="F1544" s="13" t="s">
        <v>5325</v>
      </c>
      <c r="G1544" s="13" t="s">
        <v>5289</v>
      </c>
      <c r="H1544" s="13" t="s">
        <v>5289</v>
      </c>
      <c r="I1544" s="13" t="s">
        <v>5289</v>
      </c>
      <c r="J1544" s="13" t="s">
        <v>5289</v>
      </c>
      <c r="K1544" s="13" t="s">
        <v>5289</v>
      </c>
      <c r="L1544" s="13" t="s">
        <v>5741</v>
      </c>
      <c r="M1544" s="13"/>
      <c r="N1544" s="13" t="n">
        <v>3349668642717</v>
      </c>
      <c r="O1544" s="13"/>
      <c r="P1544" s="13" t="s">
        <v>5291</v>
      </c>
      <c r="Q1544" s="13" t="s">
        <v>5289</v>
      </c>
      <c r="R1544" s="13" t="s">
        <v>5292</v>
      </c>
      <c r="S1544" s="13" t="s">
        <v>5293</v>
      </c>
      <c r="T1544" s="13" t="s">
        <v>4</v>
      </c>
      <c r="U1544" s="13" t="s">
        <v>43</v>
      </c>
      <c r="V1544" s="13" t="n">
        <f aca="false">IF(COUNTIF($B$2:B1544,B1544)=1,1,0)</f>
        <v>0</v>
      </c>
      <c r="W1544" s="13" t="n">
        <f aca="false">IF(COUNTIFS($B$2:B1544,B1544,$T$2:T1544,T1544)=1,1,0)</f>
        <v>0</v>
      </c>
    </row>
    <row r="1545" customFormat="false" ht="15" hidden="false" customHeight="false" outlineLevel="0" collapsed="false">
      <c r="A1545" s="13" t="s">
        <v>1350</v>
      </c>
      <c r="B1545" s="13" t="s">
        <v>229</v>
      </c>
      <c r="C1545" s="13" t="n">
        <v>840</v>
      </c>
      <c r="D1545" s="13" t="n">
        <v>2</v>
      </c>
      <c r="E1545" s="13" t="n">
        <v>418.68</v>
      </c>
      <c r="F1545" s="13" t="s">
        <v>5325</v>
      </c>
      <c r="G1545" s="13" t="s">
        <v>5292</v>
      </c>
      <c r="H1545" s="13" t="s">
        <v>5292</v>
      </c>
      <c r="I1545" s="13" t="s">
        <v>5289</v>
      </c>
      <c r="J1545" s="13" t="s">
        <v>5289</v>
      </c>
      <c r="K1545" s="13" t="s">
        <v>5289</v>
      </c>
      <c r="L1545" s="13" t="s">
        <v>5808</v>
      </c>
      <c r="M1545" s="13"/>
      <c r="N1545" s="13" t="n">
        <v>3616305638625</v>
      </c>
      <c r="O1545" s="13"/>
      <c r="P1545" s="13" t="s">
        <v>5291</v>
      </c>
      <c r="Q1545" s="13" t="s">
        <v>5289</v>
      </c>
      <c r="R1545" s="13" t="s">
        <v>5292</v>
      </c>
      <c r="S1545" s="13" t="s">
        <v>5293</v>
      </c>
      <c r="T1545" s="13" t="s">
        <v>4</v>
      </c>
      <c r="U1545" s="13" t="s">
        <v>43</v>
      </c>
      <c r="V1545" s="13" t="n">
        <f aca="false">IF(COUNTIF($B$2:B1545,B1545)=1,1,0)</f>
        <v>0</v>
      </c>
      <c r="W1545" s="13" t="n">
        <f aca="false">IF(COUNTIFS($B$2:B1545,B1545,$T$2:T1545,T1545)=1,1,0)</f>
        <v>0</v>
      </c>
    </row>
    <row r="1546" customFormat="false" ht="15" hidden="false" customHeight="false" outlineLevel="0" collapsed="false">
      <c r="A1546" s="13" t="s">
        <v>1349</v>
      </c>
      <c r="B1546" s="13" t="s">
        <v>69</v>
      </c>
      <c r="C1546" s="13" t="n">
        <v>840</v>
      </c>
      <c r="D1546" s="13" t="n">
        <v>1</v>
      </c>
      <c r="E1546" s="13" t="n">
        <v>835.9</v>
      </c>
      <c r="F1546" s="13" t="s">
        <v>5325</v>
      </c>
      <c r="G1546" s="13" t="s">
        <v>5292</v>
      </c>
      <c r="H1546" s="13" t="s">
        <v>5292</v>
      </c>
      <c r="I1546" s="13" t="s">
        <v>5289</v>
      </c>
      <c r="J1546" s="13" t="s">
        <v>5289</v>
      </c>
      <c r="K1546" s="13" t="s">
        <v>5289</v>
      </c>
      <c r="L1546" s="13" t="s">
        <v>6111</v>
      </c>
      <c r="M1546" s="13"/>
      <c r="N1546" s="13" t="n">
        <v>3614273776110</v>
      </c>
      <c r="O1546" s="13"/>
      <c r="P1546" s="13" t="s">
        <v>5291</v>
      </c>
      <c r="Q1546" s="13" t="s">
        <v>5289</v>
      </c>
      <c r="R1546" s="13" t="s">
        <v>5292</v>
      </c>
      <c r="S1546" s="13" t="s">
        <v>5293</v>
      </c>
      <c r="T1546" s="13" t="s">
        <v>4</v>
      </c>
      <c r="U1546" s="13" t="s">
        <v>43</v>
      </c>
      <c r="V1546" s="13" t="n">
        <f aca="false">IF(COUNTIF($B$2:B1546,B1546)=1,1,0)</f>
        <v>0</v>
      </c>
      <c r="W1546" s="13" t="n">
        <f aca="false">IF(COUNTIFS($B$2:B1546,B1546,$T$2:T1546,T1546)=1,1,0)</f>
        <v>0</v>
      </c>
    </row>
    <row r="1547" customFormat="false" ht="15" hidden="false" customHeight="false" outlineLevel="0" collapsed="false">
      <c r="A1547" s="13" t="s">
        <v>1358</v>
      </c>
      <c r="B1547" s="13" t="s">
        <v>50</v>
      </c>
      <c r="C1547" s="13" t="n">
        <v>830</v>
      </c>
      <c r="D1547" s="13" t="n">
        <v>2</v>
      </c>
      <c r="E1547" s="13" t="n">
        <v>417.41</v>
      </c>
      <c r="F1547" s="13" t="s">
        <v>5288</v>
      </c>
      <c r="G1547" s="13" t="s">
        <v>5289</v>
      </c>
      <c r="H1547" s="13" t="s">
        <v>5292</v>
      </c>
      <c r="I1547" s="13" t="s">
        <v>5289</v>
      </c>
      <c r="J1547" s="13" t="s">
        <v>5289</v>
      </c>
      <c r="K1547" s="13" t="s">
        <v>5289</v>
      </c>
      <c r="L1547" s="13" t="s">
        <v>5970</v>
      </c>
      <c r="M1547" s="13"/>
      <c r="N1547" s="13" t="n">
        <v>3349668566730</v>
      </c>
      <c r="O1547" s="13"/>
      <c r="P1547" s="13" t="s">
        <v>5291</v>
      </c>
      <c r="Q1547" s="13" t="s">
        <v>5289</v>
      </c>
      <c r="R1547" s="13" t="s">
        <v>5292</v>
      </c>
      <c r="S1547" s="13" t="s">
        <v>5293</v>
      </c>
      <c r="T1547" s="13" t="s">
        <v>4</v>
      </c>
      <c r="U1547" s="13" t="s">
        <v>43</v>
      </c>
      <c r="V1547" s="13" t="n">
        <f aca="false">IF(COUNTIF($B$2:B1547,B1547)=1,1,0)</f>
        <v>0</v>
      </c>
      <c r="W1547" s="13" t="n">
        <f aca="false">IF(COUNTIFS($B$2:B1547,B1547,$T$2:T1547,T1547)=1,1,0)</f>
        <v>0</v>
      </c>
    </row>
    <row r="1548" customFormat="false" ht="15" hidden="false" customHeight="false" outlineLevel="0" collapsed="false">
      <c r="A1548" s="13" t="s">
        <v>1356</v>
      </c>
      <c r="B1548" s="13" t="s">
        <v>111</v>
      </c>
      <c r="C1548" s="13" t="n">
        <v>830</v>
      </c>
      <c r="D1548" s="13" t="n">
        <v>2</v>
      </c>
      <c r="E1548" s="13" t="n">
        <v>414.87</v>
      </c>
      <c r="F1548" s="13" t="s">
        <v>5325</v>
      </c>
      <c r="G1548" s="13" t="s">
        <v>5289</v>
      </c>
      <c r="H1548" s="13" t="s">
        <v>5292</v>
      </c>
      <c r="I1548" s="13" t="s">
        <v>5289</v>
      </c>
      <c r="J1548" s="13" t="s">
        <v>5289</v>
      </c>
      <c r="K1548" s="13" t="s">
        <v>5289</v>
      </c>
      <c r="L1548" s="13" t="s">
        <v>6112</v>
      </c>
      <c r="M1548" s="13"/>
      <c r="N1548" s="13" t="n">
        <v>3595471061096</v>
      </c>
      <c r="O1548" s="13"/>
      <c r="P1548" s="13" t="s">
        <v>5291</v>
      </c>
      <c r="Q1548" s="13" t="s">
        <v>5289</v>
      </c>
      <c r="R1548" s="13" t="s">
        <v>5292</v>
      </c>
      <c r="S1548" s="13" t="s">
        <v>5293</v>
      </c>
      <c r="T1548" s="13" t="s">
        <v>4</v>
      </c>
      <c r="U1548" s="13" t="s">
        <v>43</v>
      </c>
      <c r="V1548" s="13" t="n">
        <f aca="false">IF(COUNTIF($B$2:B1548,B1548)=1,1,0)</f>
        <v>0</v>
      </c>
      <c r="W1548" s="13" t="n">
        <f aca="false">IF(COUNTIFS($B$2:B1548,B1548,$T$2:T1548,T1548)=1,1,0)</f>
        <v>0</v>
      </c>
    </row>
    <row r="1549" customFormat="false" ht="15" hidden="false" customHeight="false" outlineLevel="0" collapsed="false">
      <c r="A1549" s="13" t="s">
        <v>242</v>
      </c>
      <c r="B1549" s="13" t="s">
        <v>42</v>
      </c>
      <c r="C1549" s="13" t="n">
        <v>830</v>
      </c>
      <c r="D1549" s="13" t="n">
        <v>1</v>
      </c>
      <c r="E1549" s="13" t="n">
        <v>827.08</v>
      </c>
      <c r="F1549" s="13" t="s">
        <v>5325</v>
      </c>
      <c r="G1549" s="13" t="s">
        <v>5289</v>
      </c>
      <c r="H1549" s="13" t="s">
        <v>5289</v>
      </c>
      <c r="I1549" s="13" t="s">
        <v>5289</v>
      </c>
      <c r="J1549" s="13" t="s">
        <v>5289</v>
      </c>
      <c r="K1549" s="13" t="s">
        <v>5289</v>
      </c>
      <c r="L1549" s="13" t="s">
        <v>5674</v>
      </c>
      <c r="M1549" s="13"/>
      <c r="N1549" s="13" t="n">
        <v>8411061067895</v>
      </c>
      <c r="O1549" s="13"/>
      <c r="P1549" s="13" t="s">
        <v>5291</v>
      </c>
      <c r="Q1549" s="13" t="s">
        <v>5289</v>
      </c>
      <c r="R1549" s="13" t="s">
        <v>5292</v>
      </c>
      <c r="S1549" s="13" t="s">
        <v>5293</v>
      </c>
      <c r="T1549" s="13" t="s">
        <v>4</v>
      </c>
      <c r="U1549" s="13" t="s">
        <v>43</v>
      </c>
      <c r="V1549" s="13" t="n">
        <f aca="false">IF(COUNTIF($B$2:B1549,B1549)=1,1,0)</f>
        <v>0</v>
      </c>
      <c r="W1549" s="13" t="n">
        <f aca="false">IF(COUNTIFS($B$2:B1549,B1549,$T$2:T1549,T1549)=1,1,0)</f>
        <v>0</v>
      </c>
    </row>
    <row r="1550" customFormat="false" ht="15" hidden="false" customHeight="false" outlineLevel="0" collapsed="false">
      <c r="A1550" s="13" t="s">
        <v>1359</v>
      </c>
      <c r="B1550" s="13" t="s">
        <v>45</v>
      </c>
      <c r="C1550" s="13" t="n">
        <v>830</v>
      </c>
      <c r="D1550" s="13" t="n">
        <v>1</v>
      </c>
      <c r="E1550" s="13" t="n">
        <v>827.08</v>
      </c>
      <c r="F1550" s="13" t="s">
        <v>5325</v>
      </c>
      <c r="G1550" s="13" t="s">
        <v>5289</v>
      </c>
      <c r="H1550" s="13" t="s">
        <v>5292</v>
      </c>
      <c r="I1550" s="13" t="s">
        <v>5289</v>
      </c>
      <c r="J1550" s="13" t="s">
        <v>5289</v>
      </c>
      <c r="K1550" s="13" t="s">
        <v>5289</v>
      </c>
      <c r="L1550" s="13" t="s">
        <v>5845</v>
      </c>
      <c r="M1550" s="13"/>
      <c r="N1550" s="13" t="n">
        <v>8435415011341</v>
      </c>
      <c r="O1550" s="13"/>
      <c r="P1550" s="13" t="s">
        <v>5291</v>
      </c>
      <c r="Q1550" s="13" t="s">
        <v>5289</v>
      </c>
      <c r="R1550" s="13" t="s">
        <v>5292</v>
      </c>
      <c r="S1550" s="13" t="s">
        <v>5293</v>
      </c>
      <c r="T1550" s="13" t="s">
        <v>4</v>
      </c>
      <c r="U1550" s="13" t="s">
        <v>43</v>
      </c>
      <c r="V1550" s="13" t="n">
        <f aca="false">IF(COUNTIF($B$2:B1550,B1550)=1,1,0)</f>
        <v>0</v>
      </c>
      <c r="W1550" s="13" t="n">
        <f aca="false">IF(COUNTIFS($B$2:B1550,B1550,$T$2:T1550,T1550)=1,1,0)</f>
        <v>0</v>
      </c>
    </row>
    <row r="1551" customFormat="false" ht="15" hidden="false" customHeight="false" outlineLevel="0" collapsed="false">
      <c r="A1551" s="13" t="s">
        <v>436</v>
      </c>
      <c r="B1551" s="13" t="s">
        <v>45</v>
      </c>
      <c r="C1551" s="13" t="n">
        <v>830</v>
      </c>
      <c r="D1551" s="13" t="n">
        <v>1</v>
      </c>
      <c r="E1551" s="13" t="n">
        <v>827.08</v>
      </c>
      <c r="F1551" s="13" t="s">
        <v>5325</v>
      </c>
      <c r="G1551" s="13" t="s">
        <v>5289</v>
      </c>
      <c r="H1551" s="13" t="s">
        <v>5289</v>
      </c>
      <c r="I1551" s="13" t="s">
        <v>5289</v>
      </c>
      <c r="J1551" s="13" t="s">
        <v>5289</v>
      </c>
      <c r="K1551" s="13" t="s">
        <v>5289</v>
      </c>
      <c r="L1551" s="13" t="s">
        <v>5990</v>
      </c>
      <c r="M1551" s="13"/>
      <c r="N1551" s="13" t="n">
        <v>8435415091275</v>
      </c>
      <c r="O1551" s="13"/>
      <c r="P1551" s="13" t="s">
        <v>5291</v>
      </c>
      <c r="Q1551" s="13" t="s">
        <v>5289</v>
      </c>
      <c r="R1551" s="13" t="s">
        <v>5292</v>
      </c>
      <c r="S1551" s="13" t="s">
        <v>5293</v>
      </c>
      <c r="T1551" s="13" t="s">
        <v>4</v>
      </c>
      <c r="U1551" s="13" t="s">
        <v>43</v>
      </c>
      <c r="V1551" s="13" t="n">
        <f aca="false">IF(COUNTIF($B$2:B1551,B1551)=1,1,0)</f>
        <v>0</v>
      </c>
      <c r="W1551" s="13" t="n">
        <f aca="false">IF(COUNTIFS($B$2:B1551,B1551,$T$2:T1551,T1551)=1,1,0)</f>
        <v>0</v>
      </c>
    </row>
    <row r="1552" customFormat="false" ht="15" hidden="false" customHeight="false" outlineLevel="0" collapsed="false">
      <c r="A1552" s="13" t="s">
        <v>113</v>
      </c>
      <c r="B1552" s="13" t="s">
        <v>45</v>
      </c>
      <c r="C1552" s="13" t="n">
        <v>830</v>
      </c>
      <c r="D1552" s="13" t="n">
        <v>1</v>
      </c>
      <c r="E1552" s="13" t="n">
        <v>827.08</v>
      </c>
      <c r="F1552" s="13" t="s">
        <v>5325</v>
      </c>
      <c r="G1552" s="13" t="s">
        <v>5292</v>
      </c>
      <c r="H1552" s="13" t="s">
        <v>5289</v>
      </c>
      <c r="I1552" s="13" t="s">
        <v>5289</v>
      </c>
      <c r="J1552" s="13" t="s">
        <v>5289</v>
      </c>
      <c r="K1552" s="13" t="s">
        <v>5289</v>
      </c>
      <c r="L1552" s="13" t="s">
        <v>6113</v>
      </c>
      <c r="M1552" s="13"/>
      <c r="N1552" s="13" t="n">
        <v>8435415065191</v>
      </c>
      <c r="O1552" s="13"/>
      <c r="P1552" s="13" t="s">
        <v>5291</v>
      </c>
      <c r="Q1552" s="13" t="s">
        <v>5289</v>
      </c>
      <c r="R1552" s="13" t="s">
        <v>5292</v>
      </c>
      <c r="S1552" s="13" t="s">
        <v>5293</v>
      </c>
      <c r="T1552" s="13" t="s">
        <v>4</v>
      </c>
      <c r="U1552" s="13" t="s">
        <v>43</v>
      </c>
      <c r="V1552" s="13" t="n">
        <f aca="false">IF(COUNTIF($B$2:B1552,B1552)=1,1,0)</f>
        <v>0</v>
      </c>
      <c r="W1552" s="13" t="n">
        <f aca="false">IF(COUNTIFS($B$2:B1552,B1552,$T$2:T1552,T1552)=1,1,0)</f>
        <v>0</v>
      </c>
    </row>
    <row r="1553" customFormat="false" ht="15" hidden="false" customHeight="false" outlineLevel="0" collapsed="false">
      <c r="A1553" s="13" t="s">
        <v>812</v>
      </c>
      <c r="B1553" s="13" t="s">
        <v>45</v>
      </c>
      <c r="C1553" s="13" t="n">
        <v>820</v>
      </c>
      <c r="D1553" s="13" t="n">
        <v>1</v>
      </c>
      <c r="E1553" s="13" t="n">
        <v>824.74</v>
      </c>
      <c r="F1553" s="13" t="s">
        <v>5288</v>
      </c>
      <c r="G1553" s="13" t="s">
        <v>5289</v>
      </c>
      <c r="H1553" s="13" t="s">
        <v>5289</v>
      </c>
      <c r="I1553" s="13" t="s">
        <v>5289</v>
      </c>
      <c r="J1553" s="13" t="s">
        <v>5289</v>
      </c>
      <c r="K1553" s="13" t="s">
        <v>5289</v>
      </c>
      <c r="L1553" s="13" t="s">
        <v>5946</v>
      </c>
      <c r="M1553" s="13"/>
      <c r="N1553" s="13" t="n">
        <v>8435415114028</v>
      </c>
      <c r="O1553" s="13"/>
      <c r="P1553" s="13" t="s">
        <v>5291</v>
      </c>
      <c r="Q1553" s="13" t="s">
        <v>5289</v>
      </c>
      <c r="R1553" s="13" t="s">
        <v>5292</v>
      </c>
      <c r="S1553" s="13" t="s">
        <v>5293</v>
      </c>
      <c r="T1553" s="13" t="s">
        <v>4</v>
      </c>
      <c r="U1553" s="13" t="s">
        <v>43</v>
      </c>
      <c r="V1553" s="13" t="n">
        <f aca="false">IF(COUNTIF($B$2:B1553,B1553)=1,1,0)</f>
        <v>0</v>
      </c>
      <c r="W1553" s="13" t="n">
        <f aca="false">IF(COUNTIFS($B$2:B1553,B1553,$T$2:T1553,T1553)=1,1,0)</f>
        <v>0</v>
      </c>
    </row>
    <row r="1554" customFormat="false" ht="15" hidden="false" customHeight="false" outlineLevel="0" collapsed="false">
      <c r="A1554" s="13" t="s">
        <v>1362</v>
      </c>
      <c r="B1554" s="13" t="s">
        <v>50</v>
      </c>
      <c r="C1554" s="13" t="n">
        <v>820</v>
      </c>
      <c r="D1554" s="13" t="n">
        <v>1</v>
      </c>
      <c r="E1554" s="13" t="n">
        <v>819.18</v>
      </c>
      <c r="F1554" s="13" t="s">
        <v>5288</v>
      </c>
      <c r="G1554" s="13" t="s">
        <v>5289</v>
      </c>
      <c r="H1554" s="13" t="s">
        <v>5292</v>
      </c>
      <c r="I1554" s="13" t="s">
        <v>5289</v>
      </c>
      <c r="J1554" s="13" t="s">
        <v>5289</v>
      </c>
      <c r="K1554" s="13" t="s">
        <v>5289</v>
      </c>
      <c r="L1554" s="13" t="s">
        <v>5721</v>
      </c>
      <c r="M1554" s="13"/>
      <c r="N1554" s="13" t="n">
        <v>3349668630264</v>
      </c>
      <c r="O1554" s="13"/>
      <c r="P1554" s="13" t="s">
        <v>5291</v>
      </c>
      <c r="Q1554" s="13" t="s">
        <v>5289</v>
      </c>
      <c r="R1554" s="13" t="s">
        <v>5292</v>
      </c>
      <c r="S1554" s="13" t="s">
        <v>5293</v>
      </c>
      <c r="T1554" s="13" t="s">
        <v>4</v>
      </c>
      <c r="U1554" s="13" t="s">
        <v>43</v>
      </c>
      <c r="V1554" s="13" t="n">
        <f aca="false">IF(COUNTIF($B$2:B1554,B1554)=1,1,0)</f>
        <v>0</v>
      </c>
      <c r="W1554" s="13" t="n">
        <f aca="false">IF(COUNTIFS($B$2:B1554,B1554,$T$2:T1554,T1554)=1,1,0)</f>
        <v>0</v>
      </c>
    </row>
    <row r="1555" customFormat="false" ht="15" hidden="false" customHeight="false" outlineLevel="0" collapsed="false">
      <c r="A1555" s="13" t="s">
        <v>575</v>
      </c>
      <c r="B1555" s="13" t="s">
        <v>329</v>
      </c>
      <c r="C1555" s="13" t="n">
        <v>820</v>
      </c>
      <c r="D1555" s="13" t="n">
        <v>1</v>
      </c>
      <c r="E1555" s="13" t="n">
        <v>815.97</v>
      </c>
      <c r="F1555" s="13" t="s">
        <v>5288</v>
      </c>
      <c r="G1555" s="13" t="s">
        <v>5289</v>
      </c>
      <c r="H1555" s="13" t="s">
        <v>5289</v>
      </c>
      <c r="I1555" s="13" t="s">
        <v>5289</v>
      </c>
      <c r="J1555" s="13" t="s">
        <v>5289</v>
      </c>
      <c r="K1555" s="13" t="s">
        <v>5289</v>
      </c>
      <c r="L1555" s="13" t="s">
        <v>6114</v>
      </c>
      <c r="M1555" s="13"/>
      <c r="N1555" s="13" t="n">
        <v>3137370364191</v>
      </c>
      <c r="O1555" s="13"/>
      <c r="P1555" s="13" t="s">
        <v>5291</v>
      </c>
      <c r="Q1555" s="13" t="s">
        <v>5289</v>
      </c>
      <c r="R1555" s="13" t="s">
        <v>5292</v>
      </c>
      <c r="S1555" s="13" t="s">
        <v>5293</v>
      </c>
      <c r="T1555" s="13" t="s">
        <v>4</v>
      </c>
      <c r="U1555" s="13" t="s">
        <v>43</v>
      </c>
      <c r="V1555" s="13" t="n">
        <f aca="false">IF(COUNTIF($B$2:B1555,B1555)=1,1,0)</f>
        <v>0</v>
      </c>
      <c r="W1555" s="13" t="n">
        <f aca="false">IF(COUNTIFS($B$2:B1555,B1555,$T$2:T1555,T1555)=1,1,0)</f>
        <v>0</v>
      </c>
    </row>
    <row r="1556" customFormat="false" ht="15" hidden="false" customHeight="false" outlineLevel="0" collapsed="false">
      <c r="A1556" s="13" t="s">
        <v>4207</v>
      </c>
      <c r="B1556" s="13" t="s">
        <v>2139</v>
      </c>
      <c r="C1556" s="13" t="n">
        <v>820</v>
      </c>
      <c r="D1556" s="13" t="n">
        <v>5</v>
      </c>
      <c r="E1556" s="13" t="n">
        <v>163.18</v>
      </c>
      <c r="F1556" s="13" t="s">
        <v>5325</v>
      </c>
      <c r="G1556" s="13" t="s">
        <v>5292</v>
      </c>
      <c r="H1556" s="13" t="s">
        <v>5292</v>
      </c>
      <c r="I1556" s="13" t="s">
        <v>5289</v>
      </c>
      <c r="J1556" s="13" t="s">
        <v>5289</v>
      </c>
      <c r="K1556" s="13" t="s">
        <v>5289</v>
      </c>
      <c r="L1556" s="13" t="s">
        <v>6115</v>
      </c>
      <c r="M1556" s="13"/>
      <c r="N1556" s="13" t="n">
        <v>8411061101605</v>
      </c>
      <c r="O1556" s="13"/>
      <c r="P1556" s="13" t="s">
        <v>5291</v>
      </c>
      <c r="Q1556" s="13" t="s">
        <v>5289</v>
      </c>
      <c r="R1556" s="13" t="s">
        <v>5292</v>
      </c>
      <c r="S1556" s="13" t="s">
        <v>5293</v>
      </c>
      <c r="T1556" s="13" t="s">
        <v>4</v>
      </c>
      <c r="U1556" s="13" t="s">
        <v>85</v>
      </c>
      <c r="V1556" s="13" t="n">
        <f aca="false">IF(COUNTIF($B$2:B1556,B1556)=1,1,0)</f>
        <v>0</v>
      </c>
      <c r="W1556" s="13" t="n">
        <f aca="false">IF(COUNTIFS($B$2:B1556,B1556,$T$2:T1556,T1556)=1,1,0)</f>
        <v>0</v>
      </c>
    </row>
    <row r="1557" customFormat="false" ht="15" hidden="false" customHeight="false" outlineLevel="0" collapsed="false">
      <c r="A1557" s="13" t="s">
        <v>543</v>
      </c>
      <c r="B1557" s="13" t="s">
        <v>153</v>
      </c>
      <c r="C1557" s="13" t="n">
        <v>810</v>
      </c>
      <c r="D1557" s="13" t="n">
        <v>1</v>
      </c>
      <c r="E1557" s="13" t="n">
        <v>813.26</v>
      </c>
      <c r="F1557" s="13" t="s">
        <v>5288</v>
      </c>
      <c r="G1557" s="13" t="s">
        <v>5292</v>
      </c>
      <c r="H1557" s="13" t="s">
        <v>5292</v>
      </c>
      <c r="I1557" s="13" t="s">
        <v>5289</v>
      </c>
      <c r="J1557" s="13" t="s">
        <v>5289</v>
      </c>
      <c r="K1557" s="13" t="s">
        <v>5289</v>
      </c>
      <c r="L1557" s="13" t="s">
        <v>5973</v>
      </c>
      <c r="M1557" s="13"/>
      <c r="N1557" s="13" t="n">
        <v>8011003890811</v>
      </c>
      <c r="O1557" s="13"/>
      <c r="P1557" s="13" t="s">
        <v>5291</v>
      </c>
      <c r="Q1557" s="13" t="s">
        <v>5289</v>
      </c>
      <c r="R1557" s="13" t="s">
        <v>5292</v>
      </c>
      <c r="S1557" s="13" t="s">
        <v>5293</v>
      </c>
      <c r="T1557" s="13" t="s">
        <v>4</v>
      </c>
      <c r="U1557" s="13" t="s">
        <v>43</v>
      </c>
      <c r="V1557" s="13" t="n">
        <f aca="false">IF(COUNTIF($B$2:B1557,B1557)=1,1,0)</f>
        <v>0</v>
      </c>
      <c r="W1557" s="13" t="n">
        <f aca="false">IF(COUNTIFS($B$2:B1557,B1557,$T$2:T1557,T1557)=1,1,0)</f>
        <v>0</v>
      </c>
    </row>
    <row r="1558" customFormat="false" ht="15" hidden="false" customHeight="false" outlineLevel="0" collapsed="false">
      <c r="A1558" s="13" t="s">
        <v>190</v>
      </c>
      <c r="B1558" s="13" t="s">
        <v>153</v>
      </c>
      <c r="C1558" s="13" t="n">
        <v>810</v>
      </c>
      <c r="D1558" s="13" t="n">
        <v>1</v>
      </c>
      <c r="E1558" s="13" t="n">
        <v>813.26</v>
      </c>
      <c r="F1558" s="13" t="s">
        <v>5288</v>
      </c>
      <c r="G1558" s="13" t="s">
        <v>5289</v>
      </c>
      <c r="H1558" s="13" t="s">
        <v>5289</v>
      </c>
      <c r="I1558" s="13" t="s">
        <v>5289</v>
      </c>
      <c r="J1558" s="13" t="s">
        <v>5289</v>
      </c>
      <c r="K1558" s="13" t="s">
        <v>5289</v>
      </c>
      <c r="L1558" s="13" t="s">
        <v>6116</v>
      </c>
      <c r="M1558" s="13"/>
      <c r="N1558" s="13" t="n">
        <v>8011003861910</v>
      </c>
      <c r="O1558" s="13"/>
      <c r="P1558" s="13" t="s">
        <v>5291</v>
      </c>
      <c r="Q1558" s="13" t="s">
        <v>5289</v>
      </c>
      <c r="R1558" s="13" t="s">
        <v>5292</v>
      </c>
      <c r="S1558" s="13" t="s">
        <v>5293</v>
      </c>
      <c r="T1558" s="13" t="s">
        <v>4</v>
      </c>
      <c r="U1558" s="13" t="s">
        <v>43</v>
      </c>
      <c r="V1558" s="13" t="n">
        <f aca="false">IF(COUNTIF($B$2:B1558,B1558)=1,1,0)</f>
        <v>0</v>
      </c>
      <c r="W1558" s="13" t="n">
        <f aca="false">IF(COUNTIFS($B$2:B1558,B1558,$T$2:T1558,T1558)=1,1,0)</f>
        <v>0</v>
      </c>
    </row>
    <row r="1559" customFormat="false" ht="15" hidden="false" customHeight="false" outlineLevel="0" collapsed="false">
      <c r="A1559" s="13" t="s">
        <v>1366</v>
      </c>
      <c r="B1559" s="13" t="s">
        <v>153</v>
      </c>
      <c r="C1559" s="13" t="n">
        <v>810</v>
      </c>
      <c r="D1559" s="13" t="n">
        <v>1</v>
      </c>
      <c r="E1559" s="13" t="n">
        <v>813.26</v>
      </c>
      <c r="F1559" s="13" t="s">
        <v>5288</v>
      </c>
      <c r="G1559" s="13" t="s">
        <v>5289</v>
      </c>
      <c r="H1559" s="13" t="s">
        <v>5292</v>
      </c>
      <c r="I1559" s="13" t="s">
        <v>5289</v>
      </c>
      <c r="J1559" s="13" t="s">
        <v>5289</v>
      </c>
      <c r="K1559" s="13" t="s">
        <v>5289</v>
      </c>
      <c r="L1559" s="13" t="s">
        <v>6116</v>
      </c>
      <c r="M1559" s="13"/>
      <c r="N1559" s="13" t="n">
        <v>8011003861910</v>
      </c>
      <c r="O1559" s="13"/>
      <c r="P1559" s="13" t="s">
        <v>5291</v>
      </c>
      <c r="Q1559" s="13" t="s">
        <v>5289</v>
      </c>
      <c r="R1559" s="13" t="s">
        <v>5292</v>
      </c>
      <c r="S1559" s="13" t="s">
        <v>5293</v>
      </c>
      <c r="T1559" s="13" t="s">
        <v>4</v>
      </c>
      <c r="U1559" s="13" t="s">
        <v>43</v>
      </c>
      <c r="V1559" s="13" t="n">
        <f aca="false">IF(COUNTIF($B$2:B1559,B1559)=1,1,0)</f>
        <v>0</v>
      </c>
      <c r="W1559" s="13" t="n">
        <f aca="false">IF(COUNTIFS($B$2:B1559,B1559,$T$2:T1559,T1559)=1,1,0)</f>
        <v>0</v>
      </c>
    </row>
    <row r="1560" customFormat="false" ht="15" hidden="false" customHeight="false" outlineLevel="0" collapsed="false">
      <c r="A1560" s="13" t="s">
        <v>1042</v>
      </c>
      <c r="B1560" s="13" t="s">
        <v>42</v>
      </c>
      <c r="C1560" s="13" t="n">
        <v>810</v>
      </c>
      <c r="D1560" s="13" t="n">
        <v>1</v>
      </c>
      <c r="E1560" s="13" t="n">
        <v>808.23</v>
      </c>
      <c r="F1560" s="13" t="s">
        <v>5325</v>
      </c>
      <c r="G1560" s="13" t="s">
        <v>5292</v>
      </c>
      <c r="H1560" s="13" t="s">
        <v>5289</v>
      </c>
      <c r="I1560" s="13" t="s">
        <v>5289</v>
      </c>
      <c r="J1560" s="13" t="s">
        <v>5289</v>
      </c>
      <c r="K1560" s="13" t="s">
        <v>5289</v>
      </c>
      <c r="L1560" s="13" t="s">
        <v>5996</v>
      </c>
      <c r="M1560" s="13"/>
      <c r="N1560" s="13" t="n">
        <v>8411061113851</v>
      </c>
      <c r="O1560" s="13"/>
      <c r="P1560" s="13" t="s">
        <v>5291</v>
      </c>
      <c r="Q1560" s="13" t="s">
        <v>5289</v>
      </c>
      <c r="R1560" s="13" t="s">
        <v>5292</v>
      </c>
      <c r="S1560" s="13" t="s">
        <v>5293</v>
      </c>
      <c r="T1560" s="13" t="s">
        <v>4</v>
      </c>
      <c r="U1560" s="13" t="s">
        <v>43</v>
      </c>
      <c r="V1560" s="13" t="n">
        <f aca="false">IF(COUNTIF($B$2:B1560,B1560)=1,1,0)</f>
        <v>0</v>
      </c>
      <c r="W1560" s="13" t="n">
        <f aca="false">IF(COUNTIFS($B$2:B1560,B1560,$T$2:T1560,T1560)=1,1,0)</f>
        <v>0</v>
      </c>
    </row>
    <row r="1561" customFormat="false" ht="15" hidden="false" customHeight="false" outlineLevel="0" collapsed="false">
      <c r="A1561" s="13" t="s">
        <v>6117</v>
      </c>
      <c r="B1561" s="13" t="s">
        <v>2198</v>
      </c>
      <c r="C1561" s="13" t="n">
        <v>810</v>
      </c>
      <c r="D1561" s="13" t="n">
        <v>2</v>
      </c>
      <c r="E1561" s="13" t="n">
        <v>404</v>
      </c>
      <c r="F1561" s="13" t="s">
        <v>5325</v>
      </c>
      <c r="G1561" s="13" t="s">
        <v>5292</v>
      </c>
      <c r="H1561" s="13" t="s">
        <v>5292</v>
      </c>
      <c r="I1561" s="13" t="s">
        <v>5289</v>
      </c>
      <c r="J1561" s="13" t="s">
        <v>5289</v>
      </c>
      <c r="K1561" s="13" t="s">
        <v>5289</v>
      </c>
      <c r="L1561" s="13" t="s">
        <v>5909</v>
      </c>
      <c r="M1561" s="13"/>
      <c r="N1561" s="13" t="n">
        <v>3494800300038</v>
      </c>
      <c r="O1561" s="13"/>
      <c r="P1561" s="13" t="s">
        <v>5291</v>
      </c>
      <c r="Q1561" s="13" t="s">
        <v>5289</v>
      </c>
      <c r="R1561" s="13" t="s">
        <v>5292</v>
      </c>
      <c r="S1561" s="13" t="s">
        <v>5293</v>
      </c>
      <c r="T1561" s="13" t="s">
        <v>4</v>
      </c>
      <c r="U1561" s="13" t="s">
        <v>43</v>
      </c>
      <c r="V1561" s="13" t="n">
        <f aca="false">IF(COUNTIF($B$2:B1561,B1561)=1,1,0)</f>
        <v>0</v>
      </c>
      <c r="W1561" s="13" t="n">
        <f aca="false">IF(COUNTIFS($B$2:B1561,B1561,$T$2:T1561,T1561)=1,1,0)</f>
        <v>0</v>
      </c>
    </row>
    <row r="1562" customFormat="false" ht="15" hidden="false" customHeight="false" outlineLevel="0" collapsed="false">
      <c r="A1562" s="13" t="s">
        <v>575</v>
      </c>
      <c r="B1562" s="13" t="s">
        <v>329</v>
      </c>
      <c r="C1562" s="13" t="n">
        <v>810</v>
      </c>
      <c r="D1562" s="13" t="n">
        <v>1</v>
      </c>
      <c r="E1562" s="13" t="n">
        <v>807.49</v>
      </c>
      <c r="F1562" s="13" t="s">
        <v>5325</v>
      </c>
      <c r="G1562" s="13" t="s">
        <v>5289</v>
      </c>
      <c r="H1562" s="13" t="s">
        <v>5289</v>
      </c>
      <c r="I1562" s="13" t="s">
        <v>5289</v>
      </c>
      <c r="J1562" s="13" t="s">
        <v>5289</v>
      </c>
      <c r="K1562" s="13" t="s">
        <v>5289</v>
      </c>
      <c r="L1562" s="13" t="s">
        <v>6118</v>
      </c>
      <c r="M1562" s="13"/>
      <c r="N1562" s="13" t="n">
        <v>3137370360926</v>
      </c>
      <c r="O1562" s="13"/>
      <c r="P1562" s="13" t="s">
        <v>5291</v>
      </c>
      <c r="Q1562" s="13" t="s">
        <v>5289</v>
      </c>
      <c r="R1562" s="13" t="s">
        <v>5292</v>
      </c>
      <c r="S1562" s="13" t="s">
        <v>5293</v>
      </c>
      <c r="T1562" s="13" t="s">
        <v>4</v>
      </c>
      <c r="U1562" s="13" t="s">
        <v>43</v>
      </c>
      <c r="V1562" s="13" t="n">
        <f aca="false">IF(COUNTIF($B$2:B1562,B1562)=1,1,0)</f>
        <v>0</v>
      </c>
      <c r="W1562" s="13" t="n">
        <f aca="false">IF(COUNTIFS($B$2:B1562,B1562,$T$2:T1562,T1562)=1,1,0)</f>
        <v>0</v>
      </c>
    </row>
    <row r="1563" customFormat="false" ht="15" hidden="false" customHeight="false" outlineLevel="0" collapsed="false">
      <c r="A1563" s="13" t="s">
        <v>1367</v>
      </c>
      <c r="B1563" s="13" t="s">
        <v>186</v>
      </c>
      <c r="C1563" s="13" t="n">
        <v>810</v>
      </c>
      <c r="D1563" s="13" t="n">
        <v>1</v>
      </c>
      <c r="E1563" s="13" t="n">
        <v>806.55</v>
      </c>
      <c r="F1563" s="13" t="s">
        <v>5325</v>
      </c>
      <c r="G1563" s="13" t="s">
        <v>5292</v>
      </c>
      <c r="H1563" s="13" t="s">
        <v>5292</v>
      </c>
      <c r="I1563" s="13" t="s">
        <v>5289</v>
      </c>
      <c r="J1563" s="13" t="s">
        <v>5289</v>
      </c>
      <c r="K1563" s="13" t="s">
        <v>5289</v>
      </c>
      <c r="L1563" s="13" t="s">
        <v>5783</v>
      </c>
      <c r="M1563" s="13"/>
      <c r="N1563" s="13" t="n">
        <v>3616305965639</v>
      </c>
      <c r="O1563" s="13"/>
      <c r="P1563" s="13" t="s">
        <v>5291</v>
      </c>
      <c r="Q1563" s="13" t="s">
        <v>5289</v>
      </c>
      <c r="R1563" s="13" t="s">
        <v>5292</v>
      </c>
      <c r="S1563" s="13" t="s">
        <v>5293</v>
      </c>
      <c r="T1563" s="13" t="s">
        <v>4</v>
      </c>
      <c r="U1563" s="13" t="s">
        <v>43</v>
      </c>
      <c r="V1563" s="13" t="n">
        <f aca="false">IF(COUNTIF($B$2:B1563,B1563)=1,1,0)</f>
        <v>0</v>
      </c>
      <c r="W1563" s="13" t="n">
        <f aca="false">IF(COUNTIFS($B$2:B1563,B1563,$T$2:T1563,T1563)=1,1,0)</f>
        <v>0</v>
      </c>
    </row>
    <row r="1564" customFormat="false" ht="15" hidden="false" customHeight="false" outlineLevel="0" collapsed="false">
      <c r="A1564" s="13" t="s">
        <v>4222</v>
      </c>
      <c r="B1564" s="13" t="s">
        <v>2174</v>
      </c>
      <c r="C1564" s="13" t="n">
        <v>800</v>
      </c>
      <c r="D1564" s="13" t="n">
        <v>2</v>
      </c>
      <c r="E1564" s="13" t="n">
        <v>402.3</v>
      </c>
      <c r="F1564" s="13" t="s">
        <v>5288</v>
      </c>
      <c r="G1564" s="13" t="s">
        <v>5289</v>
      </c>
      <c r="H1564" s="13" t="s">
        <v>5292</v>
      </c>
      <c r="I1564" s="13" t="s">
        <v>5289</v>
      </c>
      <c r="J1564" s="13" t="s">
        <v>5289</v>
      </c>
      <c r="K1564" s="13" t="s">
        <v>5289</v>
      </c>
      <c r="L1564" s="13" t="s">
        <v>6119</v>
      </c>
      <c r="M1564" s="13"/>
      <c r="N1564" s="13" t="n">
        <v>3494800042235</v>
      </c>
      <c r="O1564" s="13"/>
      <c r="P1564" s="13" t="s">
        <v>5291</v>
      </c>
      <c r="Q1564" s="13" t="s">
        <v>5289</v>
      </c>
      <c r="R1564" s="13" t="s">
        <v>5292</v>
      </c>
      <c r="S1564" s="13" t="s">
        <v>5293</v>
      </c>
      <c r="T1564" s="13" t="s">
        <v>4</v>
      </c>
      <c r="U1564" s="13" t="s">
        <v>85</v>
      </c>
      <c r="V1564" s="13" t="n">
        <f aca="false">IF(COUNTIF($B$2:B1564,B1564)=1,1,0)</f>
        <v>0</v>
      </c>
      <c r="W1564" s="13" t="n">
        <f aca="false">IF(COUNTIFS($B$2:B1564,B1564,$T$2:T1564,T1564)=1,1,0)</f>
        <v>0</v>
      </c>
    </row>
    <row r="1565" customFormat="false" ht="15" hidden="false" customHeight="false" outlineLevel="0" collapsed="false">
      <c r="A1565" s="13" t="s">
        <v>1377</v>
      </c>
      <c r="B1565" s="13" t="s">
        <v>105</v>
      </c>
      <c r="C1565" s="13" t="n">
        <v>800</v>
      </c>
      <c r="D1565" s="13" t="n">
        <v>1</v>
      </c>
      <c r="E1565" s="13" t="n">
        <v>802.27</v>
      </c>
      <c r="F1565" s="13" t="s">
        <v>5288</v>
      </c>
      <c r="G1565" s="13" t="s">
        <v>5292</v>
      </c>
      <c r="H1565" s="13" t="s">
        <v>5292</v>
      </c>
      <c r="I1565" s="13" t="s">
        <v>5289</v>
      </c>
      <c r="J1565" s="13" t="s">
        <v>5289</v>
      </c>
      <c r="K1565" s="13" t="s">
        <v>5289</v>
      </c>
      <c r="L1565" s="13" t="s">
        <v>6120</v>
      </c>
      <c r="M1565" s="13"/>
      <c r="N1565" s="13" t="n">
        <v>3616303173104</v>
      </c>
      <c r="O1565" s="13"/>
      <c r="P1565" s="13" t="s">
        <v>5291</v>
      </c>
      <c r="Q1565" s="13" t="s">
        <v>5289</v>
      </c>
      <c r="R1565" s="13" t="s">
        <v>5292</v>
      </c>
      <c r="S1565" s="13" t="s">
        <v>5293</v>
      </c>
      <c r="T1565" s="13" t="s">
        <v>4</v>
      </c>
      <c r="U1565" s="13" t="s">
        <v>43</v>
      </c>
      <c r="V1565" s="13" t="n">
        <f aca="false">IF(COUNTIF($B$2:B1565,B1565)=1,1,0)</f>
        <v>0</v>
      </c>
      <c r="W1565" s="13" t="n">
        <f aca="false">IF(COUNTIFS($B$2:B1565,B1565,$T$2:T1565,T1565)=1,1,0)</f>
        <v>0</v>
      </c>
    </row>
    <row r="1566" customFormat="false" ht="15" hidden="false" customHeight="false" outlineLevel="0" collapsed="false">
      <c r="A1566" s="13" t="s">
        <v>1376</v>
      </c>
      <c r="B1566" s="13" t="s">
        <v>50</v>
      </c>
      <c r="C1566" s="13" t="n">
        <v>800</v>
      </c>
      <c r="D1566" s="13" t="n">
        <v>1</v>
      </c>
      <c r="E1566" s="13" t="n">
        <v>802.27</v>
      </c>
      <c r="F1566" s="13" t="s">
        <v>5325</v>
      </c>
      <c r="G1566" s="13" t="s">
        <v>5289</v>
      </c>
      <c r="H1566" s="13" t="s">
        <v>5292</v>
      </c>
      <c r="I1566" s="13" t="s">
        <v>5289</v>
      </c>
      <c r="J1566" s="13" t="s">
        <v>5289</v>
      </c>
      <c r="K1566" s="13" t="s">
        <v>5289</v>
      </c>
      <c r="L1566" s="13" t="s">
        <v>5800</v>
      </c>
      <c r="M1566" s="13"/>
      <c r="N1566" s="13" t="n">
        <v>3349668666850</v>
      </c>
      <c r="O1566" s="13"/>
      <c r="P1566" s="13" t="s">
        <v>5291</v>
      </c>
      <c r="Q1566" s="13" t="s">
        <v>5289</v>
      </c>
      <c r="R1566" s="13" t="s">
        <v>5292</v>
      </c>
      <c r="S1566" s="13" t="s">
        <v>5293</v>
      </c>
      <c r="T1566" s="13" t="s">
        <v>4</v>
      </c>
      <c r="U1566" s="13" t="s">
        <v>43</v>
      </c>
      <c r="V1566" s="13" t="n">
        <f aca="false">IF(COUNTIF($B$2:B1566,B1566)=1,1,0)</f>
        <v>0</v>
      </c>
      <c r="W1566" s="13" t="n">
        <f aca="false">IF(COUNTIFS($B$2:B1566,B1566,$T$2:T1566,T1566)=1,1,0)</f>
        <v>0</v>
      </c>
    </row>
    <row r="1567" customFormat="false" ht="15" hidden="false" customHeight="false" outlineLevel="0" collapsed="false">
      <c r="A1567" s="13" t="s">
        <v>3908</v>
      </c>
      <c r="B1567" s="13" t="s">
        <v>2174</v>
      </c>
      <c r="C1567" s="13" t="n">
        <v>800</v>
      </c>
      <c r="D1567" s="13" t="n">
        <v>2</v>
      </c>
      <c r="E1567" s="13" t="n">
        <v>267.26</v>
      </c>
      <c r="F1567" s="13" t="s">
        <v>5325</v>
      </c>
      <c r="G1567" s="13" t="s">
        <v>5292</v>
      </c>
      <c r="H1567" s="13" t="s">
        <v>5292</v>
      </c>
      <c r="I1567" s="13" t="s">
        <v>5289</v>
      </c>
      <c r="J1567" s="13" t="s">
        <v>5289</v>
      </c>
      <c r="K1567" s="13" t="s">
        <v>5289</v>
      </c>
      <c r="L1567" s="13" t="s">
        <v>6121</v>
      </c>
      <c r="M1567" s="13"/>
      <c r="N1567" s="13" t="n">
        <v>3494800710035</v>
      </c>
      <c r="O1567" s="13"/>
      <c r="P1567" s="13" t="s">
        <v>5291</v>
      </c>
      <c r="Q1567" s="13" t="s">
        <v>5289</v>
      </c>
      <c r="R1567" s="13" t="s">
        <v>5292</v>
      </c>
      <c r="S1567" s="13" t="s">
        <v>5293</v>
      </c>
      <c r="T1567" s="13" t="s">
        <v>4</v>
      </c>
      <c r="U1567" s="13" t="s">
        <v>85</v>
      </c>
      <c r="V1567" s="13" t="n">
        <f aca="false">IF(COUNTIF($B$2:B1567,B1567)=1,1,0)</f>
        <v>0</v>
      </c>
      <c r="W1567" s="13" t="n">
        <f aca="false">IF(COUNTIFS($B$2:B1567,B1567,$T$2:T1567,T1567)=1,1,0)</f>
        <v>0</v>
      </c>
    </row>
    <row r="1568" customFormat="false" ht="15" hidden="false" customHeight="false" outlineLevel="0" collapsed="false">
      <c r="A1568" s="13" t="s">
        <v>1375</v>
      </c>
      <c r="B1568" s="13" t="s">
        <v>50</v>
      </c>
      <c r="C1568" s="13" t="n">
        <v>800</v>
      </c>
      <c r="D1568" s="13" t="n">
        <v>2</v>
      </c>
      <c r="E1568" s="13" t="n">
        <v>400</v>
      </c>
      <c r="F1568" s="13" t="s">
        <v>5288</v>
      </c>
      <c r="G1568" s="13" t="s">
        <v>5289</v>
      </c>
      <c r="H1568" s="13" t="s">
        <v>5289</v>
      </c>
      <c r="I1568" s="13" t="s">
        <v>5289</v>
      </c>
      <c r="J1568" s="13" t="s">
        <v>5289</v>
      </c>
      <c r="K1568" s="13" t="s">
        <v>5289</v>
      </c>
      <c r="L1568" s="13" t="s">
        <v>6122</v>
      </c>
      <c r="M1568" s="13"/>
      <c r="N1568" s="13" t="n">
        <v>3349668627486</v>
      </c>
      <c r="O1568" s="13"/>
      <c r="P1568" s="13" t="s">
        <v>5291</v>
      </c>
      <c r="Q1568" s="13" t="s">
        <v>5289</v>
      </c>
      <c r="R1568" s="13" t="s">
        <v>5292</v>
      </c>
      <c r="S1568" s="13" t="s">
        <v>5293</v>
      </c>
      <c r="T1568" s="13" t="s">
        <v>4</v>
      </c>
      <c r="U1568" s="13" t="s">
        <v>43</v>
      </c>
      <c r="V1568" s="13" t="n">
        <f aca="false">IF(COUNTIF($B$2:B1568,B1568)=1,1,0)</f>
        <v>0</v>
      </c>
      <c r="W1568" s="13" t="n">
        <f aca="false">IF(COUNTIFS($B$2:B1568,B1568,$T$2:T1568,T1568)=1,1,0)</f>
        <v>0</v>
      </c>
    </row>
    <row r="1569" customFormat="false" ht="15" hidden="false" customHeight="false" outlineLevel="0" collapsed="false">
      <c r="A1569" s="13" t="s">
        <v>1374</v>
      </c>
      <c r="B1569" s="13" t="s">
        <v>50</v>
      </c>
      <c r="C1569" s="13" t="n">
        <v>800</v>
      </c>
      <c r="D1569" s="13" t="n">
        <v>1</v>
      </c>
      <c r="E1569" s="13" t="n">
        <v>799.64</v>
      </c>
      <c r="F1569" s="13" t="s">
        <v>5288</v>
      </c>
      <c r="G1569" s="13" t="s">
        <v>5289</v>
      </c>
      <c r="H1569" s="13" t="s">
        <v>5292</v>
      </c>
      <c r="I1569" s="13" t="s">
        <v>5289</v>
      </c>
      <c r="J1569" s="13" t="s">
        <v>5289</v>
      </c>
      <c r="K1569" s="13" t="s">
        <v>5289</v>
      </c>
      <c r="L1569" s="13" t="s">
        <v>5889</v>
      </c>
      <c r="M1569" s="13"/>
      <c r="N1569" s="13" t="n">
        <v>3349668614615</v>
      </c>
      <c r="O1569" s="13"/>
      <c r="P1569" s="13" t="s">
        <v>5291</v>
      </c>
      <c r="Q1569" s="13" t="s">
        <v>5289</v>
      </c>
      <c r="R1569" s="13" t="s">
        <v>5292</v>
      </c>
      <c r="S1569" s="13" t="s">
        <v>5293</v>
      </c>
      <c r="T1569" s="13" t="s">
        <v>4</v>
      </c>
      <c r="U1569" s="13" t="s">
        <v>43</v>
      </c>
      <c r="V1569" s="13" t="n">
        <f aca="false">IF(COUNTIF($B$2:B1569,B1569)=1,1,0)</f>
        <v>0</v>
      </c>
      <c r="W1569" s="13" t="n">
        <f aca="false">IF(COUNTIFS($B$2:B1569,B1569,$T$2:T1569,T1569)=1,1,0)</f>
        <v>0</v>
      </c>
    </row>
    <row r="1570" customFormat="false" ht="15" hidden="false" customHeight="false" outlineLevel="0" collapsed="false">
      <c r="A1570" s="13" t="s">
        <v>1373</v>
      </c>
      <c r="B1570" s="13" t="s">
        <v>50</v>
      </c>
      <c r="C1570" s="13" t="n">
        <v>800</v>
      </c>
      <c r="D1570" s="13" t="n">
        <v>1</v>
      </c>
      <c r="E1570" s="13" t="n">
        <v>799.48</v>
      </c>
      <c r="F1570" s="13" t="s">
        <v>5325</v>
      </c>
      <c r="G1570" s="13" t="s">
        <v>5289</v>
      </c>
      <c r="H1570" s="13" t="s">
        <v>5292</v>
      </c>
      <c r="I1570" s="13" t="s">
        <v>5289</v>
      </c>
      <c r="J1570" s="13" t="s">
        <v>5289</v>
      </c>
      <c r="K1570" s="13" t="s">
        <v>5289</v>
      </c>
      <c r="L1570" s="13" t="s">
        <v>5860</v>
      </c>
      <c r="M1570" s="13"/>
      <c r="N1570" s="13" t="n">
        <v>3349668508587</v>
      </c>
      <c r="O1570" s="13"/>
      <c r="P1570" s="13" t="s">
        <v>5291</v>
      </c>
      <c r="Q1570" s="13" t="s">
        <v>5289</v>
      </c>
      <c r="R1570" s="13" t="s">
        <v>5292</v>
      </c>
      <c r="S1570" s="13" t="s">
        <v>5293</v>
      </c>
      <c r="T1570" s="13" t="s">
        <v>4</v>
      </c>
      <c r="U1570" s="13" t="s">
        <v>43</v>
      </c>
      <c r="V1570" s="13" t="n">
        <f aca="false">IF(COUNTIF($B$2:B1570,B1570)=1,1,0)</f>
        <v>0</v>
      </c>
      <c r="W1570" s="13" t="n">
        <f aca="false">IF(COUNTIFS($B$2:B1570,B1570,$T$2:T1570,T1570)=1,1,0)</f>
        <v>0</v>
      </c>
    </row>
    <row r="1571" customFormat="false" ht="15" hidden="false" customHeight="false" outlineLevel="0" collapsed="false">
      <c r="A1571" s="13" t="s">
        <v>1379</v>
      </c>
      <c r="B1571" s="13" t="s">
        <v>50</v>
      </c>
      <c r="C1571" s="13" t="n">
        <v>800</v>
      </c>
      <c r="D1571" s="13" t="n">
        <v>1</v>
      </c>
      <c r="E1571" s="13" t="n">
        <v>799.48</v>
      </c>
      <c r="F1571" s="13" t="s">
        <v>5325</v>
      </c>
      <c r="G1571" s="13" t="s">
        <v>5289</v>
      </c>
      <c r="H1571" s="13" t="s">
        <v>5292</v>
      </c>
      <c r="I1571" s="13" t="s">
        <v>5289</v>
      </c>
      <c r="J1571" s="13" t="s">
        <v>5289</v>
      </c>
      <c r="K1571" s="13" t="s">
        <v>5289</v>
      </c>
      <c r="L1571" s="13" t="s">
        <v>5898</v>
      </c>
      <c r="M1571" s="13"/>
      <c r="N1571" s="13" t="n">
        <v>3349668645213</v>
      </c>
      <c r="O1571" s="13"/>
      <c r="P1571" s="13" t="s">
        <v>5291</v>
      </c>
      <c r="Q1571" s="13" t="s">
        <v>5289</v>
      </c>
      <c r="R1571" s="13" t="s">
        <v>5292</v>
      </c>
      <c r="S1571" s="13" t="s">
        <v>5293</v>
      </c>
      <c r="T1571" s="13" t="s">
        <v>4</v>
      </c>
      <c r="U1571" s="13" t="s">
        <v>43</v>
      </c>
      <c r="V1571" s="13" t="n">
        <f aca="false">IF(COUNTIF($B$2:B1571,B1571)=1,1,0)</f>
        <v>0</v>
      </c>
      <c r="W1571" s="13" t="n">
        <f aca="false">IF(COUNTIFS($B$2:B1571,B1571,$T$2:T1571,T1571)=1,1,0)</f>
        <v>0</v>
      </c>
    </row>
    <row r="1572" customFormat="false" ht="15" hidden="false" customHeight="false" outlineLevel="0" collapsed="false">
      <c r="A1572" s="13" t="s">
        <v>3286</v>
      </c>
      <c r="B1572" s="13" t="s">
        <v>2110</v>
      </c>
      <c r="C1572" s="13" t="n">
        <v>800</v>
      </c>
      <c r="D1572" s="13" t="n">
        <v>2</v>
      </c>
      <c r="E1572" s="13" t="n">
        <v>399.2</v>
      </c>
      <c r="F1572" s="13" t="s">
        <v>5325</v>
      </c>
      <c r="G1572" s="13" t="s">
        <v>5292</v>
      </c>
      <c r="H1572" s="13" t="s">
        <v>5292</v>
      </c>
      <c r="I1572" s="13" t="s">
        <v>5289</v>
      </c>
      <c r="J1572" s="13" t="s">
        <v>5289</v>
      </c>
      <c r="K1572" s="13" t="s">
        <v>5289</v>
      </c>
      <c r="L1572" s="13" t="s">
        <v>6123</v>
      </c>
      <c r="M1572" s="13"/>
      <c r="N1572" s="13" t="n">
        <v>3386460149297</v>
      </c>
      <c r="O1572" s="13"/>
      <c r="P1572" s="13" t="s">
        <v>5291</v>
      </c>
      <c r="Q1572" s="13" t="s">
        <v>5289</v>
      </c>
      <c r="R1572" s="13" t="s">
        <v>5292</v>
      </c>
      <c r="S1572" s="13" t="s">
        <v>5293</v>
      </c>
      <c r="T1572" s="13" t="s">
        <v>4</v>
      </c>
      <c r="U1572" s="13" t="s">
        <v>43</v>
      </c>
      <c r="V1572" s="13" t="n">
        <f aca="false">IF(COUNTIF($B$2:B1572,B1572)=1,1,0)</f>
        <v>0</v>
      </c>
      <c r="W1572" s="13" t="n">
        <f aca="false">IF(COUNTIFS($B$2:B1572,B1572,$T$2:T1572,T1572)=1,1,0)</f>
        <v>0</v>
      </c>
    </row>
    <row r="1573" customFormat="false" ht="15" hidden="false" customHeight="false" outlineLevel="0" collapsed="false">
      <c r="A1573" s="13" t="s">
        <v>1387</v>
      </c>
      <c r="B1573" s="13" t="s">
        <v>229</v>
      </c>
      <c r="C1573" s="13" t="n">
        <v>790</v>
      </c>
      <c r="D1573" s="13" t="n">
        <v>2</v>
      </c>
      <c r="E1573" s="13" t="n">
        <v>263.83</v>
      </c>
      <c r="F1573" s="13" t="s">
        <v>5325</v>
      </c>
      <c r="G1573" s="13" t="s">
        <v>5289</v>
      </c>
      <c r="H1573" s="13" t="s">
        <v>5292</v>
      </c>
      <c r="I1573" s="13" t="s">
        <v>5289</v>
      </c>
      <c r="J1573" s="13" t="s">
        <v>5289</v>
      </c>
      <c r="K1573" s="13" t="s">
        <v>5289</v>
      </c>
      <c r="L1573" s="13" t="s">
        <v>5742</v>
      </c>
      <c r="M1573" s="13"/>
      <c r="N1573" s="13" t="n">
        <v>3414202000572</v>
      </c>
      <c r="O1573" s="13"/>
      <c r="P1573" s="13" t="s">
        <v>5291</v>
      </c>
      <c r="Q1573" s="13" t="s">
        <v>5289</v>
      </c>
      <c r="R1573" s="13" t="s">
        <v>5292</v>
      </c>
      <c r="S1573" s="13" t="s">
        <v>5293</v>
      </c>
      <c r="T1573" s="13" t="s">
        <v>4</v>
      </c>
      <c r="U1573" s="13" t="s">
        <v>43</v>
      </c>
      <c r="V1573" s="13" t="n">
        <f aca="false">IF(COUNTIF($B$2:B1573,B1573)=1,1,0)</f>
        <v>0</v>
      </c>
      <c r="W1573" s="13" t="n">
        <f aca="false">IF(COUNTIFS($B$2:B1573,B1573,$T$2:T1573,T1573)=1,1,0)</f>
        <v>0</v>
      </c>
    </row>
    <row r="1574" customFormat="false" ht="15" hidden="false" customHeight="false" outlineLevel="0" collapsed="false">
      <c r="A1574" s="13" t="s">
        <v>68</v>
      </c>
      <c r="B1574" s="13" t="s">
        <v>50</v>
      </c>
      <c r="C1574" s="13" t="n">
        <v>790</v>
      </c>
      <c r="D1574" s="13" t="n">
        <v>1</v>
      </c>
      <c r="E1574" s="13" t="n">
        <v>790</v>
      </c>
      <c r="F1574" s="13" t="s">
        <v>5288</v>
      </c>
      <c r="G1574" s="13" t="s">
        <v>5289</v>
      </c>
      <c r="H1574" s="13" t="s">
        <v>5289</v>
      </c>
      <c r="I1574" s="13" t="s">
        <v>5289</v>
      </c>
      <c r="J1574" s="13" t="s">
        <v>5289</v>
      </c>
      <c r="K1574" s="13" t="s">
        <v>5289</v>
      </c>
      <c r="L1574" s="13" t="s">
        <v>6103</v>
      </c>
      <c r="M1574" s="13"/>
      <c r="N1574" s="13" t="n">
        <v>3349668627547</v>
      </c>
      <c r="O1574" s="13"/>
      <c r="P1574" s="13" t="s">
        <v>5291</v>
      </c>
      <c r="Q1574" s="13" t="s">
        <v>5289</v>
      </c>
      <c r="R1574" s="13" t="s">
        <v>5292</v>
      </c>
      <c r="S1574" s="13" t="s">
        <v>5293</v>
      </c>
      <c r="T1574" s="13" t="s">
        <v>4</v>
      </c>
      <c r="U1574" s="13" t="s">
        <v>43</v>
      </c>
      <c r="V1574" s="13" t="n">
        <f aca="false">IF(COUNTIF($B$2:B1574,B1574)=1,1,0)</f>
        <v>0</v>
      </c>
      <c r="W1574" s="13" t="n">
        <f aca="false">IF(COUNTIFS($B$2:B1574,B1574,$T$2:T1574,T1574)=1,1,0)</f>
        <v>0</v>
      </c>
    </row>
    <row r="1575" customFormat="false" ht="15" hidden="false" customHeight="false" outlineLevel="0" collapsed="false">
      <c r="A1575" s="13" t="s">
        <v>4229</v>
      </c>
      <c r="B1575" s="13" t="s">
        <v>2133</v>
      </c>
      <c r="C1575" s="13" t="n">
        <v>790</v>
      </c>
      <c r="D1575" s="13" t="n">
        <v>1</v>
      </c>
      <c r="E1575" s="13" t="n">
        <v>788.19</v>
      </c>
      <c r="F1575" s="13" t="s">
        <v>5325</v>
      </c>
      <c r="G1575" s="13" t="s">
        <v>5292</v>
      </c>
      <c r="H1575" s="13" t="s">
        <v>5292</v>
      </c>
      <c r="I1575" s="13" t="s">
        <v>5289</v>
      </c>
      <c r="J1575" s="13" t="s">
        <v>5289</v>
      </c>
      <c r="K1575" s="13" t="s">
        <v>5289</v>
      </c>
      <c r="L1575" s="13" t="s">
        <v>6124</v>
      </c>
      <c r="M1575" s="13"/>
      <c r="N1575" s="13" t="n">
        <v>783320423796</v>
      </c>
      <c r="O1575" s="13"/>
      <c r="P1575" s="13" t="s">
        <v>5291</v>
      </c>
      <c r="Q1575" s="13" t="s">
        <v>5289</v>
      </c>
      <c r="R1575" s="13" t="s">
        <v>5292</v>
      </c>
      <c r="S1575" s="13" t="s">
        <v>5293</v>
      </c>
      <c r="T1575" s="13" t="s">
        <v>4</v>
      </c>
      <c r="U1575" s="13" t="s">
        <v>43</v>
      </c>
      <c r="V1575" s="13" t="n">
        <f aca="false">IF(COUNTIF($B$2:B1575,B1575)=1,1,0)</f>
        <v>0</v>
      </c>
      <c r="W1575" s="13" t="n">
        <f aca="false">IF(COUNTIFS($B$2:B1575,B1575,$T$2:T1575,T1575)=1,1,0)</f>
        <v>0</v>
      </c>
    </row>
    <row r="1576" customFormat="false" ht="15" hidden="false" customHeight="false" outlineLevel="0" collapsed="false">
      <c r="A1576" s="13" t="s">
        <v>1386</v>
      </c>
      <c r="B1576" s="13" t="s">
        <v>42</v>
      </c>
      <c r="C1576" s="13" t="n">
        <v>790</v>
      </c>
      <c r="D1576" s="13" t="n">
        <v>2</v>
      </c>
      <c r="E1576" s="13" t="n">
        <v>262.26</v>
      </c>
      <c r="F1576" s="13" t="s">
        <v>5325</v>
      </c>
      <c r="G1576" s="13" t="s">
        <v>5292</v>
      </c>
      <c r="H1576" s="13" t="s">
        <v>5292</v>
      </c>
      <c r="I1576" s="13" t="s">
        <v>5289</v>
      </c>
      <c r="J1576" s="13" t="s">
        <v>5289</v>
      </c>
      <c r="K1576" s="13" t="s">
        <v>5289</v>
      </c>
      <c r="L1576" s="13" t="s">
        <v>6000</v>
      </c>
      <c r="M1576" s="13"/>
      <c r="N1576" s="13" t="n">
        <v>8411061023167</v>
      </c>
      <c r="O1576" s="13"/>
      <c r="P1576" s="13" t="s">
        <v>5291</v>
      </c>
      <c r="Q1576" s="13" t="s">
        <v>5289</v>
      </c>
      <c r="R1576" s="13" t="s">
        <v>5292</v>
      </c>
      <c r="S1576" s="13" t="s">
        <v>5293</v>
      </c>
      <c r="T1576" s="13" t="s">
        <v>4</v>
      </c>
      <c r="U1576" s="13" t="s">
        <v>43</v>
      </c>
      <c r="V1576" s="13" t="n">
        <f aca="false">IF(COUNTIF($B$2:B1576,B1576)=1,1,0)</f>
        <v>0</v>
      </c>
      <c r="W1576" s="13" t="n">
        <f aca="false">IF(COUNTIFS($B$2:B1576,B1576,$T$2:T1576,T1576)=1,1,0)</f>
        <v>0</v>
      </c>
    </row>
    <row r="1577" customFormat="false" ht="15" hidden="false" customHeight="false" outlineLevel="0" collapsed="false">
      <c r="A1577" s="13" t="s">
        <v>1385</v>
      </c>
      <c r="B1577" s="13" t="s">
        <v>42</v>
      </c>
      <c r="C1577" s="13" t="n">
        <v>790</v>
      </c>
      <c r="D1577" s="13" t="n">
        <v>1</v>
      </c>
      <c r="E1577" s="13" t="n">
        <v>786.75</v>
      </c>
      <c r="F1577" s="13" t="s">
        <v>5325</v>
      </c>
      <c r="G1577" s="13" t="s">
        <v>5289</v>
      </c>
      <c r="H1577" s="13" t="s">
        <v>5292</v>
      </c>
      <c r="I1577" s="13" t="s">
        <v>5289</v>
      </c>
      <c r="J1577" s="13" t="s">
        <v>5289</v>
      </c>
      <c r="K1577" s="13" t="s">
        <v>5289</v>
      </c>
      <c r="L1577" s="13" t="s">
        <v>5653</v>
      </c>
      <c r="M1577" s="13"/>
      <c r="N1577" s="13" t="n">
        <v>8411061120620</v>
      </c>
      <c r="O1577" s="13"/>
      <c r="P1577" s="13" t="s">
        <v>5291</v>
      </c>
      <c r="Q1577" s="13" t="s">
        <v>5289</v>
      </c>
      <c r="R1577" s="13" t="s">
        <v>5292</v>
      </c>
      <c r="S1577" s="13" t="s">
        <v>5293</v>
      </c>
      <c r="T1577" s="13" t="s">
        <v>4</v>
      </c>
      <c r="U1577" s="13" t="s">
        <v>43</v>
      </c>
      <c r="V1577" s="13" t="n">
        <f aca="false">IF(COUNTIF($B$2:B1577,B1577)=1,1,0)</f>
        <v>0</v>
      </c>
      <c r="W1577" s="13" t="n">
        <f aca="false">IF(COUNTIFS($B$2:B1577,B1577,$T$2:T1577,T1577)=1,1,0)</f>
        <v>0</v>
      </c>
    </row>
    <row r="1578" customFormat="false" ht="15" hidden="false" customHeight="false" outlineLevel="0" collapsed="false">
      <c r="A1578" s="13" t="s">
        <v>1400</v>
      </c>
      <c r="B1578" s="13" t="s">
        <v>50</v>
      </c>
      <c r="C1578" s="13" t="n">
        <v>780</v>
      </c>
      <c r="D1578" s="13" t="n">
        <v>1</v>
      </c>
      <c r="E1578" s="13" t="n">
        <v>782.13</v>
      </c>
      <c r="F1578" s="13" t="s">
        <v>5288</v>
      </c>
      <c r="G1578" s="13" t="s">
        <v>5289</v>
      </c>
      <c r="H1578" s="13" t="s">
        <v>5292</v>
      </c>
      <c r="I1578" s="13" t="s">
        <v>5289</v>
      </c>
      <c r="J1578" s="13" t="s">
        <v>5289</v>
      </c>
      <c r="K1578" s="13" t="s">
        <v>5289</v>
      </c>
      <c r="L1578" s="13" t="s">
        <v>5729</v>
      </c>
      <c r="M1578" s="13"/>
      <c r="N1578" s="13" t="n">
        <v>3349668664733</v>
      </c>
      <c r="O1578" s="13"/>
      <c r="P1578" s="13" t="s">
        <v>5291</v>
      </c>
      <c r="Q1578" s="13" t="s">
        <v>5289</v>
      </c>
      <c r="R1578" s="13" t="s">
        <v>5292</v>
      </c>
      <c r="S1578" s="13" t="s">
        <v>5293</v>
      </c>
      <c r="T1578" s="13" t="s">
        <v>4</v>
      </c>
      <c r="U1578" s="13" t="s">
        <v>43</v>
      </c>
      <c r="V1578" s="13" t="n">
        <f aca="false">IF(COUNTIF($B$2:B1578,B1578)=1,1,0)</f>
        <v>0</v>
      </c>
      <c r="W1578" s="13" t="n">
        <f aca="false">IF(COUNTIFS($B$2:B1578,B1578,$T$2:T1578,T1578)=1,1,0)</f>
        <v>0</v>
      </c>
    </row>
    <row r="1579" customFormat="false" ht="15" hidden="false" customHeight="false" outlineLevel="0" collapsed="false">
      <c r="A1579" s="13" t="s">
        <v>6125</v>
      </c>
      <c r="B1579" s="13" t="s">
        <v>2242</v>
      </c>
      <c r="C1579" s="13" t="n">
        <v>780</v>
      </c>
      <c r="D1579" s="13" t="n">
        <v>2</v>
      </c>
      <c r="E1579" s="13" t="n">
        <v>391.05</v>
      </c>
      <c r="F1579" s="13" t="s">
        <v>5288</v>
      </c>
      <c r="G1579" s="13" t="s">
        <v>5289</v>
      </c>
      <c r="H1579" s="13" t="s">
        <v>5292</v>
      </c>
      <c r="I1579" s="13" t="s">
        <v>5289</v>
      </c>
      <c r="J1579" s="13" t="s">
        <v>5289</v>
      </c>
      <c r="K1579" s="13" t="s">
        <v>5289</v>
      </c>
      <c r="L1579" s="13" t="s">
        <v>6126</v>
      </c>
      <c r="M1579" s="13"/>
      <c r="N1579" s="13" t="n">
        <v>20714156893</v>
      </c>
      <c r="O1579" s="13"/>
      <c r="P1579" s="13" t="s">
        <v>5291</v>
      </c>
      <c r="Q1579" s="13" t="s">
        <v>5289</v>
      </c>
      <c r="R1579" s="13" t="s">
        <v>5292</v>
      </c>
      <c r="S1579" s="13" t="s">
        <v>5293</v>
      </c>
      <c r="T1579" s="13" t="s">
        <v>4</v>
      </c>
      <c r="U1579" s="13" t="s">
        <v>43</v>
      </c>
      <c r="V1579" s="13" t="n">
        <f aca="false">IF(COUNTIF($B$2:B1579,B1579)=1,1,0)</f>
        <v>1</v>
      </c>
      <c r="W1579" s="13" t="n">
        <f aca="false">IF(COUNTIFS($B$2:B1579,B1579,$T$2:T1579,T1579)=1,1,0)</f>
        <v>1</v>
      </c>
    </row>
    <row r="1580" customFormat="false" ht="15" hidden="false" customHeight="false" outlineLevel="0" collapsed="false">
      <c r="A1580" s="13" t="s">
        <v>1390</v>
      </c>
      <c r="B1580" s="13" t="s">
        <v>42</v>
      </c>
      <c r="C1580" s="13" t="n">
        <v>780</v>
      </c>
      <c r="D1580" s="13" t="n">
        <v>1</v>
      </c>
      <c r="E1580" s="13" t="n">
        <v>782.04</v>
      </c>
      <c r="F1580" s="13" t="s">
        <v>5325</v>
      </c>
      <c r="G1580" s="13" t="s">
        <v>5289</v>
      </c>
      <c r="H1580" s="13" t="s">
        <v>5292</v>
      </c>
      <c r="I1580" s="13" t="s">
        <v>5289</v>
      </c>
      <c r="J1580" s="13" t="s">
        <v>5289</v>
      </c>
      <c r="K1580" s="13" t="s">
        <v>5289</v>
      </c>
      <c r="L1580" s="13" t="s">
        <v>5683</v>
      </c>
      <c r="M1580" s="13"/>
      <c r="N1580" s="13" t="n">
        <v>8411061782347</v>
      </c>
      <c r="O1580" s="13"/>
      <c r="P1580" s="13" t="s">
        <v>5291</v>
      </c>
      <c r="Q1580" s="13" t="s">
        <v>5289</v>
      </c>
      <c r="R1580" s="13" t="s">
        <v>5292</v>
      </c>
      <c r="S1580" s="13" t="s">
        <v>5293</v>
      </c>
      <c r="T1580" s="13" t="s">
        <v>4</v>
      </c>
      <c r="U1580" s="13" t="s">
        <v>43</v>
      </c>
      <c r="V1580" s="13" t="n">
        <f aca="false">IF(COUNTIF($B$2:B1580,B1580)=1,1,0)</f>
        <v>0</v>
      </c>
      <c r="W1580" s="13" t="n">
        <f aca="false">IF(COUNTIFS($B$2:B1580,B1580,$T$2:T1580,T1580)=1,1,0)</f>
        <v>0</v>
      </c>
    </row>
    <row r="1581" customFormat="false" ht="15" hidden="false" customHeight="false" outlineLevel="0" collapsed="false">
      <c r="A1581" s="13" t="s">
        <v>1397</v>
      </c>
      <c r="B1581" s="13" t="s">
        <v>42</v>
      </c>
      <c r="C1581" s="13" t="n">
        <v>780</v>
      </c>
      <c r="D1581" s="13" t="n">
        <v>1</v>
      </c>
      <c r="E1581" s="13" t="n">
        <v>782.04</v>
      </c>
      <c r="F1581" s="13" t="s">
        <v>5325</v>
      </c>
      <c r="G1581" s="13" t="s">
        <v>5289</v>
      </c>
      <c r="H1581" s="13" t="s">
        <v>5292</v>
      </c>
      <c r="I1581" s="13" t="s">
        <v>5289</v>
      </c>
      <c r="J1581" s="13" t="s">
        <v>5289</v>
      </c>
      <c r="K1581" s="13" t="s">
        <v>5289</v>
      </c>
      <c r="L1581" s="13" t="s">
        <v>5654</v>
      </c>
      <c r="M1581" s="13"/>
      <c r="N1581" s="13" t="n">
        <v>8411061838778</v>
      </c>
      <c r="O1581" s="13"/>
      <c r="P1581" s="13" t="s">
        <v>5291</v>
      </c>
      <c r="Q1581" s="13" t="s">
        <v>5289</v>
      </c>
      <c r="R1581" s="13" t="s">
        <v>5292</v>
      </c>
      <c r="S1581" s="13" t="s">
        <v>5293</v>
      </c>
      <c r="T1581" s="13" t="s">
        <v>4</v>
      </c>
      <c r="U1581" s="13" t="s">
        <v>43</v>
      </c>
      <c r="V1581" s="13" t="n">
        <f aca="false">IF(COUNTIF($B$2:B1581,B1581)=1,1,0)</f>
        <v>0</v>
      </c>
      <c r="W1581" s="13" t="n">
        <f aca="false">IF(COUNTIFS($B$2:B1581,B1581,$T$2:T1581,T1581)=1,1,0)</f>
        <v>0</v>
      </c>
    </row>
    <row r="1582" customFormat="false" ht="15" hidden="false" customHeight="false" outlineLevel="0" collapsed="false">
      <c r="A1582" s="13" t="s">
        <v>1392</v>
      </c>
      <c r="B1582" s="13" t="s">
        <v>50</v>
      </c>
      <c r="C1582" s="13" t="n">
        <v>780</v>
      </c>
      <c r="D1582" s="13" t="n">
        <v>1</v>
      </c>
      <c r="E1582" s="13" t="n">
        <v>781.39</v>
      </c>
      <c r="F1582" s="13" t="s">
        <v>5288</v>
      </c>
      <c r="G1582" s="13" t="s">
        <v>5289</v>
      </c>
      <c r="H1582" s="13" t="s">
        <v>5292</v>
      </c>
      <c r="I1582" s="13" t="s">
        <v>5289</v>
      </c>
      <c r="J1582" s="13" t="s">
        <v>5289</v>
      </c>
      <c r="K1582" s="13" t="s">
        <v>5289</v>
      </c>
      <c r="L1582" s="13" t="s">
        <v>5904</v>
      </c>
      <c r="M1582" s="13"/>
      <c r="N1582" s="13" t="n">
        <v>3349668599417</v>
      </c>
      <c r="O1582" s="13"/>
      <c r="P1582" s="13" t="s">
        <v>5291</v>
      </c>
      <c r="Q1582" s="13" t="s">
        <v>5289</v>
      </c>
      <c r="R1582" s="13" t="s">
        <v>5292</v>
      </c>
      <c r="S1582" s="13" t="s">
        <v>5293</v>
      </c>
      <c r="T1582" s="13" t="s">
        <v>4</v>
      </c>
      <c r="U1582" s="13" t="s">
        <v>43</v>
      </c>
      <c r="V1582" s="13" t="n">
        <f aca="false">IF(COUNTIF($B$2:B1582,B1582)=1,1,0)</f>
        <v>0</v>
      </c>
      <c r="W1582" s="13" t="n">
        <f aca="false">IF(COUNTIFS($B$2:B1582,B1582,$T$2:T1582,T1582)=1,1,0)</f>
        <v>0</v>
      </c>
    </row>
    <row r="1583" customFormat="false" ht="15" hidden="false" customHeight="false" outlineLevel="0" collapsed="false">
      <c r="A1583" s="13" t="s">
        <v>1395</v>
      </c>
      <c r="B1583" s="13" t="s">
        <v>42</v>
      </c>
      <c r="C1583" s="13" t="n">
        <v>780</v>
      </c>
      <c r="D1583" s="13" t="n">
        <v>1</v>
      </c>
      <c r="E1583" s="13" t="n">
        <v>781.08</v>
      </c>
      <c r="F1583" s="13" t="s">
        <v>5325</v>
      </c>
      <c r="G1583" s="13" t="s">
        <v>5292</v>
      </c>
      <c r="H1583" s="13" t="s">
        <v>5292</v>
      </c>
      <c r="I1583" s="13" t="s">
        <v>5289</v>
      </c>
      <c r="J1583" s="13" t="s">
        <v>5289</v>
      </c>
      <c r="K1583" s="13" t="s">
        <v>5289</v>
      </c>
      <c r="L1583" s="13" t="s">
        <v>5997</v>
      </c>
      <c r="M1583" s="13"/>
      <c r="N1583" s="13" t="n">
        <v>8411061099780</v>
      </c>
      <c r="O1583" s="13"/>
      <c r="P1583" s="13" t="s">
        <v>5291</v>
      </c>
      <c r="Q1583" s="13" t="s">
        <v>5289</v>
      </c>
      <c r="R1583" s="13" t="s">
        <v>5292</v>
      </c>
      <c r="S1583" s="13" t="s">
        <v>5293</v>
      </c>
      <c r="T1583" s="13" t="s">
        <v>4</v>
      </c>
      <c r="U1583" s="13" t="s">
        <v>43</v>
      </c>
      <c r="V1583" s="13" t="n">
        <f aca="false">IF(COUNTIF($B$2:B1583,B1583)=1,1,0)</f>
        <v>0</v>
      </c>
      <c r="W1583" s="13" t="n">
        <f aca="false">IF(COUNTIFS($B$2:B1583,B1583,$T$2:T1583,T1583)=1,1,0)</f>
        <v>0</v>
      </c>
    </row>
    <row r="1584" customFormat="false" ht="15" hidden="false" customHeight="false" outlineLevel="0" collapsed="false">
      <c r="A1584" s="13" t="s">
        <v>1396</v>
      </c>
      <c r="B1584" s="13" t="s">
        <v>69</v>
      </c>
      <c r="C1584" s="13" t="n">
        <v>780</v>
      </c>
      <c r="D1584" s="13" t="n">
        <v>1</v>
      </c>
      <c r="E1584" s="13" t="n">
        <v>780.17</v>
      </c>
      <c r="F1584" s="13" t="s">
        <v>5288</v>
      </c>
      <c r="G1584" s="13" t="s">
        <v>5292</v>
      </c>
      <c r="H1584" s="13" t="s">
        <v>5292</v>
      </c>
      <c r="I1584" s="13" t="s">
        <v>5289</v>
      </c>
      <c r="J1584" s="13" t="s">
        <v>5289</v>
      </c>
      <c r="K1584" s="13" t="s">
        <v>5289</v>
      </c>
      <c r="L1584" s="13" t="s">
        <v>6111</v>
      </c>
      <c r="M1584" s="13"/>
      <c r="N1584" s="13" t="n">
        <v>3614273776110</v>
      </c>
      <c r="O1584" s="13"/>
      <c r="P1584" s="13" t="s">
        <v>5291</v>
      </c>
      <c r="Q1584" s="13" t="s">
        <v>5289</v>
      </c>
      <c r="R1584" s="13" t="s">
        <v>5292</v>
      </c>
      <c r="S1584" s="13" t="s">
        <v>5293</v>
      </c>
      <c r="T1584" s="13" t="s">
        <v>4</v>
      </c>
      <c r="U1584" s="13" t="s">
        <v>43</v>
      </c>
      <c r="V1584" s="13" t="n">
        <f aca="false">IF(COUNTIF($B$2:B1584,B1584)=1,1,0)</f>
        <v>0</v>
      </c>
      <c r="W1584" s="13" t="n">
        <f aca="false">IF(COUNTIFS($B$2:B1584,B1584,$T$2:T1584,T1584)=1,1,0)</f>
        <v>0</v>
      </c>
    </row>
    <row r="1585" customFormat="false" ht="15" hidden="false" customHeight="false" outlineLevel="0" collapsed="false">
      <c r="A1585" s="13" t="s">
        <v>4243</v>
      </c>
      <c r="B1585" s="13" t="s">
        <v>2220</v>
      </c>
      <c r="C1585" s="13" t="n">
        <v>780</v>
      </c>
      <c r="D1585" s="13" t="n">
        <v>1</v>
      </c>
      <c r="E1585" s="13" t="n">
        <v>779</v>
      </c>
      <c r="F1585" s="13" t="s">
        <v>5325</v>
      </c>
      <c r="G1585" s="13" t="s">
        <v>5292</v>
      </c>
      <c r="H1585" s="13" t="s">
        <v>5292</v>
      </c>
      <c r="I1585" s="13" t="s">
        <v>5289</v>
      </c>
      <c r="J1585" s="13" t="s">
        <v>5289</v>
      </c>
      <c r="K1585" s="13" t="s">
        <v>5289</v>
      </c>
      <c r="L1585" s="13" t="s">
        <v>6127</v>
      </c>
      <c r="M1585" s="13"/>
      <c r="N1585" s="13" t="n">
        <v>7908787700461</v>
      </c>
      <c r="O1585" s="13"/>
      <c r="P1585" s="13" t="s">
        <v>5291</v>
      </c>
      <c r="Q1585" s="13" t="s">
        <v>5289</v>
      </c>
      <c r="R1585" s="13" t="s">
        <v>5292</v>
      </c>
      <c r="S1585" s="13" t="s">
        <v>5293</v>
      </c>
      <c r="T1585" s="13" t="s">
        <v>4</v>
      </c>
      <c r="U1585" s="13" t="s">
        <v>85</v>
      </c>
      <c r="V1585" s="13" t="n">
        <f aca="false">IF(COUNTIF($B$2:B1585,B1585)=1,1,0)</f>
        <v>1</v>
      </c>
      <c r="W1585" s="13" t="n">
        <f aca="false">IF(COUNTIFS($B$2:B1585,B1585,$T$2:T1585,T1585)=1,1,0)</f>
        <v>1</v>
      </c>
    </row>
    <row r="1586" customFormat="false" ht="15" hidden="false" customHeight="false" outlineLevel="0" collapsed="false">
      <c r="A1586" s="13" t="s">
        <v>1394</v>
      </c>
      <c r="B1586" s="13" t="s">
        <v>286</v>
      </c>
      <c r="C1586" s="13" t="n">
        <v>780</v>
      </c>
      <c r="D1586" s="13" t="n">
        <v>2</v>
      </c>
      <c r="E1586" s="13" t="n">
        <v>389.48</v>
      </c>
      <c r="F1586" s="13" t="s">
        <v>5288</v>
      </c>
      <c r="G1586" s="13" t="s">
        <v>5289</v>
      </c>
      <c r="H1586" s="13" t="s">
        <v>5292</v>
      </c>
      <c r="I1586" s="13" t="s">
        <v>5289</v>
      </c>
      <c r="J1586" s="13" t="s">
        <v>5289</v>
      </c>
      <c r="K1586" s="13" t="s">
        <v>5289</v>
      </c>
      <c r="L1586" s="13" t="s">
        <v>6128</v>
      </c>
      <c r="M1586" s="13"/>
      <c r="N1586" s="13" t="n">
        <v>6294015163513</v>
      </c>
      <c r="O1586" s="13"/>
      <c r="P1586" s="13" t="s">
        <v>5291</v>
      </c>
      <c r="Q1586" s="13" t="s">
        <v>5289</v>
      </c>
      <c r="R1586" s="13" t="s">
        <v>5292</v>
      </c>
      <c r="S1586" s="13" t="s">
        <v>5293</v>
      </c>
      <c r="T1586" s="13" t="s">
        <v>4</v>
      </c>
      <c r="U1586" s="13" t="s">
        <v>43</v>
      </c>
      <c r="V1586" s="13" t="n">
        <f aca="false">IF(COUNTIF($B$2:B1586,B1586)=1,1,0)</f>
        <v>0</v>
      </c>
      <c r="W1586" s="13" t="n">
        <f aca="false">IF(COUNTIFS($B$2:B1586,B1586,$T$2:T1586,T1586)=1,1,0)</f>
        <v>0</v>
      </c>
    </row>
    <row r="1587" customFormat="false" ht="15" hidden="false" customHeight="false" outlineLevel="0" collapsed="false">
      <c r="A1587" s="13" t="s">
        <v>6129</v>
      </c>
      <c r="B1587" s="13" t="s">
        <v>2134</v>
      </c>
      <c r="C1587" s="13" t="n">
        <v>780</v>
      </c>
      <c r="D1587" s="13" t="n">
        <v>2</v>
      </c>
      <c r="E1587" s="13" t="n">
        <v>389.32</v>
      </c>
      <c r="F1587" s="13" t="s">
        <v>5288</v>
      </c>
      <c r="G1587" s="13" t="s">
        <v>5292</v>
      </c>
      <c r="H1587" s="13" t="s">
        <v>5292</v>
      </c>
      <c r="I1587" s="13" t="s">
        <v>5289</v>
      </c>
      <c r="J1587" s="13" t="s">
        <v>5289</v>
      </c>
      <c r="K1587" s="13" t="s">
        <v>5289</v>
      </c>
      <c r="L1587" s="13" t="s">
        <v>6093</v>
      </c>
      <c r="M1587" s="13"/>
      <c r="N1587" s="13" t="n">
        <v>3386460151979</v>
      </c>
      <c r="O1587" s="13"/>
      <c r="P1587" s="13" t="s">
        <v>5291</v>
      </c>
      <c r="Q1587" s="13" t="s">
        <v>5289</v>
      </c>
      <c r="R1587" s="13" t="s">
        <v>5292</v>
      </c>
      <c r="S1587" s="13" t="s">
        <v>5293</v>
      </c>
      <c r="T1587" s="13" t="s">
        <v>4</v>
      </c>
      <c r="U1587" s="13" t="s">
        <v>43</v>
      </c>
      <c r="V1587" s="13" t="n">
        <f aca="false">IF(COUNTIF($B$2:B1587,B1587)=1,1,0)</f>
        <v>0</v>
      </c>
      <c r="W1587" s="13" t="n">
        <f aca="false">IF(COUNTIFS($B$2:B1587,B1587,$T$2:T1587,T1587)=1,1,0)</f>
        <v>0</v>
      </c>
    </row>
    <row r="1588" customFormat="false" ht="15" hidden="false" customHeight="false" outlineLevel="0" collapsed="false">
      <c r="A1588" s="13" t="s">
        <v>1391</v>
      </c>
      <c r="B1588" s="13" t="s">
        <v>177</v>
      </c>
      <c r="C1588" s="13" t="n">
        <v>780</v>
      </c>
      <c r="D1588" s="13" t="n">
        <v>1</v>
      </c>
      <c r="E1588" s="13" t="n">
        <v>778.2</v>
      </c>
      <c r="F1588" s="13" t="s">
        <v>5288</v>
      </c>
      <c r="G1588" s="13" t="s">
        <v>5289</v>
      </c>
      <c r="H1588" s="13" t="s">
        <v>5292</v>
      </c>
      <c r="I1588" s="13" t="s">
        <v>5289</v>
      </c>
      <c r="J1588" s="13" t="s">
        <v>5289</v>
      </c>
      <c r="K1588" s="13" t="s">
        <v>5289</v>
      </c>
      <c r="L1588" s="13" t="s">
        <v>5885</v>
      </c>
      <c r="M1588" s="13"/>
      <c r="N1588" s="13" t="n">
        <v>3616304175916</v>
      </c>
      <c r="O1588" s="13"/>
      <c r="P1588" s="13" t="s">
        <v>5291</v>
      </c>
      <c r="Q1588" s="13" t="s">
        <v>5289</v>
      </c>
      <c r="R1588" s="13" t="s">
        <v>5292</v>
      </c>
      <c r="S1588" s="13" t="s">
        <v>5293</v>
      </c>
      <c r="T1588" s="13" t="s">
        <v>4</v>
      </c>
      <c r="U1588" s="13" t="s">
        <v>43</v>
      </c>
      <c r="V1588" s="13" t="n">
        <f aca="false">IF(COUNTIF($B$2:B1588,B1588)=1,1,0)</f>
        <v>0</v>
      </c>
      <c r="W1588" s="13" t="n">
        <f aca="false">IF(COUNTIFS($B$2:B1588,B1588,$T$2:T1588,T1588)=1,1,0)</f>
        <v>0</v>
      </c>
    </row>
    <row r="1589" customFormat="false" ht="15" hidden="false" customHeight="false" outlineLevel="0" collapsed="false">
      <c r="A1589" s="13" t="s">
        <v>1389</v>
      </c>
      <c r="B1589" s="13" t="s">
        <v>153</v>
      </c>
      <c r="C1589" s="13" t="n">
        <v>780</v>
      </c>
      <c r="D1589" s="13" t="n">
        <v>1</v>
      </c>
      <c r="E1589" s="13" t="n">
        <v>775.2</v>
      </c>
      <c r="F1589" s="13" t="s">
        <v>5325</v>
      </c>
      <c r="G1589" s="13" t="s">
        <v>5289</v>
      </c>
      <c r="H1589" s="13" t="s">
        <v>5292</v>
      </c>
      <c r="I1589" s="13" t="s">
        <v>5289</v>
      </c>
      <c r="J1589" s="13" t="s">
        <v>5289</v>
      </c>
      <c r="K1589" s="13" t="s">
        <v>5289</v>
      </c>
      <c r="L1589" s="13" t="s">
        <v>5855</v>
      </c>
      <c r="M1589" s="13"/>
      <c r="N1589" s="13" t="n">
        <v>8011003801619</v>
      </c>
      <c r="O1589" s="13"/>
      <c r="P1589" s="13" t="s">
        <v>5291</v>
      </c>
      <c r="Q1589" s="13" t="s">
        <v>5289</v>
      </c>
      <c r="R1589" s="13" t="s">
        <v>5292</v>
      </c>
      <c r="S1589" s="13" t="s">
        <v>5293</v>
      </c>
      <c r="T1589" s="13" t="s">
        <v>4</v>
      </c>
      <c r="U1589" s="13" t="s">
        <v>43</v>
      </c>
      <c r="V1589" s="13" t="n">
        <f aca="false">IF(COUNTIF($B$2:B1589,B1589)=1,1,0)</f>
        <v>0</v>
      </c>
      <c r="W1589" s="13" t="n">
        <f aca="false">IF(COUNTIFS($B$2:B1589,B1589,$T$2:T1589,T1589)=1,1,0)</f>
        <v>0</v>
      </c>
    </row>
    <row r="1590" customFormat="false" ht="15" hidden="false" customHeight="false" outlineLevel="0" collapsed="false">
      <c r="A1590" s="13" t="s">
        <v>1405</v>
      </c>
      <c r="B1590" s="13" t="s">
        <v>286</v>
      </c>
      <c r="C1590" s="13" t="n">
        <v>770</v>
      </c>
      <c r="D1590" s="13" t="n">
        <v>2</v>
      </c>
      <c r="E1590" s="13" t="n">
        <v>386.48</v>
      </c>
      <c r="F1590" s="13" t="s">
        <v>5288</v>
      </c>
      <c r="G1590" s="13" t="s">
        <v>5289</v>
      </c>
      <c r="H1590" s="13" t="s">
        <v>5292</v>
      </c>
      <c r="I1590" s="13" t="s">
        <v>5289</v>
      </c>
      <c r="J1590" s="13" t="s">
        <v>5289</v>
      </c>
      <c r="K1590" s="13" t="s">
        <v>5289</v>
      </c>
      <c r="L1590" s="13" t="s">
        <v>6130</v>
      </c>
      <c r="M1590" s="13"/>
      <c r="N1590" s="13" t="n">
        <v>6295199815496</v>
      </c>
      <c r="O1590" s="13"/>
      <c r="P1590" s="13" t="s">
        <v>5291</v>
      </c>
      <c r="Q1590" s="13" t="s">
        <v>5289</v>
      </c>
      <c r="R1590" s="13" t="s">
        <v>5292</v>
      </c>
      <c r="S1590" s="13" t="s">
        <v>5293</v>
      </c>
      <c r="T1590" s="13" t="s">
        <v>4</v>
      </c>
      <c r="U1590" s="13" t="s">
        <v>43</v>
      </c>
      <c r="V1590" s="13" t="n">
        <f aca="false">IF(COUNTIF($B$2:B1590,B1590)=1,1,0)</f>
        <v>0</v>
      </c>
      <c r="W1590" s="13" t="n">
        <f aca="false">IF(COUNTIFS($B$2:B1590,B1590,$T$2:T1590,T1590)=1,1,0)</f>
        <v>0</v>
      </c>
    </row>
    <row r="1591" customFormat="false" ht="15" hidden="false" customHeight="false" outlineLevel="0" collapsed="false">
      <c r="A1591" s="13" t="s">
        <v>49</v>
      </c>
      <c r="B1591" s="13" t="s">
        <v>45</v>
      </c>
      <c r="C1591" s="13" t="n">
        <v>770</v>
      </c>
      <c r="D1591" s="13" t="n">
        <v>1</v>
      </c>
      <c r="E1591" s="13" t="n">
        <v>771.88</v>
      </c>
      <c r="F1591" s="13" t="s">
        <v>5325</v>
      </c>
      <c r="G1591" s="13" t="s">
        <v>5289</v>
      </c>
      <c r="H1591" s="13" t="s">
        <v>5289</v>
      </c>
      <c r="I1591" s="13" t="s">
        <v>5289</v>
      </c>
      <c r="J1591" s="13" t="s">
        <v>5289</v>
      </c>
      <c r="K1591" s="13" t="s">
        <v>5289</v>
      </c>
      <c r="L1591" s="13" t="s">
        <v>5689</v>
      </c>
      <c r="M1591" s="13"/>
      <c r="N1591" s="13" t="n">
        <v>8435415032315</v>
      </c>
      <c r="O1591" s="13"/>
      <c r="P1591" s="13" t="s">
        <v>5291</v>
      </c>
      <c r="Q1591" s="13" t="s">
        <v>5289</v>
      </c>
      <c r="R1591" s="13" t="s">
        <v>5292</v>
      </c>
      <c r="S1591" s="13" t="s">
        <v>5293</v>
      </c>
      <c r="T1591" s="13" t="s">
        <v>4</v>
      </c>
      <c r="U1591" s="13" t="s">
        <v>43</v>
      </c>
      <c r="V1591" s="13" t="n">
        <f aca="false">IF(COUNTIF($B$2:B1591,B1591)=1,1,0)</f>
        <v>0</v>
      </c>
      <c r="W1591" s="13" t="n">
        <f aca="false">IF(COUNTIFS($B$2:B1591,B1591,$T$2:T1591,T1591)=1,1,0)</f>
        <v>0</v>
      </c>
    </row>
    <row r="1592" customFormat="false" ht="15" hidden="false" customHeight="false" outlineLevel="0" collapsed="false">
      <c r="A1592" s="13" t="s">
        <v>508</v>
      </c>
      <c r="B1592" s="13" t="s">
        <v>45</v>
      </c>
      <c r="C1592" s="13" t="n">
        <v>770</v>
      </c>
      <c r="D1592" s="13" t="n">
        <v>1</v>
      </c>
      <c r="E1592" s="13" t="n">
        <v>771.88</v>
      </c>
      <c r="F1592" s="13" t="s">
        <v>5325</v>
      </c>
      <c r="G1592" s="13" t="s">
        <v>5289</v>
      </c>
      <c r="H1592" s="13" t="s">
        <v>5289</v>
      </c>
      <c r="I1592" s="13" t="s">
        <v>5289</v>
      </c>
      <c r="J1592" s="13" t="s">
        <v>5289</v>
      </c>
      <c r="K1592" s="13" t="s">
        <v>5289</v>
      </c>
      <c r="L1592" s="13" t="s">
        <v>5760</v>
      </c>
      <c r="M1592" s="13"/>
      <c r="N1592" s="13" t="n">
        <v>8435415114363</v>
      </c>
      <c r="O1592" s="13"/>
      <c r="P1592" s="13" t="s">
        <v>5291</v>
      </c>
      <c r="Q1592" s="13" t="s">
        <v>5289</v>
      </c>
      <c r="R1592" s="13" t="s">
        <v>5292</v>
      </c>
      <c r="S1592" s="13" t="s">
        <v>5293</v>
      </c>
      <c r="T1592" s="13" t="s">
        <v>4</v>
      </c>
      <c r="U1592" s="13" t="s">
        <v>43</v>
      </c>
      <c r="V1592" s="13" t="n">
        <f aca="false">IF(COUNTIF($B$2:B1592,B1592)=1,1,0)</f>
        <v>0</v>
      </c>
      <c r="W1592" s="13" t="n">
        <f aca="false">IF(COUNTIFS($B$2:B1592,B1592,$T$2:T1592,T1592)=1,1,0)</f>
        <v>0</v>
      </c>
    </row>
    <row r="1593" customFormat="false" ht="15" hidden="false" customHeight="false" outlineLevel="0" collapsed="false">
      <c r="A1593" s="13" t="s">
        <v>1406</v>
      </c>
      <c r="B1593" s="13" t="s">
        <v>79</v>
      </c>
      <c r="C1593" s="13" t="n">
        <v>770</v>
      </c>
      <c r="D1593" s="13" t="n">
        <v>1</v>
      </c>
      <c r="E1593" s="13" t="n">
        <v>770.79</v>
      </c>
      <c r="F1593" s="13" t="s">
        <v>5288</v>
      </c>
      <c r="G1593" s="13" t="s">
        <v>5289</v>
      </c>
      <c r="H1593" s="13" t="s">
        <v>5292</v>
      </c>
      <c r="I1593" s="13" t="s">
        <v>5289</v>
      </c>
      <c r="J1593" s="13" t="s">
        <v>5289</v>
      </c>
      <c r="K1593" s="13" t="s">
        <v>5289</v>
      </c>
      <c r="L1593" s="13" t="s">
        <v>6131</v>
      </c>
      <c r="M1593" s="13"/>
      <c r="N1593" s="13" t="n">
        <v>8057971180493</v>
      </c>
      <c r="O1593" s="13"/>
      <c r="P1593" s="13" t="s">
        <v>5291</v>
      </c>
      <c r="Q1593" s="13" t="s">
        <v>5289</v>
      </c>
      <c r="R1593" s="13" t="s">
        <v>5292</v>
      </c>
      <c r="S1593" s="13" t="s">
        <v>5293</v>
      </c>
      <c r="T1593" s="13" t="s">
        <v>4</v>
      </c>
      <c r="U1593" s="13" t="s">
        <v>43</v>
      </c>
      <c r="V1593" s="13" t="n">
        <f aca="false">IF(COUNTIF($B$2:B1593,B1593)=1,1,0)</f>
        <v>0</v>
      </c>
      <c r="W1593" s="13" t="n">
        <f aca="false">IF(COUNTIFS($B$2:B1593,B1593,$T$2:T1593,T1593)=1,1,0)</f>
        <v>0</v>
      </c>
    </row>
    <row r="1594" customFormat="false" ht="15" hidden="false" customHeight="false" outlineLevel="0" collapsed="false">
      <c r="A1594" s="13" t="s">
        <v>1404</v>
      </c>
      <c r="B1594" s="13" t="s">
        <v>79</v>
      </c>
      <c r="C1594" s="13" t="n">
        <v>770</v>
      </c>
      <c r="D1594" s="13" t="n">
        <v>1</v>
      </c>
      <c r="E1594" s="13" t="n">
        <v>768.95</v>
      </c>
      <c r="F1594" s="13" t="s">
        <v>5325</v>
      </c>
      <c r="G1594" s="13" t="s">
        <v>5292</v>
      </c>
      <c r="H1594" s="13" t="s">
        <v>5292</v>
      </c>
      <c r="I1594" s="13" t="s">
        <v>5289</v>
      </c>
      <c r="J1594" s="13" t="s">
        <v>5289</v>
      </c>
      <c r="K1594" s="13" t="s">
        <v>5289</v>
      </c>
      <c r="L1594" s="13" t="s">
        <v>6132</v>
      </c>
      <c r="M1594" s="13"/>
      <c r="N1594" s="13" t="n">
        <v>8057971183029</v>
      </c>
      <c r="O1594" s="13"/>
      <c r="P1594" s="13" t="s">
        <v>5297</v>
      </c>
      <c r="Q1594" s="13" t="s">
        <v>5289</v>
      </c>
      <c r="R1594" s="13" t="s">
        <v>5292</v>
      </c>
      <c r="S1594" s="13" t="s">
        <v>5293</v>
      </c>
      <c r="T1594" s="13" t="s">
        <v>4</v>
      </c>
      <c r="U1594" s="13" t="s">
        <v>43</v>
      </c>
      <c r="V1594" s="13" t="n">
        <f aca="false">IF(COUNTIF($B$2:B1594,B1594)=1,1,0)</f>
        <v>0</v>
      </c>
      <c r="W1594" s="13" t="n">
        <f aca="false">IF(COUNTIFS($B$2:B1594,B1594,$T$2:T1594,T1594)=1,1,0)</f>
        <v>0</v>
      </c>
    </row>
    <row r="1595" customFormat="false" ht="15" hidden="false" customHeight="false" outlineLevel="0" collapsed="false">
      <c r="A1595" s="13" t="s">
        <v>218</v>
      </c>
      <c r="B1595" s="13" t="s">
        <v>45</v>
      </c>
      <c r="C1595" s="13" t="n">
        <v>770</v>
      </c>
      <c r="D1595" s="13" t="n">
        <v>1</v>
      </c>
      <c r="E1595" s="13" t="n">
        <v>765.96</v>
      </c>
      <c r="F1595" s="13" t="s">
        <v>5288</v>
      </c>
      <c r="G1595" s="13" t="s">
        <v>5289</v>
      </c>
      <c r="H1595" s="13" t="s">
        <v>5289</v>
      </c>
      <c r="I1595" s="13" t="s">
        <v>5289</v>
      </c>
      <c r="J1595" s="13" t="s">
        <v>5289</v>
      </c>
      <c r="K1595" s="13" t="s">
        <v>5289</v>
      </c>
      <c r="L1595" s="13" t="s">
        <v>5994</v>
      </c>
      <c r="M1595" s="13"/>
      <c r="N1595" s="13" t="n">
        <v>8435415062190</v>
      </c>
      <c r="O1595" s="13"/>
      <c r="P1595" s="13" t="s">
        <v>5291</v>
      </c>
      <c r="Q1595" s="13" t="s">
        <v>5289</v>
      </c>
      <c r="R1595" s="13" t="s">
        <v>5292</v>
      </c>
      <c r="S1595" s="13" t="s">
        <v>5293</v>
      </c>
      <c r="T1595" s="13" t="s">
        <v>4</v>
      </c>
      <c r="U1595" s="13" t="s">
        <v>43</v>
      </c>
      <c r="V1595" s="13" t="n">
        <f aca="false">IF(COUNTIF($B$2:B1595,B1595)=1,1,0)</f>
        <v>0</v>
      </c>
      <c r="W1595" s="13" t="n">
        <f aca="false">IF(COUNTIFS($B$2:B1595,B1595,$T$2:T1595,T1595)=1,1,0)</f>
        <v>0</v>
      </c>
    </row>
    <row r="1596" customFormat="false" ht="15" hidden="false" customHeight="false" outlineLevel="0" collapsed="false">
      <c r="A1596" s="13" t="s">
        <v>1006</v>
      </c>
      <c r="B1596" s="13" t="s">
        <v>50</v>
      </c>
      <c r="C1596" s="13" t="n">
        <v>760</v>
      </c>
      <c r="D1596" s="13" t="n">
        <v>1</v>
      </c>
      <c r="E1596" s="13" t="n">
        <v>764.15</v>
      </c>
      <c r="F1596" s="13" t="s">
        <v>5288</v>
      </c>
      <c r="G1596" s="13" t="s">
        <v>5289</v>
      </c>
      <c r="H1596" s="13" t="s">
        <v>5289</v>
      </c>
      <c r="I1596" s="13" t="s">
        <v>5289</v>
      </c>
      <c r="J1596" s="13" t="s">
        <v>5289</v>
      </c>
      <c r="K1596" s="13" t="s">
        <v>5289</v>
      </c>
      <c r="L1596" s="13" t="s">
        <v>6133</v>
      </c>
      <c r="M1596" s="13"/>
      <c r="N1596" s="13" t="n">
        <v>3349668614523</v>
      </c>
      <c r="O1596" s="13"/>
      <c r="P1596" s="13" t="s">
        <v>5291</v>
      </c>
      <c r="Q1596" s="13" t="s">
        <v>5289</v>
      </c>
      <c r="R1596" s="13" t="s">
        <v>5292</v>
      </c>
      <c r="S1596" s="13" t="s">
        <v>5293</v>
      </c>
      <c r="T1596" s="13" t="s">
        <v>4</v>
      </c>
      <c r="U1596" s="13" t="s">
        <v>43</v>
      </c>
      <c r="V1596" s="13" t="n">
        <f aca="false">IF(COUNTIF($B$2:B1596,B1596)=1,1,0)</f>
        <v>0</v>
      </c>
      <c r="W1596" s="13" t="n">
        <f aca="false">IF(COUNTIFS($B$2:B1596,B1596,$T$2:T1596,T1596)=1,1,0)</f>
        <v>0</v>
      </c>
    </row>
    <row r="1597" customFormat="false" ht="15" hidden="false" customHeight="false" outlineLevel="0" collapsed="false">
      <c r="A1597" s="13" t="s">
        <v>64</v>
      </c>
      <c r="B1597" s="13" t="s">
        <v>50</v>
      </c>
      <c r="C1597" s="13" t="n">
        <v>760</v>
      </c>
      <c r="D1597" s="13" t="n">
        <v>1</v>
      </c>
      <c r="E1597" s="13" t="n">
        <v>764.15</v>
      </c>
      <c r="F1597" s="13" t="s">
        <v>5288</v>
      </c>
      <c r="G1597" s="13" t="s">
        <v>5289</v>
      </c>
      <c r="H1597" s="13" t="s">
        <v>5292</v>
      </c>
      <c r="I1597" s="13" t="s">
        <v>5289</v>
      </c>
      <c r="J1597" s="13" t="s">
        <v>5289</v>
      </c>
      <c r="K1597" s="13" t="s">
        <v>5289</v>
      </c>
      <c r="L1597" s="13" t="s">
        <v>6133</v>
      </c>
      <c r="M1597" s="13"/>
      <c r="N1597" s="13" t="n">
        <v>3349668614523</v>
      </c>
      <c r="O1597" s="13"/>
      <c r="P1597" s="13" t="s">
        <v>5291</v>
      </c>
      <c r="Q1597" s="13" t="s">
        <v>5289</v>
      </c>
      <c r="R1597" s="13" t="s">
        <v>5292</v>
      </c>
      <c r="S1597" s="13" t="s">
        <v>5293</v>
      </c>
      <c r="T1597" s="13" t="s">
        <v>4</v>
      </c>
      <c r="U1597" s="13" t="s">
        <v>43</v>
      </c>
      <c r="V1597" s="13" t="n">
        <f aca="false">IF(COUNTIF($B$2:B1597,B1597)=1,1,0)</f>
        <v>0</v>
      </c>
      <c r="W1597" s="13" t="n">
        <f aca="false">IF(COUNTIFS($B$2:B1597,B1597,$T$2:T1597,T1597)=1,1,0)</f>
        <v>0</v>
      </c>
    </row>
    <row r="1598" customFormat="false" ht="15" hidden="false" customHeight="false" outlineLevel="0" collapsed="false">
      <c r="A1598" s="13" t="s">
        <v>1422</v>
      </c>
      <c r="B1598" s="13" t="s">
        <v>195</v>
      </c>
      <c r="C1598" s="13" t="n">
        <v>760</v>
      </c>
      <c r="D1598" s="13" t="n">
        <v>1</v>
      </c>
      <c r="E1598" s="13" t="n">
        <v>764.04</v>
      </c>
      <c r="F1598" s="13" t="s">
        <v>5288</v>
      </c>
      <c r="G1598" s="13" t="s">
        <v>5292</v>
      </c>
      <c r="H1598" s="13" t="s">
        <v>5292</v>
      </c>
      <c r="I1598" s="13" t="s">
        <v>5289</v>
      </c>
      <c r="J1598" s="13" t="s">
        <v>5289</v>
      </c>
      <c r="K1598" s="13" t="s">
        <v>5289</v>
      </c>
      <c r="L1598" s="13" t="s">
        <v>6134</v>
      </c>
      <c r="M1598" s="13"/>
      <c r="N1598" s="13" t="n">
        <v>3616304967122</v>
      </c>
      <c r="O1598" s="13"/>
      <c r="P1598" s="13" t="s">
        <v>5291</v>
      </c>
      <c r="Q1598" s="13" t="s">
        <v>5289</v>
      </c>
      <c r="R1598" s="13" t="s">
        <v>5292</v>
      </c>
      <c r="S1598" s="13" t="s">
        <v>5293</v>
      </c>
      <c r="T1598" s="13" t="s">
        <v>4</v>
      </c>
      <c r="U1598" s="13" t="s">
        <v>43</v>
      </c>
      <c r="V1598" s="13" t="n">
        <f aca="false">IF(COUNTIF($B$2:B1598,B1598)=1,1,0)</f>
        <v>0</v>
      </c>
      <c r="W1598" s="13" t="n">
        <f aca="false">IF(COUNTIFS($B$2:B1598,B1598,$T$2:T1598,T1598)=1,1,0)</f>
        <v>0</v>
      </c>
    </row>
    <row r="1599" customFormat="false" ht="15" hidden="false" customHeight="false" outlineLevel="0" collapsed="false">
      <c r="A1599" s="13" t="s">
        <v>404</v>
      </c>
      <c r="B1599" s="13" t="s">
        <v>50</v>
      </c>
      <c r="C1599" s="13" t="n">
        <v>760</v>
      </c>
      <c r="D1599" s="13" t="n">
        <v>1</v>
      </c>
      <c r="E1599" s="13" t="n">
        <v>762.68</v>
      </c>
      <c r="F1599" s="13" t="s">
        <v>5325</v>
      </c>
      <c r="G1599" s="13" t="s">
        <v>5289</v>
      </c>
      <c r="H1599" s="13" t="s">
        <v>5292</v>
      </c>
      <c r="I1599" s="13" t="s">
        <v>5289</v>
      </c>
      <c r="J1599" s="13" t="s">
        <v>5289</v>
      </c>
      <c r="K1599" s="13" t="s">
        <v>5289</v>
      </c>
      <c r="L1599" s="13" t="s">
        <v>5715</v>
      </c>
      <c r="M1599" s="13"/>
      <c r="N1599" s="13" t="n">
        <v>3349668617050</v>
      </c>
      <c r="O1599" s="13"/>
      <c r="P1599" s="13" t="s">
        <v>5291</v>
      </c>
      <c r="Q1599" s="13" t="s">
        <v>5289</v>
      </c>
      <c r="R1599" s="13" t="s">
        <v>5292</v>
      </c>
      <c r="S1599" s="13" t="s">
        <v>5293</v>
      </c>
      <c r="T1599" s="13" t="s">
        <v>4</v>
      </c>
      <c r="U1599" s="13" t="s">
        <v>43</v>
      </c>
      <c r="V1599" s="13" t="n">
        <f aca="false">IF(COUNTIF($B$2:B1599,B1599)=1,1,0)</f>
        <v>0</v>
      </c>
      <c r="W1599" s="13" t="n">
        <f aca="false">IF(COUNTIFS($B$2:B1599,B1599,$T$2:T1599,T1599)=1,1,0)</f>
        <v>0</v>
      </c>
    </row>
    <row r="1600" customFormat="false" ht="15" hidden="false" customHeight="false" outlineLevel="0" collapsed="false">
      <c r="A1600" s="13" t="s">
        <v>1416</v>
      </c>
      <c r="B1600" s="13" t="s">
        <v>42</v>
      </c>
      <c r="C1600" s="13" t="n">
        <v>760</v>
      </c>
      <c r="D1600" s="13" t="n">
        <v>1</v>
      </c>
      <c r="E1600" s="13" t="n">
        <v>762.68</v>
      </c>
      <c r="F1600" s="13" t="s">
        <v>5325</v>
      </c>
      <c r="G1600" s="13" t="s">
        <v>5292</v>
      </c>
      <c r="H1600" s="13" t="s">
        <v>5292</v>
      </c>
      <c r="I1600" s="13" t="s">
        <v>5289</v>
      </c>
      <c r="J1600" s="13" t="s">
        <v>5289</v>
      </c>
      <c r="K1600" s="13" t="s">
        <v>5289</v>
      </c>
      <c r="L1600" s="13" t="s">
        <v>6135</v>
      </c>
      <c r="M1600" s="13"/>
      <c r="N1600" s="13" t="n">
        <v>8411061099759</v>
      </c>
      <c r="O1600" s="13"/>
      <c r="P1600" s="13" t="s">
        <v>5291</v>
      </c>
      <c r="Q1600" s="13" t="s">
        <v>5289</v>
      </c>
      <c r="R1600" s="13" t="s">
        <v>5292</v>
      </c>
      <c r="S1600" s="13" t="s">
        <v>5293</v>
      </c>
      <c r="T1600" s="13" t="s">
        <v>4</v>
      </c>
      <c r="U1600" s="13" t="s">
        <v>43</v>
      </c>
      <c r="V1600" s="13" t="n">
        <f aca="false">IF(COUNTIF($B$2:B1600,B1600)=1,1,0)</f>
        <v>0</v>
      </c>
      <c r="W1600" s="13" t="n">
        <f aca="false">IF(COUNTIFS($B$2:B1600,B1600,$T$2:T1600,T1600)=1,1,0)</f>
        <v>0</v>
      </c>
    </row>
    <row r="1601" customFormat="false" ht="15" hidden="false" customHeight="false" outlineLevel="0" collapsed="false">
      <c r="A1601" s="13" t="s">
        <v>378</v>
      </c>
      <c r="B1601" s="13" t="s">
        <v>50</v>
      </c>
      <c r="C1601" s="13" t="n">
        <v>760</v>
      </c>
      <c r="D1601" s="13" t="n">
        <v>1</v>
      </c>
      <c r="E1601" s="13" t="n">
        <v>762.68</v>
      </c>
      <c r="F1601" s="13" t="s">
        <v>5325</v>
      </c>
      <c r="G1601" s="13" t="s">
        <v>5289</v>
      </c>
      <c r="H1601" s="13" t="s">
        <v>5289</v>
      </c>
      <c r="I1601" s="13" t="s">
        <v>5289</v>
      </c>
      <c r="J1601" s="13" t="s">
        <v>5289</v>
      </c>
      <c r="K1601" s="13" t="s">
        <v>5289</v>
      </c>
      <c r="L1601" s="13" t="s">
        <v>5710</v>
      </c>
      <c r="M1601" s="13"/>
      <c r="N1601" s="13" t="n">
        <v>3349668614592</v>
      </c>
      <c r="O1601" s="13"/>
      <c r="P1601" s="13" t="s">
        <v>5291</v>
      </c>
      <c r="Q1601" s="13" t="s">
        <v>5289</v>
      </c>
      <c r="R1601" s="13" t="s">
        <v>5292</v>
      </c>
      <c r="S1601" s="13" t="s">
        <v>5293</v>
      </c>
      <c r="T1601" s="13" t="s">
        <v>4</v>
      </c>
      <c r="U1601" s="13" t="s">
        <v>43</v>
      </c>
      <c r="V1601" s="13" t="n">
        <f aca="false">IF(COUNTIF($B$2:B1601,B1601)=1,1,0)</f>
        <v>0</v>
      </c>
      <c r="W1601" s="13" t="n">
        <f aca="false">IF(COUNTIFS($B$2:B1601,B1601,$T$2:T1601,T1601)=1,1,0)</f>
        <v>0</v>
      </c>
    </row>
    <row r="1602" customFormat="false" ht="15" hidden="false" customHeight="false" outlineLevel="0" collapsed="false">
      <c r="A1602" s="13" t="s">
        <v>1415</v>
      </c>
      <c r="B1602" s="13" t="s">
        <v>177</v>
      </c>
      <c r="C1602" s="13" t="n">
        <v>760</v>
      </c>
      <c r="D1602" s="13" t="n">
        <v>1</v>
      </c>
      <c r="E1602" s="13" t="n">
        <v>760.56</v>
      </c>
      <c r="F1602" s="13" t="s">
        <v>5288</v>
      </c>
      <c r="G1602" s="13" t="s">
        <v>5292</v>
      </c>
      <c r="H1602" s="13" t="s">
        <v>5292</v>
      </c>
      <c r="I1602" s="13" t="s">
        <v>5289</v>
      </c>
      <c r="J1602" s="13" t="s">
        <v>5289</v>
      </c>
      <c r="K1602" s="13" t="s">
        <v>5289</v>
      </c>
      <c r="L1602" s="13" t="s">
        <v>5833</v>
      </c>
      <c r="M1602" s="13"/>
      <c r="N1602" s="13" t="n">
        <v>3614229382167</v>
      </c>
      <c r="O1602" s="13"/>
      <c r="P1602" s="13" t="s">
        <v>5291</v>
      </c>
      <c r="Q1602" s="13" t="s">
        <v>5289</v>
      </c>
      <c r="R1602" s="13" t="s">
        <v>5292</v>
      </c>
      <c r="S1602" s="13" t="s">
        <v>5293</v>
      </c>
      <c r="T1602" s="13" t="s">
        <v>4</v>
      </c>
      <c r="U1602" s="13" t="s">
        <v>43</v>
      </c>
      <c r="V1602" s="13" t="n">
        <f aca="false">IF(COUNTIF($B$2:B1602,B1602)=1,1,0)</f>
        <v>0</v>
      </c>
      <c r="W1602" s="13" t="n">
        <f aca="false">IF(COUNTIFS($B$2:B1602,B1602,$T$2:T1602,T1602)=1,1,0)</f>
        <v>0</v>
      </c>
    </row>
    <row r="1603" customFormat="false" ht="15" hidden="false" customHeight="false" outlineLevel="0" collapsed="false">
      <c r="A1603" s="13" t="s">
        <v>4260</v>
      </c>
      <c r="B1603" s="13" t="s">
        <v>2120</v>
      </c>
      <c r="C1603" s="13" t="n">
        <v>760</v>
      </c>
      <c r="D1603" s="13" t="n">
        <v>2</v>
      </c>
      <c r="E1603" s="13" t="n">
        <v>380</v>
      </c>
      <c r="F1603" s="13" t="s">
        <v>5288</v>
      </c>
      <c r="G1603" s="13" t="s">
        <v>5289</v>
      </c>
      <c r="H1603" s="13" t="s">
        <v>5292</v>
      </c>
      <c r="I1603" s="13" t="s">
        <v>5289</v>
      </c>
      <c r="J1603" s="13" t="s">
        <v>5289</v>
      </c>
      <c r="K1603" s="13" t="s">
        <v>5289</v>
      </c>
      <c r="L1603" s="13" t="s">
        <v>6136</v>
      </c>
      <c r="M1603" s="13"/>
      <c r="N1603" s="13" t="n">
        <v>3423222118310</v>
      </c>
      <c r="O1603" s="13"/>
      <c r="P1603" s="13" t="s">
        <v>5291</v>
      </c>
      <c r="Q1603" s="13" t="s">
        <v>5289</v>
      </c>
      <c r="R1603" s="13" t="s">
        <v>5292</v>
      </c>
      <c r="S1603" s="13" t="s">
        <v>5293</v>
      </c>
      <c r="T1603" s="13" t="s">
        <v>4</v>
      </c>
      <c r="U1603" s="13" t="s">
        <v>43</v>
      </c>
      <c r="V1603" s="13" t="n">
        <f aca="false">IF(COUNTIF($B$2:B1603,B1603)=1,1,0)</f>
        <v>0</v>
      </c>
      <c r="W1603" s="13" t="n">
        <f aca="false">IF(COUNTIFS($B$2:B1603,B1603,$T$2:T1603,T1603)=1,1,0)</f>
        <v>0</v>
      </c>
    </row>
    <row r="1604" customFormat="false" ht="15" hidden="false" customHeight="false" outlineLevel="0" collapsed="false">
      <c r="A1604" s="13" t="s">
        <v>4267</v>
      </c>
      <c r="B1604" s="13" t="s">
        <v>2216</v>
      </c>
      <c r="C1604" s="13" t="n">
        <v>760</v>
      </c>
      <c r="D1604" s="13" t="n">
        <v>2</v>
      </c>
      <c r="E1604" s="13" t="n">
        <v>253.223333333333</v>
      </c>
      <c r="F1604" s="13" t="s">
        <v>5288</v>
      </c>
      <c r="G1604" s="13" t="s">
        <v>5292</v>
      </c>
      <c r="H1604" s="13" t="s">
        <v>5292</v>
      </c>
      <c r="I1604" s="13" t="s">
        <v>5289</v>
      </c>
      <c r="J1604" s="13" t="s">
        <v>5289</v>
      </c>
      <c r="K1604" s="13" t="s">
        <v>5289</v>
      </c>
      <c r="L1604" s="13" t="s">
        <v>6137</v>
      </c>
      <c r="M1604" s="13"/>
      <c r="N1604" s="13" t="n">
        <v>8436581942620</v>
      </c>
      <c r="O1604" s="13"/>
      <c r="P1604" s="13" t="s">
        <v>5291</v>
      </c>
      <c r="Q1604" s="13" t="s">
        <v>5289</v>
      </c>
      <c r="R1604" s="13" t="s">
        <v>5292</v>
      </c>
      <c r="S1604" s="13" t="s">
        <v>5293</v>
      </c>
      <c r="T1604" s="13" t="s">
        <v>4</v>
      </c>
      <c r="U1604" s="13" t="s">
        <v>43</v>
      </c>
      <c r="V1604" s="13" t="n">
        <f aca="false">IF(COUNTIF($B$2:B1604,B1604)=1,1,0)</f>
        <v>0</v>
      </c>
      <c r="W1604" s="13" t="n">
        <f aca="false">IF(COUNTIFS($B$2:B1604,B1604,$T$2:T1604,T1604)=1,1,0)</f>
        <v>0</v>
      </c>
    </row>
    <row r="1605" customFormat="false" ht="15" hidden="false" customHeight="false" outlineLevel="0" collapsed="false">
      <c r="A1605" s="13" t="s">
        <v>1421</v>
      </c>
      <c r="B1605" s="13" t="s">
        <v>286</v>
      </c>
      <c r="C1605" s="13" t="n">
        <v>760</v>
      </c>
      <c r="D1605" s="13" t="n">
        <v>2</v>
      </c>
      <c r="E1605" s="13" t="n">
        <v>379.76</v>
      </c>
      <c r="F1605" s="13" t="s">
        <v>5288</v>
      </c>
      <c r="G1605" s="13" t="s">
        <v>5289</v>
      </c>
      <c r="H1605" s="13" t="s">
        <v>5292</v>
      </c>
      <c r="I1605" s="13" t="s">
        <v>5289</v>
      </c>
      <c r="J1605" s="13" t="s">
        <v>5289</v>
      </c>
      <c r="K1605" s="13" t="s">
        <v>5289</v>
      </c>
      <c r="L1605" s="13" t="s">
        <v>6138</v>
      </c>
      <c r="M1605" s="13"/>
      <c r="N1605" s="13" t="n">
        <v>6294015164169</v>
      </c>
      <c r="O1605" s="13"/>
      <c r="P1605" s="13" t="s">
        <v>5291</v>
      </c>
      <c r="Q1605" s="13" t="s">
        <v>5289</v>
      </c>
      <c r="R1605" s="13" t="s">
        <v>5292</v>
      </c>
      <c r="S1605" s="13" t="s">
        <v>5293</v>
      </c>
      <c r="T1605" s="13" t="s">
        <v>4</v>
      </c>
      <c r="U1605" s="13" t="s">
        <v>43</v>
      </c>
      <c r="V1605" s="13" t="n">
        <f aca="false">IF(COUNTIF($B$2:B1605,B1605)=1,1,0)</f>
        <v>0</v>
      </c>
      <c r="W1605" s="13" t="n">
        <f aca="false">IF(COUNTIFS($B$2:B1605,B1605,$T$2:T1605,T1605)=1,1,0)</f>
        <v>0</v>
      </c>
    </row>
    <row r="1606" customFormat="false" ht="15" hidden="false" customHeight="false" outlineLevel="0" collapsed="false">
      <c r="A1606" s="13" t="s">
        <v>1420</v>
      </c>
      <c r="B1606" s="13" t="s">
        <v>42</v>
      </c>
      <c r="C1606" s="13" t="n">
        <v>760</v>
      </c>
      <c r="D1606" s="13" t="n">
        <v>1</v>
      </c>
      <c r="E1606" s="13" t="n">
        <v>758.67</v>
      </c>
      <c r="F1606" s="13" t="s">
        <v>5288</v>
      </c>
      <c r="G1606" s="13" t="s">
        <v>5289</v>
      </c>
      <c r="H1606" s="13" t="s">
        <v>5292</v>
      </c>
      <c r="I1606" s="13" t="s">
        <v>5289</v>
      </c>
      <c r="J1606" s="13" t="s">
        <v>5289</v>
      </c>
      <c r="K1606" s="13" t="s">
        <v>5289</v>
      </c>
      <c r="L1606" s="13" t="s">
        <v>5745</v>
      </c>
      <c r="M1606" s="13"/>
      <c r="N1606" s="13" t="n">
        <v>8411061109953</v>
      </c>
      <c r="O1606" s="13"/>
      <c r="P1606" s="13" t="s">
        <v>5291</v>
      </c>
      <c r="Q1606" s="13" t="s">
        <v>5289</v>
      </c>
      <c r="R1606" s="13" t="s">
        <v>5292</v>
      </c>
      <c r="S1606" s="13" t="s">
        <v>5293</v>
      </c>
      <c r="T1606" s="13" t="s">
        <v>4</v>
      </c>
      <c r="U1606" s="13" t="s">
        <v>43</v>
      </c>
      <c r="V1606" s="13" t="n">
        <f aca="false">IF(COUNTIF($B$2:B1606,B1606)=1,1,0)</f>
        <v>0</v>
      </c>
      <c r="W1606" s="13" t="n">
        <f aca="false">IF(COUNTIFS($B$2:B1606,B1606,$T$2:T1606,T1606)=1,1,0)</f>
        <v>0</v>
      </c>
    </row>
    <row r="1607" customFormat="false" ht="15" hidden="false" customHeight="false" outlineLevel="0" collapsed="false">
      <c r="A1607" s="13" t="s">
        <v>563</v>
      </c>
      <c r="B1607" s="13" t="s">
        <v>45</v>
      </c>
      <c r="C1607" s="13" t="n">
        <v>760</v>
      </c>
      <c r="D1607" s="13" t="n">
        <v>2</v>
      </c>
      <c r="E1607" s="13" t="n">
        <v>379</v>
      </c>
      <c r="F1607" s="13" t="s">
        <v>5288</v>
      </c>
      <c r="G1607" s="13" t="s">
        <v>5289</v>
      </c>
      <c r="H1607" s="13" t="s">
        <v>5289</v>
      </c>
      <c r="I1607" s="13" t="s">
        <v>5289</v>
      </c>
      <c r="J1607" s="13" t="s">
        <v>5289</v>
      </c>
      <c r="K1607" s="13" t="s">
        <v>5289</v>
      </c>
      <c r="L1607" s="13" t="s">
        <v>5984</v>
      </c>
      <c r="M1607" s="13"/>
      <c r="N1607" s="13" t="n">
        <v>8435415011280</v>
      </c>
      <c r="O1607" s="13"/>
      <c r="P1607" s="13" t="s">
        <v>5291</v>
      </c>
      <c r="Q1607" s="13" t="s">
        <v>5289</v>
      </c>
      <c r="R1607" s="13" t="s">
        <v>5292</v>
      </c>
      <c r="S1607" s="13" t="s">
        <v>5293</v>
      </c>
      <c r="T1607" s="13" t="s">
        <v>4</v>
      </c>
      <c r="U1607" s="13" t="s">
        <v>43</v>
      </c>
      <c r="V1607" s="13" t="n">
        <f aca="false">IF(COUNTIF($B$2:B1607,B1607)=1,1,0)</f>
        <v>0</v>
      </c>
      <c r="W1607" s="13" t="n">
        <f aca="false">IF(COUNTIFS($B$2:B1607,B1607,$T$2:T1607,T1607)=1,1,0)</f>
        <v>0</v>
      </c>
    </row>
    <row r="1608" customFormat="false" ht="15" hidden="false" customHeight="false" outlineLevel="0" collapsed="false">
      <c r="A1608" s="13" t="s">
        <v>499</v>
      </c>
      <c r="B1608" s="13" t="s">
        <v>45</v>
      </c>
      <c r="C1608" s="13" t="n">
        <v>750</v>
      </c>
      <c r="D1608" s="13" t="n">
        <v>1</v>
      </c>
      <c r="E1608" s="13" t="n">
        <v>754.39</v>
      </c>
      <c r="F1608" s="13" t="s">
        <v>5325</v>
      </c>
      <c r="G1608" s="13" t="s">
        <v>5289</v>
      </c>
      <c r="H1608" s="13" t="s">
        <v>5292</v>
      </c>
      <c r="I1608" s="13" t="s">
        <v>5289</v>
      </c>
      <c r="J1608" s="13" t="s">
        <v>5289</v>
      </c>
      <c r="K1608" s="13" t="s">
        <v>5289</v>
      </c>
      <c r="L1608" s="13" t="s">
        <v>5862</v>
      </c>
      <c r="M1608" s="13"/>
      <c r="N1608" s="13" t="n">
        <v>8435415050753</v>
      </c>
      <c r="O1608" s="13"/>
      <c r="P1608" s="13" t="s">
        <v>5291</v>
      </c>
      <c r="Q1608" s="13" t="s">
        <v>5289</v>
      </c>
      <c r="R1608" s="13" t="s">
        <v>5292</v>
      </c>
      <c r="S1608" s="13" t="s">
        <v>5293</v>
      </c>
      <c r="T1608" s="13" t="s">
        <v>4</v>
      </c>
      <c r="U1608" s="13" t="s">
        <v>43</v>
      </c>
      <c r="V1608" s="13" t="n">
        <f aca="false">IF(COUNTIF($B$2:B1608,B1608)=1,1,0)</f>
        <v>0</v>
      </c>
      <c r="W1608" s="13" t="n">
        <f aca="false">IF(COUNTIFS($B$2:B1608,B1608,$T$2:T1608,T1608)=1,1,0)</f>
        <v>0</v>
      </c>
    </row>
    <row r="1609" customFormat="false" ht="15" hidden="false" customHeight="false" outlineLevel="0" collapsed="false">
      <c r="A1609" s="13" t="s">
        <v>1426</v>
      </c>
      <c r="B1609" s="13" t="s">
        <v>103</v>
      </c>
      <c r="C1609" s="13" t="n">
        <v>750</v>
      </c>
      <c r="D1609" s="13" t="n">
        <v>2</v>
      </c>
      <c r="E1609" s="13" t="n">
        <v>251.353333333333</v>
      </c>
      <c r="F1609" s="13" t="s">
        <v>5288</v>
      </c>
      <c r="G1609" s="13" t="s">
        <v>5289</v>
      </c>
      <c r="H1609" s="13" t="s">
        <v>5292</v>
      </c>
      <c r="I1609" s="13" t="s">
        <v>5289</v>
      </c>
      <c r="J1609" s="13" t="s">
        <v>5289</v>
      </c>
      <c r="K1609" s="13" t="s">
        <v>5289</v>
      </c>
      <c r="L1609" s="13" t="s">
        <v>6139</v>
      </c>
      <c r="M1609" s="13"/>
      <c r="N1609" s="13" t="n">
        <v>8411061001844</v>
      </c>
      <c r="O1609" s="13"/>
      <c r="P1609" s="13" t="s">
        <v>5291</v>
      </c>
      <c r="Q1609" s="13" t="s">
        <v>5289</v>
      </c>
      <c r="R1609" s="13" t="s">
        <v>5292</v>
      </c>
      <c r="S1609" s="13" t="s">
        <v>5293</v>
      </c>
      <c r="T1609" s="13" t="s">
        <v>4</v>
      </c>
      <c r="U1609" s="13" t="s">
        <v>43</v>
      </c>
      <c r="V1609" s="13" t="n">
        <f aca="false">IF(COUNTIF($B$2:B1609,B1609)=1,1,0)</f>
        <v>0</v>
      </c>
      <c r="W1609" s="13" t="n">
        <f aca="false">IF(COUNTIFS($B$2:B1609,B1609,$T$2:T1609,T1609)=1,1,0)</f>
        <v>0</v>
      </c>
    </row>
    <row r="1610" customFormat="false" ht="15" hidden="false" customHeight="false" outlineLevel="0" collapsed="false">
      <c r="A1610" s="13" t="s">
        <v>1427</v>
      </c>
      <c r="B1610" s="13" t="s">
        <v>45</v>
      </c>
      <c r="C1610" s="13" t="n">
        <v>750</v>
      </c>
      <c r="D1610" s="13" t="n">
        <v>1</v>
      </c>
      <c r="E1610" s="13" t="n">
        <v>747.09</v>
      </c>
      <c r="F1610" s="13" t="s">
        <v>5288</v>
      </c>
      <c r="G1610" s="13" t="s">
        <v>5289</v>
      </c>
      <c r="H1610" s="13" t="s">
        <v>5292</v>
      </c>
      <c r="I1610" s="13" t="s">
        <v>5289</v>
      </c>
      <c r="J1610" s="13" t="s">
        <v>5289</v>
      </c>
      <c r="K1610" s="13" t="s">
        <v>5289</v>
      </c>
      <c r="L1610" s="13" t="s">
        <v>5717</v>
      </c>
      <c r="M1610" s="13"/>
      <c r="N1610" s="13" t="n">
        <v>8435415091251</v>
      </c>
      <c r="O1610" s="13"/>
      <c r="P1610" s="13" t="s">
        <v>5291</v>
      </c>
      <c r="Q1610" s="13" t="s">
        <v>5289</v>
      </c>
      <c r="R1610" s="13" t="s">
        <v>5292</v>
      </c>
      <c r="S1610" s="13" t="s">
        <v>5293</v>
      </c>
      <c r="T1610" s="13" t="s">
        <v>4</v>
      </c>
      <c r="U1610" s="13" t="s">
        <v>43</v>
      </c>
      <c r="V1610" s="13" t="n">
        <f aca="false">IF(COUNTIF($B$2:B1610,B1610)=1,1,0)</f>
        <v>0</v>
      </c>
      <c r="W1610" s="13" t="n">
        <f aca="false">IF(COUNTIFS($B$2:B1610,B1610,$T$2:T1610,T1610)=1,1,0)</f>
        <v>0</v>
      </c>
    </row>
    <row r="1611" customFormat="false" ht="15" hidden="false" customHeight="false" outlineLevel="0" collapsed="false">
      <c r="A1611" s="13" t="s">
        <v>912</v>
      </c>
      <c r="B1611" s="13" t="s">
        <v>42</v>
      </c>
      <c r="C1611" s="13" t="n">
        <v>740</v>
      </c>
      <c r="D1611" s="13" t="n">
        <v>1</v>
      </c>
      <c r="E1611" s="13" t="n">
        <v>743.07</v>
      </c>
      <c r="F1611" s="13" t="s">
        <v>5325</v>
      </c>
      <c r="G1611" s="13" t="s">
        <v>5292</v>
      </c>
      <c r="H1611" s="13" t="s">
        <v>5289</v>
      </c>
      <c r="I1611" s="13" t="s">
        <v>5289</v>
      </c>
      <c r="J1611" s="13" t="s">
        <v>5289</v>
      </c>
      <c r="K1611" s="13" t="s">
        <v>5289</v>
      </c>
      <c r="L1611" s="13" t="s">
        <v>5926</v>
      </c>
      <c r="M1611" s="13"/>
      <c r="N1611" s="13" t="n">
        <v>8411061058466</v>
      </c>
      <c r="O1611" s="13"/>
      <c r="P1611" s="13" t="s">
        <v>5291</v>
      </c>
      <c r="Q1611" s="13" t="s">
        <v>5289</v>
      </c>
      <c r="R1611" s="13" t="s">
        <v>5292</v>
      </c>
      <c r="S1611" s="13" t="s">
        <v>5293</v>
      </c>
      <c r="T1611" s="13" t="s">
        <v>4</v>
      </c>
      <c r="U1611" s="13" t="s">
        <v>43</v>
      </c>
      <c r="V1611" s="13" t="n">
        <f aca="false">IF(COUNTIF($B$2:B1611,B1611)=1,1,0)</f>
        <v>0</v>
      </c>
      <c r="W1611" s="13" t="n">
        <f aca="false">IF(COUNTIFS($B$2:B1611,B1611,$T$2:T1611,T1611)=1,1,0)</f>
        <v>0</v>
      </c>
    </row>
    <row r="1612" customFormat="false" ht="15" hidden="false" customHeight="false" outlineLevel="0" collapsed="false">
      <c r="A1612" s="13" t="s">
        <v>1436</v>
      </c>
      <c r="B1612" s="13" t="s">
        <v>153</v>
      </c>
      <c r="C1612" s="13" t="n">
        <v>740</v>
      </c>
      <c r="D1612" s="13" t="n">
        <v>1</v>
      </c>
      <c r="E1612" s="13" t="n">
        <v>742.22</v>
      </c>
      <c r="F1612" s="13" t="s">
        <v>5325</v>
      </c>
      <c r="G1612" s="13" t="s">
        <v>5289</v>
      </c>
      <c r="H1612" s="13" t="s">
        <v>5292</v>
      </c>
      <c r="I1612" s="13" t="s">
        <v>5289</v>
      </c>
      <c r="J1612" s="13" t="s">
        <v>5289</v>
      </c>
      <c r="K1612" s="13" t="s">
        <v>5289</v>
      </c>
      <c r="L1612" s="13" t="s">
        <v>5720</v>
      </c>
      <c r="M1612" s="13"/>
      <c r="N1612" s="13" t="n">
        <v>8011003846627</v>
      </c>
      <c r="O1612" s="13"/>
      <c r="P1612" s="13" t="s">
        <v>5291</v>
      </c>
      <c r="Q1612" s="13" t="s">
        <v>5289</v>
      </c>
      <c r="R1612" s="13" t="s">
        <v>5292</v>
      </c>
      <c r="S1612" s="13" t="s">
        <v>5293</v>
      </c>
      <c r="T1612" s="13" t="s">
        <v>4</v>
      </c>
      <c r="U1612" s="13" t="s">
        <v>43</v>
      </c>
      <c r="V1612" s="13" t="n">
        <f aca="false">IF(COUNTIF($B$2:B1612,B1612)=1,1,0)</f>
        <v>0</v>
      </c>
      <c r="W1612" s="13" t="n">
        <f aca="false">IF(COUNTIFS($B$2:B1612,B1612,$T$2:T1612,T1612)=1,1,0)</f>
        <v>0</v>
      </c>
    </row>
    <row r="1613" customFormat="false" ht="15" hidden="false" customHeight="false" outlineLevel="0" collapsed="false">
      <c r="A1613" s="13" t="s">
        <v>1439</v>
      </c>
      <c r="B1613" s="13" t="s">
        <v>42</v>
      </c>
      <c r="C1613" s="13" t="n">
        <v>740</v>
      </c>
      <c r="D1613" s="13" t="n">
        <v>1</v>
      </c>
      <c r="E1613" s="13" t="n">
        <v>741.23</v>
      </c>
      <c r="F1613" s="13" t="s">
        <v>5288</v>
      </c>
      <c r="G1613" s="13" t="s">
        <v>5289</v>
      </c>
      <c r="H1613" s="13" t="s">
        <v>5292</v>
      </c>
      <c r="I1613" s="13" t="s">
        <v>5289</v>
      </c>
      <c r="J1613" s="13" t="s">
        <v>5289</v>
      </c>
      <c r="K1613" s="13" t="s">
        <v>5289</v>
      </c>
      <c r="L1613" s="13" t="s">
        <v>5912</v>
      </c>
      <c r="M1613" s="13"/>
      <c r="N1613" s="13" t="n">
        <v>8.41106107485584E+038</v>
      </c>
      <c r="O1613" s="13"/>
      <c r="P1613" s="13" t="s">
        <v>5291</v>
      </c>
      <c r="Q1613" s="13" t="s">
        <v>5289</v>
      </c>
      <c r="R1613" s="13" t="s">
        <v>5292</v>
      </c>
      <c r="S1613" s="13" t="s">
        <v>5293</v>
      </c>
      <c r="T1613" s="13" t="s">
        <v>4</v>
      </c>
      <c r="U1613" s="13" t="s">
        <v>43</v>
      </c>
      <c r="V1613" s="13" t="n">
        <f aca="false">IF(COUNTIF($B$2:B1613,B1613)=1,1,0)</f>
        <v>0</v>
      </c>
      <c r="W1613" s="13" t="n">
        <f aca="false">IF(COUNTIFS($B$2:B1613,B1613,$T$2:T1613,T1613)=1,1,0)</f>
        <v>0</v>
      </c>
    </row>
    <row r="1614" customFormat="false" ht="15" hidden="false" customHeight="false" outlineLevel="0" collapsed="false">
      <c r="A1614" s="13" t="s">
        <v>189</v>
      </c>
      <c r="B1614" s="13" t="s">
        <v>50</v>
      </c>
      <c r="C1614" s="13" t="n">
        <v>740</v>
      </c>
      <c r="D1614" s="13" t="n">
        <v>1</v>
      </c>
      <c r="E1614" s="13" t="n">
        <v>739.26</v>
      </c>
      <c r="F1614" s="13" t="s">
        <v>5288</v>
      </c>
      <c r="G1614" s="13" t="s">
        <v>5289</v>
      </c>
      <c r="H1614" s="13" t="s">
        <v>5292</v>
      </c>
      <c r="I1614" s="13" t="s">
        <v>5289</v>
      </c>
      <c r="J1614" s="13" t="s">
        <v>5289</v>
      </c>
      <c r="K1614" s="13" t="s">
        <v>5289</v>
      </c>
      <c r="L1614" s="13" t="s">
        <v>5695</v>
      </c>
      <c r="M1614" s="13"/>
      <c r="N1614" s="13" t="n">
        <v>3349668596348</v>
      </c>
      <c r="O1614" s="13"/>
      <c r="P1614" s="13" t="s">
        <v>5291</v>
      </c>
      <c r="Q1614" s="13" t="s">
        <v>5289</v>
      </c>
      <c r="R1614" s="13" t="s">
        <v>5292</v>
      </c>
      <c r="S1614" s="13" t="s">
        <v>5293</v>
      </c>
      <c r="T1614" s="13" t="s">
        <v>4</v>
      </c>
      <c r="U1614" s="13" t="s">
        <v>43</v>
      </c>
      <c r="V1614" s="13" t="n">
        <f aca="false">IF(COUNTIF($B$2:B1614,B1614)=1,1,0)</f>
        <v>0</v>
      </c>
      <c r="W1614" s="13" t="n">
        <f aca="false">IF(COUNTIFS($B$2:B1614,B1614,$T$2:T1614,T1614)=1,1,0)</f>
        <v>0</v>
      </c>
    </row>
    <row r="1615" customFormat="false" ht="15" hidden="false" customHeight="false" outlineLevel="0" collapsed="false">
      <c r="A1615" s="13" t="s">
        <v>89</v>
      </c>
      <c r="B1615" s="13" t="s">
        <v>42</v>
      </c>
      <c r="C1615" s="13" t="n">
        <v>740</v>
      </c>
      <c r="D1615" s="13" t="n">
        <v>1</v>
      </c>
      <c r="E1615" s="13" t="n">
        <v>739.26</v>
      </c>
      <c r="F1615" s="13" t="s">
        <v>5325</v>
      </c>
      <c r="G1615" s="13" t="s">
        <v>5289</v>
      </c>
      <c r="H1615" s="13" t="s">
        <v>5289</v>
      </c>
      <c r="I1615" s="13" t="s">
        <v>5289</v>
      </c>
      <c r="J1615" s="13" t="s">
        <v>5289</v>
      </c>
      <c r="K1615" s="13" t="s">
        <v>5289</v>
      </c>
      <c r="L1615" s="13" t="s">
        <v>5658</v>
      </c>
      <c r="M1615" s="13"/>
      <c r="N1615" s="13" t="n">
        <v>8411061853207</v>
      </c>
      <c r="O1615" s="13"/>
      <c r="P1615" s="13" t="s">
        <v>5291</v>
      </c>
      <c r="Q1615" s="13" t="s">
        <v>5289</v>
      </c>
      <c r="R1615" s="13" t="s">
        <v>5292</v>
      </c>
      <c r="S1615" s="13" t="s">
        <v>5293</v>
      </c>
      <c r="T1615" s="13" t="s">
        <v>4</v>
      </c>
      <c r="U1615" s="13" t="s">
        <v>43</v>
      </c>
      <c r="V1615" s="13" t="n">
        <f aca="false">IF(COUNTIF($B$2:B1615,B1615)=1,1,0)</f>
        <v>0</v>
      </c>
      <c r="W1615" s="13" t="n">
        <f aca="false">IF(COUNTIFS($B$2:B1615,B1615,$T$2:T1615,T1615)=1,1,0)</f>
        <v>0</v>
      </c>
    </row>
    <row r="1616" customFormat="false" ht="15" hidden="false" customHeight="false" outlineLevel="0" collapsed="false">
      <c r="A1616" s="13" t="s">
        <v>4283</v>
      </c>
      <c r="B1616" s="13" t="s">
        <v>2143</v>
      </c>
      <c r="C1616" s="13" t="n">
        <v>740</v>
      </c>
      <c r="D1616" s="13" t="n">
        <v>1</v>
      </c>
      <c r="E1616" s="13" t="n">
        <v>737.81</v>
      </c>
      <c r="F1616" s="13" t="s">
        <v>5288</v>
      </c>
      <c r="G1616" s="13" t="s">
        <v>5292</v>
      </c>
      <c r="H1616" s="13" t="s">
        <v>5292</v>
      </c>
      <c r="I1616" s="13" t="s">
        <v>5289</v>
      </c>
      <c r="J1616" s="13" t="s">
        <v>5289</v>
      </c>
      <c r="K1616" s="13" t="s">
        <v>5289</v>
      </c>
      <c r="L1616" s="13" t="s">
        <v>6140</v>
      </c>
      <c r="M1616" s="13"/>
      <c r="N1616" s="13" t="n">
        <v>3274872505759</v>
      </c>
      <c r="O1616" s="13"/>
      <c r="P1616" s="13" t="s">
        <v>5291</v>
      </c>
      <c r="Q1616" s="13" t="s">
        <v>5289</v>
      </c>
      <c r="R1616" s="13" t="s">
        <v>5292</v>
      </c>
      <c r="S1616" s="13" t="s">
        <v>5293</v>
      </c>
      <c r="T1616" s="13" t="s">
        <v>4</v>
      </c>
      <c r="U1616" s="13" t="s">
        <v>43</v>
      </c>
      <c r="V1616" s="13" t="n">
        <f aca="false">IF(COUNTIF($B$2:B1616,B1616)=1,1,0)</f>
        <v>0</v>
      </c>
      <c r="W1616" s="13" t="n">
        <f aca="false">IF(COUNTIFS($B$2:B1616,B1616,$T$2:T1616,T1616)=1,1,0)</f>
        <v>0</v>
      </c>
    </row>
    <row r="1617" customFormat="false" ht="15" hidden="false" customHeight="false" outlineLevel="0" collapsed="false">
      <c r="A1617" s="13" t="s">
        <v>1327</v>
      </c>
      <c r="B1617" s="13" t="s">
        <v>45</v>
      </c>
      <c r="C1617" s="13" t="n">
        <v>740</v>
      </c>
      <c r="D1617" s="13" t="n">
        <v>1</v>
      </c>
      <c r="E1617" s="13" t="n">
        <v>735.08</v>
      </c>
      <c r="F1617" s="13" t="s">
        <v>5325</v>
      </c>
      <c r="G1617" s="13" t="s">
        <v>5289</v>
      </c>
      <c r="H1617" s="13" t="s">
        <v>5289</v>
      </c>
      <c r="I1617" s="13" t="s">
        <v>5289</v>
      </c>
      <c r="J1617" s="13" t="s">
        <v>5289</v>
      </c>
      <c r="K1617" s="13" t="s">
        <v>5289</v>
      </c>
      <c r="L1617" s="13" t="s">
        <v>6141</v>
      </c>
      <c r="M1617" s="13"/>
      <c r="N1617" s="13" t="n">
        <v>8435415114783</v>
      </c>
      <c r="O1617" s="13"/>
      <c r="P1617" s="13" t="s">
        <v>5291</v>
      </c>
      <c r="Q1617" s="13" t="s">
        <v>5289</v>
      </c>
      <c r="R1617" s="13" t="s">
        <v>5292</v>
      </c>
      <c r="S1617" s="13" t="s">
        <v>5293</v>
      </c>
      <c r="T1617" s="13" t="s">
        <v>4</v>
      </c>
      <c r="U1617" s="13" t="s">
        <v>43</v>
      </c>
      <c r="V1617" s="13" t="n">
        <f aca="false">IF(COUNTIF($B$2:B1617,B1617)=1,1,0)</f>
        <v>0</v>
      </c>
      <c r="W1617" s="13" t="n">
        <f aca="false">IF(COUNTIFS($B$2:B1617,B1617,$T$2:T1617,T1617)=1,1,0)</f>
        <v>0</v>
      </c>
    </row>
    <row r="1618" customFormat="false" ht="15" hidden="false" customHeight="false" outlineLevel="0" collapsed="false">
      <c r="A1618" s="13" t="s">
        <v>591</v>
      </c>
      <c r="B1618" s="13" t="s">
        <v>42</v>
      </c>
      <c r="C1618" s="13" t="n">
        <v>740</v>
      </c>
      <c r="D1618" s="13" t="n">
        <v>1</v>
      </c>
      <c r="E1618" s="13" t="n">
        <v>735.08</v>
      </c>
      <c r="F1618" s="13" t="s">
        <v>5325</v>
      </c>
      <c r="G1618" s="13" t="s">
        <v>5289</v>
      </c>
      <c r="H1618" s="13" t="s">
        <v>5292</v>
      </c>
      <c r="I1618" s="13" t="s">
        <v>5289</v>
      </c>
      <c r="J1618" s="13" t="s">
        <v>5289</v>
      </c>
      <c r="K1618" s="13" t="s">
        <v>5289</v>
      </c>
      <c r="L1618" s="13" t="s">
        <v>5785</v>
      </c>
      <c r="M1618" s="13"/>
      <c r="N1618" s="13" t="n">
        <v>8411061077153</v>
      </c>
      <c r="O1618" s="13"/>
      <c r="P1618" s="13" t="s">
        <v>5291</v>
      </c>
      <c r="Q1618" s="13" t="s">
        <v>5289</v>
      </c>
      <c r="R1618" s="13" t="s">
        <v>5292</v>
      </c>
      <c r="S1618" s="13" t="s">
        <v>5293</v>
      </c>
      <c r="T1618" s="13" t="s">
        <v>4</v>
      </c>
      <c r="U1618" s="13" t="s">
        <v>43</v>
      </c>
      <c r="V1618" s="13" t="n">
        <f aca="false">IF(COUNTIF($B$2:B1618,B1618)=1,1,0)</f>
        <v>0</v>
      </c>
      <c r="W1618" s="13" t="n">
        <f aca="false">IF(COUNTIFS($B$2:B1618,B1618,$T$2:T1618,T1618)=1,1,0)</f>
        <v>0</v>
      </c>
    </row>
    <row r="1619" customFormat="false" ht="15" hidden="false" customHeight="false" outlineLevel="0" collapsed="false">
      <c r="A1619" s="13" t="s">
        <v>1444</v>
      </c>
      <c r="B1619" s="13" t="s">
        <v>50</v>
      </c>
      <c r="C1619" s="13" t="n">
        <v>730</v>
      </c>
      <c r="D1619" s="13" t="n">
        <v>1</v>
      </c>
      <c r="E1619" s="13" t="n">
        <v>734.13</v>
      </c>
      <c r="F1619" s="13" t="s">
        <v>5325</v>
      </c>
      <c r="G1619" s="13" t="s">
        <v>5292</v>
      </c>
      <c r="H1619" s="13" t="s">
        <v>5292</v>
      </c>
      <c r="I1619" s="13" t="s">
        <v>5289</v>
      </c>
      <c r="J1619" s="13" t="s">
        <v>5289</v>
      </c>
      <c r="K1619" s="13" t="s">
        <v>5289</v>
      </c>
      <c r="L1619" s="13" t="s">
        <v>5919</v>
      </c>
      <c r="M1619" s="13"/>
      <c r="N1619" s="13" t="n">
        <v>3349668617173</v>
      </c>
      <c r="O1619" s="13"/>
      <c r="P1619" s="13" t="s">
        <v>5291</v>
      </c>
      <c r="Q1619" s="13" t="s">
        <v>5289</v>
      </c>
      <c r="R1619" s="13" t="s">
        <v>5292</v>
      </c>
      <c r="S1619" s="13" t="s">
        <v>5293</v>
      </c>
      <c r="T1619" s="13" t="s">
        <v>4</v>
      </c>
      <c r="U1619" s="13" t="s">
        <v>43</v>
      </c>
      <c r="V1619" s="13" t="n">
        <f aca="false">IF(COUNTIF($B$2:B1619,B1619)=1,1,0)</f>
        <v>0</v>
      </c>
      <c r="W1619" s="13" t="n">
        <f aca="false">IF(COUNTIFS($B$2:B1619,B1619,$T$2:T1619,T1619)=1,1,0)</f>
        <v>0</v>
      </c>
    </row>
    <row r="1620" customFormat="false" ht="15" hidden="false" customHeight="false" outlineLevel="0" collapsed="false">
      <c r="A1620" s="13" t="s">
        <v>1440</v>
      </c>
      <c r="B1620" s="13" t="s">
        <v>42</v>
      </c>
      <c r="C1620" s="13" t="n">
        <v>730</v>
      </c>
      <c r="D1620" s="13" t="n">
        <v>1</v>
      </c>
      <c r="E1620" s="13" t="n">
        <v>732.51</v>
      </c>
      <c r="F1620" s="13" t="s">
        <v>5288</v>
      </c>
      <c r="G1620" s="13" t="s">
        <v>5289</v>
      </c>
      <c r="H1620" s="13" t="s">
        <v>5292</v>
      </c>
      <c r="I1620" s="13" t="s">
        <v>5289</v>
      </c>
      <c r="J1620" s="13" t="s">
        <v>5289</v>
      </c>
      <c r="K1620" s="13" t="s">
        <v>5289</v>
      </c>
      <c r="L1620" s="13" t="s">
        <v>6142</v>
      </c>
      <c r="M1620" s="13"/>
      <c r="N1620" s="13" t="n">
        <v>8411061994696</v>
      </c>
      <c r="O1620" s="13"/>
      <c r="P1620" s="13" t="s">
        <v>5291</v>
      </c>
      <c r="Q1620" s="13" t="s">
        <v>5289</v>
      </c>
      <c r="R1620" s="13" t="s">
        <v>5292</v>
      </c>
      <c r="S1620" s="13" t="s">
        <v>5293</v>
      </c>
      <c r="T1620" s="13" t="s">
        <v>4</v>
      </c>
      <c r="U1620" s="13" t="s">
        <v>43</v>
      </c>
      <c r="V1620" s="13" t="n">
        <f aca="false">IF(COUNTIF($B$2:B1620,B1620)=1,1,0)</f>
        <v>0</v>
      </c>
      <c r="W1620" s="13" t="n">
        <f aca="false">IF(COUNTIFS($B$2:B1620,B1620,$T$2:T1620,T1620)=1,1,0)</f>
        <v>0</v>
      </c>
    </row>
    <row r="1621" customFormat="false" ht="15" hidden="false" customHeight="false" outlineLevel="0" collapsed="false">
      <c r="A1621" s="13" t="s">
        <v>847</v>
      </c>
      <c r="B1621" s="13" t="s">
        <v>42</v>
      </c>
      <c r="C1621" s="13" t="n">
        <v>730</v>
      </c>
      <c r="D1621" s="13" t="n">
        <v>1</v>
      </c>
      <c r="E1621" s="13" t="n">
        <v>730.14</v>
      </c>
      <c r="F1621" s="13" t="s">
        <v>5288</v>
      </c>
      <c r="G1621" s="13" t="s">
        <v>5289</v>
      </c>
      <c r="H1621" s="13" t="s">
        <v>5292</v>
      </c>
      <c r="I1621" s="13" t="s">
        <v>5289</v>
      </c>
      <c r="J1621" s="13" t="s">
        <v>5289</v>
      </c>
      <c r="K1621" s="13" t="s">
        <v>5289</v>
      </c>
      <c r="L1621" s="13" t="s">
        <v>6143</v>
      </c>
      <c r="M1621" s="13"/>
      <c r="N1621" s="13" t="n">
        <v>8411061083666</v>
      </c>
      <c r="O1621" s="13"/>
      <c r="P1621" s="13" t="s">
        <v>5291</v>
      </c>
      <c r="Q1621" s="13" t="s">
        <v>5289</v>
      </c>
      <c r="R1621" s="13" t="s">
        <v>5292</v>
      </c>
      <c r="S1621" s="13" t="s">
        <v>5293</v>
      </c>
      <c r="T1621" s="13" t="s">
        <v>4</v>
      </c>
      <c r="U1621" s="13" t="s">
        <v>43</v>
      </c>
      <c r="V1621" s="13" t="n">
        <f aca="false">IF(COUNTIF($B$2:B1621,B1621)=1,1,0)</f>
        <v>0</v>
      </c>
      <c r="W1621" s="13" t="n">
        <f aca="false">IF(COUNTIFS($B$2:B1621,B1621,$T$2:T1621,T1621)=1,1,0)</f>
        <v>0</v>
      </c>
    </row>
    <row r="1622" customFormat="false" ht="15" hidden="false" customHeight="false" outlineLevel="0" collapsed="false">
      <c r="A1622" s="13" t="s">
        <v>246</v>
      </c>
      <c r="B1622" s="13" t="s">
        <v>42</v>
      </c>
      <c r="C1622" s="13" t="n">
        <v>730</v>
      </c>
      <c r="D1622" s="13" t="n">
        <v>1</v>
      </c>
      <c r="E1622" s="13" t="n">
        <v>730.14</v>
      </c>
      <c r="F1622" s="13" t="s">
        <v>5288</v>
      </c>
      <c r="G1622" s="13" t="s">
        <v>5289</v>
      </c>
      <c r="H1622" s="13" t="s">
        <v>5289</v>
      </c>
      <c r="I1622" s="13" t="s">
        <v>5289</v>
      </c>
      <c r="J1622" s="13" t="s">
        <v>5289</v>
      </c>
      <c r="K1622" s="13" t="s">
        <v>5289</v>
      </c>
      <c r="L1622" s="13" t="s">
        <v>6143</v>
      </c>
      <c r="M1622" s="13"/>
      <c r="N1622" s="13" t="n">
        <v>8411061083666</v>
      </c>
      <c r="O1622" s="13"/>
      <c r="P1622" s="13" t="s">
        <v>5291</v>
      </c>
      <c r="Q1622" s="13" t="s">
        <v>5289</v>
      </c>
      <c r="R1622" s="13" t="s">
        <v>5292</v>
      </c>
      <c r="S1622" s="13" t="s">
        <v>5293</v>
      </c>
      <c r="T1622" s="13" t="s">
        <v>4</v>
      </c>
      <c r="U1622" s="13" t="s">
        <v>43</v>
      </c>
      <c r="V1622" s="13" t="n">
        <f aca="false">IF(COUNTIF($B$2:B1622,B1622)=1,1,0)</f>
        <v>0</v>
      </c>
      <c r="W1622" s="13" t="n">
        <f aca="false">IF(COUNTIFS($B$2:B1622,B1622,$T$2:T1622,T1622)=1,1,0)</f>
        <v>0</v>
      </c>
    </row>
    <row r="1623" customFormat="false" ht="15" hidden="false" customHeight="false" outlineLevel="0" collapsed="false">
      <c r="A1623" s="13" t="s">
        <v>4299</v>
      </c>
      <c r="B1623" s="13" t="s">
        <v>2120</v>
      </c>
      <c r="C1623" s="13" t="n">
        <v>730</v>
      </c>
      <c r="D1623" s="13" t="n">
        <v>2</v>
      </c>
      <c r="E1623" s="13" t="n">
        <v>363.99</v>
      </c>
      <c r="F1623" s="13" t="s">
        <v>5288</v>
      </c>
      <c r="G1623" s="13" t="s">
        <v>5289</v>
      </c>
      <c r="H1623" s="13" t="s">
        <v>5292</v>
      </c>
      <c r="I1623" s="13" t="s">
        <v>5289</v>
      </c>
      <c r="J1623" s="13" t="s">
        <v>5289</v>
      </c>
      <c r="K1623" s="13" t="s">
        <v>5289</v>
      </c>
      <c r="L1623" s="13" t="s">
        <v>6144</v>
      </c>
      <c r="M1623" s="13"/>
      <c r="N1623" s="13" t="n">
        <v>3423470480986</v>
      </c>
      <c r="O1623" s="13"/>
      <c r="P1623" s="13" t="s">
        <v>5297</v>
      </c>
      <c r="Q1623" s="13" t="s">
        <v>5289</v>
      </c>
      <c r="R1623" s="13" t="s">
        <v>5292</v>
      </c>
      <c r="S1623" s="13" t="s">
        <v>5293</v>
      </c>
      <c r="T1623" s="13" t="s">
        <v>4</v>
      </c>
      <c r="U1623" s="13" t="s">
        <v>43</v>
      </c>
      <c r="V1623" s="13" t="n">
        <f aca="false">IF(COUNTIF($B$2:B1623,B1623)=1,1,0)</f>
        <v>0</v>
      </c>
      <c r="W1623" s="13" t="n">
        <f aca="false">IF(COUNTIFS($B$2:B1623,B1623,$T$2:T1623,T1623)=1,1,0)</f>
        <v>0</v>
      </c>
    </row>
    <row r="1624" customFormat="false" ht="15" hidden="false" customHeight="false" outlineLevel="0" collapsed="false">
      <c r="A1624" s="13" t="s">
        <v>1442</v>
      </c>
      <c r="B1624" s="13" t="s">
        <v>50</v>
      </c>
      <c r="C1624" s="13" t="n">
        <v>730</v>
      </c>
      <c r="D1624" s="13" t="n">
        <v>1</v>
      </c>
      <c r="E1624" s="13" t="n">
        <v>726.68</v>
      </c>
      <c r="F1624" s="13" t="s">
        <v>5288</v>
      </c>
      <c r="G1624" s="13" t="s">
        <v>5289</v>
      </c>
      <c r="H1624" s="13" t="s">
        <v>5289</v>
      </c>
      <c r="I1624" s="13" t="s">
        <v>5289</v>
      </c>
      <c r="J1624" s="13" t="s">
        <v>5289</v>
      </c>
      <c r="K1624" s="13" t="s">
        <v>5289</v>
      </c>
      <c r="L1624" s="13" t="s">
        <v>6145</v>
      </c>
      <c r="M1624" s="13"/>
      <c r="N1624" s="13" t="n">
        <v>3349668642878</v>
      </c>
      <c r="O1624" s="13"/>
      <c r="P1624" s="13" t="s">
        <v>5297</v>
      </c>
      <c r="Q1624" s="13" t="s">
        <v>5289</v>
      </c>
      <c r="R1624" s="13" t="s">
        <v>5292</v>
      </c>
      <c r="S1624" s="13" t="s">
        <v>5293</v>
      </c>
      <c r="T1624" s="13" t="s">
        <v>4</v>
      </c>
      <c r="U1624" s="13" t="s">
        <v>43</v>
      </c>
      <c r="V1624" s="13" t="n">
        <f aca="false">IF(COUNTIF($B$2:B1624,B1624)=1,1,0)</f>
        <v>0</v>
      </c>
      <c r="W1624" s="13" t="n">
        <f aca="false">IF(COUNTIFS($B$2:B1624,B1624,$T$2:T1624,T1624)=1,1,0)</f>
        <v>0</v>
      </c>
    </row>
    <row r="1625" customFormat="false" ht="15" hidden="false" customHeight="false" outlineLevel="0" collapsed="false">
      <c r="A1625" s="13" t="s">
        <v>1457</v>
      </c>
      <c r="B1625" s="13" t="s">
        <v>255</v>
      </c>
      <c r="C1625" s="13" t="n">
        <v>720</v>
      </c>
      <c r="D1625" s="13" t="n">
        <v>2</v>
      </c>
      <c r="E1625" s="13" t="n">
        <v>241.48</v>
      </c>
      <c r="F1625" s="13" t="s">
        <v>5288</v>
      </c>
      <c r="G1625" s="13" t="s">
        <v>5289</v>
      </c>
      <c r="H1625" s="13" t="s">
        <v>5292</v>
      </c>
      <c r="I1625" s="13" t="s">
        <v>5289</v>
      </c>
      <c r="J1625" s="13" t="s">
        <v>5289</v>
      </c>
      <c r="K1625" s="13" t="s">
        <v>5289</v>
      </c>
      <c r="L1625" s="13" t="s">
        <v>6146</v>
      </c>
      <c r="M1625" s="13"/>
      <c r="N1625" s="13" t="n">
        <v>5055810014919</v>
      </c>
      <c r="O1625" s="13"/>
      <c r="P1625" s="13" t="s">
        <v>5291</v>
      </c>
      <c r="Q1625" s="13" t="s">
        <v>5289</v>
      </c>
      <c r="R1625" s="13" t="s">
        <v>5292</v>
      </c>
      <c r="S1625" s="13" t="s">
        <v>5293</v>
      </c>
      <c r="T1625" s="13" t="s">
        <v>4</v>
      </c>
      <c r="U1625" s="13" t="s">
        <v>43</v>
      </c>
      <c r="V1625" s="13" t="n">
        <f aca="false">IF(COUNTIF($B$2:B1625,B1625)=1,1,0)</f>
        <v>0</v>
      </c>
      <c r="W1625" s="13" t="n">
        <f aca="false">IF(COUNTIFS($B$2:B1625,B1625,$T$2:T1625,T1625)=1,1,0)</f>
        <v>0</v>
      </c>
    </row>
    <row r="1626" customFormat="false" ht="15" hidden="false" customHeight="false" outlineLevel="0" collapsed="false">
      <c r="A1626" s="13" t="s">
        <v>1453</v>
      </c>
      <c r="B1626" s="13" t="s">
        <v>50</v>
      </c>
      <c r="C1626" s="13" t="n">
        <v>720</v>
      </c>
      <c r="D1626" s="13" t="n">
        <v>1</v>
      </c>
      <c r="E1626" s="13" t="n">
        <v>724.44</v>
      </c>
      <c r="F1626" s="13" t="s">
        <v>5288</v>
      </c>
      <c r="G1626" s="13" t="s">
        <v>5289</v>
      </c>
      <c r="H1626" s="13" t="s">
        <v>5292</v>
      </c>
      <c r="I1626" s="13" t="s">
        <v>5289</v>
      </c>
      <c r="J1626" s="13" t="s">
        <v>5289</v>
      </c>
      <c r="K1626" s="13" t="s">
        <v>5289</v>
      </c>
      <c r="L1626" s="13" t="s">
        <v>5692</v>
      </c>
      <c r="M1626" s="13"/>
      <c r="N1626" s="13" t="n">
        <v>3349668636648</v>
      </c>
      <c r="O1626" s="13"/>
      <c r="P1626" s="13" t="s">
        <v>5291</v>
      </c>
      <c r="Q1626" s="13" t="s">
        <v>5289</v>
      </c>
      <c r="R1626" s="13" t="s">
        <v>5292</v>
      </c>
      <c r="S1626" s="13" t="s">
        <v>5293</v>
      </c>
      <c r="T1626" s="13" t="s">
        <v>4</v>
      </c>
      <c r="U1626" s="13" t="s">
        <v>43</v>
      </c>
      <c r="V1626" s="13" t="n">
        <f aca="false">IF(COUNTIF($B$2:B1626,B1626)=1,1,0)</f>
        <v>0</v>
      </c>
      <c r="W1626" s="13" t="n">
        <f aca="false">IF(COUNTIFS($B$2:B1626,B1626,$T$2:T1626,T1626)=1,1,0)</f>
        <v>0</v>
      </c>
    </row>
    <row r="1627" customFormat="false" ht="15" hidden="false" customHeight="false" outlineLevel="0" collapsed="false">
      <c r="A1627" s="13" t="s">
        <v>1450</v>
      </c>
      <c r="B1627" s="13" t="s">
        <v>45</v>
      </c>
      <c r="C1627" s="13" t="n">
        <v>720</v>
      </c>
      <c r="D1627" s="13" t="n">
        <v>1</v>
      </c>
      <c r="E1627" s="13" t="n">
        <v>721.54</v>
      </c>
      <c r="F1627" s="13" t="s">
        <v>5288</v>
      </c>
      <c r="G1627" s="13" t="s">
        <v>5289</v>
      </c>
      <c r="H1627" s="13" t="s">
        <v>5292</v>
      </c>
      <c r="I1627" s="13" t="s">
        <v>5289</v>
      </c>
      <c r="J1627" s="13" t="s">
        <v>5289</v>
      </c>
      <c r="K1627" s="13" t="s">
        <v>5289</v>
      </c>
      <c r="L1627" s="13" t="s">
        <v>5689</v>
      </c>
      <c r="M1627" s="13"/>
      <c r="N1627" s="13" t="n">
        <v>8435415032315</v>
      </c>
      <c r="O1627" s="13"/>
      <c r="P1627" s="13" t="s">
        <v>5291</v>
      </c>
      <c r="Q1627" s="13" t="s">
        <v>5289</v>
      </c>
      <c r="R1627" s="13" t="s">
        <v>5292</v>
      </c>
      <c r="S1627" s="13" t="s">
        <v>5293</v>
      </c>
      <c r="T1627" s="13" t="s">
        <v>4</v>
      </c>
      <c r="U1627" s="13" t="s">
        <v>43</v>
      </c>
      <c r="V1627" s="13" t="n">
        <f aca="false">IF(COUNTIF($B$2:B1627,B1627)=1,1,0)</f>
        <v>0</v>
      </c>
      <c r="W1627" s="13" t="n">
        <f aca="false">IF(COUNTIFS($B$2:B1627,B1627,$T$2:T1627,T1627)=1,1,0)</f>
        <v>0</v>
      </c>
    </row>
    <row r="1628" customFormat="false" ht="15" hidden="false" customHeight="false" outlineLevel="0" collapsed="false">
      <c r="A1628" s="13" t="s">
        <v>1451</v>
      </c>
      <c r="B1628" s="13" t="s">
        <v>302</v>
      </c>
      <c r="C1628" s="13" t="n">
        <v>720</v>
      </c>
      <c r="D1628" s="13" t="n">
        <v>1</v>
      </c>
      <c r="E1628" s="13" t="n">
        <v>721.16</v>
      </c>
      <c r="F1628" s="13" t="s">
        <v>5288</v>
      </c>
      <c r="G1628" s="13" t="s">
        <v>5289</v>
      </c>
      <c r="H1628" s="13" t="s">
        <v>5292</v>
      </c>
      <c r="I1628" s="13" t="s">
        <v>5289</v>
      </c>
      <c r="J1628" s="13" t="s">
        <v>5289</v>
      </c>
      <c r="K1628" s="13" t="s">
        <v>5289</v>
      </c>
      <c r="L1628" s="13" t="s">
        <v>6147</v>
      </c>
      <c r="M1628" s="13"/>
      <c r="N1628" s="13" t="n">
        <v>3274872502598</v>
      </c>
      <c r="O1628" s="13"/>
      <c r="P1628" s="13" t="s">
        <v>5291</v>
      </c>
      <c r="Q1628" s="13" t="s">
        <v>5289</v>
      </c>
      <c r="R1628" s="13" t="s">
        <v>5292</v>
      </c>
      <c r="S1628" s="13" t="s">
        <v>5293</v>
      </c>
      <c r="T1628" s="13" t="s">
        <v>4</v>
      </c>
      <c r="U1628" s="13" t="s">
        <v>43</v>
      </c>
      <c r="V1628" s="13" t="n">
        <f aca="false">IF(COUNTIF($B$2:B1628,B1628)=1,1,0)</f>
        <v>0</v>
      </c>
      <c r="W1628" s="13" t="n">
        <f aca="false">IF(COUNTIFS($B$2:B1628,B1628,$T$2:T1628,T1628)=1,1,0)</f>
        <v>0</v>
      </c>
    </row>
    <row r="1629" customFormat="false" ht="15" hidden="false" customHeight="false" outlineLevel="0" collapsed="false">
      <c r="A1629" s="13" t="s">
        <v>1452</v>
      </c>
      <c r="B1629" s="13" t="s">
        <v>153</v>
      </c>
      <c r="C1629" s="13" t="n">
        <v>720</v>
      </c>
      <c r="D1629" s="13" t="n">
        <v>1</v>
      </c>
      <c r="E1629" s="13" t="n">
        <v>718.55</v>
      </c>
      <c r="F1629" s="13" t="s">
        <v>5325</v>
      </c>
      <c r="G1629" s="13" t="s">
        <v>5292</v>
      </c>
      <c r="H1629" s="13" t="s">
        <v>5292</v>
      </c>
      <c r="I1629" s="13" t="s">
        <v>5289</v>
      </c>
      <c r="J1629" s="13" t="s">
        <v>5289</v>
      </c>
      <c r="K1629" s="13" t="s">
        <v>5289</v>
      </c>
      <c r="L1629" s="13" t="s">
        <v>5935</v>
      </c>
      <c r="M1629" s="13"/>
      <c r="N1629" s="13" t="n">
        <v>8011003895755</v>
      </c>
      <c r="O1629" s="13"/>
      <c r="P1629" s="13" t="s">
        <v>5291</v>
      </c>
      <c r="Q1629" s="13" t="s">
        <v>5289</v>
      </c>
      <c r="R1629" s="13" t="s">
        <v>5292</v>
      </c>
      <c r="S1629" s="13" t="s">
        <v>5293</v>
      </c>
      <c r="T1629" s="13" t="s">
        <v>4</v>
      </c>
      <c r="U1629" s="13" t="s">
        <v>43</v>
      </c>
      <c r="V1629" s="13" t="n">
        <f aca="false">IF(COUNTIF($B$2:B1629,B1629)=1,1,0)</f>
        <v>0</v>
      </c>
      <c r="W1629" s="13" t="n">
        <f aca="false">IF(COUNTIFS($B$2:B1629,B1629,$T$2:T1629,T1629)=1,1,0)</f>
        <v>0</v>
      </c>
    </row>
    <row r="1630" customFormat="false" ht="15" hidden="false" customHeight="false" outlineLevel="0" collapsed="false">
      <c r="A1630" s="13" t="s">
        <v>6148</v>
      </c>
      <c r="B1630" s="13" t="s">
        <v>2111</v>
      </c>
      <c r="C1630" s="13" t="n">
        <v>720</v>
      </c>
      <c r="D1630" s="13" t="n">
        <v>1</v>
      </c>
      <c r="E1630" s="13" t="n">
        <v>717.08</v>
      </c>
      <c r="F1630" s="13" t="s">
        <v>5288</v>
      </c>
      <c r="G1630" s="13" t="s">
        <v>5289</v>
      </c>
      <c r="H1630" s="13" t="s">
        <v>5292</v>
      </c>
      <c r="I1630" s="13" t="s">
        <v>5289</v>
      </c>
      <c r="J1630" s="13" t="s">
        <v>5289</v>
      </c>
      <c r="K1630" s="13" t="s">
        <v>5289</v>
      </c>
      <c r="L1630" s="13" t="s">
        <v>6149</v>
      </c>
      <c r="M1630" s="13"/>
      <c r="N1630" s="13" t="n">
        <v>3386460141703</v>
      </c>
      <c r="O1630" s="13"/>
      <c r="P1630" s="13" t="s">
        <v>5291</v>
      </c>
      <c r="Q1630" s="13" t="s">
        <v>5289</v>
      </c>
      <c r="R1630" s="13" t="s">
        <v>5292</v>
      </c>
      <c r="S1630" s="13" t="s">
        <v>5293</v>
      </c>
      <c r="T1630" s="13" t="s">
        <v>4</v>
      </c>
      <c r="U1630" s="13" t="s">
        <v>43</v>
      </c>
      <c r="V1630" s="13" t="n">
        <f aca="false">IF(COUNTIF($B$2:B1630,B1630)=1,1,0)</f>
        <v>0</v>
      </c>
      <c r="W1630" s="13" t="n">
        <f aca="false">IF(COUNTIFS($B$2:B1630,B1630,$T$2:T1630,T1630)=1,1,0)</f>
        <v>0</v>
      </c>
    </row>
    <row r="1631" customFormat="false" ht="15" hidden="false" customHeight="false" outlineLevel="0" collapsed="false">
      <c r="A1631" s="13" t="s">
        <v>1448</v>
      </c>
      <c r="B1631" s="13" t="s">
        <v>362</v>
      </c>
      <c r="C1631" s="13" t="n">
        <v>720</v>
      </c>
      <c r="D1631" s="13" t="n">
        <v>1</v>
      </c>
      <c r="E1631" s="13" t="n">
        <v>717.08</v>
      </c>
      <c r="F1631" s="13" t="s">
        <v>5325</v>
      </c>
      <c r="G1631" s="13" t="s">
        <v>5292</v>
      </c>
      <c r="H1631" s="13" t="s">
        <v>5292</v>
      </c>
      <c r="I1631" s="13" t="s">
        <v>5289</v>
      </c>
      <c r="J1631" s="13" t="s">
        <v>5289</v>
      </c>
      <c r="K1631" s="13" t="s">
        <v>5289</v>
      </c>
      <c r="L1631" s="13" t="s">
        <v>5705</v>
      </c>
      <c r="M1631" s="13"/>
      <c r="N1631" s="13" t="n">
        <v>3386460153720</v>
      </c>
      <c r="O1631" s="13"/>
      <c r="P1631" s="13" t="s">
        <v>5291</v>
      </c>
      <c r="Q1631" s="13" t="s">
        <v>5289</v>
      </c>
      <c r="R1631" s="13" t="s">
        <v>5292</v>
      </c>
      <c r="S1631" s="13" t="s">
        <v>5293</v>
      </c>
      <c r="T1631" s="13" t="s">
        <v>4</v>
      </c>
      <c r="U1631" s="13" t="s">
        <v>43</v>
      </c>
      <c r="V1631" s="13" t="n">
        <f aca="false">IF(COUNTIF($B$2:B1631,B1631)=1,1,0)</f>
        <v>0</v>
      </c>
      <c r="W1631" s="13" t="n">
        <f aca="false">IF(COUNTIFS($B$2:B1631,B1631,$T$2:T1631,T1631)=1,1,0)</f>
        <v>0</v>
      </c>
    </row>
    <row r="1632" customFormat="false" ht="15" hidden="false" customHeight="false" outlineLevel="0" collapsed="false">
      <c r="A1632" s="13" t="s">
        <v>1449</v>
      </c>
      <c r="B1632" s="13" t="s">
        <v>92</v>
      </c>
      <c r="C1632" s="13" t="n">
        <v>720</v>
      </c>
      <c r="D1632" s="13" t="n">
        <v>1</v>
      </c>
      <c r="E1632" s="13" t="n">
        <v>717.06</v>
      </c>
      <c r="F1632" s="13" t="s">
        <v>5288</v>
      </c>
      <c r="G1632" s="13" t="s">
        <v>5292</v>
      </c>
      <c r="H1632" s="13" t="s">
        <v>5292</v>
      </c>
      <c r="I1632" s="13" t="s">
        <v>5289</v>
      </c>
      <c r="J1632" s="13" t="s">
        <v>5289</v>
      </c>
      <c r="K1632" s="13" t="s">
        <v>5289</v>
      </c>
      <c r="L1632" s="13" t="s">
        <v>6150</v>
      </c>
      <c r="M1632" s="13"/>
      <c r="N1632" s="13" t="n">
        <v>3614223113347</v>
      </c>
      <c r="O1632" s="13"/>
      <c r="P1632" s="13" t="s">
        <v>5291</v>
      </c>
      <c r="Q1632" s="13" t="s">
        <v>5289</v>
      </c>
      <c r="R1632" s="13" t="s">
        <v>5292</v>
      </c>
      <c r="S1632" s="13" t="s">
        <v>5293</v>
      </c>
      <c r="T1632" s="13" t="s">
        <v>4</v>
      </c>
      <c r="U1632" s="13" t="s">
        <v>43</v>
      </c>
      <c r="V1632" s="13" t="n">
        <f aca="false">IF(COUNTIF($B$2:B1632,B1632)=1,1,0)</f>
        <v>0</v>
      </c>
      <c r="W1632" s="13" t="n">
        <f aca="false">IF(COUNTIFS($B$2:B1632,B1632,$T$2:T1632,T1632)=1,1,0)</f>
        <v>0</v>
      </c>
    </row>
    <row r="1633" customFormat="false" ht="15" hidden="false" customHeight="false" outlineLevel="0" collapsed="false">
      <c r="A1633" s="13" t="s">
        <v>6151</v>
      </c>
      <c r="B1633" s="13" t="s">
        <v>2143</v>
      </c>
      <c r="C1633" s="13" t="n">
        <v>720</v>
      </c>
      <c r="D1633" s="13" t="n">
        <v>1</v>
      </c>
      <c r="E1633" s="13" t="n">
        <v>715.68</v>
      </c>
      <c r="F1633" s="13" t="s">
        <v>5288</v>
      </c>
      <c r="G1633" s="13" t="s">
        <v>5292</v>
      </c>
      <c r="H1633" s="13" t="s">
        <v>5292</v>
      </c>
      <c r="I1633" s="13" t="s">
        <v>5289</v>
      </c>
      <c r="J1633" s="13" t="s">
        <v>5289</v>
      </c>
      <c r="K1633" s="13" t="s">
        <v>5289</v>
      </c>
      <c r="L1633" s="13" t="s">
        <v>6152</v>
      </c>
      <c r="M1633" s="13"/>
      <c r="N1633" s="13" t="n">
        <v>3274872427204</v>
      </c>
      <c r="O1633" s="13"/>
      <c r="P1633" s="13" t="s">
        <v>5291</v>
      </c>
      <c r="Q1633" s="13" t="s">
        <v>5289</v>
      </c>
      <c r="R1633" s="13" t="s">
        <v>5292</v>
      </c>
      <c r="S1633" s="13" t="s">
        <v>5293</v>
      </c>
      <c r="T1633" s="13" t="s">
        <v>4</v>
      </c>
      <c r="U1633" s="13" t="s">
        <v>43</v>
      </c>
      <c r="V1633" s="13" t="n">
        <f aca="false">IF(COUNTIF($B$2:B1633,B1633)=1,1,0)</f>
        <v>0</v>
      </c>
      <c r="W1633" s="13" t="n">
        <f aca="false">IF(COUNTIFS($B$2:B1633,B1633,$T$2:T1633,T1633)=1,1,0)</f>
        <v>0</v>
      </c>
    </row>
    <row r="1634" customFormat="false" ht="15" hidden="false" customHeight="false" outlineLevel="0" collapsed="false">
      <c r="A1634" s="13" t="s">
        <v>501</v>
      </c>
      <c r="B1634" s="13" t="s">
        <v>42</v>
      </c>
      <c r="C1634" s="13" t="n">
        <v>720</v>
      </c>
      <c r="D1634" s="13" t="n">
        <v>1</v>
      </c>
      <c r="E1634" s="13" t="n">
        <v>715.17</v>
      </c>
      <c r="F1634" s="13" t="s">
        <v>5325</v>
      </c>
      <c r="G1634" s="13" t="s">
        <v>5289</v>
      </c>
      <c r="H1634" s="13" t="s">
        <v>5292</v>
      </c>
      <c r="I1634" s="13" t="s">
        <v>5289</v>
      </c>
      <c r="J1634" s="13" t="s">
        <v>5289</v>
      </c>
      <c r="K1634" s="13" t="s">
        <v>5289</v>
      </c>
      <c r="L1634" s="13" t="s">
        <v>5699</v>
      </c>
      <c r="M1634" s="13"/>
      <c r="N1634" s="13" t="n">
        <v>8411061067925</v>
      </c>
      <c r="O1634" s="13"/>
      <c r="P1634" s="13" t="s">
        <v>5291</v>
      </c>
      <c r="Q1634" s="13" t="s">
        <v>5289</v>
      </c>
      <c r="R1634" s="13" t="s">
        <v>5292</v>
      </c>
      <c r="S1634" s="13" t="s">
        <v>5293</v>
      </c>
      <c r="T1634" s="13" t="s">
        <v>4</v>
      </c>
      <c r="U1634" s="13" t="s">
        <v>43</v>
      </c>
      <c r="V1634" s="13" t="n">
        <f aca="false">IF(COUNTIF($B$2:B1634,B1634)=1,1,0)</f>
        <v>0</v>
      </c>
      <c r="W1634" s="13" t="n">
        <f aca="false">IF(COUNTIFS($B$2:B1634,B1634,$T$2:T1634,T1634)=1,1,0)</f>
        <v>0</v>
      </c>
    </row>
    <row r="1635" customFormat="false" ht="15" hidden="false" customHeight="false" outlineLevel="0" collapsed="false">
      <c r="A1635" s="13" t="s">
        <v>91</v>
      </c>
      <c r="B1635" s="13" t="s">
        <v>42</v>
      </c>
      <c r="C1635" s="13" t="n">
        <v>720</v>
      </c>
      <c r="D1635" s="13" t="n">
        <v>1</v>
      </c>
      <c r="E1635" s="13" t="n">
        <v>715.17</v>
      </c>
      <c r="F1635" s="13" t="s">
        <v>5325</v>
      </c>
      <c r="G1635" s="13" t="s">
        <v>5289</v>
      </c>
      <c r="H1635" s="13" t="s">
        <v>5289</v>
      </c>
      <c r="I1635" s="13" t="s">
        <v>5289</v>
      </c>
      <c r="J1635" s="13" t="s">
        <v>5289</v>
      </c>
      <c r="K1635" s="13" t="s">
        <v>5289</v>
      </c>
      <c r="L1635" s="13" t="s">
        <v>5699</v>
      </c>
      <c r="M1635" s="13"/>
      <c r="N1635" s="13" t="n">
        <v>8411061067925</v>
      </c>
      <c r="O1635" s="13"/>
      <c r="P1635" s="13" t="s">
        <v>5291</v>
      </c>
      <c r="Q1635" s="13" t="s">
        <v>5289</v>
      </c>
      <c r="R1635" s="13" t="s">
        <v>5292</v>
      </c>
      <c r="S1635" s="13" t="s">
        <v>5293</v>
      </c>
      <c r="T1635" s="13" t="s">
        <v>4</v>
      </c>
      <c r="U1635" s="13" t="s">
        <v>43</v>
      </c>
      <c r="V1635" s="13" t="n">
        <f aca="false">IF(COUNTIF($B$2:B1635,B1635)=1,1,0)</f>
        <v>0</v>
      </c>
      <c r="W1635" s="13" t="n">
        <f aca="false">IF(COUNTIFS($B$2:B1635,B1635,$T$2:T1635,T1635)=1,1,0)</f>
        <v>0</v>
      </c>
    </row>
    <row r="1636" customFormat="false" ht="15" hidden="false" customHeight="false" outlineLevel="0" collapsed="false">
      <c r="A1636" s="13" t="s">
        <v>1462</v>
      </c>
      <c r="B1636" s="13" t="s">
        <v>50</v>
      </c>
      <c r="C1636" s="13" t="n">
        <v>710</v>
      </c>
      <c r="D1636" s="13" t="n">
        <v>1</v>
      </c>
      <c r="E1636" s="13" t="n">
        <v>710.2</v>
      </c>
      <c r="F1636" s="13" t="s">
        <v>5288</v>
      </c>
      <c r="G1636" s="13" t="s">
        <v>5289</v>
      </c>
      <c r="H1636" s="13" t="s">
        <v>5289</v>
      </c>
      <c r="I1636" s="13" t="s">
        <v>5289</v>
      </c>
      <c r="J1636" s="13" t="s">
        <v>5289</v>
      </c>
      <c r="K1636" s="13" t="s">
        <v>5289</v>
      </c>
      <c r="L1636" s="13" t="s">
        <v>6153</v>
      </c>
      <c r="M1636" s="13"/>
      <c r="N1636" s="13" t="n">
        <v>3349668645206</v>
      </c>
      <c r="O1636" s="13"/>
      <c r="P1636" s="13" t="s">
        <v>5297</v>
      </c>
      <c r="Q1636" s="13" t="s">
        <v>5289</v>
      </c>
      <c r="R1636" s="13" t="s">
        <v>5292</v>
      </c>
      <c r="S1636" s="13" t="s">
        <v>5293</v>
      </c>
      <c r="T1636" s="13" t="s">
        <v>4</v>
      </c>
      <c r="U1636" s="13" t="s">
        <v>43</v>
      </c>
      <c r="V1636" s="13" t="n">
        <f aca="false">IF(COUNTIF($B$2:B1636,B1636)=1,1,0)</f>
        <v>0</v>
      </c>
      <c r="W1636" s="13" t="n">
        <f aca="false">IF(COUNTIFS($B$2:B1636,B1636,$T$2:T1636,T1636)=1,1,0)</f>
        <v>0</v>
      </c>
    </row>
    <row r="1637" customFormat="false" ht="15" hidden="false" customHeight="false" outlineLevel="0" collapsed="false">
      <c r="A1637" s="13" t="s">
        <v>1459</v>
      </c>
      <c r="B1637" s="13" t="s">
        <v>177</v>
      </c>
      <c r="C1637" s="13" t="n">
        <v>710</v>
      </c>
      <c r="D1637" s="13" t="n">
        <v>1</v>
      </c>
      <c r="E1637" s="13" t="n">
        <v>708.67</v>
      </c>
      <c r="F1637" s="13" t="s">
        <v>5288</v>
      </c>
      <c r="G1637" s="13" t="s">
        <v>5292</v>
      </c>
      <c r="H1637" s="13" t="s">
        <v>5292</v>
      </c>
      <c r="I1637" s="13" t="s">
        <v>5289</v>
      </c>
      <c r="J1637" s="13" t="s">
        <v>5289</v>
      </c>
      <c r="K1637" s="13" t="s">
        <v>5289</v>
      </c>
      <c r="L1637" s="13" t="s">
        <v>6154</v>
      </c>
      <c r="M1637" s="13"/>
      <c r="N1637" s="13" t="n">
        <v>3616303048181</v>
      </c>
      <c r="O1637" s="13"/>
      <c r="P1637" s="13" t="s">
        <v>5291</v>
      </c>
      <c r="Q1637" s="13" t="s">
        <v>5289</v>
      </c>
      <c r="R1637" s="13" t="s">
        <v>5292</v>
      </c>
      <c r="S1637" s="13" t="s">
        <v>5293</v>
      </c>
      <c r="T1637" s="13" t="s">
        <v>4</v>
      </c>
      <c r="U1637" s="13" t="s">
        <v>43</v>
      </c>
      <c r="V1637" s="13" t="n">
        <f aca="false">IF(COUNTIF($B$2:B1637,B1637)=1,1,0)</f>
        <v>0</v>
      </c>
      <c r="W1637" s="13" t="n">
        <f aca="false">IF(COUNTIFS($B$2:B1637,B1637,$T$2:T1637,T1637)=1,1,0)</f>
        <v>0</v>
      </c>
    </row>
    <row r="1638" customFormat="false" ht="15" hidden="false" customHeight="false" outlineLevel="0" collapsed="false">
      <c r="A1638" s="13" t="s">
        <v>1458</v>
      </c>
      <c r="B1638" s="13" t="s">
        <v>177</v>
      </c>
      <c r="C1638" s="13" t="n">
        <v>710</v>
      </c>
      <c r="D1638" s="13" t="n">
        <v>1</v>
      </c>
      <c r="E1638" s="13" t="n">
        <v>708.67</v>
      </c>
      <c r="F1638" s="13" t="s">
        <v>5288</v>
      </c>
      <c r="G1638" s="13" t="s">
        <v>5292</v>
      </c>
      <c r="H1638" s="13" t="s">
        <v>5292</v>
      </c>
      <c r="I1638" s="13" t="s">
        <v>5289</v>
      </c>
      <c r="J1638" s="13" t="s">
        <v>5289</v>
      </c>
      <c r="K1638" s="13" t="s">
        <v>5289</v>
      </c>
      <c r="L1638" s="13" t="s">
        <v>5993</v>
      </c>
      <c r="M1638" s="13"/>
      <c r="N1638" s="13" t="n">
        <v>3616303470791</v>
      </c>
      <c r="O1638" s="13"/>
      <c r="P1638" s="13" t="s">
        <v>5291</v>
      </c>
      <c r="Q1638" s="13" t="s">
        <v>5289</v>
      </c>
      <c r="R1638" s="13" t="s">
        <v>5292</v>
      </c>
      <c r="S1638" s="13" t="s">
        <v>5293</v>
      </c>
      <c r="T1638" s="13" t="s">
        <v>4</v>
      </c>
      <c r="U1638" s="13" t="s">
        <v>43</v>
      </c>
      <c r="V1638" s="13" t="n">
        <f aca="false">IF(COUNTIF($B$2:B1638,B1638)=1,1,0)</f>
        <v>0</v>
      </c>
      <c r="W1638" s="13" t="n">
        <f aca="false">IF(COUNTIFS($B$2:B1638,B1638,$T$2:T1638,T1638)=1,1,0)</f>
        <v>0</v>
      </c>
    </row>
    <row r="1639" customFormat="false" ht="15" hidden="false" customHeight="false" outlineLevel="0" collapsed="false">
      <c r="A1639" s="13" t="s">
        <v>911</v>
      </c>
      <c r="B1639" s="13" t="s">
        <v>50</v>
      </c>
      <c r="C1639" s="13" t="n">
        <v>710</v>
      </c>
      <c r="D1639" s="13" t="n">
        <v>1</v>
      </c>
      <c r="E1639" s="13" t="n">
        <v>708.63</v>
      </c>
      <c r="F1639" s="13" t="s">
        <v>5325</v>
      </c>
      <c r="G1639" s="13" t="s">
        <v>5289</v>
      </c>
      <c r="H1639" s="13" t="s">
        <v>5289</v>
      </c>
      <c r="I1639" s="13" t="s">
        <v>5289</v>
      </c>
      <c r="J1639" s="13" t="s">
        <v>5289</v>
      </c>
      <c r="K1639" s="13" t="s">
        <v>5289</v>
      </c>
      <c r="L1639" s="13" t="s">
        <v>5929</v>
      </c>
      <c r="M1639" s="13"/>
      <c r="N1639" s="13" t="n">
        <v>3349668643943</v>
      </c>
      <c r="O1639" s="13"/>
      <c r="P1639" s="13" t="s">
        <v>5291</v>
      </c>
      <c r="Q1639" s="13" t="s">
        <v>5289</v>
      </c>
      <c r="R1639" s="13" t="s">
        <v>5292</v>
      </c>
      <c r="S1639" s="13" t="s">
        <v>5293</v>
      </c>
      <c r="T1639" s="13" t="s">
        <v>4</v>
      </c>
      <c r="U1639" s="13" t="s">
        <v>43</v>
      </c>
      <c r="V1639" s="13" t="n">
        <f aca="false">IF(COUNTIF($B$2:B1639,B1639)=1,1,0)</f>
        <v>0</v>
      </c>
      <c r="W1639" s="13" t="n">
        <f aca="false">IF(COUNTIFS($B$2:B1639,B1639,$T$2:T1639,T1639)=1,1,0)</f>
        <v>0</v>
      </c>
    </row>
    <row r="1640" customFormat="false" ht="15" hidden="false" customHeight="false" outlineLevel="0" collapsed="false">
      <c r="A1640" s="13" t="s">
        <v>6155</v>
      </c>
      <c r="B1640" s="13" t="s">
        <v>2110</v>
      </c>
      <c r="C1640" s="13" t="n">
        <v>710</v>
      </c>
      <c r="D1640" s="13" t="n">
        <v>2</v>
      </c>
      <c r="E1640" s="13" t="n">
        <v>354</v>
      </c>
      <c r="F1640" s="13" t="s">
        <v>5288</v>
      </c>
      <c r="G1640" s="13" t="s">
        <v>5289</v>
      </c>
      <c r="H1640" s="13" t="s">
        <v>5292</v>
      </c>
      <c r="I1640" s="13" t="s">
        <v>5289</v>
      </c>
      <c r="J1640" s="13" t="s">
        <v>5289</v>
      </c>
      <c r="K1640" s="13" t="s">
        <v>5289</v>
      </c>
      <c r="L1640" s="13" t="s">
        <v>6123</v>
      </c>
      <c r="M1640" s="13"/>
      <c r="N1640" s="13" t="n">
        <v>3386460149297</v>
      </c>
      <c r="O1640" s="13"/>
      <c r="P1640" s="13" t="s">
        <v>5291</v>
      </c>
      <c r="Q1640" s="13" t="s">
        <v>5289</v>
      </c>
      <c r="R1640" s="13" t="s">
        <v>5292</v>
      </c>
      <c r="S1640" s="13" t="s">
        <v>5293</v>
      </c>
      <c r="T1640" s="13" t="s">
        <v>4</v>
      </c>
      <c r="U1640" s="13" t="s">
        <v>43</v>
      </c>
      <c r="V1640" s="13" t="n">
        <f aca="false">IF(COUNTIF($B$2:B1640,B1640)=1,1,0)</f>
        <v>0</v>
      </c>
      <c r="W1640" s="13" t="n">
        <f aca="false">IF(COUNTIFS($B$2:B1640,B1640,$T$2:T1640,T1640)=1,1,0)</f>
        <v>0</v>
      </c>
    </row>
    <row r="1641" customFormat="false" ht="15" hidden="false" customHeight="false" outlineLevel="0" collapsed="false">
      <c r="A1641" s="13" t="s">
        <v>1460</v>
      </c>
      <c r="B1641" s="13" t="s">
        <v>105</v>
      </c>
      <c r="C1641" s="13" t="n">
        <v>710</v>
      </c>
      <c r="D1641" s="13" t="n">
        <v>1</v>
      </c>
      <c r="E1641" s="13" t="n">
        <v>707.29</v>
      </c>
      <c r="F1641" s="13" t="s">
        <v>5288</v>
      </c>
      <c r="G1641" s="13" t="s">
        <v>5289</v>
      </c>
      <c r="H1641" s="13" t="s">
        <v>5292</v>
      </c>
      <c r="I1641" s="13" t="s">
        <v>5289</v>
      </c>
      <c r="J1641" s="13" t="s">
        <v>5289</v>
      </c>
      <c r="K1641" s="13" t="s">
        <v>5289</v>
      </c>
      <c r="L1641" s="13" t="s">
        <v>6156</v>
      </c>
      <c r="M1641" s="13"/>
      <c r="N1641" s="13" t="n">
        <v>3616304691645</v>
      </c>
      <c r="O1641" s="13"/>
      <c r="P1641" s="13" t="s">
        <v>5297</v>
      </c>
      <c r="Q1641" s="13" t="s">
        <v>5289</v>
      </c>
      <c r="R1641" s="13" t="s">
        <v>5292</v>
      </c>
      <c r="S1641" s="13" t="s">
        <v>5293</v>
      </c>
      <c r="T1641" s="13" t="s">
        <v>4</v>
      </c>
      <c r="U1641" s="13" t="s">
        <v>43</v>
      </c>
      <c r="V1641" s="13" t="n">
        <f aca="false">IF(COUNTIF($B$2:B1641,B1641)=1,1,0)</f>
        <v>0</v>
      </c>
      <c r="W1641" s="13" t="n">
        <f aca="false">IF(COUNTIFS($B$2:B1641,B1641,$T$2:T1641,T1641)=1,1,0)</f>
        <v>0</v>
      </c>
    </row>
    <row r="1642" customFormat="false" ht="15" hidden="false" customHeight="false" outlineLevel="0" collapsed="false">
      <c r="A1642" s="13" t="s">
        <v>1461</v>
      </c>
      <c r="B1642" s="13" t="s">
        <v>153</v>
      </c>
      <c r="C1642" s="13" t="n">
        <v>710</v>
      </c>
      <c r="D1642" s="13" t="n">
        <v>1</v>
      </c>
      <c r="E1642" s="13" t="n">
        <v>706.34</v>
      </c>
      <c r="F1642" s="13" t="s">
        <v>5325</v>
      </c>
      <c r="G1642" s="13" t="s">
        <v>5292</v>
      </c>
      <c r="H1642" s="13" t="s">
        <v>5292</v>
      </c>
      <c r="I1642" s="13" t="s">
        <v>5289</v>
      </c>
      <c r="J1642" s="13" t="s">
        <v>5289</v>
      </c>
      <c r="K1642" s="13" t="s">
        <v>5289</v>
      </c>
      <c r="L1642" s="13" t="s">
        <v>6157</v>
      </c>
      <c r="M1642" s="13"/>
      <c r="N1642" s="13" t="n">
        <v>8011003901647</v>
      </c>
      <c r="O1642" s="13"/>
      <c r="P1642" s="13" t="s">
        <v>5297</v>
      </c>
      <c r="Q1642" s="13" t="s">
        <v>5289</v>
      </c>
      <c r="R1642" s="13" t="s">
        <v>5292</v>
      </c>
      <c r="S1642" s="13" t="s">
        <v>5293</v>
      </c>
      <c r="T1642" s="13" t="s">
        <v>4</v>
      </c>
      <c r="U1642" s="13" t="s">
        <v>43</v>
      </c>
      <c r="V1642" s="13" t="n">
        <f aca="false">IF(COUNTIF($B$2:B1642,B1642)=1,1,0)</f>
        <v>0</v>
      </c>
      <c r="W1642" s="13" t="n">
        <f aca="false">IF(COUNTIFS($B$2:B1642,B1642,$T$2:T1642,T1642)=1,1,0)</f>
        <v>0</v>
      </c>
    </row>
    <row r="1643" customFormat="false" ht="15" hidden="false" customHeight="false" outlineLevel="0" collapsed="false">
      <c r="A1643" s="13" t="s">
        <v>4312</v>
      </c>
      <c r="B1643" s="13" t="s">
        <v>2250</v>
      </c>
      <c r="C1643" s="13" t="n">
        <v>710</v>
      </c>
      <c r="D1643" s="13" t="n">
        <v>2</v>
      </c>
      <c r="E1643" s="13" t="n">
        <v>176.38</v>
      </c>
      <c r="F1643" s="13" t="s">
        <v>5288</v>
      </c>
      <c r="G1643" s="13" t="s">
        <v>5292</v>
      </c>
      <c r="H1643" s="13" t="s">
        <v>5289</v>
      </c>
      <c r="I1643" s="13" t="s">
        <v>5289</v>
      </c>
      <c r="J1643" s="13" t="s">
        <v>5289</v>
      </c>
      <c r="K1643" s="13" t="s">
        <v>5289</v>
      </c>
      <c r="L1643" s="13" t="s">
        <v>6158</v>
      </c>
      <c r="M1643" s="13"/>
      <c r="N1643" s="13" t="n">
        <v>3331849022814</v>
      </c>
      <c r="O1643" s="13"/>
      <c r="P1643" s="13" t="s">
        <v>5297</v>
      </c>
      <c r="Q1643" s="13" t="s">
        <v>5289</v>
      </c>
      <c r="R1643" s="13" t="s">
        <v>5292</v>
      </c>
      <c r="S1643" s="13" t="s">
        <v>5293</v>
      </c>
      <c r="T1643" s="13" t="s">
        <v>4</v>
      </c>
      <c r="U1643" s="13" t="s">
        <v>85</v>
      </c>
      <c r="V1643" s="13" t="n">
        <f aca="false">IF(COUNTIF($B$2:B1643,B1643)=1,1,0)</f>
        <v>1</v>
      </c>
      <c r="W1643" s="13" t="n">
        <f aca="false">IF(COUNTIFS($B$2:B1643,B1643,$T$2:T1643,T1643)=1,1,0)</f>
        <v>1</v>
      </c>
    </row>
    <row r="1644" customFormat="false" ht="15" hidden="false" customHeight="false" outlineLevel="0" collapsed="false">
      <c r="A1644" s="13" t="s">
        <v>1473</v>
      </c>
      <c r="B1644" s="13" t="s">
        <v>329</v>
      </c>
      <c r="C1644" s="13" t="n">
        <v>700</v>
      </c>
      <c r="D1644" s="13" t="n">
        <v>1</v>
      </c>
      <c r="E1644" s="13" t="n">
        <v>700</v>
      </c>
      <c r="F1644" s="13" t="s">
        <v>5288</v>
      </c>
      <c r="G1644" s="13" t="s">
        <v>5289</v>
      </c>
      <c r="H1644" s="13" t="s">
        <v>5289</v>
      </c>
      <c r="I1644" s="13" t="s">
        <v>5289</v>
      </c>
      <c r="J1644" s="13" t="s">
        <v>5289</v>
      </c>
      <c r="K1644" s="13" t="s">
        <v>5289</v>
      </c>
      <c r="L1644" s="13" t="s">
        <v>6159</v>
      </c>
      <c r="M1644" s="13"/>
      <c r="N1644" s="13" t="n">
        <v>3137370207016</v>
      </c>
      <c r="O1644" s="13"/>
      <c r="P1644" s="13" t="s">
        <v>5291</v>
      </c>
      <c r="Q1644" s="13" t="s">
        <v>5289</v>
      </c>
      <c r="R1644" s="13" t="s">
        <v>5292</v>
      </c>
      <c r="S1644" s="13" t="s">
        <v>5293</v>
      </c>
      <c r="T1644" s="13" t="s">
        <v>4</v>
      </c>
      <c r="U1644" s="13" t="s">
        <v>43</v>
      </c>
      <c r="V1644" s="13" t="n">
        <f aca="false">IF(COUNTIF($B$2:B1644,B1644)=1,1,0)</f>
        <v>0</v>
      </c>
      <c r="W1644" s="13" t="n">
        <f aca="false">IF(COUNTIFS($B$2:B1644,B1644,$T$2:T1644,T1644)=1,1,0)</f>
        <v>0</v>
      </c>
    </row>
    <row r="1645" customFormat="false" ht="15" hidden="false" customHeight="false" outlineLevel="0" collapsed="false">
      <c r="A1645" s="13" t="s">
        <v>1131</v>
      </c>
      <c r="B1645" s="13" t="s">
        <v>69</v>
      </c>
      <c r="C1645" s="13" t="n">
        <v>700</v>
      </c>
      <c r="D1645" s="13" t="n">
        <v>1</v>
      </c>
      <c r="E1645" s="13" t="n">
        <v>698.69</v>
      </c>
      <c r="F1645" s="13" t="s">
        <v>5288</v>
      </c>
      <c r="G1645" s="13" t="s">
        <v>5292</v>
      </c>
      <c r="H1645" s="13" t="s">
        <v>5289</v>
      </c>
      <c r="I1645" s="13" t="s">
        <v>5289</v>
      </c>
      <c r="J1645" s="13" t="s">
        <v>5289</v>
      </c>
      <c r="K1645" s="13" t="s">
        <v>5289</v>
      </c>
      <c r="L1645" s="13" t="s">
        <v>6160</v>
      </c>
      <c r="M1645" s="13"/>
      <c r="N1645" s="13" t="n">
        <v>3614274151152</v>
      </c>
      <c r="O1645" s="13"/>
      <c r="P1645" s="13" t="s">
        <v>5291</v>
      </c>
      <c r="Q1645" s="13" t="s">
        <v>5289</v>
      </c>
      <c r="R1645" s="13" t="s">
        <v>5292</v>
      </c>
      <c r="S1645" s="13" t="s">
        <v>5293</v>
      </c>
      <c r="T1645" s="13" t="s">
        <v>4</v>
      </c>
      <c r="U1645" s="13" t="s">
        <v>43</v>
      </c>
      <c r="V1645" s="13" t="n">
        <f aca="false">IF(COUNTIF($B$2:B1645,B1645)=1,1,0)</f>
        <v>0</v>
      </c>
      <c r="W1645" s="13" t="n">
        <f aca="false">IF(COUNTIFS($B$2:B1645,B1645,$T$2:T1645,T1645)=1,1,0)</f>
        <v>0</v>
      </c>
    </row>
    <row r="1646" customFormat="false" ht="15" hidden="false" customHeight="false" outlineLevel="0" collapsed="false">
      <c r="A1646" s="13" t="s">
        <v>4334</v>
      </c>
      <c r="B1646" s="13" t="s">
        <v>2179</v>
      </c>
      <c r="C1646" s="13" t="n">
        <v>700</v>
      </c>
      <c r="D1646" s="13" t="n">
        <v>2</v>
      </c>
      <c r="E1646" s="13" t="n">
        <v>232.65</v>
      </c>
      <c r="F1646" s="13" t="s">
        <v>5288</v>
      </c>
      <c r="G1646" s="13" t="s">
        <v>5289</v>
      </c>
      <c r="H1646" s="13" t="s">
        <v>5292</v>
      </c>
      <c r="I1646" s="13" t="s">
        <v>5289</v>
      </c>
      <c r="J1646" s="13" t="s">
        <v>5289</v>
      </c>
      <c r="K1646" s="13" t="s">
        <v>5289</v>
      </c>
      <c r="L1646" s="13" t="s">
        <v>6161</v>
      </c>
      <c r="M1646" s="13"/>
      <c r="N1646" s="13" t="n">
        <v>8410190631168</v>
      </c>
      <c r="O1646" s="13"/>
      <c r="P1646" s="13" t="s">
        <v>5291</v>
      </c>
      <c r="Q1646" s="13" t="s">
        <v>5289</v>
      </c>
      <c r="R1646" s="13" t="s">
        <v>5292</v>
      </c>
      <c r="S1646" s="13" t="s">
        <v>5293</v>
      </c>
      <c r="T1646" s="13" t="s">
        <v>4</v>
      </c>
      <c r="U1646" s="13" t="s">
        <v>85</v>
      </c>
      <c r="V1646" s="13" t="n">
        <f aca="false">IF(COUNTIF($B$2:B1646,B1646)=1,1,0)</f>
        <v>0</v>
      </c>
      <c r="W1646" s="13" t="n">
        <f aca="false">IF(COUNTIFS($B$2:B1646,B1646,$T$2:T1646,T1646)=1,1,0)</f>
        <v>0</v>
      </c>
    </row>
    <row r="1647" customFormat="false" ht="15" hidden="false" customHeight="false" outlineLevel="0" collapsed="false">
      <c r="A1647" s="13" t="s">
        <v>1474</v>
      </c>
      <c r="B1647" s="13" t="s">
        <v>270</v>
      </c>
      <c r="C1647" s="13" t="n">
        <v>700</v>
      </c>
      <c r="D1647" s="13" t="n">
        <v>2</v>
      </c>
      <c r="E1647" s="13" t="n">
        <v>348.45</v>
      </c>
      <c r="F1647" s="13" t="s">
        <v>5288</v>
      </c>
      <c r="G1647" s="13" t="s">
        <v>5289</v>
      </c>
      <c r="H1647" s="13" t="s">
        <v>5292</v>
      </c>
      <c r="I1647" s="13" t="s">
        <v>5289</v>
      </c>
      <c r="J1647" s="13" t="s">
        <v>5289</v>
      </c>
      <c r="K1647" s="13" t="s">
        <v>5289</v>
      </c>
      <c r="L1647" s="13" t="s">
        <v>6162</v>
      </c>
      <c r="M1647" s="13"/>
      <c r="N1647" s="13" t="n">
        <v>878813000094</v>
      </c>
      <c r="O1647" s="13"/>
      <c r="P1647" s="13" t="s">
        <v>5291</v>
      </c>
      <c r="Q1647" s="13" t="s">
        <v>5289</v>
      </c>
      <c r="R1647" s="13" t="s">
        <v>5292</v>
      </c>
      <c r="S1647" s="13" t="s">
        <v>5293</v>
      </c>
      <c r="T1647" s="13" t="s">
        <v>4</v>
      </c>
      <c r="U1647" s="13" t="s">
        <v>43</v>
      </c>
      <c r="V1647" s="13" t="n">
        <f aca="false">IF(COUNTIF($B$2:B1647,B1647)=1,1,0)</f>
        <v>0</v>
      </c>
      <c r="W1647" s="13" t="n">
        <f aca="false">IF(COUNTIFS($B$2:B1647,B1647,$T$2:T1647,T1647)=1,1,0)</f>
        <v>0</v>
      </c>
    </row>
    <row r="1648" customFormat="false" ht="15" hidden="false" customHeight="false" outlineLevel="0" collapsed="false">
      <c r="A1648" s="13" t="s">
        <v>492</v>
      </c>
      <c r="B1648" s="13" t="s">
        <v>50</v>
      </c>
      <c r="C1648" s="13" t="n">
        <v>700</v>
      </c>
      <c r="D1648" s="13" t="n">
        <v>1</v>
      </c>
      <c r="E1648" s="13" t="n">
        <v>695.79</v>
      </c>
      <c r="F1648" s="13" t="s">
        <v>5288</v>
      </c>
      <c r="G1648" s="13" t="s">
        <v>5292</v>
      </c>
      <c r="H1648" s="13" t="s">
        <v>5289</v>
      </c>
      <c r="I1648" s="13" t="s">
        <v>5289</v>
      </c>
      <c r="J1648" s="13" t="s">
        <v>5289</v>
      </c>
      <c r="K1648" s="13" t="s">
        <v>5289</v>
      </c>
      <c r="L1648" s="13" t="s">
        <v>6163</v>
      </c>
      <c r="M1648" s="13"/>
      <c r="N1648" s="13" t="n">
        <v>3349668644049</v>
      </c>
      <c r="O1648" s="13"/>
      <c r="P1648" s="13" t="s">
        <v>5297</v>
      </c>
      <c r="Q1648" s="13" t="s">
        <v>5289</v>
      </c>
      <c r="R1648" s="13" t="s">
        <v>5292</v>
      </c>
      <c r="S1648" s="13" t="s">
        <v>5293</v>
      </c>
      <c r="T1648" s="13" t="s">
        <v>4</v>
      </c>
      <c r="U1648" s="13" t="s">
        <v>43</v>
      </c>
      <c r="V1648" s="13" t="n">
        <f aca="false">IF(COUNTIF($B$2:B1648,B1648)=1,1,0)</f>
        <v>0</v>
      </c>
      <c r="W1648" s="13" t="n">
        <f aca="false">IF(COUNTIFS($B$2:B1648,B1648,$T$2:T1648,T1648)=1,1,0)</f>
        <v>0</v>
      </c>
    </row>
    <row r="1649" customFormat="false" ht="15" hidden="false" customHeight="false" outlineLevel="0" collapsed="false">
      <c r="A1649" s="13" t="s">
        <v>1489</v>
      </c>
      <c r="B1649" s="13" t="s">
        <v>105</v>
      </c>
      <c r="C1649" s="13" t="n">
        <v>690</v>
      </c>
      <c r="D1649" s="13" t="n">
        <v>1</v>
      </c>
      <c r="E1649" s="13" t="n">
        <v>692.92</v>
      </c>
      <c r="F1649" s="13" t="s">
        <v>5288</v>
      </c>
      <c r="G1649" s="13" t="s">
        <v>5289</v>
      </c>
      <c r="H1649" s="13" t="s">
        <v>5292</v>
      </c>
      <c r="I1649" s="13" t="s">
        <v>5289</v>
      </c>
      <c r="J1649" s="13" t="s">
        <v>5289</v>
      </c>
      <c r="K1649" s="13" t="s">
        <v>5289</v>
      </c>
      <c r="L1649" s="13" t="s">
        <v>6164</v>
      </c>
      <c r="M1649" s="13"/>
      <c r="N1649" s="13" t="n">
        <v>3614228220880</v>
      </c>
      <c r="O1649" s="13"/>
      <c r="P1649" s="13" t="s">
        <v>5291</v>
      </c>
      <c r="Q1649" s="13" t="s">
        <v>5289</v>
      </c>
      <c r="R1649" s="13" t="s">
        <v>5292</v>
      </c>
      <c r="S1649" s="13" t="s">
        <v>5293</v>
      </c>
      <c r="T1649" s="13" t="s">
        <v>4</v>
      </c>
      <c r="U1649" s="13" t="s">
        <v>43</v>
      </c>
      <c r="V1649" s="13" t="n">
        <f aca="false">IF(COUNTIF($B$2:B1649,B1649)=1,1,0)</f>
        <v>0</v>
      </c>
      <c r="W1649" s="13" t="n">
        <f aca="false">IF(COUNTIFS($B$2:B1649,B1649,$T$2:T1649,T1649)=1,1,0)</f>
        <v>0</v>
      </c>
    </row>
    <row r="1650" customFormat="false" ht="15" hidden="false" customHeight="false" outlineLevel="0" collapsed="false">
      <c r="A1650" s="13" t="s">
        <v>1483</v>
      </c>
      <c r="B1650" s="13" t="s">
        <v>42</v>
      </c>
      <c r="C1650" s="13" t="n">
        <v>690</v>
      </c>
      <c r="D1650" s="13" t="n">
        <v>1</v>
      </c>
      <c r="E1650" s="13" t="n">
        <v>692.55</v>
      </c>
      <c r="F1650" s="13" t="s">
        <v>5325</v>
      </c>
      <c r="G1650" s="13" t="s">
        <v>5292</v>
      </c>
      <c r="H1650" s="13" t="s">
        <v>5292</v>
      </c>
      <c r="I1650" s="13" t="s">
        <v>5289</v>
      </c>
      <c r="J1650" s="13" t="s">
        <v>5289</v>
      </c>
      <c r="K1650" s="13" t="s">
        <v>5289</v>
      </c>
      <c r="L1650" s="13" t="s">
        <v>5673</v>
      </c>
      <c r="M1650" s="13"/>
      <c r="N1650" s="13" t="n">
        <v>8411061122488</v>
      </c>
      <c r="O1650" s="13"/>
      <c r="P1650" s="13" t="s">
        <v>5291</v>
      </c>
      <c r="Q1650" s="13" t="s">
        <v>5289</v>
      </c>
      <c r="R1650" s="13" t="s">
        <v>5292</v>
      </c>
      <c r="S1650" s="13" t="s">
        <v>5293</v>
      </c>
      <c r="T1650" s="13" t="s">
        <v>4</v>
      </c>
      <c r="U1650" s="13" t="s">
        <v>43</v>
      </c>
      <c r="V1650" s="13" t="n">
        <f aca="false">IF(COUNTIF($B$2:B1650,B1650)=1,1,0)</f>
        <v>0</v>
      </c>
      <c r="W1650" s="13" t="n">
        <f aca="false">IF(COUNTIFS($B$2:B1650,B1650,$T$2:T1650,T1650)=1,1,0)</f>
        <v>0</v>
      </c>
    </row>
    <row r="1651" customFormat="false" ht="15" hidden="false" customHeight="false" outlineLevel="0" collapsed="false">
      <c r="A1651" s="13" t="s">
        <v>1490</v>
      </c>
      <c r="B1651" s="13" t="s">
        <v>161</v>
      </c>
      <c r="C1651" s="13" t="n">
        <v>690</v>
      </c>
      <c r="D1651" s="13" t="n">
        <v>2</v>
      </c>
      <c r="E1651" s="13" t="n">
        <v>346</v>
      </c>
      <c r="F1651" s="13" t="s">
        <v>5288</v>
      </c>
      <c r="G1651" s="13" t="s">
        <v>5289</v>
      </c>
      <c r="H1651" s="13" t="s">
        <v>5289</v>
      </c>
      <c r="I1651" s="13" t="s">
        <v>5289</v>
      </c>
      <c r="J1651" s="13" t="s">
        <v>5289</v>
      </c>
      <c r="K1651" s="13" t="s">
        <v>5289</v>
      </c>
      <c r="L1651" s="13" t="s">
        <v>6165</v>
      </c>
      <c r="M1651" s="13"/>
      <c r="N1651" s="13" t="n">
        <v>3355991001671</v>
      </c>
      <c r="O1651" s="13"/>
      <c r="P1651" s="13" t="s">
        <v>5291</v>
      </c>
      <c r="Q1651" s="13" t="s">
        <v>5289</v>
      </c>
      <c r="R1651" s="13" t="s">
        <v>5292</v>
      </c>
      <c r="S1651" s="13" t="s">
        <v>5293</v>
      </c>
      <c r="T1651" s="13" t="s">
        <v>4</v>
      </c>
      <c r="U1651" s="13" t="s">
        <v>43</v>
      </c>
      <c r="V1651" s="13" t="n">
        <f aca="false">IF(COUNTIF($B$2:B1651,B1651)=1,1,0)</f>
        <v>0</v>
      </c>
      <c r="W1651" s="13" t="n">
        <f aca="false">IF(COUNTIFS($B$2:B1651,B1651,$T$2:T1651,T1651)=1,1,0)</f>
        <v>0</v>
      </c>
    </row>
    <row r="1652" customFormat="false" ht="15" hidden="false" customHeight="false" outlineLevel="0" collapsed="false">
      <c r="A1652" s="13" t="s">
        <v>1484</v>
      </c>
      <c r="B1652" s="13" t="s">
        <v>153</v>
      </c>
      <c r="C1652" s="13" t="n">
        <v>690</v>
      </c>
      <c r="D1652" s="13" t="n">
        <v>2</v>
      </c>
      <c r="E1652" s="13" t="n">
        <v>345.59</v>
      </c>
      <c r="F1652" s="13" t="s">
        <v>5288</v>
      </c>
      <c r="G1652" s="13" t="s">
        <v>5289</v>
      </c>
      <c r="H1652" s="13" t="s">
        <v>5292</v>
      </c>
      <c r="I1652" s="13" t="s">
        <v>5289</v>
      </c>
      <c r="J1652" s="13" t="s">
        <v>5289</v>
      </c>
      <c r="K1652" s="13" t="s">
        <v>5289</v>
      </c>
      <c r="L1652" s="13" t="s">
        <v>6166</v>
      </c>
      <c r="M1652" s="13"/>
      <c r="N1652" s="13" t="n">
        <v>8011003997008</v>
      </c>
      <c r="O1652" s="13"/>
      <c r="P1652" s="13" t="s">
        <v>5291</v>
      </c>
      <c r="Q1652" s="13" t="s">
        <v>5289</v>
      </c>
      <c r="R1652" s="13" t="s">
        <v>5292</v>
      </c>
      <c r="S1652" s="13" t="s">
        <v>5293</v>
      </c>
      <c r="T1652" s="13" t="s">
        <v>4</v>
      </c>
      <c r="U1652" s="13" t="s">
        <v>43</v>
      </c>
      <c r="V1652" s="13" t="n">
        <f aca="false">IF(COUNTIF($B$2:B1652,B1652)=1,1,0)</f>
        <v>0</v>
      </c>
      <c r="W1652" s="13" t="n">
        <f aca="false">IF(COUNTIFS($B$2:B1652,B1652,$T$2:T1652,T1652)=1,1,0)</f>
        <v>0</v>
      </c>
    </row>
    <row r="1653" customFormat="false" ht="15" hidden="false" customHeight="false" outlineLevel="0" collapsed="false">
      <c r="A1653" s="13" t="s">
        <v>1488</v>
      </c>
      <c r="B1653" s="13" t="s">
        <v>42</v>
      </c>
      <c r="C1653" s="13" t="n">
        <v>690</v>
      </c>
      <c r="D1653" s="13" t="n">
        <v>1</v>
      </c>
      <c r="E1653" s="13" t="n">
        <v>689.99</v>
      </c>
      <c r="F1653" s="13" t="s">
        <v>5325</v>
      </c>
      <c r="G1653" s="13" t="s">
        <v>5289</v>
      </c>
      <c r="H1653" s="13" t="s">
        <v>5292</v>
      </c>
      <c r="I1653" s="13" t="s">
        <v>5289</v>
      </c>
      <c r="J1653" s="13" t="s">
        <v>5289</v>
      </c>
      <c r="K1653" s="13" t="s">
        <v>5289</v>
      </c>
      <c r="L1653" s="13" t="s">
        <v>5693</v>
      </c>
      <c r="M1653" s="13"/>
      <c r="N1653" s="13" t="n">
        <v>8411061786161</v>
      </c>
      <c r="O1653" s="13"/>
      <c r="P1653" s="13" t="s">
        <v>5291</v>
      </c>
      <c r="Q1653" s="13" t="s">
        <v>5289</v>
      </c>
      <c r="R1653" s="13" t="s">
        <v>5292</v>
      </c>
      <c r="S1653" s="13" t="s">
        <v>5293</v>
      </c>
      <c r="T1653" s="13" t="s">
        <v>4</v>
      </c>
      <c r="U1653" s="13" t="s">
        <v>43</v>
      </c>
      <c r="V1653" s="13" t="n">
        <f aca="false">IF(COUNTIF($B$2:B1653,B1653)=1,1,0)</f>
        <v>0</v>
      </c>
      <c r="W1653" s="13" t="n">
        <f aca="false">IF(COUNTIFS($B$2:B1653,B1653,$T$2:T1653,T1653)=1,1,0)</f>
        <v>0</v>
      </c>
    </row>
    <row r="1654" customFormat="false" ht="15" hidden="false" customHeight="false" outlineLevel="0" collapsed="false">
      <c r="A1654" s="13" t="s">
        <v>1487</v>
      </c>
      <c r="B1654" s="13" t="s">
        <v>79</v>
      </c>
      <c r="C1654" s="13" t="n">
        <v>690</v>
      </c>
      <c r="D1654" s="13" t="n">
        <v>1</v>
      </c>
      <c r="E1654" s="13" t="n">
        <v>689.25</v>
      </c>
      <c r="F1654" s="13" t="s">
        <v>5325</v>
      </c>
      <c r="G1654" s="13" t="s">
        <v>5292</v>
      </c>
      <c r="H1654" s="13" t="s">
        <v>5292</v>
      </c>
      <c r="I1654" s="13" t="s">
        <v>5289</v>
      </c>
      <c r="J1654" s="13" t="s">
        <v>5289</v>
      </c>
      <c r="K1654" s="13" t="s">
        <v>5289</v>
      </c>
      <c r="L1654" s="13" t="s">
        <v>6167</v>
      </c>
      <c r="M1654" s="13"/>
      <c r="N1654" s="13" t="n">
        <v>8057971180486</v>
      </c>
      <c r="O1654" s="13"/>
      <c r="P1654" s="13" t="s">
        <v>5291</v>
      </c>
      <c r="Q1654" s="13" t="s">
        <v>5289</v>
      </c>
      <c r="R1654" s="13" t="s">
        <v>5292</v>
      </c>
      <c r="S1654" s="13" t="s">
        <v>5293</v>
      </c>
      <c r="T1654" s="13" t="s">
        <v>4</v>
      </c>
      <c r="U1654" s="13" t="s">
        <v>43</v>
      </c>
      <c r="V1654" s="13" t="n">
        <f aca="false">IF(COUNTIF($B$2:B1654,B1654)=1,1,0)</f>
        <v>0</v>
      </c>
      <c r="W1654" s="13" t="n">
        <f aca="false">IF(COUNTIFS($B$2:B1654,B1654,$T$2:T1654,T1654)=1,1,0)</f>
        <v>0</v>
      </c>
    </row>
    <row r="1655" customFormat="false" ht="15" hidden="false" customHeight="false" outlineLevel="0" collapsed="false">
      <c r="A1655" s="13" t="s">
        <v>1485</v>
      </c>
      <c r="B1655" s="13" t="s">
        <v>302</v>
      </c>
      <c r="C1655" s="13" t="n">
        <v>690</v>
      </c>
      <c r="D1655" s="13" t="n">
        <v>1</v>
      </c>
      <c r="E1655" s="13" t="n">
        <v>689.25</v>
      </c>
      <c r="F1655" s="13" t="s">
        <v>5288</v>
      </c>
      <c r="G1655" s="13" t="s">
        <v>5292</v>
      </c>
      <c r="H1655" s="13" t="s">
        <v>5289</v>
      </c>
      <c r="I1655" s="13" t="s">
        <v>5289</v>
      </c>
      <c r="J1655" s="13" t="s">
        <v>5289</v>
      </c>
      <c r="K1655" s="13" t="s">
        <v>5289</v>
      </c>
      <c r="L1655" s="13" t="s">
        <v>6168</v>
      </c>
      <c r="M1655" s="13"/>
      <c r="N1655" s="13" t="n">
        <v>3274878122561</v>
      </c>
      <c r="O1655" s="13"/>
      <c r="P1655" s="13" t="s">
        <v>5291</v>
      </c>
      <c r="Q1655" s="13" t="s">
        <v>5289</v>
      </c>
      <c r="R1655" s="13" t="s">
        <v>5292</v>
      </c>
      <c r="S1655" s="13" t="s">
        <v>5293</v>
      </c>
      <c r="T1655" s="13" t="s">
        <v>4</v>
      </c>
      <c r="U1655" s="13" t="s">
        <v>43</v>
      </c>
      <c r="V1655" s="13" t="n">
        <f aca="false">IF(COUNTIF($B$2:B1655,B1655)=1,1,0)</f>
        <v>0</v>
      </c>
      <c r="W1655" s="13" t="n">
        <f aca="false">IF(COUNTIFS($B$2:B1655,B1655,$T$2:T1655,T1655)=1,1,0)</f>
        <v>0</v>
      </c>
    </row>
    <row r="1656" customFormat="false" ht="15" hidden="false" customHeight="false" outlineLevel="0" collapsed="false">
      <c r="A1656" s="13" t="s">
        <v>1479</v>
      </c>
      <c r="B1656" s="13" t="s">
        <v>195</v>
      </c>
      <c r="C1656" s="13" t="n">
        <v>690</v>
      </c>
      <c r="D1656" s="13" t="n">
        <v>1</v>
      </c>
      <c r="E1656" s="13" t="n">
        <v>687.75</v>
      </c>
      <c r="F1656" s="13" t="s">
        <v>5325</v>
      </c>
      <c r="G1656" s="13" t="s">
        <v>5292</v>
      </c>
      <c r="H1656" s="13" t="s">
        <v>5292</v>
      </c>
      <c r="I1656" s="13" t="s">
        <v>5289</v>
      </c>
      <c r="J1656" s="13" t="s">
        <v>5289</v>
      </c>
      <c r="K1656" s="13" t="s">
        <v>5289</v>
      </c>
      <c r="L1656" s="13" t="s">
        <v>6169</v>
      </c>
      <c r="M1656" s="13"/>
      <c r="N1656" s="13" t="n">
        <v>3616301975755</v>
      </c>
      <c r="O1656" s="13"/>
      <c r="P1656" s="13" t="s">
        <v>5291</v>
      </c>
      <c r="Q1656" s="13" t="s">
        <v>5289</v>
      </c>
      <c r="R1656" s="13" t="s">
        <v>5292</v>
      </c>
      <c r="S1656" s="13" t="s">
        <v>5293</v>
      </c>
      <c r="T1656" s="13" t="s">
        <v>4</v>
      </c>
      <c r="U1656" s="13" t="s">
        <v>43</v>
      </c>
      <c r="V1656" s="13" t="n">
        <f aca="false">IF(COUNTIF($B$2:B1656,B1656)=1,1,0)</f>
        <v>0</v>
      </c>
      <c r="W1656" s="13" t="n">
        <f aca="false">IF(COUNTIFS($B$2:B1656,B1656,$T$2:T1656,T1656)=1,1,0)</f>
        <v>0</v>
      </c>
    </row>
    <row r="1657" customFormat="false" ht="15" hidden="false" customHeight="false" outlineLevel="0" collapsed="false">
      <c r="A1657" s="13" t="s">
        <v>618</v>
      </c>
      <c r="B1657" s="13" t="s">
        <v>50</v>
      </c>
      <c r="C1657" s="13" t="n">
        <v>690</v>
      </c>
      <c r="D1657" s="13" t="n">
        <v>1</v>
      </c>
      <c r="E1657" s="13" t="n">
        <v>687.27</v>
      </c>
      <c r="F1657" s="13" t="s">
        <v>5325</v>
      </c>
      <c r="G1657" s="13" t="s">
        <v>5289</v>
      </c>
      <c r="H1657" s="13" t="s">
        <v>5289</v>
      </c>
      <c r="I1657" s="13" t="s">
        <v>5289</v>
      </c>
      <c r="J1657" s="13" t="s">
        <v>5289</v>
      </c>
      <c r="K1657" s="13" t="s">
        <v>5289</v>
      </c>
      <c r="L1657" s="13" t="s">
        <v>5767</v>
      </c>
      <c r="M1657" s="13"/>
      <c r="N1657" s="13" t="n">
        <v>3349668576173</v>
      </c>
      <c r="O1657" s="13"/>
      <c r="P1657" s="13" t="s">
        <v>5291</v>
      </c>
      <c r="Q1657" s="13" t="s">
        <v>5289</v>
      </c>
      <c r="R1657" s="13" t="s">
        <v>5292</v>
      </c>
      <c r="S1657" s="13" t="s">
        <v>5293</v>
      </c>
      <c r="T1657" s="13" t="s">
        <v>4</v>
      </c>
      <c r="U1657" s="13" t="s">
        <v>43</v>
      </c>
      <c r="V1657" s="13" t="n">
        <f aca="false">IF(COUNTIF($B$2:B1657,B1657)=1,1,0)</f>
        <v>0</v>
      </c>
      <c r="W1657" s="13" t="n">
        <f aca="false">IF(COUNTIFS($B$2:B1657,B1657,$T$2:T1657,T1657)=1,1,0)</f>
        <v>0</v>
      </c>
    </row>
    <row r="1658" customFormat="false" ht="15" hidden="false" customHeight="false" outlineLevel="0" collapsed="false">
      <c r="A1658" s="13" t="s">
        <v>1486</v>
      </c>
      <c r="B1658" s="13" t="s">
        <v>45</v>
      </c>
      <c r="C1658" s="13" t="n">
        <v>690</v>
      </c>
      <c r="D1658" s="13" t="n">
        <v>1</v>
      </c>
      <c r="E1658" s="13" t="n">
        <v>687</v>
      </c>
      <c r="F1658" s="13" t="s">
        <v>5288</v>
      </c>
      <c r="G1658" s="13" t="s">
        <v>5289</v>
      </c>
      <c r="H1658" s="13" t="s">
        <v>5292</v>
      </c>
      <c r="I1658" s="13" t="s">
        <v>5289</v>
      </c>
      <c r="J1658" s="13" t="s">
        <v>5289</v>
      </c>
      <c r="K1658" s="13" t="s">
        <v>5289</v>
      </c>
      <c r="L1658" s="13" t="s">
        <v>5781</v>
      </c>
      <c r="M1658" s="13"/>
      <c r="N1658" s="13" t="n">
        <v>8435415080422</v>
      </c>
      <c r="O1658" s="13"/>
      <c r="P1658" s="13" t="s">
        <v>5291</v>
      </c>
      <c r="Q1658" s="13" t="s">
        <v>5289</v>
      </c>
      <c r="R1658" s="13" t="s">
        <v>5292</v>
      </c>
      <c r="S1658" s="13" t="s">
        <v>5293</v>
      </c>
      <c r="T1658" s="13" t="s">
        <v>4</v>
      </c>
      <c r="U1658" s="13" t="s">
        <v>43</v>
      </c>
      <c r="V1658" s="13" t="n">
        <f aca="false">IF(COUNTIF($B$2:B1658,B1658)=1,1,0)</f>
        <v>0</v>
      </c>
      <c r="W1658" s="13" t="n">
        <f aca="false">IF(COUNTIFS($B$2:B1658,B1658,$T$2:T1658,T1658)=1,1,0)</f>
        <v>0</v>
      </c>
    </row>
    <row r="1659" customFormat="false" ht="15" hidden="false" customHeight="false" outlineLevel="0" collapsed="false">
      <c r="A1659" s="13" t="s">
        <v>1495</v>
      </c>
      <c r="B1659" s="13" t="s">
        <v>302</v>
      </c>
      <c r="C1659" s="13" t="n">
        <v>680</v>
      </c>
      <c r="D1659" s="13" t="n">
        <v>1</v>
      </c>
      <c r="E1659" s="13" t="n">
        <v>684.86</v>
      </c>
      <c r="F1659" s="13" t="s">
        <v>5288</v>
      </c>
      <c r="G1659" s="13" t="s">
        <v>5292</v>
      </c>
      <c r="H1659" s="13" t="s">
        <v>5292</v>
      </c>
      <c r="I1659" s="13" t="s">
        <v>5289</v>
      </c>
      <c r="J1659" s="13" t="s">
        <v>5289</v>
      </c>
      <c r="K1659" s="13" t="s">
        <v>5289</v>
      </c>
      <c r="L1659" s="13" t="s">
        <v>5814</v>
      </c>
      <c r="M1659" s="13"/>
      <c r="N1659" s="13" t="n">
        <v>3274872456341</v>
      </c>
      <c r="O1659" s="13"/>
      <c r="P1659" s="13" t="s">
        <v>5291</v>
      </c>
      <c r="Q1659" s="13" t="s">
        <v>5289</v>
      </c>
      <c r="R1659" s="13" t="s">
        <v>5292</v>
      </c>
      <c r="S1659" s="13" t="s">
        <v>5293</v>
      </c>
      <c r="T1659" s="13" t="s">
        <v>4</v>
      </c>
      <c r="U1659" s="13" t="s">
        <v>43</v>
      </c>
      <c r="V1659" s="13" t="n">
        <f aca="false">IF(COUNTIF($B$2:B1659,B1659)=1,1,0)</f>
        <v>0</v>
      </c>
      <c r="W1659" s="13" t="n">
        <f aca="false">IF(COUNTIFS($B$2:B1659,B1659,$T$2:T1659,T1659)=1,1,0)</f>
        <v>0</v>
      </c>
    </row>
    <row r="1660" customFormat="false" ht="15" hidden="false" customHeight="false" outlineLevel="0" collapsed="false">
      <c r="A1660" s="13" t="s">
        <v>6170</v>
      </c>
      <c r="B1660" s="13" t="s">
        <v>2111</v>
      </c>
      <c r="C1660" s="13" t="n">
        <v>680</v>
      </c>
      <c r="D1660" s="13" t="n">
        <v>1</v>
      </c>
      <c r="E1660" s="13" t="n">
        <v>680.18</v>
      </c>
      <c r="F1660" s="13" t="s">
        <v>5325</v>
      </c>
      <c r="G1660" s="13" t="s">
        <v>5289</v>
      </c>
      <c r="H1660" s="13" t="s">
        <v>5292</v>
      </c>
      <c r="I1660" s="13" t="s">
        <v>5289</v>
      </c>
      <c r="J1660" s="13" t="s">
        <v>5289</v>
      </c>
      <c r="K1660" s="13" t="s">
        <v>5289</v>
      </c>
      <c r="L1660" s="13" t="s">
        <v>6171</v>
      </c>
      <c r="M1660" s="13"/>
      <c r="N1660" s="13" t="n">
        <v>3386460129879</v>
      </c>
      <c r="O1660" s="13"/>
      <c r="P1660" s="13" t="s">
        <v>5291</v>
      </c>
      <c r="Q1660" s="13" t="s">
        <v>5289</v>
      </c>
      <c r="R1660" s="13" t="s">
        <v>5292</v>
      </c>
      <c r="S1660" s="13" t="s">
        <v>5293</v>
      </c>
      <c r="T1660" s="13" t="s">
        <v>4</v>
      </c>
      <c r="U1660" s="13" t="s">
        <v>43</v>
      </c>
      <c r="V1660" s="13" t="n">
        <f aca="false">IF(COUNTIF($B$2:B1660,B1660)=1,1,0)</f>
        <v>0</v>
      </c>
      <c r="W1660" s="13" t="n">
        <f aca="false">IF(COUNTIFS($B$2:B1660,B1660,$T$2:T1660,T1660)=1,1,0)</f>
        <v>0</v>
      </c>
    </row>
    <row r="1661" customFormat="false" ht="15" hidden="false" customHeight="false" outlineLevel="0" collapsed="false">
      <c r="A1661" s="13" t="s">
        <v>1494</v>
      </c>
      <c r="B1661" s="13" t="s">
        <v>42</v>
      </c>
      <c r="C1661" s="13" t="n">
        <v>680</v>
      </c>
      <c r="D1661" s="13" t="n">
        <v>1</v>
      </c>
      <c r="E1661" s="13" t="n">
        <v>679.2</v>
      </c>
      <c r="F1661" s="13" t="s">
        <v>5288</v>
      </c>
      <c r="G1661" s="13" t="s">
        <v>5289</v>
      </c>
      <c r="H1661" s="13" t="s">
        <v>5292</v>
      </c>
      <c r="I1661" s="13" t="s">
        <v>5289</v>
      </c>
      <c r="J1661" s="13" t="s">
        <v>5289</v>
      </c>
      <c r="K1661" s="13" t="s">
        <v>5289</v>
      </c>
      <c r="L1661" s="13" t="s">
        <v>5660</v>
      </c>
      <c r="M1661" s="13"/>
      <c r="N1661" s="13" t="n">
        <v>8411061105016</v>
      </c>
      <c r="O1661" s="13"/>
      <c r="P1661" s="13" t="s">
        <v>5291</v>
      </c>
      <c r="Q1661" s="13" t="s">
        <v>5289</v>
      </c>
      <c r="R1661" s="13" t="s">
        <v>5292</v>
      </c>
      <c r="S1661" s="13" t="s">
        <v>5293</v>
      </c>
      <c r="T1661" s="13" t="s">
        <v>4</v>
      </c>
      <c r="U1661" s="13" t="s">
        <v>43</v>
      </c>
      <c r="V1661" s="13" t="n">
        <f aca="false">IF(COUNTIF($B$2:B1661,B1661)=1,1,0)</f>
        <v>0</v>
      </c>
      <c r="W1661" s="13" t="n">
        <f aca="false">IF(COUNTIFS($B$2:B1661,B1661,$T$2:T1661,T1661)=1,1,0)</f>
        <v>0</v>
      </c>
    </row>
    <row r="1662" customFormat="false" ht="15" hidden="false" customHeight="false" outlineLevel="0" collapsed="false">
      <c r="A1662" s="13" t="s">
        <v>1502</v>
      </c>
      <c r="B1662" s="13" t="s">
        <v>630</v>
      </c>
      <c r="C1662" s="13" t="n">
        <v>680</v>
      </c>
      <c r="D1662" s="13" t="n">
        <v>2</v>
      </c>
      <c r="E1662" s="13" t="n">
        <v>226.11</v>
      </c>
      <c r="F1662" s="13" t="s">
        <v>5288</v>
      </c>
      <c r="G1662" s="13" t="s">
        <v>5289</v>
      </c>
      <c r="H1662" s="13" t="s">
        <v>5289</v>
      </c>
      <c r="I1662" s="13" t="s">
        <v>5289</v>
      </c>
      <c r="J1662" s="13" t="s">
        <v>5289</v>
      </c>
      <c r="K1662" s="13" t="s">
        <v>5289</v>
      </c>
      <c r="L1662" s="13" t="s">
        <v>6172</v>
      </c>
      <c r="M1662" s="13"/>
      <c r="N1662" s="13" t="n">
        <v>8433982017124</v>
      </c>
      <c r="O1662" s="13"/>
      <c r="P1662" s="13" t="s">
        <v>5291</v>
      </c>
      <c r="Q1662" s="13" t="s">
        <v>5289</v>
      </c>
      <c r="R1662" s="13" t="s">
        <v>5292</v>
      </c>
      <c r="S1662" s="13" t="s">
        <v>5293</v>
      </c>
      <c r="T1662" s="13" t="s">
        <v>4</v>
      </c>
      <c r="U1662" s="13" t="s">
        <v>43</v>
      </c>
      <c r="V1662" s="13" t="n">
        <f aca="false">IF(COUNTIF($B$2:B1662,B1662)=1,1,0)</f>
        <v>0</v>
      </c>
      <c r="W1662" s="13" t="n">
        <f aca="false">IF(COUNTIFS($B$2:B1662,B1662,$T$2:T1662,T1662)=1,1,0)</f>
        <v>0</v>
      </c>
    </row>
    <row r="1663" customFormat="false" ht="15" hidden="false" customHeight="false" outlineLevel="0" collapsed="false">
      <c r="A1663" s="13" t="s">
        <v>1499</v>
      </c>
      <c r="B1663" s="13" t="s">
        <v>42</v>
      </c>
      <c r="C1663" s="13" t="n">
        <v>680</v>
      </c>
      <c r="D1663" s="13" t="n">
        <v>1</v>
      </c>
      <c r="E1663" s="13" t="n">
        <v>677.97</v>
      </c>
      <c r="F1663" s="13" t="s">
        <v>5325</v>
      </c>
      <c r="G1663" s="13" t="s">
        <v>5292</v>
      </c>
      <c r="H1663" s="13" t="s">
        <v>5292</v>
      </c>
      <c r="I1663" s="13" t="s">
        <v>5289</v>
      </c>
      <c r="J1663" s="13" t="s">
        <v>5289</v>
      </c>
      <c r="K1663" s="13" t="s">
        <v>5289</v>
      </c>
      <c r="L1663" s="13" t="s">
        <v>6022</v>
      </c>
      <c r="M1663" s="13"/>
      <c r="N1663" s="13" t="n">
        <v>8411061972656</v>
      </c>
      <c r="O1663" s="13"/>
      <c r="P1663" s="13" t="s">
        <v>5291</v>
      </c>
      <c r="Q1663" s="13" t="s">
        <v>5289</v>
      </c>
      <c r="R1663" s="13" t="s">
        <v>5292</v>
      </c>
      <c r="S1663" s="13" t="s">
        <v>5293</v>
      </c>
      <c r="T1663" s="13" t="s">
        <v>4</v>
      </c>
      <c r="U1663" s="13" t="s">
        <v>43</v>
      </c>
      <c r="V1663" s="13" t="n">
        <f aca="false">IF(COUNTIF($B$2:B1663,B1663)=1,1,0)</f>
        <v>0</v>
      </c>
      <c r="W1663" s="13" t="n">
        <f aca="false">IF(COUNTIFS($B$2:B1663,B1663,$T$2:T1663,T1663)=1,1,0)</f>
        <v>0</v>
      </c>
    </row>
    <row r="1664" customFormat="false" ht="15" hidden="false" customHeight="false" outlineLevel="0" collapsed="false">
      <c r="A1664" s="13" t="s">
        <v>1503</v>
      </c>
      <c r="B1664" s="13" t="s">
        <v>50</v>
      </c>
      <c r="C1664" s="13" t="n">
        <v>680</v>
      </c>
      <c r="D1664" s="13" t="n">
        <v>1</v>
      </c>
      <c r="E1664" s="13" t="n">
        <v>677.97</v>
      </c>
      <c r="F1664" s="13" t="s">
        <v>5325</v>
      </c>
      <c r="G1664" s="13" t="s">
        <v>5292</v>
      </c>
      <c r="H1664" s="13" t="s">
        <v>5289</v>
      </c>
      <c r="I1664" s="13" t="s">
        <v>5289</v>
      </c>
      <c r="J1664" s="13" t="s">
        <v>5289</v>
      </c>
      <c r="K1664" s="13" t="s">
        <v>5289</v>
      </c>
      <c r="L1664" s="13" t="s">
        <v>5732</v>
      </c>
      <c r="M1664" s="13"/>
      <c r="N1664" s="13" t="n">
        <v>3349668555062</v>
      </c>
      <c r="O1664" s="13"/>
      <c r="P1664" s="13" t="s">
        <v>5291</v>
      </c>
      <c r="Q1664" s="13" t="s">
        <v>5289</v>
      </c>
      <c r="R1664" s="13" t="s">
        <v>5292</v>
      </c>
      <c r="S1664" s="13" t="s">
        <v>5293</v>
      </c>
      <c r="T1664" s="13" t="s">
        <v>4</v>
      </c>
      <c r="U1664" s="13" t="s">
        <v>43</v>
      </c>
      <c r="V1664" s="13" t="n">
        <f aca="false">IF(COUNTIF($B$2:B1664,B1664)=1,1,0)</f>
        <v>0</v>
      </c>
      <c r="W1664" s="13" t="n">
        <f aca="false">IF(COUNTIFS($B$2:B1664,B1664,$T$2:T1664,T1664)=1,1,0)</f>
        <v>0</v>
      </c>
    </row>
    <row r="1665" customFormat="false" ht="15" hidden="false" customHeight="false" outlineLevel="0" collapsed="false">
      <c r="A1665" s="13" t="s">
        <v>1512</v>
      </c>
      <c r="B1665" s="13" t="s">
        <v>153</v>
      </c>
      <c r="C1665" s="13" t="n">
        <v>670</v>
      </c>
      <c r="D1665" s="13" t="n">
        <v>1</v>
      </c>
      <c r="E1665" s="13" t="n">
        <v>674.25</v>
      </c>
      <c r="F1665" s="13" t="s">
        <v>5288</v>
      </c>
      <c r="G1665" s="13" t="s">
        <v>5292</v>
      </c>
      <c r="H1665" s="13" t="s">
        <v>5292</v>
      </c>
      <c r="I1665" s="13" t="s">
        <v>5289</v>
      </c>
      <c r="J1665" s="13" t="s">
        <v>5289</v>
      </c>
      <c r="K1665" s="13" t="s">
        <v>5289</v>
      </c>
      <c r="L1665" s="13" t="s">
        <v>5795</v>
      </c>
      <c r="M1665" s="13"/>
      <c r="N1665" s="13" t="n">
        <v>8011003823536</v>
      </c>
      <c r="O1665" s="13"/>
      <c r="P1665" s="13" t="s">
        <v>5291</v>
      </c>
      <c r="Q1665" s="13" t="s">
        <v>5289</v>
      </c>
      <c r="R1665" s="13" t="s">
        <v>5292</v>
      </c>
      <c r="S1665" s="13" t="s">
        <v>5293</v>
      </c>
      <c r="T1665" s="13" t="s">
        <v>4</v>
      </c>
      <c r="U1665" s="13" t="s">
        <v>43</v>
      </c>
      <c r="V1665" s="13" t="n">
        <f aca="false">IF(COUNTIF($B$2:B1665,B1665)=1,1,0)</f>
        <v>0</v>
      </c>
      <c r="W1665" s="13" t="n">
        <f aca="false">IF(COUNTIFS($B$2:B1665,B1665,$T$2:T1665,T1665)=1,1,0)</f>
        <v>0</v>
      </c>
    </row>
    <row r="1666" customFormat="false" ht="15" hidden="false" customHeight="false" outlineLevel="0" collapsed="false">
      <c r="A1666" s="13" t="s">
        <v>1479</v>
      </c>
      <c r="B1666" s="13" t="s">
        <v>195</v>
      </c>
      <c r="C1666" s="13" t="n">
        <v>670</v>
      </c>
      <c r="D1666" s="13" t="n">
        <v>1</v>
      </c>
      <c r="E1666" s="13" t="n">
        <v>672.66</v>
      </c>
      <c r="F1666" s="13" t="s">
        <v>5288</v>
      </c>
      <c r="G1666" s="13" t="s">
        <v>5292</v>
      </c>
      <c r="H1666" s="13" t="s">
        <v>5292</v>
      </c>
      <c r="I1666" s="13" t="s">
        <v>5289</v>
      </c>
      <c r="J1666" s="13" t="s">
        <v>5289</v>
      </c>
      <c r="K1666" s="13" t="s">
        <v>5289</v>
      </c>
      <c r="L1666" s="13" t="s">
        <v>6169</v>
      </c>
      <c r="M1666" s="13"/>
      <c r="N1666" s="13" t="n">
        <v>3616301975755</v>
      </c>
      <c r="O1666" s="13"/>
      <c r="P1666" s="13" t="s">
        <v>5291</v>
      </c>
      <c r="Q1666" s="13" t="s">
        <v>5289</v>
      </c>
      <c r="R1666" s="13" t="s">
        <v>5292</v>
      </c>
      <c r="S1666" s="13" t="s">
        <v>5293</v>
      </c>
      <c r="T1666" s="13" t="s">
        <v>4</v>
      </c>
      <c r="U1666" s="13" t="s">
        <v>43</v>
      </c>
      <c r="V1666" s="13" t="n">
        <f aca="false">IF(COUNTIF($B$2:B1666,B1666)=1,1,0)</f>
        <v>0</v>
      </c>
      <c r="W1666" s="13" t="n">
        <f aca="false">IF(COUNTIFS($B$2:B1666,B1666,$T$2:T1666,T1666)=1,1,0)</f>
        <v>0</v>
      </c>
    </row>
    <row r="1667" customFormat="false" ht="15" hidden="false" customHeight="false" outlineLevel="0" collapsed="false">
      <c r="A1667" s="13" t="s">
        <v>1505</v>
      </c>
      <c r="B1667" s="13" t="s">
        <v>50</v>
      </c>
      <c r="C1667" s="13" t="n">
        <v>670</v>
      </c>
      <c r="D1667" s="13" t="n">
        <v>1</v>
      </c>
      <c r="E1667" s="13" t="n">
        <v>671.16</v>
      </c>
      <c r="F1667" s="13" t="s">
        <v>5325</v>
      </c>
      <c r="G1667" s="13" t="s">
        <v>5292</v>
      </c>
      <c r="H1667" s="13" t="s">
        <v>5292</v>
      </c>
      <c r="I1667" s="13" t="s">
        <v>5289</v>
      </c>
      <c r="J1667" s="13" t="s">
        <v>5289</v>
      </c>
      <c r="K1667" s="13" t="s">
        <v>5289</v>
      </c>
      <c r="L1667" s="13" t="s">
        <v>6173</v>
      </c>
      <c r="M1667" s="13"/>
      <c r="N1667" s="13" t="n">
        <v>3349668630110</v>
      </c>
      <c r="O1667" s="13"/>
      <c r="P1667" s="13" t="s">
        <v>5291</v>
      </c>
      <c r="Q1667" s="13" t="s">
        <v>5289</v>
      </c>
      <c r="R1667" s="13" t="s">
        <v>5292</v>
      </c>
      <c r="S1667" s="13" t="s">
        <v>5293</v>
      </c>
      <c r="T1667" s="13" t="s">
        <v>4</v>
      </c>
      <c r="U1667" s="13" t="s">
        <v>43</v>
      </c>
      <c r="V1667" s="13" t="n">
        <f aca="false">IF(COUNTIF($B$2:B1667,B1667)=1,1,0)</f>
        <v>0</v>
      </c>
      <c r="W1667" s="13" t="n">
        <f aca="false">IF(COUNTIFS($B$2:B1667,B1667,$T$2:T1667,T1667)=1,1,0)</f>
        <v>0</v>
      </c>
    </row>
    <row r="1668" customFormat="false" ht="15" hidden="false" customHeight="false" outlineLevel="0" collapsed="false">
      <c r="A1668" s="13" t="s">
        <v>46</v>
      </c>
      <c r="B1668" s="13" t="s">
        <v>45</v>
      </c>
      <c r="C1668" s="13" t="n">
        <v>670</v>
      </c>
      <c r="D1668" s="13" t="n">
        <v>1</v>
      </c>
      <c r="E1668" s="13" t="n">
        <v>669.97</v>
      </c>
      <c r="F1668" s="13" t="s">
        <v>5325</v>
      </c>
      <c r="G1668" s="13" t="s">
        <v>5289</v>
      </c>
      <c r="H1668" s="13" t="s">
        <v>5289</v>
      </c>
      <c r="I1668" s="13" t="s">
        <v>5289</v>
      </c>
      <c r="J1668" s="13" t="s">
        <v>5289</v>
      </c>
      <c r="K1668" s="13" t="s">
        <v>5289</v>
      </c>
      <c r="L1668" s="13" t="s">
        <v>5810</v>
      </c>
      <c r="M1668" s="13"/>
      <c r="N1668" s="13" t="n">
        <v>8435415102339</v>
      </c>
      <c r="O1668" s="13"/>
      <c r="P1668" s="13" t="s">
        <v>5291</v>
      </c>
      <c r="Q1668" s="13" t="s">
        <v>5289</v>
      </c>
      <c r="R1668" s="13" t="s">
        <v>5292</v>
      </c>
      <c r="S1668" s="13" t="s">
        <v>5293</v>
      </c>
      <c r="T1668" s="13" t="s">
        <v>4</v>
      </c>
      <c r="U1668" s="13" t="s">
        <v>43</v>
      </c>
      <c r="V1668" s="13" t="n">
        <f aca="false">IF(COUNTIF($B$2:B1668,B1668)=1,1,0)</f>
        <v>0</v>
      </c>
      <c r="W1668" s="13" t="n">
        <f aca="false">IF(COUNTIFS($B$2:B1668,B1668,$T$2:T1668,T1668)=1,1,0)</f>
        <v>0</v>
      </c>
    </row>
    <row r="1669" customFormat="false" ht="15" hidden="false" customHeight="false" outlineLevel="0" collapsed="false">
      <c r="A1669" s="13" t="s">
        <v>1514</v>
      </c>
      <c r="B1669" s="13" t="s">
        <v>79</v>
      </c>
      <c r="C1669" s="13" t="n">
        <v>670</v>
      </c>
      <c r="D1669" s="13" t="n">
        <v>1</v>
      </c>
      <c r="E1669" s="13" t="n">
        <v>667.5</v>
      </c>
      <c r="F1669" s="13" t="s">
        <v>5325</v>
      </c>
      <c r="G1669" s="13" t="s">
        <v>5292</v>
      </c>
      <c r="H1669" s="13" t="s">
        <v>5292</v>
      </c>
      <c r="I1669" s="13" t="s">
        <v>5289</v>
      </c>
      <c r="J1669" s="13" t="s">
        <v>5289</v>
      </c>
      <c r="K1669" s="13" t="s">
        <v>5289</v>
      </c>
      <c r="L1669" s="13" t="s">
        <v>6024</v>
      </c>
      <c r="M1669" s="13"/>
      <c r="N1669" s="13" t="n">
        <v>8057971184903</v>
      </c>
      <c r="O1669" s="13"/>
      <c r="P1669" s="13" t="s">
        <v>5291</v>
      </c>
      <c r="Q1669" s="13" t="s">
        <v>5289</v>
      </c>
      <c r="R1669" s="13" t="s">
        <v>5292</v>
      </c>
      <c r="S1669" s="13" t="s">
        <v>5293</v>
      </c>
      <c r="T1669" s="13" t="s">
        <v>4</v>
      </c>
      <c r="U1669" s="13" t="s">
        <v>43</v>
      </c>
      <c r="V1669" s="13" t="n">
        <f aca="false">IF(COUNTIF($B$2:B1669,B1669)=1,1,0)</f>
        <v>0</v>
      </c>
      <c r="W1669" s="13" t="n">
        <f aca="false">IF(COUNTIFS($B$2:B1669,B1669,$T$2:T1669,T1669)=1,1,0)</f>
        <v>0</v>
      </c>
    </row>
    <row r="1670" customFormat="false" ht="15" hidden="false" customHeight="false" outlineLevel="0" collapsed="false">
      <c r="A1670" s="13" t="s">
        <v>1513</v>
      </c>
      <c r="B1670" s="13" t="s">
        <v>79</v>
      </c>
      <c r="C1670" s="13" t="n">
        <v>670</v>
      </c>
      <c r="D1670" s="13" t="n">
        <v>1</v>
      </c>
      <c r="E1670" s="13" t="n">
        <v>667.5</v>
      </c>
      <c r="F1670" s="13" t="s">
        <v>5288</v>
      </c>
      <c r="G1670" s="13" t="s">
        <v>5292</v>
      </c>
      <c r="H1670" s="13" t="s">
        <v>5289</v>
      </c>
      <c r="I1670" s="13" t="s">
        <v>5289</v>
      </c>
      <c r="J1670" s="13" t="s">
        <v>5289</v>
      </c>
      <c r="K1670" s="13" t="s">
        <v>5289</v>
      </c>
      <c r="L1670" s="13" t="s">
        <v>6174</v>
      </c>
      <c r="M1670" s="13"/>
      <c r="N1670" s="13" t="n">
        <v>8054754407242</v>
      </c>
      <c r="O1670" s="13"/>
      <c r="P1670" s="13" t="s">
        <v>5291</v>
      </c>
      <c r="Q1670" s="13" t="s">
        <v>5289</v>
      </c>
      <c r="R1670" s="13" t="s">
        <v>5292</v>
      </c>
      <c r="S1670" s="13" t="s">
        <v>5293</v>
      </c>
      <c r="T1670" s="13" t="s">
        <v>4</v>
      </c>
      <c r="U1670" s="13" t="s">
        <v>43</v>
      </c>
      <c r="V1670" s="13" t="n">
        <f aca="false">IF(COUNTIF($B$2:B1670,B1670)=1,1,0)</f>
        <v>0</v>
      </c>
      <c r="W1670" s="13" t="n">
        <f aca="false">IF(COUNTIFS($B$2:B1670,B1670,$T$2:T1670,T1670)=1,1,0)</f>
        <v>0</v>
      </c>
    </row>
    <row r="1671" customFormat="false" ht="15" hidden="false" customHeight="false" outlineLevel="0" collapsed="false">
      <c r="A1671" s="13" t="s">
        <v>4363</v>
      </c>
      <c r="B1671" s="13" t="s">
        <v>2179</v>
      </c>
      <c r="C1671" s="13" t="n">
        <v>670</v>
      </c>
      <c r="D1671" s="13" t="n">
        <v>2</v>
      </c>
      <c r="E1671" s="13" t="n">
        <v>333.52</v>
      </c>
      <c r="F1671" s="13" t="s">
        <v>5288</v>
      </c>
      <c r="G1671" s="13" t="s">
        <v>5289</v>
      </c>
      <c r="H1671" s="13" t="s">
        <v>5289</v>
      </c>
      <c r="I1671" s="13" t="s">
        <v>5289</v>
      </c>
      <c r="J1671" s="13" t="s">
        <v>5289</v>
      </c>
      <c r="K1671" s="13" t="s">
        <v>5289</v>
      </c>
      <c r="L1671" s="13" t="s">
        <v>6175</v>
      </c>
      <c r="M1671" s="13"/>
      <c r="N1671" s="13" t="n">
        <v>8410190609105</v>
      </c>
      <c r="O1671" s="13"/>
      <c r="P1671" s="13" t="s">
        <v>5291</v>
      </c>
      <c r="Q1671" s="13" t="s">
        <v>5289</v>
      </c>
      <c r="R1671" s="13" t="s">
        <v>5292</v>
      </c>
      <c r="S1671" s="13" t="s">
        <v>5293</v>
      </c>
      <c r="T1671" s="13" t="s">
        <v>4</v>
      </c>
      <c r="U1671" s="13" t="s">
        <v>85</v>
      </c>
      <c r="V1671" s="13" t="n">
        <f aca="false">IF(COUNTIF($B$2:B1671,B1671)=1,1,0)</f>
        <v>0</v>
      </c>
      <c r="W1671" s="13" t="n">
        <f aca="false">IF(COUNTIFS($B$2:B1671,B1671,$T$2:T1671,T1671)=1,1,0)</f>
        <v>0</v>
      </c>
    </row>
    <row r="1672" customFormat="false" ht="15" hidden="false" customHeight="false" outlineLevel="0" collapsed="false">
      <c r="A1672" s="13" t="s">
        <v>1511</v>
      </c>
      <c r="B1672" s="13" t="s">
        <v>42</v>
      </c>
      <c r="C1672" s="13" t="n">
        <v>670</v>
      </c>
      <c r="D1672" s="13" t="n">
        <v>1</v>
      </c>
      <c r="E1672" s="13" t="n">
        <v>666.53</v>
      </c>
      <c r="F1672" s="13" t="s">
        <v>5288</v>
      </c>
      <c r="G1672" s="13" t="s">
        <v>5289</v>
      </c>
      <c r="H1672" s="13" t="s">
        <v>5292</v>
      </c>
      <c r="I1672" s="13" t="s">
        <v>5289</v>
      </c>
      <c r="J1672" s="13" t="s">
        <v>5289</v>
      </c>
      <c r="K1672" s="13" t="s">
        <v>5289</v>
      </c>
      <c r="L1672" s="13" t="s">
        <v>5926</v>
      </c>
      <c r="M1672" s="13"/>
      <c r="N1672" s="13" t="n">
        <v>8411061058466</v>
      </c>
      <c r="O1672" s="13"/>
      <c r="P1672" s="13" t="s">
        <v>5291</v>
      </c>
      <c r="Q1672" s="13" t="s">
        <v>5289</v>
      </c>
      <c r="R1672" s="13" t="s">
        <v>5292</v>
      </c>
      <c r="S1672" s="13" t="s">
        <v>5293</v>
      </c>
      <c r="T1672" s="13" t="s">
        <v>4</v>
      </c>
      <c r="U1672" s="13" t="s">
        <v>43</v>
      </c>
      <c r="V1672" s="13" t="n">
        <f aca="false">IF(COUNTIF($B$2:B1672,B1672)=1,1,0)</f>
        <v>0</v>
      </c>
      <c r="W1672" s="13" t="n">
        <f aca="false">IF(COUNTIFS($B$2:B1672,B1672,$T$2:T1672,T1672)=1,1,0)</f>
        <v>0</v>
      </c>
    </row>
    <row r="1673" customFormat="false" ht="15" hidden="false" customHeight="false" outlineLevel="0" collapsed="false">
      <c r="A1673" s="13" t="s">
        <v>1509</v>
      </c>
      <c r="B1673" s="13" t="s">
        <v>270</v>
      </c>
      <c r="C1673" s="13" t="n">
        <v>670</v>
      </c>
      <c r="D1673" s="13" t="n">
        <v>2</v>
      </c>
      <c r="E1673" s="13" t="n">
        <v>333.1</v>
      </c>
      <c r="F1673" s="13" t="s">
        <v>5288</v>
      </c>
      <c r="G1673" s="13" t="s">
        <v>5289</v>
      </c>
      <c r="H1673" s="13" t="s">
        <v>5292</v>
      </c>
      <c r="I1673" s="13" t="s">
        <v>5289</v>
      </c>
      <c r="J1673" s="13" t="s">
        <v>5289</v>
      </c>
      <c r="K1673" s="13" t="s">
        <v>5289</v>
      </c>
      <c r="L1673" s="13" t="s">
        <v>6176</v>
      </c>
      <c r="M1673" s="13"/>
      <c r="N1673" s="13" t="n">
        <v>878813000025</v>
      </c>
      <c r="O1673" s="13"/>
      <c r="P1673" s="13" t="s">
        <v>5291</v>
      </c>
      <c r="Q1673" s="13" t="s">
        <v>5289</v>
      </c>
      <c r="R1673" s="13" t="s">
        <v>5292</v>
      </c>
      <c r="S1673" s="13" t="s">
        <v>5293</v>
      </c>
      <c r="T1673" s="13" t="s">
        <v>4</v>
      </c>
      <c r="U1673" s="13" t="s">
        <v>43</v>
      </c>
      <c r="V1673" s="13" t="n">
        <f aca="false">IF(COUNTIF($B$2:B1673,B1673)=1,1,0)</f>
        <v>0</v>
      </c>
      <c r="W1673" s="13" t="n">
        <f aca="false">IF(COUNTIFS($B$2:B1673,B1673,$T$2:T1673,T1673)=1,1,0)</f>
        <v>0</v>
      </c>
    </row>
    <row r="1674" customFormat="false" ht="15" hidden="false" customHeight="false" outlineLevel="0" collapsed="false">
      <c r="A1674" s="13" t="s">
        <v>6177</v>
      </c>
      <c r="B1674" s="13" t="s">
        <v>2133</v>
      </c>
      <c r="C1674" s="13" t="n">
        <v>660</v>
      </c>
      <c r="D1674" s="13" t="n">
        <v>1</v>
      </c>
      <c r="E1674" s="13" t="n">
        <v>664.06</v>
      </c>
      <c r="F1674" s="13" t="s">
        <v>5325</v>
      </c>
      <c r="G1674" s="13" t="s">
        <v>5292</v>
      </c>
      <c r="H1674" s="13" t="s">
        <v>5292</v>
      </c>
      <c r="I1674" s="13" t="s">
        <v>5289</v>
      </c>
      <c r="J1674" s="13" t="s">
        <v>5289</v>
      </c>
      <c r="K1674" s="13" t="s">
        <v>5289</v>
      </c>
      <c r="L1674" s="13" t="s">
        <v>5809</v>
      </c>
      <c r="M1674" s="13"/>
      <c r="N1674" s="13" t="n">
        <v>783320427152</v>
      </c>
      <c r="O1674" s="13"/>
      <c r="P1674" s="13" t="s">
        <v>5297</v>
      </c>
      <c r="Q1674" s="13" t="s">
        <v>5289</v>
      </c>
      <c r="R1674" s="13" t="s">
        <v>5292</v>
      </c>
      <c r="S1674" s="13" t="s">
        <v>5293</v>
      </c>
      <c r="T1674" s="13" t="s">
        <v>4</v>
      </c>
      <c r="U1674" s="13" t="s">
        <v>43</v>
      </c>
      <c r="V1674" s="13" t="n">
        <f aca="false">IF(COUNTIF($B$2:B1674,B1674)=1,1,0)</f>
        <v>0</v>
      </c>
      <c r="W1674" s="13" t="n">
        <f aca="false">IF(COUNTIFS($B$2:B1674,B1674,$T$2:T1674,T1674)=1,1,0)</f>
        <v>0</v>
      </c>
    </row>
    <row r="1675" customFormat="false" ht="15" hidden="false" customHeight="false" outlineLevel="0" collapsed="false">
      <c r="A1675" s="13" t="s">
        <v>1522</v>
      </c>
      <c r="B1675" s="13" t="s">
        <v>45</v>
      </c>
      <c r="C1675" s="13" t="n">
        <v>660</v>
      </c>
      <c r="D1675" s="13" t="n">
        <v>1</v>
      </c>
      <c r="E1675" s="13" t="n">
        <v>663.17</v>
      </c>
      <c r="F1675" s="13" t="s">
        <v>5288</v>
      </c>
      <c r="G1675" s="13" t="s">
        <v>5289</v>
      </c>
      <c r="H1675" s="13" t="s">
        <v>5292</v>
      </c>
      <c r="I1675" s="13" t="s">
        <v>5289</v>
      </c>
      <c r="J1675" s="13" t="s">
        <v>5289</v>
      </c>
      <c r="K1675" s="13" t="s">
        <v>5289</v>
      </c>
      <c r="L1675" s="13" t="s">
        <v>5772</v>
      </c>
      <c r="M1675" s="13"/>
      <c r="N1675" s="13" t="n">
        <v>8435415017206</v>
      </c>
      <c r="O1675" s="13"/>
      <c r="P1675" s="13" t="s">
        <v>5291</v>
      </c>
      <c r="Q1675" s="13" t="s">
        <v>5289</v>
      </c>
      <c r="R1675" s="13" t="s">
        <v>5292</v>
      </c>
      <c r="S1675" s="13" t="s">
        <v>5293</v>
      </c>
      <c r="T1675" s="13" t="s">
        <v>4</v>
      </c>
      <c r="U1675" s="13" t="s">
        <v>43</v>
      </c>
      <c r="V1675" s="13" t="n">
        <f aca="false">IF(COUNTIF($B$2:B1675,B1675)=1,1,0)</f>
        <v>0</v>
      </c>
      <c r="W1675" s="13" t="n">
        <f aca="false">IF(COUNTIFS($B$2:B1675,B1675,$T$2:T1675,T1675)=1,1,0)</f>
        <v>0</v>
      </c>
    </row>
    <row r="1676" customFormat="false" ht="15" hidden="false" customHeight="false" outlineLevel="0" collapsed="false">
      <c r="A1676" s="13" t="s">
        <v>575</v>
      </c>
      <c r="B1676" s="13" t="s">
        <v>329</v>
      </c>
      <c r="C1676" s="13" t="n">
        <v>660</v>
      </c>
      <c r="D1676" s="13" t="n">
        <v>1</v>
      </c>
      <c r="E1676" s="13" t="n">
        <v>661.34</v>
      </c>
      <c r="F1676" s="13" t="s">
        <v>5288</v>
      </c>
      <c r="G1676" s="13" t="s">
        <v>5289</v>
      </c>
      <c r="H1676" s="13" t="s">
        <v>5289</v>
      </c>
      <c r="I1676" s="13" t="s">
        <v>5289</v>
      </c>
      <c r="J1676" s="13" t="s">
        <v>5289</v>
      </c>
      <c r="K1676" s="13" t="s">
        <v>5289</v>
      </c>
      <c r="L1676" s="13" t="s">
        <v>6178</v>
      </c>
      <c r="M1676" s="13"/>
      <c r="N1676" s="13" t="n">
        <v>3137370360933</v>
      </c>
      <c r="O1676" s="13"/>
      <c r="P1676" s="13" t="s">
        <v>5291</v>
      </c>
      <c r="Q1676" s="13" t="s">
        <v>5289</v>
      </c>
      <c r="R1676" s="13" t="s">
        <v>5292</v>
      </c>
      <c r="S1676" s="13" t="s">
        <v>5293</v>
      </c>
      <c r="T1676" s="13" t="s">
        <v>4</v>
      </c>
      <c r="U1676" s="13" t="s">
        <v>43</v>
      </c>
      <c r="V1676" s="13" t="n">
        <f aca="false">IF(COUNTIF($B$2:B1676,B1676)=1,1,0)</f>
        <v>0</v>
      </c>
      <c r="W1676" s="13" t="n">
        <f aca="false">IF(COUNTIFS($B$2:B1676,B1676,$T$2:T1676,T1676)=1,1,0)</f>
        <v>0</v>
      </c>
    </row>
    <row r="1677" customFormat="false" ht="15" hidden="false" customHeight="false" outlineLevel="0" collapsed="false">
      <c r="A1677" s="13" t="s">
        <v>1521</v>
      </c>
      <c r="B1677" s="13" t="s">
        <v>255</v>
      </c>
      <c r="C1677" s="13" t="n">
        <v>660</v>
      </c>
      <c r="D1677" s="13" t="n">
        <v>2</v>
      </c>
      <c r="E1677" s="13" t="n">
        <v>220.42</v>
      </c>
      <c r="F1677" s="13" t="s">
        <v>5288</v>
      </c>
      <c r="G1677" s="13" t="s">
        <v>5292</v>
      </c>
      <c r="H1677" s="13" t="s">
        <v>5292</v>
      </c>
      <c r="I1677" s="13" t="s">
        <v>5289</v>
      </c>
      <c r="J1677" s="13" t="s">
        <v>5289</v>
      </c>
      <c r="K1677" s="13" t="s">
        <v>5289</v>
      </c>
      <c r="L1677" s="13" t="s">
        <v>6179</v>
      </c>
      <c r="M1677" s="13"/>
      <c r="N1677" s="13" t="n">
        <v>5055810029838</v>
      </c>
      <c r="O1677" s="13"/>
      <c r="P1677" s="13" t="s">
        <v>5297</v>
      </c>
      <c r="Q1677" s="13" t="s">
        <v>5289</v>
      </c>
      <c r="R1677" s="13" t="s">
        <v>5292</v>
      </c>
      <c r="S1677" s="13" t="s">
        <v>5293</v>
      </c>
      <c r="T1677" s="13" t="s">
        <v>4</v>
      </c>
      <c r="U1677" s="13" t="s">
        <v>43</v>
      </c>
      <c r="V1677" s="13" t="n">
        <f aca="false">IF(COUNTIF($B$2:B1677,B1677)=1,1,0)</f>
        <v>0</v>
      </c>
      <c r="W1677" s="13" t="n">
        <f aca="false">IF(COUNTIFS($B$2:B1677,B1677,$T$2:T1677,T1677)=1,1,0)</f>
        <v>0</v>
      </c>
    </row>
    <row r="1678" customFormat="false" ht="15" hidden="false" customHeight="false" outlineLevel="0" collapsed="false">
      <c r="A1678" s="13" t="s">
        <v>1523</v>
      </c>
      <c r="B1678" s="13" t="s">
        <v>286</v>
      </c>
      <c r="C1678" s="13" t="n">
        <v>660</v>
      </c>
      <c r="D1678" s="13" t="n">
        <v>2</v>
      </c>
      <c r="E1678" s="13" t="n">
        <v>329.45</v>
      </c>
      <c r="F1678" s="13" t="s">
        <v>5325</v>
      </c>
      <c r="G1678" s="13" t="s">
        <v>5292</v>
      </c>
      <c r="H1678" s="13" t="s">
        <v>5292</v>
      </c>
      <c r="I1678" s="13" t="s">
        <v>5289</v>
      </c>
      <c r="J1678" s="13" t="s">
        <v>5289</v>
      </c>
      <c r="K1678" s="13" t="s">
        <v>5289</v>
      </c>
      <c r="L1678" s="13" t="s">
        <v>6180</v>
      </c>
      <c r="M1678" s="13"/>
      <c r="N1678" s="13" t="n">
        <v>6294015163889</v>
      </c>
      <c r="O1678" s="13"/>
      <c r="P1678" s="13" t="s">
        <v>5297</v>
      </c>
      <c r="Q1678" s="13" t="s">
        <v>5289</v>
      </c>
      <c r="R1678" s="13" t="s">
        <v>5292</v>
      </c>
      <c r="S1678" s="13" t="s">
        <v>5293</v>
      </c>
      <c r="T1678" s="13" t="s">
        <v>4</v>
      </c>
      <c r="U1678" s="13" t="s">
        <v>43</v>
      </c>
      <c r="V1678" s="13" t="n">
        <f aca="false">IF(COUNTIF($B$2:B1678,B1678)=1,1,0)</f>
        <v>0</v>
      </c>
      <c r="W1678" s="13" t="n">
        <f aca="false">IF(COUNTIFS($B$2:B1678,B1678,$T$2:T1678,T1678)=1,1,0)</f>
        <v>0</v>
      </c>
    </row>
    <row r="1679" customFormat="false" ht="15" hidden="false" customHeight="false" outlineLevel="0" collapsed="false">
      <c r="A1679" s="13" t="s">
        <v>1515</v>
      </c>
      <c r="B1679" s="13" t="s">
        <v>42</v>
      </c>
      <c r="C1679" s="13" t="n">
        <v>660</v>
      </c>
      <c r="D1679" s="13" t="n">
        <v>1</v>
      </c>
      <c r="E1679" s="13" t="n">
        <v>658</v>
      </c>
      <c r="F1679" s="13" t="s">
        <v>5288</v>
      </c>
      <c r="G1679" s="13" t="s">
        <v>5289</v>
      </c>
      <c r="H1679" s="13" t="s">
        <v>5292</v>
      </c>
      <c r="I1679" s="13" t="s">
        <v>5289</v>
      </c>
      <c r="J1679" s="13" t="s">
        <v>5289</v>
      </c>
      <c r="K1679" s="13" t="s">
        <v>5289</v>
      </c>
      <c r="L1679" s="13" t="s">
        <v>6181</v>
      </c>
      <c r="M1679" s="13"/>
      <c r="N1679" s="13" t="n">
        <v>8411061043875</v>
      </c>
      <c r="O1679" s="13"/>
      <c r="P1679" s="13" t="s">
        <v>5291</v>
      </c>
      <c r="Q1679" s="13" t="s">
        <v>5289</v>
      </c>
      <c r="R1679" s="13" t="s">
        <v>5292</v>
      </c>
      <c r="S1679" s="13" t="s">
        <v>5293</v>
      </c>
      <c r="T1679" s="13" t="s">
        <v>4</v>
      </c>
      <c r="U1679" s="13" t="s">
        <v>43</v>
      </c>
      <c r="V1679" s="13" t="n">
        <f aca="false">IF(COUNTIF($B$2:B1679,B1679)=1,1,0)</f>
        <v>0</v>
      </c>
      <c r="W1679" s="13" t="n">
        <f aca="false">IF(COUNTIFS($B$2:B1679,B1679,$T$2:T1679,T1679)=1,1,0)</f>
        <v>0</v>
      </c>
    </row>
    <row r="1680" customFormat="false" ht="15" hidden="false" customHeight="false" outlineLevel="0" collapsed="false">
      <c r="A1680" s="13" t="s">
        <v>290</v>
      </c>
      <c r="B1680" s="13" t="s">
        <v>42</v>
      </c>
      <c r="C1680" s="13" t="n">
        <v>660</v>
      </c>
      <c r="D1680" s="13" t="n">
        <v>1</v>
      </c>
      <c r="E1680" s="13" t="n">
        <v>657.82</v>
      </c>
      <c r="F1680" s="13" t="s">
        <v>5288</v>
      </c>
      <c r="G1680" s="13" t="s">
        <v>5289</v>
      </c>
      <c r="H1680" s="13" t="s">
        <v>5289</v>
      </c>
      <c r="I1680" s="13" t="s">
        <v>5289</v>
      </c>
      <c r="J1680" s="13" t="s">
        <v>5289</v>
      </c>
      <c r="K1680" s="13" t="s">
        <v>5289</v>
      </c>
      <c r="L1680" s="13" t="s">
        <v>6182</v>
      </c>
      <c r="M1680" s="13"/>
      <c r="N1680" s="13" t="n">
        <v>8411061055199</v>
      </c>
      <c r="O1680" s="13"/>
      <c r="P1680" s="13" t="s">
        <v>5291</v>
      </c>
      <c r="Q1680" s="13" t="s">
        <v>5289</v>
      </c>
      <c r="R1680" s="13" t="s">
        <v>5292</v>
      </c>
      <c r="S1680" s="13" t="s">
        <v>5293</v>
      </c>
      <c r="T1680" s="13" t="s">
        <v>4</v>
      </c>
      <c r="U1680" s="13" t="s">
        <v>43</v>
      </c>
      <c r="V1680" s="13" t="n">
        <f aca="false">IF(COUNTIF($B$2:B1680,B1680)=1,1,0)</f>
        <v>0</v>
      </c>
      <c r="W1680" s="13" t="n">
        <f aca="false">IF(COUNTIFS($B$2:B1680,B1680,$T$2:T1680,T1680)=1,1,0)</f>
        <v>0</v>
      </c>
    </row>
    <row r="1681" customFormat="false" ht="15" hidden="false" customHeight="false" outlineLevel="0" collapsed="false">
      <c r="A1681" s="13" t="s">
        <v>469</v>
      </c>
      <c r="B1681" s="13" t="s">
        <v>79</v>
      </c>
      <c r="C1681" s="13" t="n">
        <v>660</v>
      </c>
      <c r="D1681" s="13" t="n">
        <v>1</v>
      </c>
      <c r="E1681" s="13" t="n">
        <v>656.11</v>
      </c>
      <c r="F1681" s="13" t="s">
        <v>5288</v>
      </c>
      <c r="G1681" s="13" t="s">
        <v>5292</v>
      </c>
      <c r="H1681" s="13" t="s">
        <v>5292</v>
      </c>
      <c r="I1681" s="13" t="s">
        <v>5289</v>
      </c>
      <c r="J1681" s="13" t="s">
        <v>5289</v>
      </c>
      <c r="K1681" s="13" t="s">
        <v>5289</v>
      </c>
      <c r="L1681" s="13" t="s">
        <v>6011</v>
      </c>
      <c r="M1681" s="13"/>
      <c r="N1681" s="13" t="n">
        <v>8056669925705</v>
      </c>
      <c r="O1681" s="13"/>
      <c r="P1681" s="13" t="s">
        <v>5291</v>
      </c>
      <c r="Q1681" s="13" t="s">
        <v>5289</v>
      </c>
      <c r="R1681" s="13" t="s">
        <v>5292</v>
      </c>
      <c r="S1681" s="13" t="s">
        <v>5293</v>
      </c>
      <c r="T1681" s="13" t="s">
        <v>4</v>
      </c>
      <c r="U1681" s="13" t="s">
        <v>43</v>
      </c>
      <c r="V1681" s="13" t="n">
        <f aca="false">IF(COUNTIF($B$2:B1681,B1681)=1,1,0)</f>
        <v>0</v>
      </c>
      <c r="W1681" s="13" t="n">
        <f aca="false">IF(COUNTIFS($B$2:B1681,B1681,$T$2:T1681,T1681)=1,1,0)</f>
        <v>0</v>
      </c>
    </row>
    <row r="1682" customFormat="false" ht="15" hidden="false" customHeight="false" outlineLevel="0" collapsed="false">
      <c r="A1682" s="13" t="s">
        <v>812</v>
      </c>
      <c r="B1682" s="13" t="s">
        <v>45</v>
      </c>
      <c r="C1682" s="13" t="n">
        <v>650</v>
      </c>
      <c r="D1682" s="13" t="n">
        <v>1</v>
      </c>
      <c r="E1682" s="13" t="n">
        <v>652.74</v>
      </c>
      <c r="F1682" s="13" t="s">
        <v>5288</v>
      </c>
      <c r="G1682" s="13" t="s">
        <v>5292</v>
      </c>
      <c r="H1682" s="13" t="s">
        <v>5289</v>
      </c>
      <c r="I1682" s="13" t="s">
        <v>5289</v>
      </c>
      <c r="J1682" s="13" t="s">
        <v>5289</v>
      </c>
      <c r="K1682" s="13" t="s">
        <v>5289</v>
      </c>
      <c r="L1682" s="13" t="s">
        <v>6183</v>
      </c>
      <c r="M1682" s="13"/>
      <c r="N1682" s="13" t="n">
        <v>8435415114004</v>
      </c>
      <c r="O1682" s="13"/>
      <c r="P1682" s="13" t="s">
        <v>5291</v>
      </c>
      <c r="Q1682" s="13" t="s">
        <v>5289</v>
      </c>
      <c r="R1682" s="13" t="s">
        <v>5292</v>
      </c>
      <c r="S1682" s="13" t="s">
        <v>5293</v>
      </c>
      <c r="T1682" s="13" t="s">
        <v>4</v>
      </c>
      <c r="U1682" s="13" t="s">
        <v>43</v>
      </c>
      <c r="V1682" s="13" t="n">
        <f aca="false">IF(COUNTIF($B$2:B1682,B1682)=1,1,0)</f>
        <v>0</v>
      </c>
      <c r="W1682" s="13" t="n">
        <f aca="false">IF(COUNTIFS($B$2:B1682,B1682,$T$2:T1682,T1682)=1,1,0)</f>
        <v>0</v>
      </c>
    </row>
    <row r="1683" customFormat="false" ht="15" hidden="false" customHeight="false" outlineLevel="0" collapsed="false">
      <c r="A1683" s="13" t="s">
        <v>384</v>
      </c>
      <c r="B1683" s="13" t="s">
        <v>329</v>
      </c>
      <c r="C1683" s="13" t="n">
        <v>650</v>
      </c>
      <c r="D1683" s="13" t="n">
        <v>2</v>
      </c>
      <c r="E1683" s="13" t="n">
        <v>325.91</v>
      </c>
      <c r="F1683" s="13" t="s">
        <v>5288</v>
      </c>
      <c r="G1683" s="13" t="s">
        <v>5289</v>
      </c>
      <c r="H1683" s="13" t="s">
        <v>5289</v>
      </c>
      <c r="I1683" s="13" t="s">
        <v>5289</v>
      </c>
      <c r="J1683" s="13" t="s">
        <v>5289</v>
      </c>
      <c r="K1683" s="13" t="s">
        <v>5289</v>
      </c>
      <c r="L1683" s="13" t="s">
        <v>6184</v>
      </c>
      <c r="M1683" s="13"/>
      <c r="N1683" s="13" t="n">
        <v>3137370357636</v>
      </c>
      <c r="O1683" s="13"/>
      <c r="P1683" s="13" t="s">
        <v>5291</v>
      </c>
      <c r="Q1683" s="13" t="s">
        <v>5289</v>
      </c>
      <c r="R1683" s="13" t="s">
        <v>5292</v>
      </c>
      <c r="S1683" s="13" t="s">
        <v>5293</v>
      </c>
      <c r="T1683" s="13" t="s">
        <v>4</v>
      </c>
      <c r="U1683" s="13" t="s">
        <v>43</v>
      </c>
      <c r="V1683" s="13" t="n">
        <f aca="false">IF(COUNTIF($B$2:B1683,B1683)=1,1,0)</f>
        <v>0</v>
      </c>
      <c r="W1683" s="13" t="n">
        <f aca="false">IF(COUNTIFS($B$2:B1683,B1683,$T$2:T1683,T1683)=1,1,0)</f>
        <v>0</v>
      </c>
    </row>
    <row r="1684" customFormat="false" ht="15" hidden="false" customHeight="false" outlineLevel="0" collapsed="false">
      <c r="A1684" s="13" t="s">
        <v>4380</v>
      </c>
      <c r="B1684" s="13" t="s">
        <v>2176</v>
      </c>
      <c r="C1684" s="13" t="n">
        <v>650</v>
      </c>
      <c r="D1684" s="13" t="n">
        <v>2</v>
      </c>
      <c r="E1684" s="13" t="n">
        <v>325.86</v>
      </c>
      <c r="F1684" s="13" t="s">
        <v>5288</v>
      </c>
      <c r="G1684" s="13" t="s">
        <v>5292</v>
      </c>
      <c r="H1684" s="13" t="s">
        <v>5292</v>
      </c>
      <c r="I1684" s="13" t="s">
        <v>5289</v>
      </c>
      <c r="J1684" s="13" t="s">
        <v>5289</v>
      </c>
      <c r="K1684" s="13" t="s">
        <v>5289</v>
      </c>
      <c r="L1684" s="13" t="s">
        <v>6185</v>
      </c>
      <c r="M1684" s="13"/>
      <c r="N1684" s="13" t="n">
        <v>3355992009577</v>
      </c>
      <c r="O1684" s="13"/>
      <c r="P1684" s="13" t="s">
        <v>5291</v>
      </c>
      <c r="Q1684" s="13" t="s">
        <v>5289</v>
      </c>
      <c r="R1684" s="13" t="s">
        <v>5292</v>
      </c>
      <c r="S1684" s="13" t="s">
        <v>5293</v>
      </c>
      <c r="T1684" s="13" t="s">
        <v>4</v>
      </c>
      <c r="U1684" s="13" t="s">
        <v>43</v>
      </c>
      <c r="V1684" s="13" t="n">
        <f aca="false">IF(COUNTIF($B$2:B1684,B1684)=1,1,0)</f>
        <v>0</v>
      </c>
      <c r="W1684" s="13" t="n">
        <f aca="false">IF(COUNTIFS($B$2:B1684,B1684,$T$2:T1684,T1684)=1,1,0)</f>
        <v>0</v>
      </c>
    </row>
    <row r="1685" customFormat="false" ht="15" hidden="false" customHeight="false" outlineLevel="0" collapsed="false">
      <c r="A1685" s="13" t="s">
        <v>778</v>
      </c>
      <c r="B1685" s="13" t="s">
        <v>42</v>
      </c>
      <c r="C1685" s="13" t="n">
        <v>650</v>
      </c>
      <c r="D1685" s="13" t="n">
        <v>1</v>
      </c>
      <c r="E1685" s="13" t="n">
        <v>651.41</v>
      </c>
      <c r="F1685" s="13" t="s">
        <v>5288</v>
      </c>
      <c r="G1685" s="13" t="s">
        <v>5289</v>
      </c>
      <c r="H1685" s="13" t="s">
        <v>5292</v>
      </c>
      <c r="I1685" s="13" t="s">
        <v>5289</v>
      </c>
      <c r="J1685" s="13" t="s">
        <v>5289</v>
      </c>
      <c r="K1685" s="13" t="s">
        <v>5289</v>
      </c>
      <c r="L1685" s="13" t="s">
        <v>5785</v>
      </c>
      <c r="M1685" s="13"/>
      <c r="N1685" s="13" t="n">
        <v>8411061077153</v>
      </c>
      <c r="O1685" s="13"/>
      <c r="P1685" s="13" t="s">
        <v>5291</v>
      </c>
      <c r="Q1685" s="13" t="s">
        <v>5289</v>
      </c>
      <c r="R1685" s="13" t="s">
        <v>5292</v>
      </c>
      <c r="S1685" s="13" t="s">
        <v>5293</v>
      </c>
      <c r="T1685" s="13" t="s">
        <v>4</v>
      </c>
      <c r="U1685" s="13" t="s">
        <v>43</v>
      </c>
      <c r="V1685" s="13" t="n">
        <f aca="false">IF(COUNTIF($B$2:B1685,B1685)=1,1,0)</f>
        <v>0</v>
      </c>
      <c r="W1685" s="13" t="n">
        <f aca="false">IF(COUNTIFS($B$2:B1685,B1685,$T$2:T1685,T1685)=1,1,0)</f>
        <v>0</v>
      </c>
    </row>
    <row r="1686" customFormat="false" ht="15" hidden="false" customHeight="false" outlineLevel="0" collapsed="false">
      <c r="A1686" s="13" t="s">
        <v>4384</v>
      </c>
      <c r="B1686" s="13" t="s">
        <v>2193</v>
      </c>
      <c r="C1686" s="13" t="n">
        <v>650</v>
      </c>
      <c r="D1686" s="13" t="n">
        <v>1</v>
      </c>
      <c r="E1686" s="13" t="n">
        <v>650.46</v>
      </c>
      <c r="F1686" s="13" t="s">
        <v>5325</v>
      </c>
      <c r="G1686" s="13" t="s">
        <v>5292</v>
      </c>
      <c r="H1686" s="13" t="s">
        <v>5292</v>
      </c>
      <c r="I1686" s="13" t="s">
        <v>5289</v>
      </c>
      <c r="J1686" s="13" t="s">
        <v>5289</v>
      </c>
      <c r="K1686" s="13" t="s">
        <v>5289</v>
      </c>
      <c r="L1686" s="13" t="s">
        <v>6186</v>
      </c>
      <c r="M1686" s="13"/>
      <c r="N1686" s="13" t="n">
        <v>3386460120630</v>
      </c>
      <c r="O1686" s="13"/>
      <c r="P1686" s="13" t="s">
        <v>5291</v>
      </c>
      <c r="Q1686" s="13" t="s">
        <v>5289</v>
      </c>
      <c r="R1686" s="13" t="s">
        <v>5292</v>
      </c>
      <c r="S1686" s="13" t="s">
        <v>5293</v>
      </c>
      <c r="T1686" s="13" t="s">
        <v>4</v>
      </c>
      <c r="U1686" s="13" t="s">
        <v>43</v>
      </c>
      <c r="V1686" s="13" t="n">
        <f aca="false">IF(COUNTIF($B$2:B1686,B1686)=1,1,0)</f>
        <v>0</v>
      </c>
      <c r="W1686" s="13" t="n">
        <f aca="false">IF(COUNTIFS($B$2:B1686,B1686,$T$2:T1686,T1686)=1,1,0)</f>
        <v>0</v>
      </c>
    </row>
    <row r="1687" customFormat="false" ht="15" hidden="false" customHeight="false" outlineLevel="0" collapsed="false">
      <c r="A1687" s="13" t="s">
        <v>1533</v>
      </c>
      <c r="B1687" s="13" t="s">
        <v>153</v>
      </c>
      <c r="C1687" s="13" t="n">
        <v>650</v>
      </c>
      <c r="D1687" s="13" t="n">
        <v>1</v>
      </c>
      <c r="E1687" s="13" t="n">
        <v>648.59</v>
      </c>
      <c r="F1687" s="13" t="s">
        <v>5288</v>
      </c>
      <c r="G1687" s="13" t="s">
        <v>5292</v>
      </c>
      <c r="H1687" s="13" t="s">
        <v>5292</v>
      </c>
      <c r="I1687" s="13" t="s">
        <v>5289</v>
      </c>
      <c r="J1687" s="13" t="s">
        <v>5289</v>
      </c>
      <c r="K1687" s="13" t="s">
        <v>5289</v>
      </c>
      <c r="L1687" s="13" t="s">
        <v>5935</v>
      </c>
      <c r="M1687" s="13"/>
      <c r="N1687" s="13" t="n">
        <v>8011003895755</v>
      </c>
      <c r="O1687" s="13"/>
      <c r="P1687" s="13" t="s">
        <v>5291</v>
      </c>
      <c r="Q1687" s="13" t="s">
        <v>5289</v>
      </c>
      <c r="R1687" s="13" t="s">
        <v>5292</v>
      </c>
      <c r="S1687" s="13" t="s">
        <v>5293</v>
      </c>
      <c r="T1687" s="13" t="s">
        <v>4</v>
      </c>
      <c r="U1687" s="13" t="s">
        <v>43</v>
      </c>
      <c r="V1687" s="13" t="n">
        <f aca="false">IF(COUNTIF($B$2:B1687,B1687)=1,1,0)</f>
        <v>0</v>
      </c>
      <c r="W1687" s="13" t="n">
        <f aca="false">IF(COUNTIFS($B$2:B1687,B1687,$T$2:T1687,T1687)=1,1,0)</f>
        <v>0</v>
      </c>
    </row>
    <row r="1688" customFormat="false" ht="15" hidden="false" customHeight="false" outlineLevel="0" collapsed="false">
      <c r="A1688" s="13" t="s">
        <v>4382</v>
      </c>
      <c r="B1688" s="13" t="s">
        <v>2193</v>
      </c>
      <c r="C1688" s="13" t="n">
        <v>650</v>
      </c>
      <c r="D1688" s="13" t="n">
        <v>1</v>
      </c>
      <c r="E1688" s="13" t="n">
        <v>648.13</v>
      </c>
      <c r="F1688" s="13" t="s">
        <v>5325</v>
      </c>
      <c r="G1688" s="13" t="s">
        <v>5292</v>
      </c>
      <c r="H1688" s="13" t="s">
        <v>5292</v>
      </c>
      <c r="I1688" s="13" t="s">
        <v>5289</v>
      </c>
      <c r="J1688" s="13" t="s">
        <v>5289</v>
      </c>
      <c r="K1688" s="13" t="s">
        <v>5289</v>
      </c>
      <c r="L1688" s="13" t="s">
        <v>6187</v>
      </c>
      <c r="M1688" s="13"/>
      <c r="N1688" s="13" t="n">
        <v>3386460145060</v>
      </c>
      <c r="O1688" s="13"/>
      <c r="P1688" s="13" t="s">
        <v>5291</v>
      </c>
      <c r="Q1688" s="13" t="s">
        <v>5289</v>
      </c>
      <c r="R1688" s="13" t="s">
        <v>5292</v>
      </c>
      <c r="S1688" s="13" t="s">
        <v>5293</v>
      </c>
      <c r="T1688" s="13" t="s">
        <v>4</v>
      </c>
      <c r="U1688" s="13" t="s">
        <v>43</v>
      </c>
      <c r="V1688" s="13" t="n">
        <f aca="false">IF(COUNTIF($B$2:B1688,B1688)=1,1,0)</f>
        <v>0</v>
      </c>
      <c r="W1688" s="13" t="n">
        <f aca="false">IF(COUNTIFS($B$2:B1688,B1688,$T$2:T1688,T1688)=1,1,0)</f>
        <v>0</v>
      </c>
    </row>
    <row r="1689" customFormat="false" ht="15" hidden="false" customHeight="false" outlineLevel="0" collapsed="false">
      <c r="A1689" s="13" t="s">
        <v>1532</v>
      </c>
      <c r="B1689" s="13" t="s">
        <v>490</v>
      </c>
      <c r="C1689" s="13" t="n">
        <v>650</v>
      </c>
      <c r="D1689" s="13" t="n">
        <v>2</v>
      </c>
      <c r="E1689" s="13" t="n">
        <v>216</v>
      </c>
      <c r="F1689" s="13" t="s">
        <v>5288</v>
      </c>
      <c r="G1689" s="13" t="s">
        <v>5292</v>
      </c>
      <c r="H1689" s="13" t="s">
        <v>5292</v>
      </c>
      <c r="I1689" s="13" t="s">
        <v>5289</v>
      </c>
      <c r="J1689" s="13" t="s">
        <v>5289</v>
      </c>
      <c r="K1689" s="13" t="s">
        <v>5289</v>
      </c>
      <c r="L1689" s="13" t="s">
        <v>6188</v>
      </c>
      <c r="M1689" s="13"/>
      <c r="N1689" s="13" t="n">
        <v>8011003838394</v>
      </c>
      <c r="O1689" s="13"/>
      <c r="P1689" s="13" t="s">
        <v>5291</v>
      </c>
      <c r="Q1689" s="13" t="s">
        <v>5289</v>
      </c>
      <c r="R1689" s="13" t="s">
        <v>5292</v>
      </c>
      <c r="S1689" s="13" t="s">
        <v>5293</v>
      </c>
      <c r="T1689" s="13" t="s">
        <v>4</v>
      </c>
      <c r="U1689" s="13" t="s">
        <v>43</v>
      </c>
      <c r="V1689" s="13" t="n">
        <f aca="false">IF(COUNTIF($B$2:B1689,B1689)=1,1,0)</f>
        <v>0</v>
      </c>
      <c r="W1689" s="13" t="n">
        <f aca="false">IF(COUNTIFS($B$2:B1689,B1689,$T$2:T1689,T1689)=1,1,0)</f>
        <v>0</v>
      </c>
    </row>
    <row r="1690" customFormat="false" ht="15" hidden="false" customHeight="false" outlineLevel="0" collapsed="false">
      <c r="A1690" s="13" t="s">
        <v>101</v>
      </c>
      <c r="B1690" s="13" t="s">
        <v>45</v>
      </c>
      <c r="C1690" s="13" t="n">
        <v>650</v>
      </c>
      <c r="D1690" s="13" t="n">
        <v>1</v>
      </c>
      <c r="E1690" s="13" t="n">
        <v>647.66</v>
      </c>
      <c r="F1690" s="13" t="s">
        <v>5325</v>
      </c>
      <c r="G1690" s="13" t="s">
        <v>5289</v>
      </c>
      <c r="H1690" s="13" t="s">
        <v>5289</v>
      </c>
      <c r="I1690" s="13" t="s">
        <v>5289</v>
      </c>
      <c r="J1690" s="13" t="s">
        <v>5289</v>
      </c>
      <c r="K1690" s="13" t="s">
        <v>5289</v>
      </c>
      <c r="L1690" s="13" t="s">
        <v>5714</v>
      </c>
      <c r="M1690" s="13"/>
      <c r="N1690" s="13" t="n">
        <v>8435415032278</v>
      </c>
      <c r="O1690" s="13"/>
      <c r="P1690" s="13" t="s">
        <v>5291</v>
      </c>
      <c r="Q1690" s="13" t="s">
        <v>5289</v>
      </c>
      <c r="R1690" s="13" t="s">
        <v>5292</v>
      </c>
      <c r="S1690" s="13" t="s">
        <v>5293</v>
      </c>
      <c r="T1690" s="13" t="s">
        <v>4</v>
      </c>
      <c r="U1690" s="13" t="s">
        <v>43</v>
      </c>
      <c r="V1690" s="13" t="n">
        <f aca="false">IF(COUNTIF($B$2:B1690,B1690)=1,1,0)</f>
        <v>0</v>
      </c>
      <c r="W1690" s="13" t="n">
        <f aca="false">IF(COUNTIFS($B$2:B1690,B1690,$T$2:T1690,T1690)=1,1,0)</f>
        <v>0</v>
      </c>
    </row>
    <row r="1691" customFormat="false" ht="15" hidden="false" customHeight="false" outlineLevel="0" collapsed="false">
      <c r="A1691" s="13" t="s">
        <v>1531</v>
      </c>
      <c r="B1691" s="13" t="s">
        <v>79</v>
      </c>
      <c r="C1691" s="13" t="n">
        <v>650</v>
      </c>
      <c r="D1691" s="13" t="n">
        <v>1</v>
      </c>
      <c r="E1691" s="13" t="n">
        <v>647.48</v>
      </c>
      <c r="F1691" s="13" t="s">
        <v>5288</v>
      </c>
      <c r="G1691" s="13" t="s">
        <v>5289</v>
      </c>
      <c r="H1691" s="13" t="s">
        <v>5292</v>
      </c>
      <c r="I1691" s="13" t="s">
        <v>5289</v>
      </c>
      <c r="J1691" s="13" t="s">
        <v>5289</v>
      </c>
      <c r="K1691" s="13" t="s">
        <v>5289</v>
      </c>
      <c r="L1691" s="13" t="s">
        <v>6189</v>
      </c>
      <c r="M1691" s="13"/>
      <c r="N1691" s="13" t="n">
        <v>3.42347302120981E+025</v>
      </c>
      <c r="O1691" s="13"/>
      <c r="P1691" s="13" t="s">
        <v>5291</v>
      </c>
      <c r="Q1691" s="13" t="s">
        <v>5289</v>
      </c>
      <c r="R1691" s="13" t="s">
        <v>5292</v>
      </c>
      <c r="S1691" s="13" t="s">
        <v>5293</v>
      </c>
      <c r="T1691" s="13" t="s">
        <v>4</v>
      </c>
      <c r="U1691" s="13" t="s">
        <v>43</v>
      </c>
      <c r="V1691" s="13" t="n">
        <f aca="false">IF(COUNTIF($B$2:B1691,B1691)=1,1,0)</f>
        <v>0</v>
      </c>
      <c r="W1691" s="13" t="n">
        <f aca="false">IF(COUNTIFS($B$2:B1691,B1691,$T$2:T1691,T1691)=1,1,0)</f>
        <v>0</v>
      </c>
    </row>
    <row r="1692" customFormat="false" ht="15" hidden="false" customHeight="false" outlineLevel="0" collapsed="false">
      <c r="A1692" s="13" t="s">
        <v>1527</v>
      </c>
      <c r="B1692" s="13" t="s">
        <v>177</v>
      </c>
      <c r="C1692" s="13" t="n">
        <v>650</v>
      </c>
      <c r="D1692" s="13" t="n">
        <v>1</v>
      </c>
      <c r="E1692" s="13" t="n">
        <v>647.2</v>
      </c>
      <c r="F1692" s="13" t="s">
        <v>5325</v>
      </c>
      <c r="G1692" s="13" t="s">
        <v>5292</v>
      </c>
      <c r="H1692" s="13" t="s">
        <v>5292</v>
      </c>
      <c r="I1692" s="13" t="s">
        <v>5289</v>
      </c>
      <c r="J1692" s="13" t="s">
        <v>5289</v>
      </c>
      <c r="K1692" s="13" t="s">
        <v>5289</v>
      </c>
      <c r="L1692" s="13" t="s">
        <v>6026</v>
      </c>
      <c r="M1692" s="13"/>
      <c r="N1692" s="13" t="n">
        <v>3616305259462</v>
      </c>
      <c r="O1692" s="13"/>
      <c r="P1692" s="13" t="s">
        <v>5291</v>
      </c>
      <c r="Q1692" s="13" t="s">
        <v>5289</v>
      </c>
      <c r="R1692" s="13" t="s">
        <v>5292</v>
      </c>
      <c r="S1692" s="13" t="s">
        <v>5293</v>
      </c>
      <c r="T1692" s="13" t="s">
        <v>4</v>
      </c>
      <c r="U1692" s="13" t="s">
        <v>43</v>
      </c>
      <c r="V1692" s="13" t="n">
        <f aca="false">IF(COUNTIF($B$2:B1692,B1692)=1,1,0)</f>
        <v>0</v>
      </c>
      <c r="W1692" s="13" t="n">
        <f aca="false">IF(COUNTIFS($B$2:B1692,B1692,$T$2:T1692,T1692)=1,1,0)</f>
        <v>0</v>
      </c>
    </row>
    <row r="1693" customFormat="false" ht="15" hidden="false" customHeight="false" outlineLevel="0" collapsed="false">
      <c r="A1693" s="13" t="s">
        <v>1525</v>
      </c>
      <c r="B1693" s="13" t="s">
        <v>153</v>
      </c>
      <c r="C1693" s="13" t="n">
        <v>650</v>
      </c>
      <c r="D1693" s="13" t="n">
        <v>1</v>
      </c>
      <c r="E1693" s="13" t="n">
        <v>647.19</v>
      </c>
      <c r="F1693" s="13" t="s">
        <v>5325</v>
      </c>
      <c r="G1693" s="13" t="s">
        <v>5292</v>
      </c>
      <c r="H1693" s="13" t="s">
        <v>5292</v>
      </c>
      <c r="I1693" s="13" t="s">
        <v>5289</v>
      </c>
      <c r="J1693" s="13" t="s">
        <v>5289</v>
      </c>
      <c r="K1693" s="13" t="s">
        <v>5289</v>
      </c>
      <c r="L1693" s="13" t="s">
        <v>6190</v>
      </c>
      <c r="M1693" s="13"/>
      <c r="N1693" s="13" t="n">
        <v>8011003993826</v>
      </c>
      <c r="O1693" s="13"/>
      <c r="P1693" s="13" t="s">
        <v>5291</v>
      </c>
      <c r="Q1693" s="13" t="s">
        <v>5289</v>
      </c>
      <c r="R1693" s="13" t="s">
        <v>5292</v>
      </c>
      <c r="S1693" s="13" t="s">
        <v>5293</v>
      </c>
      <c r="T1693" s="13" t="s">
        <v>4</v>
      </c>
      <c r="U1693" s="13" t="s">
        <v>43</v>
      </c>
      <c r="V1693" s="13" t="n">
        <f aca="false">IF(COUNTIF($B$2:B1693,B1693)=1,1,0)</f>
        <v>0</v>
      </c>
      <c r="W1693" s="13" t="n">
        <f aca="false">IF(COUNTIFS($B$2:B1693,B1693,$T$2:T1693,T1693)=1,1,0)</f>
        <v>0</v>
      </c>
    </row>
    <row r="1694" customFormat="false" ht="15" hidden="false" customHeight="false" outlineLevel="0" collapsed="false">
      <c r="A1694" s="13" t="s">
        <v>1524</v>
      </c>
      <c r="B1694" s="13" t="s">
        <v>50</v>
      </c>
      <c r="C1694" s="13" t="n">
        <v>650</v>
      </c>
      <c r="D1694" s="13" t="n">
        <v>1</v>
      </c>
      <c r="E1694" s="13" t="n">
        <v>645.96</v>
      </c>
      <c r="F1694" s="13" t="s">
        <v>5288</v>
      </c>
      <c r="G1694" s="13" t="s">
        <v>5289</v>
      </c>
      <c r="H1694" s="13" t="s">
        <v>5289</v>
      </c>
      <c r="I1694" s="13" t="s">
        <v>5289</v>
      </c>
      <c r="J1694" s="13" t="s">
        <v>5289</v>
      </c>
      <c r="K1694" s="13" t="s">
        <v>5289</v>
      </c>
      <c r="L1694" s="13" t="s">
        <v>6191</v>
      </c>
      <c r="M1694" s="13"/>
      <c r="N1694" s="13" t="n">
        <v>3349668594429</v>
      </c>
      <c r="O1694" s="13"/>
      <c r="P1694" s="13" t="s">
        <v>5291</v>
      </c>
      <c r="Q1694" s="13" t="s">
        <v>5289</v>
      </c>
      <c r="R1694" s="13" t="s">
        <v>5292</v>
      </c>
      <c r="S1694" s="13" t="s">
        <v>5293</v>
      </c>
      <c r="T1694" s="13" t="s">
        <v>4</v>
      </c>
      <c r="U1694" s="13" t="s">
        <v>43</v>
      </c>
      <c r="V1694" s="13" t="n">
        <f aca="false">IF(COUNTIF($B$2:B1694,B1694)=1,1,0)</f>
        <v>0</v>
      </c>
      <c r="W1694" s="13" t="n">
        <f aca="false">IF(COUNTIFS($B$2:B1694,B1694,$T$2:T1694,T1694)=1,1,0)</f>
        <v>0</v>
      </c>
    </row>
    <row r="1695" customFormat="false" ht="15" hidden="false" customHeight="false" outlineLevel="0" collapsed="false">
      <c r="A1695" s="13" t="s">
        <v>1530</v>
      </c>
      <c r="B1695" s="13" t="s">
        <v>42</v>
      </c>
      <c r="C1695" s="13" t="n">
        <v>650</v>
      </c>
      <c r="D1695" s="13" t="n">
        <v>2</v>
      </c>
      <c r="E1695" s="13" t="n">
        <v>322.77</v>
      </c>
      <c r="F1695" s="13" t="s">
        <v>5288</v>
      </c>
      <c r="G1695" s="13" t="s">
        <v>5292</v>
      </c>
      <c r="H1695" s="13" t="s">
        <v>5289</v>
      </c>
      <c r="I1695" s="13" t="s">
        <v>5289</v>
      </c>
      <c r="J1695" s="13" t="s">
        <v>5289</v>
      </c>
      <c r="K1695" s="13" t="s">
        <v>5289</v>
      </c>
      <c r="L1695" s="13" t="s">
        <v>6192</v>
      </c>
      <c r="M1695" s="13"/>
      <c r="N1695" s="13" t="n">
        <v>8411061130179</v>
      </c>
      <c r="O1695" s="13"/>
      <c r="P1695" s="13" t="s">
        <v>5291</v>
      </c>
      <c r="Q1695" s="13" t="s">
        <v>5289</v>
      </c>
      <c r="R1695" s="13" t="s">
        <v>5292</v>
      </c>
      <c r="S1695" s="13" t="s">
        <v>5293</v>
      </c>
      <c r="T1695" s="13" t="s">
        <v>4</v>
      </c>
      <c r="U1695" s="13" t="s">
        <v>43</v>
      </c>
      <c r="V1695" s="13" t="n">
        <f aca="false">IF(COUNTIF($B$2:B1695,B1695)=1,1,0)</f>
        <v>0</v>
      </c>
      <c r="W1695" s="13" t="n">
        <f aca="false">IF(COUNTIFS($B$2:B1695,B1695,$T$2:T1695,T1695)=1,1,0)</f>
        <v>0</v>
      </c>
    </row>
    <row r="1696" customFormat="false" ht="15" hidden="false" customHeight="false" outlineLevel="0" collapsed="false">
      <c r="A1696" s="13" t="s">
        <v>46</v>
      </c>
      <c r="B1696" s="13" t="s">
        <v>45</v>
      </c>
      <c r="C1696" s="13" t="n">
        <v>640</v>
      </c>
      <c r="D1696" s="13" t="n">
        <v>1</v>
      </c>
      <c r="E1696" s="13" t="n">
        <v>642.93</v>
      </c>
      <c r="F1696" s="13" t="s">
        <v>5288</v>
      </c>
      <c r="G1696" s="13" t="s">
        <v>5289</v>
      </c>
      <c r="H1696" s="13" t="s">
        <v>5289</v>
      </c>
      <c r="I1696" s="13" t="s">
        <v>5289</v>
      </c>
      <c r="J1696" s="13" t="s">
        <v>5289</v>
      </c>
      <c r="K1696" s="13" t="s">
        <v>5289</v>
      </c>
      <c r="L1696" s="13" t="s">
        <v>6019</v>
      </c>
      <c r="M1696" s="13"/>
      <c r="N1696" s="13" t="n">
        <v>8435415076937</v>
      </c>
      <c r="O1696" s="13"/>
      <c r="P1696" s="13" t="s">
        <v>5291</v>
      </c>
      <c r="Q1696" s="13" t="s">
        <v>5289</v>
      </c>
      <c r="R1696" s="13" t="s">
        <v>5292</v>
      </c>
      <c r="S1696" s="13" t="s">
        <v>5293</v>
      </c>
      <c r="T1696" s="13" t="s">
        <v>4</v>
      </c>
      <c r="U1696" s="13" t="s">
        <v>43</v>
      </c>
      <c r="V1696" s="13" t="n">
        <f aca="false">IF(COUNTIF($B$2:B1696,B1696)=1,1,0)</f>
        <v>0</v>
      </c>
      <c r="W1696" s="13" t="n">
        <f aca="false">IF(COUNTIFS($B$2:B1696,B1696,$T$2:T1696,T1696)=1,1,0)</f>
        <v>0</v>
      </c>
    </row>
    <row r="1697" customFormat="false" ht="15" hidden="false" customHeight="false" outlineLevel="0" collapsed="false">
      <c r="A1697" s="13" t="s">
        <v>1536</v>
      </c>
      <c r="B1697" s="13" t="s">
        <v>45</v>
      </c>
      <c r="C1697" s="13" t="n">
        <v>640</v>
      </c>
      <c r="D1697" s="13" t="n">
        <v>1</v>
      </c>
      <c r="E1697" s="13" t="n">
        <v>642.29</v>
      </c>
      <c r="F1697" s="13" t="s">
        <v>5288</v>
      </c>
      <c r="G1697" s="13" t="s">
        <v>5292</v>
      </c>
      <c r="H1697" s="13" t="s">
        <v>5292</v>
      </c>
      <c r="I1697" s="13" t="s">
        <v>5289</v>
      </c>
      <c r="J1697" s="13" t="s">
        <v>5289</v>
      </c>
      <c r="K1697" s="13" t="s">
        <v>5289</v>
      </c>
      <c r="L1697" s="13" t="s">
        <v>6193</v>
      </c>
      <c r="M1697" s="13"/>
      <c r="N1697" s="13" t="n">
        <v>8435415080378</v>
      </c>
      <c r="O1697" s="13"/>
      <c r="P1697" s="13" t="s">
        <v>5297</v>
      </c>
      <c r="Q1697" s="13" t="s">
        <v>5289</v>
      </c>
      <c r="R1697" s="13" t="s">
        <v>5292</v>
      </c>
      <c r="S1697" s="13" t="s">
        <v>5293</v>
      </c>
      <c r="T1697" s="13" t="s">
        <v>4</v>
      </c>
      <c r="U1697" s="13" t="s">
        <v>43</v>
      </c>
      <c r="V1697" s="13" t="n">
        <f aca="false">IF(COUNTIF($B$2:B1697,B1697)=1,1,0)</f>
        <v>0</v>
      </c>
      <c r="W1697" s="13" t="n">
        <f aca="false">IF(COUNTIFS($B$2:B1697,B1697,$T$2:T1697,T1697)=1,1,0)</f>
        <v>0</v>
      </c>
    </row>
    <row r="1698" customFormat="false" ht="15" hidden="false" customHeight="false" outlineLevel="0" collapsed="false">
      <c r="A1698" s="13" t="s">
        <v>1539</v>
      </c>
      <c r="B1698" s="13" t="s">
        <v>42</v>
      </c>
      <c r="C1698" s="13" t="n">
        <v>640</v>
      </c>
      <c r="D1698" s="13" t="n">
        <v>1</v>
      </c>
      <c r="E1698" s="13" t="n">
        <v>636.09</v>
      </c>
      <c r="F1698" s="13" t="s">
        <v>5288</v>
      </c>
      <c r="G1698" s="13" t="s">
        <v>5292</v>
      </c>
      <c r="H1698" s="13" t="s">
        <v>5292</v>
      </c>
      <c r="I1698" s="13" t="s">
        <v>5289</v>
      </c>
      <c r="J1698" s="13" t="s">
        <v>5289</v>
      </c>
      <c r="K1698" s="13" t="s">
        <v>5289</v>
      </c>
      <c r="L1698" s="13" t="s">
        <v>5756</v>
      </c>
      <c r="M1698" s="13"/>
      <c r="N1698" s="13" t="n">
        <v>8411061711804</v>
      </c>
      <c r="O1698" s="13"/>
      <c r="P1698" s="13" t="s">
        <v>5291</v>
      </c>
      <c r="Q1698" s="13" t="s">
        <v>5289</v>
      </c>
      <c r="R1698" s="13" t="s">
        <v>5292</v>
      </c>
      <c r="S1698" s="13" t="s">
        <v>5293</v>
      </c>
      <c r="T1698" s="13" t="s">
        <v>4</v>
      </c>
      <c r="U1698" s="13" t="s">
        <v>43</v>
      </c>
      <c r="V1698" s="13" t="n">
        <f aca="false">IF(COUNTIF($B$2:B1698,B1698)=1,1,0)</f>
        <v>0</v>
      </c>
      <c r="W1698" s="13" t="n">
        <f aca="false">IF(COUNTIFS($B$2:B1698,B1698,$T$2:T1698,T1698)=1,1,0)</f>
        <v>0</v>
      </c>
    </row>
    <row r="1699" customFormat="false" ht="15" hidden="false" customHeight="false" outlineLevel="0" collapsed="false">
      <c r="A1699" s="13" t="s">
        <v>1538</v>
      </c>
      <c r="B1699" s="13" t="s">
        <v>105</v>
      </c>
      <c r="C1699" s="13" t="n">
        <v>640</v>
      </c>
      <c r="D1699" s="13" t="n">
        <v>1</v>
      </c>
      <c r="E1699" s="13" t="n">
        <v>635.66</v>
      </c>
      <c r="F1699" s="13" t="s">
        <v>5288</v>
      </c>
      <c r="G1699" s="13" t="s">
        <v>5289</v>
      </c>
      <c r="H1699" s="13" t="s">
        <v>5292</v>
      </c>
      <c r="I1699" s="13" t="s">
        <v>5289</v>
      </c>
      <c r="J1699" s="13" t="s">
        <v>5289</v>
      </c>
      <c r="K1699" s="13" t="s">
        <v>5289</v>
      </c>
      <c r="L1699" s="13" t="s">
        <v>6194</v>
      </c>
      <c r="M1699" s="13"/>
      <c r="N1699" s="13" t="n">
        <v>3616303173098</v>
      </c>
      <c r="O1699" s="13"/>
      <c r="P1699" s="13" t="s">
        <v>5291</v>
      </c>
      <c r="Q1699" s="13" t="s">
        <v>5289</v>
      </c>
      <c r="R1699" s="13" t="s">
        <v>5292</v>
      </c>
      <c r="S1699" s="13" t="s">
        <v>5293</v>
      </c>
      <c r="T1699" s="13" t="s">
        <v>4</v>
      </c>
      <c r="U1699" s="13" t="s">
        <v>43</v>
      </c>
      <c r="V1699" s="13" t="n">
        <f aca="false">IF(COUNTIF($B$2:B1699,B1699)=1,1,0)</f>
        <v>0</v>
      </c>
      <c r="W1699" s="13" t="n">
        <f aca="false">IF(COUNTIFS($B$2:B1699,B1699,$T$2:T1699,T1699)=1,1,0)</f>
        <v>0</v>
      </c>
    </row>
    <row r="1700" customFormat="false" ht="15" hidden="false" customHeight="false" outlineLevel="0" collapsed="false">
      <c r="A1700" s="13" t="s">
        <v>1537</v>
      </c>
      <c r="B1700" s="13" t="s">
        <v>186</v>
      </c>
      <c r="C1700" s="13" t="n">
        <v>640</v>
      </c>
      <c r="D1700" s="13" t="n">
        <v>1</v>
      </c>
      <c r="E1700" s="13" t="n">
        <v>635.55</v>
      </c>
      <c r="F1700" s="13" t="s">
        <v>5325</v>
      </c>
      <c r="G1700" s="13" t="s">
        <v>5292</v>
      </c>
      <c r="H1700" s="13" t="s">
        <v>5292</v>
      </c>
      <c r="I1700" s="13" t="s">
        <v>5289</v>
      </c>
      <c r="J1700" s="13" t="s">
        <v>5289</v>
      </c>
      <c r="K1700" s="13" t="s">
        <v>5289</v>
      </c>
      <c r="L1700" s="13" t="s">
        <v>6195</v>
      </c>
      <c r="M1700" s="13"/>
      <c r="N1700" s="13" t="n">
        <v>3616306702073</v>
      </c>
      <c r="O1700" s="13"/>
      <c r="P1700" s="13" t="s">
        <v>5291</v>
      </c>
      <c r="Q1700" s="13" t="s">
        <v>5289</v>
      </c>
      <c r="R1700" s="13" t="s">
        <v>5292</v>
      </c>
      <c r="S1700" s="13" t="s">
        <v>5293</v>
      </c>
      <c r="T1700" s="13" t="s">
        <v>4</v>
      </c>
      <c r="U1700" s="13" t="s">
        <v>43</v>
      </c>
      <c r="V1700" s="13" t="n">
        <f aca="false">IF(COUNTIF($B$2:B1700,B1700)=1,1,0)</f>
        <v>0</v>
      </c>
      <c r="W1700" s="13" t="n">
        <f aca="false">IF(COUNTIFS($B$2:B1700,B1700,$T$2:T1700,T1700)=1,1,0)</f>
        <v>0</v>
      </c>
    </row>
    <row r="1701" customFormat="false" ht="15" hidden="false" customHeight="false" outlineLevel="0" collapsed="false">
      <c r="A1701" s="13" t="s">
        <v>508</v>
      </c>
      <c r="B1701" s="13" t="s">
        <v>45</v>
      </c>
      <c r="C1701" s="13" t="n">
        <v>630</v>
      </c>
      <c r="D1701" s="13" t="n">
        <v>1</v>
      </c>
      <c r="E1701" s="13" t="n">
        <v>634.91</v>
      </c>
      <c r="F1701" s="13" t="s">
        <v>5325</v>
      </c>
      <c r="G1701" s="13" t="s">
        <v>5289</v>
      </c>
      <c r="H1701" s="13" t="s">
        <v>5289</v>
      </c>
      <c r="I1701" s="13" t="s">
        <v>5289</v>
      </c>
      <c r="J1701" s="13" t="s">
        <v>5289</v>
      </c>
      <c r="K1701" s="13" t="s">
        <v>5289</v>
      </c>
      <c r="L1701" s="13" t="s">
        <v>5895</v>
      </c>
      <c r="M1701" s="13"/>
      <c r="N1701" s="13" t="n">
        <v>8435415114356</v>
      </c>
      <c r="O1701" s="13"/>
      <c r="P1701" s="13" t="s">
        <v>5291</v>
      </c>
      <c r="Q1701" s="13" t="s">
        <v>5289</v>
      </c>
      <c r="R1701" s="13" t="s">
        <v>5292</v>
      </c>
      <c r="S1701" s="13" t="s">
        <v>5293</v>
      </c>
      <c r="T1701" s="13" t="s">
        <v>4</v>
      </c>
      <c r="U1701" s="13" t="s">
        <v>43</v>
      </c>
      <c r="V1701" s="13" t="n">
        <f aca="false">IF(COUNTIF($B$2:B1701,B1701)=1,1,0)</f>
        <v>0</v>
      </c>
      <c r="W1701" s="13" t="n">
        <f aca="false">IF(COUNTIFS($B$2:B1701,B1701,$T$2:T1701,T1701)=1,1,0)</f>
        <v>0</v>
      </c>
    </row>
    <row r="1702" customFormat="false" ht="15" hidden="false" customHeight="false" outlineLevel="0" collapsed="false">
      <c r="A1702" s="13" t="s">
        <v>1549</v>
      </c>
      <c r="B1702" s="13" t="s">
        <v>42</v>
      </c>
      <c r="C1702" s="13" t="n">
        <v>630</v>
      </c>
      <c r="D1702" s="13" t="n">
        <v>1</v>
      </c>
      <c r="E1702" s="13" t="n">
        <v>634.23</v>
      </c>
      <c r="F1702" s="13" t="s">
        <v>5288</v>
      </c>
      <c r="G1702" s="13" t="s">
        <v>5289</v>
      </c>
      <c r="H1702" s="13" t="s">
        <v>5292</v>
      </c>
      <c r="I1702" s="13" t="s">
        <v>5289</v>
      </c>
      <c r="J1702" s="13" t="s">
        <v>5289</v>
      </c>
      <c r="K1702" s="13" t="s">
        <v>5289</v>
      </c>
      <c r="L1702" s="13" t="s">
        <v>5719</v>
      </c>
      <c r="M1702" s="13"/>
      <c r="N1702" s="13" t="n">
        <v>8411061026250</v>
      </c>
      <c r="O1702" s="13"/>
      <c r="P1702" s="13" t="s">
        <v>5291</v>
      </c>
      <c r="Q1702" s="13" t="s">
        <v>5289</v>
      </c>
      <c r="R1702" s="13" t="s">
        <v>5292</v>
      </c>
      <c r="S1702" s="13" t="s">
        <v>5293</v>
      </c>
      <c r="T1702" s="13" t="s">
        <v>4</v>
      </c>
      <c r="U1702" s="13" t="s">
        <v>43</v>
      </c>
      <c r="V1702" s="13" t="n">
        <f aca="false">IF(COUNTIF($B$2:B1702,B1702)=1,1,0)</f>
        <v>0</v>
      </c>
      <c r="W1702" s="13" t="n">
        <f aca="false">IF(COUNTIFS($B$2:B1702,B1702,$T$2:T1702,T1702)=1,1,0)</f>
        <v>0</v>
      </c>
    </row>
    <row r="1703" customFormat="false" ht="15" hidden="false" customHeight="false" outlineLevel="0" collapsed="false">
      <c r="A1703" s="13" t="s">
        <v>1548</v>
      </c>
      <c r="B1703" s="13" t="s">
        <v>79</v>
      </c>
      <c r="C1703" s="13" t="n">
        <v>630</v>
      </c>
      <c r="D1703" s="13" t="n">
        <v>1</v>
      </c>
      <c r="E1703" s="13" t="n">
        <v>632.61</v>
      </c>
      <c r="F1703" s="13" t="s">
        <v>5288</v>
      </c>
      <c r="G1703" s="13" t="s">
        <v>5289</v>
      </c>
      <c r="H1703" s="13" t="s">
        <v>5292</v>
      </c>
      <c r="I1703" s="13" t="s">
        <v>5289</v>
      </c>
      <c r="J1703" s="13" t="s">
        <v>5289</v>
      </c>
      <c r="K1703" s="13" t="s">
        <v>5289</v>
      </c>
      <c r="L1703" s="13" t="s">
        <v>6167</v>
      </c>
      <c r="M1703" s="13"/>
      <c r="N1703" s="13" t="n">
        <v>8057971180486</v>
      </c>
      <c r="O1703" s="13"/>
      <c r="P1703" s="13" t="s">
        <v>5291</v>
      </c>
      <c r="Q1703" s="13" t="s">
        <v>5289</v>
      </c>
      <c r="R1703" s="13" t="s">
        <v>5292</v>
      </c>
      <c r="S1703" s="13" t="s">
        <v>5293</v>
      </c>
      <c r="T1703" s="13" t="s">
        <v>4</v>
      </c>
      <c r="U1703" s="13" t="s">
        <v>43</v>
      </c>
      <c r="V1703" s="13" t="n">
        <f aca="false">IF(COUNTIF($B$2:B1703,B1703)=1,1,0)</f>
        <v>0</v>
      </c>
      <c r="W1703" s="13" t="n">
        <f aca="false">IF(COUNTIFS($B$2:B1703,B1703,$T$2:T1703,T1703)=1,1,0)</f>
        <v>0</v>
      </c>
    </row>
    <row r="1704" customFormat="false" ht="15" hidden="false" customHeight="false" outlineLevel="0" collapsed="false">
      <c r="A1704" s="13" t="s">
        <v>4404</v>
      </c>
      <c r="B1704" s="13" t="s">
        <v>2220</v>
      </c>
      <c r="C1704" s="13" t="n">
        <v>630</v>
      </c>
      <c r="D1704" s="13" t="n">
        <v>1</v>
      </c>
      <c r="E1704" s="13" t="n">
        <v>631.9</v>
      </c>
      <c r="F1704" s="13" t="s">
        <v>5288</v>
      </c>
      <c r="G1704" s="13" t="s">
        <v>5292</v>
      </c>
      <c r="H1704" s="13" t="s">
        <v>5292</v>
      </c>
      <c r="I1704" s="13" t="s">
        <v>5289</v>
      </c>
      <c r="J1704" s="13" t="s">
        <v>5289</v>
      </c>
      <c r="K1704" s="13" t="s">
        <v>5289</v>
      </c>
      <c r="L1704" s="13" t="s">
        <v>6196</v>
      </c>
      <c r="M1704" s="13"/>
      <c r="N1704" s="13" t="n">
        <v>7898920039971</v>
      </c>
      <c r="O1704" s="13"/>
      <c r="P1704" s="13" t="s">
        <v>5291</v>
      </c>
      <c r="Q1704" s="13" t="s">
        <v>5289</v>
      </c>
      <c r="R1704" s="13" t="s">
        <v>5292</v>
      </c>
      <c r="S1704" s="13" t="s">
        <v>5293</v>
      </c>
      <c r="T1704" s="13" t="s">
        <v>4</v>
      </c>
      <c r="U1704" s="13" t="s">
        <v>43</v>
      </c>
      <c r="V1704" s="13" t="n">
        <f aca="false">IF(COUNTIF($B$2:B1704,B1704)=1,1,0)</f>
        <v>0</v>
      </c>
      <c r="W1704" s="13" t="n">
        <f aca="false">IF(COUNTIFS($B$2:B1704,B1704,$T$2:T1704,T1704)=1,1,0)</f>
        <v>0</v>
      </c>
    </row>
    <row r="1705" customFormat="false" ht="15" hidden="false" customHeight="false" outlineLevel="0" collapsed="false">
      <c r="A1705" s="13" t="s">
        <v>1547</v>
      </c>
      <c r="B1705" s="13" t="s">
        <v>362</v>
      </c>
      <c r="C1705" s="13" t="n">
        <v>630</v>
      </c>
      <c r="D1705" s="13" t="n">
        <v>1</v>
      </c>
      <c r="E1705" s="13" t="n">
        <v>630.95</v>
      </c>
      <c r="F1705" s="13" t="s">
        <v>5325</v>
      </c>
      <c r="G1705" s="13" t="s">
        <v>5289</v>
      </c>
      <c r="H1705" s="13" t="s">
        <v>5292</v>
      </c>
      <c r="I1705" s="13" t="s">
        <v>5289</v>
      </c>
      <c r="J1705" s="13" t="s">
        <v>5289</v>
      </c>
      <c r="K1705" s="13" t="s">
        <v>5289</v>
      </c>
      <c r="L1705" s="13" t="s">
        <v>5950</v>
      </c>
      <c r="M1705" s="13"/>
      <c r="N1705" s="13" t="n">
        <v>3386460144230</v>
      </c>
      <c r="O1705" s="13"/>
      <c r="P1705" s="13" t="s">
        <v>5297</v>
      </c>
      <c r="Q1705" s="13" t="s">
        <v>5289</v>
      </c>
      <c r="R1705" s="13" t="s">
        <v>5292</v>
      </c>
      <c r="S1705" s="13" t="s">
        <v>5293</v>
      </c>
      <c r="T1705" s="13" t="s">
        <v>4</v>
      </c>
      <c r="U1705" s="13" t="s">
        <v>43</v>
      </c>
      <c r="V1705" s="13" t="n">
        <f aca="false">IF(COUNTIF($B$2:B1705,B1705)=1,1,0)</f>
        <v>0</v>
      </c>
      <c r="W1705" s="13" t="n">
        <f aca="false">IF(COUNTIFS($B$2:B1705,B1705,$T$2:T1705,T1705)=1,1,0)</f>
        <v>0</v>
      </c>
    </row>
    <row r="1706" customFormat="false" ht="15" hidden="false" customHeight="false" outlineLevel="0" collapsed="false">
      <c r="A1706" s="13" t="s">
        <v>535</v>
      </c>
      <c r="B1706" s="13" t="s">
        <v>105</v>
      </c>
      <c r="C1706" s="13" t="n">
        <v>630</v>
      </c>
      <c r="D1706" s="13" t="n">
        <v>1</v>
      </c>
      <c r="E1706" s="13" t="n">
        <v>628.96</v>
      </c>
      <c r="F1706" s="13" t="s">
        <v>5288</v>
      </c>
      <c r="G1706" s="13" t="s">
        <v>5292</v>
      </c>
      <c r="H1706" s="13" t="s">
        <v>5292</v>
      </c>
      <c r="I1706" s="13" t="s">
        <v>5289</v>
      </c>
      <c r="J1706" s="13" t="s">
        <v>5289</v>
      </c>
      <c r="K1706" s="13" t="s">
        <v>5289</v>
      </c>
      <c r="L1706" s="13" t="s">
        <v>5771</v>
      </c>
      <c r="M1706" s="13"/>
      <c r="N1706" s="13" t="n">
        <v>3614229828542</v>
      </c>
      <c r="O1706" s="13"/>
      <c r="P1706" s="13" t="s">
        <v>5291</v>
      </c>
      <c r="Q1706" s="13" t="s">
        <v>5289</v>
      </c>
      <c r="R1706" s="13" t="s">
        <v>5292</v>
      </c>
      <c r="S1706" s="13" t="s">
        <v>5293</v>
      </c>
      <c r="T1706" s="13" t="s">
        <v>4</v>
      </c>
      <c r="U1706" s="13" t="s">
        <v>43</v>
      </c>
      <c r="V1706" s="13" t="n">
        <f aca="false">IF(COUNTIF($B$2:B1706,B1706)=1,1,0)</f>
        <v>0</v>
      </c>
      <c r="W1706" s="13" t="n">
        <f aca="false">IF(COUNTIFS($B$2:B1706,B1706,$T$2:T1706,T1706)=1,1,0)</f>
        <v>0</v>
      </c>
    </row>
    <row r="1707" customFormat="false" ht="15" hidden="false" customHeight="false" outlineLevel="0" collapsed="false">
      <c r="A1707" s="13" t="s">
        <v>1551</v>
      </c>
      <c r="B1707" s="13" t="s">
        <v>42</v>
      </c>
      <c r="C1707" s="13" t="n">
        <v>630</v>
      </c>
      <c r="D1707" s="13" t="n">
        <v>1</v>
      </c>
      <c r="E1707" s="13" t="n">
        <v>628.86</v>
      </c>
      <c r="F1707" s="13" t="s">
        <v>5325</v>
      </c>
      <c r="G1707" s="13" t="s">
        <v>5289</v>
      </c>
      <c r="H1707" s="13" t="s">
        <v>5292</v>
      </c>
      <c r="I1707" s="13" t="s">
        <v>5289</v>
      </c>
      <c r="J1707" s="13" t="s">
        <v>5289</v>
      </c>
      <c r="K1707" s="13" t="s">
        <v>5289</v>
      </c>
      <c r="L1707" s="13" t="s">
        <v>5903</v>
      </c>
      <c r="M1707" s="13"/>
      <c r="N1707" s="13" t="n">
        <v>8411061894026</v>
      </c>
      <c r="O1707" s="13"/>
      <c r="P1707" s="13" t="s">
        <v>5291</v>
      </c>
      <c r="Q1707" s="13" t="s">
        <v>5289</v>
      </c>
      <c r="R1707" s="13" t="s">
        <v>5292</v>
      </c>
      <c r="S1707" s="13" t="s">
        <v>5293</v>
      </c>
      <c r="T1707" s="13" t="s">
        <v>4</v>
      </c>
      <c r="U1707" s="13" t="s">
        <v>43</v>
      </c>
      <c r="V1707" s="13" t="n">
        <f aca="false">IF(COUNTIF($B$2:B1707,B1707)=1,1,0)</f>
        <v>0</v>
      </c>
      <c r="W1707" s="13" t="n">
        <f aca="false">IF(COUNTIFS($B$2:B1707,B1707,$T$2:T1707,T1707)=1,1,0)</f>
        <v>0</v>
      </c>
    </row>
    <row r="1708" customFormat="false" ht="15" hidden="false" customHeight="false" outlineLevel="0" collapsed="false">
      <c r="A1708" s="13" t="s">
        <v>1553</v>
      </c>
      <c r="B1708" s="13" t="s">
        <v>79</v>
      </c>
      <c r="C1708" s="13" t="n">
        <v>630</v>
      </c>
      <c r="D1708" s="13" t="n">
        <v>1</v>
      </c>
      <c r="E1708" s="13" t="n">
        <v>628.37</v>
      </c>
      <c r="F1708" s="13" t="s">
        <v>5325</v>
      </c>
      <c r="G1708" s="13" t="s">
        <v>5292</v>
      </c>
      <c r="H1708" s="13" t="s">
        <v>5292</v>
      </c>
      <c r="I1708" s="13" t="s">
        <v>5289</v>
      </c>
      <c r="J1708" s="13" t="s">
        <v>5289</v>
      </c>
      <c r="K1708" s="13" t="s">
        <v>5289</v>
      </c>
      <c r="L1708" s="13" t="s">
        <v>5940</v>
      </c>
      <c r="M1708" s="13"/>
      <c r="N1708" s="13" t="n">
        <v>8056669927129</v>
      </c>
      <c r="O1708" s="13"/>
      <c r="P1708" s="13" t="s">
        <v>5291</v>
      </c>
      <c r="Q1708" s="13" t="s">
        <v>5289</v>
      </c>
      <c r="R1708" s="13" t="s">
        <v>5292</v>
      </c>
      <c r="S1708" s="13" t="s">
        <v>5293</v>
      </c>
      <c r="T1708" s="13" t="s">
        <v>4</v>
      </c>
      <c r="U1708" s="13" t="s">
        <v>43</v>
      </c>
      <c r="V1708" s="13" t="n">
        <f aca="false">IF(COUNTIF($B$2:B1708,B1708)=1,1,0)</f>
        <v>0</v>
      </c>
      <c r="W1708" s="13" t="n">
        <f aca="false">IF(COUNTIFS($B$2:B1708,B1708,$T$2:T1708,T1708)=1,1,0)</f>
        <v>0</v>
      </c>
    </row>
    <row r="1709" customFormat="false" ht="15" hidden="false" customHeight="false" outlineLevel="0" collapsed="false">
      <c r="A1709" s="13" t="s">
        <v>1552</v>
      </c>
      <c r="B1709" s="13" t="s">
        <v>42</v>
      </c>
      <c r="C1709" s="13" t="n">
        <v>630</v>
      </c>
      <c r="D1709" s="13" t="n">
        <v>1</v>
      </c>
      <c r="E1709" s="13" t="n">
        <v>628.23</v>
      </c>
      <c r="F1709" s="13" t="s">
        <v>5325</v>
      </c>
      <c r="G1709" s="13" t="s">
        <v>5292</v>
      </c>
      <c r="H1709" s="13" t="s">
        <v>5292</v>
      </c>
      <c r="I1709" s="13" t="s">
        <v>5289</v>
      </c>
      <c r="J1709" s="13" t="s">
        <v>5289</v>
      </c>
      <c r="K1709" s="13" t="s">
        <v>5289</v>
      </c>
      <c r="L1709" s="13" t="s">
        <v>6197</v>
      </c>
      <c r="M1709" s="13"/>
      <c r="N1709" s="13" t="n">
        <v>8411061991909</v>
      </c>
      <c r="O1709" s="13"/>
      <c r="P1709" s="13" t="s">
        <v>5291</v>
      </c>
      <c r="Q1709" s="13" t="s">
        <v>5289</v>
      </c>
      <c r="R1709" s="13" t="s">
        <v>5292</v>
      </c>
      <c r="S1709" s="13" t="s">
        <v>5293</v>
      </c>
      <c r="T1709" s="13" t="s">
        <v>4</v>
      </c>
      <c r="U1709" s="13" t="s">
        <v>43</v>
      </c>
      <c r="V1709" s="13" t="n">
        <f aca="false">IF(COUNTIF($B$2:B1709,B1709)=1,1,0)</f>
        <v>0</v>
      </c>
      <c r="W1709" s="13" t="n">
        <f aca="false">IF(COUNTIFS($B$2:B1709,B1709,$T$2:T1709,T1709)=1,1,0)</f>
        <v>0</v>
      </c>
    </row>
    <row r="1710" customFormat="false" ht="15" hidden="false" customHeight="false" outlineLevel="0" collapsed="false">
      <c r="A1710" s="13" t="s">
        <v>1550</v>
      </c>
      <c r="B1710" s="13" t="s">
        <v>177</v>
      </c>
      <c r="C1710" s="13" t="n">
        <v>630</v>
      </c>
      <c r="D1710" s="13" t="n">
        <v>1</v>
      </c>
      <c r="E1710" s="13" t="n">
        <v>627.78</v>
      </c>
      <c r="F1710" s="13" t="s">
        <v>5325</v>
      </c>
      <c r="G1710" s="13" t="s">
        <v>5292</v>
      </c>
      <c r="H1710" s="13" t="s">
        <v>5292</v>
      </c>
      <c r="I1710" s="13" t="s">
        <v>5289</v>
      </c>
      <c r="J1710" s="13" t="s">
        <v>5289</v>
      </c>
      <c r="K1710" s="13" t="s">
        <v>5289</v>
      </c>
      <c r="L1710" s="13" t="s">
        <v>6034</v>
      </c>
      <c r="M1710" s="13"/>
      <c r="N1710" s="13" t="n">
        <v>3614227758117</v>
      </c>
      <c r="O1710" s="13"/>
      <c r="P1710" s="13" t="s">
        <v>5291</v>
      </c>
      <c r="Q1710" s="13" t="s">
        <v>5289</v>
      </c>
      <c r="R1710" s="13" t="s">
        <v>5292</v>
      </c>
      <c r="S1710" s="13" t="s">
        <v>5293</v>
      </c>
      <c r="T1710" s="13" t="s">
        <v>4</v>
      </c>
      <c r="U1710" s="13" t="s">
        <v>43</v>
      </c>
      <c r="V1710" s="13" t="n">
        <f aca="false">IF(COUNTIF($B$2:B1710,B1710)=1,1,0)</f>
        <v>0</v>
      </c>
      <c r="W1710" s="13" t="n">
        <f aca="false">IF(COUNTIFS($B$2:B1710,B1710,$T$2:T1710,T1710)=1,1,0)</f>
        <v>0</v>
      </c>
    </row>
    <row r="1711" customFormat="false" ht="15" hidden="false" customHeight="false" outlineLevel="0" collapsed="false">
      <c r="A1711" s="13" t="s">
        <v>442</v>
      </c>
      <c r="B1711" s="13" t="s">
        <v>42</v>
      </c>
      <c r="C1711" s="13" t="n">
        <v>630</v>
      </c>
      <c r="D1711" s="13" t="n">
        <v>1</v>
      </c>
      <c r="E1711" s="13" t="n">
        <v>626.99</v>
      </c>
      <c r="F1711" s="13" t="s">
        <v>5325</v>
      </c>
      <c r="G1711" s="13" t="s">
        <v>5292</v>
      </c>
      <c r="H1711" s="13" t="s">
        <v>5289</v>
      </c>
      <c r="I1711" s="13" t="s">
        <v>5289</v>
      </c>
      <c r="J1711" s="13" t="s">
        <v>5289</v>
      </c>
      <c r="K1711" s="13" t="s">
        <v>5289</v>
      </c>
      <c r="L1711" s="13" t="s">
        <v>6198</v>
      </c>
      <c r="M1711" s="13"/>
      <c r="N1711" s="13" t="n">
        <v>8411061057193</v>
      </c>
      <c r="O1711" s="13"/>
      <c r="P1711" s="13" t="s">
        <v>5291</v>
      </c>
      <c r="Q1711" s="13" t="s">
        <v>5289</v>
      </c>
      <c r="R1711" s="13" t="s">
        <v>5292</v>
      </c>
      <c r="S1711" s="13" t="s">
        <v>5293</v>
      </c>
      <c r="T1711" s="13" t="s">
        <v>4</v>
      </c>
      <c r="U1711" s="13" t="s">
        <v>43</v>
      </c>
      <c r="V1711" s="13" t="n">
        <f aca="false">IF(COUNTIF($B$2:B1711,B1711)=1,1,0)</f>
        <v>0</v>
      </c>
      <c r="W1711" s="13" t="n">
        <f aca="false">IF(COUNTIFS($B$2:B1711,B1711,$T$2:T1711,T1711)=1,1,0)</f>
        <v>0</v>
      </c>
    </row>
    <row r="1712" customFormat="false" ht="15" hidden="false" customHeight="false" outlineLevel="0" collapsed="false">
      <c r="A1712" s="13" t="s">
        <v>1545</v>
      </c>
      <c r="B1712" s="13" t="s">
        <v>362</v>
      </c>
      <c r="C1712" s="13" t="n">
        <v>630</v>
      </c>
      <c r="D1712" s="13" t="n">
        <v>1</v>
      </c>
      <c r="E1712" s="13" t="n">
        <v>626.67</v>
      </c>
      <c r="F1712" s="13" t="s">
        <v>5325</v>
      </c>
      <c r="G1712" s="13" t="s">
        <v>5289</v>
      </c>
      <c r="H1712" s="13" t="s">
        <v>5292</v>
      </c>
      <c r="I1712" s="13" t="s">
        <v>5289</v>
      </c>
      <c r="J1712" s="13" t="s">
        <v>5289</v>
      </c>
      <c r="K1712" s="13" t="s">
        <v>5289</v>
      </c>
      <c r="L1712" s="13" t="s">
        <v>5733</v>
      </c>
      <c r="M1712" s="13"/>
      <c r="N1712" s="13" t="n">
        <v>3386460118125</v>
      </c>
      <c r="O1712" s="13"/>
      <c r="P1712" s="13" t="s">
        <v>5297</v>
      </c>
      <c r="Q1712" s="13" t="s">
        <v>5289</v>
      </c>
      <c r="R1712" s="13" t="s">
        <v>5292</v>
      </c>
      <c r="S1712" s="13" t="s">
        <v>5293</v>
      </c>
      <c r="T1712" s="13" t="s">
        <v>4</v>
      </c>
      <c r="U1712" s="13" t="s">
        <v>43</v>
      </c>
      <c r="V1712" s="13" t="n">
        <f aca="false">IF(COUNTIF($B$2:B1712,B1712)=1,1,0)</f>
        <v>0</v>
      </c>
      <c r="W1712" s="13" t="n">
        <f aca="false">IF(COUNTIFS($B$2:B1712,B1712,$T$2:T1712,T1712)=1,1,0)</f>
        <v>0</v>
      </c>
    </row>
    <row r="1713" customFormat="false" ht="15" hidden="false" customHeight="false" outlineLevel="0" collapsed="false">
      <c r="A1713" s="13" t="s">
        <v>1546</v>
      </c>
      <c r="B1713" s="13" t="s">
        <v>362</v>
      </c>
      <c r="C1713" s="13" t="n">
        <v>630</v>
      </c>
      <c r="D1713" s="13" t="n">
        <v>1</v>
      </c>
      <c r="E1713" s="13" t="n">
        <v>625.5</v>
      </c>
      <c r="F1713" s="13" t="s">
        <v>5325</v>
      </c>
      <c r="G1713" s="13" t="s">
        <v>5289</v>
      </c>
      <c r="H1713" s="13" t="s">
        <v>5292</v>
      </c>
      <c r="I1713" s="13" t="s">
        <v>5289</v>
      </c>
      <c r="J1713" s="13" t="s">
        <v>5289</v>
      </c>
      <c r="K1713" s="13" t="s">
        <v>5289</v>
      </c>
      <c r="L1713" s="13" t="s">
        <v>6199</v>
      </c>
      <c r="M1713" s="13"/>
      <c r="N1713" s="13" t="n">
        <v>3386460132763</v>
      </c>
      <c r="O1713" s="13"/>
      <c r="P1713" s="13" t="s">
        <v>5291</v>
      </c>
      <c r="Q1713" s="13" t="s">
        <v>5289</v>
      </c>
      <c r="R1713" s="13" t="s">
        <v>5292</v>
      </c>
      <c r="S1713" s="13" t="s">
        <v>5293</v>
      </c>
      <c r="T1713" s="13" t="s">
        <v>4</v>
      </c>
      <c r="U1713" s="13" t="s">
        <v>43</v>
      </c>
      <c r="V1713" s="13" t="n">
        <f aca="false">IF(COUNTIF($B$2:B1713,B1713)=1,1,0)</f>
        <v>0</v>
      </c>
      <c r="W1713" s="13" t="n">
        <f aca="false">IF(COUNTIFS($B$2:B1713,B1713,$T$2:T1713,T1713)=1,1,0)</f>
        <v>0</v>
      </c>
    </row>
    <row r="1714" customFormat="false" ht="15" hidden="false" customHeight="false" outlineLevel="0" collapsed="false">
      <c r="A1714" s="13" t="s">
        <v>1564</v>
      </c>
      <c r="B1714" s="13" t="s">
        <v>50</v>
      </c>
      <c r="C1714" s="13" t="n">
        <v>620</v>
      </c>
      <c r="D1714" s="13" t="n">
        <v>1</v>
      </c>
      <c r="E1714" s="13" t="n">
        <v>623.22</v>
      </c>
      <c r="F1714" s="13" t="s">
        <v>5288</v>
      </c>
      <c r="G1714" s="13" t="s">
        <v>5289</v>
      </c>
      <c r="H1714" s="13" t="s">
        <v>5292</v>
      </c>
      <c r="I1714" s="13" t="s">
        <v>5289</v>
      </c>
      <c r="J1714" s="13" t="s">
        <v>5289</v>
      </c>
      <c r="K1714" s="13" t="s">
        <v>5289</v>
      </c>
      <c r="L1714" s="13" t="s">
        <v>6173</v>
      </c>
      <c r="M1714" s="13"/>
      <c r="N1714" s="13" t="n">
        <v>3349668630110</v>
      </c>
      <c r="O1714" s="13"/>
      <c r="P1714" s="13" t="s">
        <v>5291</v>
      </c>
      <c r="Q1714" s="13" t="s">
        <v>5289</v>
      </c>
      <c r="R1714" s="13" t="s">
        <v>5292</v>
      </c>
      <c r="S1714" s="13" t="s">
        <v>5293</v>
      </c>
      <c r="T1714" s="13" t="s">
        <v>4</v>
      </c>
      <c r="U1714" s="13" t="s">
        <v>43</v>
      </c>
      <c r="V1714" s="13" t="n">
        <f aca="false">IF(COUNTIF($B$2:B1714,B1714)=1,1,0)</f>
        <v>0</v>
      </c>
      <c r="W1714" s="13" t="n">
        <f aca="false">IF(COUNTIFS($B$2:B1714,B1714,$T$2:T1714,T1714)=1,1,0)</f>
        <v>0</v>
      </c>
    </row>
    <row r="1715" customFormat="false" ht="15" hidden="false" customHeight="false" outlineLevel="0" collapsed="false">
      <c r="A1715" s="13" t="s">
        <v>1565</v>
      </c>
      <c r="B1715" s="13" t="s">
        <v>153</v>
      </c>
      <c r="C1715" s="13" t="n">
        <v>620</v>
      </c>
      <c r="D1715" s="13" t="n">
        <v>1</v>
      </c>
      <c r="E1715" s="13" t="n">
        <v>620.02</v>
      </c>
      <c r="F1715" s="13" t="s">
        <v>5325</v>
      </c>
      <c r="G1715" s="13" t="s">
        <v>5292</v>
      </c>
      <c r="H1715" s="13" t="s">
        <v>5292</v>
      </c>
      <c r="I1715" s="13" t="s">
        <v>5289</v>
      </c>
      <c r="J1715" s="13" t="s">
        <v>5289</v>
      </c>
      <c r="K1715" s="13" t="s">
        <v>5289</v>
      </c>
      <c r="L1715" s="13" t="s">
        <v>5775</v>
      </c>
      <c r="M1715" s="13"/>
      <c r="N1715" s="13" t="n">
        <v>8011003890804</v>
      </c>
      <c r="O1715" s="13"/>
      <c r="P1715" s="13" t="s">
        <v>5291</v>
      </c>
      <c r="Q1715" s="13" t="s">
        <v>5289</v>
      </c>
      <c r="R1715" s="13" t="s">
        <v>5292</v>
      </c>
      <c r="S1715" s="13" t="s">
        <v>5293</v>
      </c>
      <c r="T1715" s="13" t="s">
        <v>4</v>
      </c>
      <c r="U1715" s="13" t="s">
        <v>43</v>
      </c>
      <c r="V1715" s="13" t="n">
        <f aca="false">IF(COUNTIF($B$2:B1715,B1715)=1,1,0)</f>
        <v>0</v>
      </c>
      <c r="W1715" s="13" t="n">
        <f aca="false">IF(COUNTIFS($B$2:B1715,B1715,$T$2:T1715,T1715)=1,1,0)</f>
        <v>0</v>
      </c>
    </row>
    <row r="1716" customFormat="false" ht="15" hidden="false" customHeight="false" outlineLevel="0" collapsed="false">
      <c r="A1716" s="13" t="s">
        <v>1568</v>
      </c>
      <c r="B1716" s="13" t="s">
        <v>45</v>
      </c>
      <c r="C1716" s="13" t="n">
        <v>620</v>
      </c>
      <c r="D1716" s="13" t="n">
        <v>1</v>
      </c>
      <c r="E1716" s="13" t="n">
        <v>619.65</v>
      </c>
      <c r="F1716" s="13" t="s">
        <v>5325</v>
      </c>
      <c r="G1716" s="13" t="s">
        <v>5292</v>
      </c>
      <c r="H1716" s="13" t="s">
        <v>5292</v>
      </c>
      <c r="I1716" s="13" t="s">
        <v>5289</v>
      </c>
      <c r="J1716" s="13" t="s">
        <v>5289</v>
      </c>
      <c r="K1716" s="13" t="s">
        <v>5289</v>
      </c>
      <c r="L1716" s="13" t="s">
        <v>5861</v>
      </c>
      <c r="M1716" s="13"/>
      <c r="N1716" s="13" t="n">
        <v>8435415116558</v>
      </c>
      <c r="O1716" s="13"/>
      <c r="P1716" s="13" t="s">
        <v>5291</v>
      </c>
      <c r="Q1716" s="13" t="s">
        <v>5289</v>
      </c>
      <c r="R1716" s="13" t="s">
        <v>5292</v>
      </c>
      <c r="S1716" s="13" t="s">
        <v>5293</v>
      </c>
      <c r="T1716" s="13" t="s">
        <v>4</v>
      </c>
      <c r="U1716" s="13" t="s">
        <v>43</v>
      </c>
      <c r="V1716" s="13" t="n">
        <f aca="false">IF(COUNTIF($B$2:B1716,B1716)=1,1,0)</f>
        <v>0</v>
      </c>
      <c r="W1716" s="13" t="n">
        <f aca="false">IF(COUNTIFS($B$2:B1716,B1716,$T$2:T1716,T1716)=1,1,0)</f>
        <v>0</v>
      </c>
    </row>
    <row r="1717" customFormat="false" ht="15" hidden="false" customHeight="false" outlineLevel="0" collapsed="false">
      <c r="A1717" s="13" t="s">
        <v>561</v>
      </c>
      <c r="B1717" s="13" t="s">
        <v>42</v>
      </c>
      <c r="C1717" s="13" t="n">
        <v>620</v>
      </c>
      <c r="D1717" s="13" t="n">
        <v>1</v>
      </c>
      <c r="E1717" s="13" t="n">
        <v>619.11</v>
      </c>
      <c r="F1717" s="13" t="s">
        <v>5325</v>
      </c>
      <c r="G1717" s="13" t="s">
        <v>5292</v>
      </c>
      <c r="H1717" s="13" t="s">
        <v>5289</v>
      </c>
      <c r="I1717" s="13" t="s">
        <v>5289</v>
      </c>
      <c r="J1717" s="13" t="s">
        <v>5289</v>
      </c>
      <c r="K1717" s="13" t="s">
        <v>5289</v>
      </c>
      <c r="L1717" s="13" t="s">
        <v>5782</v>
      </c>
      <c r="M1717" s="13"/>
      <c r="N1717" s="13" t="n">
        <v>8411061041802</v>
      </c>
      <c r="O1717" s="13"/>
      <c r="P1717" s="13" t="s">
        <v>5291</v>
      </c>
      <c r="Q1717" s="13" t="s">
        <v>5289</v>
      </c>
      <c r="R1717" s="13" t="s">
        <v>5292</v>
      </c>
      <c r="S1717" s="13" t="s">
        <v>5293</v>
      </c>
      <c r="T1717" s="13" t="s">
        <v>4</v>
      </c>
      <c r="U1717" s="13" t="s">
        <v>183</v>
      </c>
      <c r="V1717" s="13" t="n">
        <f aca="false">IF(COUNTIF($B$2:B1717,B1717)=1,1,0)</f>
        <v>0</v>
      </c>
      <c r="W1717" s="13" t="n">
        <f aca="false">IF(COUNTIFS($B$2:B1717,B1717,$T$2:T1717,T1717)=1,1,0)</f>
        <v>0</v>
      </c>
    </row>
    <row r="1718" customFormat="false" ht="15" hidden="false" customHeight="false" outlineLevel="0" collapsed="false">
      <c r="A1718" s="13" t="s">
        <v>1567</v>
      </c>
      <c r="B1718" s="13" t="s">
        <v>153</v>
      </c>
      <c r="C1718" s="13" t="n">
        <v>620</v>
      </c>
      <c r="D1718" s="13" t="n">
        <v>1</v>
      </c>
      <c r="E1718" s="13" t="n">
        <v>618.77</v>
      </c>
      <c r="F1718" s="13" t="s">
        <v>5325</v>
      </c>
      <c r="G1718" s="13" t="s">
        <v>5292</v>
      </c>
      <c r="H1718" s="13" t="s">
        <v>5292</v>
      </c>
      <c r="I1718" s="13" t="s">
        <v>5289</v>
      </c>
      <c r="J1718" s="13" t="s">
        <v>5289</v>
      </c>
      <c r="K1718" s="13" t="s">
        <v>5289</v>
      </c>
      <c r="L1718" s="13" t="s">
        <v>5905</v>
      </c>
      <c r="M1718" s="13"/>
      <c r="N1718" s="13" t="n">
        <v>8011003997022</v>
      </c>
      <c r="O1718" s="13"/>
      <c r="P1718" s="13" t="s">
        <v>5291</v>
      </c>
      <c r="Q1718" s="13" t="s">
        <v>5289</v>
      </c>
      <c r="R1718" s="13" t="s">
        <v>5292</v>
      </c>
      <c r="S1718" s="13" t="s">
        <v>5293</v>
      </c>
      <c r="T1718" s="13" t="s">
        <v>4</v>
      </c>
      <c r="U1718" s="13" t="s">
        <v>43</v>
      </c>
      <c r="V1718" s="13" t="n">
        <f aca="false">IF(COUNTIF($B$2:B1718,B1718)=1,1,0)</f>
        <v>0</v>
      </c>
      <c r="W1718" s="13" t="n">
        <f aca="false">IF(COUNTIFS($B$2:B1718,B1718,$T$2:T1718,T1718)=1,1,0)</f>
        <v>0</v>
      </c>
    </row>
    <row r="1719" customFormat="false" ht="15" hidden="false" customHeight="false" outlineLevel="0" collapsed="false">
      <c r="A1719" s="13" t="s">
        <v>4421</v>
      </c>
      <c r="B1719" s="13" t="s">
        <v>2110</v>
      </c>
      <c r="C1719" s="13" t="n">
        <v>620</v>
      </c>
      <c r="D1719" s="13" t="n">
        <v>1</v>
      </c>
      <c r="E1719" s="13" t="n">
        <v>618.48</v>
      </c>
      <c r="F1719" s="13" t="s">
        <v>5288</v>
      </c>
      <c r="G1719" s="13" t="s">
        <v>5292</v>
      </c>
      <c r="H1719" s="13" t="s">
        <v>5292</v>
      </c>
      <c r="I1719" s="13" t="s">
        <v>5289</v>
      </c>
      <c r="J1719" s="13" t="s">
        <v>5289</v>
      </c>
      <c r="K1719" s="13" t="s">
        <v>5289</v>
      </c>
      <c r="L1719" s="13" t="s">
        <v>6200</v>
      </c>
      <c r="M1719" s="13"/>
      <c r="N1719" s="13" t="n">
        <v>3386460149198</v>
      </c>
      <c r="O1719" s="13"/>
      <c r="P1719" s="13" t="s">
        <v>5291</v>
      </c>
      <c r="Q1719" s="13" t="s">
        <v>5289</v>
      </c>
      <c r="R1719" s="13" t="s">
        <v>5292</v>
      </c>
      <c r="S1719" s="13" t="s">
        <v>5293</v>
      </c>
      <c r="T1719" s="13" t="s">
        <v>4</v>
      </c>
      <c r="U1719" s="13" t="s">
        <v>43</v>
      </c>
      <c r="V1719" s="13" t="n">
        <f aca="false">IF(COUNTIF($B$2:B1719,B1719)=1,1,0)</f>
        <v>0</v>
      </c>
      <c r="W1719" s="13" t="n">
        <f aca="false">IF(COUNTIFS($B$2:B1719,B1719,$T$2:T1719,T1719)=1,1,0)</f>
        <v>0</v>
      </c>
    </row>
    <row r="1720" customFormat="false" ht="15" hidden="false" customHeight="false" outlineLevel="0" collapsed="false">
      <c r="A1720" s="13" t="s">
        <v>1566</v>
      </c>
      <c r="B1720" s="13" t="s">
        <v>490</v>
      </c>
      <c r="C1720" s="13" t="n">
        <v>620</v>
      </c>
      <c r="D1720" s="13" t="n">
        <v>2</v>
      </c>
      <c r="E1720" s="13" t="n">
        <v>309</v>
      </c>
      <c r="F1720" s="13" t="s">
        <v>5288</v>
      </c>
      <c r="G1720" s="13" t="s">
        <v>5289</v>
      </c>
      <c r="H1720" s="13" t="s">
        <v>5292</v>
      </c>
      <c r="I1720" s="13" t="s">
        <v>5289</v>
      </c>
      <c r="J1720" s="13" t="s">
        <v>5289</v>
      </c>
      <c r="K1720" s="13" t="s">
        <v>5289</v>
      </c>
      <c r="L1720" s="13" t="s">
        <v>6201</v>
      </c>
      <c r="M1720" s="13"/>
      <c r="N1720" s="13" t="n">
        <v>8011003839285</v>
      </c>
      <c r="O1720" s="13"/>
      <c r="P1720" s="13" t="s">
        <v>5291</v>
      </c>
      <c r="Q1720" s="13" t="s">
        <v>5289</v>
      </c>
      <c r="R1720" s="13" t="s">
        <v>5292</v>
      </c>
      <c r="S1720" s="13" t="s">
        <v>5293</v>
      </c>
      <c r="T1720" s="13" t="s">
        <v>4</v>
      </c>
      <c r="U1720" s="13" t="s">
        <v>43</v>
      </c>
      <c r="V1720" s="13" t="n">
        <f aca="false">IF(COUNTIF($B$2:B1720,B1720)=1,1,0)</f>
        <v>0</v>
      </c>
      <c r="W1720" s="13" t="n">
        <f aca="false">IF(COUNTIFS($B$2:B1720,B1720,$T$2:T1720,T1720)=1,1,0)</f>
        <v>0</v>
      </c>
    </row>
    <row r="1721" customFormat="false" ht="15" hidden="false" customHeight="false" outlineLevel="0" collapsed="false">
      <c r="A1721" s="13" t="s">
        <v>3913</v>
      </c>
      <c r="B1721" s="13" t="s">
        <v>2232</v>
      </c>
      <c r="C1721" s="13" t="n">
        <v>620</v>
      </c>
      <c r="D1721" s="13" t="n">
        <v>2</v>
      </c>
      <c r="E1721" s="13" t="n">
        <v>205.216666666667</v>
      </c>
      <c r="F1721" s="13" t="s">
        <v>5288</v>
      </c>
      <c r="G1721" s="13" t="s">
        <v>5289</v>
      </c>
      <c r="H1721" s="13" t="s">
        <v>5289</v>
      </c>
      <c r="I1721" s="13" t="s">
        <v>5289</v>
      </c>
      <c r="J1721" s="13" t="s">
        <v>5289</v>
      </c>
      <c r="K1721" s="13" t="s">
        <v>5289</v>
      </c>
      <c r="L1721" s="13" t="s">
        <v>6202</v>
      </c>
      <c r="M1721" s="13"/>
      <c r="N1721" s="13" t="n">
        <v>5425039222127</v>
      </c>
      <c r="O1721" s="13"/>
      <c r="P1721" s="13" t="s">
        <v>5291</v>
      </c>
      <c r="Q1721" s="13" t="s">
        <v>5289</v>
      </c>
      <c r="R1721" s="13" t="s">
        <v>5292</v>
      </c>
      <c r="S1721" s="13" t="s">
        <v>5293</v>
      </c>
      <c r="T1721" s="13" t="s">
        <v>4</v>
      </c>
      <c r="U1721" s="13" t="s">
        <v>43</v>
      </c>
      <c r="V1721" s="13" t="n">
        <f aca="false">IF(COUNTIF($B$2:B1721,B1721)=1,1,0)</f>
        <v>1</v>
      </c>
      <c r="W1721" s="13" t="n">
        <f aca="false">IF(COUNTIFS($B$2:B1721,B1721,$T$2:T1721,T1721)=1,1,0)</f>
        <v>1</v>
      </c>
    </row>
    <row r="1722" customFormat="false" ht="15" hidden="false" customHeight="false" outlineLevel="0" collapsed="false">
      <c r="A1722" s="13" t="s">
        <v>571</v>
      </c>
      <c r="B1722" s="13" t="s">
        <v>186</v>
      </c>
      <c r="C1722" s="13" t="n">
        <v>620</v>
      </c>
      <c r="D1722" s="13" t="n">
        <v>1</v>
      </c>
      <c r="E1722" s="13" t="n">
        <v>615.48</v>
      </c>
      <c r="F1722" s="13" t="s">
        <v>5288</v>
      </c>
      <c r="G1722" s="13" t="s">
        <v>5292</v>
      </c>
      <c r="H1722" s="13" t="s">
        <v>5292</v>
      </c>
      <c r="I1722" s="13" t="s">
        <v>5289</v>
      </c>
      <c r="J1722" s="13" t="s">
        <v>5289</v>
      </c>
      <c r="K1722" s="13" t="s">
        <v>5289</v>
      </c>
      <c r="L1722" s="13" t="s">
        <v>6203</v>
      </c>
      <c r="M1722" s="13"/>
      <c r="N1722" s="13" t="n">
        <v>3616305277442</v>
      </c>
      <c r="O1722" s="13"/>
      <c r="P1722" s="13" t="s">
        <v>5291</v>
      </c>
      <c r="Q1722" s="13" t="s">
        <v>5289</v>
      </c>
      <c r="R1722" s="13" t="s">
        <v>5292</v>
      </c>
      <c r="S1722" s="13" t="s">
        <v>5293</v>
      </c>
      <c r="T1722" s="13" t="s">
        <v>4</v>
      </c>
      <c r="U1722" s="13" t="s">
        <v>43</v>
      </c>
      <c r="V1722" s="13" t="n">
        <f aca="false">IF(COUNTIF($B$2:B1722,B1722)=1,1,0)</f>
        <v>0</v>
      </c>
      <c r="W1722" s="13" t="n">
        <f aca="false">IF(COUNTIFS($B$2:B1722,B1722,$T$2:T1722,T1722)=1,1,0)</f>
        <v>0</v>
      </c>
    </row>
    <row r="1723" customFormat="false" ht="15" hidden="false" customHeight="false" outlineLevel="0" collapsed="false">
      <c r="A1723" s="13" t="s">
        <v>4430</v>
      </c>
      <c r="B1723" s="13" t="s">
        <v>2181</v>
      </c>
      <c r="C1723" s="13" t="n">
        <v>620</v>
      </c>
      <c r="D1723" s="13" t="n">
        <v>1</v>
      </c>
      <c r="E1723" s="13" t="n">
        <v>615.34</v>
      </c>
      <c r="F1723" s="13" t="s">
        <v>5288</v>
      </c>
      <c r="G1723" s="13" t="s">
        <v>5292</v>
      </c>
      <c r="H1723" s="13" t="s">
        <v>5289</v>
      </c>
      <c r="I1723" s="13" t="s">
        <v>5289</v>
      </c>
      <c r="J1723" s="13" t="s">
        <v>5289</v>
      </c>
      <c r="K1723" s="13" t="s">
        <v>5289</v>
      </c>
      <c r="L1723" s="13" t="s">
        <v>6204</v>
      </c>
      <c r="M1723" s="13"/>
      <c r="N1723" s="13" t="n">
        <v>3386460076265</v>
      </c>
      <c r="O1723" s="13"/>
      <c r="P1723" s="13" t="s">
        <v>5297</v>
      </c>
      <c r="Q1723" s="13" t="s">
        <v>5289</v>
      </c>
      <c r="R1723" s="13" t="s">
        <v>5292</v>
      </c>
      <c r="S1723" s="13" t="s">
        <v>5293</v>
      </c>
      <c r="T1723" s="13" t="s">
        <v>4</v>
      </c>
      <c r="U1723" s="13" t="s">
        <v>43</v>
      </c>
      <c r="V1723" s="13" t="n">
        <f aca="false">IF(COUNTIF($B$2:B1723,B1723)=1,1,0)</f>
        <v>0</v>
      </c>
      <c r="W1723" s="13" t="n">
        <f aca="false">IF(COUNTIFS($B$2:B1723,B1723,$T$2:T1723,T1723)=1,1,0)</f>
        <v>0</v>
      </c>
    </row>
    <row r="1724" customFormat="false" ht="15" hidden="false" customHeight="false" outlineLevel="0" collapsed="false">
      <c r="A1724" s="13" t="s">
        <v>1584</v>
      </c>
      <c r="B1724" s="13" t="s">
        <v>229</v>
      </c>
      <c r="C1724" s="13" t="n">
        <v>610</v>
      </c>
      <c r="D1724" s="13" t="n">
        <v>2</v>
      </c>
      <c r="E1724" s="13" t="n">
        <v>307.3</v>
      </c>
      <c r="F1724" s="13" t="s">
        <v>5288</v>
      </c>
      <c r="G1724" s="13" t="s">
        <v>5289</v>
      </c>
      <c r="H1724" s="13" t="s">
        <v>5292</v>
      </c>
      <c r="I1724" s="13" t="s">
        <v>5289</v>
      </c>
      <c r="J1724" s="13" t="s">
        <v>5289</v>
      </c>
      <c r="K1724" s="13" t="s">
        <v>5289</v>
      </c>
      <c r="L1724" s="13" t="s">
        <v>6205</v>
      </c>
      <c r="M1724" s="13"/>
      <c r="N1724" s="13" t="n">
        <v>3614228174275</v>
      </c>
      <c r="O1724" s="13"/>
      <c r="P1724" s="13" t="s">
        <v>5291</v>
      </c>
      <c r="Q1724" s="13" t="s">
        <v>5289</v>
      </c>
      <c r="R1724" s="13" t="s">
        <v>5292</v>
      </c>
      <c r="S1724" s="13" t="s">
        <v>5293</v>
      </c>
      <c r="T1724" s="13" t="s">
        <v>4</v>
      </c>
      <c r="U1724" s="13" t="s">
        <v>43</v>
      </c>
      <c r="V1724" s="13" t="n">
        <f aca="false">IF(COUNTIF($B$2:B1724,B1724)=1,1,0)</f>
        <v>0</v>
      </c>
      <c r="W1724" s="13" t="n">
        <f aca="false">IF(COUNTIFS($B$2:B1724,B1724,$T$2:T1724,T1724)=1,1,0)</f>
        <v>0</v>
      </c>
    </row>
    <row r="1725" customFormat="false" ht="15" hidden="false" customHeight="false" outlineLevel="0" collapsed="false">
      <c r="A1725" s="13" t="s">
        <v>1573</v>
      </c>
      <c r="B1725" s="13" t="s">
        <v>126</v>
      </c>
      <c r="C1725" s="13" t="n">
        <v>610</v>
      </c>
      <c r="D1725" s="13" t="n">
        <v>2</v>
      </c>
      <c r="E1725" s="13" t="n">
        <v>203.85</v>
      </c>
      <c r="F1725" s="13" t="s">
        <v>5325</v>
      </c>
      <c r="G1725" s="13" t="s">
        <v>5289</v>
      </c>
      <c r="H1725" s="13" t="s">
        <v>5292</v>
      </c>
      <c r="I1725" s="13" t="s">
        <v>5289</v>
      </c>
      <c r="J1725" s="13" t="s">
        <v>5289</v>
      </c>
      <c r="K1725" s="13" t="s">
        <v>5289</v>
      </c>
      <c r="L1725" s="13" t="s">
        <v>5711</v>
      </c>
      <c r="M1725" s="13"/>
      <c r="N1725" s="13" t="n">
        <v>3414206000592</v>
      </c>
      <c r="O1725" s="13"/>
      <c r="P1725" s="13" t="s">
        <v>5291</v>
      </c>
      <c r="Q1725" s="13" t="s">
        <v>5289</v>
      </c>
      <c r="R1725" s="13" t="s">
        <v>5292</v>
      </c>
      <c r="S1725" s="13" t="s">
        <v>5293</v>
      </c>
      <c r="T1725" s="13" t="s">
        <v>4</v>
      </c>
      <c r="U1725" s="13" t="s">
        <v>43</v>
      </c>
      <c r="V1725" s="13" t="n">
        <f aca="false">IF(COUNTIF($B$2:B1725,B1725)=1,1,0)</f>
        <v>0</v>
      </c>
      <c r="W1725" s="13" t="n">
        <f aca="false">IF(COUNTIFS($B$2:B1725,B1725,$T$2:T1725,T1725)=1,1,0)</f>
        <v>0</v>
      </c>
    </row>
    <row r="1726" customFormat="false" ht="15" hidden="false" customHeight="false" outlineLevel="0" collapsed="false">
      <c r="A1726" s="13" t="s">
        <v>427</v>
      </c>
      <c r="B1726" s="13" t="s">
        <v>42</v>
      </c>
      <c r="C1726" s="13" t="n">
        <v>610</v>
      </c>
      <c r="D1726" s="13" t="n">
        <v>1</v>
      </c>
      <c r="E1726" s="13" t="n">
        <v>610.06</v>
      </c>
      <c r="F1726" s="13" t="s">
        <v>5325</v>
      </c>
      <c r="G1726" s="13" t="s">
        <v>5289</v>
      </c>
      <c r="H1726" s="13" t="s">
        <v>5289</v>
      </c>
      <c r="I1726" s="13" t="s">
        <v>5289</v>
      </c>
      <c r="J1726" s="13" t="s">
        <v>5289</v>
      </c>
      <c r="K1726" s="13" t="s">
        <v>5289</v>
      </c>
      <c r="L1726" s="13" t="s">
        <v>5725</v>
      </c>
      <c r="M1726" s="13"/>
      <c r="N1726" s="13" t="n">
        <v>8411061954966</v>
      </c>
      <c r="O1726" s="13"/>
      <c r="P1726" s="13" t="s">
        <v>5291</v>
      </c>
      <c r="Q1726" s="13" t="s">
        <v>5289</v>
      </c>
      <c r="R1726" s="13" t="s">
        <v>5292</v>
      </c>
      <c r="S1726" s="13" t="s">
        <v>5293</v>
      </c>
      <c r="T1726" s="13" t="s">
        <v>4</v>
      </c>
      <c r="U1726" s="13" t="s">
        <v>43</v>
      </c>
      <c r="V1726" s="13" t="n">
        <f aca="false">IF(COUNTIF($B$2:B1726,B1726)=1,1,0)</f>
        <v>0</v>
      </c>
      <c r="W1726" s="13" t="n">
        <f aca="false">IF(COUNTIFS($B$2:B1726,B1726,$T$2:T1726,T1726)=1,1,0)</f>
        <v>0</v>
      </c>
    </row>
    <row r="1727" customFormat="false" ht="15" hidden="false" customHeight="false" outlineLevel="0" collapsed="false">
      <c r="A1727" s="13" t="s">
        <v>1583</v>
      </c>
      <c r="B1727" s="13" t="s">
        <v>45</v>
      </c>
      <c r="C1727" s="13" t="n">
        <v>610</v>
      </c>
      <c r="D1727" s="13" t="n">
        <v>1</v>
      </c>
      <c r="E1727" s="13" t="n">
        <v>607.53</v>
      </c>
      <c r="F1727" s="13" t="s">
        <v>5288</v>
      </c>
      <c r="G1727" s="13" t="s">
        <v>5292</v>
      </c>
      <c r="H1727" s="13" t="s">
        <v>5292</v>
      </c>
      <c r="I1727" s="13" t="s">
        <v>5289</v>
      </c>
      <c r="J1727" s="13" t="s">
        <v>5289</v>
      </c>
      <c r="K1727" s="13" t="s">
        <v>5289</v>
      </c>
      <c r="L1727" s="13" t="s">
        <v>6206</v>
      </c>
      <c r="M1727" s="13"/>
      <c r="N1727" s="13" t="n">
        <v>8435415091268</v>
      </c>
      <c r="O1727" s="13"/>
      <c r="P1727" s="13" t="s">
        <v>5291</v>
      </c>
      <c r="Q1727" s="13" t="s">
        <v>5289</v>
      </c>
      <c r="R1727" s="13" t="s">
        <v>5292</v>
      </c>
      <c r="S1727" s="13" t="s">
        <v>5293</v>
      </c>
      <c r="T1727" s="13" t="s">
        <v>4</v>
      </c>
      <c r="U1727" s="13" t="s">
        <v>43</v>
      </c>
      <c r="V1727" s="13" t="n">
        <f aca="false">IF(COUNTIF($B$2:B1727,B1727)=1,1,0)</f>
        <v>0</v>
      </c>
      <c r="W1727" s="13" t="n">
        <f aca="false">IF(COUNTIFS($B$2:B1727,B1727,$T$2:T1727,T1727)=1,1,0)</f>
        <v>0</v>
      </c>
    </row>
    <row r="1728" customFormat="false" ht="15" hidden="false" customHeight="false" outlineLevel="0" collapsed="false">
      <c r="A1728" s="13" t="s">
        <v>1574</v>
      </c>
      <c r="B1728" s="13" t="s">
        <v>153</v>
      </c>
      <c r="C1728" s="13" t="n">
        <v>610</v>
      </c>
      <c r="D1728" s="13" t="n">
        <v>1</v>
      </c>
      <c r="E1728" s="13" t="n">
        <v>607.24</v>
      </c>
      <c r="F1728" s="13" t="s">
        <v>5288</v>
      </c>
      <c r="G1728" s="13" t="s">
        <v>5292</v>
      </c>
      <c r="H1728" s="13" t="s">
        <v>5292</v>
      </c>
      <c r="I1728" s="13" t="s">
        <v>5289</v>
      </c>
      <c r="J1728" s="13" t="s">
        <v>5289</v>
      </c>
      <c r="K1728" s="13" t="s">
        <v>5289</v>
      </c>
      <c r="L1728" s="13" t="s">
        <v>5870</v>
      </c>
      <c r="M1728" s="13"/>
      <c r="N1728" s="13" t="n">
        <v>8011003858552</v>
      </c>
      <c r="O1728" s="13"/>
      <c r="P1728" s="13" t="s">
        <v>5291</v>
      </c>
      <c r="Q1728" s="13" t="s">
        <v>5289</v>
      </c>
      <c r="R1728" s="13" t="s">
        <v>5292</v>
      </c>
      <c r="S1728" s="13" t="s">
        <v>5293</v>
      </c>
      <c r="T1728" s="13" t="s">
        <v>4</v>
      </c>
      <c r="U1728" s="13" t="s">
        <v>43</v>
      </c>
      <c r="V1728" s="13" t="n">
        <f aca="false">IF(COUNTIF($B$2:B1728,B1728)=1,1,0)</f>
        <v>0</v>
      </c>
      <c r="W1728" s="13" t="n">
        <f aca="false">IF(COUNTIFS($B$2:B1728,B1728,$T$2:T1728,T1728)=1,1,0)</f>
        <v>0</v>
      </c>
    </row>
    <row r="1729" customFormat="false" ht="15" hidden="false" customHeight="false" outlineLevel="0" collapsed="false">
      <c r="A1729" s="13" t="s">
        <v>1576</v>
      </c>
      <c r="B1729" s="13" t="s">
        <v>204</v>
      </c>
      <c r="C1729" s="13" t="n">
        <v>610</v>
      </c>
      <c r="D1729" s="13" t="n">
        <v>2</v>
      </c>
      <c r="E1729" s="13" t="n">
        <v>202.32</v>
      </c>
      <c r="F1729" s="13" t="s">
        <v>5325</v>
      </c>
      <c r="G1729" s="13" t="s">
        <v>5289</v>
      </c>
      <c r="H1729" s="13" t="s">
        <v>5292</v>
      </c>
      <c r="I1729" s="13" t="s">
        <v>5289</v>
      </c>
      <c r="J1729" s="13" t="s">
        <v>5289</v>
      </c>
      <c r="K1729" s="13" t="s">
        <v>5289</v>
      </c>
      <c r="L1729" s="13" t="s">
        <v>5804</v>
      </c>
      <c r="M1729" s="13"/>
      <c r="N1729" s="13" t="n">
        <v>7640496670115</v>
      </c>
      <c r="O1729" s="13"/>
      <c r="P1729" s="13" t="s">
        <v>5291</v>
      </c>
      <c r="Q1729" s="13" t="s">
        <v>5289</v>
      </c>
      <c r="R1729" s="13" t="s">
        <v>5292</v>
      </c>
      <c r="S1729" s="13" t="s">
        <v>5293</v>
      </c>
      <c r="T1729" s="13" t="s">
        <v>4</v>
      </c>
      <c r="U1729" s="13" t="s">
        <v>43</v>
      </c>
      <c r="V1729" s="13" t="n">
        <f aca="false">IF(COUNTIF($B$2:B1729,B1729)=1,1,0)</f>
        <v>0</v>
      </c>
      <c r="W1729" s="13" t="n">
        <f aca="false">IF(COUNTIFS($B$2:B1729,B1729,$T$2:T1729,T1729)=1,1,0)</f>
        <v>0</v>
      </c>
    </row>
    <row r="1730" customFormat="false" ht="15" hidden="false" customHeight="false" outlineLevel="0" collapsed="false">
      <c r="A1730" s="13" t="s">
        <v>6207</v>
      </c>
      <c r="B1730" s="13" t="s">
        <v>2181</v>
      </c>
      <c r="C1730" s="13" t="n">
        <v>610</v>
      </c>
      <c r="D1730" s="13" t="n">
        <v>1</v>
      </c>
      <c r="E1730" s="13" t="n">
        <v>606.91</v>
      </c>
      <c r="F1730" s="13" t="s">
        <v>5325</v>
      </c>
      <c r="G1730" s="13" t="s">
        <v>5292</v>
      </c>
      <c r="H1730" s="13" t="s">
        <v>5292</v>
      </c>
      <c r="I1730" s="13" t="s">
        <v>5289</v>
      </c>
      <c r="J1730" s="13" t="s">
        <v>5289</v>
      </c>
      <c r="K1730" s="13" t="s">
        <v>5289</v>
      </c>
      <c r="L1730" s="13" t="s">
        <v>6042</v>
      </c>
      <c r="M1730" s="13"/>
      <c r="N1730" s="13" t="n">
        <v>3386460102926</v>
      </c>
      <c r="O1730" s="13"/>
      <c r="P1730" s="13" t="s">
        <v>5291</v>
      </c>
      <c r="Q1730" s="13" t="s">
        <v>5289</v>
      </c>
      <c r="R1730" s="13" t="s">
        <v>5292</v>
      </c>
      <c r="S1730" s="13" t="s">
        <v>5293</v>
      </c>
      <c r="T1730" s="13" t="s">
        <v>4</v>
      </c>
      <c r="U1730" s="13" t="s">
        <v>43</v>
      </c>
      <c r="V1730" s="13" t="n">
        <f aca="false">IF(COUNTIF($B$2:B1730,B1730)=1,1,0)</f>
        <v>0</v>
      </c>
      <c r="W1730" s="13" t="n">
        <f aca="false">IF(COUNTIFS($B$2:B1730,B1730,$T$2:T1730,T1730)=1,1,0)</f>
        <v>0</v>
      </c>
    </row>
    <row r="1731" customFormat="false" ht="15" hidden="false" customHeight="false" outlineLevel="0" collapsed="false">
      <c r="A1731" s="13" t="s">
        <v>1582</v>
      </c>
      <c r="B1731" s="13" t="s">
        <v>50</v>
      </c>
      <c r="C1731" s="13" t="n">
        <v>610</v>
      </c>
      <c r="D1731" s="13" t="n">
        <v>1</v>
      </c>
      <c r="E1731" s="13" t="n">
        <v>606.32</v>
      </c>
      <c r="F1731" s="13" t="s">
        <v>5325</v>
      </c>
      <c r="G1731" s="13" t="s">
        <v>5292</v>
      </c>
      <c r="H1731" s="13" t="s">
        <v>5292</v>
      </c>
      <c r="I1731" s="13" t="s">
        <v>5289</v>
      </c>
      <c r="J1731" s="13" t="s">
        <v>5289</v>
      </c>
      <c r="K1731" s="13" t="s">
        <v>5289</v>
      </c>
      <c r="L1731" s="13" t="s">
        <v>6208</v>
      </c>
      <c r="M1731" s="13"/>
      <c r="N1731" s="13" t="n">
        <v>3349668644063</v>
      </c>
      <c r="O1731" s="13"/>
      <c r="P1731" s="13" t="s">
        <v>5291</v>
      </c>
      <c r="Q1731" s="13" t="s">
        <v>5289</v>
      </c>
      <c r="R1731" s="13" t="s">
        <v>5292</v>
      </c>
      <c r="S1731" s="13" t="s">
        <v>5293</v>
      </c>
      <c r="T1731" s="13" t="s">
        <v>4</v>
      </c>
      <c r="U1731" s="13" t="s">
        <v>43</v>
      </c>
      <c r="V1731" s="13" t="n">
        <f aca="false">IF(COUNTIF($B$2:B1731,B1731)=1,1,0)</f>
        <v>0</v>
      </c>
      <c r="W1731" s="13" t="n">
        <f aca="false">IF(COUNTIFS($B$2:B1731,B1731,$T$2:T1731,T1731)=1,1,0)</f>
        <v>0</v>
      </c>
    </row>
    <row r="1732" customFormat="false" ht="15" hidden="false" customHeight="false" outlineLevel="0" collapsed="false">
      <c r="A1732" s="13" t="s">
        <v>1580</v>
      </c>
      <c r="B1732" s="13" t="s">
        <v>329</v>
      </c>
      <c r="C1732" s="13" t="n">
        <v>610</v>
      </c>
      <c r="D1732" s="13" t="n">
        <v>1</v>
      </c>
      <c r="E1732" s="13" t="n">
        <v>605.44</v>
      </c>
      <c r="F1732" s="13" t="s">
        <v>5288</v>
      </c>
      <c r="G1732" s="13" t="s">
        <v>5289</v>
      </c>
      <c r="H1732" s="13" t="s">
        <v>5289</v>
      </c>
      <c r="I1732" s="13" t="s">
        <v>5289</v>
      </c>
      <c r="J1732" s="13" t="s">
        <v>5289</v>
      </c>
      <c r="K1732" s="13" t="s">
        <v>5289</v>
      </c>
      <c r="L1732" s="13" t="s">
        <v>6209</v>
      </c>
      <c r="M1732" s="13"/>
      <c r="N1732" s="13" t="n">
        <v>3137370363033</v>
      </c>
      <c r="O1732" s="13"/>
      <c r="P1732" s="13" t="s">
        <v>5291</v>
      </c>
      <c r="Q1732" s="13" t="s">
        <v>5289</v>
      </c>
      <c r="R1732" s="13" t="s">
        <v>5292</v>
      </c>
      <c r="S1732" s="13" t="s">
        <v>5293</v>
      </c>
      <c r="T1732" s="13" t="s">
        <v>4</v>
      </c>
      <c r="U1732" s="13" t="s">
        <v>43</v>
      </c>
      <c r="V1732" s="13" t="n">
        <f aca="false">IF(COUNTIF($B$2:B1732,B1732)=1,1,0)</f>
        <v>0</v>
      </c>
      <c r="W1732" s="13" t="n">
        <f aca="false">IF(COUNTIFS($B$2:B1732,B1732,$T$2:T1732,T1732)=1,1,0)</f>
        <v>0</v>
      </c>
    </row>
    <row r="1733" customFormat="false" ht="15" hidden="false" customHeight="false" outlineLevel="0" collapsed="false">
      <c r="A1733" s="13" t="s">
        <v>4451</v>
      </c>
      <c r="B1733" s="13" t="s">
        <v>2179</v>
      </c>
      <c r="C1733" s="13" t="n">
        <v>600</v>
      </c>
      <c r="D1733" s="13" t="n">
        <v>2</v>
      </c>
      <c r="E1733" s="13" t="n">
        <v>302.385</v>
      </c>
      <c r="F1733" s="13" t="s">
        <v>5288</v>
      </c>
      <c r="G1733" s="13" t="s">
        <v>5289</v>
      </c>
      <c r="H1733" s="13" t="s">
        <v>5292</v>
      </c>
      <c r="I1733" s="13" t="s">
        <v>5289</v>
      </c>
      <c r="J1733" s="13" t="s">
        <v>5289</v>
      </c>
      <c r="K1733" s="13" t="s">
        <v>5289</v>
      </c>
      <c r="L1733" s="13" t="s">
        <v>6210</v>
      </c>
      <c r="M1733" s="13"/>
      <c r="N1733" s="13" t="n">
        <v>8410190635883</v>
      </c>
      <c r="O1733" s="13"/>
      <c r="P1733" s="13" t="s">
        <v>5291</v>
      </c>
      <c r="Q1733" s="13" t="s">
        <v>5289</v>
      </c>
      <c r="R1733" s="13" t="s">
        <v>5292</v>
      </c>
      <c r="S1733" s="13" t="s">
        <v>5293</v>
      </c>
      <c r="T1733" s="13" t="s">
        <v>4</v>
      </c>
      <c r="U1733" s="13" t="s">
        <v>43</v>
      </c>
      <c r="V1733" s="13" t="n">
        <f aca="false">IF(COUNTIF($B$2:B1733,B1733)=1,1,0)</f>
        <v>0</v>
      </c>
      <c r="W1733" s="13" t="n">
        <f aca="false">IF(COUNTIFS($B$2:B1733,B1733,$T$2:T1733,T1733)=1,1,0)</f>
        <v>0</v>
      </c>
    </row>
    <row r="1734" customFormat="false" ht="15" hidden="false" customHeight="false" outlineLevel="0" collapsed="false">
      <c r="A1734" s="13" t="s">
        <v>4449</v>
      </c>
      <c r="B1734" s="13" t="s">
        <v>2220</v>
      </c>
      <c r="C1734" s="13" t="n">
        <v>600</v>
      </c>
      <c r="D1734" s="13" t="n">
        <v>1</v>
      </c>
      <c r="E1734" s="13" t="n">
        <v>603.96</v>
      </c>
      <c r="F1734" s="13" t="s">
        <v>5288</v>
      </c>
      <c r="G1734" s="13" t="s">
        <v>5292</v>
      </c>
      <c r="H1734" s="13" t="s">
        <v>5292</v>
      </c>
      <c r="I1734" s="13" t="s">
        <v>5289</v>
      </c>
      <c r="J1734" s="13" t="s">
        <v>5289</v>
      </c>
      <c r="K1734" s="13" t="s">
        <v>5289</v>
      </c>
      <c r="L1734" s="13" t="s">
        <v>6211</v>
      </c>
      <c r="M1734" s="13"/>
      <c r="N1734" s="13" t="n">
        <v>7898920039995</v>
      </c>
      <c r="O1734" s="13"/>
      <c r="P1734" s="13" t="s">
        <v>5291</v>
      </c>
      <c r="Q1734" s="13" t="s">
        <v>5289</v>
      </c>
      <c r="R1734" s="13" t="s">
        <v>5292</v>
      </c>
      <c r="S1734" s="13" t="s">
        <v>5293</v>
      </c>
      <c r="T1734" s="13" t="s">
        <v>4</v>
      </c>
      <c r="U1734" s="13" t="s">
        <v>43</v>
      </c>
      <c r="V1734" s="13" t="n">
        <f aca="false">IF(COUNTIF($B$2:B1734,B1734)=1,1,0)</f>
        <v>0</v>
      </c>
      <c r="W1734" s="13" t="n">
        <f aca="false">IF(COUNTIFS($B$2:B1734,B1734,$T$2:T1734,T1734)=1,1,0)</f>
        <v>0</v>
      </c>
    </row>
    <row r="1735" customFormat="false" ht="15" hidden="false" customHeight="false" outlineLevel="0" collapsed="false">
      <c r="A1735" s="13" t="s">
        <v>6212</v>
      </c>
      <c r="B1735" s="13" t="s">
        <v>2111</v>
      </c>
      <c r="C1735" s="13" t="n">
        <v>600</v>
      </c>
      <c r="D1735" s="13" t="n">
        <v>1</v>
      </c>
      <c r="E1735" s="13" t="n">
        <v>601.7</v>
      </c>
      <c r="F1735" s="13" t="s">
        <v>5288</v>
      </c>
      <c r="G1735" s="13" t="s">
        <v>5289</v>
      </c>
      <c r="H1735" s="13" t="s">
        <v>5292</v>
      </c>
      <c r="I1735" s="13" t="s">
        <v>5289</v>
      </c>
      <c r="J1735" s="13" t="s">
        <v>5289</v>
      </c>
      <c r="K1735" s="13" t="s">
        <v>5289</v>
      </c>
      <c r="L1735" s="13" t="s">
        <v>5837</v>
      </c>
      <c r="M1735" s="13"/>
      <c r="N1735" s="13" t="n">
        <v>3386460119252</v>
      </c>
      <c r="O1735" s="13"/>
      <c r="P1735" s="13" t="s">
        <v>5291</v>
      </c>
      <c r="Q1735" s="13" t="s">
        <v>5289</v>
      </c>
      <c r="R1735" s="13" t="s">
        <v>5292</v>
      </c>
      <c r="S1735" s="13" t="s">
        <v>5293</v>
      </c>
      <c r="T1735" s="13" t="s">
        <v>4</v>
      </c>
      <c r="U1735" s="13" t="s">
        <v>43</v>
      </c>
      <c r="V1735" s="13" t="n">
        <f aca="false">IF(COUNTIF($B$2:B1735,B1735)=1,1,0)</f>
        <v>0</v>
      </c>
      <c r="W1735" s="13" t="n">
        <f aca="false">IF(COUNTIFS($B$2:B1735,B1735,$T$2:T1735,T1735)=1,1,0)</f>
        <v>0</v>
      </c>
    </row>
    <row r="1736" customFormat="false" ht="15" hidden="false" customHeight="false" outlineLevel="0" collapsed="false">
      <c r="A1736" s="13" t="s">
        <v>4460</v>
      </c>
      <c r="B1736" s="13" t="s">
        <v>2128</v>
      </c>
      <c r="C1736" s="13" t="n">
        <v>600</v>
      </c>
      <c r="D1736" s="13" t="n">
        <v>2</v>
      </c>
      <c r="E1736" s="13" t="n">
        <v>150.41</v>
      </c>
      <c r="F1736" s="13" t="s">
        <v>5325</v>
      </c>
      <c r="G1736" s="13" t="s">
        <v>5292</v>
      </c>
      <c r="H1736" s="13" t="s">
        <v>5292</v>
      </c>
      <c r="I1736" s="13" t="s">
        <v>5289</v>
      </c>
      <c r="J1736" s="13" t="s">
        <v>5289</v>
      </c>
      <c r="K1736" s="13" t="s">
        <v>5289</v>
      </c>
      <c r="L1736" s="13" t="s">
        <v>6213</v>
      </c>
      <c r="M1736" s="13"/>
      <c r="N1736" s="13" t="n">
        <v>3326240040024</v>
      </c>
      <c r="O1736" s="13"/>
      <c r="P1736" s="13" t="s">
        <v>5291</v>
      </c>
      <c r="Q1736" s="13" t="s">
        <v>5289</v>
      </c>
      <c r="R1736" s="13" t="s">
        <v>5292</v>
      </c>
      <c r="S1736" s="13" t="s">
        <v>5293</v>
      </c>
      <c r="T1736" s="13" t="s">
        <v>4</v>
      </c>
      <c r="U1736" s="13" t="s">
        <v>85</v>
      </c>
      <c r="V1736" s="13" t="n">
        <f aca="false">IF(COUNTIF($B$2:B1736,B1736)=1,1,0)</f>
        <v>0</v>
      </c>
      <c r="W1736" s="13" t="n">
        <f aca="false">IF(COUNTIFS($B$2:B1736,B1736,$T$2:T1736,T1736)=1,1,0)</f>
        <v>0</v>
      </c>
    </row>
    <row r="1737" customFormat="false" ht="15" hidden="false" customHeight="false" outlineLevel="0" collapsed="false">
      <c r="A1737" s="13" t="s">
        <v>1594</v>
      </c>
      <c r="B1737" s="13" t="s">
        <v>45</v>
      </c>
      <c r="C1737" s="13" t="n">
        <v>600</v>
      </c>
      <c r="D1737" s="13" t="n">
        <v>1</v>
      </c>
      <c r="E1737" s="13" t="n">
        <v>599.43</v>
      </c>
      <c r="F1737" s="13" t="s">
        <v>5288</v>
      </c>
      <c r="G1737" s="13" t="s">
        <v>5289</v>
      </c>
      <c r="H1737" s="13" t="s">
        <v>5292</v>
      </c>
      <c r="I1737" s="13" t="s">
        <v>5289</v>
      </c>
      <c r="J1737" s="13" t="s">
        <v>5289</v>
      </c>
      <c r="K1737" s="13" t="s">
        <v>5289</v>
      </c>
      <c r="L1737" s="13" t="s">
        <v>5714</v>
      </c>
      <c r="M1737" s="13"/>
      <c r="N1737" s="13" t="n">
        <v>8435415032278</v>
      </c>
      <c r="O1737" s="13"/>
      <c r="P1737" s="13" t="s">
        <v>5291</v>
      </c>
      <c r="Q1737" s="13" t="s">
        <v>5289</v>
      </c>
      <c r="R1737" s="13" t="s">
        <v>5292</v>
      </c>
      <c r="S1737" s="13" t="s">
        <v>5293</v>
      </c>
      <c r="T1737" s="13" t="s">
        <v>4</v>
      </c>
      <c r="U1737" s="13" t="s">
        <v>43</v>
      </c>
      <c r="V1737" s="13" t="n">
        <f aca="false">IF(COUNTIF($B$2:B1737,B1737)=1,1,0)</f>
        <v>0</v>
      </c>
      <c r="W1737" s="13" t="n">
        <f aca="false">IF(COUNTIFS($B$2:B1737,B1737,$T$2:T1737,T1737)=1,1,0)</f>
        <v>0</v>
      </c>
    </row>
    <row r="1738" customFormat="false" ht="15" hidden="false" customHeight="false" outlineLevel="0" collapsed="false">
      <c r="A1738" s="13" t="s">
        <v>756</v>
      </c>
      <c r="B1738" s="13" t="s">
        <v>50</v>
      </c>
      <c r="C1738" s="13" t="n">
        <v>600</v>
      </c>
      <c r="D1738" s="13" t="n">
        <v>1</v>
      </c>
      <c r="E1738" s="13" t="n">
        <v>599</v>
      </c>
      <c r="F1738" s="13" t="s">
        <v>5288</v>
      </c>
      <c r="G1738" s="13" t="s">
        <v>5289</v>
      </c>
      <c r="H1738" s="13" t="s">
        <v>5289</v>
      </c>
      <c r="I1738" s="13" t="s">
        <v>5289</v>
      </c>
      <c r="J1738" s="13" t="s">
        <v>5289</v>
      </c>
      <c r="K1738" s="13" t="s">
        <v>5289</v>
      </c>
      <c r="L1738" s="13" t="s">
        <v>6173</v>
      </c>
      <c r="M1738" s="13"/>
      <c r="N1738" s="13" t="n">
        <v>3349668630110</v>
      </c>
      <c r="O1738" s="13"/>
      <c r="P1738" s="13" t="s">
        <v>5291</v>
      </c>
      <c r="Q1738" s="13" t="s">
        <v>5289</v>
      </c>
      <c r="R1738" s="13" t="s">
        <v>5292</v>
      </c>
      <c r="S1738" s="13" t="s">
        <v>5293</v>
      </c>
      <c r="T1738" s="13" t="s">
        <v>4</v>
      </c>
      <c r="U1738" s="13" t="s">
        <v>43</v>
      </c>
      <c r="V1738" s="13" t="n">
        <f aca="false">IF(COUNTIF($B$2:B1738,B1738)=1,1,0)</f>
        <v>0</v>
      </c>
      <c r="W1738" s="13" t="n">
        <f aca="false">IF(COUNTIFS($B$2:B1738,B1738,$T$2:T1738,T1738)=1,1,0)</f>
        <v>0</v>
      </c>
    </row>
    <row r="1739" customFormat="false" ht="15" hidden="false" customHeight="false" outlineLevel="0" collapsed="false">
      <c r="A1739" s="13" t="s">
        <v>1606</v>
      </c>
      <c r="B1739" s="13" t="s">
        <v>50</v>
      </c>
      <c r="C1739" s="13" t="n">
        <v>590</v>
      </c>
      <c r="D1739" s="13" t="n">
        <v>1</v>
      </c>
      <c r="E1739" s="13" t="n">
        <v>594.15</v>
      </c>
      <c r="F1739" s="13" t="s">
        <v>5288</v>
      </c>
      <c r="G1739" s="13" t="s">
        <v>5292</v>
      </c>
      <c r="H1739" s="13" t="s">
        <v>5289</v>
      </c>
      <c r="I1739" s="13" t="s">
        <v>5289</v>
      </c>
      <c r="J1739" s="13" t="s">
        <v>5289</v>
      </c>
      <c r="K1739" s="13" t="s">
        <v>5289</v>
      </c>
      <c r="L1739" s="13" t="s">
        <v>6214</v>
      </c>
      <c r="M1739" s="13"/>
      <c r="N1739" s="13" t="n">
        <v>3349668579822</v>
      </c>
      <c r="O1739" s="13"/>
      <c r="P1739" s="13" t="s">
        <v>5291</v>
      </c>
      <c r="Q1739" s="13" t="s">
        <v>5289</v>
      </c>
      <c r="R1739" s="13" t="s">
        <v>5292</v>
      </c>
      <c r="S1739" s="13" t="s">
        <v>5293</v>
      </c>
      <c r="T1739" s="13" t="s">
        <v>4</v>
      </c>
      <c r="U1739" s="13" t="s">
        <v>43</v>
      </c>
      <c r="V1739" s="13" t="n">
        <f aca="false">IF(COUNTIF($B$2:B1739,B1739)=1,1,0)</f>
        <v>0</v>
      </c>
      <c r="W1739" s="13" t="n">
        <f aca="false">IF(COUNTIFS($B$2:B1739,B1739,$T$2:T1739,T1739)=1,1,0)</f>
        <v>0</v>
      </c>
    </row>
    <row r="1740" customFormat="false" ht="15" hidden="false" customHeight="false" outlineLevel="0" collapsed="false">
      <c r="A1740" s="13" t="s">
        <v>1605</v>
      </c>
      <c r="B1740" s="13" t="s">
        <v>286</v>
      </c>
      <c r="C1740" s="13" t="n">
        <v>590</v>
      </c>
      <c r="D1740" s="13" t="n">
        <v>2</v>
      </c>
      <c r="E1740" s="13" t="n">
        <v>296.33</v>
      </c>
      <c r="F1740" s="13" t="s">
        <v>5288</v>
      </c>
      <c r="G1740" s="13" t="s">
        <v>5289</v>
      </c>
      <c r="H1740" s="13" t="s">
        <v>5292</v>
      </c>
      <c r="I1740" s="13" t="s">
        <v>5289</v>
      </c>
      <c r="J1740" s="13" t="s">
        <v>5289</v>
      </c>
      <c r="K1740" s="13" t="s">
        <v>5289</v>
      </c>
      <c r="L1740" s="13" t="s">
        <v>6215</v>
      </c>
      <c r="M1740" s="13"/>
      <c r="N1740" s="13" t="n">
        <v>6294015163896</v>
      </c>
      <c r="O1740" s="13"/>
      <c r="P1740" s="13" t="s">
        <v>5291</v>
      </c>
      <c r="Q1740" s="13" t="s">
        <v>5289</v>
      </c>
      <c r="R1740" s="13" t="s">
        <v>5292</v>
      </c>
      <c r="S1740" s="13" t="s">
        <v>5293</v>
      </c>
      <c r="T1740" s="13" t="s">
        <v>4</v>
      </c>
      <c r="U1740" s="13" t="s">
        <v>43</v>
      </c>
      <c r="V1740" s="13" t="n">
        <f aca="false">IF(COUNTIF($B$2:B1740,B1740)=1,1,0)</f>
        <v>0</v>
      </c>
      <c r="W1740" s="13" t="n">
        <f aca="false">IF(COUNTIFS($B$2:B1740,B1740,$T$2:T1740,T1740)=1,1,0)</f>
        <v>0</v>
      </c>
    </row>
    <row r="1741" customFormat="false" ht="15" hidden="false" customHeight="false" outlineLevel="0" collapsed="false">
      <c r="A1741" s="13" t="s">
        <v>1597</v>
      </c>
      <c r="B1741" s="13" t="s">
        <v>45</v>
      </c>
      <c r="C1741" s="13" t="n">
        <v>590</v>
      </c>
      <c r="D1741" s="13" t="n">
        <v>1</v>
      </c>
      <c r="E1741" s="13" t="n">
        <v>592.54</v>
      </c>
      <c r="F1741" s="13" t="s">
        <v>5288</v>
      </c>
      <c r="G1741" s="13" t="s">
        <v>5289</v>
      </c>
      <c r="H1741" s="13" t="s">
        <v>5289</v>
      </c>
      <c r="I1741" s="13" t="s">
        <v>5289</v>
      </c>
      <c r="J1741" s="13" t="s">
        <v>5289</v>
      </c>
      <c r="K1741" s="13" t="s">
        <v>5289</v>
      </c>
      <c r="L1741" s="13" t="s">
        <v>6216</v>
      </c>
      <c r="M1741" s="13"/>
      <c r="N1741" s="13" t="n">
        <v>8435415017190</v>
      </c>
      <c r="O1741" s="13"/>
      <c r="P1741" s="13" t="s">
        <v>5291</v>
      </c>
      <c r="Q1741" s="13" t="s">
        <v>5289</v>
      </c>
      <c r="R1741" s="13" t="s">
        <v>5292</v>
      </c>
      <c r="S1741" s="13" t="s">
        <v>5293</v>
      </c>
      <c r="T1741" s="13" t="s">
        <v>4</v>
      </c>
      <c r="U1741" s="13" t="s">
        <v>43</v>
      </c>
      <c r="V1741" s="13" t="n">
        <f aca="false">IF(COUNTIF($B$2:B1741,B1741)=1,1,0)</f>
        <v>0</v>
      </c>
      <c r="W1741" s="13" t="n">
        <f aca="false">IF(COUNTIFS($B$2:B1741,B1741,$T$2:T1741,T1741)=1,1,0)</f>
        <v>0</v>
      </c>
    </row>
    <row r="1742" customFormat="false" ht="15" hidden="false" customHeight="false" outlineLevel="0" collapsed="false">
      <c r="A1742" s="13" t="s">
        <v>1604</v>
      </c>
      <c r="B1742" s="13" t="s">
        <v>42</v>
      </c>
      <c r="C1742" s="13" t="n">
        <v>590</v>
      </c>
      <c r="D1742" s="13" t="n">
        <v>1</v>
      </c>
      <c r="E1742" s="13" t="n">
        <v>591.26</v>
      </c>
      <c r="F1742" s="13" t="s">
        <v>5325</v>
      </c>
      <c r="G1742" s="13" t="s">
        <v>5289</v>
      </c>
      <c r="H1742" s="13" t="s">
        <v>5292</v>
      </c>
      <c r="I1742" s="13" t="s">
        <v>5289</v>
      </c>
      <c r="J1742" s="13" t="s">
        <v>5289</v>
      </c>
      <c r="K1742" s="13" t="s">
        <v>5289</v>
      </c>
      <c r="L1742" s="13" t="s">
        <v>5734</v>
      </c>
      <c r="M1742" s="13"/>
      <c r="N1742" s="13" t="n">
        <v>8411061093849</v>
      </c>
      <c r="O1742" s="13"/>
      <c r="P1742" s="13" t="s">
        <v>5291</v>
      </c>
      <c r="Q1742" s="13" t="s">
        <v>5289</v>
      </c>
      <c r="R1742" s="13" t="s">
        <v>5292</v>
      </c>
      <c r="S1742" s="13" t="s">
        <v>5293</v>
      </c>
      <c r="T1742" s="13" t="s">
        <v>4</v>
      </c>
      <c r="U1742" s="13" t="s">
        <v>43</v>
      </c>
      <c r="V1742" s="13" t="n">
        <f aca="false">IF(COUNTIF($B$2:B1742,B1742)=1,1,0)</f>
        <v>0</v>
      </c>
      <c r="W1742" s="13" t="n">
        <f aca="false">IF(COUNTIFS($B$2:B1742,B1742,$T$2:T1742,T1742)=1,1,0)</f>
        <v>0</v>
      </c>
    </row>
    <row r="1743" customFormat="false" ht="15" hidden="false" customHeight="false" outlineLevel="0" collapsed="false">
      <c r="A1743" s="13" t="s">
        <v>1180</v>
      </c>
      <c r="B1743" s="13" t="s">
        <v>79</v>
      </c>
      <c r="C1743" s="13" t="n">
        <v>590</v>
      </c>
      <c r="D1743" s="13" t="n">
        <v>1</v>
      </c>
      <c r="E1743" s="13" t="n">
        <v>591.11</v>
      </c>
      <c r="F1743" s="13" t="s">
        <v>5288</v>
      </c>
      <c r="G1743" s="13" t="s">
        <v>5289</v>
      </c>
      <c r="H1743" s="13" t="s">
        <v>5292</v>
      </c>
      <c r="I1743" s="13" t="s">
        <v>5289</v>
      </c>
      <c r="J1743" s="13" t="s">
        <v>5289</v>
      </c>
      <c r="K1743" s="13" t="s">
        <v>5289</v>
      </c>
      <c r="L1743" s="13" t="s">
        <v>6217</v>
      </c>
      <c r="M1743" s="13"/>
      <c r="N1743" s="13" t="n">
        <v>8054754403282</v>
      </c>
      <c r="O1743" s="13"/>
      <c r="P1743" s="13" t="s">
        <v>5291</v>
      </c>
      <c r="Q1743" s="13" t="s">
        <v>5289</v>
      </c>
      <c r="R1743" s="13" t="s">
        <v>5292</v>
      </c>
      <c r="S1743" s="13" t="s">
        <v>5293</v>
      </c>
      <c r="T1743" s="13" t="s">
        <v>4</v>
      </c>
      <c r="U1743" s="13" t="s">
        <v>43</v>
      </c>
      <c r="V1743" s="13" t="n">
        <f aca="false">IF(COUNTIF($B$2:B1743,B1743)=1,1,0)</f>
        <v>0</v>
      </c>
      <c r="W1743" s="13" t="n">
        <f aca="false">IF(COUNTIFS($B$2:B1743,B1743,$T$2:T1743,T1743)=1,1,0)</f>
        <v>0</v>
      </c>
    </row>
    <row r="1744" customFormat="false" ht="15" hidden="false" customHeight="false" outlineLevel="0" collapsed="false">
      <c r="A1744" s="13" t="s">
        <v>4464</v>
      </c>
      <c r="B1744" s="13" t="s">
        <v>2193</v>
      </c>
      <c r="C1744" s="13" t="n">
        <v>590</v>
      </c>
      <c r="D1744" s="13" t="n">
        <v>1</v>
      </c>
      <c r="E1744" s="13" t="n">
        <v>589.68</v>
      </c>
      <c r="F1744" s="13" t="s">
        <v>5288</v>
      </c>
      <c r="G1744" s="13" t="s">
        <v>5292</v>
      </c>
      <c r="H1744" s="13" t="s">
        <v>5292</v>
      </c>
      <c r="I1744" s="13" t="s">
        <v>5289</v>
      </c>
      <c r="J1744" s="13" t="s">
        <v>5289</v>
      </c>
      <c r="K1744" s="13" t="s">
        <v>5289</v>
      </c>
      <c r="L1744" s="13" t="s">
        <v>6218</v>
      </c>
      <c r="M1744" s="13"/>
      <c r="N1744" s="13" t="n">
        <v>3386460136334</v>
      </c>
      <c r="O1744" s="13"/>
      <c r="P1744" s="13" t="s">
        <v>5291</v>
      </c>
      <c r="Q1744" s="13" t="s">
        <v>5289</v>
      </c>
      <c r="R1744" s="13" t="s">
        <v>5292</v>
      </c>
      <c r="S1744" s="13" t="s">
        <v>5293</v>
      </c>
      <c r="T1744" s="13" t="s">
        <v>4</v>
      </c>
      <c r="U1744" s="13" t="s">
        <v>43</v>
      </c>
      <c r="V1744" s="13" t="n">
        <f aca="false">IF(COUNTIF($B$2:B1744,B1744)=1,1,0)</f>
        <v>0</v>
      </c>
      <c r="W1744" s="13" t="n">
        <f aca="false">IF(COUNTIFS($B$2:B1744,B1744,$T$2:T1744,T1744)=1,1,0)</f>
        <v>0</v>
      </c>
    </row>
    <row r="1745" customFormat="false" ht="15" hidden="false" customHeight="false" outlineLevel="0" collapsed="false">
      <c r="A1745" s="13" t="s">
        <v>1178</v>
      </c>
      <c r="B1745" s="13" t="s">
        <v>50</v>
      </c>
      <c r="C1745" s="13" t="n">
        <v>590</v>
      </c>
      <c r="D1745" s="13" t="n">
        <v>1</v>
      </c>
      <c r="E1745" s="13" t="n">
        <v>589.03</v>
      </c>
      <c r="F1745" s="13" t="s">
        <v>5325</v>
      </c>
      <c r="G1745" s="13" t="s">
        <v>5289</v>
      </c>
      <c r="H1745" s="13" t="s">
        <v>5289</v>
      </c>
      <c r="I1745" s="13" t="s">
        <v>5289</v>
      </c>
      <c r="J1745" s="13" t="s">
        <v>5289</v>
      </c>
      <c r="K1745" s="13" t="s">
        <v>5289</v>
      </c>
      <c r="L1745" s="13" t="s">
        <v>6051</v>
      </c>
      <c r="M1745" s="13"/>
      <c r="N1745" s="13" t="n">
        <v>3349668599448</v>
      </c>
      <c r="O1745" s="13"/>
      <c r="P1745" s="13" t="s">
        <v>5291</v>
      </c>
      <c r="Q1745" s="13" t="s">
        <v>5289</v>
      </c>
      <c r="R1745" s="13" t="s">
        <v>5292</v>
      </c>
      <c r="S1745" s="13" t="s">
        <v>5293</v>
      </c>
      <c r="T1745" s="13" t="s">
        <v>4</v>
      </c>
      <c r="U1745" s="13" t="s">
        <v>43</v>
      </c>
      <c r="V1745" s="13" t="n">
        <f aca="false">IF(COUNTIF($B$2:B1745,B1745)=1,1,0)</f>
        <v>0</v>
      </c>
      <c r="W1745" s="13" t="n">
        <f aca="false">IF(COUNTIFS($B$2:B1745,B1745,$T$2:T1745,T1745)=1,1,0)</f>
        <v>0</v>
      </c>
    </row>
    <row r="1746" customFormat="false" ht="15" hidden="false" customHeight="false" outlineLevel="0" collapsed="false">
      <c r="A1746" s="13" t="s">
        <v>2978</v>
      </c>
      <c r="B1746" s="13" t="s">
        <v>2120</v>
      </c>
      <c r="C1746" s="13" t="n">
        <v>590</v>
      </c>
      <c r="D1746" s="13" t="n">
        <v>1</v>
      </c>
      <c r="E1746" s="13" t="n">
        <v>589</v>
      </c>
      <c r="F1746" s="13" t="s">
        <v>5288</v>
      </c>
      <c r="G1746" s="13" t="s">
        <v>5289</v>
      </c>
      <c r="H1746" s="13" t="s">
        <v>5292</v>
      </c>
      <c r="I1746" s="13" t="s">
        <v>5289</v>
      </c>
      <c r="J1746" s="13" t="s">
        <v>5289</v>
      </c>
      <c r="K1746" s="13" t="s">
        <v>5289</v>
      </c>
      <c r="L1746" s="13" t="s">
        <v>6219</v>
      </c>
      <c r="M1746" s="13"/>
      <c r="N1746" s="13" t="n">
        <v>3423222118372</v>
      </c>
      <c r="O1746" s="13"/>
      <c r="P1746" s="13" t="s">
        <v>5291</v>
      </c>
      <c r="Q1746" s="13" t="s">
        <v>5289</v>
      </c>
      <c r="R1746" s="13" t="s">
        <v>5292</v>
      </c>
      <c r="S1746" s="13" t="s">
        <v>5293</v>
      </c>
      <c r="T1746" s="13" t="s">
        <v>4</v>
      </c>
      <c r="U1746" s="13" t="s">
        <v>43</v>
      </c>
      <c r="V1746" s="13" t="n">
        <f aca="false">IF(COUNTIF($B$2:B1746,B1746)=1,1,0)</f>
        <v>0</v>
      </c>
      <c r="W1746" s="13" t="n">
        <f aca="false">IF(COUNTIFS($B$2:B1746,B1746,$T$2:T1746,T1746)=1,1,0)</f>
        <v>0</v>
      </c>
    </row>
    <row r="1747" customFormat="false" ht="15" hidden="false" customHeight="false" outlineLevel="0" collapsed="false">
      <c r="A1747" s="13" t="s">
        <v>1512</v>
      </c>
      <c r="B1747" s="13" t="s">
        <v>153</v>
      </c>
      <c r="C1747" s="13" t="n">
        <v>590</v>
      </c>
      <c r="D1747" s="13" t="n">
        <v>1</v>
      </c>
      <c r="E1747" s="13" t="n">
        <v>587.81</v>
      </c>
      <c r="F1747" s="13" t="s">
        <v>5288</v>
      </c>
      <c r="G1747" s="13" t="s">
        <v>5289</v>
      </c>
      <c r="H1747" s="13" t="s">
        <v>5292</v>
      </c>
      <c r="I1747" s="13" t="s">
        <v>5289</v>
      </c>
      <c r="J1747" s="13" t="s">
        <v>5289</v>
      </c>
      <c r="K1747" s="13" t="s">
        <v>5289</v>
      </c>
      <c r="L1747" s="13" t="s">
        <v>6014</v>
      </c>
      <c r="M1747" s="13"/>
      <c r="N1747" s="13" t="n">
        <v>8011003861224</v>
      </c>
      <c r="O1747" s="13"/>
      <c r="P1747" s="13" t="s">
        <v>5291</v>
      </c>
      <c r="Q1747" s="13" t="s">
        <v>5289</v>
      </c>
      <c r="R1747" s="13" t="s">
        <v>5292</v>
      </c>
      <c r="S1747" s="13" t="s">
        <v>5293</v>
      </c>
      <c r="T1747" s="13" t="s">
        <v>4</v>
      </c>
      <c r="U1747" s="13" t="s">
        <v>43</v>
      </c>
      <c r="V1747" s="13" t="n">
        <f aca="false">IF(COUNTIF($B$2:B1747,B1747)=1,1,0)</f>
        <v>0</v>
      </c>
      <c r="W1747" s="13" t="n">
        <f aca="false">IF(COUNTIFS($B$2:B1747,B1747,$T$2:T1747,T1747)=1,1,0)</f>
        <v>0</v>
      </c>
    </row>
    <row r="1748" customFormat="false" ht="15" hidden="false" customHeight="false" outlineLevel="0" collapsed="false">
      <c r="A1748" s="13" t="s">
        <v>720</v>
      </c>
      <c r="B1748" s="13" t="s">
        <v>92</v>
      </c>
      <c r="C1748" s="13" t="n">
        <v>590</v>
      </c>
      <c r="D1748" s="13" t="n">
        <v>1</v>
      </c>
      <c r="E1748" s="13" t="n">
        <v>587.49</v>
      </c>
      <c r="F1748" s="13" t="s">
        <v>5288</v>
      </c>
      <c r="G1748" s="13" t="s">
        <v>5289</v>
      </c>
      <c r="H1748" s="13" t="s">
        <v>5289</v>
      </c>
      <c r="I1748" s="13" t="s">
        <v>5289</v>
      </c>
      <c r="J1748" s="13" t="s">
        <v>5289</v>
      </c>
      <c r="K1748" s="13" t="s">
        <v>5289</v>
      </c>
      <c r="L1748" s="13" t="s">
        <v>6220</v>
      </c>
      <c r="M1748" s="13"/>
      <c r="N1748" s="13" t="n">
        <v>3616303445577</v>
      </c>
      <c r="O1748" s="13"/>
      <c r="P1748" s="13" t="s">
        <v>5291</v>
      </c>
      <c r="Q1748" s="13" t="s">
        <v>5289</v>
      </c>
      <c r="R1748" s="13" t="s">
        <v>5292</v>
      </c>
      <c r="S1748" s="13" t="s">
        <v>5293</v>
      </c>
      <c r="T1748" s="13" t="s">
        <v>4</v>
      </c>
      <c r="U1748" s="13" t="s">
        <v>43</v>
      </c>
      <c r="V1748" s="13" t="n">
        <f aca="false">IF(COUNTIF($B$2:B1748,B1748)=1,1,0)</f>
        <v>0</v>
      </c>
      <c r="W1748" s="13" t="n">
        <f aca="false">IF(COUNTIFS($B$2:B1748,B1748,$T$2:T1748,T1748)=1,1,0)</f>
        <v>0</v>
      </c>
    </row>
    <row r="1749" customFormat="false" ht="15" hidden="false" customHeight="false" outlineLevel="0" collapsed="false">
      <c r="A1749" s="13" t="s">
        <v>1598</v>
      </c>
      <c r="B1749" s="13" t="s">
        <v>42</v>
      </c>
      <c r="C1749" s="13" t="n">
        <v>590</v>
      </c>
      <c r="D1749" s="13" t="n">
        <v>1</v>
      </c>
      <c r="E1749" s="13" t="n">
        <v>587</v>
      </c>
      <c r="F1749" s="13" t="s">
        <v>5288</v>
      </c>
      <c r="G1749" s="13" t="s">
        <v>5289</v>
      </c>
      <c r="H1749" s="13" t="s">
        <v>5289</v>
      </c>
      <c r="I1749" s="13" t="s">
        <v>5289</v>
      </c>
      <c r="J1749" s="13" t="s">
        <v>5289</v>
      </c>
      <c r="K1749" s="13" t="s">
        <v>5289</v>
      </c>
      <c r="L1749" s="13" t="s">
        <v>6221</v>
      </c>
      <c r="M1749" s="13"/>
      <c r="N1749" s="13" t="n">
        <v>8411061934524</v>
      </c>
      <c r="O1749" s="13"/>
      <c r="P1749" s="13" t="s">
        <v>5291</v>
      </c>
      <c r="Q1749" s="13" t="s">
        <v>5289</v>
      </c>
      <c r="R1749" s="13" t="s">
        <v>5292</v>
      </c>
      <c r="S1749" s="13" t="s">
        <v>5293</v>
      </c>
      <c r="T1749" s="13" t="s">
        <v>4</v>
      </c>
      <c r="U1749" s="13" t="s">
        <v>43</v>
      </c>
      <c r="V1749" s="13" t="n">
        <f aca="false">IF(COUNTIF($B$2:B1749,B1749)=1,1,0)</f>
        <v>0</v>
      </c>
      <c r="W1749" s="13" t="n">
        <f aca="false">IF(COUNTIFS($B$2:B1749,B1749,$T$2:T1749,T1749)=1,1,0)</f>
        <v>0</v>
      </c>
    </row>
    <row r="1750" customFormat="false" ht="15" hidden="false" customHeight="false" outlineLevel="0" collapsed="false">
      <c r="A1750" s="13" t="s">
        <v>1609</v>
      </c>
      <c r="B1750" s="13" t="s">
        <v>362</v>
      </c>
      <c r="C1750" s="13" t="n">
        <v>580</v>
      </c>
      <c r="D1750" s="13" t="n">
        <v>1</v>
      </c>
      <c r="E1750" s="13" t="n">
        <v>583.8</v>
      </c>
      <c r="F1750" s="13" t="s">
        <v>5288</v>
      </c>
      <c r="G1750" s="13" t="s">
        <v>5292</v>
      </c>
      <c r="H1750" s="13" t="s">
        <v>5289</v>
      </c>
      <c r="I1750" s="13" t="s">
        <v>5289</v>
      </c>
      <c r="J1750" s="13" t="s">
        <v>5289</v>
      </c>
      <c r="K1750" s="13" t="s">
        <v>5289</v>
      </c>
      <c r="L1750" s="13" t="s">
        <v>6199</v>
      </c>
      <c r="M1750" s="13"/>
      <c r="N1750" s="13" t="n">
        <v>3386460132763</v>
      </c>
      <c r="O1750" s="13"/>
      <c r="P1750" s="13" t="s">
        <v>5291</v>
      </c>
      <c r="Q1750" s="13" t="s">
        <v>5289</v>
      </c>
      <c r="R1750" s="13" t="s">
        <v>5292</v>
      </c>
      <c r="S1750" s="13" t="s">
        <v>5293</v>
      </c>
      <c r="T1750" s="13" t="s">
        <v>4</v>
      </c>
      <c r="U1750" s="13" t="s">
        <v>43</v>
      </c>
      <c r="V1750" s="13" t="n">
        <f aca="false">IF(COUNTIF($B$2:B1750,B1750)=1,1,0)</f>
        <v>0</v>
      </c>
      <c r="W1750" s="13" t="n">
        <f aca="false">IF(COUNTIFS($B$2:B1750,B1750,$T$2:T1750,T1750)=1,1,0)</f>
        <v>0</v>
      </c>
    </row>
    <row r="1751" customFormat="false" ht="15" hidden="false" customHeight="false" outlineLevel="0" collapsed="false">
      <c r="A1751" s="13" t="s">
        <v>1610</v>
      </c>
      <c r="B1751" s="13" t="s">
        <v>74</v>
      </c>
      <c r="C1751" s="13" t="n">
        <v>580</v>
      </c>
      <c r="D1751" s="13" t="n">
        <v>2</v>
      </c>
      <c r="E1751" s="13" t="n">
        <v>291.27</v>
      </c>
      <c r="F1751" s="13" t="s">
        <v>5288</v>
      </c>
      <c r="G1751" s="13" t="s">
        <v>5289</v>
      </c>
      <c r="H1751" s="13" t="s">
        <v>5292</v>
      </c>
      <c r="I1751" s="13" t="s">
        <v>5289</v>
      </c>
      <c r="J1751" s="13" t="s">
        <v>5289</v>
      </c>
      <c r="K1751" s="13" t="s">
        <v>5289</v>
      </c>
      <c r="L1751" s="13" t="s">
        <v>5901</v>
      </c>
      <c r="M1751" s="13"/>
      <c r="N1751" s="13" t="n">
        <v>7640372090037</v>
      </c>
      <c r="O1751" s="13"/>
      <c r="P1751" s="13" t="s">
        <v>5291</v>
      </c>
      <c r="Q1751" s="13" t="s">
        <v>5289</v>
      </c>
      <c r="R1751" s="13" t="s">
        <v>5292</v>
      </c>
      <c r="S1751" s="13" t="s">
        <v>5293</v>
      </c>
      <c r="T1751" s="13" t="s">
        <v>4</v>
      </c>
      <c r="U1751" s="13" t="s">
        <v>43</v>
      </c>
      <c r="V1751" s="13" t="n">
        <f aca="false">IF(COUNTIF($B$2:B1751,B1751)=1,1,0)</f>
        <v>0</v>
      </c>
      <c r="W1751" s="13" t="n">
        <f aca="false">IF(COUNTIFS($B$2:B1751,B1751,$T$2:T1751,T1751)=1,1,0)</f>
        <v>0</v>
      </c>
    </row>
    <row r="1752" customFormat="false" ht="15" hidden="false" customHeight="false" outlineLevel="0" collapsed="false">
      <c r="A1752" s="13" t="s">
        <v>4471</v>
      </c>
      <c r="B1752" s="13" t="s">
        <v>2134</v>
      </c>
      <c r="C1752" s="13" t="n">
        <v>580</v>
      </c>
      <c r="D1752" s="13" t="n">
        <v>1</v>
      </c>
      <c r="E1752" s="13" t="n">
        <v>581.9</v>
      </c>
      <c r="F1752" s="13" t="s">
        <v>5288</v>
      </c>
      <c r="G1752" s="13" t="s">
        <v>5292</v>
      </c>
      <c r="H1752" s="13" t="s">
        <v>5289</v>
      </c>
      <c r="I1752" s="13" t="s">
        <v>5289</v>
      </c>
      <c r="J1752" s="13" t="s">
        <v>5289</v>
      </c>
      <c r="K1752" s="13" t="s">
        <v>5289</v>
      </c>
      <c r="L1752" s="13" t="s">
        <v>6222</v>
      </c>
      <c r="M1752" s="13"/>
      <c r="N1752" s="13" t="n">
        <v>3386460142175</v>
      </c>
      <c r="O1752" s="13"/>
      <c r="P1752" s="13" t="s">
        <v>5291</v>
      </c>
      <c r="Q1752" s="13" t="s">
        <v>5289</v>
      </c>
      <c r="R1752" s="13" t="s">
        <v>5292</v>
      </c>
      <c r="S1752" s="13" t="s">
        <v>5293</v>
      </c>
      <c r="T1752" s="13" t="s">
        <v>4</v>
      </c>
      <c r="U1752" s="13" t="s">
        <v>43</v>
      </c>
      <c r="V1752" s="13" t="n">
        <f aca="false">IF(COUNTIF($B$2:B1752,B1752)=1,1,0)</f>
        <v>0</v>
      </c>
      <c r="W1752" s="13" t="n">
        <f aca="false">IF(COUNTIFS($B$2:B1752,B1752,$T$2:T1752,T1752)=1,1,0)</f>
        <v>0</v>
      </c>
    </row>
    <row r="1753" customFormat="false" ht="15" hidden="false" customHeight="false" outlineLevel="0" collapsed="false">
      <c r="A1753" s="13" t="s">
        <v>1608</v>
      </c>
      <c r="B1753" s="13" t="s">
        <v>105</v>
      </c>
      <c r="C1753" s="13" t="n">
        <v>580</v>
      </c>
      <c r="D1753" s="13" t="n">
        <v>2</v>
      </c>
      <c r="E1753" s="13" t="n">
        <v>289.34</v>
      </c>
      <c r="F1753" s="13" t="s">
        <v>5288</v>
      </c>
      <c r="G1753" s="13" t="s">
        <v>5292</v>
      </c>
      <c r="H1753" s="13" t="s">
        <v>5289</v>
      </c>
      <c r="I1753" s="13" t="s">
        <v>5289</v>
      </c>
      <c r="J1753" s="13" t="s">
        <v>5289</v>
      </c>
      <c r="K1753" s="13" t="s">
        <v>5289</v>
      </c>
      <c r="L1753" s="13" t="s">
        <v>6223</v>
      </c>
      <c r="M1753" s="13"/>
      <c r="N1753" s="13" t="n">
        <v>3616301623410</v>
      </c>
      <c r="O1753" s="13"/>
      <c r="P1753" s="13" t="s">
        <v>5291</v>
      </c>
      <c r="Q1753" s="13" t="s">
        <v>5289</v>
      </c>
      <c r="R1753" s="13" t="s">
        <v>5292</v>
      </c>
      <c r="S1753" s="13" t="s">
        <v>5293</v>
      </c>
      <c r="T1753" s="13" t="s">
        <v>4</v>
      </c>
      <c r="U1753" s="13" t="s">
        <v>43</v>
      </c>
      <c r="V1753" s="13" t="n">
        <f aca="false">IF(COUNTIF($B$2:B1753,B1753)=1,1,0)</f>
        <v>0</v>
      </c>
      <c r="W1753" s="13" t="n">
        <f aca="false">IF(COUNTIFS($B$2:B1753,B1753,$T$2:T1753,T1753)=1,1,0)</f>
        <v>0</v>
      </c>
    </row>
    <row r="1754" customFormat="false" ht="15" hidden="false" customHeight="false" outlineLevel="0" collapsed="false">
      <c r="A1754" s="13" t="s">
        <v>1607</v>
      </c>
      <c r="B1754" s="13" t="s">
        <v>42</v>
      </c>
      <c r="C1754" s="13" t="n">
        <v>580</v>
      </c>
      <c r="D1754" s="13" t="n">
        <v>1</v>
      </c>
      <c r="E1754" s="13" t="n">
        <v>576.75</v>
      </c>
      <c r="F1754" s="13" t="s">
        <v>5288</v>
      </c>
      <c r="G1754" s="13" t="s">
        <v>5292</v>
      </c>
      <c r="H1754" s="13" t="s">
        <v>5292</v>
      </c>
      <c r="I1754" s="13" t="s">
        <v>5289</v>
      </c>
      <c r="J1754" s="13" t="s">
        <v>5289</v>
      </c>
      <c r="K1754" s="13" t="s">
        <v>5289</v>
      </c>
      <c r="L1754" s="13" t="s">
        <v>6224</v>
      </c>
      <c r="M1754" s="13"/>
      <c r="N1754" s="13" t="n">
        <v>8411061055182</v>
      </c>
      <c r="O1754" s="13"/>
      <c r="P1754" s="13" t="s">
        <v>5291</v>
      </c>
      <c r="Q1754" s="13" t="s">
        <v>5289</v>
      </c>
      <c r="R1754" s="13" t="s">
        <v>5292</v>
      </c>
      <c r="S1754" s="13" t="s">
        <v>5293</v>
      </c>
      <c r="T1754" s="13" t="s">
        <v>4</v>
      </c>
      <c r="U1754" s="13" t="s">
        <v>43</v>
      </c>
      <c r="V1754" s="13" t="n">
        <f aca="false">IF(COUNTIF($B$2:B1754,B1754)=1,1,0)</f>
        <v>0</v>
      </c>
      <c r="W1754" s="13" t="n">
        <f aca="false">IF(COUNTIFS($B$2:B1754,B1754,$T$2:T1754,T1754)=1,1,0)</f>
        <v>0</v>
      </c>
    </row>
    <row r="1755" customFormat="false" ht="15" hidden="false" customHeight="false" outlineLevel="0" collapsed="false">
      <c r="A1755" s="13" t="s">
        <v>4010</v>
      </c>
      <c r="B1755" s="13" t="s">
        <v>2111</v>
      </c>
      <c r="C1755" s="13" t="n">
        <v>570</v>
      </c>
      <c r="D1755" s="13" t="n">
        <v>1</v>
      </c>
      <c r="E1755" s="13" t="n">
        <v>573.52</v>
      </c>
      <c r="F1755" s="13" t="s">
        <v>5325</v>
      </c>
      <c r="G1755" s="13" t="s">
        <v>5289</v>
      </c>
      <c r="H1755" s="13" t="s">
        <v>5292</v>
      </c>
      <c r="I1755" s="13" t="s">
        <v>5289</v>
      </c>
      <c r="J1755" s="13" t="s">
        <v>5289</v>
      </c>
      <c r="K1755" s="13" t="s">
        <v>5289</v>
      </c>
      <c r="L1755" s="13" t="s">
        <v>6225</v>
      </c>
      <c r="M1755" s="13"/>
      <c r="N1755" s="13" t="n">
        <v>3386460097321</v>
      </c>
      <c r="O1755" s="13"/>
      <c r="P1755" s="13" t="s">
        <v>5291</v>
      </c>
      <c r="Q1755" s="13" t="s">
        <v>5289</v>
      </c>
      <c r="R1755" s="13" t="s">
        <v>5292</v>
      </c>
      <c r="S1755" s="13" t="s">
        <v>5293</v>
      </c>
      <c r="T1755" s="13" t="s">
        <v>4</v>
      </c>
      <c r="U1755" s="13" t="s">
        <v>43</v>
      </c>
      <c r="V1755" s="13" t="n">
        <f aca="false">IF(COUNTIF($B$2:B1755,B1755)=1,1,0)</f>
        <v>0</v>
      </c>
      <c r="W1755" s="13" t="n">
        <f aca="false">IF(COUNTIFS($B$2:B1755,B1755,$T$2:T1755,T1755)=1,1,0)</f>
        <v>0</v>
      </c>
    </row>
    <row r="1756" customFormat="false" ht="15" hidden="false" customHeight="false" outlineLevel="0" collapsed="false">
      <c r="A1756" s="13" t="s">
        <v>1619</v>
      </c>
      <c r="B1756" s="13" t="s">
        <v>45</v>
      </c>
      <c r="C1756" s="13" t="n">
        <v>570</v>
      </c>
      <c r="D1756" s="13" t="n">
        <v>1</v>
      </c>
      <c r="E1756" s="13" t="n">
        <v>571.87</v>
      </c>
      <c r="F1756" s="13" t="s">
        <v>5325</v>
      </c>
      <c r="G1756" s="13" t="s">
        <v>5292</v>
      </c>
      <c r="H1756" s="13" t="s">
        <v>5292</v>
      </c>
      <c r="I1756" s="13" t="s">
        <v>5289</v>
      </c>
      <c r="J1756" s="13" t="s">
        <v>5289</v>
      </c>
      <c r="K1756" s="13" t="s">
        <v>5289</v>
      </c>
      <c r="L1756" s="13" t="s">
        <v>5986</v>
      </c>
      <c r="M1756" s="13"/>
      <c r="N1756" s="13" t="n">
        <v>8435415030908</v>
      </c>
      <c r="O1756" s="13"/>
      <c r="P1756" s="13" t="s">
        <v>5291</v>
      </c>
      <c r="Q1756" s="13" t="s">
        <v>5289</v>
      </c>
      <c r="R1756" s="13" t="s">
        <v>5292</v>
      </c>
      <c r="S1756" s="13" t="s">
        <v>5293</v>
      </c>
      <c r="T1756" s="13" t="s">
        <v>4</v>
      </c>
      <c r="U1756" s="13" t="s">
        <v>43</v>
      </c>
      <c r="V1756" s="13" t="n">
        <f aca="false">IF(COUNTIF($B$2:B1756,B1756)=1,1,0)</f>
        <v>0</v>
      </c>
      <c r="W1756" s="13" t="n">
        <f aca="false">IF(COUNTIFS($B$2:B1756,B1756,$T$2:T1756,T1756)=1,1,0)</f>
        <v>0</v>
      </c>
    </row>
    <row r="1757" customFormat="false" ht="15" hidden="false" customHeight="false" outlineLevel="0" collapsed="false">
      <c r="A1757" s="13" t="s">
        <v>1618</v>
      </c>
      <c r="B1757" s="13" t="s">
        <v>153</v>
      </c>
      <c r="C1757" s="13" t="n">
        <v>570</v>
      </c>
      <c r="D1757" s="13" t="n">
        <v>1</v>
      </c>
      <c r="E1757" s="13" t="n">
        <v>569.63</v>
      </c>
      <c r="F1757" s="13" t="s">
        <v>5288</v>
      </c>
      <c r="G1757" s="13" t="s">
        <v>5289</v>
      </c>
      <c r="H1757" s="13" t="s">
        <v>5292</v>
      </c>
      <c r="I1757" s="13" t="s">
        <v>5289</v>
      </c>
      <c r="J1757" s="13" t="s">
        <v>5289</v>
      </c>
      <c r="K1757" s="13" t="s">
        <v>5289</v>
      </c>
      <c r="L1757" s="13" t="s">
        <v>6226</v>
      </c>
      <c r="M1757" s="13"/>
      <c r="N1757" s="13" t="n">
        <v>8011003845354</v>
      </c>
      <c r="O1757" s="13"/>
      <c r="P1757" s="13" t="s">
        <v>5291</v>
      </c>
      <c r="Q1757" s="13" t="s">
        <v>5289</v>
      </c>
      <c r="R1757" s="13" t="s">
        <v>5292</v>
      </c>
      <c r="S1757" s="13" t="s">
        <v>5293</v>
      </c>
      <c r="T1757" s="13" t="s">
        <v>4</v>
      </c>
      <c r="U1757" s="13" t="s">
        <v>43</v>
      </c>
      <c r="V1757" s="13" t="n">
        <f aca="false">IF(COUNTIF($B$2:B1757,B1757)=1,1,0)</f>
        <v>0</v>
      </c>
      <c r="W1757" s="13" t="n">
        <f aca="false">IF(COUNTIFS($B$2:B1757,B1757,$T$2:T1757,T1757)=1,1,0)</f>
        <v>0</v>
      </c>
    </row>
    <row r="1758" customFormat="false" ht="15" hidden="false" customHeight="false" outlineLevel="0" collapsed="false">
      <c r="A1758" s="13" t="s">
        <v>3964</v>
      </c>
      <c r="B1758" s="13" t="s">
        <v>2134</v>
      </c>
      <c r="C1758" s="13" t="n">
        <v>570</v>
      </c>
      <c r="D1758" s="13" t="n">
        <v>1</v>
      </c>
      <c r="E1758" s="13" t="n">
        <v>567.37</v>
      </c>
      <c r="F1758" s="13" t="s">
        <v>5325</v>
      </c>
      <c r="G1758" s="13" t="s">
        <v>5292</v>
      </c>
      <c r="H1758" s="13" t="s">
        <v>5292</v>
      </c>
      <c r="I1758" s="13" t="s">
        <v>5289</v>
      </c>
      <c r="J1758" s="13" t="s">
        <v>5289</v>
      </c>
      <c r="K1758" s="13" t="s">
        <v>5289</v>
      </c>
      <c r="L1758" s="13" t="s">
        <v>6227</v>
      </c>
      <c r="M1758" s="13"/>
      <c r="N1758" s="13" t="n">
        <v>3386460123501</v>
      </c>
      <c r="O1758" s="13"/>
      <c r="P1758" s="13" t="s">
        <v>5291</v>
      </c>
      <c r="Q1758" s="13" t="s">
        <v>5289</v>
      </c>
      <c r="R1758" s="13" t="s">
        <v>5292</v>
      </c>
      <c r="S1758" s="13" t="s">
        <v>5293</v>
      </c>
      <c r="T1758" s="13" t="s">
        <v>4</v>
      </c>
      <c r="U1758" s="13" t="s">
        <v>43</v>
      </c>
      <c r="V1758" s="13" t="n">
        <f aca="false">IF(COUNTIF($B$2:B1758,B1758)=1,1,0)</f>
        <v>0</v>
      </c>
      <c r="W1758" s="13" t="n">
        <f aca="false">IF(COUNTIFS($B$2:B1758,B1758,$T$2:T1758,T1758)=1,1,0)</f>
        <v>0</v>
      </c>
    </row>
    <row r="1759" customFormat="false" ht="15" hidden="false" customHeight="false" outlineLevel="0" collapsed="false">
      <c r="A1759" s="13" t="s">
        <v>1620</v>
      </c>
      <c r="B1759" s="13" t="s">
        <v>195</v>
      </c>
      <c r="C1759" s="13" t="n">
        <v>570</v>
      </c>
      <c r="D1759" s="13" t="n">
        <v>1</v>
      </c>
      <c r="E1759" s="13" t="n">
        <v>566.19</v>
      </c>
      <c r="F1759" s="13" t="s">
        <v>5325</v>
      </c>
      <c r="G1759" s="13" t="s">
        <v>5292</v>
      </c>
      <c r="H1759" s="13" t="s">
        <v>5292</v>
      </c>
      <c r="I1759" s="13" t="s">
        <v>5289</v>
      </c>
      <c r="J1759" s="13" t="s">
        <v>5289</v>
      </c>
      <c r="K1759" s="13" t="s">
        <v>5289</v>
      </c>
      <c r="L1759" s="13" t="s">
        <v>6228</v>
      </c>
      <c r="M1759" s="13"/>
      <c r="N1759" s="13" t="n">
        <v>3616301975748</v>
      </c>
      <c r="O1759" s="13"/>
      <c r="P1759" s="13" t="s">
        <v>5291</v>
      </c>
      <c r="Q1759" s="13" t="s">
        <v>5289</v>
      </c>
      <c r="R1759" s="13" t="s">
        <v>5292</v>
      </c>
      <c r="S1759" s="13" t="s">
        <v>5293</v>
      </c>
      <c r="T1759" s="13" t="s">
        <v>4</v>
      </c>
      <c r="U1759" s="13" t="s">
        <v>43</v>
      </c>
      <c r="V1759" s="13" t="n">
        <f aca="false">IF(COUNTIF($B$2:B1759,B1759)=1,1,0)</f>
        <v>0</v>
      </c>
      <c r="W1759" s="13" t="n">
        <f aca="false">IF(COUNTIFS($B$2:B1759,B1759,$T$2:T1759,T1759)=1,1,0)</f>
        <v>0</v>
      </c>
    </row>
    <row r="1760" customFormat="false" ht="15" hidden="false" customHeight="false" outlineLevel="0" collapsed="false">
      <c r="A1760" s="13" t="s">
        <v>1461</v>
      </c>
      <c r="B1760" s="13" t="s">
        <v>153</v>
      </c>
      <c r="C1760" s="13" t="n">
        <v>560</v>
      </c>
      <c r="D1760" s="13" t="n">
        <v>1</v>
      </c>
      <c r="E1760" s="13" t="n">
        <v>562.76</v>
      </c>
      <c r="F1760" s="13" t="s">
        <v>5325</v>
      </c>
      <c r="G1760" s="13" t="s">
        <v>5292</v>
      </c>
      <c r="H1760" s="13" t="s">
        <v>5292</v>
      </c>
      <c r="I1760" s="13" t="s">
        <v>5289</v>
      </c>
      <c r="J1760" s="13" t="s">
        <v>5289</v>
      </c>
      <c r="K1760" s="13" t="s">
        <v>5289</v>
      </c>
      <c r="L1760" s="13" t="s">
        <v>6229</v>
      </c>
      <c r="M1760" s="13"/>
      <c r="N1760" s="13" t="n">
        <v>8011003901630</v>
      </c>
      <c r="O1760" s="13"/>
      <c r="P1760" s="13" t="s">
        <v>5291</v>
      </c>
      <c r="Q1760" s="13" t="s">
        <v>5289</v>
      </c>
      <c r="R1760" s="13" t="s">
        <v>5292</v>
      </c>
      <c r="S1760" s="13" t="s">
        <v>5293</v>
      </c>
      <c r="T1760" s="13" t="s">
        <v>4</v>
      </c>
      <c r="U1760" s="13" t="s">
        <v>43</v>
      </c>
      <c r="V1760" s="13" t="n">
        <f aca="false">IF(COUNTIF($B$2:B1760,B1760)=1,1,0)</f>
        <v>0</v>
      </c>
      <c r="W1760" s="13" t="n">
        <f aca="false">IF(COUNTIFS($B$2:B1760,B1760,$T$2:T1760,T1760)=1,1,0)</f>
        <v>0</v>
      </c>
    </row>
    <row r="1761" customFormat="false" ht="15" hidden="false" customHeight="false" outlineLevel="0" collapsed="false">
      <c r="A1761" s="13" t="s">
        <v>702</v>
      </c>
      <c r="B1761" s="13" t="s">
        <v>45</v>
      </c>
      <c r="C1761" s="13" t="n">
        <v>560</v>
      </c>
      <c r="D1761" s="13" t="n">
        <v>1</v>
      </c>
      <c r="E1761" s="13" t="n">
        <v>559.55</v>
      </c>
      <c r="F1761" s="13" t="s">
        <v>5325</v>
      </c>
      <c r="G1761" s="13" t="s">
        <v>5289</v>
      </c>
      <c r="H1761" s="13" t="s">
        <v>5289</v>
      </c>
      <c r="I1761" s="13" t="s">
        <v>5289</v>
      </c>
      <c r="J1761" s="13" t="s">
        <v>5289</v>
      </c>
      <c r="K1761" s="13" t="s">
        <v>5289</v>
      </c>
      <c r="L1761" s="13" t="s">
        <v>6230</v>
      </c>
      <c r="M1761" s="13"/>
      <c r="N1761" s="13" t="n">
        <v>8435415080408</v>
      </c>
      <c r="O1761" s="13"/>
      <c r="P1761" s="13" t="s">
        <v>5291</v>
      </c>
      <c r="Q1761" s="13" t="s">
        <v>5289</v>
      </c>
      <c r="R1761" s="13" t="s">
        <v>5292</v>
      </c>
      <c r="S1761" s="13" t="s">
        <v>5293</v>
      </c>
      <c r="T1761" s="13" t="s">
        <v>4</v>
      </c>
      <c r="U1761" s="13" t="s">
        <v>43</v>
      </c>
      <c r="V1761" s="13" t="n">
        <f aca="false">IF(COUNTIF($B$2:B1761,B1761)=1,1,0)</f>
        <v>0</v>
      </c>
      <c r="W1761" s="13" t="n">
        <f aca="false">IF(COUNTIFS($B$2:B1761,B1761,$T$2:T1761,T1761)=1,1,0)</f>
        <v>0</v>
      </c>
    </row>
    <row r="1762" customFormat="false" ht="15" hidden="false" customHeight="false" outlineLevel="0" collapsed="false">
      <c r="A1762" s="13" t="s">
        <v>4494</v>
      </c>
      <c r="B1762" s="13" t="s">
        <v>2165</v>
      </c>
      <c r="C1762" s="13" t="n">
        <v>560</v>
      </c>
      <c r="D1762" s="13" t="n">
        <v>2</v>
      </c>
      <c r="E1762" s="13" t="n">
        <v>279</v>
      </c>
      <c r="F1762" s="13" t="s">
        <v>5288</v>
      </c>
      <c r="G1762" s="13" t="s">
        <v>5289</v>
      </c>
      <c r="H1762" s="13" t="s">
        <v>5292</v>
      </c>
      <c r="I1762" s="13" t="s">
        <v>5289</v>
      </c>
      <c r="J1762" s="13" t="s">
        <v>5289</v>
      </c>
      <c r="K1762" s="13" t="s">
        <v>5289</v>
      </c>
      <c r="L1762" s="13" t="s">
        <v>6231</v>
      </c>
      <c r="M1762" s="13"/>
      <c r="N1762" s="13" t="n">
        <v>5060524511333</v>
      </c>
      <c r="O1762" s="13"/>
      <c r="P1762" s="13" t="s">
        <v>5291</v>
      </c>
      <c r="Q1762" s="13" t="s">
        <v>5289</v>
      </c>
      <c r="R1762" s="13" t="s">
        <v>5292</v>
      </c>
      <c r="S1762" s="13" t="s">
        <v>5293</v>
      </c>
      <c r="T1762" s="13" t="s">
        <v>4</v>
      </c>
      <c r="U1762" s="13" t="s">
        <v>85</v>
      </c>
      <c r="V1762" s="13" t="n">
        <f aca="false">IF(COUNTIF($B$2:B1762,B1762)=1,1,0)</f>
        <v>0</v>
      </c>
      <c r="W1762" s="13" t="n">
        <f aca="false">IF(COUNTIFS($B$2:B1762,B1762,$T$2:T1762,T1762)=1,1,0)</f>
        <v>0</v>
      </c>
    </row>
    <row r="1763" customFormat="false" ht="15" hidden="false" customHeight="false" outlineLevel="0" collapsed="false">
      <c r="A1763" s="13" t="s">
        <v>1629</v>
      </c>
      <c r="B1763" s="13" t="s">
        <v>50</v>
      </c>
      <c r="C1763" s="13" t="n">
        <v>550</v>
      </c>
      <c r="D1763" s="13" t="n">
        <v>1</v>
      </c>
      <c r="E1763" s="13" t="n">
        <v>553.52</v>
      </c>
      <c r="F1763" s="13" t="s">
        <v>5288</v>
      </c>
      <c r="G1763" s="13" t="s">
        <v>5289</v>
      </c>
      <c r="H1763" s="13" t="s">
        <v>5292</v>
      </c>
      <c r="I1763" s="13" t="s">
        <v>5289</v>
      </c>
      <c r="J1763" s="13" t="s">
        <v>5289</v>
      </c>
      <c r="K1763" s="13" t="s">
        <v>5289</v>
      </c>
      <c r="L1763" s="13" t="s">
        <v>6052</v>
      </c>
      <c r="M1763" s="13"/>
      <c r="N1763" s="13" t="n">
        <v>3349668545667</v>
      </c>
      <c r="O1763" s="13"/>
      <c r="P1763" s="13" t="s">
        <v>5291</v>
      </c>
      <c r="Q1763" s="13" t="s">
        <v>5289</v>
      </c>
      <c r="R1763" s="13" t="s">
        <v>5292</v>
      </c>
      <c r="S1763" s="13" t="s">
        <v>5293</v>
      </c>
      <c r="T1763" s="13" t="s">
        <v>4</v>
      </c>
      <c r="U1763" s="13" t="s">
        <v>43</v>
      </c>
      <c r="V1763" s="13" t="n">
        <f aca="false">IF(COUNTIF($B$2:B1763,B1763)=1,1,0)</f>
        <v>0</v>
      </c>
      <c r="W1763" s="13" t="n">
        <f aca="false">IF(COUNTIFS($B$2:B1763,B1763,$T$2:T1763,T1763)=1,1,0)</f>
        <v>0</v>
      </c>
    </row>
    <row r="1764" customFormat="false" ht="15" hidden="false" customHeight="false" outlineLevel="0" collapsed="false">
      <c r="A1764" s="13" t="s">
        <v>1630</v>
      </c>
      <c r="B1764" s="13" t="s">
        <v>50</v>
      </c>
      <c r="C1764" s="13" t="n">
        <v>550</v>
      </c>
      <c r="D1764" s="13" t="n">
        <v>1</v>
      </c>
      <c r="E1764" s="13" t="n">
        <v>553.52</v>
      </c>
      <c r="F1764" s="13" t="s">
        <v>5288</v>
      </c>
      <c r="G1764" s="13" t="s">
        <v>5289</v>
      </c>
      <c r="H1764" s="13" t="s">
        <v>5289</v>
      </c>
      <c r="I1764" s="13" t="s">
        <v>5289</v>
      </c>
      <c r="J1764" s="13" t="s">
        <v>5289</v>
      </c>
      <c r="K1764" s="13" t="s">
        <v>5289</v>
      </c>
      <c r="L1764" s="13" t="s">
        <v>6232</v>
      </c>
      <c r="M1764" s="13"/>
      <c r="N1764" s="13" t="n">
        <v>3349668555093</v>
      </c>
      <c r="O1764" s="13"/>
      <c r="P1764" s="13" t="s">
        <v>5291</v>
      </c>
      <c r="Q1764" s="13" t="s">
        <v>5289</v>
      </c>
      <c r="R1764" s="13" t="s">
        <v>5292</v>
      </c>
      <c r="S1764" s="13" t="s">
        <v>5293</v>
      </c>
      <c r="T1764" s="13" t="s">
        <v>4</v>
      </c>
      <c r="U1764" s="13" t="s">
        <v>43</v>
      </c>
      <c r="V1764" s="13" t="n">
        <f aca="false">IF(COUNTIF($B$2:B1764,B1764)=1,1,0)</f>
        <v>0</v>
      </c>
      <c r="W1764" s="13" t="n">
        <f aca="false">IF(COUNTIFS($B$2:B1764,B1764,$T$2:T1764,T1764)=1,1,0)</f>
        <v>0</v>
      </c>
    </row>
    <row r="1765" customFormat="false" ht="15" hidden="false" customHeight="false" outlineLevel="0" collapsed="false">
      <c r="A1765" s="13" t="s">
        <v>4503</v>
      </c>
      <c r="B1765" s="13" t="s">
        <v>2266</v>
      </c>
      <c r="C1765" s="13" t="n">
        <v>550</v>
      </c>
      <c r="D1765" s="13" t="n">
        <v>1</v>
      </c>
      <c r="E1765" s="13" t="n">
        <v>552.21</v>
      </c>
      <c r="F1765" s="13" t="s">
        <v>5288</v>
      </c>
      <c r="G1765" s="13" t="s">
        <v>5292</v>
      </c>
      <c r="H1765" s="13" t="s">
        <v>5292</v>
      </c>
      <c r="I1765" s="13" t="s">
        <v>5289</v>
      </c>
      <c r="J1765" s="13" t="s">
        <v>5289</v>
      </c>
      <c r="K1765" s="13" t="s">
        <v>5289</v>
      </c>
      <c r="L1765" s="13" t="s">
        <v>6233</v>
      </c>
      <c r="M1765" s="13"/>
      <c r="N1765" s="13" t="n">
        <v>3386460149822</v>
      </c>
      <c r="O1765" s="13"/>
      <c r="P1765" s="13" t="s">
        <v>5291</v>
      </c>
      <c r="Q1765" s="13" t="s">
        <v>5289</v>
      </c>
      <c r="R1765" s="13" t="s">
        <v>5292</v>
      </c>
      <c r="S1765" s="13" t="s">
        <v>5293</v>
      </c>
      <c r="T1765" s="13" t="s">
        <v>4</v>
      </c>
      <c r="U1765" s="13" t="s">
        <v>43</v>
      </c>
      <c r="V1765" s="13" t="n">
        <f aca="false">IF(COUNTIF($B$2:B1765,B1765)=1,1,0)</f>
        <v>1</v>
      </c>
      <c r="W1765" s="13" t="n">
        <f aca="false">IF(COUNTIFS($B$2:B1765,B1765,$T$2:T1765,T1765)=1,1,0)</f>
        <v>1</v>
      </c>
    </row>
    <row r="1766" customFormat="false" ht="15" hidden="false" customHeight="false" outlineLevel="0" collapsed="false">
      <c r="A1766" s="13" t="s">
        <v>1628</v>
      </c>
      <c r="B1766" s="13" t="s">
        <v>50</v>
      </c>
      <c r="C1766" s="13" t="n">
        <v>550</v>
      </c>
      <c r="D1766" s="13" t="n">
        <v>1</v>
      </c>
      <c r="E1766" s="13" t="n">
        <v>551.08</v>
      </c>
      <c r="F1766" s="13" t="s">
        <v>5325</v>
      </c>
      <c r="G1766" s="13" t="s">
        <v>5292</v>
      </c>
      <c r="H1766" s="13" t="s">
        <v>5289</v>
      </c>
      <c r="I1766" s="13" t="s">
        <v>5289</v>
      </c>
      <c r="J1766" s="13" t="s">
        <v>5289</v>
      </c>
      <c r="K1766" s="13" t="s">
        <v>5289</v>
      </c>
      <c r="L1766" s="13" t="s">
        <v>6234</v>
      </c>
      <c r="M1766" s="13"/>
      <c r="N1766" s="13" t="n">
        <v>3349668641758</v>
      </c>
      <c r="O1766" s="13"/>
      <c r="P1766" s="13" t="s">
        <v>5291</v>
      </c>
      <c r="Q1766" s="13" t="s">
        <v>5289</v>
      </c>
      <c r="R1766" s="13" t="s">
        <v>5292</v>
      </c>
      <c r="S1766" s="13" t="s">
        <v>5293</v>
      </c>
      <c r="T1766" s="13" t="s">
        <v>4</v>
      </c>
      <c r="U1766" s="13" t="s">
        <v>43</v>
      </c>
      <c r="V1766" s="13" t="n">
        <f aca="false">IF(COUNTIF($B$2:B1766,B1766)=1,1,0)</f>
        <v>0</v>
      </c>
      <c r="W1766" s="13" t="n">
        <f aca="false">IF(COUNTIFS($B$2:B1766,B1766,$T$2:T1766,T1766)=1,1,0)</f>
        <v>0</v>
      </c>
    </row>
    <row r="1767" customFormat="false" ht="15" hidden="false" customHeight="false" outlineLevel="0" collapsed="false">
      <c r="A1767" s="13" t="s">
        <v>469</v>
      </c>
      <c r="B1767" s="13" t="s">
        <v>79</v>
      </c>
      <c r="C1767" s="13" t="n">
        <v>550</v>
      </c>
      <c r="D1767" s="13" t="n">
        <v>1</v>
      </c>
      <c r="E1767" s="13" t="n">
        <v>551</v>
      </c>
      <c r="F1767" s="13" t="s">
        <v>5288</v>
      </c>
      <c r="G1767" s="13" t="s">
        <v>5292</v>
      </c>
      <c r="H1767" s="13" t="s">
        <v>5292</v>
      </c>
      <c r="I1767" s="13" t="s">
        <v>5289</v>
      </c>
      <c r="J1767" s="13" t="s">
        <v>5289</v>
      </c>
      <c r="K1767" s="13" t="s">
        <v>5289</v>
      </c>
      <c r="L1767" s="13" t="s">
        <v>6235</v>
      </c>
      <c r="M1767" s="13"/>
      <c r="N1767" s="13" t="n">
        <v>8056669925699</v>
      </c>
      <c r="O1767" s="13"/>
      <c r="P1767" s="13" t="s">
        <v>5291</v>
      </c>
      <c r="Q1767" s="13" t="s">
        <v>5289</v>
      </c>
      <c r="R1767" s="13" t="s">
        <v>5292</v>
      </c>
      <c r="S1767" s="13" t="s">
        <v>5293</v>
      </c>
      <c r="T1767" s="13" t="s">
        <v>4</v>
      </c>
      <c r="U1767" s="13" t="s">
        <v>43</v>
      </c>
      <c r="V1767" s="13" t="n">
        <f aca="false">IF(COUNTIF($B$2:B1767,B1767)=1,1,0)</f>
        <v>0</v>
      </c>
      <c r="W1767" s="13" t="n">
        <f aca="false">IF(COUNTIFS($B$2:B1767,B1767,$T$2:T1767,T1767)=1,1,0)</f>
        <v>0</v>
      </c>
    </row>
    <row r="1768" customFormat="false" ht="15" hidden="false" customHeight="false" outlineLevel="0" collapsed="false">
      <c r="A1768" s="13" t="s">
        <v>6236</v>
      </c>
      <c r="B1768" s="13" t="s">
        <v>2133</v>
      </c>
      <c r="C1768" s="13" t="n">
        <v>550</v>
      </c>
      <c r="D1768" s="13" t="n">
        <v>1</v>
      </c>
      <c r="E1768" s="13" t="n">
        <v>550.55</v>
      </c>
      <c r="F1768" s="13" t="s">
        <v>5325</v>
      </c>
      <c r="G1768" s="13" t="s">
        <v>5292</v>
      </c>
      <c r="H1768" s="13" t="s">
        <v>5292</v>
      </c>
      <c r="I1768" s="13" t="s">
        <v>5289</v>
      </c>
      <c r="J1768" s="13" t="s">
        <v>5289</v>
      </c>
      <c r="K1768" s="13" t="s">
        <v>5289</v>
      </c>
      <c r="L1768" s="13" t="s">
        <v>5992</v>
      </c>
      <c r="M1768" s="13"/>
      <c r="N1768" s="13" t="n">
        <v>783320420627</v>
      </c>
      <c r="O1768" s="13"/>
      <c r="P1768" s="13" t="s">
        <v>5291</v>
      </c>
      <c r="Q1768" s="13" t="s">
        <v>5289</v>
      </c>
      <c r="R1768" s="13" t="s">
        <v>5292</v>
      </c>
      <c r="S1768" s="13" t="s">
        <v>5293</v>
      </c>
      <c r="T1768" s="13" t="s">
        <v>4</v>
      </c>
      <c r="U1768" s="13" t="s">
        <v>43</v>
      </c>
      <c r="V1768" s="13" t="n">
        <f aca="false">IF(COUNTIF($B$2:B1768,B1768)=1,1,0)</f>
        <v>0</v>
      </c>
      <c r="W1768" s="13" t="n">
        <f aca="false">IF(COUNTIFS($B$2:B1768,B1768,$T$2:T1768,T1768)=1,1,0)</f>
        <v>0</v>
      </c>
    </row>
    <row r="1769" customFormat="false" ht="15" hidden="false" customHeight="false" outlineLevel="0" collapsed="false">
      <c r="A1769" s="13" t="s">
        <v>1632</v>
      </c>
      <c r="B1769" s="13" t="s">
        <v>490</v>
      </c>
      <c r="C1769" s="13" t="n">
        <v>550</v>
      </c>
      <c r="D1769" s="13" t="n">
        <v>1</v>
      </c>
      <c r="E1769" s="13" t="n">
        <v>549.2</v>
      </c>
      <c r="F1769" s="13" t="s">
        <v>5325</v>
      </c>
      <c r="G1769" s="13" t="s">
        <v>5289</v>
      </c>
      <c r="H1769" s="13" t="s">
        <v>5292</v>
      </c>
      <c r="I1769" s="13" t="s">
        <v>5289</v>
      </c>
      <c r="J1769" s="13" t="s">
        <v>5289</v>
      </c>
      <c r="K1769" s="13" t="s">
        <v>5289</v>
      </c>
      <c r="L1769" s="13" t="s">
        <v>5923</v>
      </c>
      <c r="M1769" s="13"/>
      <c r="N1769" s="13" t="n">
        <v>8011003839308</v>
      </c>
      <c r="O1769" s="13"/>
      <c r="P1769" s="13" t="s">
        <v>5291</v>
      </c>
      <c r="Q1769" s="13" t="s">
        <v>5289</v>
      </c>
      <c r="R1769" s="13" t="s">
        <v>5292</v>
      </c>
      <c r="S1769" s="13" t="s">
        <v>5293</v>
      </c>
      <c r="T1769" s="13" t="s">
        <v>4</v>
      </c>
      <c r="U1769" s="13" t="s">
        <v>43</v>
      </c>
      <c r="V1769" s="13" t="n">
        <f aca="false">IF(COUNTIF($B$2:B1769,B1769)=1,1,0)</f>
        <v>0</v>
      </c>
      <c r="W1769" s="13" t="n">
        <f aca="false">IF(COUNTIFS($B$2:B1769,B1769,$T$2:T1769,T1769)=1,1,0)</f>
        <v>0</v>
      </c>
    </row>
    <row r="1770" customFormat="false" ht="15" hidden="false" customHeight="false" outlineLevel="0" collapsed="false">
      <c r="A1770" s="13" t="s">
        <v>6237</v>
      </c>
      <c r="B1770" s="13" t="s">
        <v>2134</v>
      </c>
      <c r="C1770" s="13" t="n">
        <v>550</v>
      </c>
      <c r="D1770" s="13" t="n">
        <v>1</v>
      </c>
      <c r="E1770" s="13" t="n">
        <v>548.16</v>
      </c>
      <c r="F1770" s="13" t="s">
        <v>5288</v>
      </c>
      <c r="G1770" s="13" t="s">
        <v>5292</v>
      </c>
      <c r="H1770" s="13" t="s">
        <v>5292</v>
      </c>
      <c r="I1770" s="13" t="s">
        <v>5289</v>
      </c>
      <c r="J1770" s="13" t="s">
        <v>5289</v>
      </c>
      <c r="K1770" s="13" t="s">
        <v>5289</v>
      </c>
      <c r="L1770" s="13" t="s">
        <v>6035</v>
      </c>
      <c r="M1770" s="13"/>
      <c r="N1770" s="13" t="n">
        <v>3386460126571</v>
      </c>
      <c r="O1770" s="13"/>
      <c r="P1770" s="13" t="s">
        <v>5297</v>
      </c>
      <c r="Q1770" s="13" t="s">
        <v>5289</v>
      </c>
      <c r="R1770" s="13" t="s">
        <v>5292</v>
      </c>
      <c r="S1770" s="13" t="s">
        <v>5293</v>
      </c>
      <c r="T1770" s="13" t="s">
        <v>4</v>
      </c>
      <c r="U1770" s="13" t="s">
        <v>43</v>
      </c>
      <c r="V1770" s="13" t="n">
        <f aca="false">IF(COUNTIF($B$2:B1770,B1770)=1,1,0)</f>
        <v>0</v>
      </c>
      <c r="W1770" s="13" t="n">
        <f aca="false">IF(COUNTIFS($B$2:B1770,B1770,$T$2:T1770,T1770)=1,1,0)</f>
        <v>0</v>
      </c>
    </row>
    <row r="1771" customFormat="false" ht="15" hidden="false" customHeight="false" outlineLevel="0" collapsed="false">
      <c r="A1771" s="13" t="s">
        <v>6238</v>
      </c>
      <c r="B1771" s="13" t="s">
        <v>2134</v>
      </c>
      <c r="C1771" s="13" t="n">
        <v>550</v>
      </c>
      <c r="D1771" s="13" t="n">
        <v>1</v>
      </c>
      <c r="E1771" s="13" t="n">
        <v>546.77</v>
      </c>
      <c r="F1771" s="13" t="s">
        <v>5288</v>
      </c>
      <c r="G1771" s="13" t="s">
        <v>5292</v>
      </c>
      <c r="H1771" s="13" t="s">
        <v>5289</v>
      </c>
      <c r="I1771" s="13" t="s">
        <v>5289</v>
      </c>
      <c r="J1771" s="13" t="s">
        <v>5289</v>
      </c>
      <c r="K1771" s="13" t="s">
        <v>5289</v>
      </c>
      <c r="L1771" s="13" t="s">
        <v>6227</v>
      </c>
      <c r="M1771" s="13"/>
      <c r="N1771" s="13" t="n">
        <v>3386460123501</v>
      </c>
      <c r="O1771" s="13"/>
      <c r="P1771" s="13" t="s">
        <v>5291</v>
      </c>
      <c r="Q1771" s="13" t="s">
        <v>5289</v>
      </c>
      <c r="R1771" s="13" t="s">
        <v>5292</v>
      </c>
      <c r="S1771" s="13" t="s">
        <v>5293</v>
      </c>
      <c r="T1771" s="13" t="s">
        <v>4</v>
      </c>
      <c r="U1771" s="13" t="s">
        <v>43</v>
      </c>
      <c r="V1771" s="13" t="n">
        <f aca="false">IF(COUNTIF($B$2:B1771,B1771)=1,1,0)</f>
        <v>0</v>
      </c>
      <c r="W1771" s="13" t="n">
        <f aca="false">IF(COUNTIFS($B$2:B1771,B1771,$T$2:T1771,T1771)=1,1,0)</f>
        <v>0</v>
      </c>
    </row>
    <row r="1772" customFormat="false" ht="15" hidden="false" customHeight="false" outlineLevel="0" collapsed="false">
      <c r="A1772" s="13" t="s">
        <v>1631</v>
      </c>
      <c r="B1772" s="13" t="s">
        <v>79</v>
      </c>
      <c r="C1772" s="13" t="n">
        <v>550</v>
      </c>
      <c r="D1772" s="13" t="n">
        <v>1</v>
      </c>
      <c r="E1772" s="13" t="n">
        <v>546</v>
      </c>
      <c r="F1772" s="13" t="s">
        <v>5325</v>
      </c>
      <c r="G1772" s="13" t="s">
        <v>5292</v>
      </c>
      <c r="H1772" s="13" t="s">
        <v>5292</v>
      </c>
      <c r="I1772" s="13" t="s">
        <v>5289</v>
      </c>
      <c r="J1772" s="13" t="s">
        <v>5289</v>
      </c>
      <c r="K1772" s="13" t="s">
        <v>5289</v>
      </c>
      <c r="L1772" s="13" t="s">
        <v>6239</v>
      </c>
      <c r="M1772" s="13"/>
      <c r="N1772" s="13" t="n">
        <v>8057971188185</v>
      </c>
      <c r="O1772" s="13"/>
      <c r="P1772" s="13" t="s">
        <v>5291</v>
      </c>
      <c r="Q1772" s="13" t="s">
        <v>5289</v>
      </c>
      <c r="R1772" s="13" t="s">
        <v>5292</v>
      </c>
      <c r="S1772" s="13" t="s">
        <v>5293</v>
      </c>
      <c r="T1772" s="13" t="s">
        <v>4</v>
      </c>
      <c r="U1772" s="13" t="s">
        <v>43</v>
      </c>
      <c r="V1772" s="13" t="n">
        <f aca="false">IF(COUNTIF($B$2:B1772,B1772)=1,1,0)</f>
        <v>0</v>
      </c>
      <c r="W1772" s="13" t="n">
        <f aca="false">IF(COUNTIFS($B$2:B1772,B1772,$T$2:T1772,T1772)=1,1,0)</f>
        <v>0</v>
      </c>
    </row>
    <row r="1773" customFormat="false" ht="15" hidden="false" customHeight="false" outlineLevel="0" collapsed="false">
      <c r="A1773" s="13" t="s">
        <v>6240</v>
      </c>
      <c r="B1773" s="13" t="s">
        <v>2143</v>
      </c>
      <c r="C1773" s="13" t="n">
        <v>540</v>
      </c>
      <c r="D1773" s="13" t="n">
        <v>1</v>
      </c>
      <c r="E1773" s="13" t="n">
        <v>544.31</v>
      </c>
      <c r="F1773" s="13" t="s">
        <v>5325</v>
      </c>
      <c r="G1773" s="13" t="s">
        <v>5292</v>
      </c>
      <c r="H1773" s="13" t="s">
        <v>5292</v>
      </c>
      <c r="I1773" s="13" t="s">
        <v>5289</v>
      </c>
      <c r="J1773" s="13" t="s">
        <v>5289</v>
      </c>
      <c r="K1773" s="13" t="s">
        <v>5289</v>
      </c>
      <c r="L1773" s="13" t="s">
        <v>5989</v>
      </c>
      <c r="M1773" s="13"/>
      <c r="N1773" s="13" t="n">
        <v>3274872423336</v>
      </c>
      <c r="O1773" s="13"/>
      <c r="P1773" s="13" t="s">
        <v>5291</v>
      </c>
      <c r="Q1773" s="13" t="s">
        <v>5289</v>
      </c>
      <c r="R1773" s="13" t="s">
        <v>5292</v>
      </c>
      <c r="S1773" s="13" t="s">
        <v>5293</v>
      </c>
      <c r="T1773" s="13" t="s">
        <v>4</v>
      </c>
      <c r="U1773" s="13" t="s">
        <v>43</v>
      </c>
      <c r="V1773" s="13" t="n">
        <f aca="false">IF(COUNTIF($B$2:B1773,B1773)=1,1,0)</f>
        <v>0</v>
      </c>
      <c r="W1773" s="13" t="n">
        <f aca="false">IF(COUNTIFS($B$2:B1773,B1773,$T$2:T1773,T1773)=1,1,0)</f>
        <v>0</v>
      </c>
    </row>
    <row r="1774" customFormat="false" ht="15" hidden="false" customHeight="false" outlineLevel="0" collapsed="false">
      <c r="A1774" s="13" t="s">
        <v>813</v>
      </c>
      <c r="B1774" s="13" t="s">
        <v>362</v>
      </c>
      <c r="C1774" s="13" t="n">
        <v>540</v>
      </c>
      <c r="D1774" s="13" t="n">
        <v>1</v>
      </c>
      <c r="E1774" s="13" t="n">
        <v>538.23</v>
      </c>
      <c r="F1774" s="13" t="s">
        <v>5325</v>
      </c>
      <c r="G1774" s="13" t="s">
        <v>5292</v>
      </c>
      <c r="H1774" s="13" t="s">
        <v>5289</v>
      </c>
      <c r="I1774" s="13" t="s">
        <v>5289</v>
      </c>
      <c r="J1774" s="13" t="s">
        <v>5289</v>
      </c>
      <c r="K1774" s="13" t="s">
        <v>5289</v>
      </c>
      <c r="L1774" s="13" t="s">
        <v>6241</v>
      </c>
      <c r="M1774" s="13"/>
      <c r="N1774" s="13" t="n">
        <v>3386460155403</v>
      </c>
      <c r="O1774" s="13"/>
      <c r="P1774" s="13" t="s">
        <v>5291</v>
      </c>
      <c r="Q1774" s="13" t="s">
        <v>5289</v>
      </c>
      <c r="R1774" s="13" t="s">
        <v>5292</v>
      </c>
      <c r="S1774" s="13" t="s">
        <v>5293</v>
      </c>
      <c r="T1774" s="13" t="s">
        <v>4</v>
      </c>
      <c r="U1774" s="13" t="s">
        <v>43</v>
      </c>
      <c r="V1774" s="13" t="n">
        <f aca="false">IF(COUNTIF($B$2:B1774,B1774)=1,1,0)</f>
        <v>0</v>
      </c>
      <c r="W1774" s="13" t="n">
        <f aca="false">IF(COUNTIFS($B$2:B1774,B1774,$T$2:T1774,T1774)=1,1,0)</f>
        <v>0</v>
      </c>
    </row>
    <row r="1775" customFormat="false" ht="15" hidden="false" customHeight="false" outlineLevel="0" collapsed="false">
      <c r="A1775" s="13" t="s">
        <v>1639</v>
      </c>
      <c r="B1775" s="13" t="s">
        <v>111</v>
      </c>
      <c r="C1775" s="13" t="n">
        <v>540</v>
      </c>
      <c r="D1775" s="13" t="n">
        <v>1</v>
      </c>
      <c r="E1775" s="13" t="n">
        <v>538.23</v>
      </c>
      <c r="F1775" s="13" t="s">
        <v>5288</v>
      </c>
      <c r="G1775" s="13" t="s">
        <v>5292</v>
      </c>
      <c r="H1775" s="13" t="s">
        <v>5292</v>
      </c>
      <c r="I1775" s="13" t="s">
        <v>5289</v>
      </c>
      <c r="J1775" s="13" t="s">
        <v>5289</v>
      </c>
      <c r="K1775" s="13" t="s">
        <v>5289</v>
      </c>
      <c r="L1775" s="13" t="s">
        <v>6242</v>
      </c>
      <c r="M1775" s="13"/>
      <c r="N1775" s="13" t="n">
        <v>3595471095329</v>
      </c>
      <c r="O1775" s="13"/>
      <c r="P1775" s="13" t="s">
        <v>5291</v>
      </c>
      <c r="Q1775" s="13" t="s">
        <v>5289</v>
      </c>
      <c r="R1775" s="13" t="s">
        <v>5292</v>
      </c>
      <c r="S1775" s="13" t="s">
        <v>5293</v>
      </c>
      <c r="T1775" s="13" t="s">
        <v>4</v>
      </c>
      <c r="U1775" s="13" t="s">
        <v>43</v>
      </c>
      <c r="V1775" s="13" t="n">
        <f aca="false">IF(COUNTIF($B$2:B1775,B1775)=1,1,0)</f>
        <v>0</v>
      </c>
      <c r="W1775" s="13" t="n">
        <f aca="false">IF(COUNTIFS($B$2:B1775,B1775,$T$2:T1775,T1775)=1,1,0)</f>
        <v>0</v>
      </c>
    </row>
    <row r="1776" customFormat="false" ht="15" hidden="false" customHeight="false" outlineLevel="0" collapsed="false">
      <c r="A1776" s="13" t="s">
        <v>1638</v>
      </c>
      <c r="B1776" s="13" t="s">
        <v>111</v>
      </c>
      <c r="C1776" s="13" t="n">
        <v>540</v>
      </c>
      <c r="D1776" s="13" t="n">
        <v>1</v>
      </c>
      <c r="E1776" s="13" t="n">
        <v>538.23</v>
      </c>
      <c r="F1776" s="13" t="s">
        <v>5288</v>
      </c>
      <c r="G1776" s="13" t="s">
        <v>5292</v>
      </c>
      <c r="H1776" s="13" t="s">
        <v>5289</v>
      </c>
      <c r="I1776" s="13" t="s">
        <v>5289</v>
      </c>
      <c r="J1776" s="13" t="s">
        <v>5289</v>
      </c>
      <c r="K1776" s="13" t="s">
        <v>5289</v>
      </c>
      <c r="L1776" s="13" t="s">
        <v>6243</v>
      </c>
      <c r="M1776" s="13"/>
      <c r="N1776" s="13" t="n">
        <v>3595471095282</v>
      </c>
      <c r="O1776" s="13"/>
      <c r="P1776" s="13" t="s">
        <v>5291</v>
      </c>
      <c r="Q1776" s="13" t="s">
        <v>5289</v>
      </c>
      <c r="R1776" s="13" t="s">
        <v>5292</v>
      </c>
      <c r="S1776" s="13" t="s">
        <v>5293</v>
      </c>
      <c r="T1776" s="13" t="s">
        <v>4</v>
      </c>
      <c r="U1776" s="13" t="s">
        <v>43</v>
      </c>
      <c r="V1776" s="13" t="n">
        <f aca="false">IF(COUNTIF($B$2:B1776,B1776)=1,1,0)</f>
        <v>0</v>
      </c>
      <c r="W1776" s="13" t="n">
        <f aca="false">IF(COUNTIFS($B$2:B1776,B1776,$T$2:T1776,T1776)=1,1,0)</f>
        <v>0</v>
      </c>
    </row>
    <row r="1777" customFormat="false" ht="15" hidden="false" customHeight="false" outlineLevel="0" collapsed="false">
      <c r="A1777" s="13" t="s">
        <v>1634</v>
      </c>
      <c r="B1777" s="13" t="s">
        <v>111</v>
      </c>
      <c r="C1777" s="13" t="n">
        <v>540</v>
      </c>
      <c r="D1777" s="13" t="n">
        <v>1</v>
      </c>
      <c r="E1777" s="13" t="n">
        <v>538.23</v>
      </c>
      <c r="F1777" s="13" t="s">
        <v>5288</v>
      </c>
      <c r="G1777" s="13" t="s">
        <v>5292</v>
      </c>
      <c r="H1777" s="13" t="s">
        <v>5292</v>
      </c>
      <c r="I1777" s="13" t="s">
        <v>5289</v>
      </c>
      <c r="J1777" s="13" t="s">
        <v>5289</v>
      </c>
      <c r="K1777" s="13" t="s">
        <v>5289</v>
      </c>
      <c r="L1777" s="13" t="s">
        <v>6244</v>
      </c>
      <c r="M1777" s="13"/>
      <c r="N1777" s="13" t="n">
        <v>3595471095367</v>
      </c>
      <c r="O1777" s="13"/>
      <c r="P1777" s="13" t="s">
        <v>5291</v>
      </c>
      <c r="Q1777" s="13" t="s">
        <v>5289</v>
      </c>
      <c r="R1777" s="13" t="s">
        <v>5292</v>
      </c>
      <c r="S1777" s="13" t="s">
        <v>5293</v>
      </c>
      <c r="T1777" s="13" t="s">
        <v>4</v>
      </c>
      <c r="U1777" s="13" t="s">
        <v>43</v>
      </c>
      <c r="V1777" s="13" t="n">
        <f aca="false">IF(COUNTIF($B$2:B1777,B1777)=1,1,0)</f>
        <v>0</v>
      </c>
      <c r="W1777" s="13" t="n">
        <f aca="false">IF(COUNTIFS($B$2:B1777,B1777,$T$2:T1777,T1777)=1,1,0)</f>
        <v>0</v>
      </c>
    </row>
    <row r="1778" customFormat="false" ht="15" hidden="false" customHeight="false" outlineLevel="0" collapsed="false">
      <c r="A1778" s="13" t="s">
        <v>244</v>
      </c>
      <c r="B1778" s="13" t="s">
        <v>42</v>
      </c>
      <c r="C1778" s="13" t="n">
        <v>530</v>
      </c>
      <c r="D1778" s="13" t="n">
        <v>1</v>
      </c>
      <c r="E1778" s="13" t="n">
        <v>534.86</v>
      </c>
      <c r="F1778" s="13" t="s">
        <v>5325</v>
      </c>
      <c r="G1778" s="13" t="s">
        <v>5289</v>
      </c>
      <c r="H1778" s="13" t="s">
        <v>5289</v>
      </c>
      <c r="I1778" s="13" t="s">
        <v>5289</v>
      </c>
      <c r="J1778" s="13" t="s">
        <v>5289</v>
      </c>
      <c r="K1778" s="13" t="s">
        <v>5289</v>
      </c>
      <c r="L1778" s="13" t="s">
        <v>5751</v>
      </c>
      <c r="M1778" s="13"/>
      <c r="N1778" s="13" t="n">
        <v>8411061077146</v>
      </c>
      <c r="O1778" s="13"/>
      <c r="P1778" s="13" t="s">
        <v>5291</v>
      </c>
      <c r="Q1778" s="13" t="s">
        <v>5289</v>
      </c>
      <c r="R1778" s="13" t="s">
        <v>5292</v>
      </c>
      <c r="S1778" s="13" t="s">
        <v>5293</v>
      </c>
      <c r="T1778" s="13" t="s">
        <v>4</v>
      </c>
      <c r="U1778" s="13" t="s">
        <v>43</v>
      </c>
      <c r="V1778" s="13" t="n">
        <f aca="false">IF(COUNTIF($B$2:B1778,B1778)=1,1,0)</f>
        <v>0</v>
      </c>
      <c r="W1778" s="13" t="n">
        <f aca="false">IF(COUNTIFS($B$2:B1778,B1778,$T$2:T1778,T1778)=1,1,0)</f>
        <v>0</v>
      </c>
    </row>
    <row r="1779" customFormat="false" ht="15" hidden="false" customHeight="false" outlineLevel="0" collapsed="false">
      <c r="A1779" s="13" t="s">
        <v>6245</v>
      </c>
      <c r="B1779" s="13" t="s">
        <v>2111</v>
      </c>
      <c r="C1779" s="13" t="n">
        <v>530</v>
      </c>
      <c r="D1779" s="13" t="n">
        <v>1</v>
      </c>
      <c r="E1779" s="13" t="n">
        <v>534.77</v>
      </c>
      <c r="F1779" s="13" t="s">
        <v>5288</v>
      </c>
      <c r="G1779" s="13" t="s">
        <v>5292</v>
      </c>
      <c r="H1779" s="13" t="s">
        <v>5292</v>
      </c>
      <c r="I1779" s="13" t="s">
        <v>5289</v>
      </c>
      <c r="J1779" s="13" t="s">
        <v>5289</v>
      </c>
      <c r="K1779" s="13" t="s">
        <v>5289</v>
      </c>
      <c r="L1779" s="13" t="s">
        <v>6225</v>
      </c>
      <c r="M1779" s="13"/>
      <c r="N1779" s="13" t="n">
        <v>3386460097321</v>
      </c>
      <c r="O1779" s="13"/>
      <c r="P1779" s="13" t="s">
        <v>5291</v>
      </c>
      <c r="Q1779" s="13" t="s">
        <v>5289</v>
      </c>
      <c r="R1779" s="13" t="s">
        <v>5292</v>
      </c>
      <c r="S1779" s="13" t="s">
        <v>5293</v>
      </c>
      <c r="T1779" s="13" t="s">
        <v>4</v>
      </c>
      <c r="U1779" s="13" t="s">
        <v>43</v>
      </c>
      <c r="V1779" s="13" t="n">
        <f aca="false">IF(COUNTIF($B$2:B1779,B1779)=1,1,0)</f>
        <v>0</v>
      </c>
      <c r="W1779" s="13" t="n">
        <f aca="false">IF(COUNTIFS($B$2:B1779,B1779,$T$2:T1779,T1779)=1,1,0)</f>
        <v>0</v>
      </c>
    </row>
    <row r="1780" customFormat="false" ht="15" hidden="false" customHeight="false" outlineLevel="0" collapsed="false">
      <c r="A1780" s="13" t="s">
        <v>4536</v>
      </c>
      <c r="B1780" s="13" t="s">
        <v>2134</v>
      </c>
      <c r="C1780" s="13" t="n">
        <v>530</v>
      </c>
      <c r="D1780" s="13" t="n">
        <v>1</v>
      </c>
      <c r="E1780" s="13" t="n">
        <v>532.18</v>
      </c>
      <c r="F1780" s="13" t="s">
        <v>5325</v>
      </c>
      <c r="G1780" s="13" t="s">
        <v>5292</v>
      </c>
      <c r="H1780" s="13" t="s">
        <v>5292</v>
      </c>
      <c r="I1780" s="13" t="s">
        <v>5289</v>
      </c>
      <c r="J1780" s="13" t="s">
        <v>5289</v>
      </c>
      <c r="K1780" s="13" t="s">
        <v>5289</v>
      </c>
      <c r="L1780" s="13" t="s">
        <v>6246</v>
      </c>
      <c r="M1780" s="13"/>
      <c r="N1780" s="13" t="n">
        <v>3386460126625</v>
      </c>
      <c r="O1780" s="13"/>
      <c r="P1780" s="13" t="s">
        <v>5291</v>
      </c>
      <c r="Q1780" s="13" t="s">
        <v>5289</v>
      </c>
      <c r="R1780" s="13" t="s">
        <v>5292</v>
      </c>
      <c r="S1780" s="13" t="s">
        <v>5293</v>
      </c>
      <c r="T1780" s="13" t="s">
        <v>4</v>
      </c>
      <c r="U1780" s="13" t="s">
        <v>85</v>
      </c>
      <c r="V1780" s="13" t="n">
        <f aca="false">IF(COUNTIF($B$2:B1780,B1780)=1,1,0)</f>
        <v>0</v>
      </c>
      <c r="W1780" s="13" t="n">
        <f aca="false">IF(COUNTIFS($B$2:B1780,B1780,$T$2:T1780,T1780)=1,1,0)</f>
        <v>0</v>
      </c>
    </row>
    <row r="1781" customFormat="false" ht="15" hidden="false" customHeight="false" outlineLevel="0" collapsed="false">
      <c r="A1781" s="13" t="s">
        <v>1645</v>
      </c>
      <c r="B1781" s="13" t="s">
        <v>45</v>
      </c>
      <c r="C1781" s="13" t="n">
        <v>530</v>
      </c>
      <c r="D1781" s="13" t="n">
        <v>2</v>
      </c>
      <c r="E1781" s="13" t="n">
        <v>265.05</v>
      </c>
      <c r="F1781" s="13" t="s">
        <v>5325</v>
      </c>
      <c r="G1781" s="13" t="s">
        <v>5292</v>
      </c>
      <c r="H1781" s="13" t="s">
        <v>5292</v>
      </c>
      <c r="I1781" s="13" t="s">
        <v>5289</v>
      </c>
      <c r="J1781" s="13" t="s">
        <v>5289</v>
      </c>
      <c r="K1781" s="13" t="s">
        <v>5289</v>
      </c>
      <c r="L1781" s="13" t="s">
        <v>6247</v>
      </c>
      <c r="M1781" s="13"/>
      <c r="N1781" s="13" t="n">
        <v>8435415052375</v>
      </c>
      <c r="O1781" s="13"/>
      <c r="P1781" s="13" t="s">
        <v>5291</v>
      </c>
      <c r="Q1781" s="13" t="s">
        <v>5289</v>
      </c>
      <c r="R1781" s="13" t="s">
        <v>5292</v>
      </c>
      <c r="S1781" s="13" t="s">
        <v>5293</v>
      </c>
      <c r="T1781" s="13" t="s">
        <v>4</v>
      </c>
      <c r="U1781" s="13" t="s">
        <v>43</v>
      </c>
      <c r="V1781" s="13" t="n">
        <f aca="false">IF(COUNTIF($B$2:B1781,B1781)=1,1,0)</f>
        <v>0</v>
      </c>
      <c r="W1781" s="13" t="n">
        <f aca="false">IF(COUNTIFS($B$2:B1781,B1781,$T$2:T1781,T1781)=1,1,0)</f>
        <v>0</v>
      </c>
    </row>
    <row r="1782" customFormat="false" ht="15" hidden="false" customHeight="false" outlineLevel="0" collapsed="false">
      <c r="A1782" s="13" t="s">
        <v>91</v>
      </c>
      <c r="B1782" s="13" t="s">
        <v>42</v>
      </c>
      <c r="C1782" s="13" t="n">
        <v>530</v>
      </c>
      <c r="D1782" s="13" t="n">
        <v>1</v>
      </c>
      <c r="E1782" s="13" t="n">
        <v>528.36</v>
      </c>
      <c r="F1782" s="13" t="s">
        <v>5288</v>
      </c>
      <c r="G1782" s="13" t="s">
        <v>5292</v>
      </c>
      <c r="H1782" s="13" t="s">
        <v>5289</v>
      </c>
      <c r="I1782" s="13" t="s">
        <v>5289</v>
      </c>
      <c r="J1782" s="13" t="s">
        <v>5289</v>
      </c>
      <c r="K1782" s="13" t="s">
        <v>5289</v>
      </c>
      <c r="L1782" s="13" t="s">
        <v>6248</v>
      </c>
      <c r="M1782" s="13"/>
      <c r="N1782" s="13" t="n">
        <v>8411061067932</v>
      </c>
      <c r="O1782" s="13"/>
      <c r="P1782" s="13" t="s">
        <v>5291</v>
      </c>
      <c r="Q1782" s="13" t="s">
        <v>5289</v>
      </c>
      <c r="R1782" s="13" t="s">
        <v>5292</v>
      </c>
      <c r="S1782" s="13" t="s">
        <v>5293</v>
      </c>
      <c r="T1782" s="13" t="s">
        <v>4</v>
      </c>
      <c r="U1782" s="13" t="s">
        <v>43</v>
      </c>
      <c r="V1782" s="13" t="n">
        <f aca="false">IF(COUNTIF($B$2:B1782,B1782)=1,1,0)</f>
        <v>0</v>
      </c>
      <c r="W1782" s="13" t="n">
        <f aca="false">IF(COUNTIFS($B$2:B1782,B1782,$T$2:T1782,T1782)=1,1,0)</f>
        <v>0</v>
      </c>
    </row>
    <row r="1783" customFormat="false" ht="15" hidden="false" customHeight="false" outlineLevel="0" collapsed="false">
      <c r="A1783" s="13" t="s">
        <v>4530</v>
      </c>
      <c r="B1783" s="13" t="s">
        <v>2143</v>
      </c>
      <c r="C1783" s="13" t="n">
        <v>530</v>
      </c>
      <c r="D1783" s="13" t="n">
        <v>1</v>
      </c>
      <c r="E1783" s="13" t="n">
        <v>527.12</v>
      </c>
      <c r="F1783" s="13" t="s">
        <v>5325</v>
      </c>
      <c r="G1783" s="13" t="s">
        <v>5292</v>
      </c>
      <c r="H1783" s="13" t="s">
        <v>5292</v>
      </c>
      <c r="I1783" s="13" t="s">
        <v>5289</v>
      </c>
      <c r="J1783" s="13" t="s">
        <v>5289</v>
      </c>
      <c r="K1783" s="13" t="s">
        <v>5289</v>
      </c>
      <c r="L1783" s="13" t="s">
        <v>6249</v>
      </c>
      <c r="M1783" s="13"/>
      <c r="N1783" s="13" t="n">
        <v>3274872454460</v>
      </c>
      <c r="O1783" s="13"/>
      <c r="P1783" s="13" t="s">
        <v>5291</v>
      </c>
      <c r="Q1783" s="13" t="s">
        <v>5289</v>
      </c>
      <c r="R1783" s="13" t="s">
        <v>5292</v>
      </c>
      <c r="S1783" s="13" t="s">
        <v>5293</v>
      </c>
      <c r="T1783" s="13" t="s">
        <v>4</v>
      </c>
      <c r="U1783" s="13" t="s">
        <v>43</v>
      </c>
      <c r="V1783" s="13" t="n">
        <f aca="false">IF(COUNTIF($B$2:B1783,B1783)=1,1,0)</f>
        <v>0</v>
      </c>
      <c r="W1783" s="13" t="n">
        <f aca="false">IF(COUNTIFS($B$2:B1783,B1783,$T$2:T1783,T1783)=1,1,0)</f>
        <v>0</v>
      </c>
    </row>
    <row r="1784" customFormat="false" ht="15" hidden="false" customHeight="false" outlineLevel="0" collapsed="false">
      <c r="A1784" s="13" t="s">
        <v>1646</v>
      </c>
      <c r="B1784" s="13" t="s">
        <v>255</v>
      </c>
      <c r="C1784" s="13" t="n">
        <v>530</v>
      </c>
      <c r="D1784" s="13" t="n">
        <v>2</v>
      </c>
      <c r="E1784" s="13" t="n">
        <v>263.12</v>
      </c>
      <c r="F1784" s="13" t="s">
        <v>5288</v>
      </c>
      <c r="G1784" s="13" t="s">
        <v>5289</v>
      </c>
      <c r="H1784" s="13" t="s">
        <v>5292</v>
      </c>
      <c r="I1784" s="13" t="s">
        <v>5289</v>
      </c>
      <c r="J1784" s="13" t="s">
        <v>5289</v>
      </c>
      <c r="K1784" s="13" t="s">
        <v>5289</v>
      </c>
      <c r="L1784" s="13" t="s">
        <v>6250</v>
      </c>
      <c r="M1784" s="13"/>
      <c r="N1784" s="13" t="n">
        <v>5055810014933</v>
      </c>
      <c r="O1784" s="13"/>
      <c r="P1784" s="13" t="s">
        <v>5291</v>
      </c>
      <c r="Q1784" s="13" t="s">
        <v>5289</v>
      </c>
      <c r="R1784" s="13" t="s">
        <v>5292</v>
      </c>
      <c r="S1784" s="13" t="s">
        <v>5293</v>
      </c>
      <c r="T1784" s="13" t="s">
        <v>4</v>
      </c>
      <c r="U1784" s="13" t="s">
        <v>43</v>
      </c>
      <c r="V1784" s="13" t="n">
        <f aca="false">IF(COUNTIF($B$2:B1784,B1784)=1,1,0)</f>
        <v>0</v>
      </c>
      <c r="W1784" s="13" t="n">
        <f aca="false">IF(COUNTIFS($B$2:B1784,B1784,$T$2:T1784,T1784)=1,1,0)</f>
        <v>0</v>
      </c>
    </row>
    <row r="1785" customFormat="false" ht="15" hidden="false" customHeight="false" outlineLevel="0" collapsed="false">
      <c r="A1785" s="13" t="s">
        <v>3553</v>
      </c>
      <c r="B1785" s="13" t="s">
        <v>2110</v>
      </c>
      <c r="C1785" s="13" t="n">
        <v>520</v>
      </c>
      <c r="D1785" s="13" t="n">
        <v>1</v>
      </c>
      <c r="E1785" s="13" t="n">
        <v>522.15</v>
      </c>
      <c r="F1785" s="13" t="s">
        <v>5288</v>
      </c>
      <c r="G1785" s="13" t="s">
        <v>5292</v>
      </c>
      <c r="H1785" s="13" t="s">
        <v>5289</v>
      </c>
      <c r="I1785" s="13" t="s">
        <v>5289</v>
      </c>
      <c r="J1785" s="13" t="s">
        <v>5289</v>
      </c>
      <c r="K1785" s="13" t="s">
        <v>5289</v>
      </c>
      <c r="L1785" s="13" t="s">
        <v>6251</v>
      </c>
      <c r="M1785" s="13"/>
      <c r="N1785" s="13" t="n">
        <v>3386460165969</v>
      </c>
      <c r="O1785" s="13"/>
      <c r="P1785" s="13" t="s">
        <v>5291</v>
      </c>
      <c r="Q1785" s="13" t="s">
        <v>5289</v>
      </c>
      <c r="R1785" s="13" t="s">
        <v>5292</v>
      </c>
      <c r="S1785" s="13" t="s">
        <v>5293</v>
      </c>
      <c r="T1785" s="13" t="s">
        <v>4</v>
      </c>
      <c r="U1785" s="13" t="s">
        <v>43</v>
      </c>
      <c r="V1785" s="13" t="n">
        <f aca="false">IF(COUNTIF($B$2:B1785,B1785)=1,1,0)</f>
        <v>0</v>
      </c>
      <c r="W1785" s="13" t="n">
        <f aca="false">IF(COUNTIFS($B$2:B1785,B1785,$T$2:T1785,T1785)=1,1,0)</f>
        <v>0</v>
      </c>
    </row>
    <row r="1786" customFormat="false" ht="15" hidden="false" customHeight="false" outlineLevel="0" collapsed="false">
      <c r="A1786" s="13" t="s">
        <v>345</v>
      </c>
      <c r="B1786" s="13" t="s">
        <v>42</v>
      </c>
      <c r="C1786" s="13" t="n">
        <v>520</v>
      </c>
      <c r="D1786" s="13" t="n">
        <v>1</v>
      </c>
      <c r="E1786" s="13" t="n">
        <v>521.55</v>
      </c>
      <c r="F1786" s="13" t="s">
        <v>5325</v>
      </c>
      <c r="G1786" s="13" t="s">
        <v>5289</v>
      </c>
      <c r="H1786" s="13" t="s">
        <v>5289</v>
      </c>
      <c r="I1786" s="13" t="s">
        <v>5289</v>
      </c>
      <c r="J1786" s="13" t="s">
        <v>5289</v>
      </c>
      <c r="K1786" s="13" t="s">
        <v>5289</v>
      </c>
      <c r="L1786" s="13" t="s">
        <v>5698</v>
      </c>
      <c r="M1786" s="13"/>
      <c r="N1786" s="13" t="n">
        <v>8411061081600</v>
      </c>
      <c r="O1786" s="13"/>
      <c r="P1786" s="13" t="s">
        <v>5291</v>
      </c>
      <c r="Q1786" s="13" t="s">
        <v>5289</v>
      </c>
      <c r="R1786" s="13" t="s">
        <v>5292</v>
      </c>
      <c r="S1786" s="13" t="s">
        <v>5293</v>
      </c>
      <c r="T1786" s="13" t="s">
        <v>4</v>
      </c>
      <c r="U1786" s="13" t="s">
        <v>43</v>
      </c>
      <c r="V1786" s="13" t="n">
        <f aca="false">IF(COUNTIF($B$2:B1786,B1786)=1,1,0)</f>
        <v>0</v>
      </c>
      <c r="W1786" s="13" t="n">
        <f aca="false">IF(COUNTIFS($B$2:B1786,B1786,$T$2:T1786,T1786)=1,1,0)</f>
        <v>0</v>
      </c>
    </row>
    <row r="1787" customFormat="false" ht="15" hidden="false" customHeight="false" outlineLevel="0" collapsed="false">
      <c r="A1787" s="13" t="s">
        <v>1652</v>
      </c>
      <c r="B1787" s="13" t="s">
        <v>50</v>
      </c>
      <c r="C1787" s="13" t="n">
        <v>520</v>
      </c>
      <c r="D1787" s="13" t="n">
        <v>1</v>
      </c>
      <c r="E1787" s="13" t="n">
        <v>521.13</v>
      </c>
      <c r="F1787" s="13" t="s">
        <v>5288</v>
      </c>
      <c r="G1787" s="13" t="s">
        <v>5292</v>
      </c>
      <c r="H1787" s="13" t="s">
        <v>5292</v>
      </c>
      <c r="I1787" s="13" t="s">
        <v>5289</v>
      </c>
      <c r="J1787" s="13" t="s">
        <v>5289</v>
      </c>
      <c r="K1787" s="13" t="s">
        <v>5289</v>
      </c>
      <c r="L1787" s="13" t="s">
        <v>5985</v>
      </c>
      <c r="M1787" s="13"/>
      <c r="N1787" s="13" t="n">
        <v>3349668645220</v>
      </c>
      <c r="O1787" s="13"/>
      <c r="P1787" s="13" t="s">
        <v>5291</v>
      </c>
      <c r="Q1787" s="13" t="s">
        <v>5289</v>
      </c>
      <c r="R1787" s="13" t="s">
        <v>5292</v>
      </c>
      <c r="S1787" s="13" t="s">
        <v>5293</v>
      </c>
      <c r="T1787" s="13" t="s">
        <v>4</v>
      </c>
      <c r="U1787" s="13" t="s">
        <v>43</v>
      </c>
      <c r="V1787" s="13" t="n">
        <f aca="false">IF(COUNTIF($B$2:B1787,B1787)=1,1,0)</f>
        <v>0</v>
      </c>
      <c r="W1787" s="13" t="n">
        <f aca="false">IF(COUNTIFS($B$2:B1787,B1787,$T$2:T1787,T1787)=1,1,0)</f>
        <v>0</v>
      </c>
    </row>
    <row r="1788" customFormat="false" ht="15" hidden="false" customHeight="false" outlineLevel="0" collapsed="false">
      <c r="A1788" s="13" t="s">
        <v>3152</v>
      </c>
      <c r="B1788" s="13" t="s">
        <v>2120</v>
      </c>
      <c r="C1788" s="13" t="n">
        <v>520</v>
      </c>
      <c r="D1788" s="13" t="n">
        <v>1</v>
      </c>
      <c r="E1788" s="13" t="n">
        <v>519.75</v>
      </c>
      <c r="F1788" s="13" t="s">
        <v>5288</v>
      </c>
      <c r="G1788" s="13" t="s">
        <v>5289</v>
      </c>
      <c r="H1788" s="13" t="s">
        <v>5289</v>
      </c>
      <c r="I1788" s="13" t="s">
        <v>5289</v>
      </c>
      <c r="J1788" s="13" t="s">
        <v>5289</v>
      </c>
      <c r="K1788" s="13" t="s">
        <v>5289</v>
      </c>
      <c r="L1788" s="13" t="s">
        <v>6252</v>
      </c>
      <c r="M1788" s="13"/>
      <c r="N1788" s="13" t="n">
        <v>3423470311358</v>
      </c>
      <c r="O1788" s="13"/>
      <c r="P1788" s="13" t="s">
        <v>5291</v>
      </c>
      <c r="Q1788" s="13" t="s">
        <v>5289</v>
      </c>
      <c r="R1788" s="13" t="s">
        <v>5292</v>
      </c>
      <c r="S1788" s="13" t="s">
        <v>5293</v>
      </c>
      <c r="T1788" s="13" t="s">
        <v>4</v>
      </c>
      <c r="U1788" s="13" t="s">
        <v>43</v>
      </c>
      <c r="V1788" s="13" t="n">
        <f aca="false">IF(COUNTIF($B$2:B1788,B1788)=1,1,0)</f>
        <v>0</v>
      </c>
      <c r="W1788" s="13" t="n">
        <f aca="false">IF(COUNTIFS($B$2:B1788,B1788,$T$2:T1788,T1788)=1,1,0)</f>
        <v>0</v>
      </c>
    </row>
    <row r="1789" customFormat="false" ht="15" hidden="false" customHeight="false" outlineLevel="0" collapsed="false">
      <c r="A1789" s="13" t="s">
        <v>6253</v>
      </c>
      <c r="B1789" s="13" t="s">
        <v>2120</v>
      </c>
      <c r="C1789" s="13" t="n">
        <v>520</v>
      </c>
      <c r="D1789" s="13" t="n">
        <v>1</v>
      </c>
      <c r="E1789" s="13" t="n">
        <v>519.75</v>
      </c>
      <c r="F1789" s="13" t="s">
        <v>5288</v>
      </c>
      <c r="G1789" s="13" t="s">
        <v>5289</v>
      </c>
      <c r="H1789" s="13" t="s">
        <v>5292</v>
      </c>
      <c r="I1789" s="13" t="s">
        <v>5289</v>
      </c>
      <c r="J1789" s="13" t="s">
        <v>5289</v>
      </c>
      <c r="K1789" s="13" t="s">
        <v>5289</v>
      </c>
      <c r="L1789" s="13" t="s">
        <v>6252</v>
      </c>
      <c r="M1789" s="13"/>
      <c r="N1789" s="13" t="n">
        <v>3423470311358</v>
      </c>
      <c r="O1789" s="13"/>
      <c r="P1789" s="13" t="s">
        <v>5291</v>
      </c>
      <c r="Q1789" s="13" t="s">
        <v>5289</v>
      </c>
      <c r="R1789" s="13" t="s">
        <v>5292</v>
      </c>
      <c r="S1789" s="13" t="s">
        <v>5293</v>
      </c>
      <c r="T1789" s="13" t="s">
        <v>4</v>
      </c>
      <c r="U1789" s="13" t="s">
        <v>85</v>
      </c>
      <c r="V1789" s="13" t="n">
        <f aca="false">IF(COUNTIF($B$2:B1789,B1789)=1,1,0)</f>
        <v>0</v>
      </c>
      <c r="W1789" s="13" t="n">
        <f aca="false">IF(COUNTIFS($B$2:B1789,B1789,$T$2:T1789,T1789)=1,1,0)</f>
        <v>0</v>
      </c>
    </row>
    <row r="1790" customFormat="false" ht="15" hidden="false" customHeight="false" outlineLevel="0" collapsed="false">
      <c r="A1790" s="13" t="s">
        <v>1073</v>
      </c>
      <c r="B1790" s="13" t="s">
        <v>153</v>
      </c>
      <c r="C1790" s="13" t="n">
        <v>520</v>
      </c>
      <c r="D1790" s="13" t="n">
        <v>1</v>
      </c>
      <c r="E1790" s="13" t="n">
        <v>519.37</v>
      </c>
      <c r="F1790" s="13" t="s">
        <v>5288</v>
      </c>
      <c r="G1790" s="13" t="s">
        <v>5292</v>
      </c>
      <c r="H1790" s="13" t="s">
        <v>5289</v>
      </c>
      <c r="I1790" s="13" t="s">
        <v>5289</v>
      </c>
      <c r="J1790" s="13" t="s">
        <v>5289</v>
      </c>
      <c r="K1790" s="13" t="s">
        <v>5289</v>
      </c>
      <c r="L1790" s="13" t="s">
        <v>6254</v>
      </c>
      <c r="M1790" s="13"/>
      <c r="N1790" s="13" t="n">
        <v>8011003823529</v>
      </c>
      <c r="O1790" s="13"/>
      <c r="P1790" s="13" t="s">
        <v>5297</v>
      </c>
      <c r="Q1790" s="13" t="s">
        <v>5289</v>
      </c>
      <c r="R1790" s="13" t="s">
        <v>5292</v>
      </c>
      <c r="S1790" s="13" t="s">
        <v>5293</v>
      </c>
      <c r="T1790" s="13" t="s">
        <v>4</v>
      </c>
      <c r="U1790" s="13" t="s">
        <v>43</v>
      </c>
      <c r="V1790" s="13" t="n">
        <f aca="false">IF(COUNTIF($B$2:B1790,B1790)=1,1,0)</f>
        <v>0</v>
      </c>
      <c r="W1790" s="13" t="n">
        <f aca="false">IF(COUNTIFS($B$2:B1790,B1790,$T$2:T1790,T1790)=1,1,0)</f>
        <v>0</v>
      </c>
    </row>
    <row r="1791" customFormat="false" ht="15" hidden="false" customHeight="false" outlineLevel="0" collapsed="false">
      <c r="A1791" s="13" t="s">
        <v>51</v>
      </c>
      <c r="B1791" s="13" t="s">
        <v>50</v>
      </c>
      <c r="C1791" s="13" t="n">
        <v>520</v>
      </c>
      <c r="D1791" s="13" t="n">
        <v>1</v>
      </c>
      <c r="E1791" s="13" t="n">
        <v>515.23</v>
      </c>
      <c r="F1791" s="13" t="s">
        <v>5288</v>
      </c>
      <c r="G1791" s="13" t="s">
        <v>5289</v>
      </c>
      <c r="H1791" s="13" t="s">
        <v>5292</v>
      </c>
      <c r="I1791" s="13" t="s">
        <v>5289</v>
      </c>
      <c r="J1791" s="13" t="s">
        <v>5289</v>
      </c>
      <c r="K1791" s="13" t="s">
        <v>5289</v>
      </c>
      <c r="L1791" s="13" t="s">
        <v>5665</v>
      </c>
      <c r="M1791" s="13"/>
      <c r="N1791" s="13" t="n">
        <v>3349668515660</v>
      </c>
      <c r="O1791" s="13"/>
      <c r="P1791" s="13" t="s">
        <v>5291</v>
      </c>
      <c r="Q1791" s="13" t="s">
        <v>5289</v>
      </c>
      <c r="R1791" s="13" t="s">
        <v>5292</v>
      </c>
      <c r="S1791" s="13" t="s">
        <v>5293</v>
      </c>
      <c r="T1791" s="13" t="s">
        <v>4</v>
      </c>
      <c r="U1791" s="13" t="s">
        <v>43</v>
      </c>
      <c r="V1791" s="13" t="n">
        <f aca="false">IF(COUNTIF($B$2:B1791,B1791)=1,1,0)</f>
        <v>0</v>
      </c>
      <c r="W1791" s="13" t="n">
        <f aca="false">IF(COUNTIFS($B$2:B1791,B1791,$T$2:T1791,T1791)=1,1,0)</f>
        <v>0</v>
      </c>
    </row>
    <row r="1792" customFormat="false" ht="15" hidden="false" customHeight="false" outlineLevel="0" collapsed="false">
      <c r="A1792" s="13" t="s">
        <v>1659</v>
      </c>
      <c r="B1792" s="13" t="s">
        <v>42</v>
      </c>
      <c r="C1792" s="13" t="n">
        <v>510</v>
      </c>
      <c r="D1792" s="13" t="n">
        <v>2</v>
      </c>
      <c r="E1792" s="13" t="n">
        <v>257.21</v>
      </c>
      <c r="F1792" s="13" t="s">
        <v>5288</v>
      </c>
      <c r="G1792" s="13" t="s">
        <v>5289</v>
      </c>
      <c r="H1792" s="13" t="s">
        <v>5292</v>
      </c>
      <c r="I1792" s="13" t="s">
        <v>5289</v>
      </c>
      <c r="J1792" s="13" t="s">
        <v>5289</v>
      </c>
      <c r="K1792" s="13" t="s">
        <v>5289</v>
      </c>
      <c r="L1792" s="13" t="s">
        <v>5944</v>
      </c>
      <c r="M1792" s="13"/>
      <c r="N1792" s="13" t="n">
        <v>8.41106112059084E+025</v>
      </c>
      <c r="O1792" s="13"/>
      <c r="P1792" s="13" t="s">
        <v>5291</v>
      </c>
      <c r="Q1792" s="13" t="s">
        <v>5289</v>
      </c>
      <c r="R1792" s="13" t="s">
        <v>5292</v>
      </c>
      <c r="S1792" s="13" t="s">
        <v>5293</v>
      </c>
      <c r="T1792" s="13" t="s">
        <v>4</v>
      </c>
      <c r="U1792" s="13" t="s">
        <v>43</v>
      </c>
      <c r="V1792" s="13" t="n">
        <f aca="false">IF(COUNTIF($B$2:B1792,B1792)=1,1,0)</f>
        <v>0</v>
      </c>
      <c r="W1792" s="13" t="n">
        <f aca="false">IF(COUNTIFS($B$2:B1792,B1792,$T$2:T1792,T1792)=1,1,0)</f>
        <v>0</v>
      </c>
    </row>
    <row r="1793" customFormat="false" ht="15" hidden="false" customHeight="false" outlineLevel="0" collapsed="false">
      <c r="A1793" s="13" t="s">
        <v>1663</v>
      </c>
      <c r="B1793" s="13" t="s">
        <v>50</v>
      </c>
      <c r="C1793" s="13" t="n">
        <v>510</v>
      </c>
      <c r="D1793" s="13" t="n">
        <v>1</v>
      </c>
      <c r="E1793" s="13" t="n">
        <v>514.28</v>
      </c>
      <c r="F1793" s="13" t="s">
        <v>5288</v>
      </c>
      <c r="G1793" s="13" t="s">
        <v>5289</v>
      </c>
      <c r="H1793" s="13" t="s">
        <v>5289</v>
      </c>
      <c r="I1793" s="13" t="s">
        <v>5289</v>
      </c>
      <c r="J1793" s="13" t="s">
        <v>5289</v>
      </c>
      <c r="K1793" s="13" t="s">
        <v>5289</v>
      </c>
      <c r="L1793" s="13" t="s">
        <v>6255</v>
      </c>
      <c r="M1793" s="13"/>
      <c r="N1793" s="13" t="n">
        <v>3349668662913</v>
      </c>
      <c r="O1793" s="13"/>
      <c r="P1793" s="13" t="s">
        <v>5291</v>
      </c>
      <c r="Q1793" s="13" t="s">
        <v>5289</v>
      </c>
      <c r="R1793" s="13" t="s">
        <v>5292</v>
      </c>
      <c r="S1793" s="13" t="s">
        <v>5293</v>
      </c>
      <c r="T1793" s="13" t="s">
        <v>4</v>
      </c>
      <c r="U1793" s="13" t="s">
        <v>43</v>
      </c>
      <c r="V1793" s="13" t="n">
        <f aca="false">IF(COUNTIF($B$2:B1793,B1793)=1,1,0)</f>
        <v>0</v>
      </c>
      <c r="W1793" s="13" t="n">
        <f aca="false">IF(COUNTIFS($B$2:B1793,B1793,$T$2:T1793,T1793)=1,1,0)</f>
        <v>0</v>
      </c>
    </row>
    <row r="1794" customFormat="false" ht="15" hidden="false" customHeight="false" outlineLevel="0" collapsed="false">
      <c r="A1794" s="13" t="s">
        <v>1661</v>
      </c>
      <c r="B1794" s="13" t="s">
        <v>186</v>
      </c>
      <c r="C1794" s="13" t="n">
        <v>510</v>
      </c>
      <c r="D1794" s="13" t="n">
        <v>1</v>
      </c>
      <c r="E1794" s="13" t="n">
        <v>514.02</v>
      </c>
      <c r="F1794" s="13" t="s">
        <v>5325</v>
      </c>
      <c r="G1794" s="13" t="s">
        <v>5289</v>
      </c>
      <c r="H1794" s="13" t="s">
        <v>5292</v>
      </c>
      <c r="I1794" s="13" t="s">
        <v>5289</v>
      </c>
      <c r="J1794" s="13" t="s">
        <v>5289</v>
      </c>
      <c r="K1794" s="13" t="s">
        <v>5289</v>
      </c>
      <c r="L1794" s="13" t="s">
        <v>5832</v>
      </c>
      <c r="M1794" s="13"/>
      <c r="N1794" s="13" t="n">
        <v>3616306130012</v>
      </c>
      <c r="O1794" s="13"/>
      <c r="P1794" s="13" t="s">
        <v>5291</v>
      </c>
      <c r="Q1794" s="13" t="s">
        <v>5289</v>
      </c>
      <c r="R1794" s="13" t="s">
        <v>5292</v>
      </c>
      <c r="S1794" s="13" t="s">
        <v>5293</v>
      </c>
      <c r="T1794" s="13" t="s">
        <v>4</v>
      </c>
      <c r="U1794" s="13" t="s">
        <v>43</v>
      </c>
      <c r="V1794" s="13" t="n">
        <f aca="false">IF(COUNTIF($B$2:B1794,B1794)=1,1,0)</f>
        <v>0</v>
      </c>
      <c r="W1794" s="13" t="n">
        <f aca="false">IF(COUNTIFS($B$2:B1794,B1794,$T$2:T1794,T1794)=1,1,0)</f>
        <v>0</v>
      </c>
    </row>
    <row r="1795" customFormat="false" ht="15" hidden="false" customHeight="false" outlineLevel="0" collapsed="false">
      <c r="A1795" s="13" t="s">
        <v>1662</v>
      </c>
      <c r="B1795" s="13" t="s">
        <v>161</v>
      </c>
      <c r="C1795" s="13" t="n">
        <v>510</v>
      </c>
      <c r="D1795" s="13" t="n">
        <v>2</v>
      </c>
      <c r="E1795" s="13" t="n">
        <v>255.59</v>
      </c>
      <c r="F1795" s="13" t="s">
        <v>5288</v>
      </c>
      <c r="G1795" s="13" t="s">
        <v>5292</v>
      </c>
      <c r="H1795" s="13" t="s">
        <v>5292</v>
      </c>
      <c r="I1795" s="13" t="s">
        <v>5289</v>
      </c>
      <c r="J1795" s="13" t="s">
        <v>5289</v>
      </c>
      <c r="K1795" s="13" t="s">
        <v>5289</v>
      </c>
      <c r="L1795" s="13" t="s">
        <v>6256</v>
      </c>
      <c r="M1795" s="13"/>
      <c r="N1795" s="13" t="n">
        <v>3355991005846</v>
      </c>
      <c r="O1795" s="13"/>
      <c r="P1795" s="13" t="s">
        <v>5297</v>
      </c>
      <c r="Q1795" s="13" t="s">
        <v>5289</v>
      </c>
      <c r="R1795" s="13" t="s">
        <v>5292</v>
      </c>
      <c r="S1795" s="13" t="s">
        <v>5293</v>
      </c>
      <c r="T1795" s="13" t="s">
        <v>4</v>
      </c>
      <c r="U1795" s="13" t="s">
        <v>43</v>
      </c>
      <c r="V1795" s="13" t="n">
        <f aca="false">IF(COUNTIF($B$2:B1795,B1795)=1,1,0)</f>
        <v>0</v>
      </c>
      <c r="W1795" s="13" t="n">
        <f aca="false">IF(COUNTIFS($B$2:B1795,B1795,$T$2:T1795,T1795)=1,1,0)</f>
        <v>0</v>
      </c>
    </row>
    <row r="1796" customFormat="false" ht="15" hidden="false" customHeight="false" outlineLevel="0" collapsed="false">
      <c r="A1796" s="13" t="s">
        <v>4555</v>
      </c>
      <c r="B1796" s="13" t="s">
        <v>2110</v>
      </c>
      <c r="C1796" s="13" t="n">
        <v>510</v>
      </c>
      <c r="D1796" s="13" t="n">
        <v>1</v>
      </c>
      <c r="E1796" s="13" t="n">
        <v>508.52</v>
      </c>
      <c r="F1796" s="13" t="s">
        <v>5325</v>
      </c>
      <c r="G1796" s="13" t="s">
        <v>5292</v>
      </c>
      <c r="H1796" s="13" t="s">
        <v>5292</v>
      </c>
      <c r="I1796" s="13" t="s">
        <v>5289</v>
      </c>
      <c r="J1796" s="13" t="s">
        <v>5289</v>
      </c>
      <c r="K1796" s="13" t="s">
        <v>5289</v>
      </c>
      <c r="L1796" s="13" t="s">
        <v>6257</v>
      </c>
      <c r="M1796" s="13"/>
      <c r="N1796" s="13" t="n">
        <v>3386460165921</v>
      </c>
      <c r="O1796" s="13"/>
      <c r="P1796" s="13" t="s">
        <v>5291</v>
      </c>
      <c r="Q1796" s="13" t="s">
        <v>5289</v>
      </c>
      <c r="R1796" s="13" t="s">
        <v>5292</v>
      </c>
      <c r="S1796" s="13" t="s">
        <v>5293</v>
      </c>
      <c r="T1796" s="13" t="s">
        <v>4</v>
      </c>
      <c r="U1796" s="13" t="s">
        <v>43</v>
      </c>
      <c r="V1796" s="13" t="n">
        <f aca="false">IF(COUNTIF($B$2:B1796,B1796)=1,1,0)</f>
        <v>0</v>
      </c>
      <c r="W1796" s="13" t="n">
        <f aca="false">IF(COUNTIFS($B$2:B1796,B1796,$T$2:T1796,T1796)=1,1,0)</f>
        <v>0</v>
      </c>
    </row>
    <row r="1797" customFormat="false" ht="15" hidden="false" customHeight="false" outlineLevel="0" collapsed="false">
      <c r="A1797" s="13" t="s">
        <v>4060</v>
      </c>
      <c r="B1797" s="13" t="s">
        <v>2111</v>
      </c>
      <c r="C1797" s="13" t="n">
        <v>500</v>
      </c>
      <c r="D1797" s="13" t="n">
        <v>1</v>
      </c>
      <c r="E1797" s="13" t="n">
        <v>502.87</v>
      </c>
      <c r="F1797" s="13" t="s">
        <v>5325</v>
      </c>
      <c r="G1797" s="13" t="s">
        <v>5292</v>
      </c>
      <c r="H1797" s="13" t="s">
        <v>5292</v>
      </c>
      <c r="I1797" s="13" t="s">
        <v>5289</v>
      </c>
      <c r="J1797" s="13" t="s">
        <v>5289</v>
      </c>
      <c r="K1797" s="13" t="s">
        <v>5289</v>
      </c>
      <c r="L1797" s="13" t="s">
        <v>6258</v>
      </c>
      <c r="M1797" s="13"/>
      <c r="N1797" s="13" t="n">
        <v>3386460142021</v>
      </c>
      <c r="O1797" s="13"/>
      <c r="P1797" s="13" t="s">
        <v>5291</v>
      </c>
      <c r="Q1797" s="13" t="s">
        <v>5289</v>
      </c>
      <c r="R1797" s="13" t="s">
        <v>5292</v>
      </c>
      <c r="S1797" s="13" t="s">
        <v>5293</v>
      </c>
      <c r="T1797" s="13" t="s">
        <v>4</v>
      </c>
      <c r="U1797" s="13" t="s">
        <v>43</v>
      </c>
      <c r="V1797" s="13" t="n">
        <f aca="false">IF(COUNTIF($B$2:B1797,B1797)=1,1,0)</f>
        <v>0</v>
      </c>
      <c r="W1797" s="13" t="n">
        <f aca="false">IF(COUNTIFS($B$2:B1797,B1797,$T$2:T1797,T1797)=1,1,0)</f>
        <v>0</v>
      </c>
    </row>
    <row r="1798" customFormat="false" ht="15" hidden="false" customHeight="false" outlineLevel="0" collapsed="false">
      <c r="A1798" s="13" t="s">
        <v>1665</v>
      </c>
      <c r="B1798" s="13" t="s">
        <v>45</v>
      </c>
      <c r="C1798" s="13" t="n">
        <v>500</v>
      </c>
      <c r="D1798" s="13" t="n">
        <v>1</v>
      </c>
      <c r="E1798" s="13" t="n">
        <v>502.77</v>
      </c>
      <c r="F1798" s="13" t="s">
        <v>5288</v>
      </c>
      <c r="G1798" s="13" t="s">
        <v>5289</v>
      </c>
      <c r="H1798" s="13" t="s">
        <v>5289</v>
      </c>
      <c r="I1798" s="13" t="s">
        <v>5289</v>
      </c>
      <c r="J1798" s="13" t="s">
        <v>5289</v>
      </c>
      <c r="K1798" s="13" t="s">
        <v>5289</v>
      </c>
      <c r="L1798" s="13" t="s">
        <v>6259</v>
      </c>
      <c r="M1798" s="13"/>
      <c r="N1798" s="13" t="n">
        <v>8435415113984</v>
      </c>
      <c r="O1798" s="13"/>
      <c r="P1798" s="13" t="s">
        <v>5291</v>
      </c>
      <c r="Q1798" s="13" t="s">
        <v>5289</v>
      </c>
      <c r="R1798" s="13" t="s">
        <v>5292</v>
      </c>
      <c r="S1798" s="13" t="s">
        <v>5293</v>
      </c>
      <c r="T1798" s="13" t="s">
        <v>4</v>
      </c>
      <c r="U1798" s="13" t="s">
        <v>43</v>
      </c>
      <c r="V1798" s="13" t="n">
        <f aca="false">IF(COUNTIF($B$2:B1798,B1798)=1,1,0)</f>
        <v>0</v>
      </c>
      <c r="W1798" s="13" t="n">
        <f aca="false">IF(COUNTIFS($B$2:B1798,B1798,$T$2:T1798,T1798)=1,1,0)</f>
        <v>0</v>
      </c>
    </row>
    <row r="1799" customFormat="false" ht="15" hidden="false" customHeight="false" outlineLevel="0" collapsed="false">
      <c r="A1799" s="13" t="s">
        <v>1669</v>
      </c>
      <c r="B1799" s="13" t="s">
        <v>204</v>
      </c>
      <c r="C1799" s="13" t="n">
        <v>500</v>
      </c>
      <c r="D1799" s="13" t="n">
        <v>1</v>
      </c>
      <c r="E1799" s="13" t="n">
        <v>501.11</v>
      </c>
      <c r="F1799" s="13" t="s">
        <v>5325</v>
      </c>
      <c r="G1799" s="13" t="s">
        <v>5292</v>
      </c>
      <c r="H1799" s="13" t="s">
        <v>5292</v>
      </c>
      <c r="I1799" s="13" t="s">
        <v>5289</v>
      </c>
      <c r="J1799" s="13" t="s">
        <v>5289</v>
      </c>
      <c r="K1799" s="13" t="s">
        <v>5289</v>
      </c>
      <c r="L1799" s="13" t="s">
        <v>5792</v>
      </c>
      <c r="M1799" s="13"/>
      <c r="N1799" s="13" t="n">
        <v>7640496670238</v>
      </c>
      <c r="O1799" s="13"/>
      <c r="P1799" s="13" t="s">
        <v>5297</v>
      </c>
      <c r="Q1799" s="13" t="s">
        <v>5289</v>
      </c>
      <c r="R1799" s="13" t="s">
        <v>5292</v>
      </c>
      <c r="S1799" s="13" t="s">
        <v>5293</v>
      </c>
      <c r="T1799" s="13" t="s">
        <v>4</v>
      </c>
      <c r="U1799" s="13" t="s">
        <v>43</v>
      </c>
      <c r="V1799" s="13" t="n">
        <f aca="false">IF(COUNTIF($B$2:B1799,B1799)=1,1,0)</f>
        <v>0</v>
      </c>
      <c r="W1799" s="13" t="n">
        <f aca="false">IF(COUNTIFS($B$2:B1799,B1799,$T$2:T1799,T1799)=1,1,0)</f>
        <v>0</v>
      </c>
    </row>
    <row r="1800" customFormat="false" ht="15" hidden="false" customHeight="false" outlineLevel="0" collapsed="false">
      <c r="A1800" s="13" t="s">
        <v>1668</v>
      </c>
      <c r="B1800" s="13" t="s">
        <v>177</v>
      </c>
      <c r="C1800" s="13" t="n">
        <v>500</v>
      </c>
      <c r="D1800" s="13" t="n">
        <v>1</v>
      </c>
      <c r="E1800" s="13" t="n">
        <v>498.6</v>
      </c>
      <c r="F1800" s="13" t="s">
        <v>5325</v>
      </c>
      <c r="G1800" s="13" t="s">
        <v>5292</v>
      </c>
      <c r="H1800" s="13" t="s">
        <v>5292</v>
      </c>
      <c r="I1800" s="13" t="s">
        <v>5289</v>
      </c>
      <c r="J1800" s="13" t="s">
        <v>5289</v>
      </c>
      <c r="K1800" s="13" t="s">
        <v>5289</v>
      </c>
      <c r="L1800" s="13" t="s">
        <v>6260</v>
      </c>
      <c r="M1800" s="13"/>
      <c r="N1800" s="13" t="n">
        <v>737052339207</v>
      </c>
      <c r="O1800" s="13"/>
      <c r="P1800" s="13" t="s">
        <v>5297</v>
      </c>
      <c r="Q1800" s="13" t="s">
        <v>5289</v>
      </c>
      <c r="R1800" s="13" t="s">
        <v>5292</v>
      </c>
      <c r="S1800" s="13" t="s">
        <v>5293</v>
      </c>
      <c r="T1800" s="13" t="s">
        <v>4</v>
      </c>
      <c r="U1800" s="13" t="s">
        <v>43</v>
      </c>
      <c r="V1800" s="13" t="n">
        <f aca="false">IF(COUNTIF($B$2:B1800,B1800)=1,1,0)</f>
        <v>0</v>
      </c>
      <c r="W1800" s="13" t="n">
        <f aca="false">IF(COUNTIFS($B$2:B1800,B1800,$T$2:T1800,T1800)=1,1,0)</f>
        <v>0</v>
      </c>
    </row>
    <row r="1801" customFormat="false" ht="15" hidden="false" customHeight="false" outlineLevel="0" collapsed="false">
      <c r="A1801" s="13" t="s">
        <v>816</v>
      </c>
      <c r="B1801" s="13" t="s">
        <v>42</v>
      </c>
      <c r="C1801" s="13" t="n">
        <v>500</v>
      </c>
      <c r="D1801" s="13" t="n">
        <v>2</v>
      </c>
      <c r="E1801" s="13" t="n">
        <v>249.15</v>
      </c>
      <c r="F1801" s="13" t="s">
        <v>5325</v>
      </c>
      <c r="G1801" s="13" t="s">
        <v>5292</v>
      </c>
      <c r="H1801" s="13" t="s">
        <v>5289</v>
      </c>
      <c r="I1801" s="13" t="s">
        <v>5289</v>
      </c>
      <c r="J1801" s="13" t="s">
        <v>5289</v>
      </c>
      <c r="K1801" s="13" t="s">
        <v>5289</v>
      </c>
      <c r="L1801" s="13" t="s">
        <v>6000</v>
      </c>
      <c r="M1801" s="13"/>
      <c r="N1801" s="13" t="n">
        <v>8411061023167</v>
      </c>
      <c r="O1801" s="13"/>
      <c r="P1801" s="13" t="s">
        <v>5291</v>
      </c>
      <c r="Q1801" s="13" t="s">
        <v>5289</v>
      </c>
      <c r="R1801" s="13" t="s">
        <v>5292</v>
      </c>
      <c r="S1801" s="13" t="s">
        <v>5293</v>
      </c>
      <c r="T1801" s="13" t="s">
        <v>4</v>
      </c>
      <c r="U1801" s="13" t="s">
        <v>43</v>
      </c>
      <c r="V1801" s="13" t="n">
        <f aca="false">IF(COUNTIF($B$2:B1801,B1801)=1,1,0)</f>
        <v>0</v>
      </c>
      <c r="W1801" s="13" t="n">
        <f aca="false">IF(COUNTIFS($B$2:B1801,B1801,$T$2:T1801,T1801)=1,1,0)</f>
        <v>0</v>
      </c>
    </row>
    <row r="1802" customFormat="false" ht="15" hidden="false" customHeight="false" outlineLevel="0" collapsed="false">
      <c r="A1802" s="13" t="s">
        <v>902</v>
      </c>
      <c r="B1802" s="13" t="s">
        <v>42</v>
      </c>
      <c r="C1802" s="13" t="n">
        <v>500</v>
      </c>
      <c r="D1802" s="13" t="n">
        <v>1</v>
      </c>
      <c r="E1802" s="13" t="n">
        <v>497.51</v>
      </c>
      <c r="F1802" s="13" t="s">
        <v>5288</v>
      </c>
      <c r="G1802" s="13" t="s">
        <v>5289</v>
      </c>
      <c r="H1802" s="13" t="s">
        <v>5292</v>
      </c>
      <c r="I1802" s="13" t="s">
        <v>5289</v>
      </c>
      <c r="J1802" s="13" t="s">
        <v>5289</v>
      </c>
      <c r="K1802" s="13" t="s">
        <v>5289</v>
      </c>
      <c r="L1802" s="13" t="s">
        <v>5755</v>
      </c>
      <c r="M1802" s="13"/>
      <c r="N1802" s="13" t="n">
        <v>8411061123591</v>
      </c>
      <c r="O1802" s="13"/>
      <c r="P1802" s="13" t="s">
        <v>5291</v>
      </c>
      <c r="Q1802" s="13" t="s">
        <v>5289</v>
      </c>
      <c r="R1802" s="13" t="s">
        <v>5292</v>
      </c>
      <c r="S1802" s="13" t="s">
        <v>5293</v>
      </c>
      <c r="T1802" s="13" t="s">
        <v>4</v>
      </c>
      <c r="U1802" s="13" t="s">
        <v>43</v>
      </c>
      <c r="V1802" s="13" t="n">
        <f aca="false">IF(COUNTIF($B$2:B1802,B1802)=1,1,0)</f>
        <v>0</v>
      </c>
      <c r="W1802" s="13" t="n">
        <f aca="false">IF(COUNTIFS($B$2:B1802,B1802,$T$2:T1802,T1802)=1,1,0)</f>
        <v>0</v>
      </c>
    </row>
    <row r="1803" customFormat="false" ht="15" hidden="false" customHeight="false" outlineLevel="0" collapsed="false">
      <c r="A1803" s="13" t="s">
        <v>1667</v>
      </c>
      <c r="B1803" s="13" t="s">
        <v>42</v>
      </c>
      <c r="C1803" s="13" t="n">
        <v>500</v>
      </c>
      <c r="D1803" s="13" t="n">
        <v>1</v>
      </c>
      <c r="E1803" s="13" t="n">
        <v>497.51</v>
      </c>
      <c r="F1803" s="13" t="s">
        <v>5325</v>
      </c>
      <c r="G1803" s="13" t="s">
        <v>5289</v>
      </c>
      <c r="H1803" s="13" t="s">
        <v>5292</v>
      </c>
      <c r="I1803" s="13" t="s">
        <v>5289</v>
      </c>
      <c r="J1803" s="13" t="s">
        <v>5289</v>
      </c>
      <c r="K1803" s="13" t="s">
        <v>5289</v>
      </c>
      <c r="L1803" s="13" t="s">
        <v>5682</v>
      </c>
      <c r="M1803" s="13"/>
      <c r="N1803" s="13" t="n">
        <v>8411061056776</v>
      </c>
      <c r="O1803" s="13"/>
      <c r="P1803" s="13" t="s">
        <v>5291</v>
      </c>
      <c r="Q1803" s="13" t="s">
        <v>5289</v>
      </c>
      <c r="R1803" s="13" t="s">
        <v>5292</v>
      </c>
      <c r="S1803" s="13" t="s">
        <v>5293</v>
      </c>
      <c r="T1803" s="13" t="s">
        <v>4</v>
      </c>
      <c r="U1803" s="13" t="s">
        <v>43</v>
      </c>
      <c r="V1803" s="13" t="n">
        <f aca="false">IF(COUNTIF($B$2:B1803,B1803)=1,1,0)</f>
        <v>0</v>
      </c>
      <c r="W1803" s="13" t="n">
        <f aca="false">IF(COUNTIFS($B$2:B1803,B1803,$T$2:T1803,T1803)=1,1,0)</f>
        <v>0</v>
      </c>
    </row>
    <row r="1804" customFormat="false" ht="15" hidden="false" customHeight="false" outlineLevel="0" collapsed="false">
      <c r="A1804" s="13" t="s">
        <v>1666</v>
      </c>
      <c r="B1804" s="13" t="s">
        <v>105</v>
      </c>
      <c r="C1804" s="13" t="n">
        <v>500</v>
      </c>
      <c r="D1804" s="13" t="n">
        <v>1</v>
      </c>
      <c r="E1804" s="13" t="n">
        <v>495.41</v>
      </c>
      <c r="F1804" s="13" t="s">
        <v>5288</v>
      </c>
      <c r="G1804" s="13" t="s">
        <v>5289</v>
      </c>
      <c r="H1804" s="13" t="s">
        <v>5289</v>
      </c>
      <c r="I1804" s="13" t="s">
        <v>5289</v>
      </c>
      <c r="J1804" s="13" t="s">
        <v>5289</v>
      </c>
      <c r="K1804" s="13" t="s">
        <v>5289</v>
      </c>
      <c r="L1804" s="13" t="s">
        <v>6069</v>
      </c>
      <c r="M1804" s="13"/>
      <c r="N1804" s="13" t="n">
        <v>737052972305</v>
      </c>
      <c r="O1804" s="13"/>
      <c r="P1804" s="13" t="s">
        <v>5297</v>
      </c>
      <c r="Q1804" s="13" t="s">
        <v>5289</v>
      </c>
      <c r="R1804" s="13" t="s">
        <v>5292</v>
      </c>
      <c r="S1804" s="13" t="s">
        <v>5293</v>
      </c>
      <c r="T1804" s="13" t="s">
        <v>4</v>
      </c>
      <c r="U1804" s="13" t="s">
        <v>43</v>
      </c>
      <c r="V1804" s="13" t="n">
        <f aca="false">IF(COUNTIF($B$2:B1804,B1804)=1,1,0)</f>
        <v>0</v>
      </c>
      <c r="W1804" s="13" t="n">
        <f aca="false">IF(COUNTIFS($B$2:B1804,B1804,$T$2:T1804,T1804)=1,1,0)</f>
        <v>0</v>
      </c>
    </row>
    <row r="1805" customFormat="false" ht="15" hidden="false" customHeight="false" outlineLevel="0" collapsed="false">
      <c r="A1805" s="13" t="s">
        <v>288</v>
      </c>
      <c r="B1805" s="13" t="s">
        <v>105</v>
      </c>
      <c r="C1805" s="13" t="n">
        <v>490</v>
      </c>
      <c r="D1805" s="13" t="n">
        <v>1</v>
      </c>
      <c r="E1805" s="13" t="n">
        <v>494.34</v>
      </c>
      <c r="F1805" s="13" t="s">
        <v>5325</v>
      </c>
      <c r="G1805" s="13" t="s">
        <v>5289</v>
      </c>
      <c r="H1805" s="13" t="s">
        <v>5292</v>
      </c>
      <c r="I1805" s="13" t="s">
        <v>5289</v>
      </c>
      <c r="J1805" s="13" t="s">
        <v>5289</v>
      </c>
      <c r="K1805" s="13" t="s">
        <v>5289</v>
      </c>
      <c r="L1805" s="13" t="s">
        <v>6005</v>
      </c>
      <c r="M1805" s="13"/>
      <c r="N1805" s="13" t="n">
        <v>737052351100</v>
      </c>
      <c r="O1805" s="13"/>
      <c r="P1805" s="13" t="s">
        <v>5291</v>
      </c>
      <c r="Q1805" s="13" t="s">
        <v>5289</v>
      </c>
      <c r="R1805" s="13" t="s">
        <v>5292</v>
      </c>
      <c r="S1805" s="13" t="s">
        <v>5293</v>
      </c>
      <c r="T1805" s="13" t="s">
        <v>4</v>
      </c>
      <c r="U1805" s="13" t="s">
        <v>43</v>
      </c>
      <c r="V1805" s="13" t="n">
        <f aca="false">IF(COUNTIF($B$2:B1805,B1805)=1,1,0)</f>
        <v>0</v>
      </c>
      <c r="W1805" s="13" t="n">
        <f aca="false">IF(COUNTIFS($B$2:B1805,B1805,$T$2:T1805,T1805)=1,1,0)</f>
        <v>0</v>
      </c>
    </row>
    <row r="1806" customFormat="false" ht="15" hidden="false" customHeight="false" outlineLevel="0" collapsed="false">
      <c r="A1806" s="13" t="s">
        <v>635</v>
      </c>
      <c r="B1806" s="13" t="s">
        <v>329</v>
      </c>
      <c r="C1806" s="13" t="n">
        <v>490</v>
      </c>
      <c r="D1806" s="13" t="n">
        <v>1</v>
      </c>
      <c r="E1806" s="13" t="n">
        <v>493.05</v>
      </c>
      <c r="F1806" s="13" t="s">
        <v>5325</v>
      </c>
      <c r="G1806" s="13" t="s">
        <v>5292</v>
      </c>
      <c r="H1806" s="13" t="s">
        <v>5289</v>
      </c>
      <c r="I1806" s="13" t="s">
        <v>5289</v>
      </c>
      <c r="J1806" s="13" t="s">
        <v>5289</v>
      </c>
      <c r="K1806" s="13" t="s">
        <v>5289</v>
      </c>
      <c r="L1806" s="13" t="s">
        <v>6261</v>
      </c>
      <c r="M1806" s="13"/>
      <c r="N1806" s="13" t="n">
        <v>3137370357711</v>
      </c>
      <c r="O1806" s="13"/>
      <c r="P1806" s="13" t="s">
        <v>5291</v>
      </c>
      <c r="Q1806" s="13" t="s">
        <v>5289</v>
      </c>
      <c r="R1806" s="13" t="s">
        <v>5292</v>
      </c>
      <c r="S1806" s="13" t="s">
        <v>5293</v>
      </c>
      <c r="T1806" s="13" t="s">
        <v>4</v>
      </c>
      <c r="U1806" s="13" t="s">
        <v>43</v>
      </c>
      <c r="V1806" s="13" t="n">
        <f aca="false">IF(COUNTIF($B$2:B1806,B1806)=1,1,0)</f>
        <v>0</v>
      </c>
      <c r="W1806" s="13" t="n">
        <f aca="false">IF(COUNTIFS($B$2:B1806,B1806,$T$2:T1806,T1806)=1,1,0)</f>
        <v>0</v>
      </c>
    </row>
    <row r="1807" customFormat="false" ht="15" hidden="false" customHeight="false" outlineLevel="0" collapsed="false">
      <c r="A1807" s="13" t="s">
        <v>1671</v>
      </c>
      <c r="B1807" s="13" t="s">
        <v>79</v>
      </c>
      <c r="C1807" s="13" t="n">
        <v>490</v>
      </c>
      <c r="D1807" s="13" t="n">
        <v>1</v>
      </c>
      <c r="E1807" s="13" t="n">
        <v>492.55</v>
      </c>
      <c r="F1807" s="13" t="s">
        <v>5288</v>
      </c>
      <c r="G1807" s="13" t="s">
        <v>5289</v>
      </c>
      <c r="H1807" s="13" t="s">
        <v>5292</v>
      </c>
      <c r="I1807" s="13" t="s">
        <v>5289</v>
      </c>
      <c r="J1807" s="13" t="s">
        <v>5289</v>
      </c>
      <c r="K1807" s="13" t="s">
        <v>5289</v>
      </c>
      <c r="L1807" s="13" t="s">
        <v>6063</v>
      </c>
      <c r="M1807" s="13"/>
      <c r="N1807" s="13" t="n">
        <v>8057971180431</v>
      </c>
      <c r="O1807" s="13"/>
      <c r="P1807" s="13" t="s">
        <v>5291</v>
      </c>
      <c r="Q1807" s="13" t="s">
        <v>5289</v>
      </c>
      <c r="R1807" s="13" t="s">
        <v>5292</v>
      </c>
      <c r="S1807" s="13" t="s">
        <v>5293</v>
      </c>
      <c r="T1807" s="13" t="s">
        <v>4</v>
      </c>
      <c r="U1807" s="13" t="s">
        <v>43</v>
      </c>
      <c r="V1807" s="13" t="n">
        <f aca="false">IF(COUNTIF($B$2:B1807,B1807)=1,1,0)</f>
        <v>0</v>
      </c>
      <c r="W1807" s="13" t="n">
        <f aca="false">IF(COUNTIFS($B$2:B1807,B1807,$T$2:T1807,T1807)=1,1,0)</f>
        <v>0</v>
      </c>
    </row>
    <row r="1808" customFormat="false" ht="15" hidden="false" customHeight="false" outlineLevel="0" collapsed="false">
      <c r="A1808" s="13" t="s">
        <v>1673</v>
      </c>
      <c r="B1808" s="13" t="s">
        <v>45</v>
      </c>
      <c r="C1808" s="13" t="n">
        <v>490</v>
      </c>
      <c r="D1808" s="13" t="n">
        <v>1</v>
      </c>
      <c r="E1808" s="13" t="n">
        <v>492.37</v>
      </c>
      <c r="F1808" s="13" t="s">
        <v>5325</v>
      </c>
      <c r="G1808" s="13" t="s">
        <v>5292</v>
      </c>
      <c r="H1808" s="13" t="s">
        <v>5292</v>
      </c>
      <c r="I1808" s="13" t="s">
        <v>5289</v>
      </c>
      <c r="J1808" s="13" t="s">
        <v>5289</v>
      </c>
      <c r="K1808" s="13" t="s">
        <v>5289</v>
      </c>
      <c r="L1808" s="13" t="s">
        <v>5801</v>
      </c>
      <c r="M1808" s="13"/>
      <c r="N1808" s="13" t="n">
        <v>8435415103121</v>
      </c>
      <c r="O1808" s="13"/>
      <c r="P1808" s="13" t="s">
        <v>5291</v>
      </c>
      <c r="Q1808" s="13" t="s">
        <v>5289</v>
      </c>
      <c r="R1808" s="13" t="s">
        <v>5292</v>
      </c>
      <c r="S1808" s="13" t="s">
        <v>5293</v>
      </c>
      <c r="T1808" s="13" t="s">
        <v>4</v>
      </c>
      <c r="U1808" s="13" t="s">
        <v>43</v>
      </c>
      <c r="V1808" s="13" t="n">
        <f aca="false">IF(COUNTIF($B$2:B1808,B1808)=1,1,0)</f>
        <v>0</v>
      </c>
      <c r="W1808" s="13" t="n">
        <f aca="false">IF(COUNTIFS($B$2:B1808,B1808,$T$2:T1808,T1808)=1,1,0)</f>
        <v>0</v>
      </c>
    </row>
    <row r="1809" customFormat="false" ht="15" hidden="false" customHeight="false" outlineLevel="0" collapsed="false">
      <c r="A1809" s="13" t="s">
        <v>6262</v>
      </c>
      <c r="B1809" s="13" t="s">
        <v>2198</v>
      </c>
      <c r="C1809" s="13" t="n">
        <v>490</v>
      </c>
      <c r="D1809" s="13" t="n">
        <v>2</v>
      </c>
      <c r="E1809" s="13" t="n">
        <v>244.61</v>
      </c>
      <c r="F1809" s="13" t="s">
        <v>5288</v>
      </c>
      <c r="G1809" s="13" t="s">
        <v>5289</v>
      </c>
      <c r="H1809" s="13" t="s">
        <v>5289</v>
      </c>
      <c r="I1809" s="13" t="s">
        <v>5289</v>
      </c>
      <c r="J1809" s="13" t="s">
        <v>5289</v>
      </c>
      <c r="K1809" s="13" t="s">
        <v>5289</v>
      </c>
      <c r="L1809" s="13" t="s">
        <v>6121</v>
      </c>
      <c r="M1809" s="13"/>
      <c r="N1809" s="13" t="n">
        <v>3494800710035</v>
      </c>
      <c r="O1809" s="13"/>
      <c r="P1809" s="13" t="s">
        <v>5291</v>
      </c>
      <c r="Q1809" s="13" t="s">
        <v>5289</v>
      </c>
      <c r="R1809" s="13" t="s">
        <v>5292</v>
      </c>
      <c r="S1809" s="13" t="s">
        <v>5293</v>
      </c>
      <c r="T1809" s="13" t="s">
        <v>4</v>
      </c>
      <c r="U1809" s="13" t="s">
        <v>43</v>
      </c>
      <c r="V1809" s="13" t="n">
        <f aca="false">IF(COUNTIF($B$2:B1809,B1809)=1,1,0)</f>
        <v>0</v>
      </c>
      <c r="W1809" s="13" t="n">
        <f aca="false">IF(COUNTIFS($B$2:B1809,B1809,$T$2:T1809,T1809)=1,1,0)</f>
        <v>0</v>
      </c>
    </row>
    <row r="1810" customFormat="false" ht="15" hidden="false" customHeight="false" outlineLevel="0" collapsed="false">
      <c r="A1810" s="13" t="s">
        <v>1686</v>
      </c>
      <c r="B1810" s="13" t="s">
        <v>490</v>
      </c>
      <c r="C1810" s="13" t="n">
        <v>480</v>
      </c>
      <c r="D1810" s="13" t="n">
        <v>2</v>
      </c>
      <c r="E1810" s="13" t="n">
        <v>161.1</v>
      </c>
      <c r="F1810" s="13" t="s">
        <v>5288</v>
      </c>
      <c r="G1810" s="13" t="s">
        <v>5292</v>
      </c>
      <c r="H1810" s="13" t="s">
        <v>5292</v>
      </c>
      <c r="I1810" s="13" t="s">
        <v>5289</v>
      </c>
      <c r="J1810" s="13" t="s">
        <v>5289</v>
      </c>
      <c r="K1810" s="13" t="s">
        <v>5289</v>
      </c>
      <c r="L1810" s="13" t="s">
        <v>6263</v>
      </c>
      <c r="M1810" s="13"/>
      <c r="N1810" s="13" t="n">
        <v>8011003838387</v>
      </c>
      <c r="O1810" s="13"/>
      <c r="P1810" s="13" t="s">
        <v>5291</v>
      </c>
      <c r="Q1810" s="13" t="s">
        <v>5289</v>
      </c>
      <c r="R1810" s="13" t="s">
        <v>5292</v>
      </c>
      <c r="S1810" s="13" t="s">
        <v>5293</v>
      </c>
      <c r="T1810" s="13" t="s">
        <v>4</v>
      </c>
      <c r="U1810" s="13" t="s">
        <v>43</v>
      </c>
      <c r="V1810" s="13" t="n">
        <f aca="false">IF(COUNTIF($B$2:B1810,B1810)=1,1,0)</f>
        <v>0</v>
      </c>
      <c r="W1810" s="13" t="n">
        <f aca="false">IF(COUNTIFS($B$2:B1810,B1810,$T$2:T1810,T1810)=1,1,0)</f>
        <v>0</v>
      </c>
    </row>
    <row r="1811" customFormat="false" ht="15" hidden="false" customHeight="false" outlineLevel="0" collapsed="false">
      <c r="A1811" s="13" t="s">
        <v>1687</v>
      </c>
      <c r="B1811" s="13" t="s">
        <v>45</v>
      </c>
      <c r="C1811" s="13" t="n">
        <v>480</v>
      </c>
      <c r="D1811" s="13" t="n">
        <v>1</v>
      </c>
      <c r="E1811" s="13" t="n">
        <v>483.12</v>
      </c>
      <c r="F1811" s="13" t="s">
        <v>5288</v>
      </c>
      <c r="G1811" s="13" t="s">
        <v>5289</v>
      </c>
      <c r="H1811" s="13" t="s">
        <v>5292</v>
      </c>
      <c r="I1811" s="13" t="s">
        <v>5289</v>
      </c>
      <c r="J1811" s="13" t="s">
        <v>5289</v>
      </c>
      <c r="K1811" s="13" t="s">
        <v>5289</v>
      </c>
      <c r="L1811" s="13" t="s">
        <v>6077</v>
      </c>
      <c r="M1811" s="13"/>
      <c r="N1811" s="13" t="n">
        <v>8435415102681</v>
      </c>
      <c r="O1811" s="13"/>
      <c r="P1811" s="13" t="s">
        <v>5291</v>
      </c>
      <c r="Q1811" s="13" t="s">
        <v>5289</v>
      </c>
      <c r="R1811" s="13" t="s">
        <v>5292</v>
      </c>
      <c r="S1811" s="13" t="s">
        <v>5293</v>
      </c>
      <c r="T1811" s="13" t="s">
        <v>4</v>
      </c>
      <c r="U1811" s="13" t="s">
        <v>43</v>
      </c>
      <c r="V1811" s="13" t="n">
        <f aca="false">IF(COUNTIF($B$2:B1811,B1811)=1,1,0)</f>
        <v>0</v>
      </c>
      <c r="W1811" s="13" t="n">
        <f aca="false">IF(COUNTIFS($B$2:B1811,B1811,$T$2:T1811,T1811)=1,1,0)</f>
        <v>0</v>
      </c>
    </row>
    <row r="1812" customFormat="false" ht="15" hidden="false" customHeight="false" outlineLevel="0" collapsed="false">
      <c r="A1812" s="13" t="s">
        <v>1682</v>
      </c>
      <c r="B1812" s="13" t="s">
        <v>45</v>
      </c>
      <c r="C1812" s="13" t="n">
        <v>480</v>
      </c>
      <c r="D1812" s="13" t="n">
        <v>1</v>
      </c>
      <c r="E1812" s="13" t="n">
        <v>483.12</v>
      </c>
      <c r="F1812" s="13" t="s">
        <v>5288</v>
      </c>
      <c r="G1812" s="13" t="s">
        <v>5289</v>
      </c>
      <c r="H1812" s="13" t="s">
        <v>5292</v>
      </c>
      <c r="I1812" s="13" t="s">
        <v>5289</v>
      </c>
      <c r="J1812" s="13" t="s">
        <v>5289</v>
      </c>
      <c r="K1812" s="13" t="s">
        <v>5289</v>
      </c>
      <c r="L1812" s="13" t="s">
        <v>5892</v>
      </c>
      <c r="M1812" s="13"/>
      <c r="N1812" s="13" t="n">
        <v>8435415050777</v>
      </c>
      <c r="O1812" s="13"/>
      <c r="P1812" s="13" t="s">
        <v>5291</v>
      </c>
      <c r="Q1812" s="13" t="s">
        <v>5289</v>
      </c>
      <c r="R1812" s="13" t="s">
        <v>5292</v>
      </c>
      <c r="S1812" s="13" t="s">
        <v>5293</v>
      </c>
      <c r="T1812" s="13" t="s">
        <v>4</v>
      </c>
      <c r="U1812" s="13" t="s">
        <v>43</v>
      </c>
      <c r="V1812" s="13" t="n">
        <f aca="false">IF(COUNTIF($B$2:B1812,B1812)=1,1,0)</f>
        <v>0</v>
      </c>
      <c r="W1812" s="13" t="n">
        <f aca="false">IF(COUNTIFS($B$2:B1812,B1812,$T$2:T1812,T1812)=1,1,0)</f>
        <v>0</v>
      </c>
    </row>
    <row r="1813" customFormat="false" ht="15" hidden="false" customHeight="false" outlineLevel="0" collapsed="false">
      <c r="A1813" s="13" t="s">
        <v>1280</v>
      </c>
      <c r="B1813" s="13" t="s">
        <v>153</v>
      </c>
      <c r="C1813" s="13" t="n">
        <v>480</v>
      </c>
      <c r="D1813" s="13" t="n">
        <v>1</v>
      </c>
      <c r="E1813" s="13" t="n">
        <v>482.82</v>
      </c>
      <c r="F1813" s="13" t="s">
        <v>5288</v>
      </c>
      <c r="G1813" s="13" t="s">
        <v>5289</v>
      </c>
      <c r="H1813" s="13" t="s">
        <v>5289</v>
      </c>
      <c r="I1813" s="13" t="s">
        <v>5289</v>
      </c>
      <c r="J1813" s="13" t="s">
        <v>5289</v>
      </c>
      <c r="K1813" s="13" t="s">
        <v>5289</v>
      </c>
      <c r="L1813" s="13" t="s">
        <v>6264</v>
      </c>
      <c r="M1813" s="13"/>
      <c r="N1813" s="13" t="n">
        <v>8011003997015</v>
      </c>
      <c r="O1813" s="13"/>
      <c r="P1813" s="13" t="s">
        <v>5291</v>
      </c>
      <c r="Q1813" s="13" t="s">
        <v>5289</v>
      </c>
      <c r="R1813" s="13" t="s">
        <v>5292</v>
      </c>
      <c r="S1813" s="13" t="s">
        <v>5293</v>
      </c>
      <c r="T1813" s="13" t="s">
        <v>4</v>
      </c>
      <c r="U1813" s="13" t="s">
        <v>43</v>
      </c>
      <c r="V1813" s="13" t="n">
        <f aca="false">IF(COUNTIF($B$2:B1813,B1813)=1,1,0)</f>
        <v>0</v>
      </c>
      <c r="W1813" s="13" t="n">
        <f aca="false">IF(COUNTIFS($B$2:B1813,B1813,$T$2:T1813,T1813)=1,1,0)</f>
        <v>0</v>
      </c>
    </row>
    <row r="1814" customFormat="false" ht="15" hidden="false" customHeight="false" outlineLevel="0" collapsed="false">
      <c r="A1814" s="13" t="s">
        <v>1688</v>
      </c>
      <c r="B1814" s="13" t="s">
        <v>255</v>
      </c>
      <c r="C1814" s="13" t="n">
        <v>480</v>
      </c>
      <c r="D1814" s="13" t="n">
        <v>2</v>
      </c>
      <c r="E1814" s="13" t="n">
        <v>240.72</v>
      </c>
      <c r="F1814" s="13" t="s">
        <v>5288</v>
      </c>
      <c r="G1814" s="13" t="s">
        <v>5289</v>
      </c>
      <c r="H1814" s="13" t="s">
        <v>5292</v>
      </c>
      <c r="I1814" s="13" t="s">
        <v>5289</v>
      </c>
      <c r="J1814" s="13" t="s">
        <v>5289</v>
      </c>
      <c r="K1814" s="13" t="s">
        <v>5289</v>
      </c>
      <c r="L1814" s="13" t="s">
        <v>6265</v>
      </c>
      <c r="M1814" s="13"/>
      <c r="N1814" s="13" t="n">
        <v>5055810014926</v>
      </c>
      <c r="O1814" s="13"/>
      <c r="P1814" s="13" t="s">
        <v>5291</v>
      </c>
      <c r="Q1814" s="13" t="s">
        <v>5289</v>
      </c>
      <c r="R1814" s="13" t="s">
        <v>5292</v>
      </c>
      <c r="S1814" s="13" t="s">
        <v>5293</v>
      </c>
      <c r="T1814" s="13" t="s">
        <v>4</v>
      </c>
      <c r="U1814" s="13" t="s">
        <v>43</v>
      </c>
      <c r="V1814" s="13" t="n">
        <f aca="false">IF(COUNTIF($B$2:B1814,B1814)=1,1,0)</f>
        <v>0</v>
      </c>
      <c r="W1814" s="13" t="n">
        <f aca="false">IF(COUNTIFS($B$2:B1814,B1814,$T$2:T1814,T1814)=1,1,0)</f>
        <v>0</v>
      </c>
    </row>
    <row r="1815" customFormat="false" ht="15" hidden="false" customHeight="false" outlineLevel="0" collapsed="false">
      <c r="A1815" s="13" t="s">
        <v>1692</v>
      </c>
      <c r="B1815" s="13" t="s">
        <v>362</v>
      </c>
      <c r="C1815" s="13" t="n">
        <v>480</v>
      </c>
      <c r="D1815" s="13" t="n">
        <v>1</v>
      </c>
      <c r="E1815" s="13" t="n">
        <v>481.4</v>
      </c>
      <c r="F1815" s="13" t="s">
        <v>5288</v>
      </c>
      <c r="G1815" s="13" t="s">
        <v>5292</v>
      </c>
      <c r="H1815" s="13" t="s">
        <v>5292</v>
      </c>
      <c r="I1815" s="13" t="s">
        <v>5289</v>
      </c>
      <c r="J1815" s="13" t="s">
        <v>5289</v>
      </c>
      <c r="K1815" s="13" t="s">
        <v>5289</v>
      </c>
      <c r="L1815" s="13" t="s">
        <v>6241</v>
      </c>
      <c r="M1815" s="13"/>
      <c r="N1815" s="13" t="n">
        <v>3386460155403</v>
      </c>
      <c r="O1815" s="13"/>
      <c r="P1815" s="13" t="s">
        <v>5291</v>
      </c>
      <c r="Q1815" s="13" t="s">
        <v>5289</v>
      </c>
      <c r="R1815" s="13" t="s">
        <v>5292</v>
      </c>
      <c r="S1815" s="13" t="s">
        <v>5293</v>
      </c>
      <c r="T1815" s="13" t="s">
        <v>4</v>
      </c>
      <c r="U1815" s="13" t="s">
        <v>43</v>
      </c>
      <c r="V1815" s="13" t="n">
        <f aca="false">IF(COUNTIF($B$2:B1815,B1815)=1,1,0)</f>
        <v>0</v>
      </c>
      <c r="W1815" s="13" t="n">
        <f aca="false">IF(COUNTIFS($B$2:B1815,B1815,$T$2:T1815,T1815)=1,1,0)</f>
        <v>0</v>
      </c>
    </row>
    <row r="1816" customFormat="false" ht="15" hidden="false" customHeight="false" outlineLevel="0" collapsed="false">
      <c r="A1816" s="13" t="s">
        <v>4110</v>
      </c>
      <c r="B1816" s="13" t="s">
        <v>2138</v>
      </c>
      <c r="C1816" s="13" t="n">
        <v>480</v>
      </c>
      <c r="D1816" s="13" t="n">
        <v>1</v>
      </c>
      <c r="E1816" s="13" t="n">
        <v>477.27</v>
      </c>
      <c r="F1816" s="13" t="s">
        <v>5325</v>
      </c>
      <c r="G1816" s="13" t="s">
        <v>5292</v>
      </c>
      <c r="H1816" s="13" t="s">
        <v>5289</v>
      </c>
      <c r="I1816" s="13" t="s">
        <v>5289</v>
      </c>
      <c r="J1816" s="13" t="s">
        <v>5289</v>
      </c>
      <c r="K1816" s="13" t="s">
        <v>5289</v>
      </c>
      <c r="L1816" s="13" t="s">
        <v>6266</v>
      </c>
      <c r="M1816" s="13"/>
      <c r="N1816" s="13" t="n">
        <v>3386460098472</v>
      </c>
      <c r="O1816" s="13"/>
      <c r="P1816" s="13" t="s">
        <v>5291</v>
      </c>
      <c r="Q1816" s="13" t="s">
        <v>5289</v>
      </c>
      <c r="R1816" s="13" t="s">
        <v>5292</v>
      </c>
      <c r="S1816" s="13" t="s">
        <v>5293</v>
      </c>
      <c r="T1816" s="13" t="s">
        <v>4</v>
      </c>
      <c r="U1816" s="13" t="s">
        <v>43</v>
      </c>
      <c r="V1816" s="13" t="n">
        <f aca="false">IF(COUNTIF($B$2:B1816,B1816)=1,1,0)</f>
        <v>0</v>
      </c>
      <c r="W1816" s="13" t="n">
        <f aca="false">IF(COUNTIFS($B$2:B1816,B1816,$T$2:T1816,T1816)=1,1,0)</f>
        <v>0</v>
      </c>
    </row>
    <row r="1817" customFormat="false" ht="15" hidden="false" customHeight="false" outlineLevel="0" collapsed="false">
      <c r="A1817" s="13" t="s">
        <v>1683</v>
      </c>
      <c r="B1817" s="13" t="s">
        <v>45</v>
      </c>
      <c r="C1817" s="13" t="n">
        <v>480</v>
      </c>
      <c r="D1817" s="13" t="n">
        <v>2</v>
      </c>
      <c r="E1817" s="13" t="n">
        <v>237.96</v>
      </c>
      <c r="F1817" s="13" t="s">
        <v>5288</v>
      </c>
      <c r="G1817" s="13" t="s">
        <v>5292</v>
      </c>
      <c r="H1817" s="13" t="s">
        <v>5292</v>
      </c>
      <c r="I1817" s="13" t="s">
        <v>5289</v>
      </c>
      <c r="J1817" s="13" t="s">
        <v>5289</v>
      </c>
      <c r="K1817" s="13" t="s">
        <v>5289</v>
      </c>
      <c r="L1817" s="13" t="s">
        <v>6247</v>
      </c>
      <c r="M1817" s="13"/>
      <c r="N1817" s="13" t="n">
        <v>8435415052375</v>
      </c>
      <c r="O1817" s="13"/>
      <c r="P1817" s="13" t="s">
        <v>5291</v>
      </c>
      <c r="Q1817" s="13" t="s">
        <v>5289</v>
      </c>
      <c r="R1817" s="13" t="s">
        <v>5292</v>
      </c>
      <c r="S1817" s="13" t="s">
        <v>5293</v>
      </c>
      <c r="T1817" s="13" t="s">
        <v>4</v>
      </c>
      <c r="U1817" s="13" t="s">
        <v>43</v>
      </c>
      <c r="V1817" s="13" t="n">
        <f aca="false">IF(COUNTIF($B$2:B1817,B1817)=1,1,0)</f>
        <v>0</v>
      </c>
      <c r="W1817" s="13" t="n">
        <f aca="false">IF(COUNTIFS($B$2:B1817,B1817,$T$2:T1817,T1817)=1,1,0)</f>
        <v>0</v>
      </c>
    </row>
    <row r="1818" customFormat="false" ht="15" hidden="false" customHeight="false" outlineLevel="0" collapsed="false">
      <c r="A1818" s="13" t="s">
        <v>4593</v>
      </c>
      <c r="B1818" s="13" t="s">
        <v>2174</v>
      </c>
      <c r="C1818" s="13" t="n">
        <v>470</v>
      </c>
      <c r="D1818" s="13" t="n">
        <v>2</v>
      </c>
      <c r="E1818" s="13" t="n">
        <v>237.37</v>
      </c>
      <c r="F1818" s="13" t="s">
        <v>5288</v>
      </c>
      <c r="G1818" s="13" t="s">
        <v>5292</v>
      </c>
      <c r="H1818" s="13" t="s">
        <v>5289</v>
      </c>
      <c r="I1818" s="13" t="s">
        <v>5289</v>
      </c>
      <c r="J1818" s="13" t="s">
        <v>5289</v>
      </c>
      <c r="K1818" s="13" t="s">
        <v>5289</v>
      </c>
      <c r="L1818" s="13" t="s">
        <v>6267</v>
      </c>
      <c r="M1818" s="13"/>
      <c r="N1818" s="13" t="n">
        <v>3494800028048</v>
      </c>
      <c r="O1818" s="13"/>
      <c r="P1818" s="13" t="s">
        <v>5297</v>
      </c>
      <c r="Q1818" s="13" t="s">
        <v>5289</v>
      </c>
      <c r="R1818" s="13" t="s">
        <v>5292</v>
      </c>
      <c r="S1818" s="13" t="s">
        <v>5293</v>
      </c>
      <c r="T1818" s="13" t="s">
        <v>4</v>
      </c>
      <c r="U1818" s="13" t="s">
        <v>85</v>
      </c>
      <c r="V1818" s="13" t="n">
        <f aca="false">IF(COUNTIF($B$2:B1818,B1818)=1,1,0)</f>
        <v>0</v>
      </c>
      <c r="W1818" s="13" t="n">
        <f aca="false">IF(COUNTIFS($B$2:B1818,B1818,$T$2:T1818,T1818)=1,1,0)</f>
        <v>0</v>
      </c>
    </row>
    <row r="1819" customFormat="false" ht="15" hidden="false" customHeight="false" outlineLevel="0" collapsed="false">
      <c r="A1819" s="13" t="s">
        <v>2885</v>
      </c>
      <c r="B1819" s="13" t="s">
        <v>2110</v>
      </c>
      <c r="C1819" s="13" t="n">
        <v>470</v>
      </c>
      <c r="D1819" s="13" t="n">
        <v>1</v>
      </c>
      <c r="E1819" s="13" t="n">
        <v>473</v>
      </c>
      <c r="F1819" s="13" t="s">
        <v>5288</v>
      </c>
      <c r="G1819" s="13" t="s">
        <v>5292</v>
      </c>
      <c r="H1819" s="13" t="s">
        <v>5292</v>
      </c>
      <c r="I1819" s="13" t="s">
        <v>5289</v>
      </c>
      <c r="J1819" s="13" t="s">
        <v>5289</v>
      </c>
      <c r="K1819" s="13" t="s">
        <v>5289</v>
      </c>
      <c r="L1819" s="13" t="s">
        <v>5881</v>
      </c>
      <c r="M1819" s="13"/>
      <c r="N1819" s="13" t="n">
        <v>3386460149969</v>
      </c>
      <c r="O1819" s="13"/>
      <c r="P1819" s="13" t="s">
        <v>5291</v>
      </c>
      <c r="Q1819" s="13" t="s">
        <v>5289</v>
      </c>
      <c r="R1819" s="13" t="s">
        <v>5292</v>
      </c>
      <c r="S1819" s="13" t="s">
        <v>5293</v>
      </c>
      <c r="T1819" s="13" t="s">
        <v>4</v>
      </c>
      <c r="U1819" s="13" t="s">
        <v>43</v>
      </c>
      <c r="V1819" s="13" t="n">
        <f aca="false">IF(COUNTIF($B$2:B1819,B1819)=1,1,0)</f>
        <v>0</v>
      </c>
      <c r="W1819" s="13" t="n">
        <f aca="false">IF(COUNTIFS($B$2:B1819,B1819,$T$2:T1819,T1819)=1,1,0)</f>
        <v>0</v>
      </c>
    </row>
    <row r="1820" customFormat="false" ht="15" hidden="false" customHeight="false" outlineLevel="0" collapsed="false">
      <c r="A1820" s="13" t="s">
        <v>301</v>
      </c>
      <c r="B1820" s="13" t="s">
        <v>45</v>
      </c>
      <c r="C1820" s="13" t="n">
        <v>470</v>
      </c>
      <c r="D1820" s="13" t="n">
        <v>1</v>
      </c>
      <c r="E1820" s="13" t="n">
        <v>471.2</v>
      </c>
      <c r="F1820" s="13" t="s">
        <v>5288</v>
      </c>
      <c r="G1820" s="13" t="s">
        <v>5292</v>
      </c>
      <c r="H1820" s="13" t="s">
        <v>5289</v>
      </c>
      <c r="I1820" s="13" t="s">
        <v>5289</v>
      </c>
      <c r="J1820" s="13" t="s">
        <v>5289</v>
      </c>
      <c r="K1820" s="13" t="s">
        <v>5289</v>
      </c>
      <c r="L1820" s="13" t="s">
        <v>6268</v>
      </c>
      <c r="M1820" s="13"/>
      <c r="N1820" s="13" t="n">
        <v>8435415091145</v>
      </c>
      <c r="O1820" s="13"/>
      <c r="P1820" s="13" t="s">
        <v>5291</v>
      </c>
      <c r="Q1820" s="13" t="s">
        <v>5289</v>
      </c>
      <c r="R1820" s="13" t="s">
        <v>5292</v>
      </c>
      <c r="S1820" s="13" t="s">
        <v>5293</v>
      </c>
      <c r="T1820" s="13" t="s">
        <v>4</v>
      </c>
      <c r="U1820" s="13" t="s">
        <v>43</v>
      </c>
      <c r="V1820" s="13" t="n">
        <f aca="false">IF(COUNTIF($B$2:B1820,B1820)=1,1,0)</f>
        <v>0</v>
      </c>
      <c r="W1820" s="13" t="n">
        <f aca="false">IF(COUNTIFS($B$2:B1820,B1820,$T$2:T1820,T1820)=1,1,0)</f>
        <v>0</v>
      </c>
    </row>
    <row r="1821" customFormat="false" ht="15" hidden="false" customHeight="false" outlineLevel="0" collapsed="false">
      <c r="A1821" s="13" t="s">
        <v>1697</v>
      </c>
      <c r="B1821" s="13" t="s">
        <v>42</v>
      </c>
      <c r="C1821" s="13" t="n">
        <v>470</v>
      </c>
      <c r="D1821" s="13" t="n">
        <v>1</v>
      </c>
      <c r="E1821" s="13" t="n">
        <v>469</v>
      </c>
      <c r="F1821" s="13" t="s">
        <v>5288</v>
      </c>
      <c r="G1821" s="13" t="s">
        <v>5289</v>
      </c>
      <c r="H1821" s="13" t="s">
        <v>5292</v>
      </c>
      <c r="I1821" s="13" t="s">
        <v>5289</v>
      </c>
      <c r="J1821" s="13" t="s">
        <v>5289</v>
      </c>
      <c r="K1821" s="13" t="s">
        <v>5289</v>
      </c>
      <c r="L1821" s="13" t="s">
        <v>5698</v>
      </c>
      <c r="M1821" s="13"/>
      <c r="N1821" s="13" t="n">
        <v>8411061081600</v>
      </c>
      <c r="O1821" s="13"/>
      <c r="P1821" s="13" t="s">
        <v>5291</v>
      </c>
      <c r="Q1821" s="13" t="s">
        <v>5289</v>
      </c>
      <c r="R1821" s="13" t="s">
        <v>5292</v>
      </c>
      <c r="S1821" s="13" t="s">
        <v>5293</v>
      </c>
      <c r="T1821" s="13" t="s">
        <v>4</v>
      </c>
      <c r="U1821" s="13" t="s">
        <v>43</v>
      </c>
      <c r="V1821" s="13" t="n">
        <f aca="false">IF(COUNTIF($B$2:B1821,B1821)=1,1,0)</f>
        <v>0</v>
      </c>
      <c r="W1821" s="13" t="n">
        <f aca="false">IF(COUNTIFS($B$2:B1821,B1821,$T$2:T1821,T1821)=1,1,0)</f>
        <v>0</v>
      </c>
    </row>
    <row r="1822" customFormat="false" ht="15" hidden="false" customHeight="false" outlineLevel="0" collapsed="false">
      <c r="A1822" s="13" t="s">
        <v>301</v>
      </c>
      <c r="B1822" s="13" t="s">
        <v>45</v>
      </c>
      <c r="C1822" s="13" t="n">
        <v>460</v>
      </c>
      <c r="D1822" s="13" t="n">
        <v>1</v>
      </c>
      <c r="E1822" s="13" t="n">
        <v>463.3</v>
      </c>
      <c r="F1822" s="13" t="s">
        <v>5288</v>
      </c>
      <c r="G1822" s="13" t="s">
        <v>5292</v>
      </c>
      <c r="H1822" s="13" t="s">
        <v>5289</v>
      </c>
      <c r="I1822" s="13" t="s">
        <v>5289</v>
      </c>
      <c r="J1822" s="13" t="s">
        <v>5289</v>
      </c>
      <c r="K1822" s="13" t="s">
        <v>5289</v>
      </c>
      <c r="L1822" s="13" t="s">
        <v>6269</v>
      </c>
      <c r="M1822" s="13"/>
      <c r="N1822" s="13" t="n">
        <v>8435415076814</v>
      </c>
      <c r="O1822" s="13"/>
      <c r="P1822" s="13" t="s">
        <v>5291</v>
      </c>
      <c r="Q1822" s="13" t="s">
        <v>5289</v>
      </c>
      <c r="R1822" s="13" t="s">
        <v>5292</v>
      </c>
      <c r="S1822" s="13" t="s">
        <v>5293</v>
      </c>
      <c r="T1822" s="13" t="s">
        <v>4</v>
      </c>
      <c r="U1822" s="13" t="s">
        <v>43</v>
      </c>
      <c r="V1822" s="13" t="n">
        <f aca="false">IF(COUNTIF($B$2:B1822,B1822)=1,1,0)</f>
        <v>0</v>
      </c>
      <c r="W1822" s="13" t="n">
        <f aca="false">IF(COUNTIFS($B$2:B1822,B1822,$T$2:T1822,T1822)=1,1,0)</f>
        <v>0</v>
      </c>
    </row>
    <row r="1823" customFormat="false" ht="15" hidden="false" customHeight="false" outlineLevel="0" collapsed="false">
      <c r="A1823" s="13" t="s">
        <v>1150</v>
      </c>
      <c r="B1823" s="13" t="s">
        <v>490</v>
      </c>
      <c r="C1823" s="13" t="n">
        <v>460</v>
      </c>
      <c r="D1823" s="13" t="n">
        <v>1</v>
      </c>
      <c r="E1823" s="13" t="n">
        <v>461.16</v>
      </c>
      <c r="F1823" s="13" t="s">
        <v>5288</v>
      </c>
      <c r="G1823" s="13" t="s">
        <v>5292</v>
      </c>
      <c r="H1823" s="13" t="s">
        <v>5292</v>
      </c>
      <c r="I1823" s="13" t="s">
        <v>5289</v>
      </c>
      <c r="J1823" s="13" t="s">
        <v>5289</v>
      </c>
      <c r="K1823" s="13" t="s">
        <v>5289</v>
      </c>
      <c r="L1823" s="13" t="s">
        <v>6270</v>
      </c>
      <c r="M1823" s="13"/>
      <c r="N1823" s="13" t="n">
        <v>8011003906338</v>
      </c>
      <c r="O1823" s="13"/>
      <c r="P1823" s="13" t="s">
        <v>5291</v>
      </c>
      <c r="Q1823" s="13" t="s">
        <v>5289</v>
      </c>
      <c r="R1823" s="13" t="s">
        <v>5292</v>
      </c>
      <c r="S1823" s="13" t="s">
        <v>5293</v>
      </c>
      <c r="T1823" s="13" t="s">
        <v>4</v>
      </c>
      <c r="U1823" s="13" t="s">
        <v>43</v>
      </c>
      <c r="V1823" s="13" t="n">
        <f aca="false">IF(COUNTIF($B$2:B1823,B1823)=1,1,0)</f>
        <v>0</v>
      </c>
      <c r="W1823" s="13" t="n">
        <f aca="false">IF(COUNTIFS($B$2:B1823,B1823,$T$2:T1823,T1823)=1,1,0)</f>
        <v>0</v>
      </c>
    </row>
    <row r="1824" customFormat="false" ht="15" hidden="false" customHeight="false" outlineLevel="0" collapsed="false">
      <c r="A1824" s="13" t="s">
        <v>6271</v>
      </c>
      <c r="B1824" s="13" t="s">
        <v>2138</v>
      </c>
      <c r="C1824" s="13" t="n">
        <v>460</v>
      </c>
      <c r="D1824" s="13" t="n">
        <v>1</v>
      </c>
      <c r="E1824" s="13" t="n">
        <v>460.08</v>
      </c>
      <c r="F1824" s="13" t="s">
        <v>5288</v>
      </c>
      <c r="G1824" s="13" t="s">
        <v>5292</v>
      </c>
      <c r="H1824" s="13" t="s">
        <v>5292</v>
      </c>
      <c r="I1824" s="13" t="s">
        <v>5289</v>
      </c>
      <c r="J1824" s="13" t="s">
        <v>5289</v>
      </c>
      <c r="K1824" s="13" t="s">
        <v>5289</v>
      </c>
      <c r="L1824" s="13" t="s">
        <v>6266</v>
      </c>
      <c r="M1824" s="13"/>
      <c r="N1824" s="13" t="n">
        <v>3386460098472</v>
      </c>
      <c r="O1824" s="13"/>
      <c r="P1824" s="13" t="s">
        <v>5291</v>
      </c>
      <c r="Q1824" s="13" t="s">
        <v>5289</v>
      </c>
      <c r="R1824" s="13" t="s">
        <v>5292</v>
      </c>
      <c r="S1824" s="13" t="s">
        <v>5293</v>
      </c>
      <c r="T1824" s="13" t="s">
        <v>4</v>
      </c>
      <c r="U1824" s="13" t="s">
        <v>85</v>
      </c>
      <c r="V1824" s="13" t="n">
        <f aca="false">IF(COUNTIF($B$2:B1824,B1824)=1,1,0)</f>
        <v>0</v>
      </c>
      <c r="W1824" s="13" t="n">
        <f aca="false">IF(COUNTIFS($B$2:B1824,B1824,$T$2:T1824,T1824)=1,1,0)</f>
        <v>0</v>
      </c>
    </row>
    <row r="1825" customFormat="false" ht="15" hidden="false" customHeight="false" outlineLevel="0" collapsed="false">
      <c r="A1825" s="13" t="s">
        <v>113</v>
      </c>
      <c r="B1825" s="13" t="s">
        <v>45</v>
      </c>
      <c r="C1825" s="13" t="n">
        <v>460</v>
      </c>
      <c r="D1825" s="13" t="n">
        <v>1</v>
      </c>
      <c r="E1825" s="13" t="n">
        <v>456.72</v>
      </c>
      <c r="F1825" s="13" t="s">
        <v>5288</v>
      </c>
      <c r="G1825" s="13" t="s">
        <v>5289</v>
      </c>
      <c r="H1825" s="13" t="s">
        <v>5289</v>
      </c>
      <c r="I1825" s="13" t="s">
        <v>5289</v>
      </c>
      <c r="J1825" s="13" t="s">
        <v>5289</v>
      </c>
      <c r="K1825" s="13" t="s">
        <v>5289</v>
      </c>
      <c r="L1825" s="13" t="s">
        <v>6272</v>
      </c>
      <c r="M1825" s="13"/>
      <c r="N1825" s="13" t="n">
        <v>8435415059084</v>
      </c>
      <c r="O1825" s="13"/>
      <c r="P1825" s="13" t="s">
        <v>5291</v>
      </c>
      <c r="Q1825" s="13" t="s">
        <v>5289</v>
      </c>
      <c r="R1825" s="13" t="s">
        <v>5292</v>
      </c>
      <c r="S1825" s="13" t="s">
        <v>5293</v>
      </c>
      <c r="T1825" s="13" t="s">
        <v>4</v>
      </c>
      <c r="U1825" s="13" t="s">
        <v>43</v>
      </c>
      <c r="V1825" s="13" t="n">
        <f aca="false">IF(COUNTIF($B$2:B1825,B1825)=1,1,0)</f>
        <v>0</v>
      </c>
      <c r="W1825" s="13" t="n">
        <f aca="false">IF(COUNTIFS($B$2:B1825,B1825,$T$2:T1825,T1825)=1,1,0)</f>
        <v>0</v>
      </c>
    </row>
    <row r="1826" customFormat="false" ht="15" hidden="false" customHeight="false" outlineLevel="0" collapsed="false">
      <c r="A1826" s="13" t="s">
        <v>334</v>
      </c>
      <c r="B1826" s="13" t="s">
        <v>42</v>
      </c>
      <c r="C1826" s="13" t="n">
        <v>460</v>
      </c>
      <c r="D1826" s="13" t="n">
        <v>1</v>
      </c>
      <c r="E1826" s="13" t="n">
        <v>456.72</v>
      </c>
      <c r="F1826" s="13" t="s">
        <v>5288</v>
      </c>
      <c r="G1826" s="13" t="s">
        <v>5289</v>
      </c>
      <c r="H1826" s="13" t="s">
        <v>5292</v>
      </c>
      <c r="I1826" s="13" t="s">
        <v>5289</v>
      </c>
      <c r="J1826" s="13" t="s">
        <v>5289</v>
      </c>
      <c r="K1826" s="13" t="s">
        <v>5289</v>
      </c>
      <c r="L1826" s="13" t="s">
        <v>5701</v>
      </c>
      <c r="M1826" s="13"/>
      <c r="N1826" s="13" t="n">
        <v>8411061041673</v>
      </c>
      <c r="O1826" s="13"/>
      <c r="P1826" s="13" t="s">
        <v>5291</v>
      </c>
      <c r="Q1826" s="13" t="s">
        <v>5289</v>
      </c>
      <c r="R1826" s="13" t="s">
        <v>5292</v>
      </c>
      <c r="S1826" s="13" t="s">
        <v>5293</v>
      </c>
      <c r="T1826" s="13" t="s">
        <v>4</v>
      </c>
      <c r="U1826" s="13" t="s">
        <v>43</v>
      </c>
      <c r="V1826" s="13" t="n">
        <f aca="false">IF(COUNTIF($B$2:B1826,B1826)=1,1,0)</f>
        <v>0</v>
      </c>
      <c r="W1826" s="13" t="n">
        <f aca="false">IF(COUNTIFS($B$2:B1826,B1826,$T$2:T1826,T1826)=1,1,0)</f>
        <v>0</v>
      </c>
    </row>
    <row r="1827" customFormat="false" ht="15" hidden="false" customHeight="false" outlineLevel="0" collapsed="false">
      <c r="A1827" s="13" t="s">
        <v>1709</v>
      </c>
      <c r="B1827" s="13" t="s">
        <v>155</v>
      </c>
      <c r="C1827" s="13" t="n">
        <v>460</v>
      </c>
      <c r="D1827" s="13" t="n">
        <v>2</v>
      </c>
      <c r="E1827" s="13" t="n">
        <v>152.16</v>
      </c>
      <c r="F1827" s="13" t="s">
        <v>5325</v>
      </c>
      <c r="G1827" s="13" t="s">
        <v>5292</v>
      </c>
      <c r="H1827" s="13" t="s">
        <v>5292</v>
      </c>
      <c r="I1827" s="13" t="s">
        <v>5289</v>
      </c>
      <c r="J1827" s="13" t="s">
        <v>5289</v>
      </c>
      <c r="K1827" s="13" t="s">
        <v>5289</v>
      </c>
      <c r="L1827" s="13" t="s">
        <v>5778</v>
      </c>
      <c r="M1827" s="13"/>
      <c r="N1827" s="13" t="n">
        <v>8005610325507</v>
      </c>
      <c r="O1827" s="13"/>
      <c r="P1827" s="13" t="s">
        <v>5291</v>
      </c>
      <c r="Q1827" s="13" t="s">
        <v>5289</v>
      </c>
      <c r="R1827" s="13" t="s">
        <v>5292</v>
      </c>
      <c r="S1827" s="13" t="s">
        <v>5293</v>
      </c>
      <c r="T1827" s="13" t="s">
        <v>4</v>
      </c>
      <c r="U1827" s="13" t="s">
        <v>43</v>
      </c>
      <c r="V1827" s="13" t="n">
        <f aca="false">IF(COUNTIF($B$2:B1827,B1827)=1,1,0)</f>
        <v>0</v>
      </c>
      <c r="W1827" s="13" t="n">
        <f aca="false">IF(COUNTIFS($B$2:B1827,B1827,$T$2:T1827,T1827)=1,1,0)</f>
        <v>0</v>
      </c>
    </row>
    <row r="1828" customFormat="false" ht="15" hidden="false" customHeight="false" outlineLevel="0" collapsed="false">
      <c r="A1828" s="13" t="s">
        <v>1710</v>
      </c>
      <c r="B1828" s="13" t="s">
        <v>204</v>
      </c>
      <c r="C1828" s="13" t="n">
        <v>460</v>
      </c>
      <c r="D1828" s="13" t="n">
        <v>1</v>
      </c>
      <c r="E1828" s="13" t="n">
        <v>455.89</v>
      </c>
      <c r="F1828" s="13" t="s">
        <v>5288</v>
      </c>
      <c r="G1828" s="13" t="s">
        <v>5289</v>
      </c>
      <c r="H1828" s="13" t="s">
        <v>5292</v>
      </c>
      <c r="I1828" s="13" t="s">
        <v>5289</v>
      </c>
      <c r="J1828" s="13" t="s">
        <v>5289</v>
      </c>
      <c r="K1828" s="13" t="s">
        <v>5289</v>
      </c>
      <c r="L1828" s="13" t="s">
        <v>5780</v>
      </c>
      <c r="M1828" s="13"/>
      <c r="N1828" s="13" t="n">
        <v>7640496670245</v>
      </c>
      <c r="O1828" s="13"/>
      <c r="P1828" s="13" t="s">
        <v>5291</v>
      </c>
      <c r="Q1828" s="13" t="s">
        <v>5289</v>
      </c>
      <c r="R1828" s="13" t="s">
        <v>5292</v>
      </c>
      <c r="S1828" s="13" t="s">
        <v>5293</v>
      </c>
      <c r="T1828" s="13" t="s">
        <v>4</v>
      </c>
      <c r="U1828" s="13" t="s">
        <v>43</v>
      </c>
      <c r="V1828" s="13" t="n">
        <f aca="false">IF(COUNTIF($B$2:B1828,B1828)=1,1,0)</f>
        <v>0</v>
      </c>
      <c r="W1828" s="13" t="n">
        <f aca="false">IF(COUNTIFS($B$2:B1828,B1828,$T$2:T1828,T1828)=1,1,0)</f>
        <v>0</v>
      </c>
    </row>
    <row r="1829" customFormat="false" ht="15" hidden="false" customHeight="false" outlineLevel="0" collapsed="false">
      <c r="A1829" s="13" t="s">
        <v>1722</v>
      </c>
      <c r="B1829" s="13" t="s">
        <v>341</v>
      </c>
      <c r="C1829" s="13" t="n">
        <v>450</v>
      </c>
      <c r="D1829" s="13" t="n">
        <v>1</v>
      </c>
      <c r="E1829" s="13" t="n">
        <v>454.61</v>
      </c>
      <c r="F1829" s="13" t="s">
        <v>5288</v>
      </c>
      <c r="G1829" s="13" t="s">
        <v>5292</v>
      </c>
      <c r="H1829" s="13" t="s">
        <v>5289</v>
      </c>
      <c r="I1829" s="13" t="s">
        <v>5289</v>
      </c>
      <c r="J1829" s="13" t="s">
        <v>5289</v>
      </c>
      <c r="K1829" s="13" t="s">
        <v>5289</v>
      </c>
      <c r="L1829" s="13" t="s">
        <v>5918</v>
      </c>
      <c r="M1829" s="13"/>
      <c r="N1829" s="13" t="n">
        <v>4011700740031</v>
      </c>
      <c r="O1829" s="13"/>
      <c r="P1829" s="13" t="s">
        <v>5291</v>
      </c>
      <c r="Q1829" s="13" t="s">
        <v>5289</v>
      </c>
      <c r="R1829" s="13" t="s">
        <v>5292</v>
      </c>
      <c r="S1829" s="13" t="s">
        <v>5293</v>
      </c>
      <c r="T1829" s="13" t="s">
        <v>4</v>
      </c>
      <c r="U1829" s="13" t="s">
        <v>43</v>
      </c>
      <c r="V1829" s="13" t="n">
        <f aca="false">IF(COUNTIF($B$2:B1829,B1829)=1,1,0)</f>
        <v>0</v>
      </c>
      <c r="W1829" s="13" t="n">
        <f aca="false">IF(COUNTIFS($B$2:B1829,B1829,$T$2:T1829,T1829)=1,1,0)</f>
        <v>0</v>
      </c>
    </row>
    <row r="1830" customFormat="false" ht="15" hidden="false" customHeight="false" outlineLevel="0" collapsed="false">
      <c r="A1830" s="13" t="s">
        <v>653</v>
      </c>
      <c r="B1830" s="13" t="s">
        <v>79</v>
      </c>
      <c r="C1830" s="13" t="n">
        <v>450</v>
      </c>
      <c r="D1830" s="13" t="n">
        <v>1</v>
      </c>
      <c r="E1830" s="13" t="n">
        <v>454.3</v>
      </c>
      <c r="F1830" s="13" t="s">
        <v>5288</v>
      </c>
      <c r="G1830" s="13" t="s">
        <v>5292</v>
      </c>
      <c r="H1830" s="13" t="s">
        <v>5292</v>
      </c>
      <c r="I1830" s="13" t="s">
        <v>5289</v>
      </c>
      <c r="J1830" s="13" t="s">
        <v>5289</v>
      </c>
      <c r="K1830" s="13" t="s">
        <v>5289</v>
      </c>
      <c r="L1830" s="13" t="s">
        <v>6273</v>
      </c>
      <c r="M1830" s="13"/>
      <c r="N1830" s="13" t="n">
        <v>8057971186686</v>
      </c>
      <c r="O1830" s="13"/>
      <c r="P1830" s="13" t="s">
        <v>5291</v>
      </c>
      <c r="Q1830" s="13" t="s">
        <v>5289</v>
      </c>
      <c r="R1830" s="13" t="s">
        <v>5292</v>
      </c>
      <c r="S1830" s="13" t="s">
        <v>5293</v>
      </c>
      <c r="T1830" s="13" t="s">
        <v>4</v>
      </c>
      <c r="U1830" s="13" t="s">
        <v>43</v>
      </c>
      <c r="V1830" s="13" t="n">
        <f aca="false">IF(COUNTIF($B$2:B1830,B1830)=1,1,0)</f>
        <v>0</v>
      </c>
      <c r="W1830" s="13" t="n">
        <f aca="false">IF(COUNTIFS($B$2:B1830,B1830,$T$2:T1830,T1830)=1,1,0)</f>
        <v>0</v>
      </c>
    </row>
    <row r="1831" customFormat="false" ht="15" hidden="false" customHeight="false" outlineLevel="0" collapsed="false">
      <c r="A1831" s="13" t="s">
        <v>4620</v>
      </c>
      <c r="B1831" s="13" t="s">
        <v>2110</v>
      </c>
      <c r="C1831" s="13" t="n">
        <v>450</v>
      </c>
      <c r="D1831" s="13" t="n">
        <v>1</v>
      </c>
      <c r="E1831" s="13" t="n">
        <v>453.53</v>
      </c>
      <c r="F1831" s="13" t="s">
        <v>5325</v>
      </c>
      <c r="G1831" s="13" t="s">
        <v>5292</v>
      </c>
      <c r="H1831" s="13" t="s">
        <v>5292</v>
      </c>
      <c r="I1831" s="13" t="s">
        <v>5289</v>
      </c>
      <c r="J1831" s="13" t="s">
        <v>5289</v>
      </c>
      <c r="K1831" s="13" t="s">
        <v>5289</v>
      </c>
      <c r="L1831" s="13" t="s">
        <v>6274</v>
      </c>
      <c r="M1831" s="13"/>
      <c r="N1831" s="13" t="n">
        <v>3386460172691</v>
      </c>
      <c r="O1831" s="13"/>
      <c r="P1831" s="13" t="s">
        <v>5291</v>
      </c>
      <c r="Q1831" s="13" t="s">
        <v>5289</v>
      </c>
      <c r="R1831" s="13" t="s">
        <v>5292</v>
      </c>
      <c r="S1831" s="13" t="s">
        <v>5293</v>
      </c>
      <c r="T1831" s="13" t="s">
        <v>4</v>
      </c>
      <c r="U1831" s="13" t="s">
        <v>43</v>
      </c>
      <c r="V1831" s="13" t="n">
        <f aca="false">IF(COUNTIF($B$2:B1831,B1831)=1,1,0)</f>
        <v>0</v>
      </c>
      <c r="W1831" s="13" t="n">
        <f aca="false">IF(COUNTIFS($B$2:B1831,B1831,$T$2:T1831,T1831)=1,1,0)</f>
        <v>0</v>
      </c>
    </row>
    <row r="1832" customFormat="false" ht="15" hidden="false" customHeight="false" outlineLevel="0" collapsed="false">
      <c r="A1832" s="13" t="s">
        <v>3964</v>
      </c>
      <c r="B1832" s="13" t="s">
        <v>2134</v>
      </c>
      <c r="C1832" s="13" t="n">
        <v>450</v>
      </c>
      <c r="D1832" s="13" t="n">
        <v>1</v>
      </c>
      <c r="E1832" s="13" t="n">
        <v>453.2</v>
      </c>
      <c r="F1832" s="13" t="s">
        <v>5325</v>
      </c>
      <c r="G1832" s="13" t="s">
        <v>5292</v>
      </c>
      <c r="H1832" s="13" t="s">
        <v>5292</v>
      </c>
      <c r="I1832" s="13" t="s">
        <v>5289</v>
      </c>
      <c r="J1832" s="13" t="s">
        <v>5289</v>
      </c>
      <c r="K1832" s="13" t="s">
        <v>5289</v>
      </c>
      <c r="L1832" s="13" t="s">
        <v>6275</v>
      </c>
      <c r="M1832" s="13"/>
      <c r="N1832" s="13" t="n">
        <v>3386460123518</v>
      </c>
      <c r="O1832" s="13"/>
      <c r="P1832" s="13" t="s">
        <v>5291</v>
      </c>
      <c r="Q1832" s="13" t="s">
        <v>5289</v>
      </c>
      <c r="R1832" s="13" t="s">
        <v>5292</v>
      </c>
      <c r="S1832" s="13" t="s">
        <v>5293</v>
      </c>
      <c r="T1832" s="13" t="s">
        <v>4</v>
      </c>
      <c r="U1832" s="13" t="s">
        <v>43</v>
      </c>
      <c r="V1832" s="13" t="n">
        <f aca="false">IF(COUNTIF($B$2:B1832,B1832)=1,1,0)</f>
        <v>0</v>
      </c>
      <c r="W1832" s="13" t="n">
        <f aca="false">IF(COUNTIFS($B$2:B1832,B1832,$T$2:T1832,T1832)=1,1,0)</f>
        <v>0</v>
      </c>
    </row>
    <row r="1833" customFormat="false" ht="15" hidden="false" customHeight="false" outlineLevel="0" collapsed="false">
      <c r="A1833" s="13" t="s">
        <v>1719</v>
      </c>
      <c r="B1833" s="13" t="s">
        <v>45</v>
      </c>
      <c r="C1833" s="13" t="n">
        <v>450</v>
      </c>
      <c r="D1833" s="13" t="n">
        <v>1</v>
      </c>
      <c r="E1833" s="13" t="n">
        <v>451</v>
      </c>
      <c r="F1833" s="13" t="s">
        <v>5288</v>
      </c>
      <c r="G1833" s="13" t="s">
        <v>5289</v>
      </c>
      <c r="H1833" s="13" t="s">
        <v>5292</v>
      </c>
      <c r="I1833" s="13" t="s">
        <v>5289</v>
      </c>
      <c r="J1833" s="13" t="s">
        <v>5289</v>
      </c>
      <c r="K1833" s="13" t="s">
        <v>5289</v>
      </c>
      <c r="L1833" s="13" t="s">
        <v>5801</v>
      </c>
      <c r="M1833" s="13"/>
      <c r="N1833" s="13" t="n">
        <v>8435415103121</v>
      </c>
      <c r="O1833" s="13"/>
      <c r="P1833" s="13" t="s">
        <v>5291</v>
      </c>
      <c r="Q1833" s="13" t="s">
        <v>5289</v>
      </c>
      <c r="R1833" s="13" t="s">
        <v>5292</v>
      </c>
      <c r="S1833" s="13" t="s">
        <v>5293</v>
      </c>
      <c r="T1833" s="13" t="s">
        <v>4</v>
      </c>
      <c r="U1833" s="13" t="s">
        <v>43</v>
      </c>
      <c r="V1833" s="13" t="n">
        <f aca="false">IF(COUNTIF($B$2:B1833,B1833)=1,1,0)</f>
        <v>0</v>
      </c>
      <c r="W1833" s="13" t="n">
        <f aca="false">IF(COUNTIFS($B$2:B1833,B1833,$T$2:T1833,T1833)=1,1,0)</f>
        <v>0</v>
      </c>
    </row>
    <row r="1834" customFormat="false" ht="15" hidden="false" customHeight="false" outlineLevel="0" collapsed="false">
      <c r="A1834" s="13" t="s">
        <v>1721</v>
      </c>
      <c r="B1834" s="13" t="s">
        <v>195</v>
      </c>
      <c r="C1834" s="13" t="n">
        <v>450</v>
      </c>
      <c r="D1834" s="13" t="n">
        <v>1</v>
      </c>
      <c r="E1834" s="13" t="n">
        <v>447.46</v>
      </c>
      <c r="F1834" s="13" t="s">
        <v>5288</v>
      </c>
      <c r="G1834" s="13" t="s">
        <v>5292</v>
      </c>
      <c r="H1834" s="13" t="s">
        <v>5292</v>
      </c>
      <c r="I1834" s="13" t="s">
        <v>5289</v>
      </c>
      <c r="J1834" s="13" t="s">
        <v>5289</v>
      </c>
      <c r="K1834" s="13" t="s">
        <v>5289</v>
      </c>
      <c r="L1834" s="13" t="s">
        <v>6276</v>
      </c>
      <c r="M1834" s="13"/>
      <c r="N1834" s="13" t="n">
        <v>3614229820782</v>
      </c>
      <c r="O1834" s="13"/>
      <c r="P1834" s="13" t="s">
        <v>5297</v>
      </c>
      <c r="Q1834" s="13" t="s">
        <v>5289</v>
      </c>
      <c r="R1834" s="13" t="s">
        <v>5292</v>
      </c>
      <c r="S1834" s="13" t="s">
        <v>5293</v>
      </c>
      <c r="T1834" s="13" t="s">
        <v>4</v>
      </c>
      <c r="U1834" s="13" t="s">
        <v>43</v>
      </c>
      <c r="V1834" s="13" t="n">
        <f aca="false">IF(COUNTIF($B$2:B1834,B1834)=1,1,0)</f>
        <v>0</v>
      </c>
      <c r="W1834" s="13" t="n">
        <f aca="false">IF(COUNTIFS($B$2:B1834,B1834,$T$2:T1834,T1834)=1,1,0)</f>
        <v>0</v>
      </c>
    </row>
    <row r="1835" customFormat="false" ht="15" hidden="false" customHeight="false" outlineLevel="0" collapsed="false">
      <c r="A1835" s="13" t="s">
        <v>3450</v>
      </c>
      <c r="B1835" s="13" t="s">
        <v>2110</v>
      </c>
      <c r="C1835" s="13" t="n">
        <v>450</v>
      </c>
      <c r="D1835" s="13" t="n">
        <v>1</v>
      </c>
      <c r="E1835" s="13" t="n">
        <v>447.39</v>
      </c>
      <c r="F1835" s="13" t="s">
        <v>5325</v>
      </c>
      <c r="G1835" s="13" t="s">
        <v>5289</v>
      </c>
      <c r="H1835" s="13" t="s">
        <v>5292</v>
      </c>
      <c r="I1835" s="13" t="s">
        <v>5289</v>
      </c>
      <c r="J1835" s="13" t="s">
        <v>5289</v>
      </c>
      <c r="K1835" s="13" t="s">
        <v>5289</v>
      </c>
      <c r="L1835" s="13" t="s">
        <v>5731</v>
      </c>
      <c r="M1835" s="13"/>
      <c r="N1835" s="13" t="n">
        <v>3386460149082</v>
      </c>
      <c r="O1835" s="13"/>
      <c r="P1835" s="13" t="s">
        <v>5291</v>
      </c>
      <c r="Q1835" s="13" t="s">
        <v>5289</v>
      </c>
      <c r="R1835" s="13" t="s">
        <v>5292</v>
      </c>
      <c r="S1835" s="13" t="s">
        <v>5293</v>
      </c>
      <c r="T1835" s="13" t="s">
        <v>4</v>
      </c>
      <c r="U1835" s="13" t="s">
        <v>43</v>
      </c>
      <c r="V1835" s="13" t="n">
        <f aca="false">IF(COUNTIF($B$2:B1835,B1835)=1,1,0)</f>
        <v>0</v>
      </c>
      <c r="W1835" s="13" t="n">
        <f aca="false">IF(COUNTIFS($B$2:B1835,B1835,$T$2:T1835,T1835)=1,1,0)</f>
        <v>0</v>
      </c>
    </row>
    <row r="1836" customFormat="false" ht="15" hidden="false" customHeight="false" outlineLevel="0" collapsed="false">
      <c r="A1836" s="13" t="s">
        <v>1291</v>
      </c>
      <c r="B1836" s="13" t="s">
        <v>105</v>
      </c>
      <c r="C1836" s="13" t="n">
        <v>450</v>
      </c>
      <c r="D1836" s="13" t="n">
        <v>1</v>
      </c>
      <c r="E1836" s="13" t="n">
        <v>445.78</v>
      </c>
      <c r="F1836" s="13" t="s">
        <v>5288</v>
      </c>
      <c r="G1836" s="13" t="s">
        <v>5289</v>
      </c>
      <c r="H1836" s="13" t="s">
        <v>5292</v>
      </c>
      <c r="I1836" s="13" t="s">
        <v>5289</v>
      </c>
      <c r="J1836" s="13" t="s">
        <v>5289</v>
      </c>
      <c r="K1836" s="13" t="s">
        <v>5289</v>
      </c>
      <c r="L1836" s="13" t="s">
        <v>6084</v>
      </c>
      <c r="M1836" s="13"/>
      <c r="N1836" s="13" t="n">
        <v>737052352060</v>
      </c>
      <c r="O1836" s="13"/>
      <c r="P1836" s="13" t="s">
        <v>5291</v>
      </c>
      <c r="Q1836" s="13" t="s">
        <v>5289</v>
      </c>
      <c r="R1836" s="13" t="s">
        <v>5292</v>
      </c>
      <c r="S1836" s="13" t="s">
        <v>5293</v>
      </c>
      <c r="T1836" s="13" t="s">
        <v>4</v>
      </c>
      <c r="U1836" s="13" t="s">
        <v>43</v>
      </c>
      <c r="V1836" s="13" t="n">
        <f aca="false">IF(COUNTIF($B$2:B1836,B1836)=1,1,0)</f>
        <v>0</v>
      </c>
      <c r="W1836" s="13" t="n">
        <f aca="false">IF(COUNTIFS($B$2:B1836,B1836,$T$2:T1836,T1836)=1,1,0)</f>
        <v>0</v>
      </c>
    </row>
    <row r="1837" customFormat="false" ht="15" hidden="false" customHeight="false" outlineLevel="0" collapsed="false">
      <c r="A1837" s="13" t="s">
        <v>1019</v>
      </c>
      <c r="B1837" s="13" t="s">
        <v>45</v>
      </c>
      <c r="C1837" s="13" t="n">
        <v>450</v>
      </c>
      <c r="D1837" s="13" t="n">
        <v>1</v>
      </c>
      <c r="E1837" s="13" t="n">
        <v>445.55</v>
      </c>
      <c r="F1837" s="13" t="s">
        <v>5325</v>
      </c>
      <c r="G1837" s="13" t="s">
        <v>5292</v>
      </c>
      <c r="H1837" s="13" t="s">
        <v>5292</v>
      </c>
      <c r="I1837" s="13" t="s">
        <v>5289</v>
      </c>
      <c r="J1837" s="13" t="s">
        <v>5289</v>
      </c>
      <c r="K1837" s="13" t="s">
        <v>5289</v>
      </c>
      <c r="L1837" s="13" t="s">
        <v>5984</v>
      </c>
      <c r="M1837" s="13"/>
      <c r="N1837" s="13" t="n">
        <v>8435415011280</v>
      </c>
      <c r="O1837" s="13"/>
      <c r="P1837" s="13" t="s">
        <v>5291</v>
      </c>
      <c r="Q1837" s="13" t="s">
        <v>5289</v>
      </c>
      <c r="R1837" s="13" t="s">
        <v>5292</v>
      </c>
      <c r="S1837" s="13" t="s">
        <v>5293</v>
      </c>
      <c r="T1837" s="13" t="s">
        <v>4</v>
      </c>
      <c r="U1837" s="13" t="s">
        <v>43</v>
      </c>
      <c r="V1837" s="13" t="n">
        <f aca="false">IF(COUNTIF($B$2:B1837,B1837)=1,1,0)</f>
        <v>0</v>
      </c>
      <c r="W1837" s="13" t="n">
        <f aca="false">IF(COUNTIFS($B$2:B1837,B1837,$T$2:T1837,T1837)=1,1,0)</f>
        <v>0</v>
      </c>
    </row>
    <row r="1838" customFormat="false" ht="15" hidden="false" customHeight="false" outlineLevel="0" collapsed="false">
      <c r="A1838" s="13" t="s">
        <v>1723</v>
      </c>
      <c r="B1838" s="13" t="s">
        <v>92</v>
      </c>
      <c r="C1838" s="13" t="n">
        <v>440</v>
      </c>
      <c r="D1838" s="13" t="n">
        <v>1</v>
      </c>
      <c r="E1838" s="13" t="n">
        <v>444.32</v>
      </c>
      <c r="F1838" s="13" t="s">
        <v>5288</v>
      </c>
      <c r="G1838" s="13" t="s">
        <v>5289</v>
      </c>
      <c r="H1838" s="13" t="s">
        <v>5292</v>
      </c>
      <c r="I1838" s="13" t="s">
        <v>5289</v>
      </c>
      <c r="J1838" s="13" t="s">
        <v>5289</v>
      </c>
      <c r="K1838" s="13" t="s">
        <v>5289</v>
      </c>
      <c r="L1838" s="13" t="s">
        <v>6277</v>
      </c>
      <c r="M1838" s="13"/>
      <c r="N1838" s="13" t="n">
        <v>3616303445560</v>
      </c>
      <c r="O1838" s="13"/>
      <c r="P1838" s="13" t="s">
        <v>5291</v>
      </c>
      <c r="Q1838" s="13" t="s">
        <v>5289</v>
      </c>
      <c r="R1838" s="13" t="s">
        <v>5292</v>
      </c>
      <c r="S1838" s="13" t="s">
        <v>5293</v>
      </c>
      <c r="T1838" s="13" t="s">
        <v>4</v>
      </c>
      <c r="U1838" s="13" t="s">
        <v>43</v>
      </c>
      <c r="V1838" s="13" t="n">
        <f aca="false">IF(COUNTIF($B$2:B1838,B1838)=1,1,0)</f>
        <v>0</v>
      </c>
      <c r="W1838" s="13" t="n">
        <f aca="false">IF(COUNTIFS($B$2:B1838,B1838,$T$2:T1838,T1838)=1,1,0)</f>
        <v>0</v>
      </c>
    </row>
    <row r="1839" customFormat="false" ht="15" hidden="false" customHeight="false" outlineLevel="0" collapsed="false">
      <c r="A1839" s="13" t="s">
        <v>237</v>
      </c>
      <c r="B1839" s="13" t="s">
        <v>42</v>
      </c>
      <c r="C1839" s="13" t="n">
        <v>440</v>
      </c>
      <c r="D1839" s="13" t="n">
        <v>1</v>
      </c>
      <c r="E1839" s="13" t="n">
        <v>444.11</v>
      </c>
      <c r="F1839" s="13" t="s">
        <v>5288</v>
      </c>
      <c r="G1839" s="13" t="s">
        <v>5289</v>
      </c>
      <c r="H1839" s="13" t="s">
        <v>5292</v>
      </c>
      <c r="I1839" s="13" t="s">
        <v>5289</v>
      </c>
      <c r="J1839" s="13" t="s">
        <v>5289</v>
      </c>
      <c r="K1839" s="13" t="s">
        <v>5289</v>
      </c>
      <c r="L1839" s="13" t="s">
        <v>6094</v>
      </c>
      <c r="M1839" s="13"/>
      <c r="N1839" s="13" t="n">
        <v>8411061607176</v>
      </c>
      <c r="O1839" s="13"/>
      <c r="P1839" s="13" t="s">
        <v>5291</v>
      </c>
      <c r="Q1839" s="13" t="s">
        <v>5289</v>
      </c>
      <c r="R1839" s="13" t="s">
        <v>5292</v>
      </c>
      <c r="S1839" s="13" t="s">
        <v>5293</v>
      </c>
      <c r="T1839" s="13" t="s">
        <v>4</v>
      </c>
      <c r="U1839" s="13" t="s">
        <v>43</v>
      </c>
      <c r="V1839" s="13" t="n">
        <f aca="false">IF(COUNTIF($B$2:B1839,B1839)=1,1,0)</f>
        <v>0</v>
      </c>
      <c r="W1839" s="13" t="n">
        <f aca="false">IF(COUNTIFS($B$2:B1839,B1839,$T$2:T1839,T1839)=1,1,0)</f>
        <v>0</v>
      </c>
    </row>
    <row r="1840" customFormat="false" ht="15" hidden="false" customHeight="false" outlineLevel="0" collapsed="false">
      <c r="A1840" s="13" t="s">
        <v>1732</v>
      </c>
      <c r="B1840" s="13" t="s">
        <v>50</v>
      </c>
      <c r="C1840" s="13" t="n">
        <v>440</v>
      </c>
      <c r="D1840" s="13" t="n">
        <v>1</v>
      </c>
      <c r="E1840" s="13" t="n">
        <v>444.11</v>
      </c>
      <c r="F1840" s="13" t="s">
        <v>5288</v>
      </c>
      <c r="G1840" s="13" t="s">
        <v>5289</v>
      </c>
      <c r="H1840" s="13" t="s">
        <v>5292</v>
      </c>
      <c r="I1840" s="13" t="s">
        <v>5289</v>
      </c>
      <c r="J1840" s="13" t="s">
        <v>5289</v>
      </c>
      <c r="K1840" s="13" t="s">
        <v>5289</v>
      </c>
      <c r="L1840" s="13" t="s">
        <v>5868</v>
      </c>
      <c r="M1840" s="13"/>
      <c r="N1840" s="13" t="n">
        <v>3349668612611</v>
      </c>
      <c r="O1840" s="13"/>
      <c r="P1840" s="13" t="s">
        <v>5291</v>
      </c>
      <c r="Q1840" s="13" t="s">
        <v>5289</v>
      </c>
      <c r="R1840" s="13" t="s">
        <v>5292</v>
      </c>
      <c r="S1840" s="13" t="s">
        <v>5293</v>
      </c>
      <c r="T1840" s="13" t="s">
        <v>4</v>
      </c>
      <c r="U1840" s="13" t="s">
        <v>43</v>
      </c>
      <c r="V1840" s="13" t="n">
        <f aca="false">IF(COUNTIF($B$2:B1840,B1840)=1,1,0)</f>
        <v>0</v>
      </c>
      <c r="W1840" s="13" t="n">
        <f aca="false">IF(COUNTIFS($B$2:B1840,B1840,$T$2:T1840,T1840)=1,1,0)</f>
        <v>0</v>
      </c>
    </row>
    <row r="1841" customFormat="false" ht="15" hidden="false" customHeight="false" outlineLevel="0" collapsed="false">
      <c r="A1841" s="13" t="s">
        <v>1724</v>
      </c>
      <c r="B1841" s="13" t="s">
        <v>153</v>
      </c>
      <c r="C1841" s="13" t="n">
        <v>440</v>
      </c>
      <c r="D1841" s="13" t="n">
        <v>1</v>
      </c>
      <c r="E1841" s="13" t="n">
        <v>443.88</v>
      </c>
      <c r="F1841" s="13" t="s">
        <v>5288</v>
      </c>
      <c r="G1841" s="13" t="s">
        <v>5292</v>
      </c>
      <c r="H1841" s="13" t="s">
        <v>5292</v>
      </c>
      <c r="I1841" s="13" t="s">
        <v>5289</v>
      </c>
      <c r="J1841" s="13" t="s">
        <v>5289</v>
      </c>
      <c r="K1841" s="13" t="s">
        <v>5289</v>
      </c>
      <c r="L1841" s="13" t="s">
        <v>6278</v>
      </c>
      <c r="M1841" s="13"/>
      <c r="N1841" s="13" t="n">
        <v>8018365071261</v>
      </c>
      <c r="O1841" s="13"/>
      <c r="P1841" s="13" t="s">
        <v>5291</v>
      </c>
      <c r="Q1841" s="13" t="s">
        <v>5289</v>
      </c>
      <c r="R1841" s="13" t="s">
        <v>5292</v>
      </c>
      <c r="S1841" s="13" t="s">
        <v>5293</v>
      </c>
      <c r="T1841" s="13" t="s">
        <v>4</v>
      </c>
      <c r="U1841" s="13" t="s">
        <v>43</v>
      </c>
      <c r="V1841" s="13" t="n">
        <f aca="false">IF(COUNTIF($B$2:B1841,B1841)=1,1,0)</f>
        <v>0</v>
      </c>
      <c r="W1841" s="13" t="n">
        <f aca="false">IF(COUNTIFS($B$2:B1841,B1841,$T$2:T1841,T1841)=1,1,0)</f>
        <v>0</v>
      </c>
    </row>
    <row r="1842" customFormat="false" ht="15" hidden="false" customHeight="false" outlineLevel="0" collapsed="false">
      <c r="A1842" s="13" t="s">
        <v>4636</v>
      </c>
      <c r="B1842" s="13" t="s">
        <v>2181</v>
      </c>
      <c r="C1842" s="13" t="n">
        <v>440</v>
      </c>
      <c r="D1842" s="13" t="n">
        <v>1</v>
      </c>
      <c r="E1842" s="13" t="n">
        <v>443.6</v>
      </c>
      <c r="F1842" s="13" t="s">
        <v>5288</v>
      </c>
      <c r="G1842" s="13" t="s">
        <v>5289</v>
      </c>
      <c r="H1842" s="13" t="s">
        <v>5292</v>
      </c>
      <c r="I1842" s="13" t="s">
        <v>5289</v>
      </c>
      <c r="J1842" s="13" t="s">
        <v>5289</v>
      </c>
      <c r="K1842" s="13" t="s">
        <v>5289</v>
      </c>
      <c r="L1842" s="13" t="s">
        <v>6279</v>
      </c>
      <c r="M1842" s="13"/>
      <c r="N1842" s="13" t="n">
        <v>3386460103015</v>
      </c>
      <c r="O1842" s="13"/>
      <c r="P1842" s="13" t="s">
        <v>5297</v>
      </c>
      <c r="Q1842" s="13" t="s">
        <v>5289</v>
      </c>
      <c r="R1842" s="13" t="s">
        <v>5292</v>
      </c>
      <c r="S1842" s="13" t="s">
        <v>5293</v>
      </c>
      <c r="T1842" s="13" t="s">
        <v>4</v>
      </c>
      <c r="U1842" s="13" t="s">
        <v>43</v>
      </c>
      <c r="V1842" s="13" t="n">
        <f aca="false">IF(COUNTIF($B$2:B1842,B1842)=1,1,0)</f>
        <v>0</v>
      </c>
      <c r="W1842" s="13" t="n">
        <f aca="false">IF(COUNTIFS($B$2:B1842,B1842,$T$2:T1842,T1842)=1,1,0)</f>
        <v>0</v>
      </c>
    </row>
    <row r="1843" customFormat="false" ht="15" hidden="false" customHeight="false" outlineLevel="0" collapsed="false">
      <c r="A1843" s="13" t="s">
        <v>1731</v>
      </c>
      <c r="B1843" s="13" t="s">
        <v>195</v>
      </c>
      <c r="C1843" s="13" t="n">
        <v>440</v>
      </c>
      <c r="D1843" s="13" t="n">
        <v>1</v>
      </c>
      <c r="E1843" s="13" t="n">
        <v>438.13</v>
      </c>
      <c r="F1843" s="13" t="s">
        <v>5288</v>
      </c>
      <c r="G1843" s="13" t="s">
        <v>5289</v>
      </c>
      <c r="H1843" s="13" t="s">
        <v>5292</v>
      </c>
      <c r="I1843" s="13" t="s">
        <v>5289</v>
      </c>
      <c r="J1843" s="13" t="s">
        <v>5289</v>
      </c>
      <c r="K1843" s="13" t="s">
        <v>5289</v>
      </c>
      <c r="L1843" s="13" t="s">
        <v>6280</v>
      </c>
      <c r="M1843" s="13"/>
      <c r="N1843" s="13" t="n">
        <v>3614227693241</v>
      </c>
      <c r="O1843" s="13"/>
      <c r="P1843" s="13" t="s">
        <v>5291</v>
      </c>
      <c r="Q1843" s="13" t="s">
        <v>5289</v>
      </c>
      <c r="R1843" s="13" t="s">
        <v>5292</v>
      </c>
      <c r="S1843" s="13" t="s">
        <v>5293</v>
      </c>
      <c r="T1843" s="13" t="s">
        <v>4</v>
      </c>
      <c r="U1843" s="13" t="s">
        <v>43</v>
      </c>
      <c r="V1843" s="13" t="n">
        <f aca="false">IF(COUNTIF($B$2:B1843,B1843)=1,1,0)</f>
        <v>0</v>
      </c>
      <c r="W1843" s="13" t="n">
        <f aca="false">IF(COUNTIFS($B$2:B1843,B1843,$T$2:T1843,T1843)=1,1,0)</f>
        <v>0</v>
      </c>
    </row>
    <row r="1844" customFormat="false" ht="15" hidden="false" customHeight="false" outlineLevel="0" collapsed="false">
      <c r="A1844" s="13" t="s">
        <v>1713</v>
      </c>
      <c r="B1844" s="13" t="s">
        <v>50</v>
      </c>
      <c r="C1844" s="13" t="n">
        <v>430</v>
      </c>
      <c r="D1844" s="13" t="n">
        <v>1</v>
      </c>
      <c r="E1844" s="13" t="n">
        <v>434.13</v>
      </c>
      <c r="F1844" s="13" t="s">
        <v>5288</v>
      </c>
      <c r="G1844" s="13" t="s">
        <v>5292</v>
      </c>
      <c r="H1844" s="13" t="s">
        <v>5289</v>
      </c>
      <c r="I1844" s="13" t="s">
        <v>5289</v>
      </c>
      <c r="J1844" s="13" t="s">
        <v>5289</v>
      </c>
      <c r="K1844" s="13" t="s">
        <v>5289</v>
      </c>
      <c r="L1844" s="13" t="s">
        <v>6281</v>
      </c>
      <c r="M1844" s="13"/>
      <c r="N1844" s="13" t="n">
        <v>3349668594603</v>
      </c>
      <c r="O1844" s="13"/>
      <c r="P1844" s="13" t="s">
        <v>5291</v>
      </c>
      <c r="Q1844" s="13" t="s">
        <v>5289</v>
      </c>
      <c r="R1844" s="13" t="s">
        <v>5292</v>
      </c>
      <c r="S1844" s="13" t="s">
        <v>5293</v>
      </c>
      <c r="T1844" s="13" t="s">
        <v>4</v>
      </c>
      <c r="U1844" s="13" t="s">
        <v>43</v>
      </c>
      <c r="V1844" s="13" t="n">
        <f aca="false">IF(COUNTIF($B$2:B1844,B1844)=1,1,0)</f>
        <v>0</v>
      </c>
      <c r="W1844" s="13" t="n">
        <f aca="false">IF(COUNTIFS($B$2:B1844,B1844,$T$2:T1844,T1844)=1,1,0)</f>
        <v>0</v>
      </c>
    </row>
    <row r="1845" customFormat="false" ht="15" hidden="false" customHeight="false" outlineLevel="0" collapsed="false">
      <c r="A1845" s="13" t="s">
        <v>1447</v>
      </c>
      <c r="B1845" s="13" t="s">
        <v>286</v>
      </c>
      <c r="C1845" s="13" t="n">
        <v>430</v>
      </c>
      <c r="D1845" s="13" t="n">
        <v>1</v>
      </c>
      <c r="E1845" s="13" t="n">
        <v>431.46</v>
      </c>
      <c r="F1845" s="13" t="s">
        <v>5288</v>
      </c>
      <c r="G1845" s="13" t="s">
        <v>5289</v>
      </c>
      <c r="H1845" s="13" t="s">
        <v>5292</v>
      </c>
      <c r="I1845" s="13" t="s">
        <v>5289</v>
      </c>
      <c r="J1845" s="13" t="s">
        <v>5289</v>
      </c>
      <c r="K1845" s="13" t="s">
        <v>5289</v>
      </c>
      <c r="L1845" s="13" t="s">
        <v>6282</v>
      </c>
      <c r="M1845" s="13"/>
      <c r="N1845" s="13" t="n">
        <v>6294015164152</v>
      </c>
      <c r="O1845" s="13"/>
      <c r="P1845" s="13" t="s">
        <v>5291</v>
      </c>
      <c r="Q1845" s="13" t="s">
        <v>5289</v>
      </c>
      <c r="R1845" s="13" t="s">
        <v>5292</v>
      </c>
      <c r="S1845" s="13" t="s">
        <v>5293</v>
      </c>
      <c r="T1845" s="13" t="s">
        <v>4</v>
      </c>
      <c r="U1845" s="13" t="s">
        <v>43</v>
      </c>
      <c r="V1845" s="13" t="n">
        <f aca="false">IF(COUNTIF($B$2:B1845,B1845)=1,1,0)</f>
        <v>0</v>
      </c>
      <c r="W1845" s="13" t="n">
        <f aca="false">IF(COUNTIFS($B$2:B1845,B1845,$T$2:T1845,T1845)=1,1,0)</f>
        <v>0</v>
      </c>
    </row>
    <row r="1846" customFormat="false" ht="15" hidden="false" customHeight="false" outlineLevel="0" collapsed="false">
      <c r="A1846" s="13" t="s">
        <v>1742</v>
      </c>
      <c r="B1846" s="13" t="s">
        <v>362</v>
      </c>
      <c r="C1846" s="13" t="n">
        <v>430</v>
      </c>
      <c r="D1846" s="13" t="n">
        <v>1</v>
      </c>
      <c r="E1846" s="13" t="n">
        <v>428.22</v>
      </c>
      <c r="F1846" s="13" t="s">
        <v>5288</v>
      </c>
      <c r="G1846" s="13" t="s">
        <v>5292</v>
      </c>
      <c r="H1846" s="13" t="s">
        <v>5289</v>
      </c>
      <c r="I1846" s="13" t="s">
        <v>5289</v>
      </c>
      <c r="J1846" s="13" t="s">
        <v>5289</v>
      </c>
      <c r="K1846" s="13" t="s">
        <v>5289</v>
      </c>
      <c r="L1846" s="13" t="s">
        <v>6283</v>
      </c>
      <c r="M1846" s="13"/>
      <c r="N1846" s="13" t="n">
        <v>3386460101059</v>
      </c>
      <c r="O1846" s="13"/>
      <c r="P1846" s="13" t="s">
        <v>5291</v>
      </c>
      <c r="Q1846" s="13" t="s">
        <v>5289</v>
      </c>
      <c r="R1846" s="13" t="s">
        <v>5292</v>
      </c>
      <c r="S1846" s="13" t="s">
        <v>5293</v>
      </c>
      <c r="T1846" s="13" t="s">
        <v>4</v>
      </c>
      <c r="U1846" s="13" t="s">
        <v>43</v>
      </c>
      <c r="V1846" s="13" t="n">
        <f aca="false">IF(COUNTIF($B$2:B1846,B1846)=1,1,0)</f>
        <v>0</v>
      </c>
      <c r="W1846" s="13" t="n">
        <f aca="false">IF(COUNTIFS($B$2:B1846,B1846,$T$2:T1846,T1846)=1,1,0)</f>
        <v>0</v>
      </c>
    </row>
    <row r="1847" customFormat="false" ht="15" hidden="false" customHeight="false" outlineLevel="0" collapsed="false">
      <c r="A1847" s="13" t="s">
        <v>1741</v>
      </c>
      <c r="B1847" s="13" t="s">
        <v>362</v>
      </c>
      <c r="C1847" s="13" t="n">
        <v>430</v>
      </c>
      <c r="D1847" s="13" t="n">
        <v>1</v>
      </c>
      <c r="E1847" s="13" t="n">
        <v>428.22</v>
      </c>
      <c r="F1847" s="13" t="s">
        <v>5288</v>
      </c>
      <c r="G1847" s="13" t="s">
        <v>5292</v>
      </c>
      <c r="H1847" s="13" t="s">
        <v>5292</v>
      </c>
      <c r="I1847" s="13" t="s">
        <v>5289</v>
      </c>
      <c r="J1847" s="13" t="s">
        <v>5289</v>
      </c>
      <c r="K1847" s="13" t="s">
        <v>5289</v>
      </c>
      <c r="L1847" s="13" t="s">
        <v>6283</v>
      </c>
      <c r="M1847" s="13"/>
      <c r="N1847" s="13" t="n">
        <v>3386460101059</v>
      </c>
      <c r="O1847" s="13"/>
      <c r="P1847" s="13" t="s">
        <v>5291</v>
      </c>
      <c r="Q1847" s="13" t="s">
        <v>5289</v>
      </c>
      <c r="R1847" s="13" t="s">
        <v>5292</v>
      </c>
      <c r="S1847" s="13" t="s">
        <v>5293</v>
      </c>
      <c r="T1847" s="13" t="s">
        <v>4</v>
      </c>
      <c r="U1847" s="13" t="s">
        <v>43</v>
      </c>
      <c r="V1847" s="13" t="n">
        <f aca="false">IF(COUNTIF($B$2:B1847,B1847)=1,1,0)</f>
        <v>0</v>
      </c>
      <c r="W1847" s="13" t="n">
        <f aca="false">IF(COUNTIFS($B$2:B1847,B1847,$T$2:T1847,T1847)=1,1,0)</f>
        <v>0</v>
      </c>
    </row>
    <row r="1848" customFormat="false" ht="15" hidden="false" customHeight="false" outlineLevel="0" collapsed="false">
      <c r="A1848" s="13" t="s">
        <v>6284</v>
      </c>
      <c r="B1848" s="13" t="s">
        <v>2128</v>
      </c>
      <c r="C1848" s="13" t="n">
        <v>430</v>
      </c>
      <c r="D1848" s="13" t="n">
        <v>2</v>
      </c>
      <c r="E1848" s="13" t="n">
        <v>142.37</v>
      </c>
      <c r="F1848" s="13" t="s">
        <v>5325</v>
      </c>
      <c r="G1848" s="13" t="s">
        <v>5289</v>
      </c>
      <c r="H1848" s="13" t="s">
        <v>5292</v>
      </c>
      <c r="I1848" s="13" t="s">
        <v>5289</v>
      </c>
      <c r="J1848" s="13" t="s">
        <v>5289</v>
      </c>
      <c r="K1848" s="13" t="s">
        <v>5289</v>
      </c>
      <c r="L1848" s="13" t="s">
        <v>5887</v>
      </c>
      <c r="M1848" s="13"/>
      <c r="N1848" s="13" t="n">
        <v>3326240816698</v>
      </c>
      <c r="O1848" s="13"/>
      <c r="P1848" s="13" t="s">
        <v>5291</v>
      </c>
      <c r="Q1848" s="13" t="s">
        <v>5289</v>
      </c>
      <c r="R1848" s="13" t="s">
        <v>5292</v>
      </c>
      <c r="S1848" s="13" t="s">
        <v>5293</v>
      </c>
      <c r="T1848" s="13" t="s">
        <v>4</v>
      </c>
      <c r="U1848" s="13" t="s">
        <v>85</v>
      </c>
      <c r="V1848" s="13" t="n">
        <f aca="false">IF(COUNTIF($B$2:B1848,B1848)=1,1,0)</f>
        <v>0</v>
      </c>
      <c r="W1848" s="13" t="n">
        <f aca="false">IF(COUNTIFS($B$2:B1848,B1848,$T$2:T1848,T1848)=1,1,0)</f>
        <v>0</v>
      </c>
    </row>
    <row r="1849" customFormat="false" ht="15" hidden="false" customHeight="false" outlineLevel="0" collapsed="false">
      <c r="A1849" s="13" t="s">
        <v>1740</v>
      </c>
      <c r="B1849" s="13" t="s">
        <v>42</v>
      </c>
      <c r="C1849" s="13" t="n">
        <v>430</v>
      </c>
      <c r="D1849" s="13" t="n">
        <v>1</v>
      </c>
      <c r="E1849" s="13" t="n">
        <v>426.55</v>
      </c>
      <c r="F1849" s="13" t="s">
        <v>5325</v>
      </c>
      <c r="G1849" s="13" t="s">
        <v>5292</v>
      </c>
      <c r="H1849" s="13" t="s">
        <v>5292</v>
      </c>
      <c r="I1849" s="13" t="s">
        <v>5289</v>
      </c>
      <c r="J1849" s="13" t="s">
        <v>5289</v>
      </c>
      <c r="K1849" s="13" t="s">
        <v>5289</v>
      </c>
      <c r="L1849" s="13" t="s">
        <v>6029</v>
      </c>
      <c r="M1849" s="13"/>
      <c r="N1849" s="13" t="n">
        <v>8411061906651</v>
      </c>
      <c r="O1849" s="13"/>
      <c r="P1849" s="13" t="s">
        <v>5291</v>
      </c>
      <c r="Q1849" s="13" t="s">
        <v>5289</v>
      </c>
      <c r="R1849" s="13" t="s">
        <v>5292</v>
      </c>
      <c r="S1849" s="13" t="s">
        <v>5293</v>
      </c>
      <c r="T1849" s="13" t="s">
        <v>4</v>
      </c>
      <c r="U1849" s="13" t="s">
        <v>43</v>
      </c>
      <c r="V1849" s="13" t="n">
        <f aca="false">IF(COUNTIF($B$2:B1849,B1849)=1,1,0)</f>
        <v>0</v>
      </c>
      <c r="W1849" s="13" t="n">
        <f aca="false">IF(COUNTIFS($B$2:B1849,B1849,$T$2:T1849,T1849)=1,1,0)</f>
        <v>0</v>
      </c>
    </row>
    <row r="1850" customFormat="false" ht="15" hidden="false" customHeight="false" outlineLevel="0" collapsed="false">
      <c r="A1850" s="13" t="s">
        <v>6285</v>
      </c>
      <c r="B1850" s="13" t="s">
        <v>2232</v>
      </c>
      <c r="C1850" s="13" t="n">
        <v>420</v>
      </c>
      <c r="D1850" s="13" t="n">
        <v>2</v>
      </c>
      <c r="E1850" s="13" t="n">
        <v>212.29</v>
      </c>
      <c r="F1850" s="13" t="s">
        <v>5288</v>
      </c>
      <c r="G1850" s="13" t="s">
        <v>5289</v>
      </c>
      <c r="H1850" s="13" t="s">
        <v>5292</v>
      </c>
      <c r="I1850" s="13" t="s">
        <v>5289</v>
      </c>
      <c r="J1850" s="13" t="s">
        <v>5289</v>
      </c>
      <c r="K1850" s="13" t="s">
        <v>5289</v>
      </c>
      <c r="L1850" s="13" t="s">
        <v>6202</v>
      </c>
      <c r="M1850" s="13"/>
      <c r="N1850" s="13" t="n">
        <v>5425039222127</v>
      </c>
      <c r="O1850" s="13"/>
      <c r="P1850" s="13" t="s">
        <v>5297</v>
      </c>
      <c r="Q1850" s="13" t="s">
        <v>5289</v>
      </c>
      <c r="R1850" s="13" t="s">
        <v>5292</v>
      </c>
      <c r="S1850" s="13" t="s">
        <v>5293</v>
      </c>
      <c r="T1850" s="13" t="s">
        <v>4</v>
      </c>
      <c r="U1850" s="13" t="s">
        <v>43</v>
      </c>
      <c r="V1850" s="13" t="n">
        <f aca="false">IF(COUNTIF($B$2:B1850,B1850)=1,1,0)</f>
        <v>0</v>
      </c>
      <c r="W1850" s="13" t="n">
        <f aca="false">IF(COUNTIFS($B$2:B1850,B1850,$T$2:T1850,T1850)=1,1,0)</f>
        <v>0</v>
      </c>
    </row>
    <row r="1851" customFormat="false" ht="15" hidden="false" customHeight="false" outlineLevel="0" collapsed="false">
      <c r="A1851" s="13" t="s">
        <v>1754</v>
      </c>
      <c r="B1851" s="13" t="s">
        <v>270</v>
      </c>
      <c r="C1851" s="13" t="n">
        <v>420</v>
      </c>
      <c r="D1851" s="13" t="n">
        <v>1</v>
      </c>
      <c r="E1851" s="13" t="n">
        <v>424.58</v>
      </c>
      <c r="F1851" s="13" t="s">
        <v>5325</v>
      </c>
      <c r="G1851" s="13" t="s">
        <v>5292</v>
      </c>
      <c r="H1851" s="13" t="s">
        <v>5292</v>
      </c>
      <c r="I1851" s="13" t="s">
        <v>5289</v>
      </c>
      <c r="J1851" s="13" t="s">
        <v>5289</v>
      </c>
      <c r="K1851" s="13" t="s">
        <v>5289</v>
      </c>
      <c r="L1851" s="13" t="s">
        <v>5916</v>
      </c>
      <c r="M1851" s="13"/>
      <c r="N1851" s="13" t="n">
        <v>892456000037</v>
      </c>
      <c r="O1851" s="13"/>
      <c r="P1851" s="13" t="s">
        <v>5291</v>
      </c>
      <c r="Q1851" s="13" t="s">
        <v>5289</v>
      </c>
      <c r="R1851" s="13" t="s">
        <v>5292</v>
      </c>
      <c r="S1851" s="13" t="s">
        <v>5293</v>
      </c>
      <c r="T1851" s="13" t="s">
        <v>4</v>
      </c>
      <c r="U1851" s="13" t="s">
        <v>43</v>
      </c>
      <c r="V1851" s="13" t="n">
        <f aca="false">IF(COUNTIF($B$2:B1851,B1851)=1,1,0)</f>
        <v>0</v>
      </c>
      <c r="W1851" s="13" t="n">
        <f aca="false">IF(COUNTIFS($B$2:B1851,B1851,$T$2:T1851,T1851)=1,1,0)</f>
        <v>0</v>
      </c>
    </row>
    <row r="1852" customFormat="false" ht="15" hidden="false" customHeight="false" outlineLevel="0" collapsed="false">
      <c r="A1852" s="13" t="s">
        <v>711</v>
      </c>
      <c r="B1852" s="13" t="s">
        <v>111</v>
      </c>
      <c r="C1852" s="13" t="n">
        <v>420</v>
      </c>
      <c r="D1852" s="13" t="n">
        <v>1</v>
      </c>
      <c r="E1852" s="13" t="n">
        <v>421.45</v>
      </c>
      <c r="F1852" s="13" t="s">
        <v>5325</v>
      </c>
      <c r="G1852" s="13" t="s">
        <v>5292</v>
      </c>
      <c r="H1852" s="13" t="s">
        <v>5292</v>
      </c>
      <c r="I1852" s="13" t="s">
        <v>5289</v>
      </c>
      <c r="J1852" s="13" t="s">
        <v>5289</v>
      </c>
      <c r="K1852" s="13" t="s">
        <v>5289</v>
      </c>
      <c r="L1852" s="13" t="s">
        <v>5852</v>
      </c>
      <c r="M1852" s="13"/>
      <c r="N1852" s="13" t="n">
        <v>3595471081032</v>
      </c>
      <c r="O1852" s="13"/>
      <c r="P1852" s="13" t="s">
        <v>5291</v>
      </c>
      <c r="Q1852" s="13" t="s">
        <v>5289</v>
      </c>
      <c r="R1852" s="13" t="s">
        <v>5292</v>
      </c>
      <c r="S1852" s="13" t="s">
        <v>5293</v>
      </c>
      <c r="T1852" s="13" t="s">
        <v>4</v>
      </c>
      <c r="U1852" s="13" t="s">
        <v>43</v>
      </c>
      <c r="V1852" s="13" t="n">
        <f aca="false">IF(COUNTIF($B$2:B1852,B1852)=1,1,0)</f>
        <v>0</v>
      </c>
      <c r="W1852" s="13" t="n">
        <f aca="false">IF(COUNTIFS($B$2:B1852,B1852,$T$2:T1852,T1852)=1,1,0)</f>
        <v>0</v>
      </c>
    </row>
    <row r="1853" customFormat="false" ht="15" hidden="false" customHeight="false" outlineLevel="0" collapsed="false">
      <c r="A1853" s="13" t="s">
        <v>6286</v>
      </c>
      <c r="B1853" s="13" t="s">
        <v>2242</v>
      </c>
      <c r="C1853" s="13" t="n">
        <v>420</v>
      </c>
      <c r="D1853" s="13" t="n">
        <v>1</v>
      </c>
      <c r="E1853" s="13" t="n">
        <v>420.75</v>
      </c>
      <c r="F1853" s="13" t="s">
        <v>5325</v>
      </c>
      <c r="G1853" s="13" t="s">
        <v>5289</v>
      </c>
      <c r="H1853" s="13" t="s">
        <v>5292</v>
      </c>
      <c r="I1853" s="13" t="s">
        <v>5289</v>
      </c>
      <c r="J1853" s="13" t="s">
        <v>5289</v>
      </c>
      <c r="K1853" s="13" t="s">
        <v>5289</v>
      </c>
      <c r="L1853" s="13" t="s">
        <v>6126</v>
      </c>
      <c r="M1853" s="13"/>
      <c r="N1853" s="13" t="n">
        <v>20714156893</v>
      </c>
      <c r="O1853" s="13"/>
      <c r="P1853" s="13" t="s">
        <v>5291</v>
      </c>
      <c r="Q1853" s="13" t="s">
        <v>5289</v>
      </c>
      <c r="R1853" s="13" t="s">
        <v>5292</v>
      </c>
      <c r="S1853" s="13" t="s">
        <v>5293</v>
      </c>
      <c r="T1853" s="13" t="s">
        <v>4</v>
      </c>
      <c r="U1853" s="13" t="s">
        <v>43</v>
      </c>
      <c r="V1853" s="13" t="n">
        <f aca="false">IF(COUNTIF($B$2:B1853,B1853)=1,1,0)</f>
        <v>0</v>
      </c>
      <c r="W1853" s="13" t="n">
        <f aca="false">IF(COUNTIFS($B$2:B1853,B1853,$T$2:T1853,T1853)=1,1,0)</f>
        <v>0</v>
      </c>
    </row>
    <row r="1854" customFormat="false" ht="15" hidden="false" customHeight="false" outlineLevel="0" collapsed="false">
      <c r="A1854" s="13" t="s">
        <v>1751</v>
      </c>
      <c r="B1854" s="13" t="s">
        <v>50</v>
      </c>
      <c r="C1854" s="13" t="n">
        <v>420</v>
      </c>
      <c r="D1854" s="13" t="n">
        <v>1</v>
      </c>
      <c r="E1854" s="13" t="n">
        <v>418.45</v>
      </c>
      <c r="F1854" s="13" t="s">
        <v>5288</v>
      </c>
      <c r="G1854" s="13" t="s">
        <v>5292</v>
      </c>
      <c r="H1854" s="13" t="s">
        <v>5292</v>
      </c>
      <c r="I1854" s="13" t="s">
        <v>5289</v>
      </c>
      <c r="J1854" s="13" t="s">
        <v>5289</v>
      </c>
      <c r="K1854" s="13" t="s">
        <v>5289</v>
      </c>
      <c r="L1854" s="13" t="s">
        <v>6287</v>
      </c>
      <c r="M1854" s="13"/>
      <c r="N1854" s="13" t="n">
        <v>3349668617159</v>
      </c>
      <c r="O1854" s="13"/>
      <c r="P1854" s="13" t="s">
        <v>5291</v>
      </c>
      <c r="Q1854" s="13" t="s">
        <v>5289</v>
      </c>
      <c r="R1854" s="13" t="s">
        <v>5292</v>
      </c>
      <c r="S1854" s="13" t="s">
        <v>5293</v>
      </c>
      <c r="T1854" s="13" t="s">
        <v>4</v>
      </c>
      <c r="U1854" s="13" t="s">
        <v>43</v>
      </c>
      <c r="V1854" s="13" t="n">
        <f aca="false">IF(COUNTIF($B$2:B1854,B1854)=1,1,0)</f>
        <v>0</v>
      </c>
      <c r="W1854" s="13" t="n">
        <f aca="false">IF(COUNTIFS($B$2:B1854,B1854,$T$2:T1854,T1854)=1,1,0)</f>
        <v>0</v>
      </c>
    </row>
    <row r="1855" customFormat="false" ht="15" hidden="false" customHeight="false" outlineLevel="0" collapsed="false">
      <c r="A1855" s="13" t="s">
        <v>1750</v>
      </c>
      <c r="B1855" s="13" t="s">
        <v>50</v>
      </c>
      <c r="C1855" s="13" t="n">
        <v>420</v>
      </c>
      <c r="D1855" s="13" t="n">
        <v>1</v>
      </c>
      <c r="E1855" s="13" t="n">
        <v>418.45</v>
      </c>
      <c r="F1855" s="13" t="s">
        <v>5288</v>
      </c>
      <c r="G1855" s="13" t="s">
        <v>5289</v>
      </c>
      <c r="H1855" s="13" t="s">
        <v>5289</v>
      </c>
      <c r="I1855" s="13" t="s">
        <v>5289</v>
      </c>
      <c r="J1855" s="13" t="s">
        <v>5289</v>
      </c>
      <c r="K1855" s="13" t="s">
        <v>5289</v>
      </c>
      <c r="L1855" s="13" t="s">
        <v>6287</v>
      </c>
      <c r="M1855" s="13"/>
      <c r="N1855" s="13" t="n">
        <v>3349668617159</v>
      </c>
      <c r="O1855" s="13"/>
      <c r="P1855" s="13" t="s">
        <v>5297</v>
      </c>
      <c r="Q1855" s="13" t="s">
        <v>5289</v>
      </c>
      <c r="R1855" s="13" t="s">
        <v>5292</v>
      </c>
      <c r="S1855" s="13" t="s">
        <v>5293</v>
      </c>
      <c r="T1855" s="13" t="s">
        <v>4</v>
      </c>
      <c r="U1855" s="13" t="s">
        <v>43</v>
      </c>
      <c r="V1855" s="13" t="n">
        <f aca="false">IF(COUNTIF($B$2:B1855,B1855)=1,1,0)</f>
        <v>0</v>
      </c>
      <c r="W1855" s="13" t="n">
        <f aca="false">IF(COUNTIFS($B$2:B1855,B1855,$T$2:T1855,T1855)=1,1,0)</f>
        <v>0</v>
      </c>
    </row>
    <row r="1856" customFormat="false" ht="15" hidden="false" customHeight="false" outlineLevel="0" collapsed="false">
      <c r="A1856" s="13" t="s">
        <v>1753</v>
      </c>
      <c r="B1856" s="13" t="s">
        <v>312</v>
      </c>
      <c r="C1856" s="13" t="n">
        <v>420</v>
      </c>
      <c r="D1856" s="13" t="n">
        <v>2</v>
      </c>
      <c r="E1856" s="13" t="n">
        <v>208.385</v>
      </c>
      <c r="F1856" s="13" t="s">
        <v>5288</v>
      </c>
      <c r="G1856" s="13" t="s">
        <v>5289</v>
      </c>
      <c r="H1856" s="13" t="s">
        <v>5292</v>
      </c>
      <c r="I1856" s="13" t="s">
        <v>5289</v>
      </c>
      <c r="J1856" s="13" t="s">
        <v>5289</v>
      </c>
      <c r="K1856" s="13" t="s">
        <v>5289</v>
      </c>
      <c r="L1856" s="13" t="s">
        <v>6288</v>
      </c>
      <c r="M1856" s="13"/>
      <c r="N1856" s="13" t="n">
        <v>3700608323330</v>
      </c>
      <c r="O1856" s="13"/>
      <c r="P1856" s="13" t="s">
        <v>5291</v>
      </c>
      <c r="Q1856" s="13" t="s">
        <v>5289</v>
      </c>
      <c r="R1856" s="13" t="s">
        <v>5292</v>
      </c>
      <c r="S1856" s="13" t="s">
        <v>5293</v>
      </c>
      <c r="T1856" s="13" t="s">
        <v>4</v>
      </c>
      <c r="U1856" s="13" t="s">
        <v>43</v>
      </c>
      <c r="V1856" s="13" t="n">
        <f aca="false">IF(COUNTIF($B$2:B1856,B1856)=1,1,0)</f>
        <v>0</v>
      </c>
      <c r="W1856" s="13" t="n">
        <f aca="false">IF(COUNTIFS($B$2:B1856,B1856,$T$2:T1856,T1856)=1,1,0)</f>
        <v>0</v>
      </c>
    </row>
    <row r="1857" customFormat="false" ht="15" hidden="false" customHeight="false" outlineLevel="0" collapsed="false">
      <c r="A1857" s="13" t="s">
        <v>1752</v>
      </c>
      <c r="B1857" s="13" t="s">
        <v>286</v>
      </c>
      <c r="C1857" s="13" t="n">
        <v>420</v>
      </c>
      <c r="D1857" s="13" t="n">
        <v>1</v>
      </c>
      <c r="E1857" s="13" t="n">
        <v>415.48</v>
      </c>
      <c r="F1857" s="13" t="s">
        <v>5288</v>
      </c>
      <c r="G1857" s="13" t="s">
        <v>5289</v>
      </c>
      <c r="H1857" s="13" t="s">
        <v>5292</v>
      </c>
      <c r="I1857" s="13" t="s">
        <v>5289</v>
      </c>
      <c r="J1857" s="13" t="s">
        <v>5289</v>
      </c>
      <c r="K1857" s="13" t="s">
        <v>5289</v>
      </c>
      <c r="L1857" s="13" t="s">
        <v>6110</v>
      </c>
      <c r="M1857" s="13"/>
      <c r="N1857" s="13" t="n">
        <v>6295199800942</v>
      </c>
      <c r="O1857" s="13"/>
      <c r="P1857" s="13" t="s">
        <v>5291</v>
      </c>
      <c r="Q1857" s="13" t="s">
        <v>5289</v>
      </c>
      <c r="R1857" s="13" t="s">
        <v>5292</v>
      </c>
      <c r="S1857" s="13" t="s">
        <v>5293</v>
      </c>
      <c r="T1857" s="13" t="s">
        <v>4</v>
      </c>
      <c r="U1857" s="13" t="s">
        <v>43</v>
      </c>
      <c r="V1857" s="13" t="n">
        <f aca="false">IF(COUNTIF($B$2:B1857,B1857)=1,1,0)</f>
        <v>0</v>
      </c>
      <c r="W1857" s="13" t="n">
        <f aca="false">IF(COUNTIFS($B$2:B1857,B1857,$T$2:T1857,T1857)=1,1,0)</f>
        <v>0</v>
      </c>
    </row>
    <row r="1858" customFormat="false" ht="15" hidden="false" customHeight="false" outlineLevel="0" collapsed="false">
      <c r="A1858" s="13" t="s">
        <v>1759</v>
      </c>
      <c r="B1858" s="13" t="s">
        <v>229</v>
      </c>
      <c r="C1858" s="13" t="n">
        <v>410</v>
      </c>
      <c r="D1858" s="13" t="n">
        <v>2</v>
      </c>
      <c r="E1858" s="13" t="n">
        <v>207.195</v>
      </c>
      <c r="F1858" s="13" t="s">
        <v>5288</v>
      </c>
      <c r="G1858" s="13" t="s">
        <v>5292</v>
      </c>
      <c r="H1858" s="13" t="s">
        <v>5292</v>
      </c>
      <c r="I1858" s="13" t="s">
        <v>5289</v>
      </c>
      <c r="J1858" s="13" t="s">
        <v>5289</v>
      </c>
      <c r="K1858" s="13" t="s">
        <v>5289</v>
      </c>
      <c r="L1858" s="13" t="s">
        <v>6289</v>
      </c>
      <c r="M1858" s="13"/>
      <c r="N1858" s="13" t="n">
        <v>3414202000534</v>
      </c>
      <c r="O1858" s="13"/>
      <c r="P1858" s="13" t="s">
        <v>5291</v>
      </c>
      <c r="Q1858" s="13" t="s">
        <v>5289</v>
      </c>
      <c r="R1858" s="13" t="s">
        <v>5292</v>
      </c>
      <c r="S1858" s="13" t="s">
        <v>5293</v>
      </c>
      <c r="T1858" s="13" t="s">
        <v>4</v>
      </c>
      <c r="U1858" s="13" t="s">
        <v>43</v>
      </c>
      <c r="V1858" s="13" t="n">
        <f aca="false">IF(COUNTIF($B$2:B1858,B1858)=1,1,0)</f>
        <v>0</v>
      </c>
      <c r="W1858" s="13" t="n">
        <f aca="false">IF(COUNTIFS($B$2:B1858,B1858,$T$2:T1858,T1858)=1,1,0)</f>
        <v>0</v>
      </c>
    </row>
    <row r="1859" customFormat="false" ht="15" hidden="false" customHeight="false" outlineLevel="0" collapsed="false">
      <c r="A1859" s="13" t="s">
        <v>1757</v>
      </c>
      <c r="B1859" s="13" t="s">
        <v>92</v>
      </c>
      <c r="C1859" s="13" t="n">
        <v>410</v>
      </c>
      <c r="D1859" s="13" t="n">
        <v>1</v>
      </c>
      <c r="E1859" s="13" t="n">
        <v>413.95</v>
      </c>
      <c r="F1859" s="13" t="s">
        <v>5288</v>
      </c>
      <c r="G1859" s="13" t="s">
        <v>5292</v>
      </c>
      <c r="H1859" s="13" t="s">
        <v>5292</v>
      </c>
      <c r="I1859" s="13" t="s">
        <v>5289</v>
      </c>
      <c r="J1859" s="13" t="s">
        <v>5289</v>
      </c>
      <c r="K1859" s="13" t="s">
        <v>5289</v>
      </c>
      <c r="L1859" s="13" t="s">
        <v>6290</v>
      </c>
      <c r="M1859" s="13"/>
      <c r="N1859" s="13" t="n">
        <v>3614223111404</v>
      </c>
      <c r="O1859" s="13"/>
      <c r="P1859" s="13" t="s">
        <v>5297</v>
      </c>
      <c r="Q1859" s="13" t="s">
        <v>5289</v>
      </c>
      <c r="R1859" s="13" t="s">
        <v>5292</v>
      </c>
      <c r="S1859" s="13" t="s">
        <v>5293</v>
      </c>
      <c r="T1859" s="13" t="s">
        <v>4</v>
      </c>
      <c r="U1859" s="13" t="s">
        <v>43</v>
      </c>
      <c r="V1859" s="13" t="n">
        <f aca="false">IF(COUNTIF($B$2:B1859,B1859)=1,1,0)</f>
        <v>0</v>
      </c>
      <c r="W1859" s="13" t="n">
        <f aca="false">IF(COUNTIFS($B$2:B1859,B1859,$T$2:T1859,T1859)=1,1,0)</f>
        <v>0</v>
      </c>
    </row>
    <row r="1860" customFormat="false" ht="15" hidden="false" customHeight="false" outlineLevel="0" collapsed="false">
      <c r="A1860" s="13" t="s">
        <v>1763</v>
      </c>
      <c r="B1860" s="13" t="s">
        <v>286</v>
      </c>
      <c r="C1860" s="13" t="n">
        <v>410</v>
      </c>
      <c r="D1860" s="13" t="n">
        <v>1</v>
      </c>
      <c r="E1860" s="13" t="n">
        <v>413.6</v>
      </c>
      <c r="F1860" s="13" t="s">
        <v>5325</v>
      </c>
      <c r="G1860" s="13" t="s">
        <v>5292</v>
      </c>
      <c r="H1860" s="13" t="s">
        <v>5292</v>
      </c>
      <c r="I1860" s="13" t="s">
        <v>5289</v>
      </c>
      <c r="J1860" s="13" t="s">
        <v>5289</v>
      </c>
      <c r="K1860" s="13" t="s">
        <v>5289</v>
      </c>
      <c r="L1860" s="13" t="s">
        <v>6130</v>
      </c>
      <c r="M1860" s="13"/>
      <c r="N1860" s="13" t="n">
        <v>6295199815496</v>
      </c>
      <c r="O1860" s="13"/>
      <c r="P1860" s="13" t="s">
        <v>5291</v>
      </c>
      <c r="Q1860" s="13" t="s">
        <v>5289</v>
      </c>
      <c r="R1860" s="13" t="s">
        <v>5292</v>
      </c>
      <c r="S1860" s="13" t="s">
        <v>5293</v>
      </c>
      <c r="T1860" s="13" t="s">
        <v>4</v>
      </c>
      <c r="U1860" s="13" t="s">
        <v>43</v>
      </c>
      <c r="V1860" s="13" t="n">
        <f aca="false">IF(COUNTIF($B$2:B1860,B1860)=1,1,0)</f>
        <v>0</v>
      </c>
      <c r="W1860" s="13" t="n">
        <f aca="false">IF(COUNTIFS($B$2:B1860,B1860,$T$2:T1860,T1860)=1,1,0)</f>
        <v>0</v>
      </c>
    </row>
    <row r="1861" customFormat="false" ht="15" hidden="false" customHeight="false" outlineLevel="0" collapsed="false">
      <c r="A1861" s="13" t="s">
        <v>1758</v>
      </c>
      <c r="B1861" s="13" t="s">
        <v>312</v>
      </c>
      <c r="C1861" s="13" t="n">
        <v>410</v>
      </c>
      <c r="D1861" s="13" t="n">
        <v>2</v>
      </c>
      <c r="E1861" s="13" t="n">
        <v>206.79</v>
      </c>
      <c r="F1861" s="13" t="s">
        <v>5325</v>
      </c>
      <c r="G1861" s="13" t="s">
        <v>5289</v>
      </c>
      <c r="H1861" s="13" t="s">
        <v>5292</v>
      </c>
      <c r="I1861" s="13" t="s">
        <v>5289</v>
      </c>
      <c r="J1861" s="13" t="s">
        <v>5289</v>
      </c>
      <c r="K1861" s="13" t="s">
        <v>5289</v>
      </c>
      <c r="L1861" s="13" t="s">
        <v>5728</v>
      </c>
      <c r="M1861" s="13"/>
      <c r="N1861" s="13" t="n">
        <v>3700608300010</v>
      </c>
      <c r="O1861" s="13"/>
      <c r="P1861" s="13" t="s">
        <v>5291</v>
      </c>
      <c r="Q1861" s="13" t="s">
        <v>5289</v>
      </c>
      <c r="R1861" s="13" t="s">
        <v>5292</v>
      </c>
      <c r="S1861" s="13" t="s">
        <v>5293</v>
      </c>
      <c r="T1861" s="13" t="s">
        <v>4</v>
      </c>
      <c r="U1861" s="13" t="s">
        <v>43</v>
      </c>
      <c r="V1861" s="13" t="n">
        <f aca="false">IF(COUNTIF($B$2:B1861,B1861)=1,1,0)</f>
        <v>0</v>
      </c>
      <c r="W1861" s="13" t="n">
        <f aca="false">IF(COUNTIFS($B$2:B1861,B1861,$T$2:T1861,T1861)=1,1,0)</f>
        <v>0</v>
      </c>
    </row>
    <row r="1862" customFormat="false" ht="15" hidden="false" customHeight="false" outlineLevel="0" collapsed="false">
      <c r="A1862" s="13" t="s">
        <v>1760</v>
      </c>
      <c r="B1862" s="13" t="s">
        <v>329</v>
      </c>
      <c r="C1862" s="13" t="n">
        <v>410</v>
      </c>
      <c r="D1862" s="13" t="n">
        <v>1</v>
      </c>
      <c r="E1862" s="13" t="n">
        <v>412.29</v>
      </c>
      <c r="F1862" s="13" t="s">
        <v>5288</v>
      </c>
      <c r="G1862" s="13" t="s">
        <v>5289</v>
      </c>
      <c r="H1862" s="13" t="s">
        <v>5289</v>
      </c>
      <c r="I1862" s="13" t="s">
        <v>5289</v>
      </c>
      <c r="J1862" s="13" t="s">
        <v>5289</v>
      </c>
      <c r="K1862" s="13" t="s">
        <v>5289</v>
      </c>
      <c r="L1862" s="13" t="s">
        <v>6291</v>
      </c>
      <c r="M1862" s="13"/>
      <c r="N1862" s="13" t="n">
        <v>3137370359487</v>
      </c>
      <c r="O1862" s="13"/>
      <c r="P1862" s="13" t="s">
        <v>5291</v>
      </c>
      <c r="Q1862" s="13" t="s">
        <v>5289</v>
      </c>
      <c r="R1862" s="13" t="s">
        <v>5292</v>
      </c>
      <c r="S1862" s="13" t="s">
        <v>5293</v>
      </c>
      <c r="T1862" s="13" t="s">
        <v>4</v>
      </c>
      <c r="U1862" s="13" t="s">
        <v>43</v>
      </c>
      <c r="V1862" s="13" t="n">
        <f aca="false">IF(COUNTIF($B$2:B1862,B1862)=1,1,0)</f>
        <v>0</v>
      </c>
      <c r="W1862" s="13" t="n">
        <f aca="false">IF(COUNTIFS($B$2:B1862,B1862,$T$2:T1862,T1862)=1,1,0)</f>
        <v>0</v>
      </c>
    </row>
    <row r="1863" customFormat="false" ht="15" hidden="false" customHeight="false" outlineLevel="0" collapsed="false">
      <c r="A1863" s="13" t="s">
        <v>1761</v>
      </c>
      <c r="B1863" s="13" t="s">
        <v>111</v>
      </c>
      <c r="C1863" s="13" t="n">
        <v>410</v>
      </c>
      <c r="D1863" s="13" t="n">
        <v>1</v>
      </c>
      <c r="E1863" s="13" t="n">
        <v>408.1</v>
      </c>
      <c r="F1863" s="13" t="s">
        <v>5288</v>
      </c>
      <c r="G1863" s="13" t="s">
        <v>5289</v>
      </c>
      <c r="H1863" s="13" t="s">
        <v>5292</v>
      </c>
      <c r="I1863" s="13" t="s">
        <v>5289</v>
      </c>
      <c r="J1863" s="13" t="s">
        <v>5289</v>
      </c>
      <c r="K1863" s="13" t="s">
        <v>5289</v>
      </c>
      <c r="L1863" s="13" t="s">
        <v>6292</v>
      </c>
      <c r="M1863" s="13"/>
      <c r="N1863" s="13" t="n">
        <v>3595471061010</v>
      </c>
      <c r="O1863" s="13"/>
      <c r="P1863" s="13" t="s">
        <v>5291</v>
      </c>
      <c r="Q1863" s="13" t="s">
        <v>5289</v>
      </c>
      <c r="R1863" s="13" t="s">
        <v>5292</v>
      </c>
      <c r="S1863" s="13" t="s">
        <v>5293</v>
      </c>
      <c r="T1863" s="13" t="s">
        <v>4</v>
      </c>
      <c r="U1863" s="13" t="s">
        <v>43</v>
      </c>
      <c r="V1863" s="13" t="n">
        <f aca="false">IF(COUNTIF($B$2:B1863,B1863)=1,1,0)</f>
        <v>0</v>
      </c>
      <c r="W1863" s="13" t="n">
        <f aca="false">IF(COUNTIFS($B$2:B1863,B1863,$T$2:T1863,T1863)=1,1,0)</f>
        <v>0</v>
      </c>
    </row>
    <row r="1864" customFormat="false" ht="15" hidden="false" customHeight="false" outlineLevel="0" collapsed="false">
      <c r="A1864" s="13" t="s">
        <v>3132</v>
      </c>
      <c r="B1864" s="13" t="s">
        <v>2111</v>
      </c>
      <c r="C1864" s="13" t="n">
        <v>410</v>
      </c>
      <c r="D1864" s="13" t="n">
        <v>1</v>
      </c>
      <c r="E1864" s="13" t="n">
        <v>408</v>
      </c>
      <c r="F1864" s="13" t="s">
        <v>5325</v>
      </c>
      <c r="G1864" s="13" t="s">
        <v>5292</v>
      </c>
      <c r="H1864" s="13" t="s">
        <v>5289</v>
      </c>
      <c r="I1864" s="13" t="s">
        <v>5289</v>
      </c>
      <c r="J1864" s="13" t="s">
        <v>5289</v>
      </c>
      <c r="K1864" s="13" t="s">
        <v>5289</v>
      </c>
      <c r="L1864" s="13" t="s">
        <v>5934</v>
      </c>
      <c r="M1864" s="13"/>
      <c r="N1864" s="13" t="n">
        <v>3386460160841</v>
      </c>
      <c r="O1864" s="13"/>
      <c r="P1864" s="13" t="s">
        <v>5291</v>
      </c>
      <c r="Q1864" s="13" t="s">
        <v>5289</v>
      </c>
      <c r="R1864" s="13" t="s">
        <v>5292</v>
      </c>
      <c r="S1864" s="13" t="s">
        <v>5293</v>
      </c>
      <c r="T1864" s="13" t="s">
        <v>4</v>
      </c>
      <c r="U1864" s="13" t="s">
        <v>43</v>
      </c>
      <c r="V1864" s="13" t="n">
        <f aca="false">IF(COUNTIF($B$2:B1864,B1864)=1,1,0)</f>
        <v>0</v>
      </c>
      <c r="W1864" s="13" t="n">
        <f aca="false">IF(COUNTIFS($B$2:B1864,B1864,$T$2:T1864,T1864)=1,1,0)</f>
        <v>0</v>
      </c>
    </row>
    <row r="1865" customFormat="false" ht="15" hidden="false" customHeight="false" outlineLevel="0" collapsed="false">
      <c r="A1865" s="13" t="s">
        <v>101</v>
      </c>
      <c r="B1865" s="13" t="s">
        <v>45</v>
      </c>
      <c r="C1865" s="13" t="n">
        <v>410</v>
      </c>
      <c r="D1865" s="13" t="n">
        <v>1</v>
      </c>
      <c r="E1865" s="13" t="n">
        <v>407.55</v>
      </c>
      <c r="F1865" s="13" t="s">
        <v>5325</v>
      </c>
      <c r="G1865" s="13" t="s">
        <v>5292</v>
      </c>
      <c r="H1865" s="13" t="s">
        <v>5289</v>
      </c>
      <c r="I1865" s="13" t="s">
        <v>5289</v>
      </c>
      <c r="J1865" s="13" t="s">
        <v>5289</v>
      </c>
      <c r="K1865" s="13" t="s">
        <v>5289</v>
      </c>
      <c r="L1865" s="13" t="s">
        <v>5829</v>
      </c>
      <c r="M1865" s="13"/>
      <c r="N1865" s="13" t="n">
        <v>8435415012607</v>
      </c>
      <c r="O1865" s="13"/>
      <c r="P1865" s="13" t="s">
        <v>5291</v>
      </c>
      <c r="Q1865" s="13" t="s">
        <v>5289</v>
      </c>
      <c r="R1865" s="13" t="s">
        <v>5292</v>
      </c>
      <c r="S1865" s="13" t="s">
        <v>5293</v>
      </c>
      <c r="T1865" s="13" t="s">
        <v>4</v>
      </c>
      <c r="U1865" s="13" t="s">
        <v>43</v>
      </c>
      <c r="V1865" s="13" t="n">
        <f aca="false">IF(COUNTIF($B$2:B1865,B1865)=1,1,0)</f>
        <v>0</v>
      </c>
      <c r="W1865" s="13" t="n">
        <f aca="false">IF(COUNTIFS($B$2:B1865,B1865,$T$2:T1865,T1865)=1,1,0)</f>
        <v>0</v>
      </c>
    </row>
    <row r="1866" customFormat="false" ht="15" hidden="false" customHeight="false" outlineLevel="0" collapsed="false">
      <c r="A1866" s="13" t="s">
        <v>1777</v>
      </c>
      <c r="B1866" s="13" t="s">
        <v>329</v>
      </c>
      <c r="C1866" s="13" t="n">
        <v>400</v>
      </c>
      <c r="D1866" s="13" t="n">
        <v>1</v>
      </c>
      <c r="E1866" s="13" t="n">
        <v>403.88</v>
      </c>
      <c r="F1866" s="13" t="s">
        <v>5288</v>
      </c>
      <c r="G1866" s="13" t="s">
        <v>5289</v>
      </c>
      <c r="H1866" s="13" t="s">
        <v>5289</v>
      </c>
      <c r="I1866" s="13" t="s">
        <v>5289</v>
      </c>
      <c r="J1866" s="13" t="s">
        <v>5289</v>
      </c>
      <c r="K1866" s="13" t="s">
        <v>5289</v>
      </c>
      <c r="L1866" s="13" t="s">
        <v>6293</v>
      </c>
      <c r="M1866" s="13"/>
      <c r="N1866" s="13" t="n">
        <v>3137370365181</v>
      </c>
      <c r="O1866" s="13"/>
      <c r="P1866" s="13" t="s">
        <v>5291</v>
      </c>
      <c r="Q1866" s="13" t="s">
        <v>5289</v>
      </c>
      <c r="R1866" s="13" t="s">
        <v>5292</v>
      </c>
      <c r="S1866" s="13" t="s">
        <v>5293</v>
      </c>
      <c r="T1866" s="13" t="s">
        <v>4</v>
      </c>
      <c r="U1866" s="13" t="s">
        <v>43</v>
      </c>
      <c r="V1866" s="13" t="n">
        <f aca="false">IF(COUNTIF($B$2:B1866,B1866)=1,1,0)</f>
        <v>0</v>
      </c>
      <c r="W1866" s="13" t="n">
        <f aca="false">IF(COUNTIFS($B$2:B1866,B1866,$T$2:T1866,T1866)=1,1,0)</f>
        <v>0</v>
      </c>
    </row>
    <row r="1867" customFormat="false" ht="15" hidden="false" customHeight="false" outlineLevel="0" collapsed="false">
      <c r="A1867" s="13" t="s">
        <v>384</v>
      </c>
      <c r="B1867" s="13" t="s">
        <v>329</v>
      </c>
      <c r="C1867" s="13" t="n">
        <v>400</v>
      </c>
      <c r="D1867" s="13" t="n">
        <v>1</v>
      </c>
      <c r="E1867" s="13" t="n">
        <v>403</v>
      </c>
      <c r="F1867" s="13" t="s">
        <v>5288</v>
      </c>
      <c r="G1867" s="13" t="s">
        <v>5289</v>
      </c>
      <c r="H1867" s="13" t="s">
        <v>5289</v>
      </c>
      <c r="I1867" s="13" t="s">
        <v>5289</v>
      </c>
      <c r="J1867" s="13" t="s">
        <v>5289</v>
      </c>
      <c r="K1867" s="13" t="s">
        <v>5289</v>
      </c>
      <c r="L1867" s="13" t="s">
        <v>6294</v>
      </c>
      <c r="M1867" s="13"/>
      <c r="N1867" s="13" t="n">
        <v>3137370357667</v>
      </c>
      <c r="O1867" s="13"/>
      <c r="P1867" s="13" t="s">
        <v>5291</v>
      </c>
      <c r="Q1867" s="13" t="s">
        <v>5289</v>
      </c>
      <c r="R1867" s="13" t="s">
        <v>5292</v>
      </c>
      <c r="S1867" s="13" t="s">
        <v>5293</v>
      </c>
      <c r="T1867" s="13" t="s">
        <v>4</v>
      </c>
      <c r="U1867" s="13" t="s">
        <v>43</v>
      </c>
      <c r="V1867" s="13" t="n">
        <f aca="false">IF(COUNTIF($B$2:B1867,B1867)=1,1,0)</f>
        <v>0</v>
      </c>
      <c r="W1867" s="13" t="n">
        <f aca="false">IF(COUNTIFS($B$2:B1867,B1867,$T$2:T1867,T1867)=1,1,0)</f>
        <v>0</v>
      </c>
    </row>
    <row r="1868" customFormat="false" ht="15" hidden="false" customHeight="false" outlineLevel="0" collapsed="false">
      <c r="A1868" s="13" t="s">
        <v>1772</v>
      </c>
      <c r="B1868" s="13" t="s">
        <v>490</v>
      </c>
      <c r="C1868" s="13" t="n">
        <v>400</v>
      </c>
      <c r="D1868" s="13" t="n">
        <v>1</v>
      </c>
      <c r="E1868" s="13" t="n">
        <v>399.99</v>
      </c>
      <c r="F1868" s="13" t="s">
        <v>5288</v>
      </c>
      <c r="G1868" s="13" t="s">
        <v>5292</v>
      </c>
      <c r="H1868" s="13" t="s">
        <v>5289</v>
      </c>
      <c r="I1868" s="13" t="s">
        <v>5289</v>
      </c>
      <c r="J1868" s="13" t="s">
        <v>5289</v>
      </c>
      <c r="K1868" s="13" t="s">
        <v>5289</v>
      </c>
      <c r="L1868" s="13" t="s">
        <v>6295</v>
      </c>
      <c r="M1868" s="13"/>
      <c r="N1868" s="13" t="n">
        <v>8011003826711</v>
      </c>
      <c r="O1868" s="13"/>
      <c r="P1868" s="13" t="s">
        <v>5297</v>
      </c>
      <c r="Q1868" s="13" t="s">
        <v>5289</v>
      </c>
      <c r="R1868" s="13" t="s">
        <v>5292</v>
      </c>
      <c r="S1868" s="13" t="s">
        <v>5293</v>
      </c>
      <c r="T1868" s="13" t="s">
        <v>4</v>
      </c>
      <c r="U1868" s="13" t="s">
        <v>43</v>
      </c>
      <c r="V1868" s="13" t="n">
        <f aca="false">IF(COUNTIF($B$2:B1868,B1868)=1,1,0)</f>
        <v>0</v>
      </c>
      <c r="W1868" s="13" t="n">
        <f aca="false">IF(COUNTIFS($B$2:B1868,B1868,$T$2:T1868,T1868)=1,1,0)</f>
        <v>0</v>
      </c>
    </row>
    <row r="1869" customFormat="false" ht="15" hidden="false" customHeight="false" outlineLevel="0" collapsed="false">
      <c r="A1869" s="13" t="s">
        <v>4676</v>
      </c>
      <c r="B1869" s="13" t="s">
        <v>2138</v>
      </c>
      <c r="C1869" s="13" t="n">
        <v>400</v>
      </c>
      <c r="D1869" s="13" t="n">
        <v>1</v>
      </c>
      <c r="E1869" s="13" t="n">
        <v>399.51</v>
      </c>
      <c r="F1869" s="13" t="s">
        <v>5288</v>
      </c>
      <c r="G1869" s="13" t="s">
        <v>5292</v>
      </c>
      <c r="H1869" s="13" t="s">
        <v>5292</v>
      </c>
      <c r="I1869" s="13" t="s">
        <v>5289</v>
      </c>
      <c r="J1869" s="13" t="s">
        <v>5289</v>
      </c>
      <c r="K1869" s="13" t="s">
        <v>5289</v>
      </c>
      <c r="L1869" s="13" t="s">
        <v>6296</v>
      </c>
      <c r="M1869" s="13"/>
      <c r="N1869" s="13" t="n">
        <v>3386460129411</v>
      </c>
      <c r="O1869" s="13"/>
      <c r="P1869" s="13" t="s">
        <v>5291</v>
      </c>
      <c r="Q1869" s="13" t="s">
        <v>5289</v>
      </c>
      <c r="R1869" s="13" t="s">
        <v>5292</v>
      </c>
      <c r="S1869" s="13" t="s">
        <v>5293</v>
      </c>
      <c r="T1869" s="13" t="s">
        <v>4</v>
      </c>
      <c r="U1869" s="13" t="s">
        <v>43</v>
      </c>
      <c r="V1869" s="13" t="n">
        <f aca="false">IF(COUNTIF($B$2:B1869,B1869)=1,1,0)</f>
        <v>0</v>
      </c>
      <c r="W1869" s="13" t="n">
        <f aca="false">IF(COUNTIFS($B$2:B1869,B1869,$T$2:T1869,T1869)=1,1,0)</f>
        <v>0</v>
      </c>
    </row>
    <row r="1870" customFormat="false" ht="15" hidden="false" customHeight="false" outlineLevel="0" collapsed="false">
      <c r="A1870" s="13" t="s">
        <v>1766</v>
      </c>
      <c r="B1870" s="13" t="s">
        <v>302</v>
      </c>
      <c r="C1870" s="13" t="n">
        <v>400</v>
      </c>
      <c r="D1870" s="13" t="n">
        <v>1</v>
      </c>
      <c r="E1870" s="13" t="n">
        <v>399.33</v>
      </c>
      <c r="F1870" s="13" t="s">
        <v>5325</v>
      </c>
      <c r="G1870" s="13" t="s">
        <v>5292</v>
      </c>
      <c r="H1870" s="13" t="s">
        <v>5292</v>
      </c>
      <c r="I1870" s="13" t="s">
        <v>5289</v>
      </c>
      <c r="J1870" s="13" t="s">
        <v>5289</v>
      </c>
      <c r="K1870" s="13" t="s">
        <v>5289</v>
      </c>
      <c r="L1870" s="13" t="s">
        <v>6297</v>
      </c>
      <c r="M1870" s="13"/>
      <c r="N1870" s="13" t="n">
        <v>3274872505780</v>
      </c>
      <c r="O1870" s="13"/>
      <c r="P1870" s="13" t="s">
        <v>5291</v>
      </c>
      <c r="Q1870" s="13" t="s">
        <v>5289</v>
      </c>
      <c r="R1870" s="13" t="s">
        <v>5292</v>
      </c>
      <c r="S1870" s="13" t="s">
        <v>5293</v>
      </c>
      <c r="T1870" s="13" t="s">
        <v>4</v>
      </c>
      <c r="U1870" s="13" t="s">
        <v>43</v>
      </c>
      <c r="V1870" s="13" t="n">
        <f aca="false">IF(COUNTIF($B$2:B1870,B1870)=1,1,0)</f>
        <v>0</v>
      </c>
      <c r="W1870" s="13" t="n">
        <f aca="false">IF(COUNTIFS($B$2:B1870,B1870,$T$2:T1870,T1870)=1,1,0)</f>
        <v>0</v>
      </c>
    </row>
    <row r="1871" customFormat="false" ht="15" hidden="false" customHeight="false" outlineLevel="0" collapsed="false">
      <c r="A1871" s="13" t="s">
        <v>1764</v>
      </c>
      <c r="B1871" s="13" t="s">
        <v>329</v>
      </c>
      <c r="C1871" s="13" t="n">
        <v>400</v>
      </c>
      <c r="D1871" s="13" t="n">
        <v>1</v>
      </c>
      <c r="E1871" s="13" t="n">
        <v>398.82</v>
      </c>
      <c r="F1871" s="13" t="s">
        <v>5288</v>
      </c>
      <c r="G1871" s="13" t="s">
        <v>5289</v>
      </c>
      <c r="H1871" s="13" t="s">
        <v>5289</v>
      </c>
      <c r="I1871" s="13" t="s">
        <v>5289</v>
      </c>
      <c r="J1871" s="13" t="s">
        <v>5289</v>
      </c>
      <c r="K1871" s="13" t="s">
        <v>5289</v>
      </c>
      <c r="L1871" s="13" t="s">
        <v>6298</v>
      </c>
      <c r="M1871" s="13"/>
      <c r="N1871" s="13" t="n">
        <v>3137370207030</v>
      </c>
      <c r="O1871" s="13"/>
      <c r="P1871" s="13" t="s">
        <v>5291</v>
      </c>
      <c r="Q1871" s="13" t="s">
        <v>5289</v>
      </c>
      <c r="R1871" s="13" t="s">
        <v>5292</v>
      </c>
      <c r="S1871" s="13" t="s">
        <v>5293</v>
      </c>
      <c r="T1871" s="13" t="s">
        <v>4</v>
      </c>
      <c r="U1871" s="13" t="s">
        <v>43</v>
      </c>
      <c r="V1871" s="13" t="n">
        <f aca="false">IF(COUNTIF($B$2:B1871,B1871)=1,1,0)</f>
        <v>0</v>
      </c>
      <c r="W1871" s="13" t="n">
        <f aca="false">IF(COUNTIFS($B$2:B1871,B1871,$T$2:T1871,T1871)=1,1,0)</f>
        <v>0</v>
      </c>
    </row>
    <row r="1872" customFormat="false" ht="15" hidden="false" customHeight="false" outlineLevel="0" collapsed="false">
      <c r="A1872" s="13" t="s">
        <v>4457</v>
      </c>
      <c r="B1872" s="13" t="s">
        <v>2139</v>
      </c>
      <c r="C1872" s="13" t="n">
        <v>400</v>
      </c>
      <c r="D1872" s="13" t="n">
        <v>2</v>
      </c>
      <c r="E1872" s="13" t="n">
        <v>199.23</v>
      </c>
      <c r="F1872" s="13" t="s">
        <v>5288</v>
      </c>
      <c r="G1872" s="13" t="s">
        <v>5292</v>
      </c>
      <c r="H1872" s="13" t="s">
        <v>5289</v>
      </c>
      <c r="I1872" s="13" t="s">
        <v>5289</v>
      </c>
      <c r="J1872" s="13" t="s">
        <v>5289</v>
      </c>
      <c r="K1872" s="13" t="s">
        <v>5289</v>
      </c>
      <c r="L1872" s="13" t="s">
        <v>6299</v>
      </c>
      <c r="M1872" s="13"/>
      <c r="N1872" s="13" t="n">
        <v>8411061114186</v>
      </c>
      <c r="O1872" s="13"/>
      <c r="P1872" s="13" t="s">
        <v>5291</v>
      </c>
      <c r="Q1872" s="13" t="s">
        <v>5289</v>
      </c>
      <c r="R1872" s="13" t="s">
        <v>5292</v>
      </c>
      <c r="S1872" s="13" t="s">
        <v>5293</v>
      </c>
      <c r="T1872" s="13" t="s">
        <v>4</v>
      </c>
      <c r="U1872" s="13" t="s">
        <v>85</v>
      </c>
      <c r="V1872" s="13" t="n">
        <f aca="false">IF(COUNTIF($B$2:B1872,B1872)=1,1,0)</f>
        <v>0</v>
      </c>
      <c r="W1872" s="13" t="n">
        <f aca="false">IF(COUNTIFS($B$2:B1872,B1872,$T$2:T1872,T1872)=1,1,0)</f>
        <v>0</v>
      </c>
    </row>
    <row r="1873" customFormat="false" ht="15" hidden="false" customHeight="false" outlineLevel="0" collapsed="false">
      <c r="A1873" s="13" t="s">
        <v>1765</v>
      </c>
      <c r="B1873" s="13" t="s">
        <v>111</v>
      </c>
      <c r="C1873" s="13" t="n">
        <v>400</v>
      </c>
      <c r="D1873" s="13" t="n">
        <v>1</v>
      </c>
      <c r="E1873" s="13" t="n">
        <v>397</v>
      </c>
      <c r="F1873" s="13" t="s">
        <v>5288</v>
      </c>
      <c r="G1873" s="13" t="s">
        <v>5289</v>
      </c>
      <c r="H1873" s="13" t="s">
        <v>5292</v>
      </c>
      <c r="I1873" s="13" t="s">
        <v>5289</v>
      </c>
      <c r="J1873" s="13" t="s">
        <v>5289</v>
      </c>
      <c r="K1873" s="13" t="s">
        <v>5289</v>
      </c>
      <c r="L1873" s="13" t="s">
        <v>6300</v>
      </c>
      <c r="M1873" s="13"/>
      <c r="N1873" s="13" t="n">
        <v>3595471028334</v>
      </c>
      <c r="O1873" s="13"/>
      <c r="P1873" s="13" t="s">
        <v>5291</v>
      </c>
      <c r="Q1873" s="13" t="s">
        <v>5289</v>
      </c>
      <c r="R1873" s="13" t="s">
        <v>5292</v>
      </c>
      <c r="S1873" s="13" t="s">
        <v>5293</v>
      </c>
      <c r="T1873" s="13" t="s">
        <v>4</v>
      </c>
      <c r="U1873" s="13" t="s">
        <v>43</v>
      </c>
      <c r="V1873" s="13" t="n">
        <f aca="false">IF(COUNTIF($B$2:B1873,B1873)=1,1,0)</f>
        <v>0</v>
      </c>
      <c r="W1873" s="13" t="n">
        <f aca="false">IF(COUNTIFS($B$2:B1873,B1873,$T$2:T1873,T1873)=1,1,0)</f>
        <v>0</v>
      </c>
    </row>
    <row r="1874" customFormat="false" ht="15" hidden="false" customHeight="false" outlineLevel="0" collapsed="false">
      <c r="A1874" s="13" t="s">
        <v>1776</v>
      </c>
      <c r="B1874" s="13" t="s">
        <v>79</v>
      </c>
      <c r="C1874" s="13" t="n">
        <v>400</v>
      </c>
      <c r="D1874" s="13" t="n">
        <v>1</v>
      </c>
      <c r="E1874" s="13" t="n">
        <v>396.9</v>
      </c>
      <c r="F1874" s="13" t="s">
        <v>5288</v>
      </c>
      <c r="G1874" s="13" t="s">
        <v>5289</v>
      </c>
      <c r="H1874" s="13" t="s">
        <v>5292</v>
      </c>
      <c r="I1874" s="13" t="s">
        <v>5289</v>
      </c>
      <c r="J1874" s="13" t="s">
        <v>5289</v>
      </c>
      <c r="K1874" s="13" t="s">
        <v>5289</v>
      </c>
      <c r="L1874" s="13" t="s">
        <v>6301</v>
      </c>
      <c r="M1874" s="13"/>
      <c r="N1874" s="13" t="n">
        <v>8057971188178</v>
      </c>
      <c r="O1874" s="13"/>
      <c r="P1874" s="13" t="s">
        <v>5291</v>
      </c>
      <c r="Q1874" s="13" t="s">
        <v>5289</v>
      </c>
      <c r="R1874" s="13" t="s">
        <v>5292</v>
      </c>
      <c r="S1874" s="13" t="s">
        <v>5293</v>
      </c>
      <c r="T1874" s="13" t="s">
        <v>4</v>
      </c>
      <c r="U1874" s="13" t="s">
        <v>43</v>
      </c>
      <c r="V1874" s="13" t="n">
        <f aca="false">IF(COUNTIF($B$2:B1874,B1874)=1,1,0)</f>
        <v>0</v>
      </c>
      <c r="W1874" s="13" t="n">
        <f aca="false">IF(COUNTIFS($B$2:B1874,B1874,$T$2:T1874,T1874)=1,1,0)</f>
        <v>0</v>
      </c>
    </row>
    <row r="1875" customFormat="false" ht="15" hidden="false" customHeight="false" outlineLevel="0" collapsed="false">
      <c r="A1875" s="13" t="s">
        <v>1773</v>
      </c>
      <c r="B1875" s="13" t="s">
        <v>229</v>
      </c>
      <c r="C1875" s="13" t="n">
        <v>400</v>
      </c>
      <c r="D1875" s="13" t="n">
        <v>1</v>
      </c>
      <c r="E1875" s="13" t="n">
        <v>395.11</v>
      </c>
      <c r="F1875" s="13" t="s">
        <v>5288</v>
      </c>
      <c r="G1875" s="13" t="s">
        <v>5289</v>
      </c>
      <c r="H1875" s="13" t="s">
        <v>5292</v>
      </c>
      <c r="I1875" s="13" t="s">
        <v>5289</v>
      </c>
      <c r="J1875" s="13" t="s">
        <v>5289</v>
      </c>
      <c r="K1875" s="13" t="s">
        <v>5289</v>
      </c>
      <c r="L1875" s="13" t="s">
        <v>6302</v>
      </c>
      <c r="M1875" s="13"/>
      <c r="N1875" s="13" t="n">
        <v>3616305270160</v>
      </c>
      <c r="O1875" s="13"/>
      <c r="P1875" s="13" t="s">
        <v>5291</v>
      </c>
      <c r="Q1875" s="13" t="s">
        <v>5289</v>
      </c>
      <c r="R1875" s="13" t="s">
        <v>5292</v>
      </c>
      <c r="S1875" s="13" t="s">
        <v>5293</v>
      </c>
      <c r="T1875" s="13" t="s">
        <v>4</v>
      </c>
      <c r="U1875" s="13" t="s">
        <v>43</v>
      </c>
      <c r="V1875" s="13" t="n">
        <f aca="false">IF(COUNTIF($B$2:B1875,B1875)=1,1,0)</f>
        <v>0</v>
      </c>
      <c r="W1875" s="13" t="n">
        <f aca="false">IF(COUNTIFS($B$2:B1875,B1875,$T$2:T1875,T1875)=1,1,0)</f>
        <v>0</v>
      </c>
    </row>
    <row r="1876" customFormat="false" ht="15" hidden="false" customHeight="false" outlineLevel="0" collapsed="false">
      <c r="A1876" s="13" t="s">
        <v>1790</v>
      </c>
      <c r="B1876" s="13" t="s">
        <v>153</v>
      </c>
      <c r="C1876" s="13" t="n">
        <v>390</v>
      </c>
      <c r="D1876" s="13" t="n">
        <v>1</v>
      </c>
      <c r="E1876" s="13" t="n">
        <v>391.2</v>
      </c>
      <c r="F1876" s="13" t="s">
        <v>5288</v>
      </c>
      <c r="G1876" s="13" t="s">
        <v>5292</v>
      </c>
      <c r="H1876" s="13" t="s">
        <v>5292</v>
      </c>
      <c r="I1876" s="13" t="s">
        <v>5289</v>
      </c>
      <c r="J1876" s="13" t="s">
        <v>5289</v>
      </c>
      <c r="K1876" s="13" t="s">
        <v>5289</v>
      </c>
      <c r="L1876" s="13" t="s">
        <v>6303</v>
      </c>
      <c r="M1876" s="13"/>
      <c r="N1876" s="13" t="n">
        <v>8011003876266</v>
      </c>
      <c r="O1876" s="13"/>
      <c r="P1876" s="13" t="s">
        <v>5291</v>
      </c>
      <c r="Q1876" s="13" t="s">
        <v>5289</v>
      </c>
      <c r="R1876" s="13" t="s">
        <v>5292</v>
      </c>
      <c r="S1876" s="13" t="s">
        <v>5293</v>
      </c>
      <c r="T1876" s="13" t="s">
        <v>4</v>
      </c>
      <c r="U1876" s="13" t="s">
        <v>43</v>
      </c>
      <c r="V1876" s="13" t="n">
        <f aca="false">IF(COUNTIF($B$2:B1876,B1876)=1,1,0)</f>
        <v>0</v>
      </c>
      <c r="W1876" s="13" t="n">
        <f aca="false">IF(COUNTIFS($B$2:B1876,B1876,$T$2:T1876,T1876)=1,1,0)</f>
        <v>0</v>
      </c>
    </row>
    <row r="1877" customFormat="false" ht="15" hidden="false" customHeight="false" outlineLevel="0" collapsed="false">
      <c r="A1877" s="13" t="s">
        <v>1793</v>
      </c>
      <c r="B1877" s="13" t="s">
        <v>153</v>
      </c>
      <c r="C1877" s="13" t="n">
        <v>390</v>
      </c>
      <c r="D1877" s="13" t="n">
        <v>1</v>
      </c>
      <c r="E1877" s="13" t="n">
        <v>391.2</v>
      </c>
      <c r="F1877" s="13" t="s">
        <v>5325</v>
      </c>
      <c r="G1877" s="13" t="s">
        <v>5292</v>
      </c>
      <c r="H1877" s="13" t="s">
        <v>5292</v>
      </c>
      <c r="I1877" s="13" t="s">
        <v>5289</v>
      </c>
      <c r="J1877" s="13" t="s">
        <v>5289</v>
      </c>
      <c r="K1877" s="13" t="s">
        <v>5289</v>
      </c>
      <c r="L1877" s="13" t="s">
        <v>6304</v>
      </c>
      <c r="M1877" s="13"/>
      <c r="N1877" s="13" t="n">
        <v>8011003839094</v>
      </c>
      <c r="O1877" s="13"/>
      <c r="P1877" s="13" t="s">
        <v>5291</v>
      </c>
      <c r="Q1877" s="13" t="s">
        <v>5289</v>
      </c>
      <c r="R1877" s="13" t="s">
        <v>5292</v>
      </c>
      <c r="S1877" s="13" t="s">
        <v>5293</v>
      </c>
      <c r="T1877" s="13" t="s">
        <v>4</v>
      </c>
      <c r="U1877" s="13" t="s">
        <v>43</v>
      </c>
      <c r="V1877" s="13" t="n">
        <f aca="false">IF(COUNTIF($B$2:B1877,B1877)=1,1,0)</f>
        <v>0</v>
      </c>
      <c r="W1877" s="13" t="n">
        <f aca="false">IF(COUNTIFS($B$2:B1877,B1877,$T$2:T1877,T1877)=1,1,0)</f>
        <v>0</v>
      </c>
    </row>
    <row r="1878" customFormat="false" ht="15" hidden="false" customHeight="false" outlineLevel="0" collapsed="false">
      <c r="A1878" s="13" t="s">
        <v>2978</v>
      </c>
      <c r="B1878" s="13" t="s">
        <v>2120</v>
      </c>
      <c r="C1878" s="13" t="n">
        <v>390</v>
      </c>
      <c r="D1878" s="13" t="n">
        <v>1</v>
      </c>
      <c r="E1878" s="13" t="n">
        <v>391.2</v>
      </c>
      <c r="F1878" s="13" t="s">
        <v>5288</v>
      </c>
      <c r="G1878" s="13" t="s">
        <v>5289</v>
      </c>
      <c r="H1878" s="13" t="s">
        <v>5292</v>
      </c>
      <c r="I1878" s="13" t="s">
        <v>5289</v>
      </c>
      <c r="J1878" s="13" t="s">
        <v>5289</v>
      </c>
      <c r="K1878" s="13" t="s">
        <v>5289</v>
      </c>
      <c r="L1878" s="13" t="s">
        <v>6305</v>
      </c>
      <c r="M1878" s="13"/>
      <c r="N1878" s="13" t="n">
        <v>3423222126803</v>
      </c>
      <c r="O1878" s="13"/>
      <c r="P1878" s="13" t="s">
        <v>5291</v>
      </c>
      <c r="Q1878" s="13" t="s">
        <v>5289</v>
      </c>
      <c r="R1878" s="13" t="s">
        <v>5292</v>
      </c>
      <c r="S1878" s="13" t="s">
        <v>5293</v>
      </c>
      <c r="T1878" s="13" t="s">
        <v>4</v>
      </c>
      <c r="U1878" s="13" t="s">
        <v>43</v>
      </c>
      <c r="V1878" s="13" t="n">
        <f aca="false">IF(COUNTIF($B$2:B1878,B1878)=1,1,0)</f>
        <v>0</v>
      </c>
      <c r="W1878" s="13" t="n">
        <f aca="false">IF(COUNTIFS($B$2:B1878,B1878,$T$2:T1878,T1878)=1,1,0)</f>
        <v>0</v>
      </c>
    </row>
    <row r="1879" customFormat="false" ht="15" hidden="false" customHeight="false" outlineLevel="0" collapsed="false">
      <c r="A1879" s="13" t="s">
        <v>1792</v>
      </c>
      <c r="B1879" s="13" t="s">
        <v>111</v>
      </c>
      <c r="C1879" s="13" t="n">
        <v>390</v>
      </c>
      <c r="D1879" s="13" t="n">
        <v>1</v>
      </c>
      <c r="E1879" s="13" t="n">
        <v>389.34</v>
      </c>
      <c r="F1879" s="13" t="s">
        <v>5288</v>
      </c>
      <c r="G1879" s="13" t="s">
        <v>5292</v>
      </c>
      <c r="H1879" s="13" t="s">
        <v>5292</v>
      </c>
      <c r="I1879" s="13" t="s">
        <v>5289</v>
      </c>
      <c r="J1879" s="13" t="s">
        <v>5289</v>
      </c>
      <c r="K1879" s="13" t="s">
        <v>5289</v>
      </c>
      <c r="L1879" s="13" t="s">
        <v>6112</v>
      </c>
      <c r="M1879" s="13"/>
      <c r="N1879" s="13" t="n">
        <v>3595471061096</v>
      </c>
      <c r="O1879" s="13"/>
      <c r="P1879" s="13" t="s">
        <v>5291</v>
      </c>
      <c r="Q1879" s="13" t="s">
        <v>5289</v>
      </c>
      <c r="R1879" s="13" t="s">
        <v>5292</v>
      </c>
      <c r="S1879" s="13" t="s">
        <v>5293</v>
      </c>
      <c r="T1879" s="13" t="s">
        <v>4</v>
      </c>
      <c r="U1879" s="13" t="s">
        <v>43</v>
      </c>
      <c r="V1879" s="13" t="n">
        <f aca="false">IF(COUNTIF($B$2:B1879,B1879)=1,1,0)</f>
        <v>0</v>
      </c>
      <c r="W1879" s="13" t="n">
        <f aca="false">IF(COUNTIFS($B$2:B1879,B1879,$T$2:T1879,T1879)=1,1,0)</f>
        <v>0</v>
      </c>
    </row>
    <row r="1880" customFormat="false" ht="15" hidden="false" customHeight="false" outlineLevel="0" collapsed="false">
      <c r="A1880" s="13" t="s">
        <v>4692</v>
      </c>
      <c r="B1880" s="13" t="s">
        <v>2174</v>
      </c>
      <c r="C1880" s="13" t="n">
        <v>390</v>
      </c>
      <c r="D1880" s="13" t="n">
        <v>1</v>
      </c>
      <c r="E1880" s="13" t="n">
        <v>387.22</v>
      </c>
      <c r="F1880" s="13" t="s">
        <v>5288</v>
      </c>
      <c r="G1880" s="13" t="s">
        <v>5292</v>
      </c>
      <c r="H1880" s="13" t="s">
        <v>5292</v>
      </c>
      <c r="I1880" s="13" t="s">
        <v>5289</v>
      </c>
      <c r="J1880" s="13" t="s">
        <v>5289</v>
      </c>
      <c r="K1880" s="13" t="s">
        <v>5289</v>
      </c>
      <c r="L1880" s="13" t="s">
        <v>6306</v>
      </c>
      <c r="M1880" s="13"/>
      <c r="N1880" s="13" t="n">
        <v>3494800250036</v>
      </c>
      <c r="O1880" s="13"/>
      <c r="P1880" s="13" t="s">
        <v>5291</v>
      </c>
      <c r="Q1880" s="13" t="s">
        <v>5289</v>
      </c>
      <c r="R1880" s="13" t="s">
        <v>5292</v>
      </c>
      <c r="S1880" s="13" t="s">
        <v>5293</v>
      </c>
      <c r="T1880" s="13" t="s">
        <v>4</v>
      </c>
      <c r="U1880" s="13" t="s">
        <v>85</v>
      </c>
      <c r="V1880" s="13" t="n">
        <f aca="false">IF(COUNTIF($B$2:B1880,B1880)=1,1,0)</f>
        <v>0</v>
      </c>
      <c r="W1880" s="13" t="n">
        <f aca="false">IF(COUNTIFS($B$2:B1880,B1880,$T$2:T1880,T1880)=1,1,0)</f>
        <v>0</v>
      </c>
    </row>
    <row r="1881" customFormat="false" ht="15" hidden="false" customHeight="false" outlineLevel="0" collapsed="false">
      <c r="A1881" s="13" t="s">
        <v>1804</v>
      </c>
      <c r="B1881" s="13" t="s">
        <v>153</v>
      </c>
      <c r="C1881" s="13" t="n">
        <v>380</v>
      </c>
      <c r="D1881" s="13" t="n">
        <v>1</v>
      </c>
      <c r="E1881" s="13" t="n">
        <v>381.93</v>
      </c>
      <c r="F1881" s="13" t="s">
        <v>5325</v>
      </c>
      <c r="G1881" s="13" t="s">
        <v>5292</v>
      </c>
      <c r="H1881" s="13" t="s">
        <v>5292</v>
      </c>
      <c r="I1881" s="13" t="s">
        <v>5289</v>
      </c>
      <c r="J1881" s="13" t="s">
        <v>5289</v>
      </c>
      <c r="K1881" s="13" t="s">
        <v>5289</v>
      </c>
      <c r="L1881" s="13" t="s">
        <v>6307</v>
      </c>
      <c r="M1881" s="13"/>
      <c r="N1881" s="13" t="n">
        <v>8011003993802</v>
      </c>
      <c r="O1881" s="13"/>
      <c r="P1881" s="13" t="s">
        <v>5291</v>
      </c>
      <c r="Q1881" s="13" t="s">
        <v>5289</v>
      </c>
      <c r="R1881" s="13" t="s">
        <v>5292</v>
      </c>
      <c r="S1881" s="13" t="s">
        <v>5293</v>
      </c>
      <c r="T1881" s="13" t="s">
        <v>4</v>
      </c>
      <c r="U1881" s="13" t="s">
        <v>43</v>
      </c>
      <c r="V1881" s="13" t="n">
        <f aca="false">IF(COUNTIF($B$2:B1881,B1881)=1,1,0)</f>
        <v>0</v>
      </c>
      <c r="W1881" s="13" t="n">
        <f aca="false">IF(COUNTIFS($B$2:B1881,B1881,$T$2:T1881,T1881)=1,1,0)</f>
        <v>0</v>
      </c>
    </row>
    <row r="1882" customFormat="false" ht="15" hidden="false" customHeight="false" outlineLevel="0" collapsed="false">
      <c r="A1882" s="13" t="s">
        <v>1803</v>
      </c>
      <c r="B1882" s="13" t="s">
        <v>286</v>
      </c>
      <c r="C1882" s="13" t="n">
        <v>380</v>
      </c>
      <c r="D1882" s="13" t="n">
        <v>1</v>
      </c>
      <c r="E1882" s="13" t="n">
        <v>379.76</v>
      </c>
      <c r="F1882" s="13" t="s">
        <v>5288</v>
      </c>
      <c r="G1882" s="13" t="s">
        <v>5292</v>
      </c>
      <c r="H1882" s="13" t="s">
        <v>5292</v>
      </c>
      <c r="I1882" s="13" t="s">
        <v>5289</v>
      </c>
      <c r="J1882" s="13" t="s">
        <v>5289</v>
      </c>
      <c r="K1882" s="13" t="s">
        <v>5289</v>
      </c>
      <c r="L1882" s="13" t="s">
        <v>6308</v>
      </c>
      <c r="M1882" s="13"/>
      <c r="N1882" s="13" t="n">
        <v>6294015136470</v>
      </c>
      <c r="O1882" s="13"/>
      <c r="P1882" s="13" t="s">
        <v>5291</v>
      </c>
      <c r="Q1882" s="13" t="s">
        <v>5289</v>
      </c>
      <c r="R1882" s="13" t="s">
        <v>5292</v>
      </c>
      <c r="S1882" s="13" t="s">
        <v>5293</v>
      </c>
      <c r="T1882" s="13" t="s">
        <v>4</v>
      </c>
      <c r="U1882" s="13" t="s">
        <v>43</v>
      </c>
      <c r="V1882" s="13" t="n">
        <f aca="false">IF(COUNTIF($B$2:B1882,B1882)=1,1,0)</f>
        <v>0</v>
      </c>
      <c r="W1882" s="13" t="n">
        <f aca="false">IF(COUNTIFS($B$2:B1882,B1882,$T$2:T1882,T1882)=1,1,0)</f>
        <v>0</v>
      </c>
    </row>
    <row r="1883" customFormat="false" ht="15" hidden="false" customHeight="false" outlineLevel="0" collapsed="false">
      <c r="A1883" s="13" t="s">
        <v>1805</v>
      </c>
      <c r="B1883" s="13" t="s">
        <v>153</v>
      </c>
      <c r="C1883" s="13" t="n">
        <v>380</v>
      </c>
      <c r="D1883" s="13" t="n">
        <v>1</v>
      </c>
      <c r="E1883" s="13" t="n">
        <v>379.46</v>
      </c>
      <c r="F1883" s="13" t="s">
        <v>5288</v>
      </c>
      <c r="G1883" s="13" t="s">
        <v>5292</v>
      </c>
      <c r="H1883" s="13" t="s">
        <v>5292</v>
      </c>
      <c r="I1883" s="13" t="s">
        <v>5289</v>
      </c>
      <c r="J1883" s="13" t="s">
        <v>5289</v>
      </c>
      <c r="K1883" s="13" t="s">
        <v>5289</v>
      </c>
      <c r="L1883" s="13" t="s">
        <v>6309</v>
      </c>
      <c r="M1883" s="13"/>
      <c r="N1883" s="13" t="n">
        <v>8011003901623</v>
      </c>
      <c r="O1883" s="13"/>
      <c r="P1883" s="13" t="s">
        <v>5291</v>
      </c>
      <c r="Q1883" s="13" t="s">
        <v>5289</v>
      </c>
      <c r="R1883" s="13" t="s">
        <v>5292</v>
      </c>
      <c r="S1883" s="13" t="s">
        <v>5293</v>
      </c>
      <c r="T1883" s="13" t="s">
        <v>4</v>
      </c>
      <c r="U1883" s="13" t="s">
        <v>43</v>
      </c>
      <c r="V1883" s="13" t="n">
        <f aca="false">IF(COUNTIF($B$2:B1883,B1883)=1,1,0)</f>
        <v>0</v>
      </c>
      <c r="W1883" s="13" t="n">
        <f aca="false">IF(COUNTIFS($B$2:B1883,B1883,$T$2:T1883,T1883)=1,1,0)</f>
        <v>0</v>
      </c>
    </row>
    <row r="1884" customFormat="false" ht="15" hidden="false" customHeight="false" outlineLevel="0" collapsed="false">
      <c r="A1884" s="13" t="s">
        <v>1799</v>
      </c>
      <c r="B1884" s="13" t="s">
        <v>286</v>
      </c>
      <c r="C1884" s="13" t="n">
        <v>380</v>
      </c>
      <c r="D1884" s="13" t="n">
        <v>1</v>
      </c>
      <c r="E1884" s="13" t="n">
        <v>378.81</v>
      </c>
      <c r="F1884" s="13" t="s">
        <v>5325</v>
      </c>
      <c r="G1884" s="13" t="s">
        <v>5292</v>
      </c>
      <c r="H1884" s="13" t="s">
        <v>5292</v>
      </c>
      <c r="I1884" s="13" t="s">
        <v>5289</v>
      </c>
      <c r="J1884" s="13" t="s">
        <v>5289</v>
      </c>
      <c r="K1884" s="13" t="s">
        <v>5289</v>
      </c>
      <c r="L1884" s="13" t="s">
        <v>6003</v>
      </c>
      <c r="M1884" s="13"/>
      <c r="N1884" s="13" t="n">
        <v>6295199805022</v>
      </c>
      <c r="O1884" s="13"/>
      <c r="P1884" s="13" t="s">
        <v>5291</v>
      </c>
      <c r="Q1884" s="13" t="s">
        <v>5289</v>
      </c>
      <c r="R1884" s="13" t="s">
        <v>5292</v>
      </c>
      <c r="S1884" s="13" t="s">
        <v>5293</v>
      </c>
      <c r="T1884" s="13" t="s">
        <v>4</v>
      </c>
      <c r="U1884" s="13" t="s">
        <v>43</v>
      </c>
      <c r="V1884" s="13" t="n">
        <f aca="false">IF(COUNTIF($B$2:B1884,B1884)=1,1,0)</f>
        <v>0</v>
      </c>
      <c r="W1884" s="13" t="n">
        <f aca="false">IF(COUNTIFS($B$2:B1884,B1884,$T$2:T1884,T1884)=1,1,0)</f>
        <v>0</v>
      </c>
    </row>
    <row r="1885" customFormat="false" ht="15" hidden="false" customHeight="false" outlineLevel="0" collapsed="false">
      <c r="A1885" s="13" t="s">
        <v>6310</v>
      </c>
      <c r="B1885" s="13" t="s">
        <v>2120</v>
      </c>
      <c r="C1885" s="13" t="n">
        <v>370</v>
      </c>
      <c r="D1885" s="13" t="n">
        <v>1</v>
      </c>
      <c r="E1885" s="13" t="n">
        <v>373.86</v>
      </c>
      <c r="F1885" s="13" t="s">
        <v>5288</v>
      </c>
      <c r="G1885" s="13" t="s">
        <v>5289</v>
      </c>
      <c r="H1885" s="13" t="s">
        <v>5292</v>
      </c>
      <c r="I1885" s="13" t="s">
        <v>5289</v>
      </c>
      <c r="J1885" s="13" t="s">
        <v>5289</v>
      </c>
      <c r="K1885" s="13" t="s">
        <v>5289</v>
      </c>
      <c r="L1885" s="13" t="s">
        <v>5812</v>
      </c>
      <c r="M1885" s="13"/>
      <c r="N1885" s="13" t="n">
        <v>3423470485547</v>
      </c>
      <c r="O1885" s="13"/>
      <c r="P1885" s="13" t="s">
        <v>5291</v>
      </c>
      <c r="Q1885" s="13" t="s">
        <v>5289</v>
      </c>
      <c r="R1885" s="13" t="s">
        <v>5292</v>
      </c>
      <c r="S1885" s="13" t="s">
        <v>5293</v>
      </c>
      <c r="T1885" s="13" t="s">
        <v>4</v>
      </c>
      <c r="U1885" s="13" t="s">
        <v>85</v>
      </c>
      <c r="V1885" s="13" t="n">
        <f aca="false">IF(COUNTIF($B$2:B1885,B1885)=1,1,0)</f>
        <v>0</v>
      </c>
      <c r="W1885" s="13" t="n">
        <f aca="false">IF(COUNTIFS($B$2:B1885,B1885,$T$2:T1885,T1885)=1,1,0)</f>
        <v>0</v>
      </c>
    </row>
    <row r="1886" customFormat="false" ht="15" hidden="false" customHeight="false" outlineLevel="0" collapsed="false">
      <c r="A1886" s="13" t="s">
        <v>1806</v>
      </c>
      <c r="B1886" s="13" t="s">
        <v>286</v>
      </c>
      <c r="C1886" s="13" t="n">
        <v>370</v>
      </c>
      <c r="D1886" s="13" t="n">
        <v>1</v>
      </c>
      <c r="E1886" s="13" t="n">
        <v>368.59</v>
      </c>
      <c r="F1886" s="13" t="s">
        <v>5288</v>
      </c>
      <c r="G1886" s="13" t="s">
        <v>5289</v>
      </c>
      <c r="H1886" s="13" t="s">
        <v>5292</v>
      </c>
      <c r="I1886" s="13" t="s">
        <v>5289</v>
      </c>
      <c r="J1886" s="13" t="s">
        <v>5289</v>
      </c>
      <c r="K1886" s="13" t="s">
        <v>5289</v>
      </c>
      <c r="L1886" s="13" t="s">
        <v>6311</v>
      </c>
      <c r="M1886" s="13"/>
      <c r="N1886" s="13" t="n">
        <v>6294015132120</v>
      </c>
      <c r="O1886" s="13"/>
      <c r="P1886" s="13" t="s">
        <v>5291</v>
      </c>
      <c r="Q1886" s="13" t="s">
        <v>5289</v>
      </c>
      <c r="R1886" s="13" t="s">
        <v>5292</v>
      </c>
      <c r="S1886" s="13" t="s">
        <v>5293</v>
      </c>
      <c r="T1886" s="13" t="s">
        <v>4</v>
      </c>
      <c r="U1886" s="13" t="s">
        <v>43</v>
      </c>
      <c r="V1886" s="13" t="n">
        <f aca="false">IF(COUNTIF($B$2:B1886,B1886)=1,1,0)</f>
        <v>0</v>
      </c>
      <c r="W1886" s="13" t="n">
        <f aca="false">IF(COUNTIFS($B$2:B1886,B1886,$T$2:T1886,T1886)=1,1,0)</f>
        <v>0</v>
      </c>
    </row>
    <row r="1887" customFormat="false" ht="15" hidden="false" customHeight="false" outlineLevel="0" collapsed="false">
      <c r="A1887" s="13" t="s">
        <v>1815</v>
      </c>
      <c r="B1887" s="13" t="s">
        <v>270</v>
      </c>
      <c r="C1887" s="13" t="n">
        <v>370</v>
      </c>
      <c r="D1887" s="13" t="n">
        <v>1</v>
      </c>
      <c r="E1887" s="13" t="n">
        <v>366.59</v>
      </c>
      <c r="F1887" s="13" t="s">
        <v>5288</v>
      </c>
      <c r="G1887" s="13" t="s">
        <v>5289</v>
      </c>
      <c r="H1887" s="13" t="s">
        <v>5292</v>
      </c>
      <c r="I1887" s="13" t="s">
        <v>5289</v>
      </c>
      <c r="J1887" s="13" t="s">
        <v>5289</v>
      </c>
      <c r="K1887" s="13" t="s">
        <v>5289</v>
      </c>
      <c r="L1887" s="13" t="s">
        <v>6312</v>
      </c>
      <c r="M1887" s="13"/>
      <c r="N1887" s="13" t="n">
        <v>878813000063</v>
      </c>
      <c r="O1887" s="13"/>
      <c r="P1887" s="13" t="s">
        <v>5291</v>
      </c>
      <c r="Q1887" s="13" t="s">
        <v>5289</v>
      </c>
      <c r="R1887" s="13" t="s">
        <v>5292</v>
      </c>
      <c r="S1887" s="13" t="s">
        <v>5293</v>
      </c>
      <c r="T1887" s="13" t="s">
        <v>4</v>
      </c>
      <c r="U1887" s="13" t="s">
        <v>43</v>
      </c>
      <c r="V1887" s="13" t="n">
        <f aca="false">IF(COUNTIF($B$2:B1887,B1887)=1,1,0)</f>
        <v>0</v>
      </c>
      <c r="W1887" s="13" t="n">
        <f aca="false">IF(COUNTIFS($B$2:B1887,B1887,$T$2:T1887,T1887)=1,1,0)</f>
        <v>0</v>
      </c>
    </row>
    <row r="1888" customFormat="false" ht="15" hidden="false" customHeight="false" outlineLevel="0" collapsed="false">
      <c r="A1888" s="13" t="s">
        <v>1807</v>
      </c>
      <c r="B1888" s="13" t="s">
        <v>302</v>
      </c>
      <c r="C1888" s="13" t="n">
        <v>370</v>
      </c>
      <c r="D1888" s="13" t="n">
        <v>1</v>
      </c>
      <c r="E1888" s="13" t="n">
        <v>365.23</v>
      </c>
      <c r="F1888" s="13" t="s">
        <v>5288</v>
      </c>
      <c r="G1888" s="13" t="s">
        <v>5292</v>
      </c>
      <c r="H1888" s="13" t="s">
        <v>5292</v>
      </c>
      <c r="I1888" s="13" t="s">
        <v>5289</v>
      </c>
      <c r="J1888" s="13" t="s">
        <v>5289</v>
      </c>
      <c r="K1888" s="13" t="s">
        <v>5289</v>
      </c>
      <c r="L1888" s="13" t="s">
        <v>6313</v>
      </c>
      <c r="M1888" s="13"/>
      <c r="N1888" s="13" t="n">
        <v>3274872396203</v>
      </c>
      <c r="O1888" s="13"/>
      <c r="P1888" s="13" t="s">
        <v>5291</v>
      </c>
      <c r="Q1888" s="13" t="s">
        <v>5289</v>
      </c>
      <c r="R1888" s="13" t="s">
        <v>5292</v>
      </c>
      <c r="S1888" s="13" t="s">
        <v>5293</v>
      </c>
      <c r="T1888" s="13" t="s">
        <v>4</v>
      </c>
      <c r="U1888" s="13" t="s">
        <v>43</v>
      </c>
      <c r="V1888" s="13" t="n">
        <f aca="false">IF(COUNTIF($B$2:B1888,B1888)=1,1,0)</f>
        <v>0</v>
      </c>
      <c r="W1888" s="13" t="n">
        <f aca="false">IF(COUNTIFS($B$2:B1888,B1888,$T$2:T1888,T1888)=1,1,0)</f>
        <v>0</v>
      </c>
    </row>
    <row r="1889" customFormat="false" ht="15" hidden="false" customHeight="false" outlineLevel="0" collapsed="false">
      <c r="A1889" s="13" t="s">
        <v>4735</v>
      </c>
      <c r="B1889" s="13" t="s">
        <v>2111</v>
      </c>
      <c r="C1889" s="13" t="n">
        <v>360</v>
      </c>
      <c r="D1889" s="13" t="n">
        <v>1</v>
      </c>
      <c r="E1889" s="13" t="n">
        <v>361.49</v>
      </c>
      <c r="F1889" s="13" t="s">
        <v>5288</v>
      </c>
      <c r="G1889" s="13" t="s">
        <v>5292</v>
      </c>
      <c r="H1889" s="13" t="s">
        <v>5289</v>
      </c>
      <c r="I1889" s="13" t="s">
        <v>5289</v>
      </c>
      <c r="J1889" s="13" t="s">
        <v>5289</v>
      </c>
      <c r="K1889" s="13" t="s">
        <v>5289</v>
      </c>
      <c r="L1889" s="13" t="s">
        <v>6314</v>
      </c>
      <c r="M1889" s="13"/>
      <c r="N1889" s="13" t="n">
        <v>3386460137560</v>
      </c>
      <c r="O1889" s="13"/>
      <c r="P1889" s="13" t="s">
        <v>5297</v>
      </c>
      <c r="Q1889" s="13" t="s">
        <v>5289</v>
      </c>
      <c r="R1889" s="13" t="s">
        <v>5292</v>
      </c>
      <c r="S1889" s="13" t="s">
        <v>5293</v>
      </c>
      <c r="T1889" s="13" t="s">
        <v>4</v>
      </c>
      <c r="U1889" s="13" t="s">
        <v>43</v>
      </c>
      <c r="V1889" s="13" t="n">
        <f aca="false">IF(COUNTIF($B$2:B1889,B1889)=1,1,0)</f>
        <v>0</v>
      </c>
      <c r="W1889" s="13" t="n">
        <f aca="false">IF(COUNTIFS($B$2:B1889,B1889,$T$2:T1889,T1889)=1,1,0)</f>
        <v>0</v>
      </c>
    </row>
    <row r="1890" customFormat="false" ht="15" hidden="false" customHeight="false" outlineLevel="0" collapsed="false">
      <c r="A1890" s="13" t="s">
        <v>1827</v>
      </c>
      <c r="B1890" s="13" t="s">
        <v>153</v>
      </c>
      <c r="C1890" s="13" t="n">
        <v>360</v>
      </c>
      <c r="D1890" s="13" t="n">
        <v>1</v>
      </c>
      <c r="E1890" s="13" t="n">
        <v>355.59</v>
      </c>
      <c r="F1890" s="13" t="s">
        <v>5288</v>
      </c>
      <c r="G1890" s="13" t="s">
        <v>5292</v>
      </c>
      <c r="H1890" s="13" t="s">
        <v>5292</v>
      </c>
      <c r="I1890" s="13" t="s">
        <v>5289</v>
      </c>
      <c r="J1890" s="13" t="s">
        <v>5289</v>
      </c>
      <c r="K1890" s="13" t="s">
        <v>5289</v>
      </c>
      <c r="L1890" s="13" t="s">
        <v>6048</v>
      </c>
      <c r="M1890" s="13"/>
      <c r="N1890" s="13" t="n">
        <v>8011003995943</v>
      </c>
      <c r="O1890" s="13"/>
      <c r="P1890" s="13" t="s">
        <v>5291</v>
      </c>
      <c r="Q1890" s="13" t="s">
        <v>5289</v>
      </c>
      <c r="R1890" s="13" t="s">
        <v>5292</v>
      </c>
      <c r="S1890" s="13" t="s">
        <v>5293</v>
      </c>
      <c r="T1890" s="13" t="s">
        <v>4</v>
      </c>
      <c r="U1890" s="13" t="s">
        <v>43</v>
      </c>
      <c r="V1890" s="13" t="n">
        <f aca="false">IF(COUNTIF($B$2:B1890,B1890)=1,1,0)</f>
        <v>0</v>
      </c>
      <c r="W1890" s="13" t="n">
        <f aca="false">IF(COUNTIFS($B$2:B1890,B1890,$T$2:T1890,T1890)=1,1,0)</f>
        <v>0</v>
      </c>
    </row>
    <row r="1891" customFormat="false" ht="15" hidden="false" customHeight="false" outlineLevel="0" collapsed="false">
      <c r="A1891" s="13" t="s">
        <v>1826</v>
      </c>
      <c r="B1891" s="13" t="s">
        <v>42</v>
      </c>
      <c r="C1891" s="13" t="n">
        <v>360</v>
      </c>
      <c r="D1891" s="13" t="n">
        <v>1</v>
      </c>
      <c r="E1891" s="13" t="n">
        <v>355.11</v>
      </c>
      <c r="F1891" s="13" t="s">
        <v>5288</v>
      </c>
      <c r="G1891" s="13" t="s">
        <v>5289</v>
      </c>
      <c r="H1891" s="13" t="s">
        <v>5292</v>
      </c>
      <c r="I1891" s="13" t="s">
        <v>5289</v>
      </c>
      <c r="J1891" s="13" t="s">
        <v>5289</v>
      </c>
      <c r="K1891" s="13" t="s">
        <v>5289</v>
      </c>
      <c r="L1891" s="13" t="s">
        <v>5866</v>
      </c>
      <c r="M1891" s="13"/>
      <c r="N1891" s="13" t="n">
        <v>8411061853115</v>
      </c>
      <c r="O1891" s="13"/>
      <c r="P1891" s="13" t="s">
        <v>5291</v>
      </c>
      <c r="Q1891" s="13" t="s">
        <v>5289</v>
      </c>
      <c r="R1891" s="13" t="s">
        <v>5292</v>
      </c>
      <c r="S1891" s="13" t="s">
        <v>5293</v>
      </c>
      <c r="T1891" s="13" t="s">
        <v>4</v>
      </c>
      <c r="U1891" s="13" t="s">
        <v>43</v>
      </c>
      <c r="V1891" s="13" t="n">
        <f aca="false">IF(COUNTIF($B$2:B1891,B1891)=1,1,0)</f>
        <v>0</v>
      </c>
      <c r="W1891" s="13" t="n">
        <f aca="false">IF(COUNTIFS($B$2:B1891,B1891,$T$2:T1891,T1891)=1,1,0)</f>
        <v>0</v>
      </c>
    </row>
    <row r="1892" customFormat="false" ht="15" hidden="false" customHeight="false" outlineLevel="0" collapsed="false">
      <c r="A1892" s="13" t="s">
        <v>4741</v>
      </c>
      <c r="B1892" s="13" t="s">
        <v>2274</v>
      </c>
      <c r="C1892" s="13" t="n">
        <v>350</v>
      </c>
      <c r="D1892" s="13" t="n">
        <v>1</v>
      </c>
      <c r="E1892" s="13" t="n">
        <v>353.43</v>
      </c>
      <c r="F1892" s="13" t="s">
        <v>5288</v>
      </c>
      <c r="G1892" s="13" t="s">
        <v>5289</v>
      </c>
      <c r="H1892" s="13" t="s">
        <v>5292</v>
      </c>
      <c r="I1892" s="13" t="s">
        <v>5289</v>
      </c>
      <c r="J1892" s="13" t="s">
        <v>5289</v>
      </c>
      <c r="K1892" s="13" t="s">
        <v>5289</v>
      </c>
      <c r="L1892" s="13" t="s">
        <v>6315</v>
      </c>
      <c r="M1892" s="13"/>
      <c r="N1892" s="13" t="n">
        <v>6290171075639</v>
      </c>
      <c r="O1892" s="13"/>
      <c r="P1892" s="13" t="s">
        <v>5297</v>
      </c>
      <c r="Q1892" s="13" t="s">
        <v>5289</v>
      </c>
      <c r="R1892" s="13" t="s">
        <v>5292</v>
      </c>
      <c r="S1892" s="13" t="s">
        <v>5293</v>
      </c>
      <c r="T1892" s="13" t="s">
        <v>4</v>
      </c>
      <c r="U1892" s="13" t="s">
        <v>43</v>
      </c>
      <c r="V1892" s="13" t="n">
        <f aca="false">IF(COUNTIF($B$2:B1892,B1892)=1,1,0)</f>
        <v>1</v>
      </c>
      <c r="W1892" s="13" t="n">
        <f aca="false">IF(COUNTIFS($B$2:B1892,B1892,$T$2:T1892,T1892)=1,1,0)</f>
        <v>1</v>
      </c>
    </row>
    <row r="1893" customFormat="false" ht="15" hidden="false" customHeight="false" outlineLevel="0" collapsed="false">
      <c r="A1893" s="13" t="s">
        <v>1835</v>
      </c>
      <c r="B1893" s="13" t="s">
        <v>335</v>
      </c>
      <c r="C1893" s="13" t="n">
        <v>350</v>
      </c>
      <c r="D1893" s="13" t="n">
        <v>2</v>
      </c>
      <c r="E1893" s="13" t="n">
        <v>175.77</v>
      </c>
      <c r="F1893" s="13" t="s">
        <v>5325</v>
      </c>
      <c r="G1893" s="13" t="s">
        <v>5289</v>
      </c>
      <c r="H1893" s="13" t="s">
        <v>5292</v>
      </c>
      <c r="I1893" s="13" t="s">
        <v>5289</v>
      </c>
      <c r="J1893" s="13" t="s">
        <v>5289</v>
      </c>
      <c r="K1893" s="13" t="s">
        <v>5289</v>
      </c>
      <c r="L1893" s="13" t="s">
        <v>5840</v>
      </c>
      <c r="M1893" s="13"/>
      <c r="N1893" s="13" t="n">
        <v>85805268848</v>
      </c>
      <c r="O1893" s="13"/>
      <c r="P1893" s="13" t="s">
        <v>5291</v>
      </c>
      <c r="Q1893" s="13" t="s">
        <v>5289</v>
      </c>
      <c r="R1893" s="13" t="s">
        <v>5292</v>
      </c>
      <c r="S1893" s="13" t="s">
        <v>5293</v>
      </c>
      <c r="T1893" s="13" t="s">
        <v>4</v>
      </c>
      <c r="U1893" s="13" t="s">
        <v>43</v>
      </c>
      <c r="V1893" s="13" t="n">
        <f aca="false">IF(COUNTIF($B$2:B1893,B1893)=1,1,0)</f>
        <v>0</v>
      </c>
      <c r="W1893" s="13" t="n">
        <f aca="false">IF(COUNTIFS($B$2:B1893,B1893,$T$2:T1893,T1893)=1,1,0)</f>
        <v>0</v>
      </c>
    </row>
    <row r="1894" customFormat="false" ht="15" hidden="false" customHeight="false" outlineLevel="0" collapsed="false">
      <c r="A1894" s="13" t="s">
        <v>635</v>
      </c>
      <c r="B1894" s="13" t="s">
        <v>329</v>
      </c>
      <c r="C1894" s="13" t="n">
        <v>350</v>
      </c>
      <c r="D1894" s="13" t="n">
        <v>1</v>
      </c>
      <c r="E1894" s="13" t="n">
        <v>350.55</v>
      </c>
      <c r="F1894" s="13" t="s">
        <v>5325</v>
      </c>
      <c r="G1894" s="13" t="s">
        <v>5292</v>
      </c>
      <c r="H1894" s="13" t="s">
        <v>5289</v>
      </c>
      <c r="I1894" s="13" t="s">
        <v>5289</v>
      </c>
      <c r="J1894" s="13" t="s">
        <v>5289</v>
      </c>
      <c r="K1894" s="13" t="s">
        <v>5289</v>
      </c>
      <c r="L1894" s="13" t="s">
        <v>5920</v>
      </c>
      <c r="M1894" s="13"/>
      <c r="N1894" s="13" t="n">
        <v>3137370357704</v>
      </c>
      <c r="O1894" s="13"/>
      <c r="P1894" s="13" t="s">
        <v>5291</v>
      </c>
      <c r="Q1894" s="13" t="s">
        <v>5289</v>
      </c>
      <c r="R1894" s="13" t="s">
        <v>5292</v>
      </c>
      <c r="S1894" s="13" t="s">
        <v>5293</v>
      </c>
      <c r="T1894" s="13" t="s">
        <v>4</v>
      </c>
      <c r="U1894" s="13" t="s">
        <v>43</v>
      </c>
      <c r="V1894" s="13" t="n">
        <f aca="false">IF(COUNTIF($B$2:B1894,B1894)=1,1,0)</f>
        <v>0</v>
      </c>
      <c r="W1894" s="13" t="n">
        <f aca="false">IF(COUNTIFS($B$2:B1894,B1894,$T$2:T1894,T1894)=1,1,0)</f>
        <v>0</v>
      </c>
    </row>
    <row r="1895" customFormat="false" ht="15" hidden="false" customHeight="false" outlineLevel="0" collapsed="false">
      <c r="A1895" s="13" t="s">
        <v>4737</v>
      </c>
      <c r="B1895" s="13" t="s">
        <v>2181</v>
      </c>
      <c r="C1895" s="13" t="n">
        <v>350</v>
      </c>
      <c r="D1895" s="13" t="n">
        <v>1</v>
      </c>
      <c r="E1895" s="13" t="n">
        <v>346.26</v>
      </c>
      <c r="F1895" s="13" t="s">
        <v>5288</v>
      </c>
      <c r="G1895" s="13" t="s">
        <v>5292</v>
      </c>
      <c r="H1895" s="13" t="s">
        <v>5289</v>
      </c>
      <c r="I1895" s="13" t="s">
        <v>5289</v>
      </c>
      <c r="J1895" s="13" t="s">
        <v>5289</v>
      </c>
      <c r="K1895" s="13" t="s">
        <v>5289</v>
      </c>
      <c r="L1895" s="13" t="s">
        <v>6316</v>
      </c>
      <c r="M1895" s="13"/>
      <c r="N1895" s="13" t="n">
        <v>3386460124256</v>
      </c>
      <c r="O1895" s="13"/>
      <c r="P1895" s="13" t="s">
        <v>5291</v>
      </c>
      <c r="Q1895" s="13" t="s">
        <v>5289</v>
      </c>
      <c r="R1895" s="13" t="s">
        <v>5292</v>
      </c>
      <c r="S1895" s="13" t="s">
        <v>5293</v>
      </c>
      <c r="T1895" s="13" t="s">
        <v>4</v>
      </c>
      <c r="U1895" s="13" t="s">
        <v>43</v>
      </c>
      <c r="V1895" s="13" t="n">
        <f aca="false">IF(COUNTIF($B$2:B1895,B1895)=1,1,0)</f>
        <v>0</v>
      </c>
      <c r="W1895" s="13" t="n">
        <f aca="false">IF(COUNTIFS($B$2:B1895,B1895,$T$2:T1895,T1895)=1,1,0)</f>
        <v>0</v>
      </c>
    </row>
    <row r="1896" customFormat="false" ht="15" hidden="false" customHeight="false" outlineLevel="0" collapsed="false">
      <c r="A1896" s="13" t="s">
        <v>1836</v>
      </c>
      <c r="B1896" s="13" t="s">
        <v>365</v>
      </c>
      <c r="C1896" s="13" t="n">
        <v>350</v>
      </c>
      <c r="D1896" s="13" t="n">
        <v>1</v>
      </c>
      <c r="E1896" s="13" t="n">
        <v>345.39</v>
      </c>
      <c r="F1896" s="13" t="s">
        <v>5325</v>
      </c>
      <c r="G1896" s="13" t="s">
        <v>5292</v>
      </c>
      <c r="H1896" s="13" t="s">
        <v>5292</v>
      </c>
      <c r="I1896" s="13" t="s">
        <v>5289</v>
      </c>
      <c r="J1896" s="13" t="s">
        <v>5289</v>
      </c>
      <c r="K1896" s="13" t="s">
        <v>5289</v>
      </c>
      <c r="L1896" s="13" t="s">
        <v>6317</v>
      </c>
      <c r="M1896" s="13"/>
      <c r="N1896" s="13" t="n">
        <v>6290360598789</v>
      </c>
      <c r="O1896" s="13"/>
      <c r="P1896" s="13" t="s">
        <v>5297</v>
      </c>
      <c r="Q1896" s="13" t="s">
        <v>5289</v>
      </c>
      <c r="R1896" s="13" t="s">
        <v>5292</v>
      </c>
      <c r="S1896" s="13" t="s">
        <v>5293</v>
      </c>
      <c r="T1896" s="13" t="s">
        <v>4</v>
      </c>
      <c r="U1896" s="13" t="s">
        <v>43</v>
      </c>
      <c r="V1896" s="13" t="n">
        <f aca="false">IF(COUNTIF($B$2:B1896,B1896)=1,1,0)</f>
        <v>0</v>
      </c>
      <c r="W1896" s="13" t="n">
        <f aca="false">IF(COUNTIFS($B$2:B1896,B1896,$T$2:T1896,T1896)=1,1,0)</f>
        <v>0</v>
      </c>
    </row>
    <row r="1897" customFormat="false" ht="15" hidden="false" customHeight="false" outlineLevel="0" collapsed="false">
      <c r="A1897" s="13" t="s">
        <v>1841</v>
      </c>
      <c r="B1897" s="13" t="s">
        <v>161</v>
      </c>
      <c r="C1897" s="13" t="n">
        <v>340</v>
      </c>
      <c r="D1897" s="13" t="n">
        <v>1</v>
      </c>
      <c r="E1897" s="13" t="n">
        <v>339.49</v>
      </c>
      <c r="F1897" s="13" t="s">
        <v>5325</v>
      </c>
      <c r="G1897" s="13" t="s">
        <v>5289</v>
      </c>
      <c r="H1897" s="13" t="s">
        <v>5292</v>
      </c>
      <c r="I1897" s="13" t="s">
        <v>5289</v>
      </c>
      <c r="J1897" s="13" t="s">
        <v>5289</v>
      </c>
      <c r="K1897" s="13" t="s">
        <v>5289</v>
      </c>
      <c r="L1897" s="13" t="s">
        <v>5664</v>
      </c>
      <c r="M1897" s="13"/>
      <c r="N1897" s="13" t="n">
        <v>3355991005174</v>
      </c>
      <c r="O1897" s="13"/>
      <c r="P1897" s="13" t="s">
        <v>5291</v>
      </c>
      <c r="Q1897" s="13" t="s">
        <v>5289</v>
      </c>
      <c r="R1897" s="13" t="s">
        <v>5292</v>
      </c>
      <c r="S1897" s="13" t="s">
        <v>5293</v>
      </c>
      <c r="T1897" s="13" t="s">
        <v>4</v>
      </c>
      <c r="U1897" s="13" t="s">
        <v>43</v>
      </c>
      <c r="V1897" s="13" t="n">
        <f aca="false">IF(COUNTIF($B$2:B1897,B1897)=1,1,0)</f>
        <v>0</v>
      </c>
      <c r="W1897" s="13" t="n">
        <f aca="false">IF(COUNTIFS($B$2:B1897,B1897,$T$2:T1897,T1897)=1,1,0)</f>
        <v>0</v>
      </c>
    </row>
    <row r="1898" customFormat="false" ht="15" hidden="false" customHeight="false" outlineLevel="0" collapsed="false">
      <c r="A1898" s="13" t="s">
        <v>1150</v>
      </c>
      <c r="B1898" s="13" t="s">
        <v>490</v>
      </c>
      <c r="C1898" s="13" t="n">
        <v>340</v>
      </c>
      <c r="D1898" s="13" t="n">
        <v>1</v>
      </c>
      <c r="E1898" s="13" t="n">
        <v>339.15</v>
      </c>
      <c r="F1898" s="13" t="s">
        <v>5288</v>
      </c>
      <c r="G1898" s="13" t="s">
        <v>5292</v>
      </c>
      <c r="H1898" s="13" t="s">
        <v>5292</v>
      </c>
      <c r="I1898" s="13" t="s">
        <v>5289</v>
      </c>
      <c r="J1898" s="13" t="s">
        <v>5289</v>
      </c>
      <c r="K1898" s="13" t="s">
        <v>5289</v>
      </c>
      <c r="L1898" s="13" t="s">
        <v>6318</v>
      </c>
      <c r="M1898" s="13"/>
      <c r="N1898" s="13" t="n">
        <v>8011003906321</v>
      </c>
      <c r="O1898" s="13"/>
      <c r="P1898" s="13" t="s">
        <v>5291</v>
      </c>
      <c r="Q1898" s="13" t="s">
        <v>5289</v>
      </c>
      <c r="R1898" s="13" t="s">
        <v>5292</v>
      </c>
      <c r="S1898" s="13" t="s">
        <v>5293</v>
      </c>
      <c r="T1898" s="13" t="s">
        <v>4</v>
      </c>
      <c r="U1898" s="13" t="s">
        <v>43</v>
      </c>
      <c r="V1898" s="13" t="n">
        <f aca="false">IF(COUNTIF($B$2:B1898,B1898)=1,1,0)</f>
        <v>0</v>
      </c>
      <c r="W1898" s="13" t="n">
        <f aca="false">IF(COUNTIFS($B$2:B1898,B1898,$T$2:T1898,T1898)=1,1,0)</f>
        <v>0</v>
      </c>
    </row>
    <row r="1899" customFormat="false" ht="15" hidden="false" customHeight="false" outlineLevel="0" collapsed="false">
      <c r="A1899" s="13" t="s">
        <v>4757</v>
      </c>
      <c r="B1899" s="13" t="s">
        <v>2179</v>
      </c>
      <c r="C1899" s="13" t="n">
        <v>340</v>
      </c>
      <c r="D1899" s="13" t="n">
        <v>1</v>
      </c>
      <c r="E1899" s="13" t="n">
        <v>339.15</v>
      </c>
      <c r="F1899" s="13" t="s">
        <v>5288</v>
      </c>
      <c r="G1899" s="13" t="s">
        <v>5292</v>
      </c>
      <c r="H1899" s="13" t="s">
        <v>5292</v>
      </c>
      <c r="I1899" s="13" t="s">
        <v>5289</v>
      </c>
      <c r="J1899" s="13" t="s">
        <v>5289</v>
      </c>
      <c r="K1899" s="13" t="s">
        <v>5289</v>
      </c>
      <c r="L1899" s="13" t="s">
        <v>6319</v>
      </c>
      <c r="M1899" s="13"/>
      <c r="N1899" s="13" t="n">
        <v>8410190627888</v>
      </c>
      <c r="O1899" s="13"/>
      <c r="P1899" s="13" t="s">
        <v>5291</v>
      </c>
      <c r="Q1899" s="13" t="s">
        <v>5289</v>
      </c>
      <c r="R1899" s="13" t="s">
        <v>5292</v>
      </c>
      <c r="S1899" s="13" t="s">
        <v>5293</v>
      </c>
      <c r="T1899" s="13" t="s">
        <v>4</v>
      </c>
      <c r="U1899" s="13" t="s">
        <v>43</v>
      </c>
      <c r="V1899" s="13" t="n">
        <f aca="false">IF(COUNTIF($B$2:B1899,B1899)=1,1,0)</f>
        <v>0</v>
      </c>
      <c r="W1899" s="13" t="n">
        <f aca="false">IF(COUNTIFS($B$2:B1899,B1899,$T$2:T1899,T1899)=1,1,0)</f>
        <v>0</v>
      </c>
    </row>
    <row r="1900" customFormat="false" ht="15" hidden="false" customHeight="false" outlineLevel="0" collapsed="false">
      <c r="A1900" s="13" t="s">
        <v>4763</v>
      </c>
      <c r="B1900" s="13" t="s">
        <v>2277</v>
      </c>
      <c r="C1900" s="13" t="n">
        <v>330</v>
      </c>
      <c r="D1900" s="13" t="n">
        <v>1</v>
      </c>
      <c r="E1900" s="13" t="n">
        <v>329.73</v>
      </c>
      <c r="F1900" s="13" t="s">
        <v>5288</v>
      </c>
      <c r="G1900" s="13" t="s">
        <v>5292</v>
      </c>
      <c r="H1900" s="13" t="s">
        <v>5289</v>
      </c>
      <c r="I1900" s="13" t="s">
        <v>5289</v>
      </c>
      <c r="J1900" s="13" t="s">
        <v>5289</v>
      </c>
      <c r="K1900" s="13" t="s">
        <v>5289</v>
      </c>
      <c r="L1900" s="13" t="s">
        <v>6320</v>
      </c>
      <c r="M1900" s="13"/>
      <c r="N1900" s="13" t="n">
        <v>8410190620414</v>
      </c>
      <c r="O1900" s="13"/>
      <c r="P1900" s="13" t="s">
        <v>5291</v>
      </c>
      <c r="Q1900" s="13" t="s">
        <v>5289</v>
      </c>
      <c r="R1900" s="13" t="s">
        <v>5292</v>
      </c>
      <c r="S1900" s="13" t="s">
        <v>5293</v>
      </c>
      <c r="T1900" s="13" t="s">
        <v>4</v>
      </c>
      <c r="U1900" s="13" t="s">
        <v>43</v>
      </c>
      <c r="V1900" s="13" t="n">
        <f aca="false">IF(COUNTIF($B$2:B1900,B1900)=1,1,0)</f>
        <v>1</v>
      </c>
      <c r="W1900" s="13" t="n">
        <f aca="false">IF(COUNTIFS($B$2:B1900,B1900,$T$2:T1900,T1900)=1,1,0)</f>
        <v>1</v>
      </c>
    </row>
    <row r="1901" customFormat="false" ht="15" hidden="false" customHeight="false" outlineLevel="0" collapsed="false">
      <c r="A1901" s="13" t="s">
        <v>4316</v>
      </c>
      <c r="B1901" s="13" t="s">
        <v>2179</v>
      </c>
      <c r="C1901" s="13" t="n">
        <v>330</v>
      </c>
      <c r="D1901" s="13" t="n">
        <v>1</v>
      </c>
      <c r="E1901" s="13" t="n">
        <v>329.73</v>
      </c>
      <c r="F1901" s="13" t="s">
        <v>5288</v>
      </c>
      <c r="G1901" s="13" t="s">
        <v>5292</v>
      </c>
      <c r="H1901" s="13" t="s">
        <v>5292</v>
      </c>
      <c r="I1901" s="13" t="s">
        <v>5289</v>
      </c>
      <c r="J1901" s="13" t="s">
        <v>5289</v>
      </c>
      <c r="K1901" s="13" t="s">
        <v>5289</v>
      </c>
      <c r="L1901" s="13" t="s">
        <v>6321</v>
      </c>
      <c r="M1901" s="13"/>
      <c r="N1901" s="13" t="n">
        <v>8410190612525</v>
      </c>
      <c r="O1901" s="13"/>
      <c r="P1901" s="13" t="s">
        <v>5291</v>
      </c>
      <c r="Q1901" s="13" t="s">
        <v>5289</v>
      </c>
      <c r="R1901" s="13" t="s">
        <v>5292</v>
      </c>
      <c r="S1901" s="13" t="s">
        <v>5293</v>
      </c>
      <c r="T1901" s="13" t="s">
        <v>4</v>
      </c>
      <c r="U1901" s="13" t="s">
        <v>85</v>
      </c>
      <c r="V1901" s="13" t="n">
        <f aca="false">IF(COUNTIF($B$2:B1901,B1901)=1,1,0)</f>
        <v>0</v>
      </c>
      <c r="W1901" s="13" t="n">
        <f aca="false">IF(COUNTIFS($B$2:B1901,B1901,$T$2:T1901,T1901)=1,1,0)</f>
        <v>0</v>
      </c>
    </row>
    <row r="1902" customFormat="false" ht="15" hidden="false" customHeight="false" outlineLevel="0" collapsed="false">
      <c r="A1902" s="13" t="s">
        <v>4765</v>
      </c>
      <c r="B1902" s="13" t="s">
        <v>2179</v>
      </c>
      <c r="C1902" s="13" t="n">
        <v>330</v>
      </c>
      <c r="D1902" s="13" t="n">
        <v>1</v>
      </c>
      <c r="E1902" s="13" t="n">
        <v>329.73</v>
      </c>
      <c r="F1902" s="13" t="s">
        <v>5288</v>
      </c>
      <c r="G1902" s="13" t="s">
        <v>5292</v>
      </c>
      <c r="H1902" s="13" t="s">
        <v>5289</v>
      </c>
      <c r="I1902" s="13" t="s">
        <v>5289</v>
      </c>
      <c r="J1902" s="13" t="s">
        <v>5289</v>
      </c>
      <c r="K1902" s="13" t="s">
        <v>5289</v>
      </c>
      <c r="L1902" s="13" t="s">
        <v>6322</v>
      </c>
      <c r="M1902" s="13"/>
      <c r="N1902" s="13" t="n">
        <v>8410190634176</v>
      </c>
      <c r="O1902" s="13"/>
      <c r="P1902" s="13" t="s">
        <v>5291</v>
      </c>
      <c r="Q1902" s="13" t="s">
        <v>5289</v>
      </c>
      <c r="R1902" s="13" t="s">
        <v>5292</v>
      </c>
      <c r="S1902" s="13" t="s">
        <v>5293</v>
      </c>
      <c r="T1902" s="13" t="s">
        <v>4</v>
      </c>
      <c r="U1902" s="13" t="s">
        <v>43</v>
      </c>
      <c r="V1902" s="13" t="n">
        <f aca="false">IF(COUNTIF($B$2:B1902,B1902)=1,1,0)</f>
        <v>0</v>
      </c>
      <c r="W1902" s="13" t="n">
        <f aca="false">IF(COUNTIFS($B$2:B1902,B1902,$T$2:T1902,T1902)=1,1,0)</f>
        <v>0</v>
      </c>
    </row>
    <row r="1903" customFormat="false" ht="15" hidden="false" customHeight="false" outlineLevel="0" collapsed="false">
      <c r="A1903" s="13" t="s">
        <v>1846</v>
      </c>
      <c r="B1903" s="13" t="s">
        <v>186</v>
      </c>
      <c r="C1903" s="13" t="n">
        <v>330</v>
      </c>
      <c r="D1903" s="13" t="n">
        <v>1</v>
      </c>
      <c r="E1903" s="13" t="n">
        <v>328</v>
      </c>
      <c r="F1903" s="13" t="s">
        <v>5288</v>
      </c>
      <c r="G1903" s="13" t="s">
        <v>5292</v>
      </c>
      <c r="H1903" s="13" t="s">
        <v>5289</v>
      </c>
      <c r="I1903" s="13" t="s">
        <v>5289</v>
      </c>
      <c r="J1903" s="13" t="s">
        <v>5289</v>
      </c>
      <c r="K1903" s="13" t="s">
        <v>5289</v>
      </c>
      <c r="L1903" s="13" t="s">
        <v>6323</v>
      </c>
      <c r="M1903" s="13"/>
      <c r="N1903" s="13" t="n">
        <v>3616301296669</v>
      </c>
      <c r="O1903" s="13"/>
      <c r="P1903" s="13" t="s">
        <v>5291</v>
      </c>
      <c r="Q1903" s="13" t="s">
        <v>5289</v>
      </c>
      <c r="R1903" s="13" t="s">
        <v>5292</v>
      </c>
      <c r="S1903" s="13" t="s">
        <v>5293</v>
      </c>
      <c r="T1903" s="13" t="s">
        <v>4</v>
      </c>
      <c r="U1903" s="13" t="s">
        <v>43</v>
      </c>
      <c r="V1903" s="13" t="n">
        <f aca="false">IF(COUNTIF($B$2:B1903,B1903)=1,1,0)</f>
        <v>0</v>
      </c>
      <c r="W1903" s="13" t="n">
        <f aca="false">IF(COUNTIFS($B$2:B1903,B1903,$T$2:T1903,T1903)=1,1,0)</f>
        <v>0</v>
      </c>
    </row>
    <row r="1904" customFormat="false" ht="15" hidden="false" customHeight="false" outlineLevel="0" collapsed="false">
      <c r="A1904" s="13" t="s">
        <v>1845</v>
      </c>
      <c r="B1904" s="13" t="s">
        <v>186</v>
      </c>
      <c r="C1904" s="13" t="n">
        <v>330</v>
      </c>
      <c r="D1904" s="13" t="n">
        <v>1</v>
      </c>
      <c r="E1904" s="13" t="n">
        <v>328</v>
      </c>
      <c r="F1904" s="13" t="s">
        <v>5288</v>
      </c>
      <c r="G1904" s="13" t="s">
        <v>5292</v>
      </c>
      <c r="H1904" s="13" t="s">
        <v>5292</v>
      </c>
      <c r="I1904" s="13" t="s">
        <v>5289</v>
      </c>
      <c r="J1904" s="13" t="s">
        <v>5289</v>
      </c>
      <c r="K1904" s="13" t="s">
        <v>5289</v>
      </c>
      <c r="L1904" s="13" t="s">
        <v>6323</v>
      </c>
      <c r="M1904" s="13"/>
      <c r="N1904" s="13" t="n">
        <v>3616301296669</v>
      </c>
      <c r="O1904" s="13"/>
      <c r="P1904" s="13" t="s">
        <v>5291</v>
      </c>
      <c r="Q1904" s="13" t="s">
        <v>5289</v>
      </c>
      <c r="R1904" s="13" t="s">
        <v>5292</v>
      </c>
      <c r="S1904" s="13" t="s">
        <v>5293</v>
      </c>
      <c r="T1904" s="13" t="s">
        <v>4</v>
      </c>
      <c r="U1904" s="13" t="s">
        <v>43</v>
      </c>
      <c r="V1904" s="13" t="n">
        <f aca="false">IF(COUNTIF($B$2:B1904,B1904)=1,1,0)</f>
        <v>0</v>
      </c>
      <c r="W1904" s="13" t="n">
        <f aca="false">IF(COUNTIFS($B$2:B1904,B1904,$T$2:T1904,T1904)=1,1,0)</f>
        <v>0</v>
      </c>
    </row>
    <row r="1905" customFormat="false" ht="15" hidden="false" customHeight="false" outlineLevel="0" collapsed="false">
      <c r="A1905" s="13" t="s">
        <v>1844</v>
      </c>
      <c r="B1905" s="13" t="s">
        <v>329</v>
      </c>
      <c r="C1905" s="13" t="n">
        <v>330</v>
      </c>
      <c r="D1905" s="13" t="n">
        <v>1</v>
      </c>
      <c r="E1905" s="13" t="n">
        <v>325.91</v>
      </c>
      <c r="F1905" s="13" t="s">
        <v>5288</v>
      </c>
      <c r="G1905" s="13" t="s">
        <v>5289</v>
      </c>
      <c r="H1905" s="13" t="s">
        <v>5292</v>
      </c>
      <c r="I1905" s="13" t="s">
        <v>5289</v>
      </c>
      <c r="J1905" s="13" t="s">
        <v>5289</v>
      </c>
      <c r="K1905" s="13" t="s">
        <v>5289</v>
      </c>
      <c r="L1905" s="13" t="s">
        <v>6184</v>
      </c>
      <c r="M1905" s="13"/>
      <c r="N1905" s="13" t="n">
        <v>3137370357636</v>
      </c>
      <c r="O1905" s="13"/>
      <c r="P1905" s="13" t="s">
        <v>5291</v>
      </c>
      <c r="Q1905" s="13" t="s">
        <v>5289</v>
      </c>
      <c r="R1905" s="13" t="s">
        <v>5292</v>
      </c>
      <c r="S1905" s="13" t="s">
        <v>5293</v>
      </c>
      <c r="T1905" s="13" t="s">
        <v>4</v>
      </c>
      <c r="U1905" s="13" t="s">
        <v>43</v>
      </c>
      <c r="V1905" s="13" t="n">
        <f aca="false">IF(COUNTIF($B$2:B1905,B1905)=1,1,0)</f>
        <v>0</v>
      </c>
      <c r="W1905" s="13" t="n">
        <f aca="false">IF(COUNTIFS($B$2:B1905,B1905,$T$2:T1905,T1905)=1,1,0)</f>
        <v>0</v>
      </c>
    </row>
    <row r="1906" customFormat="false" ht="15" hidden="false" customHeight="false" outlineLevel="0" collapsed="false">
      <c r="A1906" s="13" t="s">
        <v>1855</v>
      </c>
      <c r="B1906" s="13" t="s">
        <v>229</v>
      </c>
      <c r="C1906" s="13" t="n">
        <v>320</v>
      </c>
      <c r="D1906" s="13" t="n">
        <v>1</v>
      </c>
      <c r="E1906" s="13" t="n">
        <v>316.98</v>
      </c>
      <c r="F1906" s="13" t="s">
        <v>5325</v>
      </c>
      <c r="G1906" s="13" t="s">
        <v>5292</v>
      </c>
      <c r="H1906" s="13" t="s">
        <v>5289</v>
      </c>
      <c r="I1906" s="13" t="s">
        <v>5289</v>
      </c>
      <c r="J1906" s="13" t="s">
        <v>5289</v>
      </c>
      <c r="K1906" s="13" t="s">
        <v>5289</v>
      </c>
      <c r="L1906" s="13" t="s">
        <v>6324</v>
      </c>
      <c r="M1906" s="13"/>
      <c r="N1906" s="13" t="n">
        <v>3616304990458</v>
      </c>
      <c r="O1906" s="13"/>
      <c r="P1906" s="13" t="s">
        <v>5291</v>
      </c>
      <c r="Q1906" s="13" t="s">
        <v>5289</v>
      </c>
      <c r="R1906" s="13" t="s">
        <v>5292</v>
      </c>
      <c r="S1906" s="13" t="s">
        <v>5293</v>
      </c>
      <c r="T1906" s="13" t="s">
        <v>4</v>
      </c>
      <c r="U1906" s="13" t="s">
        <v>43</v>
      </c>
      <c r="V1906" s="13" t="n">
        <f aca="false">IF(COUNTIF($B$2:B1906,B1906)=1,1,0)</f>
        <v>0</v>
      </c>
      <c r="W1906" s="13" t="n">
        <f aca="false">IF(COUNTIFS($B$2:B1906,B1906,$T$2:T1906,T1906)=1,1,0)</f>
        <v>0</v>
      </c>
    </row>
    <row r="1907" customFormat="false" ht="15" hidden="false" customHeight="false" outlineLevel="0" collapsed="false">
      <c r="A1907" s="13" t="s">
        <v>1854</v>
      </c>
      <c r="B1907" s="13" t="s">
        <v>229</v>
      </c>
      <c r="C1907" s="13" t="n">
        <v>320</v>
      </c>
      <c r="D1907" s="13" t="n">
        <v>1</v>
      </c>
      <c r="E1907" s="13" t="n">
        <v>316.98</v>
      </c>
      <c r="F1907" s="13" t="s">
        <v>5325</v>
      </c>
      <c r="G1907" s="13" t="s">
        <v>5292</v>
      </c>
      <c r="H1907" s="13" t="s">
        <v>5292</v>
      </c>
      <c r="I1907" s="13" t="s">
        <v>5289</v>
      </c>
      <c r="J1907" s="13" t="s">
        <v>5289</v>
      </c>
      <c r="K1907" s="13" t="s">
        <v>5289</v>
      </c>
      <c r="L1907" s="13" t="s">
        <v>6324</v>
      </c>
      <c r="M1907" s="13"/>
      <c r="N1907" s="13" t="n">
        <v>3616304990458</v>
      </c>
      <c r="O1907" s="13"/>
      <c r="P1907" s="13" t="s">
        <v>5291</v>
      </c>
      <c r="Q1907" s="13" t="s">
        <v>5289</v>
      </c>
      <c r="R1907" s="13" t="s">
        <v>5292</v>
      </c>
      <c r="S1907" s="13" t="s">
        <v>5293</v>
      </c>
      <c r="T1907" s="13" t="s">
        <v>4</v>
      </c>
      <c r="U1907" s="13" t="s">
        <v>43</v>
      </c>
      <c r="V1907" s="13" t="n">
        <f aca="false">IF(COUNTIF($B$2:B1907,B1907)=1,1,0)</f>
        <v>0</v>
      </c>
      <c r="W1907" s="13" t="n">
        <f aca="false">IF(COUNTIFS($B$2:B1907,B1907,$T$2:T1907,T1907)=1,1,0)</f>
        <v>0</v>
      </c>
    </row>
    <row r="1908" customFormat="false" ht="15" hidden="false" customHeight="false" outlineLevel="0" collapsed="false">
      <c r="A1908" s="13" t="s">
        <v>1863</v>
      </c>
      <c r="B1908" s="13" t="s">
        <v>186</v>
      </c>
      <c r="C1908" s="13" t="n">
        <v>310</v>
      </c>
      <c r="D1908" s="13" t="n">
        <v>1</v>
      </c>
      <c r="E1908" s="13" t="n">
        <v>312.71</v>
      </c>
      <c r="F1908" s="13" t="s">
        <v>5325</v>
      </c>
      <c r="G1908" s="13" t="s">
        <v>5289</v>
      </c>
      <c r="H1908" s="13" t="s">
        <v>5292</v>
      </c>
      <c r="I1908" s="13" t="s">
        <v>5289</v>
      </c>
      <c r="J1908" s="13" t="s">
        <v>5289</v>
      </c>
      <c r="K1908" s="13" t="s">
        <v>5289</v>
      </c>
      <c r="L1908" s="13" t="s">
        <v>6325</v>
      </c>
      <c r="M1908" s="13"/>
      <c r="N1908" s="13" t="n">
        <v>3616303463359</v>
      </c>
      <c r="O1908" s="13"/>
      <c r="P1908" s="13" t="s">
        <v>5297</v>
      </c>
      <c r="Q1908" s="13" t="s">
        <v>5289</v>
      </c>
      <c r="R1908" s="13" t="s">
        <v>5292</v>
      </c>
      <c r="S1908" s="13" t="s">
        <v>5293</v>
      </c>
      <c r="T1908" s="13" t="s">
        <v>4</v>
      </c>
      <c r="U1908" s="13" t="s">
        <v>43</v>
      </c>
      <c r="V1908" s="13" t="n">
        <f aca="false">IF(COUNTIF($B$2:B1908,B1908)=1,1,0)</f>
        <v>0</v>
      </c>
      <c r="W1908" s="13" t="n">
        <f aca="false">IF(COUNTIFS($B$2:B1908,B1908,$T$2:T1908,T1908)=1,1,0)</f>
        <v>0</v>
      </c>
    </row>
    <row r="1909" customFormat="false" ht="15" hidden="false" customHeight="false" outlineLevel="0" collapsed="false">
      <c r="A1909" s="13" t="s">
        <v>1862</v>
      </c>
      <c r="B1909" s="13" t="s">
        <v>204</v>
      </c>
      <c r="C1909" s="13" t="n">
        <v>310</v>
      </c>
      <c r="D1909" s="13" t="n">
        <v>1</v>
      </c>
      <c r="E1909" s="13" t="n">
        <v>312.38</v>
      </c>
      <c r="F1909" s="13" t="s">
        <v>5288</v>
      </c>
      <c r="G1909" s="13" t="s">
        <v>5292</v>
      </c>
      <c r="H1909" s="13" t="s">
        <v>5292</v>
      </c>
      <c r="I1909" s="13" t="s">
        <v>5289</v>
      </c>
      <c r="J1909" s="13" t="s">
        <v>5289</v>
      </c>
      <c r="K1909" s="13" t="s">
        <v>5289</v>
      </c>
      <c r="L1909" s="13" t="s">
        <v>6326</v>
      </c>
      <c r="M1909" s="13"/>
      <c r="N1909" s="13" t="n">
        <v>7640496670122</v>
      </c>
      <c r="O1909" s="13"/>
      <c r="P1909" s="13" t="s">
        <v>5297</v>
      </c>
      <c r="Q1909" s="13" t="s">
        <v>5289</v>
      </c>
      <c r="R1909" s="13" t="s">
        <v>5292</v>
      </c>
      <c r="S1909" s="13" t="s">
        <v>5293</v>
      </c>
      <c r="T1909" s="13" t="s">
        <v>4</v>
      </c>
      <c r="U1909" s="13" t="s">
        <v>43</v>
      </c>
      <c r="V1909" s="13" t="n">
        <f aca="false">IF(COUNTIF($B$2:B1909,B1909)=1,1,0)</f>
        <v>0</v>
      </c>
      <c r="W1909" s="13" t="n">
        <f aca="false">IF(COUNTIFS($B$2:B1909,B1909,$T$2:T1909,T1909)=1,1,0)</f>
        <v>0</v>
      </c>
    </row>
    <row r="1910" customFormat="false" ht="15" hidden="false" customHeight="false" outlineLevel="0" collapsed="false">
      <c r="A1910" s="13" t="s">
        <v>1861</v>
      </c>
      <c r="B1910" s="13" t="s">
        <v>50</v>
      </c>
      <c r="C1910" s="13" t="n">
        <v>310</v>
      </c>
      <c r="D1910" s="13" t="n">
        <v>1</v>
      </c>
      <c r="E1910" s="13" t="n">
        <v>310.61</v>
      </c>
      <c r="F1910" s="13" t="s">
        <v>5288</v>
      </c>
      <c r="G1910" s="13" t="s">
        <v>5292</v>
      </c>
      <c r="H1910" s="13" t="s">
        <v>5292</v>
      </c>
      <c r="I1910" s="13" t="s">
        <v>5289</v>
      </c>
      <c r="J1910" s="13" t="s">
        <v>5289</v>
      </c>
      <c r="K1910" s="13" t="s">
        <v>5289</v>
      </c>
      <c r="L1910" s="13" t="s">
        <v>6327</v>
      </c>
      <c r="M1910" s="13"/>
      <c r="N1910" s="13" t="n">
        <v>3349668637669</v>
      </c>
      <c r="O1910" s="13"/>
      <c r="P1910" s="13" t="s">
        <v>5291</v>
      </c>
      <c r="Q1910" s="13" t="s">
        <v>5289</v>
      </c>
      <c r="R1910" s="13" t="s">
        <v>5292</v>
      </c>
      <c r="S1910" s="13" t="s">
        <v>5293</v>
      </c>
      <c r="T1910" s="13" t="s">
        <v>4</v>
      </c>
      <c r="U1910" s="13" t="s">
        <v>43</v>
      </c>
      <c r="V1910" s="13" t="n">
        <f aca="false">IF(COUNTIF($B$2:B1910,B1910)=1,1,0)</f>
        <v>0</v>
      </c>
      <c r="W1910" s="13" t="n">
        <f aca="false">IF(COUNTIFS($B$2:B1910,B1910,$T$2:T1910,T1910)=1,1,0)</f>
        <v>0</v>
      </c>
    </row>
    <row r="1911" customFormat="false" ht="15" hidden="false" customHeight="false" outlineLevel="0" collapsed="false">
      <c r="A1911" s="13" t="s">
        <v>1860</v>
      </c>
      <c r="B1911" s="13" t="s">
        <v>335</v>
      </c>
      <c r="C1911" s="13" t="n">
        <v>310</v>
      </c>
      <c r="D1911" s="13" t="n">
        <v>1</v>
      </c>
      <c r="E1911" s="13" t="n">
        <v>308.72</v>
      </c>
      <c r="F1911" s="13" t="s">
        <v>5325</v>
      </c>
      <c r="G1911" s="13" t="s">
        <v>5289</v>
      </c>
      <c r="H1911" s="13" t="s">
        <v>5292</v>
      </c>
      <c r="I1911" s="13" t="s">
        <v>5289</v>
      </c>
      <c r="J1911" s="13" t="s">
        <v>5289</v>
      </c>
      <c r="K1911" s="13" t="s">
        <v>5289</v>
      </c>
      <c r="L1911" s="13" t="s">
        <v>6328</v>
      </c>
      <c r="M1911" s="13"/>
      <c r="N1911" s="13" t="n">
        <v>85805390600</v>
      </c>
      <c r="O1911" s="13"/>
      <c r="P1911" s="13" t="s">
        <v>5291</v>
      </c>
      <c r="Q1911" s="13" t="s">
        <v>5289</v>
      </c>
      <c r="R1911" s="13" t="s">
        <v>5292</v>
      </c>
      <c r="S1911" s="13" t="s">
        <v>5293</v>
      </c>
      <c r="T1911" s="13" t="s">
        <v>4</v>
      </c>
      <c r="U1911" s="13" t="s">
        <v>43</v>
      </c>
      <c r="V1911" s="13" t="n">
        <f aca="false">IF(COUNTIF($B$2:B1911,B1911)=1,1,0)</f>
        <v>0</v>
      </c>
      <c r="W1911" s="13" t="n">
        <f aca="false">IF(COUNTIFS($B$2:B1911,B1911,$T$2:T1911,T1911)=1,1,0)</f>
        <v>0</v>
      </c>
    </row>
    <row r="1912" customFormat="false" ht="15" hidden="false" customHeight="false" outlineLevel="0" collapsed="false">
      <c r="A1912" s="13" t="s">
        <v>1864</v>
      </c>
      <c r="B1912" s="13" t="s">
        <v>105</v>
      </c>
      <c r="C1912" s="13" t="n">
        <v>310</v>
      </c>
      <c r="D1912" s="13" t="n">
        <v>1</v>
      </c>
      <c r="E1912" s="13" t="n">
        <v>308.31</v>
      </c>
      <c r="F1912" s="13" t="s">
        <v>5325</v>
      </c>
      <c r="G1912" s="13" t="s">
        <v>5292</v>
      </c>
      <c r="H1912" s="13" t="s">
        <v>5292</v>
      </c>
      <c r="I1912" s="13" t="s">
        <v>5289</v>
      </c>
      <c r="J1912" s="13" t="s">
        <v>5289</v>
      </c>
      <c r="K1912" s="13" t="s">
        <v>5289</v>
      </c>
      <c r="L1912" s="13" t="s">
        <v>6223</v>
      </c>
      <c r="M1912" s="13"/>
      <c r="N1912" s="13" t="n">
        <v>3616301623410</v>
      </c>
      <c r="O1912" s="13"/>
      <c r="P1912" s="13" t="s">
        <v>5291</v>
      </c>
      <c r="Q1912" s="13" t="s">
        <v>5289</v>
      </c>
      <c r="R1912" s="13" t="s">
        <v>5292</v>
      </c>
      <c r="S1912" s="13" t="s">
        <v>5293</v>
      </c>
      <c r="T1912" s="13" t="s">
        <v>4</v>
      </c>
      <c r="U1912" s="13" t="s">
        <v>43</v>
      </c>
      <c r="V1912" s="13" t="n">
        <f aca="false">IF(COUNTIF($B$2:B1912,B1912)=1,1,0)</f>
        <v>0</v>
      </c>
      <c r="W1912" s="13" t="n">
        <f aca="false">IF(COUNTIFS($B$2:B1912,B1912,$T$2:T1912,T1912)=1,1,0)</f>
        <v>0</v>
      </c>
    </row>
    <row r="1913" customFormat="false" ht="15" hidden="false" customHeight="false" outlineLevel="0" collapsed="false">
      <c r="A1913" s="13" t="s">
        <v>1859</v>
      </c>
      <c r="B1913" s="13" t="s">
        <v>286</v>
      </c>
      <c r="C1913" s="13" t="n">
        <v>310</v>
      </c>
      <c r="D1913" s="13" t="n">
        <v>1</v>
      </c>
      <c r="E1913" s="13" t="n">
        <v>305.49</v>
      </c>
      <c r="F1913" s="13" t="s">
        <v>5288</v>
      </c>
      <c r="G1913" s="13" t="s">
        <v>5289</v>
      </c>
      <c r="H1913" s="13" t="s">
        <v>5292</v>
      </c>
      <c r="I1913" s="13" t="s">
        <v>5289</v>
      </c>
      <c r="J1913" s="13" t="s">
        <v>5289</v>
      </c>
      <c r="K1913" s="13" t="s">
        <v>5289</v>
      </c>
      <c r="L1913" s="13" t="s">
        <v>6180</v>
      </c>
      <c r="M1913" s="13"/>
      <c r="N1913" s="13" t="n">
        <v>6294015163889</v>
      </c>
      <c r="O1913" s="13"/>
      <c r="P1913" s="13" t="s">
        <v>5291</v>
      </c>
      <c r="Q1913" s="13" t="s">
        <v>5289</v>
      </c>
      <c r="R1913" s="13" t="s">
        <v>5292</v>
      </c>
      <c r="S1913" s="13" t="s">
        <v>5293</v>
      </c>
      <c r="T1913" s="13" t="s">
        <v>4</v>
      </c>
      <c r="U1913" s="13" t="s">
        <v>43</v>
      </c>
      <c r="V1913" s="13" t="n">
        <f aca="false">IF(COUNTIF($B$2:B1913,B1913)=1,1,0)</f>
        <v>0</v>
      </c>
      <c r="W1913" s="13" t="n">
        <f aca="false">IF(COUNTIFS($B$2:B1913,B1913,$T$2:T1913,T1913)=1,1,0)</f>
        <v>0</v>
      </c>
    </row>
    <row r="1914" customFormat="false" ht="15" hidden="false" customHeight="false" outlineLevel="0" collapsed="false">
      <c r="A1914" s="13" t="s">
        <v>1868</v>
      </c>
      <c r="B1914" s="13" t="s">
        <v>186</v>
      </c>
      <c r="C1914" s="13" t="n">
        <v>300</v>
      </c>
      <c r="D1914" s="13" t="n">
        <v>1</v>
      </c>
      <c r="E1914" s="13" t="n">
        <v>302.94</v>
      </c>
      <c r="F1914" s="13" t="s">
        <v>5288</v>
      </c>
      <c r="G1914" s="13" t="s">
        <v>5292</v>
      </c>
      <c r="H1914" s="13" t="s">
        <v>5289</v>
      </c>
      <c r="I1914" s="13" t="s">
        <v>5289</v>
      </c>
      <c r="J1914" s="13" t="s">
        <v>5289</v>
      </c>
      <c r="K1914" s="13" t="s">
        <v>5289</v>
      </c>
      <c r="L1914" s="13" t="s">
        <v>6325</v>
      </c>
      <c r="M1914" s="13"/>
      <c r="N1914" s="13" t="n">
        <v>3616303463359</v>
      </c>
      <c r="O1914" s="13"/>
      <c r="P1914" s="13" t="s">
        <v>5297</v>
      </c>
      <c r="Q1914" s="13" t="s">
        <v>5289</v>
      </c>
      <c r="R1914" s="13" t="s">
        <v>5292</v>
      </c>
      <c r="S1914" s="13" t="s">
        <v>5293</v>
      </c>
      <c r="T1914" s="13" t="s">
        <v>4</v>
      </c>
      <c r="U1914" s="13" t="s">
        <v>43</v>
      </c>
      <c r="V1914" s="13" t="n">
        <f aca="false">IF(COUNTIF($B$2:B1914,B1914)=1,1,0)</f>
        <v>0</v>
      </c>
      <c r="W1914" s="13" t="n">
        <f aca="false">IF(COUNTIFS($B$2:B1914,B1914,$T$2:T1914,T1914)=1,1,0)</f>
        <v>0</v>
      </c>
    </row>
    <row r="1915" customFormat="false" ht="15" hidden="false" customHeight="false" outlineLevel="0" collapsed="false">
      <c r="A1915" s="13" t="s">
        <v>336</v>
      </c>
      <c r="B1915" s="13" t="s">
        <v>335</v>
      </c>
      <c r="C1915" s="13" t="n">
        <v>300</v>
      </c>
      <c r="D1915" s="13" t="n">
        <v>1</v>
      </c>
      <c r="E1915" s="13" t="n">
        <v>301.68</v>
      </c>
      <c r="F1915" s="13" t="s">
        <v>5288</v>
      </c>
      <c r="G1915" s="13" t="s">
        <v>5289</v>
      </c>
      <c r="H1915" s="13" t="s">
        <v>5289</v>
      </c>
      <c r="I1915" s="13" t="s">
        <v>5289</v>
      </c>
      <c r="J1915" s="13" t="s">
        <v>5289</v>
      </c>
      <c r="K1915" s="13" t="s">
        <v>5289</v>
      </c>
      <c r="L1915" s="13" t="s">
        <v>6328</v>
      </c>
      <c r="M1915" s="13"/>
      <c r="N1915" s="13" t="n">
        <v>85805390600</v>
      </c>
      <c r="O1915" s="13"/>
      <c r="P1915" s="13" t="s">
        <v>5291</v>
      </c>
      <c r="Q1915" s="13" t="s">
        <v>5289</v>
      </c>
      <c r="R1915" s="13" t="s">
        <v>5292</v>
      </c>
      <c r="S1915" s="13" t="s">
        <v>5293</v>
      </c>
      <c r="T1915" s="13" t="s">
        <v>4</v>
      </c>
      <c r="U1915" s="13" t="s">
        <v>43</v>
      </c>
      <c r="V1915" s="13" t="n">
        <f aca="false">IF(COUNTIF($B$2:B1915,B1915)=1,1,0)</f>
        <v>0</v>
      </c>
      <c r="W1915" s="13" t="n">
        <f aca="false">IF(COUNTIFS($B$2:B1915,B1915,$T$2:T1915,T1915)=1,1,0)</f>
        <v>0</v>
      </c>
    </row>
    <row r="1916" customFormat="false" ht="15" hidden="false" customHeight="false" outlineLevel="0" collapsed="false">
      <c r="A1916" s="13" t="s">
        <v>1869</v>
      </c>
      <c r="B1916" s="13" t="s">
        <v>329</v>
      </c>
      <c r="C1916" s="13" t="n">
        <v>300</v>
      </c>
      <c r="D1916" s="13" t="n">
        <v>1</v>
      </c>
      <c r="E1916" s="13" t="n">
        <v>300</v>
      </c>
      <c r="F1916" s="13" t="s">
        <v>5288</v>
      </c>
      <c r="G1916" s="13" t="s">
        <v>5289</v>
      </c>
      <c r="H1916" s="13" t="s">
        <v>5292</v>
      </c>
      <c r="I1916" s="13" t="s">
        <v>5289</v>
      </c>
      <c r="J1916" s="13" t="s">
        <v>5289</v>
      </c>
      <c r="K1916" s="13" t="s">
        <v>5289</v>
      </c>
      <c r="L1916" s="13" t="s">
        <v>5920</v>
      </c>
      <c r="M1916" s="13"/>
      <c r="N1916" s="13" t="n">
        <v>3137370357704</v>
      </c>
      <c r="O1916" s="13"/>
      <c r="P1916" s="13" t="s">
        <v>5291</v>
      </c>
      <c r="Q1916" s="13" t="s">
        <v>5289</v>
      </c>
      <c r="R1916" s="13" t="s">
        <v>5292</v>
      </c>
      <c r="S1916" s="13" t="s">
        <v>5293</v>
      </c>
      <c r="T1916" s="13" t="s">
        <v>4</v>
      </c>
      <c r="U1916" s="13" t="s">
        <v>43</v>
      </c>
      <c r="V1916" s="13" t="n">
        <f aca="false">IF(COUNTIF($B$2:B1916,B1916)=1,1,0)</f>
        <v>0</v>
      </c>
      <c r="W1916" s="13" t="n">
        <f aca="false">IF(COUNTIFS($B$2:B1916,B1916,$T$2:T1916,T1916)=1,1,0)</f>
        <v>0</v>
      </c>
    </row>
    <row r="1917" customFormat="false" ht="15" hidden="false" customHeight="false" outlineLevel="0" collapsed="false">
      <c r="A1917" s="13" t="s">
        <v>1867</v>
      </c>
      <c r="B1917" s="13" t="s">
        <v>105</v>
      </c>
      <c r="C1917" s="13" t="n">
        <v>300</v>
      </c>
      <c r="D1917" s="13" t="n">
        <v>1</v>
      </c>
      <c r="E1917" s="13" t="n">
        <v>297.36</v>
      </c>
      <c r="F1917" s="13" t="s">
        <v>5288</v>
      </c>
      <c r="G1917" s="13" t="s">
        <v>5292</v>
      </c>
      <c r="H1917" s="13" t="s">
        <v>5289</v>
      </c>
      <c r="I1917" s="13" t="s">
        <v>5289</v>
      </c>
      <c r="J1917" s="13" t="s">
        <v>5289</v>
      </c>
      <c r="K1917" s="13" t="s">
        <v>5289</v>
      </c>
      <c r="L1917" s="13" t="s">
        <v>6329</v>
      </c>
      <c r="M1917" s="13"/>
      <c r="N1917" s="13" t="n">
        <v>3614229823790</v>
      </c>
      <c r="O1917" s="13"/>
      <c r="P1917" s="13" t="s">
        <v>5297</v>
      </c>
      <c r="Q1917" s="13" t="s">
        <v>5289</v>
      </c>
      <c r="R1917" s="13" t="s">
        <v>5292</v>
      </c>
      <c r="S1917" s="13" t="s">
        <v>5293</v>
      </c>
      <c r="T1917" s="13" t="s">
        <v>4</v>
      </c>
      <c r="U1917" s="13" t="s">
        <v>43</v>
      </c>
      <c r="V1917" s="13" t="n">
        <f aca="false">IF(COUNTIF($B$2:B1917,B1917)=1,1,0)</f>
        <v>0</v>
      </c>
      <c r="W1917" s="13" t="n">
        <f aca="false">IF(COUNTIFS($B$2:B1917,B1917,$T$2:T1917,T1917)=1,1,0)</f>
        <v>0</v>
      </c>
    </row>
    <row r="1918" customFormat="false" ht="15" hidden="false" customHeight="false" outlineLevel="0" collapsed="false">
      <c r="A1918" s="13" t="s">
        <v>1874</v>
      </c>
      <c r="B1918" s="13" t="s">
        <v>105</v>
      </c>
      <c r="C1918" s="13" t="n">
        <v>300</v>
      </c>
      <c r="D1918" s="13" t="n">
        <v>1</v>
      </c>
      <c r="E1918" s="13" t="n">
        <v>297.36</v>
      </c>
      <c r="F1918" s="13" t="s">
        <v>5288</v>
      </c>
      <c r="G1918" s="13" t="s">
        <v>5292</v>
      </c>
      <c r="H1918" s="13" t="s">
        <v>5292</v>
      </c>
      <c r="I1918" s="13" t="s">
        <v>5289</v>
      </c>
      <c r="J1918" s="13" t="s">
        <v>5289</v>
      </c>
      <c r="K1918" s="13" t="s">
        <v>5289</v>
      </c>
      <c r="L1918" s="13" t="s">
        <v>6330</v>
      </c>
      <c r="M1918" s="13"/>
      <c r="N1918" s="13" t="n">
        <v>3616304062483</v>
      </c>
      <c r="O1918" s="13"/>
      <c r="P1918" s="13" t="s">
        <v>5291</v>
      </c>
      <c r="Q1918" s="13" t="s">
        <v>5289</v>
      </c>
      <c r="R1918" s="13" t="s">
        <v>5292</v>
      </c>
      <c r="S1918" s="13" t="s">
        <v>5293</v>
      </c>
      <c r="T1918" s="13" t="s">
        <v>4</v>
      </c>
      <c r="U1918" s="13" t="s">
        <v>43</v>
      </c>
      <c r="V1918" s="13" t="n">
        <f aca="false">IF(COUNTIF($B$2:B1918,B1918)=1,1,0)</f>
        <v>0</v>
      </c>
      <c r="W1918" s="13" t="n">
        <f aca="false">IF(COUNTIFS($B$2:B1918,B1918,$T$2:T1918,T1918)=1,1,0)</f>
        <v>0</v>
      </c>
    </row>
    <row r="1919" customFormat="false" ht="15" hidden="false" customHeight="false" outlineLevel="0" collapsed="false">
      <c r="A1919" s="13" t="s">
        <v>1875</v>
      </c>
      <c r="B1919" s="13" t="s">
        <v>229</v>
      </c>
      <c r="C1919" s="13" t="n">
        <v>300</v>
      </c>
      <c r="D1919" s="13" t="n">
        <v>2</v>
      </c>
      <c r="E1919" s="13" t="n">
        <v>148</v>
      </c>
      <c r="F1919" s="13" t="s">
        <v>5288</v>
      </c>
      <c r="G1919" s="13" t="s">
        <v>5289</v>
      </c>
      <c r="H1919" s="13" t="s">
        <v>5292</v>
      </c>
      <c r="I1919" s="13" t="s">
        <v>5289</v>
      </c>
      <c r="J1919" s="13" t="s">
        <v>5289</v>
      </c>
      <c r="K1919" s="13" t="s">
        <v>5289</v>
      </c>
      <c r="L1919" s="13" t="s">
        <v>6331</v>
      </c>
      <c r="M1919" s="13"/>
      <c r="N1919" s="13" t="n">
        <v>3414202011820</v>
      </c>
      <c r="O1919" s="13"/>
      <c r="P1919" s="13" t="s">
        <v>5291</v>
      </c>
      <c r="Q1919" s="13" t="s">
        <v>5289</v>
      </c>
      <c r="R1919" s="13" t="s">
        <v>5292</v>
      </c>
      <c r="S1919" s="13" t="s">
        <v>5293</v>
      </c>
      <c r="T1919" s="13" t="s">
        <v>4</v>
      </c>
      <c r="U1919" s="13" t="s">
        <v>43</v>
      </c>
      <c r="V1919" s="13" t="n">
        <f aca="false">IF(COUNTIF($B$2:B1919,B1919)=1,1,0)</f>
        <v>0</v>
      </c>
      <c r="W1919" s="13" t="n">
        <f aca="false">IF(COUNTIFS($B$2:B1919,B1919,$T$2:T1919,T1919)=1,1,0)</f>
        <v>0</v>
      </c>
    </row>
    <row r="1920" customFormat="false" ht="15" hidden="false" customHeight="false" outlineLevel="0" collapsed="false">
      <c r="A1920" s="13" t="s">
        <v>1891</v>
      </c>
      <c r="B1920" s="13" t="s">
        <v>161</v>
      </c>
      <c r="C1920" s="13" t="n">
        <v>280</v>
      </c>
      <c r="D1920" s="13" t="n">
        <v>1</v>
      </c>
      <c r="E1920" s="13" t="n">
        <v>279.44</v>
      </c>
      <c r="F1920" s="13" t="s">
        <v>5288</v>
      </c>
      <c r="G1920" s="13" t="s">
        <v>5289</v>
      </c>
      <c r="H1920" s="13" t="s">
        <v>5292</v>
      </c>
      <c r="I1920" s="13" t="s">
        <v>5289</v>
      </c>
      <c r="J1920" s="13" t="s">
        <v>5289</v>
      </c>
      <c r="K1920" s="13" t="s">
        <v>5289</v>
      </c>
      <c r="L1920" s="13" t="s">
        <v>6332</v>
      </c>
      <c r="M1920" s="13"/>
      <c r="N1920" s="13" t="n">
        <v>3355991006003</v>
      </c>
      <c r="O1920" s="13"/>
      <c r="P1920" s="13" t="s">
        <v>5291</v>
      </c>
      <c r="Q1920" s="13" t="s">
        <v>5289</v>
      </c>
      <c r="R1920" s="13" t="s">
        <v>5292</v>
      </c>
      <c r="S1920" s="13" t="s">
        <v>5293</v>
      </c>
      <c r="T1920" s="13" t="s">
        <v>4</v>
      </c>
      <c r="U1920" s="13" t="s">
        <v>43</v>
      </c>
      <c r="V1920" s="13" t="n">
        <f aca="false">IF(COUNTIF($B$2:B1920,B1920)=1,1,0)</f>
        <v>0</v>
      </c>
      <c r="W1920" s="13" t="n">
        <f aca="false">IF(COUNTIFS($B$2:B1920,B1920,$T$2:T1920,T1920)=1,1,0)</f>
        <v>0</v>
      </c>
    </row>
    <row r="1921" customFormat="false" ht="15" hidden="false" customHeight="false" outlineLevel="0" collapsed="false">
      <c r="A1921" s="13" t="s">
        <v>1897</v>
      </c>
      <c r="B1921" s="13" t="s">
        <v>161</v>
      </c>
      <c r="C1921" s="13" t="n">
        <v>280</v>
      </c>
      <c r="D1921" s="13" t="n">
        <v>1</v>
      </c>
      <c r="E1921" s="13" t="n">
        <v>279.44</v>
      </c>
      <c r="F1921" s="13" t="s">
        <v>5288</v>
      </c>
      <c r="G1921" s="13" t="s">
        <v>5289</v>
      </c>
      <c r="H1921" s="13" t="s">
        <v>5289</v>
      </c>
      <c r="I1921" s="13" t="s">
        <v>5289</v>
      </c>
      <c r="J1921" s="13" t="s">
        <v>5289</v>
      </c>
      <c r="K1921" s="13" t="s">
        <v>5289</v>
      </c>
      <c r="L1921" s="13" t="s">
        <v>6332</v>
      </c>
      <c r="M1921" s="13"/>
      <c r="N1921" s="13" t="n">
        <v>3355991006003</v>
      </c>
      <c r="O1921" s="13"/>
      <c r="P1921" s="13" t="s">
        <v>5291</v>
      </c>
      <c r="Q1921" s="13" t="s">
        <v>5289</v>
      </c>
      <c r="R1921" s="13" t="s">
        <v>5292</v>
      </c>
      <c r="S1921" s="13" t="s">
        <v>5293</v>
      </c>
      <c r="T1921" s="13" t="s">
        <v>4</v>
      </c>
      <c r="U1921" s="13" t="s">
        <v>43</v>
      </c>
      <c r="V1921" s="13" t="n">
        <f aca="false">IF(COUNTIF($B$2:B1921,B1921)=1,1,0)</f>
        <v>0</v>
      </c>
      <c r="W1921" s="13" t="n">
        <f aca="false">IF(COUNTIFS($B$2:B1921,B1921,$T$2:T1921,T1921)=1,1,0)</f>
        <v>0</v>
      </c>
    </row>
    <row r="1922" customFormat="false" ht="15" hidden="false" customHeight="false" outlineLevel="0" collapsed="false">
      <c r="A1922" s="13" t="s">
        <v>1908</v>
      </c>
      <c r="B1922" s="13" t="s">
        <v>42</v>
      </c>
      <c r="C1922" s="13" t="n">
        <v>280</v>
      </c>
      <c r="D1922" s="13" t="n">
        <v>1</v>
      </c>
      <c r="E1922" s="13" t="n">
        <v>278.87</v>
      </c>
      <c r="F1922" s="13" t="s">
        <v>5325</v>
      </c>
      <c r="G1922" s="13" t="s">
        <v>5292</v>
      </c>
      <c r="H1922" s="13" t="s">
        <v>5292</v>
      </c>
      <c r="I1922" s="13" t="s">
        <v>5289</v>
      </c>
      <c r="J1922" s="13" t="s">
        <v>5289</v>
      </c>
      <c r="K1922" s="13" t="s">
        <v>5289</v>
      </c>
      <c r="L1922" s="13" t="s">
        <v>5921</v>
      </c>
      <c r="M1922" s="13"/>
      <c r="N1922" s="13" t="n">
        <v>8411061043820</v>
      </c>
      <c r="O1922" s="13"/>
      <c r="P1922" s="13" t="s">
        <v>5291</v>
      </c>
      <c r="Q1922" s="13" t="s">
        <v>5289</v>
      </c>
      <c r="R1922" s="13" t="s">
        <v>5292</v>
      </c>
      <c r="S1922" s="13" t="s">
        <v>5293</v>
      </c>
      <c r="T1922" s="13" t="s">
        <v>4</v>
      </c>
      <c r="U1922" s="13" t="s">
        <v>43</v>
      </c>
      <c r="V1922" s="13" t="n">
        <f aca="false">IF(COUNTIF($B$2:B1922,B1922)=1,1,0)</f>
        <v>0</v>
      </c>
      <c r="W1922" s="13" t="n">
        <f aca="false">IF(COUNTIFS($B$2:B1922,B1922,$T$2:T1922,T1922)=1,1,0)</f>
        <v>0</v>
      </c>
    </row>
    <row r="1923" customFormat="false" ht="15" hidden="false" customHeight="false" outlineLevel="0" collapsed="false">
      <c r="A1923" s="13" t="s">
        <v>1896</v>
      </c>
      <c r="B1923" s="13" t="s">
        <v>365</v>
      </c>
      <c r="C1923" s="13" t="n">
        <v>280</v>
      </c>
      <c r="D1923" s="13" t="n">
        <v>1</v>
      </c>
      <c r="E1923" s="13" t="n">
        <v>278.58</v>
      </c>
      <c r="F1923" s="13" t="s">
        <v>5288</v>
      </c>
      <c r="G1923" s="13" t="s">
        <v>5292</v>
      </c>
      <c r="H1923" s="13" t="s">
        <v>5292</v>
      </c>
      <c r="I1923" s="13" t="s">
        <v>5289</v>
      </c>
      <c r="J1923" s="13" t="s">
        <v>5289</v>
      </c>
      <c r="K1923" s="13" t="s">
        <v>5289</v>
      </c>
      <c r="L1923" s="13" t="s">
        <v>6333</v>
      </c>
      <c r="M1923" s="13"/>
      <c r="N1923" s="13" t="n">
        <v>6290360599168</v>
      </c>
      <c r="O1923" s="13"/>
      <c r="P1923" s="13" t="s">
        <v>5291</v>
      </c>
      <c r="Q1923" s="13" t="s">
        <v>5289</v>
      </c>
      <c r="R1923" s="13" t="s">
        <v>5292</v>
      </c>
      <c r="S1923" s="13" t="s">
        <v>5293</v>
      </c>
      <c r="T1923" s="13" t="s">
        <v>4</v>
      </c>
      <c r="U1923" s="13" t="s">
        <v>43</v>
      </c>
      <c r="V1923" s="13" t="n">
        <f aca="false">IF(COUNTIF($B$2:B1923,B1923)=1,1,0)</f>
        <v>0</v>
      </c>
      <c r="W1923" s="13" t="n">
        <f aca="false">IF(COUNTIFS($B$2:B1923,B1923,$T$2:T1923,T1923)=1,1,0)</f>
        <v>0</v>
      </c>
    </row>
    <row r="1924" customFormat="false" ht="15" hidden="false" customHeight="false" outlineLevel="0" collapsed="false">
      <c r="A1924" s="13" t="s">
        <v>6334</v>
      </c>
      <c r="B1924" s="13" t="s">
        <v>2235</v>
      </c>
      <c r="C1924" s="13" t="n">
        <v>280</v>
      </c>
      <c r="D1924" s="13" t="n">
        <v>1</v>
      </c>
      <c r="E1924" s="13" t="n">
        <v>276.57</v>
      </c>
      <c r="F1924" s="13" t="s">
        <v>5288</v>
      </c>
      <c r="G1924" s="13" t="s">
        <v>5292</v>
      </c>
      <c r="H1924" s="13" t="s">
        <v>5292</v>
      </c>
      <c r="I1924" s="13" t="s">
        <v>5289</v>
      </c>
      <c r="J1924" s="13" t="s">
        <v>5289</v>
      </c>
      <c r="K1924" s="13" t="s">
        <v>5289</v>
      </c>
      <c r="L1924" s="13" t="s">
        <v>6105</v>
      </c>
      <c r="M1924" s="13"/>
      <c r="N1924" s="13" t="n">
        <v>8411114057187</v>
      </c>
      <c r="O1924" s="13"/>
      <c r="P1924" s="13" t="s">
        <v>5297</v>
      </c>
      <c r="Q1924" s="13" t="s">
        <v>5289</v>
      </c>
      <c r="R1924" s="13" t="s">
        <v>5292</v>
      </c>
      <c r="S1924" s="13" t="s">
        <v>5293</v>
      </c>
      <c r="T1924" s="13" t="s">
        <v>4</v>
      </c>
      <c r="U1924" s="13" t="s">
        <v>43</v>
      </c>
      <c r="V1924" s="13" t="n">
        <f aca="false">IF(COUNTIF($B$2:B1924,B1924)=1,1,0)</f>
        <v>0</v>
      </c>
      <c r="W1924" s="13" t="n">
        <f aca="false">IF(COUNTIFS($B$2:B1924,B1924,$T$2:T1924,T1924)=1,1,0)</f>
        <v>0</v>
      </c>
    </row>
    <row r="1925" customFormat="false" ht="15" hidden="false" customHeight="false" outlineLevel="0" collapsed="false">
      <c r="A1925" s="13" t="s">
        <v>1901</v>
      </c>
      <c r="B1925" s="13" t="s">
        <v>42</v>
      </c>
      <c r="C1925" s="13" t="n">
        <v>280</v>
      </c>
      <c r="D1925" s="13" t="n">
        <v>1</v>
      </c>
      <c r="E1925" s="13" t="n">
        <v>275.01</v>
      </c>
      <c r="F1925" s="13" t="s">
        <v>5288</v>
      </c>
      <c r="G1925" s="13" t="s">
        <v>5289</v>
      </c>
      <c r="H1925" s="13" t="s">
        <v>5292</v>
      </c>
      <c r="I1925" s="13" t="s">
        <v>5289</v>
      </c>
      <c r="J1925" s="13" t="s">
        <v>5289</v>
      </c>
      <c r="K1925" s="13" t="s">
        <v>5289</v>
      </c>
      <c r="L1925" s="13" t="s">
        <v>5921</v>
      </c>
      <c r="M1925" s="13"/>
      <c r="N1925" s="13" t="n">
        <v>8411061043820</v>
      </c>
      <c r="O1925" s="13"/>
      <c r="P1925" s="13" t="s">
        <v>5291</v>
      </c>
      <c r="Q1925" s="13" t="s">
        <v>5289</v>
      </c>
      <c r="R1925" s="13" t="s">
        <v>5292</v>
      </c>
      <c r="S1925" s="13" t="s">
        <v>5293</v>
      </c>
      <c r="T1925" s="13" t="s">
        <v>4</v>
      </c>
      <c r="U1925" s="13" t="s">
        <v>43</v>
      </c>
      <c r="V1925" s="13" t="n">
        <f aca="false">IF(COUNTIF($B$2:B1925,B1925)=1,1,0)</f>
        <v>0</v>
      </c>
      <c r="W1925" s="13" t="n">
        <f aca="false">IF(COUNTIFS($B$2:B1925,B1925,$T$2:T1925,T1925)=1,1,0)</f>
        <v>0</v>
      </c>
    </row>
    <row r="1926" customFormat="false" ht="15" hidden="false" customHeight="false" outlineLevel="0" collapsed="false">
      <c r="A1926" s="13" t="s">
        <v>1914</v>
      </c>
      <c r="B1926" s="13" t="s">
        <v>365</v>
      </c>
      <c r="C1926" s="13" t="n">
        <v>270</v>
      </c>
      <c r="D1926" s="13" t="n">
        <v>1</v>
      </c>
      <c r="E1926" s="13" t="n">
        <v>274.59</v>
      </c>
      <c r="F1926" s="13" t="s">
        <v>5288</v>
      </c>
      <c r="G1926" s="13" t="s">
        <v>5292</v>
      </c>
      <c r="H1926" s="13" t="s">
        <v>5292</v>
      </c>
      <c r="I1926" s="13" t="s">
        <v>5289</v>
      </c>
      <c r="J1926" s="13" t="s">
        <v>5289</v>
      </c>
      <c r="K1926" s="13" t="s">
        <v>5289</v>
      </c>
      <c r="L1926" s="13" t="s">
        <v>6335</v>
      </c>
      <c r="M1926" s="13"/>
      <c r="N1926" s="13" t="n">
        <v>6291108735411</v>
      </c>
      <c r="O1926" s="13"/>
      <c r="P1926" s="13" t="s">
        <v>5297</v>
      </c>
      <c r="Q1926" s="13" t="s">
        <v>5289</v>
      </c>
      <c r="R1926" s="13" t="s">
        <v>5292</v>
      </c>
      <c r="S1926" s="13" t="s">
        <v>5293</v>
      </c>
      <c r="T1926" s="13" t="s">
        <v>4</v>
      </c>
      <c r="U1926" s="13" t="s">
        <v>43</v>
      </c>
      <c r="V1926" s="13" t="n">
        <f aca="false">IF(COUNTIF($B$2:B1926,B1926)=1,1,0)</f>
        <v>0</v>
      </c>
      <c r="W1926" s="13" t="n">
        <f aca="false">IF(COUNTIFS($B$2:B1926,B1926,$T$2:T1926,T1926)=1,1,0)</f>
        <v>0</v>
      </c>
    </row>
    <row r="1927" customFormat="false" ht="15" hidden="false" customHeight="false" outlineLevel="0" collapsed="false">
      <c r="A1927" s="13" t="s">
        <v>1915</v>
      </c>
      <c r="B1927" s="13" t="s">
        <v>42</v>
      </c>
      <c r="C1927" s="13" t="n">
        <v>270</v>
      </c>
      <c r="D1927" s="13" t="n">
        <v>1</v>
      </c>
      <c r="E1927" s="13" t="n">
        <v>274.55</v>
      </c>
      <c r="F1927" s="13" t="s">
        <v>5325</v>
      </c>
      <c r="G1927" s="13" t="s">
        <v>5292</v>
      </c>
      <c r="H1927" s="13" t="s">
        <v>5292</v>
      </c>
      <c r="I1927" s="13" t="s">
        <v>5289</v>
      </c>
      <c r="J1927" s="13" t="s">
        <v>5289</v>
      </c>
      <c r="K1927" s="13" t="s">
        <v>5289</v>
      </c>
      <c r="L1927" s="13" t="s">
        <v>5944</v>
      </c>
      <c r="M1927" s="13"/>
      <c r="N1927" s="13" t="n">
        <v>8411061120590</v>
      </c>
      <c r="O1927" s="13"/>
      <c r="P1927" s="13" t="s">
        <v>5291</v>
      </c>
      <c r="Q1927" s="13" t="s">
        <v>5289</v>
      </c>
      <c r="R1927" s="13" t="s">
        <v>5292</v>
      </c>
      <c r="S1927" s="13" t="s">
        <v>5293</v>
      </c>
      <c r="T1927" s="13" t="s">
        <v>4</v>
      </c>
      <c r="U1927" s="13" t="s">
        <v>43</v>
      </c>
      <c r="V1927" s="13" t="n">
        <f aca="false">IF(COUNTIF($B$2:B1927,B1927)=1,1,0)</f>
        <v>0</v>
      </c>
      <c r="W1927" s="13" t="n">
        <f aca="false">IF(COUNTIFS($B$2:B1927,B1927,$T$2:T1927,T1927)=1,1,0)</f>
        <v>0</v>
      </c>
    </row>
    <row r="1928" customFormat="false" ht="15" hidden="false" customHeight="false" outlineLevel="0" collapsed="false">
      <c r="A1928" s="13" t="s">
        <v>1232</v>
      </c>
      <c r="B1928" s="13" t="s">
        <v>270</v>
      </c>
      <c r="C1928" s="13" t="n">
        <v>270</v>
      </c>
      <c r="D1928" s="13" t="n">
        <v>1</v>
      </c>
      <c r="E1928" s="13" t="n">
        <v>274.24</v>
      </c>
      <c r="F1928" s="13" t="s">
        <v>5325</v>
      </c>
      <c r="G1928" s="13" t="s">
        <v>5292</v>
      </c>
      <c r="H1928" s="13" t="s">
        <v>5292</v>
      </c>
      <c r="I1928" s="13" t="s">
        <v>5289</v>
      </c>
      <c r="J1928" s="13" t="s">
        <v>5289</v>
      </c>
      <c r="K1928" s="13" t="s">
        <v>5289</v>
      </c>
      <c r="L1928" s="13" t="s">
        <v>6062</v>
      </c>
      <c r="M1928" s="13"/>
      <c r="N1928" s="13" t="n">
        <v>878813001251</v>
      </c>
      <c r="O1928" s="13"/>
      <c r="P1928" s="13" t="s">
        <v>5291</v>
      </c>
      <c r="Q1928" s="13" t="s">
        <v>5289</v>
      </c>
      <c r="R1928" s="13" t="s">
        <v>5292</v>
      </c>
      <c r="S1928" s="13" t="s">
        <v>5293</v>
      </c>
      <c r="T1928" s="13" t="s">
        <v>4</v>
      </c>
      <c r="U1928" s="13" t="s">
        <v>43</v>
      </c>
      <c r="V1928" s="13" t="n">
        <f aca="false">IF(COUNTIF($B$2:B1928,B1928)=1,1,0)</f>
        <v>0</v>
      </c>
      <c r="W1928" s="13" t="n">
        <f aca="false">IF(COUNTIFS($B$2:B1928,B1928,$T$2:T1928,T1928)=1,1,0)</f>
        <v>0</v>
      </c>
    </row>
    <row r="1929" customFormat="false" ht="15" hidden="false" customHeight="false" outlineLevel="0" collapsed="false">
      <c r="A1929" s="13" t="s">
        <v>1917</v>
      </c>
      <c r="B1929" s="13" t="s">
        <v>255</v>
      </c>
      <c r="C1929" s="13" t="n">
        <v>270</v>
      </c>
      <c r="D1929" s="13" t="n">
        <v>1</v>
      </c>
      <c r="E1929" s="13" t="n">
        <v>272.09</v>
      </c>
      <c r="F1929" s="13" t="s">
        <v>5325</v>
      </c>
      <c r="G1929" s="13" t="s">
        <v>5292</v>
      </c>
      <c r="H1929" s="13" t="s">
        <v>5292</v>
      </c>
      <c r="I1929" s="13" t="s">
        <v>5289</v>
      </c>
      <c r="J1929" s="13" t="s">
        <v>5289</v>
      </c>
      <c r="K1929" s="13" t="s">
        <v>5289</v>
      </c>
      <c r="L1929" s="13" t="s">
        <v>6336</v>
      </c>
      <c r="M1929" s="13"/>
      <c r="N1929" s="13" t="n">
        <v>5055810012274</v>
      </c>
      <c r="O1929" s="13"/>
      <c r="P1929" s="13" t="s">
        <v>5291</v>
      </c>
      <c r="Q1929" s="13" t="s">
        <v>5289</v>
      </c>
      <c r="R1929" s="13" t="s">
        <v>5292</v>
      </c>
      <c r="S1929" s="13" t="s">
        <v>5293</v>
      </c>
      <c r="T1929" s="13" t="s">
        <v>4</v>
      </c>
      <c r="U1929" s="13" t="s">
        <v>43</v>
      </c>
      <c r="V1929" s="13" t="n">
        <f aca="false">IF(COUNTIF($B$2:B1929,B1929)=1,1,0)</f>
        <v>0</v>
      </c>
      <c r="W1929" s="13" t="n">
        <f aca="false">IF(COUNTIFS($B$2:B1929,B1929,$T$2:T1929,T1929)=1,1,0)</f>
        <v>0</v>
      </c>
    </row>
    <row r="1930" customFormat="false" ht="15" hidden="false" customHeight="false" outlineLevel="0" collapsed="false">
      <c r="A1930" s="13" t="s">
        <v>1913</v>
      </c>
      <c r="B1930" s="13" t="s">
        <v>255</v>
      </c>
      <c r="C1930" s="13" t="n">
        <v>270</v>
      </c>
      <c r="D1930" s="13" t="n">
        <v>1</v>
      </c>
      <c r="E1930" s="13" t="n">
        <v>269.1</v>
      </c>
      <c r="F1930" s="13" t="s">
        <v>5325</v>
      </c>
      <c r="G1930" s="13" t="s">
        <v>5292</v>
      </c>
      <c r="H1930" s="13" t="s">
        <v>5292</v>
      </c>
      <c r="I1930" s="13" t="s">
        <v>5289</v>
      </c>
      <c r="J1930" s="13" t="s">
        <v>5289</v>
      </c>
      <c r="K1930" s="13" t="s">
        <v>5289</v>
      </c>
      <c r="L1930" s="13" t="s">
        <v>6250</v>
      </c>
      <c r="M1930" s="13"/>
      <c r="N1930" s="13" t="n">
        <v>5055810014933</v>
      </c>
      <c r="O1930" s="13"/>
      <c r="P1930" s="13" t="s">
        <v>5291</v>
      </c>
      <c r="Q1930" s="13" t="s">
        <v>5289</v>
      </c>
      <c r="R1930" s="13" t="s">
        <v>5292</v>
      </c>
      <c r="S1930" s="13" t="s">
        <v>5293</v>
      </c>
      <c r="T1930" s="13" t="s">
        <v>4</v>
      </c>
      <c r="U1930" s="13" t="s">
        <v>43</v>
      </c>
      <c r="V1930" s="13" t="n">
        <f aca="false">IF(COUNTIF($B$2:B1930,B1930)=1,1,0)</f>
        <v>0</v>
      </c>
      <c r="W1930" s="13" t="n">
        <f aca="false">IF(COUNTIFS($B$2:B1930,B1930,$T$2:T1930,T1930)=1,1,0)</f>
        <v>0</v>
      </c>
    </row>
    <row r="1931" customFormat="false" ht="15" hidden="false" customHeight="false" outlineLevel="0" collapsed="false">
      <c r="A1931" s="13" t="s">
        <v>1918</v>
      </c>
      <c r="B1931" s="13" t="s">
        <v>365</v>
      </c>
      <c r="C1931" s="13" t="n">
        <v>270</v>
      </c>
      <c r="D1931" s="13" t="n">
        <v>1</v>
      </c>
      <c r="E1931" s="13" t="n">
        <v>267.72</v>
      </c>
      <c r="F1931" s="13" t="s">
        <v>5288</v>
      </c>
      <c r="G1931" s="13" t="s">
        <v>5292</v>
      </c>
      <c r="H1931" s="13" t="s">
        <v>5292</v>
      </c>
      <c r="I1931" s="13" t="s">
        <v>5289</v>
      </c>
      <c r="J1931" s="13" t="s">
        <v>5289</v>
      </c>
      <c r="K1931" s="13" t="s">
        <v>5289</v>
      </c>
      <c r="L1931" s="13" t="s">
        <v>6337</v>
      </c>
      <c r="M1931" s="13"/>
      <c r="N1931" s="13" t="n">
        <v>6290360593166</v>
      </c>
      <c r="O1931" s="13"/>
      <c r="P1931" s="13" t="s">
        <v>5291</v>
      </c>
      <c r="Q1931" s="13" t="s">
        <v>5289</v>
      </c>
      <c r="R1931" s="13" t="s">
        <v>5292</v>
      </c>
      <c r="S1931" s="13" t="s">
        <v>5293</v>
      </c>
      <c r="T1931" s="13" t="s">
        <v>4</v>
      </c>
      <c r="U1931" s="13" t="s">
        <v>43</v>
      </c>
      <c r="V1931" s="13" t="n">
        <f aca="false">IF(COUNTIF($B$2:B1931,B1931)=1,1,0)</f>
        <v>0</v>
      </c>
      <c r="W1931" s="13" t="n">
        <f aca="false">IF(COUNTIFS($B$2:B1931,B1931,$T$2:T1931,T1931)=1,1,0)</f>
        <v>0</v>
      </c>
    </row>
    <row r="1932" customFormat="false" ht="15" hidden="false" customHeight="false" outlineLevel="0" collapsed="false">
      <c r="A1932" s="13" t="s">
        <v>1916</v>
      </c>
      <c r="B1932" s="13" t="s">
        <v>42</v>
      </c>
      <c r="C1932" s="13" t="n">
        <v>270</v>
      </c>
      <c r="D1932" s="13" t="n">
        <v>1</v>
      </c>
      <c r="E1932" s="13" t="n">
        <v>266.76</v>
      </c>
      <c r="F1932" s="13" t="s">
        <v>5288</v>
      </c>
      <c r="G1932" s="13" t="s">
        <v>5292</v>
      </c>
      <c r="H1932" s="13" t="s">
        <v>5292</v>
      </c>
      <c r="I1932" s="13" t="s">
        <v>5289</v>
      </c>
      <c r="J1932" s="13" t="s">
        <v>5289</v>
      </c>
      <c r="K1932" s="13" t="s">
        <v>5289</v>
      </c>
      <c r="L1932" s="13" t="s">
        <v>6338</v>
      </c>
      <c r="M1932" s="13"/>
      <c r="N1932" s="13" t="n">
        <v>8411061805879</v>
      </c>
      <c r="O1932" s="13"/>
      <c r="P1932" s="13" t="s">
        <v>5297</v>
      </c>
      <c r="Q1932" s="13" t="s">
        <v>5289</v>
      </c>
      <c r="R1932" s="13" t="s">
        <v>5292</v>
      </c>
      <c r="S1932" s="13" t="s">
        <v>5293</v>
      </c>
      <c r="T1932" s="13" t="s">
        <v>4</v>
      </c>
      <c r="U1932" s="13" t="s">
        <v>43</v>
      </c>
      <c r="V1932" s="13" t="n">
        <f aca="false">IF(COUNTIF($B$2:B1932,B1932)=1,1,0)</f>
        <v>0</v>
      </c>
      <c r="W1932" s="13" t="n">
        <f aca="false">IF(COUNTIFS($B$2:B1932,B1932,$T$2:T1932,T1932)=1,1,0)</f>
        <v>0</v>
      </c>
    </row>
    <row r="1933" customFormat="false" ht="15" hidden="false" customHeight="false" outlineLevel="0" collapsed="false">
      <c r="A1933" s="13" t="s">
        <v>1930</v>
      </c>
      <c r="B1933" s="13" t="s">
        <v>255</v>
      </c>
      <c r="C1933" s="13" t="n">
        <v>260</v>
      </c>
      <c r="D1933" s="13" t="n">
        <v>1</v>
      </c>
      <c r="E1933" s="13" t="n">
        <v>263.33</v>
      </c>
      <c r="F1933" s="13" t="s">
        <v>5325</v>
      </c>
      <c r="G1933" s="13" t="s">
        <v>5289</v>
      </c>
      <c r="H1933" s="13" t="s">
        <v>5292</v>
      </c>
      <c r="I1933" s="13" t="s">
        <v>5289</v>
      </c>
      <c r="J1933" s="13" t="s">
        <v>5289</v>
      </c>
      <c r="K1933" s="13" t="s">
        <v>5289</v>
      </c>
      <c r="L1933" s="13" t="s">
        <v>6339</v>
      </c>
      <c r="M1933" s="13"/>
      <c r="N1933" s="13" t="n">
        <v>5055810013110</v>
      </c>
      <c r="O1933" s="13"/>
      <c r="P1933" s="13" t="s">
        <v>5291</v>
      </c>
      <c r="Q1933" s="13" t="s">
        <v>5289</v>
      </c>
      <c r="R1933" s="13" t="s">
        <v>5292</v>
      </c>
      <c r="S1933" s="13" t="s">
        <v>5293</v>
      </c>
      <c r="T1933" s="13" t="s">
        <v>4</v>
      </c>
      <c r="U1933" s="13" t="s">
        <v>43</v>
      </c>
      <c r="V1933" s="13" t="n">
        <f aca="false">IF(COUNTIF($B$2:B1933,B1933)=1,1,0)</f>
        <v>0</v>
      </c>
      <c r="W1933" s="13" t="n">
        <f aca="false">IF(COUNTIFS($B$2:B1933,B1933,$T$2:T1933,T1933)=1,1,0)</f>
        <v>0</v>
      </c>
    </row>
    <row r="1934" customFormat="false" ht="15" hidden="false" customHeight="false" outlineLevel="0" collapsed="false">
      <c r="A1934" s="13" t="s">
        <v>1932</v>
      </c>
      <c r="B1934" s="13" t="s">
        <v>490</v>
      </c>
      <c r="C1934" s="13" t="n">
        <v>260</v>
      </c>
      <c r="D1934" s="13" t="n">
        <v>1</v>
      </c>
      <c r="E1934" s="13" t="n">
        <v>258.49</v>
      </c>
      <c r="F1934" s="13" t="s">
        <v>5325</v>
      </c>
      <c r="G1934" s="13" t="s">
        <v>5289</v>
      </c>
      <c r="H1934" s="13" t="s">
        <v>5292</v>
      </c>
      <c r="I1934" s="13" t="s">
        <v>5289</v>
      </c>
      <c r="J1934" s="13" t="s">
        <v>5289</v>
      </c>
      <c r="K1934" s="13" t="s">
        <v>5289</v>
      </c>
      <c r="L1934" s="13" t="s">
        <v>6340</v>
      </c>
      <c r="M1934" s="13"/>
      <c r="N1934" s="13" t="n">
        <v>8011003991136</v>
      </c>
      <c r="O1934" s="13"/>
      <c r="P1934" s="13" t="s">
        <v>5291</v>
      </c>
      <c r="Q1934" s="13" t="s">
        <v>5289</v>
      </c>
      <c r="R1934" s="13" t="s">
        <v>5292</v>
      </c>
      <c r="S1934" s="13" t="s">
        <v>5293</v>
      </c>
      <c r="T1934" s="13" t="s">
        <v>4</v>
      </c>
      <c r="U1934" s="13" t="s">
        <v>43</v>
      </c>
      <c r="V1934" s="13" t="n">
        <f aca="false">IF(COUNTIF($B$2:B1934,B1934)=1,1,0)</f>
        <v>0</v>
      </c>
      <c r="W1934" s="13" t="n">
        <f aca="false">IF(COUNTIFS($B$2:B1934,B1934,$T$2:T1934,T1934)=1,1,0)</f>
        <v>0</v>
      </c>
    </row>
    <row r="1935" customFormat="false" ht="15" hidden="false" customHeight="false" outlineLevel="0" collapsed="false">
      <c r="A1935" s="13" t="s">
        <v>1931</v>
      </c>
      <c r="B1935" s="13" t="s">
        <v>42</v>
      </c>
      <c r="C1935" s="13" t="n">
        <v>260</v>
      </c>
      <c r="D1935" s="13" t="n">
        <v>1</v>
      </c>
      <c r="E1935" s="13" t="n">
        <v>255.39</v>
      </c>
      <c r="F1935" s="13" t="s">
        <v>5288</v>
      </c>
      <c r="G1935" s="13" t="s">
        <v>5292</v>
      </c>
      <c r="H1935" s="13" t="s">
        <v>5292</v>
      </c>
      <c r="I1935" s="13" t="s">
        <v>5289</v>
      </c>
      <c r="J1935" s="13" t="s">
        <v>5289</v>
      </c>
      <c r="K1935" s="13" t="s">
        <v>5289</v>
      </c>
      <c r="L1935" s="13" t="s">
        <v>6047</v>
      </c>
      <c r="M1935" s="13"/>
      <c r="N1935" s="13" t="n">
        <v>8411061805893</v>
      </c>
      <c r="O1935" s="13"/>
      <c r="P1935" s="13" t="s">
        <v>5291</v>
      </c>
      <c r="Q1935" s="13" t="s">
        <v>5289</v>
      </c>
      <c r="R1935" s="13" t="s">
        <v>5292</v>
      </c>
      <c r="S1935" s="13" t="s">
        <v>5293</v>
      </c>
      <c r="T1935" s="13" t="s">
        <v>4</v>
      </c>
      <c r="U1935" s="13" t="s">
        <v>43</v>
      </c>
      <c r="V1935" s="13" t="n">
        <f aca="false">IF(COUNTIF($B$2:B1935,B1935)=1,1,0)</f>
        <v>0</v>
      </c>
      <c r="W1935" s="13" t="n">
        <f aca="false">IF(COUNTIFS($B$2:B1935,B1935,$T$2:T1935,T1935)=1,1,0)</f>
        <v>0</v>
      </c>
    </row>
    <row r="1936" customFormat="false" ht="15" hidden="false" customHeight="false" outlineLevel="0" collapsed="false">
      <c r="A1936" s="13" t="s">
        <v>1941</v>
      </c>
      <c r="B1936" s="13" t="s">
        <v>255</v>
      </c>
      <c r="C1936" s="13" t="n">
        <v>250</v>
      </c>
      <c r="D1936" s="13" t="n">
        <v>1</v>
      </c>
      <c r="E1936" s="13" t="n">
        <v>254.15</v>
      </c>
      <c r="F1936" s="13" t="s">
        <v>5288</v>
      </c>
      <c r="G1936" s="13" t="s">
        <v>5289</v>
      </c>
      <c r="H1936" s="13" t="s">
        <v>5292</v>
      </c>
      <c r="I1936" s="13" t="s">
        <v>5289</v>
      </c>
      <c r="J1936" s="13" t="s">
        <v>5289</v>
      </c>
      <c r="K1936" s="13" t="s">
        <v>5289</v>
      </c>
      <c r="L1936" s="13" t="s">
        <v>6341</v>
      </c>
      <c r="M1936" s="13"/>
      <c r="N1936" s="13" t="n">
        <v>5055810024925</v>
      </c>
      <c r="O1936" s="13"/>
      <c r="P1936" s="13" t="s">
        <v>5291</v>
      </c>
      <c r="Q1936" s="13" t="s">
        <v>5289</v>
      </c>
      <c r="R1936" s="13" t="s">
        <v>5292</v>
      </c>
      <c r="S1936" s="13" t="s">
        <v>5293</v>
      </c>
      <c r="T1936" s="13" t="s">
        <v>4</v>
      </c>
      <c r="U1936" s="13" t="s">
        <v>43</v>
      </c>
      <c r="V1936" s="13" t="n">
        <f aca="false">IF(COUNTIF($B$2:B1936,B1936)=1,1,0)</f>
        <v>0</v>
      </c>
      <c r="W1936" s="13" t="n">
        <f aca="false">IF(COUNTIFS($B$2:B1936,B1936,$T$2:T1936,T1936)=1,1,0)</f>
        <v>0</v>
      </c>
    </row>
    <row r="1937" customFormat="false" ht="15" hidden="false" customHeight="false" outlineLevel="0" collapsed="false">
      <c r="A1937" s="13" t="s">
        <v>1943</v>
      </c>
      <c r="B1937" s="13" t="s">
        <v>50</v>
      </c>
      <c r="C1937" s="13" t="n">
        <v>250</v>
      </c>
      <c r="D1937" s="13" t="n">
        <v>1</v>
      </c>
      <c r="E1937" s="13" t="n">
        <v>253.89</v>
      </c>
      <c r="F1937" s="13" t="s">
        <v>5325</v>
      </c>
      <c r="G1937" s="13" t="s">
        <v>5292</v>
      </c>
      <c r="H1937" s="13" t="s">
        <v>5292</v>
      </c>
      <c r="I1937" s="13" t="s">
        <v>5289</v>
      </c>
      <c r="J1937" s="13" t="s">
        <v>5289</v>
      </c>
      <c r="K1937" s="13" t="s">
        <v>5289</v>
      </c>
      <c r="L1937" s="13" t="s">
        <v>6076</v>
      </c>
      <c r="M1937" s="13"/>
      <c r="N1937" s="13" t="n">
        <v>3349668583485</v>
      </c>
      <c r="O1937" s="13"/>
      <c r="P1937" s="13" t="s">
        <v>5291</v>
      </c>
      <c r="Q1937" s="13" t="s">
        <v>5289</v>
      </c>
      <c r="R1937" s="13" t="s">
        <v>5292</v>
      </c>
      <c r="S1937" s="13" t="s">
        <v>5293</v>
      </c>
      <c r="T1937" s="13" t="s">
        <v>4</v>
      </c>
      <c r="U1937" s="13" t="s">
        <v>43</v>
      </c>
      <c r="V1937" s="13" t="n">
        <f aca="false">IF(COUNTIF($B$2:B1937,B1937)=1,1,0)</f>
        <v>0</v>
      </c>
      <c r="W1937" s="13" t="n">
        <f aca="false">IF(COUNTIFS($B$2:B1937,B1937,$T$2:T1937,T1937)=1,1,0)</f>
        <v>0</v>
      </c>
    </row>
    <row r="1938" customFormat="false" ht="15" hidden="false" customHeight="false" outlineLevel="0" collapsed="false">
      <c r="A1938" s="13" t="s">
        <v>2990</v>
      </c>
      <c r="B1938" s="13" t="s">
        <v>2140</v>
      </c>
      <c r="C1938" s="13" t="n">
        <v>250</v>
      </c>
      <c r="D1938" s="13" t="n">
        <v>1</v>
      </c>
      <c r="E1938" s="13" t="n">
        <v>253.61</v>
      </c>
      <c r="F1938" s="13" t="s">
        <v>5325</v>
      </c>
      <c r="G1938" s="13" t="s">
        <v>5289</v>
      </c>
      <c r="H1938" s="13" t="s">
        <v>5292</v>
      </c>
      <c r="I1938" s="13" t="s">
        <v>5289</v>
      </c>
      <c r="J1938" s="13" t="s">
        <v>5289</v>
      </c>
      <c r="K1938" s="13" t="s">
        <v>5289</v>
      </c>
      <c r="L1938" s="13" t="s">
        <v>5769</v>
      </c>
      <c r="M1938" s="13"/>
      <c r="N1938" s="13" t="n">
        <v>3331845870877</v>
      </c>
      <c r="O1938" s="13"/>
      <c r="P1938" s="13" t="s">
        <v>5291</v>
      </c>
      <c r="Q1938" s="13" t="s">
        <v>5289</v>
      </c>
      <c r="R1938" s="13" t="s">
        <v>5292</v>
      </c>
      <c r="S1938" s="13" t="s">
        <v>5293</v>
      </c>
      <c r="T1938" s="13" t="s">
        <v>4</v>
      </c>
      <c r="U1938" s="13" t="s">
        <v>43</v>
      </c>
      <c r="V1938" s="13" t="n">
        <f aca="false">IF(COUNTIF($B$2:B1938,B1938)=1,1,0)</f>
        <v>0</v>
      </c>
      <c r="W1938" s="13" t="n">
        <f aca="false">IF(COUNTIFS($B$2:B1938,B1938,$T$2:T1938,T1938)=1,1,0)</f>
        <v>0</v>
      </c>
    </row>
    <row r="1939" customFormat="false" ht="15" hidden="false" customHeight="false" outlineLevel="0" collapsed="false">
      <c r="A1939" s="13" t="s">
        <v>678</v>
      </c>
      <c r="B1939" s="13" t="s">
        <v>103</v>
      </c>
      <c r="C1939" s="13" t="n">
        <v>250</v>
      </c>
      <c r="D1939" s="13" t="n">
        <v>1</v>
      </c>
      <c r="E1939" s="13" t="n">
        <v>251.43</v>
      </c>
      <c r="F1939" s="13" t="s">
        <v>5288</v>
      </c>
      <c r="G1939" s="13" t="s">
        <v>5292</v>
      </c>
      <c r="H1939" s="13" t="s">
        <v>5289</v>
      </c>
      <c r="I1939" s="13" t="s">
        <v>5289</v>
      </c>
      <c r="J1939" s="13" t="s">
        <v>5289</v>
      </c>
      <c r="K1939" s="13" t="s">
        <v>5289</v>
      </c>
      <c r="L1939" s="13" t="s">
        <v>6342</v>
      </c>
      <c r="M1939" s="13"/>
      <c r="N1939" s="13" t="n">
        <v>8.41106108529584E+025</v>
      </c>
      <c r="O1939" s="13"/>
      <c r="P1939" s="13" t="s">
        <v>5291</v>
      </c>
      <c r="Q1939" s="13" t="s">
        <v>5289</v>
      </c>
      <c r="R1939" s="13" t="s">
        <v>5292</v>
      </c>
      <c r="S1939" s="13" t="s">
        <v>5293</v>
      </c>
      <c r="T1939" s="13" t="s">
        <v>4</v>
      </c>
      <c r="U1939" s="13" t="s">
        <v>43</v>
      </c>
      <c r="V1939" s="13" t="n">
        <f aca="false">IF(COUNTIF($B$2:B1939,B1939)=1,1,0)</f>
        <v>0</v>
      </c>
      <c r="W1939" s="13" t="n">
        <f aca="false">IF(COUNTIFS($B$2:B1939,B1939,$T$2:T1939,T1939)=1,1,0)</f>
        <v>0</v>
      </c>
    </row>
    <row r="1940" customFormat="false" ht="15" hidden="false" customHeight="false" outlineLevel="0" collapsed="false">
      <c r="A1940" s="13" t="s">
        <v>104</v>
      </c>
      <c r="B1940" s="13" t="s">
        <v>103</v>
      </c>
      <c r="C1940" s="13" t="n">
        <v>250</v>
      </c>
      <c r="D1940" s="13" t="n">
        <v>1</v>
      </c>
      <c r="E1940" s="13" t="n">
        <v>248.17</v>
      </c>
      <c r="F1940" s="13" t="s">
        <v>5325</v>
      </c>
      <c r="G1940" s="13" t="s">
        <v>5292</v>
      </c>
      <c r="H1940" s="13" t="s">
        <v>5289</v>
      </c>
      <c r="I1940" s="13" t="s">
        <v>5289</v>
      </c>
      <c r="J1940" s="13" t="s">
        <v>5289</v>
      </c>
      <c r="K1940" s="13" t="s">
        <v>5289</v>
      </c>
      <c r="L1940" s="13" t="s">
        <v>5748</v>
      </c>
      <c r="M1940" s="13"/>
      <c r="N1940" s="13" t="n">
        <v>8411061081563</v>
      </c>
      <c r="O1940" s="13"/>
      <c r="P1940" s="13" t="s">
        <v>5291</v>
      </c>
      <c r="Q1940" s="13" t="s">
        <v>5289</v>
      </c>
      <c r="R1940" s="13" t="s">
        <v>5292</v>
      </c>
      <c r="S1940" s="13" t="s">
        <v>5293</v>
      </c>
      <c r="T1940" s="13" t="s">
        <v>4</v>
      </c>
      <c r="U1940" s="13" t="s">
        <v>43</v>
      </c>
      <c r="V1940" s="13" t="n">
        <f aca="false">IF(COUNTIF($B$2:B1940,B1940)=1,1,0)</f>
        <v>0</v>
      </c>
      <c r="W1940" s="13" t="n">
        <f aca="false">IF(COUNTIFS($B$2:B1940,B1940,$T$2:T1940,T1940)=1,1,0)</f>
        <v>0</v>
      </c>
    </row>
    <row r="1941" customFormat="false" ht="15" hidden="false" customHeight="false" outlineLevel="0" collapsed="false">
      <c r="A1941" s="13" t="s">
        <v>1936</v>
      </c>
      <c r="B1941" s="13" t="s">
        <v>255</v>
      </c>
      <c r="C1941" s="13" t="n">
        <v>250</v>
      </c>
      <c r="D1941" s="13" t="n">
        <v>1</v>
      </c>
      <c r="E1941" s="13" t="n">
        <v>247.22</v>
      </c>
      <c r="F1941" s="13" t="s">
        <v>5325</v>
      </c>
      <c r="G1941" s="13" t="s">
        <v>5292</v>
      </c>
      <c r="H1941" s="13" t="s">
        <v>5292</v>
      </c>
      <c r="I1941" s="13" t="s">
        <v>5289</v>
      </c>
      <c r="J1941" s="13" t="s">
        <v>5289</v>
      </c>
      <c r="K1941" s="13" t="s">
        <v>5289</v>
      </c>
      <c r="L1941" s="13" t="s">
        <v>6146</v>
      </c>
      <c r="M1941" s="13"/>
      <c r="N1941" s="13" t="n">
        <v>5055810014919</v>
      </c>
      <c r="O1941" s="13"/>
      <c r="P1941" s="13" t="s">
        <v>5291</v>
      </c>
      <c r="Q1941" s="13" t="s">
        <v>5289</v>
      </c>
      <c r="R1941" s="13" t="s">
        <v>5292</v>
      </c>
      <c r="S1941" s="13" t="s">
        <v>5293</v>
      </c>
      <c r="T1941" s="13" t="s">
        <v>4</v>
      </c>
      <c r="U1941" s="13" t="s">
        <v>43</v>
      </c>
      <c r="V1941" s="13" t="n">
        <f aca="false">IF(COUNTIF($B$2:B1941,B1941)=1,1,0)</f>
        <v>0</v>
      </c>
      <c r="W1941" s="13" t="n">
        <f aca="false">IF(COUNTIFS($B$2:B1941,B1941,$T$2:T1941,T1941)=1,1,0)</f>
        <v>0</v>
      </c>
    </row>
    <row r="1942" customFormat="false" ht="15" hidden="false" customHeight="false" outlineLevel="0" collapsed="false">
      <c r="A1942" s="13" t="s">
        <v>4877</v>
      </c>
      <c r="B1942" s="13" t="s">
        <v>2284</v>
      </c>
      <c r="C1942" s="13" t="n">
        <v>250</v>
      </c>
      <c r="D1942" s="13" t="n">
        <v>1</v>
      </c>
      <c r="E1942" s="13" t="n">
        <v>246.33</v>
      </c>
      <c r="F1942" s="13" t="s">
        <v>5288</v>
      </c>
      <c r="G1942" s="13" t="s">
        <v>5289</v>
      </c>
      <c r="H1942" s="13" t="s">
        <v>5292</v>
      </c>
      <c r="I1942" s="13" t="s">
        <v>5289</v>
      </c>
      <c r="J1942" s="13" t="s">
        <v>5289</v>
      </c>
      <c r="K1942" s="13" t="s">
        <v>5289</v>
      </c>
      <c r="L1942" s="13" t="s">
        <v>6343</v>
      </c>
      <c r="M1942" s="13"/>
      <c r="N1942" s="13" t="n">
        <v>5055810007935</v>
      </c>
      <c r="O1942" s="13"/>
      <c r="P1942" s="13" t="s">
        <v>5291</v>
      </c>
      <c r="Q1942" s="13" t="s">
        <v>5289</v>
      </c>
      <c r="R1942" s="13" t="s">
        <v>5292</v>
      </c>
      <c r="S1942" s="13" t="s">
        <v>5293</v>
      </c>
      <c r="T1942" s="13" t="s">
        <v>4</v>
      </c>
      <c r="U1942" s="13" t="s">
        <v>43</v>
      </c>
      <c r="V1942" s="13" t="n">
        <f aca="false">IF(COUNTIF($B$2:B1942,B1942)=1,1,0)</f>
        <v>1</v>
      </c>
      <c r="W1942" s="13" t="n">
        <f aca="false">IF(COUNTIFS($B$2:B1942,B1942,$T$2:T1942,T1942)=1,1,0)</f>
        <v>1</v>
      </c>
    </row>
    <row r="1943" customFormat="false" ht="15" hidden="false" customHeight="false" outlineLevel="0" collapsed="false">
      <c r="A1943" s="13" t="s">
        <v>1940</v>
      </c>
      <c r="B1943" s="13" t="s">
        <v>255</v>
      </c>
      <c r="C1943" s="13" t="n">
        <v>250</v>
      </c>
      <c r="D1943" s="13" t="n">
        <v>1</v>
      </c>
      <c r="E1943" s="13" t="n">
        <v>246.22</v>
      </c>
      <c r="F1943" s="13" t="s">
        <v>5288</v>
      </c>
      <c r="G1943" s="13" t="s">
        <v>5289</v>
      </c>
      <c r="H1943" s="13" t="s">
        <v>5292</v>
      </c>
      <c r="I1943" s="13" t="s">
        <v>5289</v>
      </c>
      <c r="J1943" s="13" t="s">
        <v>5289</v>
      </c>
      <c r="K1943" s="13" t="s">
        <v>5289</v>
      </c>
      <c r="L1943" s="13" t="s">
        <v>6336</v>
      </c>
      <c r="M1943" s="13"/>
      <c r="N1943" s="13" t="n">
        <v>5055810012274</v>
      </c>
      <c r="O1943" s="13"/>
      <c r="P1943" s="13" t="s">
        <v>5291</v>
      </c>
      <c r="Q1943" s="13" t="s">
        <v>5289</v>
      </c>
      <c r="R1943" s="13" t="s">
        <v>5292</v>
      </c>
      <c r="S1943" s="13" t="s">
        <v>5293</v>
      </c>
      <c r="T1943" s="13" t="s">
        <v>4</v>
      </c>
      <c r="U1943" s="13" t="s">
        <v>43</v>
      </c>
      <c r="V1943" s="13" t="n">
        <f aca="false">IF(COUNTIF($B$2:B1943,B1943)=1,1,0)</f>
        <v>0</v>
      </c>
      <c r="W1943" s="13" t="n">
        <f aca="false">IF(COUNTIFS($B$2:B1943,B1943,$T$2:T1943,T1943)=1,1,0)</f>
        <v>0</v>
      </c>
    </row>
    <row r="1944" customFormat="false" ht="15" hidden="false" customHeight="false" outlineLevel="0" collapsed="false">
      <c r="A1944" s="13" t="s">
        <v>1942</v>
      </c>
      <c r="B1944" s="13" t="s">
        <v>42</v>
      </c>
      <c r="C1944" s="13" t="n">
        <v>250</v>
      </c>
      <c r="D1944" s="13" t="n">
        <v>1</v>
      </c>
      <c r="E1944" s="13" t="n">
        <v>246.05</v>
      </c>
      <c r="F1944" s="13" t="s">
        <v>5325</v>
      </c>
      <c r="G1944" s="13" t="s">
        <v>5292</v>
      </c>
      <c r="H1944" s="13" t="s">
        <v>5292</v>
      </c>
      <c r="I1944" s="13" t="s">
        <v>5289</v>
      </c>
      <c r="J1944" s="13" t="s">
        <v>5289</v>
      </c>
      <c r="K1944" s="13" t="s">
        <v>5289</v>
      </c>
      <c r="L1944" s="13" t="s">
        <v>5911</v>
      </c>
      <c r="M1944" s="13"/>
      <c r="N1944" s="13" t="n">
        <v>8411061959367</v>
      </c>
      <c r="O1944" s="13"/>
      <c r="P1944" s="13" t="s">
        <v>5291</v>
      </c>
      <c r="Q1944" s="13" t="s">
        <v>5289</v>
      </c>
      <c r="R1944" s="13" t="s">
        <v>5292</v>
      </c>
      <c r="S1944" s="13" t="s">
        <v>5293</v>
      </c>
      <c r="T1944" s="13" t="s">
        <v>4</v>
      </c>
      <c r="U1944" s="13" t="s">
        <v>43</v>
      </c>
      <c r="V1944" s="13" t="n">
        <f aca="false">IF(COUNTIF($B$2:B1944,B1944)=1,1,0)</f>
        <v>0</v>
      </c>
      <c r="W1944" s="13" t="n">
        <f aca="false">IF(COUNTIFS($B$2:B1944,B1944,$T$2:T1944,T1944)=1,1,0)</f>
        <v>0</v>
      </c>
    </row>
    <row r="1945" customFormat="false" ht="15" hidden="false" customHeight="false" outlineLevel="0" collapsed="false">
      <c r="A1945" s="13" t="s">
        <v>1952</v>
      </c>
      <c r="B1945" s="13" t="s">
        <v>490</v>
      </c>
      <c r="C1945" s="13" t="n">
        <v>240</v>
      </c>
      <c r="D1945" s="13" t="n">
        <v>1</v>
      </c>
      <c r="E1945" s="13" t="n">
        <v>244.28</v>
      </c>
      <c r="F1945" s="13" t="s">
        <v>5288</v>
      </c>
      <c r="G1945" s="13" t="s">
        <v>5292</v>
      </c>
      <c r="H1945" s="13" t="s">
        <v>5292</v>
      </c>
      <c r="I1945" s="13" t="s">
        <v>5289</v>
      </c>
      <c r="J1945" s="13" t="s">
        <v>5289</v>
      </c>
      <c r="K1945" s="13" t="s">
        <v>5289</v>
      </c>
      <c r="L1945" s="13" t="s">
        <v>6340</v>
      </c>
      <c r="M1945" s="13"/>
      <c r="N1945" s="13" t="n">
        <v>8011003991136</v>
      </c>
      <c r="O1945" s="13"/>
      <c r="P1945" s="13" t="s">
        <v>5291</v>
      </c>
      <c r="Q1945" s="13" t="s">
        <v>5289</v>
      </c>
      <c r="R1945" s="13" t="s">
        <v>5292</v>
      </c>
      <c r="S1945" s="13" t="s">
        <v>5293</v>
      </c>
      <c r="T1945" s="13" t="s">
        <v>4</v>
      </c>
      <c r="U1945" s="13" t="s">
        <v>43</v>
      </c>
      <c r="V1945" s="13" t="n">
        <f aca="false">IF(COUNTIF($B$2:B1945,B1945)=1,1,0)</f>
        <v>0</v>
      </c>
      <c r="W1945" s="13" t="n">
        <f aca="false">IF(COUNTIFS($B$2:B1945,B1945,$T$2:T1945,T1945)=1,1,0)</f>
        <v>0</v>
      </c>
    </row>
    <row r="1946" customFormat="false" ht="15" hidden="false" customHeight="false" outlineLevel="0" collapsed="false">
      <c r="A1946" s="13" t="s">
        <v>4894</v>
      </c>
      <c r="B1946" s="13" t="s">
        <v>2235</v>
      </c>
      <c r="C1946" s="13" t="n">
        <v>240</v>
      </c>
      <c r="D1946" s="13" t="n">
        <v>1</v>
      </c>
      <c r="E1946" s="13" t="n">
        <v>243.02</v>
      </c>
      <c r="F1946" s="13" t="s">
        <v>5288</v>
      </c>
      <c r="G1946" s="13" t="s">
        <v>5292</v>
      </c>
      <c r="H1946" s="13" t="s">
        <v>5292</v>
      </c>
      <c r="I1946" s="13" t="s">
        <v>5289</v>
      </c>
      <c r="J1946" s="13" t="s">
        <v>5289</v>
      </c>
      <c r="K1946" s="13" t="s">
        <v>5289</v>
      </c>
      <c r="L1946" s="13" t="s">
        <v>6344</v>
      </c>
      <c r="M1946" s="13"/>
      <c r="N1946" s="13" t="n">
        <v>8436581942545</v>
      </c>
      <c r="O1946" s="13"/>
      <c r="P1946" s="13" t="s">
        <v>5291</v>
      </c>
      <c r="Q1946" s="13" t="s">
        <v>5289</v>
      </c>
      <c r="R1946" s="13" t="s">
        <v>5292</v>
      </c>
      <c r="S1946" s="13" t="s">
        <v>5293</v>
      </c>
      <c r="T1946" s="13" t="s">
        <v>4</v>
      </c>
      <c r="U1946" s="13" t="s">
        <v>85</v>
      </c>
      <c r="V1946" s="13" t="n">
        <f aca="false">IF(COUNTIF($B$2:B1946,B1946)=1,1,0)</f>
        <v>0</v>
      </c>
      <c r="W1946" s="13" t="n">
        <f aca="false">IF(COUNTIFS($B$2:B1946,B1946,$T$2:T1946,T1946)=1,1,0)</f>
        <v>0</v>
      </c>
    </row>
    <row r="1947" customFormat="false" ht="15" hidden="false" customHeight="false" outlineLevel="0" collapsed="false">
      <c r="A1947" s="13" t="s">
        <v>695</v>
      </c>
      <c r="B1947" s="13" t="s">
        <v>630</v>
      </c>
      <c r="C1947" s="13" t="n">
        <v>240</v>
      </c>
      <c r="D1947" s="13" t="n">
        <v>1</v>
      </c>
      <c r="E1947" s="13" t="n">
        <v>239.14</v>
      </c>
      <c r="F1947" s="13" t="s">
        <v>5288</v>
      </c>
      <c r="G1947" s="13" t="s">
        <v>5292</v>
      </c>
      <c r="H1947" s="13" t="s">
        <v>5289</v>
      </c>
      <c r="I1947" s="13" t="s">
        <v>5289</v>
      </c>
      <c r="J1947" s="13" t="s">
        <v>5289</v>
      </c>
      <c r="K1947" s="13" t="s">
        <v>5289</v>
      </c>
      <c r="L1947" s="13" t="s">
        <v>6345</v>
      </c>
      <c r="M1947" s="13"/>
      <c r="N1947" s="13" t="n">
        <v>8433982025891</v>
      </c>
      <c r="O1947" s="13"/>
      <c r="P1947" s="13" t="s">
        <v>5291</v>
      </c>
      <c r="Q1947" s="13" t="s">
        <v>5289</v>
      </c>
      <c r="R1947" s="13" t="s">
        <v>5292</v>
      </c>
      <c r="S1947" s="13" t="s">
        <v>5293</v>
      </c>
      <c r="T1947" s="13" t="s">
        <v>4</v>
      </c>
      <c r="U1947" s="13" t="s">
        <v>43</v>
      </c>
      <c r="V1947" s="13" t="n">
        <f aca="false">IF(COUNTIF($B$2:B1947,B1947)=1,1,0)</f>
        <v>0</v>
      </c>
      <c r="W1947" s="13" t="n">
        <f aca="false">IF(COUNTIFS($B$2:B1947,B1947,$T$2:T1947,T1947)=1,1,0)</f>
        <v>0</v>
      </c>
    </row>
    <row r="1948" customFormat="false" ht="15" hidden="false" customHeight="false" outlineLevel="0" collapsed="false">
      <c r="A1948" s="13" t="s">
        <v>1951</v>
      </c>
      <c r="B1948" s="13" t="s">
        <v>255</v>
      </c>
      <c r="C1948" s="13" t="n">
        <v>240</v>
      </c>
      <c r="D1948" s="13" t="n">
        <v>1</v>
      </c>
      <c r="E1948" s="13" t="n">
        <v>237.82</v>
      </c>
      <c r="F1948" s="13" t="s">
        <v>5325</v>
      </c>
      <c r="G1948" s="13" t="s">
        <v>5292</v>
      </c>
      <c r="H1948" s="13" t="s">
        <v>5292</v>
      </c>
      <c r="I1948" s="13" t="s">
        <v>5289</v>
      </c>
      <c r="J1948" s="13" t="s">
        <v>5289</v>
      </c>
      <c r="K1948" s="13" t="s">
        <v>5289</v>
      </c>
      <c r="L1948" s="13" t="s">
        <v>6179</v>
      </c>
      <c r="M1948" s="13"/>
      <c r="N1948" s="13" t="n">
        <v>5055810029838</v>
      </c>
      <c r="O1948" s="13"/>
      <c r="P1948" s="13" t="s">
        <v>5297</v>
      </c>
      <c r="Q1948" s="13" t="s">
        <v>5289</v>
      </c>
      <c r="R1948" s="13" t="s">
        <v>5292</v>
      </c>
      <c r="S1948" s="13" t="s">
        <v>5293</v>
      </c>
      <c r="T1948" s="13" t="s">
        <v>4</v>
      </c>
      <c r="U1948" s="13" t="s">
        <v>43</v>
      </c>
      <c r="V1948" s="13" t="n">
        <f aca="false">IF(COUNTIF($B$2:B1948,B1948)=1,1,0)</f>
        <v>0</v>
      </c>
      <c r="W1948" s="13" t="n">
        <f aca="false">IF(COUNTIFS($B$2:B1948,B1948,$T$2:T1948,T1948)=1,1,0)</f>
        <v>0</v>
      </c>
    </row>
    <row r="1949" customFormat="false" ht="15" hidden="false" customHeight="false" outlineLevel="0" collapsed="false">
      <c r="A1949" s="13" t="s">
        <v>1225</v>
      </c>
      <c r="B1949" s="13" t="s">
        <v>50</v>
      </c>
      <c r="C1949" s="13" t="n">
        <v>240</v>
      </c>
      <c r="D1949" s="13" t="n">
        <v>1</v>
      </c>
      <c r="E1949" s="13" t="n">
        <v>237.33</v>
      </c>
      <c r="F1949" s="13" t="s">
        <v>5288</v>
      </c>
      <c r="G1949" s="13" t="s">
        <v>5292</v>
      </c>
      <c r="H1949" s="13" t="s">
        <v>5289</v>
      </c>
      <c r="I1949" s="13" t="s">
        <v>5289</v>
      </c>
      <c r="J1949" s="13" t="s">
        <v>5289</v>
      </c>
      <c r="K1949" s="13" t="s">
        <v>5289</v>
      </c>
      <c r="L1949" s="13" t="s">
        <v>6346</v>
      </c>
      <c r="M1949" s="13"/>
      <c r="N1949" s="13" t="n">
        <v>3349668589982</v>
      </c>
      <c r="O1949" s="13"/>
      <c r="P1949" s="13" t="s">
        <v>5291</v>
      </c>
      <c r="Q1949" s="13" t="s">
        <v>5289</v>
      </c>
      <c r="R1949" s="13" t="s">
        <v>5292</v>
      </c>
      <c r="S1949" s="13" t="s">
        <v>5293</v>
      </c>
      <c r="T1949" s="13" t="s">
        <v>4</v>
      </c>
      <c r="U1949" s="13" t="s">
        <v>43</v>
      </c>
      <c r="V1949" s="13" t="n">
        <f aca="false">IF(COUNTIF($B$2:B1949,B1949)=1,1,0)</f>
        <v>0</v>
      </c>
      <c r="W1949" s="13" t="n">
        <f aca="false">IF(COUNTIFS($B$2:B1949,B1949,$T$2:T1949,T1949)=1,1,0)</f>
        <v>0</v>
      </c>
    </row>
    <row r="1950" customFormat="false" ht="15" hidden="false" customHeight="false" outlineLevel="0" collapsed="false">
      <c r="A1950" s="13" t="s">
        <v>1962</v>
      </c>
      <c r="B1950" s="13" t="s">
        <v>103</v>
      </c>
      <c r="C1950" s="13" t="n">
        <v>230</v>
      </c>
      <c r="D1950" s="13" t="n">
        <v>1</v>
      </c>
      <c r="E1950" s="13" t="n">
        <v>233.22</v>
      </c>
      <c r="F1950" s="13" t="s">
        <v>5288</v>
      </c>
      <c r="G1950" s="13" t="s">
        <v>5289</v>
      </c>
      <c r="H1950" s="13" t="s">
        <v>5292</v>
      </c>
      <c r="I1950" s="13" t="s">
        <v>5289</v>
      </c>
      <c r="J1950" s="13" t="s">
        <v>5289</v>
      </c>
      <c r="K1950" s="13" t="s">
        <v>5289</v>
      </c>
      <c r="L1950" s="13" t="s">
        <v>6347</v>
      </c>
      <c r="M1950" s="13"/>
      <c r="N1950" s="13" t="n">
        <v>8411061930878</v>
      </c>
      <c r="O1950" s="13"/>
      <c r="P1950" s="13" t="s">
        <v>5291</v>
      </c>
      <c r="Q1950" s="13" t="s">
        <v>5289</v>
      </c>
      <c r="R1950" s="13" t="s">
        <v>5292</v>
      </c>
      <c r="S1950" s="13" t="s">
        <v>5293</v>
      </c>
      <c r="T1950" s="13" t="s">
        <v>4</v>
      </c>
      <c r="U1950" s="13" t="s">
        <v>43</v>
      </c>
      <c r="V1950" s="13" t="n">
        <f aca="false">IF(COUNTIF($B$2:B1950,B1950)=1,1,0)</f>
        <v>0</v>
      </c>
      <c r="W1950" s="13" t="n">
        <f aca="false">IF(COUNTIFS($B$2:B1950,B1950,$T$2:T1950,T1950)=1,1,0)</f>
        <v>0</v>
      </c>
    </row>
    <row r="1951" customFormat="false" ht="15" hidden="false" customHeight="false" outlineLevel="0" collapsed="false">
      <c r="A1951" s="13" t="s">
        <v>576</v>
      </c>
      <c r="B1951" s="13" t="s">
        <v>103</v>
      </c>
      <c r="C1951" s="13" t="n">
        <v>230</v>
      </c>
      <c r="D1951" s="13" t="n">
        <v>1</v>
      </c>
      <c r="E1951" s="13" t="n">
        <v>233.22</v>
      </c>
      <c r="F1951" s="13" t="s">
        <v>5288</v>
      </c>
      <c r="G1951" s="13" t="s">
        <v>5289</v>
      </c>
      <c r="H1951" s="13" t="s">
        <v>5289</v>
      </c>
      <c r="I1951" s="13" t="s">
        <v>5289</v>
      </c>
      <c r="J1951" s="13" t="s">
        <v>5289</v>
      </c>
      <c r="K1951" s="13" t="s">
        <v>5289</v>
      </c>
      <c r="L1951" s="13" t="s">
        <v>6347</v>
      </c>
      <c r="M1951" s="13"/>
      <c r="N1951" s="13" t="n">
        <v>8411061930878</v>
      </c>
      <c r="O1951" s="13"/>
      <c r="P1951" s="13" t="s">
        <v>5291</v>
      </c>
      <c r="Q1951" s="13" t="s">
        <v>5289</v>
      </c>
      <c r="R1951" s="13" t="s">
        <v>5292</v>
      </c>
      <c r="S1951" s="13" t="s">
        <v>5293</v>
      </c>
      <c r="T1951" s="13" t="s">
        <v>4</v>
      </c>
      <c r="U1951" s="13" t="s">
        <v>43</v>
      </c>
      <c r="V1951" s="13" t="n">
        <f aca="false">IF(COUNTIF($B$2:B1951,B1951)=1,1,0)</f>
        <v>0</v>
      </c>
      <c r="W1951" s="13" t="n">
        <f aca="false">IF(COUNTIFS($B$2:B1951,B1951,$T$2:T1951,T1951)=1,1,0)</f>
        <v>0</v>
      </c>
    </row>
    <row r="1952" customFormat="false" ht="15" hidden="false" customHeight="false" outlineLevel="0" collapsed="false">
      <c r="A1952" s="13" t="s">
        <v>1964</v>
      </c>
      <c r="B1952" s="13" t="s">
        <v>255</v>
      </c>
      <c r="C1952" s="13" t="n">
        <v>230</v>
      </c>
      <c r="D1952" s="13" t="n">
        <v>1</v>
      </c>
      <c r="E1952" s="13" t="n">
        <v>232.17</v>
      </c>
      <c r="F1952" s="13" t="s">
        <v>5288</v>
      </c>
      <c r="G1952" s="13" t="s">
        <v>5289</v>
      </c>
      <c r="H1952" s="13" t="s">
        <v>5292</v>
      </c>
      <c r="I1952" s="13" t="s">
        <v>5289</v>
      </c>
      <c r="J1952" s="13" t="s">
        <v>5289</v>
      </c>
      <c r="K1952" s="13" t="s">
        <v>5289</v>
      </c>
      <c r="L1952" s="13" t="s">
        <v>6339</v>
      </c>
      <c r="M1952" s="13"/>
      <c r="N1952" s="13" t="n">
        <v>5055810013110</v>
      </c>
      <c r="O1952" s="13"/>
      <c r="P1952" s="13" t="s">
        <v>5291</v>
      </c>
      <c r="Q1952" s="13" t="s">
        <v>5289</v>
      </c>
      <c r="R1952" s="13" t="s">
        <v>5292</v>
      </c>
      <c r="S1952" s="13" t="s">
        <v>5293</v>
      </c>
      <c r="T1952" s="13" t="s">
        <v>4</v>
      </c>
      <c r="U1952" s="13" t="s">
        <v>43</v>
      </c>
      <c r="V1952" s="13" t="n">
        <f aca="false">IF(COUNTIF($B$2:B1952,B1952)=1,1,0)</f>
        <v>0</v>
      </c>
      <c r="W1952" s="13" t="n">
        <f aca="false">IF(COUNTIFS($B$2:B1952,B1952,$T$2:T1952,T1952)=1,1,0)</f>
        <v>0</v>
      </c>
    </row>
    <row r="1953" customFormat="false" ht="15" hidden="false" customHeight="false" outlineLevel="0" collapsed="false">
      <c r="A1953" s="13" t="s">
        <v>4914</v>
      </c>
      <c r="B1953" s="13" t="s">
        <v>2198</v>
      </c>
      <c r="C1953" s="13" t="n">
        <v>230</v>
      </c>
      <c r="D1953" s="13" t="n">
        <v>1</v>
      </c>
      <c r="E1953" s="13" t="n">
        <v>229.25</v>
      </c>
      <c r="F1953" s="13" t="s">
        <v>5288</v>
      </c>
      <c r="G1953" s="13" t="s">
        <v>5289</v>
      </c>
      <c r="H1953" s="13" t="s">
        <v>5292</v>
      </c>
      <c r="I1953" s="13" t="s">
        <v>5289</v>
      </c>
      <c r="J1953" s="13" t="s">
        <v>5289</v>
      </c>
      <c r="K1953" s="13" t="s">
        <v>5289</v>
      </c>
      <c r="L1953" s="13" t="s">
        <v>6348</v>
      </c>
      <c r="M1953" s="13"/>
      <c r="N1953" s="13" t="n">
        <v>3494800300045</v>
      </c>
      <c r="O1953" s="13"/>
      <c r="P1953" s="13" t="s">
        <v>5291</v>
      </c>
      <c r="Q1953" s="13" t="s">
        <v>5289</v>
      </c>
      <c r="R1953" s="13" t="s">
        <v>5292</v>
      </c>
      <c r="S1953" s="13" t="s">
        <v>5293</v>
      </c>
      <c r="T1953" s="13" t="s">
        <v>4</v>
      </c>
      <c r="U1953" s="13" t="s">
        <v>43</v>
      </c>
      <c r="V1953" s="13" t="n">
        <f aca="false">IF(COUNTIF($B$2:B1953,B1953)=1,1,0)</f>
        <v>0</v>
      </c>
      <c r="W1953" s="13" t="n">
        <f aca="false">IF(COUNTIFS($B$2:B1953,B1953,$T$2:T1953,T1953)=1,1,0)</f>
        <v>0</v>
      </c>
    </row>
    <row r="1954" customFormat="false" ht="15" hidden="false" customHeight="false" outlineLevel="0" collapsed="false">
      <c r="A1954" s="13" t="s">
        <v>1970</v>
      </c>
      <c r="B1954" s="13" t="s">
        <v>103</v>
      </c>
      <c r="C1954" s="13" t="n">
        <v>220</v>
      </c>
      <c r="D1954" s="13" t="n">
        <v>1</v>
      </c>
      <c r="E1954" s="13" t="n">
        <v>224.25</v>
      </c>
      <c r="F1954" s="13" t="s">
        <v>5288</v>
      </c>
      <c r="G1954" s="13" t="s">
        <v>5289</v>
      </c>
      <c r="H1954" s="13" t="s">
        <v>5292</v>
      </c>
      <c r="I1954" s="13" t="s">
        <v>5289</v>
      </c>
      <c r="J1954" s="13" t="s">
        <v>5289</v>
      </c>
      <c r="K1954" s="13" t="s">
        <v>5289</v>
      </c>
      <c r="L1954" s="13" t="s">
        <v>5748</v>
      </c>
      <c r="M1954" s="13"/>
      <c r="N1954" s="13" t="n">
        <v>8411061081563</v>
      </c>
      <c r="O1954" s="13"/>
      <c r="P1954" s="13" t="s">
        <v>5297</v>
      </c>
      <c r="Q1954" s="13" t="s">
        <v>5289</v>
      </c>
      <c r="R1954" s="13" t="s">
        <v>5292</v>
      </c>
      <c r="S1954" s="13" t="s">
        <v>5293</v>
      </c>
      <c r="T1954" s="13" t="s">
        <v>4</v>
      </c>
      <c r="U1954" s="13" t="s">
        <v>43</v>
      </c>
      <c r="V1954" s="13" t="n">
        <f aca="false">IF(COUNTIF($B$2:B1954,B1954)=1,1,0)</f>
        <v>0</v>
      </c>
      <c r="W1954" s="13" t="n">
        <f aca="false">IF(COUNTIFS($B$2:B1954,B1954,$T$2:T1954,T1954)=1,1,0)</f>
        <v>0</v>
      </c>
    </row>
    <row r="1955" customFormat="false" ht="15" hidden="false" customHeight="false" outlineLevel="0" collapsed="false">
      <c r="A1955" s="13" t="s">
        <v>1969</v>
      </c>
      <c r="B1955" s="13" t="s">
        <v>42</v>
      </c>
      <c r="C1955" s="13" t="n">
        <v>220</v>
      </c>
      <c r="D1955" s="13" t="n">
        <v>1</v>
      </c>
      <c r="E1955" s="13" t="n">
        <v>221.08</v>
      </c>
      <c r="F1955" s="13" t="s">
        <v>5288</v>
      </c>
      <c r="G1955" s="13" t="s">
        <v>5292</v>
      </c>
      <c r="H1955" s="13" t="s">
        <v>5292</v>
      </c>
      <c r="I1955" s="13" t="s">
        <v>5289</v>
      </c>
      <c r="J1955" s="13" t="s">
        <v>5289</v>
      </c>
      <c r="K1955" s="13" t="s">
        <v>5289</v>
      </c>
      <c r="L1955" s="13" t="s">
        <v>5911</v>
      </c>
      <c r="M1955" s="13"/>
      <c r="N1955" s="13" t="n">
        <v>8411061959367</v>
      </c>
      <c r="O1955" s="13"/>
      <c r="P1955" s="13" t="s">
        <v>5291</v>
      </c>
      <c r="Q1955" s="13" t="s">
        <v>5289</v>
      </c>
      <c r="R1955" s="13" t="s">
        <v>5292</v>
      </c>
      <c r="S1955" s="13" t="s">
        <v>5293</v>
      </c>
      <c r="T1955" s="13" t="s">
        <v>4</v>
      </c>
      <c r="U1955" s="13" t="s">
        <v>43</v>
      </c>
      <c r="V1955" s="13" t="n">
        <f aca="false">IF(COUNTIF($B$2:B1955,B1955)=1,1,0)</f>
        <v>0</v>
      </c>
      <c r="W1955" s="13" t="n">
        <f aca="false">IF(COUNTIFS($B$2:B1955,B1955,$T$2:T1955,T1955)=1,1,0)</f>
        <v>0</v>
      </c>
    </row>
    <row r="1956" customFormat="false" ht="15" hidden="false" customHeight="false" outlineLevel="0" collapsed="false">
      <c r="A1956" s="13" t="s">
        <v>6349</v>
      </c>
      <c r="B1956" s="13" t="s">
        <v>2232</v>
      </c>
      <c r="C1956" s="13" t="n">
        <v>220</v>
      </c>
      <c r="D1956" s="13" t="n">
        <v>1</v>
      </c>
      <c r="E1956" s="13" t="n">
        <v>220.42</v>
      </c>
      <c r="F1956" s="13" t="s">
        <v>5325</v>
      </c>
      <c r="G1956" s="13" t="s">
        <v>5292</v>
      </c>
      <c r="H1956" s="13" t="s">
        <v>5292</v>
      </c>
      <c r="I1956" s="13" t="s">
        <v>5289</v>
      </c>
      <c r="J1956" s="13" t="s">
        <v>5289</v>
      </c>
      <c r="K1956" s="13" t="s">
        <v>5289</v>
      </c>
      <c r="L1956" s="13" t="s">
        <v>6202</v>
      </c>
      <c r="M1956" s="13"/>
      <c r="N1956" s="13" t="n">
        <v>5425039222127</v>
      </c>
      <c r="O1956" s="13"/>
      <c r="P1956" s="13" t="s">
        <v>5291</v>
      </c>
      <c r="Q1956" s="13" t="s">
        <v>5289</v>
      </c>
      <c r="R1956" s="13" t="s">
        <v>5292</v>
      </c>
      <c r="S1956" s="13" t="s">
        <v>5293</v>
      </c>
      <c r="T1956" s="13" t="s">
        <v>4</v>
      </c>
      <c r="U1956" s="13" t="s">
        <v>43</v>
      </c>
      <c r="V1956" s="13" t="n">
        <f aca="false">IF(COUNTIF($B$2:B1956,B1956)=1,1,0)</f>
        <v>0</v>
      </c>
      <c r="W1956" s="13" t="n">
        <f aca="false">IF(COUNTIFS($B$2:B1956,B1956,$T$2:T1956,T1956)=1,1,0)</f>
        <v>0</v>
      </c>
    </row>
    <row r="1957" customFormat="false" ht="15" hidden="false" customHeight="false" outlineLevel="0" collapsed="false">
      <c r="A1957" s="13" t="s">
        <v>1968</v>
      </c>
      <c r="B1957" s="13" t="s">
        <v>103</v>
      </c>
      <c r="C1957" s="13" t="n">
        <v>220</v>
      </c>
      <c r="D1957" s="13" t="n">
        <v>1</v>
      </c>
      <c r="E1957" s="13" t="n">
        <v>217.38</v>
      </c>
      <c r="F1957" s="13" t="s">
        <v>5325</v>
      </c>
      <c r="G1957" s="13" t="s">
        <v>5292</v>
      </c>
      <c r="H1957" s="13" t="s">
        <v>5292</v>
      </c>
      <c r="I1957" s="13" t="s">
        <v>5289</v>
      </c>
      <c r="J1957" s="13" t="s">
        <v>5289</v>
      </c>
      <c r="K1957" s="13" t="s">
        <v>5289</v>
      </c>
      <c r="L1957" s="13" t="s">
        <v>6350</v>
      </c>
      <c r="M1957" s="13"/>
      <c r="N1957" s="13" t="n">
        <v>8411061080771</v>
      </c>
      <c r="O1957" s="13"/>
      <c r="P1957" s="13" t="s">
        <v>5291</v>
      </c>
      <c r="Q1957" s="13" t="s">
        <v>5289</v>
      </c>
      <c r="R1957" s="13" t="s">
        <v>5292</v>
      </c>
      <c r="S1957" s="13" t="s">
        <v>5293</v>
      </c>
      <c r="T1957" s="13" t="s">
        <v>4</v>
      </c>
      <c r="U1957" s="13" t="s">
        <v>43</v>
      </c>
      <c r="V1957" s="13" t="n">
        <f aca="false">IF(COUNTIF($B$2:B1957,B1957)=1,1,0)</f>
        <v>0</v>
      </c>
      <c r="W1957" s="13" t="n">
        <f aca="false">IF(COUNTIFS($B$2:B1957,B1957,$T$2:T1957,T1957)=1,1,0)</f>
        <v>0</v>
      </c>
    </row>
    <row r="1958" customFormat="false" ht="15" hidden="false" customHeight="false" outlineLevel="0" collapsed="false">
      <c r="A1958" s="13" t="s">
        <v>1971</v>
      </c>
      <c r="B1958" s="13" t="s">
        <v>255</v>
      </c>
      <c r="C1958" s="13" t="n">
        <v>220</v>
      </c>
      <c r="D1958" s="13" t="n">
        <v>1</v>
      </c>
      <c r="E1958" s="13" t="n">
        <v>215.88</v>
      </c>
      <c r="F1958" s="13" t="s">
        <v>5288</v>
      </c>
      <c r="G1958" s="13" t="s">
        <v>5289</v>
      </c>
      <c r="H1958" s="13" t="s">
        <v>5292</v>
      </c>
      <c r="I1958" s="13" t="s">
        <v>5289</v>
      </c>
      <c r="J1958" s="13" t="s">
        <v>5289</v>
      </c>
      <c r="K1958" s="13" t="s">
        <v>5289</v>
      </c>
      <c r="L1958" s="13" t="s">
        <v>5856</v>
      </c>
      <c r="M1958" s="13"/>
      <c r="N1958" s="13" t="n">
        <v>5.05581003009451E+025</v>
      </c>
      <c r="O1958" s="13"/>
      <c r="P1958" s="13" t="s">
        <v>5291</v>
      </c>
      <c r="Q1958" s="13" t="s">
        <v>5289</v>
      </c>
      <c r="R1958" s="13" t="s">
        <v>5292</v>
      </c>
      <c r="S1958" s="13" t="s">
        <v>5293</v>
      </c>
      <c r="T1958" s="13" t="s">
        <v>4</v>
      </c>
      <c r="U1958" s="13" t="s">
        <v>43</v>
      </c>
      <c r="V1958" s="13" t="n">
        <f aca="false">IF(COUNTIF($B$2:B1958,B1958)=1,1,0)</f>
        <v>0</v>
      </c>
      <c r="W1958" s="13" t="n">
        <f aca="false">IF(COUNTIFS($B$2:B1958,B1958,$T$2:T1958,T1958)=1,1,0)</f>
        <v>0</v>
      </c>
    </row>
    <row r="1959" customFormat="false" ht="15" hidden="false" customHeight="false" outlineLevel="0" collapsed="false">
      <c r="A1959" s="13" t="s">
        <v>1972</v>
      </c>
      <c r="B1959" s="13" t="s">
        <v>103</v>
      </c>
      <c r="C1959" s="13" t="n">
        <v>220</v>
      </c>
      <c r="D1959" s="13" t="n">
        <v>1</v>
      </c>
      <c r="E1959" s="13" t="n">
        <v>215.85</v>
      </c>
      <c r="F1959" s="13" t="s">
        <v>5288</v>
      </c>
      <c r="G1959" s="13" t="s">
        <v>5289</v>
      </c>
      <c r="H1959" s="13" t="s">
        <v>5292</v>
      </c>
      <c r="I1959" s="13" t="s">
        <v>5289</v>
      </c>
      <c r="J1959" s="13" t="s">
        <v>5289</v>
      </c>
      <c r="K1959" s="13" t="s">
        <v>5289</v>
      </c>
      <c r="L1959" s="13" t="s">
        <v>6351</v>
      </c>
      <c r="M1959" s="13"/>
      <c r="N1959" s="13" t="n">
        <v>8411061083970</v>
      </c>
      <c r="O1959" s="13"/>
      <c r="P1959" s="13" t="s">
        <v>5291</v>
      </c>
      <c r="Q1959" s="13" t="s">
        <v>5289</v>
      </c>
      <c r="R1959" s="13" t="s">
        <v>5292</v>
      </c>
      <c r="S1959" s="13" t="s">
        <v>5293</v>
      </c>
      <c r="T1959" s="13" t="s">
        <v>4</v>
      </c>
      <c r="U1959" s="13" t="s">
        <v>43</v>
      </c>
      <c r="V1959" s="13" t="n">
        <f aca="false">IF(COUNTIF($B$2:B1959,B1959)=1,1,0)</f>
        <v>0</v>
      </c>
      <c r="W1959" s="13" t="n">
        <f aca="false">IF(COUNTIFS($B$2:B1959,B1959,$T$2:T1959,T1959)=1,1,0)</f>
        <v>0</v>
      </c>
    </row>
    <row r="1960" customFormat="false" ht="15" hidden="false" customHeight="false" outlineLevel="0" collapsed="false">
      <c r="A1960" s="13" t="s">
        <v>1973</v>
      </c>
      <c r="B1960" s="13" t="s">
        <v>161</v>
      </c>
      <c r="C1960" s="13" t="n">
        <v>220</v>
      </c>
      <c r="D1960" s="13" t="n">
        <v>1</v>
      </c>
      <c r="E1960" s="13" t="n">
        <v>215.7</v>
      </c>
      <c r="F1960" s="13" t="s">
        <v>5325</v>
      </c>
      <c r="G1960" s="13" t="s">
        <v>5292</v>
      </c>
      <c r="H1960" s="13" t="s">
        <v>5292</v>
      </c>
      <c r="I1960" s="13" t="s">
        <v>5289</v>
      </c>
      <c r="J1960" s="13" t="s">
        <v>5289</v>
      </c>
      <c r="K1960" s="13" t="s">
        <v>5289</v>
      </c>
      <c r="L1960" s="13" t="s">
        <v>6352</v>
      </c>
      <c r="M1960" s="13"/>
      <c r="N1960" s="13" t="n">
        <v>3355991005532</v>
      </c>
      <c r="O1960" s="13"/>
      <c r="P1960" s="13" t="s">
        <v>5297</v>
      </c>
      <c r="Q1960" s="13" t="s">
        <v>5289</v>
      </c>
      <c r="R1960" s="13" t="s">
        <v>5292</v>
      </c>
      <c r="S1960" s="13" t="s">
        <v>5293</v>
      </c>
      <c r="T1960" s="13" t="s">
        <v>4</v>
      </c>
      <c r="U1960" s="13" t="s">
        <v>43</v>
      </c>
      <c r="V1960" s="13" t="n">
        <f aca="false">IF(COUNTIF($B$2:B1960,B1960)=1,1,0)</f>
        <v>0</v>
      </c>
      <c r="W1960" s="13" t="n">
        <f aca="false">IF(COUNTIFS($B$2:B1960,B1960,$T$2:T1960,T1960)=1,1,0)</f>
        <v>0</v>
      </c>
    </row>
    <row r="1961" customFormat="false" ht="15" hidden="false" customHeight="false" outlineLevel="0" collapsed="false">
      <c r="A1961" s="13" t="s">
        <v>1974</v>
      </c>
      <c r="B1961" s="13" t="s">
        <v>630</v>
      </c>
      <c r="C1961" s="13" t="n">
        <v>220</v>
      </c>
      <c r="D1961" s="13" t="n">
        <v>1</v>
      </c>
      <c r="E1961" s="13" t="n">
        <v>215.28</v>
      </c>
      <c r="F1961" s="13" t="s">
        <v>5325</v>
      </c>
      <c r="G1961" s="13" t="s">
        <v>5292</v>
      </c>
      <c r="H1961" s="13" t="s">
        <v>5292</v>
      </c>
      <c r="I1961" s="13" t="s">
        <v>5289</v>
      </c>
      <c r="J1961" s="13" t="s">
        <v>5289</v>
      </c>
      <c r="K1961" s="13" t="s">
        <v>5289</v>
      </c>
      <c r="L1961" s="13" t="s">
        <v>6353</v>
      </c>
      <c r="M1961" s="13"/>
      <c r="N1961" s="13" t="n">
        <v>8433982024122</v>
      </c>
      <c r="O1961" s="13"/>
      <c r="P1961" s="13" t="s">
        <v>5291</v>
      </c>
      <c r="Q1961" s="13" t="s">
        <v>5289</v>
      </c>
      <c r="R1961" s="13" t="s">
        <v>5292</v>
      </c>
      <c r="S1961" s="13" t="s">
        <v>5293</v>
      </c>
      <c r="T1961" s="13" t="s">
        <v>4</v>
      </c>
      <c r="U1961" s="13" t="s">
        <v>85</v>
      </c>
      <c r="V1961" s="13" t="n">
        <f aca="false">IF(COUNTIF($B$2:B1961,B1961)=1,1,0)</f>
        <v>0</v>
      </c>
      <c r="W1961" s="13" t="n">
        <f aca="false">IF(COUNTIFS($B$2:B1961,B1961,$T$2:T1961,T1961)=1,1,0)</f>
        <v>0</v>
      </c>
    </row>
    <row r="1962" customFormat="false" ht="15" hidden="false" customHeight="false" outlineLevel="0" collapsed="false">
      <c r="A1962" s="13" t="s">
        <v>4932</v>
      </c>
      <c r="B1962" s="13" t="s">
        <v>2232</v>
      </c>
      <c r="C1962" s="13" t="n">
        <v>210</v>
      </c>
      <c r="D1962" s="13" t="n">
        <v>1</v>
      </c>
      <c r="E1962" s="13" t="n">
        <v>212.29</v>
      </c>
      <c r="F1962" s="13" t="s">
        <v>5288</v>
      </c>
      <c r="G1962" s="13" t="s">
        <v>5289</v>
      </c>
      <c r="H1962" s="13" t="s">
        <v>5292</v>
      </c>
      <c r="I1962" s="13" t="s">
        <v>5289</v>
      </c>
      <c r="J1962" s="13" t="s">
        <v>5289</v>
      </c>
      <c r="K1962" s="13" t="s">
        <v>5289</v>
      </c>
      <c r="L1962" s="13" t="s">
        <v>6354</v>
      </c>
      <c r="M1962" s="13"/>
      <c r="N1962" s="13" t="n">
        <v>5425039222110</v>
      </c>
      <c r="O1962" s="13"/>
      <c r="P1962" s="13" t="s">
        <v>5291</v>
      </c>
      <c r="Q1962" s="13" t="s">
        <v>5289</v>
      </c>
      <c r="R1962" s="13" t="s">
        <v>5292</v>
      </c>
      <c r="S1962" s="13" t="s">
        <v>5293</v>
      </c>
      <c r="T1962" s="13" t="s">
        <v>4</v>
      </c>
      <c r="U1962" s="13" t="s">
        <v>43</v>
      </c>
      <c r="V1962" s="13" t="n">
        <f aca="false">IF(COUNTIF($B$2:B1962,B1962)=1,1,0)</f>
        <v>0</v>
      </c>
      <c r="W1962" s="13" t="n">
        <f aca="false">IF(COUNTIFS($B$2:B1962,B1962,$T$2:T1962,T1962)=1,1,0)</f>
        <v>0</v>
      </c>
    </row>
    <row r="1963" customFormat="false" ht="15" hidden="false" customHeight="false" outlineLevel="0" collapsed="false">
      <c r="A1963" s="13" t="s">
        <v>1975</v>
      </c>
      <c r="B1963" s="13" t="s">
        <v>630</v>
      </c>
      <c r="C1963" s="13" t="n">
        <v>210</v>
      </c>
      <c r="D1963" s="13" t="n">
        <v>1</v>
      </c>
      <c r="E1963" s="13" t="n">
        <v>210.9</v>
      </c>
      <c r="F1963" s="13" t="s">
        <v>5325</v>
      </c>
      <c r="G1963" s="13" t="s">
        <v>5292</v>
      </c>
      <c r="H1963" s="13" t="s">
        <v>5292</v>
      </c>
      <c r="I1963" s="13" t="s">
        <v>5289</v>
      </c>
      <c r="J1963" s="13" t="s">
        <v>5289</v>
      </c>
      <c r="K1963" s="13" t="s">
        <v>5289</v>
      </c>
      <c r="L1963" s="13" t="s">
        <v>6006</v>
      </c>
      <c r="M1963" s="13"/>
      <c r="N1963" s="13" t="n">
        <v>8433982024283</v>
      </c>
      <c r="O1963" s="13"/>
      <c r="P1963" s="13" t="s">
        <v>5291</v>
      </c>
      <c r="Q1963" s="13" t="s">
        <v>5289</v>
      </c>
      <c r="R1963" s="13" t="s">
        <v>5292</v>
      </c>
      <c r="S1963" s="13" t="s">
        <v>5293</v>
      </c>
      <c r="T1963" s="13" t="s">
        <v>4</v>
      </c>
      <c r="U1963" s="13" t="s">
        <v>43</v>
      </c>
      <c r="V1963" s="13" t="n">
        <f aca="false">IF(COUNTIF($B$2:B1963,B1963)=1,1,0)</f>
        <v>0</v>
      </c>
      <c r="W1963" s="13" t="n">
        <f aca="false">IF(COUNTIFS($B$2:B1963,B1963,$T$2:T1963,T1963)=1,1,0)</f>
        <v>0</v>
      </c>
    </row>
    <row r="1964" customFormat="false" ht="15" hidden="false" customHeight="false" outlineLevel="0" collapsed="false">
      <c r="A1964" s="13" t="s">
        <v>4939</v>
      </c>
      <c r="B1964" s="13" t="s">
        <v>2165</v>
      </c>
      <c r="C1964" s="13" t="n">
        <v>210</v>
      </c>
      <c r="D1964" s="13" t="n">
        <v>1</v>
      </c>
      <c r="E1964" s="13" t="n">
        <v>209.16</v>
      </c>
      <c r="F1964" s="13" t="s">
        <v>5288</v>
      </c>
      <c r="G1964" s="13" t="s">
        <v>5292</v>
      </c>
      <c r="H1964" s="13" t="s">
        <v>5292</v>
      </c>
      <c r="I1964" s="13" t="s">
        <v>5289</v>
      </c>
      <c r="J1964" s="13" t="s">
        <v>5289</v>
      </c>
      <c r="K1964" s="13" t="s">
        <v>5289</v>
      </c>
      <c r="L1964" s="13" t="s">
        <v>6355</v>
      </c>
      <c r="M1964" s="13"/>
      <c r="N1964" s="13" t="n">
        <v>5060524511517</v>
      </c>
      <c r="O1964" s="13"/>
      <c r="P1964" s="13" t="s">
        <v>5291</v>
      </c>
      <c r="Q1964" s="13" t="s">
        <v>5289</v>
      </c>
      <c r="R1964" s="13" t="s">
        <v>5292</v>
      </c>
      <c r="S1964" s="13" t="s">
        <v>5293</v>
      </c>
      <c r="T1964" s="13" t="s">
        <v>4</v>
      </c>
      <c r="U1964" s="13" t="s">
        <v>85</v>
      </c>
      <c r="V1964" s="13" t="n">
        <f aca="false">IF(COUNTIF($B$2:B1964,B1964)=1,1,0)</f>
        <v>0</v>
      </c>
      <c r="W1964" s="13" t="n">
        <f aca="false">IF(COUNTIFS($B$2:B1964,B1964,$T$2:T1964,T1964)=1,1,0)</f>
        <v>0</v>
      </c>
    </row>
    <row r="1965" customFormat="false" ht="15" hidden="false" customHeight="false" outlineLevel="0" collapsed="false">
      <c r="A1965" s="13" t="s">
        <v>3830</v>
      </c>
      <c r="B1965" s="13" t="s">
        <v>2216</v>
      </c>
      <c r="C1965" s="13" t="n">
        <v>210</v>
      </c>
      <c r="D1965" s="13" t="n">
        <v>1</v>
      </c>
      <c r="E1965" s="13" t="n">
        <v>208</v>
      </c>
      <c r="F1965" s="13" t="s">
        <v>5288</v>
      </c>
      <c r="G1965" s="13" t="s">
        <v>5292</v>
      </c>
      <c r="H1965" s="13" t="s">
        <v>5292</v>
      </c>
      <c r="I1965" s="13" t="s">
        <v>5289</v>
      </c>
      <c r="J1965" s="13" t="s">
        <v>5289</v>
      </c>
      <c r="K1965" s="13" t="s">
        <v>5289</v>
      </c>
      <c r="L1965" s="13" t="s">
        <v>6028</v>
      </c>
      <c r="M1965" s="13"/>
      <c r="N1965" s="13" t="n">
        <v>8436581941982</v>
      </c>
      <c r="O1965" s="13"/>
      <c r="P1965" s="13" t="s">
        <v>5291</v>
      </c>
      <c r="Q1965" s="13" t="s">
        <v>5289</v>
      </c>
      <c r="R1965" s="13" t="s">
        <v>5292</v>
      </c>
      <c r="S1965" s="13" t="s">
        <v>5293</v>
      </c>
      <c r="T1965" s="13" t="s">
        <v>4</v>
      </c>
      <c r="U1965" s="13" t="s">
        <v>43</v>
      </c>
      <c r="V1965" s="13" t="n">
        <f aca="false">IF(COUNTIF($B$2:B1965,B1965)=1,1,0)</f>
        <v>0</v>
      </c>
      <c r="W1965" s="13" t="n">
        <f aca="false">IF(COUNTIFS($B$2:B1965,B1965,$T$2:T1965,T1965)=1,1,0)</f>
        <v>0</v>
      </c>
    </row>
    <row r="1966" customFormat="false" ht="15" hidden="false" customHeight="false" outlineLevel="0" collapsed="false">
      <c r="A1966" s="13" t="s">
        <v>1977</v>
      </c>
      <c r="B1966" s="13" t="s">
        <v>103</v>
      </c>
      <c r="C1966" s="13" t="n">
        <v>210</v>
      </c>
      <c r="D1966" s="13" t="n">
        <v>1</v>
      </c>
      <c r="E1966" s="13" t="n">
        <v>206.31</v>
      </c>
      <c r="F1966" s="13" t="s">
        <v>5288</v>
      </c>
      <c r="G1966" s="13" t="s">
        <v>5289</v>
      </c>
      <c r="H1966" s="13" t="s">
        <v>5292</v>
      </c>
      <c r="I1966" s="13" t="s">
        <v>5289</v>
      </c>
      <c r="J1966" s="13" t="s">
        <v>5289</v>
      </c>
      <c r="K1966" s="13" t="s">
        <v>5289</v>
      </c>
      <c r="L1966" s="13" t="s">
        <v>5759</v>
      </c>
      <c r="M1966" s="13"/>
      <c r="N1966" s="13" t="n">
        <v>8411061081358</v>
      </c>
      <c r="O1966" s="13"/>
      <c r="P1966" s="13" t="s">
        <v>5291</v>
      </c>
      <c r="Q1966" s="13" t="s">
        <v>5289</v>
      </c>
      <c r="R1966" s="13" t="s">
        <v>5292</v>
      </c>
      <c r="S1966" s="13" t="s">
        <v>5293</v>
      </c>
      <c r="T1966" s="13" t="s">
        <v>4</v>
      </c>
      <c r="U1966" s="13" t="s">
        <v>43</v>
      </c>
      <c r="V1966" s="13" t="n">
        <f aca="false">IF(COUNTIF($B$2:B1966,B1966)=1,1,0)</f>
        <v>0</v>
      </c>
      <c r="W1966" s="13" t="n">
        <f aca="false">IF(COUNTIFS($B$2:B1966,B1966,$T$2:T1966,T1966)=1,1,0)</f>
        <v>0</v>
      </c>
    </row>
    <row r="1967" customFormat="false" ht="15" hidden="false" customHeight="false" outlineLevel="0" collapsed="false">
      <c r="A1967" s="13" t="s">
        <v>1976</v>
      </c>
      <c r="B1967" s="13" t="s">
        <v>630</v>
      </c>
      <c r="C1967" s="13" t="n">
        <v>210</v>
      </c>
      <c r="D1967" s="13" t="n">
        <v>1</v>
      </c>
      <c r="E1967" s="13" t="n">
        <v>205.48</v>
      </c>
      <c r="F1967" s="13" t="s">
        <v>5288</v>
      </c>
      <c r="G1967" s="13" t="s">
        <v>5292</v>
      </c>
      <c r="H1967" s="13" t="s">
        <v>5289</v>
      </c>
      <c r="I1967" s="13" t="s">
        <v>5289</v>
      </c>
      <c r="J1967" s="13" t="s">
        <v>5289</v>
      </c>
      <c r="K1967" s="13" t="s">
        <v>5289</v>
      </c>
      <c r="L1967" s="13" t="s">
        <v>6356</v>
      </c>
      <c r="M1967" s="13"/>
      <c r="N1967" s="13" t="n">
        <v>8433982020575</v>
      </c>
      <c r="O1967" s="13"/>
      <c r="P1967" s="13" t="s">
        <v>5291</v>
      </c>
      <c r="Q1967" s="13" t="s">
        <v>5289</v>
      </c>
      <c r="R1967" s="13" t="s">
        <v>5292</v>
      </c>
      <c r="S1967" s="13" t="s">
        <v>5293</v>
      </c>
      <c r="T1967" s="13" t="s">
        <v>4</v>
      </c>
      <c r="U1967" s="13" t="s">
        <v>85</v>
      </c>
      <c r="V1967" s="13" t="n">
        <f aca="false">IF(COUNTIF($B$2:B1967,B1967)=1,1,0)</f>
        <v>0</v>
      </c>
      <c r="W1967" s="13" t="n">
        <f aca="false">IF(COUNTIFS($B$2:B1967,B1967,$T$2:T1967,T1967)=1,1,0)</f>
        <v>0</v>
      </c>
    </row>
    <row r="1968" customFormat="false" ht="15" hidden="false" customHeight="false" outlineLevel="0" collapsed="false">
      <c r="A1968" s="13" t="s">
        <v>1989</v>
      </c>
      <c r="B1968" s="13" t="s">
        <v>103</v>
      </c>
      <c r="C1968" s="13" t="n">
        <v>200</v>
      </c>
      <c r="D1968" s="13" t="n">
        <v>1</v>
      </c>
      <c r="E1968" s="13" t="n">
        <v>203.67</v>
      </c>
      <c r="F1968" s="13" t="s">
        <v>5288</v>
      </c>
      <c r="G1968" s="13" t="s">
        <v>5292</v>
      </c>
      <c r="H1968" s="13" t="s">
        <v>5292</v>
      </c>
      <c r="I1968" s="13" t="s">
        <v>5289</v>
      </c>
      <c r="J1968" s="13" t="s">
        <v>5289</v>
      </c>
      <c r="K1968" s="13" t="s">
        <v>5289</v>
      </c>
      <c r="L1968" s="13" t="s">
        <v>6357</v>
      </c>
      <c r="M1968" s="13"/>
      <c r="N1968" s="13" t="n">
        <v>8411061057254</v>
      </c>
      <c r="O1968" s="13"/>
      <c r="P1968" s="13" t="s">
        <v>5291</v>
      </c>
      <c r="Q1968" s="13" t="s">
        <v>5289</v>
      </c>
      <c r="R1968" s="13" t="s">
        <v>5292</v>
      </c>
      <c r="S1968" s="13" t="s">
        <v>5293</v>
      </c>
      <c r="T1968" s="13" t="s">
        <v>4</v>
      </c>
      <c r="U1968" s="13" t="s">
        <v>43</v>
      </c>
      <c r="V1968" s="13" t="n">
        <f aca="false">IF(COUNTIF($B$2:B1968,B1968)=1,1,0)</f>
        <v>0</v>
      </c>
      <c r="W1968" s="13" t="n">
        <f aca="false">IF(COUNTIFS($B$2:B1968,B1968,$T$2:T1968,T1968)=1,1,0)</f>
        <v>0</v>
      </c>
    </row>
    <row r="1969" customFormat="false" ht="15" hidden="false" customHeight="false" outlineLevel="0" collapsed="false">
      <c r="A1969" s="13" t="s">
        <v>4948</v>
      </c>
      <c r="B1969" s="13" t="s">
        <v>2216</v>
      </c>
      <c r="C1969" s="13" t="n">
        <v>200</v>
      </c>
      <c r="D1969" s="13" t="n">
        <v>1</v>
      </c>
      <c r="E1969" s="13" t="n">
        <v>203.15</v>
      </c>
      <c r="F1969" s="13" t="s">
        <v>5288</v>
      </c>
      <c r="G1969" s="13" t="s">
        <v>5292</v>
      </c>
      <c r="H1969" s="13" t="s">
        <v>5289</v>
      </c>
      <c r="I1969" s="13" t="s">
        <v>5289</v>
      </c>
      <c r="J1969" s="13" t="s">
        <v>5289</v>
      </c>
      <c r="K1969" s="13" t="s">
        <v>5289</v>
      </c>
      <c r="L1969" s="13" t="s">
        <v>6358</v>
      </c>
      <c r="M1969" s="13"/>
      <c r="N1969" s="13" t="n">
        <v>8413144541117</v>
      </c>
      <c r="O1969" s="13"/>
      <c r="P1969" s="13" t="s">
        <v>5291</v>
      </c>
      <c r="Q1969" s="13" t="s">
        <v>5289</v>
      </c>
      <c r="R1969" s="13" t="s">
        <v>5292</v>
      </c>
      <c r="S1969" s="13" t="s">
        <v>5293</v>
      </c>
      <c r="T1969" s="13" t="s">
        <v>4</v>
      </c>
      <c r="U1969" s="13" t="s">
        <v>43</v>
      </c>
      <c r="V1969" s="13" t="n">
        <f aca="false">IF(COUNTIF($B$2:B1969,B1969)=1,1,0)</f>
        <v>0</v>
      </c>
      <c r="W1969" s="13" t="n">
        <f aca="false">IF(COUNTIFS($B$2:B1969,B1969,$T$2:T1969,T1969)=1,1,0)</f>
        <v>0</v>
      </c>
    </row>
    <row r="1970" customFormat="false" ht="15" hidden="false" customHeight="false" outlineLevel="0" collapsed="false">
      <c r="A1970" s="13" t="s">
        <v>6359</v>
      </c>
      <c r="B1970" s="13" t="s">
        <v>2139</v>
      </c>
      <c r="C1970" s="13" t="n">
        <v>200</v>
      </c>
      <c r="D1970" s="13" t="n">
        <v>1</v>
      </c>
      <c r="E1970" s="13" t="n">
        <v>199.23</v>
      </c>
      <c r="F1970" s="13" t="s">
        <v>5288</v>
      </c>
      <c r="G1970" s="13" t="s">
        <v>5292</v>
      </c>
      <c r="H1970" s="13" t="s">
        <v>5292</v>
      </c>
      <c r="I1970" s="13" t="s">
        <v>5289</v>
      </c>
      <c r="J1970" s="13" t="s">
        <v>5289</v>
      </c>
      <c r="K1970" s="13" t="s">
        <v>5289</v>
      </c>
      <c r="L1970" s="13" t="s">
        <v>6299</v>
      </c>
      <c r="M1970" s="13"/>
      <c r="N1970" s="13" t="n">
        <v>8411061114186</v>
      </c>
      <c r="O1970" s="13"/>
      <c r="P1970" s="13" t="s">
        <v>5291</v>
      </c>
      <c r="Q1970" s="13" t="s">
        <v>5289</v>
      </c>
      <c r="R1970" s="13" t="s">
        <v>5292</v>
      </c>
      <c r="S1970" s="13" t="s">
        <v>5293</v>
      </c>
      <c r="T1970" s="13" t="s">
        <v>4</v>
      </c>
      <c r="U1970" s="13" t="s">
        <v>43</v>
      </c>
      <c r="V1970" s="13" t="n">
        <f aca="false">IF(COUNTIF($B$2:B1970,B1970)=1,1,0)</f>
        <v>0</v>
      </c>
      <c r="W1970" s="13" t="n">
        <f aca="false">IF(COUNTIFS($B$2:B1970,B1970,$T$2:T1970,T1970)=1,1,0)</f>
        <v>0</v>
      </c>
    </row>
    <row r="1971" customFormat="false" ht="15" hidden="false" customHeight="false" outlineLevel="0" collapsed="false">
      <c r="A1971" s="13" t="s">
        <v>3700</v>
      </c>
      <c r="B1971" s="13" t="s">
        <v>2150</v>
      </c>
      <c r="C1971" s="13" t="n">
        <v>190</v>
      </c>
      <c r="D1971" s="13" t="n">
        <v>1</v>
      </c>
      <c r="E1971" s="13" t="n">
        <v>191.2</v>
      </c>
      <c r="F1971" s="13" t="s">
        <v>5325</v>
      </c>
      <c r="G1971" s="13" t="s">
        <v>5292</v>
      </c>
      <c r="H1971" s="13" t="s">
        <v>5292</v>
      </c>
      <c r="I1971" s="13" t="s">
        <v>5289</v>
      </c>
      <c r="J1971" s="13" t="s">
        <v>5289</v>
      </c>
      <c r="K1971" s="13" t="s">
        <v>5289</v>
      </c>
      <c r="L1971" s="13" t="s">
        <v>6360</v>
      </c>
      <c r="M1971" s="13"/>
      <c r="N1971" s="13" t="n">
        <v>8411061000915</v>
      </c>
      <c r="O1971" s="13"/>
      <c r="P1971" s="13" t="s">
        <v>5291</v>
      </c>
      <c r="Q1971" s="13" t="s">
        <v>5289</v>
      </c>
      <c r="R1971" s="13" t="s">
        <v>5292</v>
      </c>
      <c r="S1971" s="13" t="s">
        <v>5293</v>
      </c>
      <c r="T1971" s="13" t="s">
        <v>4</v>
      </c>
      <c r="U1971" s="13" t="s">
        <v>85</v>
      </c>
      <c r="V1971" s="13" t="n">
        <f aca="false">IF(COUNTIF($B$2:B1971,B1971)=1,1,0)</f>
        <v>1</v>
      </c>
      <c r="W1971" s="13" t="n">
        <f aca="false">IF(COUNTIFS($B$2:B1971,B1971,$T$2:T1971,T1971)=1,1,0)</f>
        <v>1</v>
      </c>
    </row>
    <row r="1972" customFormat="false" ht="15" hidden="false" customHeight="false" outlineLevel="0" collapsed="false">
      <c r="A1972" s="13" t="s">
        <v>2000</v>
      </c>
      <c r="B1972" s="13" t="s">
        <v>126</v>
      </c>
      <c r="C1972" s="13" t="n">
        <v>190</v>
      </c>
      <c r="D1972" s="13" t="n">
        <v>1</v>
      </c>
      <c r="E1972" s="13" t="n">
        <v>188.81</v>
      </c>
      <c r="F1972" s="13" t="s">
        <v>5288</v>
      </c>
      <c r="G1972" s="13" t="s">
        <v>5292</v>
      </c>
      <c r="H1972" s="13" t="s">
        <v>5292</v>
      </c>
      <c r="I1972" s="13" t="s">
        <v>5289</v>
      </c>
      <c r="J1972" s="13" t="s">
        <v>5289</v>
      </c>
      <c r="K1972" s="13" t="s">
        <v>5289</v>
      </c>
      <c r="L1972" s="13" t="s">
        <v>6361</v>
      </c>
      <c r="M1972" s="13"/>
      <c r="N1972" s="13" t="n">
        <v>3614222571667</v>
      </c>
      <c r="O1972" s="13"/>
      <c r="P1972" s="13" t="s">
        <v>5291</v>
      </c>
      <c r="Q1972" s="13" t="s">
        <v>5289</v>
      </c>
      <c r="R1972" s="13" t="s">
        <v>5292</v>
      </c>
      <c r="S1972" s="13" t="s">
        <v>5293</v>
      </c>
      <c r="T1972" s="13" t="s">
        <v>4</v>
      </c>
      <c r="U1972" s="13" t="s">
        <v>43</v>
      </c>
      <c r="V1972" s="13" t="n">
        <f aca="false">IF(COUNTIF($B$2:B1972,B1972)=1,1,0)</f>
        <v>0</v>
      </c>
      <c r="W1972" s="13" t="n">
        <f aca="false">IF(COUNTIFS($B$2:B1972,B1972,$T$2:T1972,T1972)=1,1,0)</f>
        <v>0</v>
      </c>
    </row>
    <row r="1973" customFormat="false" ht="15" hidden="false" customHeight="false" outlineLevel="0" collapsed="false">
      <c r="A1973" s="13" t="s">
        <v>4605</v>
      </c>
      <c r="B1973" s="13" t="s">
        <v>2139</v>
      </c>
      <c r="C1973" s="13" t="n">
        <v>180</v>
      </c>
      <c r="D1973" s="13" t="n">
        <v>1</v>
      </c>
      <c r="E1973" s="13" t="n">
        <v>177.11</v>
      </c>
      <c r="F1973" s="13" t="s">
        <v>5288</v>
      </c>
      <c r="G1973" s="13" t="s">
        <v>5292</v>
      </c>
      <c r="H1973" s="13" t="s">
        <v>5289</v>
      </c>
      <c r="I1973" s="13" t="s">
        <v>5289</v>
      </c>
      <c r="J1973" s="13" t="s">
        <v>5289</v>
      </c>
      <c r="K1973" s="13" t="s">
        <v>5289</v>
      </c>
      <c r="L1973" s="13" t="s">
        <v>6115</v>
      </c>
      <c r="M1973" s="13"/>
      <c r="N1973" s="13" t="n">
        <v>8411061832578</v>
      </c>
      <c r="O1973" s="13"/>
      <c r="P1973" s="13" t="s">
        <v>5291</v>
      </c>
      <c r="Q1973" s="13" t="s">
        <v>5289</v>
      </c>
      <c r="R1973" s="13" t="s">
        <v>5292</v>
      </c>
      <c r="S1973" s="13" t="s">
        <v>5293</v>
      </c>
      <c r="T1973" s="13" t="s">
        <v>4</v>
      </c>
      <c r="U1973" s="13" t="s">
        <v>85</v>
      </c>
      <c r="V1973" s="13" t="n">
        <f aca="false">IF(COUNTIF($B$2:B1973,B1973)=1,1,0)</f>
        <v>0</v>
      </c>
      <c r="W1973" s="13" t="n">
        <f aca="false">IF(COUNTIFS($B$2:B1973,B1973,$T$2:T1973,T1973)=1,1,0)</f>
        <v>0</v>
      </c>
    </row>
    <row r="1974" customFormat="false" ht="15" hidden="false" customHeight="false" outlineLevel="0" collapsed="false">
      <c r="A1974" s="13" t="s">
        <v>4761</v>
      </c>
      <c r="B1974" s="13" t="s">
        <v>2250</v>
      </c>
      <c r="C1974" s="13" t="n">
        <v>170</v>
      </c>
      <c r="D1974" s="13" t="n">
        <v>1</v>
      </c>
      <c r="E1974" s="13" t="n">
        <v>166.47</v>
      </c>
      <c r="F1974" s="13" t="s">
        <v>5325</v>
      </c>
      <c r="G1974" s="13" t="s">
        <v>5292</v>
      </c>
      <c r="H1974" s="13" t="s">
        <v>5292</v>
      </c>
      <c r="I1974" s="13" t="s">
        <v>5289</v>
      </c>
      <c r="J1974" s="13" t="s">
        <v>5289</v>
      </c>
      <c r="K1974" s="13" t="s">
        <v>5289</v>
      </c>
      <c r="L1974" s="13" t="s">
        <v>6362</v>
      </c>
      <c r="M1974" s="13"/>
      <c r="N1974" s="13" t="n">
        <v>3331849022920</v>
      </c>
      <c r="O1974" s="13"/>
      <c r="P1974" s="13" t="s">
        <v>5291</v>
      </c>
      <c r="Q1974" s="13" t="s">
        <v>5289</v>
      </c>
      <c r="R1974" s="13" t="s">
        <v>5292</v>
      </c>
      <c r="S1974" s="13" t="s">
        <v>5293</v>
      </c>
      <c r="T1974" s="13" t="s">
        <v>4</v>
      </c>
      <c r="U1974" s="13" t="s">
        <v>85</v>
      </c>
      <c r="V1974" s="13" t="n">
        <f aca="false">IF(COUNTIF($B$2:B1974,B1974)=1,1,0)</f>
        <v>0</v>
      </c>
      <c r="W1974" s="13" t="n">
        <f aca="false">IF(COUNTIFS($B$2:B1974,B1974,$T$2:T1974,T1974)=1,1,0)</f>
        <v>0</v>
      </c>
    </row>
    <row r="1975" customFormat="false" ht="15" hidden="false" customHeight="false" outlineLevel="0" collapsed="false">
      <c r="A1975" s="13" t="s">
        <v>1800</v>
      </c>
      <c r="B1975" s="13" t="s">
        <v>59</v>
      </c>
      <c r="C1975" s="13" t="n">
        <v>160</v>
      </c>
      <c r="D1975" s="13" t="n">
        <v>1</v>
      </c>
      <c r="E1975" s="13" t="n">
        <v>160.93</v>
      </c>
      <c r="F1975" s="13" t="s">
        <v>5288</v>
      </c>
      <c r="G1975" s="13" t="s">
        <v>5292</v>
      </c>
      <c r="H1975" s="13" t="s">
        <v>5289</v>
      </c>
      <c r="I1975" s="13" t="s">
        <v>5289</v>
      </c>
      <c r="J1975" s="13" t="s">
        <v>5289</v>
      </c>
      <c r="K1975" s="13" t="s">
        <v>5289</v>
      </c>
      <c r="L1975" s="13" t="s">
        <v>6363</v>
      </c>
      <c r="M1975" s="13"/>
      <c r="N1975" s="13" t="n">
        <v>3412242508027</v>
      </c>
      <c r="O1975" s="13"/>
      <c r="P1975" s="13" t="s">
        <v>5291</v>
      </c>
      <c r="Q1975" s="13" t="s">
        <v>5289</v>
      </c>
      <c r="R1975" s="13" t="s">
        <v>5292</v>
      </c>
      <c r="S1975" s="13" t="s">
        <v>5293</v>
      </c>
      <c r="T1975" s="13" t="s">
        <v>4</v>
      </c>
      <c r="U1975" s="13" t="s">
        <v>43</v>
      </c>
      <c r="V1975" s="13" t="n">
        <f aca="false">IF(COUNTIF($B$2:B1975,B1975)=1,1,0)</f>
        <v>0</v>
      </c>
      <c r="W1975" s="13" t="n">
        <f aca="false">IF(COUNTIFS($B$2:B1975,B1975,$T$2:T1975,T1975)=1,1,0)</f>
        <v>0</v>
      </c>
    </row>
    <row r="1976" customFormat="false" ht="15" hidden="false" customHeight="false" outlineLevel="0" collapsed="false">
      <c r="A1976" s="13" t="s">
        <v>2027</v>
      </c>
      <c r="B1976" s="13" t="s">
        <v>59</v>
      </c>
      <c r="C1976" s="13" t="n">
        <v>160</v>
      </c>
      <c r="D1976" s="13" t="n">
        <v>1</v>
      </c>
      <c r="E1976" s="13" t="n">
        <v>158.64</v>
      </c>
      <c r="F1976" s="13" t="s">
        <v>5325</v>
      </c>
      <c r="G1976" s="13" t="s">
        <v>5289</v>
      </c>
      <c r="H1976" s="13" t="s">
        <v>5292</v>
      </c>
      <c r="I1976" s="13" t="s">
        <v>5289</v>
      </c>
      <c r="J1976" s="13" t="s">
        <v>5289</v>
      </c>
      <c r="K1976" s="13" t="s">
        <v>5289</v>
      </c>
      <c r="L1976" s="13" t="s">
        <v>5762</v>
      </c>
      <c r="M1976" s="13"/>
      <c r="N1976" s="13" t="n">
        <v>31655531908</v>
      </c>
      <c r="O1976" s="13"/>
      <c r="P1976" s="13" t="s">
        <v>5291</v>
      </c>
      <c r="Q1976" s="13" t="s">
        <v>5289</v>
      </c>
      <c r="R1976" s="13" t="s">
        <v>5292</v>
      </c>
      <c r="S1976" s="13" t="s">
        <v>5293</v>
      </c>
      <c r="T1976" s="13" t="s">
        <v>4</v>
      </c>
      <c r="U1976" s="13" t="s">
        <v>43</v>
      </c>
      <c r="V1976" s="13" t="n">
        <f aca="false">IF(COUNTIF($B$2:B1976,B1976)=1,1,0)</f>
        <v>0</v>
      </c>
      <c r="W1976" s="13" t="n">
        <f aca="false">IF(COUNTIFS($B$2:B1976,B1976,$T$2:T1976,T1976)=1,1,0)</f>
        <v>0</v>
      </c>
    </row>
    <row r="1977" customFormat="false" ht="15" hidden="false" customHeight="false" outlineLevel="0" collapsed="false">
      <c r="A1977" s="13" t="s">
        <v>6364</v>
      </c>
      <c r="B1977" s="13" t="s">
        <v>2245</v>
      </c>
      <c r="C1977" s="13" t="n">
        <v>160</v>
      </c>
      <c r="D1977" s="13" t="n">
        <v>1</v>
      </c>
      <c r="E1977" s="13" t="n">
        <v>155.73</v>
      </c>
      <c r="F1977" s="13" t="s">
        <v>5288</v>
      </c>
      <c r="G1977" s="13" t="s">
        <v>5292</v>
      </c>
      <c r="H1977" s="13" t="s">
        <v>5289</v>
      </c>
      <c r="I1977" s="13" t="s">
        <v>5289</v>
      </c>
      <c r="J1977" s="13" t="s">
        <v>5289</v>
      </c>
      <c r="K1977" s="13" t="s">
        <v>5289</v>
      </c>
      <c r="L1977" s="13" t="s">
        <v>6362</v>
      </c>
      <c r="M1977" s="13"/>
      <c r="N1977" s="13" t="n">
        <v>3331849022920</v>
      </c>
      <c r="O1977" s="13"/>
      <c r="P1977" s="13" t="s">
        <v>5291</v>
      </c>
      <c r="Q1977" s="13" t="s">
        <v>5289</v>
      </c>
      <c r="R1977" s="13" t="s">
        <v>5292</v>
      </c>
      <c r="S1977" s="13" t="s">
        <v>5293</v>
      </c>
      <c r="T1977" s="13" t="s">
        <v>4</v>
      </c>
      <c r="U1977" s="13" t="s">
        <v>85</v>
      </c>
      <c r="V1977" s="13" t="n">
        <f aca="false">IF(COUNTIF($B$2:B1977,B1977)=1,1,0)</f>
        <v>0</v>
      </c>
      <c r="W1977" s="13" t="n">
        <f aca="false">IF(COUNTIFS($B$2:B1977,B1977,$T$2:T1977,T1977)=1,1,0)</f>
        <v>0</v>
      </c>
    </row>
    <row r="1978" customFormat="false" ht="15" hidden="false" customHeight="false" outlineLevel="0" collapsed="false">
      <c r="A1978" s="13" t="s">
        <v>1188</v>
      </c>
      <c r="B1978" s="13" t="s">
        <v>59</v>
      </c>
      <c r="C1978" s="13" t="n">
        <v>150</v>
      </c>
      <c r="D1978" s="13" t="n">
        <v>1</v>
      </c>
      <c r="E1978" s="13" t="n">
        <v>147.99</v>
      </c>
      <c r="F1978" s="13" t="s">
        <v>5288</v>
      </c>
      <c r="G1978" s="13" t="s">
        <v>5292</v>
      </c>
      <c r="H1978" s="13" t="s">
        <v>5292</v>
      </c>
      <c r="I1978" s="13" t="s">
        <v>5289</v>
      </c>
      <c r="J1978" s="13" t="s">
        <v>5289</v>
      </c>
      <c r="K1978" s="13" t="s">
        <v>5289</v>
      </c>
      <c r="L1978" s="13" t="s">
        <v>6046</v>
      </c>
      <c r="M1978" s="13"/>
      <c r="N1978" s="13" t="n">
        <v>3607348938230</v>
      </c>
      <c r="O1978" s="13"/>
      <c r="P1978" s="13" t="s">
        <v>5291</v>
      </c>
      <c r="Q1978" s="13" t="s">
        <v>5289</v>
      </c>
      <c r="R1978" s="13" t="s">
        <v>5292</v>
      </c>
      <c r="S1978" s="13" t="s">
        <v>5293</v>
      </c>
      <c r="T1978" s="13" t="s">
        <v>4</v>
      </c>
      <c r="U1978" s="13" t="s">
        <v>43</v>
      </c>
      <c r="V1978" s="13" t="n">
        <f aca="false">IF(COUNTIF($B$2:B1978,B1978)=1,1,0)</f>
        <v>0</v>
      </c>
      <c r="W1978" s="13" t="n">
        <f aca="false">IF(COUNTIFS($B$2:B1978,B1978,$T$2:T1978,T1978)=1,1,0)</f>
        <v>0</v>
      </c>
    </row>
    <row r="1979" customFormat="false" ht="15" hidden="false" customHeight="false" outlineLevel="0" collapsed="false">
      <c r="A1979" s="13" t="s">
        <v>1963</v>
      </c>
      <c r="B1979" s="13" t="s">
        <v>155</v>
      </c>
      <c r="C1979" s="13" t="n">
        <v>150</v>
      </c>
      <c r="D1979" s="13" t="n">
        <v>1</v>
      </c>
      <c r="E1979" s="13" t="n">
        <v>145.53</v>
      </c>
      <c r="F1979" s="13" t="s">
        <v>5288</v>
      </c>
      <c r="G1979" s="13" t="s">
        <v>5292</v>
      </c>
      <c r="H1979" s="13" t="s">
        <v>5289</v>
      </c>
      <c r="I1979" s="13" t="s">
        <v>5289</v>
      </c>
      <c r="J1979" s="13" t="s">
        <v>5289</v>
      </c>
      <c r="K1979" s="13" t="s">
        <v>5289</v>
      </c>
      <c r="L1979" s="13" t="s">
        <v>5778</v>
      </c>
      <c r="M1979" s="13"/>
      <c r="N1979" s="13" t="n">
        <v>8005610325507</v>
      </c>
      <c r="O1979" s="13"/>
      <c r="P1979" s="13" t="s">
        <v>5291</v>
      </c>
      <c r="Q1979" s="13" t="s">
        <v>5289</v>
      </c>
      <c r="R1979" s="13" t="s">
        <v>5292</v>
      </c>
      <c r="S1979" s="13" t="s">
        <v>5293</v>
      </c>
      <c r="T1979" s="13" t="s">
        <v>4</v>
      </c>
      <c r="U1979" s="13" t="s">
        <v>43</v>
      </c>
      <c r="V1979" s="13" t="n">
        <f aca="false">IF(COUNTIF($B$2:B1979,B1979)=1,1,0)</f>
        <v>0</v>
      </c>
      <c r="W1979" s="13" t="n">
        <f aca="false">IF(COUNTIFS($B$2:B1979,B1979,$T$2:T1979,T1979)=1,1,0)</f>
        <v>0</v>
      </c>
    </row>
    <row r="1980" customFormat="false" ht="15" hidden="false" customHeight="false" outlineLevel="0" collapsed="false">
      <c r="A1980" s="13" t="s">
        <v>5078</v>
      </c>
      <c r="B1980" s="13" t="s">
        <v>2295</v>
      </c>
      <c r="C1980" s="13" t="n">
        <v>140</v>
      </c>
      <c r="D1980" s="13" t="n">
        <v>1</v>
      </c>
      <c r="E1980" s="13" t="n">
        <v>139.98</v>
      </c>
      <c r="F1980" s="13" t="s">
        <v>5288</v>
      </c>
      <c r="G1980" s="13" t="s">
        <v>5292</v>
      </c>
      <c r="H1980" s="13" t="s">
        <v>5289</v>
      </c>
      <c r="I1980" s="13" t="s">
        <v>5289</v>
      </c>
      <c r="J1980" s="13" t="s">
        <v>5289</v>
      </c>
      <c r="K1980" s="13" t="s">
        <v>5289</v>
      </c>
      <c r="L1980" s="13" t="s">
        <v>6365</v>
      </c>
      <c r="M1980" s="13"/>
      <c r="N1980" s="13" t="n">
        <v>3326240027407</v>
      </c>
      <c r="O1980" s="13"/>
      <c r="P1980" s="13" t="s">
        <v>5291</v>
      </c>
      <c r="Q1980" s="13" t="s">
        <v>5289</v>
      </c>
      <c r="R1980" s="13" t="s">
        <v>5292</v>
      </c>
      <c r="S1980" s="13" t="s">
        <v>5293</v>
      </c>
      <c r="T1980" s="13" t="s">
        <v>4</v>
      </c>
      <c r="U1980" s="13" t="s">
        <v>43</v>
      </c>
      <c r="V1980" s="13" t="n">
        <f aca="false">IF(COUNTIF($B$2:B1980,B1980)=1,1,0)</f>
        <v>1</v>
      </c>
      <c r="W1980" s="13" t="n">
        <f aca="false">IF(COUNTIFS($B$2:B1980,B1980,$T$2:T1980,T1980)=1,1,0)</f>
        <v>1</v>
      </c>
    </row>
    <row r="1981" customFormat="false" ht="15" hidden="false" customHeight="false" outlineLevel="0" collapsed="false">
      <c r="A1981" s="13" t="s">
        <v>2045</v>
      </c>
      <c r="B1981" s="13" t="s">
        <v>161</v>
      </c>
      <c r="C1981" s="13" t="n">
        <v>120</v>
      </c>
      <c r="D1981" s="13" t="n">
        <v>1</v>
      </c>
      <c r="E1981" s="13" t="n">
        <v>118.68</v>
      </c>
      <c r="F1981" s="13" t="s">
        <v>5325</v>
      </c>
      <c r="G1981" s="13" t="s">
        <v>5292</v>
      </c>
      <c r="H1981" s="13" t="s">
        <v>5292</v>
      </c>
      <c r="I1981" s="13" t="s">
        <v>5289</v>
      </c>
      <c r="J1981" s="13" t="s">
        <v>5289</v>
      </c>
      <c r="K1981" s="13" t="s">
        <v>5289</v>
      </c>
      <c r="L1981" s="13" t="s">
        <v>6366</v>
      </c>
      <c r="M1981" s="13"/>
      <c r="N1981" s="13" t="n">
        <v>3355991005129</v>
      </c>
      <c r="O1981" s="13"/>
      <c r="P1981" s="13" t="s">
        <v>5291</v>
      </c>
      <c r="Q1981" s="13" t="s">
        <v>5289</v>
      </c>
      <c r="R1981" s="13" t="s">
        <v>5292</v>
      </c>
      <c r="S1981" s="13" t="s">
        <v>5293</v>
      </c>
      <c r="T1981" s="13" t="s">
        <v>4</v>
      </c>
      <c r="U1981" s="13" t="s">
        <v>43</v>
      </c>
      <c r="V1981" s="13" t="n">
        <f aca="false">IF(COUNTIF($B$2:B1981,B1981)=1,1,0)</f>
        <v>0</v>
      </c>
      <c r="W1981" s="13" t="n">
        <f aca="false">IF(COUNTIFS($B$2:B1981,B1981,$T$2:T1981,T1981)=1,1,0)</f>
        <v>0</v>
      </c>
    </row>
    <row r="1982" customFormat="false" ht="15" hidden="false" customHeight="false" outlineLevel="0" collapsed="false">
      <c r="A1982" s="13" t="s">
        <v>2056</v>
      </c>
      <c r="B1982" s="13" t="s">
        <v>161</v>
      </c>
      <c r="C1982" s="13" t="n">
        <v>110</v>
      </c>
      <c r="D1982" s="13" t="n">
        <v>1</v>
      </c>
      <c r="E1982" s="13" t="n">
        <v>109.65</v>
      </c>
      <c r="F1982" s="13" t="s">
        <v>5288</v>
      </c>
      <c r="G1982" s="13" t="s">
        <v>5292</v>
      </c>
      <c r="H1982" s="13" t="s">
        <v>5292</v>
      </c>
      <c r="I1982" s="13" t="s">
        <v>5289</v>
      </c>
      <c r="J1982" s="13" t="s">
        <v>5289</v>
      </c>
      <c r="K1982" s="13" t="s">
        <v>5289</v>
      </c>
      <c r="L1982" s="13" t="s">
        <v>6367</v>
      </c>
      <c r="M1982" s="13"/>
      <c r="N1982" s="13" t="n">
        <v>3355991005112</v>
      </c>
      <c r="O1982" s="13"/>
      <c r="P1982" s="13" t="s">
        <v>5291</v>
      </c>
      <c r="Q1982" s="13" t="s">
        <v>5289</v>
      </c>
      <c r="R1982" s="13" t="s">
        <v>5292</v>
      </c>
      <c r="S1982" s="13" t="s">
        <v>5293</v>
      </c>
      <c r="T1982" s="13" t="s">
        <v>4</v>
      </c>
      <c r="U1982" s="13" t="s">
        <v>43</v>
      </c>
      <c r="V1982" s="13" t="n">
        <f aca="false">IF(COUNTIF($B$2:B1982,B1982)=1,1,0)</f>
        <v>0</v>
      </c>
      <c r="W1982" s="13" t="n">
        <f aca="false">IF(COUNTIFS($B$2:B1982,B1982,$T$2:T1982,T1982)=1,1,0)</f>
        <v>0</v>
      </c>
    </row>
    <row r="1983" customFormat="false" ht="15" hidden="false" customHeight="false" outlineLevel="0" collapsed="false">
      <c r="A1983" s="13" t="s">
        <v>2054</v>
      </c>
      <c r="B1983" s="13" t="s">
        <v>161</v>
      </c>
      <c r="C1983" s="13" t="n">
        <v>110</v>
      </c>
      <c r="D1983" s="13" t="n">
        <v>1</v>
      </c>
      <c r="E1983" s="13" t="n">
        <v>109.65</v>
      </c>
      <c r="F1983" s="13" t="s">
        <v>5288</v>
      </c>
      <c r="G1983" s="13" t="s">
        <v>5292</v>
      </c>
      <c r="H1983" s="13" t="s">
        <v>5292</v>
      </c>
      <c r="I1983" s="13" t="s">
        <v>5289</v>
      </c>
      <c r="J1983" s="13" t="s">
        <v>5289</v>
      </c>
      <c r="K1983" s="13" t="s">
        <v>5289</v>
      </c>
      <c r="L1983" s="13" t="s">
        <v>6366</v>
      </c>
      <c r="M1983" s="13"/>
      <c r="N1983" s="13" t="n">
        <v>3355991005129</v>
      </c>
      <c r="O1983" s="13"/>
      <c r="P1983" s="13" t="s">
        <v>5291</v>
      </c>
      <c r="Q1983" s="13" t="s">
        <v>5289</v>
      </c>
      <c r="R1983" s="13" t="s">
        <v>5292</v>
      </c>
      <c r="S1983" s="13" t="s">
        <v>5293</v>
      </c>
      <c r="T1983" s="13" t="s">
        <v>4</v>
      </c>
      <c r="U1983" s="13" t="s">
        <v>43</v>
      </c>
      <c r="V1983" s="13" t="n">
        <f aca="false">IF(COUNTIF($B$2:B1983,B1983)=1,1,0)</f>
        <v>0</v>
      </c>
      <c r="W1983" s="13" t="n">
        <f aca="false">IF(COUNTIFS($B$2:B1983,B1983,$T$2:T1983,T1983)=1,1,0)</f>
        <v>0</v>
      </c>
    </row>
    <row r="1984" customFormat="false" ht="15" hidden="false" customHeight="false" outlineLevel="0" collapsed="false">
      <c r="A1984" s="13" t="s">
        <v>44</v>
      </c>
      <c r="B1984" s="13" t="s">
        <v>42</v>
      </c>
      <c r="C1984" s="13" t="n">
        <v>489000</v>
      </c>
      <c r="D1984" s="13" t="n">
        <v>700</v>
      </c>
      <c r="E1984" s="13" t="n">
        <v>698.995593705293</v>
      </c>
      <c r="F1984" s="13" t="s">
        <v>5325</v>
      </c>
      <c r="G1984" s="13" t="s">
        <v>5289</v>
      </c>
      <c r="H1984" s="13" t="s">
        <v>5289</v>
      </c>
      <c r="I1984" s="13" t="s">
        <v>5289</v>
      </c>
      <c r="J1984" s="13" t="s">
        <v>5289</v>
      </c>
      <c r="K1984" s="13" t="s">
        <v>5289</v>
      </c>
      <c r="L1984" s="13" t="n">
        <v>8411061026335</v>
      </c>
      <c r="M1984" s="13"/>
      <c r="N1984" s="13" t="n">
        <v>8.41106195848384E+025</v>
      </c>
      <c r="O1984" s="13"/>
      <c r="P1984" s="13" t="s">
        <v>5291</v>
      </c>
      <c r="Q1984" s="13" t="s">
        <v>5289</v>
      </c>
      <c r="R1984" s="13" t="s">
        <v>5292</v>
      </c>
      <c r="S1984" s="13" t="s">
        <v>5293</v>
      </c>
      <c r="T1984" s="13" t="s">
        <v>5</v>
      </c>
      <c r="U1984" s="13" t="s">
        <v>43</v>
      </c>
      <c r="V1984" s="13" t="n">
        <f aca="false">IF(COUNTIF($B$2:B1984,B1984)=1,1,0)</f>
        <v>0</v>
      </c>
      <c r="W1984" s="13" t="n">
        <f aca="false">IF(COUNTIFS($B$2:B1984,B1984,$T$2:T1984,T1984)=1,1,0)</f>
        <v>1</v>
      </c>
    </row>
    <row r="1985" customFormat="false" ht="15" hidden="false" customHeight="false" outlineLevel="0" collapsed="false">
      <c r="A1985" s="13" t="s">
        <v>46</v>
      </c>
      <c r="B1985" s="13" t="s">
        <v>45</v>
      </c>
      <c r="C1985" s="13" t="n">
        <v>284000</v>
      </c>
      <c r="D1985" s="13" t="n">
        <v>430</v>
      </c>
      <c r="E1985" s="13" t="n">
        <v>660.301976744186</v>
      </c>
      <c r="F1985" s="13" t="s">
        <v>5325</v>
      </c>
      <c r="G1985" s="13" t="s">
        <v>5289</v>
      </c>
      <c r="H1985" s="13" t="s">
        <v>5289</v>
      </c>
      <c r="I1985" s="13" t="s">
        <v>5289</v>
      </c>
      <c r="J1985" s="13" t="s">
        <v>5289</v>
      </c>
      <c r="K1985" s="13" t="s">
        <v>5292</v>
      </c>
      <c r="L1985" s="13"/>
      <c r="M1985" s="13"/>
      <c r="N1985" s="13" t="n">
        <v>8435415076906</v>
      </c>
      <c r="O1985" s="13"/>
      <c r="P1985" s="13" t="s">
        <v>5291</v>
      </c>
      <c r="Q1985" s="13" t="s">
        <v>5289</v>
      </c>
      <c r="R1985" s="13" t="s">
        <v>5292</v>
      </c>
      <c r="S1985" s="13" t="s">
        <v>5293</v>
      </c>
      <c r="T1985" s="13" t="s">
        <v>5</v>
      </c>
      <c r="U1985" s="13" t="s">
        <v>43</v>
      </c>
      <c r="V1985" s="13" t="n">
        <f aca="false">IF(COUNTIF($B$2:B1985,B1985)=1,1,0)</f>
        <v>0</v>
      </c>
      <c r="W1985" s="13" t="n">
        <f aca="false">IF(COUNTIFS($B$2:B1985,B1985,$T$2:T1985,T1985)=1,1,0)</f>
        <v>1</v>
      </c>
    </row>
    <row r="1986" customFormat="false" ht="15" hidden="false" customHeight="false" outlineLevel="0" collapsed="false">
      <c r="A1986" s="13" t="s">
        <v>49</v>
      </c>
      <c r="B1986" s="13" t="s">
        <v>45</v>
      </c>
      <c r="C1986" s="13" t="n">
        <v>265000</v>
      </c>
      <c r="D1986" s="13" t="n">
        <v>380</v>
      </c>
      <c r="E1986" s="13" t="n">
        <v>696.457847769029</v>
      </c>
      <c r="F1986" s="13" t="s">
        <v>5288</v>
      </c>
      <c r="G1986" s="13" t="s">
        <v>5289</v>
      </c>
      <c r="H1986" s="13" t="s">
        <v>5289</v>
      </c>
      <c r="I1986" s="13" t="s">
        <v>5289</v>
      </c>
      <c r="J1986" s="13" t="s">
        <v>5289</v>
      </c>
      <c r="K1986" s="13" t="s">
        <v>5289</v>
      </c>
      <c r="L1986" s="13" t="n">
        <v>8435415032360</v>
      </c>
      <c r="M1986" s="13"/>
      <c r="N1986" s="13" t="n">
        <v>8435415032360</v>
      </c>
      <c r="O1986" s="13"/>
      <c r="P1986" s="13" t="s">
        <v>5291</v>
      </c>
      <c r="Q1986" s="13" t="s">
        <v>5289</v>
      </c>
      <c r="R1986" s="13" t="s">
        <v>5292</v>
      </c>
      <c r="S1986" s="13" t="s">
        <v>5293</v>
      </c>
      <c r="T1986" s="13" t="s">
        <v>5</v>
      </c>
      <c r="U1986" s="13" t="s">
        <v>43</v>
      </c>
      <c r="V1986" s="13" t="n">
        <f aca="false">IF(COUNTIF($B$2:B1986,B1986)=1,1,0)</f>
        <v>0</v>
      </c>
      <c r="W1986" s="13" t="n">
        <f aca="false">IF(COUNTIFS($B$2:B1986,B1986,$T$2:T1986,T1986)=1,1,0)</f>
        <v>0</v>
      </c>
    </row>
    <row r="1987" customFormat="false" ht="15" hidden="false" customHeight="false" outlineLevel="0" collapsed="false">
      <c r="A1987" s="13" t="s">
        <v>47</v>
      </c>
      <c r="B1987" s="13" t="s">
        <v>42</v>
      </c>
      <c r="C1987" s="13" t="n">
        <v>201000</v>
      </c>
      <c r="D1987" s="13" t="n">
        <v>320</v>
      </c>
      <c r="E1987" s="13" t="n">
        <v>637.723047619048</v>
      </c>
      <c r="F1987" s="13" t="s">
        <v>5325</v>
      </c>
      <c r="G1987" s="13" t="s">
        <v>5289</v>
      </c>
      <c r="H1987" s="13" t="s">
        <v>5289</v>
      </c>
      <c r="I1987" s="13" t="s">
        <v>5289</v>
      </c>
      <c r="J1987" s="13" t="s">
        <v>5289</v>
      </c>
      <c r="K1987" s="13" t="s">
        <v>5289</v>
      </c>
      <c r="L1987" s="13" t="n">
        <v>8411061870518</v>
      </c>
      <c r="M1987" s="13"/>
      <c r="N1987" s="13" t="n">
        <v>8.41106187051884E+025</v>
      </c>
      <c r="O1987" s="13"/>
      <c r="P1987" s="13" t="s">
        <v>5291</v>
      </c>
      <c r="Q1987" s="13" t="s">
        <v>5289</v>
      </c>
      <c r="R1987" s="13" t="s">
        <v>5292</v>
      </c>
      <c r="S1987" s="13" t="s">
        <v>5293</v>
      </c>
      <c r="T1987" s="13" t="s">
        <v>5</v>
      </c>
      <c r="U1987" s="13" t="s">
        <v>43</v>
      </c>
      <c r="V1987" s="13" t="n">
        <f aca="false">IF(COUNTIF($B$2:B1987,B1987)=1,1,0)</f>
        <v>0</v>
      </c>
      <c r="W1987" s="13" t="n">
        <f aca="false">IF(COUNTIFS($B$2:B1987,B1987,$T$2:T1987,T1987)=1,1,0)</f>
        <v>0</v>
      </c>
    </row>
    <row r="1988" customFormat="false" ht="15" hidden="false" customHeight="false" outlineLevel="0" collapsed="false">
      <c r="A1988" s="13" t="s">
        <v>51</v>
      </c>
      <c r="B1988" s="13" t="s">
        <v>50</v>
      </c>
      <c r="C1988" s="13" t="n">
        <v>191000</v>
      </c>
      <c r="D1988" s="13" t="n">
        <v>290</v>
      </c>
      <c r="E1988" s="13" t="n">
        <v>648.209353741497</v>
      </c>
      <c r="F1988" s="13" t="s">
        <v>5325</v>
      </c>
      <c r="G1988" s="13" t="s">
        <v>5289</v>
      </c>
      <c r="H1988" s="13" t="s">
        <v>5289</v>
      </c>
      <c r="I1988" s="13" t="s">
        <v>5289</v>
      </c>
      <c r="J1988" s="13" t="s">
        <v>5289</v>
      </c>
      <c r="K1988" s="13" t="s">
        <v>5289</v>
      </c>
      <c r="L1988" s="13" t="n">
        <v>3349668589678</v>
      </c>
      <c r="M1988" s="13"/>
      <c r="N1988" s="13" t="n">
        <v>3349668589678</v>
      </c>
      <c r="O1988" s="13"/>
      <c r="P1988" s="13" t="s">
        <v>5291</v>
      </c>
      <c r="Q1988" s="13" t="s">
        <v>5289</v>
      </c>
      <c r="R1988" s="13" t="s">
        <v>5292</v>
      </c>
      <c r="S1988" s="13" t="s">
        <v>5293</v>
      </c>
      <c r="T1988" s="13" t="s">
        <v>5</v>
      </c>
      <c r="U1988" s="13" t="s">
        <v>43</v>
      </c>
      <c r="V1988" s="13" t="n">
        <f aca="false">IF(COUNTIF($B$2:B1988,B1988)=1,1,0)</f>
        <v>0</v>
      </c>
      <c r="W1988" s="13" t="n">
        <f aca="false">IF(COUNTIFS($B$2:B1988,B1988,$T$2:T1988,T1988)=1,1,0)</f>
        <v>1</v>
      </c>
    </row>
    <row r="1989" customFormat="false" ht="15" hidden="false" customHeight="false" outlineLevel="0" collapsed="false">
      <c r="A1989" s="13" t="s">
        <v>52</v>
      </c>
      <c r="B1989" s="13" t="s">
        <v>50</v>
      </c>
      <c r="C1989" s="13" t="n">
        <v>156000</v>
      </c>
      <c r="D1989" s="13" t="n">
        <v>240</v>
      </c>
      <c r="E1989" s="13" t="n">
        <v>638.642704918033</v>
      </c>
      <c r="F1989" s="13" t="s">
        <v>5325</v>
      </c>
      <c r="G1989" s="13" t="s">
        <v>5289</v>
      </c>
      <c r="H1989" s="13" t="s">
        <v>5289</v>
      </c>
      <c r="I1989" s="13" t="s">
        <v>5289</v>
      </c>
      <c r="J1989" s="13" t="s">
        <v>5289</v>
      </c>
      <c r="K1989" s="13" t="s">
        <v>5289</v>
      </c>
      <c r="L1989" s="13" t="n">
        <v>3349668566372</v>
      </c>
      <c r="M1989" s="13"/>
      <c r="N1989" s="13" t="n">
        <v>3349668566372</v>
      </c>
      <c r="O1989" s="13"/>
      <c r="P1989" s="13" t="s">
        <v>5291</v>
      </c>
      <c r="Q1989" s="13" t="s">
        <v>5289</v>
      </c>
      <c r="R1989" s="13" t="s">
        <v>5292</v>
      </c>
      <c r="S1989" s="13" t="s">
        <v>5293</v>
      </c>
      <c r="T1989" s="13" t="s">
        <v>5</v>
      </c>
      <c r="U1989" s="13" t="s">
        <v>43</v>
      </c>
      <c r="V1989" s="13" t="n">
        <f aca="false">IF(COUNTIF($B$2:B1989,B1989)=1,1,0)</f>
        <v>0</v>
      </c>
      <c r="W1989" s="13" t="n">
        <f aca="false">IF(COUNTIFS($B$2:B1989,B1989,$T$2:T1989,T1989)=1,1,0)</f>
        <v>0</v>
      </c>
    </row>
    <row r="1990" customFormat="false" ht="15" hidden="false" customHeight="false" outlineLevel="0" collapsed="false">
      <c r="A1990" s="13" t="s">
        <v>53</v>
      </c>
      <c r="B1990" s="13" t="s">
        <v>42</v>
      </c>
      <c r="C1990" s="13" t="n">
        <v>150000</v>
      </c>
      <c r="D1990" s="13" t="n">
        <v>260</v>
      </c>
      <c r="E1990" s="13" t="n">
        <v>582.395348837209</v>
      </c>
      <c r="F1990" s="13" t="s">
        <v>5325</v>
      </c>
      <c r="G1990" s="13" t="s">
        <v>5289</v>
      </c>
      <c r="H1990" s="13" t="s">
        <v>5289</v>
      </c>
      <c r="I1990" s="13" t="s">
        <v>5289</v>
      </c>
      <c r="J1990" s="13" t="s">
        <v>5289</v>
      </c>
      <c r="K1990" s="13" t="s">
        <v>5289</v>
      </c>
      <c r="L1990" s="13" t="n">
        <v>8411061023655</v>
      </c>
      <c r="M1990" s="13"/>
      <c r="N1990" s="13" t="n">
        <v>8411061023655</v>
      </c>
      <c r="O1990" s="13"/>
      <c r="P1990" s="13" t="s">
        <v>5291</v>
      </c>
      <c r="Q1990" s="13" t="s">
        <v>5289</v>
      </c>
      <c r="R1990" s="13" t="s">
        <v>5292</v>
      </c>
      <c r="S1990" s="13" t="s">
        <v>5293</v>
      </c>
      <c r="T1990" s="13" t="s">
        <v>5</v>
      </c>
      <c r="U1990" s="13" t="s">
        <v>43</v>
      </c>
      <c r="V1990" s="13" t="n">
        <f aca="false">IF(COUNTIF($B$2:B1990,B1990)=1,1,0)</f>
        <v>0</v>
      </c>
      <c r="W1990" s="13" t="n">
        <f aca="false">IF(COUNTIFS($B$2:B1990,B1990,$T$2:T1990,T1990)=1,1,0)</f>
        <v>0</v>
      </c>
    </row>
    <row r="1991" customFormat="false" ht="15" hidden="false" customHeight="false" outlineLevel="0" collapsed="false">
      <c r="A1991" s="13" t="s">
        <v>55</v>
      </c>
      <c r="B1991" s="13" t="s">
        <v>54</v>
      </c>
      <c r="C1991" s="13" t="n">
        <v>145000</v>
      </c>
      <c r="D1991" s="13" t="n">
        <v>480</v>
      </c>
      <c r="E1991" s="13" t="n">
        <v>302.814384133612</v>
      </c>
      <c r="F1991" s="13" t="s">
        <v>5325</v>
      </c>
      <c r="G1991" s="13" t="s">
        <v>5289</v>
      </c>
      <c r="H1991" s="13" t="s">
        <v>5292</v>
      </c>
      <c r="I1991" s="13" t="s">
        <v>5289</v>
      </c>
      <c r="J1991" s="13" t="s">
        <v>5289</v>
      </c>
      <c r="K1991" s="13" t="s">
        <v>5289</v>
      </c>
      <c r="L1991" s="13" t="n">
        <v>729238146587</v>
      </c>
      <c r="M1991" s="13"/>
      <c r="N1991" s="13" t="n">
        <v>729238146587</v>
      </c>
      <c r="O1991" s="13"/>
      <c r="P1991" s="13" t="s">
        <v>5291</v>
      </c>
      <c r="Q1991" s="13" t="s">
        <v>5289</v>
      </c>
      <c r="R1991" s="13" t="s">
        <v>5292</v>
      </c>
      <c r="S1991" s="13" t="s">
        <v>5293</v>
      </c>
      <c r="T1991" s="13" t="s">
        <v>5</v>
      </c>
      <c r="U1991" s="13" t="s">
        <v>43</v>
      </c>
      <c r="V1991" s="13" t="n">
        <f aca="false">IF(COUNTIF($B$2:B1991,B1991)=1,1,0)</f>
        <v>1</v>
      </c>
      <c r="W1991" s="13" t="n">
        <f aca="false">IF(COUNTIFS($B$2:B1991,B1991,$T$2:T1991,T1991)=1,1,0)</f>
        <v>1</v>
      </c>
    </row>
    <row r="1992" customFormat="false" ht="15" hidden="false" customHeight="false" outlineLevel="0" collapsed="false">
      <c r="A1992" s="13" t="s">
        <v>48</v>
      </c>
      <c r="B1992" s="13" t="s">
        <v>42</v>
      </c>
      <c r="C1992" s="13" t="n">
        <v>121000</v>
      </c>
      <c r="D1992" s="13" t="n">
        <v>190</v>
      </c>
      <c r="E1992" s="13" t="n">
        <v>641.043015873016</v>
      </c>
      <c r="F1992" s="13" t="s">
        <v>5325</v>
      </c>
      <c r="G1992" s="13" t="s">
        <v>5289</v>
      </c>
      <c r="H1992" s="13" t="s">
        <v>5289</v>
      </c>
      <c r="I1992" s="13" t="s">
        <v>5289</v>
      </c>
      <c r="J1992" s="13" t="s">
        <v>5289</v>
      </c>
      <c r="K1992" s="13" t="s">
        <v>5289</v>
      </c>
      <c r="L1992" s="13" t="n">
        <v>8411061838778</v>
      </c>
      <c r="M1992" s="13"/>
      <c r="N1992" s="13" t="n">
        <v>8411061838778</v>
      </c>
      <c r="O1992" s="13"/>
      <c r="P1992" s="13" t="s">
        <v>5291</v>
      </c>
      <c r="Q1992" s="13" t="s">
        <v>5289</v>
      </c>
      <c r="R1992" s="13" t="s">
        <v>5292</v>
      </c>
      <c r="S1992" s="13" t="s">
        <v>5293</v>
      </c>
      <c r="T1992" s="13" t="s">
        <v>5</v>
      </c>
      <c r="U1992" s="13" t="s">
        <v>43</v>
      </c>
      <c r="V1992" s="13" t="n">
        <f aca="false">IF(COUNTIF($B$2:B1992,B1992)=1,1,0)</f>
        <v>0</v>
      </c>
      <c r="W1992" s="13" t="n">
        <f aca="false">IF(COUNTIFS($B$2:B1992,B1992,$T$2:T1992,T1992)=1,1,0)</f>
        <v>0</v>
      </c>
    </row>
    <row r="1993" customFormat="false" ht="15" hidden="false" customHeight="false" outlineLevel="0" collapsed="false">
      <c r="A1993" s="13" t="s">
        <v>46</v>
      </c>
      <c r="B1993" s="13" t="s">
        <v>45</v>
      </c>
      <c r="C1993" s="13" t="n">
        <v>112000</v>
      </c>
      <c r="D1993" s="13" t="n">
        <v>230</v>
      </c>
      <c r="E1993" s="13" t="n">
        <v>478.229230769231</v>
      </c>
      <c r="F1993" s="13" t="s">
        <v>5325</v>
      </c>
      <c r="G1993" s="13" t="s">
        <v>5289</v>
      </c>
      <c r="H1993" s="13" t="s">
        <v>5289</v>
      </c>
      <c r="I1993" s="13" t="s">
        <v>5289</v>
      </c>
      <c r="J1993" s="13" t="s">
        <v>5289</v>
      </c>
      <c r="K1993" s="13" t="s">
        <v>5289</v>
      </c>
      <c r="L1993" s="13" t="n">
        <v>8435415076937</v>
      </c>
      <c r="M1993" s="13"/>
      <c r="N1993" s="13" t="n">
        <v>8435415076937</v>
      </c>
      <c r="O1993" s="13"/>
      <c r="P1993" s="13" t="s">
        <v>5291</v>
      </c>
      <c r="Q1993" s="13" t="s">
        <v>5289</v>
      </c>
      <c r="R1993" s="13" t="s">
        <v>5292</v>
      </c>
      <c r="S1993" s="13" t="s">
        <v>5293</v>
      </c>
      <c r="T1993" s="13" t="s">
        <v>5</v>
      </c>
      <c r="U1993" s="13" t="s">
        <v>43</v>
      </c>
      <c r="V1993" s="13" t="n">
        <f aca="false">IF(COUNTIF($B$2:B1993,B1993)=1,1,0)</f>
        <v>0</v>
      </c>
      <c r="W1993" s="13" t="n">
        <f aca="false">IF(COUNTIFS($B$2:B1993,B1993,$T$2:T1993,T1993)=1,1,0)</f>
        <v>0</v>
      </c>
    </row>
    <row r="1994" customFormat="false" ht="15" hidden="false" customHeight="false" outlineLevel="0" collapsed="false">
      <c r="A1994" s="13" t="s">
        <v>63</v>
      </c>
      <c r="B1994" s="13" t="s">
        <v>50</v>
      </c>
      <c r="C1994" s="13" t="n">
        <v>105000</v>
      </c>
      <c r="D1994" s="13" t="n">
        <v>130</v>
      </c>
      <c r="E1994" s="13" t="n">
        <v>796.79303030303</v>
      </c>
      <c r="F1994" s="13" t="s">
        <v>5325</v>
      </c>
      <c r="G1994" s="13" t="s">
        <v>5289</v>
      </c>
      <c r="H1994" s="13" t="s">
        <v>5289</v>
      </c>
      <c r="I1994" s="13" t="s">
        <v>5289</v>
      </c>
      <c r="J1994" s="13" t="s">
        <v>5289</v>
      </c>
      <c r="K1994" s="13" t="s">
        <v>5289</v>
      </c>
      <c r="L1994" s="13"/>
      <c r="M1994" s="13"/>
      <c r="N1994" s="13" t="n">
        <v>3349668581948</v>
      </c>
      <c r="O1994" s="13"/>
      <c r="P1994" s="13" t="s">
        <v>5291</v>
      </c>
      <c r="Q1994" s="13" t="s">
        <v>5289</v>
      </c>
      <c r="R1994" s="13" t="s">
        <v>5292</v>
      </c>
      <c r="S1994" s="13" t="s">
        <v>5293</v>
      </c>
      <c r="T1994" s="13" t="s">
        <v>5</v>
      </c>
      <c r="U1994" s="13" t="s">
        <v>43</v>
      </c>
      <c r="V1994" s="13" t="n">
        <f aca="false">IF(COUNTIF($B$2:B1994,B1994)=1,1,0)</f>
        <v>0</v>
      </c>
      <c r="W1994" s="13" t="n">
        <f aca="false">IF(COUNTIFS($B$2:B1994,B1994,$T$2:T1994,T1994)=1,1,0)</f>
        <v>0</v>
      </c>
    </row>
    <row r="1995" customFormat="false" ht="15" hidden="false" customHeight="false" outlineLevel="0" collapsed="false">
      <c r="A1995" s="13" t="s">
        <v>62</v>
      </c>
      <c r="B1995" s="13" t="s">
        <v>61</v>
      </c>
      <c r="C1995" s="13" t="n">
        <v>105000</v>
      </c>
      <c r="D1995" s="13" t="n">
        <v>160</v>
      </c>
      <c r="E1995" s="13" t="n">
        <v>661.426603773585</v>
      </c>
      <c r="F1995" s="13" t="s">
        <v>5325</v>
      </c>
      <c r="G1995" s="13" t="s">
        <v>5289</v>
      </c>
      <c r="H1995" s="13" t="s">
        <v>5289</v>
      </c>
      <c r="I1995" s="13" t="s">
        <v>5289</v>
      </c>
      <c r="J1995" s="13" t="s">
        <v>5289</v>
      </c>
      <c r="K1995" s="13" t="s">
        <v>5289</v>
      </c>
      <c r="L1995" s="13" t="n">
        <v>3605533286555</v>
      </c>
      <c r="M1995" s="13"/>
      <c r="N1995" s="13" t="n">
        <v>3605533286555</v>
      </c>
      <c r="O1995" s="13"/>
      <c r="P1995" s="13" t="s">
        <v>5291</v>
      </c>
      <c r="Q1995" s="13" t="s">
        <v>5289</v>
      </c>
      <c r="R1995" s="13" t="s">
        <v>5292</v>
      </c>
      <c r="S1995" s="13" t="s">
        <v>5293</v>
      </c>
      <c r="T1995" s="13" t="s">
        <v>5</v>
      </c>
      <c r="U1995" s="13" t="s">
        <v>43</v>
      </c>
      <c r="V1995" s="13" t="n">
        <f aca="false">IF(COUNTIF($B$2:B1995,B1995)=1,1,0)</f>
        <v>1</v>
      </c>
      <c r="W1995" s="13" t="n">
        <f aca="false">IF(COUNTIFS($B$2:B1995,B1995,$T$2:T1995,T1995)=1,1,0)</f>
        <v>1</v>
      </c>
    </row>
    <row r="1996" customFormat="false" ht="15" hidden="false" customHeight="false" outlineLevel="0" collapsed="false">
      <c r="A1996" s="13" t="s">
        <v>64</v>
      </c>
      <c r="B1996" s="13" t="s">
        <v>50</v>
      </c>
      <c r="C1996" s="13" t="n">
        <v>100000</v>
      </c>
      <c r="D1996" s="13" t="n">
        <v>150</v>
      </c>
      <c r="E1996" s="13" t="n">
        <v>683.47537414966</v>
      </c>
      <c r="F1996" s="13" t="s">
        <v>5325</v>
      </c>
      <c r="G1996" s="13" t="s">
        <v>5289</v>
      </c>
      <c r="H1996" s="13" t="s">
        <v>5289</v>
      </c>
      <c r="I1996" s="13" t="s">
        <v>5289</v>
      </c>
      <c r="J1996" s="13" t="s">
        <v>5289</v>
      </c>
      <c r="K1996" s="13" t="s">
        <v>5289</v>
      </c>
      <c r="L1996" s="13" t="n">
        <v>3349668614530</v>
      </c>
      <c r="M1996" s="13"/>
      <c r="N1996" s="13" t="n">
        <v>3349668614530</v>
      </c>
      <c r="O1996" s="13"/>
      <c r="P1996" s="13" t="s">
        <v>5291</v>
      </c>
      <c r="Q1996" s="13" t="s">
        <v>5289</v>
      </c>
      <c r="R1996" s="13" t="s">
        <v>5292</v>
      </c>
      <c r="S1996" s="13" t="s">
        <v>5293</v>
      </c>
      <c r="T1996" s="13" t="s">
        <v>5</v>
      </c>
      <c r="U1996" s="13" t="s">
        <v>43</v>
      </c>
      <c r="V1996" s="13" t="n">
        <f aca="false">IF(COUNTIF($B$2:B1996,B1996)=1,1,0)</f>
        <v>0</v>
      </c>
      <c r="W1996" s="13" t="n">
        <f aca="false">IF(COUNTIFS($B$2:B1996,B1996,$T$2:T1996,T1996)=1,1,0)</f>
        <v>0</v>
      </c>
    </row>
    <row r="1997" customFormat="false" ht="15" hidden="false" customHeight="false" outlineLevel="0" collapsed="false">
      <c r="A1997" s="13" t="s">
        <v>68</v>
      </c>
      <c r="B1997" s="13" t="s">
        <v>50</v>
      </c>
      <c r="C1997" s="13" t="n">
        <v>99700</v>
      </c>
      <c r="D1997" s="13" t="n">
        <v>130</v>
      </c>
      <c r="E1997" s="13" t="n">
        <v>778.93828125</v>
      </c>
      <c r="F1997" s="13" t="s">
        <v>5325</v>
      </c>
      <c r="G1997" s="13" t="s">
        <v>5289</v>
      </c>
      <c r="H1997" s="13" t="s">
        <v>5289</v>
      </c>
      <c r="I1997" s="13" t="s">
        <v>5289</v>
      </c>
      <c r="J1997" s="13" t="s">
        <v>5289</v>
      </c>
      <c r="K1997" s="13" t="s">
        <v>5289</v>
      </c>
      <c r="L1997" s="13" t="n">
        <v>3349668627547</v>
      </c>
      <c r="M1997" s="13"/>
      <c r="N1997" s="13" t="n">
        <v>3349668627547</v>
      </c>
      <c r="O1997" s="13"/>
      <c r="P1997" s="13" t="s">
        <v>5291</v>
      </c>
      <c r="Q1997" s="13" t="s">
        <v>5289</v>
      </c>
      <c r="R1997" s="13" t="s">
        <v>5292</v>
      </c>
      <c r="S1997" s="13" t="s">
        <v>5293</v>
      </c>
      <c r="T1997" s="13" t="s">
        <v>5</v>
      </c>
      <c r="U1997" s="13" t="s">
        <v>43</v>
      </c>
      <c r="V1997" s="13" t="n">
        <f aca="false">IF(COUNTIF($B$2:B1997,B1997)=1,1,0)</f>
        <v>0</v>
      </c>
      <c r="W1997" s="13" t="n">
        <f aca="false">IF(COUNTIFS($B$2:B1997,B1997,$T$2:T1997,T1997)=1,1,0)</f>
        <v>0</v>
      </c>
    </row>
    <row r="1998" customFormat="false" ht="15" hidden="false" customHeight="false" outlineLevel="0" collapsed="false">
      <c r="A1998" s="13" t="s">
        <v>48</v>
      </c>
      <c r="B1998" s="13" t="s">
        <v>42</v>
      </c>
      <c r="C1998" s="13" t="n">
        <v>98500</v>
      </c>
      <c r="D1998" s="13" t="n">
        <v>140</v>
      </c>
      <c r="E1998" s="13" t="n">
        <v>688.528881118881</v>
      </c>
      <c r="F1998" s="13" t="s">
        <v>5325</v>
      </c>
      <c r="G1998" s="13" t="s">
        <v>5289</v>
      </c>
      <c r="H1998" s="13" t="s">
        <v>5289</v>
      </c>
      <c r="I1998" s="13" t="s">
        <v>5289</v>
      </c>
      <c r="J1998" s="13" t="s">
        <v>5289</v>
      </c>
      <c r="K1998" s="13" t="s">
        <v>5289</v>
      </c>
      <c r="L1998" s="13" t="n">
        <v>8411061838778</v>
      </c>
      <c r="M1998" s="13"/>
      <c r="N1998" s="13" t="n">
        <v>8411061838778</v>
      </c>
      <c r="O1998" s="13"/>
      <c r="P1998" s="13" t="s">
        <v>5291</v>
      </c>
      <c r="Q1998" s="13" t="s">
        <v>5289</v>
      </c>
      <c r="R1998" s="13" t="s">
        <v>5292</v>
      </c>
      <c r="S1998" s="13" t="s">
        <v>5293</v>
      </c>
      <c r="T1998" s="13" t="s">
        <v>5</v>
      </c>
      <c r="U1998" s="13" t="s">
        <v>43</v>
      </c>
      <c r="V1998" s="13" t="n">
        <f aca="false">IF(COUNTIF($B$2:B1998,B1998)=1,1,0)</f>
        <v>0</v>
      </c>
      <c r="W1998" s="13" t="n">
        <f aca="false">IF(COUNTIFS($B$2:B1998,B1998,$T$2:T1998,T1998)=1,1,0)</f>
        <v>0</v>
      </c>
    </row>
    <row r="1999" customFormat="false" ht="15" hidden="false" customHeight="false" outlineLevel="0" collapsed="false">
      <c r="A1999" s="13" t="s">
        <v>71</v>
      </c>
      <c r="B1999" s="13" t="s">
        <v>50</v>
      </c>
      <c r="C1999" s="13" t="n">
        <v>93800</v>
      </c>
      <c r="D1999" s="13" t="n">
        <v>140</v>
      </c>
      <c r="E1999" s="13" t="n">
        <v>665.491631205674</v>
      </c>
      <c r="F1999" s="13" t="s">
        <v>5325</v>
      </c>
      <c r="G1999" s="13" t="s">
        <v>5289</v>
      </c>
      <c r="H1999" s="13" t="s">
        <v>5289</v>
      </c>
      <c r="I1999" s="13" t="s">
        <v>5289</v>
      </c>
      <c r="J1999" s="13" t="s">
        <v>5289</v>
      </c>
      <c r="K1999" s="13" t="s">
        <v>5289</v>
      </c>
      <c r="L1999" s="13" t="n">
        <v>3349668592388</v>
      </c>
      <c r="M1999" s="13"/>
      <c r="N1999" s="13" t="n">
        <v>3349668592388</v>
      </c>
      <c r="O1999" s="13"/>
      <c r="P1999" s="13" t="s">
        <v>5291</v>
      </c>
      <c r="Q1999" s="13" t="s">
        <v>5289</v>
      </c>
      <c r="R1999" s="13" t="s">
        <v>5292</v>
      </c>
      <c r="S1999" s="13" t="s">
        <v>5293</v>
      </c>
      <c r="T1999" s="13" t="s">
        <v>5</v>
      </c>
      <c r="U1999" s="13" t="s">
        <v>43</v>
      </c>
      <c r="V1999" s="13" t="n">
        <f aca="false">IF(COUNTIF($B$2:B1999,B1999)=1,1,0)</f>
        <v>0</v>
      </c>
      <c r="W1999" s="13" t="n">
        <f aca="false">IF(COUNTIFS($B$2:B1999,B1999,$T$2:T1999,T1999)=1,1,0)</f>
        <v>0</v>
      </c>
    </row>
    <row r="2000" customFormat="false" ht="15" hidden="false" customHeight="false" outlineLevel="0" collapsed="false">
      <c r="A2000" s="13" t="s">
        <v>73</v>
      </c>
      <c r="B2000" s="13" t="s">
        <v>72</v>
      </c>
      <c r="C2000" s="13" t="n">
        <v>92900</v>
      </c>
      <c r="D2000" s="13" t="n">
        <v>120</v>
      </c>
      <c r="E2000" s="13" t="n">
        <v>743.28</v>
      </c>
      <c r="F2000" s="13" t="s">
        <v>5325</v>
      </c>
      <c r="G2000" s="13" t="s">
        <v>5289</v>
      </c>
      <c r="H2000" s="13" t="s">
        <v>5289</v>
      </c>
      <c r="I2000" s="13" t="s">
        <v>5289</v>
      </c>
      <c r="J2000" s="13" t="s">
        <v>5289</v>
      </c>
      <c r="K2000" s="13" t="s">
        <v>5289</v>
      </c>
      <c r="L2000" s="13"/>
      <c r="M2000" s="13"/>
      <c r="N2000" s="13" t="n">
        <v>3614273760164</v>
      </c>
      <c r="O2000" s="13"/>
      <c r="P2000" s="13" t="s">
        <v>5297</v>
      </c>
      <c r="Q2000" s="13" t="s">
        <v>5289</v>
      </c>
      <c r="R2000" s="13" t="s">
        <v>5292</v>
      </c>
      <c r="S2000" s="13" t="s">
        <v>5293</v>
      </c>
      <c r="T2000" s="13" t="s">
        <v>5</v>
      </c>
      <c r="U2000" s="13" t="s">
        <v>43</v>
      </c>
      <c r="V2000" s="13" t="n">
        <f aca="false">IF(COUNTIF($B$2:B2000,B2000)=1,1,0)</f>
        <v>0</v>
      </c>
      <c r="W2000" s="13" t="n">
        <f aca="false">IF(COUNTIFS($B$2:B2000,B2000,$T$2:T2000,T2000)=1,1,0)</f>
        <v>1</v>
      </c>
    </row>
    <row r="2001" customFormat="false" ht="15" hidden="false" customHeight="false" outlineLevel="0" collapsed="false">
      <c r="A2001" s="13" t="s">
        <v>77</v>
      </c>
      <c r="B2001" s="13" t="s">
        <v>50</v>
      </c>
      <c r="C2001" s="13" t="n">
        <v>88900</v>
      </c>
      <c r="D2001" s="13" t="n">
        <v>160</v>
      </c>
      <c r="E2001" s="13" t="n">
        <v>542</v>
      </c>
      <c r="F2001" s="13" t="s">
        <v>5325</v>
      </c>
      <c r="G2001" s="13" t="s">
        <v>5289</v>
      </c>
      <c r="H2001" s="13" t="s">
        <v>5289</v>
      </c>
      <c r="I2001" s="13" t="s">
        <v>5289</v>
      </c>
      <c r="J2001" s="13" t="s">
        <v>5289</v>
      </c>
      <c r="K2001" s="13" t="s">
        <v>5289</v>
      </c>
      <c r="L2001" s="13" t="n">
        <v>3349668508587</v>
      </c>
      <c r="M2001" s="13"/>
      <c r="N2001" s="13" t="n">
        <v>3349668508587</v>
      </c>
      <c r="O2001" s="13"/>
      <c r="P2001" s="13" t="s">
        <v>5291</v>
      </c>
      <c r="Q2001" s="13" t="s">
        <v>5289</v>
      </c>
      <c r="R2001" s="13" t="s">
        <v>5292</v>
      </c>
      <c r="S2001" s="13" t="s">
        <v>5293</v>
      </c>
      <c r="T2001" s="13" t="s">
        <v>5</v>
      </c>
      <c r="U2001" s="13" t="s">
        <v>43</v>
      </c>
      <c r="V2001" s="13" t="n">
        <f aca="false">IF(COUNTIF($B$2:B2001,B2001)=1,1,0)</f>
        <v>0</v>
      </c>
      <c r="W2001" s="13" t="n">
        <f aca="false">IF(COUNTIFS($B$2:B2001,B2001,$T$2:T2001,T2001)=1,1,0)</f>
        <v>0</v>
      </c>
    </row>
    <row r="2002" customFormat="false" ht="15" hidden="false" customHeight="false" outlineLevel="0" collapsed="false">
      <c r="A2002" s="13" t="s">
        <v>78</v>
      </c>
      <c r="B2002" s="13" t="s">
        <v>69</v>
      </c>
      <c r="C2002" s="13" t="n">
        <v>86400</v>
      </c>
      <c r="D2002" s="13" t="n">
        <v>100</v>
      </c>
      <c r="E2002" s="13" t="n">
        <v>909.687368421053</v>
      </c>
      <c r="F2002" s="13" t="s">
        <v>5325</v>
      </c>
      <c r="G2002" s="13" t="s">
        <v>5289</v>
      </c>
      <c r="H2002" s="13" t="s">
        <v>5289</v>
      </c>
      <c r="I2002" s="13" t="s">
        <v>5289</v>
      </c>
      <c r="J2002" s="13" t="s">
        <v>5289</v>
      </c>
      <c r="K2002" s="13" t="s">
        <v>5289</v>
      </c>
      <c r="L2002" s="13" t="n">
        <v>3614273069557</v>
      </c>
      <c r="M2002" s="13"/>
      <c r="N2002" s="13" t="n">
        <v>3614273069557</v>
      </c>
      <c r="O2002" s="13"/>
      <c r="P2002" s="13" t="s">
        <v>5291</v>
      </c>
      <c r="Q2002" s="13" t="s">
        <v>5289</v>
      </c>
      <c r="R2002" s="13" t="s">
        <v>5292</v>
      </c>
      <c r="S2002" s="13" t="s">
        <v>5293</v>
      </c>
      <c r="T2002" s="13" t="s">
        <v>5</v>
      </c>
      <c r="U2002" s="13" t="s">
        <v>43</v>
      </c>
      <c r="V2002" s="13" t="n">
        <f aca="false">IF(COUNTIF($B$2:B2002,B2002)=1,1,0)</f>
        <v>0</v>
      </c>
      <c r="W2002" s="13" t="n">
        <f aca="false">IF(COUNTIFS($B$2:B2002,B2002,$T$2:T2002,T2002)=1,1,0)</f>
        <v>1</v>
      </c>
    </row>
    <row r="2003" customFormat="false" ht="15" hidden="false" customHeight="false" outlineLevel="0" collapsed="false">
      <c r="A2003" s="13" t="s">
        <v>84</v>
      </c>
      <c r="B2003" s="13" t="s">
        <v>42</v>
      </c>
      <c r="C2003" s="13" t="n">
        <v>75400</v>
      </c>
      <c r="D2003" s="13" t="n">
        <v>110</v>
      </c>
      <c r="E2003" s="13" t="n">
        <v>673.261607142857</v>
      </c>
      <c r="F2003" s="13" t="s">
        <v>5325</v>
      </c>
      <c r="G2003" s="13" t="s">
        <v>5289</v>
      </c>
      <c r="H2003" s="13" t="s">
        <v>5292</v>
      </c>
      <c r="I2003" s="13" t="s">
        <v>5289</v>
      </c>
      <c r="J2003" s="13" t="s">
        <v>5289</v>
      </c>
      <c r="K2003" s="13" t="s">
        <v>5289</v>
      </c>
      <c r="L2003" s="13" t="n">
        <v>8.41106187051884E+025</v>
      </c>
      <c r="M2003" s="13"/>
      <c r="N2003" s="13" t="n">
        <v>8.41106187051884E+025</v>
      </c>
      <c r="O2003" s="13"/>
      <c r="P2003" s="13" t="s">
        <v>5291</v>
      </c>
      <c r="Q2003" s="13" t="s">
        <v>5289</v>
      </c>
      <c r="R2003" s="13" t="s">
        <v>5292</v>
      </c>
      <c r="S2003" s="13" t="s">
        <v>5293</v>
      </c>
      <c r="T2003" s="13" t="s">
        <v>5</v>
      </c>
      <c r="U2003" s="13" t="s">
        <v>43</v>
      </c>
      <c r="V2003" s="13" t="n">
        <f aca="false">IF(COUNTIF($B$2:B2003,B2003)=1,1,0)</f>
        <v>0</v>
      </c>
      <c r="W2003" s="13" t="n">
        <f aca="false">IF(COUNTIFS($B$2:B2003,B2003,$T$2:T2003,T2003)=1,1,0)</f>
        <v>0</v>
      </c>
    </row>
    <row r="2004" customFormat="false" ht="15" hidden="false" customHeight="false" outlineLevel="0" collapsed="false">
      <c r="A2004" s="13" t="s">
        <v>89</v>
      </c>
      <c r="B2004" s="13" t="s">
        <v>42</v>
      </c>
      <c r="C2004" s="13" t="n">
        <v>72000</v>
      </c>
      <c r="D2004" s="13" t="n">
        <v>110</v>
      </c>
      <c r="E2004" s="13" t="n">
        <v>631.985175438596</v>
      </c>
      <c r="F2004" s="13" t="s">
        <v>5325</v>
      </c>
      <c r="G2004" s="13" t="s">
        <v>5289</v>
      </c>
      <c r="H2004" s="13" t="s">
        <v>5289</v>
      </c>
      <c r="I2004" s="13" t="s">
        <v>5289</v>
      </c>
      <c r="J2004" s="13" t="s">
        <v>5289</v>
      </c>
      <c r="K2004" s="13" t="s">
        <v>5289</v>
      </c>
      <c r="L2004" s="13" t="n">
        <v>8411061853207</v>
      </c>
      <c r="M2004" s="13"/>
      <c r="N2004" s="13" t="n">
        <v>8411061853207</v>
      </c>
      <c r="O2004" s="13"/>
      <c r="P2004" s="13" t="s">
        <v>5291</v>
      </c>
      <c r="Q2004" s="13" t="s">
        <v>5289</v>
      </c>
      <c r="R2004" s="13" t="s">
        <v>5292</v>
      </c>
      <c r="S2004" s="13" t="s">
        <v>5293</v>
      </c>
      <c r="T2004" s="13" t="s">
        <v>5</v>
      </c>
      <c r="U2004" s="13" t="s">
        <v>43</v>
      </c>
      <c r="V2004" s="13" t="n">
        <f aca="false">IF(COUNTIF($B$2:B2004,B2004)=1,1,0)</f>
        <v>0</v>
      </c>
      <c r="W2004" s="13" t="n">
        <f aca="false">IF(COUNTIFS($B$2:B2004,B2004,$T$2:T2004,T2004)=1,1,0)</f>
        <v>0</v>
      </c>
    </row>
    <row r="2005" customFormat="false" ht="15" hidden="false" customHeight="false" outlineLevel="0" collapsed="false">
      <c r="A2005" s="13" t="s">
        <v>71</v>
      </c>
      <c r="B2005" s="13" t="s">
        <v>50</v>
      </c>
      <c r="C2005" s="13" t="n">
        <v>70100</v>
      </c>
      <c r="D2005" s="13" t="n">
        <v>110</v>
      </c>
      <c r="E2005" s="13" t="n">
        <v>661.076037735849</v>
      </c>
      <c r="F2005" s="13" t="s">
        <v>5288</v>
      </c>
      <c r="G2005" s="13" t="s">
        <v>5289</v>
      </c>
      <c r="H2005" s="13" t="s">
        <v>5289</v>
      </c>
      <c r="I2005" s="13" t="s">
        <v>5289</v>
      </c>
      <c r="J2005" s="13" t="s">
        <v>5289</v>
      </c>
      <c r="K2005" s="13" t="s">
        <v>5289</v>
      </c>
      <c r="L2005" s="13" t="n">
        <v>3349668592388</v>
      </c>
      <c r="M2005" s="13"/>
      <c r="N2005" s="13" t="n">
        <v>3349668592388</v>
      </c>
      <c r="O2005" s="13"/>
      <c r="P2005" s="13" t="s">
        <v>5297</v>
      </c>
      <c r="Q2005" s="13" t="s">
        <v>5289</v>
      </c>
      <c r="R2005" s="13" t="s">
        <v>5292</v>
      </c>
      <c r="S2005" s="13" t="s">
        <v>5293</v>
      </c>
      <c r="T2005" s="13" t="s">
        <v>5</v>
      </c>
      <c r="U2005" s="13" t="s">
        <v>43</v>
      </c>
      <c r="V2005" s="13" t="n">
        <f aca="false">IF(COUNTIF($B$2:B2005,B2005)=1,1,0)</f>
        <v>0</v>
      </c>
      <c r="W2005" s="13" t="n">
        <f aca="false">IF(COUNTIFS($B$2:B2005,B2005,$T$2:T2005,T2005)=1,1,0)</f>
        <v>0</v>
      </c>
    </row>
    <row r="2006" customFormat="false" ht="15" hidden="false" customHeight="false" outlineLevel="0" collapsed="false">
      <c r="A2006" s="13" t="s">
        <v>90</v>
      </c>
      <c r="B2006" s="13" t="s">
        <v>54</v>
      </c>
      <c r="C2006" s="13" t="n">
        <v>66100</v>
      </c>
      <c r="D2006" s="13" t="n">
        <v>220</v>
      </c>
      <c r="E2006" s="13" t="n">
        <v>301.778812785388</v>
      </c>
      <c r="F2006" s="13" t="s">
        <v>5325</v>
      </c>
      <c r="G2006" s="13" t="s">
        <v>5289</v>
      </c>
      <c r="H2006" s="13" t="s">
        <v>5289</v>
      </c>
      <c r="I2006" s="13" t="s">
        <v>5289</v>
      </c>
      <c r="J2006" s="13" t="s">
        <v>5289</v>
      </c>
      <c r="K2006" s="13" t="s">
        <v>5289</v>
      </c>
      <c r="L2006" s="13" t="n">
        <v>729238146570</v>
      </c>
      <c r="M2006" s="13"/>
      <c r="N2006" s="13" t="n">
        <v>729238146570</v>
      </c>
      <c r="O2006" s="13"/>
      <c r="P2006" s="13" t="s">
        <v>5291</v>
      </c>
      <c r="Q2006" s="13" t="s">
        <v>5289</v>
      </c>
      <c r="R2006" s="13" t="s">
        <v>5292</v>
      </c>
      <c r="S2006" s="13" t="s">
        <v>5293</v>
      </c>
      <c r="T2006" s="13" t="s">
        <v>5</v>
      </c>
      <c r="U2006" s="13" t="s">
        <v>43</v>
      </c>
      <c r="V2006" s="13" t="n">
        <f aca="false">IF(COUNTIF($B$2:B2006,B2006)=1,1,0)</f>
        <v>0</v>
      </c>
      <c r="W2006" s="13" t="n">
        <f aca="false">IF(COUNTIFS($B$2:B2006,B2006,$T$2:T2006,T2006)=1,1,0)</f>
        <v>0</v>
      </c>
    </row>
    <row r="2007" customFormat="false" ht="15" hidden="false" customHeight="false" outlineLevel="0" collapsed="false">
      <c r="A2007" s="13" t="s">
        <v>91</v>
      </c>
      <c r="B2007" s="13" t="s">
        <v>42</v>
      </c>
      <c r="C2007" s="13" t="n">
        <v>64300</v>
      </c>
      <c r="D2007" s="13" t="n">
        <v>100</v>
      </c>
      <c r="E2007" s="13" t="n">
        <v>649</v>
      </c>
      <c r="F2007" s="13" t="s">
        <v>5325</v>
      </c>
      <c r="G2007" s="13" t="s">
        <v>5289</v>
      </c>
      <c r="H2007" s="13" t="s">
        <v>5289</v>
      </c>
      <c r="I2007" s="13" t="s">
        <v>5289</v>
      </c>
      <c r="J2007" s="13" t="s">
        <v>5289</v>
      </c>
      <c r="K2007" s="13" t="s">
        <v>5289</v>
      </c>
      <c r="L2007" s="13" t="n">
        <v>8411061786161</v>
      </c>
      <c r="M2007" s="13"/>
      <c r="N2007" s="13" t="n">
        <v>8411061786161</v>
      </c>
      <c r="O2007" s="13"/>
      <c r="P2007" s="13" t="s">
        <v>5291</v>
      </c>
      <c r="Q2007" s="13" t="s">
        <v>5289</v>
      </c>
      <c r="R2007" s="13" t="s">
        <v>5292</v>
      </c>
      <c r="S2007" s="13" t="s">
        <v>5293</v>
      </c>
      <c r="T2007" s="13" t="s">
        <v>5</v>
      </c>
      <c r="U2007" s="13" t="s">
        <v>43</v>
      </c>
      <c r="V2007" s="13" t="n">
        <f aca="false">IF(COUNTIF($B$2:B2007,B2007)=1,1,0)</f>
        <v>0</v>
      </c>
      <c r="W2007" s="13" t="n">
        <f aca="false">IF(COUNTIFS($B$2:B2007,B2007,$T$2:T2007,T2007)=1,1,0)</f>
        <v>0</v>
      </c>
    </row>
    <row r="2008" customFormat="false" ht="15" hidden="false" customHeight="false" outlineLevel="0" collapsed="false">
      <c r="A2008" s="13" t="s">
        <v>95</v>
      </c>
      <c r="B2008" s="13" t="s">
        <v>50</v>
      </c>
      <c r="C2008" s="13" t="n">
        <v>57100</v>
      </c>
      <c r="D2008" s="13" t="n">
        <v>120</v>
      </c>
      <c r="E2008" s="13" t="n">
        <v>488.357692307692</v>
      </c>
      <c r="F2008" s="13" t="s">
        <v>5325</v>
      </c>
      <c r="G2008" s="13" t="s">
        <v>5289</v>
      </c>
      <c r="H2008" s="13" t="s">
        <v>5289</v>
      </c>
      <c r="I2008" s="13" t="s">
        <v>5289</v>
      </c>
      <c r="J2008" s="13" t="s">
        <v>5289</v>
      </c>
      <c r="K2008" s="13" t="s">
        <v>5289</v>
      </c>
      <c r="L2008" s="13" t="n">
        <v>3349668612635</v>
      </c>
      <c r="M2008" s="13"/>
      <c r="N2008" s="13" t="n">
        <v>3.34966852867734E+025</v>
      </c>
      <c r="O2008" s="13"/>
      <c r="P2008" s="13" t="s">
        <v>5297</v>
      </c>
      <c r="Q2008" s="13" t="s">
        <v>5289</v>
      </c>
      <c r="R2008" s="13" t="s">
        <v>5292</v>
      </c>
      <c r="S2008" s="13" t="s">
        <v>5293</v>
      </c>
      <c r="T2008" s="13" t="s">
        <v>5</v>
      </c>
      <c r="U2008" s="13" t="s">
        <v>43</v>
      </c>
      <c r="V2008" s="13" t="n">
        <f aca="false">IF(COUNTIF($B$2:B2008,B2008)=1,1,0)</f>
        <v>0</v>
      </c>
      <c r="W2008" s="13" t="n">
        <f aca="false">IF(COUNTIFS($B$2:B2008,B2008,$T$2:T2008,T2008)=1,1,0)</f>
        <v>0</v>
      </c>
    </row>
    <row r="2009" customFormat="false" ht="15" hidden="false" customHeight="false" outlineLevel="0" collapsed="false">
      <c r="A2009" s="13" t="s">
        <v>96</v>
      </c>
      <c r="B2009" s="13" t="s">
        <v>72</v>
      </c>
      <c r="C2009" s="13" t="n">
        <v>56100</v>
      </c>
      <c r="D2009" s="13" t="n">
        <v>80</v>
      </c>
      <c r="E2009" s="13" t="n">
        <v>737.77</v>
      </c>
      <c r="F2009" s="13" t="s">
        <v>5288</v>
      </c>
      <c r="G2009" s="13" t="s">
        <v>5289</v>
      </c>
      <c r="H2009" s="13" t="s">
        <v>5289</v>
      </c>
      <c r="I2009" s="13" t="s">
        <v>5289</v>
      </c>
      <c r="J2009" s="13" t="s">
        <v>5289</v>
      </c>
      <c r="K2009" s="13" t="s">
        <v>5289</v>
      </c>
      <c r="L2009" s="13" t="n">
        <v>3614274172997</v>
      </c>
      <c r="M2009" s="13"/>
      <c r="N2009" s="13" t="n">
        <v>3614274172997</v>
      </c>
      <c r="O2009" s="13"/>
      <c r="P2009" s="13" t="s">
        <v>5291</v>
      </c>
      <c r="Q2009" s="13" t="s">
        <v>5289</v>
      </c>
      <c r="R2009" s="13" t="s">
        <v>5292</v>
      </c>
      <c r="S2009" s="13" t="s">
        <v>5293</v>
      </c>
      <c r="T2009" s="13" t="s">
        <v>5</v>
      </c>
      <c r="U2009" s="13" t="s">
        <v>43</v>
      </c>
      <c r="V2009" s="13" t="n">
        <f aca="false">IF(COUNTIF($B$2:B2009,B2009)=1,1,0)</f>
        <v>0</v>
      </c>
      <c r="W2009" s="13" t="n">
        <f aca="false">IF(COUNTIFS($B$2:B2009,B2009,$T$2:T2009,T2009)=1,1,0)</f>
        <v>0</v>
      </c>
    </row>
    <row r="2010" customFormat="false" ht="15" hidden="false" customHeight="false" outlineLevel="0" collapsed="false">
      <c r="A2010" s="13" t="s">
        <v>101</v>
      </c>
      <c r="B2010" s="13" t="s">
        <v>45</v>
      </c>
      <c r="C2010" s="13" t="n">
        <v>54400</v>
      </c>
      <c r="D2010" s="13" t="n">
        <v>80</v>
      </c>
      <c r="E2010" s="13" t="n">
        <v>689.010253164557</v>
      </c>
      <c r="F2010" s="13" t="s">
        <v>5325</v>
      </c>
      <c r="G2010" s="13" t="s">
        <v>5289</v>
      </c>
      <c r="H2010" s="13" t="s">
        <v>5289</v>
      </c>
      <c r="I2010" s="13" t="s">
        <v>5289</v>
      </c>
      <c r="J2010" s="13" t="s">
        <v>5289</v>
      </c>
      <c r="K2010" s="13" t="s">
        <v>5289</v>
      </c>
      <c r="L2010" s="13" t="n">
        <v>8435415012690</v>
      </c>
      <c r="M2010" s="13"/>
      <c r="N2010" s="13" t="n">
        <v>8435415012690</v>
      </c>
      <c r="O2010" s="13"/>
      <c r="P2010" s="13" t="s">
        <v>5291</v>
      </c>
      <c r="Q2010" s="13" t="s">
        <v>5289</v>
      </c>
      <c r="R2010" s="13" t="s">
        <v>5292</v>
      </c>
      <c r="S2010" s="13" t="s">
        <v>5293</v>
      </c>
      <c r="T2010" s="13" t="s">
        <v>5</v>
      </c>
      <c r="U2010" s="13" t="s">
        <v>43</v>
      </c>
      <c r="V2010" s="13" t="n">
        <f aca="false">IF(COUNTIF($B$2:B2010,B2010)=1,1,0)</f>
        <v>0</v>
      </c>
      <c r="W2010" s="13" t="n">
        <f aca="false">IF(COUNTIFS($B$2:B2010,B2010,$T$2:T2010,T2010)=1,1,0)</f>
        <v>0</v>
      </c>
    </row>
    <row r="2011" customFormat="false" ht="15" hidden="false" customHeight="false" outlineLevel="0" collapsed="false">
      <c r="A2011" s="13" t="s">
        <v>104</v>
      </c>
      <c r="B2011" s="13" t="s">
        <v>103</v>
      </c>
      <c r="C2011" s="13" t="n">
        <v>52500</v>
      </c>
      <c r="D2011" s="13" t="n">
        <v>280</v>
      </c>
      <c r="E2011" s="13" t="n">
        <v>189.572310469314</v>
      </c>
      <c r="F2011" s="13" t="s">
        <v>5325</v>
      </c>
      <c r="G2011" s="13" t="s">
        <v>5289</v>
      </c>
      <c r="H2011" s="13" t="s">
        <v>5289</v>
      </c>
      <c r="I2011" s="13" t="s">
        <v>5289</v>
      </c>
      <c r="J2011" s="13" t="s">
        <v>5289</v>
      </c>
      <c r="K2011" s="13" t="s">
        <v>5289</v>
      </c>
      <c r="L2011" s="13" t="n">
        <v>8411061737835</v>
      </c>
      <c r="M2011" s="13"/>
      <c r="N2011" s="13" t="n">
        <v>8.41106173783584E+025</v>
      </c>
      <c r="O2011" s="13"/>
      <c r="P2011" s="13" t="s">
        <v>5291</v>
      </c>
      <c r="Q2011" s="13" t="s">
        <v>5289</v>
      </c>
      <c r="R2011" s="13" t="s">
        <v>5292</v>
      </c>
      <c r="S2011" s="13" t="s">
        <v>5293</v>
      </c>
      <c r="T2011" s="13" t="s">
        <v>5</v>
      </c>
      <c r="U2011" s="13" t="s">
        <v>43</v>
      </c>
      <c r="V2011" s="13" t="n">
        <f aca="false">IF(COUNTIF($B$2:B2011,B2011)=1,1,0)</f>
        <v>0</v>
      </c>
      <c r="W2011" s="13" t="n">
        <f aca="false">IF(COUNTIFS($B$2:B2011,B2011,$T$2:T2011,T2011)=1,1,0)</f>
        <v>1</v>
      </c>
    </row>
    <row r="2012" customFormat="false" ht="15" hidden="false" customHeight="false" outlineLevel="0" collapsed="false">
      <c r="A2012" s="13" t="s">
        <v>108</v>
      </c>
      <c r="B2012" s="13" t="s">
        <v>107</v>
      </c>
      <c r="C2012" s="13" t="n">
        <v>48500</v>
      </c>
      <c r="D2012" s="13" t="n">
        <v>300</v>
      </c>
      <c r="E2012" s="13" t="n">
        <v>162.322240802676</v>
      </c>
      <c r="F2012" s="13" t="s">
        <v>5288</v>
      </c>
      <c r="G2012" s="13" t="s">
        <v>5289</v>
      </c>
      <c r="H2012" s="13" t="s">
        <v>5289</v>
      </c>
      <c r="I2012" s="13" t="s">
        <v>5289</v>
      </c>
      <c r="J2012" s="13" t="s">
        <v>5289</v>
      </c>
      <c r="K2012" s="13" t="s">
        <v>5292</v>
      </c>
      <c r="L2012" s="13" t="n">
        <v>7896235353690</v>
      </c>
      <c r="M2012" s="13"/>
      <c r="N2012" s="13" t="n">
        <v>7896235353690</v>
      </c>
      <c r="O2012" s="13"/>
      <c r="P2012" s="13" t="s">
        <v>5291</v>
      </c>
      <c r="Q2012" s="13" t="s">
        <v>5289</v>
      </c>
      <c r="R2012" s="13" t="s">
        <v>5292</v>
      </c>
      <c r="S2012" s="13" t="s">
        <v>5293</v>
      </c>
      <c r="T2012" s="13" t="s">
        <v>5</v>
      </c>
      <c r="U2012" s="13" t="s">
        <v>43</v>
      </c>
      <c r="V2012" s="13" t="n">
        <f aca="false">IF(COUNTIF($B$2:B2012,B2012)=1,1,0)</f>
        <v>1</v>
      </c>
      <c r="W2012" s="13" t="n">
        <f aca="false">IF(COUNTIFS($B$2:B2012,B2012,$T$2:T2012,T2012)=1,1,0)</f>
        <v>1</v>
      </c>
    </row>
    <row r="2013" customFormat="false" ht="15" hidden="false" customHeight="false" outlineLevel="0" collapsed="false">
      <c r="A2013" s="13" t="s">
        <v>109</v>
      </c>
      <c r="B2013" s="13" t="s">
        <v>69</v>
      </c>
      <c r="C2013" s="13" t="n">
        <v>48100</v>
      </c>
      <c r="D2013" s="13" t="n">
        <v>60</v>
      </c>
      <c r="E2013" s="13" t="n">
        <v>740.233384615385</v>
      </c>
      <c r="F2013" s="13" t="s">
        <v>5325</v>
      </c>
      <c r="G2013" s="13" t="s">
        <v>5289</v>
      </c>
      <c r="H2013" s="13" t="s">
        <v>5289</v>
      </c>
      <c r="I2013" s="13" t="s">
        <v>5289</v>
      </c>
      <c r="J2013" s="13" t="s">
        <v>5289</v>
      </c>
      <c r="K2013" s="13" t="s">
        <v>5289</v>
      </c>
      <c r="L2013" s="13" t="n">
        <v>3614273321891</v>
      </c>
      <c r="M2013" s="13"/>
      <c r="N2013" s="13" t="n">
        <v>3614273321891</v>
      </c>
      <c r="O2013" s="13"/>
      <c r="P2013" s="13" t="s">
        <v>5291</v>
      </c>
      <c r="Q2013" s="13" t="s">
        <v>5289</v>
      </c>
      <c r="R2013" s="13" t="s">
        <v>5292</v>
      </c>
      <c r="S2013" s="13" t="s">
        <v>5293</v>
      </c>
      <c r="T2013" s="13" t="s">
        <v>5</v>
      </c>
      <c r="U2013" s="13" t="s">
        <v>43</v>
      </c>
      <c r="V2013" s="13" t="n">
        <f aca="false">IF(COUNTIF($B$2:B2013,B2013)=1,1,0)</f>
        <v>0</v>
      </c>
      <c r="W2013" s="13" t="n">
        <f aca="false">IF(COUNTIFS($B$2:B2013,B2013,$T$2:T2013,T2013)=1,1,0)</f>
        <v>0</v>
      </c>
    </row>
    <row r="2014" customFormat="false" ht="15" hidden="false" customHeight="false" outlineLevel="0" collapsed="false">
      <c r="A2014" s="13" t="s">
        <v>110</v>
      </c>
      <c r="B2014" s="13" t="s">
        <v>50</v>
      </c>
      <c r="C2014" s="13" t="n">
        <v>47100</v>
      </c>
      <c r="D2014" s="13" t="n">
        <v>50</v>
      </c>
      <c r="E2014" s="13" t="n">
        <v>871.449074074074</v>
      </c>
      <c r="F2014" s="13" t="s">
        <v>5325</v>
      </c>
      <c r="G2014" s="13" t="s">
        <v>5289</v>
      </c>
      <c r="H2014" s="13" t="s">
        <v>5289</v>
      </c>
      <c r="I2014" s="13" t="s">
        <v>5289</v>
      </c>
      <c r="J2014" s="13" t="s">
        <v>5289</v>
      </c>
      <c r="K2014" s="13" t="s">
        <v>5289</v>
      </c>
      <c r="L2014" s="13"/>
      <c r="M2014" s="13"/>
      <c r="N2014" s="13" t="n">
        <v>3349668644940</v>
      </c>
      <c r="O2014" s="13"/>
      <c r="P2014" s="13" t="s">
        <v>5297</v>
      </c>
      <c r="Q2014" s="13" t="s">
        <v>5289</v>
      </c>
      <c r="R2014" s="13" t="s">
        <v>5292</v>
      </c>
      <c r="S2014" s="13" t="s">
        <v>5293</v>
      </c>
      <c r="T2014" s="13" t="s">
        <v>5</v>
      </c>
      <c r="U2014" s="13" t="s">
        <v>43</v>
      </c>
      <c r="V2014" s="13" t="n">
        <f aca="false">IF(COUNTIF($B$2:B2014,B2014)=1,1,0)</f>
        <v>0</v>
      </c>
      <c r="W2014" s="13" t="n">
        <f aca="false">IF(COUNTIFS($B$2:B2014,B2014,$T$2:T2014,T2014)=1,1,0)</f>
        <v>0</v>
      </c>
    </row>
    <row r="2015" customFormat="false" ht="15" hidden="false" customHeight="false" outlineLevel="0" collapsed="false">
      <c r="A2015" s="13" t="s">
        <v>113</v>
      </c>
      <c r="B2015" s="13" t="s">
        <v>45</v>
      </c>
      <c r="C2015" s="13" t="n">
        <v>44900</v>
      </c>
      <c r="D2015" s="13" t="n">
        <v>60</v>
      </c>
      <c r="E2015" s="13" t="n">
        <v>691.533846153846</v>
      </c>
      <c r="F2015" s="13" t="s">
        <v>5325</v>
      </c>
      <c r="G2015" s="13" t="s">
        <v>5289</v>
      </c>
      <c r="H2015" s="13" t="s">
        <v>5289</v>
      </c>
      <c r="I2015" s="13" t="s">
        <v>5289</v>
      </c>
      <c r="J2015" s="13" t="s">
        <v>5289</v>
      </c>
      <c r="K2015" s="13" t="s">
        <v>5289</v>
      </c>
      <c r="L2015" s="13" t="n">
        <v>8435415059060</v>
      </c>
      <c r="M2015" s="13"/>
      <c r="N2015" s="13" t="n">
        <v>8435415059060</v>
      </c>
      <c r="O2015" s="13"/>
      <c r="P2015" s="13" t="s">
        <v>5291</v>
      </c>
      <c r="Q2015" s="13" t="s">
        <v>5289</v>
      </c>
      <c r="R2015" s="13" t="s">
        <v>5292</v>
      </c>
      <c r="S2015" s="13" t="s">
        <v>5293</v>
      </c>
      <c r="T2015" s="13" t="s">
        <v>5</v>
      </c>
      <c r="U2015" s="13" t="s">
        <v>43</v>
      </c>
      <c r="V2015" s="13" t="n">
        <f aca="false">IF(COUNTIF($B$2:B2015,B2015)=1,1,0)</f>
        <v>0</v>
      </c>
      <c r="W2015" s="13" t="n">
        <f aca="false">IF(COUNTIFS($B$2:B2015,B2015,$T$2:T2015,T2015)=1,1,0)</f>
        <v>0</v>
      </c>
    </row>
    <row r="2016" customFormat="false" ht="15" hidden="false" customHeight="false" outlineLevel="0" collapsed="false">
      <c r="A2016" s="13" t="s">
        <v>90</v>
      </c>
      <c r="B2016" s="13" t="s">
        <v>54</v>
      </c>
      <c r="C2016" s="13" t="n">
        <v>44400</v>
      </c>
      <c r="D2016" s="13" t="n">
        <v>140</v>
      </c>
      <c r="E2016" s="13" t="n">
        <v>310.207832167832</v>
      </c>
      <c r="F2016" s="13" t="s">
        <v>5288</v>
      </c>
      <c r="G2016" s="13" t="s">
        <v>5289</v>
      </c>
      <c r="H2016" s="13" t="s">
        <v>5289</v>
      </c>
      <c r="I2016" s="13" t="s">
        <v>5289</v>
      </c>
      <c r="J2016" s="13" t="s">
        <v>5289</v>
      </c>
      <c r="K2016" s="13" t="s">
        <v>5289</v>
      </c>
      <c r="L2016" s="13" t="n">
        <v>729238146570</v>
      </c>
      <c r="M2016" s="13"/>
      <c r="N2016" s="13" t="n">
        <v>729238146570</v>
      </c>
      <c r="O2016" s="13"/>
      <c r="P2016" s="13" t="s">
        <v>5297</v>
      </c>
      <c r="Q2016" s="13" t="s">
        <v>5289</v>
      </c>
      <c r="R2016" s="13" t="s">
        <v>5292</v>
      </c>
      <c r="S2016" s="13" t="s">
        <v>5293</v>
      </c>
      <c r="T2016" s="13" t="s">
        <v>5</v>
      </c>
      <c r="U2016" s="13" t="s">
        <v>43</v>
      </c>
      <c r="V2016" s="13" t="n">
        <f aca="false">IF(COUNTIF($B$2:B2016,B2016)=1,1,0)</f>
        <v>0</v>
      </c>
      <c r="W2016" s="13" t="n">
        <f aca="false">IF(COUNTIFS($B$2:B2016,B2016,$T$2:T2016,T2016)=1,1,0)</f>
        <v>0</v>
      </c>
    </row>
    <row r="2017" customFormat="false" ht="15" hidden="false" customHeight="false" outlineLevel="0" collapsed="false">
      <c r="A2017" s="13" t="s">
        <v>119</v>
      </c>
      <c r="B2017" s="13" t="s">
        <v>45</v>
      </c>
      <c r="C2017" s="13" t="n">
        <v>43000</v>
      </c>
      <c r="D2017" s="13" t="n">
        <v>60</v>
      </c>
      <c r="E2017" s="13" t="n">
        <v>705.696721311475</v>
      </c>
      <c r="F2017" s="13" t="s">
        <v>5325</v>
      </c>
      <c r="G2017" s="13" t="s">
        <v>5289</v>
      </c>
      <c r="H2017" s="13" t="s">
        <v>5289</v>
      </c>
      <c r="I2017" s="13" t="s">
        <v>5289</v>
      </c>
      <c r="J2017" s="13" t="s">
        <v>5289</v>
      </c>
      <c r="K2017" s="13" t="s">
        <v>5289</v>
      </c>
      <c r="L2017" s="13" t="n">
        <v>8435415076944</v>
      </c>
      <c r="M2017" s="13"/>
      <c r="N2017" s="13" t="n">
        <v>8435415076944</v>
      </c>
      <c r="O2017" s="13"/>
      <c r="P2017" s="13" t="s">
        <v>5291</v>
      </c>
      <c r="Q2017" s="13" t="s">
        <v>5289</v>
      </c>
      <c r="R2017" s="13" t="s">
        <v>5292</v>
      </c>
      <c r="S2017" s="13" t="s">
        <v>5293</v>
      </c>
      <c r="T2017" s="13" t="s">
        <v>5</v>
      </c>
      <c r="U2017" s="13" t="s">
        <v>43</v>
      </c>
      <c r="V2017" s="13" t="n">
        <f aca="false">IF(COUNTIF($B$2:B2017,B2017)=1,1,0)</f>
        <v>0</v>
      </c>
      <c r="W2017" s="13" t="n">
        <f aca="false">IF(COUNTIFS($B$2:B2017,B2017,$T$2:T2017,T2017)=1,1,0)</f>
        <v>0</v>
      </c>
    </row>
    <row r="2018" customFormat="false" ht="15" hidden="false" customHeight="false" outlineLevel="0" collapsed="false">
      <c r="A2018" s="13" t="s">
        <v>44</v>
      </c>
      <c r="B2018" s="13" t="s">
        <v>42</v>
      </c>
      <c r="C2018" s="13" t="n">
        <v>42700</v>
      </c>
      <c r="D2018" s="13" t="n">
        <v>100</v>
      </c>
      <c r="E2018" s="13" t="n">
        <v>406.613809523809</v>
      </c>
      <c r="F2018" s="13" t="s">
        <v>5325</v>
      </c>
      <c r="G2018" s="13" t="s">
        <v>5289</v>
      </c>
      <c r="H2018" s="13" t="s">
        <v>5289</v>
      </c>
      <c r="I2018" s="13" t="s">
        <v>5289</v>
      </c>
      <c r="J2018" s="13" t="s">
        <v>5289</v>
      </c>
      <c r="K2018" s="13" t="s">
        <v>5289</v>
      </c>
      <c r="L2018" s="13" t="n">
        <v>8411061041673</v>
      </c>
      <c r="M2018" s="13"/>
      <c r="N2018" s="13" t="n">
        <v>8411061041673</v>
      </c>
      <c r="O2018" s="13"/>
      <c r="P2018" s="13" t="s">
        <v>5291</v>
      </c>
      <c r="Q2018" s="13" t="s">
        <v>5289</v>
      </c>
      <c r="R2018" s="13" t="s">
        <v>5292</v>
      </c>
      <c r="S2018" s="13" t="s">
        <v>5293</v>
      </c>
      <c r="T2018" s="13" t="s">
        <v>5</v>
      </c>
      <c r="U2018" s="13" t="s">
        <v>43</v>
      </c>
      <c r="V2018" s="13" t="n">
        <f aca="false">IF(COUNTIF($B$2:B2018,B2018)=1,1,0)</f>
        <v>0</v>
      </c>
      <c r="W2018" s="13" t="n">
        <f aca="false">IF(COUNTIFS($B$2:B2018,B2018,$T$2:T2018,T2018)=1,1,0)</f>
        <v>0</v>
      </c>
    </row>
    <row r="2019" customFormat="false" ht="15" hidden="false" customHeight="false" outlineLevel="0" collapsed="false">
      <c r="A2019" s="13" t="s">
        <v>76</v>
      </c>
      <c r="B2019" s="13" t="s">
        <v>69</v>
      </c>
      <c r="C2019" s="13" t="n">
        <v>41800</v>
      </c>
      <c r="D2019" s="13" t="n">
        <v>70</v>
      </c>
      <c r="E2019" s="13" t="n">
        <v>572.608493150685</v>
      </c>
      <c r="F2019" s="13" t="s">
        <v>5288</v>
      </c>
      <c r="G2019" s="13" t="s">
        <v>5289</v>
      </c>
      <c r="H2019" s="13" t="s">
        <v>5289</v>
      </c>
      <c r="I2019" s="13" t="s">
        <v>5289</v>
      </c>
      <c r="J2019" s="13" t="s">
        <v>5289</v>
      </c>
      <c r="K2019" s="13" t="s">
        <v>5289</v>
      </c>
      <c r="L2019" s="13" t="n">
        <v>3614273852821</v>
      </c>
      <c r="M2019" s="13"/>
      <c r="N2019" s="13" t="n">
        <v>3614273852821</v>
      </c>
      <c r="O2019" s="13"/>
      <c r="P2019" s="13" t="s">
        <v>5291</v>
      </c>
      <c r="Q2019" s="13" t="s">
        <v>5289</v>
      </c>
      <c r="R2019" s="13" t="s">
        <v>5292</v>
      </c>
      <c r="S2019" s="13" t="s">
        <v>5293</v>
      </c>
      <c r="T2019" s="13" t="s">
        <v>5</v>
      </c>
      <c r="U2019" s="13" t="s">
        <v>43</v>
      </c>
      <c r="V2019" s="13" t="n">
        <f aca="false">IF(COUNTIF($B$2:B2019,B2019)=1,1,0)</f>
        <v>0</v>
      </c>
      <c r="W2019" s="13" t="n">
        <f aca="false">IF(COUNTIFS($B$2:B2019,B2019,$T$2:T2019,T2019)=1,1,0)</f>
        <v>0</v>
      </c>
    </row>
    <row r="2020" customFormat="false" ht="15" hidden="false" customHeight="false" outlineLevel="0" collapsed="false">
      <c r="A2020" s="13" t="s">
        <v>120</v>
      </c>
      <c r="B2020" s="13" t="s">
        <v>69</v>
      </c>
      <c r="C2020" s="13" t="n">
        <v>40700</v>
      </c>
      <c r="D2020" s="13" t="n">
        <v>90</v>
      </c>
      <c r="E2020" s="13" t="n">
        <v>468.215977011494</v>
      </c>
      <c r="F2020" s="13" t="s">
        <v>5325</v>
      </c>
      <c r="G2020" s="13" t="s">
        <v>5289</v>
      </c>
      <c r="H2020" s="13" t="s">
        <v>5289</v>
      </c>
      <c r="I2020" s="13" t="s">
        <v>5289</v>
      </c>
      <c r="J2020" s="13" t="s">
        <v>5289</v>
      </c>
      <c r="K2020" s="13" t="s">
        <v>5289</v>
      </c>
      <c r="L2020" s="13" t="n">
        <v>3614273069533</v>
      </c>
      <c r="M2020" s="13"/>
      <c r="N2020" s="13" t="n">
        <v>3614273069533</v>
      </c>
      <c r="O2020" s="13"/>
      <c r="P2020" s="13" t="s">
        <v>5291</v>
      </c>
      <c r="Q2020" s="13" t="s">
        <v>5289</v>
      </c>
      <c r="R2020" s="13" t="s">
        <v>5292</v>
      </c>
      <c r="S2020" s="13" t="s">
        <v>5293</v>
      </c>
      <c r="T2020" s="13" t="s">
        <v>5</v>
      </c>
      <c r="U2020" s="13" t="s">
        <v>43</v>
      </c>
      <c r="V2020" s="13" t="n">
        <f aca="false">IF(COUNTIF($B$2:B2020,B2020)=1,1,0)</f>
        <v>0</v>
      </c>
      <c r="W2020" s="13" t="n">
        <f aca="false">IF(COUNTIFS($B$2:B2020,B2020,$T$2:T2020,T2020)=1,1,0)</f>
        <v>0</v>
      </c>
    </row>
    <row r="2021" customFormat="false" ht="15" hidden="false" customHeight="false" outlineLevel="0" collapsed="false">
      <c r="A2021" s="13" t="s">
        <v>122</v>
      </c>
      <c r="B2021" s="13" t="s">
        <v>121</v>
      </c>
      <c r="C2021" s="13" t="n">
        <v>39200</v>
      </c>
      <c r="D2021" s="13" t="n">
        <v>200</v>
      </c>
      <c r="E2021" s="13" t="n">
        <v>198.204545454545</v>
      </c>
      <c r="F2021" s="13" t="s">
        <v>5325</v>
      </c>
      <c r="G2021" s="13" t="s">
        <v>5289</v>
      </c>
      <c r="H2021" s="13" t="s">
        <v>5289</v>
      </c>
      <c r="I2021" s="13" t="s">
        <v>5289</v>
      </c>
      <c r="J2021" s="13" t="s">
        <v>5289</v>
      </c>
      <c r="K2021" s="13" t="s">
        <v>5292</v>
      </c>
      <c r="L2021" s="13" t="n">
        <v>7896086911919</v>
      </c>
      <c r="M2021" s="13"/>
      <c r="N2021" s="13" t="n">
        <v>7896086911919</v>
      </c>
      <c r="O2021" s="13"/>
      <c r="P2021" s="13" t="s">
        <v>5291</v>
      </c>
      <c r="Q2021" s="13" t="s">
        <v>5289</v>
      </c>
      <c r="R2021" s="13" t="s">
        <v>5292</v>
      </c>
      <c r="S2021" s="13" t="s">
        <v>5293</v>
      </c>
      <c r="T2021" s="13" t="s">
        <v>5</v>
      </c>
      <c r="U2021" s="13" t="s">
        <v>43</v>
      </c>
      <c r="V2021" s="13" t="n">
        <f aca="false">IF(COUNTIF($B$2:B2021,B2021)=1,1,0)</f>
        <v>1</v>
      </c>
      <c r="W2021" s="13" t="n">
        <f aca="false">IF(COUNTIFS($B$2:B2021,B2021,$T$2:T2021,T2021)=1,1,0)</f>
        <v>1</v>
      </c>
    </row>
    <row r="2022" customFormat="false" ht="15" hidden="false" customHeight="false" outlineLevel="0" collapsed="false">
      <c r="A2022" s="13" t="s">
        <v>46</v>
      </c>
      <c r="B2022" s="13" t="s">
        <v>45</v>
      </c>
      <c r="C2022" s="13" t="n">
        <v>36100</v>
      </c>
      <c r="D2022" s="13" t="n">
        <v>60</v>
      </c>
      <c r="E2022" s="13" t="n">
        <v>644.227142857143</v>
      </c>
      <c r="F2022" s="13" t="s">
        <v>5288</v>
      </c>
      <c r="G2022" s="13" t="s">
        <v>5289</v>
      </c>
      <c r="H2022" s="13" t="s">
        <v>5289</v>
      </c>
      <c r="I2022" s="13" t="s">
        <v>5289</v>
      </c>
      <c r="J2022" s="13" t="s">
        <v>5289</v>
      </c>
      <c r="K2022" s="13" t="s">
        <v>5289</v>
      </c>
      <c r="L2022" s="13"/>
      <c r="M2022" s="13"/>
      <c r="N2022" s="13" t="n">
        <v>8435415102346</v>
      </c>
      <c r="O2022" s="13"/>
      <c r="P2022" s="13" t="s">
        <v>5291</v>
      </c>
      <c r="Q2022" s="13" t="s">
        <v>5289</v>
      </c>
      <c r="R2022" s="13" t="s">
        <v>5292</v>
      </c>
      <c r="S2022" s="13" t="s">
        <v>5293</v>
      </c>
      <c r="T2022" s="13" t="s">
        <v>5</v>
      </c>
      <c r="U2022" s="13" t="s">
        <v>43</v>
      </c>
      <c r="V2022" s="13" t="n">
        <f aca="false">IF(COUNTIF($B$2:B2022,B2022)=1,1,0)</f>
        <v>0</v>
      </c>
      <c r="W2022" s="13" t="n">
        <f aca="false">IF(COUNTIFS($B$2:B2022,B2022,$T$2:T2022,T2022)=1,1,0)</f>
        <v>0</v>
      </c>
    </row>
    <row r="2023" customFormat="false" ht="15" hidden="false" customHeight="false" outlineLevel="0" collapsed="false">
      <c r="A2023" s="13" t="s">
        <v>125</v>
      </c>
      <c r="B2023" s="13" t="s">
        <v>124</v>
      </c>
      <c r="C2023" s="13" t="n">
        <v>35100</v>
      </c>
      <c r="D2023" s="13" t="n">
        <v>40</v>
      </c>
      <c r="E2023" s="13" t="n">
        <v>779</v>
      </c>
      <c r="F2023" s="13" t="s">
        <v>5288</v>
      </c>
      <c r="G2023" s="13" t="s">
        <v>5289</v>
      </c>
      <c r="H2023" s="13" t="s">
        <v>5289</v>
      </c>
      <c r="I2023" s="13" t="s">
        <v>5289</v>
      </c>
      <c r="J2023" s="13" t="s">
        <v>5289</v>
      </c>
      <c r="K2023" s="13" t="s">
        <v>5289</v>
      </c>
      <c r="L2023" s="13" t="n">
        <v>3614273953832</v>
      </c>
      <c r="M2023" s="13"/>
      <c r="N2023" s="13" t="n">
        <v>3614273953832</v>
      </c>
      <c r="O2023" s="13"/>
      <c r="P2023" s="13" t="s">
        <v>5291</v>
      </c>
      <c r="Q2023" s="13" t="s">
        <v>5289</v>
      </c>
      <c r="R2023" s="13" t="s">
        <v>5292</v>
      </c>
      <c r="S2023" s="13" t="s">
        <v>5293</v>
      </c>
      <c r="T2023" s="13" t="s">
        <v>5</v>
      </c>
      <c r="U2023" s="13" t="s">
        <v>43</v>
      </c>
      <c r="V2023" s="13" t="n">
        <f aca="false">IF(COUNTIF($B$2:B2023,B2023)=1,1,0)</f>
        <v>1</v>
      </c>
      <c r="W2023" s="13" t="n">
        <f aca="false">IF(COUNTIFS($B$2:B2023,B2023,$T$2:T2023,T2023)=1,1,0)</f>
        <v>1</v>
      </c>
    </row>
    <row r="2024" customFormat="false" ht="15" hidden="false" customHeight="false" outlineLevel="0" collapsed="false">
      <c r="A2024" s="13" t="s">
        <v>89</v>
      </c>
      <c r="B2024" s="13" t="s">
        <v>42</v>
      </c>
      <c r="C2024" s="13" t="n">
        <v>34900</v>
      </c>
      <c r="D2024" s="13" t="n">
        <v>60</v>
      </c>
      <c r="E2024" s="13" t="n">
        <v>633.914545454545</v>
      </c>
      <c r="F2024" s="13" t="s">
        <v>5288</v>
      </c>
      <c r="G2024" s="13" t="s">
        <v>5289</v>
      </c>
      <c r="H2024" s="13" t="s">
        <v>5289</v>
      </c>
      <c r="I2024" s="13" t="s">
        <v>5289</v>
      </c>
      <c r="J2024" s="13" t="s">
        <v>5289</v>
      </c>
      <c r="K2024" s="13" t="s">
        <v>5289</v>
      </c>
      <c r="L2024" s="13" t="n">
        <v>8411061043868</v>
      </c>
      <c r="M2024" s="13"/>
      <c r="N2024" s="13" t="n">
        <v>8.41106185316084E+038</v>
      </c>
      <c r="O2024" s="13"/>
      <c r="P2024" s="13" t="s">
        <v>5291</v>
      </c>
      <c r="Q2024" s="13" t="s">
        <v>5289</v>
      </c>
      <c r="R2024" s="13" t="s">
        <v>5292</v>
      </c>
      <c r="S2024" s="13" t="s">
        <v>5293</v>
      </c>
      <c r="T2024" s="13" t="s">
        <v>5</v>
      </c>
      <c r="U2024" s="13" t="s">
        <v>43</v>
      </c>
      <c r="V2024" s="13" t="n">
        <f aca="false">IF(COUNTIF($B$2:B2024,B2024)=1,1,0)</f>
        <v>0</v>
      </c>
      <c r="W2024" s="13" t="n">
        <f aca="false">IF(COUNTIFS($B$2:B2024,B2024,$T$2:T2024,T2024)=1,1,0)</f>
        <v>0</v>
      </c>
    </row>
    <row r="2025" customFormat="false" ht="15" hidden="false" customHeight="false" outlineLevel="0" collapsed="false">
      <c r="A2025" s="13" t="s">
        <v>134</v>
      </c>
      <c r="B2025" s="13" t="s">
        <v>69</v>
      </c>
      <c r="C2025" s="13" t="n">
        <v>33600</v>
      </c>
      <c r="D2025" s="13" t="n">
        <v>40</v>
      </c>
      <c r="E2025" s="13" t="n">
        <v>909.405675675676</v>
      </c>
      <c r="F2025" s="13" t="s">
        <v>5325</v>
      </c>
      <c r="G2025" s="13" t="s">
        <v>5289</v>
      </c>
      <c r="H2025" s="13" t="s">
        <v>5289</v>
      </c>
      <c r="I2025" s="13" t="s">
        <v>5289</v>
      </c>
      <c r="J2025" s="13" t="s">
        <v>5289</v>
      </c>
      <c r="K2025" s="13" t="s">
        <v>5289</v>
      </c>
      <c r="L2025" s="13" t="n">
        <v>3614274114645</v>
      </c>
      <c r="M2025" s="13"/>
      <c r="N2025" s="13" t="n">
        <v>3614274114645</v>
      </c>
      <c r="O2025" s="13"/>
      <c r="P2025" s="13" t="s">
        <v>5291</v>
      </c>
      <c r="Q2025" s="13" t="s">
        <v>5289</v>
      </c>
      <c r="R2025" s="13" t="s">
        <v>5292</v>
      </c>
      <c r="S2025" s="13" t="s">
        <v>5293</v>
      </c>
      <c r="T2025" s="13" t="s">
        <v>5</v>
      </c>
      <c r="U2025" s="13" t="s">
        <v>43</v>
      </c>
      <c r="V2025" s="13" t="n">
        <f aca="false">IF(COUNTIF($B$2:B2025,B2025)=1,1,0)</f>
        <v>0</v>
      </c>
      <c r="W2025" s="13" t="n">
        <f aca="false">IF(COUNTIFS($B$2:B2025,B2025,$T$2:T2025,T2025)=1,1,0)</f>
        <v>0</v>
      </c>
    </row>
    <row r="2026" customFormat="false" ht="15" hidden="false" customHeight="false" outlineLevel="0" collapsed="false">
      <c r="A2026" s="13" t="s">
        <v>78</v>
      </c>
      <c r="B2026" s="13" t="s">
        <v>69</v>
      </c>
      <c r="C2026" s="13" t="n">
        <v>33100</v>
      </c>
      <c r="D2026" s="13" t="n">
        <v>40</v>
      </c>
      <c r="E2026" s="13" t="n">
        <v>893.516486486487</v>
      </c>
      <c r="F2026" s="13" t="s">
        <v>5325</v>
      </c>
      <c r="G2026" s="13" t="s">
        <v>5292</v>
      </c>
      <c r="H2026" s="13" t="s">
        <v>5289</v>
      </c>
      <c r="I2026" s="13" t="s">
        <v>5289</v>
      </c>
      <c r="J2026" s="13" t="s">
        <v>5289</v>
      </c>
      <c r="K2026" s="13" t="s">
        <v>5289</v>
      </c>
      <c r="L2026" s="13"/>
      <c r="M2026" s="13"/>
      <c r="N2026" s="13" t="n">
        <v>3614273069557</v>
      </c>
      <c r="O2026" s="13"/>
      <c r="P2026" s="13" t="s">
        <v>5291</v>
      </c>
      <c r="Q2026" s="13" t="s">
        <v>5289</v>
      </c>
      <c r="R2026" s="13" t="s">
        <v>5292</v>
      </c>
      <c r="S2026" s="13" t="s">
        <v>5293</v>
      </c>
      <c r="T2026" s="13" t="s">
        <v>5</v>
      </c>
      <c r="U2026" s="13" t="s">
        <v>43</v>
      </c>
      <c r="V2026" s="13" t="n">
        <f aca="false">IF(COUNTIF($B$2:B2026,B2026)=1,1,0)</f>
        <v>0</v>
      </c>
      <c r="W2026" s="13" t="n">
        <f aca="false">IF(COUNTIFS($B$2:B2026,B2026,$T$2:T2026,T2026)=1,1,0)</f>
        <v>0</v>
      </c>
    </row>
    <row r="2027" customFormat="false" ht="15" hidden="false" customHeight="false" outlineLevel="0" collapsed="false">
      <c r="A2027" s="13" t="s">
        <v>137</v>
      </c>
      <c r="B2027" s="13" t="s">
        <v>42</v>
      </c>
      <c r="C2027" s="13" t="n">
        <v>33000</v>
      </c>
      <c r="D2027" s="13" t="n">
        <v>40</v>
      </c>
      <c r="E2027" s="13" t="n">
        <v>786.357142857143</v>
      </c>
      <c r="F2027" s="13" t="s">
        <v>5325</v>
      </c>
      <c r="G2027" s="13" t="s">
        <v>5289</v>
      </c>
      <c r="H2027" s="13" t="s">
        <v>5289</v>
      </c>
      <c r="I2027" s="13" t="s">
        <v>5289</v>
      </c>
      <c r="J2027" s="13" t="s">
        <v>5289</v>
      </c>
      <c r="K2027" s="13" t="s">
        <v>5289</v>
      </c>
      <c r="L2027" s="13"/>
      <c r="M2027" s="13"/>
      <c r="N2027" s="13" t="n">
        <v>8411061077160</v>
      </c>
      <c r="O2027" s="13"/>
      <c r="P2027" s="13" t="s">
        <v>5291</v>
      </c>
      <c r="Q2027" s="13" t="s">
        <v>5289</v>
      </c>
      <c r="R2027" s="13" t="s">
        <v>5292</v>
      </c>
      <c r="S2027" s="13" t="s">
        <v>5293</v>
      </c>
      <c r="T2027" s="13" t="s">
        <v>5</v>
      </c>
      <c r="U2027" s="13" t="s">
        <v>43</v>
      </c>
      <c r="V2027" s="13" t="n">
        <f aca="false">IF(COUNTIF($B$2:B2027,B2027)=1,1,0)</f>
        <v>0</v>
      </c>
      <c r="W2027" s="13" t="n">
        <f aca="false">IF(COUNTIFS($B$2:B2027,B2027,$T$2:T2027,T2027)=1,1,0)</f>
        <v>0</v>
      </c>
    </row>
    <row r="2028" customFormat="false" ht="15" hidden="false" customHeight="false" outlineLevel="0" collapsed="false">
      <c r="A2028" s="13" t="s">
        <v>73</v>
      </c>
      <c r="B2028" s="13" t="s">
        <v>72</v>
      </c>
      <c r="C2028" s="13" t="n">
        <v>32000</v>
      </c>
      <c r="D2028" s="13" t="n">
        <v>40</v>
      </c>
      <c r="E2028" s="13" t="n">
        <v>762.234523809524</v>
      </c>
      <c r="F2028" s="13" t="s">
        <v>5325</v>
      </c>
      <c r="G2028" s="13" t="s">
        <v>5289</v>
      </c>
      <c r="H2028" s="13" t="s">
        <v>5289</v>
      </c>
      <c r="I2028" s="13" t="s">
        <v>5289</v>
      </c>
      <c r="J2028" s="13" t="s">
        <v>5289</v>
      </c>
      <c r="K2028" s="13" t="s">
        <v>5289</v>
      </c>
      <c r="L2028" s="13" t="n">
        <v>3614273760164</v>
      </c>
      <c r="M2028" s="13"/>
      <c r="N2028" s="13" t="n">
        <v>3614273760164</v>
      </c>
      <c r="O2028" s="13"/>
      <c r="P2028" s="13" t="s">
        <v>5297</v>
      </c>
      <c r="Q2028" s="13" t="s">
        <v>5289</v>
      </c>
      <c r="R2028" s="13" t="s">
        <v>5292</v>
      </c>
      <c r="S2028" s="13" t="s">
        <v>5293</v>
      </c>
      <c r="T2028" s="13" t="s">
        <v>5</v>
      </c>
      <c r="U2028" s="13" t="s">
        <v>43</v>
      </c>
      <c r="V2028" s="13" t="n">
        <f aca="false">IF(COUNTIF($B$2:B2028,B2028)=1,1,0)</f>
        <v>0</v>
      </c>
      <c r="W2028" s="13" t="n">
        <f aca="false">IF(COUNTIFS($B$2:B2028,B2028,$T$2:T2028,T2028)=1,1,0)</f>
        <v>0</v>
      </c>
    </row>
    <row r="2029" customFormat="false" ht="15" hidden="false" customHeight="false" outlineLevel="0" collapsed="false">
      <c r="A2029" s="13" t="s">
        <v>151</v>
      </c>
      <c r="B2029" s="13" t="s">
        <v>42</v>
      </c>
      <c r="C2029" s="13" t="n">
        <v>31100</v>
      </c>
      <c r="D2029" s="13" t="n">
        <v>40</v>
      </c>
      <c r="E2029" s="13" t="n">
        <v>707.921590909091</v>
      </c>
      <c r="F2029" s="13" t="s">
        <v>5325</v>
      </c>
      <c r="G2029" s="13" t="s">
        <v>5289</v>
      </c>
      <c r="H2029" s="13" t="s">
        <v>5289</v>
      </c>
      <c r="I2029" s="13" t="s">
        <v>5289</v>
      </c>
      <c r="J2029" s="13" t="s">
        <v>5289</v>
      </c>
      <c r="K2029" s="13" t="s">
        <v>5289</v>
      </c>
      <c r="L2029" s="13" t="n">
        <v>8411061782347</v>
      </c>
      <c r="M2029" s="13"/>
      <c r="N2029" s="13" t="n">
        <v>8411061782347</v>
      </c>
      <c r="O2029" s="13"/>
      <c r="P2029" s="13" t="s">
        <v>5291</v>
      </c>
      <c r="Q2029" s="13" t="s">
        <v>5289</v>
      </c>
      <c r="R2029" s="13" t="s">
        <v>5292</v>
      </c>
      <c r="S2029" s="13" t="s">
        <v>5293</v>
      </c>
      <c r="T2029" s="13" t="s">
        <v>5</v>
      </c>
      <c r="U2029" s="13" t="s">
        <v>43</v>
      </c>
      <c r="V2029" s="13" t="n">
        <f aca="false">IF(COUNTIF($B$2:B2029,B2029)=1,1,0)</f>
        <v>0</v>
      </c>
      <c r="W2029" s="13" t="n">
        <f aca="false">IF(COUNTIFS($B$2:B2029,B2029,$T$2:T2029,T2029)=1,1,0)</f>
        <v>0</v>
      </c>
    </row>
    <row r="2030" customFormat="false" ht="15" hidden="false" customHeight="false" outlineLevel="0" collapsed="false">
      <c r="A2030" s="13" t="s">
        <v>152</v>
      </c>
      <c r="B2030" s="13" t="s">
        <v>42</v>
      </c>
      <c r="C2030" s="13" t="n">
        <v>30900</v>
      </c>
      <c r="D2030" s="13" t="n">
        <v>90</v>
      </c>
      <c r="E2030" s="13" t="n">
        <v>328.359361702128</v>
      </c>
      <c r="F2030" s="13" t="s">
        <v>5288</v>
      </c>
      <c r="G2030" s="13" t="s">
        <v>5289</v>
      </c>
      <c r="H2030" s="13" t="s">
        <v>5289</v>
      </c>
      <c r="I2030" s="13" t="s">
        <v>5289</v>
      </c>
      <c r="J2030" s="13" t="s">
        <v>5289</v>
      </c>
      <c r="K2030" s="13" t="s">
        <v>5289</v>
      </c>
      <c r="L2030" s="13" t="n">
        <v>8411061781197</v>
      </c>
      <c r="M2030" s="13"/>
      <c r="N2030" s="13" t="n">
        <v>8411061781197</v>
      </c>
      <c r="O2030" s="13"/>
      <c r="P2030" s="13" t="s">
        <v>5291</v>
      </c>
      <c r="Q2030" s="13" t="s">
        <v>5289</v>
      </c>
      <c r="R2030" s="13" t="s">
        <v>5292</v>
      </c>
      <c r="S2030" s="13" t="s">
        <v>5293</v>
      </c>
      <c r="T2030" s="13" t="s">
        <v>5</v>
      </c>
      <c r="U2030" s="13" t="s">
        <v>43</v>
      </c>
      <c r="V2030" s="13" t="n">
        <f aca="false">IF(COUNTIF($B$2:B2030,B2030)=1,1,0)</f>
        <v>0</v>
      </c>
      <c r="W2030" s="13" t="n">
        <f aca="false">IF(COUNTIFS($B$2:B2030,B2030,$T$2:T2030,T2030)=1,1,0)</f>
        <v>0</v>
      </c>
    </row>
    <row r="2031" customFormat="false" ht="15" hidden="false" customHeight="false" outlineLevel="0" collapsed="false">
      <c r="A2031" s="13" t="s">
        <v>154</v>
      </c>
      <c r="B2031" s="13" t="s">
        <v>153</v>
      </c>
      <c r="C2031" s="13" t="n">
        <v>30800</v>
      </c>
      <c r="D2031" s="13" t="n">
        <v>80</v>
      </c>
      <c r="E2031" s="13" t="n">
        <v>379.818395061728</v>
      </c>
      <c r="F2031" s="13" t="s">
        <v>5325</v>
      </c>
      <c r="G2031" s="13" t="s">
        <v>5289</v>
      </c>
      <c r="H2031" s="13" t="s">
        <v>5289</v>
      </c>
      <c r="I2031" s="13" t="s">
        <v>5289</v>
      </c>
      <c r="J2031" s="13" t="s">
        <v>5289</v>
      </c>
      <c r="K2031" s="13" t="s">
        <v>5289</v>
      </c>
      <c r="L2031" s="13"/>
      <c r="M2031" s="13"/>
      <c r="N2031" s="13" t="n">
        <v>8011003877904</v>
      </c>
      <c r="O2031" s="13"/>
      <c r="P2031" s="13" t="s">
        <v>5291</v>
      </c>
      <c r="Q2031" s="13" t="s">
        <v>5289</v>
      </c>
      <c r="R2031" s="13" t="s">
        <v>5292</v>
      </c>
      <c r="S2031" s="13" t="s">
        <v>5293</v>
      </c>
      <c r="T2031" s="13" t="s">
        <v>5</v>
      </c>
      <c r="U2031" s="13" t="s">
        <v>43</v>
      </c>
      <c r="V2031" s="13" t="n">
        <f aca="false">IF(COUNTIF($B$2:B2031,B2031)=1,1,0)</f>
        <v>0</v>
      </c>
      <c r="W2031" s="13" t="n">
        <f aca="false">IF(COUNTIFS($B$2:B2031,B2031,$T$2:T2031,T2031)=1,1,0)</f>
        <v>1</v>
      </c>
    </row>
    <row r="2032" customFormat="false" ht="15" hidden="false" customHeight="false" outlineLevel="0" collapsed="false">
      <c r="A2032" s="13" t="s">
        <v>160</v>
      </c>
      <c r="B2032" s="13" t="s">
        <v>50</v>
      </c>
      <c r="C2032" s="13" t="n">
        <v>30300</v>
      </c>
      <c r="D2032" s="13" t="n">
        <v>40</v>
      </c>
      <c r="E2032" s="13" t="n">
        <v>689.519318181818</v>
      </c>
      <c r="F2032" s="13" t="s">
        <v>5325</v>
      </c>
      <c r="G2032" s="13" t="s">
        <v>5289</v>
      </c>
      <c r="H2032" s="13" t="s">
        <v>5289</v>
      </c>
      <c r="I2032" s="13" t="s">
        <v>5289</v>
      </c>
      <c r="J2032" s="13" t="s">
        <v>5289</v>
      </c>
      <c r="K2032" s="13" t="s">
        <v>5289</v>
      </c>
      <c r="L2032" s="13" t="n">
        <v>3349668614608</v>
      </c>
      <c r="M2032" s="13"/>
      <c r="N2032" s="13" t="n">
        <v>3349668614608</v>
      </c>
      <c r="O2032" s="13"/>
      <c r="P2032" s="13" t="s">
        <v>5291</v>
      </c>
      <c r="Q2032" s="13" t="s">
        <v>5289</v>
      </c>
      <c r="R2032" s="13" t="s">
        <v>5292</v>
      </c>
      <c r="S2032" s="13" t="s">
        <v>5293</v>
      </c>
      <c r="T2032" s="13" t="s">
        <v>5</v>
      </c>
      <c r="U2032" s="13" t="s">
        <v>43</v>
      </c>
      <c r="V2032" s="13" t="n">
        <f aca="false">IF(COUNTIF($B$2:B2032,B2032)=1,1,0)</f>
        <v>0</v>
      </c>
      <c r="W2032" s="13" t="n">
        <f aca="false">IF(COUNTIFS($B$2:B2032,B2032,$T$2:T2032,T2032)=1,1,0)</f>
        <v>0</v>
      </c>
    </row>
    <row r="2033" customFormat="false" ht="15" hidden="false" customHeight="false" outlineLevel="0" collapsed="false">
      <c r="A2033" s="13" t="s">
        <v>125</v>
      </c>
      <c r="B2033" s="13" t="s">
        <v>124</v>
      </c>
      <c r="C2033" s="13" t="n">
        <v>30300</v>
      </c>
      <c r="D2033" s="13" t="n">
        <v>30</v>
      </c>
      <c r="E2033" s="13" t="n">
        <v>918.036363636364</v>
      </c>
      <c r="F2033" s="13" t="s">
        <v>5325</v>
      </c>
      <c r="G2033" s="13" t="s">
        <v>5289</v>
      </c>
      <c r="H2033" s="13" t="s">
        <v>5289</v>
      </c>
      <c r="I2033" s="13" t="s">
        <v>5289</v>
      </c>
      <c r="J2033" s="13" t="s">
        <v>5289</v>
      </c>
      <c r="K2033" s="13" t="s">
        <v>5289</v>
      </c>
      <c r="L2033" s="13" t="n">
        <v>3614273953672</v>
      </c>
      <c r="M2033" s="13"/>
      <c r="N2033" s="13" t="n">
        <v>3614273953672</v>
      </c>
      <c r="O2033" s="13"/>
      <c r="P2033" s="13" t="s">
        <v>5291</v>
      </c>
      <c r="Q2033" s="13" t="s">
        <v>5289</v>
      </c>
      <c r="R2033" s="13" t="s">
        <v>5292</v>
      </c>
      <c r="S2033" s="13" t="s">
        <v>5293</v>
      </c>
      <c r="T2033" s="13" t="s">
        <v>5</v>
      </c>
      <c r="U2033" s="13" t="s">
        <v>43</v>
      </c>
      <c r="V2033" s="13" t="n">
        <f aca="false">IF(COUNTIF($B$2:B2033,B2033)=1,1,0)</f>
        <v>0</v>
      </c>
      <c r="W2033" s="13" t="n">
        <f aca="false">IF(COUNTIFS($B$2:B2033,B2033,$T$2:T2033,T2033)=1,1,0)</f>
        <v>0</v>
      </c>
    </row>
    <row r="2034" customFormat="false" ht="15" hidden="false" customHeight="false" outlineLevel="0" collapsed="false">
      <c r="A2034" s="13" t="s">
        <v>159</v>
      </c>
      <c r="B2034" s="13" t="s">
        <v>72</v>
      </c>
      <c r="C2034" s="13" t="n">
        <v>30300</v>
      </c>
      <c r="D2034" s="13" t="n">
        <v>40</v>
      </c>
      <c r="E2034" s="13" t="n">
        <v>864.805714285714</v>
      </c>
      <c r="F2034" s="13" t="s">
        <v>5325</v>
      </c>
      <c r="G2034" s="13" t="s">
        <v>5289</v>
      </c>
      <c r="H2034" s="13" t="s">
        <v>5289</v>
      </c>
      <c r="I2034" s="13" t="s">
        <v>5289</v>
      </c>
      <c r="J2034" s="13" t="s">
        <v>5289</v>
      </c>
      <c r="K2034" s="13" t="s">
        <v>5289</v>
      </c>
      <c r="L2034" s="13" t="n">
        <v>3614273961707</v>
      </c>
      <c r="M2034" s="13"/>
      <c r="N2034" s="13" t="n">
        <v>3614273961707</v>
      </c>
      <c r="O2034" s="13"/>
      <c r="P2034" s="13" t="s">
        <v>5291</v>
      </c>
      <c r="Q2034" s="13" t="s">
        <v>5289</v>
      </c>
      <c r="R2034" s="13" t="s">
        <v>5292</v>
      </c>
      <c r="S2034" s="13" t="s">
        <v>5293</v>
      </c>
      <c r="T2034" s="13" t="s">
        <v>5</v>
      </c>
      <c r="U2034" s="13" t="s">
        <v>43</v>
      </c>
      <c r="V2034" s="13" t="n">
        <f aca="false">IF(COUNTIF($B$2:B2034,B2034)=1,1,0)</f>
        <v>0</v>
      </c>
      <c r="W2034" s="13" t="n">
        <f aca="false">IF(COUNTIFS($B$2:B2034,B2034,$T$2:T2034,T2034)=1,1,0)</f>
        <v>0</v>
      </c>
    </row>
    <row r="2035" customFormat="false" ht="15" hidden="false" customHeight="false" outlineLevel="0" collapsed="false">
      <c r="A2035" s="13" t="s">
        <v>52</v>
      </c>
      <c r="B2035" s="13" t="s">
        <v>50</v>
      </c>
      <c r="C2035" s="13" t="n">
        <v>29600</v>
      </c>
      <c r="D2035" s="13" t="n">
        <v>60</v>
      </c>
      <c r="E2035" s="13" t="n">
        <v>455.567538461538</v>
      </c>
      <c r="F2035" s="13" t="s">
        <v>5325</v>
      </c>
      <c r="G2035" s="13" t="s">
        <v>5289</v>
      </c>
      <c r="H2035" s="13" t="s">
        <v>5289</v>
      </c>
      <c r="I2035" s="13" t="s">
        <v>5289</v>
      </c>
      <c r="J2035" s="13" t="s">
        <v>5289</v>
      </c>
      <c r="K2035" s="13" t="s">
        <v>5289</v>
      </c>
      <c r="L2035" s="13" t="n">
        <v>3349666007921</v>
      </c>
      <c r="M2035" s="13"/>
      <c r="N2035" s="13" t="n">
        <v>3349666007921</v>
      </c>
      <c r="O2035" s="13"/>
      <c r="P2035" s="13" t="s">
        <v>5291</v>
      </c>
      <c r="Q2035" s="13" t="s">
        <v>5289</v>
      </c>
      <c r="R2035" s="13" t="s">
        <v>5292</v>
      </c>
      <c r="S2035" s="13" t="s">
        <v>5293</v>
      </c>
      <c r="T2035" s="13" t="s">
        <v>5</v>
      </c>
      <c r="U2035" s="13" t="s">
        <v>43</v>
      </c>
      <c r="V2035" s="13" t="n">
        <f aca="false">IF(COUNTIF($B$2:B2035,B2035)=1,1,0)</f>
        <v>0</v>
      </c>
      <c r="W2035" s="13" t="n">
        <f aca="false">IF(COUNTIFS($B$2:B2035,B2035,$T$2:T2035,T2035)=1,1,0)</f>
        <v>0</v>
      </c>
    </row>
    <row r="2036" customFormat="false" ht="15" hidden="false" customHeight="false" outlineLevel="0" collapsed="false">
      <c r="A2036" s="13" t="s">
        <v>101</v>
      </c>
      <c r="B2036" s="13" t="s">
        <v>45</v>
      </c>
      <c r="C2036" s="13" t="n">
        <v>29100</v>
      </c>
      <c r="D2036" s="13" t="n">
        <v>60</v>
      </c>
      <c r="E2036" s="13" t="n">
        <v>510.996315789474</v>
      </c>
      <c r="F2036" s="13" t="s">
        <v>5325</v>
      </c>
      <c r="G2036" s="13" t="s">
        <v>5289</v>
      </c>
      <c r="H2036" s="13" t="s">
        <v>5289</v>
      </c>
      <c r="I2036" s="13" t="s">
        <v>5289</v>
      </c>
      <c r="J2036" s="13" t="s">
        <v>5289</v>
      </c>
      <c r="K2036" s="13" t="s">
        <v>5289</v>
      </c>
      <c r="L2036" s="13" t="n">
        <v>8435415032278</v>
      </c>
      <c r="M2036" s="13"/>
      <c r="N2036" s="13" t="n">
        <v>8435415032278</v>
      </c>
      <c r="O2036" s="13"/>
      <c r="P2036" s="13" t="s">
        <v>5291</v>
      </c>
      <c r="Q2036" s="13" t="s">
        <v>5289</v>
      </c>
      <c r="R2036" s="13" t="s">
        <v>5292</v>
      </c>
      <c r="S2036" s="13" t="s">
        <v>5293</v>
      </c>
      <c r="T2036" s="13" t="s">
        <v>5</v>
      </c>
      <c r="U2036" s="13" t="s">
        <v>43</v>
      </c>
      <c r="V2036" s="13" t="n">
        <f aca="false">IF(COUNTIF($B$2:B2036,B2036)=1,1,0)</f>
        <v>0</v>
      </c>
      <c r="W2036" s="13" t="n">
        <f aca="false">IF(COUNTIFS($B$2:B2036,B2036,$T$2:T2036,T2036)=1,1,0)</f>
        <v>0</v>
      </c>
    </row>
    <row r="2037" customFormat="false" ht="15" hidden="false" customHeight="false" outlineLevel="0" collapsed="false">
      <c r="A2037" s="13" t="s">
        <v>101</v>
      </c>
      <c r="B2037" s="13" t="s">
        <v>45</v>
      </c>
      <c r="C2037" s="13" t="n">
        <v>28700</v>
      </c>
      <c r="D2037" s="13" t="n">
        <v>50</v>
      </c>
      <c r="E2037" s="13" t="n">
        <v>552</v>
      </c>
      <c r="F2037" s="13" t="s">
        <v>5325</v>
      </c>
      <c r="G2037" s="13" t="s">
        <v>5289</v>
      </c>
      <c r="H2037" s="13" t="s">
        <v>5289</v>
      </c>
      <c r="I2037" s="13" t="s">
        <v>5289</v>
      </c>
      <c r="J2037" s="13" t="s">
        <v>5289</v>
      </c>
      <c r="K2037" s="13" t="s">
        <v>5289</v>
      </c>
      <c r="L2037" s="13" t="n">
        <v>8435415012669</v>
      </c>
      <c r="M2037" s="13"/>
      <c r="N2037" s="13" t="n">
        <v>8435415012669</v>
      </c>
      <c r="O2037" s="13"/>
      <c r="P2037" s="13" t="s">
        <v>5297</v>
      </c>
      <c r="Q2037" s="13" t="s">
        <v>5289</v>
      </c>
      <c r="R2037" s="13" t="s">
        <v>5292</v>
      </c>
      <c r="S2037" s="13" t="s">
        <v>5293</v>
      </c>
      <c r="T2037" s="13" t="s">
        <v>5</v>
      </c>
      <c r="U2037" s="13" t="s">
        <v>43</v>
      </c>
      <c r="V2037" s="13" t="n">
        <f aca="false">IF(COUNTIF($B$2:B2037,B2037)=1,1,0)</f>
        <v>0</v>
      </c>
      <c r="W2037" s="13" t="n">
        <f aca="false">IF(COUNTIFS($B$2:B2037,B2037,$T$2:T2037,T2037)=1,1,0)</f>
        <v>0</v>
      </c>
    </row>
    <row r="2038" customFormat="false" ht="15" hidden="false" customHeight="false" outlineLevel="0" collapsed="false">
      <c r="A2038" s="13" t="s">
        <v>173</v>
      </c>
      <c r="B2038" s="13" t="s">
        <v>69</v>
      </c>
      <c r="C2038" s="13" t="n">
        <v>28500</v>
      </c>
      <c r="D2038" s="13" t="n">
        <v>60</v>
      </c>
      <c r="E2038" s="13" t="n">
        <v>445.18390625</v>
      </c>
      <c r="F2038" s="13" t="s">
        <v>5325</v>
      </c>
      <c r="G2038" s="13" t="s">
        <v>5289</v>
      </c>
      <c r="H2038" s="13" t="s">
        <v>5289</v>
      </c>
      <c r="I2038" s="13" t="s">
        <v>5289</v>
      </c>
      <c r="J2038" s="13" t="s">
        <v>5289</v>
      </c>
      <c r="K2038" s="13" t="s">
        <v>5289</v>
      </c>
      <c r="L2038" s="13" t="n">
        <v>3614272648401</v>
      </c>
      <c r="M2038" s="13"/>
      <c r="N2038" s="13" t="n">
        <v>3614272648401</v>
      </c>
      <c r="O2038" s="13"/>
      <c r="P2038" s="13" t="s">
        <v>5291</v>
      </c>
      <c r="Q2038" s="13" t="s">
        <v>5289</v>
      </c>
      <c r="R2038" s="13" t="s">
        <v>5292</v>
      </c>
      <c r="S2038" s="13" t="s">
        <v>5293</v>
      </c>
      <c r="T2038" s="13" t="s">
        <v>5</v>
      </c>
      <c r="U2038" s="13" t="s">
        <v>43</v>
      </c>
      <c r="V2038" s="13" t="n">
        <f aca="false">IF(COUNTIF($B$2:B2038,B2038)=1,1,0)</f>
        <v>0</v>
      </c>
      <c r="W2038" s="13" t="n">
        <f aca="false">IF(COUNTIFS($B$2:B2038,B2038,$T$2:T2038,T2038)=1,1,0)</f>
        <v>0</v>
      </c>
    </row>
    <row r="2039" customFormat="false" ht="15" hidden="false" customHeight="false" outlineLevel="0" collapsed="false">
      <c r="A2039" s="13" t="s">
        <v>178</v>
      </c>
      <c r="B2039" s="13" t="s">
        <v>177</v>
      </c>
      <c r="C2039" s="13" t="n">
        <v>28200</v>
      </c>
      <c r="D2039" s="13" t="n">
        <v>40</v>
      </c>
      <c r="E2039" s="13" t="n">
        <v>724.218717948718</v>
      </c>
      <c r="F2039" s="13" t="s">
        <v>5325</v>
      </c>
      <c r="G2039" s="13" t="s">
        <v>5289</v>
      </c>
      <c r="H2039" s="13" t="s">
        <v>5289</v>
      </c>
      <c r="I2039" s="13" t="s">
        <v>5289</v>
      </c>
      <c r="J2039" s="13" t="s">
        <v>5289</v>
      </c>
      <c r="K2039" s="13" t="s">
        <v>5289</v>
      </c>
      <c r="L2039" s="13" t="n">
        <v>3616304175916</v>
      </c>
      <c r="M2039" s="13"/>
      <c r="N2039" s="13" t="n">
        <v>3616304175916</v>
      </c>
      <c r="O2039" s="13"/>
      <c r="P2039" s="13" t="s">
        <v>5291</v>
      </c>
      <c r="Q2039" s="13" t="s">
        <v>5289</v>
      </c>
      <c r="R2039" s="13" t="s">
        <v>5292</v>
      </c>
      <c r="S2039" s="13" t="s">
        <v>5293</v>
      </c>
      <c r="T2039" s="13" t="s">
        <v>5</v>
      </c>
      <c r="U2039" s="13" t="s">
        <v>43</v>
      </c>
      <c r="V2039" s="13" t="n">
        <f aca="false">IF(COUNTIF($B$2:B2039,B2039)=1,1,0)</f>
        <v>0</v>
      </c>
      <c r="W2039" s="13" t="n">
        <f aca="false">IF(COUNTIFS($B$2:B2039,B2039,$T$2:T2039,T2039)=1,1,0)</f>
        <v>1</v>
      </c>
    </row>
    <row r="2040" customFormat="false" ht="15" hidden="false" customHeight="false" outlineLevel="0" collapsed="false">
      <c r="A2040" s="13" t="s">
        <v>49</v>
      </c>
      <c r="B2040" s="13" t="s">
        <v>45</v>
      </c>
      <c r="C2040" s="13" t="n">
        <v>27600</v>
      </c>
      <c r="D2040" s="13" t="n">
        <v>50</v>
      </c>
      <c r="E2040" s="13" t="n">
        <v>562.312244897959</v>
      </c>
      <c r="F2040" s="13" t="s">
        <v>5325</v>
      </c>
      <c r="G2040" s="13" t="s">
        <v>5289</v>
      </c>
      <c r="H2040" s="13" t="s">
        <v>5289</v>
      </c>
      <c r="I2040" s="13" t="s">
        <v>5289</v>
      </c>
      <c r="J2040" s="13" t="s">
        <v>5289</v>
      </c>
      <c r="K2040" s="13" t="s">
        <v>5289</v>
      </c>
      <c r="L2040" s="13" t="n">
        <v>8435415032315</v>
      </c>
      <c r="M2040" s="13"/>
      <c r="N2040" s="13" t="n">
        <v>8435415032315</v>
      </c>
      <c r="O2040" s="13"/>
      <c r="P2040" s="13" t="s">
        <v>5291</v>
      </c>
      <c r="Q2040" s="13" t="s">
        <v>5289</v>
      </c>
      <c r="R2040" s="13" t="s">
        <v>5292</v>
      </c>
      <c r="S2040" s="13" t="s">
        <v>5293</v>
      </c>
      <c r="T2040" s="13" t="s">
        <v>5</v>
      </c>
      <c r="U2040" s="13" t="s">
        <v>43</v>
      </c>
      <c r="V2040" s="13" t="n">
        <f aca="false">IF(COUNTIF($B$2:B2040,B2040)=1,1,0)</f>
        <v>0</v>
      </c>
      <c r="W2040" s="13" t="n">
        <f aca="false">IF(COUNTIFS($B$2:B2040,B2040,$T$2:T2040,T2040)=1,1,0)</f>
        <v>0</v>
      </c>
    </row>
    <row r="2041" customFormat="false" ht="15" hidden="false" customHeight="false" outlineLevel="0" collapsed="false">
      <c r="A2041" s="13" t="s">
        <v>188</v>
      </c>
      <c r="B2041" s="13" t="s">
        <v>54</v>
      </c>
      <c r="C2041" s="13" t="n">
        <v>27200</v>
      </c>
      <c r="D2041" s="13" t="n">
        <v>90</v>
      </c>
      <c r="E2041" s="13" t="n">
        <v>313.001724137931</v>
      </c>
      <c r="F2041" s="13" t="s">
        <v>5325</v>
      </c>
      <c r="G2041" s="13" t="s">
        <v>5289</v>
      </c>
      <c r="H2041" s="13" t="s">
        <v>5289</v>
      </c>
      <c r="I2041" s="13" t="s">
        <v>5289</v>
      </c>
      <c r="J2041" s="13" t="s">
        <v>5289</v>
      </c>
      <c r="K2041" s="13" t="s">
        <v>5292</v>
      </c>
      <c r="L2041" s="13" t="n">
        <v>729238146594</v>
      </c>
      <c r="M2041" s="13"/>
      <c r="N2041" s="13" t="n">
        <v>729238146594</v>
      </c>
      <c r="O2041" s="13"/>
      <c r="P2041" s="13" t="s">
        <v>5291</v>
      </c>
      <c r="Q2041" s="13" t="s">
        <v>5289</v>
      </c>
      <c r="R2041" s="13" t="s">
        <v>5292</v>
      </c>
      <c r="S2041" s="13" t="s">
        <v>5293</v>
      </c>
      <c r="T2041" s="13" t="s">
        <v>5</v>
      </c>
      <c r="U2041" s="13" t="s">
        <v>43</v>
      </c>
      <c r="V2041" s="13" t="n">
        <f aca="false">IF(COUNTIF($B$2:B2041,B2041)=1,1,0)</f>
        <v>0</v>
      </c>
      <c r="W2041" s="13" t="n">
        <f aca="false">IF(COUNTIFS($B$2:B2041,B2041,$T$2:T2041,T2041)=1,1,0)</f>
        <v>0</v>
      </c>
    </row>
    <row r="2042" customFormat="false" ht="15" hidden="false" customHeight="false" outlineLevel="0" collapsed="false">
      <c r="A2042" s="13" t="s">
        <v>189</v>
      </c>
      <c r="B2042" s="13" t="s">
        <v>50</v>
      </c>
      <c r="C2042" s="13" t="n">
        <v>27100</v>
      </c>
      <c r="D2042" s="13" t="n">
        <v>40</v>
      </c>
      <c r="E2042" s="13" t="n">
        <v>775.11</v>
      </c>
      <c r="F2042" s="13" t="s">
        <v>5325</v>
      </c>
      <c r="G2042" s="13" t="s">
        <v>5289</v>
      </c>
      <c r="H2042" s="13" t="s">
        <v>5289</v>
      </c>
      <c r="I2042" s="13" t="s">
        <v>5289</v>
      </c>
      <c r="J2042" s="13" t="s">
        <v>5289</v>
      </c>
      <c r="K2042" s="13" t="s">
        <v>5289</v>
      </c>
      <c r="L2042" s="13" t="n">
        <v>3349668596348</v>
      </c>
      <c r="M2042" s="13"/>
      <c r="N2042" s="13" t="n">
        <v>3349668596348</v>
      </c>
      <c r="O2042" s="13"/>
      <c r="P2042" s="13" t="s">
        <v>5291</v>
      </c>
      <c r="Q2042" s="13" t="s">
        <v>5289</v>
      </c>
      <c r="R2042" s="13" t="s">
        <v>5292</v>
      </c>
      <c r="S2042" s="13" t="s">
        <v>5293</v>
      </c>
      <c r="T2042" s="13" t="s">
        <v>5</v>
      </c>
      <c r="U2042" s="13" t="s">
        <v>43</v>
      </c>
      <c r="V2042" s="13" t="n">
        <f aca="false">IF(COUNTIF($B$2:B2042,B2042)=1,1,0)</f>
        <v>0</v>
      </c>
      <c r="W2042" s="13" t="n">
        <f aca="false">IF(COUNTIFS($B$2:B2042,B2042,$T$2:T2042,T2042)=1,1,0)</f>
        <v>0</v>
      </c>
    </row>
    <row r="2043" customFormat="false" ht="15" hidden="false" customHeight="false" outlineLevel="0" collapsed="false">
      <c r="A2043" s="13" t="s">
        <v>190</v>
      </c>
      <c r="B2043" s="13" t="s">
        <v>153</v>
      </c>
      <c r="C2043" s="13" t="n">
        <v>27000</v>
      </c>
      <c r="D2043" s="13" t="n">
        <v>40</v>
      </c>
      <c r="E2043" s="13" t="n">
        <v>692</v>
      </c>
      <c r="F2043" s="13" t="s">
        <v>5288</v>
      </c>
      <c r="G2043" s="13" t="s">
        <v>5289</v>
      </c>
      <c r="H2043" s="13" t="s">
        <v>5289</v>
      </c>
      <c r="I2043" s="13" t="s">
        <v>5289</v>
      </c>
      <c r="J2043" s="13" t="s">
        <v>5289</v>
      </c>
      <c r="K2043" s="13" t="s">
        <v>5289</v>
      </c>
      <c r="L2043" s="13" t="n">
        <v>8011003861910</v>
      </c>
      <c r="M2043" s="13"/>
      <c r="N2043" s="13" t="n">
        <v>8011003861910</v>
      </c>
      <c r="O2043" s="13"/>
      <c r="P2043" s="13" t="s">
        <v>5297</v>
      </c>
      <c r="Q2043" s="13" t="s">
        <v>5289</v>
      </c>
      <c r="R2043" s="13" t="s">
        <v>5292</v>
      </c>
      <c r="S2043" s="13" t="s">
        <v>5293</v>
      </c>
      <c r="T2043" s="13" t="s">
        <v>5</v>
      </c>
      <c r="U2043" s="13" t="s">
        <v>43</v>
      </c>
      <c r="V2043" s="13" t="n">
        <f aca="false">IF(COUNTIF($B$2:B2043,B2043)=1,1,0)</f>
        <v>0</v>
      </c>
      <c r="W2043" s="13" t="n">
        <f aca="false">IF(COUNTIFS($B$2:B2043,B2043,$T$2:T2043,T2043)=1,1,0)</f>
        <v>0</v>
      </c>
    </row>
    <row r="2044" customFormat="false" ht="15" hidden="false" customHeight="false" outlineLevel="0" collapsed="false">
      <c r="A2044" s="13" t="s">
        <v>194</v>
      </c>
      <c r="B2044" s="13" t="s">
        <v>193</v>
      </c>
      <c r="C2044" s="13" t="n">
        <v>26600</v>
      </c>
      <c r="D2044" s="13" t="n">
        <v>40</v>
      </c>
      <c r="E2044" s="13" t="n">
        <v>700.455263157895</v>
      </c>
      <c r="F2044" s="13" t="s">
        <v>5325</v>
      </c>
      <c r="G2044" s="13" t="s">
        <v>5289</v>
      </c>
      <c r="H2044" s="13" t="s">
        <v>5289</v>
      </c>
      <c r="I2044" s="13" t="s">
        <v>5289</v>
      </c>
      <c r="J2044" s="13" t="s">
        <v>5289</v>
      </c>
      <c r="K2044" s="13" t="s">
        <v>5289</v>
      </c>
      <c r="L2044" s="13" t="n">
        <v>3360375004056</v>
      </c>
      <c r="M2044" s="13"/>
      <c r="N2044" s="13" t="n">
        <v>3360375004056</v>
      </c>
      <c r="O2044" s="13"/>
      <c r="P2044" s="13" t="s">
        <v>5291</v>
      </c>
      <c r="Q2044" s="13" t="s">
        <v>5289</v>
      </c>
      <c r="R2044" s="13" t="s">
        <v>5292</v>
      </c>
      <c r="S2044" s="13" t="s">
        <v>5293</v>
      </c>
      <c r="T2044" s="13" t="s">
        <v>5</v>
      </c>
      <c r="U2044" s="13" t="s">
        <v>43</v>
      </c>
      <c r="V2044" s="13" t="n">
        <f aca="false">IF(COUNTIF($B$2:B2044,B2044)=1,1,0)</f>
        <v>1</v>
      </c>
      <c r="W2044" s="13" t="n">
        <f aca="false">IF(COUNTIFS($B$2:B2044,B2044,$T$2:T2044,T2044)=1,1,0)</f>
        <v>1</v>
      </c>
    </row>
    <row r="2045" customFormat="false" ht="15" hidden="false" customHeight="false" outlineLevel="0" collapsed="false">
      <c r="A2045" s="13" t="s">
        <v>197</v>
      </c>
      <c r="B2045" s="13" t="s">
        <v>107</v>
      </c>
      <c r="C2045" s="13" t="n">
        <v>26500</v>
      </c>
      <c r="D2045" s="13" t="n">
        <v>140</v>
      </c>
      <c r="E2045" s="13" t="n">
        <v>190.945107913669</v>
      </c>
      <c r="F2045" s="13" t="s">
        <v>5325</v>
      </c>
      <c r="G2045" s="13" t="s">
        <v>5289</v>
      </c>
      <c r="H2045" s="13" t="s">
        <v>5289</v>
      </c>
      <c r="I2045" s="13" t="s">
        <v>5289</v>
      </c>
      <c r="J2045" s="13" t="s">
        <v>5289</v>
      </c>
      <c r="K2045" s="13" t="s">
        <v>5289</v>
      </c>
      <c r="L2045" s="13" t="n">
        <v>7896235353775</v>
      </c>
      <c r="M2045" s="13"/>
      <c r="N2045" s="13" t="n">
        <v>7896235353775</v>
      </c>
      <c r="O2045" s="13"/>
      <c r="P2045" s="13" t="s">
        <v>5297</v>
      </c>
      <c r="Q2045" s="13" t="s">
        <v>5289</v>
      </c>
      <c r="R2045" s="13" t="s">
        <v>5292</v>
      </c>
      <c r="S2045" s="13" t="s">
        <v>5293</v>
      </c>
      <c r="T2045" s="13" t="s">
        <v>5</v>
      </c>
      <c r="U2045" s="13" t="s">
        <v>43</v>
      </c>
      <c r="V2045" s="13" t="n">
        <f aca="false">IF(COUNTIF($B$2:B2045,B2045)=1,1,0)</f>
        <v>0</v>
      </c>
      <c r="W2045" s="13" t="n">
        <f aca="false">IF(COUNTIFS($B$2:B2045,B2045,$T$2:T2045,T2045)=1,1,0)</f>
        <v>0</v>
      </c>
    </row>
    <row r="2046" customFormat="false" ht="15" hidden="false" customHeight="false" outlineLevel="0" collapsed="false">
      <c r="A2046" s="13" t="s">
        <v>188</v>
      </c>
      <c r="B2046" s="13" t="s">
        <v>2123</v>
      </c>
      <c r="C2046" s="13" t="n">
        <v>26200</v>
      </c>
      <c r="D2046" s="13" t="n">
        <v>90</v>
      </c>
      <c r="E2046" s="13" t="n">
        <v>294.647303370787</v>
      </c>
      <c r="F2046" s="13" t="s">
        <v>5288</v>
      </c>
      <c r="G2046" s="13" t="s">
        <v>5289</v>
      </c>
      <c r="H2046" s="13" t="s">
        <v>5289</v>
      </c>
      <c r="I2046" s="13" t="s">
        <v>5289</v>
      </c>
      <c r="J2046" s="13" t="s">
        <v>5289</v>
      </c>
      <c r="K2046" s="13" t="s">
        <v>5289</v>
      </c>
      <c r="L2046" s="13" t="n">
        <v>729238146594</v>
      </c>
      <c r="M2046" s="13"/>
      <c r="N2046" s="13" t="n">
        <v>7.29238146594729E+023</v>
      </c>
      <c r="O2046" s="13"/>
      <c r="P2046" s="13" t="s">
        <v>5291</v>
      </c>
      <c r="Q2046" s="13" t="s">
        <v>5289</v>
      </c>
      <c r="R2046" s="13" t="s">
        <v>5292</v>
      </c>
      <c r="S2046" s="13" t="s">
        <v>5293</v>
      </c>
      <c r="T2046" s="13" t="s">
        <v>5</v>
      </c>
      <c r="U2046" s="13" t="s">
        <v>85</v>
      </c>
      <c r="V2046" s="13" t="n">
        <f aca="false">IF(COUNTIF($B$2:B2046,B2046)=1,1,0)</f>
        <v>1</v>
      </c>
      <c r="W2046" s="13" t="n">
        <f aca="false">IF(COUNTIFS($B$2:B2046,B2046,$T$2:T2046,T2046)=1,1,0)</f>
        <v>1</v>
      </c>
    </row>
    <row r="2047" customFormat="false" ht="15" hidden="false" customHeight="false" outlineLevel="0" collapsed="false">
      <c r="A2047" s="13" t="s">
        <v>46</v>
      </c>
      <c r="B2047" s="13" t="s">
        <v>45</v>
      </c>
      <c r="C2047" s="13" t="n">
        <v>26200</v>
      </c>
      <c r="D2047" s="13" t="n">
        <v>30</v>
      </c>
      <c r="E2047" s="13" t="n">
        <v>818.466875</v>
      </c>
      <c r="F2047" s="13" t="s">
        <v>5325</v>
      </c>
      <c r="G2047" s="13" t="s">
        <v>5289</v>
      </c>
      <c r="H2047" s="13" t="s">
        <v>5289</v>
      </c>
      <c r="I2047" s="13" t="s">
        <v>5289</v>
      </c>
      <c r="J2047" s="13" t="s">
        <v>5289</v>
      </c>
      <c r="K2047" s="13" t="s">
        <v>5289</v>
      </c>
      <c r="L2047" s="13"/>
      <c r="M2047" s="13"/>
      <c r="N2047" s="13" t="n">
        <v>8435415102353</v>
      </c>
      <c r="O2047" s="13"/>
      <c r="P2047" s="13" t="s">
        <v>5291</v>
      </c>
      <c r="Q2047" s="13" t="s">
        <v>5289</v>
      </c>
      <c r="R2047" s="13" t="s">
        <v>5292</v>
      </c>
      <c r="S2047" s="13" t="s">
        <v>5293</v>
      </c>
      <c r="T2047" s="13" t="s">
        <v>5</v>
      </c>
      <c r="U2047" s="13" t="s">
        <v>43</v>
      </c>
      <c r="V2047" s="13" t="n">
        <f aca="false">IF(COUNTIF($B$2:B2047,B2047)=1,1,0)</f>
        <v>0</v>
      </c>
      <c r="W2047" s="13" t="n">
        <f aca="false">IF(COUNTIFS($B$2:B2047,B2047,$T$2:T2047,T2047)=1,1,0)</f>
        <v>0</v>
      </c>
    </row>
    <row r="2048" customFormat="false" ht="15" hidden="false" customHeight="false" outlineLevel="0" collapsed="false">
      <c r="A2048" s="13" t="s">
        <v>199</v>
      </c>
      <c r="B2048" s="13" t="s">
        <v>193</v>
      </c>
      <c r="C2048" s="13" t="n">
        <v>26000</v>
      </c>
      <c r="D2048" s="13" t="n">
        <v>20</v>
      </c>
      <c r="E2048" s="13" t="n">
        <v>1183.81363636364</v>
      </c>
      <c r="F2048" s="13" t="s">
        <v>5325</v>
      </c>
      <c r="G2048" s="13" t="s">
        <v>5289</v>
      </c>
      <c r="H2048" s="13" t="s">
        <v>5289</v>
      </c>
      <c r="I2048" s="13" t="s">
        <v>5289</v>
      </c>
      <c r="J2048" s="13" t="s">
        <v>5289</v>
      </c>
      <c r="K2048" s="13" t="s">
        <v>5289</v>
      </c>
      <c r="L2048" s="13" t="n">
        <v>3605521544353</v>
      </c>
      <c r="M2048" s="13"/>
      <c r="N2048" s="13" t="n">
        <v>3605521544353</v>
      </c>
      <c r="O2048" s="13"/>
      <c r="P2048" s="13" t="s">
        <v>5291</v>
      </c>
      <c r="Q2048" s="13" t="s">
        <v>5289</v>
      </c>
      <c r="R2048" s="13" t="s">
        <v>5292</v>
      </c>
      <c r="S2048" s="13" t="s">
        <v>5293</v>
      </c>
      <c r="T2048" s="13" t="s">
        <v>5</v>
      </c>
      <c r="U2048" s="13" t="s">
        <v>43</v>
      </c>
      <c r="V2048" s="13" t="n">
        <f aca="false">IF(COUNTIF($B$2:B2048,B2048)=1,1,0)</f>
        <v>0</v>
      </c>
      <c r="W2048" s="13" t="n">
        <f aca="false">IF(COUNTIFS($B$2:B2048,B2048,$T$2:T2048,T2048)=1,1,0)</f>
        <v>0</v>
      </c>
    </row>
    <row r="2049" customFormat="false" ht="15" hidden="false" customHeight="false" outlineLevel="0" collapsed="false">
      <c r="A2049" s="13" t="s">
        <v>206</v>
      </c>
      <c r="B2049" s="13" t="s">
        <v>42</v>
      </c>
      <c r="C2049" s="13" t="n">
        <v>25300</v>
      </c>
      <c r="D2049" s="13" t="n">
        <v>40</v>
      </c>
      <c r="E2049" s="13" t="n">
        <v>684.295405405406</v>
      </c>
      <c r="F2049" s="13" t="s">
        <v>5325</v>
      </c>
      <c r="G2049" s="13" t="s">
        <v>5289</v>
      </c>
      <c r="H2049" s="13" t="s">
        <v>5289</v>
      </c>
      <c r="I2049" s="13" t="s">
        <v>5289</v>
      </c>
      <c r="J2049" s="13" t="s">
        <v>5289</v>
      </c>
      <c r="K2049" s="13" t="s">
        <v>5289</v>
      </c>
      <c r="L2049" s="13" t="n">
        <v>8411061995754</v>
      </c>
      <c r="M2049" s="13"/>
      <c r="N2049" s="13" t="n">
        <v>8411061995754</v>
      </c>
      <c r="O2049" s="13"/>
      <c r="P2049" s="13" t="s">
        <v>5291</v>
      </c>
      <c r="Q2049" s="13" t="s">
        <v>5289</v>
      </c>
      <c r="R2049" s="13" t="s">
        <v>5292</v>
      </c>
      <c r="S2049" s="13" t="s">
        <v>5293</v>
      </c>
      <c r="T2049" s="13" t="s">
        <v>5</v>
      </c>
      <c r="U2049" s="13" t="s">
        <v>43</v>
      </c>
      <c r="V2049" s="13" t="n">
        <f aca="false">IF(COUNTIF($B$2:B2049,B2049)=1,1,0)</f>
        <v>0</v>
      </c>
      <c r="W2049" s="13" t="n">
        <f aca="false">IF(COUNTIFS($B$2:B2049,B2049,$T$2:T2049,T2049)=1,1,0)</f>
        <v>0</v>
      </c>
    </row>
    <row r="2050" customFormat="false" ht="15" hidden="false" customHeight="false" outlineLevel="0" collapsed="false">
      <c r="A2050" s="13" t="s">
        <v>207</v>
      </c>
      <c r="B2050" s="13" t="s">
        <v>107</v>
      </c>
      <c r="C2050" s="13" t="n">
        <v>25300</v>
      </c>
      <c r="D2050" s="13" t="n">
        <v>160</v>
      </c>
      <c r="E2050" s="13" t="n">
        <v>163</v>
      </c>
      <c r="F2050" s="13" t="s">
        <v>5288</v>
      </c>
      <c r="G2050" s="13" t="s">
        <v>5289</v>
      </c>
      <c r="H2050" s="13" t="s">
        <v>5289</v>
      </c>
      <c r="I2050" s="13" t="s">
        <v>5289</v>
      </c>
      <c r="J2050" s="13" t="s">
        <v>5289</v>
      </c>
      <c r="K2050" s="13" t="s">
        <v>5289</v>
      </c>
      <c r="L2050" s="13" t="n">
        <v>4064666435459</v>
      </c>
      <c r="M2050" s="13"/>
      <c r="N2050" s="13" t="n">
        <v>4.06466643545979E+025</v>
      </c>
      <c r="O2050" s="13"/>
      <c r="P2050" s="13" t="s">
        <v>5297</v>
      </c>
      <c r="Q2050" s="13" t="s">
        <v>5289</v>
      </c>
      <c r="R2050" s="13" t="s">
        <v>5292</v>
      </c>
      <c r="S2050" s="13" t="s">
        <v>5293</v>
      </c>
      <c r="T2050" s="13" t="s">
        <v>5</v>
      </c>
      <c r="U2050" s="13" t="s">
        <v>183</v>
      </c>
      <c r="V2050" s="13" t="n">
        <f aca="false">IF(COUNTIF($B$2:B2050,B2050)=1,1,0)</f>
        <v>0</v>
      </c>
      <c r="W2050" s="13" t="n">
        <f aca="false">IF(COUNTIFS($B$2:B2050,B2050,$T$2:T2050,T2050)=1,1,0)</f>
        <v>0</v>
      </c>
    </row>
    <row r="2051" customFormat="false" ht="15" hidden="false" customHeight="false" outlineLevel="0" collapsed="false">
      <c r="A2051" s="13" t="s">
        <v>210</v>
      </c>
      <c r="B2051" s="13" t="s">
        <v>124</v>
      </c>
      <c r="C2051" s="13" t="n">
        <v>24700</v>
      </c>
      <c r="D2051" s="13" t="n">
        <v>30</v>
      </c>
      <c r="E2051" s="13" t="n">
        <v>727.220882352941</v>
      </c>
      <c r="F2051" s="13" t="s">
        <v>5325</v>
      </c>
      <c r="G2051" s="13" t="s">
        <v>5289</v>
      </c>
      <c r="H2051" s="13" t="s">
        <v>5289</v>
      </c>
      <c r="I2051" s="13" t="s">
        <v>5289</v>
      </c>
      <c r="J2051" s="13" t="s">
        <v>5289</v>
      </c>
      <c r="K2051" s="13" t="s">
        <v>5289</v>
      </c>
      <c r="L2051" s="13"/>
      <c r="M2051" s="13"/>
      <c r="N2051" s="13" t="n">
        <v>3614274091885</v>
      </c>
      <c r="O2051" s="13"/>
      <c r="P2051" s="13" t="s">
        <v>5291</v>
      </c>
      <c r="Q2051" s="13" t="s">
        <v>5289</v>
      </c>
      <c r="R2051" s="13" t="s">
        <v>5292</v>
      </c>
      <c r="S2051" s="13" t="s">
        <v>5293</v>
      </c>
      <c r="T2051" s="13" t="s">
        <v>5</v>
      </c>
      <c r="U2051" s="13" t="s">
        <v>43</v>
      </c>
      <c r="V2051" s="13" t="n">
        <f aca="false">IF(COUNTIF($B$2:B2051,B2051)=1,1,0)</f>
        <v>0</v>
      </c>
      <c r="W2051" s="13" t="n">
        <f aca="false">IF(COUNTIFS($B$2:B2051,B2051,$T$2:T2051,T2051)=1,1,0)</f>
        <v>0</v>
      </c>
    </row>
    <row r="2052" customFormat="false" ht="15" hidden="false" customHeight="false" outlineLevel="0" collapsed="false">
      <c r="A2052" s="13" t="s">
        <v>113</v>
      </c>
      <c r="B2052" s="13" t="s">
        <v>45</v>
      </c>
      <c r="C2052" s="13" t="n">
        <v>24600</v>
      </c>
      <c r="D2052" s="13" t="n">
        <v>40</v>
      </c>
      <c r="E2052" s="13" t="n">
        <v>560</v>
      </c>
      <c r="F2052" s="13" t="s">
        <v>5325</v>
      </c>
      <c r="G2052" s="13" t="s">
        <v>5289</v>
      </c>
      <c r="H2052" s="13" t="s">
        <v>5289</v>
      </c>
      <c r="I2052" s="13" t="s">
        <v>5289</v>
      </c>
      <c r="J2052" s="13" t="s">
        <v>5289</v>
      </c>
      <c r="K2052" s="13" t="s">
        <v>5289</v>
      </c>
      <c r="L2052" s="13"/>
      <c r="M2052" s="13"/>
      <c r="N2052" s="13" t="n">
        <v>8435415050760</v>
      </c>
      <c r="O2052" s="13"/>
      <c r="P2052" s="13" t="s">
        <v>5291</v>
      </c>
      <c r="Q2052" s="13" t="s">
        <v>5289</v>
      </c>
      <c r="R2052" s="13" t="s">
        <v>5292</v>
      </c>
      <c r="S2052" s="13" t="s">
        <v>5293</v>
      </c>
      <c r="T2052" s="13" t="s">
        <v>5</v>
      </c>
      <c r="U2052" s="13" t="s">
        <v>43</v>
      </c>
      <c r="V2052" s="13" t="n">
        <f aca="false">IF(COUNTIF($B$2:B2052,B2052)=1,1,0)</f>
        <v>0</v>
      </c>
      <c r="W2052" s="13" t="n">
        <f aca="false">IF(COUNTIFS($B$2:B2052,B2052,$T$2:T2052,T2052)=1,1,0)</f>
        <v>0</v>
      </c>
    </row>
    <row r="2053" customFormat="false" ht="15" hidden="false" customHeight="false" outlineLevel="0" collapsed="false">
      <c r="A2053" s="13" t="s">
        <v>47</v>
      </c>
      <c r="B2053" s="13" t="s">
        <v>42</v>
      </c>
      <c r="C2053" s="13" t="n">
        <v>24500</v>
      </c>
      <c r="D2053" s="13" t="n">
        <v>40</v>
      </c>
      <c r="E2053" s="13" t="n">
        <v>611.51775</v>
      </c>
      <c r="F2053" s="13" t="s">
        <v>5325</v>
      </c>
      <c r="G2053" s="13" t="s">
        <v>5289</v>
      </c>
      <c r="H2053" s="13" t="s">
        <v>5289</v>
      </c>
      <c r="I2053" s="13" t="s">
        <v>5289</v>
      </c>
      <c r="J2053" s="13" t="s">
        <v>5289</v>
      </c>
      <c r="K2053" s="13" t="s">
        <v>5289</v>
      </c>
      <c r="L2053" s="13"/>
      <c r="M2053" s="13"/>
      <c r="N2053" s="13" t="n">
        <v>8411061043844</v>
      </c>
      <c r="O2053" s="13"/>
      <c r="P2053" s="13" t="s">
        <v>5291</v>
      </c>
      <c r="Q2053" s="13" t="s">
        <v>5289</v>
      </c>
      <c r="R2053" s="13" t="s">
        <v>5292</v>
      </c>
      <c r="S2053" s="13" t="s">
        <v>5293</v>
      </c>
      <c r="T2053" s="13" t="s">
        <v>5</v>
      </c>
      <c r="U2053" s="13" t="s">
        <v>43</v>
      </c>
      <c r="V2053" s="13" t="n">
        <f aca="false">IF(COUNTIF($B$2:B2053,B2053)=1,1,0)</f>
        <v>0</v>
      </c>
      <c r="W2053" s="13" t="n">
        <f aca="false">IF(COUNTIFS($B$2:B2053,B2053,$T$2:T2053,T2053)=1,1,0)</f>
        <v>0</v>
      </c>
    </row>
    <row r="2054" customFormat="false" ht="15" hidden="false" customHeight="false" outlineLevel="0" collapsed="false">
      <c r="A2054" s="13" t="s">
        <v>211</v>
      </c>
      <c r="B2054" s="13" t="s">
        <v>79</v>
      </c>
      <c r="C2054" s="13" t="n">
        <v>24400</v>
      </c>
      <c r="D2054" s="13" t="n">
        <v>30</v>
      </c>
      <c r="E2054" s="13" t="n">
        <v>814.399</v>
      </c>
      <c r="F2054" s="13" t="s">
        <v>5325</v>
      </c>
      <c r="G2054" s="13" t="s">
        <v>5289</v>
      </c>
      <c r="H2054" s="13" t="s">
        <v>5289</v>
      </c>
      <c r="I2054" s="13" t="s">
        <v>5289</v>
      </c>
      <c r="J2054" s="13" t="s">
        <v>5289</v>
      </c>
      <c r="K2054" s="13" t="s">
        <v>5289</v>
      </c>
      <c r="L2054" s="13" t="n">
        <v>8056669927136</v>
      </c>
      <c r="M2054" s="13"/>
      <c r="N2054" s="13" t="n">
        <v>8056669927136</v>
      </c>
      <c r="O2054" s="13"/>
      <c r="P2054" s="13" t="s">
        <v>5291</v>
      </c>
      <c r="Q2054" s="13" t="s">
        <v>5289</v>
      </c>
      <c r="R2054" s="13" t="s">
        <v>5292</v>
      </c>
      <c r="S2054" s="13" t="s">
        <v>5293</v>
      </c>
      <c r="T2054" s="13" t="s">
        <v>5</v>
      </c>
      <c r="U2054" s="13" t="s">
        <v>43</v>
      </c>
      <c r="V2054" s="13" t="n">
        <f aca="false">IF(COUNTIF($B$2:B2054,B2054)=1,1,0)</f>
        <v>0</v>
      </c>
      <c r="W2054" s="13" t="n">
        <f aca="false">IF(COUNTIFS($B$2:B2054,B2054,$T$2:T2054,T2054)=1,1,0)</f>
        <v>1</v>
      </c>
    </row>
    <row r="2055" customFormat="false" ht="15" hidden="false" customHeight="false" outlineLevel="0" collapsed="false">
      <c r="A2055" s="13" t="s">
        <v>212</v>
      </c>
      <c r="B2055" s="13" t="s">
        <v>61</v>
      </c>
      <c r="C2055" s="13" t="n">
        <v>24300</v>
      </c>
      <c r="D2055" s="13" t="n">
        <v>40</v>
      </c>
      <c r="E2055" s="13" t="n">
        <v>566.2</v>
      </c>
      <c r="F2055" s="13" t="s">
        <v>5288</v>
      </c>
      <c r="G2055" s="13" t="s">
        <v>5289</v>
      </c>
      <c r="H2055" s="13" t="s">
        <v>5289</v>
      </c>
      <c r="I2055" s="13" t="s">
        <v>5289</v>
      </c>
      <c r="J2055" s="13" t="s">
        <v>5289</v>
      </c>
      <c r="K2055" s="13" t="s">
        <v>5289</v>
      </c>
      <c r="L2055" s="13" t="n">
        <v>3605532612768</v>
      </c>
      <c r="M2055" s="13"/>
      <c r="N2055" s="13" t="n">
        <v>3605532612768</v>
      </c>
      <c r="O2055" s="13"/>
      <c r="P2055" s="13" t="s">
        <v>5297</v>
      </c>
      <c r="Q2055" s="13" t="s">
        <v>5289</v>
      </c>
      <c r="R2055" s="13" t="s">
        <v>5292</v>
      </c>
      <c r="S2055" s="13" t="s">
        <v>5293</v>
      </c>
      <c r="T2055" s="13" t="s">
        <v>5</v>
      </c>
      <c r="U2055" s="13" t="s">
        <v>43</v>
      </c>
      <c r="V2055" s="13" t="n">
        <f aca="false">IF(COUNTIF($B$2:B2055,B2055)=1,1,0)</f>
        <v>0</v>
      </c>
      <c r="W2055" s="13" t="n">
        <f aca="false">IF(COUNTIFS($B$2:B2055,B2055,$T$2:T2055,T2055)=1,1,0)</f>
        <v>0</v>
      </c>
    </row>
    <row r="2056" customFormat="false" ht="15" hidden="false" customHeight="false" outlineLevel="0" collapsed="false">
      <c r="A2056" s="13" t="s">
        <v>218</v>
      </c>
      <c r="B2056" s="13" t="s">
        <v>45</v>
      </c>
      <c r="C2056" s="13" t="n">
        <v>23000</v>
      </c>
      <c r="D2056" s="13" t="n">
        <v>30</v>
      </c>
      <c r="E2056" s="13" t="n">
        <v>675.774705882353</v>
      </c>
      <c r="F2056" s="13" t="s">
        <v>5325</v>
      </c>
      <c r="G2056" s="13" t="s">
        <v>5289</v>
      </c>
      <c r="H2056" s="13" t="s">
        <v>5289</v>
      </c>
      <c r="I2056" s="13" t="s">
        <v>5289</v>
      </c>
      <c r="J2056" s="13" t="s">
        <v>5289</v>
      </c>
      <c r="K2056" s="13" t="s">
        <v>5289</v>
      </c>
      <c r="L2056" s="13" t="n">
        <v>8435415062190</v>
      </c>
      <c r="M2056" s="13"/>
      <c r="N2056" s="13" t="n">
        <v>8435415062190</v>
      </c>
      <c r="O2056" s="13"/>
      <c r="P2056" s="13" t="s">
        <v>5291</v>
      </c>
      <c r="Q2056" s="13" t="s">
        <v>5289</v>
      </c>
      <c r="R2056" s="13" t="s">
        <v>5292</v>
      </c>
      <c r="S2056" s="13" t="s">
        <v>5293</v>
      </c>
      <c r="T2056" s="13" t="s">
        <v>5</v>
      </c>
      <c r="U2056" s="13" t="s">
        <v>43</v>
      </c>
      <c r="V2056" s="13" t="n">
        <f aca="false">IF(COUNTIF($B$2:B2056,B2056)=1,1,0)</f>
        <v>0</v>
      </c>
      <c r="W2056" s="13" t="n">
        <f aca="false">IF(COUNTIFS($B$2:B2056,B2056,$T$2:T2056,T2056)=1,1,0)</f>
        <v>0</v>
      </c>
    </row>
    <row r="2057" customFormat="false" ht="15" hidden="false" customHeight="false" outlineLevel="0" collapsed="false">
      <c r="A2057" s="13" t="s">
        <v>219</v>
      </c>
      <c r="B2057" s="13" t="s">
        <v>42</v>
      </c>
      <c r="C2057" s="13" t="n">
        <v>23000</v>
      </c>
      <c r="D2057" s="13" t="n">
        <v>30</v>
      </c>
      <c r="E2057" s="13" t="n">
        <v>695.725151515151</v>
      </c>
      <c r="F2057" s="13" t="s">
        <v>5325</v>
      </c>
      <c r="G2057" s="13" t="s">
        <v>5289</v>
      </c>
      <c r="H2057" s="13" t="s">
        <v>5289</v>
      </c>
      <c r="I2057" s="13" t="s">
        <v>5289</v>
      </c>
      <c r="J2057" s="13" t="s">
        <v>5289</v>
      </c>
      <c r="K2057" s="13" t="s">
        <v>5292</v>
      </c>
      <c r="L2057" s="13" t="n">
        <v>8411061083482</v>
      </c>
      <c r="M2057" s="13"/>
      <c r="N2057" s="13" t="n">
        <v>8411061083482</v>
      </c>
      <c r="O2057" s="13"/>
      <c r="P2057" s="13" t="s">
        <v>5297</v>
      </c>
      <c r="Q2057" s="13" t="s">
        <v>5289</v>
      </c>
      <c r="R2057" s="13" t="s">
        <v>5292</v>
      </c>
      <c r="S2057" s="13" t="s">
        <v>5293</v>
      </c>
      <c r="T2057" s="13" t="s">
        <v>5</v>
      </c>
      <c r="U2057" s="13" t="s">
        <v>43</v>
      </c>
      <c r="V2057" s="13" t="n">
        <f aca="false">IF(COUNTIF($B$2:B2057,B2057)=1,1,0)</f>
        <v>0</v>
      </c>
      <c r="W2057" s="13" t="n">
        <f aca="false">IF(COUNTIFS($B$2:B2057,B2057,$T$2:T2057,T2057)=1,1,0)</f>
        <v>0</v>
      </c>
    </row>
    <row r="2058" customFormat="false" ht="15" hidden="false" customHeight="false" outlineLevel="0" collapsed="false">
      <c r="A2058" s="13" t="s">
        <v>220</v>
      </c>
      <c r="B2058" s="13" t="s">
        <v>50</v>
      </c>
      <c r="C2058" s="13" t="n">
        <v>22900</v>
      </c>
      <c r="D2058" s="13" t="n">
        <v>60</v>
      </c>
      <c r="E2058" s="13" t="n">
        <v>369.060161290323</v>
      </c>
      <c r="F2058" s="13" t="s">
        <v>5325</v>
      </c>
      <c r="G2058" s="13" t="s">
        <v>5289</v>
      </c>
      <c r="H2058" s="13" t="s">
        <v>5289</v>
      </c>
      <c r="I2058" s="13" t="s">
        <v>5289</v>
      </c>
      <c r="J2058" s="13" t="s">
        <v>5289</v>
      </c>
      <c r="K2058" s="13" t="s">
        <v>5292</v>
      </c>
      <c r="L2058" s="13" t="n">
        <v>3349668566730</v>
      </c>
      <c r="M2058" s="13"/>
      <c r="N2058" s="13" t="n">
        <v>3349668566730</v>
      </c>
      <c r="O2058" s="13"/>
      <c r="P2058" s="13" t="s">
        <v>5291</v>
      </c>
      <c r="Q2058" s="13" t="s">
        <v>5289</v>
      </c>
      <c r="R2058" s="13" t="s">
        <v>5292</v>
      </c>
      <c r="S2058" s="13" t="s">
        <v>5293</v>
      </c>
      <c r="T2058" s="13" t="s">
        <v>5</v>
      </c>
      <c r="U2058" s="13" t="s">
        <v>43</v>
      </c>
      <c r="V2058" s="13" t="n">
        <f aca="false">IF(COUNTIF($B$2:B2058,B2058)=1,1,0)</f>
        <v>0</v>
      </c>
      <c r="W2058" s="13" t="n">
        <f aca="false">IF(COUNTIFS($B$2:B2058,B2058,$T$2:T2058,T2058)=1,1,0)</f>
        <v>0</v>
      </c>
    </row>
    <row r="2059" customFormat="false" ht="15" hidden="false" customHeight="false" outlineLevel="0" collapsed="false">
      <c r="A2059" s="13" t="s">
        <v>221</v>
      </c>
      <c r="B2059" s="13" t="s">
        <v>72</v>
      </c>
      <c r="C2059" s="13" t="n">
        <v>22700</v>
      </c>
      <c r="D2059" s="13" t="n">
        <v>20</v>
      </c>
      <c r="E2059" s="13" t="n">
        <v>909.9728</v>
      </c>
      <c r="F2059" s="13" t="s">
        <v>5325</v>
      </c>
      <c r="G2059" s="13" t="s">
        <v>5289</v>
      </c>
      <c r="H2059" s="13" t="s">
        <v>5289</v>
      </c>
      <c r="I2059" s="13" t="s">
        <v>5289</v>
      </c>
      <c r="J2059" s="13" t="s">
        <v>5289</v>
      </c>
      <c r="K2059" s="13" t="s">
        <v>5289</v>
      </c>
      <c r="L2059" s="13"/>
      <c r="M2059" s="13"/>
      <c r="N2059" s="13" t="n">
        <v>3614274000597</v>
      </c>
      <c r="O2059" s="13"/>
      <c r="P2059" s="13" t="s">
        <v>5291</v>
      </c>
      <c r="Q2059" s="13" t="s">
        <v>5289</v>
      </c>
      <c r="R2059" s="13" t="s">
        <v>5292</v>
      </c>
      <c r="S2059" s="13" t="s">
        <v>5293</v>
      </c>
      <c r="T2059" s="13" t="s">
        <v>5</v>
      </c>
      <c r="U2059" s="13" t="s">
        <v>43</v>
      </c>
      <c r="V2059" s="13" t="n">
        <f aca="false">IF(COUNTIF($B$2:B2059,B2059)=1,1,0)</f>
        <v>0</v>
      </c>
      <c r="W2059" s="13" t="n">
        <f aca="false">IF(COUNTIFS($B$2:B2059,B2059,$T$2:T2059,T2059)=1,1,0)</f>
        <v>0</v>
      </c>
    </row>
    <row r="2060" customFormat="false" ht="15" hidden="false" customHeight="false" outlineLevel="0" collapsed="false">
      <c r="A2060" s="13" t="s">
        <v>222</v>
      </c>
      <c r="B2060" s="13" t="s">
        <v>107</v>
      </c>
      <c r="C2060" s="13" t="n">
        <v>22600</v>
      </c>
      <c r="D2060" s="13" t="n">
        <v>110</v>
      </c>
      <c r="E2060" s="13" t="n">
        <v>197.81701754386</v>
      </c>
      <c r="F2060" s="13" t="s">
        <v>5325</v>
      </c>
      <c r="G2060" s="13" t="s">
        <v>5289</v>
      </c>
      <c r="H2060" s="13" t="s">
        <v>5289</v>
      </c>
      <c r="I2060" s="13" t="s">
        <v>5289</v>
      </c>
      <c r="J2060" s="13" t="s">
        <v>5289</v>
      </c>
      <c r="K2060" s="13" t="s">
        <v>5289</v>
      </c>
      <c r="L2060" s="13" t="n">
        <v>7896235353706</v>
      </c>
      <c r="M2060" s="13"/>
      <c r="N2060" s="13" t="n">
        <v>7896235353706</v>
      </c>
      <c r="O2060" s="13"/>
      <c r="P2060" s="13" t="s">
        <v>5291</v>
      </c>
      <c r="Q2060" s="13" t="s">
        <v>5289</v>
      </c>
      <c r="R2060" s="13" t="s">
        <v>5292</v>
      </c>
      <c r="S2060" s="13" t="s">
        <v>5293</v>
      </c>
      <c r="T2060" s="13" t="s">
        <v>5</v>
      </c>
      <c r="U2060" s="13" t="s">
        <v>43</v>
      </c>
      <c r="V2060" s="13" t="n">
        <f aca="false">IF(COUNTIF($B$2:B2060,B2060)=1,1,0)</f>
        <v>0</v>
      </c>
      <c r="W2060" s="13" t="n">
        <f aca="false">IF(COUNTIFS($B$2:B2060,B2060,$T$2:T2060,T2060)=1,1,0)</f>
        <v>0</v>
      </c>
    </row>
    <row r="2061" customFormat="false" ht="15" hidden="false" customHeight="false" outlineLevel="0" collapsed="false">
      <c r="A2061" s="13" t="s">
        <v>138</v>
      </c>
      <c r="B2061" s="13" t="s">
        <v>69</v>
      </c>
      <c r="C2061" s="13" t="n">
        <v>22300</v>
      </c>
      <c r="D2061" s="13" t="n">
        <v>30</v>
      </c>
      <c r="E2061" s="13" t="n">
        <v>827.21</v>
      </c>
      <c r="F2061" s="13" t="s">
        <v>5325</v>
      </c>
      <c r="G2061" s="13" t="s">
        <v>5289</v>
      </c>
      <c r="H2061" s="13" t="s">
        <v>5289</v>
      </c>
      <c r="I2061" s="13" t="s">
        <v>5289</v>
      </c>
      <c r="J2061" s="13" t="s">
        <v>5289</v>
      </c>
      <c r="K2061" s="13" t="s">
        <v>5289</v>
      </c>
      <c r="L2061" s="13" t="n">
        <v>3614272648425</v>
      </c>
      <c r="M2061" s="13"/>
      <c r="N2061" s="13" t="n">
        <v>3614272648425</v>
      </c>
      <c r="O2061" s="13"/>
      <c r="P2061" s="13" t="s">
        <v>5291</v>
      </c>
      <c r="Q2061" s="13" t="s">
        <v>5289</v>
      </c>
      <c r="R2061" s="13" t="s">
        <v>5292</v>
      </c>
      <c r="S2061" s="13" t="s">
        <v>5293</v>
      </c>
      <c r="T2061" s="13" t="s">
        <v>5</v>
      </c>
      <c r="U2061" s="13" t="s">
        <v>43</v>
      </c>
      <c r="V2061" s="13" t="n">
        <f aca="false">IF(COUNTIF($B$2:B2061,B2061)=1,1,0)</f>
        <v>0</v>
      </c>
      <c r="W2061" s="13" t="n">
        <f aca="false">IF(COUNTIFS($B$2:B2061,B2061,$T$2:T2061,T2061)=1,1,0)</f>
        <v>0</v>
      </c>
    </row>
    <row r="2062" customFormat="false" ht="15" hidden="false" customHeight="false" outlineLevel="0" collapsed="false">
      <c r="A2062" s="13" t="s">
        <v>224</v>
      </c>
      <c r="B2062" s="13" t="s">
        <v>42</v>
      </c>
      <c r="C2062" s="13" t="n">
        <v>22300</v>
      </c>
      <c r="D2062" s="13" t="n">
        <v>30</v>
      </c>
      <c r="E2062" s="13" t="n">
        <v>720</v>
      </c>
      <c r="F2062" s="13" t="s">
        <v>5325</v>
      </c>
      <c r="G2062" s="13" t="s">
        <v>5289</v>
      </c>
      <c r="H2062" s="13" t="s">
        <v>5289</v>
      </c>
      <c r="I2062" s="13" t="s">
        <v>5289</v>
      </c>
      <c r="J2062" s="13" t="s">
        <v>5289</v>
      </c>
      <c r="K2062" s="13" t="s">
        <v>5289</v>
      </c>
      <c r="L2062" s="13" t="n">
        <v>8411061134474</v>
      </c>
      <c r="M2062" s="13"/>
      <c r="N2062" s="13" t="n">
        <v>8411061134474</v>
      </c>
      <c r="O2062" s="13"/>
      <c r="P2062" s="13" t="s">
        <v>5291</v>
      </c>
      <c r="Q2062" s="13" t="s">
        <v>5289</v>
      </c>
      <c r="R2062" s="13" t="s">
        <v>5292</v>
      </c>
      <c r="S2062" s="13" t="s">
        <v>5293</v>
      </c>
      <c r="T2062" s="13" t="s">
        <v>5</v>
      </c>
      <c r="U2062" s="13" t="s">
        <v>43</v>
      </c>
      <c r="V2062" s="13" t="n">
        <f aca="false">IF(COUNTIF($B$2:B2062,B2062)=1,1,0)</f>
        <v>0</v>
      </c>
      <c r="W2062" s="13" t="n">
        <f aca="false">IF(COUNTIFS($B$2:B2062,B2062,$T$2:T2062,T2062)=1,1,0)</f>
        <v>0</v>
      </c>
    </row>
    <row r="2063" customFormat="false" ht="15" hidden="false" customHeight="false" outlineLevel="0" collapsed="false">
      <c r="A2063" s="13" t="s">
        <v>125</v>
      </c>
      <c r="B2063" s="13" t="s">
        <v>124</v>
      </c>
      <c r="C2063" s="13" t="n">
        <v>22100</v>
      </c>
      <c r="D2063" s="13" t="n">
        <v>30</v>
      </c>
      <c r="E2063" s="13" t="n">
        <v>850.884615384615</v>
      </c>
      <c r="F2063" s="13" t="s">
        <v>5325</v>
      </c>
      <c r="G2063" s="13" t="s">
        <v>5292</v>
      </c>
      <c r="H2063" s="13" t="s">
        <v>5289</v>
      </c>
      <c r="I2063" s="13" t="s">
        <v>5289</v>
      </c>
      <c r="J2063" s="13" t="s">
        <v>5289</v>
      </c>
      <c r="K2063" s="13" t="s">
        <v>5289</v>
      </c>
      <c r="L2063" s="13"/>
      <c r="M2063" s="13"/>
      <c r="N2063" s="13" t="n">
        <v>3614273953672</v>
      </c>
      <c r="O2063" s="13"/>
      <c r="P2063" s="13" t="s">
        <v>5291</v>
      </c>
      <c r="Q2063" s="13" t="s">
        <v>5289</v>
      </c>
      <c r="R2063" s="13" t="s">
        <v>5292</v>
      </c>
      <c r="S2063" s="13" t="s">
        <v>5293</v>
      </c>
      <c r="T2063" s="13" t="s">
        <v>5</v>
      </c>
      <c r="U2063" s="13" t="s">
        <v>43</v>
      </c>
      <c r="V2063" s="13" t="n">
        <f aca="false">IF(COUNTIF($B$2:B2063,B2063)=1,1,0)</f>
        <v>0</v>
      </c>
      <c r="W2063" s="13" t="n">
        <f aca="false">IF(COUNTIFS($B$2:B2063,B2063,$T$2:T2063,T2063)=1,1,0)</f>
        <v>0</v>
      </c>
    </row>
    <row r="2064" customFormat="false" ht="15" hidden="false" customHeight="false" outlineLevel="0" collapsed="false">
      <c r="A2064" s="13" t="s">
        <v>231</v>
      </c>
      <c r="B2064" s="13" t="s">
        <v>61</v>
      </c>
      <c r="C2064" s="13" t="n">
        <v>21300</v>
      </c>
      <c r="D2064" s="13" t="n">
        <v>30</v>
      </c>
      <c r="E2064" s="13" t="n">
        <v>761.728928571429</v>
      </c>
      <c r="F2064" s="13" t="s">
        <v>5325</v>
      </c>
      <c r="G2064" s="13" t="s">
        <v>5289</v>
      </c>
      <c r="H2064" s="13" t="s">
        <v>5289</v>
      </c>
      <c r="I2064" s="13" t="s">
        <v>5289</v>
      </c>
      <c r="J2064" s="13" t="s">
        <v>5289</v>
      </c>
      <c r="K2064" s="13" t="s">
        <v>5289</v>
      </c>
      <c r="L2064" s="13"/>
      <c r="M2064" s="13"/>
      <c r="N2064" s="13" t="n">
        <v>3614274169706</v>
      </c>
      <c r="O2064" s="13"/>
      <c r="P2064" s="13" t="s">
        <v>5291</v>
      </c>
      <c r="Q2064" s="13" t="s">
        <v>5289</v>
      </c>
      <c r="R2064" s="13" t="s">
        <v>5292</v>
      </c>
      <c r="S2064" s="13" t="s">
        <v>5293</v>
      </c>
      <c r="T2064" s="13" t="s">
        <v>5</v>
      </c>
      <c r="U2064" s="13" t="s">
        <v>43</v>
      </c>
      <c r="V2064" s="13" t="n">
        <f aca="false">IF(COUNTIF($B$2:B2064,B2064)=1,1,0)</f>
        <v>0</v>
      </c>
      <c r="W2064" s="13" t="n">
        <f aca="false">IF(COUNTIFS($B$2:B2064,B2064,$T$2:T2064,T2064)=1,1,0)</f>
        <v>0</v>
      </c>
    </row>
    <row r="2065" customFormat="false" ht="15" hidden="false" customHeight="false" outlineLevel="0" collapsed="false">
      <c r="A2065" s="13" t="s">
        <v>47</v>
      </c>
      <c r="B2065" s="13" t="s">
        <v>42</v>
      </c>
      <c r="C2065" s="13" t="n">
        <v>21200</v>
      </c>
      <c r="D2065" s="13" t="n">
        <v>30</v>
      </c>
      <c r="E2065" s="13" t="n">
        <v>684.890967741935</v>
      </c>
      <c r="F2065" s="13" t="s">
        <v>5325</v>
      </c>
      <c r="G2065" s="13" t="s">
        <v>5289</v>
      </c>
      <c r="H2065" s="13" t="s">
        <v>5289</v>
      </c>
      <c r="I2065" s="13" t="s">
        <v>5289</v>
      </c>
      <c r="J2065" s="13" t="s">
        <v>5289</v>
      </c>
      <c r="K2065" s="13" t="s">
        <v>5289</v>
      </c>
      <c r="L2065" s="13" t="n">
        <v>8411061105016</v>
      </c>
      <c r="M2065" s="13"/>
      <c r="N2065" s="13" t="n">
        <v>8411061105016</v>
      </c>
      <c r="O2065" s="13"/>
      <c r="P2065" s="13" t="s">
        <v>5291</v>
      </c>
      <c r="Q2065" s="13" t="s">
        <v>5289</v>
      </c>
      <c r="R2065" s="13" t="s">
        <v>5292</v>
      </c>
      <c r="S2065" s="13" t="s">
        <v>5293</v>
      </c>
      <c r="T2065" s="13" t="s">
        <v>5</v>
      </c>
      <c r="U2065" s="13" t="s">
        <v>43</v>
      </c>
      <c r="V2065" s="13" t="n">
        <f aca="false">IF(COUNTIF($B$2:B2065,B2065)=1,1,0)</f>
        <v>0</v>
      </c>
      <c r="W2065" s="13" t="n">
        <f aca="false">IF(COUNTIFS($B$2:B2065,B2065,$T$2:T2065,T2065)=1,1,0)</f>
        <v>0</v>
      </c>
    </row>
    <row r="2066" customFormat="false" ht="15" hidden="false" customHeight="false" outlineLevel="0" collapsed="false">
      <c r="A2066" s="13" t="s">
        <v>46</v>
      </c>
      <c r="B2066" s="13" t="s">
        <v>45</v>
      </c>
      <c r="C2066" s="13" t="n">
        <v>20900</v>
      </c>
      <c r="D2066" s="13" t="n">
        <v>50</v>
      </c>
      <c r="E2066" s="13" t="n">
        <v>455</v>
      </c>
      <c r="F2066" s="13" t="s">
        <v>5325</v>
      </c>
      <c r="G2066" s="13" t="s">
        <v>5292</v>
      </c>
      <c r="H2066" s="13" t="s">
        <v>5289</v>
      </c>
      <c r="I2066" s="13" t="s">
        <v>5289</v>
      </c>
      <c r="J2066" s="13" t="s">
        <v>5289</v>
      </c>
      <c r="K2066" s="13" t="s">
        <v>5289</v>
      </c>
      <c r="L2066" s="13"/>
      <c r="M2066" s="13"/>
      <c r="N2066" s="13" t="n">
        <v>8435415076937</v>
      </c>
      <c r="O2066" s="13"/>
      <c r="P2066" s="13" t="s">
        <v>5291</v>
      </c>
      <c r="Q2066" s="13" t="s">
        <v>5289</v>
      </c>
      <c r="R2066" s="13" t="s">
        <v>5292</v>
      </c>
      <c r="S2066" s="13" t="s">
        <v>5293</v>
      </c>
      <c r="T2066" s="13" t="s">
        <v>5</v>
      </c>
      <c r="U2066" s="13" t="s">
        <v>43</v>
      </c>
      <c r="V2066" s="13" t="n">
        <f aca="false">IF(COUNTIF($B$2:B2066,B2066)=1,1,0)</f>
        <v>0</v>
      </c>
      <c r="W2066" s="13" t="n">
        <f aca="false">IF(COUNTIFS($B$2:B2066,B2066,$T$2:T2066,T2066)=1,1,0)</f>
        <v>0</v>
      </c>
    </row>
    <row r="2067" customFormat="false" ht="15" hidden="false" customHeight="false" outlineLevel="0" collapsed="false">
      <c r="A2067" s="13" t="s">
        <v>232</v>
      </c>
      <c r="B2067" s="13" t="s">
        <v>61</v>
      </c>
      <c r="C2067" s="13" t="n">
        <v>20900</v>
      </c>
      <c r="D2067" s="13" t="n">
        <v>60</v>
      </c>
      <c r="E2067" s="13" t="n">
        <v>348.83</v>
      </c>
      <c r="F2067" s="13" t="s">
        <v>5325</v>
      </c>
      <c r="G2067" s="13" t="s">
        <v>5289</v>
      </c>
      <c r="H2067" s="13" t="s">
        <v>5289</v>
      </c>
      <c r="I2067" s="13" t="s">
        <v>5289</v>
      </c>
      <c r="J2067" s="13" t="s">
        <v>5289</v>
      </c>
      <c r="K2067" s="13" t="s">
        <v>5289</v>
      </c>
      <c r="L2067" s="13" t="n">
        <v>3605532612690</v>
      </c>
      <c r="M2067" s="13"/>
      <c r="N2067" s="13" t="n">
        <v>3.61427349089436E+025</v>
      </c>
      <c r="O2067" s="13"/>
      <c r="P2067" s="13" t="s">
        <v>5291</v>
      </c>
      <c r="Q2067" s="13" t="s">
        <v>5289</v>
      </c>
      <c r="R2067" s="13" t="s">
        <v>5292</v>
      </c>
      <c r="S2067" s="13" t="s">
        <v>5293</v>
      </c>
      <c r="T2067" s="13" t="s">
        <v>5</v>
      </c>
      <c r="U2067" s="13" t="s">
        <v>43</v>
      </c>
      <c r="V2067" s="13" t="n">
        <f aca="false">IF(COUNTIF($B$2:B2067,B2067)=1,1,0)</f>
        <v>0</v>
      </c>
      <c r="W2067" s="13" t="n">
        <f aca="false">IF(COUNTIFS($B$2:B2067,B2067,$T$2:T2067,T2067)=1,1,0)</f>
        <v>0</v>
      </c>
    </row>
    <row r="2068" customFormat="false" ht="15" hidden="false" customHeight="false" outlineLevel="0" collapsed="false">
      <c r="A2068" s="13" t="s">
        <v>3893</v>
      </c>
      <c r="B2068" s="13" t="s">
        <v>2109</v>
      </c>
      <c r="C2068" s="13" t="n">
        <v>20800</v>
      </c>
      <c r="D2068" s="13" t="n">
        <v>40</v>
      </c>
      <c r="E2068" s="13" t="n">
        <v>548.507368421053</v>
      </c>
      <c r="F2068" s="13" t="s">
        <v>5325</v>
      </c>
      <c r="G2068" s="13" t="s">
        <v>5289</v>
      </c>
      <c r="H2068" s="13" t="s">
        <v>5292</v>
      </c>
      <c r="I2068" s="13" t="s">
        <v>5289</v>
      </c>
      <c r="J2068" s="13" t="s">
        <v>5289</v>
      </c>
      <c r="K2068" s="13" t="s">
        <v>5289</v>
      </c>
      <c r="L2068" s="13" t="n">
        <v>3614274076776</v>
      </c>
      <c r="M2068" s="13"/>
      <c r="N2068" s="13" t="n">
        <v>3.61427407677634E+025</v>
      </c>
      <c r="O2068" s="13"/>
      <c r="P2068" s="13" t="s">
        <v>5291</v>
      </c>
      <c r="Q2068" s="13" t="s">
        <v>5289</v>
      </c>
      <c r="R2068" s="13" t="s">
        <v>5292</v>
      </c>
      <c r="S2068" s="13" t="s">
        <v>5293</v>
      </c>
      <c r="T2068" s="13" t="s">
        <v>5</v>
      </c>
      <c r="U2068" s="13" t="s">
        <v>183</v>
      </c>
      <c r="V2068" s="13" t="n">
        <f aca="false">IF(COUNTIF($B$2:B2068,B2068)=1,1,0)</f>
        <v>1</v>
      </c>
      <c r="W2068" s="13" t="n">
        <f aca="false">IF(COUNTIFS($B$2:B2068,B2068,$T$2:T2068,T2068)=1,1,0)</f>
        <v>1</v>
      </c>
    </row>
    <row r="2069" customFormat="false" ht="15" hidden="false" customHeight="false" outlineLevel="0" collapsed="false">
      <c r="A2069" s="13" t="s">
        <v>63</v>
      </c>
      <c r="B2069" s="13" t="s">
        <v>50</v>
      </c>
      <c r="C2069" s="13" t="n">
        <v>20800</v>
      </c>
      <c r="D2069" s="13" t="n">
        <v>30</v>
      </c>
      <c r="E2069" s="13" t="n">
        <v>718.725517241379</v>
      </c>
      <c r="F2069" s="13" t="s">
        <v>5325</v>
      </c>
      <c r="G2069" s="13" t="s">
        <v>5289</v>
      </c>
      <c r="H2069" s="13" t="s">
        <v>5289</v>
      </c>
      <c r="I2069" s="13" t="s">
        <v>5289</v>
      </c>
      <c r="J2069" s="13" t="s">
        <v>5289</v>
      </c>
      <c r="K2069" s="13" t="s">
        <v>5289</v>
      </c>
      <c r="L2069" s="13"/>
      <c r="M2069" s="13"/>
      <c r="N2069" s="13" t="n">
        <v>3349668581948</v>
      </c>
      <c r="O2069" s="13"/>
      <c r="P2069" s="13" t="s">
        <v>5297</v>
      </c>
      <c r="Q2069" s="13" t="s">
        <v>5289</v>
      </c>
      <c r="R2069" s="13" t="s">
        <v>5292</v>
      </c>
      <c r="S2069" s="13" t="s">
        <v>5293</v>
      </c>
      <c r="T2069" s="13" t="s">
        <v>5</v>
      </c>
      <c r="U2069" s="13" t="s">
        <v>43</v>
      </c>
      <c r="V2069" s="13" t="n">
        <f aca="false">IF(COUNTIF($B$2:B2069,B2069)=1,1,0)</f>
        <v>0</v>
      </c>
      <c r="W2069" s="13" t="n">
        <f aca="false">IF(COUNTIFS($B$2:B2069,B2069,$T$2:T2069,T2069)=1,1,0)</f>
        <v>0</v>
      </c>
    </row>
    <row r="2070" customFormat="false" ht="15" hidden="false" customHeight="false" outlineLevel="0" collapsed="false">
      <c r="A2070" s="13" t="s">
        <v>236</v>
      </c>
      <c r="B2070" s="13" t="s">
        <v>193</v>
      </c>
      <c r="C2070" s="13" t="n">
        <v>20700</v>
      </c>
      <c r="D2070" s="13" t="n">
        <v>30</v>
      </c>
      <c r="E2070" s="13" t="n">
        <v>767.277037037037</v>
      </c>
      <c r="F2070" s="13" t="s">
        <v>5325</v>
      </c>
      <c r="G2070" s="13" t="s">
        <v>5289</v>
      </c>
      <c r="H2070" s="13" t="s">
        <v>5289</v>
      </c>
      <c r="I2070" s="13" t="s">
        <v>5289</v>
      </c>
      <c r="J2070" s="13" t="s">
        <v>5289</v>
      </c>
      <c r="K2070" s="13" t="s">
        <v>5289</v>
      </c>
      <c r="L2070" s="13" t="n">
        <v>3605521172525</v>
      </c>
      <c r="M2070" s="13"/>
      <c r="N2070" s="13" t="n">
        <v>3605521172525</v>
      </c>
      <c r="O2070" s="13"/>
      <c r="P2070" s="13" t="s">
        <v>5291</v>
      </c>
      <c r="Q2070" s="13" t="s">
        <v>5289</v>
      </c>
      <c r="R2070" s="13" t="s">
        <v>5292</v>
      </c>
      <c r="S2070" s="13" t="s">
        <v>5293</v>
      </c>
      <c r="T2070" s="13" t="s">
        <v>5</v>
      </c>
      <c r="U2070" s="13" t="s">
        <v>43</v>
      </c>
      <c r="V2070" s="13" t="n">
        <f aca="false">IF(COUNTIF($B$2:B2070,B2070)=1,1,0)</f>
        <v>0</v>
      </c>
      <c r="W2070" s="13" t="n">
        <f aca="false">IF(COUNTIFS($B$2:B2070,B2070,$T$2:T2070,T2070)=1,1,0)</f>
        <v>0</v>
      </c>
    </row>
    <row r="2071" customFormat="false" ht="15" hidden="false" customHeight="false" outlineLevel="0" collapsed="false">
      <c r="A2071" s="13" t="s">
        <v>235</v>
      </c>
      <c r="B2071" s="13" t="s">
        <v>105</v>
      </c>
      <c r="C2071" s="13" t="n">
        <v>20700</v>
      </c>
      <c r="D2071" s="13" t="n">
        <v>40</v>
      </c>
      <c r="E2071" s="13" t="n">
        <v>545.100789473684</v>
      </c>
      <c r="F2071" s="13" t="s">
        <v>5325</v>
      </c>
      <c r="G2071" s="13" t="s">
        <v>5289</v>
      </c>
      <c r="H2071" s="13" t="s">
        <v>5289</v>
      </c>
      <c r="I2071" s="13" t="s">
        <v>5289</v>
      </c>
      <c r="J2071" s="13" t="s">
        <v>5289</v>
      </c>
      <c r="K2071" s="13" t="s">
        <v>5289</v>
      </c>
      <c r="L2071" s="13" t="n">
        <v>3614228220880</v>
      </c>
      <c r="M2071" s="13"/>
      <c r="N2071" s="13" t="n">
        <v>3614228220880</v>
      </c>
      <c r="O2071" s="13"/>
      <c r="P2071" s="13" t="s">
        <v>5291</v>
      </c>
      <c r="Q2071" s="13" t="s">
        <v>5289</v>
      </c>
      <c r="R2071" s="13" t="s">
        <v>5292</v>
      </c>
      <c r="S2071" s="13" t="s">
        <v>5293</v>
      </c>
      <c r="T2071" s="13" t="s">
        <v>5</v>
      </c>
      <c r="U2071" s="13" t="s">
        <v>43</v>
      </c>
      <c r="V2071" s="13" t="n">
        <f aca="false">IF(COUNTIF($B$2:B2071,B2071)=1,1,0)</f>
        <v>0</v>
      </c>
      <c r="W2071" s="13" t="n">
        <f aca="false">IF(COUNTIFS($B$2:B2071,B2071,$T$2:T2071,T2071)=1,1,0)</f>
        <v>1</v>
      </c>
    </row>
    <row r="2072" customFormat="false" ht="15" hidden="false" customHeight="false" outlineLevel="0" collapsed="false">
      <c r="A2072" s="13" t="s">
        <v>113</v>
      </c>
      <c r="B2072" s="13" t="s">
        <v>45</v>
      </c>
      <c r="C2072" s="13" t="n">
        <v>20700</v>
      </c>
      <c r="D2072" s="13" t="n">
        <v>40</v>
      </c>
      <c r="E2072" s="13" t="n">
        <v>529.75641025641</v>
      </c>
      <c r="F2072" s="13" t="s">
        <v>5325</v>
      </c>
      <c r="G2072" s="13" t="s">
        <v>5289</v>
      </c>
      <c r="H2072" s="13" t="s">
        <v>5289</v>
      </c>
      <c r="I2072" s="13" t="s">
        <v>5289</v>
      </c>
      <c r="J2072" s="13" t="s">
        <v>5289</v>
      </c>
      <c r="K2072" s="13" t="s">
        <v>5289</v>
      </c>
      <c r="L2072" s="13" t="n">
        <v>8435415059077</v>
      </c>
      <c r="M2072" s="13"/>
      <c r="N2072" s="13" t="n">
        <v>8.43541505907784E+025</v>
      </c>
      <c r="O2072" s="13"/>
      <c r="P2072" s="13" t="s">
        <v>5291</v>
      </c>
      <c r="Q2072" s="13" t="s">
        <v>5289</v>
      </c>
      <c r="R2072" s="13" t="s">
        <v>5292</v>
      </c>
      <c r="S2072" s="13" t="s">
        <v>5293</v>
      </c>
      <c r="T2072" s="13" t="s">
        <v>5</v>
      </c>
      <c r="U2072" s="13" t="s">
        <v>43</v>
      </c>
      <c r="V2072" s="13" t="n">
        <f aca="false">IF(COUNTIF($B$2:B2072,B2072)=1,1,0)</f>
        <v>0</v>
      </c>
      <c r="W2072" s="13" t="n">
        <f aca="false">IF(COUNTIFS($B$2:B2072,B2072,$T$2:T2072,T2072)=1,1,0)</f>
        <v>0</v>
      </c>
    </row>
    <row r="2073" customFormat="false" ht="15" hidden="false" customHeight="false" outlineLevel="0" collapsed="false">
      <c r="A2073" s="13" t="s">
        <v>237</v>
      </c>
      <c r="B2073" s="13" t="s">
        <v>42</v>
      </c>
      <c r="C2073" s="13" t="n">
        <v>20600</v>
      </c>
      <c r="D2073" s="13" t="n">
        <v>50</v>
      </c>
      <c r="E2073" s="13" t="n">
        <v>396.368076923077</v>
      </c>
      <c r="F2073" s="13" t="s">
        <v>5325</v>
      </c>
      <c r="G2073" s="13" t="s">
        <v>5289</v>
      </c>
      <c r="H2073" s="13" t="s">
        <v>5289</v>
      </c>
      <c r="I2073" s="13" t="s">
        <v>5289</v>
      </c>
      <c r="J2073" s="13" t="s">
        <v>5289</v>
      </c>
      <c r="K2073" s="13" t="s">
        <v>5289</v>
      </c>
      <c r="L2073" s="13" t="n">
        <v>8411061607176</v>
      </c>
      <c r="M2073" s="13"/>
      <c r="N2073" s="13" t="n">
        <v>8411061607176</v>
      </c>
      <c r="O2073" s="13"/>
      <c r="P2073" s="13" t="s">
        <v>5291</v>
      </c>
      <c r="Q2073" s="13" t="s">
        <v>5289</v>
      </c>
      <c r="R2073" s="13" t="s">
        <v>5292</v>
      </c>
      <c r="S2073" s="13" t="s">
        <v>5293</v>
      </c>
      <c r="T2073" s="13" t="s">
        <v>5</v>
      </c>
      <c r="U2073" s="13" t="s">
        <v>43</v>
      </c>
      <c r="V2073" s="13" t="n">
        <f aca="false">IF(COUNTIF($B$2:B2073,B2073)=1,1,0)</f>
        <v>0</v>
      </c>
      <c r="W2073" s="13" t="n">
        <f aca="false">IF(COUNTIFS($B$2:B2073,B2073,$T$2:T2073,T2073)=1,1,0)</f>
        <v>0</v>
      </c>
    </row>
    <row r="2074" customFormat="false" ht="15" hidden="false" customHeight="false" outlineLevel="0" collapsed="false">
      <c r="A2074" s="13" t="s">
        <v>238</v>
      </c>
      <c r="B2074" s="13" t="s">
        <v>124</v>
      </c>
      <c r="C2074" s="13" t="n">
        <v>20500</v>
      </c>
      <c r="D2074" s="13" t="n">
        <v>30</v>
      </c>
      <c r="E2074" s="13" t="n">
        <v>683.444666666667</v>
      </c>
      <c r="F2074" s="13" t="s">
        <v>5325</v>
      </c>
      <c r="G2074" s="13" t="s">
        <v>5289</v>
      </c>
      <c r="H2074" s="13" t="s">
        <v>5289</v>
      </c>
      <c r="I2074" s="13" t="s">
        <v>5289</v>
      </c>
      <c r="J2074" s="13" t="s">
        <v>5289</v>
      </c>
      <c r="K2074" s="13" t="s">
        <v>5289</v>
      </c>
      <c r="L2074" s="13" t="n">
        <v>3614274219579</v>
      </c>
      <c r="M2074" s="13"/>
      <c r="N2074" s="13" t="n">
        <v>3614274219579</v>
      </c>
      <c r="O2074" s="13"/>
      <c r="P2074" s="13" t="s">
        <v>5291</v>
      </c>
      <c r="Q2074" s="13" t="s">
        <v>5289</v>
      </c>
      <c r="R2074" s="13" t="s">
        <v>5292</v>
      </c>
      <c r="S2074" s="13" t="s">
        <v>5293</v>
      </c>
      <c r="T2074" s="13" t="s">
        <v>5</v>
      </c>
      <c r="U2074" s="13" t="s">
        <v>43</v>
      </c>
      <c r="V2074" s="13" t="n">
        <f aca="false">IF(COUNTIF($B$2:B2074,B2074)=1,1,0)</f>
        <v>0</v>
      </c>
      <c r="W2074" s="13" t="n">
        <f aca="false">IF(COUNTIFS($B$2:B2074,B2074,$T$2:T2074,T2074)=1,1,0)</f>
        <v>0</v>
      </c>
    </row>
    <row r="2075" customFormat="false" ht="15" hidden="false" customHeight="false" outlineLevel="0" collapsed="false">
      <c r="A2075" s="13" t="s">
        <v>239</v>
      </c>
      <c r="B2075" s="13" t="s">
        <v>50</v>
      </c>
      <c r="C2075" s="13" t="n">
        <v>20300</v>
      </c>
      <c r="D2075" s="13" t="n">
        <v>50</v>
      </c>
      <c r="E2075" s="13" t="n">
        <v>399</v>
      </c>
      <c r="F2075" s="13" t="s">
        <v>5325</v>
      </c>
      <c r="G2075" s="13" t="s">
        <v>5289</v>
      </c>
      <c r="H2075" s="13" t="s">
        <v>5289</v>
      </c>
      <c r="I2075" s="13" t="s">
        <v>5289</v>
      </c>
      <c r="J2075" s="13" t="s">
        <v>5289</v>
      </c>
      <c r="K2075" s="13" t="s">
        <v>5289</v>
      </c>
      <c r="L2075" s="13" t="n">
        <v>3349668021345</v>
      </c>
      <c r="M2075" s="13"/>
      <c r="N2075" s="13" t="n">
        <v>3349668021345</v>
      </c>
      <c r="O2075" s="13"/>
      <c r="P2075" s="13" t="s">
        <v>5297</v>
      </c>
      <c r="Q2075" s="13" t="s">
        <v>5289</v>
      </c>
      <c r="R2075" s="13" t="s">
        <v>5292</v>
      </c>
      <c r="S2075" s="13" t="s">
        <v>5293</v>
      </c>
      <c r="T2075" s="13" t="s">
        <v>5</v>
      </c>
      <c r="U2075" s="13" t="s">
        <v>43</v>
      </c>
      <c r="V2075" s="13" t="n">
        <f aca="false">IF(COUNTIF($B$2:B2075,B2075)=1,1,0)</f>
        <v>0</v>
      </c>
      <c r="W2075" s="13" t="n">
        <f aca="false">IF(COUNTIFS($B$2:B2075,B2075,$T$2:T2075,T2075)=1,1,0)</f>
        <v>0</v>
      </c>
    </row>
    <row r="2076" customFormat="false" ht="15" hidden="false" customHeight="false" outlineLevel="0" collapsed="false">
      <c r="A2076" s="13" t="s">
        <v>244</v>
      </c>
      <c r="B2076" s="13" t="s">
        <v>42</v>
      </c>
      <c r="C2076" s="13" t="n">
        <v>19800</v>
      </c>
      <c r="D2076" s="13" t="n">
        <v>50</v>
      </c>
      <c r="E2076" s="13" t="n">
        <v>421.907872340426</v>
      </c>
      <c r="F2076" s="13" t="s">
        <v>5325</v>
      </c>
      <c r="G2076" s="13" t="s">
        <v>5289</v>
      </c>
      <c r="H2076" s="13" t="s">
        <v>5289</v>
      </c>
      <c r="I2076" s="13" t="s">
        <v>5289</v>
      </c>
      <c r="J2076" s="13" t="s">
        <v>5289</v>
      </c>
      <c r="K2076" s="13" t="s">
        <v>5289</v>
      </c>
      <c r="L2076" s="13"/>
      <c r="M2076" s="13"/>
      <c r="N2076" s="13" t="n">
        <v>8411061077146</v>
      </c>
      <c r="O2076" s="13"/>
      <c r="P2076" s="13" t="s">
        <v>5291</v>
      </c>
      <c r="Q2076" s="13" t="s">
        <v>5289</v>
      </c>
      <c r="R2076" s="13" t="s">
        <v>5292</v>
      </c>
      <c r="S2076" s="13" t="s">
        <v>5293</v>
      </c>
      <c r="T2076" s="13" t="s">
        <v>5</v>
      </c>
      <c r="U2076" s="13" t="s">
        <v>43</v>
      </c>
      <c r="V2076" s="13" t="n">
        <f aca="false">IF(COUNTIF($B$2:B2076,B2076)=1,1,0)</f>
        <v>0</v>
      </c>
      <c r="W2076" s="13" t="n">
        <f aca="false">IF(COUNTIFS($B$2:B2076,B2076,$T$2:T2076,T2076)=1,1,0)</f>
        <v>0</v>
      </c>
    </row>
    <row r="2077" customFormat="false" ht="15" hidden="false" customHeight="false" outlineLevel="0" collapsed="false">
      <c r="A2077" s="13" t="s">
        <v>245</v>
      </c>
      <c r="B2077" s="13" t="s">
        <v>61</v>
      </c>
      <c r="C2077" s="13" t="n">
        <v>19700</v>
      </c>
      <c r="D2077" s="13" t="n">
        <v>30</v>
      </c>
      <c r="E2077" s="13" t="n">
        <v>705.333571428571</v>
      </c>
      <c r="F2077" s="13" t="s">
        <v>5325</v>
      </c>
      <c r="G2077" s="13" t="s">
        <v>5289</v>
      </c>
      <c r="H2077" s="13" t="s">
        <v>5289</v>
      </c>
      <c r="I2077" s="13" t="s">
        <v>5289</v>
      </c>
      <c r="J2077" s="13" t="s">
        <v>5289</v>
      </c>
      <c r="K2077" s="13" t="s">
        <v>5289</v>
      </c>
      <c r="L2077" s="13" t="n">
        <v>3614273069175</v>
      </c>
      <c r="M2077" s="13"/>
      <c r="N2077" s="13" t="n">
        <v>3614273069175</v>
      </c>
      <c r="O2077" s="13"/>
      <c r="P2077" s="13" t="s">
        <v>5291</v>
      </c>
      <c r="Q2077" s="13" t="s">
        <v>5289</v>
      </c>
      <c r="R2077" s="13" t="s">
        <v>5292</v>
      </c>
      <c r="S2077" s="13" t="s">
        <v>5293</v>
      </c>
      <c r="T2077" s="13" t="s">
        <v>5</v>
      </c>
      <c r="U2077" s="13" t="s">
        <v>43</v>
      </c>
      <c r="V2077" s="13" t="n">
        <f aca="false">IF(COUNTIF($B$2:B2077,B2077)=1,1,0)</f>
        <v>0</v>
      </c>
      <c r="W2077" s="13" t="n">
        <f aca="false">IF(COUNTIFS($B$2:B2077,B2077,$T$2:T2077,T2077)=1,1,0)</f>
        <v>0</v>
      </c>
    </row>
    <row r="2078" customFormat="false" ht="15" hidden="false" customHeight="false" outlineLevel="0" collapsed="false">
      <c r="A2078" s="13" t="s">
        <v>246</v>
      </c>
      <c r="B2078" s="13" t="s">
        <v>42</v>
      </c>
      <c r="C2078" s="13" t="n">
        <v>19700</v>
      </c>
      <c r="D2078" s="13" t="n">
        <v>20</v>
      </c>
      <c r="E2078" s="13" t="n">
        <v>789.942</v>
      </c>
      <c r="F2078" s="13" t="s">
        <v>5325</v>
      </c>
      <c r="G2078" s="13" t="s">
        <v>5289</v>
      </c>
      <c r="H2078" s="13" t="s">
        <v>5289</v>
      </c>
      <c r="I2078" s="13" t="s">
        <v>5289</v>
      </c>
      <c r="J2078" s="13" t="s">
        <v>5289</v>
      </c>
      <c r="K2078" s="13" t="s">
        <v>5289</v>
      </c>
      <c r="L2078" s="13" t="n">
        <v>8411061083659</v>
      </c>
      <c r="M2078" s="13"/>
      <c r="N2078" s="13" t="n">
        <v>8411061083659</v>
      </c>
      <c r="O2078" s="13"/>
      <c r="P2078" s="13" t="s">
        <v>5291</v>
      </c>
      <c r="Q2078" s="13" t="s">
        <v>5289</v>
      </c>
      <c r="R2078" s="13" t="s">
        <v>5292</v>
      </c>
      <c r="S2078" s="13" t="s">
        <v>5293</v>
      </c>
      <c r="T2078" s="13" t="s">
        <v>5</v>
      </c>
      <c r="U2078" s="13" t="s">
        <v>43</v>
      </c>
      <c r="V2078" s="13" t="n">
        <f aca="false">IF(COUNTIF($B$2:B2078,B2078)=1,1,0)</f>
        <v>0</v>
      </c>
      <c r="W2078" s="13" t="n">
        <f aca="false">IF(COUNTIFS($B$2:B2078,B2078,$T$2:T2078,T2078)=1,1,0)</f>
        <v>0</v>
      </c>
    </row>
    <row r="2079" customFormat="false" ht="15" hidden="false" customHeight="false" outlineLevel="0" collapsed="false">
      <c r="A2079" s="13" t="s">
        <v>44</v>
      </c>
      <c r="B2079" s="13" t="s">
        <v>42</v>
      </c>
      <c r="C2079" s="13" t="n">
        <v>18800</v>
      </c>
      <c r="D2079" s="13" t="n">
        <v>30</v>
      </c>
      <c r="E2079" s="13" t="n">
        <v>671</v>
      </c>
      <c r="F2079" s="13" t="s">
        <v>5325</v>
      </c>
      <c r="G2079" s="13" t="s">
        <v>5292</v>
      </c>
      <c r="H2079" s="13" t="s">
        <v>5289</v>
      </c>
      <c r="I2079" s="13" t="s">
        <v>5289</v>
      </c>
      <c r="J2079" s="13" t="s">
        <v>5289</v>
      </c>
      <c r="K2079" s="13" t="s">
        <v>5289</v>
      </c>
      <c r="L2079" s="13"/>
      <c r="M2079" s="13"/>
      <c r="N2079" s="13" t="n">
        <v>8411061026335</v>
      </c>
      <c r="O2079" s="13"/>
      <c r="P2079" s="13" t="s">
        <v>5297</v>
      </c>
      <c r="Q2079" s="13" t="s">
        <v>5289</v>
      </c>
      <c r="R2079" s="13" t="s">
        <v>5292</v>
      </c>
      <c r="S2079" s="13" t="s">
        <v>5293</v>
      </c>
      <c r="T2079" s="13" t="s">
        <v>5</v>
      </c>
      <c r="U2079" s="13" t="s">
        <v>43</v>
      </c>
      <c r="V2079" s="13" t="n">
        <f aca="false">IF(COUNTIF($B$2:B2079,B2079)=1,1,0)</f>
        <v>0</v>
      </c>
      <c r="W2079" s="13" t="n">
        <f aca="false">IF(COUNTIFS($B$2:B2079,B2079,$T$2:T2079,T2079)=1,1,0)</f>
        <v>0</v>
      </c>
    </row>
    <row r="2080" customFormat="false" ht="15" hidden="false" customHeight="false" outlineLevel="0" collapsed="false">
      <c r="A2080" s="13" t="s">
        <v>252</v>
      </c>
      <c r="B2080" s="13" t="s">
        <v>124</v>
      </c>
      <c r="C2080" s="13" t="n">
        <v>18700</v>
      </c>
      <c r="D2080" s="13" t="n">
        <v>30</v>
      </c>
      <c r="E2080" s="13" t="n">
        <v>624.31</v>
      </c>
      <c r="F2080" s="13" t="s">
        <v>5325</v>
      </c>
      <c r="G2080" s="13" t="s">
        <v>5289</v>
      </c>
      <c r="H2080" s="13" t="s">
        <v>5289</v>
      </c>
      <c r="I2080" s="13" t="s">
        <v>5289</v>
      </c>
      <c r="J2080" s="13" t="s">
        <v>5289</v>
      </c>
      <c r="K2080" s="13" t="s">
        <v>5289</v>
      </c>
      <c r="L2080" s="13" t="n">
        <v>3614273636513</v>
      </c>
      <c r="M2080" s="13"/>
      <c r="N2080" s="13" t="n">
        <v>3614273636513</v>
      </c>
      <c r="O2080" s="13"/>
      <c r="P2080" s="13" t="s">
        <v>5291</v>
      </c>
      <c r="Q2080" s="13" t="s">
        <v>5289</v>
      </c>
      <c r="R2080" s="13" t="s">
        <v>5292</v>
      </c>
      <c r="S2080" s="13" t="s">
        <v>5293</v>
      </c>
      <c r="T2080" s="13" t="s">
        <v>5</v>
      </c>
      <c r="U2080" s="13" t="s">
        <v>43</v>
      </c>
      <c r="V2080" s="13" t="n">
        <f aca="false">IF(COUNTIF($B$2:B2080,B2080)=1,1,0)</f>
        <v>0</v>
      </c>
      <c r="W2080" s="13" t="n">
        <f aca="false">IF(COUNTIFS($B$2:B2080,B2080,$T$2:T2080,T2080)=1,1,0)</f>
        <v>0</v>
      </c>
    </row>
    <row r="2081" customFormat="false" ht="15" hidden="false" customHeight="false" outlineLevel="0" collapsed="false">
      <c r="A2081" s="13" t="s">
        <v>253</v>
      </c>
      <c r="B2081" s="13" t="s">
        <v>61</v>
      </c>
      <c r="C2081" s="13" t="n">
        <v>18700</v>
      </c>
      <c r="D2081" s="13" t="n">
        <v>30</v>
      </c>
      <c r="E2081" s="13" t="n">
        <v>667.84</v>
      </c>
      <c r="F2081" s="13" t="s">
        <v>5325</v>
      </c>
      <c r="G2081" s="13" t="s">
        <v>5289</v>
      </c>
      <c r="H2081" s="13" t="s">
        <v>5289</v>
      </c>
      <c r="I2081" s="13" t="s">
        <v>5289</v>
      </c>
      <c r="J2081" s="13" t="s">
        <v>5289</v>
      </c>
      <c r="K2081" s="13" t="s">
        <v>5289</v>
      </c>
      <c r="L2081" s="13" t="n">
        <v>3614274397246</v>
      </c>
      <c r="M2081" s="13"/>
      <c r="N2081" s="13" t="n">
        <v>3614274397246</v>
      </c>
      <c r="O2081" s="13"/>
      <c r="P2081" s="13" t="s">
        <v>5291</v>
      </c>
      <c r="Q2081" s="13" t="s">
        <v>5289</v>
      </c>
      <c r="R2081" s="13" t="s">
        <v>5292</v>
      </c>
      <c r="S2081" s="13" t="s">
        <v>5293</v>
      </c>
      <c r="T2081" s="13" t="s">
        <v>5</v>
      </c>
      <c r="U2081" s="13" t="s">
        <v>43</v>
      </c>
      <c r="V2081" s="13" t="n">
        <f aca="false">IF(COUNTIF($B$2:B2081,B2081)=1,1,0)</f>
        <v>0</v>
      </c>
      <c r="W2081" s="13" t="n">
        <f aca="false">IF(COUNTIFS($B$2:B2081,B2081,$T$2:T2081,T2081)=1,1,0)</f>
        <v>0</v>
      </c>
    </row>
    <row r="2082" customFormat="false" ht="15" hidden="false" customHeight="false" outlineLevel="0" collapsed="false">
      <c r="A2082" s="13" t="s">
        <v>221</v>
      </c>
      <c r="B2082" s="13" t="s">
        <v>72</v>
      </c>
      <c r="C2082" s="13" t="n">
        <v>18600</v>
      </c>
      <c r="D2082" s="13" t="n">
        <v>40</v>
      </c>
      <c r="E2082" s="13" t="n">
        <v>477.564615384615</v>
      </c>
      <c r="F2082" s="13" t="s">
        <v>5288</v>
      </c>
      <c r="G2082" s="13" t="s">
        <v>5289</v>
      </c>
      <c r="H2082" s="13" t="s">
        <v>5289</v>
      </c>
      <c r="I2082" s="13" t="s">
        <v>5289</v>
      </c>
      <c r="J2082" s="13" t="s">
        <v>5289</v>
      </c>
      <c r="K2082" s="13" t="s">
        <v>5289</v>
      </c>
      <c r="L2082" s="13" t="n">
        <v>3614274000610</v>
      </c>
      <c r="M2082" s="13"/>
      <c r="N2082" s="13" t="n">
        <v>3614274000610</v>
      </c>
      <c r="O2082" s="13"/>
      <c r="P2082" s="13" t="s">
        <v>5291</v>
      </c>
      <c r="Q2082" s="13" t="s">
        <v>5289</v>
      </c>
      <c r="R2082" s="13" t="s">
        <v>5292</v>
      </c>
      <c r="S2082" s="13" t="s">
        <v>5293</v>
      </c>
      <c r="T2082" s="13" t="s">
        <v>5</v>
      </c>
      <c r="U2082" s="13" t="s">
        <v>43</v>
      </c>
      <c r="V2082" s="13" t="n">
        <f aca="false">IF(COUNTIF($B$2:B2082,B2082)=1,1,0)</f>
        <v>0</v>
      </c>
      <c r="W2082" s="13" t="n">
        <f aca="false">IF(COUNTIFS($B$2:B2082,B2082,$T$2:T2082,T2082)=1,1,0)</f>
        <v>0</v>
      </c>
    </row>
    <row r="2083" customFormat="false" ht="15" hidden="false" customHeight="false" outlineLevel="0" collapsed="false">
      <c r="A2083" s="13" t="s">
        <v>254</v>
      </c>
      <c r="B2083" s="13" t="s">
        <v>42</v>
      </c>
      <c r="C2083" s="13" t="n">
        <v>18600</v>
      </c>
      <c r="D2083" s="13" t="n">
        <v>30</v>
      </c>
      <c r="E2083" s="13" t="n">
        <v>713.550769230769</v>
      </c>
      <c r="F2083" s="13" t="s">
        <v>5325</v>
      </c>
      <c r="G2083" s="13" t="s">
        <v>5289</v>
      </c>
      <c r="H2083" s="13" t="s">
        <v>5292</v>
      </c>
      <c r="I2083" s="13" t="s">
        <v>5289</v>
      </c>
      <c r="J2083" s="13" t="s">
        <v>5289</v>
      </c>
      <c r="K2083" s="13" t="s">
        <v>5289</v>
      </c>
      <c r="L2083" s="13" t="n">
        <v>8411061782347</v>
      </c>
      <c r="M2083" s="13"/>
      <c r="N2083" s="13" t="n">
        <v>8411061782347</v>
      </c>
      <c r="O2083" s="13"/>
      <c r="P2083" s="13" t="s">
        <v>5291</v>
      </c>
      <c r="Q2083" s="13" t="s">
        <v>5289</v>
      </c>
      <c r="R2083" s="13" t="s">
        <v>5292</v>
      </c>
      <c r="S2083" s="13" t="s">
        <v>5293</v>
      </c>
      <c r="T2083" s="13" t="s">
        <v>5</v>
      </c>
      <c r="U2083" s="13" t="s">
        <v>43</v>
      </c>
      <c r="V2083" s="13" t="n">
        <f aca="false">IF(COUNTIF($B$2:B2083,B2083)=1,1,0)</f>
        <v>0</v>
      </c>
      <c r="W2083" s="13" t="n">
        <f aca="false">IF(COUNTIFS($B$2:B2083,B2083,$T$2:T2083,T2083)=1,1,0)</f>
        <v>0</v>
      </c>
    </row>
    <row r="2084" customFormat="false" ht="15" hidden="false" customHeight="false" outlineLevel="0" collapsed="false">
      <c r="A2084" s="13" t="s">
        <v>257</v>
      </c>
      <c r="B2084" s="13" t="s">
        <v>107</v>
      </c>
      <c r="C2084" s="13" t="n">
        <v>18300</v>
      </c>
      <c r="D2084" s="13" t="n">
        <v>280</v>
      </c>
      <c r="E2084" s="13" t="n">
        <v>66.4491304347826</v>
      </c>
      <c r="F2084" s="13" t="s">
        <v>5288</v>
      </c>
      <c r="G2084" s="13" t="s">
        <v>5289</v>
      </c>
      <c r="H2084" s="13" t="s">
        <v>5289</v>
      </c>
      <c r="I2084" s="13" t="s">
        <v>5292</v>
      </c>
      <c r="J2084" s="13" t="s">
        <v>5289</v>
      </c>
      <c r="K2084" s="13" t="s">
        <v>5289</v>
      </c>
      <c r="L2084" s="13" t="n">
        <v>4064666306148</v>
      </c>
      <c r="M2084" s="13"/>
      <c r="N2084" s="13" t="n">
        <v>4.06466630614879E+038</v>
      </c>
      <c r="O2084" s="13"/>
      <c r="P2084" s="13" t="s">
        <v>5297</v>
      </c>
      <c r="Q2084" s="13" t="s">
        <v>5289</v>
      </c>
      <c r="R2084" s="13" t="s">
        <v>5292</v>
      </c>
      <c r="S2084" s="13" t="s">
        <v>5293</v>
      </c>
      <c r="T2084" s="13" t="s">
        <v>5</v>
      </c>
      <c r="U2084" s="13" t="s">
        <v>43</v>
      </c>
      <c r="V2084" s="13" t="n">
        <f aca="false">IF(COUNTIF($B$2:B2084,B2084)=1,1,0)</f>
        <v>0</v>
      </c>
      <c r="W2084" s="13" t="n">
        <f aca="false">IF(COUNTIFS($B$2:B2084,B2084,$T$2:T2084,T2084)=1,1,0)</f>
        <v>0</v>
      </c>
    </row>
    <row r="2085" customFormat="false" ht="15" hidden="false" customHeight="false" outlineLevel="0" collapsed="false">
      <c r="A2085" s="13" t="s">
        <v>70</v>
      </c>
      <c r="B2085" s="13" t="s">
        <v>69</v>
      </c>
      <c r="C2085" s="13" t="n">
        <v>18300</v>
      </c>
      <c r="D2085" s="13" t="n">
        <v>30</v>
      </c>
      <c r="E2085" s="13" t="n">
        <v>611.190666666667</v>
      </c>
      <c r="F2085" s="13" t="s">
        <v>5325</v>
      </c>
      <c r="G2085" s="13" t="s">
        <v>5289</v>
      </c>
      <c r="H2085" s="13" t="s">
        <v>5289</v>
      </c>
      <c r="I2085" s="13" t="s">
        <v>5289</v>
      </c>
      <c r="J2085" s="13" t="s">
        <v>5289</v>
      </c>
      <c r="K2085" s="13" t="s">
        <v>5289</v>
      </c>
      <c r="L2085" s="13" t="n">
        <v>3614272050358</v>
      </c>
      <c r="M2085" s="13"/>
      <c r="N2085" s="13" t="n">
        <v>3614272050358</v>
      </c>
      <c r="O2085" s="13"/>
      <c r="P2085" s="13" t="s">
        <v>5291</v>
      </c>
      <c r="Q2085" s="13" t="s">
        <v>5289</v>
      </c>
      <c r="R2085" s="13" t="s">
        <v>5292</v>
      </c>
      <c r="S2085" s="13" t="s">
        <v>5293</v>
      </c>
      <c r="T2085" s="13" t="s">
        <v>5</v>
      </c>
      <c r="U2085" s="13" t="s">
        <v>43</v>
      </c>
      <c r="V2085" s="13" t="n">
        <f aca="false">IF(COUNTIF($B$2:B2085,B2085)=1,1,0)</f>
        <v>0</v>
      </c>
      <c r="W2085" s="13" t="n">
        <f aca="false">IF(COUNTIFS($B$2:B2085,B2085,$T$2:T2085,T2085)=1,1,0)</f>
        <v>0</v>
      </c>
    </row>
    <row r="2086" customFormat="false" ht="15" hidden="false" customHeight="false" outlineLevel="0" collapsed="false">
      <c r="A2086" s="13" t="s">
        <v>189</v>
      </c>
      <c r="B2086" s="13" t="s">
        <v>50</v>
      </c>
      <c r="C2086" s="13" t="n">
        <v>18000</v>
      </c>
      <c r="D2086" s="13" t="n">
        <v>20</v>
      </c>
      <c r="E2086" s="13" t="n">
        <v>751</v>
      </c>
      <c r="F2086" s="13" t="s">
        <v>5325</v>
      </c>
      <c r="G2086" s="13" t="s">
        <v>5289</v>
      </c>
      <c r="H2086" s="13" t="s">
        <v>5289</v>
      </c>
      <c r="I2086" s="13" t="s">
        <v>5289</v>
      </c>
      <c r="J2086" s="13" t="s">
        <v>5289</v>
      </c>
      <c r="K2086" s="13" t="s">
        <v>5289</v>
      </c>
      <c r="L2086" s="13" t="n">
        <v>3349668596348</v>
      </c>
      <c r="M2086" s="13"/>
      <c r="N2086" s="13" t="n">
        <v>3349668596348</v>
      </c>
      <c r="O2086" s="13"/>
      <c r="P2086" s="13" t="s">
        <v>5291</v>
      </c>
      <c r="Q2086" s="13" t="s">
        <v>5289</v>
      </c>
      <c r="R2086" s="13" t="s">
        <v>5292</v>
      </c>
      <c r="S2086" s="13" t="s">
        <v>5293</v>
      </c>
      <c r="T2086" s="13" t="s">
        <v>5</v>
      </c>
      <c r="U2086" s="13" t="s">
        <v>43</v>
      </c>
      <c r="V2086" s="13" t="n">
        <f aca="false">IF(COUNTIF($B$2:B2086,B2086)=1,1,0)</f>
        <v>0</v>
      </c>
      <c r="W2086" s="13" t="n">
        <f aca="false">IF(COUNTIFS($B$2:B2086,B2086,$T$2:T2086,T2086)=1,1,0)</f>
        <v>0</v>
      </c>
    </row>
    <row r="2087" customFormat="false" ht="15" hidden="false" customHeight="false" outlineLevel="0" collapsed="false">
      <c r="A2087" s="13" t="s">
        <v>125</v>
      </c>
      <c r="B2087" s="13" t="s">
        <v>124</v>
      </c>
      <c r="C2087" s="13" t="n">
        <v>17400</v>
      </c>
      <c r="D2087" s="13" t="n">
        <v>20</v>
      </c>
      <c r="E2087" s="13" t="n">
        <v>697.4752</v>
      </c>
      <c r="F2087" s="13" t="s">
        <v>5325</v>
      </c>
      <c r="G2087" s="13" t="s">
        <v>5289</v>
      </c>
      <c r="H2087" s="13" t="s">
        <v>5289</v>
      </c>
      <c r="I2087" s="13" t="s">
        <v>5289</v>
      </c>
      <c r="J2087" s="13" t="s">
        <v>5289</v>
      </c>
      <c r="K2087" s="13" t="s">
        <v>5289</v>
      </c>
      <c r="L2087" s="13" t="n">
        <v>3614273953696</v>
      </c>
      <c r="M2087" s="13"/>
      <c r="N2087" s="13" t="n">
        <v>3614273953696</v>
      </c>
      <c r="O2087" s="13"/>
      <c r="P2087" s="13" t="s">
        <v>5291</v>
      </c>
      <c r="Q2087" s="13" t="s">
        <v>5289</v>
      </c>
      <c r="R2087" s="13" t="s">
        <v>5292</v>
      </c>
      <c r="S2087" s="13" t="s">
        <v>5293</v>
      </c>
      <c r="T2087" s="13" t="s">
        <v>5</v>
      </c>
      <c r="U2087" s="13" t="s">
        <v>43</v>
      </c>
      <c r="V2087" s="13" t="n">
        <f aca="false">IF(COUNTIF($B$2:B2087,B2087)=1,1,0)</f>
        <v>0</v>
      </c>
      <c r="W2087" s="13" t="n">
        <f aca="false">IF(COUNTIFS($B$2:B2087,B2087,$T$2:T2087,T2087)=1,1,0)</f>
        <v>0</v>
      </c>
    </row>
    <row r="2088" customFormat="false" ht="15" hidden="false" customHeight="false" outlineLevel="0" collapsed="false">
      <c r="A2088" s="13" t="s">
        <v>210</v>
      </c>
      <c r="B2088" s="13" t="s">
        <v>124</v>
      </c>
      <c r="C2088" s="13" t="n">
        <v>17400</v>
      </c>
      <c r="D2088" s="13" t="n">
        <v>30</v>
      </c>
      <c r="E2088" s="13" t="n">
        <v>599.99</v>
      </c>
      <c r="F2088" s="13" t="s">
        <v>5288</v>
      </c>
      <c r="G2088" s="13" t="s">
        <v>5289</v>
      </c>
      <c r="H2088" s="13" t="s">
        <v>5289</v>
      </c>
      <c r="I2088" s="13" t="s">
        <v>5289</v>
      </c>
      <c r="J2088" s="13" t="s">
        <v>5289</v>
      </c>
      <c r="K2088" s="13" t="s">
        <v>5289</v>
      </c>
      <c r="L2088" s="13"/>
      <c r="M2088" s="13"/>
      <c r="N2088" s="13" t="n">
        <v>3614274091885</v>
      </c>
      <c r="O2088" s="13"/>
      <c r="P2088" s="13" t="s">
        <v>5291</v>
      </c>
      <c r="Q2088" s="13" t="s">
        <v>5289</v>
      </c>
      <c r="R2088" s="13" t="s">
        <v>5292</v>
      </c>
      <c r="S2088" s="13" t="s">
        <v>5293</v>
      </c>
      <c r="T2088" s="13" t="s">
        <v>5</v>
      </c>
      <c r="U2088" s="13" t="s">
        <v>43</v>
      </c>
      <c r="V2088" s="13" t="n">
        <f aca="false">IF(COUNTIF($B$2:B2088,B2088)=1,1,0)</f>
        <v>0</v>
      </c>
      <c r="W2088" s="13" t="n">
        <f aca="false">IF(COUNTIFS($B$2:B2088,B2088,$T$2:T2088,T2088)=1,1,0)</f>
        <v>0</v>
      </c>
    </row>
    <row r="2089" customFormat="false" ht="15" hidden="false" customHeight="false" outlineLevel="0" collapsed="false">
      <c r="A2089" s="13" t="s">
        <v>261</v>
      </c>
      <c r="B2089" s="13" t="s">
        <v>124</v>
      </c>
      <c r="C2089" s="13" t="n">
        <v>17400</v>
      </c>
      <c r="D2089" s="13" t="n">
        <v>20</v>
      </c>
      <c r="E2089" s="13" t="n">
        <v>790.67</v>
      </c>
      <c r="F2089" s="13" t="s">
        <v>5325</v>
      </c>
      <c r="G2089" s="13" t="s">
        <v>5289</v>
      </c>
      <c r="H2089" s="13" t="s">
        <v>5289</v>
      </c>
      <c r="I2089" s="13" t="s">
        <v>5289</v>
      </c>
      <c r="J2089" s="13" t="s">
        <v>5289</v>
      </c>
      <c r="K2089" s="13" t="s">
        <v>5289</v>
      </c>
      <c r="L2089" s="13" t="n">
        <v>3614273636384</v>
      </c>
      <c r="M2089" s="13"/>
      <c r="N2089" s="13" t="n">
        <v>3614273636384</v>
      </c>
      <c r="O2089" s="13"/>
      <c r="P2089" s="13" t="s">
        <v>5297</v>
      </c>
      <c r="Q2089" s="13" t="s">
        <v>5289</v>
      </c>
      <c r="R2089" s="13" t="s">
        <v>5292</v>
      </c>
      <c r="S2089" s="13" t="s">
        <v>5293</v>
      </c>
      <c r="T2089" s="13" t="s">
        <v>5</v>
      </c>
      <c r="U2089" s="13" t="s">
        <v>43</v>
      </c>
      <c r="V2089" s="13" t="n">
        <f aca="false">IF(COUNTIF($B$2:B2089,B2089)=1,1,0)</f>
        <v>0</v>
      </c>
      <c r="W2089" s="13" t="n">
        <f aca="false">IF(COUNTIFS($B$2:B2089,B2089,$T$2:T2089,T2089)=1,1,0)</f>
        <v>0</v>
      </c>
    </row>
    <row r="2090" customFormat="false" ht="15" hidden="false" customHeight="false" outlineLevel="0" collapsed="false">
      <c r="A2090" s="13" t="s">
        <v>260</v>
      </c>
      <c r="B2090" s="13" t="s">
        <v>193</v>
      </c>
      <c r="C2090" s="13" t="n">
        <v>17400</v>
      </c>
      <c r="D2090" s="13" t="n">
        <v>30</v>
      </c>
      <c r="E2090" s="13" t="n">
        <v>669</v>
      </c>
      <c r="F2090" s="13" t="s">
        <v>5325</v>
      </c>
      <c r="G2090" s="13" t="s">
        <v>5289</v>
      </c>
      <c r="H2090" s="13" t="s">
        <v>5289</v>
      </c>
      <c r="I2090" s="13" t="s">
        <v>5289</v>
      </c>
      <c r="J2090" s="13" t="s">
        <v>5289</v>
      </c>
      <c r="K2090" s="13" t="s">
        <v>5289</v>
      </c>
      <c r="L2090" s="13" t="n">
        <v>3614273604932</v>
      </c>
      <c r="M2090" s="13"/>
      <c r="N2090" s="13" t="n">
        <v>3.61427360483336E+025</v>
      </c>
      <c r="O2090" s="13"/>
      <c r="P2090" s="13" t="s">
        <v>5297</v>
      </c>
      <c r="Q2090" s="13" t="s">
        <v>5289</v>
      </c>
      <c r="R2090" s="13" t="s">
        <v>5292</v>
      </c>
      <c r="S2090" s="13" t="s">
        <v>5293</v>
      </c>
      <c r="T2090" s="13" t="s">
        <v>5</v>
      </c>
      <c r="U2090" s="13" t="s">
        <v>43</v>
      </c>
      <c r="V2090" s="13" t="n">
        <f aca="false">IF(COUNTIF($B$2:B2090,B2090)=1,1,0)</f>
        <v>0</v>
      </c>
      <c r="W2090" s="13" t="n">
        <f aca="false">IF(COUNTIFS($B$2:B2090,B2090,$T$2:T2090,T2090)=1,1,0)</f>
        <v>0</v>
      </c>
    </row>
    <row r="2091" customFormat="false" ht="15" hidden="false" customHeight="false" outlineLevel="0" collapsed="false">
      <c r="A2091" s="13" t="s">
        <v>252</v>
      </c>
      <c r="B2091" s="13" t="s">
        <v>124</v>
      </c>
      <c r="C2091" s="13" t="n">
        <v>17200</v>
      </c>
      <c r="D2091" s="13" t="n">
        <v>20</v>
      </c>
      <c r="E2091" s="13" t="n">
        <v>782.190909090909</v>
      </c>
      <c r="F2091" s="13" t="s">
        <v>5288</v>
      </c>
      <c r="G2091" s="13" t="s">
        <v>5289</v>
      </c>
      <c r="H2091" s="13" t="s">
        <v>5289</v>
      </c>
      <c r="I2091" s="13" t="s">
        <v>5289</v>
      </c>
      <c r="J2091" s="13" t="s">
        <v>5289</v>
      </c>
      <c r="K2091" s="13" t="s">
        <v>5289</v>
      </c>
      <c r="L2091" s="13"/>
      <c r="M2091" s="13"/>
      <c r="N2091" s="13" t="n">
        <v>3614273837828</v>
      </c>
      <c r="O2091" s="13"/>
      <c r="P2091" s="13" t="s">
        <v>5291</v>
      </c>
      <c r="Q2091" s="13" t="s">
        <v>5289</v>
      </c>
      <c r="R2091" s="13" t="s">
        <v>5292</v>
      </c>
      <c r="S2091" s="13" t="s">
        <v>5293</v>
      </c>
      <c r="T2091" s="13" t="s">
        <v>5</v>
      </c>
      <c r="U2091" s="13" t="s">
        <v>43</v>
      </c>
      <c r="V2091" s="13" t="n">
        <f aca="false">IF(COUNTIF($B$2:B2091,B2091)=1,1,0)</f>
        <v>0</v>
      </c>
      <c r="W2091" s="13" t="n">
        <f aca="false">IF(COUNTIFS($B$2:B2091,B2091,$T$2:T2091,T2091)=1,1,0)</f>
        <v>0</v>
      </c>
    </row>
    <row r="2092" customFormat="false" ht="15" hidden="false" customHeight="false" outlineLevel="0" collapsed="false">
      <c r="A2092" s="13" t="s">
        <v>263</v>
      </c>
      <c r="B2092" s="13" t="s">
        <v>165</v>
      </c>
      <c r="C2092" s="13" t="n">
        <v>17200</v>
      </c>
      <c r="D2092" s="13" t="n">
        <v>30</v>
      </c>
      <c r="E2092" s="13" t="n">
        <v>537.683125</v>
      </c>
      <c r="F2092" s="13" t="s">
        <v>5325</v>
      </c>
      <c r="G2092" s="13" t="s">
        <v>5289</v>
      </c>
      <c r="H2092" s="13" t="s">
        <v>5289</v>
      </c>
      <c r="I2092" s="13" t="s">
        <v>5289</v>
      </c>
      <c r="J2092" s="13" t="s">
        <v>5289</v>
      </c>
      <c r="K2092" s="13" t="s">
        <v>5289</v>
      </c>
      <c r="L2092" s="13" t="n">
        <v>3614273521307</v>
      </c>
      <c r="M2092" s="13"/>
      <c r="N2092" s="13" t="n">
        <v>3614273521307</v>
      </c>
      <c r="O2092" s="13"/>
      <c r="P2092" s="13" t="s">
        <v>5291</v>
      </c>
      <c r="Q2092" s="13" t="s">
        <v>5289</v>
      </c>
      <c r="R2092" s="13" t="s">
        <v>5292</v>
      </c>
      <c r="S2092" s="13" t="s">
        <v>5293</v>
      </c>
      <c r="T2092" s="13" t="s">
        <v>5</v>
      </c>
      <c r="U2092" s="13" t="s">
        <v>43</v>
      </c>
      <c r="V2092" s="13" t="n">
        <f aca="false">IF(COUNTIF($B$2:B2092,B2092)=1,1,0)</f>
        <v>0</v>
      </c>
      <c r="W2092" s="13" t="n">
        <f aca="false">IF(COUNTIFS($B$2:B2092,B2092,$T$2:T2092,T2092)=1,1,0)</f>
        <v>1</v>
      </c>
    </row>
    <row r="2093" customFormat="false" ht="15" hidden="false" customHeight="false" outlineLevel="0" collapsed="false">
      <c r="A2093" s="13" t="s">
        <v>189</v>
      </c>
      <c r="B2093" s="13" t="s">
        <v>50</v>
      </c>
      <c r="C2093" s="13" t="n">
        <v>17200</v>
      </c>
      <c r="D2093" s="13" t="n">
        <v>30</v>
      </c>
      <c r="E2093" s="13" t="n">
        <v>661.501538461539</v>
      </c>
      <c r="F2093" s="13" t="s">
        <v>5325</v>
      </c>
      <c r="G2093" s="13" t="s">
        <v>5289</v>
      </c>
      <c r="H2093" s="13" t="s">
        <v>5289</v>
      </c>
      <c r="I2093" s="13" t="s">
        <v>5289</v>
      </c>
      <c r="J2093" s="13" t="s">
        <v>5289</v>
      </c>
      <c r="K2093" s="13" t="s">
        <v>5289</v>
      </c>
      <c r="L2093" s="13" t="n">
        <v>3349668582297</v>
      </c>
      <c r="M2093" s="13"/>
      <c r="N2093" s="13" t="n">
        <v>3349668582297</v>
      </c>
      <c r="O2093" s="13"/>
      <c r="P2093" s="13" t="s">
        <v>5291</v>
      </c>
      <c r="Q2093" s="13" t="s">
        <v>5289</v>
      </c>
      <c r="R2093" s="13" t="s">
        <v>5292</v>
      </c>
      <c r="S2093" s="13" t="s">
        <v>5293</v>
      </c>
      <c r="T2093" s="13" t="s">
        <v>5</v>
      </c>
      <c r="U2093" s="13" t="s">
        <v>43</v>
      </c>
      <c r="V2093" s="13" t="n">
        <f aca="false">IF(COUNTIF($B$2:B2093,B2093)=1,1,0)</f>
        <v>0</v>
      </c>
      <c r="W2093" s="13" t="n">
        <f aca="false">IF(COUNTIFS($B$2:B2093,B2093,$T$2:T2093,T2093)=1,1,0)</f>
        <v>0</v>
      </c>
    </row>
    <row r="2094" customFormat="false" ht="15" hidden="false" customHeight="false" outlineLevel="0" collapsed="false">
      <c r="A2094" s="13" t="s">
        <v>218</v>
      </c>
      <c r="B2094" s="13" t="s">
        <v>45</v>
      </c>
      <c r="C2094" s="13" t="n">
        <v>17100</v>
      </c>
      <c r="D2094" s="13" t="n">
        <v>20</v>
      </c>
      <c r="E2094" s="13" t="n">
        <v>685.576</v>
      </c>
      <c r="F2094" s="13" t="s">
        <v>5325</v>
      </c>
      <c r="G2094" s="13" t="s">
        <v>5292</v>
      </c>
      <c r="H2094" s="13" t="s">
        <v>5289</v>
      </c>
      <c r="I2094" s="13" t="s">
        <v>5289</v>
      </c>
      <c r="J2094" s="13" t="s">
        <v>5289</v>
      </c>
      <c r="K2094" s="13" t="s">
        <v>5292</v>
      </c>
      <c r="L2094" s="13" t="n">
        <v>8435415062190</v>
      </c>
      <c r="M2094" s="13"/>
      <c r="N2094" s="13" t="n">
        <v>8435415062190</v>
      </c>
      <c r="O2094" s="13"/>
      <c r="P2094" s="13" t="s">
        <v>5291</v>
      </c>
      <c r="Q2094" s="13" t="s">
        <v>5289</v>
      </c>
      <c r="R2094" s="13" t="s">
        <v>5292</v>
      </c>
      <c r="S2094" s="13" t="s">
        <v>5293</v>
      </c>
      <c r="T2094" s="13" t="s">
        <v>5</v>
      </c>
      <c r="U2094" s="13" t="s">
        <v>43</v>
      </c>
      <c r="V2094" s="13" t="n">
        <f aca="false">IF(COUNTIF($B$2:B2094,B2094)=1,1,0)</f>
        <v>0</v>
      </c>
      <c r="W2094" s="13" t="n">
        <f aca="false">IF(COUNTIFS($B$2:B2094,B2094,$T$2:T2094,T2094)=1,1,0)</f>
        <v>0</v>
      </c>
    </row>
    <row r="2095" customFormat="false" ht="15" hidden="false" customHeight="false" outlineLevel="0" collapsed="false">
      <c r="A2095" s="13" t="s">
        <v>269</v>
      </c>
      <c r="B2095" s="13" t="s">
        <v>45</v>
      </c>
      <c r="C2095" s="13" t="n">
        <v>16800</v>
      </c>
      <c r="D2095" s="13" t="n">
        <v>30</v>
      </c>
      <c r="E2095" s="13" t="n">
        <v>645.406538461539</v>
      </c>
      <c r="F2095" s="13" t="s">
        <v>5288</v>
      </c>
      <c r="G2095" s="13" t="s">
        <v>5289</v>
      </c>
      <c r="H2095" s="13" t="s">
        <v>5289</v>
      </c>
      <c r="I2095" s="13" t="s">
        <v>5289</v>
      </c>
      <c r="J2095" s="13" t="s">
        <v>5289</v>
      </c>
      <c r="K2095" s="13" t="s">
        <v>5289</v>
      </c>
      <c r="L2095" s="13"/>
      <c r="M2095" s="13"/>
      <c r="N2095" s="13" t="n">
        <v>8435415076906</v>
      </c>
      <c r="O2095" s="13"/>
      <c r="P2095" s="13" t="s">
        <v>5291</v>
      </c>
      <c r="Q2095" s="13" t="s">
        <v>5289</v>
      </c>
      <c r="R2095" s="13" t="s">
        <v>5292</v>
      </c>
      <c r="S2095" s="13" t="s">
        <v>5293</v>
      </c>
      <c r="T2095" s="13" t="s">
        <v>5</v>
      </c>
      <c r="U2095" s="13" t="s">
        <v>43</v>
      </c>
      <c r="V2095" s="13" t="n">
        <f aca="false">IF(COUNTIF($B$2:B2095,B2095)=1,1,0)</f>
        <v>0</v>
      </c>
      <c r="W2095" s="13" t="n">
        <f aca="false">IF(COUNTIFS($B$2:B2095,B2095,$T$2:T2095,T2095)=1,1,0)</f>
        <v>0</v>
      </c>
    </row>
    <row r="2096" customFormat="false" ht="15" hidden="false" customHeight="false" outlineLevel="0" collapsed="false">
      <c r="A2096" s="13" t="s">
        <v>272</v>
      </c>
      <c r="B2096" s="13" t="s">
        <v>50</v>
      </c>
      <c r="C2096" s="13" t="n">
        <v>16600</v>
      </c>
      <c r="D2096" s="13" t="n">
        <v>40</v>
      </c>
      <c r="E2096" s="13" t="n">
        <v>475.485714285714</v>
      </c>
      <c r="F2096" s="13" t="s">
        <v>5325</v>
      </c>
      <c r="G2096" s="13" t="s">
        <v>5292</v>
      </c>
      <c r="H2096" s="13" t="s">
        <v>5289</v>
      </c>
      <c r="I2096" s="13" t="s">
        <v>5289</v>
      </c>
      <c r="J2096" s="13" t="s">
        <v>5289</v>
      </c>
      <c r="K2096" s="13" t="s">
        <v>5289</v>
      </c>
      <c r="L2096" s="13"/>
      <c r="M2096" s="13"/>
      <c r="N2096" s="13" t="n">
        <v>3349668614479</v>
      </c>
      <c r="O2096" s="13"/>
      <c r="P2096" s="13" t="s">
        <v>5291</v>
      </c>
      <c r="Q2096" s="13" t="s">
        <v>5289</v>
      </c>
      <c r="R2096" s="13" t="s">
        <v>5292</v>
      </c>
      <c r="S2096" s="13" t="s">
        <v>5293</v>
      </c>
      <c r="T2096" s="13" t="s">
        <v>5</v>
      </c>
      <c r="U2096" s="13" t="s">
        <v>43</v>
      </c>
      <c r="V2096" s="13" t="n">
        <f aca="false">IF(COUNTIF($B$2:B2096,B2096)=1,1,0)</f>
        <v>0</v>
      </c>
      <c r="W2096" s="13" t="n">
        <f aca="false">IF(COUNTIFS($B$2:B2096,B2096,$T$2:T2096,T2096)=1,1,0)</f>
        <v>0</v>
      </c>
    </row>
    <row r="2097" customFormat="false" ht="15" hidden="false" customHeight="false" outlineLevel="0" collapsed="false">
      <c r="A2097" s="13" t="s">
        <v>274</v>
      </c>
      <c r="B2097" s="13" t="s">
        <v>42</v>
      </c>
      <c r="C2097" s="13" t="n">
        <v>16500</v>
      </c>
      <c r="D2097" s="13" t="n">
        <v>20</v>
      </c>
      <c r="E2097" s="13" t="n">
        <v>717.67</v>
      </c>
      <c r="F2097" s="13" t="s">
        <v>5325</v>
      </c>
      <c r="G2097" s="13" t="s">
        <v>5289</v>
      </c>
      <c r="H2097" s="13" t="s">
        <v>5292</v>
      </c>
      <c r="I2097" s="13" t="s">
        <v>5289</v>
      </c>
      <c r="J2097" s="13" t="s">
        <v>5289</v>
      </c>
      <c r="K2097" s="13" t="s">
        <v>5289</v>
      </c>
      <c r="L2097" s="13" t="n">
        <v>8411061853207</v>
      </c>
      <c r="M2097" s="13"/>
      <c r="N2097" s="13" t="n">
        <v>8411061853207</v>
      </c>
      <c r="O2097" s="13"/>
      <c r="P2097" s="13" t="s">
        <v>5291</v>
      </c>
      <c r="Q2097" s="13" t="s">
        <v>5289</v>
      </c>
      <c r="R2097" s="13" t="s">
        <v>5292</v>
      </c>
      <c r="S2097" s="13" t="s">
        <v>5293</v>
      </c>
      <c r="T2097" s="13" t="s">
        <v>5</v>
      </c>
      <c r="U2097" s="13" t="s">
        <v>43</v>
      </c>
      <c r="V2097" s="13" t="n">
        <f aca="false">IF(COUNTIF($B$2:B2097,B2097)=1,1,0)</f>
        <v>0</v>
      </c>
      <c r="W2097" s="13" t="n">
        <f aca="false">IF(COUNTIFS($B$2:B2097,B2097,$T$2:T2097,T2097)=1,1,0)</f>
        <v>0</v>
      </c>
    </row>
    <row r="2098" customFormat="false" ht="15" hidden="false" customHeight="false" outlineLevel="0" collapsed="false">
      <c r="A2098" s="13" t="s">
        <v>219</v>
      </c>
      <c r="B2098" s="13" t="s">
        <v>42</v>
      </c>
      <c r="C2098" s="13" t="n">
        <v>16400</v>
      </c>
      <c r="D2098" s="13" t="n">
        <v>40</v>
      </c>
      <c r="E2098" s="13" t="n">
        <v>373.4925</v>
      </c>
      <c r="F2098" s="13" t="s">
        <v>5325</v>
      </c>
      <c r="G2098" s="13" t="s">
        <v>5289</v>
      </c>
      <c r="H2098" s="13" t="s">
        <v>5289</v>
      </c>
      <c r="I2098" s="13" t="s">
        <v>5289</v>
      </c>
      <c r="J2098" s="13" t="s">
        <v>5289</v>
      </c>
      <c r="K2098" s="13" t="s">
        <v>5289</v>
      </c>
      <c r="L2098" s="13" t="n">
        <v>8411061083505</v>
      </c>
      <c r="M2098" s="13"/>
      <c r="N2098" s="13" t="n">
        <v>8411061083505</v>
      </c>
      <c r="O2098" s="13"/>
      <c r="P2098" s="13" t="s">
        <v>5291</v>
      </c>
      <c r="Q2098" s="13" t="s">
        <v>5289</v>
      </c>
      <c r="R2098" s="13" t="s">
        <v>5292</v>
      </c>
      <c r="S2098" s="13" t="s">
        <v>5293</v>
      </c>
      <c r="T2098" s="13" t="s">
        <v>5</v>
      </c>
      <c r="U2098" s="13" t="s">
        <v>43</v>
      </c>
      <c r="V2098" s="13" t="n">
        <f aca="false">IF(COUNTIF($B$2:B2098,B2098)=1,1,0)</f>
        <v>0</v>
      </c>
      <c r="W2098" s="13" t="n">
        <f aca="false">IF(COUNTIFS($B$2:B2098,B2098,$T$2:T2098,T2098)=1,1,0)</f>
        <v>0</v>
      </c>
    </row>
    <row r="2099" customFormat="false" ht="15" hidden="false" customHeight="false" outlineLevel="0" collapsed="false">
      <c r="A2099" s="13" t="s">
        <v>279</v>
      </c>
      <c r="B2099" s="13" t="s">
        <v>45</v>
      </c>
      <c r="C2099" s="13" t="n">
        <v>16200</v>
      </c>
      <c r="D2099" s="13" t="n">
        <v>20</v>
      </c>
      <c r="E2099" s="13" t="n">
        <v>771.242857142857</v>
      </c>
      <c r="F2099" s="13" t="s">
        <v>5288</v>
      </c>
      <c r="G2099" s="13" t="s">
        <v>5289</v>
      </c>
      <c r="H2099" s="13" t="s">
        <v>5289</v>
      </c>
      <c r="I2099" s="13" t="s">
        <v>5289</v>
      </c>
      <c r="J2099" s="13" t="s">
        <v>5289</v>
      </c>
      <c r="K2099" s="13" t="s">
        <v>5289</v>
      </c>
      <c r="L2099" s="13" t="n">
        <v>8435415102704</v>
      </c>
      <c r="M2099" s="13"/>
      <c r="N2099" s="13" t="n">
        <v>8.05797118361684E+025</v>
      </c>
      <c r="O2099" s="13"/>
      <c r="P2099" s="13" t="s">
        <v>5291</v>
      </c>
      <c r="Q2099" s="13" t="s">
        <v>5289</v>
      </c>
      <c r="R2099" s="13" t="s">
        <v>5292</v>
      </c>
      <c r="S2099" s="13" t="s">
        <v>5293</v>
      </c>
      <c r="T2099" s="13" t="s">
        <v>5</v>
      </c>
      <c r="U2099" s="13" t="s">
        <v>43</v>
      </c>
      <c r="V2099" s="13" t="n">
        <f aca="false">IF(COUNTIF($B$2:B2099,B2099)=1,1,0)</f>
        <v>0</v>
      </c>
      <c r="W2099" s="13" t="n">
        <f aca="false">IF(COUNTIFS($B$2:B2099,B2099,$T$2:T2099,T2099)=1,1,0)</f>
        <v>0</v>
      </c>
    </row>
    <row r="2100" customFormat="false" ht="15" hidden="false" customHeight="false" outlineLevel="0" collapsed="false">
      <c r="A2100" s="13" t="s">
        <v>281</v>
      </c>
      <c r="B2100" s="13" t="s">
        <v>193</v>
      </c>
      <c r="C2100" s="13" t="n">
        <v>16100</v>
      </c>
      <c r="D2100" s="13" t="n">
        <v>30</v>
      </c>
      <c r="E2100" s="13" t="n">
        <v>503.3803125</v>
      </c>
      <c r="F2100" s="13" t="s">
        <v>5325</v>
      </c>
      <c r="G2100" s="13" t="s">
        <v>5289</v>
      </c>
      <c r="H2100" s="13" t="s">
        <v>5289</v>
      </c>
      <c r="I2100" s="13" t="s">
        <v>5289</v>
      </c>
      <c r="J2100" s="13" t="s">
        <v>5289</v>
      </c>
      <c r="K2100" s="13" t="s">
        <v>5292</v>
      </c>
      <c r="L2100" s="13" t="n">
        <v>3605522040588</v>
      </c>
      <c r="M2100" s="13"/>
      <c r="N2100" s="13" t="n">
        <v>3605522040588</v>
      </c>
      <c r="O2100" s="13"/>
      <c r="P2100" s="13" t="s">
        <v>5291</v>
      </c>
      <c r="Q2100" s="13" t="s">
        <v>5289</v>
      </c>
      <c r="R2100" s="13" t="s">
        <v>5292</v>
      </c>
      <c r="S2100" s="13" t="s">
        <v>5293</v>
      </c>
      <c r="T2100" s="13" t="s">
        <v>5</v>
      </c>
      <c r="U2100" s="13" t="s">
        <v>43</v>
      </c>
      <c r="V2100" s="13" t="n">
        <f aca="false">IF(COUNTIF($B$2:B2100,B2100)=1,1,0)</f>
        <v>0</v>
      </c>
      <c r="W2100" s="13" t="n">
        <f aca="false">IF(COUNTIFS($B$2:B2100,B2100,$T$2:T2100,T2100)=1,1,0)</f>
        <v>0</v>
      </c>
    </row>
    <row r="2101" customFormat="false" ht="15" hidden="false" customHeight="false" outlineLevel="0" collapsed="false">
      <c r="A2101" s="13" t="s">
        <v>280</v>
      </c>
      <c r="B2101" s="13" t="s">
        <v>42</v>
      </c>
      <c r="C2101" s="13" t="n">
        <v>16100</v>
      </c>
      <c r="D2101" s="13" t="n">
        <v>20</v>
      </c>
      <c r="E2101" s="13" t="n">
        <v>732.094545454545</v>
      </c>
      <c r="F2101" s="13" t="s">
        <v>5325</v>
      </c>
      <c r="G2101" s="13" t="s">
        <v>5289</v>
      </c>
      <c r="H2101" s="13" t="s">
        <v>5289</v>
      </c>
      <c r="I2101" s="13" t="s">
        <v>5289</v>
      </c>
      <c r="J2101" s="13" t="s">
        <v>5289</v>
      </c>
      <c r="K2101" s="13" t="s">
        <v>5289</v>
      </c>
      <c r="L2101" s="13" t="n">
        <v>8411061063392</v>
      </c>
      <c r="M2101" s="13"/>
      <c r="N2101" s="13" t="n">
        <v>8411061063392</v>
      </c>
      <c r="O2101" s="13"/>
      <c r="P2101" s="13" t="s">
        <v>5291</v>
      </c>
      <c r="Q2101" s="13" t="s">
        <v>5289</v>
      </c>
      <c r="R2101" s="13" t="s">
        <v>5292</v>
      </c>
      <c r="S2101" s="13" t="s">
        <v>5293</v>
      </c>
      <c r="T2101" s="13" t="s">
        <v>5</v>
      </c>
      <c r="U2101" s="13" t="s">
        <v>43</v>
      </c>
      <c r="V2101" s="13" t="n">
        <f aca="false">IF(COUNTIF($B$2:B2101,B2101)=1,1,0)</f>
        <v>0</v>
      </c>
      <c r="W2101" s="13" t="n">
        <f aca="false">IF(COUNTIFS($B$2:B2101,B2101,$T$2:T2101,T2101)=1,1,0)</f>
        <v>0</v>
      </c>
    </row>
    <row r="2102" customFormat="false" ht="15" hidden="false" customHeight="false" outlineLevel="0" collapsed="false">
      <c r="A2102" s="13" t="s">
        <v>282</v>
      </c>
      <c r="B2102" s="13" t="s">
        <v>165</v>
      </c>
      <c r="C2102" s="13" t="n">
        <v>15800</v>
      </c>
      <c r="D2102" s="13" t="n">
        <v>30</v>
      </c>
      <c r="E2102" s="13" t="n">
        <v>546.099310344828</v>
      </c>
      <c r="F2102" s="13" t="s">
        <v>5325</v>
      </c>
      <c r="G2102" s="13" t="s">
        <v>5289</v>
      </c>
      <c r="H2102" s="13" t="s">
        <v>5292</v>
      </c>
      <c r="I2102" s="13" t="s">
        <v>5289</v>
      </c>
      <c r="J2102" s="13" t="s">
        <v>5289</v>
      </c>
      <c r="K2102" s="13" t="s">
        <v>5289</v>
      </c>
      <c r="L2102" s="13" t="n">
        <v>3614273521307</v>
      </c>
      <c r="M2102" s="13"/>
      <c r="N2102" s="13" t="n">
        <v>3614273521307</v>
      </c>
      <c r="O2102" s="13"/>
      <c r="P2102" s="13" t="s">
        <v>5291</v>
      </c>
      <c r="Q2102" s="13" t="s">
        <v>5289</v>
      </c>
      <c r="R2102" s="13" t="s">
        <v>5292</v>
      </c>
      <c r="S2102" s="13" t="s">
        <v>5293</v>
      </c>
      <c r="T2102" s="13" t="s">
        <v>5</v>
      </c>
      <c r="U2102" s="13" t="s">
        <v>43</v>
      </c>
      <c r="V2102" s="13" t="n">
        <f aca="false">IF(COUNTIF($B$2:B2102,B2102)=1,1,0)</f>
        <v>0</v>
      </c>
      <c r="W2102" s="13" t="n">
        <f aca="false">IF(COUNTIFS($B$2:B2102,B2102,$T$2:T2102,T2102)=1,1,0)</f>
        <v>0</v>
      </c>
    </row>
    <row r="2103" customFormat="false" ht="15" hidden="false" customHeight="false" outlineLevel="0" collapsed="false">
      <c r="A2103" s="13" t="s">
        <v>283</v>
      </c>
      <c r="B2103" s="13" t="s">
        <v>79</v>
      </c>
      <c r="C2103" s="13" t="n">
        <v>15600</v>
      </c>
      <c r="D2103" s="13" t="n">
        <v>20</v>
      </c>
      <c r="E2103" s="13" t="n">
        <v>744</v>
      </c>
      <c r="F2103" s="13" t="s">
        <v>5288</v>
      </c>
      <c r="G2103" s="13" t="s">
        <v>5289</v>
      </c>
      <c r="H2103" s="13" t="s">
        <v>5289</v>
      </c>
      <c r="I2103" s="13" t="s">
        <v>5289</v>
      </c>
      <c r="J2103" s="13" t="s">
        <v>5289</v>
      </c>
      <c r="K2103" s="13" t="s">
        <v>5289</v>
      </c>
      <c r="L2103" s="13" t="n">
        <v>8056669925798</v>
      </c>
      <c r="M2103" s="13"/>
      <c r="N2103" s="13" t="n">
        <v>8056669925798</v>
      </c>
      <c r="O2103" s="13"/>
      <c r="P2103" s="13" t="s">
        <v>5291</v>
      </c>
      <c r="Q2103" s="13" t="s">
        <v>5289</v>
      </c>
      <c r="R2103" s="13" t="s">
        <v>5292</v>
      </c>
      <c r="S2103" s="13" t="s">
        <v>5293</v>
      </c>
      <c r="T2103" s="13" t="s">
        <v>5</v>
      </c>
      <c r="U2103" s="13" t="s">
        <v>43</v>
      </c>
      <c r="V2103" s="13" t="n">
        <f aca="false">IF(COUNTIF($B$2:B2103,B2103)=1,1,0)</f>
        <v>0</v>
      </c>
      <c r="W2103" s="13" t="n">
        <f aca="false">IF(COUNTIFS($B$2:B2103,B2103,$T$2:T2103,T2103)=1,1,0)</f>
        <v>0</v>
      </c>
    </row>
    <row r="2104" customFormat="false" ht="15" hidden="false" customHeight="false" outlineLevel="0" collapsed="false">
      <c r="A2104" s="13" t="s">
        <v>137</v>
      </c>
      <c r="B2104" s="13" t="s">
        <v>42</v>
      </c>
      <c r="C2104" s="13" t="n">
        <v>15200</v>
      </c>
      <c r="D2104" s="13" t="n">
        <v>20</v>
      </c>
      <c r="E2104" s="13" t="n">
        <v>633.825</v>
      </c>
      <c r="F2104" s="13" t="s">
        <v>5325</v>
      </c>
      <c r="G2104" s="13" t="s">
        <v>5289</v>
      </c>
      <c r="H2104" s="13" t="s">
        <v>5289</v>
      </c>
      <c r="I2104" s="13" t="s">
        <v>5289</v>
      </c>
      <c r="J2104" s="13" t="s">
        <v>5289</v>
      </c>
      <c r="K2104" s="13" t="s">
        <v>5289</v>
      </c>
      <c r="L2104" s="13"/>
      <c r="M2104" s="13"/>
      <c r="N2104" s="13" t="n">
        <v>8411061077153</v>
      </c>
      <c r="O2104" s="13"/>
      <c r="P2104" s="13" t="s">
        <v>5291</v>
      </c>
      <c r="Q2104" s="13" t="s">
        <v>5289</v>
      </c>
      <c r="R2104" s="13" t="s">
        <v>5292</v>
      </c>
      <c r="S2104" s="13" t="s">
        <v>5293</v>
      </c>
      <c r="T2104" s="13" t="s">
        <v>5</v>
      </c>
      <c r="U2104" s="13" t="s">
        <v>43</v>
      </c>
      <c r="V2104" s="13" t="n">
        <f aca="false">IF(COUNTIF($B$2:B2104,B2104)=1,1,0)</f>
        <v>0</v>
      </c>
      <c r="W2104" s="13" t="n">
        <f aca="false">IF(COUNTIFS($B$2:B2104,B2104,$T$2:T2104,T2104)=1,1,0)</f>
        <v>0</v>
      </c>
    </row>
    <row r="2105" customFormat="false" ht="15" hidden="false" customHeight="false" outlineLevel="0" collapsed="false">
      <c r="A2105" s="13" t="s">
        <v>290</v>
      </c>
      <c r="B2105" s="13" t="s">
        <v>42</v>
      </c>
      <c r="C2105" s="13" t="n">
        <v>15200</v>
      </c>
      <c r="D2105" s="13" t="n">
        <v>30</v>
      </c>
      <c r="E2105" s="13" t="n">
        <v>523.52275862069</v>
      </c>
      <c r="F2105" s="13" t="s">
        <v>5288</v>
      </c>
      <c r="G2105" s="13" t="s">
        <v>5289</v>
      </c>
      <c r="H2105" s="13" t="s">
        <v>5289</v>
      </c>
      <c r="I2105" s="13" t="s">
        <v>5289</v>
      </c>
      <c r="J2105" s="13" t="s">
        <v>5289</v>
      </c>
      <c r="K2105" s="13" t="s">
        <v>5289</v>
      </c>
      <c r="L2105" s="13"/>
      <c r="M2105" s="13"/>
      <c r="N2105" s="13" t="n">
        <v>8411061055199</v>
      </c>
      <c r="O2105" s="13"/>
      <c r="P2105" s="13" t="s">
        <v>5291</v>
      </c>
      <c r="Q2105" s="13" t="s">
        <v>5289</v>
      </c>
      <c r="R2105" s="13" t="s">
        <v>5292</v>
      </c>
      <c r="S2105" s="13" t="s">
        <v>5293</v>
      </c>
      <c r="T2105" s="13" t="s">
        <v>5</v>
      </c>
      <c r="U2105" s="13" t="s">
        <v>43</v>
      </c>
      <c r="V2105" s="13" t="n">
        <f aca="false">IF(COUNTIF($B$2:B2105,B2105)=1,1,0)</f>
        <v>0</v>
      </c>
      <c r="W2105" s="13" t="n">
        <f aca="false">IF(COUNTIFS($B$2:B2105,B2105,$T$2:T2105,T2105)=1,1,0)</f>
        <v>0</v>
      </c>
    </row>
    <row r="2106" customFormat="false" ht="15" hidden="false" customHeight="false" outlineLevel="0" collapsed="false">
      <c r="A2106" s="13" t="s">
        <v>289</v>
      </c>
      <c r="B2106" s="13" t="s">
        <v>50</v>
      </c>
      <c r="C2106" s="13" t="n">
        <v>15200</v>
      </c>
      <c r="D2106" s="13" t="n">
        <v>20</v>
      </c>
      <c r="E2106" s="13" t="n">
        <v>659</v>
      </c>
      <c r="F2106" s="13" t="s">
        <v>5325</v>
      </c>
      <c r="G2106" s="13" t="s">
        <v>5289</v>
      </c>
      <c r="H2106" s="13" t="s">
        <v>5289</v>
      </c>
      <c r="I2106" s="13" t="s">
        <v>5289</v>
      </c>
      <c r="J2106" s="13" t="s">
        <v>5289</v>
      </c>
      <c r="K2106" s="13" t="s">
        <v>5289</v>
      </c>
      <c r="L2106" s="13" t="n">
        <v>3349668630356</v>
      </c>
      <c r="M2106" s="13"/>
      <c r="N2106" s="13" t="n">
        <v>3349668630356</v>
      </c>
      <c r="O2106" s="13"/>
      <c r="P2106" s="13" t="s">
        <v>5291</v>
      </c>
      <c r="Q2106" s="13" t="s">
        <v>5289</v>
      </c>
      <c r="R2106" s="13" t="s">
        <v>5292</v>
      </c>
      <c r="S2106" s="13" t="s">
        <v>5293</v>
      </c>
      <c r="T2106" s="13" t="s">
        <v>5</v>
      </c>
      <c r="U2106" s="13" t="s">
        <v>43</v>
      </c>
      <c r="V2106" s="13" t="n">
        <f aca="false">IF(COUNTIF($B$2:B2106,B2106)=1,1,0)</f>
        <v>0</v>
      </c>
      <c r="W2106" s="13" t="n">
        <f aca="false">IF(COUNTIFS($B$2:B2106,B2106,$T$2:T2106,T2106)=1,1,0)</f>
        <v>0</v>
      </c>
    </row>
    <row r="2107" customFormat="false" ht="15" hidden="false" customHeight="false" outlineLevel="0" collapsed="false">
      <c r="A2107" s="13" t="s">
        <v>291</v>
      </c>
      <c r="B2107" s="13" t="s">
        <v>153</v>
      </c>
      <c r="C2107" s="13" t="n">
        <v>15100</v>
      </c>
      <c r="D2107" s="13" t="n">
        <v>20</v>
      </c>
      <c r="E2107" s="13" t="n">
        <v>684.811363636364</v>
      </c>
      <c r="F2107" s="13" t="s">
        <v>5325</v>
      </c>
      <c r="G2107" s="13" t="s">
        <v>5289</v>
      </c>
      <c r="H2107" s="13" t="s">
        <v>5289</v>
      </c>
      <c r="I2107" s="13" t="s">
        <v>5289</v>
      </c>
      <c r="J2107" s="13" t="s">
        <v>5289</v>
      </c>
      <c r="K2107" s="13" t="s">
        <v>5289</v>
      </c>
      <c r="L2107" s="13" t="n">
        <v>8011003901647</v>
      </c>
      <c r="M2107" s="13"/>
      <c r="N2107" s="13" t="n">
        <v>8011003901647</v>
      </c>
      <c r="O2107" s="13"/>
      <c r="P2107" s="13" t="s">
        <v>5291</v>
      </c>
      <c r="Q2107" s="13" t="s">
        <v>5289</v>
      </c>
      <c r="R2107" s="13" t="s">
        <v>5292</v>
      </c>
      <c r="S2107" s="13" t="s">
        <v>5293</v>
      </c>
      <c r="T2107" s="13" t="s">
        <v>5</v>
      </c>
      <c r="U2107" s="13" t="s">
        <v>43</v>
      </c>
      <c r="V2107" s="13" t="n">
        <f aca="false">IF(COUNTIF($B$2:B2107,B2107)=1,1,0)</f>
        <v>0</v>
      </c>
      <c r="W2107" s="13" t="n">
        <f aca="false">IF(COUNTIFS($B$2:B2107,B2107,$T$2:T2107,T2107)=1,1,0)</f>
        <v>0</v>
      </c>
    </row>
    <row r="2108" customFormat="false" ht="15" hidden="false" customHeight="false" outlineLevel="0" collapsed="false">
      <c r="A2108" s="13" t="s">
        <v>294</v>
      </c>
      <c r="B2108" s="13" t="s">
        <v>50</v>
      </c>
      <c r="C2108" s="13" t="n">
        <v>14500</v>
      </c>
      <c r="D2108" s="13" t="n">
        <v>20</v>
      </c>
      <c r="E2108" s="13" t="n">
        <v>908</v>
      </c>
      <c r="F2108" s="13" t="s">
        <v>5325</v>
      </c>
      <c r="G2108" s="13" t="s">
        <v>5289</v>
      </c>
      <c r="H2108" s="13" t="s">
        <v>5289</v>
      </c>
      <c r="I2108" s="13" t="s">
        <v>5289</v>
      </c>
      <c r="J2108" s="13" t="s">
        <v>5289</v>
      </c>
      <c r="K2108" s="13" t="s">
        <v>5289</v>
      </c>
      <c r="L2108" s="13"/>
      <c r="M2108" s="13"/>
      <c r="N2108" s="13" t="n">
        <v>3349668641840</v>
      </c>
      <c r="O2108" s="13"/>
      <c r="P2108" s="13" t="s">
        <v>5291</v>
      </c>
      <c r="Q2108" s="13" t="s">
        <v>5289</v>
      </c>
      <c r="R2108" s="13" t="s">
        <v>5292</v>
      </c>
      <c r="S2108" s="13" t="s">
        <v>5293</v>
      </c>
      <c r="T2108" s="13" t="s">
        <v>5</v>
      </c>
      <c r="U2108" s="13" t="s">
        <v>43</v>
      </c>
      <c r="V2108" s="13" t="n">
        <f aca="false">IF(COUNTIF($B$2:B2108,B2108)=1,1,0)</f>
        <v>0</v>
      </c>
      <c r="W2108" s="13" t="n">
        <f aca="false">IF(COUNTIFS($B$2:B2108,B2108,$T$2:T2108,T2108)=1,1,0)</f>
        <v>0</v>
      </c>
    </row>
    <row r="2109" customFormat="false" ht="15" hidden="false" customHeight="false" outlineLevel="0" collapsed="false">
      <c r="A2109" s="13" t="s">
        <v>296</v>
      </c>
      <c r="B2109" s="13" t="s">
        <v>42</v>
      </c>
      <c r="C2109" s="13" t="n">
        <v>14300</v>
      </c>
      <c r="D2109" s="13" t="n">
        <v>20</v>
      </c>
      <c r="E2109" s="13" t="n">
        <v>594.974166666667</v>
      </c>
      <c r="F2109" s="13" t="s">
        <v>5325</v>
      </c>
      <c r="G2109" s="13" t="s">
        <v>5289</v>
      </c>
      <c r="H2109" s="13" t="s">
        <v>5289</v>
      </c>
      <c r="I2109" s="13" t="s">
        <v>5289</v>
      </c>
      <c r="J2109" s="13" t="s">
        <v>5289</v>
      </c>
      <c r="K2109" s="13" t="s">
        <v>5289</v>
      </c>
      <c r="L2109" s="13" t="n">
        <v>8411061865583</v>
      </c>
      <c r="M2109" s="13"/>
      <c r="N2109" s="13" t="n">
        <v>8411061865583</v>
      </c>
      <c r="O2109" s="13"/>
      <c r="P2109" s="13" t="s">
        <v>5291</v>
      </c>
      <c r="Q2109" s="13" t="s">
        <v>5289</v>
      </c>
      <c r="R2109" s="13" t="s">
        <v>5292</v>
      </c>
      <c r="S2109" s="13" t="s">
        <v>5293</v>
      </c>
      <c r="T2109" s="13" t="s">
        <v>5</v>
      </c>
      <c r="U2109" s="13" t="s">
        <v>43</v>
      </c>
      <c r="V2109" s="13" t="n">
        <f aca="false">IF(COUNTIF($B$2:B2109,B2109)=1,1,0)</f>
        <v>0</v>
      </c>
      <c r="W2109" s="13" t="n">
        <f aca="false">IF(COUNTIFS($B$2:B2109,B2109,$T$2:T2109,T2109)=1,1,0)</f>
        <v>0</v>
      </c>
    </row>
    <row r="2110" customFormat="false" ht="15" hidden="false" customHeight="false" outlineLevel="0" collapsed="false">
      <c r="A2110" s="13" t="s">
        <v>295</v>
      </c>
      <c r="B2110" s="13" t="s">
        <v>193</v>
      </c>
      <c r="C2110" s="13" t="n">
        <v>14300</v>
      </c>
      <c r="D2110" s="13" t="n">
        <v>20</v>
      </c>
      <c r="E2110" s="13" t="n">
        <v>750.848947368421</v>
      </c>
      <c r="F2110" s="13" t="s">
        <v>5325</v>
      </c>
      <c r="G2110" s="13" t="s">
        <v>5289</v>
      </c>
      <c r="H2110" s="13" t="s">
        <v>5292</v>
      </c>
      <c r="I2110" s="13" t="s">
        <v>5289</v>
      </c>
      <c r="J2110" s="13" t="s">
        <v>5289</v>
      </c>
      <c r="K2110" s="13" t="s">
        <v>5289</v>
      </c>
      <c r="L2110" s="13" t="n">
        <v>3614274752717</v>
      </c>
      <c r="M2110" s="13"/>
      <c r="N2110" s="13" t="n">
        <v>3614274752717</v>
      </c>
      <c r="O2110" s="13"/>
      <c r="P2110" s="13" t="s">
        <v>5291</v>
      </c>
      <c r="Q2110" s="13" t="s">
        <v>5289</v>
      </c>
      <c r="R2110" s="13" t="s">
        <v>5292</v>
      </c>
      <c r="S2110" s="13" t="s">
        <v>5293</v>
      </c>
      <c r="T2110" s="13" t="s">
        <v>5</v>
      </c>
      <c r="U2110" s="13" t="s">
        <v>43</v>
      </c>
      <c r="V2110" s="13" t="n">
        <f aca="false">IF(COUNTIF($B$2:B2110,B2110)=1,1,0)</f>
        <v>0</v>
      </c>
      <c r="W2110" s="13" t="n">
        <f aca="false">IF(COUNTIFS($B$2:B2110,B2110,$T$2:T2110,T2110)=1,1,0)</f>
        <v>0</v>
      </c>
    </row>
    <row r="2111" customFormat="false" ht="15" hidden="false" customHeight="false" outlineLevel="0" collapsed="false">
      <c r="A2111" s="13" t="s">
        <v>76</v>
      </c>
      <c r="B2111" s="13" t="s">
        <v>69</v>
      </c>
      <c r="C2111" s="13" t="n">
        <v>14200</v>
      </c>
      <c r="D2111" s="13" t="n">
        <v>20</v>
      </c>
      <c r="E2111" s="13" t="n">
        <v>837.979411764706</v>
      </c>
      <c r="F2111" s="13" t="s">
        <v>5325</v>
      </c>
      <c r="G2111" s="13" t="s">
        <v>5289</v>
      </c>
      <c r="H2111" s="13" t="s">
        <v>5289</v>
      </c>
      <c r="I2111" s="13" t="s">
        <v>5289</v>
      </c>
      <c r="J2111" s="13" t="s">
        <v>5289</v>
      </c>
      <c r="K2111" s="13" t="s">
        <v>5289</v>
      </c>
      <c r="L2111" s="13" t="n">
        <v>3614273852814</v>
      </c>
      <c r="M2111" s="13"/>
      <c r="N2111" s="13" t="n">
        <v>3614273852814</v>
      </c>
      <c r="O2111" s="13"/>
      <c r="P2111" s="13" t="s">
        <v>5291</v>
      </c>
      <c r="Q2111" s="13" t="s">
        <v>5289</v>
      </c>
      <c r="R2111" s="13" t="s">
        <v>5292</v>
      </c>
      <c r="S2111" s="13" t="s">
        <v>5293</v>
      </c>
      <c r="T2111" s="13" t="s">
        <v>5</v>
      </c>
      <c r="U2111" s="13" t="s">
        <v>43</v>
      </c>
      <c r="V2111" s="13" t="n">
        <f aca="false">IF(COUNTIF($B$2:B2111,B2111)=1,1,0)</f>
        <v>0</v>
      </c>
      <c r="W2111" s="13" t="n">
        <f aca="false">IF(COUNTIFS($B$2:B2111,B2111,$T$2:T2111,T2111)=1,1,0)</f>
        <v>0</v>
      </c>
    </row>
    <row r="2112" customFormat="false" ht="15" hidden="false" customHeight="false" outlineLevel="0" collapsed="false">
      <c r="A2112" s="13" t="s">
        <v>300</v>
      </c>
      <c r="B2112" s="13" t="s">
        <v>72</v>
      </c>
      <c r="C2112" s="13" t="n">
        <v>14100</v>
      </c>
      <c r="D2112" s="13" t="n">
        <v>20</v>
      </c>
      <c r="E2112" s="13" t="n">
        <v>938.91</v>
      </c>
      <c r="F2112" s="13" t="s">
        <v>5325</v>
      </c>
      <c r="G2112" s="13" t="s">
        <v>5289</v>
      </c>
      <c r="H2112" s="13" t="s">
        <v>5289</v>
      </c>
      <c r="I2112" s="13" t="s">
        <v>5289</v>
      </c>
      <c r="J2112" s="13" t="s">
        <v>5289</v>
      </c>
      <c r="K2112" s="13" t="s">
        <v>5289</v>
      </c>
      <c r="L2112" s="13" t="n">
        <v>8435137749607</v>
      </c>
      <c r="M2112" s="13"/>
      <c r="N2112" s="13" t="n">
        <v>8435137749607</v>
      </c>
      <c r="O2112" s="13"/>
      <c r="P2112" s="13" t="s">
        <v>5297</v>
      </c>
      <c r="Q2112" s="13" t="s">
        <v>5289</v>
      </c>
      <c r="R2112" s="13" t="s">
        <v>5292</v>
      </c>
      <c r="S2112" s="13" t="s">
        <v>5293</v>
      </c>
      <c r="T2112" s="13" t="s">
        <v>5</v>
      </c>
      <c r="U2112" s="13" t="s">
        <v>43</v>
      </c>
      <c r="V2112" s="13" t="n">
        <f aca="false">IF(COUNTIF($B$2:B2112,B2112)=1,1,0)</f>
        <v>0</v>
      </c>
      <c r="W2112" s="13" t="n">
        <f aca="false">IF(COUNTIFS($B$2:B2112,B2112,$T$2:T2112,T2112)=1,1,0)</f>
        <v>0</v>
      </c>
    </row>
    <row r="2113" customFormat="false" ht="15" hidden="false" customHeight="false" outlineLevel="0" collapsed="false">
      <c r="A2113" s="13" t="s">
        <v>246</v>
      </c>
      <c r="B2113" s="13" t="s">
        <v>42</v>
      </c>
      <c r="C2113" s="13" t="n">
        <v>14000</v>
      </c>
      <c r="D2113" s="13" t="n">
        <v>40</v>
      </c>
      <c r="E2113" s="13" t="n">
        <v>368.907105263158</v>
      </c>
      <c r="F2113" s="13" t="s">
        <v>5325</v>
      </c>
      <c r="G2113" s="13" t="s">
        <v>5289</v>
      </c>
      <c r="H2113" s="13" t="s">
        <v>5289</v>
      </c>
      <c r="I2113" s="13" t="s">
        <v>5289</v>
      </c>
      <c r="J2113" s="13" t="s">
        <v>5289</v>
      </c>
      <c r="K2113" s="13" t="s">
        <v>5289</v>
      </c>
      <c r="L2113" s="13" t="n">
        <v>8411061056776</v>
      </c>
      <c r="M2113" s="13"/>
      <c r="N2113" s="13" t="n">
        <v>8411061056776</v>
      </c>
      <c r="O2113" s="13"/>
      <c r="P2113" s="13" t="s">
        <v>5291</v>
      </c>
      <c r="Q2113" s="13" t="s">
        <v>5289</v>
      </c>
      <c r="R2113" s="13" t="s">
        <v>5292</v>
      </c>
      <c r="S2113" s="13" t="s">
        <v>5293</v>
      </c>
      <c r="T2113" s="13" t="s">
        <v>5</v>
      </c>
      <c r="U2113" s="13" t="s">
        <v>43</v>
      </c>
      <c r="V2113" s="13" t="n">
        <f aca="false">IF(COUNTIF($B$2:B2113,B2113)=1,1,0)</f>
        <v>0</v>
      </c>
      <c r="W2113" s="13" t="n">
        <f aca="false">IF(COUNTIFS($B$2:B2113,B2113,$T$2:T2113,T2113)=1,1,0)</f>
        <v>0</v>
      </c>
    </row>
    <row r="2114" customFormat="false" ht="15" hidden="false" customHeight="false" outlineLevel="0" collapsed="false">
      <c r="A2114" s="13" t="s">
        <v>196</v>
      </c>
      <c r="B2114" s="13" t="s">
        <v>195</v>
      </c>
      <c r="C2114" s="13" t="n">
        <v>13300</v>
      </c>
      <c r="D2114" s="13" t="n">
        <v>20</v>
      </c>
      <c r="E2114" s="13" t="n">
        <v>580</v>
      </c>
      <c r="F2114" s="13" t="s">
        <v>5288</v>
      </c>
      <c r="G2114" s="13" t="s">
        <v>5289</v>
      </c>
      <c r="H2114" s="13" t="s">
        <v>5289</v>
      </c>
      <c r="I2114" s="13" t="s">
        <v>5289</v>
      </c>
      <c r="J2114" s="13" t="s">
        <v>5289</v>
      </c>
      <c r="K2114" s="13" t="s">
        <v>5289</v>
      </c>
      <c r="L2114" s="13" t="n">
        <v>3616302020652</v>
      </c>
      <c r="M2114" s="13"/>
      <c r="N2114" s="13" t="n">
        <v>3616302020652</v>
      </c>
      <c r="O2114" s="13"/>
      <c r="P2114" s="13" t="s">
        <v>5297</v>
      </c>
      <c r="Q2114" s="13" t="s">
        <v>5289</v>
      </c>
      <c r="R2114" s="13" t="s">
        <v>5292</v>
      </c>
      <c r="S2114" s="13" t="s">
        <v>5293</v>
      </c>
      <c r="T2114" s="13" t="s">
        <v>5</v>
      </c>
      <c r="U2114" s="13" t="s">
        <v>43</v>
      </c>
      <c r="V2114" s="13" t="n">
        <f aca="false">IF(COUNTIF($B$2:B2114,B2114)=1,1,0)</f>
        <v>0</v>
      </c>
      <c r="W2114" s="13" t="n">
        <f aca="false">IF(COUNTIFS($B$2:B2114,B2114,$T$2:T2114,T2114)=1,1,0)</f>
        <v>1</v>
      </c>
    </row>
    <row r="2115" customFormat="false" ht="15" hidden="false" customHeight="false" outlineLevel="0" collapsed="false">
      <c r="A2115" s="13" t="s">
        <v>279</v>
      </c>
      <c r="B2115" s="13" t="s">
        <v>45</v>
      </c>
      <c r="C2115" s="13" t="n">
        <v>13200</v>
      </c>
      <c r="D2115" s="13" t="n">
        <v>20</v>
      </c>
      <c r="E2115" s="13" t="n">
        <v>658.272</v>
      </c>
      <c r="F2115" s="13" t="s">
        <v>5325</v>
      </c>
      <c r="G2115" s="13" t="s">
        <v>5289</v>
      </c>
      <c r="H2115" s="13" t="s">
        <v>5289</v>
      </c>
      <c r="I2115" s="13" t="s">
        <v>5289</v>
      </c>
      <c r="J2115" s="13" t="s">
        <v>5289</v>
      </c>
      <c r="K2115" s="13" t="s">
        <v>5289</v>
      </c>
      <c r="L2115" s="13"/>
      <c r="M2115" s="13"/>
      <c r="N2115" s="13" t="n">
        <v>8435415102728</v>
      </c>
      <c r="O2115" s="13"/>
      <c r="P2115" s="13" t="s">
        <v>5291</v>
      </c>
      <c r="Q2115" s="13" t="s">
        <v>5289</v>
      </c>
      <c r="R2115" s="13" t="s">
        <v>5292</v>
      </c>
      <c r="S2115" s="13" t="s">
        <v>5293</v>
      </c>
      <c r="T2115" s="13" t="s">
        <v>5</v>
      </c>
      <c r="U2115" s="13" t="s">
        <v>43</v>
      </c>
      <c r="V2115" s="13" t="n">
        <f aca="false">IF(COUNTIF($B$2:B2115,B2115)=1,1,0)</f>
        <v>0</v>
      </c>
      <c r="W2115" s="13" t="n">
        <f aca="false">IF(COUNTIFS($B$2:B2115,B2115,$T$2:T2115,T2115)=1,1,0)</f>
        <v>0</v>
      </c>
    </row>
    <row r="2116" customFormat="false" ht="15" hidden="false" customHeight="false" outlineLevel="0" collapsed="false">
      <c r="A2116" s="13" t="s">
        <v>309</v>
      </c>
      <c r="B2116" s="13" t="s">
        <v>54</v>
      </c>
      <c r="C2116" s="13" t="n">
        <v>12900</v>
      </c>
      <c r="D2116" s="13" t="n">
        <v>40</v>
      </c>
      <c r="E2116" s="13" t="n">
        <v>299.711395348837</v>
      </c>
      <c r="F2116" s="13" t="s">
        <v>5325</v>
      </c>
      <c r="G2116" s="13" t="s">
        <v>5289</v>
      </c>
      <c r="H2116" s="13" t="s">
        <v>5289</v>
      </c>
      <c r="I2116" s="13" t="s">
        <v>5289</v>
      </c>
      <c r="J2116" s="13" t="s">
        <v>5289</v>
      </c>
      <c r="K2116" s="13" t="s">
        <v>5289</v>
      </c>
      <c r="L2116" s="13" t="n">
        <v>729238154940</v>
      </c>
      <c r="M2116" s="13"/>
      <c r="N2116" s="13" t="n">
        <v>729238154940</v>
      </c>
      <c r="O2116" s="13"/>
      <c r="P2116" s="13" t="s">
        <v>5291</v>
      </c>
      <c r="Q2116" s="13" t="s">
        <v>5289</v>
      </c>
      <c r="R2116" s="13" t="s">
        <v>5292</v>
      </c>
      <c r="S2116" s="13" t="s">
        <v>5293</v>
      </c>
      <c r="T2116" s="13" t="s">
        <v>5</v>
      </c>
      <c r="U2116" s="13" t="s">
        <v>43</v>
      </c>
      <c r="V2116" s="13" t="n">
        <f aca="false">IF(COUNTIF($B$2:B2116,B2116)=1,1,0)</f>
        <v>0</v>
      </c>
      <c r="W2116" s="13" t="n">
        <f aca="false">IF(COUNTIFS($B$2:B2116,B2116,$T$2:T2116,T2116)=1,1,0)</f>
        <v>0</v>
      </c>
    </row>
    <row r="2117" customFormat="false" ht="15" hidden="false" customHeight="false" outlineLevel="0" collapsed="false">
      <c r="A2117" s="13" t="s">
        <v>311</v>
      </c>
      <c r="B2117" s="13" t="s">
        <v>45</v>
      </c>
      <c r="C2117" s="13" t="n">
        <v>12700</v>
      </c>
      <c r="D2117" s="13" t="n">
        <v>20</v>
      </c>
      <c r="E2117" s="13" t="n">
        <v>706.89</v>
      </c>
      <c r="F2117" s="13" t="s">
        <v>5288</v>
      </c>
      <c r="G2117" s="13" t="s">
        <v>5289</v>
      </c>
      <c r="H2117" s="13" t="s">
        <v>5292</v>
      </c>
      <c r="I2117" s="13" t="s">
        <v>5289</v>
      </c>
      <c r="J2117" s="13" t="s">
        <v>5289</v>
      </c>
      <c r="K2117" s="13" t="s">
        <v>5289</v>
      </c>
      <c r="L2117" s="13" t="n">
        <v>8435415032360</v>
      </c>
      <c r="M2117" s="13"/>
      <c r="N2117" s="13" t="n">
        <v>8435415032360</v>
      </c>
      <c r="O2117" s="13"/>
      <c r="P2117" s="13" t="s">
        <v>5291</v>
      </c>
      <c r="Q2117" s="13" t="s">
        <v>5289</v>
      </c>
      <c r="R2117" s="13" t="s">
        <v>5292</v>
      </c>
      <c r="S2117" s="13" t="s">
        <v>5293</v>
      </c>
      <c r="T2117" s="13" t="s">
        <v>5</v>
      </c>
      <c r="U2117" s="13" t="s">
        <v>43</v>
      </c>
      <c r="V2117" s="13" t="n">
        <f aca="false">IF(COUNTIF($B$2:B2117,B2117)=1,1,0)</f>
        <v>0</v>
      </c>
      <c r="W2117" s="13" t="n">
        <f aca="false">IF(COUNTIFS($B$2:B2117,B2117,$T$2:T2117,T2117)=1,1,0)</f>
        <v>0</v>
      </c>
    </row>
    <row r="2118" customFormat="false" ht="15" hidden="false" customHeight="false" outlineLevel="0" collapsed="false">
      <c r="A2118" s="13" t="s">
        <v>310</v>
      </c>
      <c r="B2118" s="13" t="s">
        <v>42</v>
      </c>
      <c r="C2118" s="13" t="n">
        <v>12700</v>
      </c>
      <c r="D2118" s="13" t="n">
        <v>70</v>
      </c>
      <c r="E2118" s="13" t="n">
        <v>184.14</v>
      </c>
      <c r="F2118" s="13" t="s">
        <v>5288</v>
      </c>
      <c r="G2118" s="13" t="s">
        <v>5292</v>
      </c>
      <c r="H2118" s="13" t="s">
        <v>5289</v>
      </c>
      <c r="I2118" s="13" t="s">
        <v>5289</v>
      </c>
      <c r="J2118" s="13" t="s">
        <v>5289</v>
      </c>
      <c r="K2118" s="13" t="s">
        <v>5289</v>
      </c>
      <c r="L2118" s="13" t="n">
        <v>8411061945858</v>
      </c>
      <c r="M2118" s="13"/>
      <c r="N2118" s="13" t="n">
        <v>8411061945858</v>
      </c>
      <c r="O2118" s="13"/>
      <c r="P2118" s="13" t="s">
        <v>5297</v>
      </c>
      <c r="Q2118" s="13" t="s">
        <v>5289</v>
      </c>
      <c r="R2118" s="13" t="s">
        <v>5292</v>
      </c>
      <c r="S2118" s="13" t="s">
        <v>5293</v>
      </c>
      <c r="T2118" s="13" t="s">
        <v>5</v>
      </c>
      <c r="U2118" s="13" t="s">
        <v>43</v>
      </c>
      <c r="V2118" s="13" t="n">
        <f aca="false">IF(COUNTIF($B$2:B2118,B2118)=1,1,0)</f>
        <v>0</v>
      </c>
      <c r="W2118" s="13" t="n">
        <f aca="false">IF(COUNTIFS($B$2:B2118,B2118,$T$2:T2118,T2118)=1,1,0)</f>
        <v>0</v>
      </c>
    </row>
    <row r="2119" customFormat="false" ht="15" hidden="false" customHeight="false" outlineLevel="0" collapsed="false">
      <c r="A2119" s="13" t="s">
        <v>314</v>
      </c>
      <c r="B2119" s="13" t="s">
        <v>92</v>
      </c>
      <c r="C2119" s="13" t="n">
        <v>12600</v>
      </c>
      <c r="D2119" s="13" t="n">
        <v>20</v>
      </c>
      <c r="E2119" s="13" t="n">
        <v>661.663157894737</v>
      </c>
      <c r="F2119" s="13" t="s">
        <v>5325</v>
      </c>
      <c r="G2119" s="13" t="s">
        <v>5289</v>
      </c>
      <c r="H2119" s="13" t="s">
        <v>5289</v>
      </c>
      <c r="I2119" s="13" t="s">
        <v>5289</v>
      </c>
      <c r="J2119" s="13" t="s">
        <v>5289</v>
      </c>
      <c r="K2119" s="13" t="s">
        <v>5289</v>
      </c>
      <c r="L2119" s="13" t="n">
        <v>3616302038633</v>
      </c>
      <c r="M2119" s="13"/>
      <c r="N2119" s="13" t="n">
        <v>3616302038633</v>
      </c>
      <c r="O2119" s="13"/>
      <c r="P2119" s="13" t="s">
        <v>5291</v>
      </c>
      <c r="Q2119" s="13" t="s">
        <v>5289</v>
      </c>
      <c r="R2119" s="13" t="s">
        <v>5292</v>
      </c>
      <c r="S2119" s="13" t="s">
        <v>5293</v>
      </c>
      <c r="T2119" s="13" t="s">
        <v>5</v>
      </c>
      <c r="U2119" s="13" t="s">
        <v>43</v>
      </c>
      <c r="V2119" s="13" t="n">
        <f aca="false">IF(COUNTIF($B$2:B2119,B2119)=1,1,0)</f>
        <v>0</v>
      </c>
      <c r="W2119" s="13" t="n">
        <f aca="false">IF(COUNTIFS($B$2:B2119,B2119,$T$2:T2119,T2119)=1,1,0)</f>
        <v>1</v>
      </c>
    </row>
    <row r="2120" customFormat="false" ht="15" hidden="false" customHeight="false" outlineLevel="0" collapsed="false">
      <c r="A2120" s="13" t="s">
        <v>316</v>
      </c>
      <c r="B2120" s="13" t="s">
        <v>315</v>
      </c>
      <c r="C2120" s="13" t="n">
        <v>12600</v>
      </c>
      <c r="D2120" s="13" t="n">
        <v>20</v>
      </c>
      <c r="E2120" s="13" t="n">
        <v>660.865789473684</v>
      </c>
      <c r="F2120" s="13" t="s">
        <v>5325</v>
      </c>
      <c r="G2120" s="13" t="s">
        <v>5289</v>
      </c>
      <c r="H2120" s="13" t="s">
        <v>5289</v>
      </c>
      <c r="I2120" s="13" t="s">
        <v>5289</v>
      </c>
      <c r="J2120" s="13" t="s">
        <v>5289</v>
      </c>
      <c r="K2120" s="13" t="s">
        <v>5289</v>
      </c>
      <c r="L2120" s="13" t="n">
        <v>3605972793317</v>
      </c>
      <c r="M2120" s="13"/>
      <c r="N2120" s="13" t="n">
        <v>3605972793317</v>
      </c>
      <c r="O2120" s="13"/>
      <c r="P2120" s="13" t="s">
        <v>5291</v>
      </c>
      <c r="Q2120" s="13" t="s">
        <v>5289</v>
      </c>
      <c r="R2120" s="13" t="s">
        <v>5292</v>
      </c>
      <c r="S2120" s="13" t="s">
        <v>5293</v>
      </c>
      <c r="T2120" s="13" t="s">
        <v>5</v>
      </c>
      <c r="U2120" s="13" t="s">
        <v>43</v>
      </c>
      <c r="V2120" s="13" t="n">
        <f aca="false">IF(COUNTIF($B$2:B2120,B2120)=1,1,0)</f>
        <v>1</v>
      </c>
      <c r="W2120" s="13" t="n">
        <f aca="false">IF(COUNTIFS($B$2:B2120,B2120,$T$2:T2120,T2120)=1,1,0)</f>
        <v>1</v>
      </c>
    </row>
    <row r="2121" customFormat="false" ht="15" hidden="false" customHeight="false" outlineLevel="0" collapsed="false">
      <c r="A2121" s="13" t="s">
        <v>322</v>
      </c>
      <c r="B2121" s="13" t="s">
        <v>69</v>
      </c>
      <c r="C2121" s="13" t="n">
        <v>12400</v>
      </c>
      <c r="D2121" s="13" t="n">
        <v>20</v>
      </c>
      <c r="E2121" s="13" t="n">
        <v>731.653529411765</v>
      </c>
      <c r="F2121" s="13" t="s">
        <v>5325</v>
      </c>
      <c r="G2121" s="13" t="s">
        <v>5289</v>
      </c>
      <c r="H2121" s="13" t="s">
        <v>5289</v>
      </c>
      <c r="I2121" s="13" t="s">
        <v>5289</v>
      </c>
      <c r="J2121" s="13" t="s">
        <v>5289</v>
      </c>
      <c r="K2121" s="13" t="s">
        <v>5289</v>
      </c>
      <c r="L2121" s="13" t="n">
        <v>3614272648418</v>
      </c>
      <c r="M2121" s="13"/>
      <c r="N2121" s="13" t="n">
        <v>3614272648418</v>
      </c>
      <c r="O2121" s="13"/>
      <c r="P2121" s="13" t="s">
        <v>5291</v>
      </c>
      <c r="Q2121" s="13" t="s">
        <v>5289</v>
      </c>
      <c r="R2121" s="13" t="s">
        <v>5292</v>
      </c>
      <c r="S2121" s="13" t="s">
        <v>5293</v>
      </c>
      <c r="T2121" s="13" t="s">
        <v>5</v>
      </c>
      <c r="U2121" s="13" t="s">
        <v>43</v>
      </c>
      <c r="V2121" s="13" t="n">
        <f aca="false">IF(COUNTIF($B$2:B2121,B2121)=1,1,0)</f>
        <v>0</v>
      </c>
      <c r="W2121" s="13" t="n">
        <f aca="false">IF(COUNTIFS($B$2:B2121,B2121,$T$2:T2121,T2121)=1,1,0)</f>
        <v>0</v>
      </c>
    </row>
    <row r="2122" customFormat="false" ht="15" hidden="false" customHeight="false" outlineLevel="0" collapsed="false">
      <c r="A2122" s="13" t="s">
        <v>319</v>
      </c>
      <c r="B2122" s="13" t="s">
        <v>69</v>
      </c>
      <c r="C2122" s="13" t="n">
        <v>12400</v>
      </c>
      <c r="D2122" s="13" t="n">
        <v>20</v>
      </c>
      <c r="E2122" s="13" t="n">
        <v>591.733333333333</v>
      </c>
      <c r="F2122" s="13" t="s">
        <v>5288</v>
      </c>
      <c r="G2122" s="13" t="s">
        <v>5289</v>
      </c>
      <c r="H2122" s="13" t="s">
        <v>5289</v>
      </c>
      <c r="I2122" s="13" t="s">
        <v>5289</v>
      </c>
      <c r="J2122" s="13" t="s">
        <v>5289</v>
      </c>
      <c r="K2122" s="13" t="s">
        <v>5289</v>
      </c>
      <c r="L2122" s="13" t="n">
        <v>3614272050341</v>
      </c>
      <c r="M2122" s="13"/>
      <c r="N2122" s="13" t="n">
        <v>3614272050341</v>
      </c>
      <c r="O2122" s="13"/>
      <c r="P2122" s="13" t="s">
        <v>5291</v>
      </c>
      <c r="Q2122" s="13" t="s">
        <v>5289</v>
      </c>
      <c r="R2122" s="13" t="s">
        <v>5292</v>
      </c>
      <c r="S2122" s="13" t="s">
        <v>5293</v>
      </c>
      <c r="T2122" s="13" t="s">
        <v>5</v>
      </c>
      <c r="U2122" s="13" t="s">
        <v>43</v>
      </c>
      <c r="V2122" s="13" t="n">
        <f aca="false">IF(COUNTIF($B$2:B2122,B2122)=1,1,0)</f>
        <v>0</v>
      </c>
      <c r="W2122" s="13" t="n">
        <f aca="false">IF(COUNTIFS($B$2:B2122,B2122,$T$2:T2122,T2122)=1,1,0)</f>
        <v>0</v>
      </c>
    </row>
    <row r="2123" customFormat="false" ht="15" hidden="false" customHeight="false" outlineLevel="0" collapsed="false">
      <c r="A2123" s="13" t="s">
        <v>318</v>
      </c>
      <c r="B2123" s="13" t="s">
        <v>72</v>
      </c>
      <c r="C2123" s="13" t="n">
        <v>12400</v>
      </c>
      <c r="D2123" s="13" t="n">
        <v>10</v>
      </c>
      <c r="E2123" s="13" t="n">
        <v>951.213076923077</v>
      </c>
      <c r="F2123" s="13" t="s">
        <v>5325</v>
      </c>
      <c r="G2123" s="13" t="s">
        <v>5289</v>
      </c>
      <c r="H2123" s="13" t="s">
        <v>5292</v>
      </c>
      <c r="I2123" s="13" t="s">
        <v>5289</v>
      </c>
      <c r="J2123" s="13" t="s">
        <v>5289</v>
      </c>
      <c r="K2123" s="13" t="s">
        <v>5292</v>
      </c>
      <c r="L2123" s="13" t="n">
        <v>8435137749607</v>
      </c>
      <c r="M2123" s="13"/>
      <c r="N2123" s="13" t="n">
        <v>8435137749607</v>
      </c>
      <c r="O2123" s="13"/>
      <c r="P2123" s="13" t="s">
        <v>5291</v>
      </c>
      <c r="Q2123" s="13" t="s">
        <v>5289</v>
      </c>
      <c r="R2123" s="13" t="s">
        <v>5292</v>
      </c>
      <c r="S2123" s="13" t="s">
        <v>5293</v>
      </c>
      <c r="T2123" s="13" t="s">
        <v>5</v>
      </c>
      <c r="U2123" s="13" t="s">
        <v>43</v>
      </c>
      <c r="V2123" s="13" t="n">
        <f aca="false">IF(COUNTIF($B$2:B2123,B2123)=1,1,0)</f>
        <v>0</v>
      </c>
      <c r="W2123" s="13" t="n">
        <f aca="false">IF(COUNTIFS($B$2:B2123,B2123,$T$2:T2123,T2123)=1,1,0)</f>
        <v>0</v>
      </c>
    </row>
    <row r="2124" customFormat="false" ht="15" hidden="false" customHeight="false" outlineLevel="0" collapsed="false">
      <c r="A2124" s="13" t="s">
        <v>292</v>
      </c>
      <c r="B2124" s="13" t="s">
        <v>45</v>
      </c>
      <c r="C2124" s="13" t="n">
        <v>12200</v>
      </c>
      <c r="D2124" s="13" t="n">
        <v>20</v>
      </c>
      <c r="E2124" s="13" t="n">
        <v>811.581333333333</v>
      </c>
      <c r="F2124" s="13" t="s">
        <v>5325</v>
      </c>
      <c r="G2124" s="13" t="s">
        <v>5289</v>
      </c>
      <c r="H2124" s="13" t="s">
        <v>5289</v>
      </c>
      <c r="I2124" s="13" t="s">
        <v>5289</v>
      </c>
      <c r="J2124" s="13" t="s">
        <v>5289</v>
      </c>
      <c r="K2124" s="13" t="s">
        <v>5289</v>
      </c>
      <c r="L2124" s="13" t="n">
        <v>8435415080385</v>
      </c>
      <c r="M2124" s="13"/>
      <c r="N2124" s="13" t="n">
        <v>8435415080385</v>
      </c>
      <c r="O2124" s="13"/>
      <c r="P2124" s="13" t="s">
        <v>5291</v>
      </c>
      <c r="Q2124" s="13" t="s">
        <v>5289</v>
      </c>
      <c r="R2124" s="13" t="s">
        <v>5292</v>
      </c>
      <c r="S2124" s="13" t="s">
        <v>5293</v>
      </c>
      <c r="T2124" s="13" t="s">
        <v>5</v>
      </c>
      <c r="U2124" s="13" t="s">
        <v>43</v>
      </c>
      <c r="V2124" s="13" t="n">
        <f aca="false">IF(COUNTIF($B$2:B2124,B2124)=1,1,0)</f>
        <v>0</v>
      </c>
      <c r="W2124" s="13" t="n">
        <f aca="false">IF(COUNTIFS($B$2:B2124,B2124,$T$2:T2124,T2124)=1,1,0)</f>
        <v>0</v>
      </c>
    </row>
    <row r="2125" customFormat="false" ht="15" hidden="false" customHeight="false" outlineLevel="0" collapsed="false">
      <c r="A2125" s="13" t="s">
        <v>290</v>
      </c>
      <c r="B2125" s="13" t="s">
        <v>42</v>
      </c>
      <c r="C2125" s="13" t="n">
        <v>12100</v>
      </c>
      <c r="D2125" s="13" t="n">
        <v>30</v>
      </c>
      <c r="E2125" s="13" t="n">
        <v>448.714074074074</v>
      </c>
      <c r="F2125" s="13" t="s">
        <v>5325</v>
      </c>
      <c r="G2125" s="13" t="s">
        <v>5292</v>
      </c>
      <c r="H2125" s="13" t="s">
        <v>5289</v>
      </c>
      <c r="I2125" s="13" t="s">
        <v>5289</v>
      </c>
      <c r="J2125" s="13" t="s">
        <v>5289</v>
      </c>
      <c r="K2125" s="13" t="s">
        <v>5289</v>
      </c>
      <c r="L2125" s="13"/>
      <c r="M2125" s="13"/>
      <c r="N2125" s="13" t="n">
        <v>8411061055199</v>
      </c>
      <c r="O2125" s="13"/>
      <c r="P2125" s="13" t="s">
        <v>5297</v>
      </c>
      <c r="Q2125" s="13" t="s">
        <v>5289</v>
      </c>
      <c r="R2125" s="13" t="s">
        <v>5292</v>
      </c>
      <c r="S2125" s="13" t="s">
        <v>5293</v>
      </c>
      <c r="T2125" s="13" t="s">
        <v>5</v>
      </c>
      <c r="U2125" s="13" t="s">
        <v>43</v>
      </c>
      <c r="V2125" s="13" t="n">
        <f aca="false">IF(COUNTIF($B$2:B2125,B2125)=1,1,0)</f>
        <v>0</v>
      </c>
      <c r="W2125" s="13" t="n">
        <f aca="false">IF(COUNTIFS($B$2:B2125,B2125,$T$2:T2125,T2125)=1,1,0)</f>
        <v>0</v>
      </c>
    </row>
    <row r="2126" customFormat="false" ht="15" hidden="false" customHeight="false" outlineLevel="0" collapsed="false">
      <c r="A2126" s="13" t="s">
        <v>326</v>
      </c>
      <c r="B2126" s="13" t="s">
        <v>153</v>
      </c>
      <c r="C2126" s="13" t="n">
        <v>12000</v>
      </c>
      <c r="D2126" s="13" t="n">
        <v>20</v>
      </c>
      <c r="E2126" s="13" t="n">
        <v>633</v>
      </c>
      <c r="F2126" s="13" t="s">
        <v>5325</v>
      </c>
      <c r="G2126" s="13" t="s">
        <v>5289</v>
      </c>
      <c r="H2126" s="13" t="s">
        <v>5289</v>
      </c>
      <c r="I2126" s="13" t="s">
        <v>5289</v>
      </c>
      <c r="J2126" s="13" t="s">
        <v>5289</v>
      </c>
      <c r="K2126" s="13" t="s">
        <v>5289</v>
      </c>
      <c r="L2126" s="13" t="n">
        <v>8011003890811</v>
      </c>
      <c r="M2126" s="13"/>
      <c r="N2126" s="13" t="n">
        <v>8.011003890811E+024</v>
      </c>
      <c r="O2126" s="13"/>
      <c r="P2126" s="13" t="s">
        <v>5291</v>
      </c>
      <c r="Q2126" s="13" t="s">
        <v>5289</v>
      </c>
      <c r="R2126" s="13" t="s">
        <v>5292</v>
      </c>
      <c r="S2126" s="13" t="s">
        <v>5293</v>
      </c>
      <c r="T2126" s="13" t="s">
        <v>5</v>
      </c>
      <c r="U2126" s="13" t="s">
        <v>43</v>
      </c>
      <c r="V2126" s="13" t="n">
        <f aca="false">IF(COUNTIF($B$2:B2126,B2126)=1,1,0)</f>
        <v>0</v>
      </c>
      <c r="W2126" s="13" t="n">
        <f aca="false">IF(COUNTIFS($B$2:B2126,B2126,$T$2:T2126,T2126)=1,1,0)</f>
        <v>0</v>
      </c>
    </row>
    <row r="2127" customFormat="false" ht="15" hidden="false" customHeight="false" outlineLevel="0" collapsed="false">
      <c r="A2127" s="13" t="s">
        <v>327</v>
      </c>
      <c r="B2127" s="13" t="s">
        <v>61</v>
      </c>
      <c r="C2127" s="13" t="n">
        <v>11900</v>
      </c>
      <c r="D2127" s="13" t="n">
        <v>30</v>
      </c>
      <c r="E2127" s="13" t="n">
        <v>441.187777777778</v>
      </c>
      <c r="F2127" s="13" t="s">
        <v>5325</v>
      </c>
      <c r="G2127" s="13" t="s">
        <v>5289</v>
      </c>
      <c r="H2127" s="13" t="s">
        <v>5289</v>
      </c>
      <c r="I2127" s="13" t="s">
        <v>5289</v>
      </c>
      <c r="J2127" s="13" t="s">
        <v>5289</v>
      </c>
      <c r="K2127" s="13" t="s">
        <v>5289</v>
      </c>
      <c r="L2127" s="13" t="n">
        <v>3614274397239</v>
      </c>
      <c r="M2127" s="13"/>
      <c r="N2127" s="13" t="n">
        <v>3614274397239</v>
      </c>
      <c r="O2127" s="13"/>
      <c r="P2127" s="13" t="s">
        <v>5297</v>
      </c>
      <c r="Q2127" s="13" t="s">
        <v>5289</v>
      </c>
      <c r="R2127" s="13" t="s">
        <v>5292</v>
      </c>
      <c r="S2127" s="13" t="s">
        <v>5293</v>
      </c>
      <c r="T2127" s="13" t="s">
        <v>5</v>
      </c>
      <c r="U2127" s="13" t="s">
        <v>43</v>
      </c>
      <c r="V2127" s="13" t="n">
        <f aca="false">IF(COUNTIF($B$2:B2127,B2127)=1,1,0)</f>
        <v>0</v>
      </c>
      <c r="W2127" s="13" t="n">
        <f aca="false">IF(COUNTIFS($B$2:B2127,B2127,$T$2:T2127,T2127)=1,1,0)</f>
        <v>0</v>
      </c>
    </row>
    <row r="2128" customFormat="false" ht="15" hidden="false" customHeight="false" outlineLevel="0" collapsed="false">
      <c r="A2128" s="13" t="s">
        <v>120</v>
      </c>
      <c r="B2128" s="13" t="s">
        <v>69</v>
      </c>
      <c r="C2128" s="13" t="n">
        <v>11900</v>
      </c>
      <c r="D2128" s="13" t="n">
        <v>20</v>
      </c>
      <c r="E2128" s="13" t="n">
        <v>793.666666666667</v>
      </c>
      <c r="F2128" s="13" t="s">
        <v>5325</v>
      </c>
      <c r="G2128" s="13" t="s">
        <v>5289</v>
      </c>
      <c r="H2128" s="13" t="s">
        <v>5289</v>
      </c>
      <c r="I2128" s="13" t="s">
        <v>5289</v>
      </c>
      <c r="J2128" s="13" t="s">
        <v>5289</v>
      </c>
      <c r="K2128" s="13" t="s">
        <v>5289</v>
      </c>
      <c r="L2128" s="13" t="n">
        <v>3614273069540</v>
      </c>
      <c r="M2128" s="13"/>
      <c r="N2128" s="13" t="n">
        <v>3614273069540</v>
      </c>
      <c r="O2128" s="13"/>
      <c r="P2128" s="13" t="s">
        <v>5291</v>
      </c>
      <c r="Q2128" s="13" t="s">
        <v>5289</v>
      </c>
      <c r="R2128" s="13" t="s">
        <v>5292</v>
      </c>
      <c r="S2128" s="13" t="s">
        <v>5293</v>
      </c>
      <c r="T2128" s="13" t="s">
        <v>5</v>
      </c>
      <c r="U2128" s="13" t="s">
        <v>43</v>
      </c>
      <c r="V2128" s="13" t="n">
        <f aca="false">IF(COUNTIF($B$2:B2128,B2128)=1,1,0)</f>
        <v>0</v>
      </c>
      <c r="W2128" s="13" t="n">
        <f aca="false">IF(COUNTIFS($B$2:B2128,B2128,$T$2:T2128,T2128)=1,1,0)</f>
        <v>0</v>
      </c>
    </row>
    <row r="2129" customFormat="false" ht="15" hidden="false" customHeight="false" outlineLevel="0" collapsed="false">
      <c r="A2129" s="13" t="s">
        <v>2694</v>
      </c>
      <c r="B2129" s="13" t="s">
        <v>2103</v>
      </c>
      <c r="C2129" s="13" t="n">
        <v>11900</v>
      </c>
      <c r="D2129" s="13" t="n">
        <v>110</v>
      </c>
      <c r="E2129" s="13" t="n">
        <v>109.977037037037</v>
      </c>
      <c r="F2129" s="13" t="s">
        <v>5325</v>
      </c>
      <c r="G2129" s="13" t="s">
        <v>5289</v>
      </c>
      <c r="H2129" s="13" t="s">
        <v>5292</v>
      </c>
      <c r="I2129" s="13" t="s">
        <v>5289</v>
      </c>
      <c r="J2129" s="13" t="s">
        <v>5289</v>
      </c>
      <c r="K2129" s="13" t="s">
        <v>5292</v>
      </c>
      <c r="L2129" s="13" t="n">
        <v>309974700030</v>
      </c>
      <c r="M2129" s="13"/>
      <c r="N2129" s="13" t="n">
        <v>309974700030</v>
      </c>
      <c r="O2129" s="13"/>
      <c r="P2129" s="13" t="s">
        <v>5291</v>
      </c>
      <c r="Q2129" s="13" t="s">
        <v>5289</v>
      </c>
      <c r="R2129" s="13" t="s">
        <v>5292</v>
      </c>
      <c r="S2129" s="13" t="s">
        <v>5293</v>
      </c>
      <c r="T2129" s="13" t="s">
        <v>5</v>
      </c>
      <c r="U2129" s="13" t="s">
        <v>85</v>
      </c>
      <c r="V2129" s="13" t="n">
        <f aca="false">IF(COUNTIF($B$2:B2129,B2129)=1,1,0)</f>
        <v>0</v>
      </c>
      <c r="W2129" s="13" t="n">
        <f aca="false">IF(COUNTIFS($B$2:B2129,B2129,$T$2:T2129,T2129)=1,1,0)</f>
        <v>1</v>
      </c>
    </row>
    <row r="2130" customFormat="false" ht="15" hidden="false" customHeight="false" outlineLevel="0" collapsed="false">
      <c r="A2130" s="13" t="s">
        <v>328</v>
      </c>
      <c r="B2130" s="13" t="s">
        <v>42</v>
      </c>
      <c r="C2130" s="13" t="n">
        <v>11900</v>
      </c>
      <c r="D2130" s="13" t="n">
        <v>20</v>
      </c>
      <c r="E2130" s="13" t="n">
        <v>697.794117647059</v>
      </c>
      <c r="F2130" s="13" t="s">
        <v>5325</v>
      </c>
      <c r="G2130" s="13" t="s">
        <v>5289</v>
      </c>
      <c r="H2130" s="13" t="s">
        <v>5292</v>
      </c>
      <c r="I2130" s="13" t="s">
        <v>5289</v>
      </c>
      <c r="J2130" s="13" t="s">
        <v>5289</v>
      </c>
      <c r="K2130" s="13" t="s">
        <v>5289</v>
      </c>
      <c r="L2130" s="13" t="n">
        <v>8411061838778</v>
      </c>
      <c r="M2130" s="13"/>
      <c r="N2130" s="13" t="n">
        <v>8411061838778</v>
      </c>
      <c r="O2130" s="13"/>
      <c r="P2130" s="13" t="s">
        <v>5291</v>
      </c>
      <c r="Q2130" s="13" t="s">
        <v>5289</v>
      </c>
      <c r="R2130" s="13" t="s">
        <v>5292</v>
      </c>
      <c r="S2130" s="13" t="s">
        <v>5293</v>
      </c>
      <c r="T2130" s="13" t="s">
        <v>5</v>
      </c>
      <c r="U2130" s="13" t="s">
        <v>43</v>
      </c>
      <c r="V2130" s="13" t="n">
        <f aca="false">IF(COUNTIF($B$2:B2130,B2130)=1,1,0)</f>
        <v>0</v>
      </c>
      <c r="W2130" s="13" t="n">
        <f aca="false">IF(COUNTIFS($B$2:B2130,B2130,$T$2:T2130,T2130)=1,1,0)</f>
        <v>0</v>
      </c>
    </row>
    <row r="2131" customFormat="false" ht="15" hidden="false" customHeight="false" outlineLevel="0" collapsed="false">
      <c r="A2131" s="13" t="s">
        <v>330</v>
      </c>
      <c r="B2131" s="13" t="s">
        <v>329</v>
      </c>
      <c r="C2131" s="13" t="n">
        <v>11800</v>
      </c>
      <c r="D2131" s="13" t="n">
        <v>40</v>
      </c>
      <c r="E2131" s="13" t="n">
        <v>329</v>
      </c>
      <c r="F2131" s="13" t="s">
        <v>5325</v>
      </c>
      <c r="G2131" s="13" t="s">
        <v>5289</v>
      </c>
      <c r="H2131" s="13" t="s">
        <v>5289</v>
      </c>
      <c r="I2131" s="13" t="s">
        <v>5289</v>
      </c>
      <c r="J2131" s="13" t="s">
        <v>5289</v>
      </c>
      <c r="K2131" s="13" t="s">
        <v>5289</v>
      </c>
      <c r="L2131" s="13" t="n">
        <v>3137370361336</v>
      </c>
      <c r="M2131" s="13"/>
      <c r="N2131" s="13" t="n">
        <v>3137370361336</v>
      </c>
      <c r="O2131" s="13"/>
      <c r="P2131" s="13" t="s">
        <v>5291</v>
      </c>
      <c r="Q2131" s="13" t="s">
        <v>5289</v>
      </c>
      <c r="R2131" s="13" t="s">
        <v>5292</v>
      </c>
      <c r="S2131" s="13" t="s">
        <v>5293</v>
      </c>
      <c r="T2131" s="13" t="s">
        <v>5</v>
      </c>
      <c r="U2131" s="13" t="s">
        <v>43</v>
      </c>
      <c r="V2131" s="13" t="n">
        <f aca="false">IF(COUNTIF($B$2:B2131,B2131)=1,1,0)</f>
        <v>0</v>
      </c>
      <c r="W2131" s="13" t="n">
        <f aca="false">IF(COUNTIFS($B$2:B2131,B2131,$T$2:T2131,T2131)=1,1,0)</f>
        <v>1</v>
      </c>
    </row>
    <row r="2132" customFormat="false" ht="15" hidden="false" customHeight="false" outlineLevel="0" collapsed="false">
      <c r="A2132" s="13" t="s">
        <v>331</v>
      </c>
      <c r="B2132" s="13" t="s">
        <v>79</v>
      </c>
      <c r="C2132" s="13" t="n">
        <v>11800</v>
      </c>
      <c r="D2132" s="13" t="n">
        <v>10</v>
      </c>
      <c r="E2132" s="13" t="n">
        <v>979.3075</v>
      </c>
      <c r="F2132" s="13" t="s">
        <v>5325</v>
      </c>
      <c r="G2132" s="13" t="s">
        <v>5289</v>
      </c>
      <c r="H2132" s="13" t="s">
        <v>5289</v>
      </c>
      <c r="I2132" s="13" t="s">
        <v>5289</v>
      </c>
      <c r="J2132" s="13" t="s">
        <v>5289</v>
      </c>
      <c r="K2132" s="13" t="s">
        <v>5289</v>
      </c>
      <c r="L2132" s="13" t="n">
        <v>8056669925897</v>
      </c>
      <c r="M2132" s="13"/>
      <c r="N2132" s="13" t="n">
        <v>8056669925897</v>
      </c>
      <c r="O2132" s="13"/>
      <c r="P2132" s="13" t="s">
        <v>5291</v>
      </c>
      <c r="Q2132" s="13" t="s">
        <v>5289</v>
      </c>
      <c r="R2132" s="13" t="s">
        <v>5292</v>
      </c>
      <c r="S2132" s="13" t="s">
        <v>5293</v>
      </c>
      <c r="T2132" s="13" t="s">
        <v>5</v>
      </c>
      <c r="U2132" s="13" t="s">
        <v>43</v>
      </c>
      <c r="V2132" s="13" t="n">
        <f aca="false">IF(COUNTIF($B$2:B2132,B2132)=1,1,0)</f>
        <v>0</v>
      </c>
      <c r="W2132" s="13" t="n">
        <f aca="false">IF(COUNTIFS($B$2:B2132,B2132,$T$2:T2132,T2132)=1,1,0)</f>
        <v>0</v>
      </c>
    </row>
    <row r="2133" customFormat="false" ht="15" hidden="false" customHeight="false" outlineLevel="0" collapsed="false">
      <c r="A2133" s="13" t="s">
        <v>334</v>
      </c>
      <c r="B2133" s="13" t="s">
        <v>42</v>
      </c>
      <c r="C2133" s="13" t="n">
        <v>11500</v>
      </c>
      <c r="D2133" s="13" t="n">
        <v>20</v>
      </c>
      <c r="E2133" s="13" t="n">
        <v>720.90625</v>
      </c>
      <c r="F2133" s="13" t="s">
        <v>5325</v>
      </c>
      <c r="G2133" s="13" t="s">
        <v>5289</v>
      </c>
      <c r="H2133" s="13" t="s">
        <v>5292</v>
      </c>
      <c r="I2133" s="13" t="s">
        <v>5289</v>
      </c>
      <c r="J2133" s="13" t="s">
        <v>5289</v>
      </c>
      <c r="K2133" s="13" t="s">
        <v>5289</v>
      </c>
      <c r="L2133" s="13" t="n">
        <v>8411061026335</v>
      </c>
      <c r="M2133" s="13"/>
      <c r="N2133" s="13" t="n">
        <v>8.41106102633584E+025</v>
      </c>
      <c r="O2133" s="13"/>
      <c r="P2133" s="13" t="s">
        <v>5291</v>
      </c>
      <c r="Q2133" s="13" t="s">
        <v>5289</v>
      </c>
      <c r="R2133" s="13" t="s">
        <v>5292</v>
      </c>
      <c r="S2133" s="13" t="s">
        <v>5293</v>
      </c>
      <c r="T2133" s="13" t="s">
        <v>5</v>
      </c>
      <c r="U2133" s="13" t="s">
        <v>43</v>
      </c>
      <c r="V2133" s="13" t="n">
        <f aca="false">IF(COUNTIF($B$2:B2133,B2133)=1,1,0)</f>
        <v>0</v>
      </c>
      <c r="W2133" s="13" t="n">
        <f aca="false">IF(COUNTIFS($B$2:B2133,B2133,$T$2:T2133,T2133)=1,1,0)</f>
        <v>0</v>
      </c>
    </row>
    <row r="2134" customFormat="false" ht="15" hidden="false" customHeight="false" outlineLevel="0" collapsed="false">
      <c r="A2134" s="13" t="s">
        <v>113</v>
      </c>
      <c r="B2134" s="13" t="s">
        <v>45</v>
      </c>
      <c r="C2134" s="13" t="n">
        <v>11500</v>
      </c>
      <c r="D2134" s="13" t="n">
        <v>20</v>
      </c>
      <c r="E2134" s="13" t="n">
        <v>767</v>
      </c>
      <c r="F2134" s="13" t="s">
        <v>5325</v>
      </c>
      <c r="G2134" s="13" t="s">
        <v>5289</v>
      </c>
      <c r="H2134" s="13" t="s">
        <v>5289</v>
      </c>
      <c r="I2134" s="13" t="s">
        <v>5289</v>
      </c>
      <c r="J2134" s="13" t="s">
        <v>5289</v>
      </c>
      <c r="K2134" s="13" t="s">
        <v>5289</v>
      </c>
      <c r="L2134" s="13" t="n">
        <v>8435415050760</v>
      </c>
      <c r="M2134" s="13"/>
      <c r="N2134" s="13" t="n">
        <v>8435415050760</v>
      </c>
      <c r="O2134" s="13"/>
      <c r="P2134" s="13" t="s">
        <v>5297</v>
      </c>
      <c r="Q2134" s="13" t="s">
        <v>5289</v>
      </c>
      <c r="R2134" s="13" t="s">
        <v>5292</v>
      </c>
      <c r="S2134" s="13" t="s">
        <v>5293</v>
      </c>
      <c r="T2134" s="13" t="s">
        <v>5</v>
      </c>
      <c r="U2134" s="13" t="s">
        <v>43</v>
      </c>
      <c r="V2134" s="13" t="n">
        <f aca="false">IF(COUNTIF($B$2:B2134,B2134)=1,1,0)</f>
        <v>0</v>
      </c>
      <c r="W2134" s="13" t="n">
        <f aca="false">IF(COUNTIFS($B$2:B2134,B2134,$T$2:T2134,T2134)=1,1,0)</f>
        <v>0</v>
      </c>
    </row>
    <row r="2135" customFormat="false" ht="15" hidden="false" customHeight="false" outlineLevel="0" collapsed="false">
      <c r="A2135" s="13" t="s">
        <v>6368</v>
      </c>
      <c r="B2135" s="13" t="s">
        <v>2109</v>
      </c>
      <c r="C2135" s="13" t="n">
        <v>11500</v>
      </c>
      <c r="D2135" s="13" t="n">
        <v>20</v>
      </c>
      <c r="E2135" s="13" t="n">
        <v>520.612727272727</v>
      </c>
      <c r="F2135" s="13" t="s">
        <v>5325</v>
      </c>
      <c r="G2135" s="13" t="s">
        <v>5289</v>
      </c>
      <c r="H2135" s="13" t="s">
        <v>5289</v>
      </c>
      <c r="I2135" s="13" t="s">
        <v>5289</v>
      </c>
      <c r="J2135" s="13" t="s">
        <v>5289</v>
      </c>
      <c r="K2135" s="13" t="s">
        <v>5289</v>
      </c>
      <c r="L2135" s="13" t="n">
        <v>3614274076776</v>
      </c>
      <c r="M2135" s="13"/>
      <c r="N2135" s="13" t="n">
        <v>3.43960005681536E+025</v>
      </c>
      <c r="O2135" s="13"/>
      <c r="P2135" s="13" t="s">
        <v>5291</v>
      </c>
      <c r="Q2135" s="13" t="s">
        <v>5289</v>
      </c>
      <c r="R2135" s="13" t="s">
        <v>5292</v>
      </c>
      <c r="S2135" s="13" t="s">
        <v>5293</v>
      </c>
      <c r="T2135" s="13" t="s">
        <v>5</v>
      </c>
      <c r="U2135" s="13" t="s">
        <v>43</v>
      </c>
      <c r="V2135" s="13" t="n">
        <f aca="false">IF(COUNTIF($B$2:B2135,B2135)=1,1,0)</f>
        <v>0</v>
      </c>
      <c r="W2135" s="13" t="n">
        <f aca="false">IF(COUNTIFS($B$2:B2135,B2135,$T$2:T2135,T2135)=1,1,0)</f>
        <v>0</v>
      </c>
    </row>
    <row r="2136" customFormat="false" ht="15" hidden="false" customHeight="false" outlineLevel="0" collapsed="false">
      <c r="A2136" s="13" t="s">
        <v>328</v>
      </c>
      <c r="B2136" s="13" t="s">
        <v>42</v>
      </c>
      <c r="C2136" s="13" t="n">
        <v>11500</v>
      </c>
      <c r="D2136" s="13" t="n">
        <v>20</v>
      </c>
      <c r="E2136" s="13" t="n">
        <v>673.634117647059</v>
      </c>
      <c r="F2136" s="13" t="s">
        <v>5325</v>
      </c>
      <c r="G2136" s="13" t="s">
        <v>5289</v>
      </c>
      <c r="H2136" s="13" t="s">
        <v>5292</v>
      </c>
      <c r="I2136" s="13" t="s">
        <v>5289</v>
      </c>
      <c r="J2136" s="13" t="s">
        <v>5289</v>
      </c>
      <c r="K2136" s="13" t="s">
        <v>5292</v>
      </c>
      <c r="L2136" s="13" t="n">
        <v>8411061838778</v>
      </c>
      <c r="M2136" s="13"/>
      <c r="N2136" s="13" t="n">
        <v>8411061838778</v>
      </c>
      <c r="O2136" s="13"/>
      <c r="P2136" s="13" t="s">
        <v>5291</v>
      </c>
      <c r="Q2136" s="13" t="s">
        <v>5289</v>
      </c>
      <c r="R2136" s="13" t="s">
        <v>5292</v>
      </c>
      <c r="S2136" s="13" t="s">
        <v>5293</v>
      </c>
      <c r="T2136" s="13" t="s">
        <v>5</v>
      </c>
      <c r="U2136" s="13" t="s">
        <v>43</v>
      </c>
      <c r="V2136" s="13" t="n">
        <f aca="false">IF(COUNTIF($B$2:B2136,B2136)=1,1,0)</f>
        <v>0</v>
      </c>
      <c r="W2136" s="13" t="n">
        <f aca="false">IF(COUNTIFS($B$2:B2136,B2136,$T$2:T2136,T2136)=1,1,0)</f>
        <v>0</v>
      </c>
    </row>
    <row r="2137" customFormat="false" ht="15" hidden="false" customHeight="false" outlineLevel="0" collapsed="false">
      <c r="A2137" s="13" t="s">
        <v>292</v>
      </c>
      <c r="B2137" s="13" t="s">
        <v>45</v>
      </c>
      <c r="C2137" s="13" t="n">
        <v>11400</v>
      </c>
      <c r="D2137" s="13" t="n">
        <v>20</v>
      </c>
      <c r="E2137" s="13" t="n">
        <v>673</v>
      </c>
      <c r="F2137" s="13" t="s">
        <v>5325</v>
      </c>
      <c r="G2137" s="13" t="s">
        <v>5289</v>
      </c>
      <c r="H2137" s="13" t="s">
        <v>5289</v>
      </c>
      <c r="I2137" s="13" t="s">
        <v>5289</v>
      </c>
      <c r="J2137" s="13" t="s">
        <v>5289</v>
      </c>
      <c r="K2137" s="13" t="s">
        <v>5289</v>
      </c>
      <c r="L2137" s="13" t="n">
        <v>8435415080422</v>
      </c>
      <c r="M2137" s="13"/>
      <c r="N2137" s="13" t="n">
        <v>8435415080422</v>
      </c>
      <c r="O2137" s="13"/>
      <c r="P2137" s="13" t="s">
        <v>5291</v>
      </c>
      <c r="Q2137" s="13" t="s">
        <v>5289</v>
      </c>
      <c r="R2137" s="13" t="s">
        <v>5292</v>
      </c>
      <c r="S2137" s="13" t="s">
        <v>5293</v>
      </c>
      <c r="T2137" s="13" t="s">
        <v>5</v>
      </c>
      <c r="U2137" s="13" t="s">
        <v>43</v>
      </c>
      <c r="V2137" s="13" t="n">
        <f aca="false">IF(COUNTIF($B$2:B2137,B2137)=1,1,0)</f>
        <v>0</v>
      </c>
      <c r="W2137" s="13" t="n">
        <f aca="false">IF(COUNTIFS($B$2:B2137,B2137,$T$2:T2137,T2137)=1,1,0)</f>
        <v>0</v>
      </c>
    </row>
    <row r="2138" customFormat="false" ht="15" hidden="false" customHeight="false" outlineLevel="0" collapsed="false">
      <c r="A2138" s="13" t="s">
        <v>339</v>
      </c>
      <c r="B2138" s="13" t="s">
        <v>79</v>
      </c>
      <c r="C2138" s="13" t="n">
        <v>11300</v>
      </c>
      <c r="D2138" s="13" t="n">
        <v>30</v>
      </c>
      <c r="E2138" s="13" t="n">
        <v>364.322580645161</v>
      </c>
      <c r="F2138" s="13" t="s">
        <v>5288</v>
      </c>
      <c r="G2138" s="13" t="s">
        <v>5289</v>
      </c>
      <c r="H2138" s="13" t="s">
        <v>5289</v>
      </c>
      <c r="I2138" s="13" t="s">
        <v>5289</v>
      </c>
      <c r="J2138" s="13" t="s">
        <v>5289</v>
      </c>
      <c r="K2138" s="13" t="s">
        <v>5289</v>
      </c>
      <c r="L2138" s="13" t="n">
        <v>8056669925767</v>
      </c>
      <c r="M2138" s="13"/>
      <c r="N2138" s="13" t="n">
        <v>8056669925767</v>
      </c>
      <c r="O2138" s="13"/>
      <c r="P2138" s="13" t="s">
        <v>5297</v>
      </c>
      <c r="Q2138" s="13" t="s">
        <v>5289</v>
      </c>
      <c r="R2138" s="13" t="s">
        <v>5292</v>
      </c>
      <c r="S2138" s="13" t="s">
        <v>5293</v>
      </c>
      <c r="T2138" s="13" t="s">
        <v>5</v>
      </c>
      <c r="U2138" s="13" t="s">
        <v>43</v>
      </c>
      <c r="V2138" s="13" t="n">
        <f aca="false">IF(COUNTIF($B$2:B2138,B2138)=1,1,0)</f>
        <v>0</v>
      </c>
      <c r="W2138" s="13" t="n">
        <f aca="false">IF(COUNTIFS($B$2:B2138,B2138,$T$2:T2138,T2138)=1,1,0)</f>
        <v>0</v>
      </c>
    </row>
    <row r="2139" customFormat="false" ht="15" hidden="false" customHeight="false" outlineLevel="0" collapsed="false">
      <c r="A2139" s="13" t="s">
        <v>343</v>
      </c>
      <c r="B2139" s="13" t="s">
        <v>79</v>
      </c>
      <c r="C2139" s="13" t="n">
        <v>11200</v>
      </c>
      <c r="D2139" s="13" t="n">
        <v>30</v>
      </c>
      <c r="E2139" s="13" t="n">
        <v>429.72</v>
      </c>
      <c r="F2139" s="13" t="s">
        <v>5325</v>
      </c>
      <c r="G2139" s="13" t="s">
        <v>5289</v>
      </c>
      <c r="H2139" s="13" t="s">
        <v>5289</v>
      </c>
      <c r="I2139" s="13" t="s">
        <v>5289</v>
      </c>
      <c r="J2139" s="13" t="s">
        <v>5289</v>
      </c>
      <c r="K2139" s="13" t="s">
        <v>5289</v>
      </c>
      <c r="L2139" s="13" t="n">
        <v>8056669925774</v>
      </c>
      <c r="M2139" s="13"/>
      <c r="N2139" s="13" t="n">
        <v>8056669925774</v>
      </c>
      <c r="O2139" s="13"/>
      <c r="P2139" s="13" t="s">
        <v>5291</v>
      </c>
      <c r="Q2139" s="13" t="s">
        <v>5289</v>
      </c>
      <c r="R2139" s="13" t="s">
        <v>5292</v>
      </c>
      <c r="S2139" s="13" t="s">
        <v>5293</v>
      </c>
      <c r="T2139" s="13" t="s">
        <v>5</v>
      </c>
      <c r="U2139" s="13" t="s">
        <v>43</v>
      </c>
      <c r="V2139" s="13" t="n">
        <f aca="false">IF(COUNTIF($B$2:B2139,B2139)=1,1,0)</f>
        <v>0</v>
      </c>
      <c r="W2139" s="13" t="n">
        <f aca="false">IF(COUNTIFS($B$2:B2139,B2139,$T$2:T2139,T2139)=1,1,0)</f>
        <v>0</v>
      </c>
    </row>
    <row r="2140" customFormat="false" ht="15" hidden="false" customHeight="false" outlineLevel="0" collapsed="false">
      <c r="A2140" s="13" t="s">
        <v>344</v>
      </c>
      <c r="B2140" s="13" t="s">
        <v>61</v>
      </c>
      <c r="C2140" s="13" t="n">
        <v>11100</v>
      </c>
      <c r="D2140" s="13" t="n">
        <v>5</v>
      </c>
      <c r="E2140" s="13" t="n">
        <v>1112.961</v>
      </c>
      <c r="F2140" s="13" t="s">
        <v>5325</v>
      </c>
      <c r="G2140" s="13" t="s">
        <v>5289</v>
      </c>
      <c r="H2140" s="13" t="s">
        <v>5292</v>
      </c>
      <c r="I2140" s="13" t="s">
        <v>5289</v>
      </c>
      <c r="J2140" s="13" t="s">
        <v>5289</v>
      </c>
      <c r="K2140" s="13" t="s">
        <v>5289</v>
      </c>
      <c r="L2140" s="13" t="n">
        <v>3614270264900</v>
      </c>
      <c r="M2140" s="13"/>
      <c r="N2140" s="13" t="n">
        <v>3614270264900</v>
      </c>
      <c r="O2140" s="13"/>
      <c r="P2140" s="13" t="s">
        <v>5291</v>
      </c>
      <c r="Q2140" s="13" t="s">
        <v>5289</v>
      </c>
      <c r="R2140" s="13" t="s">
        <v>5292</v>
      </c>
      <c r="S2140" s="13" t="s">
        <v>5293</v>
      </c>
      <c r="T2140" s="13" t="s">
        <v>5</v>
      </c>
      <c r="U2140" s="13" t="s">
        <v>183</v>
      </c>
      <c r="V2140" s="13" t="n">
        <f aca="false">IF(COUNTIF($B$2:B2140,B2140)=1,1,0)</f>
        <v>0</v>
      </c>
      <c r="W2140" s="13" t="n">
        <f aca="false">IF(COUNTIFS($B$2:B2140,B2140,$T$2:T2140,T2140)=1,1,0)</f>
        <v>0</v>
      </c>
    </row>
    <row r="2141" customFormat="false" ht="15" hidden="false" customHeight="false" outlineLevel="0" collapsed="false">
      <c r="A2141" s="13" t="s">
        <v>346</v>
      </c>
      <c r="B2141" s="13" t="s">
        <v>124</v>
      </c>
      <c r="C2141" s="13" t="n">
        <v>11100</v>
      </c>
      <c r="D2141" s="13" t="n">
        <v>20</v>
      </c>
      <c r="E2141" s="13" t="n">
        <v>739.324</v>
      </c>
      <c r="F2141" s="13" t="s">
        <v>5325</v>
      </c>
      <c r="G2141" s="13" t="s">
        <v>5289</v>
      </c>
      <c r="H2141" s="13" t="s">
        <v>5289</v>
      </c>
      <c r="I2141" s="13" t="s">
        <v>5289</v>
      </c>
      <c r="J2141" s="13" t="s">
        <v>5289</v>
      </c>
      <c r="K2141" s="13" t="s">
        <v>5289</v>
      </c>
      <c r="L2141" s="13" t="n">
        <v>3614273953849</v>
      </c>
      <c r="M2141" s="13"/>
      <c r="N2141" s="13" t="n">
        <v>3614273953849</v>
      </c>
      <c r="O2141" s="13"/>
      <c r="P2141" s="13" t="s">
        <v>5291</v>
      </c>
      <c r="Q2141" s="13" t="s">
        <v>5289</v>
      </c>
      <c r="R2141" s="13" t="s">
        <v>5292</v>
      </c>
      <c r="S2141" s="13" t="s">
        <v>5293</v>
      </c>
      <c r="T2141" s="13" t="s">
        <v>5</v>
      </c>
      <c r="U2141" s="13" t="s">
        <v>43</v>
      </c>
      <c r="V2141" s="13" t="n">
        <f aca="false">IF(COUNTIF($B$2:B2141,B2141)=1,1,0)</f>
        <v>0</v>
      </c>
      <c r="W2141" s="13" t="n">
        <f aca="false">IF(COUNTIFS($B$2:B2141,B2141,$T$2:T2141,T2141)=1,1,0)</f>
        <v>0</v>
      </c>
    </row>
    <row r="2142" customFormat="false" ht="15" hidden="false" customHeight="false" outlineLevel="0" collapsed="false">
      <c r="A2142" s="13" t="s">
        <v>347</v>
      </c>
      <c r="B2142" s="13" t="s">
        <v>69</v>
      </c>
      <c r="C2142" s="13" t="n">
        <v>11000</v>
      </c>
      <c r="D2142" s="13" t="n">
        <v>10</v>
      </c>
      <c r="E2142" s="13" t="n">
        <v>847.485384615385</v>
      </c>
      <c r="F2142" s="13" t="s">
        <v>5325</v>
      </c>
      <c r="G2142" s="13" t="s">
        <v>5289</v>
      </c>
      <c r="H2142" s="13" t="s">
        <v>5292</v>
      </c>
      <c r="I2142" s="13" t="s">
        <v>5289</v>
      </c>
      <c r="J2142" s="13" t="s">
        <v>5289</v>
      </c>
      <c r="K2142" s="13" t="s">
        <v>5289</v>
      </c>
      <c r="L2142" s="13" t="n">
        <v>3614272648425</v>
      </c>
      <c r="M2142" s="13"/>
      <c r="N2142" s="13" t="n">
        <v>3614272648425</v>
      </c>
      <c r="O2142" s="13"/>
      <c r="P2142" s="13" t="s">
        <v>5291</v>
      </c>
      <c r="Q2142" s="13" t="s">
        <v>5289</v>
      </c>
      <c r="R2142" s="13" t="s">
        <v>5292</v>
      </c>
      <c r="S2142" s="13" t="s">
        <v>5293</v>
      </c>
      <c r="T2142" s="13" t="s">
        <v>5</v>
      </c>
      <c r="U2142" s="13" t="s">
        <v>43</v>
      </c>
      <c r="V2142" s="13" t="n">
        <f aca="false">IF(COUNTIF($B$2:B2142,B2142)=1,1,0)</f>
        <v>0</v>
      </c>
      <c r="W2142" s="13" t="n">
        <f aca="false">IF(COUNTIFS($B$2:B2142,B2142,$T$2:T2142,T2142)=1,1,0)</f>
        <v>0</v>
      </c>
    </row>
    <row r="2143" customFormat="false" ht="15" hidden="false" customHeight="false" outlineLevel="0" collapsed="false">
      <c r="A2143" s="13" t="s">
        <v>348</v>
      </c>
      <c r="B2143" s="13" t="s">
        <v>42</v>
      </c>
      <c r="C2143" s="13" t="n">
        <v>11000</v>
      </c>
      <c r="D2143" s="13" t="n">
        <v>50</v>
      </c>
      <c r="E2143" s="13" t="n">
        <v>207.62679245283</v>
      </c>
      <c r="F2143" s="13" t="s">
        <v>5288</v>
      </c>
      <c r="G2143" s="13" t="s">
        <v>5289</v>
      </c>
      <c r="H2143" s="13" t="s">
        <v>5289</v>
      </c>
      <c r="I2143" s="13" t="s">
        <v>5289</v>
      </c>
      <c r="J2143" s="13" t="s">
        <v>5289</v>
      </c>
      <c r="K2143" s="13" t="s">
        <v>5289</v>
      </c>
      <c r="L2143" s="13" t="n">
        <v>8411061043820</v>
      </c>
      <c r="M2143" s="13"/>
      <c r="N2143" s="13" t="n">
        <v>8.41106198349284E+038</v>
      </c>
      <c r="O2143" s="13"/>
      <c r="P2143" s="13" t="s">
        <v>5291</v>
      </c>
      <c r="Q2143" s="13" t="s">
        <v>5289</v>
      </c>
      <c r="R2143" s="13" t="s">
        <v>5292</v>
      </c>
      <c r="S2143" s="13" t="s">
        <v>5293</v>
      </c>
      <c r="T2143" s="13" t="s">
        <v>5</v>
      </c>
      <c r="U2143" s="13" t="s">
        <v>43</v>
      </c>
      <c r="V2143" s="13" t="n">
        <f aca="false">IF(COUNTIF($B$2:B2143,B2143)=1,1,0)</f>
        <v>0</v>
      </c>
      <c r="W2143" s="13" t="n">
        <f aca="false">IF(COUNTIFS($B$2:B2143,B2143,$T$2:T2143,T2143)=1,1,0)</f>
        <v>0</v>
      </c>
    </row>
    <row r="2144" customFormat="false" ht="15" hidden="false" customHeight="false" outlineLevel="0" collapsed="false">
      <c r="A2144" s="13" t="s">
        <v>351</v>
      </c>
      <c r="B2144" s="13" t="s">
        <v>42</v>
      </c>
      <c r="C2144" s="13" t="n">
        <v>10700</v>
      </c>
      <c r="D2144" s="13" t="n">
        <v>30</v>
      </c>
      <c r="E2144" s="13" t="n">
        <v>323.636363636364</v>
      </c>
      <c r="F2144" s="13" t="s">
        <v>5325</v>
      </c>
      <c r="G2144" s="13" t="s">
        <v>5289</v>
      </c>
      <c r="H2144" s="13" t="s">
        <v>5289</v>
      </c>
      <c r="I2144" s="13" t="s">
        <v>5289</v>
      </c>
      <c r="J2144" s="13" t="s">
        <v>5289</v>
      </c>
      <c r="K2144" s="13" t="s">
        <v>5289</v>
      </c>
      <c r="L2144" s="13" t="n">
        <v>8411061906651</v>
      </c>
      <c r="M2144" s="13"/>
      <c r="N2144" s="13" t="n">
        <v>8411061906651</v>
      </c>
      <c r="O2144" s="13"/>
      <c r="P2144" s="13" t="s">
        <v>5291</v>
      </c>
      <c r="Q2144" s="13" t="s">
        <v>5289</v>
      </c>
      <c r="R2144" s="13" t="s">
        <v>5292</v>
      </c>
      <c r="S2144" s="13" t="s">
        <v>5293</v>
      </c>
      <c r="T2144" s="13" t="s">
        <v>5</v>
      </c>
      <c r="U2144" s="13" t="s">
        <v>43</v>
      </c>
      <c r="V2144" s="13" t="n">
        <f aca="false">IF(COUNTIF($B$2:B2144,B2144)=1,1,0)</f>
        <v>0</v>
      </c>
      <c r="W2144" s="13" t="n">
        <f aca="false">IF(COUNTIFS($B$2:B2144,B2144,$T$2:T2144,T2144)=1,1,0)</f>
        <v>0</v>
      </c>
    </row>
    <row r="2145" customFormat="false" ht="15" hidden="false" customHeight="false" outlineLevel="0" collapsed="false">
      <c r="A2145" s="13" t="s">
        <v>353</v>
      </c>
      <c r="B2145" s="13" t="s">
        <v>42</v>
      </c>
      <c r="C2145" s="13" t="n">
        <v>10500</v>
      </c>
      <c r="D2145" s="13" t="n">
        <v>10</v>
      </c>
      <c r="E2145" s="13" t="n">
        <v>810.669230769231</v>
      </c>
      <c r="F2145" s="13" t="s">
        <v>5325</v>
      </c>
      <c r="G2145" s="13" t="s">
        <v>5289</v>
      </c>
      <c r="H2145" s="13" t="s">
        <v>5289</v>
      </c>
      <c r="I2145" s="13" t="s">
        <v>5289</v>
      </c>
      <c r="J2145" s="13" t="s">
        <v>5289</v>
      </c>
      <c r="K2145" s="13" t="s">
        <v>5289</v>
      </c>
      <c r="L2145" s="13" t="n">
        <v>8411061056752</v>
      </c>
      <c r="M2145" s="13"/>
      <c r="N2145" s="13" t="n">
        <v>8411061056752</v>
      </c>
      <c r="O2145" s="13"/>
      <c r="P2145" s="13" t="s">
        <v>5291</v>
      </c>
      <c r="Q2145" s="13" t="s">
        <v>5289</v>
      </c>
      <c r="R2145" s="13" t="s">
        <v>5292</v>
      </c>
      <c r="S2145" s="13" t="s">
        <v>5293</v>
      </c>
      <c r="T2145" s="13" t="s">
        <v>5</v>
      </c>
      <c r="U2145" s="13" t="s">
        <v>43</v>
      </c>
      <c r="V2145" s="13" t="n">
        <f aca="false">IF(COUNTIF($B$2:B2145,B2145)=1,1,0)</f>
        <v>0</v>
      </c>
      <c r="W2145" s="13" t="n">
        <f aca="false">IF(COUNTIFS($B$2:B2145,B2145,$T$2:T2145,T2145)=1,1,0)</f>
        <v>0</v>
      </c>
    </row>
    <row r="2146" customFormat="false" ht="15" hidden="false" customHeight="false" outlineLevel="0" collapsed="false">
      <c r="A2146" s="13" t="s">
        <v>357</v>
      </c>
      <c r="B2146" s="13" t="s">
        <v>72</v>
      </c>
      <c r="C2146" s="13" t="n">
        <v>10400</v>
      </c>
      <c r="D2146" s="13" t="n">
        <v>10</v>
      </c>
      <c r="E2146" s="13" t="n">
        <v>744.878571428571</v>
      </c>
      <c r="F2146" s="13" t="s">
        <v>5325</v>
      </c>
      <c r="G2146" s="13" t="s">
        <v>5289</v>
      </c>
      <c r="H2146" s="13" t="s">
        <v>5289</v>
      </c>
      <c r="I2146" s="13" t="s">
        <v>5289</v>
      </c>
      <c r="J2146" s="13" t="s">
        <v>5289</v>
      </c>
      <c r="K2146" s="13" t="s">
        <v>5289</v>
      </c>
      <c r="L2146" s="13" t="n">
        <v>3614274000566</v>
      </c>
      <c r="M2146" s="13"/>
      <c r="N2146" s="13" t="n">
        <v>3614274000566</v>
      </c>
      <c r="O2146" s="13"/>
      <c r="P2146" s="13" t="s">
        <v>5291</v>
      </c>
      <c r="Q2146" s="13" t="s">
        <v>5289</v>
      </c>
      <c r="R2146" s="13" t="s">
        <v>5292</v>
      </c>
      <c r="S2146" s="13" t="s">
        <v>5293</v>
      </c>
      <c r="T2146" s="13" t="s">
        <v>5</v>
      </c>
      <c r="U2146" s="13" t="s">
        <v>43</v>
      </c>
      <c r="V2146" s="13" t="n">
        <f aca="false">IF(COUNTIF($B$2:B2146,B2146)=1,1,0)</f>
        <v>0</v>
      </c>
      <c r="W2146" s="13" t="n">
        <f aca="false">IF(COUNTIFS($B$2:B2146,B2146,$T$2:T2146,T2146)=1,1,0)</f>
        <v>0</v>
      </c>
    </row>
    <row r="2147" customFormat="false" ht="15" hidden="false" customHeight="false" outlineLevel="0" collapsed="false">
      <c r="A2147" s="13" t="s">
        <v>245</v>
      </c>
      <c r="B2147" s="13" t="s">
        <v>61</v>
      </c>
      <c r="C2147" s="13" t="n">
        <v>10400</v>
      </c>
      <c r="D2147" s="13" t="n">
        <v>40</v>
      </c>
      <c r="E2147" s="13" t="n">
        <v>297</v>
      </c>
      <c r="F2147" s="13" t="s">
        <v>5288</v>
      </c>
      <c r="G2147" s="13" t="s">
        <v>5292</v>
      </c>
      <c r="H2147" s="13" t="s">
        <v>5289</v>
      </c>
      <c r="I2147" s="13" t="s">
        <v>5289</v>
      </c>
      <c r="J2147" s="13" t="s">
        <v>5289</v>
      </c>
      <c r="K2147" s="13" t="s">
        <v>5289</v>
      </c>
      <c r="L2147" s="13" t="n">
        <v>3614272639638</v>
      </c>
      <c r="M2147" s="13"/>
      <c r="N2147" s="13" t="n">
        <v>3614272639638</v>
      </c>
      <c r="O2147" s="13"/>
      <c r="P2147" s="13" t="s">
        <v>5297</v>
      </c>
      <c r="Q2147" s="13" t="s">
        <v>5289</v>
      </c>
      <c r="R2147" s="13" t="s">
        <v>5292</v>
      </c>
      <c r="S2147" s="13" t="s">
        <v>5293</v>
      </c>
      <c r="T2147" s="13" t="s">
        <v>5</v>
      </c>
      <c r="U2147" s="13" t="s">
        <v>43</v>
      </c>
      <c r="V2147" s="13" t="n">
        <f aca="false">IF(COUNTIF($B$2:B2147,B2147)=1,1,0)</f>
        <v>0</v>
      </c>
      <c r="W2147" s="13" t="n">
        <f aca="false">IF(COUNTIFS($B$2:B2147,B2147,$T$2:T2147,T2147)=1,1,0)</f>
        <v>0</v>
      </c>
    </row>
    <row r="2148" customFormat="false" ht="15" hidden="false" customHeight="false" outlineLevel="0" collapsed="false">
      <c r="A2148" s="13" t="s">
        <v>356</v>
      </c>
      <c r="B2148" s="13" t="s">
        <v>42</v>
      </c>
      <c r="C2148" s="13" t="n">
        <v>10400</v>
      </c>
      <c r="D2148" s="13" t="n">
        <v>20</v>
      </c>
      <c r="E2148" s="13" t="n">
        <v>648.1425</v>
      </c>
      <c r="F2148" s="13" t="s">
        <v>5325</v>
      </c>
      <c r="G2148" s="13" t="s">
        <v>5289</v>
      </c>
      <c r="H2148" s="13" t="s">
        <v>5289</v>
      </c>
      <c r="I2148" s="13" t="s">
        <v>5289</v>
      </c>
      <c r="J2148" s="13" t="s">
        <v>5289</v>
      </c>
      <c r="K2148" s="13" t="s">
        <v>5289</v>
      </c>
      <c r="L2148" s="13" t="n">
        <v>8411061026250</v>
      </c>
      <c r="M2148" s="13"/>
      <c r="N2148" s="13" t="n">
        <v>8.41106181983884E+025</v>
      </c>
      <c r="O2148" s="13"/>
      <c r="P2148" s="13" t="s">
        <v>5291</v>
      </c>
      <c r="Q2148" s="13" t="s">
        <v>5289</v>
      </c>
      <c r="R2148" s="13" t="s">
        <v>5292</v>
      </c>
      <c r="S2148" s="13" t="s">
        <v>5293</v>
      </c>
      <c r="T2148" s="13" t="s">
        <v>5</v>
      </c>
      <c r="U2148" s="13" t="s">
        <v>43</v>
      </c>
      <c r="V2148" s="13" t="n">
        <f aca="false">IF(COUNTIF($B$2:B2148,B2148)=1,1,0)</f>
        <v>0</v>
      </c>
      <c r="W2148" s="13" t="n">
        <f aca="false">IF(COUNTIFS($B$2:B2148,B2148,$T$2:T2148,T2148)=1,1,0)</f>
        <v>0</v>
      </c>
    </row>
    <row r="2149" customFormat="false" ht="15" hidden="false" customHeight="false" outlineLevel="0" collapsed="false">
      <c r="A2149" s="13" t="s">
        <v>360</v>
      </c>
      <c r="B2149" s="13" t="s">
        <v>195</v>
      </c>
      <c r="C2149" s="13" t="n">
        <v>10200</v>
      </c>
      <c r="D2149" s="13" t="n">
        <v>30</v>
      </c>
      <c r="E2149" s="13" t="n">
        <v>365.357142857143</v>
      </c>
      <c r="F2149" s="13" t="s">
        <v>5325</v>
      </c>
      <c r="G2149" s="13" t="s">
        <v>5289</v>
      </c>
      <c r="H2149" s="13" t="s">
        <v>5289</v>
      </c>
      <c r="I2149" s="13" t="s">
        <v>5289</v>
      </c>
      <c r="J2149" s="13" t="s">
        <v>5289</v>
      </c>
      <c r="K2149" s="13" t="s">
        <v>5289</v>
      </c>
      <c r="L2149" s="13" t="n">
        <v>3616302020645</v>
      </c>
      <c r="M2149" s="13"/>
      <c r="N2149" s="13" t="n">
        <v>3616302020645</v>
      </c>
      <c r="O2149" s="13"/>
      <c r="P2149" s="13" t="s">
        <v>5291</v>
      </c>
      <c r="Q2149" s="13" t="s">
        <v>5289</v>
      </c>
      <c r="R2149" s="13" t="s">
        <v>5292</v>
      </c>
      <c r="S2149" s="13" t="s">
        <v>5293</v>
      </c>
      <c r="T2149" s="13" t="s">
        <v>5</v>
      </c>
      <c r="U2149" s="13" t="s">
        <v>43</v>
      </c>
      <c r="V2149" s="13" t="n">
        <f aca="false">IF(COUNTIF($B$2:B2149,B2149)=1,1,0)</f>
        <v>0</v>
      </c>
      <c r="W2149" s="13" t="n">
        <f aca="false">IF(COUNTIFS($B$2:B2149,B2149,$T$2:T2149,T2149)=1,1,0)</f>
        <v>0</v>
      </c>
    </row>
    <row r="2150" customFormat="false" ht="15" hidden="false" customHeight="false" outlineLevel="0" collapsed="false">
      <c r="A2150" s="13" t="s">
        <v>367</v>
      </c>
      <c r="B2150" s="13" t="s">
        <v>42</v>
      </c>
      <c r="C2150" s="13" t="n">
        <v>10000</v>
      </c>
      <c r="D2150" s="13" t="n">
        <v>20</v>
      </c>
      <c r="E2150" s="13" t="n">
        <v>628.095</v>
      </c>
      <c r="F2150" s="13" t="s">
        <v>5325</v>
      </c>
      <c r="G2150" s="13" t="s">
        <v>5289</v>
      </c>
      <c r="H2150" s="13" t="s">
        <v>5289</v>
      </c>
      <c r="I2150" s="13" t="s">
        <v>5289</v>
      </c>
      <c r="J2150" s="13" t="s">
        <v>5289</v>
      </c>
      <c r="K2150" s="13" t="s">
        <v>5289</v>
      </c>
      <c r="L2150" s="13" t="n">
        <v>8411061777183</v>
      </c>
      <c r="M2150" s="13"/>
      <c r="N2150" s="13" t="n">
        <v>8411061777183</v>
      </c>
      <c r="O2150" s="13"/>
      <c r="P2150" s="13" t="s">
        <v>5291</v>
      </c>
      <c r="Q2150" s="13" t="s">
        <v>5289</v>
      </c>
      <c r="R2150" s="13" t="s">
        <v>5292</v>
      </c>
      <c r="S2150" s="13" t="s">
        <v>5293</v>
      </c>
      <c r="T2150" s="13" t="s">
        <v>5</v>
      </c>
      <c r="U2150" s="13" t="s">
        <v>43</v>
      </c>
      <c r="V2150" s="13" t="n">
        <f aca="false">IF(COUNTIF($B$2:B2150,B2150)=1,1,0)</f>
        <v>0</v>
      </c>
      <c r="W2150" s="13" t="n">
        <f aca="false">IF(COUNTIFS($B$2:B2150,B2150,$T$2:T2150,T2150)=1,1,0)</f>
        <v>0</v>
      </c>
    </row>
    <row r="2151" customFormat="false" ht="15" hidden="false" customHeight="false" outlineLevel="0" collapsed="false">
      <c r="A2151" s="13" t="s">
        <v>351</v>
      </c>
      <c r="B2151" s="13" t="s">
        <v>42</v>
      </c>
      <c r="C2151" s="13" t="n">
        <v>10000</v>
      </c>
      <c r="D2151" s="13" t="n">
        <v>10</v>
      </c>
      <c r="E2151" s="13" t="n">
        <v>712.039285714286</v>
      </c>
      <c r="F2151" s="13" t="s">
        <v>5325</v>
      </c>
      <c r="G2151" s="13" t="s">
        <v>5289</v>
      </c>
      <c r="H2151" s="13" t="s">
        <v>5289</v>
      </c>
      <c r="I2151" s="13" t="s">
        <v>5289</v>
      </c>
      <c r="J2151" s="13" t="s">
        <v>5289</v>
      </c>
      <c r="K2151" s="13" t="s">
        <v>5289</v>
      </c>
      <c r="L2151" s="13" t="n">
        <v>8411061865408</v>
      </c>
      <c r="M2151" s="13"/>
      <c r="N2151" s="13" t="n">
        <v>8.41106186540884E+025</v>
      </c>
      <c r="O2151" s="13"/>
      <c r="P2151" s="13" t="s">
        <v>5291</v>
      </c>
      <c r="Q2151" s="13" t="s">
        <v>5289</v>
      </c>
      <c r="R2151" s="13" t="s">
        <v>5292</v>
      </c>
      <c r="S2151" s="13" t="s">
        <v>5293</v>
      </c>
      <c r="T2151" s="13" t="s">
        <v>5</v>
      </c>
      <c r="U2151" s="13" t="s">
        <v>43</v>
      </c>
      <c r="V2151" s="13" t="n">
        <f aca="false">IF(COUNTIF($B$2:B2151,B2151)=1,1,0)</f>
        <v>0</v>
      </c>
      <c r="W2151" s="13" t="n">
        <f aca="false">IF(COUNTIFS($B$2:B2151,B2151,$T$2:T2151,T2151)=1,1,0)</f>
        <v>0</v>
      </c>
    </row>
    <row r="2152" customFormat="false" ht="15" hidden="false" customHeight="false" outlineLevel="0" collapsed="false">
      <c r="A2152" s="13" t="s">
        <v>368</v>
      </c>
      <c r="B2152" s="13" t="s">
        <v>45</v>
      </c>
      <c r="C2152" s="13" t="n">
        <v>9900</v>
      </c>
      <c r="D2152" s="13" t="n">
        <v>10</v>
      </c>
      <c r="E2152" s="13" t="n">
        <v>707.761428571429</v>
      </c>
      <c r="F2152" s="13" t="s">
        <v>5325</v>
      </c>
      <c r="G2152" s="13" t="s">
        <v>5289</v>
      </c>
      <c r="H2152" s="13" t="s">
        <v>5292</v>
      </c>
      <c r="I2152" s="13" t="s">
        <v>5289</v>
      </c>
      <c r="J2152" s="13" t="s">
        <v>5289</v>
      </c>
      <c r="K2152" s="13" t="s">
        <v>5289</v>
      </c>
      <c r="L2152" s="13" t="n">
        <v>8435415076838</v>
      </c>
      <c r="M2152" s="13"/>
      <c r="N2152" s="13" t="n">
        <v>8435415076838</v>
      </c>
      <c r="O2152" s="13"/>
      <c r="P2152" s="13" t="s">
        <v>5291</v>
      </c>
      <c r="Q2152" s="13" t="s">
        <v>5289</v>
      </c>
      <c r="R2152" s="13" t="s">
        <v>5292</v>
      </c>
      <c r="S2152" s="13" t="s">
        <v>5293</v>
      </c>
      <c r="T2152" s="13" t="s">
        <v>5</v>
      </c>
      <c r="U2152" s="13" t="s">
        <v>43</v>
      </c>
      <c r="V2152" s="13" t="n">
        <f aca="false">IF(COUNTIF($B$2:B2152,B2152)=1,1,0)</f>
        <v>0</v>
      </c>
      <c r="W2152" s="13" t="n">
        <f aca="false">IF(COUNTIFS($B$2:B2152,B2152,$T$2:T2152,T2152)=1,1,0)</f>
        <v>0</v>
      </c>
    </row>
    <row r="2153" customFormat="false" ht="15" hidden="false" customHeight="false" outlineLevel="0" collapsed="false">
      <c r="A2153" s="13" t="s">
        <v>242</v>
      </c>
      <c r="B2153" s="13" t="s">
        <v>42</v>
      </c>
      <c r="C2153" s="13" t="n">
        <v>9900</v>
      </c>
      <c r="D2153" s="13" t="n">
        <v>20</v>
      </c>
      <c r="E2153" s="13" t="n">
        <v>658.398</v>
      </c>
      <c r="F2153" s="13" t="s">
        <v>5325</v>
      </c>
      <c r="G2153" s="13" t="s">
        <v>5289</v>
      </c>
      <c r="H2153" s="13" t="s">
        <v>5289</v>
      </c>
      <c r="I2153" s="13" t="s">
        <v>5289</v>
      </c>
      <c r="J2153" s="13" t="s">
        <v>5289</v>
      </c>
      <c r="K2153" s="13" t="s">
        <v>5289</v>
      </c>
      <c r="L2153" s="13"/>
      <c r="M2153" s="13"/>
      <c r="N2153" s="13" t="n">
        <v>8411061067895</v>
      </c>
      <c r="O2153" s="13"/>
      <c r="P2153" s="13" t="s">
        <v>5291</v>
      </c>
      <c r="Q2153" s="13" t="s">
        <v>5289</v>
      </c>
      <c r="R2153" s="13" t="s">
        <v>5292</v>
      </c>
      <c r="S2153" s="13" t="s">
        <v>5293</v>
      </c>
      <c r="T2153" s="13" t="s">
        <v>5</v>
      </c>
      <c r="U2153" s="13" t="s">
        <v>43</v>
      </c>
      <c r="V2153" s="13" t="n">
        <f aca="false">IF(COUNTIF($B$2:B2153,B2153)=1,1,0)</f>
        <v>0</v>
      </c>
      <c r="W2153" s="13" t="n">
        <f aca="false">IF(COUNTIFS($B$2:B2153,B2153,$T$2:T2153,T2153)=1,1,0)</f>
        <v>0</v>
      </c>
    </row>
    <row r="2154" customFormat="false" ht="15" hidden="false" customHeight="false" outlineLevel="0" collapsed="false">
      <c r="A2154" s="13" t="s">
        <v>110</v>
      </c>
      <c r="B2154" s="13" t="s">
        <v>50</v>
      </c>
      <c r="C2154" s="13" t="n">
        <v>9900</v>
      </c>
      <c r="D2154" s="13" t="n">
        <v>10</v>
      </c>
      <c r="E2154" s="13" t="n">
        <v>703.599285714286</v>
      </c>
      <c r="F2154" s="13" t="s">
        <v>5288</v>
      </c>
      <c r="G2154" s="13" t="s">
        <v>5289</v>
      </c>
      <c r="H2154" s="13" t="s">
        <v>5289</v>
      </c>
      <c r="I2154" s="13" t="s">
        <v>5289</v>
      </c>
      <c r="J2154" s="13" t="s">
        <v>5289</v>
      </c>
      <c r="K2154" s="13" t="s">
        <v>5289</v>
      </c>
      <c r="L2154" s="13"/>
      <c r="M2154" s="13"/>
      <c r="N2154" s="13" t="n">
        <v>3349668644933</v>
      </c>
      <c r="O2154" s="13"/>
      <c r="P2154" s="13" t="s">
        <v>5291</v>
      </c>
      <c r="Q2154" s="13" t="s">
        <v>5289</v>
      </c>
      <c r="R2154" s="13" t="s">
        <v>5292</v>
      </c>
      <c r="S2154" s="13" t="s">
        <v>5293</v>
      </c>
      <c r="T2154" s="13" t="s">
        <v>5</v>
      </c>
      <c r="U2154" s="13" t="s">
        <v>43</v>
      </c>
      <c r="V2154" s="13" t="n">
        <f aca="false">IF(COUNTIF($B$2:B2154,B2154)=1,1,0)</f>
        <v>0</v>
      </c>
      <c r="W2154" s="13" t="n">
        <f aca="false">IF(COUNTIFS($B$2:B2154,B2154,$T$2:T2154,T2154)=1,1,0)</f>
        <v>0</v>
      </c>
    </row>
    <row r="2155" customFormat="false" ht="15" hidden="false" customHeight="false" outlineLevel="0" collapsed="false">
      <c r="A2155" s="13" t="s">
        <v>370</v>
      </c>
      <c r="B2155" s="13" t="s">
        <v>124</v>
      </c>
      <c r="C2155" s="13" t="n">
        <v>9800</v>
      </c>
      <c r="D2155" s="13" t="n">
        <v>20</v>
      </c>
      <c r="E2155" s="13" t="n">
        <v>576.105294117647</v>
      </c>
      <c r="F2155" s="13" t="s">
        <v>5325</v>
      </c>
      <c r="G2155" s="13" t="s">
        <v>5289</v>
      </c>
      <c r="H2155" s="13" t="s">
        <v>5289</v>
      </c>
      <c r="I2155" s="13" t="s">
        <v>5289</v>
      </c>
      <c r="J2155" s="13" t="s">
        <v>5289</v>
      </c>
      <c r="K2155" s="13" t="s">
        <v>5289</v>
      </c>
      <c r="L2155" s="13" t="n">
        <v>4144628397</v>
      </c>
      <c r="M2155" s="13"/>
      <c r="N2155" s="13" t="n">
        <v>3614274361322</v>
      </c>
      <c r="O2155" s="13"/>
      <c r="P2155" s="13" t="s">
        <v>5291</v>
      </c>
      <c r="Q2155" s="13" t="s">
        <v>5289</v>
      </c>
      <c r="R2155" s="13" t="s">
        <v>5292</v>
      </c>
      <c r="S2155" s="13" t="s">
        <v>5293</v>
      </c>
      <c r="T2155" s="13" t="s">
        <v>5</v>
      </c>
      <c r="U2155" s="13" t="s">
        <v>43</v>
      </c>
      <c r="V2155" s="13" t="n">
        <f aca="false">IF(COUNTIF($B$2:B2155,B2155)=1,1,0)</f>
        <v>0</v>
      </c>
      <c r="W2155" s="13" t="n">
        <f aca="false">IF(COUNTIFS($B$2:B2155,B2155,$T$2:T2155,T2155)=1,1,0)</f>
        <v>0</v>
      </c>
    </row>
    <row r="2156" customFormat="false" ht="15" hidden="false" customHeight="false" outlineLevel="0" collapsed="false">
      <c r="A2156" s="13" t="s">
        <v>371</v>
      </c>
      <c r="B2156" s="13" t="s">
        <v>50</v>
      </c>
      <c r="C2156" s="13" t="n">
        <v>9700</v>
      </c>
      <c r="D2156" s="13" t="n">
        <v>10</v>
      </c>
      <c r="E2156" s="13" t="n">
        <v>692.325714285714</v>
      </c>
      <c r="F2156" s="13" t="s">
        <v>5325</v>
      </c>
      <c r="G2156" s="13" t="s">
        <v>5289</v>
      </c>
      <c r="H2156" s="13" t="s">
        <v>5292</v>
      </c>
      <c r="I2156" s="13" t="s">
        <v>5289</v>
      </c>
      <c r="J2156" s="13" t="s">
        <v>5289</v>
      </c>
      <c r="K2156" s="13" t="s">
        <v>5289</v>
      </c>
      <c r="L2156" s="13" t="n">
        <v>3349668589678</v>
      </c>
      <c r="M2156" s="13"/>
      <c r="N2156" s="13" t="n">
        <v>3349668589678</v>
      </c>
      <c r="O2156" s="13"/>
      <c r="P2156" s="13" t="s">
        <v>5291</v>
      </c>
      <c r="Q2156" s="13" t="s">
        <v>5289</v>
      </c>
      <c r="R2156" s="13" t="s">
        <v>5292</v>
      </c>
      <c r="S2156" s="13" t="s">
        <v>5293</v>
      </c>
      <c r="T2156" s="13" t="s">
        <v>5</v>
      </c>
      <c r="U2156" s="13" t="s">
        <v>43</v>
      </c>
      <c r="V2156" s="13" t="n">
        <f aca="false">IF(COUNTIF($B$2:B2156,B2156)=1,1,0)</f>
        <v>0</v>
      </c>
      <c r="W2156" s="13" t="n">
        <f aca="false">IF(COUNTIFS($B$2:B2156,B2156,$T$2:T2156,T2156)=1,1,0)</f>
        <v>0</v>
      </c>
    </row>
    <row r="2157" customFormat="false" ht="15" hidden="false" customHeight="false" outlineLevel="0" collapsed="false">
      <c r="A2157" s="13" t="s">
        <v>101</v>
      </c>
      <c r="B2157" s="13" t="s">
        <v>45</v>
      </c>
      <c r="C2157" s="13" t="n">
        <v>9500</v>
      </c>
      <c r="D2157" s="13" t="n">
        <v>10</v>
      </c>
      <c r="E2157" s="13" t="n">
        <v>680.735</v>
      </c>
      <c r="F2157" s="13" t="s">
        <v>5325</v>
      </c>
      <c r="G2157" s="13" t="s">
        <v>5289</v>
      </c>
      <c r="H2157" s="13" t="s">
        <v>5289</v>
      </c>
      <c r="I2157" s="13" t="s">
        <v>5289</v>
      </c>
      <c r="J2157" s="13" t="s">
        <v>5289</v>
      </c>
      <c r="K2157" s="13" t="s">
        <v>5289</v>
      </c>
      <c r="L2157" s="13"/>
      <c r="M2157" s="13"/>
      <c r="N2157" s="13" t="n">
        <v>8435415012690</v>
      </c>
      <c r="O2157" s="13"/>
      <c r="P2157" s="13" t="s">
        <v>5291</v>
      </c>
      <c r="Q2157" s="13" t="s">
        <v>5289</v>
      </c>
      <c r="R2157" s="13" t="s">
        <v>5292</v>
      </c>
      <c r="S2157" s="13" t="s">
        <v>5293</v>
      </c>
      <c r="T2157" s="13" t="s">
        <v>5</v>
      </c>
      <c r="U2157" s="13" t="s">
        <v>43</v>
      </c>
      <c r="V2157" s="13" t="n">
        <f aca="false">IF(COUNTIF($B$2:B2157,B2157)=1,1,0)</f>
        <v>0</v>
      </c>
      <c r="W2157" s="13" t="n">
        <f aca="false">IF(COUNTIFS($B$2:B2157,B2157,$T$2:T2157,T2157)=1,1,0)</f>
        <v>0</v>
      </c>
    </row>
    <row r="2158" customFormat="false" ht="15" hidden="false" customHeight="false" outlineLevel="0" collapsed="false">
      <c r="A2158" s="13" t="s">
        <v>231</v>
      </c>
      <c r="B2158" s="13" t="s">
        <v>61</v>
      </c>
      <c r="C2158" s="13" t="n">
        <v>9500</v>
      </c>
      <c r="D2158" s="13" t="n">
        <v>30</v>
      </c>
      <c r="E2158" s="13" t="n">
        <v>365</v>
      </c>
      <c r="F2158" s="13" t="s">
        <v>5325</v>
      </c>
      <c r="G2158" s="13" t="s">
        <v>5289</v>
      </c>
      <c r="H2158" s="13" t="s">
        <v>5289</v>
      </c>
      <c r="I2158" s="13" t="s">
        <v>5289</v>
      </c>
      <c r="J2158" s="13" t="s">
        <v>5289</v>
      </c>
      <c r="K2158" s="13" t="s">
        <v>5289</v>
      </c>
      <c r="L2158" s="13" t="n">
        <v>3614274169720</v>
      </c>
      <c r="M2158" s="13"/>
      <c r="N2158" s="13" t="n">
        <v>3614274169720</v>
      </c>
      <c r="O2158" s="13"/>
      <c r="P2158" s="13" t="s">
        <v>5291</v>
      </c>
      <c r="Q2158" s="13" t="s">
        <v>5289</v>
      </c>
      <c r="R2158" s="13" t="s">
        <v>5292</v>
      </c>
      <c r="S2158" s="13" t="s">
        <v>5293</v>
      </c>
      <c r="T2158" s="13" t="s">
        <v>5</v>
      </c>
      <c r="U2158" s="13" t="s">
        <v>43</v>
      </c>
      <c r="V2158" s="13" t="n">
        <f aca="false">IF(COUNTIF($B$2:B2158,B2158)=1,1,0)</f>
        <v>0</v>
      </c>
      <c r="W2158" s="13" t="n">
        <f aca="false">IF(COUNTIFS($B$2:B2158,B2158,$T$2:T2158,T2158)=1,1,0)</f>
        <v>0</v>
      </c>
    </row>
    <row r="2159" customFormat="false" ht="15" hidden="false" customHeight="false" outlineLevel="0" collapsed="false">
      <c r="A2159" s="13" t="s">
        <v>2803</v>
      </c>
      <c r="B2159" s="13" t="s">
        <v>2131</v>
      </c>
      <c r="C2159" s="13" t="n">
        <v>9300</v>
      </c>
      <c r="D2159" s="13" t="n">
        <v>30</v>
      </c>
      <c r="E2159" s="13" t="n">
        <v>359.48</v>
      </c>
      <c r="F2159" s="13" t="s">
        <v>5325</v>
      </c>
      <c r="G2159" s="13" t="s">
        <v>5289</v>
      </c>
      <c r="H2159" s="13" t="s">
        <v>5289</v>
      </c>
      <c r="I2159" s="13" t="s">
        <v>5289</v>
      </c>
      <c r="J2159" s="13" t="s">
        <v>5289</v>
      </c>
      <c r="K2159" s="13" t="s">
        <v>5289</v>
      </c>
      <c r="L2159" s="13"/>
      <c r="M2159" s="13"/>
      <c r="N2159" s="13" t="n">
        <v>3423222056063</v>
      </c>
      <c r="O2159" s="13"/>
      <c r="P2159" s="13" t="s">
        <v>5297</v>
      </c>
      <c r="Q2159" s="13" t="s">
        <v>5289</v>
      </c>
      <c r="R2159" s="13" t="s">
        <v>5292</v>
      </c>
      <c r="S2159" s="13" t="s">
        <v>5293</v>
      </c>
      <c r="T2159" s="13" t="s">
        <v>5</v>
      </c>
      <c r="U2159" s="13" t="s">
        <v>43</v>
      </c>
      <c r="V2159" s="13" t="n">
        <f aca="false">IF(COUNTIF($B$2:B2159,B2159)=1,1,0)</f>
        <v>0</v>
      </c>
      <c r="W2159" s="13" t="n">
        <f aca="false">IF(COUNTIFS($B$2:B2159,B2159,$T$2:T2159,T2159)=1,1,0)</f>
        <v>1</v>
      </c>
    </row>
    <row r="2160" customFormat="false" ht="15" hidden="false" customHeight="false" outlineLevel="0" collapsed="false">
      <c r="A2160" s="13" t="s">
        <v>379</v>
      </c>
      <c r="B2160" s="13" t="s">
        <v>193</v>
      </c>
      <c r="C2160" s="13" t="n">
        <v>9300</v>
      </c>
      <c r="D2160" s="13" t="n">
        <v>20</v>
      </c>
      <c r="E2160" s="13" t="n">
        <v>581.9</v>
      </c>
      <c r="F2160" s="13" t="s">
        <v>5325</v>
      </c>
      <c r="G2160" s="13" t="s">
        <v>5289</v>
      </c>
      <c r="H2160" s="13" t="s">
        <v>5289</v>
      </c>
      <c r="I2160" s="13" t="s">
        <v>5289</v>
      </c>
      <c r="J2160" s="13" t="s">
        <v>5289</v>
      </c>
      <c r="K2160" s="13" t="s">
        <v>5289</v>
      </c>
      <c r="L2160" s="13" t="n">
        <v>3614272907676</v>
      </c>
      <c r="M2160" s="13"/>
      <c r="N2160" s="13" t="n">
        <v>3614272907676</v>
      </c>
      <c r="O2160" s="13"/>
      <c r="P2160" s="13" t="s">
        <v>5291</v>
      </c>
      <c r="Q2160" s="13" t="s">
        <v>5289</v>
      </c>
      <c r="R2160" s="13" t="s">
        <v>5292</v>
      </c>
      <c r="S2160" s="13" t="s">
        <v>5293</v>
      </c>
      <c r="T2160" s="13" t="s">
        <v>5</v>
      </c>
      <c r="U2160" s="13" t="s">
        <v>43</v>
      </c>
      <c r="V2160" s="13" t="n">
        <f aca="false">IF(COUNTIF($B$2:B2160,B2160)=1,1,0)</f>
        <v>0</v>
      </c>
      <c r="W2160" s="13" t="n">
        <f aca="false">IF(COUNTIFS($B$2:B2160,B2160,$T$2:T2160,T2160)=1,1,0)</f>
        <v>0</v>
      </c>
    </row>
    <row r="2161" customFormat="false" ht="15" hidden="false" customHeight="false" outlineLevel="0" collapsed="false">
      <c r="A2161" s="13" t="s">
        <v>382</v>
      </c>
      <c r="B2161" s="13" t="s">
        <v>50</v>
      </c>
      <c r="C2161" s="13" t="n">
        <v>9300</v>
      </c>
      <c r="D2161" s="13" t="n">
        <v>10</v>
      </c>
      <c r="E2161" s="13" t="n">
        <v>664.919285714286</v>
      </c>
      <c r="F2161" s="13" t="s">
        <v>5325</v>
      </c>
      <c r="G2161" s="13" t="s">
        <v>5289</v>
      </c>
      <c r="H2161" s="13" t="s">
        <v>5289</v>
      </c>
      <c r="I2161" s="13" t="s">
        <v>5289</v>
      </c>
      <c r="J2161" s="13" t="s">
        <v>5289</v>
      </c>
      <c r="K2161" s="13" t="s">
        <v>5289</v>
      </c>
      <c r="L2161" s="13" t="n">
        <v>3349668622009</v>
      </c>
      <c r="M2161" s="13"/>
      <c r="N2161" s="13" t="n">
        <v>3349668622009</v>
      </c>
      <c r="O2161" s="13"/>
      <c r="P2161" s="13" t="s">
        <v>5291</v>
      </c>
      <c r="Q2161" s="13" t="s">
        <v>5289</v>
      </c>
      <c r="R2161" s="13" t="s">
        <v>5292</v>
      </c>
      <c r="S2161" s="13" t="s">
        <v>5293</v>
      </c>
      <c r="T2161" s="13" t="s">
        <v>5</v>
      </c>
      <c r="U2161" s="13" t="s">
        <v>43</v>
      </c>
      <c r="V2161" s="13" t="n">
        <f aca="false">IF(COUNTIF($B$2:B2161,B2161)=1,1,0)</f>
        <v>0</v>
      </c>
      <c r="W2161" s="13" t="n">
        <f aca="false">IF(COUNTIFS($B$2:B2161,B2161,$T$2:T2161,T2161)=1,1,0)</f>
        <v>0</v>
      </c>
    </row>
    <row r="2162" customFormat="false" ht="15" hidden="false" customHeight="false" outlineLevel="0" collapsed="false">
      <c r="A2162" s="13" t="s">
        <v>383</v>
      </c>
      <c r="B2162" s="13" t="s">
        <v>69</v>
      </c>
      <c r="C2162" s="13" t="n">
        <v>9300</v>
      </c>
      <c r="D2162" s="13" t="n">
        <v>10</v>
      </c>
      <c r="E2162" s="13" t="n">
        <v>714.666923076923</v>
      </c>
      <c r="F2162" s="13" t="s">
        <v>5325</v>
      </c>
      <c r="G2162" s="13" t="s">
        <v>5289</v>
      </c>
      <c r="H2162" s="13" t="s">
        <v>5289</v>
      </c>
      <c r="I2162" s="13" t="s">
        <v>5289</v>
      </c>
      <c r="J2162" s="13" t="s">
        <v>5289</v>
      </c>
      <c r="K2162" s="13" t="s">
        <v>5289</v>
      </c>
      <c r="L2162" s="13" t="n">
        <v>3614274114652</v>
      </c>
      <c r="M2162" s="13"/>
      <c r="N2162" s="13" t="n">
        <v>3614274114652</v>
      </c>
      <c r="O2162" s="13"/>
      <c r="P2162" s="13" t="s">
        <v>5291</v>
      </c>
      <c r="Q2162" s="13" t="s">
        <v>5289</v>
      </c>
      <c r="R2162" s="13" t="s">
        <v>5292</v>
      </c>
      <c r="S2162" s="13" t="s">
        <v>5293</v>
      </c>
      <c r="T2162" s="13" t="s">
        <v>5</v>
      </c>
      <c r="U2162" s="13" t="s">
        <v>43</v>
      </c>
      <c r="V2162" s="13" t="n">
        <f aca="false">IF(COUNTIF($B$2:B2162,B2162)=1,1,0)</f>
        <v>0</v>
      </c>
      <c r="W2162" s="13" t="n">
        <f aca="false">IF(COUNTIFS($B$2:B2162,B2162,$T$2:T2162,T2162)=1,1,0)</f>
        <v>0</v>
      </c>
    </row>
    <row r="2163" customFormat="false" ht="15" hidden="false" customHeight="false" outlineLevel="0" collapsed="false">
      <c r="A2163" s="13" t="s">
        <v>384</v>
      </c>
      <c r="B2163" s="13" t="s">
        <v>329</v>
      </c>
      <c r="C2163" s="13" t="n">
        <v>9300</v>
      </c>
      <c r="D2163" s="13" t="n">
        <v>30</v>
      </c>
      <c r="E2163" s="13" t="n">
        <v>272.138823529412</v>
      </c>
      <c r="F2163" s="13" t="s">
        <v>5325</v>
      </c>
      <c r="G2163" s="13" t="s">
        <v>5289</v>
      </c>
      <c r="H2163" s="13" t="s">
        <v>5289</v>
      </c>
      <c r="I2163" s="13" t="s">
        <v>5289</v>
      </c>
      <c r="J2163" s="13" t="s">
        <v>5289</v>
      </c>
      <c r="K2163" s="13" t="s">
        <v>5289</v>
      </c>
      <c r="L2163" s="13" t="n">
        <v>3137370357636</v>
      </c>
      <c r="M2163" s="13"/>
      <c r="N2163" s="13" t="n">
        <v>3.13737020502931E+025</v>
      </c>
      <c r="O2163" s="13"/>
      <c r="P2163" s="13" t="s">
        <v>5297</v>
      </c>
      <c r="Q2163" s="13" t="s">
        <v>5289</v>
      </c>
      <c r="R2163" s="13" t="s">
        <v>5292</v>
      </c>
      <c r="S2163" s="13" t="s">
        <v>5293</v>
      </c>
      <c r="T2163" s="13" t="s">
        <v>5</v>
      </c>
      <c r="U2163" s="13" t="s">
        <v>43</v>
      </c>
      <c r="V2163" s="13" t="n">
        <f aca="false">IF(COUNTIF($B$2:B2163,B2163)=1,1,0)</f>
        <v>0</v>
      </c>
      <c r="W2163" s="13" t="n">
        <f aca="false">IF(COUNTIFS($B$2:B2163,B2163,$T$2:T2163,T2163)=1,1,0)</f>
        <v>0</v>
      </c>
    </row>
    <row r="2164" customFormat="false" ht="15" hidden="false" customHeight="false" outlineLevel="0" collapsed="false">
      <c r="A2164" s="13" t="s">
        <v>385</v>
      </c>
      <c r="B2164" s="13" t="s">
        <v>50</v>
      </c>
      <c r="C2164" s="13" t="n">
        <v>9300</v>
      </c>
      <c r="D2164" s="13" t="n">
        <v>10</v>
      </c>
      <c r="E2164" s="13" t="n">
        <v>660.879285714286</v>
      </c>
      <c r="F2164" s="13" t="s">
        <v>5325</v>
      </c>
      <c r="G2164" s="13" t="s">
        <v>5289</v>
      </c>
      <c r="H2164" s="13" t="s">
        <v>5292</v>
      </c>
      <c r="I2164" s="13" t="s">
        <v>5289</v>
      </c>
      <c r="J2164" s="13" t="s">
        <v>5289</v>
      </c>
      <c r="K2164" s="13" t="s">
        <v>5292</v>
      </c>
      <c r="L2164" s="13" t="n">
        <v>3349668566372</v>
      </c>
      <c r="M2164" s="13"/>
      <c r="N2164" s="13" t="n">
        <v>3349668566372</v>
      </c>
      <c r="O2164" s="13"/>
      <c r="P2164" s="13" t="s">
        <v>5291</v>
      </c>
      <c r="Q2164" s="13" t="s">
        <v>5289</v>
      </c>
      <c r="R2164" s="13" t="s">
        <v>5292</v>
      </c>
      <c r="S2164" s="13" t="s">
        <v>5293</v>
      </c>
      <c r="T2164" s="13" t="s">
        <v>5</v>
      </c>
      <c r="U2164" s="13" t="s">
        <v>43</v>
      </c>
      <c r="V2164" s="13" t="n">
        <f aca="false">IF(COUNTIF($B$2:B2164,B2164)=1,1,0)</f>
        <v>0</v>
      </c>
      <c r="W2164" s="13" t="n">
        <f aca="false">IF(COUNTIFS($B$2:B2164,B2164,$T$2:T2164,T2164)=1,1,0)</f>
        <v>0</v>
      </c>
    </row>
    <row r="2165" customFormat="false" ht="15" hidden="false" customHeight="false" outlineLevel="0" collapsed="false">
      <c r="A2165" s="13" t="s">
        <v>626</v>
      </c>
      <c r="B2165" s="13" t="s">
        <v>2118</v>
      </c>
      <c r="C2165" s="13" t="n">
        <v>9200</v>
      </c>
      <c r="D2165" s="13" t="n">
        <v>20</v>
      </c>
      <c r="E2165" s="13" t="n">
        <v>612.804</v>
      </c>
      <c r="F2165" s="13" t="s">
        <v>5325</v>
      </c>
      <c r="G2165" s="13" t="s">
        <v>5289</v>
      </c>
      <c r="H2165" s="13" t="s">
        <v>5292</v>
      </c>
      <c r="I2165" s="13" t="s">
        <v>5289</v>
      </c>
      <c r="J2165" s="13" t="s">
        <v>5289</v>
      </c>
      <c r="K2165" s="13" t="s">
        <v>5289</v>
      </c>
      <c r="L2165" s="13" t="n">
        <v>3614274521368</v>
      </c>
      <c r="M2165" s="13"/>
      <c r="N2165" s="13" t="n">
        <v>3614274521368</v>
      </c>
      <c r="O2165" s="13"/>
      <c r="P2165" s="13" t="s">
        <v>5291</v>
      </c>
      <c r="Q2165" s="13" t="s">
        <v>5289</v>
      </c>
      <c r="R2165" s="13" t="s">
        <v>5292</v>
      </c>
      <c r="S2165" s="13" t="s">
        <v>5293</v>
      </c>
      <c r="T2165" s="13" t="s">
        <v>5</v>
      </c>
      <c r="U2165" s="13" t="s">
        <v>85</v>
      </c>
      <c r="V2165" s="13" t="n">
        <f aca="false">IF(COUNTIF($B$2:B2165,B2165)=1,1,0)</f>
        <v>1</v>
      </c>
      <c r="W2165" s="13" t="n">
        <f aca="false">IF(COUNTIFS($B$2:B2165,B2165,$T$2:T2165,T2165)=1,1,0)</f>
        <v>1</v>
      </c>
    </row>
    <row r="2166" customFormat="false" ht="15" hidden="false" customHeight="false" outlineLevel="0" collapsed="false">
      <c r="A2166" s="13" t="s">
        <v>389</v>
      </c>
      <c r="B2166" s="13" t="s">
        <v>42</v>
      </c>
      <c r="C2166" s="13" t="n">
        <v>9200</v>
      </c>
      <c r="D2166" s="13" t="n">
        <v>40</v>
      </c>
      <c r="E2166" s="13" t="n">
        <v>223.532195121951</v>
      </c>
      <c r="F2166" s="13" t="s">
        <v>5288</v>
      </c>
      <c r="G2166" s="13" t="s">
        <v>5289</v>
      </c>
      <c r="H2166" s="13" t="s">
        <v>5289</v>
      </c>
      <c r="I2166" s="13" t="s">
        <v>5289</v>
      </c>
      <c r="J2166" s="13" t="s">
        <v>5289</v>
      </c>
      <c r="K2166" s="13" t="s">
        <v>5289</v>
      </c>
      <c r="L2166" s="13" t="n">
        <v>8411061945308</v>
      </c>
      <c r="M2166" s="13"/>
      <c r="N2166" s="13" t="n">
        <v>8411061945308</v>
      </c>
      <c r="O2166" s="13"/>
      <c r="P2166" s="13" t="s">
        <v>5291</v>
      </c>
      <c r="Q2166" s="13" t="s">
        <v>5289</v>
      </c>
      <c r="R2166" s="13" t="s">
        <v>5292</v>
      </c>
      <c r="S2166" s="13" t="s">
        <v>5293</v>
      </c>
      <c r="T2166" s="13" t="s">
        <v>5</v>
      </c>
      <c r="U2166" s="13" t="s">
        <v>43</v>
      </c>
      <c r="V2166" s="13" t="n">
        <f aca="false">IF(COUNTIF($B$2:B2166,B2166)=1,1,0)</f>
        <v>0</v>
      </c>
      <c r="W2166" s="13" t="n">
        <f aca="false">IF(COUNTIFS($B$2:B2166,B2166,$T$2:T2166,T2166)=1,1,0)</f>
        <v>0</v>
      </c>
    </row>
    <row r="2167" customFormat="false" ht="15" hidden="false" customHeight="false" outlineLevel="0" collapsed="false">
      <c r="A2167" s="13" t="s">
        <v>392</v>
      </c>
      <c r="B2167" s="13" t="s">
        <v>54</v>
      </c>
      <c r="C2167" s="13" t="n">
        <v>9200</v>
      </c>
      <c r="D2167" s="13" t="n">
        <v>30</v>
      </c>
      <c r="E2167" s="13" t="n">
        <v>286.07</v>
      </c>
      <c r="F2167" s="13" t="s">
        <v>5325</v>
      </c>
      <c r="G2167" s="13" t="s">
        <v>5289</v>
      </c>
      <c r="H2167" s="13" t="s">
        <v>5289</v>
      </c>
      <c r="I2167" s="13" t="s">
        <v>5289</v>
      </c>
      <c r="J2167" s="13" t="s">
        <v>5289</v>
      </c>
      <c r="K2167" s="13" t="s">
        <v>5289</v>
      </c>
      <c r="L2167" s="13" t="n">
        <v>7898965700966</v>
      </c>
      <c r="M2167" s="13"/>
      <c r="N2167" s="13" t="n">
        <v>7.89896570005873E+037</v>
      </c>
      <c r="O2167" s="13"/>
      <c r="P2167" s="13" t="s">
        <v>5291</v>
      </c>
      <c r="Q2167" s="13" t="s">
        <v>5289</v>
      </c>
      <c r="R2167" s="13" t="s">
        <v>5292</v>
      </c>
      <c r="S2167" s="13" t="s">
        <v>5293</v>
      </c>
      <c r="T2167" s="13" t="s">
        <v>5</v>
      </c>
      <c r="U2167" s="13" t="s">
        <v>43</v>
      </c>
      <c r="V2167" s="13" t="n">
        <f aca="false">IF(COUNTIF($B$2:B2167,B2167)=1,1,0)</f>
        <v>0</v>
      </c>
      <c r="W2167" s="13" t="n">
        <f aca="false">IF(COUNTIFS($B$2:B2167,B2167,$T$2:T2167,T2167)=1,1,0)</f>
        <v>0</v>
      </c>
    </row>
    <row r="2168" customFormat="false" ht="15" hidden="false" customHeight="false" outlineLevel="0" collapsed="false">
      <c r="A2168" s="13" t="s">
        <v>394</v>
      </c>
      <c r="B2168" s="13" t="s">
        <v>105</v>
      </c>
      <c r="C2168" s="13" t="n">
        <v>9100</v>
      </c>
      <c r="D2168" s="13" t="n">
        <v>20</v>
      </c>
      <c r="E2168" s="13" t="n">
        <v>536</v>
      </c>
      <c r="F2168" s="13" t="s">
        <v>5325</v>
      </c>
      <c r="G2168" s="13" t="s">
        <v>5289</v>
      </c>
      <c r="H2168" s="13" t="s">
        <v>5289</v>
      </c>
      <c r="I2168" s="13" t="s">
        <v>5289</v>
      </c>
      <c r="J2168" s="13" t="s">
        <v>5289</v>
      </c>
      <c r="K2168" s="13" t="s">
        <v>5289</v>
      </c>
      <c r="L2168" s="13" t="n">
        <v>737052189765</v>
      </c>
      <c r="M2168" s="13"/>
      <c r="N2168" s="13" t="n">
        <v>737052189765</v>
      </c>
      <c r="O2168" s="13"/>
      <c r="P2168" s="13" t="s">
        <v>5291</v>
      </c>
      <c r="Q2168" s="13" t="s">
        <v>5289</v>
      </c>
      <c r="R2168" s="13" t="s">
        <v>5292</v>
      </c>
      <c r="S2168" s="13" t="s">
        <v>5293</v>
      </c>
      <c r="T2168" s="13" t="s">
        <v>5</v>
      </c>
      <c r="U2168" s="13" t="s">
        <v>43</v>
      </c>
      <c r="V2168" s="13" t="n">
        <f aca="false">IF(COUNTIF($B$2:B2168,B2168)=1,1,0)</f>
        <v>0</v>
      </c>
      <c r="W2168" s="13" t="n">
        <f aca="false">IF(COUNTIFS($B$2:B2168,B2168,$T$2:T2168,T2168)=1,1,0)</f>
        <v>0</v>
      </c>
    </row>
    <row r="2169" customFormat="false" ht="15" hidden="false" customHeight="false" outlineLevel="0" collapsed="false">
      <c r="A2169" s="13" t="s">
        <v>393</v>
      </c>
      <c r="B2169" s="13" t="s">
        <v>42</v>
      </c>
      <c r="C2169" s="13" t="n">
        <v>9100</v>
      </c>
      <c r="D2169" s="13" t="n">
        <v>10</v>
      </c>
      <c r="E2169" s="13" t="n">
        <v>756.203333333333</v>
      </c>
      <c r="F2169" s="13" t="s">
        <v>5325</v>
      </c>
      <c r="G2169" s="13" t="s">
        <v>5289</v>
      </c>
      <c r="H2169" s="13" t="s">
        <v>5292</v>
      </c>
      <c r="I2169" s="13" t="s">
        <v>5289</v>
      </c>
      <c r="J2169" s="13" t="s">
        <v>5289</v>
      </c>
      <c r="K2169" s="13" t="s">
        <v>5289</v>
      </c>
      <c r="L2169" s="13" t="n">
        <v>8411061134450</v>
      </c>
      <c r="M2169" s="13"/>
      <c r="N2169" s="13" t="n">
        <v>8411061134450</v>
      </c>
      <c r="O2169" s="13"/>
      <c r="P2169" s="13" t="s">
        <v>5291</v>
      </c>
      <c r="Q2169" s="13" t="s">
        <v>5289</v>
      </c>
      <c r="R2169" s="13" t="s">
        <v>5292</v>
      </c>
      <c r="S2169" s="13" t="s">
        <v>5293</v>
      </c>
      <c r="T2169" s="13" t="s">
        <v>5</v>
      </c>
      <c r="U2169" s="13" t="s">
        <v>43</v>
      </c>
      <c r="V2169" s="13" t="n">
        <f aca="false">IF(COUNTIF($B$2:B2169,B2169)=1,1,0)</f>
        <v>0</v>
      </c>
      <c r="W2169" s="13" t="n">
        <f aca="false">IF(COUNTIFS($B$2:B2169,B2169,$T$2:T2169,T2169)=1,1,0)</f>
        <v>0</v>
      </c>
    </row>
    <row r="2170" customFormat="false" ht="15" hidden="false" customHeight="false" outlineLevel="0" collapsed="false">
      <c r="A2170" s="13" t="s">
        <v>397</v>
      </c>
      <c r="B2170" s="13" t="s">
        <v>69</v>
      </c>
      <c r="C2170" s="13" t="n">
        <v>9000</v>
      </c>
      <c r="D2170" s="13" t="n">
        <v>5</v>
      </c>
      <c r="E2170" s="13" t="n">
        <v>903.485</v>
      </c>
      <c r="F2170" s="13" t="s">
        <v>5325</v>
      </c>
      <c r="G2170" s="13" t="s">
        <v>5289</v>
      </c>
      <c r="H2170" s="13" t="s">
        <v>5292</v>
      </c>
      <c r="I2170" s="13" t="s">
        <v>5289</v>
      </c>
      <c r="J2170" s="13" t="s">
        <v>5289</v>
      </c>
      <c r="K2170" s="13" t="s">
        <v>5289</v>
      </c>
      <c r="L2170" s="13"/>
      <c r="M2170" s="13"/>
      <c r="N2170" s="13" t="n">
        <v>3614270561634</v>
      </c>
      <c r="O2170" s="13"/>
      <c r="P2170" s="13" t="s">
        <v>5291</v>
      </c>
      <c r="Q2170" s="13" t="s">
        <v>5289</v>
      </c>
      <c r="R2170" s="13" t="s">
        <v>5292</v>
      </c>
      <c r="S2170" s="13" t="s">
        <v>5293</v>
      </c>
      <c r="T2170" s="13" t="s">
        <v>5</v>
      </c>
      <c r="U2170" s="13" t="s">
        <v>43</v>
      </c>
      <c r="V2170" s="13" t="n">
        <f aca="false">IF(COUNTIF($B$2:B2170,B2170)=1,1,0)</f>
        <v>0</v>
      </c>
      <c r="W2170" s="13" t="n">
        <f aca="false">IF(COUNTIFS($B$2:B2170,B2170,$T$2:T2170,T2170)=1,1,0)</f>
        <v>0</v>
      </c>
    </row>
    <row r="2171" customFormat="false" ht="15" hidden="false" customHeight="false" outlineLevel="0" collapsed="false">
      <c r="A2171" s="13" t="s">
        <v>400</v>
      </c>
      <c r="B2171" s="13" t="s">
        <v>54</v>
      </c>
      <c r="C2171" s="13" t="n">
        <v>8900</v>
      </c>
      <c r="D2171" s="13" t="n">
        <v>30</v>
      </c>
      <c r="E2171" s="13" t="n">
        <v>262.87</v>
      </c>
      <c r="F2171" s="13" t="s">
        <v>5325</v>
      </c>
      <c r="G2171" s="13" t="s">
        <v>5289</v>
      </c>
      <c r="H2171" s="13" t="s">
        <v>5289</v>
      </c>
      <c r="I2171" s="13" t="s">
        <v>5289</v>
      </c>
      <c r="J2171" s="13" t="s">
        <v>5289</v>
      </c>
      <c r="K2171" s="13" t="s">
        <v>5289</v>
      </c>
      <c r="L2171" s="13" t="n">
        <v>7898965700997</v>
      </c>
      <c r="M2171" s="13"/>
      <c r="N2171" s="13" t="n">
        <v>7.89896570008979E+037</v>
      </c>
      <c r="O2171" s="13"/>
      <c r="P2171" s="13" t="s">
        <v>5291</v>
      </c>
      <c r="Q2171" s="13" t="s">
        <v>5289</v>
      </c>
      <c r="R2171" s="13" t="s">
        <v>5292</v>
      </c>
      <c r="S2171" s="13" t="s">
        <v>5293</v>
      </c>
      <c r="T2171" s="13" t="s">
        <v>5</v>
      </c>
      <c r="U2171" s="13" t="s">
        <v>43</v>
      </c>
      <c r="V2171" s="13" t="n">
        <f aca="false">IF(COUNTIF($B$2:B2171,B2171)=1,1,0)</f>
        <v>0</v>
      </c>
      <c r="W2171" s="13" t="n">
        <f aca="false">IF(COUNTIFS($B$2:B2171,B2171,$T$2:T2171,T2171)=1,1,0)</f>
        <v>0</v>
      </c>
    </row>
    <row r="2172" customFormat="false" ht="15" hidden="false" customHeight="false" outlineLevel="0" collapsed="false">
      <c r="A2172" s="13" t="s">
        <v>401</v>
      </c>
      <c r="B2172" s="13" t="s">
        <v>45</v>
      </c>
      <c r="C2172" s="13" t="n">
        <v>8900</v>
      </c>
      <c r="D2172" s="13" t="n">
        <v>10</v>
      </c>
      <c r="E2172" s="13" t="n">
        <v>637.995714285714</v>
      </c>
      <c r="F2172" s="13" t="s">
        <v>5325</v>
      </c>
      <c r="G2172" s="13" t="s">
        <v>5289</v>
      </c>
      <c r="H2172" s="13" t="s">
        <v>5289</v>
      </c>
      <c r="I2172" s="13" t="s">
        <v>5289</v>
      </c>
      <c r="J2172" s="13" t="s">
        <v>5289</v>
      </c>
      <c r="K2172" s="13" t="s">
        <v>5289</v>
      </c>
      <c r="L2172" s="13" t="n">
        <v>8435415011341</v>
      </c>
      <c r="M2172" s="13"/>
      <c r="N2172" s="13" t="n">
        <v>8.41106198349284E+025</v>
      </c>
      <c r="O2172" s="13"/>
      <c r="P2172" s="13" t="s">
        <v>5291</v>
      </c>
      <c r="Q2172" s="13" t="s">
        <v>5289</v>
      </c>
      <c r="R2172" s="13" t="s">
        <v>5292</v>
      </c>
      <c r="S2172" s="13" t="s">
        <v>5293</v>
      </c>
      <c r="T2172" s="13" t="s">
        <v>5</v>
      </c>
      <c r="U2172" s="13" t="s">
        <v>43</v>
      </c>
      <c r="V2172" s="13" t="n">
        <f aca="false">IF(COUNTIF($B$2:B2172,B2172)=1,1,0)</f>
        <v>0</v>
      </c>
      <c r="W2172" s="13" t="n">
        <f aca="false">IF(COUNTIFS($B$2:B2172,B2172,$T$2:T2172,T2172)=1,1,0)</f>
        <v>0</v>
      </c>
    </row>
    <row r="2173" customFormat="false" ht="15" hidden="false" customHeight="false" outlineLevel="0" collapsed="false">
      <c r="A2173" s="13" t="s">
        <v>252</v>
      </c>
      <c r="B2173" s="13" t="s">
        <v>124</v>
      </c>
      <c r="C2173" s="13" t="n">
        <v>8900</v>
      </c>
      <c r="D2173" s="13" t="n">
        <v>10</v>
      </c>
      <c r="E2173" s="13" t="n">
        <v>739.233333333333</v>
      </c>
      <c r="F2173" s="13" t="s">
        <v>5325</v>
      </c>
      <c r="G2173" s="13" t="s">
        <v>5292</v>
      </c>
      <c r="H2173" s="13" t="s">
        <v>5289</v>
      </c>
      <c r="I2173" s="13" t="s">
        <v>5289</v>
      </c>
      <c r="J2173" s="13" t="s">
        <v>5289</v>
      </c>
      <c r="K2173" s="13" t="s">
        <v>5289</v>
      </c>
      <c r="L2173" s="13"/>
      <c r="M2173" s="13"/>
      <c r="N2173" s="13" t="n">
        <v>3614273837828</v>
      </c>
      <c r="O2173" s="13"/>
      <c r="P2173" s="13" t="s">
        <v>5291</v>
      </c>
      <c r="Q2173" s="13" t="s">
        <v>5289</v>
      </c>
      <c r="R2173" s="13" t="s">
        <v>5292</v>
      </c>
      <c r="S2173" s="13" t="s">
        <v>5293</v>
      </c>
      <c r="T2173" s="13" t="s">
        <v>5</v>
      </c>
      <c r="U2173" s="13" t="s">
        <v>43</v>
      </c>
      <c r="V2173" s="13" t="n">
        <f aca="false">IF(COUNTIF($B$2:B2173,B2173)=1,1,0)</f>
        <v>0</v>
      </c>
      <c r="W2173" s="13" t="n">
        <f aca="false">IF(COUNTIFS($B$2:B2173,B2173,$T$2:T2173,T2173)=1,1,0)</f>
        <v>0</v>
      </c>
    </row>
    <row r="2174" customFormat="false" ht="15" hidden="false" customHeight="false" outlineLevel="0" collapsed="false">
      <c r="A2174" s="13" t="s">
        <v>283</v>
      </c>
      <c r="B2174" s="13" t="s">
        <v>79</v>
      </c>
      <c r="C2174" s="13" t="n">
        <v>8800</v>
      </c>
      <c r="D2174" s="13" t="n">
        <v>5</v>
      </c>
      <c r="E2174" s="13" t="n">
        <v>884.819</v>
      </c>
      <c r="F2174" s="13" t="s">
        <v>5325</v>
      </c>
      <c r="G2174" s="13" t="s">
        <v>5289</v>
      </c>
      <c r="H2174" s="13" t="s">
        <v>5289</v>
      </c>
      <c r="I2174" s="13" t="s">
        <v>5289</v>
      </c>
      <c r="J2174" s="13" t="s">
        <v>5289</v>
      </c>
      <c r="K2174" s="13" t="s">
        <v>5289</v>
      </c>
      <c r="L2174" s="13" t="n">
        <v>8056669925798</v>
      </c>
      <c r="M2174" s="13"/>
      <c r="N2174" s="13" t="n">
        <v>8056669925798</v>
      </c>
      <c r="O2174" s="13"/>
      <c r="P2174" s="13" t="s">
        <v>5291</v>
      </c>
      <c r="Q2174" s="13" t="s">
        <v>5289</v>
      </c>
      <c r="R2174" s="13" t="s">
        <v>5292</v>
      </c>
      <c r="S2174" s="13" t="s">
        <v>5293</v>
      </c>
      <c r="T2174" s="13" t="s">
        <v>5</v>
      </c>
      <c r="U2174" s="13" t="s">
        <v>43</v>
      </c>
      <c r="V2174" s="13" t="n">
        <f aca="false">IF(COUNTIF($B$2:B2174,B2174)=1,1,0)</f>
        <v>0</v>
      </c>
      <c r="W2174" s="13" t="n">
        <f aca="false">IF(COUNTIFS($B$2:B2174,B2174,$T$2:T2174,T2174)=1,1,0)</f>
        <v>0</v>
      </c>
    </row>
    <row r="2175" customFormat="false" ht="15" hidden="false" customHeight="false" outlineLevel="0" collapsed="false">
      <c r="A2175" s="13" t="s">
        <v>316</v>
      </c>
      <c r="B2175" s="13" t="s">
        <v>315</v>
      </c>
      <c r="C2175" s="13" t="n">
        <v>8800</v>
      </c>
      <c r="D2175" s="13" t="n">
        <v>10</v>
      </c>
      <c r="E2175" s="13" t="n">
        <v>627.802857142857</v>
      </c>
      <c r="F2175" s="13" t="s">
        <v>5325</v>
      </c>
      <c r="G2175" s="13" t="s">
        <v>5289</v>
      </c>
      <c r="H2175" s="13" t="s">
        <v>5289</v>
      </c>
      <c r="I2175" s="13" t="s">
        <v>5289</v>
      </c>
      <c r="J2175" s="13" t="s">
        <v>5289</v>
      </c>
      <c r="K2175" s="13" t="s">
        <v>5289</v>
      </c>
      <c r="L2175" s="13" t="n">
        <v>3605975047240</v>
      </c>
      <c r="M2175" s="13"/>
      <c r="N2175" s="13" t="n">
        <v>3605975047240</v>
      </c>
      <c r="O2175" s="13"/>
      <c r="P2175" s="13" t="s">
        <v>5297</v>
      </c>
      <c r="Q2175" s="13" t="s">
        <v>5289</v>
      </c>
      <c r="R2175" s="13" t="s">
        <v>5292</v>
      </c>
      <c r="S2175" s="13" t="s">
        <v>5293</v>
      </c>
      <c r="T2175" s="13" t="s">
        <v>5</v>
      </c>
      <c r="U2175" s="13" t="s">
        <v>43</v>
      </c>
      <c r="V2175" s="13" t="n">
        <f aca="false">IF(COUNTIF($B$2:B2175,B2175)=1,1,0)</f>
        <v>0</v>
      </c>
      <c r="W2175" s="13" t="n">
        <f aca="false">IF(COUNTIFS($B$2:B2175,B2175,$T$2:T2175,T2175)=1,1,0)</f>
        <v>0</v>
      </c>
    </row>
    <row r="2176" customFormat="false" ht="15" hidden="false" customHeight="false" outlineLevel="0" collapsed="false">
      <c r="A2176" s="13" t="s">
        <v>280</v>
      </c>
      <c r="B2176" s="13" t="s">
        <v>42</v>
      </c>
      <c r="C2176" s="13" t="n">
        <v>8700</v>
      </c>
      <c r="D2176" s="13" t="n">
        <v>10</v>
      </c>
      <c r="E2176" s="13" t="n">
        <v>728.676666666667</v>
      </c>
      <c r="F2176" s="13" t="s">
        <v>5288</v>
      </c>
      <c r="G2176" s="13" t="s">
        <v>5289</v>
      </c>
      <c r="H2176" s="13" t="s">
        <v>5289</v>
      </c>
      <c r="I2176" s="13" t="s">
        <v>5289</v>
      </c>
      <c r="J2176" s="13" t="s">
        <v>5289</v>
      </c>
      <c r="K2176" s="13" t="s">
        <v>5289</v>
      </c>
      <c r="L2176" s="13"/>
      <c r="M2176" s="13"/>
      <c r="N2176" s="13" t="n">
        <v>8411061063392</v>
      </c>
      <c r="O2176" s="13"/>
      <c r="P2176" s="13" t="s">
        <v>5291</v>
      </c>
      <c r="Q2176" s="13" t="s">
        <v>5289</v>
      </c>
      <c r="R2176" s="13" t="s">
        <v>5292</v>
      </c>
      <c r="S2176" s="13" t="s">
        <v>5293</v>
      </c>
      <c r="T2176" s="13" t="s">
        <v>5</v>
      </c>
      <c r="U2176" s="13" t="s">
        <v>43</v>
      </c>
      <c r="V2176" s="13" t="n">
        <f aca="false">IF(COUNTIF($B$2:B2176,B2176)=1,1,0)</f>
        <v>0</v>
      </c>
      <c r="W2176" s="13" t="n">
        <f aca="false">IF(COUNTIFS($B$2:B2176,B2176,$T$2:T2176,T2176)=1,1,0)</f>
        <v>0</v>
      </c>
    </row>
    <row r="2177" customFormat="false" ht="15" hidden="false" customHeight="false" outlineLevel="0" collapsed="false">
      <c r="A2177" s="13" t="s">
        <v>225</v>
      </c>
      <c r="B2177" s="13" t="s">
        <v>50</v>
      </c>
      <c r="C2177" s="13" t="n">
        <v>8700</v>
      </c>
      <c r="D2177" s="13" t="n">
        <v>10</v>
      </c>
      <c r="E2177" s="13" t="n">
        <v>728.07</v>
      </c>
      <c r="F2177" s="13" t="s">
        <v>5325</v>
      </c>
      <c r="G2177" s="13" t="s">
        <v>5289</v>
      </c>
      <c r="H2177" s="13" t="s">
        <v>5289</v>
      </c>
      <c r="I2177" s="13" t="s">
        <v>5289</v>
      </c>
      <c r="J2177" s="13" t="s">
        <v>5289</v>
      </c>
      <c r="K2177" s="13" t="s">
        <v>5289</v>
      </c>
      <c r="L2177" s="13" t="n">
        <v>3349668600304</v>
      </c>
      <c r="M2177" s="13"/>
      <c r="N2177" s="13" t="n">
        <v>3349668600304</v>
      </c>
      <c r="O2177" s="13"/>
      <c r="P2177" s="13" t="s">
        <v>5291</v>
      </c>
      <c r="Q2177" s="13" t="s">
        <v>5289</v>
      </c>
      <c r="R2177" s="13" t="s">
        <v>5292</v>
      </c>
      <c r="S2177" s="13" t="s">
        <v>5293</v>
      </c>
      <c r="T2177" s="13" t="s">
        <v>5</v>
      </c>
      <c r="U2177" s="13" t="s">
        <v>43</v>
      </c>
      <c r="V2177" s="13" t="n">
        <f aca="false">IF(COUNTIF($B$2:B2177,B2177)=1,1,0)</f>
        <v>0</v>
      </c>
      <c r="W2177" s="13" t="n">
        <f aca="false">IF(COUNTIFS($B$2:B2177,B2177,$T$2:T2177,T2177)=1,1,0)</f>
        <v>0</v>
      </c>
    </row>
    <row r="2178" customFormat="false" ht="15" hidden="false" customHeight="false" outlineLevel="0" collapsed="false">
      <c r="A2178" s="13" t="s">
        <v>232</v>
      </c>
      <c r="B2178" s="13" t="s">
        <v>61</v>
      </c>
      <c r="C2178" s="13" t="n">
        <v>8600</v>
      </c>
      <c r="D2178" s="13" t="n">
        <v>5</v>
      </c>
      <c r="E2178" s="13" t="n">
        <v>958.3</v>
      </c>
      <c r="F2178" s="13" t="s">
        <v>5325</v>
      </c>
      <c r="G2178" s="13" t="s">
        <v>5289</v>
      </c>
      <c r="H2178" s="13" t="s">
        <v>5289</v>
      </c>
      <c r="I2178" s="13" t="s">
        <v>5289</v>
      </c>
      <c r="J2178" s="13" t="s">
        <v>5289</v>
      </c>
      <c r="K2178" s="13" t="s">
        <v>5289</v>
      </c>
      <c r="L2178" s="13" t="n">
        <v>3614273694797</v>
      </c>
      <c r="M2178" s="13"/>
      <c r="N2178" s="13" t="n">
        <v>3614273694797</v>
      </c>
      <c r="O2178" s="13"/>
      <c r="P2178" s="13" t="s">
        <v>5291</v>
      </c>
      <c r="Q2178" s="13" t="s">
        <v>5289</v>
      </c>
      <c r="R2178" s="13" t="s">
        <v>5292</v>
      </c>
      <c r="S2178" s="13" t="s">
        <v>5293</v>
      </c>
      <c r="T2178" s="13" t="s">
        <v>5</v>
      </c>
      <c r="U2178" s="13" t="s">
        <v>43</v>
      </c>
      <c r="V2178" s="13" t="n">
        <f aca="false">IF(COUNTIF($B$2:B2178,B2178)=1,1,0)</f>
        <v>0</v>
      </c>
      <c r="W2178" s="13" t="n">
        <f aca="false">IF(COUNTIFS($B$2:B2178,B2178,$T$2:T2178,T2178)=1,1,0)</f>
        <v>0</v>
      </c>
    </row>
    <row r="2179" customFormat="false" ht="15" hidden="false" customHeight="false" outlineLevel="0" collapsed="false">
      <c r="A2179" s="13" t="s">
        <v>279</v>
      </c>
      <c r="B2179" s="13" t="s">
        <v>45</v>
      </c>
      <c r="C2179" s="13" t="n">
        <v>8600</v>
      </c>
      <c r="D2179" s="13" t="n">
        <v>20</v>
      </c>
      <c r="E2179" s="13" t="n">
        <v>574</v>
      </c>
      <c r="F2179" s="13" t="s">
        <v>5325</v>
      </c>
      <c r="G2179" s="13" t="s">
        <v>5289</v>
      </c>
      <c r="H2179" s="13" t="s">
        <v>5289</v>
      </c>
      <c r="I2179" s="13" t="s">
        <v>5289</v>
      </c>
      <c r="J2179" s="13" t="s">
        <v>5289</v>
      </c>
      <c r="K2179" s="13" t="s">
        <v>5289</v>
      </c>
      <c r="L2179" s="13"/>
      <c r="M2179" s="13"/>
      <c r="N2179" s="13" t="n">
        <v>8435415102698</v>
      </c>
      <c r="O2179" s="13"/>
      <c r="P2179" s="13" t="s">
        <v>5291</v>
      </c>
      <c r="Q2179" s="13" t="s">
        <v>5289</v>
      </c>
      <c r="R2179" s="13" t="s">
        <v>5292</v>
      </c>
      <c r="S2179" s="13" t="s">
        <v>5293</v>
      </c>
      <c r="T2179" s="13" t="s">
        <v>5</v>
      </c>
      <c r="U2179" s="13" t="s">
        <v>43</v>
      </c>
      <c r="V2179" s="13" t="n">
        <f aca="false">IF(COUNTIF($B$2:B2179,B2179)=1,1,0)</f>
        <v>0</v>
      </c>
      <c r="W2179" s="13" t="n">
        <f aca="false">IF(COUNTIFS($B$2:B2179,B2179,$T$2:T2179,T2179)=1,1,0)</f>
        <v>0</v>
      </c>
    </row>
    <row r="2180" customFormat="false" ht="15" hidden="false" customHeight="false" outlineLevel="0" collapsed="false">
      <c r="A2180" s="13" t="s">
        <v>279</v>
      </c>
      <c r="B2180" s="13" t="s">
        <v>45</v>
      </c>
      <c r="C2180" s="13" t="n">
        <v>8500</v>
      </c>
      <c r="D2180" s="13" t="n">
        <v>10</v>
      </c>
      <c r="E2180" s="13" t="n">
        <v>775.688181818182</v>
      </c>
      <c r="F2180" s="13" t="s">
        <v>5325</v>
      </c>
      <c r="G2180" s="13" t="s">
        <v>5289</v>
      </c>
      <c r="H2180" s="13" t="s">
        <v>5289</v>
      </c>
      <c r="I2180" s="13" t="s">
        <v>5289</v>
      </c>
      <c r="J2180" s="13" t="s">
        <v>5289</v>
      </c>
      <c r="K2180" s="13" t="s">
        <v>5289</v>
      </c>
      <c r="L2180" s="13"/>
      <c r="M2180" s="13"/>
      <c r="N2180" s="13" t="n">
        <v>8435415102735</v>
      </c>
      <c r="O2180" s="13"/>
      <c r="P2180" s="13" t="s">
        <v>5291</v>
      </c>
      <c r="Q2180" s="13" t="s">
        <v>5289</v>
      </c>
      <c r="R2180" s="13" t="s">
        <v>5292</v>
      </c>
      <c r="S2180" s="13" t="s">
        <v>5293</v>
      </c>
      <c r="T2180" s="13" t="s">
        <v>5</v>
      </c>
      <c r="U2180" s="13" t="s">
        <v>43</v>
      </c>
      <c r="V2180" s="13" t="n">
        <f aca="false">IF(COUNTIF($B$2:B2180,B2180)=1,1,0)</f>
        <v>0</v>
      </c>
      <c r="W2180" s="13" t="n">
        <f aca="false">IF(COUNTIFS($B$2:B2180,B2180,$T$2:T2180,T2180)=1,1,0)</f>
        <v>0</v>
      </c>
    </row>
    <row r="2181" customFormat="false" ht="15" hidden="false" customHeight="false" outlineLevel="0" collapsed="false">
      <c r="A2181" s="13" t="s">
        <v>408</v>
      </c>
      <c r="B2181" s="13" t="s">
        <v>315</v>
      </c>
      <c r="C2181" s="13" t="n">
        <v>8500</v>
      </c>
      <c r="D2181" s="13" t="n">
        <v>10</v>
      </c>
      <c r="E2181" s="13" t="n">
        <v>651.858461538461</v>
      </c>
      <c r="F2181" s="13" t="s">
        <v>5325</v>
      </c>
      <c r="G2181" s="13" t="s">
        <v>5289</v>
      </c>
      <c r="H2181" s="13" t="s">
        <v>5289</v>
      </c>
      <c r="I2181" s="13" t="s">
        <v>5289</v>
      </c>
      <c r="J2181" s="13" t="s">
        <v>5289</v>
      </c>
      <c r="K2181" s="13" t="s">
        <v>5289</v>
      </c>
      <c r="L2181" s="13" t="n">
        <v>3605973038189</v>
      </c>
      <c r="M2181" s="13"/>
      <c r="N2181" s="13" t="n">
        <v>3605973038189</v>
      </c>
      <c r="O2181" s="13"/>
      <c r="P2181" s="13" t="s">
        <v>5291</v>
      </c>
      <c r="Q2181" s="13" t="s">
        <v>5289</v>
      </c>
      <c r="R2181" s="13" t="s">
        <v>5292</v>
      </c>
      <c r="S2181" s="13" t="s">
        <v>5293</v>
      </c>
      <c r="T2181" s="13" t="s">
        <v>5</v>
      </c>
      <c r="U2181" s="13" t="s">
        <v>43</v>
      </c>
      <c r="V2181" s="13" t="n">
        <f aca="false">IF(COUNTIF($B$2:B2181,B2181)=1,1,0)</f>
        <v>0</v>
      </c>
      <c r="W2181" s="13" t="n">
        <f aca="false">IF(COUNTIFS($B$2:B2181,B2181,$T$2:T2181,T2181)=1,1,0)</f>
        <v>0</v>
      </c>
    </row>
    <row r="2182" customFormat="false" ht="15" hidden="false" customHeight="false" outlineLevel="0" collapsed="false">
      <c r="A2182" s="13" t="s">
        <v>89</v>
      </c>
      <c r="B2182" s="13" t="s">
        <v>42</v>
      </c>
      <c r="C2182" s="13" t="n">
        <v>8400</v>
      </c>
      <c r="D2182" s="13" t="n">
        <v>30</v>
      </c>
      <c r="E2182" s="13" t="n">
        <v>323.219615384615</v>
      </c>
      <c r="F2182" s="13" t="s">
        <v>5325</v>
      </c>
      <c r="G2182" s="13" t="s">
        <v>5289</v>
      </c>
      <c r="H2182" s="13" t="s">
        <v>5289</v>
      </c>
      <c r="I2182" s="13" t="s">
        <v>5289</v>
      </c>
      <c r="J2182" s="13" t="s">
        <v>5289</v>
      </c>
      <c r="K2182" s="13" t="s">
        <v>5289</v>
      </c>
      <c r="L2182" s="13" t="n">
        <v>8411061853115</v>
      </c>
      <c r="M2182" s="13"/>
      <c r="N2182" s="13" t="n">
        <v>8411061853115</v>
      </c>
      <c r="O2182" s="13"/>
      <c r="P2182" s="13" t="s">
        <v>5291</v>
      </c>
      <c r="Q2182" s="13" t="s">
        <v>5289</v>
      </c>
      <c r="R2182" s="13" t="s">
        <v>5292</v>
      </c>
      <c r="S2182" s="13" t="s">
        <v>5293</v>
      </c>
      <c r="T2182" s="13" t="s">
        <v>5</v>
      </c>
      <c r="U2182" s="13" t="s">
        <v>43</v>
      </c>
      <c r="V2182" s="13" t="n">
        <f aca="false">IF(COUNTIF($B$2:B2182,B2182)=1,1,0)</f>
        <v>0</v>
      </c>
      <c r="W2182" s="13" t="n">
        <f aca="false">IF(COUNTIFS($B$2:B2182,B2182,$T$2:T2182,T2182)=1,1,0)</f>
        <v>0</v>
      </c>
    </row>
    <row r="2183" customFormat="false" ht="15" hidden="false" customHeight="false" outlineLevel="0" collapsed="false">
      <c r="A2183" s="13" t="s">
        <v>413</v>
      </c>
      <c r="B2183" s="13" t="s">
        <v>61</v>
      </c>
      <c r="C2183" s="13" t="n">
        <v>8300</v>
      </c>
      <c r="D2183" s="13" t="n">
        <v>5</v>
      </c>
      <c r="E2183" s="13" t="n">
        <v>832.925</v>
      </c>
      <c r="F2183" s="13" t="s">
        <v>5325</v>
      </c>
      <c r="G2183" s="13" t="s">
        <v>5289</v>
      </c>
      <c r="H2183" s="13" t="s">
        <v>5292</v>
      </c>
      <c r="I2183" s="13" t="s">
        <v>5289</v>
      </c>
      <c r="J2183" s="13" t="s">
        <v>5289</v>
      </c>
      <c r="K2183" s="13" t="s">
        <v>5289</v>
      </c>
      <c r="L2183" s="13" t="n">
        <v>3605533286555</v>
      </c>
      <c r="M2183" s="13"/>
      <c r="N2183" s="13" t="n">
        <v>3605533286555</v>
      </c>
      <c r="O2183" s="13"/>
      <c r="P2183" s="13" t="s">
        <v>5291</v>
      </c>
      <c r="Q2183" s="13" t="s">
        <v>5289</v>
      </c>
      <c r="R2183" s="13" t="s">
        <v>5292</v>
      </c>
      <c r="S2183" s="13" t="s">
        <v>5293</v>
      </c>
      <c r="T2183" s="13" t="s">
        <v>5</v>
      </c>
      <c r="U2183" s="13" t="s">
        <v>43</v>
      </c>
      <c r="V2183" s="13" t="n">
        <f aca="false">IF(COUNTIF($B$2:B2183,B2183)=1,1,0)</f>
        <v>0</v>
      </c>
      <c r="W2183" s="13" t="n">
        <f aca="false">IF(COUNTIFS($B$2:B2183,B2183,$T$2:T2183,T2183)=1,1,0)</f>
        <v>0</v>
      </c>
    </row>
    <row r="2184" customFormat="false" ht="15" hidden="false" customHeight="false" outlineLevel="0" collapsed="false">
      <c r="A2184" s="13" t="s">
        <v>347</v>
      </c>
      <c r="B2184" s="13" t="s">
        <v>69</v>
      </c>
      <c r="C2184" s="13" t="n">
        <v>8300</v>
      </c>
      <c r="D2184" s="13" t="n">
        <v>5</v>
      </c>
      <c r="E2184" s="13" t="n">
        <v>830.191</v>
      </c>
      <c r="F2184" s="13" t="s">
        <v>5288</v>
      </c>
      <c r="G2184" s="13" t="s">
        <v>5289</v>
      </c>
      <c r="H2184" s="13" t="s">
        <v>5292</v>
      </c>
      <c r="I2184" s="13" t="s">
        <v>5289</v>
      </c>
      <c r="J2184" s="13" t="s">
        <v>5289</v>
      </c>
      <c r="K2184" s="13" t="s">
        <v>5289</v>
      </c>
      <c r="L2184" s="13" t="n">
        <v>3614272648425</v>
      </c>
      <c r="M2184" s="13"/>
      <c r="N2184" s="13" t="n">
        <v>3614272648425</v>
      </c>
      <c r="O2184" s="13"/>
      <c r="P2184" s="13" t="s">
        <v>5291</v>
      </c>
      <c r="Q2184" s="13" t="s">
        <v>5289</v>
      </c>
      <c r="R2184" s="13" t="s">
        <v>5292</v>
      </c>
      <c r="S2184" s="13" t="s">
        <v>5293</v>
      </c>
      <c r="T2184" s="13" t="s">
        <v>5</v>
      </c>
      <c r="U2184" s="13" t="s">
        <v>43</v>
      </c>
      <c r="V2184" s="13" t="n">
        <f aca="false">IF(COUNTIF($B$2:B2184,B2184)=1,1,0)</f>
        <v>0</v>
      </c>
      <c r="W2184" s="13" t="n">
        <f aca="false">IF(COUNTIFS($B$2:B2184,B2184,$T$2:T2184,T2184)=1,1,0)</f>
        <v>0</v>
      </c>
    </row>
    <row r="2185" customFormat="false" ht="15" hidden="false" customHeight="false" outlineLevel="0" collapsed="false">
      <c r="A2185" s="13" t="s">
        <v>414</v>
      </c>
      <c r="B2185" s="13" t="s">
        <v>92</v>
      </c>
      <c r="C2185" s="13" t="n">
        <v>8300</v>
      </c>
      <c r="D2185" s="13" t="n">
        <v>10</v>
      </c>
      <c r="E2185" s="13" t="n">
        <v>592.985714285714</v>
      </c>
      <c r="F2185" s="13" t="s">
        <v>5325</v>
      </c>
      <c r="G2185" s="13" t="s">
        <v>5289</v>
      </c>
      <c r="H2185" s="13" t="s">
        <v>5289</v>
      </c>
      <c r="I2185" s="13" t="s">
        <v>5289</v>
      </c>
      <c r="J2185" s="13" t="s">
        <v>5289</v>
      </c>
      <c r="K2185" s="13" t="s">
        <v>5289</v>
      </c>
      <c r="L2185" s="13" t="n">
        <v>3607346232347</v>
      </c>
      <c r="M2185" s="13"/>
      <c r="N2185" s="13" t="n">
        <v>3.13737035080436E+025</v>
      </c>
      <c r="O2185" s="13"/>
      <c r="P2185" s="13" t="s">
        <v>5297</v>
      </c>
      <c r="Q2185" s="13" t="s">
        <v>5289</v>
      </c>
      <c r="R2185" s="13" t="s">
        <v>5292</v>
      </c>
      <c r="S2185" s="13" t="s">
        <v>5293</v>
      </c>
      <c r="T2185" s="13" t="s">
        <v>5</v>
      </c>
      <c r="U2185" s="13" t="s">
        <v>43</v>
      </c>
      <c r="V2185" s="13" t="n">
        <f aca="false">IF(COUNTIF($B$2:B2185,B2185)=1,1,0)</f>
        <v>0</v>
      </c>
      <c r="W2185" s="13" t="n">
        <f aca="false">IF(COUNTIFS($B$2:B2185,B2185,$T$2:T2185,T2185)=1,1,0)</f>
        <v>0</v>
      </c>
    </row>
    <row r="2186" customFormat="false" ht="15" hidden="false" customHeight="false" outlineLevel="0" collapsed="false">
      <c r="A2186" s="13" t="s">
        <v>418</v>
      </c>
      <c r="B2186" s="13" t="s">
        <v>124</v>
      </c>
      <c r="C2186" s="13" t="n">
        <v>8200</v>
      </c>
      <c r="D2186" s="13" t="n">
        <v>10</v>
      </c>
      <c r="E2186" s="13" t="n">
        <v>746.334545454545</v>
      </c>
      <c r="F2186" s="13" t="s">
        <v>5325</v>
      </c>
      <c r="G2186" s="13" t="s">
        <v>5289</v>
      </c>
      <c r="H2186" s="13" t="s">
        <v>5292</v>
      </c>
      <c r="I2186" s="13" t="s">
        <v>5289</v>
      </c>
      <c r="J2186" s="13" t="s">
        <v>5289</v>
      </c>
      <c r="K2186" s="13" t="s">
        <v>5289</v>
      </c>
      <c r="L2186" s="13" t="n">
        <v>3614273954341</v>
      </c>
      <c r="M2186" s="13"/>
      <c r="N2186" s="13" t="n">
        <v>3614273954341</v>
      </c>
      <c r="O2186" s="13"/>
      <c r="P2186" s="13" t="s">
        <v>5291</v>
      </c>
      <c r="Q2186" s="13" t="s">
        <v>5289</v>
      </c>
      <c r="R2186" s="13" t="s">
        <v>5292</v>
      </c>
      <c r="S2186" s="13" t="s">
        <v>5293</v>
      </c>
      <c r="T2186" s="13" t="s">
        <v>5</v>
      </c>
      <c r="U2186" s="13" t="s">
        <v>43</v>
      </c>
      <c r="V2186" s="13" t="n">
        <f aca="false">IF(COUNTIF($B$2:B2186,B2186)=1,1,0)</f>
        <v>0</v>
      </c>
      <c r="W2186" s="13" t="n">
        <f aca="false">IF(COUNTIFS($B$2:B2186,B2186,$T$2:T2186,T2186)=1,1,0)</f>
        <v>0</v>
      </c>
    </row>
    <row r="2187" customFormat="false" ht="15" hidden="false" customHeight="false" outlineLevel="0" collapsed="false">
      <c r="A2187" s="13" t="s">
        <v>419</v>
      </c>
      <c r="B2187" s="13" t="s">
        <v>72</v>
      </c>
      <c r="C2187" s="13" t="n">
        <v>8200</v>
      </c>
      <c r="D2187" s="13" t="n">
        <v>10</v>
      </c>
      <c r="E2187" s="13" t="n">
        <v>743.28</v>
      </c>
      <c r="F2187" s="13" t="s">
        <v>5325</v>
      </c>
      <c r="G2187" s="13" t="s">
        <v>5289</v>
      </c>
      <c r="H2187" s="13" t="s">
        <v>5292</v>
      </c>
      <c r="I2187" s="13" t="s">
        <v>5289</v>
      </c>
      <c r="J2187" s="13" t="s">
        <v>5289</v>
      </c>
      <c r="K2187" s="13" t="s">
        <v>5289</v>
      </c>
      <c r="L2187" s="13"/>
      <c r="M2187" s="13"/>
      <c r="N2187" s="13" t="n">
        <v>3614273760164</v>
      </c>
      <c r="O2187" s="13"/>
      <c r="P2187" s="13" t="s">
        <v>5291</v>
      </c>
      <c r="Q2187" s="13" t="s">
        <v>5289</v>
      </c>
      <c r="R2187" s="13" t="s">
        <v>5292</v>
      </c>
      <c r="S2187" s="13" t="s">
        <v>5293</v>
      </c>
      <c r="T2187" s="13" t="s">
        <v>5</v>
      </c>
      <c r="U2187" s="13" t="s">
        <v>43</v>
      </c>
      <c r="V2187" s="13" t="n">
        <f aca="false">IF(COUNTIF($B$2:B2187,B2187)=1,1,0)</f>
        <v>0</v>
      </c>
      <c r="W2187" s="13" t="n">
        <f aca="false">IF(COUNTIFS($B$2:B2187,B2187,$T$2:T2187,T2187)=1,1,0)</f>
        <v>0</v>
      </c>
    </row>
    <row r="2188" customFormat="false" ht="15" hidden="false" customHeight="false" outlineLevel="0" collapsed="false">
      <c r="A2188" s="13" t="s">
        <v>421</v>
      </c>
      <c r="B2188" s="13" t="s">
        <v>105</v>
      </c>
      <c r="C2188" s="13" t="n">
        <v>8100</v>
      </c>
      <c r="D2188" s="13" t="n">
        <v>20</v>
      </c>
      <c r="E2188" s="13" t="n">
        <v>539</v>
      </c>
      <c r="F2188" s="13" t="s">
        <v>5325</v>
      </c>
      <c r="G2188" s="13" t="s">
        <v>5289</v>
      </c>
      <c r="H2188" s="13" t="s">
        <v>5292</v>
      </c>
      <c r="I2188" s="13" t="s">
        <v>5289</v>
      </c>
      <c r="J2188" s="13" t="s">
        <v>5289</v>
      </c>
      <c r="K2188" s="13" t="s">
        <v>5289</v>
      </c>
      <c r="L2188" s="13" t="n">
        <v>3614228220880</v>
      </c>
      <c r="M2188" s="13"/>
      <c r="N2188" s="13" t="n">
        <v>3614228220880</v>
      </c>
      <c r="O2188" s="13"/>
      <c r="P2188" s="13" t="s">
        <v>5291</v>
      </c>
      <c r="Q2188" s="13" t="s">
        <v>5289</v>
      </c>
      <c r="R2188" s="13" t="s">
        <v>5292</v>
      </c>
      <c r="S2188" s="13" t="s">
        <v>5293</v>
      </c>
      <c r="T2188" s="13" t="s">
        <v>5</v>
      </c>
      <c r="U2188" s="13" t="s">
        <v>43</v>
      </c>
      <c r="V2188" s="13" t="n">
        <f aca="false">IF(COUNTIF($B$2:B2188,B2188)=1,1,0)</f>
        <v>0</v>
      </c>
      <c r="W2188" s="13" t="n">
        <f aca="false">IF(COUNTIFS($B$2:B2188,B2188,$T$2:T2188,T2188)=1,1,0)</f>
        <v>0</v>
      </c>
    </row>
    <row r="2189" customFormat="false" ht="15" hidden="false" customHeight="false" outlineLevel="0" collapsed="false">
      <c r="A2189" s="13" t="s">
        <v>420</v>
      </c>
      <c r="B2189" s="13" t="s">
        <v>103</v>
      </c>
      <c r="C2189" s="13" t="n">
        <v>8100</v>
      </c>
      <c r="D2189" s="13" t="n">
        <v>40</v>
      </c>
      <c r="E2189" s="13" t="n">
        <v>211.967894736842</v>
      </c>
      <c r="F2189" s="13" t="s">
        <v>5325</v>
      </c>
      <c r="G2189" s="13" t="s">
        <v>5289</v>
      </c>
      <c r="H2189" s="13" t="s">
        <v>5289</v>
      </c>
      <c r="I2189" s="13" t="s">
        <v>5289</v>
      </c>
      <c r="J2189" s="13" t="s">
        <v>5289</v>
      </c>
      <c r="K2189" s="13" t="s">
        <v>5289</v>
      </c>
      <c r="L2189" s="13" t="n">
        <v>8411061791691</v>
      </c>
      <c r="M2189" s="13"/>
      <c r="N2189" s="13" t="n">
        <v>8.41106179169184E+038</v>
      </c>
      <c r="O2189" s="13"/>
      <c r="P2189" s="13" t="s">
        <v>5291</v>
      </c>
      <c r="Q2189" s="13" t="s">
        <v>5289</v>
      </c>
      <c r="R2189" s="13" t="s">
        <v>5292</v>
      </c>
      <c r="S2189" s="13" t="s">
        <v>5293</v>
      </c>
      <c r="T2189" s="13" t="s">
        <v>5</v>
      </c>
      <c r="U2189" s="13" t="s">
        <v>43</v>
      </c>
      <c r="V2189" s="13" t="n">
        <f aca="false">IF(COUNTIF($B$2:B2189,B2189)=1,1,0)</f>
        <v>0</v>
      </c>
      <c r="W2189" s="13" t="n">
        <f aca="false">IF(COUNTIFS($B$2:B2189,B2189,$T$2:T2189,T2189)=1,1,0)</f>
        <v>0</v>
      </c>
    </row>
    <row r="2190" customFormat="false" ht="15" hidden="false" customHeight="false" outlineLevel="0" collapsed="false">
      <c r="A2190" s="13" t="s">
        <v>424</v>
      </c>
      <c r="B2190" s="13" t="s">
        <v>45</v>
      </c>
      <c r="C2190" s="13" t="n">
        <v>8000</v>
      </c>
      <c r="D2190" s="13" t="n">
        <v>10</v>
      </c>
      <c r="E2190" s="13" t="n">
        <v>572</v>
      </c>
      <c r="F2190" s="13" t="s">
        <v>5325</v>
      </c>
      <c r="G2190" s="13" t="s">
        <v>5289</v>
      </c>
      <c r="H2190" s="13" t="s">
        <v>5289</v>
      </c>
      <c r="I2190" s="13" t="s">
        <v>5289</v>
      </c>
      <c r="J2190" s="13" t="s">
        <v>5289</v>
      </c>
      <c r="K2190" s="13" t="s">
        <v>5289</v>
      </c>
      <c r="L2190" s="13" t="n">
        <v>8435415062213</v>
      </c>
      <c r="M2190" s="13"/>
      <c r="N2190" s="13" t="n">
        <v>8435415062213</v>
      </c>
      <c r="O2190" s="13"/>
      <c r="P2190" s="13" t="s">
        <v>5291</v>
      </c>
      <c r="Q2190" s="13" t="s">
        <v>5289</v>
      </c>
      <c r="R2190" s="13" t="s">
        <v>5292</v>
      </c>
      <c r="S2190" s="13" t="s">
        <v>5293</v>
      </c>
      <c r="T2190" s="13" t="s">
        <v>5</v>
      </c>
      <c r="U2190" s="13" t="s">
        <v>43</v>
      </c>
      <c r="V2190" s="13" t="n">
        <f aca="false">IF(COUNTIF($B$2:B2190,B2190)=1,1,0)</f>
        <v>0</v>
      </c>
      <c r="W2190" s="13" t="n">
        <f aca="false">IF(COUNTIFS($B$2:B2190,B2190,$T$2:T2190,T2190)=1,1,0)</f>
        <v>0</v>
      </c>
    </row>
    <row r="2191" customFormat="false" ht="15" hidden="false" customHeight="false" outlineLevel="0" collapsed="false">
      <c r="A2191" s="13" t="s">
        <v>52</v>
      </c>
      <c r="B2191" s="13" t="s">
        <v>50</v>
      </c>
      <c r="C2191" s="13" t="n">
        <v>8000</v>
      </c>
      <c r="D2191" s="13" t="n">
        <v>30</v>
      </c>
      <c r="E2191" s="13" t="n">
        <v>295.49</v>
      </c>
      <c r="F2191" s="13" t="s">
        <v>5325</v>
      </c>
      <c r="G2191" s="13" t="s">
        <v>5289</v>
      </c>
      <c r="H2191" s="13" t="s">
        <v>5289</v>
      </c>
      <c r="I2191" s="13" t="s">
        <v>5289</v>
      </c>
      <c r="J2191" s="13" t="s">
        <v>5289</v>
      </c>
      <c r="K2191" s="13" t="s">
        <v>5289</v>
      </c>
      <c r="L2191" s="13" t="n">
        <v>3349668616237</v>
      </c>
      <c r="M2191" s="13"/>
      <c r="N2191" s="13" t="n">
        <v>3349668616237</v>
      </c>
      <c r="O2191" s="13"/>
      <c r="P2191" s="13" t="s">
        <v>5291</v>
      </c>
      <c r="Q2191" s="13" t="s">
        <v>5289</v>
      </c>
      <c r="R2191" s="13" t="s">
        <v>5292</v>
      </c>
      <c r="S2191" s="13" t="s">
        <v>5293</v>
      </c>
      <c r="T2191" s="13" t="s">
        <v>5</v>
      </c>
      <c r="U2191" s="13" t="s">
        <v>43</v>
      </c>
      <c r="V2191" s="13" t="n">
        <f aca="false">IF(COUNTIF($B$2:B2191,B2191)=1,1,0)</f>
        <v>0</v>
      </c>
      <c r="W2191" s="13" t="n">
        <f aca="false">IF(COUNTIFS($B$2:B2191,B2191,$T$2:T2191,T2191)=1,1,0)</f>
        <v>0</v>
      </c>
    </row>
    <row r="2192" customFormat="false" ht="15" hidden="false" customHeight="false" outlineLevel="0" collapsed="false">
      <c r="A2192" s="13" t="s">
        <v>426</v>
      </c>
      <c r="B2192" s="13" t="s">
        <v>79</v>
      </c>
      <c r="C2192" s="13" t="n">
        <v>8000</v>
      </c>
      <c r="D2192" s="13" t="n">
        <v>5</v>
      </c>
      <c r="E2192" s="13" t="n">
        <v>795.163</v>
      </c>
      <c r="F2192" s="13" t="s">
        <v>5288</v>
      </c>
      <c r="G2192" s="13" t="s">
        <v>5289</v>
      </c>
      <c r="H2192" s="13" t="s">
        <v>5289</v>
      </c>
      <c r="I2192" s="13" t="s">
        <v>5289</v>
      </c>
      <c r="J2192" s="13" t="s">
        <v>5289</v>
      </c>
      <c r="K2192" s="13" t="s">
        <v>5289</v>
      </c>
      <c r="L2192" s="13" t="n">
        <v>8056669925712</v>
      </c>
      <c r="M2192" s="13"/>
      <c r="N2192" s="13" t="n">
        <v>8056669925712</v>
      </c>
      <c r="O2192" s="13"/>
      <c r="P2192" s="13" t="s">
        <v>5291</v>
      </c>
      <c r="Q2192" s="13" t="s">
        <v>5289</v>
      </c>
      <c r="R2192" s="13" t="s">
        <v>5292</v>
      </c>
      <c r="S2192" s="13" t="s">
        <v>5293</v>
      </c>
      <c r="T2192" s="13" t="s">
        <v>5</v>
      </c>
      <c r="U2192" s="13" t="s">
        <v>43</v>
      </c>
      <c r="V2192" s="13" t="n">
        <f aca="false">IF(COUNTIF($B$2:B2192,B2192)=1,1,0)</f>
        <v>0</v>
      </c>
      <c r="W2192" s="13" t="n">
        <f aca="false">IF(COUNTIFS($B$2:B2192,B2192,$T$2:T2192,T2192)=1,1,0)</f>
        <v>0</v>
      </c>
    </row>
    <row r="2193" customFormat="false" ht="15" hidden="false" customHeight="false" outlineLevel="0" collapsed="false">
      <c r="A2193" s="13" t="s">
        <v>6369</v>
      </c>
      <c r="B2193" s="13" t="s">
        <v>2118</v>
      </c>
      <c r="C2193" s="13" t="n">
        <v>7900</v>
      </c>
      <c r="D2193" s="13" t="n">
        <v>5</v>
      </c>
      <c r="E2193" s="13" t="n">
        <v>992.77</v>
      </c>
      <c r="F2193" s="13" t="s">
        <v>5325</v>
      </c>
      <c r="G2193" s="13" t="s">
        <v>5289</v>
      </c>
      <c r="H2193" s="13" t="s">
        <v>5292</v>
      </c>
      <c r="I2193" s="13" t="s">
        <v>5289</v>
      </c>
      <c r="J2193" s="13" t="s">
        <v>5289</v>
      </c>
      <c r="K2193" s="13" t="s">
        <v>5289</v>
      </c>
      <c r="L2193" s="13" t="n">
        <v>3614274114645</v>
      </c>
      <c r="M2193" s="13"/>
      <c r="N2193" s="13" t="n">
        <v>3614274114645</v>
      </c>
      <c r="O2193" s="13"/>
      <c r="P2193" s="13" t="s">
        <v>5291</v>
      </c>
      <c r="Q2193" s="13" t="s">
        <v>5289</v>
      </c>
      <c r="R2193" s="13" t="s">
        <v>5292</v>
      </c>
      <c r="S2193" s="13" t="s">
        <v>5293</v>
      </c>
      <c r="T2193" s="13" t="s">
        <v>5</v>
      </c>
      <c r="U2193" s="13" t="s">
        <v>43</v>
      </c>
      <c r="V2193" s="13" t="n">
        <f aca="false">IF(COUNTIF($B$2:B2193,B2193)=1,1,0)</f>
        <v>0</v>
      </c>
      <c r="W2193" s="13" t="n">
        <f aca="false">IF(COUNTIFS($B$2:B2193,B2193,$T$2:T2193,T2193)=1,1,0)</f>
        <v>0</v>
      </c>
    </row>
    <row r="2194" customFormat="false" ht="15" hidden="false" customHeight="false" outlineLevel="0" collapsed="false">
      <c r="A2194" s="13" t="s">
        <v>434</v>
      </c>
      <c r="B2194" s="13" t="s">
        <v>72</v>
      </c>
      <c r="C2194" s="13" t="n">
        <v>7900</v>
      </c>
      <c r="D2194" s="13" t="n">
        <v>10</v>
      </c>
      <c r="E2194" s="13" t="n">
        <v>719.300909090909</v>
      </c>
      <c r="F2194" s="13" t="s">
        <v>5325</v>
      </c>
      <c r="G2194" s="13" t="s">
        <v>5289</v>
      </c>
      <c r="H2194" s="13" t="s">
        <v>5289</v>
      </c>
      <c r="I2194" s="13" t="s">
        <v>5289</v>
      </c>
      <c r="J2194" s="13" t="s">
        <v>5289</v>
      </c>
      <c r="K2194" s="13" t="s">
        <v>5289</v>
      </c>
      <c r="L2194" s="13"/>
      <c r="M2194" s="13"/>
      <c r="N2194" s="13" t="n">
        <v>3614273760652</v>
      </c>
      <c r="O2194" s="13"/>
      <c r="P2194" s="13" t="s">
        <v>5291</v>
      </c>
      <c r="Q2194" s="13" t="s">
        <v>5289</v>
      </c>
      <c r="R2194" s="13" t="s">
        <v>5292</v>
      </c>
      <c r="S2194" s="13" t="s">
        <v>5293</v>
      </c>
      <c r="T2194" s="13" t="s">
        <v>5</v>
      </c>
      <c r="U2194" s="13" t="s">
        <v>43</v>
      </c>
      <c r="V2194" s="13" t="n">
        <f aca="false">IF(COUNTIF($B$2:B2194,B2194)=1,1,0)</f>
        <v>0</v>
      </c>
      <c r="W2194" s="13" t="n">
        <f aca="false">IF(COUNTIFS($B$2:B2194,B2194,$T$2:T2194,T2194)=1,1,0)</f>
        <v>0</v>
      </c>
    </row>
    <row r="2195" customFormat="false" ht="15" hidden="false" customHeight="false" outlineLevel="0" collapsed="false">
      <c r="A2195" s="13" t="s">
        <v>432</v>
      </c>
      <c r="B2195" s="13" t="s">
        <v>61</v>
      </c>
      <c r="C2195" s="13" t="n">
        <v>7900</v>
      </c>
      <c r="D2195" s="13" t="n">
        <v>10</v>
      </c>
      <c r="E2195" s="13" t="n">
        <v>719.09</v>
      </c>
      <c r="F2195" s="13" t="s">
        <v>5325</v>
      </c>
      <c r="G2195" s="13" t="s">
        <v>5292</v>
      </c>
      <c r="H2195" s="13" t="s">
        <v>5289</v>
      </c>
      <c r="I2195" s="13" t="s">
        <v>5289</v>
      </c>
      <c r="J2195" s="13" t="s">
        <v>5289</v>
      </c>
      <c r="K2195" s="13" t="s">
        <v>5289</v>
      </c>
      <c r="L2195" s="13" t="n">
        <v>3614274299229</v>
      </c>
      <c r="M2195" s="13"/>
      <c r="N2195" s="13" t="n">
        <v>3614274299229</v>
      </c>
      <c r="O2195" s="13"/>
      <c r="P2195" s="13" t="s">
        <v>5291</v>
      </c>
      <c r="Q2195" s="13" t="s">
        <v>5289</v>
      </c>
      <c r="R2195" s="13" t="s">
        <v>5292</v>
      </c>
      <c r="S2195" s="13" t="s">
        <v>5293</v>
      </c>
      <c r="T2195" s="13" t="s">
        <v>5</v>
      </c>
      <c r="U2195" s="13" t="s">
        <v>43</v>
      </c>
      <c r="V2195" s="13" t="n">
        <f aca="false">IF(COUNTIF($B$2:B2195,B2195)=1,1,0)</f>
        <v>0</v>
      </c>
      <c r="W2195" s="13" t="n">
        <f aca="false">IF(COUNTIFS($B$2:B2195,B2195,$T$2:T2195,T2195)=1,1,0)</f>
        <v>0</v>
      </c>
    </row>
    <row r="2196" customFormat="false" ht="15" hidden="false" customHeight="false" outlineLevel="0" collapsed="false">
      <c r="A2196" s="13" t="s">
        <v>152</v>
      </c>
      <c r="B2196" s="13" t="s">
        <v>42</v>
      </c>
      <c r="C2196" s="13" t="n">
        <v>7900</v>
      </c>
      <c r="D2196" s="13" t="n">
        <v>20</v>
      </c>
      <c r="E2196" s="13" t="n">
        <v>415.52</v>
      </c>
      <c r="F2196" s="13" t="s">
        <v>5325</v>
      </c>
      <c r="G2196" s="13" t="s">
        <v>5289</v>
      </c>
      <c r="H2196" s="13" t="s">
        <v>5289</v>
      </c>
      <c r="I2196" s="13" t="s">
        <v>5289</v>
      </c>
      <c r="J2196" s="13" t="s">
        <v>5289</v>
      </c>
      <c r="K2196" s="13" t="s">
        <v>5289</v>
      </c>
      <c r="L2196" s="13" t="n">
        <v>8411061781197</v>
      </c>
      <c r="M2196" s="13"/>
      <c r="N2196" s="13" t="n">
        <v>8411061781197</v>
      </c>
      <c r="O2196" s="13"/>
      <c r="P2196" s="13" t="s">
        <v>5291</v>
      </c>
      <c r="Q2196" s="13" t="s">
        <v>5289</v>
      </c>
      <c r="R2196" s="13" t="s">
        <v>5292</v>
      </c>
      <c r="S2196" s="13" t="s">
        <v>5293</v>
      </c>
      <c r="T2196" s="13" t="s">
        <v>5</v>
      </c>
      <c r="U2196" s="13" t="s">
        <v>43</v>
      </c>
      <c r="V2196" s="13" t="n">
        <f aca="false">IF(COUNTIF($B$2:B2196,B2196)=1,1,0)</f>
        <v>0</v>
      </c>
      <c r="W2196" s="13" t="n">
        <f aca="false">IF(COUNTIFS($B$2:B2196,B2196,$T$2:T2196,T2196)=1,1,0)</f>
        <v>0</v>
      </c>
    </row>
    <row r="2197" customFormat="false" ht="15" hidden="false" customHeight="false" outlineLevel="0" collapsed="false">
      <c r="A2197" s="13" t="s">
        <v>433</v>
      </c>
      <c r="B2197" s="13" t="s">
        <v>50</v>
      </c>
      <c r="C2197" s="13" t="n">
        <v>7900</v>
      </c>
      <c r="D2197" s="13" t="n">
        <v>10</v>
      </c>
      <c r="E2197" s="13" t="n">
        <v>657.2</v>
      </c>
      <c r="F2197" s="13" t="s">
        <v>5325</v>
      </c>
      <c r="G2197" s="13" t="s">
        <v>5289</v>
      </c>
      <c r="H2197" s="13" t="s">
        <v>5289</v>
      </c>
      <c r="I2197" s="13" t="s">
        <v>5289</v>
      </c>
      <c r="J2197" s="13" t="s">
        <v>5289</v>
      </c>
      <c r="K2197" s="13" t="s">
        <v>5289</v>
      </c>
      <c r="L2197" s="13" t="n">
        <v>3349668594412</v>
      </c>
      <c r="M2197" s="13"/>
      <c r="N2197" s="13" t="n">
        <v>3349668594412</v>
      </c>
      <c r="O2197" s="13"/>
      <c r="P2197" s="13" t="s">
        <v>5291</v>
      </c>
      <c r="Q2197" s="13" t="s">
        <v>5289</v>
      </c>
      <c r="R2197" s="13" t="s">
        <v>5292</v>
      </c>
      <c r="S2197" s="13" t="s">
        <v>5293</v>
      </c>
      <c r="T2197" s="13" t="s">
        <v>5</v>
      </c>
      <c r="U2197" s="13" t="s">
        <v>43</v>
      </c>
      <c r="V2197" s="13" t="n">
        <f aca="false">IF(COUNTIF($B$2:B2197,B2197)=1,1,0)</f>
        <v>0</v>
      </c>
      <c r="W2197" s="13" t="n">
        <f aca="false">IF(COUNTIFS($B$2:B2197,B2197,$T$2:T2197,T2197)=1,1,0)</f>
        <v>0</v>
      </c>
    </row>
    <row r="2198" customFormat="false" ht="15" hidden="false" customHeight="false" outlineLevel="0" collapsed="false">
      <c r="A2198" s="13" t="s">
        <v>436</v>
      </c>
      <c r="B2198" s="13" t="s">
        <v>45</v>
      </c>
      <c r="C2198" s="13" t="n">
        <v>7800</v>
      </c>
      <c r="D2198" s="13" t="n">
        <v>10</v>
      </c>
      <c r="E2198" s="13" t="n">
        <v>558.541428571429</v>
      </c>
      <c r="F2198" s="13" t="s">
        <v>5325</v>
      </c>
      <c r="G2198" s="13" t="s">
        <v>5289</v>
      </c>
      <c r="H2198" s="13" t="s">
        <v>5289</v>
      </c>
      <c r="I2198" s="13" t="s">
        <v>5289</v>
      </c>
      <c r="J2198" s="13" t="s">
        <v>5289</v>
      </c>
      <c r="K2198" s="13" t="s">
        <v>5289</v>
      </c>
      <c r="L2198" s="13"/>
      <c r="M2198" s="13"/>
      <c r="N2198" s="13" t="n">
        <v>8435415091244</v>
      </c>
      <c r="O2198" s="13"/>
      <c r="P2198" s="13" t="s">
        <v>5291</v>
      </c>
      <c r="Q2198" s="13" t="s">
        <v>5289</v>
      </c>
      <c r="R2198" s="13" t="s">
        <v>5292</v>
      </c>
      <c r="S2198" s="13" t="s">
        <v>5293</v>
      </c>
      <c r="T2198" s="13" t="s">
        <v>5</v>
      </c>
      <c r="U2198" s="13" t="s">
        <v>43</v>
      </c>
      <c r="V2198" s="13" t="n">
        <f aca="false">IF(COUNTIF($B$2:B2198,B2198)=1,1,0)</f>
        <v>0</v>
      </c>
      <c r="W2198" s="13" t="n">
        <f aca="false">IF(COUNTIFS($B$2:B2198,B2198,$T$2:T2198,T2198)=1,1,0)</f>
        <v>0</v>
      </c>
    </row>
    <row r="2199" customFormat="false" ht="15" hidden="false" customHeight="false" outlineLevel="0" collapsed="false">
      <c r="A2199" s="13" t="s">
        <v>440</v>
      </c>
      <c r="B2199" s="13" t="s">
        <v>42</v>
      </c>
      <c r="C2199" s="13" t="n">
        <v>7700</v>
      </c>
      <c r="D2199" s="13" t="n">
        <v>10</v>
      </c>
      <c r="E2199" s="13" t="n">
        <v>703.203636363636</v>
      </c>
      <c r="F2199" s="13" t="s">
        <v>5325</v>
      </c>
      <c r="G2199" s="13" t="s">
        <v>5289</v>
      </c>
      <c r="H2199" s="13" t="s">
        <v>5292</v>
      </c>
      <c r="I2199" s="13" t="s">
        <v>5289</v>
      </c>
      <c r="J2199" s="13" t="s">
        <v>5289</v>
      </c>
      <c r="K2199" s="13" t="s">
        <v>5289</v>
      </c>
      <c r="L2199" s="13" t="n">
        <v>8411061134351</v>
      </c>
      <c r="M2199" s="13"/>
      <c r="N2199" s="13" t="n">
        <v>8411061134351</v>
      </c>
      <c r="O2199" s="13"/>
      <c r="P2199" s="13" t="s">
        <v>5297</v>
      </c>
      <c r="Q2199" s="13" t="s">
        <v>5289</v>
      </c>
      <c r="R2199" s="13" t="s">
        <v>5292</v>
      </c>
      <c r="S2199" s="13" t="s">
        <v>5293</v>
      </c>
      <c r="T2199" s="13" t="s">
        <v>5</v>
      </c>
      <c r="U2199" s="13" t="s">
        <v>43</v>
      </c>
      <c r="V2199" s="13" t="n">
        <f aca="false">IF(COUNTIF($B$2:B2199,B2199)=1,1,0)</f>
        <v>0</v>
      </c>
      <c r="W2199" s="13" t="n">
        <f aca="false">IF(COUNTIFS($B$2:B2199,B2199,$T$2:T2199,T2199)=1,1,0)</f>
        <v>0</v>
      </c>
    </row>
    <row r="2200" customFormat="false" ht="15" hidden="false" customHeight="false" outlineLevel="0" collapsed="false">
      <c r="A2200" s="13" t="s">
        <v>84</v>
      </c>
      <c r="B2200" s="13" t="s">
        <v>42</v>
      </c>
      <c r="C2200" s="13" t="n">
        <v>7700</v>
      </c>
      <c r="D2200" s="13" t="n">
        <v>10</v>
      </c>
      <c r="E2200" s="13" t="n">
        <v>592.99</v>
      </c>
      <c r="F2200" s="13" t="s">
        <v>5288</v>
      </c>
      <c r="G2200" s="13" t="s">
        <v>5292</v>
      </c>
      <c r="H2200" s="13" t="s">
        <v>5292</v>
      </c>
      <c r="I2200" s="13" t="s">
        <v>5289</v>
      </c>
      <c r="J2200" s="13" t="s">
        <v>5289</v>
      </c>
      <c r="K2200" s="13" t="s">
        <v>5289</v>
      </c>
      <c r="L2200" s="13" t="n">
        <v>8.41106187051884E+025</v>
      </c>
      <c r="M2200" s="13"/>
      <c r="N2200" s="13" t="n">
        <v>8411061870518</v>
      </c>
      <c r="O2200" s="13"/>
      <c r="P2200" s="13" t="s">
        <v>5291</v>
      </c>
      <c r="Q2200" s="13" t="s">
        <v>5289</v>
      </c>
      <c r="R2200" s="13" t="s">
        <v>5292</v>
      </c>
      <c r="S2200" s="13" t="s">
        <v>5293</v>
      </c>
      <c r="T2200" s="13" t="s">
        <v>5</v>
      </c>
      <c r="U2200" s="13" t="s">
        <v>43</v>
      </c>
      <c r="V2200" s="13" t="n">
        <f aca="false">IF(COUNTIF($B$2:B2200,B2200)=1,1,0)</f>
        <v>0</v>
      </c>
      <c r="W2200" s="13" t="n">
        <f aca="false">IF(COUNTIFS($B$2:B2200,B2200,$T$2:T2200,T2200)=1,1,0)</f>
        <v>0</v>
      </c>
    </row>
    <row r="2201" customFormat="false" ht="15" hidden="false" customHeight="false" outlineLevel="0" collapsed="false">
      <c r="A2201" s="13" t="s">
        <v>439</v>
      </c>
      <c r="B2201" s="13" t="s">
        <v>54</v>
      </c>
      <c r="C2201" s="13" t="n">
        <v>7700</v>
      </c>
      <c r="D2201" s="13" t="n">
        <v>20</v>
      </c>
      <c r="E2201" s="13" t="n">
        <v>306.25</v>
      </c>
      <c r="F2201" s="13" t="s">
        <v>5325</v>
      </c>
      <c r="G2201" s="13" t="s">
        <v>5289</v>
      </c>
      <c r="H2201" s="13" t="s">
        <v>5292</v>
      </c>
      <c r="I2201" s="13" t="s">
        <v>5289</v>
      </c>
      <c r="J2201" s="13" t="s">
        <v>5289</v>
      </c>
      <c r="K2201" s="13" t="s">
        <v>5289</v>
      </c>
      <c r="L2201" s="13" t="n">
        <v>729238146600</v>
      </c>
      <c r="M2201" s="13"/>
      <c r="N2201" s="13" t="n">
        <v>729238146600</v>
      </c>
      <c r="O2201" s="13"/>
      <c r="P2201" s="13" t="s">
        <v>5291</v>
      </c>
      <c r="Q2201" s="13" t="s">
        <v>5289</v>
      </c>
      <c r="R2201" s="13" t="s">
        <v>5292</v>
      </c>
      <c r="S2201" s="13" t="s">
        <v>5293</v>
      </c>
      <c r="T2201" s="13" t="s">
        <v>5</v>
      </c>
      <c r="U2201" s="13" t="s">
        <v>43</v>
      </c>
      <c r="V2201" s="13" t="n">
        <f aca="false">IF(COUNTIF($B$2:B2201,B2201)=1,1,0)</f>
        <v>0</v>
      </c>
      <c r="W2201" s="13" t="n">
        <f aca="false">IF(COUNTIFS($B$2:B2201,B2201,$T$2:T2201,T2201)=1,1,0)</f>
        <v>0</v>
      </c>
    </row>
    <row r="2202" customFormat="false" ht="15" hidden="false" customHeight="false" outlineLevel="0" collapsed="false">
      <c r="A2202" s="13" t="s">
        <v>441</v>
      </c>
      <c r="B2202" s="13" t="s">
        <v>61</v>
      </c>
      <c r="C2202" s="13" t="n">
        <v>7600</v>
      </c>
      <c r="D2202" s="13" t="n">
        <v>10</v>
      </c>
      <c r="E2202" s="13" t="n">
        <v>692.7</v>
      </c>
      <c r="F2202" s="13" t="s">
        <v>5325</v>
      </c>
      <c r="G2202" s="13" t="s">
        <v>5289</v>
      </c>
      <c r="H2202" s="13" t="s">
        <v>5289</v>
      </c>
      <c r="I2202" s="13" t="s">
        <v>5289</v>
      </c>
      <c r="J2202" s="13" t="s">
        <v>5289</v>
      </c>
      <c r="K2202" s="13" t="s">
        <v>5289</v>
      </c>
      <c r="L2202" s="13" t="n">
        <v>3614274104370</v>
      </c>
      <c r="M2202" s="13"/>
      <c r="N2202" s="13" t="n">
        <v>3614274104370</v>
      </c>
      <c r="O2202" s="13"/>
      <c r="P2202" s="13" t="s">
        <v>5291</v>
      </c>
      <c r="Q2202" s="13" t="s">
        <v>5289</v>
      </c>
      <c r="R2202" s="13" t="s">
        <v>5292</v>
      </c>
      <c r="S2202" s="13" t="s">
        <v>5293</v>
      </c>
      <c r="T2202" s="13" t="s">
        <v>5</v>
      </c>
      <c r="U2202" s="13" t="s">
        <v>43</v>
      </c>
      <c r="V2202" s="13" t="n">
        <f aca="false">IF(COUNTIF($B$2:B2202,B2202)=1,1,0)</f>
        <v>0</v>
      </c>
      <c r="W2202" s="13" t="n">
        <f aca="false">IF(COUNTIFS($B$2:B2202,B2202,$T$2:T2202,T2202)=1,1,0)</f>
        <v>0</v>
      </c>
    </row>
    <row r="2203" customFormat="false" ht="15" hidden="false" customHeight="false" outlineLevel="0" collapsed="false">
      <c r="A2203" s="13" t="s">
        <v>120</v>
      </c>
      <c r="B2203" s="13" t="s">
        <v>69</v>
      </c>
      <c r="C2203" s="13" t="n">
        <v>7600</v>
      </c>
      <c r="D2203" s="13" t="n">
        <v>20</v>
      </c>
      <c r="E2203" s="13" t="n">
        <v>446.649411764706</v>
      </c>
      <c r="F2203" s="13" t="s">
        <v>5325</v>
      </c>
      <c r="G2203" s="13" t="s">
        <v>5292</v>
      </c>
      <c r="H2203" s="13" t="s">
        <v>5289</v>
      </c>
      <c r="I2203" s="13" t="s">
        <v>5289</v>
      </c>
      <c r="J2203" s="13" t="s">
        <v>5289</v>
      </c>
      <c r="K2203" s="13" t="s">
        <v>5289</v>
      </c>
      <c r="L2203" s="13"/>
      <c r="M2203" s="13"/>
      <c r="N2203" s="13" t="n">
        <v>3614273069533</v>
      </c>
      <c r="O2203" s="13"/>
      <c r="P2203" s="13" t="s">
        <v>5291</v>
      </c>
      <c r="Q2203" s="13" t="s">
        <v>5289</v>
      </c>
      <c r="R2203" s="13" t="s">
        <v>5292</v>
      </c>
      <c r="S2203" s="13" t="s">
        <v>5293</v>
      </c>
      <c r="T2203" s="13" t="s">
        <v>5</v>
      </c>
      <c r="U2203" s="13" t="s">
        <v>43</v>
      </c>
      <c r="V2203" s="13" t="n">
        <f aca="false">IF(COUNTIF($B$2:B2203,B2203)=1,1,0)</f>
        <v>0</v>
      </c>
      <c r="W2203" s="13" t="n">
        <f aca="false">IF(COUNTIFS($B$2:B2203,B2203,$T$2:T2203,T2203)=1,1,0)</f>
        <v>0</v>
      </c>
    </row>
    <row r="2204" customFormat="false" ht="15" hidden="false" customHeight="false" outlineLevel="0" collapsed="false">
      <c r="A2204" s="13" t="s">
        <v>442</v>
      </c>
      <c r="B2204" s="13" t="s">
        <v>42</v>
      </c>
      <c r="C2204" s="13" t="n">
        <v>7600</v>
      </c>
      <c r="D2204" s="13" t="n">
        <v>20</v>
      </c>
      <c r="E2204" s="13" t="n">
        <v>472.62625</v>
      </c>
      <c r="F2204" s="13" t="s">
        <v>5325</v>
      </c>
      <c r="G2204" s="13" t="s">
        <v>5289</v>
      </c>
      <c r="H2204" s="13" t="s">
        <v>5289</v>
      </c>
      <c r="I2204" s="13" t="s">
        <v>5289</v>
      </c>
      <c r="J2204" s="13" t="s">
        <v>5289</v>
      </c>
      <c r="K2204" s="13" t="s">
        <v>5289</v>
      </c>
      <c r="L2204" s="13" t="n">
        <v>8411061057193</v>
      </c>
      <c r="M2204" s="13"/>
      <c r="N2204" s="13" t="n">
        <v>8411061057193</v>
      </c>
      <c r="O2204" s="13"/>
      <c r="P2204" s="13" t="s">
        <v>5291</v>
      </c>
      <c r="Q2204" s="13" t="s">
        <v>5289</v>
      </c>
      <c r="R2204" s="13" t="s">
        <v>5292</v>
      </c>
      <c r="S2204" s="13" t="s">
        <v>5293</v>
      </c>
      <c r="T2204" s="13" t="s">
        <v>5</v>
      </c>
      <c r="U2204" s="13" t="s">
        <v>43</v>
      </c>
      <c r="V2204" s="13" t="n">
        <f aca="false">IF(COUNTIF($B$2:B2204,B2204)=1,1,0)</f>
        <v>0</v>
      </c>
      <c r="W2204" s="13" t="n">
        <f aca="false">IF(COUNTIFS($B$2:B2204,B2204,$T$2:T2204,T2204)=1,1,0)</f>
        <v>0</v>
      </c>
    </row>
    <row r="2205" customFormat="false" ht="15" hidden="false" customHeight="false" outlineLevel="0" collapsed="false">
      <c r="A2205" s="13" t="s">
        <v>125</v>
      </c>
      <c r="B2205" s="13" t="s">
        <v>124</v>
      </c>
      <c r="C2205" s="13" t="n">
        <v>7500</v>
      </c>
      <c r="D2205" s="13" t="n">
        <v>20</v>
      </c>
      <c r="E2205" s="13" t="n">
        <v>444</v>
      </c>
      <c r="F2205" s="13" t="s">
        <v>5325</v>
      </c>
      <c r="G2205" s="13" t="s">
        <v>5289</v>
      </c>
      <c r="H2205" s="13" t="s">
        <v>5289</v>
      </c>
      <c r="I2205" s="13" t="s">
        <v>5289</v>
      </c>
      <c r="J2205" s="13" t="s">
        <v>5289</v>
      </c>
      <c r="K2205" s="13" t="s">
        <v>5289</v>
      </c>
      <c r="L2205" s="13" t="n">
        <v>3614273953856</v>
      </c>
      <c r="M2205" s="13"/>
      <c r="N2205" s="13" t="n">
        <v>3614273953856</v>
      </c>
      <c r="O2205" s="13"/>
      <c r="P2205" s="13" t="s">
        <v>5291</v>
      </c>
      <c r="Q2205" s="13" t="s">
        <v>5289</v>
      </c>
      <c r="R2205" s="13" t="s">
        <v>5292</v>
      </c>
      <c r="S2205" s="13" t="s">
        <v>5293</v>
      </c>
      <c r="T2205" s="13" t="s">
        <v>5</v>
      </c>
      <c r="U2205" s="13" t="s">
        <v>43</v>
      </c>
      <c r="V2205" s="13" t="n">
        <f aca="false">IF(COUNTIF($B$2:B2205,B2205)=1,1,0)</f>
        <v>0</v>
      </c>
      <c r="W2205" s="13" t="n">
        <f aca="false">IF(COUNTIFS($B$2:B2205,B2205,$T$2:T2205,T2205)=1,1,0)</f>
        <v>0</v>
      </c>
    </row>
    <row r="2206" customFormat="false" ht="15" hidden="false" customHeight="false" outlineLevel="0" collapsed="false">
      <c r="A2206" s="13" t="s">
        <v>436</v>
      </c>
      <c r="B2206" s="13" t="s">
        <v>45</v>
      </c>
      <c r="C2206" s="13" t="n">
        <v>7500</v>
      </c>
      <c r="D2206" s="13" t="n">
        <v>10</v>
      </c>
      <c r="E2206" s="13" t="n">
        <v>533.272857142857</v>
      </c>
      <c r="F2206" s="13" t="s">
        <v>5288</v>
      </c>
      <c r="G2206" s="13" t="s">
        <v>5289</v>
      </c>
      <c r="H2206" s="13" t="s">
        <v>5289</v>
      </c>
      <c r="I2206" s="13" t="s">
        <v>5289</v>
      </c>
      <c r="J2206" s="13" t="s">
        <v>5289</v>
      </c>
      <c r="K2206" s="13" t="s">
        <v>5289</v>
      </c>
      <c r="L2206" s="13"/>
      <c r="M2206" s="13"/>
      <c r="N2206" s="13" t="n">
        <v>8435415091244</v>
      </c>
      <c r="O2206" s="13"/>
      <c r="P2206" s="13" t="s">
        <v>5291</v>
      </c>
      <c r="Q2206" s="13" t="s">
        <v>5289</v>
      </c>
      <c r="R2206" s="13" t="s">
        <v>5292</v>
      </c>
      <c r="S2206" s="13" t="s">
        <v>5293</v>
      </c>
      <c r="T2206" s="13" t="s">
        <v>5</v>
      </c>
      <c r="U2206" s="13" t="s">
        <v>43</v>
      </c>
      <c r="V2206" s="13" t="n">
        <f aca="false">IF(COUNTIF($B$2:B2206,B2206)=1,1,0)</f>
        <v>0</v>
      </c>
      <c r="W2206" s="13" t="n">
        <f aca="false">IF(COUNTIFS($B$2:B2206,B2206,$T$2:T2206,T2206)=1,1,0)</f>
        <v>0</v>
      </c>
    </row>
    <row r="2207" customFormat="false" ht="15" hidden="false" customHeight="false" outlineLevel="0" collapsed="false">
      <c r="A2207" s="13" t="s">
        <v>327</v>
      </c>
      <c r="B2207" s="13" t="s">
        <v>61</v>
      </c>
      <c r="C2207" s="13" t="n">
        <v>7400</v>
      </c>
      <c r="D2207" s="13" t="n">
        <v>5</v>
      </c>
      <c r="E2207" s="13" t="n">
        <v>824.13</v>
      </c>
      <c r="F2207" s="13" t="s">
        <v>5288</v>
      </c>
      <c r="G2207" s="13" t="s">
        <v>5289</v>
      </c>
      <c r="H2207" s="13" t="s">
        <v>5289</v>
      </c>
      <c r="I2207" s="13" t="s">
        <v>5289</v>
      </c>
      <c r="J2207" s="13" t="s">
        <v>5289</v>
      </c>
      <c r="K2207" s="13" t="s">
        <v>5289</v>
      </c>
      <c r="L2207" s="13" t="n">
        <v>3614274397253</v>
      </c>
      <c r="M2207" s="13"/>
      <c r="N2207" s="13" t="n">
        <v>3614274397253</v>
      </c>
      <c r="O2207" s="13"/>
      <c r="P2207" s="13" t="s">
        <v>5291</v>
      </c>
      <c r="Q2207" s="13" t="s">
        <v>5289</v>
      </c>
      <c r="R2207" s="13" t="s">
        <v>5292</v>
      </c>
      <c r="S2207" s="13" t="s">
        <v>5293</v>
      </c>
      <c r="T2207" s="13" t="s">
        <v>5</v>
      </c>
      <c r="U2207" s="13" t="s">
        <v>43</v>
      </c>
      <c r="V2207" s="13" t="n">
        <f aca="false">IF(COUNTIF($B$2:B2207,B2207)=1,1,0)</f>
        <v>0</v>
      </c>
      <c r="W2207" s="13" t="n">
        <f aca="false">IF(COUNTIFS($B$2:B2207,B2207,$T$2:T2207,T2207)=1,1,0)</f>
        <v>0</v>
      </c>
    </row>
    <row r="2208" customFormat="false" ht="15" hidden="false" customHeight="false" outlineLevel="0" collapsed="false">
      <c r="A2208" s="13" t="s">
        <v>448</v>
      </c>
      <c r="B2208" s="13" t="s">
        <v>153</v>
      </c>
      <c r="C2208" s="13" t="n">
        <v>7400</v>
      </c>
      <c r="D2208" s="13" t="n">
        <v>30</v>
      </c>
      <c r="E2208" s="13" t="n">
        <v>274.448148148148</v>
      </c>
      <c r="F2208" s="13" t="s">
        <v>5288</v>
      </c>
      <c r="G2208" s="13" t="s">
        <v>5289</v>
      </c>
      <c r="H2208" s="13" t="s">
        <v>5289</v>
      </c>
      <c r="I2208" s="13" t="s">
        <v>5289</v>
      </c>
      <c r="J2208" s="13" t="s">
        <v>5289</v>
      </c>
      <c r="K2208" s="13" t="s">
        <v>5289</v>
      </c>
      <c r="L2208" s="13" t="n">
        <v>8011003809196</v>
      </c>
      <c r="M2208" s="13"/>
      <c r="N2208" s="13" t="n">
        <v>8011003809196</v>
      </c>
      <c r="O2208" s="13"/>
      <c r="P2208" s="13" t="s">
        <v>5297</v>
      </c>
      <c r="Q2208" s="13" t="s">
        <v>5289</v>
      </c>
      <c r="R2208" s="13" t="s">
        <v>5292</v>
      </c>
      <c r="S2208" s="13" t="s">
        <v>5293</v>
      </c>
      <c r="T2208" s="13" t="s">
        <v>5</v>
      </c>
      <c r="U2208" s="13" t="s">
        <v>43</v>
      </c>
      <c r="V2208" s="13" t="n">
        <f aca="false">IF(COUNTIF($B$2:B2208,B2208)=1,1,0)</f>
        <v>0</v>
      </c>
      <c r="W2208" s="13" t="n">
        <f aca="false">IF(COUNTIFS($B$2:B2208,B2208,$T$2:T2208,T2208)=1,1,0)</f>
        <v>0</v>
      </c>
    </row>
    <row r="2209" customFormat="false" ht="15" hidden="false" customHeight="false" outlineLevel="0" collapsed="false">
      <c r="A2209" s="13" t="s">
        <v>292</v>
      </c>
      <c r="B2209" s="13" t="s">
        <v>45</v>
      </c>
      <c r="C2209" s="13" t="n">
        <v>7400</v>
      </c>
      <c r="D2209" s="13" t="n">
        <v>5</v>
      </c>
      <c r="E2209" s="13" t="n">
        <v>922.2</v>
      </c>
      <c r="F2209" s="13" t="s">
        <v>5325</v>
      </c>
      <c r="G2209" s="13" t="s">
        <v>5289</v>
      </c>
      <c r="H2209" s="13" t="s">
        <v>5289</v>
      </c>
      <c r="I2209" s="13" t="s">
        <v>5289</v>
      </c>
      <c r="J2209" s="13" t="s">
        <v>5289</v>
      </c>
      <c r="K2209" s="13" t="s">
        <v>5289</v>
      </c>
      <c r="L2209" s="13" t="n">
        <v>8435415080392</v>
      </c>
      <c r="M2209" s="13"/>
      <c r="N2209" s="13" t="n">
        <v>8435415080392</v>
      </c>
      <c r="O2209" s="13"/>
      <c r="P2209" s="13" t="s">
        <v>5291</v>
      </c>
      <c r="Q2209" s="13" t="s">
        <v>5289</v>
      </c>
      <c r="R2209" s="13" t="s">
        <v>5292</v>
      </c>
      <c r="S2209" s="13" t="s">
        <v>5293</v>
      </c>
      <c r="T2209" s="13" t="s">
        <v>5</v>
      </c>
      <c r="U2209" s="13" t="s">
        <v>43</v>
      </c>
      <c r="V2209" s="13" t="n">
        <f aca="false">IF(COUNTIF($B$2:B2209,B2209)=1,1,0)</f>
        <v>0</v>
      </c>
      <c r="W2209" s="13" t="n">
        <f aca="false">IF(COUNTIFS($B$2:B2209,B2209,$T$2:T2209,T2209)=1,1,0)</f>
        <v>0</v>
      </c>
    </row>
    <row r="2210" customFormat="false" ht="15" hidden="false" customHeight="false" outlineLevel="0" collapsed="false">
      <c r="A2210" s="13" t="s">
        <v>447</v>
      </c>
      <c r="B2210" s="13" t="s">
        <v>45</v>
      </c>
      <c r="C2210" s="13" t="n">
        <v>7400</v>
      </c>
      <c r="D2210" s="13" t="n">
        <v>5</v>
      </c>
      <c r="E2210" s="13" t="n">
        <v>816.697777777778</v>
      </c>
      <c r="F2210" s="13" t="s">
        <v>5325</v>
      </c>
      <c r="G2210" s="13" t="s">
        <v>5289</v>
      </c>
      <c r="H2210" s="13" t="s">
        <v>5292</v>
      </c>
      <c r="I2210" s="13" t="s">
        <v>5289</v>
      </c>
      <c r="J2210" s="13" t="s">
        <v>5289</v>
      </c>
      <c r="K2210" s="13" t="s">
        <v>5289</v>
      </c>
      <c r="L2210" s="13" t="n">
        <v>8435415065214</v>
      </c>
      <c r="M2210" s="13"/>
      <c r="N2210" s="13" t="n">
        <v>8435415065214</v>
      </c>
      <c r="O2210" s="13"/>
      <c r="P2210" s="13" t="s">
        <v>5291</v>
      </c>
      <c r="Q2210" s="13" t="s">
        <v>5289</v>
      </c>
      <c r="R2210" s="13" t="s">
        <v>5292</v>
      </c>
      <c r="S2210" s="13" t="s">
        <v>5293</v>
      </c>
      <c r="T2210" s="13" t="s">
        <v>5</v>
      </c>
      <c r="U2210" s="13" t="s">
        <v>43</v>
      </c>
      <c r="V2210" s="13" t="n">
        <f aca="false">IF(COUNTIF($B$2:B2210,B2210)=1,1,0)</f>
        <v>0</v>
      </c>
      <c r="W2210" s="13" t="n">
        <f aca="false">IF(COUNTIFS($B$2:B2210,B2210,$T$2:T2210,T2210)=1,1,0)</f>
        <v>0</v>
      </c>
    </row>
    <row r="2211" customFormat="false" ht="15" hidden="false" customHeight="false" outlineLevel="0" collapsed="false">
      <c r="A2211" s="13" t="s">
        <v>450</v>
      </c>
      <c r="B2211" s="13" t="s">
        <v>153</v>
      </c>
      <c r="C2211" s="13" t="n">
        <v>7300</v>
      </c>
      <c r="D2211" s="13" t="n">
        <v>10</v>
      </c>
      <c r="E2211" s="13" t="n">
        <v>610.943333333333</v>
      </c>
      <c r="F2211" s="13" t="s">
        <v>5325</v>
      </c>
      <c r="G2211" s="13" t="s">
        <v>5289</v>
      </c>
      <c r="H2211" s="13" t="s">
        <v>5289</v>
      </c>
      <c r="I2211" s="13" t="s">
        <v>5289</v>
      </c>
      <c r="J2211" s="13" t="s">
        <v>5289</v>
      </c>
      <c r="K2211" s="13" t="s">
        <v>5289</v>
      </c>
      <c r="L2211" s="13" t="n">
        <v>8011003813858</v>
      </c>
      <c r="M2211" s="13"/>
      <c r="N2211" s="13" t="n">
        <v>8011003813858</v>
      </c>
      <c r="O2211" s="13"/>
      <c r="P2211" s="13" t="s">
        <v>5297</v>
      </c>
      <c r="Q2211" s="13" t="s">
        <v>5289</v>
      </c>
      <c r="R2211" s="13" t="s">
        <v>5292</v>
      </c>
      <c r="S2211" s="13" t="s">
        <v>5293</v>
      </c>
      <c r="T2211" s="13" t="s">
        <v>5</v>
      </c>
      <c r="U2211" s="13" t="s">
        <v>43</v>
      </c>
      <c r="V2211" s="13" t="n">
        <f aca="false">IF(COUNTIF($B$2:B2211,B2211)=1,1,0)</f>
        <v>0</v>
      </c>
      <c r="W2211" s="13" t="n">
        <f aca="false">IF(COUNTIFS($B$2:B2211,B2211,$T$2:T2211,T2211)=1,1,0)</f>
        <v>0</v>
      </c>
    </row>
    <row r="2212" customFormat="false" ht="15" hidden="false" customHeight="false" outlineLevel="0" collapsed="false">
      <c r="A2212" s="13" t="s">
        <v>185</v>
      </c>
      <c r="B2212" s="13" t="s">
        <v>50</v>
      </c>
      <c r="C2212" s="13" t="n">
        <v>7200</v>
      </c>
      <c r="D2212" s="13" t="n">
        <v>5</v>
      </c>
      <c r="E2212" s="13" t="n">
        <v>800</v>
      </c>
      <c r="F2212" s="13" t="s">
        <v>5325</v>
      </c>
      <c r="G2212" s="13" t="s">
        <v>5289</v>
      </c>
      <c r="H2212" s="13" t="s">
        <v>5289</v>
      </c>
      <c r="I2212" s="13" t="s">
        <v>5289</v>
      </c>
      <c r="J2212" s="13" t="s">
        <v>5289</v>
      </c>
      <c r="K2212" s="13" t="s">
        <v>5289</v>
      </c>
      <c r="L2212" s="13" t="n">
        <v>3349668600298</v>
      </c>
      <c r="M2212" s="13"/>
      <c r="N2212" s="13" t="n">
        <v>3349668600298</v>
      </c>
      <c r="O2212" s="13"/>
      <c r="P2212" s="13" t="s">
        <v>5297</v>
      </c>
      <c r="Q2212" s="13" t="s">
        <v>5289</v>
      </c>
      <c r="R2212" s="13" t="s">
        <v>5292</v>
      </c>
      <c r="S2212" s="13" t="s">
        <v>5293</v>
      </c>
      <c r="T2212" s="13" t="s">
        <v>5</v>
      </c>
      <c r="U2212" s="13" t="s">
        <v>43</v>
      </c>
      <c r="V2212" s="13" t="n">
        <f aca="false">IF(COUNTIF($B$2:B2212,B2212)=1,1,0)</f>
        <v>0</v>
      </c>
      <c r="W2212" s="13" t="n">
        <f aca="false">IF(COUNTIFS($B$2:B2212,B2212,$T$2:T2212,T2212)=1,1,0)</f>
        <v>0</v>
      </c>
    </row>
    <row r="2213" customFormat="false" ht="15" hidden="false" customHeight="false" outlineLevel="0" collapsed="false">
      <c r="A2213" s="13" t="s">
        <v>455</v>
      </c>
      <c r="B2213" s="13" t="s">
        <v>124</v>
      </c>
      <c r="C2213" s="13" t="n">
        <v>7200</v>
      </c>
      <c r="D2213" s="13" t="n">
        <v>5</v>
      </c>
      <c r="E2213" s="13" t="n">
        <v>717.55</v>
      </c>
      <c r="F2213" s="13" t="s">
        <v>5325</v>
      </c>
      <c r="G2213" s="13" t="s">
        <v>5289</v>
      </c>
      <c r="H2213" s="13" t="s">
        <v>5292</v>
      </c>
      <c r="I2213" s="13" t="s">
        <v>5289</v>
      </c>
      <c r="J2213" s="13" t="s">
        <v>5289</v>
      </c>
      <c r="K2213" s="13" t="s">
        <v>5289</v>
      </c>
      <c r="L2213" s="13" t="n">
        <v>3614272907690</v>
      </c>
      <c r="M2213" s="13"/>
      <c r="N2213" s="13" t="n">
        <v>3614272907690</v>
      </c>
      <c r="O2213" s="13"/>
      <c r="P2213" s="13" t="s">
        <v>5291</v>
      </c>
      <c r="Q2213" s="13" t="s">
        <v>5289</v>
      </c>
      <c r="R2213" s="13" t="s">
        <v>5292</v>
      </c>
      <c r="S2213" s="13" t="s">
        <v>5293</v>
      </c>
      <c r="T2213" s="13" t="s">
        <v>5</v>
      </c>
      <c r="U2213" s="13" t="s">
        <v>43</v>
      </c>
      <c r="V2213" s="13" t="n">
        <f aca="false">IF(COUNTIF($B$2:B2213,B2213)=1,1,0)</f>
        <v>0</v>
      </c>
      <c r="W2213" s="13" t="n">
        <f aca="false">IF(COUNTIFS($B$2:B2213,B2213,$T$2:T2213,T2213)=1,1,0)</f>
        <v>0</v>
      </c>
    </row>
    <row r="2214" customFormat="false" ht="15" hidden="false" customHeight="false" outlineLevel="0" collapsed="false">
      <c r="A2214" s="13" t="s">
        <v>2889</v>
      </c>
      <c r="B2214" s="13" t="s">
        <v>2154</v>
      </c>
      <c r="C2214" s="13" t="n">
        <v>7100</v>
      </c>
      <c r="D2214" s="13" t="n">
        <v>30</v>
      </c>
      <c r="E2214" s="13" t="n">
        <v>263.274814814815</v>
      </c>
      <c r="F2214" s="13" t="s">
        <v>5325</v>
      </c>
      <c r="G2214" s="13" t="s">
        <v>5289</v>
      </c>
      <c r="H2214" s="13" t="s">
        <v>5289</v>
      </c>
      <c r="I2214" s="13" t="s">
        <v>5289</v>
      </c>
      <c r="J2214" s="13" t="s">
        <v>5289</v>
      </c>
      <c r="K2214" s="13" t="s">
        <v>5289</v>
      </c>
      <c r="L2214" s="13" t="n">
        <v>3360373063703</v>
      </c>
      <c r="M2214" s="13"/>
      <c r="N2214" s="13" t="n">
        <v>3360373063703</v>
      </c>
      <c r="O2214" s="13"/>
      <c r="P2214" s="13" t="s">
        <v>5291</v>
      </c>
      <c r="Q2214" s="13" t="s">
        <v>5289</v>
      </c>
      <c r="R2214" s="13" t="s">
        <v>5292</v>
      </c>
      <c r="S2214" s="13" t="s">
        <v>5293</v>
      </c>
      <c r="T2214" s="13" t="s">
        <v>5</v>
      </c>
      <c r="U2214" s="13" t="s">
        <v>43</v>
      </c>
      <c r="V2214" s="13" t="n">
        <f aca="false">IF(COUNTIF($B$2:B2214,B2214)=1,1,0)</f>
        <v>0</v>
      </c>
      <c r="W2214" s="13" t="n">
        <f aca="false">IF(COUNTIFS($B$2:B2214,B2214,$T$2:T2214,T2214)=1,1,0)</f>
        <v>1</v>
      </c>
    </row>
    <row r="2215" customFormat="false" ht="15" hidden="false" customHeight="false" outlineLevel="0" collapsed="false">
      <c r="A2215" s="13" t="s">
        <v>460</v>
      </c>
      <c r="B2215" s="13" t="s">
        <v>42</v>
      </c>
      <c r="C2215" s="13" t="n">
        <v>7100</v>
      </c>
      <c r="D2215" s="13" t="n">
        <v>5</v>
      </c>
      <c r="E2215" s="13" t="n">
        <v>708.464</v>
      </c>
      <c r="F2215" s="13" t="s">
        <v>5325</v>
      </c>
      <c r="G2215" s="13" t="s">
        <v>5289</v>
      </c>
      <c r="H2215" s="13" t="s">
        <v>5289</v>
      </c>
      <c r="I2215" s="13" t="s">
        <v>5289</v>
      </c>
      <c r="J2215" s="13" t="s">
        <v>5289</v>
      </c>
      <c r="K2215" s="13" t="s">
        <v>5289</v>
      </c>
      <c r="L2215" s="13" t="n">
        <v>8411061057056</v>
      </c>
      <c r="M2215" s="13"/>
      <c r="N2215" s="13" t="n">
        <v>8411061057056</v>
      </c>
      <c r="O2215" s="13"/>
      <c r="P2215" s="13" t="s">
        <v>5291</v>
      </c>
      <c r="Q2215" s="13" t="s">
        <v>5289</v>
      </c>
      <c r="R2215" s="13" t="s">
        <v>5292</v>
      </c>
      <c r="S2215" s="13" t="s">
        <v>5293</v>
      </c>
      <c r="T2215" s="13" t="s">
        <v>5</v>
      </c>
      <c r="U2215" s="13" t="s">
        <v>43</v>
      </c>
      <c r="V2215" s="13" t="n">
        <f aca="false">IF(COUNTIF($B$2:B2215,B2215)=1,1,0)</f>
        <v>0</v>
      </c>
      <c r="W2215" s="13" t="n">
        <f aca="false">IF(COUNTIFS($B$2:B2215,B2215,$T$2:T2215,T2215)=1,1,0)</f>
        <v>0</v>
      </c>
    </row>
    <row r="2216" customFormat="false" ht="15" hidden="false" customHeight="false" outlineLevel="0" collapsed="false">
      <c r="A2216" s="13" t="s">
        <v>456</v>
      </c>
      <c r="B2216" s="13" t="s">
        <v>103</v>
      </c>
      <c r="C2216" s="13" t="n">
        <v>7100</v>
      </c>
      <c r="D2216" s="13" t="n">
        <v>40</v>
      </c>
      <c r="E2216" s="13" t="n">
        <v>172.288048780488</v>
      </c>
      <c r="F2216" s="13" t="s">
        <v>5325</v>
      </c>
      <c r="G2216" s="13" t="s">
        <v>5289</v>
      </c>
      <c r="H2216" s="13" t="s">
        <v>5289</v>
      </c>
      <c r="I2216" s="13" t="s">
        <v>5289</v>
      </c>
      <c r="J2216" s="13" t="s">
        <v>5289</v>
      </c>
      <c r="K2216" s="13" t="s">
        <v>5289</v>
      </c>
      <c r="L2216" s="13"/>
      <c r="M2216" s="13"/>
      <c r="N2216" s="13" t="n">
        <v>8411061104897</v>
      </c>
      <c r="O2216" s="13"/>
      <c r="P2216" s="13" t="s">
        <v>5291</v>
      </c>
      <c r="Q2216" s="13" t="s">
        <v>5289</v>
      </c>
      <c r="R2216" s="13" t="s">
        <v>5292</v>
      </c>
      <c r="S2216" s="13" t="s">
        <v>5293</v>
      </c>
      <c r="T2216" s="13" t="s">
        <v>5</v>
      </c>
      <c r="U2216" s="13" t="s">
        <v>43</v>
      </c>
      <c r="V2216" s="13" t="n">
        <f aca="false">IF(COUNTIF($B$2:B2216,B2216)=1,1,0)</f>
        <v>0</v>
      </c>
      <c r="W2216" s="13" t="n">
        <f aca="false">IF(COUNTIFS($B$2:B2216,B2216,$T$2:T2216,T2216)=1,1,0)</f>
        <v>0</v>
      </c>
    </row>
    <row r="2217" customFormat="false" ht="15" hidden="false" customHeight="false" outlineLevel="0" collapsed="false">
      <c r="A2217" s="13" t="s">
        <v>459</v>
      </c>
      <c r="B2217" s="13" t="s">
        <v>42</v>
      </c>
      <c r="C2217" s="13" t="n">
        <v>7100</v>
      </c>
      <c r="D2217" s="13" t="n">
        <v>20</v>
      </c>
      <c r="E2217" s="13" t="n">
        <v>470.546666666667</v>
      </c>
      <c r="F2217" s="13" t="s">
        <v>5325</v>
      </c>
      <c r="G2217" s="13" t="s">
        <v>5289</v>
      </c>
      <c r="H2217" s="13" t="s">
        <v>5292</v>
      </c>
      <c r="I2217" s="13" t="s">
        <v>5289</v>
      </c>
      <c r="J2217" s="13" t="s">
        <v>5289</v>
      </c>
      <c r="K2217" s="13" t="s">
        <v>5289</v>
      </c>
      <c r="L2217" s="13" t="n">
        <v>8411061057193</v>
      </c>
      <c r="M2217" s="13"/>
      <c r="N2217" s="13" t="n">
        <v>8411061057193</v>
      </c>
      <c r="O2217" s="13"/>
      <c r="P2217" s="13" t="s">
        <v>5291</v>
      </c>
      <c r="Q2217" s="13" t="s">
        <v>5289</v>
      </c>
      <c r="R2217" s="13" t="s">
        <v>5292</v>
      </c>
      <c r="S2217" s="13" t="s">
        <v>5293</v>
      </c>
      <c r="T2217" s="13" t="s">
        <v>5</v>
      </c>
      <c r="U2217" s="13" t="s">
        <v>43</v>
      </c>
      <c r="V2217" s="13" t="n">
        <f aca="false">IF(COUNTIF($B$2:B2217,B2217)=1,1,0)</f>
        <v>0</v>
      </c>
      <c r="W2217" s="13" t="n">
        <f aca="false">IF(COUNTIFS($B$2:B2217,B2217,$T$2:T2217,T2217)=1,1,0)</f>
        <v>0</v>
      </c>
    </row>
    <row r="2218" customFormat="false" ht="15" hidden="false" customHeight="false" outlineLevel="0" collapsed="false">
      <c r="A2218" s="13" t="s">
        <v>466</v>
      </c>
      <c r="B2218" s="13" t="s">
        <v>124</v>
      </c>
      <c r="C2218" s="13" t="n">
        <v>7000</v>
      </c>
      <c r="D2218" s="13" t="n">
        <v>5</v>
      </c>
      <c r="E2218" s="13" t="n">
        <v>1002.16</v>
      </c>
      <c r="F2218" s="13" t="s">
        <v>5325</v>
      </c>
      <c r="G2218" s="13" t="s">
        <v>5292</v>
      </c>
      <c r="H2218" s="13" t="s">
        <v>5292</v>
      </c>
      <c r="I2218" s="13" t="s">
        <v>5289</v>
      </c>
      <c r="J2218" s="13" t="s">
        <v>5289</v>
      </c>
      <c r="K2218" s="13" t="s">
        <v>5289</v>
      </c>
      <c r="L2218" s="13"/>
      <c r="M2218" s="13"/>
      <c r="N2218" s="13" t="n">
        <v>3614273604932</v>
      </c>
      <c r="O2218" s="13"/>
      <c r="P2218" s="13" t="s">
        <v>5291</v>
      </c>
      <c r="Q2218" s="13" t="s">
        <v>5289</v>
      </c>
      <c r="R2218" s="13" t="s">
        <v>5292</v>
      </c>
      <c r="S2218" s="13" t="s">
        <v>5293</v>
      </c>
      <c r="T2218" s="13" t="s">
        <v>5</v>
      </c>
      <c r="U2218" s="13" t="s">
        <v>43</v>
      </c>
      <c r="V2218" s="13" t="n">
        <f aca="false">IF(COUNTIF($B$2:B2218,B2218)=1,1,0)</f>
        <v>0</v>
      </c>
      <c r="W2218" s="13" t="n">
        <f aca="false">IF(COUNTIFS($B$2:B2218,B2218,$T$2:T2218,T2218)=1,1,0)</f>
        <v>0</v>
      </c>
    </row>
    <row r="2219" customFormat="false" ht="15" hidden="false" customHeight="false" outlineLevel="0" collapsed="false">
      <c r="A2219" s="13" t="s">
        <v>467</v>
      </c>
      <c r="B2219" s="13" t="s">
        <v>177</v>
      </c>
      <c r="C2219" s="13" t="n">
        <v>7000</v>
      </c>
      <c r="D2219" s="13" t="n">
        <v>5</v>
      </c>
      <c r="E2219" s="13" t="n">
        <v>699</v>
      </c>
      <c r="F2219" s="13" t="s">
        <v>5325</v>
      </c>
      <c r="G2219" s="13" t="s">
        <v>5289</v>
      </c>
      <c r="H2219" s="13" t="s">
        <v>5292</v>
      </c>
      <c r="I2219" s="13" t="s">
        <v>5289</v>
      </c>
      <c r="J2219" s="13" t="s">
        <v>5289</v>
      </c>
      <c r="K2219" s="13" t="s">
        <v>5289</v>
      </c>
      <c r="L2219" s="13" t="n">
        <v>3614227758162</v>
      </c>
      <c r="M2219" s="13"/>
      <c r="N2219" s="13" t="n">
        <v>3614227758162</v>
      </c>
      <c r="O2219" s="13"/>
      <c r="P2219" s="13" t="s">
        <v>5297</v>
      </c>
      <c r="Q2219" s="13" t="s">
        <v>5289</v>
      </c>
      <c r="R2219" s="13" t="s">
        <v>5292</v>
      </c>
      <c r="S2219" s="13" t="s">
        <v>5293</v>
      </c>
      <c r="T2219" s="13" t="s">
        <v>5</v>
      </c>
      <c r="U2219" s="13" t="s">
        <v>43</v>
      </c>
      <c r="V2219" s="13" t="n">
        <f aca="false">IF(COUNTIF($B$2:B2219,B2219)=1,1,0)</f>
        <v>0</v>
      </c>
      <c r="W2219" s="13" t="n">
        <f aca="false">IF(COUNTIFS($B$2:B2219,B2219,$T$2:T2219,T2219)=1,1,0)</f>
        <v>0</v>
      </c>
    </row>
    <row r="2220" customFormat="false" ht="15" hidden="false" customHeight="false" outlineLevel="0" collapsed="false">
      <c r="A2220" s="13" t="s">
        <v>221</v>
      </c>
      <c r="B2220" s="13" t="s">
        <v>72</v>
      </c>
      <c r="C2220" s="13" t="n">
        <v>7000</v>
      </c>
      <c r="D2220" s="13" t="n">
        <v>5</v>
      </c>
      <c r="E2220" s="13" t="n">
        <v>872</v>
      </c>
      <c r="F2220" s="13" t="s">
        <v>5325</v>
      </c>
      <c r="G2220" s="13" t="s">
        <v>5289</v>
      </c>
      <c r="H2220" s="13" t="s">
        <v>5289</v>
      </c>
      <c r="I2220" s="13" t="s">
        <v>5289</v>
      </c>
      <c r="J2220" s="13" t="s">
        <v>5289</v>
      </c>
      <c r="K2220" s="13" t="s">
        <v>5289</v>
      </c>
      <c r="L2220" s="13" t="n">
        <v>3614274000597</v>
      </c>
      <c r="M2220" s="13"/>
      <c r="N2220" s="13" t="n">
        <v>3614274000597</v>
      </c>
      <c r="O2220" s="13"/>
      <c r="P2220" s="13" t="s">
        <v>5291</v>
      </c>
      <c r="Q2220" s="13" t="s">
        <v>5289</v>
      </c>
      <c r="R2220" s="13" t="s">
        <v>5292</v>
      </c>
      <c r="S2220" s="13" t="s">
        <v>5293</v>
      </c>
      <c r="T2220" s="13" t="s">
        <v>5</v>
      </c>
      <c r="U2220" s="13" t="s">
        <v>43</v>
      </c>
      <c r="V2220" s="13" t="n">
        <f aca="false">IF(COUNTIF($B$2:B2220,B2220)=1,1,0)</f>
        <v>0</v>
      </c>
      <c r="W2220" s="13" t="n">
        <f aca="false">IF(COUNTIFS($B$2:B2220,B2220,$T$2:T2220,T2220)=1,1,0)</f>
        <v>0</v>
      </c>
    </row>
    <row r="2221" customFormat="false" ht="15" hidden="false" customHeight="false" outlineLevel="0" collapsed="false">
      <c r="A2221" s="13" t="s">
        <v>464</v>
      </c>
      <c r="B2221" s="13" t="s">
        <v>107</v>
      </c>
      <c r="C2221" s="13" t="n">
        <v>7000</v>
      </c>
      <c r="D2221" s="13" t="n">
        <v>20</v>
      </c>
      <c r="E2221" s="13" t="n">
        <v>366.6</v>
      </c>
      <c r="F2221" s="13" t="s">
        <v>5325</v>
      </c>
      <c r="G2221" s="13" t="s">
        <v>5289</v>
      </c>
      <c r="H2221" s="13" t="s">
        <v>5289</v>
      </c>
      <c r="I2221" s="13" t="s">
        <v>5289</v>
      </c>
      <c r="J2221" s="13" t="s">
        <v>5289</v>
      </c>
      <c r="K2221" s="13" t="s">
        <v>5289</v>
      </c>
      <c r="L2221" s="13" t="n">
        <v>9000250236410</v>
      </c>
      <c r="M2221" s="13"/>
      <c r="N2221" s="13" t="n">
        <v>9000250236410</v>
      </c>
      <c r="O2221" s="13"/>
      <c r="P2221" s="13" t="s">
        <v>5297</v>
      </c>
      <c r="Q2221" s="13" t="s">
        <v>5289</v>
      </c>
      <c r="R2221" s="13" t="s">
        <v>5292</v>
      </c>
      <c r="S2221" s="13" t="s">
        <v>5293</v>
      </c>
      <c r="T2221" s="13" t="s">
        <v>5</v>
      </c>
      <c r="U2221" s="13" t="s">
        <v>43</v>
      </c>
      <c r="V2221" s="13" t="n">
        <f aca="false">IF(COUNTIF($B$2:B2221,B2221)=1,1,0)</f>
        <v>0</v>
      </c>
      <c r="W2221" s="13" t="n">
        <f aca="false">IF(COUNTIFS($B$2:B2221,B2221,$T$2:T2221,T2221)=1,1,0)</f>
        <v>0</v>
      </c>
    </row>
    <row r="2222" customFormat="false" ht="15" hidden="false" customHeight="false" outlineLevel="0" collapsed="false">
      <c r="A2222" s="13" t="s">
        <v>196</v>
      </c>
      <c r="B2222" s="13" t="s">
        <v>195</v>
      </c>
      <c r="C2222" s="13" t="n">
        <v>6900</v>
      </c>
      <c r="D2222" s="13" t="n">
        <v>10</v>
      </c>
      <c r="E2222" s="13" t="n">
        <v>625.876363636364</v>
      </c>
      <c r="F2222" s="13" t="s">
        <v>5325</v>
      </c>
      <c r="G2222" s="13" t="s">
        <v>5289</v>
      </c>
      <c r="H2222" s="13" t="s">
        <v>5289</v>
      </c>
      <c r="I2222" s="13" t="s">
        <v>5289</v>
      </c>
      <c r="J2222" s="13" t="s">
        <v>5289</v>
      </c>
      <c r="K2222" s="13" t="s">
        <v>5289</v>
      </c>
      <c r="L2222" s="13"/>
      <c r="M2222" s="13"/>
      <c r="N2222" s="13" t="n">
        <v>3616302020652</v>
      </c>
      <c r="O2222" s="13"/>
      <c r="P2222" s="13" t="s">
        <v>5291</v>
      </c>
      <c r="Q2222" s="13" t="s">
        <v>5289</v>
      </c>
      <c r="R2222" s="13" t="s">
        <v>5292</v>
      </c>
      <c r="S2222" s="13" t="s">
        <v>5293</v>
      </c>
      <c r="T2222" s="13" t="s">
        <v>5</v>
      </c>
      <c r="U2222" s="13" t="s">
        <v>43</v>
      </c>
      <c r="V2222" s="13" t="n">
        <f aca="false">IF(COUNTIF($B$2:B2222,B2222)=1,1,0)</f>
        <v>0</v>
      </c>
      <c r="W2222" s="13" t="n">
        <f aca="false">IF(COUNTIFS($B$2:B2222,B2222,$T$2:T2222,T2222)=1,1,0)</f>
        <v>0</v>
      </c>
    </row>
    <row r="2223" customFormat="false" ht="15" hidden="false" customHeight="false" outlineLevel="0" collapsed="false">
      <c r="A2223" s="13" t="s">
        <v>125</v>
      </c>
      <c r="B2223" s="13" t="s">
        <v>124</v>
      </c>
      <c r="C2223" s="13" t="n">
        <v>6800</v>
      </c>
      <c r="D2223" s="13" t="n">
        <v>20</v>
      </c>
      <c r="E2223" s="13" t="n">
        <v>426.716875</v>
      </c>
      <c r="F2223" s="13" t="s">
        <v>5288</v>
      </c>
      <c r="G2223" s="13" t="s">
        <v>5292</v>
      </c>
      <c r="H2223" s="13" t="s">
        <v>5289</v>
      </c>
      <c r="I2223" s="13" t="s">
        <v>5289</v>
      </c>
      <c r="J2223" s="13" t="s">
        <v>5289</v>
      </c>
      <c r="K2223" s="13" t="s">
        <v>5289</v>
      </c>
      <c r="L2223" s="13" t="n">
        <v>3614274143751</v>
      </c>
      <c r="M2223" s="13"/>
      <c r="N2223" s="13" t="n">
        <v>3614274143751</v>
      </c>
      <c r="O2223" s="13"/>
      <c r="P2223" s="13" t="s">
        <v>5291</v>
      </c>
      <c r="Q2223" s="13" t="s">
        <v>5289</v>
      </c>
      <c r="R2223" s="13" t="s">
        <v>5292</v>
      </c>
      <c r="S2223" s="13" t="s">
        <v>5293</v>
      </c>
      <c r="T2223" s="13" t="s">
        <v>5</v>
      </c>
      <c r="U2223" s="13" t="s">
        <v>43</v>
      </c>
      <c r="V2223" s="13" t="n">
        <f aca="false">IF(COUNTIF($B$2:B2223,B2223)=1,1,0)</f>
        <v>0</v>
      </c>
      <c r="W2223" s="13" t="n">
        <f aca="false">IF(COUNTIFS($B$2:B2223,B2223,$T$2:T2223,T2223)=1,1,0)</f>
        <v>0</v>
      </c>
    </row>
    <row r="2224" customFormat="false" ht="15" hidden="false" customHeight="false" outlineLevel="0" collapsed="false">
      <c r="A2224" s="13" t="s">
        <v>113</v>
      </c>
      <c r="B2224" s="13" t="s">
        <v>45</v>
      </c>
      <c r="C2224" s="13" t="n">
        <v>6800</v>
      </c>
      <c r="D2224" s="13" t="n">
        <v>5</v>
      </c>
      <c r="E2224" s="13" t="n">
        <v>750</v>
      </c>
      <c r="F2224" s="13" t="s">
        <v>5325</v>
      </c>
      <c r="G2224" s="13" t="s">
        <v>5292</v>
      </c>
      <c r="H2224" s="13" t="s">
        <v>5289</v>
      </c>
      <c r="I2224" s="13" t="s">
        <v>5289</v>
      </c>
      <c r="J2224" s="13" t="s">
        <v>5289</v>
      </c>
      <c r="K2224" s="13" t="s">
        <v>5289</v>
      </c>
      <c r="L2224" s="13"/>
      <c r="M2224" s="13"/>
      <c r="N2224" s="13" t="n">
        <v>8435415055963</v>
      </c>
      <c r="O2224" s="13"/>
      <c r="P2224" s="13" t="s">
        <v>5291</v>
      </c>
      <c r="Q2224" s="13" t="s">
        <v>5289</v>
      </c>
      <c r="R2224" s="13" t="s">
        <v>5292</v>
      </c>
      <c r="S2224" s="13" t="s">
        <v>5293</v>
      </c>
      <c r="T2224" s="13" t="s">
        <v>5</v>
      </c>
      <c r="U2224" s="13" t="s">
        <v>43</v>
      </c>
      <c r="V2224" s="13" t="n">
        <f aca="false">IF(COUNTIF($B$2:B2224,B2224)=1,1,0)</f>
        <v>0</v>
      </c>
      <c r="W2224" s="13" t="n">
        <f aca="false">IF(COUNTIFS($B$2:B2224,B2224,$T$2:T2224,T2224)=1,1,0)</f>
        <v>0</v>
      </c>
    </row>
    <row r="2225" customFormat="false" ht="15" hidden="false" customHeight="false" outlineLevel="0" collapsed="false">
      <c r="A2225" s="13" t="s">
        <v>473</v>
      </c>
      <c r="B2225" s="13" t="s">
        <v>105</v>
      </c>
      <c r="C2225" s="13" t="n">
        <v>6700</v>
      </c>
      <c r="D2225" s="13" t="n">
        <v>20</v>
      </c>
      <c r="E2225" s="13" t="n">
        <v>445.724</v>
      </c>
      <c r="F2225" s="13" t="s">
        <v>5325</v>
      </c>
      <c r="G2225" s="13" t="s">
        <v>5289</v>
      </c>
      <c r="H2225" s="13" t="s">
        <v>5289</v>
      </c>
      <c r="I2225" s="13" t="s">
        <v>5289</v>
      </c>
      <c r="J2225" s="13" t="s">
        <v>5289</v>
      </c>
      <c r="K2225" s="13" t="s">
        <v>5289</v>
      </c>
      <c r="L2225" s="13" t="n">
        <v>3614228220897</v>
      </c>
      <c r="M2225" s="13"/>
      <c r="N2225" s="13" t="n">
        <v>3614228220897</v>
      </c>
      <c r="O2225" s="13"/>
      <c r="P2225" s="13" t="s">
        <v>5297</v>
      </c>
      <c r="Q2225" s="13" t="s">
        <v>5289</v>
      </c>
      <c r="R2225" s="13" t="s">
        <v>5292</v>
      </c>
      <c r="S2225" s="13" t="s">
        <v>5293</v>
      </c>
      <c r="T2225" s="13" t="s">
        <v>5</v>
      </c>
      <c r="U2225" s="13" t="s">
        <v>43</v>
      </c>
      <c r="V2225" s="13" t="n">
        <f aca="false">IF(COUNTIF($B$2:B2225,B2225)=1,1,0)</f>
        <v>0</v>
      </c>
      <c r="W2225" s="13" t="n">
        <f aca="false">IF(COUNTIFS($B$2:B2225,B2225,$T$2:T2225,T2225)=1,1,0)</f>
        <v>0</v>
      </c>
    </row>
    <row r="2226" customFormat="false" ht="15" hidden="false" customHeight="false" outlineLevel="0" collapsed="false">
      <c r="A2226" s="13" t="s">
        <v>2852</v>
      </c>
      <c r="B2226" s="13" t="s">
        <v>2168</v>
      </c>
      <c r="C2226" s="13" t="n">
        <v>6600</v>
      </c>
      <c r="D2226" s="13" t="n">
        <v>60</v>
      </c>
      <c r="E2226" s="13" t="n">
        <v>106.690483870968</v>
      </c>
      <c r="F2226" s="13" t="s">
        <v>5325</v>
      </c>
      <c r="G2226" s="13" t="s">
        <v>5289</v>
      </c>
      <c r="H2226" s="13" t="s">
        <v>5289</v>
      </c>
      <c r="I2226" s="13" t="s">
        <v>5289</v>
      </c>
      <c r="J2226" s="13" t="s">
        <v>5289</v>
      </c>
      <c r="K2226" s="13" t="s">
        <v>5289</v>
      </c>
      <c r="L2226" s="13" t="n">
        <v>8411061085301</v>
      </c>
      <c r="M2226" s="13"/>
      <c r="N2226" s="13" t="n">
        <v>8411061085301</v>
      </c>
      <c r="O2226" s="13"/>
      <c r="P2226" s="13" t="s">
        <v>5291</v>
      </c>
      <c r="Q2226" s="13" t="s">
        <v>5289</v>
      </c>
      <c r="R2226" s="13" t="s">
        <v>5292</v>
      </c>
      <c r="S2226" s="13" t="s">
        <v>5293</v>
      </c>
      <c r="T2226" s="13" t="s">
        <v>5</v>
      </c>
      <c r="U2226" s="13" t="s">
        <v>43</v>
      </c>
      <c r="V2226" s="13" t="n">
        <f aca="false">IF(COUNTIF($B$2:B2226,B2226)=1,1,0)</f>
        <v>1</v>
      </c>
      <c r="W2226" s="13" t="n">
        <f aca="false">IF(COUNTIFS($B$2:B2226,B2226,$T$2:T2226,T2226)=1,1,0)</f>
        <v>1</v>
      </c>
    </row>
    <row r="2227" customFormat="false" ht="15" hidden="false" customHeight="false" outlineLevel="0" collapsed="false">
      <c r="A2227" s="13" t="s">
        <v>441</v>
      </c>
      <c r="B2227" s="13" t="s">
        <v>61</v>
      </c>
      <c r="C2227" s="13" t="n">
        <v>6500</v>
      </c>
      <c r="D2227" s="13" t="n">
        <v>20</v>
      </c>
      <c r="E2227" s="13" t="n">
        <v>344.647368421053</v>
      </c>
      <c r="F2227" s="13" t="s">
        <v>5288</v>
      </c>
      <c r="G2227" s="13" t="s">
        <v>5289</v>
      </c>
      <c r="H2227" s="13" t="s">
        <v>5289</v>
      </c>
      <c r="I2227" s="13" t="s">
        <v>5289</v>
      </c>
      <c r="J2227" s="13" t="s">
        <v>5289</v>
      </c>
      <c r="K2227" s="13" t="s">
        <v>5289</v>
      </c>
      <c r="L2227" s="13" t="n">
        <v>3614274103007</v>
      </c>
      <c r="M2227" s="13"/>
      <c r="N2227" s="13" t="n">
        <v>3614274103007</v>
      </c>
      <c r="O2227" s="13"/>
      <c r="P2227" s="13" t="s">
        <v>5291</v>
      </c>
      <c r="Q2227" s="13" t="s">
        <v>5289</v>
      </c>
      <c r="R2227" s="13" t="s">
        <v>5292</v>
      </c>
      <c r="S2227" s="13" t="s">
        <v>5293</v>
      </c>
      <c r="T2227" s="13" t="s">
        <v>5</v>
      </c>
      <c r="U2227" s="13" t="s">
        <v>43</v>
      </c>
      <c r="V2227" s="13" t="n">
        <f aca="false">IF(COUNTIF($B$2:B2227,B2227)=1,1,0)</f>
        <v>0</v>
      </c>
      <c r="W2227" s="13" t="n">
        <f aca="false">IF(COUNTIFS($B$2:B2227,B2227,$T$2:T2227,T2227)=1,1,0)</f>
        <v>0</v>
      </c>
    </row>
    <row r="2228" customFormat="false" ht="15" hidden="false" customHeight="false" outlineLevel="0" collapsed="false">
      <c r="A2228" s="13" t="s">
        <v>434</v>
      </c>
      <c r="B2228" s="13" t="s">
        <v>72</v>
      </c>
      <c r="C2228" s="13" t="n">
        <v>6500</v>
      </c>
      <c r="D2228" s="13" t="n">
        <v>10</v>
      </c>
      <c r="E2228" s="13" t="n">
        <v>594.545454545455</v>
      </c>
      <c r="F2228" s="13" t="s">
        <v>5288</v>
      </c>
      <c r="G2228" s="13" t="s">
        <v>5289</v>
      </c>
      <c r="H2228" s="13" t="s">
        <v>5289</v>
      </c>
      <c r="I2228" s="13" t="s">
        <v>5289</v>
      </c>
      <c r="J2228" s="13" t="s">
        <v>5289</v>
      </c>
      <c r="K2228" s="13" t="s">
        <v>5289</v>
      </c>
      <c r="L2228" s="13" t="n">
        <v>3614273760652</v>
      </c>
      <c r="M2228" s="13"/>
      <c r="N2228" s="13" t="n">
        <v>3614273760652</v>
      </c>
      <c r="O2228" s="13"/>
      <c r="P2228" s="13" t="s">
        <v>5291</v>
      </c>
      <c r="Q2228" s="13" t="s">
        <v>5289</v>
      </c>
      <c r="R2228" s="13" t="s">
        <v>5292</v>
      </c>
      <c r="S2228" s="13" t="s">
        <v>5293</v>
      </c>
      <c r="T2228" s="13" t="s">
        <v>5</v>
      </c>
      <c r="U2228" s="13" t="s">
        <v>43</v>
      </c>
      <c r="V2228" s="13" t="n">
        <f aca="false">IF(COUNTIF($B$2:B2228,B2228)=1,1,0)</f>
        <v>0</v>
      </c>
      <c r="W2228" s="13" t="n">
        <f aca="false">IF(COUNTIFS($B$2:B2228,B2228,$T$2:T2228,T2228)=1,1,0)</f>
        <v>0</v>
      </c>
    </row>
    <row r="2229" customFormat="false" ht="15" hidden="false" customHeight="false" outlineLevel="0" collapsed="false">
      <c r="A2229" s="13" t="s">
        <v>483</v>
      </c>
      <c r="B2229" s="13" t="s">
        <v>153</v>
      </c>
      <c r="C2229" s="13" t="n">
        <v>6500</v>
      </c>
      <c r="D2229" s="13" t="n">
        <v>20</v>
      </c>
      <c r="E2229" s="13" t="n">
        <v>294.659545454545</v>
      </c>
      <c r="F2229" s="13" t="s">
        <v>5288</v>
      </c>
      <c r="G2229" s="13" t="s">
        <v>5289</v>
      </c>
      <c r="H2229" s="13" t="s">
        <v>5289</v>
      </c>
      <c r="I2229" s="13" t="s">
        <v>5289</v>
      </c>
      <c r="J2229" s="13" t="s">
        <v>5289</v>
      </c>
      <c r="K2229" s="13" t="s">
        <v>5289</v>
      </c>
      <c r="L2229" s="13"/>
      <c r="M2229" s="13"/>
      <c r="N2229" s="13" t="n">
        <v>8011003819423</v>
      </c>
      <c r="O2229" s="13"/>
      <c r="P2229" s="13" t="s">
        <v>5291</v>
      </c>
      <c r="Q2229" s="13" t="s">
        <v>5289</v>
      </c>
      <c r="R2229" s="13" t="s">
        <v>5292</v>
      </c>
      <c r="S2229" s="13" t="s">
        <v>5293</v>
      </c>
      <c r="T2229" s="13" t="s">
        <v>5</v>
      </c>
      <c r="U2229" s="13" t="s">
        <v>43</v>
      </c>
      <c r="V2229" s="13" t="n">
        <f aca="false">IF(COUNTIF($B$2:B2229,B2229)=1,1,0)</f>
        <v>0</v>
      </c>
      <c r="W2229" s="13" t="n">
        <f aca="false">IF(COUNTIFS($B$2:B2229,B2229,$T$2:T2229,T2229)=1,1,0)</f>
        <v>0</v>
      </c>
    </row>
    <row r="2230" customFormat="false" ht="15" hidden="false" customHeight="false" outlineLevel="0" collapsed="false">
      <c r="A2230" s="13" t="s">
        <v>484</v>
      </c>
      <c r="B2230" s="13" t="s">
        <v>107</v>
      </c>
      <c r="C2230" s="13" t="n">
        <v>6400</v>
      </c>
      <c r="D2230" s="13" t="n">
        <v>20</v>
      </c>
      <c r="E2230" s="13" t="n">
        <v>289.968181818182</v>
      </c>
      <c r="F2230" s="13" t="s">
        <v>5325</v>
      </c>
      <c r="G2230" s="13" t="s">
        <v>5292</v>
      </c>
      <c r="H2230" s="13" t="s">
        <v>5289</v>
      </c>
      <c r="I2230" s="13" t="s">
        <v>5289</v>
      </c>
      <c r="J2230" s="13" t="s">
        <v>5289</v>
      </c>
      <c r="K2230" s="13" t="s">
        <v>5289</v>
      </c>
      <c r="L2230" s="13"/>
      <c r="M2230" s="13"/>
      <c r="N2230" s="13" t="n">
        <v>9000250313913</v>
      </c>
      <c r="O2230" s="13"/>
      <c r="P2230" s="13" t="s">
        <v>5297</v>
      </c>
      <c r="Q2230" s="13" t="s">
        <v>5289</v>
      </c>
      <c r="R2230" s="13" t="s">
        <v>5292</v>
      </c>
      <c r="S2230" s="13" t="s">
        <v>5293</v>
      </c>
      <c r="T2230" s="13" t="s">
        <v>5</v>
      </c>
      <c r="U2230" s="13" t="s">
        <v>183</v>
      </c>
      <c r="V2230" s="13" t="n">
        <f aca="false">IF(COUNTIF($B$2:B2230,B2230)=1,1,0)</f>
        <v>0</v>
      </c>
      <c r="W2230" s="13" t="n">
        <f aca="false">IF(COUNTIFS($B$2:B2230,B2230,$T$2:T2230,T2230)=1,1,0)</f>
        <v>0</v>
      </c>
    </row>
    <row r="2231" customFormat="false" ht="15" hidden="false" customHeight="false" outlineLevel="0" collapsed="false">
      <c r="A2231" s="13" t="s">
        <v>246</v>
      </c>
      <c r="B2231" s="13" t="s">
        <v>42</v>
      </c>
      <c r="C2231" s="13" t="n">
        <v>6400</v>
      </c>
      <c r="D2231" s="13" t="n">
        <v>5</v>
      </c>
      <c r="E2231" s="13" t="n">
        <v>636.64</v>
      </c>
      <c r="F2231" s="13" t="s">
        <v>5325</v>
      </c>
      <c r="G2231" s="13" t="s">
        <v>5289</v>
      </c>
      <c r="H2231" s="13" t="s">
        <v>5289</v>
      </c>
      <c r="I2231" s="13" t="s">
        <v>5289</v>
      </c>
      <c r="J2231" s="13" t="s">
        <v>5289</v>
      </c>
      <c r="K2231" s="13" t="s">
        <v>5289</v>
      </c>
      <c r="L2231" s="13" t="n">
        <v>8411061083666</v>
      </c>
      <c r="M2231" s="13"/>
      <c r="N2231" s="13" t="n">
        <v>8411061083666</v>
      </c>
      <c r="O2231" s="13"/>
      <c r="P2231" s="13" t="s">
        <v>5291</v>
      </c>
      <c r="Q2231" s="13" t="s">
        <v>5289</v>
      </c>
      <c r="R2231" s="13" t="s">
        <v>5292</v>
      </c>
      <c r="S2231" s="13" t="s">
        <v>5293</v>
      </c>
      <c r="T2231" s="13" t="s">
        <v>5</v>
      </c>
      <c r="U2231" s="13" t="s">
        <v>43</v>
      </c>
      <c r="V2231" s="13" t="n">
        <f aca="false">IF(COUNTIF($B$2:B2231,B2231)=1,1,0)</f>
        <v>0</v>
      </c>
      <c r="W2231" s="13" t="n">
        <f aca="false">IF(COUNTIFS($B$2:B2231,B2231,$T$2:T2231,T2231)=1,1,0)</f>
        <v>0</v>
      </c>
    </row>
    <row r="2232" customFormat="false" ht="15" hidden="false" customHeight="false" outlineLevel="0" collapsed="false">
      <c r="A2232" s="13" t="s">
        <v>379</v>
      </c>
      <c r="B2232" s="13" t="s">
        <v>193</v>
      </c>
      <c r="C2232" s="13" t="n">
        <v>6400</v>
      </c>
      <c r="D2232" s="13" t="n">
        <v>5</v>
      </c>
      <c r="E2232" s="13" t="n">
        <v>705.706666666666</v>
      </c>
      <c r="F2232" s="13" t="s">
        <v>5325</v>
      </c>
      <c r="G2232" s="13" t="s">
        <v>5289</v>
      </c>
      <c r="H2232" s="13" t="s">
        <v>5289</v>
      </c>
      <c r="I2232" s="13" t="s">
        <v>5289</v>
      </c>
      <c r="J2232" s="13" t="s">
        <v>5289</v>
      </c>
      <c r="K2232" s="13" t="s">
        <v>5289</v>
      </c>
      <c r="L2232" s="13" t="n">
        <v>3614272907690</v>
      </c>
      <c r="M2232" s="13"/>
      <c r="N2232" s="13" t="n">
        <v>3614272907690</v>
      </c>
      <c r="O2232" s="13"/>
      <c r="P2232" s="13" t="s">
        <v>5291</v>
      </c>
      <c r="Q2232" s="13" t="s">
        <v>5289</v>
      </c>
      <c r="R2232" s="13" t="s">
        <v>5292</v>
      </c>
      <c r="S2232" s="13" t="s">
        <v>5293</v>
      </c>
      <c r="T2232" s="13" t="s">
        <v>5</v>
      </c>
      <c r="U2232" s="13" t="s">
        <v>43</v>
      </c>
      <c r="V2232" s="13" t="n">
        <f aca="false">IF(COUNTIF($B$2:B2232,B2232)=1,1,0)</f>
        <v>0</v>
      </c>
      <c r="W2232" s="13" t="n">
        <f aca="false">IF(COUNTIFS($B$2:B2232,B2232,$T$2:T2232,T2232)=1,1,0)</f>
        <v>0</v>
      </c>
    </row>
    <row r="2233" customFormat="false" ht="15" hidden="false" customHeight="false" outlineLevel="0" collapsed="false">
      <c r="A2233" s="13" t="s">
        <v>486</v>
      </c>
      <c r="B2233" s="13" t="s">
        <v>79</v>
      </c>
      <c r="C2233" s="13" t="n">
        <v>6300</v>
      </c>
      <c r="D2233" s="13" t="n">
        <v>10</v>
      </c>
      <c r="E2233" s="13" t="n">
        <v>575.545454545455</v>
      </c>
      <c r="F2233" s="13" t="s">
        <v>5325</v>
      </c>
      <c r="G2233" s="13" t="s">
        <v>5289</v>
      </c>
      <c r="H2233" s="13" t="s">
        <v>5289</v>
      </c>
      <c r="I2233" s="13" t="s">
        <v>5289</v>
      </c>
      <c r="J2233" s="13" t="s">
        <v>5289</v>
      </c>
      <c r="K2233" s="13" t="s">
        <v>5289</v>
      </c>
      <c r="L2233" s="13" t="n">
        <v>3423473020233</v>
      </c>
      <c r="M2233" s="13"/>
      <c r="N2233" s="13" t="n">
        <v>3423473020233</v>
      </c>
      <c r="O2233" s="13"/>
      <c r="P2233" s="13" t="s">
        <v>5291</v>
      </c>
      <c r="Q2233" s="13" t="s">
        <v>5289</v>
      </c>
      <c r="R2233" s="13" t="s">
        <v>5292</v>
      </c>
      <c r="S2233" s="13" t="s">
        <v>5293</v>
      </c>
      <c r="T2233" s="13" t="s">
        <v>5</v>
      </c>
      <c r="U2233" s="13" t="s">
        <v>43</v>
      </c>
      <c r="V2233" s="13" t="n">
        <f aca="false">IF(COUNTIF($B$2:B2233,B2233)=1,1,0)</f>
        <v>0</v>
      </c>
      <c r="W2233" s="13" t="n">
        <f aca="false">IF(COUNTIFS($B$2:B2233,B2233,$T$2:T2233,T2233)=1,1,0)</f>
        <v>0</v>
      </c>
    </row>
    <row r="2234" customFormat="false" ht="15" hidden="false" customHeight="false" outlineLevel="0" collapsed="false">
      <c r="A2234" s="13" t="s">
        <v>238</v>
      </c>
      <c r="B2234" s="13" t="s">
        <v>124</v>
      </c>
      <c r="C2234" s="13" t="n">
        <v>6200</v>
      </c>
      <c r="D2234" s="13" t="n">
        <v>10</v>
      </c>
      <c r="E2234" s="13" t="n">
        <v>567.100909090909</v>
      </c>
      <c r="F2234" s="13" t="s">
        <v>5325</v>
      </c>
      <c r="G2234" s="13" t="s">
        <v>5289</v>
      </c>
      <c r="H2234" s="13" t="s">
        <v>5289</v>
      </c>
      <c r="I2234" s="13" t="s">
        <v>5289</v>
      </c>
      <c r="J2234" s="13" t="s">
        <v>5289</v>
      </c>
      <c r="K2234" s="13" t="s">
        <v>5289</v>
      </c>
      <c r="L2234" s="13"/>
      <c r="M2234" s="13"/>
      <c r="N2234" s="13" t="n">
        <v>3614274219548</v>
      </c>
      <c r="O2234" s="13"/>
      <c r="P2234" s="13" t="s">
        <v>5291</v>
      </c>
      <c r="Q2234" s="13" t="s">
        <v>5289</v>
      </c>
      <c r="R2234" s="13" t="s">
        <v>5292</v>
      </c>
      <c r="S2234" s="13" t="s">
        <v>5293</v>
      </c>
      <c r="T2234" s="13" t="s">
        <v>5</v>
      </c>
      <c r="U2234" s="13" t="s">
        <v>43</v>
      </c>
      <c r="V2234" s="13" t="n">
        <f aca="false">IF(COUNTIF($B$2:B2234,B2234)=1,1,0)</f>
        <v>0</v>
      </c>
      <c r="W2234" s="13" t="n">
        <f aca="false">IF(COUNTIFS($B$2:B2234,B2234,$T$2:T2234,T2234)=1,1,0)</f>
        <v>0</v>
      </c>
    </row>
    <row r="2235" customFormat="false" ht="15" hidden="false" customHeight="false" outlineLevel="0" collapsed="false">
      <c r="A2235" s="13" t="s">
        <v>2805</v>
      </c>
      <c r="B2235" s="13" t="s">
        <v>2109</v>
      </c>
      <c r="C2235" s="13" t="n">
        <v>6200</v>
      </c>
      <c r="D2235" s="13" t="n">
        <v>10</v>
      </c>
      <c r="E2235" s="13" t="n">
        <v>518.99</v>
      </c>
      <c r="F2235" s="13" t="s">
        <v>5325</v>
      </c>
      <c r="G2235" s="13" t="s">
        <v>5292</v>
      </c>
      <c r="H2235" s="13" t="s">
        <v>5289</v>
      </c>
      <c r="I2235" s="13" t="s">
        <v>5289</v>
      </c>
      <c r="J2235" s="13" t="s">
        <v>5289</v>
      </c>
      <c r="K2235" s="13" t="s">
        <v>5289</v>
      </c>
      <c r="L2235" s="13" t="n">
        <v>3439600056815</v>
      </c>
      <c r="M2235" s="13"/>
      <c r="N2235" s="13" t="n">
        <v>3439600056815</v>
      </c>
      <c r="O2235" s="13"/>
      <c r="P2235" s="13" t="s">
        <v>5291</v>
      </c>
      <c r="Q2235" s="13" t="s">
        <v>5289</v>
      </c>
      <c r="R2235" s="13" t="s">
        <v>5292</v>
      </c>
      <c r="S2235" s="13" t="s">
        <v>5293</v>
      </c>
      <c r="T2235" s="13" t="s">
        <v>5</v>
      </c>
      <c r="U2235" s="13" t="s">
        <v>43</v>
      </c>
      <c r="V2235" s="13" t="n">
        <f aca="false">IF(COUNTIF($B$2:B2235,B2235)=1,1,0)</f>
        <v>0</v>
      </c>
      <c r="W2235" s="13" t="n">
        <f aca="false">IF(COUNTIFS($B$2:B2235,B2235,$T$2:T2235,T2235)=1,1,0)</f>
        <v>0</v>
      </c>
    </row>
    <row r="2236" customFormat="false" ht="15" hidden="false" customHeight="false" outlineLevel="0" collapsed="false">
      <c r="A2236" s="13" t="s">
        <v>493</v>
      </c>
      <c r="B2236" s="13" t="s">
        <v>42</v>
      </c>
      <c r="C2236" s="13" t="n">
        <v>6200</v>
      </c>
      <c r="D2236" s="13" t="n">
        <v>20</v>
      </c>
      <c r="E2236" s="13" t="n">
        <v>414.98</v>
      </c>
      <c r="F2236" s="13" t="s">
        <v>5288</v>
      </c>
      <c r="G2236" s="13" t="s">
        <v>5292</v>
      </c>
      <c r="H2236" s="13" t="s">
        <v>5289</v>
      </c>
      <c r="I2236" s="13" t="s">
        <v>5289</v>
      </c>
      <c r="J2236" s="13" t="s">
        <v>5289</v>
      </c>
      <c r="K2236" s="13" t="s">
        <v>5292</v>
      </c>
      <c r="L2236" s="13" t="n">
        <v>8411061041673</v>
      </c>
      <c r="M2236" s="13"/>
      <c r="N2236" s="13" t="n">
        <v>8.41106104167384E+025</v>
      </c>
      <c r="O2236" s="13"/>
      <c r="P2236" s="13" t="s">
        <v>5291</v>
      </c>
      <c r="Q2236" s="13" t="s">
        <v>5289</v>
      </c>
      <c r="R2236" s="13" t="s">
        <v>5292</v>
      </c>
      <c r="S2236" s="13" t="s">
        <v>5293</v>
      </c>
      <c r="T2236" s="13" t="s">
        <v>5</v>
      </c>
      <c r="U2236" s="13" t="s">
        <v>43</v>
      </c>
      <c r="V2236" s="13" t="n">
        <f aca="false">IF(COUNTIF($B$2:B2236,B2236)=1,1,0)</f>
        <v>0</v>
      </c>
      <c r="W2236" s="13" t="n">
        <f aca="false">IF(COUNTIFS($B$2:B2236,B2236,$T$2:T2236,T2236)=1,1,0)</f>
        <v>0</v>
      </c>
    </row>
    <row r="2237" customFormat="false" ht="15" hidden="false" customHeight="false" outlineLevel="0" collapsed="false">
      <c r="A2237" s="13" t="s">
        <v>492</v>
      </c>
      <c r="B2237" s="13" t="s">
        <v>50</v>
      </c>
      <c r="C2237" s="13" t="n">
        <v>6200</v>
      </c>
      <c r="D2237" s="13" t="n">
        <v>5</v>
      </c>
      <c r="E2237" s="13" t="n">
        <v>622.2</v>
      </c>
      <c r="F2237" s="13" t="s">
        <v>5325</v>
      </c>
      <c r="G2237" s="13" t="s">
        <v>5289</v>
      </c>
      <c r="H2237" s="13" t="s">
        <v>5289</v>
      </c>
      <c r="I2237" s="13" t="s">
        <v>5289</v>
      </c>
      <c r="J2237" s="13" t="s">
        <v>5289</v>
      </c>
      <c r="K2237" s="13" t="s">
        <v>5289</v>
      </c>
      <c r="L2237" s="13" t="n">
        <v>3349668644049</v>
      </c>
      <c r="M2237" s="13"/>
      <c r="N2237" s="13" t="n">
        <v>3349668644049</v>
      </c>
      <c r="O2237" s="13"/>
      <c r="P2237" s="13" t="s">
        <v>5291</v>
      </c>
      <c r="Q2237" s="13" t="s">
        <v>5289</v>
      </c>
      <c r="R2237" s="13" t="s">
        <v>5292</v>
      </c>
      <c r="S2237" s="13" t="s">
        <v>5293</v>
      </c>
      <c r="T2237" s="13" t="s">
        <v>5</v>
      </c>
      <c r="U2237" s="13" t="s">
        <v>43</v>
      </c>
      <c r="V2237" s="13" t="n">
        <f aca="false">IF(COUNTIF($B$2:B2237,B2237)=1,1,0)</f>
        <v>0</v>
      </c>
      <c r="W2237" s="13" t="n">
        <f aca="false">IF(COUNTIFS($B$2:B2237,B2237,$T$2:T2237,T2237)=1,1,0)</f>
        <v>0</v>
      </c>
    </row>
    <row r="2238" customFormat="false" ht="15" hidden="false" customHeight="false" outlineLevel="0" collapsed="false">
      <c r="A2238" s="13" t="s">
        <v>494</v>
      </c>
      <c r="B2238" s="13" t="s">
        <v>124</v>
      </c>
      <c r="C2238" s="13" t="n">
        <v>6000</v>
      </c>
      <c r="D2238" s="13" t="n">
        <v>5</v>
      </c>
      <c r="E2238" s="13" t="n">
        <v>670.852222222222</v>
      </c>
      <c r="F2238" s="13" t="s">
        <v>5325</v>
      </c>
      <c r="G2238" s="13" t="s">
        <v>5289</v>
      </c>
      <c r="H2238" s="13" t="s">
        <v>5289</v>
      </c>
      <c r="I2238" s="13" t="s">
        <v>5289</v>
      </c>
      <c r="J2238" s="13" t="s">
        <v>5289</v>
      </c>
      <c r="K2238" s="13" t="s">
        <v>5289</v>
      </c>
      <c r="L2238" s="13"/>
      <c r="M2238" s="13"/>
      <c r="N2238" s="13" t="n">
        <v>3614273636513</v>
      </c>
      <c r="O2238" s="13"/>
      <c r="P2238" s="13" t="s">
        <v>5291</v>
      </c>
      <c r="Q2238" s="13" t="s">
        <v>5289</v>
      </c>
      <c r="R2238" s="13" t="s">
        <v>5292</v>
      </c>
      <c r="S2238" s="13" t="s">
        <v>5293</v>
      </c>
      <c r="T2238" s="13" t="s">
        <v>5</v>
      </c>
      <c r="U2238" s="13" t="s">
        <v>43</v>
      </c>
      <c r="V2238" s="13" t="n">
        <f aca="false">IF(COUNTIF($B$2:B2238,B2238)=1,1,0)</f>
        <v>0</v>
      </c>
      <c r="W2238" s="13" t="n">
        <f aca="false">IF(COUNTIFS($B$2:B2238,B2238,$T$2:T2238,T2238)=1,1,0)</f>
        <v>0</v>
      </c>
    </row>
    <row r="2239" customFormat="false" ht="15" hidden="false" customHeight="false" outlineLevel="0" collapsed="false">
      <c r="A2239" s="13" t="s">
        <v>89</v>
      </c>
      <c r="B2239" s="13" t="s">
        <v>42</v>
      </c>
      <c r="C2239" s="13" t="n">
        <v>6000</v>
      </c>
      <c r="D2239" s="13" t="n">
        <v>10</v>
      </c>
      <c r="E2239" s="13" t="n">
        <v>501.69</v>
      </c>
      <c r="F2239" s="13" t="s">
        <v>5325</v>
      </c>
      <c r="G2239" s="13" t="s">
        <v>5289</v>
      </c>
      <c r="H2239" s="13" t="s">
        <v>5289</v>
      </c>
      <c r="I2239" s="13" t="s">
        <v>5289</v>
      </c>
      <c r="J2239" s="13" t="s">
        <v>5289</v>
      </c>
      <c r="K2239" s="13" t="s">
        <v>5289</v>
      </c>
      <c r="L2239" s="13" t="n">
        <v>8411061896259</v>
      </c>
      <c r="M2239" s="13"/>
      <c r="N2239" s="13" t="n">
        <v>8411061896259</v>
      </c>
      <c r="O2239" s="13"/>
      <c r="P2239" s="13" t="s">
        <v>5291</v>
      </c>
      <c r="Q2239" s="13" t="s">
        <v>5289</v>
      </c>
      <c r="R2239" s="13" t="s">
        <v>5292</v>
      </c>
      <c r="S2239" s="13" t="s">
        <v>5293</v>
      </c>
      <c r="T2239" s="13" t="s">
        <v>5</v>
      </c>
      <c r="U2239" s="13" t="s">
        <v>43</v>
      </c>
      <c r="V2239" s="13" t="n">
        <f aca="false">IF(COUNTIF($B$2:B2239,B2239)=1,1,0)</f>
        <v>0</v>
      </c>
      <c r="W2239" s="13" t="n">
        <f aca="false">IF(COUNTIFS($B$2:B2239,B2239,$T$2:T2239,T2239)=1,1,0)</f>
        <v>0</v>
      </c>
    </row>
    <row r="2240" customFormat="false" ht="15" hidden="false" customHeight="false" outlineLevel="0" collapsed="false">
      <c r="A2240" s="13" t="s">
        <v>246</v>
      </c>
      <c r="B2240" s="13" t="s">
        <v>42</v>
      </c>
      <c r="C2240" s="13" t="n">
        <v>6000</v>
      </c>
      <c r="D2240" s="13" t="n">
        <v>5</v>
      </c>
      <c r="E2240" s="13" t="n">
        <v>857.528571428572</v>
      </c>
      <c r="F2240" s="13" t="s">
        <v>5325</v>
      </c>
      <c r="G2240" s="13" t="s">
        <v>5289</v>
      </c>
      <c r="H2240" s="13" t="s">
        <v>5289</v>
      </c>
      <c r="I2240" s="13" t="s">
        <v>5289</v>
      </c>
      <c r="J2240" s="13" t="s">
        <v>5289</v>
      </c>
      <c r="K2240" s="13" t="s">
        <v>5289</v>
      </c>
      <c r="L2240" s="13" t="n">
        <v>8411061097922</v>
      </c>
      <c r="M2240" s="13"/>
      <c r="N2240" s="13" t="n">
        <v>8411061097922</v>
      </c>
      <c r="O2240" s="13"/>
      <c r="P2240" s="13" t="s">
        <v>5297</v>
      </c>
      <c r="Q2240" s="13" t="s">
        <v>5289</v>
      </c>
      <c r="R2240" s="13" t="s">
        <v>5292</v>
      </c>
      <c r="S2240" s="13" t="s">
        <v>5293</v>
      </c>
      <c r="T2240" s="13" t="s">
        <v>5</v>
      </c>
      <c r="U2240" s="13" t="s">
        <v>43</v>
      </c>
      <c r="V2240" s="13" t="n">
        <f aca="false">IF(COUNTIF($B$2:B2240,B2240)=1,1,0)</f>
        <v>0</v>
      </c>
      <c r="W2240" s="13" t="n">
        <f aca="false">IF(COUNTIFS($B$2:B2240,B2240,$T$2:T2240,T2240)=1,1,0)</f>
        <v>0</v>
      </c>
    </row>
    <row r="2241" customFormat="false" ht="15" hidden="false" customHeight="false" outlineLevel="0" collapsed="false">
      <c r="A2241" s="13" t="s">
        <v>379</v>
      </c>
      <c r="B2241" s="13" t="s">
        <v>193</v>
      </c>
      <c r="C2241" s="13" t="n">
        <v>6000</v>
      </c>
      <c r="D2241" s="13" t="n">
        <v>5</v>
      </c>
      <c r="E2241" s="13" t="n">
        <v>600.16</v>
      </c>
      <c r="F2241" s="13" t="s">
        <v>5325</v>
      </c>
      <c r="G2241" s="13" t="s">
        <v>5292</v>
      </c>
      <c r="H2241" s="13" t="s">
        <v>5289</v>
      </c>
      <c r="I2241" s="13" t="s">
        <v>5289</v>
      </c>
      <c r="J2241" s="13" t="s">
        <v>5289</v>
      </c>
      <c r="K2241" s="13" t="s">
        <v>5289</v>
      </c>
      <c r="L2241" s="13" t="n">
        <v>3614272907676</v>
      </c>
      <c r="M2241" s="13"/>
      <c r="N2241" s="13" t="n">
        <v>3614272907676</v>
      </c>
      <c r="O2241" s="13"/>
      <c r="P2241" s="13" t="s">
        <v>5291</v>
      </c>
      <c r="Q2241" s="13" t="s">
        <v>5289</v>
      </c>
      <c r="R2241" s="13" t="s">
        <v>5292</v>
      </c>
      <c r="S2241" s="13" t="s">
        <v>5293</v>
      </c>
      <c r="T2241" s="13" t="s">
        <v>5</v>
      </c>
      <c r="U2241" s="13" t="s">
        <v>43</v>
      </c>
      <c r="V2241" s="13" t="n">
        <f aca="false">IF(COUNTIF($B$2:B2241,B2241)=1,1,0)</f>
        <v>0</v>
      </c>
      <c r="W2241" s="13" t="n">
        <f aca="false">IF(COUNTIFS($B$2:B2241,B2241,$T$2:T2241,T2241)=1,1,0)</f>
        <v>0</v>
      </c>
    </row>
    <row r="2242" customFormat="false" ht="15" hidden="false" customHeight="false" outlineLevel="0" collapsed="false">
      <c r="A2242" s="13" t="s">
        <v>495</v>
      </c>
      <c r="B2242" s="13" t="s">
        <v>61</v>
      </c>
      <c r="C2242" s="13" t="n">
        <v>6000</v>
      </c>
      <c r="D2242" s="13" t="n">
        <v>20</v>
      </c>
      <c r="E2242" s="13" t="n">
        <v>332.281666666667</v>
      </c>
      <c r="F2242" s="13" t="s">
        <v>5288</v>
      </c>
      <c r="G2242" s="13" t="s">
        <v>5289</v>
      </c>
      <c r="H2242" s="13" t="s">
        <v>5292</v>
      </c>
      <c r="I2242" s="13" t="s">
        <v>5289</v>
      </c>
      <c r="J2242" s="13" t="s">
        <v>5289</v>
      </c>
      <c r="K2242" s="13" t="s">
        <v>5289</v>
      </c>
      <c r="L2242" s="13" t="n">
        <v>3605532612690</v>
      </c>
      <c r="M2242" s="13"/>
      <c r="N2242" s="13" t="n">
        <v>3605532612690</v>
      </c>
      <c r="O2242" s="13"/>
      <c r="P2242" s="13" t="s">
        <v>5291</v>
      </c>
      <c r="Q2242" s="13" t="s">
        <v>5289</v>
      </c>
      <c r="R2242" s="13" t="s">
        <v>5292</v>
      </c>
      <c r="S2242" s="13" t="s">
        <v>5293</v>
      </c>
      <c r="T2242" s="13" t="s">
        <v>5</v>
      </c>
      <c r="U2242" s="13" t="s">
        <v>43</v>
      </c>
      <c r="V2242" s="13" t="n">
        <f aca="false">IF(COUNTIF($B$2:B2242,B2242)=1,1,0)</f>
        <v>0</v>
      </c>
      <c r="W2242" s="13" t="n">
        <f aca="false">IF(COUNTIFS($B$2:B2242,B2242,$T$2:T2242,T2242)=1,1,0)</f>
        <v>0</v>
      </c>
    </row>
    <row r="2243" customFormat="false" ht="15" hidden="false" customHeight="false" outlineLevel="0" collapsed="false">
      <c r="A2243" s="13" t="s">
        <v>351</v>
      </c>
      <c r="B2243" s="13" t="s">
        <v>42</v>
      </c>
      <c r="C2243" s="13" t="n">
        <v>5900</v>
      </c>
      <c r="D2243" s="13" t="n">
        <v>5</v>
      </c>
      <c r="E2243" s="13" t="n">
        <v>593.263</v>
      </c>
      <c r="F2243" s="13" t="s">
        <v>5325</v>
      </c>
      <c r="G2243" s="13" t="s">
        <v>5289</v>
      </c>
      <c r="H2243" s="13" t="s">
        <v>5289</v>
      </c>
      <c r="I2243" s="13" t="s">
        <v>5289</v>
      </c>
      <c r="J2243" s="13" t="s">
        <v>5289</v>
      </c>
      <c r="K2243" s="13" t="s">
        <v>5289</v>
      </c>
      <c r="L2243" s="13" t="n">
        <v>8411061894026</v>
      </c>
      <c r="M2243" s="13"/>
      <c r="N2243" s="13" t="n">
        <v>8411061894026</v>
      </c>
      <c r="O2243" s="13"/>
      <c r="P2243" s="13" t="s">
        <v>5291</v>
      </c>
      <c r="Q2243" s="13" t="s">
        <v>5289</v>
      </c>
      <c r="R2243" s="13" t="s">
        <v>5292</v>
      </c>
      <c r="S2243" s="13" t="s">
        <v>5293</v>
      </c>
      <c r="T2243" s="13" t="s">
        <v>5</v>
      </c>
      <c r="U2243" s="13" t="s">
        <v>43</v>
      </c>
      <c r="V2243" s="13" t="n">
        <f aca="false">IF(COUNTIF($B$2:B2243,B2243)=1,1,0)</f>
        <v>0</v>
      </c>
      <c r="W2243" s="13" t="n">
        <f aca="false">IF(COUNTIFS($B$2:B2243,B2243,$T$2:T2243,T2243)=1,1,0)</f>
        <v>0</v>
      </c>
    </row>
    <row r="2244" customFormat="false" ht="15" hidden="false" customHeight="false" outlineLevel="0" collapsed="false">
      <c r="A2244" s="13" t="s">
        <v>113</v>
      </c>
      <c r="B2244" s="13" t="s">
        <v>45</v>
      </c>
      <c r="C2244" s="13" t="n">
        <v>5900</v>
      </c>
      <c r="D2244" s="13" t="n">
        <v>5</v>
      </c>
      <c r="E2244" s="13" t="n">
        <v>656</v>
      </c>
      <c r="F2244" s="13" t="s">
        <v>5288</v>
      </c>
      <c r="G2244" s="13" t="s">
        <v>5289</v>
      </c>
      <c r="H2244" s="13" t="s">
        <v>5289</v>
      </c>
      <c r="I2244" s="13" t="s">
        <v>5289</v>
      </c>
      <c r="J2244" s="13" t="s">
        <v>5289</v>
      </c>
      <c r="K2244" s="13" t="s">
        <v>5289</v>
      </c>
      <c r="L2244" s="13" t="n">
        <v>8435415059060</v>
      </c>
      <c r="M2244" s="13"/>
      <c r="N2244" s="13" t="n">
        <v>8435415059060</v>
      </c>
      <c r="O2244" s="13"/>
      <c r="P2244" s="13" t="s">
        <v>5291</v>
      </c>
      <c r="Q2244" s="13" t="s">
        <v>5289</v>
      </c>
      <c r="R2244" s="13" t="s">
        <v>5292</v>
      </c>
      <c r="S2244" s="13" t="s">
        <v>5293</v>
      </c>
      <c r="T2244" s="13" t="s">
        <v>5</v>
      </c>
      <c r="U2244" s="13" t="s">
        <v>43</v>
      </c>
      <c r="V2244" s="13" t="n">
        <f aca="false">IF(COUNTIF($B$2:B2244,B2244)=1,1,0)</f>
        <v>0</v>
      </c>
      <c r="W2244" s="13" t="n">
        <f aca="false">IF(COUNTIFS($B$2:B2244,B2244,$T$2:T2244,T2244)=1,1,0)</f>
        <v>0</v>
      </c>
    </row>
    <row r="2245" customFormat="false" ht="15" hidden="false" customHeight="false" outlineLevel="0" collapsed="false">
      <c r="A2245" s="13" t="s">
        <v>409</v>
      </c>
      <c r="B2245" s="13" t="s">
        <v>45</v>
      </c>
      <c r="C2245" s="13" t="n">
        <v>5900</v>
      </c>
      <c r="D2245" s="13" t="n">
        <v>10</v>
      </c>
      <c r="E2245" s="13" t="n">
        <v>491</v>
      </c>
      <c r="F2245" s="13" t="s">
        <v>5325</v>
      </c>
      <c r="G2245" s="13" t="s">
        <v>5289</v>
      </c>
      <c r="H2245" s="13" t="s">
        <v>5289</v>
      </c>
      <c r="I2245" s="13" t="s">
        <v>5289</v>
      </c>
      <c r="J2245" s="13" t="s">
        <v>5289</v>
      </c>
      <c r="K2245" s="13" t="s">
        <v>5289</v>
      </c>
      <c r="L2245" s="13" t="n">
        <v>8435415091268</v>
      </c>
      <c r="M2245" s="13"/>
      <c r="N2245" s="13" t="n">
        <v>8435415091268</v>
      </c>
      <c r="O2245" s="13"/>
      <c r="P2245" s="13" t="s">
        <v>5291</v>
      </c>
      <c r="Q2245" s="13" t="s">
        <v>5289</v>
      </c>
      <c r="R2245" s="13" t="s">
        <v>5292</v>
      </c>
      <c r="S2245" s="13" t="s">
        <v>5293</v>
      </c>
      <c r="T2245" s="13" t="s">
        <v>5</v>
      </c>
      <c r="U2245" s="13" t="s">
        <v>43</v>
      </c>
      <c r="V2245" s="13" t="n">
        <f aca="false">IF(COUNTIF($B$2:B2245,B2245)=1,1,0)</f>
        <v>0</v>
      </c>
      <c r="W2245" s="13" t="n">
        <f aca="false">IF(COUNTIFS($B$2:B2245,B2245,$T$2:T2245,T2245)=1,1,0)</f>
        <v>0</v>
      </c>
    </row>
    <row r="2246" customFormat="false" ht="15" hidden="false" customHeight="false" outlineLevel="0" collapsed="false">
      <c r="A2246" s="13" t="s">
        <v>52</v>
      </c>
      <c r="B2246" s="13" t="s">
        <v>50</v>
      </c>
      <c r="C2246" s="13" t="n">
        <v>5900</v>
      </c>
      <c r="D2246" s="13" t="n">
        <v>5</v>
      </c>
      <c r="E2246" s="13" t="n">
        <v>589</v>
      </c>
      <c r="F2246" s="13" t="s">
        <v>5288</v>
      </c>
      <c r="G2246" s="13" t="s">
        <v>5292</v>
      </c>
      <c r="H2246" s="13" t="s">
        <v>5289</v>
      </c>
      <c r="I2246" s="13" t="s">
        <v>5289</v>
      </c>
      <c r="J2246" s="13" t="s">
        <v>5289</v>
      </c>
      <c r="K2246" s="13" t="s">
        <v>5289</v>
      </c>
      <c r="L2246" s="13" t="n">
        <v>3349668566372</v>
      </c>
      <c r="M2246" s="13"/>
      <c r="N2246" s="13" t="n">
        <v>3349668566372</v>
      </c>
      <c r="O2246" s="13"/>
      <c r="P2246" s="13" t="s">
        <v>5291</v>
      </c>
      <c r="Q2246" s="13" t="s">
        <v>5289</v>
      </c>
      <c r="R2246" s="13" t="s">
        <v>5292</v>
      </c>
      <c r="S2246" s="13" t="s">
        <v>5293</v>
      </c>
      <c r="T2246" s="13" t="s">
        <v>5</v>
      </c>
      <c r="U2246" s="13" t="s">
        <v>43</v>
      </c>
      <c r="V2246" s="13" t="n">
        <f aca="false">IF(COUNTIF($B$2:B2246,B2246)=1,1,0)</f>
        <v>0</v>
      </c>
      <c r="W2246" s="13" t="n">
        <f aca="false">IF(COUNTIFS($B$2:B2246,B2246,$T$2:T2246,T2246)=1,1,0)</f>
        <v>0</v>
      </c>
    </row>
    <row r="2247" customFormat="false" ht="15" hidden="false" customHeight="false" outlineLevel="0" collapsed="false">
      <c r="A2247" s="13" t="s">
        <v>426</v>
      </c>
      <c r="B2247" s="13" t="s">
        <v>79</v>
      </c>
      <c r="C2247" s="13" t="n">
        <v>5800</v>
      </c>
      <c r="D2247" s="13" t="n">
        <v>5</v>
      </c>
      <c r="E2247" s="13" t="n">
        <v>831</v>
      </c>
      <c r="F2247" s="13" t="s">
        <v>5325</v>
      </c>
      <c r="G2247" s="13" t="s">
        <v>5289</v>
      </c>
      <c r="H2247" s="13" t="s">
        <v>5289</v>
      </c>
      <c r="I2247" s="13" t="s">
        <v>5289</v>
      </c>
      <c r="J2247" s="13" t="s">
        <v>5289</v>
      </c>
      <c r="K2247" s="13" t="s">
        <v>5289</v>
      </c>
      <c r="L2247" s="13" t="n">
        <v>8056669925712</v>
      </c>
      <c r="M2247" s="13"/>
      <c r="N2247" s="13" t="n">
        <v>8056669925712</v>
      </c>
      <c r="O2247" s="13"/>
      <c r="P2247" s="13" t="s">
        <v>5291</v>
      </c>
      <c r="Q2247" s="13" t="s">
        <v>5289</v>
      </c>
      <c r="R2247" s="13" t="s">
        <v>5292</v>
      </c>
      <c r="S2247" s="13" t="s">
        <v>5293</v>
      </c>
      <c r="T2247" s="13" t="s">
        <v>5</v>
      </c>
      <c r="U2247" s="13" t="s">
        <v>43</v>
      </c>
      <c r="V2247" s="13" t="n">
        <f aca="false">IF(COUNTIF($B$2:B2247,B2247)=1,1,0)</f>
        <v>0</v>
      </c>
      <c r="W2247" s="13" t="n">
        <f aca="false">IF(COUNTIFS($B$2:B2247,B2247,$T$2:T2247,T2247)=1,1,0)</f>
        <v>0</v>
      </c>
    </row>
    <row r="2248" customFormat="false" ht="15" hidden="false" customHeight="false" outlineLevel="0" collapsed="false">
      <c r="A2248" s="13" t="s">
        <v>505</v>
      </c>
      <c r="B2248" s="13" t="s">
        <v>61</v>
      </c>
      <c r="C2248" s="13" t="n">
        <v>5700</v>
      </c>
      <c r="D2248" s="13" t="n">
        <v>5</v>
      </c>
      <c r="E2248" s="13" t="n">
        <v>958.3</v>
      </c>
      <c r="F2248" s="13" t="s">
        <v>5325</v>
      </c>
      <c r="G2248" s="13" t="s">
        <v>5289</v>
      </c>
      <c r="H2248" s="13" t="s">
        <v>5292</v>
      </c>
      <c r="I2248" s="13" t="s">
        <v>5289</v>
      </c>
      <c r="J2248" s="13" t="s">
        <v>5289</v>
      </c>
      <c r="K2248" s="13" t="s">
        <v>5289</v>
      </c>
      <c r="L2248" s="13" t="n">
        <v>3614273694797</v>
      </c>
      <c r="M2248" s="13"/>
      <c r="N2248" s="13" t="n">
        <v>3614273694797</v>
      </c>
      <c r="O2248" s="13"/>
      <c r="P2248" s="13" t="s">
        <v>5291</v>
      </c>
      <c r="Q2248" s="13" t="s">
        <v>5289</v>
      </c>
      <c r="R2248" s="13" t="s">
        <v>5292</v>
      </c>
      <c r="S2248" s="13" t="s">
        <v>5293</v>
      </c>
      <c r="T2248" s="13" t="s">
        <v>5</v>
      </c>
      <c r="U2248" s="13" t="s">
        <v>43</v>
      </c>
      <c r="V2248" s="13" t="n">
        <f aca="false">IF(COUNTIF($B$2:B2248,B2248)=1,1,0)</f>
        <v>0</v>
      </c>
      <c r="W2248" s="13" t="n">
        <f aca="false">IF(COUNTIFS($B$2:B2248,B2248,$T$2:T2248,T2248)=1,1,0)</f>
        <v>0</v>
      </c>
    </row>
    <row r="2249" customFormat="false" ht="15" hidden="false" customHeight="false" outlineLevel="0" collapsed="false">
      <c r="A2249" s="13" t="s">
        <v>427</v>
      </c>
      <c r="B2249" s="13" t="s">
        <v>42</v>
      </c>
      <c r="C2249" s="13" t="n">
        <v>5700</v>
      </c>
      <c r="D2249" s="13" t="n">
        <v>10</v>
      </c>
      <c r="E2249" s="13" t="n">
        <v>519.99</v>
      </c>
      <c r="F2249" s="13" t="s">
        <v>5325</v>
      </c>
      <c r="G2249" s="13" t="s">
        <v>5289</v>
      </c>
      <c r="H2249" s="13" t="s">
        <v>5289</v>
      </c>
      <c r="I2249" s="13" t="s">
        <v>5289</v>
      </c>
      <c r="J2249" s="13" t="s">
        <v>5289</v>
      </c>
      <c r="K2249" s="13" t="s">
        <v>5289</v>
      </c>
      <c r="L2249" s="13" t="n">
        <v>8411061954966</v>
      </c>
      <c r="M2249" s="13"/>
      <c r="N2249" s="13" t="n">
        <v>8411061954966</v>
      </c>
      <c r="O2249" s="13"/>
      <c r="P2249" s="13" t="s">
        <v>5297</v>
      </c>
      <c r="Q2249" s="13" t="s">
        <v>5289</v>
      </c>
      <c r="R2249" s="13" t="s">
        <v>5292</v>
      </c>
      <c r="S2249" s="13" t="s">
        <v>5293</v>
      </c>
      <c r="T2249" s="13" t="s">
        <v>5</v>
      </c>
      <c r="U2249" s="13" t="s">
        <v>43</v>
      </c>
      <c r="V2249" s="13" t="n">
        <f aca="false">IF(COUNTIF($B$2:B2249,B2249)=1,1,0)</f>
        <v>0</v>
      </c>
      <c r="W2249" s="13" t="n">
        <f aca="false">IF(COUNTIFS($B$2:B2249,B2249,$T$2:T2249,T2249)=1,1,0)</f>
        <v>0</v>
      </c>
    </row>
    <row r="2250" customFormat="false" ht="15" hidden="false" customHeight="false" outlineLevel="0" collapsed="false">
      <c r="A2250" s="13" t="s">
        <v>512</v>
      </c>
      <c r="B2250" s="13" t="s">
        <v>195</v>
      </c>
      <c r="C2250" s="13" t="n">
        <v>5700</v>
      </c>
      <c r="D2250" s="13" t="n">
        <v>20</v>
      </c>
      <c r="E2250" s="13" t="n">
        <v>355</v>
      </c>
      <c r="F2250" s="13" t="s">
        <v>5325</v>
      </c>
      <c r="G2250" s="13" t="s">
        <v>5289</v>
      </c>
      <c r="H2250" s="13" t="s">
        <v>5289</v>
      </c>
      <c r="I2250" s="13" t="s">
        <v>5289</v>
      </c>
      <c r="J2250" s="13" t="s">
        <v>5289</v>
      </c>
      <c r="K2250" s="13" t="s">
        <v>5289</v>
      </c>
      <c r="L2250" s="13" t="n">
        <v>3614227693241</v>
      </c>
      <c r="M2250" s="13"/>
      <c r="N2250" s="13" t="n">
        <v>3614227693241</v>
      </c>
      <c r="O2250" s="13"/>
      <c r="P2250" s="13" t="s">
        <v>5291</v>
      </c>
      <c r="Q2250" s="13" t="s">
        <v>5289</v>
      </c>
      <c r="R2250" s="13" t="s">
        <v>5292</v>
      </c>
      <c r="S2250" s="13" t="s">
        <v>5293</v>
      </c>
      <c r="T2250" s="13" t="s">
        <v>5</v>
      </c>
      <c r="U2250" s="13" t="s">
        <v>43</v>
      </c>
      <c r="V2250" s="13" t="n">
        <f aca="false">IF(COUNTIF($B$2:B2250,B2250)=1,1,0)</f>
        <v>0</v>
      </c>
      <c r="W2250" s="13" t="n">
        <f aca="false">IF(COUNTIFS($B$2:B2250,B2250,$T$2:T2250,T2250)=1,1,0)</f>
        <v>0</v>
      </c>
    </row>
    <row r="2251" customFormat="false" ht="15" hidden="false" customHeight="false" outlineLevel="0" collapsed="false">
      <c r="A2251" s="13" t="s">
        <v>504</v>
      </c>
      <c r="B2251" s="13" t="s">
        <v>105</v>
      </c>
      <c r="C2251" s="13" t="n">
        <v>5700</v>
      </c>
      <c r="D2251" s="13" t="n">
        <v>10</v>
      </c>
      <c r="E2251" s="13" t="n">
        <v>436.77</v>
      </c>
      <c r="F2251" s="13" t="s">
        <v>5325</v>
      </c>
      <c r="G2251" s="13" t="s">
        <v>5289</v>
      </c>
      <c r="H2251" s="13" t="s">
        <v>5289</v>
      </c>
      <c r="I2251" s="13" t="s">
        <v>5289</v>
      </c>
      <c r="J2251" s="13" t="s">
        <v>5289</v>
      </c>
      <c r="K2251" s="13" t="s">
        <v>5289</v>
      </c>
      <c r="L2251" s="13" t="n">
        <v>3614229823776</v>
      </c>
      <c r="M2251" s="13"/>
      <c r="N2251" s="13" t="n">
        <v>3614229823776</v>
      </c>
      <c r="O2251" s="13"/>
      <c r="P2251" s="13" t="s">
        <v>5291</v>
      </c>
      <c r="Q2251" s="13" t="s">
        <v>5289</v>
      </c>
      <c r="R2251" s="13" t="s">
        <v>5292</v>
      </c>
      <c r="S2251" s="13" t="s">
        <v>5293</v>
      </c>
      <c r="T2251" s="13" t="s">
        <v>5</v>
      </c>
      <c r="U2251" s="13" t="s">
        <v>43</v>
      </c>
      <c r="V2251" s="13" t="n">
        <f aca="false">IF(COUNTIF($B$2:B2251,B2251)=1,1,0)</f>
        <v>0</v>
      </c>
      <c r="W2251" s="13" t="n">
        <f aca="false">IF(COUNTIFS($B$2:B2251,B2251,$T$2:T2251,T2251)=1,1,0)</f>
        <v>0</v>
      </c>
    </row>
    <row r="2252" customFormat="false" ht="15" hidden="false" customHeight="false" outlineLevel="0" collapsed="false">
      <c r="A2252" s="13" t="s">
        <v>311</v>
      </c>
      <c r="B2252" s="13" t="s">
        <v>45</v>
      </c>
      <c r="C2252" s="13" t="n">
        <v>5600</v>
      </c>
      <c r="D2252" s="13" t="n">
        <v>5</v>
      </c>
      <c r="E2252" s="13" t="n">
        <v>704.935</v>
      </c>
      <c r="F2252" s="13" t="s">
        <v>5325</v>
      </c>
      <c r="G2252" s="13" t="s">
        <v>5289</v>
      </c>
      <c r="H2252" s="13" t="s">
        <v>5292</v>
      </c>
      <c r="I2252" s="13" t="s">
        <v>5289</v>
      </c>
      <c r="J2252" s="13" t="s">
        <v>5289</v>
      </c>
      <c r="K2252" s="13" t="s">
        <v>5289</v>
      </c>
      <c r="L2252" s="13" t="n">
        <v>8435415032360</v>
      </c>
      <c r="M2252" s="13"/>
      <c r="N2252" s="13" t="n">
        <v>8435415032360</v>
      </c>
      <c r="O2252" s="13"/>
      <c r="P2252" s="13" t="s">
        <v>5291</v>
      </c>
      <c r="Q2252" s="13" t="s">
        <v>5289</v>
      </c>
      <c r="R2252" s="13" t="s">
        <v>5292</v>
      </c>
      <c r="S2252" s="13" t="s">
        <v>5293</v>
      </c>
      <c r="T2252" s="13" t="s">
        <v>5</v>
      </c>
      <c r="U2252" s="13" t="s">
        <v>43</v>
      </c>
      <c r="V2252" s="13" t="n">
        <f aca="false">IF(COUNTIF($B$2:B2252,B2252)=1,1,0)</f>
        <v>0</v>
      </c>
      <c r="W2252" s="13" t="n">
        <f aca="false">IF(COUNTIFS($B$2:B2252,B2252,$T$2:T2252,T2252)=1,1,0)</f>
        <v>0</v>
      </c>
    </row>
    <row r="2253" customFormat="false" ht="15" hidden="false" customHeight="false" outlineLevel="0" collapsed="false">
      <c r="A2253" s="13" t="s">
        <v>515</v>
      </c>
      <c r="B2253" s="13" t="s">
        <v>42</v>
      </c>
      <c r="C2253" s="13" t="n">
        <v>5600</v>
      </c>
      <c r="D2253" s="13" t="n">
        <v>5</v>
      </c>
      <c r="E2253" s="13" t="n">
        <v>619</v>
      </c>
      <c r="F2253" s="13" t="s">
        <v>5325</v>
      </c>
      <c r="G2253" s="13" t="s">
        <v>5289</v>
      </c>
      <c r="H2253" s="13" t="s">
        <v>5289</v>
      </c>
      <c r="I2253" s="13" t="s">
        <v>5289</v>
      </c>
      <c r="J2253" s="13" t="s">
        <v>5289</v>
      </c>
      <c r="K2253" s="13" t="s">
        <v>5289</v>
      </c>
      <c r="L2253" s="13"/>
      <c r="M2253" s="13"/>
      <c r="N2253" s="13" t="n">
        <v>8411061083772</v>
      </c>
      <c r="O2253" s="13"/>
      <c r="P2253" s="13" t="s">
        <v>5291</v>
      </c>
      <c r="Q2253" s="13" t="s">
        <v>5289</v>
      </c>
      <c r="R2253" s="13" t="s">
        <v>5292</v>
      </c>
      <c r="S2253" s="13" t="s">
        <v>5293</v>
      </c>
      <c r="T2253" s="13" t="s">
        <v>5</v>
      </c>
      <c r="U2253" s="13" t="s">
        <v>43</v>
      </c>
      <c r="V2253" s="13" t="n">
        <f aca="false">IF(COUNTIF($B$2:B2253,B2253)=1,1,0)</f>
        <v>0</v>
      </c>
      <c r="W2253" s="13" t="n">
        <f aca="false">IF(COUNTIFS($B$2:B2253,B2253,$T$2:T2253,T2253)=1,1,0)</f>
        <v>0</v>
      </c>
    </row>
    <row r="2254" customFormat="false" ht="15" hidden="false" customHeight="false" outlineLevel="0" collapsed="false">
      <c r="A2254" s="13" t="s">
        <v>519</v>
      </c>
      <c r="B2254" s="13" t="s">
        <v>124</v>
      </c>
      <c r="C2254" s="13" t="n">
        <v>5500</v>
      </c>
      <c r="D2254" s="13" t="n">
        <v>5</v>
      </c>
      <c r="E2254" s="13" t="n">
        <v>789.651428571429</v>
      </c>
      <c r="F2254" s="13" t="s">
        <v>5325</v>
      </c>
      <c r="G2254" s="13" t="s">
        <v>5292</v>
      </c>
      <c r="H2254" s="13" t="s">
        <v>5292</v>
      </c>
      <c r="I2254" s="13" t="s">
        <v>5289</v>
      </c>
      <c r="J2254" s="13" t="s">
        <v>5289</v>
      </c>
      <c r="K2254" s="13" t="s">
        <v>5289</v>
      </c>
      <c r="L2254" s="13"/>
      <c r="M2254" s="13"/>
      <c r="N2254" s="13" t="n">
        <v>3614273636384</v>
      </c>
      <c r="O2254" s="13"/>
      <c r="P2254" s="13" t="s">
        <v>5297</v>
      </c>
      <c r="Q2254" s="13" t="s">
        <v>5289</v>
      </c>
      <c r="R2254" s="13" t="s">
        <v>5292</v>
      </c>
      <c r="S2254" s="13" t="s">
        <v>5293</v>
      </c>
      <c r="T2254" s="13" t="s">
        <v>5</v>
      </c>
      <c r="U2254" s="13" t="s">
        <v>43</v>
      </c>
      <c r="V2254" s="13" t="n">
        <f aca="false">IF(COUNTIF($B$2:B2254,B2254)=1,1,0)</f>
        <v>0</v>
      </c>
      <c r="W2254" s="13" t="n">
        <f aca="false">IF(COUNTIFS($B$2:B2254,B2254,$T$2:T2254,T2254)=1,1,0)</f>
        <v>0</v>
      </c>
    </row>
    <row r="2255" customFormat="false" ht="15" hidden="false" customHeight="false" outlineLevel="0" collapsed="false">
      <c r="A2255" s="13" t="s">
        <v>520</v>
      </c>
      <c r="B2255" s="13" t="s">
        <v>50</v>
      </c>
      <c r="C2255" s="13" t="n">
        <v>5500</v>
      </c>
      <c r="D2255" s="13" t="n">
        <v>5</v>
      </c>
      <c r="E2255" s="13" t="n">
        <v>552</v>
      </c>
      <c r="F2255" s="13" t="s">
        <v>5325</v>
      </c>
      <c r="G2255" s="13" t="s">
        <v>5292</v>
      </c>
      <c r="H2255" s="13" t="s">
        <v>5289</v>
      </c>
      <c r="I2255" s="13" t="s">
        <v>5289</v>
      </c>
      <c r="J2255" s="13" t="s">
        <v>5289</v>
      </c>
      <c r="K2255" s="13" t="s">
        <v>5289</v>
      </c>
      <c r="L2255" s="13" t="n">
        <v>3349668667024</v>
      </c>
      <c r="M2255" s="13"/>
      <c r="N2255" s="13" t="n">
        <v>3349668667024</v>
      </c>
      <c r="O2255" s="13"/>
      <c r="P2255" s="13" t="s">
        <v>5291</v>
      </c>
      <c r="Q2255" s="13" t="s">
        <v>5289</v>
      </c>
      <c r="R2255" s="13" t="s">
        <v>5292</v>
      </c>
      <c r="S2255" s="13" t="s">
        <v>5293</v>
      </c>
      <c r="T2255" s="13" t="s">
        <v>5</v>
      </c>
      <c r="U2255" s="13" t="s">
        <v>43</v>
      </c>
      <c r="V2255" s="13" t="n">
        <f aca="false">IF(COUNTIF($B$2:B2255,B2255)=1,1,0)</f>
        <v>0</v>
      </c>
      <c r="W2255" s="13" t="n">
        <f aca="false">IF(COUNTIFS($B$2:B2255,B2255,$T$2:T2255,T2255)=1,1,0)</f>
        <v>0</v>
      </c>
    </row>
    <row r="2256" customFormat="false" ht="15" hidden="false" customHeight="false" outlineLevel="0" collapsed="false">
      <c r="A2256" s="13" t="s">
        <v>370</v>
      </c>
      <c r="B2256" s="13" t="s">
        <v>124</v>
      </c>
      <c r="C2256" s="13" t="n">
        <v>5500</v>
      </c>
      <c r="D2256" s="13" t="n">
        <v>10</v>
      </c>
      <c r="E2256" s="13" t="n">
        <v>459.16</v>
      </c>
      <c r="F2256" s="13" t="s">
        <v>5288</v>
      </c>
      <c r="G2256" s="13" t="s">
        <v>5289</v>
      </c>
      <c r="H2256" s="13" t="s">
        <v>5289</v>
      </c>
      <c r="I2256" s="13" t="s">
        <v>5289</v>
      </c>
      <c r="J2256" s="13" t="s">
        <v>5289</v>
      </c>
      <c r="K2256" s="13" t="s">
        <v>5289</v>
      </c>
      <c r="L2256" s="13" t="n">
        <v>3360372058861</v>
      </c>
      <c r="M2256" s="13"/>
      <c r="N2256" s="13" t="n">
        <v>3360372058861</v>
      </c>
      <c r="O2256" s="13"/>
      <c r="P2256" s="13" t="s">
        <v>5291</v>
      </c>
      <c r="Q2256" s="13" t="s">
        <v>5289</v>
      </c>
      <c r="R2256" s="13" t="s">
        <v>5292</v>
      </c>
      <c r="S2256" s="13" t="s">
        <v>5293</v>
      </c>
      <c r="T2256" s="13" t="s">
        <v>5</v>
      </c>
      <c r="U2256" s="13" t="s">
        <v>43</v>
      </c>
      <c r="V2256" s="13" t="n">
        <f aca="false">IF(COUNTIF($B$2:B2256,B2256)=1,1,0)</f>
        <v>0</v>
      </c>
      <c r="W2256" s="13" t="n">
        <f aca="false">IF(COUNTIFS($B$2:B2256,B2256,$T$2:T2256,T2256)=1,1,0)</f>
        <v>0</v>
      </c>
    </row>
    <row r="2257" customFormat="false" ht="15" hidden="false" customHeight="false" outlineLevel="0" collapsed="false">
      <c r="A2257" s="13" t="s">
        <v>317</v>
      </c>
      <c r="B2257" s="13" t="s">
        <v>50</v>
      </c>
      <c r="C2257" s="13" t="n">
        <v>5500</v>
      </c>
      <c r="D2257" s="13" t="n">
        <v>5</v>
      </c>
      <c r="E2257" s="13" t="n">
        <v>686</v>
      </c>
      <c r="F2257" s="13" t="s">
        <v>5288</v>
      </c>
      <c r="G2257" s="13" t="s">
        <v>5289</v>
      </c>
      <c r="H2257" s="13" t="s">
        <v>5289</v>
      </c>
      <c r="I2257" s="13" t="s">
        <v>5289</v>
      </c>
      <c r="J2257" s="13" t="s">
        <v>5289</v>
      </c>
      <c r="K2257" s="13" t="s">
        <v>5289</v>
      </c>
      <c r="L2257" s="13"/>
      <c r="M2257" s="13"/>
      <c r="N2257" s="13" t="n">
        <v>3349668636648</v>
      </c>
      <c r="O2257" s="13"/>
      <c r="P2257" s="13" t="s">
        <v>5291</v>
      </c>
      <c r="Q2257" s="13" t="s">
        <v>5289</v>
      </c>
      <c r="R2257" s="13" t="s">
        <v>5292</v>
      </c>
      <c r="S2257" s="13" t="s">
        <v>5293</v>
      </c>
      <c r="T2257" s="13" t="s">
        <v>5</v>
      </c>
      <c r="U2257" s="13" t="s">
        <v>43</v>
      </c>
      <c r="V2257" s="13" t="n">
        <f aca="false">IF(COUNTIF($B$2:B2257,B2257)=1,1,0)</f>
        <v>0</v>
      </c>
      <c r="W2257" s="13" t="n">
        <f aca="false">IF(COUNTIFS($B$2:B2257,B2257,$T$2:T2257,T2257)=1,1,0)</f>
        <v>0</v>
      </c>
    </row>
    <row r="2258" customFormat="false" ht="15" hidden="false" customHeight="false" outlineLevel="0" collapsed="false">
      <c r="A2258" s="13" t="s">
        <v>521</v>
      </c>
      <c r="B2258" s="13" t="s">
        <v>61</v>
      </c>
      <c r="C2258" s="13" t="n">
        <v>5500</v>
      </c>
      <c r="D2258" s="13" t="n">
        <v>5</v>
      </c>
      <c r="E2258" s="13" t="n">
        <v>911</v>
      </c>
      <c r="F2258" s="13" t="s">
        <v>5325</v>
      </c>
      <c r="G2258" s="13" t="s">
        <v>5289</v>
      </c>
      <c r="H2258" s="13" t="s">
        <v>5292</v>
      </c>
      <c r="I2258" s="13" t="s">
        <v>5289</v>
      </c>
      <c r="J2258" s="13" t="s">
        <v>5289</v>
      </c>
      <c r="K2258" s="13" t="s">
        <v>5289</v>
      </c>
      <c r="L2258" s="13" t="n">
        <v>3614274787580</v>
      </c>
      <c r="M2258" s="13"/>
      <c r="N2258" s="13" t="n">
        <v>7908966525076</v>
      </c>
      <c r="O2258" s="13"/>
      <c r="P2258" s="13" t="s">
        <v>5297</v>
      </c>
      <c r="Q2258" s="13" t="s">
        <v>5289</v>
      </c>
      <c r="R2258" s="13" t="s">
        <v>5292</v>
      </c>
      <c r="S2258" s="13" t="s">
        <v>5293</v>
      </c>
      <c r="T2258" s="13" t="s">
        <v>5</v>
      </c>
      <c r="U2258" s="13" t="s">
        <v>43</v>
      </c>
      <c r="V2258" s="13" t="n">
        <f aca="false">IF(COUNTIF($B$2:B2258,B2258)=1,1,0)</f>
        <v>0</v>
      </c>
      <c r="W2258" s="13" t="n">
        <f aca="false">IF(COUNTIFS($B$2:B2258,B2258,$T$2:T2258,T2258)=1,1,0)</f>
        <v>0</v>
      </c>
    </row>
    <row r="2259" customFormat="false" ht="15" hidden="false" customHeight="false" outlineLevel="0" collapsed="false">
      <c r="A2259" s="13" t="s">
        <v>528</v>
      </c>
      <c r="B2259" s="13" t="s">
        <v>195</v>
      </c>
      <c r="C2259" s="13" t="n">
        <v>5400</v>
      </c>
      <c r="D2259" s="13" t="n">
        <v>5</v>
      </c>
      <c r="E2259" s="13" t="n">
        <v>544.294</v>
      </c>
      <c r="F2259" s="13" t="s">
        <v>5325</v>
      </c>
      <c r="G2259" s="13" t="s">
        <v>5289</v>
      </c>
      <c r="H2259" s="13" t="s">
        <v>5289</v>
      </c>
      <c r="I2259" s="13" t="s">
        <v>5289</v>
      </c>
      <c r="J2259" s="13" t="s">
        <v>5289</v>
      </c>
      <c r="K2259" s="13" t="s">
        <v>5289</v>
      </c>
      <c r="L2259" s="13" t="n">
        <v>3616305181053</v>
      </c>
      <c r="M2259" s="13"/>
      <c r="N2259" s="13" t="n">
        <v>3616305181053</v>
      </c>
      <c r="O2259" s="13"/>
      <c r="P2259" s="13" t="s">
        <v>5291</v>
      </c>
      <c r="Q2259" s="13" t="s">
        <v>5289</v>
      </c>
      <c r="R2259" s="13" t="s">
        <v>5292</v>
      </c>
      <c r="S2259" s="13" t="s">
        <v>5293</v>
      </c>
      <c r="T2259" s="13" t="s">
        <v>5</v>
      </c>
      <c r="U2259" s="13" t="s">
        <v>43</v>
      </c>
      <c r="V2259" s="13" t="n">
        <f aca="false">IF(COUNTIF($B$2:B2259,B2259)=1,1,0)</f>
        <v>0</v>
      </c>
      <c r="W2259" s="13" t="n">
        <f aca="false">IF(COUNTIFS($B$2:B2259,B2259,$T$2:T2259,T2259)=1,1,0)</f>
        <v>0</v>
      </c>
    </row>
    <row r="2260" customFormat="false" ht="15" hidden="false" customHeight="false" outlineLevel="0" collapsed="false">
      <c r="A2260" s="13" t="s">
        <v>44</v>
      </c>
      <c r="B2260" s="13" t="s">
        <v>42</v>
      </c>
      <c r="C2260" s="13" t="n">
        <v>5400</v>
      </c>
      <c r="D2260" s="13" t="n">
        <v>5</v>
      </c>
      <c r="E2260" s="13" t="n">
        <v>599.99</v>
      </c>
      <c r="F2260" s="13" t="s">
        <v>5288</v>
      </c>
      <c r="G2260" s="13" t="s">
        <v>5292</v>
      </c>
      <c r="H2260" s="13" t="s">
        <v>5289</v>
      </c>
      <c r="I2260" s="13" t="s">
        <v>5289</v>
      </c>
      <c r="J2260" s="13" t="s">
        <v>5289</v>
      </c>
      <c r="K2260" s="13" t="s">
        <v>5289</v>
      </c>
      <c r="L2260" s="13"/>
      <c r="M2260" s="13"/>
      <c r="N2260" s="13" t="n">
        <v>8411061026342</v>
      </c>
      <c r="O2260" s="13"/>
      <c r="P2260" s="13" t="s">
        <v>5291</v>
      </c>
      <c r="Q2260" s="13" t="s">
        <v>5289</v>
      </c>
      <c r="R2260" s="13" t="s">
        <v>5292</v>
      </c>
      <c r="S2260" s="13" t="s">
        <v>5293</v>
      </c>
      <c r="T2260" s="13" t="s">
        <v>5</v>
      </c>
      <c r="U2260" s="13" t="s">
        <v>43</v>
      </c>
      <c r="V2260" s="13" t="n">
        <f aca="false">IF(COUNTIF($B$2:B2260,B2260)=1,1,0)</f>
        <v>0</v>
      </c>
      <c r="W2260" s="13" t="n">
        <f aca="false">IF(COUNTIFS($B$2:B2260,B2260,$T$2:T2260,T2260)=1,1,0)</f>
        <v>0</v>
      </c>
    </row>
    <row r="2261" customFormat="false" ht="15" hidden="false" customHeight="false" outlineLevel="0" collapsed="false">
      <c r="A2261" s="13" t="s">
        <v>474</v>
      </c>
      <c r="B2261" s="13" t="s">
        <v>42</v>
      </c>
      <c r="C2261" s="13" t="n">
        <v>5400</v>
      </c>
      <c r="D2261" s="13" t="n">
        <v>5</v>
      </c>
      <c r="E2261" s="13" t="n">
        <v>897.796666666667</v>
      </c>
      <c r="F2261" s="13" t="s">
        <v>5325</v>
      </c>
      <c r="G2261" s="13" t="s">
        <v>5289</v>
      </c>
      <c r="H2261" s="13" t="s">
        <v>5289</v>
      </c>
      <c r="I2261" s="13" t="s">
        <v>5289</v>
      </c>
      <c r="J2261" s="13" t="s">
        <v>5289</v>
      </c>
      <c r="K2261" s="13" t="s">
        <v>5289</v>
      </c>
      <c r="L2261" s="13" t="n">
        <v>8411061134481</v>
      </c>
      <c r="M2261" s="13"/>
      <c r="N2261" s="13" t="n">
        <v>8411061134481</v>
      </c>
      <c r="O2261" s="13"/>
      <c r="P2261" s="13" t="s">
        <v>5291</v>
      </c>
      <c r="Q2261" s="13" t="s">
        <v>5289</v>
      </c>
      <c r="R2261" s="13" t="s">
        <v>5292</v>
      </c>
      <c r="S2261" s="13" t="s">
        <v>5293</v>
      </c>
      <c r="T2261" s="13" t="s">
        <v>5</v>
      </c>
      <c r="U2261" s="13" t="s">
        <v>43</v>
      </c>
      <c r="V2261" s="13" t="n">
        <f aca="false">IF(COUNTIF($B$2:B2261,B2261)=1,1,0)</f>
        <v>0</v>
      </c>
      <c r="W2261" s="13" t="n">
        <f aca="false">IF(COUNTIFS($B$2:B2261,B2261,$T$2:T2261,T2261)=1,1,0)</f>
        <v>0</v>
      </c>
    </row>
    <row r="2262" customFormat="false" ht="15" hidden="false" customHeight="false" outlineLevel="0" collapsed="false">
      <c r="A2262" s="13" t="s">
        <v>6370</v>
      </c>
      <c r="B2262" s="13" t="s">
        <v>2127</v>
      </c>
      <c r="C2262" s="13" t="n">
        <v>5400</v>
      </c>
      <c r="D2262" s="13" t="n">
        <v>80</v>
      </c>
      <c r="E2262" s="13" t="n">
        <v>68.1806329113924</v>
      </c>
      <c r="F2262" s="13" t="s">
        <v>5325</v>
      </c>
      <c r="G2262" s="13" t="s">
        <v>5289</v>
      </c>
      <c r="H2262" s="13" t="s">
        <v>5289</v>
      </c>
      <c r="I2262" s="13" t="s">
        <v>5292</v>
      </c>
      <c r="J2262" s="13" t="s">
        <v>5289</v>
      </c>
      <c r="K2262" s="13" t="s">
        <v>5289</v>
      </c>
      <c r="L2262" s="13" t="n">
        <v>19045108091</v>
      </c>
      <c r="M2262" s="13"/>
      <c r="N2262" s="13" t="n">
        <v>19045108091</v>
      </c>
      <c r="O2262" s="13"/>
      <c r="P2262" s="13" t="s">
        <v>5291</v>
      </c>
      <c r="Q2262" s="13" t="s">
        <v>5289</v>
      </c>
      <c r="R2262" s="13" t="s">
        <v>5292</v>
      </c>
      <c r="S2262" s="13" t="s">
        <v>5293</v>
      </c>
      <c r="T2262" s="13" t="s">
        <v>5</v>
      </c>
      <c r="U2262" s="13" t="s">
        <v>85</v>
      </c>
      <c r="V2262" s="13" t="n">
        <f aca="false">IF(COUNTIF($B$2:B2262,B2262)=1,1,0)</f>
        <v>1</v>
      </c>
      <c r="W2262" s="13" t="n">
        <f aca="false">IF(COUNTIFS($B$2:B2262,B2262,$T$2:T2262,T2262)=1,1,0)</f>
        <v>1</v>
      </c>
    </row>
    <row r="2263" customFormat="false" ht="15" hidden="false" customHeight="false" outlineLevel="0" collapsed="false">
      <c r="A2263" s="13" t="s">
        <v>525</v>
      </c>
      <c r="B2263" s="13" t="s">
        <v>107</v>
      </c>
      <c r="C2263" s="13" t="n">
        <v>5400</v>
      </c>
      <c r="D2263" s="13" t="n">
        <v>50</v>
      </c>
      <c r="E2263" s="13" t="n">
        <v>101.476226415094</v>
      </c>
      <c r="F2263" s="13" t="s">
        <v>5325</v>
      </c>
      <c r="G2263" s="13" t="s">
        <v>5289</v>
      </c>
      <c r="H2263" s="13" t="s">
        <v>5289</v>
      </c>
      <c r="I2263" s="13" t="s">
        <v>5289</v>
      </c>
      <c r="J2263" s="13" t="s">
        <v>5289</v>
      </c>
      <c r="K2263" s="13" t="s">
        <v>5289</v>
      </c>
      <c r="L2263" s="13" t="n">
        <v>3614226743916</v>
      </c>
      <c r="M2263" s="13"/>
      <c r="N2263" s="13" t="n">
        <v>4.06466621172536E+025</v>
      </c>
      <c r="O2263" s="13"/>
      <c r="P2263" s="13" t="s">
        <v>5297</v>
      </c>
      <c r="Q2263" s="13" t="s">
        <v>5289</v>
      </c>
      <c r="R2263" s="13" t="s">
        <v>5292</v>
      </c>
      <c r="S2263" s="13" t="s">
        <v>5293</v>
      </c>
      <c r="T2263" s="13" t="s">
        <v>5</v>
      </c>
      <c r="U2263" s="13" t="s">
        <v>43</v>
      </c>
      <c r="V2263" s="13" t="n">
        <f aca="false">IF(COUNTIF($B$2:B2263,B2263)=1,1,0)</f>
        <v>0</v>
      </c>
      <c r="W2263" s="13" t="n">
        <f aca="false">IF(COUNTIFS($B$2:B2263,B2263,$T$2:T2263,T2263)=1,1,0)</f>
        <v>0</v>
      </c>
    </row>
    <row r="2264" customFormat="false" ht="15" hidden="false" customHeight="false" outlineLevel="0" collapsed="false">
      <c r="A2264" s="13" t="s">
        <v>524</v>
      </c>
      <c r="B2264" s="13" t="s">
        <v>105</v>
      </c>
      <c r="C2264" s="13" t="n">
        <v>5400</v>
      </c>
      <c r="D2264" s="13" t="n">
        <v>5</v>
      </c>
      <c r="E2264" s="13" t="n">
        <v>672.25625</v>
      </c>
      <c r="F2264" s="13" t="s">
        <v>5325</v>
      </c>
      <c r="G2264" s="13" t="s">
        <v>5289</v>
      </c>
      <c r="H2264" s="13" t="s">
        <v>5289</v>
      </c>
      <c r="I2264" s="13" t="s">
        <v>5289</v>
      </c>
      <c r="J2264" s="13" t="s">
        <v>5289</v>
      </c>
      <c r="K2264" s="13" t="s">
        <v>5289</v>
      </c>
      <c r="L2264" s="13" t="n">
        <v>3616305480620</v>
      </c>
      <c r="M2264" s="13"/>
      <c r="N2264" s="13" t="n">
        <v>3616305480620</v>
      </c>
      <c r="O2264" s="13"/>
      <c r="P2264" s="13" t="s">
        <v>5297</v>
      </c>
      <c r="Q2264" s="13" t="s">
        <v>5289</v>
      </c>
      <c r="R2264" s="13" t="s">
        <v>5292</v>
      </c>
      <c r="S2264" s="13" t="s">
        <v>5293</v>
      </c>
      <c r="T2264" s="13" t="s">
        <v>5</v>
      </c>
      <c r="U2264" s="13" t="s">
        <v>43</v>
      </c>
      <c r="V2264" s="13" t="n">
        <f aca="false">IF(COUNTIF($B$2:B2264,B2264)=1,1,0)</f>
        <v>0</v>
      </c>
      <c r="W2264" s="13" t="n">
        <f aca="false">IF(COUNTIFS($B$2:B2264,B2264,$T$2:T2264,T2264)=1,1,0)</f>
        <v>0</v>
      </c>
    </row>
    <row r="2265" customFormat="false" ht="15" hidden="false" customHeight="false" outlineLevel="0" collapsed="false">
      <c r="A2265" s="13" t="s">
        <v>527</v>
      </c>
      <c r="B2265" s="13" t="s">
        <v>54</v>
      </c>
      <c r="C2265" s="13" t="n">
        <v>5400</v>
      </c>
      <c r="D2265" s="13" t="n">
        <v>20</v>
      </c>
      <c r="E2265" s="13" t="n">
        <v>298.062777777778</v>
      </c>
      <c r="F2265" s="13" t="s">
        <v>5325</v>
      </c>
      <c r="G2265" s="13" t="s">
        <v>5289</v>
      </c>
      <c r="H2265" s="13" t="s">
        <v>5292</v>
      </c>
      <c r="I2265" s="13" t="s">
        <v>5289</v>
      </c>
      <c r="J2265" s="13" t="s">
        <v>5289</v>
      </c>
      <c r="K2265" s="13" t="s">
        <v>5289</v>
      </c>
      <c r="L2265" s="13" t="n">
        <v>7898965700980</v>
      </c>
      <c r="M2265" s="13"/>
      <c r="N2265" s="13" t="n">
        <v>7.3085221315979E+037</v>
      </c>
      <c r="O2265" s="13"/>
      <c r="P2265" s="13" t="s">
        <v>5291</v>
      </c>
      <c r="Q2265" s="13" t="s">
        <v>5289</v>
      </c>
      <c r="R2265" s="13" t="s">
        <v>5292</v>
      </c>
      <c r="S2265" s="13" t="s">
        <v>5293</v>
      </c>
      <c r="T2265" s="13" t="s">
        <v>5</v>
      </c>
      <c r="U2265" s="13" t="s">
        <v>43</v>
      </c>
      <c r="V2265" s="13" t="n">
        <f aca="false">IF(COUNTIF($B$2:B2265,B2265)=1,1,0)</f>
        <v>0</v>
      </c>
      <c r="W2265" s="13" t="n">
        <f aca="false">IF(COUNTIFS($B$2:B2265,B2265,$T$2:T2265,T2265)=1,1,0)</f>
        <v>0</v>
      </c>
    </row>
    <row r="2266" customFormat="false" ht="15" hidden="false" customHeight="false" outlineLevel="0" collapsed="false">
      <c r="A2266" s="13" t="s">
        <v>526</v>
      </c>
      <c r="B2266" s="13" t="s">
        <v>50</v>
      </c>
      <c r="C2266" s="13" t="n">
        <v>5400</v>
      </c>
      <c r="D2266" s="13" t="n">
        <v>5</v>
      </c>
      <c r="E2266" s="13" t="n">
        <v>766.214285714286</v>
      </c>
      <c r="F2266" s="13" t="s">
        <v>5325</v>
      </c>
      <c r="G2266" s="13" t="s">
        <v>5289</v>
      </c>
      <c r="H2266" s="13" t="s">
        <v>5289</v>
      </c>
      <c r="I2266" s="13" t="s">
        <v>5289</v>
      </c>
      <c r="J2266" s="13" t="s">
        <v>5289</v>
      </c>
      <c r="K2266" s="13" t="s">
        <v>5289</v>
      </c>
      <c r="L2266" s="13" t="n">
        <v>3349668644025</v>
      </c>
      <c r="M2266" s="13"/>
      <c r="N2266" s="13" t="n">
        <v>3349668644025</v>
      </c>
      <c r="O2266" s="13"/>
      <c r="P2266" s="13" t="s">
        <v>5291</v>
      </c>
      <c r="Q2266" s="13" t="s">
        <v>5289</v>
      </c>
      <c r="R2266" s="13" t="s">
        <v>5292</v>
      </c>
      <c r="S2266" s="13" t="s">
        <v>5293</v>
      </c>
      <c r="T2266" s="13" t="s">
        <v>5</v>
      </c>
      <c r="U2266" s="13" t="s">
        <v>43</v>
      </c>
      <c r="V2266" s="13" t="n">
        <f aca="false">IF(COUNTIF($B$2:B2266,B2266)=1,1,0)</f>
        <v>0</v>
      </c>
      <c r="W2266" s="13" t="n">
        <f aca="false">IF(COUNTIFS($B$2:B2266,B2266,$T$2:T2266,T2266)=1,1,0)</f>
        <v>0</v>
      </c>
    </row>
    <row r="2267" customFormat="false" ht="15" hidden="false" customHeight="false" outlineLevel="0" collapsed="false">
      <c r="A2267" s="13" t="s">
        <v>536</v>
      </c>
      <c r="B2267" s="13" t="s">
        <v>72</v>
      </c>
      <c r="C2267" s="13" t="n">
        <v>5300</v>
      </c>
      <c r="D2267" s="13" t="n">
        <v>5</v>
      </c>
      <c r="E2267" s="13" t="n">
        <v>594.02</v>
      </c>
      <c r="F2267" s="13" t="s">
        <v>5325</v>
      </c>
      <c r="G2267" s="13" t="s">
        <v>5289</v>
      </c>
      <c r="H2267" s="13" t="s">
        <v>5289</v>
      </c>
      <c r="I2267" s="13" t="s">
        <v>5289</v>
      </c>
      <c r="J2267" s="13" t="s">
        <v>5289</v>
      </c>
      <c r="K2267" s="13" t="s">
        <v>5289</v>
      </c>
      <c r="L2267" s="13" t="n">
        <v>3614273760713</v>
      </c>
      <c r="M2267" s="13"/>
      <c r="N2267" s="13" t="n">
        <v>3614273760713</v>
      </c>
      <c r="O2267" s="13"/>
      <c r="P2267" s="13" t="s">
        <v>5291</v>
      </c>
      <c r="Q2267" s="13" t="s">
        <v>5289</v>
      </c>
      <c r="R2267" s="13" t="s">
        <v>5292</v>
      </c>
      <c r="S2267" s="13" t="s">
        <v>5293</v>
      </c>
      <c r="T2267" s="13" t="s">
        <v>5</v>
      </c>
      <c r="U2267" s="13" t="s">
        <v>43</v>
      </c>
      <c r="V2267" s="13" t="n">
        <f aca="false">IF(COUNTIF($B$2:B2267,B2267)=1,1,0)</f>
        <v>0</v>
      </c>
      <c r="W2267" s="13" t="n">
        <f aca="false">IF(COUNTIFS($B$2:B2267,B2267,$T$2:T2267,T2267)=1,1,0)</f>
        <v>0</v>
      </c>
    </row>
    <row r="2268" customFormat="false" ht="15" hidden="false" customHeight="false" outlineLevel="0" collapsed="false">
      <c r="A2268" s="13" t="s">
        <v>2912</v>
      </c>
      <c r="B2268" s="13" t="s">
        <v>2130</v>
      </c>
      <c r="C2268" s="13" t="n">
        <v>5300</v>
      </c>
      <c r="D2268" s="13" t="n">
        <v>5</v>
      </c>
      <c r="E2268" s="13" t="n">
        <v>1067.37</v>
      </c>
      <c r="F2268" s="13" t="s">
        <v>5325</v>
      </c>
      <c r="G2268" s="13" t="s">
        <v>5289</v>
      </c>
      <c r="H2268" s="13" t="s">
        <v>5292</v>
      </c>
      <c r="I2268" s="13" t="s">
        <v>5289</v>
      </c>
      <c r="J2268" s="13" t="s">
        <v>5289</v>
      </c>
      <c r="K2268" s="13" t="s">
        <v>5292</v>
      </c>
      <c r="L2268" s="13" t="n">
        <v>3439600056655</v>
      </c>
      <c r="M2268" s="13"/>
      <c r="N2268" s="13" t="n">
        <v>3439600056655</v>
      </c>
      <c r="O2268" s="13"/>
      <c r="P2268" s="13" t="s">
        <v>5291</v>
      </c>
      <c r="Q2268" s="13" t="s">
        <v>5289</v>
      </c>
      <c r="R2268" s="13" t="s">
        <v>5292</v>
      </c>
      <c r="S2268" s="13" t="s">
        <v>5293</v>
      </c>
      <c r="T2268" s="13" t="s">
        <v>5</v>
      </c>
      <c r="U2268" s="13" t="s">
        <v>43</v>
      </c>
      <c r="V2268" s="13" t="n">
        <f aca="false">IF(COUNTIF($B$2:B2268,B2268)=1,1,0)</f>
        <v>1</v>
      </c>
      <c r="W2268" s="13" t="n">
        <f aca="false">IF(COUNTIFS($B$2:B2268,B2268,$T$2:T2268,T2268)=1,1,0)</f>
        <v>1</v>
      </c>
    </row>
    <row r="2269" customFormat="false" ht="15" hidden="false" customHeight="false" outlineLevel="0" collapsed="false">
      <c r="A2269" s="13" t="s">
        <v>531</v>
      </c>
      <c r="B2269" s="13" t="s">
        <v>92</v>
      </c>
      <c r="C2269" s="13" t="n">
        <v>5300</v>
      </c>
      <c r="D2269" s="13" t="n">
        <v>10</v>
      </c>
      <c r="E2269" s="13" t="n">
        <v>408.492307692308</v>
      </c>
      <c r="F2269" s="13" t="s">
        <v>5325</v>
      </c>
      <c r="G2269" s="13" t="s">
        <v>5289</v>
      </c>
      <c r="H2269" s="13" t="s">
        <v>5289</v>
      </c>
      <c r="I2269" s="13" t="s">
        <v>5289</v>
      </c>
      <c r="J2269" s="13" t="s">
        <v>5289</v>
      </c>
      <c r="K2269" s="13" t="s">
        <v>5289</v>
      </c>
      <c r="L2269" s="13" t="n">
        <v>3616303475413</v>
      </c>
      <c r="M2269" s="13"/>
      <c r="N2269" s="13" t="n">
        <v>3616303475413</v>
      </c>
      <c r="O2269" s="13"/>
      <c r="P2269" s="13" t="s">
        <v>5297</v>
      </c>
      <c r="Q2269" s="13" t="s">
        <v>5289</v>
      </c>
      <c r="R2269" s="13" t="s">
        <v>5292</v>
      </c>
      <c r="S2269" s="13" t="s">
        <v>5293</v>
      </c>
      <c r="T2269" s="13" t="s">
        <v>5</v>
      </c>
      <c r="U2269" s="13" t="s">
        <v>43</v>
      </c>
      <c r="V2269" s="13" t="n">
        <f aca="false">IF(COUNTIF($B$2:B2269,B2269)=1,1,0)</f>
        <v>0</v>
      </c>
      <c r="W2269" s="13" t="n">
        <f aca="false">IF(COUNTIFS($B$2:B2269,B2269,$T$2:T2269,T2269)=1,1,0)</f>
        <v>0</v>
      </c>
    </row>
    <row r="2270" customFormat="false" ht="15" hidden="false" customHeight="false" outlineLevel="0" collapsed="false">
      <c r="A2270" s="13" t="s">
        <v>534</v>
      </c>
      <c r="B2270" s="13" t="s">
        <v>72</v>
      </c>
      <c r="C2270" s="13" t="n">
        <v>5300</v>
      </c>
      <c r="D2270" s="13" t="n">
        <v>5</v>
      </c>
      <c r="E2270" s="13" t="n">
        <v>757.77</v>
      </c>
      <c r="F2270" s="13" t="s">
        <v>5288</v>
      </c>
      <c r="G2270" s="13" t="s">
        <v>5292</v>
      </c>
      <c r="H2270" s="13" t="s">
        <v>5289</v>
      </c>
      <c r="I2270" s="13" t="s">
        <v>5289</v>
      </c>
      <c r="J2270" s="13" t="s">
        <v>5289</v>
      </c>
      <c r="K2270" s="13" t="s">
        <v>5289</v>
      </c>
      <c r="L2270" s="13" t="n">
        <v>3614273760164</v>
      </c>
      <c r="M2270" s="13"/>
      <c r="N2270" s="13" t="n">
        <v>3614273760164</v>
      </c>
      <c r="O2270" s="13"/>
      <c r="P2270" s="13" t="s">
        <v>5297</v>
      </c>
      <c r="Q2270" s="13" t="s">
        <v>5289</v>
      </c>
      <c r="R2270" s="13" t="s">
        <v>5292</v>
      </c>
      <c r="S2270" s="13" t="s">
        <v>5293</v>
      </c>
      <c r="T2270" s="13" t="s">
        <v>5</v>
      </c>
      <c r="U2270" s="13" t="s">
        <v>43</v>
      </c>
      <c r="V2270" s="13" t="n">
        <f aca="false">IF(COUNTIF($B$2:B2270,B2270)=1,1,0)</f>
        <v>0</v>
      </c>
      <c r="W2270" s="13" t="n">
        <f aca="false">IF(COUNTIFS($B$2:B2270,B2270,$T$2:T2270,T2270)=1,1,0)</f>
        <v>0</v>
      </c>
    </row>
    <row r="2271" customFormat="false" ht="15" hidden="false" customHeight="false" outlineLevel="0" collapsed="false">
      <c r="A2271" s="13" t="s">
        <v>537</v>
      </c>
      <c r="B2271" s="13" t="s">
        <v>54</v>
      </c>
      <c r="C2271" s="13" t="n">
        <v>5200</v>
      </c>
      <c r="D2271" s="13" t="n">
        <v>20</v>
      </c>
      <c r="E2271" s="13" t="n">
        <v>291.581666666667</v>
      </c>
      <c r="F2271" s="13" t="s">
        <v>5325</v>
      </c>
      <c r="G2271" s="13" t="s">
        <v>5289</v>
      </c>
      <c r="H2271" s="13" t="s">
        <v>5289</v>
      </c>
      <c r="I2271" s="13" t="s">
        <v>5289</v>
      </c>
      <c r="J2271" s="13" t="s">
        <v>5289</v>
      </c>
      <c r="K2271" s="13" t="s">
        <v>5289</v>
      </c>
      <c r="L2271" s="13" t="n">
        <v>7898965700973</v>
      </c>
      <c r="M2271" s="13"/>
      <c r="N2271" s="13" t="n">
        <v>7.89896570097373E+024</v>
      </c>
      <c r="O2271" s="13"/>
      <c r="P2271" s="13" t="s">
        <v>5291</v>
      </c>
      <c r="Q2271" s="13" t="s">
        <v>5289</v>
      </c>
      <c r="R2271" s="13" t="s">
        <v>5292</v>
      </c>
      <c r="S2271" s="13" t="s">
        <v>5293</v>
      </c>
      <c r="T2271" s="13" t="s">
        <v>5</v>
      </c>
      <c r="U2271" s="13" t="s">
        <v>43</v>
      </c>
      <c r="V2271" s="13" t="n">
        <f aca="false">IF(COUNTIF($B$2:B2271,B2271)=1,1,0)</f>
        <v>0</v>
      </c>
      <c r="W2271" s="13" t="n">
        <f aca="false">IF(COUNTIFS($B$2:B2271,B2271,$T$2:T2271,T2271)=1,1,0)</f>
        <v>0</v>
      </c>
    </row>
    <row r="2272" customFormat="false" ht="15" hidden="false" customHeight="false" outlineLevel="0" collapsed="false">
      <c r="A2272" s="13" t="s">
        <v>125</v>
      </c>
      <c r="B2272" s="13" t="s">
        <v>124</v>
      </c>
      <c r="C2272" s="13" t="n">
        <v>5200</v>
      </c>
      <c r="D2272" s="13" t="n">
        <v>5</v>
      </c>
      <c r="E2272" s="13" t="n">
        <v>867.125</v>
      </c>
      <c r="F2272" s="13" t="s">
        <v>5325</v>
      </c>
      <c r="G2272" s="13" t="s">
        <v>5289</v>
      </c>
      <c r="H2272" s="13" t="s">
        <v>5289</v>
      </c>
      <c r="I2272" s="13" t="s">
        <v>5289</v>
      </c>
      <c r="J2272" s="13" t="s">
        <v>5289</v>
      </c>
      <c r="K2272" s="13" t="s">
        <v>5289</v>
      </c>
      <c r="L2272" s="13" t="n">
        <v>3614273953832</v>
      </c>
      <c r="M2272" s="13"/>
      <c r="N2272" s="13" t="n">
        <v>3614273953832</v>
      </c>
      <c r="O2272" s="13"/>
      <c r="P2272" s="13" t="s">
        <v>5291</v>
      </c>
      <c r="Q2272" s="13" t="s">
        <v>5289</v>
      </c>
      <c r="R2272" s="13" t="s">
        <v>5292</v>
      </c>
      <c r="S2272" s="13" t="s">
        <v>5293</v>
      </c>
      <c r="T2272" s="13" t="s">
        <v>5</v>
      </c>
      <c r="U2272" s="13" t="s">
        <v>43</v>
      </c>
      <c r="V2272" s="13" t="n">
        <f aca="false">IF(COUNTIF($B$2:B2272,B2272)=1,1,0)</f>
        <v>0</v>
      </c>
      <c r="W2272" s="13" t="n">
        <f aca="false">IF(COUNTIFS($B$2:B2272,B2272,$T$2:T2272,T2272)=1,1,0)</f>
        <v>0</v>
      </c>
    </row>
    <row r="2273" customFormat="false" ht="15" hidden="false" customHeight="false" outlineLevel="0" collapsed="false">
      <c r="A2273" s="13" t="s">
        <v>538</v>
      </c>
      <c r="B2273" s="13" t="s">
        <v>362</v>
      </c>
      <c r="C2273" s="13" t="n">
        <v>5200</v>
      </c>
      <c r="D2273" s="13" t="n">
        <v>20</v>
      </c>
      <c r="E2273" s="13" t="n">
        <v>303.064705882353</v>
      </c>
      <c r="F2273" s="13" t="s">
        <v>5325</v>
      </c>
      <c r="G2273" s="13" t="s">
        <v>5289</v>
      </c>
      <c r="H2273" s="13" t="s">
        <v>5289</v>
      </c>
      <c r="I2273" s="13" t="s">
        <v>5289</v>
      </c>
      <c r="J2273" s="13" t="s">
        <v>5289</v>
      </c>
      <c r="K2273" s="13" t="s">
        <v>5289</v>
      </c>
      <c r="L2273" s="13" t="n">
        <v>3386460113601</v>
      </c>
      <c r="M2273" s="13"/>
      <c r="N2273" s="13" t="n">
        <v>3386460113601</v>
      </c>
      <c r="O2273" s="13"/>
      <c r="P2273" s="13" t="s">
        <v>5291</v>
      </c>
      <c r="Q2273" s="13" t="s">
        <v>5289</v>
      </c>
      <c r="R2273" s="13" t="s">
        <v>5292</v>
      </c>
      <c r="S2273" s="13" t="s">
        <v>5293</v>
      </c>
      <c r="T2273" s="13" t="s">
        <v>5</v>
      </c>
      <c r="U2273" s="13" t="s">
        <v>43</v>
      </c>
      <c r="V2273" s="13" t="n">
        <f aca="false">IF(COUNTIF($B$2:B2273,B2273)=1,1,0)</f>
        <v>0</v>
      </c>
      <c r="W2273" s="13" t="n">
        <f aca="false">IF(COUNTIFS($B$2:B2273,B2273,$T$2:T2273,T2273)=1,1,0)</f>
        <v>1</v>
      </c>
    </row>
    <row r="2274" customFormat="false" ht="15" hidden="false" customHeight="false" outlineLevel="0" collapsed="false">
      <c r="A2274" s="13" t="s">
        <v>545</v>
      </c>
      <c r="B2274" s="13" t="s">
        <v>69</v>
      </c>
      <c r="C2274" s="13" t="n">
        <v>5100</v>
      </c>
      <c r="D2274" s="13" t="n">
        <v>10</v>
      </c>
      <c r="E2274" s="13" t="n">
        <v>466.622727272727</v>
      </c>
      <c r="F2274" s="13" t="s">
        <v>5325</v>
      </c>
      <c r="G2274" s="13" t="s">
        <v>5289</v>
      </c>
      <c r="H2274" s="13" t="s">
        <v>5289</v>
      </c>
      <c r="I2274" s="13" t="s">
        <v>5289</v>
      </c>
      <c r="J2274" s="13" t="s">
        <v>5289</v>
      </c>
      <c r="K2274" s="13" t="s">
        <v>5289</v>
      </c>
      <c r="L2274" s="13"/>
      <c r="M2274" s="13"/>
      <c r="N2274" s="13" t="n">
        <v>3614274151145</v>
      </c>
      <c r="O2274" s="13"/>
      <c r="P2274" s="13" t="s">
        <v>5291</v>
      </c>
      <c r="Q2274" s="13" t="s">
        <v>5289</v>
      </c>
      <c r="R2274" s="13" t="s">
        <v>5292</v>
      </c>
      <c r="S2274" s="13" t="s">
        <v>5293</v>
      </c>
      <c r="T2274" s="13" t="s">
        <v>5</v>
      </c>
      <c r="U2274" s="13" t="s">
        <v>43</v>
      </c>
      <c r="V2274" s="13" t="n">
        <f aca="false">IF(COUNTIF($B$2:B2274,B2274)=1,1,0)</f>
        <v>0</v>
      </c>
      <c r="W2274" s="13" t="n">
        <f aca="false">IF(COUNTIFS($B$2:B2274,B2274,$T$2:T2274,T2274)=1,1,0)</f>
        <v>0</v>
      </c>
    </row>
    <row r="2275" customFormat="false" ht="15" hidden="false" customHeight="false" outlineLevel="0" collapsed="false">
      <c r="A2275" s="13" t="s">
        <v>207</v>
      </c>
      <c r="B2275" s="13" t="s">
        <v>107</v>
      </c>
      <c r="C2275" s="13" t="n">
        <v>5100</v>
      </c>
      <c r="D2275" s="13" t="n">
        <v>30</v>
      </c>
      <c r="E2275" s="13" t="n">
        <v>182.498214285714</v>
      </c>
      <c r="F2275" s="13" t="s">
        <v>5325</v>
      </c>
      <c r="G2275" s="13" t="s">
        <v>5289</v>
      </c>
      <c r="H2275" s="13" t="s">
        <v>5289</v>
      </c>
      <c r="I2275" s="13" t="s">
        <v>5289</v>
      </c>
      <c r="J2275" s="13" t="s">
        <v>5289</v>
      </c>
      <c r="K2275" s="13" t="s">
        <v>5289</v>
      </c>
      <c r="L2275" s="13" t="n">
        <v>4064666435459</v>
      </c>
      <c r="M2275" s="13"/>
      <c r="N2275" s="13" t="n">
        <v>4.06466643545979E+025</v>
      </c>
      <c r="O2275" s="13"/>
      <c r="P2275" s="13" t="s">
        <v>5291</v>
      </c>
      <c r="Q2275" s="13" t="s">
        <v>5289</v>
      </c>
      <c r="R2275" s="13" t="s">
        <v>5292</v>
      </c>
      <c r="S2275" s="13" t="s">
        <v>5293</v>
      </c>
      <c r="T2275" s="13" t="s">
        <v>5</v>
      </c>
      <c r="U2275" s="13" t="s">
        <v>183</v>
      </c>
      <c r="V2275" s="13" t="n">
        <f aca="false">IF(COUNTIF($B$2:B2275,B2275)=1,1,0)</f>
        <v>0</v>
      </c>
      <c r="W2275" s="13" t="n">
        <f aca="false">IF(COUNTIFS($B$2:B2275,B2275,$T$2:T2275,T2275)=1,1,0)</f>
        <v>0</v>
      </c>
    </row>
    <row r="2276" customFormat="false" ht="15" hidden="false" customHeight="false" outlineLevel="0" collapsed="false">
      <c r="A2276" s="13" t="s">
        <v>125</v>
      </c>
      <c r="B2276" s="13" t="s">
        <v>193</v>
      </c>
      <c r="C2276" s="13" t="n">
        <v>5100</v>
      </c>
      <c r="D2276" s="13" t="n">
        <v>5</v>
      </c>
      <c r="E2276" s="13" t="n">
        <v>729.16</v>
      </c>
      <c r="F2276" s="13" t="s">
        <v>5325</v>
      </c>
      <c r="G2276" s="13" t="s">
        <v>5289</v>
      </c>
      <c r="H2276" s="13" t="s">
        <v>5289</v>
      </c>
      <c r="I2276" s="13" t="s">
        <v>5289</v>
      </c>
      <c r="J2276" s="13" t="s">
        <v>5289</v>
      </c>
      <c r="K2276" s="13" t="s">
        <v>5289</v>
      </c>
      <c r="L2276" s="13"/>
      <c r="M2276" s="13"/>
      <c r="N2276" s="13" t="n">
        <v>3614273954167</v>
      </c>
      <c r="O2276" s="13"/>
      <c r="P2276" s="13" t="s">
        <v>5291</v>
      </c>
      <c r="Q2276" s="13" t="s">
        <v>5289</v>
      </c>
      <c r="R2276" s="13" t="s">
        <v>5292</v>
      </c>
      <c r="S2276" s="13" t="s">
        <v>5293</v>
      </c>
      <c r="T2276" s="13" t="s">
        <v>5</v>
      </c>
      <c r="U2276" s="13" t="s">
        <v>43</v>
      </c>
      <c r="V2276" s="13" t="n">
        <f aca="false">IF(COUNTIF($B$2:B2276,B2276)=1,1,0)</f>
        <v>0</v>
      </c>
      <c r="W2276" s="13" t="n">
        <f aca="false">IF(COUNTIFS($B$2:B2276,B2276,$T$2:T2276,T2276)=1,1,0)</f>
        <v>0</v>
      </c>
    </row>
    <row r="2277" customFormat="false" ht="15" hidden="false" customHeight="false" outlineLevel="0" collapsed="false">
      <c r="A2277" s="13" t="s">
        <v>548</v>
      </c>
      <c r="B2277" s="13" t="s">
        <v>165</v>
      </c>
      <c r="C2277" s="13" t="n">
        <v>5100</v>
      </c>
      <c r="D2277" s="13" t="n">
        <v>20</v>
      </c>
      <c r="E2277" s="13" t="n">
        <v>283.48</v>
      </c>
      <c r="F2277" s="13" t="s">
        <v>5325</v>
      </c>
      <c r="G2277" s="13" t="s">
        <v>5289</v>
      </c>
      <c r="H2277" s="13" t="s">
        <v>5289</v>
      </c>
      <c r="I2277" s="13" t="s">
        <v>5289</v>
      </c>
      <c r="J2277" s="13" t="s">
        <v>5289</v>
      </c>
      <c r="K2277" s="13" t="s">
        <v>5289</v>
      </c>
      <c r="L2277" s="13" t="n">
        <v>3614273667418</v>
      </c>
      <c r="M2277" s="13"/>
      <c r="N2277" s="13" t="n">
        <v>3.61427366741834E+025</v>
      </c>
      <c r="O2277" s="13"/>
      <c r="P2277" s="13" t="s">
        <v>5291</v>
      </c>
      <c r="Q2277" s="13" t="s">
        <v>5289</v>
      </c>
      <c r="R2277" s="13" t="s">
        <v>5292</v>
      </c>
      <c r="S2277" s="13" t="s">
        <v>5293</v>
      </c>
      <c r="T2277" s="13" t="s">
        <v>5</v>
      </c>
      <c r="U2277" s="13" t="s">
        <v>43</v>
      </c>
      <c r="V2277" s="13" t="n">
        <f aca="false">IF(COUNTIF($B$2:B2277,B2277)=1,1,0)</f>
        <v>0</v>
      </c>
      <c r="W2277" s="13" t="n">
        <f aca="false">IF(COUNTIFS($B$2:B2277,B2277,$T$2:T2277,T2277)=1,1,0)</f>
        <v>0</v>
      </c>
    </row>
    <row r="2278" customFormat="false" ht="15" hidden="false" customHeight="false" outlineLevel="0" collapsed="false">
      <c r="A2278" s="13" t="s">
        <v>547</v>
      </c>
      <c r="B2278" s="13" t="s">
        <v>153</v>
      </c>
      <c r="C2278" s="13" t="n">
        <v>5100</v>
      </c>
      <c r="D2278" s="13" t="n">
        <v>10</v>
      </c>
      <c r="E2278" s="13" t="n">
        <v>423.7825</v>
      </c>
      <c r="F2278" s="13" t="s">
        <v>5325</v>
      </c>
      <c r="G2278" s="13" t="s">
        <v>5289</v>
      </c>
      <c r="H2278" s="13" t="s">
        <v>5289</v>
      </c>
      <c r="I2278" s="13" t="s">
        <v>5289</v>
      </c>
      <c r="J2278" s="13" t="s">
        <v>5289</v>
      </c>
      <c r="K2278" s="13" t="s">
        <v>5289</v>
      </c>
      <c r="L2278" s="13" t="n">
        <v>8011003809202</v>
      </c>
      <c r="M2278" s="13"/>
      <c r="N2278" s="13" t="n">
        <v>8011003809202</v>
      </c>
      <c r="O2278" s="13"/>
      <c r="P2278" s="13" t="s">
        <v>5291</v>
      </c>
      <c r="Q2278" s="13" t="s">
        <v>5289</v>
      </c>
      <c r="R2278" s="13" t="s">
        <v>5292</v>
      </c>
      <c r="S2278" s="13" t="s">
        <v>5293</v>
      </c>
      <c r="T2278" s="13" t="s">
        <v>5</v>
      </c>
      <c r="U2278" s="13" t="s">
        <v>43</v>
      </c>
      <c r="V2278" s="13" t="n">
        <f aca="false">IF(COUNTIF($B$2:B2278,B2278)=1,1,0)</f>
        <v>0</v>
      </c>
      <c r="W2278" s="13" t="n">
        <f aca="false">IF(COUNTIFS($B$2:B2278,B2278,$T$2:T2278,T2278)=1,1,0)</f>
        <v>0</v>
      </c>
    </row>
    <row r="2279" customFormat="false" ht="15" hidden="false" customHeight="false" outlineLevel="0" collapsed="false">
      <c r="A2279" s="13" t="s">
        <v>549</v>
      </c>
      <c r="B2279" s="13" t="s">
        <v>490</v>
      </c>
      <c r="C2279" s="13" t="n">
        <v>5100</v>
      </c>
      <c r="D2279" s="13" t="n">
        <v>20</v>
      </c>
      <c r="E2279" s="13" t="n">
        <v>282.027777777778</v>
      </c>
      <c r="F2279" s="13" t="s">
        <v>5325</v>
      </c>
      <c r="G2279" s="13" t="s">
        <v>5289</v>
      </c>
      <c r="H2279" s="13" t="s">
        <v>5289</v>
      </c>
      <c r="I2279" s="13" t="s">
        <v>5289</v>
      </c>
      <c r="J2279" s="13" t="s">
        <v>5289</v>
      </c>
      <c r="K2279" s="13" t="s">
        <v>5289</v>
      </c>
      <c r="L2279" s="13" t="n">
        <v>8011003839285</v>
      </c>
      <c r="M2279" s="13"/>
      <c r="N2279" s="13" t="n">
        <v>8011003839285</v>
      </c>
      <c r="O2279" s="13"/>
      <c r="P2279" s="13" t="s">
        <v>5291</v>
      </c>
      <c r="Q2279" s="13" t="s">
        <v>5289</v>
      </c>
      <c r="R2279" s="13" t="s">
        <v>5292</v>
      </c>
      <c r="S2279" s="13" t="s">
        <v>5293</v>
      </c>
      <c r="T2279" s="13" t="s">
        <v>5</v>
      </c>
      <c r="U2279" s="13" t="s">
        <v>43</v>
      </c>
      <c r="V2279" s="13" t="n">
        <f aca="false">IF(COUNTIF($B$2:B2279,B2279)=1,1,0)</f>
        <v>0</v>
      </c>
      <c r="W2279" s="13" t="n">
        <f aca="false">IF(COUNTIFS($B$2:B2279,B2279,$T$2:T2279,T2279)=1,1,0)</f>
        <v>1</v>
      </c>
    </row>
    <row r="2280" customFormat="false" ht="15" hidden="false" customHeight="false" outlineLevel="0" collapsed="false">
      <c r="A2280" s="13" t="s">
        <v>295</v>
      </c>
      <c r="B2280" s="13" t="s">
        <v>193</v>
      </c>
      <c r="C2280" s="13" t="n">
        <v>5100</v>
      </c>
      <c r="D2280" s="13" t="n">
        <v>10</v>
      </c>
      <c r="E2280" s="13" t="n">
        <v>421</v>
      </c>
      <c r="F2280" s="13" t="s">
        <v>5325</v>
      </c>
      <c r="G2280" s="13" t="s">
        <v>5289</v>
      </c>
      <c r="H2280" s="13" t="s">
        <v>5292</v>
      </c>
      <c r="I2280" s="13" t="s">
        <v>5289</v>
      </c>
      <c r="J2280" s="13" t="s">
        <v>5289</v>
      </c>
      <c r="K2280" s="13" t="s">
        <v>5289</v>
      </c>
      <c r="L2280" s="13" t="n">
        <v>3614274752038</v>
      </c>
      <c r="M2280" s="13"/>
      <c r="N2280" s="13" t="n">
        <v>3614274752038</v>
      </c>
      <c r="O2280" s="13"/>
      <c r="P2280" s="13" t="s">
        <v>5291</v>
      </c>
      <c r="Q2280" s="13" t="s">
        <v>5289</v>
      </c>
      <c r="R2280" s="13" t="s">
        <v>5292</v>
      </c>
      <c r="S2280" s="13" t="s">
        <v>5293</v>
      </c>
      <c r="T2280" s="13" t="s">
        <v>5</v>
      </c>
      <c r="U2280" s="13" t="s">
        <v>43</v>
      </c>
      <c r="V2280" s="13" t="n">
        <f aca="false">IF(COUNTIF($B$2:B2280,B2280)=1,1,0)</f>
        <v>0</v>
      </c>
      <c r="W2280" s="13" t="n">
        <f aca="false">IF(COUNTIFS($B$2:B2280,B2280,$T$2:T2280,T2280)=1,1,0)</f>
        <v>0</v>
      </c>
    </row>
    <row r="2281" customFormat="false" ht="15" hidden="false" customHeight="false" outlineLevel="0" collapsed="false">
      <c r="A2281" s="13" t="s">
        <v>546</v>
      </c>
      <c r="B2281" s="13" t="s">
        <v>50</v>
      </c>
      <c r="C2281" s="13" t="n">
        <v>5100</v>
      </c>
      <c r="D2281" s="13" t="n">
        <v>5</v>
      </c>
      <c r="E2281" s="13" t="n">
        <v>721.52</v>
      </c>
      <c r="F2281" s="13" t="s">
        <v>5325</v>
      </c>
      <c r="G2281" s="13" t="s">
        <v>5289</v>
      </c>
      <c r="H2281" s="13" t="s">
        <v>5289</v>
      </c>
      <c r="I2281" s="13" t="s">
        <v>5289</v>
      </c>
      <c r="J2281" s="13" t="s">
        <v>5289</v>
      </c>
      <c r="K2281" s="13" t="s">
        <v>5289</v>
      </c>
      <c r="L2281" s="13" t="n">
        <v>3349668627530</v>
      </c>
      <c r="M2281" s="13"/>
      <c r="N2281" s="13" t="n">
        <v>3349668627530</v>
      </c>
      <c r="O2281" s="13"/>
      <c r="P2281" s="13" t="s">
        <v>5291</v>
      </c>
      <c r="Q2281" s="13" t="s">
        <v>5289</v>
      </c>
      <c r="R2281" s="13" t="s">
        <v>5292</v>
      </c>
      <c r="S2281" s="13" t="s">
        <v>5293</v>
      </c>
      <c r="T2281" s="13" t="s">
        <v>5</v>
      </c>
      <c r="U2281" s="13" t="s">
        <v>43</v>
      </c>
      <c r="V2281" s="13" t="n">
        <f aca="false">IF(COUNTIF($B$2:B2281,B2281)=1,1,0)</f>
        <v>0</v>
      </c>
      <c r="W2281" s="13" t="n">
        <f aca="false">IF(COUNTIFS($B$2:B2281,B2281,$T$2:T2281,T2281)=1,1,0)</f>
        <v>0</v>
      </c>
    </row>
    <row r="2282" customFormat="false" ht="15" hidden="false" customHeight="false" outlineLevel="0" collapsed="false">
      <c r="A2282" s="13" t="s">
        <v>489</v>
      </c>
      <c r="B2282" s="13" t="s">
        <v>50</v>
      </c>
      <c r="C2282" s="13" t="n">
        <v>5000</v>
      </c>
      <c r="D2282" s="13" t="n">
        <v>10</v>
      </c>
      <c r="E2282" s="13" t="n">
        <v>388.257692307692</v>
      </c>
      <c r="F2282" s="13" t="s">
        <v>5325</v>
      </c>
      <c r="G2282" s="13" t="s">
        <v>5289</v>
      </c>
      <c r="H2282" s="13" t="s">
        <v>5289</v>
      </c>
      <c r="I2282" s="13" t="s">
        <v>5289</v>
      </c>
      <c r="J2282" s="13" t="s">
        <v>5289</v>
      </c>
      <c r="K2282" s="13" t="s">
        <v>5289</v>
      </c>
      <c r="L2282" s="13" t="n">
        <v>3349668613427</v>
      </c>
      <c r="M2282" s="13"/>
      <c r="N2282" s="13" t="n">
        <v>3.34966861342734E+025</v>
      </c>
      <c r="O2282" s="13"/>
      <c r="P2282" s="13" t="s">
        <v>5291</v>
      </c>
      <c r="Q2282" s="13" t="s">
        <v>5289</v>
      </c>
      <c r="R2282" s="13" t="s">
        <v>5292</v>
      </c>
      <c r="S2282" s="13" t="s">
        <v>5293</v>
      </c>
      <c r="T2282" s="13" t="s">
        <v>5</v>
      </c>
      <c r="U2282" s="13" t="s">
        <v>43</v>
      </c>
      <c r="V2282" s="13" t="n">
        <f aca="false">IF(COUNTIF($B$2:B2282,B2282)=1,1,0)</f>
        <v>0</v>
      </c>
      <c r="W2282" s="13" t="n">
        <f aca="false">IF(COUNTIFS($B$2:B2282,B2282,$T$2:T2282,T2282)=1,1,0)</f>
        <v>0</v>
      </c>
    </row>
    <row r="2283" customFormat="false" ht="15" hidden="false" customHeight="false" outlineLevel="0" collapsed="false">
      <c r="A2283" s="13" t="s">
        <v>409</v>
      </c>
      <c r="B2283" s="13" t="s">
        <v>45</v>
      </c>
      <c r="C2283" s="13" t="n">
        <v>5000</v>
      </c>
      <c r="D2283" s="13" t="n">
        <v>5</v>
      </c>
      <c r="E2283" s="13" t="n">
        <v>721</v>
      </c>
      <c r="F2283" s="13" t="s">
        <v>5325</v>
      </c>
      <c r="G2283" s="13" t="s">
        <v>5289</v>
      </c>
      <c r="H2283" s="13" t="s">
        <v>5289</v>
      </c>
      <c r="I2283" s="13" t="s">
        <v>5289</v>
      </c>
      <c r="J2283" s="13" t="s">
        <v>5289</v>
      </c>
      <c r="K2283" s="13" t="s">
        <v>5289</v>
      </c>
      <c r="L2283" s="13"/>
      <c r="M2283" s="13"/>
      <c r="N2283" s="13" t="n">
        <v>8435415091251</v>
      </c>
      <c r="O2283" s="13"/>
      <c r="P2283" s="13" t="s">
        <v>5291</v>
      </c>
      <c r="Q2283" s="13" t="s">
        <v>5289</v>
      </c>
      <c r="R2283" s="13" t="s">
        <v>5292</v>
      </c>
      <c r="S2283" s="13" t="s">
        <v>5293</v>
      </c>
      <c r="T2283" s="13" t="s">
        <v>5</v>
      </c>
      <c r="U2283" s="13" t="s">
        <v>43</v>
      </c>
      <c r="V2283" s="13" t="n">
        <f aca="false">IF(COUNTIF($B$2:B2283,B2283)=1,1,0)</f>
        <v>0</v>
      </c>
      <c r="W2283" s="13" t="n">
        <f aca="false">IF(COUNTIFS($B$2:B2283,B2283,$T$2:T2283,T2283)=1,1,0)</f>
        <v>0</v>
      </c>
    </row>
    <row r="2284" customFormat="false" ht="15" hidden="false" customHeight="false" outlineLevel="0" collapsed="false">
      <c r="A2284" s="13" t="s">
        <v>252</v>
      </c>
      <c r="B2284" s="13" t="s">
        <v>124</v>
      </c>
      <c r="C2284" s="13" t="n">
        <v>5000</v>
      </c>
      <c r="D2284" s="13" t="n">
        <v>5</v>
      </c>
      <c r="E2284" s="13" t="n">
        <v>828.61</v>
      </c>
      <c r="F2284" s="13" t="s">
        <v>5325</v>
      </c>
      <c r="G2284" s="13" t="s">
        <v>5289</v>
      </c>
      <c r="H2284" s="13" t="s">
        <v>5289</v>
      </c>
      <c r="I2284" s="13" t="s">
        <v>5289</v>
      </c>
      <c r="J2284" s="13" t="s">
        <v>5289</v>
      </c>
      <c r="K2284" s="13" t="s">
        <v>5289</v>
      </c>
      <c r="L2284" s="13"/>
      <c r="M2284" s="13"/>
      <c r="N2284" s="13" t="n">
        <v>3614273837828</v>
      </c>
      <c r="O2284" s="13"/>
      <c r="P2284" s="13" t="s">
        <v>5291</v>
      </c>
      <c r="Q2284" s="13" t="s">
        <v>5289</v>
      </c>
      <c r="R2284" s="13" t="s">
        <v>5292</v>
      </c>
      <c r="S2284" s="13" t="s">
        <v>5293</v>
      </c>
      <c r="T2284" s="13" t="s">
        <v>5</v>
      </c>
      <c r="U2284" s="13" t="s">
        <v>43</v>
      </c>
      <c r="V2284" s="13" t="n">
        <f aca="false">IF(COUNTIF($B$2:B2284,B2284)=1,1,0)</f>
        <v>0</v>
      </c>
      <c r="W2284" s="13" t="n">
        <f aca="false">IF(COUNTIFS($B$2:B2284,B2284,$T$2:T2284,T2284)=1,1,0)</f>
        <v>0</v>
      </c>
    </row>
    <row r="2285" customFormat="false" ht="15" hidden="false" customHeight="false" outlineLevel="0" collapsed="false">
      <c r="A2285" s="13" t="s">
        <v>555</v>
      </c>
      <c r="B2285" s="13" t="s">
        <v>195</v>
      </c>
      <c r="C2285" s="13" t="n">
        <v>4900</v>
      </c>
      <c r="D2285" s="13" t="n">
        <v>5</v>
      </c>
      <c r="E2285" s="13" t="n">
        <v>707.1</v>
      </c>
      <c r="F2285" s="13" t="s">
        <v>5325</v>
      </c>
      <c r="G2285" s="13" t="s">
        <v>5289</v>
      </c>
      <c r="H2285" s="13" t="s">
        <v>5289</v>
      </c>
      <c r="I2285" s="13" t="s">
        <v>5289</v>
      </c>
      <c r="J2285" s="13" t="s">
        <v>5289</v>
      </c>
      <c r="K2285" s="13" t="s">
        <v>5289</v>
      </c>
      <c r="L2285" s="13"/>
      <c r="M2285" s="13"/>
      <c r="N2285" s="13" t="n">
        <v>3614228837996</v>
      </c>
      <c r="O2285" s="13"/>
      <c r="P2285" s="13" t="s">
        <v>5297</v>
      </c>
      <c r="Q2285" s="13" t="s">
        <v>5289</v>
      </c>
      <c r="R2285" s="13" t="s">
        <v>5292</v>
      </c>
      <c r="S2285" s="13" t="s">
        <v>5293</v>
      </c>
      <c r="T2285" s="13" t="s">
        <v>5</v>
      </c>
      <c r="U2285" s="13" t="s">
        <v>43</v>
      </c>
      <c r="V2285" s="13" t="n">
        <f aca="false">IF(COUNTIF($B$2:B2285,B2285)=1,1,0)</f>
        <v>0</v>
      </c>
      <c r="W2285" s="13" t="n">
        <f aca="false">IF(COUNTIFS($B$2:B2285,B2285,$T$2:T2285,T2285)=1,1,0)</f>
        <v>0</v>
      </c>
    </row>
    <row r="2286" customFormat="false" ht="15" hidden="false" customHeight="false" outlineLevel="0" collapsed="false">
      <c r="A2286" s="13" t="s">
        <v>554</v>
      </c>
      <c r="B2286" s="13" t="s">
        <v>315</v>
      </c>
      <c r="C2286" s="13" t="n">
        <v>4900</v>
      </c>
      <c r="D2286" s="13" t="n">
        <v>5</v>
      </c>
      <c r="E2286" s="13" t="n">
        <v>817.22</v>
      </c>
      <c r="F2286" s="13" t="s">
        <v>5325</v>
      </c>
      <c r="G2286" s="13" t="s">
        <v>5289</v>
      </c>
      <c r="H2286" s="13" t="s">
        <v>5289</v>
      </c>
      <c r="I2286" s="13" t="s">
        <v>5289</v>
      </c>
      <c r="J2286" s="13" t="s">
        <v>5289</v>
      </c>
      <c r="K2286" s="13" t="s">
        <v>5289</v>
      </c>
      <c r="L2286" s="13" t="n">
        <v>3605971100413</v>
      </c>
      <c r="M2286" s="13"/>
      <c r="N2286" s="13" t="n">
        <v>3605971100413</v>
      </c>
      <c r="O2286" s="13"/>
      <c r="P2286" s="13" t="s">
        <v>5291</v>
      </c>
      <c r="Q2286" s="13" t="s">
        <v>5289</v>
      </c>
      <c r="R2286" s="13" t="s">
        <v>5292</v>
      </c>
      <c r="S2286" s="13" t="s">
        <v>5293</v>
      </c>
      <c r="T2286" s="13" t="s">
        <v>5</v>
      </c>
      <c r="U2286" s="13" t="s">
        <v>43</v>
      </c>
      <c r="V2286" s="13" t="n">
        <f aca="false">IF(COUNTIF($B$2:B2286,B2286)=1,1,0)</f>
        <v>0</v>
      </c>
      <c r="W2286" s="13" t="n">
        <f aca="false">IF(COUNTIFS($B$2:B2286,B2286,$T$2:T2286,T2286)=1,1,0)</f>
        <v>0</v>
      </c>
    </row>
    <row r="2287" customFormat="false" ht="15" hidden="false" customHeight="false" outlineLevel="0" collapsed="false">
      <c r="A2287" s="13" t="s">
        <v>237</v>
      </c>
      <c r="B2287" s="13" t="s">
        <v>42</v>
      </c>
      <c r="C2287" s="13" t="n">
        <v>4900</v>
      </c>
      <c r="D2287" s="13" t="n">
        <v>5</v>
      </c>
      <c r="E2287" s="13" t="n">
        <v>698.85</v>
      </c>
      <c r="F2287" s="13" t="s">
        <v>5325</v>
      </c>
      <c r="G2287" s="13" t="s">
        <v>5289</v>
      </c>
      <c r="H2287" s="13" t="s">
        <v>5289</v>
      </c>
      <c r="I2287" s="13" t="s">
        <v>5289</v>
      </c>
      <c r="J2287" s="13" t="s">
        <v>5289</v>
      </c>
      <c r="K2287" s="13" t="s">
        <v>5292</v>
      </c>
      <c r="L2287" s="13" t="n">
        <v>8411061067901</v>
      </c>
      <c r="M2287" s="13"/>
      <c r="N2287" s="13" t="n">
        <v>8.41106160716984E+025</v>
      </c>
      <c r="O2287" s="13"/>
      <c r="P2287" s="13" t="s">
        <v>5291</v>
      </c>
      <c r="Q2287" s="13" t="s">
        <v>5289</v>
      </c>
      <c r="R2287" s="13" t="s">
        <v>5292</v>
      </c>
      <c r="S2287" s="13" t="s">
        <v>5293</v>
      </c>
      <c r="T2287" s="13" t="s">
        <v>5</v>
      </c>
      <c r="U2287" s="13" t="s">
        <v>43</v>
      </c>
      <c r="V2287" s="13" t="n">
        <f aca="false">IF(COUNTIF($B$2:B2287,B2287)=1,1,0)</f>
        <v>0</v>
      </c>
      <c r="W2287" s="13" t="n">
        <f aca="false">IF(COUNTIFS($B$2:B2287,B2287,$T$2:T2287,T2287)=1,1,0)</f>
        <v>0</v>
      </c>
    </row>
    <row r="2288" customFormat="false" ht="15" hidden="false" customHeight="false" outlineLevel="0" collapsed="false">
      <c r="A2288" s="13" t="s">
        <v>125</v>
      </c>
      <c r="B2288" s="13" t="s">
        <v>124</v>
      </c>
      <c r="C2288" s="13" t="n">
        <v>4900</v>
      </c>
      <c r="D2288" s="13" t="n">
        <v>5</v>
      </c>
      <c r="E2288" s="13" t="n">
        <v>607.23</v>
      </c>
      <c r="F2288" s="13" t="s">
        <v>5288</v>
      </c>
      <c r="G2288" s="13" t="s">
        <v>5289</v>
      </c>
      <c r="H2288" s="13" t="s">
        <v>5289</v>
      </c>
      <c r="I2288" s="13" t="s">
        <v>5289</v>
      </c>
      <c r="J2288" s="13" t="s">
        <v>5289</v>
      </c>
      <c r="K2288" s="13" t="s">
        <v>5289</v>
      </c>
      <c r="L2288" s="13" t="n">
        <v>3614274143751</v>
      </c>
      <c r="M2288" s="13"/>
      <c r="N2288" s="13" t="n">
        <v>3614274143751</v>
      </c>
      <c r="O2288" s="13"/>
      <c r="P2288" s="13" t="s">
        <v>5291</v>
      </c>
      <c r="Q2288" s="13" t="s">
        <v>5289</v>
      </c>
      <c r="R2288" s="13" t="s">
        <v>5292</v>
      </c>
      <c r="S2288" s="13" t="s">
        <v>5293</v>
      </c>
      <c r="T2288" s="13" t="s">
        <v>5</v>
      </c>
      <c r="U2288" s="13" t="s">
        <v>43</v>
      </c>
      <c r="V2288" s="13" t="n">
        <f aca="false">IF(COUNTIF($B$2:B2288,B2288)=1,1,0)</f>
        <v>0</v>
      </c>
      <c r="W2288" s="13" t="n">
        <f aca="false">IF(COUNTIFS($B$2:B2288,B2288,$T$2:T2288,T2288)=1,1,0)</f>
        <v>0</v>
      </c>
    </row>
    <row r="2289" customFormat="false" ht="15" hidden="false" customHeight="false" outlineLevel="0" collapsed="false">
      <c r="A2289" s="13" t="s">
        <v>558</v>
      </c>
      <c r="B2289" s="13" t="s">
        <v>153</v>
      </c>
      <c r="C2289" s="13" t="n">
        <v>4800</v>
      </c>
      <c r="D2289" s="13" t="n">
        <v>5</v>
      </c>
      <c r="E2289" s="13" t="n">
        <v>482.79</v>
      </c>
      <c r="F2289" s="13" t="s">
        <v>5325</v>
      </c>
      <c r="G2289" s="13" t="s">
        <v>5289</v>
      </c>
      <c r="H2289" s="13" t="s">
        <v>5289</v>
      </c>
      <c r="I2289" s="13" t="s">
        <v>5289</v>
      </c>
      <c r="J2289" s="13" t="s">
        <v>5289</v>
      </c>
      <c r="K2289" s="13" t="s">
        <v>5289</v>
      </c>
      <c r="L2289" s="13" t="n">
        <v>8018365070264</v>
      </c>
      <c r="M2289" s="13"/>
      <c r="N2289" s="13" t="n">
        <v>8018365070264</v>
      </c>
      <c r="O2289" s="13"/>
      <c r="P2289" s="13" t="s">
        <v>5291</v>
      </c>
      <c r="Q2289" s="13" t="s">
        <v>5289</v>
      </c>
      <c r="R2289" s="13" t="s">
        <v>5292</v>
      </c>
      <c r="S2289" s="13" t="s">
        <v>5293</v>
      </c>
      <c r="T2289" s="13" t="s">
        <v>5</v>
      </c>
      <c r="U2289" s="13" t="s">
        <v>43</v>
      </c>
      <c r="V2289" s="13" t="n">
        <f aca="false">IF(COUNTIF($B$2:B2289,B2289)=1,1,0)</f>
        <v>0</v>
      </c>
      <c r="W2289" s="13" t="n">
        <f aca="false">IF(COUNTIFS($B$2:B2289,B2289,$T$2:T2289,T2289)=1,1,0)</f>
        <v>0</v>
      </c>
    </row>
    <row r="2290" customFormat="false" ht="15" hidden="false" customHeight="false" outlineLevel="0" collapsed="false">
      <c r="A2290" s="13" t="s">
        <v>173</v>
      </c>
      <c r="B2290" s="13" t="s">
        <v>69</v>
      </c>
      <c r="C2290" s="13" t="n">
        <v>4800</v>
      </c>
      <c r="D2290" s="13" t="n">
        <v>5</v>
      </c>
      <c r="E2290" s="13" t="n">
        <v>535.777777777778</v>
      </c>
      <c r="F2290" s="13" t="s">
        <v>5325</v>
      </c>
      <c r="G2290" s="13" t="s">
        <v>5289</v>
      </c>
      <c r="H2290" s="13" t="s">
        <v>5289</v>
      </c>
      <c r="I2290" s="13" t="s">
        <v>5289</v>
      </c>
      <c r="J2290" s="13" t="s">
        <v>5289</v>
      </c>
      <c r="K2290" s="13" t="s">
        <v>5289</v>
      </c>
      <c r="L2290" s="13" t="n">
        <v>3614272648401</v>
      </c>
      <c r="M2290" s="13"/>
      <c r="N2290" s="13" t="n">
        <v>3614272648401</v>
      </c>
      <c r="O2290" s="13"/>
      <c r="P2290" s="13" t="s">
        <v>5291</v>
      </c>
      <c r="Q2290" s="13" t="s">
        <v>5289</v>
      </c>
      <c r="R2290" s="13" t="s">
        <v>5292</v>
      </c>
      <c r="S2290" s="13" t="s">
        <v>5293</v>
      </c>
      <c r="T2290" s="13" t="s">
        <v>5</v>
      </c>
      <c r="U2290" s="13" t="s">
        <v>43</v>
      </c>
      <c r="V2290" s="13" t="n">
        <f aca="false">IF(COUNTIF($B$2:B2290,B2290)=1,1,0)</f>
        <v>0</v>
      </c>
      <c r="W2290" s="13" t="n">
        <f aca="false">IF(COUNTIFS($B$2:B2290,B2290,$T$2:T2290,T2290)=1,1,0)</f>
        <v>0</v>
      </c>
    </row>
    <row r="2291" customFormat="false" ht="15" hidden="false" customHeight="false" outlineLevel="0" collapsed="false">
      <c r="A2291" s="13" t="s">
        <v>395</v>
      </c>
      <c r="B2291" s="13" t="s">
        <v>42</v>
      </c>
      <c r="C2291" s="13" t="n">
        <v>4800</v>
      </c>
      <c r="D2291" s="13" t="n">
        <v>5</v>
      </c>
      <c r="E2291" s="13" t="n">
        <v>683.958571428571</v>
      </c>
      <c r="F2291" s="13" t="s">
        <v>5325</v>
      </c>
      <c r="G2291" s="13" t="s">
        <v>5289</v>
      </c>
      <c r="H2291" s="13" t="s">
        <v>5289</v>
      </c>
      <c r="I2291" s="13" t="s">
        <v>5289</v>
      </c>
      <c r="J2291" s="13" t="s">
        <v>5289</v>
      </c>
      <c r="K2291" s="13" t="s">
        <v>5289</v>
      </c>
      <c r="L2291" s="13" t="n">
        <v>8411061723760</v>
      </c>
      <c r="M2291" s="13"/>
      <c r="N2291" s="13" t="n">
        <v>8.41106108816684E+025</v>
      </c>
      <c r="O2291" s="13"/>
      <c r="P2291" s="13" t="s">
        <v>5291</v>
      </c>
      <c r="Q2291" s="13" t="s">
        <v>5289</v>
      </c>
      <c r="R2291" s="13" t="s">
        <v>5292</v>
      </c>
      <c r="S2291" s="13" t="s">
        <v>5293</v>
      </c>
      <c r="T2291" s="13" t="s">
        <v>5</v>
      </c>
      <c r="U2291" s="13" t="s">
        <v>43</v>
      </c>
      <c r="V2291" s="13" t="n">
        <f aca="false">IF(COUNTIF($B$2:B2291,B2291)=1,1,0)</f>
        <v>0</v>
      </c>
      <c r="W2291" s="13" t="n">
        <f aca="false">IF(COUNTIFS($B$2:B2291,B2291,$T$2:T2291,T2291)=1,1,0)</f>
        <v>0</v>
      </c>
    </row>
    <row r="2292" customFormat="false" ht="15" hidden="false" customHeight="false" outlineLevel="0" collapsed="false">
      <c r="A2292" s="13" t="s">
        <v>565</v>
      </c>
      <c r="B2292" s="13" t="s">
        <v>329</v>
      </c>
      <c r="C2292" s="13" t="n">
        <v>4700</v>
      </c>
      <c r="D2292" s="13" t="n">
        <v>5</v>
      </c>
      <c r="E2292" s="13" t="n">
        <v>527</v>
      </c>
      <c r="F2292" s="13" t="s">
        <v>5325</v>
      </c>
      <c r="G2292" s="13" t="s">
        <v>5289</v>
      </c>
      <c r="H2292" s="13" t="s">
        <v>5289</v>
      </c>
      <c r="I2292" s="13" t="s">
        <v>5289</v>
      </c>
      <c r="J2292" s="13" t="s">
        <v>5289</v>
      </c>
      <c r="K2292" s="13" t="s">
        <v>5289</v>
      </c>
      <c r="L2292" s="13" t="n">
        <v>3137370357476</v>
      </c>
      <c r="M2292" s="13"/>
      <c r="N2292" s="13" t="n">
        <v>3.13737035747631E+025</v>
      </c>
      <c r="O2292" s="13"/>
      <c r="P2292" s="13" t="s">
        <v>5291</v>
      </c>
      <c r="Q2292" s="13" t="s">
        <v>5289</v>
      </c>
      <c r="R2292" s="13" t="s">
        <v>5292</v>
      </c>
      <c r="S2292" s="13" t="s">
        <v>5293</v>
      </c>
      <c r="T2292" s="13" t="s">
        <v>5</v>
      </c>
      <c r="U2292" s="13" t="s">
        <v>43</v>
      </c>
      <c r="V2292" s="13" t="n">
        <f aca="false">IF(COUNTIF($B$2:B2292,B2292)=1,1,0)</f>
        <v>0</v>
      </c>
      <c r="W2292" s="13" t="n">
        <f aca="false">IF(COUNTIFS($B$2:B2292,B2292,$T$2:T2292,T2292)=1,1,0)</f>
        <v>0</v>
      </c>
    </row>
    <row r="2293" customFormat="false" ht="15" hidden="false" customHeight="false" outlineLevel="0" collapsed="false">
      <c r="A2293" s="13" t="s">
        <v>567</v>
      </c>
      <c r="B2293" s="13" t="s">
        <v>54</v>
      </c>
      <c r="C2293" s="13" t="n">
        <v>4700</v>
      </c>
      <c r="D2293" s="13" t="n">
        <v>5</v>
      </c>
      <c r="E2293" s="13" t="n">
        <v>789.266666666667</v>
      </c>
      <c r="F2293" s="13" t="s">
        <v>5325</v>
      </c>
      <c r="G2293" s="13" t="s">
        <v>5289</v>
      </c>
      <c r="H2293" s="13" t="s">
        <v>5289</v>
      </c>
      <c r="I2293" s="13" t="s">
        <v>5289</v>
      </c>
      <c r="J2293" s="13" t="s">
        <v>5289</v>
      </c>
      <c r="K2293" s="13" t="s">
        <v>5292</v>
      </c>
      <c r="L2293" s="13"/>
      <c r="M2293" s="13"/>
      <c r="N2293" s="13" t="n">
        <v>768614224464</v>
      </c>
      <c r="O2293" s="13"/>
      <c r="P2293" s="13" t="s">
        <v>5291</v>
      </c>
      <c r="Q2293" s="13" t="s">
        <v>5289</v>
      </c>
      <c r="R2293" s="13" t="s">
        <v>5292</v>
      </c>
      <c r="S2293" s="13" t="s">
        <v>5293</v>
      </c>
      <c r="T2293" s="13" t="s">
        <v>5</v>
      </c>
      <c r="U2293" s="13" t="s">
        <v>43</v>
      </c>
      <c r="V2293" s="13" t="n">
        <f aca="false">IF(COUNTIF($B$2:B2293,B2293)=1,1,0)</f>
        <v>0</v>
      </c>
      <c r="W2293" s="13" t="n">
        <f aca="false">IF(COUNTIFS($B$2:B2293,B2293,$T$2:T2293,T2293)=1,1,0)</f>
        <v>0</v>
      </c>
    </row>
    <row r="2294" customFormat="false" ht="15" hidden="false" customHeight="false" outlineLevel="0" collapsed="false">
      <c r="A2294" s="13" t="s">
        <v>359</v>
      </c>
      <c r="B2294" s="13" t="s">
        <v>92</v>
      </c>
      <c r="C2294" s="13" t="n">
        <v>4700</v>
      </c>
      <c r="D2294" s="13" t="n">
        <v>10</v>
      </c>
      <c r="E2294" s="13" t="n">
        <v>428.359090909091</v>
      </c>
      <c r="F2294" s="13" t="s">
        <v>5325</v>
      </c>
      <c r="G2294" s="13" t="s">
        <v>5289</v>
      </c>
      <c r="H2294" s="13" t="s">
        <v>5289</v>
      </c>
      <c r="I2294" s="13" t="s">
        <v>5289</v>
      </c>
      <c r="J2294" s="13" t="s">
        <v>5289</v>
      </c>
      <c r="K2294" s="13" t="s">
        <v>5289</v>
      </c>
      <c r="L2294" s="13" t="n">
        <v>688575201901</v>
      </c>
      <c r="M2294" s="13"/>
      <c r="N2294" s="13" t="n">
        <v>8.41106107082669E+024</v>
      </c>
      <c r="O2294" s="13"/>
      <c r="P2294" s="13" t="s">
        <v>5291</v>
      </c>
      <c r="Q2294" s="13" t="s">
        <v>5289</v>
      </c>
      <c r="R2294" s="13" t="s">
        <v>5292</v>
      </c>
      <c r="S2294" s="13" t="s">
        <v>5293</v>
      </c>
      <c r="T2294" s="13" t="s">
        <v>5</v>
      </c>
      <c r="U2294" s="13" t="s">
        <v>43</v>
      </c>
      <c r="V2294" s="13" t="n">
        <f aca="false">IF(COUNTIF($B$2:B2294,B2294)=1,1,0)</f>
        <v>0</v>
      </c>
      <c r="W2294" s="13" t="n">
        <f aca="false">IF(COUNTIFS($B$2:B2294,B2294,$T$2:T2294,T2294)=1,1,0)</f>
        <v>0</v>
      </c>
    </row>
    <row r="2295" customFormat="false" ht="15" hidden="false" customHeight="false" outlineLevel="0" collapsed="false">
      <c r="A2295" s="13" t="s">
        <v>64</v>
      </c>
      <c r="B2295" s="13" t="s">
        <v>50</v>
      </c>
      <c r="C2295" s="13" t="n">
        <v>4700</v>
      </c>
      <c r="D2295" s="13" t="n">
        <v>5</v>
      </c>
      <c r="E2295" s="13" t="n">
        <v>671.125714285714</v>
      </c>
      <c r="F2295" s="13" t="s">
        <v>5325</v>
      </c>
      <c r="G2295" s="13" t="s">
        <v>5289</v>
      </c>
      <c r="H2295" s="13" t="s">
        <v>5289</v>
      </c>
      <c r="I2295" s="13" t="s">
        <v>5289</v>
      </c>
      <c r="J2295" s="13" t="s">
        <v>5289</v>
      </c>
      <c r="K2295" s="13" t="s">
        <v>5289</v>
      </c>
      <c r="L2295" s="13" t="n">
        <v>3349668614530</v>
      </c>
      <c r="M2295" s="13"/>
      <c r="N2295" s="13" t="n">
        <v>3349668614530</v>
      </c>
      <c r="O2295" s="13"/>
      <c r="P2295" s="13" t="s">
        <v>5297</v>
      </c>
      <c r="Q2295" s="13" t="s">
        <v>5289</v>
      </c>
      <c r="R2295" s="13" t="s">
        <v>5292</v>
      </c>
      <c r="S2295" s="13" t="s">
        <v>5293</v>
      </c>
      <c r="T2295" s="13" t="s">
        <v>5</v>
      </c>
      <c r="U2295" s="13" t="s">
        <v>43</v>
      </c>
      <c r="V2295" s="13" t="n">
        <f aca="false">IF(COUNTIF($B$2:B2295,B2295)=1,1,0)</f>
        <v>0</v>
      </c>
      <c r="W2295" s="13" t="n">
        <f aca="false">IF(COUNTIFS($B$2:B2295,B2295,$T$2:T2295,T2295)=1,1,0)</f>
        <v>0</v>
      </c>
    </row>
    <row r="2296" customFormat="false" ht="15" hidden="false" customHeight="false" outlineLevel="0" collapsed="false">
      <c r="A2296" s="13" t="s">
        <v>564</v>
      </c>
      <c r="B2296" s="13" t="s">
        <v>153</v>
      </c>
      <c r="C2296" s="13" t="n">
        <v>4700</v>
      </c>
      <c r="D2296" s="13" t="n">
        <v>5</v>
      </c>
      <c r="E2296" s="13" t="n">
        <v>469</v>
      </c>
      <c r="F2296" s="13" t="s">
        <v>5288</v>
      </c>
      <c r="G2296" s="13" t="s">
        <v>5289</v>
      </c>
      <c r="H2296" s="13" t="s">
        <v>5289</v>
      </c>
      <c r="I2296" s="13" t="s">
        <v>5289</v>
      </c>
      <c r="J2296" s="13" t="s">
        <v>5289</v>
      </c>
      <c r="K2296" s="13" t="s">
        <v>5289</v>
      </c>
      <c r="L2296" s="13" t="n">
        <v>8011003891498</v>
      </c>
      <c r="M2296" s="13"/>
      <c r="N2296" s="13" t="n">
        <v>8011003891498</v>
      </c>
      <c r="O2296" s="13"/>
      <c r="P2296" s="13" t="s">
        <v>5291</v>
      </c>
      <c r="Q2296" s="13" t="s">
        <v>5289</v>
      </c>
      <c r="R2296" s="13" t="s">
        <v>5292</v>
      </c>
      <c r="S2296" s="13" t="s">
        <v>5293</v>
      </c>
      <c r="T2296" s="13" t="s">
        <v>5</v>
      </c>
      <c r="U2296" s="13" t="s">
        <v>43</v>
      </c>
      <c r="V2296" s="13" t="n">
        <f aca="false">IF(COUNTIF($B$2:B2296,B2296)=1,1,0)</f>
        <v>0</v>
      </c>
      <c r="W2296" s="13" t="n">
        <f aca="false">IF(COUNTIFS($B$2:B2296,B2296,$T$2:T2296,T2296)=1,1,0)</f>
        <v>0</v>
      </c>
    </row>
    <row r="2297" customFormat="false" ht="15" hidden="false" customHeight="false" outlineLevel="0" collapsed="false">
      <c r="A2297" s="13" t="s">
        <v>563</v>
      </c>
      <c r="B2297" s="13" t="s">
        <v>45</v>
      </c>
      <c r="C2297" s="13" t="n">
        <v>4700</v>
      </c>
      <c r="D2297" s="13" t="n">
        <v>5</v>
      </c>
      <c r="E2297" s="13" t="n">
        <v>468.926</v>
      </c>
      <c r="F2297" s="13" t="s">
        <v>5288</v>
      </c>
      <c r="G2297" s="13" t="s">
        <v>5289</v>
      </c>
      <c r="H2297" s="13" t="s">
        <v>5289</v>
      </c>
      <c r="I2297" s="13" t="s">
        <v>5289</v>
      </c>
      <c r="J2297" s="13" t="s">
        <v>5289</v>
      </c>
      <c r="K2297" s="13" t="s">
        <v>5289</v>
      </c>
      <c r="L2297" s="13" t="n">
        <v>8435415011310</v>
      </c>
      <c r="M2297" s="13"/>
      <c r="N2297" s="13" t="n">
        <v>8435415011310</v>
      </c>
      <c r="O2297" s="13"/>
      <c r="P2297" s="13" t="s">
        <v>5297</v>
      </c>
      <c r="Q2297" s="13" t="s">
        <v>5289</v>
      </c>
      <c r="R2297" s="13" t="s">
        <v>5292</v>
      </c>
      <c r="S2297" s="13" t="s">
        <v>5293</v>
      </c>
      <c r="T2297" s="13" t="s">
        <v>5</v>
      </c>
      <c r="U2297" s="13" t="s">
        <v>43</v>
      </c>
      <c r="V2297" s="13" t="n">
        <f aca="false">IF(COUNTIF($B$2:B2297,B2297)=1,1,0)</f>
        <v>0</v>
      </c>
      <c r="W2297" s="13" t="n">
        <f aca="false">IF(COUNTIFS($B$2:B2297,B2297,$T$2:T2297,T2297)=1,1,0)</f>
        <v>0</v>
      </c>
    </row>
    <row r="2298" customFormat="false" ht="15" hidden="false" customHeight="false" outlineLevel="0" collapsed="false">
      <c r="A2298" s="13" t="s">
        <v>561</v>
      </c>
      <c r="B2298" s="13" t="s">
        <v>42</v>
      </c>
      <c r="C2298" s="13" t="n">
        <v>4700</v>
      </c>
      <c r="D2298" s="13" t="n">
        <v>5</v>
      </c>
      <c r="E2298" s="13" t="n">
        <v>666.241428571429</v>
      </c>
      <c r="F2298" s="13" t="s">
        <v>5325</v>
      </c>
      <c r="G2298" s="13" t="s">
        <v>5289</v>
      </c>
      <c r="H2298" s="13" t="s">
        <v>5289</v>
      </c>
      <c r="I2298" s="13" t="s">
        <v>5289</v>
      </c>
      <c r="J2298" s="13" t="s">
        <v>5289</v>
      </c>
      <c r="K2298" s="13" t="s">
        <v>5289</v>
      </c>
      <c r="L2298" s="13" t="n">
        <v>8411061841631</v>
      </c>
      <c r="M2298" s="13"/>
      <c r="N2298" s="13" t="n">
        <v>8.41106104180284E+025</v>
      </c>
      <c r="O2298" s="13"/>
      <c r="P2298" s="13" t="s">
        <v>5291</v>
      </c>
      <c r="Q2298" s="13" t="s">
        <v>5289</v>
      </c>
      <c r="R2298" s="13" t="s">
        <v>5292</v>
      </c>
      <c r="S2298" s="13" t="s">
        <v>5293</v>
      </c>
      <c r="T2298" s="13" t="s">
        <v>5</v>
      </c>
      <c r="U2298" s="13" t="s">
        <v>183</v>
      </c>
      <c r="V2298" s="13" t="n">
        <f aca="false">IF(COUNTIF($B$2:B2298,B2298)=1,1,0)</f>
        <v>0</v>
      </c>
      <c r="W2298" s="13" t="n">
        <f aca="false">IF(COUNTIFS($B$2:B2298,B2298,$T$2:T2298,T2298)=1,1,0)</f>
        <v>0</v>
      </c>
    </row>
    <row r="2299" customFormat="false" ht="15" hidden="false" customHeight="false" outlineLevel="0" collapsed="false">
      <c r="A2299" s="13" t="s">
        <v>566</v>
      </c>
      <c r="B2299" s="13" t="s">
        <v>50</v>
      </c>
      <c r="C2299" s="13" t="n">
        <v>4700</v>
      </c>
      <c r="D2299" s="13" t="n">
        <v>5</v>
      </c>
      <c r="E2299" s="13" t="n">
        <v>582.85625</v>
      </c>
      <c r="F2299" s="13" t="s">
        <v>5325</v>
      </c>
      <c r="G2299" s="13" t="s">
        <v>5289</v>
      </c>
      <c r="H2299" s="13" t="s">
        <v>5292</v>
      </c>
      <c r="I2299" s="13" t="s">
        <v>5289</v>
      </c>
      <c r="J2299" s="13" t="s">
        <v>5289</v>
      </c>
      <c r="K2299" s="13" t="s">
        <v>5289</v>
      </c>
      <c r="L2299" s="13" t="n">
        <v>3349668508587</v>
      </c>
      <c r="M2299" s="13"/>
      <c r="N2299" s="13" t="n">
        <v>3349668508587</v>
      </c>
      <c r="O2299" s="13"/>
      <c r="P2299" s="13" t="s">
        <v>5291</v>
      </c>
      <c r="Q2299" s="13" t="s">
        <v>5289</v>
      </c>
      <c r="R2299" s="13" t="s">
        <v>5292</v>
      </c>
      <c r="S2299" s="13" t="s">
        <v>5293</v>
      </c>
      <c r="T2299" s="13" t="s">
        <v>5</v>
      </c>
      <c r="U2299" s="13" t="s">
        <v>43</v>
      </c>
      <c r="V2299" s="13" t="n">
        <f aca="false">IF(COUNTIF($B$2:B2299,B2299)=1,1,0)</f>
        <v>0</v>
      </c>
      <c r="W2299" s="13" t="n">
        <f aca="false">IF(COUNTIFS($B$2:B2299,B2299,$T$2:T2299,T2299)=1,1,0)</f>
        <v>0</v>
      </c>
    </row>
    <row r="2300" customFormat="false" ht="15" hidden="false" customHeight="false" outlineLevel="0" collapsed="false">
      <c r="A2300" s="13" t="s">
        <v>486</v>
      </c>
      <c r="B2300" s="13" t="s">
        <v>79</v>
      </c>
      <c r="C2300" s="13" t="n">
        <v>4700</v>
      </c>
      <c r="D2300" s="13" t="n">
        <v>10</v>
      </c>
      <c r="E2300" s="13" t="n">
        <v>388</v>
      </c>
      <c r="F2300" s="13" t="s">
        <v>5325</v>
      </c>
      <c r="G2300" s="13" t="s">
        <v>5289</v>
      </c>
      <c r="H2300" s="13" t="s">
        <v>5289</v>
      </c>
      <c r="I2300" s="13" t="s">
        <v>5289</v>
      </c>
      <c r="J2300" s="13" t="s">
        <v>5289</v>
      </c>
      <c r="K2300" s="13" t="s">
        <v>5289</v>
      </c>
      <c r="L2300" s="13" t="n">
        <v>8057971188178</v>
      </c>
      <c r="M2300" s="13"/>
      <c r="N2300" s="13" t="n">
        <v>8057971188178</v>
      </c>
      <c r="O2300" s="13"/>
      <c r="P2300" s="13" t="s">
        <v>5291</v>
      </c>
      <c r="Q2300" s="13" t="s">
        <v>5289</v>
      </c>
      <c r="R2300" s="13" t="s">
        <v>5292</v>
      </c>
      <c r="S2300" s="13" t="s">
        <v>5293</v>
      </c>
      <c r="T2300" s="13" t="s">
        <v>5</v>
      </c>
      <c r="U2300" s="13" t="s">
        <v>43</v>
      </c>
      <c r="V2300" s="13" t="n">
        <f aca="false">IF(COUNTIF($B$2:B2300,B2300)=1,1,0)</f>
        <v>0</v>
      </c>
      <c r="W2300" s="13" t="n">
        <f aca="false">IF(COUNTIFS($B$2:B2300,B2300,$T$2:T2300,T2300)=1,1,0)</f>
        <v>0</v>
      </c>
    </row>
    <row r="2301" customFormat="false" ht="15" hidden="false" customHeight="false" outlineLevel="0" collapsed="false">
      <c r="A2301" s="13" t="s">
        <v>578</v>
      </c>
      <c r="B2301" s="13" t="s">
        <v>92</v>
      </c>
      <c r="C2301" s="13" t="n">
        <v>4600</v>
      </c>
      <c r="D2301" s="13" t="n">
        <v>5</v>
      </c>
      <c r="E2301" s="13" t="n">
        <v>925.916</v>
      </c>
      <c r="F2301" s="13" t="s">
        <v>5325</v>
      </c>
      <c r="G2301" s="13" t="s">
        <v>5289</v>
      </c>
      <c r="H2301" s="13" t="s">
        <v>5292</v>
      </c>
      <c r="I2301" s="13" t="s">
        <v>5289</v>
      </c>
      <c r="J2301" s="13" t="s">
        <v>5289</v>
      </c>
      <c r="K2301" s="13" t="s">
        <v>5289</v>
      </c>
      <c r="L2301" s="13" t="n">
        <v>3616307200240</v>
      </c>
      <c r="M2301" s="13"/>
      <c r="N2301" s="13" t="n">
        <v>3616307200240</v>
      </c>
      <c r="O2301" s="13"/>
      <c r="P2301" s="13" t="s">
        <v>5291</v>
      </c>
      <c r="Q2301" s="13" t="s">
        <v>5289</v>
      </c>
      <c r="R2301" s="13" t="s">
        <v>5292</v>
      </c>
      <c r="S2301" s="13" t="s">
        <v>5293</v>
      </c>
      <c r="T2301" s="13" t="s">
        <v>5</v>
      </c>
      <c r="U2301" s="13" t="s">
        <v>43</v>
      </c>
      <c r="V2301" s="13" t="n">
        <f aca="false">IF(COUNTIF($B$2:B2301,B2301)=1,1,0)</f>
        <v>0</v>
      </c>
      <c r="W2301" s="13" t="n">
        <f aca="false">IF(COUNTIFS($B$2:B2301,B2301,$T$2:T2301,T2301)=1,1,0)</f>
        <v>0</v>
      </c>
    </row>
    <row r="2302" customFormat="false" ht="15" hidden="false" customHeight="false" outlineLevel="0" collapsed="false">
      <c r="A2302" s="13" t="s">
        <v>579</v>
      </c>
      <c r="B2302" s="13" t="s">
        <v>315</v>
      </c>
      <c r="C2302" s="13" t="n">
        <v>4600</v>
      </c>
      <c r="D2302" s="13" t="n">
        <v>5</v>
      </c>
      <c r="E2302" s="13" t="n">
        <v>660.357142857143</v>
      </c>
      <c r="F2302" s="13" t="s">
        <v>5325</v>
      </c>
      <c r="G2302" s="13" t="s">
        <v>5289</v>
      </c>
      <c r="H2302" s="13" t="s">
        <v>5292</v>
      </c>
      <c r="I2302" s="13" t="s">
        <v>5289</v>
      </c>
      <c r="J2302" s="13" t="s">
        <v>5289</v>
      </c>
      <c r="K2302" s="13" t="s">
        <v>5289</v>
      </c>
      <c r="L2302" s="13" t="n">
        <v>3605972793317</v>
      </c>
      <c r="M2302" s="13"/>
      <c r="N2302" s="13" t="n">
        <v>3605972793317</v>
      </c>
      <c r="O2302" s="13"/>
      <c r="P2302" s="13" t="s">
        <v>5291</v>
      </c>
      <c r="Q2302" s="13" t="s">
        <v>5289</v>
      </c>
      <c r="R2302" s="13" t="s">
        <v>5292</v>
      </c>
      <c r="S2302" s="13" t="s">
        <v>5293</v>
      </c>
      <c r="T2302" s="13" t="s">
        <v>5</v>
      </c>
      <c r="U2302" s="13" t="s">
        <v>43</v>
      </c>
      <c r="V2302" s="13" t="n">
        <f aca="false">IF(COUNTIF($B$2:B2302,B2302)=1,1,0)</f>
        <v>0</v>
      </c>
      <c r="W2302" s="13" t="n">
        <f aca="false">IF(COUNTIFS($B$2:B2302,B2302,$T$2:T2302,T2302)=1,1,0)</f>
        <v>0</v>
      </c>
    </row>
    <row r="2303" customFormat="false" ht="15" hidden="false" customHeight="false" outlineLevel="0" collapsed="false">
      <c r="A2303" s="13" t="s">
        <v>370</v>
      </c>
      <c r="B2303" s="13" t="s">
        <v>124</v>
      </c>
      <c r="C2303" s="13" t="n">
        <v>4600</v>
      </c>
      <c r="D2303" s="13" t="n">
        <v>5</v>
      </c>
      <c r="E2303" s="13" t="n">
        <v>577.48125</v>
      </c>
      <c r="F2303" s="13" t="s">
        <v>5288</v>
      </c>
      <c r="G2303" s="13" t="s">
        <v>5289</v>
      </c>
      <c r="H2303" s="13" t="s">
        <v>5289</v>
      </c>
      <c r="I2303" s="13" t="s">
        <v>5289</v>
      </c>
      <c r="J2303" s="13" t="s">
        <v>5289</v>
      </c>
      <c r="K2303" s="13" t="s">
        <v>5292</v>
      </c>
      <c r="L2303" s="13" t="n">
        <v>3614274361322</v>
      </c>
      <c r="M2303" s="13"/>
      <c r="N2303" s="13" t="n">
        <v>3614274361322</v>
      </c>
      <c r="O2303" s="13"/>
      <c r="P2303" s="13" t="s">
        <v>5291</v>
      </c>
      <c r="Q2303" s="13" t="s">
        <v>5289</v>
      </c>
      <c r="R2303" s="13" t="s">
        <v>5292</v>
      </c>
      <c r="S2303" s="13" t="s">
        <v>5293</v>
      </c>
      <c r="T2303" s="13" t="s">
        <v>5</v>
      </c>
      <c r="U2303" s="13" t="s">
        <v>43</v>
      </c>
      <c r="V2303" s="13" t="n">
        <f aca="false">IF(COUNTIF($B$2:B2303,B2303)=1,1,0)</f>
        <v>0</v>
      </c>
      <c r="W2303" s="13" t="n">
        <f aca="false">IF(COUNTIFS($B$2:B2303,B2303,$T$2:T2303,T2303)=1,1,0)</f>
        <v>0</v>
      </c>
    </row>
    <row r="2304" customFormat="false" ht="15" hidden="false" customHeight="false" outlineLevel="0" collapsed="false">
      <c r="A2304" s="13" t="s">
        <v>575</v>
      </c>
      <c r="B2304" s="13" t="s">
        <v>329</v>
      </c>
      <c r="C2304" s="13" t="n">
        <v>4600</v>
      </c>
      <c r="D2304" s="13" t="n">
        <v>5</v>
      </c>
      <c r="E2304" s="13" t="n">
        <v>769</v>
      </c>
      <c r="F2304" s="13" t="s">
        <v>5325</v>
      </c>
      <c r="G2304" s="13" t="s">
        <v>5289</v>
      </c>
      <c r="H2304" s="13" t="s">
        <v>5289</v>
      </c>
      <c r="I2304" s="13" t="s">
        <v>5289</v>
      </c>
      <c r="J2304" s="13" t="s">
        <v>5289</v>
      </c>
      <c r="K2304" s="13" t="s">
        <v>5289</v>
      </c>
      <c r="L2304" s="13"/>
      <c r="M2304" s="13"/>
      <c r="N2304" s="13" t="n">
        <v>3137370360926</v>
      </c>
      <c r="O2304" s="13"/>
      <c r="P2304" s="13" t="s">
        <v>5291</v>
      </c>
      <c r="Q2304" s="13" t="s">
        <v>5289</v>
      </c>
      <c r="R2304" s="13" t="s">
        <v>5292</v>
      </c>
      <c r="S2304" s="13" t="s">
        <v>5293</v>
      </c>
      <c r="T2304" s="13" t="s">
        <v>5</v>
      </c>
      <c r="U2304" s="13" t="s">
        <v>43</v>
      </c>
      <c r="V2304" s="13" t="n">
        <f aca="false">IF(COUNTIF($B$2:B2304,B2304)=1,1,0)</f>
        <v>0</v>
      </c>
      <c r="W2304" s="13" t="n">
        <f aca="false">IF(COUNTIFS($B$2:B2304,B2304,$T$2:T2304,T2304)=1,1,0)</f>
        <v>0</v>
      </c>
    </row>
    <row r="2305" customFormat="false" ht="15" hidden="false" customHeight="false" outlineLevel="0" collapsed="false">
      <c r="A2305" s="13" t="s">
        <v>574</v>
      </c>
      <c r="B2305" s="13" t="s">
        <v>107</v>
      </c>
      <c r="C2305" s="13" t="n">
        <v>4600</v>
      </c>
      <c r="D2305" s="13" t="n">
        <v>50</v>
      </c>
      <c r="E2305" s="13" t="n">
        <v>97.16</v>
      </c>
      <c r="F2305" s="13" t="s">
        <v>5325</v>
      </c>
      <c r="G2305" s="13" t="s">
        <v>5289</v>
      </c>
      <c r="H2305" s="13" t="s">
        <v>5289</v>
      </c>
      <c r="I2305" s="13" t="s">
        <v>5289</v>
      </c>
      <c r="J2305" s="13" t="s">
        <v>5289</v>
      </c>
      <c r="K2305" s="13" t="s">
        <v>5289</v>
      </c>
      <c r="L2305" s="13" t="n">
        <v>8005610643885</v>
      </c>
      <c r="M2305" s="13"/>
      <c r="N2305" s="13" t="n">
        <v>8005610643885</v>
      </c>
      <c r="O2305" s="13"/>
      <c r="P2305" s="13" t="s">
        <v>5291</v>
      </c>
      <c r="Q2305" s="13" t="s">
        <v>5289</v>
      </c>
      <c r="R2305" s="13" t="s">
        <v>5292</v>
      </c>
      <c r="S2305" s="13" t="s">
        <v>5293</v>
      </c>
      <c r="T2305" s="13" t="s">
        <v>5</v>
      </c>
      <c r="U2305" s="13" t="s">
        <v>183</v>
      </c>
      <c r="V2305" s="13" t="n">
        <f aca="false">IF(COUNTIF($B$2:B2305,B2305)=1,1,0)</f>
        <v>0</v>
      </c>
      <c r="W2305" s="13" t="n">
        <f aca="false">IF(COUNTIFS($B$2:B2305,B2305,$T$2:T2305,T2305)=1,1,0)</f>
        <v>0</v>
      </c>
    </row>
    <row r="2306" customFormat="false" ht="15" hidden="false" customHeight="false" outlineLevel="0" collapsed="false">
      <c r="A2306" s="13" t="s">
        <v>291</v>
      </c>
      <c r="B2306" s="13" t="s">
        <v>153</v>
      </c>
      <c r="C2306" s="13" t="n">
        <v>4600</v>
      </c>
      <c r="D2306" s="13" t="n">
        <v>10</v>
      </c>
      <c r="E2306" s="13" t="n">
        <v>379.86</v>
      </c>
      <c r="F2306" s="13" t="s">
        <v>5325</v>
      </c>
      <c r="G2306" s="13" t="s">
        <v>5289</v>
      </c>
      <c r="H2306" s="13" t="s">
        <v>5289</v>
      </c>
      <c r="I2306" s="13" t="s">
        <v>5289</v>
      </c>
      <c r="J2306" s="13" t="s">
        <v>5289</v>
      </c>
      <c r="K2306" s="13" t="s">
        <v>5289</v>
      </c>
      <c r="L2306" s="13" t="n">
        <v>8011003901623</v>
      </c>
      <c r="M2306" s="13"/>
      <c r="N2306" s="13" t="n">
        <v>8011003901623</v>
      </c>
      <c r="O2306" s="13"/>
      <c r="P2306" s="13" t="s">
        <v>5291</v>
      </c>
      <c r="Q2306" s="13" t="s">
        <v>5289</v>
      </c>
      <c r="R2306" s="13" t="s">
        <v>5292</v>
      </c>
      <c r="S2306" s="13" t="s">
        <v>5293</v>
      </c>
      <c r="T2306" s="13" t="s">
        <v>5</v>
      </c>
      <c r="U2306" s="13" t="s">
        <v>43</v>
      </c>
      <c r="V2306" s="13" t="n">
        <f aca="false">IF(COUNTIF($B$2:B2306,B2306)=1,1,0)</f>
        <v>0</v>
      </c>
      <c r="W2306" s="13" t="n">
        <f aca="false">IF(COUNTIFS($B$2:B2306,B2306,$T$2:T2306,T2306)=1,1,0)</f>
        <v>0</v>
      </c>
    </row>
    <row r="2307" customFormat="false" ht="15" hidden="false" customHeight="false" outlineLevel="0" collapsed="false">
      <c r="A2307" s="13" t="s">
        <v>436</v>
      </c>
      <c r="B2307" s="13" t="s">
        <v>45</v>
      </c>
      <c r="C2307" s="13" t="n">
        <v>4600</v>
      </c>
      <c r="D2307" s="13" t="n">
        <v>5</v>
      </c>
      <c r="E2307" s="13" t="n">
        <v>758.5</v>
      </c>
      <c r="F2307" s="13" t="s">
        <v>5325</v>
      </c>
      <c r="G2307" s="13" t="s">
        <v>5289</v>
      </c>
      <c r="H2307" s="13" t="s">
        <v>5289</v>
      </c>
      <c r="I2307" s="13" t="s">
        <v>5289</v>
      </c>
      <c r="J2307" s="13" t="s">
        <v>5289</v>
      </c>
      <c r="K2307" s="13" t="s">
        <v>5289</v>
      </c>
      <c r="L2307" s="13"/>
      <c r="M2307" s="13"/>
      <c r="N2307" s="13" t="n">
        <v>8435415091275</v>
      </c>
      <c r="O2307" s="13"/>
      <c r="P2307" s="13" t="s">
        <v>5291</v>
      </c>
      <c r="Q2307" s="13" t="s">
        <v>5289</v>
      </c>
      <c r="R2307" s="13" t="s">
        <v>5292</v>
      </c>
      <c r="S2307" s="13" t="s">
        <v>5293</v>
      </c>
      <c r="T2307" s="13" t="s">
        <v>5</v>
      </c>
      <c r="U2307" s="13" t="s">
        <v>43</v>
      </c>
      <c r="V2307" s="13" t="n">
        <f aca="false">IF(COUNTIF($B$2:B2307,B2307)=1,1,0)</f>
        <v>0</v>
      </c>
      <c r="W2307" s="13" t="n">
        <f aca="false">IF(COUNTIFS($B$2:B2307,B2307,$T$2:T2307,T2307)=1,1,0)</f>
        <v>0</v>
      </c>
    </row>
    <row r="2308" customFormat="false" ht="15" hidden="false" customHeight="false" outlineLevel="0" collapsed="false">
      <c r="A2308" s="13" t="s">
        <v>576</v>
      </c>
      <c r="B2308" s="13" t="s">
        <v>103</v>
      </c>
      <c r="C2308" s="13" t="n">
        <v>4600</v>
      </c>
      <c r="D2308" s="13" t="n">
        <v>30</v>
      </c>
      <c r="E2308" s="13" t="n">
        <v>175</v>
      </c>
      <c r="F2308" s="13" t="s">
        <v>5325</v>
      </c>
      <c r="G2308" s="13" t="s">
        <v>5292</v>
      </c>
      <c r="H2308" s="13" t="s">
        <v>5289</v>
      </c>
      <c r="I2308" s="13" t="s">
        <v>5289</v>
      </c>
      <c r="J2308" s="13" t="s">
        <v>5289</v>
      </c>
      <c r="K2308" s="13" t="s">
        <v>5289</v>
      </c>
      <c r="L2308" s="13" t="n">
        <v>8411061930878</v>
      </c>
      <c r="M2308" s="13"/>
      <c r="N2308" s="13" t="n">
        <v>8411061930878</v>
      </c>
      <c r="O2308" s="13"/>
      <c r="P2308" s="13" t="s">
        <v>5291</v>
      </c>
      <c r="Q2308" s="13" t="s">
        <v>5289</v>
      </c>
      <c r="R2308" s="13" t="s">
        <v>5292</v>
      </c>
      <c r="S2308" s="13" t="s">
        <v>5293</v>
      </c>
      <c r="T2308" s="13" t="s">
        <v>5</v>
      </c>
      <c r="U2308" s="13" t="s">
        <v>43</v>
      </c>
      <c r="V2308" s="13" t="n">
        <f aca="false">IF(COUNTIF($B$2:B2308,B2308)=1,1,0)</f>
        <v>0</v>
      </c>
      <c r="W2308" s="13" t="n">
        <f aca="false">IF(COUNTIFS($B$2:B2308,B2308,$T$2:T2308,T2308)=1,1,0)</f>
        <v>0</v>
      </c>
    </row>
    <row r="2309" customFormat="false" ht="15" hidden="false" customHeight="false" outlineLevel="0" collapsed="false">
      <c r="A2309" s="13" t="s">
        <v>452</v>
      </c>
      <c r="B2309" s="13" t="s">
        <v>50</v>
      </c>
      <c r="C2309" s="13" t="n">
        <v>4500</v>
      </c>
      <c r="D2309" s="13" t="n">
        <v>5</v>
      </c>
      <c r="E2309" s="13" t="n">
        <v>649.991428571429</v>
      </c>
      <c r="F2309" s="13" t="s">
        <v>5325</v>
      </c>
      <c r="G2309" s="13" t="s">
        <v>5289</v>
      </c>
      <c r="H2309" s="13" t="s">
        <v>5289</v>
      </c>
      <c r="I2309" s="13" t="s">
        <v>5289</v>
      </c>
      <c r="J2309" s="13" t="s">
        <v>5289</v>
      </c>
      <c r="K2309" s="13" t="s">
        <v>5289</v>
      </c>
      <c r="L2309" s="13" t="n">
        <v>3349668630257</v>
      </c>
      <c r="M2309" s="13"/>
      <c r="N2309" s="13" t="n">
        <v>3349668630257</v>
      </c>
      <c r="O2309" s="13"/>
      <c r="P2309" s="13" t="s">
        <v>5291</v>
      </c>
      <c r="Q2309" s="13" t="s">
        <v>5289</v>
      </c>
      <c r="R2309" s="13" t="s">
        <v>5292</v>
      </c>
      <c r="S2309" s="13" t="s">
        <v>5293</v>
      </c>
      <c r="T2309" s="13" t="s">
        <v>5</v>
      </c>
      <c r="U2309" s="13" t="s">
        <v>43</v>
      </c>
      <c r="V2309" s="13" t="n">
        <f aca="false">IF(COUNTIF($B$2:B2309,B2309)=1,1,0)</f>
        <v>0</v>
      </c>
      <c r="W2309" s="13" t="n">
        <f aca="false">IF(COUNTIFS($B$2:B2309,B2309,$T$2:T2309,T2309)=1,1,0)</f>
        <v>0</v>
      </c>
    </row>
    <row r="2310" customFormat="false" ht="15" hidden="false" customHeight="false" outlineLevel="0" collapsed="false">
      <c r="A2310" s="13" t="s">
        <v>120</v>
      </c>
      <c r="B2310" s="13" t="s">
        <v>69</v>
      </c>
      <c r="C2310" s="13" t="n">
        <v>4500</v>
      </c>
      <c r="D2310" s="13" t="n">
        <v>5</v>
      </c>
      <c r="E2310" s="13" t="n">
        <v>504.1</v>
      </c>
      <c r="F2310" s="13" t="s">
        <v>5288</v>
      </c>
      <c r="G2310" s="13" t="s">
        <v>5292</v>
      </c>
      <c r="H2310" s="13" t="s">
        <v>5289</v>
      </c>
      <c r="I2310" s="13" t="s">
        <v>5289</v>
      </c>
      <c r="J2310" s="13" t="s">
        <v>5289</v>
      </c>
      <c r="K2310" s="13" t="s">
        <v>5289</v>
      </c>
      <c r="L2310" s="13" t="n">
        <v>3614273069533</v>
      </c>
      <c r="M2310" s="13"/>
      <c r="N2310" s="13" t="n">
        <v>3614273069533</v>
      </c>
      <c r="O2310" s="13"/>
      <c r="P2310" s="13" t="s">
        <v>5291</v>
      </c>
      <c r="Q2310" s="13" t="s">
        <v>5289</v>
      </c>
      <c r="R2310" s="13" t="s">
        <v>5292</v>
      </c>
      <c r="S2310" s="13" t="s">
        <v>5293</v>
      </c>
      <c r="T2310" s="13" t="s">
        <v>5</v>
      </c>
      <c r="U2310" s="13" t="s">
        <v>43</v>
      </c>
      <c r="V2310" s="13" t="n">
        <f aca="false">IF(COUNTIF($B$2:B2310,B2310)=1,1,0)</f>
        <v>0</v>
      </c>
      <c r="W2310" s="13" t="n">
        <f aca="false">IF(COUNTIFS($B$2:B2310,B2310,$T$2:T2310,T2310)=1,1,0)</f>
        <v>0</v>
      </c>
    </row>
    <row r="2311" customFormat="false" ht="15" hidden="false" customHeight="false" outlineLevel="0" collapsed="false">
      <c r="A2311" s="13" t="s">
        <v>581</v>
      </c>
      <c r="B2311" s="13" t="s">
        <v>193</v>
      </c>
      <c r="C2311" s="13" t="n">
        <v>4500</v>
      </c>
      <c r="D2311" s="13" t="n">
        <v>5</v>
      </c>
      <c r="E2311" s="13" t="n">
        <v>567.08</v>
      </c>
      <c r="F2311" s="13" t="s">
        <v>5288</v>
      </c>
      <c r="G2311" s="13" t="s">
        <v>5289</v>
      </c>
      <c r="H2311" s="13" t="s">
        <v>5292</v>
      </c>
      <c r="I2311" s="13" t="s">
        <v>5289</v>
      </c>
      <c r="J2311" s="13" t="s">
        <v>5289</v>
      </c>
      <c r="K2311" s="13" t="s">
        <v>5289</v>
      </c>
      <c r="L2311" s="13" t="n">
        <v>7908966570472</v>
      </c>
      <c r="M2311" s="13"/>
      <c r="N2311" s="13" t="n">
        <v>7908966570472</v>
      </c>
      <c r="O2311" s="13"/>
      <c r="P2311" s="13" t="s">
        <v>5291</v>
      </c>
      <c r="Q2311" s="13" t="s">
        <v>5289</v>
      </c>
      <c r="R2311" s="13" t="s">
        <v>5292</v>
      </c>
      <c r="S2311" s="13" t="s">
        <v>5293</v>
      </c>
      <c r="T2311" s="13" t="s">
        <v>5</v>
      </c>
      <c r="U2311" s="13" t="s">
        <v>43</v>
      </c>
      <c r="V2311" s="13" t="n">
        <f aca="false">IF(COUNTIF($B$2:B2311,B2311)=1,1,0)</f>
        <v>0</v>
      </c>
      <c r="W2311" s="13" t="n">
        <f aca="false">IF(COUNTIFS($B$2:B2311,B2311,$T$2:T2311,T2311)=1,1,0)</f>
        <v>0</v>
      </c>
    </row>
    <row r="2312" customFormat="false" ht="15" hidden="false" customHeight="false" outlineLevel="0" collapsed="false">
      <c r="A2312" s="13" t="s">
        <v>113</v>
      </c>
      <c r="B2312" s="13" t="s">
        <v>45</v>
      </c>
      <c r="C2312" s="13" t="n">
        <v>4500</v>
      </c>
      <c r="D2312" s="13" t="n">
        <v>5</v>
      </c>
      <c r="E2312" s="13" t="n">
        <v>755.03</v>
      </c>
      <c r="F2312" s="13" t="s">
        <v>5325</v>
      </c>
      <c r="G2312" s="13" t="s">
        <v>5289</v>
      </c>
      <c r="H2312" s="13" t="s">
        <v>5289</v>
      </c>
      <c r="I2312" s="13" t="s">
        <v>5289</v>
      </c>
      <c r="J2312" s="13" t="s">
        <v>5289</v>
      </c>
      <c r="K2312" s="13" t="s">
        <v>5289</v>
      </c>
      <c r="L2312" s="13" t="n">
        <v>8435415065191</v>
      </c>
      <c r="M2312" s="13"/>
      <c r="N2312" s="13" t="n">
        <v>8435415065191</v>
      </c>
      <c r="O2312" s="13"/>
      <c r="P2312" s="13" t="s">
        <v>5291</v>
      </c>
      <c r="Q2312" s="13" t="s">
        <v>5289</v>
      </c>
      <c r="R2312" s="13" t="s">
        <v>5292</v>
      </c>
      <c r="S2312" s="13" t="s">
        <v>5293</v>
      </c>
      <c r="T2312" s="13" t="s">
        <v>5</v>
      </c>
      <c r="U2312" s="13" t="s">
        <v>43</v>
      </c>
      <c r="V2312" s="13" t="n">
        <f aca="false">IF(COUNTIF($B$2:B2312,B2312)=1,1,0)</f>
        <v>0</v>
      </c>
      <c r="W2312" s="13" t="n">
        <f aca="false">IF(COUNTIFS($B$2:B2312,B2312,$T$2:T2312,T2312)=1,1,0)</f>
        <v>0</v>
      </c>
    </row>
    <row r="2313" customFormat="false" ht="15" hidden="false" customHeight="false" outlineLevel="0" collapsed="false">
      <c r="A2313" s="13" t="s">
        <v>580</v>
      </c>
      <c r="B2313" s="13" t="s">
        <v>79</v>
      </c>
      <c r="C2313" s="13" t="n">
        <v>4500</v>
      </c>
      <c r="D2313" s="13" t="n">
        <v>10</v>
      </c>
      <c r="E2313" s="13" t="n">
        <v>375</v>
      </c>
      <c r="F2313" s="13" t="s">
        <v>5325</v>
      </c>
      <c r="G2313" s="13" t="s">
        <v>5289</v>
      </c>
      <c r="H2313" s="13" t="s">
        <v>5289</v>
      </c>
      <c r="I2313" s="13" t="s">
        <v>5289</v>
      </c>
      <c r="J2313" s="13" t="s">
        <v>5289</v>
      </c>
      <c r="K2313" s="13" t="s">
        <v>5289</v>
      </c>
      <c r="L2313" s="13"/>
      <c r="M2313" s="13"/>
      <c r="N2313" s="13" t="n">
        <v>8057971183715</v>
      </c>
      <c r="O2313" s="13"/>
      <c r="P2313" s="13" t="s">
        <v>5291</v>
      </c>
      <c r="Q2313" s="13" t="s">
        <v>5289</v>
      </c>
      <c r="R2313" s="13" t="s">
        <v>5292</v>
      </c>
      <c r="S2313" s="13" t="s">
        <v>5293</v>
      </c>
      <c r="T2313" s="13" t="s">
        <v>5</v>
      </c>
      <c r="U2313" s="13" t="s">
        <v>43</v>
      </c>
      <c r="V2313" s="13" t="n">
        <f aca="false">IF(COUNTIF($B$2:B2313,B2313)=1,1,0)</f>
        <v>0</v>
      </c>
      <c r="W2313" s="13" t="n">
        <f aca="false">IF(COUNTIFS($B$2:B2313,B2313,$T$2:T2313,T2313)=1,1,0)</f>
        <v>0</v>
      </c>
    </row>
    <row r="2314" customFormat="false" ht="15" hidden="false" customHeight="false" outlineLevel="0" collapsed="false">
      <c r="A2314" s="13" t="s">
        <v>589</v>
      </c>
      <c r="B2314" s="13" t="s">
        <v>79</v>
      </c>
      <c r="C2314" s="13" t="n">
        <v>4400</v>
      </c>
      <c r="D2314" s="13" t="n">
        <v>10</v>
      </c>
      <c r="E2314" s="13" t="n">
        <v>369.808333333333</v>
      </c>
      <c r="F2314" s="13" t="s">
        <v>5325</v>
      </c>
      <c r="G2314" s="13" t="s">
        <v>5289</v>
      </c>
      <c r="H2314" s="13" t="s">
        <v>5289</v>
      </c>
      <c r="I2314" s="13" t="s">
        <v>5289</v>
      </c>
      <c r="J2314" s="13" t="s">
        <v>5289</v>
      </c>
      <c r="K2314" s="13" t="s">
        <v>5289</v>
      </c>
      <c r="L2314" s="13" t="n">
        <v>8056669927112</v>
      </c>
      <c r="M2314" s="13"/>
      <c r="N2314" s="13" t="n">
        <v>8056669927112</v>
      </c>
      <c r="O2314" s="13"/>
      <c r="P2314" s="13" t="s">
        <v>5291</v>
      </c>
      <c r="Q2314" s="13" t="s">
        <v>5289</v>
      </c>
      <c r="R2314" s="13" t="s">
        <v>5292</v>
      </c>
      <c r="S2314" s="13" t="s">
        <v>5293</v>
      </c>
      <c r="T2314" s="13" t="s">
        <v>5</v>
      </c>
      <c r="U2314" s="13" t="s">
        <v>43</v>
      </c>
      <c r="V2314" s="13" t="n">
        <f aca="false">IF(COUNTIF($B$2:B2314,B2314)=1,1,0)</f>
        <v>0</v>
      </c>
      <c r="W2314" s="13" t="n">
        <f aca="false">IF(COUNTIFS($B$2:B2314,B2314,$T$2:T2314,T2314)=1,1,0)</f>
        <v>0</v>
      </c>
    </row>
    <row r="2315" customFormat="false" ht="15" hidden="false" customHeight="false" outlineLevel="0" collapsed="false">
      <c r="A2315" s="13" t="s">
        <v>3123</v>
      </c>
      <c r="B2315" s="13" t="s">
        <v>2145</v>
      </c>
      <c r="C2315" s="13" t="n">
        <v>4400</v>
      </c>
      <c r="D2315" s="13" t="n">
        <v>10</v>
      </c>
      <c r="E2315" s="13" t="n">
        <v>402.941818181818</v>
      </c>
      <c r="F2315" s="13" t="s">
        <v>5325</v>
      </c>
      <c r="G2315" s="13" t="s">
        <v>5289</v>
      </c>
      <c r="H2315" s="13" t="s">
        <v>5289</v>
      </c>
      <c r="I2315" s="13" t="s">
        <v>5289</v>
      </c>
      <c r="J2315" s="13" t="s">
        <v>5289</v>
      </c>
      <c r="K2315" s="13" t="s">
        <v>5289</v>
      </c>
      <c r="L2315" s="13"/>
      <c r="M2315" s="13"/>
      <c r="N2315" s="13" t="n">
        <v>4064941156840</v>
      </c>
      <c r="O2315" s="13"/>
      <c r="P2315" s="13" t="s">
        <v>5291</v>
      </c>
      <c r="Q2315" s="13" t="s">
        <v>5289</v>
      </c>
      <c r="R2315" s="13" t="s">
        <v>5292</v>
      </c>
      <c r="S2315" s="13" t="s">
        <v>5293</v>
      </c>
      <c r="T2315" s="13" t="s">
        <v>5</v>
      </c>
      <c r="U2315" s="13" t="s">
        <v>43</v>
      </c>
      <c r="V2315" s="13" t="n">
        <f aca="false">IF(COUNTIF($B$2:B2315,B2315)=1,1,0)</f>
        <v>1</v>
      </c>
      <c r="W2315" s="13" t="n">
        <f aca="false">IF(COUNTIFS($B$2:B2315,B2315,$T$2:T2315,T2315)=1,1,0)</f>
        <v>1</v>
      </c>
    </row>
    <row r="2316" customFormat="false" ht="15" hidden="false" customHeight="false" outlineLevel="0" collapsed="false">
      <c r="A2316" s="13" t="s">
        <v>591</v>
      </c>
      <c r="B2316" s="13" t="s">
        <v>42</v>
      </c>
      <c r="C2316" s="13" t="n">
        <v>4400</v>
      </c>
      <c r="D2316" s="13" t="n">
        <v>5</v>
      </c>
      <c r="E2316" s="13" t="n">
        <v>880.44</v>
      </c>
      <c r="F2316" s="13" t="s">
        <v>5325</v>
      </c>
      <c r="G2316" s="13" t="s">
        <v>5289</v>
      </c>
      <c r="H2316" s="13" t="s">
        <v>5292</v>
      </c>
      <c r="I2316" s="13" t="s">
        <v>5289</v>
      </c>
      <c r="J2316" s="13" t="s">
        <v>5289</v>
      </c>
      <c r="K2316" s="13" t="s">
        <v>5289</v>
      </c>
      <c r="L2316" s="13"/>
      <c r="M2316" s="13"/>
      <c r="N2316" s="13" t="n">
        <v>8411061077160</v>
      </c>
      <c r="O2316" s="13"/>
      <c r="P2316" s="13" t="s">
        <v>5291</v>
      </c>
      <c r="Q2316" s="13" t="s">
        <v>5289</v>
      </c>
      <c r="R2316" s="13" t="s">
        <v>5292</v>
      </c>
      <c r="S2316" s="13" t="s">
        <v>5293</v>
      </c>
      <c r="T2316" s="13" t="s">
        <v>5</v>
      </c>
      <c r="U2316" s="13" t="s">
        <v>43</v>
      </c>
      <c r="V2316" s="13" t="n">
        <f aca="false">IF(COUNTIF($B$2:B2316,B2316)=1,1,0)</f>
        <v>0</v>
      </c>
      <c r="W2316" s="13" t="n">
        <f aca="false">IF(COUNTIFS($B$2:B2316,B2316,$T$2:T2316,T2316)=1,1,0)</f>
        <v>0</v>
      </c>
    </row>
    <row r="2317" customFormat="false" ht="15" hidden="false" customHeight="false" outlineLevel="0" collapsed="false">
      <c r="A2317" s="13" t="s">
        <v>590</v>
      </c>
      <c r="B2317" s="13" t="s">
        <v>121</v>
      </c>
      <c r="C2317" s="13" t="n">
        <v>4400</v>
      </c>
      <c r="D2317" s="13" t="n">
        <v>20</v>
      </c>
      <c r="E2317" s="13" t="n">
        <v>199.114090909091</v>
      </c>
      <c r="F2317" s="13" t="s">
        <v>5325</v>
      </c>
      <c r="G2317" s="13" t="s">
        <v>5289</v>
      </c>
      <c r="H2317" s="13" t="s">
        <v>5289</v>
      </c>
      <c r="I2317" s="13" t="s">
        <v>5289</v>
      </c>
      <c r="J2317" s="13" t="s">
        <v>5289</v>
      </c>
      <c r="K2317" s="13" t="s">
        <v>5289</v>
      </c>
      <c r="L2317" s="13" t="n">
        <v>7896086960788</v>
      </c>
      <c r="M2317" s="13"/>
      <c r="N2317" s="13" t="n">
        <v>7896086960788</v>
      </c>
      <c r="O2317" s="13"/>
      <c r="P2317" s="13" t="s">
        <v>5291</v>
      </c>
      <c r="Q2317" s="13" t="s">
        <v>5289</v>
      </c>
      <c r="R2317" s="13" t="s">
        <v>5292</v>
      </c>
      <c r="S2317" s="13" t="s">
        <v>5293</v>
      </c>
      <c r="T2317" s="13" t="s">
        <v>5</v>
      </c>
      <c r="U2317" s="13" t="s">
        <v>43</v>
      </c>
      <c r="V2317" s="13" t="n">
        <f aca="false">IF(COUNTIF($B$2:B2317,B2317)=1,1,0)</f>
        <v>0</v>
      </c>
      <c r="W2317" s="13" t="n">
        <f aca="false">IF(COUNTIFS($B$2:B2317,B2317,$T$2:T2317,T2317)=1,1,0)</f>
        <v>0</v>
      </c>
    </row>
    <row r="2318" customFormat="false" ht="15" hidden="false" customHeight="false" outlineLevel="0" collapsed="false">
      <c r="A2318" s="13" t="s">
        <v>46</v>
      </c>
      <c r="B2318" s="13" t="s">
        <v>45</v>
      </c>
      <c r="C2318" s="13" t="n">
        <v>4400</v>
      </c>
      <c r="D2318" s="13" t="n">
        <v>5</v>
      </c>
      <c r="E2318" s="13" t="n">
        <v>625.727142857143</v>
      </c>
      <c r="F2318" s="13" t="s">
        <v>5325</v>
      </c>
      <c r="G2318" s="13" t="s">
        <v>5289</v>
      </c>
      <c r="H2318" s="13" t="s">
        <v>5289</v>
      </c>
      <c r="I2318" s="13" t="s">
        <v>5289</v>
      </c>
      <c r="J2318" s="13" t="s">
        <v>5289</v>
      </c>
      <c r="K2318" s="13" t="s">
        <v>5289</v>
      </c>
      <c r="L2318" s="13"/>
      <c r="M2318" s="13"/>
      <c r="N2318" s="13" t="n">
        <v>8435415102339</v>
      </c>
      <c r="O2318" s="13"/>
      <c r="P2318" s="13" t="s">
        <v>5291</v>
      </c>
      <c r="Q2318" s="13" t="s">
        <v>5289</v>
      </c>
      <c r="R2318" s="13" t="s">
        <v>5292</v>
      </c>
      <c r="S2318" s="13" t="s">
        <v>5293</v>
      </c>
      <c r="T2318" s="13" t="s">
        <v>5</v>
      </c>
      <c r="U2318" s="13" t="s">
        <v>43</v>
      </c>
      <c r="V2318" s="13" t="n">
        <f aca="false">IF(COUNTIF($B$2:B2318,B2318)=1,1,0)</f>
        <v>0</v>
      </c>
      <c r="W2318" s="13" t="n">
        <f aca="false">IF(COUNTIFS($B$2:B2318,B2318,$T$2:T2318,T2318)=1,1,0)</f>
        <v>0</v>
      </c>
    </row>
    <row r="2319" customFormat="false" ht="15" hidden="false" customHeight="false" outlineLevel="0" collapsed="false">
      <c r="A2319" s="13" t="s">
        <v>593</v>
      </c>
      <c r="B2319" s="13" t="s">
        <v>153</v>
      </c>
      <c r="C2319" s="13" t="n">
        <v>4400</v>
      </c>
      <c r="D2319" s="13" t="n">
        <v>5</v>
      </c>
      <c r="E2319" s="13" t="n">
        <v>547.42875</v>
      </c>
      <c r="F2319" s="13" t="s">
        <v>5325</v>
      </c>
      <c r="G2319" s="13" t="s">
        <v>5289</v>
      </c>
      <c r="H2319" s="13" t="s">
        <v>5289</v>
      </c>
      <c r="I2319" s="13" t="s">
        <v>5289</v>
      </c>
      <c r="J2319" s="13" t="s">
        <v>5289</v>
      </c>
      <c r="K2319" s="13" t="s">
        <v>5289</v>
      </c>
      <c r="L2319" s="13" t="n">
        <v>8018365500037</v>
      </c>
      <c r="M2319" s="13"/>
      <c r="N2319" s="13" t="n">
        <v>1.28114853580183E+022</v>
      </c>
      <c r="O2319" s="13"/>
      <c r="P2319" s="13" t="s">
        <v>5291</v>
      </c>
      <c r="Q2319" s="13" t="s">
        <v>5289</v>
      </c>
      <c r="R2319" s="13" t="s">
        <v>5292</v>
      </c>
      <c r="S2319" s="13" t="s">
        <v>5293</v>
      </c>
      <c r="T2319" s="13" t="s">
        <v>5</v>
      </c>
      <c r="U2319" s="13" t="s">
        <v>43</v>
      </c>
      <c r="V2319" s="13" t="n">
        <f aca="false">IF(COUNTIF($B$2:B2319,B2319)=1,1,0)</f>
        <v>0</v>
      </c>
      <c r="W2319" s="13" t="n">
        <f aca="false">IF(COUNTIFS($B$2:B2319,B2319,$T$2:T2319,T2319)=1,1,0)</f>
        <v>0</v>
      </c>
    </row>
    <row r="2320" customFormat="false" ht="15" hidden="false" customHeight="false" outlineLevel="0" collapsed="false">
      <c r="A2320" s="13" t="s">
        <v>592</v>
      </c>
      <c r="B2320" s="13" t="s">
        <v>153</v>
      </c>
      <c r="C2320" s="13" t="n">
        <v>4400</v>
      </c>
      <c r="D2320" s="13" t="n">
        <v>10</v>
      </c>
      <c r="E2320" s="13" t="n">
        <v>396.8</v>
      </c>
      <c r="F2320" s="13" t="s">
        <v>5325</v>
      </c>
      <c r="G2320" s="13" t="s">
        <v>5289</v>
      </c>
      <c r="H2320" s="13" t="s">
        <v>5289</v>
      </c>
      <c r="I2320" s="13" t="s">
        <v>5289</v>
      </c>
      <c r="J2320" s="13" t="s">
        <v>5289</v>
      </c>
      <c r="K2320" s="13" t="s">
        <v>5289</v>
      </c>
      <c r="L2320" s="13"/>
      <c r="M2320" s="13"/>
      <c r="N2320" s="13" t="n">
        <v>8011003858545</v>
      </c>
      <c r="O2320" s="13"/>
      <c r="P2320" s="13" t="s">
        <v>5297</v>
      </c>
      <c r="Q2320" s="13" t="s">
        <v>5289</v>
      </c>
      <c r="R2320" s="13" t="s">
        <v>5292</v>
      </c>
      <c r="S2320" s="13" t="s">
        <v>5293</v>
      </c>
      <c r="T2320" s="13" t="s">
        <v>5</v>
      </c>
      <c r="U2320" s="13" t="s">
        <v>43</v>
      </c>
      <c r="V2320" s="13" t="n">
        <f aca="false">IF(COUNTIF($B$2:B2320,B2320)=1,1,0)</f>
        <v>0</v>
      </c>
      <c r="W2320" s="13" t="n">
        <f aca="false">IF(COUNTIFS($B$2:B2320,B2320,$T$2:T2320,T2320)=1,1,0)</f>
        <v>0</v>
      </c>
    </row>
    <row r="2321" customFormat="false" ht="15" hidden="false" customHeight="false" outlineLevel="0" collapsed="false">
      <c r="A2321" s="13" t="s">
        <v>594</v>
      </c>
      <c r="B2321" s="13" t="s">
        <v>42</v>
      </c>
      <c r="C2321" s="13" t="n">
        <v>4400</v>
      </c>
      <c r="D2321" s="13" t="n">
        <v>20</v>
      </c>
      <c r="E2321" s="13" t="n">
        <v>256.54</v>
      </c>
      <c r="F2321" s="13" t="s">
        <v>5325</v>
      </c>
      <c r="G2321" s="13" t="s">
        <v>5292</v>
      </c>
      <c r="H2321" s="13" t="s">
        <v>5292</v>
      </c>
      <c r="I2321" s="13" t="s">
        <v>5289</v>
      </c>
      <c r="J2321" s="13" t="s">
        <v>5289</v>
      </c>
      <c r="K2321" s="13" t="s">
        <v>5289</v>
      </c>
      <c r="L2321" s="13" t="n">
        <v>8411061906804</v>
      </c>
      <c r="M2321" s="13"/>
      <c r="N2321" s="13" t="n">
        <v>8411061906804</v>
      </c>
      <c r="O2321" s="13"/>
      <c r="P2321" s="13" t="s">
        <v>5297</v>
      </c>
      <c r="Q2321" s="13" t="s">
        <v>5289</v>
      </c>
      <c r="R2321" s="13" t="s">
        <v>5292</v>
      </c>
      <c r="S2321" s="13" t="s">
        <v>5293</v>
      </c>
      <c r="T2321" s="13" t="s">
        <v>5</v>
      </c>
      <c r="U2321" s="13" t="s">
        <v>43</v>
      </c>
      <c r="V2321" s="13" t="n">
        <f aca="false">IF(COUNTIF($B$2:B2321,B2321)=1,1,0)</f>
        <v>0</v>
      </c>
      <c r="W2321" s="13" t="n">
        <f aca="false">IF(COUNTIFS($B$2:B2321,B2321,$T$2:T2321,T2321)=1,1,0)</f>
        <v>0</v>
      </c>
    </row>
    <row r="2322" customFormat="false" ht="15" hidden="false" customHeight="false" outlineLevel="0" collapsed="false">
      <c r="A2322" s="13" t="s">
        <v>379</v>
      </c>
      <c r="B2322" s="13" t="s">
        <v>193</v>
      </c>
      <c r="C2322" s="13" t="n">
        <v>4400</v>
      </c>
      <c r="D2322" s="13" t="n">
        <v>10</v>
      </c>
      <c r="E2322" s="13" t="n">
        <v>396.193636363636</v>
      </c>
      <c r="F2322" s="13" t="s">
        <v>5325</v>
      </c>
      <c r="G2322" s="13" t="s">
        <v>5289</v>
      </c>
      <c r="H2322" s="13" t="s">
        <v>5289</v>
      </c>
      <c r="I2322" s="13" t="s">
        <v>5289</v>
      </c>
      <c r="J2322" s="13" t="s">
        <v>5289</v>
      </c>
      <c r="K2322" s="13" t="s">
        <v>5289</v>
      </c>
      <c r="L2322" s="13" t="n">
        <v>3614272907652</v>
      </c>
      <c r="M2322" s="13"/>
      <c r="N2322" s="13" t="n">
        <v>3614272907652</v>
      </c>
      <c r="O2322" s="13"/>
      <c r="P2322" s="13" t="s">
        <v>5291</v>
      </c>
      <c r="Q2322" s="13" t="s">
        <v>5289</v>
      </c>
      <c r="R2322" s="13" t="s">
        <v>5292</v>
      </c>
      <c r="S2322" s="13" t="s">
        <v>5293</v>
      </c>
      <c r="T2322" s="13" t="s">
        <v>5</v>
      </c>
      <c r="U2322" s="13" t="s">
        <v>43</v>
      </c>
      <c r="V2322" s="13" t="n">
        <f aca="false">IF(COUNTIF($B$2:B2322,B2322)=1,1,0)</f>
        <v>0</v>
      </c>
      <c r="W2322" s="13" t="n">
        <f aca="false">IF(COUNTIFS($B$2:B2322,B2322,$T$2:T2322,T2322)=1,1,0)</f>
        <v>0</v>
      </c>
    </row>
    <row r="2323" customFormat="false" ht="15" hidden="false" customHeight="false" outlineLevel="0" collapsed="false">
      <c r="A2323" s="13" t="s">
        <v>6371</v>
      </c>
      <c r="B2323" s="13" t="s">
        <v>2188</v>
      </c>
      <c r="C2323" s="13" t="n">
        <v>4400</v>
      </c>
      <c r="D2323" s="13" t="n">
        <v>5</v>
      </c>
      <c r="E2323" s="13" t="n">
        <v>725.68</v>
      </c>
      <c r="F2323" s="13" t="s">
        <v>5325</v>
      </c>
      <c r="G2323" s="13" t="s">
        <v>5289</v>
      </c>
      <c r="H2323" s="13" t="s">
        <v>5289</v>
      </c>
      <c r="I2323" s="13" t="s">
        <v>5289</v>
      </c>
      <c r="J2323" s="13" t="s">
        <v>5289</v>
      </c>
      <c r="K2323" s="13" t="s">
        <v>5289</v>
      </c>
      <c r="L2323" s="13" t="n">
        <v>768614102021</v>
      </c>
      <c r="M2323" s="13"/>
      <c r="N2323" s="13" t="n">
        <v>7.90841651360877E+024</v>
      </c>
      <c r="O2323" s="13"/>
      <c r="P2323" s="13" t="s">
        <v>5291</v>
      </c>
      <c r="Q2323" s="13" t="s">
        <v>5289</v>
      </c>
      <c r="R2323" s="13" t="s">
        <v>5292</v>
      </c>
      <c r="S2323" s="13" t="s">
        <v>5293</v>
      </c>
      <c r="T2323" s="13" t="s">
        <v>5</v>
      </c>
      <c r="U2323" s="13" t="s">
        <v>43</v>
      </c>
      <c r="V2323" s="13" t="n">
        <f aca="false">IF(COUNTIF($B$2:B2323,B2323)=1,1,0)</f>
        <v>1</v>
      </c>
      <c r="W2323" s="13" t="n">
        <f aca="false">IF(COUNTIFS($B$2:B2323,B2323,$T$2:T2323,T2323)=1,1,0)</f>
        <v>1</v>
      </c>
    </row>
    <row r="2324" customFormat="false" ht="15" hidden="false" customHeight="false" outlineLevel="0" collapsed="false">
      <c r="A2324" s="13" t="s">
        <v>528</v>
      </c>
      <c r="B2324" s="13" t="s">
        <v>195</v>
      </c>
      <c r="C2324" s="13" t="n">
        <v>4300</v>
      </c>
      <c r="D2324" s="13" t="n">
        <v>10</v>
      </c>
      <c r="E2324" s="13" t="n">
        <v>395.24</v>
      </c>
      <c r="F2324" s="13" t="s">
        <v>5325</v>
      </c>
      <c r="G2324" s="13" t="s">
        <v>5289</v>
      </c>
      <c r="H2324" s="13" t="s">
        <v>5289</v>
      </c>
      <c r="I2324" s="13" t="s">
        <v>5289</v>
      </c>
      <c r="J2324" s="13" t="s">
        <v>5289</v>
      </c>
      <c r="K2324" s="13" t="s">
        <v>5289</v>
      </c>
      <c r="L2324" s="13"/>
      <c r="M2324" s="13"/>
      <c r="N2324" s="13" t="n">
        <v>3616305181046</v>
      </c>
      <c r="O2324" s="13"/>
      <c r="P2324" s="13" t="s">
        <v>5291</v>
      </c>
      <c r="Q2324" s="13" t="s">
        <v>5289</v>
      </c>
      <c r="R2324" s="13" t="s">
        <v>5292</v>
      </c>
      <c r="S2324" s="13" t="s">
        <v>5293</v>
      </c>
      <c r="T2324" s="13" t="s">
        <v>5</v>
      </c>
      <c r="U2324" s="13" t="s">
        <v>43</v>
      </c>
      <c r="V2324" s="13" t="n">
        <f aca="false">IF(COUNTIF($B$2:B2324,B2324)=1,1,0)</f>
        <v>0</v>
      </c>
      <c r="W2324" s="13" t="n">
        <f aca="false">IF(COUNTIFS($B$2:B2324,B2324,$T$2:T2324,T2324)=1,1,0)</f>
        <v>0</v>
      </c>
    </row>
    <row r="2325" customFormat="false" ht="15" hidden="false" customHeight="false" outlineLevel="0" collapsed="false">
      <c r="A2325" s="13" t="s">
        <v>63</v>
      </c>
      <c r="B2325" s="13" t="s">
        <v>50</v>
      </c>
      <c r="C2325" s="13" t="n">
        <v>4300</v>
      </c>
      <c r="D2325" s="13" t="n">
        <v>5</v>
      </c>
      <c r="E2325" s="13" t="n">
        <v>869.13</v>
      </c>
      <c r="F2325" s="13" t="s">
        <v>5325</v>
      </c>
      <c r="G2325" s="13" t="s">
        <v>5292</v>
      </c>
      <c r="H2325" s="13" t="s">
        <v>5289</v>
      </c>
      <c r="I2325" s="13" t="s">
        <v>5289</v>
      </c>
      <c r="J2325" s="13" t="s">
        <v>5289</v>
      </c>
      <c r="K2325" s="13" t="s">
        <v>5289</v>
      </c>
      <c r="L2325" s="13" t="n">
        <v>3349668581948</v>
      </c>
      <c r="M2325" s="13"/>
      <c r="N2325" s="13" t="n">
        <v>3349668581948</v>
      </c>
      <c r="O2325" s="13"/>
      <c r="P2325" s="13" t="s">
        <v>5297</v>
      </c>
      <c r="Q2325" s="13" t="s">
        <v>5289</v>
      </c>
      <c r="R2325" s="13" t="s">
        <v>5292</v>
      </c>
      <c r="S2325" s="13" t="s">
        <v>5293</v>
      </c>
      <c r="T2325" s="13" t="s">
        <v>5</v>
      </c>
      <c r="U2325" s="13" t="s">
        <v>43</v>
      </c>
      <c r="V2325" s="13" t="n">
        <f aca="false">IF(COUNTIF($B$2:B2325,B2325)=1,1,0)</f>
        <v>0</v>
      </c>
      <c r="W2325" s="13" t="n">
        <f aca="false">IF(COUNTIFS($B$2:B2325,B2325,$T$2:T2325,T2325)=1,1,0)</f>
        <v>0</v>
      </c>
    </row>
    <row r="2326" customFormat="false" ht="15" hidden="false" customHeight="false" outlineLevel="0" collapsed="false">
      <c r="A2326" s="13" t="s">
        <v>600</v>
      </c>
      <c r="B2326" s="13" t="s">
        <v>50</v>
      </c>
      <c r="C2326" s="13" t="n">
        <v>4300</v>
      </c>
      <c r="D2326" s="13" t="n">
        <v>5</v>
      </c>
      <c r="E2326" s="13" t="n">
        <v>853.9</v>
      </c>
      <c r="F2326" s="13" t="s">
        <v>5325</v>
      </c>
      <c r="G2326" s="13" t="s">
        <v>5289</v>
      </c>
      <c r="H2326" s="13" t="s">
        <v>5292</v>
      </c>
      <c r="I2326" s="13" t="s">
        <v>5289</v>
      </c>
      <c r="J2326" s="13" t="s">
        <v>5289</v>
      </c>
      <c r="K2326" s="13" t="s">
        <v>5289</v>
      </c>
      <c r="L2326" s="13" t="n">
        <v>3349668664733</v>
      </c>
      <c r="M2326" s="13"/>
      <c r="N2326" s="13" t="n">
        <v>3349668664733</v>
      </c>
      <c r="O2326" s="13"/>
      <c r="P2326" s="13" t="s">
        <v>5291</v>
      </c>
      <c r="Q2326" s="13" t="s">
        <v>5289</v>
      </c>
      <c r="R2326" s="13" t="s">
        <v>5292</v>
      </c>
      <c r="S2326" s="13" t="s">
        <v>5293</v>
      </c>
      <c r="T2326" s="13" t="s">
        <v>5</v>
      </c>
      <c r="U2326" s="13" t="s">
        <v>43</v>
      </c>
      <c r="V2326" s="13" t="n">
        <f aca="false">IF(COUNTIF($B$2:B2326,B2326)=1,1,0)</f>
        <v>0</v>
      </c>
      <c r="W2326" s="13" t="n">
        <f aca="false">IF(COUNTIFS($B$2:B2326,B2326,$T$2:T2326,T2326)=1,1,0)</f>
        <v>0</v>
      </c>
    </row>
    <row r="2327" customFormat="false" ht="15" hidden="false" customHeight="false" outlineLevel="0" collapsed="false">
      <c r="A2327" s="13" t="s">
        <v>601</v>
      </c>
      <c r="B2327" s="13" t="s">
        <v>42</v>
      </c>
      <c r="C2327" s="13" t="n">
        <v>4300</v>
      </c>
      <c r="D2327" s="13" t="n">
        <v>20</v>
      </c>
      <c r="E2327" s="13" t="n">
        <v>194.021363636364</v>
      </c>
      <c r="F2327" s="13" t="s">
        <v>5288</v>
      </c>
      <c r="G2327" s="13" t="s">
        <v>5292</v>
      </c>
      <c r="H2327" s="13" t="s">
        <v>5289</v>
      </c>
      <c r="I2327" s="13" t="s">
        <v>5289</v>
      </c>
      <c r="J2327" s="13" t="s">
        <v>5289</v>
      </c>
      <c r="K2327" s="13" t="s">
        <v>5289</v>
      </c>
      <c r="L2327" s="13" t="n">
        <v>8411061959367</v>
      </c>
      <c r="M2327" s="13"/>
      <c r="N2327" s="13" t="n">
        <v>8411061959367</v>
      </c>
      <c r="O2327" s="13"/>
      <c r="P2327" s="13" t="s">
        <v>5297</v>
      </c>
      <c r="Q2327" s="13" t="s">
        <v>5289</v>
      </c>
      <c r="R2327" s="13" t="s">
        <v>5292</v>
      </c>
      <c r="S2327" s="13" t="s">
        <v>5293</v>
      </c>
      <c r="T2327" s="13" t="s">
        <v>5</v>
      </c>
      <c r="U2327" s="13" t="s">
        <v>43</v>
      </c>
      <c r="V2327" s="13" t="n">
        <f aca="false">IF(COUNTIF($B$2:B2327,B2327)=1,1,0)</f>
        <v>0</v>
      </c>
      <c r="W2327" s="13" t="n">
        <f aca="false">IF(COUNTIFS($B$2:B2327,B2327,$T$2:T2327,T2327)=1,1,0)</f>
        <v>0</v>
      </c>
    </row>
    <row r="2328" customFormat="false" ht="15" hidden="false" customHeight="false" outlineLevel="0" collapsed="false">
      <c r="A2328" s="13" t="s">
        <v>213</v>
      </c>
      <c r="B2328" s="13" t="s">
        <v>42</v>
      </c>
      <c r="C2328" s="13" t="n">
        <v>4300</v>
      </c>
      <c r="D2328" s="13" t="n">
        <v>5</v>
      </c>
      <c r="E2328" s="13" t="n">
        <v>710.97</v>
      </c>
      <c r="F2328" s="13" t="s">
        <v>5325</v>
      </c>
      <c r="G2328" s="13" t="s">
        <v>5289</v>
      </c>
      <c r="H2328" s="13" t="s">
        <v>5289</v>
      </c>
      <c r="I2328" s="13" t="s">
        <v>5289</v>
      </c>
      <c r="J2328" s="13" t="s">
        <v>5289</v>
      </c>
      <c r="K2328" s="13" t="s">
        <v>5289</v>
      </c>
      <c r="L2328" s="13" t="n">
        <v>8411061865439</v>
      </c>
      <c r="M2328" s="13"/>
      <c r="N2328" s="13" t="n">
        <v>8411061865439</v>
      </c>
      <c r="O2328" s="13"/>
      <c r="P2328" s="13" t="s">
        <v>5291</v>
      </c>
      <c r="Q2328" s="13" t="s">
        <v>5289</v>
      </c>
      <c r="R2328" s="13" t="s">
        <v>5292</v>
      </c>
      <c r="S2328" s="13" t="s">
        <v>5293</v>
      </c>
      <c r="T2328" s="13" t="s">
        <v>5</v>
      </c>
      <c r="U2328" s="13" t="s">
        <v>43</v>
      </c>
      <c r="V2328" s="13" t="n">
        <f aca="false">IF(COUNTIF($B$2:B2328,B2328)=1,1,0)</f>
        <v>0</v>
      </c>
      <c r="W2328" s="13" t="n">
        <f aca="false">IF(COUNTIFS($B$2:B2328,B2328,$T$2:T2328,T2328)=1,1,0)</f>
        <v>0</v>
      </c>
    </row>
    <row r="2329" customFormat="false" ht="15" hidden="false" customHeight="false" outlineLevel="0" collapsed="false">
      <c r="A2329" s="13" t="s">
        <v>604</v>
      </c>
      <c r="B2329" s="13" t="s">
        <v>195</v>
      </c>
      <c r="C2329" s="13" t="n">
        <v>4200</v>
      </c>
      <c r="D2329" s="13" t="n">
        <v>5</v>
      </c>
      <c r="E2329" s="13" t="n">
        <v>528</v>
      </c>
      <c r="F2329" s="13" t="s">
        <v>5325</v>
      </c>
      <c r="G2329" s="13" t="s">
        <v>5289</v>
      </c>
      <c r="H2329" s="13" t="s">
        <v>5289</v>
      </c>
      <c r="I2329" s="13" t="s">
        <v>5289</v>
      </c>
      <c r="J2329" s="13" t="s">
        <v>5289</v>
      </c>
      <c r="K2329" s="13" t="s">
        <v>5289</v>
      </c>
      <c r="L2329" s="13" t="n">
        <v>3616302020676</v>
      </c>
      <c r="M2329" s="13"/>
      <c r="N2329" s="13" t="n">
        <v>3616302020676</v>
      </c>
      <c r="O2329" s="13"/>
      <c r="P2329" s="13" t="s">
        <v>5297</v>
      </c>
      <c r="Q2329" s="13" t="s">
        <v>5289</v>
      </c>
      <c r="R2329" s="13" t="s">
        <v>5292</v>
      </c>
      <c r="S2329" s="13" t="s">
        <v>5293</v>
      </c>
      <c r="T2329" s="13" t="s">
        <v>5</v>
      </c>
      <c r="U2329" s="13" t="s">
        <v>43</v>
      </c>
      <c r="V2329" s="13" t="n">
        <f aca="false">IF(COUNTIF($B$2:B2329,B2329)=1,1,0)</f>
        <v>0</v>
      </c>
      <c r="W2329" s="13" t="n">
        <f aca="false">IF(COUNTIFS($B$2:B2329,B2329,$T$2:T2329,T2329)=1,1,0)</f>
        <v>0</v>
      </c>
    </row>
    <row r="2330" customFormat="false" ht="15" hidden="false" customHeight="false" outlineLevel="0" collapsed="false">
      <c r="A2330" s="13" t="s">
        <v>603</v>
      </c>
      <c r="B2330" s="13" t="s">
        <v>54</v>
      </c>
      <c r="C2330" s="13" t="n">
        <v>4200</v>
      </c>
      <c r="D2330" s="13" t="n">
        <v>5</v>
      </c>
      <c r="E2330" s="13" t="n">
        <v>527.5325</v>
      </c>
      <c r="F2330" s="13" t="s">
        <v>5325</v>
      </c>
      <c r="G2330" s="13" t="s">
        <v>5289</v>
      </c>
      <c r="H2330" s="13" t="s">
        <v>5289</v>
      </c>
      <c r="I2330" s="13" t="s">
        <v>5289</v>
      </c>
      <c r="J2330" s="13" t="s">
        <v>5289</v>
      </c>
      <c r="K2330" s="13" t="s">
        <v>5292</v>
      </c>
      <c r="L2330" s="13" t="n">
        <v>768614228455</v>
      </c>
      <c r="M2330" s="13"/>
      <c r="N2330" s="13" t="n">
        <v>768614228455</v>
      </c>
      <c r="O2330" s="13"/>
      <c r="P2330" s="13" t="s">
        <v>5291</v>
      </c>
      <c r="Q2330" s="13" t="s">
        <v>5289</v>
      </c>
      <c r="R2330" s="13" t="s">
        <v>5292</v>
      </c>
      <c r="S2330" s="13" t="s">
        <v>5293</v>
      </c>
      <c r="T2330" s="13" t="s">
        <v>5</v>
      </c>
      <c r="U2330" s="13" t="s">
        <v>43</v>
      </c>
      <c r="V2330" s="13" t="n">
        <f aca="false">IF(COUNTIF($B$2:B2330,B2330)=1,1,0)</f>
        <v>0</v>
      </c>
      <c r="W2330" s="13" t="n">
        <f aca="false">IF(COUNTIFS($B$2:B2330,B2330,$T$2:T2330,T2330)=1,1,0)</f>
        <v>0</v>
      </c>
    </row>
    <row r="2331" customFormat="false" ht="15" hidden="false" customHeight="false" outlineLevel="0" collapsed="false">
      <c r="A2331" s="13" t="s">
        <v>343</v>
      </c>
      <c r="B2331" s="13" t="s">
        <v>79</v>
      </c>
      <c r="C2331" s="13" t="n">
        <v>4200</v>
      </c>
      <c r="D2331" s="13" t="n">
        <v>5</v>
      </c>
      <c r="E2331" s="13" t="n">
        <v>416.8</v>
      </c>
      <c r="F2331" s="13" t="s">
        <v>5288</v>
      </c>
      <c r="G2331" s="13" t="s">
        <v>5289</v>
      </c>
      <c r="H2331" s="13" t="s">
        <v>5289</v>
      </c>
      <c r="I2331" s="13" t="s">
        <v>5289</v>
      </c>
      <c r="J2331" s="13" t="s">
        <v>5289</v>
      </c>
      <c r="K2331" s="13" t="s">
        <v>5289</v>
      </c>
      <c r="L2331" s="13" t="n">
        <v>8056669925774</v>
      </c>
      <c r="M2331" s="13"/>
      <c r="N2331" s="13" t="n">
        <v>8056669925774</v>
      </c>
      <c r="O2331" s="13"/>
      <c r="P2331" s="13" t="s">
        <v>5297</v>
      </c>
      <c r="Q2331" s="13" t="s">
        <v>5289</v>
      </c>
      <c r="R2331" s="13" t="s">
        <v>5292</v>
      </c>
      <c r="S2331" s="13" t="s">
        <v>5293</v>
      </c>
      <c r="T2331" s="13" t="s">
        <v>5</v>
      </c>
      <c r="U2331" s="13" t="s">
        <v>43</v>
      </c>
      <c r="V2331" s="13" t="n">
        <f aca="false">IF(COUNTIF($B$2:B2331,B2331)=1,1,0)</f>
        <v>0</v>
      </c>
      <c r="W2331" s="13" t="n">
        <f aca="false">IF(COUNTIFS($B$2:B2331,B2331,$T$2:T2331,T2331)=1,1,0)</f>
        <v>0</v>
      </c>
    </row>
    <row r="2332" customFormat="false" ht="15" hidden="false" customHeight="false" outlineLevel="0" collapsed="false">
      <c r="A2332" s="13" t="s">
        <v>607</v>
      </c>
      <c r="B2332" s="13" t="s">
        <v>42</v>
      </c>
      <c r="C2332" s="13" t="n">
        <v>4100</v>
      </c>
      <c r="D2332" s="13" t="n">
        <v>5</v>
      </c>
      <c r="E2332" s="13" t="n">
        <v>588.201428571429</v>
      </c>
      <c r="F2332" s="13" t="s">
        <v>5325</v>
      </c>
      <c r="G2332" s="13" t="s">
        <v>5289</v>
      </c>
      <c r="H2332" s="13" t="s">
        <v>5292</v>
      </c>
      <c r="I2332" s="13" t="s">
        <v>5289</v>
      </c>
      <c r="J2332" s="13" t="s">
        <v>5289</v>
      </c>
      <c r="K2332" s="13" t="s">
        <v>5289</v>
      </c>
      <c r="L2332" s="13" t="n">
        <v>8411061058466</v>
      </c>
      <c r="M2332" s="13"/>
      <c r="N2332" s="13" t="n">
        <v>8411061058466</v>
      </c>
      <c r="O2332" s="13"/>
      <c r="P2332" s="13" t="s">
        <v>5291</v>
      </c>
      <c r="Q2332" s="13" t="s">
        <v>5289</v>
      </c>
      <c r="R2332" s="13" t="s">
        <v>5292</v>
      </c>
      <c r="S2332" s="13" t="s">
        <v>5293</v>
      </c>
      <c r="T2332" s="13" t="s">
        <v>5</v>
      </c>
      <c r="U2332" s="13" t="s">
        <v>43</v>
      </c>
      <c r="V2332" s="13" t="n">
        <f aca="false">IF(COUNTIF($B$2:B2332,B2332)=1,1,0)</f>
        <v>0</v>
      </c>
      <c r="W2332" s="13" t="n">
        <f aca="false">IF(COUNTIFS($B$2:B2332,B2332,$T$2:T2332,T2332)=1,1,0)</f>
        <v>0</v>
      </c>
    </row>
    <row r="2333" customFormat="false" ht="15" hidden="false" customHeight="false" outlineLevel="0" collapsed="false">
      <c r="A2333" s="13" t="s">
        <v>606</v>
      </c>
      <c r="B2333" s="13" t="s">
        <v>153</v>
      </c>
      <c r="C2333" s="13" t="n">
        <v>4100</v>
      </c>
      <c r="D2333" s="13" t="n">
        <v>5</v>
      </c>
      <c r="E2333" s="13" t="n">
        <v>514</v>
      </c>
      <c r="F2333" s="13" t="s">
        <v>5325</v>
      </c>
      <c r="G2333" s="13" t="s">
        <v>5289</v>
      </c>
      <c r="H2333" s="13" t="s">
        <v>5289</v>
      </c>
      <c r="I2333" s="13" t="s">
        <v>5289</v>
      </c>
      <c r="J2333" s="13" t="s">
        <v>5289</v>
      </c>
      <c r="K2333" s="13" t="s">
        <v>5289</v>
      </c>
      <c r="L2333" s="13"/>
      <c r="M2333" s="13"/>
      <c r="N2333" s="13" t="n">
        <v>8011003890804</v>
      </c>
      <c r="O2333" s="13"/>
      <c r="P2333" s="13" t="s">
        <v>5297</v>
      </c>
      <c r="Q2333" s="13" t="s">
        <v>5289</v>
      </c>
      <c r="R2333" s="13" t="s">
        <v>5292</v>
      </c>
      <c r="S2333" s="13" t="s">
        <v>5293</v>
      </c>
      <c r="T2333" s="13" t="s">
        <v>5</v>
      </c>
      <c r="U2333" s="13" t="s">
        <v>43</v>
      </c>
      <c r="V2333" s="13" t="n">
        <f aca="false">IF(COUNTIF($B$2:B2333,B2333)=1,1,0)</f>
        <v>0</v>
      </c>
      <c r="W2333" s="13" t="n">
        <f aca="false">IF(COUNTIFS($B$2:B2333,B2333,$T$2:T2333,T2333)=1,1,0)</f>
        <v>0</v>
      </c>
    </row>
    <row r="2334" customFormat="false" ht="15" hidden="false" customHeight="false" outlineLevel="0" collapsed="false">
      <c r="A2334" s="13" t="s">
        <v>6372</v>
      </c>
      <c r="B2334" s="13" t="s">
        <v>2127</v>
      </c>
      <c r="C2334" s="13" t="n">
        <v>4100</v>
      </c>
      <c r="D2334" s="13" t="n">
        <v>60</v>
      </c>
      <c r="E2334" s="13" t="n">
        <v>68.4991666666667</v>
      </c>
      <c r="F2334" s="13" t="s">
        <v>5325</v>
      </c>
      <c r="G2334" s="13" t="s">
        <v>5289</v>
      </c>
      <c r="H2334" s="13" t="s">
        <v>5289</v>
      </c>
      <c r="I2334" s="13" t="s">
        <v>5292</v>
      </c>
      <c r="J2334" s="13" t="s">
        <v>5289</v>
      </c>
      <c r="K2334" s="13" t="s">
        <v>5289</v>
      </c>
      <c r="L2334" s="13" t="n">
        <v>19045108138</v>
      </c>
      <c r="M2334" s="13"/>
      <c r="N2334" s="13" t="n">
        <v>19045108138</v>
      </c>
      <c r="O2334" s="13"/>
      <c r="P2334" s="13" t="s">
        <v>5291</v>
      </c>
      <c r="Q2334" s="13" t="s">
        <v>5289</v>
      </c>
      <c r="R2334" s="13" t="s">
        <v>5292</v>
      </c>
      <c r="S2334" s="13" t="s">
        <v>5293</v>
      </c>
      <c r="T2334" s="13" t="s">
        <v>5</v>
      </c>
      <c r="U2334" s="13" t="s">
        <v>85</v>
      </c>
      <c r="V2334" s="13" t="n">
        <f aca="false">IF(COUNTIF($B$2:B2334,B2334)=1,1,0)</f>
        <v>0</v>
      </c>
      <c r="W2334" s="13" t="n">
        <f aca="false">IF(COUNTIFS($B$2:B2334,B2334,$T$2:T2334,T2334)=1,1,0)</f>
        <v>0</v>
      </c>
    </row>
    <row r="2335" customFormat="false" ht="15" hidden="false" customHeight="false" outlineLevel="0" collapsed="false">
      <c r="A2335" s="13" t="s">
        <v>554</v>
      </c>
      <c r="B2335" s="13" t="s">
        <v>315</v>
      </c>
      <c r="C2335" s="13" t="n">
        <v>4100</v>
      </c>
      <c r="D2335" s="13" t="n">
        <v>5</v>
      </c>
      <c r="E2335" s="13" t="n">
        <v>814.59</v>
      </c>
      <c r="F2335" s="13" t="s">
        <v>5325</v>
      </c>
      <c r="G2335" s="13" t="s">
        <v>5289</v>
      </c>
      <c r="H2335" s="13" t="s">
        <v>5289</v>
      </c>
      <c r="I2335" s="13" t="s">
        <v>5289</v>
      </c>
      <c r="J2335" s="13" t="s">
        <v>5289</v>
      </c>
      <c r="K2335" s="13" t="s">
        <v>5289</v>
      </c>
      <c r="L2335" s="13" t="n">
        <v>3605971100413</v>
      </c>
      <c r="M2335" s="13"/>
      <c r="N2335" s="13" t="n">
        <v>3605971100413</v>
      </c>
      <c r="O2335" s="13"/>
      <c r="P2335" s="13" t="s">
        <v>5291</v>
      </c>
      <c r="Q2335" s="13" t="s">
        <v>5289</v>
      </c>
      <c r="R2335" s="13" t="s">
        <v>5292</v>
      </c>
      <c r="S2335" s="13" t="s">
        <v>5293</v>
      </c>
      <c r="T2335" s="13" t="s">
        <v>5</v>
      </c>
      <c r="U2335" s="13" t="s">
        <v>43</v>
      </c>
      <c r="V2335" s="13" t="n">
        <f aca="false">IF(COUNTIF($B$2:B2335,B2335)=1,1,0)</f>
        <v>0</v>
      </c>
      <c r="W2335" s="13" t="n">
        <f aca="false">IF(COUNTIFS($B$2:B2335,B2335,$T$2:T2335,T2335)=1,1,0)</f>
        <v>0</v>
      </c>
    </row>
    <row r="2336" customFormat="false" ht="15" hidden="false" customHeight="false" outlineLevel="0" collapsed="false">
      <c r="A2336" s="13" t="s">
        <v>612</v>
      </c>
      <c r="B2336" s="13" t="s">
        <v>79</v>
      </c>
      <c r="C2336" s="13" t="n">
        <v>4000</v>
      </c>
      <c r="D2336" s="13" t="n">
        <v>5</v>
      </c>
      <c r="E2336" s="13" t="n">
        <v>669.641666666667</v>
      </c>
      <c r="F2336" s="13" t="s">
        <v>5325</v>
      </c>
      <c r="G2336" s="13" t="s">
        <v>5289</v>
      </c>
      <c r="H2336" s="13" t="s">
        <v>5292</v>
      </c>
      <c r="I2336" s="13" t="s">
        <v>5289</v>
      </c>
      <c r="J2336" s="13" t="s">
        <v>5289</v>
      </c>
      <c r="K2336" s="13" t="s">
        <v>5289</v>
      </c>
      <c r="L2336" s="13" t="n">
        <v>3423473020233</v>
      </c>
      <c r="M2336" s="13"/>
      <c r="N2336" s="13" t="n">
        <v>3423473020233</v>
      </c>
      <c r="O2336" s="13"/>
      <c r="P2336" s="13" t="s">
        <v>5291</v>
      </c>
      <c r="Q2336" s="13" t="s">
        <v>5289</v>
      </c>
      <c r="R2336" s="13" t="s">
        <v>5292</v>
      </c>
      <c r="S2336" s="13" t="s">
        <v>5293</v>
      </c>
      <c r="T2336" s="13" t="s">
        <v>5</v>
      </c>
      <c r="U2336" s="13" t="s">
        <v>43</v>
      </c>
      <c r="V2336" s="13" t="n">
        <f aca="false">IF(COUNTIF($B$2:B2336,B2336)=1,1,0)</f>
        <v>0</v>
      </c>
      <c r="W2336" s="13" t="n">
        <f aca="false">IF(COUNTIFS($B$2:B2336,B2336,$T$2:T2336,T2336)=1,1,0)</f>
        <v>0</v>
      </c>
    </row>
    <row r="2337" customFormat="false" ht="15" hidden="false" customHeight="false" outlineLevel="0" collapsed="false">
      <c r="A2337" s="13" t="s">
        <v>613</v>
      </c>
      <c r="B2337" s="13" t="s">
        <v>153</v>
      </c>
      <c r="C2337" s="13" t="n">
        <v>4000</v>
      </c>
      <c r="D2337" s="13" t="n">
        <v>5</v>
      </c>
      <c r="E2337" s="13" t="n">
        <v>668.643333333333</v>
      </c>
      <c r="F2337" s="13" t="s">
        <v>5325</v>
      </c>
      <c r="G2337" s="13" t="s">
        <v>5289</v>
      </c>
      <c r="H2337" s="13" t="s">
        <v>5289</v>
      </c>
      <c r="I2337" s="13" t="s">
        <v>5289</v>
      </c>
      <c r="J2337" s="13" t="s">
        <v>5289</v>
      </c>
      <c r="K2337" s="13" t="s">
        <v>5289</v>
      </c>
      <c r="L2337" s="13" t="n">
        <v>8011003839117</v>
      </c>
      <c r="M2337" s="13"/>
      <c r="N2337" s="13" t="n">
        <v>8011003839117</v>
      </c>
      <c r="O2337" s="13"/>
      <c r="P2337" s="13" t="s">
        <v>5291</v>
      </c>
      <c r="Q2337" s="13" t="s">
        <v>5289</v>
      </c>
      <c r="R2337" s="13" t="s">
        <v>5292</v>
      </c>
      <c r="S2337" s="13" t="s">
        <v>5293</v>
      </c>
      <c r="T2337" s="13" t="s">
        <v>5</v>
      </c>
      <c r="U2337" s="13" t="s">
        <v>43</v>
      </c>
      <c r="V2337" s="13" t="n">
        <f aca="false">IF(COUNTIF($B$2:B2337,B2337)=1,1,0)</f>
        <v>0</v>
      </c>
      <c r="W2337" s="13" t="n">
        <f aca="false">IF(COUNTIFS($B$2:B2337,B2337,$T$2:T2337,T2337)=1,1,0)</f>
        <v>0</v>
      </c>
    </row>
    <row r="2338" customFormat="false" ht="15" hidden="false" customHeight="false" outlineLevel="0" collapsed="false">
      <c r="A2338" s="13" t="s">
        <v>47</v>
      </c>
      <c r="B2338" s="13" t="s">
        <v>42</v>
      </c>
      <c r="C2338" s="13" t="n">
        <v>4000</v>
      </c>
      <c r="D2338" s="13" t="n">
        <v>5</v>
      </c>
      <c r="E2338" s="13" t="n">
        <v>665.24</v>
      </c>
      <c r="F2338" s="13" t="s">
        <v>5325</v>
      </c>
      <c r="G2338" s="13" t="s">
        <v>5289</v>
      </c>
      <c r="H2338" s="13" t="s">
        <v>5289</v>
      </c>
      <c r="I2338" s="13" t="s">
        <v>5289</v>
      </c>
      <c r="J2338" s="13" t="s">
        <v>5289</v>
      </c>
      <c r="K2338" s="13" t="s">
        <v>5289</v>
      </c>
      <c r="L2338" s="13" t="n">
        <v>8411061869376</v>
      </c>
      <c r="M2338" s="13"/>
      <c r="N2338" s="13" t="n">
        <v>8.41106186937684E+025</v>
      </c>
      <c r="O2338" s="13"/>
      <c r="P2338" s="13" t="s">
        <v>5291</v>
      </c>
      <c r="Q2338" s="13" t="s">
        <v>5289</v>
      </c>
      <c r="R2338" s="13" t="s">
        <v>5292</v>
      </c>
      <c r="S2338" s="13" t="s">
        <v>5293</v>
      </c>
      <c r="T2338" s="13" t="s">
        <v>5</v>
      </c>
      <c r="U2338" s="13" t="s">
        <v>43</v>
      </c>
      <c r="V2338" s="13" t="n">
        <f aca="false">IF(COUNTIF($B$2:B2338,B2338)=1,1,0)</f>
        <v>0</v>
      </c>
      <c r="W2338" s="13" t="n">
        <f aca="false">IF(COUNTIFS($B$2:B2338,B2338,$T$2:T2338,T2338)=1,1,0)</f>
        <v>0</v>
      </c>
    </row>
    <row r="2339" customFormat="false" ht="15" hidden="false" customHeight="false" outlineLevel="0" collapsed="false">
      <c r="A2339" s="13" t="s">
        <v>614</v>
      </c>
      <c r="B2339" s="13" t="s">
        <v>50</v>
      </c>
      <c r="C2339" s="13" t="n">
        <v>4000</v>
      </c>
      <c r="D2339" s="13" t="n">
        <v>5</v>
      </c>
      <c r="E2339" s="13" t="n">
        <v>399</v>
      </c>
      <c r="F2339" s="13" t="s">
        <v>5325</v>
      </c>
      <c r="G2339" s="13" t="s">
        <v>5289</v>
      </c>
      <c r="H2339" s="13" t="s">
        <v>5292</v>
      </c>
      <c r="I2339" s="13" t="s">
        <v>5289</v>
      </c>
      <c r="J2339" s="13" t="s">
        <v>5289</v>
      </c>
      <c r="K2339" s="13" t="s">
        <v>5289</v>
      </c>
      <c r="L2339" s="13" t="n">
        <v>3349668021345</v>
      </c>
      <c r="M2339" s="13"/>
      <c r="N2339" s="13" t="n">
        <v>3349668021345</v>
      </c>
      <c r="O2339" s="13"/>
      <c r="P2339" s="13" t="s">
        <v>5291</v>
      </c>
      <c r="Q2339" s="13" t="s">
        <v>5289</v>
      </c>
      <c r="R2339" s="13" t="s">
        <v>5292</v>
      </c>
      <c r="S2339" s="13" t="s">
        <v>5293</v>
      </c>
      <c r="T2339" s="13" t="s">
        <v>5</v>
      </c>
      <c r="U2339" s="13" t="s">
        <v>43</v>
      </c>
      <c r="V2339" s="13" t="n">
        <f aca="false">IF(COUNTIF($B$2:B2339,B2339)=1,1,0)</f>
        <v>0</v>
      </c>
      <c r="W2339" s="13" t="n">
        <f aca="false">IF(COUNTIFS($B$2:B2339,B2339,$T$2:T2339,T2339)=1,1,0)</f>
        <v>0</v>
      </c>
    </row>
    <row r="2340" customFormat="false" ht="15" hidden="false" customHeight="false" outlineLevel="0" collapsed="false">
      <c r="A2340" s="13" t="s">
        <v>6373</v>
      </c>
      <c r="B2340" s="13" t="s">
        <v>2118</v>
      </c>
      <c r="C2340" s="13" t="n">
        <v>4000</v>
      </c>
      <c r="D2340" s="13" t="n">
        <v>5</v>
      </c>
      <c r="E2340" s="13" t="n">
        <v>568</v>
      </c>
      <c r="F2340" s="13" t="s">
        <v>5288</v>
      </c>
      <c r="G2340" s="13" t="s">
        <v>5289</v>
      </c>
      <c r="H2340" s="13" t="s">
        <v>5292</v>
      </c>
      <c r="I2340" s="13" t="s">
        <v>5289</v>
      </c>
      <c r="J2340" s="13" t="s">
        <v>5289</v>
      </c>
      <c r="K2340" s="13" t="s">
        <v>5289</v>
      </c>
      <c r="L2340" s="13" t="n">
        <v>3614273852821</v>
      </c>
      <c r="M2340" s="13"/>
      <c r="N2340" s="13" t="n">
        <v>3614273852821</v>
      </c>
      <c r="O2340" s="13"/>
      <c r="P2340" s="13" t="s">
        <v>5291</v>
      </c>
      <c r="Q2340" s="13" t="s">
        <v>5289</v>
      </c>
      <c r="R2340" s="13" t="s">
        <v>5292</v>
      </c>
      <c r="S2340" s="13" t="s">
        <v>5293</v>
      </c>
      <c r="T2340" s="13" t="s">
        <v>5</v>
      </c>
      <c r="U2340" s="13" t="s">
        <v>43</v>
      </c>
      <c r="V2340" s="13" t="n">
        <f aca="false">IF(COUNTIF($B$2:B2340,B2340)=1,1,0)</f>
        <v>0</v>
      </c>
      <c r="W2340" s="13" t="n">
        <f aca="false">IF(COUNTIFS($B$2:B2340,B2340,$T$2:T2340,T2340)=1,1,0)</f>
        <v>0</v>
      </c>
    </row>
    <row r="2341" customFormat="false" ht="15" hidden="false" customHeight="false" outlineLevel="0" collapsed="false">
      <c r="A2341" s="13" t="s">
        <v>3014</v>
      </c>
      <c r="B2341" s="13" t="s">
        <v>2103</v>
      </c>
      <c r="C2341" s="13" t="n">
        <v>4000</v>
      </c>
      <c r="D2341" s="13" t="n">
        <v>40</v>
      </c>
      <c r="E2341" s="13" t="n">
        <v>99.06075</v>
      </c>
      <c r="F2341" s="13" t="s">
        <v>5325</v>
      </c>
      <c r="G2341" s="13" t="s">
        <v>5289</v>
      </c>
      <c r="H2341" s="13" t="s">
        <v>5289</v>
      </c>
      <c r="I2341" s="13" t="s">
        <v>5289</v>
      </c>
      <c r="J2341" s="13" t="s">
        <v>5289</v>
      </c>
      <c r="K2341" s="13" t="s">
        <v>5289</v>
      </c>
      <c r="L2341" s="13" t="n">
        <v>309974700085</v>
      </c>
      <c r="M2341" s="13"/>
      <c r="N2341" s="13" t="n">
        <v>309974700085</v>
      </c>
      <c r="O2341" s="13"/>
      <c r="P2341" s="13" t="s">
        <v>5291</v>
      </c>
      <c r="Q2341" s="13" t="s">
        <v>5289</v>
      </c>
      <c r="R2341" s="13" t="s">
        <v>5292</v>
      </c>
      <c r="S2341" s="13" t="s">
        <v>5293</v>
      </c>
      <c r="T2341" s="13" t="s">
        <v>5</v>
      </c>
      <c r="U2341" s="13" t="s">
        <v>85</v>
      </c>
      <c r="V2341" s="13" t="n">
        <f aca="false">IF(COUNTIF($B$2:B2341,B2341)=1,1,0)</f>
        <v>0</v>
      </c>
      <c r="W2341" s="13" t="n">
        <f aca="false">IF(COUNTIFS($B$2:B2341,B2341,$T$2:T2341,T2341)=1,1,0)</f>
        <v>0</v>
      </c>
    </row>
    <row r="2342" customFormat="false" ht="15" hidden="false" customHeight="false" outlineLevel="0" collapsed="false">
      <c r="A2342" s="13" t="s">
        <v>621</v>
      </c>
      <c r="B2342" s="13" t="s">
        <v>153</v>
      </c>
      <c r="C2342" s="13" t="n">
        <v>3900</v>
      </c>
      <c r="D2342" s="13" t="n">
        <v>5</v>
      </c>
      <c r="E2342" s="13" t="n">
        <v>489</v>
      </c>
      <c r="F2342" s="13" t="s">
        <v>5325</v>
      </c>
      <c r="G2342" s="13" t="s">
        <v>5289</v>
      </c>
      <c r="H2342" s="13" t="s">
        <v>5289</v>
      </c>
      <c r="I2342" s="13" t="s">
        <v>5289</v>
      </c>
      <c r="J2342" s="13" t="s">
        <v>5289</v>
      </c>
      <c r="K2342" s="13" t="s">
        <v>5289</v>
      </c>
      <c r="L2342" s="13"/>
      <c r="M2342" s="13"/>
      <c r="N2342" s="13" t="n">
        <v>8011003997022</v>
      </c>
      <c r="O2342" s="13"/>
      <c r="P2342" s="13" t="s">
        <v>5291</v>
      </c>
      <c r="Q2342" s="13" t="s">
        <v>5289</v>
      </c>
      <c r="R2342" s="13" t="s">
        <v>5292</v>
      </c>
      <c r="S2342" s="13" t="s">
        <v>5293</v>
      </c>
      <c r="T2342" s="13" t="s">
        <v>5</v>
      </c>
      <c r="U2342" s="13" t="s">
        <v>43</v>
      </c>
      <c r="V2342" s="13" t="n">
        <f aca="false">IF(COUNTIF($B$2:B2342,B2342)=1,1,0)</f>
        <v>0</v>
      </c>
      <c r="W2342" s="13" t="n">
        <f aca="false">IF(COUNTIFS($B$2:B2342,B2342,$T$2:T2342,T2342)=1,1,0)</f>
        <v>0</v>
      </c>
    </row>
    <row r="2343" customFormat="false" ht="15" hidden="false" customHeight="false" outlineLevel="0" collapsed="false">
      <c r="A2343" s="13" t="s">
        <v>235</v>
      </c>
      <c r="B2343" s="13" t="s">
        <v>105</v>
      </c>
      <c r="C2343" s="13" t="n">
        <v>3900</v>
      </c>
      <c r="D2343" s="13" t="n">
        <v>5</v>
      </c>
      <c r="E2343" s="13" t="n">
        <v>558</v>
      </c>
      <c r="F2343" s="13" t="s">
        <v>5288</v>
      </c>
      <c r="G2343" s="13" t="s">
        <v>5292</v>
      </c>
      <c r="H2343" s="13" t="s">
        <v>5289</v>
      </c>
      <c r="I2343" s="13" t="s">
        <v>5289</v>
      </c>
      <c r="J2343" s="13" t="s">
        <v>5289</v>
      </c>
      <c r="K2343" s="13" t="s">
        <v>5289</v>
      </c>
      <c r="L2343" s="13" t="n">
        <v>3614228220880</v>
      </c>
      <c r="M2343" s="13"/>
      <c r="N2343" s="13" t="n">
        <v>3614228220880</v>
      </c>
      <c r="O2343" s="13"/>
      <c r="P2343" s="13" t="s">
        <v>5297</v>
      </c>
      <c r="Q2343" s="13" t="s">
        <v>5289</v>
      </c>
      <c r="R2343" s="13" t="s">
        <v>5292</v>
      </c>
      <c r="S2343" s="13" t="s">
        <v>5293</v>
      </c>
      <c r="T2343" s="13" t="s">
        <v>5</v>
      </c>
      <c r="U2343" s="13" t="s">
        <v>43</v>
      </c>
      <c r="V2343" s="13" t="n">
        <f aca="false">IF(COUNTIF($B$2:B2343,B2343)=1,1,0)</f>
        <v>0</v>
      </c>
      <c r="W2343" s="13" t="n">
        <f aca="false">IF(COUNTIFS($B$2:B2343,B2343,$T$2:T2343,T2343)=1,1,0)</f>
        <v>0</v>
      </c>
    </row>
    <row r="2344" customFormat="false" ht="15" hidden="false" customHeight="false" outlineLevel="0" collapsed="false">
      <c r="A2344" s="13" t="s">
        <v>620</v>
      </c>
      <c r="B2344" s="13" t="s">
        <v>61</v>
      </c>
      <c r="C2344" s="13" t="n">
        <v>3900</v>
      </c>
      <c r="D2344" s="13" t="n">
        <v>20</v>
      </c>
      <c r="E2344" s="13" t="n">
        <v>258.833333333333</v>
      </c>
      <c r="F2344" s="13" t="s">
        <v>5325</v>
      </c>
      <c r="G2344" s="13" t="s">
        <v>5289</v>
      </c>
      <c r="H2344" s="13" t="s">
        <v>5289</v>
      </c>
      <c r="I2344" s="13" t="s">
        <v>5289</v>
      </c>
      <c r="J2344" s="13" t="s">
        <v>5289</v>
      </c>
      <c r="K2344" s="13" t="s">
        <v>5289</v>
      </c>
      <c r="L2344" s="13" t="n">
        <v>3614271682369</v>
      </c>
      <c r="M2344" s="13"/>
      <c r="N2344" s="13" t="n">
        <v>3614271682369</v>
      </c>
      <c r="O2344" s="13"/>
      <c r="P2344" s="13" t="s">
        <v>5291</v>
      </c>
      <c r="Q2344" s="13" t="s">
        <v>5289</v>
      </c>
      <c r="R2344" s="13" t="s">
        <v>5292</v>
      </c>
      <c r="S2344" s="13" t="s">
        <v>5293</v>
      </c>
      <c r="T2344" s="13" t="s">
        <v>5</v>
      </c>
      <c r="U2344" s="13" t="s">
        <v>43</v>
      </c>
      <c r="V2344" s="13" t="n">
        <f aca="false">IF(COUNTIF($B$2:B2344,B2344)=1,1,0)</f>
        <v>0</v>
      </c>
      <c r="W2344" s="13" t="n">
        <f aca="false">IF(COUNTIFS($B$2:B2344,B2344,$T$2:T2344,T2344)=1,1,0)</f>
        <v>0</v>
      </c>
    </row>
    <row r="2345" customFormat="false" ht="15" hidden="false" customHeight="false" outlineLevel="0" collapsed="false">
      <c r="A2345" s="13" t="s">
        <v>622</v>
      </c>
      <c r="B2345" s="13" t="s">
        <v>45</v>
      </c>
      <c r="C2345" s="13" t="n">
        <v>3900</v>
      </c>
      <c r="D2345" s="13" t="n">
        <v>5</v>
      </c>
      <c r="E2345" s="13" t="n">
        <v>646.05</v>
      </c>
      <c r="F2345" s="13" t="s">
        <v>5325</v>
      </c>
      <c r="G2345" s="13" t="s">
        <v>5289</v>
      </c>
      <c r="H2345" s="13" t="s">
        <v>5289</v>
      </c>
      <c r="I2345" s="13" t="s">
        <v>5289</v>
      </c>
      <c r="J2345" s="13" t="s">
        <v>5289</v>
      </c>
      <c r="K2345" s="13" t="s">
        <v>5292</v>
      </c>
      <c r="L2345" s="13"/>
      <c r="M2345" s="13"/>
      <c r="N2345" s="13" t="n">
        <v>8435415080378</v>
      </c>
      <c r="O2345" s="13"/>
      <c r="P2345" s="13" t="s">
        <v>5291</v>
      </c>
      <c r="Q2345" s="13" t="s">
        <v>5289</v>
      </c>
      <c r="R2345" s="13" t="s">
        <v>5292</v>
      </c>
      <c r="S2345" s="13" t="s">
        <v>5293</v>
      </c>
      <c r="T2345" s="13" t="s">
        <v>5</v>
      </c>
      <c r="U2345" s="13" t="s">
        <v>43</v>
      </c>
      <c r="V2345" s="13" t="n">
        <f aca="false">IF(COUNTIF($B$2:B2345,B2345)=1,1,0)</f>
        <v>0</v>
      </c>
      <c r="W2345" s="13" t="n">
        <f aca="false">IF(COUNTIFS($B$2:B2345,B2345,$T$2:T2345,T2345)=1,1,0)</f>
        <v>0</v>
      </c>
    </row>
    <row r="2346" customFormat="false" ht="15" hidden="false" customHeight="false" outlineLevel="0" collapsed="false">
      <c r="A2346" s="13" t="s">
        <v>617</v>
      </c>
      <c r="B2346" s="13" t="s">
        <v>362</v>
      </c>
      <c r="C2346" s="13" t="n">
        <v>3900</v>
      </c>
      <c r="D2346" s="13" t="n">
        <v>5</v>
      </c>
      <c r="E2346" s="13" t="n">
        <v>643.946666666667</v>
      </c>
      <c r="F2346" s="13" t="s">
        <v>5325</v>
      </c>
      <c r="G2346" s="13" t="s">
        <v>5289</v>
      </c>
      <c r="H2346" s="13" t="s">
        <v>5289</v>
      </c>
      <c r="I2346" s="13" t="s">
        <v>5289</v>
      </c>
      <c r="J2346" s="13" t="s">
        <v>5289</v>
      </c>
      <c r="K2346" s="13" t="s">
        <v>5289</v>
      </c>
      <c r="L2346" s="13" t="n">
        <v>3386460155397</v>
      </c>
      <c r="M2346" s="13"/>
      <c r="N2346" s="13" t="n">
        <v>3386460155397</v>
      </c>
      <c r="O2346" s="13"/>
      <c r="P2346" s="13" t="s">
        <v>5291</v>
      </c>
      <c r="Q2346" s="13" t="s">
        <v>5289</v>
      </c>
      <c r="R2346" s="13" t="s">
        <v>5292</v>
      </c>
      <c r="S2346" s="13" t="s">
        <v>5293</v>
      </c>
      <c r="T2346" s="13" t="s">
        <v>5</v>
      </c>
      <c r="U2346" s="13" t="s">
        <v>43</v>
      </c>
      <c r="V2346" s="13" t="n">
        <f aca="false">IF(COUNTIF($B$2:B2346,B2346)=1,1,0)</f>
        <v>0</v>
      </c>
      <c r="W2346" s="13" t="n">
        <f aca="false">IF(COUNTIFS($B$2:B2346,B2346,$T$2:T2346,T2346)=1,1,0)</f>
        <v>0</v>
      </c>
    </row>
    <row r="2347" customFormat="false" ht="15" hidden="false" customHeight="false" outlineLevel="0" collapsed="false">
      <c r="A2347" s="13" t="s">
        <v>101</v>
      </c>
      <c r="B2347" s="13" t="s">
        <v>45</v>
      </c>
      <c r="C2347" s="13" t="n">
        <v>3900</v>
      </c>
      <c r="D2347" s="13" t="n">
        <v>5</v>
      </c>
      <c r="E2347" s="13" t="n">
        <v>385.96</v>
      </c>
      <c r="F2347" s="13" t="s">
        <v>5325</v>
      </c>
      <c r="G2347" s="13" t="s">
        <v>5289</v>
      </c>
      <c r="H2347" s="13" t="s">
        <v>5289</v>
      </c>
      <c r="I2347" s="13" t="s">
        <v>5289</v>
      </c>
      <c r="J2347" s="13" t="s">
        <v>5289</v>
      </c>
      <c r="K2347" s="13" t="s">
        <v>5289</v>
      </c>
      <c r="L2347" s="13" t="n">
        <v>8435415012607</v>
      </c>
      <c r="M2347" s="13"/>
      <c r="N2347" s="13" t="n">
        <v>8435415012607</v>
      </c>
      <c r="O2347" s="13"/>
      <c r="P2347" s="13" t="s">
        <v>5291</v>
      </c>
      <c r="Q2347" s="13" t="s">
        <v>5289</v>
      </c>
      <c r="R2347" s="13" t="s">
        <v>5292</v>
      </c>
      <c r="S2347" s="13" t="s">
        <v>5293</v>
      </c>
      <c r="T2347" s="13" t="s">
        <v>5</v>
      </c>
      <c r="U2347" s="13" t="s">
        <v>43</v>
      </c>
      <c r="V2347" s="13" t="n">
        <f aca="false">IF(COUNTIF($B$2:B2347,B2347)=1,1,0)</f>
        <v>0</v>
      </c>
      <c r="W2347" s="13" t="n">
        <f aca="false">IF(COUNTIFS($B$2:B2347,B2347,$T$2:T2347,T2347)=1,1,0)</f>
        <v>0</v>
      </c>
    </row>
    <row r="2348" customFormat="false" ht="15" hidden="false" customHeight="false" outlineLevel="0" collapsed="false">
      <c r="A2348" s="13" t="s">
        <v>627</v>
      </c>
      <c r="B2348" s="13" t="s">
        <v>177</v>
      </c>
      <c r="C2348" s="13" t="n">
        <v>3800</v>
      </c>
      <c r="D2348" s="13" t="n">
        <v>5</v>
      </c>
      <c r="E2348" s="13" t="n">
        <v>640</v>
      </c>
      <c r="F2348" s="13" t="s">
        <v>5325</v>
      </c>
      <c r="G2348" s="13" t="s">
        <v>5289</v>
      </c>
      <c r="H2348" s="13" t="s">
        <v>5289</v>
      </c>
      <c r="I2348" s="13" t="s">
        <v>5289</v>
      </c>
      <c r="J2348" s="13" t="s">
        <v>5289</v>
      </c>
      <c r="K2348" s="13" t="s">
        <v>5289</v>
      </c>
      <c r="L2348" s="13" t="n">
        <v>3614229382129</v>
      </c>
      <c r="M2348" s="13"/>
      <c r="N2348" s="13" t="n">
        <v>3614229382129</v>
      </c>
      <c r="O2348" s="13"/>
      <c r="P2348" s="13" t="s">
        <v>5291</v>
      </c>
      <c r="Q2348" s="13" t="s">
        <v>5289</v>
      </c>
      <c r="R2348" s="13" t="s">
        <v>5292</v>
      </c>
      <c r="S2348" s="13" t="s">
        <v>5293</v>
      </c>
      <c r="T2348" s="13" t="s">
        <v>5</v>
      </c>
      <c r="U2348" s="13" t="s">
        <v>43</v>
      </c>
      <c r="V2348" s="13" t="n">
        <f aca="false">IF(COUNTIF($B$2:B2348,B2348)=1,1,0)</f>
        <v>0</v>
      </c>
      <c r="W2348" s="13" t="n">
        <f aca="false">IF(COUNTIFS($B$2:B2348,B2348,$T$2:T2348,T2348)=1,1,0)</f>
        <v>0</v>
      </c>
    </row>
    <row r="2349" customFormat="false" ht="15" hidden="false" customHeight="false" outlineLevel="0" collapsed="false">
      <c r="A2349" s="13" t="s">
        <v>628</v>
      </c>
      <c r="B2349" s="13" t="s">
        <v>42</v>
      </c>
      <c r="C2349" s="13" t="n">
        <v>3800</v>
      </c>
      <c r="D2349" s="13" t="n">
        <v>5</v>
      </c>
      <c r="E2349" s="13" t="n">
        <v>639.99</v>
      </c>
      <c r="F2349" s="13" t="s">
        <v>5325</v>
      </c>
      <c r="G2349" s="13" t="s">
        <v>5289</v>
      </c>
      <c r="H2349" s="13" t="s">
        <v>5289</v>
      </c>
      <c r="I2349" s="13" t="s">
        <v>5289</v>
      </c>
      <c r="J2349" s="13" t="s">
        <v>5289</v>
      </c>
      <c r="K2349" s="13" t="s">
        <v>5289</v>
      </c>
      <c r="L2349" s="13" t="n">
        <v>8411061027820</v>
      </c>
      <c r="M2349" s="13"/>
      <c r="N2349" s="13" t="n">
        <v>8411061027820</v>
      </c>
      <c r="O2349" s="13"/>
      <c r="P2349" s="13" t="s">
        <v>5291</v>
      </c>
      <c r="Q2349" s="13" t="s">
        <v>5289</v>
      </c>
      <c r="R2349" s="13" t="s">
        <v>5292</v>
      </c>
      <c r="S2349" s="13" t="s">
        <v>5293</v>
      </c>
      <c r="T2349" s="13" t="s">
        <v>5</v>
      </c>
      <c r="U2349" s="13" t="s">
        <v>43</v>
      </c>
      <c r="V2349" s="13" t="n">
        <f aca="false">IF(COUNTIF($B$2:B2349,B2349)=1,1,0)</f>
        <v>0</v>
      </c>
      <c r="W2349" s="13" t="n">
        <f aca="false">IF(COUNTIFS($B$2:B2349,B2349,$T$2:T2349,T2349)=1,1,0)</f>
        <v>0</v>
      </c>
    </row>
    <row r="2350" customFormat="false" ht="15" hidden="false" customHeight="false" outlineLevel="0" collapsed="false">
      <c r="A2350" s="13" t="s">
        <v>629</v>
      </c>
      <c r="B2350" s="13" t="s">
        <v>61</v>
      </c>
      <c r="C2350" s="13" t="n">
        <v>3800</v>
      </c>
      <c r="D2350" s="13" t="n">
        <v>20</v>
      </c>
      <c r="E2350" s="13" t="n">
        <v>255.836</v>
      </c>
      <c r="F2350" s="13" t="s">
        <v>5325</v>
      </c>
      <c r="G2350" s="13" t="s">
        <v>5289</v>
      </c>
      <c r="H2350" s="13" t="s">
        <v>5289</v>
      </c>
      <c r="I2350" s="13" t="s">
        <v>5289</v>
      </c>
      <c r="J2350" s="13" t="s">
        <v>5289</v>
      </c>
      <c r="K2350" s="13" t="s">
        <v>5289</v>
      </c>
      <c r="L2350" s="13" t="n">
        <v>3614274347968</v>
      </c>
      <c r="M2350" s="13"/>
      <c r="N2350" s="13" t="n">
        <v>3614274347968</v>
      </c>
      <c r="O2350" s="13"/>
      <c r="P2350" s="13" t="s">
        <v>5291</v>
      </c>
      <c r="Q2350" s="13" t="s">
        <v>5289</v>
      </c>
      <c r="R2350" s="13" t="s">
        <v>5292</v>
      </c>
      <c r="S2350" s="13" t="s">
        <v>5293</v>
      </c>
      <c r="T2350" s="13" t="s">
        <v>5</v>
      </c>
      <c r="U2350" s="13" t="s">
        <v>43</v>
      </c>
      <c r="V2350" s="13" t="n">
        <f aca="false">IF(COUNTIF($B$2:B2350,B2350)=1,1,0)</f>
        <v>0</v>
      </c>
      <c r="W2350" s="13" t="n">
        <f aca="false">IF(COUNTIFS($B$2:B2350,B2350,$T$2:T2350,T2350)=1,1,0)</f>
        <v>0</v>
      </c>
    </row>
    <row r="2351" customFormat="false" ht="15" hidden="false" customHeight="false" outlineLevel="0" collapsed="false">
      <c r="A2351" s="13" t="s">
        <v>253</v>
      </c>
      <c r="B2351" s="13" t="s">
        <v>61</v>
      </c>
      <c r="C2351" s="13" t="n">
        <v>3800</v>
      </c>
      <c r="D2351" s="13" t="n">
        <v>5</v>
      </c>
      <c r="E2351" s="13" t="n">
        <v>638.325</v>
      </c>
      <c r="F2351" s="13" t="s">
        <v>5288</v>
      </c>
      <c r="G2351" s="13" t="s">
        <v>5289</v>
      </c>
      <c r="H2351" s="13" t="s">
        <v>5289</v>
      </c>
      <c r="I2351" s="13" t="s">
        <v>5289</v>
      </c>
      <c r="J2351" s="13" t="s">
        <v>5289</v>
      </c>
      <c r="K2351" s="13" t="s">
        <v>5289</v>
      </c>
      <c r="L2351" s="13" t="n">
        <v>3614274397246</v>
      </c>
      <c r="M2351" s="13"/>
      <c r="N2351" s="13" t="n">
        <v>3614274397246</v>
      </c>
      <c r="O2351" s="13"/>
      <c r="P2351" s="13" t="s">
        <v>5291</v>
      </c>
      <c r="Q2351" s="13" t="s">
        <v>5289</v>
      </c>
      <c r="R2351" s="13" t="s">
        <v>5292</v>
      </c>
      <c r="S2351" s="13" t="s">
        <v>5293</v>
      </c>
      <c r="T2351" s="13" t="s">
        <v>5</v>
      </c>
      <c r="U2351" s="13" t="s">
        <v>43</v>
      </c>
      <c r="V2351" s="13" t="n">
        <f aca="false">IF(COUNTIF($B$2:B2351,B2351)=1,1,0)</f>
        <v>0</v>
      </c>
      <c r="W2351" s="13" t="n">
        <f aca="false">IF(COUNTIFS($B$2:B2351,B2351,$T$2:T2351,T2351)=1,1,0)</f>
        <v>0</v>
      </c>
    </row>
    <row r="2352" customFormat="false" ht="15" hidden="false" customHeight="false" outlineLevel="0" collapsed="false">
      <c r="A2352" s="13" t="s">
        <v>566</v>
      </c>
      <c r="B2352" s="13" t="s">
        <v>50</v>
      </c>
      <c r="C2352" s="13" t="n">
        <v>3800</v>
      </c>
      <c r="D2352" s="13" t="n">
        <v>5</v>
      </c>
      <c r="E2352" s="13" t="n">
        <v>542.23</v>
      </c>
      <c r="F2352" s="13" t="s">
        <v>5288</v>
      </c>
      <c r="G2352" s="13" t="s">
        <v>5292</v>
      </c>
      <c r="H2352" s="13" t="s">
        <v>5292</v>
      </c>
      <c r="I2352" s="13" t="s">
        <v>5289</v>
      </c>
      <c r="J2352" s="13" t="s">
        <v>5289</v>
      </c>
      <c r="K2352" s="13" t="s">
        <v>5289</v>
      </c>
      <c r="L2352" s="13" t="n">
        <v>3349668508587</v>
      </c>
      <c r="M2352" s="13"/>
      <c r="N2352" s="13" t="n">
        <v>3349668508587</v>
      </c>
      <c r="O2352" s="13"/>
      <c r="P2352" s="13" t="s">
        <v>5291</v>
      </c>
      <c r="Q2352" s="13" t="s">
        <v>5289</v>
      </c>
      <c r="R2352" s="13" t="s">
        <v>5292</v>
      </c>
      <c r="S2352" s="13" t="s">
        <v>5293</v>
      </c>
      <c r="T2352" s="13" t="s">
        <v>5</v>
      </c>
      <c r="U2352" s="13" t="s">
        <v>43</v>
      </c>
      <c r="V2352" s="13" t="n">
        <f aca="false">IF(COUNTIF($B$2:B2352,B2352)=1,1,0)</f>
        <v>0</v>
      </c>
      <c r="W2352" s="13" t="n">
        <f aca="false">IF(COUNTIFS($B$2:B2352,B2352,$T$2:T2352,T2352)=1,1,0)</f>
        <v>0</v>
      </c>
    </row>
    <row r="2353" customFormat="false" ht="15" hidden="false" customHeight="false" outlineLevel="0" collapsed="false">
      <c r="A2353" s="13" t="s">
        <v>2905</v>
      </c>
      <c r="B2353" s="13" t="s">
        <v>2111</v>
      </c>
      <c r="C2353" s="13" t="n">
        <v>3800</v>
      </c>
      <c r="D2353" s="13" t="n">
        <v>5</v>
      </c>
      <c r="E2353" s="13" t="n">
        <v>631.685</v>
      </c>
      <c r="F2353" s="13" t="s">
        <v>5325</v>
      </c>
      <c r="G2353" s="13" t="s">
        <v>5289</v>
      </c>
      <c r="H2353" s="13" t="s">
        <v>5289</v>
      </c>
      <c r="I2353" s="13" t="s">
        <v>5289</v>
      </c>
      <c r="J2353" s="13" t="s">
        <v>5289</v>
      </c>
      <c r="K2353" s="13" t="s">
        <v>5289</v>
      </c>
      <c r="L2353" s="13" t="n">
        <v>3386460141703</v>
      </c>
      <c r="M2353" s="13"/>
      <c r="N2353" s="13" t="n">
        <v>3386460141703</v>
      </c>
      <c r="O2353" s="13"/>
      <c r="P2353" s="13" t="s">
        <v>5291</v>
      </c>
      <c r="Q2353" s="13" t="s">
        <v>5289</v>
      </c>
      <c r="R2353" s="13" t="s">
        <v>5292</v>
      </c>
      <c r="S2353" s="13" t="s">
        <v>5293</v>
      </c>
      <c r="T2353" s="13" t="s">
        <v>5</v>
      </c>
      <c r="U2353" s="13" t="s">
        <v>43</v>
      </c>
      <c r="V2353" s="13" t="n">
        <f aca="false">IF(COUNTIF($B$2:B2353,B2353)=1,1,0)</f>
        <v>0</v>
      </c>
      <c r="W2353" s="13" t="n">
        <f aca="false">IF(COUNTIFS($B$2:B2353,B2353,$T$2:T2353,T2353)=1,1,0)</f>
        <v>1</v>
      </c>
    </row>
    <row r="2354" customFormat="false" ht="15" hidden="false" customHeight="false" outlineLevel="0" collapsed="false">
      <c r="A2354" s="13" t="s">
        <v>101</v>
      </c>
      <c r="B2354" s="13" t="s">
        <v>45</v>
      </c>
      <c r="C2354" s="13" t="n">
        <v>3800</v>
      </c>
      <c r="D2354" s="13" t="n">
        <v>5</v>
      </c>
      <c r="E2354" s="13" t="n">
        <v>540.195714285714</v>
      </c>
      <c r="F2354" s="13" t="s">
        <v>5325</v>
      </c>
      <c r="G2354" s="13" t="s">
        <v>5289</v>
      </c>
      <c r="H2354" s="13" t="s">
        <v>5289</v>
      </c>
      <c r="I2354" s="13" t="s">
        <v>5289</v>
      </c>
      <c r="J2354" s="13" t="s">
        <v>5289</v>
      </c>
      <c r="K2354" s="13" t="s">
        <v>5289</v>
      </c>
      <c r="L2354" s="13" t="n">
        <v>8435415012638</v>
      </c>
      <c r="M2354" s="13"/>
      <c r="N2354" s="13" t="n">
        <v>8.43541501263834E+025</v>
      </c>
      <c r="O2354" s="13"/>
      <c r="P2354" s="13" t="s">
        <v>5291</v>
      </c>
      <c r="Q2354" s="13" t="s">
        <v>5289</v>
      </c>
      <c r="R2354" s="13" t="s">
        <v>5292</v>
      </c>
      <c r="S2354" s="13" t="s">
        <v>5293</v>
      </c>
      <c r="T2354" s="13" t="s">
        <v>5</v>
      </c>
      <c r="U2354" s="13" t="s">
        <v>43</v>
      </c>
      <c r="V2354" s="13" t="n">
        <f aca="false">IF(COUNTIF($B$2:B2354,B2354)=1,1,0)</f>
        <v>0</v>
      </c>
      <c r="W2354" s="13" t="n">
        <f aca="false">IF(COUNTIFS($B$2:B2354,B2354,$T$2:T2354,T2354)=1,1,0)</f>
        <v>0</v>
      </c>
    </row>
    <row r="2355" customFormat="false" ht="15" hidden="false" customHeight="false" outlineLevel="0" collapsed="false">
      <c r="A2355" s="13" t="s">
        <v>113</v>
      </c>
      <c r="B2355" s="13" t="s">
        <v>45</v>
      </c>
      <c r="C2355" s="13" t="n">
        <v>3800</v>
      </c>
      <c r="D2355" s="13" t="n">
        <v>5</v>
      </c>
      <c r="E2355" s="13" t="n">
        <v>378</v>
      </c>
      <c r="F2355" s="13" t="s">
        <v>5325</v>
      </c>
      <c r="G2355" s="13" t="s">
        <v>5289</v>
      </c>
      <c r="H2355" s="13" t="s">
        <v>5289</v>
      </c>
      <c r="I2355" s="13" t="s">
        <v>5289</v>
      </c>
      <c r="J2355" s="13" t="s">
        <v>5289</v>
      </c>
      <c r="K2355" s="13" t="s">
        <v>5289</v>
      </c>
      <c r="L2355" s="13" t="n">
        <v>8435415059084</v>
      </c>
      <c r="M2355" s="13"/>
      <c r="N2355" s="13" t="n">
        <v>8.43541505908484E+025</v>
      </c>
      <c r="O2355" s="13"/>
      <c r="P2355" s="13" t="s">
        <v>5291</v>
      </c>
      <c r="Q2355" s="13" t="s">
        <v>5289</v>
      </c>
      <c r="R2355" s="13" t="s">
        <v>5292</v>
      </c>
      <c r="S2355" s="13" t="s">
        <v>5293</v>
      </c>
      <c r="T2355" s="13" t="s">
        <v>5</v>
      </c>
      <c r="U2355" s="13" t="s">
        <v>43</v>
      </c>
      <c r="V2355" s="13" t="n">
        <f aca="false">IF(COUNTIF($B$2:B2355,B2355)=1,1,0)</f>
        <v>0</v>
      </c>
      <c r="W2355" s="13" t="n">
        <f aca="false">IF(COUNTIFS($B$2:B2355,B2355,$T$2:T2355,T2355)=1,1,0)</f>
        <v>0</v>
      </c>
    </row>
    <row r="2356" customFormat="false" ht="15" hidden="false" customHeight="false" outlineLevel="0" collapsed="false">
      <c r="A2356" s="13" t="s">
        <v>626</v>
      </c>
      <c r="B2356" s="13" t="s">
        <v>69</v>
      </c>
      <c r="C2356" s="13" t="n">
        <v>3800</v>
      </c>
      <c r="D2356" s="13" t="n">
        <v>2</v>
      </c>
      <c r="E2356" s="13" t="n">
        <v>940.735</v>
      </c>
      <c r="F2356" s="13" t="s">
        <v>5325</v>
      </c>
      <c r="G2356" s="13" t="s">
        <v>5289</v>
      </c>
      <c r="H2356" s="13" t="s">
        <v>5289</v>
      </c>
      <c r="I2356" s="13" t="s">
        <v>5289</v>
      </c>
      <c r="J2356" s="13" t="s">
        <v>5289</v>
      </c>
      <c r="K2356" s="13" t="s">
        <v>5289</v>
      </c>
      <c r="L2356" s="13" t="n">
        <v>3614274521245</v>
      </c>
      <c r="M2356" s="13"/>
      <c r="N2356" s="13" t="n">
        <v>3614274521245</v>
      </c>
      <c r="O2356" s="13"/>
      <c r="P2356" s="13" t="s">
        <v>5291</v>
      </c>
      <c r="Q2356" s="13" t="s">
        <v>5289</v>
      </c>
      <c r="R2356" s="13" t="s">
        <v>5292</v>
      </c>
      <c r="S2356" s="13" t="s">
        <v>5293</v>
      </c>
      <c r="T2356" s="13" t="s">
        <v>5</v>
      </c>
      <c r="U2356" s="13" t="s">
        <v>43</v>
      </c>
      <c r="V2356" s="13" t="n">
        <f aca="false">IF(COUNTIF($B$2:B2356,B2356)=1,1,0)</f>
        <v>0</v>
      </c>
      <c r="W2356" s="13" t="n">
        <f aca="false">IF(COUNTIFS($B$2:B2356,B2356,$T$2:T2356,T2356)=1,1,0)</f>
        <v>0</v>
      </c>
    </row>
    <row r="2357" customFormat="false" ht="15" hidden="false" customHeight="false" outlineLevel="0" collapsed="false">
      <c r="A2357" s="13" t="s">
        <v>64</v>
      </c>
      <c r="B2357" s="13" t="s">
        <v>50</v>
      </c>
      <c r="C2357" s="13" t="n">
        <v>3700</v>
      </c>
      <c r="D2357" s="13" t="n">
        <v>5</v>
      </c>
      <c r="E2357" s="13" t="n">
        <v>534</v>
      </c>
      <c r="F2357" s="13" t="s">
        <v>5288</v>
      </c>
      <c r="G2357" s="13" t="s">
        <v>5289</v>
      </c>
      <c r="H2357" s="13" t="s">
        <v>5289</v>
      </c>
      <c r="I2357" s="13" t="s">
        <v>5289</v>
      </c>
      <c r="J2357" s="13" t="s">
        <v>5289</v>
      </c>
      <c r="K2357" s="13" t="s">
        <v>5289</v>
      </c>
      <c r="L2357" s="13"/>
      <c r="M2357" s="13"/>
      <c r="N2357" s="13" t="n">
        <v>3349668614516</v>
      </c>
      <c r="O2357" s="13"/>
      <c r="P2357" s="13" t="s">
        <v>5291</v>
      </c>
      <c r="Q2357" s="13" t="s">
        <v>5289</v>
      </c>
      <c r="R2357" s="13" t="s">
        <v>5292</v>
      </c>
      <c r="S2357" s="13" t="s">
        <v>5293</v>
      </c>
      <c r="T2357" s="13" t="s">
        <v>5</v>
      </c>
      <c r="U2357" s="13" t="s">
        <v>43</v>
      </c>
      <c r="V2357" s="13" t="n">
        <f aca="false">IF(COUNTIF($B$2:B2357,B2357)=1,1,0)</f>
        <v>0</v>
      </c>
      <c r="W2357" s="13" t="n">
        <f aca="false">IF(COUNTIFS($B$2:B2357,B2357,$T$2:T2357,T2357)=1,1,0)</f>
        <v>0</v>
      </c>
    </row>
    <row r="2358" customFormat="false" ht="15" hidden="false" customHeight="false" outlineLevel="0" collapsed="false">
      <c r="A2358" s="13" t="s">
        <v>316</v>
      </c>
      <c r="B2358" s="13" t="s">
        <v>315</v>
      </c>
      <c r="C2358" s="13" t="n">
        <v>3700</v>
      </c>
      <c r="D2358" s="13" t="n">
        <v>5</v>
      </c>
      <c r="E2358" s="13" t="n">
        <v>529.277142857143</v>
      </c>
      <c r="F2358" s="13" t="s">
        <v>5325</v>
      </c>
      <c r="G2358" s="13" t="s">
        <v>5289</v>
      </c>
      <c r="H2358" s="13" t="s">
        <v>5289</v>
      </c>
      <c r="I2358" s="13" t="s">
        <v>5289</v>
      </c>
      <c r="J2358" s="13" t="s">
        <v>5289</v>
      </c>
      <c r="K2358" s="13" t="s">
        <v>5289</v>
      </c>
      <c r="L2358" s="13" t="n">
        <v>3605970416089</v>
      </c>
      <c r="M2358" s="13"/>
      <c r="N2358" s="13" t="n">
        <v>3605970416089</v>
      </c>
      <c r="O2358" s="13"/>
      <c r="P2358" s="13" t="s">
        <v>5291</v>
      </c>
      <c r="Q2358" s="13" t="s">
        <v>5289</v>
      </c>
      <c r="R2358" s="13" t="s">
        <v>5292</v>
      </c>
      <c r="S2358" s="13" t="s">
        <v>5293</v>
      </c>
      <c r="T2358" s="13" t="s">
        <v>5</v>
      </c>
      <c r="U2358" s="13" t="s">
        <v>43</v>
      </c>
      <c r="V2358" s="13" t="n">
        <f aca="false">IF(COUNTIF($B$2:B2358,B2358)=1,1,0)</f>
        <v>0</v>
      </c>
      <c r="W2358" s="13" t="n">
        <f aca="false">IF(COUNTIFS($B$2:B2358,B2358,$T$2:T2358,T2358)=1,1,0)</f>
        <v>0</v>
      </c>
    </row>
    <row r="2359" customFormat="false" ht="15" hidden="false" customHeight="false" outlineLevel="0" collapsed="false">
      <c r="A2359" s="13" t="s">
        <v>642</v>
      </c>
      <c r="B2359" s="13" t="s">
        <v>121</v>
      </c>
      <c r="C2359" s="13" t="n">
        <v>3600</v>
      </c>
      <c r="D2359" s="13" t="n">
        <v>20</v>
      </c>
      <c r="E2359" s="13" t="n">
        <v>152</v>
      </c>
      <c r="F2359" s="13" t="s">
        <v>5325</v>
      </c>
      <c r="G2359" s="13" t="s">
        <v>5289</v>
      </c>
      <c r="H2359" s="13" t="s">
        <v>5289</v>
      </c>
      <c r="I2359" s="13" t="s">
        <v>5289</v>
      </c>
      <c r="J2359" s="13" t="s">
        <v>5289</v>
      </c>
      <c r="K2359" s="13" t="s">
        <v>5289</v>
      </c>
      <c r="L2359" s="13" t="n">
        <v>7896086904492</v>
      </c>
      <c r="M2359" s="13"/>
      <c r="N2359" s="13" t="n">
        <v>7896086904492</v>
      </c>
      <c r="O2359" s="13"/>
      <c r="P2359" s="13" t="s">
        <v>5297</v>
      </c>
      <c r="Q2359" s="13" t="s">
        <v>5289</v>
      </c>
      <c r="R2359" s="13" t="s">
        <v>5292</v>
      </c>
      <c r="S2359" s="13" t="s">
        <v>5293</v>
      </c>
      <c r="T2359" s="13" t="s">
        <v>5</v>
      </c>
      <c r="U2359" s="13" t="s">
        <v>43</v>
      </c>
      <c r="V2359" s="13" t="n">
        <f aca="false">IF(COUNTIF($B$2:B2359,B2359)=1,1,0)</f>
        <v>0</v>
      </c>
      <c r="W2359" s="13" t="n">
        <f aca="false">IF(COUNTIFS($B$2:B2359,B2359,$T$2:T2359,T2359)=1,1,0)</f>
        <v>0</v>
      </c>
    </row>
    <row r="2360" customFormat="false" ht="15" hidden="false" customHeight="false" outlineLevel="0" collapsed="false">
      <c r="A2360" s="13" t="s">
        <v>640</v>
      </c>
      <c r="B2360" s="13" t="s">
        <v>79</v>
      </c>
      <c r="C2360" s="13" t="n">
        <v>3600</v>
      </c>
      <c r="D2360" s="13" t="n">
        <v>2</v>
      </c>
      <c r="E2360" s="13" t="n">
        <v>910.83</v>
      </c>
      <c r="F2360" s="13" t="s">
        <v>5325</v>
      </c>
      <c r="G2360" s="13" t="s">
        <v>5289</v>
      </c>
      <c r="H2360" s="13" t="s">
        <v>5289</v>
      </c>
      <c r="I2360" s="13" t="s">
        <v>5289</v>
      </c>
      <c r="J2360" s="13" t="s">
        <v>5289</v>
      </c>
      <c r="K2360" s="13" t="s">
        <v>5289</v>
      </c>
      <c r="L2360" s="13" t="n">
        <v>8056669925866</v>
      </c>
      <c r="M2360" s="13"/>
      <c r="N2360" s="13" t="n">
        <v>8056669925866</v>
      </c>
      <c r="O2360" s="13"/>
      <c r="P2360" s="13" t="s">
        <v>5291</v>
      </c>
      <c r="Q2360" s="13" t="s">
        <v>5289</v>
      </c>
      <c r="R2360" s="13" t="s">
        <v>5292</v>
      </c>
      <c r="S2360" s="13" t="s">
        <v>5293</v>
      </c>
      <c r="T2360" s="13" t="s">
        <v>5</v>
      </c>
      <c r="U2360" s="13" t="s">
        <v>43</v>
      </c>
      <c r="V2360" s="13" t="n">
        <f aca="false">IF(COUNTIF($B$2:B2360,B2360)=1,1,0)</f>
        <v>0</v>
      </c>
      <c r="W2360" s="13" t="n">
        <f aca="false">IF(COUNTIFS($B$2:B2360,B2360,$T$2:T2360,T2360)=1,1,0)</f>
        <v>0</v>
      </c>
    </row>
    <row r="2361" customFormat="false" ht="15" hidden="false" customHeight="false" outlineLevel="0" collapsed="false">
      <c r="A2361" s="13" t="s">
        <v>639</v>
      </c>
      <c r="B2361" s="13" t="s">
        <v>54</v>
      </c>
      <c r="C2361" s="13" t="n">
        <v>3600</v>
      </c>
      <c r="D2361" s="13" t="n">
        <v>5</v>
      </c>
      <c r="E2361" s="13" t="n">
        <v>724.652</v>
      </c>
      <c r="F2361" s="13" t="s">
        <v>5288</v>
      </c>
      <c r="G2361" s="13" t="s">
        <v>5289</v>
      </c>
      <c r="H2361" s="13" t="s">
        <v>5289</v>
      </c>
      <c r="I2361" s="13" t="s">
        <v>5289</v>
      </c>
      <c r="J2361" s="13" t="s">
        <v>5289</v>
      </c>
      <c r="K2361" s="13" t="s">
        <v>5289</v>
      </c>
      <c r="L2361" s="13" t="n">
        <v>768614155249</v>
      </c>
      <c r="M2361" s="13"/>
      <c r="N2361" s="13" t="n">
        <v>768614155249</v>
      </c>
      <c r="O2361" s="13"/>
      <c r="P2361" s="13" t="s">
        <v>5291</v>
      </c>
      <c r="Q2361" s="13" t="s">
        <v>5289</v>
      </c>
      <c r="R2361" s="13" t="s">
        <v>5292</v>
      </c>
      <c r="S2361" s="13" t="s">
        <v>5293</v>
      </c>
      <c r="T2361" s="13" t="s">
        <v>5</v>
      </c>
      <c r="U2361" s="13" t="s">
        <v>43</v>
      </c>
      <c r="V2361" s="13" t="n">
        <f aca="false">IF(COUNTIF($B$2:B2361,B2361)=1,1,0)</f>
        <v>0</v>
      </c>
      <c r="W2361" s="13" t="n">
        <f aca="false">IF(COUNTIFS($B$2:B2361,B2361,$T$2:T2361,T2361)=1,1,0)</f>
        <v>0</v>
      </c>
    </row>
    <row r="2362" customFormat="false" ht="15" hidden="false" customHeight="false" outlineLevel="0" collapsed="false">
      <c r="A2362" s="13" t="s">
        <v>638</v>
      </c>
      <c r="B2362" s="13" t="s">
        <v>193</v>
      </c>
      <c r="C2362" s="13" t="n">
        <v>3600</v>
      </c>
      <c r="D2362" s="13" t="n">
        <v>5</v>
      </c>
      <c r="E2362" s="13" t="n">
        <v>724.274</v>
      </c>
      <c r="F2362" s="13" t="s">
        <v>5325</v>
      </c>
      <c r="G2362" s="13" t="s">
        <v>5289</v>
      </c>
      <c r="H2362" s="13" t="s">
        <v>5289</v>
      </c>
      <c r="I2362" s="13" t="s">
        <v>5289</v>
      </c>
      <c r="J2362" s="13" t="s">
        <v>5289</v>
      </c>
      <c r="K2362" s="13" t="s">
        <v>5289</v>
      </c>
      <c r="L2362" s="13" t="n">
        <v>3614273347846</v>
      </c>
      <c r="M2362" s="13"/>
      <c r="N2362" s="13" t="n">
        <v>3614273347846</v>
      </c>
      <c r="O2362" s="13"/>
      <c r="P2362" s="13" t="s">
        <v>5291</v>
      </c>
      <c r="Q2362" s="13" t="s">
        <v>5289</v>
      </c>
      <c r="R2362" s="13" t="s">
        <v>5292</v>
      </c>
      <c r="S2362" s="13" t="s">
        <v>5293</v>
      </c>
      <c r="T2362" s="13" t="s">
        <v>5</v>
      </c>
      <c r="U2362" s="13" t="s">
        <v>43</v>
      </c>
      <c r="V2362" s="13" t="n">
        <f aca="false">IF(COUNTIF($B$2:B2362,B2362)=1,1,0)</f>
        <v>0</v>
      </c>
      <c r="W2362" s="13" t="n">
        <f aca="false">IF(COUNTIFS($B$2:B2362,B2362,$T$2:T2362,T2362)=1,1,0)</f>
        <v>0</v>
      </c>
    </row>
    <row r="2363" customFormat="false" ht="15" hidden="false" customHeight="false" outlineLevel="0" collapsed="false">
      <c r="A2363" s="13" t="s">
        <v>236</v>
      </c>
      <c r="B2363" s="13" t="s">
        <v>193</v>
      </c>
      <c r="C2363" s="13" t="n">
        <v>3600</v>
      </c>
      <c r="D2363" s="13" t="n">
        <v>5</v>
      </c>
      <c r="E2363" s="13" t="n">
        <v>722.87</v>
      </c>
      <c r="F2363" s="13" t="s">
        <v>5288</v>
      </c>
      <c r="G2363" s="13" t="s">
        <v>5292</v>
      </c>
      <c r="H2363" s="13" t="s">
        <v>5289</v>
      </c>
      <c r="I2363" s="13" t="s">
        <v>5289</v>
      </c>
      <c r="J2363" s="13" t="s">
        <v>5289</v>
      </c>
      <c r="K2363" s="13" t="s">
        <v>5289</v>
      </c>
      <c r="L2363" s="13" t="n">
        <v>3605521172525</v>
      </c>
      <c r="M2363" s="13"/>
      <c r="N2363" s="13" t="n">
        <v>3605521172525</v>
      </c>
      <c r="O2363" s="13"/>
      <c r="P2363" s="13" t="s">
        <v>5297</v>
      </c>
      <c r="Q2363" s="13" t="s">
        <v>5289</v>
      </c>
      <c r="R2363" s="13" t="s">
        <v>5292</v>
      </c>
      <c r="S2363" s="13" t="s">
        <v>5293</v>
      </c>
      <c r="T2363" s="13" t="s">
        <v>5</v>
      </c>
      <c r="U2363" s="13" t="s">
        <v>43</v>
      </c>
      <c r="V2363" s="13" t="n">
        <f aca="false">IF(COUNTIF($B$2:B2363,B2363)=1,1,0)</f>
        <v>0</v>
      </c>
      <c r="W2363" s="13" t="n">
        <f aca="false">IF(COUNTIFS($B$2:B2363,B2363,$T$2:T2363,T2363)=1,1,0)</f>
        <v>0</v>
      </c>
    </row>
    <row r="2364" customFormat="false" ht="15" hidden="false" customHeight="false" outlineLevel="0" collapsed="false">
      <c r="A2364" s="13" t="s">
        <v>641</v>
      </c>
      <c r="B2364" s="13" t="s">
        <v>54</v>
      </c>
      <c r="C2364" s="13" t="n">
        <v>3600</v>
      </c>
      <c r="D2364" s="13" t="n">
        <v>10</v>
      </c>
      <c r="E2364" s="13" t="n">
        <v>328.204545454545</v>
      </c>
      <c r="F2364" s="13" t="s">
        <v>5325</v>
      </c>
      <c r="G2364" s="13" t="s">
        <v>5289</v>
      </c>
      <c r="H2364" s="13" t="s">
        <v>5292</v>
      </c>
      <c r="I2364" s="13" t="s">
        <v>5289</v>
      </c>
      <c r="J2364" s="13" t="s">
        <v>5289</v>
      </c>
      <c r="K2364" s="13" t="s">
        <v>5289</v>
      </c>
      <c r="L2364" s="13" t="n">
        <v>7908416500028</v>
      </c>
      <c r="M2364" s="13"/>
      <c r="N2364" s="13" t="n">
        <v>7908416500028</v>
      </c>
      <c r="O2364" s="13"/>
      <c r="P2364" s="13" t="s">
        <v>5291</v>
      </c>
      <c r="Q2364" s="13" t="s">
        <v>5289</v>
      </c>
      <c r="R2364" s="13" t="s">
        <v>5292</v>
      </c>
      <c r="S2364" s="13" t="s">
        <v>5293</v>
      </c>
      <c r="T2364" s="13" t="s">
        <v>5</v>
      </c>
      <c r="U2364" s="13" t="s">
        <v>43</v>
      </c>
      <c r="V2364" s="13" t="n">
        <f aca="false">IF(COUNTIF($B$2:B2364,B2364)=1,1,0)</f>
        <v>0</v>
      </c>
      <c r="W2364" s="13" t="n">
        <f aca="false">IF(COUNTIFS($B$2:B2364,B2364,$T$2:T2364,T2364)=1,1,0)</f>
        <v>0</v>
      </c>
    </row>
    <row r="2365" customFormat="false" ht="15" hidden="false" customHeight="false" outlineLevel="0" collapsed="false">
      <c r="A2365" s="13" t="s">
        <v>649</v>
      </c>
      <c r="B2365" s="13" t="s">
        <v>107</v>
      </c>
      <c r="C2365" s="13" t="n">
        <v>3600</v>
      </c>
      <c r="D2365" s="13" t="n">
        <v>50</v>
      </c>
      <c r="E2365" s="13" t="n">
        <v>73.6342857142857</v>
      </c>
      <c r="F2365" s="13" t="s">
        <v>5288</v>
      </c>
      <c r="G2365" s="13" t="s">
        <v>5289</v>
      </c>
      <c r="H2365" s="13" t="s">
        <v>5292</v>
      </c>
      <c r="I2365" s="13" t="s">
        <v>5292</v>
      </c>
      <c r="J2365" s="13" t="s">
        <v>5289</v>
      </c>
      <c r="K2365" s="13" t="s">
        <v>5289</v>
      </c>
      <c r="L2365" s="13" t="n">
        <v>4064666306148</v>
      </c>
      <c r="M2365" s="13"/>
      <c r="N2365" s="13" t="n">
        <v>7.89897341701641E+038</v>
      </c>
      <c r="O2365" s="13"/>
      <c r="P2365" s="13" t="s">
        <v>5291</v>
      </c>
      <c r="Q2365" s="13" t="s">
        <v>5289</v>
      </c>
      <c r="R2365" s="13" t="s">
        <v>5292</v>
      </c>
      <c r="S2365" s="13" t="s">
        <v>5293</v>
      </c>
      <c r="T2365" s="13" t="s">
        <v>5</v>
      </c>
      <c r="U2365" s="13" t="s">
        <v>43</v>
      </c>
      <c r="V2365" s="13" t="n">
        <f aca="false">IF(COUNTIF($B$2:B2365,B2365)=1,1,0)</f>
        <v>0</v>
      </c>
      <c r="W2365" s="13" t="n">
        <f aca="false">IF(COUNTIFS($B$2:B2365,B2365,$T$2:T2365,T2365)=1,1,0)</f>
        <v>0</v>
      </c>
    </row>
    <row r="2366" customFormat="false" ht="15" hidden="false" customHeight="false" outlineLevel="0" collapsed="false">
      <c r="A2366" s="13" t="s">
        <v>316</v>
      </c>
      <c r="B2366" s="13" t="s">
        <v>315</v>
      </c>
      <c r="C2366" s="13" t="n">
        <v>3600</v>
      </c>
      <c r="D2366" s="13" t="n">
        <v>2</v>
      </c>
      <c r="E2366" s="13" t="n">
        <v>897.83</v>
      </c>
      <c r="F2366" s="13" t="s">
        <v>5325</v>
      </c>
      <c r="G2366" s="13" t="s">
        <v>5289</v>
      </c>
      <c r="H2366" s="13" t="s">
        <v>5289</v>
      </c>
      <c r="I2366" s="13" t="s">
        <v>5289</v>
      </c>
      <c r="J2366" s="13" t="s">
        <v>5289</v>
      </c>
      <c r="K2366" s="13" t="s">
        <v>5289</v>
      </c>
      <c r="L2366" s="13" t="n">
        <v>3605975050882</v>
      </c>
      <c r="M2366" s="13"/>
      <c r="N2366" s="13" t="n">
        <v>3605975050882</v>
      </c>
      <c r="O2366" s="13"/>
      <c r="P2366" s="13" t="s">
        <v>5291</v>
      </c>
      <c r="Q2366" s="13" t="s">
        <v>5289</v>
      </c>
      <c r="R2366" s="13" t="s">
        <v>5292</v>
      </c>
      <c r="S2366" s="13" t="s">
        <v>5293</v>
      </c>
      <c r="T2366" s="13" t="s">
        <v>5</v>
      </c>
      <c r="U2366" s="13" t="s">
        <v>43</v>
      </c>
      <c r="V2366" s="13" t="n">
        <f aca="false">IF(COUNTIF($B$2:B2366,B2366)=1,1,0)</f>
        <v>0</v>
      </c>
      <c r="W2366" s="13" t="n">
        <f aca="false">IF(COUNTIFS($B$2:B2366,B2366,$T$2:T2366,T2366)=1,1,0)</f>
        <v>0</v>
      </c>
    </row>
    <row r="2367" customFormat="false" ht="15" hidden="false" customHeight="false" outlineLevel="0" collapsed="false">
      <c r="A2367" s="13" t="s">
        <v>657</v>
      </c>
      <c r="B2367" s="13" t="s">
        <v>42</v>
      </c>
      <c r="C2367" s="13" t="n">
        <v>3500</v>
      </c>
      <c r="D2367" s="13" t="n">
        <v>5</v>
      </c>
      <c r="E2367" s="13" t="n">
        <v>707.156</v>
      </c>
      <c r="F2367" s="13" t="s">
        <v>5325</v>
      </c>
      <c r="G2367" s="13" t="s">
        <v>5289</v>
      </c>
      <c r="H2367" s="13" t="s">
        <v>5292</v>
      </c>
      <c r="I2367" s="13" t="s">
        <v>5289</v>
      </c>
      <c r="J2367" s="13" t="s">
        <v>5289</v>
      </c>
      <c r="K2367" s="13" t="s">
        <v>5289</v>
      </c>
      <c r="L2367" s="13" t="n">
        <v>8411061057056</v>
      </c>
      <c r="M2367" s="13"/>
      <c r="N2367" s="13" t="n">
        <v>8411061057056</v>
      </c>
      <c r="O2367" s="13"/>
      <c r="P2367" s="13" t="s">
        <v>5291</v>
      </c>
      <c r="Q2367" s="13" t="s">
        <v>5289</v>
      </c>
      <c r="R2367" s="13" t="s">
        <v>5292</v>
      </c>
      <c r="S2367" s="13" t="s">
        <v>5293</v>
      </c>
      <c r="T2367" s="13" t="s">
        <v>5</v>
      </c>
      <c r="U2367" s="13" t="s">
        <v>43</v>
      </c>
      <c r="V2367" s="13" t="n">
        <f aca="false">IF(COUNTIF($B$2:B2367,B2367)=1,1,0)</f>
        <v>0</v>
      </c>
      <c r="W2367" s="13" t="n">
        <f aca="false">IF(COUNTIFS($B$2:B2367,B2367,$T$2:T2367,T2367)=1,1,0)</f>
        <v>0</v>
      </c>
    </row>
    <row r="2368" customFormat="false" ht="15" hidden="false" customHeight="false" outlineLevel="0" collapsed="false">
      <c r="A2368" s="13" t="s">
        <v>658</v>
      </c>
      <c r="B2368" s="13" t="s">
        <v>153</v>
      </c>
      <c r="C2368" s="13" t="n">
        <v>3500</v>
      </c>
      <c r="D2368" s="13" t="n">
        <v>5</v>
      </c>
      <c r="E2368" s="13" t="n">
        <v>438.49875</v>
      </c>
      <c r="F2368" s="13" t="s">
        <v>5325</v>
      </c>
      <c r="G2368" s="13" t="s">
        <v>5289</v>
      </c>
      <c r="H2368" s="13" t="s">
        <v>5289</v>
      </c>
      <c r="I2368" s="13" t="s">
        <v>5289</v>
      </c>
      <c r="J2368" s="13" t="s">
        <v>5289</v>
      </c>
      <c r="K2368" s="13" t="s">
        <v>5289</v>
      </c>
      <c r="L2368" s="13"/>
      <c r="M2368" s="13"/>
      <c r="N2368" s="13" t="n">
        <v>8011003890798</v>
      </c>
      <c r="O2368" s="13"/>
      <c r="P2368" s="13" t="s">
        <v>5291</v>
      </c>
      <c r="Q2368" s="13" t="s">
        <v>5289</v>
      </c>
      <c r="R2368" s="13" t="s">
        <v>5292</v>
      </c>
      <c r="S2368" s="13" t="s">
        <v>5293</v>
      </c>
      <c r="T2368" s="13" t="s">
        <v>5</v>
      </c>
      <c r="U2368" s="13" t="s">
        <v>43</v>
      </c>
      <c r="V2368" s="13" t="n">
        <f aca="false">IF(COUNTIF($B$2:B2368,B2368)=1,1,0)</f>
        <v>0</v>
      </c>
      <c r="W2368" s="13" t="n">
        <f aca="false">IF(COUNTIFS($B$2:B2368,B2368,$T$2:T2368,T2368)=1,1,0)</f>
        <v>0</v>
      </c>
    </row>
    <row r="2369" customFormat="false" ht="15" hidden="false" customHeight="false" outlineLevel="0" collapsed="false">
      <c r="A2369" s="13" t="s">
        <v>659</v>
      </c>
      <c r="B2369" s="13" t="s">
        <v>42</v>
      </c>
      <c r="C2369" s="13" t="n">
        <v>3500</v>
      </c>
      <c r="D2369" s="13" t="n">
        <v>5</v>
      </c>
      <c r="E2369" s="13" t="n">
        <v>582.245</v>
      </c>
      <c r="F2369" s="13" t="s">
        <v>5288</v>
      </c>
      <c r="G2369" s="13" t="s">
        <v>5289</v>
      </c>
      <c r="H2369" s="13" t="s">
        <v>5292</v>
      </c>
      <c r="I2369" s="13" t="s">
        <v>5289</v>
      </c>
      <c r="J2369" s="13" t="s">
        <v>5289</v>
      </c>
      <c r="K2369" s="13" t="s">
        <v>5289</v>
      </c>
      <c r="L2369" s="13" t="n">
        <v>8411061043868</v>
      </c>
      <c r="M2369" s="13"/>
      <c r="N2369" s="13" t="n">
        <v>8.43541506127884E+038</v>
      </c>
      <c r="O2369" s="13"/>
      <c r="P2369" s="13" t="s">
        <v>5291</v>
      </c>
      <c r="Q2369" s="13" t="s">
        <v>5289</v>
      </c>
      <c r="R2369" s="13" t="s">
        <v>5292</v>
      </c>
      <c r="S2369" s="13" t="s">
        <v>5293</v>
      </c>
      <c r="T2369" s="13" t="s">
        <v>5</v>
      </c>
      <c r="U2369" s="13" t="s">
        <v>43</v>
      </c>
      <c r="V2369" s="13" t="n">
        <f aca="false">IF(COUNTIF($B$2:B2369,B2369)=1,1,0)</f>
        <v>0</v>
      </c>
      <c r="W2369" s="13" t="n">
        <f aca="false">IF(COUNTIFS($B$2:B2369,B2369,$T$2:T2369,T2369)=1,1,0)</f>
        <v>0</v>
      </c>
    </row>
    <row r="2370" customFormat="false" ht="15" hidden="false" customHeight="false" outlineLevel="0" collapsed="false">
      <c r="A2370" s="13" t="s">
        <v>656</v>
      </c>
      <c r="B2370" s="13" t="s">
        <v>54</v>
      </c>
      <c r="C2370" s="13" t="n">
        <v>3500</v>
      </c>
      <c r="D2370" s="13" t="n">
        <v>10</v>
      </c>
      <c r="E2370" s="13" t="n">
        <v>289.265</v>
      </c>
      <c r="F2370" s="13" t="s">
        <v>5325</v>
      </c>
      <c r="G2370" s="13" t="s">
        <v>5289</v>
      </c>
      <c r="H2370" s="13" t="s">
        <v>5289</v>
      </c>
      <c r="I2370" s="13" t="s">
        <v>5289</v>
      </c>
      <c r="J2370" s="13" t="s">
        <v>5289</v>
      </c>
      <c r="K2370" s="13" t="s">
        <v>5289</v>
      </c>
      <c r="L2370" s="13" t="n">
        <v>7898965700027</v>
      </c>
      <c r="M2370" s="13"/>
      <c r="N2370" s="13" t="n">
        <v>7.89896570002773E+036</v>
      </c>
      <c r="O2370" s="13"/>
      <c r="P2370" s="13" t="s">
        <v>5291</v>
      </c>
      <c r="Q2370" s="13" t="s">
        <v>5289</v>
      </c>
      <c r="R2370" s="13" t="s">
        <v>5292</v>
      </c>
      <c r="S2370" s="13" t="s">
        <v>5293</v>
      </c>
      <c r="T2370" s="13" t="s">
        <v>5</v>
      </c>
      <c r="U2370" s="13" t="s">
        <v>43</v>
      </c>
      <c r="V2370" s="13" t="n">
        <f aca="false">IF(COUNTIF($B$2:B2370,B2370)=1,1,0)</f>
        <v>0</v>
      </c>
      <c r="W2370" s="13" t="n">
        <f aca="false">IF(COUNTIFS($B$2:B2370,B2370,$T$2:T2370,T2370)=1,1,0)</f>
        <v>0</v>
      </c>
    </row>
    <row r="2371" customFormat="false" ht="15" hidden="false" customHeight="false" outlineLevel="0" collapsed="false">
      <c r="A2371" s="13" t="s">
        <v>655</v>
      </c>
      <c r="B2371" s="13" t="s">
        <v>107</v>
      </c>
      <c r="C2371" s="13" t="n">
        <v>3500</v>
      </c>
      <c r="D2371" s="13" t="n">
        <v>30</v>
      </c>
      <c r="E2371" s="13" t="n">
        <v>101.843235294118</v>
      </c>
      <c r="F2371" s="13" t="s">
        <v>5325</v>
      </c>
      <c r="G2371" s="13" t="s">
        <v>5289</v>
      </c>
      <c r="H2371" s="13" t="s">
        <v>5292</v>
      </c>
      <c r="I2371" s="13" t="s">
        <v>5289</v>
      </c>
      <c r="J2371" s="13" t="s">
        <v>5289</v>
      </c>
      <c r="K2371" s="13" t="s">
        <v>5289</v>
      </c>
      <c r="L2371" s="13" t="n">
        <v>3614226743916</v>
      </c>
      <c r="M2371" s="13"/>
      <c r="N2371" s="13" t="n">
        <v>3.61422674391641E+025</v>
      </c>
      <c r="O2371" s="13"/>
      <c r="P2371" s="13" t="s">
        <v>5297</v>
      </c>
      <c r="Q2371" s="13" t="s">
        <v>5289</v>
      </c>
      <c r="R2371" s="13" t="s">
        <v>5292</v>
      </c>
      <c r="S2371" s="13" t="s">
        <v>5293</v>
      </c>
      <c r="T2371" s="13" t="s">
        <v>5</v>
      </c>
      <c r="U2371" s="13" t="s">
        <v>43</v>
      </c>
      <c r="V2371" s="13" t="n">
        <f aca="false">IF(COUNTIF($B$2:B2371,B2371)=1,1,0)</f>
        <v>0</v>
      </c>
      <c r="W2371" s="13" t="n">
        <f aca="false">IF(COUNTIFS($B$2:B2371,B2371,$T$2:T2371,T2371)=1,1,0)</f>
        <v>0</v>
      </c>
    </row>
    <row r="2372" customFormat="false" ht="15" hidden="false" customHeight="false" outlineLevel="0" collapsed="false">
      <c r="A2372" s="13" t="s">
        <v>486</v>
      </c>
      <c r="B2372" s="13" t="s">
        <v>79</v>
      </c>
      <c r="C2372" s="13" t="n">
        <v>3500</v>
      </c>
      <c r="D2372" s="13" t="n">
        <v>5</v>
      </c>
      <c r="E2372" s="13" t="n">
        <v>384.666666666667</v>
      </c>
      <c r="F2372" s="13" t="s">
        <v>5288</v>
      </c>
      <c r="G2372" s="13" t="s">
        <v>5289</v>
      </c>
      <c r="H2372" s="13" t="s">
        <v>5289</v>
      </c>
      <c r="I2372" s="13" t="s">
        <v>5289</v>
      </c>
      <c r="J2372" s="13" t="s">
        <v>5289</v>
      </c>
      <c r="K2372" s="13" t="s">
        <v>5289</v>
      </c>
      <c r="L2372" s="13" t="n">
        <v>8057971188178</v>
      </c>
      <c r="M2372" s="13"/>
      <c r="N2372" s="13" t="n">
        <v>8057971188178</v>
      </c>
      <c r="O2372" s="13"/>
      <c r="P2372" s="13" t="s">
        <v>5291</v>
      </c>
      <c r="Q2372" s="13" t="s">
        <v>5289</v>
      </c>
      <c r="R2372" s="13" t="s">
        <v>5292</v>
      </c>
      <c r="S2372" s="13" t="s">
        <v>5293</v>
      </c>
      <c r="T2372" s="13" t="s">
        <v>5</v>
      </c>
      <c r="U2372" s="13" t="s">
        <v>43</v>
      </c>
      <c r="V2372" s="13" t="n">
        <f aca="false">IF(COUNTIF($B$2:B2372,B2372)=1,1,0)</f>
        <v>0</v>
      </c>
      <c r="W2372" s="13" t="n">
        <f aca="false">IF(COUNTIFS($B$2:B2372,B2372,$T$2:T2372,T2372)=1,1,0)</f>
        <v>0</v>
      </c>
    </row>
    <row r="2373" customFormat="false" ht="15" hidden="false" customHeight="false" outlineLevel="0" collapsed="false">
      <c r="A2373" s="13" t="s">
        <v>113</v>
      </c>
      <c r="B2373" s="13" t="s">
        <v>45</v>
      </c>
      <c r="C2373" s="13" t="n">
        <v>3500</v>
      </c>
      <c r="D2373" s="13" t="n">
        <v>5</v>
      </c>
      <c r="E2373" s="13" t="n">
        <v>692</v>
      </c>
      <c r="F2373" s="13" t="s">
        <v>5288</v>
      </c>
      <c r="G2373" s="13" t="s">
        <v>5292</v>
      </c>
      <c r="H2373" s="13" t="s">
        <v>5289</v>
      </c>
      <c r="I2373" s="13" t="s">
        <v>5289</v>
      </c>
      <c r="J2373" s="13" t="s">
        <v>5289</v>
      </c>
      <c r="K2373" s="13" t="s">
        <v>5289</v>
      </c>
      <c r="L2373" s="13"/>
      <c r="M2373" s="13"/>
      <c r="N2373" s="13" t="n">
        <v>8435415055963</v>
      </c>
      <c r="O2373" s="13"/>
      <c r="P2373" s="13" t="s">
        <v>5291</v>
      </c>
      <c r="Q2373" s="13" t="s">
        <v>5289</v>
      </c>
      <c r="R2373" s="13" t="s">
        <v>5292</v>
      </c>
      <c r="S2373" s="13" t="s">
        <v>5293</v>
      </c>
      <c r="T2373" s="13" t="s">
        <v>5</v>
      </c>
      <c r="U2373" s="13" t="s">
        <v>43</v>
      </c>
      <c r="V2373" s="13" t="n">
        <f aca="false">IF(COUNTIF($B$2:B2373,B2373)=1,1,0)</f>
        <v>0</v>
      </c>
      <c r="W2373" s="13" t="n">
        <f aca="false">IF(COUNTIFS($B$2:B2373,B2373,$T$2:T2373,T2373)=1,1,0)</f>
        <v>0</v>
      </c>
    </row>
    <row r="2374" customFormat="false" ht="15" hidden="false" customHeight="false" outlineLevel="0" collapsed="false">
      <c r="A2374" s="13" t="s">
        <v>654</v>
      </c>
      <c r="B2374" s="13" t="s">
        <v>42</v>
      </c>
      <c r="C2374" s="13" t="n">
        <v>3500</v>
      </c>
      <c r="D2374" s="13" t="n">
        <v>5</v>
      </c>
      <c r="E2374" s="13" t="n">
        <v>691.96</v>
      </c>
      <c r="F2374" s="13" t="s">
        <v>5325</v>
      </c>
      <c r="G2374" s="13" t="s">
        <v>5289</v>
      </c>
      <c r="H2374" s="13" t="s">
        <v>5289</v>
      </c>
      <c r="I2374" s="13" t="s">
        <v>5289</v>
      </c>
      <c r="J2374" s="13" t="s">
        <v>5289</v>
      </c>
      <c r="K2374" s="13" t="s">
        <v>5289</v>
      </c>
      <c r="L2374" s="13" t="n">
        <v>8411061067925</v>
      </c>
      <c r="M2374" s="13"/>
      <c r="N2374" s="13" t="n">
        <v>8.41106166502284E+025</v>
      </c>
      <c r="O2374" s="13"/>
      <c r="P2374" s="13" t="s">
        <v>5291</v>
      </c>
      <c r="Q2374" s="13" t="s">
        <v>5289</v>
      </c>
      <c r="R2374" s="13" t="s">
        <v>5292</v>
      </c>
      <c r="S2374" s="13" t="s">
        <v>5293</v>
      </c>
      <c r="T2374" s="13" t="s">
        <v>5</v>
      </c>
      <c r="U2374" s="13" t="s">
        <v>43</v>
      </c>
      <c r="V2374" s="13" t="n">
        <f aca="false">IF(COUNTIF($B$2:B2374,B2374)=1,1,0)</f>
        <v>0</v>
      </c>
      <c r="W2374" s="13" t="n">
        <f aca="false">IF(COUNTIFS($B$2:B2374,B2374,$T$2:T2374,T2374)=1,1,0)</f>
        <v>0</v>
      </c>
    </row>
    <row r="2375" customFormat="false" ht="15" hidden="false" customHeight="false" outlineLevel="0" collapsed="false">
      <c r="A2375" s="13" t="s">
        <v>404</v>
      </c>
      <c r="B2375" s="13" t="s">
        <v>50</v>
      </c>
      <c r="C2375" s="13" t="n">
        <v>3400</v>
      </c>
      <c r="D2375" s="13" t="n">
        <v>5</v>
      </c>
      <c r="E2375" s="13" t="n">
        <v>690</v>
      </c>
      <c r="F2375" s="13" t="s">
        <v>5325</v>
      </c>
      <c r="G2375" s="13" t="s">
        <v>5289</v>
      </c>
      <c r="H2375" s="13" t="s">
        <v>5289</v>
      </c>
      <c r="I2375" s="13" t="s">
        <v>5289</v>
      </c>
      <c r="J2375" s="13" t="s">
        <v>5289</v>
      </c>
      <c r="K2375" s="13" t="s">
        <v>5289</v>
      </c>
      <c r="L2375" s="13" t="n">
        <v>3349668617050</v>
      </c>
      <c r="M2375" s="13"/>
      <c r="N2375" s="13" t="n">
        <v>3349668617050</v>
      </c>
      <c r="O2375" s="13"/>
      <c r="P2375" s="13" t="s">
        <v>5291</v>
      </c>
      <c r="Q2375" s="13" t="s">
        <v>5289</v>
      </c>
      <c r="R2375" s="13" t="s">
        <v>5292</v>
      </c>
      <c r="S2375" s="13" t="s">
        <v>5293</v>
      </c>
      <c r="T2375" s="13" t="s">
        <v>5</v>
      </c>
      <c r="U2375" s="13" t="s">
        <v>43</v>
      </c>
      <c r="V2375" s="13" t="n">
        <f aca="false">IF(COUNTIF($B$2:B2375,B2375)=1,1,0)</f>
        <v>0</v>
      </c>
      <c r="W2375" s="13" t="n">
        <f aca="false">IF(COUNTIFS($B$2:B2375,B2375,$T$2:T2375,T2375)=1,1,0)</f>
        <v>0</v>
      </c>
    </row>
    <row r="2376" customFormat="false" ht="15" hidden="false" customHeight="false" outlineLevel="0" collapsed="false">
      <c r="A2376" s="13" t="s">
        <v>662</v>
      </c>
      <c r="B2376" s="13" t="s">
        <v>121</v>
      </c>
      <c r="C2376" s="13" t="n">
        <v>3400</v>
      </c>
      <c r="D2376" s="13" t="n">
        <v>20</v>
      </c>
      <c r="E2376" s="13" t="n">
        <v>149.31</v>
      </c>
      <c r="F2376" s="13" t="s">
        <v>5288</v>
      </c>
      <c r="G2376" s="13" t="s">
        <v>5289</v>
      </c>
      <c r="H2376" s="13" t="s">
        <v>5289</v>
      </c>
      <c r="I2376" s="13" t="s">
        <v>5289</v>
      </c>
      <c r="J2376" s="13" t="s">
        <v>5289</v>
      </c>
      <c r="K2376" s="13" t="s">
        <v>5289</v>
      </c>
      <c r="L2376" s="13" t="n">
        <v>7896086993816</v>
      </c>
      <c r="M2376" s="13"/>
      <c r="N2376" s="13" t="n">
        <v>7896086993816</v>
      </c>
      <c r="O2376" s="13"/>
      <c r="P2376" s="13" t="s">
        <v>5291</v>
      </c>
      <c r="Q2376" s="13" t="s">
        <v>5289</v>
      </c>
      <c r="R2376" s="13" t="s">
        <v>5292</v>
      </c>
      <c r="S2376" s="13" t="s">
        <v>5293</v>
      </c>
      <c r="T2376" s="13" t="s">
        <v>5</v>
      </c>
      <c r="U2376" s="13" t="s">
        <v>43</v>
      </c>
      <c r="V2376" s="13" t="n">
        <f aca="false">IF(COUNTIF($B$2:B2376,B2376)=1,1,0)</f>
        <v>0</v>
      </c>
      <c r="W2376" s="13" t="n">
        <f aca="false">IF(COUNTIFS($B$2:B2376,B2376,$T$2:T2376,T2376)=1,1,0)</f>
        <v>0</v>
      </c>
    </row>
    <row r="2377" customFormat="false" ht="15" hidden="false" customHeight="false" outlineLevel="0" collapsed="false">
      <c r="A2377" s="13" t="s">
        <v>360</v>
      </c>
      <c r="B2377" s="13" t="s">
        <v>195</v>
      </c>
      <c r="C2377" s="13" t="n">
        <v>3400</v>
      </c>
      <c r="D2377" s="13" t="n">
        <v>5</v>
      </c>
      <c r="E2377" s="13" t="n">
        <v>380.903333333333</v>
      </c>
      <c r="F2377" s="13" t="s">
        <v>5288</v>
      </c>
      <c r="G2377" s="13" t="s">
        <v>5289</v>
      </c>
      <c r="H2377" s="13" t="s">
        <v>5289</v>
      </c>
      <c r="I2377" s="13" t="s">
        <v>5289</v>
      </c>
      <c r="J2377" s="13" t="s">
        <v>5289</v>
      </c>
      <c r="K2377" s="13" t="s">
        <v>5289</v>
      </c>
      <c r="L2377" s="13" t="n">
        <v>3616302020645</v>
      </c>
      <c r="M2377" s="13"/>
      <c r="N2377" s="13" t="n">
        <v>3616302020645</v>
      </c>
      <c r="O2377" s="13"/>
      <c r="P2377" s="13" t="s">
        <v>5291</v>
      </c>
      <c r="Q2377" s="13" t="s">
        <v>5289</v>
      </c>
      <c r="R2377" s="13" t="s">
        <v>5292</v>
      </c>
      <c r="S2377" s="13" t="s">
        <v>5293</v>
      </c>
      <c r="T2377" s="13" t="s">
        <v>5</v>
      </c>
      <c r="U2377" s="13" t="s">
        <v>43</v>
      </c>
      <c r="V2377" s="13" t="n">
        <f aca="false">IF(COUNTIF($B$2:B2377,B2377)=1,1,0)</f>
        <v>0</v>
      </c>
      <c r="W2377" s="13" t="n">
        <f aca="false">IF(COUNTIFS($B$2:B2377,B2377,$T$2:T2377,T2377)=1,1,0)</f>
        <v>0</v>
      </c>
    </row>
    <row r="2378" customFormat="false" ht="15" hidden="false" customHeight="false" outlineLevel="0" collapsed="false">
      <c r="A2378" s="13" t="s">
        <v>345</v>
      </c>
      <c r="B2378" s="13" t="s">
        <v>42</v>
      </c>
      <c r="C2378" s="13" t="n">
        <v>3400</v>
      </c>
      <c r="D2378" s="13" t="n">
        <v>5</v>
      </c>
      <c r="E2378" s="13" t="n">
        <v>488.47</v>
      </c>
      <c r="F2378" s="13" t="s">
        <v>5325</v>
      </c>
      <c r="G2378" s="13" t="s">
        <v>5289</v>
      </c>
      <c r="H2378" s="13" t="s">
        <v>5289</v>
      </c>
      <c r="I2378" s="13" t="s">
        <v>5289</v>
      </c>
      <c r="J2378" s="13" t="s">
        <v>5289</v>
      </c>
      <c r="K2378" s="13" t="s">
        <v>5289</v>
      </c>
      <c r="L2378" s="13" t="n">
        <v>8411061081600</v>
      </c>
      <c r="M2378" s="13"/>
      <c r="N2378" s="13" t="n">
        <v>8411061081600</v>
      </c>
      <c r="O2378" s="13"/>
      <c r="P2378" s="13" t="s">
        <v>5291</v>
      </c>
      <c r="Q2378" s="13" t="s">
        <v>5289</v>
      </c>
      <c r="R2378" s="13" t="s">
        <v>5292</v>
      </c>
      <c r="S2378" s="13" t="s">
        <v>5293</v>
      </c>
      <c r="T2378" s="13" t="s">
        <v>5</v>
      </c>
      <c r="U2378" s="13" t="s">
        <v>43</v>
      </c>
      <c r="V2378" s="13" t="n">
        <f aca="false">IF(COUNTIF($B$2:B2378,B2378)=1,1,0)</f>
        <v>0</v>
      </c>
      <c r="W2378" s="13" t="n">
        <f aca="false">IF(COUNTIFS($B$2:B2378,B2378,$T$2:T2378,T2378)=1,1,0)</f>
        <v>0</v>
      </c>
    </row>
    <row r="2379" customFormat="false" ht="15" hidden="false" customHeight="false" outlineLevel="0" collapsed="false">
      <c r="A2379" s="13" t="s">
        <v>663</v>
      </c>
      <c r="B2379" s="13" t="s">
        <v>165</v>
      </c>
      <c r="C2379" s="13" t="n">
        <v>3400</v>
      </c>
      <c r="D2379" s="13" t="n">
        <v>5</v>
      </c>
      <c r="E2379" s="13" t="n">
        <v>485</v>
      </c>
      <c r="F2379" s="13" t="s">
        <v>5325</v>
      </c>
      <c r="G2379" s="13" t="s">
        <v>5289</v>
      </c>
      <c r="H2379" s="13" t="s">
        <v>5289</v>
      </c>
      <c r="I2379" s="13" t="s">
        <v>5289</v>
      </c>
      <c r="J2379" s="13" t="s">
        <v>5289</v>
      </c>
      <c r="K2379" s="13" t="s">
        <v>5289</v>
      </c>
      <c r="L2379" s="13" t="n">
        <v>3614273638869</v>
      </c>
      <c r="M2379" s="13"/>
      <c r="N2379" s="13" t="n">
        <v>3614273638869</v>
      </c>
      <c r="O2379" s="13"/>
      <c r="P2379" s="13" t="s">
        <v>5291</v>
      </c>
      <c r="Q2379" s="13" t="s">
        <v>5289</v>
      </c>
      <c r="R2379" s="13" t="s">
        <v>5292</v>
      </c>
      <c r="S2379" s="13" t="s">
        <v>5293</v>
      </c>
      <c r="T2379" s="13" t="s">
        <v>5</v>
      </c>
      <c r="U2379" s="13" t="s">
        <v>43</v>
      </c>
      <c r="V2379" s="13" t="n">
        <f aca="false">IF(COUNTIF($B$2:B2379,B2379)=1,1,0)</f>
        <v>0</v>
      </c>
      <c r="W2379" s="13" t="n">
        <f aca="false">IF(COUNTIFS($B$2:B2379,B2379,$T$2:T2379,T2379)=1,1,0)</f>
        <v>0</v>
      </c>
    </row>
    <row r="2380" customFormat="false" ht="15" hidden="false" customHeight="false" outlineLevel="0" collapsed="false">
      <c r="A2380" s="13" t="s">
        <v>670</v>
      </c>
      <c r="B2380" s="13" t="s">
        <v>177</v>
      </c>
      <c r="C2380" s="13" t="n">
        <v>3400</v>
      </c>
      <c r="D2380" s="13" t="n">
        <v>2</v>
      </c>
      <c r="E2380" s="13" t="n">
        <v>848.28</v>
      </c>
      <c r="F2380" s="13" t="s">
        <v>5325</v>
      </c>
      <c r="G2380" s="13" t="s">
        <v>5289</v>
      </c>
      <c r="H2380" s="13" t="s">
        <v>5289</v>
      </c>
      <c r="I2380" s="13" t="s">
        <v>5289</v>
      </c>
      <c r="J2380" s="13" t="s">
        <v>5289</v>
      </c>
      <c r="K2380" s="13" t="s">
        <v>5289</v>
      </c>
      <c r="L2380" s="13" t="n">
        <v>3616305259448</v>
      </c>
      <c r="M2380" s="13"/>
      <c r="N2380" s="13" t="n">
        <v>3616305259448</v>
      </c>
      <c r="O2380" s="13"/>
      <c r="P2380" s="13" t="s">
        <v>5297</v>
      </c>
      <c r="Q2380" s="13" t="s">
        <v>5289</v>
      </c>
      <c r="R2380" s="13" t="s">
        <v>5292</v>
      </c>
      <c r="S2380" s="13" t="s">
        <v>5293</v>
      </c>
      <c r="T2380" s="13" t="s">
        <v>5</v>
      </c>
      <c r="U2380" s="13" t="s">
        <v>43</v>
      </c>
      <c r="V2380" s="13" t="n">
        <f aca="false">IF(COUNTIF($B$2:B2380,B2380)=1,1,0)</f>
        <v>0</v>
      </c>
      <c r="W2380" s="13" t="n">
        <f aca="false">IF(COUNTIFS($B$2:B2380,B2380,$T$2:T2380,T2380)=1,1,0)</f>
        <v>0</v>
      </c>
    </row>
    <row r="2381" customFormat="false" ht="15" hidden="false" customHeight="false" outlineLevel="0" collapsed="false">
      <c r="A2381" s="13" t="s">
        <v>669</v>
      </c>
      <c r="B2381" s="13" t="s">
        <v>121</v>
      </c>
      <c r="C2381" s="13" t="n">
        <v>3400</v>
      </c>
      <c r="D2381" s="13" t="n">
        <v>30</v>
      </c>
      <c r="E2381" s="13" t="n">
        <v>99.7741176470589</v>
      </c>
      <c r="F2381" s="13" t="s">
        <v>5325</v>
      </c>
      <c r="G2381" s="13" t="s">
        <v>5289</v>
      </c>
      <c r="H2381" s="13" t="s">
        <v>5289</v>
      </c>
      <c r="I2381" s="13" t="s">
        <v>5289</v>
      </c>
      <c r="J2381" s="13" t="s">
        <v>5289</v>
      </c>
      <c r="K2381" s="13" t="s">
        <v>5289</v>
      </c>
      <c r="L2381" s="13" t="n">
        <v>7896086944337</v>
      </c>
      <c r="M2381" s="13"/>
      <c r="N2381" s="13" t="n">
        <v>7896086944337</v>
      </c>
      <c r="O2381" s="13"/>
      <c r="P2381" s="13" t="s">
        <v>5291</v>
      </c>
      <c r="Q2381" s="13" t="s">
        <v>5289</v>
      </c>
      <c r="R2381" s="13" t="s">
        <v>5292</v>
      </c>
      <c r="S2381" s="13" t="s">
        <v>5293</v>
      </c>
      <c r="T2381" s="13" t="s">
        <v>5</v>
      </c>
      <c r="U2381" s="13" t="s">
        <v>183</v>
      </c>
      <c r="V2381" s="13" t="n">
        <f aca="false">IF(COUNTIF($B$2:B2381,B2381)=1,1,0)</f>
        <v>0</v>
      </c>
      <c r="W2381" s="13" t="n">
        <f aca="false">IF(COUNTIFS($B$2:B2381,B2381,$T$2:T2381,T2381)=1,1,0)</f>
        <v>0</v>
      </c>
    </row>
    <row r="2382" customFormat="false" ht="15" hidden="false" customHeight="false" outlineLevel="0" collapsed="false">
      <c r="A2382" s="13" t="s">
        <v>664</v>
      </c>
      <c r="B2382" s="13" t="s">
        <v>54</v>
      </c>
      <c r="C2382" s="13" t="n">
        <v>3400</v>
      </c>
      <c r="D2382" s="13" t="n">
        <v>5</v>
      </c>
      <c r="E2382" s="13" t="n">
        <v>336.54</v>
      </c>
      <c r="F2382" s="13" t="s">
        <v>5325</v>
      </c>
      <c r="G2382" s="13" t="s">
        <v>5289</v>
      </c>
      <c r="H2382" s="13" t="s">
        <v>5289</v>
      </c>
      <c r="I2382" s="13" t="s">
        <v>5289</v>
      </c>
      <c r="J2382" s="13" t="s">
        <v>5289</v>
      </c>
      <c r="K2382" s="13" t="s">
        <v>5292</v>
      </c>
      <c r="L2382" s="13" t="n">
        <v>730852145313</v>
      </c>
      <c r="M2382" s="13"/>
      <c r="N2382" s="13" t="n">
        <v>730852145313</v>
      </c>
      <c r="O2382" s="13"/>
      <c r="P2382" s="13" t="s">
        <v>5291</v>
      </c>
      <c r="Q2382" s="13" t="s">
        <v>5289</v>
      </c>
      <c r="R2382" s="13" t="s">
        <v>5292</v>
      </c>
      <c r="S2382" s="13" t="s">
        <v>5293</v>
      </c>
      <c r="T2382" s="13" t="s">
        <v>5</v>
      </c>
      <c r="U2382" s="13" t="s">
        <v>43</v>
      </c>
      <c r="V2382" s="13" t="n">
        <f aca="false">IF(COUNTIF($B$2:B2382,B2382)=1,1,0)</f>
        <v>0</v>
      </c>
      <c r="W2382" s="13" t="n">
        <f aca="false">IF(COUNTIFS($B$2:B2382,B2382,$T$2:T2382,T2382)=1,1,0)</f>
        <v>0</v>
      </c>
    </row>
    <row r="2383" customFormat="false" ht="15" hidden="false" customHeight="false" outlineLevel="0" collapsed="false">
      <c r="A2383" s="13" t="s">
        <v>71</v>
      </c>
      <c r="B2383" s="13" t="s">
        <v>50</v>
      </c>
      <c r="C2383" s="13" t="n">
        <v>3300</v>
      </c>
      <c r="D2383" s="13" t="n">
        <v>5</v>
      </c>
      <c r="E2383" s="13" t="n">
        <v>666.2</v>
      </c>
      <c r="F2383" s="13" t="s">
        <v>5288</v>
      </c>
      <c r="G2383" s="13" t="s">
        <v>5292</v>
      </c>
      <c r="H2383" s="13" t="s">
        <v>5289</v>
      </c>
      <c r="I2383" s="13" t="s">
        <v>5289</v>
      </c>
      <c r="J2383" s="13" t="s">
        <v>5289</v>
      </c>
      <c r="K2383" s="13" t="s">
        <v>5289</v>
      </c>
      <c r="L2383" s="13" t="n">
        <v>3349668592388</v>
      </c>
      <c r="M2383" s="13"/>
      <c r="N2383" s="13" t="n">
        <v>3349668592388</v>
      </c>
      <c r="O2383" s="13"/>
      <c r="P2383" s="13" t="s">
        <v>5297</v>
      </c>
      <c r="Q2383" s="13" t="s">
        <v>5289</v>
      </c>
      <c r="R2383" s="13" t="s">
        <v>5292</v>
      </c>
      <c r="S2383" s="13" t="s">
        <v>5293</v>
      </c>
      <c r="T2383" s="13" t="s">
        <v>5</v>
      </c>
      <c r="U2383" s="13" t="s">
        <v>43</v>
      </c>
      <c r="V2383" s="13" t="n">
        <f aca="false">IF(COUNTIF($B$2:B2383,B2383)=1,1,0)</f>
        <v>0</v>
      </c>
      <c r="W2383" s="13" t="n">
        <f aca="false">IF(COUNTIFS($B$2:B2383,B2383,$T$2:T2383,T2383)=1,1,0)</f>
        <v>0</v>
      </c>
    </row>
    <row r="2384" customFormat="false" ht="15" hidden="false" customHeight="false" outlineLevel="0" collapsed="false">
      <c r="A2384" s="13" t="s">
        <v>674</v>
      </c>
      <c r="B2384" s="13" t="s">
        <v>107</v>
      </c>
      <c r="C2384" s="13" t="n">
        <v>3300</v>
      </c>
      <c r="D2384" s="13" t="n">
        <v>10</v>
      </c>
      <c r="E2384" s="13" t="n">
        <v>277.085833333333</v>
      </c>
      <c r="F2384" s="13" t="s">
        <v>5288</v>
      </c>
      <c r="G2384" s="13" t="s">
        <v>5289</v>
      </c>
      <c r="H2384" s="13" t="s">
        <v>5292</v>
      </c>
      <c r="I2384" s="13" t="s">
        <v>5289</v>
      </c>
      <c r="J2384" s="13" t="s">
        <v>5289</v>
      </c>
      <c r="K2384" s="13" t="s">
        <v>5289</v>
      </c>
      <c r="L2384" s="13" t="n">
        <v>9000250252380</v>
      </c>
      <c r="M2384" s="13"/>
      <c r="N2384" s="13" t="n">
        <v>4.0646660416509E+025</v>
      </c>
      <c r="O2384" s="13"/>
      <c r="P2384" s="13" t="s">
        <v>5291</v>
      </c>
      <c r="Q2384" s="13" t="s">
        <v>5289</v>
      </c>
      <c r="R2384" s="13" t="s">
        <v>5292</v>
      </c>
      <c r="S2384" s="13" t="s">
        <v>5293</v>
      </c>
      <c r="T2384" s="13" t="s">
        <v>5</v>
      </c>
      <c r="U2384" s="13" t="s">
        <v>183</v>
      </c>
      <c r="V2384" s="13" t="n">
        <f aca="false">IF(COUNTIF($B$2:B2384,B2384)=1,1,0)</f>
        <v>0</v>
      </c>
      <c r="W2384" s="13" t="n">
        <f aca="false">IF(COUNTIFS($B$2:B2384,B2384,$T$2:T2384,T2384)=1,1,0)</f>
        <v>0</v>
      </c>
    </row>
    <row r="2385" customFormat="false" ht="15" hidden="false" customHeight="false" outlineLevel="0" collapsed="false">
      <c r="A2385" s="13" t="s">
        <v>673</v>
      </c>
      <c r="B2385" s="13" t="s">
        <v>42</v>
      </c>
      <c r="C2385" s="13" t="n">
        <v>3300</v>
      </c>
      <c r="D2385" s="13" t="n">
        <v>5</v>
      </c>
      <c r="E2385" s="13" t="n">
        <v>664.14</v>
      </c>
      <c r="F2385" s="13" t="s">
        <v>5325</v>
      </c>
      <c r="G2385" s="13" t="s">
        <v>5289</v>
      </c>
      <c r="H2385" s="13" t="s">
        <v>5289</v>
      </c>
      <c r="I2385" s="13" t="s">
        <v>5289</v>
      </c>
      <c r="J2385" s="13" t="s">
        <v>5289</v>
      </c>
      <c r="K2385" s="13" t="s">
        <v>5289</v>
      </c>
      <c r="L2385" s="13" t="n">
        <v>8411061027837</v>
      </c>
      <c r="M2385" s="13"/>
      <c r="N2385" s="13" t="n">
        <v>8.41106102783784E+025</v>
      </c>
      <c r="O2385" s="13"/>
      <c r="P2385" s="13" t="s">
        <v>5291</v>
      </c>
      <c r="Q2385" s="13" t="s">
        <v>5289</v>
      </c>
      <c r="R2385" s="13" t="s">
        <v>5292</v>
      </c>
      <c r="S2385" s="13" t="s">
        <v>5293</v>
      </c>
      <c r="T2385" s="13" t="s">
        <v>5</v>
      </c>
      <c r="U2385" s="13" t="s">
        <v>43</v>
      </c>
      <c r="V2385" s="13" t="n">
        <f aca="false">IF(COUNTIF($B$2:B2385,B2385)=1,1,0)</f>
        <v>0</v>
      </c>
      <c r="W2385" s="13" t="n">
        <f aca="false">IF(COUNTIFS($B$2:B2385,B2385,$T$2:T2385,T2385)=1,1,0)</f>
        <v>0</v>
      </c>
    </row>
    <row r="2386" customFormat="false" ht="15" hidden="false" customHeight="false" outlineLevel="0" collapsed="false">
      <c r="A2386" s="13" t="s">
        <v>678</v>
      </c>
      <c r="B2386" s="13" t="s">
        <v>103</v>
      </c>
      <c r="C2386" s="13" t="n">
        <v>3300</v>
      </c>
      <c r="D2386" s="13" t="n">
        <v>20</v>
      </c>
      <c r="E2386" s="13" t="n">
        <v>184.264444444444</v>
      </c>
      <c r="F2386" s="13" t="s">
        <v>5288</v>
      </c>
      <c r="G2386" s="13" t="s">
        <v>5289</v>
      </c>
      <c r="H2386" s="13" t="s">
        <v>5289</v>
      </c>
      <c r="I2386" s="13" t="s">
        <v>5289</v>
      </c>
      <c r="J2386" s="13" t="s">
        <v>5289</v>
      </c>
      <c r="K2386" s="13" t="s">
        <v>5289</v>
      </c>
      <c r="L2386" s="13" t="n">
        <v>8411061085295</v>
      </c>
      <c r="M2386" s="13"/>
      <c r="N2386" s="13" t="n">
        <v>8411061085295</v>
      </c>
      <c r="O2386" s="13"/>
      <c r="P2386" s="13" t="s">
        <v>5291</v>
      </c>
      <c r="Q2386" s="13" t="s">
        <v>5289</v>
      </c>
      <c r="R2386" s="13" t="s">
        <v>5292</v>
      </c>
      <c r="S2386" s="13" t="s">
        <v>5293</v>
      </c>
      <c r="T2386" s="13" t="s">
        <v>5</v>
      </c>
      <c r="U2386" s="13" t="s">
        <v>43</v>
      </c>
      <c r="V2386" s="13" t="n">
        <f aca="false">IF(COUNTIF($B$2:B2386,B2386)=1,1,0)</f>
        <v>0</v>
      </c>
      <c r="W2386" s="13" t="n">
        <f aca="false">IF(COUNTIFS($B$2:B2386,B2386,$T$2:T2386,T2386)=1,1,0)</f>
        <v>0</v>
      </c>
    </row>
    <row r="2387" customFormat="false" ht="15" hidden="false" customHeight="false" outlineLevel="0" collapsed="false">
      <c r="A2387" s="13" t="s">
        <v>108</v>
      </c>
      <c r="B2387" s="13" t="s">
        <v>107</v>
      </c>
      <c r="C2387" s="13" t="n">
        <v>3300</v>
      </c>
      <c r="D2387" s="13" t="n">
        <v>20</v>
      </c>
      <c r="E2387" s="13" t="n">
        <v>174.36</v>
      </c>
      <c r="F2387" s="13" t="s">
        <v>5325</v>
      </c>
      <c r="G2387" s="13" t="s">
        <v>5289</v>
      </c>
      <c r="H2387" s="13" t="s">
        <v>5289</v>
      </c>
      <c r="I2387" s="13" t="s">
        <v>5289</v>
      </c>
      <c r="J2387" s="13" t="s">
        <v>5289</v>
      </c>
      <c r="K2387" s="13" t="s">
        <v>5289</v>
      </c>
      <c r="L2387" s="13"/>
      <c r="M2387" s="13"/>
      <c r="N2387" s="13" t="n">
        <v>7896235353690</v>
      </c>
      <c r="O2387" s="13"/>
      <c r="P2387" s="13" t="s">
        <v>5291</v>
      </c>
      <c r="Q2387" s="13" t="s">
        <v>5289</v>
      </c>
      <c r="R2387" s="13" t="s">
        <v>5292</v>
      </c>
      <c r="S2387" s="13" t="s">
        <v>5293</v>
      </c>
      <c r="T2387" s="13" t="s">
        <v>5</v>
      </c>
      <c r="U2387" s="13" t="s">
        <v>43</v>
      </c>
      <c r="V2387" s="13" t="n">
        <f aca="false">IF(COUNTIF($B$2:B2387,B2387)=1,1,0)</f>
        <v>0</v>
      </c>
      <c r="W2387" s="13" t="n">
        <f aca="false">IF(COUNTIFS($B$2:B2387,B2387,$T$2:T2387,T2387)=1,1,0)</f>
        <v>0</v>
      </c>
    </row>
    <row r="2388" customFormat="false" ht="15" hidden="false" customHeight="false" outlineLevel="0" collapsed="false">
      <c r="A2388" s="13" t="s">
        <v>676</v>
      </c>
      <c r="B2388" s="13" t="s">
        <v>153</v>
      </c>
      <c r="C2388" s="13" t="n">
        <v>3300</v>
      </c>
      <c r="D2388" s="13" t="n">
        <v>5</v>
      </c>
      <c r="E2388" s="13" t="n">
        <v>658.09</v>
      </c>
      <c r="F2388" s="13" t="s">
        <v>5325</v>
      </c>
      <c r="G2388" s="13" t="s">
        <v>5292</v>
      </c>
      <c r="H2388" s="13" t="s">
        <v>5289</v>
      </c>
      <c r="I2388" s="13" t="s">
        <v>5289</v>
      </c>
      <c r="J2388" s="13" t="s">
        <v>5289</v>
      </c>
      <c r="K2388" s="13" t="s">
        <v>5289</v>
      </c>
      <c r="L2388" s="13" t="n">
        <v>8011003891092</v>
      </c>
      <c r="M2388" s="13"/>
      <c r="N2388" s="13" t="n">
        <v>8011003891092</v>
      </c>
      <c r="O2388" s="13"/>
      <c r="P2388" s="13" t="s">
        <v>5291</v>
      </c>
      <c r="Q2388" s="13" t="s">
        <v>5289</v>
      </c>
      <c r="R2388" s="13" t="s">
        <v>5292</v>
      </c>
      <c r="S2388" s="13" t="s">
        <v>5293</v>
      </c>
      <c r="T2388" s="13" t="s">
        <v>5</v>
      </c>
      <c r="U2388" s="13" t="s">
        <v>43</v>
      </c>
      <c r="V2388" s="13" t="n">
        <f aca="false">IF(COUNTIF($B$2:B2388,B2388)=1,1,0)</f>
        <v>0</v>
      </c>
      <c r="W2388" s="13" t="n">
        <f aca="false">IF(COUNTIFS($B$2:B2388,B2388,$T$2:T2388,T2388)=1,1,0)</f>
        <v>0</v>
      </c>
    </row>
    <row r="2389" customFormat="false" ht="15" hidden="false" customHeight="false" outlineLevel="0" collapsed="false">
      <c r="A2389" s="13" t="s">
        <v>675</v>
      </c>
      <c r="B2389" s="13" t="s">
        <v>50</v>
      </c>
      <c r="C2389" s="13" t="n">
        <v>3300</v>
      </c>
      <c r="D2389" s="13" t="n">
        <v>5</v>
      </c>
      <c r="E2389" s="13" t="n">
        <v>658.04</v>
      </c>
      <c r="F2389" s="13" t="s">
        <v>5325</v>
      </c>
      <c r="G2389" s="13" t="s">
        <v>5289</v>
      </c>
      <c r="H2389" s="13" t="s">
        <v>5289</v>
      </c>
      <c r="I2389" s="13" t="s">
        <v>5289</v>
      </c>
      <c r="J2389" s="13" t="s">
        <v>5289</v>
      </c>
      <c r="K2389" s="13" t="s">
        <v>5289</v>
      </c>
      <c r="L2389" s="13" t="n">
        <v>3349668588732</v>
      </c>
      <c r="M2389" s="13"/>
      <c r="N2389" s="13" t="n">
        <v>3.34966861452334E+025</v>
      </c>
      <c r="O2389" s="13"/>
      <c r="P2389" s="13" t="s">
        <v>5291</v>
      </c>
      <c r="Q2389" s="13" t="s">
        <v>5289</v>
      </c>
      <c r="R2389" s="13" t="s">
        <v>5292</v>
      </c>
      <c r="S2389" s="13" t="s">
        <v>5293</v>
      </c>
      <c r="T2389" s="13" t="s">
        <v>5</v>
      </c>
      <c r="U2389" s="13" t="s">
        <v>43</v>
      </c>
      <c r="V2389" s="13" t="n">
        <f aca="false">IF(COUNTIF($B$2:B2389,B2389)=1,1,0)</f>
        <v>0</v>
      </c>
      <c r="W2389" s="13" t="n">
        <f aca="false">IF(COUNTIFS($B$2:B2389,B2389,$T$2:T2389,T2389)=1,1,0)</f>
        <v>0</v>
      </c>
    </row>
    <row r="2390" customFormat="false" ht="15" hidden="false" customHeight="false" outlineLevel="0" collapsed="false">
      <c r="A2390" s="13" t="s">
        <v>672</v>
      </c>
      <c r="B2390" s="13" t="s">
        <v>54</v>
      </c>
      <c r="C2390" s="13" t="n">
        <v>3300</v>
      </c>
      <c r="D2390" s="13" t="n">
        <v>2</v>
      </c>
      <c r="E2390" s="13" t="n">
        <v>1643.695</v>
      </c>
      <c r="F2390" s="13" t="s">
        <v>5325</v>
      </c>
      <c r="G2390" s="13" t="s">
        <v>5289</v>
      </c>
      <c r="H2390" s="13" t="s">
        <v>5289</v>
      </c>
      <c r="I2390" s="13" t="s">
        <v>5289</v>
      </c>
      <c r="J2390" s="13" t="s">
        <v>5289</v>
      </c>
      <c r="K2390" s="13" t="s">
        <v>5289</v>
      </c>
      <c r="L2390" s="13" t="n">
        <v>768614212584</v>
      </c>
      <c r="M2390" s="13"/>
      <c r="N2390" s="13" t="n">
        <v>7.30852139220769E+023</v>
      </c>
      <c r="O2390" s="13"/>
      <c r="P2390" s="13" t="s">
        <v>5291</v>
      </c>
      <c r="Q2390" s="13" t="s">
        <v>5289</v>
      </c>
      <c r="R2390" s="13" t="s">
        <v>5292</v>
      </c>
      <c r="S2390" s="13" t="s">
        <v>5293</v>
      </c>
      <c r="T2390" s="13" t="s">
        <v>5</v>
      </c>
      <c r="U2390" s="13" t="s">
        <v>43</v>
      </c>
      <c r="V2390" s="13" t="n">
        <f aca="false">IF(COUNTIF($B$2:B2390,B2390)=1,1,0)</f>
        <v>0</v>
      </c>
      <c r="W2390" s="13" t="n">
        <f aca="false">IF(COUNTIFS($B$2:B2390,B2390,$T$2:T2390,T2390)=1,1,0)</f>
        <v>0</v>
      </c>
    </row>
    <row r="2391" customFormat="false" ht="15" hidden="false" customHeight="false" outlineLevel="0" collapsed="false">
      <c r="A2391" s="13" t="s">
        <v>113</v>
      </c>
      <c r="B2391" s="13" t="s">
        <v>45</v>
      </c>
      <c r="C2391" s="13" t="n">
        <v>3300</v>
      </c>
      <c r="D2391" s="13" t="n">
        <v>2</v>
      </c>
      <c r="E2391" s="13" t="n">
        <v>818.1575</v>
      </c>
      <c r="F2391" s="13" t="s">
        <v>5325</v>
      </c>
      <c r="G2391" s="13" t="s">
        <v>5289</v>
      </c>
      <c r="H2391" s="13" t="s">
        <v>5289</v>
      </c>
      <c r="I2391" s="13" t="s">
        <v>5289</v>
      </c>
      <c r="J2391" s="13" t="s">
        <v>5289</v>
      </c>
      <c r="K2391" s="13" t="s">
        <v>5289</v>
      </c>
      <c r="L2391" s="13" t="n">
        <v>8435415055963</v>
      </c>
      <c r="M2391" s="13"/>
      <c r="N2391" s="13" t="n">
        <v>8435415055963</v>
      </c>
      <c r="O2391" s="13"/>
      <c r="P2391" s="13" t="s">
        <v>5291</v>
      </c>
      <c r="Q2391" s="13" t="s">
        <v>5289</v>
      </c>
      <c r="R2391" s="13" t="s">
        <v>5292</v>
      </c>
      <c r="S2391" s="13" t="s">
        <v>5293</v>
      </c>
      <c r="T2391" s="13" t="s">
        <v>5</v>
      </c>
      <c r="U2391" s="13" t="s">
        <v>43</v>
      </c>
      <c r="V2391" s="13" t="n">
        <f aca="false">IF(COUNTIF($B$2:B2391,B2391)=1,1,0)</f>
        <v>0</v>
      </c>
      <c r="W2391" s="13" t="n">
        <f aca="false">IF(COUNTIFS($B$2:B2391,B2391,$T$2:T2391,T2391)=1,1,0)</f>
        <v>0</v>
      </c>
    </row>
    <row r="2392" customFormat="false" ht="15" hidden="false" customHeight="false" outlineLevel="0" collapsed="false">
      <c r="A2392" s="13" t="s">
        <v>688</v>
      </c>
      <c r="B2392" s="13" t="s">
        <v>362</v>
      </c>
      <c r="C2392" s="13" t="n">
        <v>3200</v>
      </c>
      <c r="D2392" s="13" t="n">
        <v>5</v>
      </c>
      <c r="E2392" s="13" t="n">
        <v>539</v>
      </c>
      <c r="F2392" s="13" t="s">
        <v>5325</v>
      </c>
      <c r="G2392" s="13" t="s">
        <v>5289</v>
      </c>
      <c r="H2392" s="13" t="s">
        <v>5292</v>
      </c>
      <c r="I2392" s="13" t="s">
        <v>5289</v>
      </c>
      <c r="J2392" s="13" t="s">
        <v>5289</v>
      </c>
      <c r="K2392" s="13" t="s">
        <v>5289</v>
      </c>
      <c r="L2392" s="13" t="n">
        <v>3386460113588</v>
      </c>
      <c r="M2392" s="13"/>
      <c r="N2392" s="13" t="n">
        <v>3386460113588</v>
      </c>
      <c r="O2392" s="13"/>
      <c r="P2392" s="13" t="s">
        <v>5291</v>
      </c>
      <c r="Q2392" s="13" t="s">
        <v>5289</v>
      </c>
      <c r="R2392" s="13" t="s">
        <v>5292</v>
      </c>
      <c r="S2392" s="13" t="s">
        <v>5293</v>
      </c>
      <c r="T2392" s="13" t="s">
        <v>5</v>
      </c>
      <c r="U2392" s="13" t="s">
        <v>43</v>
      </c>
      <c r="V2392" s="13" t="n">
        <f aca="false">IF(COUNTIF($B$2:B2392,B2392)=1,1,0)</f>
        <v>0</v>
      </c>
      <c r="W2392" s="13" t="n">
        <f aca="false">IF(COUNTIFS($B$2:B2392,B2392,$T$2:T2392,T2392)=1,1,0)</f>
        <v>0</v>
      </c>
    </row>
    <row r="2393" customFormat="false" ht="15" hidden="false" customHeight="false" outlineLevel="0" collapsed="false">
      <c r="A2393" s="13" t="s">
        <v>689</v>
      </c>
      <c r="B2393" s="13" t="s">
        <v>362</v>
      </c>
      <c r="C2393" s="13" t="n">
        <v>3200</v>
      </c>
      <c r="D2393" s="13" t="n">
        <v>5</v>
      </c>
      <c r="E2393" s="13" t="n">
        <v>538.73</v>
      </c>
      <c r="F2393" s="13" t="s">
        <v>5325</v>
      </c>
      <c r="G2393" s="13" t="s">
        <v>5289</v>
      </c>
      <c r="H2393" s="13" t="s">
        <v>5289</v>
      </c>
      <c r="I2393" s="13" t="s">
        <v>5289</v>
      </c>
      <c r="J2393" s="13" t="s">
        <v>5289</v>
      </c>
      <c r="K2393" s="13" t="s">
        <v>5289</v>
      </c>
      <c r="L2393" s="13"/>
      <c r="M2393" s="13"/>
      <c r="N2393" s="13" t="n">
        <v>3386460074797</v>
      </c>
      <c r="O2393" s="13"/>
      <c r="P2393" s="13" t="s">
        <v>5291</v>
      </c>
      <c r="Q2393" s="13" t="s">
        <v>5289</v>
      </c>
      <c r="R2393" s="13" t="s">
        <v>5292</v>
      </c>
      <c r="S2393" s="13" t="s">
        <v>5293</v>
      </c>
      <c r="T2393" s="13" t="s">
        <v>5</v>
      </c>
      <c r="U2393" s="13" t="s">
        <v>43</v>
      </c>
      <c r="V2393" s="13" t="n">
        <f aca="false">IF(COUNTIF($B$2:B2393,B2393)=1,1,0)</f>
        <v>0</v>
      </c>
      <c r="W2393" s="13" t="n">
        <f aca="false">IF(COUNTIFS($B$2:B2393,B2393,$T$2:T2393,T2393)=1,1,0)</f>
        <v>0</v>
      </c>
    </row>
    <row r="2394" customFormat="false" ht="15" hidden="false" customHeight="false" outlineLevel="0" collapsed="false">
      <c r="A2394" s="13" t="s">
        <v>681</v>
      </c>
      <c r="B2394" s="13" t="s">
        <v>193</v>
      </c>
      <c r="C2394" s="13" t="n">
        <v>3200</v>
      </c>
      <c r="D2394" s="13" t="n">
        <v>5</v>
      </c>
      <c r="E2394" s="13" t="n">
        <v>643.4</v>
      </c>
      <c r="F2394" s="13" t="s">
        <v>5325</v>
      </c>
      <c r="G2394" s="13" t="s">
        <v>5289</v>
      </c>
      <c r="H2394" s="13" t="s">
        <v>5289</v>
      </c>
      <c r="I2394" s="13" t="s">
        <v>5289</v>
      </c>
      <c r="J2394" s="13" t="s">
        <v>5289</v>
      </c>
      <c r="K2394" s="13" t="s">
        <v>5289</v>
      </c>
      <c r="L2394" s="13" t="n">
        <v>3605521816580</v>
      </c>
      <c r="M2394" s="13"/>
      <c r="N2394" s="13" t="n">
        <v>3605521816580</v>
      </c>
      <c r="O2394" s="13"/>
      <c r="P2394" s="13" t="s">
        <v>5291</v>
      </c>
      <c r="Q2394" s="13" t="s">
        <v>5289</v>
      </c>
      <c r="R2394" s="13" t="s">
        <v>5292</v>
      </c>
      <c r="S2394" s="13" t="s">
        <v>5293</v>
      </c>
      <c r="T2394" s="13" t="s">
        <v>5</v>
      </c>
      <c r="U2394" s="13" t="s">
        <v>43</v>
      </c>
      <c r="V2394" s="13" t="n">
        <f aca="false">IF(COUNTIF($B$2:B2394,B2394)=1,1,0)</f>
        <v>0</v>
      </c>
      <c r="W2394" s="13" t="n">
        <f aca="false">IF(COUNTIFS($B$2:B2394,B2394,$T$2:T2394,T2394)=1,1,0)</f>
        <v>0</v>
      </c>
    </row>
    <row r="2395" customFormat="false" ht="15" hidden="false" customHeight="false" outlineLevel="0" collapsed="false">
      <c r="A2395" s="13" t="s">
        <v>683</v>
      </c>
      <c r="B2395" s="13" t="s">
        <v>286</v>
      </c>
      <c r="C2395" s="13" t="n">
        <v>3200</v>
      </c>
      <c r="D2395" s="13" t="n">
        <v>10</v>
      </c>
      <c r="E2395" s="13" t="n">
        <v>291.84</v>
      </c>
      <c r="F2395" s="13" t="s">
        <v>5288</v>
      </c>
      <c r="G2395" s="13" t="s">
        <v>5289</v>
      </c>
      <c r="H2395" s="13" t="s">
        <v>5289</v>
      </c>
      <c r="I2395" s="13" t="s">
        <v>5289</v>
      </c>
      <c r="J2395" s="13" t="s">
        <v>5289</v>
      </c>
      <c r="K2395" s="13" t="s">
        <v>5289</v>
      </c>
      <c r="L2395" s="13" t="n">
        <v>6294015164152</v>
      </c>
      <c r="M2395" s="13"/>
      <c r="N2395" s="13" t="n">
        <v>6294015164152</v>
      </c>
      <c r="O2395" s="13"/>
      <c r="P2395" s="13" t="s">
        <v>5291</v>
      </c>
      <c r="Q2395" s="13" t="s">
        <v>5289</v>
      </c>
      <c r="R2395" s="13" t="s">
        <v>5292</v>
      </c>
      <c r="S2395" s="13" t="s">
        <v>5293</v>
      </c>
      <c r="T2395" s="13" t="s">
        <v>5</v>
      </c>
      <c r="U2395" s="13" t="s">
        <v>43</v>
      </c>
      <c r="V2395" s="13" t="n">
        <f aca="false">IF(COUNTIF($B$2:B2395,B2395)=1,1,0)</f>
        <v>0</v>
      </c>
      <c r="W2395" s="13" t="n">
        <f aca="false">IF(COUNTIFS($B$2:B2395,B2395,$T$2:T2395,T2395)=1,1,0)</f>
        <v>1</v>
      </c>
    </row>
    <row r="2396" customFormat="false" ht="15" hidden="false" customHeight="false" outlineLevel="0" collapsed="false">
      <c r="A2396" s="13" t="s">
        <v>685</v>
      </c>
      <c r="B2396" s="13" t="s">
        <v>72</v>
      </c>
      <c r="C2396" s="13" t="n">
        <v>3200</v>
      </c>
      <c r="D2396" s="13" t="n">
        <v>2</v>
      </c>
      <c r="E2396" s="13" t="n">
        <v>799</v>
      </c>
      <c r="F2396" s="13" t="s">
        <v>5325</v>
      </c>
      <c r="G2396" s="13" t="s">
        <v>5289</v>
      </c>
      <c r="H2396" s="13" t="s">
        <v>5289</v>
      </c>
      <c r="I2396" s="13" t="s">
        <v>5289</v>
      </c>
      <c r="J2396" s="13" t="s">
        <v>5289</v>
      </c>
      <c r="K2396" s="13" t="s">
        <v>5289</v>
      </c>
      <c r="L2396" s="13" t="n">
        <v>3614273478755</v>
      </c>
      <c r="M2396" s="13"/>
      <c r="N2396" s="13" t="n">
        <v>3614273478755</v>
      </c>
      <c r="O2396" s="13"/>
      <c r="P2396" s="13" t="s">
        <v>5297</v>
      </c>
      <c r="Q2396" s="13" t="s">
        <v>5289</v>
      </c>
      <c r="R2396" s="13" t="s">
        <v>5292</v>
      </c>
      <c r="S2396" s="13" t="s">
        <v>5293</v>
      </c>
      <c r="T2396" s="13" t="s">
        <v>5</v>
      </c>
      <c r="U2396" s="13" t="s">
        <v>43</v>
      </c>
      <c r="V2396" s="13" t="n">
        <f aca="false">IF(COUNTIF($B$2:B2396,B2396)=1,1,0)</f>
        <v>0</v>
      </c>
      <c r="W2396" s="13" t="n">
        <f aca="false">IF(COUNTIFS($B$2:B2396,B2396,$T$2:T2396,T2396)=1,1,0)</f>
        <v>0</v>
      </c>
    </row>
    <row r="2397" customFormat="false" ht="15" hidden="false" customHeight="false" outlineLevel="0" collapsed="false">
      <c r="A2397" s="13" t="s">
        <v>113</v>
      </c>
      <c r="B2397" s="13" t="s">
        <v>45</v>
      </c>
      <c r="C2397" s="13" t="n">
        <v>3200</v>
      </c>
      <c r="D2397" s="13" t="n">
        <v>5</v>
      </c>
      <c r="E2397" s="13" t="n">
        <v>637.844</v>
      </c>
      <c r="F2397" s="13" t="s">
        <v>5325</v>
      </c>
      <c r="G2397" s="13" t="s">
        <v>5289</v>
      </c>
      <c r="H2397" s="13" t="s">
        <v>5289</v>
      </c>
      <c r="I2397" s="13" t="s">
        <v>5289</v>
      </c>
      <c r="J2397" s="13" t="s">
        <v>5289</v>
      </c>
      <c r="K2397" s="13" t="s">
        <v>5289</v>
      </c>
      <c r="L2397" s="13" t="n">
        <v>8435415030885</v>
      </c>
      <c r="M2397" s="13"/>
      <c r="N2397" s="13" t="n">
        <v>8435415030885</v>
      </c>
      <c r="O2397" s="13"/>
      <c r="P2397" s="13" t="s">
        <v>5291</v>
      </c>
      <c r="Q2397" s="13" t="s">
        <v>5289</v>
      </c>
      <c r="R2397" s="13" t="s">
        <v>5292</v>
      </c>
      <c r="S2397" s="13" t="s">
        <v>5293</v>
      </c>
      <c r="T2397" s="13" t="s">
        <v>5</v>
      </c>
      <c r="U2397" s="13" t="s">
        <v>43</v>
      </c>
      <c r="V2397" s="13" t="n">
        <f aca="false">IF(COUNTIF($B$2:B2397,B2397)=1,1,0)</f>
        <v>0</v>
      </c>
      <c r="W2397" s="13" t="n">
        <f aca="false">IF(COUNTIFS($B$2:B2397,B2397,$T$2:T2397,T2397)=1,1,0)</f>
        <v>0</v>
      </c>
    </row>
    <row r="2398" customFormat="false" ht="15" hidden="false" customHeight="false" outlineLevel="0" collapsed="false">
      <c r="A2398" s="13" t="s">
        <v>245</v>
      </c>
      <c r="B2398" s="13" t="s">
        <v>61</v>
      </c>
      <c r="C2398" s="13" t="n">
        <v>3200</v>
      </c>
      <c r="D2398" s="13" t="n">
        <v>5</v>
      </c>
      <c r="E2398" s="13" t="n">
        <v>637.83</v>
      </c>
      <c r="F2398" s="13" t="s">
        <v>5325</v>
      </c>
      <c r="G2398" s="13" t="s">
        <v>5289</v>
      </c>
      <c r="H2398" s="13" t="s">
        <v>5289</v>
      </c>
      <c r="I2398" s="13" t="s">
        <v>5289</v>
      </c>
      <c r="J2398" s="13" t="s">
        <v>5289</v>
      </c>
      <c r="K2398" s="13" t="s">
        <v>5289</v>
      </c>
      <c r="L2398" s="13" t="n">
        <v>3614272629370</v>
      </c>
      <c r="M2398" s="13"/>
      <c r="N2398" s="13" t="n">
        <v>3614272629370</v>
      </c>
      <c r="O2398" s="13"/>
      <c r="P2398" s="13" t="s">
        <v>5291</v>
      </c>
      <c r="Q2398" s="13" t="s">
        <v>5289</v>
      </c>
      <c r="R2398" s="13" t="s">
        <v>5292</v>
      </c>
      <c r="S2398" s="13" t="s">
        <v>5293</v>
      </c>
      <c r="T2398" s="13" t="s">
        <v>5</v>
      </c>
      <c r="U2398" s="13" t="s">
        <v>43</v>
      </c>
      <c r="V2398" s="13" t="n">
        <f aca="false">IF(COUNTIF($B$2:B2398,B2398)=1,1,0)</f>
        <v>0</v>
      </c>
      <c r="W2398" s="13" t="n">
        <f aca="false">IF(COUNTIFS($B$2:B2398,B2398,$T$2:T2398,T2398)=1,1,0)</f>
        <v>0</v>
      </c>
    </row>
    <row r="2399" customFormat="false" ht="15" hidden="false" customHeight="false" outlineLevel="0" collapsed="false">
      <c r="A2399" s="13" t="s">
        <v>684</v>
      </c>
      <c r="B2399" s="13" t="s">
        <v>124</v>
      </c>
      <c r="C2399" s="13" t="n">
        <v>3200</v>
      </c>
      <c r="D2399" s="13" t="n">
        <v>2</v>
      </c>
      <c r="E2399" s="13" t="n">
        <v>790</v>
      </c>
      <c r="F2399" s="13" t="s">
        <v>5325</v>
      </c>
      <c r="G2399" s="13" t="s">
        <v>5289</v>
      </c>
      <c r="H2399" s="13" t="s">
        <v>5289</v>
      </c>
      <c r="I2399" s="13" t="s">
        <v>5289</v>
      </c>
      <c r="J2399" s="13" t="s">
        <v>5289</v>
      </c>
      <c r="K2399" s="13" t="s">
        <v>5289</v>
      </c>
      <c r="L2399" s="13" t="n">
        <v>3614274150926</v>
      </c>
      <c r="M2399" s="13"/>
      <c r="N2399" s="13" t="n">
        <v>3614274150926</v>
      </c>
      <c r="O2399" s="13"/>
      <c r="P2399" s="13" t="s">
        <v>5291</v>
      </c>
      <c r="Q2399" s="13" t="s">
        <v>5289</v>
      </c>
      <c r="R2399" s="13" t="s">
        <v>5292</v>
      </c>
      <c r="S2399" s="13" t="s">
        <v>5293</v>
      </c>
      <c r="T2399" s="13" t="s">
        <v>5</v>
      </c>
      <c r="U2399" s="13" t="s">
        <v>43</v>
      </c>
      <c r="V2399" s="13" t="n">
        <f aca="false">IF(COUNTIF($B$2:B2399,B2399)=1,1,0)</f>
        <v>0</v>
      </c>
      <c r="W2399" s="13" t="n">
        <f aca="false">IF(COUNTIFS($B$2:B2399,B2399,$T$2:T2399,T2399)=1,1,0)</f>
        <v>0</v>
      </c>
    </row>
    <row r="2400" customFormat="false" ht="15" hidden="false" customHeight="false" outlineLevel="0" collapsed="false">
      <c r="A2400" s="13" t="s">
        <v>703</v>
      </c>
      <c r="B2400" s="13" t="s">
        <v>177</v>
      </c>
      <c r="C2400" s="13" t="n">
        <v>3100</v>
      </c>
      <c r="D2400" s="13" t="n">
        <v>5</v>
      </c>
      <c r="E2400" s="13" t="n">
        <v>449.907142857143</v>
      </c>
      <c r="F2400" s="13" t="s">
        <v>5325</v>
      </c>
      <c r="G2400" s="13" t="s">
        <v>5289</v>
      </c>
      <c r="H2400" s="13" t="s">
        <v>5289</v>
      </c>
      <c r="I2400" s="13" t="s">
        <v>5289</v>
      </c>
      <c r="J2400" s="13" t="s">
        <v>5289</v>
      </c>
      <c r="K2400" s="13" t="s">
        <v>5289</v>
      </c>
      <c r="L2400" s="13" t="n">
        <v>3614227758063</v>
      </c>
      <c r="M2400" s="13"/>
      <c r="N2400" s="13" t="n">
        <v>3614227758063</v>
      </c>
      <c r="O2400" s="13"/>
      <c r="P2400" s="13" t="s">
        <v>5297</v>
      </c>
      <c r="Q2400" s="13" t="s">
        <v>5289</v>
      </c>
      <c r="R2400" s="13" t="s">
        <v>5292</v>
      </c>
      <c r="S2400" s="13" t="s">
        <v>5293</v>
      </c>
      <c r="T2400" s="13" t="s">
        <v>5</v>
      </c>
      <c r="U2400" s="13" t="s">
        <v>43</v>
      </c>
      <c r="V2400" s="13" t="n">
        <f aca="false">IF(COUNTIF($B$2:B2400,B2400)=1,1,0)</f>
        <v>0</v>
      </c>
      <c r="W2400" s="13" t="n">
        <f aca="false">IF(COUNTIFS($B$2:B2400,B2400,$T$2:T2400,T2400)=1,1,0)</f>
        <v>0</v>
      </c>
    </row>
    <row r="2401" customFormat="false" ht="15" hidden="false" customHeight="false" outlineLevel="0" collapsed="false">
      <c r="A2401" s="13" t="s">
        <v>695</v>
      </c>
      <c r="B2401" s="13" t="s">
        <v>630</v>
      </c>
      <c r="C2401" s="13" t="n">
        <v>3100</v>
      </c>
      <c r="D2401" s="13" t="n">
        <v>10</v>
      </c>
      <c r="E2401" s="13" t="n">
        <v>224.941428571429</v>
      </c>
      <c r="F2401" s="13" t="s">
        <v>5325</v>
      </c>
      <c r="G2401" s="13" t="s">
        <v>5289</v>
      </c>
      <c r="H2401" s="13" t="s">
        <v>5289</v>
      </c>
      <c r="I2401" s="13" t="s">
        <v>5289</v>
      </c>
      <c r="J2401" s="13" t="s">
        <v>5289</v>
      </c>
      <c r="K2401" s="13" t="s">
        <v>5289</v>
      </c>
      <c r="L2401" s="13" t="n">
        <v>8433982025891</v>
      </c>
      <c r="M2401" s="13"/>
      <c r="N2401" s="13" t="n">
        <v>8433982025891</v>
      </c>
      <c r="O2401" s="13"/>
      <c r="P2401" s="13" t="s">
        <v>5291</v>
      </c>
      <c r="Q2401" s="13" t="s">
        <v>5289</v>
      </c>
      <c r="R2401" s="13" t="s">
        <v>5292</v>
      </c>
      <c r="S2401" s="13" t="s">
        <v>5293</v>
      </c>
      <c r="T2401" s="13" t="s">
        <v>5</v>
      </c>
      <c r="U2401" s="13" t="s">
        <v>43</v>
      </c>
      <c r="V2401" s="13" t="n">
        <f aca="false">IF(COUNTIF($B$2:B2401,B2401)=1,1,0)</f>
        <v>0</v>
      </c>
      <c r="W2401" s="13" t="n">
        <f aca="false">IF(COUNTIFS($B$2:B2401,B2401,$T$2:T2401,T2401)=1,1,0)</f>
        <v>1</v>
      </c>
    </row>
    <row r="2402" customFormat="false" ht="15" hidden="false" customHeight="false" outlineLevel="0" collapsed="false">
      <c r="A2402" s="13" t="s">
        <v>696</v>
      </c>
      <c r="B2402" s="13" t="s">
        <v>107</v>
      </c>
      <c r="C2402" s="13" t="n">
        <v>3100</v>
      </c>
      <c r="D2402" s="13" t="n">
        <v>10</v>
      </c>
      <c r="E2402" s="13" t="n">
        <v>241.951538461538</v>
      </c>
      <c r="F2402" s="13" t="s">
        <v>5325</v>
      </c>
      <c r="G2402" s="13" t="s">
        <v>5289</v>
      </c>
      <c r="H2402" s="13" t="s">
        <v>5289</v>
      </c>
      <c r="I2402" s="13" t="s">
        <v>5289</v>
      </c>
      <c r="J2402" s="13" t="s">
        <v>5289</v>
      </c>
      <c r="K2402" s="13" t="s">
        <v>5289</v>
      </c>
      <c r="L2402" s="13"/>
      <c r="M2402" s="13"/>
      <c r="N2402" s="13" t="n">
        <v>7896235353744</v>
      </c>
      <c r="O2402" s="13"/>
      <c r="P2402" s="13" t="s">
        <v>5291</v>
      </c>
      <c r="Q2402" s="13" t="s">
        <v>5289</v>
      </c>
      <c r="R2402" s="13" t="s">
        <v>5292</v>
      </c>
      <c r="S2402" s="13" t="s">
        <v>5293</v>
      </c>
      <c r="T2402" s="13" t="s">
        <v>5</v>
      </c>
      <c r="U2402" s="13" t="s">
        <v>43</v>
      </c>
      <c r="V2402" s="13" t="n">
        <f aca="false">IF(COUNTIF($B$2:B2402,B2402)=1,1,0)</f>
        <v>0</v>
      </c>
      <c r="W2402" s="13" t="n">
        <f aca="false">IF(COUNTIFS($B$2:B2402,B2402,$T$2:T2402,T2402)=1,1,0)</f>
        <v>0</v>
      </c>
    </row>
    <row r="2403" customFormat="false" ht="15" hidden="false" customHeight="false" outlineLevel="0" collapsed="false">
      <c r="A2403" s="13" t="s">
        <v>567</v>
      </c>
      <c r="B2403" s="13" t="s">
        <v>54</v>
      </c>
      <c r="C2403" s="13" t="n">
        <v>3100</v>
      </c>
      <c r="D2403" s="13" t="n">
        <v>5</v>
      </c>
      <c r="E2403" s="13" t="n">
        <v>626.522</v>
      </c>
      <c r="F2403" s="13" t="s">
        <v>5325</v>
      </c>
      <c r="G2403" s="13" t="s">
        <v>5289</v>
      </c>
      <c r="H2403" s="13" t="s">
        <v>5289</v>
      </c>
      <c r="I2403" s="13" t="s">
        <v>5289</v>
      </c>
      <c r="J2403" s="13" t="s">
        <v>5289</v>
      </c>
      <c r="K2403" s="13" t="s">
        <v>5292</v>
      </c>
      <c r="L2403" s="13"/>
      <c r="M2403" s="13"/>
      <c r="N2403" s="13" t="n">
        <v>768614223900</v>
      </c>
      <c r="O2403" s="13"/>
      <c r="P2403" s="13" t="s">
        <v>5291</v>
      </c>
      <c r="Q2403" s="13" t="s">
        <v>5289</v>
      </c>
      <c r="R2403" s="13" t="s">
        <v>5292</v>
      </c>
      <c r="S2403" s="13" t="s">
        <v>5293</v>
      </c>
      <c r="T2403" s="13" t="s">
        <v>5</v>
      </c>
      <c r="U2403" s="13" t="s">
        <v>43</v>
      </c>
      <c r="V2403" s="13" t="n">
        <f aca="false">IF(COUNTIF($B$2:B2403,B2403)=1,1,0)</f>
        <v>0</v>
      </c>
      <c r="W2403" s="13" t="n">
        <f aca="false">IF(COUNTIFS($B$2:B2403,B2403,$T$2:T2403,T2403)=1,1,0)</f>
        <v>0</v>
      </c>
    </row>
    <row r="2404" customFormat="false" ht="15" hidden="false" customHeight="false" outlineLevel="0" collapsed="false">
      <c r="A2404" s="13" t="s">
        <v>702</v>
      </c>
      <c r="B2404" s="13" t="s">
        <v>45</v>
      </c>
      <c r="C2404" s="13" t="n">
        <v>3100</v>
      </c>
      <c r="D2404" s="13" t="n">
        <v>2</v>
      </c>
      <c r="E2404" s="13" t="n">
        <v>1037.75</v>
      </c>
      <c r="F2404" s="13" t="s">
        <v>5325</v>
      </c>
      <c r="G2404" s="13" t="s">
        <v>5289</v>
      </c>
      <c r="H2404" s="13" t="s">
        <v>5292</v>
      </c>
      <c r="I2404" s="13" t="s">
        <v>5289</v>
      </c>
      <c r="J2404" s="13" t="s">
        <v>5289</v>
      </c>
      <c r="K2404" s="13" t="s">
        <v>5289</v>
      </c>
      <c r="L2404" s="13" t="n">
        <v>8435415080392</v>
      </c>
      <c r="M2404" s="13"/>
      <c r="N2404" s="13" t="n">
        <v>8435415080392</v>
      </c>
      <c r="O2404" s="13"/>
      <c r="P2404" s="13" t="s">
        <v>5291</v>
      </c>
      <c r="Q2404" s="13" t="s">
        <v>5289</v>
      </c>
      <c r="R2404" s="13" t="s">
        <v>5292</v>
      </c>
      <c r="S2404" s="13" t="s">
        <v>5293</v>
      </c>
      <c r="T2404" s="13" t="s">
        <v>5</v>
      </c>
      <c r="U2404" s="13" t="s">
        <v>43</v>
      </c>
      <c r="V2404" s="13" t="n">
        <f aca="false">IF(COUNTIF($B$2:B2404,B2404)=1,1,0)</f>
        <v>0</v>
      </c>
      <c r="W2404" s="13" t="n">
        <f aca="false">IF(COUNTIFS($B$2:B2404,B2404,$T$2:T2404,T2404)=1,1,0)</f>
        <v>0</v>
      </c>
    </row>
    <row r="2405" customFormat="false" ht="15" hidden="false" customHeight="false" outlineLevel="0" collapsed="false">
      <c r="A2405" s="13" t="s">
        <v>3192</v>
      </c>
      <c r="B2405" s="13" t="s">
        <v>2103</v>
      </c>
      <c r="C2405" s="13" t="n">
        <v>3100</v>
      </c>
      <c r="D2405" s="13" t="n">
        <v>30</v>
      </c>
      <c r="E2405" s="13" t="n">
        <v>110.303571428571</v>
      </c>
      <c r="F2405" s="13" t="s">
        <v>5325</v>
      </c>
      <c r="G2405" s="13" t="s">
        <v>5289</v>
      </c>
      <c r="H2405" s="13" t="s">
        <v>5289</v>
      </c>
      <c r="I2405" s="13" t="s">
        <v>5289</v>
      </c>
      <c r="J2405" s="13" t="s">
        <v>5289</v>
      </c>
      <c r="K2405" s="13" t="s">
        <v>5289</v>
      </c>
      <c r="L2405" s="13" t="n">
        <v>309974700054</v>
      </c>
      <c r="M2405" s="13"/>
      <c r="N2405" s="13" t="n">
        <v>309974700054</v>
      </c>
      <c r="O2405" s="13"/>
      <c r="P2405" s="13" t="s">
        <v>5291</v>
      </c>
      <c r="Q2405" s="13" t="s">
        <v>5289</v>
      </c>
      <c r="R2405" s="13" t="s">
        <v>5292</v>
      </c>
      <c r="S2405" s="13" t="s">
        <v>5293</v>
      </c>
      <c r="T2405" s="13" t="s">
        <v>5</v>
      </c>
      <c r="U2405" s="13" t="s">
        <v>183</v>
      </c>
      <c r="V2405" s="13" t="n">
        <f aca="false">IF(COUNTIF($B$2:B2405,B2405)=1,1,0)</f>
        <v>0</v>
      </c>
      <c r="W2405" s="13" t="n">
        <f aca="false">IF(COUNTIFS($B$2:B2405,B2405,$T$2:T2405,T2405)=1,1,0)</f>
        <v>0</v>
      </c>
    </row>
    <row r="2406" customFormat="false" ht="15" hidden="false" customHeight="false" outlineLevel="0" collapsed="false">
      <c r="A2406" s="13" t="s">
        <v>694</v>
      </c>
      <c r="B2406" s="13" t="s">
        <v>69</v>
      </c>
      <c r="C2406" s="13" t="n">
        <v>3100</v>
      </c>
      <c r="D2406" s="13" t="n">
        <v>2</v>
      </c>
      <c r="E2406" s="13" t="n">
        <v>767.86</v>
      </c>
      <c r="F2406" s="13" t="s">
        <v>5325</v>
      </c>
      <c r="G2406" s="13" t="s">
        <v>5289</v>
      </c>
      <c r="H2406" s="13" t="s">
        <v>5292</v>
      </c>
      <c r="I2406" s="13" t="s">
        <v>5289</v>
      </c>
      <c r="J2406" s="13" t="s">
        <v>5289</v>
      </c>
      <c r="K2406" s="13" t="s">
        <v>5289</v>
      </c>
      <c r="L2406" s="13" t="n">
        <v>3614272050358</v>
      </c>
      <c r="M2406" s="13"/>
      <c r="N2406" s="13" t="n">
        <v>3614272050358</v>
      </c>
      <c r="O2406" s="13"/>
      <c r="P2406" s="13" t="s">
        <v>5291</v>
      </c>
      <c r="Q2406" s="13" t="s">
        <v>5289</v>
      </c>
      <c r="R2406" s="13" t="s">
        <v>5292</v>
      </c>
      <c r="S2406" s="13" t="s">
        <v>5293</v>
      </c>
      <c r="T2406" s="13" t="s">
        <v>5</v>
      </c>
      <c r="U2406" s="13" t="s">
        <v>43</v>
      </c>
      <c r="V2406" s="13" t="n">
        <f aca="false">IF(COUNTIF($B$2:B2406,B2406)=1,1,0)</f>
        <v>0</v>
      </c>
      <c r="W2406" s="13" t="n">
        <f aca="false">IF(COUNTIFS($B$2:B2406,B2406,$T$2:T2406,T2406)=1,1,0)</f>
        <v>0</v>
      </c>
    </row>
    <row r="2407" customFormat="false" ht="15" hidden="false" customHeight="false" outlineLevel="0" collapsed="false">
      <c r="A2407" s="13" t="s">
        <v>706</v>
      </c>
      <c r="B2407" s="13" t="s">
        <v>490</v>
      </c>
      <c r="C2407" s="13" t="n">
        <v>3000</v>
      </c>
      <c r="D2407" s="13" t="n">
        <v>10</v>
      </c>
      <c r="E2407" s="13" t="n">
        <v>277.080909090909</v>
      </c>
      <c r="F2407" s="13" t="s">
        <v>5325</v>
      </c>
      <c r="G2407" s="13" t="s">
        <v>5289</v>
      </c>
      <c r="H2407" s="13" t="s">
        <v>5289</v>
      </c>
      <c r="I2407" s="13" t="s">
        <v>5289</v>
      </c>
      <c r="J2407" s="13" t="s">
        <v>5289</v>
      </c>
      <c r="K2407" s="13" t="s">
        <v>5289</v>
      </c>
      <c r="L2407" s="13" t="n">
        <v>8011003991143</v>
      </c>
      <c r="M2407" s="13"/>
      <c r="N2407" s="13" t="n">
        <v>8011003991143</v>
      </c>
      <c r="O2407" s="13"/>
      <c r="P2407" s="13" t="s">
        <v>5291</v>
      </c>
      <c r="Q2407" s="13" t="s">
        <v>5289</v>
      </c>
      <c r="R2407" s="13" t="s">
        <v>5292</v>
      </c>
      <c r="S2407" s="13" t="s">
        <v>5293</v>
      </c>
      <c r="T2407" s="13" t="s">
        <v>5</v>
      </c>
      <c r="U2407" s="13" t="s">
        <v>43</v>
      </c>
      <c r="V2407" s="13" t="n">
        <f aca="false">IF(COUNTIF($B$2:B2407,B2407)=1,1,0)</f>
        <v>0</v>
      </c>
      <c r="W2407" s="13" t="n">
        <f aca="false">IF(COUNTIFS($B$2:B2407,B2407,$T$2:T2407,T2407)=1,1,0)</f>
        <v>0</v>
      </c>
    </row>
    <row r="2408" customFormat="false" ht="15" hidden="false" customHeight="false" outlineLevel="0" collapsed="false">
      <c r="A2408" s="13" t="s">
        <v>717</v>
      </c>
      <c r="B2408" s="13" t="s">
        <v>79</v>
      </c>
      <c r="C2408" s="13" t="n">
        <v>3000</v>
      </c>
      <c r="D2408" s="13" t="n">
        <v>5</v>
      </c>
      <c r="E2408" s="13" t="n">
        <v>505.935</v>
      </c>
      <c r="F2408" s="13" t="s">
        <v>5325</v>
      </c>
      <c r="G2408" s="13" t="s">
        <v>5289</v>
      </c>
      <c r="H2408" s="13" t="s">
        <v>5289</v>
      </c>
      <c r="I2408" s="13" t="s">
        <v>5289</v>
      </c>
      <c r="J2408" s="13" t="s">
        <v>5289</v>
      </c>
      <c r="K2408" s="13" t="s">
        <v>5289</v>
      </c>
      <c r="L2408" s="13" t="n">
        <v>3.42347302098181E+025</v>
      </c>
      <c r="M2408" s="13"/>
      <c r="N2408" s="13" t="n">
        <v>3.43960004094434E+025</v>
      </c>
      <c r="O2408" s="13"/>
      <c r="P2408" s="13" t="s">
        <v>5291</v>
      </c>
      <c r="Q2408" s="13" t="s">
        <v>5289</v>
      </c>
      <c r="R2408" s="13" t="s">
        <v>5292</v>
      </c>
      <c r="S2408" s="13" t="s">
        <v>5293</v>
      </c>
      <c r="T2408" s="13" t="s">
        <v>5</v>
      </c>
      <c r="U2408" s="13" t="s">
        <v>43</v>
      </c>
      <c r="V2408" s="13" t="n">
        <f aca="false">IF(COUNTIF($B$2:B2408,B2408)=1,1,0)</f>
        <v>0</v>
      </c>
      <c r="W2408" s="13" t="n">
        <f aca="false">IF(COUNTIFS($B$2:B2408,B2408,$T$2:T2408,T2408)=1,1,0)</f>
        <v>0</v>
      </c>
    </row>
    <row r="2409" customFormat="false" ht="15" hidden="false" customHeight="false" outlineLevel="0" collapsed="false">
      <c r="A2409" s="13" t="s">
        <v>716</v>
      </c>
      <c r="B2409" s="13" t="s">
        <v>54</v>
      </c>
      <c r="C2409" s="13" t="n">
        <v>3000</v>
      </c>
      <c r="D2409" s="13" t="n">
        <v>1</v>
      </c>
      <c r="E2409" s="13" t="n">
        <v>3022.85</v>
      </c>
      <c r="F2409" s="13" t="s">
        <v>5325</v>
      </c>
      <c r="G2409" s="13" t="s">
        <v>5292</v>
      </c>
      <c r="H2409" s="13" t="s">
        <v>5289</v>
      </c>
      <c r="I2409" s="13" t="s">
        <v>5289</v>
      </c>
      <c r="J2409" s="13" t="s">
        <v>5289</v>
      </c>
      <c r="K2409" s="13" t="s">
        <v>5292</v>
      </c>
      <c r="L2409" s="13"/>
      <c r="M2409" s="13"/>
      <c r="N2409" s="13" t="n">
        <v>729238212640</v>
      </c>
      <c r="O2409" s="13"/>
      <c r="P2409" s="13" t="s">
        <v>5297</v>
      </c>
      <c r="Q2409" s="13" t="s">
        <v>5289</v>
      </c>
      <c r="R2409" s="13" t="s">
        <v>5292</v>
      </c>
      <c r="S2409" s="13" t="s">
        <v>5293</v>
      </c>
      <c r="T2409" s="13" t="s">
        <v>5</v>
      </c>
      <c r="U2409" s="13" t="s">
        <v>183</v>
      </c>
      <c r="V2409" s="13" t="n">
        <f aca="false">IF(COUNTIF($B$2:B2409,B2409)=1,1,0)</f>
        <v>0</v>
      </c>
      <c r="W2409" s="13" t="n">
        <f aca="false">IF(COUNTIFS($B$2:B2409,B2409,$T$2:T2409,T2409)=1,1,0)</f>
        <v>0</v>
      </c>
    </row>
    <row r="2410" customFormat="false" ht="15" hidden="false" customHeight="false" outlineLevel="0" collapsed="false">
      <c r="A2410" s="13" t="s">
        <v>113</v>
      </c>
      <c r="B2410" s="13" t="s">
        <v>45</v>
      </c>
      <c r="C2410" s="13" t="n">
        <v>3000</v>
      </c>
      <c r="D2410" s="13" t="n">
        <v>5</v>
      </c>
      <c r="E2410" s="13" t="n">
        <v>377</v>
      </c>
      <c r="F2410" s="13" t="s">
        <v>5288</v>
      </c>
      <c r="G2410" s="13" t="s">
        <v>5289</v>
      </c>
      <c r="H2410" s="13" t="s">
        <v>5289</v>
      </c>
      <c r="I2410" s="13" t="s">
        <v>5289</v>
      </c>
      <c r="J2410" s="13" t="s">
        <v>5289</v>
      </c>
      <c r="K2410" s="13" t="s">
        <v>5289</v>
      </c>
      <c r="L2410" s="13" t="n">
        <v>8435415059084</v>
      </c>
      <c r="M2410" s="13"/>
      <c r="N2410" s="13" t="n">
        <v>8.43541505908484E+025</v>
      </c>
      <c r="O2410" s="13"/>
      <c r="P2410" s="13" t="s">
        <v>5291</v>
      </c>
      <c r="Q2410" s="13" t="s">
        <v>5289</v>
      </c>
      <c r="R2410" s="13" t="s">
        <v>5292</v>
      </c>
      <c r="S2410" s="13" t="s">
        <v>5293</v>
      </c>
      <c r="T2410" s="13" t="s">
        <v>5</v>
      </c>
      <c r="U2410" s="13" t="s">
        <v>43</v>
      </c>
      <c r="V2410" s="13" t="n">
        <f aca="false">IF(COUNTIF($B$2:B2410,B2410)=1,1,0)</f>
        <v>0</v>
      </c>
      <c r="W2410" s="13" t="n">
        <f aca="false">IF(COUNTIFS($B$2:B2410,B2410,$T$2:T2410,T2410)=1,1,0)</f>
        <v>0</v>
      </c>
    </row>
    <row r="2411" customFormat="false" ht="15" hidden="false" customHeight="false" outlineLevel="0" collapsed="false">
      <c r="A2411" s="13" t="s">
        <v>718</v>
      </c>
      <c r="B2411" s="13" t="s">
        <v>54</v>
      </c>
      <c r="C2411" s="13" t="n">
        <v>3000</v>
      </c>
      <c r="D2411" s="13" t="n">
        <v>5</v>
      </c>
      <c r="E2411" s="13" t="n">
        <v>301.277</v>
      </c>
      <c r="F2411" s="13" t="s">
        <v>5288</v>
      </c>
      <c r="G2411" s="13" t="s">
        <v>5289</v>
      </c>
      <c r="H2411" s="13" t="s">
        <v>5292</v>
      </c>
      <c r="I2411" s="13" t="s">
        <v>5289</v>
      </c>
      <c r="J2411" s="13" t="s">
        <v>5289</v>
      </c>
      <c r="K2411" s="13" t="s">
        <v>5289</v>
      </c>
      <c r="L2411" s="13" t="n">
        <v>729238146570</v>
      </c>
      <c r="M2411" s="13"/>
      <c r="N2411" s="13" t="n">
        <v>729238146570</v>
      </c>
      <c r="O2411" s="13"/>
      <c r="P2411" s="13" t="s">
        <v>5291</v>
      </c>
      <c r="Q2411" s="13" t="s">
        <v>5289</v>
      </c>
      <c r="R2411" s="13" t="s">
        <v>5292</v>
      </c>
      <c r="S2411" s="13" t="s">
        <v>5293</v>
      </c>
      <c r="T2411" s="13" t="s">
        <v>5</v>
      </c>
      <c r="U2411" s="13" t="s">
        <v>43</v>
      </c>
      <c r="V2411" s="13" t="n">
        <f aca="false">IF(COUNTIF($B$2:B2411,B2411)=1,1,0)</f>
        <v>0</v>
      </c>
      <c r="W2411" s="13" t="n">
        <f aca="false">IF(COUNTIFS($B$2:B2411,B2411,$T$2:T2411,T2411)=1,1,0)</f>
        <v>0</v>
      </c>
    </row>
    <row r="2412" customFormat="false" ht="15" hidden="false" customHeight="false" outlineLevel="0" collapsed="false">
      <c r="A2412" s="13" t="s">
        <v>673</v>
      </c>
      <c r="B2412" s="13" t="s">
        <v>42</v>
      </c>
      <c r="C2412" s="13" t="n">
        <v>3000</v>
      </c>
      <c r="D2412" s="13" t="n">
        <v>5</v>
      </c>
      <c r="E2412" s="13" t="n">
        <v>502</v>
      </c>
      <c r="F2412" s="13" t="s">
        <v>5288</v>
      </c>
      <c r="G2412" s="13" t="s">
        <v>5292</v>
      </c>
      <c r="H2412" s="13" t="s">
        <v>5289</v>
      </c>
      <c r="I2412" s="13" t="s">
        <v>5289</v>
      </c>
      <c r="J2412" s="13" t="s">
        <v>5289</v>
      </c>
      <c r="K2412" s="13" t="s">
        <v>5289</v>
      </c>
      <c r="L2412" s="13" t="n">
        <v>8411061027837</v>
      </c>
      <c r="M2412" s="13"/>
      <c r="N2412" s="13" t="n">
        <v>8.41106102783784E+025</v>
      </c>
      <c r="O2412" s="13"/>
      <c r="P2412" s="13" t="s">
        <v>5291</v>
      </c>
      <c r="Q2412" s="13" t="s">
        <v>5289</v>
      </c>
      <c r="R2412" s="13" t="s">
        <v>5292</v>
      </c>
      <c r="S2412" s="13" t="s">
        <v>5293</v>
      </c>
      <c r="T2412" s="13" t="s">
        <v>5</v>
      </c>
      <c r="U2412" s="13" t="s">
        <v>43</v>
      </c>
      <c r="V2412" s="13" t="n">
        <f aca="false">IF(COUNTIF($B$2:B2412,B2412)=1,1,0)</f>
        <v>0</v>
      </c>
      <c r="W2412" s="13" t="n">
        <f aca="false">IF(COUNTIFS($B$2:B2412,B2412,$T$2:T2412,T2412)=1,1,0)</f>
        <v>0</v>
      </c>
    </row>
    <row r="2413" customFormat="false" ht="15" hidden="false" customHeight="false" outlineLevel="0" collapsed="false">
      <c r="A2413" s="13" t="s">
        <v>707</v>
      </c>
      <c r="B2413" s="13" t="s">
        <v>103</v>
      </c>
      <c r="C2413" s="13" t="n">
        <v>3000</v>
      </c>
      <c r="D2413" s="13" t="n">
        <v>20</v>
      </c>
      <c r="E2413" s="13" t="n">
        <v>198.53</v>
      </c>
      <c r="F2413" s="13" t="s">
        <v>5325</v>
      </c>
      <c r="G2413" s="13" t="s">
        <v>5289</v>
      </c>
      <c r="H2413" s="13" t="s">
        <v>5289</v>
      </c>
      <c r="I2413" s="13" t="s">
        <v>5289</v>
      </c>
      <c r="J2413" s="13" t="s">
        <v>5289</v>
      </c>
      <c r="K2413" s="13" t="s">
        <v>5289</v>
      </c>
      <c r="L2413" s="13" t="n">
        <v>8411061779521</v>
      </c>
      <c r="M2413" s="13"/>
      <c r="N2413" s="13" t="n">
        <v>8.41106177952184E+038</v>
      </c>
      <c r="O2413" s="13"/>
      <c r="P2413" s="13" t="s">
        <v>5291</v>
      </c>
      <c r="Q2413" s="13" t="s">
        <v>5289</v>
      </c>
      <c r="R2413" s="13" t="s">
        <v>5292</v>
      </c>
      <c r="S2413" s="13" t="s">
        <v>5293</v>
      </c>
      <c r="T2413" s="13" t="s">
        <v>5</v>
      </c>
      <c r="U2413" s="13" t="s">
        <v>43</v>
      </c>
      <c r="V2413" s="13" t="n">
        <f aca="false">IF(COUNTIF($B$2:B2413,B2413)=1,1,0)</f>
        <v>0</v>
      </c>
      <c r="W2413" s="13" t="n">
        <f aca="false">IF(COUNTIFS($B$2:B2413,B2413,$T$2:T2413,T2413)=1,1,0)</f>
        <v>0</v>
      </c>
    </row>
    <row r="2414" customFormat="false" ht="15" hidden="false" customHeight="false" outlineLevel="0" collapsed="false">
      <c r="A2414" s="13" t="s">
        <v>708</v>
      </c>
      <c r="B2414" s="13" t="s">
        <v>42</v>
      </c>
      <c r="C2414" s="13" t="n">
        <v>3000</v>
      </c>
      <c r="D2414" s="13" t="n">
        <v>5</v>
      </c>
      <c r="E2414" s="13" t="n">
        <v>594.028</v>
      </c>
      <c r="F2414" s="13" t="s">
        <v>5325</v>
      </c>
      <c r="G2414" s="13" t="s">
        <v>5289</v>
      </c>
      <c r="H2414" s="13" t="s">
        <v>5292</v>
      </c>
      <c r="I2414" s="13" t="s">
        <v>5289</v>
      </c>
      <c r="J2414" s="13" t="s">
        <v>5289</v>
      </c>
      <c r="K2414" s="13" t="s">
        <v>5289</v>
      </c>
      <c r="L2414" s="13" t="n">
        <v>8411061934524</v>
      </c>
      <c r="M2414" s="13"/>
      <c r="N2414" s="13" t="n">
        <v>8411061934524</v>
      </c>
      <c r="O2414" s="13"/>
      <c r="P2414" s="13" t="s">
        <v>5291</v>
      </c>
      <c r="Q2414" s="13" t="s">
        <v>5289</v>
      </c>
      <c r="R2414" s="13" t="s">
        <v>5292</v>
      </c>
      <c r="S2414" s="13" t="s">
        <v>5293</v>
      </c>
      <c r="T2414" s="13" t="s">
        <v>5</v>
      </c>
      <c r="U2414" s="13" t="s">
        <v>43</v>
      </c>
      <c r="V2414" s="13" t="n">
        <f aca="false">IF(COUNTIF($B$2:B2414,B2414)=1,1,0)</f>
        <v>0</v>
      </c>
      <c r="W2414" s="13" t="n">
        <f aca="false">IF(COUNTIFS($B$2:B2414,B2414,$T$2:T2414,T2414)=1,1,0)</f>
        <v>0</v>
      </c>
    </row>
    <row r="2415" customFormat="false" ht="15" hidden="false" customHeight="false" outlineLevel="0" collapsed="false">
      <c r="A2415" s="13" t="s">
        <v>709</v>
      </c>
      <c r="B2415" s="13" t="s">
        <v>72</v>
      </c>
      <c r="C2415" s="13" t="n">
        <v>3000</v>
      </c>
      <c r="D2415" s="13" t="n">
        <v>2</v>
      </c>
      <c r="E2415" s="13" t="n">
        <v>740</v>
      </c>
      <c r="F2415" s="13" t="s">
        <v>5325</v>
      </c>
      <c r="G2415" s="13" t="s">
        <v>5289</v>
      </c>
      <c r="H2415" s="13" t="s">
        <v>5289</v>
      </c>
      <c r="I2415" s="13" t="s">
        <v>5289</v>
      </c>
      <c r="J2415" s="13" t="s">
        <v>5289</v>
      </c>
      <c r="K2415" s="13" t="s">
        <v>5289</v>
      </c>
      <c r="L2415" s="13" t="n">
        <v>3614273768832</v>
      </c>
      <c r="M2415" s="13"/>
      <c r="N2415" s="13" t="n">
        <v>3614273768832</v>
      </c>
      <c r="O2415" s="13"/>
      <c r="P2415" s="13" t="s">
        <v>5291</v>
      </c>
      <c r="Q2415" s="13" t="s">
        <v>5289</v>
      </c>
      <c r="R2415" s="13" t="s">
        <v>5292</v>
      </c>
      <c r="S2415" s="13" t="s">
        <v>5293</v>
      </c>
      <c r="T2415" s="13" t="s">
        <v>5</v>
      </c>
      <c r="U2415" s="13" t="s">
        <v>43</v>
      </c>
      <c r="V2415" s="13" t="n">
        <f aca="false">IF(COUNTIF($B$2:B2415,B2415)=1,1,0)</f>
        <v>0</v>
      </c>
      <c r="W2415" s="13" t="n">
        <f aca="false">IF(COUNTIFS($B$2:B2415,B2415,$T$2:T2415,T2415)=1,1,0)</f>
        <v>0</v>
      </c>
    </row>
    <row r="2416" customFormat="false" ht="15" hidden="false" customHeight="false" outlineLevel="0" collapsed="false">
      <c r="A2416" s="13" t="s">
        <v>722</v>
      </c>
      <c r="B2416" s="13" t="s">
        <v>177</v>
      </c>
      <c r="C2416" s="13" t="n">
        <v>2900</v>
      </c>
      <c r="D2416" s="13" t="n">
        <v>5</v>
      </c>
      <c r="E2416" s="13" t="n">
        <v>420.51</v>
      </c>
      <c r="F2416" s="13" t="s">
        <v>5325</v>
      </c>
      <c r="G2416" s="13" t="s">
        <v>5289</v>
      </c>
      <c r="H2416" s="13" t="s">
        <v>5289</v>
      </c>
      <c r="I2416" s="13" t="s">
        <v>5289</v>
      </c>
      <c r="J2416" s="13" t="s">
        <v>5289</v>
      </c>
      <c r="K2416" s="13" t="s">
        <v>5289</v>
      </c>
      <c r="L2416" s="13" t="n">
        <v>3616301976110</v>
      </c>
      <c r="M2416" s="13"/>
      <c r="N2416" s="13" t="n">
        <v>3616301976110</v>
      </c>
      <c r="O2416" s="13"/>
      <c r="P2416" s="13" t="s">
        <v>5297</v>
      </c>
      <c r="Q2416" s="13" t="s">
        <v>5289</v>
      </c>
      <c r="R2416" s="13" t="s">
        <v>5292</v>
      </c>
      <c r="S2416" s="13" t="s">
        <v>5293</v>
      </c>
      <c r="T2416" s="13" t="s">
        <v>5</v>
      </c>
      <c r="U2416" s="13" t="s">
        <v>43</v>
      </c>
      <c r="V2416" s="13" t="n">
        <f aca="false">IF(COUNTIF($B$2:B2416,B2416)=1,1,0)</f>
        <v>0</v>
      </c>
      <c r="W2416" s="13" t="n">
        <f aca="false">IF(COUNTIFS($B$2:B2416,B2416,$T$2:T2416,T2416)=1,1,0)</f>
        <v>0</v>
      </c>
    </row>
    <row r="2417" customFormat="false" ht="15" hidden="false" customHeight="false" outlineLevel="0" collapsed="false">
      <c r="A2417" s="13" t="s">
        <v>723</v>
      </c>
      <c r="B2417" s="13" t="s">
        <v>153</v>
      </c>
      <c r="C2417" s="13" t="n">
        <v>2900</v>
      </c>
      <c r="D2417" s="13" t="n">
        <v>2</v>
      </c>
      <c r="E2417" s="13" t="n">
        <v>734.89</v>
      </c>
      <c r="F2417" s="13" t="s">
        <v>5288</v>
      </c>
      <c r="G2417" s="13" t="s">
        <v>5289</v>
      </c>
      <c r="H2417" s="13" t="s">
        <v>5289</v>
      </c>
      <c r="I2417" s="13" t="s">
        <v>5289</v>
      </c>
      <c r="J2417" s="13" t="s">
        <v>5289</v>
      </c>
      <c r="K2417" s="13" t="s">
        <v>5289</v>
      </c>
      <c r="L2417" s="13" t="n">
        <v>8011003891061</v>
      </c>
      <c r="M2417" s="13"/>
      <c r="N2417" s="13" t="n">
        <v>8011003891061</v>
      </c>
      <c r="O2417" s="13"/>
      <c r="P2417" s="13" t="s">
        <v>5291</v>
      </c>
      <c r="Q2417" s="13" t="s">
        <v>5289</v>
      </c>
      <c r="R2417" s="13" t="s">
        <v>5292</v>
      </c>
      <c r="S2417" s="13" t="s">
        <v>5293</v>
      </c>
      <c r="T2417" s="13" t="s">
        <v>5</v>
      </c>
      <c r="U2417" s="13" t="s">
        <v>43</v>
      </c>
      <c r="V2417" s="13" t="n">
        <f aca="false">IF(COUNTIF($B$2:B2417,B2417)=1,1,0)</f>
        <v>0</v>
      </c>
      <c r="W2417" s="13" t="n">
        <f aca="false">IF(COUNTIFS($B$2:B2417,B2417,$T$2:T2417,T2417)=1,1,0)</f>
        <v>0</v>
      </c>
    </row>
    <row r="2418" customFormat="false" ht="15" hidden="false" customHeight="false" outlineLevel="0" collapsed="false">
      <c r="A2418" s="13" t="s">
        <v>737</v>
      </c>
      <c r="B2418" s="13" t="s">
        <v>42</v>
      </c>
      <c r="C2418" s="13" t="n">
        <v>2900</v>
      </c>
      <c r="D2418" s="13" t="n">
        <v>2</v>
      </c>
      <c r="E2418" s="13" t="n">
        <v>734</v>
      </c>
      <c r="F2418" s="13" t="s">
        <v>5325</v>
      </c>
      <c r="G2418" s="13" t="s">
        <v>5289</v>
      </c>
      <c r="H2418" s="13" t="s">
        <v>5289</v>
      </c>
      <c r="I2418" s="13" t="s">
        <v>5289</v>
      </c>
      <c r="J2418" s="13" t="s">
        <v>5289</v>
      </c>
      <c r="K2418" s="13" t="s">
        <v>5289</v>
      </c>
      <c r="L2418" s="13" t="n">
        <v>8411061088197</v>
      </c>
      <c r="M2418" s="13"/>
      <c r="N2418" s="13" t="n">
        <v>8.41106177717684E+025</v>
      </c>
      <c r="O2418" s="13"/>
      <c r="P2418" s="13" t="s">
        <v>5291</v>
      </c>
      <c r="Q2418" s="13" t="s">
        <v>5289</v>
      </c>
      <c r="R2418" s="13" t="s">
        <v>5292</v>
      </c>
      <c r="S2418" s="13" t="s">
        <v>5293</v>
      </c>
      <c r="T2418" s="13" t="s">
        <v>5</v>
      </c>
      <c r="U2418" s="13" t="s">
        <v>43</v>
      </c>
      <c r="V2418" s="13" t="n">
        <f aca="false">IF(COUNTIF($B$2:B2418,B2418)=1,1,0)</f>
        <v>0</v>
      </c>
      <c r="W2418" s="13" t="n">
        <f aca="false">IF(COUNTIFS($B$2:B2418,B2418,$T$2:T2418,T2418)=1,1,0)</f>
        <v>0</v>
      </c>
    </row>
    <row r="2419" customFormat="false" ht="15" hidden="false" customHeight="false" outlineLevel="0" collapsed="false">
      <c r="A2419" s="13" t="s">
        <v>720</v>
      </c>
      <c r="B2419" s="13" t="s">
        <v>92</v>
      </c>
      <c r="C2419" s="13" t="n">
        <v>2900</v>
      </c>
      <c r="D2419" s="13" t="n">
        <v>5</v>
      </c>
      <c r="E2419" s="13" t="n">
        <v>586.198</v>
      </c>
      <c r="F2419" s="13" t="s">
        <v>5325</v>
      </c>
      <c r="G2419" s="13" t="s">
        <v>5289</v>
      </c>
      <c r="H2419" s="13" t="s">
        <v>5289</v>
      </c>
      <c r="I2419" s="13" t="s">
        <v>5289</v>
      </c>
      <c r="J2419" s="13" t="s">
        <v>5289</v>
      </c>
      <c r="K2419" s="13" t="s">
        <v>5289</v>
      </c>
      <c r="L2419" s="13" t="n">
        <v>3616303445577</v>
      </c>
      <c r="M2419" s="13"/>
      <c r="N2419" s="13" t="n">
        <v>3616303445577</v>
      </c>
      <c r="O2419" s="13"/>
      <c r="P2419" s="13" t="s">
        <v>5291</v>
      </c>
      <c r="Q2419" s="13" t="s">
        <v>5289</v>
      </c>
      <c r="R2419" s="13" t="s">
        <v>5292</v>
      </c>
      <c r="S2419" s="13" t="s">
        <v>5293</v>
      </c>
      <c r="T2419" s="13" t="s">
        <v>5</v>
      </c>
      <c r="U2419" s="13" t="s">
        <v>43</v>
      </c>
      <c r="V2419" s="13" t="n">
        <f aca="false">IF(COUNTIF($B$2:B2419,B2419)=1,1,0)</f>
        <v>0</v>
      </c>
      <c r="W2419" s="13" t="n">
        <f aca="false">IF(COUNTIFS($B$2:B2419,B2419,$T$2:T2419,T2419)=1,1,0)</f>
        <v>0</v>
      </c>
    </row>
    <row r="2420" customFormat="false" ht="15" hidden="false" customHeight="false" outlineLevel="0" collapsed="false">
      <c r="A2420" s="13" t="s">
        <v>729</v>
      </c>
      <c r="B2420" s="13" t="s">
        <v>45</v>
      </c>
      <c r="C2420" s="13" t="n">
        <v>2900</v>
      </c>
      <c r="D2420" s="13" t="n">
        <v>2</v>
      </c>
      <c r="E2420" s="13" t="n">
        <v>731.6375</v>
      </c>
      <c r="F2420" s="13" t="s">
        <v>5325</v>
      </c>
      <c r="G2420" s="13" t="s">
        <v>5289</v>
      </c>
      <c r="H2420" s="13" t="s">
        <v>5292</v>
      </c>
      <c r="I2420" s="13" t="s">
        <v>5289</v>
      </c>
      <c r="J2420" s="13" t="s">
        <v>5289</v>
      </c>
      <c r="K2420" s="13" t="s">
        <v>5289</v>
      </c>
      <c r="L2420" s="13" t="n">
        <v>8435415012027</v>
      </c>
      <c r="M2420" s="13"/>
      <c r="N2420" s="13" t="n">
        <v>8435415012027</v>
      </c>
      <c r="O2420" s="13"/>
      <c r="P2420" s="13" t="s">
        <v>5291</v>
      </c>
      <c r="Q2420" s="13" t="s">
        <v>5289</v>
      </c>
      <c r="R2420" s="13" t="s">
        <v>5292</v>
      </c>
      <c r="S2420" s="13" t="s">
        <v>5293</v>
      </c>
      <c r="T2420" s="13" t="s">
        <v>5</v>
      </c>
      <c r="U2420" s="13" t="s">
        <v>43</v>
      </c>
      <c r="V2420" s="13" t="n">
        <f aca="false">IF(COUNTIF($B$2:B2420,B2420)=1,1,0)</f>
        <v>0</v>
      </c>
      <c r="W2420" s="13" t="n">
        <f aca="false">IF(COUNTIFS($B$2:B2420,B2420,$T$2:T2420,T2420)=1,1,0)</f>
        <v>0</v>
      </c>
    </row>
    <row r="2421" customFormat="false" ht="15" hidden="false" customHeight="false" outlineLevel="0" collapsed="false">
      <c r="A2421" s="13" t="s">
        <v>294</v>
      </c>
      <c r="B2421" s="13" t="s">
        <v>50</v>
      </c>
      <c r="C2421" s="13" t="n">
        <v>2900</v>
      </c>
      <c r="D2421" s="13" t="n">
        <v>5</v>
      </c>
      <c r="E2421" s="13" t="n">
        <v>582.598</v>
      </c>
      <c r="F2421" s="13" t="s">
        <v>5325</v>
      </c>
      <c r="G2421" s="13" t="s">
        <v>5289</v>
      </c>
      <c r="H2421" s="13" t="s">
        <v>5289</v>
      </c>
      <c r="I2421" s="13" t="s">
        <v>5289</v>
      </c>
      <c r="J2421" s="13" t="s">
        <v>5289</v>
      </c>
      <c r="K2421" s="13" t="s">
        <v>5289</v>
      </c>
      <c r="L2421" s="13"/>
      <c r="M2421" s="13"/>
      <c r="N2421" s="13" t="n">
        <v>3349668641826</v>
      </c>
      <c r="O2421" s="13"/>
      <c r="P2421" s="13" t="s">
        <v>5291</v>
      </c>
      <c r="Q2421" s="13" t="s">
        <v>5289</v>
      </c>
      <c r="R2421" s="13" t="s">
        <v>5292</v>
      </c>
      <c r="S2421" s="13" t="s">
        <v>5293</v>
      </c>
      <c r="T2421" s="13" t="s">
        <v>5</v>
      </c>
      <c r="U2421" s="13" t="s">
        <v>43</v>
      </c>
      <c r="V2421" s="13" t="n">
        <f aca="false">IF(COUNTIF($B$2:B2421,B2421)=1,1,0)</f>
        <v>0</v>
      </c>
      <c r="W2421" s="13" t="n">
        <f aca="false">IF(COUNTIFS($B$2:B2421,B2421,$T$2:T2421,T2421)=1,1,0)</f>
        <v>0</v>
      </c>
    </row>
    <row r="2422" customFormat="false" ht="15" hidden="false" customHeight="false" outlineLevel="0" collapsed="false">
      <c r="A2422" s="13" t="s">
        <v>569</v>
      </c>
      <c r="B2422" s="13" t="s">
        <v>79</v>
      </c>
      <c r="C2422" s="13" t="n">
        <v>2900</v>
      </c>
      <c r="D2422" s="13" t="n">
        <v>5</v>
      </c>
      <c r="E2422" s="13" t="n">
        <v>582</v>
      </c>
      <c r="F2422" s="13" t="s">
        <v>5325</v>
      </c>
      <c r="G2422" s="13" t="s">
        <v>5292</v>
      </c>
      <c r="H2422" s="13" t="s">
        <v>5289</v>
      </c>
      <c r="I2422" s="13" t="s">
        <v>5289</v>
      </c>
      <c r="J2422" s="13" t="s">
        <v>5289</v>
      </c>
      <c r="K2422" s="13" t="s">
        <v>5289</v>
      </c>
      <c r="L2422" s="13" t="n">
        <v>3423473020639</v>
      </c>
      <c r="M2422" s="13"/>
      <c r="N2422" s="13" t="n">
        <v>3.42347302063981E+025</v>
      </c>
      <c r="O2422" s="13"/>
      <c r="P2422" s="13" t="s">
        <v>5297</v>
      </c>
      <c r="Q2422" s="13" t="s">
        <v>5289</v>
      </c>
      <c r="R2422" s="13" t="s">
        <v>5292</v>
      </c>
      <c r="S2422" s="13" t="s">
        <v>5293</v>
      </c>
      <c r="T2422" s="13" t="s">
        <v>5</v>
      </c>
      <c r="U2422" s="13" t="s">
        <v>43</v>
      </c>
      <c r="V2422" s="13" t="n">
        <f aca="false">IF(COUNTIF($B$2:B2422,B2422)=1,1,0)</f>
        <v>0</v>
      </c>
      <c r="W2422" s="13" t="n">
        <f aca="false">IF(COUNTIFS($B$2:B2422,B2422,$T$2:T2422,T2422)=1,1,0)</f>
        <v>0</v>
      </c>
    </row>
    <row r="2423" customFormat="false" ht="15" hidden="false" customHeight="false" outlineLevel="0" collapsed="false">
      <c r="A2423" s="13" t="s">
        <v>724</v>
      </c>
      <c r="B2423" s="13" t="s">
        <v>490</v>
      </c>
      <c r="C2423" s="13" t="n">
        <v>2900</v>
      </c>
      <c r="D2423" s="13" t="n">
        <v>5</v>
      </c>
      <c r="E2423" s="13" t="n">
        <v>484.808333333333</v>
      </c>
      <c r="F2423" s="13" t="s">
        <v>5325</v>
      </c>
      <c r="G2423" s="13" t="s">
        <v>5289</v>
      </c>
      <c r="H2423" s="13" t="s">
        <v>5289</v>
      </c>
      <c r="I2423" s="13" t="s">
        <v>5289</v>
      </c>
      <c r="J2423" s="13" t="s">
        <v>5289</v>
      </c>
      <c r="K2423" s="13" t="s">
        <v>5292</v>
      </c>
      <c r="L2423" s="13" t="n">
        <v>8011003839308</v>
      </c>
      <c r="M2423" s="13"/>
      <c r="N2423" s="13" t="n">
        <v>8011003839308</v>
      </c>
      <c r="O2423" s="13"/>
      <c r="P2423" s="13" t="s">
        <v>5291</v>
      </c>
      <c r="Q2423" s="13" t="s">
        <v>5289</v>
      </c>
      <c r="R2423" s="13" t="s">
        <v>5292</v>
      </c>
      <c r="S2423" s="13" t="s">
        <v>5293</v>
      </c>
      <c r="T2423" s="13" t="s">
        <v>5</v>
      </c>
      <c r="U2423" s="13" t="s">
        <v>43</v>
      </c>
      <c r="V2423" s="13" t="n">
        <f aca="false">IF(COUNTIF($B$2:B2423,B2423)=1,1,0)</f>
        <v>0</v>
      </c>
      <c r="W2423" s="13" t="n">
        <f aca="false">IF(COUNTIFS($B$2:B2423,B2423,$T$2:T2423,T2423)=1,1,0)</f>
        <v>0</v>
      </c>
    </row>
    <row r="2424" customFormat="false" ht="15" hidden="false" customHeight="false" outlineLevel="0" collapsed="false">
      <c r="A2424" s="13" t="s">
        <v>113</v>
      </c>
      <c r="B2424" s="13" t="s">
        <v>45</v>
      </c>
      <c r="C2424" s="13" t="n">
        <v>2900</v>
      </c>
      <c r="D2424" s="13" t="n">
        <v>2</v>
      </c>
      <c r="E2424" s="13" t="n">
        <v>725</v>
      </c>
      <c r="F2424" s="13" t="s">
        <v>5288</v>
      </c>
      <c r="G2424" s="13" t="s">
        <v>5289</v>
      </c>
      <c r="H2424" s="13" t="s">
        <v>5289</v>
      </c>
      <c r="I2424" s="13" t="s">
        <v>5289</v>
      </c>
      <c r="J2424" s="13" t="s">
        <v>5289</v>
      </c>
      <c r="K2424" s="13" t="s">
        <v>5289</v>
      </c>
      <c r="L2424" s="13"/>
      <c r="M2424" s="13"/>
      <c r="N2424" s="13" t="n">
        <v>8435415065191</v>
      </c>
      <c r="O2424" s="13"/>
      <c r="P2424" s="13" t="s">
        <v>5291</v>
      </c>
      <c r="Q2424" s="13" t="s">
        <v>5289</v>
      </c>
      <c r="R2424" s="13" t="s">
        <v>5292</v>
      </c>
      <c r="S2424" s="13" t="s">
        <v>5293</v>
      </c>
      <c r="T2424" s="13" t="s">
        <v>5</v>
      </c>
      <c r="U2424" s="13" t="s">
        <v>43</v>
      </c>
      <c r="V2424" s="13" t="n">
        <f aca="false">IF(COUNTIF($B$2:B2424,B2424)=1,1,0)</f>
        <v>0</v>
      </c>
      <c r="W2424" s="13" t="n">
        <f aca="false">IF(COUNTIFS($B$2:B2424,B2424,$T$2:T2424,T2424)=1,1,0)</f>
        <v>0</v>
      </c>
    </row>
    <row r="2425" customFormat="false" ht="15" hidden="false" customHeight="false" outlineLevel="0" collapsed="false">
      <c r="A2425" s="13" t="s">
        <v>732</v>
      </c>
      <c r="B2425" s="13" t="s">
        <v>195</v>
      </c>
      <c r="C2425" s="13" t="n">
        <v>2900</v>
      </c>
      <c r="D2425" s="13" t="n">
        <v>5</v>
      </c>
      <c r="E2425" s="13" t="n">
        <v>580</v>
      </c>
      <c r="F2425" s="13" t="s">
        <v>5288</v>
      </c>
      <c r="G2425" s="13" t="s">
        <v>5289</v>
      </c>
      <c r="H2425" s="13" t="s">
        <v>5289</v>
      </c>
      <c r="I2425" s="13" t="s">
        <v>5289</v>
      </c>
      <c r="J2425" s="13" t="s">
        <v>5289</v>
      </c>
      <c r="K2425" s="13" t="s">
        <v>5289</v>
      </c>
      <c r="L2425" s="13" t="n">
        <v>3616305271556</v>
      </c>
      <c r="M2425" s="13"/>
      <c r="N2425" s="13" t="n">
        <v>3616305271556</v>
      </c>
      <c r="O2425" s="13"/>
      <c r="P2425" s="13" t="s">
        <v>5291</v>
      </c>
      <c r="Q2425" s="13" t="s">
        <v>5289</v>
      </c>
      <c r="R2425" s="13" t="s">
        <v>5292</v>
      </c>
      <c r="S2425" s="13" t="s">
        <v>5293</v>
      </c>
      <c r="T2425" s="13" t="s">
        <v>5</v>
      </c>
      <c r="U2425" s="13" t="s">
        <v>43</v>
      </c>
      <c r="V2425" s="13" t="n">
        <f aca="false">IF(COUNTIF($B$2:B2425,B2425)=1,1,0)</f>
        <v>0</v>
      </c>
      <c r="W2425" s="13" t="n">
        <f aca="false">IF(COUNTIFS($B$2:B2425,B2425,$T$2:T2425,T2425)=1,1,0)</f>
        <v>0</v>
      </c>
    </row>
    <row r="2426" customFormat="false" ht="15" hidden="false" customHeight="false" outlineLevel="0" collapsed="false">
      <c r="A2426" s="13" t="s">
        <v>731</v>
      </c>
      <c r="B2426" s="13" t="s">
        <v>121</v>
      </c>
      <c r="C2426" s="13" t="n">
        <v>2900</v>
      </c>
      <c r="D2426" s="13" t="n">
        <v>40</v>
      </c>
      <c r="E2426" s="13" t="n">
        <v>76</v>
      </c>
      <c r="F2426" s="13" t="s">
        <v>5288</v>
      </c>
      <c r="G2426" s="13" t="s">
        <v>5289</v>
      </c>
      <c r="H2426" s="13" t="s">
        <v>5289</v>
      </c>
      <c r="I2426" s="13" t="s">
        <v>5292</v>
      </c>
      <c r="J2426" s="13" t="s">
        <v>5289</v>
      </c>
      <c r="K2426" s="13" t="s">
        <v>5289</v>
      </c>
      <c r="L2426" s="13" t="n">
        <v>7896086997500</v>
      </c>
      <c r="M2426" s="13"/>
      <c r="N2426" s="13" t="n">
        <v>7896086997500</v>
      </c>
      <c r="O2426" s="13"/>
      <c r="P2426" s="13" t="s">
        <v>5291</v>
      </c>
      <c r="Q2426" s="13" t="s">
        <v>5289</v>
      </c>
      <c r="R2426" s="13" t="s">
        <v>5292</v>
      </c>
      <c r="S2426" s="13" t="s">
        <v>5293</v>
      </c>
      <c r="T2426" s="13" t="s">
        <v>5</v>
      </c>
      <c r="U2426" s="13" t="s">
        <v>43</v>
      </c>
      <c r="V2426" s="13" t="n">
        <f aca="false">IF(COUNTIF($B$2:B2426,B2426)=1,1,0)</f>
        <v>0</v>
      </c>
      <c r="W2426" s="13" t="n">
        <f aca="false">IF(COUNTIFS($B$2:B2426,B2426,$T$2:T2426,T2426)=1,1,0)</f>
        <v>0</v>
      </c>
    </row>
    <row r="2427" customFormat="false" ht="15" hidden="false" customHeight="false" outlineLevel="0" collapsed="false">
      <c r="A2427" s="13" t="s">
        <v>733</v>
      </c>
      <c r="B2427" s="13" t="s">
        <v>153</v>
      </c>
      <c r="C2427" s="13" t="n">
        <v>2900</v>
      </c>
      <c r="D2427" s="13" t="n">
        <v>2</v>
      </c>
      <c r="E2427" s="13" t="n">
        <v>721</v>
      </c>
      <c r="F2427" s="13" t="s">
        <v>5325</v>
      </c>
      <c r="G2427" s="13" t="s">
        <v>5289</v>
      </c>
      <c r="H2427" s="13" t="s">
        <v>5289</v>
      </c>
      <c r="I2427" s="13" t="s">
        <v>5289</v>
      </c>
      <c r="J2427" s="13" t="s">
        <v>5289</v>
      </c>
      <c r="K2427" s="13" t="s">
        <v>5289</v>
      </c>
      <c r="L2427" s="13" t="n">
        <v>8011003890996</v>
      </c>
      <c r="M2427" s="13"/>
      <c r="N2427" s="13" t="n">
        <v>8011003890996</v>
      </c>
      <c r="O2427" s="13"/>
      <c r="P2427" s="13" t="s">
        <v>5291</v>
      </c>
      <c r="Q2427" s="13" t="s">
        <v>5289</v>
      </c>
      <c r="R2427" s="13" t="s">
        <v>5292</v>
      </c>
      <c r="S2427" s="13" t="s">
        <v>5293</v>
      </c>
      <c r="T2427" s="13" t="s">
        <v>5</v>
      </c>
      <c r="U2427" s="13" t="s">
        <v>43</v>
      </c>
      <c r="V2427" s="13" t="n">
        <f aca="false">IF(COUNTIF($B$2:B2427,B2427)=1,1,0)</f>
        <v>0</v>
      </c>
      <c r="W2427" s="13" t="n">
        <f aca="false">IF(COUNTIFS($B$2:B2427,B2427,$T$2:T2427,T2427)=1,1,0)</f>
        <v>0</v>
      </c>
    </row>
    <row r="2428" customFormat="false" ht="15" hidden="false" customHeight="false" outlineLevel="0" collapsed="false">
      <c r="A2428" s="13" t="s">
        <v>327</v>
      </c>
      <c r="B2428" s="13" t="s">
        <v>61</v>
      </c>
      <c r="C2428" s="13" t="n">
        <v>2900</v>
      </c>
      <c r="D2428" s="13" t="n">
        <v>5</v>
      </c>
      <c r="E2428" s="13" t="n">
        <v>360</v>
      </c>
      <c r="F2428" s="13" t="s">
        <v>5288</v>
      </c>
      <c r="G2428" s="13" t="s">
        <v>5292</v>
      </c>
      <c r="H2428" s="13" t="s">
        <v>5289</v>
      </c>
      <c r="I2428" s="13" t="s">
        <v>5289</v>
      </c>
      <c r="J2428" s="13" t="s">
        <v>5289</v>
      </c>
      <c r="K2428" s="13" t="s">
        <v>5289</v>
      </c>
      <c r="L2428" s="13" t="n">
        <v>3614274397239</v>
      </c>
      <c r="M2428" s="13"/>
      <c r="N2428" s="13" t="n">
        <v>3614274397239</v>
      </c>
      <c r="O2428" s="13"/>
      <c r="P2428" s="13" t="s">
        <v>5297</v>
      </c>
      <c r="Q2428" s="13" t="s">
        <v>5289</v>
      </c>
      <c r="R2428" s="13" t="s">
        <v>5292</v>
      </c>
      <c r="S2428" s="13" t="s">
        <v>5293</v>
      </c>
      <c r="T2428" s="13" t="s">
        <v>5</v>
      </c>
      <c r="U2428" s="13" t="s">
        <v>43</v>
      </c>
      <c r="V2428" s="13" t="n">
        <f aca="false">IF(COUNTIF($B$2:B2428,B2428)=1,1,0)</f>
        <v>0</v>
      </c>
      <c r="W2428" s="13" t="n">
        <f aca="false">IF(COUNTIFS($B$2:B2428,B2428,$T$2:T2428,T2428)=1,1,0)</f>
        <v>0</v>
      </c>
    </row>
    <row r="2429" customFormat="false" ht="15" hidden="false" customHeight="false" outlineLevel="0" collapsed="false">
      <c r="A2429" s="13" t="s">
        <v>730</v>
      </c>
      <c r="B2429" s="13" t="s">
        <v>54</v>
      </c>
      <c r="C2429" s="13" t="n">
        <v>2900</v>
      </c>
      <c r="D2429" s="13" t="n">
        <v>5</v>
      </c>
      <c r="E2429" s="13" t="n">
        <v>478.97</v>
      </c>
      <c r="F2429" s="13" t="s">
        <v>5325</v>
      </c>
      <c r="G2429" s="13" t="s">
        <v>5289</v>
      </c>
      <c r="H2429" s="13" t="s">
        <v>5289</v>
      </c>
      <c r="I2429" s="13" t="s">
        <v>5289</v>
      </c>
      <c r="J2429" s="13" t="s">
        <v>5289</v>
      </c>
      <c r="K2429" s="13" t="s">
        <v>5289</v>
      </c>
      <c r="L2429" s="13" t="n">
        <v>729238182851</v>
      </c>
      <c r="M2429" s="13"/>
      <c r="N2429" s="13" t="n">
        <v>729238182851</v>
      </c>
      <c r="O2429" s="13"/>
      <c r="P2429" s="13" t="s">
        <v>5297</v>
      </c>
      <c r="Q2429" s="13" t="s">
        <v>5289</v>
      </c>
      <c r="R2429" s="13" t="s">
        <v>5292</v>
      </c>
      <c r="S2429" s="13" t="s">
        <v>5293</v>
      </c>
      <c r="T2429" s="13" t="s">
        <v>5</v>
      </c>
      <c r="U2429" s="13" t="s">
        <v>43</v>
      </c>
      <c r="V2429" s="13" t="n">
        <f aca="false">IF(COUNTIF($B$2:B2429,B2429)=1,1,0)</f>
        <v>0</v>
      </c>
      <c r="W2429" s="13" t="n">
        <f aca="false">IF(COUNTIFS($B$2:B2429,B2429,$T$2:T2429,T2429)=1,1,0)</f>
        <v>0</v>
      </c>
    </row>
    <row r="2430" customFormat="false" ht="15" hidden="false" customHeight="false" outlineLevel="0" collapsed="false">
      <c r="A2430" s="13" t="s">
        <v>727</v>
      </c>
      <c r="B2430" s="13" t="s">
        <v>42</v>
      </c>
      <c r="C2430" s="13" t="n">
        <v>2900</v>
      </c>
      <c r="D2430" s="13" t="n">
        <v>2</v>
      </c>
      <c r="E2430" s="13" t="n">
        <v>714.835</v>
      </c>
      <c r="F2430" s="13" t="s">
        <v>5325</v>
      </c>
      <c r="G2430" s="13" t="s">
        <v>5289</v>
      </c>
      <c r="H2430" s="13" t="s">
        <v>5292</v>
      </c>
      <c r="I2430" s="13" t="s">
        <v>5289</v>
      </c>
      <c r="J2430" s="13" t="s">
        <v>5289</v>
      </c>
      <c r="K2430" s="13" t="s">
        <v>5289</v>
      </c>
      <c r="L2430" s="13" t="n">
        <v>8411061723760</v>
      </c>
      <c r="M2430" s="13"/>
      <c r="N2430" s="13" t="n">
        <v>8.41106108816684E+025</v>
      </c>
      <c r="O2430" s="13"/>
      <c r="P2430" s="13" t="s">
        <v>5291</v>
      </c>
      <c r="Q2430" s="13" t="s">
        <v>5289</v>
      </c>
      <c r="R2430" s="13" t="s">
        <v>5292</v>
      </c>
      <c r="S2430" s="13" t="s">
        <v>5293</v>
      </c>
      <c r="T2430" s="13" t="s">
        <v>5</v>
      </c>
      <c r="U2430" s="13" t="s">
        <v>43</v>
      </c>
      <c r="V2430" s="13" t="n">
        <f aca="false">IF(COUNTIF($B$2:B2430,B2430)=1,1,0)</f>
        <v>0</v>
      </c>
      <c r="W2430" s="13" t="n">
        <f aca="false">IF(COUNTIFS($B$2:B2430,B2430,$T$2:T2430,T2430)=1,1,0)</f>
        <v>0</v>
      </c>
    </row>
    <row r="2431" customFormat="false" ht="15" hidden="false" customHeight="false" outlineLevel="0" collapsed="false">
      <c r="A2431" s="13" t="s">
        <v>210</v>
      </c>
      <c r="B2431" s="13" t="s">
        <v>124</v>
      </c>
      <c r="C2431" s="13" t="n">
        <v>2900</v>
      </c>
      <c r="D2431" s="13" t="n">
        <v>5</v>
      </c>
      <c r="E2431" s="13" t="n">
        <v>571.6</v>
      </c>
      <c r="F2431" s="13" t="s">
        <v>5288</v>
      </c>
      <c r="G2431" s="13" t="s">
        <v>5289</v>
      </c>
      <c r="H2431" s="13" t="s">
        <v>5289</v>
      </c>
      <c r="I2431" s="13" t="s">
        <v>5289</v>
      </c>
      <c r="J2431" s="13" t="s">
        <v>5289</v>
      </c>
      <c r="K2431" s="13" t="s">
        <v>5289</v>
      </c>
      <c r="L2431" s="13" t="n">
        <v>3614274091908</v>
      </c>
      <c r="M2431" s="13"/>
      <c r="N2431" s="13" t="n">
        <v>3614274091908</v>
      </c>
      <c r="O2431" s="13"/>
      <c r="P2431" s="13" t="s">
        <v>5291</v>
      </c>
      <c r="Q2431" s="13" t="s">
        <v>5289</v>
      </c>
      <c r="R2431" s="13" t="s">
        <v>5292</v>
      </c>
      <c r="S2431" s="13" t="s">
        <v>5293</v>
      </c>
      <c r="T2431" s="13" t="s">
        <v>5</v>
      </c>
      <c r="U2431" s="13" t="s">
        <v>43</v>
      </c>
      <c r="V2431" s="13" t="n">
        <f aca="false">IF(COUNTIF($B$2:B2431,B2431)=1,1,0)</f>
        <v>0</v>
      </c>
      <c r="W2431" s="13" t="n">
        <f aca="false">IF(COUNTIFS($B$2:B2431,B2431,$T$2:T2431,T2431)=1,1,0)</f>
        <v>0</v>
      </c>
    </row>
    <row r="2432" customFormat="false" ht="15" hidden="false" customHeight="false" outlineLevel="0" collapsed="false">
      <c r="A2432" s="13" t="s">
        <v>744</v>
      </c>
      <c r="B2432" s="13" t="s">
        <v>61</v>
      </c>
      <c r="C2432" s="13" t="n">
        <v>2800</v>
      </c>
      <c r="D2432" s="13" t="n">
        <v>5</v>
      </c>
      <c r="E2432" s="13" t="n">
        <v>284.722</v>
      </c>
      <c r="F2432" s="13" t="s">
        <v>5325</v>
      </c>
      <c r="G2432" s="13" t="s">
        <v>5289</v>
      </c>
      <c r="H2432" s="13" t="s">
        <v>5289</v>
      </c>
      <c r="I2432" s="13" t="s">
        <v>5289</v>
      </c>
      <c r="J2432" s="13" t="s">
        <v>5289</v>
      </c>
      <c r="K2432" s="13" t="s">
        <v>5289</v>
      </c>
      <c r="L2432" s="13" t="n">
        <v>3614273436663</v>
      </c>
      <c r="M2432" s="13"/>
      <c r="N2432" s="13" t="n">
        <v>3614273436663</v>
      </c>
      <c r="O2432" s="13"/>
      <c r="P2432" s="13" t="s">
        <v>5291</v>
      </c>
      <c r="Q2432" s="13" t="s">
        <v>5289</v>
      </c>
      <c r="R2432" s="13" t="s">
        <v>5292</v>
      </c>
      <c r="S2432" s="13" t="s">
        <v>5293</v>
      </c>
      <c r="T2432" s="13" t="s">
        <v>5</v>
      </c>
      <c r="U2432" s="13" t="s">
        <v>43</v>
      </c>
      <c r="V2432" s="13" t="n">
        <f aca="false">IF(COUNTIF($B$2:B2432,B2432)=1,1,0)</f>
        <v>0</v>
      </c>
      <c r="W2432" s="13" t="n">
        <f aca="false">IF(COUNTIFS($B$2:B2432,B2432,$T$2:T2432,T2432)=1,1,0)</f>
        <v>0</v>
      </c>
    </row>
    <row r="2433" customFormat="false" ht="15" hidden="false" customHeight="false" outlineLevel="0" collapsed="false">
      <c r="A2433" s="13" t="s">
        <v>6374</v>
      </c>
      <c r="B2433" s="13" t="s">
        <v>2127</v>
      </c>
      <c r="C2433" s="13" t="n">
        <v>2800</v>
      </c>
      <c r="D2433" s="13" t="n">
        <v>40</v>
      </c>
      <c r="E2433" s="13" t="n">
        <v>63.2644444444444</v>
      </c>
      <c r="F2433" s="13" t="s">
        <v>5288</v>
      </c>
      <c r="G2433" s="13" t="s">
        <v>5289</v>
      </c>
      <c r="H2433" s="13" t="s">
        <v>5289</v>
      </c>
      <c r="I2433" s="13" t="s">
        <v>5292</v>
      </c>
      <c r="J2433" s="13" t="s">
        <v>5289</v>
      </c>
      <c r="K2433" s="13" t="s">
        <v>5289</v>
      </c>
      <c r="L2433" s="13" t="n">
        <v>19045108084</v>
      </c>
      <c r="M2433" s="13"/>
      <c r="N2433" s="13" t="n">
        <v>19045108084</v>
      </c>
      <c r="O2433" s="13"/>
      <c r="P2433" s="13" t="s">
        <v>5291</v>
      </c>
      <c r="Q2433" s="13" t="s">
        <v>5289</v>
      </c>
      <c r="R2433" s="13" t="s">
        <v>5292</v>
      </c>
      <c r="S2433" s="13" t="s">
        <v>5293</v>
      </c>
      <c r="T2433" s="13" t="s">
        <v>5</v>
      </c>
      <c r="U2433" s="13" t="s">
        <v>85</v>
      </c>
      <c r="V2433" s="13" t="n">
        <f aca="false">IF(COUNTIF($B$2:B2433,B2433)=1,1,0)</f>
        <v>0</v>
      </c>
      <c r="W2433" s="13" t="n">
        <f aca="false">IF(COUNTIFS($B$2:B2433,B2433,$T$2:T2433,T2433)=1,1,0)</f>
        <v>0</v>
      </c>
    </row>
    <row r="2434" customFormat="false" ht="15" hidden="false" customHeight="false" outlineLevel="0" collapsed="false">
      <c r="A2434" s="13" t="s">
        <v>745</v>
      </c>
      <c r="B2434" s="13" t="s">
        <v>153</v>
      </c>
      <c r="C2434" s="13" t="n">
        <v>2800</v>
      </c>
      <c r="D2434" s="13" t="n">
        <v>2</v>
      </c>
      <c r="E2434" s="13" t="n">
        <v>710.97</v>
      </c>
      <c r="F2434" s="13" t="s">
        <v>5288</v>
      </c>
      <c r="G2434" s="13" t="s">
        <v>5289</v>
      </c>
      <c r="H2434" s="13" t="s">
        <v>5292</v>
      </c>
      <c r="I2434" s="13" t="s">
        <v>5289</v>
      </c>
      <c r="J2434" s="13" t="s">
        <v>5289</v>
      </c>
      <c r="K2434" s="13" t="s">
        <v>5289</v>
      </c>
      <c r="L2434" s="13" t="n">
        <v>8011003804566</v>
      </c>
      <c r="M2434" s="13"/>
      <c r="N2434" s="13" t="n">
        <v>8011003804566</v>
      </c>
      <c r="O2434" s="13"/>
      <c r="P2434" s="13" t="s">
        <v>5291</v>
      </c>
      <c r="Q2434" s="13" t="s">
        <v>5289</v>
      </c>
      <c r="R2434" s="13" t="s">
        <v>5292</v>
      </c>
      <c r="S2434" s="13" t="s">
        <v>5293</v>
      </c>
      <c r="T2434" s="13" t="s">
        <v>5</v>
      </c>
      <c r="U2434" s="13" t="s">
        <v>43</v>
      </c>
      <c r="V2434" s="13" t="n">
        <f aca="false">IF(COUNTIF($B$2:B2434,B2434)=1,1,0)</f>
        <v>0</v>
      </c>
      <c r="W2434" s="13" t="n">
        <f aca="false">IF(COUNTIFS($B$2:B2434,B2434,$T$2:T2434,T2434)=1,1,0)</f>
        <v>0</v>
      </c>
    </row>
    <row r="2435" customFormat="false" ht="15" hidden="false" customHeight="false" outlineLevel="0" collapsed="false">
      <c r="A2435" s="13" t="s">
        <v>301</v>
      </c>
      <c r="B2435" s="13" t="s">
        <v>45</v>
      </c>
      <c r="C2435" s="13" t="n">
        <v>2800</v>
      </c>
      <c r="D2435" s="13" t="n">
        <v>5</v>
      </c>
      <c r="E2435" s="13" t="n">
        <v>473.82</v>
      </c>
      <c r="F2435" s="13" t="s">
        <v>5325</v>
      </c>
      <c r="G2435" s="13" t="s">
        <v>5289</v>
      </c>
      <c r="H2435" s="13" t="s">
        <v>5289</v>
      </c>
      <c r="I2435" s="13" t="s">
        <v>5289</v>
      </c>
      <c r="J2435" s="13" t="s">
        <v>5289</v>
      </c>
      <c r="K2435" s="13" t="s">
        <v>5289</v>
      </c>
      <c r="L2435" s="13"/>
      <c r="M2435" s="13"/>
      <c r="N2435" s="13" t="n">
        <v>8435415076814</v>
      </c>
      <c r="O2435" s="13"/>
      <c r="P2435" s="13" t="s">
        <v>5291</v>
      </c>
      <c r="Q2435" s="13" t="s">
        <v>5289</v>
      </c>
      <c r="R2435" s="13" t="s">
        <v>5292</v>
      </c>
      <c r="S2435" s="13" t="s">
        <v>5293</v>
      </c>
      <c r="T2435" s="13" t="s">
        <v>5</v>
      </c>
      <c r="U2435" s="13" t="s">
        <v>43</v>
      </c>
      <c r="V2435" s="13" t="n">
        <f aca="false">IF(COUNTIF($B$2:B2435,B2435)=1,1,0)</f>
        <v>0</v>
      </c>
      <c r="W2435" s="13" t="n">
        <f aca="false">IF(COUNTIFS($B$2:B2435,B2435,$T$2:T2435,T2435)=1,1,0)</f>
        <v>0</v>
      </c>
    </row>
    <row r="2436" customFormat="false" ht="15" hidden="false" customHeight="false" outlineLevel="0" collapsed="false">
      <c r="A2436" s="13" t="s">
        <v>743</v>
      </c>
      <c r="B2436" s="13" t="s">
        <v>177</v>
      </c>
      <c r="C2436" s="13" t="n">
        <v>2800</v>
      </c>
      <c r="D2436" s="13" t="n">
        <v>5</v>
      </c>
      <c r="E2436" s="13" t="n">
        <v>566.08</v>
      </c>
      <c r="F2436" s="13" t="s">
        <v>5325</v>
      </c>
      <c r="G2436" s="13" t="s">
        <v>5289</v>
      </c>
      <c r="H2436" s="13" t="s">
        <v>5289</v>
      </c>
      <c r="I2436" s="13" t="s">
        <v>5289</v>
      </c>
      <c r="J2436" s="13" t="s">
        <v>5289</v>
      </c>
      <c r="K2436" s="13" t="s">
        <v>5289</v>
      </c>
      <c r="L2436" s="13" t="n">
        <v>3616302514298</v>
      </c>
      <c r="M2436" s="13"/>
      <c r="N2436" s="13" t="n">
        <v>3616302514298</v>
      </c>
      <c r="O2436" s="13"/>
      <c r="P2436" s="13" t="s">
        <v>5291</v>
      </c>
      <c r="Q2436" s="13" t="s">
        <v>5289</v>
      </c>
      <c r="R2436" s="13" t="s">
        <v>5292</v>
      </c>
      <c r="S2436" s="13" t="s">
        <v>5293</v>
      </c>
      <c r="T2436" s="13" t="s">
        <v>5</v>
      </c>
      <c r="U2436" s="13" t="s">
        <v>43</v>
      </c>
      <c r="V2436" s="13" t="n">
        <f aca="false">IF(COUNTIF($B$2:B2436,B2436)=1,1,0)</f>
        <v>0</v>
      </c>
      <c r="W2436" s="13" t="n">
        <f aca="false">IF(COUNTIFS($B$2:B2436,B2436,$T$2:T2436,T2436)=1,1,0)</f>
        <v>0</v>
      </c>
    </row>
    <row r="2437" customFormat="false" ht="15" hidden="false" customHeight="false" outlineLevel="0" collapsed="false">
      <c r="A2437" s="13" t="s">
        <v>742</v>
      </c>
      <c r="B2437" s="13" t="s">
        <v>121</v>
      </c>
      <c r="C2437" s="13" t="n">
        <v>2800</v>
      </c>
      <c r="D2437" s="13" t="n">
        <v>20</v>
      </c>
      <c r="E2437" s="13" t="n">
        <v>175.003125</v>
      </c>
      <c r="F2437" s="13" t="s">
        <v>5325</v>
      </c>
      <c r="G2437" s="13" t="s">
        <v>5289</v>
      </c>
      <c r="H2437" s="13" t="s">
        <v>5289</v>
      </c>
      <c r="I2437" s="13" t="s">
        <v>5289</v>
      </c>
      <c r="J2437" s="13" t="s">
        <v>5289</v>
      </c>
      <c r="K2437" s="13" t="s">
        <v>5289</v>
      </c>
      <c r="L2437" s="13" t="n">
        <v>7896086911995</v>
      </c>
      <c r="M2437" s="13"/>
      <c r="N2437" s="13" t="n">
        <v>7896086911995</v>
      </c>
      <c r="O2437" s="13"/>
      <c r="P2437" s="13" t="s">
        <v>5291</v>
      </c>
      <c r="Q2437" s="13" t="s">
        <v>5289</v>
      </c>
      <c r="R2437" s="13" t="s">
        <v>5292</v>
      </c>
      <c r="S2437" s="13" t="s">
        <v>5293</v>
      </c>
      <c r="T2437" s="13" t="s">
        <v>5</v>
      </c>
      <c r="U2437" s="13" t="s">
        <v>43</v>
      </c>
      <c r="V2437" s="13" t="n">
        <f aca="false">IF(COUNTIF($B$2:B2437,B2437)=1,1,0)</f>
        <v>0</v>
      </c>
      <c r="W2437" s="13" t="n">
        <f aca="false">IF(COUNTIFS($B$2:B2437,B2437,$T$2:T2437,T2437)=1,1,0)</f>
        <v>0</v>
      </c>
    </row>
    <row r="2438" customFormat="false" ht="15" hidden="false" customHeight="false" outlineLevel="0" collapsed="false">
      <c r="A2438" s="13" t="s">
        <v>746</v>
      </c>
      <c r="B2438" s="13" t="s">
        <v>72</v>
      </c>
      <c r="C2438" s="13" t="n">
        <v>2800</v>
      </c>
      <c r="D2438" s="13" t="n">
        <v>2</v>
      </c>
      <c r="E2438" s="13" t="n">
        <v>699</v>
      </c>
      <c r="F2438" s="13" t="s">
        <v>5325</v>
      </c>
      <c r="G2438" s="13" t="s">
        <v>5292</v>
      </c>
      <c r="H2438" s="13" t="s">
        <v>5289</v>
      </c>
      <c r="I2438" s="13" t="s">
        <v>5289</v>
      </c>
      <c r="J2438" s="13" t="s">
        <v>5289</v>
      </c>
      <c r="K2438" s="13" t="s">
        <v>5289</v>
      </c>
      <c r="L2438" s="13" t="n">
        <v>3614273556637</v>
      </c>
      <c r="M2438" s="13"/>
      <c r="N2438" s="13" t="n">
        <v>3614273556637</v>
      </c>
      <c r="O2438" s="13"/>
      <c r="P2438" s="13" t="s">
        <v>5297</v>
      </c>
      <c r="Q2438" s="13" t="s">
        <v>5289</v>
      </c>
      <c r="R2438" s="13" t="s">
        <v>5292</v>
      </c>
      <c r="S2438" s="13" t="s">
        <v>5293</v>
      </c>
      <c r="T2438" s="13" t="s">
        <v>5</v>
      </c>
      <c r="U2438" s="13" t="s">
        <v>43</v>
      </c>
      <c r="V2438" s="13" t="n">
        <f aca="false">IF(COUNTIF($B$2:B2438,B2438)=1,1,0)</f>
        <v>0</v>
      </c>
      <c r="W2438" s="13" t="n">
        <f aca="false">IF(COUNTIFS($B$2:B2438,B2438,$T$2:T2438,T2438)=1,1,0)</f>
        <v>0</v>
      </c>
    </row>
    <row r="2439" customFormat="false" ht="15" hidden="false" customHeight="false" outlineLevel="0" collapsed="false">
      <c r="A2439" s="13" t="s">
        <v>747</v>
      </c>
      <c r="B2439" s="13" t="s">
        <v>124</v>
      </c>
      <c r="C2439" s="13" t="n">
        <v>2800</v>
      </c>
      <c r="D2439" s="13" t="n">
        <v>2</v>
      </c>
      <c r="E2439" s="13" t="n">
        <v>692.9025</v>
      </c>
      <c r="F2439" s="13" t="s">
        <v>5325</v>
      </c>
      <c r="G2439" s="13" t="s">
        <v>5292</v>
      </c>
      <c r="H2439" s="13" t="s">
        <v>5289</v>
      </c>
      <c r="I2439" s="13" t="s">
        <v>5289</v>
      </c>
      <c r="J2439" s="13" t="s">
        <v>5289</v>
      </c>
      <c r="K2439" s="13" t="s">
        <v>5292</v>
      </c>
      <c r="L2439" s="13"/>
      <c r="M2439" s="13"/>
      <c r="N2439" s="13" t="n">
        <v>3.36037207850036E+025</v>
      </c>
      <c r="O2439" s="13"/>
      <c r="P2439" s="13" t="s">
        <v>5291</v>
      </c>
      <c r="Q2439" s="13" t="s">
        <v>5289</v>
      </c>
      <c r="R2439" s="13" t="s">
        <v>5292</v>
      </c>
      <c r="S2439" s="13" t="s">
        <v>5293</v>
      </c>
      <c r="T2439" s="13" t="s">
        <v>5</v>
      </c>
      <c r="U2439" s="13" t="s">
        <v>43</v>
      </c>
      <c r="V2439" s="13" t="n">
        <f aca="false">IF(COUNTIF($B$2:B2439,B2439)=1,1,0)</f>
        <v>0</v>
      </c>
      <c r="W2439" s="13" t="n">
        <f aca="false">IF(COUNTIFS($B$2:B2439,B2439,$T$2:T2439,T2439)=1,1,0)</f>
        <v>0</v>
      </c>
    </row>
    <row r="2440" customFormat="false" ht="15" hidden="false" customHeight="false" outlineLevel="0" collapsed="false">
      <c r="A2440" s="13" t="s">
        <v>245</v>
      </c>
      <c r="B2440" s="13" t="s">
        <v>61</v>
      </c>
      <c r="C2440" s="13" t="n">
        <v>2800</v>
      </c>
      <c r="D2440" s="13" t="n">
        <v>5</v>
      </c>
      <c r="E2440" s="13" t="n">
        <v>344.935</v>
      </c>
      <c r="F2440" s="13" t="s">
        <v>5325</v>
      </c>
      <c r="G2440" s="13" t="s">
        <v>5289</v>
      </c>
      <c r="H2440" s="13" t="s">
        <v>5289</v>
      </c>
      <c r="I2440" s="13" t="s">
        <v>5289</v>
      </c>
      <c r="J2440" s="13" t="s">
        <v>5289</v>
      </c>
      <c r="K2440" s="13" t="s">
        <v>5289</v>
      </c>
      <c r="L2440" s="13" t="n">
        <v>3614272639638</v>
      </c>
      <c r="M2440" s="13"/>
      <c r="N2440" s="13" t="n">
        <v>3614272639638</v>
      </c>
      <c r="O2440" s="13"/>
      <c r="P2440" s="13" t="s">
        <v>5297</v>
      </c>
      <c r="Q2440" s="13" t="s">
        <v>5289</v>
      </c>
      <c r="R2440" s="13" t="s">
        <v>5292</v>
      </c>
      <c r="S2440" s="13" t="s">
        <v>5293</v>
      </c>
      <c r="T2440" s="13" t="s">
        <v>5</v>
      </c>
      <c r="U2440" s="13" t="s">
        <v>43</v>
      </c>
      <c r="V2440" s="13" t="n">
        <f aca="false">IF(COUNTIF($B$2:B2440,B2440)=1,1,0)</f>
        <v>0</v>
      </c>
      <c r="W2440" s="13" t="n">
        <f aca="false">IF(COUNTIFS($B$2:B2440,B2440,$T$2:T2440,T2440)=1,1,0)</f>
        <v>0</v>
      </c>
    </row>
    <row r="2441" customFormat="false" ht="15" hidden="false" customHeight="false" outlineLevel="0" collapsed="false">
      <c r="A2441" s="13" t="s">
        <v>741</v>
      </c>
      <c r="B2441" s="13" t="s">
        <v>195</v>
      </c>
      <c r="C2441" s="13" t="n">
        <v>2800</v>
      </c>
      <c r="D2441" s="13" t="n">
        <v>2</v>
      </c>
      <c r="E2441" s="13" t="n">
        <v>688.25</v>
      </c>
      <c r="F2441" s="13" t="s">
        <v>5325</v>
      </c>
      <c r="G2441" s="13" t="s">
        <v>5289</v>
      </c>
      <c r="H2441" s="13" t="s">
        <v>5289</v>
      </c>
      <c r="I2441" s="13" t="s">
        <v>5289</v>
      </c>
      <c r="J2441" s="13" t="s">
        <v>5289</v>
      </c>
      <c r="K2441" s="13" t="s">
        <v>5289</v>
      </c>
      <c r="L2441" s="13" t="n">
        <v>3616305181060</v>
      </c>
      <c r="M2441" s="13"/>
      <c r="N2441" s="13" t="n">
        <v>3616305181060</v>
      </c>
      <c r="O2441" s="13"/>
      <c r="P2441" s="13" t="s">
        <v>5291</v>
      </c>
      <c r="Q2441" s="13" t="s">
        <v>5289</v>
      </c>
      <c r="R2441" s="13" t="s">
        <v>5292</v>
      </c>
      <c r="S2441" s="13" t="s">
        <v>5293</v>
      </c>
      <c r="T2441" s="13" t="s">
        <v>5</v>
      </c>
      <c r="U2441" s="13" t="s">
        <v>43</v>
      </c>
      <c r="V2441" s="13" t="n">
        <f aca="false">IF(COUNTIF($B$2:B2441,B2441)=1,1,0)</f>
        <v>0</v>
      </c>
      <c r="W2441" s="13" t="n">
        <f aca="false">IF(COUNTIFS($B$2:B2441,B2441,$T$2:T2441,T2441)=1,1,0)</f>
        <v>0</v>
      </c>
    </row>
    <row r="2442" customFormat="false" ht="15" hidden="false" customHeight="false" outlineLevel="0" collapsed="false">
      <c r="A2442" s="13" t="s">
        <v>748</v>
      </c>
      <c r="B2442" s="13" t="s">
        <v>105</v>
      </c>
      <c r="C2442" s="13" t="n">
        <v>2800</v>
      </c>
      <c r="D2442" s="13" t="n">
        <v>2</v>
      </c>
      <c r="E2442" s="13" t="n">
        <v>688.16</v>
      </c>
      <c r="F2442" s="13" t="s">
        <v>5288</v>
      </c>
      <c r="G2442" s="13" t="s">
        <v>5289</v>
      </c>
      <c r="H2442" s="13" t="s">
        <v>5289</v>
      </c>
      <c r="I2442" s="13" t="s">
        <v>5289</v>
      </c>
      <c r="J2442" s="13" t="s">
        <v>5289</v>
      </c>
      <c r="K2442" s="13" t="s">
        <v>5289</v>
      </c>
      <c r="L2442" s="13" t="n">
        <v>3616306096219</v>
      </c>
      <c r="M2442" s="13"/>
      <c r="N2442" s="13" t="n">
        <v>3616306096219</v>
      </c>
      <c r="O2442" s="13"/>
      <c r="P2442" s="13" t="s">
        <v>5291</v>
      </c>
      <c r="Q2442" s="13" t="s">
        <v>5289</v>
      </c>
      <c r="R2442" s="13" t="s">
        <v>5292</v>
      </c>
      <c r="S2442" s="13" t="s">
        <v>5293</v>
      </c>
      <c r="T2442" s="13" t="s">
        <v>5</v>
      </c>
      <c r="U2442" s="13" t="s">
        <v>43</v>
      </c>
      <c r="V2442" s="13" t="n">
        <f aca="false">IF(COUNTIF($B$2:B2442,B2442)=1,1,0)</f>
        <v>0</v>
      </c>
      <c r="W2442" s="13" t="n">
        <f aca="false">IF(COUNTIFS($B$2:B2442,B2442,$T$2:T2442,T2442)=1,1,0)</f>
        <v>0</v>
      </c>
    </row>
    <row r="2443" customFormat="false" ht="15" hidden="false" customHeight="false" outlineLevel="0" collapsed="false">
      <c r="A2443" s="13" t="s">
        <v>419</v>
      </c>
      <c r="B2443" s="13" t="s">
        <v>72</v>
      </c>
      <c r="C2443" s="13" t="n">
        <v>2800</v>
      </c>
      <c r="D2443" s="13" t="n">
        <v>2</v>
      </c>
      <c r="E2443" s="13" t="n">
        <v>916.95</v>
      </c>
      <c r="F2443" s="13" t="s">
        <v>5325</v>
      </c>
      <c r="G2443" s="13" t="s">
        <v>5289</v>
      </c>
      <c r="H2443" s="13" t="s">
        <v>5292</v>
      </c>
      <c r="I2443" s="13" t="s">
        <v>5289</v>
      </c>
      <c r="J2443" s="13" t="s">
        <v>5289</v>
      </c>
      <c r="K2443" s="13" t="s">
        <v>5292</v>
      </c>
      <c r="L2443" s="13"/>
      <c r="M2443" s="13"/>
      <c r="N2443" s="13" t="n">
        <v>3614273760164</v>
      </c>
      <c r="O2443" s="13"/>
      <c r="P2443" s="13" t="s">
        <v>5291</v>
      </c>
      <c r="Q2443" s="13" t="s">
        <v>5289</v>
      </c>
      <c r="R2443" s="13" t="s">
        <v>5292</v>
      </c>
      <c r="S2443" s="13" t="s">
        <v>5293</v>
      </c>
      <c r="T2443" s="13" t="s">
        <v>5</v>
      </c>
      <c r="U2443" s="13" t="s">
        <v>43</v>
      </c>
      <c r="V2443" s="13" t="n">
        <f aca="false">IF(COUNTIF($B$2:B2443,B2443)=1,1,0)</f>
        <v>0</v>
      </c>
      <c r="W2443" s="13" t="n">
        <f aca="false">IF(COUNTIFS($B$2:B2443,B2443,$T$2:T2443,T2443)=1,1,0)</f>
        <v>0</v>
      </c>
    </row>
    <row r="2444" customFormat="false" ht="15" hidden="false" customHeight="false" outlineLevel="0" collapsed="false">
      <c r="A2444" s="13" t="s">
        <v>764</v>
      </c>
      <c r="B2444" s="13" t="s">
        <v>61</v>
      </c>
      <c r="C2444" s="13" t="n">
        <v>2700</v>
      </c>
      <c r="D2444" s="13" t="n">
        <v>5</v>
      </c>
      <c r="E2444" s="13" t="n">
        <v>458</v>
      </c>
      <c r="F2444" s="13" t="s">
        <v>5325</v>
      </c>
      <c r="G2444" s="13" t="s">
        <v>5289</v>
      </c>
      <c r="H2444" s="13" t="s">
        <v>5289</v>
      </c>
      <c r="I2444" s="13" t="s">
        <v>5289</v>
      </c>
      <c r="J2444" s="13" t="s">
        <v>5289</v>
      </c>
      <c r="K2444" s="13" t="s">
        <v>5289</v>
      </c>
      <c r="L2444" s="13" t="n">
        <v>3614271579423</v>
      </c>
      <c r="M2444" s="13"/>
      <c r="N2444" s="13" t="n">
        <v>3614271579423</v>
      </c>
      <c r="O2444" s="13"/>
      <c r="P2444" s="13" t="s">
        <v>5291</v>
      </c>
      <c r="Q2444" s="13" t="s">
        <v>5289</v>
      </c>
      <c r="R2444" s="13" t="s">
        <v>5292</v>
      </c>
      <c r="S2444" s="13" t="s">
        <v>5293</v>
      </c>
      <c r="T2444" s="13" t="s">
        <v>5</v>
      </c>
      <c r="U2444" s="13" t="s">
        <v>43</v>
      </c>
      <c r="V2444" s="13" t="n">
        <f aca="false">IF(COUNTIF($B$2:B2444,B2444)=1,1,0)</f>
        <v>0</v>
      </c>
      <c r="W2444" s="13" t="n">
        <f aca="false">IF(COUNTIFS($B$2:B2444,B2444,$T$2:T2444,T2444)=1,1,0)</f>
        <v>0</v>
      </c>
    </row>
    <row r="2445" customFormat="false" ht="15" hidden="false" customHeight="false" outlineLevel="0" collapsed="false">
      <c r="A2445" s="13" t="s">
        <v>622</v>
      </c>
      <c r="B2445" s="13" t="s">
        <v>45</v>
      </c>
      <c r="C2445" s="13" t="n">
        <v>2700</v>
      </c>
      <c r="D2445" s="13" t="n">
        <v>5</v>
      </c>
      <c r="E2445" s="13" t="n">
        <v>548.84</v>
      </c>
      <c r="F2445" s="13" t="s">
        <v>5288</v>
      </c>
      <c r="G2445" s="13" t="s">
        <v>5289</v>
      </c>
      <c r="H2445" s="13" t="s">
        <v>5289</v>
      </c>
      <c r="I2445" s="13" t="s">
        <v>5289</v>
      </c>
      <c r="J2445" s="13" t="s">
        <v>5289</v>
      </c>
      <c r="K2445" s="13" t="s">
        <v>5289</v>
      </c>
      <c r="L2445" s="13"/>
      <c r="M2445" s="13"/>
      <c r="N2445" s="13" t="n">
        <v>8435415080378</v>
      </c>
      <c r="O2445" s="13"/>
      <c r="P2445" s="13" t="s">
        <v>5291</v>
      </c>
      <c r="Q2445" s="13" t="s">
        <v>5289</v>
      </c>
      <c r="R2445" s="13" t="s">
        <v>5292</v>
      </c>
      <c r="S2445" s="13" t="s">
        <v>5293</v>
      </c>
      <c r="T2445" s="13" t="s">
        <v>5</v>
      </c>
      <c r="U2445" s="13" t="s">
        <v>43</v>
      </c>
      <c r="V2445" s="13" t="n">
        <f aca="false">IF(COUNTIF($B$2:B2445,B2445)=1,1,0)</f>
        <v>0</v>
      </c>
      <c r="W2445" s="13" t="n">
        <f aca="false">IF(COUNTIFS($B$2:B2445,B2445,$T$2:T2445,T2445)=1,1,0)</f>
        <v>0</v>
      </c>
    </row>
    <row r="2446" customFormat="false" ht="15" hidden="false" customHeight="false" outlineLevel="0" collapsed="false">
      <c r="A2446" s="13" t="s">
        <v>756</v>
      </c>
      <c r="B2446" s="13" t="s">
        <v>50</v>
      </c>
      <c r="C2446" s="13" t="n">
        <v>2700</v>
      </c>
      <c r="D2446" s="13" t="n">
        <v>5</v>
      </c>
      <c r="E2446" s="13" t="n">
        <v>457</v>
      </c>
      <c r="F2446" s="13" t="s">
        <v>5325</v>
      </c>
      <c r="G2446" s="13" t="s">
        <v>5289</v>
      </c>
      <c r="H2446" s="13" t="s">
        <v>5289</v>
      </c>
      <c r="I2446" s="13" t="s">
        <v>5289</v>
      </c>
      <c r="J2446" s="13" t="s">
        <v>5289</v>
      </c>
      <c r="K2446" s="13" t="s">
        <v>5289</v>
      </c>
      <c r="L2446" s="13" t="n">
        <v>3349668630110</v>
      </c>
      <c r="M2446" s="13"/>
      <c r="N2446" s="13" t="n">
        <v>3349668630110</v>
      </c>
      <c r="O2446" s="13"/>
      <c r="P2446" s="13" t="s">
        <v>5297</v>
      </c>
      <c r="Q2446" s="13" t="s">
        <v>5289</v>
      </c>
      <c r="R2446" s="13" t="s">
        <v>5292</v>
      </c>
      <c r="S2446" s="13" t="s">
        <v>5293</v>
      </c>
      <c r="T2446" s="13" t="s">
        <v>5</v>
      </c>
      <c r="U2446" s="13" t="s">
        <v>43</v>
      </c>
      <c r="V2446" s="13" t="n">
        <f aca="false">IF(COUNTIF($B$2:B2446,B2446)=1,1,0)</f>
        <v>0</v>
      </c>
      <c r="W2446" s="13" t="n">
        <f aca="false">IF(COUNTIFS($B$2:B2446,B2446,$T$2:T2446,T2446)=1,1,0)</f>
        <v>0</v>
      </c>
    </row>
    <row r="2447" customFormat="false" ht="15" hidden="false" customHeight="false" outlineLevel="0" collapsed="false">
      <c r="A2447" s="13" t="s">
        <v>563</v>
      </c>
      <c r="B2447" s="13" t="s">
        <v>45</v>
      </c>
      <c r="C2447" s="13" t="n">
        <v>2700</v>
      </c>
      <c r="D2447" s="13" t="n">
        <v>5</v>
      </c>
      <c r="E2447" s="13" t="n">
        <v>391.508571428571</v>
      </c>
      <c r="F2447" s="13" t="s">
        <v>5325</v>
      </c>
      <c r="G2447" s="13" t="s">
        <v>5289</v>
      </c>
      <c r="H2447" s="13" t="s">
        <v>5289</v>
      </c>
      <c r="I2447" s="13" t="s">
        <v>5289</v>
      </c>
      <c r="J2447" s="13" t="s">
        <v>5289</v>
      </c>
      <c r="K2447" s="13" t="s">
        <v>5289</v>
      </c>
      <c r="L2447" s="13" t="n">
        <v>8435415011280</v>
      </c>
      <c r="M2447" s="13"/>
      <c r="N2447" s="13" t="n">
        <v>8435415011280</v>
      </c>
      <c r="O2447" s="13"/>
      <c r="P2447" s="13" t="s">
        <v>5291</v>
      </c>
      <c r="Q2447" s="13" t="s">
        <v>5289</v>
      </c>
      <c r="R2447" s="13" t="s">
        <v>5292</v>
      </c>
      <c r="S2447" s="13" t="s">
        <v>5293</v>
      </c>
      <c r="T2447" s="13" t="s">
        <v>5</v>
      </c>
      <c r="U2447" s="13" t="s">
        <v>43</v>
      </c>
      <c r="V2447" s="13" t="n">
        <f aca="false">IF(COUNTIF($B$2:B2447,B2447)=1,1,0)</f>
        <v>0</v>
      </c>
      <c r="W2447" s="13" t="n">
        <f aca="false">IF(COUNTIFS($B$2:B2447,B2447,$T$2:T2447,T2447)=1,1,0)</f>
        <v>0</v>
      </c>
    </row>
    <row r="2448" customFormat="false" ht="15" hidden="false" customHeight="false" outlineLevel="0" collapsed="false">
      <c r="A2448" s="13" t="s">
        <v>763</v>
      </c>
      <c r="B2448" s="13" t="s">
        <v>92</v>
      </c>
      <c r="C2448" s="13" t="n">
        <v>2700</v>
      </c>
      <c r="D2448" s="13" t="n">
        <v>2</v>
      </c>
      <c r="E2448" s="13" t="n">
        <v>908.656666666667</v>
      </c>
      <c r="F2448" s="13" t="s">
        <v>5325</v>
      </c>
      <c r="G2448" s="13" t="s">
        <v>5289</v>
      </c>
      <c r="H2448" s="13" t="s">
        <v>5289</v>
      </c>
      <c r="I2448" s="13" t="s">
        <v>5289</v>
      </c>
      <c r="J2448" s="13" t="s">
        <v>5289</v>
      </c>
      <c r="K2448" s="13" t="s">
        <v>5289</v>
      </c>
      <c r="L2448" s="13" t="n">
        <v>3616306110885</v>
      </c>
      <c r="M2448" s="13"/>
      <c r="N2448" s="13" t="n">
        <v>3616306110885</v>
      </c>
      <c r="O2448" s="13"/>
      <c r="P2448" s="13" t="s">
        <v>5297</v>
      </c>
      <c r="Q2448" s="13" t="s">
        <v>5289</v>
      </c>
      <c r="R2448" s="13" t="s">
        <v>5292</v>
      </c>
      <c r="S2448" s="13" t="s">
        <v>5293</v>
      </c>
      <c r="T2448" s="13" t="s">
        <v>5</v>
      </c>
      <c r="U2448" s="13" t="s">
        <v>43</v>
      </c>
      <c r="V2448" s="13" t="n">
        <f aca="false">IF(COUNTIF($B$2:B2448,B2448)=1,1,0)</f>
        <v>0</v>
      </c>
      <c r="W2448" s="13" t="n">
        <f aca="false">IF(COUNTIFS($B$2:B2448,B2448,$T$2:T2448,T2448)=1,1,0)</f>
        <v>0</v>
      </c>
    </row>
    <row r="2449" customFormat="false" ht="15" hidden="false" customHeight="false" outlineLevel="0" collapsed="false">
      <c r="A2449" s="13" t="s">
        <v>96</v>
      </c>
      <c r="B2449" s="13" t="s">
        <v>72</v>
      </c>
      <c r="C2449" s="13" t="n">
        <v>2700</v>
      </c>
      <c r="D2449" s="13" t="n">
        <v>2</v>
      </c>
      <c r="E2449" s="13" t="n">
        <v>907.59</v>
      </c>
      <c r="F2449" s="13" t="s">
        <v>5325</v>
      </c>
      <c r="G2449" s="13" t="s">
        <v>5289</v>
      </c>
      <c r="H2449" s="13" t="s">
        <v>5289</v>
      </c>
      <c r="I2449" s="13" t="s">
        <v>5289</v>
      </c>
      <c r="J2449" s="13" t="s">
        <v>5289</v>
      </c>
      <c r="K2449" s="13" t="s">
        <v>5289</v>
      </c>
      <c r="L2449" s="13" t="n">
        <v>3614274172997</v>
      </c>
      <c r="M2449" s="13"/>
      <c r="N2449" s="13" t="n">
        <v>3614274172997</v>
      </c>
      <c r="O2449" s="13"/>
      <c r="P2449" s="13" t="s">
        <v>5291</v>
      </c>
      <c r="Q2449" s="13" t="s">
        <v>5289</v>
      </c>
      <c r="R2449" s="13" t="s">
        <v>5292</v>
      </c>
      <c r="S2449" s="13" t="s">
        <v>5293</v>
      </c>
      <c r="T2449" s="13" t="s">
        <v>5</v>
      </c>
      <c r="U2449" s="13" t="s">
        <v>43</v>
      </c>
      <c r="V2449" s="13" t="n">
        <f aca="false">IF(COUNTIF($B$2:B2449,B2449)=1,1,0)</f>
        <v>0</v>
      </c>
      <c r="W2449" s="13" t="n">
        <f aca="false">IF(COUNTIFS($B$2:B2449,B2449,$T$2:T2449,T2449)=1,1,0)</f>
        <v>0</v>
      </c>
    </row>
    <row r="2450" customFormat="false" ht="15" hidden="false" customHeight="false" outlineLevel="0" collapsed="false">
      <c r="A2450" s="13" t="s">
        <v>762</v>
      </c>
      <c r="B2450" s="13" t="s">
        <v>50</v>
      </c>
      <c r="C2450" s="13" t="n">
        <v>2700</v>
      </c>
      <c r="D2450" s="13" t="n">
        <v>2</v>
      </c>
      <c r="E2450" s="13" t="n">
        <v>903.496666666667</v>
      </c>
      <c r="F2450" s="13" t="s">
        <v>5325</v>
      </c>
      <c r="G2450" s="13" t="s">
        <v>5289</v>
      </c>
      <c r="H2450" s="13" t="s">
        <v>5292</v>
      </c>
      <c r="I2450" s="13" t="s">
        <v>5289</v>
      </c>
      <c r="J2450" s="13" t="s">
        <v>5289</v>
      </c>
      <c r="K2450" s="13" t="s">
        <v>5289</v>
      </c>
      <c r="L2450" s="13"/>
      <c r="M2450" s="13"/>
      <c r="N2450" s="13" t="n">
        <v>3349668641840</v>
      </c>
      <c r="O2450" s="13"/>
      <c r="P2450" s="13" t="s">
        <v>5291</v>
      </c>
      <c r="Q2450" s="13" t="s">
        <v>5289</v>
      </c>
      <c r="R2450" s="13" t="s">
        <v>5292</v>
      </c>
      <c r="S2450" s="13" t="s">
        <v>5293</v>
      </c>
      <c r="T2450" s="13" t="s">
        <v>5</v>
      </c>
      <c r="U2450" s="13" t="s">
        <v>43</v>
      </c>
      <c r="V2450" s="13" t="n">
        <f aca="false">IF(COUNTIF($B$2:B2450,B2450)=1,1,0)</f>
        <v>0</v>
      </c>
      <c r="W2450" s="13" t="n">
        <f aca="false">IF(COUNTIFS($B$2:B2450,B2450,$T$2:T2450,T2450)=1,1,0)</f>
        <v>0</v>
      </c>
    </row>
    <row r="2451" customFormat="false" ht="15" hidden="false" customHeight="false" outlineLevel="0" collapsed="false">
      <c r="A2451" s="13" t="s">
        <v>765</v>
      </c>
      <c r="B2451" s="13" t="s">
        <v>50</v>
      </c>
      <c r="C2451" s="13" t="n">
        <v>2700</v>
      </c>
      <c r="D2451" s="13" t="n">
        <v>5</v>
      </c>
      <c r="E2451" s="13" t="n">
        <v>542</v>
      </c>
      <c r="F2451" s="13" t="s">
        <v>5325</v>
      </c>
      <c r="G2451" s="13" t="s">
        <v>5289</v>
      </c>
      <c r="H2451" s="13" t="s">
        <v>5289</v>
      </c>
      <c r="I2451" s="13" t="s">
        <v>5289</v>
      </c>
      <c r="J2451" s="13" t="s">
        <v>5289</v>
      </c>
      <c r="K2451" s="13" t="s">
        <v>5289</v>
      </c>
      <c r="L2451" s="13"/>
      <c r="M2451" s="13"/>
      <c r="N2451" s="13" t="n">
        <v>3349668627462</v>
      </c>
      <c r="O2451" s="13"/>
      <c r="P2451" s="13" t="s">
        <v>5291</v>
      </c>
      <c r="Q2451" s="13" t="s">
        <v>5289</v>
      </c>
      <c r="R2451" s="13" t="s">
        <v>5292</v>
      </c>
      <c r="S2451" s="13" t="s">
        <v>5293</v>
      </c>
      <c r="T2451" s="13" t="s">
        <v>5</v>
      </c>
      <c r="U2451" s="13" t="s">
        <v>43</v>
      </c>
      <c r="V2451" s="13" t="n">
        <f aca="false">IF(COUNTIF($B$2:B2451,B2451)=1,1,0)</f>
        <v>0</v>
      </c>
      <c r="W2451" s="13" t="n">
        <f aca="false">IF(COUNTIFS($B$2:B2451,B2451,$T$2:T2451,T2451)=1,1,0)</f>
        <v>0</v>
      </c>
    </row>
    <row r="2452" customFormat="false" ht="15" hidden="false" customHeight="false" outlineLevel="0" collapsed="false">
      <c r="A2452" s="13" t="s">
        <v>384</v>
      </c>
      <c r="B2452" s="13" t="s">
        <v>329</v>
      </c>
      <c r="C2452" s="13" t="n">
        <v>2700</v>
      </c>
      <c r="D2452" s="13" t="n">
        <v>5</v>
      </c>
      <c r="E2452" s="13" t="n">
        <v>450.366666666667</v>
      </c>
      <c r="F2452" s="13" t="s">
        <v>5325</v>
      </c>
      <c r="G2452" s="13" t="s">
        <v>5289</v>
      </c>
      <c r="H2452" s="13" t="s">
        <v>5289</v>
      </c>
      <c r="I2452" s="13" t="s">
        <v>5289</v>
      </c>
      <c r="J2452" s="13" t="s">
        <v>5289</v>
      </c>
      <c r="K2452" s="13" t="s">
        <v>5289</v>
      </c>
      <c r="L2452" s="13" t="n">
        <v>3137370357667</v>
      </c>
      <c r="M2452" s="13"/>
      <c r="N2452" s="13" t="n">
        <v>8.41106198349231E+038</v>
      </c>
      <c r="O2452" s="13"/>
      <c r="P2452" s="13" t="s">
        <v>5291</v>
      </c>
      <c r="Q2452" s="13" t="s">
        <v>5289</v>
      </c>
      <c r="R2452" s="13" t="s">
        <v>5292</v>
      </c>
      <c r="S2452" s="13" t="s">
        <v>5293</v>
      </c>
      <c r="T2452" s="13" t="s">
        <v>5</v>
      </c>
      <c r="U2452" s="13" t="s">
        <v>43</v>
      </c>
      <c r="V2452" s="13" t="n">
        <f aca="false">IF(COUNTIF($B$2:B2452,B2452)=1,1,0)</f>
        <v>0</v>
      </c>
      <c r="W2452" s="13" t="n">
        <f aca="false">IF(COUNTIFS($B$2:B2452,B2452,$T$2:T2452,T2452)=1,1,0)</f>
        <v>0</v>
      </c>
    </row>
    <row r="2453" customFormat="false" ht="15" hidden="false" customHeight="false" outlineLevel="0" collapsed="false">
      <c r="A2453" s="13" t="s">
        <v>247</v>
      </c>
      <c r="B2453" s="13" t="s">
        <v>45</v>
      </c>
      <c r="C2453" s="13" t="n">
        <v>2700</v>
      </c>
      <c r="D2453" s="13" t="n">
        <v>2</v>
      </c>
      <c r="E2453" s="13" t="n">
        <v>674.425</v>
      </c>
      <c r="F2453" s="13" t="s">
        <v>5325</v>
      </c>
      <c r="G2453" s="13" t="s">
        <v>5289</v>
      </c>
      <c r="H2453" s="13" t="s">
        <v>5289</v>
      </c>
      <c r="I2453" s="13" t="s">
        <v>5289</v>
      </c>
      <c r="J2453" s="13" t="s">
        <v>5289</v>
      </c>
      <c r="K2453" s="13" t="s">
        <v>5289</v>
      </c>
      <c r="L2453" s="13" t="n">
        <v>8435415012027</v>
      </c>
      <c r="M2453" s="13"/>
      <c r="N2453" s="13" t="n">
        <v>8435415012027</v>
      </c>
      <c r="O2453" s="13"/>
      <c r="P2453" s="13" t="s">
        <v>5291</v>
      </c>
      <c r="Q2453" s="13" t="s">
        <v>5289</v>
      </c>
      <c r="R2453" s="13" t="s">
        <v>5292</v>
      </c>
      <c r="S2453" s="13" t="s">
        <v>5293</v>
      </c>
      <c r="T2453" s="13" t="s">
        <v>5</v>
      </c>
      <c r="U2453" s="13" t="s">
        <v>43</v>
      </c>
      <c r="V2453" s="13" t="n">
        <f aca="false">IF(COUNTIF($B$2:B2453,B2453)=1,1,0)</f>
        <v>0</v>
      </c>
      <c r="W2453" s="13" t="n">
        <f aca="false">IF(COUNTIFS($B$2:B2453,B2453,$T$2:T2453,T2453)=1,1,0)</f>
        <v>0</v>
      </c>
    </row>
    <row r="2454" customFormat="false" ht="15" hidden="false" customHeight="false" outlineLevel="0" collapsed="false">
      <c r="A2454" s="13" t="s">
        <v>761</v>
      </c>
      <c r="B2454" s="13" t="s">
        <v>121</v>
      </c>
      <c r="C2454" s="13" t="n">
        <v>2700</v>
      </c>
      <c r="D2454" s="13" t="n">
        <v>10</v>
      </c>
      <c r="E2454" s="13" t="n">
        <v>192.14</v>
      </c>
      <c r="F2454" s="13" t="s">
        <v>5325</v>
      </c>
      <c r="G2454" s="13" t="s">
        <v>5289</v>
      </c>
      <c r="H2454" s="13" t="s">
        <v>5292</v>
      </c>
      <c r="I2454" s="13" t="s">
        <v>5289</v>
      </c>
      <c r="J2454" s="13" t="s">
        <v>5289</v>
      </c>
      <c r="K2454" s="13" t="s">
        <v>5289</v>
      </c>
      <c r="L2454" s="13" t="n">
        <v>7896086911919</v>
      </c>
      <c r="M2454" s="13"/>
      <c r="N2454" s="13" t="n">
        <v>7896086911919</v>
      </c>
      <c r="O2454" s="13"/>
      <c r="P2454" s="13" t="s">
        <v>5291</v>
      </c>
      <c r="Q2454" s="13" t="s">
        <v>5289</v>
      </c>
      <c r="R2454" s="13" t="s">
        <v>5292</v>
      </c>
      <c r="S2454" s="13" t="s">
        <v>5293</v>
      </c>
      <c r="T2454" s="13" t="s">
        <v>5</v>
      </c>
      <c r="U2454" s="13" t="s">
        <v>43</v>
      </c>
      <c r="V2454" s="13" t="n">
        <f aca="false">IF(COUNTIF($B$2:B2454,B2454)=1,1,0)</f>
        <v>0</v>
      </c>
      <c r="W2454" s="13" t="n">
        <f aca="false">IF(COUNTIFS($B$2:B2454,B2454,$T$2:T2454,T2454)=1,1,0)</f>
        <v>0</v>
      </c>
    </row>
    <row r="2455" customFormat="false" ht="15" hidden="false" customHeight="false" outlineLevel="0" collapsed="false">
      <c r="A2455" s="13" t="s">
        <v>480</v>
      </c>
      <c r="B2455" s="13" t="s">
        <v>50</v>
      </c>
      <c r="C2455" s="13" t="n">
        <v>2700</v>
      </c>
      <c r="D2455" s="13" t="n">
        <v>2</v>
      </c>
      <c r="E2455" s="13" t="n">
        <v>671</v>
      </c>
      <c r="F2455" s="13" t="s">
        <v>5325</v>
      </c>
      <c r="G2455" s="13" t="s">
        <v>5292</v>
      </c>
      <c r="H2455" s="13" t="s">
        <v>5289</v>
      </c>
      <c r="I2455" s="13" t="s">
        <v>5289</v>
      </c>
      <c r="J2455" s="13" t="s">
        <v>5289</v>
      </c>
      <c r="K2455" s="13" t="s">
        <v>5289</v>
      </c>
      <c r="L2455" s="13"/>
      <c r="M2455" s="13"/>
      <c r="N2455" s="13" t="n">
        <v>3349668630042</v>
      </c>
      <c r="O2455" s="13"/>
      <c r="P2455" s="13" t="s">
        <v>5291</v>
      </c>
      <c r="Q2455" s="13" t="s">
        <v>5289</v>
      </c>
      <c r="R2455" s="13" t="s">
        <v>5292</v>
      </c>
      <c r="S2455" s="13" t="s">
        <v>5293</v>
      </c>
      <c r="T2455" s="13" t="s">
        <v>5</v>
      </c>
      <c r="U2455" s="13" t="s">
        <v>43</v>
      </c>
      <c r="V2455" s="13" t="n">
        <f aca="false">IF(COUNTIF($B$2:B2455,B2455)=1,1,0)</f>
        <v>0</v>
      </c>
      <c r="W2455" s="13" t="n">
        <f aca="false">IF(COUNTIFS($B$2:B2455,B2455,$T$2:T2455,T2455)=1,1,0)</f>
        <v>0</v>
      </c>
    </row>
    <row r="2456" customFormat="false" ht="15" hidden="false" customHeight="false" outlineLevel="0" collapsed="false">
      <c r="A2456" s="13" t="s">
        <v>747</v>
      </c>
      <c r="B2456" s="13" t="s">
        <v>124</v>
      </c>
      <c r="C2456" s="13" t="n">
        <v>2700</v>
      </c>
      <c r="D2456" s="13" t="n">
        <v>2</v>
      </c>
      <c r="E2456" s="13" t="n">
        <v>892.68</v>
      </c>
      <c r="F2456" s="13" t="s">
        <v>5288</v>
      </c>
      <c r="G2456" s="13" t="s">
        <v>5292</v>
      </c>
      <c r="H2456" s="13" t="s">
        <v>5289</v>
      </c>
      <c r="I2456" s="13" t="s">
        <v>5289</v>
      </c>
      <c r="J2456" s="13" t="s">
        <v>5289</v>
      </c>
      <c r="K2456" s="13" t="s">
        <v>5289</v>
      </c>
      <c r="L2456" s="13" t="n">
        <v>3360372078500</v>
      </c>
      <c r="M2456" s="13"/>
      <c r="N2456" s="13" t="n">
        <v>3360372078500</v>
      </c>
      <c r="O2456" s="13"/>
      <c r="P2456" s="13" t="s">
        <v>5291</v>
      </c>
      <c r="Q2456" s="13" t="s">
        <v>5289</v>
      </c>
      <c r="R2456" s="13" t="s">
        <v>5292</v>
      </c>
      <c r="S2456" s="13" t="s">
        <v>5293</v>
      </c>
      <c r="T2456" s="13" t="s">
        <v>5</v>
      </c>
      <c r="U2456" s="13" t="s">
        <v>43</v>
      </c>
      <c r="V2456" s="13" t="n">
        <f aca="false">IF(COUNTIF($B$2:B2456,B2456)=1,1,0)</f>
        <v>0</v>
      </c>
      <c r="W2456" s="13" t="n">
        <f aca="false">IF(COUNTIFS($B$2:B2456,B2456,$T$2:T2456,T2456)=1,1,0)</f>
        <v>0</v>
      </c>
    </row>
    <row r="2457" customFormat="false" ht="15" hidden="false" customHeight="false" outlineLevel="0" collapsed="false">
      <c r="A2457" s="13" t="s">
        <v>597</v>
      </c>
      <c r="B2457" s="13" t="s">
        <v>50</v>
      </c>
      <c r="C2457" s="13" t="n">
        <v>2700</v>
      </c>
      <c r="D2457" s="13" t="n">
        <v>2</v>
      </c>
      <c r="E2457" s="13" t="n">
        <v>669.4575</v>
      </c>
      <c r="F2457" s="13" t="s">
        <v>5325</v>
      </c>
      <c r="G2457" s="13" t="s">
        <v>5289</v>
      </c>
      <c r="H2457" s="13" t="s">
        <v>5289</v>
      </c>
      <c r="I2457" s="13" t="s">
        <v>5289</v>
      </c>
      <c r="J2457" s="13" t="s">
        <v>5289</v>
      </c>
      <c r="K2457" s="13" t="s">
        <v>5289</v>
      </c>
      <c r="L2457" s="13" t="n">
        <v>3349668579839</v>
      </c>
      <c r="M2457" s="13"/>
      <c r="N2457" s="13" t="n">
        <v>3349668579839</v>
      </c>
      <c r="O2457" s="13"/>
      <c r="P2457" s="13" t="s">
        <v>5291</v>
      </c>
      <c r="Q2457" s="13" t="s">
        <v>5289</v>
      </c>
      <c r="R2457" s="13" t="s">
        <v>5292</v>
      </c>
      <c r="S2457" s="13" t="s">
        <v>5293</v>
      </c>
      <c r="T2457" s="13" t="s">
        <v>5</v>
      </c>
      <c r="U2457" s="13" t="s">
        <v>43</v>
      </c>
      <c r="V2457" s="13" t="n">
        <f aca="false">IF(COUNTIF($B$2:B2457,B2457)=1,1,0)</f>
        <v>0</v>
      </c>
      <c r="W2457" s="13" t="n">
        <f aca="false">IF(COUNTIFS($B$2:B2457,B2457,$T$2:T2457,T2457)=1,1,0)</f>
        <v>0</v>
      </c>
    </row>
    <row r="2458" customFormat="false" ht="15" hidden="false" customHeight="false" outlineLevel="0" collapsed="false">
      <c r="A2458" s="13" t="s">
        <v>413</v>
      </c>
      <c r="B2458" s="13" t="s">
        <v>61</v>
      </c>
      <c r="C2458" s="13" t="n">
        <v>2700</v>
      </c>
      <c r="D2458" s="13" t="n">
        <v>2</v>
      </c>
      <c r="E2458" s="13" t="n">
        <v>669.085</v>
      </c>
      <c r="F2458" s="13" t="s">
        <v>5288</v>
      </c>
      <c r="G2458" s="13" t="s">
        <v>5292</v>
      </c>
      <c r="H2458" s="13" t="s">
        <v>5292</v>
      </c>
      <c r="I2458" s="13" t="s">
        <v>5289</v>
      </c>
      <c r="J2458" s="13" t="s">
        <v>5289</v>
      </c>
      <c r="K2458" s="13" t="s">
        <v>5289</v>
      </c>
      <c r="L2458" s="13" t="n">
        <v>3605533286555</v>
      </c>
      <c r="M2458" s="13"/>
      <c r="N2458" s="13" t="n">
        <v>3605533286555</v>
      </c>
      <c r="O2458" s="13"/>
      <c r="P2458" s="13" t="s">
        <v>5291</v>
      </c>
      <c r="Q2458" s="13" t="s">
        <v>5289</v>
      </c>
      <c r="R2458" s="13" t="s">
        <v>5292</v>
      </c>
      <c r="S2458" s="13" t="s">
        <v>5293</v>
      </c>
      <c r="T2458" s="13" t="s">
        <v>5</v>
      </c>
      <c r="U2458" s="13" t="s">
        <v>43</v>
      </c>
      <c r="V2458" s="13" t="n">
        <f aca="false">IF(COUNTIF($B$2:B2458,B2458)=1,1,0)</f>
        <v>0</v>
      </c>
      <c r="W2458" s="13" t="n">
        <f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
      </c>
      <c r="B2459" s="13" t="s">
        <v>630</v>
      </c>
      <c r="C2459" s="13" t="n">
        <v>2700</v>
      </c>
      <c r="D2459" s="13" t="n">
        <v>10</v>
      </c>
      <c r="E2459" s="13" t="n">
        <v>191.09</v>
      </c>
      <c r="F2459" s="13" t="s">
        <v>5325</v>
      </c>
      <c r="G2459" s="13" t="s">
        <v>5289</v>
      </c>
      <c r="H2459" s="13" t="s">
        <v>5289</v>
      </c>
      <c r="I2459" s="13" t="s">
        <v>5289</v>
      </c>
      <c r="J2459" s="13" t="s">
        <v>5289</v>
      </c>
      <c r="K2459" s="13" t="s">
        <v>5289</v>
      </c>
      <c r="L2459" s="13" t="n">
        <v>8433982003400</v>
      </c>
      <c r="M2459" s="13"/>
      <c r="N2459" s="13" t="n">
        <v>8433982003400</v>
      </c>
      <c r="O2459" s="13"/>
      <c r="P2459" s="13" t="s">
        <v>5291</v>
      </c>
      <c r="Q2459" s="13" t="s">
        <v>5289</v>
      </c>
      <c r="R2459" s="13" t="s">
        <v>5292</v>
      </c>
      <c r="S2459" s="13" t="s">
        <v>5293</v>
      </c>
      <c r="T2459" s="13" t="s">
        <v>5</v>
      </c>
      <c r="U2459" s="13" t="s">
        <v>43</v>
      </c>
      <c r="V2459" s="13" t="n">
        <f aca="false">IF(COUNTIF($B$2:B2459,B2459)=1,1,0)</f>
        <v>0</v>
      </c>
      <c r="W2459" s="13" t="n">
        <f aca="false">IF(COUNTIFS($B$2:B2459,B2459,$T$2:T2459,T2459)=1,1,0)</f>
        <v>0</v>
      </c>
    </row>
    <row r="2460" customFormat="false" ht="15" hidden="false" customHeight="false" outlineLevel="0" collapsed="false">
      <c r="A2460" s="13" t="s">
        <v>758</v>
      </c>
      <c r="B2460" s="13" t="s">
        <v>177</v>
      </c>
      <c r="C2460" s="13" t="n">
        <v>2700</v>
      </c>
      <c r="D2460" s="13" t="n">
        <v>5</v>
      </c>
      <c r="E2460" s="13" t="n">
        <v>534.376</v>
      </c>
      <c r="F2460" s="13" t="s">
        <v>5325</v>
      </c>
      <c r="G2460" s="13" t="s">
        <v>5289</v>
      </c>
      <c r="H2460" s="13" t="s">
        <v>5289</v>
      </c>
      <c r="I2460" s="13" t="s">
        <v>5289</v>
      </c>
      <c r="J2460" s="13" t="s">
        <v>5289</v>
      </c>
      <c r="K2460" s="13" t="s">
        <v>5289</v>
      </c>
      <c r="L2460" s="13"/>
      <c r="M2460" s="13"/>
      <c r="N2460" s="13" t="n">
        <v>3616306115927</v>
      </c>
      <c r="O2460" s="13"/>
      <c r="P2460" s="13" t="s">
        <v>5291</v>
      </c>
      <c r="Q2460" s="13" t="s">
        <v>5289</v>
      </c>
      <c r="R2460" s="13" t="s">
        <v>5292</v>
      </c>
      <c r="S2460" s="13" t="s">
        <v>5293</v>
      </c>
      <c r="T2460" s="13" t="s">
        <v>5</v>
      </c>
      <c r="U2460" s="13" t="s">
        <v>43</v>
      </c>
      <c r="V2460" s="13" t="n">
        <f aca="false">IF(COUNTIF($B$2:B2460,B2460)=1,1,0)</f>
        <v>0</v>
      </c>
      <c r="W2460" s="13" t="n">
        <f aca="false">IF(COUNTIFS($B$2:B2460,B2460,$T$2:T2460,T2460)=1,1,0)</f>
        <v>0</v>
      </c>
    </row>
    <row r="2461" customFormat="false" ht="15" hidden="false" customHeight="false" outlineLevel="0" collapsed="false">
      <c r="A2461" s="13" t="s">
        <v>760</v>
      </c>
      <c r="B2461" s="13" t="s">
        <v>54</v>
      </c>
      <c r="C2461" s="13" t="n">
        <v>2700</v>
      </c>
      <c r="D2461" s="13" t="n">
        <v>5</v>
      </c>
      <c r="E2461" s="13" t="n">
        <v>296.678888888889</v>
      </c>
      <c r="F2461" s="13" t="s">
        <v>5325</v>
      </c>
      <c r="G2461" s="13" t="s">
        <v>5289</v>
      </c>
      <c r="H2461" s="13" t="s">
        <v>5289</v>
      </c>
      <c r="I2461" s="13" t="s">
        <v>5289</v>
      </c>
      <c r="J2461" s="13" t="s">
        <v>5289</v>
      </c>
      <c r="K2461" s="13" t="s">
        <v>5289</v>
      </c>
      <c r="L2461" s="13" t="n">
        <v>7898965700980</v>
      </c>
      <c r="M2461" s="13"/>
      <c r="N2461" s="13" t="n">
        <v>7.89896570007279E+037</v>
      </c>
      <c r="O2461" s="13"/>
      <c r="P2461" s="13" t="s">
        <v>5291</v>
      </c>
      <c r="Q2461" s="13" t="s">
        <v>5289</v>
      </c>
      <c r="R2461" s="13" t="s">
        <v>5292</v>
      </c>
      <c r="S2461" s="13" t="s">
        <v>5293</v>
      </c>
      <c r="T2461" s="13" t="s">
        <v>5</v>
      </c>
      <c r="U2461" s="13" t="s">
        <v>43</v>
      </c>
      <c r="V2461" s="13" t="n">
        <f aca="false">IF(COUNTIF($B$2:B2461,B2461)=1,1,0)</f>
        <v>0</v>
      </c>
      <c r="W2461" s="13" t="n">
        <f aca="false">IF(COUNTIFS($B$2:B2461,B2461,$T$2:T2461,T2461)=1,1,0)</f>
        <v>0</v>
      </c>
    </row>
    <row r="2462" customFormat="false" ht="15" hidden="false" customHeight="false" outlineLevel="0" collapsed="false">
      <c r="A2462" s="13" t="s">
        <v>6375</v>
      </c>
      <c r="B2462" s="13" t="s">
        <v>2110</v>
      </c>
      <c r="C2462" s="13" t="n">
        <v>2700</v>
      </c>
      <c r="D2462" s="13" t="n">
        <v>5</v>
      </c>
      <c r="E2462" s="13" t="n">
        <v>533</v>
      </c>
      <c r="F2462" s="13" t="s">
        <v>5288</v>
      </c>
      <c r="G2462" s="13" t="s">
        <v>5289</v>
      </c>
      <c r="H2462" s="13" t="s">
        <v>5289</v>
      </c>
      <c r="I2462" s="13" t="s">
        <v>5289</v>
      </c>
      <c r="J2462" s="13" t="s">
        <v>5289</v>
      </c>
      <c r="K2462" s="13" t="s">
        <v>5289</v>
      </c>
      <c r="L2462" s="13" t="n">
        <v>3386460156875</v>
      </c>
      <c r="M2462" s="13"/>
      <c r="N2462" s="13" t="n">
        <v>3386460156875</v>
      </c>
      <c r="O2462" s="13"/>
      <c r="P2462" s="13" t="s">
        <v>5291</v>
      </c>
      <c r="Q2462" s="13" t="s">
        <v>5289</v>
      </c>
      <c r="R2462" s="13" t="s">
        <v>5292</v>
      </c>
      <c r="S2462" s="13" t="s">
        <v>5293</v>
      </c>
      <c r="T2462" s="13" t="s">
        <v>5</v>
      </c>
      <c r="U2462" s="13" t="s">
        <v>43</v>
      </c>
      <c r="V2462" s="13" t="n">
        <f aca="false">IF(COUNTIF($B$2:B2462,B2462)=1,1,0)</f>
        <v>0</v>
      </c>
      <c r="W2462" s="13" t="n">
        <f aca="false">IF(COUNTIFS($B$2:B2462,B2462,$T$2:T2462,T2462)=1,1,0)</f>
        <v>1</v>
      </c>
    </row>
    <row r="2463" customFormat="false" ht="15" hidden="false" customHeight="false" outlineLevel="0" collapsed="false">
      <c r="A2463" s="13" t="s">
        <v>759</v>
      </c>
      <c r="B2463" s="13" t="s">
        <v>72</v>
      </c>
      <c r="C2463" s="13" t="n">
        <v>2700</v>
      </c>
      <c r="D2463" s="13" t="n">
        <v>2</v>
      </c>
      <c r="E2463" s="13" t="n">
        <v>1328.49</v>
      </c>
      <c r="F2463" s="13" t="s">
        <v>5325</v>
      </c>
      <c r="G2463" s="13" t="s">
        <v>5289</v>
      </c>
      <c r="H2463" s="13" t="s">
        <v>5292</v>
      </c>
      <c r="I2463" s="13" t="s">
        <v>5289</v>
      </c>
      <c r="J2463" s="13" t="s">
        <v>5289</v>
      </c>
      <c r="K2463" s="13" t="s">
        <v>5289</v>
      </c>
      <c r="L2463" s="13" t="n">
        <v>8435137772704</v>
      </c>
      <c r="M2463" s="13"/>
      <c r="N2463" s="13" t="n">
        <v>8435137772704</v>
      </c>
      <c r="O2463" s="13"/>
      <c r="P2463" s="13" t="s">
        <v>5291</v>
      </c>
      <c r="Q2463" s="13" t="s">
        <v>5289</v>
      </c>
      <c r="R2463" s="13" t="s">
        <v>5292</v>
      </c>
      <c r="S2463" s="13" t="s">
        <v>5293</v>
      </c>
      <c r="T2463" s="13" t="s">
        <v>5</v>
      </c>
      <c r="U2463" s="13" t="s">
        <v>43</v>
      </c>
      <c r="V2463" s="13" t="n">
        <f aca="false">IF(COUNTIF($B$2:B2463,B2463)=1,1,0)</f>
        <v>0</v>
      </c>
      <c r="W2463" s="13" t="n">
        <f aca="false">IF(COUNTIFS($B$2:B2463,B2463,$T$2:T2463,T2463)=1,1,0)</f>
        <v>0</v>
      </c>
    </row>
    <row r="2464" customFormat="false" ht="15" hidden="false" customHeight="false" outlineLevel="0" collapsed="false">
      <c r="A2464" s="13" t="s">
        <v>790</v>
      </c>
      <c r="B2464" s="13" t="s">
        <v>195</v>
      </c>
      <c r="C2464" s="13" t="n">
        <v>2600</v>
      </c>
      <c r="D2464" s="13" t="n">
        <v>2</v>
      </c>
      <c r="E2464" s="13" t="n">
        <v>659.58</v>
      </c>
      <c r="F2464" s="13" t="s">
        <v>5325</v>
      </c>
      <c r="G2464" s="13" t="s">
        <v>5289</v>
      </c>
      <c r="H2464" s="13" t="s">
        <v>5289</v>
      </c>
      <c r="I2464" s="13" t="s">
        <v>5289</v>
      </c>
      <c r="J2464" s="13" t="s">
        <v>5289</v>
      </c>
      <c r="K2464" s="13" t="s">
        <v>5289</v>
      </c>
      <c r="L2464" s="13" t="n">
        <v>3614227693876</v>
      </c>
      <c r="M2464" s="13"/>
      <c r="N2464" s="13" t="n">
        <v>3614227693876</v>
      </c>
      <c r="O2464" s="13"/>
      <c r="P2464" s="13" t="s">
        <v>5291</v>
      </c>
      <c r="Q2464" s="13" t="s">
        <v>5289</v>
      </c>
      <c r="R2464" s="13" t="s">
        <v>5292</v>
      </c>
      <c r="S2464" s="13" t="s">
        <v>5293</v>
      </c>
      <c r="T2464" s="13" t="s">
        <v>5</v>
      </c>
      <c r="U2464" s="13" t="s">
        <v>43</v>
      </c>
      <c r="V2464" s="13" t="n">
        <f aca="false">IF(COUNTIF($B$2:B2464,B2464)=1,1,0)</f>
        <v>0</v>
      </c>
      <c r="W2464" s="13" t="n">
        <f aca="false">IF(COUNTIFS($B$2:B2464,B2464,$T$2:T2464,T2464)=1,1,0)</f>
        <v>0</v>
      </c>
    </row>
    <row r="2465" customFormat="false" ht="15" hidden="false" customHeight="false" outlineLevel="0" collapsed="false">
      <c r="A2465" s="13" t="s">
        <v>791</v>
      </c>
      <c r="B2465" s="13" t="s">
        <v>107</v>
      </c>
      <c r="C2465" s="13" t="n">
        <v>2600</v>
      </c>
      <c r="D2465" s="13" t="n">
        <v>10</v>
      </c>
      <c r="E2465" s="13" t="n">
        <v>202.643846153846</v>
      </c>
      <c r="F2465" s="13" t="s">
        <v>5288</v>
      </c>
      <c r="G2465" s="13" t="s">
        <v>5289</v>
      </c>
      <c r="H2465" s="13" t="s">
        <v>5289</v>
      </c>
      <c r="I2465" s="13" t="s">
        <v>5289</v>
      </c>
      <c r="J2465" s="13" t="s">
        <v>5289</v>
      </c>
      <c r="K2465" s="13" t="s">
        <v>5289</v>
      </c>
      <c r="L2465" s="13" t="n">
        <v>7896235353652</v>
      </c>
      <c r="M2465" s="13"/>
      <c r="N2465" s="13" t="n">
        <v>7896235353652</v>
      </c>
      <c r="O2465" s="13"/>
      <c r="P2465" s="13" t="s">
        <v>5291</v>
      </c>
      <c r="Q2465" s="13" t="s">
        <v>5289</v>
      </c>
      <c r="R2465" s="13" t="s">
        <v>5292</v>
      </c>
      <c r="S2465" s="13" t="s">
        <v>5293</v>
      </c>
      <c r="T2465" s="13" t="s">
        <v>5</v>
      </c>
      <c r="U2465" s="13" t="s">
        <v>43</v>
      </c>
      <c r="V2465" s="13" t="n">
        <f aca="false">IF(COUNTIF($B$2:B2465,B2465)=1,1,0)</f>
        <v>0</v>
      </c>
      <c r="W2465" s="13" t="n">
        <f aca="false">IF(COUNTIFS($B$2:B2465,B2465,$T$2:T2465,T2465)=1,1,0)</f>
        <v>0</v>
      </c>
    </row>
    <row r="2466" customFormat="false" ht="15" hidden="false" customHeight="false" outlineLevel="0" collapsed="false">
      <c r="A2466" s="13" t="s">
        <v>327</v>
      </c>
      <c r="B2466" s="13" t="s">
        <v>61</v>
      </c>
      <c r="C2466" s="13" t="n">
        <v>2600</v>
      </c>
      <c r="D2466" s="13" t="n">
        <v>2</v>
      </c>
      <c r="E2466" s="13" t="n">
        <v>877.806666666667</v>
      </c>
      <c r="F2466" s="13" t="s">
        <v>5325</v>
      </c>
      <c r="G2466" s="13" t="s">
        <v>5289</v>
      </c>
      <c r="H2466" s="13" t="s">
        <v>5289</v>
      </c>
      <c r="I2466" s="13" t="s">
        <v>5289</v>
      </c>
      <c r="J2466" s="13" t="s">
        <v>5289</v>
      </c>
      <c r="K2466" s="13" t="s">
        <v>5289</v>
      </c>
      <c r="L2466" s="13" t="n">
        <v>3614274397253</v>
      </c>
      <c r="M2466" s="13"/>
      <c r="N2466" s="13" t="n">
        <v>3614274397253</v>
      </c>
      <c r="O2466" s="13"/>
      <c r="P2466" s="13" t="s">
        <v>5291</v>
      </c>
      <c r="Q2466" s="13" t="s">
        <v>5289</v>
      </c>
      <c r="R2466" s="13" t="s">
        <v>5292</v>
      </c>
      <c r="S2466" s="13" t="s">
        <v>5293</v>
      </c>
      <c r="T2466" s="13" t="s">
        <v>5</v>
      </c>
      <c r="U2466" s="13" t="s">
        <v>43</v>
      </c>
      <c r="V2466" s="13" t="n">
        <f aca="false">IF(COUNTIF($B$2:B2466,B2466)=1,1,0)</f>
        <v>0</v>
      </c>
      <c r="W2466" s="13" t="n">
        <f aca="false">IF(COUNTIFS($B$2:B2466,B2466,$T$2:T2466,T2466)=1,1,0)</f>
        <v>0</v>
      </c>
    </row>
    <row r="2467" customFormat="false" ht="15" hidden="false" customHeight="false" outlineLevel="0" collapsed="false">
      <c r="A2467" s="13" t="s">
        <v>780</v>
      </c>
      <c r="B2467" s="13" t="s">
        <v>45</v>
      </c>
      <c r="C2467" s="13" t="n">
        <v>2600</v>
      </c>
      <c r="D2467" s="13" t="n">
        <v>2</v>
      </c>
      <c r="E2467" s="13" t="n">
        <v>877.57</v>
      </c>
      <c r="F2467" s="13" t="s">
        <v>5288</v>
      </c>
      <c r="G2467" s="13" t="s">
        <v>5289</v>
      </c>
      <c r="H2467" s="13" t="s">
        <v>5292</v>
      </c>
      <c r="I2467" s="13" t="s">
        <v>5289</v>
      </c>
      <c r="J2467" s="13" t="s">
        <v>5289</v>
      </c>
      <c r="K2467" s="13" t="s">
        <v>5289</v>
      </c>
      <c r="L2467" s="13"/>
      <c r="M2467" s="13"/>
      <c r="N2467" s="13" t="n">
        <v>8435415076906</v>
      </c>
      <c r="O2467" s="13"/>
      <c r="P2467" s="13" t="s">
        <v>5291</v>
      </c>
      <c r="Q2467" s="13" t="s">
        <v>5289</v>
      </c>
      <c r="R2467" s="13" t="s">
        <v>5292</v>
      </c>
      <c r="S2467" s="13" t="s">
        <v>5293</v>
      </c>
      <c r="T2467" s="13" t="s">
        <v>5</v>
      </c>
      <c r="U2467" s="13" t="s">
        <v>43</v>
      </c>
      <c r="V2467" s="13" t="n">
        <f aca="false">IF(COUNTIF($B$2:B2467,B2467)=1,1,0)</f>
        <v>0</v>
      </c>
      <c r="W2467" s="13" t="n">
        <f aca="false">IF(COUNTIFS($B$2:B2467,B2467,$T$2:T2467,T2467)=1,1,0)</f>
        <v>0</v>
      </c>
    </row>
    <row r="2468" customFormat="false" ht="15" hidden="false" customHeight="false" outlineLevel="0" collapsed="false">
      <c r="A2468" s="13" t="s">
        <v>294</v>
      </c>
      <c r="B2468" s="13" t="s">
        <v>50</v>
      </c>
      <c r="C2468" s="13" t="n">
        <v>2600</v>
      </c>
      <c r="D2468" s="13" t="n">
        <v>2</v>
      </c>
      <c r="E2468" s="13" t="n">
        <v>658.03</v>
      </c>
      <c r="F2468" s="13" t="s">
        <v>5325</v>
      </c>
      <c r="G2468" s="13" t="s">
        <v>5289</v>
      </c>
      <c r="H2468" s="13" t="s">
        <v>5289</v>
      </c>
      <c r="I2468" s="13" t="s">
        <v>5289</v>
      </c>
      <c r="J2468" s="13" t="s">
        <v>5289</v>
      </c>
      <c r="K2468" s="13" t="s">
        <v>5289</v>
      </c>
      <c r="L2468" s="13"/>
      <c r="M2468" s="13"/>
      <c r="N2468" s="13" t="n">
        <v>3349668641833</v>
      </c>
      <c r="O2468" s="13"/>
      <c r="P2468" s="13" t="s">
        <v>5291</v>
      </c>
      <c r="Q2468" s="13" t="s">
        <v>5289</v>
      </c>
      <c r="R2468" s="13" t="s">
        <v>5292</v>
      </c>
      <c r="S2468" s="13" t="s">
        <v>5293</v>
      </c>
      <c r="T2468" s="13" t="s">
        <v>5</v>
      </c>
      <c r="U2468" s="13" t="s">
        <v>43</v>
      </c>
      <c r="V2468" s="13" t="n">
        <f aca="false">IF(COUNTIF($B$2:B2468,B2468)=1,1,0)</f>
        <v>0</v>
      </c>
      <c r="W2468" s="13" t="n">
        <f aca="false">IF(COUNTIFS($B$2:B2468,B2468,$T$2:T2468,T2468)=1,1,0)</f>
        <v>0</v>
      </c>
    </row>
    <row r="2469" customFormat="false" ht="15" hidden="false" customHeight="false" outlineLevel="0" collapsed="false">
      <c r="A2469" s="13" t="s">
        <v>781</v>
      </c>
      <c r="B2469" s="13" t="s">
        <v>79</v>
      </c>
      <c r="C2469" s="13" t="n">
        <v>2600</v>
      </c>
      <c r="D2469" s="13" t="n">
        <v>2</v>
      </c>
      <c r="E2469" s="13" t="n">
        <v>656</v>
      </c>
      <c r="F2469" s="13" t="s">
        <v>5288</v>
      </c>
      <c r="G2469" s="13" t="s">
        <v>5292</v>
      </c>
      <c r="H2469" s="13" t="s">
        <v>5289</v>
      </c>
      <c r="I2469" s="13" t="s">
        <v>5289</v>
      </c>
      <c r="J2469" s="13" t="s">
        <v>5289</v>
      </c>
      <c r="K2469" s="13" t="s">
        <v>5289</v>
      </c>
      <c r="L2469" s="13"/>
      <c r="M2469" s="13"/>
      <c r="N2469" s="13" t="n">
        <v>3423473020493</v>
      </c>
      <c r="O2469" s="13"/>
      <c r="P2469" s="13" t="s">
        <v>5297</v>
      </c>
      <c r="Q2469" s="13" t="s">
        <v>5289</v>
      </c>
      <c r="R2469" s="13" t="s">
        <v>5292</v>
      </c>
      <c r="S2469" s="13" t="s">
        <v>5293</v>
      </c>
      <c r="T2469" s="13" t="s">
        <v>5</v>
      </c>
      <c r="U2469" s="13" t="s">
        <v>43</v>
      </c>
      <c r="V2469" s="13" t="n">
        <f aca="false">IF(COUNTIF($B$2:B2469,B2469)=1,1,0)</f>
        <v>0</v>
      </c>
      <c r="W2469" s="13" t="n">
        <f aca="false">IF(COUNTIFS($B$2:B2469,B2469,$T$2:T2469,T2469)=1,1,0)</f>
        <v>0</v>
      </c>
    </row>
    <row r="2470" customFormat="false" ht="15" hidden="false" customHeight="false" outlineLevel="0" collapsed="false">
      <c r="A2470" s="13" t="s">
        <v>347</v>
      </c>
      <c r="B2470" s="13" t="s">
        <v>69</v>
      </c>
      <c r="C2470" s="13" t="n">
        <v>2600</v>
      </c>
      <c r="D2470" s="13" t="n">
        <v>5</v>
      </c>
      <c r="E2470" s="13" t="n">
        <v>524.13</v>
      </c>
      <c r="F2470" s="13" t="s">
        <v>5325</v>
      </c>
      <c r="G2470" s="13" t="s">
        <v>5289</v>
      </c>
      <c r="H2470" s="13" t="s">
        <v>5292</v>
      </c>
      <c r="I2470" s="13" t="s">
        <v>5289</v>
      </c>
      <c r="J2470" s="13" t="s">
        <v>5289</v>
      </c>
      <c r="K2470" s="13" t="s">
        <v>5289</v>
      </c>
      <c r="L2470" s="13" t="n">
        <v>3614272648401</v>
      </c>
      <c r="M2470" s="13"/>
      <c r="N2470" s="13" t="n">
        <v>3614272648401</v>
      </c>
      <c r="O2470" s="13"/>
      <c r="P2470" s="13" t="s">
        <v>5291</v>
      </c>
      <c r="Q2470" s="13" t="s">
        <v>5289</v>
      </c>
      <c r="R2470" s="13" t="s">
        <v>5292</v>
      </c>
      <c r="S2470" s="13" t="s">
        <v>5293</v>
      </c>
      <c r="T2470" s="13" t="s">
        <v>5</v>
      </c>
      <c r="U2470" s="13" t="s">
        <v>43</v>
      </c>
      <c r="V2470" s="13" t="n">
        <f aca="false">IF(COUNTIF($B$2:B2470,B2470)=1,1,0)</f>
        <v>0</v>
      </c>
      <c r="W2470" s="13" t="n">
        <f aca="false">IF(COUNTIFS($B$2:B2470,B2470,$T$2:T2470,T2470)=1,1,0)</f>
        <v>0</v>
      </c>
    </row>
    <row r="2471" customFormat="false" ht="15" hidden="false" customHeight="false" outlineLevel="0" collapsed="false">
      <c r="A2471" s="13" t="s">
        <v>51</v>
      </c>
      <c r="B2471" s="13" t="s">
        <v>50</v>
      </c>
      <c r="C2471" s="13" t="n">
        <v>2600</v>
      </c>
      <c r="D2471" s="13" t="n">
        <v>5</v>
      </c>
      <c r="E2471" s="13" t="n">
        <v>519.386</v>
      </c>
      <c r="F2471" s="13" t="s">
        <v>5325</v>
      </c>
      <c r="G2471" s="13" t="s">
        <v>5289</v>
      </c>
      <c r="H2471" s="13" t="s">
        <v>5289</v>
      </c>
      <c r="I2471" s="13" t="s">
        <v>5289</v>
      </c>
      <c r="J2471" s="13" t="s">
        <v>5289</v>
      </c>
      <c r="K2471" s="13" t="s">
        <v>5289</v>
      </c>
      <c r="L2471" s="13" t="n">
        <v>3349668515653</v>
      </c>
      <c r="M2471" s="13"/>
      <c r="N2471" s="13" t="n">
        <v>3349668515653</v>
      </c>
      <c r="O2471" s="13"/>
      <c r="P2471" s="13" t="s">
        <v>5291</v>
      </c>
      <c r="Q2471" s="13" t="s">
        <v>5289</v>
      </c>
      <c r="R2471" s="13" t="s">
        <v>5292</v>
      </c>
      <c r="S2471" s="13" t="s">
        <v>5293</v>
      </c>
      <c r="T2471" s="13" t="s">
        <v>5</v>
      </c>
      <c r="U2471" s="13" t="s">
        <v>43</v>
      </c>
      <c r="V2471" s="13" t="n">
        <f aca="false">IF(COUNTIF($B$2:B2471,B2471)=1,1,0)</f>
        <v>0</v>
      </c>
      <c r="W2471" s="13" t="n">
        <f aca="false">IF(COUNTIFS($B$2:B2471,B2471,$T$2:T2471,T2471)=1,1,0)</f>
        <v>0</v>
      </c>
    </row>
    <row r="2472" customFormat="false" ht="15" hidden="false" customHeight="false" outlineLevel="0" collapsed="false">
      <c r="A2472" s="13" t="s">
        <v>786</v>
      </c>
      <c r="B2472" s="13" t="s">
        <v>103</v>
      </c>
      <c r="C2472" s="13" t="n">
        <v>2600</v>
      </c>
      <c r="D2472" s="13" t="n">
        <v>10</v>
      </c>
      <c r="E2472" s="13" t="n">
        <v>215.998333333333</v>
      </c>
      <c r="F2472" s="13" t="s">
        <v>5288</v>
      </c>
      <c r="G2472" s="13" t="s">
        <v>5292</v>
      </c>
      <c r="H2472" s="13" t="s">
        <v>5289</v>
      </c>
      <c r="I2472" s="13" t="s">
        <v>5289</v>
      </c>
      <c r="J2472" s="13" t="s">
        <v>5289</v>
      </c>
      <c r="K2472" s="13" t="s">
        <v>5289</v>
      </c>
      <c r="L2472" s="13" t="n">
        <v>8411061819685</v>
      </c>
      <c r="M2472" s="13"/>
      <c r="N2472" s="13" t="n">
        <v>8411061819685</v>
      </c>
      <c r="O2472" s="13"/>
      <c r="P2472" s="13" t="s">
        <v>5291</v>
      </c>
      <c r="Q2472" s="13" t="s">
        <v>5289</v>
      </c>
      <c r="R2472" s="13" t="s">
        <v>5292</v>
      </c>
      <c r="S2472" s="13" t="s">
        <v>5293</v>
      </c>
      <c r="T2472" s="13" t="s">
        <v>5</v>
      </c>
      <c r="U2472" s="13" t="s">
        <v>43</v>
      </c>
      <c r="V2472" s="13" t="n">
        <f aca="false">IF(COUNTIF($B$2:B2472,B2472)=1,1,0)</f>
        <v>0</v>
      </c>
      <c r="W2472" s="13" t="n">
        <f aca="false">IF(COUNTIFS($B$2:B2472,B2472,$T$2:T2472,T2472)=1,1,0)</f>
        <v>0</v>
      </c>
    </row>
    <row r="2473" customFormat="false" ht="15" hidden="false" customHeight="false" outlineLevel="0" collapsed="false">
      <c r="A2473" s="13" t="s">
        <v>785</v>
      </c>
      <c r="B2473" s="13" t="s">
        <v>50</v>
      </c>
      <c r="C2473" s="13" t="n">
        <v>2600</v>
      </c>
      <c r="D2473" s="13" t="n">
        <v>2</v>
      </c>
      <c r="E2473" s="13" t="n">
        <v>646.615</v>
      </c>
      <c r="F2473" s="13" t="s">
        <v>5325</v>
      </c>
      <c r="G2473" s="13" t="s">
        <v>5289</v>
      </c>
      <c r="H2473" s="13" t="s">
        <v>5292</v>
      </c>
      <c r="I2473" s="13" t="s">
        <v>5289</v>
      </c>
      <c r="J2473" s="13" t="s">
        <v>5289</v>
      </c>
      <c r="K2473" s="13" t="s">
        <v>5289</v>
      </c>
      <c r="L2473" s="13" t="n">
        <v>3349668614530</v>
      </c>
      <c r="M2473" s="13"/>
      <c r="N2473" s="13" t="n">
        <v>3349668614530</v>
      </c>
      <c r="O2473" s="13"/>
      <c r="P2473" s="13" t="s">
        <v>5291</v>
      </c>
      <c r="Q2473" s="13" t="s">
        <v>5289</v>
      </c>
      <c r="R2473" s="13" t="s">
        <v>5292</v>
      </c>
      <c r="S2473" s="13" t="s">
        <v>5293</v>
      </c>
      <c r="T2473" s="13" t="s">
        <v>5</v>
      </c>
      <c r="U2473" s="13" t="s">
        <v>43</v>
      </c>
      <c r="V2473" s="13" t="n">
        <f aca="false">IF(COUNTIF($B$2:B2473,B2473)=1,1,0)</f>
        <v>0</v>
      </c>
      <c r="W2473" s="13" t="n">
        <f aca="false">IF(COUNTIFS($B$2:B2473,B2473,$T$2:T2473,T2473)=1,1,0)</f>
        <v>0</v>
      </c>
    </row>
    <row r="2474" customFormat="false" ht="15" hidden="false" customHeight="false" outlineLevel="0" collapsed="false">
      <c r="A2474" s="13" t="s">
        <v>784</v>
      </c>
      <c r="B2474" s="13" t="s">
        <v>61</v>
      </c>
      <c r="C2474" s="13" t="n">
        <v>2600</v>
      </c>
      <c r="D2474" s="13" t="n">
        <v>2</v>
      </c>
      <c r="E2474" s="13" t="n">
        <v>860.44</v>
      </c>
      <c r="F2474" s="13" t="s">
        <v>5325</v>
      </c>
      <c r="G2474" s="13" t="s">
        <v>5292</v>
      </c>
      <c r="H2474" s="13" t="s">
        <v>5292</v>
      </c>
      <c r="I2474" s="13" t="s">
        <v>5289</v>
      </c>
      <c r="J2474" s="13" t="s">
        <v>5292</v>
      </c>
      <c r="K2474" s="13" t="s">
        <v>5289</v>
      </c>
      <c r="L2474" s="13" t="n">
        <v>3614274397253</v>
      </c>
      <c r="M2474" s="13"/>
      <c r="N2474" s="13" t="n">
        <v>3614274397253</v>
      </c>
      <c r="O2474" s="13"/>
      <c r="P2474" s="13" t="s">
        <v>5291</v>
      </c>
      <c r="Q2474" s="13" t="s">
        <v>5289</v>
      </c>
      <c r="R2474" s="13" t="s">
        <v>5292</v>
      </c>
      <c r="S2474" s="13" t="s">
        <v>5293</v>
      </c>
      <c r="T2474" s="13" t="s">
        <v>5</v>
      </c>
      <c r="U2474" s="13" t="s">
        <v>43</v>
      </c>
      <c r="V2474" s="13" t="n">
        <f aca="false">IF(COUNTIF($B$2:B2474,B2474)=1,1,0)</f>
        <v>0</v>
      </c>
      <c r="W2474" s="13" t="n">
        <f aca="false">IF(COUNTIFS($B$2:B2474,B2474,$T$2:T2474,T2474)=1,1,0)</f>
        <v>0</v>
      </c>
    </row>
    <row r="2475" customFormat="false" ht="15" hidden="false" customHeight="false" outlineLevel="0" collapsed="false">
      <c r="A2475" s="13" t="s">
        <v>3028</v>
      </c>
      <c r="B2475" s="13" t="s">
        <v>2118</v>
      </c>
      <c r="C2475" s="13" t="n">
        <v>2600</v>
      </c>
      <c r="D2475" s="13" t="n">
        <v>2</v>
      </c>
      <c r="E2475" s="13" t="n">
        <v>1289.86</v>
      </c>
      <c r="F2475" s="13" t="s">
        <v>5325</v>
      </c>
      <c r="G2475" s="13" t="s">
        <v>5289</v>
      </c>
      <c r="H2475" s="13" t="s">
        <v>5289</v>
      </c>
      <c r="I2475" s="13" t="s">
        <v>5289</v>
      </c>
      <c r="J2475" s="13" t="s">
        <v>5289</v>
      </c>
      <c r="K2475" s="13" t="s">
        <v>5289</v>
      </c>
      <c r="L2475" s="13" t="n">
        <v>3614274289527</v>
      </c>
      <c r="M2475" s="13"/>
      <c r="N2475" s="13" t="n">
        <v>3614274289527</v>
      </c>
      <c r="O2475" s="13"/>
      <c r="P2475" s="13" t="s">
        <v>5291</v>
      </c>
      <c r="Q2475" s="13" t="s">
        <v>5289</v>
      </c>
      <c r="R2475" s="13" t="s">
        <v>5292</v>
      </c>
      <c r="S2475" s="13" t="s">
        <v>5293</v>
      </c>
      <c r="T2475" s="13" t="s">
        <v>5</v>
      </c>
      <c r="U2475" s="13" t="s">
        <v>43</v>
      </c>
      <c r="V2475" s="13" t="n">
        <f aca="false">IF(COUNTIF($B$2:B2475,B2475)=1,1,0)</f>
        <v>0</v>
      </c>
      <c r="W2475" s="13" t="n">
        <f aca="false">IF(COUNTIFS($B$2:B2475,B2475,$T$2:T2475,T2475)=1,1,0)</f>
        <v>0</v>
      </c>
    </row>
    <row r="2476" customFormat="false" ht="15" hidden="false" customHeight="false" outlineLevel="0" collapsed="false">
      <c r="A2476" s="13" t="s">
        <v>3428</v>
      </c>
      <c r="B2476" s="13" t="s">
        <v>2103</v>
      </c>
      <c r="C2476" s="13" t="n">
        <v>2600</v>
      </c>
      <c r="D2476" s="13" t="n">
        <v>20</v>
      </c>
      <c r="E2476" s="13" t="n">
        <v>111.084347826087</v>
      </c>
      <c r="F2476" s="13" t="s">
        <v>5325</v>
      </c>
      <c r="G2476" s="13" t="s">
        <v>5289</v>
      </c>
      <c r="H2476" s="13" t="s">
        <v>5292</v>
      </c>
      <c r="I2476" s="13" t="s">
        <v>5289</v>
      </c>
      <c r="J2476" s="13" t="s">
        <v>5289</v>
      </c>
      <c r="K2476" s="13" t="s">
        <v>5289</v>
      </c>
      <c r="L2476" s="13" t="n">
        <v>309974700047</v>
      </c>
      <c r="M2476" s="13"/>
      <c r="N2476" s="13" t="n">
        <v>309974700047</v>
      </c>
      <c r="O2476" s="13"/>
      <c r="P2476" s="13" t="s">
        <v>5291</v>
      </c>
      <c r="Q2476" s="13" t="s">
        <v>5289</v>
      </c>
      <c r="R2476" s="13" t="s">
        <v>5292</v>
      </c>
      <c r="S2476" s="13" t="s">
        <v>5293</v>
      </c>
      <c r="T2476" s="13" t="s">
        <v>5</v>
      </c>
      <c r="U2476" s="13" t="s">
        <v>85</v>
      </c>
      <c r="V2476" s="13" t="n">
        <f aca="false">IF(COUNTIF($B$2:B2476,B2476)=1,1,0)</f>
        <v>0</v>
      </c>
      <c r="W2476" s="13" t="n">
        <f aca="false">IF(COUNTIFS($B$2:B2476,B2476,$T$2:T2476,T2476)=1,1,0)</f>
        <v>0</v>
      </c>
    </row>
    <row r="2477" customFormat="false" ht="15" hidden="false" customHeight="false" outlineLevel="0" collapsed="false">
      <c r="A2477" s="13" t="s">
        <v>783</v>
      </c>
      <c r="B2477" s="13" t="s">
        <v>2118</v>
      </c>
      <c r="C2477" s="13" t="n">
        <v>2600</v>
      </c>
      <c r="D2477" s="13" t="n">
        <v>2</v>
      </c>
      <c r="E2477" s="13" t="n">
        <v>1277.345</v>
      </c>
      <c r="F2477" s="13" t="s">
        <v>5325</v>
      </c>
      <c r="G2477" s="13" t="s">
        <v>5289</v>
      </c>
      <c r="H2477" s="13" t="s">
        <v>5292</v>
      </c>
      <c r="I2477" s="13" t="s">
        <v>5289</v>
      </c>
      <c r="J2477" s="13" t="s">
        <v>5289</v>
      </c>
      <c r="K2477" s="13" t="s">
        <v>5289</v>
      </c>
      <c r="L2477" s="13" t="n">
        <v>3614274289527</v>
      </c>
      <c r="M2477" s="13"/>
      <c r="N2477" s="13" t="n">
        <v>3614274289527</v>
      </c>
      <c r="O2477" s="13"/>
      <c r="P2477" s="13" t="s">
        <v>5291</v>
      </c>
      <c r="Q2477" s="13" t="s">
        <v>5289</v>
      </c>
      <c r="R2477" s="13" t="s">
        <v>5292</v>
      </c>
      <c r="S2477" s="13" t="s">
        <v>5293</v>
      </c>
      <c r="T2477" s="13" t="s">
        <v>5</v>
      </c>
      <c r="U2477" s="13" t="s">
        <v>43</v>
      </c>
      <c r="V2477" s="13" t="n">
        <f aca="false">IF(COUNTIF($B$2:B2477,B2477)=1,1,0)</f>
        <v>0</v>
      </c>
      <c r="W2477" s="13" t="n">
        <f aca="false">IF(COUNTIFS($B$2:B2477,B2477,$T$2:T2477,T2477)=1,1,0)</f>
        <v>0</v>
      </c>
    </row>
    <row r="2478" customFormat="false" ht="15" hidden="false" customHeight="false" outlineLevel="0" collapsed="false">
      <c r="A2478" s="13" t="s">
        <v>789</v>
      </c>
      <c r="B2478" s="13" t="s">
        <v>124</v>
      </c>
      <c r="C2478" s="13" t="n">
        <v>2600</v>
      </c>
      <c r="D2478" s="13" t="n">
        <v>2</v>
      </c>
      <c r="E2478" s="13" t="n">
        <v>851.54</v>
      </c>
      <c r="F2478" s="13" t="s">
        <v>5325</v>
      </c>
      <c r="G2478" s="13" t="s">
        <v>5289</v>
      </c>
      <c r="H2478" s="13" t="s">
        <v>5292</v>
      </c>
      <c r="I2478" s="13" t="s">
        <v>5289</v>
      </c>
      <c r="J2478" s="13" t="s">
        <v>5289</v>
      </c>
      <c r="K2478" s="13" t="s">
        <v>5289</v>
      </c>
      <c r="L2478" s="13" t="n">
        <v>3360372078500</v>
      </c>
      <c r="M2478" s="13"/>
      <c r="N2478" s="13" t="n">
        <v>3.36037207850036E+025</v>
      </c>
      <c r="O2478" s="13"/>
      <c r="P2478" s="13" t="s">
        <v>5291</v>
      </c>
      <c r="Q2478" s="13" t="s">
        <v>5289</v>
      </c>
      <c r="R2478" s="13" t="s">
        <v>5292</v>
      </c>
      <c r="S2478" s="13" t="s">
        <v>5293</v>
      </c>
      <c r="T2478" s="13" t="s">
        <v>5</v>
      </c>
      <c r="U2478" s="13" t="s">
        <v>43</v>
      </c>
      <c r="V2478" s="13" t="n">
        <f aca="false">IF(COUNTIF($B$2:B2478,B2478)=1,1,0)</f>
        <v>0</v>
      </c>
      <c r="W2478" s="13" t="n">
        <f aca="false">IF(COUNTIFS($B$2:B2478,B2478,$T$2:T2478,T2478)=1,1,0)</f>
        <v>0</v>
      </c>
    </row>
    <row r="2479" customFormat="false" ht="15" hidden="false" customHeight="false" outlineLevel="0" collapsed="false">
      <c r="A2479" s="13" t="s">
        <v>782</v>
      </c>
      <c r="B2479" s="13" t="s">
        <v>107</v>
      </c>
      <c r="C2479" s="13" t="n">
        <v>2600</v>
      </c>
      <c r="D2479" s="13" t="n">
        <v>10</v>
      </c>
      <c r="E2479" s="13" t="n">
        <v>231.981818181818</v>
      </c>
      <c r="F2479" s="13" t="s">
        <v>5325</v>
      </c>
      <c r="G2479" s="13" t="s">
        <v>5289</v>
      </c>
      <c r="H2479" s="13" t="s">
        <v>5292</v>
      </c>
      <c r="I2479" s="13" t="s">
        <v>5289</v>
      </c>
      <c r="J2479" s="13" t="s">
        <v>5289</v>
      </c>
      <c r="K2479" s="13" t="s">
        <v>5292</v>
      </c>
      <c r="L2479" s="13"/>
      <c r="M2479" s="13"/>
      <c r="N2479" s="13" t="n">
        <v>7896235353706</v>
      </c>
      <c r="O2479" s="13"/>
      <c r="P2479" s="13" t="s">
        <v>5291</v>
      </c>
      <c r="Q2479" s="13" t="s">
        <v>5289</v>
      </c>
      <c r="R2479" s="13" t="s">
        <v>5292</v>
      </c>
      <c r="S2479" s="13" t="s">
        <v>5293</v>
      </c>
      <c r="T2479" s="13" t="s">
        <v>5</v>
      </c>
      <c r="U2479" s="13" t="s">
        <v>43</v>
      </c>
      <c r="V2479" s="13" t="n">
        <f aca="false">IF(COUNTIF($B$2:B2479,B2479)=1,1,0)</f>
        <v>0</v>
      </c>
      <c r="W2479" s="13" t="n">
        <f aca="false">IF(COUNTIFS($B$2:B2479,B2479,$T$2:T2479,T2479)=1,1,0)</f>
        <v>0</v>
      </c>
    </row>
    <row r="2480" customFormat="false" ht="15" hidden="false" customHeight="false" outlineLevel="0" collapsed="false">
      <c r="A2480" s="13" t="s">
        <v>783</v>
      </c>
      <c r="B2480" s="13" t="s">
        <v>69</v>
      </c>
      <c r="C2480" s="13" t="n">
        <v>2600</v>
      </c>
      <c r="D2480" s="13" t="n">
        <v>2</v>
      </c>
      <c r="E2480" s="13" t="n">
        <v>850.143333333333</v>
      </c>
      <c r="F2480" s="13" t="s">
        <v>5325</v>
      </c>
      <c r="G2480" s="13" t="s">
        <v>5289</v>
      </c>
      <c r="H2480" s="13" t="s">
        <v>5292</v>
      </c>
      <c r="I2480" s="13" t="s">
        <v>5289</v>
      </c>
      <c r="J2480" s="13" t="s">
        <v>5289</v>
      </c>
      <c r="K2480" s="13" t="s">
        <v>5289</v>
      </c>
      <c r="L2480" s="13" t="n">
        <v>3614273852814</v>
      </c>
      <c r="M2480" s="13"/>
      <c r="N2480" s="13" t="n">
        <v>3614273852814</v>
      </c>
      <c r="O2480" s="13"/>
      <c r="P2480" s="13" t="s">
        <v>5291</v>
      </c>
      <c r="Q2480" s="13" t="s">
        <v>5289</v>
      </c>
      <c r="R2480" s="13" t="s">
        <v>5292</v>
      </c>
      <c r="S2480" s="13" t="s">
        <v>5293</v>
      </c>
      <c r="T2480" s="13" t="s">
        <v>5</v>
      </c>
      <c r="U2480" s="13" t="s">
        <v>43</v>
      </c>
      <c r="V2480" s="13" t="n">
        <f aca="false">IF(COUNTIF($B$2:B2480,B2480)=1,1,0)</f>
        <v>0</v>
      </c>
      <c r="W2480" s="13" t="n">
        <f aca="false">IF(COUNTIFS($B$2:B2480,B2480,$T$2:T2480,T2480)=1,1,0)</f>
        <v>0</v>
      </c>
    </row>
    <row r="2481" customFormat="false" ht="15" hidden="false" customHeight="false" outlineLevel="0" collapsed="false">
      <c r="A2481" s="13" t="s">
        <v>796</v>
      </c>
      <c r="B2481" s="13" t="s">
        <v>61</v>
      </c>
      <c r="C2481" s="13" t="n">
        <v>2500</v>
      </c>
      <c r="D2481" s="13" t="n">
        <v>5</v>
      </c>
      <c r="E2481" s="13" t="n">
        <v>318.56875</v>
      </c>
      <c r="F2481" s="13" t="s">
        <v>5288</v>
      </c>
      <c r="G2481" s="13" t="s">
        <v>5289</v>
      </c>
      <c r="H2481" s="13" t="s">
        <v>5289</v>
      </c>
      <c r="I2481" s="13" t="s">
        <v>5289</v>
      </c>
      <c r="J2481" s="13" t="s">
        <v>5289</v>
      </c>
      <c r="K2481" s="13" t="s">
        <v>5289</v>
      </c>
      <c r="L2481" s="13" t="n">
        <v>3614274376630</v>
      </c>
      <c r="M2481" s="13"/>
      <c r="N2481" s="13" t="n">
        <v>3614274376630</v>
      </c>
      <c r="O2481" s="13"/>
      <c r="P2481" s="13" t="s">
        <v>5291</v>
      </c>
      <c r="Q2481" s="13" t="s">
        <v>5289</v>
      </c>
      <c r="R2481" s="13" t="s">
        <v>5292</v>
      </c>
      <c r="S2481" s="13" t="s">
        <v>5293</v>
      </c>
      <c r="T2481" s="13" t="s">
        <v>5</v>
      </c>
      <c r="U2481" s="13" t="s">
        <v>43</v>
      </c>
      <c r="V2481" s="13" t="n">
        <f aca="false">IF(COUNTIF($B$2:B2481,B2481)=1,1,0)</f>
        <v>0</v>
      </c>
      <c r="W2481" s="13" t="n">
        <f aca="false">IF(COUNTIFS($B$2:B2481,B2481,$T$2:T2481,T2481)=1,1,0)</f>
        <v>0</v>
      </c>
    </row>
    <row r="2482" customFormat="false" ht="15" hidden="false" customHeight="false" outlineLevel="0" collapsed="false">
      <c r="A2482" s="13" t="s">
        <v>780</v>
      </c>
      <c r="B2482" s="13" t="s">
        <v>45</v>
      </c>
      <c r="C2482" s="13" t="n">
        <v>2500</v>
      </c>
      <c r="D2482" s="13" t="n">
        <v>2</v>
      </c>
      <c r="E2482" s="13" t="n">
        <v>845.616666666667</v>
      </c>
      <c r="F2482" s="13" t="s">
        <v>5325</v>
      </c>
      <c r="G2482" s="13" t="s">
        <v>5289</v>
      </c>
      <c r="H2482" s="13" t="s">
        <v>5292</v>
      </c>
      <c r="I2482" s="13" t="s">
        <v>5289</v>
      </c>
      <c r="J2482" s="13" t="s">
        <v>5289</v>
      </c>
      <c r="K2482" s="13" t="s">
        <v>5292</v>
      </c>
      <c r="L2482" s="13"/>
      <c r="M2482" s="13"/>
      <c r="N2482" s="13" t="n">
        <v>8435415076906</v>
      </c>
      <c r="O2482" s="13"/>
      <c r="P2482" s="13" t="s">
        <v>5291</v>
      </c>
      <c r="Q2482" s="13" t="s">
        <v>5289</v>
      </c>
      <c r="R2482" s="13" t="s">
        <v>5292</v>
      </c>
      <c r="S2482" s="13" t="s">
        <v>5293</v>
      </c>
      <c r="T2482" s="13" t="s">
        <v>5</v>
      </c>
      <c r="U2482" s="13" t="s">
        <v>43</v>
      </c>
      <c r="V2482" s="13" t="n">
        <f aca="false">IF(COUNTIF($B$2:B2482,B2482)=1,1,0)</f>
        <v>0</v>
      </c>
      <c r="W2482" s="13" t="n">
        <f aca="false">IF(COUNTIFS($B$2:B2482,B2482,$T$2:T2482,T2482)=1,1,0)</f>
        <v>0</v>
      </c>
    </row>
    <row r="2483" customFormat="false" ht="15" hidden="false" customHeight="false" outlineLevel="0" collapsed="false">
      <c r="A2483" s="13" t="s">
        <v>797</v>
      </c>
      <c r="B2483" s="13" t="s">
        <v>315</v>
      </c>
      <c r="C2483" s="13" t="n">
        <v>2500</v>
      </c>
      <c r="D2483" s="13" t="n">
        <v>5</v>
      </c>
      <c r="E2483" s="13" t="n">
        <v>281.271111111111</v>
      </c>
      <c r="F2483" s="13" t="s">
        <v>5325</v>
      </c>
      <c r="G2483" s="13" t="s">
        <v>5289</v>
      </c>
      <c r="H2483" s="13" t="s">
        <v>5292</v>
      </c>
      <c r="I2483" s="13" t="s">
        <v>5289</v>
      </c>
      <c r="J2483" s="13" t="s">
        <v>5289</v>
      </c>
      <c r="K2483" s="13" t="s">
        <v>5289</v>
      </c>
      <c r="L2483" s="13" t="n">
        <v>3605973048416</v>
      </c>
      <c r="M2483" s="13"/>
      <c r="N2483" s="13" t="n">
        <v>3605973048416</v>
      </c>
      <c r="O2483" s="13"/>
      <c r="P2483" s="13" t="s">
        <v>5291</v>
      </c>
      <c r="Q2483" s="13" t="s">
        <v>5289</v>
      </c>
      <c r="R2483" s="13" t="s">
        <v>5292</v>
      </c>
      <c r="S2483" s="13" t="s">
        <v>5293</v>
      </c>
      <c r="T2483" s="13" t="s">
        <v>5</v>
      </c>
      <c r="U2483" s="13" t="s">
        <v>43</v>
      </c>
      <c r="V2483" s="13" t="n">
        <f aca="false">IF(COUNTIF($B$2:B2483,B2483)=1,1,0)</f>
        <v>0</v>
      </c>
      <c r="W2483" s="13" t="n">
        <f aca="false">IF(COUNTIFS($B$2:B2483,B2483,$T$2:T2483,T2483)=1,1,0)</f>
        <v>0</v>
      </c>
    </row>
    <row r="2484" customFormat="false" ht="15" hidden="false" customHeight="false" outlineLevel="0" collapsed="false">
      <c r="A2484" s="13" t="s">
        <v>795</v>
      </c>
      <c r="B2484" s="13" t="s">
        <v>124</v>
      </c>
      <c r="C2484" s="13" t="n">
        <v>2500</v>
      </c>
      <c r="D2484" s="13" t="n">
        <v>2</v>
      </c>
      <c r="E2484" s="13" t="n">
        <v>843.45</v>
      </c>
      <c r="F2484" s="13" t="s">
        <v>5325</v>
      </c>
      <c r="G2484" s="13" t="s">
        <v>5289</v>
      </c>
      <c r="H2484" s="13" t="s">
        <v>5289</v>
      </c>
      <c r="I2484" s="13" t="s">
        <v>5289</v>
      </c>
      <c r="J2484" s="13" t="s">
        <v>5289</v>
      </c>
      <c r="K2484" s="13" t="s">
        <v>5289</v>
      </c>
      <c r="L2484" s="13" t="n">
        <v>3614273947763</v>
      </c>
      <c r="M2484" s="13"/>
      <c r="N2484" s="13" t="n">
        <v>3614273947763</v>
      </c>
      <c r="O2484" s="13"/>
      <c r="P2484" s="13" t="s">
        <v>5291</v>
      </c>
      <c r="Q2484" s="13" t="s">
        <v>5289</v>
      </c>
      <c r="R2484" s="13" t="s">
        <v>5292</v>
      </c>
      <c r="S2484" s="13" t="s">
        <v>5293</v>
      </c>
      <c r="T2484" s="13" t="s">
        <v>5</v>
      </c>
      <c r="U2484" s="13" t="s">
        <v>43</v>
      </c>
      <c r="V2484" s="13" t="n">
        <f aca="false">IF(COUNTIF($B$2:B2484,B2484)=1,1,0)</f>
        <v>0</v>
      </c>
      <c r="W2484" s="13" t="n">
        <f aca="false">IF(COUNTIFS($B$2:B2484,B2484,$T$2:T2484,T2484)=1,1,0)</f>
        <v>0</v>
      </c>
    </row>
    <row r="2485" customFormat="false" ht="15" hidden="false" customHeight="false" outlineLevel="0" collapsed="false">
      <c r="A2485" s="13" t="s">
        <v>316</v>
      </c>
      <c r="B2485" s="13" t="s">
        <v>315</v>
      </c>
      <c r="C2485" s="13" t="n">
        <v>2500</v>
      </c>
      <c r="D2485" s="13" t="n">
        <v>5</v>
      </c>
      <c r="E2485" s="13" t="n">
        <v>421.04</v>
      </c>
      <c r="F2485" s="13" t="s">
        <v>5325</v>
      </c>
      <c r="G2485" s="13" t="s">
        <v>5289</v>
      </c>
      <c r="H2485" s="13" t="s">
        <v>5289</v>
      </c>
      <c r="I2485" s="13" t="s">
        <v>5289</v>
      </c>
      <c r="J2485" s="13" t="s">
        <v>5289</v>
      </c>
      <c r="K2485" s="13" t="s">
        <v>5289</v>
      </c>
      <c r="L2485" s="13" t="n">
        <v>3360377027619</v>
      </c>
      <c r="M2485" s="13"/>
      <c r="N2485" s="13" t="n">
        <v>3360377027619</v>
      </c>
      <c r="O2485" s="13"/>
      <c r="P2485" s="13" t="s">
        <v>5291</v>
      </c>
      <c r="Q2485" s="13" t="s">
        <v>5289</v>
      </c>
      <c r="R2485" s="13" t="s">
        <v>5292</v>
      </c>
      <c r="S2485" s="13" t="s">
        <v>5293</v>
      </c>
      <c r="T2485" s="13" t="s">
        <v>5</v>
      </c>
      <c r="U2485" s="13" t="s">
        <v>43</v>
      </c>
      <c r="V2485" s="13" t="n">
        <f aca="false">IF(COUNTIF($B$2:B2485,B2485)=1,1,0)</f>
        <v>0</v>
      </c>
      <c r="W2485" s="13" t="n">
        <f aca="false">IF(COUNTIFS($B$2:B2485,B2485,$T$2:T2485,T2485)=1,1,0)</f>
        <v>0</v>
      </c>
    </row>
    <row r="2486" customFormat="false" ht="15" hidden="false" customHeight="false" outlineLevel="0" collapsed="false">
      <c r="A2486" s="13" t="s">
        <v>199</v>
      </c>
      <c r="B2486" s="13" t="s">
        <v>193</v>
      </c>
      <c r="C2486" s="13" t="n">
        <v>2500</v>
      </c>
      <c r="D2486" s="13" t="n">
        <v>2</v>
      </c>
      <c r="E2486" s="13" t="n">
        <v>1262.44</v>
      </c>
      <c r="F2486" s="13" t="s">
        <v>5288</v>
      </c>
      <c r="G2486" s="13" t="s">
        <v>5292</v>
      </c>
      <c r="H2486" s="13" t="s">
        <v>5289</v>
      </c>
      <c r="I2486" s="13" t="s">
        <v>5289</v>
      </c>
      <c r="J2486" s="13" t="s">
        <v>5289</v>
      </c>
      <c r="K2486" s="13" t="s">
        <v>5289</v>
      </c>
      <c r="L2486" s="13" t="n">
        <v>3605521544353</v>
      </c>
      <c r="M2486" s="13"/>
      <c r="N2486" s="13" t="n">
        <v>3605521544353</v>
      </c>
      <c r="O2486" s="13"/>
      <c r="P2486" s="13" t="s">
        <v>5297</v>
      </c>
      <c r="Q2486" s="13" t="s">
        <v>5289</v>
      </c>
      <c r="R2486" s="13" t="s">
        <v>5292</v>
      </c>
      <c r="S2486" s="13" t="s">
        <v>5293</v>
      </c>
      <c r="T2486" s="13" t="s">
        <v>5</v>
      </c>
      <c r="U2486" s="13" t="s">
        <v>43</v>
      </c>
      <c r="V2486" s="13" t="n">
        <f aca="false">IF(COUNTIF($B$2:B2486,B2486)=1,1,0)</f>
        <v>0</v>
      </c>
      <c r="W2486" s="13" t="n">
        <f aca="false">IF(COUNTIFS($B$2:B2486,B2486,$T$2:T2486,T2486)=1,1,0)</f>
        <v>0</v>
      </c>
    </row>
    <row r="2487" customFormat="false" ht="15" hidden="false" customHeight="false" outlineLevel="0" collapsed="false">
      <c r="A2487" s="13" t="s">
        <v>55</v>
      </c>
      <c r="B2487" s="13" t="s">
        <v>54</v>
      </c>
      <c r="C2487" s="13" t="n">
        <v>2500</v>
      </c>
      <c r="D2487" s="13" t="n">
        <v>5</v>
      </c>
      <c r="E2487" s="13" t="n">
        <v>314.765</v>
      </c>
      <c r="F2487" s="13" t="s">
        <v>5325</v>
      </c>
      <c r="G2487" s="13" t="s">
        <v>5292</v>
      </c>
      <c r="H2487" s="13" t="s">
        <v>5292</v>
      </c>
      <c r="I2487" s="13" t="s">
        <v>5289</v>
      </c>
      <c r="J2487" s="13" t="s">
        <v>5289</v>
      </c>
      <c r="K2487" s="13" t="s">
        <v>5289</v>
      </c>
      <c r="L2487" s="13" t="n">
        <v>729238146587</v>
      </c>
      <c r="M2487" s="13"/>
      <c r="N2487" s="13" t="n">
        <v>729238146587</v>
      </c>
      <c r="O2487" s="13"/>
      <c r="P2487" s="13" t="s">
        <v>5297</v>
      </c>
      <c r="Q2487" s="13" t="s">
        <v>5289</v>
      </c>
      <c r="R2487" s="13" t="s">
        <v>5292</v>
      </c>
      <c r="S2487" s="13" t="s">
        <v>5293</v>
      </c>
      <c r="T2487" s="13" t="s">
        <v>5</v>
      </c>
      <c r="U2487" s="13" t="s">
        <v>43</v>
      </c>
      <c r="V2487" s="13" t="n">
        <f aca="false">IF(COUNTIF($B$2:B2487,B2487)=1,1,0)</f>
        <v>0</v>
      </c>
      <c r="W2487" s="13" t="n">
        <f aca="false">IF(COUNTIFS($B$2:B2487,B2487,$T$2:T2487,T2487)=1,1,0)</f>
        <v>0</v>
      </c>
    </row>
    <row r="2488" customFormat="false" ht="15" hidden="false" customHeight="false" outlineLevel="0" collapsed="false">
      <c r="A2488" s="13" t="s">
        <v>794</v>
      </c>
      <c r="B2488" s="13" t="s">
        <v>124</v>
      </c>
      <c r="C2488" s="13" t="n">
        <v>2500</v>
      </c>
      <c r="D2488" s="13" t="n">
        <v>2</v>
      </c>
      <c r="E2488" s="13" t="n">
        <v>628.805</v>
      </c>
      <c r="F2488" s="13" t="s">
        <v>5325</v>
      </c>
      <c r="G2488" s="13" t="s">
        <v>5289</v>
      </c>
      <c r="H2488" s="13" t="s">
        <v>5292</v>
      </c>
      <c r="I2488" s="13" t="s">
        <v>5289</v>
      </c>
      <c r="J2488" s="13" t="s">
        <v>5289</v>
      </c>
      <c r="K2488" s="13" t="s">
        <v>5289</v>
      </c>
      <c r="L2488" s="13" t="n">
        <v>3614274361322</v>
      </c>
      <c r="M2488" s="13"/>
      <c r="N2488" s="13" t="n">
        <v>3614274361322</v>
      </c>
      <c r="O2488" s="13"/>
      <c r="P2488" s="13" t="s">
        <v>5291</v>
      </c>
      <c r="Q2488" s="13" t="s">
        <v>5289</v>
      </c>
      <c r="R2488" s="13" t="s">
        <v>5292</v>
      </c>
      <c r="S2488" s="13" t="s">
        <v>5293</v>
      </c>
      <c r="T2488" s="13" t="s">
        <v>5</v>
      </c>
      <c r="U2488" s="13" t="s">
        <v>43</v>
      </c>
      <c r="V2488" s="13" t="n">
        <f aca="false">IF(COUNTIF($B$2:B2488,B2488)=1,1,0)</f>
        <v>0</v>
      </c>
      <c r="W2488" s="13" t="n">
        <f aca="false">IF(COUNTIFS($B$2:B2488,B2488,$T$2:T2488,T2488)=1,1,0)</f>
        <v>0</v>
      </c>
    </row>
    <row r="2489" customFormat="false" ht="15" hidden="false" customHeight="false" outlineLevel="0" collapsed="false">
      <c r="A2489" s="13" t="s">
        <v>113</v>
      </c>
      <c r="B2489" s="13" t="s">
        <v>45</v>
      </c>
      <c r="C2489" s="13" t="n">
        <v>2500</v>
      </c>
      <c r="D2489" s="13" t="n">
        <v>2</v>
      </c>
      <c r="E2489" s="13" t="n">
        <v>836</v>
      </c>
      <c r="F2489" s="13" t="s">
        <v>5325</v>
      </c>
      <c r="G2489" s="13" t="s">
        <v>5289</v>
      </c>
      <c r="H2489" s="13" t="s">
        <v>5289</v>
      </c>
      <c r="I2489" s="13" t="s">
        <v>5289</v>
      </c>
      <c r="J2489" s="13" t="s">
        <v>5289</v>
      </c>
      <c r="K2489" s="13" t="s">
        <v>5289</v>
      </c>
      <c r="L2489" s="13" t="n">
        <v>8435415059060</v>
      </c>
      <c r="M2489" s="13"/>
      <c r="N2489" s="13" t="n">
        <v>8435415059060</v>
      </c>
      <c r="O2489" s="13"/>
      <c r="P2489" s="13" t="s">
        <v>5291</v>
      </c>
      <c r="Q2489" s="13" t="s">
        <v>5289</v>
      </c>
      <c r="R2489" s="13" t="s">
        <v>5292</v>
      </c>
      <c r="S2489" s="13" t="s">
        <v>5293</v>
      </c>
      <c r="T2489" s="13" t="s">
        <v>5</v>
      </c>
      <c r="U2489" s="13" t="s">
        <v>43</v>
      </c>
      <c r="V2489" s="13" t="n">
        <f aca="false">IF(COUNTIF($B$2:B2489,B2489)=1,1,0)</f>
        <v>0</v>
      </c>
      <c r="W2489" s="13" t="n">
        <f aca="false">IF(COUNTIFS($B$2:B2489,B2489,$T$2:T2489,T2489)=1,1,0)</f>
        <v>0</v>
      </c>
    </row>
    <row r="2490" customFormat="false" ht="15" hidden="false" customHeight="false" outlineLevel="0" collapsed="false">
      <c r="A2490" s="13" t="s">
        <v>44</v>
      </c>
      <c r="B2490" s="13" t="s">
        <v>42</v>
      </c>
      <c r="C2490" s="13" t="n">
        <v>2500</v>
      </c>
      <c r="D2490" s="13" t="n">
        <v>2</v>
      </c>
      <c r="E2490" s="13" t="n">
        <v>834.676666666667</v>
      </c>
      <c r="F2490" s="13" t="s">
        <v>5325</v>
      </c>
      <c r="G2490" s="13" t="s">
        <v>5289</v>
      </c>
      <c r="H2490" s="13" t="s">
        <v>5289</v>
      </c>
      <c r="I2490" s="13" t="s">
        <v>5289</v>
      </c>
      <c r="J2490" s="13" t="s">
        <v>5289</v>
      </c>
      <c r="K2490" s="13" t="s">
        <v>5289</v>
      </c>
      <c r="L2490" s="13" t="n">
        <v>8411061024164</v>
      </c>
      <c r="M2490" s="13"/>
      <c r="N2490" s="13" t="n">
        <v>8411061024164</v>
      </c>
      <c r="O2490" s="13"/>
      <c r="P2490" s="13" t="s">
        <v>5291</v>
      </c>
      <c r="Q2490" s="13" t="s">
        <v>5289</v>
      </c>
      <c r="R2490" s="13" t="s">
        <v>5292</v>
      </c>
      <c r="S2490" s="13" t="s">
        <v>5293</v>
      </c>
      <c r="T2490" s="13" t="s">
        <v>5</v>
      </c>
      <c r="U2490" s="13" t="s">
        <v>43</v>
      </c>
      <c r="V2490" s="13" t="n">
        <f aca="false">IF(COUNTIF($B$2:B2490,B2490)=1,1,0)</f>
        <v>0</v>
      </c>
      <c r="W2490" s="13" t="n">
        <f aca="false">IF(COUNTIFS($B$2:B2490,B2490,$T$2:T2490,T2490)=1,1,0)</f>
        <v>0</v>
      </c>
    </row>
    <row r="2491" customFormat="false" ht="15" hidden="false" customHeight="false" outlineLevel="0" collapsed="false">
      <c r="A2491" s="13" t="s">
        <v>272</v>
      </c>
      <c r="B2491" s="13" t="s">
        <v>50</v>
      </c>
      <c r="C2491" s="13" t="n">
        <v>2500</v>
      </c>
      <c r="D2491" s="13" t="n">
        <v>5</v>
      </c>
      <c r="E2491" s="13" t="n">
        <v>500</v>
      </c>
      <c r="F2491" s="13" t="s">
        <v>5288</v>
      </c>
      <c r="G2491" s="13" t="s">
        <v>5292</v>
      </c>
      <c r="H2491" s="13" t="s">
        <v>5289</v>
      </c>
      <c r="I2491" s="13" t="s">
        <v>5289</v>
      </c>
      <c r="J2491" s="13" t="s">
        <v>5289</v>
      </c>
      <c r="K2491" s="13" t="s">
        <v>5289</v>
      </c>
      <c r="L2491" s="13"/>
      <c r="M2491" s="13"/>
      <c r="N2491" s="13" t="n">
        <v>3349668614479</v>
      </c>
      <c r="O2491" s="13"/>
      <c r="P2491" s="13" t="s">
        <v>5291</v>
      </c>
      <c r="Q2491" s="13" t="s">
        <v>5289</v>
      </c>
      <c r="R2491" s="13" t="s">
        <v>5292</v>
      </c>
      <c r="S2491" s="13" t="s">
        <v>5293</v>
      </c>
      <c r="T2491" s="13" t="s">
        <v>5</v>
      </c>
      <c r="U2491" s="13" t="s">
        <v>43</v>
      </c>
      <c r="V2491" s="13" t="n">
        <f aca="false">IF(COUNTIF($B$2:B2491,B2491)=1,1,0)</f>
        <v>0</v>
      </c>
      <c r="W2491" s="13" t="n">
        <f aca="false">IF(COUNTIFS($B$2:B2491,B2491,$T$2:T2491,T2491)=1,1,0)</f>
        <v>0</v>
      </c>
    </row>
    <row r="2492" customFormat="false" ht="15" hidden="false" customHeight="false" outlineLevel="0" collapsed="false">
      <c r="A2492" s="13" t="s">
        <v>800</v>
      </c>
      <c r="B2492" s="13" t="s">
        <v>61</v>
      </c>
      <c r="C2492" s="13" t="n">
        <v>2500</v>
      </c>
      <c r="D2492" s="13" t="n">
        <v>2</v>
      </c>
      <c r="E2492" s="13" t="n">
        <v>829.99</v>
      </c>
      <c r="F2492" s="13" t="s">
        <v>5288</v>
      </c>
      <c r="G2492" s="13" t="s">
        <v>5292</v>
      </c>
      <c r="H2492" s="13" t="s">
        <v>5289</v>
      </c>
      <c r="I2492" s="13" t="s">
        <v>5289</v>
      </c>
      <c r="J2492" s="13" t="s">
        <v>5289</v>
      </c>
      <c r="K2492" s="13" t="s">
        <v>5289</v>
      </c>
      <c r="L2492" s="13"/>
      <c r="M2492" s="13"/>
      <c r="N2492" s="13" t="n">
        <v>3614270754074</v>
      </c>
      <c r="O2492" s="13"/>
      <c r="P2492" s="13" t="s">
        <v>5291</v>
      </c>
      <c r="Q2492" s="13" t="s">
        <v>5289</v>
      </c>
      <c r="R2492" s="13" t="s">
        <v>5292</v>
      </c>
      <c r="S2492" s="13" t="s">
        <v>5293</v>
      </c>
      <c r="T2492" s="13" t="s">
        <v>5</v>
      </c>
      <c r="U2492" s="13" t="s">
        <v>43</v>
      </c>
      <c r="V2492" s="13" t="n">
        <f aca="false">IF(COUNTIF($B$2:B2492,B2492)=1,1,0)</f>
        <v>0</v>
      </c>
      <c r="W2492" s="13" t="n">
        <f aca="false">IF(COUNTIFS($B$2:B2492,B2492,$T$2:T2492,T2492)=1,1,0)</f>
        <v>0</v>
      </c>
    </row>
    <row r="2493" customFormat="false" ht="15" hidden="false" customHeight="false" outlineLevel="0" collapsed="false">
      <c r="A2493" s="13" t="s">
        <v>397</v>
      </c>
      <c r="B2493" s="13" t="s">
        <v>69</v>
      </c>
      <c r="C2493" s="13" t="n">
        <v>2500</v>
      </c>
      <c r="D2493" s="13" t="n">
        <v>5</v>
      </c>
      <c r="E2493" s="13" t="n">
        <v>497.368</v>
      </c>
      <c r="F2493" s="13" t="s">
        <v>5325</v>
      </c>
      <c r="G2493" s="13" t="s">
        <v>5289</v>
      </c>
      <c r="H2493" s="13" t="s">
        <v>5289</v>
      </c>
      <c r="I2493" s="13" t="s">
        <v>5289</v>
      </c>
      <c r="J2493" s="13" t="s">
        <v>5289</v>
      </c>
      <c r="K2493" s="13" t="s">
        <v>5289</v>
      </c>
      <c r="L2493" s="13" t="n">
        <v>3614270561665</v>
      </c>
      <c r="M2493" s="13"/>
      <c r="N2493" s="13" t="n">
        <v>3614270561665</v>
      </c>
      <c r="O2493" s="13"/>
      <c r="P2493" s="13" t="s">
        <v>5291</v>
      </c>
      <c r="Q2493" s="13" t="s">
        <v>5289</v>
      </c>
      <c r="R2493" s="13" t="s">
        <v>5292</v>
      </c>
      <c r="S2493" s="13" t="s">
        <v>5293</v>
      </c>
      <c r="T2493" s="13" t="s">
        <v>5</v>
      </c>
      <c r="U2493" s="13" t="s">
        <v>43</v>
      </c>
      <c r="V2493" s="13" t="n">
        <f aca="false">IF(COUNTIF($B$2:B2493,B2493)=1,1,0)</f>
        <v>0</v>
      </c>
      <c r="W2493" s="13" t="n">
        <f aca="false">IF(COUNTIFS($B$2:B2493,B2493,$T$2:T2493,T2493)=1,1,0)</f>
        <v>0</v>
      </c>
    </row>
    <row r="2494" customFormat="false" ht="15" hidden="false" customHeight="false" outlineLevel="0" collapsed="false">
      <c r="A2494" s="13" t="s">
        <v>785</v>
      </c>
      <c r="B2494" s="13" t="s">
        <v>50</v>
      </c>
      <c r="C2494" s="13" t="n">
        <v>2500</v>
      </c>
      <c r="D2494" s="13" t="n">
        <v>2</v>
      </c>
      <c r="E2494" s="13" t="n">
        <v>826.936666666667</v>
      </c>
      <c r="F2494" s="13" t="s">
        <v>5325</v>
      </c>
      <c r="G2494" s="13" t="s">
        <v>5289</v>
      </c>
      <c r="H2494" s="13" t="s">
        <v>5292</v>
      </c>
      <c r="I2494" s="13" t="s">
        <v>5289</v>
      </c>
      <c r="J2494" s="13" t="s">
        <v>5289</v>
      </c>
      <c r="K2494" s="13" t="s">
        <v>5289</v>
      </c>
      <c r="L2494" s="13" t="n">
        <v>3349668614523</v>
      </c>
      <c r="M2494" s="13"/>
      <c r="N2494" s="13" t="n">
        <v>3349668614523</v>
      </c>
      <c r="O2494" s="13"/>
      <c r="P2494" s="13" t="s">
        <v>5291</v>
      </c>
      <c r="Q2494" s="13" t="s">
        <v>5289</v>
      </c>
      <c r="R2494" s="13" t="s">
        <v>5292</v>
      </c>
      <c r="S2494" s="13" t="s">
        <v>5293</v>
      </c>
      <c r="T2494" s="13" t="s">
        <v>5</v>
      </c>
      <c r="U2494" s="13" t="s">
        <v>43</v>
      </c>
      <c r="V2494" s="13" t="n">
        <f aca="false">IF(COUNTIF($B$2:B2494,B2494)=1,1,0)</f>
        <v>0</v>
      </c>
      <c r="W2494" s="13" t="n">
        <f aca="false">IF(COUNTIFS($B$2:B2494,B2494,$T$2:T2494,T2494)=1,1,0)</f>
        <v>0</v>
      </c>
    </row>
    <row r="2495" customFormat="false" ht="15" hidden="false" customHeight="false" outlineLevel="0" collapsed="false">
      <c r="A2495" s="13" t="s">
        <v>793</v>
      </c>
      <c r="B2495" s="13" t="s">
        <v>50</v>
      </c>
      <c r="C2495" s="13" t="n">
        <v>2500</v>
      </c>
      <c r="D2495" s="13" t="n">
        <v>5</v>
      </c>
      <c r="E2495" s="13" t="n">
        <v>494.7</v>
      </c>
      <c r="F2495" s="13" t="s">
        <v>5325</v>
      </c>
      <c r="G2495" s="13" t="s">
        <v>5292</v>
      </c>
      <c r="H2495" s="13" t="s">
        <v>5289</v>
      </c>
      <c r="I2495" s="13" t="s">
        <v>5289</v>
      </c>
      <c r="J2495" s="13" t="s">
        <v>5289</v>
      </c>
      <c r="K2495" s="13" t="s">
        <v>5289</v>
      </c>
      <c r="L2495" s="13"/>
      <c r="M2495" s="13"/>
      <c r="N2495" s="13" t="n">
        <v>3349668627523</v>
      </c>
      <c r="O2495" s="13"/>
      <c r="P2495" s="13" t="s">
        <v>5291</v>
      </c>
      <c r="Q2495" s="13" t="s">
        <v>5289</v>
      </c>
      <c r="R2495" s="13" t="s">
        <v>5292</v>
      </c>
      <c r="S2495" s="13" t="s">
        <v>5293</v>
      </c>
      <c r="T2495" s="13" t="s">
        <v>5</v>
      </c>
      <c r="U2495" s="13" t="s">
        <v>43</v>
      </c>
      <c r="V2495" s="13" t="n">
        <f aca="false">IF(COUNTIF($B$2:B2495,B2495)=1,1,0)</f>
        <v>0</v>
      </c>
      <c r="W2495" s="13" t="n">
        <f aca="false">IF(COUNTIFS($B$2:B2495,B2495,$T$2:T2495,T2495)=1,1,0)</f>
        <v>0</v>
      </c>
    </row>
    <row r="2496" customFormat="false" ht="15" hidden="false" customHeight="false" outlineLevel="0" collapsed="false">
      <c r="A2496" s="13" t="s">
        <v>3383</v>
      </c>
      <c r="B2496" s="13" t="s">
        <v>2199</v>
      </c>
      <c r="C2496" s="13" t="n">
        <v>2500</v>
      </c>
      <c r="D2496" s="13" t="n">
        <v>5</v>
      </c>
      <c r="E2496" s="13" t="n">
        <v>309</v>
      </c>
      <c r="F2496" s="13" t="s">
        <v>5288</v>
      </c>
      <c r="G2496" s="13" t="s">
        <v>5289</v>
      </c>
      <c r="H2496" s="13" t="s">
        <v>5289</v>
      </c>
      <c r="I2496" s="13" t="s">
        <v>5289</v>
      </c>
      <c r="J2496" s="13" t="s">
        <v>5289</v>
      </c>
      <c r="K2496" s="13" t="s">
        <v>5289</v>
      </c>
      <c r="L2496" s="13" t="n">
        <v>850049716307</v>
      </c>
      <c r="M2496" s="13"/>
      <c r="N2496" s="13" t="n">
        <v>850049716307</v>
      </c>
      <c r="O2496" s="13"/>
      <c r="P2496" s="13" t="s">
        <v>5291</v>
      </c>
      <c r="Q2496" s="13" t="s">
        <v>5289</v>
      </c>
      <c r="R2496" s="13" t="s">
        <v>5292</v>
      </c>
      <c r="S2496" s="13" t="s">
        <v>5293</v>
      </c>
      <c r="T2496" s="13" t="s">
        <v>5</v>
      </c>
      <c r="U2496" s="13" t="s">
        <v>43</v>
      </c>
      <c r="V2496" s="13" t="n">
        <f aca="false">IF(COUNTIF($B$2:B2496,B2496)=1,1,0)</f>
        <v>1</v>
      </c>
      <c r="W2496" s="13" t="n">
        <f aca="false">IF(COUNTIFS($B$2:B2496,B2496,$T$2:T2496,T2496)=1,1,0)</f>
        <v>1</v>
      </c>
    </row>
    <row r="2497" customFormat="false" ht="15" hidden="false" customHeight="false" outlineLevel="0" collapsed="false">
      <c r="A2497" s="13" t="s">
        <v>792</v>
      </c>
      <c r="B2497" s="13" t="s">
        <v>45</v>
      </c>
      <c r="C2497" s="13" t="n">
        <v>2500</v>
      </c>
      <c r="D2497" s="13" t="n">
        <v>5</v>
      </c>
      <c r="E2497" s="13" t="n">
        <v>493.96</v>
      </c>
      <c r="F2497" s="13" t="s">
        <v>5325</v>
      </c>
      <c r="G2497" s="13" t="s">
        <v>5289</v>
      </c>
      <c r="H2497" s="13" t="s">
        <v>5292</v>
      </c>
      <c r="I2497" s="13" t="s">
        <v>5289</v>
      </c>
      <c r="J2497" s="13" t="s">
        <v>5289</v>
      </c>
      <c r="K2497" s="13" t="s">
        <v>5289</v>
      </c>
      <c r="L2497" s="13"/>
      <c r="M2497" s="13"/>
      <c r="N2497" s="13" t="n">
        <v>8435415050777</v>
      </c>
      <c r="O2497" s="13"/>
      <c r="P2497" s="13" t="s">
        <v>5291</v>
      </c>
      <c r="Q2497" s="13" t="s">
        <v>5289</v>
      </c>
      <c r="R2497" s="13" t="s">
        <v>5292</v>
      </c>
      <c r="S2497" s="13" t="s">
        <v>5293</v>
      </c>
      <c r="T2497" s="13" t="s">
        <v>5</v>
      </c>
      <c r="U2497" s="13" t="s">
        <v>43</v>
      </c>
      <c r="V2497" s="13" t="n">
        <f aca="false">IF(COUNTIF($B$2:B2497,B2497)=1,1,0)</f>
        <v>0</v>
      </c>
      <c r="W2497" s="13" t="n">
        <f aca="false">IF(COUNTIFS($B$2:B2497,B2497,$T$2:T2497,T2497)=1,1,0)</f>
        <v>0</v>
      </c>
    </row>
    <row r="2498" customFormat="false" ht="15" hidden="false" customHeight="false" outlineLevel="0" collapsed="false">
      <c r="A2498" s="13" t="s">
        <v>799</v>
      </c>
      <c r="B2498" s="13" t="s">
        <v>153</v>
      </c>
      <c r="C2498" s="13" t="n">
        <v>2500</v>
      </c>
      <c r="D2498" s="13" t="n">
        <v>2</v>
      </c>
      <c r="E2498" s="13" t="n">
        <v>616.0475</v>
      </c>
      <c r="F2498" s="13" t="s">
        <v>5325</v>
      </c>
      <c r="G2498" s="13" t="s">
        <v>5289</v>
      </c>
      <c r="H2498" s="13" t="s">
        <v>5289</v>
      </c>
      <c r="I2498" s="13" t="s">
        <v>5289</v>
      </c>
      <c r="J2498" s="13" t="s">
        <v>5289</v>
      </c>
      <c r="K2498" s="13" t="s">
        <v>5289</v>
      </c>
      <c r="L2498" s="13"/>
      <c r="M2498" s="13"/>
      <c r="N2498" s="13" t="n">
        <v>8011003895755</v>
      </c>
      <c r="O2498" s="13"/>
      <c r="P2498" s="13" t="s">
        <v>5297</v>
      </c>
      <c r="Q2498" s="13" t="s">
        <v>5289</v>
      </c>
      <c r="R2498" s="13" t="s">
        <v>5292</v>
      </c>
      <c r="S2498" s="13" t="s">
        <v>5293</v>
      </c>
      <c r="T2498" s="13" t="s">
        <v>5</v>
      </c>
      <c r="U2498" s="13" t="s">
        <v>43</v>
      </c>
      <c r="V2498" s="13" t="n">
        <f aca="false">IF(COUNTIF($B$2:B2498,B2498)=1,1,0)</f>
        <v>0</v>
      </c>
      <c r="W2498" s="13" t="n">
        <f aca="false">IF(COUNTIFS($B$2:B2498,B2498,$T$2:T2498,T2498)=1,1,0)</f>
        <v>0</v>
      </c>
    </row>
    <row r="2499" customFormat="false" ht="15" hidden="false" customHeight="false" outlineLevel="0" collapsed="false">
      <c r="A2499" s="13" t="s">
        <v>798</v>
      </c>
      <c r="B2499" s="13" t="s">
        <v>195</v>
      </c>
      <c r="C2499" s="13" t="n">
        <v>2500</v>
      </c>
      <c r="D2499" s="13" t="n">
        <v>2</v>
      </c>
      <c r="E2499" s="13" t="n">
        <v>615.94</v>
      </c>
      <c r="F2499" s="13" t="s">
        <v>5325</v>
      </c>
      <c r="G2499" s="13" t="s">
        <v>5289</v>
      </c>
      <c r="H2499" s="13" t="s">
        <v>5289</v>
      </c>
      <c r="I2499" s="13" t="s">
        <v>5289</v>
      </c>
      <c r="J2499" s="13" t="s">
        <v>5289</v>
      </c>
      <c r="K2499" s="13" t="s">
        <v>5289</v>
      </c>
      <c r="L2499" s="13" t="n">
        <v>3614228838016</v>
      </c>
      <c r="M2499" s="13"/>
      <c r="N2499" s="13" t="n">
        <v>3614228838016</v>
      </c>
      <c r="O2499" s="13"/>
      <c r="P2499" s="13" t="s">
        <v>5291</v>
      </c>
      <c r="Q2499" s="13" t="s">
        <v>5289</v>
      </c>
      <c r="R2499" s="13" t="s">
        <v>5292</v>
      </c>
      <c r="S2499" s="13" t="s">
        <v>5293</v>
      </c>
      <c r="T2499" s="13" t="s">
        <v>5</v>
      </c>
      <c r="U2499" s="13" t="s">
        <v>43</v>
      </c>
      <c r="V2499" s="13" t="n">
        <f aca="false">IF(COUNTIF($B$2:B2499,B2499)=1,1,0)</f>
        <v>0</v>
      </c>
      <c r="W2499" s="13" t="n">
        <f aca="false">IF(COUNTIFS($B$2:B2499,B2499,$T$2:T2499,T2499)=1,1,0)</f>
        <v>0</v>
      </c>
    </row>
    <row r="2500" customFormat="false" ht="15" hidden="false" customHeight="false" outlineLevel="0" collapsed="false">
      <c r="A2500" s="13" t="s">
        <v>807</v>
      </c>
      <c r="B2500" s="13" t="s">
        <v>72</v>
      </c>
      <c r="C2500" s="13" t="n">
        <v>2500</v>
      </c>
      <c r="D2500" s="13" t="n">
        <v>2</v>
      </c>
      <c r="E2500" s="13" t="n">
        <v>613.715</v>
      </c>
      <c r="F2500" s="13" t="s">
        <v>5325</v>
      </c>
      <c r="G2500" s="13" t="s">
        <v>5289</v>
      </c>
      <c r="H2500" s="13" t="s">
        <v>5289</v>
      </c>
      <c r="I2500" s="13" t="s">
        <v>5289</v>
      </c>
      <c r="J2500" s="13" t="s">
        <v>5289</v>
      </c>
      <c r="K2500" s="13" t="s">
        <v>5289</v>
      </c>
      <c r="L2500" s="13" t="n">
        <v>3614273961738</v>
      </c>
      <c r="M2500" s="13"/>
      <c r="N2500" s="13" t="n">
        <v>3614273961738</v>
      </c>
      <c r="O2500" s="13"/>
      <c r="P2500" s="13" t="s">
        <v>5291</v>
      </c>
      <c r="Q2500" s="13" t="s">
        <v>5289</v>
      </c>
      <c r="R2500" s="13" t="s">
        <v>5292</v>
      </c>
      <c r="S2500" s="13" t="s">
        <v>5293</v>
      </c>
      <c r="T2500" s="13" t="s">
        <v>5</v>
      </c>
      <c r="U2500" s="13" t="s">
        <v>43</v>
      </c>
      <c r="V2500" s="13" t="n">
        <f aca="false">IF(COUNTIF($B$2:B2500,B2500)=1,1,0)</f>
        <v>0</v>
      </c>
      <c r="W2500" s="13" t="n">
        <f aca="false">IF(COUNTIFS($B$2:B2500,B2500,$T$2:T2500,T2500)=1,1,0)</f>
        <v>0</v>
      </c>
    </row>
    <row r="2501" customFormat="false" ht="15" hidden="false" customHeight="false" outlineLevel="0" collapsed="false">
      <c r="A2501" s="13" t="s">
        <v>806</v>
      </c>
      <c r="B2501" s="13" t="s">
        <v>315</v>
      </c>
      <c r="C2501" s="13" t="n">
        <v>2500</v>
      </c>
      <c r="D2501" s="13" t="n">
        <v>2</v>
      </c>
      <c r="E2501" s="13" t="n">
        <v>817.32</v>
      </c>
      <c r="F2501" s="13" t="s">
        <v>5325</v>
      </c>
      <c r="G2501" s="13" t="s">
        <v>5289</v>
      </c>
      <c r="H2501" s="13" t="s">
        <v>5289</v>
      </c>
      <c r="I2501" s="13" t="s">
        <v>5289</v>
      </c>
      <c r="J2501" s="13" t="s">
        <v>5289</v>
      </c>
      <c r="K2501" s="13" t="s">
        <v>5289</v>
      </c>
      <c r="L2501" s="13" t="n">
        <v>3605972696984</v>
      </c>
      <c r="M2501" s="13"/>
      <c r="N2501" s="13" t="n">
        <v>3605972696984</v>
      </c>
      <c r="O2501" s="13"/>
      <c r="P2501" s="13" t="s">
        <v>5291</v>
      </c>
      <c r="Q2501" s="13" t="s">
        <v>5289</v>
      </c>
      <c r="R2501" s="13" t="s">
        <v>5292</v>
      </c>
      <c r="S2501" s="13" t="s">
        <v>5293</v>
      </c>
      <c r="T2501" s="13" t="s">
        <v>5</v>
      </c>
      <c r="U2501" s="13" t="s">
        <v>43</v>
      </c>
      <c r="V2501" s="13" t="n">
        <f aca="false">IF(COUNTIF($B$2:B2501,B2501)=1,1,0)</f>
        <v>0</v>
      </c>
      <c r="W2501" s="13" t="n">
        <f aca="false">IF(COUNTIFS($B$2:B2501,B2501,$T$2:T2501,T2501)=1,1,0)</f>
        <v>0</v>
      </c>
    </row>
    <row r="2502" customFormat="false" ht="15" hidden="false" customHeight="false" outlineLevel="0" collapsed="false">
      <c r="A2502" s="13" t="s">
        <v>813</v>
      </c>
      <c r="B2502" s="13" t="s">
        <v>362</v>
      </c>
      <c r="C2502" s="13" t="n">
        <v>2400</v>
      </c>
      <c r="D2502" s="13" t="n">
        <v>5</v>
      </c>
      <c r="E2502" s="13" t="n">
        <v>487.64</v>
      </c>
      <c r="F2502" s="13" t="s">
        <v>5325</v>
      </c>
      <c r="G2502" s="13" t="s">
        <v>5289</v>
      </c>
      <c r="H2502" s="13" t="s">
        <v>5289</v>
      </c>
      <c r="I2502" s="13" t="s">
        <v>5289</v>
      </c>
      <c r="J2502" s="13" t="s">
        <v>5289</v>
      </c>
      <c r="K2502" s="13" t="s">
        <v>5289</v>
      </c>
      <c r="L2502" s="13" t="n">
        <v>3386460155403</v>
      </c>
      <c r="M2502" s="13"/>
      <c r="N2502" s="13" t="n">
        <v>3386460155403</v>
      </c>
      <c r="O2502" s="13"/>
      <c r="P2502" s="13" t="s">
        <v>5297</v>
      </c>
      <c r="Q2502" s="13" t="s">
        <v>5289</v>
      </c>
      <c r="R2502" s="13" t="s">
        <v>5292</v>
      </c>
      <c r="S2502" s="13" t="s">
        <v>5293</v>
      </c>
      <c r="T2502" s="13" t="s">
        <v>5</v>
      </c>
      <c r="U2502" s="13" t="s">
        <v>43</v>
      </c>
      <c r="V2502" s="13" t="n">
        <f aca="false">IF(COUNTIF($B$2:B2502,B2502)=1,1,0)</f>
        <v>0</v>
      </c>
      <c r="W2502" s="13" t="n">
        <f aca="false">IF(COUNTIFS($B$2:B2502,B2502,$T$2:T2502,T2502)=1,1,0)</f>
        <v>0</v>
      </c>
    </row>
    <row r="2503" customFormat="false" ht="15" hidden="false" customHeight="false" outlineLevel="0" collapsed="false">
      <c r="A2503" s="13" t="s">
        <v>815</v>
      </c>
      <c r="B2503" s="13" t="s">
        <v>61</v>
      </c>
      <c r="C2503" s="13" t="n">
        <v>2400</v>
      </c>
      <c r="D2503" s="13" t="n">
        <v>2</v>
      </c>
      <c r="E2503" s="13" t="n">
        <v>808.306666666667</v>
      </c>
      <c r="F2503" s="13" t="s">
        <v>5325</v>
      </c>
      <c r="G2503" s="13" t="s">
        <v>5289</v>
      </c>
      <c r="H2503" s="13" t="s">
        <v>5289</v>
      </c>
      <c r="I2503" s="13" t="s">
        <v>5289</v>
      </c>
      <c r="J2503" s="13" t="s">
        <v>5289</v>
      </c>
      <c r="K2503" s="13" t="s">
        <v>5289</v>
      </c>
      <c r="L2503" s="13" t="n">
        <v>3605532024844</v>
      </c>
      <c r="M2503" s="13"/>
      <c r="N2503" s="13" t="n">
        <v>3605532024844</v>
      </c>
      <c r="O2503" s="13"/>
      <c r="P2503" s="13" t="s">
        <v>5291</v>
      </c>
      <c r="Q2503" s="13" t="s">
        <v>5289</v>
      </c>
      <c r="R2503" s="13" t="s">
        <v>5292</v>
      </c>
      <c r="S2503" s="13" t="s">
        <v>5293</v>
      </c>
      <c r="T2503" s="13" t="s">
        <v>5</v>
      </c>
      <c r="U2503" s="13" t="s">
        <v>183</v>
      </c>
      <c r="V2503" s="13" t="n">
        <f aca="false">IF(COUNTIF($B$2:B2503,B2503)=1,1,0)</f>
        <v>0</v>
      </c>
      <c r="W2503" s="13" t="n">
        <f aca="false">IF(COUNTIFS($B$2:B2503,B2503,$T$2:T2503,T2503)=1,1,0)</f>
        <v>0</v>
      </c>
    </row>
    <row r="2504" customFormat="false" ht="15" hidden="false" customHeight="false" outlineLevel="0" collapsed="false">
      <c r="A2504" s="13" t="s">
        <v>347</v>
      </c>
      <c r="B2504" s="13" t="s">
        <v>69</v>
      </c>
      <c r="C2504" s="13" t="n">
        <v>2400</v>
      </c>
      <c r="D2504" s="13" t="n">
        <v>2</v>
      </c>
      <c r="E2504" s="13" t="n">
        <v>806.013333333333</v>
      </c>
      <c r="F2504" s="13" t="s">
        <v>5325</v>
      </c>
      <c r="G2504" s="13" t="s">
        <v>5289</v>
      </c>
      <c r="H2504" s="13" t="s">
        <v>5292</v>
      </c>
      <c r="I2504" s="13" t="s">
        <v>5289</v>
      </c>
      <c r="J2504" s="13" t="s">
        <v>5289</v>
      </c>
      <c r="K2504" s="13" t="s">
        <v>5289</v>
      </c>
      <c r="L2504" s="13" t="n">
        <v>3614272648418</v>
      </c>
      <c r="M2504" s="13"/>
      <c r="N2504" s="13" t="n">
        <v>3614272648418</v>
      </c>
      <c r="O2504" s="13"/>
      <c r="P2504" s="13" t="s">
        <v>5291</v>
      </c>
      <c r="Q2504" s="13" t="s">
        <v>5289</v>
      </c>
      <c r="R2504" s="13" t="s">
        <v>5292</v>
      </c>
      <c r="S2504" s="13" t="s">
        <v>5293</v>
      </c>
      <c r="T2504" s="13" t="s">
        <v>5</v>
      </c>
      <c r="U2504" s="13" t="s">
        <v>43</v>
      </c>
      <c r="V2504" s="13" t="n">
        <f aca="false">IF(COUNTIF($B$2:B2504,B2504)=1,1,0)</f>
        <v>0</v>
      </c>
      <c r="W2504" s="13" t="n">
        <f aca="false">IF(COUNTIFS($B$2:B2504,B2504,$T$2:T2504,T2504)=1,1,0)</f>
        <v>0</v>
      </c>
    </row>
    <row r="2505" customFormat="false" ht="15" hidden="false" customHeight="false" outlineLevel="0" collapsed="false">
      <c r="A2505" s="13" t="s">
        <v>455</v>
      </c>
      <c r="B2505" s="13" t="s">
        <v>124</v>
      </c>
      <c r="C2505" s="13" t="n">
        <v>2400</v>
      </c>
      <c r="D2505" s="13" t="n">
        <v>5</v>
      </c>
      <c r="E2505" s="13" t="n">
        <v>402.933333333333</v>
      </c>
      <c r="F2505" s="13" t="s">
        <v>5325</v>
      </c>
      <c r="G2505" s="13" t="s">
        <v>5289</v>
      </c>
      <c r="H2505" s="13" t="s">
        <v>5292</v>
      </c>
      <c r="I2505" s="13" t="s">
        <v>5289</v>
      </c>
      <c r="J2505" s="13" t="s">
        <v>5289</v>
      </c>
      <c r="K2505" s="13" t="s">
        <v>5292</v>
      </c>
      <c r="L2505" s="13" t="n">
        <v>3614272907652</v>
      </c>
      <c r="M2505" s="13"/>
      <c r="N2505" s="13" t="n">
        <v>3614272907652</v>
      </c>
      <c r="O2505" s="13"/>
      <c r="P2505" s="13" t="s">
        <v>5291</v>
      </c>
      <c r="Q2505" s="13" t="s">
        <v>5289</v>
      </c>
      <c r="R2505" s="13" t="s">
        <v>5292</v>
      </c>
      <c r="S2505" s="13" t="s">
        <v>5293</v>
      </c>
      <c r="T2505" s="13" t="s">
        <v>5</v>
      </c>
      <c r="U2505" s="13" t="s">
        <v>43</v>
      </c>
      <c r="V2505" s="13" t="n">
        <f aca="false">IF(COUNTIF($B$2:B2505,B2505)=1,1,0)</f>
        <v>0</v>
      </c>
      <c r="W2505" s="13" t="n">
        <f aca="false">IF(COUNTIFS($B$2:B2505,B2505,$T$2:T2505,T2505)=1,1,0)</f>
        <v>0</v>
      </c>
    </row>
    <row r="2506" customFormat="false" ht="15" hidden="false" customHeight="false" outlineLevel="0" collapsed="false">
      <c r="A2506" s="13" t="s">
        <v>3489</v>
      </c>
      <c r="B2506" s="13" t="s">
        <v>2130</v>
      </c>
      <c r="C2506" s="13" t="n">
        <v>2400</v>
      </c>
      <c r="D2506" s="13" t="n">
        <v>2</v>
      </c>
      <c r="E2506" s="13" t="n">
        <v>1200.85</v>
      </c>
      <c r="F2506" s="13" t="s">
        <v>5325</v>
      </c>
      <c r="G2506" s="13" t="s">
        <v>5289</v>
      </c>
      <c r="H2506" s="13" t="s">
        <v>5289</v>
      </c>
      <c r="I2506" s="13" t="s">
        <v>5289</v>
      </c>
      <c r="J2506" s="13" t="s">
        <v>5289</v>
      </c>
      <c r="K2506" s="13" t="s">
        <v>5292</v>
      </c>
      <c r="L2506" s="13"/>
      <c r="M2506" s="13"/>
      <c r="N2506" s="13" t="n">
        <v>3439600048162</v>
      </c>
      <c r="O2506" s="13"/>
      <c r="P2506" s="13" t="s">
        <v>5291</v>
      </c>
      <c r="Q2506" s="13" t="s">
        <v>5289</v>
      </c>
      <c r="R2506" s="13" t="s">
        <v>5292</v>
      </c>
      <c r="S2506" s="13" t="s">
        <v>5293</v>
      </c>
      <c r="T2506" s="13" t="s">
        <v>5</v>
      </c>
      <c r="U2506" s="13" t="s">
        <v>43</v>
      </c>
      <c r="V2506" s="13" t="n">
        <f aca="false">IF(COUNTIF($B$2:B2506,B2506)=1,1,0)</f>
        <v>0</v>
      </c>
      <c r="W2506" s="13" t="n">
        <f aca="false">IF(COUNTIFS($B$2:B2506,B2506,$T$2:T2506,T2506)=1,1,0)</f>
        <v>0</v>
      </c>
    </row>
    <row r="2507" customFormat="false" ht="15" hidden="false" customHeight="false" outlineLevel="0" collapsed="false">
      <c r="A2507" s="13" t="s">
        <v>52</v>
      </c>
      <c r="B2507" s="13" t="s">
        <v>50</v>
      </c>
      <c r="C2507" s="13" t="n">
        <v>2400</v>
      </c>
      <c r="D2507" s="13" t="n">
        <v>5</v>
      </c>
      <c r="E2507" s="13" t="n">
        <v>299.98</v>
      </c>
      <c r="F2507" s="13" t="s">
        <v>5325</v>
      </c>
      <c r="G2507" s="13" t="s">
        <v>5289</v>
      </c>
      <c r="H2507" s="13" t="s">
        <v>5289</v>
      </c>
      <c r="I2507" s="13" t="s">
        <v>5289</v>
      </c>
      <c r="J2507" s="13" t="s">
        <v>5289</v>
      </c>
      <c r="K2507" s="13" t="s">
        <v>5289</v>
      </c>
      <c r="L2507" s="13" t="n">
        <v>3349668616237</v>
      </c>
      <c r="M2507" s="13"/>
      <c r="N2507" s="13" t="n">
        <v>3349668616237</v>
      </c>
      <c r="O2507" s="13"/>
      <c r="P2507" s="13" t="s">
        <v>5291</v>
      </c>
      <c r="Q2507" s="13" t="s">
        <v>5289</v>
      </c>
      <c r="R2507" s="13" t="s">
        <v>5292</v>
      </c>
      <c r="S2507" s="13" t="s">
        <v>5293</v>
      </c>
      <c r="T2507" s="13" t="s">
        <v>5</v>
      </c>
      <c r="U2507" s="13" t="s">
        <v>43</v>
      </c>
      <c r="V2507" s="13" t="n">
        <f aca="false">IF(COUNTIF($B$2:B2507,B2507)=1,1,0)</f>
        <v>0</v>
      </c>
      <c r="W2507" s="13" t="n">
        <f aca="false">IF(COUNTIFS($B$2:B2507,B2507,$T$2:T2507,T2507)=1,1,0)</f>
        <v>0</v>
      </c>
    </row>
    <row r="2508" customFormat="false" ht="15" hidden="false" customHeight="false" outlineLevel="0" collapsed="false">
      <c r="A2508" s="13" t="s">
        <v>581</v>
      </c>
      <c r="B2508" s="13" t="s">
        <v>193</v>
      </c>
      <c r="C2508" s="13" t="n">
        <v>2400</v>
      </c>
      <c r="D2508" s="13" t="n">
        <v>2</v>
      </c>
      <c r="E2508" s="13" t="n">
        <v>595.43</v>
      </c>
      <c r="F2508" s="13" t="s">
        <v>5325</v>
      </c>
      <c r="G2508" s="13" t="s">
        <v>5289</v>
      </c>
      <c r="H2508" s="13" t="s">
        <v>5292</v>
      </c>
      <c r="I2508" s="13" t="s">
        <v>5289</v>
      </c>
      <c r="J2508" s="13" t="s">
        <v>5289</v>
      </c>
      <c r="K2508" s="13" t="s">
        <v>5289</v>
      </c>
      <c r="L2508" s="13" t="n">
        <v>7908966570472</v>
      </c>
      <c r="M2508" s="13"/>
      <c r="N2508" s="13" t="n">
        <v>7908966570472</v>
      </c>
      <c r="O2508" s="13"/>
      <c r="P2508" s="13" t="s">
        <v>5291</v>
      </c>
      <c r="Q2508" s="13" t="s">
        <v>5289</v>
      </c>
      <c r="R2508" s="13" t="s">
        <v>5292</v>
      </c>
      <c r="S2508" s="13" t="s">
        <v>5293</v>
      </c>
      <c r="T2508" s="13" t="s">
        <v>5</v>
      </c>
      <c r="U2508" s="13" t="s">
        <v>43</v>
      </c>
      <c r="V2508" s="13" t="n">
        <f aca="false">IF(COUNTIF($B$2:B2508,B2508)=1,1,0)</f>
        <v>0</v>
      </c>
      <c r="W2508" s="13" t="n">
        <f aca="false">IF(COUNTIFS($B$2:B2508,B2508,$T$2:T2508,T2508)=1,1,0)</f>
        <v>0</v>
      </c>
    </row>
    <row r="2509" customFormat="false" ht="15" hidden="false" customHeight="false" outlineLevel="0" collapsed="false">
      <c r="A2509" s="13" t="s">
        <v>3448</v>
      </c>
      <c r="B2509" s="13" t="s">
        <v>2164</v>
      </c>
      <c r="C2509" s="13" t="n">
        <v>2400</v>
      </c>
      <c r="D2509" s="13" t="n">
        <v>30</v>
      </c>
      <c r="E2509" s="13" t="n">
        <v>91.34</v>
      </c>
      <c r="F2509" s="13" t="s">
        <v>5288</v>
      </c>
      <c r="G2509" s="13" t="s">
        <v>5289</v>
      </c>
      <c r="H2509" s="13" t="s">
        <v>5289</v>
      </c>
      <c r="I2509" s="13" t="s">
        <v>5289</v>
      </c>
      <c r="J2509" s="13" t="s">
        <v>5289</v>
      </c>
      <c r="K2509" s="13" t="s">
        <v>5289</v>
      </c>
      <c r="L2509" s="13"/>
      <c r="M2509" s="13"/>
      <c r="N2509" s="13" t="n">
        <v>3616305447197</v>
      </c>
      <c r="O2509" s="13"/>
      <c r="P2509" s="13" t="s">
        <v>5291</v>
      </c>
      <c r="Q2509" s="13" t="s">
        <v>5289</v>
      </c>
      <c r="R2509" s="13" t="s">
        <v>5292</v>
      </c>
      <c r="S2509" s="13" t="s">
        <v>5293</v>
      </c>
      <c r="T2509" s="13" t="s">
        <v>5</v>
      </c>
      <c r="U2509" s="13" t="s">
        <v>43</v>
      </c>
      <c r="V2509" s="13" t="n">
        <f aca="false">IF(COUNTIF($B$2:B2509,B2509)=1,1,0)</f>
        <v>1</v>
      </c>
      <c r="W2509" s="13" t="n">
        <f aca="false">IF(COUNTIFS($B$2:B2509,B2509,$T$2:T2509,T2509)=1,1,0)</f>
        <v>1</v>
      </c>
    </row>
    <row r="2510" customFormat="false" ht="15" hidden="false" customHeight="false" outlineLevel="0" collapsed="false">
      <c r="A2510" s="13" t="s">
        <v>272</v>
      </c>
      <c r="B2510" s="13" t="s">
        <v>50</v>
      </c>
      <c r="C2510" s="13" t="n">
        <v>2400</v>
      </c>
      <c r="D2510" s="13" t="n">
        <v>5</v>
      </c>
      <c r="E2510" s="13" t="n">
        <v>474</v>
      </c>
      <c r="F2510" s="13" t="s">
        <v>5325</v>
      </c>
      <c r="G2510" s="13" t="s">
        <v>5292</v>
      </c>
      <c r="H2510" s="13" t="s">
        <v>5292</v>
      </c>
      <c r="I2510" s="13" t="s">
        <v>5289</v>
      </c>
      <c r="J2510" s="13" t="s">
        <v>5289</v>
      </c>
      <c r="K2510" s="13" t="s">
        <v>5289</v>
      </c>
      <c r="L2510" s="13"/>
      <c r="M2510" s="13"/>
      <c r="N2510" s="13" t="n">
        <v>3349668614479</v>
      </c>
      <c r="O2510" s="13"/>
      <c r="P2510" s="13" t="s">
        <v>5291</v>
      </c>
      <c r="Q2510" s="13" t="s">
        <v>5289</v>
      </c>
      <c r="R2510" s="13" t="s">
        <v>5292</v>
      </c>
      <c r="S2510" s="13" t="s">
        <v>5293</v>
      </c>
      <c r="T2510" s="13" t="s">
        <v>5</v>
      </c>
      <c r="U2510" s="13" t="s">
        <v>43</v>
      </c>
      <c r="V2510" s="13" t="n">
        <f aca="false">IF(COUNTIF($B$2:B2510,B2510)=1,1,0)</f>
        <v>0</v>
      </c>
      <c r="W2510" s="13" t="n">
        <f aca="false">IF(COUNTIFS($B$2:B2510,B2510,$T$2:T2510,T2510)=1,1,0)</f>
        <v>0</v>
      </c>
    </row>
    <row r="2511" customFormat="false" ht="15" hidden="false" customHeight="false" outlineLevel="0" collapsed="false">
      <c r="A2511" s="13" t="s">
        <v>816</v>
      </c>
      <c r="B2511" s="13" t="s">
        <v>42</v>
      </c>
      <c r="C2511" s="13" t="n">
        <v>2400</v>
      </c>
      <c r="D2511" s="13" t="n">
        <v>5</v>
      </c>
      <c r="E2511" s="13" t="n">
        <v>236.08</v>
      </c>
      <c r="F2511" s="13" t="s">
        <v>5325</v>
      </c>
      <c r="G2511" s="13" t="s">
        <v>5292</v>
      </c>
      <c r="H2511" s="13" t="s">
        <v>5289</v>
      </c>
      <c r="I2511" s="13" t="s">
        <v>5289</v>
      </c>
      <c r="J2511" s="13" t="s">
        <v>5289</v>
      </c>
      <c r="K2511" s="13" t="s">
        <v>5289</v>
      </c>
      <c r="L2511" s="13"/>
      <c r="M2511" s="13"/>
      <c r="N2511" s="13" t="n">
        <v>8411061023167</v>
      </c>
      <c r="O2511" s="13"/>
      <c r="P2511" s="13" t="s">
        <v>5291</v>
      </c>
      <c r="Q2511" s="13" t="s">
        <v>5289</v>
      </c>
      <c r="R2511" s="13" t="s">
        <v>5292</v>
      </c>
      <c r="S2511" s="13" t="s">
        <v>5293</v>
      </c>
      <c r="T2511" s="13" t="s">
        <v>5</v>
      </c>
      <c r="U2511" s="13" t="s">
        <v>43</v>
      </c>
      <c r="V2511" s="13" t="n">
        <f aca="false">IF(COUNTIF($B$2:B2511,B2511)=1,1,0)</f>
        <v>0</v>
      </c>
      <c r="W2511" s="13" t="n">
        <f aca="false">IF(COUNTIFS($B$2:B2511,B2511,$T$2:T2511,T2511)=1,1,0)</f>
        <v>0</v>
      </c>
    </row>
    <row r="2512" customFormat="false" ht="15" hidden="false" customHeight="false" outlineLevel="0" collapsed="false">
      <c r="A2512" s="13" t="s">
        <v>812</v>
      </c>
      <c r="B2512" s="13" t="s">
        <v>45</v>
      </c>
      <c r="C2512" s="13" t="n">
        <v>2400</v>
      </c>
      <c r="D2512" s="13" t="n">
        <v>2</v>
      </c>
      <c r="E2512" s="13" t="n">
        <v>786</v>
      </c>
      <c r="F2512" s="13" t="s">
        <v>5288</v>
      </c>
      <c r="G2512" s="13" t="s">
        <v>5289</v>
      </c>
      <c r="H2512" s="13" t="s">
        <v>5289</v>
      </c>
      <c r="I2512" s="13" t="s">
        <v>5289</v>
      </c>
      <c r="J2512" s="13" t="s">
        <v>5289</v>
      </c>
      <c r="K2512" s="13" t="s">
        <v>5289</v>
      </c>
      <c r="L2512" s="13" t="n">
        <v>8435415114011</v>
      </c>
      <c r="M2512" s="13"/>
      <c r="N2512" s="13" t="n">
        <v>8435415114011</v>
      </c>
      <c r="O2512" s="13"/>
      <c r="P2512" s="13" t="s">
        <v>5291</v>
      </c>
      <c r="Q2512" s="13" t="s">
        <v>5289</v>
      </c>
      <c r="R2512" s="13" t="s">
        <v>5292</v>
      </c>
      <c r="S2512" s="13" t="s">
        <v>5293</v>
      </c>
      <c r="T2512" s="13" t="s">
        <v>5</v>
      </c>
      <c r="U2512" s="13" t="s">
        <v>43</v>
      </c>
      <c r="V2512" s="13" t="n">
        <f aca="false">IF(COUNTIF($B$2:B2512,B2512)=1,1,0)</f>
        <v>0</v>
      </c>
      <c r="W2512" s="13" t="n">
        <f aca="false">IF(COUNTIFS($B$2:B2512,B2512,$T$2:T2512,T2512)=1,1,0)</f>
        <v>0</v>
      </c>
    </row>
    <row r="2513" customFormat="false" ht="15" hidden="false" customHeight="false" outlineLevel="0" collapsed="false">
      <c r="A2513" s="13" t="s">
        <v>294</v>
      </c>
      <c r="B2513" s="13" t="s">
        <v>50</v>
      </c>
      <c r="C2513" s="13" t="n">
        <v>2400</v>
      </c>
      <c r="D2513" s="13" t="n">
        <v>2</v>
      </c>
      <c r="E2513" s="13" t="n">
        <v>786</v>
      </c>
      <c r="F2513" s="13" t="s">
        <v>5325</v>
      </c>
      <c r="G2513" s="13" t="s">
        <v>5292</v>
      </c>
      <c r="H2513" s="13" t="s">
        <v>5289</v>
      </c>
      <c r="I2513" s="13" t="s">
        <v>5289</v>
      </c>
      <c r="J2513" s="13" t="s">
        <v>5289</v>
      </c>
      <c r="K2513" s="13" t="s">
        <v>5289</v>
      </c>
      <c r="L2513" s="13"/>
      <c r="M2513" s="13"/>
      <c r="N2513" s="13" t="n">
        <v>3349668641840</v>
      </c>
      <c r="O2513" s="13"/>
      <c r="P2513" s="13" t="s">
        <v>5291</v>
      </c>
      <c r="Q2513" s="13" t="s">
        <v>5289</v>
      </c>
      <c r="R2513" s="13" t="s">
        <v>5292</v>
      </c>
      <c r="S2513" s="13" t="s">
        <v>5293</v>
      </c>
      <c r="T2513" s="13" t="s">
        <v>5</v>
      </c>
      <c r="U2513" s="13" t="s">
        <v>43</v>
      </c>
      <c r="V2513" s="13" t="n">
        <f aca="false">IF(COUNTIF($B$2:B2513,B2513)=1,1,0)</f>
        <v>0</v>
      </c>
      <c r="W2513" s="13" t="n">
        <f aca="false">IF(COUNTIFS($B$2:B2513,B2513,$T$2:T2513,T2513)=1,1,0)</f>
        <v>0</v>
      </c>
    </row>
    <row r="2514" customFormat="false" ht="15" hidden="false" customHeight="false" outlineLevel="0" collapsed="false">
      <c r="A2514" s="13" t="s">
        <v>245</v>
      </c>
      <c r="B2514" s="13" t="s">
        <v>61</v>
      </c>
      <c r="C2514" s="13" t="n">
        <v>2300</v>
      </c>
      <c r="D2514" s="13" t="n">
        <v>2</v>
      </c>
      <c r="E2514" s="13" t="n">
        <v>587.3075</v>
      </c>
      <c r="F2514" s="13" t="s">
        <v>5325</v>
      </c>
      <c r="G2514" s="13" t="s">
        <v>5292</v>
      </c>
      <c r="H2514" s="13" t="s">
        <v>5289</v>
      </c>
      <c r="I2514" s="13" t="s">
        <v>5289</v>
      </c>
      <c r="J2514" s="13" t="s">
        <v>5289</v>
      </c>
      <c r="K2514" s="13" t="s">
        <v>5289</v>
      </c>
      <c r="L2514" s="13"/>
      <c r="M2514" s="13"/>
      <c r="N2514" s="13" t="n">
        <v>3614272629370</v>
      </c>
      <c r="O2514" s="13"/>
      <c r="P2514" s="13" t="s">
        <v>5291</v>
      </c>
      <c r="Q2514" s="13" t="s">
        <v>5289</v>
      </c>
      <c r="R2514" s="13" t="s">
        <v>5292</v>
      </c>
      <c r="S2514" s="13" t="s">
        <v>5293</v>
      </c>
      <c r="T2514" s="13" t="s">
        <v>5</v>
      </c>
      <c r="U2514" s="13" t="s">
        <v>43</v>
      </c>
      <c r="V2514" s="13" t="n">
        <f aca="false">IF(COUNTIF($B$2:B2514,B2514)=1,1,0)</f>
        <v>0</v>
      </c>
      <c r="W2514" s="13" t="n">
        <f aca="false">IF(COUNTIFS($B$2:B2514,B2514,$T$2:T2514,T2514)=1,1,0)</f>
        <v>0</v>
      </c>
    </row>
    <row r="2515" customFormat="false" ht="15" hidden="false" customHeight="false" outlineLevel="0" collapsed="false">
      <c r="A2515" s="13" t="s">
        <v>834</v>
      </c>
      <c r="B2515" s="13" t="s">
        <v>42</v>
      </c>
      <c r="C2515" s="13" t="n">
        <v>2300</v>
      </c>
      <c r="D2515" s="13" t="n">
        <v>5</v>
      </c>
      <c r="E2515" s="13" t="n">
        <v>468.85</v>
      </c>
      <c r="F2515" s="13" t="s">
        <v>5325</v>
      </c>
      <c r="G2515" s="13" t="s">
        <v>5289</v>
      </c>
      <c r="H2515" s="13" t="s">
        <v>5289</v>
      </c>
      <c r="I2515" s="13" t="s">
        <v>5289</v>
      </c>
      <c r="J2515" s="13" t="s">
        <v>5289</v>
      </c>
      <c r="K2515" s="13" t="s">
        <v>5292</v>
      </c>
      <c r="L2515" s="13" t="n">
        <v>8411061111369</v>
      </c>
      <c r="M2515" s="13"/>
      <c r="N2515" s="13" t="n">
        <v>8411061111369</v>
      </c>
      <c r="O2515" s="13"/>
      <c r="P2515" s="13" t="s">
        <v>5291</v>
      </c>
      <c r="Q2515" s="13" t="s">
        <v>5289</v>
      </c>
      <c r="R2515" s="13" t="s">
        <v>5292</v>
      </c>
      <c r="S2515" s="13" t="s">
        <v>5293</v>
      </c>
      <c r="T2515" s="13" t="s">
        <v>5</v>
      </c>
      <c r="U2515" s="13" t="s">
        <v>129</v>
      </c>
      <c r="V2515" s="13" t="n">
        <f aca="false">IF(COUNTIF($B$2:B2515,B2515)=1,1,0)</f>
        <v>0</v>
      </c>
      <c r="W2515" s="13" t="n">
        <f aca="false">IF(COUNTIFS($B$2:B2515,B2515,$T$2:T2515,T2515)=1,1,0)</f>
        <v>0</v>
      </c>
    </row>
    <row r="2516" customFormat="false" ht="15" hidden="false" customHeight="false" outlineLevel="0" collapsed="false">
      <c r="A2516" s="13" t="s">
        <v>851</v>
      </c>
      <c r="B2516" s="13" t="s">
        <v>124</v>
      </c>
      <c r="C2516" s="13" t="n">
        <v>2300</v>
      </c>
      <c r="D2516" s="13" t="n">
        <v>5</v>
      </c>
      <c r="E2516" s="13" t="n">
        <v>468.51</v>
      </c>
      <c r="F2516" s="13" t="s">
        <v>5325</v>
      </c>
      <c r="G2516" s="13" t="s">
        <v>5289</v>
      </c>
      <c r="H2516" s="13" t="s">
        <v>5289</v>
      </c>
      <c r="I2516" s="13" t="s">
        <v>5289</v>
      </c>
      <c r="J2516" s="13" t="s">
        <v>5289</v>
      </c>
      <c r="K2516" s="13" t="s">
        <v>5289</v>
      </c>
      <c r="L2516" s="13" t="n">
        <v>3614273734882</v>
      </c>
      <c r="M2516" s="13"/>
      <c r="N2516" s="13" t="n">
        <v>3614273734882</v>
      </c>
      <c r="O2516" s="13"/>
      <c r="P2516" s="13" t="s">
        <v>5291</v>
      </c>
      <c r="Q2516" s="13" t="s">
        <v>5289</v>
      </c>
      <c r="R2516" s="13" t="s">
        <v>5292</v>
      </c>
      <c r="S2516" s="13" t="s">
        <v>5293</v>
      </c>
      <c r="T2516" s="13" t="s">
        <v>5</v>
      </c>
      <c r="U2516" s="13" t="s">
        <v>43</v>
      </c>
      <c r="V2516" s="13" t="n">
        <f aca="false">IF(COUNTIF($B$2:B2516,B2516)=1,1,0)</f>
        <v>0</v>
      </c>
      <c r="W2516" s="13" t="n">
        <f aca="false">IF(COUNTIFS($B$2:B2516,B2516,$T$2:T2516,T2516)=1,1,0)</f>
        <v>0</v>
      </c>
    </row>
    <row r="2517" customFormat="false" ht="15" hidden="false" customHeight="false" outlineLevel="0" collapsed="false">
      <c r="A2517" s="13" t="s">
        <v>504</v>
      </c>
      <c r="B2517" s="13" t="s">
        <v>105</v>
      </c>
      <c r="C2517" s="13" t="n">
        <v>2300</v>
      </c>
      <c r="D2517" s="13" t="n">
        <v>5</v>
      </c>
      <c r="E2517" s="13" t="n">
        <v>390.07</v>
      </c>
      <c r="F2517" s="13" t="s">
        <v>5325</v>
      </c>
      <c r="G2517" s="13" t="s">
        <v>5292</v>
      </c>
      <c r="H2517" s="13" t="s">
        <v>5289</v>
      </c>
      <c r="I2517" s="13" t="s">
        <v>5289</v>
      </c>
      <c r="J2517" s="13" t="s">
        <v>5289</v>
      </c>
      <c r="K2517" s="13" t="s">
        <v>5289</v>
      </c>
      <c r="L2517" s="13" t="n">
        <v>3614229823776</v>
      </c>
      <c r="M2517" s="13"/>
      <c r="N2517" s="13" t="n">
        <v>3614229823776</v>
      </c>
      <c r="O2517" s="13"/>
      <c r="P2517" s="13" t="s">
        <v>5291</v>
      </c>
      <c r="Q2517" s="13" t="s">
        <v>5289</v>
      </c>
      <c r="R2517" s="13" t="s">
        <v>5292</v>
      </c>
      <c r="S2517" s="13" t="s">
        <v>5293</v>
      </c>
      <c r="T2517" s="13" t="s">
        <v>5</v>
      </c>
      <c r="U2517" s="13" t="s">
        <v>43</v>
      </c>
      <c r="V2517" s="13" t="n">
        <f aca="false">IF(COUNTIF($B$2:B2517,B2517)=1,1,0)</f>
        <v>0</v>
      </c>
      <c r="W2517" s="13" t="n">
        <f aca="false">IF(COUNTIFS($B$2:B2517,B2517,$T$2:T2517,T2517)=1,1,0)</f>
        <v>0</v>
      </c>
    </row>
    <row r="2518" customFormat="false" ht="15" hidden="false" customHeight="false" outlineLevel="0" collapsed="false">
      <c r="A2518" s="13" t="s">
        <v>836</v>
      </c>
      <c r="B2518" s="13" t="s">
        <v>45</v>
      </c>
      <c r="C2518" s="13" t="n">
        <v>2300</v>
      </c>
      <c r="D2518" s="13" t="n">
        <v>2</v>
      </c>
      <c r="E2518" s="13" t="n">
        <v>776.283333333333</v>
      </c>
      <c r="F2518" s="13" t="s">
        <v>5288</v>
      </c>
      <c r="G2518" s="13" t="s">
        <v>5289</v>
      </c>
      <c r="H2518" s="13" t="s">
        <v>5292</v>
      </c>
      <c r="I2518" s="13" t="s">
        <v>5289</v>
      </c>
      <c r="J2518" s="13" t="s">
        <v>5289</v>
      </c>
      <c r="K2518" s="13" t="s">
        <v>5289</v>
      </c>
      <c r="L2518" s="13" t="n">
        <v>8435415102704</v>
      </c>
      <c r="M2518" s="13"/>
      <c r="N2518" s="13" t="n">
        <v>8.4354151027048E+025</v>
      </c>
      <c r="O2518" s="13"/>
      <c r="P2518" s="13" t="s">
        <v>5291</v>
      </c>
      <c r="Q2518" s="13" t="s">
        <v>5289</v>
      </c>
      <c r="R2518" s="13" t="s">
        <v>5292</v>
      </c>
      <c r="S2518" s="13" t="s">
        <v>5293</v>
      </c>
      <c r="T2518" s="13" t="s">
        <v>5</v>
      </c>
      <c r="U2518" s="13" t="s">
        <v>43</v>
      </c>
      <c r="V2518" s="13" t="n">
        <f aca="false">IF(COUNTIF($B$2:B2518,B2518)=1,1,0)</f>
        <v>0</v>
      </c>
      <c r="W2518" s="13" t="n">
        <f aca="false">IF(COUNTIFS($B$2:B2518,B2518,$T$2:T2518,T2518)=1,1,0)</f>
        <v>0</v>
      </c>
    </row>
    <row r="2519" customFormat="false" ht="15" hidden="false" customHeight="false" outlineLevel="0" collapsed="false">
      <c r="A2519" s="13" t="s">
        <v>837</v>
      </c>
      <c r="B2519" s="13" t="s">
        <v>50</v>
      </c>
      <c r="C2519" s="13" t="n">
        <v>2300</v>
      </c>
      <c r="D2519" s="13" t="n">
        <v>2</v>
      </c>
      <c r="E2519" s="13" t="n">
        <v>774</v>
      </c>
      <c r="F2519" s="13" t="s">
        <v>5325</v>
      </c>
      <c r="G2519" s="13" t="s">
        <v>5289</v>
      </c>
      <c r="H2519" s="13" t="s">
        <v>5292</v>
      </c>
      <c r="I2519" s="13" t="s">
        <v>5289</v>
      </c>
      <c r="J2519" s="13" t="s">
        <v>5289</v>
      </c>
      <c r="K2519" s="13" t="s">
        <v>5289</v>
      </c>
      <c r="L2519" s="13" t="n">
        <v>3349668627547</v>
      </c>
      <c r="M2519" s="13"/>
      <c r="N2519" s="13" t="n">
        <v>3349668627547</v>
      </c>
      <c r="O2519" s="13"/>
      <c r="P2519" s="13" t="s">
        <v>5291</v>
      </c>
      <c r="Q2519" s="13" t="s">
        <v>5289</v>
      </c>
      <c r="R2519" s="13" t="s">
        <v>5292</v>
      </c>
      <c r="S2519" s="13" t="s">
        <v>5293</v>
      </c>
      <c r="T2519" s="13" t="s">
        <v>5</v>
      </c>
      <c r="U2519" s="13" t="s">
        <v>43</v>
      </c>
      <c r="V2519" s="13" t="n">
        <f aca="false">IF(COUNTIF($B$2:B2519,B2519)=1,1,0)</f>
        <v>0</v>
      </c>
      <c r="W2519" s="13" t="n">
        <f aca="false">IF(COUNTIFS($B$2:B2519,B2519,$T$2:T2519,T2519)=1,1,0)</f>
        <v>0</v>
      </c>
    </row>
    <row r="2520" customFormat="false" ht="15" hidden="false" customHeight="false" outlineLevel="0" collapsed="false">
      <c r="A2520" s="13" t="s">
        <v>848</v>
      </c>
      <c r="B2520" s="13" t="s">
        <v>630</v>
      </c>
      <c r="C2520" s="13" t="n">
        <v>2300</v>
      </c>
      <c r="D2520" s="13" t="n">
        <v>20</v>
      </c>
      <c r="E2520" s="13" t="n">
        <v>145</v>
      </c>
      <c r="F2520" s="13" t="s">
        <v>5288</v>
      </c>
      <c r="G2520" s="13" t="s">
        <v>5289</v>
      </c>
      <c r="H2520" s="13" t="s">
        <v>5289</v>
      </c>
      <c r="I2520" s="13" t="s">
        <v>5289</v>
      </c>
      <c r="J2520" s="13" t="s">
        <v>5289</v>
      </c>
      <c r="K2520" s="13" t="s">
        <v>5289</v>
      </c>
      <c r="L2520" s="13" t="n">
        <v>8433982017100</v>
      </c>
      <c r="M2520" s="13"/>
      <c r="N2520" s="13" t="n">
        <v>8433982017100</v>
      </c>
      <c r="O2520" s="13"/>
      <c r="P2520" s="13" t="s">
        <v>5291</v>
      </c>
      <c r="Q2520" s="13" t="s">
        <v>5289</v>
      </c>
      <c r="R2520" s="13" t="s">
        <v>5292</v>
      </c>
      <c r="S2520" s="13" t="s">
        <v>5293</v>
      </c>
      <c r="T2520" s="13" t="s">
        <v>5</v>
      </c>
      <c r="U2520" s="13" t="s">
        <v>43</v>
      </c>
      <c r="V2520" s="13" t="n">
        <f aca="false">IF(COUNTIF($B$2:B2520,B2520)=1,1,0)</f>
        <v>0</v>
      </c>
      <c r="W2520" s="13" t="n">
        <f aca="false">IF(COUNTIFS($B$2:B2520,B2520,$T$2:T2520,T2520)=1,1,0)</f>
        <v>0</v>
      </c>
    </row>
    <row r="2521" customFormat="false" ht="15" hidden="false" customHeight="false" outlineLevel="0" collapsed="false">
      <c r="A2521" s="13" t="s">
        <v>849</v>
      </c>
      <c r="B2521" s="13" t="s">
        <v>177</v>
      </c>
      <c r="C2521" s="13" t="n">
        <v>2300</v>
      </c>
      <c r="D2521" s="13" t="n">
        <v>2</v>
      </c>
      <c r="E2521" s="13" t="n">
        <v>773.1</v>
      </c>
      <c r="F2521" s="13" t="s">
        <v>5325</v>
      </c>
      <c r="G2521" s="13" t="s">
        <v>5289</v>
      </c>
      <c r="H2521" s="13" t="s">
        <v>5289</v>
      </c>
      <c r="I2521" s="13" t="s">
        <v>5289</v>
      </c>
      <c r="J2521" s="13" t="s">
        <v>5289</v>
      </c>
      <c r="K2521" s="13" t="s">
        <v>5289</v>
      </c>
      <c r="L2521" s="13"/>
      <c r="M2521" s="13"/>
      <c r="N2521" s="13" t="n">
        <v>3616306115934</v>
      </c>
      <c r="O2521" s="13"/>
      <c r="P2521" s="13" t="s">
        <v>5291</v>
      </c>
      <c r="Q2521" s="13" t="s">
        <v>5289</v>
      </c>
      <c r="R2521" s="13" t="s">
        <v>5292</v>
      </c>
      <c r="S2521" s="13" t="s">
        <v>5293</v>
      </c>
      <c r="T2521" s="13" t="s">
        <v>5</v>
      </c>
      <c r="U2521" s="13" t="s">
        <v>43</v>
      </c>
      <c r="V2521" s="13" t="n">
        <f aca="false">IF(COUNTIF($B$2:B2521,B2521)=1,1,0)</f>
        <v>0</v>
      </c>
      <c r="W2521" s="13" t="n">
        <f aca="false">IF(COUNTIFS($B$2:B2521,B2521,$T$2:T2521,T2521)=1,1,0)</f>
        <v>0</v>
      </c>
    </row>
    <row r="2522" customFormat="false" ht="15" hidden="false" customHeight="false" outlineLevel="0" collapsed="false">
      <c r="A2522" s="13" t="s">
        <v>847</v>
      </c>
      <c r="B2522" s="13" t="s">
        <v>42</v>
      </c>
      <c r="C2522" s="13" t="n">
        <v>2300</v>
      </c>
      <c r="D2522" s="13" t="n">
        <v>2</v>
      </c>
      <c r="E2522" s="13" t="n">
        <v>771</v>
      </c>
      <c r="F2522" s="13" t="s">
        <v>5325</v>
      </c>
      <c r="G2522" s="13" t="s">
        <v>5289</v>
      </c>
      <c r="H2522" s="13" t="s">
        <v>5292</v>
      </c>
      <c r="I2522" s="13" t="s">
        <v>5289</v>
      </c>
      <c r="J2522" s="13" t="s">
        <v>5289</v>
      </c>
      <c r="K2522" s="13" t="s">
        <v>5289</v>
      </c>
      <c r="L2522" s="13" t="n">
        <v>8411061083659</v>
      </c>
      <c r="M2522" s="13"/>
      <c r="N2522" s="13" t="n">
        <v>8411061083659</v>
      </c>
      <c r="O2522" s="13"/>
      <c r="P2522" s="13" t="s">
        <v>5291</v>
      </c>
      <c r="Q2522" s="13" t="s">
        <v>5289</v>
      </c>
      <c r="R2522" s="13" t="s">
        <v>5292</v>
      </c>
      <c r="S2522" s="13" t="s">
        <v>5293</v>
      </c>
      <c r="T2522" s="13" t="s">
        <v>5</v>
      </c>
      <c r="U2522" s="13" t="s">
        <v>43</v>
      </c>
      <c r="V2522" s="13" t="n">
        <f aca="false">IF(COUNTIF($B$2:B2522,B2522)=1,1,0)</f>
        <v>0</v>
      </c>
      <c r="W2522" s="13" t="n">
        <f aca="false">IF(COUNTIFS($B$2:B2522,B2522,$T$2:T2522,T2522)=1,1,0)</f>
        <v>0</v>
      </c>
    </row>
    <row r="2523" customFormat="false" ht="15" hidden="false" customHeight="false" outlineLevel="0" collapsed="false">
      <c r="A2523" s="13" t="s">
        <v>835</v>
      </c>
      <c r="B2523" s="13" t="s">
        <v>42</v>
      </c>
      <c r="C2523" s="13" t="n">
        <v>2300</v>
      </c>
      <c r="D2523" s="13" t="n">
        <v>2</v>
      </c>
      <c r="E2523" s="13" t="n">
        <v>769.556666666667</v>
      </c>
      <c r="F2523" s="13" t="s">
        <v>5325</v>
      </c>
      <c r="G2523" s="13" t="s">
        <v>5289</v>
      </c>
      <c r="H2523" s="13" t="s">
        <v>5292</v>
      </c>
      <c r="I2523" s="13" t="s">
        <v>5289</v>
      </c>
      <c r="J2523" s="13" t="s">
        <v>5289</v>
      </c>
      <c r="K2523" s="13" t="s">
        <v>5292</v>
      </c>
      <c r="L2523" s="13" t="n">
        <v>8411061865439</v>
      </c>
      <c r="M2523" s="13"/>
      <c r="N2523" s="13" t="n">
        <v>8411061865439</v>
      </c>
      <c r="O2523" s="13"/>
      <c r="P2523" s="13" t="s">
        <v>5291</v>
      </c>
      <c r="Q2523" s="13" t="s">
        <v>5289</v>
      </c>
      <c r="R2523" s="13" t="s">
        <v>5292</v>
      </c>
      <c r="S2523" s="13" t="s">
        <v>5293</v>
      </c>
      <c r="T2523" s="13" t="s">
        <v>5</v>
      </c>
      <c r="U2523" s="13" t="s">
        <v>43</v>
      </c>
      <c r="V2523" s="13" t="n">
        <f aca="false">IF(COUNTIF($B$2:B2523,B2523)=1,1,0)</f>
        <v>0</v>
      </c>
      <c r="W2523" s="13" t="n">
        <f aca="false">IF(COUNTIFS($B$2:B2523,B2523,$T$2:T2523,T2523)=1,1,0)</f>
        <v>0</v>
      </c>
    </row>
    <row r="2524" customFormat="false" ht="15" hidden="false" customHeight="false" outlineLevel="0" collapsed="false">
      <c r="A2524" s="13" t="s">
        <v>841</v>
      </c>
      <c r="B2524" s="13" t="s">
        <v>153</v>
      </c>
      <c r="C2524" s="13" t="n">
        <v>2300</v>
      </c>
      <c r="D2524" s="13" t="n">
        <v>2</v>
      </c>
      <c r="E2524" s="13" t="n">
        <v>575.17</v>
      </c>
      <c r="F2524" s="13" t="s">
        <v>5325</v>
      </c>
      <c r="G2524" s="13" t="s">
        <v>5289</v>
      </c>
      <c r="H2524" s="13" t="s">
        <v>5292</v>
      </c>
      <c r="I2524" s="13" t="s">
        <v>5289</v>
      </c>
      <c r="J2524" s="13" t="s">
        <v>5289</v>
      </c>
      <c r="K2524" s="13" t="s">
        <v>5289</v>
      </c>
      <c r="L2524" s="13" t="n">
        <v>8018365071469</v>
      </c>
      <c r="M2524" s="13"/>
      <c r="N2524" s="13" t="n">
        <v>8018365071469</v>
      </c>
      <c r="O2524" s="13"/>
      <c r="P2524" s="13" t="s">
        <v>5291</v>
      </c>
      <c r="Q2524" s="13" t="s">
        <v>5289</v>
      </c>
      <c r="R2524" s="13" t="s">
        <v>5292</v>
      </c>
      <c r="S2524" s="13" t="s">
        <v>5293</v>
      </c>
      <c r="T2524" s="13" t="s">
        <v>5</v>
      </c>
      <c r="U2524" s="13" t="s">
        <v>43</v>
      </c>
      <c r="V2524" s="13" t="n">
        <f aca="false">IF(COUNTIF($B$2:B2524,B2524)=1,1,0)</f>
        <v>0</v>
      </c>
      <c r="W2524" s="13" t="n">
        <f aca="false">IF(COUNTIFS($B$2:B2524,B2524,$T$2:T2524,T2524)=1,1,0)</f>
        <v>0</v>
      </c>
    </row>
    <row r="2525" customFormat="false" ht="15" hidden="false" customHeight="false" outlineLevel="0" collapsed="false">
      <c r="A2525" s="13" t="s">
        <v>842</v>
      </c>
      <c r="B2525" s="13" t="s">
        <v>69</v>
      </c>
      <c r="C2525" s="13" t="n">
        <v>2300</v>
      </c>
      <c r="D2525" s="13" t="n">
        <v>2</v>
      </c>
      <c r="E2525" s="13" t="n">
        <v>1149.24</v>
      </c>
      <c r="F2525" s="13" t="s">
        <v>5325</v>
      </c>
      <c r="G2525" s="13" t="s">
        <v>5289</v>
      </c>
      <c r="H2525" s="13" t="s">
        <v>5289</v>
      </c>
      <c r="I2525" s="13" t="s">
        <v>5289</v>
      </c>
      <c r="J2525" s="13" t="s">
        <v>5289</v>
      </c>
      <c r="K2525" s="13" t="s">
        <v>5289</v>
      </c>
      <c r="L2525" s="13" t="n">
        <v>3614274329384</v>
      </c>
      <c r="M2525" s="13"/>
      <c r="N2525" s="13" t="n">
        <v>3614274329384</v>
      </c>
      <c r="O2525" s="13"/>
      <c r="P2525" s="13" t="s">
        <v>5291</v>
      </c>
      <c r="Q2525" s="13" t="s">
        <v>5289</v>
      </c>
      <c r="R2525" s="13" t="s">
        <v>5292</v>
      </c>
      <c r="S2525" s="13" t="s">
        <v>5293</v>
      </c>
      <c r="T2525" s="13" t="s">
        <v>5</v>
      </c>
      <c r="U2525" s="13" t="s">
        <v>43</v>
      </c>
      <c r="V2525" s="13" t="n">
        <f aca="false">IF(COUNTIF($B$2:B2525,B2525)=1,1,0)</f>
        <v>0</v>
      </c>
      <c r="W2525" s="13" t="n">
        <f aca="false">IF(COUNTIFS($B$2:B2525,B2525,$T$2:T2525,T2525)=1,1,0)</f>
        <v>0</v>
      </c>
    </row>
    <row r="2526" customFormat="false" ht="15" hidden="false" customHeight="false" outlineLevel="0" collapsed="false">
      <c r="A2526" s="13" t="s">
        <v>833</v>
      </c>
      <c r="B2526" s="13" t="s">
        <v>54</v>
      </c>
      <c r="C2526" s="13" t="n">
        <v>2300</v>
      </c>
      <c r="D2526" s="13" t="n">
        <v>2</v>
      </c>
      <c r="E2526" s="13" t="n">
        <v>571.85</v>
      </c>
      <c r="F2526" s="13" t="s">
        <v>5325</v>
      </c>
      <c r="G2526" s="13" t="s">
        <v>5289</v>
      </c>
      <c r="H2526" s="13" t="s">
        <v>5289</v>
      </c>
      <c r="I2526" s="13" t="s">
        <v>5289</v>
      </c>
      <c r="J2526" s="13" t="s">
        <v>5289</v>
      </c>
      <c r="K2526" s="13" t="s">
        <v>5292</v>
      </c>
      <c r="L2526" s="13" t="n">
        <v>730852172890</v>
      </c>
      <c r="M2526" s="13"/>
      <c r="N2526" s="13" t="n">
        <v>7.30852172890731E+023</v>
      </c>
      <c r="O2526" s="13"/>
      <c r="P2526" s="13" t="s">
        <v>5291</v>
      </c>
      <c r="Q2526" s="13" t="s">
        <v>5289</v>
      </c>
      <c r="R2526" s="13" t="s">
        <v>5292</v>
      </c>
      <c r="S2526" s="13" t="s">
        <v>5293</v>
      </c>
      <c r="T2526" s="13" t="s">
        <v>5</v>
      </c>
      <c r="U2526" s="13" t="s">
        <v>43</v>
      </c>
      <c r="V2526" s="13" t="n">
        <f aca="false">IF(COUNTIF($B$2:B2526,B2526)=1,1,0)</f>
        <v>0</v>
      </c>
      <c r="W2526" s="13" t="n">
        <f aca="false">IF(COUNTIFS($B$2:B2526,B2526,$T$2:T2526,T2526)=1,1,0)</f>
        <v>0</v>
      </c>
    </row>
    <row r="2527" customFormat="false" ht="15" hidden="false" customHeight="false" outlineLevel="0" collapsed="false">
      <c r="A2527" s="13" t="s">
        <v>845</v>
      </c>
      <c r="B2527" s="13" t="s">
        <v>153</v>
      </c>
      <c r="C2527" s="13" t="n">
        <v>2300</v>
      </c>
      <c r="D2527" s="13" t="n">
        <v>5</v>
      </c>
      <c r="E2527" s="13" t="n">
        <v>285.84</v>
      </c>
      <c r="F2527" s="13" t="s">
        <v>5325</v>
      </c>
      <c r="G2527" s="13" t="s">
        <v>5289</v>
      </c>
      <c r="H2527" s="13" t="s">
        <v>5289</v>
      </c>
      <c r="I2527" s="13" t="s">
        <v>5289</v>
      </c>
      <c r="J2527" s="13" t="s">
        <v>5289</v>
      </c>
      <c r="K2527" s="13" t="s">
        <v>5289</v>
      </c>
      <c r="L2527" s="13" t="n">
        <v>8018365500013</v>
      </c>
      <c r="M2527" s="13"/>
      <c r="N2527" s="13" t="n">
        <v>8018365500013</v>
      </c>
      <c r="O2527" s="13"/>
      <c r="P2527" s="13" t="s">
        <v>5291</v>
      </c>
      <c r="Q2527" s="13" t="s">
        <v>5289</v>
      </c>
      <c r="R2527" s="13" t="s">
        <v>5292</v>
      </c>
      <c r="S2527" s="13" t="s">
        <v>5293</v>
      </c>
      <c r="T2527" s="13" t="s">
        <v>5</v>
      </c>
      <c r="U2527" s="13" t="s">
        <v>43</v>
      </c>
      <c r="V2527" s="13" t="n">
        <f aca="false">IF(COUNTIF($B$2:B2527,B2527)=1,1,0)</f>
        <v>0</v>
      </c>
      <c r="W2527" s="13" t="n">
        <f aca="false">IF(COUNTIFS($B$2:B2527,B2527,$T$2:T2527,T2527)=1,1,0)</f>
        <v>0</v>
      </c>
    </row>
    <row r="2528" customFormat="false" ht="15" hidden="false" customHeight="false" outlineLevel="0" collapsed="false">
      <c r="A2528" s="13" t="s">
        <v>840</v>
      </c>
      <c r="B2528" s="13" t="s">
        <v>61</v>
      </c>
      <c r="C2528" s="13" t="n">
        <v>2300</v>
      </c>
      <c r="D2528" s="13" t="n">
        <v>2</v>
      </c>
      <c r="E2528" s="13" t="n">
        <v>755.73</v>
      </c>
      <c r="F2528" s="13" t="s">
        <v>5325</v>
      </c>
      <c r="G2528" s="13" t="s">
        <v>5289</v>
      </c>
      <c r="H2528" s="13" t="s">
        <v>5289</v>
      </c>
      <c r="I2528" s="13" t="s">
        <v>5289</v>
      </c>
      <c r="J2528" s="13" t="s">
        <v>5289</v>
      </c>
      <c r="K2528" s="13" t="s">
        <v>5289</v>
      </c>
      <c r="L2528" s="13" t="n">
        <v>3147758029390</v>
      </c>
      <c r="M2528" s="13"/>
      <c r="N2528" s="13" t="n">
        <v>3147758029390</v>
      </c>
      <c r="O2528" s="13"/>
      <c r="P2528" s="13" t="s">
        <v>5291</v>
      </c>
      <c r="Q2528" s="13" t="s">
        <v>5289</v>
      </c>
      <c r="R2528" s="13" t="s">
        <v>5292</v>
      </c>
      <c r="S2528" s="13" t="s">
        <v>5293</v>
      </c>
      <c r="T2528" s="13" t="s">
        <v>5</v>
      </c>
      <c r="U2528" s="13" t="s">
        <v>43</v>
      </c>
      <c r="V2528" s="13" t="n">
        <f aca="false">IF(COUNTIF($B$2:B2528,B2528)=1,1,0)</f>
        <v>0</v>
      </c>
      <c r="W2528" s="13" t="n">
        <f aca="false">IF(COUNTIFS($B$2:B2528,B2528,$T$2:T2528,T2528)=1,1,0)</f>
        <v>0</v>
      </c>
    </row>
    <row r="2529" customFormat="false" ht="15" hidden="false" customHeight="false" outlineLevel="0" collapsed="false">
      <c r="A2529" s="13" t="s">
        <v>839</v>
      </c>
      <c r="B2529" s="13" t="s">
        <v>177</v>
      </c>
      <c r="C2529" s="13" t="n">
        <v>2300</v>
      </c>
      <c r="D2529" s="13" t="n">
        <v>2</v>
      </c>
      <c r="E2529" s="13" t="n">
        <v>755.613333333333</v>
      </c>
      <c r="F2529" s="13" t="s">
        <v>5325</v>
      </c>
      <c r="G2529" s="13" t="s">
        <v>5289</v>
      </c>
      <c r="H2529" s="13" t="s">
        <v>5292</v>
      </c>
      <c r="I2529" s="13" t="s">
        <v>5289</v>
      </c>
      <c r="J2529" s="13" t="s">
        <v>5289</v>
      </c>
      <c r="K2529" s="13" t="s">
        <v>5289</v>
      </c>
      <c r="L2529" s="13" t="n">
        <v>3616301794639</v>
      </c>
      <c r="M2529" s="13"/>
      <c r="N2529" s="13" t="n">
        <v>3616301794639</v>
      </c>
      <c r="O2529" s="13"/>
      <c r="P2529" s="13" t="s">
        <v>5291</v>
      </c>
      <c r="Q2529" s="13" t="s">
        <v>5289</v>
      </c>
      <c r="R2529" s="13" t="s">
        <v>5292</v>
      </c>
      <c r="S2529" s="13" t="s">
        <v>5293</v>
      </c>
      <c r="T2529" s="13" t="s">
        <v>5</v>
      </c>
      <c r="U2529" s="13" t="s">
        <v>43</v>
      </c>
      <c r="V2529" s="13" t="n">
        <f aca="false">IF(COUNTIF($B$2:B2529,B2529)=1,1,0)</f>
        <v>0</v>
      </c>
      <c r="W2529" s="13" t="n">
        <f aca="false">IF(COUNTIFS($B$2:B2529,B2529,$T$2:T2529,T2529)=1,1,0)</f>
        <v>0</v>
      </c>
    </row>
    <row r="2530" customFormat="false" ht="15" hidden="false" customHeight="false" outlineLevel="0" collapsed="false">
      <c r="A2530" s="13" t="s">
        <v>832</v>
      </c>
      <c r="B2530" s="13" t="s">
        <v>54</v>
      </c>
      <c r="C2530" s="13" t="n">
        <v>2300</v>
      </c>
      <c r="D2530" s="13" t="n">
        <v>2</v>
      </c>
      <c r="E2530" s="13" t="n">
        <v>754.85</v>
      </c>
      <c r="F2530" s="13" t="s">
        <v>5325</v>
      </c>
      <c r="G2530" s="13" t="s">
        <v>5289</v>
      </c>
      <c r="H2530" s="13" t="s">
        <v>5289</v>
      </c>
      <c r="I2530" s="13" t="s">
        <v>5289</v>
      </c>
      <c r="J2530" s="13" t="s">
        <v>5289</v>
      </c>
      <c r="K2530" s="13" t="s">
        <v>5292</v>
      </c>
      <c r="L2530" s="13" t="n">
        <v>768614222828</v>
      </c>
      <c r="M2530" s="13"/>
      <c r="N2530" s="13" t="n">
        <v>768614222828</v>
      </c>
      <c r="O2530" s="13"/>
      <c r="P2530" s="13" t="s">
        <v>5297</v>
      </c>
      <c r="Q2530" s="13" t="s">
        <v>5289</v>
      </c>
      <c r="R2530" s="13" t="s">
        <v>5292</v>
      </c>
      <c r="S2530" s="13" t="s">
        <v>5293</v>
      </c>
      <c r="T2530" s="13" t="s">
        <v>5</v>
      </c>
      <c r="U2530" s="13" t="s">
        <v>43</v>
      </c>
      <c r="V2530" s="13" t="n">
        <f aca="false">IF(COUNTIF($B$2:B2530,B2530)=1,1,0)</f>
        <v>0</v>
      </c>
      <c r="W2530" s="13" t="n">
        <f aca="false">IF(COUNTIFS($B$2:B2530,B2530,$T$2:T2530,T2530)=1,1,0)</f>
        <v>0</v>
      </c>
    </row>
    <row r="2531" customFormat="false" ht="15" hidden="false" customHeight="false" outlineLevel="0" collapsed="false">
      <c r="A2531" s="13" t="s">
        <v>872</v>
      </c>
      <c r="B2531" s="13" t="s">
        <v>45</v>
      </c>
      <c r="C2531" s="13" t="n">
        <v>2200</v>
      </c>
      <c r="D2531" s="13" t="n">
        <v>2</v>
      </c>
      <c r="E2531" s="13" t="n">
        <v>749.27</v>
      </c>
      <c r="F2531" s="13" t="s">
        <v>5325</v>
      </c>
      <c r="G2531" s="13" t="s">
        <v>5289</v>
      </c>
      <c r="H2531" s="13" t="s">
        <v>5292</v>
      </c>
      <c r="I2531" s="13" t="s">
        <v>5289</v>
      </c>
      <c r="J2531" s="13" t="s">
        <v>5289</v>
      </c>
      <c r="K2531" s="13" t="s">
        <v>5289</v>
      </c>
      <c r="L2531" s="13" t="n">
        <v>8435415062190</v>
      </c>
      <c r="M2531" s="13"/>
      <c r="N2531" s="13" t="n">
        <v>8435415062190</v>
      </c>
      <c r="O2531" s="13"/>
      <c r="P2531" s="13" t="s">
        <v>5291</v>
      </c>
      <c r="Q2531" s="13" t="s">
        <v>5289</v>
      </c>
      <c r="R2531" s="13" t="s">
        <v>5292</v>
      </c>
      <c r="S2531" s="13" t="s">
        <v>5293</v>
      </c>
      <c r="T2531" s="13" t="s">
        <v>5</v>
      </c>
      <c r="U2531" s="13" t="s">
        <v>43</v>
      </c>
      <c r="V2531" s="13" t="n">
        <f aca="false">IF(COUNTIF($B$2:B2531,B2531)=1,1,0)</f>
        <v>0</v>
      </c>
      <c r="W2531" s="13" t="n">
        <f aca="false">IF(COUNTIFS($B$2:B2531,B2531,$T$2:T2531,T2531)=1,1,0)</f>
        <v>0</v>
      </c>
    </row>
    <row r="2532" customFormat="false" ht="15" hidden="false" customHeight="false" outlineLevel="0" collapsed="false">
      <c r="A2532" s="13" t="s">
        <v>757</v>
      </c>
      <c r="B2532" s="13" t="s">
        <v>50</v>
      </c>
      <c r="C2532" s="13" t="n">
        <v>2200</v>
      </c>
      <c r="D2532" s="13" t="n">
        <v>5</v>
      </c>
      <c r="E2532" s="13" t="n">
        <v>448.96</v>
      </c>
      <c r="F2532" s="13" t="s">
        <v>5325</v>
      </c>
      <c r="G2532" s="13" t="s">
        <v>5289</v>
      </c>
      <c r="H2532" s="13" t="s">
        <v>5289</v>
      </c>
      <c r="I2532" s="13" t="s">
        <v>5289</v>
      </c>
      <c r="J2532" s="13" t="s">
        <v>5289</v>
      </c>
      <c r="K2532" s="13" t="s">
        <v>5289</v>
      </c>
      <c r="L2532" s="13" t="n">
        <v>3349668612611</v>
      </c>
      <c r="M2532" s="13"/>
      <c r="N2532" s="13" t="n">
        <v>3.34966850847134E+025</v>
      </c>
      <c r="O2532" s="13"/>
      <c r="P2532" s="13" t="s">
        <v>5291</v>
      </c>
      <c r="Q2532" s="13" t="s">
        <v>5289</v>
      </c>
      <c r="R2532" s="13" t="s">
        <v>5292</v>
      </c>
      <c r="S2532" s="13" t="s">
        <v>5293</v>
      </c>
      <c r="T2532" s="13" t="s">
        <v>5</v>
      </c>
      <c r="U2532" s="13" t="s">
        <v>43</v>
      </c>
      <c r="V2532" s="13" t="n">
        <f aca="false">IF(COUNTIF($B$2:B2532,B2532)=1,1,0)</f>
        <v>0</v>
      </c>
      <c r="W2532" s="13" t="n">
        <f aca="false">IF(COUNTIFS($B$2:B2532,B2532,$T$2:T2532,T2532)=1,1,0)</f>
        <v>0</v>
      </c>
    </row>
    <row r="2533" customFormat="false" ht="15" hidden="false" customHeight="false" outlineLevel="0" collapsed="false">
      <c r="A2533" s="13" t="s">
        <v>854</v>
      </c>
      <c r="B2533" s="13" t="s">
        <v>124</v>
      </c>
      <c r="C2533" s="13" t="n">
        <v>2200</v>
      </c>
      <c r="D2533" s="13" t="n">
        <v>2</v>
      </c>
      <c r="E2533" s="13" t="n">
        <v>747.21</v>
      </c>
      <c r="F2533" s="13" t="s">
        <v>5288</v>
      </c>
      <c r="G2533" s="13" t="s">
        <v>5289</v>
      </c>
      <c r="H2533" s="13" t="s">
        <v>5289</v>
      </c>
      <c r="I2533" s="13" t="s">
        <v>5289</v>
      </c>
      <c r="J2533" s="13" t="s">
        <v>5289</v>
      </c>
      <c r="K2533" s="13" t="s">
        <v>5289</v>
      </c>
      <c r="L2533" s="13" t="n">
        <v>7908966560985</v>
      </c>
      <c r="M2533" s="13"/>
      <c r="N2533" s="13" t="n">
        <v>7908966560985</v>
      </c>
      <c r="O2533" s="13"/>
      <c r="P2533" s="13" t="s">
        <v>5291</v>
      </c>
      <c r="Q2533" s="13" t="s">
        <v>5289</v>
      </c>
      <c r="R2533" s="13" t="s">
        <v>5292</v>
      </c>
      <c r="S2533" s="13" t="s">
        <v>5293</v>
      </c>
      <c r="T2533" s="13" t="s">
        <v>5</v>
      </c>
      <c r="U2533" s="13" t="s">
        <v>43</v>
      </c>
      <c r="V2533" s="13" t="n">
        <f aca="false">IF(COUNTIF($B$2:B2533,B2533)=1,1,0)</f>
        <v>0</v>
      </c>
      <c r="W2533" s="13" t="n">
        <f aca="false">IF(COUNTIFS($B$2:B2533,B2533,$T$2:T2533,T2533)=1,1,0)</f>
        <v>0</v>
      </c>
    </row>
    <row r="2534" customFormat="false" ht="15" hidden="false" customHeight="false" outlineLevel="0" collapsed="false">
      <c r="A2534" s="13" t="s">
        <v>859</v>
      </c>
      <c r="B2534" s="13" t="s">
        <v>490</v>
      </c>
      <c r="C2534" s="13" t="n">
        <v>2200</v>
      </c>
      <c r="D2534" s="13" t="n">
        <v>5</v>
      </c>
      <c r="E2534" s="13" t="n">
        <v>369.726666666667</v>
      </c>
      <c r="F2534" s="13" t="s">
        <v>5288</v>
      </c>
      <c r="G2534" s="13" t="s">
        <v>5289</v>
      </c>
      <c r="H2534" s="13" t="s">
        <v>5289</v>
      </c>
      <c r="I2534" s="13" t="s">
        <v>5289</v>
      </c>
      <c r="J2534" s="13" t="s">
        <v>5289</v>
      </c>
      <c r="K2534" s="13" t="s">
        <v>5289</v>
      </c>
      <c r="L2534" s="13" t="n">
        <v>8011003839292</v>
      </c>
      <c r="M2534" s="13"/>
      <c r="N2534" s="13" t="n">
        <v>8011003839292</v>
      </c>
      <c r="O2534" s="13"/>
      <c r="P2534" s="13" t="s">
        <v>5291</v>
      </c>
      <c r="Q2534" s="13" t="s">
        <v>5289</v>
      </c>
      <c r="R2534" s="13" t="s">
        <v>5292</v>
      </c>
      <c r="S2534" s="13" t="s">
        <v>5293</v>
      </c>
      <c r="T2534" s="13" t="s">
        <v>5</v>
      </c>
      <c r="U2534" s="13" t="s">
        <v>43</v>
      </c>
      <c r="V2534" s="13" t="n">
        <f aca="false">IF(COUNTIF($B$2:B2534,B2534)=1,1,0)</f>
        <v>0</v>
      </c>
      <c r="W2534" s="13" t="n">
        <f aca="false">IF(COUNTIFS($B$2:B2534,B2534,$T$2:T2534,T2534)=1,1,0)</f>
        <v>0</v>
      </c>
    </row>
    <row r="2535" customFormat="false" ht="15" hidden="false" customHeight="false" outlineLevel="0" collapsed="false">
      <c r="A2535" s="13" t="s">
        <v>855</v>
      </c>
      <c r="B2535" s="13" t="s">
        <v>153</v>
      </c>
      <c r="C2535" s="13" t="n">
        <v>2200</v>
      </c>
      <c r="D2535" s="13" t="n">
        <v>2</v>
      </c>
      <c r="E2535" s="13" t="n">
        <v>737.1</v>
      </c>
      <c r="F2535" s="13" t="s">
        <v>5325</v>
      </c>
      <c r="G2535" s="13" t="s">
        <v>5289</v>
      </c>
      <c r="H2535" s="13" t="s">
        <v>5292</v>
      </c>
      <c r="I2535" s="13" t="s">
        <v>5289</v>
      </c>
      <c r="J2535" s="13" t="s">
        <v>5289</v>
      </c>
      <c r="K2535" s="13" t="s">
        <v>5289</v>
      </c>
      <c r="L2535" s="13" t="n">
        <v>8011003891092</v>
      </c>
      <c r="M2535" s="13"/>
      <c r="N2535" s="13" t="n">
        <v>8011003891092</v>
      </c>
      <c r="O2535" s="13"/>
      <c r="P2535" s="13" t="s">
        <v>5291</v>
      </c>
      <c r="Q2535" s="13" t="s">
        <v>5289</v>
      </c>
      <c r="R2535" s="13" t="s">
        <v>5292</v>
      </c>
      <c r="S2535" s="13" t="s">
        <v>5293</v>
      </c>
      <c r="T2535" s="13" t="s">
        <v>5</v>
      </c>
      <c r="U2535" s="13" t="s">
        <v>43</v>
      </c>
      <c r="V2535" s="13" t="n">
        <f aca="false">IF(COUNTIF($B$2:B2535,B2535)=1,1,0)</f>
        <v>0</v>
      </c>
      <c r="W2535" s="13" t="n">
        <f aca="false">IF(COUNTIFS($B$2:B2535,B2535,$T$2:T2535,T2535)=1,1,0)</f>
        <v>0</v>
      </c>
    </row>
    <row r="2536" customFormat="false" ht="15" hidden="false" customHeight="false" outlineLevel="0" collapsed="false">
      <c r="A2536" s="13" t="s">
        <v>873</v>
      </c>
      <c r="B2536" s="13" t="s">
        <v>42</v>
      </c>
      <c r="C2536" s="13" t="n">
        <v>2200</v>
      </c>
      <c r="D2536" s="13" t="n">
        <v>10</v>
      </c>
      <c r="E2536" s="13" t="n">
        <v>184.14</v>
      </c>
      <c r="F2536" s="13" t="s">
        <v>5288</v>
      </c>
      <c r="G2536" s="13" t="s">
        <v>5292</v>
      </c>
      <c r="H2536" s="13" t="s">
        <v>5292</v>
      </c>
      <c r="I2536" s="13" t="s">
        <v>5289</v>
      </c>
      <c r="J2536" s="13" t="s">
        <v>5289</v>
      </c>
      <c r="K2536" s="13" t="s">
        <v>5289</v>
      </c>
      <c r="L2536" s="13" t="n">
        <v>8411061945858</v>
      </c>
      <c r="M2536" s="13"/>
      <c r="N2536" s="13" t="n">
        <v>8411061945858</v>
      </c>
      <c r="O2536" s="13"/>
      <c r="P2536" s="13" t="s">
        <v>5291</v>
      </c>
      <c r="Q2536" s="13" t="s">
        <v>5289</v>
      </c>
      <c r="R2536" s="13" t="s">
        <v>5292</v>
      </c>
      <c r="S2536" s="13" t="s">
        <v>5293</v>
      </c>
      <c r="T2536" s="13" t="s">
        <v>5</v>
      </c>
      <c r="U2536" s="13" t="s">
        <v>43</v>
      </c>
      <c r="V2536" s="13" t="n">
        <f aca="false">IF(COUNTIF($B$2:B2536,B2536)=1,1,0)</f>
        <v>0</v>
      </c>
      <c r="W2536" s="13" t="n">
        <f aca="false">IF(COUNTIFS($B$2:B2536,B2536,$T$2:T2536,T2536)=1,1,0)</f>
        <v>0</v>
      </c>
    </row>
    <row r="2537" customFormat="false" ht="15" hidden="false" customHeight="false" outlineLevel="0" collapsed="false">
      <c r="A2537" s="13" t="s">
        <v>629</v>
      </c>
      <c r="B2537" s="13" t="s">
        <v>61</v>
      </c>
      <c r="C2537" s="13" t="n">
        <v>2200</v>
      </c>
      <c r="D2537" s="13" t="n">
        <v>5</v>
      </c>
      <c r="E2537" s="13" t="n">
        <v>245.471111111111</v>
      </c>
      <c r="F2537" s="13" t="s">
        <v>5288</v>
      </c>
      <c r="G2537" s="13" t="s">
        <v>5289</v>
      </c>
      <c r="H2537" s="13" t="s">
        <v>5289</v>
      </c>
      <c r="I2537" s="13" t="s">
        <v>5289</v>
      </c>
      <c r="J2537" s="13" t="s">
        <v>5289</v>
      </c>
      <c r="K2537" s="13" t="s">
        <v>5289</v>
      </c>
      <c r="L2537" s="13" t="n">
        <v>3614274347968</v>
      </c>
      <c r="M2537" s="13"/>
      <c r="N2537" s="13" t="n">
        <v>3614274347968</v>
      </c>
      <c r="O2537" s="13"/>
      <c r="P2537" s="13" t="s">
        <v>5291</v>
      </c>
      <c r="Q2537" s="13" t="s">
        <v>5289</v>
      </c>
      <c r="R2537" s="13" t="s">
        <v>5292</v>
      </c>
      <c r="S2537" s="13" t="s">
        <v>5293</v>
      </c>
      <c r="T2537" s="13" t="s">
        <v>5</v>
      </c>
      <c r="U2537" s="13" t="s">
        <v>43</v>
      </c>
      <c r="V2537" s="13" t="n">
        <f aca="false">IF(COUNTIF($B$2:B2537,B2537)=1,1,0)</f>
        <v>0</v>
      </c>
      <c r="W2537" s="13" t="n">
        <f aca="false">IF(COUNTIFS($B$2:B2537,B2537,$T$2:T2537,T2537)=1,1,0)</f>
        <v>0</v>
      </c>
    </row>
    <row r="2538" customFormat="false" ht="15" hidden="false" customHeight="false" outlineLevel="0" collapsed="false">
      <c r="A2538" s="13" t="s">
        <v>6376</v>
      </c>
      <c r="B2538" s="13" t="s">
        <v>2130</v>
      </c>
      <c r="C2538" s="13" t="n">
        <v>2200</v>
      </c>
      <c r="D2538" s="13" t="n">
        <v>2</v>
      </c>
      <c r="E2538" s="13" t="n">
        <v>1103.35</v>
      </c>
      <c r="F2538" s="13" t="s">
        <v>5325</v>
      </c>
      <c r="G2538" s="13" t="s">
        <v>5289</v>
      </c>
      <c r="H2538" s="13" t="s">
        <v>5292</v>
      </c>
      <c r="I2538" s="13" t="s">
        <v>5289</v>
      </c>
      <c r="J2538" s="13" t="s">
        <v>5289</v>
      </c>
      <c r="K2538" s="13" t="s">
        <v>5289</v>
      </c>
      <c r="L2538" s="13" t="n">
        <v>3439600056969</v>
      </c>
      <c r="M2538" s="13"/>
      <c r="N2538" s="13" t="n">
        <v>3439600056969</v>
      </c>
      <c r="O2538" s="13"/>
      <c r="P2538" s="13" t="s">
        <v>5291</v>
      </c>
      <c r="Q2538" s="13" t="s">
        <v>5289</v>
      </c>
      <c r="R2538" s="13" t="s">
        <v>5292</v>
      </c>
      <c r="S2538" s="13" t="s">
        <v>5293</v>
      </c>
      <c r="T2538" s="13" t="s">
        <v>5</v>
      </c>
      <c r="U2538" s="13" t="s">
        <v>43</v>
      </c>
      <c r="V2538" s="13" t="n">
        <f aca="false">IF(COUNTIF($B$2:B2538,B2538)=1,1,0)</f>
        <v>0</v>
      </c>
      <c r="W2538" s="13" t="n">
        <f aca="false">IF(COUNTIFS($B$2:B2538,B2538,$T$2:T2538,T2538)=1,1,0)</f>
        <v>0</v>
      </c>
    </row>
    <row r="2539" customFormat="false" ht="15" hidden="false" customHeight="false" outlineLevel="0" collapsed="false">
      <c r="A2539" s="13" t="s">
        <v>861</v>
      </c>
      <c r="B2539" s="13" t="s">
        <v>42</v>
      </c>
      <c r="C2539" s="13" t="n">
        <v>2200</v>
      </c>
      <c r="D2539" s="13" t="n">
        <v>2</v>
      </c>
      <c r="E2539" s="13" t="n">
        <v>734.12</v>
      </c>
      <c r="F2539" s="13" t="s">
        <v>5325</v>
      </c>
      <c r="G2539" s="13" t="s">
        <v>5289</v>
      </c>
      <c r="H2539" s="13" t="s">
        <v>5292</v>
      </c>
      <c r="I2539" s="13" t="s">
        <v>5289</v>
      </c>
      <c r="J2539" s="13" t="s">
        <v>5289</v>
      </c>
      <c r="K2539" s="13" t="s">
        <v>5289</v>
      </c>
      <c r="L2539" s="13" t="n">
        <v>8411061105016</v>
      </c>
      <c r="M2539" s="13"/>
      <c r="N2539" s="13" t="n">
        <v>8411061105016</v>
      </c>
      <c r="O2539" s="13"/>
      <c r="P2539" s="13" t="s">
        <v>5291</v>
      </c>
      <c r="Q2539" s="13" t="s">
        <v>5289</v>
      </c>
      <c r="R2539" s="13" t="s">
        <v>5292</v>
      </c>
      <c r="S2539" s="13" t="s">
        <v>5293</v>
      </c>
      <c r="T2539" s="13" t="s">
        <v>5</v>
      </c>
      <c r="U2539" s="13" t="s">
        <v>43</v>
      </c>
      <c r="V2539" s="13" t="n">
        <f aca="false">IF(COUNTIF($B$2:B2539,B2539)=1,1,0)</f>
        <v>0</v>
      </c>
      <c r="W2539" s="13" t="n">
        <f aca="false">IF(COUNTIFS($B$2:B2539,B2539,$T$2:T2539,T2539)=1,1,0)</f>
        <v>0</v>
      </c>
    </row>
    <row r="2540" customFormat="false" ht="15" hidden="false" customHeight="false" outlineLevel="0" collapsed="false">
      <c r="A2540" s="13" t="s">
        <v>206</v>
      </c>
      <c r="B2540" s="13" t="s">
        <v>42</v>
      </c>
      <c r="C2540" s="13" t="n">
        <v>2200</v>
      </c>
      <c r="D2540" s="13" t="n">
        <v>2</v>
      </c>
      <c r="E2540" s="13" t="n">
        <v>733.053333333333</v>
      </c>
      <c r="F2540" s="13" t="s">
        <v>5288</v>
      </c>
      <c r="G2540" s="13" t="s">
        <v>5289</v>
      </c>
      <c r="H2540" s="13" t="s">
        <v>5289</v>
      </c>
      <c r="I2540" s="13" t="s">
        <v>5289</v>
      </c>
      <c r="J2540" s="13" t="s">
        <v>5289</v>
      </c>
      <c r="K2540" s="13" t="s">
        <v>5289</v>
      </c>
      <c r="L2540" s="13" t="n">
        <v>8411061995754</v>
      </c>
      <c r="M2540" s="13"/>
      <c r="N2540" s="13" t="n">
        <v>8411061995754</v>
      </c>
      <c r="O2540" s="13"/>
      <c r="P2540" s="13" t="s">
        <v>5291</v>
      </c>
      <c r="Q2540" s="13" t="s">
        <v>5289</v>
      </c>
      <c r="R2540" s="13" t="s">
        <v>5292</v>
      </c>
      <c r="S2540" s="13" t="s">
        <v>5293</v>
      </c>
      <c r="T2540" s="13" t="s">
        <v>5</v>
      </c>
      <c r="U2540" s="13" t="s">
        <v>43</v>
      </c>
      <c r="V2540" s="13" t="n">
        <f aca="false">IF(COUNTIF($B$2:B2540,B2540)=1,1,0)</f>
        <v>0</v>
      </c>
      <c r="W2540" s="13" t="n">
        <f aca="false">IF(COUNTIFS($B$2:B2540,B2540,$T$2:T2540,T2540)=1,1,0)</f>
        <v>0</v>
      </c>
    </row>
    <row r="2541" customFormat="false" ht="15" hidden="false" customHeight="false" outlineLevel="0" collapsed="false">
      <c r="A2541" s="13" t="s">
        <v>284</v>
      </c>
      <c r="B2541" s="13" t="s">
        <v>42</v>
      </c>
      <c r="C2541" s="13" t="n">
        <v>2200</v>
      </c>
      <c r="D2541" s="13" t="n">
        <v>2</v>
      </c>
      <c r="E2541" s="13" t="n">
        <v>730.996666666667</v>
      </c>
      <c r="F2541" s="13" t="s">
        <v>5325</v>
      </c>
      <c r="G2541" s="13" t="s">
        <v>5289</v>
      </c>
      <c r="H2541" s="13" t="s">
        <v>5289</v>
      </c>
      <c r="I2541" s="13" t="s">
        <v>5289</v>
      </c>
      <c r="J2541" s="13" t="s">
        <v>5289</v>
      </c>
      <c r="K2541" s="13" t="s">
        <v>5289</v>
      </c>
      <c r="L2541" s="13" t="n">
        <v>8411061923245</v>
      </c>
      <c r="M2541" s="13"/>
      <c r="N2541" s="13" t="n">
        <v>8.41106192324584E+025</v>
      </c>
      <c r="O2541" s="13"/>
      <c r="P2541" s="13" t="s">
        <v>5291</v>
      </c>
      <c r="Q2541" s="13" t="s">
        <v>5289</v>
      </c>
      <c r="R2541" s="13" t="s">
        <v>5292</v>
      </c>
      <c r="S2541" s="13" t="s">
        <v>5293</v>
      </c>
      <c r="T2541" s="13" t="s">
        <v>5</v>
      </c>
      <c r="U2541" s="13" t="s">
        <v>43</v>
      </c>
      <c r="V2541" s="13" t="n">
        <f aca="false">IF(COUNTIF($B$2:B2541,B2541)=1,1,0)</f>
        <v>0</v>
      </c>
      <c r="W2541" s="13" t="n">
        <f aca="false">IF(COUNTIFS($B$2:B2541,B2541,$T$2:T2541,T2541)=1,1,0)</f>
        <v>0</v>
      </c>
    </row>
    <row r="2542" customFormat="false" ht="15" hidden="false" customHeight="false" outlineLevel="0" collapsed="false">
      <c r="A2542" s="13" t="s">
        <v>858</v>
      </c>
      <c r="B2542" s="13" t="s">
        <v>42</v>
      </c>
      <c r="C2542" s="13" t="n">
        <v>2200</v>
      </c>
      <c r="D2542" s="13" t="n">
        <v>2</v>
      </c>
      <c r="E2542" s="13" t="n">
        <v>547.09</v>
      </c>
      <c r="F2542" s="13" t="s">
        <v>5325</v>
      </c>
      <c r="G2542" s="13" t="s">
        <v>5289</v>
      </c>
      <c r="H2542" s="13" t="s">
        <v>5292</v>
      </c>
      <c r="I2542" s="13" t="s">
        <v>5289</v>
      </c>
      <c r="J2542" s="13" t="s">
        <v>5289</v>
      </c>
      <c r="K2542" s="13" t="s">
        <v>5289</v>
      </c>
      <c r="L2542" s="13" t="n">
        <v>8411061869406</v>
      </c>
      <c r="M2542" s="13"/>
      <c r="N2542" s="13" t="n">
        <v>8411061869406</v>
      </c>
      <c r="O2542" s="13"/>
      <c r="P2542" s="13" t="s">
        <v>5291</v>
      </c>
      <c r="Q2542" s="13" t="s">
        <v>5289</v>
      </c>
      <c r="R2542" s="13" t="s">
        <v>5292</v>
      </c>
      <c r="S2542" s="13" t="s">
        <v>5293</v>
      </c>
      <c r="T2542" s="13" t="s">
        <v>5</v>
      </c>
      <c r="U2542" s="13" t="s">
        <v>43</v>
      </c>
      <c r="V2542" s="13" t="n">
        <f aca="false">IF(COUNTIF($B$2:B2542,B2542)=1,1,0)</f>
        <v>0</v>
      </c>
      <c r="W2542" s="13" t="n">
        <f aca="false">IF(COUNTIFS($B$2:B2542,B2542,$T$2:T2542,T2542)=1,1,0)</f>
        <v>0</v>
      </c>
    </row>
    <row r="2543" customFormat="false" ht="15" hidden="false" customHeight="false" outlineLevel="0" collapsed="false">
      <c r="A2543" s="13" t="s">
        <v>857</v>
      </c>
      <c r="B2543" s="13" t="s">
        <v>42</v>
      </c>
      <c r="C2543" s="13" t="n">
        <v>2200</v>
      </c>
      <c r="D2543" s="13" t="n">
        <v>2</v>
      </c>
      <c r="E2543" s="13" t="n">
        <v>728.85</v>
      </c>
      <c r="F2543" s="13" t="s">
        <v>5325</v>
      </c>
      <c r="G2543" s="13" t="s">
        <v>5289</v>
      </c>
      <c r="H2543" s="13" t="s">
        <v>5289</v>
      </c>
      <c r="I2543" s="13" t="s">
        <v>5289</v>
      </c>
      <c r="J2543" s="13" t="s">
        <v>5289</v>
      </c>
      <c r="K2543" s="13" t="s">
        <v>5292</v>
      </c>
      <c r="L2543" s="13"/>
      <c r="M2543" s="13"/>
      <c r="N2543" s="13" t="n">
        <v>8411061111352</v>
      </c>
      <c r="O2543" s="13"/>
      <c r="P2543" s="13" t="s">
        <v>5291</v>
      </c>
      <c r="Q2543" s="13" t="s">
        <v>5289</v>
      </c>
      <c r="R2543" s="13" t="s">
        <v>5292</v>
      </c>
      <c r="S2543" s="13" t="s">
        <v>5293</v>
      </c>
      <c r="T2543" s="13" t="s">
        <v>5</v>
      </c>
      <c r="U2543" s="13" t="s">
        <v>129</v>
      </c>
      <c r="V2543" s="13" t="n">
        <f aca="false">IF(COUNTIF($B$2:B2543,B2543)=1,1,0)</f>
        <v>0</v>
      </c>
      <c r="W2543" s="13" t="n">
        <f aca="false">IF(COUNTIFS($B$2:B2543,B2543,$T$2:T2543,T2543)=1,1,0)</f>
        <v>0</v>
      </c>
    </row>
    <row r="2544" customFormat="false" ht="15" hidden="false" customHeight="false" outlineLevel="0" collapsed="false">
      <c r="A2544" s="13" t="s">
        <v>220</v>
      </c>
      <c r="B2544" s="13" t="s">
        <v>50</v>
      </c>
      <c r="C2544" s="13" t="n">
        <v>2200</v>
      </c>
      <c r="D2544" s="13" t="n">
        <v>5</v>
      </c>
      <c r="E2544" s="13" t="n">
        <v>312</v>
      </c>
      <c r="F2544" s="13" t="s">
        <v>5288</v>
      </c>
      <c r="G2544" s="13" t="s">
        <v>5292</v>
      </c>
      <c r="H2544" s="13" t="s">
        <v>5289</v>
      </c>
      <c r="I2544" s="13" t="s">
        <v>5289</v>
      </c>
      <c r="J2544" s="13" t="s">
        <v>5289</v>
      </c>
      <c r="K2544" s="13" t="s">
        <v>5289</v>
      </c>
      <c r="L2544" s="13" t="n">
        <v>3349668566730</v>
      </c>
      <c r="M2544" s="13"/>
      <c r="N2544" s="13" t="n">
        <v>3349668566730</v>
      </c>
      <c r="O2544" s="13"/>
      <c r="P2544" s="13" t="s">
        <v>5291</v>
      </c>
      <c r="Q2544" s="13" t="s">
        <v>5289</v>
      </c>
      <c r="R2544" s="13" t="s">
        <v>5292</v>
      </c>
      <c r="S2544" s="13" t="s">
        <v>5293</v>
      </c>
      <c r="T2544" s="13" t="s">
        <v>5</v>
      </c>
      <c r="U2544" s="13" t="s">
        <v>43</v>
      </c>
      <c r="V2544" s="13" t="n">
        <f aca="false">IF(COUNTIF($B$2:B2544,B2544)=1,1,0)</f>
        <v>0</v>
      </c>
      <c r="W2544" s="13" t="n">
        <f aca="false">IF(COUNTIFS($B$2:B2544,B2544,$T$2:T2544,T2544)=1,1,0)</f>
        <v>0</v>
      </c>
    </row>
    <row r="2545" customFormat="false" ht="15" hidden="false" customHeight="false" outlineLevel="0" collapsed="false">
      <c r="A2545" s="13" t="s">
        <v>874</v>
      </c>
      <c r="B2545" s="13" t="s">
        <v>69</v>
      </c>
      <c r="C2545" s="13" t="n">
        <v>2200</v>
      </c>
      <c r="D2545" s="13" t="n">
        <v>2</v>
      </c>
      <c r="E2545" s="13" t="n">
        <v>725</v>
      </c>
      <c r="F2545" s="13" t="s">
        <v>5288</v>
      </c>
      <c r="G2545" s="13" t="s">
        <v>5292</v>
      </c>
      <c r="H2545" s="13" t="s">
        <v>5292</v>
      </c>
      <c r="I2545" s="13" t="s">
        <v>5289</v>
      </c>
      <c r="J2545" s="13" t="s">
        <v>5289</v>
      </c>
      <c r="K2545" s="13" t="s">
        <v>5289</v>
      </c>
      <c r="L2545" s="13" t="n">
        <v>3614272648425</v>
      </c>
      <c r="M2545" s="13"/>
      <c r="N2545" s="13" t="n">
        <v>3614272648425</v>
      </c>
      <c r="O2545" s="13"/>
      <c r="P2545" s="13" t="s">
        <v>5291</v>
      </c>
      <c r="Q2545" s="13" t="s">
        <v>5289</v>
      </c>
      <c r="R2545" s="13" t="s">
        <v>5292</v>
      </c>
      <c r="S2545" s="13" t="s">
        <v>5293</v>
      </c>
      <c r="T2545" s="13" t="s">
        <v>5</v>
      </c>
      <c r="U2545" s="13" t="s">
        <v>43</v>
      </c>
      <c r="V2545" s="13" t="n">
        <f aca="false">IF(COUNTIF($B$2:B2545,B2545)=1,1,0)</f>
        <v>0</v>
      </c>
      <c r="W2545" s="13" t="n">
        <f aca="false">IF(COUNTIFS($B$2:B2545,B2545,$T$2:T2545,T2545)=1,1,0)</f>
        <v>0</v>
      </c>
    </row>
    <row r="2546" customFormat="false" ht="15" hidden="false" customHeight="false" outlineLevel="0" collapsed="false">
      <c r="A2546" s="13" t="s">
        <v>853</v>
      </c>
      <c r="B2546" s="13" t="s">
        <v>177</v>
      </c>
      <c r="C2546" s="13" t="n">
        <v>2200</v>
      </c>
      <c r="D2546" s="13" t="n">
        <v>2</v>
      </c>
      <c r="E2546" s="13" t="n">
        <v>721</v>
      </c>
      <c r="F2546" s="13" t="s">
        <v>5325</v>
      </c>
      <c r="G2546" s="13" t="s">
        <v>5289</v>
      </c>
      <c r="H2546" s="13" t="s">
        <v>5292</v>
      </c>
      <c r="I2546" s="13" t="s">
        <v>5289</v>
      </c>
      <c r="J2546" s="13" t="s">
        <v>5289</v>
      </c>
      <c r="K2546" s="13" t="s">
        <v>5289</v>
      </c>
      <c r="L2546" s="13"/>
      <c r="M2546" s="13"/>
      <c r="N2546" s="13" t="n">
        <v>3616304175916</v>
      </c>
      <c r="O2546" s="13"/>
      <c r="P2546" s="13" t="s">
        <v>5291</v>
      </c>
      <c r="Q2546" s="13" t="s">
        <v>5289</v>
      </c>
      <c r="R2546" s="13" t="s">
        <v>5292</v>
      </c>
      <c r="S2546" s="13" t="s">
        <v>5293</v>
      </c>
      <c r="T2546" s="13" t="s">
        <v>5</v>
      </c>
      <c r="U2546" s="13" t="s">
        <v>43</v>
      </c>
      <c r="V2546" s="13" t="n">
        <f aca="false">IF(COUNTIF($B$2:B2546,B2546)=1,1,0)</f>
        <v>0</v>
      </c>
      <c r="W2546" s="13" t="n">
        <f aca="false">IF(COUNTIFS($B$2:B2546,B2546,$T$2:T2546,T2546)=1,1,0)</f>
        <v>0</v>
      </c>
    </row>
    <row r="2547" customFormat="false" ht="15" hidden="false" customHeight="false" outlineLevel="0" collapsed="false">
      <c r="A2547" s="13" t="s">
        <v>786</v>
      </c>
      <c r="B2547" s="13" t="s">
        <v>103</v>
      </c>
      <c r="C2547" s="13" t="n">
        <v>2200</v>
      </c>
      <c r="D2547" s="13" t="n">
        <v>5</v>
      </c>
      <c r="E2547" s="13" t="n">
        <v>215.9</v>
      </c>
      <c r="F2547" s="13" t="s">
        <v>5325</v>
      </c>
      <c r="G2547" s="13" t="s">
        <v>5292</v>
      </c>
      <c r="H2547" s="13" t="s">
        <v>5289</v>
      </c>
      <c r="I2547" s="13" t="s">
        <v>5289</v>
      </c>
      <c r="J2547" s="13" t="s">
        <v>5289</v>
      </c>
      <c r="K2547" s="13" t="s">
        <v>5289</v>
      </c>
      <c r="L2547" s="13"/>
      <c r="M2547" s="13"/>
      <c r="N2547" s="13" t="n">
        <v>8.41106181968584E+025</v>
      </c>
      <c r="O2547" s="13"/>
      <c r="P2547" s="13" t="s">
        <v>5291</v>
      </c>
      <c r="Q2547" s="13" t="s">
        <v>5289</v>
      </c>
      <c r="R2547" s="13" t="s">
        <v>5292</v>
      </c>
      <c r="S2547" s="13" t="s">
        <v>5293</v>
      </c>
      <c r="T2547" s="13" t="s">
        <v>5</v>
      </c>
      <c r="U2547" s="13" t="s">
        <v>43</v>
      </c>
      <c r="V2547" s="13" t="n">
        <f aca="false">IF(COUNTIF($B$2:B2547,B2547)=1,1,0)</f>
        <v>0</v>
      </c>
      <c r="W2547" s="13" t="n">
        <f aca="false">IF(COUNTIFS($B$2:B2547,B2547,$T$2:T2547,T2547)=1,1,0)</f>
        <v>0</v>
      </c>
    </row>
    <row r="2548" customFormat="false" ht="15" hidden="false" customHeight="false" outlineLevel="0" collapsed="false">
      <c r="A2548" s="13" t="s">
        <v>860</v>
      </c>
      <c r="B2548" s="13" t="s">
        <v>61</v>
      </c>
      <c r="C2548" s="13" t="n">
        <v>2200</v>
      </c>
      <c r="D2548" s="13" t="n">
        <v>2</v>
      </c>
      <c r="E2548" s="13" t="n">
        <v>719.09</v>
      </c>
      <c r="F2548" s="13" t="s">
        <v>5325</v>
      </c>
      <c r="G2548" s="13" t="s">
        <v>5292</v>
      </c>
      <c r="H2548" s="13" t="s">
        <v>5292</v>
      </c>
      <c r="I2548" s="13" t="s">
        <v>5289</v>
      </c>
      <c r="J2548" s="13" t="s">
        <v>5289</v>
      </c>
      <c r="K2548" s="13" t="s">
        <v>5289</v>
      </c>
      <c r="L2548" s="13" t="n">
        <v>3614274299229</v>
      </c>
      <c r="M2548" s="13"/>
      <c r="N2548" s="13" t="n">
        <v>3614274299229</v>
      </c>
      <c r="O2548" s="13"/>
      <c r="P2548" s="13" t="s">
        <v>5291</v>
      </c>
      <c r="Q2548" s="13" t="s">
        <v>5289</v>
      </c>
      <c r="R2548" s="13" t="s">
        <v>5292</v>
      </c>
      <c r="S2548" s="13" t="s">
        <v>5293</v>
      </c>
      <c r="T2548" s="13" t="s">
        <v>5</v>
      </c>
      <c r="U2548" s="13" t="s">
        <v>43</v>
      </c>
      <c r="V2548" s="13" t="n">
        <f aca="false">IF(COUNTIF($B$2:B2548,B2548)=1,1,0)</f>
        <v>0</v>
      </c>
      <c r="W2548" s="13" t="n">
        <f aca="false">IF(COUNTIFS($B$2:B2548,B2548,$T$2:T2548,T2548)=1,1,0)</f>
        <v>0</v>
      </c>
    </row>
    <row r="2549" customFormat="false" ht="15" hidden="false" customHeight="false" outlineLevel="0" collapsed="false">
      <c r="A2549" s="13" t="s">
        <v>704</v>
      </c>
      <c r="B2549" s="13" t="s">
        <v>362</v>
      </c>
      <c r="C2549" s="13" t="n">
        <v>2200</v>
      </c>
      <c r="D2549" s="13" t="n">
        <v>2</v>
      </c>
      <c r="E2549" s="13" t="n">
        <v>539</v>
      </c>
      <c r="F2549" s="13" t="s">
        <v>5325</v>
      </c>
      <c r="G2549" s="13" t="s">
        <v>5289</v>
      </c>
      <c r="H2549" s="13" t="s">
        <v>5289</v>
      </c>
      <c r="I2549" s="13" t="s">
        <v>5289</v>
      </c>
      <c r="J2549" s="13" t="s">
        <v>5289</v>
      </c>
      <c r="K2549" s="13" t="s">
        <v>5289</v>
      </c>
      <c r="L2549" s="13" t="n">
        <v>3386460113588</v>
      </c>
      <c r="M2549" s="13"/>
      <c r="N2549" s="13" t="n">
        <v>3386460113588</v>
      </c>
      <c r="O2549" s="13"/>
      <c r="P2549" s="13" t="s">
        <v>5291</v>
      </c>
      <c r="Q2549" s="13" t="s">
        <v>5289</v>
      </c>
      <c r="R2549" s="13" t="s">
        <v>5292</v>
      </c>
      <c r="S2549" s="13" t="s">
        <v>5293</v>
      </c>
      <c r="T2549" s="13" t="s">
        <v>5</v>
      </c>
      <c r="U2549" s="13" t="s">
        <v>43</v>
      </c>
      <c r="V2549" s="13" t="n">
        <f aca="false">IF(COUNTIF($B$2:B2549,B2549)=1,1,0)</f>
        <v>0</v>
      </c>
      <c r="W2549" s="13" t="n">
        <f aca="false">IF(COUNTIFS($B$2:B2549,B2549,$T$2:T2549,T2549)=1,1,0)</f>
        <v>0</v>
      </c>
    </row>
    <row r="2550" customFormat="false" ht="15" hidden="false" customHeight="false" outlineLevel="0" collapsed="false">
      <c r="A2550" s="13" t="s">
        <v>862</v>
      </c>
      <c r="B2550" s="13" t="s">
        <v>107</v>
      </c>
      <c r="C2550" s="13" t="n">
        <v>2200</v>
      </c>
      <c r="D2550" s="13" t="n">
        <v>5</v>
      </c>
      <c r="E2550" s="13" t="n">
        <v>268.9</v>
      </c>
      <c r="F2550" s="13" t="s">
        <v>5288</v>
      </c>
      <c r="G2550" s="13" t="s">
        <v>5292</v>
      </c>
      <c r="H2550" s="13" t="s">
        <v>5289</v>
      </c>
      <c r="I2550" s="13" t="s">
        <v>5289</v>
      </c>
      <c r="J2550" s="13" t="s">
        <v>5289</v>
      </c>
      <c r="K2550" s="13" t="s">
        <v>5289</v>
      </c>
      <c r="L2550" s="13" t="n">
        <v>9000250382759</v>
      </c>
      <c r="M2550" s="13"/>
      <c r="N2550" s="13" t="n">
        <v>9000250382759</v>
      </c>
      <c r="O2550" s="13"/>
      <c r="P2550" s="13" t="s">
        <v>5291</v>
      </c>
      <c r="Q2550" s="13" t="s">
        <v>5289</v>
      </c>
      <c r="R2550" s="13" t="s">
        <v>5292</v>
      </c>
      <c r="S2550" s="13" t="s">
        <v>5293</v>
      </c>
      <c r="T2550" s="13" t="s">
        <v>5</v>
      </c>
      <c r="U2550" s="13" t="s">
        <v>43</v>
      </c>
      <c r="V2550" s="13" t="n">
        <f aca="false">IF(COUNTIF($B$2:B2550,B2550)=1,1,0)</f>
        <v>0</v>
      </c>
      <c r="W2550" s="13" t="n">
        <f aca="false">IF(COUNTIFS($B$2:B2550,B2550,$T$2:T2550,T2550)=1,1,0)</f>
        <v>0</v>
      </c>
    </row>
    <row r="2551" customFormat="false" ht="15" hidden="false" customHeight="false" outlineLevel="0" collapsed="false">
      <c r="A2551" s="13" t="s">
        <v>887</v>
      </c>
      <c r="B2551" s="13" t="s">
        <v>61</v>
      </c>
      <c r="C2551" s="13" t="n">
        <v>2100</v>
      </c>
      <c r="D2551" s="13" t="n">
        <v>2</v>
      </c>
      <c r="E2551" s="13" t="n">
        <v>537.38</v>
      </c>
      <c r="F2551" s="13" t="s">
        <v>5325</v>
      </c>
      <c r="G2551" s="13" t="s">
        <v>5289</v>
      </c>
      <c r="H2551" s="13" t="s">
        <v>5289</v>
      </c>
      <c r="I2551" s="13" t="s">
        <v>5289</v>
      </c>
      <c r="J2551" s="13" t="s">
        <v>5289</v>
      </c>
      <c r="K2551" s="13" t="s">
        <v>5289</v>
      </c>
      <c r="L2551" s="13" t="n">
        <v>3147758029406</v>
      </c>
      <c r="M2551" s="13"/>
      <c r="N2551" s="13" t="n">
        <v>3147758029406</v>
      </c>
      <c r="O2551" s="13"/>
      <c r="P2551" s="13" t="s">
        <v>5291</v>
      </c>
      <c r="Q2551" s="13" t="s">
        <v>5289</v>
      </c>
      <c r="R2551" s="13" t="s">
        <v>5292</v>
      </c>
      <c r="S2551" s="13" t="s">
        <v>5293</v>
      </c>
      <c r="T2551" s="13" t="s">
        <v>5</v>
      </c>
      <c r="U2551" s="13" t="s">
        <v>43</v>
      </c>
      <c r="V2551" s="13" t="n">
        <f aca="false">IF(COUNTIF($B$2:B2551,B2551)=1,1,0)</f>
        <v>0</v>
      </c>
      <c r="W2551" s="13" t="n">
        <f aca="false">IF(COUNTIFS($B$2:B2551,B2551,$T$2:T2551,T2551)=1,1,0)</f>
        <v>0</v>
      </c>
    </row>
    <row r="2552" customFormat="false" ht="15" hidden="false" customHeight="false" outlineLevel="0" collapsed="false">
      <c r="A2552" s="13" t="s">
        <v>890</v>
      </c>
      <c r="B2552" s="13" t="s">
        <v>195</v>
      </c>
      <c r="C2552" s="13" t="n">
        <v>2100</v>
      </c>
      <c r="D2552" s="13" t="n">
        <v>2</v>
      </c>
      <c r="E2552" s="13" t="n">
        <v>1070.85</v>
      </c>
      <c r="F2552" s="13" t="s">
        <v>5288</v>
      </c>
      <c r="G2552" s="13" t="s">
        <v>5289</v>
      </c>
      <c r="H2552" s="13" t="s">
        <v>5289</v>
      </c>
      <c r="I2552" s="13" t="s">
        <v>5289</v>
      </c>
      <c r="J2552" s="13" t="s">
        <v>5289</v>
      </c>
      <c r="K2552" s="13" t="s">
        <v>5292</v>
      </c>
      <c r="L2552" s="13" t="n">
        <v>3616304679476</v>
      </c>
      <c r="M2552" s="13"/>
      <c r="N2552" s="13" t="n">
        <v>3616304679476</v>
      </c>
      <c r="O2552" s="13"/>
      <c r="P2552" s="13" t="s">
        <v>5297</v>
      </c>
      <c r="Q2552" s="13" t="s">
        <v>5289</v>
      </c>
      <c r="R2552" s="13" t="s">
        <v>5292</v>
      </c>
      <c r="S2552" s="13" t="s">
        <v>5293</v>
      </c>
      <c r="T2552" s="13" t="s">
        <v>5</v>
      </c>
      <c r="U2552" s="13" t="s">
        <v>43</v>
      </c>
      <c r="V2552" s="13" t="n">
        <f aca="false">IF(COUNTIF($B$2:B2552,B2552)=1,1,0)</f>
        <v>0</v>
      </c>
      <c r="W2552" s="13" t="n">
        <f aca="false">IF(COUNTIFS($B$2:B2552,B2552,$T$2:T2552,T2552)=1,1,0)</f>
        <v>0</v>
      </c>
    </row>
    <row r="2553" customFormat="false" ht="15" hidden="false" customHeight="false" outlineLevel="0" collapsed="false">
      <c r="A2553" s="13" t="s">
        <v>889</v>
      </c>
      <c r="B2553" s="13" t="s">
        <v>103</v>
      </c>
      <c r="C2553" s="13" t="n">
        <v>2100</v>
      </c>
      <c r="D2553" s="13" t="n">
        <v>10</v>
      </c>
      <c r="E2553" s="13" t="n">
        <v>194.640909090909</v>
      </c>
      <c r="F2553" s="13" t="s">
        <v>5325</v>
      </c>
      <c r="G2553" s="13" t="s">
        <v>5289</v>
      </c>
      <c r="H2553" s="13" t="s">
        <v>5289</v>
      </c>
      <c r="I2553" s="13" t="s">
        <v>5289</v>
      </c>
      <c r="J2553" s="13" t="s">
        <v>5289</v>
      </c>
      <c r="K2553" s="13" t="s">
        <v>5289</v>
      </c>
      <c r="L2553" s="13" t="n">
        <v>8411061784273</v>
      </c>
      <c r="M2553" s="13"/>
      <c r="N2553" s="13" t="n">
        <v>8.41106108293584E+025</v>
      </c>
      <c r="O2553" s="13"/>
      <c r="P2553" s="13" t="s">
        <v>5291</v>
      </c>
      <c r="Q2553" s="13" t="s">
        <v>5289</v>
      </c>
      <c r="R2553" s="13" t="s">
        <v>5292</v>
      </c>
      <c r="S2553" s="13" t="s">
        <v>5293</v>
      </c>
      <c r="T2553" s="13" t="s">
        <v>5</v>
      </c>
      <c r="U2553" s="13" t="s">
        <v>43</v>
      </c>
      <c r="V2553" s="13" t="n">
        <f aca="false">IF(COUNTIF($B$2:B2553,B2553)=1,1,0)</f>
        <v>0</v>
      </c>
      <c r="W2553" s="13" t="n">
        <f aca="false">IF(COUNTIFS($B$2:B2553,B2553,$T$2:T2553,T2553)=1,1,0)</f>
        <v>0</v>
      </c>
    </row>
    <row r="2554" customFormat="false" ht="15" hidden="false" customHeight="false" outlineLevel="0" collapsed="false">
      <c r="A2554" s="13" t="s">
        <v>888</v>
      </c>
      <c r="B2554" s="13" t="s">
        <v>45</v>
      </c>
      <c r="C2554" s="13" t="n">
        <v>2100</v>
      </c>
      <c r="D2554" s="13" t="n">
        <v>2</v>
      </c>
      <c r="E2554" s="13" t="n">
        <v>710.97</v>
      </c>
      <c r="F2554" s="13" t="s">
        <v>5325</v>
      </c>
      <c r="G2554" s="13" t="s">
        <v>5289</v>
      </c>
      <c r="H2554" s="13" t="s">
        <v>5292</v>
      </c>
      <c r="I2554" s="13" t="s">
        <v>5289</v>
      </c>
      <c r="J2554" s="13" t="s">
        <v>5289</v>
      </c>
      <c r="K2554" s="13" t="s">
        <v>5289</v>
      </c>
      <c r="L2554" s="13" t="n">
        <v>8435415017206</v>
      </c>
      <c r="M2554" s="13"/>
      <c r="N2554" s="13" t="n">
        <v>8.43541501720634E+025</v>
      </c>
      <c r="O2554" s="13"/>
      <c r="P2554" s="13" t="s">
        <v>5291</v>
      </c>
      <c r="Q2554" s="13" t="s">
        <v>5289</v>
      </c>
      <c r="R2554" s="13" t="s">
        <v>5292</v>
      </c>
      <c r="S2554" s="13" t="s">
        <v>5293</v>
      </c>
      <c r="T2554" s="13" t="s">
        <v>5</v>
      </c>
      <c r="U2554" s="13" t="s">
        <v>43</v>
      </c>
      <c r="V2554" s="13" t="n">
        <f aca="false">IF(COUNTIF($B$2:B2554,B2554)=1,1,0)</f>
        <v>0</v>
      </c>
      <c r="W2554" s="13" t="n">
        <f aca="false">IF(COUNTIFS($B$2:B2554,B2554,$T$2:T2554,T2554)=1,1,0)</f>
        <v>0</v>
      </c>
    </row>
    <row r="2555" customFormat="false" ht="15" hidden="false" customHeight="false" outlineLevel="0" collapsed="false">
      <c r="A2555" s="13" t="s">
        <v>891</v>
      </c>
      <c r="B2555" s="13" t="s">
        <v>153</v>
      </c>
      <c r="C2555" s="13" t="n">
        <v>2100</v>
      </c>
      <c r="D2555" s="13" t="n">
        <v>2</v>
      </c>
      <c r="E2555" s="13" t="n">
        <v>710.97</v>
      </c>
      <c r="F2555" s="13" t="s">
        <v>5288</v>
      </c>
      <c r="G2555" s="13" t="s">
        <v>5289</v>
      </c>
      <c r="H2555" s="13" t="s">
        <v>5289</v>
      </c>
      <c r="I2555" s="13" t="s">
        <v>5289</v>
      </c>
      <c r="J2555" s="13" t="s">
        <v>5289</v>
      </c>
      <c r="K2555" s="13" t="s">
        <v>5289</v>
      </c>
      <c r="L2555" s="13" t="n">
        <v>8011003804566</v>
      </c>
      <c r="M2555" s="13"/>
      <c r="N2555" s="13" t="n">
        <v>8011003804566</v>
      </c>
      <c r="O2555" s="13"/>
      <c r="P2555" s="13" t="s">
        <v>5291</v>
      </c>
      <c r="Q2555" s="13" t="s">
        <v>5289</v>
      </c>
      <c r="R2555" s="13" t="s">
        <v>5292</v>
      </c>
      <c r="S2555" s="13" t="s">
        <v>5293</v>
      </c>
      <c r="T2555" s="13" t="s">
        <v>5</v>
      </c>
      <c r="U2555" s="13" t="s">
        <v>43</v>
      </c>
      <c r="V2555" s="13" t="n">
        <f aca="false">IF(COUNTIF($B$2:B2555,B2555)=1,1,0)</f>
        <v>0</v>
      </c>
      <c r="W2555" s="13" t="n">
        <f aca="false">IF(COUNTIFS($B$2:B2555,B2555,$T$2:T2555,T2555)=1,1,0)</f>
        <v>0</v>
      </c>
    </row>
    <row r="2556" customFormat="false" ht="15" hidden="false" customHeight="false" outlineLevel="0" collapsed="false">
      <c r="A2556" s="13" t="s">
        <v>894</v>
      </c>
      <c r="B2556" s="13" t="s">
        <v>42</v>
      </c>
      <c r="C2556" s="13" t="n">
        <v>2100</v>
      </c>
      <c r="D2556" s="13" t="n">
        <v>5</v>
      </c>
      <c r="E2556" s="13" t="n">
        <v>211.9</v>
      </c>
      <c r="F2556" s="13" t="s">
        <v>5325</v>
      </c>
      <c r="G2556" s="13" t="s">
        <v>5292</v>
      </c>
      <c r="H2556" s="13" t="s">
        <v>5292</v>
      </c>
      <c r="I2556" s="13" t="s">
        <v>5289</v>
      </c>
      <c r="J2556" s="13" t="s">
        <v>5289</v>
      </c>
      <c r="K2556" s="13" t="s">
        <v>5289</v>
      </c>
      <c r="L2556" s="13"/>
      <c r="M2556" s="13"/>
      <c r="N2556" s="13" t="n">
        <v>8411061023167</v>
      </c>
      <c r="O2556" s="13"/>
      <c r="P2556" s="13" t="s">
        <v>5291</v>
      </c>
      <c r="Q2556" s="13" t="s">
        <v>5289</v>
      </c>
      <c r="R2556" s="13" t="s">
        <v>5292</v>
      </c>
      <c r="S2556" s="13" t="s">
        <v>5293</v>
      </c>
      <c r="T2556" s="13" t="s">
        <v>5</v>
      </c>
      <c r="U2556" s="13" t="s">
        <v>43</v>
      </c>
      <c r="V2556" s="13" t="n">
        <f aca="false">IF(COUNTIF($B$2:B2556,B2556)=1,1,0)</f>
        <v>0</v>
      </c>
      <c r="W2556" s="13" t="n">
        <f aca="false">IF(COUNTIFS($B$2:B2556,B2556,$T$2:T2556,T2556)=1,1,0)</f>
        <v>0</v>
      </c>
    </row>
    <row r="2557" customFormat="false" ht="15" hidden="false" customHeight="false" outlineLevel="0" collapsed="false">
      <c r="A2557" s="13" t="s">
        <v>886</v>
      </c>
      <c r="B2557" s="13" t="s">
        <v>54</v>
      </c>
      <c r="C2557" s="13" t="n">
        <v>2100</v>
      </c>
      <c r="D2557" s="13" t="n">
        <v>5</v>
      </c>
      <c r="E2557" s="13" t="n">
        <v>350.85</v>
      </c>
      <c r="F2557" s="13" t="s">
        <v>5325</v>
      </c>
      <c r="G2557" s="13" t="s">
        <v>5289</v>
      </c>
      <c r="H2557" s="13" t="s">
        <v>5289</v>
      </c>
      <c r="I2557" s="13" t="s">
        <v>5289</v>
      </c>
      <c r="J2557" s="13" t="s">
        <v>5289</v>
      </c>
      <c r="K2557" s="13" t="s">
        <v>5292</v>
      </c>
      <c r="L2557" s="13"/>
      <c r="M2557" s="13"/>
      <c r="N2557" s="13" t="n">
        <v>768614182092</v>
      </c>
      <c r="O2557" s="13"/>
      <c r="P2557" s="13" t="s">
        <v>5297</v>
      </c>
      <c r="Q2557" s="13" t="s">
        <v>5289</v>
      </c>
      <c r="R2557" s="13" t="s">
        <v>5292</v>
      </c>
      <c r="S2557" s="13" t="s">
        <v>5293</v>
      </c>
      <c r="T2557" s="13" t="s">
        <v>5</v>
      </c>
      <c r="U2557" s="13" t="s">
        <v>43</v>
      </c>
      <c r="V2557" s="13" t="n">
        <f aca="false">IF(COUNTIF($B$2:B2557,B2557)=1,1,0)</f>
        <v>0</v>
      </c>
      <c r="W2557" s="13" t="n">
        <f aca="false">IF(COUNTIFS($B$2:B2557,B2557,$T$2:T2557,T2557)=1,1,0)</f>
        <v>0</v>
      </c>
    </row>
    <row r="2558" customFormat="false" ht="15" hidden="false" customHeight="false" outlineLevel="0" collapsed="false">
      <c r="A2558" s="13" t="s">
        <v>875</v>
      </c>
      <c r="B2558" s="13" t="s">
        <v>50</v>
      </c>
      <c r="C2558" s="13" t="n">
        <v>2100</v>
      </c>
      <c r="D2558" s="13" t="n">
        <v>2</v>
      </c>
      <c r="E2558" s="13" t="n">
        <v>1051.96</v>
      </c>
      <c r="F2558" s="13" t="s">
        <v>5325</v>
      </c>
      <c r="G2558" s="13" t="s">
        <v>5289</v>
      </c>
      <c r="H2558" s="13" t="s">
        <v>5292</v>
      </c>
      <c r="I2558" s="13" t="s">
        <v>5289</v>
      </c>
      <c r="J2558" s="13" t="s">
        <v>5289</v>
      </c>
      <c r="K2558" s="13" t="s">
        <v>5289</v>
      </c>
      <c r="L2558" s="13" t="n">
        <v>3349668662685</v>
      </c>
      <c r="M2558" s="13"/>
      <c r="N2558" s="13" t="n">
        <v>3349668662685</v>
      </c>
      <c r="O2558" s="13"/>
      <c r="P2558" s="13" t="s">
        <v>5291</v>
      </c>
      <c r="Q2558" s="13" t="s">
        <v>5289</v>
      </c>
      <c r="R2558" s="13" t="s">
        <v>5292</v>
      </c>
      <c r="S2558" s="13" t="s">
        <v>5293</v>
      </c>
      <c r="T2558" s="13" t="s">
        <v>5</v>
      </c>
      <c r="U2558" s="13" t="s">
        <v>43</v>
      </c>
      <c r="V2558" s="13" t="n">
        <f aca="false">IF(COUNTIF($B$2:B2558,B2558)=1,1,0)</f>
        <v>0</v>
      </c>
      <c r="W2558" s="13" t="n">
        <f aca="false">IF(COUNTIFS($B$2:B2558,B2558,$T$2:T2558,T2558)=1,1,0)</f>
        <v>0</v>
      </c>
    </row>
    <row r="2559" customFormat="false" ht="15" hidden="false" customHeight="false" outlineLevel="0" collapsed="false">
      <c r="A2559" s="13" t="s">
        <v>876</v>
      </c>
      <c r="B2559" s="13" t="s">
        <v>69</v>
      </c>
      <c r="C2559" s="13" t="n">
        <v>2100</v>
      </c>
      <c r="D2559" s="13" t="n">
        <v>2</v>
      </c>
      <c r="E2559" s="13" t="n">
        <v>700</v>
      </c>
      <c r="F2559" s="13" t="s">
        <v>5325</v>
      </c>
      <c r="G2559" s="13" t="s">
        <v>5289</v>
      </c>
      <c r="H2559" s="13" t="s">
        <v>5292</v>
      </c>
      <c r="I2559" s="13" t="s">
        <v>5289</v>
      </c>
      <c r="J2559" s="13" t="s">
        <v>5289</v>
      </c>
      <c r="K2559" s="13" t="s">
        <v>5289</v>
      </c>
      <c r="L2559" s="13" t="n">
        <v>3614273776134</v>
      </c>
      <c r="M2559" s="13"/>
      <c r="N2559" s="13" t="n">
        <v>3614273776134</v>
      </c>
      <c r="O2559" s="13"/>
      <c r="P2559" s="13" t="s">
        <v>5291</v>
      </c>
      <c r="Q2559" s="13" t="s">
        <v>5289</v>
      </c>
      <c r="R2559" s="13" t="s">
        <v>5292</v>
      </c>
      <c r="S2559" s="13" t="s">
        <v>5293</v>
      </c>
      <c r="T2559" s="13" t="s">
        <v>5</v>
      </c>
      <c r="U2559" s="13" t="s">
        <v>43</v>
      </c>
      <c r="V2559" s="13" t="n">
        <f aca="false">IF(COUNTIF($B$2:B2559,B2559)=1,1,0)</f>
        <v>0</v>
      </c>
      <c r="W2559" s="13" t="n">
        <f aca="false">IF(COUNTIFS($B$2:B2559,B2559,$T$2:T2559,T2559)=1,1,0)</f>
        <v>0</v>
      </c>
    </row>
    <row r="2560" customFormat="false" ht="15" hidden="false" customHeight="false" outlineLevel="0" collapsed="false">
      <c r="A2560" s="13" t="s">
        <v>212</v>
      </c>
      <c r="B2560" s="13" t="s">
        <v>61</v>
      </c>
      <c r="C2560" s="13" t="n">
        <v>2100</v>
      </c>
      <c r="D2560" s="13" t="n">
        <v>2</v>
      </c>
      <c r="E2560" s="13" t="n">
        <v>698.61</v>
      </c>
      <c r="F2560" s="13" t="s">
        <v>5325</v>
      </c>
      <c r="G2560" s="13" t="s">
        <v>5289</v>
      </c>
      <c r="H2560" s="13" t="s">
        <v>5289</v>
      </c>
      <c r="I2560" s="13" t="s">
        <v>5289</v>
      </c>
      <c r="J2560" s="13" t="s">
        <v>5289</v>
      </c>
      <c r="K2560" s="13" t="s">
        <v>5289</v>
      </c>
      <c r="L2560" s="13" t="n">
        <v>3605533315224</v>
      </c>
      <c r="M2560" s="13"/>
      <c r="N2560" s="13" t="n">
        <v>3605533315224</v>
      </c>
      <c r="O2560" s="13"/>
      <c r="P2560" s="13" t="s">
        <v>5291</v>
      </c>
      <c r="Q2560" s="13" t="s">
        <v>5289</v>
      </c>
      <c r="R2560" s="13" t="s">
        <v>5292</v>
      </c>
      <c r="S2560" s="13" t="s">
        <v>5293</v>
      </c>
      <c r="T2560" s="13" t="s">
        <v>5</v>
      </c>
      <c r="U2560" s="13" t="s">
        <v>43</v>
      </c>
      <c r="V2560" s="13" t="n">
        <f aca="false">IF(COUNTIF($B$2:B2560,B2560)=1,1,0)</f>
        <v>0</v>
      </c>
      <c r="W2560" s="13" t="n">
        <f aca="false">IF(COUNTIFS($B$2:B2560,B2560,$T$2:T2560,T2560)=1,1,0)</f>
        <v>0</v>
      </c>
    </row>
    <row r="2561" customFormat="false" ht="15" hidden="false" customHeight="false" outlineLevel="0" collapsed="false">
      <c r="A2561" s="13" t="s">
        <v>880</v>
      </c>
      <c r="B2561" s="13" t="s">
        <v>103</v>
      </c>
      <c r="C2561" s="13" t="n">
        <v>2100</v>
      </c>
      <c r="D2561" s="13" t="n">
        <v>5</v>
      </c>
      <c r="E2561" s="13" t="n">
        <v>232.65</v>
      </c>
      <c r="F2561" s="13" t="s">
        <v>5325</v>
      </c>
      <c r="G2561" s="13" t="s">
        <v>5289</v>
      </c>
      <c r="H2561" s="13" t="s">
        <v>5289</v>
      </c>
      <c r="I2561" s="13" t="s">
        <v>5289</v>
      </c>
      <c r="J2561" s="13" t="s">
        <v>5289</v>
      </c>
      <c r="K2561" s="13" t="s">
        <v>5289</v>
      </c>
      <c r="L2561" s="13" t="n">
        <v>8411061001844</v>
      </c>
      <c r="M2561" s="13"/>
      <c r="N2561" s="13" t="n">
        <v>8411061001844</v>
      </c>
      <c r="O2561" s="13"/>
      <c r="P2561" s="13" t="s">
        <v>5291</v>
      </c>
      <c r="Q2561" s="13" t="s">
        <v>5289</v>
      </c>
      <c r="R2561" s="13" t="s">
        <v>5292</v>
      </c>
      <c r="S2561" s="13" t="s">
        <v>5293</v>
      </c>
      <c r="T2561" s="13" t="s">
        <v>5</v>
      </c>
      <c r="U2561" s="13" t="s">
        <v>43</v>
      </c>
      <c r="V2561" s="13" t="n">
        <f aca="false">IF(COUNTIF($B$2:B2561,B2561)=1,1,0)</f>
        <v>0</v>
      </c>
      <c r="W2561" s="13" t="n">
        <f aca="false">IF(COUNTIFS($B$2:B2561,B2561,$T$2:T2561,T2561)=1,1,0)</f>
        <v>0</v>
      </c>
    </row>
    <row r="2562" customFormat="false" ht="15" hidden="false" customHeight="false" outlineLevel="0" collapsed="false">
      <c r="A2562" s="13" t="s">
        <v>644</v>
      </c>
      <c r="B2562" s="13" t="s">
        <v>50</v>
      </c>
      <c r="C2562" s="13" t="n">
        <v>2100</v>
      </c>
      <c r="D2562" s="13" t="n">
        <v>2</v>
      </c>
      <c r="E2562" s="13" t="n">
        <v>691.963333333333</v>
      </c>
      <c r="F2562" s="13" t="s">
        <v>5325</v>
      </c>
      <c r="G2562" s="13" t="s">
        <v>5289</v>
      </c>
      <c r="H2562" s="13" t="s">
        <v>5289</v>
      </c>
      <c r="I2562" s="13" t="s">
        <v>5289</v>
      </c>
      <c r="J2562" s="13" t="s">
        <v>5289</v>
      </c>
      <c r="K2562" s="13" t="s">
        <v>5289</v>
      </c>
      <c r="L2562" s="13" t="n">
        <v>3349668661640</v>
      </c>
      <c r="M2562" s="13"/>
      <c r="N2562" s="13" t="n">
        <v>3349668661640</v>
      </c>
      <c r="O2562" s="13"/>
      <c r="P2562" s="13" t="s">
        <v>5291</v>
      </c>
      <c r="Q2562" s="13" t="s">
        <v>5289</v>
      </c>
      <c r="R2562" s="13" t="s">
        <v>5292</v>
      </c>
      <c r="S2562" s="13" t="s">
        <v>5293</v>
      </c>
      <c r="T2562" s="13" t="s">
        <v>5</v>
      </c>
      <c r="U2562" s="13" t="s">
        <v>43</v>
      </c>
      <c r="V2562" s="13" t="n">
        <f aca="false">IF(COUNTIF($B$2:B2562,B2562)=1,1,0)</f>
        <v>0</v>
      </c>
      <c r="W2562" s="13" t="n">
        <f aca="false">IF(COUNTIFS($B$2:B2562,B2562,$T$2:T2562,T2562)=1,1,0)</f>
        <v>0</v>
      </c>
    </row>
    <row r="2563" customFormat="false" ht="15" hidden="false" customHeight="false" outlineLevel="0" collapsed="false">
      <c r="A2563" s="13" t="s">
        <v>882</v>
      </c>
      <c r="B2563" s="13" t="s">
        <v>107</v>
      </c>
      <c r="C2563" s="13" t="n">
        <v>2100</v>
      </c>
      <c r="D2563" s="13" t="n">
        <v>5</v>
      </c>
      <c r="E2563" s="13" t="n">
        <v>259.125</v>
      </c>
      <c r="F2563" s="13" t="s">
        <v>5325</v>
      </c>
      <c r="G2563" s="13" t="s">
        <v>5292</v>
      </c>
      <c r="H2563" s="13" t="s">
        <v>5289</v>
      </c>
      <c r="I2563" s="13" t="s">
        <v>5289</v>
      </c>
      <c r="J2563" s="13" t="s">
        <v>5289</v>
      </c>
      <c r="K2563" s="13" t="s">
        <v>5289</v>
      </c>
      <c r="L2563" s="13"/>
      <c r="M2563" s="13"/>
      <c r="N2563" s="13" t="n">
        <v>9000250313838</v>
      </c>
      <c r="O2563" s="13"/>
      <c r="P2563" s="13" t="s">
        <v>5297</v>
      </c>
      <c r="Q2563" s="13" t="s">
        <v>5289</v>
      </c>
      <c r="R2563" s="13" t="s">
        <v>5292</v>
      </c>
      <c r="S2563" s="13" t="s">
        <v>5293</v>
      </c>
      <c r="T2563" s="13" t="s">
        <v>5</v>
      </c>
      <c r="U2563" s="13" t="s">
        <v>183</v>
      </c>
      <c r="V2563" s="13" t="n">
        <f aca="false">IF(COUNTIF($B$2:B2563,B2563)=1,1,0)</f>
        <v>0</v>
      </c>
      <c r="W2563" s="13" t="n">
        <f aca="false">IF(COUNTIFS($B$2:B2563,B2563,$T$2:T2563,T2563)=1,1,0)</f>
        <v>0</v>
      </c>
    </row>
    <row r="2564" customFormat="false" ht="15" hidden="false" customHeight="false" outlineLevel="0" collapsed="false">
      <c r="A2564" s="13" t="s">
        <v>881</v>
      </c>
      <c r="B2564" s="13" t="s">
        <v>45</v>
      </c>
      <c r="C2564" s="13" t="n">
        <v>2100</v>
      </c>
      <c r="D2564" s="13" t="n">
        <v>2</v>
      </c>
      <c r="E2564" s="13" t="n">
        <v>1034.925</v>
      </c>
      <c r="F2564" s="13" t="s">
        <v>5325</v>
      </c>
      <c r="G2564" s="13" t="s">
        <v>5289</v>
      </c>
      <c r="H2564" s="13" t="s">
        <v>5292</v>
      </c>
      <c r="I2564" s="13" t="s">
        <v>5289</v>
      </c>
      <c r="J2564" s="13" t="s">
        <v>5289</v>
      </c>
      <c r="K2564" s="13" t="s">
        <v>5289</v>
      </c>
      <c r="L2564" s="13"/>
      <c r="M2564" s="13"/>
      <c r="N2564" s="13" t="n">
        <v>8435415105316</v>
      </c>
      <c r="O2564" s="13"/>
      <c r="P2564" s="13" t="s">
        <v>5291</v>
      </c>
      <c r="Q2564" s="13" t="s">
        <v>5289</v>
      </c>
      <c r="R2564" s="13" t="s">
        <v>5292</v>
      </c>
      <c r="S2564" s="13" t="s">
        <v>5293</v>
      </c>
      <c r="T2564" s="13" t="s">
        <v>5</v>
      </c>
      <c r="U2564" s="13" t="s">
        <v>43</v>
      </c>
      <c r="V2564" s="13" t="n">
        <f aca="false">IF(COUNTIF($B$2:B2564,B2564)=1,1,0)</f>
        <v>0</v>
      </c>
      <c r="W2564" s="13" t="n">
        <f aca="false">IF(COUNTIFS($B$2:B2564,B2564,$T$2:T2564,T2564)=1,1,0)</f>
        <v>0</v>
      </c>
    </row>
    <row r="2565" customFormat="false" ht="15" hidden="false" customHeight="false" outlineLevel="0" collapsed="false">
      <c r="A2565" s="13" t="s">
        <v>899</v>
      </c>
      <c r="B2565" s="13" t="s">
        <v>50</v>
      </c>
      <c r="C2565" s="13" t="n">
        <v>2100</v>
      </c>
      <c r="D2565" s="13" t="n">
        <v>5</v>
      </c>
      <c r="E2565" s="13" t="n">
        <v>295.49</v>
      </c>
      <c r="F2565" s="13" t="s">
        <v>5325</v>
      </c>
      <c r="G2565" s="13" t="s">
        <v>5289</v>
      </c>
      <c r="H2565" s="13" t="s">
        <v>5292</v>
      </c>
      <c r="I2565" s="13" t="s">
        <v>5289</v>
      </c>
      <c r="J2565" s="13" t="s">
        <v>5289</v>
      </c>
      <c r="K2565" s="13" t="s">
        <v>5289</v>
      </c>
      <c r="L2565" s="13" t="n">
        <v>3349668616237</v>
      </c>
      <c r="M2565" s="13"/>
      <c r="N2565" s="13" t="n">
        <v>3349668616237</v>
      </c>
      <c r="O2565" s="13"/>
      <c r="P2565" s="13" t="s">
        <v>5291</v>
      </c>
      <c r="Q2565" s="13" t="s">
        <v>5289</v>
      </c>
      <c r="R2565" s="13" t="s">
        <v>5292</v>
      </c>
      <c r="S2565" s="13" t="s">
        <v>5293</v>
      </c>
      <c r="T2565" s="13" t="s">
        <v>5</v>
      </c>
      <c r="U2565" s="13" t="s">
        <v>43</v>
      </c>
      <c r="V2565" s="13" t="n">
        <f aca="false">IF(COUNTIF($B$2:B2565,B2565)=1,1,0)</f>
        <v>0</v>
      </c>
      <c r="W2565" s="13" t="n">
        <f aca="false">IF(COUNTIFS($B$2:B2565,B2565,$T$2:T2565,T2565)=1,1,0)</f>
        <v>0</v>
      </c>
    </row>
    <row r="2566" customFormat="false" ht="15" hidden="false" customHeight="false" outlineLevel="0" collapsed="false">
      <c r="A2566" s="13" t="s">
        <v>899</v>
      </c>
      <c r="B2566" s="13" t="s">
        <v>50</v>
      </c>
      <c r="C2566" s="13" t="n">
        <v>2100</v>
      </c>
      <c r="D2566" s="13" t="n">
        <v>5</v>
      </c>
      <c r="E2566" s="13" t="n">
        <v>295.49</v>
      </c>
      <c r="F2566" s="13" t="s">
        <v>5325</v>
      </c>
      <c r="G2566" s="13" t="s">
        <v>5292</v>
      </c>
      <c r="H2566" s="13" t="s">
        <v>5292</v>
      </c>
      <c r="I2566" s="13" t="s">
        <v>5289</v>
      </c>
      <c r="J2566" s="13" t="s">
        <v>5289</v>
      </c>
      <c r="K2566" s="13" t="s">
        <v>5289</v>
      </c>
      <c r="L2566" s="13" t="n">
        <v>3349668616237</v>
      </c>
      <c r="M2566" s="13"/>
      <c r="N2566" s="13" t="n">
        <v>3349668616237</v>
      </c>
      <c r="O2566" s="13"/>
      <c r="P2566" s="13" t="s">
        <v>5291</v>
      </c>
      <c r="Q2566" s="13" t="s">
        <v>5289</v>
      </c>
      <c r="R2566" s="13" t="s">
        <v>5292</v>
      </c>
      <c r="S2566" s="13" t="s">
        <v>5293</v>
      </c>
      <c r="T2566" s="13" t="s">
        <v>5</v>
      </c>
      <c r="U2566" s="13" t="s">
        <v>43</v>
      </c>
      <c r="V2566" s="13" t="n">
        <f aca="false">IF(COUNTIF($B$2:B2566,B2566)=1,1,0)</f>
        <v>0</v>
      </c>
      <c r="W2566" s="13" t="n">
        <f aca="false">IF(COUNTIFS($B$2:B2566,B2566,$T$2:T2566,T2566)=1,1,0)</f>
        <v>0</v>
      </c>
    </row>
    <row r="2567" customFormat="false" ht="15" hidden="false" customHeight="false" outlineLevel="0" collapsed="false">
      <c r="A2567" s="13" t="s">
        <v>96</v>
      </c>
      <c r="B2567" s="13" t="s">
        <v>72</v>
      </c>
      <c r="C2567" s="13" t="n">
        <v>2100</v>
      </c>
      <c r="D2567" s="13" t="n">
        <v>2</v>
      </c>
      <c r="E2567" s="13" t="n">
        <v>689</v>
      </c>
      <c r="F2567" s="13" t="s">
        <v>5325</v>
      </c>
      <c r="G2567" s="13" t="s">
        <v>5289</v>
      </c>
      <c r="H2567" s="13" t="s">
        <v>5289</v>
      </c>
      <c r="I2567" s="13" t="s">
        <v>5289</v>
      </c>
      <c r="J2567" s="13" t="s">
        <v>5289</v>
      </c>
      <c r="K2567" s="13" t="s">
        <v>5289</v>
      </c>
      <c r="L2567" s="13" t="n">
        <v>3614274182897</v>
      </c>
      <c r="M2567" s="13"/>
      <c r="N2567" s="13" t="n">
        <v>3614274182897</v>
      </c>
      <c r="O2567" s="13"/>
      <c r="P2567" s="13" t="s">
        <v>5291</v>
      </c>
      <c r="Q2567" s="13" t="s">
        <v>5289</v>
      </c>
      <c r="R2567" s="13" t="s">
        <v>5292</v>
      </c>
      <c r="S2567" s="13" t="s">
        <v>5293</v>
      </c>
      <c r="T2567" s="13" t="s">
        <v>5</v>
      </c>
      <c r="U2567" s="13" t="s">
        <v>43</v>
      </c>
      <c r="V2567" s="13" t="n">
        <f aca="false">IF(COUNTIF($B$2:B2567,B2567)=1,1,0)</f>
        <v>0</v>
      </c>
      <c r="W2567" s="13" t="n">
        <f aca="false">IF(COUNTIFS($B$2:B2567,B2567,$T$2:T2567,T2567)=1,1,0)</f>
        <v>0</v>
      </c>
    </row>
    <row r="2568" customFormat="false" ht="15" hidden="false" customHeight="false" outlineLevel="0" collapsed="false">
      <c r="A2568" s="13" t="s">
        <v>898</v>
      </c>
      <c r="B2568" s="13" t="s">
        <v>42</v>
      </c>
      <c r="C2568" s="13" t="n">
        <v>2100</v>
      </c>
      <c r="D2568" s="13" t="n">
        <v>5</v>
      </c>
      <c r="E2568" s="13" t="n">
        <v>258.0375</v>
      </c>
      <c r="F2568" s="13" t="s">
        <v>5288</v>
      </c>
      <c r="G2568" s="13" t="s">
        <v>5292</v>
      </c>
      <c r="H2568" s="13" t="s">
        <v>5292</v>
      </c>
      <c r="I2568" s="13" t="s">
        <v>5289</v>
      </c>
      <c r="J2568" s="13" t="s">
        <v>5289</v>
      </c>
      <c r="K2568" s="13" t="s">
        <v>5292</v>
      </c>
      <c r="L2568" s="13" t="n">
        <v>8411061906804</v>
      </c>
      <c r="M2568" s="13"/>
      <c r="N2568" s="13" t="n">
        <v>8411061906804</v>
      </c>
      <c r="O2568" s="13"/>
      <c r="P2568" s="13" t="s">
        <v>5291</v>
      </c>
      <c r="Q2568" s="13" t="s">
        <v>5289</v>
      </c>
      <c r="R2568" s="13" t="s">
        <v>5292</v>
      </c>
      <c r="S2568" s="13" t="s">
        <v>5293</v>
      </c>
      <c r="T2568" s="13" t="s">
        <v>5</v>
      </c>
      <c r="U2568" s="13" t="s">
        <v>43</v>
      </c>
      <c r="V2568" s="13" t="n">
        <f aca="false">IF(COUNTIF($B$2:B2568,B2568)=1,1,0)</f>
        <v>0</v>
      </c>
      <c r="W2568" s="13" t="n">
        <f aca="false">IF(COUNTIFS($B$2:B2568,B2568,$T$2:T2568,T2568)=1,1,0)</f>
        <v>0</v>
      </c>
    </row>
    <row r="2569" customFormat="false" ht="15" hidden="false" customHeight="false" outlineLevel="0" collapsed="false">
      <c r="A2569" s="13" t="s">
        <v>897</v>
      </c>
      <c r="B2569" s="13" t="s">
        <v>177</v>
      </c>
      <c r="C2569" s="13" t="n">
        <v>2100</v>
      </c>
      <c r="D2569" s="13" t="n">
        <v>2</v>
      </c>
      <c r="E2569" s="13" t="n">
        <v>1028.85</v>
      </c>
      <c r="F2569" s="13" t="s">
        <v>5325</v>
      </c>
      <c r="G2569" s="13" t="s">
        <v>5289</v>
      </c>
      <c r="H2569" s="13" t="s">
        <v>5292</v>
      </c>
      <c r="I2569" s="13" t="s">
        <v>5289</v>
      </c>
      <c r="J2569" s="13" t="s">
        <v>5289</v>
      </c>
      <c r="K2569" s="13" t="s">
        <v>5292</v>
      </c>
      <c r="L2569" s="13"/>
      <c r="M2569" s="13"/>
      <c r="N2569" s="13" t="n">
        <v>3616305169273</v>
      </c>
      <c r="O2569" s="13"/>
      <c r="P2569" s="13" t="s">
        <v>5291</v>
      </c>
      <c r="Q2569" s="13" t="s">
        <v>5289</v>
      </c>
      <c r="R2569" s="13" t="s">
        <v>5292</v>
      </c>
      <c r="S2569" s="13" t="s">
        <v>5293</v>
      </c>
      <c r="T2569" s="13" t="s">
        <v>5</v>
      </c>
      <c r="U2569" s="13" t="s">
        <v>43</v>
      </c>
      <c r="V2569" s="13" t="n">
        <f aca="false">IF(COUNTIF($B$2:B2569,B2569)=1,1,0)</f>
        <v>0</v>
      </c>
      <c r="W2569" s="13" t="n">
        <f aca="false">IF(COUNTIFS($B$2:B2569,B2569,$T$2:T2569,T2569)=1,1,0)</f>
        <v>0</v>
      </c>
    </row>
    <row r="2570" customFormat="false" ht="15" hidden="false" customHeight="false" outlineLevel="0" collapsed="false">
      <c r="A2570" s="13" t="s">
        <v>580</v>
      </c>
      <c r="B2570" s="13" t="s">
        <v>79</v>
      </c>
      <c r="C2570" s="13" t="n">
        <v>2100</v>
      </c>
      <c r="D2570" s="13" t="n">
        <v>5</v>
      </c>
      <c r="E2570" s="13" t="n">
        <v>341.773333333333</v>
      </c>
      <c r="F2570" s="13" t="s">
        <v>5288</v>
      </c>
      <c r="G2570" s="13" t="s">
        <v>5292</v>
      </c>
      <c r="H2570" s="13" t="s">
        <v>5289</v>
      </c>
      <c r="I2570" s="13" t="s">
        <v>5289</v>
      </c>
      <c r="J2570" s="13" t="s">
        <v>5289</v>
      </c>
      <c r="K2570" s="13" t="s">
        <v>5289</v>
      </c>
      <c r="L2570" s="13" t="n">
        <v>8057971183715</v>
      </c>
      <c r="M2570" s="13"/>
      <c r="N2570" s="13" t="n">
        <v>8057971183715</v>
      </c>
      <c r="O2570" s="13"/>
      <c r="P2570" s="13" t="s">
        <v>5291</v>
      </c>
      <c r="Q2570" s="13" t="s">
        <v>5289</v>
      </c>
      <c r="R2570" s="13" t="s">
        <v>5292</v>
      </c>
      <c r="S2570" s="13" t="s">
        <v>5293</v>
      </c>
      <c r="T2570" s="13" t="s">
        <v>5</v>
      </c>
      <c r="U2570" s="13" t="s">
        <v>43</v>
      </c>
      <c r="V2570" s="13" t="n">
        <f aca="false">IF(COUNTIF($B$2:B2570,B2570)=1,1,0)</f>
        <v>0</v>
      </c>
      <c r="W2570" s="13" t="n">
        <f aca="false">IF(COUNTIFS($B$2:B2570,B2570,$T$2:T2570,T2570)=1,1,0)</f>
        <v>0</v>
      </c>
    </row>
    <row r="2571" customFormat="false" ht="15" hidden="false" customHeight="false" outlineLevel="0" collapsed="false">
      <c r="A2571" s="13" t="s">
        <v>919</v>
      </c>
      <c r="B2571" s="13" t="s">
        <v>107</v>
      </c>
      <c r="C2571" s="13" t="n">
        <v>2000</v>
      </c>
      <c r="D2571" s="13" t="n">
        <v>2</v>
      </c>
      <c r="E2571" s="13" t="n">
        <v>512</v>
      </c>
      <c r="F2571" s="13" t="s">
        <v>5288</v>
      </c>
      <c r="G2571" s="13" t="s">
        <v>5292</v>
      </c>
      <c r="H2571" s="13" t="s">
        <v>5289</v>
      </c>
      <c r="I2571" s="13" t="s">
        <v>5289</v>
      </c>
      <c r="J2571" s="13" t="s">
        <v>5289</v>
      </c>
      <c r="K2571" s="13" t="s">
        <v>5289</v>
      </c>
      <c r="L2571" s="13" t="n">
        <v>9000250295875</v>
      </c>
      <c r="M2571" s="13"/>
      <c r="N2571" s="13" t="n">
        <v>9000250295875</v>
      </c>
      <c r="O2571" s="13"/>
      <c r="P2571" s="13" t="s">
        <v>5291</v>
      </c>
      <c r="Q2571" s="13" t="s">
        <v>5289</v>
      </c>
      <c r="R2571" s="13" t="s">
        <v>5292</v>
      </c>
      <c r="S2571" s="13" t="s">
        <v>5293</v>
      </c>
      <c r="T2571" s="13" t="s">
        <v>5</v>
      </c>
      <c r="U2571" s="13" t="s">
        <v>183</v>
      </c>
      <c r="V2571" s="13" t="n">
        <f aca="false">IF(COUNTIF($B$2:B2571,B2571)=1,1,0)</f>
        <v>0</v>
      </c>
      <c r="W2571" s="13" t="n">
        <f aca="false">IF(COUNTIFS($B$2:B2571,B2571,$T$2:T2571,T2571)=1,1,0)</f>
        <v>0</v>
      </c>
    </row>
    <row r="2572" customFormat="false" ht="15" hidden="false" customHeight="false" outlineLevel="0" collapsed="false">
      <c r="A2572" s="13" t="s">
        <v>924</v>
      </c>
      <c r="B2572" s="13" t="s">
        <v>72</v>
      </c>
      <c r="C2572" s="13" t="n">
        <v>2000</v>
      </c>
      <c r="D2572" s="13" t="n">
        <v>2</v>
      </c>
      <c r="E2572" s="13" t="n">
        <v>1020.72</v>
      </c>
      <c r="F2572" s="13" t="s">
        <v>5325</v>
      </c>
      <c r="G2572" s="13" t="s">
        <v>5289</v>
      </c>
      <c r="H2572" s="13" t="s">
        <v>5292</v>
      </c>
      <c r="I2572" s="13" t="s">
        <v>5289</v>
      </c>
      <c r="J2572" s="13" t="s">
        <v>5289</v>
      </c>
      <c r="K2572" s="13" t="s">
        <v>5289</v>
      </c>
      <c r="L2572" s="13"/>
      <c r="M2572" s="13"/>
      <c r="N2572" s="13" t="n">
        <v>3614274000597</v>
      </c>
      <c r="O2572" s="13"/>
      <c r="P2572" s="13" t="s">
        <v>5291</v>
      </c>
      <c r="Q2572" s="13" t="s">
        <v>5289</v>
      </c>
      <c r="R2572" s="13" t="s">
        <v>5292</v>
      </c>
      <c r="S2572" s="13" t="s">
        <v>5293</v>
      </c>
      <c r="T2572" s="13" t="s">
        <v>5</v>
      </c>
      <c r="U2572" s="13" t="s">
        <v>43</v>
      </c>
      <c r="V2572" s="13" t="n">
        <f aca="false">IF(COUNTIF($B$2:B2572,B2572)=1,1,0)</f>
        <v>0</v>
      </c>
      <c r="W2572" s="13" t="n">
        <f aca="false">IF(COUNTIFS($B$2:B2572,B2572,$T$2:T2572,T2572)=1,1,0)</f>
        <v>0</v>
      </c>
    </row>
    <row r="2573" customFormat="false" ht="15" hidden="false" customHeight="false" outlineLevel="0" collapsed="false">
      <c r="A2573" s="13" t="s">
        <v>921</v>
      </c>
      <c r="B2573" s="13" t="s">
        <v>153</v>
      </c>
      <c r="C2573" s="13" t="n">
        <v>2000</v>
      </c>
      <c r="D2573" s="13" t="n">
        <v>5</v>
      </c>
      <c r="E2573" s="13" t="n">
        <v>407.664</v>
      </c>
      <c r="F2573" s="13" t="s">
        <v>5288</v>
      </c>
      <c r="G2573" s="13" t="s">
        <v>5289</v>
      </c>
      <c r="H2573" s="13" t="s">
        <v>5289</v>
      </c>
      <c r="I2573" s="13" t="s">
        <v>5289</v>
      </c>
      <c r="J2573" s="13" t="s">
        <v>5289</v>
      </c>
      <c r="K2573" s="13" t="s">
        <v>5289</v>
      </c>
      <c r="L2573" s="13" t="n">
        <v>8011003845347</v>
      </c>
      <c r="M2573" s="13"/>
      <c r="N2573" s="13" t="n">
        <v>8011003845347</v>
      </c>
      <c r="O2573" s="13"/>
      <c r="P2573" s="13" t="s">
        <v>5291</v>
      </c>
      <c r="Q2573" s="13" t="s">
        <v>5289</v>
      </c>
      <c r="R2573" s="13" t="s">
        <v>5292</v>
      </c>
      <c r="S2573" s="13" t="s">
        <v>5293</v>
      </c>
      <c r="T2573" s="13" t="s">
        <v>5</v>
      </c>
      <c r="U2573" s="13" t="s">
        <v>43</v>
      </c>
      <c r="V2573" s="13" t="n">
        <f aca="false">IF(COUNTIF($B$2:B2573,B2573)=1,1,0)</f>
        <v>0</v>
      </c>
      <c r="W2573" s="13" t="n">
        <f aca="false">IF(COUNTIFS($B$2:B2573,B2573,$T$2:T2573,T2573)=1,1,0)</f>
        <v>0</v>
      </c>
    </row>
    <row r="2574" customFormat="false" ht="15" hidden="false" customHeight="false" outlineLevel="0" collapsed="false">
      <c r="A2574" s="13" t="s">
        <v>212</v>
      </c>
      <c r="B2574" s="13" t="s">
        <v>61</v>
      </c>
      <c r="C2574" s="13" t="n">
        <v>2000</v>
      </c>
      <c r="D2574" s="13" t="n">
        <v>2</v>
      </c>
      <c r="E2574" s="13" t="n">
        <v>508.09</v>
      </c>
      <c r="F2574" s="13" t="s">
        <v>5325</v>
      </c>
      <c r="G2574" s="13" t="s">
        <v>5292</v>
      </c>
      <c r="H2574" s="13" t="s">
        <v>5289</v>
      </c>
      <c r="I2574" s="13" t="s">
        <v>5289</v>
      </c>
      <c r="J2574" s="13" t="s">
        <v>5289</v>
      </c>
      <c r="K2574" s="13" t="s">
        <v>5289</v>
      </c>
      <c r="L2574" s="13" t="n">
        <v>3605532612768</v>
      </c>
      <c r="M2574" s="13"/>
      <c r="N2574" s="13" t="n">
        <v>3605532612768</v>
      </c>
      <c r="O2574" s="13"/>
      <c r="P2574" s="13" t="s">
        <v>5297</v>
      </c>
      <c r="Q2574" s="13" t="s">
        <v>5289</v>
      </c>
      <c r="R2574" s="13" t="s">
        <v>5292</v>
      </c>
      <c r="S2574" s="13" t="s">
        <v>5293</v>
      </c>
      <c r="T2574" s="13" t="s">
        <v>5</v>
      </c>
      <c r="U2574" s="13" t="s">
        <v>43</v>
      </c>
      <c r="V2574" s="13" t="n">
        <f aca="false">IF(COUNTIF($B$2:B2574,B2574)=1,1,0)</f>
        <v>0</v>
      </c>
      <c r="W2574" s="13" t="n">
        <f aca="false">IF(COUNTIFS($B$2:B2574,B2574,$T$2:T2574,T2574)=1,1,0)</f>
        <v>0</v>
      </c>
    </row>
    <row r="2575" customFormat="false" ht="15" hidden="false" customHeight="false" outlineLevel="0" collapsed="false">
      <c r="A2575" s="13" t="s">
        <v>875</v>
      </c>
      <c r="B2575" s="13" t="s">
        <v>50</v>
      </c>
      <c r="C2575" s="13" t="n">
        <v>2000</v>
      </c>
      <c r="D2575" s="13" t="n">
        <v>2</v>
      </c>
      <c r="E2575" s="13" t="n">
        <v>1013.15</v>
      </c>
      <c r="F2575" s="13" t="s">
        <v>5288</v>
      </c>
      <c r="G2575" s="13" t="s">
        <v>5289</v>
      </c>
      <c r="H2575" s="13" t="s">
        <v>5292</v>
      </c>
      <c r="I2575" s="13" t="s">
        <v>5289</v>
      </c>
      <c r="J2575" s="13" t="s">
        <v>5289</v>
      </c>
      <c r="K2575" s="13" t="s">
        <v>5289</v>
      </c>
      <c r="L2575" s="13" t="n">
        <v>3349668662685</v>
      </c>
      <c r="M2575" s="13"/>
      <c r="N2575" s="13" t="n">
        <v>3349668662685</v>
      </c>
      <c r="O2575" s="13"/>
      <c r="P2575" s="13" t="s">
        <v>5291</v>
      </c>
      <c r="Q2575" s="13" t="s">
        <v>5289</v>
      </c>
      <c r="R2575" s="13" t="s">
        <v>5292</v>
      </c>
      <c r="S2575" s="13" t="s">
        <v>5293</v>
      </c>
      <c r="T2575" s="13" t="s">
        <v>5</v>
      </c>
      <c r="U2575" s="13" t="s">
        <v>43</v>
      </c>
      <c r="V2575" s="13" t="n">
        <f aca="false">IF(COUNTIF($B$2:B2575,B2575)=1,1,0)</f>
        <v>0</v>
      </c>
      <c r="W2575" s="13" t="n">
        <f aca="false">IF(COUNTIFS($B$2:B2575,B2575,$T$2:T2575,T2575)=1,1,0)</f>
        <v>0</v>
      </c>
    </row>
    <row r="2576" customFormat="false" ht="15" hidden="false" customHeight="false" outlineLevel="0" collapsed="false">
      <c r="A2576" s="13" t="s">
        <v>555</v>
      </c>
      <c r="B2576" s="13" t="s">
        <v>195</v>
      </c>
      <c r="C2576" s="13" t="n">
        <v>2000</v>
      </c>
      <c r="D2576" s="13" t="n">
        <v>2</v>
      </c>
      <c r="E2576" s="13" t="n">
        <v>675</v>
      </c>
      <c r="F2576" s="13" t="s">
        <v>5325</v>
      </c>
      <c r="G2576" s="13" t="s">
        <v>5289</v>
      </c>
      <c r="H2576" s="13" t="s">
        <v>5289</v>
      </c>
      <c r="I2576" s="13" t="s">
        <v>5289</v>
      </c>
      <c r="J2576" s="13" t="s">
        <v>5289</v>
      </c>
      <c r="K2576" s="13" t="s">
        <v>5289</v>
      </c>
      <c r="L2576" s="13" t="n">
        <v>3616304679438</v>
      </c>
      <c r="M2576" s="13"/>
      <c r="N2576" s="13" t="n">
        <v>3616304679438</v>
      </c>
      <c r="O2576" s="13"/>
      <c r="P2576" s="13" t="s">
        <v>5291</v>
      </c>
      <c r="Q2576" s="13" t="s">
        <v>5289</v>
      </c>
      <c r="R2576" s="13" t="s">
        <v>5292</v>
      </c>
      <c r="S2576" s="13" t="s">
        <v>5293</v>
      </c>
      <c r="T2576" s="13" t="s">
        <v>5</v>
      </c>
      <c r="U2576" s="13" t="s">
        <v>43</v>
      </c>
      <c r="V2576" s="13" t="n">
        <f aca="false">IF(COUNTIF($B$2:B2576,B2576)=1,1,0)</f>
        <v>0</v>
      </c>
      <c r="W2576" s="13" t="n">
        <f aca="false">IF(COUNTIFS($B$2:B2576,B2576,$T$2:T2576,T2576)=1,1,0)</f>
        <v>0</v>
      </c>
    </row>
    <row r="2577" customFormat="false" ht="15" hidden="false" customHeight="false" outlineLevel="0" collapsed="false">
      <c r="A2577" s="13" t="s">
        <v>908</v>
      </c>
      <c r="B2577" s="13" t="s">
        <v>61</v>
      </c>
      <c r="C2577" s="13" t="n">
        <v>2000</v>
      </c>
      <c r="D2577" s="13" t="n">
        <v>5</v>
      </c>
      <c r="E2577" s="13" t="n">
        <v>252.48875</v>
      </c>
      <c r="F2577" s="13" t="s">
        <v>5325</v>
      </c>
      <c r="G2577" s="13" t="s">
        <v>5289</v>
      </c>
      <c r="H2577" s="13" t="s">
        <v>5289</v>
      </c>
      <c r="I2577" s="13" t="s">
        <v>5289</v>
      </c>
      <c r="J2577" s="13" t="s">
        <v>5289</v>
      </c>
      <c r="K2577" s="13" t="s">
        <v>5289</v>
      </c>
      <c r="L2577" s="13" t="n">
        <v>3614273436380</v>
      </c>
      <c r="M2577" s="13"/>
      <c r="N2577" s="13" t="n">
        <v>3614273436380</v>
      </c>
      <c r="O2577" s="13"/>
      <c r="P2577" s="13" t="s">
        <v>5291</v>
      </c>
      <c r="Q2577" s="13" t="s">
        <v>5289</v>
      </c>
      <c r="R2577" s="13" t="s">
        <v>5292</v>
      </c>
      <c r="S2577" s="13" t="s">
        <v>5293</v>
      </c>
      <c r="T2577" s="13" t="s">
        <v>5</v>
      </c>
      <c r="U2577" s="13" t="s">
        <v>43</v>
      </c>
      <c r="V2577" s="13" t="n">
        <f aca="false">IF(COUNTIF($B$2:B2577,B2577)=1,1,0)</f>
        <v>0</v>
      </c>
      <c r="W2577" s="13" t="n">
        <f aca="false">IF(COUNTIFS($B$2:B2577,B2577,$T$2:T2577,T2577)=1,1,0)</f>
        <v>0</v>
      </c>
    </row>
    <row r="2578" customFormat="false" ht="15" hidden="false" customHeight="false" outlineLevel="0" collapsed="false">
      <c r="A2578" s="13" t="s">
        <v>2805</v>
      </c>
      <c r="B2578" s="13" t="s">
        <v>2109</v>
      </c>
      <c r="C2578" s="13" t="n">
        <v>2000</v>
      </c>
      <c r="D2578" s="13" t="n">
        <v>2</v>
      </c>
      <c r="E2578" s="13" t="n">
        <v>503.9975</v>
      </c>
      <c r="F2578" s="13" t="s">
        <v>5288</v>
      </c>
      <c r="G2578" s="13" t="s">
        <v>5292</v>
      </c>
      <c r="H2578" s="13" t="s">
        <v>5289</v>
      </c>
      <c r="I2578" s="13" t="s">
        <v>5289</v>
      </c>
      <c r="J2578" s="13" t="s">
        <v>5289</v>
      </c>
      <c r="K2578" s="13" t="s">
        <v>5289</v>
      </c>
      <c r="L2578" s="13" t="n">
        <v>3439600056815</v>
      </c>
      <c r="M2578" s="13"/>
      <c r="N2578" s="13" t="n">
        <v>3439600056815</v>
      </c>
      <c r="O2578" s="13"/>
      <c r="P2578" s="13" t="s">
        <v>5291</v>
      </c>
      <c r="Q2578" s="13" t="s">
        <v>5289</v>
      </c>
      <c r="R2578" s="13" t="s">
        <v>5292</v>
      </c>
      <c r="S2578" s="13" t="s">
        <v>5293</v>
      </c>
      <c r="T2578" s="13" t="s">
        <v>5</v>
      </c>
      <c r="U2578" s="13" t="s">
        <v>43</v>
      </c>
      <c r="V2578" s="13" t="n">
        <f aca="false">IF(COUNTIF($B$2:B2578,B2578)=1,1,0)</f>
        <v>0</v>
      </c>
      <c r="W2578" s="13" t="n">
        <f aca="false">IF(COUNTIFS($B$2:B2578,B2578,$T$2:T2578,T2578)=1,1,0)</f>
        <v>0</v>
      </c>
    </row>
    <row r="2579" customFormat="false" ht="15" hidden="false" customHeight="false" outlineLevel="0" collapsed="false">
      <c r="A2579" s="13" t="s">
        <v>6377</v>
      </c>
      <c r="B2579" s="13" t="s">
        <v>2127</v>
      </c>
      <c r="C2579" s="13" t="n">
        <v>2000</v>
      </c>
      <c r="D2579" s="13" t="n">
        <v>40</v>
      </c>
      <c r="E2579" s="13" t="n">
        <v>51.6784615384615</v>
      </c>
      <c r="F2579" s="13" t="s">
        <v>5325</v>
      </c>
      <c r="G2579" s="13" t="s">
        <v>5289</v>
      </c>
      <c r="H2579" s="13" t="s">
        <v>5289</v>
      </c>
      <c r="I2579" s="13" t="s">
        <v>5292</v>
      </c>
      <c r="J2579" s="13" t="s">
        <v>5289</v>
      </c>
      <c r="K2579" s="13" t="s">
        <v>5289</v>
      </c>
      <c r="L2579" s="13" t="n">
        <v>19045108015</v>
      </c>
      <c r="M2579" s="13"/>
      <c r="N2579" s="13" t="n">
        <v>19045108015</v>
      </c>
      <c r="O2579" s="13"/>
      <c r="P2579" s="13" t="s">
        <v>5291</v>
      </c>
      <c r="Q2579" s="13" t="s">
        <v>5289</v>
      </c>
      <c r="R2579" s="13" t="s">
        <v>5292</v>
      </c>
      <c r="S2579" s="13" t="s">
        <v>5293</v>
      </c>
      <c r="T2579" s="13" t="s">
        <v>5</v>
      </c>
      <c r="U2579" s="13" t="s">
        <v>85</v>
      </c>
      <c r="V2579" s="13" t="n">
        <f aca="false">IF(COUNTIF($B$2:B2579,B2579)=1,1,0)</f>
        <v>0</v>
      </c>
      <c r="W2579" s="13" t="n">
        <f aca="false">IF(COUNTIFS($B$2:B2579,B2579,$T$2:T2579,T2579)=1,1,0)</f>
        <v>0</v>
      </c>
    </row>
    <row r="2580" customFormat="false" ht="15" hidden="false" customHeight="false" outlineLevel="0" collapsed="false">
      <c r="A2580" s="13" t="s">
        <v>334</v>
      </c>
      <c r="B2580" s="13" t="s">
        <v>42</v>
      </c>
      <c r="C2580" s="13" t="n">
        <v>2000</v>
      </c>
      <c r="D2580" s="13" t="n">
        <v>2</v>
      </c>
      <c r="E2580" s="13" t="n">
        <v>671</v>
      </c>
      <c r="F2580" s="13" t="s">
        <v>5325</v>
      </c>
      <c r="G2580" s="13" t="s">
        <v>5292</v>
      </c>
      <c r="H2580" s="13" t="s">
        <v>5292</v>
      </c>
      <c r="I2580" s="13" t="s">
        <v>5289</v>
      </c>
      <c r="J2580" s="13" t="s">
        <v>5289</v>
      </c>
      <c r="K2580" s="13" t="s">
        <v>5289</v>
      </c>
      <c r="L2580" s="13"/>
      <c r="M2580" s="13"/>
      <c r="N2580" s="13" t="n">
        <v>8411061026335</v>
      </c>
      <c r="O2580" s="13"/>
      <c r="P2580" s="13" t="s">
        <v>5291</v>
      </c>
      <c r="Q2580" s="13" t="s">
        <v>5289</v>
      </c>
      <c r="R2580" s="13" t="s">
        <v>5292</v>
      </c>
      <c r="S2580" s="13" t="s">
        <v>5293</v>
      </c>
      <c r="T2580" s="13" t="s">
        <v>5</v>
      </c>
      <c r="U2580" s="13" t="s">
        <v>43</v>
      </c>
      <c r="V2580" s="13" t="n">
        <f aca="false">IF(COUNTIF($B$2:B2580,B2580)=1,1,0)</f>
        <v>0</v>
      </c>
      <c r="W2580" s="13" t="n">
        <f aca="false">IF(COUNTIFS($B$2:B2580,B2580,$T$2:T2580,T2580)=1,1,0)</f>
        <v>0</v>
      </c>
    </row>
    <row r="2581" customFormat="false" ht="15" hidden="false" customHeight="false" outlineLevel="0" collapsed="false">
      <c r="A2581" s="13" t="s">
        <v>720</v>
      </c>
      <c r="B2581" s="13" t="s">
        <v>92</v>
      </c>
      <c r="C2581" s="13" t="n">
        <v>2000</v>
      </c>
      <c r="D2581" s="13" t="n">
        <v>5</v>
      </c>
      <c r="E2581" s="13" t="n">
        <v>402.55</v>
      </c>
      <c r="F2581" s="13" t="s">
        <v>5325</v>
      </c>
      <c r="G2581" s="13" t="s">
        <v>5289</v>
      </c>
      <c r="H2581" s="13" t="s">
        <v>5289</v>
      </c>
      <c r="I2581" s="13" t="s">
        <v>5289</v>
      </c>
      <c r="J2581" s="13" t="s">
        <v>5289</v>
      </c>
      <c r="K2581" s="13" t="s">
        <v>5289</v>
      </c>
      <c r="L2581" s="13"/>
      <c r="M2581" s="13"/>
      <c r="N2581" s="13" t="n">
        <v>3616303445560</v>
      </c>
      <c r="O2581" s="13"/>
      <c r="P2581" s="13" t="s">
        <v>5297</v>
      </c>
      <c r="Q2581" s="13" t="s">
        <v>5289</v>
      </c>
      <c r="R2581" s="13" t="s">
        <v>5292</v>
      </c>
      <c r="S2581" s="13" t="s">
        <v>5293</v>
      </c>
      <c r="T2581" s="13" t="s">
        <v>5</v>
      </c>
      <c r="U2581" s="13" t="s">
        <v>43</v>
      </c>
      <c r="V2581" s="13" t="n">
        <f aca="false">IF(COUNTIF($B$2:B2581,B2581)=1,1,0)</f>
        <v>0</v>
      </c>
      <c r="W2581" s="13" t="n">
        <f aca="false">IF(COUNTIFS($B$2:B2581,B2581,$T$2:T2581,T2581)=1,1,0)</f>
        <v>0</v>
      </c>
    </row>
    <row r="2582" customFormat="false" ht="15" hidden="false" customHeight="false" outlineLevel="0" collapsed="false">
      <c r="A2582" s="13" t="s">
        <v>316</v>
      </c>
      <c r="B2582" s="13" t="s">
        <v>315</v>
      </c>
      <c r="C2582" s="13" t="n">
        <v>2000</v>
      </c>
      <c r="D2582" s="13" t="n">
        <v>2</v>
      </c>
      <c r="E2582" s="13" t="n">
        <v>669.516666666667</v>
      </c>
      <c r="F2582" s="13" t="s">
        <v>5325</v>
      </c>
      <c r="G2582" s="13" t="s">
        <v>5289</v>
      </c>
      <c r="H2582" s="13" t="s">
        <v>5289</v>
      </c>
      <c r="I2582" s="13" t="s">
        <v>5289</v>
      </c>
      <c r="J2582" s="13" t="s">
        <v>5289</v>
      </c>
      <c r="K2582" s="13" t="s">
        <v>5289</v>
      </c>
      <c r="L2582" s="13" t="n">
        <v>3360377032767</v>
      </c>
      <c r="M2582" s="13"/>
      <c r="N2582" s="13" t="n">
        <v>3360377032767</v>
      </c>
      <c r="O2582" s="13"/>
      <c r="P2582" s="13" t="s">
        <v>5291</v>
      </c>
      <c r="Q2582" s="13" t="s">
        <v>5289</v>
      </c>
      <c r="R2582" s="13" t="s">
        <v>5292</v>
      </c>
      <c r="S2582" s="13" t="s">
        <v>5293</v>
      </c>
      <c r="T2582" s="13" t="s">
        <v>5</v>
      </c>
      <c r="U2582" s="13" t="s">
        <v>43</v>
      </c>
      <c r="V2582" s="13" t="n">
        <f aca="false">IF(COUNTIF($B$2:B2582,B2582)=1,1,0)</f>
        <v>0</v>
      </c>
      <c r="W2582" s="13" t="n">
        <f aca="false">IF(COUNTIFS($B$2:B2582,B2582,$T$2:T2582,T2582)=1,1,0)</f>
        <v>0</v>
      </c>
    </row>
    <row r="2583" customFormat="false" ht="15" hidden="false" customHeight="false" outlineLevel="0" collapsed="false">
      <c r="A2583" s="13" t="s">
        <v>125</v>
      </c>
      <c r="B2583" s="13" t="s">
        <v>193</v>
      </c>
      <c r="C2583" s="13" t="n">
        <v>2000</v>
      </c>
      <c r="D2583" s="13" t="n">
        <v>2</v>
      </c>
      <c r="E2583" s="13" t="n">
        <v>1003.82</v>
      </c>
      <c r="F2583" s="13" t="s">
        <v>5288</v>
      </c>
      <c r="G2583" s="13" t="s">
        <v>5289</v>
      </c>
      <c r="H2583" s="13" t="s">
        <v>5289</v>
      </c>
      <c r="I2583" s="13" t="s">
        <v>5289</v>
      </c>
      <c r="J2583" s="13" t="s">
        <v>5289</v>
      </c>
      <c r="K2583" s="13" t="s">
        <v>5289</v>
      </c>
      <c r="L2583" s="13" t="n">
        <v>3614273954150</v>
      </c>
      <c r="M2583" s="13"/>
      <c r="N2583" s="13" t="n">
        <v>3614273954150</v>
      </c>
      <c r="O2583" s="13"/>
      <c r="P2583" s="13" t="s">
        <v>5297</v>
      </c>
      <c r="Q2583" s="13" t="s">
        <v>5289</v>
      </c>
      <c r="R2583" s="13" t="s">
        <v>5292</v>
      </c>
      <c r="S2583" s="13" t="s">
        <v>5293</v>
      </c>
      <c r="T2583" s="13" t="s">
        <v>5</v>
      </c>
      <c r="U2583" s="13" t="s">
        <v>43</v>
      </c>
      <c r="V2583" s="13" t="n">
        <f aca="false">IF(COUNTIF($B$2:B2583,B2583)=1,1,0)</f>
        <v>0</v>
      </c>
      <c r="W2583" s="13" t="n">
        <f aca="false">IF(COUNTIFS($B$2:B2583,B2583,$T$2:T2583,T2583)=1,1,0)</f>
        <v>0</v>
      </c>
    </row>
    <row r="2584" customFormat="false" ht="15" hidden="false" customHeight="false" outlineLevel="0" collapsed="false">
      <c r="A2584" s="13" t="s">
        <v>907</v>
      </c>
      <c r="B2584" s="13" t="s">
        <v>50</v>
      </c>
      <c r="C2584" s="13" t="n">
        <v>2000</v>
      </c>
      <c r="D2584" s="13" t="n">
        <v>2</v>
      </c>
      <c r="E2584" s="13" t="n">
        <v>669</v>
      </c>
      <c r="F2584" s="13" t="s">
        <v>5288</v>
      </c>
      <c r="G2584" s="13" t="s">
        <v>5292</v>
      </c>
      <c r="H2584" s="13" t="s">
        <v>5292</v>
      </c>
      <c r="I2584" s="13" t="s">
        <v>5289</v>
      </c>
      <c r="J2584" s="13" t="s">
        <v>5289</v>
      </c>
      <c r="K2584" s="13" t="s">
        <v>5289</v>
      </c>
      <c r="L2584" s="13" t="n">
        <v>3349668581948</v>
      </c>
      <c r="M2584" s="13"/>
      <c r="N2584" s="13" t="n">
        <v>3349668581948</v>
      </c>
      <c r="O2584" s="13"/>
      <c r="P2584" s="13" t="s">
        <v>5297</v>
      </c>
      <c r="Q2584" s="13" t="s">
        <v>5289</v>
      </c>
      <c r="R2584" s="13" t="s">
        <v>5292</v>
      </c>
      <c r="S2584" s="13" t="s">
        <v>5293</v>
      </c>
      <c r="T2584" s="13" t="s">
        <v>5</v>
      </c>
      <c r="U2584" s="13" t="s">
        <v>43</v>
      </c>
      <c r="V2584" s="13" t="n">
        <f aca="false">IF(COUNTIF($B$2:B2584,B2584)=1,1,0)</f>
        <v>0</v>
      </c>
      <c r="W2584" s="13" t="n">
        <f aca="false">IF(COUNTIFS($B$2:B2584,B2584,$T$2:T2584,T2584)=1,1,0)</f>
        <v>0</v>
      </c>
    </row>
    <row r="2585" customFormat="false" ht="15" hidden="false" customHeight="false" outlineLevel="0" collapsed="false">
      <c r="A2585" s="13" t="s">
        <v>6378</v>
      </c>
      <c r="B2585" s="13" t="s">
        <v>2127</v>
      </c>
      <c r="C2585" s="13" t="n">
        <v>2000</v>
      </c>
      <c r="D2585" s="13" t="n">
        <v>40</v>
      </c>
      <c r="E2585" s="13" t="n">
        <v>51.3848717948718</v>
      </c>
      <c r="F2585" s="13" t="s">
        <v>5325</v>
      </c>
      <c r="G2585" s="13" t="s">
        <v>5289</v>
      </c>
      <c r="H2585" s="13" t="s">
        <v>5289</v>
      </c>
      <c r="I2585" s="13" t="s">
        <v>5292</v>
      </c>
      <c r="J2585" s="13" t="s">
        <v>5289</v>
      </c>
      <c r="K2585" s="13" t="s">
        <v>5289</v>
      </c>
      <c r="L2585" s="13" t="n">
        <v>19045108039</v>
      </c>
      <c r="M2585" s="13"/>
      <c r="N2585" s="13" t="n">
        <v>19045108039</v>
      </c>
      <c r="O2585" s="13"/>
      <c r="P2585" s="13" t="s">
        <v>5291</v>
      </c>
      <c r="Q2585" s="13" t="s">
        <v>5289</v>
      </c>
      <c r="R2585" s="13" t="s">
        <v>5292</v>
      </c>
      <c r="S2585" s="13" t="s">
        <v>5293</v>
      </c>
      <c r="T2585" s="13" t="s">
        <v>5</v>
      </c>
      <c r="U2585" s="13" t="s">
        <v>85</v>
      </c>
      <c r="V2585" s="13" t="n">
        <f aca="false">IF(COUNTIF($B$2:B2585,B2585)=1,1,0)</f>
        <v>0</v>
      </c>
      <c r="W2585" s="13" t="n">
        <f aca="false">IF(COUNTIFS($B$2:B2585,B2585,$T$2:T2585,T2585)=1,1,0)</f>
        <v>0</v>
      </c>
    </row>
    <row r="2586" customFormat="false" ht="15" hidden="false" customHeight="false" outlineLevel="0" collapsed="false">
      <c r="A2586" s="13" t="s">
        <v>906</v>
      </c>
      <c r="B2586" s="13" t="s">
        <v>315</v>
      </c>
      <c r="C2586" s="13" t="n">
        <v>2000</v>
      </c>
      <c r="D2586" s="13" t="n">
        <v>2</v>
      </c>
      <c r="E2586" s="13" t="n">
        <v>500.85</v>
      </c>
      <c r="F2586" s="13" t="s">
        <v>5325</v>
      </c>
      <c r="G2586" s="13" t="s">
        <v>5289</v>
      </c>
      <c r="H2586" s="13" t="s">
        <v>5289</v>
      </c>
      <c r="I2586" s="13" t="s">
        <v>5289</v>
      </c>
      <c r="J2586" s="13" t="s">
        <v>5289</v>
      </c>
      <c r="K2586" s="13" t="s">
        <v>5292</v>
      </c>
      <c r="L2586" s="13" t="n">
        <v>3360377009356</v>
      </c>
      <c r="M2586" s="13"/>
      <c r="N2586" s="13" t="n">
        <v>3360377009356</v>
      </c>
      <c r="O2586" s="13"/>
      <c r="P2586" s="13" t="s">
        <v>5297</v>
      </c>
      <c r="Q2586" s="13" t="s">
        <v>5289</v>
      </c>
      <c r="R2586" s="13" t="s">
        <v>5292</v>
      </c>
      <c r="S2586" s="13" t="s">
        <v>5293</v>
      </c>
      <c r="T2586" s="13" t="s">
        <v>5</v>
      </c>
      <c r="U2586" s="13" t="s">
        <v>43</v>
      </c>
      <c r="V2586" s="13" t="n">
        <f aca="false">IF(COUNTIF($B$2:B2586,B2586)=1,1,0)</f>
        <v>0</v>
      </c>
      <c r="W2586" s="13" t="n">
        <f aca="false">IF(COUNTIFS($B$2:B2586,B2586,$T$2:T2586,T2586)=1,1,0)</f>
        <v>0</v>
      </c>
    </row>
    <row r="2587" customFormat="false" ht="15" hidden="false" customHeight="false" outlineLevel="0" collapsed="false">
      <c r="A2587" s="13" t="s">
        <v>3598</v>
      </c>
      <c r="B2587" s="13" t="s">
        <v>2109</v>
      </c>
      <c r="C2587" s="13" t="n">
        <v>2000</v>
      </c>
      <c r="D2587" s="13" t="n">
        <v>2</v>
      </c>
      <c r="E2587" s="13" t="n">
        <v>997.48</v>
      </c>
      <c r="F2587" s="13" t="s">
        <v>5325</v>
      </c>
      <c r="G2587" s="13" t="s">
        <v>5289</v>
      </c>
      <c r="H2587" s="13" t="s">
        <v>5289</v>
      </c>
      <c r="I2587" s="13" t="s">
        <v>5289</v>
      </c>
      <c r="J2587" s="13" t="s">
        <v>5289</v>
      </c>
      <c r="K2587" s="13" t="s">
        <v>5289</v>
      </c>
      <c r="L2587" s="13" t="n">
        <v>3439600049862</v>
      </c>
      <c r="M2587" s="13"/>
      <c r="N2587" s="13" t="n">
        <v>3439600049862</v>
      </c>
      <c r="O2587" s="13"/>
      <c r="P2587" s="13" t="s">
        <v>5291</v>
      </c>
      <c r="Q2587" s="13" t="s">
        <v>5289</v>
      </c>
      <c r="R2587" s="13" t="s">
        <v>5292</v>
      </c>
      <c r="S2587" s="13" t="s">
        <v>5293</v>
      </c>
      <c r="T2587" s="13" t="s">
        <v>5</v>
      </c>
      <c r="U2587" s="13" t="s">
        <v>43</v>
      </c>
      <c r="V2587" s="13" t="n">
        <f aca="false">IF(COUNTIF($B$2:B2587,B2587)=1,1,0)</f>
        <v>0</v>
      </c>
      <c r="W2587" s="13" t="n">
        <f aca="false">IF(COUNTIFS($B$2:B2587,B2587,$T$2:T2587,T2587)=1,1,0)</f>
        <v>0</v>
      </c>
    </row>
    <row r="2588" customFormat="false" ht="15" hidden="false" customHeight="false" outlineLevel="0" collapsed="false">
      <c r="A2588" s="13" t="s">
        <v>913</v>
      </c>
      <c r="B2588" s="13" t="s">
        <v>79</v>
      </c>
      <c r="C2588" s="13" t="n">
        <v>2000</v>
      </c>
      <c r="D2588" s="13" t="n">
        <v>2</v>
      </c>
      <c r="E2588" s="13" t="n">
        <v>498.69</v>
      </c>
      <c r="F2588" s="13" t="s">
        <v>5288</v>
      </c>
      <c r="G2588" s="13" t="s">
        <v>5289</v>
      </c>
      <c r="H2588" s="13" t="s">
        <v>5289</v>
      </c>
      <c r="I2588" s="13" t="s">
        <v>5289</v>
      </c>
      <c r="J2588" s="13" t="s">
        <v>5289</v>
      </c>
      <c r="K2588" s="13" t="s">
        <v>5289</v>
      </c>
      <c r="L2588" s="13"/>
      <c r="M2588" s="13"/>
      <c r="N2588" s="13" t="n">
        <v>8057971188727</v>
      </c>
      <c r="O2588" s="13"/>
      <c r="P2588" s="13" t="s">
        <v>5291</v>
      </c>
      <c r="Q2588" s="13" t="s">
        <v>5289</v>
      </c>
      <c r="R2588" s="13" t="s">
        <v>5292</v>
      </c>
      <c r="S2588" s="13" t="s">
        <v>5293</v>
      </c>
      <c r="T2588" s="13" t="s">
        <v>5</v>
      </c>
      <c r="U2588" s="13" t="s">
        <v>43</v>
      </c>
      <c r="V2588" s="13" t="n">
        <f aca="false">IF(COUNTIF($B$2:B2588,B2588)=1,1,0)</f>
        <v>0</v>
      </c>
      <c r="W2588" s="13" t="n">
        <f aca="false">IF(COUNTIFS($B$2:B2588,B2588,$T$2:T2588,T2588)=1,1,0)</f>
        <v>0</v>
      </c>
    </row>
    <row r="2589" customFormat="false" ht="15" hidden="false" customHeight="false" outlineLevel="0" collapsed="false">
      <c r="A2589" s="13" t="s">
        <v>914</v>
      </c>
      <c r="B2589" s="13" t="s">
        <v>42</v>
      </c>
      <c r="C2589" s="13" t="n">
        <v>2000</v>
      </c>
      <c r="D2589" s="13" t="n">
        <v>2</v>
      </c>
      <c r="E2589" s="13" t="n">
        <v>496.54</v>
      </c>
      <c r="F2589" s="13" t="s">
        <v>5325</v>
      </c>
      <c r="G2589" s="13" t="s">
        <v>5289</v>
      </c>
      <c r="H2589" s="13" t="s">
        <v>5289</v>
      </c>
      <c r="I2589" s="13" t="s">
        <v>5289</v>
      </c>
      <c r="J2589" s="13" t="s">
        <v>5289</v>
      </c>
      <c r="K2589" s="13" t="s">
        <v>5289</v>
      </c>
      <c r="L2589" s="13" t="n">
        <v>8411061041659</v>
      </c>
      <c r="M2589" s="13"/>
      <c r="N2589" s="13" t="n">
        <v>8411061041659</v>
      </c>
      <c r="O2589" s="13"/>
      <c r="P2589" s="13" t="s">
        <v>5291</v>
      </c>
      <c r="Q2589" s="13" t="s">
        <v>5289</v>
      </c>
      <c r="R2589" s="13" t="s">
        <v>5292</v>
      </c>
      <c r="S2589" s="13" t="s">
        <v>5293</v>
      </c>
      <c r="T2589" s="13" t="s">
        <v>5</v>
      </c>
      <c r="U2589" s="13" t="s">
        <v>43</v>
      </c>
      <c r="V2589" s="13" t="n">
        <f aca="false">IF(COUNTIF($B$2:B2589,B2589)=1,1,0)</f>
        <v>0</v>
      </c>
      <c r="W2589" s="13" t="n">
        <f aca="false">IF(COUNTIFS($B$2:B2589,B2589,$T$2:T2589,T2589)=1,1,0)</f>
        <v>0</v>
      </c>
    </row>
    <row r="2590" customFormat="false" ht="15" hidden="false" customHeight="false" outlineLevel="0" collapsed="false">
      <c r="A2590" s="13" t="s">
        <v>62</v>
      </c>
      <c r="B2590" s="13" t="s">
        <v>61</v>
      </c>
      <c r="C2590" s="13" t="n">
        <v>2000</v>
      </c>
      <c r="D2590" s="13" t="n">
        <v>2</v>
      </c>
      <c r="E2590" s="13" t="n">
        <v>659</v>
      </c>
      <c r="F2590" s="13" t="s">
        <v>5288</v>
      </c>
      <c r="G2590" s="13" t="s">
        <v>5292</v>
      </c>
      <c r="H2590" s="13" t="s">
        <v>5289</v>
      </c>
      <c r="I2590" s="13" t="s">
        <v>5289</v>
      </c>
      <c r="J2590" s="13" t="s">
        <v>5289</v>
      </c>
      <c r="K2590" s="13" t="s">
        <v>5289</v>
      </c>
      <c r="L2590" s="13" t="n">
        <v>3605533286555</v>
      </c>
      <c r="M2590" s="13"/>
      <c r="N2590" s="13" t="n">
        <v>3605533286555</v>
      </c>
      <c r="O2590" s="13"/>
      <c r="P2590" s="13" t="s">
        <v>5291</v>
      </c>
      <c r="Q2590" s="13" t="s">
        <v>5289</v>
      </c>
      <c r="R2590" s="13" t="s">
        <v>5292</v>
      </c>
      <c r="S2590" s="13" t="s">
        <v>5293</v>
      </c>
      <c r="T2590" s="13" t="s">
        <v>5</v>
      </c>
      <c r="U2590" s="13" t="s">
        <v>43</v>
      </c>
      <c r="V2590" s="13" t="n">
        <f aca="false">IF(COUNTIF($B$2:B2590,B2590)=1,1,0)</f>
        <v>0</v>
      </c>
      <c r="W2590" s="13" t="n">
        <f aca="false">IF(COUNTIFS($B$2:B2590,B2590,$T$2:T2590,T2590)=1,1,0)</f>
        <v>0</v>
      </c>
    </row>
    <row r="2591" customFormat="false" ht="15" hidden="false" customHeight="false" outlineLevel="0" collapsed="false">
      <c r="A2591" s="13" t="s">
        <v>905</v>
      </c>
      <c r="B2591" s="13" t="s">
        <v>69</v>
      </c>
      <c r="C2591" s="13" t="n">
        <v>2000</v>
      </c>
      <c r="D2591" s="13" t="n">
        <v>2</v>
      </c>
      <c r="E2591" s="13" t="n">
        <v>987.53</v>
      </c>
      <c r="F2591" s="13" t="s">
        <v>5325</v>
      </c>
      <c r="G2591" s="13" t="s">
        <v>5289</v>
      </c>
      <c r="H2591" s="13" t="s">
        <v>5289</v>
      </c>
      <c r="I2591" s="13" t="s">
        <v>5289</v>
      </c>
      <c r="J2591" s="13" t="s">
        <v>5289</v>
      </c>
      <c r="K2591" s="13" t="s">
        <v>5289</v>
      </c>
      <c r="L2591" s="13" t="n">
        <v>3614274266801</v>
      </c>
      <c r="M2591" s="13"/>
      <c r="N2591" s="13" t="n">
        <v>3614274266801</v>
      </c>
      <c r="O2591" s="13"/>
      <c r="P2591" s="13" t="s">
        <v>5291</v>
      </c>
      <c r="Q2591" s="13" t="s">
        <v>5289</v>
      </c>
      <c r="R2591" s="13" t="s">
        <v>5292</v>
      </c>
      <c r="S2591" s="13" t="s">
        <v>5293</v>
      </c>
      <c r="T2591" s="13" t="s">
        <v>5</v>
      </c>
      <c r="U2591" s="13" t="s">
        <v>43</v>
      </c>
      <c r="V2591" s="13" t="n">
        <f aca="false">IF(COUNTIF($B$2:B2591,B2591)=1,1,0)</f>
        <v>0</v>
      </c>
      <c r="W2591" s="13" t="n">
        <f aca="false">IF(COUNTIFS($B$2:B2591,B2591,$T$2:T2591,T2591)=1,1,0)</f>
        <v>0</v>
      </c>
    </row>
    <row r="2592" customFormat="false" ht="15" hidden="false" customHeight="false" outlineLevel="0" collapsed="false">
      <c r="A2592" s="13" t="s">
        <v>903</v>
      </c>
      <c r="B2592" s="13" t="s">
        <v>92</v>
      </c>
      <c r="C2592" s="13" t="n">
        <v>2000</v>
      </c>
      <c r="D2592" s="13" t="n">
        <v>2</v>
      </c>
      <c r="E2592" s="13" t="n">
        <v>656.786666666667</v>
      </c>
      <c r="F2592" s="13" t="s">
        <v>5325</v>
      </c>
      <c r="G2592" s="13" t="s">
        <v>5289</v>
      </c>
      <c r="H2592" s="13" t="s">
        <v>5289</v>
      </c>
      <c r="I2592" s="13" t="s">
        <v>5289</v>
      </c>
      <c r="J2592" s="13" t="s">
        <v>5289</v>
      </c>
      <c r="K2592" s="13" t="s">
        <v>5289</v>
      </c>
      <c r="L2592" s="13" t="n">
        <v>3607346232385</v>
      </c>
      <c r="M2592" s="13"/>
      <c r="N2592" s="13" t="n">
        <v>3.60734623238584E+025</v>
      </c>
      <c r="O2592" s="13"/>
      <c r="P2592" s="13" t="s">
        <v>5291</v>
      </c>
      <c r="Q2592" s="13" t="s">
        <v>5289</v>
      </c>
      <c r="R2592" s="13" t="s">
        <v>5292</v>
      </c>
      <c r="S2592" s="13" t="s">
        <v>5293</v>
      </c>
      <c r="T2592" s="13" t="s">
        <v>5</v>
      </c>
      <c r="U2592" s="13" t="s">
        <v>43</v>
      </c>
      <c r="V2592" s="13" t="n">
        <f aca="false">IF(COUNTIF($B$2:B2592,B2592)=1,1,0)</f>
        <v>0</v>
      </c>
      <c r="W2592" s="13" t="n">
        <f aca="false">IF(COUNTIFS($B$2:B2592,B2592,$T$2:T2592,T2592)=1,1,0)</f>
        <v>0</v>
      </c>
    </row>
    <row r="2593" customFormat="false" ht="15" hidden="false" customHeight="false" outlineLevel="0" collapsed="false">
      <c r="A2593" s="13" t="s">
        <v>904</v>
      </c>
      <c r="B2593" s="13" t="s">
        <v>54</v>
      </c>
      <c r="C2593" s="13" t="n">
        <v>2000</v>
      </c>
      <c r="D2593" s="13" t="n">
        <v>5</v>
      </c>
      <c r="E2593" s="13" t="n">
        <v>327.2</v>
      </c>
      <c r="F2593" s="13" t="s">
        <v>5325</v>
      </c>
      <c r="G2593" s="13" t="s">
        <v>5289</v>
      </c>
      <c r="H2593" s="13" t="s">
        <v>5292</v>
      </c>
      <c r="I2593" s="13" t="s">
        <v>5289</v>
      </c>
      <c r="J2593" s="13" t="s">
        <v>5289</v>
      </c>
      <c r="K2593" s="13" t="s">
        <v>5289</v>
      </c>
      <c r="L2593" s="13" t="n">
        <v>729238154957</v>
      </c>
      <c r="M2593" s="13"/>
      <c r="N2593" s="13" t="n">
        <v>729238154957</v>
      </c>
      <c r="O2593" s="13"/>
      <c r="P2593" s="13" t="s">
        <v>5291</v>
      </c>
      <c r="Q2593" s="13" t="s">
        <v>5289</v>
      </c>
      <c r="R2593" s="13" t="s">
        <v>5292</v>
      </c>
      <c r="S2593" s="13" t="s">
        <v>5293</v>
      </c>
      <c r="T2593" s="13" t="s">
        <v>5</v>
      </c>
      <c r="U2593" s="13" t="s">
        <v>43</v>
      </c>
      <c r="V2593" s="13" t="n">
        <f aca="false">IF(COUNTIF($B$2:B2593,B2593)=1,1,0)</f>
        <v>0</v>
      </c>
      <c r="W2593" s="13" t="n">
        <f aca="false">IF(COUNTIFS($B$2:B2593,B2593,$T$2:T2593,T2593)=1,1,0)</f>
        <v>0</v>
      </c>
    </row>
    <row r="2594" customFormat="false" ht="15" hidden="false" customHeight="false" outlineLevel="0" collapsed="false">
      <c r="A2594" s="13" t="s">
        <v>925</v>
      </c>
      <c r="B2594" s="13" t="s">
        <v>42</v>
      </c>
      <c r="C2594" s="13" t="n">
        <v>2000</v>
      </c>
      <c r="D2594" s="13" t="n">
        <v>2</v>
      </c>
      <c r="E2594" s="13" t="n">
        <v>489.9925</v>
      </c>
      <c r="F2594" s="13" t="s">
        <v>5288</v>
      </c>
      <c r="G2594" s="13" t="s">
        <v>5292</v>
      </c>
      <c r="H2594" s="13" t="s">
        <v>5292</v>
      </c>
      <c r="I2594" s="13" t="s">
        <v>5289</v>
      </c>
      <c r="J2594" s="13" t="s">
        <v>5289</v>
      </c>
      <c r="K2594" s="13" t="s">
        <v>5289</v>
      </c>
      <c r="L2594" s="13" t="n">
        <v>8411061777183</v>
      </c>
      <c r="M2594" s="13"/>
      <c r="N2594" s="13" t="n">
        <v>8411061777183</v>
      </c>
      <c r="O2594" s="13"/>
      <c r="P2594" s="13" t="s">
        <v>5291</v>
      </c>
      <c r="Q2594" s="13" t="s">
        <v>5289</v>
      </c>
      <c r="R2594" s="13" t="s">
        <v>5292</v>
      </c>
      <c r="S2594" s="13" t="s">
        <v>5293</v>
      </c>
      <c r="T2594" s="13" t="s">
        <v>5</v>
      </c>
      <c r="U2594" s="13" t="s">
        <v>43</v>
      </c>
      <c r="V2594" s="13" t="n">
        <f aca="false">IF(COUNTIF($B$2:B2594,B2594)=1,1,0)</f>
        <v>0</v>
      </c>
      <c r="W2594" s="13" t="n">
        <f aca="false">IF(COUNTIFS($B$2:B2594,B2594,$T$2:T2594,T2594)=1,1,0)</f>
        <v>0</v>
      </c>
    </row>
    <row r="2595" customFormat="false" ht="15" hidden="false" customHeight="false" outlineLevel="0" collapsed="false">
      <c r="A2595" s="13" t="s">
        <v>934</v>
      </c>
      <c r="B2595" s="13" t="s">
        <v>124</v>
      </c>
      <c r="C2595" s="13" t="n">
        <v>1900</v>
      </c>
      <c r="D2595" s="13" t="n">
        <v>5</v>
      </c>
      <c r="E2595" s="13" t="n">
        <v>389.498</v>
      </c>
      <c r="F2595" s="13" t="s">
        <v>5288</v>
      </c>
      <c r="G2595" s="13" t="s">
        <v>5289</v>
      </c>
      <c r="H2595" s="13" t="s">
        <v>5289</v>
      </c>
      <c r="I2595" s="13" t="s">
        <v>5289</v>
      </c>
      <c r="J2595" s="13" t="s">
        <v>5289</v>
      </c>
      <c r="K2595" s="13" t="s">
        <v>5289</v>
      </c>
      <c r="L2595" s="13"/>
      <c r="M2595" s="13"/>
      <c r="N2595" s="13" t="n">
        <v>3614274192292</v>
      </c>
      <c r="O2595" s="13"/>
      <c r="P2595" s="13" t="s">
        <v>5297</v>
      </c>
      <c r="Q2595" s="13" t="s">
        <v>5289</v>
      </c>
      <c r="R2595" s="13" t="s">
        <v>5292</v>
      </c>
      <c r="S2595" s="13" t="s">
        <v>5293</v>
      </c>
      <c r="T2595" s="13" t="s">
        <v>5</v>
      </c>
      <c r="U2595" s="13" t="s">
        <v>43</v>
      </c>
      <c r="V2595" s="13" t="n">
        <f aca="false">IF(COUNTIF($B$2:B2595,B2595)=1,1,0)</f>
        <v>0</v>
      </c>
      <c r="W2595" s="13" t="n">
        <f aca="false">IF(COUNTIFS($B$2:B2595,B2595,$T$2:T2595,T2595)=1,1,0)</f>
        <v>0</v>
      </c>
    </row>
    <row r="2596" customFormat="false" ht="15" hidden="false" customHeight="false" outlineLevel="0" collapsed="false">
      <c r="A2596" s="13" t="s">
        <v>940</v>
      </c>
      <c r="B2596" s="13" t="s">
        <v>107</v>
      </c>
      <c r="C2596" s="13" t="n">
        <v>1900</v>
      </c>
      <c r="D2596" s="13" t="n">
        <v>30</v>
      </c>
      <c r="E2596" s="13" t="n">
        <v>67.02</v>
      </c>
      <c r="F2596" s="13" t="s">
        <v>5288</v>
      </c>
      <c r="G2596" s="13" t="s">
        <v>5292</v>
      </c>
      <c r="H2596" s="13" t="s">
        <v>5289</v>
      </c>
      <c r="I2596" s="13" t="s">
        <v>5292</v>
      </c>
      <c r="J2596" s="13" t="s">
        <v>5289</v>
      </c>
      <c r="K2596" s="13" t="s">
        <v>5289</v>
      </c>
      <c r="L2596" s="13" t="n">
        <v>4064666306155</v>
      </c>
      <c r="M2596" s="13"/>
      <c r="N2596" s="13" t="n">
        <v>4064666306155</v>
      </c>
      <c r="O2596" s="13"/>
      <c r="P2596" s="13" t="s">
        <v>5297</v>
      </c>
      <c r="Q2596" s="13" t="s">
        <v>5289</v>
      </c>
      <c r="R2596" s="13" t="s">
        <v>5292</v>
      </c>
      <c r="S2596" s="13" t="s">
        <v>5293</v>
      </c>
      <c r="T2596" s="13" t="s">
        <v>5</v>
      </c>
      <c r="U2596" s="13" t="s">
        <v>43</v>
      </c>
      <c r="V2596" s="13" t="n">
        <f aca="false">IF(COUNTIF($B$2:B2596,B2596)=1,1,0)</f>
        <v>0</v>
      </c>
      <c r="W2596" s="13" t="n">
        <f aca="false">IF(COUNTIFS($B$2:B2596,B2596,$T$2:T2596,T2596)=1,1,0)</f>
        <v>0</v>
      </c>
    </row>
    <row r="2597" customFormat="false" ht="15" hidden="false" customHeight="false" outlineLevel="0" collapsed="false">
      <c r="A2597" s="13" t="s">
        <v>939</v>
      </c>
      <c r="B2597" s="13" t="s">
        <v>61</v>
      </c>
      <c r="C2597" s="13" t="n">
        <v>1900</v>
      </c>
      <c r="D2597" s="13" t="n">
        <v>5</v>
      </c>
      <c r="E2597" s="13" t="n">
        <v>388.022</v>
      </c>
      <c r="F2597" s="13" t="s">
        <v>5325</v>
      </c>
      <c r="G2597" s="13" t="s">
        <v>5289</v>
      </c>
      <c r="H2597" s="13" t="s">
        <v>5289</v>
      </c>
      <c r="I2597" s="13" t="s">
        <v>5289</v>
      </c>
      <c r="J2597" s="13" t="s">
        <v>5289</v>
      </c>
      <c r="K2597" s="13" t="s">
        <v>5289</v>
      </c>
      <c r="L2597" s="13"/>
      <c r="M2597" s="13"/>
      <c r="N2597" s="13" t="n">
        <v>3614274376623</v>
      </c>
      <c r="O2597" s="13"/>
      <c r="P2597" s="13" t="s">
        <v>5297</v>
      </c>
      <c r="Q2597" s="13" t="s">
        <v>5289</v>
      </c>
      <c r="R2597" s="13" t="s">
        <v>5292</v>
      </c>
      <c r="S2597" s="13" t="s">
        <v>5293</v>
      </c>
      <c r="T2597" s="13" t="s">
        <v>5</v>
      </c>
      <c r="U2597" s="13" t="s">
        <v>43</v>
      </c>
      <c r="V2597" s="13" t="n">
        <f aca="false">IF(COUNTIF($B$2:B2597,B2597)=1,1,0)</f>
        <v>0</v>
      </c>
      <c r="W2597" s="13" t="n">
        <f aca="false">IF(COUNTIFS($B$2:B2597,B2597,$T$2:T2597,T2597)=1,1,0)</f>
        <v>0</v>
      </c>
    </row>
    <row r="2598" customFormat="false" ht="15" hidden="false" customHeight="false" outlineLevel="0" collapsed="false">
      <c r="A2598" s="13" t="s">
        <v>3462</v>
      </c>
      <c r="B2598" s="13" t="s">
        <v>2150</v>
      </c>
      <c r="C2598" s="13" t="n">
        <v>1900</v>
      </c>
      <c r="D2598" s="13" t="n">
        <v>10</v>
      </c>
      <c r="E2598" s="13" t="n">
        <v>138.51</v>
      </c>
      <c r="F2598" s="13" t="s">
        <v>5325</v>
      </c>
      <c r="G2598" s="13" t="s">
        <v>5289</v>
      </c>
      <c r="H2598" s="13" t="s">
        <v>5289</v>
      </c>
      <c r="I2598" s="13" t="s">
        <v>5289</v>
      </c>
      <c r="J2598" s="13" t="s">
        <v>5289</v>
      </c>
      <c r="K2598" s="13" t="s">
        <v>5289</v>
      </c>
      <c r="L2598" s="13" t="n">
        <v>8411061876008</v>
      </c>
      <c r="M2598" s="13"/>
      <c r="N2598" s="13" t="n">
        <v>8411061876008</v>
      </c>
      <c r="O2598" s="13"/>
      <c r="P2598" s="13" t="s">
        <v>5297</v>
      </c>
      <c r="Q2598" s="13" t="s">
        <v>5289</v>
      </c>
      <c r="R2598" s="13" t="s">
        <v>5292</v>
      </c>
      <c r="S2598" s="13" t="s">
        <v>5293</v>
      </c>
      <c r="T2598" s="13" t="s">
        <v>5</v>
      </c>
      <c r="U2598" s="13" t="s">
        <v>43</v>
      </c>
      <c r="V2598" s="13" t="n">
        <f aca="false">IF(COUNTIF($B$2:B2598,B2598)=1,1,0)</f>
        <v>0</v>
      </c>
      <c r="W2598" s="13" t="n">
        <f aca="false">IF(COUNTIFS($B$2:B2598,B2598,$T$2:T2598,T2598)=1,1,0)</f>
        <v>1</v>
      </c>
    </row>
    <row r="2599" customFormat="false" ht="15" hidden="false" customHeight="false" outlineLevel="0" collapsed="false">
      <c r="A2599" s="13" t="s">
        <v>935</v>
      </c>
      <c r="B2599" s="13" t="s">
        <v>50</v>
      </c>
      <c r="C2599" s="13" t="n">
        <v>1900</v>
      </c>
      <c r="D2599" s="13" t="n">
        <v>2</v>
      </c>
      <c r="E2599" s="13" t="n">
        <v>645.83</v>
      </c>
      <c r="F2599" s="13" t="s">
        <v>5325</v>
      </c>
      <c r="G2599" s="13" t="s">
        <v>5289</v>
      </c>
      <c r="H2599" s="13" t="s">
        <v>5292</v>
      </c>
      <c r="I2599" s="13" t="s">
        <v>5289</v>
      </c>
      <c r="J2599" s="13" t="s">
        <v>5289</v>
      </c>
      <c r="K2599" s="13" t="s">
        <v>5289</v>
      </c>
      <c r="L2599" s="13" t="n">
        <v>3349668582297</v>
      </c>
      <c r="M2599" s="13"/>
      <c r="N2599" s="13" t="n">
        <v>3349668582297</v>
      </c>
      <c r="O2599" s="13"/>
      <c r="P2599" s="13" t="s">
        <v>5291</v>
      </c>
      <c r="Q2599" s="13" t="s">
        <v>5289</v>
      </c>
      <c r="R2599" s="13" t="s">
        <v>5292</v>
      </c>
      <c r="S2599" s="13" t="s">
        <v>5293</v>
      </c>
      <c r="T2599" s="13" t="s">
        <v>5</v>
      </c>
      <c r="U2599" s="13" t="s">
        <v>43</v>
      </c>
      <c r="V2599" s="13" t="n">
        <f aca="false">IF(COUNTIF($B$2:B2599,B2599)=1,1,0)</f>
        <v>0</v>
      </c>
      <c r="W2599" s="13" t="n">
        <f aca="false">IF(COUNTIFS($B$2:B2599,B2599,$T$2:T2599,T2599)=1,1,0)</f>
        <v>0</v>
      </c>
    </row>
    <row r="2600" customFormat="false" ht="15" hidden="false" customHeight="false" outlineLevel="0" collapsed="false">
      <c r="A2600" s="13" t="s">
        <v>936</v>
      </c>
      <c r="B2600" s="13" t="s">
        <v>50</v>
      </c>
      <c r="C2600" s="13" t="n">
        <v>1900</v>
      </c>
      <c r="D2600" s="13" t="n">
        <v>2</v>
      </c>
      <c r="E2600" s="13" t="n">
        <v>643.133333333333</v>
      </c>
      <c r="F2600" s="13" t="s">
        <v>5325</v>
      </c>
      <c r="G2600" s="13" t="s">
        <v>5292</v>
      </c>
      <c r="H2600" s="13" t="s">
        <v>5292</v>
      </c>
      <c r="I2600" s="13" t="s">
        <v>5289</v>
      </c>
      <c r="J2600" s="13" t="s">
        <v>5289</v>
      </c>
      <c r="K2600" s="13" t="s">
        <v>5289</v>
      </c>
      <c r="L2600" s="13" t="n">
        <v>3349668667024</v>
      </c>
      <c r="M2600" s="13"/>
      <c r="N2600" s="13" t="n">
        <v>3349668667024</v>
      </c>
      <c r="O2600" s="13"/>
      <c r="P2600" s="13" t="s">
        <v>5291</v>
      </c>
      <c r="Q2600" s="13" t="s">
        <v>5289</v>
      </c>
      <c r="R2600" s="13" t="s">
        <v>5292</v>
      </c>
      <c r="S2600" s="13" t="s">
        <v>5293</v>
      </c>
      <c r="T2600" s="13" t="s">
        <v>5</v>
      </c>
      <c r="U2600" s="13" t="s">
        <v>43</v>
      </c>
      <c r="V2600" s="13" t="n">
        <f aca="false">IF(COUNTIF($B$2:B2600,B2600)=1,1,0)</f>
        <v>0</v>
      </c>
      <c r="W2600" s="13" t="n">
        <f aca="false">IF(COUNTIFS($B$2:B2600,B2600,$T$2:T2600,T2600)=1,1,0)</f>
        <v>0</v>
      </c>
    </row>
    <row r="2601" customFormat="false" ht="15" hidden="false" customHeight="false" outlineLevel="0" collapsed="false">
      <c r="A2601" s="13" t="s">
        <v>933</v>
      </c>
      <c r="B2601" s="13" t="s">
        <v>177</v>
      </c>
      <c r="C2601" s="13" t="n">
        <v>1900</v>
      </c>
      <c r="D2601" s="13" t="n">
        <v>2</v>
      </c>
      <c r="E2601" s="13" t="n">
        <v>633.21</v>
      </c>
      <c r="F2601" s="13" t="s">
        <v>5325</v>
      </c>
      <c r="G2601" s="13" t="s">
        <v>5289</v>
      </c>
      <c r="H2601" s="13" t="s">
        <v>5292</v>
      </c>
      <c r="I2601" s="13" t="s">
        <v>5289</v>
      </c>
      <c r="J2601" s="13" t="s">
        <v>5289</v>
      </c>
      <c r="K2601" s="13" t="s">
        <v>5289</v>
      </c>
      <c r="L2601" s="13" t="n">
        <v>737052925127</v>
      </c>
      <c r="M2601" s="13"/>
      <c r="N2601" s="13" t="n">
        <v>737052925127</v>
      </c>
      <c r="O2601" s="13"/>
      <c r="P2601" s="13" t="s">
        <v>5291</v>
      </c>
      <c r="Q2601" s="13" t="s">
        <v>5289</v>
      </c>
      <c r="R2601" s="13" t="s">
        <v>5292</v>
      </c>
      <c r="S2601" s="13" t="s">
        <v>5293</v>
      </c>
      <c r="T2601" s="13" t="s">
        <v>5</v>
      </c>
      <c r="U2601" s="13" t="s">
        <v>43</v>
      </c>
      <c r="V2601" s="13" t="n">
        <f aca="false">IF(COUNTIF($B$2:B2601,B2601)=1,1,0)</f>
        <v>0</v>
      </c>
      <c r="W2601" s="13" t="n">
        <f aca="false">IF(COUNTIFS($B$2:B2601,B2601,$T$2:T2601,T2601)=1,1,0)</f>
        <v>0</v>
      </c>
    </row>
    <row r="2602" customFormat="false" ht="15" hidden="false" customHeight="false" outlineLevel="0" collapsed="false">
      <c r="A2602" s="13" t="s">
        <v>246</v>
      </c>
      <c r="B2602" s="13" t="s">
        <v>42</v>
      </c>
      <c r="C2602" s="13" t="n">
        <v>1900</v>
      </c>
      <c r="D2602" s="13" t="n">
        <v>2</v>
      </c>
      <c r="E2602" s="13" t="n">
        <v>631.09</v>
      </c>
      <c r="F2602" s="13" t="s">
        <v>5325</v>
      </c>
      <c r="G2602" s="13" t="s">
        <v>5289</v>
      </c>
      <c r="H2602" s="13" t="s">
        <v>5289</v>
      </c>
      <c r="I2602" s="13" t="s">
        <v>5289</v>
      </c>
      <c r="J2602" s="13" t="s">
        <v>5289</v>
      </c>
      <c r="K2602" s="13" t="s">
        <v>5289</v>
      </c>
      <c r="L2602" s="13" t="n">
        <v>8411061056769</v>
      </c>
      <c r="M2602" s="13"/>
      <c r="N2602" s="13" t="n">
        <v>8411061056769</v>
      </c>
      <c r="O2602" s="13"/>
      <c r="P2602" s="13" t="s">
        <v>5291</v>
      </c>
      <c r="Q2602" s="13" t="s">
        <v>5289</v>
      </c>
      <c r="R2602" s="13" t="s">
        <v>5292</v>
      </c>
      <c r="S2602" s="13" t="s">
        <v>5293</v>
      </c>
      <c r="T2602" s="13" t="s">
        <v>5</v>
      </c>
      <c r="U2602" s="13" t="s">
        <v>43</v>
      </c>
      <c r="V2602" s="13" t="n">
        <f aca="false">IF(COUNTIF($B$2:B2602,B2602)=1,1,0)</f>
        <v>0</v>
      </c>
      <c r="W2602" s="13" t="n">
        <f aca="false">IF(COUNTIFS($B$2:B2602,B2602,$T$2:T2602,T2602)=1,1,0)</f>
        <v>0</v>
      </c>
    </row>
    <row r="2603" customFormat="false" ht="15" hidden="false" customHeight="false" outlineLevel="0" collapsed="false">
      <c r="A2603" s="13" t="s">
        <v>401</v>
      </c>
      <c r="B2603" s="13" t="s">
        <v>45</v>
      </c>
      <c r="C2603" s="13" t="n">
        <v>1900</v>
      </c>
      <c r="D2603" s="13" t="n">
        <v>2</v>
      </c>
      <c r="E2603" s="13" t="n">
        <v>630</v>
      </c>
      <c r="F2603" s="13" t="s">
        <v>5288</v>
      </c>
      <c r="G2603" s="13" t="s">
        <v>5289</v>
      </c>
      <c r="H2603" s="13" t="s">
        <v>5289</v>
      </c>
      <c r="I2603" s="13" t="s">
        <v>5289</v>
      </c>
      <c r="J2603" s="13" t="s">
        <v>5289</v>
      </c>
      <c r="K2603" s="13" t="s">
        <v>5289</v>
      </c>
      <c r="L2603" s="13" t="n">
        <v>8435415011341</v>
      </c>
      <c r="M2603" s="13"/>
      <c r="N2603" s="13" t="n">
        <v>8435415011341</v>
      </c>
      <c r="O2603" s="13"/>
      <c r="P2603" s="13" t="s">
        <v>5291</v>
      </c>
      <c r="Q2603" s="13" t="s">
        <v>5289</v>
      </c>
      <c r="R2603" s="13" t="s">
        <v>5292</v>
      </c>
      <c r="S2603" s="13" t="s">
        <v>5293</v>
      </c>
      <c r="T2603" s="13" t="s">
        <v>5</v>
      </c>
      <c r="U2603" s="13" t="s">
        <v>43</v>
      </c>
      <c r="V2603" s="13" t="n">
        <f aca="false">IF(COUNTIF($B$2:B2603,B2603)=1,1,0)</f>
        <v>0</v>
      </c>
      <c r="W2603" s="13" t="n">
        <f aca="false">IF(COUNTIFS($B$2:B2603,B2603,$T$2:T2603,T2603)=1,1,0)</f>
        <v>0</v>
      </c>
    </row>
    <row r="2604" customFormat="false" ht="15" hidden="false" customHeight="false" outlineLevel="0" collapsed="false">
      <c r="A2604" s="13" t="s">
        <v>932</v>
      </c>
      <c r="B2604" s="13" t="s">
        <v>195</v>
      </c>
      <c r="C2604" s="13" t="n">
        <v>1900</v>
      </c>
      <c r="D2604" s="13" t="n">
        <v>2</v>
      </c>
      <c r="E2604" s="13" t="n">
        <v>630</v>
      </c>
      <c r="F2604" s="13" t="s">
        <v>5325</v>
      </c>
      <c r="G2604" s="13" t="s">
        <v>5289</v>
      </c>
      <c r="H2604" s="13" t="s">
        <v>5289</v>
      </c>
      <c r="I2604" s="13" t="s">
        <v>5289</v>
      </c>
      <c r="J2604" s="13" t="s">
        <v>5289</v>
      </c>
      <c r="K2604" s="13" t="s">
        <v>5289</v>
      </c>
      <c r="L2604" s="13" t="n">
        <v>3616304248825</v>
      </c>
      <c r="M2604" s="13"/>
      <c r="N2604" s="13" t="n">
        <v>3616304248825</v>
      </c>
      <c r="O2604" s="13"/>
      <c r="P2604" s="13" t="s">
        <v>5291</v>
      </c>
      <c r="Q2604" s="13" t="s">
        <v>5289</v>
      </c>
      <c r="R2604" s="13" t="s">
        <v>5292</v>
      </c>
      <c r="S2604" s="13" t="s">
        <v>5293</v>
      </c>
      <c r="T2604" s="13" t="s">
        <v>5</v>
      </c>
      <c r="U2604" s="13" t="s">
        <v>43</v>
      </c>
      <c r="V2604" s="13" t="n">
        <f aca="false">IF(COUNTIF($B$2:B2604,B2604)=1,1,0)</f>
        <v>0</v>
      </c>
      <c r="W2604" s="13" t="n">
        <f aca="false">IF(COUNTIFS($B$2:B2604,B2604,$T$2:T2604,T2604)=1,1,0)</f>
        <v>0</v>
      </c>
    </row>
    <row r="2605" customFormat="false" ht="15" hidden="false" customHeight="false" outlineLevel="0" collapsed="false">
      <c r="A2605" s="13" t="s">
        <v>432</v>
      </c>
      <c r="B2605" s="13" t="s">
        <v>61</v>
      </c>
      <c r="C2605" s="13" t="n">
        <v>1900</v>
      </c>
      <c r="D2605" s="13" t="n">
        <v>2</v>
      </c>
      <c r="E2605" s="13" t="n">
        <v>630</v>
      </c>
      <c r="F2605" s="13" t="s">
        <v>5325</v>
      </c>
      <c r="G2605" s="13" t="s">
        <v>5289</v>
      </c>
      <c r="H2605" s="13" t="s">
        <v>5289</v>
      </c>
      <c r="I2605" s="13" t="s">
        <v>5289</v>
      </c>
      <c r="J2605" s="13" t="s">
        <v>5289</v>
      </c>
      <c r="K2605" s="13" t="s">
        <v>5289</v>
      </c>
      <c r="L2605" s="13"/>
      <c r="M2605" s="13"/>
      <c r="N2605" s="13" t="n">
        <v>3614274299229</v>
      </c>
      <c r="O2605" s="13"/>
      <c r="P2605" s="13" t="s">
        <v>5291</v>
      </c>
      <c r="Q2605" s="13" t="s">
        <v>5289</v>
      </c>
      <c r="R2605" s="13" t="s">
        <v>5292</v>
      </c>
      <c r="S2605" s="13" t="s">
        <v>5293</v>
      </c>
      <c r="T2605" s="13" t="s">
        <v>5</v>
      </c>
      <c r="U2605" s="13" t="s">
        <v>43</v>
      </c>
      <c r="V2605" s="13" t="n">
        <f aca="false">IF(COUNTIF($B$2:B2605,B2605)=1,1,0)</f>
        <v>0</v>
      </c>
      <c r="W2605" s="13" t="n">
        <f aca="false">IF(COUNTIFS($B$2:B2605,B2605,$T$2:T2605,T2605)=1,1,0)</f>
        <v>0</v>
      </c>
    </row>
    <row r="2606" customFormat="false" ht="15" hidden="false" customHeight="false" outlineLevel="0" collapsed="false">
      <c r="A2606" s="13" t="s">
        <v>3525</v>
      </c>
      <c r="B2606" s="13" t="s">
        <v>2145</v>
      </c>
      <c r="C2606" s="13" t="n">
        <v>1900</v>
      </c>
      <c r="D2606" s="13" t="n">
        <v>5</v>
      </c>
      <c r="E2606" s="13" t="n">
        <v>312.621666666667</v>
      </c>
      <c r="F2606" s="13" t="s">
        <v>5288</v>
      </c>
      <c r="G2606" s="13" t="s">
        <v>5289</v>
      </c>
      <c r="H2606" s="13" t="s">
        <v>5292</v>
      </c>
      <c r="I2606" s="13" t="s">
        <v>5289</v>
      </c>
      <c r="J2606" s="13" t="s">
        <v>5289</v>
      </c>
      <c r="K2606" s="13" t="s">
        <v>5289</v>
      </c>
      <c r="L2606" s="13" t="n">
        <v>4064941178613</v>
      </c>
      <c r="M2606" s="13"/>
      <c r="N2606" s="13" t="n">
        <v>4064941178613</v>
      </c>
      <c r="O2606" s="13"/>
      <c r="P2606" s="13" t="s">
        <v>5291</v>
      </c>
      <c r="Q2606" s="13" t="s">
        <v>5289</v>
      </c>
      <c r="R2606" s="13" t="s">
        <v>5292</v>
      </c>
      <c r="S2606" s="13" t="s">
        <v>5293</v>
      </c>
      <c r="T2606" s="13" t="s">
        <v>5</v>
      </c>
      <c r="U2606" s="13" t="s">
        <v>43</v>
      </c>
      <c r="V2606" s="13" t="n">
        <f aca="false">IF(COUNTIF($B$2:B2606,B2606)=1,1,0)</f>
        <v>0</v>
      </c>
      <c r="W2606" s="13" t="n">
        <f aca="false">IF(COUNTIFS($B$2:B2606,B2606,$T$2:T2606,T2606)=1,1,0)</f>
        <v>0</v>
      </c>
    </row>
    <row r="2607" customFormat="false" ht="15" hidden="false" customHeight="false" outlineLevel="0" collapsed="false">
      <c r="A2607" s="13" t="s">
        <v>941</v>
      </c>
      <c r="B2607" s="13" t="s">
        <v>286</v>
      </c>
      <c r="C2607" s="13" t="n">
        <v>1900</v>
      </c>
      <c r="D2607" s="13" t="n">
        <v>5</v>
      </c>
      <c r="E2607" s="13" t="n">
        <v>234</v>
      </c>
      <c r="F2607" s="13" t="s">
        <v>5288</v>
      </c>
      <c r="G2607" s="13" t="s">
        <v>5289</v>
      </c>
      <c r="H2607" s="13" t="s">
        <v>5292</v>
      </c>
      <c r="I2607" s="13" t="s">
        <v>5289</v>
      </c>
      <c r="J2607" s="13" t="s">
        <v>5289</v>
      </c>
      <c r="K2607" s="13" t="s">
        <v>5289</v>
      </c>
      <c r="L2607" s="13" t="n">
        <v>6295199801116</v>
      </c>
      <c r="M2607" s="13"/>
      <c r="N2607" s="13" t="n">
        <v>6295199801116</v>
      </c>
      <c r="O2607" s="13"/>
      <c r="P2607" s="13" t="s">
        <v>5291</v>
      </c>
      <c r="Q2607" s="13" t="s">
        <v>5289</v>
      </c>
      <c r="R2607" s="13" t="s">
        <v>5292</v>
      </c>
      <c r="S2607" s="13" t="s">
        <v>5293</v>
      </c>
      <c r="T2607" s="13" t="s">
        <v>5</v>
      </c>
      <c r="U2607" s="13" t="s">
        <v>43</v>
      </c>
      <c r="V2607" s="13" t="n">
        <f aca="false">IF(COUNTIF($B$2:B2607,B2607)=1,1,0)</f>
        <v>0</v>
      </c>
      <c r="W2607" s="13" t="n">
        <f aca="false">IF(COUNTIFS($B$2:B2607,B2607,$T$2:T2607,T2607)=1,1,0)</f>
        <v>0</v>
      </c>
    </row>
    <row r="2608" customFormat="false" ht="15" hidden="false" customHeight="false" outlineLevel="0" collapsed="false">
      <c r="A2608" s="13" t="s">
        <v>532</v>
      </c>
      <c r="B2608" s="13" t="s">
        <v>59</v>
      </c>
      <c r="C2608" s="13" t="n">
        <v>1900</v>
      </c>
      <c r="D2608" s="13" t="n">
        <v>10</v>
      </c>
      <c r="E2608" s="13" t="n">
        <v>144</v>
      </c>
      <c r="F2608" s="13" t="s">
        <v>5288</v>
      </c>
      <c r="G2608" s="13" t="s">
        <v>5289</v>
      </c>
      <c r="H2608" s="13" t="s">
        <v>5289</v>
      </c>
      <c r="I2608" s="13" t="s">
        <v>5289</v>
      </c>
      <c r="J2608" s="13" t="s">
        <v>5289</v>
      </c>
      <c r="K2608" s="13" t="s">
        <v>5289</v>
      </c>
      <c r="L2608" s="13" t="n">
        <v>3616307110136</v>
      </c>
      <c r="M2608" s="13"/>
      <c r="N2608" s="13" t="n">
        <v>3616307110136</v>
      </c>
      <c r="O2608" s="13"/>
      <c r="P2608" s="13" t="s">
        <v>5291</v>
      </c>
      <c r="Q2608" s="13" t="s">
        <v>5289</v>
      </c>
      <c r="R2608" s="13" t="s">
        <v>5292</v>
      </c>
      <c r="S2608" s="13" t="s">
        <v>5293</v>
      </c>
      <c r="T2608" s="13" t="s">
        <v>5</v>
      </c>
      <c r="U2608" s="13" t="s">
        <v>43</v>
      </c>
      <c r="V2608" s="13" t="n">
        <f aca="false">IF(COUNTIF($B$2:B2608,B2608)=1,1,0)</f>
        <v>0</v>
      </c>
      <c r="W2608" s="13" t="n">
        <f aca="false">IF(COUNTIFS($B$2:B2608,B2608,$T$2:T2608,T2608)=1,1,0)</f>
        <v>1</v>
      </c>
    </row>
    <row r="2609" customFormat="false" ht="15" hidden="false" customHeight="false" outlineLevel="0" collapsed="false">
      <c r="A2609" s="13" t="s">
        <v>907</v>
      </c>
      <c r="B2609" s="13" t="s">
        <v>50</v>
      </c>
      <c r="C2609" s="13" t="n">
        <v>1900</v>
      </c>
      <c r="D2609" s="13" t="n">
        <v>2</v>
      </c>
      <c r="E2609" s="13" t="n">
        <v>928.925</v>
      </c>
      <c r="F2609" s="13" t="s">
        <v>5325</v>
      </c>
      <c r="G2609" s="13" t="s">
        <v>5289</v>
      </c>
      <c r="H2609" s="13" t="s">
        <v>5292</v>
      </c>
      <c r="I2609" s="13" t="s">
        <v>5289</v>
      </c>
      <c r="J2609" s="13" t="s">
        <v>5289</v>
      </c>
      <c r="K2609" s="13" t="s">
        <v>5289</v>
      </c>
      <c r="L2609" s="13"/>
      <c r="M2609" s="13"/>
      <c r="N2609" s="13" t="n">
        <v>3349668581948</v>
      </c>
      <c r="O2609" s="13"/>
      <c r="P2609" s="13" t="s">
        <v>5291</v>
      </c>
      <c r="Q2609" s="13" t="s">
        <v>5289</v>
      </c>
      <c r="R2609" s="13" t="s">
        <v>5292</v>
      </c>
      <c r="S2609" s="13" t="s">
        <v>5293</v>
      </c>
      <c r="T2609" s="13" t="s">
        <v>5</v>
      </c>
      <c r="U2609" s="13" t="s">
        <v>43</v>
      </c>
      <c r="V2609" s="13" t="n">
        <f aca="false">IF(COUNTIF($B$2:B2609,B2609)=1,1,0)</f>
        <v>0</v>
      </c>
      <c r="W2609" s="13" t="n">
        <f aca="false">IF(COUNTIFS($B$2:B2609,B2609,$T$2:T2609,T2609)=1,1,0)</f>
        <v>0</v>
      </c>
    </row>
    <row r="2610" customFormat="false" ht="15" hidden="false" customHeight="false" outlineLevel="0" collapsed="false">
      <c r="A2610" s="13" t="s">
        <v>550</v>
      </c>
      <c r="B2610" s="13" t="s">
        <v>186</v>
      </c>
      <c r="C2610" s="13" t="n">
        <v>1900</v>
      </c>
      <c r="D2610" s="13" t="n">
        <v>5</v>
      </c>
      <c r="E2610" s="13" t="n">
        <v>371</v>
      </c>
      <c r="F2610" s="13" t="s">
        <v>5325</v>
      </c>
      <c r="G2610" s="13" t="s">
        <v>5289</v>
      </c>
      <c r="H2610" s="13" t="s">
        <v>5289</v>
      </c>
      <c r="I2610" s="13" t="s">
        <v>5289</v>
      </c>
      <c r="J2610" s="13" t="s">
        <v>5289</v>
      </c>
      <c r="K2610" s="13" t="s">
        <v>5289</v>
      </c>
      <c r="L2610" s="13" t="n">
        <v>3614229135145</v>
      </c>
      <c r="M2610" s="13"/>
      <c r="N2610" s="13" t="n">
        <v>3614229135145</v>
      </c>
      <c r="O2610" s="13"/>
      <c r="P2610" s="13" t="s">
        <v>5297</v>
      </c>
      <c r="Q2610" s="13" t="s">
        <v>5289</v>
      </c>
      <c r="R2610" s="13" t="s">
        <v>5292</v>
      </c>
      <c r="S2610" s="13" t="s">
        <v>5293</v>
      </c>
      <c r="T2610" s="13" t="s">
        <v>5</v>
      </c>
      <c r="U2610" s="13" t="s">
        <v>43</v>
      </c>
      <c r="V2610" s="13" t="n">
        <f aca="false">IF(COUNTIF($B$2:B2610,B2610)=1,1,0)</f>
        <v>0</v>
      </c>
      <c r="W2610" s="13" t="n">
        <f aca="false">IF(COUNTIFS($B$2:B2610,B2610,$T$2:T2610,T2610)=1,1,0)</f>
        <v>1</v>
      </c>
    </row>
    <row r="2611" customFormat="false" ht="15" hidden="false" customHeight="false" outlineLevel="0" collapsed="false">
      <c r="A2611" s="13" t="s">
        <v>334</v>
      </c>
      <c r="B2611" s="13" t="s">
        <v>42</v>
      </c>
      <c r="C2611" s="13" t="n">
        <v>1900</v>
      </c>
      <c r="D2611" s="13" t="n">
        <v>2</v>
      </c>
      <c r="E2611" s="13" t="n">
        <v>462.9425</v>
      </c>
      <c r="F2611" s="13" t="s">
        <v>5325</v>
      </c>
      <c r="G2611" s="13" t="s">
        <v>5289</v>
      </c>
      <c r="H2611" s="13" t="s">
        <v>5292</v>
      </c>
      <c r="I2611" s="13" t="s">
        <v>5289</v>
      </c>
      <c r="J2611" s="13" t="s">
        <v>5289</v>
      </c>
      <c r="K2611" s="13" t="s">
        <v>5289</v>
      </c>
      <c r="L2611" s="13" t="n">
        <v>8411061041673</v>
      </c>
      <c r="M2611" s="13"/>
      <c r="N2611" s="13" t="n">
        <v>8411061041673</v>
      </c>
      <c r="O2611" s="13"/>
      <c r="P2611" s="13" t="s">
        <v>5291</v>
      </c>
      <c r="Q2611" s="13" t="s">
        <v>5289</v>
      </c>
      <c r="R2611" s="13" t="s">
        <v>5292</v>
      </c>
      <c r="S2611" s="13" t="s">
        <v>5293</v>
      </c>
      <c r="T2611" s="13" t="s">
        <v>5</v>
      </c>
      <c r="U2611" s="13" t="s">
        <v>43</v>
      </c>
      <c r="V2611" s="13" t="n">
        <f aca="false">IF(COUNTIF($B$2:B2611,B2611)=1,1,0)</f>
        <v>0</v>
      </c>
      <c r="W2611" s="13" t="n">
        <f aca="false">IF(COUNTIFS($B$2:B2611,B2611,$T$2:T2611,T2611)=1,1,0)</f>
        <v>0</v>
      </c>
    </row>
    <row r="2612" customFormat="false" ht="15" hidden="false" customHeight="false" outlineLevel="0" collapsed="false">
      <c r="A2612" s="13" t="s">
        <v>3548</v>
      </c>
      <c r="B2612" s="13" t="s">
        <v>2139</v>
      </c>
      <c r="C2612" s="13" t="n">
        <v>1800</v>
      </c>
      <c r="D2612" s="13" t="n">
        <v>10</v>
      </c>
      <c r="E2612" s="13" t="n">
        <v>141.950769230769</v>
      </c>
      <c r="F2612" s="13" t="s">
        <v>5325</v>
      </c>
      <c r="G2612" s="13" t="s">
        <v>5289</v>
      </c>
      <c r="H2612" s="13" t="s">
        <v>5289</v>
      </c>
      <c r="I2612" s="13" t="s">
        <v>5289</v>
      </c>
      <c r="J2612" s="13" t="s">
        <v>5289</v>
      </c>
      <c r="K2612" s="13" t="s">
        <v>5289</v>
      </c>
      <c r="L2612" s="13" t="n">
        <v>8411061067291</v>
      </c>
      <c r="M2612" s="13"/>
      <c r="N2612" s="13" t="n">
        <v>8411061067291</v>
      </c>
      <c r="O2612" s="13"/>
      <c r="P2612" s="13" t="s">
        <v>5291</v>
      </c>
      <c r="Q2612" s="13" t="s">
        <v>5289</v>
      </c>
      <c r="R2612" s="13" t="s">
        <v>5292</v>
      </c>
      <c r="S2612" s="13" t="s">
        <v>5293</v>
      </c>
      <c r="T2612" s="13" t="s">
        <v>5</v>
      </c>
      <c r="U2612" s="13" t="s">
        <v>43</v>
      </c>
      <c r="V2612" s="13" t="n">
        <f aca="false">IF(COUNTIF($B$2:B2612,B2612)=1,1,0)</f>
        <v>0</v>
      </c>
      <c r="W2612" s="13" t="n">
        <f aca="false">IF(COUNTIFS($B$2:B2612,B2612,$T$2:T2612,T2612)=1,1,0)</f>
        <v>1</v>
      </c>
    </row>
    <row r="2613" customFormat="false" ht="15" hidden="false" customHeight="false" outlineLevel="0" collapsed="false">
      <c r="A2613" s="13" t="s">
        <v>958</v>
      </c>
      <c r="B2613" s="13" t="s">
        <v>103</v>
      </c>
      <c r="C2613" s="13" t="n">
        <v>1800</v>
      </c>
      <c r="D2613" s="13" t="n">
        <v>5</v>
      </c>
      <c r="E2613" s="13" t="n">
        <v>230.43</v>
      </c>
      <c r="F2613" s="13" t="s">
        <v>5325</v>
      </c>
      <c r="G2613" s="13" t="s">
        <v>5289</v>
      </c>
      <c r="H2613" s="13" t="s">
        <v>5289</v>
      </c>
      <c r="I2613" s="13" t="s">
        <v>5289</v>
      </c>
      <c r="J2613" s="13" t="s">
        <v>5289</v>
      </c>
      <c r="K2613" s="13" t="s">
        <v>5289</v>
      </c>
      <c r="L2613" s="13" t="n">
        <v>8411061034972</v>
      </c>
      <c r="M2613" s="13"/>
      <c r="N2613" s="13" t="n">
        <v>8.41106103497284E+025</v>
      </c>
      <c r="O2613" s="13"/>
      <c r="P2613" s="13" t="s">
        <v>5291</v>
      </c>
      <c r="Q2613" s="13" t="s">
        <v>5289</v>
      </c>
      <c r="R2613" s="13" t="s">
        <v>5292</v>
      </c>
      <c r="S2613" s="13" t="s">
        <v>5293</v>
      </c>
      <c r="T2613" s="13" t="s">
        <v>5</v>
      </c>
      <c r="U2613" s="13" t="s">
        <v>43</v>
      </c>
      <c r="V2613" s="13" t="n">
        <f aca="false">IF(COUNTIF($B$2:B2613,B2613)=1,1,0)</f>
        <v>0</v>
      </c>
      <c r="W2613" s="13" t="n">
        <f aca="false">IF(COUNTIFS($B$2:B2613,B2613,$T$2:T2613,T2613)=1,1,0)</f>
        <v>0</v>
      </c>
    </row>
    <row r="2614" customFormat="false" ht="15" hidden="false" customHeight="false" outlineLevel="0" collapsed="false">
      <c r="A2614" s="13" t="s">
        <v>718</v>
      </c>
      <c r="B2614" s="13" t="s">
        <v>54</v>
      </c>
      <c r="C2614" s="13" t="n">
        <v>1800</v>
      </c>
      <c r="D2614" s="13" t="n">
        <v>5</v>
      </c>
      <c r="E2614" s="13" t="n">
        <v>307.083333333333</v>
      </c>
      <c r="F2614" s="13" t="s">
        <v>5325</v>
      </c>
      <c r="G2614" s="13" t="s">
        <v>5289</v>
      </c>
      <c r="H2614" s="13" t="s">
        <v>5292</v>
      </c>
      <c r="I2614" s="13" t="s">
        <v>5289</v>
      </c>
      <c r="J2614" s="13" t="s">
        <v>5289</v>
      </c>
      <c r="K2614" s="13" t="s">
        <v>5289</v>
      </c>
      <c r="L2614" s="13" t="n">
        <v>729238146570</v>
      </c>
      <c r="M2614" s="13"/>
      <c r="N2614" s="13" t="n">
        <v>729238146570</v>
      </c>
      <c r="O2614" s="13"/>
      <c r="P2614" s="13" t="s">
        <v>5291</v>
      </c>
      <c r="Q2614" s="13" t="s">
        <v>5289</v>
      </c>
      <c r="R2614" s="13" t="s">
        <v>5292</v>
      </c>
      <c r="S2614" s="13" t="s">
        <v>5293</v>
      </c>
      <c r="T2614" s="13" t="s">
        <v>5</v>
      </c>
      <c r="U2614" s="13" t="s">
        <v>43</v>
      </c>
      <c r="V2614" s="13" t="n">
        <f aca="false">IF(COUNTIF($B$2:B2614,B2614)=1,1,0)</f>
        <v>0</v>
      </c>
      <c r="W2614" s="13" t="n">
        <f aca="false">IF(COUNTIFS($B$2:B2614,B2614,$T$2:T2614,T2614)=1,1,0)</f>
        <v>0</v>
      </c>
    </row>
    <row r="2615" customFormat="false" ht="15" hidden="false" customHeight="false" outlineLevel="0" collapsed="false">
      <c r="A2615" s="13" t="s">
        <v>942</v>
      </c>
      <c r="B2615" s="13" t="s">
        <v>124</v>
      </c>
      <c r="C2615" s="13" t="n">
        <v>1800</v>
      </c>
      <c r="D2615" s="13" t="n">
        <v>2</v>
      </c>
      <c r="E2615" s="13" t="n">
        <v>613.9</v>
      </c>
      <c r="F2615" s="13" t="s">
        <v>5325</v>
      </c>
      <c r="G2615" s="13" t="s">
        <v>5289</v>
      </c>
      <c r="H2615" s="13" t="s">
        <v>5292</v>
      </c>
      <c r="I2615" s="13" t="s">
        <v>5289</v>
      </c>
      <c r="J2615" s="13" t="s">
        <v>5289</v>
      </c>
      <c r="K2615" s="13" t="s">
        <v>5289</v>
      </c>
      <c r="L2615" s="13" t="n">
        <v>3614273953856</v>
      </c>
      <c r="M2615" s="13"/>
      <c r="N2615" s="13" t="n">
        <v>3614273953856</v>
      </c>
      <c r="O2615" s="13"/>
      <c r="P2615" s="13" t="s">
        <v>5291</v>
      </c>
      <c r="Q2615" s="13" t="s">
        <v>5289</v>
      </c>
      <c r="R2615" s="13" t="s">
        <v>5292</v>
      </c>
      <c r="S2615" s="13" t="s">
        <v>5293</v>
      </c>
      <c r="T2615" s="13" t="s">
        <v>5</v>
      </c>
      <c r="U2615" s="13" t="s">
        <v>43</v>
      </c>
      <c r="V2615" s="13" t="n">
        <f aca="false">IF(COUNTIF($B$2:B2615,B2615)=1,1,0)</f>
        <v>0</v>
      </c>
      <c r="W2615" s="13" t="n">
        <f aca="false">IF(COUNTIFS($B$2:B2615,B2615,$T$2:T2615,T2615)=1,1,0)</f>
        <v>0</v>
      </c>
    </row>
    <row r="2616" customFormat="false" ht="15" hidden="false" customHeight="false" outlineLevel="0" collapsed="false">
      <c r="A2616" s="13" t="s">
        <v>798</v>
      </c>
      <c r="B2616" s="13" t="s">
        <v>195</v>
      </c>
      <c r="C2616" s="13" t="n">
        <v>1800</v>
      </c>
      <c r="D2616" s="13" t="n">
        <v>2</v>
      </c>
      <c r="E2616" s="13" t="n">
        <v>613.856666666667</v>
      </c>
      <c r="F2616" s="13" t="s">
        <v>5288</v>
      </c>
      <c r="G2616" s="13" t="s">
        <v>5289</v>
      </c>
      <c r="H2616" s="13" t="s">
        <v>5289</v>
      </c>
      <c r="I2616" s="13" t="s">
        <v>5289</v>
      </c>
      <c r="J2616" s="13" t="s">
        <v>5289</v>
      </c>
      <c r="K2616" s="13" t="s">
        <v>5289</v>
      </c>
      <c r="L2616" s="13" t="n">
        <v>3614228838016</v>
      </c>
      <c r="M2616" s="13"/>
      <c r="N2616" s="13" t="n">
        <v>3614228838016</v>
      </c>
      <c r="O2616" s="13"/>
      <c r="P2616" s="13" t="s">
        <v>5297</v>
      </c>
      <c r="Q2616" s="13" t="s">
        <v>5289</v>
      </c>
      <c r="R2616" s="13" t="s">
        <v>5292</v>
      </c>
      <c r="S2616" s="13" t="s">
        <v>5293</v>
      </c>
      <c r="T2616" s="13" t="s">
        <v>5</v>
      </c>
      <c r="U2616" s="13" t="s">
        <v>43</v>
      </c>
      <c r="V2616" s="13" t="n">
        <f aca="false">IF(COUNTIF($B$2:B2616,B2616)=1,1,0)</f>
        <v>0</v>
      </c>
      <c r="W2616" s="13" t="n">
        <f aca="false">IF(COUNTIFS($B$2:B2616,B2616,$T$2:T2616,T2616)=1,1,0)</f>
        <v>0</v>
      </c>
    </row>
    <row r="2617" customFormat="false" ht="15" hidden="false" customHeight="false" outlineLevel="0" collapsed="false">
      <c r="A2617" s="13" t="s">
        <v>78</v>
      </c>
      <c r="B2617" s="13" t="s">
        <v>69</v>
      </c>
      <c r="C2617" s="13" t="n">
        <v>1800</v>
      </c>
      <c r="D2617" s="13" t="n">
        <v>2</v>
      </c>
      <c r="E2617" s="13" t="n">
        <v>917.505</v>
      </c>
      <c r="F2617" s="13" t="s">
        <v>5325</v>
      </c>
      <c r="G2617" s="13" t="s">
        <v>5289</v>
      </c>
      <c r="H2617" s="13" t="s">
        <v>5292</v>
      </c>
      <c r="I2617" s="13" t="s">
        <v>5289</v>
      </c>
      <c r="J2617" s="13" t="s">
        <v>5289</v>
      </c>
      <c r="K2617" s="13" t="s">
        <v>5289</v>
      </c>
      <c r="L2617" s="13" t="n">
        <v>3614273069557</v>
      </c>
      <c r="M2617" s="13"/>
      <c r="N2617" s="13" t="n">
        <v>3614273069557</v>
      </c>
      <c r="O2617" s="13"/>
      <c r="P2617" s="13" t="s">
        <v>5291</v>
      </c>
      <c r="Q2617" s="13" t="s">
        <v>5289</v>
      </c>
      <c r="R2617" s="13" t="s">
        <v>5292</v>
      </c>
      <c r="S2617" s="13" t="s">
        <v>5293</v>
      </c>
      <c r="T2617" s="13" t="s">
        <v>5</v>
      </c>
      <c r="U2617" s="13" t="s">
        <v>43</v>
      </c>
      <c r="V2617" s="13" t="n">
        <f aca="false">IF(COUNTIF($B$2:B2617,B2617)=1,1,0)</f>
        <v>0</v>
      </c>
      <c r="W2617" s="13" t="n">
        <f aca="false">IF(COUNTIFS($B$2:B2617,B2617,$T$2:T2617,T2617)=1,1,0)</f>
        <v>0</v>
      </c>
    </row>
    <row r="2618" customFormat="false" ht="15" hidden="false" customHeight="false" outlineLevel="0" collapsed="false">
      <c r="A2618" s="13" t="s">
        <v>950</v>
      </c>
      <c r="B2618" s="13" t="s">
        <v>61</v>
      </c>
      <c r="C2618" s="13" t="n">
        <v>1800</v>
      </c>
      <c r="D2618" s="13" t="n">
        <v>2</v>
      </c>
      <c r="E2618" s="13" t="n">
        <v>611</v>
      </c>
      <c r="F2618" s="13" t="s">
        <v>5325</v>
      </c>
      <c r="G2618" s="13" t="s">
        <v>5289</v>
      </c>
      <c r="H2618" s="13" t="s">
        <v>5289</v>
      </c>
      <c r="I2618" s="13" t="s">
        <v>5289</v>
      </c>
      <c r="J2618" s="13" t="s">
        <v>5289</v>
      </c>
      <c r="K2618" s="13" t="s">
        <v>5289</v>
      </c>
      <c r="L2618" s="13"/>
      <c r="M2618" s="13"/>
      <c r="N2618" s="13" t="n">
        <v>3614273749381</v>
      </c>
      <c r="O2618" s="13"/>
      <c r="P2618" s="13" t="s">
        <v>5297</v>
      </c>
      <c r="Q2618" s="13" t="s">
        <v>5289</v>
      </c>
      <c r="R2618" s="13" t="s">
        <v>5292</v>
      </c>
      <c r="S2618" s="13" t="s">
        <v>5293</v>
      </c>
      <c r="T2618" s="13" t="s">
        <v>5</v>
      </c>
      <c r="U2618" s="13" t="s">
        <v>43</v>
      </c>
      <c r="V2618" s="13" t="n">
        <f aca="false">IF(COUNTIF($B$2:B2618,B2618)=1,1,0)</f>
        <v>0</v>
      </c>
      <c r="W2618" s="13" t="n">
        <f aca="false">IF(COUNTIFS($B$2:B2618,B2618,$T$2:T2618,T2618)=1,1,0)</f>
        <v>0</v>
      </c>
    </row>
    <row r="2619" customFormat="false" ht="15" hidden="false" customHeight="false" outlineLevel="0" collapsed="false">
      <c r="A2619" s="13" t="s">
        <v>3585</v>
      </c>
      <c r="B2619" s="13" t="s">
        <v>2150</v>
      </c>
      <c r="C2619" s="13" t="n">
        <v>1800</v>
      </c>
      <c r="D2619" s="13" t="n">
        <v>20</v>
      </c>
      <c r="E2619" s="13" t="n">
        <v>107.208823529412</v>
      </c>
      <c r="F2619" s="13" t="s">
        <v>5288</v>
      </c>
      <c r="G2619" s="13" t="s">
        <v>5289</v>
      </c>
      <c r="H2619" s="13" t="s">
        <v>5289</v>
      </c>
      <c r="I2619" s="13" t="s">
        <v>5289</v>
      </c>
      <c r="J2619" s="13" t="s">
        <v>5289</v>
      </c>
      <c r="K2619" s="13" t="s">
        <v>5289</v>
      </c>
      <c r="L2619" s="13"/>
      <c r="M2619" s="13"/>
      <c r="N2619" s="13" t="n">
        <v>8411061876039</v>
      </c>
      <c r="O2619" s="13"/>
      <c r="P2619" s="13" t="s">
        <v>5291</v>
      </c>
      <c r="Q2619" s="13" t="s">
        <v>5289</v>
      </c>
      <c r="R2619" s="13" t="s">
        <v>5292</v>
      </c>
      <c r="S2619" s="13" t="s">
        <v>5293</v>
      </c>
      <c r="T2619" s="13" t="s">
        <v>5</v>
      </c>
      <c r="U2619" s="13" t="s">
        <v>43</v>
      </c>
      <c r="V2619" s="13" t="n">
        <f aca="false">IF(COUNTIF($B$2:B2619,B2619)=1,1,0)</f>
        <v>0</v>
      </c>
      <c r="W2619" s="13" t="n">
        <f aca="false">IF(COUNTIFS($B$2:B2619,B2619,$T$2:T2619,T2619)=1,1,0)</f>
        <v>0</v>
      </c>
    </row>
    <row r="2620" customFormat="false" ht="15" hidden="false" customHeight="false" outlineLevel="0" collapsed="false">
      <c r="A2620" s="13" t="s">
        <v>949</v>
      </c>
      <c r="B2620" s="13" t="s">
        <v>61</v>
      </c>
      <c r="C2620" s="13" t="n">
        <v>1800</v>
      </c>
      <c r="D2620" s="13" t="n">
        <v>2</v>
      </c>
      <c r="E2620" s="13" t="n">
        <v>606.003333333333</v>
      </c>
      <c r="F2620" s="13" t="s">
        <v>5325</v>
      </c>
      <c r="G2620" s="13" t="s">
        <v>5289</v>
      </c>
      <c r="H2620" s="13" t="s">
        <v>5289</v>
      </c>
      <c r="I2620" s="13" t="s">
        <v>5289</v>
      </c>
      <c r="J2620" s="13" t="s">
        <v>5289</v>
      </c>
      <c r="K2620" s="13" t="s">
        <v>5289</v>
      </c>
      <c r="L2620" s="13"/>
      <c r="M2620" s="13"/>
      <c r="N2620" s="13" t="n">
        <v>3614274299212</v>
      </c>
      <c r="O2620" s="13"/>
      <c r="P2620" s="13" t="s">
        <v>5291</v>
      </c>
      <c r="Q2620" s="13" t="s">
        <v>5289</v>
      </c>
      <c r="R2620" s="13" t="s">
        <v>5292</v>
      </c>
      <c r="S2620" s="13" t="s">
        <v>5293</v>
      </c>
      <c r="T2620" s="13" t="s">
        <v>5</v>
      </c>
      <c r="U2620" s="13" t="s">
        <v>43</v>
      </c>
      <c r="V2620" s="13" t="n">
        <f aca="false">IF(COUNTIF($B$2:B2620,B2620)=1,1,0)</f>
        <v>0</v>
      </c>
      <c r="W2620" s="13" t="n">
        <f aca="false">IF(COUNTIFS($B$2:B2620,B2620,$T$2:T2620,T2620)=1,1,0)</f>
        <v>0</v>
      </c>
    </row>
    <row r="2621" customFormat="false" ht="15" hidden="false" customHeight="false" outlineLevel="0" collapsed="false">
      <c r="A2621" s="13" t="s">
        <v>960</v>
      </c>
      <c r="B2621" s="13" t="s">
        <v>121</v>
      </c>
      <c r="C2621" s="13" t="n">
        <v>1800</v>
      </c>
      <c r="D2621" s="13" t="n">
        <v>40</v>
      </c>
      <c r="E2621" s="13" t="n">
        <v>50.4608333333333</v>
      </c>
      <c r="F2621" s="13" t="s">
        <v>5288</v>
      </c>
      <c r="G2621" s="13" t="s">
        <v>5289</v>
      </c>
      <c r="H2621" s="13" t="s">
        <v>5289</v>
      </c>
      <c r="I2621" s="13" t="s">
        <v>5292</v>
      </c>
      <c r="J2621" s="13" t="s">
        <v>5289</v>
      </c>
      <c r="K2621" s="13" t="s">
        <v>5292</v>
      </c>
      <c r="L2621" s="13" t="n">
        <v>7896086997630</v>
      </c>
      <c r="M2621" s="13"/>
      <c r="N2621" s="13" t="n">
        <v>7896086997630</v>
      </c>
      <c r="O2621" s="13"/>
      <c r="P2621" s="13" t="s">
        <v>5291</v>
      </c>
      <c r="Q2621" s="13" t="s">
        <v>5289</v>
      </c>
      <c r="R2621" s="13" t="s">
        <v>5292</v>
      </c>
      <c r="S2621" s="13" t="s">
        <v>5293</v>
      </c>
      <c r="T2621" s="13" t="s">
        <v>5</v>
      </c>
      <c r="U2621" s="13" t="s">
        <v>183</v>
      </c>
      <c r="V2621" s="13" t="n">
        <f aca="false">IF(COUNTIF($B$2:B2621,B2621)=1,1,0)</f>
        <v>0</v>
      </c>
      <c r="W2621" s="13" t="n">
        <f aca="false">IF(COUNTIFS($B$2:B2621,B2621,$T$2:T2621,T2621)=1,1,0)</f>
        <v>0</v>
      </c>
    </row>
    <row r="2622" customFormat="false" ht="15" hidden="false" customHeight="false" outlineLevel="0" collapsed="false">
      <c r="A2622" s="13" t="s">
        <v>964</v>
      </c>
      <c r="B2622" s="13" t="s">
        <v>72</v>
      </c>
      <c r="C2622" s="13" t="n">
        <v>1800</v>
      </c>
      <c r="D2622" s="13" t="n">
        <v>2</v>
      </c>
      <c r="E2622" s="13" t="n">
        <v>907.59</v>
      </c>
      <c r="F2622" s="13" t="s">
        <v>5325</v>
      </c>
      <c r="G2622" s="13" t="s">
        <v>5289</v>
      </c>
      <c r="H2622" s="13" t="s">
        <v>5292</v>
      </c>
      <c r="I2622" s="13" t="s">
        <v>5289</v>
      </c>
      <c r="J2622" s="13" t="s">
        <v>5289</v>
      </c>
      <c r="K2622" s="13" t="s">
        <v>5289</v>
      </c>
      <c r="L2622" s="13" t="n">
        <v>3614274172997</v>
      </c>
      <c r="M2622" s="13"/>
      <c r="N2622" s="13" t="n">
        <v>3614274172997</v>
      </c>
      <c r="O2622" s="13"/>
      <c r="P2622" s="13" t="s">
        <v>5291</v>
      </c>
      <c r="Q2622" s="13" t="s">
        <v>5289</v>
      </c>
      <c r="R2622" s="13" t="s">
        <v>5292</v>
      </c>
      <c r="S2622" s="13" t="s">
        <v>5293</v>
      </c>
      <c r="T2622" s="13" t="s">
        <v>5</v>
      </c>
      <c r="U2622" s="13" t="s">
        <v>43</v>
      </c>
      <c r="V2622" s="13" t="n">
        <f aca="false">IF(COUNTIF($B$2:B2622,B2622)=1,1,0)</f>
        <v>0</v>
      </c>
      <c r="W2622" s="13" t="n">
        <f aca="false">IF(COUNTIFS($B$2:B2622,B2622,$T$2:T2622,T2622)=1,1,0)</f>
        <v>0</v>
      </c>
    </row>
    <row r="2623" customFormat="false" ht="15" hidden="false" customHeight="false" outlineLevel="0" collapsed="false">
      <c r="A2623" s="13" t="s">
        <v>969</v>
      </c>
      <c r="B2623" s="13" t="s">
        <v>54</v>
      </c>
      <c r="C2623" s="13" t="n">
        <v>1800</v>
      </c>
      <c r="D2623" s="13" t="n">
        <v>2</v>
      </c>
      <c r="E2623" s="13" t="n">
        <v>906.85</v>
      </c>
      <c r="F2623" s="13" t="s">
        <v>5325</v>
      </c>
      <c r="G2623" s="13" t="s">
        <v>5289</v>
      </c>
      <c r="H2623" s="13" t="s">
        <v>5289</v>
      </c>
      <c r="I2623" s="13" t="s">
        <v>5289</v>
      </c>
      <c r="J2623" s="13" t="s">
        <v>5289</v>
      </c>
      <c r="K2623" s="13" t="s">
        <v>5292</v>
      </c>
      <c r="L2623" s="13" t="n">
        <v>768614168713</v>
      </c>
      <c r="M2623" s="13"/>
      <c r="N2623" s="13" t="n">
        <v>768614168713</v>
      </c>
      <c r="O2623" s="13"/>
      <c r="P2623" s="13" t="s">
        <v>5291</v>
      </c>
      <c r="Q2623" s="13" t="s">
        <v>5289</v>
      </c>
      <c r="R2623" s="13" t="s">
        <v>5292</v>
      </c>
      <c r="S2623" s="13" t="s">
        <v>5293</v>
      </c>
      <c r="T2623" s="13" t="s">
        <v>5</v>
      </c>
      <c r="U2623" s="13" t="s">
        <v>43</v>
      </c>
      <c r="V2623" s="13" t="n">
        <f aca="false">IF(COUNTIF($B$2:B2623,B2623)=1,1,0)</f>
        <v>0</v>
      </c>
      <c r="W2623" s="13" t="n">
        <f aca="false">IF(COUNTIFS($B$2:B2623,B2623,$T$2:T2623,T2623)=1,1,0)</f>
        <v>0</v>
      </c>
    </row>
    <row r="2624" customFormat="false" ht="15" hidden="false" customHeight="false" outlineLevel="0" collapsed="false">
      <c r="A2624" s="13" t="s">
        <v>925</v>
      </c>
      <c r="B2624" s="13" t="s">
        <v>42</v>
      </c>
      <c r="C2624" s="13" t="n">
        <v>1800</v>
      </c>
      <c r="D2624" s="13" t="n">
        <v>2</v>
      </c>
      <c r="E2624" s="13" t="n">
        <v>452.185</v>
      </c>
      <c r="F2624" s="13" t="s">
        <v>5325</v>
      </c>
      <c r="G2624" s="13" t="s">
        <v>5289</v>
      </c>
      <c r="H2624" s="13" t="s">
        <v>5292</v>
      </c>
      <c r="I2624" s="13" t="s">
        <v>5289</v>
      </c>
      <c r="J2624" s="13" t="s">
        <v>5289</v>
      </c>
      <c r="K2624" s="13" t="s">
        <v>5292</v>
      </c>
      <c r="L2624" s="13" t="n">
        <v>8411061781197</v>
      </c>
      <c r="M2624" s="13"/>
      <c r="N2624" s="13" t="n">
        <v>8411061781197</v>
      </c>
      <c r="O2624" s="13"/>
      <c r="P2624" s="13" t="s">
        <v>5291</v>
      </c>
      <c r="Q2624" s="13" t="s">
        <v>5289</v>
      </c>
      <c r="R2624" s="13" t="s">
        <v>5292</v>
      </c>
      <c r="S2624" s="13" t="s">
        <v>5293</v>
      </c>
      <c r="T2624" s="13" t="s">
        <v>5</v>
      </c>
      <c r="U2624" s="13" t="s">
        <v>43</v>
      </c>
      <c r="V2624" s="13" t="n">
        <f aca="false">IF(COUNTIF($B$2:B2624,B2624)=1,1,0)</f>
        <v>0</v>
      </c>
      <c r="W2624" s="13" t="n">
        <f aca="false">IF(COUNTIFS($B$2:B2624,B2624,$T$2:T2624,T2624)=1,1,0)</f>
        <v>0</v>
      </c>
    </row>
    <row r="2625" customFormat="false" ht="15" hidden="false" customHeight="false" outlineLevel="0" collapsed="false">
      <c r="A2625" s="13" t="s">
        <v>430</v>
      </c>
      <c r="B2625" s="13" t="s">
        <v>45</v>
      </c>
      <c r="C2625" s="13" t="n">
        <v>1800</v>
      </c>
      <c r="D2625" s="13" t="n">
        <v>2</v>
      </c>
      <c r="E2625" s="13" t="n">
        <v>903.83</v>
      </c>
      <c r="F2625" s="13" t="s">
        <v>5325</v>
      </c>
      <c r="G2625" s="13" t="s">
        <v>5289</v>
      </c>
      <c r="H2625" s="13" t="s">
        <v>5289</v>
      </c>
      <c r="I2625" s="13" t="s">
        <v>5289</v>
      </c>
      <c r="J2625" s="13" t="s">
        <v>5289</v>
      </c>
      <c r="K2625" s="13" t="s">
        <v>5289</v>
      </c>
      <c r="L2625" s="13" t="n">
        <v>8435415049542</v>
      </c>
      <c r="M2625" s="13"/>
      <c r="N2625" s="13" t="n">
        <v>8435415049542</v>
      </c>
      <c r="O2625" s="13"/>
      <c r="P2625" s="13" t="s">
        <v>5291</v>
      </c>
      <c r="Q2625" s="13" t="s">
        <v>5289</v>
      </c>
      <c r="R2625" s="13" t="s">
        <v>5292</v>
      </c>
      <c r="S2625" s="13" t="s">
        <v>5293</v>
      </c>
      <c r="T2625" s="13" t="s">
        <v>5</v>
      </c>
      <c r="U2625" s="13" t="s">
        <v>43</v>
      </c>
      <c r="V2625" s="13" t="n">
        <f aca="false">IF(COUNTIF($B$2:B2625,B2625)=1,1,0)</f>
        <v>0</v>
      </c>
      <c r="W2625" s="13" t="n">
        <f aca="false">IF(COUNTIFS($B$2:B2625,B2625,$T$2:T2625,T2625)=1,1,0)</f>
        <v>0</v>
      </c>
    </row>
    <row r="2626" customFormat="false" ht="15" hidden="false" customHeight="false" outlineLevel="0" collapsed="false">
      <c r="A2626" s="13" t="s">
        <v>957</v>
      </c>
      <c r="B2626" s="13" t="s">
        <v>69</v>
      </c>
      <c r="C2626" s="13" t="n">
        <v>1800</v>
      </c>
      <c r="D2626" s="13" t="n">
        <v>2</v>
      </c>
      <c r="E2626" s="13" t="n">
        <v>900.98</v>
      </c>
      <c r="F2626" s="13" t="s">
        <v>5325</v>
      </c>
      <c r="G2626" s="13" t="s">
        <v>5289</v>
      </c>
      <c r="H2626" s="13" t="s">
        <v>5289</v>
      </c>
      <c r="I2626" s="13" t="s">
        <v>5289</v>
      </c>
      <c r="J2626" s="13" t="s">
        <v>5289</v>
      </c>
      <c r="K2626" s="13" t="s">
        <v>5289</v>
      </c>
      <c r="L2626" s="13" t="n">
        <v>3614273321792</v>
      </c>
      <c r="M2626" s="13"/>
      <c r="N2626" s="13" t="n">
        <v>3614273321792</v>
      </c>
      <c r="O2626" s="13"/>
      <c r="P2626" s="13" t="s">
        <v>5291</v>
      </c>
      <c r="Q2626" s="13" t="s">
        <v>5289</v>
      </c>
      <c r="R2626" s="13" t="s">
        <v>5292</v>
      </c>
      <c r="S2626" s="13" t="s">
        <v>5293</v>
      </c>
      <c r="T2626" s="13" t="s">
        <v>5</v>
      </c>
      <c r="U2626" s="13" t="s">
        <v>43</v>
      </c>
      <c r="V2626" s="13" t="n">
        <f aca="false">IF(COUNTIF($B$2:B2626,B2626)=1,1,0)</f>
        <v>0</v>
      </c>
      <c r="W2626" s="13" t="n">
        <f aca="false">IF(COUNTIFS($B$2:B2626,B2626,$T$2:T2626,T2626)=1,1,0)</f>
        <v>0</v>
      </c>
    </row>
    <row r="2627" customFormat="false" ht="15" hidden="false" customHeight="false" outlineLevel="0" collapsed="false">
      <c r="A2627" s="13" t="s">
        <v>669</v>
      </c>
      <c r="B2627" s="13" t="s">
        <v>121</v>
      </c>
      <c r="C2627" s="13" t="n">
        <v>1800</v>
      </c>
      <c r="D2627" s="13" t="n">
        <v>20</v>
      </c>
      <c r="E2627" s="13" t="n">
        <v>99.9</v>
      </c>
      <c r="F2627" s="13" t="s">
        <v>5325</v>
      </c>
      <c r="G2627" s="13" t="s">
        <v>5289</v>
      </c>
      <c r="H2627" s="13" t="s">
        <v>5289</v>
      </c>
      <c r="I2627" s="13" t="s">
        <v>5289</v>
      </c>
      <c r="J2627" s="13" t="s">
        <v>5289</v>
      </c>
      <c r="K2627" s="13" t="s">
        <v>5289</v>
      </c>
      <c r="L2627" s="13"/>
      <c r="M2627" s="13"/>
      <c r="N2627" s="13" t="n">
        <v>7896086944337</v>
      </c>
      <c r="O2627" s="13"/>
      <c r="P2627" s="13" t="s">
        <v>5291</v>
      </c>
      <c r="Q2627" s="13" t="s">
        <v>5289</v>
      </c>
      <c r="R2627" s="13" t="s">
        <v>5292</v>
      </c>
      <c r="S2627" s="13" t="s">
        <v>5293</v>
      </c>
      <c r="T2627" s="13" t="s">
        <v>5</v>
      </c>
      <c r="U2627" s="13" t="s">
        <v>183</v>
      </c>
      <c r="V2627" s="13" t="n">
        <f aca="false">IF(COUNTIF($B$2:B2627,B2627)=1,1,0)</f>
        <v>0</v>
      </c>
      <c r="W2627" s="13" t="n">
        <f aca="false">IF(COUNTIFS($B$2:B2627,B2627,$T$2:T2627,T2627)=1,1,0)</f>
        <v>0</v>
      </c>
    </row>
    <row r="2628" customFormat="false" ht="15" hidden="false" customHeight="false" outlineLevel="0" collapsed="false">
      <c r="A2628" s="13" t="s">
        <v>961</v>
      </c>
      <c r="B2628" s="13" t="s">
        <v>54</v>
      </c>
      <c r="C2628" s="13" t="n">
        <v>1800</v>
      </c>
      <c r="D2628" s="13" t="n">
        <v>2</v>
      </c>
      <c r="E2628" s="13" t="n">
        <v>449.545</v>
      </c>
      <c r="F2628" s="13" t="s">
        <v>5288</v>
      </c>
      <c r="G2628" s="13" t="s">
        <v>5289</v>
      </c>
      <c r="H2628" s="13" t="s">
        <v>5289</v>
      </c>
      <c r="I2628" s="13" t="s">
        <v>5289</v>
      </c>
      <c r="J2628" s="13" t="s">
        <v>5289</v>
      </c>
      <c r="K2628" s="13" t="s">
        <v>5289</v>
      </c>
      <c r="L2628" s="13" t="n">
        <v>768614212492</v>
      </c>
      <c r="M2628" s="13"/>
      <c r="N2628" s="13" t="n">
        <v>768614212492</v>
      </c>
      <c r="O2628" s="13"/>
      <c r="P2628" s="13" t="s">
        <v>5291</v>
      </c>
      <c r="Q2628" s="13" t="s">
        <v>5289</v>
      </c>
      <c r="R2628" s="13" t="s">
        <v>5292</v>
      </c>
      <c r="S2628" s="13" t="s">
        <v>5293</v>
      </c>
      <c r="T2628" s="13" t="s">
        <v>5</v>
      </c>
      <c r="U2628" s="13" t="s">
        <v>43</v>
      </c>
      <c r="V2628" s="13" t="n">
        <f aca="false">IF(COUNTIF($B$2:B2628,B2628)=1,1,0)</f>
        <v>0</v>
      </c>
      <c r="W2628" s="13" t="n">
        <f aca="false">IF(COUNTIFS($B$2:B2628,B2628,$T$2:T2628,T2628)=1,1,0)</f>
        <v>0</v>
      </c>
    </row>
    <row r="2629" customFormat="false" ht="15" hidden="false" customHeight="false" outlineLevel="0" collapsed="false">
      <c r="A2629" s="13" t="s">
        <v>316</v>
      </c>
      <c r="B2629" s="13" t="s">
        <v>315</v>
      </c>
      <c r="C2629" s="13" t="n">
        <v>1800</v>
      </c>
      <c r="D2629" s="13" t="n">
        <v>2</v>
      </c>
      <c r="E2629" s="13" t="n">
        <v>599</v>
      </c>
      <c r="F2629" s="13" t="s">
        <v>5325</v>
      </c>
      <c r="G2629" s="13" t="s">
        <v>5289</v>
      </c>
      <c r="H2629" s="13" t="s">
        <v>5289</v>
      </c>
      <c r="I2629" s="13" t="s">
        <v>5289</v>
      </c>
      <c r="J2629" s="13" t="s">
        <v>5289</v>
      </c>
      <c r="K2629" s="13" t="s">
        <v>5289</v>
      </c>
      <c r="L2629" s="13" t="n">
        <v>3360377022928</v>
      </c>
      <c r="M2629" s="13"/>
      <c r="N2629" s="13" t="n">
        <v>3360377022928</v>
      </c>
      <c r="O2629" s="13"/>
      <c r="P2629" s="13" t="s">
        <v>5291</v>
      </c>
      <c r="Q2629" s="13" t="s">
        <v>5289</v>
      </c>
      <c r="R2629" s="13" t="s">
        <v>5292</v>
      </c>
      <c r="S2629" s="13" t="s">
        <v>5293</v>
      </c>
      <c r="T2629" s="13" t="s">
        <v>5</v>
      </c>
      <c r="U2629" s="13" t="s">
        <v>43</v>
      </c>
      <c r="V2629" s="13" t="n">
        <f aca="false">IF(COUNTIF($B$2:B2629,B2629)=1,1,0)</f>
        <v>0</v>
      </c>
      <c r="W2629" s="13" t="n">
        <f aca="false">IF(COUNTIFS($B$2:B2629,B2629,$T$2:T2629,T2629)=1,1,0)</f>
        <v>0</v>
      </c>
    </row>
    <row r="2630" customFormat="false" ht="15" hidden="false" customHeight="false" outlineLevel="0" collapsed="false">
      <c r="A2630" s="13" t="s">
        <v>959</v>
      </c>
      <c r="B2630" s="13" t="s">
        <v>315</v>
      </c>
      <c r="C2630" s="13" t="n">
        <v>1800</v>
      </c>
      <c r="D2630" s="13" t="n">
        <v>2</v>
      </c>
      <c r="E2630" s="13" t="n">
        <v>897.83</v>
      </c>
      <c r="F2630" s="13" t="s">
        <v>5325</v>
      </c>
      <c r="G2630" s="13" t="s">
        <v>5289</v>
      </c>
      <c r="H2630" s="13" t="s">
        <v>5292</v>
      </c>
      <c r="I2630" s="13" t="s">
        <v>5289</v>
      </c>
      <c r="J2630" s="13" t="s">
        <v>5289</v>
      </c>
      <c r="K2630" s="13" t="s">
        <v>5289</v>
      </c>
      <c r="L2630" s="13" t="n">
        <v>3605975050882</v>
      </c>
      <c r="M2630" s="13"/>
      <c r="N2630" s="13" t="n">
        <v>3605975050882</v>
      </c>
      <c r="O2630" s="13"/>
      <c r="P2630" s="13" t="s">
        <v>5291</v>
      </c>
      <c r="Q2630" s="13" t="s">
        <v>5289</v>
      </c>
      <c r="R2630" s="13" t="s">
        <v>5292</v>
      </c>
      <c r="S2630" s="13" t="s">
        <v>5293</v>
      </c>
      <c r="T2630" s="13" t="s">
        <v>5</v>
      </c>
      <c r="U2630" s="13" t="s">
        <v>43</v>
      </c>
      <c r="V2630" s="13" t="n">
        <f aca="false">IF(COUNTIF($B$2:B2630,B2630)=1,1,0)</f>
        <v>0</v>
      </c>
      <c r="W2630" s="13" t="n">
        <f aca="false">IF(COUNTIFS($B$2:B2630,B2630,$T$2:T2630,T2630)=1,1,0)</f>
        <v>0</v>
      </c>
    </row>
    <row r="2631" customFormat="false" ht="15" hidden="false" customHeight="false" outlineLevel="0" collapsed="false">
      <c r="A2631" s="13" t="s">
        <v>681</v>
      </c>
      <c r="B2631" s="13" t="s">
        <v>193</v>
      </c>
      <c r="C2631" s="13" t="n">
        <v>1800</v>
      </c>
      <c r="D2631" s="13" t="n">
        <v>2</v>
      </c>
      <c r="E2631" s="13" t="n">
        <v>447.525</v>
      </c>
      <c r="F2631" s="13" t="s">
        <v>5325</v>
      </c>
      <c r="G2631" s="13" t="s">
        <v>5289</v>
      </c>
      <c r="H2631" s="13" t="s">
        <v>5289</v>
      </c>
      <c r="I2631" s="13" t="s">
        <v>5289</v>
      </c>
      <c r="J2631" s="13" t="s">
        <v>5289</v>
      </c>
      <c r="K2631" s="13" t="s">
        <v>5289</v>
      </c>
      <c r="L2631" s="13" t="n">
        <v>3605521816511</v>
      </c>
      <c r="M2631" s="13"/>
      <c r="N2631" s="13" t="n">
        <v>3605521816511</v>
      </c>
      <c r="O2631" s="13"/>
      <c r="P2631" s="13" t="s">
        <v>5291</v>
      </c>
      <c r="Q2631" s="13" t="s">
        <v>5289</v>
      </c>
      <c r="R2631" s="13" t="s">
        <v>5292</v>
      </c>
      <c r="S2631" s="13" t="s">
        <v>5293</v>
      </c>
      <c r="T2631" s="13" t="s">
        <v>5</v>
      </c>
      <c r="U2631" s="13" t="s">
        <v>43</v>
      </c>
      <c r="V2631" s="13" t="n">
        <f aca="false">IF(COUNTIF($B$2:B2631,B2631)=1,1,0)</f>
        <v>0</v>
      </c>
      <c r="W2631" s="13" t="n">
        <f aca="false">IF(COUNTIFS($B$2:B2631,B2631,$T$2:T2631,T2631)=1,1,0)</f>
        <v>0</v>
      </c>
    </row>
    <row r="2632" customFormat="false" ht="15" hidden="false" customHeight="false" outlineLevel="0" collapsed="false">
      <c r="A2632" s="13" t="s">
        <v>78</v>
      </c>
      <c r="B2632" s="13" t="s">
        <v>2118</v>
      </c>
      <c r="C2632" s="13" t="n">
        <v>1800</v>
      </c>
      <c r="D2632" s="13" t="n">
        <v>2</v>
      </c>
      <c r="E2632" s="13" t="n">
        <v>890.01</v>
      </c>
      <c r="F2632" s="13" t="s">
        <v>5325</v>
      </c>
      <c r="G2632" s="13" t="s">
        <v>5292</v>
      </c>
      <c r="H2632" s="13" t="s">
        <v>5292</v>
      </c>
      <c r="I2632" s="13" t="s">
        <v>5289</v>
      </c>
      <c r="J2632" s="13" t="s">
        <v>5289</v>
      </c>
      <c r="K2632" s="13" t="s">
        <v>5289</v>
      </c>
      <c r="L2632" s="13"/>
      <c r="M2632" s="13"/>
      <c r="N2632" s="13" t="n">
        <v>3614273069557</v>
      </c>
      <c r="O2632" s="13"/>
      <c r="P2632" s="13" t="s">
        <v>5291</v>
      </c>
      <c r="Q2632" s="13" t="s">
        <v>5289</v>
      </c>
      <c r="R2632" s="13" t="s">
        <v>5292</v>
      </c>
      <c r="S2632" s="13" t="s">
        <v>5293</v>
      </c>
      <c r="T2632" s="13" t="s">
        <v>5</v>
      </c>
      <c r="U2632" s="13" t="s">
        <v>85</v>
      </c>
      <c r="V2632" s="13" t="n">
        <f aca="false">IF(COUNTIF($B$2:B2632,B2632)=1,1,0)</f>
        <v>0</v>
      </c>
      <c r="W2632" s="13" t="n">
        <f aca="false">IF(COUNTIFS($B$2:B2632,B2632,$T$2:T2632,T2632)=1,1,0)</f>
        <v>0</v>
      </c>
    </row>
    <row r="2633" customFormat="false" ht="15" hidden="false" customHeight="false" outlineLevel="0" collapsed="false">
      <c r="A2633" s="13" t="s">
        <v>962</v>
      </c>
      <c r="B2633" s="13" t="s">
        <v>72</v>
      </c>
      <c r="C2633" s="13" t="n">
        <v>1800</v>
      </c>
      <c r="D2633" s="13" t="n">
        <v>2</v>
      </c>
      <c r="E2633" s="13" t="n">
        <v>884</v>
      </c>
      <c r="F2633" s="13" t="s">
        <v>5325</v>
      </c>
      <c r="G2633" s="13" t="s">
        <v>5289</v>
      </c>
      <c r="H2633" s="13" t="s">
        <v>5289</v>
      </c>
      <c r="I2633" s="13" t="s">
        <v>5289</v>
      </c>
      <c r="J2633" s="13" t="s">
        <v>5289</v>
      </c>
      <c r="K2633" s="13" t="s">
        <v>5289</v>
      </c>
      <c r="L2633" s="13" t="n">
        <v>8435137727087</v>
      </c>
      <c r="M2633" s="13"/>
      <c r="N2633" s="13" t="n">
        <v>8435137727087</v>
      </c>
      <c r="O2633" s="13"/>
      <c r="P2633" s="13" t="s">
        <v>5291</v>
      </c>
      <c r="Q2633" s="13" t="s">
        <v>5289</v>
      </c>
      <c r="R2633" s="13" t="s">
        <v>5292</v>
      </c>
      <c r="S2633" s="13" t="s">
        <v>5293</v>
      </c>
      <c r="T2633" s="13" t="s">
        <v>5</v>
      </c>
      <c r="U2633" s="13" t="s">
        <v>43</v>
      </c>
      <c r="V2633" s="13" t="n">
        <f aca="false">IF(COUNTIF($B$2:B2633,B2633)=1,1,0)</f>
        <v>0</v>
      </c>
      <c r="W2633" s="13" t="n">
        <f aca="false">IF(COUNTIFS($B$2:B2633,B2633,$T$2:T2633,T2633)=1,1,0)</f>
        <v>0</v>
      </c>
    </row>
    <row r="2634" customFormat="false" ht="15" hidden="false" customHeight="false" outlineLevel="0" collapsed="false">
      <c r="A2634" s="13" t="s">
        <v>954</v>
      </c>
      <c r="B2634" s="13" t="s">
        <v>54</v>
      </c>
      <c r="C2634" s="13" t="n">
        <v>1800</v>
      </c>
      <c r="D2634" s="13" t="n">
        <v>2</v>
      </c>
      <c r="E2634" s="13" t="n">
        <v>881.71</v>
      </c>
      <c r="F2634" s="13" t="s">
        <v>5325</v>
      </c>
      <c r="G2634" s="13" t="s">
        <v>5289</v>
      </c>
      <c r="H2634" s="13" t="s">
        <v>5289</v>
      </c>
      <c r="I2634" s="13" t="s">
        <v>5289</v>
      </c>
      <c r="J2634" s="13" t="s">
        <v>5289</v>
      </c>
      <c r="K2634" s="13" t="s">
        <v>5289</v>
      </c>
      <c r="L2634" s="13" t="n">
        <v>768614209973</v>
      </c>
      <c r="M2634" s="13"/>
      <c r="N2634" s="13" t="n">
        <v>768614209973</v>
      </c>
      <c r="O2634" s="13"/>
      <c r="P2634" s="13" t="s">
        <v>5297</v>
      </c>
      <c r="Q2634" s="13" t="s">
        <v>5289</v>
      </c>
      <c r="R2634" s="13" t="s">
        <v>5292</v>
      </c>
      <c r="S2634" s="13" t="s">
        <v>5293</v>
      </c>
      <c r="T2634" s="13" t="s">
        <v>5</v>
      </c>
      <c r="U2634" s="13" t="s">
        <v>43</v>
      </c>
      <c r="V2634" s="13" t="n">
        <f aca="false">IF(COUNTIF($B$2:B2634,B2634)=1,1,0)</f>
        <v>0</v>
      </c>
      <c r="W2634" s="13" t="n">
        <f aca="false">IF(COUNTIFS($B$2:B2634,B2634,$T$2:T2634,T2634)=1,1,0)</f>
        <v>0</v>
      </c>
    </row>
    <row r="2635" customFormat="false" ht="15" hidden="false" customHeight="false" outlineLevel="0" collapsed="false">
      <c r="A2635" s="13" t="s">
        <v>956</v>
      </c>
      <c r="B2635" s="13" t="s">
        <v>107</v>
      </c>
      <c r="C2635" s="13" t="n">
        <v>1800</v>
      </c>
      <c r="D2635" s="13" t="n">
        <v>5</v>
      </c>
      <c r="E2635" s="13" t="n">
        <v>220</v>
      </c>
      <c r="F2635" s="13" t="s">
        <v>5325</v>
      </c>
      <c r="G2635" s="13" t="s">
        <v>5292</v>
      </c>
      <c r="H2635" s="13" t="s">
        <v>5289</v>
      </c>
      <c r="I2635" s="13" t="s">
        <v>5289</v>
      </c>
      <c r="J2635" s="13" t="s">
        <v>5289</v>
      </c>
      <c r="K2635" s="13" t="s">
        <v>5289</v>
      </c>
      <c r="L2635" s="13" t="n">
        <v>9000250236397</v>
      </c>
      <c r="M2635" s="13"/>
      <c r="N2635" s="13" t="n">
        <v>9000250236397</v>
      </c>
      <c r="O2635" s="13"/>
      <c r="P2635" s="13" t="s">
        <v>5297</v>
      </c>
      <c r="Q2635" s="13" t="s">
        <v>5289</v>
      </c>
      <c r="R2635" s="13" t="s">
        <v>5292</v>
      </c>
      <c r="S2635" s="13" t="s">
        <v>5293</v>
      </c>
      <c r="T2635" s="13" t="s">
        <v>5</v>
      </c>
      <c r="U2635" s="13" t="s">
        <v>43</v>
      </c>
      <c r="V2635" s="13" t="n">
        <f aca="false">IF(COUNTIF($B$2:B2635,B2635)=1,1,0)</f>
        <v>0</v>
      </c>
      <c r="W2635" s="13" t="n">
        <f aca="false">IF(COUNTIFS($B$2:B2635,B2635,$T$2:T2635,T2635)=1,1,0)</f>
        <v>0</v>
      </c>
    </row>
    <row r="2636" customFormat="false" ht="15" hidden="false" customHeight="false" outlineLevel="0" collapsed="false">
      <c r="A2636" s="13" t="s">
        <v>955</v>
      </c>
      <c r="B2636" s="13" t="s">
        <v>42</v>
      </c>
      <c r="C2636" s="13" t="n">
        <v>1800</v>
      </c>
      <c r="D2636" s="13" t="n">
        <v>2</v>
      </c>
      <c r="E2636" s="13" t="n">
        <v>586.44</v>
      </c>
      <c r="F2636" s="13" t="s">
        <v>5325</v>
      </c>
      <c r="G2636" s="13" t="s">
        <v>5289</v>
      </c>
      <c r="H2636" s="13" t="s">
        <v>5292</v>
      </c>
      <c r="I2636" s="13" t="s">
        <v>5289</v>
      </c>
      <c r="J2636" s="13" t="s">
        <v>5289</v>
      </c>
      <c r="K2636" s="13" t="s">
        <v>5289</v>
      </c>
      <c r="L2636" s="13" t="n">
        <v>8411061865583</v>
      </c>
      <c r="M2636" s="13"/>
      <c r="N2636" s="13" t="n">
        <v>8411061865583</v>
      </c>
      <c r="O2636" s="13"/>
      <c r="P2636" s="13" t="s">
        <v>5291</v>
      </c>
      <c r="Q2636" s="13" t="s">
        <v>5289</v>
      </c>
      <c r="R2636" s="13" t="s">
        <v>5292</v>
      </c>
      <c r="S2636" s="13" t="s">
        <v>5293</v>
      </c>
      <c r="T2636" s="13" t="s">
        <v>5</v>
      </c>
      <c r="U2636" s="13" t="s">
        <v>43</v>
      </c>
      <c r="V2636" s="13" t="n">
        <f aca="false">IF(COUNTIF($B$2:B2636,B2636)=1,1,0)</f>
        <v>0</v>
      </c>
      <c r="W2636" s="13" t="n">
        <f aca="false">IF(COUNTIFS($B$2:B2636,B2636,$T$2:T2636,T2636)=1,1,0)</f>
        <v>0</v>
      </c>
    </row>
    <row r="2637" customFormat="false" ht="15" hidden="false" customHeight="false" outlineLevel="0" collapsed="false">
      <c r="A2637" s="13" t="s">
        <v>3523</v>
      </c>
      <c r="B2637" s="13" t="s">
        <v>2145</v>
      </c>
      <c r="C2637" s="13" t="n">
        <v>1800</v>
      </c>
      <c r="D2637" s="13" t="n">
        <v>2</v>
      </c>
      <c r="E2637" s="13" t="n">
        <v>439.59</v>
      </c>
      <c r="F2637" s="13" t="s">
        <v>5325</v>
      </c>
      <c r="G2637" s="13" t="s">
        <v>5289</v>
      </c>
      <c r="H2637" s="13" t="s">
        <v>5289</v>
      </c>
      <c r="I2637" s="13" t="s">
        <v>5289</v>
      </c>
      <c r="J2637" s="13" t="s">
        <v>5289</v>
      </c>
      <c r="K2637" s="13" t="s">
        <v>5289</v>
      </c>
      <c r="L2637" s="13" t="n">
        <v>4064941111719</v>
      </c>
      <c r="M2637" s="13"/>
      <c r="N2637" s="13" t="n">
        <v>4064941111719</v>
      </c>
      <c r="O2637" s="13"/>
      <c r="P2637" s="13" t="s">
        <v>5297</v>
      </c>
      <c r="Q2637" s="13" t="s">
        <v>5289</v>
      </c>
      <c r="R2637" s="13" t="s">
        <v>5292</v>
      </c>
      <c r="S2637" s="13" t="s">
        <v>5293</v>
      </c>
      <c r="T2637" s="13" t="s">
        <v>5</v>
      </c>
      <c r="U2637" s="13" t="s">
        <v>43</v>
      </c>
      <c r="V2637" s="13" t="n">
        <f aca="false">IF(COUNTIF($B$2:B2637,B2637)=1,1,0)</f>
        <v>0</v>
      </c>
      <c r="W2637" s="13" t="n">
        <f aca="false">IF(COUNTIFS($B$2:B2637,B2637,$T$2:T2637,T2637)=1,1,0)</f>
        <v>0</v>
      </c>
    </row>
    <row r="2638" customFormat="false" ht="15" hidden="false" customHeight="false" outlineLevel="0" collapsed="false">
      <c r="A2638" s="13" t="s">
        <v>46</v>
      </c>
      <c r="B2638" s="13" t="s">
        <v>45</v>
      </c>
      <c r="C2638" s="13" t="n">
        <v>1800</v>
      </c>
      <c r="D2638" s="13" t="n">
        <v>2</v>
      </c>
      <c r="E2638" s="13" t="n">
        <v>585</v>
      </c>
      <c r="F2638" s="13" t="s">
        <v>5325</v>
      </c>
      <c r="G2638" s="13" t="s">
        <v>5289</v>
      </c>
      <c r="H2638" s="13" t="s">
        <v>5289</v>
      </c>
      <c r="I2638" s="13" t="s">
        <v>5289</v>
      </c>
      <c r="J2638" s="13" t="s">
        <v>5289</v>
      </c>
      <c r="K2638" s="13" t="s">
        <v>5289</v>
      </c>
      <c r="L2638" s="13"/>
      <c r="M2638" s="13"/>
      <c r="N2638" s="13" t="n">
        <v>8435415102339</v>
      </c>
      <c r="O2638" s="13"/>
      <c r="P2638" s="13" t="s">
        <v>5291</v>
      </c>
      <c r="Q2638" s="13" t="s">
        <v>5289</v>
      </c>
      <c r="R2638" s="13" t="s">
        <v>5292</v>
      </c>
      <c r="S2638" s="13" t="s">
        <v>5293</v>
      </c>
      <c r="T2638" s="13" t="s">
        <v>5</v>
      </c>
      <c r="U2638" s="13" t="s">
        <v>43</v>
      </c>
      <c r="V2638" s="13" t="n">
        <f aca="false">IF(COUNTIF($B$2:B2638,B2638)=1,1,0)</f>
        <v>0</v>
      </c>
      <c r="W2638" s="13" t="n">
        <f aca="false">IF(COUNTIFS($B$2:B2638,B2638,$T$2:T2638,T2638)=1,1,0)</f>
        <v>0</v>
      </c>
    </row>
    <row r="2639" customFormat="false" ht="15" hidden="false" customHeight="false" outlineLevel="0" collapsed="false">
      <c r="A2639" s="13" t="s">
        <v>963</v>
      </c>
      <c r="B2639" s="13" t="s">
        <v>107</v>
      </c>
      <c r="C2639" s="13" t="n">
        <v>1800</v>
      </c>
      <c r="D2639" s="13" t="n">
        <v>20</v>
      </c>
      <c r="E2639" s="13" t="n">
        <v>73</v>
      </c>
      <c r="F2639" s="13" t="s">
        <v>5288</v>
      </c>
      <c r="G2639" s="13" t="s">
        <v>5289</v>
      </c>
      <c r="H2639" s="13" t="s">
        <v>5289</v>
      </c>
      <c r="I2639" s="13" t="s">
        <v>5292</v>
      </c>
      <c r="J2639" s="13" t="s">
        <v>5289</v>
      </c>
      <c r="K2639" s="13" t="s">
        <v>5289</v>
      </c>
      <c r="L2639" s="13" t="n">
        <v>7896235353843</v>
      </c>
      <c r="M2639" s="13"/>
      <c r="N2639" s="13" t="n">
        <v>7896235353843</v>
      </c>
      <c r="O2639" s="13"/>
      <c r="P2639" s="13" t="s">
        <v>5297</v>
      </c>
      <c r="Q2639" s="13" t="s">
        <v>5289</v>
      </c>
      <c r="R2639" s="13" t="s">
        <v>5292</v>
      </c>
      <c r="S2639" s="13" t="s">
        <v>5293</v>
      </c>
      <c r="T2639" s="13" t="s">
        <v>5</v>
      </c>
      <c r="U2639" s="13" t="s">
        <v>183</v>
      </c>
      <c r="V2639" s="13" t="n">
        <f aca="false">IF(COUNTIF($B$2:B2639,B2639)=1,1,0)</f>
        <v>0</v>
      </c>
      <c r="W2639" s="13" t="n">
        <f aca="false">IF(COUNTIFS($B$2:B2639,B2639,$T$2:T2639,T2639)=1,1,0)</f>
        <v>0</v>
      </c>
    </row>
    <row r="2640" customFormat="false" ht="15" hidden="false" customHeight="false" outlineLevel="0" collapsed="false">
      <c r="A2640" s="13" t="s">
        <v>998</v>
      </c>
      <c r="B2640" s="13" t="s">
        <v>61</v>
      </c>
      <c r="C2640" s="13" t="n">
        <v>1700</v>
      </c>
      <c r="D2640" s="13" t="n">
        <v>2</v>
      </c>
      <c r="E2640" s="13" t="n">
        <v>583.24</v>
      </c>
      <c r="F2640" s="13" t="s">
        <v>5288</v>
      </c>
      <c r="G2640" s="13" t="s">
        <v>5289</v>
      </c>
      <c r="H2640" s="13" t="s">
        <v>5289</v>
      </c>
      <c r="I2640" s="13" t="s">
        <v>5289</v>
      </c>
      <c r="J2640" s="13" t="s">
        <v>5289</v>
      </c>
      <c r="K2640" s="13" t="s">
        <v>5289</v>
      </c>
      <c r="L2640" s="13" t="n">
        <v>3614274772005</v>
      </c>
      <c r="M2640" s="13"/>
      <c r="N2640" s="13" t="n">
        <v>3614274772005</v>
      </c>
      <c r="O2640" s="13"/>
      <c r="P2640" s="13" t="s">
        <v>5291</v>
      </c>
      <c r="Q2640" s="13" t="s">
        <v>5289</v>
      </c>
      <c r="R2640" s="13" t="s">
        <v>5292</v>
      </c>
      <c r="S2640" s="13" t="s">
        <v>5293</v>
      </c>
      <c r="T2640" s="13" t="s">
        <v>5</v>
      </c>
      <c r="U2640" s="13" t="s">
        <v>43</v>
      </c>
      <c r="V2640" s="13" t="n">
        <f aca="false">IF(COUNTIF($B$2:B2640,B2640)=1,1,0)</f>
        <v>0</v>
      </c>
      <c r="W2640" s="13" t="n">
        <f aca="false">IF(COUNTIFS($B$2:B2640,B2640,$T$2:T2640,T2640)=1,1,0)</f>
        <v>0</v>
      </c>
    </row>
    <row r="2641" customFormat="false" ht="15" hidden="false" customHeight="false" outlineLevel="0" collapsed="false">
      <c r="A2641" s="13" t="s">
        <v>283</v>
      </c>
      <c r="B2641" s="13" t="s">
        <v>79</v>
      </c>
      <c r="C2641" s="13" t="n">
        <v>1700</v>
      </c>
      <c r="D2641" s="13" t="n">
        <v>2</v>
      </c>
      <c r="E2641" s="13" t="n">
        <v>872</v>
      </c>
      <c r="F2641" s="13" t="s">
        <v>5325</v>
      </c>
      <c r="G2641" s="13" t="s">
        <v>5289</v>
      </c>
      <c r="H2641" s="13" t="s">
        <v>5292</v>
      </c>
      <c r="I2641" s="13" t="s">
        <v>5289</v>
      </c>
      <c r="J2641" s="13" t="s">
        <v>5289</v>
      </c>
      <c r="K2641" s="13" t="s">
        <v>5289</v>
      </c>
      <c r="L2641" s="13" t="n">
        <v>8056669925798</v>
      </c>
      <c r="M2641" s="13"/>
      <c r="N2641" s="13" t="n">
        <v>8056669925798</v>
      </c>
      <c r="O2641" s="13"/>
      <c r="P2641" s="13" t="s">
        <v>5291</v>
      </c>
      <c r="Q2641" s="13" t="s">
        <v>5289</v>
      </c>
      <c r="R2641" s="13" t="s">
        <v>5292</v>
      </c>
      <c r="S2641" s="13" t="s">
        <v>5293</v>
      </c>
      <c r="T2641" s="13" t="s">
        <v>5</v>
      </c>
      <c r="U2641" s="13" t="s">
        <v>43</v>
      </c>
      <c r="V2641" s="13" t="n">
        <f aca="false">IF(COUNTIF($B$2:B2641,B2641)=1,1,0)</f>
        <v>0</v>
      </c>
      <c r="W2641" s="13" t="n">
        <f aca="false">IF(COUNTIFS($B$2:B2641,B2641,$T$2:T2641,T2641)=1,1,0)</f>
        <v>0</v>
      </c>
    </row>
    <row r="2642" customFormat="false" ht="15" hidden="false" customHeight="false" outlineLevel="0" collapsed="false">
      <c r="A2642" s="13" t="s">
        <v>236</v>
      </c>
      <c r="B2642" s="13" t="s">
        <v>193</v>
      </c>
      <c r="C2642" s="13" t="n">
        <v>1700</v>
      </c>
      <c r="D2642" s="13" t="n">
        <v>2</v>
      </c>
      <c r="E2642" s="13" t="n">
        <v>432.7125</v>
      </c>
      <c r="F2642" s="13" t="s">
        <v>5325</v>
      </c>
      <c r="G2642" s="13" t="s">
        <v>5289</v>
      </c>
      <c r="H2642" s="13" t="s">
        <v>5289</v>
      </c>
      <c r="I2642" s="13" t="s">
        <v>5289</v>
      </c>
      <c r="J2642" s="13" t="s">
        <v>5289</v>
      </c>
      <c r="K2642" s="13" t="s">
        <v>5289</v>
      </c>
      <c r="L2642" s="13" t="n">
        <v>3605521172648</v>
      </c>
      <c r="M2642" s="13"/>
      <c r="N2642" s="13" t="n">
        <v>3605521172648</v>
      </c>
      <c r="O2642" s="13"/>
      <c r="P2642" s="13" t="s">
        <v>5291</v>
      </c>
      <c r="Q2642" s="13" t="s">
        <v>5289</v>
      </c>
      <c r="R2642" s="13" t="s">
        <v>5292</v>
      </c>
      <c r="S2642" s="13" t="s">
        <v>5293</v>
      </c>
      <c r="T2642" s="13" t="s">
        <v>5</v>
      </c>
      <c r="U2642" s="13" t="s">
        <v>43</v>
      </c>
      <c r="V2642" s="13" t="n">
        <f aca="false">IF(COUNTIF($B$2:B2642,B2642)=1,1,0)</f>
        <v>0</v>
      </c>
      <c r="W2642" s="13" t="n">
        <f aca="false">IF(COUNTIFS($B$2:B2642,B2642,$T$2:T2642,T2642)=1,1,0)</f>
        <v>0</v>
      </c>
    </row>
    <row r="2643" customFormat="false" ht="15" hidden="false" customHeight="false" outlineLevel="0" collapsed="false">
      <c r="A2643" s="13" t="s">
        <v>982</v>
      </c>
      <c r="B2643" s="13" t="s">
        <v>124</v>
      </c>
      <c r="C2643" s="13" t="n">
        <v>1700</v>
      </c>
      <c r="D2643" s="13" t="n">
        <v>2</v>
      </c>
      <c r="E2643" s="13" t="n">
        <v>864.005</v>
      </c>
      <c r="F2643" s="13" t="s">
        <v>5325</v>
      </c>
      <c r="G2643" s="13" t="s">
        <v>5289</v>
      </c>
      <c r="H2643" s="13" t="s">
        <v>5292</v>
      </c>
      <c r="I2643" s="13" t="s">
        <v>5289</v>
      </c>
      <c r="J2643" s="13" t="s">
        <v>5289</v>
      </c>
      <c r="K2643" s="13" t="s">
        <v>5289</v>
      </c>
      <c r="L2643" s="13"/>
      <c r="M2643" s="13"/>
      <c r="N2643" s="13" t="n">
        <v>3614273954167</v>
      </c>
      <c r="O2643" s="13"/>
      <c r="P2643" s="13" t="s">
        <v>5291</v>
      </c>
      <c r="Q2643" s="13" t="s">
        <v>5289</v>
      </c>
      <c r="R2643" s="13" t="s">
        <v>5292</v>
      </c>
      <c r="S2643" s="13" t="s">
        <v>5293</v>
      </c>
      <c r="T2643" s="13" t="s">
        <v>5</v>
      </c>
      <c r="U2643" s="13" t="s">
        <v>43</v>
      </c>
      <c r="V2643" s="13" t="n">
        <f aca="false">IF(COUNTIF($B$2:B2643,B2643)=1,1,0)</f>
        <v>0</v>
      </c>
      <c r="W2643" s="13" t="n">
        <f aca="false">IF(COUNTIFS($B$2:B2643,B2643,$T$2:T2643,T2643)=1,1,0)</f>
        <v>0</v>
      </c>
    </row>
    <row r="2644" customFormat="false" ht="15" hidden="false" customHeight="false" outlineLevel="0" collapsed="false">
      <c r="A2644" s="13" t="s">
        <v>983</v>
      </c>
      <c r="B2644" s="13" t="s">
        <v>630</v>
      </c>
      <c r="C2644" s="13" t="n">
        <v>1700</v>
      </c>
      <c r="D2644" s="13" t="n">
        <v>10</v>
      </c>
      <c r="E2644" s="13" t="n">
        <v>156.55</v>
      </c>
      <c r="F2644" s="13" t="s">
        <v>5288</v>
      </c>
      <c r="G2644" s="13" t="s">
        <v>5289</v>
      </c>
      <c r="H2644" s="13" t="s">
        <v>5289</v>
      </c>
      <c r="I2644" s="13" t="s">
        <v>5289</v>
      </c>
      <c r="J2644" s="13" t="s">
        <v>5289</v>
      </c>
      <c r="K2644" s="13" t="s">
        <v>5289</v>
      </c>
      <c r="L2644" s="13" t="n">
        <v>8433982018701</v>
      </c>
      <c r="M2644" s="13"/>
      <c r="N2644" s="13" t="n">
        <v>8433982018701</v>
      </c>
      <c r="O2644" s="13"/>
      <c r="P2644" s="13" t="s">
        <v>5291</v>
      </c>
      <c r="Q2644" s="13" t="s">
        <v>5289</v>
      </c>
      <c r="R2644" s="13" t="s">
        <v>5292</v>
      </c>
      <c r="S2644" s="13" t="s">
        <v>5293</v>
      </c>
      <c r="T2644" s="13" t="s">
        <v>5</v>
      </c>
      <c r="U2644" s="13" t="s">
        <v>43</v>
      </c>
      <c r="V2644" s="13" t="n">
        <f aca="false">IF(COUNTIF($B$2:B2644,B2644)=1,1,0)</f>
        <v>0</v>
      </c>
      <c r="W2644" s="13" t="n">
        <f aca="false">IF(COUNTIFS($B$2:B2644,B2644,$T$2:T2644,T2644)=1,1,0)</f>
        <v>0</v>
      </c>
    </row>
    <row r="2645" customFormat="false" ht="15" hidden="false" customHeight="false" outlineLevel="0" collapsed="false">
      <c r="A2645" s="13" t="s">
        <v>681</v>
      </c>
      <c r="B2645" s="13" t="s">
        <v>193</v>
      </c>
      <c r="C2645" s="13" t="n">
        <v>1700</v>
      </c>
      <c r="D2645" s="13" t="n">
        <v>2</v>
      </c>
      <c r="E2645" s="13" t="n">
        <v>429.71</v>
      </c>
      <c r="F2645" s="13" t="s">
        <v>5288</v>
      </c>
      <c r="G2645" s="13" t="s">
        <v>5292</v>
      </c>
      <c r="H2645" s="13" t="s">
        <v>5289</v>
      </c>
      <c r="I2645" s="13" t="s">
        <v>5289</v>
      </c>
      <c r="J2645" s="13" t="s">
        <v>5289</v>
      </c>
      <c r="K2645" s="13" t="s">
        <v>5289</v>
      </c>
      <c r="L2645" s="13"/>
      <c r="M2645" s="13"/>
      <c r="N2645" s="13" t="n">
        <v>3605521816511</v>
      </c>
      <c r="O2645" s="13"/>
      <c r="P2645" s="13" t="s">
        <v>5291</v>
      </c>
      <c r="Q2645" s="13" t="s">
        <v>5289</v>
      </c>
      <c r="R2645" s="13" t="s">
        <v>5292</v>
      </c>
      <c r="S2645" s="13" t="s">
        <v>5293</v>
      </c>
      <c r="T2645" s="13" t="s">
        <v>5</v>
      </c>
      <c r="U2645" s="13" t="s">
        <v>43</v>
      </c>
      <c r="V2645" s="13" t="n">
        <f aca="false">IF(COUNTIF($B$2:B2645,B2645)=1,1,0)</f>
        <v>0</v>
      </c>
      <c r="W2645" s="13" t="n">
        <f aca="false">IF(COUNTIFS($B$2:B2645,B2645,$T$2:T2645,T2645)=1,1,0)</f>
        <v>0</v>
      </c>
    </row>
    <row r="2646" customFormat="false" ht="15" hidden="false" customHeight="false" outlineLevel="0" collapsed="false">
      <c r="A2646" s="13" t="s">
        <v>989</v>
      </c>
      <c r="B2646" s="13" t="s">
        <v>54</v>
      </c>
      <c r="C2646" s="13" t="n">
        <v>1700</v>
      </c>
      <c r="D2646" s="13" t="n">
        <v>5</v>
      </c>
      <c r="E2646" s="13" t="n">
        <v>342.248</v>
      </c>
      <c r="F2646" s="13" t="s">
        <v>5325</v>
      </c>
      <c r="G2646" s="13" t="s">
        <v>5289</v>
      </c>
      <c r="H2646" s="13" t="s">
        <v>5292</v>
      </c>
      <c r="I2646" s="13" t="s">
        <v>5289</v>
      </c>
      <c r="J2646" s="13" t="s">
        <v>5289</v>
      </c>
      <c r="K2646" s="13" t="s">
        <v>5289</v>
      </c>
      <c r="L2646" s="13" t="n">
        <v>729238157972</v>
      </c>
      <c r="M2646" s="13"/>
      <c r="N2646" s="13" t="n">
        <v>729238157972</v>
      </c>
      <c r="O2646" s="13"/>
      <c r="P2646" s="13" t="s">
        <v>5291</v>
      </c>
      <c r="Q2646" s="13" t="s">
        <v>5289</v>
      </c>
      <c r="R2646" s="13" t="s">
        <v>5292</v>
      </c>
      <c r="S2646" s="13" t="s">
        <v>5293</v>
      </c>
      <c r="T2646" s="13" t="s">
        <v>5</v>
      </c>
      <c r="U2646" s="13" t="s">
        <v>43</v>
      </c>
      <c r="V2646" s="13" t="n">
        <f aca="false">IF(COUNTIF($B$2:B2646,B2646)=1,1,0)</f>
        <v>0</v>
      </c>
      <c r="W2646" s="13" t="n">
        <f aca="false">IF(COUNTIFS($B$2:B2646,B2646,$T$2:T2646,T2646)=1,1,0)</f>
        <v>0</v>
      </c>
    </row>
    <row r="2647" customFormat="false" ht="15" hidden="false" customHeight="false" outlineLevel="0" collapsed="false">
      <c r="A2647" s="13" t="s">
        <v>796</v>
      </c>
      <c r="B2647" s="13" t="s">
        <v>61</v>
      </c>
      <c r="C2647" s="13" t="n">
        <v>1700</v>
      </c>
      <c r="D2647" s="13" t="n">
        <v>5</v>
      </c>
      <c r="E2647" s="13" t="n">
        <v>285</v>
      </c>
      <c r="F2647" s="13" t="s">
        <v>5288</v>
      </c>
      <c r="G2647" s="13" t="s">
        <v>5292</v>
      </c>
      <c r="H2647" s="13" t="s">
        <v>5289</v>
      </c>
      <c r="I2647" s="13" t="s">
        <v>5289</v>
      </c>
      <c r="J2647" s="13" t="s">
        <v>5289</v>
      </c>
      <c r="K2647" s="13" t="s">
        <v>5289</v>
      </c>
      <c r="L2647" s="13" t="n">
        <v>3614274376630</v>
      </c>
      <c r="M2647" s="13"/>
      <c r="N2647" s="13"/>
      <c r="O2647" s="13"/>
      <c r="P2647" s="13" t="s">
        <v>5297</v>
      </c>
      <c r="Q2647" s="13" t="s">
        <v>5289</v>
      </c>
      <c r="R2647" s="13" t="s">
        <v>5292</v>
      </c>
      <c r="S2647" s="13" t="s">
        <v>5293</v>
      </c>
      <c r="T2647" s="13" t="s">
        <v>5</v>
      </c>
      <c r="U2647" s="13" t="s">
        <v>43</v>
      </c>
      <c r="V2647" s="13" t="n">
        <f aca="false">IF(COUNTIF($B$2:B2647,B2647)=1,1,0)</f>
        <v>0</v>
      </c>
      <c r="W2647" s="13" t="n">
        <f aca="false">IF(COUNTIFS($B$2:B2647,B2647,$T$2:T2647,T2647)=1,1,0)</f>
        <v>0</v>
      </c>
    </row>
    <row r="2648" customFormat="false" ht="15" hidden="false" customHeight="false" outlineLevel="0" collapsed="false">
      <c r="A2648" s="13" t="s">
        <v>978</v>
      </c>
      <c r="B2648" s="13" t="s">
        <v>45</v>
      </c>
      <c r="C2648" s="13" t="n">
        <v>1700</v>
      </c>
      <c r="D2648" s="13" t="n">
        <v>2</v>
      </c>
      <c r="E2648" s="13" t="n">
        <v>570</v>
      </c>
      <c r="F2648" s="13" t="s">
        <v>5288</v>
      </c>
      <c r="G2648" s="13" t="s">
        <v>5292</v>
      </c>
      <c r="H2648" s="13" t="s">
        <v>5292</v>
      </c>
      <c r="I2648" s="13" t="s">
        <v>5289</v>
      </c>
      <c r="J2648" s="13" t="s">
        <v>5289</v>
      </c>
      <c r="K2648" s="13" t="s">
        <v>5289</v>
      </c>
      <c r="L2648" s="13" t="n">
        <v>8435415012669</v>
      </c>
      <c r="M2648" s="13"/>
      <c r="N2648" s="13" t="n">
        <v>8435415012669</v>
      </c>
      <c r="O2648" s="13"/>
      <c r="P2648" s="13" t="s">
        <v>5297</v>
      </c>
      <c r="Q2648" s="13" t="s">
        <v>5289</v>
      </c>
      <c r="R2648" s="13" t="s">
        <v>5292</v>
      </c>
      <c r="S2648" s="13" t="s">
        <v>5293</v>
      </c>
      <c r="T2648" s="13" t="s">
        <v>5</v>
      </c>
      <c r="U2648" s="13" t="s">
        <v>43</v>
      </c>
      <c r="V2648" s="13" t="n">
        <f aca="false">IF(COUNTIF($B$2:B2648,B2648)=1,1,0)</f>
        <v>0</v>
      </c>
      <c r="W2648" s="13" t="n">
        <f aca="false">IF(COUNTIFS($B$2:B2648,B2648,$T$2:T2648,T2648)=1,1,0)</f>
        <v>0</v>
      </c>
    </row>
    <row r="2649" customFormat="false" ht="15" hidden="false" customHeight="false" outlineLevel="0" collapsed="false">
      <c r="A2649" s="13" t="s">
        <v>397</v>
      </c>
      <c r="B2649" s="13" t="s">
        <v>69</v>
      </c>
      <c r="C2649" s="13" t="n">
        <v>1700</v>
      </c>
      <c r="D2649" s="13" t="n">
        <v>2</v>
      </c>
      <c r="E2649" s="13" t="n">
        <v>854.81</v>
      </c>
      <c r="F2649" s="13" t="s">
        <v>5288</v>
      </c>
      <c r="G2649" s="13" t="s">
        <v>5292</v>
      </c>
      <c r="H2649" s="13" t="s">
        <v>5289</v>
      </c>
      <c r="I2649" s="13" t="s">
        <v>5289</v>
      </c>
      <c r="J2649" s="13" t="s">
        <v>5289</v>
      </c>
      <c r="K2649" s="13" t="s">
        <v>5289</v>
      </c>
      <c r="L2649" s="13"/>
      <c r="M2649" s="13"/>
      <c r="N2649" s="13" t="n">
        <v>3614270561634</v>
      </c>
      <c r="O2649" s="13"/>
      <c r="P2649" s="13" t="s">
        <v>5291</v>
      </c>
      <c r="Q2649" s="13" t="s">
        <v>5289</v>
      </c>
      <c r="R2649" s="13" t="s">
        <v>5292</v>
      </c>
      <c r="S2649" s="13" t="s">
        <v>5293</v>
      </c>
      <c r="T2649" s="13" t="s">
        <v>5</v>
      </c>
      <c r="U2649" s="13" t="s">
        <v>43</v>
      </c>
      <c r="V2649" s="13" t="n">
        <f aca="false">IF(COUNTIF($B$2:B2649,B2649)=1,1,0)</f>
        <v>0</v>
      </c>
      <c r="W2649" s="13" t="n">
        <f aca="false">IF(COUNTIFS($B$2:B2649,B2649,$T$2:T2649,T2649)=1,1,0)</f>
        <v>0</v>
      </c>
    </row>
    <row r="2650" customFormat="false" ht="15" hidden="false" customHeight="false" outlineLevel="0" collapsed="false">
      <c r="A2650" s="13" t="s">
        <v>990</v>
      </c>
      <c r="B2650" s="13" t="s">
        <v>490</v>
      </c>
      <c r="C2650" s="13" t="n">
        <v>1700</v>
      </c>
      <c r="D2650" s="13" t="n">
        <v>5</v>
      </c>
      <c r="E2650" s="13" t="n">
        <v>242.857142857143</v>
      </c>
      <c r="F2650" s="13" t="s">
        <v>5325</v>
      </c>
      <c r="G2650" s="13" t="s">
        <v>5289</v>
      </c>
      <c r="H2650" s="13" t="s">
        <v>5289</v>
      </c>
      <c r="I2650" s="13" t="s">
        <v>5289</v>
      </c>
      <c r="J2650" s="13" t="s">
        <v>5289</v>
      </c>
      <c r="K2650" s="13" t="s">
        <v>5289</v>
      </c>
      <c r="L2650" s="13" t="n">
        <v>8011003845118</v>
      </c>
      <c r="M2650" s="13"/>
      <c r="N2650" s="13" t="n">
        <v>8011003845118</v>
      </c>
      <c r="O2650" s="13"/>
      <c r="P2650" s="13" t="s">
        <v>5291</v>
      </c>
      <c r="Q2650" s="13" t="s">
        <v>5289</v>
      </c>
      <c r="R2650" s="13" t="s">
        <v>5292</v>
      </c>
      <c r="S2650" s="13" t="s">
        <v>5293</v>
      </c>
      <c r="T2650" s="13" t="s">
        <v>5</v>
      </c>
      <c r="U2650" s="13" t="s">
        <v>43</v>
      </c>
      <c r="V2650" s="13" t="n">
        <f aca="false">IF(COUNTIF($B$2:B2650,B2650)=1,1,0)</f>
        <v>0</v>
      </c>
      <c r="W2650" s="13" t="n">
        <f aca="false">IF(COUNTIFS($B$2:B2650,B2650,$T$2:T2650,T2650)=1,1,0)</f>
        <v>0</v>
      </c>
    </row>
    <row r="2651" customFormat="false" ht="15" hidden="false" customHeight="false" outlineLevel="0" collapsed="false">
      <c r="A2651" s="13" t="s">
        <v>991</v>
      </c>
      <c r="B2651" s="13" t="s">
        <v>42</v>
      </c>
      <c r="C2651" s="13" t="n">
        <v>1700</v>
      </c>
      <c r="D2651" s="13" t="n">
        <v>2</v>
      </c>
      <c r="E2651" s="13" t="n">
        <v>848.33</v>
      </c>
      <c r="F2651" s="13" t="s">
        <v>5325</v>
      </c>
      <c r="G2651" s="13" t="s">
        <v>5289</v>
      </c>
      <c r="H2651" s="13" t="s">
        <v>5292</v>
      </c>
      <c r="I2651" s="13" t="s">
        <v>5289</v>
      </c>
      <c r="J2651" s="13" t="s">
        <v>5289</v>
      </c>
      <c r="K2651" s="13" t="s">
        <v>5289</v>
      </c>
      <c r="L2651" s="13" t="n">
        <v>8411061067895</v>
      </c>
      <c r="M2651" s="13"/>
      <c r="N2651" s="13" t="n">
        <v>8.41106160715284E+025</v>
      </c>
      <c r="O2651" s="13"/>
      <c r="P2651" s="13" t="s">
        <v>5291</v>
      </c>
      <c r="Q2651" s="13" t="s">
        <v>5289</v>
      </c>
      <c r="R2651" s="13" t="s">
        <v>5292</v>
      </c>
      <c r="S2651" s="13" t="s">
        <v>5293</v>
      </c>
      <c r="T2651" s="13" t="s">
        <v>5</v>
      </c>
      <c r="U2651" s="13" t="s">
        <v>43</v>
      </c>
      <c r="V2651" s="13" t="n">
        <f aca="false">IF(COUNTIF($B$2:B2651,B2651)=1,1,0)</f>
        <v>0</v>
      </c>
      <c r="W2651" s="13" t="n">
        <f aca="false">IF(COUNTIFS($B$2:B2651,B2651,$T$2:T2651,T2651)=1,1,0)</f>
        <v>0</v>
      </c>
    </row>
    <row r="2652" customFormat="false" ht="15" hidden="false" customHeight="false" outlineLevel="0" collapsed="false">
      <c r="A2652" s="13" t="s">
        <v>994</v>
      </c>
      <c r="B2652" s="13" t="s">
        <v>121</v>
      </c>
      <c r="C2652" s="13" t="n">
        <v>1700</v>
      </c>
      <c r="D2652" s="13" t="n">
        <v>10</v>
      </c>
      <c r="E2652" s="13" t="n">
        <v>139.903333333333</v>
      </c>
      <c r="F2652" s="13" t="s">
        <v>5325</v>
      </c>
      <c r="G2652" s="13" t="s">
        <v>5289</v>
      </c>
      <c r="H2652" s="13" t="s">
        <v>5289</v>
      </c>
      <c r="I2652" s="13" t="s">
        <v>5289</v>
      </c>
      <c r="J2652" s="13" t="s">
        <v>5289</v>
      </c>
      <c r="K2652" s="13" t="s">
        <v>5289</v>
      </c>
      <c r="L2652" s="13" t="n">
        <v>7896086913005</v>
      </c>
      <c r="M2652" s="13"/>
      <c r="N2652" s="13" t="n">
        <v>7896086913005</v>
      </c>
      <c r="O2652" s="13"/>
      <c r="P2652" s="13" t="s">
        <v>5291</v>
      </c>
      <c r="Q2652" s="13" t="s">
        <v>5289</v>
      </c>
      <c r="R2652" s="13" t="s">
        <v>5292</v>
      </c>
      <c r="S2652" s="13" t="s">
        <v>5293</v>
      </c>
      <c r="T2652" s="13" t="s">
        <v>5</v>
      </c>
      <c r="U2652" s="13" t="s">
        <v>43</v>
      </c>
      <c r="V2652" s="13" t="n">
        <f aca="false">IF(COUNTIF($B$2:B2652,B2652)=1,1,0)</f>
        <v>0</v>
      </c>
      <c r="W2652" s="13" t="n">
        <f aca="false">IF(COUNTIFS($B$2:B2652,B2652,$T$2:T2652,T2652)=1,1,0)</f>
        <v>0</v>
      </c>
    </row>
    <row r="2653" customFormat="false" ht="15" hidden="false" customHeight="false" outlineLevel="0" collapsed="false">
      <c r="A2653" s="13" t="s">
        <v>993</v>
      </c>
      <c r="B2653" s="13" t="s">
        <v>153</v>
      </c>
      <c r="C2653" s="13" t="n">
        <v>1700</v>
      </c>
      <c r="D2653" s="13" t="n">
        <v>2</v>
      </c>
      <c r="E2653" s="13" t="n">
        <v>559.19</v>
      </c>
      <c r="F2653" s="13" t="s">
        <v>5325</v>
      </c>
      <c r="G2653" s="13" t="s">
        <v>5289</v>
      </c>
      <c r="H2653" s="13" t="s">
        <v>5289</v>
      </c>
      <c r="I2653" s="13" t="s">
        <v>5289</v>
      </c>
      <c r="J2653" s="13" t="s">
        <v>5289</v>
      </c>
      <c r="K2653" s="13" t="s">
        <v>5289</v>
      </c>
      <c r="L2653" s="13" t="n">
        <v>8011003861224</v>
      </c>
      <c r="M2653" s="13"/>
      <c r="N2653" s="13" t="n">
        <v>8011003861224</v>
      </c>
      <c r="O2653" s="13"/>
      <c r="P2653" s="13" t="s">
        <v>5291</v>
      </c>
      <c r="Q2653" s="13" t="s">
        <v>5289</v>
      </c>
      <c r="R2653" s="13" t="s">
        <v>5292</v>
      </c>
      <c r="S2653" s="13" t="s">
        <v>5293</v>
      </c>
      <c r="T2653" s="13" t="s">
        <v>5</v>
      </c>
      <c r="U2653" s="13" t="s">
        <v>43</v>
      </c>
      <c r="V2653" s="13" t="n">
        <f aca="false">IF(COUNTIF($B$2:B2653,B2653)=1,1,0)</f>
        <v>0</v>
      </c>
      <c r="W2653" s="13" t="n">
        <f aca="false">IF(COUNTIFS($B$2:B2653,B2653,$T$2:T2653,T2653)=1,1,0)</f>
        <v>0</v>
      </c>
    </row>
    <row r="2654" customFormat="false" ht="15" hidden="false" customHeight="false" outlineLevel="0" collapsed="false">
      <c r="A2654" s="13" t="s">
        <v>995</v>
      </c>
      <c r="B2654" s="13" t="s">
        <v>153</v>
      </c>
      <c r="C2654" s="13" t="n">
        <v>1700</v>
      </c>
      <c r="D2654" s="13" t="n">
        <v>5</v>
      </c>
      <c r="E2654" s="13" t="n">
        <v>335.26</v>
      </c>
      <c r="F2654" s="13" t="s">
        <v>5325</v>
      </c>
      <c r="G2654" s="13" t="s">
        <v>5289</v>
      </c>
      <c r="H2654" s="13" t="s">
        <v>5292</v>
      </c>
      <c r="I2654" s="13" t="s">
        <v>5289</v>
      </c>
      <c r="J2654" s="13" t="s">
        <v>5289</v>
      </c>
      <c r="K2654" s="13" t="s">
        <v>5289</v>
      </c>
      <c r="L2654" s="13"/>
      <c r="M2654" s="13"/>
      <c r="N2654" s="13" t="n">
        <v>8011003993802</v>
      </c>
      <c r="O2654" s="13"/>
      <c r="P2654" s="13" t="s">
        <v>5291</v>
      </c>
      <c r="Q2654" s="13" t="s">
        <v>5289</v>
      </c>
      <c r="R2654" s="13" t="s">
        <v>5292</v>
      </c>
      <c r="S2654" s="13" t="s">
        <v>5293</v>
      </c>
      <c r="T2654" s="13" t="s">
        <v>5</v>
      </c>
      <c r="U2654" s="13" t="s">
        <v>43</v>
      </c>
      <c r="V2654" s="13" t="n">
        <f aca="false">IF(COUNTIF($B$2:B2654,B2654)=1,1,0)</f>
        <v>0</v>
      </c>
      <c r="W2654" s="13" t="n">
        <f aca="false">IF(COUNTIFS($B$2:B2654,B2654,$T$2:T2654,T2654)=1,1,0)</f>
        <v>0</v>
      </c>
    </row>
    <row r="2655" customFormat="false" ht="15" hidden="false" customHeight="false" outlineLevel="0" collapsed="false">
      <c r="A2655" s="13" t="s">
        <v>996</v>
      </c>
      <c r="B2655" s="13" t="s">
        <v>107</v>
      </c>
      <c r="C2655" s="13" t="n">
        <v>1700</v>
      </c>
      <c r="D2655" s="13" t="n">
        <v>5</v>
      </c>
      <c r="E2655" s="13" t="n">
        <v>279.226666666667</v>
      </c>
      <c r="F2655" s="13" t="s">
        <v>5288</v>
      </c>
      <c r="G2655" s="13" t="s">
        <v>5289</v>
      </c>
      <c r="H2655" s="13" t="s">
        <v>5289</v>
      </c>
      <c r="I2655" s="13" t="s">
        <v>5289</v>
      </c>
      <c r="J2655" s="13" t="s">
        <v>5289</v>
      </c>
      <c r="K2655" s="13" t="s">
        <v>5289</v>
      </c>
      <c r="L2655" s="13" t="n">
        <v>4064666578798</v>
      </c>
      <c r="M2655" s="13"/>
      <c r="N2655" s="13" t="n">
        <v>4064666578798</v>
      </c>
      <c r="O2655" s="13"/>
      <c r="P2655" s="13" t="s">
        <v>5297</v>
      </c>
      <c r="Q2655" s="13" t="s">
        <v>5289</v>
      </c>
      <c r="R2655" s="13" t="s">
        <v>5292</v>
      </c>
      <c r="S2655" s="13" t="s">
        <v>5293</v>
      </c>
      <c r="T2655" s="13" t="s">
        <v>5</v>
      </c>
      <c r="U2655" s="13" t="s">
        <v>43</v>
      </c>
      <c r="V2655" s="13" t="n">
        <f aca="false">IF(COUNTIF($B$2:B2655,B2655)=1,1,0)</f>
        <v>0</v>
      </c>
      <c r="W2655" s="13" t="n">
        <f aca="false">IF(COUNTIFS($B$2:B2655,B2655,$T$2:T2655,T2655)=1,1,0)</f>
        <v>0</v>
      </c>
    </row>
    <row r="2656" customFormat="false" ht="15" hidden="false" customHeight="false" outlineLevel="0" collapsed="false">
      <c r="A2656" s="13" t="s">
        <v>987</v>
      </c>
      <c r="B2656" s="13" t="s">
        <v>54</v>
      </c>
      <c r="C2656" s="13" t="n">
        <v>1700</v>
      </c>
      <c r="D2656" s="13" t="n">
        <v>2</v>
      </c>
      <c r="E2656" s="13" t="n">
        <v>835.52</v>
      </c>
      <c r="F2656" s="13" t="s">
        <v>5288</v>
      </c>
      <c r="G2656" s="13" t="s">
        <v>5289</v>
      </c>
      <c r="H2656" s="13" t="s">
        <v>5289</v>
      </c>
      <c r="I2656" s="13" t="s">
        <v>5289</v>
      </c>
      <c r="J2656" s="13" t="s">
        <v>5289</v>
      </c>
      <c r="K2656" s="13" t="s">
        <v>5289</v>
      </c>
      <c r="L2656" s="13" t="n">
        <v>768614220497</v>
      </c>
      <c r="M2656" s="13"/>
      <c r="N2656" s="13" t="n">
        <v>768614220497</v>
      </c>
      <c r="O2656" s="13"/>
      <c r="P2656" s="13" t="s">
        <v>5291</v>
      </c>
      <c r="Q2656" s="13" t="s">
        <v>5289</v>
      </c>
      <c r="R2656" s="13" t="s">
        <v>5292</v>
      </c>
      <c r="S2656" s="13" t="s">
        <v>5293</v>
      </c>
      <c r="T2656" s="13" t="s">
        <v>5</v>
      </c>
      <c r="U2656" s="13" t="s">
        <v>43</v>
      </c>
      <c r="V2656" s="13" t="n">
        <f aca="false">IF(COUNTIF($B$2:B2656,B2656)=1,1,0)</f>
        <v>0</v>
      </c>
      <c r="W2656" s="13" t="n">
        <f aca="false">IF(COUNTIFS($B$2:B2656,B2656,$T$2:T2656,T2656)=1,1,0)</f>
        <v>0</v>
      </c>
    </row>
    <row r="2657" customFormat="false" ht="15" hidden="false" customHeight="false" outlineLevel="0" collapsed="false">
      <c r="A2657" s="13" t="s">
        <v>988</v>
      </c>
      <c r="B2657" s="13" t="s">
        <v>315</v>
      </c>
      <c r="C2657" s="13" t="n">
        <v>1700</v>
      </c>
      <c r="D2657" s="13" t="n">
        <v>5</v>
      </c>
      <c r="E2657" s="13" t="n">
        <v>333.864</v>
      </c>
      <c r="F2657" s="13" t="s">
        <v>5325</v>
      </c>
      <c r="G2657" s="13" t="s">
        <v>5289</v>
      </c>
      <c r="H2657" s="13" t="s">
        <v>5289</v>
      </c>
      <c r="I2657" s="13" t="s">
        <v>5289</v>
      </c>
      <c r="J2657" s="13" t="s">
        <v>5289</v>
      </c>
      <c r="K2657" s="13" t="s">
        <v>5289</v>
      </c>
      <c r="L2657" s="13" t="n">
        <v>3605973048416</v>
      </c>
      <c r="M2657" s="13"/>
      <c r="N2657" s="13" t="n">
        <v>3605973048416</v>
      </c>
      <c r="O2657" s="13"/>
      <c r="P2657" s="13" t="s">
        <v>5291</v>
      </c>
      <c r="Q2657" s="13" t="s">
        <v>5289</v>
      </c>
      <c r="R2657" s="13" t="s">
        <v>5292</v>
      </c>
      <c r="S2657" s="13" t="s">
        <v>5293</v>
      </c>
      <c r="T2657" s="13" t="s">
        <v>5</v>
      </c>
      <c r="U2657" s="13" t="s">
        <v>43</v>
      </c>
      <c r="V2657" s="13" t="n">
        <f aca="false">IF(COUNTIF($B$2:B2657,B2657)=1,1,0)</f>
        <v>0</v>
      </c>
      <c r="W2657" s="13" t="n">
        <f aca="false">IF(COUNTIFS($B$2:B2657,B2657,$T$2:T2657,T2657)=1,1,0)</f>
        <v>0</v>
      </c>
    </row>
    <row r="2658" customFormat="false" ht="15" hidden="false" customHeight="false" outlineLevel="0" collapsed="false">
      <c r="A2658" s="13" t="s">
        <v>3454</v>
      </c>
      <c r="B2658" s="13" t="s">
        <v>2155</v>
      </c>
      <c r="C2658" s="13" t="n">
        <v>1700</v>
      </c>
      <c r="D2658" s="13" t="n">
        <v>10</v>
      </c>
      <c r="E2658" s="13" t="n">
        <v>150.95</v>
      </c>
      <c r="F2658" s="13" t="s">
        <v>5325</v>
      </c>
      <c r="G2658" s="13" t="s">
        <v>5289</v>
      </c>
      <c r="H2658" s="13" t="s">
        <v>5289</v>
      </c>
      <c r="I2658" s="13" t="s">
        <v>5289</v>
      </c>
      <c r="J2658" s="13" t="s">
        <v>5289</v>
      </c>
      <c r="K2658" s="13" t="s">
        <v>5289</v>
      </c>
      <c r="L2658" s="13" t="n">
        <v>5060173376215</v>
      </c>
      <c r="M2658" s="13"/>
      <c r="N2658" s="13" t="n">
        <v>5060173376215</v>
      </c>
      <c r="O2658" s="13"/>
      <c r="P2658" s="13" t="s">
        <v>5291</v>
      </c>
      <c r="Q2658" s="13" t="s">
        <v>5289</v>
      </c>
      <c r="R2658" s="13" t="s">
        <v>5292</v>
      </c>
      <c r="S2658" s="13" t="s">
        <v>5293</v>
      </c>
      <c r="T2658" s="13" t="s">
        <v>5</v>
      </c>
      <c r="U2658" s="13" t="s">
        <v>85</v>
      </c>
      <c r="V2658" s="13" t="n">
        <f aca="false">IF(COUNTIF($B$2:B2658,B2658)=1,1,0)</f>
        <v>1</v>
      </c>
      <c r="W2658" s="13" t="n">
        <f aca="false">IF(COUNTIFS($B$2:B2658,B2658,$T$2:T2658,T2658)=1,1,0)</f>
        <v>1</v>
      </c>
    </row>
    <row r="2659" customFormat="false" ht="15" hidden="false" customHeight="false" outlineLevel="0" collapsed="false">
      <c r="A2659" s="13" t="s">
        <v>997</v>
      </c>
      <c r="B2659" s="13" t="s">
        <v>69</v>
      </c>
      <c r="C2659" s="13" t="n">
        <v>1700</v>
      </c>
      <c r="D2659" s="13" t="n">
        <v>2</v>
      </c>
      <c r="E2659" s="13" t="n">
        <v>828.95</v>
      </c>
      <c r="F2659" s="13" t="s">
        <v>5325</v>
      </c>
      <c r="G2659" s="13" t="s">
        <v>5289</v>
      </c>
      <c r="H2659" s="13" t="s">
        <v>5292</v>
      </c>
      <c r="I2659" s="13" t="s">
        <v>5289</v>
      </c>
      <c r="J2659" s="13" t="s">
        <v>5289</v>
      </c>
      <c r="K2659" s="13" t="s">
        <v>5289</v>
      </c>
      <c r="L2659" s="13" t="n">
        <v>3614273683401</v>
      </c>
      <c r="M2659" s="13"/>
      <c r="N2659" s="13" t="n">
        <v>3614273683401</v>
      </c>
      <c r="O2659" s="13"/>
      <c r="P2659" s="13" t="s">
        <v>5291</v>
      </c>
      <c r="Q2659" s="13" t="s">
        <v>5289</v>
      </c>
      <c r="R2659" s="13" t="s">
        <v>5292</v>
      </c>
      <c r="S2659" s="13" t="s">
        <v>5293</v>
      </c>
      <c r="T2659" s="13" t="s">
        <v>5</v>
      </c>
      <c r="U2659" s="13" t="s">
        <v>43</v>
      </c>
      <c r="V2659" s="13" t="n">
        <f aca="false">IF(COUNTIF($B$2:B2659,B2659)=1,1,0)</f>
        <v>0</v>
      </c>
      <c r="W2659" s="13" t="n">
        <f aca="false">IF(COUNTIFS($B$2:B2659,B2659,$T$2:T2659,T2659)=1,1,0)</f>
        <v>0</v>
      </c>
    </row>
    <row r="2660" customFormat="false" ht="15" hidden="false" customHeight="false" outlineLevel="0" collapsed="false">
      <c r="A2660" s="13" t="s">
        <v>992</v>
      </c>
      <c r="B2660" s="13" t="s">
        <v>50</v>
      </c>
      <c r="C2660" s="13" t="n">
        <v>1700</v>
      </c>
      <c r="D2660" s="13" t="n">
        <v>2</v>
      </c>
      <c r="E2660" s="13" t="n">
        <v>828.03</v>
      </c>
      <c r="F2660" s="13" t="s">
        <v>5325</v>
      </c>
      <c r="G2660" s="13" t="s">
        <v>5289</v>
      </c>
      <c r="H2660" s="13" t="s">
        <v>5292</v>
      </c>
      <c r="I2660" s="13" t="s">
        <v>5289</v>
      </c>
      <c r="J2660" s="13" t="s">
        <v>5289</v>
      </c>
      <c r="K2660" s="13" t="s">
        <v>5289</v>
      </c>
      <c r="L2660" s="13"/>
      <c r="M2660" s="13"/>
      <c r="N2660" s="13" t="n">
        <v>3349668644940</v>
      </c>
      <c r="O2660" s="13"/>
      <c r="P2660" s="13" t="s">
        <v>5291</v>
      </c>
      <c r="Q2660" s="13" t="s">
        <v>5289</v>
      </c>
      <c r="R2660" s="13" t="s">
        <v>5292</v>
      </c>
      <c r="S2660" s="13" t="s">
        <v>5293</v>
      </c>
      <c r="T2660" s="13" t="s">
        <v>5</v>
      </c>
      <c r="U2660" s="13" t="s">
        <v>43</v>
      </c>
      <c r="V2660" s="13" t="n">
        <f aca="false">IF(COUNTIF($B$2:B2660,B2660)=1,1,0)</f>
        <v>0</v>
      </c>
      <c r="W2660" s="13" t="n">
        <f aca="false">IF(COUNTIFS($B$2:B2660,B2660,$T$2:T2660,T2660)=1,1,0)</f>
        <v>0</v>
      </c>
    </row>
    <row r="2661" customFormat="false" ht="15" hidden="false" customHeight="false" outlineLevel="0" collapsed="false">
      <c r="A2661" s="13" t="s">
        <v>978</v>
      </c>
      <c r="B2661" s="13" t="s">
        <v>45</v>
      </c>
      <c r="C2661" s="13" t="n">
        <v>1700</v>
      </c>
      <c r="D2661" s="13" t="n">
        <v>2</v>
      </c>
      <c r="E2661" s="13" t="n">
        <v>552</v>
      </c>
      <c r="F2661" s="13" t="s">
        <v>5325</v>
      </c>
      <c r="G2661" s="13" t="s">
        <v>5289</v>
      </c>
      <c r="H2661" s="13" t="s">
        <v>5292</v>
      </c>
      <c r="I2661" s="13" t="s">
        <v>5289</v>
      </c>
      <c r="J2661" s="13" t="s">
        <v>5289</v>
      </c>
      <c r="K2661" s="13" t="s">
        <v>5289</v>
      </c>
      <c r="L2661" s="13" t="n">
        <v>8435415012669</v>
      </c>
      <c r="M2661" s="13"/>
      <c r="N2661" s="13" t="n">
        <v>8435415012669</v>
      </c>
      <c r="O2661" s="13"/>
      <c r="P2661" s="13" t="s">
        <v>5291</v>
      </c>
      <c r="Q2661" s="13" t="s">
        <v>5289</v>
      </c>
      <c r="R2661" s="13" t="s">
        <v>5292</v>
      </c>
      <c r="S2661" s="13" t="s">
        <v>5293</v>
      </c>
      <c r="T2661" s="13" t="s">
        <v>5</v>
      </c>
      <c r="U2661" s="13" t="s">
        <v>43</v>
      </c>
      <c r="V2661" s="13" t="n">
        <f aca="false">IF(COUNTIF($B$2:B2661,B2661)=1,1,0)</f>
        <v>0</v>
      </c>
      <c r="W2661" s="13" t="n">
        <f aca="false">IF(COUNTIFS($B$2:B2661,B2661,$T$2:T2661,T2661)=1,1,0)</f>
        <v>0</v>
      </c>
    </row>
    <row r="2662" customFormat="false" ht="15" hidden="false" customHeight="false" outlineLevel="0" collapsed="false">
      <c r="A2662" s="13" t="s">
        <v>1000</v>
      </c>
      <c r="B2662" s="13" t="s">
        <v>61</v>
      </c>
      <c r="C2662" s="13" t="n">
        <v>1600</v>
      </c>
      <c r="D2662" s="13" t="n">
        <v>5</v>
      </c>
      <c r="E2662" s="13" t="n">
        <v>329.99</v>
      </c>
      <c r="F2662" s="13" t="s">
        <v>5288</v>
      </c>
      <c r="G2662" s="13" t="s">
        <v>5292</v>
      </c>
      <c r="H2662" s="13" t="s">
        <v>5292</v>
      </c>
      <c r="I2662" s="13" t="s">
        <v>5289</v>
      </c>
      <c r="J2662" s="13" t="s">
        <v>5289</v>
      </c>
      <c r="K2662" s="13" t="s">
        <v>5289</v>
      </c>
      <c r="L2662" s="13"/>
      <c r="M2662" s="13"/>
      <c r="N2662" s="13" t="n">
        <v>3605532612690</v>
      </c>
      <c r="O2662" s="13"/>
      <c r="P2662" s="13" t="s">
        <v>5291</v>
      </c>
      <c r="Q2662" s="13" t="s">
        <v>5289</v>
      </c>
      <c r="R2662" s="13" t="s">
        <v>5292</v>
      </c>
      <c r="S2662" s="13" t="s">
        <v>5293</v>
      </c>
      <c r="T2662" s="13" t="s">
        <v>5</v>
      </c>
      <c r="U2662" s="13" t="s">
        <v>43</v>
      </c>
      <c r="V2662" s="13" t="n">
        <f aca="false">IF(COUNTIF($B$2:B2662,B2662)=1,1,0)</f>
        <v>0</v>
      </c>
      <c r="W2662" s="13" t="n">
        <f aca="false">IF(COUNTIFS($B$2:B2662,B2662,$T$2:T2662,T2662)=1,1,0)</f>
        <v>0</v>
      </c>
    </row>
    <row r="2663" customFormat="false" ht="15" hidden="false" customHeight="false" outlineLevel="0" collapsed="false">
      <c r="A2663" s="13" t="s">
        <v>301</v>
      </c>
      <c r="B2663" s="13" t="s">
        <v>45</v>
      </c>
      <c r="C2663" s="13" t="n">
        <v>1600</v>
      </c>
      <c r="D2663" s="13" t="n">
        <v>2</v>
      </c>
      <c r="E2663" s="13" t="n">
        <v>824.14</v>
      </c>
      <c r="F2663" s="13" t="s">
        <v>5325</v>
      </c>
      <c r="G2663" s="13" t="s">
        <v>5289</v>
      </c>
      <c r="H2663" s="13" t="s">
        <v>5289</v>
      </c>
      <c r="I2663" s="13" t="s">
        <v>5289</v>
      </c>
      <c r="J2663" s="13" t="s">
        <v>5289</v>
      </c>
      <c r="K2663" s="13" t="s">
        <v>5289</v>
      </c>
      <c r="L2663" s="13" t="n">
        <v>8435415091169</v>
      </c>
      <c r="M2663" s="13"/>
      <c r="N2663" s="13" t="n">
        <v>8435415091169</v>
      </c>
      <c r="O2663" s="13"/>
      <c r="P2663" s="13" t="s">
        <v>5291</v>
      </c>
      <c r="Q2663" s="13" t="s">
        <v>5289</v>
      </c>
      <c r="R2663" s="13" t="s">
        <v>5292</v>
      </c>
      <c r="S2663" s="13" t="s">
        <v>5293</v>
      </c>
      <c r="T2663" s="13" t="s">
        <v>5</v>
      </c>
      <c r="U2663" s="13" t="s">
        <v>43</v>
      </c>
      <c r="V2663" s="13" t="n">
        <f aca="false">IF(COUNTIF($B$2:B2663,B2663)=1,1,0)</f>
        <v>0</v>
      </c>
      <c r="W2663" s="13" t="n">
        <f aca="false">IF(COUNTIFS($B$2:B2663,B2663,$T$2:T2663,T2663)=1,1,0)</f>
        <v>0</v>
      </c>
    </row>
    <row r="2664" customFormat="false" ht="15" hidden="false" customHeight="false" outlineLevel="0" collapsed="false">
      <c r="A2664" s="13" t="s">
        <v>1001</v>
      </c>
      <c r="B2664" s="13" t="s">
        <v>177</v>
      </c>
      <c r="C2664" s="13" t="n">
        <v>1600</v>
      </c>
      <c r="D2664" s="13" t="n">
        <v>2</v>
      </c>
      <c r="E2664" s="13" t="n">
        <v>823.82</v>
      </c>
      <c r="F2664" s="13" t="s">
        <v>5325</v>
      </c>
      <c r="G2664" s="13" t="s">
        <v>5289</v>
      </c>
      <c r="H2664" s="13" t="s">
        <v>5292</v>
      </c>
      <c r="I2664" s="13" t="s">
        <v>5289</v>
      </c>
      <c r="J2664" s="13" t="s">
        <v>5289</v>
      </c>
      <c r="K2664" s="13" t="s">
        <v>5289</v>
      </c>
      <c r="L2664" s="13" t="n">
        <v>3614229382167</v>
      </c>
      <c r="M2664" s="13"/>
      <c r="N2664" s="13" t="n">
        <v>3614229382167</v>
      </c>
      <c r="O2664" s="13"/>
      <c r="P2664" s="13" t="s">
        <v>5291</v>
      </c>
      <c r="Q2664" s="13" t="s">
        <v>5289</v>
      </c>
      <c r="R2664" s="13" t="s">
        <v>5292</v>
      </c>
      <c r="S2664" s="13" t="s">
        <v>5293</v>
      </c>
      <c r="T2664" s="13" t="s">
        <v>5</v>
      </c>
      <c r="U2664" s="13" t="s">
        <v>43</v>
      </c>
      <c r="V2664" s="13" t="n">
        <f aca="false">IF(COUNTIF($B$2:B2664,B2664)=1,1,0)</f>
        <v>0</v>
      </c>
      <c r="W2664" s="13" t="n">
        <f aca="false">IF(COUNTIFS($B$2:B2664,B2664,$T$2:T2664,T2664)=1,1,0)</f>
        <v>0</v>
      </c>
    </row>
    <row r="2665" customFormat="false" ht="15" hidden="false" customHeight="false" outlineLevel="0" collapsed="false">
      <c r="A2665" s="13" t="s">
        <v>47</v>
      </c>
      <c r="B2665" s="13" t="s">
        <v>42</v>
      </c>
      <c r="C2665" s="13" t="n">
        <v>1600</v>
      </c>
      <c r="D2665" s="13" t="n">
        <v>2</v>
      </c>
      <c r="E2665" s="13" t="n">
        <v>547.09</v>
      </c>
      <c r="F2665" s="13" t="s">
        <v>5325</v>
      </c>
      <c r="G2665" s="13" t="s">
        <v>5289</v>
      </c>
      <c r="H2665" s="13" t="s">
        <v>5289</v>
      </c>
      <c r="I2665" s="13" t="s">
        <v>5289</v>
      </c>
      <c r="J2665" s="13" t="s">
        <v>5289</v>
      </c>
      <c r="K2665" s="13" t="s">
        <v>5289</v>
      </c>
      <c r="L2665" s="13" t="n">
        <v>8411061869406</v>
      </c>
      <c r="M2665" s="13"/>
      <c r="N2665" s="13" t="n">
        <v>8411061869406</v>
      </c>
      <c r="O2665" s="13"/>
      <c r="P2665" s="13" t="s">
        <v>5291</v>
      </c>
      <c r="Q2665" s="13" t="s">
        <v>5289</v>
      </c>
      <c r="R2665" s="13" t="s">
        <v>5292</v>
      </c>
      <c r="S2665" s="13" t="s">
        <v>5293</v>
      </c>
      <c r="T2665" s="13" t="s">
        <v>5</v>
      </c>
      <c r="U2665" s="13" t="s">
        <v>43</v>
      </c>
      <c r="V2665" s="13" t="n">
        <f aca="false">IF(COUNTIF($B$2:B2665,B2665)=1,1,0)</f>
        <v>0</v>
      </c>
      <c r="W2665" s="13" t="n">
        <f aca="false">IF(COUNTIFS($B$2:B2665,B2665,$T$2:T2665,T2665)=1,1,0)</f>
        <v>0</v>
      </c>
    </row>
    <row r="2666" customFormat="false" ht="15" hidden="false" customHeight="false" outlineLevel="0" collapsed="false">
      <c r="A2666" s="13" t="s">
        <v>1005</v>
      </c>
      <c r="B2666" s="13" t="s">
        <v>177</v>
      </c>
      <c r="C2666" s="13" t="n">
        <v>1600</v>
      </c>
      <c r="D2666" s="13" t="n">
        <v>2</v>
      </c>
      <c r="E2666" s="13" t="n">
        <v>819.76</v>
      </c>
      <c r="F2666" s="13" t="s">
        <v>5325</v>
      </c>
      <c r="G2666" s="13" t="s">
        <v>5289</v>
      </c>
      <c r="H2666" s="13" t="s">
        <v>5289</v>
      </c>
      <c r="I2666" s="13" t="s">
        <v>5289</v>
      </c>
      <c r="J2666" s="13" t="s">
        <v>5289</v>
      </c>
      <c r="K2666" s="13" t="s">
        <v>5289</v>
      </c>
      <c r="L2666" s="13" t="n">
        <v>3616304175893</v>
      </c>
      <c r="M2666" s="13"/>
      <c r="N2666" s="13" t="n">
        <v>3616304175893</v>
      </c>
      <c r="O2666" s="13"/>
      <c r="P2666" s="13" t="s">
        <v>5291</v>
      </c>
      <c r="Q2666" s="13" t="s">
        <v>5289</v>
      </c>
      <c r="R2666" s="13" t="s">
        <v>5292</v>
      </c>
      <c r="S2666" s="13" t="s">
        <v>5293</v>
      </c>
      <c r="T2666" s="13" t="s">
        <v>5</v>
      </c>
      <c r="U2666" s="13" t="s">
        <v>43</v>
      </c>
      <c r="V2666" s="13" t="n">
        <f aca="false">IF(COUNTIF($B$2:B2666,B2666)=1,1,0)</f>
        <v>0</v>
      </c>
      <c r="W2666" s="13" t="n">
        <f aca="false">IF(COUNTIFS($B$2:B2666,B2666,$T$2:T2666,T2666)=1,1,0)</f>
        <v>0</v>
      </c>
    </row>
    <row r="2667" customFormat="false" ht="15" hidden="false" customHeight="false" outlineLevel="0" collapsed="false">
      <c r="A2667" s="13" t="s">
        <v>1018</v>
      </c>
      <c r="B2667" s="13" t="s">
        <v>69</v>
      </c>
      <c r="C2667" s="13" t="n">
        <v>1600</v>
      </c>
      <c r="D2667" s="13" t="n">
        <v>2</v>
      </c>
      <c r="E2667" s="13" t="n">
        <v>817</v>
      </c>
      <c r="F2667" s="13" t="s">
        <v>5325</v>
      </c>
      <c r="G2667" s="13" t="s">
        <v>5289</v>
      </c>
      <c r="H2667" s="13" t="s">
        <v>5289</v>
      </c>
      <c r="I2667" s="13" t="s">
        <v>5289</v>
      </c>
      <c r="J2667" s="13" t="s">
        <v>5289</v>
      </c>
      <c r="K2667" s="13" t="s">
        <v>5289</v>
      </c>
      <c r="L2667" s="13" t="n">
        <v>3614274025637</v>
      </c>
      <c r="M2667" s="13"/>
      <c r="N2667" s="13" t="n">
        <v>3614274025637</v>
      </c>
      <c r="O2667" s="13"/>
      <c r="P2667" s="13" t="s">
        <v>5291</v>
      </c>
      <c r="Q2667" s="13" t="s">
        <v>5289</v>
      </c>
      <c r="R2667" s="13" t="s">
        <v>5292</v>
      </c>
      <c r="S2667" s="13" t="s">
        <v>5293</v>
      </c>
      <c r="T2667" s="13" t="s">
        <v>5</v>
      </c>
      <c r="U2667" s="13" t="s">
        <v>43</v>
      </c>
      <c r="V2667" s="13" t="n">
        <f aca="false">IF(COUNTIF($B$2:B2667,B2667)=1,1,0)</f>
        <v>0</v>
      </c>
      <c r="W2667" s="13" t="n">
        <f aca="false">IF(COUNTIFS($B$2:B2667,B2667,$T$2:T2667,T2667)=1,1,0)</f>
        <v>0</v>
      </c>
    </row>
    <row r="2668" customFormat="false" ht="15" hidden="false" customHeight="false" outlineLevel="0" collapsed="false">
      <c r="A2668" s="13" t="s">
        <v>339</v>
      </c>
      <c r="B2668" s="13" t="s">
        <v>79</v>
      </c>
      <c r="C2668" s="13" t="n">
        <v>1600</v>
      </c>
      <c r="D2668" s="13" t="n">
        <v>2</v>
      </c>
      <c r="E2668" s="13" t="n">
        <v>407.3275</v>
      </c>
      <c r="F2668" s="13" t="s">
        <v>5325</v>
      </c>
      <c r="G2668" s="13" t="s">
        <v>5289</v>
      </c>
      <c r="H2668" s="13" t="s">
        <v>5289</v>
      </c>
      <c r="I2668" s="13" t="s">
        <v>5289</v>
      </c>
      <c r="J2668" s="13" t="s">
        <v>5289</v>
      </c>
      <c r="K2668" s="13" t="s">
        <v>5289</v>
      </c>
      <c r="L2668" s="13" t="n">
        <v>8056669925767</v>
      </c>
      <c r="M2668" s="13"/>
      <c r="N2668" s="13" t="n">
        <v>8056669925767</v>
      </c>
      <c r="O2668" s="13"/>
      <c r="P2668" s="13" t="s">
        <v>5291</v>
      </c>
      <c r="Q2668" s="13" t="s">
        <v>5289</v>
      </c>
      <c r="R2668" s="13" t="s">
        <v>5292</v>
      </c>
      <c r="S2668" s="13" t="s">
        <v>5293</v>
      </c>
      <c r="T2668" s="13" t="s">
        <v>5</v>
      </c>
      <c r="U2668" s="13" t="s">
        <v>43</v>
      </c>
      <c r="V2668" s="13" t="n">
        <f aca="false">IF(COUNTIF($B$2:B2668,B2668)=1,1,0)</f>
        <v>0</v>
      </c>
      <c r="W2668" s="13" t="n">
        <f aca="false">IF(COUNTIFS($B$2:B2668,B2668,$T$2:T2668,T2668)=1,1,0)</f>
        <v>0</v>
      </c>
    </row>
    <row r="2669" customFormat="false" ht="15" hidden="false" customHeight="false" outlineLevel="0" collapsed="false">
      <c r="A2669" s="13" t="s">
        <v>554</v>
      </c>
      <c r="B2669" s="13" t="s">
        <v>315</v>
      </c>
      <c r="C2669" s="13" t="n">
        <v>1600</v>
      </c>
      <c r="D2669" s="13" t="n">
        <v>2</v>
      </c>
      <c r="E2669" s="13" t="n">
        <v>814.59</v>
      </c>
      <c r="F2669" s="13" t="s">
        <v>5325</v>
      </c>
      <c r="G2669" s="13" t="s">
        <v>5289</v>
      </c>
      <c r="H2669" s="13" t="s">
        <v>5292</v>
      </c>
      <c r="I2669" s="13" t="s">
        <v>5289</v>
      </c>
      <c r="J2669" s="13" t="s">
        <v>5289</v>
      </c>
      <c r="K2669" s="13" t="s">
        <v>5289</v>
      </c>
      <c r="L2669" s="13" t="n">
        <v>3605971100413</v>
      </c>
      <c r="M2669" s="13"/>
      <c r="N2669" s="13" t="n">
        <v>3605971100413</v>
      </c>
      <c r="O2669" s="13"/>
      <c r="P2669" s="13" t="s">
        <v>5291</v>
      </c>
      <c r="Q2669" s="13" t="s">
        <v>5289</v>
      </c>
      <c r="R2669" s="13" t="s">
        <v>5292</v>
      </c>
      <c r="S2669" s="13" t="s">
        <v>5293</v>
      </c>
      <c r="T2669" s="13" t="s">
        <v>5</v>
      </c>
      <c r="U2669" s="13" t="s">
        <v>43</v>
      </c>
      <c r="V2669" s="13" t="n">
        <f aca="false">IF(COUNTIF($B$2:B2669,B2669)=1,1,0)</f>
        <v>0</v>
      </c>
      <c r="W2669" s="13" t="n">
        <f aca="false">IF(COUNTIFS($B$2:B2669,B2669,$T$2:T2669,T2669)=1,1,0)</f>
        <v>0</v>
      </c>
    </row>
    <row r="2670" customFormat="false" ht="15" hidden="false" customHeight="false" outlineLevel="0" collapsed="false">
      <c r="A2670" s="13" t="s">
        <v>1003</v>
      </c>
      <c r="B2670" s="13" t="s">
        <v>61</v>
      </c>
      <c r="C2670" s="13" t="n">
        <v>1600</v>
      </c>
      <c r="D2670" s="13" t="n">
        <v>2</v>
      </c>
      <c r="E2670" s="13" t="n">
        <v>542.526666666667</v>
      </c>
      <c r="F2670" s="13" t="s">
        <v>5325</v>
      </c>
      <c r="G2670" s="13" t="s">
        <v>5289</v>
      </c>
      <c r="H2670" s="13" t="s">
        <v>5292</v>
      </c>
      <c r="I2670" s="13" t="s">
        <v>5289</v>
      </c>
      <c r="J2670" s="13" t="s">
        <v>5289</v>
      </c>
      <c r="K2670" s="13" t="s">
        <v>5289</v>
      </c>
      <c r="L2670" s="13"/>
      <c r="M2670" s="13"/>
      <c r="N2670" s="13" t="n">
        <v>3614274426458</v>
      </c>
      <c r="O2670" s="13"/>
      <c r="P2670" s="13" t="s">
        <v>5291</v>
      </c>
      <c r="Q2670" s="13" t="s">
        <v>5289</v>
      </c>
      <c r="R2670" s="13" t="s">
        <v>5292</v>
      </c>
      <c r="S2670" s="13" t="s">
        <v>5293</v>
      </c>
      <c r="T2670" s="13" t="s">
        <v>5</v>
      </c>
      <c r="U2670" s="13" t="s">
        <v>183</v>
      </c>
      <c r="V2670" s="13" t="n">
        <f aca="false">IF(COUNTIF($B$2:B2670,B2670)=1,1,0)</f>
        <v>0</v>
      </c>
      <c r="W2670" s="13" t="n">
        <f aca="false">IF(COUNTIFS($B$2:B2670,B2670,$T$2:T2670,T2670)=1,1,0)</f>
        <v>0</v>
      </c>
    </row>
    <row r="2671" customFormat="false" ht="15" hidden="false" customHeight="false" outlineLevel="0" collapsed="false">
      <c r="A2671" s="13" t="s">
        <v>1014</v>
      </c>
      <c r="B2671" s="13" t="s">
        <v>107</v>
      </c>
      <c r="C2671" s="13" t="n">
        <v>1600</v>
      </c>
      <c r="D2671" s="13" t="n">
        <v>5</v>
      </c>
      <c r="E2671" s="13" t="n">
        <v>271</v>
      </c>
      <c r="F2671" s="13" t="s">
        <v>5325</v>
      </c>
      <c r="G2671" s="13" t="s">
        <v>5292</v>
      </c>
      <c r="H2671" s="13" t="s">
        <v>5289</v>
      </c>
      <c r="I2671" s="13" t="s">
        <v>5289</v>
      </c>
      <c r="J2671" s="13" t="s">
        <v>5289</v>
      </c>
      <c r="K2671" s="13" t="s">
        <v>5289</v>
      </c>
      <c r="L2671" s="13"/>
      <c r="M2671" s="13"/>
      <c r="N2671" s="13" t="n">
        <v>9000250313821</v>
      </c>
      <c r="O2671" s="13"/>
      <c r="P2671" s="13" t="s">
        <v>5297</v>
      </c>
      <c r="Q2671" s="13" t="s">
        <v>5289</v>
      </c>
      <c r="R2671" s="13" t="s">
        <v>5292</v>
      </c>
      <c r="S2671" s="13" t="s">
        <v>5293</v>
      </c>
      <c r="T2671" s="13" t="s">
        <v>5</v>
      </c>
      <c r="U2671" s="13" t="s">
        <v>183</v>
      </c>
      <c r="V2671" s="13" t="n">
        <f aca="false">IF(COUNTIF($B$2:B2671,B2671)=1,1,0)</f>
        <v>0</v>
      </c>
      <c r="W2671" s="13" t="n">
        <f aca="false">IF(COUNTIFS($B$2:B2671,B2671,$T$2:T2671,T2671)=1,1,0)</f>
        <v>0</v>
      </c>
    </row>
    <row r="2672" customFormat="false" ht="15" hidden="false" customHeight="false" outlineLevel="0" collapsed="false">
      <c r="A2672" s="13" t="s">
        <v>316</v>
      </c>
      <c r="B2672" s="13" t="s">
        <v>315</v>
      </c>
      <c r="C2672" s="13" t="n">
        <v>1600</v>
      </c>
      <c r="D2672" s="13" t="n">
        <v>2</v>
      </c>
      <c r="E2672" s="13" t="n">
        <v>810.85</v>
      </c>
      <c r="F2672" s="13" t="s">
        <v>5325</v>
      </c>
      <c r="G2672" s="13" t="s">
        <v>5292</v>
      </c>
      <c r="H2672" s="13" t="s">
        <v>5289</v>
      </c>
      <c r="I2672" s="13" t="s">
        <v>5289</v>
      </c>
      <c r="J2672" s="13" t="s">
        <v>5289</v>
      </c>
      <c r="K2672" s="13" t="s">
        <v>5292</v>
      </c>
      <c r="L2672" s="13" t="n">
        <v>3605972793317</v>
      </c>
      <c r="M2672" s="13"/>
      <c r="N2672" s="13" t="n">
        <v>3605972793317</v>
      </c>
      <c r="O2672" s="13"/>
      <c r="P2672" s="13" t="s">
        <v>5297</v>
      </c>
      <c r="Q2672" s="13" t="s">
        <v>5289</v>
      </c>
      <c r="R2672" s="13" t="s">
        <v>5292</v>
      </c>
      <c r="S2672" s="13" t="s">
        <v>5293</v>
      </c>
      <c r="T2672" s="13" t="s">
        <v>5</v>
      </c>
      <c r="U2672" s="13" t="s">
        <v>43</v>
      </c>
      <c r="V2672" s="13" t="n">
        <f aca="false">IF(COUNTIF($B$2:B2672,B2672)=1,1,0)</f>
        <v>0</v>
      </c>
      <c r="W2672" s="13" t="n">
        <f aca="false">IF(COUNTIFS($B$2:B2672,B2672,$T$2:T2672,T2672)=1,1,0)</f>
        <v>0</v>
      </c>
    </row>
    <row r="2673" customFormat="false" ht="15" hidden="false" customHeight="false" outlineLevel="0" collapsed="false">
      <c r="A2673" s="13" t="s">
        <v>1011</v>
      </c>
      <c r="B2673" s="13" t="s">
        <v>54</v>
      </c>
      <c r="C2673" s="13" t="n">
        <v>1600</v>
      </c>
      <c r="D2673" s="13" t="n">
        <v>5</v>
      </c>
      <c r="E2673" s="13" t="n">
        <v>270.026666666667</v>
      </c>
      <c r="F2673" s="13" t="s">
        <v>5325</v>
      </c>
      <c r="G2673" s="13" t="s">
        <v>5289</v>
      </c>
      <c r="H2673" s="13" t="s">
        <v>5292</v>
      </c>
      <c r="I2673" s="13" t="s">
        <v>5289</v>
      </c>
      <c r="J2673" s="13" t="s">
        <v>5289</v>
      </c>
      <c r="K2673" s="13" t="s">
        <v>5289</v>
      </c>
      <c r="L2673" s="13" t="n">
        <v>7898965700034</v>
      </c>
      <c r="M2673" s="13"/>
      <c r="N2673" s="13" t="n">
        <v>730852212848</v>
      </c>
      <c r="O2673" s="13"/>
      <c r="P2673" s="13" t="s">
        <v>5291</v>
      </c>
      <c r="Q2673" s="13" t="s">
        <v>5289</v>
      </c>
      <c r="R2673" s="13" t="s">
        <v>5292</v>
      </c>
      <c r="S2673" s="13" t="s">
        <v>5293</v>
      </c>
      <c r="T2673" s="13" t="s">
        <v>5</v>
      </c>
      <c r="U2673" s="13" t="s">
        <v>43</v>
      </c>
      <c r="V2673" s="13" t="n">
        <f aca="false">IF(COUNTIF($B$2:B2673,B2673)=1,1,0)</f>
        <v>0</v>
      </c>
      <c r="W2673" s="13" t="n">
        <f aca="false">IF(COUNTIFS($B$2:B2673,B2673,$T$2:T2673,T2673)=1,1,0)</f>
        <v>0</v>
      </c>
    </row>
    <row r="2674" customFormat="false" ht="15" hidden="false" customHeight="false" outlineLevel="0" collapsed="false">
      <c r="A2674" s="13" t="s">
        <v>1002</v>
      </c>
      <c r="B2674" s="13" t="s">
        <v>69</v>
      </c>
      <c r="C2674" s="13" t="n">
        <v>1600</v>
      </c>
      <c r="D2674" s="13" t="n">
        <v>2</v>
      </c>
      <c r="E2674" s="13" t="n">
        <v>809.96</v>
      </c>
      <c r="F2674" s="13" t="s">
        <v>5288</v>
      </c>
      <c r="G2674" s="13" t="s">
        <v>5289</v>
      </c>
      <c r="H2674" s="13" t="s">
        <v>5292</v>
      </c>
      <c r="I2674" s="13" t="s">
        <v>5289</v>
      </c>
      <c r="J2674" s="13" t="s">
        <v>5289</v>
      </c>
      <c r="K2674" s="13" t="s">
        <v>5289</v>
      </c>
      <c r="L2674" s="13" t="n">
        <v>3614273898478</v>
      </c>
      <c r="M2674" s="13"/>
      <c r="N2674" s="13" t="n">
        <v>3614273898478</v>
      </c>
      <c r="O2674" s="13"/>
      <c r="P2674" s="13" t="s">
        <v>5291</v>
      </c>
      <c r="Q2674" s="13" t="s">
        <v>5289</v>
      </c>
      <c r="R2674" s="13" t="s">
        <v>5292</v>
      </c>
      <c r="S2674" s="13" t="s">
        <v>5293</v>
      </c>
      <c r="T2674" s="13" t="s">
        <v>5</v>
      </c>
      <c r="U2674" s="13" t="s">
        <v>43</v>
      </c>
      <c r="V2674" s="13" t="n">
        <f aca="false">IF(COUNTIF($B$2:B2674,B2674)=1,1,0)</f>
        <v>0</v>
      </c>
      <c r="W2674" s="13" t="n">
        <f aca="false">IF(COUNTIFS($B$2:B2674,B2674,$T$2:T2674,T2674)=1,1,0)</f>
        <v>0</v>
      </c>
    </row>
    <row r="2675" customFormat="false" ht="15" hidden="false" customHeight="false" outlineLevel="0" collapsed="false">
      <c r="A2675" s="13" t="s">
        <v>756</v>
      </c>
      <c r="B2675" s="13" t="s">
        <v>50</v>
      </c>
      <c r="C2675" s="13" t="n">
        <v>1600</v>
      </c>
      <c r="D2675" s="13" t="n">
        <v>2</v>
      </c>
      <c r="E2675" s="13" t="n">
        <v>809.065</v>
      </c>
      <c r="F2675" s="13" t="s">
        <v>5325</v>
      </c>
      <c r="G2675" s="13" t="s">
        <v>5289</v>
      </c>
      <c r="H2675" s="13" t="s">
        <v>5289</v>
      </c>
      <c r="I2675" s="13" t="s">
        <v>5289</v>
      </c>
      <c r="J2675" s="13" t="s">
        <v>5289</v>
      </c>
      <c r="K2675" s="13" t="s">
        <v>5289</v>
      </c>
      <c r="L2675" s="13" t="n">
        <v>3349668630448</v>
      </c>
      <c r="M2675" s="13"/>
      <c r="N2675" s="13" t="n">
        <v>3349668630448</v>
      </c>
      <c r="O2675" s="13"/>
      <c r="P2675" s="13" t="s">
        <v>5291</v>
      </c>
      <c r="Q2675" s="13" t="s">
        <v>5289</v>
      </c>
      <c r="R2675" s="13" t="s">
        <v>5292</v>
      </c>
      <c r="S2675" s="13" t="s">
        <v>5293</v>
      </c>
      <c r="T2675" s="13" t="s">
        <v>5</v>
      </c>
      <c r="U2675" s="13" t="s">
        <v>43</v>
      </c>
      <c r="V2675" s="13" t="n">
        <f aca="false">IF(COUNTIF($B$2:B2675,B2675)=1,1,0)</f>
        <v>0</v>
      </c>
      <c r="W2675" s="13" t="n">
        <f aca="false">IF(COUNTIFS($B$2:B2675,B2675,$T$2:T2675,T2675)=1,1,0)</f>
        <v>0</v>
      </c>
    </row>
    <row r="2676" customFormat="false" ht="15" hidden="false" customHeight="false" outlineLevel="0" collapsed="false">
      <c r="A2676" s="13" t="s">
        <v>999</v>
      </c>
      <c r="B2676" s="13" t="s">
        <v>54</v>
      </c>
      <c r="C2676" s="13" t="n">
        <v>1600</v>
      </c>
      <c r="D2676" s="13" t="n">
        <v>2</v>
      </c>
      <c r="E2676" s="13" t="n">
        <v>808.85</v>
      </c>
      <c r="F2676" s="13" t="s">
        <v>5325</v>
      </c>
      <c r="G2676" s="13" t="s">
        <v>5289</v>
      </c>
      <c r="H2676" s="13" t="s">
        <v>5289</v>
      </c>
      <c r="I2676" s="13" t="s">
        <v>5289</v>
      </c>
      <c r="J2676" s="13" t="s">
        <v>5289</v>
      </c>
      <c r="K2676" s="13" t="s">
        <v>5292</v>
      </c>
      <c r="L2676" s="13" t="n">
        <v>768614166597</v>
      </c>
      <c r="M2676" s="13"/>
      <c r="N2676" s="13" t="n">
        <v>768614166597</v>
      </c>
      <c r="O2676" s="13"/>
      <c r="P2676" s="13" t="s">
        <v>5291</v>
      </c>
      <c r="Q2676" s="13" t="s">
        <v>5289</v>
      </c>
      <c r="R2676" s="13" t="s">
        <v>5292</v>
      </c>
      <c r="S2676" s="13" t="s">
        <v>5293</v>
      </c>
      <c r="T2676" s="13" t="s">
        <v>5</v>
      </c>
      <c r="U2676" s="13" t="s">
        <v>43</v>
      </c>
      <c r="V2676" s="13" t="n">
        <f aca="false">IF(COUNTIF($B$2:B2676,B2676)=1,1,0)</f>
        <v>0</v>
      </c>
      <c r="W2676" s="13" t="n">
        <f aca="false">IF(COUNTIFS($B$2:B2676,B2676,$T$2:T2676,T2676)=1,1,0)</f>
        <v>0</v>
      </c>
    </row>
    <row r="2677" customFormat="false" ht="15" hidden="false" customHeight="false" outlineLevel="0" collapsed="false">
      <c r="A2677" s="13" t="s">
        <v>316</v>
      </c>
      <c r="B2677" s="13" t="s">
        <v>315</v>
      </c>
      <c r="C2677" s="13" t="n">
        <v>1600</v>
      </c>
      <c r="D2677" s="13" t="n">
        <v>2</v>
      </c>
      <c r="E2677" s="13" t="n">
        <v>808.85</v>
      </c>
      <c r="F2677" s="13" t="s">
        <v>5288</v>
      </c>
      <c r="G2677" s="13" t="s">
        <v>5292</v>
      </c>
      <c r="H2677" s="13" t="s">
        <v>5289</v>
      </c>
      <c r="I2677" s="13" t="s">
        <v>5289</v>
      </c>
      <c r="J2677" s="13" t="s">
        <v>5289</v>
      </c>
      <c r="K2677" s="13" t="s">
        <v>5292</v>
      </c>
      <c r="L2677" s="13" t="n">
        <v>3605972793317</v>
      </c>
      <c r="M2677" s="13"/>
      <c r="N2677" s="13" t="n">
        <v>3605972793317</v>
      </c>
      <c r="O2677" s="13"/>
      <c r="P2677" s="13" t="s">
        <v>5297</v>
      </c>
      <c r="Q2677" s="13" t="s">
        <v>5289</v>
      </c>
      <c r="R2677" s="13" t="s">
        <v>5292</v>
      </c>
      <c r="S2677" s="13" t="s">
        <v>5293</v>
      </c>
      <c r="T2677" s="13" t="s">
        <v>5</v>
      </c>
      <c r="U2677" s="13" t="s">
        <v>43</v>
      </c>
      <c r="V2677" s="13" t="n">
        <f aca="false">IF(COUNTIF($B$2:B2677,B2677)=1,1,0)</f>
        <v>0</v>
      </c>
      <c r="W2677" s="13" t="n">
        <f aca="false">IF(COUNTIFS($B$2:B2677,B2677,$T$2:T2677,T2677)=1,1,0)</f>
        <v>0</v>
      </c>
    </row>
    <row r="2678" customFormat="false" ht="15" hidden="false" customHeight="false" outlineLevel="0" collapsed="false">
      <c r="A2678" s="13" t="s">
        <v>238</v>
      </c>
      <c r="B2678" s="13" t="s">
        <v>193</v>
      </c>
      <c r="C2678" s="13" t="n">
        <v>1600</v>
      </c>
      <c r="D2678" s="13" t="n">
        <v>2</v>
      </c>
      <c r="E2678" s="13" t="n">
        <v>538.96</v>
      </c>
      <c r="F2678" s="13" t="s">
        <v>5325</v>
      </c>
      <c r="G2678" s="13" t="s">
        <v>5289</v>
      </c>
      <c r="H2678" s="13" t="s">
        <v>5289</v>
      </c>
      <c r="I2678" s="13" t="s">
        <v>5289</v>
      </c>
      <c r="J2678" s="13" t="s">
        <v>5289</v>
      </c>
      <c r="K2678" s="13" t="s">
        <v>5289</v>
      </c>
      <c r="L2678" s="13" t="n">
        <v>3605522040281</v>
      </c>
      <c r="M2678" s="13"/>
      <c r="N2678" s="13" t="n">
        <v>3605522040281</v>
      </c>
      <c r="O2678" s="13"/>
      <c r="P2678" s="13" t="s">
        <v>5291</v>
      </c>
      <c r="Q2678" s="13" t="s">
        <v>5289</v>
      </c>
      <c r="R2678" s="13" t="s">
        <v>5292</v>
      </c>
      <c r="S2678" s="13" t="s">
        <v>5293</v>
      </c>
      <c r="T2678" s="13" t="s">
        <v>5</v>
      </c>
      <c r="U2678" s="13" t="s">
        <v>43</v>
      </c>
      <c r="V2678" s="13" t="n">
        <f aca="false">IF(COUNTIF($B$2:B2678,B2678)=1,1,0)</f>
        <v>0</v>
      </c>
      <c r="W2678" s="13" t="n">
        <f aca="false">IF(COUNTIFS($B$2:B2678,B2678,$T$2:T2678,T2678)=1,1,0)</f>
        <v>0</v>
      </c>
    </row>
    <row r="2679" customFormat="false" ht="15" hidden="false" customHeight="false" outlineLevel="0" collapsed="false">
      <c r="A2679" s="13" t="s">
        <v>3616</v>
      </c>
      <c r="B2679" s="13" t="s">
        <v>2164</v>
      </c>
      <c r="C2679" s="13" t="n">
        <v>1600</v>
      </c>
      <c r="D2679" s="13" t="n">
        <v>20</v>
      </c>
      <c r="E2679" s="13" t="n">
        <v>95</v>
      </c>
      <c r="F2679" s="13" t="s">
        <v>5325</v>
      </c>
      <c r="G2679" s="13" t="s">
        <v>5289</v>
      </c>
      <c r="H2679" s="13" t="s">
        <v>5289</v>
      </c>
      <c r="I2679" s="13" t="s">
        <v>5289</v>
      </c>
      <c r="J2679" s="13" t="s">
        <v>5289</v>
      </c>
      <c r="K2679" s="13" t="s">
        <v>5289</v>
      </c>
      <c r="L2679" s="13"/>
      <c r="M2679" s="13"/>
      <c r="N2679" s="13" t="n">
        <v>3616305265784</v>
      </c>
      <c r="O2679" s="13"/>
      <c r="P2679" s="13" t="s">
        <v>5291</v>
      </c>
      <c r="Q2679" s="13" t="s">
        <v>5289</v>
      </c>
      <c r="R2679" s="13" t="s">
        <v>5292</v>
      </c>
      <c r="S2679" s="13" t="s">
        <v>5293</v>
      </c>
      <c r="T2679" s="13" t="s">
        <v>5</v>
      </c>
      <c r="U2679" s="13" t="s">
        <v>43</v>
      </c>
      <c r="V2679" s="13" t="n">
        <f aca="false">IF(COUNTIF($B$2:B2679,B2679)=1,1,0)</f>
        <v>0</v>
      </c>
      <c r="W2679" s="13" t="n">
        <f aca="false">IF(COUNTIFS($B$2:B2679,B2679,$T$2:T2679,T2679)=1,1,0)</f>
        <v>0</v>
      </c>
    </row>
    <row r="2680" customFormat="false" ht="15" hidden="false" customHeight="false" outlineLevel="0" collapsed="false">
      <c r="A2680" s="13" t="s">
        <v>1008</v>
      </c>
      <c r="B2680" s="13" t="s">
        <v>153</v>
      </c>
      <c r="C2680" s="13" t="n">
        <v>1600</v>
      </c>
      <c r="D2680" s="13" t="n">
        <v>2</v>
      </c>
      <c r="E2680" s="13" t="n">
        <v>535.44</v>
      </c>
      <c r="F2680" s="13" t="s">
        <v>5325</v>
      </c>
      <c r="G2680" s="13" t="s">
        <v>5289</v>
      </c>
      <c r="H2680" s="13" t="s">
        <v>5289</v>
      </c>
      <c r="I2680" s="13" t="s">
        <v>5289</v>
      </c>
      <c r="J2680" s="13" t="s">
        <v>5289</v>
      </c>
      <c r="K2680" s="13" t="s">
        <v>5289</v>
      </c>
      <c r="L2680" s="13" t="n">
        <v>8011003890682</v>
      </c>
      <c r="M2680" s="13"/>
      <c r="N2680" s="13" t="n">
        <v>8011003890682</v>
      </c>
      <c r="O2680" s="13"/>
      <c r="P2680" s="13" t="s">
        <v>5291</v>
      </c>
      <c r="Q2680" s="13" t="s">
        <v>5289</v>
      </c>
      <c r="R2680" s="13" t="s">
        <v>5292</v>
      </c>
      <c r="S2680" s="13" t="s">
        <v>5293</v>
      </c>
      <c r="T2680" s="13" t="s">
        <v>5</v>
      </c>
      <c r="U2680" s="13" t="s">
        <v>43</v>
      </c>
      <c r="V2680" s="13" t="n">
        <f aca="false">IF(COUNTIF($B$2:B2680,B2680)=1,1,0)</f>
        <v>0</v>
      </c>
      <c r="W2680" s="13" t="n">
        <f aca="false">IF(COUNTIFS($B$2:B2680,B2680,$T$2:T2680,T2680)=1,1,0)</f>
        <v>0</v>
      </c>
    </row>
    <row r="2681" customFormat="false" ht="15" hidden="false" customHeight="false" outlineLevel="0" collapsed="false">
      <c r="A2681" s="13" t="s">
        <v>289</v>
      </c>
      <c r="B2681" s="13" t="s">
        <v>50</v>
      </c>
      <c r="C2681" s="13" t="n">
        <v>1600</v>
      </c>
      <c r="D2681" s="13" t="n">
        <v>2</v>
      </c>
      <c r="E2681" s="13" t="n">
        <v>533.45</v>
      </c>
      <c r="F2681" s="13" t="s">
        <v>5325</v>
      </c>
      <c r="G2681" s="13" t="s">
        <v>5289</v>
      </c>
      <c r="H2681" s="13" t="s">
        <v>5289</v>
      </c>
      <c r="I2681" s="13" t="s">
        <v>5289</v>
      </c>
      <c r="J2681" s="13" t="s">
        <v>5289</v>
      </c>
      <c r="K2681" s="13" t="s">
        <v>5289</v>
      </c>
      <c r="L2681" s="13" t="n">
        <v>3349668630332</v>
      </c>
      <c r="M2681" s="13"/>
      <c r="N2681" s="13" t="n">
        <v>3349668630332</v>
      </c>
      <c r="O2681" s="13"/>
      <c r="P2681" s="13" t="s">
        <v>5291</v>
      </c>
      <c r="Q2681" s="13" t="s">
        <v>5289</v>
      </c>
      <c r="R2681" s="13" t="s">
        <v>5292</v>
      </c>
      <c r="S2681" s="13" t="s">
        <v>5293</v>
      </c>
      <c r="T2681" s="13" t="s">
        <v>5</v>
      </c>
      <c r="U2681" s="13" t="s">
        <v>43</v>
      </c>
      <c r="V2681" s="13" t="n">
        <f aca="false">IF(COUNTIF($B$2:B2681,B2681)=1,1,0)</f>
        <v>0</v>
      </c>
      <c r="W2681" s="13" t="n">
        <f aca="false">IF(COUNTIFS($B$2:B2681,B2681,$T$2:T2681,T2681)=1,1,0)</f>
        <v>0</v>
      </c>
    </row>
    <row r="2682" customFormat="false" ht="15" hidden="false" customHeight="false" outlineLevel="0" collapsed="false">
      <c r="A2682" s="13" t="s">
        <v>1010</v>
      </c>
      <c r="B2682" s="13" t="s">
        <v>50</v>
      </c>
      <c r="C2682" s="13" t="n">
        <v>1600</v>
      </c>
      <c r="D2682" s="13" t="n">
        <v>2</v>
      </c>
      <c r="E2682" s="13" t="n">
        <v>800</v>
      </c>
      <c r="F2682" s="13" t="s">
        <v>5325</v>
      </c>
      <c r="G2682" s="13" t="s">
        <v>5289</v>
      </c>
      <c r="H2682" s="13" t="s">
        <v>5292</v>
      </c>
      <c r="I2682" s="13" t="s">
        <v>5289</v>
      </c>
      <c r="J2682" s="13" t="s">
        <v>5289</v>
      </c>
      <c r="K2682" s="13" t="s">
        <v>5289</v>
      </c>
      <c r="L2682" s="13" t="n">
        <v>3349668600298</v>
      </c>
      <c r="M2682" s="13"/>
      <c r="N2682" s="13" t="n">
        <v>3349668600298</v>
      </c>
      <c r="O2682" s="13"/>
      <c r="P2682" s="13" t="s">
        <v>5291</v>
      </c>
      <c r="Q2682" s="13" t="s">
        <v>5289</v>
      </c>
      <c r="R2682" s="13" t="s">
        <v>5292</v>
      </c>
      <c r="S2682" s="13" t="s">
        <v>5293</v>
      </c>
      <c r="T2682" s="13" t="s">
        <v>5</v>
      </c>
      <c r="U2682" s="13" t="s">
        <v>43</v>
      </c>
      <c r="V2682" s="13" t="n">
        <f aca="false">IF(COUNTIF($B$2:B2682,B2682)=1,1,0)</f>
        <v>0</v>
      </c>
      <c r="W2682" s="13" t="n">
        <f aca="false">IF(COUNTIFS($B$2:B2682,B2682,$T$2:T2682,T2682)=1,1,0)</f>
        <v>0</v>
      </c>
    </row>
    <row r="2683" customFormat="false" ht="15" hidden="false" customHeight="false" outlineLevel="0" collapsed="false">
      <c r="A2683" s="13" t="s">
        <v>1012</v>
      </c>
      <c r="B2683" s="13" t="s">
        <v>72</v>
      </c>
      <c r="C2683" s="13" t="n">
        <v>1600</v>
      </c>
      <c r="D2683" s="13" t="n">
        <v>2</v>
      </c>
      <c r="E2683" s="13" t="n">
        <v>800</v>
      </c>
      <c r="F2683" s="13" t="s">
        <v>5325</v>
      </c>
      <c r="G2683" s="13" t="s">
        <v>5289</v>
      </c>
      <c r="H2683" s="13" t="s">
        <v>5292</v>
      </c>
      <c r="I2683" s="13" t="s">
        <v>5289</v>
      </c>
      <c r="J2683" s="13" t="s">
        <v>5289</v>
      </c>
      <c r="K2683" s="13" t="s">
        <v>5289</v>
      </c>
      <c r="L2683" s="13" t="n">
        <v>3614273961707</v>
      </c>
      <c r="M2683" s="13"/>
      <c r="N2683" s="13" t="n">
        <v>3614273961707</v>
      </c>
      <c r="O2683" s="13"/>
      <c r="P2683" s="13" t="s">
        <v>5291</v>
      </c>
      <c r="Q2683" s="13" t="s">
        <v>5289</v>
      </c>
      <c r="R2683" s="13" t="s">
        <v>5292</v>
      </c>
      <c r="S2683" s="13" t="s">
        <v>5293</v>
      </c>
      <c r="T2683" s="13" t="s">
        <v>5</v>
      </c>
      <c r="U2683" s="13" t="s">
        <v>43</v>
      </c>
      <c r="V2683" s="13" t="n">
        <f aca="false">IF(COUNTIF($B$2:B2683,B2683)=1,1,0)</f>
        <v>0</v>
      </c>
      <c r="W2683" s="13" t="n">
        <f aca="false">IF(COUNTIFS($B$2:B2683,B2683,$T$2:T2683,T2683)=1,1,0)</f>
        <v>0</v>
      </c>
    </row>
    <row r="2684" customFormat="false" ht="15" hidden="false" customHeight="false" outlineLevel="0" collapsed="false">
      <c r="A2684" s="13" t="s">
        <v>238</v>
      </c>
      <c r="B2684" s="13" t="s">
        <v>193</v>
      </c>
      <c r="C2684" s="13" t="n">
        <v>1600</v>
      </c>
      <c r="D2684" s="13" t="n">
        <v>2</v>
      </c>
      <c r="E2684" s="13" t="n">
        <v>798.85</v>
      </c>
      <c r="F2684" s="13" t="s">
        <v>5325</v>
      </c>
      <c r="G2684" s="13" t="s">
        <v>5292</v>
      </c>
      <c r="H2684" s="13" t="s">
        <v>5289</v>
      </c>
      <c r="I2684" s="13" t="s">
        <v>5289</v>
      </c>
      <c r="J2684" s="13" t="s">
        <v>5289</v>
      </c>
      <c r="K2684" s="13" t="s">
        <v>5292</v>
      </c>
      <c r="L2684" s="13" t="n">
        <v>3614272225718</v>
      </c>
      <c r="M2684" s="13"/>
      <c r="N2684" s="13" t="n">
        <v>3614272225718</v>
      </c>
      <c r="O2684" s="13"/>
      <c r="P2684" s="13" t="s">
        <v>5297</v>
      </c>
      <c r="Q2684" s="13" t="s">
        <v>5289</v>
      </c>
      <c r="R2684" s="13" t="s">
        <v>5292</v>
      </c>
      <c r="S2684" s="13" t="s">
        <v>5293</v>
      </c>
      <c r="T2684" s="13" t="s">
        <v>5</v>
      </c>
      <c r="U2684" s="13" t="s">
        <v>43</v>
      </c>
      <c r="V2684" s="13" t="n">
        <f aca="false">IF(COUNTIF($B$2:B2684,B2684)=1,1,0)</f>
        <v>0</v>
      </c>
      <c r="W2684" s="13" t="n">
        <f aca="false">IF(COUNTIFS($B$2:B2684,B2684,$T$2:T2684,T2684)=1,1,0)</f>
        <v>0</v>
      </c>
    </row>
    <row r="2685" customFormat="false" ht="15" hidden="false" customHeight="false" outlineLevel="0" collapsed="false">
      <c r="A2685" s="13" t="s">
        <v>1004</v>
      </c>
      <c r="B2685" s="13" t="s">
        <v>50</v>
      </c>
      <c r="C2685" s="13" t="n">
        <v>1600</v>
      </c>
      <c r="D2685" s="13" t="n">
        <v>2</v>
      </c>
      <c r="E2685" s="13" t="n">
        <v>798.85</v>
      </c>
      <c r="F2685" s="13" t="s">
        <v>5325</v>
      </c>
      <c r="G2685" s="13" t="s">
        <v>5292</v>
      </c>
      <c r="H2685" s="13" t="s">
        <v>5292</v>
      </c>
      <c r="I2685" s="13" t="s">
        <v>5289</v>
      </c>
      <c r="J2685" s="13" t="s">
        <v>5289</v>
      </c>
      <c r="K2685" s="13" t="s">
        <v>5292</v>
      </c>
      <c r="L2685" s="13"/>
      <c r="M2685" s="13"/>
      <c r="N2685" s="13" t="n">
        <v>3349668627462</v>
      </c>
      <c r="O2685" s="13"/>
      <c r="P2685" s="13" t="s">
        <v>5291</v>
      </c>
      <c r="Q2685" s="13" t="s">
        <v>5289</v>
      </c>
      <c r="R2685" s="13" t="s">
        <v>5292</v>
      </c>
      <c r="S2685" s="13" t="s">
        <v>5293</v>
      </c>
      <c r="T2685" s="13" t="s">
        <v>5</v>
      </c>
      <c r="U2685" s="13" t="s">
        <v>43</v>
      </c>
      <c r="V2685" s="13" t="n">
        <f aca="false">IF(COUNTIF($B$2:B2685,B2685)=1,1,0)</f>
        <v>0</v>
      </c>
      <c r="W2685" s="13" t="n">
        <f aca="false">IF(COUNTIFS($B$2:B2685,B2685,$T$2:T2685,T2685)=1,1,0)</f>
        <v>0</v>
      </c>
    </row>
    <row r="2686" customFormat="false" ht="15" hidden="false" customHeight="false" outlineLevel="0" collapsed="false">
      <c r="A2686" s="13" t="s">
        <v>279</v>
      </c>
      <c r="B2686" s="13" t="s">
        <v>45</v>
      </c>
      <c r="C2686" s="13" t="n">
        <v>1600</v>
      </c>
      <c r="D2686" s="13" t="n">
        <v>2</v>
      </c>
      <c r="E2686" s="13" t="n">
        <v>399</v>
      </c>
      <c r="F2686" s="13" t="s">
        <v>5325</v>
      </c>
      <c r="G2686" s="13" t="s">
        <v>5289</v>
      </c>
      <c r="H2686" s="13" t="s">
        <v>5289</v>
      </c>
      <c r="I2686" s="13" t="s">
        <v>5289</v>
      </c>
      <c r="J2686" s="13" t="s">
        <v>5289</v>
      </c>
      <c r="K2686" s="13" t="s">
        <v>5289</v>
      </c>
      <c r="L2686" s="13"/>
      <c r="M2686" s="13"/>
      <c r="N2686" s="13" t="n">
        <v>8435415102681</v>
      </c>
      <c r="O2686" s="13"/>
      <c r="P2686" s="13" t="s">
        <v>5297</v>
      </c>
      <c r="Q2686" s="13" t="s">
        <v>5289</v>
      </c>
      <c r="R2686" s="13" t="s">
        <v>5292</v>
      </c>
      <c r="S2686" s="13" t="s">
        <v>5293</v>
      </c>
      <c r="T2686" s="13" t="s">
        <v>5</v>
      </c>
      <c r="U2686" s="13" t="s">
        <v>43</v>
      </c>
      <c r="V2686" s="13" t="n">
        <f aca="false">IF(COUNTIF($B$2:B2686,B2686)=1,1,0)</f>
        <v>0</v>
      </c>
      <c r="W2686" s="13" t="n">
        <f aca="false">IF(COUNTIFS($B$2:B2686,B2686,$T$2:T2686,T2686)=1,1,0)</f>
        <v>0</v>
      </c>
    </row>
    <row r="2687" customFormat="false" ht="15" hidden="false" customHeight="false" outlineLevel="0" collapsed="false">
      <c r="A2687" s="13" t="s">
        <v>1009</v>
      </c>
      <c r="B2687" s="13" t="s">
        <v>177</v>
      </c>
      <c r="C2687" s="13" t="n">
        <v>1600</v>
      </c>
      <c r="D2687" s="13" t="n">
        <v>2</v>
      </c>
      <c r="E2687" s="13" t="n">
        <v>795.37</v>
      </c>
      <c r="F2687" s="13" t="s">
        <v>5288</v>
      </c>
      <c r="G2687" s="13" t="s">
        <v>5289</v>
      </c>
      <c r="H2687" s="13" t="s">
        <v>5289</v>
      </c>
      <c r="I2687" s="13" t="s">
        <v>5289</v>
      </c>
      <c r="J2687" s="13" t="s">
        <v>5289</v>
      </c>
      <c r="K2687" s="13" t="s">
        <v>5289</v>
      </c>
      <c r="L2687" s="13" t="n">
        <v>3616305275745</v>
      </c>
      <c r="M2687" s="13"/>
      <c r="N2687" s="13" t="n">
        <v>3616305275745</v>
      </c>
      <c r="O2687" s="13"/>
      <c r="P2687" s="13" t="s">
        <v>5297</v>
      </c>
      <c r="Q2687" s="13" t="s">
        <v>5289</v>
      </c>
      <c r="R2687" s="13" t="s">
        <v>5292</v>
      </c>
      <c r="S2687" s="13" t="s">
        <v>5293</v>
      </c>
      <c r="T2687" s="13" t="s">
        <v>5</v>
      </c>
      <c r="U2687" s="13" t="s">
        <v>43</v>
      </c>
      <c r="V2687" s="13" t="n">
        <f aca="false">IF(COUNTIF($B$2:B2687,B2687)=1,1,0)</f>
        <v>0</v>
      </c>
      <c r="W2687" s="13" t="n">
        <f aca="false">IF(COUNTIFS($B$2:B2687,B2687,$T$2:T2687,T2687)=1,1,0)</f>
        <v>0</v>
      </c>
    </row>
    <row r="2688" customFormat="false" ht="15" hidden="false" customHeight="false" outlineLevel="0" collapsed="false">
      <c r="A2688" s="13" t="s">
        <v>1013</v>
      </c>
      <c r="B2688" s="13" t="s">
        <v>490</v>
      </c>
      <c r="C2688" s="13" t="n">
        <v>1600</v>
      </c>
      <c r="D2688" s="13" t="n">
        <v>2</v>
      </c>
      <c r="E2688" s="13" t="n">
        <v>397.4675</v>
      </c>
      <c r="F2688" s="13" t="s">
        <v>5325</v>
      </c>
      <c r="G2688" s="13" t="s">
        <v>5289</v>
      </c>
      <c r="H2688" s="13" t="s">
        <v>5289</v>
      </c>
      <c r="I2688" s="13" t="s">
        <v>5289</v>
      </c>
      <c r="J2688" s="13" t="s">
        <v>5289</v>
      </c>
      <c r="K2688" s="13" t="s">
        <v>5289</v>
      </c>
      <c r="L2688" s="13" t="n">
        <v>8011003845125</v>
      </c>
      <c r="M2688" s="13"/>
      <c r="N2688" s="13" t="n">
        <v>8011003845125</v>
      </c>
      <c r="O2688" s="13"/>
      <c r="P2688" s="13" t="s">
        <v>5291</v>
      </c>
      <c r="Q2688" s="13" t="s">
        <v>5289</v>
      </c>
      <c r="R2688" s="13" t="s">
        <v>5292</v>
      </c>
      <c r="S2688" s="13" t="s">
        <v>5293</v>
      </c>
      <c r="T2688" s="13" t="s">
        <v>5</v>
      </c>
      <c r="U2688" s="13" t="s">
        <v>43</v>
      </c>
      <c r="V2688" s="13" t="n">
        <f aca="false">IF(COUNTIF($B$2:B2688,B2688)=1,1,0)</f>
        <v>0</v>
      </c>
      <c r="W2688" s="13" t="n">
        <f aca="false">IF(COUNTIFS($B$2:B2688,B2688,$T$2:T2688,T2688)=1,1,0)</f>
        <v>0</v>
      </c>
    </row>
    <row r="2689" customFormat="false" ht="15" hidden="false" customHeight="false" outlineLevel="0" collapsed="false">
      <c r="A2689" s="13" t="s">
        <v>3553</v>
      </c>
      <c r="B2689" s="13" t="s">
        <v>2110</v>
      </c>
      <c r="C2689" s="13" t="n">
        <v>1600</v>
      </c>
      <c r="D2689" s="13" t="n">
        <v>2</v>
      </c>
      <c r="E2689" s="13" t="n">
        <v>529.413333333333</v>
      </c>
      <c r="F2689" s="13" t="s">
        <v>5325</v>
      </c>
      <c r="G2689" s="13" t="s">
        <v>5289</v>
      </c>
      <c r="H2689" s="13" t="s">
        <v>5289</v>
      </c>
      <c r="I2689" s="13" t="s">
        <v>5289</v>
      </c>
      <c r="J2689" s="13" t="s">
        <v>5289</v>
      </c>
      <c r="K2689" s="13" t="s">
        <v>5289</v>
      </c>
      <c r="L2689" s="13" t="n">
        <v>3386460165969</v>
      </c>
      <c r="M2689" s="13"/>
      <c r="N2689" s="13" t="n">
        <v>3386460165969</v>
      </c>
      <c r="O2689" s="13"/>
      <c r="P2689" s="13" t="s">
        <v>5291</v>
      </c>
      <c r="Q2689" s="13" t="s">
        <v>5289</v>
      </c>
      <c r="R2689" s="13" t="s">
        <v>5292</v>
      </c>
      <c r="S2689" s="13" t="s">
        <v>5293</v>
      </c>
      <c r="T2689" s="13" t="s">
        <v>5</v>
      </c>
      <c r="U2689" s="13" t="s">
        <v>43</v>
      </c>
      <c r="V2689" s="13" t="n">
        <f aca="false">IF(COUNTIF($B$2:B2689,B2689)=1,1,0)</f>
        <v>0</v>
      </c>
      <c r="W2689" s="13" t="n">
        <f aca="false">IF(COUNTIFS($B$2:B2689,B2689,$T$2:T2689,T2689)=1,1,0)</f>
        <v>0</v>
      </c>
    </row>
    <row r="2690" customFormat="false" ht="15" hidden="false" customHeight="false" outlineLevel="0" collapsed="false">
      <c r="A2690" s="13" t="s">
        <v>1007</v>
      </c>
      <c r="B2690" s="13" t="s">
        <v>153</v>
      </c>
      <c r="C2690" s="13" t="n">
        <v>1600</v>
      </c>
      <c r="D2690" s="13" t="n">
        <v>2</v>
      </c>
      <c r="E2690" s="13" t="n">
        <v>528</v>
      </c>
      <c r="F2690" s="13" t="s">
        <v>5325</v>
      </c>
      <c r="G2690" s="13" t="s">
        <v>5289</v>
      </c>
      <c r="H2690" s="13" t="s">
        <v>5289</v>
      </c>
      <c r="I2690" s="13" t="s">
        <v>5289</v>
      </c>
      <c r="J2690" s="13" t="s">
        <v>5289</v>
      </c>
      <c r="K2690" s="13" t="s">
        <v>5289</v>
      </c>
      <c r="L2690" s="13" t="n">
        <v>8011003901630</v>
      </c>
      <c r="M2690" s="13"/>
      <c r="N2690" s="13" t="n">
        <v>8011003901630</v>
      </c>
      <c r="O2690" s="13"/>
      <c r="P2690" s="13" t="s">
        <v>5291</v>
      </c>
      <c r="Q2690" s="13" t="s">
        <v>5289</v>
      </c>
      <c r="R2690" s="13" t="s">
        <v>5292</v>
      </c>
      <c r="S2690" s="13" t="s">
        <v>5293</v>
      </c>
      <c r="T2690" s="13" t="s">
        <v>5</v>
      </c>
      <c r="U2690" s="13" t="s">
        <v>43</v>
      </c>
      <c r="V2690" s="13" t="n">
        <f aca="false">IF(COUNTIF($B$2:B2690,B2690)=1,1,0)</f>
        <v>0</v>
      </c>
      <c r="W2690" s="13" t="n">
        <f aca="false">IF(COUNTIFS($B$2:B2690,B2690,$T$2:T2690,T2690)=1,1,0)</f>
        <v>0</v>
      </c>
    </row>
    <row r="2691" customFormat="false" ht="15" hidden="false" customHeight="false" outlineLevel="0" collapsed="false">
      <c r="A2691" s="13" t="s">
        <v>1006</v>
      </c>
      <c r="B2691" s="13" t="s">
        <v>50</v>
      </c>
      <c r="C2691" s="13" t="n">
        <v>1600</v>
      </c>
      <c r="D2691" s="13" t="n">
        <v>2</v>
      </c>
      <c r="E2691" s="13" t="n">
        <v>790.98</v>
      </c>
      <c r="F2691" s="13" t="s">
        <v>5325</v>
      </c>
      <c r="G2691" s="13" t="s">
        <v>5289</v>
      </c>
      <c r="H2691" s="13" t="s">
        <v>5289</v>
      </c>
      <c r="I2691" s="13" t="s">
        <v>5289</v>
      </c>
      <c r="J2691" s="13" t="s">
        <v>5289</v>
      </c>
      <c r="K2691" s="13" t="s">
        <v>5289</v>
      </c>
      <c r="L2691" s="13" t="n">
        <v>3349668614523</v>
      </c>
      <c r="M2691" s="13"/>
      <c r="N2691" s="13" t="n">
        <v>3349668614523</v>
      </c>
      <c r="O2691" s="13"/>
      <c r="P2691" s="13" t="s">
        <v>5291</v>
      </c>
      <c r="Q2691" s="13" t="s">
        <v>5289</v>
      </c>
      <c r="R2691" s="13" t="s">
        <v>5292</v>
      </c>
      <c r="S2691" s="13" t="s">
        <v>5293</v>
      </c>
      <c r="T2691" s="13" t="s">
        <v>5</v>
      </c>
      <c r="U2691" s="13" t="s">
        <v>43</v>
      </c>
      <c r="V2691" s="13" t="n">
        <f aca="false">IF(COUNTIF($B$2:B2691,B2691)=1,1,0)</f>
        <v>0</v>
      </c>
      <c r="W2691" s="13" t="n">
        <f aca="false">IF(COUNTIFS($B$2:B2691,B2691,$T$2:T2691,T2691)=1,1,0)</f>
        <v>0</v>
      </c>
    </row>
    <row r="2692" customFormat="false" ht="15" hidden="false" customHeight="false" outlineLevel="0" collapsed="false">
      <c r="A2692" s="13" t="s">
        <v>159</v>
      </c>
      <c r="B2692" s="13" t="s">
        <v>72</v>
      </c>
      <c r="C2692" s="13" t="n">
        <v>1600</v>
      </c>
      <c r="D2692" s="13" t="n">
        <v>2</v>
      </c>
      <c r="E2692" s="13" t="n">
        <v>789.8</v>
      </c>
      <c r="F2692" s="13" t="s">
        <v>5325</v>
      </c>
      <c r="G2692" s="13" t="s">
        <v>5289</v>
      </c>
      <c r="H2692" s="13" t="s">
        <v>5289</v>
      </c>
      <c r="I2692" s="13" t="s">
        <v>5289</v>
      </c>
      <c r="J2692" s="13" t="s">
        <v>5289</v>
      </c>
      <c r="K2692" s="13" t="s">
        <v>5289</v>
      </c>
      <c r="L2692" s="13"/>
      <c r="M2692" s="13"/>
      <c r="N2692" s="13" t="n">
        <v>3614273961752</v>
      </c>
      <c r="O2692" s="13"/>
      <c r="P2692" s="13" t="s">
        <v>5291</v>
      </c>
      <c r="Q2692" s="13" t="s">
        <v>5289</v>
      </c>
      <c r="R2692" s="13" t="s">
        <v>5292</v>
      </c>
      <c r="S2692" s="13" t="s">
        <v>5293</v>
      </c>
      <c r="T2692" s="13" t="s">
        <v>5</v>
      </c>
      <c r="U2692" s="13" t="s">
        <v>43</v>
      </c>
      <c r="V2692" s="13" t="n">
        <f aca="false">IF(COUNTIF($B$2:B2692,B2692)=1,1,0)</f>
        <v>0</v>
      </c>
      <c r="W2692" s="13" t="n">
        <f aca="false">IF(COUNTIFS($B$2:B2692,B2692,$T$2:T2692,T2692)=1,1,0)</f>
        <v>0</v>
      </c>
    </row>
    <row r="2693" customFormat="false" ht="15" hidden="false" customHeight="false" outlineLevel="0" collapsed="false">
      <c r="A2693" s="13" t="s">
        <v>988</v>
      </c>
      <c r="B2693" s="13" t="s">
        <v>315</v>
      </c>
      <c r="C2693" s="13" t="n">
        <v>1600</v>
      </c>
      <c r="D2693" s="13" t="n">
        <v>5</v>
      </c>
      <c r="E2693" s="13" t="n">
        <v>262.4</v>
      </c>
      <c r="F2693" s="13" t="s">
        <v>5288</v>
      </c>
      <c r="G2693" s="13" t="s">
        <v>5289</v>
      </c>
      <c r="H2693" s="13" t="s">
        <v>5289</v>
      </c>
      <c r="I2693" s="13" t="s">
        <v>5289</v>
      </c>
      <c r="J2693" s="13" t="s">
        <v>5289</v>
      </c>
      <c r="K2693" s="13" t="s">
        <v>5289</v>
      </c>
      <c r="L2693" s="13" t="n">
        <v>3605973048416</v>
      </c>
      <c r="M2693" s="13"/>
      <c r="N2693" s="13" t="n">
        <v>3605973048416</v>
      </c>
      <c r="O2693" s="13"/>
      <c r="P2693" s="13" t="s">
        <v>5291</v>
      </c>
      <c r="Q2693" s="13" t="s">
        <v>5289</v>
      </c>
      <c r="R2693" s="13" t="s">
        <v>5292</v>
      </c>
      <c r="S2693" s="13" t="s">
        <v>5293</v>
      </c>
      <c r="T2693" s="13" t="s">
        <v>5</v>
      </c>
      <c r="U2693" s="13" t="s">
        <v>43</v>
      </c>
      <c r="V2693" s="13" t="n">
        <f aca="false">IF(COUNTIF($B$2:B2693,B2693)=1,1,0)</f>
        <v>0</v>
      </c>
      <c r="W2693" s="13" t="n">
        <f aca="false">IF(COUNTIFS($B$2:B2693,B2693,$T$2:T2693,T2693)=1,1,0)</f>
        <v>0</v>
      </c>
    </row>
    <row r="2694" customFormat="false" ht="15" hidden="false" customHeight="false" outlineLevel="0" collapsed="false">
      <c r="A2694" s="13" t="s">
        <v>567</v>
      </c>
      <c r="B2694" s="13" t="s">
        <v>54</v>
      </c>
      <c r="C2694" s="13" t="n">
        <v>1600</v>
      </c>
      <c r="D2694" s="13" t="n">
        <v>2</v>
      </c>
      <c r="E2694" s="13" t="n">
        <v>521.703333333333</v>
      </c>
      <c r="F2694" s="13" t="s">
        <v>5325</v>
      </c>
      <c r="G2694" s="13" t="s">
        <v>5289</v>
      </c>
      <c r="H2694" s="13" t="s">
        <v>5289</v>
      </c>
      <c r="I2694" s="13" t="s">
        <v>5289</v>
      </c>
      <c r="J2694" s="13" t="s">
        <v>5289</v>
      </c>
      <c r="K2694" s="13" t="s">
        <v>5292</v>
      </c>
      <c r="L2694" s="13"/>
      <c r="M2694" s="13"/>
      <c r="N2694" s="13" t="n">
        <v>768614224457</v>
      </c>
      <c r="O2694" s="13"/>
      <c r="P2694" s="13" t="s">
        <v>5291</v>
      </c>
      <c r="Q2694" s="13" t="s">
        <v>5289</v>
      </c>
      <c r="R2694" s="13" t="s">
        <v>5292</v>
      </c>
      <c r="S2694" s="13" t="s">
        <v>5293</v>
      </c>
      <c r="T2694" s="13" t="s">
        <v>5</v>
      </c>
      <c r="U2694" s="13" t="s">
        <v>43</v>
      </c>
      <c r="V2694" s="13" t="n">
        <f aca="false">IF(COUNTIF($B$2:B2694,B2694)=1,1,0)</f>
        <v>0</v>
      </c>
      <c r="W2694" s="13" t="n">
        <f aca="false">IF(COUNTIFS($B$2:B2694,B2694,$T$2:T2694,T2694)=1,1,0)</f>
        <v>0</v>
      </c>
    </row>
    <row r="2695" customFormat="false" ht="15" hidden="false" customHeight="false" outlineLevel="0" collapsed="false">
      <c r="A2695" s="13" t="s">
        <v>854</v>
      </c>
      <c r="B2695" s="13" t="s">
        <v>124</v>
      </c>
      <c r="C2695" s="13" t="n">
        <v>1600</v>
      </c>
      <c r="D2695" s="13" t="n">
        <v>2</v>
      </c>
      <c r="E2695" s="13" t="n">
        <v>780.18</v>
      </c>
      <c r="F2695" s="13" t="s">
        <v>5325</v>
      </c>
      <c r="G2695" s="13" t="s">
        <v>5289</v>
      </c>
      <c r="H2695" s="13" t="s">
        <v>5289</v>
      </c>
      <c r="I2695" s="13" t="s">
        <v>5289</v>
      </c>
      <c r="J2695" s="13" t="s">
        <v>5289</v>
      </c>
      <c r="K2695" s="13" t="s">
        <v>5289</v>
      </c>
      <c r="L2695" s="13" t="n">
        <v>7908966560985</v>
      </c>
      <c r="M2695" s="13"/>
      <c r="N2695" s="13" t="n">
        <v>7908966560985</v>
      </c>
      <c r="O2695" s="13"/>
      <c r="P2695" s="13" t="s">
        <v>5291</v>
      </c>
      <c r="Q2695" s="13" t="s">
        <v>5289</v>
      </c>
      <c r="R2695" s="13" t="s">
        <v>5292</v>
      </c>
      <c r="S2695" s="13" t="s">
        <v>5293</v>
      </c>
      <c r="T2695" s="13" t="s">
        <v>5</v>
      </c>
      <c r="U2695" s="13" t="s">
        <v>43</v>
      </c>
      <c r="V2695" s="13" t="n">
        <f aca="false">IF(COUNTIF($B$2:B2695,B2695)=1,1,0)</f>
        <v>0</v>
      </c>
      <c r="W2695" s="13" t="n">
        <f aca="false">IF(COUNTIFS($B$2:B2695,B2695,$T$2:T2695,T2695)=1,1,0)</f>
        <v>0</v>
      </c>
    </row>
    <row r="2696" customFormat="false" ht="15" hidden="false" customHeight="false" outlineLevel="0" collapsed="false">
      <c r="A2696" s="13" t="s">
        <v>1015</v>
      </c>
      <c r="B2696" s="13" t="s">
        <v>177</v>
      </c>
      <c r="C2696" s="13" t="n">
        <v>1600</v>
      </c>
      <c r="D2696" s="13" t="n">
        <v>5</v>
      </c>
      <c r="E2696" s="13" t="n">
        <v>155.61</v>
      </c>
      <c r="F2696" s="13" t="s">
        <v>5325</v>
      </c>
      <c r="G2696" s="13" t="s">
        <v>5289</v>
      </c>
      <c r="H2696" s="13" t="s">
        <v>5289</v>
      </c>
      <c r="I2696" s="13" t="s">
        <v>5289</v>
      </c>
      <c r="J2696" s="13" t="s">
        <v>5289</v>
      </c>
      <c r="K2696" s="13" t="s">
        <v>5289</v>
      </c>
      <c r="L2696" s="13"/>
      <c r="M2696" s="13"/>
      <c r="N2696" s="13" t="n">
        <v>3616305169297</v>
      </c>
      <c r="O2696" s="13"/>
      <c r="P2696" s="13" t="s">
        <v>5291</v>
      </c>
      <c r="Q2696" s="13" t="s">
        <v>5289</v>
      </c>
      <c r="R2696" s="13" t="s">
        <v>5292</v>
      </c>
      <c r="S2696" s="13" t="s">
        <v>5293</v>
      </c>
      <c r="T2696" s="13" t="s">
        <v>5</v>
      </c>
      <c r="U2696" s="13" t="s">
        <v>43</v>
      </c>
      <c r="V2696" s="13" t="n">
        <f aca="false">IF(COUNTIF($B$2:B2696,B2696)=1,1,0)</f>
        <v>0</v>
      </c>
      <c r="W2696" s="13" t="n">
        <f aca="false">IF(COUNTIFS($B$2:B2696,B2696,$T$2:T2696,T2696)=1,1,0)</f>
        <v>0</v>
      </c>
    </row>
    <row r="2697" customFormat="false" ht="15" hidden="false" customHeight="false" outlineLevel="0" collapsed="false">
      <c r="A2697" s="13" t="s">
        <v>330</v>
      </c>
      <c r="B2697" s="13" t="s">
        <v>329</v>
      </c>
      <c r="C2697" s="13" t="n">
        <v>1600</v>
      </c>
      <c r="D2697" s="13" t="n">
        <v>5</v>
      </c>
      <c r="E2697" s="13" t="n">
        <v>310.212</v>
      </c>
      <c r="F2697" s="13" t="s">
        <v>5325</v>
      </c>
      <c r="G2697" s="13" t="s">
        <v>5289</v>
      </c>
      <c r="H2697" s="13" t="s">
        <v>5289</v>
      </c>
      <c r="I2697" s="13" t="s">
        <v>5289</v>
      </c>
      <c r="J2697" s="13" t="s">
        <v>5289</v>
      </c>
      <c r="K2697" s="13" t="s">
        <v>5289</v>
      </c>
      <c r="L2697" s="13" t="n">
        <v>3137370361343</v>
      </c>
      <c r="M2697" s="13"/>
      <c r="N2697" s="13" t="n">
        <v>3137370361343</v>
      </c>
      <c r="O2697" s="13"/>
      <c r="P2697" s="13" t="s">
        <v>5291</v>
      </c>
      <c r="Q2697" s="13" t="s">
        <v>5289</v>
      </c>
      <c r="R2697" s="13" t="s">
        <v>5292</v>
      </c>
      <c r="S2697" s="13" t="s">
        <v>5293</v>
      </c>
      <c r="T2697" s="13" t="s">
        <v>5</v>
      </c>
      <c r="U2697" s="13" t="s">
        <v>43</v>
      </c>
      <c r="V2697" s="13" t="n">
        <f aca="false">IF(COUNTIF($B$2:B2697,B2697)=1,1,0)</f>
        <v>0</v>
      </c>
      <c r="W2697" s="13" t="n">
        <f aca="false">IF(COUNTIFS($B$2:B2697,B2697,$T$2:T2697,T2697)=1,1,0)</f>
        <v>0</v>
      </c>
    </row>
    <row r="2698" customFormat="false" ht="15" hidden="false" customHeight="false" outlineLevel="0" collapsed="false">
      <c r="A2698" s="13" t="s">
        <v>785</v>
      </c>
      <c r="B2698" s="13" t="s">
        <v>50</v>
      </c>
      <c r="C2698" s="13" t="n">
        <v>1500</v>
      </c>
      <c r="D2698" s="13" t="n">
        <v>2</v>
      </c>
      <c r="E2698" s="13" t="n">
        <v>773.94</v>
      </c>
      <c r="F2698" s="13" t="s">
        <v>5325</v>
      </c>
      <c r="G2698" s="13" t="s">
        <v>5289</v>
      </c>
      <c r="H2698" s="13" t="s">
        <v>5292</v>
      </c>
      <c r="I2698" s="13" t="s">
        <v>5289</v>
      </c>
      <c r="J2698" s="13" t="s">
        <v>5289</v>
      </c>
      <c r="K2698" s="13" t="s">
        <v>5289</v>
      </c>
      <c r="L2698" s="13" t="n">
        <v>3349668614530</v>
      </c>
      <c r="M2698" s="13"/>
      <c r="N2698" s="13" t="n">
        <v>3349668614530</v>
      </c>
      <c r="O2698" s="13"/>
      <c r="P2698" s="13" t="s">
        <v>5291</v>
      </c>
      <c r="Q2698" s="13" t="s">
        <v>5289</v>
      </c>
      <c r="R2698" s="13" t="s">
        <v>5292</v>
      </c>
      <c r="S2698" s="13" t="s">
        <v>5293</v>
      </c>
      <c r="T2698" s="13" t="s">
        <v>5</v>
      </c>
      <c r="U2698" s="13" t="s">
        <v>43</v>
      </c>
      <c r="V2698" s="13" t="n">
        <f aca="false">IF(COUNTIF($B$2:B2698,B2698)=1,1,0)</f>
        <v>0</v>
      </c>
      <c r="W2698" s="13" t="n">
        <f aca="false">IF(COUNTIFS($B$2:B2698,B2698,$T$2:T2698,T2698)=1,1,0)</f>
        <v>0</v>
      </c>
    </row>
    <row r="2699" customFormat="false" ht="15" hidden="false" customHeight="false" outlineLevel="0" collapsed="false">
      <c r="A2699" s="13" t="s">
        <v>1033</v>
      </c>
      <c r="B2699" s="13" t="s">
        <v>54</v>
      </c>
      <c r="C2699" s="13" t="n">
        <v>1500</v>
      </c>
      <c r="D2699" s="13" t="n">
        <v>1</v>
      </c>
      <c r="E2699" s="13" t="n">
        <v>1547.4</v>
      </c>
      <c r="F2699" s="13" t="s">
        <v>5288</v>
      </c>
      <c r="G2699" s="13" t="s">
        <v>5289</v>
      </c>
      <c r="H2699" s="13" t="s">
        <v>5292</v>
      </c>
      <c r="I2699" s="13" t="s">
        <v>5289</v>
      </c>
      <c r="J2699" s="13" t="s">
        <v>5289</v>
      </c>
      <c r="K2699" s="13" t="s">
        <v>5289</v>
      </c>
      <c r="L2699" s="13" t="n">
        <v>729238212596</v>
      </c>
      <c r="M2699" s="13"/>
      <c r="N2699" s="13" t="n">
        <v>729238212596</v>
      </c>
      <c r="O2699" s="13"/>
      <c r="P2699" s="13" t="s">
        <v>5291</v>
      </c>
      <c r="Q2699" s="13" t="s">
        <v>5289</v>
      </c>
      <c r="R2699" s="13" t="s">
        <v>5292</v>
      </c>
      <c r="S2699" s="13" t="s">
        <v>5293</v>
      </c>
      <c r="T2699" s="13" t="s">
        <v>5</v>
      </c>
      <c r="U2699" s="13" t="s">
        <v>43</v>
      </c>
      <c r="V2699" s="13" t="n">
        <f aca="false">IF(COUNTIF($B$2:B2699,B2699)=1,1,0)</f>
        <v>0</v>
      </c>
      <c r="W2699" s="13" t="n">
        <f aca="false">IF(COUNTIFS($B$2:B2699,B2699,$T$2:T2699,T2699)=1,1,0)</f>
        <v>0</v>
      </c>
    </row>
    <row r="2700" customFormat="false" ht="15" hidden="false" customHeight="false" outlineLevel="0" collapsed="false">
      <c r="A2700" s="13" t="s">
        <v>524</v>
      </c>
      <c r="B2700" s="13" t="s">
        <v>105</v>
      </c>
      <c r="C2700" s="13" t="n">
        <v>1500</v>
      </c>
      <c r="D2700" s="13" t="n">
        <v>2</v>
      </c>
      <c r="E2700" s="13" t="n">
        <v>770.225</v>
      </c>
      <c r="F2700" s="13" t="s">
        <v>5325</v>
      </c>
      <c r="G2700" s="13" t="s">
        <v>5289</v>
      </c>
      <c r="H2700" s="13" t="s">
        <v>5292</v>
      </c>
      <c r="I2700" s="13" t="s">
        <v>5289</v>
      </c>
      <c r="J2700" s="13" t="s">
        <v>5289</v>
      </c>
      <c r="K2700" s="13" t="s">
        <v>5289</v>
      </c>
      <c r="L2700" s="13" t="n">
        <v>3616305480620</v>
      </c>
      <c r="M2700" s="13"/>
      <c r="N2700" s="13" t="n">
        <v>3616305480620</v>
      </c>
      <c r="O2700" s="13"/>
      <c r="P2700" s="13" t="s">
        <v>5297</v>
      </c>
      <c r="Q2700" s="13" t="s">
        <v>5289</v>
      </c>
      <c r="R2700" s="13" t="s">
        <v>5292</v>
      </c>
      <c r="S2700" s="13" t="s">
        <v>5293</v>
      </c>
      <c r="T2700" s="13" t="s">
        <v>5</v>
      </c>
      <c r="U2700" s="13" t="s">
        <v>43</v>
      </c>
      <c r="V2700" s="13" t="n">
        <f aca="false">IF(COUNTIF($B$2:B2700,B2700)=1,1,0)</f>
        <v>0</v>
      </c>
      <c r="W2700" s="13" t="n">
        <f aca="false">IF(COUNTIFS($B$2:B2700,B2700,$T$2:T2700,T2700)=1,1,0)</f>
        <v>0</v>
      </c>
    </row>
    <row r="2701" customFormat="false" ht="15" hidden="false" customHeight="false" outlineLevel="0" collapsed="false">
      <c r="A2701" s="13" t="s">
        <v>1048</v>
      </c>
      <c r="B2701" s="13" t="s">
        <v>72</v>
      </c>
      <c r="C2701" s="13" t="n">
        <v>1500</v>
      </c>
      <c r="D2701" s="13" t="n">
        <v>2</v>
      </c>
      <c r="E2701" s="13" t="n">
        <v>513.41</v>
      </c>
      <c r="F2701" s="13" t="s">
        <v>5325</v>
      </c>
      <c r="G2701" s="13" t="s">
        <v>5292</v>
      </c>
      <c r="H2701" s="13" t="s">
        <v>5289</v>
      </c>
      <c r="I2701" s="13" t="s">
        <v>5289</v>
      </c>
      <c r="J2701" s="13" t="s">
        <v>5289</v>
      </c>
      <c r="K2701" s="13" t="s">
        <v>5289</v>
      </c>
      <c r="L2701" s="13"/>
      <c r="M2701" s="13"/>
      <c r="N2701" s="13" t="n">
        <v>3614273760713</v>
      </c>
      <c r="O2701" s="13"/>
      <c r="P2701" s="13" t="s">
        <v>5291</v>
      </c>
      <c r="Q2701" s="13" t="s">
        <v>5289</v>
      </c>
      <c r="R2701" s="13" t="s">
        <v>5292</v>
      </c>
      <c r="S2701" s="13" t="s">
        <v>5293</v>
      </c>
      <c r="T2701" s="13" t="s">
        <v>5</v>
      </c>
      <c r="U2701" s="13" t="s">
        <v>43</v>
      </c>
      <c r="V2701" s="13" t="n">
        <f aca="false">IF(COUNTIF($B$2:B2701,B2701)=1,1,0)</f>
        <v>0</v>
      </c>
      <c r="W2701" s="13" t="n">
        <f aca="false">IF(COUNTIFS($B$2:B2701,B2701,$T$2:T2701,T2701)=1,1,0)</f>
        <v>0</v>
      </c>
    </row>
    <row r="2702" customFormat="false" ht="15" hidden="false" customHeight="false" outlineLevel="0" collapsed="false">
      <c r="A2702" s="13" t="s">
        <v>1027</v>
      </c>
      <c r="B2702" s="13" t="s">
        <v>50</v>
      </c>
      <c r="C2702" s="13" t="n">
        <v>1500</v>
      </c>
      <c r="D2702" s="13" t="n">
        <v>2</v>
      </c>
      <c r="E2702" s="13" t="n">
        <v>384.9625</v>
      </c>
      <c r="F2702" s="13" t="s">
        <v>5325</v>
      </c>
      <c r="G2702" s="13" t="s">
        <v>5289</v>
      </c>
      <c r="H2702" s="13" t="s">
        <v>5292</v>
      </c>
      <c r="I2702" s="13" t="s">
        <v>5289</v>
      </c>
      <c r="J2702" s="13" t="s">
        <v>5289</v>
      </c>
      <c r="K2702" s="13" t="s">
        <v>5289</v>
      </c>
      <c r="L2702" s="13" t="n">
        <v>3349668566730</v>
      </c>
      <c r="M2702" s="13"/>
      <c r="N2702" s="13" t="n">
        <v>3349668566730</v>
      </c>
      <c r="O2702" s="13"/>
      <c r="P2702" s="13" t="s">
        <v>5291</v>
      </c>
      <c r="Q2702" s="13" t="s">
        <v>5289</v>
      </c>
      <c r="R2702" s="13" t="s">
        <v>5292</v>
      </c>
      <c r="S2702" s="13" t="s">
        <v>5293</v>
      </c>
      <c r="T2702" s="13" t="s">
        <v>5</v>
      </c>
      <c r="U2702" s="13" t="s">
        <v>43</v>
      </c>
      <c r="V2702" s="13" t="n">
        <f aca="false">IF(COUNTIF($B$2:B2702,B2702)=1,1,0)</f>
        <v>0</v>
      </c>
      <c r="W2702" s="13" t="n">
        <f aca="false">IF(COUNTIFS($B$2:B2702,B2702,$T$2:T2702,T2702)=1,1,0)</f>
        <v>0</v>
      </c>
    </row>
    <row r="2703" customFormat="false" ht="15" hidden="false" customHeight="false" outlineLevel="0" collapsed="false">
      <c r="A2703" s="13" t="s">
        <v>3815</v>
      </c>
      <c r="B2703" s="13" t="s">
        <v>2130</v>
      </c>
      <c r="C2703" s="13" t="n">
        <v>1500</v>
      </c>
      <c r="D2703" s="13" t="n">
        <v>2</v>
      </c>
      <c r="E2703" s="13" t="n">
        <v>513</v>
      </c>
      <c r="F2703" s="13" t="s">
        <v>5325</v>
      </c>
      <c r="G2703" s="13" t="s">
        <v>5289</v>
      </c>
      <c r="H2703" s="13" t="s">
        <v>5292</v>
      </c>
      <c r="I2703" s="13" t="s">
        <v>5289</v>
      </c>
      <c r="J2703" s="13" t="s">
        <v>5289</v>
      </c>
      <c r="K2703" s="13" t="s">
        <v>5289</v>
      </c>
      <c r="L2703" s="13" t="n">
        <v>3439600056242</v>
      </c>
      <c r="M2703" s="13"/>
      <c r="N2703" s="13" t="n">
        <v>3439600056242</v>
      </c>
      <c r="O2703" s="13"/>
      <c r="P2703" s="13" t="s">
        <v>5297</v>
      </c>
      <c r="Q2703" s="13" t="s">
        <v>5289</v>
      </c>
      <c r="R2703" s="13" t="s">
        <v>5292</v>
      </c>
      <c r="S2703" s="13" t="s">
        <v>5293</v>
      </c>
      <c r="T2703" s="13" t="s">
        <v>5</v>
      </c>
      <c r="U2703" s="13" t="s">
        <v>183</v>
      </c>
      <c r="V2703" s="13" t="n">
        <f aca="false">IF(COUNTIF($B$2:B2703,B2703)=1,1,0)</f>
        <v>0</v>
      </c>
      <c r="W2703" s="13" t="n">
        <f aca="false">IF(COUNTIFS($B$2:B2703,B2703,$T$2:T2703,T2703)=1,1,0)</f>
        <v>0</v>
      </c>
    </row>
    <row r="2704" customFormat="false" ht="15" hidden="false" customHeight="false" outlineLevel="0" collapsed="false">
      <c r="A2704" s="13" t="s">
        <v>1029</v>
      </c>
      <c r="B2704" s="13" t="s">
        <v>195</v>
      </c>
      <c r="C2704" s="13" t="n">
        <v>1500</v>
      </c>
      <c r="D2704" s="13" t="n">
        <v>2</v>
      </c>
      <c r="E2704" s="13" t="n">
        <v>382</v>
      </c>
      <c r="F2704" s="13" t="s">
        <v>5325</v>
      </c>
      <c r="G2704" s="13" t="s">
        <v>5289</v>
      </c>
      <c r="H2704" s="13" t="s">
        <v>5289</v>
      </c>
      <c r="I2704" s="13" t="s">
        <v>5289</v>
      </c>
      <c r="J2704" s="13" t="s">
        <v>5289</v>
      </c>
      <c r="K2704" s="13" t="s">
        <v>5289</v>
      </c>
      <c r="L2704" s="13" t="n">
        <v>3616304061929</v>
      </c>
      <c r="M2704" s="13"/>
      <c r="N2704" s="13" t="n">
        <v>3616304061929</v>
      </c>
      <c r="O2704" s="13"/>
      <c r="P2704" s="13" t="s">
        <v>5291</v>
      </c>
      <c r="Q2704" s="13" t="s">
        <v>5289</v>
      </c>
      <c r="R2704" s="13" t="s">
        <v>5292</v>
      </c>
      <c r="S2704" s="13" t="s">
        <v>5293</v>
      </c>
      <c r="T2704" s="13" t="s">
        <v>5</v>
      </c>
      <c r="U2704" s="13" t="s">
        <v>43</v>
      </c>
      <c r="V2704" s="13" t="n">
        <f aca="false">IF(COUNTIF($B$2:B2704,B2704)=1,1,0)</f>
        <v>0</v>
      </c>
      <c r="W2704" s="13" t="n">
        <f aca="false">IF(COUNTIFS($B$2:B2704,B2704,$T$2:T2704,T2704)=1,1,0)</f>
        <v>0</v>
      </c>
    </row>
    <row r="2705" customFormat="false" ht="15" hidden="false" customHeight="false" outlineLevel="0" collapsed="false">
      <c r="A2705" s="13" t="s">
        <v>1049</v>
      </c>
      <c r="B2705" s="13" t="s">
        <v>195</v>
      </c>
      <c r="C2705" s="13" t="n">
        <v>1500</v>
      </c>
      <c r="D2705" s="13" t="n">
        <v>2</v>
      </c>
      <c r="E2705" s="13" t="n">
        <v>509.31</v>
      </c>
      <c r="F2705" s="13" t="s">
        <v>5325</v>
      </c>
      <c r="G2705" s="13" t="s">
        <v>5289</v>
      </c>
      <c r="H2705" s="13" t="s">
        <v>5292</v>
      </c>
      <c r="I2705" s="13" t="s">
        <v>5289</v>
      </c>
      <c r="J2705" s="13" t="s">
        <v>5289</v>
      </c>
      <c r="K2705" s="13" t="s">
        <v>5289</v>
      </c>
      <c r="L2705" s="13" t="n">
        <v>3616304967115</v>
      </c>
      <c r="M2705" s="13"/>
      <c r="N2705" s="13" t="n">
        <v>3616304967115</v>
      </c>
      <c r="O2705" s="13"/>
      <c r="P2705" s="13" t="s">
        <v>5291</v>
      </c>
      <c r="Q2705" s="13" t="s">
        <v>5289</v>
      </c>
      <c r="R2705" s="13" t="s">
        <v>5292</v>
      </c>
      <c r="S2705" s="13" t="s">
        <v>5293</v>
      </c>
      <c r="T2705" s="13" t="s">
        <v>5</v>
      </c>
      <c r="U2705" s="13" t="s">
        <v>43</v>
      </c>
      <c r="V2705" s="13" t="n">
        <f aca="false">IF(COUNTIF($B$2:B2705,B2705)=1,1,0)</f>
        <v>0</v>
      </c>
      <c r="W2705" s="13" t="n">
        <f aca="false">IF(COUNTIFS($B$2:B2705,B2705,$T$2:T2705,T2705)=1,1,0)</f>
        <v>0</v>
      </c>
    </row>
    <row r="2706" customFormat="false" ht="15" hidden="false" customHeight="false" outlineLevel="0" collapsed="false">
      <c r="A2706" s="13" t="s">
        <v>1036</v>
      </c>
      <c r="B2706" s="13" t="s">
        <v>195</v>
      </c>
      <c r="C2706" s="13" t="n">
        <v>1500</v>
      </c>
      <c r="D2706" s="13" t="n">
        <v>2</v>
      </c>
      <c r="E2706" s="13" t="n">
        <v>509.31</v>
      </c>
      <c r="F2706" s="13" t="s">
        <v>5325</v>
      </c>
      <c r="G2706" s="13" t="s">
        <v>5289</v>
      </c>
      <c r="H2706" s="13" t="s">
        <v>5289</v>
      </c>
      <c r="I2706" s="13" t="s">
        <v>5289</v>
      </c>
      <c r="J2706" s="13" t="s">
        <v>5289</v>
      </c>
      <c r="K2706" s="13" t="s">
        <v>5289</v>
      </c>
      <c r="L2706" s="13" t="n">
        <v>3616304967115</v>
      </c>
      <c r="M2706" s="13"/>
      <c r="N2706" s="13" t="n">
        <v>3616304967115</v>
      </c>
      <c r="O2706" s="13"/>
      <c r="P2706" s="13" t="s">
        <v>5291</v>
      </c>
      <c r="Q2706" s="13" t="s">
        <v>5289</v>
      </c>
      <c r="R2706" s="13" t="s">
        <v>5292</v>
      </c>
      <c r="S2706" s="13" t="s">
        <v>5293</v>
      </c>
      <c r="T2706" s="13" t="s">
        <v>5</v>
      </c>
      <c r="U2706" s="13" t="s">
        <v>43</v>
      </c>
      <c r="V2706" s="13" t="n">
        <f aca="false">IF(COUNTIF($B$2:B2706,B2706)=1,1,0)</f>
        <v>0</v>
      </c>
      <c r="W2706" s="13" t="n">
        <f aca="false">IF(COUNTIFS($B$2:B2706,B2706,$T$2:T2706,T2706)=1,1,0)</f>
        <v>0</v>
      </c>
    </row>
    <row r="2707" customFormat="false" ht="15" hidden="false" customHeight="false" outlineLevel="0" collapsed="false">
      <c r="A2707" s="13" t="s">
        <v>1034</v>
      </c>
      <c r="B2707" s="13" t="s">
        <v>124</v>
      </c>
      <c r="C2707" s="13" t="n">
        <v>1500</v>
      </c>
      <c r="D2707" s="13" t="n">
        <v>2</v>
      </c>
      <c r="E2707" s="13" t="n">
        <v>761.99</v>
      </c>
      <c r="F2707" s="13" t="s">
        <v>5325</v>
      </c>
      <c r="G2707" s="13" t="s">
        <v>5292</v>
      </c>
      <c r="H2707" s="13" t="s">
        <v>5292</v>
      </c>
      <c r="I2707" s="13" t="s">
        <v>5289</v>
      </c>
      <c r="J2707" s="13" t="s">
        <v>5289</v>
      </c>
      <c r="K2707" s="13" t="s">
        <v>5289</v>
      </c>
      <c r="L2707" s="13"/>
      <c r="M2707" s="13"/>
      <c r="N2707" s="13" t="n">
        <v>3614273837828</v>
      </c>
      <c r="O2707" s="13"/>
      <c r="P2707" s="13" t="s">
        <v>5291</v>
      </c>
      <c r="Q2707" s="13" t="s">
        <v>5289</v>
      </c>
      <c r="R2707" s="13" t="s">
        <v>5292</v>
      </c>
      <c r="S2707" s="13" t="s">
        <v>5293</v>
      </c>
      <c r="T2707" s="13" t="s">
        <v>5</v>
      </c>
      <c r="U2707" s="13" t="s">
        <v>43</v>
      </c>
      <c r="V2707" s="13" t="n">
        <f aca="false">IF(COUNTIF($B$2:B2707,B2707)=1,1,0)</f>
        <v>0</v>
      </c>
      <c r="W2707" s="13" t="n">
        <f aca="false">IF(COUNTIFS($B$2:B2707,B2707,$T$2:T2707,T2707)=1,1,0)</f>
        <v>0</v>
      </c>
    </row>
    <row r="2708" customFormat="false" ht="15" hidden="false" customHeight="false" outlineLevel="0" collapsed="false">
      <c r="A2708" s="13" t="s">
        <v>6378</v>
      </c>
      <c r="B2708" s="13" t="s">
        <v>2127</v>
      </c>
      <c r="C2708" s="13" t="n">
        <v>1500</v>
      </c>
      <c r="D2708" s="13" t="n">
        <v>30</v>
      </c>
      <c r="E2708" s="13" t="n">
        <v>52.1562068965517</v>
      </c>
      <c r="F2708" s="13" t="s">
        <v>5288</v>
      </c>
      <c r="G2708" s="13" t="s">
        <v>5289</v>
      </c>
      <c r="H2708" s="13" t="s">
        <v>5289</v>
      </c>
      <c r="I2708" s="13" t="s">
        <v>5292</v>
      </c>
      <c r="J2708" s="13" t="s">
        <v>5289</v>
      </c>
      <c r="K2708" s="13" t="s">
        <v>5292</v>
      </c>
      <c r="L2708" s="13" t="n">
        <v>19045108022</v>
      </c>
      <c r="M2708" s="13"/>
      <c r="N2708" s="13" t="n">
        <v>19045108022</v>
      </c>
      <c r="O2708" s="13"/>
      <c r="P2708" s="13" t="s">
        <v>5291</v>
      </c>
      <c r="Q2708" s="13" t="s">
        <v>5289</v>
      </c>
      <c r="R2708" s="13" t="s">
        <v>5292</v>
      </c>
      <c r="S2708" s="13" t="s">
        <v>5293</v>
      </c>
      <c r="T2708" s="13" t="s">
        <v>5</v>
      </c>
      <c r="U2708" s="13" t="s">
        <v>85</v>
      </c>
      <c r="V2708" s="13" t="n">
        <f aca="false">IF(COUNTIF($B$2:B2708,B2708)=1,1,0)</f>
        <v>0</v>
      </c>
      <c r="W2708" s="13" t="n">
        <f aca="false">IF(COUNTIFS($B$2:B2708,B2708,$T$2:T2708,T2708)=1,1,0)</f>
        <v>0</v>
      </c>
    </row>
    <row r="2709" customFormat="false" ht="15" hidden="false" customHeight="false" outlineLevel="0" collapsed="false">
      <c r="A2709" s="13" t="s">
        <v>1037</v>
      </c>
      <c r="B2709" s="13" t="s">
        <v>92</v>
      </c>
      <c r="C2709" s="13" t="n">
        <v>1500</v>
      </c>
      <c r="D2709" s="13" t="n">
        <v>2</v>
      </c>
      <c r="E2709" s="13" t="n">
        <v>752.68</v>
      </c>
      <c r="F2709" s="13" t="s">
        <v>5325</v>
      </c>
      <c r="G2709" s="13" t="s">
        <v>5289</v>
      </c>
      <c r="H2709" s="13" t="s">
        <v>5289</v>
      </c>
      <c r="I2709" s="13" t="s">
        <v>5289</v>
      </c>
      <c r="J2709" s="13" t="s">
        <v>5289</v>
      </c>
      <c r="K2709" s="13" t="s">
        <v>5289</v>
      </c>
      <c r="L2709" s="13" t="n">
        <v>3614223113347</v>
      </c>
      <c r="M2709" s="13"/>
      <c r="N2709" s="13" t="n">
        <v>3614223113347</v>
      </c>
      <c r="O2709" s="13"/>
      <c r="P2709" s="13" t="s">
        <v>5291</v>
      </c>
      <c r="Q2709" s="13" t="s">
        <v>5289</v>
      </c>
      <c r="R2709" s="13" t="s">
        <v>5292</v>
      </c>
      <c r="S2709" s="13" t="s">
        <v>5293</v>
      </c>
      <c r="T2709" s="13" t="s">
        <v>5</v>
      </c>
      <c r="U2709" s="13" t="s">
        <v>43</v>
      </c>
      <c r="V2709" s="13" t="n">
        <f aca="false">IF(COUNTIF($B$2:B2709,B2709)=1,1,0)</f>
        <v>0</v>
      </c>
      <c r="W2709" s="13" t="n">
        <f aca="false">IF(COUNTIFS($B$2:B2709,B2709,$T$2:T2709,T2709)=1,1,0)</f>
        <v>0</v>
      </c>
    </row>
    <row r="2710" customFormat="false" ht="15" hidden="false" customHeight="false" outlineLevel="0" collapsed="false">
      <c r="A2710" s="13" t="s">
        <v>1031</v>
      </c>
      <c r="B2710" s="13" t="s">
        <v>50</v>
      </c>
      <c r="C2710" s="13" t="n">
        <v>1500</v>
      </c>
      <c r="D2710" s="13" t="n">
        <v>2</v>
      </c>
      <c r="E2710" s="13" t="n">
        <v>751</v>
      </c>
      <c r="F2710" s="13" t="s">
        <v>5325</v>
      </c>
      <c r="G2710" s="13" t="s">
        <v>5289</v>
      </c>
      <c r="H2710" s="13" t="s">
        <v>5292</v>
      </c>
      <c r="I2710" s="13" t="s">
        <v>5289</v>
      </c>
      <c r="J2710" s="13" t="s">
        <v>5289</v>
      </c>
      <c r="K2710" s="13" t="s">
        <v>5289</v>
      </c>
      <c r="L2710" s="13" t="n">
        <v>3349668596348</v>
      </c>
      <c r="M2710" s="13"/>
      <c r="N2710" s="13" t="n">
        <v>3349668596348</v>
      </c>
      <c r="O2710" s="13"/>
      <c r="P2710" s="13" t="s">
        <v>5297</v>
      </c>
      <c r="Q2710" s="13" t="s">
        <v>5289</v>
      </c>
      <c r="R2710" s="13" t="s">
        <v>5292</v>
      </c>
      <c r="S2710" s="13" t="s">
        <v>5293</v>
      </c>
      <c r="T2710" s="13" t="s">
        <v>5</v>
      </c>
      <c r="U2710" s="13" t="s">
        <v>43</v>
      </c>
      <c r="V2710" s="13" t="n">
        <f aca="false">IF(COUNTIF($B$2:B2710,B2710)=1,1,0)</f>
        <v>0</v>
      </c>
      <c r="W2710" s="13" t="n">
        <f aca="false">IF(COUNTIFS($B$2:B2710,B2710,$T$2:T2710,T2710)=1,1,0)</f>
        <v>0</v>
      </c>
    </row>
    <row r="2711" customFormat="false" ht="15" hidden="false" customHeight="false" outlineLevel="0" collapsed="false">
      <c r="A2711" s="13" t="s">
        <v>1032</v>
      </c>
      <c r="B2711" s="13" t="s">
        <v>124</v>
      </c>
      <c r="C2711" s="13" t="n">
        <v>1500</v>
      </c>
      <c r="D2711" s="13" t="n">
        <v>2</v>
      </c>
      <c r="E2711" s="13" t="n">
        <v>749.73</v>
      </c>
      <c r="F2711" s="13" t="s">
        <v>5288</v>
      </c>
      <c r="G2711" s="13" t="s">
        <v>5289</v>
      </c>
      <c r="H2711" s="13" t="s">
        <v>5292</v>
      </c>
      <c r="I2711" s="13" t="s">
        <v>5289</v>
      </c>
      <c r="J2711" s="13" t="s">
        <v>5289</v>
      </c>
      <c r="K2711" s="13" t="s">
        <v>5289</v>
      </c>
      <c r="L2711" s="13"/>
      <c r="M2711" s="13"/>
      <c r="N2711" s="13" t="n">
        <v>3614274192278</v>
      </c>
      <c r="O2711" s="13"/>
      <c r="P2711" s="13" t="s">
        <v>5291</v>
      </c>
      <c r="Q2711" s="13" t="s">
        <v>5289</v>
      </c>
      <c r="R2711" s="13" t="s">
        <v>5292</v>
      </c>
      <c r="S2711" s="13" t="s">
        <v>5293</v>
      </c>
      <c r="T2711" s="13" t="s">
        <v>5</v>
      </c>
      <c r="U2711" s="13" t="s">
        <v>43</v>
      </c>
      <c r="V2711" s="13" t="n">
        <f aca="false">IF(COUNTIF($B$2:B2711,B2711)=1,1,0)</f>
        <v>0</v>
      </c>
      <c r="W2711" s="13" t="n">
        <f aca="false">IF(COUNTIFS($B$2:B2711,B2711,$T$2:T2711,T2711)=1,1,0)</f>
        <v>0</v>
      </c>
    </row>
    <row r="2712" customFormat="false" ht="15" hidden="false" customHeight="false" outlineLevel="0" collapsed="false">
      <c r="A2712" s="13" t="s">
        <v>418</v>
      </c>
      <c r="B2712" s="13" t="s">
        <v>124</v>
      </c>
      <c r="C2712" s="13" t="n">
        <v>1500</v>
      </c>
      <c r="D2712" s="13" t="n">
        <v>2</v>
      </c>
      <c r="E2712" s="13" t="n">
        <v>749.29</v>
      </c>
      <c r="F2712" s="13" t="s">
        <v>5325</v>
      </c>
      <c r="G2712" s="13" t="s">
        <v>5289</v>
      </c>
      <c r="H2712" s="13" t="s">
        <v>5292</v>
      </c>
      <c r="I2712" s="13" t="s">
        <v>5289</v>
      </c>
      <c r="J2712" s="13" t="s">
        <v>5289</v>
      </c>
      <c r="K2712" s="13" t="s">
        <v>5289</v>
      </c>
      <c r="L2712" s="13" t="n">
        <v>3614273954341</v>
      </c>
      <c r="M2712" s="13"/>
      <c r="N2712" s="13" t="n">
        <v>3614273954341</v>
      </c>
      <c r="O2712" s="13"/>
      <c r="P2712" s="13" t="s">
        <v>5291</v>
      </c>
      <c r="Q2712" s="13" t="s">
        <v>5289</v>
      </c>
      <c r="R2712" s="13" t="s">
        <v>5292</v>
      </c>
      <c r="S2712" s="13" t="s">
        <v>5293</v>
      </c>
      <c r="T2712" s="13" t="s">
        <v>5</v>
      </c>
      <c r="U2712" s="13" t="s">
        <v>43</v>
      </c>
      <c r="V2712" s="13" t="n">
        <f aca="false">IF(COUNTIF($B$2:B2712,B2712)=1,1,0)</f>
        <v>0</v>
      </c>
      <c r="W2712" s="13" t="n">
        <f aca="false">IF(COUNTIFS($B$2:B2712,B2712,$T$2:T2712,T2712)=1,1,0)</f>
        <v>0</v>
      </c>
    </row>
    <row r="2713" customFormat="false" ht="15" hidden="false" customHeight="false" outlineLevel="0" collapsed="false">
      <c r="A2713" s="13" t="s">
        <v>1032</v>
      </c>
      <c r="B2713" s="13" t="s">
        <v>124</v>
      </c>
      <c r="C2713" s="13" t="n">
        <v>1500</v>
      </c>
      <c r="D2713" s="13" t="n">
        <v>2</v>
      </c>
      <c r="E2713" s="13" t="n">
        <v>746.75</v>
      </c>
      <c r="F2713" s="13" t="s">
        <v>5325</v>
      </c>
      <c r="G2713" s="13" t="s">
        <v>5289</v>
      </c>
      <c r="H2713" s="13" t="s">
        <v>5292</v>
      </c>
      <c r="I2713" s="13" t="s">
        <v>5289</v>
      </c>
      <c r="J2713" s="13" t="s">
        <v>5289</v>
      </c>
      <c r="K2713" s="13" t="s">
        <v>5289</v>
      </c>
      <c r="L2713" s="13"/>
      <c r="M2713" s="13"/>
      <c r="N2713" s="13" t="n">
        <v>3614274192278</v>
      </c>
      <c r="O2713" s="13"/>
      <c r="P2713" s="13" t="s">
        <v>5291</v>
      </c>
      <c r="Q2713" s="13" t="s">
        <v>5289</v>
      </c>
      <c r="R2713" s="13" t="s">
        <v>5292</v>
      </c>
      <c r="S2713" s="13" t="s">
        <v>5293</v>
      </c>
      <c r="T2713" s="13" t="s">
        <v>5</v>
      </c>
      <c r="U2713" s="13" t="s">
        <v>43</v>
      </c>
      <c r="V2713" s="13" t="n">
        <f aca="false">IF(COUNTIF($B$2:B2713,B2713)=1,1,0)</f>
        <v>0</v>
      </c>
      <c r="W2713" s="13" t="n">
        <f aca="false">IF(COUNTIFS($B$2:B2713,B2713,$T$2:T2713,T2713)=1,1,0)</f>
        <v>0</v>
      </c>
    </row>
    <row r="2714" customFormat="false" ht="15" hidden="false" customHeight="false" outlineLevel="0" collapsed="false">
      <c r="A2714" s="13" t="s">
        <v>418</v>
      </c>
      <c r="B2714" s="13" t="s">
        <v>124</v>
      </c>
      <c r="C2714" s="13" t="n">
        <v>1500</v>
      </c>
      <c r="D2714" s="13" t="n">
        <v>2</v>
      </c>
      <c r="E2714" s="13" t="n">
        <v>746.22</v>
      </c>
      <c r="F2714" s="13" t="s">
        <v>5288</v>
      </c>
      <c r="G2714" s="13" t="s">
        <v>5289</v>
      </c>
      <c r="H2714" s="13" t="s">
        <v>5292</v>
      </c>
      <c r="I2714" s="13" t="s">
        <v>5289</v>
      </c>
      <c r="J2714" s="13" t="s">
        <v>5289</v>
      </c>
      <c r="K2714" s="13" t="s">
        <v>5289</v>
      </c>
      <c r="L2714" s="13" t="n">
        <v>3614273954341</v>
      </c>
      <c r="M2714" s="13"/>
      <c r="N2714" s="13" t="n">
        <v>3614273954341</v>
      </c>
      <c r="O2714" s="13"/>
      <c r="P2714" s="13" t="s">
        <v>5291</v>
      </c>
      <c r="Q2714" s="13" t="s">
        <v>5289</v>
      </c>
      <c r="R2714" s="13" t="s">
        <v>5292</v>
      </c>
      <c r="S2714" s="13" t="s">
        <v>5293</v>
      </c>
      <c r="T2714" s="13" t="s">
        <v>5</v>
      </c>
      <c r="U2714" s="13" t="s">
        <v>43</v>
      </c>
      <c r="V2714" s="13" t="n">
        <f aca="false">IF(COUNTIF($B$2:B2714,B2714)=1,1,0)</f>
        <v>0</v>
      </c>
      <c r="W2714" s="13" t="n">
        <f aca="false">IF(COUNTIFS($B$2:B2714,B2714,$T$2:T2714,T2714)=1,1,0)</f>
        <v>0</v>
      </c>
    </row>
    <row r="2715" customFormat="false" ht="15" hidden="false" customHeight="false" outlineLevel="0" collapsed="false">
      <c r="A2715" s="13" t="s">
        <v>505</v>
      </c>
      <c r="B2715" s="13" t="s">
        <v>61</v>
      </c>
      <c r="C2715" s="13" t="n">
        <v>1500</v>
      </c>
      <c r="D2715" s="13" t="n">
        <v>2</v>
      </c>
      <c r="E2715" s="13" t="n">
        <v>372.68</v>
      </c>
      <c r="F2715" s="13" t="s">
        <v>5325</v>
      </c>
      <c r="G2715" s="13" t="s">
        <v>5289</v>
      </c>
      <c r="H2715" s="13" t="s">
        <v>5292</v>
      </c>
      <c r="I2715" s="13" t="s">
        <v>5289</v>
      </c>
      <c r="J2715" s="13" t="s">
        <v>5289</v>
      </c>
      <c r="K2715" s="13" t="s">
        <v>5289</v>
      </c>
      <c r="L2715" s="13" t="n">
        <v>3605532612690</v>
      </c>
      <c r="M2715" s="13"/>
      <c r="N2715" s="13" t="n">
        <v>3.61427349089436E+025</v>
      </c>
      <c r="O2715" s="13"/>
      <c r="P2715" s="13" t="s">
        <v>5291</v>
      </c>
      <c r="Q2715" s="13" t="s">
        <v>5289</v>
      </c>
      <c r="R2715" s="13" t="s">
        <v>5292</v>
      </c>
      <c r="S2715" s="13" t="s">
        <v>5293</v>
      </c>
      <c r="T2715" s="13" t="s">
        <v>5</v>
      </c>
      <c r="U2715" s="13" t="s">
        <v>43</v>
      </c>
      <c r="V2715" s="13" t="n">
        <f aca="false">IF(COUNTIF($B$2:B2715,B2715)=1,1,0)</f>
        <v>0</v>
      </c>
      <c r="W2715" s="13" t="n">
        <f aca="false">IF(COUNTIFS($B$2:B2715,B2715,$T$2:T2715,T2715)=1,1,0)</f>
        <v>0</v>
      </c>
    </row>
    <row r="2716" customFormat="false" ht="15" hidden="false" customHeight="false" outlineLevel="0" collapsed="false">
      <c r="A2716" s="13" t="s">
        <v>1030</v>
      </c>
      <c r="B2716" s="13" t="s">
        <v>92</v>
      </c>
      <c r="C2716" s="13" t="n">
        <v>1500</v>
      </c>
      <c r="D2716" s="13" t="n">
        <v>2</v>
      </c>
      <c r="E2716" s="13" t="n">
        <v>741.39</v>
      </c>
      <c r="F2716" s="13" t="s">
        <v>5325</v>
      </c>
      <c r="G2716" s="13" t="s">
        <v>5289</v>
      </c>
      <c r="H2716" s="13" t="s">
        <v>5289</v>
      </c>
      <c r="I2716" s="13" t="s">
        <v>5289</v>
      </c>
      <c r="J2716" s="13" t="s">
        <v>5289</v>
      </c>
      <c r="K2716" s="13" t="s">
        <v>5289</v>
      </c>
      <c r="L2716" s="13"/>
      <c r="M2716" s="13"/>
      <c r="N2716" s="13" t="n">
        <v>3616305186119</v>
      </c>
      <c r="O2716" s="13"/>
      <c r="P2716" s="13" t="s">
        <v>5291</v>
      </c>
      <c r="Q2716" s="13" t="s">
        <v>5289</v>
      </c>
      <c r="R2716" s="13" t="s">
        <v>5292</v>
      </c>
      <c r="S2716" s="13" t="s">
        <v>5293</v>
      </c>
      <c r="T2716" s="13" t="s">
        <v>5</v>
      </c>
      <c r="U2716" s="13" t="s">
        <v>43</v>
      </c>
      <c r="V2716" s="13" t="n">
        <f aca="false">IF(COUNTIF($B$2:B2716,B2716)=1,1,0)</f>
        <v>0</v>
      </c>
      <c r="W2716" s="13" t="n">
        <f aca="false">IF(COUNTIFS($B$2:B2716,B2716,$T$2:T2716,T2716)=1,1,0)</f>
        <v>0</v>
      </c>
    </row>
    <row r="2717" customFormat="false" ht="15" hidden="false" customHeight="false" outlineLevel="0" collapsed="false">
      <c r="A2717" s="13" t="s">
        <v>1050</v>
      </c>
      <c r="B2717" s="13" t="s">
        <v>103</v>
      </c>
      <c r="C2717" s="13" t="n">
        <v>1500</v>
      </c>
      <c r="D2717" s="13" t="n">
        <v>5</v>
      </c>
      <c r="E2717" s="13" t="n">
        <v>184.9775</v>
      </c>
      <c r="F2717" s="13" t="s">
        <v>5325</v>
      </c>
      <c r="G2717" s="13" t="s">
        <v>5289</v>
      </c>
      <c r="H2717" s="13" t="s">
        <v>5292</v>
      </c>
      <c r="I2717" s="13" t="s">
        <v>5289</v>
      </c>
      <c r="J2717" s="13" t="s">
        <v>5289</v>
      </c>
      <c r="K2717" s="13" t="s">
        <v>5289</v>
      </c>
      <c r="L2717" s="13" t="n">
        <v>8411061701034</v>
      </c>
      <c r="M2717" s="13"/>
      <c r="N2717" s="13" t="n">
        <v>8.41106108064184E+025</v>
      </c>
      <c r="O2717" s="13"/>
      <c r="P2717" s="13" t="s">
        <v>5297</v>
      </c>
      <c r="Q2717" s="13" t="s">
        <v>5289</v>
      </c>
      <c r="R2717" s="13" t="s">
        <v>5292</v>
      </c>
      <c r="S2717" s="13" t="s">
        <v>5293</v>
      </c>
      <c r="T2717" s="13" t="s">
        <v>5</v>
      </c>
      <c r="U2717" s="13" t="s">
        <v>43</v>
      </c>
      <c r="V2717" s="13" t="n">
        <f aca="false">IF(COUNTIF($B$2:B2717,B2717)=1,1,0)</f>
        <v>0</v>
      </c>
      <c r="W2717" s="13" t="n">
        <f aca="false">IF(COUNTIFS($B$2:B2717,B2717,$T$2:T2717,T2717)=1,1,0)</f>
        <v>0</v>
      </c>
    </row>
    <row r="2718" customFormat="false" ht="15" hidden="false" customHeight="false" outlineLevel="0" collapsed="false">
      <c r="A2718" s="13" t="s">
        <v>3742</v>
      </c>
      <c r="B2718" s="13" t="s">
        <v>2103</v>
      </c>
      <c r="C2718" s="13" t="n">
        <v>1500</v>
      </c>
      <c r="D2718" s="13" t="n">
        <v>20</v>
      </c>
      <c r="E2718" s="13" t="n">
        <v>61.5475</v>
      </c>
      <c r="F2718" s="13" t="s">
        <v>5325</v>
      </c>
      <c r="G2718" s="13" t="s">
        <v>5289</v>
      </c>
      <c r="H2718" s="13" t="s">
        <v>5289</v>
      </c>
      <c r="I2718" s="13" t="s">
        <v>5292</v>
      </c>
      <c r="J2718" s="13" t="s">
        <v>5289</v>
      </c>
      <c r="K2718" s="13" t="s">
        <v>5289</v>
      </c>
      <c r="L2718" s="13" t="n">
        <v>309973212039</v>
      </c>
      <c r="M2718" s="13"/>
      <c r="N2718" s="13" t="n">
        <v>309973212039</v>
      </c>
      <c r="O2718" s="13"/>
      <c r="P2718" s="13" t="s">
        <v>5291</v>
      </c>
      <c r="Q2718" s="13" t="s">
        <v>5289</v>
      </c>
      <c r="R2718" s="13" t="s">
        <v>5292</v>
      </c>
      <c r="S2718" s="13" t="s">
        <v>5293</v>
      </c>
      <c r="T2718" s="13" t="s">
        <v>5</v>
      </c>
      <c r="U2718" s="13" t="s">
        <v>85</v>
      </c>
      <c r="V2718" s="13" t="n">
        <f aca="false">IF(COUNTIF($B$2:B2718,B2718)=1,1,0)</f>
        <v>0</v>
      </c>
      <c r="W2718" s="13" t="n">
        <f aca="false">IF(COUNTIFS($B$2:B2718,B2718,$T$2:T2718,T2718)=1,1,0)</f>
        <v>0</v>
      </c>
    </row>
    <row r="2719" customFormat="false" ht="15" hidden="false" customHeight="false" outlineLevel="0" collapsed="false">
      <c r="A2719" s="13" t="s">
        <v>1046</v>
      </c>
      <c r="B2719" s="13" t="s">
        <v>54</v>
      </c>
      <c r="C2719" s="13" t="n">
        <v>1500</v>
      </c>
      <c r="D2719" s="13" t="n">
        <v>5</v>
      </c>
      <c r="E2719" s="13" t="n">
        <v>295.386</v>
      </c>
      <c r="F2719" s="13" t="s">
        <v>5288</v>
      </c>
      <c r="G2719" s="13" t="s">
        <v>5289</v>
      </c>
      <c r="H2719" s="13" t="s">
        <v>5292</v>
      </c>
      <c r="I2719" s="13" t="s">
        <v>5289</v>
      </c>
      <c r="J2719" s="13" t="s">
        <v>5289</v>
      </c>
      <c r="K2719" s="13" t="s">
        <v>5289</v>
      </c>
      <c r="L2719" s="13" t="n">
        <v>729238146594</v>
      </c>
      <c r="M2719" s="13"/>
      <c r="N2719" s="13" t="n">
        <v>729238146594</v>
      </c>
      <c r="O2719" s="13"/>
      <c r="P2719" s="13" t="s">
        <v>5291</v>
      </c>
      <c r="Q2719" s="13" t="s">
        <v>5289</v>
      </c>
      <c r="R2719" s="13" t="s">
        <v>5292</v>
      </c>
      <c r="S2719" s="13" t="s">
        <v>5293</v>
      </c>
      <c r="T2719" s="13" t="s">
        <v>5</v>
      </c>
      <c r="U2719" s="13" t="s">
        <v>43</v>
      </c>
      <c r="V2719" s="13" t="n">
        <f aca="false">IF(COUNTIF($B$2:B2719,B2719)=1,1,0)</f>
        <v>0</v>
      </c>
      <c r="W2719" s="13" t="n">
        <f aca="false">IF(COUNTIFS($B$2:B2719,B2719,$T$2:T2719,T2719)=1,1,0)</f>
        <v>0</v>
      </c>
    </row>
    <row r="2720" customFormat="false" ht="15" hidden="false" customHeight="false" outlineLevel="0" collapsed="false">
      <c r="A2720" s="13" t="s">
        <v>1038</v>
      </c>
      <c r="B2720" s="13" t="s">
        <v>54</v>
      </c>
      <c r="C2720" s="13" t="n">
        <v>1500</v>
      </c>
      <c r="D2720" s="13" t="n">
        <v>5</v>
      </c>
      <c r="E2720" s="13" t="n">
        <v>295.168</v>
      </c>
      <c r="F2720" s="13" t="s">
        <v>5325</v>
      </c>
      <c r="G2720" s="13" t="s">
        <v>5289</v>
      </c>
      <c r="H2720" s="13" t="s">
        <v>5292</v>
      </c>
      <c r="I2720" s="13" t="s">
        <v>5289</v>
      </c>
      <c r="J2720" s="13" t="s">
        <v>5289</v>
      </c>
      <c r="K2720" s="13" t="s">
        <v>5289</v>
      </c>
      <c r="L2720" s="13" t="n">
        <v>7898965700997</v>
      </c>
      <c r="M2720" s="13"/>
      <c r="N2720" s="13" t="n">
        <v>7.3085221317379E+037</v>
      </c>
      <c r="O2720" s="13"/>
      <c r="P2720" s="13" t="s">
        <v>5291</v>
      </c>
      <c r="Q2720" s="13" t="s">
        <v>5289</v>
      </c>
      <c r="R2720" s="13" t="s">
        <v>5292</v>
      </c>
      <c r="S2720" s="13" t="s">
        <v>5293</v>
      </c>
      <c r="T2720" s="13" t="s">
        <v>5</v>
      </c>
      <c r="U2720" s="13" t="s">
        <v>43</v>
      </c>
      <c r="V2720" s="13" t="n">
        <f aca="false">IF(COUNTIF($B$2:B2720,B2720)=1,1,0)</f>
        <v>0</v>
      </c>
      <c r="W2720" s="13" t="n">
        <f aca="false">IF(COUNTIFS($B$2:B2720,B2720,$T$2:T2720,T2720)=1,1,0)</f>
        <v>0</v>
      </c>
    </row>
    <row r="2721" customFormat="false" ht="15" hidden="false" customHeight="false" outlineLevel="0" collapsed="false">
      <c r="A2721" s="13" t="s">
        <v>3812</v>
      </c>
      <c r="B2721" s="13" t="s">
        <v>2155</v>
      </c>
      <c r="C2721" s="13" t="n">
        <v>1500</v>
      </c>
      <c r="D2721" s="13" t="n">
        <v>5</v>
      </c>
      <c r="E2721" s="13" t="n">
        <v>147.51</v>
      </c>
      <c r="F2721" s="13" t="s">
        <v>5325</v>
      </c>
      <c r="G2721" s="13" t="s">
        <v>5289</v>
      </c>
      <c r="H2721" s="13" t="s">
        <v>5289</v>
      </c>
      <c r="I2721" s="13" t="s">
        <v>5289</v>
      </c>
      <c r="J2721" s="13" t="s">
        <v>5289</v>
      </c>
      <c r="K2721" s="13" t="s">
        <v>5289</v>
      </c>
      <c r="L2721" s="13" t="n">
        <v>5060926686011</v>
      </c>
      <c r="M2721" s="13"/>
      <c r="N2721" s="13" t="n">
        <v>5060926686011</v>
      </c>
      <c r="O2721" s="13"/>
      <c r="P2721" s="13" t="s">
        <v>5291</v>
      </c>
      <c r="Q2721" s="13" t="s">
        <v>5289</v>
      </c>
      <c r="R2721" s="13" t="s">
        <v>5292</v>
      </c>
      <c r="S2721" s="13" t="s">
        <v>5293</v>
      </c>
      <c r="T2721" s="13" t="s">
        <v>5</v>
      </c>
      <c r="U2721" s="13" t="s">
        <v>85</v>
      </c>
      <c r="V2721" s="13" t="n">
        <f aca="false">IF(COUNTIF($B$2:B2721,B2721)=1,1,0)</f>
        <v>0</v>
      </c>
      <c r="W2721" s="13" t="n">
        <f aca="false">IF(COUNTIFS($B$2:B2721,B2721,$T$2:T2721,T2721)=1,1,0)</f>
        <v>0</v>
      </c>
    </row>
    <row r="2722" customFormat="false" ht="15" hidden="false" customHeight="false" outlineLevel="0" collapsed="false">
      <c r="A2722" s="13" t="s">
        <v>480</v>
      </c>
      <c r="B2722" s="13" t="s">
        <v>50</v>
      </c>
      <c r="C2722" s="13" t="n">
        <v>1500</v>
      </c>
      <c r="D2722" s="13" t="n">
        <v>2</v>
      </c>
      <c r="E2722" s="13" t="n">
        <v>734.19</v>
      </c>
      <c r="F2722" s="13" t="s">
        <v>5325</v>
      </c>
      <c r="G2722" s="13" t="s">
        <v>5289</v>
      </c>
      <c r="H2722" s="13" t="s">
        <v>5289</v>
      </c>
      <c r="I2722" s="13" t="s">
        <v>5289</v>
      </c>
      <c r="J2722" s="13" t="s">
        <v>5289</v>
      </c>
      <c r="K2722" s="13" t="s">
        <v>5289</v>
      </c>
      <c r="L2722" s="13" t="n">
        <v>3349668630042</v>
      </c>
      <c r="M2722" s="13"/>
      <c r="N2722" s="13" t="n">
        <v>3349668630042</v>
      </c>
      <c r="O2722" s="13"/>
      <c r="P2722" s="13" t="s">
        <v>5291</v>
      </c>
      <c r="Q2722" s="13" t="s">
        <v>5289</v>
      </c>
      <c r="R2722" s="13" t="s">
        <v>5292</v>
      </c>
      <c r="S2722" s="13" t="s">
        <v>5293</v>
      </c>
      <c r="T2722" s="13" t="s">
        <v>5</v>
      </c>
      <c r="U2722" s="13" t="s">
        <v>43</v>
      </c>
      <c r="V2722" s="13" t="n">
        <f aca="false">IF(COUNTIF($B$2:B2722,B2722)=1,1,0)</f>
        <v>0</v>
      </c>
      <c r="W2722" s="13" t="n">
        <f aca="false">IF(COUNTIFS($B$2:B2722,B2722,$T$2:T2722,T2722)=1,1,0)</f>
        <v>0</v>
      </c>
    </row>
    <row r="2723" customFormat="false" ht="15" hidden="false" customHeight="false" outlineLevel="0" collapsed="false">
      <c r="A2723" s="13" t="s">
        <v>3653</v>
      </c>
      <c r="B2723" s="13" t="s">
        <v>2131</v>
      </c>
      <c r="C2723" s="13" t="n">
        <v>1500</v>
      </c>
      <c r="D2723" s="13" t="n">
        <v>2</v>
      </c>
      <c r="E2723" s="13" t="n">
        <v>366</v>
      </c>
      <c r="F2723" s="13" t="s">
        <v>5325</v>
      </c>
      <c r="G2723" s="13" t="s">
        <v>5292</v>
      </c>
      <c r="H2723" s="13" t="s">
        <v>5289</v>
      </c>
      <c r="I2723" s="13" t="s">
        <v>5289</v>
      </c>
      <c r="J2723" s="13" t="s">
        <v>5289</v>
      </c>
      <c r="K2723" s="13" t="s">
        <v>5289</v>
      </c>
      <c r="L2723" s="13"/>
      <c r="M2723" s="13"/>
      <c r="N2723" s="13" t="n">
        <v>3423478805958</v>
      </c>
      <c r="O2723" s="13"/>
      <c r="P2723" s="13" t="s">
        <v>5291</v>
      </c>
      <c r="Q2723" s="13" t="s">
        <v>5289</v>
      </c>
      <c r="R2723" s="13" t="s">
        <v>5292</v>
      </c>
      <c r="S2723" s="13" t="s">
        <v>5293</v>
      </c>
      <c r="T2723" s="13" t="s">
        <v>5</v>
      </c>
      <c r="U2723" s="13" t="s">
        <v>43</v>
      </c>
      <c r="V2723" s="13" t="n">
        <f aca="false">IF(COUNTIF($B$2:B2723,B2723)=1,1,0)</f>
        <v>0</v>
      </c>
      <c r="W2723" s="13" t="n">
        <f aca="false">IF(COUNTIFS($B$2:B2723,B2723,$T$2:T2723,T2723)=1,1,0)</f>
        <v>0</v>
      </c>
    </row>
    <row r="2724" customFormat="false" ht="15" hidden="false" customHeight="false" outlineLevel="0" collapsed="false">
      <c r="A2724" s="13" t="s">
        <v>1051</v>
      </c>
      <c r="B2724" s="13" t="s">
        <v>121</v>
      </c>
      <c r="C2724" s="13" t="n">
        <v>1500</v>
      </c>
      <c r="D2724" s="13" t="n">
        <v>10</v>
      </c>
      <c r="E2724" s="13" t="n">
        <v>112.458461538462</v>
      </c>
      <c r="F2724" s="13" t="s">
        <v>5325</v>
      </c>
      <c r="G2724" s="13" t="s">
        <v>5289</v>
      </c>
      <c r="H2724" s="13" t="s">
        <v>5289</v>
      </c>
      <c r="I2724" s="13" t="s">
        <v>5289</v>
      </c>
      <c r="J2724" s="13" t="s">
        <v>5289</v>
      </c>
      <c r="K2724" s="13" t="s">
        <v>5289</v>
      </c>
      <c r="L2724" s="13" t="n">
        <v>7896086927002</v>
      </c>
      <c r="M2724" s="13"/>
      <c r="N2724" s="13" t="n">
        <v>7896086927002</v>
      </c>
      <c r="O2724" s="13"/>
      <c r="P2724" s="13" t="s">
        <v>5291</v>
      </c>
      <c r="Q2724" s="13" t="s">
        <v>5289</v>
      </c>
      <c r="R2724" s="13" t="s">
        <v>5292</v>
      </c>
      <c r="S2724" s="13" t="s">
        <v>5293</v>
      </c>
      <c r="T2724" s="13" t="s">
        <v>5</v>
      </c>
      <c r="U2724" s="13" t="s">
        <v>43</v>
      </c>
      <c r="V2724" s="13" t="n">
        <f aca="false">IF(COUNTIF($B$2:B2724,B2724)=1,1,0)</f>
        <v>0</v>
      </c>
      <c r="W2724" s="13" t="n">
        <f aca="false">IF(COUNTIFS($B$2:B2724,B2724,$T$2:T2724,T2724)=1,1,0)</f>
        <v>0</v>
      </c>
    </row>
    <row r="2725" customFormat="false" ht="15" hidden="false" customHeight="false" outlineLevel="0" collapsed="false">
      <c r="A2725" s="13" t="s">
        <v>125</v>
      </c>
      <c r="B2725" s="13" t="s">
        <v>124</v>
      </c>
      <c r="C2725" s="13" t="n">
        <v>1500</v>
      </c>
      <c r="D2725" s="13" t="n">
        <v>2</v>
      </c>
      <c r="E2725" s="13" t="n">
        <v>728.5</v>
      </c>
      <c r="F2725" s="13" t="s">
        <v>5325</v>
      </c>
      <c r="G2725" s="13" t="s">
        <v>5292</v>
      </c>
      <c r="H2725" s="13" t="s">
        <v>5289</v>
      </c>
      <c r="I2725" s="13" t="s">
        <v>5289</v>
      </c>
      <c r="J2725" s="13" t="s">
        <v>5289</v>
      </c>
      <c r="K2725" s="13" t="s">
        <v>5289</v>
      </c>
      <c r="L2725" s="13"/>
      <c r="M2725" s="13"/>
      <c r="N2725" s="13" t="n">
        <v>3614273953696</v>
      </c>
      <c r="O2725" s="13"/>
      <c r="P2725" s="13" t="s">
        <v>5291</v>
      </c>
      <c r="Q2725" s="13" t="s">
        <v>5289</v>
      </c>
      <c r="R2725" s="13" t="s">
        <v>5292</v>
      </c>
      <c r="S2725" s="13" t="s">
        <v>5293</v>
      </c>
      <c r="T2725" s="13" t="s">
        <v>5</v>
      </c>
      <c r="U2725" s="13" t="s">
        <v>43</v>
      </c>
      <c r="V2725" s="13" t="n">
        <f aca="false">IF(COUNTIF($B$2:B2725,B2725)=1,1,0)</f>
        <v>0</v>
      </c>
      <c r="W2725" s="13" t="n">
        <f aca="false">IF(COUNTIFS($B$2:B2725,B2725,$T$2:T2725,T2725)=1,1,0)</f>
        <v>0</v>
      </c>
    </row>
    <row r="2726" customFormat="false" ht="15" hidden="false" customHeight="false" outlineLevel="0" collapsed="false">
      <c r="A2726" s="13" t="s">
        <v>1052</v>
      </c>
      <c r="B2726" s="13" t="s">
        <v>315</v>
      </c>
      <c r="C2726" s="13" t="n">
        <v>1500</v>
      </c>
      <c r="D2726" s="13" t="n">
        <v>2</v>
      </c>
      <c r="E2726" s="13" t="n">
        <v>728.11</v>
      </c>
      <c r="F2726" s="13" t="s">
        <v>5325</v>
      </c>
      <c r="G2726" s="13" t="s">
        <v>5289</v>
      </c>
      <c r="H2726" s="13" t="s">
        <v>5289</v>
      </c>
      <c r="I2726" s="13" t="s">
        <v>5289</v>
      </c>
      <c r="J2726" s="13" t="s">
        <v>5289</v>
      </c>
      <c r="K2726" s="13" t="s">
        <v>5289</v>
      </c>
      <c r="L2726" s="13" t="n">
        <v>3605972698742</v>
      </c>
      <c r="M2726" s="13"/>
      <c r="N2726" s="13" t="n">
        <v>3605972698742</v>
      </c>
      <c r="O2726" s="13"/>
      <c r="P2726" s="13" t="s">
        <v>5291</v>
      </c>
      <c r="Q2726" s="13" t="s">
        <v>5289</v>
      </c>
      <c r="R2726" s="13" t="s">
        <v>5292</v>
      </c>
      <c r="S2726" s="13" t="s">
        <v>5293</v>
      </c>
      <c r="T2726" s="13" t="s">
        <v>5</v>
      </c>
      <c r="U2726" s="13" t="s">
        <v>43</v>
      </c>
      <c r="V2726" s="13" t="n">
        <f aca="false">IF(COUNTIF($B$2:B2726,B2726)=1,1,0)</f>
        <v>0</v>
      </c>
      <c r="W2726" s="13" t="n">
        <f aca="false">IF(COUNTIFS($B$2:B2726,B2726,$T$2:T2726,T2726)=1,1,0)</f>
        <v>0</v>
      </c>
    </row>
    <row r="2727" customFormat="false" ht="15" hidden="false" customHeight="false" outlineLevel="0" collapsed="false">
      <c r="A2727" s="13" t="s">
        <v>1047</v>
      </c>
      <c r="B2727" s="13" t="s">
        <v>177</v>
      </c>
      <c r="C2727" s="13" t="n">
        <v>1500</v>
      </c>
      <c r="D2727" s="13" t="n">
        <v>2</v>
      </c>
      <c r="E2727" s="13" t="n">
        <v>726</v>
      </c>
      <c r="F2727" s="13" t="s">
        <v>5325</v>
      </c>
      <c r="G2727" s="13" t="s">
        <v>5289</v>
      </c>
      <c r="H2727" s="13" t="s">
        <v>5289</v>
      </c>
      <c r="I2727" s="13" t="s">
        <v>5289</v>
      </c>
      <c r="J2727" s="13" t="s">
        <v>5289</v>
      </c>
      <c r="K2727" s="13" t="s">
        <v>5289</v>
      </c>
      <c r="L2727" s="13" t="n">
        <v>737052339047</v>
      </c>
      <c r="M2727" s="13"/>
      <c r="N2727" s="13" t="n">
        <v>737052339047</v>
      </c>
      <c r="O2727" s="13"/>
      <c r="P2727" s="13" t="s">
        <v>5291</v>
      </c>
      <c r="Q2727" s="13" t="s">
        <v>5289</v>
      </c>
      <c r="R2727" s="13" t="s">
        <v>5292</v>
      </c>
      <c r="S2727" s="13" t="s">
        <v>5293</v>
      </c>
      <c r="T2727" s="13" t="s">
        <v>5</v>
      </c>
      <c r="U2727" s="13" t="s">
        <v>43</v>
      </c>
      <c r="V2727" s="13" t="n">
        <f aca="false">IF(COUNTIF($B$2:B2727,B2727)=1,1,0)</f>
        <v>0</v>
      </c>
      <c r="W2727" s="13" t="n">
        <f aca="false">IF(COUNTIFS($B$2:B2727,B2727,$T$2:T2727,T2727)=1,1,0)</f>
        <v>0</v>
      </c>
    </row>
    <row r="2728" customFormat="false" ht="15" hidden="false" customHeight="false" outlineLevel="0" collapsed="false">
      <c r="A2728" s="13" t="s">
        <v>1035</v>
      </c>
      <c r="B2728" s="13" t="s">
        <v>177</v>
      </c>
      <c r="C2728" s="13" t="n">
        <v>1500</v>
      </c>
      <c r="D2728" s="13" t="n">
        <v>2</v>
      </c>
      <c r="E2728" s="13" t="n">
        <v>726</v>
      </c>
      <c r="F2728" s="13" t="s">
        <v>5325</v>
      </c>
      <c r="G2728" s="13" t="s">
        <v>5289</v>
      </c>
      <c r="H2728" s="13" t="s">
        <v>5292</v>
      </c>
      <c r="I2728" s="13" t="s">
        <v>5289</v>
      </c>
      <c r="J2728" s="13" t="s">
        <v>5289</v>
      </c>
      <c r="K2728" s="13" t="s">
        <v>5289</v>
      </c>
      <c r="L2728" s="13" t="n">
        <v>737052339047</v>
      </c>
      <c r="M2728" s="13"/>
      <c r="N2728" s="13" t="n">
        <v>737052339047</v>
      </c>
      <c r="O2728" s="13"/>
      <c r="P2728" s="13" t="s">
        <v>5291</v>
      </c>
      <c r="Q2728" s="13" t="s">
        <v>5289</v>
      </c>
      <c r="R2728" s="13" t="s">
        <v>5292</v>
      </c>
      <c r="S2728" s="13" t="s">
        <v>5293</v>
      </c>
      <c r="T2728" s="13" t="s">
        <v>5</v>
      </c>
      <c r="U2728" s="13" t="s">
        <v>43</v>
      </c>
      <c r="V2728" s="13" t="n">
        <f aca="false">IF(COUNTIF($B$2:B2728,B2728)=1,1,0)</f>
        <v>0</v>
      </c>
      <c r="W2728" s="13" t="n">
        <f aca="false">IF(COUNTIFS($B$2:B2728,B2728,$T$2:T2728,T2728)=1,1,0)</f>
        <v>0</v>
      </c>
    </row>
    <row r="2729" customFormat="false" ht="15" hidden="false" customHeight="false" outlineLevel="0" collapsed="false">
      <c r="A2729" s="13" t="s">
        <v>447</v>
      </c>
      <c r="B2729" s="13" t="s">
        <v>45</v>
      </c>
      <c r="C2729" s="13" t="n">
        <v>1400</v>
      </c>
      <c r="D2729" s="13" t="n">
        <v>2</v>
      </c>
      <c r="E2729" s="13" t="n">
        <v>725</v>
      </c>
      <c r="F2729" s="13" t="s">
        <v>5288</v>
      </c>
      <c r="G2729" s="13" t="s">
        <v>5289</v>
      </c>
      <c r="H2729" s="13" t="s">
        <v>5292</v>
      </c>
      <c r="I2729" s="13" t="s">
        <v>5289</v>
      </c>
      <c r="J2729" s="13" t="s">
        <v>5289</v>
      </c>
      <c r="K2729" s="13" t="s">
        <v>5289</v>
      </c>
      <c r="L2729" s="13" t="n">
        <v>8435415065191</v>
      </c>
      <c r="M2729" s="13"/>
      <c r="N2729" s="13" t="n">
        <v>8435415065191</v>
      </c>
      <c r="O2729" s="13"/>
      <c r="P2729" s="13" t="s">
        <v>5291</v>
      </c>
      <c r="Q2729" s="13" t="s">
        <v>5289</v>
      </c>
      <c r="R2729" s="13" t="s">
        <v>5292</v>
      </c>
      <c r="S2729" s="13" t="s">
        <v>5293</v>
      </c>
      <c r="T2729" s="13" t="s">
        <v>5</v>
      </c>
      <c r="U2729" s="13" t="s">
        <v>43</v>
      </c>
      <c r="V2729" s="13" t="n">
        <f aca="false">IF(COUNTIF($B$2:B2729,B2729)=1,1,0)</f>
        <v>0</v>
      </c>
      <c r="W2729" s="13" t="n">
        <f aca="false">IF(COUNTIFS($B$2:B2729,B2729,$T$2:T2729,T2729)=1,1,0)</f>
        <v>0</v>
      </c>
    </row>
    <row r="2730" customFormat="false" ht="15" hidden="false" customHeight="false" outlineLevel="0" collapsed="false">
      <c r="A2730" s="13" t="s">
        <v>954</v>
      </c>
      <c r="B2730" s="13" t="s">
        <v>54</v>
      </c>
      <c r="C2730" s="13" t="n">
        <v>1400</v>
      </c>
      <c r="D2730" s="13" t="n">
        <v>2</v>
      </c>
      <c r="E2730" s="13" t="n">
        <v>725</v>
      </c>
      <c r="F2730" s="13" t="s">
        <v>5288</v>
      </c>
      <c r="G2730" s="13" t="s">
        <v>5292</v>
      </c>
      <c r="H2730" s="13" t="s">
        <v>5289</v>
      </c>
      <c r="I2730" s="13" t="s">
        <v>5289</v>
      </c>
      <c r="J2730" s="13" t="s">
        <v>5289</v>
      </c>
      <c r="K2730" s="13" t="s">
        <v>5289</v>
      </c>
      <c r="L2730" s="13" t="n">
        <v>768614209973</v>
      </c>
      <c r="M2730" s="13"/>
      <c r="N2730" s="13" t="n">
        <v>768614209973</v>
      </c>
      <c r="O2730" s="13"/>
      <c r="P2730" s="13" t="s">
        <v>5297</v>
      </c>
      <c r="Q2730" s="13" t="s">
        <v>5289</v>
      </c>
      <c r="R2730" s="13" t="s">
        <v>5292</v>
      </c>
      <c r="S2730" s="13" t="s">
        <v>5293</v>
      </c>
      <c r="T2730" s="13" t="s">
        <v>5</v>
      </c>
      <c r="U2730" s="13" t="s">
        <v>43</v>
      </c>
      <c r="V2730" s="13" t="n">
        <f aca="false">IF(COUNTIF($B$2:B2730,B2730)=1,1,0)</f>
        <v>0</v>
      </c>
      <c r="W2730" s="13" t="n">
        <f aca="false">IF(COUNTIFS($B$2:B2730,B2730,$T$2:T2730,T2730)=1,1,0)</f>
        <v>0</v>
      </c>
    </row>
    <row r="2731" customFormat="false" ht="15" hidden="false" customHeight="false" outlineLevel="0" collapsed="false">
      <c r="A2731" s="13" t="s">
        <v>934</v>
      </c>
      <c r="B2731" s="13" t="s">
        <v>124</v>
      </c>
      <c r="C2731" s="13" t="n">
        <v>1400</v>
      </c>
      <c r="D2731" s="13" t="n">
        <v>2</v>
      </c>
      <c r="E2731" s="13" t="n">
        <v>724.35</v>
      </c>
      <c r="F2731" s="13" t="s">
        <v>5325</v>
      </c>
      <c r="G2731" s="13" t="s">
        <v>5289</v>
      </c>
      <c r="H2731" s="13" t="s">
        <v>5289</v>
      </c>
      <c r="I2731" s="13" t="s">
        <v>5289</v>
      </c>
      <c r="J2731" s="13" t="s">
        <v>5289</v>
      </c>
      <c r="K2731" s="13" t="s">
        <v>5289</v>
      </c>
      <c r="L2731" s="13"/>
      <c r="M2731" s="13"/>
      <c r="N2731" s="13" t="n">
        <v>3614274192278</v>
      </c>
      <c r="O2731" s="13"/>
      <c r="P2731" s="13" t="s">
        <v>5291</v>
      </c>
      <c r="Q2731" s="13" t="s">
        <v>5289</v>
      </c>
      <c r="R2731" s="13" t="s">
        <v>5292</v>
      </c>
      <c r="S2731" s="13" t="s">
        <v>5293</v>
      </c>
      <c r="T2731" s="13" t="s">
        <v>5</v>
      </c>
      <c r="U2731" s="13" t="s">
        <v>43</v>
      </c>
      <c r="V2731" s="13" t="n">
        <f aca="false">IF(COUNTIF($B$2:B2731,B2731)=1,1,0)</f>
        <v>0</v>
      </c>
      <c r="W2731" s="13" t="n">
        <f aca="false">IF(COUNTIFS($B$2:B2731,B2731,$T$2:T2731,T2731)=1,1,0)</f>
        <v>0</v>
      </c>
    </row>
    <row r="2732" customFormat="false" ht="15" hidden="false" customHeight="false" outlineLevel="0" collapsed="false">
      <c r="A2732" s="13" t="s">
        <v>1081</v>
      </c>
      <c r="B2732" s="13" t="s">
        <v>50</v>
      </c>
      <c r="C2732" s="13" t="n">
        <v>1400</v>
      </c>
      <c r="D2732" s="13" t="n">
        <v>2</v>
      </c>
      <c r="E2732" s="13" t="n">
        <v>724</v>
      </c>
      <c r="F2732" s="13" t="s">
        <v>5325</v>
      </c>
      <c r="G2732" s="13" t="s">
        <v>5289</v>
      </c>
      <c r="H2732" s="13" t="s">
        <v>5292</v>
      </c>
      <c r="I2732" s="13" t="s">
        <v>5289</v>
      </c>
      <c r="J2732" s="13" t="s">
        <v>5289</v>
      </c>
      <c r="K2732" s="13" t="s">
        <v>5289</v>
      </c>
      <c r="L2732" s="13" t="n">
        <v>3349668645206</v>
      </c>
      <c r="M2732" s="13"/>
      <c r="N2732" s="13" t="n">
        <v>3349668645206</v>
      </c>
      <c r="O2732" s="13"/>
      <c r="P2732" s="13" t="s">
        <v>5291</v>
      </c>
      <c r="Q2732" s="13" t="s">
        <v>5289</v>
      </c>
      <c r="R2732" s="13" t="s">
        <v>5292</v>
      </c>
      <c r="S2732" s="13" t="s">
        <v>5293</v>
      </c>
      <c r="T2732" s="13" t="s">
        <v>5</v>
      </c>
      <c r="U2732" s="13" t="s">
        <v>43</v>
      </c>
      <c r="V2732" s="13" t="n">
        <f aca="false">IF(COUNTIF($B$2:B2732,B2732)=1,1,0)</f>
        <v>0</v>
      </c>
      <c r="W2732" s="13" t="n">
        <f aca="false">IF(COUNTIFS($B$2:B2732,B2732,$T$2:T2732,T2732)=1,1,0)</f>
        <v>0</v>
      </c>
    </row>
    <row r="2733" customFormat="false" ht="15" hidden="false" customHeight="false" outlineLevel="0" collapsed="false">
      <c r="A2733" s="13" t="s">
        <v>1082</v>
      </c>
      <c r="B2733" s="13" t="s">
        <v>79</v>
      </c>
      <c r="C2733" s="13" t="n">
        <v>1400</v>
      </c>
      <c r="D2733" s="13" t="n">
        <v>2</v>
      </c>
      <c r="E2733" s="13" t="n">
        <v>482</v>
      </c>
      <c r="F2733" s="13" t="s">
        <v>5288</v>
      </c>
      <c r="G2733" s="13" t="s">
        <v>5289</v>
      </c>
      <c r="H2733" s="13" t="s">
        <v>5289</v>
      </c>
      <c r="I2733" s="13" t="s">
        <v>5289</v>
      </c>
      <c r="J2733" s="13" t="s">
        <v>5289</v>
      </c>
      <c r="K2733" s="13" t="s">
        <v>5289</v>
      </c>
      <c r="L2733" s="13"/>
      <c r="M2733" s="13"/>
      <c r="N2733" s="13" t="n">
        <v>8057971188284</v>
      </c>
      <c r="O2733" s="13"/>
      <c r="P2733" s="13" t="s">
        <v>5291</v>
      </c>
      <c r="Q2733" s="13" t="s">
        <v>5289</v>
      </c>
      <c r="R2733" s="13" t="s">
        <v>5292</v>
      </c>
      <c r="S2733" s="13" t="s">
        <v>5293</v>
      </c>
      <c r="T2733" s="13" t="s">
        <v>5</v>
      </c>
      <c r="U2733" s="13" t="s">
        <v>43</v>
      </c>
      <c r="V2733" s="13" t="n">
        <f aca="false">IF(COUNTIF($B$2:B2733,B2733)=1,1,0)</f>
        <v>0</v>
      </c>
      <c r="W2733" s="13" t="n">
        <f aca="false">IF(COUNTIFS($B$2:B2733,B2733,$T$2:T2733,T2733)=1,1,0)</f>
        <v>0</v>
      </c>
    </row>
    <row r="2734" customFormat="false" ht="15" hidden="false" customHeight="false" outlineLevel="0" collapsed="false">
      <c r="A2734" s="13" t="s">
        <v>1083</v>
      </c>
      <c r="B2734" s="13" t="s">
        <v>124</v>
      </c>
      <c r="C2734" s="13" t="n">
        <v>1400</v>
      </c>
      <c r="D2734" s="13" t="n">
        <v>2</v>
      </c>
      <c r="E2734" s="13" t="n">
        <v>722.87</v>
      </c>
      <c r="F2734" s="13" t="s">
        <v>5288</v>
      </c>
      <c r="G2734" s="13" t="s">
        <v>5292</v>
      </c>
      <c r="H2734" s="13" t="s">
        <v>5292</v>
      </c>
      <c r="I2734" s="13" t="s">
        <v>5289</v>
      </c>
      <c r="J2734" s="13" t="s">
        <v>5289</v>
      </c>
      <c r="K2734" s="13" t="s">
        <v>5289</v>
      </c>
      <c r="L2734" s="13" t="n">
        <v>3605521172525</v>
      </c>
      <c r="M2734" s="13"/>
      <c r="N2734" s="13" t="n">
        <v>3605521172525</v>
      </c>
      <c r="O2734" s="13"/>
      <c r="P2734" s="13" t="s">
        <v>5291</v>
      </c>
      <c r="Q2734" s="13" t="s">
        <v>5289</v>
      </c>
      <c r="R2734" s="13" t="s">
        <v>5292</v>
      </c>
      <c r="S2734" s="13" t="s">
        <v>5293</v>
      </c>
      <c r="T2734" s="13" t="s">
        <v>5</v>
      </c>
      <c r="U2734" s="13" t="s">
        <v>43</v>
      </c>
      <c r="V2734" s="13" t="n">
        <f aca="false">IF(COUNTIF($B$2:B2734,B2734)=1,1,0)</f>
        <v>0</v>
      </c>
      <c r="W2734" s="13" t="n">
        <f aca="false">IF(COUNTIFS($B$2:B2734,B2734,$T$2:T2734,T2734)=1,1,0)</f>
        <v>0</v>
      </c>
    </row>
    <row r="2735" customFormat="false" ht="15" hidden="false" customHeight="false" outlineLevel="0" collapsed="false">
      <c r="A2735" s="13" t="s">
        <v>1068</v>
      </c>
      <c r="B2735" s="13" t="s">
        <v>54</v>
      </c>
      <c r="C2735" s="13" t="n">
        <v>1400</v>
      </c>
      <c r="D2735" s="13" t="n">
        <v>2</v>
      </c>
      <c r="E2735" s="13" t="n">
        <v>722.385</v>
      </c>
      <c r="F2735" s="13" t="s">
        <v>5288</v>
      </c>
      <c r="G2735" s="13" t="s">
        <v>5289</v>
      </c>
      <c r="H2735" s="13" t="s">
        <v>5289</v>
      </c>
      <c r="I2735" s="13" t="s">
        <v>5289</v>
      </c>
      <c r="J2735" s="13" t="s">
        <v>5289</v>
      </c>
      <c r="K2735" s="13" t="s">
        <v>5289</v>
      </c>
      <c r="L2735" s="13" t="n">
        <v>768614149521</v>
      </c>
      <c r="M2735" s="13"/>
      <c r="N2735" s="13" t="n">
        <v>768614149521</v>
      </c>
      <c r="O2735" s="13"/>
      <c r="P2735" s="13" t="s">
        <v>5291</v>
      </c>
      <c r="Q2735" s="13" t="s">
        <v>5289</v>
      </c>
      <c r="R2735" s="13" t="s">
        <v>5292</v>
      </c>
      <c r="S2735" s="13" t="s">
        <v>5293</v>
      </c>
      <c r="T2735" s="13" t="s">
        <v>5</v>
      </c>
      <c r="U2735" s="13" t="s">
        <v>43</v>
      </c>
      <c r="V2735" s="13" t="n">
        <f aca="false">IF(COUNTIF($B$2:B2735,B2735)=1,1,0)</f>
        <v>0</v>
      </c>
      <c r="W2735" s="13" t="n">
        <f aca="false">IF(COUNTIFS($B$2:B2735,B2735,$T$2:T2735,T2735)=1,1,0)</f>
        <v>0</v>
      </c>
    </row>
    <row r="2736" customFormat="false" ht="15" hidden="false" customHeight="false" outlineLevel="0" collapsed="false">
      <c r="A2736" s="13" t="s">
        <v>1084</v>
      </c>
      <c r="B2736" s="13" t="s">
        <v>153</v>
      </c>
      <c r="C2736" s="13" t="n">
        <v>1400</v>
      </c>
      <c r="D2736" s="13" t="n">
        <v>2</v>
      </c>
      <c r="E2736" s="13" t="n">
        <v>720.68</v>
      </c>
      <c r="F2736" s="13" t="s">
        <v>5325</v>
      </c>
      <c r="G2736" s="13" t="s">
        <v>5289</v>
      </c>
      <c r="H2736" s="13" t="s">
        <v>5292</v>
      </c>
      <c r="I2736" s="13" t="s">
        <v>5289</v>
      </c>
      <c r="J2736" s="13" t="s">
        <v>5289</v>
      </c>
      <c r="K2736" s="13" t="s">
        <v>5289</v>
      </c>
      <c r="L2736" s="13" t="n">
        <v>8011003818112</v>
      </c>
      <c r="M2736" s="13"/>
      <c r="N2736" s="13" t="n">
        <v>8011003818112</v>
      </c>
      <c r="O2736" s="13"/>
      <c r="P2736" s="13" t="s">
        <v>5291</v>
      </c>
      <c r="Q2736" s="13" t="s">
        <v>5289</v>
      </c>
      <c r="R2736" s="13" t="s">
        <v>5292</v>
      </c>
      <c r="S2736" s="13" t="s">
        <v>5293</v>
      </c>
      <c r="T2736" s="13" t="s">
        <v>5</v>
      </c>
      <c r="U2736" s="13" t="s">
        <v>43</v>
      </c>
      <c r="V2736" s="13" t="n">
        <f aca="false">IF(COUNTIF($B$2:B2736,B2736)=1,1,0)</f>
        <v>0</v>
      </c>
      <c r="W2736" s="13" t="n">
        <f aca="false">IF(COUNTIFS($B$2:B2736,B2736,$T$2:T2736,T2736)=1,1,0)</f>
        <v>0</v>
      </c>
    </row>
    <row r="2737" customFormat="false" ht="15" hidden="false" customHeight="false" outlineLevel="0" collapsed="false">
      <c r="A2737" s="13" t="s">
        <v>532</v>
      </c>
      <c r="B2737" s="13" t="s">
        <v>59</v>
      </c>
      <c r="C2737" s="13" t="n">
        <v>1400</v>
      </c>
      <c r="D2737" s="13" t="n">
        <v>5</v>
      </c>
      <c r="E2737" s="13" t="n">
        <v>144</v>
      </c>
      <c r="F2737" s="13" t="s">
        <v>5325</v>
      </c>
      <c r="G2737" s="13" t="s">
        <v>5289</v>
      </c>
      <c r="H2737" s="13" t="s">
        <v>5289</v>
      </c>
      <c r="I2737" s="13" t="s">
        <v>5289</v>
      </c>
      <c r="J2737" s="13" t="s">
        <v>5289</v>
      </c>
      <c r="K2737" s="13" t="s">
        <v>5289</v>
      </c>
      <c r="L2737" s="13" t="n">
        <v>3616307110136</v>
      </c>
      <c r="M2737" s="13"/>
      <c r="N2737" s="13" t="n">
        <v>3616307110136</v>
      </c>
      <c r="O2737" s="13"/>
      <c r="P2737" s="13" t="s">
        <v>5291</v>
      </c>
      <c r="Q2737" s="13" t="s">
        <v>5289</v>
      </c>
      <c r="R2737" s="13" t="s">
        <v>5292</v>
      </c>
      <c r="S2737" s="13" t="s">
        <v>5293</v>
      </c>
      <c r="T2737" s="13" t="s">
        <v>5</v>
      </c>
      <c r="U2737" s="13" t="s">
        <v>43</v>
      </c>
      <c r="V2737" s="13" t="n">
        <f aca="false">IF(COUNTIF($B$2:B2737,B2737)=1,1,0)</f>
        <v>0</v>
      </c>
      <c r="W2737" s="13" t="n">
        <f aca="false">IF(COUNTIFS($B$2:B2737,B2737,$T$2:T2737,T2737)=1,1,0)</f>
        <v>0</v>
      </c>
    </row>
    <row r="2738" customFormat="false" ht="15" hidden="false" customHeight="false" outlineLevel="0" collapsed="false">
      <c r="A2738" s="13" t="s">
        <v>1061</v>
      </c>
      <c r="B2738" s="13" t="s">
        <v>121</v>
      </c>
      <c r="C2738" s="13" t="n">
        <v>1400</v>
      </c>
      <c r="D2738" s="13" t="n">
        <v>30</v>
      </c>
      <c r="E2738" s="13" t="n">
        <v>46.4096774193548</v>
      </c>
      <c r="F2738" s="13" t="s">
        <v>5325</v>
      </c>
      <c r="G2738" s="13" t="s">
        <v>5289</v>
      </c>
      <c r="H2738" s="13" t="s">
        <v>5289</v>
      </c>
      <c r="I2738" s="13" t="s">
        <v>5292</v>
      </c>
      <c r="J2738" s="13" t="s">
        <v>5289</v>
      </c>
      <c r="K2738" s="13" t="s">
        <v>5289</v>
      </c>
      <c r="L2738" s="13" t="n">
        <v>7896086930293</v>
      </c>
      <c r="M2738" s="13"/>
      <c r="N2738" s="13" t="n">
        <v>7896086930293</v>
      </c>
      <c r="O2738" s="13"/>
      <c r="P2738" s="13" t="s">
        <v>5291</v>
      </c>
      <c r="Q2738" s="13" t="s">
        <v>5289</v>
      </c>
      <c r="R2738" s="13" t="s">
        <v>5292</v>
      </c>
      <c r="S2738" s="13" t="s">
        <v>5293</v>
      </c>
      <c r="T2738" s="13" t="s">
        <v>5</v>
      </c>
      <c r="U2738" s="13" t="s">
        <v>43</v>
      </c>
      <c r="V2738" s="13" t="n">
        <f aca="false">IF(COUNTIF($B$2:B2738,B2738)=1,1,0)</f>
        <v>0</v>
      </c>
      <c r="W2738" s="13" t="n">
        <f aca="false">IF(COUNTIFS($B$2:B2738,B2738,$T$2:T2738,T2738)=1,1,0)</f>
        <v>0</v>
      </c>
    </row>
    <row r="2739" customFormat="false" ht="15" hidden="false" customHeight="false" outlineLevel="0" collapsed="false">
      <c r="A2739" s="13" t="s">
        <v>524</v>
      </c>
      <c r="B2739" s="13" t="s">
        <v>105</v>
      </c>
      <c r="C2739" s="13" t="n">
        <v>1400</v>
      </c>
      <c r="D2739" s="13" t="n">
        <v>2</v>
      </c>
      <c r="E2739" s="13" t="n">
        <v>719.2</v>
      </c>
      <c r="F2739" s="13" t="s">
        <v>5325</v>
      </c>
      <c r="G2739" s="13" t="s">
        <v>5292</v>
      </c>
      <c r="H2739" s="13" t="s">
        <v>5289</v>
      </c>
      <c r="I2739" s="13" t="s">
        <v>5289</v>
      </c>
      <c r="J2739" s="13" t="s">
        <v>5289</v>
      </c>
      <c r="K2739" s="13" t="s">
        <v>5289</v>
      </c>
      <c r="L2739" s="13"/>
      <c r="M2739" s="13"/>
      <c r="N2739" s="13" t="n">
        <v>3616305480620</v>
      </c>
      <c r="O2739" s="13"/>
      <c r="P2739" s="13" t="s">
        <v>5297</v>
      </c>
      <c r="Q2739" s="13" t="s">
        <v>5289</v>
      </c>
      <c r="R2739" s="13" t="s">
        <v>5292</v>
      </c>
      <c r="S2739" s="13" t="s">
        <v>5293</v>
      </c>
      <c r="T2739" s="13" t="s">
        <v>5</v>
      </c>
      <c r="U2739" s="13" t="s">
        <v>43</v>
      </c>
      <c r="V2739" s="13" t="n">
        <f aca="false">IF(COUNTIF($B$2:B2739,B2739)=1,1,0)</f>
        <v>0</v>
      </c>
      <c r="W2739" s="13" t="n">
        <f aca="false">IF(COUNTIFS($B$2:B2739,B2739,$T$2:T2739,T2739)=1,1,0)</f>
        <v>0</v>
      </c>
    </row>
    <row r="2740" customFormat="false" ht="15" hidden="false" customHeight="false" outlineLevel="0" collapsed="false">
      <c r="A2740" s="13" t="s">
        <v>1070</v>
      </c>
      <c r="B2740" s="13" t="s">
        <v>54</v>
      </c>
      <c r="C2740" s="13" t="n">
        <v>1400</v>
      </c>
      <c r="D2740" s="13" t="n">
        <v>2</v>
      </c>
      <c r="E2740" s="13" t="n">
        <v>718.555</v>
      </c>
      <c r="F2740" s="13" t="s">
        <v>5325</v>
      </c>
      <c r="G2740" s="13" t="s">
        <v>5289</v>
      </c>
      <c r="H2740" s="13" t="s">
        <v>5289</v>
      </c>
      <c r="I2740" s="13" t="s">
        <v>5289</v>
      </c>
      <c r="J2740" s="13" t="s">
        <v>5289</v>
      </c>
      <c r="K2740" s="13" t="s">
        <v>5289</v>
      </c>
      <c r="L2740" s="13" t="n">
        <v>730852149533</v>
      </c>
      <c r="M2740" s="13"/>
      <c r="N2740" s="13" t="n">
        <v>730852149533</v>
      </c>
      <c r="O2740" s="13"/>
      <c r="P2740" s="13" t="s">
        <v>5291</v>
      </c>
      <c r="Q2740" s="13" t="s">
        <v>5289</v>
      </c>
      <c r="R2740" s="13" t="s">
        <v>5292</v>
      </c>
      <c r="S2740" s="13" t="s">
        <v>5293</v>
      </c>
      <c r="T2740" s="13" t="s">
        <v>5</v>
      </c>
      <c r="U2740" s="13" t="s">
        <v>43</v>
      </c>
      <c r="V2740" s="13" t="n">
        <f aca="false">IF(COUNTIF($B$2:B2740,B2740)=1,1,0)</f>
        <v>0</v>
      </c>
      <c r="W2740" s="13" t="n">
        <f aca="false">IF(COUNTIFS($B$2:B2740,B2740,$T$2:T2740,T2740)=1,1,0)</f>
        <v>0</v>
      </c>
    </row>
    <row r="2741" customFormat="false" ht="15" hidden="false" customHeight="false" outlineLevel="0" collapsed="false">
      <c r="A2741" s="13" t="s">
        <v>1067</v>
      </c>
      <c r="B2741" s="13" t="s">
        <v>121</v>
      </c>
      <c r="C2741" s="13" t="n">
        <v>1400</v>
      </c>
      <c r="D2741" s="13" t="n">
        <v>10</v>
      </c>
      <c r="E2741" s="13" t="n">
        <v>102.635</v>
      </c>
      <c r="F2741" s="13" t="s">
        <v>5288</v>
      </c>
      <c r="G2741" s="13" t="s">
        <v>5289</v>
      </c>
      <c r="H2741" s="13" t="s">
        <v>5289</v>
      </c>
      <c r="I2741" s="13" t="s">
        <v>5289</v>
      </c>
      <c r="J2741" s="13" t="s">
        <v>5289</v>
      </c>
      <c r="K2741" s="13" t="s">
        <v>5289</v>
      </c>
      <c r="L2741" s="13" t="n">
        <v>7896086927019</v>
      </c>
      <c r="M2741" s="13"/>
      <c r="N2741" s="13" t="n">
        <v>7896086927019</v>
      </c>
      <c r="O2741" s="13"/>
      <c r="P2741" s="13" t="s">
        <v>5291</v>
      </c>
      <c r="Q2741" s="13" t="s">
        <v>5289</v>
      </c>
      <c r="R2741" s="13" t="s">
        <v>5292</v>
      </c>
      <c r="S2741" s="13" t="s">
        <v>5293</v>
      </c>
      <c r="T2741" s="13" t="s">
        <v>5</v>
      </c>
      <c r="U2741" s="13" t="s">
        <v>43</v>
      </c>
      <c r="V2741" s="13" t="n">
        <f aca="false">IF(COUNTIF($B$2:B2741,B2741)=1,1,0)</f>
        <v>0</v>
      </c>
      <c r="W2741" s="13" t="n">
        <f aca="false">IF(COUNTIFS($B$2:B2741,B2741,$T$2:T2741,T2741)=1,1,0)</f>
        <v>0</v>
      </c>
    </row>
    <row r="2742" customFormat="false" ht="15" hidden="false" customHeight="false" outlineLevel="0" collapsed="false">
      <c r="A2742" s="13" t="s">
        <v>1068</v>
      </c>
      <c r="B2742" s="13" t="s">
        <v>54</v>
      </c>
      <c r="C2742" s="13" t="n">
        <v>1400</v>
      </c>
      <c r="D2742" s="13" t="n">
        <v>2</v>
      </c>
      <c r="E2742" s="13" t="n">
        <v>717.925</v>
      </c>
      <c r="F2742" s="13" t="s">
        <v>5325</v>
      </c>
      <c r="G2742" s="13" t="s">
        <v>5289</v>
      </c>
      <c r="H2742" s="13" t="s">
        <v>5289</v>
      </c>
      <c r="I2742" s="13" t="s">
        <v>5289</v>
      </c>
      <c r="J2742" s="13" t="s">
        <v>5289</v>
      </c>
      <c r="K2742" s="13" t="s">
        <v>5289</v>
      </c>
      <c r="L2742" s="13" t="n">
        <v>730852149519</v>
      </c>
      <c r="M2742" s="13"/>
      <c r="N2742" s="13" t="n">
        <v>730852149519</v>
      </c>
      <c r="O2742" s="13"/>
      <c r="P2742" s="13" t="s">
        <v>5297</v>
      </c>
      <c r="Q2742" s="13" t="s">
        <v>5289</v>
      </c>
      <c r="R2742" s="13" t="s">
        <v>5292</v>
      </c>
      <c r="S2742" s="13" t="s">
        <v>5293</v>
      </c>
      <c r="T2742" s="13" t="s">
        <v>5</v>
      </c>
      <c r="U2742" s="13" t="s">
        <v>43</v>
      </c>
      <c r="V2742" s="13" t="n">
        <f aca="false">IF(COUNTIF($B$2:B2742,B2742)=1,1,0)</f>
        <v>0</v>
      </c>
      <c r="W2742" s="13" t="n">
        <f aca="false">IF(COUNTIFS($B$2:B2742,B2742,$T$2:T2742,T2742)=1,1,0)</f>
        <v>0</v>
      </c>
    </row>
    <row r="2743" customFormat="false" ht="15" hidden="false" customHeight="false" outlineLevel="0" collapsed="false">
      <c r="A2743" s="13" t="s">
        <v>1065</v>
      </c>
      <c r="B2743" s="13" t="s">
        <v>121</v>
      </c>
      <c r="C2743" s="13" t="n">
        <v>1400</v>
      </c>
      <c r="D2743" s="13" t="n">
        <v>10</v>
      </c>
      <c r="E2743" s="13" t="n">
        <v>130.469090909091</v>
      </c>
      <c r="F2743" s="13" t="s">
        <v>5325</v>
      </c>
      <c r="G2743" s="13" t="s">
        <v>5289</v>
      </c>
      <c r="H2743" s="13" t="s">
        <v>5289</v>
      </c>
      <c r="I2743" s="13" t="s">
        <v>5289</v>
      </c>
      <c r="J2743" s="13" t="s">
        <v>5289</v>
      </c>
      <c r="K2743" s="13" t="s">
        <v>5292</v>
      </c>
      <c r="L2743" s="13" t="n">
        <v>7896086909657</v>
      </c>
      <c r="M2743" s="13"/>
      <c r="N2743" s="13" t="n">
        <v>7896086909657</v>
      </c>
      <c r="O2743" s="13"/>
      <c r="P2743" s="13" t="s">
        <v>5291</v>
      </c>
      <c r="Q2743" s="13" t="s">
        <v>5289</v>
      </c>
      <c r="R2743" s="13" t="s">
        <v>5292</v>
      </c>
      <c r="S2743" s="13" t="s">
        <v>5293</v>
      </c>
      <c r="T2743" s="13" t="s">
        <v>5</v>
      </c>
      <c r="U2743" s="13" t="s">
        <v>43</v>
      </c>
      <c r="V2743" s="13" t="n">
        <f aca="false">IF(COUNTIF($B$2:B2743,B2743)=1,1,0)</f>
        <v>0</v>
      </c>
      <c r="W2743" s="13" t="n">
        <f aca="false">IF(COUNTIFS($B$2:B2743,B2743,$T$2:T2743,T2743)=1,1,0)</f>
        <v>0</v>
      </c>
    </row>
    <row r="2744" customFormat="false" ht="15" hidden="false" customHeight="false" outlineLevel="0" collapsed="false">
      <c r="A2744" s="13" t="s">
        <v>316</v>
      </c>
      <c r="B2744" s="13" t="s">
        <v>315</v>
      </c>
      <c r="C2744" s="13" t="n">
        <v>1400</v>
      </c>
      <c r="D2744" s="13" t="n">
        <v>5</v>
      </c>
      <c r="E2744" s="13" t="n">
        <v>287</v>
      </c>
      <c r="F2744" s="13" t="s">
        <v>5325</v>
      </c>
      <c r="G2744" s="13" t="s">
        <v>5289</v>
      </c>
      <c r="H2744" s="13" t="s">
        <v>5289</v>
      </c>
      <c r="I2744" s="13" t="s">
        <v>5289</v>
      </c>
      <c r="J2744" s="13" t="s">
        <v>5289</v>
      </c>
      <c r="K2744" s="13" t="s">
        <v>5289</v>
      </c>
      <c r="L2744" s="13" t="n">
        <v>3605972910288</v>
      </c>
      <c r="M2744" s="13"/>
      <c r="N2744" s="13" t="n">
        <v>3605972910288</v>
      </c>
      <c r="O2744" s="13"/>
      <c r="P2744" s="13" t="s">
        <v>5291</v>
      </c>
      <c r="Q2744" s="13" t="s">
        <v>5289</v>
      </c>
      <c r="R2744" s="13" t="s">
        <v>5292</v>
      </c>
      <c r="S2744" s="13" t="s">
        <v>5293</v>
      </c>
      <c r="T2744" s="13" t="s">
        <v>5</v>
      </c>
      <c r="U2744" s="13" t="s">
        <v>43</v>
      </c>
      <c r="V2744" s="13" t="n">
        <f aca="false">IF(COUNTIF($B$2:B2744,B2744)=1,1,0)</f>
        <v>0</v>
      </c>
      <c r="W2744" s="13" t="n">
        <f aca="false">IF(COUNTIFS($B$2:B2744,B2744,$T$2:T2744,T2744)=1,1,0)</f>
        <v>0</v>
      </c>
    </row>
    <row r="2745" customFormat="false" ht="15" hidden="false" customHeight="false" outlineLevel="0" collapsed="false">
      <c r="A2745" s="13" t="s">
        <v>409</v>
      </c>
      <c r="B2745" s="13" t="s">
        <v>45</v>
      </c>
      <c r="C2745" s="13" t="n">
        <v>1400</v>
      </c>
      <c r="D2745" s="13" t="n">
        <v>2</v>
      </c>
      <c r="E2745" s="13" t="n">
        <v>358</v>
      </c>
      <c r="F2745" s="13" t="s">
        <v>5325</v>
      </c>
      <c r="G2745" s="13" t="s">
        <v>5289</v>
      </c>
      <c r="H2745" s="13" t="s">
        <v>5289</v>
      </c>
      <c r="I2745" s="13" t="s">
        <v>5289</v>
      </c>
      <c r="J2745" s="13" t="s">
        <v>5289</v>
      </c>
      <c r="K2745" s="13" t="s">
        <v>5289</v>
      </c>
      <c r="L2745" s="13" t="n">
        <v>8435415091190</v>
      </c>
      <c r="M2745" s="13"/>
      <c r="N2745" s="13" t="n">
        <v>8435415091190</v>
      </c>
      <c r="O2745" s="13"/>
      <c r="P2745" s="13" t="s">
        <v>5291</v>
      </c>
      <c r="Q2745" s="13" t="s">
        <v>5289</v>
      </c>
      <c r="R2745" s="13" t="s">
        <v>5292</v>
      </c>
      <c r="S2745" s="13" t="s">
        <v>5293</v>
      </c>
      <c r="T2745" s="13" t="s">
        <v>5</v>
      </c>
      <c r="U2745" s="13" t="s">
        <v>43</v>
      </c>
      <c r="V2745" s="13" t="n">
        <f aca="false">IF(COUNTIF($B$2:B2745,B2745)=1,1,0)</f>
        <v>0</v>
      </c>
      <c r="W2745" s="13" t="n">
        <f aca="false">IF(COUNTIFS($B$2:B2745,B2745,$T$2:T2745,T2745)=1,1,0)</f>
        <v>0</v>
      </c>
    </row>
    <row r="2746" customFormat="false" ht="15" hidden="false" customHeight="false" outlineLevel="0" collapsed="false">
      <c r="A2746" s="13" t="s">
        <v>1066</v>
      </c>
      <c r="B2746" s="13" t="s">
        <v>54</v>
      </c>
      <c r="C2746" s="13" t="n">
        <v>1400</v>
      </c>
      <c r="D2746" s="13" t="n">
        <v>5</v>
      </c>
      <c r="E2746" s="13" t="n">
        <v>286.036</v>
      </c>
      <c r="F2746" s="13" t="s">
        <v>5325</v>
      </c>
      <c r="G2746" s="13" t="s">
        <v>5289</v>
      </c>
      <c r="H2746" s="13" t="s">
        <v>5292</v>
      </c>
      <c r="I2746" s="13" t="s">
        <v>5289</v>
      </c>
      <c r="J2746" s="13" t="s">
        <v>5289</v>
      </c>
      <c r="K2746" s="13" t="s">
        <v>5289</v>
      </c>
      <c r="L2746" s="13" t="n">
        <v>7898965700966</v>
      </c>
      <c r="M2746" s="13"/>
      <c r="N2746" s="13" t="n">
        <v>7.89896570005873E+037</v>
      </c>
      <c r="O2746" s="13"/>
      <c r="P2746" s="13" t="s">
        <v>5291</v>
      </c>
      <c r="Q2746" s="13" t="s">
        <v>5289</v>
      </c>
      <c r="R2746" s="13" t="s">
        <v>5292</v>
      </c>
      <c r="S2746" s="13" t="s">
        <v>5293</v>
      </c>
      <c r="T2746" s="13" t="s">
        <v>5</v>
      </c>
      <c r="U2746" s="13" t="s">
        <v>43</v>
      </c>
      <c r="V2746" s="13" t="n">
        <f aca="false">IF(COUNTIF($B$2:B2746,B2746)=1,1,0)</f>
        <v>0</v>
      </c>
      <c r="W2746" s="13" t="n">
        <f aca="false">IF(COUNTIFS($B$2:B2746,B2746,$T$2:T2746,T2746)=1,1,0)</f>
        <v>0</v>
      </c>
    </row>
    <row r="2747" customFormat="false" ht="15" hidden="false" customHeight="false" outlineLevel="0" collapsed="false">
      <c r="A2747" s="13" t="s">
        <v>178</v>
      </c>
      <c r="B2747" s="13" t="s">
        <v>177</v>
      </c>
      <c r="C2747" s="13" t="n">
        <v>1400</v>
      </c>
      <c r="D2747" s="13" t="n">
        <v>2</v>
      </c>
      <c r="E2747" s="13" t="n">
        <v>715</v>
      </c>
      <c r="F2747" s="13" t="s">
        <v>5288</v>
      </c>
      <c r="G2747" s="13" t="s">
        <v>5289</v>
      </c>
      <c r="H2747" s="13" t="s">
        <v>5289</v>
      </c>
      <c r="I2747" s="13" t="s">
        <v>5289</v>
      </c>
      <c r="J2747" s="13" t="s">
        <v>5289</v>
      </c>
      <c r="K2747" s="13" t="s">
        <v>5289</v>
      </c>
      <c r="L2747" s="13"/>
      <c r="M2747" s="13"/>
      <c r="N2747" s="13" t="n">
        <v>3616304175916</v>
      </c>
      <c r="O2747" s="13"/>
      <c r="P2747" s="13" t="s">
        <v>5291</v>
      </c>
      <c r="Q2747" s="13" t="s">
        <v>5289</v>
      </c>
      <c r="R2747" s="13" t="s">
        <v>5292</v>
      </c>
      <c r="S2747" s="13" t="s">
        <v>5293</v>
      </c>
      <c r="T2747" s="13" t="s">
        <v>5</v>
      </c>
      <c r="U2747" s="13" t="s">
        <v>43</v>
      </c>
      <c r="V2747" s="13" t="n">
        <f aca="false">IF(COUNTIF($B$2:B2747,B2747)=1,1,0)</f>
        <v>0</v>
      </c>
      <c r="W2747" s="13" t="n">
        <f aca="false">IF(COUNTIFS($B$2:B2747,B2747,$T$2:T2747,T2747)=1,1,0)</f>
        <v>0</v>
      </c>
    </row>
    <row r="2748" customFormat="false" ht="15" hidden="false" customHeight="false" outlineLevel="0" collapsed="false">
      <c r="A2748" s="13" t="s">
        <v>1080</v>
      </c>
      <c r="B2748" s="13" t="s">
        <v>42</v>
      </c>
      <c r="C2748" s="13" t="n">
        <v>1400</v>
      </c>
      <c r="D2748" s="13" t="n">
        <v>2</v>
      </c>
      <c r="E2748" s="13" t="n">
        <v>710.97</v>
      </c>
      <c r="F2748" s="13" t="s">
        <v>5325</v>
      </c>
      <c r="G2748" s="13" t="s">
        <v>5289</v>
      </c>
      <c r="H2748" s="13" t="s">
        <v>5292</v>
      </c>
      <c r="I2748" s="13" t="s">
        <v>5289</v>
      </c>
      <c r="J2748" s="13" t="s">
        <v>5289</v>
      </c>
      <c r="K2748" s="13" t="s">
        <v>5289</v>
      </c>
      <c r="L2748" s="13" t="n">
        <v>8411061865408</v>
      </c>
      <c r="M2748" s="13"/>
      <c r="N2748" s="13" t="n">
        <v>8.41106186540884E+025</v>
      </c>
      <c r="O2748" s="13"/>
      <c r="P2748" s="13" t="s">
        <v>5291</v>
      </c>
      <c r="Q2748" s="13" t="s">
        <v>5289</v>
      </c>
      <c r="R2748" s="13" t="s">
        <v>5292</v>
      </c>
      <c r="S2748" s="13" t="s">
        <v>5293</v>
      </c>
      <c r="T2748" s="13" t="s">
        <v>5</v>
      </c>
      <c r="U2748" s="13" t="s">
        <v>43</v>
      </c>
      <c r="V2748" s="13" t="n">
        <f aca="false">IF(COUNTIF($B$2:B2748,B2748)=1,1,0)</f>
        <v>0</v>
      </c>
      <c r="W2748" s="13" t="n">
        <f aca="false">IF(COUNTIFS($B$2:B2748,B2748,$T$2:T2748,T2748)=1,1,0)</f>
        <v>0</v>
      </c>
    </row>
    <row r="2749" customFormat="false" ht="15" hidden="false" customHeight="false" outlineLevel="0" collapsed="false">
      <c r="A2749" s="13" t="s">
        <v>1071</v>
      </c>
      <c r="B2749" s="13" t="s">
        <v>153</v>
      </c>
      <c r="C2749" s="13" t="n">
        <v>1400</v>
      </c>
      <c r="D2749" s="13" t="n">
        <v>2</v>
      </c>
      <c r="E2749" s="13" t="n">
        <v>355</v>
      </c>
      <c r="F2749" s="13" t="s">
        <v>5325</v>
      </c>
      <c r="G2749" s="13" t="s">
        <v>5289</v>
      </c>
      <c r="H2749" s="13" t="s">
        <v>5292</v>
      </c>
      <c r="I2749" s="13" t="s">
        <v>5289</v>
      </c>
      <c r="J2749" s="13" t="s">
        <v>5289</v>
      </c>
      <c r="K2749" s="13" t="s">
        <v>5289</v>
      </c>
      <c r="L2749" s="13" t="n">
        <v>8011003839094</v>
      </c>
      <c r="M2749" s="13"/>
      <c r="N2749" s="13" t="n">
        <v>8011003839094</v>
      </c>
      <c r="O2749" s="13"/>
      <c r="P2749" s="13" t="s">
        <v>5291</v>
      </c>
      <c r="Q2749" s="13" t="s">
        <v>5289</v>
      </c>
      <c r="R2749" s="13" t="s">
        <v>5292</v>
      </c>
      <c r="S2749" s="13" t="s">
        <v>5293</v>
      </c>
      <c r="T2749" s="13" t="s">
        <v>5</v>
      </c>
      <c r="U2749" s="13" t="s">
        <v>43</v>
      </c>
      <c r="V2749" s="13" t="n">
        <f aca="false">IF(COUNTIF($B$2:B2749,B2749)=1,1,0)</f>
        <v>0</v>
      </c>
      <c r="W2749" s="13" t="n">
        <f aca="false">IF(COUNTIFS($B$2:B2749,B2749,$T$2:T2749,T2749)=1,1,0)</f>
        <v>0</v>
      </c>
    </row>
    <row r="2750" customFormat="false" ht="15" hidden="false" customHeight="false" outlineLevel="0" collapsed="false">
      <c r="A2750" s="13" t="s">
        <v>166</v>
      </c>
      <c r="B2750" s="13" t="s">
        <v>165</v>
      </c>
      <c r="C2750" s="13" t="n">
        <v>1400</v>
      </c>
      <c r="D2750" s="13" t="n">
        <v>5</v>
      </c>
      <c r="E2750" s="13" t="n">
        <v>283.48</v>
      </c>
      <c r="F2750" s="13" t="s">
        <v>5325</v>
      </c>
      <c r="G2750" s="13" t="s">
        <v>5289</v>
      </c>
      <c r="H2750" s="13" t="s">
        <v>5292</v>
      </c>
      <c r="I2750" s="13" t="s">
        <v>5289</v>
      </c>
      <c r="J2750" s="13" t="s">
        <v>5289</v>
      </c>
      <c r="K2750" s="13" t="s">
        <v>5289</v>
      </c>
      <c r="L2750" s="13" t="n">
        <v>3614273667418</v>
      </c>
      <c r="M2750" s="13"/>
      <c r="N2750" s="13" t="n">
        <v>3.35150001799736E+025</v>
      </c>
      <c r="O2750" s="13"/>
      <c r="P2750" s="13" t="s">
        <v>5291</v>
      </c>
      <c r="Q2750" s="13" t="s">
        <v>5289</v>
      </c>
      <c r="R2750" s="13" t="s">
        <v>5292</v>
      </c>
      <c r="S2750" s="13" t="s">
        <v>5293</v>
      </c>
      <c r="T2750" s="13" t="s">
        <v>5</v>
      </c>
      <c r="U2750" s="13" t="s">
        <v>43</v>
      </c>
      <c r="V2750" s="13" t="n">
        <f aca="false">IF(COUNTIF($B$2:B2750,B2750)=1,1,0)</f>
        <v>0</v>
      </c>
      <c r="W2750" s="13" t="n">
        <f aca="false">IF(COUNTIFS($B$2:B2750,B2750,$T$2:T2750,T2750)=1,1,0)</f>
        <v>0</v>
      </c>
    </row>
    <row r="2751" customFormat="false" ht="15" hidden="false" customHeight="false" outlineLevel="0" collapsed="false">
      <c r="A2751" s="13" t="s">
        <v>231</v>
      </c>
      <c r="B2751" s="13" t="s">
        <v>61</v>
      </c>
      <c r="C2751" s="13" t="n">
        <v>1400</v>
      </c>
      <c r="D2751" s="13" t="n">
        <v>2</v>
      </c>
      <c r="E2751" s="13" t="n">
        <v>707.67</v>
      </c>
      <c r="F2751" s="13" t="s">
        <v>5325</v>
      </c>
      <c r="G2751" s="13" t="s">
        <v>5289</v>
      </c>
      <c r="H2751" s="13" t="s">
        <v>5289</v>
      </c>
      <c r="I2751" s="13" t="s">
        <v>5289</v>
      </c>
      <c r="J2751" s="13" t="s">
        <v>5289</v>
      </c>
      <c r="K2751" s="13" t="s">
        <v>5289</v>
      </c>
      <c r="L2751" s="13" t="n">
        <v>3614274169713</v>
      </c>
      <c r="M2751" s="13"/>
      <c r="N2751" s="13" t="n">
        <v>3614274169713</v>
      </c>
      <c r="O2751" s="13"/>
      <c r="P2751" s="13" t="s">
        <v>5291</v>
      </c>
      <c r="Q2751" s="13" t="s">
        <v>5289</v>
      </c>
      <c r="R2751" s="13" t="s">
        <v>5292</v>
      </c>
      <c r="S2751" s="13" t="s">
        <v>5293</v>
      </c>
      <c r="T2751" s="13" t="s">
        <v>5</v>
      </c>
      <c r="U2751" s="13" t="s">
        <v>43</v>
      </c>
      <c r="V2751" s="13" t="n">
        <f aca="false">IF(COUNTIF($B$2:B2751,B2751)=1,1,0)</f>
        <v>0</v>
      </c>
      <c r="W2751" s="13" t="n">
        <f aca="false">IF(COUNTIFS($B$2:B2751,B2751,$T$2:T2751,T2751)=1,1,0)</f>
        <v>0</v>
      </c>
    </row>
    <row r="2752" customFormat="false" ht="15" hidden="false" customHeight="false" outlineLevel="0" collapsed="false">
      <c r="A2752" s="13" t="s">
        <v>478</v>
      </c>
      <c r="B2752" s="13" t="s">
        <v>229</v>
      </c>
      <c r="C2752" s="13" t="n">
        <v>1400</v>
      </c>
      <c r="D2752" s="13" t="n">
        <v>5</v>
      </c>
      <c r="E2752" s="13" t="n">
        <v>283</v>
      </c>
      <c r="F2752" s="13" t="s">
        <v>5325</v>
      </c>
      <c r="G2752" s="13" t="s">
        <v>5289</v>
      </c>
      <c r="H2752" s="13" t="s">
        <v>5289</v>
      </c>
      <c r="I2752" s="13" t="s">
        <v>5289</v>
      </c>
      <c r="J2752" s="13" t="s">
        <v>5289</v>
      </c>
      <c r="K2752" s="13" t="s">
        <v>5289</v>
      </c>
      <c r="L2752" s="13"/>
      <c r="M2752" s="13"/>
      <c r="N2752" s="13" t="n">
        <v>3607342359789</v>
      </c>
      <c r="O2752" s="13"/>
      <c r="P2752" s="13" t="s">
        <v>5297</v>
      </c>
      <c r="Q2752" s="13" t="s">
        <v>5289</v>
      </c>
      <c r="R2752" s="13" t="s">
        <v>5292</v>
      </c>
      <c r="S2752" s="13" t="s">
        <v>5293</v>
      </c>
      <c r="T2752" s="13" t="s">
        <v>5</v>
      </c>
      <c r="U2752" s="13" t="s">
        <v>43</v>
      </c>
      <c r="V2752" s="13" t="n">
        <f aca="false">IF(COUNTIF($B$2:B2752,B2752)=1,1,0)</f>
        <v>0</v>
      </c>
      <c r="W2752" s="13" t="n">
        <f aca="false">IF(COUNTIFS($B$2:B2752,B2752,$T$2:T2752,T2752)=1,1,0)</f>
        <v>1</v>
      </c>
    </row>
    <row r="2753" customFormat="false" ht="15" hidden="false" customHeight="false" outlineLevel="0" collapsed="false">
      <c r="A2753" s="13" t="s">
        <v>1086</v>
      </c>
      <c r="B2753" s="13" t="s">
        <v>54</v>
      </c>
      <c r="C2753" s="13" t="n">
        <v>1400</v>
      </c>
      <c r="D2753" s="13" t="n">
        <v>2</v>
      </c>
      <c r="E2753" s="13" t="n">
        <v>706.35</v>
      </c>
      <c r="F2753" s="13" t="s">
        <v>5325</v>
      </c>
      <c r="G2753" s="13" t="s">
        <v>5289</v>
      </c>
      <c r="H2753" s="13" t="s">
        <v>5289</v>
      </c>
      <c r="I2753" s="13" t="s">
        <v>5289</v>
      </c>
      <c r="J2753" s="13" t="s">
        <v>5289</v>
      </c>
      <c r="K2753" s="13" t="s">
        <v>5292</v>
      </c>
      <c r="L2753" s="13" t="n">
        <v>729238139367</v>
      </c>
      <c r="M2753" s="13"/>
      <c r="N2753" s="13" t="n">
        <v>729238139367</v>
      </c>
      <c r="O2753" s="13"/>
      <c r="P2753" s="13" t="s">
        <v>5297</v>
      </c>
      <c r="Q2753" s="13" t="s">
        <v>5289</v>
      </c>
      <c r="R2753" s="13" t="s">
        <v>5292</v>
      </c>
      <c r="S2753" s="13" t="s">
        <v>5293</v>
      </c>
      <c r="T2753" s="13" t="s">
        <v>5</v>
      </c>
      <c r="U2753" s="13" t="s">
        <v>43</v>
      </c>
      <c r="V2753" s="13" t="n">
        <f aca="false">IF(COUNTIF($B$2:B2753,B2753)=1,1,0)</f>
        <v>0</v>
      </c>
      <c r="W2753" s="13" t="n">
        <f aca="false">IF(COUNTIFS($B$2:B2753,B2753,$T$2:T2753,T2753)=1,1,0)</f>
        <v>0</v>
      </c>
    </row>
    <row r="2754" customFormat="false" ht="15" hidden="false" customHeight="false" outlineLevel="0" collapsed="false">
      <c r="A2754" s="13" t="s">
        <v>1085</v>
      </c>
      <c r="B2754" s="13" t="s">
        <v>121</v>
      </c>
      <c r="C2754" s="13" t="n">
        <v>1400</v>
      </c>
      <c r="D2754" s="13" t="n">
        <v>5</v>
      </c>
      <c r="E2754" s="13" t="n">
        <v>234.75</v>
      </c>
      <c r="F2754" s="13" t="s">
        <v>5325</v>
      </c>
      <c r="G2754" s="13" t="s">
        <v>5289</v>
      </c>
      <c r="H2754" s="13" t="s">
        <v>5292</v>
      </c>
      <c r="I2754" s="13" t="s">
        <v>5289</v>
      </c>
      <c r="J2754" s="13" t="s">
        <v>5289</v>
      </c>
      <c r="K2754" s="13" t="s">
        <v>5292</v>
      </c>
      <c r="L2754" s="13" t="n">
        <v>7896086902160</v>
      </c>
      <c r="M2754" s="13"/>
      <c r="N2754" s="13" t="n">
        <v>7896086902160</v>
      </c>
      <c r="O2754" s="13"/>
      <c r="P2754" s="13" t="s">
        <v>5297</v>
      </c>
      <c r="Q2754" s="13" t="s">
        <v>5289</v>
      </c>
      <c r="R2754" s="13" t="s">
        <v>5292</v>
      </c>
      <c r="S2754" s="13" t="s">
        <v>5293</v>
      </c>
      <c r="T2754" s="13" t="s">
        <v>5</v>
      </c>
      <c r="U2754" s="13" t="s">
        <v>43</v>
      </c>
      <c r="V2754" s="13" t="n">
        <f aca="false">IF(COUNTIF($B$2:B2754,B2754)=1,1,0)</f>
        <v>0</v>
      </c>
      <c r="W2754" s="13" t="n">
        <f aca="false">IF(COUNTIFS($B$2:B2754,B2754,$T$2:T2754,T2754)=1,1,0)</f>
        <v>0</v>
      </c>
    </row>
    <row r="2755" customFormat="false" ht="15" hidden="false" customHeight="false" outlineLevel="0" collapsed="false">
      <c r="A2755" s="13" t="s">
        <v>1069</v>
      </c>
      <c r="B2755" s="13" t="s">
        <v>42</v>
      </c>
      <c r="C2755" s="13" t="n">
        <v>1400</v>
      </c>
      <c r="D2755" s="13" t="n">
        <v>1</v>
      </c>
      <c r="E2755" s="13" t="n">
        <v>1407.85</v>
      </c>
      <c r="F2755" s="13" t="s">
        <v>5325</v>
      </c>
      <c r="G2755" s="13" t="s">
        <v>5292</v>
      </c>
      <c r="H2755" s="13" t="s">
        <v>5289</v>
      </c>
      <c r="I2755" s="13" t="s">
        <v>5289</v>
      </c>
      <c r="J2755" s="13" t="s">
        <v>5289</v>
      </c>
      <c r="K2755" s="13" t="s">
        <v>5292</v>
      </c>
      <c r="L2755" s="13"/>
      <c r="M2755" s="13"/>
      <c r="N2755" s="13" t="n">
        <v>9000250213657</v>
      </c>
      <c r="O2755" s="13"/>
      <c r="P2755" s="13" t="s">
        <v>5291</v>
      </c>
      <c r="Q2755" s="13" t="s">
        <v>5289</v>
      </c>
      <c r="R2755" s="13" t="s">
        <v>5292</v>
      </c>
      <c r="S2755" s="13" t="s">
        <v>5293</v>
      </c>
      <c r="T2755" s="13" t="s">
        <v>5</v>
      </c>
      <c r="U2755" s="13" t="s">
        <v>43</v>
      </c>
      <c r="V2755" s="13" t="n">
        <f aca="false">IF(COUNTIF($B$2:B2755,B2755)=1,1,0)</f>
        <v>0</v>
      </c>
      <c r="W2755" s="13" t="n">
        <f aca="false">IF(COUNTIFS($B$2:B2755,B2755,$T$2:T2755,T2755)=1,1,0)</f>
        <v>0</v>
      </c>
    </row>
    <row r="2756" customFormat="false" ht="15" hidden="false" customHeight="false" outlineLevel="0" collapsed="false">
      <c r="A2756" s="13" t="s">
        <v>212</v>
      </c>
      <c r="B2756" s="13" t="s">
        <v>61</v>
      </c>
      <c r="C2756" s="13" t="n">
        <v>1400</v>
      </c>
      <c r="D2756" s="13" t="n">
        <v>2</v>
      </c>
      <c r="E2756" s="13" t="n">
        <v>468.89</v>
      </c>
      <c r="F2756" s="13" t="s">
        <v>5325</v>
      </c>
      <c r="G2756" s="13" t="s">
        <v>5289</v>
      </c>
      <c r="H2756" s="13" t="s">
        <v>5289</v>
      </c>
      <c r="I2756" s="13" t="s">
        <v>5289</v>
      </c>
      <c r="J2756" s="13" t="s">
        <v>5289</v>
      </c>
      <c r="K2756" s="13" t="s">
        <v>5289</v>
      </c>
      <c r="L2756" s="13" t="n">
        <v>3605533315163</v>
      </c>
      <c r="M2756" s="13"/>
      <c r="N2756" s="13" t="n">
        <v>3605533315163</v>
      </c>
      <c r="O2756" s="13"/>
      <c r="P2756" s="13" t="s">
        <v>5291</v>
      </c>
      <c r="Q2756" s="13" t="s">
        <v>5289</v>
      </c>
      <c r="R2756" s="13" t="s">
        <v>5292</v>
      </c>
      <c r="S2756" s="13" t="s">
        <v>5293</v>
      </c>
      <c r="T2756" s="13" t="s">
        <v>5</v>
      </c>
      <c r="U2756" s="13" t="s">
        <v>43</v>
      </c>
      <c r="V2756" s="13" t="n">
        <f aca="false">IF(COUNTIF($B$2:B2756,B2756)=1,1,0)</f>
        <v>0</v>
      </c>
      <c r="W2756" s="13" t="n">
        <f aca="false">IF(COUNTIFS($B$2:B2756,B2756,$T$2:T2756,T2756)=1,1,0)</f>
        <v>0</v>
      </c>
    </row>
    <row r="2757" customFormat="false" ht="15" hidden="false" customHeight="false" outlineLevel="0" collapsed="false">
      <c r="A2757" s="13" t="s">
        <v>1087</v>
      </c>
      <c r="B2757" s="13" t="s">
        <v>79</v>
      </c>
      <c r="C2757" s="13" t="n">
        <v>1400</v>
      </c>
      <c r="D2757" s="13" t="n">
        <v>1</v>
      </c>
      <c r="E2757" s="13" t="n">
        <v>1398.85</v>
      </c>
      <c r="F2757" s="13" t="s">
        <v>5325</v>
      </c>
      <c r="G2757" s="13" t="s">
        <v>5289</v>
      </c>
      <c r="H2757" s="13" t="s">
        <v>5292</v>
      </c>
      <c r="I2757" s="13" t="s">
        <v>5289</v>
      </c>
      <c r="J2757" s="13" t="s">
        <v>5289</v>
      </c>
      <c r="K2757" s="13" t="s">
        <v>5292</v>
      </c>
      <c r="L2757" s="13" t="n">
        <v>8056669925866</v>
      </c>
      <c r="M2757" s="13"/>
      <c r="N2757" s="13" t="n">
        <v>8056669925866</v>
      </c>
      <c r="O2757" s="13"/>
      <c r="P2757" s="13" t="s">
        <v>5291</v>
      </c>
      <c r="Q2757" s="13" t="s">
        <v>5289</v>
      </c>
      <c r="R2757" s="13" t="s">
        <v>5292</v>
      </c>
      <c r="S2757" s="13" t="s">
        <v>5293</v>
      </c>
      <c r="T2757" s="13" t="s">
        <v>5</v>
      </c>
      <c r="U2757" s="13" t="s">
        <v>43</v>
      </c>
      <c r="V2757" s="13" t="n">
        <f aca="false">IF(COUNTIF($B$2:B2757,B2757)=1,1,0)</f>
        <v>0</v>
      </c>
      <c r="W2757" s="13" t="n">
        <f aca="false">IF(COUNTIFS($B$2:B2757,B2757,$T$2:T2757,T2757)=1,1,0)</f>
        <v>0</v>
      </c>
    </row>
    <row r="2758" customFormat="false" ht="15" hidden="false" customHeight="false" outlineLevel="0" collapsed="false">
      <c r="A2758" s="13" t="s">
        <v>1072</v>
      </c>
      <c r="B2758" s="13" t="s">
        <v>121</v>
      </c>
      <c r="C2758" s="13" t="n">
        <v>1400</v>
      </c>
      <c r="D2758" s="13" t="n">
        <v>10</v>
      </c>
      <c r="E2758" s="13" t="n">
        <v>99.5214285714286</v>
      </c>
      <c r="F2758" s="13" t="s">
        <v>5325</v>
      </c>
      <c r="G2758" s="13" t="s">
        <v>5289</v>
      </c>
      <c r="H2758" s="13" t="s">
        <v>5289</v>
      </c>
      <c r="I2758" s="13" t="s">
        <v>5289</v>
      </c>
      <c r="J2758" s="13" t="s">
        <v>5289</v>
      </c>
      <c r="K2758" s="13" t="s">
        <v>5289</v>
      </c>
      <c r="L2758" s="13"/>
      <c r="M2758" s="13"/>
      <c r="N2758" s="13" t="n">
        <v>7896086944146</v>
      </c>
      <c r="O2758" s="13"/>
      <c r="P2758" s="13" t="s">
        <v>5291</v>
      </c>
      <c r="Q2758" s="13" t="s">
        <v>5289</v>
      </c>
      <c r="R2758" s="13" t="s">
        <v>5292</v>
      </c>
      <c r="S2758" s="13" t="s">
        <v>5293</v>
      </c>
      <c r="T2758" s="13" t="s">
        <v>5</v>
      </c>
      <c r="U2758" s="13" t="s">
        <v>183</v>
      </c>
      <c r="V2758" s="13" t="n">
        <f aca="false">IF(COUNTIF($B$2:B2758,B2758)=1,1,0)</f>
        <v>0</v>
      </c>
      <c r="W2758" s="13" t="n">
        <f aca="false">IF(COUNTIFS($B$2:B2758,B2758,$T$2:T2758,T2758)=1,1,0)</f>
        <v>0</v>
      </c>
    </row>
    <row r="2759" customFormat="false" ht="15" hidden="false" customHeight="false" outlineLevel="0" collapsed="false">
      <c r="A2759" s="13" t="s">
        <v>3525</v>
      </c>
      <c r="B2759" s="13" t="s">
        <v>2145</v>
      </c>
      <c r="C2759" s="13" t="n">
        <v>1400</v>
      </c>
      <c r="D2759" s="13" t="n">
        <v>2</v>
      </c>
      <c r="E2759" s="13" t="n">
        <v>464.13</v>
      </c>
      <c r="F2759" s="13" t="s">
        <v>5288</v>
      </c>
      <c r="G2759" s="13" t="s">
        <v>5289</v>
      </c>
      <c r="H2759" s="13" t="s">
        <v>5289</v>
      </c>
      <c r="I2759" s="13" t="s">
        <v>5289</v>
      </c>
      <c r="J2759" s="13" t="s">
        <v>5289</v>
      </c>
      <c r="K2759" s="13" t="s">
        <v>5289</v>
      </c>
      <c r="L2759" s="13" t="n">
        <v>4064941178637</v>
      </c>
      <c r="M2759" s="13"/>
      <c r="N2759" s="13" t="n">
        <v>4064941178637</v>
      </c>
      <c r="O2759" s="13"/>
      <c r="P2759" s="13" t="s">
        <v>5291</v>
      </c>
      <c r="Q2759" s="13" t="s">
        <v>5289</v>
      </c>
      <c r="R2759" s="13" t="s">
        <v>5292</v>
      </c>
      <c r="S2759" s="13" t="s">
        <v>5293</v>
      </c>
      <c r="T2759" s="13" t="s">
        <v>5</v>
      </c>
      <c r="U2759" s="13" t="s">
        <v>43</v>
      </c>
      <c r="V2759" s="13" t="n">
        <f aca="false">IF(COUNTIF($B$2:B2759,B2759)=1,1,0)</f>
        <v>0</v>
      </c>
      <c r="W2759" s="13" t="n">
        <f aca="false">IF(COUNTIFS($B$2:B2759,B2759,$T$2:T2759,T2759)=1,1,0)</f>
        <v>0</v>
      </c>
    </row>
    <row r="2760" customFormat="false" ht="15" hidden="false" customHeight="false" outlineLevel="0" collapsed="false">
      <c r="A2760" s="13" t="s">
        <v>1073</v>
      </c>
      <c r="B2760" s="13" t="s">
        <v>153</v>
      </c>
      <c r="C2760" s="13" t="n">
        <v>1400</v>
      </c>
      <c r="D2760" s="13" t="n">
        <v>2</v>
      </c>
      <c r="E2760" s="13" t="n">
        <v>464</v>
      </c>
      <c r="F2760" s="13" t="s">
        <v>5325</v>
      </c>
      <c r="G2760" s="13" t="s">
        <v>5289</v>
      </c>
      <c r="H2760" s="13" t="s">
        <v>5289</v>
      </c>
      <c r="I2760" s="13" t="s">
        <v>5289</v>
      </c>
      <c r="J2760" s="13" t="s">
        <v>5289</v>
      </c>
      <c r="K2760" s="13" t="s">
        <v>5289</v>
      </c>
      <c r="L2760" s="13" t="n">
        <v>8011003823529</v>
      </c>
      <c r="M2760" s="13"/>
      <c r="N2760" s="13" t="n">
        <v>8011003823529</v>
      </c>
      <c r="O2760" s="13"/>
      <c r="P2760" s="13" t="s">
        <v>5291</v>
      </c>
      <c r="Q2760" s="13" t="s">
        <v>5289</v>
      </c>
      <c r="R2760" s="13" t="s">
        <v>5292</v>
      </c>
      <c r="S2760" s="13" t="s">
        <v>5293</v>
      </c>
      <c r="T2760" s="13" t="s">
        <v>5</v>
      </c>
      <c r="U2760" s="13" t="s">
        <v>43</v>
      </c>
      <c r="V2760" s="13" t="n">
        <f aca="false">IF(COUNTIF($B$2:B2760,B2760)=1,1,0)</f>
        <v>0</v>
      </c>
      <c r="W2760" s="13" t="n">
        <f aca="false">IF(COUNTIFS($B$2:B2760,B2760,$T$2:T2760,T2760)=1,1,0)</f>
        <v>0</v>
      </c>
    </row>
    <row r="2761" customFormat="false" ht="15" hidden="false" customHeight="false" outlineLevel="0" collapsed="false">
      <c r="A2761" s="13" t="s">
        <v>113</v>
      </c>
      <c r="B2761" s="13" t="s">
        <v>45</v>
      </c>
      <c r="C2761" s="13" t="n">
        <v>1400</v>
      </c>
      <c r="D2761" s="13" t="n">
        <v>2</v>
      </c>
      <c r="E2761" s="13" t="n">
        <v>695</v>
      </c>
      <c r="F2761" s="13" t="s">
        <v>5288</v>
      </c>
      <c r="G2761" s="13" t="s">
        <v>5292</v>
      </c>
      <c r="H2761" s="13" t="s">
        <v>5289</v>
      </c>
      <c r="I2761" s="13" t="s">
        <v>5289</v>
      </c>
      <c r="J2761" s="13" t="s">
        <v>5289</v>
      </c>
      <c r="K2761" s="13" t="s">
        <v>5289</v>
      </c>
      <c r="L2761" s="13" t="n">
        <v>8435415050760</v>
      </c>
      <c r="M2761" s="13"/>
      <c r="N2761" s="13" t="n">
        <v>8435415050760</v>
      </c>
      <c r="O2761" s="13"/>
      <c r="P2761" s="13" t="s">
        <v>5291</v>
      </c>
      <c r="Q2761" s="13" t="s">
        <v>5289</v>
      </c>
      <c r="R2761" s="13" t="s">
        <v>5292</v>
      </c>
      <c r="S2761" s="13" t="s">
        <v>5293</v>
      </c>
      <c r="T2761" s="13" t="s">
        <v>5</v>
      </c>
      <c r="U2761" s="13" t="s">
        <v>43</v>
      </c>
      <c r="V2761" s="13" t="n">
        <f aca="false">IF(COUNTIF($B$2:B2761,B2761)=1,1,0)</f>
        <v>0</v>
      </c>
      <c r="W2761" s="13" t="n">
        <f aca="false">IF(COUNTIFS($B$2:B2761,B2761,$T$2:T2761,T2761)=1,1,0)</f>
        <v>0</v>
      </c>
    </row>
    <row r="2762" customFormat="false" ht="15" hidden="false" customHeight="false" outlineLevel="0" collapsed="false">
      <c r="A2762" s="13" t="s">
        <v>576</v>
      </c>
      <c r="B2762" s="13" t="s">
        <v>103</v>
      </c>
      <c r="C2762" s="13" t="n">
        <v>1400</v>
      </c>
      <c r="D2762" s="13" t="n">
        <v>5</v>
      </c>
      <c r="E2762" s="13" t="n">
        <v>198.245714285714</v>
      </c>
      <c r="F2762" s="13" t="s">
        <v>5325</v>
      </c>
      <c r="G2762" s="13" t="s">
        <v>5289</v>
      </c>
      <c r="H2762" s="13" t="s">
        <v>5289</v>
      </c>
      <c r="I2762" s="13" t="s">
        <v>5289</v>
      </c>
      <c r="J2762" s="13" t="s">
        <v>5289</v>
      </c>
      <c r="K2762" s="13" t="s">
        <v>5289</v>
      </c>
      <c r="L2762" s="13" t="n">
        <v>8411061930878</v>
      </c>
      <c r="M2762" s="13"/>
      <c r="N2762" s="13" t="n">
        <v>8411061930878</v>
      </c>
      <c r="O2762" s="13"/>
      <c r="P2762" s="13" t="s">
        <v>5291</v>
      </c>
      <c r="Q2762" s="13" t="s">
        <v>5289</v>
      </c>
      <c r="R2762" s="13" t="s">
        <v>5292</v>
      </c>
      <c r="S2762" s="13" t="s">
        <v>5293</v>
      </c>
      <c r="T2762" s="13" t="s">
        <v>5</v>
      </c>
      <c r="U2762" s="13" t="s">
        <v>43</v>
      </c>
      <c r="V2762" s="13" t="n">
        <f aca="false">IF(COUNTIF($B$2:B2762,B2762)=1,1,0)</f>
        <v>0</v>
      </c>
      <c r="W2762" s="13" t="n">
        <f aca="false">IF(COUNTIFS($B$2:B2762,B2762,$T$2:T2762,T2762)=1,1,0)</f>
        <v>0</v>
      </c>
    </row>
    <row r="2763" customFormat="false" ht="15" hidden="false" customHeight="false" outlineLevel="0" collapsed="false">
      <c r="A2763" s="13" t="s">
        <v>1078</v>
      </c>
      <c r="B2763" s="13" t="s">
        <v>72</v>
      </c>
      <c r="C2763" s="13" t="n">
        <v>1400</v>
      </c>
      <c r="D2763" s="13" t="n">
        <v>2</v>
      </c>
      <c r="E2763" s="13" t="n">
        <v>689</v>
      </c>
      <c r="F2763" s="13" t="s">
        <v>5325</v>
      </c>
      <c r="G2763" s="13" t="s">
        <v>5289</v>
      </c>
      <c r="H2763" s="13" t="s">
        <v>5292</v>
      </c>
      <c r="I2763" s="13" t="s">
        <v>5289</v>
      </c>
      <c r="J2763" s="13" t="s">
        <v>5289</v>
      </c>
      <c r="K2763" s="13" t="s">
        <v>5289</v>
      </c>
      <c r="L2763" s="13" t="n">
        <v>3614274182897</v>
      </c>
      <c r="M2763" s="13"/>
      <c r="N2763" s="13" t="n">
        <v>3614274182897</v>
      </c>
      <c r="O2763" s="13"/>
      <c r="P2763" s="13" t="s">
        <v>5291</v>
      </c>
      <c r="Q2763" s="13" t="s">
        <v>5289</v>
      </c>
      <c r="R2763" s="13" t="s">
        <v>5292</v>
      </c>
      <c r="S2763" s="13" t="s">
        <v>5293</v>
      </c>
      <c r="T2763" s="13" t="s">
        <v>5</v>
      </c>
      <c r="U2763" s="13" t="s">
        <v>43</v>
      </c>
      <c r="V2763" s="13" t="n">
        <f aca="false">IF(COUNTIF($B$2:B2763,B2763)=1,1,0)</f>
        <v>0</v>
      </c>
      <c r="W2763" s="13" t="n">
        <f aca="false">IF(COUNTIFS($B$2:B2763,B2763,$T$2:T2763,T2763)=1,1,0)</f>
        <v>0</v>
      </c>
    </row>
    <row r="2764" customFormat="false" ht="15" hidden="false" customHeight="false" outlineLevel="0" collapsed="false">
      <c r="A2764" s="13" t="s">
        <v>1079</v>
      </c>
      <c r="B2764" s="13" t="s">
        <v>50</v>
      </c>
      <c r="C2764" s="13" t="n">
        <v>1400</v>
      </c>
      <c r="D2764" s="13" t="n">
        <v>2</v>
      </c>
      <c r="E2764" s="13" t="n">
        <v>459</v>
      </c>
      <c r="F2764" s="13" t="s">
        <v>5288</v>
      </c>
      <c r="G2764" s="13" t="s">
        <v>5292</v>
      </c>
      <c r="H2764" s="13" t="s">
        <v>5289</v>
      </c>
      <c r="I2764" s="13" t="s">
        <v>5289</v>
      </c>
      <c r="J2764" s="13" t="s">
        <v>5289</v>
      </c>
      <c r="K2764" s="13" t="s">
        <v>5289</v>
      </c>
      <c r="L2764" s="13"/>
      <c r="M2764" s="13"/>
      <c r="N2764" s="13" t="n">
        <v>3349668614462</v>
      </c>
      <c r="O2764" s="13"/>
      <c r="P2764" s="13" t="s">
        <v>5291</v>
      </c>
      <c r="Q2764" s="13" t="s">
        <v>5289</v>
      </c>
      <c r="R2764" s="13" t="s">
        <v>5292</v>
      </c>
      <c r="S2764" s="13" t="s">
        <v>5293</v>
      </c>
      <c r="T2764" s="13" t="s">
        <v>5</v>
      </c>
      <c r="U2764" s="13" t="s">
        <v>43</v>
      </c>
      <c r="V2764" s="13" t="n">
        <f aca="false">IF(COUNTIF($B$2:B2764,B2764)=1,1,0)</f>
        <v>0</v>
      </c>
      <c r="W2764" s="13" t="n">
        <f aca="false">IF(COUNTIFS($B$2:B2764,B2764,$T$2:T2764,T2764)=1,1,0)</f>
        <v>0</v>
      </c>
    </row>
    <row r="2765" customFormat="false" ht="15" hidden="false" customHeight="false" outlineLevel="0" collapsed="false">
      <c r="A2765" s="13" t="s">
        <v>511</v>
      </c>
      <c r="B2765" s="13" t="s">
        <v>103</v>
      </c>
      <c r="C2765" s="13" t="n">
        <v>1400</v>
      </c>
      <c r="D2765" s="13" t="n">
        <v>5</v>
      </c>
      <c r="E2765" s="13" t="n">
        <v>196.448571428571</v>
      </c>
      <c r="F2765" s="13" t="s">
        <v>5288</v>
      </c>
      <c r="G2765" s="13" t="s">
        <v>5289</v>
      </c>
      <c r="H2765" s="13" t="s">
        <v>5289</v>
      </c>
      <c r="I2765" s="13" t="s">
        <v>5289</v>
      </c>
      <c r="J2765" s="13" t="s">
        <v>5289</v>
      </c>
      <c r="K2765" s="13" t="s">
        <v>5289</v>
      </c>
      <c r="L2765" s="13" t="n">
        <v>8411061081341</v>
      </c>
      <c r="M2765" s="13"/>
      <c r="N2765" s="13" t="n">
        <v>8411061813973</v>
      </c>
      <c r="O2765" s="13"/>
      <c r="P2765" s="13" t="s">
        <v>5291</v>
      </c>
      <c r="Q2765" s="13" t="s">
        <v>5289</v>
      </c>
      <c r="R2765" s="13" t="s">
        <v>5292</v>
      </c>
      <c r="S2765" s="13" t="s">
        <v>5293</v>
      </c>
      <c r="T2765" s="13" t="s">
        <v>5</v>
      </c>
      <c r="U2765" s="13" t="s">
        <v>43</v>
      </c>
      <c r="V2765" s="13" t="n">
        <f aca="false">IF(COUNTIF($B$2:B2765,B2765)=1,1,0)</f>
        <v>0</v>
      </c>
      <c r="W2765" s="13" t="n">
        <f aca="false">IF(COUNTIFS($B$2:B2765,B2765,$T$2:T2765,T2765)=1,1,0)</f>
        <v>0</v>
      </c>
    </row>
    <row r="2766" customFormat="false" ht="15" hidden="false" customHeight="false" outlineLevel="0" collapsed="false">
      <c r="A2766" s="13" t="s">
        <v>1088</v>
      </c>
      <c r="B2766" s="13" t="s">
        <v>186</v>
      </c>
      <c r="C2766" s="13" t="n">
        <v>1400</v>
      </c>
      <c r="D2766" s="13" t="n">
        <v>2</v>
      </c>
      <c r="E2766" s="13" t="n">
        <v>456.94</v>
      </c>
      <c r="F2766" s="13" t="s">
        <v>5325</v>
      </c>
      <c r="G2766" s="13" t="s">
        <v>5289</v>
      </c>
      <c r="H2766" s="13" t="s">
        <v>5292</v>
      </c>
      <c r="I2766" s="13" t="s">
        <v>5289</v>
      </c>
      <c r="J2766" s="13" t="s">
        <v>5289</v>
      </c>
      <c r="K2766" s="13" t="s">
        <v>5289</v>
      </c>
      <c r="L2766" s="13" t="n">
        <v>88300107438</v>
      </c>
      <c r="M2766" s="13"/>
      <c r="N2766" s="13" t="n">
        <v>88300107438</v>
      </c>
      <c r="O2766" s="13"/>
      <c r="P2766" s="13" t="s">
        <v>5297</v>
      </c>
      <c r="Q2766" s="13" t="s">
        <v>5289</v>
      </c>
      <c r="R2766" s="13" t="s">
        <v>5292</v>
      </c>
      <c r="S2766" s="13" t="s">
        <v>5293</v>
      </c>
      <c r="T2766" s="13" t="s">
        <v>5</v>
      </c>
      <c r="U2766" s="13" t="s">
        <v>43</v>
      </c>
      <c r="V2766" s="13" t="n">
        <f aca="false">IF(COUNTIF($B$2:B2766,B2766)=1,1,0)</f>
        <v>0</v>
      </c>
      <c r="W2766" s="13" t="n">
        <f aca="false">IF(COUNTIFS($B$2:B2766,B2766,$T$2:T2766,T2766)=1,1,0)</f>
        <v>0</v>
      </c>
    </row>
    <row r="2767" customFormat="false" ht="15" hidden="false" customHeight="false" outlineLevel="0" collapsed="false">
      <c r="A2767" s="13" t="s">
        <v>1089</v>
      </c>
      <c r="B2767" s="13" t="s">
        <v>177</v>
      </c>
      <c r="C2767" s="13" t="n">
        <v>1400</v>
      </c>
      <c r="D2767" s="13" t="n">
        <v>2</v>
      </c>
      <c r="E2767" s="13" t="n">
        <v>684</v>
      </c>
      <c r="F2767" s="13" t="s">
        <v>5325</v>
      </c>
      <c r="G2767" s="13" t="s">
        <v>5292</v>
      </c>
      <c r="H2767" s="13" t="s">
        <v>5289</v>
      </c>
      <c r="I2767" s="13" t="s">
        <v>5289</v>
      </c>
      <c r="J2767" s="13" t="s">
        <v>5289</v>
      </c>
      <c r="K2767" s="13" t="s">
        <v>5289</v>
      </c>
      <c r="L2767" s="13"/>
      <c r="M2767" s="13"/>
      <c r="N2767" s="13" t="n">
        <v>3616303470791</v>
      </c>
      <c r="O2767" s="13"/>
      <c r="P2767" s="13" t="s">
        <v>5291</v>
      </c>
      <c r="Q2767" s="13" t="s">
        <v>5289</v>
      </c>
      <c r="R2767" s="13" t="s">
        <v>5292</v>
      </c>
      <c r="S2767" s="13" t="s">
        <v>5293</v>
      </c>
      <c r="T2767" s="13" t="s">
        <v>5</v>
      </c>
      <c r="U2767" s="13" t="s">
        <v>43</v>
      </c>
      <c r="V2767" s="13" t="n">
        <f aca="false">IF(COUNTIF($B$2:B2767,B2767)=1,1,0)</f>
        <v>0</v>
      </c>
      <c r="W2767" s="13" t="n">
        <f aca="false">IF(COUNTIFS($B$2:B2767,B2767,$T$2:T2767,T2767)=1,1,0)</f>
        <v>0</v>
      </c>
    </row>
    <row r="2768" customFormat="false" ht="15" hidden="false" customHeight="false" outlineLevel="0" collapsed="false">
      <c r="A2768" s="13" t="s">
        <v>1090</v>
      </c>
      <c r="B2768" s="13" t="s">
        <v>45</v>
      </c>
      <c r="C2768" s="13" t="n">
        <v>1400</v>
      </c>
      <c r="D2768" s="13" t="n">
        <v>2</v>
      </c>
      <c r="E2768" s="13" t="n">
        <v>684</v>
      </c>
      <c r="F2768" s="13" t="s">
        <v>5325</v>
      </c>
      <c r="G2768" s="13" t="s">
        <v>5289</v>
      </c>
      <c r="H2768" s="13" t="s">
        <v>5292</v>
      </c>
      <c r="I2768" s="13" t="s">
        <v>5289</v>
      </c>
      <c r="J2768" s="13" t="s">
        <v>5289</v>
      </c>
      <c r="K2768" s="13" t="s">
        <v>5289</v>
      </c>
      <c r="L2768" s="13" t="n">
        <v>8435415059060</v>
      </c>
      <c r="M2768" s="13"/>
      <c r="N2768" s="13" t="n">
        <v>8435415059060</v>
      </c>
      <c r="O2768" s="13"/>
      <c r="P2768" s="13" t="s">
        <v>5291</v>
      </c>
      <c r="Q2768" s="13" t="s">
        <v>5289</v>
      </c>
      <c r="R2768" s="13" t="s">
        <v>5292</v>
      </c>
      <c r="S2768" s="13" t="s">
        <v>5293</v>
      </c>
      <c r="T2768" s="13" t="s">
        <v>5</v>
      </c>
      <c r="U2768" s="13" t="s">
        <v>43</v>
      </c>
      <c r="V2768" s="13" t="n">
        <f aca="false">IF(COUNTIF($B$2:B2768,B2768)=1,1,0)</f>
        <v>0</v>
      </c>
      <c r="W2768" s="13" t="n">
        <f aca="false">IF(COUNTIFS($B$2:B2768,B2768,$T$2:T2768,T2768)=1,1,0)</f>
        <v>0</v>
      </c>
    </row>
    <row r="2769" customFormat="false" ht="15" hidden="false" customHeight="false" outlineLevel="0" collapsed="false">
      <c r="A2769" s="13" t="s">
        <v>1059</v>
      </c>
      <c r="B2769" s="13" t="s">
        <v>124</v>
      </c>
      <c r="C2769" s="13" t="n">
        <v>1400</v>
      </c>
      <c r="D2769" s="13" t="n">
        <v>2</v>
      </c>
      <c r="E2769" s="13" t="n">
        <v>680.48</v>
      </c>
      <c r="F2769" s="13" t="s">
        <v>5325</v>
      </c>
      <c r="G2769" s="13" t="s">
        <v>5289</v>
      </c>
      <c r="H2769" s="13" t="s">
        <v>5292</v>
      </c>
      <c r="I2769" s="13" t="s">
        <v>5289</v>
      </c>
      <c r="J2769" s="13" t="s">
        <v>5289</v>
      </c>
      <c r="K2769" s="13" t="s">
        <v>5289</v>
      </c>
      <c r="L2769" s="13" t="n">
        <v>3614274219579</v>
      </c>
      <c r="M2769" s="13"/>
      <c r="N2769" s="13" t="n">
        <v>3614274219579</v>
      </c>
      <c r="O2769" s="13"/>
      <c r="P2769" s="13" t="s">
        <v>5291</v>
      </c>
      <c r="Q2769" s="13" t="s">
        <v>5289</v>
      </c>
      <c r="R2769" s="13" t="s">
        <v>5292</v>
      </c>
      <c r="S2769" s="13" t="s">
        <v>5293</v>
      </c>
      <c r="T2769" s="13" t="s">
        <v>5</v>
      </c>
      <c r="U2769" s="13" t="s">
        <v>43</v>
      </c>
      <c r="V2769" s="13" t="n">
        <f aca="false">IF(COUNTIF($B$2:B2769,B2769)=1,1,0)</f>
        <v>0</v>
      </c>
      <c r="W2769" s="13" t="n">
        <f aca="false">IF(COUNTIFS($B$2:B2769,B2769,$T$2:T2769,T2769)=1,1,0)</f>
        <v>0</v>
      </c>
    </row>
    <row r="2770" customFormat="false" ht="15" hidden="false" customHeight="false" outlineLevel="0" collapsed="false">
      <c r="A2770" s="13" t="s">
        <v>575</v>
      </c>
      <c r="B2770" s="13" t="s">
        <v>329</v>
      </c>
      <c r="C2770" s="13" t="n">
        <v>1400</v>
      </c>
      <c r="D2770" s="13" t="n">
        <v>2</v>
      </c>
      <c r="E2770" s="13" t="n">
        <v>680</v>
      </c>
      <c r="F2770" s="13" t="s">
        <v>5288</v>
      </c>
      <c r="G2770" s="13" t="s">
        <v>5289</v>
      </c>
      <c r="H2770" s="13" t="s">
        <v>5289</v>
      </c>
      <c r="I2770" s="13" t="s">
        <v>5289</v>
      </c>
      <c r="J2770" s="13" t="s">
        <v>5289</v>
      </c>
      <c r="K2770" s="13" t="s">
        <v>5289</v>
      </c>
      <c r="L2770" s="13" t="n">
        <v>3137370364207</v>
      </c>
      <c r="M2770" s="13"/>
      <c r="N2770" s="13" t="n">
        <v>3137370364207</v>
      </c>
      <c r="O2770" s="13"/>
      <c r="P2770" s="13" t="s">
        <v>5291</v>
      </c>
      <c r="Q2770" s="13" t="s">
        <v>5289</v>
      </c>
      <c r="R2770" s="13" t="s">
        <v>5292</v>
      </c>
      <c r="S2770" s="13" t="s">
        <v>5293</v>
      </c>
      <c r="T2770" s="13" t="s">
        <v>5</v>
      </c>
      <c r="U2770" s="13" t="s">
        <v>43</v>
      </c>
      <c r="V2770" s="13" t="n">
        <f aca="false">IF(COUNTIF($B$2:B2770,B2770)=1,1,0)</f>
        <v>0</v>
      </c>
      <c r="W2770" s="13" t="n">
        <f aca="false">IF(COUNTIFS($B$2:B2770,B2770,$T$2:T2770,T2770)=1,1,0)</f>
        <v>0</v>
      </c>
    </row>
    <row r="2771" customFormat="false" ht="15" hidden="false" customHeight="false" outlineLevel="0" collapsed="false">
      <c r="A2771" s="13" t="s">
        <v>1102</v>
      </c>
      <c r="B2771" s="13" t="s">
        <v>103</v>
      </c>
      <c r="C2771" s="13" t="n">
        <v>1400</v>
      </c>
      <c r="D2771" s="13" t="n">
        <v>5</v>
      </c>
      <c r="E2771" s="13" t="n">
        <v>170</v>
      </c>
      <c r="F2771" s="13" t="s">
        <v>5325</v>
      </c>
      <c r="G2771" s="13" t="s">
        <v>5289</v>
      </c>
      <c r="H2771" s="13" t="s">
        <v>5289</v>
      </c>
      <c r="I2771" s="13" t="s">
        <v>5289</v>
      </c>
      <c r="J2771" s="13" t="s">
        <v>5289</v>
      </c>
      <c r="K2771" s="13" t="s">
        <v>5289</v>
      </c>
      <c r="L2771" s="13" t="n">
        <v>8411061124277</v>
      </c>
      <c r="M2771" s="13"/>
      <c r="N2771" s="13" t="n">
        <v>8411061124277</v>
      </c>
      <c r="O2771" s="13"/>
      <c r="P2771" s="13" t="s">
        <v>5291</v>
      </c>
      <c r="Q2771" s="13" t="s">
        <v>5289</v>
      </c>
      <c r="R2771" s="13" t="s">
        <v>5292</v>
      </c>
      <c r="S2771" s="13" t="s">
        <v>5293</v>
      </c>
      <c r="T2771" s="13" t="s">
        <v>5</v>
      </c>
      <c r="U2771" s="13" t="s">
        <v>43</v>
      </c>
      <c r="V2771" s="13" t="n">
        <f aca="false">IF(COUNTIF($B$2:B2771,B2771)=1,1,0)</f>
        <v>0</v>
      </c>
      <c r="W2771" s="13" t="n">
        <f aca="false">IF(COUNTIFS($B$2:B2771,B2771,$T$2:T2771,T2771)=1,1,0)</f>
        <v>0</v>
      </c>
    </row>
    <row r="2772" customFormat="false" ht="15" hidden="false" customHeight="false" outlineLevel="0" collapsed="false">
      <c r="A2772" s="13" t="s">
        <v>1103</v>
      </c>
      <c r="B2772" s="13" t="s">
        <v>50</v>
      </c>
      <c r="C2772" s="13" t="n">
        <v>1400</v>
      </c>
      <c r="D2772" s="13" t="n">
        <v>2</v>
      </c>
      <c r="E2772" s="13" t="n">
        <v>680</v>
      </c>
      <c r="F2772" s="13" t="s">
        <v>5325</v>
      </c>
      <c r="G2772" s="13" t="s">
        <v>5289</v>
      </c>
      <c r="H2772" s="13" t="s">
        <v>5292</v>
      </c>
      <c r="I2772" s="13" t="s">
        <v>5289</v>
      </c>
      <c r="J2772" s="13" t="s">
        <v>5289</v>
      </c>
      <c r="K2772" s="13" t="s">
        <v>5289</v>
      </c>
      <c r="L2772" s="13" t="n">
        <v>3349668614608</v>
      </c>
      <c r="M2772" s="13"/>
      <c r="N2772" s="13" t="n">
        <v>3349668614608</v>
      </c>
      <c r="O2772" s="13"/>
      <c r="P2772" s="13" t="s">
        <v>5291</v>
      </c>
      <c r="Q2772" s="13" t="s">
        <v>5289</v>
      </c>
      <c r="R2772" s="13" t="s">
        <v>5292</v>
      </c>
      <c r="S2772" s="13" t="s">
        <v>5293</v>
      </c>
      <c r="T2772" s="13" t="s">
        <v>5</v>
      </c>
      <c r="U2772" s="13" t="s">
        <v>43</v>
      </c>
      <c r="V2772" s="13" t="n">
        <f aca="false">IF(COUNTIF($B$2:B2772,B2772)=1,1,0)</f>
        <v>0</v>
      </c>
      <c r="W2772" s="13" t="n">
        <f aca="false">IF(COUNTIFS($B$2:B2772,B2772,$T$2:T2772,T2772)=1,1,0)</f>
        <v>0</v>
      </c>
    </row>
    <row r="2773" customFormat="false" ht="15" hidden="false" customHeight="false" outlineLevel="0" collapsed="false">
      <c r="A2773" s="13" t="s">
        <v>1060</v>
      </c>
      <c r="B2773" s="13" t="s">
        <v>42</v>
      </c>
      <c r="C2773" s="13" t="n">
        <v>1400</v>
      </c>
      <c r="D2773" s="13" t="n">
        <v>2</v>
      </c>
      <c r="E2773" s="13" t="n">
        <v>678.85</v>
      </c>
      <c r="F2773" s="13" t="s">
        <v>5325</v>
      </c>
      <c r="G2773" s="13" t="s">
        <v>5292</v>
      </c>
      <c r="H2773" s="13" t="s">
        <v>5289</v>
      </c>
      <c r="I2773" s="13" t="s">
        <v>5289</v>
      </c>
      <c r="J2773" s="13" t="s">
        <v>5289</v>
      </c>
      <c r="K2773" s="13" t="s">
        <v>5292</v>
      </c>
      <c r="L2773" s="13" t="n">
        <v>8411061841631</v>
      </c>
      <c r="M2773" s="13"/>
      <c r="N2773" s="13" t="n">
        <v>8.41106184163184E+025</v>
      </c>
      <c r="O2773" s="13"/>
      <c r="P2773" s="13" t="s">
        <v>5291</v>
      </c>
      <c r="Q2773" s="13" t="s">
        <v>5289</v>
      </c>
      <c r="R2773" s="13" t="s">
        <v>5292</v>
      </c>
      <c r="S2773" s="13" t="s">
        <v>5293</v>
      </c>
      <c r="T2773" s="13" t="s">
        <v>5</v>
      </c>
      <c r="U2773" s="13" t="s">
        <v>43</v>
      </c>
      <c r="V2773" s="13" t="n">
        <f aca="false">IF(COUNTIF($B$2:B2773,B2773)=1,1,0)</f>
        <v>0</v>
      </c>
      <c r="W2773" s="13" t="n">
        <f aca="false">IF(COUNTIFS($B$2:B2773,B2773,$T$2:T2773,T2773)=1,1,0)</f>
        <v>0</v>
      </c>
    </row>
    <row r="2774" customFormat="false" ht="15" hidden="false" customHeight="false" outlineLevel="0" collapsed="false">
      <c r="A2774" s="13" t="s">
        <v>1057</v>
      </c>
      <c r="B2774" s="13" t="s">
        <v>121</v>
      </c>
      <c r="C2774" s="13" t="n">
        <v>1400</v>
      </c>
      <c r="D2774" s="13" t="n">
        <v>5</v>
      </c>
      <c r="E2774" s="13" t="n">
        <v>169.5525</v>
      </c>
      <c r="F2774" s="13" t="s">
        <v>5325</v>
      </c>
      <c r="G2774" s="13" t="s">
        <v>5289</v>
      </c>
      <c r="H2774" s="13" t="s">
        <v>5289</v>
      </c>
      <c r="I2774" s="13" t="s">
        <v>5289</v>
      </c>
      <c r="J2774" s="13" t="s">
        <v>5289</v>
      </c>
      <c r="K2774" s="13" t="s">
        <v>5289</v>
      </c>
      <c r="L2774" s="13" t="n">
        <v>7896086996176</v>
      </c>
      <c r="M2774" s="13"/>
      <c r="N2774" s="13" t="n">
        <v>7896086996176</v>
      </c>
      <c r="O2774" s="13"/>
      <c r="P2774" s="13" t="s">
        <v>5291</v>
      </c>
      <c r="Q2774" s="13" t="s">
        <v>5289</v>
      </c>
      <c r="R2774" s="13" t="s">
        <v>5292</v>
      </c>
      <c r="S2774" s="13" t="s">
        <v>5293</v>
      </c>
      <c r="T2774" s="13" t="s">
        <v>5</v>
      </c>
      <c r="U2774" s="13" t="s">
        <v>43</v>
      </c>
      <c r="V2774" s="13" t="n">
        <f aca="false">IF(COUNTIF($B$2:B2774,B2774)=1,1,0)</f>
        <v>0</v>
      </c>
      <c r="W2774" s="13" t="n">
        <f aca="false">IF(COUNTIFS($B$2:B2774,B2774,$T$2:T2774,T2774)=1,1,0)</f>
        <v>0</v>
      </c>
    </row>
    <row r="2775" customFormat="false" ht="15" hidden="false" customHeight="false" outlineLevel="0" collapsed="false">
      <c r="A2775" s="13" t="s">
        <v>1058</v>
      </c>
      <c r="B2775" s="13" t="s">
        <v>153</v>
      </c>
      <c r="C2775" s="13" t="n">
        <v>1400</v>
      </c>
      <c r="D2775" s="13" t="n">
        <v>2</v>
      </c>
      <c r="E2775" s="13" t="n">
        <v>338</v>
      </c>
      <c r="F2775" s="13" t="s">
        <v>5325</v>
      </c>
      <c r="G2775" s="13" t="s">
        <v>5289</v>
      </c>
      <c r="H2775" s="13" t="s">
        <v>5289</v>
      </c>
      <c r="I2775" s="13" t="s">
        <v>5289</v>
      </c>
      <c r="J2775" s="13" t="s">
        <v>5289</v>
      </c>
      <c r="K2775" s="13" t="s">
        <v>5289</v>
      </c>
      <c r="L2775" s="13" t="n">
        <v>8011003810338</v>
      </c>
      <c r="M2775" s="13"/>
      <c r="N2775" s="13" t="n">
        <v>8011003810338</v>
      </c>
      <c r="O2775" s="13"/>
      <c r="P2775" s="13" t="s">
        <v>5291</v>
      </c>
      <c r="Q2775" s="13" t="s">
        <v>5289</v>
      </c>
      <c r="R2775" s="13" t="s">
        <v>5292</v>
      </c>
      <c r="S2775" s="13" t="s">
        <v>5293</v>
      </c>
      <c r="T2775" s="13" t="s">
        <v>5</v>
      </c>
      <c r="U2775" s="13" t="s">
        <v>43</v>
      </c>
      <c r="V2775" s="13" t="n">
        <f aca="false">IF(COUNTIF($B$2:B2775,B2775)=1,1,0)</f>
        <v>0</v>
      </c>
      <c r="W2775" s="13" t="n">
        <f aca="false">IF(COUNTIFS($B$2:B2775,B2775,$T$2:T2775,T2775)=1,1,0)</f>
        <v>0</v>
      </c>
    </row>
    <row r="2776" customFormat="false" ht="15" hidden="false" customHeight="false" outlineLevel="0" collapsed="false">
      <c r="A2776" s="13" t="s">
        <v>6379</v>
      </c>
      <c r="B2776" s="13" t="s">
        <v>2110</v>
      </c>
      <c r="C2776" s="13" t="n">
        <v>1400</v>
      </c>
      <c r="D2776" s="13" t="n">
        <v>2</v>
      </c>
      <c r="E2776" s="13" t="n">
        <v>338</v>
      </c>
      <c r="F2776" s="13" t="s">
        <v>5325</v>
      </c>
      <c r="G2776" s="13" t="s">
        <v>5289</v>
      </c>
      <c r="H2776" s="13" t="s">
        <v>5289</v>
      </c>
      <c r="I2776" s="13" t="s">
        <v>5289</v>
      </c>
      <c r="J2776" s="13" t="s">
        <v>5289</v>
      </c>
      <c r="K2776" s="13" t="s">
        <v>5289</v>
      </c>
      <c r="L2776" s="13" t="n">
        <v>3386460149297</v>
      </c>
      <c r="M2776" s="13"/>
      <c r="N2776" s="13" t="n">
        <v>3386460149297</v>
      </c>
      <c r="O2776" s="13"/>
      <c r="P2776" s="13" t="s">
        <v>5291</v>
      </c>
      <c r="Q2776" s="13" t="s">
        <v>5289</v>
      </c>
      <c r="R2776" s="13" t="s">
        <v>5292</v>
      </c>
      <c r="S2776" s="13" t="s">
        <v>5293</v>
      </c>
      <c r="T2776" s="13" t="s">
        <v>5</v>
      </c>
      <c r="U2776" s="13" t="s">
        <v>43</v>
      </c>
      <c r="V2776" s="13" t="n">
        <f aca="false">IF(COUNTIF($B$2:B2776,B2776)=1,1,0)</f>
        <v>0</v>
      </c>
      <c r="W2776" s="13" t="n">
        <f aca="false">IF(COUNTIFS($B$2:B2776,B2776,$T$2:T2776,T2776)=1,1,0)</f>
        <v>0</v>
      </c>
    </row>
    <row r="2777" customFormat="false" ht="15" hidden="false" customHeight="false" outlineLevel="0" collapsed="false">
      <c r="A2777" s="13" t="s">
        <v>6380</v>
      </c>
      <c r="B2777" s="13" t="s">
        <v>2139</v>
      </c>
      <c r="C2777" s="13" t="n">
        <v>1300</v>
      </c>
      <c r="D2777" s="13" t="n">
        <v>5</v>
      </c>
      <c r="E2777" s="13" t="n">
        <v>149.964444444444</v>
      </c>
      <c r="F2777" s="13" t="s">
        <v>5325</v>
      </c>
      <c r="G2777" s="13" t="s">
        <v>5289</v>
      </c>
      <c r="H2777" s="13" t="s">
        <v>5289</v>
      </c>
      <c r="I2777" s="13" t="s">
        <v>5289</v>
      </c>
      <c r="J2777" s="13" t="s">
        <v>5289</v>
      </c>
      <c r="K2777" s="13" t="s">
        <v>5289</v>
      </c>
      <c r="L2777" s="13" t="n">
        <v>8411061822920</v>
      </c>
      <c r="M2777" s="13"/>
      <c r="N2777" s="13" t="n">
        <v>8.41106182292084E+025</v>
      </c>
      <c r="O2777" s="13"/>
      <c r="P2777" s="13" t="s">
        <v>5291</v>
      </c>
      <c r="Q2777" s="13" t="s">
        <v>5289</v>
      </c>
      <c r="R2777" s="13" t="s">
        <v>5292</v>
      </c>
      <c r="S2777" s="13" t="s">
        <v>5293</v>
      </c>
      <c r="T2777" s="13" t="s">
        <v>5</v>
      </c>
      <c r="U2777" s="13" t="s">
        <v>85</v>
      </c>
      <c r="V2777" s="13" t="n">
        <f aca="false">IF(COUNTIF($B$2:B2777,B2777)=1,1,0)</f>
        <v>0</v>
      </c>
      <c r="W2777" s="13" t="n">
        <f aca="false">IF(COUNTIFS($B$2:B2777,B2777,$T$2:T2777,T2777)=1,1,0)</f>
        <v>0</v>
      </c>
    </row>
    <row r="2778" customFormat="false" ht="15" hidden="false" customHeight="false" outlineLevel="0" collapsed="false">
      <c r="A2778" s="13" t="s">
        <v>1111</v>
      </c>
      <c r="B2778" s="13" t="s">
        <v>61</v>
      </c>
      <c r="C2778" s="13" t="n">
        <v>1300</v>
      </c>
      <c r="D2778" s="13" t="n">
        <v>2</v>
      </c>
      <c r="E2778" s="13" t="n">
        <v>673.045</v>
      </c>
      <c r="F2778" s="13" t="s">
        <v>5325</v>
      </c>
      <c r="G2778" s="13" t="s">
        <v>5289</v>
      </c>
      <c r="H2778" s="13" t="s">
        <v>5289</v>
      </c>
      <c r="I2778" s="13" t="s">
        <v>5289</v>
      </c>
      <c r="J2778" s="13" t="s">
        <v>5289</v>
      </c>
      <c r="K2778" s="13" t="s">
        <v>5289</v>
      </c>
      <c r="L2778" s="13"/>
      <c r="M2778" s="13"/>
      <c r="N2778" s="13" t="n">
        <v>3614274024975</v>
      </c>
      <c r="O2778" s="13"/>
      <c r="P2778" s="13" t="s">
        <v>5291</v>
      </c>
      <c r="Q2778" s="13" t="s">
        <v>5289</v>
      </c>
      <c r="R2778" s="13" t="s">
        <v>5292</v>
      </c>
      <c r="S2778" s="13" t="s">
        <v>5293</v>
      </c>
      <c r="T2778" s="13" t="s">
        <v>5</v>
      </c>
      <c r="U2778" s="13" t="s">
        <v>43</v>
      </c>
      <c r="V2778" s="13" t="n">
        <f aca="false">IF(COUNTIF($B$2:B2778,B2778)=1,1,0)</f>
        <v>0</v>
      </c>
      <c r="W2778" s="13" t="n">
        <f aca="false">IF(COUNTIFS($B$2:B2778,B2778,$T$2:T2778,T2778)=1,1,0)</f>
        <v>0</v>
      </c>
    </row>
    <row r="2779" customFormat="false" ht="15" hidden="false" customHeight="false" outlineLevel="0" collapsed="false">
      <c r="A2779" s="13" t="s">
        <v>3744</v>
      </c>
      <c r="B2779" s="13" t="s">
        <v>2145</v>
      </c>
      <c r="C2779" s="13" t="n">
        <v>1300</v>
      </c>
      <c r="D2779" s="13" t="n">
        <v>2</v>
      </c>
      <c r="E2779" s="13" t="n">
        <v>335</v>
      </c>
      <c r="F2779" s="13" t="s">
        <v>5325</v>
      </c>
      <c r="G2779" s="13" t="s">
        <v>5289</v>
      </c>
      <c r="H2779" s="13" t="s">
        <v>5292</v>
      </c>
      <c r="I2779" s="13" t="s">
        <v>5289</v>
      </c>
      <c r="J2779" s="13" t="s">
        <v>5289</v>
      </c>
      <c r="K2779" s="13" t="s">
        <v>5289</v>
      </c>
      <c r="L2779" s="13"/>
      <c r="M2779" s="13"/>
      <c r="N2779" s="13" t="n">
        <v>4064941111504</v>
      </c>
      <c r="O2779" s="13"/>
      <c r="P2779" s="13" t="s">
        <v>5291</v>
      </c>
      <c r="Q2779" s="13" t="s">
        <v>5289</v>
      </c>
      <c r="R2779" s="13" t="s">
        <v>5292</v>
      </c>
      <c r="S2779" s="13" t="s">
        <v>5293</v>
      </c>
      <c r="T2779" s="13" t="s">
        <v>5</v>
      </c>
      <c r="U2779" s="13" t="s">
        <v>43</v>
      </c>
      <c r="V2779" s="13" t="n">
        <f aca="false">IF(COUNTIF($B$2:B2779,B2779)=1,1,0)</f>
        <v>0</v>
      </c>
      <c r="W2779" s="13" t="n">
        <f aca="false">IF(COUNTIFS($B$2:B2779,B2779,$T$2:T2779,T2779)=1,1,0)</f>
        <v>0</v>
      </c>
    </row>
    <row r="2780" customFormat="false" ht="15" hidden="false" customHeight="false" outlineLevel="0" collapsed="false">
      <c r="A2780" s="13" t="s">
        <v>1133</v>
      </c>
      <c r="B2780" s="13" t="s">
        <v>315</v>
      </c>
      <c r="C2780" s="13" t="n">
        <v>1300</v>
      </c>
      <c r="D2780" s="13" t="n">
        <v>2</v>
      </c>
      <c r="E2780" s="13" t="n">
        <v>669.61</v>
      </c>
      <c r="F2780" s="13" t="s">
        <v>5325</v>
      </c>
      <c r="G2780" s="13" t="s">
        <v>5289</v>
      </c>
      <c r="H2780" s="13" t="s">
        <v>5292</v>
      </c>
      <c r="I2780" s="13" t="s">
        <v>5289</v>
      </c>
      <c r="J2780" s="13" t="s">
        <v>5289</v>
      </c>
      <c r="K2780" s="13" t="s">
        <v>5289</v>
      </c>
      <c r="L2780" s="13" t="n">
        <v>3605975047240</v>
      </c>
      <c r="M2780" s="13"/>
      <c r="N2780" s="13" t="n">
        <v>3605975047240</v>
      </c>
      <c r="O2780" s="13"/>
      <c r="P2780" s="13" t="s">
        <v>5297</v>
      </c>
      <c r="Q2780" s="13" t="s">
        <v>5289</v>
      </c>
      <c r="R2780" s="13" t="s">
        <v>5292</v>
      </c>
      <c r="S2780" s="13" t="s">
        <v>5293</v>
      </c>
      <c r="T2780" s="13" t="s">
        <v>5</v>
      </c>
      <c r="U2780" s="13" t="s">
        <v>43</v>
      </c>
      <c r="V2780" s="13" t="n">
        <f aca="false">IF(COUNTIF($B$2:B2780,B2780)=1,1,0)</f>
        <v>0</v>
      </c>
      <c r="W2780" s="13" t="n">
        <f aca="false">IF(COUNTIFS($B$2:B2780,B2780,$T$2:T2780,T2780)=1,1,0)</f>
        <v>0</v>
      </c>
    </row>
    <row r="2781" customFormat="false" ht="15" hidden="false" customHeight="false" outlineLevel="0" collapsed="false">
      <c r="A2781" s="13" t="s">
        <v>1132</v>
      </c>
      <c r="B2781" s="13" t="s">
        <v>121</v>
      </c>
      <c r="C2781" s="13" t="n">
        <v>1300</v>
      </c>
      <c r="D2781" s="13" t="n">
        <v>10</v>
      </c>
      <c r="E2781" s="13" t="n">
        <v>111.308333333333</v>
      </c>
      <c r="F2781" s="13" t="s">
        <v>5325</v>
      </c>
      <c r="G2781" s="13" t="s">
        <v>5292</v>
      </c>
      <c r="H2781" s="13" t="s">
        <v>5289</v>
      </c>
      <c r="I2781" s="13" t="s">
        <v>5289</v>
      </c>
      <c r="J2781" s="13" t="s">
        <v>5289</v>
      </c>
      <c r="K2781" s="13" t="s">
        <v>5289</v>
      </c>
      <c r="L2781" s="13" t="n">
        <v>7896086909633</v>
      </c>
      <c r="M2781" s="13"/>
      <c r="N2781" s="13" t="n">
        <v>7896086909633</v>
      </c>
      <c r="O2781" s="13"/>
      <c r="P2781" s="13" t="s">
        <v>5291</v>
      </c>
      <c r="Q2781" s="13" t="s">
        <v>5289</v>
      </c>
      <c r="R2781" s="13" t="s">
        <v>5292</v>
      </c>
      <c r="S2781" s="13" t="s">
        <v>5293</v>
      </c>
      <c r="T2781" s="13" t="s">
        <v>5</v>
      </c>
      <c r="U2781" s="13" t="s">
        <v>43</v>
      </c>
      <c r="V2781" s="13" t="n">
        <f aca="false">IF(COUNTIF($B$2:B2781,B2781)=1,1,0)</f>
        <v>0</v>
      </c>
      <c r="W2781" s="13" t="n">
        <f aca="false">IF(COUNTIFS($B$2:B2781,B2781,$T$2:T2781,T2781)=1,1,0)</f>
        <v>0</v>
      </c>
    </row>
    <row r="2782" customFormat="false" ht="15" hidden="false" customHeight="false" outlineLevel="0" collapsed="false">
      <c r="A2782" s="13" t="s">
        <v>1112</v>
      </c>
      <c r="B2782" s="13" t="s">
        <v>42</v>
      </c>
      <c r="C2782" s="13" t="n">
        <v>1300</v>
      </c>
      <c r="D2782" s="13" t="n">
        <v>2</v>
      </c>
      <c r="E2782" s="13" t="n">
        <v>665.24</v>
      </c>
      <c r="F2782" s="13" t="s">
        <v>5325</v>
      </c>
      <c r="G2782" s="13" t="s">
        <v>5289</v>
      </c>
      <c r="H2782" s="13" t="s">
        <v>5292</v>
      </c>
      <c r="I2782" s="13" t="s">
        <v>5289</v>
      </c>
      <c r="J2782" s="13" t="s">
        <v>5289</v>
      </c>
      <c r="K2782" s="13" t="s">
        <v>5289</v>
      </c>
      <c r="L2782" s="13" t="n">
        <v>8411061869376</v>
      </c>
      <c r="M2782" s="13"/>
      <c r="N2782" s="13" t="n">
        <v>8.41106186937684E+025</v>
      </c>
      <c r="O2782" s="13"/>
      <c r="P2782" s="13" t="s">
        <v>5291</v>
      </c>
      <c r="Q2782" s="13" t="s">
        <v>5289</v>
      </c>
      <c r="R2782" s="13" t="s">
        <v>5292</v>
      </c>
      <c r="S2782" s="13" t="s">
        <v>5293</v>
      </c>
      <c r="T2782" s="13" t="s">
        <v>5</v>
      </c>
      <c r="U2782" s="13" t="s">
        <v>43</v>
      </c>
      <c r="V2782" s="13" t="n">
        <f aca="false">IF(COUNTIF($B$2:B2782,B2782)=1,1,0)</f>
        <v>0</v>
      </c>
      <c r="W2782" s="13" t="n">
        <f aca="false">IF(COUNTIFS($B$2:B2782,B2782,$T$2:T2782,T2782)=1,1,0)</f>
        <v>0</v>
      </c>
    </row>
    <row r="2783" customFormat="false" ht="15" hidden="false" customHeight="false" outlineLevel="0" collapsed="false">
      <c r="A2783" s="13" t="s">
        <v>44</v>
      </c>
      <c r="B2783" s="13" t="s">
        <v>42</v>
      </c>
      <c r="C2783" s="13" t="n">
        <v>1300</v>
      </c>
      <c r="D2783" s="13" t="n">
        <v>2</v>
      </c>
      <c r="E2783" s="13" t="n">
        <v>665</v>
      </c>
      <c r="F2783" s="13" t="s">
        <v>5325</v>
      </c>
      <c r="G2783" s="13" t="s">
        <v>5289</v>
      </c>
      <c r="H2783" s="13" t="s">
        <v>5289</v>
      </c>
      <c r="I2783" s="13" t="s">
        <v>5289</v>
      </c>
      <c r="J2783" s="13" t="s">
        <v>5289</v>
      </c>
      <c r="K2783" s="13" t="s">
        <v>5289</v>
      </c>
      <c r="L2783" s="13"/>
      <c r="M2783" s="13"/>
      <c r="N2783" s="13" t="n">
        <v>8411061024164</v>
      </c>
      <c r="O2783" s="13"/>
      <c r="P2783" s="13" t="s">
        <v>5297</v>
      </c>
      <c r="Q2783" s="13" t="s">
        <v>5289</v>
      </c>
      <c r="R2783" s="13" t="s">
        <v>5292</v>
      </c>
      <c r="S2783" s="13" t="s">
        <v>5293</v>
      </c>
      <c r="T2783" s="13" t="s">
        <v>5</v>
      </c>
      <c r="U2783" s="13" t="s">
        <v>43</v>
      </c>
      <c r="V2783" s="13" t="n">
        <f aca="false">IF(COUNTIF($B$2:B2783,B2783)=1,1,0)</f>
        <v>0</v>
      </c>
      <c r="W2783" s="13" t="n">
        <f aca="false">IF(COUNTIFS($B$2:B2783,B2783,$T$2:T2783,T2783)=1,1,0)</f>
        <v>0</v>
      </c>
    </row>
    <row r="2784" customFormat="false" ht="15" hidden="false" customHeight="false" outlineLevel="0" collapsed="false">
      <c r="A2784" s="13" t="s">
        <v>3903</v>
      </c>
      <c r="B2784" s="13" t="s">
        <v>2155</v>
      </c>
      <c r="C2784" s="13" t="n">
        <v>1300</v>
      </c>
      <c r="D2784" s="13" t="n">
        <v>10</v>
      </c>
      <c r="E2784" s="13" t="n">
        <v>101.997692307692</v>
      </c>
      <c r="F2784" s="13" t="s">
        <v>5325</v>
      </c>
      <c r="G2784" s="13" t="s">
        <v>5289</v>
      </c>
      <c r="H2784" s="13" t="s">
        <v>5289</v>
      </c>
      <c r="I2784" s="13" t="s">
        <v>5289</v>
      </c>
      <c r="J2784" s="13" t="s">
        <v>5289</v>
      </c>
      <c r="K2784" s="13" t="s">
        <v>5292</v>
      </c>
      <c r="L2784" s="13" t="n">
        <v>5060926684406</v>
      </c>
      <c r="M2784" s="13"/>
      <c r="N2784" s="13" t="n">
        <v>5060926684406</v>
      </c>
      <c r="O2784" s="13"/>
      <c r="P2784" s="13" t="s">
        <v>5291</v>
      </c>
      <c r="Q2784" s="13" t="s">
        <v>5289</v>
      </c>
      <c r="R2784" s="13" t="s">
        <v>5292</v>
      </c>
      <c r="S2784" s="13" t="s">
        <v>5293</v>
      </c>
      <c r="T2784" s="13" t="s">
        <v>5</v>
      </c>
      <c r="U2784" s="13" t="s">
        <v>85</v>
      </c>
      <c r="V2784" s="13" t="n">
        <f aca="false">IF(COUNTIF($B$2:B2784,B2784)=1,1,0)</f>
        <v>0</v>
      </c>
      <c r="W2784" s="13" t="n">
        <f aca="false">IF(COUNTIFS($B$2:B2784,B2784,$T$2:T2784,T2784)=1,1,0)</f>
        <v>0</v>
      </c>
    </row>
    <row r="2785" customFormat="false" ht="15" hidden="false" customHeight="false" outlineLevel="0" collapsed="false">
      <c r="A2785" s="13" t="s">
        <v>1113</v>
      </c>
      <c r="B2785" s="13" t="s">
        <v>54</v>
      </c>
      <c r="C2785" s="13" t="n">
        <v>1300</v>
      </c>
      <c r="D2785" s="13" t="n">
        <v>2</v>
      </c>
      <c r="E2785" s="13" t="n">
        <v>331.2225</v>
      </c>
      <c r="F2785" s="13" t="s">
        <v>5288</v>
      </c>
      <c r="G2785" s="13" t="s">
        <v>5289</v>
      </c>
      <c r="H2785" s="13" t="s">
        <v>5289</v>
      </c>
      <c r="I2785" s="13" t="s">
        <v>5289</v>
      </c>
      <c r="J2785" s="13" t="s">
        <v>5289</v>
      </c>
      <c r="K2785" s="13" t="s">
        <v>5289</v>
      </c>
      <c r="L2785" s="13" t="n">
        <v>729238222991</v>
      </c>
      <c r="M2785" s="13"/>
      <c r="N2785" s="13" t="n">
        <v>729238222991</v>
      </c>
      <c r="O2785" s="13"/>
      <c r="P2785" s="13" t="s">
        <v>5291</v>
      </c>
      <c r="Q2785" s="13" t="s">
        <v>5289</v>
      </c>
      <c r="R2785" s="13" t="s">
        <v>5292</v>
      </c>
      <c r="S2785" s="13" t="s">
        <v>5293</v>
      </c>
      <c r="T2785" s="13" t="s">
        <v>5</v>
      </c>
      <c r="U2785" s="13" t="s">
        <v>43</v>
      </c>
      <c r="V2785" s="13" t="n">
        <f aca="false">IF(COUNTIF($B$2:B2785,B2785)=1,1,0)</f>
        <v>0</v>
      </c>
      <c r="W2785" s="13" t="n">
        <f aca="false">IF(COUNTIFS($B$2:B2785,B2785,$T$2:T2785,T2785)=1,1,0)</f>
        <v>0</v>
      </c>
    </row>
    <row r="2786" customFormat="false" ht="15" hidden="false" customHeight="false" outlineLevel="0" collapsed="false">
      <c r="A2786" s="13" t="s">
        <v>1104</v>
      </c>
      <c r="B2786" s="13" t="s">
        <v>121</v>
      </c>
      <c r="C2786" s="13" t="n">
        <v>1300</v>
      </c>
      <c r="D2786" s="13" t="n">
        <v>5</v>
      </c>
      <c r="E2786" s="13" t="n">
        <v>147.07</v>
      </c>
      <c r="F2786" s="13" t="s">
        <v>5325</v>
      </c>
      <c r="G2786" s="13" t="s">
        <v>5289</v>
      </c>
      <c r="H2786" s="13" t="s">
        <v>5289</v>
      </c>
      <c r="I2786" s="13" t="s">
        <v>5289</v>
      </c>
      <c r="J2786" s="13" t="s">
        <v>5289</v>
      </c>
      <c r="K2786" s="13" t="s">
        <v>5289</v>
      </c>
      <c r="L2786" s="13" t="n">
        <v>7896086912909</v>
      </c>
      <c r="M2786" s="13"/>
      <c r="N2786" s="13" t="n">
        <v>7896086912909</v>
      </c>
      <c r="O2786" s="13"/>
      <c r="P2786" s="13" t="s">
        <v>5297</v>
      </c>
      <c r="Q2786" s="13" t="s">
        <v>5289</v>
      </c>
      <c r="R2786" s="13" t="s">
        <v>5292</v>
      </c>
      <c r="S2786" s="13" t="s">
        <v>5293</v>
      </c>
      <c r="T2786" s="13" t="s">
        <v>5</v>
      </c>
      <c r="U2786" s="13" t="s">
        <v>43</v>
      </c>
      <c r="V2786" s="13" t="n">
        <f aca="false">IF(COUNTIF($B$2:B2786,B2786)=1,1,0)</f>
        <v>0</v>
      </c>
      <c r="W2786" s="13" t="n">
        <f aca="false">IF(COUNTIFS($B$2:B2786,B2786,$T$2:T2786,T2786)=1,1,0)</f>
        <v>0</v>
      </c>
    </row>
    <row r="2787" customFormat="false" ht="15" hidden="false" customHeight="false" outlineLevel="0" collapsed="false">
      <c r="A2787" s="13" t="s">
        <v>347</v>
      </c>
      <c r="B2787" s="13" t="s">
        <v>69</v>
      </c>
      <c r="C2787" s="13" t="n">
        <v>1300</v>
      </c>
      <c r="D2787" s="13" t="n">
        <v>2</v>
      </c>
      <c r="E2787" s="13" t="n">
        <v>440.27</v>
      </c>
      <c r="F2787" s="13" t="s">
        <v>5325</v>
      </c>
      <c r="G2787" s="13" t="s">
        <v>5289</v>
      </c>
      <c r="H2787" s="13" t="s">
        <v>5292</v>
      </c>
      <c r="I2787" s="13" t="s">
        <v>5289</v>
      </c>
      <c r="J2787" s="13" t="s">
        <v>5289</v>
      </c>
      <c r="K2787" s="13" t="s">
        <v>5289</v>
      </c>
      <c r="L2787" s="13" t="n">
        <v>3614272648401</v>
      </c>
      <c r="M2787" s="13"/>
      <c r="N2787" s="13" t="n">
        <v>3614272648401</v>
      </c>
      <c r="O2787" s="13"/>
      <c r="P2787" s="13" t="s">
        <v>5291</v>
      </c>
      <c r="Q2787" s="13" t="s">
        <v>5289</v>
      </c>
      <c r="R2787" s="13" t="s">
        <v>5292</v>
      </c>
      <c r="S2787" s="13" t="s">
        <v>5293</v>
      </c>
      <c r="T2787" s="13" t="s">
        <v>5</v>
      </c>
      <c r="U2787" s="13" t="s">
        <v>43</v>
      </c>
      <c r="V2787" s="13" t="n">
        <f aca="false">IF(COUNTIF($B$2:B2787,B2787)=1,1,0)</f>
        <v>0</v>
      </c>
      <c r="W2787" s="13" t="n">
        <f aca="false">IF(COUNTIFS($B$2:B2787,B2787,$T$2:T2787,T2787)=1,1,0)</f>
        <v>0</v>
      </c>
    </row>
    <row r="2788" customFormat="false" ht="15" hidden="false" customHeight="false" outlineLevel="0" collapsed="false">
      <c r="A2788" s="13" t="s">
        <v>1105</v>
      </c>
      <c r="B2788" s="13" t="s">
        <v>153</v>
      </c>
      <c r="C2788" s="13" t="n">
        <v>1300</v>
      </c>
      <c r="D2788" s="13" t="n">
        <v>2</v>
      </c>
      <c r="E2788" s="13" t="n">
        <v>660.275</v>
      </c>
      <c r="F2788" s="13" t="s">
        <v>5325</v>
      </c>
      <c r="G2788" s="13" t="s">
        <v>5289</v>
      </c>
      <c r="H2788" s="13" t="s">
        <v>5289</v>
      </c>
      <c r="I2788" s="13" t="s">
        <v>5289</v>
      </c>
      <c r="J2788" s="13" t="s">
        <v>5289</v>
      </c>
      <c r="K2788" s="13" t="s">
        <v>5292</v>
      </c>
      <c r="L2788" s="13" t="n">
        <v>8011003890989</v>
      </c>
      <c r="M2788" s="13"/>
      <c r="N2788" s="13" t="n">
        <v>8011003890989</v>
      </c>
      <c r="O2788" s="13"/>
      <c r="P2788" s="13" t="s">
        <v>5291</v>
      </c>
      <c r="Q2788" s="13" t="s">
        <v>5289</v>
      </c>
      <c r="R2788" s="13" t="s">
        <v>5292</v>
      </c>
      <c r="S2788" s="13" t="s">
        <v>5293</v>
      </c>
      <c r="T2788" s="13" t="s">
        <v>5</v>
      </c>
      <c r="U2788" s="13" t="s">
        <v>43</v>
      </c>
      <c r="V2788" s="13" t="n">
        <f aca="false">IF(COUNTIF($B$2:B2788,B2788)=1,1,0)</f>
        <v>0</v>
      </c>
      <c r="W2788" s="13" t="n">
        <f aca="false">IF(COUNTIFS($B$2:B2788,B2788,$T$2:T2788,T2788)=1,1,0)</f>
        <v>0</v>
      </c>
    </row>
    <row r="2789" customFormat="false" ht="15" hidden="false" customHeight="false" outlineLevel="0" collapsed="false">
      <c r="A2789" s="13" t="s">
        <v>1131</v>
      </c>
      <c r="B2789" s="13" t="s">
        <v>69</v>
      </c>
      <c r="C2789" s="13" t="n">
        <v>1300</v>
      </c>
      <c r="D2789" s="13" t="n">
        <v>2</v>
      </c>
      <c r="E2789" s="13" t="n">
        <v>660</v>
      </c>
      <c r="F2789" s="13" t="s">
        <v>5325</v>
      </c>
      <c r="G2789" s="13" t="s">
        <v>5289</v>
      </c>
      <c r="H2789" s="13" t="s">
        <v>5289</v>
      </c>
      <c r="I2789" s="13" t="s">
        <v>5289</v>
      </c>
      <c r="J2789" s="13" t="s">
        <v>5289</v>
      </c>
      <c r="K2789" s="13" t="s">
        <v>5289</v>
      </c>
      <c r="L2789" s="13"/>
      <c r="M2789" s="13"/>
      <c r="N2789" s="13" t="n">
        <v>3614274151152</v>
      </c>
      <c r="O2789" s="13"/>
      <c r="P2789" s="13" t="s">
        <v>5291</v>
      </c>
      <c r="Q2789" s="13" t="s">
        <v>5289</v>
      </c>
      <c r="R2789" s="13" t="s">
        <v>5292</v>
      </c>
      <c r="S2789" s="13" t="s">
        <v>5293</v>
      </c>
      <c r="T2789" s="13" t="s">
        <v>5</v>
      </c>
      <c r="U2789" s="13" t="s">
        <v>43</v>
      </c>
      <c r="V2789" s="13" t="n">
        <f aca="false">IF(COUNTIF($B$2:B2789,B2789)=1,1,0)</f>
        <v>0</v>
      </c>
      <c r="W2789" s="13" t="n">
        <f aca="false">IF(COUNTIFS($B$2:B2789,B2789,$T$2:T2789,T2789)=1,1,0)</f>
        <v>0</v>
      </c>
    </row>
    <row r="2790" customFormat="false" ht="15" hidden="false" customHeight="false" outlineLevel="0" collapsed="false">
      <c r="A2790" s="13" t="s">
        <v>728</v>
      </c>
      <c r="B2790" s="13" t="s">
        <v>79</v>
      </c>
      <c r="C2790" s="13" t="n">
        <v>1300</v>
      </c>
      <c r="D2790" s="13" t="n">
        <v>2</v>
      </c>
      <c r="E2790" s="13" t="n">
        <v>659</v>
      </c>
      <c r="F2790" s="13" t="s">
        <v>5288</v>
      </c>
      <c r="G2790" s="13" t="s">
        <v>5289</v>
      </c>
      <c r="H2790" s="13" t="s">
        <v>5289</v>
      </c>
      <c r="I2790" s="13" t="s">
        <v>5289</v>
      </c>
      <c r="J2790" s="13" t="s">
        <v>5289</v>
      </c>
      <c r="K2790" s="13" t="s">
        <v>5289</v>
      </c>
      <c r="L2790" s="13" t="n">
        <v>8.05797118041734E+025</v>
      </c>
      <c r="M2790" s="13"/>
      <c r="N2790" s="13" t="n">
        <v>3.42347302075281E+025</v>
      </c>
      <c r="O2790" s="13"/>
      <c r="P2790" s="13" t="s">
        <v>5291</v>
      </c>
      <c r="Q2790" s="13" t="s">
        <v>5289</v>
      </c>
      <c r="R2790" s="13" t="s">
        <v>5292</v>
      </c>
      <c r="S2790" s="13" t="s">
        <v>5293</v>
      </c>
      <c r="T2790" s="13" t="s">
        <v>5</v>
      </c>
      <c r="U2790" s="13" t="s">
        <v>43</v>
      </c>
      <c r="V2790" s="13" t="n">
        <f aca="false">IF(COUNTIF($B$2:B2790,B2790)=1,1,0)</f>
        <v>0</v>
      </c>
      <c r="W2790" s="13" t="n">
        <f aca="false">IF(COUNTIFS($B$2:B2790,B2790,$T$2:T2790,T2790)=1,1,0)</f>
        <v>0</v>
      </c>
    </row>
    <row r="2791" customFormat="false" ht="15" hidden="false" customHeight="false" outlineLevel="0" collapsed="false">
      <c r="A2791" s="13" t="s">
        <v>1106</v>
      </c>
      <c r="B2791" s="13" t="s">
        <v>54</v>
      </c>
      <c r="C2791" s="13" t="n">
        <v>1300</v>
      </c>
      <c r="D2791" s="13" t="n">
        <v>2</v>
      </c>
      <c r="E2791" s="13" t="n">
        <v>329.42</v>
      </c>
      <c r="F2791" s="13" t="s">
        <v>5325</v>
      </c>
      <c r="G2791" s="13" t="s">
        <v>5289</v>
      </c>
      <c r="H2791" s="13" t="s">
        <v>5289</v>
      </c>
      <c r="I2791" s="13" t="s">
        <v>5289</v>
      </c>
      <c r="J2791" s="13" t="s">
        <v>5289</v>
      </c>
      <c r="K2791" s="13" t="s">
        <v>5289</v>
      </c>
      <c r="L2791" s="13" t="n">
        <v>768614212348</v>
      </c>
      <c r="M2791" s="13"/>
      <c r="N2791" s="13" t="n">
        <v>768614212348</v>
      </c>
      <c r="O2791" s="13"/>
      <c r="P2791" s="13" t="s">
        <v>5291</v>
      </c>
      <c r="Q2791" s="13" t="s">
        <v>5289</v>
      </c>
      <c r="R2791" s="13" t="s">
        <v>5292</v>
      </c>
      <c r="S2791" s="13" t="s">
        <v>5293</v>
      </c>
      <c r="T2791" s="13" t="s">
        <v>5</v>
      </c>
      <c r="U2791" s="13" t="s">
        <v>43</v>
      </c>
      <c r="V2791" s="13" t="n">
        <f aca="false">IF(COUNTIF($B$2:B2791,B2791)=1,1,0)</f>
        <v>0</v>
      </c>
      <c r="W2791" s="13" t="n">
        <f aca="false">IF(COUNTIFS($B$2:B2791,B2791,$T$2:T2791,T2791)=1,1,0)</f>
        <v>0</v>
      </c>
    </row>
    <row r="2792" customFormat="false" ht="15" hidden="false" customHeight="false" outlineLevel="0" collapsed="false">
      <c r="A2792" s="13" t="s">
        <v>1107</v>
      </c>
      <c r="B2792" s="13" t="s">
        <v>124</v>
      </c>
      <c r="C2792" s="13" t="n">
        <v>1300</v>
      </c>
      <c r="D2792" s="13" t="n">
        <v>1</v>
      </c>
      <c r="E2792" s="13" t="n">
        <v>1317</v>
      </c>
      <c r="F2792" s="13" t="s">
        <v>5288</v>
      </c>
      <c r="G2792" s="13" t="s">
        <v>5292</v>
      </c>
      <c r="H2792" s="13" t="s">
        <v>5292</v>
      </c>
      <c r="I2792" s="13" t="s">
        <v>5289</v>
      </c>
      <c r="J2792" s="13" t="s">
        <v>5289</v>
      </c>
      <c r="K2792" s="13" t="s">
        <v>5289</v>
      </c>
      <c r="L2792" s="13" t="n">
        <v>3605521544353</v>
      </c>
      <c r="M2792" s="13"/>
      <c r="N2792" s="13" t="n">
        <v>3605521544353</v>
      </c>
      <c r="O2792" s="13"/>
      <c r="P2792" s="13" t="s">
        <v>5291</v>
      </c>
      <c r="Q2792" s="13" t="s">
        <v>5289</v>
      </c>
      <c r="R2792" s="13" t="s">
        <v>5292</v>
      </c>
      <c r="S2792" s="13" t="s">
        <v>5293</v>
      </c>
      <c r="T2792" s="13" t="s">
        <v>5</v>
      </c>
      <c r="U2792" s="13" t="s">
        <v>43</v>
      </c>
      <c r="V2792" s="13" t="n">
        <f aca="false">IF(COUNTIF($B$2:B2792,B2792)=1,1,0)</f>
        <v>0</v>
      </c>
      <c r="W2792" s="13" t="n">
        <f aca="false">IF(COUNTIFS($B$2:B2792,B2792,$T$2:T2792,T2792)=1,1,0)</f>
        <v>0</v>
      </c>
    </row>
    <row r="2793" customFormat="false" ht="15" hidden="false" customHeight="false" outlineLevel="0" collapsed="false">
      <c r="A2793" s="13" t="s">
        <v>1108</v>
      </c>
      <c r="B2793" s="13" t="s">
        <v>107</v>
      </c>
      <c r="C2793" s="13" t="n">
        <v>1300</v>
      </c>
      <c r="D2793" s="13" t="n">
        <v>2</v>
      </c>
      <c r="E2793" s="13" t="n">
        <v>329</v>
      </c>
      <c r="F2793" s="13" t="s">
        <v>5325</v>
      </c>
      <c r="G2793" s="13" t="s">
        <v>5292</v>
      </c>
      <c r="H2793" s="13" t="s">
        <v>5289</v>
      </c>
      <c r="I2793" s="13" t="s">
        <v>5289</v>
      </c>
      <c r="J2793" s="13" t="s">
        <v>5289</v>
      </c>
      <c r="K2793" s="13" t="s">
        <v>5289</v>
      </c>
      <c r="L2793" s="13" t="n">
        <v>9000250226404</v>
      </c>
      <c r="M2793" s="13"/>
      <c r="N2793" s="13" t="n">
        <v>9000250226404</v>
      </c>
      <c r="O2793" s="13"/>
      <c r="P2793" s="13" t="s">
        <v>5291</v>
      </c>
      <c r="Q2793" s="13" t="s">
        <v>5289</v>
      </c>
      <c r="R2793" s="13" t="s">
        <v>5292</v>
      </c>
      <c r="S2793" s="13" t="s">
        <v>5293</v>
      </c>
      <c r="T2793" s="13" t="s">
        <v>5</v>
      </c>
      <c r="U2793" s="13" t="s">
        <v>183</v>
      </c>
      <c r="V2793" s="13" t="n">
        <f aca="false">IF(COUNTIF($B$2:B2793,B2793)=1,1,0)</f>
        <v>0</v>
      </c>
      <c r="W2793" s="13" t="n">
        <f aca="false">IF(COUNTIFS($B$2:B2793,B2793,$T$2:T2793,T2793)=1,1,0)</f>
        <v>0</v>
      </c>
    </row>
    <row r="2794" customFormat="false" ht="15" hidden="false" customHeight="false" outlineLevel="0" collapsed="false">
      <c r="A2794" s="13" t="s">
        <v>1109</v>
      </c>
      <c r="B2794" s="13" t="s">
        <v>69</v>
      </c>
      <c r="C2794" s="13" t="n">
        <v>1300</v>
      </c>
      <c r="D2794" s="13" t="n">
        <v>2</v>
      </c>
      <c r="E2794" s="13" t="n">
        <v>657.86</v>
      </c>
      <c r="F2794" s="13" t="s">
        <v>5325</v>
      </c>
      <c r="G2794" s="13" t="s">
        <v>5289</v>
      </c>
      <c r="H2794" s="13" t="s">
        <v>5289</v>
      </c>
      <c r="I2794" s="13" t="s">
        <v>5289</v>
      </c>
      <c r="J2794" s="13" t="s">
        <v>5289</v>
      </c>
      <c r="K2794" s="13" t="s">
        <v>5289</v>
      </c>
      <c r="L2794" s="13" t="n">
        <v>3614274293845</v>
      </c>
      <c r="M2794" s="13"/>
      <c r="N2794" s="13" t="n">
        <v>3614274293845</v>
      </c>
      <c r="O2794" s="13"/>
      <c r="P2794" s="13" t="s">
        <v>5297</v>
      </c>
      <c r="Q2794" s="13" t="s">
        <v>5289</v>
      </c>
      <c r="R2794" s="13" t="s">
        <v>5292</v>
      </c>
      <c r="S2794" s="13" t="s">
        <v>5293</v>
      </c>
      <c r="T2794" s="13" t="s">
        <v>5</v>
      </c>
      <c r="U2794" s="13" t="s">
        <v>43</v>
      </c>
      <c r="V2794" s="13" t="n">
        <f aca="false">IF(COUNTIF($B$2:B2794,B2794)=1,1,0)</f>
        <v>0</v>
      </c>
      <c r="W2794" s="13" t="n">
        <f aca="false">IF(COUNTIFS($B$2:B2794,B2794,$T$2:T2794,T2794)=1,1,0)</f>
        <v>0</v>
      </c>
    </row>
    <row r="2795" customFormat="false" ht="15" hidden="false" customHeight="false" outlineLevel="0" collapsed="false">
      <c r="A2795" s="13" t="s">
        <v>1110</v>
      </c>
      <c r="B2795" s="13" t="s">
        <v>72</v>
      </c>
      <c r="C2795" s="13" t="n">
        <v>1300</v>
      </c>
      <c r="D2795" s="13" t="n">
        <v>2</v>
      </c>
      <c r="E2795" s="13" t="n">
        <v>438.44</v>
      </c>
      <c r="F2795" s="13" t="s">
        <v>5288</v>
      </c>
      <c r="G2795" s="13" t="s">
        <v>5289</v>
      </c>
      <c r="H2795" s="13" t="s">
        <v>5289</v>
      </c>
      <c r="I2795" s="13" t="s">
        <v>5289</v>
      </c>
      <c r="J2795" s="13" t="s">
        <v>5289</v>
      </c>
      <c r="K2795" s="13" t="s">
        <v>5289</v>
      </c>
      <c r="L2795" s="13" t="n">
        <v>3614274344318</v>
      </c>
      <c r="M2795" s="13"/>
      <c r="N2795" s="13" t="n">
        <v>3614274344318</v>
      </c>
      <c r="O2795" s="13"/>
      <c r="P2795" s="13" t="s">
        <v>5291</v>
      </c>
      <c r="Q2795" s="13" t="s">
        <v>5289</v>
      </c>
      <c r="R2795" s="13" t="s">
        <v>5292</v>
      </c>
      <c r="S2795" s="13" t="s">
        <v>5293</v>
      </c>
      <c r="T2795" s="13" t="s">
        <v>5</v>
      </c>
      <c r="U2795" s="13" t="s">
        <v>43</v>
      </c>
      <c r="V2795" s="13" t="n">
        <f aca="false">IF(COUNTIF($B$2:B2795,B2795)=1,1,0)</f>
        <v>0</v>
      </c>
      <c r="W2795" s="13" t="n">
        <f aca="false">IF(COUNTIFS($B$2:B2795,B2795,$T$2:T2795,T2795)=1,1,0)</f>
        <v>0</v>
      </c>
    </row>
    <row r="2796" customFormat="false" ht="15" hidden="false" customHeight="false" outlineLevel="0" collapsed="false">
      <c r="A2796" s="13" t="s">
        <v>319</v>
      </c>
      <c r="B2796" s="13" t="s">
        <v>69</v>
      </c>
      <c r="C2796" s="13" t="n">
        <v>1300</v>
      </c>
      <c r="D2796" s="13" t="n">
        <v>2</v>
      </c>
      <c r="E2796" s="13" t="n">
        <v>656.69</v>
      </c>
      <c r="F2796" s="13" t="s">
        <v>5325</v>
      </c>
      <c r="G2796" s="13" t="s">
        <v>5292</v>
      </c>
      <c r="H2796" s="13" t="s">
        <v>5289</v>
      </c>
      <c r="I2796" s="13" t="s">
        <v>5289</v>
      </c>
      <c r="J2796" s="13" t="s">
        <v>5289</v>
      </c>
      <c r="K2796" s="13" t="s">
        <v>5289</v>
      </c>
      <c r="L2796" s="13" t="n">
        <v>3614272050341</v>
      </c>
      <c r="M2796" s="13"/>
      <c r="N2796" s="13" t="n">
        <v>3614272050341</v>
      </c>
      <c r="O2796" s="13"/>
      <c r="P2796" s="13" t="s">
        <v>5291</v>
      </c>
      <c r="Q2796" s="13" t="s">
        <v>5289</v>
      </c>
      <c r="R2796" s="13" t="s">
        <v>5292</v>
      </c>
      <c r="S2796" s="13" t="s">
        <v>5293</v>
      </c>
      <c r="T2796" s="13" t="s">
        <v>5</v>
      </c>
      <c r="U2796" s="13" t="s">
        <v>43</v>
      </c>
      <c r="V2796" s="13" t="n">
        <f aca="false">IF(COUNTIF($B$2:B2796,B2796)=1,1,0)</f>
        <v>0</v>
      </c>
      <c r="W2796" s="13" t="n">
        <f aca="false">IF(COUNTIFS($B$2:B2796,B2796,$T$2:T2796,T2796)=1,1,0)</f>
        <v>0</v>
      </c>
    </row>
    <row r="2797" customFormat="false" ht="15" hidden="false" customHeight="false" outlineLevel="0" collapsed="false">
      <c r="A2797" s="13" t="s">
        <v>1115</v>
      </c>
      <c r="B2797" s="13" t="s">
        <v>153</v>
      </c>
      <c r="C2797" s="13" t="n">
        <v>1300</v>
      </c>
      <c r="D2797" s="13" t="n">
        <v>2</v>
      </c>
      <c r="E2797" s="13" t="n">
        <v>328</v>
      </c>
      <c r="F2797" s="13" t="s">
        <v>5325</v>
      </c>
      <c r="G2797" s="13" t="s">
        <v>5289</v>
      </c>
      <c r="H2797" s="13" t="s">
        <v>5289</v>
      </c>
      <c r="I2797" s="13" t="s">
        <v>5289</v>
      </c>
      <c r="J2797" s="13" t="s">
        <v>5289</v>
      </c>
      <c r="K2797" s="13" t="s">
        <v>5289</v>
      </c>
      <c r="L2797" s="13" t="n">
        <v>8011003997008</v>
      </c>
      <c r="M2797" s="13"/>
      <c r="N2797" s="13" t="n">
        <v>8011003997008</v>
      </c>
      <c r="O2797" s="13"/>
      <c r="P2797" s="13" t="s">
        <v>5297</v>
      </c>
      <c r="Q2797" s="13" t="s">
        <v>5289</v>
      </c>
      <c r="R2797" s="13" t="s">
        <v>5292</v>
      </c>
      <c r="S2797" s="13" t="s">
        <v>5293</v>
      </c>
      <c r="T2797" s="13" t="s">
        <v>5</v>
      </c>
      <c r="U2797" s="13" t="s">
        <v>43</v>
      </c>
      <c r="V2797" s="13" t="n">
        <f aca="false">IF(COUNTIF($B$2:B2797,B2797)=1,1,0)</f>
        <v>0</v>
      </c>
      <c r="W2797" s="13" t="n">
        <f aca="false">IF(COUNTIFS($B$2:B2797,B2797,$T$2:T2797,T2797)=1,1,0)</f>
        <v>0</v>
      </c>
    </row>
    <row r="2798" customFormat="false" ht="15" hidden="false" customHeight="false" outlineLevel="0" collapsed="false">
      <c r="A2798" s="13" t="s">
        <v>569</v>
      </c>
      <c r="B2798" s="13" t="s">
        <v>79</v>
      </c>
      <c r="C2798" s="13" t="n">
        <v>1300</v>
      </c>
      <c r="D2798" s="13" t="n">
        <v>2</v>
      </c>
      <c r="E2798" s="13" t="n">
        <v>655</v>
      </c>
      <c r="F2798" s="13" t="s">
        <v>5288</v>
      </c>
      <c r="G2798" s="13" t="s">
        <v>5289</v>
      </c>
      <c r="H2798" s="13" t="s">
        <v>5289</v>
      </c>
      <c r="I2798" s="13" t="s">
        <v>5289</v>
      </c>
      <c r="J2798" s="13" t="s">
        <v>5289</v>
      </c>
      <c r="K2798" s="13" t="s">
        <v>5289</v>
      </c>
      <c r="L2798" s="13"/>
      <c r="M2798" s="13"/>
      <c r="N2798" s="13" t="n">
        <v>8.05797118040034E+025</v>
      </c>
      <c r="O2798" s="13"/>
      <c r="P2798" s="13" t="s">
        <v>5291</v>
      </c>
      <c r="Q2798" s="13" t="s">
        <v>5289</v>
      </c>
      <c r="R2798" s="13" t="s">
        <v>5292</v>
      </c>
      <c r="S2798" s="13" t="s">
        <v>5293</v>
      </c>
      <c r="T2798" s="13" t="s">
        <v>5</v>
      </c>
      <c r="U2798" s="13" t="s">
        <v>43</v>
      </c>
      <c r="V2798" s="13" t="n">
        <f aca="false">IF(COUNTIF($B$2:B2798,B2798)=1,1,0)</f>
        <v>0</v>
      </c>
      <c r="W2798" s="13" t="n">
        <f aca="false">IF(COUNTIFS($B$2:B2798,B2798,$T$2:T2798,T2798)=1,1,0)</f>
        <v>0</v>
      </c>
    </row>
    <row r="2799" customFormat="false" ht="15" hidden="false" customHeight="false" outlineLevel="0" collapsed="false">
      <c r="A2799" s="13" t="s">
        <v>6381</v>
      </c>
      <c r="B2799" s="13" t="s">
        <v>2150</v>
      </c>
      <c r="C2799" s="13" t="n">
        <v>1300</v>
      </c>
      <c r="D2799" s="13" t="n">
        <v>5</v>
      </c>
      <c r="E2799" s="13" t="n">
        <v>130.82</v>
      </c>
      <c r="F2799" s="13" t="s">
        <v>5325</v>
      </c>
      <c r="G2799" s="13" t="s">
        <v>5289</v>
      </c>
      <c r="H2799" s="13" t="s">
        <v>5289</v>
      </c>
      <c r="I2799" s="13" t="s">
        <v>5289</v>
      </c>
      <c r="J2799" s="13" t="s">
        <v>5289</v>
      </c>
      <c r="K2799" s="13" t="s">
        <v>5289</v>
      </c>
      <c r="L2799" s="13"/>
      <c r="M2799" s="13"/>
      <c r="N2799" s="13" t="n">
        <v>8411061000915</v>
      </c>
      <c r="O2799" s="13"/>
      <c r="P2799" s="13" t="s">
        <v>5291</v>
      </c>
      <c r="Q2799" s="13" t="s">
        <v>5289</v>
      </c>
      <c r="R2799" s="13" t="s">
        <v>5292</v>
      </c>
      <c r="S2799" s="13" t="s">
        <v>5293</v>
      </c>
      <c r="T2799" s="13" t="s">
        <v>5</v>
      </c>
      <c r="U2799" s="13" t="s">
        <v>85</v>
      </c>
      <c r="V2799" s="13" t="n">
        <f aca="false">IF(COUNTIF($B$2:B2799,B2799)=1,1,0)</f>
        <v>0</v>
      </c>
      <c r="W2799" s="13" t="n">
        <f aca="false">IF(COUNTIFS($B$2:B2799,B2799,$T$2:T2799,T2799)=1,1,0)</f>
        <v>0</v>
      </c>
    </row>
    <row r="2800" customFormat="false" ht="15" hidden="false" customHeight="false" outlineLevel="0" collapsed="false">
      <c r="A2800" s="13" t="s">
        <v>113</v>
      </c>
      <c r="B2800" s="13" t="s">
        <v>45</v>
      </c>
      <c r="C2800" s="13" t="n">
        <v>1300</v>
      </c>
      <c r="D2800" s="13" t="n">
        <v>2</v>
      </c>
      <c r="E2800" s="13" t="n">
        <v>652</v>
      </c>
      <c r="F2800" s="13" t="s">
        <v>5288</v>
      </c>
      <c r="G2800" s="13" t="s">
        <v>5289</v>
      </c>
      <c r="H2800" s="13" t="s">
        <v>5289</v>
      </c>
      <c r="I2800" s="13" t="s">
        <v>5289</v>
      </c>
      <c r="J2800" s="13" t="s">
        <v>5289</v>
      </c>
      <c r="K2800" s="13" t="s">
        <v>5289</v>
      </c>
      <c r="L2800" s="13" t="n">
        <v>8435415059060</v>
      </c>
      <c r="M2800" s="13"/>
      <c r="N2800" s="13" t="n">
        <v>8435415059060</v>
      </c>
      <c r="O2800" s="13"/>
      <c r="P2800" s="13" t="s">
        <v>5291</v>
      </c>
      <c r="Q2800" s="13" t="s">
        <v>5289</v>
      </c>
      <c r="R2800" s="13" t="s">
        <v>5292</v>
      </c>
      <c r="S2800" s="13" t="s">
        <v>5293</v>
      </c>
      <c r="T2800" s="13" t="s">
        <v>5</v>
      </c>
      <c r="U2800" s="13" t="s">
        <v>43</v>
      </c>
      <c r="V2800" s="13" t="n">
        <f aca="false">IF(COUNTIF($B$2:B2800,B2800)=1,1,0)</f>
        <v>0</v>
      </c>
      <c r="W2800" s="13" t="n">
        <f aca="false">IF(COUNTIFS($B$2:B2800,B2800,$T$2:T2800,T2800)=1,1,0)</f>
        <v>0</v>
      </c>
    </row>
    <row r="2801" customFormat="false" ht="15" hidden="false" customHeight="false" outlineLevel="0" collapsed="false">
      <c r="A2801" s="13" t="s">
        <v>3893</v>
      </c>
      <c r="B2801" s="13" t="s">
        <v>2109</v>
      </c>
      <c r="C2801" s="13" t="n">
        <v>1300</v>
      </c>
      <c r="D2801" s="13" t="n">
        <v>2</v>
      </c>
      <c r="E2801" s="13" t="n">
        <v>651.695</v>
      </c>
      <c r="F2801" s="13" t="s">
        <v>5288</v>
      </c>
      <c r="G2801" s="13" t="s">
        <v>5292</v>
      </c>
      <c r="H2801" s="13" t="s">
        <v>5292</v>
      </c>
      <c r="I2801" s="13" t="s">
        <v>5289</v>
      </c>
      <c r="J2801" s="13" t="s">
        <v>5289</v>
      </c>
      <c r="K2801" s="13" t="s">
        <v>5292</v>
      </c>
      <c r="L2801" s="13" t="n">
        <v>3614274076776</v>
      </c>
      <c r="M2801" s="13"/>
      <c r="N2801" s="13" t="n">
        <v>3614274076776</v>
      </c>
      <c r="O2801" s="13"/>
      <c r="P2801" s="13" t="s">
        <v>5291</v>
      </c>
      <c r="Q2801" s="13" t="s">
        <v>5289</v>
      </c>
      <c r="R2801" s="13" t="s">
        <v>5292</v>
      </c>
      <c r="S2801" s="13" t="s">
        <v>5293</v>
      </c>
      <c r="T2801" s="13" t="s">
        <v>5</v>
      </c>
      <c r="U2801" s="13" t="s">
        <v>183</v>
      </c>
      <c r="V2801" s="13" t="n">
        <f aca="false">IF(COUNTIF($B$2:B2801,B2801)=1,1,0)</f>
        <v>0</v>
      </c>
      <c r="W2801" s="13" t="n">
        <f aca="false">IF(COUNTIFS($B$2:B2801,B2801,$T$2:T2801,T2801)=1,1,0)</f>
        <v>0</v>
      </c>
    </row>
    <row r="2802" customFormat="false" ht="15" hidden="false" customHeight="false" outlineLevel="0" collapsed="false">
      <c r="A2802" s="13" t="s">
        <v>125</v>
      </c>
      <c r="B2802" s="13" t="s">
        <v>124</v>
      </c>
      <c r="C2802" s="13" t="n">
        <v>1300</v>
      </c>
      <c r="D2802" s="13" t="n">
        <v>2</v>
      </c>
      <c r="E2802" s="13" t="n">
        <v>651</v>
      </c>
      <c r="F2802" s="13" t="s">
        <v>5325</v>
      </c>
      <c r="G2802" s="13" t="s">
        <v>5289</v>
      </c>
      <c r="H2802" s="13" t="s">
        <v>5289</v>
      </c>
      <c r="I2802" s="13" t="s">
        <v>5289</v>
      </c>
      <c r="J2802" s="13" t="s">
        <v>5289</v>
      </c>
      <c r="K2802" s="13" t="s">
        <v>5289</v>
      </c>
      <c r="L2802" s="13" t="n">
        <v>3614274143751</v>
      </c>
      <c r="M2802" s="13"/>
      <c r="N2802" s="13" t="n">
        <v>3614274143751</v>
      </c>
      <c r="O2802" s="13"/>
      <c r="P2802" s="13" t="s">
        <v>5291</v>
      </c>
      <c r="Q2802" s="13" t="s">
        <v>5289</v>
      </c>
      <c r="R2802" s="13" t="s">
        <v>5292</v>
      </c>
      <c r="S2802" s="13" t="s">
        <v>5293</v>
      </c>
      <c r="T2802" s="13" t="s">
        <v>5</v>
      </c>
      <c r="U2802" s="13" t="s">
        <v>43</v>
      </c>
      <c r="V2802" s="13" t="n">
        <f aca="false">IF(COUNTIF($B$2:B2802,B2802)=1,1,0)</f>
        <v>0</v>
      </c>
      <c r="W2802" s="13" t="n">
        <f aca="false">IF(COUNTIFS($B$2:B2802,B2802,$T$2:T2802,T2802)=1,1,0)</f>
        <v>0</v>
      </c>
    </row>
    <row r="2803" customFormat="false" ht="15" hidden="false" customHeight="false" outlineLevel="0" collapsed="false">
      <c r="A2803" s="13" t="s">
        <v>1134</v>
      </c>
      <c r="B2803" s="13" t="s">
        <v>61</v>
      </c>
      <c r="C2803" s="13" t="n">
        <v>1300</v>
      </c>
      <c r="D2803" s="13" t="n">
        <v>1</v>
      </c>
      <c r="E2803" s="13" t="n">
        <v>1298.85</v>
      </c>
      <c r="F2803" s="13" t="s">
        <v>5325</v>
      </c>
      <c r="G2803" s="13" t="s">
        <v>5292</v>
      </c>
      <c r="H2803" s="13" t="s">
        <v>5289</v>
      </c>
      <c r="I2803" s="13" t="s">
        <v>5289</v>
      </c>
      <c r="J2803" s="13" t="s">
        <v>5289</v>
      </c>
      <c r="K2803" s="13" t="s">
        <v>5292</v>
      </c>
      <c r="L2803" s="13" t="n">
        <v>3614270264900</v>
      </c>
      <c r="M2803" s="13"/>
      <c r="N2803" s="13" t="n">
        <v>3614270264900</v>
      </c>
      <c r="O2803" s="13"/>
      <c r="P2803" s="13" t="s">
        <v>5297</v>
      </c>
      <c r="Q2803" s="13" t="s">
        <v>5289</v>
      </c>
      <c r="R2803" s="13" t="s">
        <v>5292</v>
      </c>
      <c r="S2803" s="13" t="s">
        <v>5293</v>
      </c>
      <c r="T2803" s="13" t="s">
        <v>5</v>
      </c>
      <c r="U2803" s="13" t="s">
        <v>43</v>
      </c>
      <c r="V2803" s="13" t="n">
        <f aca="false">IF(COUNTIF($B$2:B2803,B2803)=1,1,0)</f>
        <v>0</v>
      </c>
      <c r="W2803" s="13" t="n">
        <f aca="false">IF(COUNTIFS($B$2:B2803,B2803,$T$2:T2803,T2803)=1,1,0)</f>
        <v>0</v>
      </c>
    </row>
    <row r="2804" customFormat="false" ht="15" hidden="false" customHeight="false" outlineLevel="0" collapsed="false">
      <c r="A2804" s="13" t="s">
        <v>2912</v>
      </c>
      <c r="B2804" s="13" t="s">
        <v>2130</v>
      </c>
      <c r="C2804" s="13" t="n">
        <v>1300</v>
      </c>
      <c r="D2804" s="13" t="n">
        <v>1</v>
      </c>
      <c r="E2804" s="13" t="n">
        <v>1298.85</v>
      </c>
      <c r="F2804" s="13" t="s">
        <v>5288</v>
      </c>
      <c r="G2804" s="13" t="s">
        <v>5292</v>
      </c>
      <c r="H2804" s="13" t="s">
        <v>5292</v>
      </c>
      <c r="I2804" s="13" t="s">
        <v>5289</v>
      </c>
      <c r="J2804" s="13" t="s">
        <v>5289</v>
      </c>
      <c r="K2804" s="13" t="s">
        <v>5292</v>
      </c>
      <c r="L2804" s="13" t="n">
        <v>3439600056655</v>
      </c>
      <c r="M2804" s="13"/>
      <c r="N2804" s="13" t="n">
        <v>3439600056655</v>
      </c>
      <c r="O2804" s="13"/>
      <c r="P2804" s="13" t="s">
        <v>5291</v>
      </c>
      <c r="Q2804" s="13" t="s">
        <v>5289</v>
      </c>
      <c r="R2804" s="13" t="s">
        <v>5292</v>
      </c>
      <c r="S2804" s="13" t="s">
        <v>5293</v>
      </c>
      <c r="T2804" s="13" t="s">
        <v>5</v>
      </c>
      <c r="U2804" s="13" t="s">
        <v>43</v>
      </c>
      <c r="V2804" s="13" t="n">
        <f aca="false">IF(COUNTIF($B$2:B2804,B2804)=1,1,0)</f>
        <v>0</v>
      </c>
      <c r="W2804" s="13" t="n">
        <f aca="false">IF(COUNTIFS($B$2:B2804,B2804,$T$2:T2804,T2804)=1,1,0)</f>
        <v>0</v>
      </c>
    </row>
    <row r="2805" customFormat="false" ht="15" hidden="false" customHeight="false" outlineLevel="0" collapsed="false">
      <c r="A2805" s="13" t="s">
        <v>6382</v>
      </c>
      <c r="B2805" s="13" t="s">
        <v>2240</v>
      </c>
      <c r="C2805" s="13" t="n">
        <v>1300</v>
      </c>
      <c r="D2805" s="13" t="n">
        <v>2</v>
      </c>
      <c r="E2805" s="13" t="n">
        <v>649</v>
      </c>
      <c r="F2805" s="13" t="s">
        <v>5325</v>
      </c>
      <c r="G2805" s="13" t="s">
        <v>5289</v>
      </c>
      <c r="H2805" s="13" t="s">
        <v>5292</v>
      </c>
      <c r="I2805" s="13" t="s">
        <v>5289</v>
      </c>
      <c r="J2805" s="13" t="s">
        <v>5289</v>
      </c>
      <c r="K2805" s="13" t="s">
        <v>5289</v>
      </c>
      <c r="L2805" s="13" t="n">
        <v>8411061786161</v>
      </c>
      <c r="M2805" s="13"/>
      <c r="N2805" s="13" t="n">
        <v>8411061786161</v>
      </c>
      <c r="O2805" s="13"/>
      <c r="P2805" s="13" t="s">
        <v>5291</v>
      </c>
      <c r="Q2805" s="13" t="s">
        <v>5289</v>
      </c>
      <c r="R2805" s="13" t="s">
        <v>5292</v>
      </c>
      <c r="S2805" s="13" t="s">
        <v>5293</v>
      </c>
      <c r="T2805" s="13" t="s">
        <v>5</v>
      </c>
      <c r="U2805" s="13" t="s">
        <v>43</v>
      </c>
      <c r="V2805" s="13" t="n">
        <f aca="false">IF(COUNTIF($B$2:B2805,B2805)=1,1,0)</f>
        <v>1</v>
      </c>
      <c r="W2805" s="13" t="n">
        <f aca="false">IF(COUNTIFS($B$2:B2805,B2805,$T$2:T2805,T2805)=1,1,0)</f>
        <v>1</v>
      </c>
    </row>
    <row r="2806" customFormat="false" ht="15" hidden="false" customHeight="false" outlineLevel="0" collapsed="false">
      <c r="A2806" s="13" t="s">
        <v>358</v>
      </c>
      <c r="B2806" s="13" t="s">
        <v>42</v>
      </c>
      <c r="C2806" s="13" t="n">
        <v>1300</v>
      </c>
      <c r="D2806" s="13" t="n">
        <v>2</v>
      </c>
      <c r="E2806" s="13" t="n">
        <v>648.85</v>
      </c>
      <c r="F2806" s="13" t="s">
        <v>5325</v>
      </c>
      <c r="G2806" s="13" t="s">
        <v>5289</v>
      </c>
      <c r="H2806" s="13" t="s">
        <v>5289</v>
      </c>
      <c r="I2806" s="13" t="s">
        <v>5289</v>
      </c>
      <c r="J2806" s="13" t="s">
        <v>5289</v>
      </c>
      <c r="K2806" s="13" t="s">
        <v>5292</v>
      </c>
      <c r="L2806" s="13" t="n">
        <v>8411061865460</v>
      </c>
      <c r="M2806" s="13"/>
      <c r="N2806" s="13" t="n">
        <v>8.41106186546084E+025</v>
      </c>
      <c r="O2806" s="13"/>
      <c r="P2806" s="13" t="s">
        <v>5297</v>
      </c>
      <c r="Q2806" s="13" t="s">
        <v>5289</v>
      </c>
      <c r="R2806" s="13" t="s">
        <v>5292</v>
      </c>
      <c r="S2806" s="13" t="s">
        <v>5293</v>
      </c>
      <c r="T2806" s="13" t="s">
        <v>5</v>
      </c>
      <c r="U2806" s="13" t="s">
        <v>43</v>
      </c>
      <c r="V2806" s="13" t="n">
        <f aca="false">IF(COUNTIF($B$2:B2806,B2806)=1,1,0)</f>
        <v>0</v>
      </c>
      <c r="W2806" s="13" t="n">
        <f aca="false">IF(COUNTIFS($B$2:B2806,B2806,$T$2:T2806,T2806)=1,1,0)</f>
        <v>0</v>
      </c>
    </row>
    <row r="2807" customFormat="false" ht="15" hidden="false" customHeight="false" outlineLevel="0" collapsed="false">
      <c r="A2807" s="13" t="s">
        <v>89</v>
      </c>
      <c r="B2807" s="13" t="s">
        <v>42</v>
      </c>
      <c r="C2807" s="13" t="n">
        <v>1300</v>
      </c>
      <c r="D2807" s="13" t="n">
        <v>2</v>
      </c>
      <c r="E2807" s="13" t="n">
        <v>648.85</v>
      </c>
      <c r="F2807" s="13" t="s">
        <v>5325</v>
      </c>
      <c r="G2807" s="13" t="s">
        <v>5292</v>
      </c>
      <c r="H2807" s="13" t="s">
        <v>5289</v>
      </c>
      <c r="I2807" s="13" t="s">
        <v>5289</v>
      </c>
      <c r="J2807" s="13" t="s">
        <v>5289</v>
      </c>
      <c r="K2807" s="13" t="s">
        <v>5292</v>
      </c>
      <c r="L2807" s="13" t="n">
        <v>8411061043868</v>
      </c>
      <c r="M2807" s="13"/>
      <c r="N2807" s="13" t="n">
        <v>8411061043868</v>
      </c>
      <c r="O2807" s="13"/>
      <c r="P2807" s="13" t="s">
        <v>5297</v>
      </c>
      <c r="Q2807" s="13" t="s">
        <v>5289</v>
      </c>
      <c r="R2807" s="13" t="s">
        <v>5292</v>
      </c>
      <c r="S2807" s="13" t="s">
        <v>5293</v>
      </c>
      <c r="T2807" s="13" t="s">
        <v>5</v>
      </c>
      <c r="U2807" s="13" t="s">
        <v>43</v>
      </c>
      <c r="V2807" s="13" t="n">
        <f aca="false">IF(COUNTIF($B$2:B2807,B2807)=1,1,0)</f>
        <v>0</v>
      </c>
      <c r="W2807" s="13" t="n">
        <f aca="false">IF(COUNTIFS($B$2:B2807,B2807,$T$2:T2807,T2807)=1,1,0)</f>
        <v>0</v>
      </c>
    </row>
    <row r="2808" customFormat="false" ht="15" hidden="false" customHeight="false" outlineLevel="0" collapsed="false">
      <c r="A2808" s="13" t="s">
        <v>473</v>
      </c>
      <c r="B2808" s="13" t="s">
        <v>105</v>
      </c>
      <c r="C2808" s="13" t="n">
        <v>1300</v>
      </c>
      <c r="D2808" s="13" t="n">
        <v>2</v>
      </c>
      <c r="E2808" s="13" t="n">
        <v>432</v>
      </c>
      <c r="F2808" s="13" t="s">
        <v>5325</v>
      </c>
      <c r="G2808" s="13" t="s">
        <v>5292</v>
      </c>
      <c r="H2808" s="13" t="s">
        <v>5289</v>
      </c>
      <c r="I2808" s="13" t="s">
        <v>5289</v>
      </c>
      <c r="J2808" s="13" t="s">
        <v>5289</v>
      </c>
      <c r="K2808" s="13" t="s">
        <v>5289</v>
      </c>
      <c r="L2808" s="13" t="n">
        <v>3614228220897</v>
      </c>
      <c r="M2808" s="13"/>
      <c r="N2808" s="13" t="n">
        <v>3614228220897</v>
      </c>
      <c r="O2808" s="13"/>
      <c r="P2808" s="13" t="s">
        <v>5297</v>
      </c>
      <c r="Q2808" s="13" t="s">
        <v>5289</v>
      </c>
      <c r="R2808" s="13" t="s">
        <v>5292</v>
      </c>
      <c r="S2808" s="13" t="s">
        <v>5293</v>
      </c>
      <c r="T2808" s="13" t="s">
        <v>5</v>
      </c>
      <c r="U2808" s="13" t="s">
        <v>43</v>
      </c>
      <c r="V2808" s="13" t="n">
        <f aca="false">IF(COUNTIF($B$2:B2808,B2808)=1,1,0)</f>
        <v>0</v>
      </c>
      <c r="W2808" s="13" t="n">
        <f aca="false">IF(COUNTIFS($B$2:B2808,B2808,$T$2:T2808,T2808)=1,1,0)</f>
        <v>0</v>
      </c>
    </row>
    <row r="2809" customFormat="false" ht="15" hidden="false" customHeight="false" outlineLevel="0" collapsed="false">
      <c r="A2809" s="13" t="s">
        <v>3884</v>
      </c>
      <c r="B2809" s="13" t="s">
        <v>2139</v>
      </c>
      <c r="C2809" s="13" t="n">
        <v>1300</v>
      </c>
      <c r="D2809" s="13" t="n">
        <v>5</v>
      </c>
      <c r="E2809" s="13" t="n">
        <v>184.15</v>
      </c>
      <c r="F2809" s="13" t="s">
        <v>5288</v>
      </c>
      <c r="G2809" s="13" t="s">
        <v>5289</v>
      </c>
      <c r="H2809" s="13" t="s">
        <v>5289</v>
      </c>
      <c r="I2809" s="13" t="s">
        <v>5289</v>
      </c>
      <c r="J2809" s="13" t="s">
        <v>5289</v>
      </c>
      <c r="K2809" s="13" t="s">
        <v>5289</v>
      </c>
      <c r="L2809" s="13" t="n">
        <v>8411061112175</v>
      </c>
      <c r="M2809" s="13"/>
      <c r="N2809" s="13" t="n">
        <v>8411061112175</v>
      </c>
      <c r="O2809" s="13"/>
      <c r="P2809" s="13" t="s">
        <v>5291</v>
      </c>
      <c r="Q2809" s="13" t="s">
        <v>5289</v>
      </c>
      <c r="R2809" s="13" t="s">
        <v>5292</v>
      </c>
      <c r="S2809" s="13" t="s">
        <v>5293</v>
      </c>
      <c r="T2809" s="13" t="s">
        <v>5</v>
      </c>
      <c r="U2809" s="13" t="s">
        <v>43</v>
      </c>
      <c r="V2809" s="13" t="n">
        <f aca="false">IF(COUNTIF($B$2:B2809,B2809)=1,1,0)</f>
        <v>0</v>
      </c>
      <c r="W2809" s="13" t="n">
        <f aca="false">IF(COUNTIFS($B$2:B2809,B2809,$T$2:T2809,T2809)=1,1,0)</f>
        <v>0</v>
      </c>
    </row>
    <row r="2810" customFormat="false" ht="15" hidden="false" customHeight="false" outlineLevel="0" collapsed="false">
      <c r="A2810" s="13" t="s">
        <v>3751</v>
      </c>
      <c r="B2810" s="13" t="s">
        <v>2145</v>
      </c>
      <c r="C2810" s="13" t="n">
        <v>1300</v>
      </c>
      <c r="D2810" s="13" t="n">
        <v>2</v>
      </c>
      <c r="E2810" s="13" t="n">
        <v>321.36</v>
      </c>
      <c r="F2810" s="13" t="s">
        <v>5325</v>
      </c>
      <c r="G2810" s="13" t="s">
        <v>5289</v>
      </c>
      <c r="H2810" s="13" t="s">
        <v>5289</v>
      </c>
      <c r="I2810" s="13" t="s">
        <v>5289</v>
      </c>
      <c r="J2810" s="13" t="s">
        <v>5289</v>
      </c>
      <c r="K2810" s="13" t="s">
        <v>5289</v>
      </c>
      <c r="L2810" s="13"/>
      <c r="M2810" s="13"/>
      <c r="N2810" s="13" t="n">
        <v>4064941156833</v>
      </c>
      <c r="O2810" s="13"/>
      <c r="P2810" s="13" t="s">
        <v>5291</v>
      </c>
      <c r="Q2810" s="13" t="s">
        <v>5289</v>
      </c>
      <c r="R2810" s="13" t="s">
        <v>5292</v>
      </c>
      <c r="S2810" s="13" t="s">
        <v>5293</v>
      </c>
      <c r="T2810" s="13" t="s">
        <v>5</v>
      </c>
      <c r="U2810" s="13" t="s">
        <v>43</v>
      </c>
      <c r="V2810" s="13" t="n">
        <f aca="false">IF(COUNTIF($B$2:B2810,B2810)=1,1,0)</f>
        <v>0</v>
      </c>
      <c r="W2810" s="13" t="n">
        <f aca="false">IF(COUNTIFS($B$2:B2810,B2810,$T$2:T2810,T2810)=1,1,0)</f>
        <v>0</v>
      </c>
    </row>
    <row r="2811" customFormat="false" ht="15" hidden="false" customHeight="false" outlineLevel="0" collapsed="false">
      <c r="A2811" s="13" t="s">
        <v>1135</v>
      </c>
      <c r="B2811" s="13" t="s">
        <v>121</v>
      </c>
      <c r="C2811" s="13" t="n">
        <v>1300</v>
      </c>
      <c r="D2811" s="13" t="n">
        <v>20</v>
      </c>
      <c r="E2811" s="13" t="n">
        <v>71.2938888888889</v>
      </c>
      <c r="F2811" s="13" t="s">
        <v>5325</v>
      </c>
      <c r="G2811" s="13" t="s">
        <v>5289</v>
      </c>
      <c r="H2811" s="13" t="s">
        <v>5289</v>
      </c>
      <c r="I2811" s="13" t="s">
        <v>5289</v>
      </c>
      <c r="J2811" s="13" t="s">
        <v>5289</v>
      </c>
      <c r="K2811" s="13" t="s">
        <v>5292</v>
      </c>
      <c r="L2811" s="13" t="n">
        <v>7896086939517</v>
      </c>
      <c r="M2811" s="13"/>
      <c r="N2811" s="13" t="n">
        <v>7896086939517</v>
      </c>
      <c r="O2811" s="13"/>
      <c r="P2811" s="13" t="s">
        <v>5291</v>
      </c>
      <c r="Q2811" s="13" t="s">
        <v>5289</v>
      </c>
      <c r="R2811" s="13" t="s">
        <v>5292</v>
      </c>
      <c r="S2811" s="13" t="s">
        <v>5293</v>
      </c>
      <c r="T2811" s="13" t="s">
        <v>5</v>
      </c>
      <c r="U2811" s="13" t="s">
        <v>43</v>
      </c>
      <c r="V2811" s="13" t="n">
        <f aca="false">IF(COUNTIF($B$2:B2811,B2811)=1,1,0)</f>
        <v>0</v>
      </c>
      <c r="W2811" s="13" t="n">
        <f aca="false">IF(COUNTIFS($B$2:B2811,B2811,$T$2:T2811,T2811)=1,1,0)</f>
        <v>0</v>
      </c>
    </row>
    <row r="2812" customFormat="false" ht="15" hidden="false" customHeight="false" outlineLevel="0" collapsed="false">
      <c r="A2812" s="13" t="s">
        <v>2852</v>
      </c>
      <c r="B2812" s="13" t="s">
        <v>2168</v>
      </c>
      <c r="C2812" s="13" t="n">
        <v>1300</v>
      </c>
      <c r="D2812" s="13" t="n">
        <v>10</v>
      </c>
      <c r="E2812" s="13" t="n">
        <v>106.8325</v>
      </c>
      <c r="F2812" s="13" t="s">
        <v>5325</v>
      </c>
      <c r="G2812" s="13" t="s">
        <v>5292</v>
      </c>
      <c r="H2812" s="13" t="s">
        <v>5289</v>
      </c>
      <c r="I2812" s="13" t="s">
        <v>5289</v>
      </c>
      <c r="J2812" s="13" t="s">
        <v>5289</v>
      </c>
      <c r="K2812" s="13" t="s">
        <v>5289</v>
      </c>
      <c r="L2812" s="13" t="n">
        <v>8411061085301</v>
      </c>
      <c r="M2812" s="13"/>
      <c r="N2812" s="13" t="n">
        <v>8411061085301</v>
      </c>
      <c r="O2812" s="13"/>
      <c r="P2812" s="13" t="s">
        <v>5291</v>
      </c>
      <c r="Q2812" s="13" t="s">
        <v>5289</v>
      </c>
      <c r="R2812" s="13" t="s">
        <v>5292</v>
      </c>
      <c r="S2812" s="13" t="s">
        <v>5293</v>
      </c>
      <c r="T2812" s="13" t="s">
        <v>5</v>
      </c>
      <c r="U2812" s="13" t="s">
        <v>43</v>
      </c>
      <c r="V2812" s="13" t="n">
        <f aca="false">IF(COUNTIF($B$2:B2812,B2812)=1,1,0)</f>
        <v>0</v>
      </c>
      <c r="W2812" s="13" t="n">
        <f aca="false">IF(COUNTIFS($B$2:B2812,B2812,$T$2:T2812,T2812)=1,1,0)</f>
        <v>0</v>
      </c>
    </row>
    <row r="2813" customFormat="false" ht="15" hidden="false" customHeight="false" outlineLevel="0" collapsed="false">
      <c r="A2813" s="13" t="s">
        <v>921</v>
      </c>
      <c r="B2813" s="13" t="s">
        <v>153</v>
      </c>
      <c r="C2813" s="13" t="n">
        <v>1300</v>
      </c>
      <c r="D2813" s="13" t="n">
        <v>2</v>
      </c>
      <c r="E2813" s="13" t="n">
        <v>426.65</v>
      </c>
      <c r="F2813" s="13" t="s">
        <v>5325</v>
      </c>
      <c r="G2813" s="13" t="s">
        <v>5289</v>
      </c>
      <c r="H2813" s="13" t="s">
        <v>5289</v>
      </c>
      <c r="I2813" s="13" t="s">
        <v>5289</v>
      </c>
      <c r="J2813" s="13" t="s">
        <v>5289</v>
      </c>
      <c r="K2813" s="13" t="s">
        <v>5289</v>
      </c>
      <c r="L2813" s="13" t="n">
        <v>8011003845347</v>
      </c>
      <c r="M2813" s="13"/>
      <c r="N2813" s="13" t="n">
        <v>8011003845347</v>
      </c>
      <c r="O2813" s="13"/>
      <c r="P2813" s="13" t="s">
        <v>5291</v>
      </c>
      <c r="Q2813" s="13" t="s">
        <v>5289</v>
      </c>
      <c r="R2813" s="13" t="s">
        <v>5292</v>
      </c>
      <c r="S2813" s="13" t="s">
        <v>5293</v>
      </c>
      <c r="T2813" s="13" t="s">
        <v>5</v>
      </c>
      <c r="U2813" s="13" t="s">
        <v>43</v>
      </c>
      <c r="V2813" s="13" t="n">
        <f aca="false">IF(COUNTIF($B$2:B2813,B2813)=1,1,0)</f>
        <v>0</v>
      </c>
      <c r="W2813" s="13" t="n">
        <f aca="false">IF(COUNTIFS($B$2:B2813,B2813,$T$2:T2813,T2813)=1,1,0)</f>
        <v>0</v>
      </c>
    </row>
    <row r="2814" customFormat="false" ht="15" hidden="false" customHeight="false" outlineLevel="0" collapsed="false">
      <c r="A2814" s="13" t="s">
        <v>1118</v>
      </c>
      <c r="B2814" s="13" t="s">
        <v>61</v>
      </c>
      <c r="C2814" s="13" t="n">
        <v>1300</v>
      </c>
      <c r="D2814" s="13" t="n">
        <v>2</v>
      </c>
      <c r="E2814" s="13" t="n">
        <v>634.925</v>
      </c>
      <c r="F2814" s="13" t="s">
        <v>5325</v>
      </c>
      <c r="G2814" s="13" t="s">
        <v>5289</v>
      </c>
      <c r="H2814" s="13" t="s">
        <v>5292</v>
      </c>
      <c r="I2814" s="13" t="s">
        <v>5289</v>
      </c>
      <c r="J2814" s="13" t="s">
        <v>5289</v>
      </c>
      <c r="K2814" s="13" t="s">
        <v>5289</v>
      </c>
      <c r="L2814" s="13" t="n">
        <v>3614274308464</v>
      </c>
      <c r="M2814" s="13"/>
      <c r="N2814" s="13" t="n">
        <v>3614274308464</v>
      </c>
      <c r="O2814" s="13"/>
      <c r="P2814" s="13" t="s">
        <v>5291</v>
      </c>
      <c r="Q2814" s="13" t="s">
        <v>5289</v>
      </c>
      <c r="R2814" s="13" t="s">
        <v>5292</v>
      </c>
      <c r="S2814" s="13" t="s">
        <v>5293</v>
      </c>
      <c r="T2814" s="13" t="s">
        <v>5</v>
      </c>
      <c r="U2814" s="13" t="s">
        <v>43</v>
      </c>
      <c r="V2814" s="13" t="n">
        <f aca="false">IF(COUNTIF($B$2:B2814,B2814)=1,1,0)</f>
        <v>0</v>
      </c>
      <c r="W2814" s="13" t="n">
        <f aca="false">IF(COUNTIFS($B$2:B2814,B2814,$T$2:T2814,T2814)=1,1,0)</f>
        <v>0</v>
      </c>
    </row>
    <row r="2815" customFormat="false" ht="15" hidden="false" customHeight="false" outlineLevel="0" collapsed="false">
      <c r="A2815" s="13" t="s">
        <v>1119</v>
      </c>
      <c r="B2815" s="13" t="s">
        <v>177</v>
      </c>
      <c r="C2815" s="13" t="n">
        <v>1300</v>
      </c>
      <c r="D2815" s="13" t="n">
        <v>2</v>
      </c>
      <c r="E2815" s="13" t="n">
        <v>634.845</v>
      </c>
      <c r="F2815" s="13" t="s">
        <v>5325</v>
      </c>
      <c r="G2815" s="13" t="s">
        <v>5289</v>
      </c>
      <c r="H2815" s="13" t="s">
        <v>5289</v>
      </c>
      <c r="I2815" s="13" t="s">
        <v>5289</v>
      </c>
      <c r="J2815" s="13" t="s">
        <v>5289</v>
      </c>
      <c r="K2815" s="13" t="s">
        <v>5289</v>
      </c>
      <c r="L2815" s="13"/>
      <c r="M2815" s="13"/>
      <c r="N2815" s="13" t="n">
        <v>3616305169266</v>
      </c>
      <c r="O2815" s="13"/>
      <c r="P2815" s="13" t="s">
        <v>5291</v>
      </c>
      <c r="Q2815" s="13" t="s">
        <v>5289</v>
      </c>
      <c r="R2815" s="13" t="s">
        <v>5292</v>
      </c>
      <c r="S2815" s="13" t="s">
        <v>5293</v>
      </c>
      <c r="T2815" s="13" t="s">
        <v>5</v>
      </c>
      <c r="U2815" s="13" t="s">
        <v>43</v>
      </c>
      <c r="V2815" s="13" t="n">
        <f aca="false">IF(COUNTIF($B$2:B2815,B2815)=1,1,0)</f>
        <v>0</v>
      </c>
      <c r="W2815" s="13" t="n">
        <f aca="false">IF(COUNTIFS($B$2:B2815,B2815,$T$2:T2815,T2815)=1,1,0)</f>
        <v>0</v>
      </c>
    </row>
    <row r="2816" customFormat="false" ht="15" hidden="false" customHeight="false" outlineLevel="0" collapsed="false">
      <c r="A2816" s="13" t="s">
        <v>971</v>
      </c>
      <c r="B2816" s="13" t="s">
        <v>153</v>
      </c>
      <c r="C2816" s="13" t="n">
        <v>1300</v>
      </c>
      <c r="D2816" s="13" t="n">
        <v>2</v>
      </c>
      <c r="E2816" s="13" t="n">
        <v>317.4025</v>
      </c>
      <c r="F2816" s="13" t="s">
        <v>5325</v>
      </c>
      <c r="G2816" s="13" t="s">
        <v>5289</v>
      </c>
      <c r="H2816" s="13" t="s">
        <v>5289</v>
      </c>
      <c r="I2816" s="13" t="s">
        <v>5289</v>
      </c>
      <c r="J2816" s="13" t="s">
        <v>5289</v>
      </c>
      <c r="K2816" s="13" t="s">
        <v>5289</v>
      </c>
      <c r="L2816" s="13" t="n">
        <v>8011003804542</v>
      </c>
      <c r="M2816" s="13"/>
      <c r="N2816" s="13" t="n">
        <v>8011003804542</v>
      </c>
      <c r="O2816" s="13"/>
      <c r="P2816" s="13" t="s">
        <v>5291</v>
      </c>
      <c r="Q2816" s="13" t="s">
        <v>5289</v>
      </c>
      <c r="R2816" s="13" t="s">
        <v>5292</v>
      </c>
      <c r="S2816" s="13" t="s">
        <v>5293</v>
      </c>
      <c r="T2816" s="13" t="s">
        <v>5</v>
      </c>
      <c r="U2816" s="13" t="s">
        <v>43</v>
      </c>
      <c r="V2816" s="13" t="n">
        <f aca="false">IF(COUNTIF($B$2:B2816,B2816)=1,1,0)</f>
        <v>0</v>
      </c>
      <c r="W2816" s="13" t="n">
        <f aca="false">IF(COUNTIFS($B$2:B2816,B2816,$T$2:T2816,T2816)=1,1,0)</f>
        <v>0</v>
      </c>
    </row>
    <row r="2817" customFormat="false" ht="15" hidden="false" customHeight="false" outlineLevel="0" collapsed="false">
      <c r="A2817" s="13" t="s">
        <v>194</v>
      </c>
      <c r="B2817" s="13" t="s">
        <v>193</v>
      </c>
      <c r="C2817" s="13" t="n">
        <v>1300</v>
      </c>
      <c r="D2817" s="13" t="n">
        <v>2</v>
      </c>
      <c r="E2817" s="13" t="n">
        <v>634</v>
      </c>
      <c r="F2817" s="13" t="s">
        <v>5325</v>
      </c>
      <c r="G2817" s="13" t="s">
        <v>5292</v>
      </c>
      <c r="H2817" s="13" t="s">
        <v>5289</v>
      </c>
      <c r="I2817" s="13" t="s">
        <v>5289</v>
      </c>
      <c r="J2817" s="13" t="s">
        <v>5289</v>
      </c>
      <c r="K2817" s="13" t="s">
        <v>5289</v>
      </c>
      <c r="L2817" s="13"/>
      <c r="M2817" s="13"/>
      <c r="N2817" s="13" t="n">
        <v>3360375004056</v>
      </c>
      <c r="O2817" s="13"/>
      <c r="P2817" s="13" t="s">
        <v>5291</v>
      </c>
      <c r="Q2817" s="13" t="s">
        <v>5289</v>
      </c>
      <c r="R2817" s="13" t="s">
        <v>5292</v>
      </c>
      <c r="S2817" s="13" t="s">
        <v>5293</v>
      </c>
      <c r="T2817" s="13" t="s">
        <v>5</v>
      </c>
      <c r="U2817" s="13" t="s">
        <v>43</v>
      </c>
      <c r="V2817" s="13" t="n">
        <f aca="false">IF(COUNTIF($B$2:B2817,B2817)=1,1,0)</f>
        <v>0</v>
      </c>
      <c r="W2817" s="13" t="n">
        <f aca="false">IF(COUNTIFS($B$2:B2817,B2817,$T$2:T2817,T2817)=1,1,0)</f>
        <v>0</v>
      </c>
    </row>
    <row r="2818" customFormat="false" ht="15" hidden="false" customHeight="false" outlineLevel="0" collapsed="false">
      <c r="A2818" s="13" t="s">
        <v>1116</v>
      </c>
      <c r="B2818" s="13" t="s">
        <v>153</v>
      </c>
      <c r="C2818" s="13" t="n">
        <v>1300</v>
      </c>
      <c r="D2818" s="13" t="n">
        <v>2</v>
      </c>
      <c r="E2818" s="13" t="n">
        <v>632.095</v>
      </c>
      <c r="F2818" s="13" t="s">
        <v>5325</v>
      </c>
      <c r="G2818" s="13" t="s">
        <v>5289</v>
      </c>
      <c r="H2818" s="13" t="s">
        <v>5292</v>
      </c>
      <c r="I2818" s="13" t="s">
        <v>5289</v>
      </c>
      <c r="J2818" s="13" t="s">
        <v>5289</v>
      </c>
      <c r="K2818" s="13" t="s">
        <v>5289</v>
      </c>
      <c r="L2818" s="13"/>
      <c r="M2818" s="13"/>
      <c r="N2818" s="13" t="n">
        <v>8011003895755</v>
      </c>
      <c r="O2818" s="13"/>
      <c r="P2818" s="13" t="s">
        <v>5291</v>
      </c>
      <c r="Q2818" s="13" t="s">
        <v>5289</v>
      </c>
      <c r="R2818" s="13" t="s">
        <v>5292</v>
      </c>
      <c r="S2818" s="13" t="s">
        <v>5293</v>
      </c>
      <c r="T2818" s="13" t="s">
        <v>5</v>
      </c>
      <c r="U2818" s="13" t="s">
        <v>43</v>
      </c>
      <c r="V2818" s="13" t="n">
        <f aca="false">IF(COUNTIF($B$2:B2818,B2818)=1,1,0)</f>
        <v>0</v>
      </c>
      <c r="W2818" s="13" t="n">
        <f aca="false">IF(COUNTIFS($B$2:B2818,B2818,$T$2:T2818,T2818)=1,1,0)</f>
        <v>0</v>
      </c>
    </row>
    <row r="2819" customFormat="false" ht="15" hidden="false" customHeight="false" outlineLevel="0" collapsed="false">
      <c r="A2819" s="13" t="s">
        <v>1117</v>
      </c>
      <c r="B2819" s="13" t="s">
        <v>362</v>
      </c>
      <c r="C2819" s="13" t="n">
        <v>1300</v>
      </c>
      <c r="D2819" s="13" t="n">
        <v>2</v>
      </c>
      <c r="E2819" s="13" t="n">
        <v>631.775</v>
      </c>
      <c r="F2819" s="13" t="s">
        <v>5325</v>
      </c>
      <c r="G2819" s="13" t="s">
        <v>5289</v>
      </c>
      <c r="H2819" s="13" t="s">
        <v>5289</v>
      </c>
      <c r="I2819" s="13" t="s">
        <v>5289</v>
      </c>
      <c r="J2819" s="13" t="s">
        <v>5289</v>
      </c>
      <c r="K2819" s="13" t="s">
        <v>5289</v>
      </c>
      <c r="L2819" s="13"/>
      <c r="M2819" s="13"/>
      <c r="N2819" s="13" t="n">
        <v>3386460153737</v>
      </c>
      <c r="O2819" s="13"/>
      <c r="P2819" s="13" t="s">
        <v>5291</v>
      </c>
      <c r="Q2819" s="13" t="s">
        <v>5289</v>
      </c>
      <c r="R2819" s="13" t="s">
        <v>5292</v>
      </c>
      <c r="S2819" s="13" t="s">
        <v>5293</v>
      </c>
      <c r="T2819" s="13" t="s">
        <v>5</v>
      </c>
      <c r="U2819" s="13" t="s">
        <v>43</v>
      </c>
      <c r="V2819" s="13" t="n">
        <f aca="false">IF(COUNTIF($B$2:B2819,B2819)=1,1,0)</f>
        <v>0</v>
      </c>
      <c r="W2819" s="13" t="n">
        <f aca="false">IF(COUNTIFS($B$2:B2819,B2819,$T$2:T2819,T2819)=1,1,0)</f>
        <v>0</v>
      </c>
    </row>
    <row r="2820" customFormat="false" ht="15" hidden="false" customHeight="false" outlineLevel="0" collapsed="false">
      <c r="A2820" s="13" t="s">
        <v>1137</v>
      </c>
      <c r="B2820" s="13" t="s">
        <v>61</v>
      </c>
      <c r="C2820" s="13" t="n">
        <v>1300</v>
      </c>
      <c r="D2820" s="13" t="n">
        <v>2</v>
      </c>
      <c r="E2820" s="13" t="n">
        <v>419.85</v>
      </c>
      <c r="F2820" s="13" t="s">
        <v>5325</v>
      </c>
      <c r="G2820" s="13" t="s">
        <v>5289</v>
      </c>
      <c r="H2820" s="13" t="s">
        <v>5289</v>
      </c>
      <c r="I2820" s="13" t="s">
        <v>5289</v>
      </c>
      <c r="J2820" s="13" t="s">
        <v>5289</v>
      </c>
      <c r="K2820" s="13" t="s">
        <v>5289</v>
      </c>
      <c r="L2820" s="13" t="n">
        <v>3614274145267</v>
      </c>
      <c r="M2820" s="13"/>
      <c r="N2820" s="13" t="n">
        <v>3147758030303</v>
      </c>
      <c r="O2820" s="13"/>
      <c r="P2820" s="13" t="s">
        <v>5291</v>
      </c>
      <c r="Q2820" s="13" t="s">
        <v>5289</v>
      </c>
      <c r="R2820" s="13" t="s">
        <v>5292</v>
      </c>
      <c r="S2820" s="13" t="s">
        <v>5293</v>
      </c>
      <c r="T2820" s="13" t="s">
        <v>5</v>
      </c>
      <c r="U2820" s="13" t="s">
        <v>43</v>
      </c>
      <c r="V2820" s="13" t="n">
        <f aca="false">IF(COUNTIF($B$2:B2820,B2820)=1,1,0)</f>
        <v>0</v>
      </c>
      <c r="W2820" s="13" t="n">
        <f aca="false">IF(COUNTIFS($B$2:B2820,B2820,$T$2:T2820,T2820)=1,1,0)</f>
        <v>0</v>
      </c>
    </row>
    <row r="2821" customFormat="false" ht="15" hidden="false" customHeight="false" outlineLevel="0" collapsed="false">
      <c r="A2821" s="13" t="s">
        <v>6383</v>
      </c>
      <c r="B2821" s="13" t="s">
        <v>2219</v>
      </c>
      <c r="C2821" s="13" t="n">
        <v>1300</v>
      </c>
      <c r="D2821" s="13" t="n">
        <v>10</v>
      </c>
      <c r="E2821" s="13" t="n">
        <v>96.75</v>
      </c>
      <c r="F2821" s="13" t="s">
        <v>5325</v>
      </c>
      <c r="G2821" s="13" t="s">
        <v>5289</v>
      </c>
      <c r="H2821" s="13" t="s">
        <v>5289</v>
      </c>
      <c r="I2821" s="13" t="s">
        <v>5289</v>
      </c>
      <c r="J2821" s="13" t="s">
        <v>5289</v>
      </c>
      <c r="K2821" s="13" t="s">
        <v>5289</v>
      </c>
      <c r="L2821" s="13" t="n">
        <v>3616305629418</v>
      </c>
      <c r="M2821" s="13"/>
      <c r="N2821" s="13" t="n">
        <v>3616305629418</v>
      </c>
      <c r="O2821" s="13"/>
      <c r="P2821" s="13" t="s">
        <v>5291</v>
      </c>
      <c r="Q2821" s="13" t="s">
        <v>5289</v>
      </c>
      <c r="R2821" s="13" t="s">
        <v>5292</v>
      </c>
      <c r="S2821" s="13" t="s">
        <v>5293</v>
      </c>
      <c r="T2821" s="13" t="s">
        <v>5</v>
      </c>
      <c r="U2821" s="13" t="s">
        <v>43</v>
      </c>
      <c r="V2821" s="13" t="n">
        <f aca="false">IF(COUNTIF($B$2:B2821,B2821)=1,1,0)</f>
        <v>1</v>
      </c>
      <c r="W2821" s="13" t="n">
        <f aca="false">IF(COUNTIFS($B$2:B2821,B2821,$T$2:T2821,T2821)=1,1,0)</f>
        <v>1</v>
      </c>
    </row>
    <row r="2822" customFormat="false" ht="15" hidden="false" customHeight="false" outlineLevel="0" collapsed="false">
      <c r="A2822" s="13" t="s">
        <v>996</v>
      </c>
      <c r="B2822" s="13" t="s">
        <v>107</v>
      </c>
      <c r="C2822" s="13" t="n">
        <v>1300</v>
      </c>
      <c r="D2822" s="13" t="n">
        <v>2</v>
      </c>
      <c r="E2822" s="13" t="n">
        <v>418.85</v>
      </c>
      <c r="F2822" s="13" t="s">
        <v>5325</v>
      </c>
      <c r="G2822" s="13" t="s">
        <v>5289</v>
      </c>
      <c r="H2822" s="13" t="s">
        <v>5289</v>
      </c>
      <c r="I2822" s="13" t="s">
        <v>5289</v>
      </c>
      <c r="J2822" s="13" t="s">
        <v>5289</v>
      </c>
      <c r="K2822" s="13" t="s">
        <v>5292</v>
      </c>
      <c r="L2822" s="13" t="n">
        <v>4064666578798</v>
      </c>
      <c r="M2822" s="13"/>
      <c r="N2822" s="13" t="n">
        <v>4064666578798</v>
      </c>
      <c r="O2822" s="13"/>
      <c r="P2822" s="13" t="s">
        <v>5291</v>
      </c>
      <c r="Q2822" s="13" t="s">
        <v>5289</v>
      </c>
      <c r="R2822" s="13" t="s">
        <v>5292</v>
      </c>
      <c r="S2822" s="13" t="s">
        <v>5293</v>
      </c>
      <c r="T2822" s="13" t="s">
        <v>5</v>
      </c>
      <c r="U2822" s="13" t="s">
        <v>43</v>
      </c>
      <c r="V2822" s="13" t="n">
        <f aca="false">IF(COUNTIF($B$2:B2822,B2822)=1,1,0)</f>
        <v>0</v>
      </c>
      <c r="W2822" s="13" t="n">
        <f aca="false">IF(COUNTIFS($B$2:B2822,B2822,$T$2:T2822,T2822)=1,1,0)</f>
        <v>0</v>
      </c>
    </row>
    <row r="2823" customFormat="false" ht="15" hidden="false" customHeight="false" outlineLevel="0" collapsed="false">
      <c r="A2823" s="13" t="s">
        <v>1136</v>
      </c>
      <c r="B2823" s="13" t="s">
        <v>153</v>
      </c>
      <c r="C2823" s="13" t="n">
        <v>1300</v>
      </c>
      <c r="D2823" s="13" t="n">
        <v>2</v>
      </c>
      <c r="E2823" s="13" t="n">
        <v>628</v>
      </c>
      <c r="F2823" s="13" t="s">
        <v>5288</v>
      </c>
      <c r="G2823" s="13" t="s">
        <v>5289</v>
      </c>
      <c r="H2823" s="13" t="s">
        <v>5289</v>
      </c>
      <c r="I2823" s="13" t="s">
        <v>5289</v>
      </c>
      <c r="J2823" s="13" t="s">
        <v>5289</v>
      </c>
      <c r="K2823" s="13" t="s">
        <v>5289</v>
      </c>
      <c r="L2823" s="13"/>
      <c r="M2823" s="13"/>
      <c r="N2823" s="13" t="n">
        <v>8011003803132</v>
      </c>
      <c r="O2823" s="13"/>
      <c r="P2823" s="13" t="s">
        <v>5291</v>
      </c>
      <c r="Q2823" s="13" t="s">
        <v>5289</v>
      </c>
      <c r="R2823" s="13" t="s">
        <v>5292</v>
      </c>
      <c r="S2823" s="13" t="s">
        <v>5293</v>
      </c>
      <c r="T2823" s="13" t="s">
        <v>5</v>
      </c>
      <c r="U2823" s="13" t="s">
        <v>43</v>
      </c>
      <c r="V2823" s="13" t="n">
        <f aca="false">IF(COUNTIF($B$2:B2823,B2823)=1,1,0)</f>
        <v>0</v>
      </c>
      <c r="W2823" s="13" t="n">
        <f aca="false">IF(COUNTIFS($B$2:B2823,B2823,$T$2:T2823,T2823)=1,1,0)</f>
        <v>0</v>
      </c>
    </row>
    <row r="2824" customFormat="false" ht="15" hidden="false" customHeight="false" outlineLevel="0" collapsed="false">
      <c r="A2824" s="13" t="s">
        <v>316</v>
      </c>
      <c r="B2824" s="13" t="s">
        <v>315</v>
      </c>
      <c r="C2824" s="13" t="n">
        <v>1300</v>
      </c>
      <c r="D2824" s="13" t="n">
        <v>2</v>
      </c>
      <c r="E2824" s="13" t="n">
        <v>418</v>
      </c>
      <c r="F2824" s="13" t="s">
        <v>5325</v>
      </c>
      <c r="G2824" s="13" t="s">
        <v>5289</v>
      </c>
      <c r="H2824" s="13" t="s">
        <v>5289</v>
      </c>
      <c r="I2824" s="13" t="s">
        <v>5289</v>
      </c>
      <c r="J2824" s="13" t="s">
        <v>5289</v>
      </c>
      <c r="K2824" s="13" t="s">
        <v>5289</v>
      </c>
      <c r="L2824" s="13"/>
      <c r="M2824" s="13"/>
      <c r="N2824" s="13" t="n">
        <v>3605972910240</v>
      </c>
      <c r="O2824" s="13"/>
      <c r="P2824" s="13" t="s">
        <v>5291</v>
      </c>
      <c r="Q2824" s="13" t="s">
        <v>5289</v>
      </c>
      <c r="R2824" s="13" t="s">
        <v>5292</v>
      </c>
      <c r="S2824" s="13" t="s">
        <v>5293</v>
      </c>
      <c r="T2824" s="13" t="s">
        <v>5</v>
      </c>
      <c r="U2824" s="13" t="s">
        <v>43</v>
      </c>
      <c r="V2824" s="13" t="n">
        <f aca="false">IF(COUNTIF($B$2:B2824,B2824)=1,1,0)</f>
        <v>0</v>
      </c>
      <c r="W2824" s="13" t="n">
        <f aca="false">IF(COUNTIFS($B$2:B2824,B2824,$T$2:T2824,T2824)=1,1,0)</f>
        <v>0</v>
      </c>
    </row>
    <row r="2825" customFormat="false" ht="15" hidden="false" customHeight="false" outlineLevel="0" collapsed="false">
      <c r="A2825" s="13" t="s">
        <v>3587</v>
      </c>
      <c r="B2825" s="13" t="s">
        <v>2155</v>
      </c>
      <c r="C2825" s="13" t="n">
        <v>1300</v>
      </c>
      <c r="D2825" s="13" t="n">
        <v>10</v>
      </c>
      <c r="E2825" s="13" t="n">
        <v>114</v>
      </c>
      <c r="F2825" s="13" t="s">
        <v>5325</v>
      </c>
      <c r="G2825" s="13" t="s">
        <v>5292</v>
      </c>
      <c r="H2825" s="13" t="s">
        <v>5289</v>
      </c>
      <c r="I2825" s="13" t="s">
        <v>5289</v>
      </c>
      <c r="J2825" s="13" t="s">
        <v>5289</v>
      </c>
      <c r="K2825" s="13" t="s">
        <v>5289</v>
      </c>
      <c r="L2825" s="13" t="n">
        <v>5060926686714</v>
      </c>
      <c r="M2825" s="13"/>
      <c r="N2825" s="13" t="n">
        <v>5060926686714</v>
      </c>
      <c r="O2825" s="13"/>
      <c r="P2825" s="13" t="s">
        <v>5297</v>
      </c>
      <c r="Q2825" s="13" t="s">
        <v>5289</v>
      </c>
      <c r="R2825" s="13" t="s">
        <v>5292</v>
      </c>
      <c r="S2825" s="13" t="s">
        <v>5293</v>
      </c>
      <c r="T2825" s="13" t="s">
        <v>5</v>
      </c>
      <c r="U2825" s="13" t="s">
        <v>85</v>
      </c>
      <c r="V2825" s="13" t="n">
        <f aca="false">IF(COUNTIF($B$2:B2825,B2825)=1,1,0)</f>
        <v>0</v>
      </c>
      <c r="W2825" s="13" t="n">
        <f aca="false">IF(COUNTIFS($B$2:B2825,B2825,$T$2:T2825,T2825)=1,1,0)</f>
        <v>0</v>
      </c>
    </row>
    <row r="2826" customFormat="false" ht="15" hidden="false" customHeight="false" outlineLevel="0" collapsed="false">
      <c r="A2826" s="13" t="s">
        <v>1171</v>
      </c>
      <c r="B2826" s="13" t="s">
        <v>42</v>
      </c>
      <c r="C2826" s="13" t="n">
        <v>1200</v>
      </c>
      <c r="D2826" s="13" t="n">
        <v>2</v>
      </c>
      <c r="E2826" s="13" t="n">
        <v>625</v>
      </c>
      <c r="F2826" s="13" t="s">
        <v>5325</v>
      </c>
      <c r="G2826" s="13" t="s">
        <v>5289</v>
      </c>
      <c r="H2826" s="13" t="s">
        <v>5292</v>
      </c>
      <c r="I2826" s="13" t="s">
        <v>5289</v>
      </c>
      <c r="J2826" s="13" t="s">
        <v>5289</v>
      </c>
      <c r="K2826" s="13" t="s">
        <v>5289</v>
      </c>
      <c r="L2826" s="13" t="n">
        <v>8411061995754</v>
      </c>
      <c r="M2826" s="13"/>
      <c r="N2826" s="13" t="n">
        <v>8411061995754</v>
      </c>
      <c r="O2826" s="13"/>
      <c r="P2826" s="13" t="s">
        <v>5291</v>
      </c>
      <c r="Q2826" s="13" t="s">
        <v>5289</v>
      </c>
      <c r="R2826" s="13" t="s">
        <v>5292</v>
      </c>
      <c r="S2826" s="13" t="s">
        <v>5293</v>
      </c>
      <c r="T2826" s="13" t="s">
        <v>5</v>
      </c>
      <c r="U2826" s="13" t="s">
        <v>43</v>
      </c>
      <c r="V2826" s="13" t="n">
        <f aca="false">IF(COUNTIF($B$2:B2826,B2826)=1,1,0)</f>
        <v>0</v>
      </c>
      <c r="W2826" s="13" t="n">
        <f aca="false">IF(COUNTIFS($B$2:B2826,B2826,$T$2:T2826,T2826)=1,1,0)</f>
        <v>0</v>
      </c>
    </row>
    <row r="2827" customFormat="false" ht="15" hidden="false" customHeight="false" outlineLevel="0" collapsed="false">
      <c r="A2827" s="13" t="s">
        <v>492</v>
      </c>
      <c r="B2827" s="13" t="s">
        <v>50</v>
      </c>
      <c r="C2827" s="13" t="n">
        <v>1200</v>
      </c>
      <c r="D2827" s="13" t="n">
        <v>2</v>
      </c>
      <c r="E2827" s="13" t="n">
        <v>622.2</v>
      </c>
      <c r="F2827" s="13" t="s">
        <v>5325</v>
      </c>
      <c r="G2827" s="13" t="s">
        <v>5289</v>
      </c>
      <c r="H2827" s="13" t="s">
        <v>5292</v>
      </c>
      <c r="I2827" s="13" t="s">
        <v>5289</v>
      </c>
      <c r="J2827" s="13" t="s">
        <v>5289</v>
      </c>
      <c r="K2827" s="13" t="s">
        <v>5289</v>
      </c>
      <c r="L2827" s="13" t="n">
        <v>3349668644049</v>
      </c>
      <c r="M2827" s="13"/>
      <c r="N2827" s="13" t="n">
        <v>3349668644049</v>
      </c>
      <c r="O2827" s="13"/>
      <c r="P2827" s="13" t="s">
        <v>5291</v>
      </c>
      <c r="Q2827" s="13" t="s">
        <v>5289</v>
      </c>
      <c r="R2827" s="13" t="s">
        <v>5292</v>
      </c>
      <c r="S2827" s="13" t="s">
        <v>5293</v>
      </c>
      <c r="T2827" s="13" t="s">
        <v>5</v>
      </c>
      <c r="U2827" s="13" t="s">
        <v>43</v>
      </c>
      <c r="V2827" s="13" t="n">
        <f aca="false">IF(COUNTIF($B$2:B2827,B2827)=1,1,0)</f>
        <v>0</v>
      </c>
      <c r="W2827" s="13" t="n">
        <f aca="false">IF(COUNTIFS($B$2:B2827,B2827,$T$2:T2827,T2827)=1,1,0)</f>
        <v>0</v>
      </c>
    </row>
    <row r="2828" customFormat="false" ht="15" hidden="false" customHeight="false" outlineLevel="0" collapsed="false">
      <c r="A2828" s="13" t="s">
        <v>1170</v>
      </c>
      <c r="B2828" s="13" t="s">
        <v>61</v>
      </c>
      <c r="C2828" s="13" t="n">
        <v>1200</v>
      </c>
      <c r="D2828" s="13" t="n">
        <v>2</v>
      </c>
      <c r="E2828" s="13" t="n">
        <v>621.45</v>
      </c>
      <c r="F2828" s="13" t="s">
        <v>5325</v>
      </c>
      <c r="G2828" s="13" t="s">
        <v>5289</v>
      </c>
      <c r="H2828" s="13" t="s">
        <v>5289</v>
      </c>
      <c r="I2828" s="13" t="s">
        <v>5289</v>
      </c>
      <c r="J2828" s="13" t="s">
        <v>5289</v>
      </c>
      <c r="K2828" s="13" t="s">
        <v>5289</v>
      </c>
      <c r="L2828" s="13" t="n">
        <v>3147758034905</v>
      </c>
      <c r="M2828" s="13"/>
      <c r="N2828" s="13" t="n">
        <v>3147758034905</v>
      </c>
      <c r="O2828" s="13"/>
      <c r="P2828" s="13" t="s">
        <v>5297</v>
      </c>
      <c r="Q2828" s="13" t="s">
        <v>5289</v>
      </c>
      <c r="R2828" s="13" t="s">
        <v>5292</v>
      </c>
      <c r="S2828" s="13" t="s">
        <v>5293</v>
      </c>
      <c r="T2828" s="13" t="s">
        <v>5</v>
      </c>
      <c r="U2828" s="13" t="s">
        <v>43</v>
      </c>
      <c r="V2828" s="13" t="n">
        <f aca="false">IF(COUNTIF($B$2:B2828,B2828)=1,1,0)</f>
        <v>0</v>
      </c>
      <c r="W2828" s="13" t="n">
        <f aca="false">IF(COUNTIFS($B$2:B2828,B2828,$T$2:T2828,T2828)=1,1,0)</f>
        <v>0</v>
      </c>
    </row>
    <row r="2829" customFormat="false" ht="15" hidden="false" customHeight="false" outlineLevel="0" collapsed="false">
      <c r="A2829" s="13" t="s">
        <v>3927</v>
      </c>
      <c r="B2829" s="13" t="s">
        <v>2139</v>
      </c>
      <c r="C2829" s="13" t="n">
        <v>1200</v>
      </c>
      <c r="D2829" s="13" t="n">
        <v>10</v>
      </c>
      <c r="E2829" s="13" t="n">
        <v>112.647272727273</v>
      </c>
      <c r="F2829" s="13" t="s">
        <v>5325</v>
      </c>
      <c r="G2829" s="13" t="s">
        <v>5289</v>
      </c>
      <c r="H2829" s="13" t="s">
        <v>5289</v>
      </c>
      <c r="I2829" s="13" t="s">
        <v>5289</v>
      </c>
      <c r="J2829" s="13" t="s">
        <v>5289</v>
      </c>
      <c r="K2829" s="13" t="s">
        <v>5289</v>
      </c>
      <c r="L2829" s="13" t="n">
        <v>8411061090855</v>
      </c>
      <c r="M2829" s="13"/>
      <c r="N2829" s="13" t="n">
        <v>8411061090855</v>
      </c>
      <c r="O2829" s="13"/>
      <c r="P2829" s="13" t="s">
        <v>5291</v>
      </c>
      <c r="Q2829" s="13" t="s">
        <v>5289</v>
      </c>
      <c r="R2829" s="13" t="s">
        <v>5292</v>
      </c>
      <c r="S2829" s="13" t="s">
        <v>5293</v>
      </c>
      <c r="T2829" s="13" t="s">
        <v>5</v>
      </c>
      <c r="U2829" s="13" t="s">
        <v>43</v>
      </c>
      <c r="V2829" s="13" t="n">
        <f aca="false">IF(COUNTIF($B$2:B2829,B2829)=1,1,0)</f>
        <v>0</v>
      </c>
      <c r="W2829" s="13" t="n">
        <f aca="false">IF(COUNTIFS($B$2:B2829,B2829,$T$2:T2829,T2829)=1,1,0)</f>
        <v>0</v>
      </c>
    </row>
    <row r="2830" customFormat="false" ht="15" hidden="false" customHeight="false" outlineLevel="0" collapsed="false">
      <c r="A2830" s="13" t="s">
        <v>6384</v>
      </c>
      <c r="B2830" s="13" t="s">
        <v>2103</v>
      </c>
      <c r="C2830" s="13" t="n">
        <v>1200</v>
      </c>
      <c r="D2830" s="13" t="n">
        <v>10</v>
      </c>
      <c r="E2830" s="13" t="n">
        <v>102.721666666667</v>
      </c>
      <c r="F2830" s="13" t="s">
        <v>5325</v>
      </c>
      <c r="G2830" s="13" t="s">
        <v>5289</v>
      </c>
      <c r="H2830" s="13" t="s">
        <v>5292</v>
      </c>
      <c r="I2830" s="13" t="s">
        <v>5289</v>
      </c>
      <c r="J2830" s="13" t="s">
        <v>5289</v>
      </c>
      <c r="K2830" s="13" t="s">
        <v>5289</v>
      </c>
      <c r="L2830" s="13" t="n">
        <v>309974700085</v>
      </c>
      <c r="M2830" s="13"/>
      <c r="N2830" s="13" t="n">
        <v>309974700085</v>
      </c>
      <c r="O2830" s="13"/>
      <c r="P2830" s="13" t="s">
        <v>5291</v>
      </c>
      <c r="Q2830" s="13" t="s">
        <v>5289</v>
      </c>
      <c r="R2830" s="13" t="s">
        <v>5292</v>
      </c>
      <c r="S2830" s="13" t="s">
        <v>5293</v>
      </c>
      <c r="T2830" s="13" t="s">
        <v>5</v>
      </c>
      <c r="U2830" s="13" t="s">
        <v>85</v>
      </c>
      <c r="V2830" s="13" t="n">
        <f aca="false">IF(COUNTIF($B$2:B2830,B2830)=1,1,0)</f>
        <v>0</v>
      </c>
      <c r="W2830" s="13" t="n">
        <f aca="false">IF(COUNTIFS($B$2:B2830,B2830,$T$2:T2830,T2830)=1,1,0)</f>
        <v>0</v>
      </c>
    </row>
    <row r="2831" customFormat="false" ht="15" hidden="false" customHeight="false" outlineLevel="0" collapsed="false">
      <c r="A2831" s="13" t="s">
        <v>1169</v>
      </c>
      <c r="B2831" s="13" t="s">
        <v>107</v>
      </c>
      <c r="C2831" s="13" t="n">
        <v>1200</v>
      </c>
      <c r="D2831" s="13" t="n">
        <v>5</v>
      </c>
      <c r="E2831" s="13" t="n">
        <v>246.25</v>
      </c>
      <c r="F2831" s="13" t="s">
        <v>5325</v>
      </c>
      <c r="G2831" s="13" t="s">
        <v>5289</v>
      </c>
      <c r="H2831" s="13" t="s">
        <v>5292</v>
      </c>
      <c r="I2831" s="13" t="s">
        <v>5289</v>
      </c>
      <c r="J2831" s="13" t="s">
        <v>5289</v>
      </c>
      <c r="K2831" s="13" t="s">
        <v>5289</v>
      </c>
      <c r="L2831" s="13" t="n">
        <v>7896235353744</v>
      </c>
      <c r="M2831" s="13"/>
      <c r="N2831" s="13" t="n">
        <v>7896235353744</v>
      </c>
      <c r="O2831" s="13"/>
      <c r="P2831" s="13" t="s">
        <v>5291</v>
      </c>
      <c r="Q2831" s="13" t="s">
        <v>5289</v>
      </c>
      <c r="R2831" s="13" t="s">
        <v>5292</v>
      </c>
      <c r="S2831" s="13" t="s">
        <v>5293</v>
      </c>
      <c r="T2831" s="13" t="s">
        <v>5</v>
      </c>
      <c r="U2831" s="13" t="s">
        <v>43</v>
      </c>
      <c r="V2831" s="13" t="n">
        <f aca="false">IF(COUNTIF($B$2:B2831,B2831)=1,1,0)</f>
        <v>0</v>
      </c>
      <c r="W2831" s="13" t="n">
        <f aca="false">IF(COUNTIFS($B$2:B2831,B2831,$T$2:T2831,T2831)=1,1,0)</f>
        <v>0</v>
      </c>
    </row>
    <row r="2832" customFormat="false" ht="15" hidden="false" customHeight="false" outlineLevel="0" collapsed="false">
      <c r="A2832" s="13" t="s">
        <v>1163</v>
      </c>
      <c r="B2832" s="13" t="s">
        <v>103</v>
      </c>
      <c r="C2832" s="13" t="n">
        <v>1200</v>
      </c>
      <c r="D2832" s="13" t="n">
        <v>5</v>
      </c>
      <c r="E2832" s="13" t="n">
        <v>205</v>
      </c>
      <c r="F2832" s="13" t="s">
        <v>5325</v>
      </c>
      <c r="G2832" s="13" t="s">
        <v>5289</v>
      </c>
      <c r="H2832" s="13" t="s">
        <v>5289</v>
      </c>
      <c r="I2832" s="13" t="s">
        <v>5289</v>
      </c>
      <c r="J2832" s="13" t="s">
        <v>5289</v>
      </c>
      <c r="K2832" s="13" t="s">
        <v>5289</v>
      </c>
      <c r="L2832" s="13"/>
      <c r="M2832" s="13"/>
      <c r="N2832" s="13" t="n">
        <v>8.41106198210584E+025</v>
      </c>
      <c r="O2832" s="13"/>
      <c r="P2832" s="13" t="s">
        <v>5291</v>
      </c>
      <c r="Q2832" s="13" t="s">
        <v>5289</v>
      </c>
      <c r="R2832" s="13" t="s">
        <v>5292</v>
      </c>
      <c r="S2832" s="13" t="s">
        <v>5293</v>
      </c>
      <c r="T2832" s="13" t="s">
        <v>5</v>
      </c>
      <c r="U2832" s="13" t="s">
        <v>43</v>
      </c>
      <c r="V2832" s="13" t="n">
        <f aca="false">IF(COUNTIF($B$2:B2832,B2832)=1,1,0)</f>
        <v>0</v>
      </c>
      <c r="W2832" s="13" t="n">
        <f aca="false">IF(COUNTIFS($B$2:B2832,B2832,$T$2:T2832,T2832)=1,1,0)</f>
        <v>0</v>
      </c>
    </row>
    <row r="2833" customFormat="false" ht="15" hidden="false" customHeight="false" outlineLevel="0" collapsed="false">
      <c r="A2833" s="13" t="s">
        <v>1162</v>
      </c>
      <c r="B2833" s="13" t="s">
        <v>490</v>
      </c>
      <c r="C2833" s="13" t="n">
        <v>1200</v>
      </c>
      <c r="D2833" s="13" t="n">
        <v>5</v>
      </c>
      <c r="E2833" s="13" t="n">
        <v>245.41</v>
      </c>
      <c r="F2833" s="13" t="s">
        <v>5325</v>
      </c>
      <c r="G2833" s="13" t="s">
        <v>5292</v>
      </c>
      <c r="H2833" s="13" t="s">
        <v>5289</v>
      </c>
      <c r="I2833" s="13" t="s">
        <v>5289</v>
      </c>
      <c r="J2833" s="13" t="s">
        <v>5289</v>
      </c>
      <c r="K2833" s="13" t="s">
        <v>5289</v>
      </c>
      <c r="L2833" s="13" t="n">
        <v>8011003878598</v>
      </c>
      <c r="M2833" s="13"/>
      <c r="N2833" s="13" t="n">
        <v>8011003878598</v>
      </c>
      <c r="O2833" s="13"/>
      <c r="P2833" s="13" t="s">
        <v>5297</v>
      </c>
      <c r="Q2833" s="13" t="s">
        <v>5289</v>
      </c>
      <c r="R2833" s="13" t="s">
        <v>5292</v>
      </c>
      <c r="S2833" s="13" t="s">
        <v>5293</v>
      </c>
      <c r="T2833" s="13" t="s">
        <v>5</v>
      </c>
      <c r="U2833" s="13" t="s">
        <v>43</v>
      </c>
      <c r="V2833" s="13" t="n">
        <f aca="false">IF(COUNTIF($B$2:B2833,B2833)=1,1,0)</f>
        <v>0</v>
      </c>
      <c r="W2833" s="13" t="n">
        <f aca="false">IF(COUNTIFS($B$2:B2833,B2833,$T$2:T2833,T2833)=1,1,0)</f>
        <v>0</v>
      </c>
    </row>
    <row r="2834" customFormat="false" ht="15" hidden="false" customHeight="false" outlineLevel="0" collapsed="false">
      <c r="A2834" s="13" t="s">
        <v>1172</v>
      </c>
      <c r="B2834" s="13" t="s">
        <v>79</v>
      </c>
      <c r="C2834" s="13" t="n">
        <v>1200</v>
      </c>
      <c r="D2834" s="13" t="n">
        <v>2</v>
      </c>
      <c r="E2834" s="13" t="n">
        <v>613.04</v>
      </c>
      <c r="F2834" s="13" t="s">
        <v>5325</v>
      </c>
      <c r="G2834" s="13" t="s">
        <v>5289</v>
      </c>
      <c r="H2834" s="13" t="s">
        <v>5289</v>
      </c>
      <c r="I2834" s="13" t="s">
        <v>5289</v>
      </c>
      <c r="J2834" s="13" t="s">
        <v>5289</v>
      </c>
      <c r="K2834" s="13" t="s">
        <v>5289</v>
      </c>
      <c r="L2834" s="13" t="n">
        <v>8.05797118048634E+025</v>
      </c>
      <c r="M2834" s="13"/>
      <c r="N2834" s="13" t="n">
        <v>8.05797118048634E+025</v>
      </c>
      <c r="O2834" s="13"/>
      <c r="P2834" s="13" t="s">
        <v>5297</v>
      </c>
      <c r="Q2834" s="13" t="s">
        <v>5289</v>
      </c>
      <c r="R2834" s="13" t="s">
        <v>5292</v>
      </c>
      <c r="S2834" s="13" t="s">
        <v>5293</v>
      </c>
      <c r="T2834" s="13" t="s">
        <v>5</v>
      </c>
      <c r="U2834" s="13" t="s">
        <v>43</v>
      </c>
      <c r="V2834" s="13" t="n">
        <f aca="false">IF(COUNTIF($B$2:B2834,B2834)=1,1,0)</f>
        <v>0</v>
      </c>
      <c r="W2834" s="13" t="n">
        <f aca="false">IF(COUNTIFS($B$2:B2834,B2834,$T$2:T2834,T2834)=1,1,0)</f>
        <v>0</v>
      </c>
    </row>
    <row r="2835" customFormat="false" ht="15" hidden="false" customHeight="false" outlineLevel="0" collapsed="false">
      <c r="A2835" s="13" t="s">
        <v>912</v>
      </c>
      <c r="B2835" s="13" t="s">
        <v>42</v>
      </c>
      <c r="C2835" s="13" t="n">
        <v>1200</v>
      </c>
      <c r="D2835" s="13" t="n">
        <v>2</v>
      </c>
      <c r="E2835" s="13" t="n">
        <v>612</v>
      </c>
      <c r="F2835" s="13" t="s">
        <v>5325</v>
      </c>
      <c r="G2835" s="13" t="s">
        <v>5292</v>
      </c>
      <c r="H2835" s="13" t="s">
        <v>5289</v>
      </c>
      <c r="I2835" s="13" t="s">
        <v>5289</v>
      </c>
      <c r="J2835" s="13" t="s">
        <v>5289</v>
      </c>
      <c r="K2835" s="13" t="s">
        <v>5289</v>
      </c>
      <c r="L2835" s="13" t="n">
        <v>8411061058466</v>
      </c>
      <c r="M2835" s="13"/>
      <c r="N2835" s="13" t="n">
        <v>8411061058466</v>
      </c>
      <c r="O2835" s="13"/>
      <c r="P2835" s="13" t="s">
        <v>5291</v>
      </c>
      <c r="Q2835" s="13" t="s">
        <v>5289</v>
      </c>
      <c r="R2835" s="13" t="s">
        <v>5292</v>
      </c>
      <c r="S2835" s="13" t="s">
        <v>5293</v>
      </c>
      <c r="T2835" s="13" t="s">
        <v>5</v>
      </c>
      <c r="U2835" s="13" t="s">
        <v>43</v>
      </c>
      <c r="V2835" s="13" t="n">
        <f aca="false">IF(COUNTIF($B$2:B2835,B2835)=1,1,0)</f>
        <v>0</v>
      </c>
      <c r="W2835" s="13" t="n">
        <f aca="false">IF(COUNTIFS($B$2:B2835,B2835,$T$2:T2835,T2835)=1,1,0)</f>
        <v>0</v>
      </c>
    </row>
    <row r="2836" customFormat="false" ht="15" hidden="false" customHeight="false" outlineLevel="0" collapsed="false">
      <c r="A2836" s="13" t="s">
        <v>684</v>
      </c>
      <c r="B2836" s="13" t="s">
        <v>124</v>
      </c>
      <c r="C2836" s="13" t="n">
        <v>1200</v>
      </c>
      <c r="D2836" s="13" t="n">
        <v>2</v>
      </c>
      <c r="E2836" s="13" t="n">
        <v>610.475</v>
      </c>
      <c r="F2836" s="13" t="s">
        <v>5325</v>
      </c>
      <c r="G2836" s="13" t="s">
        <v>5289</v>
      </c>
      <c r="H2836" s="13" t="s">
        <v>5289</v>
      </c>
      <c r="I2836" s="13" t="s">
        <v>5289</v>
      </c>
      <c r="J2836" s="13" t="s">
        <v>5289</v>
      </c>
      <c r="K2836" s="13" t="s">
        <v>5289</v>
      </c>
      <c r="L2836" s="13" t="n">
        <v>3614274150988</v>
      </c>
      <c r="M2836" s="13"/>
      <c r="N2836" s="13" t="n">
        <v>3614274150988</v>
      </c>
      <c r="O2836" s="13"/>
      <c r="P2836" s="13" t="s">
        <v>5291</v>
      </c>
      <c r="Q2836" s="13" t="s">
        <v>5289</v>
      </c>
      <c r="R2836" s="13" t="s">
        <v>5292</v>
      </c>
      <c r="S2836" s="13" t="s">
        <v>5293</v>
      </c>
      <c r="T2836" s="13" t="s">
        <v>5</v>
      </c>
      <c r="U2836" s="13" t="s">
        <v>43</v>
      </c>
      <c r="V2836" s="13" t="n">
        <f aca="false">IF(COUNTIF($B$2:B2836,B2836)=1,1,0)</f>
        <v>0</v>
      </c>
      <c r="W2836" s="13" t="n">
        <f aca="false">IF(COUNTIFS($B$2:B2836,B2836,$T$2:T2836,T2836)=1,1,0)</f>
        <v>0</v>
      </c>
    </row>
    <row r="2837" customFormat="false" ht="15" hidden="false" customHeight="false" outlineLevel="0" collapsed="false">
      <c r="A2837" s="13" t="s">
        <v>47</v>
      </c>
      <c r="B2837" s="13" t="s">
        <v>42</v>
      </c>
      <c r="C2837" s="13" t="n">
        <v>1200</v>
      </c>
      <c r="D2837" s="13" t="n">
        <v>2</v>
      </c>
      <c r="E2837" s="13" t="n">
        <v>607.74</v>
      </c>
      <c r="F2837" s="13" t="s">
        <v>5288</v>
      </c>
      <c r="G2837" s="13" t="s">
        <v>5289</v>
      </c>
      <c r="H2837" s="13" t="s">
        <v>5289</v>
      </c>
      <c r="I2837" s="13" t="s">
        <v>5289</v>
      </c>
      <c r="J2837" s="13" t="s">
        <v>5289</v>
      </c>
      <c r="K2837" s="13" t="s">
        <v>5289</v>
      </c>
      <c r="L2837" s="13" t="n">
        <v>8411061043844</v>
      </c>
      <c r="M2837" s="13"/>
      <c r="N2837" s="13" t="n">
        <v>8411061043844</v>
      </c>
      <c r="O2837" s="13"/>
      <c r="P2837" s="13" t="s">
        <v>5291</v>
      </c>
      <c r="Q2837" s="13" t="s">
        <v>5289</v>
      </c>
      <c r="R2837" s="13" t="s">
        <v>5292</v>
      </c>
      <c r="S2837" s="13" t="s">
        <v>5293</v>
      </c>
      <c r="T2837" s="13" t="s">
        <v>5</v>
      </c>
      <c r="U2837" s="13" t="s">
        <v>43</v>
      </c>
      <c r="V2837" s="13" t="n">
        <f aca="false">IF(COUNTIF($B$2:B2837,B2837)=1,1,0)</f>
        <v>0</v>
      </c>
      <c r="W2837" s="13" t="n">
        <f aca="false">IF(COUNTIFS($B$2:B2837,B2837,$T$2:T2837,T2837)=1,1,0)</f>
        <v>0</v>
      </c>
    </row>
    <row r="2838" customFormat="false" ht="15" hidden="false" customHeight="false" outlineLevel="0" collapsed="false">
      <c r="A2838" s="13" t="s">
        <v>1168</v>
      </c>
      <c r="B2838" s="13" t="s">
        <v>69</v>
      </c>
      <c r="C2838" s="13" t="n">
        <v>1200</v>
      </c>
      <c r="D2838" s="13" t="n">
        <v>2</v>
      </c>
      <c r="E2838" s="13" t="n">
        <v>606.575</v>
      </c>
      <c r="F2838" s="13" t="s">
        <v>5288</v>
      </c>
      <c r="G2838" s="13" t="s">
        <v>5289</v>
      </c>
      <c r="H2838" s="13" t="s">
        <v>5292</v>
      </c>
      <c r="I2838" s="13" t="s">
        <v>5289</v>
      </c>
      <c r="J2838" s="13" t="s">
        <v>5289</v>
      </c>
      <c r="K2838" s="13" t="s">
        <v>5289</v>
      </c>
      <c r="L2838" s="13" t="n">
        <v>3614272050341</v>
      </c>
      <c r="M2838" s="13"/>
      <c r="N2838" s="13" t="n">
        <v>3614272050341</v>
      </c>
      <c r="O2838" s="13"/>
      <c r="P2838" s="13" t="s">
        <v>5291</v>
      </c>
      <c r="Q2838" s="13" t="s">
        <v>5289</v>
      </c>
      <c r="R2838" s="13" t="s">
        <v>5292</v>
      </c>
      <c r="S2838" s="13" t="s">
        <v>5293</v>
      </c>
      <c r="T2838" s="13" t="s">
        <v>5</v>
      </c>
      <c r="U2838" s="13" t="s">
        <v>43</v>
      </c>
      <c r="V2838" s="13" t="n">
        <f aca="false">IF(COUNTIF($B$2:B2838,B2838)=1,1,0)</f>
        <v>0</v>
      </c>
      <c r="W2838" s="13" t="n">
        <f aca="false">IF(COUNTIFS($B$2:B2838,B2838,$T$2:T2838,T2838)=1,1,0)</f>
        <v>0</v>
      </c>
    </row>
    <row r="2839" customFormat="false" ht="15" hidden="false" customHeight="false" outlineLevel="0" collapsed="false">
      <c r="A2839" s="13" t="s">
        <v>1163</v>
      </c>
      <c r="B2839" s="13" t="s">
        <v>103</v>
      </c>
      <c r="C2839" s="13" t="n">
        <v>1200</v>
      </c>
      <c r="D2839" s="13" t="n">
        <v>5</v>
      </c>
      <c r="E2839" s="13" t="n">
        <v>200.82</v>
      </c>
      <c r="F2839" s="13" t="s">
        <v>5288</v>
      </c>
      <c r="G2839" s="13" t="s">
        <v>5289</v>
      </c>
      <c r="H2839" s="13" t="s">
        <v>5289</v>
      </c>
      <c r="I2839" s="13" t="s">
        <v>5289</v>
      </c>
      <c r="J2839" s="13" t="s">
        <v>5289</v>
      </c>
      <c r="K2839" s="13" t="s">
        <v>5289</v>
      </c>
      <c r="L2839" s="13" t="n">
        <v>8411061982105</v>
      </c>
      <c r="M2839" s="13"/>
      <c r="N2839" s="13" t="n">
        <v>8.41106198210584E+025</v>
      </c>
      <c r="O2839" s="13"/>
      <c r="P2839" s="13" t="s">
        <v>5291</v>
      </c>
      <c r="Q2839" s="13" t="s">
        <v>5289</v>
      </c>
      <c r="R2839" s="13" t="s">
        <v>5292</v>
      </c>
      <c r="S2839" s="13" t="s">
        <v>5293</v>
      </c>
      <c r="T2839" s="13" t="s">
        <v>5</v>
      </c>
      <c r="U2839" s="13" t="s">
        <v>43</v>
      </c>
      <c r="V2839" s="13" t="n">
        <f aca="false">IF(COUNTIF($B$2:B2839,B2839)=1,1,0)</f>
        <v>0</v>
      </c>
      <c r="W2839" s="13" t="n">
        <f aca="false">IF(COUNTIFS($B$2:B2839,B2839,$T$2:T2839,T2839)=1,1,0)</f>
        <v>0</v>
      </c>
    </row>
    <row r="2840" customFormat="false" ht="15" hidden="false" customHeight="false" outlineLevel="0" collapsed="false">
      <c r="A2840" s="13" t="s">
        <v>1148</v>
      </c>
      <c r="B2840" s="13" t="s">
        <v>61</v>
      </c>
      <c r="C2840" s="13" t="n">
        <v>1200</v>
      </c>
      <c r="D2840" s="13" t="n">
        <v>2</v>
      </c>
      <c r="E2840" s="13" t="n">
        <v>300.85</v>
      </c>
      <c r="F2840" s="13" t="s">
        <v>5325</v>
      </c>
      <c r="G2840" s="13" t="s">
        <v>5289</v>
      </c>
      <c r="H2840" s="13" t="s">
        <v>5292</v>
      </c>
      <c r="I2840" s="13" t="s">
        <v>5289</v>
      </c>
      <c r="J2840" s="13" t="s">
        <v>5289</v>
      </c>
      <c r="K2840" s="13" t="s">
        <v>5292</v>
      </c>
      <c r="L2840" s="13" t="n">
        <v>3614273987714</v>
      </c>
      <c r="M2840" s="13"/>
      <c r="N2840" s="13" t="n">
        <v>3614273987714</v>
      </c>
      <c r="O2840" s="13"/>
      <c r="P2840" s="13" t="s">
        <v>5291</v>
      </c>
      <c r="Q2840" s="13" t="s">
        <v>5289</v>
      </c>
      <c r="R2840" s="13" t="s">
        <v>5292</v>
      </c>
      <c r="S2840" s="13" t="s">
        <v>5293</v>
      </c>
      <c r="T2840" s="13" t="s">
        <v>5</v>
      </c>
      <c r="U2840" s="13" t="s">
        <v>43</v>
      </c>
      <c r="V2840" s="13" t="n">
        <f aca="false">IF(COUNTIF($B$2:B2840,B2840)=1,1,0)</f>
        <v>0</v>
      </c>
      <c r="W2840" s="13" t="n">
        <f aca="false">IF(COUNTIFS($B$2:B2840,B2840,$T$2:T2840,T2840)=1,1,0)</f>
        <v>0</v>
      </c>
    </row>
    <row r="2841" customFormat="false" ht="15" hidden="false" customHeight="false" outlineLevel="0" collapsed="false">
      <c r="A2841" s="13" t="s">
        <v>53</v>
      </c>
      <c r="B2841" s="13" t="s">
        <v>42</v>
      </c>
      <c r="C2841" s="13" t="n">
        <v>1200</v>
      </c>
      <c r="D2841" s="13" t="n">
        <v>2</v>
      </c>
      <c r="E2841" s="13" t="n">
        <v>600</v>
      </c>
      <c r="F2841" s="13" t="s">
        <v>5288</v>
      </c>
      <c r="G2841" s="13" t="s">
        <v>5292</v>
      </c>
      <c r="H2841" s="13" t="s">
        <v>5289</v>
      </c>
      <c r="I2841" s="13" t="s">
        <v>5289</v>
      </c>
      <c r="J2841" s="13" t="s">
        <v>5289</v>
      </c>
      <c r="K2841" s="13" t="s">
        <v>5289</v>
      </c>
      <c r="L2841" s="13" t="n">
        <v>8411061023655</v>
      </c>
      <c r="M2841" s="13"/>
      <c r="N2841" s="13" t="n">
        <v>8411061023655</v>
      </c>
      <c r="O2841" s="13"/>
      <c r="P2841" s="13" t="s">
        <v>5291</v>
      </c>
      <c r="Q2841" s="13" t="s">
        <v>5289</v>
      </c>
      <c r="R2841" s="13" t="s">
        <v>5292</v>
      </c>
      <c r="S2841" s="13" t="s">
        <v>5293</v>
      </c>
      <c r="T2841" s="13" t="s">
        <v>5</v>
      </c>
      <c r="U2841" s="13" t="s">
        <v>43</v>
      </c>
      <c r="V2841" s="13" t="n">
        <f aca="false">IF(COUNTIF($B$2:B2841,B2841)=1,1,0)</f>
        <v>0</v>
      </c>
      <c r="W2841" s="13" t="n">
        <f aca="false">IF(COUNTIFS($B$2:B2841,B2841,$T$2:T2841,T2841)=1,1,0)</f>
        <v>0</v>
      </c>
    </row>
    <row r="2842" customFormat="false" ht="15" hidden="false" customHeight="false" outlineLevel="0" collapsed="false">
      <c r="A2842" s="13" t="s">
        <v>238</v>
      </c>
      <c r="B2842" s="13" t="s">
        <v>124</v>
      </c>
      <c r="C2842" s="13" t="n">
        <v>1200</v>
      </c>
      <c r="D2842" s="13" t="n">
        <v>2</v>
      </c>
      <c r="E2842" s="13" t="n">
        <v>399.99</v>
      </c>
      <c r="F2842" s="13" t="s">
        <v>5288</v>
      </c>
      <c r="G2842" s="13" t="s">
        <v>5289</v>
      </c>
      <c r="H2842" s="13" t="s">
        <v>5289</v>
      </c>
      <c r="I2842" s="13" t="s">
        <v>5289</v>
      </c>
      <c r="J2842" s="13" t="s">
        <v>5289</v>
      </c>
      <c r="K2842" s="13" t="s">
        <v>5289</v>
      </c>
      <c r="L2842" s="13"/>
      <c r="M2842" s="13"/>
      <c r="N2842" s="13" t="n">
        <v>3614274219548</v>
      </c>
      <c r="O2842" s="13"/>
      <c r="P2842" s="13" t="s">
        <v>5291</v>
      </c>
      <c r="Q2842" s="13" t="s">
        <v>5289</v>
      </c>
      <c r="R2842" s="13" t="s">
        <v>5292</v>
      </c>
      <c r="S2842" s="13" t="s">
        <v>5293</v>
      </c>
      <c r="T2842" s="13" t="s">
        <v>5</v>
      </c>
      <c r="U2842" s="13" t="s">
        <v>43</v>
      </c>
      <c r="V2842" s="13" t="n">
        <f aca="false">IF(COUNTIF($B$2:B2842,B2842)=1,1,0)</f>
        <v>0</v>
      </c>
      <c r="W2842" s="13" t="n">
        <f aca="false">IF(COUNTIFS($B$2:B2842,B2842,$T$2:T2842,T2842)=1,1,0)</f>
        <v>0</v>
      </c>
    </row>
    <row r="2843" customFormat="false" ht="15" hidden="false" customHeight="false" outlineLevel="0" collapsed="false">
      <c r="A2843" s="13" t="s">
        <v>949</v>
      </c>
      <c r="B2843" s="13" t="s">
        <v>61</v>
      </c>
      <c r="C2843" s="13" t="n">
        <v>1200</v>
      </c>
      <c r="D2843" s="13" t="n">
        <v>2</v>
      </c>
      <c r="E2843" s="13" t="n">
        <v>599.82</v>
      </c>
      <c r="F2843" s="13" t="s">
        <v>5288</v>
      </c>
      <c r="G2843" s="13" t="s">
        <v>5292</v>
      </c>
      <c r="H2843" s="13" t="s">
        <v>5289</v>
      </c>
      <c r="I2843" s="13" t="s">
        <v>5289</v>
      </c>
      <c r="J2843" s="13" t="s">
        <v>5289</v>
      </c>
      <c r="K2843" s="13" t="s">
        <v>5289</v>
      </c>
      <c r="L2843" s="13"/>
      <c r="M2843" s="13"/>
      <c r="N2843" s="13" t="n">
        <v>3614274299212</v>
      </c>
      <c r="O2843" s="13"/>
      <c r="P2843" s="13" t="s">
        <v>5291</v>
      </c>
      <c r="Q2843" s="13" t="s">
        <v>5289</v>
      </c>
      <c r="R2843" s="13" t="s">
        <v>5292</v>
      </c>
      <c r="S2843" s="13" t="s">
        <v>5293</v>
      </c>
      <c r="T2843" s="13" t="s">
        <v>5</v>
      </c>
      <c r="U2843" s="13" t="s">
        <v>43</v>
      </c>
      <c r="V2843" s="13" t="n">
        <f aca="false">IF(COUNTIF($B$2:B2843,B2843)=1,1,0)</f>
        <v>0</v>
      </c>
      <c r="W2843" s="13" t="n">
        <f aca="false">IF(COUNTIFS($B$2:B2843,B2843,$T$2:T2843,T2843)=1,1,0)</f>
        <v>0</v>
      </c>
    </row>
    <row r="2844" customFormat="false" ht="15" hidden="false" customHeight="false" outlineLevel="0" collapsed="false">
      <c r="A2844" s="13" t="s">
        <v>1166</v>
      </c>
      <c r="B2844" s="13" t="s">
        <v>92</v>
      </c>
      <c r="C2844" s="13" t="n">
        <v>1200</v>
      </c>
      <c r="D2844" s="13" t="n">
        <v>2</v>
      </c>
      <c r="E2844" s="13" t="n">
        <v>597.5</v>
      </c>
      <c r="F2844" s="13" t="s">
        <v>5325</v>
      </c>
      <c r="G2844" s="13" t="s">
        <v>5289</v>
      </c>
      <c r="H2844" s="13" t="s">
        <v>5289</v>
      </c>
      <c r="I2844" s="13" t="s">
        <v>5289</v>
      </c>
      <c r="J2844" s="13" t="s">
        <v>5289</v>
      </c>
      <c r="K2844" s="13" t="s">
        <v>5289</v>
      </c>
      <c r="L2844" s="13" t="n">
        <v>3616306128996</v>
      </c>
      <c r="M2844" s="13"/>
      <c r="N2844" s="13" t="n">
        <v>3616306128996</v>
      </c>
      <c r="O2844" s="13"/>
      <c r="P2844" s="13" t="s">
        <v>5291</v>
      </c>
      <c r="Q2844" s="13" t="s">
        <v>5289</v>
      </c>
      <c r="R2844" s="13" t="s">
        <v>5292</v>
      </c>
      <c r="S2844" s="13" t="s">
        <v>5293</v>
      </c>
      <c r="T2844" s="13" t="s">
        <v>5</v>
      </c>
      <c r="U2844" s="13" t="s">
        <v>43</v>
      </c>
      <c r="V2844" s="13" t="n">
        <f aca="false">IF(COUNTIF($B$2:B2844,B2844)=1,1,0)</f>
        <v>0</v>
      </c>
      <c r="W2844" s="13" t="n">
        <f aca="false">IF(COUNTIFS($B$2:B2844,B2844,$T$2:T2844,T2844)=1,1,0)</f>
        <v>0</v>
      </c>
    </row>
    <row r="2845" customFormat="false" ht="15" hidden="false" customHeight="false" outlineLevel="0" collapsed="false">
      <c r="A2845" s="13" t="s">
        <v>1167</v>
      </c>
      <c r="B2845" s="13" t="s">
        <v>107</v>
      </c>
      <c r="C2845" s="13" t="n">
        <v>1200</v>
      </c>
      <c r="D2845" s="13" t="n">
        <v>5</v>
      </c>
      <c r="E2845" s="13" t="n">
        <v>170.351428571429</v>
      </c>
      <c r="F2845" s="13" t="s">
        <v>5325</v>
      </c>
      <c r="G2845" s="13" t="s">
        <v>5289</v>
      </c>
      <c r="H2845" s="13" t="s">
        <v>5289</v>
      </c>
      <c r="I2845" s="13" t="s">
        <v>5289</v>
      </c>
      <c r="J2845" s="13" t="s">
        <v>5289</v>
      </c>
      <c r="K2845" s="13" t="s">
        <v>5289</v>
      </c>
      <c r="L2845" s="13"/>
      <c r="M2845" s="13"/>
      <c r="N2845" s="13" t="n">
        <v>7896235353645</v>
      </c>
      <c r="O2845" s="13"/>
      <c r="P2845" s="13" t="s">
        <v>5291</v>
      </c>
      <c r="Q2845" s="13" t="s">
        <v>5289</v>
      </c>
      <c r="R2845" s="13" t="s">
        <v>5292</v>
      </c>
      <c r="S2845" s="13" t="s">
        <v>5293</v>
      </c>
      <c r="T2845" s="13" t="s">
        <v>5</v>
      </c>
      <c r="U2845" s="13" t="s">
        <v>43</v>
      </c>
      <c r="V2845" s="13" t="n">
        <f aca="false">IF(COUNTIF($B$2:B2845,B2845)=1,1,0)</f>
        <v>0</v>
      </c>
      <c r="W2845" s="13" t="n">
        <f aca="false">IF(COUNTIFS($B$2:B2845,B2845,$T$2:T2845,T2845)=1,1,0)</f>
        <v>0</v>
      </c>
    </row>
    <row r="2846" customFormat="false" ht="15" hidden="false" customHeight="false" outlineLevel="0" collapsed="false">
      <c r="A2846" s="13" t="s">
        <v>1164</v>
      </c>
      <c r="B2846" s="13" t="s">
        <v>92</v>
      </c>
      <c r="C2846" s="13" t="n">
        <v>1200</v>
      </c>
      <c r="D2846" s="13" t="n">
        <v>2</v>
      </c>
      <c r="E2846" s="13" t="n">
        <v>595.82</v>
      </c>
      <c r="F2846" s="13" t="s">
        <v>5288</v>
      </c>
      <c r="G2846" s="13" t="s">
        <v>5289</v>
      </c>
      <c r="H2846" s="13" t="s">
        <v>5292</v>
      </c>
      <c r="I2846" s="13" t="s">
        <v>5289</v>
      </c>
      <c r="J2846" s="13" t="s">
        <v>5289</v>
      </c>
      <c r="K2846" s="13" t="s">
        <v>5289</v>
      </c>
      <c r="L2846" s="13" t="n">
        <v>3614223111565</v>
      </c>
      <c r="M2846" s="13"/>
      <c r="N2846" s="13" t="n">
        <v>3614223111565</v>
      </c>
      <c r="O2846" s="13"/>
      <c r="P2846" s="13" t="s">
        <v>5291</v>
      </c>
      <c r="Q2846" s="13" t="s">
        <v>5289</v>
      </c>
      <c r="R2846" s="13" t="s">
        <v>5292</v>
      </c>
      <c r="S2846" s="13" t="s">
        <v>5293</v>
      </c>
      <c r="T2846" s="13" t="s">
        <v>5</v>
      </c>
      <c r="U2846" s="13" t="s">
        <v>43</v>
      </c>
      <c r="V2846" s="13" t="n">
        <f aca="false">IF(COUNTIF($B$2:B2846,B2846)=1,1,0)</f>
        <v>0</v>
      </c>
      <c r="W2846" s="13" t="n">
        <f aca="false">IF(COUNTIFS($B$2:B2846,B2846,$T$2:T2846,T2846)=1,1,0)</f>
        <v>0</v>
      </c>
    </row>
    <row r="2847" customFormat="false" ht="15" hidden="false" customHeight="false" outlineLevel="0" collapsed="false">
      <c r="A2847" s="13" t="s">
        <v>1165</v>
      </c>
      <c r="B2847" s="13" t="s">
        <v>121</v>
      </c>
      <c r="C2847" s="13" t="n">
        <v>1200</v>
      </c>
      <c r="D2847" s="13" t="n">
        <v>5</v>
      </c>
      <c r="E2847" s="13" t="n">
        <v>168.9</v>
      </c>
      <c r="F2847" s="13" t="s">
        <v>5325</v>
      </c>
      <c r="G2847" s="13" t="s">
        <v>5289</v>
      </c>
      <c r="H2847" s="13" t="s">
        <v>5289</v>
      </c>
      <c r="I2847" s="13" t="s">
        <v>5289</v>
      </c>
      <c r="J2847" s="13" t="s">
        <v>5289</v>
      </c>
      <c r="K2847" s="13" t="s">
        <v>5289</v>
      </c>
      <c r="L2847" s="13" t="n">
        <v>7896086997708</v>
      </c>
      <c r="M2847" s="13"/>
      <c r="N2847" s="13" t="n">
        <v>7896086997708</v>
      </c>
      <c r="O2847" s="13"/>
      <c r="P2847" s="13" t="s">
        <v>5291</v>
      </c>
      <c r="Q2847" s="13" t="s">
        <v>5289</v>
      </c>
      <c r="R2847" s="13" t="s">
        <v>5292</v>
      </c>
      <c r="S2847" s="13" t="s">
        <v>5293</v>
      </c>
      <c r="T2847" s="13" t="s">
        <v>5</v>
      </c>
      <c r="U2847" s="13" t="s">
        <v>43</v>
      </c>
      <c r="V2847" s="13" t="n">
        <f aca="false">IF(COUNTIF($B$2:B2847,B2847)=1,1,0)</f>
        <v>0</v>
      </c>
      <c r="W2847" s="13" t="n">
        <f aca="false">IF(COUNTIFS($B$2:B2847,B2847,$T$2:T2847,T2847)=1,1,0)</f>
        <v>0</v>
      </c>
    </row>
    <row r="2848" customFormat="false" ht="15" hidden="false" customHeight="false" outlineLevel="0" collapsed="false">
      <c r="A2848" s="13" t="s">
        <v>1136</v>
      </c>
      <c r="B2848" s="13" t="s">
        <v>153</v>
      </c>
      <c r="C2848" s="13" t="n">
        <v>1200</v>
      </c>
      <c r="D2848" s="13" t="n">
        <v>2</v>
      </c>
      <c r="E2848" s="13" t="n">
        <v>584.99</v>
      </c>
      <c r="F2848" s="13" t="s">
        <v>5325</v>
      </c>
      <c r="G2848" s="13" t="s">
        <v>5289</v>
      </c>
      <c r="H2848" s="13" t="s">
        <v>5289</v>
      </c>
      <c r="I2848" s="13" t="s">
        <v>5289</v>
      </c>
      <c r="J2848" s="13" t="s">
        <v>5289</v>
      </c>
      <c r="K2848" s="13" t="s">
        <v>5289</v>
      </c>
      <c r="L2848" s="13" t="n">
        <v>8011003803132</v>
      </c>
      <c r="M2848" s="13"/>
      <c r="N2848" s="13" t="n">
        <v>8011003803132</v>
      </c>
      <c r="O2848" s="13"/>
      <c r="P2848" s="13" t="s">
        <v>5291</v>
      </c>
      <c r="Q2848" s="13" t="s">
        <v>5289</v>
      </c>
      <c r="R2848" s="13" t="s">
        <v>5292</v>
      </c>
      <c r="S2848" s="13" t="s">
        <v>5293</v>
      </c>
      <c r="T2848" s="13" t="s">
        <v>5</v>
      </c>
      <c r="U2848" s="13" t="s">
        <v>43</v>
      </c>
      <c r="V2848" s="13" t="n">
        <f aca="false">IF(COUNTIF($B$2:B2848,B2848)=1,1,0)</f>
        <v>0</v>
      </c>
      <c r="W2848" s="13" t="n">
        <f aca="false">IF(COUNTIFS($B$2:B2848,B2848,$T$2:T2848,T2848)=1,1,0)</f>
        <v>0</v>
      </c>
    </row>
    <row r="2849" customFormat="false" ht="15" hidden="false" customHeight="false" outlineLevel="0" collapsed="false">
      <c r="A2849" s="13" t="s">
        <v>1147</v>
      </c>
      <c r="B2849" s="13" t="s">
        <v>153</v>
      </c>
      <c r="C2849" s="13" t="n">
        <v>1200</v>
      </c>
      <c r="D2849" s="13" t="n">
        <v>2</v>
      </c>
      <c r="E2849" s="13" t="n">
        <v>583.86</v>
      </c>
      <c r="F2849" s="13" t="s">
        <v>5325</v>
      </c>
      <c r="G2849" s="13" t="s">
        <v>5289</v>
      </c>
      <c r="H2849" s="13" t="s">
        <v>5292</v>
      </c>
      <c r="I2849" s="13" t="s">
        <v>5289</v>
      </c>
      <c r="J2849" s="13" t="s">
        <v>5289</v>
      </c>
      <c r="K2849" s="13" t="s">
        <v>5289</v>
      </c>
      <c r="L2849" s="13" t="n">
        <v>8011003839117</v>
      </c>
      <c r="M2849" s="13"/>
      <c r="N2849" s="13" t="n">
        <v>8011003839117</v>
      </c>
      <c r="O2849" s="13"/>
      <c r="P2849" s="13" t="s">
        <v>5291</v>
      </c>
      <c r="Q2849" s="13" t="s">
        <v>5289</v>
      </c>
      <c r="R2849" s="13" t="s">
        <v>5292</v>
      </c>
      <c r="S2849" s="13" t="s">
        <v>5293</v>
      </c>
      <c r="T2849" s="13" t="s">
        <v>5</v>
      </c>
      <c r="U2849" s="13" t="s">
        <v>43</v>
      </c>
      <c r="V2849" s="13" t="n">
        <f aca="false">IF(COUNTIF($B$2:B2849,B2849)=1,1,0)</f>
        <v>0</v>
      </c>
      <c r="W2849" s="13" t="n">
        <f aca="false">IF(COUNTIFS($B$2:B2849,B2849,$T$2:T2849,T2849)=1,1,0)</f>
        <v>0</v>
      </c>
    </row>
    <row r="2850" customFormat="false" ht="15" hidden="false" customHeight="false" outlineLevel="0" collapsed="false">
      <c r="A2850" s="13" t="s">
        <v>1174</v>
      </c>
      <c r="B2850" s="13" t="s">
        <v>107</v>
      </c>
      <c r="C2850" s="13" t="n">
        <v>1200</v>
      </c>
      <c r="D2850" s="13" t="n">
        <v>10</v>
      </c>
      <c r="E2850" s="13" t="n">
        <v>97</v>
      </c>
      <c r="F2850" s="13" t="s">
        <v>5288</v>
      </c>
      <c r="G2850" s="13" t="s">
        <v>5292</v>
      </c>
      <c r="H2850" s="13" t="s">
        <v>5289</v>
      </c>
      <c r="I2850" s="13" t="s">
        <v>5289</v>
      </c>
      <c r="J2850" s="13" t="s">
        <v>5289</v>
      </c>
      <c r="K2850" s="13" t="s">
        <v>5289</v>
      </c>
      <c r="L2850" s="13"/>
      <c r="M2850" s="13"/>
      <c r="N2850" s="13" t="n">
        <v>8005610644233</v>
      </c>
      <c r="O2850" s="13"/>
      <c r="P2850" s="13" t="s">
        <v>5297</v>
      </c>
      <c r="Q2850" s="13" t="s">
        <v>5289</v>
      </c>
      <c r="R2850" s="13" t="s">
        <v>5292</v>
      </c>
      <c r="S2850" s="13" t="s">
        <v>5293</v>
      </c>
      <c r="T2850" s="13" t="s">
        <v>5</v>
      </c>
      <c r="U2850" s="13" t="s">
        <v>43</v>
      </c>
      <c r="V2850" s="13" t="n">
        <f aca="false">IF(COUNTIF($B$2:B2850,B2850)=1,1,0)</f>
        <v>0</v>
      </c>
      <c r="W2850" s="13" t="n">
        <f aca="false">IF(COUNTIFS($B$2:B2850,B2850,$T$2:T2850,T2850)=1,1,0)</f>
        <v>0</v>
      </c>
    </row>
    <row r="2851" customFormat="false" ht="15" hidden="false" customHeight="false" outlineLevel="0" collapsed="false">
      <c r="A2851" s="13" t="s">
        <v>743</v>
      </c>
      <c r="B2851" s="13" t="s">
        <v>177</v>
      </c>
      <c r="C2851" s="13" t="n">
        <v>1200</v>
      </c>
      <c r="D2851" s="13" t="n">
        <v>2</v>
      </c>
      <c r="E2851" s="13" t="n">
        <v>579.5</v>
      </c>
      <c r="F2851" s="13" t="s">
        <v>5325</v>
      </c>
      <c r="G2851" s="13" t="s">
        <v>5289</v>
      </c>
      <c r="H2851" s="13" t="s">
        <v>5289</v>
      </c>
      <c r="I2851" s="13" t="s">
        <v>5289</v>
      </c>
      <c r="J2851" s="13" t="s">
        <v>5289</v>
      </c>
      <c r="K2851" s="13" t="s">
        <v>5289</v>
      </c>
      <c r="L2851" s="13"/>
      <c r="M2851" s="13"/>
      <c r="N2851" s="13" t="n">
        <v>3616302514298</v>
      </c>
      <c r="O2851" s="13"/>
      <c r="P2851" s="13" t="s">
        <v>5291</v>
      </c>
      <c r="Q2851" s="13" t="s">
        <v>5289</v>
      </c>
      <c r="R2851" s="13" t="s">
        <v>5292</v>
      </c>
      <c r="S2851" s="13" t="s">
        <v>5293</v>
      </c>
      <c r="T2851" s="13" t="s">
        <v>5</v>
      </c>
      <c r="U2851" s="13" t="s">
        <v>43</v>
      </c>
      <c r="V2851" s="13" t="n">
        <f aca="false">IF(COUNTIF($B$2:B2851,B2851)=1,1,0)</f>
        <v>0</v>
      </c>
      <c r="W2851" s="13" t="n">
        <f aca="false">IF(COUNTIFS($B$2:B2851,B2851,$T$2:T2851,T2851)=1,1,0)</f>
        <v>0</v>
      </c>
    </row>
    <row r="2852" customFormat="false" ht="15" hidden="false" customHeight="false" outlineLevel="0" collapsed="false">
      <c r="A2852" s="13" t="s">
        <v>1036</v>
      </c>
      <c r="B2852" s="13" t="s">
        <v>195</v>
      </c>
      <c r="C2852" s="13" t="n">
        <v>1200</v>
      </c>
      <c r="D2852" s="13" t="n">
        <v>2</v>
      </c>
      <c r="E2852" s="13" t="n">
        <v>577.21</v>
      </c>
      <c r="F2852" s="13" t="s">
        <v>5325</v>
      </c>
      <c r="G2852" s="13" t="s">
        <v>5289</v>
      </c>
      <c r="H2852" s="13" t="s">
        <v>5289</v>
      </c>
      <c r="I2852" s="13" t="s">
        <v>5289</v>
      </c>
      <c r="J2852" s="13" t="s">
        <v>5289</v>
      </c>
      <c r="K2852" s="13" t="s">
        <v>5289</v>
      </c>
      <c r="L2852" s="13" t="n">
        <v>3616304967115</v>
      </c>
      <c r="M2852" s="13"/>
      <c r="N2852" s="13" t="n">
        <v>3616304967115</v>
      </c>
      <c r="O2852" s="13"/>
      <c r="P2852" s="13" t="s">
        <v>5291</v>
      </c>
      <c r="Q2852" s="13" t="s">
        <v>5289</v>
      </c>
      <c r="R2852" s="13" t="s">
        <v>5292</v>
      </c>
      <c r="S2852" s="13" t="s">
        <v>5293</v>
      </c>
      <c r="T2852" s="13" t="s">
        <v>5</v>
      </c>
      <c r="U2852" s="13" t="s">
        <v>43</v>
      </c>
      <c r="V2852" s="13" t="n">
        <f aca="false">IF(COUNTIF($B$2:B2852,B2852)=1,1,0)</f>
        <v>0</v>
      </c>
      <c r="W2852" s="13" t="n">
        <f aca="false">IF(COUNTIFS($B$2:B2852,B2852,$T$2:T2852,T2852)=1,1,0)</f>
        <v>0</v>
      </c>
    </row>
    <row r="2853" customFormat="false" ht="15" hidden="false" customHeight="false" outlineLevel="0" collapsed="false">
      <c r="A2853" s="13" t="s">
        <v>109</v>
      </c>
      <c r="B2853" s="13" t="s">
        <v>69</v>
      </c>
      <c r="C2853" s="13" t="n">
        <v>1200</v>
      </c>
      <c r="D2853" s="13" t="n">
        <v>2</v>
      </c>
      <c r="E2853" s="13" t="n">
        <v>576.76</v>
      </c>
      <c r="F2853" s="13" t="s">
        <v>5325</v>
      </c>
      <c r="G2853" s="13" t="s">
        <v>5289</v>
      </c>
      <c r="H2853" s="13" t="s">
        <v>5289</v>
      </c>
      <c r="I2853" s="13" t="s">
        <v>5289</v>
      </c>
      <c r="J2853" s="13" t="s">
        <v>5289</v>
      </c>
      <c r="K2853" s="13" t="s">
        <v>5289</v>
      </c>
      <c r="L2853" s="13" t="n">
        <v>3614273316149</v>
      </c>
      <c r="M2853" s="13"/>
      <c r="N2853" s="13" t="n">
        <v>3614273316149</v>
      </c>
      <c r="O2853" s="13"/>
      <c r="P2853" s="13" t="s">
        <v>5291</v>
      </c>
      <c r="Q2853" s="13" t="s">
        <v>5289</v>
      </c>
      <c r="R2853" s="13" t="s">
        <v>5292</v>
      </c>
      <c r="S2853" s="13" t="s">
        <v>5293</v>
      </c>
      <c r="T2853" s="13" t="s">
        <v>5</v>
      </c>
      <c r="U2853" s="13" t="s">
        <v>43</v>
      </c>
      <c r="V2853" s="13" t="n">
        <f aca="false">IF(COUNTIF($B$2:B2853,B2853)=1,1,0)</f>
        <v>0</v>
      </c>
      <c r="W2853" s="13" t="n">
        <f aca="false">IF(COUNTIFS($B$2:B2853,B2853,$T$2:T2853,T2853)=1,1,0)</f>
        <v>0</v>
      </c>
    </row>
    <row r="2854" customFormat="false" ht="15" hidden="false" customHeight="false" outlineLevel="0" collapsed="false">
      <c r="A2854" s="13" t="s">
        <v>1173</v>
      </c>
      <c r="B2854" s="13" t="s">
        <v>153</v>
      </c>
      <c r="C2854" s="13" t="n">
        <v>1200</v>
      </c>
      <c r="D2854" s="13" t="n">
        <v>2</v>
      </c>
      <c r="E2854" s="13" t="n">
        <v>575.17</v>
      </c>
      <c r="F2854" s="13" t="s">
        <v>5325</v>
      </c>
      <c r="G2854" s="13" t="s">
        <v>5289</v>
      </c>
      <c r="H2854" s="13" t="s">
        <v>5289</v>
      </c>
      <c r="I2854" s="13" t="s">
        <v>5289</v>
      </c>
      <c r="J2854" s="13" t="s">
        <v>5289</v>
      </c>
      <c r="K2854" s="13" t="s">
        <v>5289</v>
      </c>
      <c r="L2854" s="13" t="n">
        <v>8018365071469</v>
      </c>
      <c r="M2854" s="13"/>
      <c r="N2854" s="13" t="n">
        <v>8018365071469</v>
      </c>
      <c r="O2854" s="13"/>
      <c r="P2854" s="13" t="s">
        <v>5291</v>
      </c>
      <c r="Q2854" s="13" t="s">
        <v>5289</v>
      </c>
      <c r="R2854" s="13" t="s">
        <v>5292</v>
      </c>
      <c r="S2854" s="13" t="s">
        <v>5293</v>
      </c>
      <c r="T2854" s="13" t="s">
        <v>5</v>
      </c>
      <c r="U2854" s="13" t="s">
        <v>43</v>
      </c>
      <c r="V2854" s="13" t="n">
        <f aca="false">IF(COUNTIF($B$2:B2854,B2854)=1,1,0)</f>
        <v>0</v>
      </c>
      <c r="W2854" s="13" t="n">
        <f aca="false">IF(COUNTIFS($B$2:B2854,B2854,$T$2:T2854,T2854)=1,1,0)</f>
        <v>0</v>
      </c>
    </row>
    <row r="2855" customFormat="false" ht="15" hidden="false" customHeight="false" outlineLevel="0" collapsed="false">
      <c r="A2855" s="13" t="s">
        <v>452</v>
      </c>
      <c r="B2855" s="13" t="s">
        <v>50</v>
      </c>
      <c r="C2855" s="13" t="n">
        <v>1200</v>
      </c>
      <c r="D2855" s="13" t="n">
        <v>2</v>
      </c>
      <c r="E2855" s="13" t="n">
        <v>575</v>
      </c>
      <c r="F2855" s="13" t="s">
        <v>5288</v>
      </c>
      <c r="G2855" s="13" t="s">
        <v>5292</v>
      </c>
      <c r="H2855" s="13" t="s">
        <v>5289</v>
      </c>
      <c r="I2855" s="13" t="s">
        <v>5289</v>
      </c>
      <c r="J2855" s="13" t="s">
        <v>5289</v>
      </c>
      <c r="K2855" s="13" t="s">
        <v>5289</v>
      </c>
      <c r="L2855" s="13" t="n">
        <v>3349668630257</v>
      </c>
      <c r="M2855" s="13"/>
      <c r="N2855" s="13" t="n">
        <v>3349668630257</v>
      </c>
      <c r="O2855" s="13"/>
      <c r="P2855" s="13" t="s">
        <v>5297</v>
      </c>
      <c r="Q2855" s="13" t="s">
        <v>5289</v>
      </c>
      <c r="R2855" s="13" t="s">
        <v>5292</v>
      </c>
      <c r="S2855" s="13" t="s">
        <v>5293</v>
      </c>
      <c r="T2855" s="13" t="s">
        <v>5</v>
      </c>
      <c r="U2855" s="13" t="s">
        <v>43</v>
      </c>
      <c r="V2855" s="13" t="n">
        <f aca="false">IF(COUNTIF($B$2:B2855,B2855)=1,1,0)</f>
        <v>0</v>
      </c>
      <c r="W2855" s="13" t="n">
        <f aca="false">IF(COUNTIFS($B$2:B2855,B2855,$T$2:T2855,T2855)=1,1,0)</f>
        <v>0</v>
      </c>
    </row>
    <row r="2856" customFormat="false" ht="15" hidden="false" customHeight="false" outlineLevel="0" collapsed="false">
      <c r="A2856" s="13" t="s">
        <v>1082</v>
      </c>
      <c r="B2856" s="13" t="s">
        <v>79</v>
      </c>
      <c r="C2856" s="13" t="n">
        <v>1100</v>
      </c>
      <c r="D2856" s="13" t="n">
        <v>2</v>
      </c>
      <c r="E2856" s="13" t="n">
        <v>383.13</v>
      </c>
      <c r="F2856" s="13" t="s">
        <v>5325</v>
      </c>
      <c r="G2856" s="13" t="s">
        <v>5289</v>
      </c>
      <c r="H2856" s="13" t="s">
        <v>5289</v>
      </c>
      <c r="I2856" s="13" t="s">
        <v>5289</v>
      </c>
      <c r="J2856" s="13" t="s">
        <v>5289</v>
      </c>
      <c r="K2856" s="13" t="s">
        <v>5289</v>
      </c>
      <c r="L2856" s="13"/>
      <c r="M2856" s="13"/>
      <c r="N2856" s="13" t="n">
        <v>8057971188277</v>
      </c>
      <c r="O2856" s="13"/>
      <c r="P2856" s="13" t="s">
        <v>5291</v>
      </c>
      <c r="Q2856" s="13" t="s">
        <v>5289</v>
      </c>
      <c r="R2856" s="13" t="s">
        <v>5292</v>
      </c>
      <c r="S2856" s="13" t="s">
        <v>5293</v>
      </c>
      <c r="T2856" s="13" t="s">
        <v>5</v>
      </c>
      <c r="U2856" s="13" t="s">
        <v>43</v>
      </c>
      <c r="V2856" s="13" t="n">
        <f aca="false">IF(COUNTIF($B$2:B2856,B2856)=1,1,0)</f>
        <v>0</v>
      </c>
      <c r="W2856" s="13" t="n">
        <f aca="false">IF(COUNTIFS($B$2:B2856,B2856,$T$2:T2856,T2856)=1,1,0)</f>
        <v>0</v>
      </c>
    </row>
    <row r="2857" customFormat="false" ht="15" hidden="false" customHeight="false" outlineLevel="0" collapsed="false">
      <c r="A2857" s="13" t="s">
        <v>631</v>
      </c>
      <c r="B2857" s="13" t="s">
        <v>630</v>
      </c>
      <c r="C2857" s="13" t="n">
        <v>1100</v>
      </c>
      <c r="D2857" s="13" t="n">
        <v>5</v>
      </c>
      <c r="E2857" s="13" t="n">
        <v>191.09</v>
      </c>
      <c r="F2857" s="13" t="s">
        <v>5325</v>
      </c>
      <c r="G2857" s="13" t="s">
        <v>5289</v>
      </c>
      <c r="H2857" s="13" t="s">
        <v>5292</v>
      </c>
      <c r="I2857" s="13" t="s">
        <v>5289</v>
      </c>
      <c r="J2857" s="13" t="s">
        <v>5289</v>
      </c>
      <c r="K2857" s="13" t="s">
        <v>5289</v>
      </c>
      <c r="L2857" s="13" t="n">
        <v>8433982003400</v>
      </c>
      <c r="M2857" s="13"/>
      <c r="N2857" s="13" t="n">
        <v>8433982003400</v>
      </c>
      <c r="O2857" s="13"/>
      <c r="P2857" s="13" t="s">
        <v>5297</v>
      </c>
      <c r="Q2857" s="13" t="s">
        <v>5289</v>
      </c>
      <c r="R2857" s="13" t="s">
        <v>5292</v>
      </c>
      <c r="S2857" s="13" t="s">
        <v>5293</v>
      </c>
      <c r="T2857" s="13" t="s">
        <v>5</v>
      </c>
      <c r="U2857" s="13" t="s">
        <v>43</v>
      </c>
      <c r="V2857" s="13" t="n">
        <f aca="false">IF(COUNTIF($B$2:B2857,B2857)=1,1,0)</f>
        <v>0</v>
      </c>
      <c r="W2857" s="13" t="n">
        <f aca="false">IF(COUNTIFS($B$2:B2857,B2857,$T$2:T2857,T2857)=1,1,0)</f>
        <v>0</v>
      </c>
    </row>
    <row r="2858" customFormat="false" ht="15" hidden="false" customHeight="false" outlineLevel="0" collapsed="false">
      <c r="A2858" s="13" t="s">
        <v>1175</v>
      </c>
      <c r="B2858" s="13" t="s">
        <v>54</v>
      </c>
      <c r="C2858" s="13" t="n">
        <v>1100</v>
      </c>
      <c r="D2858" s="13" t="n">
        <v>2</v>
      </c>
      <c r="E2858" s="13" t="n">
        <v>573.035</v>
      </c>
      <c r="F2858" s="13" t="s">
        <v>5325</v>
      </c>
      <c r="G2858" s="13" t="s">
        <v>5289</v>
      </c>
      <c r="H2858" s="13" t="s">
        <v>5289</v>
      </c>
      <c r="I2858" s="13" t="s">
        <v>5289</v>
      </c>
      <c r="J2858" s="13" t="s">
        <v>5289</v>
      </c>
      <c r="K2858" s="13" t="s">
        <v>5289</v>
      </c>
      <c r="L2858" s="13" t="n">
        <v>729238196476</v>
      </c>
      <c r="M2858" s="13"/>
      <c r="N2858" s="13" t="n">
        <v>729238196476</v>
      </c>
      <c r="O2858" s="13"/>
      <c r="P2858" s="13" t="s">
        <v>5291</v>
      </c>
      <c r="Q2858" s="13" t="s">
        <v>5289</v>
      </c>
      <c r="R2858" s="13" t="s">
        <v>5292</v>
      </c>
      <c r="S2858" s="13" t="s">
        <v>5293</v>
      </c>
      <c r="T2858" s="13" t="s">
        <v>5</v>
      </c>
      <c r="U2858" s="13" t="s">
        <v>43</v>
      </c>
      <c r="V2858" s="13" t="n">
        <f aca="false">IF(COUNTIF($B$2:B2858,B2858)=1,1,0)</f>
        <v>0</v>
      </c>
      <c r="W2858" s="13" t="n">
        <f aca="false">IF(COUNTIFS($B$2:B2858,B2858,$T$2:T2858,T2858)=1,1,0)</f>
        <v>0</v>
      </c>
    </row>
    <row r="2859" customFormat="false" ht="15" hidden="false" customHeight="false" outlineLevel="0" collapsed="false">
      <c r="A2859" s="13" t="s">
        <v>1176</v>
      </c>
      <c r="B2859" s="13" t="s">
        <v>153</v>
      </c>
      <c r="C2859" s="13" t="n">
        <v>1100</v>
      </c>
      <c r="D2859" s="13" t="n">
        <v>2</v>
      </c>
      <c r="E2859" s="13" t="n">
        <v>382</v>
      </c>
      <c r="F2859" s="13" t="s">
        <v>5325</v>
      </c>
      <c r="G2859" s="13" t="s">
        <v>5292</v>
      </c>
      <c r="H2859" s="13" t="s">
        <v>5289</v>
      </c>
      <c r="I2859" s="13" t="s">
        <v>5289</v>
      </c>
      <c r="J2859" s="13" t="s">
        <v>5289</v>
      </c>
      <c r="K2859" s="13" t="s">
        <v>5289</v>
      </c>
      <c r="L2859" s="13"/>
      <c r="M2859" s="13"/>
      <c r="N2859" s="13" t="n">
        <v>8011003993819</v>
      </c>
      <c r="O2859" s="13"/>
      <c r="P2859" s="13" t="s">
        <v>5297</v>
      </c>
      <c r="Q2859" s="13" t="s">
        <v>5289</v>
      </c>
      <c r="R2859" s="13" t="s">
        <v>5292</v>
      </c>
      <c r="S2859" s="13" t="s">
        <v>5293</v>
      </c>
      <c r="T2859" s="13" t="s">
        <v>5</v>
      </c>
      <c r="U2859" s="13" t="s">
        <v>43</v>
      </c>
      <c r="V2859" s="13" t="n">
        <f aca="false">IF(COUNTIF($B$2:B2859,B2859)=1,1,0)</f>
        <v>0</v>
      </c>
      <c r="W2859" s="13" t="n">
        <f aca="false">IF(COUNTIFS($B$2:B2859,B2859,$T$2:T2859,T2859)=1,1,0)</f>
        <v>0</v>
      </c>
    </row>
    <row r="2860" customFormat="false" ht="15" hidden="false" customHeight="false" outlineLevel="0" collapsed="false">
      <c r="A2860" s="13" t="s">
        <v>1197</v>
      </c>
      <c r="B2860" s="13" t="s">
        <v>107</v>
      </c>
      <c r="C2860" s="13" t="n">
        <v>1100</v>
      </c>
      <c r="D2860" s="13" t="n">
        <v>2</v>
      </c>
      <c r="E2860" s="13" t="n">
        <v>285.725</v>
      </c>
      <c r="F2860" s="13" t="s">
        <v>5288</v>
      </c>
      <c r="G2860" s="13" t="s">
        <v>5292</v>
      </c>
      <c r="H2860" s="13" t="s">
        <v>5289</v>
      </c>
      <c r="I2860" s="13" t="s">
        <v>5289</v>
      </c>
      <c r="J2860" s="13" t="s">
        <v>5289</v>
      </c>
      <c r="K2860" s="13" t="s">
        <v>5289</v>
      </c>
      <c r="L2860" s="13"/>
      <c r="M2860" s="13"/>
      <c r="N2860" s="13" t="n">
        <v>9000250226381</v>
      </c>
      <c r="O2860" s="13"/>
      <c r="P2860" s="13" t="s">
        <v>5291</v>
      </c>
      <c r="Q2860" s="13" t="s">
        <v>5289</v>
      </c>
      <c r="R2860" s="13" t="s">
        <v>5292</v>
      </c>
      <c r="S2860" s="13" t="s">
        <v>5293</v>
      </c>
      <c r="T2860" s="13" t="s">
        <v>5</v>
      </c>
      <c r="U2860" s="13" t="s">
        <v>183</v>
      </c>
      <c r="V2860" s="13" t="n">
        <f aca="false">IF(COUNTIF($B$2:B2860,B2860)=1,1,0)</f>
        <v>0</v>
      </c>
      <c r="W2860" s="13" t="n">
        <f aca="false">IF(COUNTIFS($B$2:B2860,B2860,$T$2:T2860,T2860)=1,1,0)</f>
        <v>0</v>
      </c>
    </row>
    <row r="2861" customFormat="false" ht="15" hidden="false" customHeight="false" outlineLevel="0" collapsed="false">
      <c r="A2861" s="13" t="s">
        <v>4278</v>
      </c>
      <c r="B2861" s="13" t="s">
        <v>2209</v>
      </c>
      <c r="C2861" s="13" t="n">
        <v>1100</v>
      </c>
      <c r="D2861" s="13" t="n">
        <v>5</v>
      </c>
      <c r="E2861" s="13" t="n">
        <v>189.99</v>
      </c>
      <c r="F2861" s="13" t="s">
        <v>5325</v>
      </c>
      <c r="G2861" s="13" t="s">
        <v>5292</v>
      </c>
      <c r="H2861" s="13" t="s">
        <v>5292</v>
      </c>
      <c r="I2861" s="13" t="s">
        <v>5289</v>
      </c>
      <c r="J2861" s="13" t="s">
        <v>5289</v>
      </c>
      <c r="K2861" s="13" t="s">
        <v>5289</v>
      </c>
      <c r="L2861" s="13"/>
      <c r="M2861" s="13"/>
      <c r="N2861" s="13" t="n">
        <v>8411061104897</v>
      </c>
      <c r="O2861" s="13"/>
      <c r="P2861" s="13" t="s">
        <v>5291</v>
      </c>
      <c r="Q2861" s="13" t="s">
        <v>5289</v>
      </c>
      <c r="R2861" s="13" t="s">
        <v>5292</v>
      </c>
      <c r="S2861" s="13" t="s">
        <v>5293</v>
      </c>
      <c r="T2861" s="13" t="s">
        <v>5</v>
      </c>
      <c r="U2861" s="13" t="s">
        <v>43</v>
      </c>
      <c r="V2861" s="13" t="n">
        <f aca="false">IF(COUNTIF($B$2:B2861,B2861)=1,1,0)</f>
        <v>1</v>
      </c>
      <c r="W2861" s="13" t="n">
        <f aca="false">IF(COUNTIFS($B$2:B2861,B2861,$T$2:T2861,T2861)=1,1,0)</f>
        <v>1</v>
      </c>
    </row>
    <row r="2862" customFormat="false" ht="15" hidden="false" customHeight="false" outlineLevel="0" collapsed="false">
      <c r="A2862" s="13" t="s">
        <v>291</v>
      </c>
      <c r="B2862" s="13" t="s">
        <v>153</v>
      </c>
      <c r="C2862" s="13" t="n">
        <v>1100</v>
      </c>
      <c r="D2862" s="13" t="n">
        <v>2</v>
      </c>
      <c r="E2862" s="13" t="n">
        <v>379.86</v>
      </c>
      <c r="F2862" s="13" t="s">
        <v>5325</v>
      </c>
      <c r="G2862" s="13" t="s">
        <v>5289</v>
      </c>
      <c r="H2862" s="13" t="s">
        <v>5292</v>
      </c>
      <c r="I2862" s="13" t="s">
        <v>5289</v>
      </c>
      <c r="J2862" s="13" t="s">
        <v>5289</v>
      </c>
      <c r="K2862" s="13" t="s">
        <v>5289</v>
      </c>
      <c r="L2862" s="13" t="n">
        <v>8011003901623</v>
      </c>
      <c r="M2862" s="13"/>
      <c r="N2862" s="13" t="n">
        <v>8011003901623</v>
      </c>
      <c r="O2862" s="13"/>
      <c r="P2862" s="13" t="s">
        <v>5291</v>
      </c>
      <c r="Q2862" s="13" t="s">
        <v>5289</v>
      </c>
      <c r="R2862" s="13" t="s">
        <v>5292</v>
      </c>
      <c r="S2862" s="13" t="s">
        <v>5293</v>
      </c>
      <c r="T2862" s="13" t="s">
        <v>5</v>
      </c>
      <c r="U2862" s="13" t="s">
        <v>43</v>
      </c>
      <c r="V2862" s="13" t="n">
        <f aca="false">IF(COUNTIF($B$2:B2862,B2862)=1,1,0)</f>
        <v>0</v>
      </c>
      <c r="W2862" s="13" t="n">
        <f aca="false">IF(COUNTIFS($B$2:B2862,B2862,$T$2:T2862,T2862)=1,1,0)</f>
        <v>0</v>
      </c>
    </row>
    <row r="2863" customFormat="false" ht="15" hidden="false" customHeight="false" outlineLevel="0" collapsed="false">
      <c r="A2863" s="13" t="s">
        <v>842</v>
      </c>
      <c r="B2863" s="13" t="s">
        <v>2118</v>
      </c>
      <c r="C2863" s="13" t="n">
        <v>1100</v>
      </c>
      <c r="D2863" s="13" t="n">
        <v>1</v>
      </c>
      <c r="E2863" s="13" t="n">
        <v>1138.78</v>
      </c>
      <c r="F2863" s="13" t="s">
        <v>5325</v>
      </c>
      <c r="G2863" s="13" t="s">
        <v>5289</v>
      </c>
      <c r="H2863" s="13" t="s">
        <v>5292</v>
      </c>
      <c r="I2863" s="13" t="s">
        <v>5289</v>
      </c>
      <c r="J2863" s="13" t="s">
        <v>5289</v>
      </c>
      <c r="K2863" s="13" t="s">
        <v>5289</v>
      </c>
      <c r="L2863" s="13" t="n">
        <v>3614274329384</v>
      </c>
      <c r="M2863" s="13"/>
      <c r="N2863" s="13" t="n">
        <v>3614274329384</v>
      </c>
      <c r="O2863" s="13"/>
      <c r="P2863" s="13" t="s">
        <v>5291</v>
      </c>
      <c r="Q2863" s="13" t="s">
        <v>5289</v>
      </c>
      <c r="R2863" s="13" t="s">
        <v>5292</v>
      </c>
      <c r="S2863" s="13" t="s">
        <v>5293</v>
      </c>
      <c r="T2863" s="13" t="s">
        <v>5</v>
      </c>
      <c r="U2863" s="13" t="s">
        <v>43</v>
      </c>
      <c r="V2863" s="13" t="n">
        <f aca="false">IF(COUNTIF($B$2:B2863,B2863)=1,1,0)</f>
        <v>0</v>
      </c>
      <c r="W2863" s="13" t="n">
        <f aca="false">IF(COUNTIFS($B$2:B2863,B2863,$T$2:T2863,T2863)=1,1,0)</f>
        <v>0</v>
      </c>
    </row>
    <row r="2864" customFormat="false" ht="15" hidden="false" customHeight="false" outlineLevel="0" collapsed="false">
      <c r="A2864" s="13" t="s">
        <v>1196</v>
      </c>
      <c r="B2864" s="13" t="s">
        <v>61</v>
      </c>
      <c r="C2864" s="13" t="n">
        <v>1100</v>
      </c>
      <c r="D2864" s="13" t="n">
        <v>2</v>
      </c>
      <c r="E2864" s="13" t="n">
        <v>569</v>
      </c>
      <c r="F2864" s="13" t="s">
        <v>5325</v>
      </c>
      <c r="G2864" s="13" t="s">
        <v>5289</v>
      </c>
      <c r="H2864" s="13" t="s">
        <v>5289</v>
      </c>
      <c r="I2864" s="13" t="s">
        <v>5289</v>
      </c>
      <c r="J2864" s="13" t="s">
        <v>5289</v>
      </c>
      <c r="K2864" s="13" t="s">
        <v>5289</v>
      </c>
      <c r="L2864" s="13" t="n">
        <v>3614274308464</v>
      </c>
      <c r="M2864" s="13"/>
      <c r="N2864" s="13" t="n">
        <v>3614274308464</v>
      </c>
      <c r="O2864" s="13"/>
      <c r="P2864" s="13" t="s">
        <v>5291</v>
      </c>
      <c r="Q2864" s="13" t="s">
        <v>5289</v>
      </c>
      <c r="R2864" s="13" t="s">
        <v>5292</v>
      </c>
      <c r="S2864" s="13" t="s">
        <v>5293</v>
      </c>
      <c r="T2864" s="13" t="s">
        <v>5</v>
      </c>
      <c r="U2864" s="13" t="s">
        <v>43</v>
      </c>
      <c r="V2864" s="13" t="n">
        <f aca="false">IF(COUNTIF($B$2:B2864,B2864)=1,1,0)</f>
        <v>0</v>
      </c>
      <c r="W2864" s="13" t="n">
        <f aca="false">IF(COUNTIFS($B$2:B2864,B2864,$T$2:T2864,T2864)=1,1,0)</f>
        <v>0</v>
      </c>
    </row>
    <row r="2865" customFormat="false" ht="15" hidden="false" customHeight="false" outlineLevel="0" collapsed="false">
      <c r="A2865" s="13" t="s">
        <v>3739</v>
      </c>
      <c r="B2865" s="13" t="s">
        <v>2200</v>
      </c>
      <c r="C2865" s="13" t="n">
        <v>1100</v>
      </c>
      <c r="D2865" s="13" t="n">
        <v>2</v>
      </c>
      <c r="E2865" s="13" t="n">
        <v>284.135</v>
      </c>
      <c r="F2865" s="13" t="s">
        <v>5288</v>
      </c>
      <c r="G2865" s="13" t="s">
        <v>5289</v>
      </c>
      <c r="H2865" s="13" t="s">
        <v>5289</v>
      </c>
      <c r="I2865" s="13" t="s">
        <v>5289</v>
      </c>
      <c r="J2865" s="13" t="s">
        <v>5289</v>
      </c>
      <c r="K2865" s="13" t="s">
        <v>5289</v>
      </c>
      <c r="L2865" s="13"/>
      <c r="M2865" s="13"/>
      <c r="N2865" s="13" t="n">
        <v>3474636975181</v>
      </c>
      <c r="O2865" s="13"/>
      <c r="P2865" s="13" t="s">
        <v>5291</v>
      </c>
      <c r="Q2865" s="13" t="s">
        <v>5289</v>
      </c>
      <c r="R2865" s="13" t="s">
        <v>5292</v>
      </c>
      <c r="S2865" s="13" t="s">
        <v>5293</v>
      </c>
      <c r="T2865" s="13" t="s">
        <v>5</v>
      </c>
      <c r="U2865" s="13" t="s">
        <v>85</v>
      </c>
      <c r="V2865" s="13" t="n">
        <f aca="false">IF(COUNTIF($B$2:B2865,B2865)=1,1,0)</f>
        <v>1</v>
      </c>
      <c r="W2865" s="13" t="n">
        <f aca="false">IF(COUNTIFS($B$2:B2865,B2865,$T$2:T2865,T2865)=1,1,0)</f>
        <v>1</v>
      </c>
    </row>
    <row r="2866" customFormat="false" ht="15" hidden="false" customHeight="false" outlineLevel="0" collapsed="false">
      <c r="A2866" s="13" t="s">
        <v>1190</v>
      </c>
      <c r="B2866" s="13" t="s">
        <v>490</v>
      </c>
      <c r="C2866" s="13" t="n">
        <v>1100</v>
      </c>
      <c r="D2866" s="13" t="n">
        <v>5</v>
      </c>
      <c r="E2866" s="13" t="n">
        <v>189</v>
      </c>
      <c r="F2866" s="13" t="s">
        <v>5288</v>
      </c>
      <c r="G2866" s="13" t="s">
        <v>5292</v>
      </c>
      <c r="H2866" s="13" t="s">
        <v>5289</v>
      </c>
      <c r="I2866" s="13" t="s">
        <v>5289</v>
      </c>
      <c r="J2866" s="13" t="s">
        <v>5289</v>
      </c>
      <c r="K2866" s="13" t="s">
        <v>5289</v>
      </c>
      <c r="L2866" s="13"/>
      <c r="M2866" s="13"/>
      <c r="N2866" s="13" t="n">
        <v>8011003991136</v>
      </c>
      <c r="O2866" s="13"/>
      <c r="P2866" s="13" t="s">
        <v>5297</v>
      </c>
      <c r="Q2866" s="13" t="s">
        <v>5289</v>
      </c>
      <c r="R2866" s="13" t="s">
        <v>5292</v>
      </c>
      <c r="S2866" s="13" t="s">
        <v>5293</v>
      </c>
      <c r="T2866" s="13" t="s">
        <v>5</v>
      </c>
      <c r="U2866" s="13" t="s">
        <v>43</v>
      </c>
      <c r="V2866" s="13" t="n">
        <f aca="false">IF(COUNTIF($B$2:B2866,B2866)=1,1,0)</f>
        <v>0</v>
      </c>
      <c r="W2866" s="13" t="n">
        <f aca="false">IF(COUNTIFS($B$2:B2866,B2866,$T$2:T2866,T2866)=1,1,0)</f>
        <v>0</v>
      </c>
    </row>
    <row r="2867" customFormat="false" ht="15" hidden="false" customHeight="false" outlineLevel="0" collapsed="false">
      <c r="A2867" s="13" t="s">
        <v>1201</v>
      </c>
      <c r="B2867" s="13" t="s">
        <v>69</v>
      </c>
      <c r="C2867" s="13" t="n">
        <v>1100</v>
      </c>
      <c r="D2867" s="13" t="n">
        <v>2</v>
      </c>
      <c r="E2867" s="13" t="n">
        <v>563.72</v>
      </c>
      <c r="F2867" s="13" t="s">
        <v>5325</v>
      </c>
      <c r="G2867" s="13" t="s">
        <v>5289</v>
      </c>
      <c r="H2867" s="13" t="s">
        <v>5292</v>
      </c>
      <c r="I2867" s="13" t="s">
        <v>5289</v>
      </c>
      <c r="J2867" s="13" t="s">
        <v>5289</v>
      </c>
      <c r="K2867" s="13" t="s">
        <v>5289</v>
      </c>
      <c r="L2867" s="13" t="n">
        <v>3614273069533</v>
      </c>
      <c r="M2867" s="13"/>
      <c r="N2867" s="13" t="n">
        <v>3614273069533</v>
      </c>
      <c r="O2867" s="13"/>
      <c r="P2867" s="13" t="s">
        <v>5291</v>
      </c>
      <c r="Q2867" s="13" t="s">
        <v>5289</v>
      </c>
      <c r="R2867" s="13" t="s">
        <v>5292</v>
      </c>
      <c r="S2867" s="13" t="s">
        <v>5293</v>
      </c>
      <c r="T2867" s="13" t="s">
        <v>5</v>
      </c>
      <c r="U2867" s="13" t="s">
        <v>43</v>
      </c>
      <c r="V2867" s="13" t="n">
        <f aca="false">IF(COUNTIF($B$2:B2867,B2867)=1,1,0)</f>
        <v>0</v>
      </c>
      <c r="W2867" s="13" t="n">
        <f aca="false">IF(COUNTIFS($B$2:B2867,B2867,$T$2:T2867,T2867)=1,1,0)</f>
        <v>0</v>
      </c>
    </row>
    <row r="2868" customFormat="false" ht="15" hidden="false" customHeight="false" outlineLevel="0" collapsed="false">
      <c r="A2868" s="13" t="s">
        <v>6385</v>
      </c>
      <c r="B2868" s="13" t="s">
        <v>2244</v>
      </c>
      <c r="C2868" s="13" t="n">
        <v>1100</v>
      </c>
      <c r="D2868" s="13" t="n">
        <v>2</v>
      </c>
      <c r="E2868" s="13" t="n">
        <v>559.92</v>
      </c>
      <c r="F2868" s="13" t="s">
        <v>5325</v>
      </c>
      <c r="G2868" s="13" t="s">
        <v>5289</v>
      </c>
      <c r="H2868" s="13" t="s">
        <v>5292</v>
      </c>
      <c r="I2868" s="13" t="s">
        <v>5289</v>
      </c>
      <c r="J2868" s="13" t="s">
        <v>5289</v>
      </c>
      <c r="K2868" s="13" t="s">
        <v>5289</v>
      </c>
      <c r="L2868" s="13" t="n">
        <v>3349668515653</v>
      </c>
      <c r="M2868" s="13"/>
      <c r="N2868" s="13" t="n">
        <v>3349668515653</v>
      </c>
      <c r="O2868" s="13"/>
      <c r="P2868" s="13" t="s">
        <v>5291</v>
      </c>
      <c r="Q2868" s="13" t="s">
        <v>5289</v>
      </c>
      <c r="R2868" s="13" t="s">
        <v>5292</v>
      </c>
      <c r="S2868" s="13" t="s">
        <v>5293</v>
      </c>
      <c r="T2868" s="13" t="s">
        <v>5</v>
      </c>
      <c r="U2868" s="13" t="s">
        <v>43</v>
      </c>
      <c r="V2868" s="13" t="n">
        <f aca="false">IF(COUNTIF($B$2:B2868,B2868)=1,1,0)</f>
        <v>1</v>
      </c>
      <c r="W2868" s="13" t="n">
        <f aca="false">IF(COUNTIFS($B$2:B2868,B2868,$T$2:T2868,T2868)=1,1,0)</f>
        <v>1</v>
      </c>
    </row>
    <row r="2869" customFormat="false" ht="15" hidden="false" customHeight="false" outlineLevel="0" collapsed="false">
      <c r="A2869" s="13" t="s">
        <v>1211</v>
      </c>
      <c r="B2869" s="13" t="s">
        <v>153</v>
      </c>
      <c r="C2869" s="13" t="n">
        <v>1100</v>
      </c>
      <c r="D2869" s="13" t="n">
        <v>2</v>
      </c>
      <c r="E2869" s="13" t="n">
        <v>559.19</v>
      </c>
      <c r="F2869" s="13" t="s">
        <v>5325</v>
      </c>
      <c r="G2869" s="13" t="s">
        <v>5289</v>
      </c>
      <c r="H2869" s="13" t="s">
        <v>5292</v>
      </c>
      <c r="I2869" s="13" t="s">
        <v>5289</v>
      </c>
      <c r="J2869" s="13" t="s">
        <v>5289</v>
      </c>
      <c r="K2869" s="13" t="s">
        <v>5289</v>
      </c>
      <c r="L2869" s="13" t="n">
        <v>8011003861224</v>
      </c>
      <c r="M2869" s="13"/>
      <c r="N2869" s="13" t="n">
        <v>8011003861224</v>
      </c>
      <c r="O2869" s="13"/>
      <c r="P2869" s="13" t="s">
        <v>5297</v>
      </c>
      <c r="Q2869" s="13" t="s">
        <v>5289</v>
      </c>
      <c r="R2869" s="13" t="s">
        <v>5292</v>
      </c>
      <c r="S2869" s="13" t="s">
        <v>5293</v>
      </c>
      <c r="T2869" s="13" t="s">
        <v>5</v>
      </c>
      <c r="U2869" s="13" t="s">
        <v>43</v>
      </c>
      <c r="V2869" s="13" t="n">
        <f aca="false">IF(COUNTIF($B$2:B2869,B2869)=1,1,0)</f>
        <v>0</v>
      </c>
      <c r="W2869" s="13" t="n">
        <f aca="false">IF(COUNTIFS($B$2:B2869,B2869,$T$2:T2869,T2869)=1,1,0)</f>
        <v>0</v>
      </c>
    </row>
    <row r="2870" customFormat="false" ht="15" hidden="false" customHeight="false" outlineLevel="0" collapsed="false">
      <c r="A2870" s="13" t="s">
        <v>1191</v>
      </c>
      <c r="B2870" s="13" t="s">
        <v>45</v>
      </c>
      <c r="C2870" s="13" t="n">
        <v>1100</v>
      </c>
      <c r="D2870" s="13" t="n">
        <v>2</v>
      </c>
      <c r="E2870" s="13" t="n">
        <v>559</v>
      </c>
      <c r="F2870" s="13" t="s">
        <v>5325</v>
      </c>
      <c r="G2870" s="13" t="s">
        <v>5289</v>
      </c>
      <c r="H2870" s="13" t="s">
        <v>5292</v>
      </c>
      <c r="I2870" s="13" t="s">
        <v>5289</v>
      </c>
      <c r="J2870" s="13" t="s">
        <v>5289</v>
      </c>
      <c r="K2870" s="13" t="s">
        <v>5289</v>
      </c>
      <c r="L2870" s="13"/>
      <c r="M2870" s="13"/>
      <c r="N2870" s="13" t="n">
        <v>8435415091244</v>
      </c>
      <c r="O2870" s="13"/>
      <c r="P2870" s="13" t="s">
        <v>5291</v>
      </c>
      <c r="Q2870" s="13" t="s">
        <v>5289</v>
      </c>
      <c r="R2870" s="13" t="s">
        <v>5292</v>
      </c>
      <c r="S2870" s="13" t="s">
        <v>5293</v>
      </c>
      <c r="T2870" s="13" t="s">
        <v>5</v>
      </c>
      <c r="U2870" s="13" t="s">
        <v>43</v>
      </c>
      <c r="V2870" s="13" t="n">
        <f aca="false">IF(COUNTIF($B$2:B2870,B2870)=1,1,0)</f>
        <v>0</v>
      </c>
      <c r="W2870" s="13" t="n">
        <f aca="false">IF(COUNTIFS($B$2:B2870,B2870,$T$2:T2870,T2870)=1,1,0)</f>
        <v>0</v>
      </c>
    </row>
    <row r="2871" customFormat="false" ht="15" hidden="false" customHeight="false" outlineLevel="0" collapsed="false">
      <c r="A2871" s="13" t="s">
        <v>6386</v>
      </c>
      <c r="B2871" s="13" t="s">
        <v>2110</v>
      </c>
      <c r="C2871" s="13" t="n">
        <v>1100</v>
      </c>
      <c r="D2871" s="13" t="n">
        <v>2</v>
      </c>
      <c r="E2871" s="13" t="n">
        <v>556.01</v>
      </c>
      <c r="F2871" s="13" t="s">
        <v>5325</v>
      </c>
      <c r="G2871" s="13" t="s">
        <v>5289</v>
      </c>
      <c r="H2871" s="13" t="s">
        <v>5292</v>
      </c>
      <c r="I2871" s="13" t="s">
        <v>5289</v>
      </c>
      <c r="J2871" s="13" t="s">
        <v>5289</v>
      </c>
      <c r="K2871" s="13" t="s">
        <v>5289</v>
      </c>
      <c r="L2871" s="13" t="n">
        <v>737052413174</v>
      </c>
      <c r="M2871" s="13"/>
      <c r="N2871" s="13" t="n">
        <v>3386460149082</v>
      </c>
      <c r="O2871" s="13"/>
      <c r="P2871" s="13" t="s">
        <v>5291</v>
      </c>
      <c r="Q2871" s="13" t="s">
        <v>5289</v>
      </c>
      <c r="R2871" s="13" t="s">
        <v>5292</v>
      </c>
      <c r="S2871" s="13" t="s">
        <v>5293</v>
      </c>
      <c r="T2871" s="13" t="s">
        <v>5</v>
      </c>
      <c r="U2871" s="13" t="s">
        <v>43</v>
      </c>
      <c r="V2871" s="13" t="n">
        <f aca="false">IF(COUNTIF($B$2:B2871,B2871)=1,1,0)</f>
        <v>0</v>
      </c>
      <c r="W2871" s="13" t="n">
        <f aca="false">IF(COUNTIFS($B$2:B2871,B2871,$T$2:T2871,T2871)=1,1,0)</f>
        <v>0</v>
      </c>
    </row>
    <row r="2872" customFormat="false" ht="15" hidden="false" customHeight="false" outlineLevel="0" collapsed="false">
      <c r="A2872" s="13" t="s">
        <v>370</v>
      </c>
      <c r="B2872" s="13" t="s">
        <v>193</v>
      </c>
      <c r="C2872" s="13" t="n">
        <v>1100</v>
      </c>
      <c r="D2872" s="13" t="n">
        <v>2</v>
      </c>
      <c r="E2872" s="13" t="n">
        <v>552.09</v>
      </c>
      <c r="F2872" s="13" t="s">
        <v>5325</v>
      </c>
      <c r="G2872" s="13" t="s">
        <v>5289</v>
      </c>
      <c r="H2872" s="13" t="s">
        <v>5289</v>
      </c>
      <c r="I2872" s="13" t="s">
        <v>5289</v>
      </c>
      <c r="J2872" s="13" t="s">
        <v>5289</v>
      </c>
      <c r="K2872" s="13" t="s">
        <v>5289</v>
      </c>
      <c r="L2872" s="13" t="n">
        <v>3614273955416</v>
      </c>
      <c r="M2872" s="13"/>
      <c r="N2872" s="13" t="n">
        <v>3614273955416</v>
      </c>
      <c r="O2872" s="13"/>
      <c r="P2872" s="13" t="s">
        <v>5291</v>
      </c>
      <c r="Q2872" s="13" t="s">
        <v>5289</v>
      </c>
      <c r="R2872" s="13" t="s">
        <v>5292</v>
      </c>
      <c r="S2872" s="13" t="s">
        <v>5293</v>
      </c>
      <c r="T2872" s="13" t="s">
        <v>5</v>
      </c>
      <c r="U2872" s="13" t="s">
        <v>43</v>
      </c>
      <c r="V2872" s="13" t="n">
        <f aca="false">IF(COUNTIF($B$2:B2872,B2872)=1,1,0)</f>
        <v>0</v>
      </c>
      <c r="W2872" s="13" t="n">
        <f aca="false">IF(COUNTIFS($B$2:B2872,B2872,$T$2:T2872,T2872)=1,1,0)</f>
        <v>0</v>
      </c>
    </row>
    <row r="2873" customFormat="false" ht="15" hidden="false" customHeight="false" outlineLevel="0" collapsed="false">
      <c r="A2873" s="13" t="s">
        <v>1192</v>
      </c>
      <c r="B2873" s="13" t="s">
        <v>121</v>
      </c>
      <c r="C2873" s="13" t="n">
        <v>1100</v>
      </c>
      <c r="D2873" s="13" t="n">
        <v>5</v>
      </c>
      <c r="E2873" s="13" t="n">
        <v>138</v>
      </c>
      <c r="F2873" s="13" t="s">
        <v>5288</v>
      </c>
      <c r="G2873" s="13" t="s">
        <v>5292</v>
      </c>
      <c r="H2873" s="13" t="s">
        <v>5289</v>
      </c>
      <c r="I2873" s="13" t="s">
        <v>5289</v>
      </c>
      <c r="J2873" s="13" t="s">
        <v>5289</v>
      </c>
      <c r="K2873" s="13" t="s">
        <v>5289</v>
      </c>
      <c r="L2873" s="13" t="n">
        <v>7896086988010</v>
      </c>
      <c r="M2873" s="13"/>
      <c r="N2873" s="13" t="n">
        <v>7896086988010</v>
      </c>
      <c r="O2873" s="13"/>
      <c r="P2873" s="13" t="s">
        <v>5297</v>
      </c>
      <c r="Q2873" s="13" t="s">
        <v>5289</v>
      </c>
      <c r="R2873" s="13" t="s">
        <v>5292</v>
      </c>
      <c r="S2873" s="13" t="s">
        <v>5293</v>
      </c>
      <c r="T2873" s="13" t="s">
        <v>5</v>
      </c>
      <c r="U2873" s="13" t="s">
        <v>43</v>
      </c>
      <c r="V2873" s="13" t="n">
        <f aca="false">IF(COUNTIF($B$2:B2873,B2873)=1,1,0)</f>
        <v>0</v>
      </c>
      <c r="W2873" s="13" t="n">
        <f aca="false">IF(COUNTIFS($B$2:B2873,B2873,$T$2:T2873,T2873)=1,1,0)</f>
        <v>0</v>
      </c>
    </row>
    <row r="2874" customFormat="false" ht="15" hidden="false" customHeight="false" outlineLevel="0" collapsed="false">
      <c r="A2874" s="13" t="s">
        <v>3125</v>
      </c>
      <c r="B2874" s="13" t="s">
        <v>2109</v>
      </c>
      <c r="C2874" s="13" t="n">
        <v>1100</v>
      </c>
      <c r="D2874" s="13" t="n">
        <v>1</v>
      </c>
      <c r="E2874" s="13" t="n">
        <v>1103.35</v>
      </c>
      <c r="F2874" s="13" t="s">
        <v>5325</v>
      </c>
      <c r="G2874" s="13" t="s">
        <v>5289</v>
      </c>
      <c r="H2874" s="13" t="s">
        <v>5289</v>
      </c>
      <c r="I2874" s="13" t="s">
        <v>5289</v>
      </c>
      <c r="J2874" s="13" t="s">
        <v>5289</v>
      </c>
      <c r="K2874" s="13" t="s">
        <v>5289</v>
      </c>
      <c r="L2874" s="13" t="n">
        <v>3439600056969</v>
      </c>
      <c r="M2874" s="13"/>
      <c r="N2874" s="13" t="n">
        <v>3439600056969</v>
      </c>
      <c r="O2874" s="13"/>
      <c r="P2874" s="13" t="s">
        <v>5291</v>
      </c>
      <c r="Q2874" s="13" t="s">
        <v>5289</v>
      </c>
      <c r="R2874" s="13" t="s">
        <v>5292</v>
      </c>
      <c r="S2874" s="13" t="s">
        <v>5293</v>
      </c>
      <c r="T2874" s="13" t="s">
        <v>5</v>
      </c>
      <c r="U2874" s="13" t="s">
        <v>43</v>
      </c>
      <c r="V2874" s="13" t="n">
        <f aca="false">IF(COUNTIF($B$2:B2874,B2874)=1,1,0)</f>
        <v>0</v>
      </c>
      <c r="W2874" s="13" t="n">
        <f aca="false">IF(COUNTIFS($B$2:B2874,B2874,$T$2:T2874,T2874)=1,1,0)</f>
        <v>0</v>
      </c>
    </row>
    <row r="2875" customFormat="false" ht="15" hidden="false" customHeight="false" outlineLevel="0" collapsed="false">
      <c r="A2875" s="13" t="s">
        <v>3125</v>
      </c>
      <c r="B2875" s="13" t="s">
        <v>2109</v>
      </c>
      <c r="C2875" s="13" t="n">
        <v>1100</v>
      </c>
      <c r="D2875" s="13" t="n">
        <v>1</v>
      </c>
      <c r="E2875" s="13" t="n">
        <v>1101.72</v>
      </c>
      <c r="F2875" s="13" t="s">
        <v>5288</v>
      </c>
      <c r="G2875" s="13" t="s">
        <v>5289</v>
      </c>
      <c r="H2875" s="13" t="s">
        <v>5289</v>
      </c>
      <c r="I2875" s="13" t="s">
        <v>5289</v>
      </c>
      <c r="J2875" s="13" t="s">
        <v>5289</v>
      </c>
      <c r="K2875" s="13" t="s">
        <v>5289</v>
      </c>
      <c r="L2875" s="13" t="n">
        <v>3439600056969</v>
      </c>
      <c r="M2875" s="13"/>
      <c r="N2875" s="13" t="n">
        <v>3439600056969</v>
      </c>
      <c r="O2875" s="13"/>
      <c r="P2875" s="13" t="s">
        <v>5291</v>
      </c>
      <c r="Q2875" s="13" t="s">
        <v>5289</v>
      </c>
      <c r="R2875" s="13" t="s">
        <v>5292</v>
      </c>
      <c r="S2875" s="13" t="s">
        <v>5293</v>
      </c>
      <c r="T2875" s="13" t="s">
        <v>5</v>
      </c>
      <c r="U2875" s="13" t="s">
        <v>43</v>
      </c>
      <c r="V2875" s="13" t="n">
        <f aca="false">IF(COUNTIF($B$2:B2875,B2875)=1,1,0)</f>
        <v>0</v>
      </c>
      <c r="W2875" s="13" t="n">
        <f aca="false">IF(COUNTIFS($B$2:B2875,B2875,$T$2:T2875,T2875)=1,1,0)</f>
        <v>0</v>
      </c>
    </row>
    <row r="2876" customFormat="false" ht="15" hidden="false" customHeight="false" outlineLevel="0" collapsed="false">
      <c r="A2876" s="13" t="s">
        <v>1193</v>
      </c>
      <c r="B2876" s="13" t="s">
        <v>69</v>
      </c>
      <c r="C2876" s="13" t="n">
        <v>1100</v>
      </c>
      <c r="D2876" s="13" t="n">
        <v>1</v>
      </c>
      <c r="E2876" s="13" t="n">
        <v>1098.85</v>
      </c>
      <c r="F2876" s="13" t="s">
        <v>5288</v>
      </c>
      <c r="G2876" s="13" t="s">
        <v>5292</v>
      </c>
      <c r="H2876" s="13" t="s">
        <v>5292</v>
      </c>
      <c r="I2876" s="13" t="s">
        <v>5289</v>
      </c>
      <c r="J2876" s="13" t="s">
        <v>5289</v>
      </c>
      <c r="K2876" s="13" t="s">
        <v>5292</v>
      </c>
      <c r="L2876" s="13" t="n">
        <v>3614272050358</v>
      </c>
      <c r="M2876" s="13"/>
      <c r="N2876" s="13" t="n">
        <v>3614272050358</v>
      </c>
      <c r="O2876" s="13"/>
      <c r="P2876" s="13" t="s">
        <v>5291</v>
      </c>
      <c r="Q2876" s="13" t="s">
        <v>5289</v>
      </c>
      <c r="R2876" s="13" t="s">
        <v>5292</v>
      </c>
      <c r="S2876" s="13" t="s">
        <v>5293</v>
      </c>
      <c r="T2876" s="13" t="s">
        <v>5</v>
      </c>
      <c r="U2876" s="13" t="s">
        <v>43</v>
      </c>
      <c r="V2876" s="13" t="n">
        <f aca="false">IF(COUNTIF($B$2:B2876,B2876)=1,1,0)</f>
        <v>0</v>
      </c>
      <c r="W2876" s="13" t="n">
        <f aca="false">IF(COUNTIFS($B$2:B2876,B2876,$T$2:T2876,T2876)=1,1,0)</f>
        <v>0</v>
      </c>
    </row>
    <row r="2877" customFormat="false" ht="15" hidden="false" customHeight="false" outlineLevel="0" collapsed="false">
      <c r="A2877" s="13" t="s">
        <v>1194</v>
      </c>
      <c r="B2877" s="13" t="s">
        <v>42</v>
      </c>
      <c r="C2877" s="13" t="n">
        <v>1100</v>
      </c>
      <c r="D2877" s="13" t="n">
        <v>1</v>
      </c>
      <c r="E2877" s="13" t="n">
        <v>1098.85</v>
      </c>
      <c r="F2877" s="13" t="s">
        <v>5325</v>
      </c>
      <c r="G2877" s="13" t="s">
        <v>5289</v>
      </c>
      <c r="H2877" s="13" t="s">
        <v>5289</v>
      </c>
      <c r="I2877" s="13" t="s">
        <v>5289</v>
      </c>
      <c r="J2877" s="13" t="s">
        <v>5289</v>
      </c>
      <c r="K2877" s="13" t="s">
        <v>5292</v>
      </c>
      <c r="L2877" s="13" t="n">
        <v>8411061002865</v>
      </c>
      <c r="M2877" s="13"/>
      <c r="N2877" s="13" t="n">
        <v>8411061002865</v>
      </c>
      <c r="O2877" s="13"/>
      <c r="P2877" s="13" t="s">
        <v>5297</v>
      </c>
      <c r="Q2877" s="13" t="s">
        <v>5289</v>
      </c>
      <c r="R2877" s="13" t="s">
        <v>5292</v>
      </c>
      <c r="S2877" s="13" t="s">
        <v>5293</v>
      </c>
      <c r="T2877" s="13" t="s">
        <v>5</v>
      </c>
      <c r="U2877" s="13" t="s">
        <v>43</v>
      </c>
      <c r="V2877" s="13" t="n">
        <f aca="false">IF(COUNTIF($B$2:B2877,B2877)=1,1,0)</f>
        <v>0</v>
      </c>
      <c r="W2877" s="13" t="n">
        <f aca="false">IF(COUNTIFS($B$2:B2877,B2877,$T$2:T2877,T2877)=1,1,0)</f>
        <v>0</v>
      </c>
    </row>
    <row r="2878" customFormat="false" ht="15" hidden="false" customHeight="false" outlineLevel="0" collapsed="false">
      <c r="A2878" s="13" t="s">
        <v>1195</v>
      </c>
      <c r="B2878" s="13" t="s">
        <v>61</v>
      </c>
      <c r="C2878" s="13" t="n">
        <v>1100</v>
      </c>
      <c r="D2878" s="13" t="n">
        <v>2</v>
      </c>
      <c r="E2878" s="13" t="n">
        <v>362.24</v>
      </c>
      <c r="F2878" s="13" t="s">
        <v>5325</v>
      </c>
      <c r="G2878" s="13" t="s">
        <v>5289</v>
      </c>
      <c r="H2878" s="13" t="s">
        <v>5289</v>
      </c>
      <c r="I2878" s="13" t="s">
        <v>5289</v>
      </c>
      <c r="J2878" s="13" t="s">
        <v>5289</v>
      </c>
      <c r="K2878" s="13" t="s">
        <v>5289</v>
      </c>
      <c r="L2878" s="13"/>
      <c r="M2878" s="13"/>
      <c r="N2878" s="13" t="n">
        <v>3614274299205</v>
      </c>
      <c r="O2878" s="13"/>
      <c r="P2878" s="13" t="s">
        <v>5291</v>
      </c>
      <c r="Q2878" s="13" t="s">
        <v>5289</v>
      </c>
      <c r="R2878" s="13" t="s">
        <v>5292</v>
      </c>
      <c r="S2878" s="13" t="s">
        <v>5293</v>
      </c>
      <c r="T2878" s="13" t="s">
        <v>5</v>
      </c>
      <c r="U2878" s="13" t="s">
        <v>43</v>
      </c>
      <c r="V2878" s="13" t="n">
        <f aca="false">IF(COUNTIF($B$2:B2878,B2878)=1,1,0)</f>
        <v>0</v>
      </c>
      <c r="W2878" s="13" t="n">
        <f aca="false">IF(COUNTIFS($B$2:B2878,B2878,$T$2:T2878,T2878)=1,1,0)</f>
        <v>0</v>
      </c>
    </row>
    <row r="2879" customFormat="false" ht="15" hidden="false" customHeight="false" outlineLevel="0" collapsed="false">
      <c r="A2879" s="13" t="s">
        <v>1212</v>
      </c>
      <c r="B2879" s="13" t="s">
        <v>329</v>
      </c>
      <c r="C2879" s="13" t="n">
        <v>1100</v>
      </c>
      <c r="D2879" s="13" t="n">
        <v>2</v>
      </c>
      <c r="E2879" s="13" t="n">
        <v>271.52</v>
      </c>
      <c r="F2879" s="13" t="s">
        <v>5325</v>
      </c>
      <c r="G2879" s="13" t="s">
        <v>5289</v>
      </c>
      <c r="H2879" s="13" t="s">
        <v>5292</v>
      </c>
      <c r="I2879" s="13" t="s">
        <v>5289</v>
      </c>
      <c r="J2879" s="13" t="s">
        <v>5289</v>
      </c>
      <c r="K2879" s="13" t="s">
        <v>5289</v>
      </c>
      <c r="L2879" s="13" t="n">
        <v>3137370357636</v>
      </c>
      <c r="M2879" s="13"/>
      <c r="N2879" s="13" t="n">
        <v>3.13737020502931E+025</v>
      </c>
      <c r="O2879" s="13"/>
      <c r="P2879" s="13" t="s">
        <v>5291</v>
      </c>
      <c r="Q2879" s="13" t="s">
        <v>5289</v>
      </c>
      <c r="R2879" s="13" t="s">
        <v>5292</v>
      </c>
      <c r="S2879" s="13" t="s">
        <v>5293</v>
      </c>
      <c r="T2879" s="13" t="s">
        <v>5</v>
      </c>
      <c r="U2879" s="13" t="s">
        <v>43</v>
      </c>
      <c r="V2879" s="13" t="n">
        <f aca="false">IF(COUNTIF($B$2:B2879,B2879)=1,1,0)</f>
        <v>0</v>
      </c>
      <c r="W2879" s="13" t="n">
        <f aca="false">IF(COUNTIFS($B$2:B2879,B2879,$T$2:T2879,T2879)=1,1,0)</f>
        <v>0</v>
      </c>
    </row>
    <row r="2880" customFormat="false" ht="15" hidden="false" customHeight="false" outlineLevel="0" collapsed="false">
      <c r="A2880" s="13" t="s">
        <v>3028</v>
      </c>
      <c r="B2880" s="13" t="s">
        <v>2118</v>
      </c>
      <c r="C2880" s="13" t="n">
        <v>1100</v>
      </c>
      <c r="D2880" s="13" t="n">
        <v>1</v>
      </c>
      <c r="E2880" s="13" t="n">
        <v>1083</v>
      </c>
      <c r="F2880" s="13" t="s">
        <v>5325</v>
      </c>
      <c r="G2880" s="13" t="s">
        <v>5289</v>
      </c>
      <c r="H2880" s="13" t="s">
        <v>5289</v>
      </c>
      <c r="I2880" s="13" t="s">
        <v>5289</v>
      </c>
      <c r="J2880" s="13" t="s">
        <v>5289</v>
      </c>
      <c r="K2880" s="13" t="s">
        <v>5289</v>
      </c>
      <c r="L2880" s="13" t="n">
        <v>3614273852807</v>
      </c>
      <c r="M2880" s="13"/>
      <c r="N2880" s="13" t="n">
        <v>3614273852807</v>
      </c>
      <c r="O2880" s="13"/>
      <c r="P2880" s="13" t="s">
        <v>5291</v>
      </c>
      <c r="Q2880" s="13" t="s">
        <v>5289</v>
      </c>
      <c r="R2880" s="13" t="s">
        <v>5292</v>
      </c>
      <c r="S2880" s="13" t="s">
        <v>5293</v>
      </c>
      <c r="T2880" s="13" t="s">
        <v>5</v>
      </c>
      <c r="U2880" s="13" t="s">
        <v>43</v>
      </c>
      <c r="V2880" s="13" t="n">
        <f aca="false">IF(COUNTIF($B$2:B2880,B2880)=1,1,0)</f>
        <v>0</v>
      </c>
      <c r="W2880" s="13" t="n">
        <f aca="false">IF(COUNTIFS($B$2:B2880,B2880,$T$2:T2880,T2880)=1,1,0)</f>
        <v>0</v>
      </c>
    </row>
    <row r="2881" customFormat="false" ht="15" hidden="false" customHeight="false" outlineLevel="0" collapsed="false">
      <c r="A2881" s="13" t="s">
        <v>511</v>
      </c>
      <c r="B2881" s="13" t="s">
        <v>103</v>
      </c>
      <c r="C2881" s="13" t="n">
        <v>1100</v>
      </c>
      <c r="D2881" s="13" t="n">
        <v>5</v>
      </c>
      <c r="E2881" s="13" t="n">
        <v>180.48</v>
      </c>
      <c r="F2881" s="13" t="s">
        <v>5288</v>
      </c>
      <c r="G2881" s="13" t="s">
        <v>5292</v>
      </c>
      <c r="H2881" s="13" t="s">
        <v>5289</v>
      </c>
      <c r="I2881" s="13" t="s">
        <v>5289</v>
      </c>
      <c r="J2881" s="13" t="s">
        <v>5289</v>
      </c>
      <c r="K2881" s="13" t="s">
        <v>5289</v>
      </c>
      <c r="L2881" s="13" t="n">
        <v>8411061081358</v>
      </c>
      <c r="M2881" s="13"/>
      <c r="N2881" s="13" t="n">
        <v>8411061829530</v>
      </c>
      <c r="O2881" s="13"/>
      <c r="P2881" s="13" t="s">
        <v>5297</v>
      </c>
      <c r="Q2881" s="13" t="s">
        <v>5289</v>
      </c>
      <c r="R2881" s="13" t="s">
        <v>5292</v>
      </c>
      <c r="S2881" s="13" t="s">
        <v>5293</v>
      </c>
      <c r="T2881" s="13" t="s">
        <v>5</v>
      </c>
      <c r="U2881" s="13" t="s">
        <v>43</v>
      </c>
      <c r="V2881" s="13" t="n">
        <f aca="false">IF(COUNTIF($B$2:B2881,B2881)=1,1,0)</f>
        <v>0</v>
      </c>
      <c r="W2881" s="13" t="n">
        <f aca="false">IF(COUNTIFS($B$2:B2881,B2881,$T$2:T2881,T2881)=1,1,0)</f>
        <v>0</v>
      </c>
    </row>
    <row r="2882" customFormat="false" ht="15" hidden="false" customHeight="false" outlineLevel="0" collapsed="false">
      <c r="A2882" s="13" t="s">
        <v>925</v>
      </c>
      <c r="B2882" s="13" t="s">
        <v>42</v>
      </c>
      <c r="C2882" s="13" t="n">
        <v>1100</v>
      </c>
      <c r="D2882" s="13" t="n">
        <v>2</v>
      </c>
      <c r="E2882" s="13" t="n">
        <v>540.34</v>
      </c>
      <c r="F2882" s="13" t="s">
        <v>5325</v>
      </c>
      <c r="G2882" s="13" t="s">
        <v>5292</v>
      </c>
      <c r="H2882" s="13" t="s">
        <v>5292</v>
      </c>
      <c r="I2882" s="13" t="s">
        <v>5289</v>
      </c>
      <c r="J2882" s="13" t="s">
        <v>5289</v>
      </c>
      <c r="K2882" s="13" t="s">
        <v>5289</v>
      </c>
      <c r="L2882" s="13" t="n">
        <v>8411061777183</v>
      </c>
      <c r="M2882" s="13"/>
      <c r="N2882" s="13" t="n">
        <v>8411061777183</v>
      </c>
      <c r="O2882" s="13"/>
      <c r="P2882" s="13" t="s">
        <v>5291</v>
      </c>
      <c r="Q2882" s="13" t="s">
        <v>5289</v>
      </c>
      <c r="R2882" s="13" t="s">
        <v>5292</v>
      </c>
      <c r="S2882" s="13" t="s">
        <v>5293</v>
      </c>
      <c r="T2882" s="13" t="s">
        <v>5</v>
      </c>
      <c r="U2882" s="13" t="s">
        <v>43</v>
      </c>
      <c r="V2882" s="13" t="n">
        <f aca="false">IF(COUNTIF($B$2:B2882,B2882)=1,1,0)</f>
        <v>0</v>
      </c>
      <c r="W2882" s="13" t="n">
        <f aca="false">IF(COUNTIFS($B$2:B2882,B2882,$T$2:T2882,T2882)=1,1,0)</f>
        <v>0</v>
      </c>
    </row>
    <row r="2883" customFormat="false" ht="15" hidden="false" customHeight="false" outlineLevel="0" collapsed="false">
      <c r="A2883" s="13" t="s">
        <v>1200</v>
      </c>
      <c r="B2883" s="13" t="s">
        <v>61</v>
      </c>
      <c r="C2883" s="13" t="n">
        <v>1100</v>
      </c>
      <c r="D2883" s="13" t="n">
        <v>1</v>
      </c>
      <c r="E2883" s="13" t="n">
        <v>1080.22</v>
      </c>
      <c r="F2883" s="13" t="s">
        <v>5325</v>
      </c>
      <c r="G2883" s="13" t="s">
        <v>5289</v>
      </c>
      <c r="H2883" s="13" t="s">
        <v>5289</v>
      </c>
      <c r="I2883" s="13" t="s">
        <v>5289</v>
      </c>
      <c r="J2883" s="13" t="s">
        <v>5289</v>
      </c>
      <c r="K2883" s="13" t="s">
        <v>5289</v>
      </c>
      <c r="L2883" s="13" t="n">
        <v>3614274420364</v>
      </c>
      <c r="M2883" s="13"/>
      <c r="N2883" s="13" t="n">
        <v>3614274420364</v>
      </c>
      <c r="O2883" s="13"/>
      <c r="P2883" s="13" t="s">
        <v>5291</v>
      </c>
      <c r="Q2883" s="13" t="s">
        <v>5289</v>
      </c>
      <c r="R2883" s="13" t="s">
        <v>5292</v>
      </c>
      <c r="S2883" s="13" t="s">
        <v>5293</v>
      </c>
      <c r="T2883" s="13" t="s">
        <v>5</v>
      </c>
      <c r="U2883" s="13" t="s">
        <v>183</v>
      </c>
      <c r="V2883" s="13" t="n">
        <f aca="false">IF(COUNTIF($B$2:B2883,B2883)=1,1,0)</f>
        <v>0</v>
      </c>
      <c r="W2883" s="13" t="n">
        <f aca="false">IF(COUNTIFS($B$2:B2883,B2883,$T$2:T2883,T2883)=1,1,0)</f>
        <v>0</v>
      </c>
    </row>
    <row r="2884" customFormat="false" ht="15" hidden="false" customHeight="false" outlineLevel="0" collapsed="false">
      <c r="A2884" s="13" t="s">
        <v>1199</v>
      </c>
      <c r="B2884" s="13" t="s">
        <v>92</v>
      </c>
      <c r="C2884" s="13" t="n">
        <v>1100</v>
      </c>
      <c r="D2884" s="13" t="n">
        <v>2</v>
      </c>
      <c r="E2884" s="13" t="n">
        <v>540</v>
      </c>
      <c r="F2884" s="13" t="s">
        <v>5325</v>
      </c>
      <c r="G2884" s="13" t="s">
        <v>5292</v>
      </c>
      <c r="H2884" s="13" t="s">
        <v>5289</v>
      </c>
      <c r="I2884" s="13" t="s">
        <v>5289</v>
      </c>
      <c r="J2884" s="13" t="s">
        <v>5289</v>
      </c>
      <c r="K2884" s="13" t="s">
        <v>5289</v>
      </c>
      <c r="L2884" s="13" t="n">
        <v>3616306128965</v>
      </c>
      <c r="M2884" s="13"/>
      <c r="N2884" s="13" t="n">
        <v>3616306128965</v>
      </c>
      <c r="O2884" s="13"/>
      <c r="P2884" s="13" t="s">
        <v>5291</v>
      </c>
      <c r="Q2884" s="13" t="s">
        <v>5289</v>
      </c>
      <c r="R2884" s="13" t="s">
        <v>5292</v>
      </c>
      <c r="S2884" s="13" t="s">
        <v>5293</v>
      </c>
      <c r="T2884" s="13" t="s">
        <v>5</v>
      </c>
      <c r="U2884" s="13" t="s">
        <v>43</v>
      </c>
      <c r="V2884" s="13" t="n">
        <f aca="false">IF(COUNTIF($B$2:B2884,B2884)=1,1,0)</f>
        <v>0</v>
      </c>
      <c r="W2884" s="13" t="n">
        <f aca="false">IF(COUNTIFS($B$2:B2884,B2884,$T$2:T2884,T2884)=1,1,0)</f>
        <v>0</v>
      </c>
    </row>
    <row r="2885" customFormat="false" ht="15" hidden="false" customHeight="false" outlineLevel="0" collapsed="false">
      <c r="A2885" s="13" t="s">
        <v>1198</v>
      </c>
      <c r="B2885" s="13" t="s">
        <v>153</v>
      </c>
      <c r="C2885" s="13" t="n">
        <v>1100</v>
      </c>
      <c r="D2885" s="13" t="n">
        <v>2</v>
      </c>
      <c r="E2885" s="13" t="n">
        <v>539.99</v>
      </c>
      <c r="F2885" s="13" t="s">
        <v>5325</v>
      </c>
      <c r="G2885" s="13" t="s">
        <v>5289</v>
      </c>
      <c r="H2885" s="13" t="s">
        <v>5289</v>
      </c>
      <c r="I2885" s="13" t="s">
        <v>5289</v>
      </c>
      <c r="J2885" s="13" t="s">
        <v>5289</v>
      </c>
      <c r="K2885" s="13" t="s">
        <v>5289</v>
      </c>
      <c r="L2885" s="13" t="n">
        <v>8011003823536</v>
      </c>
      <c r="M2885" s="13"/>
      <c r="N2885" s="13" t="n">
        <v>8011003823536</v>
      </c>
      <c r="O2885" s="13"/>
      <c r="P2885" s="13" t="s">
        <v>5291</v>
      </c>
      <c r="Q2885" s="13" t="s">
        <v>5289</v>
      </c>
      <c r="R2885" s="13" t="s">
        <v>5292</v>
      </c>
      <c r="S2885" s="13" t="s">
        <v>5293</v>
      </c>
      <c r="T2885" s="13" t="s">
        <v>5</v>
      </c>
      <c r="U2885" s="13" t="s">
        <v>43</v>
      </c>
      <c r="V2885" s="13" t="n">
        <f aca="false">IF(COUNTIF($B$2:B2885,B2885)=1,1,0)</f>
        <v>0</v>
      </c>
      <c r="W2885" s="13" t="n">
        <f aca="false">IF(COUNTIFS($B$2:B2885,B2885,$T$2:T2885,T2885)=1,1,0)</f>
        <v>0</v>
      </c>
    </row>
    <row r="2886" customFormat="false" ht="15" hidden="false" customHeight="false" outlineLevel="0" collapsed="false">
      <c r="A2886" s="13" t="s">
        <v>3550</v>
      </c>
      <c r="B2886" s="13" t="s">
        <v>2150</v>
      </c>
      <c r="C2886" s="13" t="n">
        <v>1100</v>
      </c>
      <c r="D2886" s="13" t="n">
        <v>5</v>
      </c>
      <c r="E2886" s="13" t="n">
        <v>134.99</v>
      </c>
      <c r="F2886" s="13" t="s">
        <v>5288</v>
      </c>
      <c r="G2886" s="13" t="s">
        <v>5289</v>
      </c>
      <c r="H2886" s="13" t="s">
        <v>5289</v>
      </c>
      <c r="I2886" s="13" t="s">
        <v>5289</v>
      </c>
      <c r="J2886" s="13" t="s">
        <v>5289</v>
      </c>
      <c r="K2886" s="13" t="s">
        <v>5289</v>
      </c>
      <c r="L2886" s="13"/>
      <c r="M2886" s="13"/>
      <c r="N2886" s="13" t="n">
        <v>8411061823026</v>
      </c>
      <c r="O2886" s="13"/>
      <c r="P2886" s="13" t="s">
        <v>5297</v>
      </c>
      <c r="Q2886" s="13" t="s">
        <v>5289</v>
      </c>
      <c r="R2886" s="13" t="s">
        <v>5292</v>
      </c>
      <c r="S2886" s="13" t="s">
        <v>5293</v>
      </c>
      <c r="T2886" s="13" t="s">
        <v>5</v>
      </c>
      <c r="U2886" s="13" t="s">
        <v>43</v>
      </c>
      <c r="V2886" s="13" t="n">
        <f aca="false">IF(COUNTIF($B$2:B2886,B2886)=1,1,0)</f>
        <v>0</v>
      </c>
      <c r="W2886" s="13" t="n">
        <f aca="false">IF(COUNTIFS($B$2:B2886,B2886,$T$2:T2886,T2886)=1,1,0)</f>
        <v>0</v>
      </c>
    </row>
    <row r="2887" customFormat="false" ht="15" hidden="false" customHeight="false" outlineLevel="0" collapsed="false">
      <c r="A2887" s="13" t="s">
        <v>1203</v>
      </c>
      <c r="B2887" s="13" t="s">
        <v>124</v>
      </c>
      <c r="C2887" s="13" t="n">
        <v>1100</v>
      </c>
      <c r="D2887" s="13" t="n">
        <v>2</v>
      </c>
      <c r="E2887" s="13" t="n">
        <v>538.96</v>
      </c>
      <c r="F2887" s="13" t="s">
        <v>5325</v>
      </c>
      <c r="G2887" s="13" t="s">
        <v>5292</v>
      </c>
      <c r="H2887" s="13" t="s">
        <v>5292</v>
      </c>
      <c r="I2887" s="13" t="s">
        <v>5289</v>
      </c>
      <c r="J2887" s="13" t="s">
        <v>5289</v>
      </c>
      <c r="K2887" s="13" t="s">
        <v>5289</v>
      </c>
      <c r="L2887" s="13"/>
      <c r="M2887" s="13"/>
      <c r="N2887" s="13" t="n">
        <v>3605522040281</v>
      </c>
      <c r="O2887" s="13"/>
      <c r="P2887" s="13" t="s">
        <v>5291</v>
      </c>
      <c r="Q2887" s="13" t="s">
        <v>5289</v>
      </c>
      <c r="R2887" s="13" t="s">
        <v>5292</v>
      </c>
      <c r="S2887" s="13" t="s">
        <v>5293</v>
      </c>
      <c r="T2887" s="13" t="s">
        <v>5</v>
      </c>
      <c r="U2887" s="13" t="s">
        <v>43</v>
      </c>
      <c r="V2887" s="13" t="n">
        <f aca="false">IF(COUNTIF($B$2:B2887,B2887)=1,1,0)</f>
        <v>0</v>
      </c>
      <c r="W2887" s="13" t="n">
        <f aca="false">IF(COUNTIFS($B$2:B2887,B2887,$T$2:T2887,T2887)=1,1,0)</f>
        <v>0</v>
      </c>
    </row>
    <row r="2888" customFormat="false" ht="15" hidden="false" customHeight="false" outlineLevel="0" collapsed="false">
      <c r="A2888" s="13" t="s">
        <v>1202</v>
      </c>
      <c r="B2888" s="13" t="s">
        <v>329</v>
      </c>
      <c r="C2888" s="13" t="n">
        <v>1100</v>
      </c>
      <c r="D2888" s="13" t="n">
        <v>2</v>
      </c>
      <c r="E2888" s="13" t="n">
        <v>535.37</v>
      </c>
      <c r="F2888" s="13" t="s">
        <v>5288</v>
      </c>
      <c r="G2888" s="13" t="s">
        <v>5289</v>
      </c>
      <c r="H2888" s="13" t="s">
        <v>5289</v>
      </c>
      <c r="I2888" s="13" t="s">
        <v>5289</v>
      </c>
      <c r="J2888" s="13" t="s">
        <v>5289</v>
      </c>
      <c r="K2888" s="13" t="s">
        <v>5289</v>
      </c>
      <c r="L2888" s="13" t="n">
        <v>3137370359494</v>
      </c>
      <c r="M2888" s="13"/>
      <c r="N2888" s="13" t="n">
        <v>3137370359494</v>
      </c>
      <c r="O2888" s="13"/>
      <c r="P2888" s="13" t="s">
        <v>5291</v>
      </c>
      <c r="Q2888" s="13" t="s">
        <v>5289</v>
      </c>
      <c r="R2888" s="13" t="s">
        <v>5292</v>
      </c>
      <c r="S2888" s="13" t="s">
        <v>5293</v>
      </c>
      <c r="T2888" s="13" t="s">
        <v>5</v>
      </c>
      <c r="U2888" s="13" t="s">
        <v>43</v>
      </c>
      <c r="V2888" s="13" t="n">
        <f aca="false">IF(COUNTIF($B$2:B2888,B2888)=1,1,0)</f>
        <v>0</v>
      </c>
      <c r="W2888" s="13" t="n">
        <f aca="false">IF(COUNTIFS($B$2:B2888,B2888,$T$2:T2888,T2888)=1,1,0)</f>
        <v>0</v>
      </c>
    </row>
    <row r="2889" customFormat="false" ht="15" hidden="false" customHeight="false" outlineLevel="0" collapsed="false">
      <c r="A2889" s="13" t="s">
        <v>1183</v>
      </c>
      <c r="B2889" s="13" t="s">
        <v>42</v>
      </c>
      <c r="C2889" s="13" t="n">
        <v>1100</v>
      </c>
      <c r="D2889" s="13" t="n">
        <v>2</v>
      </c>
      <c r="E2889" s="13" t="n">
        <v>356.55</v>
      </c>
      <c r="F2889" s="13" t="s">
        <v>5288</v>
      </c>
      <c r="G2889" s="13" t="s">
        <v>5289</v>
      </c>
      <c r="H2889" s="13" t="s">
        <v>5292</v>
      </c>
      <c r="I2889" s="13" t="s">
        <v>5289</v>
      </c>
      <c r="J2889" s="13" t="s">
        <v>5289</v>
      </c>
      <c r="K2889" s="13" t="s">
        <v>5289</v>
      </c>
      <c r="L2889" s="13" t="n">
        <v>8411061043530</v>
      </c>
      <c r="M2889" s="13"/>
      <c r="N2889" s="13" t="n">
        <v>8411061130179</v>
      </c>
      <c r="O2889" s="13"/>
      <c r="P2889" s="13" t="s">
        <v>5291</v>
      </c>
      <c r="Q2889" s="13" t="s">
        <v>5289</v>
      </c>
      <c r="R2889" s="13" t="s">
        <v>5292</v>
      </c>
      <c r="S2889" s="13" t="s">
        <v>5293</v>
      </c>
      <c r="T2889" s="13" t="s">
        <v>5</v>
      </c>
      <c r="U2889" s="13" t="s">
        <v>43</v>
      </c>
      <c r="V2889" s="13" t="n">
        <f aca="false">IF(COUNTIF($B$2:B2889,B2889)=1,1,0)</f>
        <v>0</v>
      </c>
      <c r="W2889" s="13" t="n">
        <f aca="false">IF(COUNTIFS($B$2:B2889,B2889,$T$2:T2889,T2889)=1,1,0)</f>
        <v>0</v>
      </c>
    </row>
    <row r="2890" customFormat="false" ht="15" hidden="false" customHeight="false" outlineLevel="0" collapsed="false">
      <c r="A2890" s="13" t="s">
        <v>993</v>
      </c>
      <c r="B2890" s="13" t="s">
        <v>153</v>
      </c>
      <c r="C2890" s="13" t="n">
        <v>1100</v>
      </c>
      <c r="D2890" s="13" t="n">
        <v>2</v>
      </c>
      <c r="E2890" s="13" t="n">
        <v>533.225</v>
      </c>
      <c r="F2890" s="13" t="s">
        <v>5288</v>
      </c>
      <c r="G2890" s="13" t="s">
        <v>5289</v>
      </c>
      <c r="H2890" s="13" t="s">
        <v>5289</v>
      </c>
      <c r="I2890" s="13" t="s">
        <v>5289</v>
      </c>
      <c r="J2890" s="13" t="s">
        <v>5289</v>
      </c>
      <c r="K2890" s="13" t="s">
        <v>5289</v>
      </c>
      <c r="L2890" s="13" t="n">
        <v>8011003861224</v>
      </c>
      <c r="M2890" s="13"/>
      <c r="N2890" s="13" t="n">
        <v>8011003861224</v>
      </c>
      <c r="O2890" s="13"/>
      <c r="P2890" s="13" t="s">
        <v>5291</v>
      </c>
      <c r="Q2890" s="13" t="s">
        <v>5289</v>
      </c>
      <c r="R2890" s="13" t="s">
        <v>5292</v>
      </c>
      <c r="S2890" s="13" t="s">
        <v>5293</v>
      </c>
      <c r="T2890" s="13" t="s">
        <v>5</v>
      </c>
      <c r="U2890" s="13" t="s">
        <v>43</v>
      </c>
      <c r="V2890" s="13" t="n">
        <f aca="false">IF(COUNTIF($B$2:B2890,B2890)=1,1,0)</f>
        <v>0</v>
      </c>
      <c r="W2890" s="13" t="n">
        <f aca="false">IF(COUNTIFS($B$2:B2890,B2890,$T$2:T2890,T2890)=1,1,0)</f>
        <v>0</v>
      </c>
    </row>
    <row r="2891" customFormat="false" ht="15" hidden="false" customHeight="false" outlineLevel="0" collapsed="false">
      <c r="A2891" s="13" t="s">
        <v>747</v>
      </c>
      <c r="B2891" s="13" t="s">
        <v>124</v>
      </c>
      <c r="C2891" s="13" t="n">
        <v>1100</v>
      </c>
      <c r="D2891" s="13" t="n">
        <v>2</v>
      </c>
      <c r="E2891" s="13" t="n">
        <v>532.85</v>
      </c>
      <c r="F2891" s="13" t="s">
        <v>5288</v>
      </c>
      <c r="G2891" s="13" t="s">
        <v>5289</v>
      </c>
      <c r="H2891" s="13" t="s">
        <v>5289</v>
      </c>
      <c r="I2891" s="13" t="s">
        <v>5289</v>
      </c>
      <c r="J2891" s="13" t="s">
        <v>5289</v>
      </c>
      <c r="K2891" s="13" t="s">
        <v>5289</v>
      </c>
      <c r="L2891" s="13" t="n">
        <v>3360372058878</v>
      </c>
      <c r="M2891" s="13"/>
      <c r="N2891" s="13" t="n">
        <v>3.36037205887836E+025</v>
      </c>
      <c r="O2891" s="13"/>
      <c r="P2891" s="13" t="s">
        <v>5297</v>
      </c>
      <c r="Q2891" s="13" t="s">
        <v>5289</v>
      </c>
      <c r="R2891" s="13" t="s">
        <v>5292</v>
      </c>
      <c r="S2891" s="13" t="s">
        <v>5293</v>
      </c>
      <c r="T2891" s="13" t="s">
        <v>5</v>
      </c>
      <c r="U2891" s="13" t="s">
        <v>43</v>
      </c>
      <c r="V2891" s="13" t="n">
        <f aca="false">IF(COUNTIF($B$2:B2891,B2891)=1,1,0)</f>
        <v>0</v>
      </c>
      <c r="W2891" s="13" t="n">
        <f aca="false">IF(COUNTIFS($B$2:B2891,B2891,$T$2:T2891,T2891)=1,1,0)</f>
        <v>0</v>
      </c>
    </row>
    <row r="2892" customFormat="false" ht="15" hidden="false" customHeight="false" outlineLevel="0" collapsed="false">
      <c r="A2892" s="13" t="s">
        <v>1184</v>
      </c>
      <c r="B2892" s="13" t="s">
        <v>153</v>
      </c>
      <c r="C2892" s="13" t="n">
        <v>1100</v>
      </c>
      <c r="D2892" s="13" t="n">
        <v>2</v>
      </c>
      <c r="E2892" s="13" t="n">
        <v>355</v>
      </c>
      <c r="F2892" s="13" t="s">
        <v>5325</v>
      </c>
      <c r="G2892" s="13" t="s">
        <v>5289</v>
      </c>
      <c r="H2892" s="13" t="s">
        <v>5289</v>
      </c>
      <c r="I2892" s="13" t="s">
        <v>5289</v>
      </c>
      <c r="J2892" s="13" t="s">
        <v>5289</v>
      </c>
      <c r="K2892" s="13" t="s">
        <v>5289</v>
      </c>
      <c r="L2892" s="13" t="n">
        <v>8011003839094</v>
      </c>
      <c r="M2892" s="13"/>
      <c r="N2892" s="13" t="n">
        <v>8011003839094</v>
      </c>
      <c r="O2892" s="13"/>
      <c r="P2892" s="13" t="s">
        <v>5291</v>
      </c>
      <c r="Q2892" s="13" t="s">
        <v>5289</v>
      </c>
      <c r="R2892" s="13" t="s">
        <v>5292</v>
      </c>
      <c r="S2892" s="13" t="s">
        <v>5293</v>
      </c>
      <c r="T2892" s="13" t="s">
        <v>5</v>
      </c>
      <c r="U2892" s="13" t="s">
        <v>43</v>
      </c>
      <c r="V2892" s="13" t="n">
        <f aca="false">IF(COUNTIF($B$2:B2892,B2892)=1,1,0)</f>
        <v>0</v>
      </c>
      <c r="W2892" s="13" t="n">
        <f aca="false">IF(COUNTIFS($B$2:B2892,B2892,$T$2:T2892,T2892)=1,1,0)</f>
        <v>0</v>
      </c>
    </row>
    <row r="2893" customFormat="false" ht="15" hidden="false" customHeight="false" outlineLevel="0" collapsed="false">
      <c r="A2893" s="13" t="s">
        <v>554</v>
      </c>
      <c r="B2893" s="13" t="s">
        <v>315</v>
      </c>
      <c r="C2893" s="13" t="n">
        <v>1100</v>
      </c>
      <c r="D2893" s="13" t="n">
        <v>2</v>
      </c>
      <c r="E2893" s="13" t="n">
        <v>355</v>
      </c>
      <c r="F2893" s="13" t="s">
        <v>5288</v>
      </c>
      <c r="G2893" s="13" t="s">
        <v>5292</v>
      </c>
      <c r="H2893" s="13" t="s">
        <v>5289</v>
      </c>
      <c r="I2893" s="13" t="s">
        <v>5289</v>
      </c>
      <c r="J2893" s="13" t="s">
        <v>5289</v>
      </c>
      <c r="K2893" s="13" t="s">
        <v>5289</v>
      </c>
      <c r="L2893" s="13" t="n">
        <v>3605971512612</v>
      </c>
      <c r="M2893" s="13"/>
      <c r="N2893" s="13" t="n">
        <v>3605971512612</v>
      </c>
      <c r="O2893" s="13"/>
      <c r="P2893" s="13" t="s">
        <v>5297</v>
      </c>
      <c r="Q2893" s="13" t="s">
        <v>5289</v>
      </c>
      <c r="R2893" s="13" t="s">
        <v>5292</v>
      </c>
      <c r="S2893" s="13" t="s">
        <v>5293</v>
      </c>
      <c r="T2893" s="13" t="s">
        <v>5</v>
      </c>
      <c r="U2893" s="13" t="s">
        <v>43</v>
      </c>
      <c r="V2893" s="13" t="n">
        <f aca="false">IF(COUNTIF($B$2:B2893,B2893)=1,1,0)</f>
        <v>0</v>
      </c>
      <c r="W2893" s="13" t="n">
        <f aca="false">IF(COUNTIFS($B$2:B2893,B2893,$T$2:T2893,T2893)=1,1,0)</f>
        <v>0</v>
      </c>
    </row>
    <row r="2894" customFormat="false" ht="15" hidden="false" customHeight="false" outlineLevel="0" collapsed="false">
      <c r="A2894" s="13" t="s">
        <v>3979</v>
      </c>
      <c r="B2894" s="13" t="s">
        <v>2209</v>
      </c>
      <c r="C2894" s="13" t="n">
        <v>1100</v>
      </c>
      <c r="D2894" s="13" t="n">
        <v>2</v>
      </c>
      <c r="E2894" s="13" t="n">
        <v>264.6025</v>
      </c>
      <c r="F2894" s="13" t="s">
        <v>5288</v>
      </c>
      <c r="G2894" s="13" t="s">
        <v>5289</v>
      </c>
      <c r="H2894" s="13" t="s">
        <v>5292</v>
      </c>
      <c r="I2894" s="13" t="s">
        <v>5289</v>
      </c>
      <c r="J2894" s="13" t="s">
        <v>5289</v>
      </c>
      <c r="K2894" s="13" t="s">
        <v>5289</v>
      </c>
      <c r="L2894" s="13" t="n">
        <v>8411061129661</v>
      </c>
      <c r="M2894" s="13"/>
      <c r="N2894" s="13" t="n">
        <v>8411061129661</v>
      </c>
      <c r="O2894" s="13"/>
      <c r="P2894" s="13" t="s">
        <v>5291</v>
      </c>
      <c r="Q2894" s="13" t="s">
        <v>5289</v>
      </c>
      <c r="R2894" s="13" t="s">
        <v>5292</v>
      </c>
      <c r="S2894" s="13" t="s">
        <v>5293</v>
      </c>
      <c r="T2894" s="13" t="s">
        <v>5</v>
      </c>
      <c r="U2894" s="13" t="s">
        <v>43</v>
      </c>
      <c r="V2894" s="13" t="n">
        <f aca="false">IF(COUNTIF($B$2:B2894,B2894)=1,1,0)</f>
        <v>0</v>
      </c>
      <c r="W2894" s="13" t="n">
        <f aca="false">IF(COUNTIFS($B$2:B2894,B2894,$T$2:T2894,T2894)=1,1,0)</f>
        <v>0</v>
      </c>
    </row>
    <row r="2895" customFormat="false" ht="15" hidden="false" customHeight="false" outlineLevel="0" collapsed="false">
      <c r="A2895" s="13" t="s">
        <v>1185</v>
      </c>
      <c r="B2895" s="13" t="s">
        <v>105</v>
      </c>
      <c r="C2895" s="13" t="n">
        <v>1100</v>
      </c>
      <c r="D2895" s="13" t="n">
        <v>2</v>
      </c>
      <c r="E2895" s="13" t="n">
        <v>528.52</v>
      </c>
      <c r="F2895" s="13" t="s">
        <v>5325</v>
      </c>
      <c r="G2895" s="13" t="s">
        <v>5289</v>
      </c>
      <c r="H2895" s="13" t="s">
        <v>5289</v>
      </c>
      <c r="I2895" s="13" t="s">
        <v>5289</v>
      </c>
      <c r="J2895" s="13" t="s">
        <v>5289</v>
      </c>
      <c r="K2895" s="13" t="s">
        <v>5289</v>
      </c>
      <c r="L2895" s="13" t="n">
        <v>3614229828535</v>
      </c>
      <c r="M2895" s="13"/>
      <c r="N2895" s="13" t="n">
        <v>3614229828535</v>
      </c>
      <c r="O2895" s="13"/>
      <c r="P2895" s="13" t="s">
        <v>5291</v>
      </c>
      <c r="Q2895" s="13" t="s">
        <v>5289</v>
      </c>
      <c r="R2895" s="13" t="s">
        <v>5292</v>
      </c>
      <c r="S2895" s="13" t="s">
        <v>5293</v>
      </c>
      <c r="T2895" s="13" t="s">
        <v>5</v>
      </c>
      <c r="U2895" s="13" t="s">
        <v>43</v>
      </c>
      <c r="V2895" s="13" t="n">
        <f aca="false">IF(COUNTIF($B$2:B2895,B2895)=1,1,0)</f>
        <v>0</v>
      </c>
      <c r="W2895" s="13" t="n">
        <f aca="false">IF(COUNTIFS($B$2:B2895,B2895,$T$2:T2895,T2895)=1,1,0)</f>
        <v>0</v>
      </c>
    </row>
    <row r="2896" customFormat="false" ht="15" hidden="false" customHeight="false" outlineLevel="0" collapsed="false">
      <c r="A2896" s="13" t="s">
        <v>720</v>
      </c>
      <c r="B2896" s="13" t="s">
        <v>92</v>
      </c>
      <c r="C2896" s="13" t="n">
        <v>1100</v>
      </c>
      <c r="D2896" s="13" t="n">
        <v>2</v>
      </c>
      <c r="E2896" s="13" t="n">
        <v>526.02</v>
      </c>
      <c r="F2896" s="13" t="s">
        <v>5288</v>
      </c>
      <c r="G2896" s="13" t="s">
        <v>5289</v>
      </c>
      <c r="H2896" s="13" t="s">
        <v>5289</v>
      </c>
      <c r="I2896" s="13" t="s">
        <v>5289</v>
      </c>
      <c r="J2896" s="13" t="s">
        <v>5289</v>
      </c>
      <c r="K2896" s="13" t="s">
        <v>5289</v>
      </c>
      <c r="L2896" s="13" t="n">
        <v>3616303445560</v>
      </c>
      <c r="M2896" s="13"/>
      <c r="N2896" s="13" t="n">
        <v>3616303445560</v>
      </c>
      <c r="O2896" s="13"/>
      <c r="P2896" s="13" t="s">
        <v>5291</v>
      </c>
      <c r="Q2896" s="13" t="s">
        <v>5289</v>
      </c>
      <c r="R2896" s="13" t="s">
        <v>5292</v>
      </c>
      <c r="S2896" s="13" t="s">
        <v>5293</v>
      </c>
      <c r="T2896" s="13" t="s">
        <v>5</v>
      </c>
      <c r="U2896" s="13" t="s">
        <v>43</v>
      </c>
      <c r="V2896" s="13" t="n">
        <f aca="false">IF(COUNTIF($B$2:B2896,B2896)=1,1,0)</f>
        <v>0</v>
      </c>
      <c r="W2896" s="13" t="n">
        <f aca="false">IF(COUNTIFS($B$2:B2896,B2896,$T$2:T2896,T2896)=1,1,0)</f>
        <v>0</v>
      </c>
    </row>
    <row r="2897" customFormat="false" ht="15" hidden="false" customHeight="false" outlineLevel="0" collapsed="false">
      <c r="A2897" s="13" t="s">
        <v>1230</v>
      </c>
      <c r="B2897" s="13" t="s">
        <v>72</v>
      </c>
      <c r="C2897" s="13" t="n">
        <v>1000</v>
      </c>
      <c r="D2897" s="13" t="n">
        <v>1</v>
      </c>
      <c r="E2897" s="13" t="n">
        <v>1049.14</v>
      </c>
      <c r="F2897" s="13" t="s">
        <v>5325</v>
      </c>
      <c r="G2897" s="13" t="s">
        <v>5289</v>
      </c>
      <c r="H2897" s="13" t="s">
        <v>5292</v>
      </c>
      <c r="I2897" s="13" t="s">
        <v>5289</v>
      </c>
      <c r="J2897" s="13" t="s">
        <v>5289</v>
      </c>
      <c r="K2897" s="13" t="s">
        <v>5289</v>
      </c>
      <c r="L2897" s="13" t="n">
        <v>3614273768832</v>
      </c>
      <c r="M2897" s="13"/>
      <c r="N2897" s="13" t="n">
        <v>3614273768832</v>
      </c>
      <c r="O2897" s="13"/>
      <c r="P2897" s="13" t="s">
        <v>5291</v>
      </c>
      <c r="Q2897" s="13" t="s">
        <v>5289</v>
      </c>
      <c r="R2897" s="13" t="s">
        <v>5292</v>
      </c>
      <c r="S2897" s="13" t="s">
        <v>5293</v>
      </c>
      <c r="T2897" s="13" t="s">
        <v>5</v>
      </c>
      <c r="U2897" s="13" t="s">
        <v>43</v>
      </c>
      <c r="V2897" s="13" t="n">
        <f aca="false">IF(COUNTIF($B$2:B2897,B2897)=1,1,0)</f>
        <v>0</v>
      </c>
      <c r="W2897" s="13" t="n">
        <f aca="false">IF(COUNTIFS($B$2:B2897,B2897,$T$2:T2897,T2897)=1,1,0)</f>
        <v>0</v>
      </c>
    </row>
    <row r="2898" customFormat="false" ht="15" hidden="false" customHeight="false" outlineLevel="0" collapsed="false">
      <c r="A2898" s="13" t="s">
        <v>1203</v>
      </c>
      <c r="B2898" s="13" t="s">
        <v>124</v>
      </c>
      <c r="C2898" s="13" t="n">
        <v>1000</v>
      </c>
      <c r="D2898" s="13" t="n">
        <v>2</v>
      </c>
      <c r="E2898" s="13" t="n">
        <v>524.13</v>
      </c>
      <c r="F2898" s="13" t="s">
        <v>5325</v>
      </c>
      <c r="G2898" s="13" t="s">
        <v>5289</v>
      </c>
      <c r="H2898" s="13" t="s">
        <v>5292</v>
      </c>
      <c r="I2898" s="13" t="s">
        <v>5289</v>
      </c>
      <c r="J2898" s="13" t="s">
        <v>5289</v>
      </c>
      <c r="K2898" s="13" t="s">
        <v>5289</v>
      </c>
      <c r="L2898" s="13" t="n">
        <v>3605522040588</v>
      </c>
      <c r="M2898" s="13"/>
      <c r="N2898" s="13" t="n">
        <v>3605522040588</v>
      </c>
      <c r="O2898" s="13"/>
      <c r="P2898" s="13" t="s">
        <v>5291</v>
      </c>
      <c r="Q2898" s="13" t="s">
        <v>5289</v>
      </c>
      <c r="R2898" s="13" t="s">
        <v>5292</v>
      </c>
      <c r="S2898" s="13" t="s">
        <v>5293</v>
      </c>
      <c r="T2898" s="13" t="s">
        <v>5</v>
      </c>
      <c r="U2898" s="13" t="s">
        <v>43</v>
      </c>
      <c r="V2898" s="13" t="n">
        <f aca="false">IF(COUNTIF($B$2:B2898,B2898)=1,1,0)</f>
        <v>0</v>
      </c>
      <c r="W2898" s="13" t="n">
        <f aca="false">IF(COUNTIFS($B$2:B2898,B2898,$T$2:T2898,T2898)=1,1,0)</f>
        <v>0</v>
      </c>
    </row>
    <row r="2899" customFormat="false" ht="15" hidden="false" customHeight="false" outlineLevel="0" collapsed="false">
      <c r="A2899" s="13" t="s">
        <v>1233</v>
      </c>
      <c r="B2899" s="13" t="s">
        <v>195</v>
      </c>
      <c r="C2899" s="13" t="n">
        <v>1000</v>
      </c>
      <c r="D2899" s="13" t="n">
        <v>2</v>
      </c>
      <c r="E2899" s="13" t="n">
        <v>523.9</v>
      </c>
      <c r="F2899" s="13" t="s">
        <v>5325</v>
      </c>
      <c r="G2899" s="13" t="s">
        <v>5292</v>
      </c>
      <c r="H2899" s="13" t="s">
        <v>5292</v>
      </c>
      <c r="I2899" s="13" t="s">
        <v>5289</v>
      </c>
      <c r="J2899" s="13" t="s">
        <v>5289</v>
      </c>
      <c r="K2899" s="13" t="s">
        <v>5289</v>
      </c>
      <c r="L2899" s="13" t="n">
        <v>3616301975748</v>
      </c>
      <c r="M2899" s="13"/>
      <c r="N2899" s="13" t="n">
        <v>3616301975748</v>
      </c>
      <c r="O2899" s="13"/>
      <c r="P2899" s="13" t="s">
        <v>5291</v>
      </c>
      <c r="Q2899" s="13" t="s">
        <v>5289</v>
      </c>
      <c r="R2899" s="13" t="s">
        <v>5292</v>
      </c>
      <c r="S2899" s="13" t="s">
        <v>5293</v>
      </c>
      <c r="T2899" s="13" t="s">
        <v>5</v>
      </c>
      <c r="U2899" s="13" t="s">
        <v>43</v>
      </c>
      <c r="V2899" s="13" t="n">
        <f aca="false">IF(COUNTIF($B$2:B2899,B2899)=1,1,0)</f>
        <v>0</v>
      </c>
      <c r="W2899" s="13" t="n">
        <f aca="false">IF(COUNTIFS($B$2:B2899,B2899,$T$2:T2899,T2899)=1,1,0)</f>
        <v>0</v>
      </c>
    </row>
    <row r="2900" customFormat="false" ht="15" hidden="false" customHeight="false" outlineLevel="0" collapsed="false">
      <c r="A2900" s="13" t="s">
        <v>1214</v>
      </c>
      <c r="B2900" s="13" t="s">
        <v>92</v>
      </c>
      <c r="C2900" s="13" t="n">
        <v>1000</v>
      </c>
      <c r="D2900" s="13" t="n">
        <v>2</v>
      </c>
      <c r="E2900" s="13" t="n">
        <v>523.8</v>
      </c>
      <c r="F2900" s="13" t="s">
        <v>5325</v>
      </c>
      <c r="G2900" s="13" t="s">
        <v>5289</v>
      </c>
      <c r="H2900" s="13" t="s">
        <v>5292</v>
      </c>
      <c r="I2900" s="13" t="s">
        <v>5289</v>
      </c>
      <c r="J2900" s="13" t="s">
        <v>5289</v>
      </c>
      <c r="K2900" s="13" t="s">
        <v>5289</v>
      </c>
      <c r="L2900" s="13"/>
      <c r="M2900" s="13"/>
      <c r="N2900" s="13" t="n">
        <v>3616302038312</v>
      </c>
      <c r="O2900" s="13"/>
      <c r="P2900" s="13" t="s">
        <v>5291</v>
      </c>
      <c r="Q2900" s="13" t="s">
        <v>5289</v>
      </c>
      <c r="R2900" s="13" t="s">
        <v>5292</v>
      </c>
      <c r="S2900" s="13" t="s">
        <v>5293</v>
      </c>
      <c r="T2900" s="13" t="s">
        <v>5</v>
      </c>
      <c r="U2900" s="13" t="s">
        <v>43</v>
      </c>
      <c r="V2900" s="13" t="n">
        <f aca="false">IF(COUNTIF($B$2:B2900,B2900)=1,1,0)</f>
        <v>0</v>
      </c>
      <c r="W2900" s="13" t="n">
        <f aca="false">IF(COUNTIFS($B$2:B2900,B2900,$T$2:T2900,T2900)=1,1,0)</f>
        <v>0</v>
      </c>
    </row>
    <row r="2901" customFormat="false" ht="15" hidden="false" customHeight="false" outlineLevel="0" collapsed="false">
      <c r="A2901" s="13" t="s">
        <v>1215</v>
      </c>
      <c r="B2901" s="13" t="s">
        <v>61</v>
      </c>
      <c r="C2901" s="13" t="n">
        <v>1000</v>
      </c>
      <c r="D2901" s="13" t="n">
        <v>1</v>
      </c>
      <c r="E2901" s="13" t="n">
        <v>1047.12</v>
      </c>
      <c r="F2901" s="13" t="s">
        <v>5325</v>
      </c>
      <c r="G2901" s="13" t="s">
        <v>5289</v>
      </c>
      <c r="H2901" s="13" t="s">
        <v>5289</v>
      </c>
      <c r="I2901" s="13" t="s">
        <v>5289</v>
      </c>
      <c r="J2901" s="13" t="s">
        <v>5289</v>
      </c>
      <c r="K2901" s="13" t="s">
        <v>5289</v>
      </c>
      <c r="L2901" s="13" t="n">
        <v>3614272860377</v>
      </c>
      <c r="M2901" s="13"/>
      <c r="N2901" s="13" t="n">
        <v>3614272860377</v>
      </c>
      <c r="O2901" s="13"/>
      <c r="P2901" s="13" t="s">
        <v>5291</v>
      </c>
      <c r="Q2901" s="13" t="s">
        <v>5289</v>
      </c>
      <c r="R2901" s="13" t="s">
        <v>5292</v>
      </c>
      <c r="S2901" s="13" t="s">
        <v>5293</v>
      </c>
      <c r="T2901" s="13" t="s">
        <v>5</v>
      </c>
      <c r="U2901" s="13" t="s">
        <v>43</v>
      </c>
      <c r="V2901" s="13" t="n">
        <f aca="false">IF(COUNTIF($B$2:B2901,B2901)=1,1,0)</f>
        <v>0</v>
      </c>
      <c r="W2901" s="13" t="n">
        <f aca="false">IF(COUNTIFS($B$2:B2901,B2901,$T$2:T2901,T2901)=1,1,0)</f>
        <v>0</v>
      </c>
    </row>
    <row r="2902" customFormat="false" ht="15" hidden="false" customHeight="false" outlineLevel="0" collapsed="false">
      <c r="A2902" s="13" t="s">
        <v>1216</v>
      </c>
      <c r="B2902" s="13" t="s">
        <v>229</v>
      </c>
      <c r="C2902" s="13" t="n">
        <v>1000</v>
      </c>
      <c r="D2902" s="13" t="n">
        <v>5</v>
      </c>
      <c r="E2902" s="13" t="n">
        <v>115.95</v>
      </c>
      <c r="F2902" s="13" t="s">
        <v>5325</v>
      </c>
      <c r="G2902" s="13" t="s">
        <v>5289</v>
      </c>
      <c r="H2902" s="13" t="s">
        <v>5289</v>
      </c>
      <c r="I2902" s="13" t="s">
        <v>5289</v>
      </c>
      <c r="J2902" s="13" t="s">
        <v>5289</v>
      </c>
      <c r="K2902" s="13" t="s">
        <v>5289</v>
      </c>
      <c r="L2902" s="13" t="n">
        <v>3414202000510</v>
      </c>
      <c r="M2902" s="13"/>
      <c r="N2902" s="13" t="n">
        <v>3414202000510</v>
      </c>
      <c r="O2902" s="13"/>
      <c r="P2902" s="13" t="s">
        <v>5291</v>
      </c>
      <c r="Q2902" s="13" t="s">
        <v>5289</v>
      </c>
      <c r="R2902" s="13" t="s">
        <v>5292</v>
      </c>
      <c r="S2902" s="13" t="s">
        <v>5293</v>
      </c>
      <c r="T2902" s="13" t="s">
        <v>5</v>
      </c>
      <c r="U2902" s="13" t="s">
        <v>43</v>
      </c>
      <c r="V2902" s="13" t="n">
        <f aca="false">IF(COUNTIF($B$2:B2902,B2902)=1,1,0)</f>
        <v>0</v>
      </c>
      <c r="W2902" s="13" t="n">
        <f aca="false">IF(COUNTIFS($B$2:B2902,B2902,$T$2:T2902,T2902)=1,1,0)</f>
        <v>0</v>
      </c>
    </row>
    <row r="2903" customFormat="false" ht="15" hidden="false" customHeight="false" outlineLevel="0" collapsed="false">
      <c r="A2903" s="13" t="s">
        <v>5730</v>
      </c>
      <c r="B2903" s="13" t="s">
        <v>2110</v>
      </c>
      <c r="C2903" s="13" t="n">
        <v>1000</v>
      </c>
      <c r="D2903" s="13" t="n">
        <v>2</v>
      </c>
      <c r="E2903" s="13" t="n">
        <v>521.68</v>
      </c>
      <c r="F2903" s="13" t="s">
        <v>5325</v>
      </c>
      <c r="G2903" s="13" t="s">
        <v>5289</v>
      </c>
      <c r="H2903" s="13" t="s">
        <v>5289</v>
      </c>
      <c r="I2903" s="13" t="s">
        <v>5289</v>
      </c>
      <c r="J2903" s="13" t="s">
        <v>5289</v>
      </c>
      <c r="K2903" s="13" t="s">
        <v>5289</v>
      </c>
      <c r="L2903" s="13" t="n">
        <v>737052413174</v>
      </c>
      <c r="M2903" s="13"/>
      <c r="N2903" s="13" t="n">
        <v>3386460149082</v>
      </c>
      <c r="O2903" s="13"/>
      <c r="P2903" s="13" t="s">
        <v>5291</v>
      </c>
      <c r="Q2903" s="13" t="s">
        <v>5289</v>
      </c>
      <c r="R2903" s="13" t="s">
        <v>5292</v>
      </c>
      <c r="S2903" s="13" t="s">
        <v>5293</v>
      </c>
      <c r="T2903" s="13" t="s">
        <v>5</v>
      </c>
      <c r="U2903" s="13" t="s">
        <v>43</v>
      </c>
      <c r="V2903" s="13" t="n">
        <f aca="false">IF(COUNTIF($B$2:B2903,B2903)=1,1,0)</f>
        <v>0</v>
      </c>
      <c r="W2903" s="13" t="n">
        <f aca="false">IF(COUNTIFS($B$2:B2903,B2903,$T$2:T2903,T2903)=1,1,0)</f>
        <v>0</v>
      </c>
    </row>
    <row r="2904" customFormat="false" ht="15" hidden="false" customHeight="false" outlineLevel="0" collapsed="false">
      <c r="A2904" s="13" t="s">
        <v>1217</v>
      </c>
      <c r="B2904" s="13" t="s">
        <v>50</v>
      </c>
      <c r="C2904" s="13" t="n">
        <v>1000</v>
      </c>
      <c r="D2904" s="13" t="n">
        <v>2</v>
      </c>
      <c r="E2904" s="13" t="n">
        <v>520.99</v>
      </c>
      <c r="F2904" s="13" t="s">
        <v>5325</v>
      </c>
      <c r="G2904" s="13" t="s">
        <v>5289</v>
      </c>
      <c r="H2904" s="13" t="s">
        <v>5289</v>
      </c>
      <c r="I2904" s="13" t="s">
        <v>5289</v>
      </c>
      <c r="J2904" s="13" t="s">
        <v>5289</v>
      </c>
      <c r="K2904" s="13" t="s">
        <v>5289</v>
      </c>
      <c r="L2904" s="13" t="n">
        <v>3349668612598</v>
      </c>
      <c r="M2904" s="13"/>
      <c r="N2904" s="13" t="n">
        <v>3.34966600789134E+025</v>
      </c>
      <c r="O2904" s="13"/>
      <c r="P2904" s="13" t="s">
        <v>5291</v>
      </c>
      <c r="Q2904" s="13" t="s">
        <v>5289</v>
      </c>
      <c r="R2904" s="13" t="s">
        <v>5292</v>
      </c>
      <c r="S2904" s="13" t="s">
        <v>5293</v>
      </c>
      <c r="T2904" s="13" t="s">
        <v>5</v>
      </c>
      <c r="U2904" s="13" t="s">
        <v>43</v>
      </c>
      <c r="V2904" s="13" t="n">
        <f aca="false">IF(COUNTIF($B$2:B2904,B2904)=1,1,0)</f>
        <v>0</v>
      </c>
      <c r="W2904" s="13" t="n">
        <f aca="false">IF(COUNTIFS($B$2:B2904,B2904,$T$2:T2904,T2904)=1,1,0)</f>
        <v>0</v>
      </c>
    </row>
    <row r="2905" customFormat="false" ht="15" hidden="false" customHeight="false" outlineLevel="0" collapsed="false">
      <c r="A2905" s="13" t="s">
        <v>1218</v>
      </c>
      <c r="B2905" s="13" t="s">
        <v>54</v>
      </c>
      <c r="C2905" s="13" t="n">
        <v>1000</v>
      </c>
      <c r="D2905" s="13" t="n">
        <v>2</v>
      </c>
      <c r="E2905" s="13" t="n">
        <v>347.283333333333</v>
      </c>
      <c r="F2905" s="13" t="s">
        <v>5325</v>
      </c>
      <c r="G2905" s="13" t="s">
        <v>5289</v>
      </c>
      <c r="H2905" s="13" t="s">
        <v>5289</v>
      </c>
      <c r="I2905" s="13" t="s">
        <v>5289</v>
      </c>
      <c r="J2905" s="13" t="s">
        <v>5289</v>
      </c>
      <c r="K2905" s="13" t="s">
        <v>5289</v>
      </c>
      <c r="L2905" s="13" t="n">
        <v>730852167629</v>
      </c>
      <c r="M2905" s="13"/>
      <c r="N2905" s="13" t="n">
        <v>730852167629</v>
      </c>
      <c r="O2905" s="13"/>
      <c r="P2905" s="13" t="s">
        <v>5291</v>
      </c>
      <c r="Q2905" s="13" t="s">
        <v>5289</v>
      </c>
      <c r="R2905" s="13" t="s">
        <v>5292</v>
      </c>
      <c r="S2905" s="13" t="s">
        <v>5293</v>
      </c>
      <c r="T2905" s="13" t="s">
        <v>5</v>
      </c>
      <c r="U2905" s="13" t="s">
        <v>43</v>
      </c>
      <c r="V2905" s="13" t="n">
        <f aca="false">IF(COUNTIF($B$2:B2905,B2905)=1,1,0)</f>
        <v>0</v>
      </c>
      <c r="W2905" s="13" t="n">
        <f aca="false">IF(COUNTIFS($B$2:B2905,B2905,$T$2:T2905,T2905)=1,1,0)</f>
        <v>0</v>
      </c>
    </row>
    <row r="2906" customFormat="false" ht="15" hidden="false" customHeight="false" outlineLevel="0" collapsed="false">
      <c r="A2906" s="13" t="s">
        <v>800</v>
      </c>
      <c r="B2906" s="13" t="s">
        <v>61</v>
      </c>
      <c r="C2906" s="13" t="n">
        <v>1000</v>
      </c>
      <c r="D2906" s="13" t="n">
        <v>1</v>
      </c>
      <c r="E2906" s="13" t="n">
        <v>1039.08</v>
      </c>
      <c r="F2906" s="13" t="s">
        <v>5325</v>
      </c>
      <c r="G2906" s="13" t="s">
        <v>5289</v>
      </c>
      <c r="H2906" s="13" t="s">
        <v>5289</v>
      </c>
      <c r="I2906" s="13" t="s">
        <v>5289</v>
      </c>
      <c r="J2906" s="13" t="s">
        <v>5289</v>
      </c>
      <c r="K2906" s="13" t="s">
        <v>5289</v>
      </c>
      <c r="L2906" s="13" t="n">
        <v>3614270754074</v>
      </c>
      <c r="M2906" s="13"/>
      <c r="N2906" s="13" t="n">
        <v>3614270754074</v>
      </c>
      <c r="O2906" s="13"/>
      <c r="P2906" s="13" t="s">
        <v>5291</v>
      </c>
      <c r="Q2906" s="13" t="s">
        <v>5289</v>
      </c>
      <c r="R2906" s="13" t="s">
        <v>5292</v>
      </c>
      <c r="S2906" s="13" t="s">
        <v>5293</v>
      </c>
      <c r="T2906" s="13" t="s">
        <v>5</v>
      </c>
      <c r="U2906" s="13" t="s">
        <v>43</v>
      </c>
      <c r="V2906" s="13" t="n">
        <f aca="false">IF(COUNTIF($B$2:B2906,B2906)=1,1,0)</f>
        <v>0</v>
      </c>
      <c r="W2906" s="13" t="n">
        <f aca="false">IF(COUNTIFS($B$2:B2906,B2906,$T$2:T2906,T2906)=1,1,0)</f>
        <v>0</v>
      </c>
    </row>
    <row r="2907" customFormat="false" ht="15" hidden="false" customHeight="false" outlineLevel="0" collapsed="false">
      <c r="A2907" s="13" t="s">
        <v>1213</v>
      </c>
      <c r="B2907" s="13" t="s">
        <v>69</v>
      </c>
      <c r="C2907" s="13" t="n">
        <v>1000</v>
      </c>
      <c r="D2907" s="13" t="n">
        <v>1</v>
      </c>
      <c r="E2907" s="13" t="n">
        <v>1039.08</v>
      </c>
      <c r="F2907" s="13" t="s">
        <v>5325</v>
      </c>
      <c r="G2907" s="13" t="s">
        <v>5289</v>
      </c>
      <c r="H2907" s="13" t="s">
        <v>5289</v>
      </c>
      <c r="I2907" s="13" t="s">
        <v>5289</v>
      </c>
      <c r="J2907" s="13" t="s">
        <v>5289</v>
      </c>
      <c r="K2907" s="13" t="s">
        <v>5289</v>
      </c>
      <c r="L2907" s="13" t="n">
        <v>3614274521238</v>
      </c>
      <c r="M2907" s="13"/>
      <c r="N2907" s="13" t="n">
        <v>3614274521238</v>
      </c>
      <c r="O2907" s="13"/>
      <c r="P2907" s="13" t="s">
        <v>5297</v>
      </c>
      <c r="Q2907" s="13" t="s">
        <v>5289</v>
      </c>
      <c r="R2907" s="13" t="s">
        <v>5292</v>
      </c>
      <c r="S2907" s="13" t="s">
        <v>5293</v>
      </c>
      <c r="T2907" s="13" t="s">
        <v>5</v>
      </c>
      <c r="U2907" s="13" t="s">
        <v>43</v>
      </c>
      <c r="V2907" s="13" t="n">
        <f aca="false">IF(COUNTIF($B$2:B2907,B2907)=1,1,0)</f>
        <v>0</v>
      </c>
      <c r="W2907" s="13" t="n">
        <f aca="false">IF(COUNTIFS($B$2:B2907,B2907,$T$2:T2907,T2907)=1,1,0)</f>
        <v>0</v>
      </c>
    </row>
    <row r="2908" customFormat="false" ht="15" hidden="false" customHeight="false" outlineLevel="0" collapsed="false">
      <c r="A2908" s="13" t="s">
        <v>593</v>
      </c>
      <c r="B2908" s="13" t="s">
        <v>153</v>
      </c>
      <c r="C2908" s="13" t="n">
        <v>1000</v>
      </c>
      <c r="D2908" s="13" t="n">
        <v>2</v>
      </c>
      <c r="E2908" s="13" t="n">
        <v>519</v>
      </c>
      <c r="F2908" s="13" t="s">
        <v>5325</v>
      </c>
      <c r="G2908" s="13" t="s">
        <v>5292</v>
      </c>
      <c r="H2908" s="13" t="s">
        <v>5289</v>
      </c>
      <c r="I2908" s="13" t="s">
        <v>5289</v>
      </c>
      <c r="J2908" s="13" t="s">
        <v>5289</v>
      </c>
      <c r="K2908" s="13" t="s">
        <v>5289</v>
      </c>
      <c r="L2908" s="13" t="n">
        <v>8018365500037</v>
      </c>
      <c r="M2908" s="13"/>
      <c r="N2908" s="13" t="n">
        <v>8018365500037</v>
      </c>
      <c r="O2908" s="13"/>
      <c r="P2908" s="13" t="s">
        <v>5291</v>
      </c>
      <c r="Q2908" s="13" t="s">
        <v>5289</v>
      </c>
      <c r="R2908" s="13" t="s">
        <v>5292</v>
      </c>
      <c r="S2908" s="13" t="s">
        <v>5293</v>
      </c>
      <c r="T2908" s="13" t="s">
        <v>5</v>
      </c>
      <c r="U2908" s="13" t="s">
        <v>43</v>
      </c>
      <c r="V2908" s="13" t="n">
        <f aca="false">IF(COUNTIF($B$2:B2908,B2908)=1,1,0)</f>
        <v>0</v>
      </c>
      <c r="W2908" s="13" t="n">
        <f aca="false">IF(COUNTIFS($B$2:B2908,B2908,$T$2:T2908,T2908)=1,1,0)</f>
        <v>0</v>
      </c>
    </row>
    <row r="2909" customFormat="false" ht="15" hidden="false" customHeight="false" outlineLevel="0" collapsed="false">
      <c r="A2909" s="13" t="s">
        <v>95</v>
      </c>
      <c r="B2909" s="13" t="s">
        <v>50</v>
      </c>
      <c r="C2909" s="13" t="n">
        <v>1000</v>
      </c>
      <c r="D2909" s="13" t="n">
        <v>2</v>
      </c>
      <c r="E2909" s="13" t="n">
        <v>517.99</v>
      </c>
      <c r="F2909" s="13" t="s">
        <v>5288</v>
      </c>
      <c r="G2909" s="13" t="s">
        <v>5289</v>
      </c>
      <c r="H2909" s="13" t="s">
        <v>5289</v>
      </c>
      <c r="I2909" s="13" t="s">
        <v>5289</v>
      </c>
      <c r="J2909" s="13" t="s">
        <v>5289</v>
      </c>
      <c r="K2909" s="13" t="s">
        <v>5289</v>
      </c>
      <c r="L2909" s="13" t="n">
        <v>3349668612635</v>
      </c>
      <c r="M2909" s="13"/>
      <c r="N2909" s="13" t="n">
        <v>3.34966852867734E+025</v>
      </c>
      <c r="O2909" s="13"/>
      <c r="P2909" s="13" t="s">
        <v>5291</v>
      </c>
      <c r="Q2909" s="13" t="s">
        <v>5289</v>
      </c>
      <c r="R2909" s="13" t="s">
        <v>5292</v>
      </c>
      <c r="S2909" s="13" t="s">
        <v>5293</v>
      </c>
      <c r="T2909" s="13" t="s">
        <v>5</v>
      </c>
      <c r="U2909" s="13" t="s">
        <v>43</v>
      </c>
      <c r="V2909" s="13" t="n">
        <f aca="false">IF(COUNTIF($B$2:B2909,B2909)=1,1,0)</f>
        <v>0</v>
      </c>
      <c r="W2909" s="13" t="n">
        <f aca="false">IF(COUNTIFS($B$2:B2909,B2909,$T$2:T2909,T2909)=1,1,0)</f>
        <v>0</v>
      </c>
    </row>
    <row r="2910" customFormat="false" ht="15" hidden="false" customHeight="false" outlineLevel="0" collapsed="false">
      <c r="A2910" s="13" t="s">
        <v>3817</v>
      </c>
      <c r="B2910" s="13" t="s">
        <v>2208</v>
      </c>
      <c r="C2910" s="13" t="n">
        <v>1000</v>
      </c>
      <c r="D2910" s="13" t="n">
        <v>5</v>
      </c>
      <c r="E2910" s="13" t="n">
        <v>114.696666666667</v>
      </c>
      <c r="F2910" s="13" t="s">
        <v>5325</v>
      </c>
      <c r="G2910" s="13" t="s">
        <v>5289</v>
      </c>
      <c r="H2910" s="13" t="s">
        <v>5289</v>
      </c>
      <c r="I2910" s="13" t="s">
        <v>5289</v>
      </c>
      <c r="J2910" s="13" t="s">
        <v>5289</v>
      </c>
      <c r="K2910" s="13" t="s">
        <v>5289</v>
      </c>
      <c r="L2910" s="13"/>
      <c r="M2910" s="13"/>
      <c r="N2910" s="13" t="n">
        <v>3616303462062</v>
      </c>
      <c r="O2910" s="13"/>
      <c r="P2910" s="13" t="s">
        <v>5291</v>
      </c>
      <c r="Q2910" s="13" t="s">
        <v>5289</v>
      </c>
      <c r="R2910" s="13" t="s">
        <v>5292</v>
      </c>
      <c r="S2910" s="13" t="s">
        <v>5293</v>
      </c>
      <c r="T2910" s="13" t="s">
        <v>5</v>
      </c>
      <c r="U2910" s="13" t="s">
        <v>43</v>
      </c>
      <c r="V2910" s="13" t="n">
        <f aca="false">IF(COUNTIF($B$2:B2910,B2910)=1,1,0)</f>
        <v>1</v>
      </c>
      <c r="W2910" s="13" t="n">
        <f aca="false">IF(COUNTIFS($B$2:B2910,B2910,$T$2:T2910,T2910)=1,1,0)</f>
        <v>1</v>
      </c>
    </row>
    <row r="2911" customFormat="false" ht="15" hidden="false" customHeight="false" outlineLevel="0" collapsed="false">
      <c r="A2911" s="13" t="s">
        <v>842</v>
      </c>
      <c r="B2911" s="13" t="s">
        <v>2118</v>
      </c>
      <c r="C2911" s="13" t="n">
        <v>1000</v>
      </c>
      <c r="D2911" s="13" t="n">
        <v>1</v>
      </c>
      <c r="E2911" s="13" t="n">
        <v>1029.12</v>
      </c>
      <c r="F2911" s="13" t="s">
        <v>5325</v>
      </c>
      <c r="G2911" s="13" t="s">
        <v>5289</v>
      </c>
      <c r="H2911" s="13" t="s">
        <v>5292</v>
      </c>
      <c r="I2911" s="13" t="s">
        <v>5289</v>
      </c>
      <c r="J2911" s="13" t="s">
        <v>5289</v>
      </c>
      <c r="K2911" s="13" t="s">
        <v>5289</v>
      </c>
      <c r="L2911" s="13" t="n">
        <v>3614274329391</v>
      </c>
      <c r="M2911" s="13"/>
      <c r="N2911" s="13" t="n">
        <v>3614274329391</v>
      </c>
      <c r="O2911" s="13"/>
      <c r="P2911" s="13" t="s">
        <v>5291</v>
      </c>
      <c r="Q2911" s="13" t="s">
        <v>5289</v>
      </c>
      <c r="R2911" s="13" t="s">
        <v>5292</v>
      </c>
      <c r="S2911" s="13" t="s">
        <v>5293</v>
      </c>
      <c r="T2911" s="13" t="s">
        <v>5</v>
      </c>
      <c r="U2911" s="13" t="s">
        <v>43</v>
      </c>
      <c r="V2911" s="13" t="n">
        <f aca="false">IF(COUNTIF($B$2:B2911,B2911)=1,1,0)</f>
        <v>0</v>
      </c>
      <c r="W2911" s="13" t="n">
        <f aca="false">IF(COUNTIFS($B$2:B2911,B2911,$T$2:T2911,T2911)=1,1,0)</f>
        <v>0</v>
      </c>
    </row>
    <row r="2912" customFormat="false" ht="15" hidden="false" customHeight="false" outlineLevel="0" collapsed="false">
      <c r="A2912" s="13" t="s">
        <v>137</v>
      </c>
      <c r="B2912" s="13" t="s">
        <v>42</v>
      </c>
      <c r="C2912" s="13" t="n">
        <v>1000</v>
      </c>
      <c r="D2912" s="13" t="n">
        <v>1</v>
      </c>
      <c r="E2912" s="13" t="n">
        <v>1028.85</v>
      </c>
      <c r="F2912" s="13" t="s">
        <v>5325</v>
      </c>
      <c r="G2912" s="13" t="s">
        <v>5289</v>
      </c>
      <c r="H2912" s="13" t="s">
        <v>5289</v>
      </c>
      <c r="I2912" s="13" t="s">
        <v>5289</v>
      </c>
      <c r="J2912" s="13" t="s">
        <v>5289</v>
      </c>
      <c r="K2912" s="13" t="s">
        <v>5292</v>
      </c>
      <c r="L2912" s="13"/>
      <c r="M2912" s="13"/>
      <c r="N2912" s="13" t="n">
        <v>8411061077160</v>
      </c>
      <c r="O2912" s="13"/>
      <c r="P2912" s="13" t="s">
        <v>5291</v>
      </c>
      <c r="Q2912" s="13" t="s">
        <v>5289</v>
      </c>
      <c r="R2912" s="13" t="s">
        <v>5292</v>
      </c>
      <c r="S2912" s="13" t="s">
        <v>5293</v>
      </c>
      <c r="T2912" s="13" t="s">
        <v>5</v>
      </c>
      <c r="U2912" s="13" t="s">
        <v>43</v>
      </c>
      <c r="V2912" s="13" t="n">
        <f aca="false">IF(COUNTIF($B$2:B2912,B2912)=1,1,0)</f>
        <v>0</v>
      </c>
      <c r="W2912" s="13" t="n">
        <f aca="false">IF(COUNTIFS($B$2:B2912,B2912,$T$2:T2912,T2912)=1,1,0)</f>
        <v>0</v>
      </c>
    </row>
    <row r="2913" customFormat="false" ht="15" hidden="false" customHeight="false" outlineLevel="0" collapsed="false">
      <c r="A2913" s="13" t="s">
        <v>1234</v>
      </c>
      <c r="B2913" s="13" t="s">
        <v>50</v>
      </c>
      <c r="C2913" s="13" t="n">
        <v>1000</v>
      </c>
      <c r="D2913" s="13" t="n">
        <v>1</v>
      </c>
      <c r="E2913" s="13" t="n">
        <v>1028.85</v>
      </c>
      <c r="F2913" s="13" t="s">
        <v>5325</v>
      </c>
      <c r="G2913" s="13" t="s">
        <v>5289</v>
      </c>
      <c r="H2913" s="13" t="s">
        <v>5289</v>
      </c>
      <c r="I2913" s="13" t="s">
        <v>5289</v>
      </c>
      <c r="J2913" s="13" t="s">
        <v>5289</v>
      </c>
      <c r="K2913" s="13" t="s">
        <v>5292</v>
      </c>
      <c r="L2913" s="13"/>
      <c r="M2913" s="13"/>
      <c r="N2913" s="13" t="n">
        <v>3349668614660</v>
      </c>
      <c r="O2913" s="13"/>
      <c r="P2913" s="13" t="s">
        <v>5291</v>
      </c>
      <c r="Q2913" s="13" t="s">
        <v>5289</v>
      </c>
      <c r="R2913" s="13" t="s">
        <v>5292</v>
      </c>
      <c r="S2913" s="13" t="s">
        <v>5293</v>
      </c>
      <c r="T2913" s="13" t="s">
        <v>5</v>
      </c>
      <c r="U2913" s="13" t="s">
        <v>43</v>
      </c>
      <c r="V2913" s="13" t="n">
        <f aca="false">IF(COUNTIF($B$2:B2913,B2913)=1,1,0)</f>
        <v>0</v>
      </c>
      <c r="W2913" s="13" t="n">
        <f aca="false">IF(COUNTIFS($B$2:B2913,B2913,$T$2:T2913,T2913)=1,1,0)</f>
        <v>0</v>
      </c>
    </row>
    <row r="2914" customFormat="false" ht="15" hidden="false" customHeight="false" outlineLevel="0" collapsed="false">
      <c r="A2914" s="13" t="s">
        <v>3923</v>
      </c>
      <c r="B2914" s="13" t="s">
        <v>2201</v>
      </c>
      <c r="C2914" s="13" t="n">
        <v>1000</v>
      </c>
      <c r="D2914" s="13" t="n">
        <v>5</v>
      </c>
      <c r="E2914" s="13" t="n">
        <v>205.51</v>
      </c>
      <c r="F2914" s="13" t="s">
        <v>5288</v>
      </c>
      <c r="G2914" s="13" t="s">
        <v>5292</v>
      </c>
      <c r="H2914" s="13" t="s">
        <v>5289</v>
      </c>
      <c r="I2914" s="13" t="s">
        <v>5289</v>
      </c>
      <c r="J2914" s="13" t="s">
        <v>5289</v>
      </c>
      <c r="K2914" s="13" t="s">
        <v>5289</v>
      </c>
      <c r="L2914" s="13" t="n">
        <v>3253581756454</v>
      </c>
      <c r="M2914" s="13"/>
      <c r="N2914" s="13" t="n">
        <v>3253581756454</v>
      </c>
      <c r="O2914" s="13"/>
      <c r="P2914" s="13" t="s">
        <v>5291</v>
      </c>
      <c r="Q2914" s="13" t="s">
        <v>5289</v>
      </c>
      <c r="R2914" s="13" t="s">
        <v>5292</v>
      </c>
      <c r="S2914" s="13" t="s">
        <v>5293</v>
      </c>
      <c r="T2914" s="13" t="s">
        <v>5</v>
      </c>
      <c r="U2914" s="13" t="s">
        <v>43</v>
      </c>
      <c r="V2914" s="13" t="n">
        <f aca="false">IF(COUNTIF($B$2:B2914,B2914)=1,1,0)</f>
        <v>1</v>
      </c>
      <c r="W2914" s="13" t="n">
        <f aca="false">IF(COUNTIFS($B$2:B2914,B2914,$T$2:T2914,T2914)=1,1,0)</f>
        <v>1</v>
      </c>
    </row>
    <row r="2915" customFormat="false" ht="15" hidden="false" customHeight="false" outlineLevel="0" collapsed="false">
      <c r="A2915" s="13" t="s">
        <v>1235</v>
      </c>
      <c r="B2915" s="13" t="s">
        <v>490</v>
      </c>
      <c r="C2915" s="13" t="n">
        <v>1000</v>
      </c>
      <c r="D2915" s="13" t="n">
        <v>2</v>
      </c>
      <c r="E2915" s="13" t="n">
        <v>255.62</v>
      </c>
      <c r="F2915" s="13" t="s">
        <v>5325</v>
      </c>
      <c r="G2915" s="13" t="s">
        <v>5289</v>
      </c>
      <c r="H2915" s="13" t="s">
        <v>5292</v>
      </c>
      <c r="I2915" s="13" t="s">
        <v>5289</v>
      </c>
      <c r="J2915" s="13" t="s">
        <v>5289</v>
      </c>
      <c r="K2915" s="13" t="s">
        <v>5289</v>
      </c>
      <c r="L2915" s="13"/>
      <c r="M2915" s="13"/>
      <c r="N2915" s="13" t="n">
        <v>8011003991136</v>
      </c>
      <c r="O2915" s="13"/>
      <c r="P2915" s="13" t="s">
        <v>5291</v>
      </c>
      <c r="Q2915" s="13" t="s">
        <v>5289</v>
      </c>
      <c r="R2915" s="13" t="s">
        <v>5292</v>
      </c>
      <c r="S2915" s="13" t="s">
        <v>5293</v>
      </c>
      <c r="T2915" s="13" t="s">
        <v>5</v>
      </c>
      <c r="U2915" s="13" t="s">
        <v>43</v>
      </c>
      <c r="V2915" s="13" t="n">
        <f aca="false">IF(COUNTIF($B$2:B2915,B2915)=1,1,0)</f>
        <v>0</v>
      </c>
      <c r="W2915" s="13" t="n">
        <f aca="false">IF(COUNTIFS($B$2:B2915,B2915,$T$2:T2915,T2915)=1,1,0)</f>
        <v>0</v>
      </c>
    </row>
    <row r="2916" customFormat="false" ht="15" hidden="false" customHeight="false" outlineLevel="0" collapsed="false">
      <c r="A2916" s="13" t="s">
        <v>1241</v>
      </c>
      <c r="B2916" s="13" t="s">
        <v>153</v>
      </c>
      <c r="C2916" s="13" t="n">
        <v>1000</v>
      </c>
      <c r="D2916" s="13" t="n">
        <v>2</v>
      </c>
      <c r="E2916" s="13" t="n">
        <v>507.31</v>
      </c>
      <c r="F2916" s="13" t="s">
        <v>5325</v>
      </c>
      <c r="G2916" s="13" t="s">
        <v>5289</v>
      </c>
      <c r="H2916" s="13" t="s">
        <v>5289</v>
      </c>
      <c r="I2916" s="13" t="s">
        <v>5289</v>
      </c>
      <c r="J2916" s="13" t="s">
        <v>5289</v>
      </c>
      <c r="K2916" s="13" t="s">
        <v>5289</v>
      </c>
      <c r="L2916" s="13"/>
      <c r="M2916" s="13"/>
      <c r="N2916" s="13" t="n">
        <v>8011003891467</v>
      </c>
      <c r="O2916" s="13"/>
      <c r="P2916" s="13" t="s">
        <v>5291</v>
      </c>
      <c r="Q2916" s="13" t="s">
        <v>5289</v>
      </c>
      <c r="R2916" s="13" t="s">
        <v>5292</v>
      </c>
      <c r="S2916" s="13" t="s">
        <v>5293</v>
      </c>
      <c r="T2916" s="13" t="s">
        <v>5</v>
      </c>
      <c r="U2916" s="13" t="s">
        <v>43</v>
      </c>
      <c r="V2916" s="13" t="n">
        <f aca="false">IF(COUNTIF($B$2:B2916,B2916)=1,1,0)</f>
        <v>0</v>
      </c>
      <c r="W2916" s="13" t="n">
        <f aca="false">IF(COUNTIFS($B$2:B2916,B2916,$T$2:T2916,T2916)=1,1,0)</f>
        <v>0</v>
      </c>
    </row>
    <row r="2917" customFormat="false" ht="15" hidden="false" customHeight="false" outlineLevel="0" collapsed="false">
      <c r="A2917" s="13" t="s">
        <v>1240</v>
      </c>
      <c r="B2917" s="13" t="s">
        <v>61</v>
      </c>
      <c r="C2917" s="13" t="n">
        <v>1000</v>
      </c>
      <c r="D2917" s="13" t="n">
        <v>1</v>
      </c>
      <c r="E2917" s="13" t="n">
        <v>1007.91</v>
      </c>
      <c r="F2917" s="13" t="s">
        <v>5325</v>
      </c>
      <c r="G2917" s="13" t="s">
        <v>5289</v>
      </c>
      <c r="H2917" s="13" t="s">
        <v>5292</v>
      </c>
      <c r="I2917" s="13" t="s">
        <v>5289</v>
      </c>
      <c r="J2917" s="13" t="s">
        <v>5289</v>
      </c>
      <c r="K2917" s="13" t="s">
        <v>5289</v>
      </c>
      <c r="L2917" s="13" t="n">
        <v>3614270754074</v>
      </c>
      <c r="M2917" s="13"/>
      <c r="N2917" s="13" t="n">
        <v>3614270754074</v>
      </c>
      <c r="O2917" s="13"/>
      <c r="P2917" s="13" t="s">
        <v>5291</v>
      </c>
      <c r="Q2917" s="13" t="s">
        <v>5289</v>
      </c>
      <c r="R2917" s="13" t="s">
        <v>5292</v>
      </c>
      <c r="S2917" s="13" t="s">
        <v>5293</v>
      </c>
      <c r="T2917" s="13" t="s">
        <v>5</v>
      </c>
      <c r="U2917" s="13" t="s">
        <v>43</v>
      </c>
      <c r="V2917" s="13" t="n">
        <f aca="false">IF(COUNTIF($B$2:B2917,B2917)=1,1,0)</f>
        <v>0</v>
      </c>
      <c r="W2917" s="13" t="n">
        <f aca="false">IF(COUNTIFS($B$2:B2917,B2917,$T$2:T2917,T2917)=1,1,0)</f>
        <v>0</v>
      </c>
    </row>
    <row r="2918" customFormat="false" ht="15" hidden="false" customHeight="false" outlineLevel="0" collapsed="false">
      <c r="A2918" s="13" t="s">
        <v>4050</v>
      </c>
      <c r="B2918" s="13" t="s">
        <v>2201</v>
      </c>
      <c r="C2918" s="13" t="n">
        <v>1000</v>
      </c>
      <c r="D2918" s="13" t="n">
        <v>5</v>
      </c>
      <c r="E2918" s="13" t="n">
        <v>200.85</v>
      </c>
      <c r="F2918" s="13" t="s">
        <v>5288</v>
      </c>
      <c r="G2918" s="13" t="s">
        <v>5292</v>
      </c>
      <c r="H2918" s="13" t="s">
        <v>5289</v>
      </c>
      <c r="I2918" s="13" t="s">
        <v>5289</v>
      </c>
      <c r="J2918" s="13" t="s">
        <v>5289</v>
      </c>
      <c r="K2918" s="13" t="s">
        <v>5292</v>
      </c>
      <c r="L2918" s="13"/>
      <c r="M2918" s="13"/>
      <c r="N2918" s="13" t="n">
        <v>3253581756461</v>
      </c>
      <c r="O2918" s="13"/>
      <c r="P2918" s="13" t="s">
        <v>5297</v>
      </c>
      <c r="Q2918" s="13" t="s">
        <v>5289</v>
      </c>
      <c r="R2918" s="13" t="s">
        <v>5292</v>
      </c>
      <c r="S2918" s="13" t="s">
        <v>5293</v>
      </c>
      <c r="T2918" s="13" t="s">
        <v>5</v>
      </c>
      <c r="U2918" s="13" t="s">
        <v>43</v>
      </c>
      <c r="V2918" s="13" t="n">
        <f aca="false">IF(COUNTIF($B$2:B2918,B2918)=1,1,0)</f>
        <v>0</v>
      </c>
      <c r="W2918" s="13" t="n">
        <f aca="false">IF(COUNTIFS($B$2:B2918,B2918,$T$2:T2918,T2918)=1,1,0)</f>
        <v>0</v>
      </c>
    </row>
    <row r="2919" customFormat="false" ht="15" hidden="false" customHeight="false" outlineLevel="0" collapsed="false">
      <c r="A2919" s="13" t="s">
        <v>1239</v>
      </c>
      <c r="B2919" s="13" t="s">
        <v>121</v>
      </c>
      <c r="C2919" s="13" t="n">
        <v>1000</v>
      </c>
      <c r="D2919" s="13" t="n">
        <v>5</v>
      </c>
      <c r="E2919" s="13" t="n">
        <v>167.2</v>
      </c>
      <c r="F2919" s="13" t="s">
        <v>5288</v>
      </c>
      <c r="G2919" s="13" t="s">
        <v>5292</v>
      </c>
      <c r="H2919" s="13" t="s">
        <v>5289</v>
      </c>
      <c r="I2919" s="13" t="s">
        <v>5289</v>
      </c>
      <c r="J2919" s="13" t="s">
        <v>5289</v>
      </c>
      <c r="K2919" s="13" t="s">
        <v>5289</v>
      </c>
      <c r="L2919" s="13" t="n">
        <v>7896086905680</v>
      </c>
      <c r="M2919" s="13"/>
      <c r="N2919" s="13" t="n">
        <v>7896086905680</v>
      </c>
      <c r="O2919" s="13"/>
      <c r="P2919" s="13" t="s">
        <v>5297</v>
      </c>
      <c r="Q2919" s="13" t="s">
        <v>5289</v>
      </c>
      <c r="R2919" s="13" t="s">
        <v>5292</v>
      </c>
      <c r="S2919" s="13" t="s">
        <v>5293</v>
      </c>
      <c r="T2919" s="13" t="s">
        <v>5</v>
      </c>
      <c r="U2919" s="13" t="s">
        <v>43</v>
      </c>
      <c r="V2919" s="13" t="n">
        <f aca="false">IF(COUNTIF($B$2:B2919,B2919)=1,1,0)</f>
        <v>0</v>
      </c>
      <c r="W2919" s="13" t="n">
        <f aca="false">IF(COUNTIFS($B$2:B2919,B2919,$T$2:T2919,T2919)=1,1,0)</f>
        <v>0</v>
      </c>
    </row>
    <row r="2920" customFormat="false" ht="15" hidden="false" customHeight="false" outlineLevel="0" collapsed="false">
      <c r="A2920" s="13" t="s">
        <v>1238</v>
      </c>
      <c r="B2920" s="13" t="s">
        <v>79</v>
      </c>
      <c r="C2920" s="13" t="n">
        <v>1000</v>
      </c>
      <c r="D2920" s="13" t="n">
        <v>1</v>
      </c>
      <c r="E2920" s="13" t="n">
        <v>1000.31</v>
      </c>
      <c r="F2920" s="13" t="s">
        <v>5325</v>
      </c>
      <c r="G2920" s="13" t="s">
        <v>5289</v>
      </c>
      <c r="H2920" s="13" t="s">
        <v>5292</v>
      </c>
      <c r="I2920" s="13" t="s">
        <v>5289</v>
      </c>
      <c r="J2920" s="13" t="s">
        <v>5289</v>
      </c>
      <c r="K2920" s="13" t="s">
        <v>5289</v>
      </c>
      <c r="L2920" s="13"/>
      <c r="M2920" s="13"/>
      <c r="N2920" s="13" t="n">
        <v>8057971188680</v>
      </c>
      <c r="O2920" s="13"/>
      <c r="P2920" s="13" t="s">
        <v>5291</v>
      </c>
      <c r="Q2920" s="13" t="s">
        <v>5289</v>
      </c>
      <c r="R2920" s="13" t="s">
        <v>5292</v>
      </c>
      <c r="S2920" s="13" t="s">
        <v>5293</v>
      </c>
      <c r="T2920" s="13" t="s">
        <v>5</v>
      </c>
      <c r="U2920" s="13" t="s">
        <v>43</v>
      </c>
      <c r="V2920" s="13" t="n">
        <f aca="false">IF(COUNTIF($B$2:B2920,B2920)=1,1,0)</f>
        <v>0</v>
      </c>
      <c r="W2920" s="13" t="n">
        <f aca="false">IF(COUNTIFS($B$2:B2920,B2920,$T$2:T2920,T2920)=1,1,0)</f>
        <v>0</v>
      </c>
    </row>
    <row r="2921" customFormat="false" ht="15" hidden="false" customHeight="false" outlineLevel="0" collapsed="false">
      <c r="A2921" s="13" t="s">
        <v>575</v>
      </c>
      <c r="B2921" s="13" t="s">
        <v>329</v>
      </c>
      <c r="C2921" s="13" t="n">
        <v>1000</v>
      </c>
      <c r="D2921" s="13" t="n">
        <v>1</v>
      </c>
      <c r="E2921" s="13" t="n">
        <v>998.85</v>
      </c>
      <c r="F2921" s="13" t="s">
        <v>5288</v>
      </c>
      <c r="G2921" s="13" t="s">
        <v>5289</v>
      </c>
      <c r="H2921" s="13" t="s">
        <v>5289</v>
      </c>
      <c r="I2921" s="13" t="s">
        <v>5289</v>
      </c>
      <c r="J2921" s="13" t="s">
        <v>5289</v>
      </c>
      <c r="K2921" s="13" t="s">
        <v>5292</v>
      </c>
      <c r="L2921" s="13" t="n">
        <v>3137370364191</v>
      </c>
      <c r="M2921" s="13"/>
      <c r="N2921" s="13" t="n">
        <v>3137370364191</v>
      </c>
      <c r="O2921" s="13"/>
      <c r="P2921" s="13" t="s">
        <v>5291</v>
      </c>
      <c r="Q2921" s="13" t="s">
        <v>5289</v>
      </c>
      <c r="R2921" s="13" t="s">
        <v>5292</v>
      </c>
      <c r="S2921" s="13" t="s">
        <v>5293</v>
      </c>
      <c r="T2921" s="13" t="s">
        <v>5</v>
      </c>
      <c r="U2921" s="13" t="s">
        <v>43</v>
      </c>
      <c r="V2921" s="13" t="n">
        <f aca="false">IF(COUNTIF($B$2:B2921,B2921)=1,1,0)</f>
        <v>0</v>
      </c>
      <c r="W2921" s="13" t="n">
        <f aca="false">IF(COUNTIFS($B$2:B2921,B2921,$T$2:T2921,T2921)=1,1,0)</f>
        <v>0</v>
      </c>
    </row>
    <row r="2922" customFormat="false" ht="15" hidden="false" customHeight="false" outlineLevel="0" collapsed="false">
      <c r="A2922" s="13" t="s">
        <v>1237</v>
      </c>
      <c r="B2922" s="13" t="s">
        <v>50</v>
      </c>
      <c r="C2922" s="13" t="n">
        <v>1000</v>
      </c>
      <c r="D2922" s="13" t="n">
        <v>2</v>
      </c>
      <c r="E2922" s="13" t="n">
        <v>498.85</v>
      </c>
      <c r="F2922" s="13" t="s">
        <v>5325</v>
      </c>
      <c r="G2922" s="13" t="s">
        <v>5292</v>
      </c>
      <c r="H2922" s="13" t="s">
        <v>5289</v>
      </c>
      <c r="I2922" s="13" t="s">
        <v>5289</v>
      </c>
      <c r="J2922" s="13" t="s">
        <v>5289</v>
      </c>
      <c r="K2922" s="13" t="s">
        <v>5292</v>
      </c>
      <c r="L2922" s="13" t="n">
        <v>3349668613427</v>
      </c>
      <c r="M2922" s="13"/>
      <c r="N2922" s="13" t="n">
        <v>3349668613427</v>
      </c>
      <c r="O2922" s="13"/>
      <c r="P2922" s="13" t="s">
        <v>5291</v>
      </c>
      <c r="Q2922" s="13" t="s">
        <v>5289</v>
      </c>
      <c r="R2922" s="13" t="s">
        <v>5292</v>
      </c>
      <c r="S2922" s="13" t="s">
        <v>5293</v>
      </c>
      <c r="T2922" s="13" t="s">
        <v>5</v>
      </c>
      <c r="U2922" s="13" t="s">
        <v>43</v>
      </c>
      <c r="V2922" s="13" t="n">
        <f aca="false">IF(COUNTIF($B$2:B2922,B2922)=1,1,0)</f>
        <v>0</v>
      </c>
      <c r="W2922" s="13" t="n">
        <f aca="false">IF(COUNTIFS($B$2:B2922,B2922,$T$2:T2922,T2922)=1,1,0)</f>
        <v>0</v>
      </c>
    </row>
    <row r="2923" customFormat="false" ht="15" hidden="false" customHeight="false" outlineLevel="0" collapsed="false">
      <c r="A2923" s="13" t="s">
        <v>1236</v>
      </c>
      <c r="B2923" s="13" t="s">
        <v>92</v>
      </c>
      <c r="C2923" s="13" t="n">
        <v>1000</v>
      </c>
      <c r="D2923" s="13" t="n">
        <v>1</v>
      </c>
      <c r="E2923" s="13" t="n">
        <v>996.4</v>
      </c>
      <c r="F2923" s="13" t="s">
        <v>5325</v>
      </c>
      <c r="G2923" s="13" t="s">
        <v>5289</v>
      </c>
      <c r="H2923" s="13" t="s">
        <v>5292</v>
      </c>
      <c r="I2923" s="13" t="s">
        <v>5289</v>
      </c>
      <c r="J2923" s="13" t="s">
        <v>5289</v>
      </c>
      <c r="K2923" s="13" t="s">
        <v>5289</v>
      </c>
      <c r="L2923" s="13" t="n">
        <v>3616302038633</v>
      </c>
      <c r="M2923" s="13"/>
      <c r="N2923" s="13" t="n">
        <v>3616302038633</v>
      </c>
      <c r="O2923" s="13"/>
      <c r="P2923" s="13" t="s">
        <v>5291</v>
      </c>
      <c r="Q2923" s="13" t="s">
        <v>5289</v>
      </c>
      <c r="R2923" s="13" t="s">
        <v>5292</v>
      </c>
      <c r="S2923" s="13" t="s">
        <v>5293</v>
      </c>
      <c r="T2923" s="13" t="s">
        <v>5</v>
      </c>
      <c r="U2923" s="13" t="s">
        <v>43</v>
      </c>
      <c r="V2923" s="13" t="n">
        <f aca="false">IF(COUNTIF($B$2:B2923,B2923)=1,1,0)</f>
        <v>0</v>
      </c>
      <c r="W2923" s="13" t="n">
        <f aca="false">IF(COUNTIFS($B$2:B2923,B2923,$T$2:T2923,T2923)=1,1,0)</f>
        <v>0</v>
      </c>
    </row>
    <row r="2924" customFormat="false" ht="15" hidden="false" customHeight="false" outlineLevel="0" collapsed="false">
      <c r="A2924" s="13" t="s">
        <v>3355</v>
      </c>
      <c r="B2924" s="13" t="s">
        <v>2109</v>
      </c>
      <c r="C2924" s="13" t="n">
        <v>1000</v>
      </c>
      <c r="D2924" s="13" t="n">
        <v>1</v>
      </c>
      <c r="E2924" s="13" t="n">
        <v>996.19</v>
      </c>
      <c r="F2924" s="13" t="s">
        <v>5325</v>
      </c>
      <c r="G2924" s="13" t="s">
        <v>5289</v>
      </c>
      <c r="H2924" s="13" t="s">
        <v>5289</v>
      </c>
      <c r="I2924" s="13" t="s">
        <v>5289</v>
      </c>
      <c r="J2924" s="13" t="s">
        <v>5289</v>
      </c>
      <c r="K2924" s="13" t="s">
        <v>5289</v>
      </c>
      <c r="L2924" s="13" t="n">
        <v>3614274292237</v>
      </c>
      <c r="M2924" s="13"/>
      <c r="N2924" s="13" t="n">
        <v>3614274292237</v>
      </c>
      <c r="O2924" s="13"/>
      <c r="P2924" s="13" t="s">
        <v>5291</v>
      </c>
      <c r="Q2924" s="13" t="s">
        <v>5289</v>
      </c>
      <c r="R2924" s="13" t="s">
        <v>5292</v>
      </c>
      <c r="S2924" s="13" t="s">
        <v>5293</v>
      </c>
      <c r="T2924" s="13" t="s">
        <v>5</v>
      </c>
      <c r="U2924" s="13" t="s">
        <v>43</v>
      </c>
      <c r="V2924" s="13" t="n">
        <f aca="false">IF(COUNTIF($B$2:B2924,B2924)=1,1,0)</f>
        <v>0</v>
      </c>
      <c r="W2924" s="13" t="n">
        <f aca="false">IF(COUNTIFS($B$2:B2924,B2924,$T$2:T2924,T2924)=1,1,0)</f>
        <v>0</v>
      </c>
    </row>
    <row r="2925" customFormat="false" ht="15" hidden="false" customHeight="false" outlineLevel="0" collapsed="false">
      <c r="A2925" s="13" t="s">
        <v>6387</v>
      </c>
      <c r="B2925" s="13" t="s">
        <v>2130</v>
      </c>
      <c r="C2925" s="13" t="n">
        <v>1000</v>
      </c>
      <c r="D2925" s="13" t="n">
        <v>1</v>
      </c>
      <c r="E2925" s="13" t="n">
        <v>996.19</v>
      </c>
      <c r="F2925" s="13" t="s">
        <v>5325</v>
      </c>
      <c r="G2925" s="13" t="s">
        <v>5289</v>
      </c>
      <c r="H2925" s="13" t="s">
        <v>5292</v>
      </c>
      <c r="I2925" s="13" t="s">
        <v>5289</v>
      </c>
      <c r="J2925" s="13" t="s">
        <v>5289</v>
      </c>
      <c r="K2925" s="13" t="s">
        <v>5289</v>
      </c>
      <c r="L2925" s="13" t="n">
        <v>3614274292237</v>
      </c>
      <c r="M2925" s="13"/>
      <c r="N2925" s="13" t="n">
        <v>3614274292237</v>
      </c>
      <c r="O2925" s="13"/>
      <c r="P2925" s="13" t="s">
        <v>5291</v>
      </c>
      <c r="Q2925" s="13" t="s">
        <v>5289</v>
      </c>
      <c r="R2925" s="13" t="s">
        <v>5292</v>
      </c>
      <c r="S2925" s="13" t="s">
        <v>5293</v>
      </c>
      <c r="T2925" s="13" t="s">
        <v>5</v>
      </c>
      <c r="U2925" s="13" t="s">
        <v>43</v>
      </c>
      <c r="V2925" s="13" t="n">
        <f aca="false">IF(COUNTIF($B$2:B2925,B2925)=1,1,0)</f>
        <v>0</v>
      </c>
      <c r="W2925" s="13" t="n">
        <f aca="false">IF(COUNTIFS($B$2:B2925,B2925,$T$2:T2925,T2925)=1,1,0)</f>
        <v>0</v>
      </c>
    </row>
    <row r="2926" customFormat="false" ht="15" hidden="false" customHeight="false" outlineLevel="0" collapsed="false">
      <c r="A2926" s="13" t="s">
        <v>1225</v>
      </c>
      <c r="B2926" s="13" t="s">
        <v>50</v>
      </c>
      <c r="C2926" s="13" t="n">
        <v>1000</v>
      </c>
      <c r="D2926" s="13" t="n">
        <v>2</v>
      </c>
      <c r="E2926" s="13" t="n">
        <v>248.85</v>
      </c>
      <c r="F2926" s="13" t="s">
        <v>5325</v>
      </c>
      <c r="G2926" s="13" t="s">
        <v>5289</v>
      </c>
      <c r="H2926" s="13" t="s">
        <v>5289</v>
      </c>
      <c r="I2926" s="13" t="s">
        <v>5289</v>
      </c>
      <c r="J2926" s="13" t="s">
        <v>5289</v>
      </c>
      <c r="K2926" s="13" t="s">
        <v>5292</v>
      </c>
      <c r="L2926" s="13" t="n">
        <v>3349668589982</v>
      </c>
      <c r="M2926" s="13"/>
      <c r="N2926" s="13" t="n">
        <v>3349668589982</v>
      </c>
      <c r="O2926" s="13"/>
      <c r="P2926" s="13" t="s">
        <v>5297</v>
      </c>
      <c r="Q2926" s="13" t="s">
        <v>5289</v>
      </c>
      <c r="R2926" s="13" t="s">
        <v>5292</v>
      </c>
      <c r="S2926" s="13" t="s">
        <v>5293</v>
      </c>
      <c r="T2926" s="13" t="s">
        <v>5</v>
      </c>
      <c r="U2926" s="13" t="s">
        <v>43</v>
      </c>
      <c r="V2926" s="13" t="n">
        <f aca="false">IF(COUNTIF($B$2:B2926,B2926)=1,1,0)</f>
        <v>0</v>
      </c>
      <c r="W2926" s="13" t="n">
        <f aca="false">IF(COUNTIFS($B$2:B2926,B2926,$T$2:T2926,T2926)=1,1,0)</f>
        <v>0</v>
      </c>
    </row>
    <row r="2927" customFormat="false" ht="15" hidden="false" customHeight="false" outlineLevel="0" collapsed="false">
      <c r="A2927" s="13" t="s">
        <v>4070</v>
      </c>
      <c r="B2927" s="13" t="s">
        <v>2200</v>
      </c>
      <c r="C2927" s="13" t="n">
        <v>990</v>
      </c>
      <c r="D2927" s="13" t="n">
        <v>5</v>
      </c>
      <c r="E2927" s="13" t="n">
        <v>198.85</v>
      </c>
      <c r="F2927" s="13" t="s">
        <v>5325</v>
      </c>
      <c r="G2927" s="13" t="s">
        <v>5292</v>
      </c>
      <c r="H2927" s="13" t="s">
        <v>5292</v>
      </c>
      <c r="I2927" s="13" t="s">
        <v>5289</v>
      </c>
      <c r="J2927" s="13" t="s">
        <v>5289</v>
      </c>
      <c r="K2927" s="13" t="s">
        <v>5292</v>
      </c>
      <c r="L2927" s="13"/>
      <c r="M2927" s="13"/>
      <c r="N2927" s="13" t="n">
        <v>7899706205177</v>
      </c>
      <c r="O2927" s="13"/>
      <c r="P2927" s="13" t="s">
        <v>5291</v>
      </c>
      <c r="Q2927" s="13" t="s">
        <v>5289</v>
      </c>
      <c r="R2927" s="13" t="s">
        <v>5292</v>
      </c>
      <c r="S2927" s="13" t="s">
        <v>5293</v>
      </c>
      <c r="T2927" s="13" t="s">
        <v>5</v>
      </c>
      <c r="U2927" s="13" t="s">
        <v>85</v>
      </c>
      <c r="V2927" s="13" t="n">
        <f aca="false">IF(COUNTIF($B$2:B2927,B2927)=1,1,0)</f>
        <v>0</v>
      </c>
      <c r="W2927" s="13" t="n">
        <f aca="false">IF(COUNTIFS($B$2:B2927,B2927,$T$2:T2927,T2927)=1,1,0)</f>
        <v>0</v>
      </c>
    </row>
    <row r="2928" customFormat="false" ht="15" hidden="false" customHeight="false" outlineLevel="0" collapsed="false">
      <c r="A2928" s="13" t="s">
        <v>4063</v>
      </c>
      <c r="B2928" s="13" t="s">
        <v>2130</v>
      </c>
      <c r="C2928" s="13" t="n">
        <v>990</v>
      </c>
      <c r="D2928" s="13" t="n">
        <v>2</v>
      </c>
      <c r="E2928" s="13" t="n">
        <v>496.68</v>
      </c>
      <c r="F2928" s="13" t="s">
        <v>5325</v>
      </c>
      <c r="G2928" s="13" t="s">
        <v>5289</v>
      </c>
      <c r="H2928" s="13" t="s">
        <v>5289</v>
      </c>
      <c r="I2928" s="13" t="s">
        <v>5289</v>
      </c>
      <c r="J2928" s="13" t="s">
        <v>5289</v>
      </c>
      <c r="K2928" s="13" t="s">
        <v>5289</v>
      </c>
      <c r="L2928" s="13"/>
      <c r="M2928" s="13"/>
      <c r="N2928" s="13" t="n">
        <v>3439600056204</v>
      </c>
      <c r="O2928" s="13"/>
      <c r="P2928" s="13" t="s">
        <v>5291</v>
      </c>
      <c r="Q2928" s="13" t="s">
        <v>5289</v>
      </c>
      <c r="R2928" s="13" t="s">
        <v>5292</v>
      </c>
      <c r="S2928" s="13" t="s">
        <v>5293</v>
      </c>
      <c r="T2928" s="13" t="s">
        <v>5</v>
      </c>
      <c r="U2928" s="13" t="s">
        <v>43</v>
      </c>
      <c r="V2928" s="13" t="n">
        <f aca="false">IF(COUNTIF($B$2:B2928,B2928)=1,1,0)</f>
        <v>0</v>
      </c>
      <c r="W2928" s="13" t="n">
        <f aca="false">IF(COUNTIFS($B$2:B2928,B2928,$T$2:T2928,T2928)=1,1,0)</f>
        <v>0</v>
      </c>
    </row>
    <row r="2929" customFormat="false" ht="15" hidden="false" customHeight="false" outlineLevel="0" collapsed="false">
      <c r="A2929" s="13" t="s">
        <v>696</v>
      </c>
      <c r="B2929" s="13" t="s">
        <v>107</v>
      </c>
      <c r="C2929" s="13" t="n">
        <v>990</v>
      </c>
      <c r="D2929" s="13" t="n">
        <v>2</v>
      </c>
      <c r="E2929" s="13" t="n">
        <v>247.7475</v>
      </c>
      <c r="F2929" s="13" t="s">
        <v>5325</v>
      </c>
      <c r="G2929" s="13" t="s">
        <v>5289</v>
      </c>
      <c r="H2929" s="13" t="s">
        <v>5289</v>
      </c>
      <c r="I2929" s="13" t="s">
        <v>5289</v>
      </c>
      <c r="J2929" s="13" t="s">
        <v>5289</v>
      </c>
      <c r="K2929" s="13" t="s">
        <v>5289</v>
      </c>
      <c r="L2929" s="13" t="n">
        <v>7896235353744</v>
      </c>
      <c r="M2929" s="13"/>
      <c r="N2929" s="13" t="n">
        <v>7896235353744</v>
      </c>
      <c r="O2929" s="13"/>
      <c r="P2929" s="13" t="s">
        <v>5291</v>
      </c>
      <c r="Q2929" s="13" t="s">
        <v>5289</v>
      </c>
      <c r="R2929" s="13" t="s">
        <v>5292</v>
      </c>
      <c r="S2929" s="13" t="s">
        <v>5293</v>
      </c>
      <c r="T2929" s="13" t="s">
        <v>5</v>
      </c>
      <c r="U2929" s="13" t="s">
        <v>43</v>
      </c>
      <c r="V2929" s="13" t="n">
        <f aca="false">IF(COUNTIF($B$2:B2929,B2929)=1,1,0)</f>
        <v>0</v>
      </c>
      <c r="W2929" s="13" t="n">
        <f aca="false">IF(COUNTIFS($B$2:B2929,B2929,$T$2:T2929,T2929)=1,1,0)</f>
        <v>0</v>
      </c>
    </row>
    <row r="2930" customFormat="false" ht="15" hidden="false" customHeight="false" outlineLevel="0" collapsed="false">
      <c r="A2930" s="13" t="s">
        <v>1245</v>
      </c>
      <c r="B2930" s="13" t="s">
        <v>107</v>
      </c>
      <c r="C2930" s="13" t="n">
        <v>990</v>
      </c>
      <c r="D2930" s="13" t="n">
        <v>2</v>
      </c>
      <c r="E2930" s="13" t="n">
        <v>329.9</v>
      </c>
      <c r="F2930" s="13" t="s">
        <v>5325</v>
      </c>
      <c r="G2930" s="13" t="s">
        <v>5292</v>
      </c>
      <c r="H2930" s="13" t="s">
        <v>5289</v>
      </c>
      <c r="I2930" s="13" t="s">
        <v>5289</v>
      </c>
      <c r="J2930" s="13" t="s">
        <v>5289</v>
      </c>
      <c r="K2930" s="13" t="s">
        <v>5289</v>
      </c>
      <c r="L2930" s="13"/>
      <c r="M2930" s="13"/>
      <c r="N2930" s="13" t="n">
        <v>9000250226299</v>
      </c>
      <c r="O2930" s="13"/>
      <c r="P2930" s="13" t="s">
        <v>5297</v>
      </c>
      <c r="Q2930" s="13" t="s">
        <v>5289</v>
      </c>
      <c r="R2930" s="13" t="s">
        <v>5292</v>
      </c>
      <c r="S2930" s="13" t="s">
        <v>5293</v>
      </c>
      <c r="T2930" s="13" t="s">
        <v>5</v>
      </c>
      <c r="U2930" s="13" t="s">
        <v>183</v>
      </c>
      <c r="V2930" s="13" t="n">
        <f aca="false">IF(COUNTIF($B$2:B2930,B2930)=1,1,0)</f>
        <v>0</v>
      </c>
      <c r="W2930" s="13" t="n">
        <f aca="false">IF(COUNTIFS($B$2:B2930,B2930,$T$2:T2930,T2930)=1,1,0)</f>
        <v>0</v>
      </c>
    </row>
    <row r="2931" customFormat="false" ht="15" hidden="false" customHeight="false" outlineLevel="0" collapsed="false">
      <c r="A2931" s="13" t="s">
        <v>6387</v>
      </c>
      <c r="B2931" s="13" t="s">
        <v>2130</v>
      </c>
      <c r="C2931" s="13" t="n">
        <v>990</v>
      </c>
      <c r="D2931" s="13" t="n">
        <v>1</v>
      </c>
      <c r="E2931" s="13" t="n">
        <v>988.27</v>
      </c>
      <c r="F2931" s="13" t="s">
        <v>5288</v>
      </c>
      <c r="G2931" s="13" t="s">
        <v>5289</v>
      </c>
      <c r="H2931" s="13" t="s">
        <v>5292</v>
      </c>
      <c r="I2931" s="13" t="s">
        <v>5289</v>
      </c>
      <c r="J2931" s="13" t="s">
        <v>5289</v>
      </c>
      <c r="K2931" s="13" t="s">
        <v>5289</v>
      </c>
      <c r="L2931" s="13" t="n">
        <v>3614274292237</v>
      </c>
      <c r="M2931" s="13"/>
      <c r="N2931" s="13" t="n">
        <v>3614274292237</v>
      </c>
      <c r="O2931" s="13"/>
      <c r="P2931" s="13" t="s">
        <v>5291</v>
      </c>
      <c r="Q2931" s="13" t="s">
        <v>5289</v>
      </c>
      <c r="R2931" s="13" t="s">
        <v>5292</v>
      </c>
      <c r="S2931" s="13" t="s">
        <v>5293</v>
      </c>
      <c r="T2931" s="13" t="s">
        <v>5</v>
      </c>
      <c r="U2931" s="13" t="s">
        <v>43</v>
      </c>
      <c r="V2931" s="13" t="n">
        <f aca="false">IF(COUNTIF($B$2:B2931,B2931)=1,1,0)</f>
        <v>0</v>
      </c>
      <c r="W2931" s="13" t="n">
        <f aca="false">IF(COUNTIFS($B$2:B2931,B2931,$T$2:T2931,T2931)=1,1,0)</f>
        <v>0</v>
      </c>
    </row>
    <row r="2932" customFormat="false" ht="15" hidden="false" customHeight="false" outlineLevel="0" collapsed="false">
      <c r="A2932" s="13" t="s">
        <v>1247</v>
      </c>
      <c r="B2932" s="13" t="s">
        <v>61</v>
      </c>
      <c r="C2932" s="13" t="n">
        <v>990</v>
      </c>
      <c r="D2932" s="13" t="n">
        <v>2</v>
      </c>
      <c r="E2932" s="13" t="n">
        <v>328.85</v>
      </c>
      <c r="F2932" s="13" t="s">
        <v>5288</v>
      </c>
      <c r="G2932" s="13" t="s">
        <v>5289</v>
      </c>
      <c r="H2932" s="13" t="s">
        <v>5289</v>
      </c>
      <c r="I2932" s="13" t="s">
        <v>5289</v>
      </c>
      <c r="J2932" s="13" t="s">
        <v>5289</v>
      </c>
      <c r="K2932" s="13" t="s">
        <v>5292</v>
      </c>
      <c r="L2932" s="13" t="n">
        <v>3614273436373</v>
      </c>
      <c r="M2932" s="13"/>
      <c r="N2932" s="13" t="n">
        <v>3614273436373</v>
      </c>
      <c r="O2932" s="13"/>
      <c r="P2932" s="13" t="s">
        <v>5291</v>
      </c>
      <c r="Q2932" s="13" t="s">
        <v>5289</v>
      </c>
      <c r="R2932" s="13" t="s">
        <v>5292</v>
      </c>
      <c r="S2932" s="13" t="s">
        <v>5293</v>
      </c>
      <c r="T2932" s="13" t="s">
        <v>5</v>
      </c>
      <c r="U2932" s="13" t="s">
        <v>43</v>
      </c>
      <c r="V2932" s="13" t="n">
        <f aca="false">IF(COUNTIF($B$2:B2932,B2932)=1,1,0)</f>
        <v>0</v>
      </c>
      <c r="W2932" s="13" t="n">
        <f aca="false">IF(COUNTIFS($B$2:B2932,B2932,$T$2:T2932,T2932)=1,1,0)</f>
        <v>0</v>
      </c>
    </row>
    <row r="2933" customFormat="false" ht="15" hidden="false" customHeight="false" outlineLevel="0" collapsed="false">
      <c r="A2933" s="13" t="s">
        <v>1246</v>
      </c>
      <c r="B2933" s="13" t="s">
        <v>69</v>
      </c>
      <c r="C2933" s="13" t="n">
        <v>990</v>
      </c>
      <c r="D2933" s="13" t="n">
        <v>2</v>
      </c>
      <c r="E2933" s="13" t="n">
        <v>492.59</v>
      </c>
      <c r="F2933" s="13" t="s">
        <v>5325</v>
      </c>
      <c r="G2933" s="13" t="s">
        <v>5292</v>
      </c>
      <c r="H2933" s="13" t="s">
        <v>5292</v>
      </c>
      <c r="I2933" s="13" t="s">
        <v>5289</v>
      </c>
      <c r="J2933" s="13" t="s">
        <v>5289</v>
      </c>
      <c r="K2933" s="13" t="s">
        <v>5289</v>
      </c>
      <c r="L2933" s="13" t="n">
        <v>3365440003866</v>
      </c>
      <c r="M2933" s="13"/>
      <c r="N2933" s="13" t="n">
        <v>3365440003866</v>
      </c>
      <c r="O2933" s="13"/>
      <c r="P2933" s="13" t="s">
        <v>5291</v>
      </c>
      <c r="Q2933" s="13" t="s">
        <v>5289</v>
      </c>
      <c r="R2933" s="13" t="s">
        <v>5292</v>
      </c>
      <c r="S2933" s="13" t="s">
        <v>5293</v>
      </c>
      <c r="T2933" s="13" t="s">
        <v>5</v>
      </c>
      <c r="U2933" s="13" t="s">
        <v>43</v>
      </c>
      <c r="V2933" s="13" t="n">
        <f aca="false">IF(COUNTIF($B$2:B2933,B2933)=1,1,0)</f>
        <v>0</v>
      </c>
      <c r="W2933" s="13" t="n">
        <f aca="false">IF(COUNTIFS($B$2:B2933,B2933,$T$2:T2933,T2933)=1,1,0)</f>
        <v>0</v>
      </c>
    </row>
    <row r="2934" customFormat="false" ht="15" hidden="false" customHeight="false" outlineLevel="0" collapsed="false">
      <c r="A2934" s="13" t="s">
        <v>1251</v>
      </c>
      <c r="B2934" s="13" t="s">
        <v>61</v>
      </c>
      <c r="C2934" s="13" t="n">
        <v>980</v>
      </c>
      <c r="D2934" s="13" t="n">
        <v>2</v>
      </c>
      <c r="E2934" s="13" t="n">
        <v>491.96</v>
      </c>
      <c r="F2934" s="13" t="s">
        <v>5325</v>
      </c>
      <c r="G2934" s="13" t="s">
        <v>5289</v>
      </c>
      <c r="H2934" s="13" t="s">
        <v>5289</v>
      </c>
      <c r="I2934" s="13" t="s">
        <v>5289</v>
      </c>
      <c r="J2934" s="13" t="s">
        <v>5289</v>
      </c>
      <c r="K2934" s="13" t="s">
        <v>5289</v>
      </c>
      <c r="L2934" s="13" t="n">
        <v>3614274170191</v>
      </c>
      <c r="M2934" s="13"/>
      <c r="N2934" s="13" t="n">
        <v>3614274170191</v>
      </c>
      <c r="O2934" s="13"/>
      <c r="P2934" s="13" t="s">
        <v>5291</v>
      </c>
      <c r="Q2934" s="13" t="s">
        <v>5289</v>
      </c>
      <c r="R2934" s="13" t="s">
        <v>5292</v>
      </c>
      <c r="S2934" s="13" t="s">
        <v>5293</v>
      </c>
      <c r="T2934" s="13" t="s">
        <v>5</v>
      </c>
      <c r="U2934" s="13" t="s">
        <v>43</v>
      </c>
      <c r="V2934" s="13" t="n">
        <f aca="false">IF(COUNTIF($B$2:B2934,B2934)=1,1,0)</f>
        <v>0</v>
      </c>
      <c r="W2934" s="13" t="n">
        <f aca="false">IF(COUNTIFS($B$2:B2934,B2934,$T$2:T2934,T2934)=1,1,0)</f>
        <v>0</v>
      </c>
    </row>
    <row r="2935" customFormat="false" ht="15" hidden="false" customHeight="false" outlineLevel="0" collapsed="false">
      <c r="A2935" s="13" t="s">
        <v>1256</v>
      </c>
      <c r="B2935" s="13" t="s">
        <v>50</v>
      </c>
      <c r="C2935" s="13" t="n">
        <v>980</v>
      </c>
      <c r="D2935" s="13" t="n">
        <v>1</v>
      </c>
      <c r="E2935" s="13" t="n">
        <v>981.83</v>
      </c>
      <c r="F2935" s="13" t="s">
        <v>5325</v>
      </c>
      <c r="G2935" s="13" t="s">
        <v>5289</v>
      </c>
      <c r="H2935" s="13" t="s">
        <v>5292</v>
      </c>
      <c r="I2935" s="13" t="s">
        <v>5289</v>
      </c>
      <c r="J2935" s="13" t="s">
        <v>5289</v>
      </c>
      <c r="K2935" s="13" t="s">
        <v>5289</v>
      </c>
      <c r="L2935" s="13" t="n">
        <v>3349668617067</v>
      </c>
      <c r="M2935" s="13"/>
      <c r="N2935" s="13" t="n">
        <v>3349668617067</v>
      </c>
      <c r="O2935" s="13"/>
      <c r="P2935" s="13" t="s">
        <v>5297</v>
      </c>
      <c r="Q2935" s="13" t="s">
        <v>5289</v>
      </c>
      <c r="R2935" s="13" t="s">
        <v>5292</v>
      </c>
      <c r="S2935" s="13" t="s">
        <v>5293</v>
      </c>
      <c r="T2935" s="13" t="s">
        <v>5</v>
      </c>
      <c r="U2935" s="13" t="s">
        <v>43</v>
      </c>
      <c r="V2935" s="13" t="n">
        <f aca="false">IF(COUNTIF($B$2:B2935,B2935)=1,1,0)</f>
        <v>0</v>
      </c>
      <c r="W2935" s="13" t="n">
        <f aca="false">IF(COUNTIFS($B$2:B2935,B2935,$T$2:T2935,T2935)=1,1,0)</f>
        <v>0</v>
      </c>
    </row>
    <row r="2936" customFormat="false" ht="15" hidden="false" customHeight="false" outlineLevel="0" collapsed="false">
      <c r="A2936" s="13" t="s">
        <v>1260</v>
      </c>
      <c r="B2936" s="13" t="s">
        <v>50</v>
      </c>
      <c r="C2936" s="13" t="n">
        <v>980</v>
      </c>
      <c r="D2936" s="13" t="n">
        <v>1</v>
      </c>
      <c r="E2936" s="13" t="n">
        <v>978.85</v>
      </c>
      <c r="F2936" s="13" t="s">
        <v>5325</v>
      </c>
      <c r="G2936" s="13" t="s">
        <v>5289</v>
      </c>
      <c r="H2936" s="13" t="s">
        <v>5292</v>
      </c>
      <c r="I2936" s="13" t="s">
        <v>5289</v>
      </c>
      <c r="J2936" s="13" t="s">
        <v>5289</v>
      </c>
      <c r="K2936" s="13" t="s">
        <v>5292</v>
      </c>
      <c r="L2936" s="13" t="n">
        <v>3349668630059</v>
      </c>
      <c r="M2936" s="13"/>
      <c r="N2936" s="13" t="n">
        <v>3349668630059</v>
      </c>
      <c r="O2936" s="13"/>
      <c r="P2936" s="13" t="s">
        <v>5291</v>
      </c>
      <c r="Q2936" s="13" t="s">
        <v>5289</v>
      </c>
      <c r="R2936" s="13" t="s">
        <v>5292</v>
      </c>
      <c r="S2936" s="13" t="s">
        <v>5293</v>
      </c>
      <c r="T2936" s="13" t="s">
        <v>5</v>
      </c>
      <c r="U2936" s="13" t="s">
        <v>43</v>
      </c>
      <c r="V2936" s="13" t="n">
        <f aca="false">IF(COUNTIF($B$2:B2936,B2936)=1,1,0)</f>
        <v>0</v>
      </c>
      <c r="W2936" s="13" t="n">
        <f aca="false">IF(COUNTIFS($B$2:B2936,B2936,$T$2:T2936,T2936)=1,1,0)</f>
        <v>0</v>
      </c>
    </row>
    <row r="2937" customFormat="false" ht="15" hidden="false" customHeight="false" outlineLevel="0" collapsed="false">
      <c r="A2937" s="13" t="s">
        <v>1258</v>
      </c>
      <c r="B2937" s="13" t="s">
        <v>153</v>
      </c>
      <c r="C2937" s="13" t="n">
        <v>980</v>
      </c>
      <c r="D2937" s="13" t="n">
        <v>2</v>
      </c>
      <c r="E2937" s="13" t="n">
        <v>489</v>
      </c>
      <c r="F2937" s="13" t="s">
        <v>5325</v>
      </c>
      <c r="G2937" s="13" t="s">
        <v>5289</v>
      </c>
      <c r="H2937" s="13" t="s">
        <v>5292</v>
      </c>
      <c r="I2937" s="13" t="s">
        <v>5289</v>
      </c>
      <c r="J2937" s="13" t="s">
        <v>5289</v>
      </c>
      <c r="K2937" s="13" t="s">
        <v>5289</v>
      </c>
      <c r="L2937" s="13"/>
      <c r="M2937" s="13"/>
      <c r="N2937" s="13" t="n">
        <v>8011003997022</v>
      </c>
      <c r="O2937" s="13"/>
      <c r="P2937" s="13" t="s">
        <v>5291</v>
      </c>
      <c r="Q2937" s="13" t="s">
        <v>5289</v>
      </c>
      <c r="R2937" s="13" t="s">
        <v>5292</v>
      </c>
      <c r="S2937" s="13" t="s">
        <v>5293</v>
      </c>
      <c r="T2937" s="13" t="s">
        <v>5</v>
      </c>
      <c r="U2937" s="13" t="s">
        <v>43</v>
      </c>
      <c r="V2937" s="13" t="n">
        <f aca="false">IF(COUNTIF($B$2:B2937,B2937)=1,1,0)</f>
        <v>0</v>
      </c>
      <c r="W2937" s="13" t="n">
        <f aca="false">IF(COUNTIFS($B$2:B2937,B2937,$T$2:T2937,T2937)=1,1,0)</f>
        <v>0</v>
      </c>
    </row>
    <row r="2938" customFormat="false" ht="15" hidden="false" customHeight="false" outlineLevel="0" collapsed="false">
      <c r="A2938" s="13" t="s">
        <v>1259</v>
      </c>
      <c r="B2938" s="13" t="s">
        <v>79</v>
      </c>
      <c r="C2938" s="13" t="n">
        <v>980</v>
      </c>
      <c r="D2938" s="13" t="n">
        <v>1</v>
      </c>
      <c r="E2938" s="13" t="n">
        <v>976.85</v>
      </c>
      <c r="F2938" s="13" t="s">
        <v>5325</v>
      </c>
      <c r="G2938" s="13" t="s">
        <v>5292</v>
      </c>
      <c r="H2938" s="13" t="s">
        <v>5292</v>
      </c>
      <c r="I2938" s="13" t="s">
        <v>5289</v>
      </c>
      <c r="J2938" s="13" t="s">
        <v>5289</v>
      </c>
      <c r="K2938" s="13" t="s">
        <v>5292</v>
      </c>
      <c r="L2938" s="13"/>
      <c r="M2938" s="13"/>
      <c r="N2938" s="13" t="n">
        <v>8057971187843</v>
      </c>
      <c r="O2938" s="13"/>
      <c r="P2938" s="13" t="s">
        <v>5291</v>
      </c>
      <c r="Q2938" s="13" t="s">
        <v>5289</v>
      </c>
      <c r="R2938" s="13" t="s">
        <v>5292</v>
      </c>
      <c r="S2938" s="13" t="s">
        <v>5293</v>
      </c>
      <c r="T2938" s="13" t="s">
        <v>5</v>
      </c>
      <c r="U2938" s="13" t="s">
        <v>43</v>
      </c>
      <c r="V2938" s="13" t="n">
        <f aca="false">IF(COUNTIF($B$2:B2938,B2938)=1,1,0)</f>
        <v>0</v>
      </c>
      <c r="W2938" s="13" t="n">
        <f aca="false">IF(COUNTIFS($B$2:B2938,B2938,$T$2:T2938,T2938)=1,1,0)</f>
        <v>0</v>
      </c>
    </row>
    <row r="2939" customFormat="false" ht="15" hidden="false" customHeight="false" outlineLevel="0" collapsed="false">
      <c r="A2939" s="13" t="s">
        <v>1257</v>
      </c>
      <c r="B2939" s="13" t="s">
        <v>54</v>
      </c>
      <c r="C2939" s="13" t="n">
        <v>980</v>
      </c>
      <c r="D2939" s="13" t="n">
        <v>2</v>
      </c>
      <c r="E2939" s="13" t="n">
        <v>325.56</v>
      </c>
      <c r="F2939" s="13" t="s">
        <v>5325</v>
      </c>
      <c r="G2939" s="13" t="s">
        <v>5289</v>
      </c>
      <c r="H2939" s="13" t="s">
        <v>5289</v>
      </c>
      <c r="I2939" s="13" t="s">
        <v>5289</v>
      </c>
      <c r="J2939" s="13" t="s">
        <v>5289</v>
      </c>
      <c r="K2939" s="13" t="s">
        <v>5289</v>
      </c>
      <c r="L2939" s="13" t="n">
        <v>7898965700959</v>
      </c>
      <c r="M2939" s="13"/>
      <c r="N2939" s="13" t="n">
        <v>730852212855</v>
      </c>
      <c r="O2939" s="13"/>
      <c r="P2939" s="13" t="s">
        <v>5291</v>
      </c>
      <c r="Q2939" s="13" t="s">
        <v>5289</v>
      </c>
      <c r="R2939" s="13" t="s">
        <v>5292</v>
      </c>
      <c r="S2939" s="13" t="s">
        <v>5293</v>
      </c>
      <c r="T2939" s="13" t="s">
        <v>5</v>
      </c>
      <c r="U2939" s="13" t="s">
        <v>43</v>
      </c>
      <c r="V2939" s="13" t="n">
        <f aca="false">IF(COUNTIF($B$2:B2939,B2939)=1,1,0)</f>
        <v>0</v>
      </c>
      <c r="W2939" s="13" t="n">
        <f aca="false">IF(COUNTIFS($B$2:B2939,B2939,$T$2:T2939,T2939)=1,1,0)</f>
        <v>0</v>
      </c>
    </row>
    <row r="2940" customFormat="false" ht="15" hidden="false" customHeight="false" outlineLevel="0" collapsed="false">
      <c r="A2940" s="13" t="s">
        <v>1252</v>
      </c>
      <c r="B2940" s="13" t="s">
        <v>72</v>
      </c>
      <c r="C2940" s="13" t="n">
        <v>980</v>
      </c>
      <c r="D2940" s="13" t="n">
        <v>1</v>
      </c>
      <c r="E2940" s="13" t="n">
        <v>975.63</v>
      </c>
      <c r="F2940" s="13" t="s">
        <v>5325</v>
      </c>
      <c r="G2940" s="13" t="s">
        <v>5289</v>
      </c>
      <c r="H2940" s="13" t="s">
        <v>5292</v>
      </c>
      <c r="I2940" s="13" t="s">
        <v>5289</v>
      </c>
      <c r="J2940" s="13" t="s">
        <v>5289</v>
      </c>
      <c r="K2940" s="13" t="s">
        <v>5289</v>
      </c>
      <c r="L2940" s="13" t="n">
        <v>3614274089356</v>
      </c>
      <c r="M2940" s="13"/>
      <c r="N2940" s="13" t="n">
        <v>3614274089356</v>
      </c>
      <c r="O2940" s="13"/>
      <c r="P2940" s="13" t="s">
        <v>5297</v>
      </c>
      <c r="Q2940" s="13" t="s">
        <v>5289</v>
      </c>
      <c r="R2940" s="13" t="s">
        <v>5292</v>
      </c>
      <c r="S2940" s="13" t="s">
        <v>5293</v>
      </c>
      <c r="T2940" s="13" t="s">
        <v>5</v>
      </c>
      <c r="U2940" s="13" t="s">
        <v>43</v>
      </c>
      <c r="V2940" s="13" t="n">
        <f aca="false">IF(COUNTIF($B$2:B2940,B2940)=1,1,0)</f>
        <v>0</v>
      </c>
      <c r="W2940" s="13" t="n">
        <f aca="false">IF(COUNTIFS($B$2:B2940,B2940,$T$2:T2940,T2940)=1,1,0)</f>
        <v>0</v>
      </c>
    </row>
    <row r="2941" customFormat="false" ht="15" hidden="false" customHeight="false" outlineLevel="0" collapsed="false">
      <c r="A2941" s="13" t="s">
        <v>1176</v>
      </c>
      <c r="B2941" s="13" t="s">
        <v>153</v>
      </c>
      <c r="C2941" s="13" t="n">
        <v>970</v>
      </c>
      <c r="D2941" s="13" t="n">
        <v>2</v>
      </c>
      <c r="E2941" s="13" t="n">
        <v>485.48</v>
      </c>
      <c r="F2941" s="13" t="s">
        <v>5325</v>
      </c>
      <c r="G2941" s="13" t="s">
        <v>5289</v>
      </c>
      <c r="H2941" s="13" t="s">
        <v>5292</v>
      </c>
      <c r="I2941" s="13" t="s">
        <v>5289</v>
      </c>
      <c r="J2941" s="13" t="s">
        <v>5289</v>
      </c>
      <c r="K2941" s="13" t="s">
        <v>5289</v>
      </c>
      <c r="L2941" s="13" t="n">
        <v>8011003993819</v>
      </c>
      <c r="M2941" s="13"/>
      <c r="N2941" s="13" t="n">
        <v>8011003993819</v>
      </c>
      <c r="O2941" s="13"/>
      <c r="P2941" s="13" t="s">
        <v>5291</v>
      </c>
      <c r="Q2941" s="13" t="s">
        <v>5289</v>
      </c>
      <c r="R2941" s="13" t="s">
        <v>5292</v>
      </c>
      <c r="S2941" s="13" t="s">
        <v>5293</v>
      </c>
      <c r="T2941" s="13" t="s">
        <v>5</v>
      </c>
      <c r="U2941" s="13" t="s">
        <v>43</v>
      </c>
      <c r="V2941" s="13" t="n">
        <f aca="false">IF(COUNTIF($B$2:B2941,B2941)=1,1,0)</f>
        <v>0</v>
      </c>
      <c r="W2941" s="13" t="n">
        <f aca="false">IF(COUNTIFS($B$2:B2941,B2941,$T$2:T2941,T2941)=1,1,0)</f>
        <v>0</v>
      </c>
    </row>
    <row r="2942" customFormat="false" ht="15" hidden="false" customHeight="false" outlineLevel="0" collapsed="false">
      <c r="A2942" s="13" t="s">
        <v>1263</v>
      </c>
      <c r="B2942" s="13" t="s">
        <v>54</v>
      </c>
      <c r="C2942" s="13" t="n">
        <v>970</v>
      </c>
      <c r="D2942" s="13" t="n">
        <v>1</v>
      </c>
      <c r="E2942" s="13" t="n">
        <v>970.85</v>
      </c>
      <c r="F2942" s="13" t="s">
        <v>5325</v>
      </c>
      <c r="G2942" s="13" t="s">
        <v>5289</v>
      </c>
      <c r="H2942" s="13" t="s">
        <v>5289</v>
      </c>
      <c r="I2942" s="13" t="s">
        <v>5289</v>
      </c>
      <c r="J2942" s="13" t="s">
        <v>5289</v>
      </c>
      <c r="K2942" s="13" t="s">
        <v>5292</v>
      </c>
      <c r="L2942" s="13" t="n">
        <v>768614149385</v>
      </c>
      <c r="M2942" s="13"/>
      <c r="N2942" s="13" t="n">
        <v>768614149385</v>
      </c>
      <c r="O2942" s="13"/>
      <c r="P2942" s="13" t="s">
        <v>5297</v>
      </c>
      <c r="Q2942" s="13" t="s">
        <v>5289</v>
      </c>
      <c r="R2942" s="13" t="s">
        <v>5292</v>
      </c>
      <c r="S2942" s="13" t="s">
        <v>5293</v>
      </c>
      <c r="T2942" s="13" t="s">
        <v>5</v>
      </c>
      <c r="U2942" s="13" t="s">
        <v>43</v>
      </c>
      <c r="V2942" s="13" t="n">
        <f aca="false">IF(COUNTIF($B$2:B2942,B2942)=1,1,0)</f>
        <v>0</v>
      </c>
      <c r="W2942" s="13" t="n">
        <f aca="false">IF(COUNTIFS($B$2:B2942,B2942,$T$2:T2942,T2942)=1,1,0)</f>
        <v>0</v>
      </c>
    </row>
    <row r="2943" customFormat="false" ht="15" hidden="false" customHeight="false" outlineLevel="0" collapsed="false">
      <c r="A2943" s="13" t="s">
        <v>1201</v>
      </c>
      <c r="B2943" s="13" t="s">
        <v>69</v>
      </c>
      <c r="C2943" s="13" t="n">
        <v>970</v>
      </c>
      <c r="D2943" s="13" t="n">
        <v>2</v>
      </c>
      <c r="E2943" s="13" t="n">
        <v>484.5</v>
      </c>
      <c r="F2943" s="13" t="s">
        <v>5325</v>
      </c>
      <c r="G2943" s="13" t="s">
        <v>5292</v>
      </c>
      <c r="H2943" s="13" t="s">
        <v>5292</v>
      </c>
      <c r="I2943" s="13" t="s">
        <v>5289</v>
      </c>
      <c r="J2943" s="13" t="s">
        <v>5289</v>
      </c>
      <c r="K2943" s="13" t="s">
        <v>5289</v>
      </c>
      <c r="L2943" s="13"/>
      <c r="M2943" s="13"/>
      <c r="N2943" s="13" t="n">
        <v>3614273069533</v>
      </c>
      <c r="O2943" s="13"/>
      <c r="P2943" s="13" t="s">
        <v>5291</v>
      </c>
      <c r="Q2943" s="13" t="s">
        <v>5289</v>
      </c>
      <c r="R2943" s="13" t="s">
        <v>5292</v>
      </c>
      <c r="S2943" s="13" t="s">
        <v>5293</v>
      </c>
      <c r="T2943" s="13" t="s">
        <v>5</v>
      </c>
      <c r="U2943" s="13" t="s">
        <v>43</v>
      </c>
      <c r="V2943" s="13" t="n">
        <f aca="false">IF(COUNTIF($B$2:B2943,B2943)=1,1,0)</f>
        <v>0</v>
      </c>
      <c r="W2943" s="13" t="n">
        <f aca="false">IF(COUNTIFS($B$2:B2943,B2943,$T$2:T2943,T2943)=1,1,0)</f>
        <v>0</v>
      </c>
    </row>
    <row r="2944" customFormat="false" ht="15" hidden="false" customHeight="false" outlineLevel="0" collapsed="false">
      <c r="A2944" s="13" t="s">
        <v>832</v>
      </c>
      <c r="B2944" s="13" t="s">
        <v>54</v>
      </c>
      <c r="C2944" s="13" t="n">
        <v>970</v>
      </c>
      <c r="D2944" s="13" t="n">
        <v>1</v>
      </c>
      <c r="E2944" s="13" t="n">
        <v>968.85</v>
      </c>
      <c r="F2944" s="13" t="s">
        <v>5325</v>
      </c>
      <c r="G2944" s="13" t="s">
        <v>5289</v>
      </c>
      <c r="H2944" s="13" t="s">
        <v>5289</v>
      </c>
      <c r="I2944" s="13" t="s">
        <v>5289</v>
      </c>
      <c r="J2944" s="13" t="s">
        <v>5289</v>
      </c>
      <c r="K2944" s="13" t="s">
        <v>5292</v>
      </c>
      <c r="L2944" s="13" t="n">
        <v>768614210269</v>
      </c>
      <c r="M2944" s="13"/>
      <c r="N2944" s="13" t="n">
        <v>768614210269</v>
      </c>
      <c r="O2944" s="13"/>
      <c r="P2944" s="13" t="s">
        <v>5297</v>
      </c>
      <c r="Q2944" s="13" t="s">
        <v>5289</v>
      </c>
      <c r="R2944" s="13" t="s">
        <v>5292</v>
      </c>
      <c r="S2944" s="13" t="s">
        <v>5293</v>
      </c>
      <c r="T2944" s="13" t="s">
        <v>5</v>
      </c>
      <c r="U2944" s="13" t="s">
        <v>43</v>
      </c>
      <c r="V2944" s="13" t="n">
        <f aca="false">IF(COUNTIF($B$2:B2944,B2944)=1,1,0)</f>
        <v>0</v>
      </c>
      <c r="W2944" s="13" t="n">
        <f aca="false">IF(COUNTIFS($B$2:B2944,B2944,$T$2:T2944,T2944)=1,1,0)</f>
        <v>0</v>
      </c>
    </row>
    <row r="2945" customFormat="false" ht="15" hidden="false" customHeight="false" outlineLevel="0" collapsed="false">
      <c r="A2945" s="13" t="s">
        <v>4089</v>
      </c>
      <c r="B2945" s="13" t="s">
        <v>2130</v>
      </c>
      <c r="C2945" s="13" t="n">
        <v>970</v>
      </c>
      <c r="D2945" s="13" t="n">
        <v>1</v>
      </c>
      <c r="E2945" s="13" t="n">
        <v>968.85</v>
      </c>
      <c r="F2945" s="13" t="s">
        <v>5288</v>
      </c>
      <c r="G2945" s="13" t="s">
        <v>5292</v>
      </c>
      <c r="H2945" s="13" t="s">
        <v>5292</v>
      </c>
      <c r="I2945" s="13" t="s">
        <v>5289</v>
      </c>
      <c r="J2945" s="13" t="s">
        <v>5289</v>
      </c>
      <c r="K2945" s="13" t="s">
        <v>5292</v>
      </c>
      <c r="L2945" s="13" t="n">
        <v>3439600040920</v>
      </c>
      <c r="M2945" s="13"/>
      <c r="N2945" s="13" t="n">
        <v>3439600040920</v>
      </c>
      <c r="O2945" s="13"/>
      <c r="P2945" s="13" t="s">
        <v>5291</v>
      </c>
      <c r="Q2945" s="13" t="s">
        <v>5289</v>
      </c>
      <c r="R2945" s="13" t="s">
        <v>5292</v>
      </c>
      <c r="S2945" s="13" t="s">
        <v>5293</v>
      </c>
      <c r="T2945" s="13" t="s">
        <v>5</v>
      </c>
      <c r="U2945" s="13" t="s">
        <v>43</v>
      </c>
      <c r="V2945" s="13" t="n">
        <f aca="false">IF(COUNTIF($B$2:B2945,B2945)=1,1,0)</f>
        <v>0</v>
      </c>
      <c r="W2945" s="13" t="n">
        <f aca="false">IF(COUNTIFS($B$2:B2945,B2945,$T$2:T2945,T2945)=1,1,0)</f>
        <v>0</v>
      </c>
    </row>
    <row r="2946" customFormat="false" ht="15" hidden="false" customHeight="false" outlineLevel="0" collapsed="false">
      <c r="A2946" s="13" t="s">
        <v>780</v>
      </c>
      <c r="B2946" s="13" t="s">
        <v>45</v>
      </c>
      <c r="C2946" s="13" t="n">
        <v>970</v>
      </c>
      <c r="D2946" s="13" t="n">
        <v>2</v>
      </c>
      <c r="E2946" s="13" t="n">
        <v>484</v>
      </c>
      <c r="F2946" s="13" t="s">
        <v>5325</v>
      </c>
      <c r="G2946" s="13" t="s">
        <v>5289</v>
      </c>
      <c r="H2946" s="13" t="s">
        <v>5292</v>
      </c>
      <c r="I2946" s="13" t="s">
        <v>5289</v>
      </c>
      <c r="J2946" s="13" t="s">
        <v>5289</v>
      </c>
      <c r="K2946" s="13" t="s">
        <v>5289</v>
      </c>
      <c r="L2946" s="13"/>
      <c r="M2946" s="13"/>
      <c r="N2946" s="13" t="n">
        <v>8435415076937</v>
      </c>
      <c r="O2946" s="13"/>
      <c r="P2946" s="13" t="s">
        <v>5291</v>
      </c>
      <c r="Q2946" s="13" t="s">
        <v>5289</v>
      </c>
      <c r="R2946" s="13" t="s">
        <v>5292</v>
      </c>
      <c r="S2946" s="13" t="s">
        <v>5293</v>
      </c>
      <c r="T2946" s="13" t="s">
        <v>5</v>
      </c>
      <c r="U2946" s="13" t="s">
        <v>43</v>
      </c>
      <c r="V2946" s="13" t="n">
        <f aca="false">IF(COUNTIF($B$2:B2946,B2946)=1,1,0)</f>
        <v>0</v>
      </c>
      <c r="W2946" s="13" t="n">
        <f aca="false">IF(COUNTIFS($B$2:B2946,B2946,$T$2:T2946,T2946)=1,1,0)</f>
        <v>0</v>
      </c>
    </row>
    <row r="2947" customFormat="false" ht="15" hidden="false" customHeight="false" outlineLevel="0" collapsed="false">
      <c r="A2947" s="13" t="s">
        <v>1270</v>
      </c>
      <c r="B2947" s="13" t="s">
        <v>54</v>
      </c>
      <c r="C2947" s="13" t="n">
        <v>960</v>
      </c>
      <c r="D2947" s="13" t="n">
        <v>2</v>
      </c>
      <c r="E2947" s="13" t="n">
        <v>320.08</v>
      </c>
      <c r="F2947" s="13" t="s">
        <v>5325</v>
      </c>
      <c r="G2947" s="13" t="s">
        <v>5289</v>
      </c>
      <c r="H2947" s="13" t="s">
        <v>5292</v>
      </c>
      <c r="I2947" s="13" t="s">
        <v>5289</v>
      </c>
      <c r="J2947" s="13" t="s">
        <v>5289</v>
      </c>
      <c r="K2947" s="13" t="s">
        <v>5289</v>
      </c>
      <c r="L2947" s="13" t="n">
        <v>768614155942</v>
      </c>
      <c r="M2947" s="13"/>
      <c r="N2947" s="13" t="n">
        <v>768614155942</v>
      </c>
      <c r="O2947" s="13"/>
      <c r="P2947" s="13" t="s">
        <v>5291</v>
      </c>
      <c r="Q2947" s="13" t="s">
        <v>5289</v>
      </c>
      <c r="R2947" s="13" t="s">
        <v>5292</v>
      </c>
      <c r="S2947" s="13" t="s">
        <v>5293</v>
      </c>
      <c r="T2947" s="13" t="s">
        <v>5</v>
      </c>
      <c r="U2947" s="13" t="s">
        <v>43</v>
      </c>
      <c r="V2947" s="13" t="n">
        <f aca="false">IF(COUNTIF($B$2:B2947,B2947)=1,1,0)</f>
        <v>0</v>
      </c>
      <c r="W2947" s="13" t="n">
        <f aca="false">IF(COUNTIFS($B$2:B2947,B2947,$T$2:T2947,T2947)=1,1,0)</f>
        <v>0</v>
      </c>
    </row>
    <row r="2948" customFormat="false" ht="15" hidden="false" customHeight="false" outlineLevel="0" collapsed="false">
      <c r="A2948" s="13" t="s">
        <v>1264</v>
      </c>
      <c r="B2948" s="13" t="s">
        <v>153</v>
      </c>
      <c r="C2948" s="13" t="n">
        <v>960</v>
      </c>
      <c r="D2948" s="13" t="n">
        <v>2</v>
      </c>
      <c r="E2948" s="13" t="n">
        <v>480</v>
      </c>
      <c r="F2948" s="13" t="s">
        <v>5325</v>
      </c>
      <c r="G2948" s="13" t="s">
        <v>5289</v>
      </c>
      <c r="H2948" s="13" t="s">
        <v>5289</v>
      </c>
      <c r="I2948" s="13" t="s">
        <v>5289</v>
      </c>
      <c r="J2948" s="13" t="s">
        <v>5289</v>
      </c>
      <c r="K2948" s="13" t="s">
        <v>5289</v>
      </c>
      <c r="L2948" s="13" t="n">
        <v>8011003818112</v>
      </c>
      <c r="M2948" s="13"/>
      <c r="N2948" s="13" t="n">
        <v>8011003818112</v>
      </c>
      <c r="O2948" s="13"/>
      <c r="P2948" s="13" t="s">
        <v>5291</v>
      </c>
      <c r="Q2948" s="13" t="s">
        <v>5289</v>
      </c>
      <c r="R2948" s="13" t="s">
        <v>5292</v>
      </c>
      <c r="S2948" s="13" t="s">
        <v>5293</v>
      </c>
      <c r="T2948" s="13" t="s">
        <v>5</v>
      </c>
      <c r="U2948" s="13" t="s">
        <v>43</v>
      </c>
      <c r="V2948" s="13" t="n">
        <f aca="false">IF(COUNTIF($B$2:B2948,B2948)=1,1,0)</f>
        <v>0</v>
      </c>
      <c r="W2948" s="13" t="n">
        <f aca="false">IF(COUNTIFS($B$2:B2948,B2948,$T$2:T2948,T2948)=1,1,0)</f>
        <v>0</v>
      </c>
    </row>
    <row r="2949" customFormat="false" ht="15" hidden="false" customHeight="false" outlineLevel="0" collapsed="false">
      <c r="A2949" s="13" t="s">
        <v>1268</v>
      </c>
      <c r="B2949" s="13" t="s">
        <v>195</v>
      </c>
      <c r="C2949" s="13" t="n">
        <v>960</v>
      </c>
      <c r="D2949" s="13" t="n">
        <v>1</v>
      </c>
      <c r="E2949" s="13" t="n">
        <v>959.29</v>
      </c>
      <c r="F2949" s="13" t="s">
        <v>5325</v>
      </c>
      <c r="G2949" s="13" t="s">
        <v>5289</v>
      </c>
      <c r="H2949" s="13" t="s">
        <v>5292</v>
      </c>
      <c r="I2949" s="13" t="s">
        <v>5289</v>
      </c>
      <c r="J2949" s="13" t="s">
        <v>5289</v>
      </c>
      <c r="K2949" s="13" t="s">
        <v>5289</v>
      </c>
      <c r="L2949" s="13" t="n">
        <v>3616305947291</v>
      </c>
      <c r="M2949" s="13"/>
      <c r="N2949" s="13" t="n">
        <v>3616305947291</v>
      </c>
      <c r="O2949" s="13"/>
      <c r="P2949" s="13" t="s">
        <v>5291</v>
      </c>
      <c r="Q2949" s="13" t="s">
        <v>5289</v>
      </c>
      <c r="R2949" s="13" t="s">
        <v>5292</v>
      </c>
      <c r="S2949" s="13" t="s">
        <v>5293</v>
      </c>
      <c r="T2949" s="13" t="s">
        <v>5</v>
      </c>
      <c r="U2949" s="13" t="s">
        <v>43</v>
      </c>
      <c r="V2949" s="13" t="n">
        <f aca="false">IF(COUNTIF($B$2:B2949,B2949)=1,1,0)</f>
        <v>0</v>
      </c>
      <c r="W2949" s="13" t="n">
        <f aca="false">IF(COUNTIFS($B$2:B2949,B2949,$T$2:T2949,T2949)=1,1,0)</f>
        <v>0</v>
      </c>
    </row>
    <row r="2950" customFormat="false" ht="15" hidden="false" customHeight="false" outlineLevel="0" collapsed="false">
      <c r="A2950" s="13" t="s">
        <v>1266</v>
      </c>
      <c r="B2950" s="13" t="s">
        <v>69</v>
      </c>
      <c r="C2950" s="13" t="n">
        <v>960</v>
      </c>
      <c r="D2950" s="13" t="n">
        <v>1</v>
      </c>
      <c r="E2950" s="13" t="n">
        <v>958.85</v>
      </c>
      <c r="F2950" s="13" t="s">
        <v>5288</v>
      </c>
      <c r="G2950" s="13" t="s">
        <v>5289</v>
      </c>
      <c r="H2950" s="13" t="s">
        <v>5292</v>
      </c>
      <c r="I2950" s="13" t="s">
        <v>5289</v>
      </c>
      <c r="J2950" s="13" t="s">
        <v>5289</v>
      </c>
      <c r="K2950" s="13" t="s">
        <v>5292</v>
      </c>
      <c r="L2950" s="13"/>
      <c r="M2950" s="13"/>
      <c r="N2950" s="13" t="n">
        <v>3614273941136</v>
      </c>
      <c r="O2950" s="13"/>
      <c r="P2950" s="13" t="s">
        <v>5291</v>
      </c>
      <c r="Q2950" s="13" t="s">
        <v>5289</v>
      </c>
      <c r="R2950" s="13" t="s">
        <v>5292</v>
      </c>
      <c r="S2950" s="13" t="s">
        <v>5293</v>
      </c>
      <c r="T2950" s="13" t="s">
        <v>5</v>
      </c>
      <c r="U2950" s="13" t="s">
        <v>43</v>
      </c>
      <c r="V2950" s="13" t="n">
        <f aca="false">IF(COUNTIF($B$2:B2950,B2950)=1,1,0)</f>
        <v>0</v>
      </c>
      <c r="W2950" s="13" t="n">
        <f aca="false">IF(COUNTIFS($B$2:B2950,B2950,$T$2:T2950,T2950)=1,1,0)</f>
        <v>0</v>
      </c>
    </row>
    <row r="2951" customFormat="false" ht="15" hidden="false" customHeight="false" outlineLevel="0" collapsed="false">
      <c r="A2951" s="13" t="s">
        <v>1269</v>
      </c>
      <c r="B2951" s="13" t="s">
        <v>79</v>
      </c>
      <c r="C2951" s="13" t="n">
        <v>960</v>
      </c>
      <c r="D2951" s="13" t="n">
        <v>1</v>
      </c>
      <c r="E2951" s="13" t="n">
        <v>955.93</v>
      </c>
      <c r="F2951" s="13" t="s">
        <v>5325</v>
      </c>
      <c r="G2951" s="13" t="s">
        <v>5289</v>
      </c>
      <c r="H2951" s="13" t="s">
        <v>5292</v>
      </c>
      <c r="I2951" s="13" t="s">
        <v>5289</v>
      </c>
      <c r="J2951" s="13" t="s">
        <v>5289</v>
      </c>
      <c r="K2951" s="13" t="s">
        <v>5289</v>
      </c>
      <c r="L2951" s="13" t="n">
        <v>3423473021001</v>
      </c>
      <c r="M2951" s="13"/>
      <c r="N2951" s="13" t="n">
        <v>3423473021001</v>
      </c>
      <c r="O2951" s="13"/>
      <c r="P2951" s="13" t="s">
        <v>5291</v>
      </c>
      <c r="Q2951" s="13" t="s">
        <v>5289</v>
      </c>
      <c r="R2951" s="13" t="s">
        <v>5292</v>
      </c>
      <c r="S2951" s="13" t="s">
        <v>5293</v>
      </c>
      <c r="T2951" s="13" t="s">
        <v>5</v>
      </c>
      <c r="U2951" s="13" t="s">
        <v>43</v>
      </c>
      <c r="V2951" s="13" t="n">
        <f aca="false">IF(COUNTIF($B$2:B2951,B2951)=1,1,0)</f>
        <v>0</v>
      </c>
      <c r="W2951" s="13" t="n">
        <f aca="false">IF(COUNTIFS($B$2:B2951,B2951,$T$2:T2951,T2951)=1,1,0)</f>
        <v>0</v>
      </c>
    </row>
    <row r="2952" customFormat="false" ht="15" hidden="false" customHeight="false" outlineLevel="0" collapsed="false">
      <c r="A2952" s="13" t="s">
        <v>1267</v>
      </c>
      <c r="B2952" s="13" t="s">
        <v>50</v>
      </c>
      <c r="C2952" s="13" t="n">
        <v>960</v>
      </c>
      <c r="D2952" s="13" t="n">
        <v>2</v>
      </c>
      <c r="E2952" s="13" t="n">
        <v>238.85</v>
      </c>
      <c r="F2952" s="13" t="s">
        <v>5325</v>
      </c>
      <c r="G2952" s="13" t="s">
        <v>5292</v>
      </c>
      <c r="H2952" s="13" t="s">
        <v>5292</v>
      </c>
      <c r="I2952" s="13" t="s">
        <v>5289</v>
      </c>
      <c r="J2952" s="13" t="s">
        <v>5289</v>
      </c>
      <c r="K2952" s="13" t="s">
        <v>5292</v>
      </c>
      <c r="L2952" s="13" t="n">
        <v>3349668530564</v>
      </c>
      <c r="M2952" s="13"/>
      <c r="N2952" s="13" t="n">
        <v>3349668530564</v>
      </c>
      <c r="O2952" s="13"/>
      <c r="P2952" s="13" t="s">
        <v>5291</v>
      </c>
      <c r="Q2952" s="13" t="s">
        <v>5289</v>
      </c>
      <c r="R2952" s="13" t="s">
        <v>5292</v>
      </c>
      <c r="S2952" s="13" t="s">
        <v>5293</v>
      </c>
      <c r="T2952" s="13" t="s">
        <v>5</v>
      </c>
      <c r="U2952" s="13" t="s">
        <v>43</v>
      </c>
      <c r="V2952" s="13" t="n">
        <f aca="false">IF(COUNTIF($B$2:B2952,B2952)=1,1,0)</f>
        <v>0</v>
      </c>
      <c r="W2952" s="13" t="n">
        <f aca="false">IF(COUNTIFS($B$2:B2952,B2952,$T$2:T2952,T2952)=1,1,0)</f>
        <v>0</v>
      </c>
    </row>
    <row r="2953" customFormat="false" ht="15" hidden="false" customHeight="false" outlineLevel="0" collapsed="false">
      <c r="A2953" s="13" t="s">
        <v>1273</v>
      </c>
      <c r="B2953" s="13" t="s">
        <v>193</v>
      </c>
      <c r="C2953" s="13" t="n">
        <v>950</v>
      </c>
      <c r="D2953" s="13" t="n">
        <v>1</v>
      </c>
      <c r="E2953" s="13" t="n">
        <v>951.08</v>
      </c>
      <c r="F2953" s="13" t="s">
        <v>5325</v>
      </c>
      <c r="G2953" s="13" t="s">
        <v>5289</v>
      </c>
      <c r="H2953" s="13" t="s">
        <v>5289</v>
      </c>
      <c r="I2953" s="13" t="s">
        <v>5289</v>
      </c>
      <c r="J2953" s="13" t="s">
        <v>5289</v>
      </c>
      <c r="K2953" s="13" t="s">
        <v>5289</v>
      </c>
      <c r="L2953" s="13" t="n">
        <v>3605521816658</v>
      </c>
      <c r="M2953" s="13"/>
      <c r="N2953" s="13" t="n">
        <v>7.89970624698936E+025</v>
      </c>
      <c r="O2953" s="13"/>
      <c r="P2953" s="13" t="s">
        <v>5291</v>
      </c>
      <c r="Q2953" s="13" t="s">
        <v>5289</v>
      </c>
      <c r="R2953" s="13" t="s">
        <v>5292</v>
      </c>
      <c r="S2953" s="13" t="s">
        <v>5293</v>
      </c>
      <c r="T2953" s="13" t="s">
        <v>5</v>
      </c>
      <c r="U2953" s="13" t="s">
        <v>43</v>
      </c>
      <c r="V2953" s="13" t="n">
        <f aca="false">IF(COUNTIF($B$2:B2953,B2953)=1,1,0)</f>
        <v>0</v>
      </c>
      <c r="W2953" s="13" t="n">
        <f aca="false">IF(COUNTIFS($B$2:B2953,B2953,$T$2:T2953,T2953)=1,1,0)</f>
        <v>0</v>
      </c>
    </row>
    <row r="2954" customFormat="false" ht="15" hidden="false" customHeight="false" outlineLevel="0" collapsed="false">
      <c r="A2954" s="13" t="s">
        <v>52</v>
      </c>
      <c r="B2954" s="13" t="s">
        <v>50</v>
      </c>
      <c r="C2954" s="13" t="n">
        <v>950</v>
      </c>
      <c r="D2954" s="13" t="n">
        <v>2</v>
      </c>
      <c r="E2954" s="13" t="n">
        <v>475</v>
      </c>
      <c r="F2954" s="13" t="s">
        <v>5325</v>
      </c>
      <c r="G2954" s="13" t="s">
        <v>5292</v>
      </c>
      <c r="H2954" s="13" t="s">
        <v>5289</v>
      </c>
      <c r="I2954" s="13" t="s">
        <v>5289</v>
      </c>
      <c r="J2954" s="13" t="s">
        <v>5289</v>
      </c>
      <c r="K2954" s="13" t="s">
        <v>5289</v>
      </c>
      <c r="L2954" s="13" t="n">
        <v>3349666007921</v>
      </c>
      <c r="M2954" s="13"/>
      <c r="N2954" s="13" t="n">
        <v>3349666007921</v>
      </c>
      <c r="O2954" s="13"/>
      <c r="P2954" s="13" t="s">
        <v>5291</v>
      </c>
      <c r="Q2954" s="13" t="s">
        <v>5289</v>
      </c>
      <c r="R2954" s="13" t="s">
        <v>5292</v>
      </c>
      <c r="S2954" s="13" t="s">
        <v>5293</v>
      </c>
      <c r="T2954" s="13" t="s">
        <v>5</v>
      </c>
      <c r="U2954" s="13" t="s">
        <v>43</v>
      </c>
      <c r="V2954" s="13" t="n">
        <f aca="false">IF(COUNTIF($B$2:B2954,B2954)=1,1,0)</f>
        <v>0</v>
      </c>
      <c r="W2954" s="13" t="n">
        <f aca="false">IF(COUNTIFS($B$2:B2954,B2954,$T$2:T2954,T2954)=1,1,0)</f>
        <v>0</v>
      </c>
    </row>
    <row r="2955" customFormat="false" ht="15" hidden="false" customHeight="false" outlineLevel="0" collapsed="false">
      <c r="A2955" s="13" t="s">
        <v>4104</v>
      </c>
      <c r="B2955" s="13" t="s">
        <v>2131</v>
      </c>
      <c r="C2955" s="13" t="n">
        <v>950</v>
      </c>
      <c r="D2955" s="13" t="n">
        <v>1</v>
      </c>
      <c r="E2955" s="13" t="n">
        <v>948.85</v>
      </c>
      <c r="F2955" s="13" t="s">
        <v>5325</v>
      </c>
      <c r="G2955" s="13" t="s">
        <v>5292</v>
      </c>
      <c r="H2955" s="13" t="s">
        <v>5292</v>
      </c>
      <c r="I2955" s="13" t="s">
        <v>5289</v>
      </c>
      <c r="J2955" s="13" t="s">
        <v>5289</v>
      </c>
      <c r="K2955" s="13" t="s">
        <v>5292</v>
      </c>
      <c r="L2955" s="13" t="n">
        <v>3423222143930</v>
      </c>
      <c r="M2955" s="13"/>
      <c r="N2955" s="13" t="n">
        <v>3423222143930</v>
      </c>
      <c r="O2955" s="13"/>
      <c r="P2955" s="13" t="s">
        <v>5297</v>
      </c>
      <c r="Q2955" s="13" t="s">
        <v>5289</v>
      </c>
      <c r="R2955" s="13" t="s">
        <v>5292</v>
      </c>
      <c r="S2955" s="13" t="s">
        <v>5293</v>
      </c>
      <c r="T2955" s="13" t="s">
        <v>5</v>
      </c>
      <c r="U2955" s="13" t="s">
        <v>85</v>
      </c>
      <c r="V2955" s="13" t="n">
        <f aca="false">IF(COUNTIF($B$2:B2955,B2955)=1,1,0)</f>
        <v>0</v>
      </c>
      <c r="W2955" s="13" t="n">
        <f aca="false">IF(COUNTIFS($B$2:B2955,B2955,$T$2:T2955,T2955)=1,1,0)</f>
        <v>0</v>
      </c>
    </row>
    <row r="2956" customFormat="false" ht="15" hidden="false" customHeight="false" outlineLevel="0" collapsed="false">
      <c r="A2956" s="13" t="s">
        <v>294</v>
      </c>
      <c r="B2956" s="13" t="s">
        <v>50</v>
      </c>
      <c r="C2956" s="13" t="n">
        <v>950</v>
      </c>
      <c r="D2956" s="13" t="n">
        <v>1</v>
      </c>
      <c r="E2956" s="13" t="n">
        <v>948.85</v>
      </c>
      <c r="F2956" s="13" t="s">
        <v>5288</v>
      </c>
      <c r="G2956" s="13" t="s">
        <v>5289</v>
      </c>
      <c r="H2956" s="13" t="s">
        <v>5289</v>
      </c>
      <c r="I2956" s="13" t="s">
        <v>5289</v>
      </c>
      <c r="J2956" s="13" t="s">
        <v>5289</v>
      </c>
      <c r="K2956" s="13" t="s">
        <v>5292</v>
      </c>
      <c r="L2956" s="13"/>
      <c r="M2956" s="13"/>
      <c r="N2956" s="13" t="n">
        <v>3349668641833</v>
      </c>
      <c r="O2956" s="13"/>
      <c r="P2956" s="13" t="s">
        <v>5291</v>
      </c>
      <c r="Q2956" s="13" t="s">
        <v>5289</v>
      </c>
      <c r="R2956" s="13" t="s">
        <v>5292</v>
      </c>
      <c r="S2956" s="13" t="s">
        <v>5293</v>
      </c>
      <c r="T2956" s="13" t="s">
        <v>5</v>
      </c>
      <c r="U2956" s="13" t="s">
        <v>43</v>
      </c>
      <c r="V2956" s="13" t="n">
        <f aca="false">IF(COUNTIF($B$2:B2956,B2956)=1,1,0)</f>
        <v>0</v>
      </c>
      <c r="W2956" s="13" t="n">
        <f aca="false">IF(COUNTIFS($B$2:B2956,B2956,$T$2:T2956,T2956)=1,1,0)</f>
        <v>0</v>
      </c>
    </row>
    <row r="2957" customFormat="false" ht="15" hidden="false" customHeight="false" outlineLevel="0" collapsed="false">
      <c r="A2957" s="13" t="s">
        <v>1271</v>
      </c>
      <c r="B2957" s="13" t="s">
        <v>45</v>
      </c>
      <c r="C2957" s="13" t="n">
        <v>950</v>
      </c>
      <c r="D2957" s="13" t="n">
        <v>2</v>
      </c>
      <c r="E2957" s="13" t="n">
        <v>473.75</v>
      </c>
      <c r="F2957" s="13" t="s">
        <v>5325</v>
      </c>
      <c r="G2957" s="13" t="s">
        <v>5289</v>
      </c>
      <c r="H2957" s="13" t="s">
        <v>5289</v>
      </c>
      <c r="I2957" s="13" t="s">
        <v>5289</v>
      </c>
      <c r="J2957" s="13" t="s">
        <v>5289</v>
      </c>
      <c r="K2957" s="13" t="s">
        <v>5289</v>
      </c>
      <c r="L2957" s="13" t="n">
        <v>8435415102711</v>
      </c>
      <c r="M2957" s="13"/>
      <c r="N2957" s="13" t="n">
        <v>8435415102711</v>
      </c>
      <c r="O2957" s="13"/>
      <c r="P2957" s="13" t="s">
        <v>5291</v>
      </c>
      <c r="Q2957" s="13" t="s">
        <v>5289</v>
      </c>
      <c r="R2957" s="13" t="s">
        <v>5292</v>
      </c>
      <c r="S2957" s="13" t="s">
        <v>5293</v>
      </c>
      <c r="T2957" s="13" t="s">
        <v>5</v>
      </c>
      <c r="U2957" s="13" t="s">
        <v>43</v>
      </c>
      <c r="V2957" s="13" t="n">
        <f aca="false">IF(COUNTIF($B$2:B2957,B2957)=1,1,0)</f>
        <v>0</v>
      </c>
      <c r="W2957" s="13" t="n">
        <f aca="false">IF(COUNTIFS($B$2:B2957,B2957,$T$2:T2957,T2957)=1,1,0)</f>
        <v>0</v>
      </c>
    </row>
    <row r="2958" customFormat="false" ht="15" hidden="false" customHeight="false" outlineLevel="0" collapsed="false">
      <c r="A2958" s="13" t="s">
        <v>1280</v>
      </c>
      <c r="B2958" s="13" t="s">
        <v>153</v>
      </c>
      <c r="C2958" s="13" t="n">
        <v>940</v>
      </c>
      <c r="D2958" s="13" t="n">
        <v>2</v>
      </c>
      <c r="E2958" s="13" t="n">
        <v>472</v>
      </c>
      <c r="F2958" s="13" t="s">
        <v>5325</v>
      </c>
      <c r="G2958" s="13" t="s">
        <v>5289</v>
      </c>
      <c r="H2958" s="13" t="s">
        <v>5289</v>
      </c>
      <c r="I2958" s="13" t="s">
        <v>5289</v>
      </c>
      <c r="J2958" s="13" t="s">
        <v>5289</v>
      </c>
      <c r="K2958" s="13" t="s">
        <v>5289</v>
      </c>
      <c r="L2958" s="13" t="n">
        <v>8011003997015</v>
      </c>
      <c r="M2958" s="13"/>
      <c r="N2958" s="13" t="n">
        <v>8011003997015</v>
      </c>
      <c r="O2958" s="13"/>
      <c r="P2958" s="13" t="s">
        <v>5291</v>
      </c>
      <c r="Q2958" s="13" t="s">
        <v>5289</v>
      </c>
      <c r="R2958" s="13" t="s">
        <v>5292</v>
      </c>
      <c r="S2958" s="13" t="s">
        <v>5293</v>
      </c>
      <c r="T2958" s="13" t="s">
        <v>5</v>
      </c>
      <c r="U2958" s="13" t="s">
        <v>43</v>
      </c>
      <c r="V2958" s="13" t="n">
        <f aca="false">IF(COUNTIF($B$2:B2958,B2958)=1,1,0)</f>
        <v>0</v>
      </c>
      <c r="W2958" s="13" t="n">
        <f aca="false">IF(COUNTIFS($B$2:B2958,B2958,$T$2:T2958,T2958)=1,1,0)</f>
        <v>0</v>
      </c>
    </row>
    <row r="2959" customFormat="false" ht="15" hidden="false" customHeight="false" outlineLevel="0" collapsed="false">
      <c r="A2959" s="13" t="s">
        <v>1274</v>
      </c>
      <c r="B2959" s="13" t="s">
        <v>121</v>
      </c>
      <c r="C2959" s="13" t="n">
        <v>940</v>
      </c>
      <c r="D2959" s="13" t="n">
        <v>10</v>
      </c>
      <c r="E2959" s="13" t="n">
        <v>72.4807692307693</v>
      </c>
      <c r="F2959" s="13" t="s">
        <v>5325</v>
      </c>
      <c r="G2959" s="13" t="s">
        <v>5289</v>
      </c>
      <c r="H2959" s="13" t="s">
        <v>5289</v>
      </c>
      <c r="I2959" s="13" t="s">
        <v>5292</v>
      </c>
      <c r="J2959" s="13" t="s">
        <v>5289</v>
      </c>
      <c r="K2959" s="13" t="s">
        <v>5292</v>
      </c>
      <c r="L2959" s="13"/>
      <c r="M2959" s="13"/>
      <c r="N2959" s="13" t="n">
        <v>7896086920133</v>
      </c>
      <c r="O2959" s="13"/>
      <c r="P2959" s="13" t="s">
        <v>5291</v>
      </c>
      <c r="Q2959" s="13" t="s">
        <v>5289</v>
      </c>
      <c r="R2959" s="13" t="s">
        <v>5292</v>
      </c>
      <c r="S2959" s="13" t="s">
        <v>5293</v>
      </c>
      <c r="T2959" s="13" t="s">
        <v>5</v>
      </c>
      <c r="U2959" s="13" t="s">
        <v>183</v>
      </c>
      <c r="V2959" s="13" t="n">
        <f aca="false">IF(COUNTIF($B$2:B2959,B2959)=1,1,0)</f>
        <v>0</v>
      </c>
      <c r="W2959" s="13" t="n">
        <f aca="false">IF(COUNTIFS($B$2:B2959,B2959,$T$2:T2959,T2959)=1,1,0)</f>
        <v>0</v>
      </c>
    </row>
    <row r="2960" customFormat="false" ht="15" hidden="false" customHeight="false" outlineLevel="0" collapsed="false">
      <c r="A2960" s="13" t="s">
        <v>426</v>
      </c>
      <c r="B2960" s="13" t="s">
        <v>79</v>
      </c>
      <c r="C2960" s="13" t="n">
        <v>940</v>
      </c>
      <c r="D2960" s="13" t="n">
        <v>2</v>
      </c>
      <c r="E2960" s="13" t="n">
        <v>470</v>
      </c>
      <c r="F2960" s="13" t="s">
        <v>5288</v>
      </c>
      <c r="G2960" s="13" t="s">
        <v>5289</v>
      </c>
      <c r="H2960" s="13" t="s">
        <v>5289</v>
      </c>
      <c r="I2960" s="13" t="s">
        <v>5289</v>
      </c>
      <c r="J2960" s="13" t="s">
        <v>5289</v>
      </c>
      <c r="K2960" s="13" t="s">
        <v>5289</v>
      </c>
      <c r="L2960" s="13" t="n">
        <v>8056669925705</v>
      </c>
      <c r="M2960" s="13"/>
      <c r="N2960" s="13" t="n">
        <v>8056669925705</v>
      </c>
      <c r="O2960" s="13"/>
      <c r="P2960" s="13" t="s">
        <v>5291</v>
      </c>
      <c r="Q2960" s="13" t="s">
        <v>5289</v>
      </c>
      <c r="R2960" s="13" t="s">
        <v>5292</v>
      </c>
      <c r="S2960" s="13" t="s">
        <v>5293</v>
      </c>
      <c r="T2960" s="13" t="s">
        <v>5</v>
      </c>
      <c r="U2960" s="13" t="s">
        <v>43</v>
      </c>
      <c r="V2960" s="13" t="n">
        <f aca="false">IF(COUNTIF($B$2:B2960,B2960)=1,1,0)</f>
        <v>0</v>
      </c>
      <c r="W2960" s="13" t="n">
        <f aca="false">IF(COUNTIFS($B$2:B2960,B2960,$T$2:T2960,T2960)=1,1,0)</f>
        <v>0</v>
      </c>
    </row>
    <row r="2961" customFormat="false" ht="15" hidden="false" customHeight="false" outlineLevel="0" collapsed="false">
      <c r="A2961" s="13" t="s">
        <v>1281</v>
      </c>
      <c r="B2961" s="13" t="s">
        <v>153</v>
      </c>
      <c r="C2961" s="13" t="n">
        <v>940</v>
      </c>
      <c r="D2961" s="13" t="n">
        <v>2</v>
      </c>
      <c r="E2961" s="13" t="n">
        <v>469.48</v>
      </c>
      <c r="F2961" s="13" t="s">
        <v>5325</v>
      </c>
      <c r="G2961" s="13" t="s">
        <v>5289</v>
      </c>
      <c r="H2961" s="13" t="s">
        <v>5289</v>
      </c>
      <c r="I2961" s="13" t="s">
        <v>5289</v>
      </c>
      <c r="J2961" s="13" t="s">
        <v>5289</v>
      </c>
      <c r="K2961" s="13" t="s">
        <v>5289</v>
      </c>
      <c r="L2961" s="13" t="n">
        <v>8011003804559</v>
      </c>
      <c r="M2961" s="13"/>
      <c r="N2961" s="13" t="n">
        <v>8011003804559</v>
      </c>
      <c r="O2961" s="13"/>
      <c r="P2961" s="13" t="s">
        <v>5297</v>
      </c>
      <c r="Q2961" s="13" t="s">
        <v>5289</v>
      </c>
      <c r="R2961" s="13" t="s">
        <v>5292</v>
      </c>
      <c r="S2961" s="13" t="s">
        <v>5293</v>
      </c>
      <c r="T2961" s="13" t="s">
        <v>5</v>
      </c>
      <c r="U2961" s="13" t="s">
        <v>43</v>
      </c>
      <c r="V2961" s="13" t="n">
        <f aca="false">IF(COUNTIF($B$2:B2961,B2961)=1,1,0)</f>
        <v>0</v>
      </c>
      <c r="W2961" s="13" t="n">
        <f aca="false">IF(COUNTIFS($B$2:B2961,B2961,$T$2:T2961,T2961)=1,1,0)</f>
        <v>0</v>
      </c>
    </row>
    <row r="2962" customFormat="false" ht="15" hidden="false" customHeight="false" outlineLevel="0" collapsed="false">
      <c r="A2962" s="13" t="s">
        <v>1282</v>
      </c>
      <c r="B2962" s="13" t="s">
        <v>103</v>
      </c>
      <c r="C2962" s="13" t="n">
        <v>940</v>
      </c>
      <c r="D2962" s="13" t="n">
        <v>5</v>
      </c>
      <c r="E2962" s="13" t="n">
        <v>187</v>
      </c>
      <c r="F2962" s="13" t="s">
        <v>5325</v>
      </c>
      <c r="G2962" s="13" t="s">
        <v>5289</v>
      </c>
      <c r="H2962" s="13" t="s">
        <v>5289</v>
      </c>
      <c r="I2962" s="13" t="s">
        <v>5289</v>
      </c>
      <c r="J2962" s="13" t="s">
        <v>5289</v>
      </c>
      <c r="K2962" s="13" t="s">
        <v>5289</v>
      </c>
      <c r="L2962" s="13" t="n">
        <v>8411061084922</v>
      </c>
      <c r="M2962" s="13"/>
      <c r="N2962" s="13" t="n">
        <v>8411061084922</v>
      </c>
      <c r="O2962" s="13"/>
      <c r="P2962" s="13" t="s">
        <v>5291</v>
      </c>
      <c r="Q2962" s="13" t="s">
        <v>5289</v>
      </c>
      <c r="R2962" s="13" t="s">
        <v>5292</v>
      </c>
      <c r="S2962" s="13" t="s">
        <v>5293</v>
      </c>
      <c r="T2962" s="13" t="s">
        <v>5</v>
      </c>
      <c r="U2962" s="13" t="s">
        <v>43</v>
      </c>
      <c r="V2962" s="13" t="n">
        <f aca="false">IF(COUNTIF($B$2:B2962,B2962)=1,1,0)</f>
        <v>0</v>
      </c>
      <c r="W2962" s="13" t="n">
        <f aca="false">IF(COUNTIFS($B$2:B2962,B2962,$T$2:T2962,T2962)=1,1,0)</f>
        <v>0</v>
      </c>
    </row>
    <row r="2963" customFormat="false" ht="15" hidden="false" customHeight="false" outlineLevel="0" collapsed="false">
      <c r="A2963" s="13" t="s">
        <v>1046</v>
      </c>
      <c r="B2963" s="13" t="s">
        <v>54</v>
      </c>
      <c r="C2963" s="13" t="n">
        <v>930</v>
      </c>
      <c r="D2963" s="13" t="n">
        <v>2</v>
      </c>
      <c r="E2963" s="13" t="n">
        <v>310.28</v>
      </c>
      <c r="F2963" s="13" t="s">
        <v>5325</v>
      </c>
      <c r="G2963" s="13" t="s">
        <v>5289</v>
      </c>
      <c r="H2963" s="13" t="s">
        <v>5292</v>
      </c>
      <c r="I2963" s="13" t="s">
        <v>5289</v>
      </c>
      <c r="J2963" s="13" t="s">
        <v>5289</v>
      </c>
      <c r="K2963" s="13" t="s">
        <v>5289</v>
      </c>
      <c r="L2963" s="13" t="n">
        <v>729238146594</v>
      </c>
      <c r="M2963" s="13"/>
      <c r="N2963" s="13" t="n">
        <v>729238146594</v>
      </c>
      <c r="O2963" s="13"/>
      <c r="P2963" s="13" t="s">
        <v>5291</v>
      </c>
      <c r="Q2963" s="13" t="s">
        <v>5289</v>
      </c>
      <c r="R2963" s="13" t="s">
        <v>5292</v>
      </c>
      <c r="S2963" s="13" t="s">
        <v>5293</v>
      </c>
      <c r="T2963" s="13" t="s">
        <v>5</v>
      </c>
      <c r="U2963" s="13" t="s">
        <v>43</v>
      </c>
      <c r="V2963" s="13" t="n">
        <f aca="false">IF(COUNTIF($B$2:B2963,B2963)=1,1,0)</f>
        <v>0</v>
      </c>
      <c r="W2963" s="13" t="n">
        <f aca="false">IF(COUNTIFS($B$2:B2963,B2963,$T$2:T2963,T2963)=1,1,0)</f>
        <v>0</v>
      </c>
    </row>
    <row r="2964" customFormat="false" ht="15" hidden="false" customHeight="false" outlineLevel="0" collapsed="false">
      <c r="A2964" s="13" t="s">
        <v>1289</v>
      </c>
      <c r="B2964" s="13" t="s">
        <v>121</v>
      </c>
      <c r="C2964" s="13" t="n">
        <v>930</v>
      </c>
      <c r="D2964" s="13" t="n">
        <v>5</v>
      </c>
      <c r="E2964" s="13" t="n">
        <v>186.162</v>
      </c>
      <c r="F2964" s="13" t="s">
        <v>5288</v>
      </c>
      <c r="G2964" s="13" t="s">
        <v>5289</v>
      </c>
      <c r="H2964" s="13" t="s">
        <v>5289</v>
      </c>
      <c r="I2964" s="13" t="s">
        <v>5289</v>
      </c>
      <c r="J2964" s="13" t="s">
        <v>5289</v>
      </c>
      <c r="K2964" s="13" t="s">
        <v>5289</v>
      </c>
      <c r="L2964" s="13" t="n">
        <v>7896086955890</v>
      </c>
      <c r="M2964" s="13"/>
      <c r="N2964" s="13" t="n">
        <v>7896086955890</v>
      </c>
      <c r="O2964" s="13"/>
      <c r="P2964" s="13" t="s">
        <v>5291</v>
      </c>
      <c r="Q2964" s="13" t="s">
        <v>5289</v>
      </c>
      <c r="R2964" s="13" t="s">
        <v>5292</v>
      </c>
      <c r="S2964" s="13" t="s">
        <v>5293</v>
      </c>
      <c r="T2964" s="13" t="s">
        <v>5</v>
      </c>
      <c r="U2964" s="13" t="s">
        <v>43</v>
      </c>
      <c r="V2964" s="13" t="n">
        <f aca="false">IF(COUNTIF($B$2:B2964,B2964)=1,1,0)</f>
        <v>0</v>
      </c>
      <c r="W2964" s="13" t="n">
        <f aca="false">IF(COUNTIFS($B$2:B2964,B2964,$T$2:T2964,T2964)=1,1,0)</f>
        <v>0</v>
      </c>
    </row>
    <row r="2965" customFormat="false" ht="15" hidden="false" customHeight="false" outlineLevel="0" collapsed="false">
      <c r="A2965" s="13" t="s">
        <v>1284</v>
      </c>
      <c r="B2965" s="13" t="s">
        <v>630</v>
      </c>
      <c r="C2965" s="13" t="n">
        <v>930</v>
      </c>
      <c r="D2965" s="13" t="n">
        <v>5</v>
      </c>
      <c r="E2965" s="13" t="n">
        <v>185.724</v>
      </c>
      <c r="F2965" s="13" t="s">
        <v>5325</v>
      </c>
      <c r="G2965" s="13" t="s">
        <v>5289</v>
      </c>
      <c r="H2965" s="13" t="s">
        <v>5289</v>
      </c>
      <c r="I2965" s="13" t="s">
        <v>5289</v>
      </c>
      <c r="J2965" s="13" t="s">
        <v>5289</v>
      </c>
      <c r="K2965" s="13" t="s">
        <v>5289</v>
      </c>
      <c r="L2965" s="13"/>
      <c r="M2965" s="13"/>
      <c r="N2965" s="13" t="n">
        <v>8433982019562</v>
      </c>
      <c r="O2965" s="13"/>
      <c r="P2965" s="13" t="s">
        <v>5291</v>
      </c>
      <c r="Q2965" s="13" t="s">
        <v>5289</v>
      </c>
      <c r="R2965" s="13" t="s">
        <v>5292</v>
      </c>
      <c r="S2965" s="13" t="s">
        <v>5293</v>
      </c>
      <c r="T2965" s="13" t="s">
        <v>5</v>
      </c>
      <c r="U2965" s="13" t="s">
        <v>43</v>
      </c>
      <c r="V2965" s="13" t="n">
        <f aca="false">IF(COUNTIF($B$2:B2965,B2965)=1,1,0)</f>
        <v>0</v>
      </c>
      <c r="W2965" s="13" t="n">
        <f aca="false">IF(COUNTIFS($B$2:B2965,B2965,$T$2:T2965,T2965)=1,1,0)</f>
        <v>0</v>
      </c>
    </row>
    <row r="2966" customFormat="false" ht="15" hidden="false" customHeight="false" outlineLevel="0" collapsed="false">
      <c r="A2966" s="13" t="s">
        <v>1288</v>
      </c>
      <c r="B2966" s="13" t="s">
        <v>153</v>
      </c>
      <c r="C2966" s="13" t="n">
        <v>930</v>
      </c>
      <c r="D2966" s="13" t="n">
        <v>2</v>
      </c>
      <c r="E2966" s="13" t="n">
        <v>309.3</v>
      </c>
      <c r="F2966" s="13" t="s">
        <v>5325</v>
      </c>
      <c r="G2966" s="13" t="s">
        <v>5289</v>
      </c>
      <c r="H2966" s="13" t="s">
        <v>5289</v>
      </c>
      <c r="I2966" s="13" t="s">
        <v>5289</v>
      </c>
      <c r="J2966" s="13" t="s">
        <v>5289</v>
      </c>
      <c r="K2966" s="13" t="s">
        <v>5289</v>
      </c>
      <c r="L2966" s="13" t="n">
        <v>8018365071162</v>
      </c>
      <c r="M2966" s="13"/>
      <c r="N2966" s="13" t="n">
        <v>8018365071162</v>
      </c>
      <c r="O2966" s="13"/>
      <c r="P2966" s="13" t="s">
        <v>5291</v>
      </c>
      <c r="Q2966" s="13" t="s">
        <v>5289</v>
      </c>
      <c r="R2966" s="13" t="s">
        <v>5292</v>
      </c>
      <c r="S2966" s="13" t="s">
        <v>5293</v>
      </c>
      <c r="T2966" s="13" t="s">
        <v>5</v>
      </c>
      <c r="U2966" s="13" t="s">
        <v>43</v>
      </c>
      <c r="V2966" s="13" t="n">
        <f aca="false">IF(COUNTIF($B$2:B2966,B2966)=1,1,0)</f>
        <v>0</v>
      </c>
      <c r="W2966" s="13" t="n">
        <f aca="false">IF(COUNTIFS($B$2:B2966,B2966,$T$2:T2966,T2966)=1,1,0)</f>
        <v>0</v>
      </c>
    </row>
    <row r="2967" customFormat="false" ht="15" hidden="false" customHeight="false" outlineLevel="0" collapsed="false">
      <c r="A2967" s="13" t="s">
        <v>907</v>
      </c>
      <c r="B2967" s="13" t="s">
        <v>50</v>
      </c>
      <c r="C2967" s="13" t="n">
        <v>930</v>
      </c>
      <c r="D2967" s="13" t="n">
        <v>1</v>
      </c>
      <c r="E2967" s="13" t="n">
        <v>927.07</v>
      </c>
      <c r="F2967" s="13" t="s">
        <v>5325</v>
      </c>
      <c r="G2967" s="13" t="s">
        <v>5289</v>
      </c>
      <c r="H2967" s="13" t="s">
        <v>5292</v>
      </c>
      <c r="I2967" s="13" t="s">
        <v>5289</v>
      </c>
      <c r="J2967" s="13" t="s">
        <v>5289</v>
      </c>
      <c r="K2967" s="13" t="s">
        <v>5289</v>
      </c>
      <c r="L2967" s="13"/>
      <c r="M2967" s="13"/>
      <c r="N2967" s="13" t="n">
        <v>3349668581948</v>
      </c>
      <c r="O2967" s="13"/>
      <c r="P2967" s="13" t="s">
        <v>5291</v>
      </c>
      <c r="Q2967" s="13" t="s">
        <v>5289</v>
      </c>
      <c r="R2967" s="13" t="s">
        <v>5292</v>
      </c>
      <c r="S2967" s="13" t="s">
        <v>5293</v>
      </c>
      <c r="T2967" s="13" t="s">
        <v>5</v>
      </c>
      <c r="U2967" s="13" t="s">
        <v>43</v>
      </c>
      <c r="V2967" s="13" t="n">
        <f aca="false">IF(COUNTIF($B$2:B2967,B2967)=1,1,0)</f>
        <v>0</v>
      </c>
      <c r="W2967" s="13" t="n">
        <f aca="false">IF(COUNTIFS($B$2:B2967,B2967,$T$2:T2967,T2967)=1,1,0)</f>
        <v>0</v>
      </c>
    </row>
    <row r="2968" customFormat="false" ht="15" hidden="false" customHeight="false" outlineLevel="0" collapsed="false">
      <c r="A2968" s="13" t="s">
        <v>1283</v>
      </c>
      <c r="B2968" s="13" t="s">
        <v>50</v>
      </c>
      <c r="C2968" s="13" t="n">
        <v>930</v>
      </c>
      <c r="D2968" s="13" t="n">
        <v>2</v>
      </c>
      <c r="E2968" s="13" t="n">
        <v>463</v>
      </c>
      <c r="F2968" s="13" t="s">
        <v>5325</v>
      </c>
      <c r="G2968" s="13" t="s">
        <v>5289</v>
      </c>
      <c r="H2968" s="13" t="s">
        <v>5292</v>
      </c>
      <c r="I2968" s="13" t="s">
        <v>5289</v>
      </c>
      <c r="J2968" s="13" t="s">
        <v>5289</v>
      </c>
      <c r="K2968" s="13" t="s">
        <v>5289</v>
      </c>
      <c r="L2968" s="13" t="n">
        <v>3349666007921</v>
      </c>
      <c r="M2968" s="13"/>
      <c r="N2968" s="13" t="n">
        <v>3349666007921</v>
      </c>
      <c r="O2968" s="13"/>
      <c r="P2968" s="13" t="s">
        <v>5291</v>
      </c>
      <c r="Q2968" s="13" t="s">
        <v>5289</v>
      </c>
      <c r="R2968" s="13" t="s">
        <v>5292</v>
      </c>
      <c r="S2968" s="13" t="s">
        <v>5293</v>
      </c>
      <c r="T2968" s="13" t="s">
        <v>5</v>
      </c>
      <c r="U2968" s="13" t="s">
        <v>43</v>
      </c>
      <c r="V2968" s="13" t="n">
        <f aca="false">IF(COUNTIF($B$2:B2968,B2968)=1,1,0)</f>
        <v>0</v>
      </c>
      <c r="W2968" s="13" t="n">
        <f aca="false">IF(COUNTIFS($B$2:B2968,B2968,$T$2:T2968,T2968)=1,1,0)</f>
        <v>0</v>
      </c>
    </row>
    <row r="2969" customFormat="false" ht="15" hidden="false" customHeight="false" outlineLevel="0" collapsed="false">
      <c r="A2969" s="13" t="s">
        <v>851</v>
      </c>
      <c r="B2969" s="13" t="s">
        <v>124</v>
      </c>
      <c r="C2969" s="13" t="n">
        <v>930</v>
      </c>
      <c r="D2969" s="13" t="n">
        <v>2</v>
      </c>
      <c r="E2969" s="13" t="n">
        <v>462.6</v>
      </c>
      <c r="F2969" s="13" t="s">
        <v>5325</v>
      </c>
      <c r="G2969" s="13" t="s">
        <v>5292</v>
      </c>
      <c r="H2969" s="13" t="s">
        <v>5289</v>
      </c>
      <c r="I2969" s="13" t="s">
        <v>5289</v>
      </c>
      <c r="J2969" s="13" t="s">
        <v>5289</v>
      </c>
      <c r="K2969" s="13" t="s">
        <v>5289</v>
      </c>
      <c r="L2969" s="13"/>
      <c r="M2969" s="13"/>
      <c r="N2969" s="13" t="n">
        <v>3614273734882</v>
      </c>
      <c r="O2969" s="13"/>
      <c r="P2969" s="13" t="s">
        <v>5291</v>
      </c>
      <c r="Q2969" s="13" t="s">
        <v>5289</v>
      </c>
      <c r="R2969" s="13" t="s">
        <v>5292</v>
      </c>
      <c r="S2969" s="13" t="s">
        <v>5293</v>
      </c>
      <c r="T2969" s="13" t="s">
        <v>5</v>
      </c>
      <c r="U2969" s="13" t="s">
        <v>43</v>
      </c>
      <c r="V2969" s="13" t="n">
        <f aca="false">IF(COUNTIF($B$2:B2969,B2969)=1,1,0)</f>
        <v>0</v>
      </c>
      <c r="W2969" s="13" t="n">
        <f aca="false">IF(COUNTIFS($B$2:B2969,B2969,$T$2:T2969,T2969)=1,1,0)</f>
        <v>0</v>
      </c>
    </row>
    <row r="2970" customFormat="false" ht="15" hidden="false" customHeight="false" outlineLevel="0" collapsed="false">
      <c r="A2970" s="13" t="s">
        <v>1297</v>
      </c>
      <c r="B2970" s="13" t="s">
        <v>153</v>
      </c>
      <c r="C2970" s="13" t="n">
        <v>920</v>
      </c>
      <c r="D2970" s="13" t="n">
        <v>2</v>
      </c>
      <c r="E2970" s="13" t="n">
        <v>307.66</v>
      </c>
      <c r="F2970" s="13" t="s">
        <v>5288</v>
      </c>
      <c r="G2970" s="13" t="s">
        <v>5289</v>
      </c>
      <c r="H2970" s="13" t="s">
        <v>5289</v>
      </c>
      <c r="I2970" s="13" t="s">
        <v>5289</v>
      </c>
      <c r="J2970" s="13" t="s">
        <v>5289</v>
      </c>
      <c r="K2970" s="13" t="s">
        <v>5289</v>
      </c>
      <c r="L2970" s="13" t="n">
        <v>8011003876266</v>
      </c>
      <c r="M2970" s="13"/>
      <c r="N2970" s="13" t="n">
        <v>8011003876266</v>
      </c>
      <c r="O2970" s="13"/>
      <c r="P2970" s="13" t="s">
        <v>5291</v>
      </c>
      <c r="Q2970" s="13" t="s">
        <v>5289</v>
      </c>
      <c r="R2970" s="13" t="s">
        <v>5292</v>
      </c>
      <c r="S2970" s="13" t="s">
        <v>5293</v>
      </c>
      <c r="T2970" s="13" t="s">
        <v>5</v>
      </c>
      <c r="U2970" s="13" t="s">
        <v>43</v>
      </c>
      <c r="V2970" s="13" t="n">
        <f aca="false">IF(COUNTIF($B$2:B2970,B2970)=1,1,0)</f>
        <v>0</v>
      </c>
      <c r="W2970" s="13" t="n">
        <f aca="false">IF(COUNTIFS($B$2:B2970,B2970,$T$2:T2970,T2970)=1,1,0)</f>
        <v>0</v>
      </c>
    </row>
    <row r="2971" customFormat="false" ht="15" hidden="false" customHeight="false" outlineLevel="0" collapsed="false">
      <c r="A2971" s="13" t="s">
        <v>881</v>
      </c>
      <c r="B2971" s="13" t="s">
        <v>45</v>
      </c>
      <c r="C2971" s="13" t="n">
        <v>920</v>
      </c>
      <c r="D2971" s="13" t="n">
        <v>1</v>
      </c>
      <c r="E2971" s="13" t="n">
        <v>921</v>
      </c>
      <c r="F2971" s="13" t="s">
        <v>5325</v>
      </c>
      <c r="G2971" s="13" t="s">
        <v>5289</v>
      </c>
      <c r="H2971" s="13" t="s">
        <v>5289</v>
      </c>
      <c r="I2971" s="13" t="s">
        <v>5289</v>
      </c>
      <c r="J2971" s="13" t="s">
        <v>5289</v>
      </c>
      <c r="K2971" s="13" t="s">
        <v>5289</v>
      </c>
      <c r="L2971" s="13"/>
      <c r="M2971" s="13"/>
      <c r="N2971" s="13" t="n">
        <v>8435415105316</v>
      </c>
      <c r="O2971" s="13"/>
      <c r="P2971" s="13" t="s">
        <v>5291</v>
      </c>
      <c r="Q2971" s="13" t="s">
        <v>5289</v>
      </c>
      <c r="R2971" s="13" t="s">
        <v>5292</v>
      </c>
      <c r="S2971" s="13" t="s">
        <v>5293</v>
      </c>
      <c r="T2971" s="13" t="s">
        <v>5</v>
      </c>
      <c r="U2971" s="13" t="s">
        <v>43</v>
      </c>
      <c r="V2971" s="13" t="n">
        <f aca="false">IF(COUNTIF($B$2:B2971,B2971)=1,1,0)</f>
        <v>0</v>
      </c>
      <c r="W2971" s="13" t="n">
        <f aca="false">IF(COUNTIFS($B$2:B2971,B2971,$T$2:T2971,T2971)=1,1,0)</f>
        <v>0</v>
      </c>
    </row>
    <row r="2972" customFormat="false" ht="15" hidden="false" customHeight="false" outlineLevel="0" collapsed="false">
      <c r="A2972" s="13" t="s">
        <v>1296</v>
      </c>
      <c r="B2972" s="13" t="s">
        <v>72</v>
      </c>
      <c r="C2972" s="13" t="n">
        <v>920</v>
      </c>
      <c r="D2972" s="13" t="n">
        <v>1</v>
      </c>
      <c r="E2972" s="13" t="n">
        <v>918.85</v>
      </c>
      <c r="F2972" s="13" t="s">
        <v>5325</v>
      </c>
      <c r="G2972" s="13" t="s">
        <v>5292</v>
      </c>
      <c r="H2972" s="13" t="s">
        <v>5292</v>
      </c>
      <c r="I2972" s="13" t="s">
        <v>5289</v>
      </c>
      <c r="J2972" s="13" t="s">
        <v>5289</v>
      </c>
      <c r="K2972" s="13" t="s">
        <v>5292</v>
      </c>
      <c r="L2972" s="13" t="n">
        <v>3614274305388</v>
      </c>
      <c r="M2972" s="13"/>
      <c r="N2972" s="13" t="n">
        <v>3614274305388</v>
      </c>
      <c r="O2972" s="13"/>
      <c r="P2972" s="13" t="s">
        <v>5291</v>
      </c>
      <c r="Q2972" s="13" t="s">
        <v>5289</v>
      </c>
      <c r="R2972" s="13" t="s">
        <v>5292</v>
      </c>
      <c r="S2972" s="13" t="s">
        <v>5293</v>
      </c>
      <c r="T2972" s="13" t="s">
        <v>5</v>
      </c>
      <c r="U2972" s="13" t="s">
        <v>43</v>
      </c>
      <c r="V2972" s="13" t="n">
        <f aca="false">IF(COUNTIF($B$2:B2972,B2972)=1,1,0)</f>
        <v>0</v>
      </c>
      <c r="W2972" s="13" t="n">
        <f aca="false">IF(COUNTIFS($B$2:B2972,B2972,$T$2:T2972,T2972)=1,1,0)</f>
        <v>0</v>
      </c>
    </row>
    <row r="2973" customFormat="false" ht="15" hidden="false" customHeight="false" outlineLevel="0" collapsed="false">
      <c r="A2973" s="13" t="s">
        <v>899</v>
      </c>
      <c r="B2973" s="13" t="s">
        <v>50</v>
      </c>
      <c r="C2973" s="13" t="n">
        <v>910</v>
      </c>
      <c r="D2973" s="13" t="n">
        <v>2</v>
      </c>
      <c r="E2973" s="13" t="n">
        <v>304.47</v>
      </c>
      <c r="F2973" s="13" t="s">
        <v>5325</v>
      </c>
      <c r="G2973" s="13" t="s">
        <v>5289</v>
      </c>
      <c r="H2973" s="13" t="s">
        <v>5292</v>
      </c>
      <c r="I2973" s="13" t="s">
        <v>5289</v>
      </c>
      <c r="J2973" s="13" t="s">
        <v>5289</v>
      </c>
      <c r="K2973" s="13" t="s">
        <v>5289</v>
      </c>
      <c r="L2973" s="13" t="n">
        <v>3349668616237</v>
      </c>
      <c r="M2973" s="13"/>
      <c r="N2973" s="13" t="n">
        <v>3349668616237</v>
      </c>
      <c r="O2973" s="13"/>
      <c r="P2973" s="13" t="s">
        <v>5291</v>
      </c>
      <c r="Q2973" s="13" t="s">
        <v>5289</v>
      </c>
      <c r="R2973" s="13" t="s">
        <v>5292</v>
      </c>
      <c r="S2973" s="13" t="s">
        <v>5293</v>
      </c>
      <c r="T2973" s="13" t="s">
        <v>5</v>
      </c>
      <c r="U2973" s="13" t="s">
        <v>43</v>
      </c>
      <c r="V2973" s="13" t="n">
        <f aca="false">IF(COUNTIF($B$2:B2973,B2973)=1,1,0)</f>
        <v>0</v>
      </c>
      <c r="W2973" s="13" t="n">
        <f aca="false">IF(COUNTIFS($B$2:B2973,B2973,$T$2:T2973,T2973)=1,1,0)</f>
        <v>0</v>
      </c>
    </row>
    <row r="2974" customFormat="false" ht="15" hidden="false" customHeight="false" outlineLevel="0" collapsed="false">
      <c r="A2974" s="13" t="s">
        <v>3823</v>
      </c>
      <c r="B2974" s="13" t="s">
        <v>2139</v>
      </c>
      <c r="C2974" s="13" t="n">
        <v>910</v>
      </c>
      <c r="D2974" s="13" t="n">
        <v>5</v>
      </c>
      <c r="E2974" s="13" t="n">
        <v>182.416</v>
      </c>
      <c r="F2974" s="13" t="s">
        <v>5288</v>
      </c>
      <c r="G2974" s="13" t="s">
        <v>5289</v>
      </c>
      <c r="H2974" s="13" t="s">
        <v>5289</v>
      </c>
      <c r="I2974" s="13" t="s">
        <v>5289</v>
      </c>
      <c r="J2974" s="13" t="s">
        <v>5289</v>
      </c>
      <c r="K2974" s="13" t="s">
        <v>5289</v>
      </c>
      <c r="L2974" s="13" t="n">
        <v>8411061114209</v>
      </c>
      <c r="M2974" s="13"/>
      <c r="N2974" s="13" t="n">
        <v>8411061114209</v>
      </c>
      <c r="O2974" s="13"/>
      <c r="P2974" s="13" t="s">
        <v>5291</v>
      </c>
      <c r="Q2974" s="13" t="s">
        <v>5289</v>
      </c>
      <c r="R2974" s="13" t="s">
        <v>5292</v>
      </c>
      <c r="S2974" s="13" t="s">
        <v>5293</v>
      </c>
      <c r="T2974" s="13" t="s">
        <v>5</v>
      </c>
      <c r="U2974" s="13" t="s">
        <v>85</v>
      </c>
      <c r="V2974" s="13" t="n">
        <f aca="false">IF(COUNTIF($B$2:B2974,B2974)=1,1,0)</f>
        <v>0</v>
      </c>
      <c r="W2974" s="13" t="n">
        <f aca="false">IF(COUNTIFS($B$2:B2974,B2974,$T$2:T2974,T2974)=1,1,0)</f>
        <v>0</v>
      </c>
    </row>
    <row r="2975" customFormat="false" ht="15" hidden="false" customHeight="false" outlineLevel="0" collapsed="false">
      <c r="A2975" s="13" t="s">
        <v>780</v>
      </c>
      <c r="B2975" s="13" t="s">
        <v>45</v>
      </c>
      <c r="C2975" s="13" t="n">
        <v>910</v>
      </c>
      <c r="D2975" s="13" t="n">
        <v>2</v>
      </c>
      <c r="E2975" s="13" t="n">
        <v>455</v>
      </c>
      <c r="F2975" s="13" t="s">
        <v>5288</v>
      </c>
      <c r="G2975" s="13" t="s">
        <v>5289</v>
      </c>
      <c r="H2975" s="13" t="s">
        <v>5292</v>
      </c>
      <c r="I2975" s="13" t="s">
        <v>5289</v>
      </c>
      <c r="J2975" s="13" t="s">
        <v>5289</v>
      </c>
      <c r="K2975" s="13" t="s">
        <v>5289</v>
      </c>
      <c r="L2975" s="13"/>
      <c r="M2975" s="13"/>
      <c r="N2975" s="13" t="n">
        <v>8435415076937</v>
      </c>
      <c r="O2975" s="13"/>
      <c r="P2975" s="13" t="s">
        <v>5291</v>
      </c>
      <c r="Q2975" s="13" t="s">
        <v>5289</v>
      </c>
      <c r="R2975" s="13" t="s">
        <v>5292</v>
      </c>
      <c r="S2975" s="13" t="s">
        <v>5293</v>
      </c>
      <c r="T2975" s="13" t="s">
        <v>5</v>
      </c>
      <c r="U2975" s="13" t="s">
        <v>43</v>
      </c>
      <c r="V2975" s="13" t="n">
        <f aca="false">IF(COUNTIF($B$2:B2975,B2975)=1,1,0)</f>
        <v>0</v>
      </c>
      <c r="W2975" s="13" t="n">
        <f aca="false">IF(COUNTIFS($B$2:B2975,B2975,$T$2:T2975,T2975)=1,1,0)</f>
        <v>0</v>
      </c>
    </row>
    <row r="2976" customFormat="false" ht="15" hidden="false" customHeight="false" outlineLevel="0" collapsed="false">
      <c r="A2976" s="13" t="s">
        <v>423</v>
      </c>
      <c r="B2976" s="13" t="s">
        <v>69</v>
      </c>
      <c r="C2976" s="13" t="n">
        <v>910</v>
      </c>
      <c r="D2976" s="13" t="n">
        <v>1</v>
      </c>
      <c r="E2976" s="13" t="n">
        <v>909.55</v>
      </c>
      <c r="F2976" s="13" t="s">
        <v>5288</v>
      </c>
      <c r="G2976" s="13" t="s">
        <v>5289</v>
      </c>
      <c r="H2976" s="13" t="s">
        <v>5289</v>
      </c>
      <c r="I2976" s="13" t="s">
        <v>5289</v>
      </c>
      <c r="J2976" s="13" t="s">
        <v>5289</v>
      </c>
      <c r="K2976" s="13" t="s">
        <v>5289</v>
      </c>
      <c r="L2976" s="13"/>
      <c r="M2976" s="13"/>
      <c r="N2976" s="13" t="n">
        <v>3614274151701</v>
      </c>
      <c r="O2976" s="13"/>
      <c r="P2976" s="13" t="s">
        <v>5291</v>
      </c>
      <c r="Q2976" s="13" t="s">
        <v>5289</v>
      </c>
      <c r="R2976" s="13" t="s">
        <v>5292</v>
      </c>
      <c r="S2976" s="13" t="s">
        <v>5293</v>
      </c>
      <c r="T2976" s="13" t="s">
        <v>5</v>
      </c>
      <c r="U2976" s="13" t="s">
        <v>43</v>
      </c>
      <c r="V2976" s="13" t="n">
        <f aca="false">IF(COUNTIF($B$2:B2976,B2976)=1,1,0)</f>
        <v>0</v>
      </c>
      <c r="W2976" s="13" t="n">
        <f aca="false">IF(COUNTIFS($B$2:B2976,B2976,$T$2:T2976,T2976)=1,1,0)</f>
        <v>0</v>
      </c>
    </row>
    <row r="2977" customFormat="false" ht="15" hidden="false" customHeight="false" outlineLevel="0" collapsed="false">
      <c r="A2977" s="13" t="s">
        <v>1308</v>
      </c>
      <c r="B2977" s="13" t="s">
        <v>42</v>
      </c>
      <c r="C2977" s="13" t="n">
        <v>900</v>
      </c>
      <c r="D2977" s="13" t="n">
        <v>2</v>
      </c>
      <c r="E2977" s="13" t="n">
        <v>225.9875</v>
      </c>
      <c r="F2977" s="13" t="s">
        <v>5325</v>
      </c>
      <c r="G2977" s="13" t="s">
        <v>5289</v>
      </c>
      <c r="H2977" s="13" t="s">
        <v>5289</v>
      </c>
      <c r="I2977" s="13" t="s">
        <v>5289</v>
      </c>
      <c r="J2977" s="13" t="s">
        <v>5289</v>
      </c>
      <c r="K2977" s="13" t="s">
        <v>5289</v>
      </c>
      <c r="L2977" s="13" t="n">
        <v>8411061102879</v>
      </c>
      <c r="M2977" s="13"/>
      <c r="N2977" s="13" t="n">
        <v>8411061102879</v>
      </c>
      <c r="O2977" s="13"/>
      <c r="P2977" s="13" t="s">
        <v>5291</v>
      </c>
      <c r="Q2977" s="13" t="s">
        <v>5289</v>
      </c>
      <c r="R2977" s="13" t="s">
        <v>5292</v>
      </c>
      <c r="S2977" s="13" t="s">
        <v>5293</v>
      </c>
      <c r="T2977" s="13" t="s">
        <v>5</v>
      </c>
      <c r="U2977" s="13" t="s">
        <v>43</v>
      </c>
      <c r="V2977" s="13" t="n">
        <f aca="false">IF(COUNTIF($B$2:B2977,B2977)=1,1,0)</f>
        <v>0</v>
      </c>
      <c r="W2977" s="13" t="n">
        <f aca="false">IF(COUNTIFS($B$2:B2977,B2977,$T$2:T2977,T2977)=1,1,0)</f>
        <v>0</v>
      </c>
    </row>
    <row r="2978" customFormat="false" ht="15" hidden="false" customHeight="false" outlineLevel="0" collapsed="false">
      <c r="A2978" s="13" t="s">
        <v>1307</v>
      </c>
      <c r="B2978" s="13" t="s">
        <v>61</v>
      </c>
      <c r="C2978" s="13" t="n">
        <v>900</v>
      </c>
      <c r="D2978" s="13" t="n">
        <v>2</v>
      </c>
      <c r="E2978" s="13" t="n">
        <v>450.85</v>
      </c>
      <c r="F2978" s="13" t="s">
        <v>5325</v>
      </c>
      <c r="G2978" s="13" t="s">
        <v>5292</v>
      </c>
      <c r="H2978" s="13" t="s">
        <v>5292</v>
      </c>
      <c r="I2978" s="13" t="s">
        <v>5289</v>
      </c>
      <c r="J2978" s="13" t="s">
        <v>5289</v>
      </c>
      <c r="K2978" s="13" t="s">
        <v>5292</v>
      </c>
      <c r="L2978" s="13" t="n">
        <v>3605530741507</v>
      </c>
      <c r="M2978" s="13"/>
      <c r="N2978" s="13" t="n">
        <v>3605530741507</v>
      </c>
      <c r="O2978" s="13"/>
      <c r="P2978" s="13" t="s">
        <v>5297</v>
      </c>
      <c r="Q2978" s="13" t="s">
        <v>5289</v>
      </c>
      <c r="R2978" s="13" t="s">
        <v>5292</v>
      </c>
      <c r="S2978" s="13" t="s">
        <v>5293</v>
      </c>
      <c r="T2978" s="13" t="s">
        <v>5</v>
      </c>
      <c r="U2978" s="13" t="s">
        <v>43</v>
      </c>
      <c r="V2978" s="13" t="n">
        <f aca="false">IF(COUNTIF($B$2:B2978,B2978)=1,1,0)</f>
        <v>0</v>
      </c>
      <c r="W2978" s="13" t="n">
        <f aca="false">IF(COUNTIFS($B$2:B2978,B2978,$T$2:T2978,T2978)=1,1,0)</f>
        <v>0</v>
      </c>
    </row>
    <row r="2979" customFormat="false" ht="15" hidden="false" customHeight="false" outlineLevel="0" collapsed="false">
      <c r="A2979" s="13" t="s">
        <v>4141</v>
      </c>
      <c r="B2979" s="13" t="s">
        <v>2194</v>
      </c>
      <c r="C2979" s="13" t="n">
        <v>900</v>
      </c>
      <c r="D2979" s="13" t="n">
        <v>20</v>
      </c>
      <c r="E2979" s="13" t="n">
        <v>53.01</v>
      </c>
      <c r="F2979" s="13" t="s">
        <v>5325</v>
      </c>
      <c r="G2979" s="13" t="s">
        <v>5292</v>
      </c>
      <c r="H2979" s="13" t="s">
        <v>5289</v>
      </c>
      <c r="I2979" s="13" t="s">
        <v>5292</v>
      </c>
      <c r="J2979" s="13" t="s">
        <v>5289</v>
      </c>
      <c r="K2979" s="13" t="s">
        <v>5289</v>
      </c>
      <c r="L2979" s="13" t="n">
        <v>7908725500115</v>
      </c>
      <c r="M2979" s="13"/>
      <c r="N2979" s="13" t="n">
        <v>7908725500115</v>
      </c>
      <c r="O2979" s="13"/>
      <c r="P2979" s="13" t="s">
        <v>5297</v>
      </c>
      <c r="Q2979" s="13" t="s">
        <v>5289</v>
      </c>
      <c r="R2979" s="13" t="s">
        <v>5292</v>
      </c>
      <c r="S2979" s="13" t="s">
        <v>5293</v>
      </c>
      <c r="T2979" s="13" t="s">
        <v>5</v>
      </c>
      <c r="U2979" s="13" t="s">
        <v>85</v>
      </c>
      <c r="V2979" s="13" t="n">
        <f aca="false">IF(COUNTIF($B$2:B2979,B2979)=1,1,0)</f>
        <v>1</v>
      </c>
      <c r="W2979" s="13" t="n">
        <f aca="false">IF(COUNTIFS($B$2:B2979,B2979,$T$2:T2979,T2979)=1,1,0)</f>
        <v>1</v>
      </c>
    </row>
    <row r="2980" customFormat="false" ht="15" hidden="false" customHeight="false" outlineLevel="0" collapsed="false">
      <c r="A2980" s="13" t="s">
        <v>1306</v>
      </c>
      <c r="B2980" s="13" t="s">
        <v>153</v>
      </c>
      <c r="C2980" s="13" t="n">
        <v>900</v>
      </c>
      <c r="D2980" s="13" t="n">
        <v>1</v>
      </c>
      <c r="E2980" s="13" t="n">
        <v>898.85</v>
      </c>
      <c r="F2980" s="13" t="s">
        <v>5288</v>
      </c>
      <c r="G2980" s="13" t="s">
        <v>5292</v>
      </c>
      <c r="H2980" s="13" t="s">
        <v>5289</v>
      </c>
      <c r="I2980" s="13" t="s">
        <v>5289</v>
      </c>
      <c r="J2980" s="13" t="s">
        <v>5289</v>
      </c>
      <c r="K2980" s="13" t="s">
        <v>5292</v>
      </c>
      <c r="L2980" s="13" t="n">
        <v>8011003902880</v>
      </c>
      <c r="M2980" s="13"/>
      <c r="N2980" s="13" t="n">
        <v>8011003902880</v>
      </c>
      <c r="O2980" s="13"/>
      <c r="P2980" s="13" t="s">
        <v>5291</v>
      </c>
      <c r="Q2980" s="13" t="s">
        <v>5289</v>
      </c>
      <c r="R2980" s="13" t="s">
        <v>5292</v>
      </c>
      <c r="S2980" s="13" t="s">
        <v>5293</v>
      </c>
      <c r="T2980" s="13" t="s">
        <v>5</v>
      </c>
      <c r="U2980" s="13" t="s">
        <v>43</v>
      </c>
      <c r="V2980" s="13" t="n">
        <f aca="false">IF(COUNTIF($B$2:B2980,B2980)=1,1,0)</f>
        <v>0</v>
      </c>
      <c r="W2980" s="13" t="n">
        <f aca="false">IF(COUNTIFS($B$2:B2980,B2980,$T$2:T2980,T2980)=1,1,0)</f>
        <v>0</v>
      </c>
    </row>
    <row r="2981" customFormat="false" ht="15" hidden="false" customHeight="false" outlineLevel="0" collapsed="false">
      <c r="A2981" s="13" t="s">
        <v>447</v>
      </c>
      <c r="B2981" s="13" t="s">
        <v>45</v>
      </c>
      <c r="C2981" s="13" t="n">
        <v>900</v>
      </c>
      <c r="D2981" s="13" t="n">
        <v>1</v>
      </c>
      <c r="E2981" s="13" t="n">
        <v>898.85</v>
      </c>
      <c r="F2981" s="13" t="s">
        <v>5325</v>
      </c>
      <c r="G2981" s="13" t="s">
        <v>5289</v>
      </c>
      <c r="H2981" s="13" t="s">
        <v>5292</v>
      </c>
      <c r="I2981" s="13" t="s">
        <v>5289</v>
      </c>
      <c r="J2981" s="13" t="s">
        <v>5289</v>
      </c>
      <c r="K2981" s="13" t="s">
        <v>5292</v>
      </c>
      <c r="L2981" s="13" t="n">
        <v>8435415065191</v>
      </c>
      <c r="M2981" s="13"/>
      <c r="N2981" s="13" t="n">
        <v>8435415065191</v>
      </c>
      <c r="O2981" s="13"/>
      <c r="P2981" s="13" t="s">
        <v>5291</v>
      </c>
      <c r="Q2981" s="13" t="s">
        <v>5289</v>
      </c>
      <c r="R2981" s="13" t="s">
        <v>5292</v>
      </c>
      <c r="S2981" s="13" t="s">
        <v>5293</v>
      </c>
      <c r="T2981" s="13" t="s">
        <v>5</v>
      </c>
      <c r="U2981" s="13" t="s">
        <v>43</v>
      </c>
      <c r="V2981" s="13" t="n">
        <f aca="false">IF(COUNTIF($B$2:B2981,B2981)=1,1,0)</f>
        <v>0</v>
      </c>
      <c r="W2981" s="13" t="n">
        <f aca="false">IF(COUNTIFS($B$2:B2981,B2981,$T$2:T2981,T2981)=1,1,0)</f>
        <v>0</v>
      </c>
    </row>
    <row r="2982" customFormat="false" ht="15" hidden="false" customHeight="false" outlineLevel="0" collapsed="false">
      <c r="A2982" s="13" t="s">
        <v>511</v>
      </c>
      <c r="B2982" s="13" t="s">
        <v>103</v>
      </c>
      <c r="C2982" s="13" t="n">
        <v>900</v>
      </c>
      <c r="D2982" s="13" t="n">
        <v>5</v>
      </c>
      <c r="E2982" s="13" t="n">
        <v>179.46</v>
      </c>
      <c r="F2982" s="13" t="s">
        <v>5325</v>
      </c>
      <c r="G2982" s="13" t="s">
        <v>5289</v>
      </c>
      <c r="H2982" s="13" t="s">
        <v>5289</v>
      </c>
      <c r="I2982" s="13" t="s">
        <v>5289</v>
      </c>
      <c r="J2982" s="13" t="s">
        <v>5289</v>
      </c>
      <c r="K2982" s="13" t="s">
        <v>5289</v>
      </c>
      <c r="L2982" s="13" t="n">
        <v>8411061081358</v>
      </c>
      <c r="M2982" s="13"/>
      <c r="N2982" s="13" t="n">
        <v>8411061829530</v>
      </c>
      <c r="O2982" s="13"/>
      <c r="P2982" s="13" t="s">
        <v>5291</v>
      </c>
      <c r="Q2982" s="13" t="s">
        <v>5289</v>
      </c>
      <c r="R2982" s="13" t="s">
        <v>5292</v>
      </c>
      <c r="S2982" s="13" t="s">
        <v>5293</v>
      </c>
      <c r="T2982" s="13" t="s">
        <v>5</v>
      </c>
      <c r="U2982" s="13" t="s">
        <v>43</v>
      </c>
      <c r="V2982" s="13" t="n">
        <f aca="false">IF(COUNTIF($B$2:B2982,B2982)=1,1,0)</f>
        <v>0</v>
      </c>
      <c r="W2982" s="13" t="n">
        <f aca="false">IF(COUNTIFS($B$2:B2982,B2982,$T$2:T2982,T2982)=1,1,0)</f>
        <v>0</v>
      </c>
    </row>
    <row r="2983" customFormat="false" ht="15" hidden="false" customHeight="false" outlineLevel="0" collapsed="false">
      <c r="A2983" s="13" t="s">
        <v>549</v>
      </c>
      <c r="B2983" s="13" t="s">
        <v>490</v>
      </c>
      <c r="C2983" s="13" t="n">
        <v>900</v>
      </c>
      <c r="D2983" s="13" t="n">
        <v>2</v>
      </c>
      <c r="E2983" s="13" t="n">
        <v>298.9</v>
      </c>
      <c r="F2983" s="13" t="s">
        <v>5325</v>
      </c>
      <c r="G2983" s="13" t="s">
        <v>5289</v>
      </c>
      <c r="H2983" s="13" t="s">
        <v>5289</v>
      </c>
      <c r="I2983" s="13" t="s">
        <v>5289</v>
      </c>
      <c r="J2983" s="13" t="s">
        <v>5289</v>
      </c>
      <c r="K2983" s="13" t="s">
        <v>5289</v>
      </c>
      <c r="L2983" s="13" t="n">
        <v>8011003839285</v>
      </c>
      <c r="M2983" s="13"/>
      <c r="N2983" s="13" t="n">
        <v>8011003839285</v>
      </c>
      <c r="O2983" s="13"/>
      <c r="P2983" s="13" t="s">
        <v>5291</v>
      </c>
      <c r="Q2983" s="13" t="s">
        <v>5289</v>
      </c>
      <c r="R2983" s="13" t="s">
        <v>5292</v>
      </c>
      <c r="S2983" s="13" t="s">
        <v>5293</v>
      </c>
      <c r="T2983" s="13" t="s">
        <v>5</v>
      </c>
      <c r="U2983" s="13" t="s">
        <v>43</v>
      </c>
      <c r="V2983" s="13" t="n">
        <f aca="false">IF(COUNTIF($B$2:B2983,B2983)=1,1,0)</f>
        <v>0</v>
      </c>
      <c r="W2983" s="13" t="n">
        <f aca="false">IF(COUNTIFS($B$2:B2983,B2983,$T$2:T2983,T2983)=1,1,0)</f>
        <v>0</v>
      </c>
    </row>
    <row r="2984" customFormat="false" ht="15" hidden="false" customHeight="false" outlineLevel="0" collapsed="false">
      <c r="A2984" s="13" t="s">
        <v>1309</v>
      </c>
      <c r="B2984" s="13" t="s">
        <v>121</v>
      </c>
      <c r="C2984" s="13" t="n">
        <v>890</v>
      </c>
      <c r="D2984" s="13" t="n">
        <v>5</v>
      </c>
      <c r="E2984" s="13" t="n">
        <v>149</v>
      </c>
      <c r="F2984" s="13" t="s">
        <v>5288</v>
      </c>
      <c r="G2984" s="13" t="s">
        <v>5289</v>
      </c>
      <c r="H2984" s="13" t="s">
        <v>5289</v>
      </c>
      <c r="I2984" s="13" t="s">
        <v>5289</v>
      </c>
      <c r="J2984" s="13" t="s">
        <v>5289</v>
      </c>
      <c r="K2984" s="13" t="s">
        <v>5292</v>
      </c>
      <c r="L2984" s="13" t="n">
        <v>7896086998958</v>
      </c>
      <c r="M2984" s="13"/>
      <c r="N2984" s="13" t="n">
        <v>7896086998958</v>
      </c>
      <c r="O2984" s="13"/>
      <c r="P2984" s="13" t="s">
        <v>5291</v>
      </c>
      <c r="Q2984" s="13" t="s">
        <v>5289</v>
      </c>
      <c r="R2984" s="13" t="s">
        <v>5292</v>
      </c>
      <c r="S2984" s="13" t="s">
        <v>5293</v>
      </c>
      <c r="T2984" s="13" t="s">
        <v>5</v>
      </c>
      <c r="U2984" s="13" t="s">
        <v>43</v>
      </c>
      <c r="V2984" s="13" t="n">
        <f aca="false">IF(COUNTIF($B$2:B2984,B2984)=1,1,0)</f>
        <v>0</v>
      </c>
      <c r="W2984" s="13" t="n">
        <f aca="false">IF(COUNTIFS($B$2:B2984,B2984,$T$2:T2984,T2984)=1,1,0)</f>
        <v>0</v>
      </c>
    </row>
    <row r="2985" customFormat="false" ht="15" hidden="false" customHeight="false" outlineLevel="0" collapsed="false">
      <c r="A2985" s="13" t="s">
        <v>1313</v>
      </c>
      <c r="B2985" s="13" t="s">
        <v>490</v>
      </c>
      <c r="C2985" s="13" t="n">
        <v>890</v>
      </c>
      <c r="D2985" s="13" t="n">
        <v>2</v>
      </c>
      <c r="E2985" s="13" t="n">
        <v>298</v>
      </c>
      <c r="F2985" s="13" t="s">
        <v>5325</v>
      </c>
      <c r="G2985" s="13" t="s">
        <v>5289</v>
      </c>
      <c r="H2985" s="13" t="s">
        <v>5289</v>
      </c>
      <c r="I2985" s="13" t="s">
        <v>5289</v>
      </c>
      <c r="J2985" s="13" t="s">
        <v>5289</v>
      </c>
      <c r="K2985" s="13" t="s">
        <v>5289</v>
      </c>
      <c r="L2985" s="13" t="n">
        <v>8011003061303</v>
      </c>
      <c r="M2985" s="13"/>
      <c r="N2985" s="13" t="n">
        <v>8011003061303</v>
      </c>
      <c r="O2985" s="13"/>
      <c r="P2985" s="13" t="s">
        <v>5291</v>
      </c>
      <c r="Q2985" s="13" t="s">
        <v>5289</v>
      </c>
      <c r="R2985" s="13" t="s">
        <v>5292</v>
      </c>
      <c r="S2985" s="13" t="s">
        <v>5293</v>
      </c>
      <c r="T2985" s="13" t="s">
        <v>5</v>
      </c>
      <c r="U2985" s="13" t="s">
        <v>43</v>
      </c>
      <c r="V2985" s="13" t="n">
        <f aca="false">IF(COUNTIF($B$2:B2985,B2985)=1,1,0)</f>
        <v>0</v>
      </c>
      <c r="W2985" s="13" t="n">
        <f aca="false">IF(COUNTIFS($B$2:B2985,B2985,$T$2:T2985,T2985)=1,1,0)</f>
        <v>0</v>
      </c>
    </row>
    <row r="2986" customFormat="false" ht="15" hidden="false" customHeight="false" outlineLevel="0" collapsed="false">
      <c r="A2986" s="13" t="s">
        <v>1314</v>
      </c>
      <c r="B2986" s="13" t="s">
        <v>124</v>
      </c>
      <c r="C2986" s="13" t="n">
        <v>890</v>
      </c>
      <c r="D2986" s="13" t="n">
        <v>1</v>
      </c>
      <c r="E2986" s="13" t="n">
        <v>892.66</v>
      </c>
      <c r="F2986" s="13" t="s">
        <v>5325</v>
      </c>
      <c r="G2986" s="13" t="s">
        <v>5289</v>
      </c>
      <c r="H2986" s="13" t="s">
        <v>5289</v>
      </c>
      <c r="I2986" s="13" t="s">
        <v>5289</v>
      </c>
      <c r="J2986" s="13" t="s">
        <v>5289</v>
      </c>
      <c r="K2986" s="13" t="s">
        <v>5289</v>
      </c>
      <c r="L2986" s="13"/>
      <c r="M2986" s="13"/>
      <c r="N2986" s="13" t="n">
        <v>7908785478409</v>
      </c>
      <c r="O2986" s="13"/>
      <c r="P2986" s="13" t="s">
        <v>5291</v>
      </c>
      <c r="Q2986" s="13" t="s">
        <v>5289</v>
      </c>
      <c r="R2986" s="13" t="s">
        <v>5292</v>
      </c>
      <c r="S2986" s="13" t="s">
        <v>5293</v>
      </c>
      <c r="T2986" s="13" t="s">
        <v>5</v>
      </c>
      <c r="U2986" s="13" t="s">
        <v>43</v>
      </c>
      <c r="V2986" s="13" t="n">
        <f aca="false">IF(COUNTIF($B$2:B2986,B2986)=1,1,0)</f>
        <v>0</v>
      </c>
      <c r="W2986" s="13" t="n">
        <f aca="false">IF(COUNTIFS($B$2:B2986,B2986,$T$2:T2986,T2986)=1,1,0)</f>
        <v>0</v>
      </c>
    </row>
    <row r="2987" customFormat="false" ht="15" hidden="false" customHeight="false" outlineLevel="0" collapsed="false">
      <c r="A2987" s="13" t="s">
        <v>1310</v>
      </c>
      <c r="B2987" s="13" t="s">
        <v>61</v>
      </c>
      <c r="C2987" s="13" t="n">
        <v>890</v>
      </c>
      <c r="D2987" s="13" t="n">
        <v>2</v>
      </c>
      <c r="E2987" s="13" t="n">
        <v>445.425</v>
      </c>
      <c r="F2987" s="13" t="s">
        <v>5325</v>
      </c>
      <c r="G2987" s="13" t="s">
        <v>5292</v>
      </c>
      <c r="H2987" s="13" t="s">
        <v>5292</v>
      </c>
      <c r="I2987" s="13" t="s">
        <v>5289</v>
      </c>
      <c r="J2987" s="13" t="s">
        <v>5289</v>
      </c>
      <c r="K2987" s="13" t="s">
        <v>5289</v>
      </c>
      <c r="L2987" s="13" t="n">
        <v>3614274397239</v>
      </c>
      <c r="M2987" s="13"/>
      <c r="N2987" s="13" t="n">
        <v>3614274397239</v>
      </c>
      <c r="O2987" s="13"/>
      <c r="P2987" s="13" t="s">
        <v>5297</v>
      </c>
      <c r="Q2987" s="13" t="s">
        <v>5289</v>
      </c>
      <c r="R2987" s="13" t="s">
        <v>5292</v>
      </c>
      <c r="S2987" s="13" t="s">
        <v>5293</v>
      </c>
      <c r="T2987" s="13" t="s">
        <v>5</v>
      </c>
      <c r="U2987" s="13" t="s">
        <v>43</v>
      </c>
      <c r="V2987" s="13" t="n">
        <f aca="false">IF(COUNTIF($B$2:B2987,B2987)=1,1,0)</f>
        <v>0</v>
      </c>
      <c r="W2987" s="13" t="n">
        <f aca="false">IF(COUNTIFS($B$2:B2987,B2987,$T$2:T2987,T2987)=1,1,0)</f>
        <v>0</v>
      </c>
    </row>
    <row r="2988" customFormat="false" ht="15" hidden="false" customHeight="false" outlineLevel="0" collapsed="false">
      <c r="A2988" s="13" t="s">
        <v>1312</v>
      </c>
      <c r="B2988" s="13" t="s">
        <v>54</v>
      </c>
      <c r="C2988" s="13" t="n">
        <v>890</v>
      </c>
      <c r="D2988" s="13" t="n">
        <v>2</v>
      </c>
      <c r="E2988" s="13" t="n">
        <v>296</v>
      </c>
      <c r="F2988" s="13" t="s">
        <v>5325</v>
      </c>
      <c r="G2988" s="13" t="s">
        <v>5289</v>
      </c>
      <c r="H2988" s="13" t="s">
        <v>5289</v>
      </c>
      <c r="I2988" s="13" t="s">
        <v>5289</v>
      </c>
      <c r="J2988" s="13" t="s">
        <v>5289</v>
      </c>
      <c r="K2988" s="13" t="s">
        <v>5289</v>
      </c>
      <c r="L2988" s="13" t="n">
        <v>729238154933</v>
      </c>
      <c r="M2988" s="13"/>
      <c r="N2988" s="13" t="n">
        <v>729238154933</v>
      </c>
      <c r="O2988" s="13"/>
      <c r="P2988" s="13" t="s">
        <v>5297</v>
      </c>
      <c r="Q2988" s="13" t="s">
        <v>5289</v>
      </c>
      <c r="R2988" s="13" t="s">
        <v>5292</v>
      </c>
      <c r="S2988" s="13" t="s">
        <v>5293</v>
      </c>
      <c r="T2988" s="13" t="s">
        <v>5</v>
      </c>
      <c r="U2988" s="13" t="s">
        <v>183</v>
      </c>
      <c r="V2988" s="13" t="n">
        <f aca="false">IF(COUNTIF($B$2:B2988,B2988)=1,1,0)</f>
        <v>0</v>
      </c>
      <c r="W2988" s="13" t="n">
        <f aca="false">IF(COUNTIFS($B$2:B2988,B2988,$T$2:T2988,T2988)=1,1,0)</f>
        <v>0</v>
      </c>
    </row>
    <row r="2989" customFormat="false" ht="15" hidden="false" customHeight="false" outlineLevel="0" collapsed="false">
      <c r="A2989" s="13" t="s">
        <v>413</v>
      </c>
      <c r="B2989" s="13" t="s">
        <v>61</v>
      </c>
      <c r="C2989" s="13" t="n">
        <v>880</v>
      </c>
      <c r="D2989" s="13" t="n">
        <v>1</v>
      </c>
      <c r="E2989" s="13" t="n">
        <v>879.99</v>
      </c>
      <c r="F2989" s="13" t="s">
        <v>5325</v>
      </c>
      <c r="G2989" s="13" t="s">
        <v>5292</v>
      </c>
      <c r="H2989" s="13" t="s">
        <v>5292</v>
      </c>
      <c r="I2989" s="13" t="s">
        <v>5289</v>
      </c>
      <c r="J2989" s="13" t="s">
        <v>5289</v>
      </c>
      <c r="K2989" s="13" t="s">
        <v>5289</v>
      </c>
      <c r="L2989" s="13" t="n">
        <v>3605533286555</v>
      </c>
      <c r="M2989" s="13"/>
      <c r="N2989" s="13" t="n">
        <v>3605533286555</v>
      </c>
      <c r="O2989" s="13"/>
      <c r="P2989" s="13" t="s">
        <v>5291</v>
      </c>
      <c r="Q2989" s="13" t="s">
        <v>5289</v>
      </c>
      <c r="R2989" s="13" t="s">
        <v>5292</v>
      </c>
      <c r="S2989" s="13" t="s">
        <v>5293</v>
      </c>
      <c r="T2989" s="13" t="s">
        <v>5</v>
      </c>
      <c r="U2989" s="13" t="s">
        <v>43</v>
      </c>
      <c r="V2989" s="13" t="n">
        <f aca="false">IF(COUNTIF($B$2:B2989,B2989)=1,1,0)</f>
        <v>0</v>
      </c>
      <c r="W2989" s="13" t="n">
        <f aca="false">IF(COUNTIFS($B$2:B2989,B2989,$T$2:T2989,T2989)=1,1,0)</f>
        <v>0</v>
      </c>
    </row>
    <row r="2990" customFormat="false" ht="15" hidden="false" customHeight="false" outlineLevel="0" collapsed="false">
      <c r="A2990" s="13" t="s">
        <v>1318</v>
      </c>
      <c r="B2990" s="13" t="s">
        <v>61</v>
      </c>
      <c r="C2990" s="13" t="n">
        <v>880</v>
      </c>
      <c r="D2990" s="13" t="n">
        <v>1</v>
      </c>
      <c r="E2990" s="13" t="n">
        <v>879.85</v>
      </c>
      <c r="F2990" s="13" t="s">
        <v>5325</v>
      </c>
      <c r="G2990" s="13" t="s">
        <v>5289</v>
      </c>
      <c r="H2990" s="13" t="s">
        <v>5289</v>
      </c>
      <c r="I2990" s="13" t="s">
        <v>5289</v>
      </c>
      <c r="J2990" s="13" t="s">
        <v>5289</v>
      </c>
      <c r="K2990" s="13" t="s">
        <v>5289</v>
      </c>
      <c r="L2990" s="13" t="n">
        <v>3614273774413</v>
      </c>
      <c r="M2990" s="13"/>
      <c r="N2990" s="13" t="n">
        <v>3614273774413</v>
      </c>
      <c r="O2990" s="13"/>
      <c r="P2990" s="13" t="s">
        <v>5291</v>
      </c>
      <c r="Q2990" s="13" t="s">
        <v>5289</v>
      </c>
      <c r="R2990" s="13" t="s">
        <v>5292</v>
      </c>
      <c r="S2990" s="13" t="s">
        <v>5293</v>
      </c>
      <c r="T2990" s="13" t="s">
        <v>5</v>
      </c>
      <c r="U2990" s="13" t="s">
        <v>183</v>
      </c>
      <c r="V2990" s="13" t="n">
        <f aca="false">IF(COUNTIF($B$2:B2990,B2990)=1,1,0)</f>
        <v>0</v>
      </c>
      <c r="W2990" s="13" t="n">
        <f aca="false">IF(COUNTIFS($B$2:B2990,B2990,$T$2:T2990,T2990)=1,1,0)</f>
        <v>0</v>
      </c>
    </row>
    <row r="2991" customFormat="false" ht="15" hidden="false" customHeight="false" outlineLevel="0" collapsed="false">
      <c r="A2991" s="13" t="s">
        <v>1319</v>
      </c>
      <c r="B2991" s="13" t="s">
        <v>61</v>
      </c>
      <c r="C2991" s="13" t="n">
        <v>880</v>
      </c>
      <c r="D2991" s="13" t="n">
        <v>1</v>
      </c>
      <c r="E2991" s="13" t="n">
        <v>879.85</v>
      </c>
      <c r="F2991" s="13" t="s">
        <v>5325</v>
      </c>
      <c r="G2991" s="13" t="s">
        <v>5289</v>
      </c>
      <c r="H2991" s="13" t="s">
        <v>5292</v>
      </c>
      <c r="I2991" s="13" t="s">
        <v>5289</v>
      </c>
      <c r="J2991" s="13" t="s">
        <v>5289</v>
      </c>
      <c r="K2991" s="13" t="s">
        <v>5289</v>
      </c>
      <c r="L2991" s="13" t="n">
        <v>3614273774413</v>
      </c>
      <c r="M2991" s="13"/>
      <c r="N2991" s="13" t="n">
        <v>3614273774413</v>
      </c>
      <c r="O2991" s="13"/>
      <c r="P2991" s="13" t="s">
        <v>5291</v>
      </c>
      <c r="Q2991" s="13" t="s">
        <v>5289</v>
      </c>
      <c r="R2991" s="13" t="s">
        <v>5292</v>
      </c>
      <c r="S2991" s="13" t="s">
        <v>5293</v>
      </c>
      <c r="T2991" s="13" t="s">
        <v>5</v>
      </c>
      <c r="U2991" s="13" t="s">
        <v>43</v>
      </c>
      <c r="V2991" s="13" t="n">
        <f aca="false">IF(COUNTIF($B$2:B2991,B2991)=1,1,0)</f>
        <v>0</v>
      </c>
      <c r="W2991" s="13" t="n">
        <f aca="false">IF(COUNTIFS($B$2:B2991,B2991,$T$2:T2991,T2991)=1,1,0)</f>
        <v>0</v>
      </c>
    </row>
    <row r="2992" customFormat="false" ht="15" hidden="false" customHeight="false" outlineLevel="0" collapsed="false">
      <c r="A2992" s="13" t="s">
        <v>120</v>
      </c>
      <c r="B2992" s="13" t="s">
        <v>69</v>
      </c>
      <c r="C2992" s="13" t="n">
        <v>880</v>
      </c>
      <c r="D2992" s="13" t="n">
        <v>1</v>
      </c>
      <c r="E2992" s="13" t="n">
        <v>879.08</v>
      </c>
      <c r="F2992" s="13" t="s">
        <v>5325</v>
      </c>
      <c r="G2992" s="13" t="s">
        <v>5292</v>
      </c>
      <c r="H2992" s="13" t="s">
        <v>5289</v>
      </c>
      <c r="I2992" s="13" t="s">
        <v>5289</v>
      </c>
      <c r="J2992" s="13" t="s">
        <v>5289</v>
      </c>
      <c r="K2992" s="13" t="s">
        <v>5289</v>
      </c>
      <c r="L2992" s="13"/>
      <c r="M2992" s="13"/>
      <c r="N2992" s="13" t="n">
        <v>3614273069540</v>
      </c>
      <c r="O2992" s="13"/>
      <c r="P2992" s="13" t="s">
        <v>5291</v>
      </c>
      <c r="Q2992" s="13" t="s">
        <v>5289</v>
      </c>
      <c r="R2992" s="13" t="s">
        <v>5292</v>
      </c>
      <c r="S2992" s="13" t="s">
        <v>5293</v>
      </c>
      <c r="T2992" s="13" t="s">
        <v>5</v>
      </c>
      <c r="U2992" s="13" t="s">
        <v>43</v>
      </c>
      <c r="V2992" s="13" t="n">
        <f aca="false">IF(COUNTIF($B$2:B2992,B2992)=1,1,0)</f>
        <v>0</v>
      </c>
      <c r="W2992" s="13" t="n">
        <f aca="false">IF(COUNTIFS($B$2:B2992,B2992,$T$2:T2992,T2992)=1,1,0)</f>
        <v>0</v>
      </c>
    </row>
    <row r="2993" customFormat="false" ht="15" hidden="false" customHeight="false" outlineLevel="0" collapsed="false">
      <c r="A2993" s="13" t="s">
        <v>1321</v>
      </c>
      <c r="B2993" s="13" t="s">
        <v>45</v>
      </c>
      <c r="C2993" s="13" t="n">
        <v>880</v>
      </c>
      <c r="D2993" s="13" t="n">
        <v>1</v>
      </c>
      <c r="E2993" s="13" t="n">
        <v>879.08</v>
      </c>
      <c r="F2993" s="13" t="s">
        <v>5325</v>
      </c>
      <c r="G2993" s="13" t="s">
        <v>5289</v>
      </c>
      <c r="H2993" s="13" t="s">
        <v>5292</v>
      </c>
      <c r="I2993" s="13" t="s">
        <v>5289</v>
      </c>
      <c r="J2993" s="13" t="s">
        <v>5289</v>
      </c>
      <c r="K2993" s="13" t="s">
        <v>5289</v>
      </c>
      <c r="L2993" s="13" t="n">
        <v>8435415055963</v>
      </c>
      <c r="M2993" s="13"/>
      <c r="N2993" s="13" t="n">
        <v>8435415055963</v>
      </c>
      <c r="O2993" s="13"/>
      <c r="P2993" s="13" t="s">
        <v>5291</v>
      </c>
      <c r="Q2993" s="13" t="s">
        <v>5289</v>
      </c>
      <c r="R2993" s="13" t="s">
        <v>5292</v>
      </c>
      <c r="S2993" s="13" t="s">
        <v>5293</v>
      </c>
      <c r="T2993" s="13" t="s">
        <v>5</v>
      </c>
      <c r="U2993" s="13" t="s">
        <v>43</v>
      </c>
      <c r="V2993" s="13" t="n">
        <f aca="false">IF(COUNTIF($B$2:B2993,B2993)=1,1,0)</f>
        <v>0</v>
      </c>
      <c r="W2993" s="13" t="n">
        <f aca="false">IF(COUNTIFS($B$2:B2993,B2993,$T$2:T2993,T2993)=1,1,0)</f>
        <v>0</v>
      </c>
    </row>
    <row r="2994" customFormat="false" ht="15" hidden="false" customHeight="false" outlineLevel="0" collapsed="false">
      <c r="A2994" s="13" t="s">
        <v>1320</v>
      </c>
      <c r="B2994" s="13" t="s">
        <v>42</v>
      </c>
      <c r="C2994" s="13" t="n">
        <v>880</v>
      </c>
      <c r="D2994" s="13" t="n">
        <v>2</v>
      </c>
      <c r="E2994" s="13" t="n">
        <v>438.85</v>
      </c>
      <c r="F2994" s="13" t="s">
        <v>5325</v>
      </c>
      <c r="G2994" s="13" t="s">
        <v>5289</v>
      </c>
      <c r="H2994" s="13" t="s">
        <v>5292</v>
      </c>
      <c r="I2994" s="13" t="s">
        <v>5289</v>
      </c>
      <c r="J2994" s="13" t="s">
        <v>5289</v>
      </c>
      <c r="K2994" s="13" t="s">
        <v>5292</v>
      </c>
      <c r="L2994" s="13" t="n">
        <v>8411061956113</v>
      </c>
      <c r="M2994" s="13"/>
      <c r="N2994" s="13" t="n">
        <v>8.41106195611384E+025</v>
      </c>
      <c r="O2994" s="13"/>
      <c r="P2994" s="13" t="s">
        <v>5291</v>
      </c>
      <c r="Q2994" s="13" t="s">
        <v>5289</v>
      </c>
      <c r="R2994" s="13" t="s">
        <v>5292</v>
      </c>
      <c r="S2994" s="13" t="s">
        <v>5293</v>
      </c>
      <c r="T2994" s="13" t="s">
        <v>5</v>
      </c>
      <c r="U2994" s="13" t="s">
        <v>43</v>
      </c>
      <c r="V2994" s="13" t="n">
        <f aca="false">IF(COUNTIF($B$2:B2994,B2994)=1,1,0)</f>
        <v>0</v>
      </c>
      <c r="W2994" s="13" t="n">
        <f aca="false">IF(COUNTIFS($B$2:B2994,B2994,$T$2:T2994,T2994)=1,1,0)</f>
        <v>0</v>
      </c>
    </row>
    <row r="2995" customFormat="false" ht="15" hidden="false" customHeight="false" outlineLevel="0" collapsed="false">
      <c r="A2995" s="13" t="s">
        <v>4156</v>
      </c>
      <c r="B2995" s="13" t="s">
        <v>2164</v>
      </c>
      <c r="C2995" s="13" t="n">
        <v>880</v>
      </c>
      <c r="D2995" s="13" t="n">
        <v>5</v>
      </c>
      <c r="E2995" s="13" t="n">
        <v>125.281428571429</v>
      </c>
      <c r="F2995" s="13" t="s">
        <v>5325</v>
      </c>
      <c r="G2995" s="13" t="s">
        <v>5289</v>
      </c>
      <c r="H2995" s="13" t="s">
        <v>5289</v>
      </c>
      <c r="I2995" s="13" t="s">
        <v>5289</v>
      </c>
      <c r="J2995" s="13" t="s">
        <v>5289</v>
      </c>
      <c r="K2995" s="13" t="s">
        <v>5292</v>
      </c>
      <c r="L2995" s="13" t="n">
        <v>3616305447050</v>
      </c>
      <c r="M2995" s="13"/>
      <c r="N2995" s="13" t="n">
        <v>3616305447050</v>
      </c>
      <c r="O2995" s="13"/>
      <c r="P2995" s="13" t="s">
        <v>5291</v>
      </c>
      <c r="Q2995" s="13" t="s">
        <v>5289</v>
      </c>
      <c r="R2995" s="13" t="s">
        <v>5292</v>
      </c>
      <c r="S2995" s="13" t="s">
        <v>5293</v>
      </c>
      <c r="T2995" s="13" t="s">
        <v>5</v>
      </c>
      <c r="U2995" s="13" t="s">
        <v>43</v>
      </c>
      <c r="V2995" s="13" t="n">
        <f aca="false">IF(COUNTIF($B$2:B2995,B2995)=1,1,0)</f>
        <v>0</v>
      </c>
      <c r="W2995" s="13" t="n">
        <f aca="false">IF(COUNTIFS($B$2:B2995,B2995,$T$2:T2995,T2995)=1,1,0)</f>
        <v>0</v>
      </c>
    </row>
    <row r="2996" customFormat="false" ht="15" hidden="false" customHeight="false" outlineLevel="0" collapsed="false">
      <c r="A2996" s="13" t="s">
        <v>545</v>
      </c>
      <c r="B2996" s="13" t="s">
        <v>69</v>
      </c>
      <c r="C2996" s="13" t="n">
        <v>880</v>
      </c>
      <c r="D2996" s="13" t="n">
        <v>2</v>
      </c>
      <c r="E2996" s="13" t="n">
        <v>438.44</v>
      </c>
      <c r="F2996" s="13" t="s">
        <v>5288</v>
      </c>
      <c r="G2996" s="13" t="s">
        <v>5289</v>
      </c>
      <c r="H2996" s="13" t="s">
        <v>5289</v>
      </c>
      <c r="I2996" s="13" t="s">
        <v>5289</v>
      </c>
      <c r="J2996" s="13" t="s">
        <v>5289</v>
      </c>
      <c r="K2996" s="13" t="s">
        <v>5289</v>
      </c>
      <c r="L2996" s="13"/>
      <c r="M2996" s="13"/>
      <c r="N2996" s="13" t="n">
        <v>3614274151145</v>
      </c>
      <c r="O2996" s="13"/>
      <c r="P2996" s="13" t="s">
        <v>5291</v>
      </c>
      <c r="Q2996" s="13" t="s">
        <v>5289</v>
      </c>
      <c r="R2996" s="13" t="s">
        <v>5292</v>
      </c>
      <c r="S2996" s="13" t="s">
        <v>5293</v>
      </c>
      <c r="T2996" s="13" t="s">
        <v>5</v>
      </c>
      <c r="U2996" s="13" t="s">
        <v>43</v>
      </c>
      <c r="V2996" s="13" t="n">
        <f aca="false">IF(COUNTIF($B$2:B2996,B2996)=1,1,0)</f>
        <v>0</v>
      </c>
      <c r="W2996" s="13" t="n">
        <f aca="false">IF(COUNTIFS($B$2:B2996,B2996,$T$2:T2996,T2996)=1,1,0)</f>
        <v>0</v>
      </c>
    </row>
    <row r="2997" customFormat="false" ht="15" hidden="false" customHeight="false" outlineLevel="0" collapsed="false">
      <c r="A2997" s="13" t="s">
        <v>1332</v>
      </c>
      <c r="B2997" s="13" t="s">
        <v>54</v>
      </c>
      <c r="C2997" s="13" t="n">
        <v>870</v>
      </c>
      <c r="D2997" s="13" t="n">
        <v>2</v>
      </c>
      <c r="E2997" s="13" t="n">
        <v>290.676666666667</v>
      </c>
      <c r="F2997" s="13" t="s">
        <v>5325</v>
      </c>
      <c r="G2997" s="13" t="s">
        <v>5289</v>
      </c>
      <c r="H2997" s="13" t="s">
        <v>5289</v>
      </c>
      <c r="I2997" s="13" t="s">
        <v>5289</v>
      </c>
      <c r="J2997" s="13" t="s">
        <v>5289</v>
      </c>
      <c r="K2997" s="13" t="s">
        <v>5289</v>
      </c>
      <c r="L2997" s="13" t="n">
        <v>7898965700942</v>
      </c>
      <c r="M2997" s="13"/>
      <c r="N2997" s="13" t="n">
        <v>7898965700942</v>
      </c>
      <c r="O2997" s="13"/>
      <c r="P2997" s="13" t="s">
        <v>5291</v>
      </c>
      <c r="Q2997" s="13" t="s">
        <v>5289</v>
      </c>
      <c r="R2997" s="13" t="s">
        <v>5292</v>
      </c>
      <c r="S2997" s="13" t="s">
        <v>5293</v>
      </c>
      <c r="T2997" s="13" t="s">
        <v>5</v>
      </c>
      <c r="U2997" s="13" t="s">
        <v>43</v>
      </c>
      <c r="V2997" s="13" t="n">
        <f aca="false">IF(COUNTIF($B$2:B2997,B2997)=1,1,0)</f>
        <v>0</v>
      </c>
      <c r="W2997" s="13" t="n">
        <f aca="false">IF(COUNTIFS($B$2:B2997,B2997,$T$2:T2997,T2997)=1,1,0)</f>
        <v>0</v>
      </c>
    </row>
    <row r="2998" customFormat="false" ht="15" hidden="false" customHeight="false" outlineLevel="0" collapsed="false">
      <c r="A2998" s="13" t="s">
        <v>242</v>
      </c>
      <c r="B2998" s="13" t="s">
        <v>42</v>
      </c>
      <c r="C2998" s="13" t="n">
        <v>870</v>
      </c>
      <c r="D2998" s="13" t="n">
        <v>1</v>
      </c>
      <c r="E2998" s="13" t="n">
        <v>871.88</v>
      </c>
      <c r="F2998" s="13" t="s">
        <v>5325</v>
      </c>
      <c r="G2998" s="13" t="s">
        <v>5289</v>
      </c>
      <c r="H2998" s="13" t="s">
        <v>5289</v>
      </c>
      <c r="I2998" s="13" t="s">
        <v>5289</v>
      </c>
      <c r="J2998" s="13" t="s">
        <v>5289</v>
      </c>
      <c r="K2998" s="13" t="s">
        <v>5289</v>
      </c>
      <c r="L2998" s="13" t="n">
        <v>8411061067895</v>
      </c>
      <c r="M2998" s="13"/>
      <c r="N2998" s="13" t="n">
        <v>8.41106160715284E+025</v>
      </c>
      <c r="O2998" s="13"/>
      <c r="P2998" s="13" t="s">
        <v>5291</v>
      </c>
      <c r="Q2998" s="13" t="s">
        <v>5289</v>
      </c>
      <c r="R2998" s="13" t="s">
        <v>5292</v>
      </c>
      <c r="S2998" s="13" t="s">
        <v>5293</v>
      </c>
      <c r="T2998" s="13" t="s">
        <v>5</v>
      </c>
      <c r="U2998" s="13" t="s">
        <v>43</v>
      </c>
      <c r="V2998" s="13" t="n">
        <f aca="false">IF(COUNTIF($B$2:B2998,B2998)=1,1,0)</f>
        <v>0</v>
      </c>
      <c r="W2998" s="13" t="n">
        <f aca="false">IF(COUNTIFS($B$2:B2998,B2998,$T$2:T2998,T2998)=1,1,0)</f>
        <v>0</v>
      </c>
    </row>
    <row r="2999" customFormat="false" ht="15" hidden="false" customHeight="false" outlineLevel="0" collapsed="false">
      <c r="A2999" s="13" t="s">
        <v>907</v>
      </c>
      <c r="B2999" s="13" t="s">
        <v>50</v>
      </c>
      <c r="C2999" s="13" t="n">
        <v>870</v>
      </c>
      <c r="D2999" s="13" t="n">
        <v>1</v>
      </c>
      <c r="E2999" s="13" t="n">
        <v>869.13</v>
      </c>
      <c r="F2999" s="13" t="s">
        <v>5325</v>
      </c>
      <c r="G2999" s="13" t="s">
        <v>5292</v>
      </c>
      <c r="H2999" s="13" t="s">
        <v>5292</v>
      </c>
      <c r="I2999" s="13" t="s">
        <v>5289</v>
      </c>
      <c r="J2999" s="13" t="s">
        <v>5289</v>
      </c>
      <c r="K2999" s="13" t="s">
        <v>5289</v>
      </c>
      <c r="L2999" s="13" t="n">
        <v>3349668581948</v>
      </c>
      <c r="M2999" s="13"/>
      <c r="N2999" s="13" t="n">
        <v>3349668581948</v>
      </c>
      <c r="O2999" s="13"/>
      <c r="P2999" s="13" t="s">
        <v>5291</v>
      </c>
      <c r="Q2999" s="13" t="s">
        <v>5289</v>
      </c>
      <c r="R2999" s="13" t="s">
        <v>5292</v>
      </c>
      <c r="S2999" s="13" t="s">
        <v>5293</v>
      </c>
      <c r="T2999" s="13" t="s">
        <v>5</v>
      </c>
      <c r="U2999" s="13" t="s">
        <v>43</v>
      </c>
      <c r="V2999" s="13" t="n">
        <f aca="false">IF(COUNTIF($B$2:B2999,B2999)=1,1,0)</f>
        <v>0</v>
      </c>
      <c r="W2999" s="13" t="n">
        <f aca="false">IF(COUNTIFS($B$2:B2999,B2999,$T$2:T2999,T2999)=1,1,0)</f>
        <v>0</v>
      </c>
    </row>
    <row r="3000" customFormat="false" ht="15" hidden="false" customHeight="false" outlineLevel="0" collapsed="false">
      <c r="A3000" s="13" t="s">
        <v>1333</v>
      </c>
      <c r="B3000" s="13" t="s">
        <v>153</v>
      </c>
      <c r="C3000" s="13" t="n">
        <v>870</v>
      </c>
      <c r="D3000" s="13" t="n">
        <v>2</v>
      </c>
      <c r="E3000" s="13" t="n">
        <v>433.47</v>
      </c>
      <c r="F3000" s="13" t="s">
        <v>5325</v>
      </c>
      <c r="G3000" s="13" t="s">
        <v>5289</v>
      </c>
      <c r="H3000" s="13" t="s">
        <v>5292</v>
      </c>
      <c r="I3000" s="13" t="s">
        <v>5289</v>
      </c>
      <c r="J3000" s="13" t="s">
        <v>5289</v>
      </c>
      <c r="K3000" s="13" t="s">
        <v>5289</v>
      </c>
      <c r="L3000" s="13"/>
      <c r="M3000" s="13"/>
      <c r="N3000" s="13" t="n">
        <v>8011003890798</v>
      </c>
      <c r="O3000" s="13"/>
      <c r="P3000" s="13" t="s">
        <v>5291</v>
      </c>
      <c r="Q3000" s="13" t="s">
        <v>5289</v>
      </c>
      <c r="R3000" s="13" t="s">
        <v>5292</v>
      </c>
      <c r="S3000" s="13" t="s">
        <v>5293</v>
      </c>
      <c r="T3000" s="13" t="s">
        <v>5</v>
      </c>
      <c r="U3000" s="13" t="s">
        <v>43</v>
      </c>
      <c r="V3000" s="13" t="n">
        <f aca="false">IF(COUNTIF($B$2:B3000,B3000)=1,1,0)</f>
        <v>0</v>
      </c>
      <c r="W3000" s="13" t="n">
        <f aca="false">IF(COUNTIFS($B$2:B3000,B3000,$T$2:T3000,T3000)=1,1,0)</f>
        <v>0</v>
      </c>
    </row>
    <row r="3001" customFormat="false" ht="15" hidden="false" customHeight="false" outlineLevel="0" collapsed="false">
      <c r="A3001" s="13" t="s">
        <v>1330</v>
      </c>
      <c r="B3001" s="13" t="s">
        <v>103</v>
      </c>
      <c r="C3001" s="13" t="n">
        <v>870</v>
      </c>
      <c r="D3001" s="13" t="n">
        <v>2</v>
      </c>
      <c r="E3001" s="13" t="n">
        <v>216.435</v>
      </c>
      <c r="F3001" s="13" t="s">
        <v>5325</v>
      </c>
      <c r="G3001" s="13" t="s">
        <v>5289</v>
      </c>
      <c r="H3001" s="13" t="s">
        <v>5289</v>
      </c>
      <c r="I3001" s="13" t="s">
        <v>5289</v>
      </c>
      <c r="J3001" s="13" t="s">
        <v>5289</v>
      </c>
      <c r="K3001" s="13" t="s">
        <v>5289</v>
      </c>
      <c r="L3001" s="13" t="n">
        <v>8411061636268</v>
      </c>
      <c r="M3001" s="13"/>
      <c r="N3001" s="13" t="n">
        <v>8.41106163626884E+025</v>
      </c>
      <c r="O3001" s="13"/>
      <c r="P3001" s="13" t="s">
        <v>5291</v>
      </c>
      <c r="Q3001" s="13" t="s">
        <v>5289</v>
      </c>
      <c r="R3001" s="13" t="s">
        <v>5292</v>
      </c>
      <c r="S3001" s="13" t="s">
        <v>5293</v>
      </c>
      <c r="T3001" s="13" t="s">
        <v>5</v>
      </c>
      <c r="U3001" s="13" t="s">
        <v>43</v>
      </c>
      <c r="V3001" s="13" t="n">
        <f aca="false">IF(COUNTIF($B$2:B3001,B3001)=1,1,0)</f>
        <v>0</v>
      </c>
      <c r="W3001" s="13" t="n">
        <f aca="false">IF(COUNTIFS($B$2:B3001,B3001,$T$2:T3001,T3001)=1,1,0)</f>
        <v>0</v>
      </c>
    </row>
    <row r="3002" customFormat="false" ht="15" hidden="false" customHeight="false" outlineLevel="0" collapsed="false">
      <c r="A3002" s="13" t="s">
        <v>6388</v>
      </c>
      <c r="B3002" s="13" t="s">
        <v>2127</v>
      </c>
      <c r="C3002" s="13" t="n">
        <v>860</v>
      </c>
      <c r="D3002" s="13" t="n">
        <v>10</v>
      </c>
      <c r="E3002" s="13" t="n">
        <v>66.5269230769231</v>
      </c>
      <c r="F3002" s="13" t="s">
        <v>5288</v>
      </c>
      <c r="G3002" s="13" t="s">
        <v>5289</v>
      </c>
      <c r="H3002" s="13" t="s">
        <v>5292</v>
      </c>
      <c r="I3002" s="13" t="s">
        <v>5292</v>
      </c>
      <c r="J3002" s="13" t="s">
        <v>5289</v>
      </c>
      <c r="K3002" s="13" t="s">
        <v>5292</v>
      </c>
      <c r="L3002" s="13" t="n">
        <v>19045108084</v>
      </c>
      <c r="M3002" s="13"/>
      <c r="N3002" s="13" t="n">
        <v>19045108084</v>
      </c>
      <c r="O3002" s="13"/>
      <c r="P3002" s="13" t="s">
        <v>5291</v>
      </c>
      <c r="Q3002" s="13" t="s">
        <v>5289</v>
      </c>
      <c r="R3002" s="13" t="s">
        <v>5292</v>
      </c>
      <c r="S3002" s="13" t="s">
        <v>5293</v>
      </c>
      <c r="T3002" s="13" t="s">
        <v>5</v>
      </c>
      <c r="U3002" s="13" t="s">
        <v>85</v>
      </c>
      <c r="V3002" s="13" t="n">
        <f aca="false">IF(COUNTIF($B$2:B3002,B3002)=1,1,0)</f>
        <v>0</v>
      </c>
      <c r="W3002" s="13" t="n">
        <f aca="false">IF(COUNTIFS($B$2:B3002,B3002,$T$2:T3002,T3002)=1,1,0)</f>
        <v>0</v>
      </c>
    </row>
    <row r="3003" customFormat="false" ht="15" hidden="false" customHeight="false" outlineLevel="0" collapsed="false">
      <c r="A3003" s="13" t="s">
        <v>1338</v>
      </c>
      <c r="B3003" s="13" t="s">
        <v>54</v>
      </c>
      <c r="C3003" s="13" t="n">
        <v>860</v>
      </c>
      <c r="D3003" s="13" t="n">
        <v>2</v>
      </c>
      <c r="E3003" s="13" t="n">
        <v>215.82</v>
      </c>
      <c r="F3003" s="13" t="s">
        <v>5325</v>
      </c>
      <c r="G3003" s="13" t="s">
        <v>5289</v>
      </c>
      <c r="H3003" s="13" t="s">
        <v>5289</v>
      </c>
      <c r="I3003" s="13" t="s">
        <v>5289</v>
      </c>
      <c r="J3003" s="13" t="s">
        <v>5289</v>
      </c>
      <c r="K3003" s="13" t="s">
        <v>5289</v>
      </c>
      <c r="L3003" s="13" t="n">
        <v>768614189947</v>
      </c>
      <c r="M3003" s="13"/>
      <c r="N3003" s="13" t="n">
        <v>768614189947</v>
      </c>
      <c r="O3003" s="13"/>
      <c r="P3003" s="13" t="s">
        <v>5291</v>
      </c>
      <c r="Q3003" s="13" t="s">
        <v>5289</v>
      </c>
      <c r="R3003" s="13" t="s">
        <v>5292</v>
      </c>
      <c r="S3003" s="13" t="s">
        <v>5293</v>
      </c>
      <c r="T3003" s="13" t="s">
        <v>5</v>
      </c>
      <c r="U3003" s="13" t="s">
        <v>43</v>
      </c>
      <c r="V3003" s="13" t="n">
        <f aca="false">IF(COUNTIF($B$2:B3003,B3003)=1,1,0)</f>
        <v>0</v>
      </c>
      <c r="W3003" s="13" t="n">
        <f aca="false">IF(COUNTIFS($B$2:B3003,B3003,$T$2:T3003,T3003)=1,1,0)</f>
        <v>0</v>
      </c>
    </row>
    <row r="3004" customFormat="false" ht="15" hidden="false" customHeight="false" outlineLevel="0" collapsed="false">
      <c r="A3004" s="13" t="s">
        <v>1335</v>
      </c>
      <c r="B3004" s="13" t="s">
        <v>195</v>
      </c>
      <c r="C3004" s="13" t="n">
        <v>860</v>
      </c>
      <c r="D3004" s="13" t="n">
        <v>2</v>
      </c>
      <c r="E3004" s="13" t="n">
        <v>431.17</v>
      </c>
      <c r="F3004" s="13" t="s">
        <v>5325</v>
      </c>
      <c r="G3004" s="13" t="s">
        <v>5292</v>
      </c>
      <c r="H3004" s="13" t="s">
        <v>5289</v>
      </c>
      <c r="I3004" s="13" t="s">
        <v>5289</v>
      </c>
      <c r="J3004" s="13" t="s">
        <v>5289</v>
      </c>
      <c r="K3004" s="13" t="s">
        <v>5289</v>
      </c>
      <c r="L3004" s="13" t="n">
        <v>3616304967108</v>
      </c>
      <c r="M3004" s="13"/>
      <c r="N3004" s="13" t="n">
        <v>3616304967108</v>
      </c>
      <c r="O3004" s="13"/>
      <c r="P3004" s="13" t="s">
        <v>5291</v>
      </c>
      <c r="Q3004" s="13" t="s">
        <v>5289</v>
      </c>
      <c r="R3004" s="13" t="s">
        <v>5292</v>
      </c>
      <c r="S3004" s="13" t="s">
        <v>5293</v>
      </c>
      <c r="T3004" s="13" t="s">
        <v>5</v>
      </c>
      <c r="U3004" s="13" t="s">
        <v>43</v>
      </c>
      <c r="V3004" s="13" t="n">
        <f aca="false">IF(COUNTIF($B$2:B3004,B3004)=1,1,0)</f>
        <v>0</v>
      </c>
      <c r="W3004" s="13" t="n">
        <f aca="false">IF(COUNTIFS($B$2:B3004,B3004,$T$2:T3004,T3004)=1,1,0)</f>
        <v>0</v>
      </c>
    </row>
    <row r="3005" customFormat="false" ht="15" hidden="false" customHeight="false" outlineLevel="0" collapsed="false">
      <c r="A3005" s="13" t="s">
        <v>1337</v>
      </c>
      <c r="B3005" s="13" t="s">
        <v>107</v>
      </c>
      <c r="C3005" s="13" t="n">
        <v>860</v>
      </c>
      <c r="D3005" s="13" t="n">
        <v>2</v>
      </c>
      <c r="E3005" s="13" t="n">
        <v>287.12</v>
      </c>
      <c r="F3005" s="13" t="s">
        <v>5288</v>
      </c>
      <c r="G3005" s="13" t="s">
        <v>5292</v>
      </c>
      <c r="H3005" s="13" t="s">
        <v>5289</v>
      </c>
      <c r="I3005" s="13" t="s">
        <v>5289</v>
      </c>
      <c r="J3005" s="13" t="s">
        <v>5289</v>
      </c>
      <c r="K3005" s="13" t="s">
        <v>5289</v>
      </c>
      <c r="L3005" s="13" t="n">
        <v>9000250381646</v>
      </c>
      <c r="M3005" s="13"/>
      <c r="N3005" s="13" t="n">
        <v>9000250381646</v>
      </c>
      <c r="O3005" s="13"/>
      <c r="P3005" s="13" t="s">
        <v>5297</v>
      </c>
      <c r="Q3005" s="13" t="s">
        <v>5289</v>
      </c>
      <c r="R3005" s="13" t="s">
        <v>5292</v>
      </c>
      <c r="S3005" s="13" t="s">
        <v>5293</v>
      </c>
      <c r="T3005" s="13" t="s">
        <v>5</v>
      </c>
      <c r="U3005" s="13" t="s">
        <v>183</v>
      </c>
      <c r="V3005" s="13" t="n">
        <f aca="false">IF(COUNTIF($B$2:B3005,B3005)=1,1,0)</f>
        <v>0</v>
      </c>
      <c r="W3005" s="13" t="n">
        <f aca="false">IF(COUNTIFS($B$2:B3005,B3005,$T$2:T3005,T3005)=1,1,0)</f>
        <v>0</v>
      </c>
    </row>
    <row r="3006" customFormat="false" ht="15" hidden="false" customHeight="false" outlineLevel="0" collapsed="false">
      <c r="A3006" s="13" t="s">
        <v>1336</v>
      </c>
      <c r="B3006" s="13" t="s">
        <v>45</v>
      </c>
      <c r="C3006" s="13" t="n">
        <v>860</v>
      </c>
      <c r="D3006" s="13" t="n">
        <v>1</v>
      </c>
      <c r="E3006" s="13" t="n">
        <v>860.42</v>
      </c>
      <c r="F3006" s="13" t="s">
        <v>5325</v>
      </c>
      <c r="G3006" s="13" t="s">
        <v>5289</v>
      </c>
      <c r="H3006" s="13" t="s">
        <v>5292</v>
      </c>
      <c r="I3006" s="13" t="s">
        <v>5289</v>
      </c>
      <c r="J3006" s="13" t="s">
        <v>5289</v>
      </c>
      <c r="K3006" s="13" t="s">
        <v>5289</v>
      </c>
      <c r="L3006" s="13"/>
      <c r="M3006" s="13"/>
      <c r="N3006" s="13" t="n">
        <v>8435415102353</v>
      </c>
      <c r="O3006" s="13"/>
      <c r="P3006" s="13" t="s">
        <v>5291</v>
      </c>
      <c r="Q3006" s="13" t="s">
        <v>5289</v>
      </c>
      <c r="R3006" s="13" t="s">
        <v>5292</v>
      </c>
      <c r="S3006" s="13" t="s">
        <v>5293</v>
      </c>
      <c r="T3006" s="13" t="s">
        <v>5</v>
      </c>
      <c r="U3006" s="13" t="s">
        <v>43</v>
      </c>
      <c r="V3006" s="13" t="n">
        <f aca="false">IF(COUNTIF($B$2:B3006,B3006)=1,1,0)</f>
        <v>0</v>
      </c>
      <c r="W3006" s="13" t="n">
        <f aca="false">IF(COUNTIFS($B$2:B3006,B3006,$T$2:T3006,T3006)=1,1,0)</f>
        <v>0</v>
      </c>
    </row>
    <row r="3007" customFormat="false" ht="15" hidden="false" customHeight="false" outlineLevel="0" collapsed="false">
      <c r="A3007" s="13" t="s">
        <v>1340</v>
      </c>
      <c r="B3007" s="13" t="s">
        <v>54</v>
      </c>
      <c r="C3007" s="13" t="n">
        <v>860</v>
      </c>
      <c r="D3007" s="13" t="n">
        <v>2</v>
      </c>
      <c r="E3007" s="13" t="n">
        <v>429.98</v>
      </c>
      <c r="F3007" s="13" t="s">
        <v>5288</v>
      </c>
      <c r="G3007" s="13" t="s">
        <v>5289</v>
      </c>
      <c r="H3007" s="13" t="s">
        <v>5289</v>
      </c>
      <c r="I3007" s="13" t="s">
        <v>5289</v>
      </c>
      <c r="J3007" s="13" t="s">
        <v>5289</v>
      </c>
      <c r="K3007" s="13" t="s">
        <v>5289</v>
      </c>
      <c r="L3007" s="13" t="n">
        <v>768614220473</v>
      </c>
      <c r="M3007" s="13"/>
      <c r="N3007" s="13" t="n">
        <v>768614220473</v>
      </c>
      <c r="O3007" s="13"/>
      <c r="P3007" s="13" t="s">
        <v>5291</v>
      </c>
      <c r="Q3007" s="13" t="s">
        <v>5289</v>
      </c>
      <c r="R3007" s="13" t="s">
        <v>5292</v>
      </c>
      <c r="S3007" s="13" t="s">
        <v>5293</v>
      </c>
      <c r="T3007" s="13" t="s">
        <v>5</v>
      </c>
      <c r="U3007" s="13" t="s">
        <v>43</v>
      </c>
      <c r="V3007" s="13" t="n">
        <f aca="false">IF(COUNTIF($B$2:B3007,B3007)=1,1,0)</f>
        <v>0</v>
      </c>
      <c r="W3007" s="13" t="n">
        <f aca="false">IF(COUNTIFS($B$2:B3007,B3007,$T$2:T3007,T3007)=1,1,0)</f>
        <v>0</v>
      </c>
    </row>
    <row r="3008" customFormat="false" ht="15" hidden="false" customHeight="false" outlineLevel="0" collapsed="false">
      <c r="A3008" s="13" t="s">
        <v>1028</v>
      </c>
      <c r="B3008" s="13" t="s">
        <v>50</v>
      </c>
      <c r="C3008" s="13" t="n">
        <v>860</v>
      </c>
      <c r="D3008" s="13" t="n">
        <v>2</v>
      </c>
      <c r="E3008" s="13" t="n">
        <v>428.85</v>
      </c>
      <c r="F3008" s="13" t="s">
        <v>5325</v>
      </c>
      <c r="G3008" s="13" t="s">
        <v>5289</v>
      </c>
      <c r="H3008" s="13" t="s">
        <v>5289</v>
      </c>
      <c r="I3008" s="13" t="s">
        <v>5289</v>
      </c>
      <c r="J3008" s="13" t="s">
        <v>5289</v>
      </c>
      <c r="K3008" s="13" t="s">
        <v>5292</v>
      </c>
      <c r="L3008" s="13" t="n">
        <v>3349668555123</v>
      </c>
      <c r="M3008" s="13"/>
      <c r="N3008" s="13" t="n">
        <v>3349668555123</v>
      </c>
      <c r="O3008" s="13"/>
      <c r="P3008" s="13" t="s">
        <v>5291</v>
      </c>
      <c r="Q3008" s="13" t="s">
        <v>5289</v>
      </c>
      <c r="R3008" s="13" t="s">
        <v>5292</v>
      </c>
      <c r="S3008" s="13" t="s">
        <v>5293</v>
      </c>
      <c r="T3008" s="13" t="s">
        <v>5</v>
      </c>
      <c r="U3008" s="13" t="s">
        <v>43</v>
      </c>
      <c r="V3008" s="13" t="n">
        <f aca="false">IF(COUNTIF($B$2:B3008,B3008)=1,1,0)</f>
        <v>0</v>
      </c>
      <c r="W3008" s="13" t="n">
        <f aca="false">IF(COUNTIFS($B$2:B3008,B3008,$T$2:T3008,T3008)=1,1,0)</f>
        <v>0</v>
      </c>
    </row>
    <row r="3009" customFormat="false" ht="15" hidden="false" customHeight="false" outlineLevel="0" collapsed="false">
      <c r="A3009" s="13" t="s">
        <v>1061</v>
      </c>
      <c r="B3009" s="13" t="s">
        <v>121</v>
      </c>
      <c r="C3009" s="13" t="n">
        <v>860</v>
      </c>
      <c r="D3009" s="13" t="n">
        <v>20</v>
      </c>
      <c r="E3009" s="13" t="n">
        <v>42.872</v>
      </c>
      <c r="F3009" s="13" t="s">
        <v>5325</v>
      </c>
      <c r="G3009" s="13" t="s">
        <v>5292</v>
      </c>
      <c r="H3009" s="13" t="s">
        <v>5289</v>
      </c>
      <c r="I3009" s="13" t="s">
        <v>5292</v>
      </c>
      <c r="J3009" s="13" t="s">
        <v>5289</v>
      </c>
      <c r="K3009" s="13" t="s">
        <v>5289</v>
      </c>
      <c r="L3009" s="13" t="n">
        <v>7896086930293</v>
      </c>
      <c r="M3009" s="13"/>
      <c r="N3009" s="13" t="n">
        <v>7896086930293</v>
      </c>
      <c r="O3009" s="13"/>
      <c r="P3009" s="13" t="s">
        <v>5297</v>
      </c>
      <c r="Q3009" s="13" t="s">
        <v>5289</v>
      </c>
      <c r="R3009" s="13" t="s">
        <v>5292</v>
      </c>
      <c r="S3009" s="13" t="s">
        <v>5293</v>
      </c>
      <c r="T3009" s="13" t="s">
        <v>5</v>
      </c>
      <c r="U3009" s="13" t="s">
        <v>43</v>
      </c>
      <c r="V3009" s="13" t="n">
        <f aca="false">IF(COUNTIF($B$2:B3009,B3009)=1,1,0)</f>
        <v>0</v>
      </c>
      <c r="W3009" s="13" t="n">
        <f aca="false">IF(COUNTIFS($B$2:B3009,B3009,$T$2:T3009,T3009)=1,1,0)</f>
        <v>0</v>
      </c>
    </row>
    <row r="3010" customFormat="false" ht="15" hidden="false" customHeight="false" outlineLevel="0" collapsed="false">
      <c r="A3010" s="13" t="s">
        <v>589</v>
      </c>
      <c r="B3010" s="13" t="s">
        <v>79</v>
      </c>
      <c r="C3010" s="13" t="n">
        <v>860</v>
      </c>
      <c r="D3010" s="13" t="n">
        <v>1</v>
      </c>
      <c r="E3010" s="13" t="n">
        <v>856.94</v>
      </c>
      <c r="F3010" s="13" t="s">
        <v>5325</v>
      </c>
      <c r="G3010" s="13" t="s">
        <v>5289</v>
      </c>
      <c r="H3010" s="13" t="s">
        <v>5292</v>
      </c>
      <c r="I3010" s="13" t="s">
        <v>5289</v>
      </c>
      <c r="J3010" s="13" t="s">
        <v>5289</v>
      </c>
      <c r="K3010" s="13" t="s">
        <v>5289</v>
      </c>
      <c r="L3010" s="13" t="n">
        <v>8056669927136</v>
      </c>
      <c r="M3010" s="13"/>
      <c r="N3010" s="13" t="n">
        <v>8056669927136</v>
      </c>
      <c r="O3010" s="13"/>
      <c r="P3010" s="13" t="s">
        <v>5291</v>
      </c>
      <c r="Q3010" s="13" t="s">
        <v>5289</v>
      </c>
      <c r="R3010" s="13" t="s">
        <v>5292</v>
      </c>
      <c r="S3010" s="13" t="s">
        <v>5293</v>
      </c>
      <c r="T3010" s="13" t="s">
        <v>5</v>
      </c>
      <c r="U3010" s="13" t="s">
        <v>43</v>
      </c>
      <c r="V3010" s="13" t="n">
        <f aca="false">IF(COUNTIF($B$2:B3010,B3010)=1,1,0)</f>
        <v>0</v>
      </c>
      <c r="W3010" s="13" t="n">
        <f aca="false">IF(COUNTIFS($B$2:B3010,B3010,$T$2:T3010,T3010)=1,1,0)</f>
        <v>0</v>
      </c>
    </row>
    <row r="3011" customFormat="false" ht="15" hidden="false" customHeight="false" outlineLevel="0" collapsed="false">
      <c r="A3011" s="13" t="s">
        <v>589</v>
      </c>
      <c r="B3011" s="13" t="s">
        <v>79</v>
      </c>
      <c r="C3011" s="13" t="n">
        <v>860</v>
      </c>
      <c r="D3011" s="13" t="n">
        <v>2</v>
      </c>
      <c r="E3011" s="13" t="n">
        <v>428</v>
      </c>
      <c r="F3011" s="13" t="s">
        <v>5325</v>
      </c>
      <c r="G3011" s="13" t="s">
        <v>5289</v>
      </c>
      <c r="H3011" s="13" t="s">
        <v>5292</v>
      </c>
      <c r="I3011" s="13" t="s">
        <v>5289</v>
      </c>
      <c r="J3011" s="13" t="s">
        <v>5289</v>
      </c>
      <c r="K3011" s="13" t="s">
        <v>5292</v>
      </c>
      <c r="L3011" s="13" t="n">
        <v>8056669927112</v>
      </c>
      <c r="M3011" s="13"/>
      <c r="N3011" s="13" t="n">
        <v>8056669927112</v>
      </c>
      <c r="O3011" s="13"/>
      <c r="P3011" s="13" t="s">
        <v>5291</v>
      </c>
      <c r="Q3011" s="13" t="s">
        <v>5289</v>
      </c>
      <c r="R3011" s="13" t="s">
        <v>5292</v>
      </c>
      <c r="S3011" s="13" t="s">
        <v>5293</v>
      </c>
      <c r="T3011" s="13" t="s">
        <v>5</v>
      </c>
      <c r="U3011" s="13" t="s">
        <v>43</v>
      </c>
      <c r="V3011" s="13" t="n">
        <f aca="false">IF(COUNTIF($B$2:B3011,B3011)=1,1,0)</f>
        <v>0</v>
      </c>
      <c r="W3011" s="13" t="n">
        <f aca="false">IF(COUNTIFS($B$2:B3011,B3011,$T$2:T3011,T3011)=1,1,0)</f>
        <v>0</v>
      </c>
    </row>
    <row r="3012" customFormat="false" ht="15" hidden="false" customHeight="false" outlineLevel="0" collapsed="false">
      <c r="A3012" s="13" t="s">
        <v>563</v>
      </c>
      <c r="B3012" s="13" t="s">
        <v>45</v>
      </c>
      <c r="C3012" s="13" t="n">
        <v>850</v>
      </c>
      <c r="D3012" s="13" t="n">
        <v>2</v>
      </c>
      <c r="E3012" s="13" t="n">
        <v>426</v>
      </c>
      <c r="F3012" s="13" t="s">
        <v>5325</v>
      </c>
      <c r="G3012" s="13" t="s">
        <v>5292</v>
      </c>
      <c r="H3012" s="13" t="s">
        <v>5289</v>
      </c>
      <c r="I3012" s="13" t="s">
        <v>5289</v>
      </c>
      <c r="J3012" s="13" t="s">
        <v>5289</v>
      </c>
      <c r="K3012" s="13" t="s">
        <v>5289</v>
      </c>
      <c r="L3012" s="13" t="n">
        <v>8435415011310</v>
      </c>
      <c r="M3012" s="13"/>
      <c r="N3012" s="13" t="n">
        <v>3423470317152</v>
      </c>
      <c r="O3012" s="13"/>
      <c r="P3012" s="13" t="s">
        <v>5297</v>
      </c>
      <c r="Q3012" s="13" t="s">
        <v>5289</v>
      </c>
      <c r="R3012" s="13" t="s">
        <v>5292</v>
      </c>
      <c r="S3012" s="13" t="s">
        <v>5293</v>
      </c>
      <c r="T3012" s="13" t="s">
        <v>5</v>
      </c>
      <c r="U3012" s="13" t="s">
        <v>43</v>
      </c>
      <c r="V3012" s="13" t="n">
        <f aca="false">IF(COUNTIF($B$2:B3012,B3012)=1,1,0)</f>
        <v>0</v>
      </c>
      <c r="W3012" s="13" t="n">
        <f aca="false">IF(COUNTIFS($B$2:B3012,B3012,$T$2:T3012,T3012)=1,1,0)</f>
        <v>0</v>
      </c>
    </row>
    <row r="3013" customFormat="false" ht="15" hidden="false" customHeight="false" outlineLevel="0" collapsed="false">
      <c r="A3013" s="13" t="s">
        <v>1341</v>
      </c>
      <c r="B3013" s="13" t="s">
        <v>121</v>
      </c>
      <c r="C3013" s="13" t="n">
        <v>850</v>
      </c>
      <c r="D3013" s="13" t="n">
        <v>5</v>
      </c>
      <c r="E3013" s="13" t="n">
        <v>94.5833333333333</v>
      </c>
      <c r="F3013" s="13" t="s">
        <v>5325</v>
      </c>
      <c r="G3013" s="13" t="s">
        <v>5289</v>
      </c>
      <c r="H3013" s="13" t="s">
        <v>5289</v>
      </c>
      <c r="I3013" s="13" t="s">
        <v>5289</v>
      </c>
      <c r="J3013" s="13" t="s">
        <v>5289</v>
      </c>
      <c r="K3013" s="13" t="s">
        <v>5289</v>
      </c>
      <c r="L3013" s="13" t="n">
        <v>7896086991539</v>
      </c>
      <c r="M3013" s="13"/>
      <c r="N3013" s="13" t="n">
        <v>7896086991539</v>
      </c>
      <c r="O3013" s="13"/>
      <c r="P3013" s="13" t="s">
        <v>5291</v>
      </c>
      <c r="Q3013" s="13" t="s">
        <v>5289</v>
      </c>
      <c r="R3013" s="13" t="s">
        <v>5292</v>
      </c>
      <c r="S3013" s="13" t="s">
        <v>5293</v>
      </c>
      <c r="T3013" s="13" t="s">
        <v>5</v>
      </c>
      <c r="U3013" s="13" t="s">
        <v>183</v>
      </c>
      <c r="V3013" s="13" t="n">
        <f aca="false">IF(COUNTIF($B$2:B3013,B3013)=1,1,0)</f>
        <v>0</v>
      </c>
      <c r="W3013" s="13" t="n">
        <f aca="false">IF(COUNTIFS($B$2:B3013,B3013,$T$2:T3013,T3013)=1,1,0)</f>
        <v>0</v>
      </c>
    </row>
    <row r="3014" customFormat="false" ht="15" hidden="false" customHeight="false" outlineLevel="0" collapsed="false">
      <c r="A3014" s="13" t="s">
        <v>1214</v>
      </c>
      <c r="B3014" s="13" t="s">
        <v>92</v>
      </c>
      <c r="C3014" s="13" t="n">
        <v>850</v>
      </c>
      <c r="D3014" s="13" t="n">
        <v>1</v>
      </c>
      <c r="E3014" s="13" t="n">
        <v>850.85</v>
      </c>
      <c r="F3014" s="13" t="s">
        <v>5288</v>
      </c>
      <c r="G3014" s="13" t="s">
        <v>5292</v>
      </c>
      <c r="H3014" s="13" t="s">
        <v>5292</v>
      </c>
      <c r="I3014" s="13" t="s">
        <v>5289</v>
      </c>
      <c r="J3014" s="13" t="s">
        <v>5289</v>
      </c>
      <c r="K3014" s="13" t="s">
        <v>5292</v>
      </c>
      <c r="L3014" s="13"/>
      <c r="M3014" s="13"/>
      <c r="N3014" s="13" t="n">
        <v>3616302038312</v>
      </c>
      <c r="O3014" s="13"/>
      <c r="P3014" s="13" t="s">
        <v>5297</v>
      </c>
      <c r="Q3014" s="13" t="s">
        <v>5289</v>
      </c>
      <c r="R3014" s="13" t="s">
        <v>5292</v>
      </c>
      <c r="S3014" s="13" t="s">
        <v>5293</v>
      </c>
      <c r="T3014" s="13" t="s">
        <v>5</v>
      </c>
      <c r="U3014" s="13" t="s">
        <v>43</v>
      </c>
      <c r="V3014" s="13" t="n">
        <f aca="false">IF(COUNTIF($B$2:B3014,B3014)=1,1,0)</f>
        <v>0</v>
      </c>
      <c r="W3014" s="13" t="n">
        <f aca="false">IF(COUNTIFS($B$2:B3014,B3014,$T$2:T3014,T3014)=1,1,0)</f>
        <v>0</v>
      </c>
    </row>
    <row r="3015" customFormat="false" ht="15" hidden="false" customHeight="false" outlineLevel="0" collapsed="false">
      <c r="A3015" s="13" t="s">
        <v>1052</v>
      </c>
      <c r="B3015" s="13" t="s">
        <v>315</v>
      </c>
      <c r="C3015" s="13" t="n">
        <v>850</v>
      </c>
      <c r="D3015" s="13" t="n">
        <v>1</v>
      </c>
      <c r="E3015" s="13" t="n">
        <v>850.72</v>
      </c>
      <c r="F3015" s="13" t="s">
        <v>5325</v>
      </c>
      <c r="G3015" s="13" t="s">
        <v>5289</v>
      </c>
      <c r="H3015" s="13" t="s">
        <v>5289</v>
      </c>
      <c r="I3015" s="13" t="s">
        <v>5289</v>
      </c>
      <c r="J3015" s="13" t="s">
        <v>5289</v>
      </c>
      <c r="K3015" s="13" t="s">
        <v>5289</v>
      </c>
      <c r="L3015" s="13" t="n">
        <v>3605972698742</v>
      </c>
      <c r="M3015" s="13"/>
      <c r="N3015" s="13" t="n">
        <v>3605972698742</v>
      </c>
      <c r="O3015" s="13"/>
      <c r="P3015" s="13" t="s">
        <v>5291</v>
      </c>
      <c r="Q3015" s="13" t="s">
        <v>5289</v>
      </c>
      <c r="R3015" s="13" t="s">
        <v>5292</v>
      </c>
      <c r="S3015" s="13" t="s">
        <v>5293</v>
      </c>
      <c r="T3015" s="13" t="s">
        <v>5</v>
      </c>
      <c r="U3015" s="13" t="s">
        <v>43</v>
      </c>
      <c r="V3015" s="13" t="n">
        <f aca="false">IF(COUNTIF($B$2:B3015,B3015)=1,1,0)</f>
        <v>0</v>
      </c>
      <c r="W3015" s="13" t="n">
        <f aca="false">IF(COUNTIFS($B$2:B3015,B3015,$T$2:T3015,T3015)=1,1,0)</f>
        <v>0</v>
      </c>
    </row>
    <row r="3016" customFormat="false" ht="15" hidden="false" customHeight="false" outlineLevel="0" collapsed="false">
      <c r="A3016" s="13" t="s">
        <v>1342</v>
      </c>
      <c r="B3016" s="13" t="s">
        <v>362</v>
      </c>
      <c r="C3016" s="13" t="n">
        <v>850</v>
      </c>
      <c r="D3016" s="13" t="n">
        <v>1</v>
      </c>
      <c r="E3016" s="13" t="n">
        <v>850.36</v>
      </c>
      <c r="F3016" s="13" t="s">
        <v>5325</v>
      </c>
      <c r="G3016" s="13" t="s">
        <v>5289</v>
      </c>
      <c r="H3016" s="13" t="s">
        <v>5292</v>
      </c>
      <c r="I3016" s="13" t="s">
        <v>5289</v>
      </c>
      <c r="J3016" s="13" t="s">
        <v>5289</v>
      </c>
      <c r="K3016" s="13" t="s">
        <v>5289</v>
      </c>
      <c r="L3016" s="13" t="n">
        <v>3386460139120</v>
      </c>
      <c r="M3016" s="13"/>
      <c r="N3016" s="13" t="n">
        <v>3386460139120</v>
      </c>
      <c r="O3016" s="13"/>
      <c r="P3016" s="13" t="s">
        <v>5291</v>
      </c>
      <c r="Q3016" s="13" t="s">
        <v>5289</v>
      </c>
      <c r="R3016" s="13" t="s">
        <v>5292</v>
      </c>
      <c r="S3016" s="13" t="s">
        <v>5293</v>
      </c>
      <c r="T3016" s="13" t="s">
        <v>5</v>
      </c>
      <c r="U3016" s="13" t="s">
        <v>43</v>
      </c>
      <c r="V3016" s="13" t="n">
        <f aca="false">IF(COUNTIF($B$2:B3016,B3016)=1,1,0)</f>
        <v>0</v>
      </c>
      <c r="W3016" s="13" t="n">
        <f aca="false">IF(COUNTIFS($B$2:B3016,B3016,$T$2:T3016,T3016)=1,1,0)</f>
        <v>0</v>
      </c>
    </row>
    <row r="3017" customFormat="false" ht="15" hidden="false" customHeight="false" outlineLevel="0" collapsed="false">
      <c r="A3017" s="13" t="s">
        <v>316</v>
      </c>
      <c r="B3017" s="13" t="s">
        <v>315</v>
      </c>
      <c r="C3017" s="13" t="n">
        <v>850</v>
      </c>
      <c r="D3017" s="13" t="n">
        <v>2</v>
      </c>
      <c r="E3017" s="13" t="n">
        <v>425</v>
      </c>
      <c r="F3017" s="13" t="s">
        <v>5325</v>
      </c>
      <c r="G3017" s="13" t="s">
        <v>5289</v>
      </c>
      <c r="H3017" s="13" t="s">
        <v>5289</v>
      </c>
      <c r="I3017" s="13" t="s">
        <v>5289</v>
      </c>
      <c r="J3017" s="13" t="s">
        <v>5289</v>
      </c>
      <c r="K3017" s="13" t="s">
        <v>5289</v>
      </c>
      <c r="L3017" s="13"/>
      <c r="M3017" s="13"/>
      <c r="N3017" s="13" t="n">
        <v>3605972975874</v>
      </c>
      <c r="O3017" s="13"/>
      <c r="P3017" s="13" t="s">
        <v>5291</v>
      </c>
      <c r="Q3017" s="13" t="s">
        <v>5289</v>
      </c>
      <c r="R3017" s="13" t="s">
        <v>5292</v>
      </c>
      <c r="S3017" s="13" t="s">
        <v>5293</v>
      </c>
      <c r="T3017" s="13" t="s">
        <v>5</v>
      </c>
      <c r="U3017" s="13" t="s">
        <v>43</v>
      </c>
      <c r="V3017" s="13" t="n">
        <f aca="false">IF(COUNTIF($B$2:B3017,B3017)=1,1,0)</f>
        <v>0</v>
      </c>
      <c r="W3017" s="13" t="n">
        <f aca="false">IF(COUNTIFS($B$2:B3017,B3017,$T$2:T3017,T3017)=1,1,0)</f>
        <v>0</v>
      </c>
    </row>
    <row r="3018" customFormat="false" ht="15" hidden="false" customHeight="false" outlineLevel="0" collapsed="false">
      <c r="A3018" s="13" t="s">
        <v>921</v>
      </c>
      <c r="B3018" s="13" t="s">
        <v>153</v>
      </c>
      <c r="C3018" s="13" t="n">
        <v>850</v>
      </c>
      <c r="D3018" s="13" t="n">
        <v>2</v>
      </c>
      <c r="E3018" s="13" t="n">
        <v>423.36</v>
      </c>
      <c r="F3018" s="13" t="s">
        <v>5325</v>
      </c>
      <c r="G3018" s="13" t="s">
        <v>5289</v>
      </c>
      <c r="H3018" s="13" t="s">
        <v>5289</v>
      </c>
      <c r="I3018" s="13" t="s">
        <v>5289</v>
      </c>
      <c r="J3018" s="13" t="s">
        <v>5289</v>
      </c>
      <c r="K3018" s="13" t="s">
        <v>5289</v>
      </c>
      <c r="L3018" s="13" t="n">
        <v>8011003845347</v>
      </c>
      <c r="M3018" s="13"/>
      <c r="N3018" s="13" t="n">
        <v>8011003845347</v>
      </c>
      <c r="O3018" s="13"/>
      <c r="P3018" s="13" t="s">
        <v>5291</v>
      </c>
      <c r="Q3018" s="13" t="s">
        <v>5289</v>
      </c>
      <c r="R3018" s="13" t="s">
        <v>5292</v>
      </c>
      <c r="S3018" s="13" t="s">
        <v>5293</v>
      </c>
      <c r="T3018" s="13" t="s">
        <v>5</v>
      </c>
      <c r="U3018" s="13" t="s">
        <v>43</v>
      </c>
      <c r="V3018" s="13" t="n">
        <f aca="false">IF(COUNTIF($B$2:B3018,B3018)=1,1,0)</f>
        <v>0</v>
      </c>
      <c r="W3018" s="13" t="n">
        <f aca="false">IF(COUNTIFS($B$2:B3018,B3018,$T$2:T3018,T3018)=1,1,0)</f>
        <v>0</v>
      </c>
    </row>
    <row r="3019" customFormat="false" ht="15" hidden="false" customHeight="false" outlineLevel="0" collapsed="false">
      <c r="A3019" s="13" t="s">
        <v>4183</v>
      </c>
      <c r="B3019" s="13" t="s">
        <v>2155</v>
      </c>
      <c r="C3019" s="13" t="n">
        <v>850</v>
      </c>
      <c r="D3019" s="13" t="n">
        <v>5</v>
      </c>
      <c r="E3019" s="13" t="n">
        <v>105.81125</v>
      </c>
      <c r="F3019" s="13" t="s">
        <v>5325</v>
      </c>
      <c r="G3019" s="13" t="s">
        <v>5289</v>
      </c>
      <c r="H3019" s="13" t="s">
        <v>5289</v>
      </c>
      <c r="I3019" s="13" t="s">
        <v>5289</v>
      </c>
      <c r="J3019" s="13" t="s">
        <v>5289</v>
      </c>
      <c r="K3019" s="13" t="s">
        <v>5289</v>
      </c>
      <c r="L3019" s="13" t="n">
        <v>5060630044046</v>
      </c>
      <c r="M3019" s="13"/>
      <c r="N3019" s="13" t="n">
        <v>5060630044046</v>
      </c>
      <c r="O3019" s="13"/>
      <c r="P3019" s="13" t="s">
        <v>5291</v>
      </c>
      <c r="Q3019" s="13" t="s">
        <v>5289</v>
      </c>
      <c r="R3019" s="13" t="s">
        <v>5292</v>
      </c>
      <c r="S3019" s="13" t="s">
        <v>5293</v>
      </c>
      <c r="T3019" s="13" t="s">
        <v>5</v>
      </c>
      <c r="U3019" s="13" t="s">
        <v>85</v>
      </c>
      <c r="V3019" s="13" t="n">
        <f aca="false">IF(COUNTIF($B$2:B3019,B3019)=1,1,0)</f>
        <v>0</v>
      </c>
      <c r="W3019" s="13" t="n">
        <f aca="false">IF(COUNTIFS($B$2:B3019,B3019,$T$2:T3019,T3019)=1,1,0)</f>
        <v>0</v>
      </c>
    </row>
    <row r="3020" customFormat="false" ht="15" hidden="false" customHeight="false" outlineLevel="0" collapsed="false">
      <c r="A3020" s="13" t="s">
        <v>1234</v>
      </c>
      <c r="B3020" s="13" t="s">
        <v>50</v>
      </c>
      <c r="C3020" s="13" t="n">
        <v>840</v>
      </c>
      <c r="D3020" s="13" t="n">
        <v>1</v>
      </c>
      <c r="E3020" s="13" t="n">
        <v>844.22</v>
      </c>
      <c r="F3020" s="13" t="s">
        <v>5288</v>
      </c>
      <c r="G3020" s="13" t="s">
        <v>5289</v>
      </c>
      <c r="H3020" s="13" t="s">
        <v>5289</v>
      </c>
      <c r="I3020" s="13" t="s">
        <v>5289</v>
      </c>
      <c r="J3020" s="13" t="s">
        <v>5289</v>
      </c>
      <c r="K3020" s="13" t="s">
        <v>5289</v>
      </c>
      <c r="L3020" s="13" t="n">
        <v>3349668614660</v>
      </c>
      <c r="M3020" s="13"/>
      <c r="N3020" s="13" t="n">
        <v>3349668614660</v>
      </c>
      <c r="O3020" s="13"/>
      <c r="P3020" s="13" t="s">
        <v>5291</v>
      </c>
      <c r="Q3020" s="13" t="s">
        <v>5289</v>
      </c>
      <c r="R3020" s="13" t="s">
        <v>5292</v>
      </c>
      <c r="S3020" s="13" t="s">
        <v>5293</v>
      </c>
      <c r="T3020" s="13" t="s">
        <v>5</v>
      </c>
      <c r="U3020" s="13" t="s">
        <v>43</v>
      </c>
      <c r="V3020" s="13" t="n">
        <f aca="false">IF(COUNTIF($B$2:B3020,B3020)=1,1,0)</f>
        <v>0</v>
      </c>
      <c r="W3020" s="13" t="n">
        <f aca="false">IF(COUNTIFS($B$2:B3020,B3020,$T$2:T3020,T3020)=1,1,0)</f>
        <v>0</v>
      </c>
    </row>
    <row r="3021" customFormat="false" ht="15" hidden="false" customHeight="false" outlineLevel="0" collapsed="false">
      <c r="A3021" s="13" t="s">
        <v>1352</v>
      </c>
      <c r="B3021" s="13" t="s">
        <v>42</v>
      </c>
      <c r="C3021" s="13" t="n">
        <v>840</v>
      </c>
      <c r="D3021" s="13" t="n">
        <v>2</v>
      </c>
      <c r="E3021" s="13" t="n">
        <v>420.34</v>
      </c>
      <c r="F3021" s="13" t="s">
        <v>5325</v>
      </c>
      <c r="G3021" s="13" t="s">
        <v>5289</v>
      </c>
      <c r="H3021" s="13" t="s">
        <v>5292</v>
      </c>
      <c r="I3021" s="13" t="s">
        <v>5289</v>
      </c>
      <c r="J3021" s="13" t="s">
        <v>5289</v>
      </c>
      <c r="K3021" s="13" t="s">
        <v>5289</v>
      </c>
      <c r="L3021" s="13" t="n">
        <v>8411061607176</v>
      </c>
      <c r="M3021" s="13"/>
      <c r="N3021" s="13" t="n">
        <v>8411061607176</v>
      </c>
      <c r="O3021" s="13"/>
      <c r="P3021" s="13" t="s">
        <v>5291</v>
      </c>
      <c r="Q3021" s="13" t="s">
        <v>5289</v>
      </c>
      <c r="R3021" s="13" t="s">
        <v>5292</v>
      </c>
      <c r="S3021" s="13" t="s">
        <v>5293</v>
      </c>
      <c r="T3021" s="13" t="s">
        <v>5</v>
      </c>
      <c r="U3021" s="13" t="s">
        <v>43</v>
      </c>
      <c r="V3021" s="13" t="n">
        <f aca="false">IF(COUNTIF($B$2:B3021,B3021)=1,1,0)</f>
        <v>0</v>
      </c>
      <c r="W3021" s="13" t="n">
        <f aca="false">IF(COUNTIFS($B$2:B3021,B3021,$T$2:T3021,T3021)=1,1,0)</f>
        <v>0</v>
      </c>
    </row>
    <row r="3022" customFormat="false" ht="15" hidden="false" customHeight="false" outlineLevel="0" collapsed="false">
      <c r="A3022" s="13" t="s">
        <v>1135</v>
      </c>
      <c r="B3022" s="13" t="s">
        <v>121</v>
      </c>
      <c r="C3022" s="13" t="n">
        <v>840</v>
      </c>
      <c r="D3022" s="13" t="n">
        <v>10</v>
      </c>
      <c r="E3022" s="13" t="n">
        <v>69.9</v>
      </c>
      <c r="F3022" s="13" t="s">
        <v>5325</v>
      </c>
      <c r="G3022" s="13" t="s">
        <v>5289</v>
      </c>
      <c r="H3022" s="13" t="s">
        <v>5289</v>
      </c>
      <c r="I3022" s="13" t="s">
        <v>5289</v>
      </c>
      <c r="J3022" s="13" t="s">
        <v>5289</v>
      </c>
      <c r="K3022" s="13" t="s">
        <v>5289</v>
      </c>
      <c r="L3022" s="13" t="n">
        <v>7896086939517</v>
      </c>
      <c r="M3022" s="13"/>
      <c r="N3022" s="13" t="n">
        <v>7896086939517</v>
      </c>
      <c r="O3022" s="13"/>
      <c r="P3022" s="13" t="s">
        <v>5291</v>
      </c>
      <c r="Q3022" s="13" t="s">
        <v>5289</v>
      </c>
      <c r="R3022" s="13" t="s">
        <v>5292</v>
      </c>
      <c r="S3022" s="13" t="s">
        <v>5293</v>
      </c>
      <c r="T3022" s="13" t="s">
        <v>5</v>
      </c>
      <c r="U3022" s="13" t="s">
        <v>43</v>
      </c>
      <c r="V3022" s="13" t="n">
        <f aca="false">IF(COUNTIF($B$2:B3022,B3022)=1,1,0)</f>
        <v>0</v>
      </c>
      <c r="W3022" s="13" t="n">
        <f aca="false">IF(COUNTIFS($B$2:B3022,B3022,$T$2:T3022,T3022)=1,1,0)</f>
        <v>0</v>
      </c>
    </row>
    <row r="3023" customFormat="false" ht="15" hidden="false" customHeight="false" outlineLevel="0" collapsed="false">
      <c r="A3023" s="13" t="s">
        <v>1353</v>
      </c>
      <c r="B3023" s="13" t="s">
        <v>195</v>
      </c>
      <c r="C3023" s="13" t="n">
        <v>840</v>
      </c>
      <c r="D3023" s="13" t="n">
        <v>1</v>
      </c>
      <c r="E3023" s="13" t="n">
        <v>835.45</v>
      </c>
      <c r="F3023" s="13" t="s">
        <v>5325</v>
      </c>
      <c r="G3023" s="13" t="s">
        <v>5292</v>
      </c>
      <c r="H3023" s="13" t="s">
        <v>5289</v>
      </c>
      <c r="I3023" s="13" t="s">
        <v>5289</v>
      </c>
      <c r="J3023" s="13" t="s">
        <v>5289</v>
      </c>
      <c r="K3023" s="13" t="s">
        <v>5289</v>
      </c>
      <c r="L3023" s="13"/>
      <c r="M3023" s="13"/>
      <c r="N3023" s="13" t="n">
        <v>3616301838210</v>
      </c>
      <c r="O3023" s="13"/>
      <c r="P3023" s="13" t="s">
        <v>5291</v>
      </c>
      <c r="Q3023" s="13" t="s">
        <v>5289</v>
      </c>
      <c r="R3023" s="13" t="s">
        <v>5292</v>
      </c>
      <c r="S3023" s="13" t="s">
        <v>5293</v>
      </c>
      <c r="T3023" s="13" t="s">
        <v>5</v>
      </c>
      <c r="U3023" s="13" t="s">
        <v>43</v>
      </c>
      <c r="V3023" s="13" t="n">
        <f aca="false">IF(COUNTIF($B$2:B3023,B3023)=1,1,0)</f>
        <v>0</v>
      </c>
      <c r="W3023" s="13" t="n">
        <f aca="false">IF(COUNTIFS($B$2:B3023,B3023,$T$2:T3023,T3023)=1,1,0)</f>
        <v>0</v>
      </c>
    </row>
    <row r="3024" customFormat="false" ht="15" hidden="false" customHeight="false" outlineLevel="0" collapsed="false">
      <c r="A3024" s="13" t="s">
        <v>4021</v>
      </c>
      <c r="B3024" s="13" t="s">
        <v>2201</v>
      </c>
      <c r="C3024" s="13" t="n">
        <v>840</v>
      </c>
      <c r="D3024" s="13" t="n">
        <v>2</v>
      </c>
      <c r="E3024" s="13" t="n">
        <v>208.85</v>
      </c>
      <c r="F3024" s="13" t="s">
        <v>5288</v>
      </c>
      <c r="G3024" s="13" t="s">
        <v>5292</v>
      </c>
      <c r="H3024" s="13" t="s">
        <v>5289</v>
      </c>
      <c r="I3024" s="13" t="s">
        <v>5289</v>
      </c>
      <c r="J3024" s="13" t="s">
        <v>5289</v>
      </c>
      <c r="K3024" s="13" t="s">
        <v>5292</v>
      </c>
      <c r="L3024" s="13"/>
      <c r="M3024" s="13"/>
      <c r="N3024" s="13" t="n">
        <v>3253581756478</v>
      </c>
      <c r="O3024" s="13"/>
      <c r="P3024" s="13" t="s">
        <v>5297</v>
      </c>
      <c r="Q3024" s="13" t="s">
        <v>5289</v>
      </c>
      <c r="R3024" s="13" t="s">
        <v>5292</v>
      </c>
      <c r="S3024" s="13" t="s">
        <v>5293</v>
      </c>
      <c r="T3024" s="13" t="s">
        <v>5</v>
      </c>
      <c r="U3024" s="13" t="s">
        <v>43</v>
      </c>
      <c r="V3024" s="13" t="n">
        <f aca="false">IF(COUNTIF($B$2:B3024,B3024)=1,1,0)</f>
        <v>0</v>
      </c>
      <c r="W3024" s="13" t="n">
        <f aca="false">IF(COUNTIFS($B$2:B3024,B3024,$T$2:T3024,T3024)=1,1,0)</f>
        <v>0</v>
      </c>
    </row>
    <row r="3025" customFormat="false" ht="15" hidden="false" customHeight="false" outlineLevel="0" collapsed="false">
      <c r="A3025" s="13" t="s">
        <v>1354</v>
      </c>
      <c r="B3025" s="13" t="s">
        <v>107</v>
      </c>
      <c r="C3025" s="13" t="n">
        <v>840</v>
      </c>
      <c r="D3025" s="13" t="n">
        <v>5</v>
      </c>
      <c r="E3025" s="13" t="n">
        <v>167.06</v>
      </c>
      <c r="F3025" s="13" t="s">
        <v>5325</v>
      </c>
      <c r="G3025" s="13" t="s">
        <v>5289</v>
      </c>
      <c r="H3025" s="13" t="s">
        <v>5292</v>
      </c>
      <c r="I3025" s="13" t="s">
        <v>5289</v>
      </c>
      <c r="J3025" s="13" t="s">
        <v>5289</v>
      </c>
      <c r="K3025" s="13" t="s">
        <v>5289</v>
      </c>
      <c r="L3025" s="13" t="n">
        <v>7896235353645</v>
      </c>
      <c r="M3025" s="13"/>
      <c r="N3025" s="13" t="n">
        <v>7896235353645</v>
      </c>
      <c r="O3025" s="13"/>
      <c r="P3025" s="13" t="s">
        <v>5291</v>
      </c>
      <c r="Q3025" s="13" t="s">
        <v>5289</v>
      </c>
      <c r="R3025" s="13" t="s">
        <v>5292</v>
      </c>
      <c r="S3025" s="13" t="s">
        <v>5293</v>
      </c>
      <c r="T3025" s="13" t="s">
        <v>5</v>
      </c>
      <c r="U3025" s="13" t="s">
        <v>43</v>
      </c>
      <c r="V3025" s="13" t="n">
        <f aca="false">IF(COUNTIF($B$2:B3025,B3025)=1,1,0)</f>
        <v>0</v>
      </c>
      <c r="W3025" s="13" t="n">
        <f aca="false">IF(COUNTIFS($B$2:B3025,B3025,$T$2:T3025,T3025)=1,1,0)</f>
        <v>0</v>
      </c>
    </row>
    <row r="3026" customFormat="false" ht="15" hidden="false" customHeight="false" outlineLevel="0" collapsed="false">
      <c r="A3026" s="13" t="s">
        <v>1357</v>
      </c>
      <c r="B3026" s="13" t="s">
        <v>490</v>
      </c>
      <c r="C3026" s="13" t="n">
        <v>830</v>
      </c>
      <c r="D3026" s="13" t="n">
        <v>2</v>
      </c>
      <c r="E3026" s="13" t="n">
        <v>207.4025</v>
      </c>
      <c r="F3026" s="13" t="s">
        <v>5288</v>
      </c>
      <c r="G3026" s="13" t="s">
        <v>5289</v>
      </c>
      <c r="H3026" s="13" t="s">
        <v>5289</v>
      </c>
      <c r="I3026" s="13" t="s">
        <v>5289</v>
      </c>
      <c r="J3026" s="13" t="s">
        <v>5289</v>
      </c>
      <c r="K3026" s="13" t="s">
        <v>5289</v>
      </c>
      <c r="L3026" s="13" t="n">
        <v>8011003612802</v>
      </c>
      <c r="M3026" s="13"/>
      <c r="N3026" s="13" t="n">
        <v>8011003612802</v>
      </c>
      <c r="O3026" s="13"/>
      <c r="P3026" s="13" t="s">
        <v>5291</v>
      </c>
      <c r="Q3026" s="13" t="s">
        <v>5289</v>
      </c>
      <c r="R3026" s="13" t="s">
        <v>5292</v>
      </c>
      <c r="S3026" s="13" t="s">
        <v>5293</v>
      </c>
      <c r="T3026" s="13" t="s">
        <v>5</v>
      </c>
      <c r="U3026" s="13" t="s">
        <v>43</v>
      </c>
      <c r="V3026" s="13" t="n">
        <f aca="false">IF(COUNTIF($B$2:B3026,B3026)=1,1,0)</f>
        <v>0</v>
      </c>
      <c r="W3026" s="13" t="n">
        <f aca="false">IF(COUNTIFS($B$2:B3026,B3026,$T$2:T3026,T3026)=1,1,0)</f>
        <v>0</v>
      </c>
    </row>
    <row r="3027" customFormat="false" ht="15" hidden="false" customHeight="false" outlineLevel="0" collapsed="false">
      <c r="A3027" s="13" t="s">
        <v>46</v>
      </c>
      <c r="B3027" s="13" t="s">
        <v>45</v>
      </c>
      <c r="C3027" s="13" t="n">
        <v>830</v>
      </c>
      <c r="D3027" s="13" t="n">
        <v>1</v>
      </c>
      <c r="E3027" s="13" t="n">
        <v>829</v>
      </c>
      <c r="F3027" s="13" t="s">
        <v>5288</v>
      </c>
      <c r="G3027" s="13" t="s">
        <v>5292</v>
      </c>
      <c r="H3027" s="13" t="s">
        <v>5289</v>
      </c>
      <c r="I3027" s="13" t="s">
        <v>5289</v>
      </c>
      <c r="J3027" s="13" t="s">
        <v>5289</v>
      </c>
      <c r="K3027" s="13" t="s">
        <v>5289</v>
      </c>
      <c r="L3027" s="13"/>
      <c r="M3027" s="13"/>
      <c r="N3027" s="13" t="n">
        <v>8435415102353</v>
      </c>
      <c r="O3027" s="13"/>
      <c r="P3027" s="13" t="s">
        <v>5291</v>
      </c>
      <c r="Q3027" s="13" t="s">
        <v>5289</v>
      </c>
      <c r="R3027" s="13" t="s">
        <v>5292</v>
      </c>
      <c r="S3027" s="13" t="s">
        <v>5293</v>
      </c>
      <c r="T3027" s="13" t="s">
        <v>5</v>
      </c>
      <c r="U3027" s="13" t="s">
        <v>43</v>
      </c>
      <c r="V3027" s="13" t="n">
        <f aca="false">IF(COUNTIF($B$2:B3027,B3027)=1,1,0)</f>
        <v>0</v>
      </c>
      <c r="W3027" s="13" t="n">
        <f aca="false">IF(COUNTIFS($B$2:B3027,B3027,$T$2:T3027,T3027)=1,1,0)</f>
        <v>0</v>
      </c>
    </row>
    <row r="3028" customFormat="false" ht="15" hidden="false" customHeight="false" outlineLevel="0" collapsed="false">
      <c r="A3028" s="13" t="s">
        <v>96</v>
      </c>
      <c r="B3028" s="13" t="s">
        <v>72</v>
      </c>
      <c r="C3028" s="13" t="n">
        <v>830</v>
      </c>
      <c r="D3028" s="13" t="n">
        <v>1</v>
      </c>
      <c r="E3028" s="13" t="n">
        <v>828.98</v>
      </c>
      <c r="F3028" s="13" t="s">
        <v>5325</v>
      </c>
      <c r="G3028" s="13" t="s">
        <v>5292</v>
      </c>
      <c r="H3028" s="13" t="s">
        <v>5289</v>
      </c>
      <c r="I3028" s="13" t="s">
        <v>5289</v>
      </c>
      <c r="J3028" s="13" t="s">
        <v>5289</v>
      </c>
      <c r="K3028" s="13" t="s">
        <v>5289</v>
      </c>
      <c r="L3028" s="13" t="n">
        <v>3614274172997</v>
      </c>
      <c r="M3028" s="13"/>
      <c r="N3028" s="13" t="n">
        <v>3614274172997</v>
      </c>
      <c r="O3028" s="13"/>
      <c r="P3028" s="13" t="s">
        <v>5291</v>
      </c>
      <c r="Q3028" s="13" t="s">
        <v>5289</v>
      </c>
      <c r="R3028" s="13" t="s">
        <v>5292</v>
      </c>
      <c r="S3028" s="13" t="s">
        <v>5293</v>
      </c>
      <c r="T3028" s="13" t="s">
        <v>5</v>
      </c>
      <c r="U3028" s="13" t="s">
        <v>43</v>
      </c>
      <c r="V3028" s="13" t="n">
        <f aca="false">IF(COUNTIF($B$2:B3028,B3028)=1,1,0)</f>
        <v>0</v>
      </c>
      <c r="W3028" s="13" t="n">
        <f aca="false">IF(COUNTIFS($B$2:B3028,B3028,$T$2:T3028,T3028)=1,1,0)</f>
        <v>0</v>
      </c>
    </row>
    <row r="3029" customFormat="false" ht="15" hidden="false" customHeight="false" outlineLevel="0" collapsed="false">
      <c r="A3029" s="13" t="s">
        <v>1360</v>
      </c>
      <c r="B3029" s="13" t="s">
        <v>79</v>
      </c>
      <c r="C3029" s="13" t="n">
        <v>830</v>
      </c>
      <c r="D3029" s="13" t="n">
        <v>1</v>
      </c>
      <c r="E3029" s="13" t="n">
        <v>828.28</v>
      </c>
      <c r="F3029" s="13" t="s">
        <v>5325</v>
      </c>
      <c r="G3029" s="13" t="s">
        <v>5292</v>
      </c>
      <c r="H3029" s="13" t="s">
        <v>5292</v>
      </c>
      <c r="I3029" s="13" t="s">
        <v>5289</v>
      </c>
      <c r="J3029" s="13" t="s">
        <v>5289</v>
      </c>
      <c r="K3029" s="13" t="s">
        <v>5289</v>
      </c>
      <c r="L3029" s="13" t="n">
        <v>8057971180295</v>
      </c>
      <c r="M3029" s="13"/>
      <c r="N3029" s="13" t="n">
        <v>8057971180295</v>
      </c>
      <c r="O3029" s="13"/>
      <c r="P3029" s="13" t="s">
        <v>5297</v>
      </c>
      <c r="Q3029" s="13" t="s">
        <v>5289</v>
      </c>
      <c r="R3029" s="13" t="s">
        <v>5292</v>
      </c>
      <c r="S3029" s="13" t="s">
        <v>5293</v>
      </c>
      <c r="T3029" s="13" t="s">
        <v>5</v>
      </c>
      <c r="U3029" s="13" t="s">
        <v>43</v>
      </c>
      <c r="V3029" s="13" t="n">
        <f aca="false">IF(COUNTIF($B$2:B3029,B3029)=1,1,0)</f>
        <v>0</v>
      </c>
      <c r="W3029" s="13" t="n">
        <f aca="false">IF(COUNTIFS($B$2:B3029,B3029,$T$2:T3029,T3029)=1,1,0)</f>
        <v>0</v>
      </c>
    </row>
    <row r="3030" customFormat="false" ht="15" hidden="false" customHeight="false" outlineLevel="0" collapsed="false">
      <c r="A3030" s="13" t="s">
        <v>6389</v>
      </c>
      <c r="B3030" s="13" t="s">
        <v>2111</v>
      </c>
      <c r="C3030" s="13" t="n">
        <v>830</v>
      </c>
      <c r="D3030" s="13" t="n">
        <v>2</v>
      </c>
      <c r="E3030" s="13" t="n">
        <v>414.1</v>
      </c>
      <c r="F3030" s="13" t="s">
        <v>5325</v>
      </c>
      <c r="G3030" s="13" t="s">
        <v>5289</v>
      </c>
      <c r="H3030" s="13" t="s">
        <v>5292</v>
      </c>
      <c r="I3030" s="13" t="s">
        <v>5289</v>
      </c>
      <c r="J3030" s="13" t="s">
        <v>5289</v>
      </c>
      <c r="K3030" s="13" t="s">
        <v>5289</v>
      </c>
      <c r="L3030" s="13" t="n">
        <v>3386460119276</v>
      </c>
      <c r="M3030" s="13"/>
      <c r="N3030" s="13" t="n">
        <v>3386460119276</v>
      </c>
      <c r="O3030" s="13"/>
      <c r="P3030" s="13" t="s">
        <v>5291</v>
      </c>
      <c r="Q3030" s="13" t="s">
        <v>5289</v>
      </c>
      <c r="R3030" s="13" t="s">
        <v>5292</v>
      </c>
      <c r="S3030" s="13" t="s">
        <v>5293</v>
      </c>
      <c r="T3030" s="13" t="s">
        <v>5</v>
      </c>
      <c r="U3030" s="13" t="s">
        <v>43</v>
      </c>
      <c r="V3030" s="13" t="n">
        <f aca="false">IF(COUNTIF($B$2:B3030,B3030)=1,1,0)</f>
        <v>0</v>
      </c>
      <c r="W3030" s="13" t="n">
        <f aca="false">IF(COUNTIFS($B$2:B3030,B3030,$T$2:T3030,T3030)=1,1,0)</f>
        <v>0</v>
      </c>
    </row>
    <row r="3031" customFormat="false" ht="15" hidden="false" customHeight="false" outlineLevel="0" collapsed="false">
      <c r="A3031" s="13" t="s">
        <v>515</v>
      </c>
      <c r="B3031" s="13" t="s">
        <v>42</v>
      </c>
      <c r="C3031" s="13" t="n">
        <v>830</v>
      </c>
      <c r="D3031" s="13" t="n">
        <v>1</v>
      </c>
      <c r="E3031" s="13" t="n">
        <v>826.67</v>
      </c>
      <c r="F3031" s="13" t="s">
        <v>5325</v>
      </c>
      <c r="G3031" s="13" t="s">
        <v>5289</v>
      </c>
      <c r="H3031" s="13" t="s">
        <v>5292</v>
      </c>
      <c r="I3031" s="13" t="s">
        <v>5289</v>
      </c>
      <c r="J3031" s="13" t="s">
        <v>5289</v>
      </c>
      <c r="K3031" s="13" t="s">
        <v>5289</v>
      </c>
      <c r="L3031" s="13"/>
      <c r="M3031" s="13"/>
      <c r="N3031" s="13" t="n">
        <v>8411061083772</v>
      </c>
      <c r="O3031" s="13"/>
      <c r="P3031" s="13" t="s">
        <v>5291</v>
      </c>
      <c r="Q3031" s="13" t="s">
        <v>5289</v>
      </c>
      <c r="R3031" s="13" t="s">
        <v>5292</v>
      </c>
      <c r="S3031" s="13" t="s">
        <v>5293</v>
      </c>
      <c r="T3031" s="13" t="s">
        <v>5</v>
      </c>
      <c r="U3031" s="13" t="s">
        <v>43</v>
      </c>
      <c r="V3031" s="13" t="n">
        <f aca="false">IF(COUNTIF($B$2:B3031,B3031)=1,1,0)</f>
        <v>0</v>
      </c>
      <c r="W3031" s="13" t="n">
        <f aca="false">IF(COUNTIFS($B$2:B3031,B3031,$T$2:T3031,T3031)=1,1,0)</f>
        <v>0</v>
      </c>
    </row>
    <row r="3032" customFormat="false" ht="15" hidden="false" customHeight="false" outlineLevel="0" collapsed="false">
      <c r="A3032" s="13" t="s">
        <v>1361</v>
      </c>
      <c r="B3032" s="13" t="s">
        <v>177</v>
      </c>
      <c r="C3032" s="13" t="n">
        <v>820</v>
      </c>
      <c r="D3032" s="13" t="n">
        <v>1</v>
      </c>
      <c r="E3032" s="13" t="n">
        <v>823</v>
      </c>
      <c r="F3032" s="13" t="s">
        <v>5325</v>
      </c>
      <c r="G3032" s="13" t="s">
        <v>5289</v>
      </c>
      <c r="H3032" s="13" t="s">
        <v>5292</v>
      </c>
      <c r="I3032" s="13" t="s">
        <v>5289</v>
      </c>
      <c r="J3032" s="13" t="s">
        <v>5289</v>
      </c>
      <c r="K3032" s="13" t="s">
        <v>5289</v>
      </c>
      <c r="L3032" s="13" t="n">
        <v>3616304175893</v>
      </c>
      <c r="M3032" s="13"/>
      <c r="N3032" s="13" t="n">
        <v>3616304175893</v>
      </c>
      <c r="O3032" s="13"/>
      <c r="P3032" s="13" t="s">
        <v>5291</v>
      </c>
      <c r="Q3032" s="13" t="s">
        <v>5289</v>
      </c>
      <c r="R3032" s="13" t="s">
        <v>5292</v>
      </c>
      <c r="S3032" s="13" t="s">
        <v>5293</v>
      </c>
      <c r="T3032" s="13" t="s">
        <v>5</v>
      </c>
      <c r="U3032" s="13" t="s">
        <v>43</v>
      </c>
      <c r="V3032" s="13" t="n">
        <f aca="false">IF(COUNTIF($B$2:B3032,B3032)=1,1,0)</f>
        <v>0</v>
      </c>
      <c r="W3032" s="13" t="n">
        <f aca="false">IF(COUNTIFS($B$2:B3032,B3032,$T$2:T3032,T3032)=1,1,0)</f>
        <v>0</v>
      </c>
    </row>
    <row r="3033" customFormat="false" ht="15" hidden="false" customHeight="false" outlineLevel="0" collapsed="false">
      <c r="A3033" s="13" t="s">
        <v>702</v>
      </c>
      <c r="B3033" s="13" t="s">
        <v>45</v>
      </c>
      <c r="C3033" s="13" t="n">
        <v>820</v>
      </c>
      <c r="D3033" s="13" t="n">
        <v>1</v>
      </c>
      <c r="E3033" s="13" t="n">
        <v>819.09</v>
      </c>
      <c r="F3033" s="13" t="s">
        <v>5325</v>
      </c>
      <c r="G3033" s="13" t="s">
        <v>5289</v>
      </c>
      <c r="H3033" s="13" t="s">
        <v>5292</v>
      </c>
      <c r="I3033" s="13" t="s">
        <v>5289</v>
      </c>
      <c r="J3033" s="13" t="s">
        <v>5289</v>
      </c>
      <c r="K3033" s="13" t="s">
        <v>5289</v>
      </c>
      <c r="L3033" s="13" t="n">
        <v>8435415080385</v>
      </c>
      <c r="M3033" s="13"/>
      <c r="N3033" s="13" t="n">
        <v>8435415080385</v>
      </c>
      <c r="O3033" s="13"/>
      <c r="P3033" s="13" t="s">
        <v>5291</v>
      </c>
      <c r="Q3033" s="13" t="s">
        <v>5289</v>
      </c>
      <c r="R3033" s="13" t="s">
        <v>5292</v>
      </c>
      <c r="S3033" s="13" t="s">
        <v>5293</v>
      </c>
      <c r="T3033" s="13" t="s">
        <v>5</v>
      </c>
      <c r="U3033" s="13" t="s">
        <v>43</v>
      </c>
      <c r="V3033" s="13" t="n">
        <f aca="false">IF(COUNTIF($B$2:B3033,B3033)=1,1,0)</f>
        <v>0</v>
      </c>
      <c r="W3033" s="13" t="n">
        <f aca="false">IF(COUNTIFS($B$2:B3033,B3033,$T$2:T3033,T3033)=1,1,0)</f>
        <v>0</v>
      </c>
    </row>
    <row r="3034" customFormat="false" ht="15" hidden="false" customHeight="false" outlineLevel="0" collapsed="false">
      <c r="A3034" s="13" t="s">
        <v>4201</v>
      </c>
      <c r="B3034" s="13" t="s">
        <v>2252</v>
      </c>
      <c r="C3034" s="13" t="n">
        <v>820</v>
      </c>
      <c r="D3034" s="13" t="n">
        <v>2</v>
      </c>
      <c r="E3034" s="13" t="n">
        <v>408.85</v>
      </c>
      <c r="F3034" s="13" t="s">
        <v>5325</v>
      </c>
      <c r="G3034" s="13" t="s">
        <v>5292</v>
      </c>
      <c r="H3034" s="13" t="s">
        <v>5292</v>
      </c>
      <c r="I3034" s="13" t="s">
        <v>5289</v>
      </c>
      <c r="J3034" s="13" t="s">
        <v>5289</v>
      </c>
      <c r="K3034" s="13" t="s">
        <v>5292</v>
      </c>
      <c r="L3034" s="13" t="n">
        <v>8809679696468</v>
      </c>
      <c r="M3034" s="13"/>
      <c r="N3034" s="13" t="n">
        <v>8809679696468</v>
      </c>
      <c r="O3034" s="13"/>
      <c r="P3034" s="13" t="s">
        <v>5291</v>
      </c>
      <c r="Q3034" s="13" t="s">
        <v>5289</v>
      </c>
      <c r="R3034" s="13" t="s">
        <v>5292</v>
      </c>
      <c r="S3034" s="13" t="s">
        <v>5293</v>
      </c>
      <c r="T3034" s="13" t="s">
        <v>5</v>
      </c>
      <c r="U3034" s="13" t="s">
        <v>85</v>
      </c>
      <c r="V3034" s="13" t="n">
        <f aca="false">IF(COUNTIF($B$2:B3034,B3034)=1,1,0)</f>
        <v>1</v>
      </c>
      <c r="W3034" s="13" t="n">
        <f aca="false">IF(COUNTIFS($B$2:B3034,B3034,$T$2:T3034,T3034)=1,1,0)</f>
        <v>1</v>
      </c>
    </row>
    <row r="3035" customFormat="false" ht="15" hidden="false" customHeight="false" outlineLevel="0" collapsed="false">
      <c r="A3035" s="13" t="s">
        <v>554</v>
      </c>
      <c r="B3035" s="13" t="s">
        <v>315</v>
      </c>
      <c r="C3035" s="13" t="n">
        <v>820</v>
      </c>
      <c r="D3035" s="13" t="n">
        <v>1</v>
      </c>
      <c r="E3035" s="13" t="n">
        <v>817.22</v>
      </c>
      <c r="F3035" s="13" t="s">
        <v>5325</v>
      </c>
      <c r="G3035" s="13" t="s">
        <v>5289</v>
      </c>
      <c r="H3035" s="13" t="s">
        <v>5292</v>
      </c>
      <c r="I3035" s="13" t="s">
        <v>5289</v>
      </c>
      <c r="J3035" s="13" t="s">
        <v>5289</v>
      </c>
      <c r="K3035" s="13" t="s">
        <v>5289</v>
      </c>
      <c r="L3035" s="13" t="n">
        <v>3605971100413</v>
      </c>
      <c r="M3035" s="13"/>
      <c r="N3035" s="13" t="n">
        <v>3605971100413</v>
      </c>
      <c r="O3035" s="13"/>
      <c r="P3035" s="13" t="s">
        <v>5291</v>
      </c>
      <c r="Q3035" s="13" t="s">
        <v>5289</v>
      </c>
      <c r="R3035" s="13" t="s">
        <v>5292</v>
      </c>
      <c r="S3035" s="13" t="s">
        <v>5293</v>
      </c>
      <c r="T3035" s="13" t="s">
        <v>5</v>
      </c>
      <c r="U3035" s="13" t="s">
        <v>43</v>
      </c>
      <c r="V3035" s="13" t="n">
        <f aca="false">IF(COUNTIF($B$2:B3035,B3035)=1,1,0)</f>
        <v>0</v>
      </c>
      <c r="W3035" s="13" t="n">
        <f aca="false">IF(COUNTIFS($B$2:B3035,B3035,$T$2:T3035,T3035)=1,1,0)</f>
        <v>0</v>
      </c>
    </row>
    <row r="3036" customFormat="false" ht="15" hidden="false" customHeight="false" outlineLevel="0" collapsed="false">
      <c r="A3036" s="13" t="s">
        <v>138</v>
      </c>
      <c r="B3036" s="13" t="s">
        <v>69</v>
      </c>
      <c r="C3036" s="13" t="n">
        <v>820</v>
      </c>
      <c r="D3036" s="13" t="n">
        <v>1</v>
      </c>
      <c r="E3036" s="13" t="n">
        <v>815.87</v>
      </c>
      <c r="F3036" s="13" t="s">
        <v>5288</v>
      </c>
      <c r="G3036" s="13" t="s">
        <v>5289</v>
      </c>
      <c r="H3036" s="13" t="s">
        <v>5289</v>
      </c>
      <c r="I3036" s="13" t="s">
        <v>5289</v>
      </c>
      <c r="J3036" s="13" t="s">
        <v>5289</v>
      </c>
      <c r="K3036" s="13" t="s">
        <v>5289</v>
      </c>
      <c r="L3036" s="13" t="n">
        <v>3614272648425</v>
      </c>
      <c r="M3036" s="13"/>
      <c r="N3036" s="13" t="n">
        <v>3614272648425</v>
      </c>
      <c r="O3036" s="13"/>
      <c r="P3036" s="13" t="s">
        <v>5291</v>
      </c>
      <c r="Q3036" s="13" t="s">
        <v>5289</v>
      </c>
      <c r="R3036" s="13" t="s">
        <v>5292</v>
      </c>
      <c r="S3036" s="13" t="s">
        <v>5293</v>
      </c>
      <c r="T3036" s="13" t="s">
        <v>5</v>
      </c>
      <c r="U3036" s="13" t="s">
        <v>43</v>
      </c>
      <c r="V3036" s="13" t="n">
        <f aca="false">IF(COUNTIF($B$2:B3036,B3036)=1,1,0)</f>
        <v>0</v>
      </c>
      <c r="W3036" s="13" t="n">
        <f aca="false">IF(COUNTIFS($B$2:B3036,B3036,$T$2:T3036,T3036)=1,1,0)</f>
        <v>0</v>
      </c>
    </row>
    <row r="3037" customFormat="false" ht="15" hidden="false" customHeight="false" outlineLevel="0" collapsed="false">
      <c r="A3037" s="13" t="s">
        <v>1370</v>
      </c>
      <c r="B3037" s="13" t="s">
        <v>315</v>
      </c>
      <c r="C3037" s="13" t="n">
        <v>810</v>
      </c>
      <c r="D3037" s="13" t="n">
        <v>1</v>
      </c>
      <c r="E3037" s="13" t="n">
        <v>808.98</v>
      </c>
      <c r="F3037" s="13" t="s">
        <v>5325</v>
      </c>
      <c r="G3037" s="13" t="s">
        <v>5289</v>
      </c>
      <c r="H3037" s="13" t="s">
        <v>5292</v>
      </c>
      <c r="I3037" s="13" t="s">
        <v>5289</v>
      </c>
      <c r="J3037" s="13" t="s">
        <v>5289</v>
      </c>
      <c r="K3037" s="13" t="s">
        <v>5289</v>
      </c>
      <c r="L3037" s="13" t="n">
        <v>3605972696984</v>
      </c>
      <c r="M3037" s="13"/>
      <c r="N3037" s="13" t="n">
        <v>3605972696984</v>
      </c>
      <c r="O3037" s="13"/>
      <c r="P3037" s="13" t="s">
        <v>5291</v>
      </c>
      <c r="Q3037" s="13" t="s">
        <v>5289</v>
      </c>
      <c r="R3037" s="13" t="s">
        <v>5292</v>
      </c>
      <c r="S3037" s="13" t="s">
        <v>5293</v>
      </c>
      <c r="T3037" s="13" t="s">
        <v>5</v>
      </c>
      <c r="U3037" s="13" t="s">
        <v>43</v>
      </c>
      <c r="V3037" s="13" t="n">
        <f aca="false">IF(COUNTIF($B$2:B3037,B3037)=1,1,0)</f>
        <v>0</v>
      </c>
      <c r="W3037" s="13" t="n">
        <f aca="false">IF(COUNTIFS($B$2:B3037,B3037,$T$2:T3037,T3037)=1,1,0)</f>
        <v>0</v>
      </c>
    </row>
    <row r="3038" customFormat="false" ht="15" hidden="false" customHeight="false" outlineLevel="0" collapsed="false">
      <c r="A3038" s="13" t="s">
        <v>6383</v>
      </c>
      <c r="B3038" s="13" t="s">
        <v>2219</v>
      </c>
      <c r="C3038" s="13" t="n">
        <v>810</v>
      </c>
      <c r="D3038" s="13" t="n">
        <v>5</v>
      </c>
      <c r="E3038" s="13" t="n">
        <v>101</v>
      </c>
      <c r="F3038" s="13" t="s">
        <v>5325</v>
      </c>
      <c r="G3038" s="13" t="s">
        <v>5292</v>
      </c>
      <c r="H3038" s="13" t="s">
        <v>5289</v>
      </c>
      <c r="I3038" s="13" t="s">
        <v>5289</v>
      </c>
      <c r="J3038" s="13" t="s">
        <v>5289</v>
      </c>
      <c r="K3038" s="13" t="s">
        <v>5289</v>
      </c>
      <c r="L3038" s="13" t="n">
        <v>3616305629418</v>
      </c>
      <c r="M3038" s="13"/>
      <c r="N3038" s="13"/>
      <c r="O3038" s="13"/>
      <c r="P3038" s="13" t="s">
        <v>5291</v>
      </c>
      <c r="Q3038" s="13" t="s">
        <v>5289</v>
      </c>
      <c r="R3038" s="13" t="s">
        <v>5292</v>
      </c>
      <c r="S3038" s="13" t="s">
        <v>5293</v>
      </c>
      <c r="T3038" s="13" t="s">
        <v>5</v>
      </c>
      <c r="U3038" s="13" t="s">
        <v>43</v>
      </c>
      <c r="V3038" s="13" t="n">
        <f aca="false">IF(COUNTIF($B$2:B3038,B3038)=1,1,0)</f>
        <v>0</v>
      </c>
      <c r="W3038" s="13" t="n">
        <f aca="false">IF(COUNTIFS($B$2:B3038,B3038,$T$2:T3038,T3038)=1,1,0)</f>
        <v>0</v>
      </c>
    </row>
    <row r="3039" customFormat="false" ht="15" hidden="false" customHeight="false" outlineLevel="0" collapsed="false">
      <c r="A3039" s="13" t="s">
        <v>1365</v>
      </c>
      <c r="B3039" s="13" t="s">
        <v>79</v>
      </c>
      <c r="C3039" s="13" t="n">
        <v>810</v>
      </c>
      <c r="D3039" s="13" t="n">
        <v>1</v>
      </c>
      <c r="E3039" s="13" t="n">
        <v>808</v>
      </c>
      <c r="F3039" s="13" t="s">
        <v>5325</v>
      </c>
      <c r="G3039" s="13" t="s">
        <v>5289</v>
      </c>
      <c r="H3039" s="13" t="s">
        <v>5292</v>
      </c>
      <c r="I3039" s="13" t="s">
        <v>5289</v>
      </c>
      <c r="J3039" s="13" t="s">
        <v>5289</v>
      </c>
      <c r="K3039" s="13" t="s">
        <v>5289</v>
      </c>
      <c r="L3039" s="13" t="n">
        <v>3423473020493</v>
      </c>
      <c r="M3039" s="13"/>
      <c r="N3039" s="13" t="n">
        <v>8.05797118812334E+025</v>
      </c>
      <c r="O3039" s="13"/>
      <c r="P3039" s="13" t="s">
        <v>5291</v>
      </c>
      <c r="Q3039" s="13" t="s">
        <v>5289</v>
      </c>
      <c r="R3039" s="13" t="s">
        <v>5292</v>
      </c>
      <c r="S3039" s="13" t="s">
        <v>5293</v>
      </c>
      <c r="T3039" s="13" t="s">
        <v>5</v>
      </c>
      <c r="U3039" s="13" t="s">
        <v>43</v>
      </c>
      <c r="V3039" s="13" t="n">
        <f aca="false">IF(COUNTIF($B$2:B3039,B3039)=1,1,0)</f>
        <v>0</v>
      </c>
      <c r="W3039" s="13" t="n">
        <f aca="false">IF(COUNTIFS($B$2:B3039,B3039,$T$2:T3039,T3039)=1,1,0)</f>
        <v>0</v>
      </c>
    </row>
    <row r="3040" customFormat="false" ht="15" hidden="false" customHeight="false" outlineLevel="0" collapsed="false">
      <c r="A3040" s="13" t="s">
        <v>3454</v>
      </c>
      <c r="B3040" s="13" t="s">
        <v>2155</v>
      </c>
      <c r="C3040" s="13" t="n">
        <v>810</v>
      </c>
      <c r="D3040" s="13" t="n">
        <v>5</v>
      </c>
      <c r="E3040" s="13" t="n">
        <v>134.54</v>
      </c>
      <c r="F3040" s="13" t="s">
        <v>5325</v>
      </c>
      <c r="G3040" s="13" t="s">
        <v>5292</v>
      </c>
      <c r="H3040" s="13" t="s">
        <v>5289</v>
      </c>
      <c r="I3040" s="13" t="s">
        <v>5289</v>
      </c>
      <c r="J3040" s="13" t="s">
        <v>5289</v>
      </c>
      <c r="K3040" s="13" t="s">
        <v>5289</v>
      </c>
      <c r="L3040" s="13" t="n">
        <v>5060173376215</v>
      </c>
      <c r="M3040" s="13"/>
      <c r="N3040" s="13" t="n">
        <v>5060173376215</v>
      </c>
      <c r="O3040" s="13"/>
      <c r="P3040" s="13" t="s">
        <v>5291</v>
      </c>
      <c r="Q3040" s="13" t="s">
        <v>5289</v>
      </c>
      <c r="R3040" s="13" t="s">
        <v>5292</v>
      </c>
      <c r="S3040" s="13" t="s">
        <v>5293</v>
      </c>
      <c r="T3040" s="13" t="s">
        <v>5</v>
      </c>
      <c r="U3040" s="13" t="s">
        <v>85</v>
      </c>
      <c r="V3040" s="13" t="n">
        <f aca="false">IF(COUNTIF($B$2:B3040,B3040)=1,1,0)</f>
        <v>0</v>
      </c>
      <c r="W3040" s="13" t="n">
        <f aca="false">IF(COUNTIFS($B$2:B3040,B3040,$T$2:T3040,T3040)=1,1,0)</f>
        <v>0</v>
      </c>
    </row>
    <row r="3041" customFormat="false" ht="15" hidden="false" customHeight="false" outlineLevel="0" collapsed="false">
      <c r="A3041" s="13" t="s">
        <v>1364</v>
      </c>
      <c r="B3041" s="13" t="s">
        <v>107</v>
      </c>
      <c r="C3041" s="13" t="n">
        <v>810</v>
      </c>
      <c r="D3041" s="13" t="n">
        <v>2</v>
      </c>
      <c r="E3041" s="13" t="n">
        <v>268.96</v>
      </c>
      <c r="F3041" s="13" t="s">
        <v>5288</v>
      </c>
      <c r="G3041" s="13" t="s">
        <v>5289</v>
      </c>
      <c r="H3041" s="13" t="s">
        <v>5289</v>
      </c>
      <c r="I3041" s="13" t="s">
        <v>5289</v>
      </c>
      <c r="J3041" s="13" t="s">
        <v>5289</v>
      </c>
      <c r="K3041" s="13" t="s">
        <v>5289</v>
      </c>
      <c r="L3041" s="13" t="n">
        <v>7891182019767</v>
      </c>
      <c r="M3041" s="13"/>
      <c r="N3041" s="13" t="n">
        <v>7891182019767</v>
      </c>
      <c r="O3041" s="13"/>
      <c r="P3041" s="13" t="s">
        <v>5291</v>
      </c>
      <c r="Q3041" s="13" t="s">
        <v>5289</v>
      </c>
      <c r="R3041" s="13" t="s">
        <v>5292</v>
      </c>
      <c r="S3041" s="13" t="s">
        <v>5293</v>
      </c>
      <c r="T3041" s="13" t="s">
        <v>5</v>
      </c>
      <c r="U3041" s="13" t="s">
        <v>43</v>
      </c>
      <c r="V3041" s="13" t="n">
        <f aca="false">IF(COUNTIF($B$2:B3041,B3041)=1,1,0)</f>
        <v>0</v>
      </c>
      <c r="W3041" s="13" t="n">
        <f aca="false">IF(COUNTIFS($B$2:B3041,B3041,$T$2:T3041,T3041)=1,1,0)</f>
        <v>0</v>
      </c>
    </row>
    <row r="3042" customFormat="false" ht="15" hidden="false" customHeight="false" outlineLevel="0" collapsed="false">
      <c r="A3042" s="13" t="s">
        <v>1368</v>
      </c>
      <c r="B3042" s="13" t="s">
        <v>54</v>
      </c>
      <c r="C3042" s="13" t="n">
        <v>810</v>
      </c>
      <c r="D3042" s="13" t="n">
        <v>2</v>
      </c>
      <c r="E3042" s="13" t="n">
        <v>268.85</v>
      </c>
      <c r="F3042" s="13" t="s">
        <v>5325</v>
      </c>
      <c r="G3042" s="13" t="s">
        <v>5289</v>
      </c>
      <c r="H3042" s="13" t="s">
        <v>5292</v>
      </c>
      <c r="I3042" s="13" t="s">
        <v>5289</v>
      </c>
      <c r="J3042" s="13" t="s">
        <v>5289</v>
      </c>
      <c r="K3042" s="13" t="s">
        <v>5292</v>
      </c>
      <c r="L3042" s="13" t="n">
        <v>730852147713</v>
      </c>
      <c r="M3042" s="13"/>
      <c r="N3042" s="13" t="n">
        <v>730852147713</v>
      </c>
      <c r="O3042" s="13"/>
      <c r="P3042" s="13" t="s">
        <v>5297</v>
      </c>
      <c r="Q3042" s="13" t="s">
        <v>5289</v>
      </c>
      <c r="R3042" s="13" t="s">
        <v>5292</v>
      </c>
      <c r="S3042" s="13" t="s">
        <v>5293</v>
      </c>
      <c r="T3042" s="13" t="s">
        <v>5</v>
      </c>
      <c r="U3042" s="13" t="s">
        <v>43</v>
      </c>
      <c r="V3042" s="13" t="n">
        <f aca="false">IF(COUNTIF($B$2:B3042,B3042)=1,1,0)</f>
        <v>0</v>
      </c>
      <c r="W3042" s="13" t="n">
        <f aca="false">IF(COUNTIFS($B$2:B3042,B3042,$T$2:T3042,T3042)=1,1,0)</f>
        <v>0</v>
      </c>
    </row>
    <row r="3043" customFormat="false" ht="15" hidden="false" customHeight="false" outlineLevel="0" collapsed="false">
      <c r="A3043" s="13" t="s">
        <v>4213</v>
      </c>
      <c r="B3043" s="13" t="s">
        <v>2192</v>
      </c>
      <c r="C3043" s="13" t="n">
        <v>810</v>
      </c>
      <c r="D3043" s="13" t="n">
        <v>2</v>
      </c>
      <c r="E3043" s="13" t="n">
        <v>268.85</v>
      </c>
      <c r="F3043" s="13" t="s">
        <v>5325</v>
      </c>
      <c r="G3043" s="13" t="s">
        <v>5292</v>
      </c>
      <c r="H3043" s="13" t="s">
        <v>5292</v>
      </c>
      <c r="I3043" s="13" t="s">
        <v>5289</v>
      </c>
      <c r="J3043" s="13" t="s">
        <v>5289</v>
      </c>
      <c r="K3043" s="13" t="s">
        <v>5292</v>
      </c>
      <c r="L3043" s="13" t="n">
        <v>7290011521424</v>
      </c>
      <c r="M3043" s="13"/>
      <c r="N3043" s="13" t="n">
        <v>7290011521424</v>
      </c>
      <c r="O3043" s="13"/>
      <c r="P3043" s="13" t="s">
        <v>5297</v>
      </c>
      <c r="Q3043" s="13" t="s">
        <v>5289</v>
      </c>
      <c r="R3043" s="13" t="s">
        <v>5292</v>
      </c>
      <c r="S3043" s="13" t="s">
        <v>5293</v>
      </c>
      <c r="T3043" s="13" t="s">
        <v>5</v>
      </c>
      <c r="U3043" s="13" t="s">
        <v>183</v>
      </c>
      <c r="V3043" s="13" t="n">
        <f aca="false">IF(COUNTIF($B$2:B3043,B3043)=1,1,0)</f>
        <v>1</v>
      </c>
      <c r="W3043" s="13" t="n">
        <f aca="false">IF(COUNTIFS($B$2:B3043,B3043,$T$2:T3043,T3043)=1,1,0)</f>
        <v>1</v>
      </c>
    </row>
    <row r="3044" customFormat="false" ht="15" hidden="false" customHeight="false" outlineLevel="0" collapsed="false">
      <c r="A3044" s="13" t="s">
        <v>1371</v>
      </c>
      <c r="B3044" s="13" t="s">
        <v>103</v>
      </c>
      <c r="C3044" s="13" t="n">
        <v>800</v>
      </c>
      <c r="D3044" s="13" t="n">
        <v>5</v>
      </c>
      <c r="E3044" s="13" t="n">
        <v>160.82</v>
      </c>
      <c r="F3044" s="13" t="s">
        <v>5325</v>
      </c>
      <c r="G3044" s="13" t="s">
        <v>5289</v>
      </c>
      <c r="H3044" s="13" t="s">
        <v>5289</v>
      </c>
      <c r="I3044" s="13" t="s">
        <v>5289</v>
      </c>
      <c r="J3044" s="13" t="s">
        <v>5289</v>
      </c>
      <c r="K3044" s="13" t="s">
        <v>5289</v>
      </c>
      <c r="L3044" s="13" t="n">
        <v>8411061948903</v>
      </c>
      <c r="M3044" s="13"/>
      <c r="N3044" s="13" t="n">
        <v>8.41106108085684E+025</v>
      </c>
      <c r="O3044" s="13"/>
      <c r="P3044" s="13" t="s">
        <v>5291</v>
      </c>
      <c r="Q3044" s="13" t="s">
        <v>5289</v>
      </c>
      <c r="R3044" s="13" t="s">
        <v>5292</v>
      </c>
      <c r="S3044" s="13" t="s">
        <v>5293</v>
      </c>
      <c r="T3044" s="13" t="s">
        <v>5</v>
      </c>
      <c r="U3044" s="13" t="s">
        <v>43</v>
      </c>
      <c r="V3044" s="13" t="n">
        <f aca="false">IF(COUNTIF($B$2:B3044,B3044)=1,1,0)</f>
        <v>0</v>
      </c>
      <c r="W3044" s="13" t="n">
        <f aca="false">IF(COUNTIFS($B$2:B3044,B3044,$T$2:T3044,T3044)=1,1,0)</f>
        <v>0</v>
      </c>
    </row>
    <row r="3045" customFormat="false" ht="15" hidden="false" customHeight="false" outlineLevel="0" collapsed="false">
      <c r="A3045" s="13" t="s">
        <v>1382</v>
      </c>
      <c r="B3045" s="13" t="s">
        <v>61</v>
      </c>
      <c r="C3045" s="13" t="n">
        <v>800</v>
      </c>
      <c r="D3045" s="13" t="n">
        <v>2</v>
      </c>
      <c r="E3045" s="13" t="n">
        <v>267.01</v>
      </c>
      <c r="F3045" s="13" t="s">
        <v>5325</v>
      </c>
      <c r="G3045" s="13" t="s">
        <v>5292</v>
      </c>
      <c r="H3045" s="13" t="s">
        <v>5289</v>
      </c>
      <c r="I3045" s="13" t="s">
        <v>5289</v>
      </c>
      <c r="J3045" s="13" t="s">
        <v>5289</v>
      </c>
      <c r="K3045" s="13" t="s">
        <v>5289</v>
      </c>
      <c r="L3045" s="13" t="n">
        <v>3614273436366</v>
      </c>
      <c r="M3045" s="13"/>
      <c r="N3045" s="13" t="n">
        <v>3614273436366</v>
      </c>
      <c r="O3045" s="13"/>
      <c r="P3045" s="13" t="s">
        <v>5297</v>
      </c>
      <c r="Q3045" s="13" t="s">
        <v>5289</v>
      </c>
      <c r="R3045" s="13" t="s">
        <v>5292</v>
      </c>
      <c r="S3045" s="13" t="s">
        <v>5293</v>
      </c>
      <c r="T3045" s="13" t="s">
        <v>5</v>
      </c>
      <c r="U3045" s="13" t="s">
        <v>43</v>
      </c>
      <c r="V3045" s="13" t="n">
        <f aca="false">IF(COUNTIF($B$2:B3045,B3045)=1,1,0)</f>
        <v>0</v>
      </c>
      <c r="W3045" s="13" t="n">
        <f aca="false">IF(COUNTIFS($B$2:B3045,B3045,$T$2:T3045,T3045)=1,1,0)</f>
        <v>0</v>
      </c>
    </row>
    <row r="3046" customFormat="false" ht="15" hidden="false" customHeight="false" outlineLevel="0" collapsed="false">
      <c r="A3046" s="13" t="s">
        <v>1383</v>
      </c>
      <c r="B3046" s="13" t="s">
        <v>186</v>
      </c>
      <c r="C3046" s="13" t="n">
        <v>800</v>
      </c>
      <c r="D3046" s="13" t="n">
        <v>2</v>
      </c>
      <c r="E3046" s="13" t="n">
        <v>400.23</v>
      </c>
      <c r="F3046" s="13" t="s">
        <v>5288</v>
      </c>
      <c r="G3046" s="13" t="s">
        <v>5292</v>
      </c>
      <c r="H3046" s="13" t="s">
        <v>5289</v>
      </c>
      <c r="I3046" s="13" t="s">
        <v>5289</v>
      </c>
      <c r="J3046" s="13" t="s">
        <v>5289</v>
      </c>
      <c r="K3046" s="13" t="s">
        <v>5289</v>
      </c>
      <c r="L3046" s="13"/>
      <c r="M3046" s="13"/>
      <c r="N3046" s="13" t="n">
        <v>3616305488626</v>
      </c>
      <c r="O3046" s="13"/>
      <c r="P3046" s="13" t="s">
        <v>5297</v>
      </c>
      <c r="Q3046" s="13" t="s">
        <v>5289</v>
      </c>
      <c r="R3046" s="13" t="s">
        <v>5292</v>
      </c>
      <c r="S3046" s="13" t="s">
        <v>5293</v>
      </c>
      <c r="T3046" s="13" t="s">
        <v>5</v>
      </c>
      <c r="U3046" s="13" t="s">
        <v>43</v>
      </c>
      <c r="V3046" s="13" t="n">
        <f aca="false">IF(COUNTIF($B$2:B3046,B3046)=1,1,0)</f>
        <v>0</v>
      </c>
      <c r="W3046" s="13" t="n">
        <f aca="false">IF(COUNTIFS($B$2:B3046,B3046,$T$2:T3046,T3046)=1,1,0)</f>
        <v>0</v>
      </c>
    </row>
    <row r="3047" customFormat="false" ht="15" hidden="false" customHeight="false" outlineLevel="0" collapsed="false">
      <c r="A3047" s="13" t="s">
        <v>1319</v>
      </c>
      <c r="B3047" s="13" t="s">
        <v>61</v>
      </c>
      <c r="C3047" s="13" t="n">
        <v>800</v>
      </c>
      <c r="D3047" s="13" t="n">
        <v>1</v>
      </c>
      <c r="E3047" s="13" t="n">
        <v>799</v>
      </c>
      <c r="F3047" s="13" t="s">
        <v>5325</v>
      </c>
      <c r="G3047" s="13" t="s">
        <v>5292</v>
      </c>
      <c r="H3047" s="13" t="s">
        <v>5292</v>
      </c>
      <c r="I3047" s="13" t="s">
        <v>5289</v>
      </c>
      <c r="J3047" s="13" t="s">
        <v>5289</v>
      </c>
      <c r="K3047" s="13" t="s">
        <v>5289</v>
      </c>
      <c r="L3047" s="13" t="n">
        <v>3614273774413</v>
      </c>
      <c r="M3047" s="13"/>
      <c r="N3047" s="13" t="n">
        <v>3614273774413</v>
      </c>
      <c r="O3047" s="13"/>
      <c r="P3047" s="13" t="s">
        <v>5291</v>
      </c>
      <c r="Q3047" s="13" t="s">
        <v>5289</v>
      </c>
      <c r="R3047" s="13" t="s">
        <v>5292</v>
      </c>
      <c r="S3047" s="13" t="s">
        <v>5293</v>
      </c>
      <c r="T3047" s="13" t="s">
        <v>5</v>
      </c>
      <c r="U3047" s="13" t="s">
        <v>43</v>
      </c>
      <c r="V3047" s="13" t="n">
        <f aca="false">IF(COUNTIF($B$2:B3047,B3047)=1,1,0)</f>
        <v>0</v>
      </c>
      <c r="W3047" s="13" t="n">
        <f aca="false">IF(COUNTIFS($B$2:B3047,B3047,$T$2:T3047,T3047)=1,1,0)</f>
        <v>0</v>
      </c>
    </row>
    <row r="3048" customFormat="false" ht="15" hidden="false" customHeight="false" outlineLevel="0" collapsed="false">
      <c r="A3048" s="13" t="s">
        <v>1380</v>
      </c>
      <c r="B3048" s="13" t="s">
        <v>69</v>
      </c>
      <c r="C3048" s="13" t="n">
        <v>800</v>
      </c>
      <c r="D3048" s="13" t="n">
        <v>1</v>
      </c>
      <c r="E3048" s="13" t="n">
        <v>799</v>
      </c>
      <c r="F3048" s="13" t="s">
        <v>5325</v>
      </c>
      <c r="G3048" s="13" t="s">
        <v>5289</v>
      </c>
      <c r="H3048" s="13" t="s">
        <v>5289</v>
      </c>
      <c r="I3048" s="13" t="s">
        <v>5289</v>
      </c>
      <c r="J3048" s="13" t="s">
        <v>5289</v>
      </c>
      <c r="K3048" s="13" t="s">
        <v>5289</v>
      </c>
      <c r="L3048" s="13" t="n">
        <v>3614273776110</v>
      </c>
      <c r="M3048" s="13"/>
      <c r="N3048" s="13" t="n">
        <v>3614273776110</v>
      </c>
      <c r="O3048" s="13"/>
      <c r="P3048" s="13" t="s">
        <v>5297</v>
      </c>
      <c r="Q3048" s="13" t="s">
        <v>5289</v>
      </c>
      <c r="R3048" s="13" t="s">
        <v>5292</v>
      </c>
      <c r="S3048" s="13" t="s">
        <v>5293</v>
      </c>
      <c r="T3048" s="13" t="s">
        <v>5</v>
      </c>
      <c r="U3048" s="13" t="s">
        <v>43</v>
      </c>
      <c r="V3048" s="13" t="n">
        <f aca="false">IF(COUNTIF($B$2:B3048,B3048)=1,1,0)</f>
        <v>0</v>
      </c>
      <c r="W3048" s="13" t="n">
        <f aca="false">IF(COUNTIFS($B$2:B3048,B3048,$T$2:T3048,T3048)=1,1,0)</f>
        <v>0</v>
      </c>
    </row>
    <row r="3049" customFormat="false" ht="15" hidden="false" customHeight="false" outlineLevel="0" collapsed="false">
      <c r="A3049" s="13" t="s">
        <v>238</v>
      </c>
      <c r="B3049" s="13" t="s">
        <v>193</v>
      </c>
      <c r="C3049" s="13" t="n">
        <v>800</v>
      </c>
      <c r="D3049" s="13" t="n">
        <v>1</v>
      </c>
      <c r="E3049" s="13" t="n">
        <v>798.85</v>
      </c>
      <c r="F3049" s="13" t="s">
        <v>5325</v>
      </c>
      <c r="G3049" s="13" t="s">
        <v>5289</v>
      </c>
      <c r="H3049" s="13" t="s">
        <v>5289</v>
      </c>
      <c r="I3049" s="13" t="s">
        <v>5289</v>
      </c>
      <c r="J3049" s="13" t="s">
        <v>5289</v>
      </c>
      <c r="K3049" s="13" t="s">
        <v>5292</v>
      </c>
      <c r="L3049" s="13" t="n">
        <v>3614272225718</v>
      </c>
      <c r="M3049" s="13"/>
      <c r="N3049" s="13" t="n">
        <v>3614272225718</v>
      </c>
      <c r="O3049" s="13"/>
      <c r="P3049" s="13" t="s">
        <v>5297</v>
      </c>
      <c r="Q3049" s="13" t="s">
        <v>5289</v>
      </c>
      <c r="R3049" s="13" t="s">
        <v>5292</v>
      </c>
      <c r="S3049" s="13" t="s">
        <v>5293</v>
      </c>
      <c r="T3049" s="13" t="s">
        <v>5</v>
      </c>
      <c r="U3049" s="13" t="s">
        <v>43</v>
      </c>
      <c r="V3049" s="13" t="n">
        <f aca="false">IF(COUNTIF($B$2:B3049,B3049)=1,1,0)</f>
        <v>0</v>
      </c>
      <c r="W3049" s="13" t="n">
        <f aca="false">IF(COUNTIFS($B$2:B3049,B3049,$T$2:T3049,T3049)=1,1,0)</f>
        <v>0</v>
      </c>
    </row>
    <row r="3050" customFormat="false" ht="15" hidden="false" customHeight="false" outlineLevel="0" collapsed="false">
      <c r="A3050" s="13" t="s">
        <v>1372</v>
      </c>
      <c r="B3050" s="13" t="s">
        <v>124</v>
      </c>
      <c r="C3050" s="13" t="n">
        <v>800</v>
      </c>
      <c r="D3050" s="13" t="n">
        <v>2</v>
      </c>
      <c r="E3050" s="13" t="n">
        <v>399.33</v>
      </c>
      <c r="F3050" s="13" t="s">
        <v>5325</v>
      </c>
      <c r="G3050" s="13" t="s">
        <v>5292</v>
      </c>
      <c r="H3050" s="13" t="s">
        <v>5289</v>
      </c>
      <c r="I3050" s="13" t="s">
        <v>5289</v>
      </c>
      <c r="J3050" s="13" t="s">
        <v>5289</v>
      </c>
      <c r="K3050" s="13" t="s">
        <v>5289</v>
      </c>
      <c r="L3050" s="13"/>
      <c r="M3050" s="13"/>
      <c r="N3050" s="13" t="n">
        <v>3614273636582</v>
      </c>
      <c r="O3050" s="13"/>
      <c r="P3050" s="13" t="s">
        <v>5291</v>
      </c>
      <c r="Q3050" s="13" t="s">
        <v>5289</v>
      </c>
      <c r="R3050" s="13" t="s">
        <v>5292</v>
      </c>
      <c r="S3050" s="13" t="s">
        <v>5293</v>
      </c>
      <c r="T3050" s="13" t="s">
        <v>5</v>
      </c>
      <c r="U3050" s="13" t="s">
        <v>43</v>
      </c>
      <c r="V3050" s="13" t="n">
        <f aca="false">IF(COUNTIF($B$2:B3050,B3050)=1,1,0)</f>
        <v>0</v>
      </c>
      <c r="W3050" s="13" t="n">
        <f aca="false">IF(COUNTIFS($B$2:B3050,B3050,$T$2:T3050,T3050)=1,1,0)</f>
        <v>0</v>
      </c>
    </row>
    <row r="3051" customFormat="false" ht="15" hidden="false" customHeight="false" outlineLevel="0" collapsed="false">
      <c r="A3051" s="13" t="s">
        <v>6390</v>
      </c>
      <c r="B3051" s="13" t="s">
        <v>2127</v>
      </c>
      <c r="C3051" s="13" t="n">
        <v>800</v>
      </c>
      <c r="D3051" s="13" t="n">
        <v>20</v>
      </c>
      <c r="E3051" s="13" t="n">
        <v>49.9</v>
      </c>
      <c r="F3051" s="13" t="s">
        <v>5325</v>
      </c>
      <c r="G3051" s="13" t="s">
        <v>5289</v>
      </c>
      <c r="H3051" s="13" t="s">
        <v>5292</v>
      </c>
      <c r="I3051" s="13" t="s">
        <v>5292</v>
      </c>
      <c r="J3051" s="13" t="s">
        <v>5289</v>
      </c>
      <c r="K3051" s="13" t="s">
        <v>5289</v>
      </c>
      <c r="L3051" s="13" t="n">
        <v>19045010288</v>
      </c>
      <c r="M3051" s="13"/>
      <c r="N3051" s="13" t="n">
        <v>19045010288</v>
      </c>
      <c r="O3051" s="13"/>
      <c r="P3051" s="13" t="s">
        <v>5291</v>
      </c>
      <c r="Q3051" s="13" t="s">
        <v>5289</v>
      </c>
      <c r="R3051" s="13" t="s">
        <v>5292</v>
      </c>
      <c r="S3051" s="13" t="s">
        <v>5293</v>
      </c>
      <c r="T3051" s="13" t="s">
        <v>5</v>
      </c>
      <c r="U3051" s="13" t="s">
        <v>85</v>
      </c>
      <c r="V3051" s="13" t="n">
        <f aca="false">IF(COUNTIF($B$2:B3051,B3051)=1,1,0)</f>
        <v>0</v>
      </c>
      <c r="W3051" s="13" t="n">
        <f aca="false">IF(COUNTIFS($B$2:B3051,B3051,$T$2:T3051,T3051)=1,1,0)</f>
        <v>0</v>
      </c>
    </row>
    <row r="3052" customFormat="false" ht="15" hidden="false" customHeight="false" outlineLevel="0" collapsed="false">
      <c r="A3052" s="13" t="s">
        <v>1381</v>
      </c>
      <c r="B3052" s="13" t="s">
        <v>61</v>
      </c>
      <c r="C3052" s="13" t="n">
        <v>800</v>
      </c>
      <c r="D3052" s="13" t="n">
        <v>1</v>
      </c>
      <c r="E3052" s="13" t="n">
        <v>797</v>
      </c>
      <c r="F3052" s="13" t="s">
        <v>5325</v>
      </c>
      <c r="G3052" s="13" t="s">
        <v>5289</v>
      </c>
      <c r="H3052" s="13" t="s">
        <v>5292</v>
      </c>
      <c r="I3052" s="13" t="s">
        <v>5289</v>
      </c>
      <c r="J3052" s="13" t="s">
        <v>5289</v>
      </c>
      <c r="K3052" s="13" t="s">
        <v>5289</v>
      </c>
      <c r="L3052" s="13" t="n">
        <v>3614273069175</v>
      </c>
      <c r="M3052" s="13"/>
      <c r="N3052" s="13" t="n">
        <v>3614273069175</v>
      </c>
      <c r="O3052" s="13"/>
      <c r="P3052" s="13" t="s">
        <v>5291</v>
      </c>
      <c r="Q3052" s="13" t="s">
        <v>5289</v>
      </c>
      <c r="R3052" s="13" t="s">
        <v>5292</v>
      </c>
      <c r="S3052" s="13" t="s">
        <v>5293</v>
      </c>
      <c r="T3052" s="13" t="s">
        <v>5</v>
      </c>
      <c r="U3052" s="13" t="s">
        <v>43</v>
      </c>
      <c r="V3052" s="13" t="n">
        <f aca="false">IF(COUNTIF($B$2:B3052,B3052)=1,1,0)</f>
        <v>0</v>
      </c>
      <c r="W3052" s="13" t="n">
        <f aca="false">IF(COUNTIFS($B$2:B3052,B3052,$T$2:T3052,T3052)=1,1,0)</f>
        <v>0</v>
      </c>
    </row>
    <row r="3053" customFormat="false" ht="15" hidden="false" customHeight="false" outlineLevel="0" collapsed="false">
      <c r="A3053" s="13" t="s">
        <v>4235</v>
      </c>
      <c r="B3053" s="13" t="s">
        <v>2118</v>
      </c>
      <c r="C3053" s="13" t="n">
        <v>790</v>
      </c>
      <c r="D3053" s="13" t="n">
        <v>1</v>
      </c>
      <c r="E3053" s="13" t="n">
        <v>794.37</v>
      </c>
      <c r="F3053" s="13" t="s">
        <v>5325</v>
      </c>
      <c r="G3053" s="13" t="s">
        <v>5289</v>
      </c>
      <c r="H3053" s="13" t="s">
        <v>5289</v>
      </c>
      <c r="I3053" s="13" t="s">
        <v>5289</v>
      </c>
      <c r="J3053" s="13" t="s">
        <v>5289</v>
      </c>
      <c r="K3053" s="13" t="s">
        <v>5289</v>
      </c>
      <c r="L3053" s="13" t="n">
        <v>3614274182293</v>
      </c>
      <c r="M3053" s="13"/>
      <c r="N3053" s="13" t="n">
        <v>3614274182293</v>
      </c>
      <c r="O3053" s="13"/>
      <c r="P3053" s="13" t="s">
        <v>5291</v>
      </c>
      <c r="Q3053" s="13" t="s">
        <v>5289</v>
      </c>
      <c r="R3053" s="13" t="s">
        <v>5292</v>
      </c>
      <c r="S3053" s="13" t="s">
        <v>5293</v>
      </c>
      <c r="T3053" s="13" t="s">
        <v>5</v>
      </c>
      <c r="U3053" s="13" t="s">
        <v>43</v>
      </c>
      <c r="V3053" s="13" t="n">
        <f aca="false">IF(COUNTIF($B$2:B3053,B3053)=1,1,0)</f>
        <v>0</v>
      </c>
      <c r="W3053" s="13" t="n">
        <f aca="false">IF(COUNTIFS($B$2:B3053,B3053,$T$2:T3053,T3053)=1,1,0)</f>
        <v>0</v>
      </c>
    </row>
    <row r="3054" customFormat="false" ht="15" hidden="false" customHeight="false" outlineLevel="0" collapsed="false">
      <c r="A3054" s="13" t="s">
        <v>1012</v>
      </c>
      <c r="B3054" s="13" t="s">
        <v>72</v>
      </c>
      <c r="C3054" s="13" t="n">
        <v>790</v>
      </c>
      <c r="D3054" s="13" t="n">
        <v>1</v>
      </c>
      <c r="E3054" s="13" t="n">
        <v>789.8</v>
      </c>
      <c r="F3054" s="13" t="s">
        <v>5288</v>
      </c>
      <c r="G3054" s="13" t="s">
        <v>5289</v>
      </c>
      <c r="H3054" s="13" t="s">
        <v>5292</v>
      </c>
      <c r="I3054" s="13" t="s">
        <v>5289</v>
      </c>
      <c r="J3054" s="13" t="s">
        <v>5289</v>
      </c>
      <c r="K3054" s="13" t="s">
        <v>5289</v>
      </c>
      <c r="L3054" s="13"/>
      <c r="M3054" s="13"/>
      <c r="N3054" s="13" t="n">
        <v>3614273961752</v>
      </c>
      <c r="O3054" s="13"/>
      <c r="P3054" s="13" t="s">
        <v>5291</v>
      </c>
      <c r="Q3054" s="13" t="s">
        <v>5289</v>
      </c>
      <c r="R3054" s="13" t="s">
        <v>5292</v>
      </c>
      <c r="S3054" s="13" t="s">
        <v>5293</v>
      </c>
      <c r="T3054" s="13" t="s">
        <v>5</v>
      </c>
      <c r="U3054" s="13" t="s">
        <v>43</v>
      </c>
      <c r="V3054" s="13" t="n">
        <f aca="false">IF(COUNTIF($B$2:B3054,B3054)=1,1,0)</f>
        <v>0</v>
      </c>
      <c r="W3054" s="13" t="n">
        <f aca="false">IF(COUNTIFS($B$2:B3054,B3054,$T$2:T3054,T3054)=1,1,0)</f>
        <v>0</v>
      </c>
    </row>
    <row r="3055" customFormat="false" ht="15" hidden="false" customHeight="false" outlineLevel="0" collapsed="false">
      <c r="A3055" s="13" t="s">
        <v>1384</v>
      </c>
      <c r="B3055" s="13" t="s">
        <v>54</v>
      </c>
      <c r="C3055" s="13" t="n">
        <v>790</v>
      </c>
      <c r="D3055" s="13" t="n">
        <v>1</v>
      </c>
      <c r="E3055" s="13" t="n">
        <v>787.85</v>
      </c>
      <c r="F3055" s="13" t="s">
        <v>5288</v>
      </c>
      <c r="G3055" s="13" t="s">
        <v>5289</v>
      </c>
      <c r="H3055" s="13" t="s">
        <v>5292</v>
      </c>
      <c r="I3055" s="13" t="s">
        <v>5289</v>
      </c>
      <c r="J3055" s="13" t="s">
        <v>5289</v>
      </c>
      <c r="K3055" s="13" t="s">
        <v>5292</v>
      </c>
      <c r="L3055" s="13" t="n">
        <v>729238222946</v>
      </c>
      <c r="M3055" s="13"/>
      <c r="N3055" s="13" t="n">
        <v>729238222946</v>
      </c>
      <c r="O3055" s="13"/>
      <c r="P3055" s="13" t="s">
        <v>5291</v>
      </c>
      <c r="Q3055" s="13" t="s">
        <v>5289</v>
      </c>
      <c r="R3055" s="13" t="s">
        <v>5292</v>
      </c>
      <c r="S3055" s="13" t="s">
        <v>5293</v>
      </c>
      <c r="T3055" s="13" t="s">
        <v>5</v>
      </c>
      <c r="U3055" s="13" t="s">
        <v>43</v>
      </c>
      <c r="V3055" s="13" t="n">
        <f aca="false">IF(COUNTIF($B$2:B3055,B3055)=1,1,0)</f>
        <v>0</v>
      </c>
      <c r="W3055" s="13" t="n">
        <f aca="false">IF(COUNTIFS($B$2:B3055,B3055,$T$2:T3055,T3055)=1,1,0)</f>
        <v>0</v>
      </c>
    </row>
    <row r="3056" customFormat="false" ht="15" hidden="false" customHeight="false" outlineLevel="0" collapsed="false">
      <c r="A3056" s="13" t="s">
        <v>1384</v>
      </c>
      <c r="B3056" s="13" t="s">
        <v>54</v>
      </c>
      <c r="C3056" s="13" t="n">
        <v>790</v>
      </c>
      <c r="D3056" s="13" t="n">
        <v>1</v>
      </c>
      <c r="E3056" s="13" t="n">
        <v>787.85</v>
      </c>
      <c r="F3056" s="13" t="s">
        <v>5288</v>
      </c>
      <c r="G3056" s="13" t="s">
        <v>5289</v>
      </c>
      <c r="H3056" s="13" t="s">
        <v>5289</v>
      </c>
      <c r="I3056" s="13" t="s">
        <v>5289</v>
      </c>
      <c r="J3056" s="13" t="s">
        <v>5289</v>
      </c>
      <c r="K3056" s="13" t="s">
        <v>5292</v>
      </c>
      <c r="L3056" s="13" t="n">
        <v>729238222946</v>
      </c>
      <c r="M3056" s="13"/>
      <c r="N3056" s="13" t="n">
        <v>729238222946</v>
      </c>
      <c r="O3056" s="13"/>
      <c r="P3056" s="13" t="s">
        <v>5291</v>
      </c>
      <c r="Q3056" s="13" t="s">
        <v>5289</v>
      </c>
      <c r="R3056" s="13" t="s">
        <v>5292</v>
      </c>
      <c r="S3056" s="13" t="s">
        <v>5293</v>
      </c>
      <c r="T3056" s="13" t="s">
        <v>5</v>
      </c>
      <c r="U3056" s="13" t="s">
        <v>43</v>
      </c>
      <c r="V3056" s="13" t="n">
        <f aca="false">IF(COUNTIF($B$2:B3056,B3056)=1,1,0)</f>
        <v>0</v>
      </c>
      <c r="W3056" s="13" t="n">
        <f aca="false">IF(COUNTIFS($B$2:B3056,B3056,$T$2:T3056,T3056)=1,1,0)</f>
        <v>0</v>
      </c>
    </row>
    <row r="3057" customFormat="false" ht="15" hidden="false" customHeight="false" outlineLevel="0" collapsed="false">
      <c r="A3057" s="13" t="s">
        <v>762</v>
      </c>
      <c r="B3057" s="13" t="s">
        <v>50</v>
      </c>
      <c r="C3057" s="13" t="n">
        <v>790</v>
      </c>
      <c r="D3057" s="13" t="n">
        <v>1</v>
      </c>
      <c r="E3057" s="13" t="n">
        <v>786</v>
      </c>
      <c r="F3057" s="13" t="s">
        <v>5325</v>
      </c>
      <c r="G3057" s="13" t="s">
        <v>5292</v>
      </c>
      <c r="H3057" s="13" t="s">
        <v>5292</v>
      </c>
      <c r="I3057" s="13" t="s">
        <v>5289</v>
      </c>
      <c r="J3057" s="13" t="s">
        <v>5289</v>
      </c>
      <c r="K3057" s="13" t="s">
        <v>5289</v>
      </c>
      <c r="L3057" s="13"/>
      <c r="M3057" s="13"/>
      <c r="N3057" s="13" t="n">
        <v>3349668641840</v>
      </c>
      <c r="O3057" s="13"/>
      <c r="P3057" s="13" t="s">
        <v>5291</v>
      </c>
      <c r="Q3057" s="13" t="s">
        <v>5289</v>
      </c>
      <c r="R3057" s="13" t="s">
        <v>5292</v>
      </c>
      <c r="S3057" s="13" t="s">
        <v>5293</v>
      </c>
      <c r="T3057" s="13" t="s">
        <v>5</v>
      </c>
      <c r="U3057" s="13" t="s">
        <v>43</v>
      </c>
      <c r="V3057" s="13" t="n">
        <f aca="false">IF(COUNTIF($B$2:B3057,B3057)=1,1,0)</f>
        <v>0</v>
      </c>
      <c r="W3057" s="13" t="n">
        <f aca="false">IF(COUNTIFS($B$2:B3057,B3057,$T$2:T3057,T3057)=1,1,0)</f>
        <v>0</v>
      </c>
    </row>
    <row r="3058" customFormat="false" ht="15" hidden="false" customHeight="false" outlineLevel="0" collapsed="false">
      <c r="A3058" s="13" t="s">
        <v>517</v>
      </c>
      <c r="B3058" s="13" t="s">
        <v>302</v>
      </c>
      <c r="C3058" s="13" t="n">
        <v>780</v>
      </c>
      <c r="D3058" s="13" t="n">
        <v>1</v>
      </c>
      <c r="E3058" s="13" t="n">
        <v>784.76</v>
      </c>
      <c r="F3058" s="13" t="s">
        <v>5288</v>
      </c>
      <c r="G3058" s="13" t="s">
        <v>5292</v>
      </c>
      <c r="H3058" s="13" t="s">
        <v>5289</v>
      </c>
      <c r="I3058" s="13" t="s">
        <v>5289</v>
      </c>
      <c r="J3058" s="13" t="s">
        <v>5289</v>
      </c>
      <c r="K3058" s="13" t="s">
        <v>5289</v>
      </c>
      <c r="L3058" s="13"/>
      <c r="M3058" s="13"/>
      <c r="N3058" s="13" t="n">
        <v>3274872372153</v>
      </c>
      <c r="O3058" s="13"/>
      <c r="P3058" s="13" t="s">
        <v>5291</v>
      </c>
      <c r="Q3058" s="13" t="s">
        <v>5289</v>
      </c>
      <c r="R3058" s="13" t="s">
        <v>5292</v>
      </c>
      <c r="S3058" s="13" t="s">
        <v>5293</v>
      </c>
      <c r="T3058" s="13" t="s">
        <v>5</v>
      </c>
      <c r="U3058" s="13" t="s">
        <v>43</v>
      </c>
      <c r="V3058" s="13" t="n">
        <f aca="false">IF(COUNTIF($B$2:B3058,B3058)=1,1,0)</f>
        <v>0</v>
      </c>
      <c r="W3058" s="13" t="n">
        <f aca="false">IF(COUNTIFS($B$2:B3058,B3058,$T$2:T3058,T3058)=1,1,0)</f>
        <v>1</v>
      </c>
    </row>
    <row r="3059" customFormat="false" ht="15" hidden="false" customHeight="false" outlineLevel="0" collapsed="false">
      <c r="A3059" s="13" t="s">
        <v>1393</v>
      </c>
      <c r="B3059" s="13" t="s">
        <v>69</v>
      </c>
      <c r="C3059" s="13" t="n">
        <v>780</v>
      </c>
      <c r="D3059" s="13" t="n">
        <v>1</v>
      </c>
      <c r="E3059" s="13" t="n">
        <v>784</v>
      </c>
      <c r="F3059" s="13" t="s">
        <v>5325</v>
      </c>
      <c r="G3059" s="13" t="s">
        <v>5289</v>
      </c>
      <c r="H3059" s="13" t="s">
        <v>5292</v>
      </c>
      <c r="I3059" s="13" t="s">
        <v>5289</v>
      </c>
      <c r="J3059" s="13" t="s">
        <v>5289</v>
      </c>
      <c r="K3059" s="13" t="s">
        <v>5289</v>
      </c>
      <c r="L3059" s="13" t="n">
        <v>3614273316132</v>
      </c>
      <c r="M3059" s="13"/>
      <c r="N3059" s="13" t="n">
        <v>3614273316132</v>
      </c>
      <c r="O3059" s="13"/>
      <c r="P3059" s="13" t="s">
        <v>5291</v>
      </c>
      <c r="Q3059" s="13" t="s">
        <v>5289</v>
      </c>
      <c r="R3059" s="13" t="s">
        <v>5292</v>
      </c>
      <c r="S3059" s="13" t="s">
        <v>5293</v>
      </c>
      <c r="T3059" s="13" t="s">
        <v>5</v>
      </c>
      <c r="U3059" s="13" t="s">
        <v>43</v>
      </c>
      <c r="V3059" s="13" t="n">
        <f aca="false">IF(COUNTIF($B$2:B3059,B3059)=1,1,0)</f>
        <v>0</v>
      </c>
      <c r="W3059" s="13" t="n">
        <f aca="false">IF(COUNTIFS($B$2:B3059,B3059,$T$2:T3059,T3059)=1,1,0)</f>
        <v>0</v>
      </c>
    </row>
    <row r="3060" customFormat="false" ht="15" hidden="false" customHeight="false" outlineLevel="0" collapsed="false">
      <c r="A3060" s="13" t="s">
        <v>326</v>
      </c>
      <c r="B3060" s="13" t="s">
        <v>153</v>
      </c>
      <c r="C3060" s="13" t="n">
        <v>780</v>
      </c>
      <c r="D3060" s="13" t="n">
        <v>1</v>
      </c>
      <c r="E3060" s="13" t="n">
        <v>781</v>
      </c>
      <c r="F3060" s="13" t="s">
        <v>5325</v>
      </c>
      <c r="G3060" s="13" t="s">
        <v>5292</v>
      </c>
      <c r="H3060" s="13" t="s">
        <v>5289</v>
      </c>
      <c r="I3060" s="13" t="s">
        <v>5289</v>
      </c>
      <c r="J3060" s="13" t="s">
        <v>5289</v>
      </c>
      <c r="K3060" s="13" t="s">
        <v>5289</v>
      </c>
      <c r="L3060" s="13"/>
      <c r="M3060" s="13"/>
      <c r="N3060" s="13" t="n">
        <v>8011003890811</v>
      </c>
      <c r="O3060" s="13"/>
      <c r="P3060" s="13" t="s">
        <v>5297</v>
      </c>
      <c r="Q3060" s="13" t="s">
        <v>5289</v>
      </c>
      <c r="R3060" s="13" t="s">
        <v>5292</v>
      </c>
      <c r="S3060" s="13" t="s">
        <v>5293</v>
      </c>
      <c r="T3060" s="13" t="s">
        <v>5</v>
      </c>
      <c r="U3060" s="13" t="s">
        <v>43</v>
      </c>
      <c r="V3060" s="13" t="n">
        <f aca="false">IF(COUNTIF($B$2:B3060,B3060)=1,1,0)</f>
        <v>0</v>
      </c>
      <c r="W3060" s="13" t="n">
        <f aca="false">IF(COUNTIFS($B$2:B3060,B3060,$T$2:T3060,T3060)=1,1,0)</f>
        <v>0</v>
      </c>
    </row>
    <row r="3061" customFormat="false" ht="15" hidden="false" customHeight="false" outlineLevel="0" collapsed="false">
      <c r="A3061" s="13" t="s">
        <v>1398</v>
      </c>
      <c r="B3061" s="13" t="s">
        <v>105</v>
      </c>
      <c r="C3061" s="13" t="n">
        <v>780</v>
      </c>
      <c r="D3061" s="13" t="n">
        <v>2</v>
      </c>
      <c r="E3061" s="13" t="n">
        <v>390</v>
      </c>
      <c r="F3061" s="13" t="s">
        <v>5325</v>
      </c>
      <c r="G3061" s="13" t="s">
        <v>5289</v>
      </c>
      <c r="H3061" s="13" t="s">
        <v>5292</v>
      </c>
      <c r="I3061" s="13" t="s">
        <v>5289</v>
      </c>
      <c r="J3061" s="13" t="s">
        <v>5289</v>
      </c>
      <c r="K3061" s="13" t="s">
        <v>5289</v>
      </c>
      <c r="L3061" s="13" t="n">
        <v>3614229823806</v>
      </c>
      <c r="M3061" s="13"/>
      <c r="N3061" s="13" t="n">
        <v>3614229823806</v>
      </c>
      <c r="O3061" s="13"/>
      <c r="P3061" s="13" t="s">
        <v>5291</v>
      </c>
      <c r="Q3061" s="13" t="s">
        <v>5289</v>
      </c>
      <c r="R3061" s="13" t="s">
        <v>5292</v>
      </c>
      <c r="S3061" s="13" t="s">
        <v>5293</v>
      </c>
      <c r="T3061" s="13" t="s">
        <v>5</v>
      </c>
      <c r="U3061" s="13" t="s">
        <v>43</v>
      </c>
      <c r="V3061" s="13" t="n">
        <f aca="false">IF(COUNTIF($B$2:B3061,B3061)=1,1,0)</f>
        <v>0</v>
      </c>
      <c r="W3061" s="13" t="n">
        <f aca="false">IF(COUNTIFS($B$2:B3061,B3061,$T$2:T3061,T3061)=1,1,0)</f>
        <v>0</v>
      </c>
    </row>
    <row r="3062" customFormat="false" ht="15" hidden="false" customHeight="false" outlineLevel="0" collapsed="false">
      <c r="A3062" s="13" t="s">
        <v>1399</v>
      </c>
      <c r="B3062" s="13" t="s">
        <v>42</v>
      </c>
      <c r="C3062" s="13" t="n">
        <v>780</v>
      </c>
      <c r="D3062" s="13" t="n">
        <v>2</v>
      </c>
      <c r="E3062" s="13" t="n">
        <v>194.77</v>
      </c>
      <c r="F3062" s="13" t="s">
        <v>5325</v>
      </c>
      <c r="G3062" s="13" t="s">
        <v>5292</v>
      </c>
      <c r="H3062" s="13" t="s">
        <v>5292</v>
      </c>
      <c r="I3062" s="13" t="s">
        <v>5289</v>
      </c>
      <c r="J3062" s="13" t="s">
        <v>5289</v>
      </c>
      <c r="K3062" s="13" t="s">
        <v>5289</v>
      </c>
      <c r="L3062" s="13" t="n">
        <v>8411061959367</v>
      </c>
      <c r="M3062" s="13"/>
      <c r="N3062" s="13" t="n">
        <v>8411061959367</v>
      </c>
      <c r="O3062" s="13"/>
      <c r="P3062" s="13" t="s">
        <v>5297</v>
      </c>
      <c r="Q3062" s="13" t="s">
        <v>5289</v>
      </c>
      <c r="R3062" s="13" t="s">
        <v>5292</v>
      </c>
      <c r="S3062" s="13" t="s">
        <v>5293</v>
      </c>
      <c r="T3062" s="13" t="s">
        <v>5</v>
      </c>
      <c r="U3062" s="13" t="s">
        <v>43</v>
      </c>
      <c r="V3062" s="13" t="n">
        <f aca="false">IF(COUNTIF($B$2:B3062,B3062)=1,1,0)</f>
        <v>0</v>
      </c>
      <c r="W3062" s="13" t="n">
        <f aca="false">IF(COUNTIFS($B$2:B3062,B3062,$T$2:T3062,T3062)=1,1,0)</f>
        <v>0</v>
      </c>
    </row>
    <row r="3063" customFormat="false" ht="15" hidden="false" customHeight="false" outlineLevel="0" collapsed="false">
      <c r="A3063" s="13" t="s">
        <v>4019</v>
      </c>
      <c r="B3063" s="13" t="s">
        <v>2150</v>
      </c>
      <c r="C3063" s="13" t="n">
        <v>780</v>
      </c>
      <c r="D3063" s="13" t="n">
        <v>5</v>
      </c>
      <c r="E3063" s="13" t="n">
        <v>97.14</v>
      </c>
      <c r="F3063" s="13" t="s">
        <v>5288</v>
      </c>
      <c r="G3063" s="13" t="s">
        <v>5289</v>
      </c>
      <c r="H3063" s="13" t="s">
        <v>5289</v>
      </c>
      <c r="I3063" s="13" t="s">
        <v>5289</v>
      </c>
      <c r="J3063" s="13" t="s">
        <v>5289</v>
      </c>
      <c r="K3063" s="13" t="s">
        <v>5289</v>
      </c>
      <c r="L3063" s="13" t="n">
        <v>8411061697290</v>
      </c>
      <c r="M3063" s="13"/>
      <c r="N3063" s="13" t="n">
        <v>8411061697290</v>
      </c>
      <c r="O3063" s="13"/>
      <c r="P3063" s="13" t="s">
        <v>5291</v>
      </c>
      <c r="Q3063" s="13" t="s">
        <v>5289</v>
      </c>
      <c r="R3063" s="13" t="s">
        <v>5292</v>
      </c>
      <c r="S3063" s="13" t="s">
        <v>5293</v>
      </c>
      <c r="T3063" s="13" t="s">
        <v>5</v>
      </c>
      <c r="U3063" s="13" t="s">
        <v>43</v>
      </c>
      <c r="V3063" s="13" t="n">
        <f aca="false">IF(COUNTIF($B$2:B3063,B3063)=1,1,0)</f>
        <v>0</v>
      </c>
      <c r="W3063" s="13" t="n">
        <f aca="false">IF(COUNTIFS($B$2:B3063,B3063,$T$2:T3063,T3063)=1,1,0)</f>
        <v>0</v>
      </c>
    </row>
    <row r="3064" customFormat="false" ht="15" hidden="false" customHeight="false" outlineLevel="0" collapsed="false">
      <c r="A3064" s="13" t="s">
        <v>1388</v>
      </c>
      <c r="B3064" s="13" t="s">
        <v>50</v>
      </c>
      <c r="C3064" s="13" t="n">
        <v>780</v>
      </c>
      <c r="D3064" s="13" t="n">
        <v>1</v>
      </c>
      <c r="E3064" s="13" t="n">
        <v>775.85</v>
      </c>
      <c r="F3064" s="13" t="s">
        <v>5288</v>
      </c>
      <c r="G3064" s="13" t="s">
        <v>5289</v>
      </c>
      <c r="H3064" s="13" t="s">
        <v>5292</v>
      </c>
      <c r="I3064" s="13" t="s">
        <v>5289</v>
      </c>
      <c r="J3064" s="13" t="s">
        <v>5289</v>
      </c>
      <c r="K3064" s="13" t="s">
        <v>5289</v>
      </c>
      <c r="L3064" s="13"/>
      <c r="M3064" s="13"/>
      <c r="N3064" s="13" t="n">
        <v>3349668636648</v>
      </c>
      <c r="O3064" s="13"/>
      <c r="P3064" s="13" t="s">
        <v>5291</v>
      </c>
      <c r="Q3064" s="13" t="s">
        <v>5289</v>
      </c>
      <c r="R3064" s="13" t="s">
        <v>5292</v>
      </c>
      <c r="S3064" s="13" t="s">
        <v>5293</v>
      </c>
      <c r="T3064" s="13" t="s">
        <v>5</v>
      </c>
      <c r="U3064" s="13" t="s">
        <v>43</v>
      </c>
      <c r="V3064" s="13" t="n">
        <f aca="false">IF(COUNTIF($B$2:B3064,B3064)=1,1,0)</f>
        <v>0</v>
      </c>
      <c r="W3064" s="13" t="n">
        <f aca="false">IF(COUNTIFS($B$2:B3064,B3064,$T$2:T3064,T3064)=1,1,0)</f>
        <v>0</v>
      </c>
    </row>
    <row r="3065" customFormat="false" ht="15" hidden="false" customHeight="false" outlineLevel="0" collapsed="false">
      <c r="A3065" s="13" t="s">
        <v>1403</v>
      </c>
      <c r="B3065" s="13" t="s">
        <v>61</v>
      </c>
      <c r="C3065" s="13" t="n">
        <v>770</v>
      </c>
      <c r="D3065" s="13" t="n">
        <v>2</v>
      </c>
      <c r="E3065" s="13" t="n">
        <v>257.09</v>
      </c>
      <c r="F3065" s="13" t="s">
        <v>5325</v>
      </c>
      <c r="G3065" s="13" t="s">
        <v>5289</v>
      </c>
      <c r="H3065" s="13" t="s">
        <v>5292</v>
      </c>
      <c r="I3065" s="13" t="s">
        <v>5289</v>
      </c>
      <c r="J3065" s="13" t="s">
        <v>5289</v>
      </c>
      <c r="K3065" s="13" t="s">
        <v>5289</v>
      </c>
      <c r="L3065" s="13" t="n">
        <v>3614274347968</v>
      </c>
      <c r="M3065" s="13"/>
      <c r="N3065" s="13" t="n">
        <v>3614274347968</v>
      </c>
      <c r="O3065" s="13"/>
      <c r="P3065" s="13" t="s">
        <v>5291</v>
      </c>
      <c r="Q3065" s="13" t="s">
        <v>5289</v>
      </c>
      <c r="R3065" s="13" t="s">
        <v>5292</v>
      </c>
      <c r="S3065" s="13" t="s">
        <v>5293</v>
      </c>
      <c r="T3065" s="13" t="s">
        <v>5</v>
      </c>
      <c r="U3065" s="13" t="s">
        <v>43</v>
      </c>
      <c r="V3065" s="13" t="n">
        <f aca="false">IF(COUNTIF($B$2:B3065,B3065)=1,1,0)</f>
        <v>0</v>
      </c>
      <c r="W3065" s="13" t="n">
        <f aca="false">IF(COUNTIFS($B$2:B3065,B3065,$T$2:T3065,T3065)=1,1,0)</f>
        <v>0</v>
      </c>
    </row>
    <row r="3066" customFormat="false" ht="15" hidden="false" customHeight="false" outlineLevel="0" collapsed="false">
      <c r="A3066" s="13" t="s">
        <v>1408</v>
      </c>
      <c r="B3066" s="13" t="s">
        <v>42</v>
      </c>
      <c r="C3066" s="13" t="n">
        <v>770</v>
      </c>
      <c r="D3066" s="13" t="n">
        <v>1</v>
      </c>
      <c r="E3066" s="13" t="n">
        <v>771</v>
      </c>
      <c r="F3066" s="13" t="s">
        <v>5325</v>
      </c>
      <c r="G3066" s="13" t="s">
        <v>5289</v>
      </c>
      <c r="H3066" s="13" t="s">
        <v>5292</v>
      </c>
      <c r="I3066" s="13" t="s">
        <v>5289</v>
      </c>
      <c r="J3066" s="13" t="s">
        <v>5289</v>
      </c>
      <c r="K3066" s="13" t="s">
        <v>5289</v>
      </c>
      <c r="L3066" s="13" t="n">
        <v>8411061056752</v>
      </c>
      <c r="M3066" s="13"/>
      <c r="N3066" s="13" t="n">
        <v>8411061056752</v>
      </c>
      <c r="O3066" s="13"/>
      <c r="P3066" s="13" t="s">
        <v>5291</v>
      </c>
      <c r="Q3066" s="13" t="s">
        <v>5289</v>
      </c>
      <c r="R3066" s="13" t="s">
        <v>5292</v>
      </c>
      <c r="S3066" s="13" t="s">
        <v>5293</v>
      </c>
      <c r="T3066" s="13" t="s">
        <v>5</v>
      </c>
      <c r="U3066" s="13" t="s">
        <v>43</v>
      </c>
      <c r="V3066" s="13" t="n">
        <f aca="false">IF(COUNTIF($B$2:B3066,B3066)=1,1,0)</f>
        <v>0</v>
      </c>
      <c r="W3066" s="13" t="n">
        <f aca="false">IF(COUNTIFS($B$2:B3066,B3066,$T$2:T3066,T3066)=1,1,0)</f>
        <v>0</v>
      </c>
    </row>
    <row r="3067" customFormat="false" ht="15" hidden="false" customHeight="false" outlineLevel="0" collapsed="false">
      <c r="A3067" s="13" t="s">
        <v>1409</v>
      </c>
      <c r="B3067" s="13" t="s">
        <v>315</v>
      </c>
      <c r="C3067" s="13" t="n">
        <v>770</v>
      </c>
      <c r="D3067" s="13" t="n">
        <v>1</v>
      </c>
      <c r="E3067" s="13" t="n">
        <v>770.85</v>
      </c>
      <c r="F3067" s="13" t="s">
        <v>5325</v>
      </c>
      <c r="G3067" s="13" t="s">
        <v>5292</v>
      </c>
      <c r="H3067" s="13" t="s">
        <v>5292</v>
      </c>
      <c r="I3067" s="13" t="s">
        <v>5289</v>
      </c>
      <c r="J3067" s="13" t="s">
        <v>5289</v>
      </c>
      <c r="K3067" s="13" t="s">
        <v>5292</v>
      </c>
      <c r="L3067" s="13"/>
      <c r="M3067" s="13"/>
      <c r="N3067" s="13" t="n">
        <v>3605972698780</v>
      </c>
      <c r="O3067" s="13"/>
      <c r="P3067" s="13" t="s">
        <v>5297</v>
      </c>
      <c r="Q3067" s="13" t="s">
        <v>5289</v>
      </c>
      <c r="R3067" s="13" t="s">
        <v>5292</v>
      </c>
      <c r="S3067" s="13" t="s">
        <v>5293</v>
      </c>
      <c r="T3067" s="13" t="s">
        <v>5</v>
      </c>
      <c r="U3067" s="13" t="s">
        <v>43</v>
      </c>
      <c r="V3067" s="13" t="n">
        <f aca="false">IF(COUNTIF($B$2:B3067,B3067)=1,1,0)</f>
        <v>0</v>
      </c>
      <c r="W3067" s="13" t="n">
        <f aca="false">IF(COUNTIFS($B$2:B3067,B3067,$T$2:T3067,T3067)=1,1,0)</f>
        <v>0</v>
      </c>
    </row>
    <row r="3068" customFormat="false" ht="15" hidden="false" customHeight="false" outlineLevel="0" collapsed="false">
      <c r="A3068" s="13" t="s">
        <v>1401</v>
      </c>
      <c r="B3068" s="13" t="s">
        <v>121</v>
      </c>
      <c r="C3068" s="13" t="n">
        <v>770</v>
      </c>
      <c r="D3068" s="13" t="n">
        <v>5</v>
      </c>
      <c r="E3068" s="13" t="n">
        <v>110</v>
      </c>
      <c r="F3068" s="13" t="s">
        <v>5325</v>
      </c>
      <c r="G3068" s="13" t="s">
        <v>5289</v>
      </c>
      <c r="H3068" s="13" t="s">
        <v>5289</v>
      </c>
      <c r="I3068" s="13" t="s">
        <v>5289</v>
      </c>
      <c r="J3068" s="13" t="s">
        <v>5289</v>
      </c>
      <c r="K3068" s="13" t="s">
        <v>5289</v>
      </c>
      <c r="L3068" s="13"/>
      <c r="M3068" s="13"/>
      <c r="N3068" s="13" t="n">
        <v>7896086909640</v>
      </c>
      <c r="O3068" s="13"/>
      <c r="P3068" s="13" t="s">
        <v>5291</v>
      </c>
      <c r="Q3068" s="13" t="s">
        <v>5289</v>
      </c>
      <c r="R3068" s="13" t="s">
        <v>5292</v>
      </c>
      <c r="S3068" s="13" t="s">
        <v>5293</v>
      </c>
      <c r="T3068" s="13" t="s">
        <v>5</v>
      </c>
      <c r="U3068" s="13" t="s">
        <v>43</v>
      </c>
      <c r="V3068" s="13" t="n">
        <f aca="false">IF(COUNTIF($B$2:B3068,B3068)=1,1,0)</f>
        <v>0</v>
      </c>
      <c r="W3068" s="13" t="n">
        <f aca="false">IF(COUNTIFS($B$2:B3068,B3068,$T$2:T3068,T3068)=1,1,0)</f>
        <v>0</v>
      </c>
    </row>
    <row r="3069" customFormat="false" ht="15" hidden="false" customHeight="false" outlineLevel="0" collapsed="false">
      <c r="A3069" s="13" t="s">
        <v>1402</v>
      </c>
      <c r="B3069" s="13" t="s">
        <v>329</v>
      </c>
      <c r="C3069" s="13" t="n">
        <v>770</v>
      </c>
      <c r="D3069" s="13" t="n">
        <v>1</v>
      </c>
      <c r="E3069" s="13" t="n">
        <v>769</v>
      </c>
      <c r="F3069" s="13" t="s">
        <v>5325</v>
      </c>
      <c r="G3069" s="13" t="s">
        <v>5289</v>
      </c>
      <c r="H3069" s="13" t="s">
        <v>5292</v>
      </c>
      <c r="I3069" s="13" t="s">
        <v>5289</v>
      </c>
      <c r="J3069" s="13" t="s">
        <v>5289</v>
      </c>
      <c r="K3069" s="13" t="s">
        <v>5289</v>
      </c>
      <c r="L3069" s="13"/>
      <c r="M3069" s="13"/>
      <c r="N3069" s="13" t="n">
        <v>3137370360926</v>
      </c>
      <c r="O3069" s="13"/>
      <c r="P3069" s="13" t="s">
        <v>5291</v>
      </c>
      <c r="Q3069" s="13" t="s">
        <v>5289</v>
      </c>
      <c r="R3069" s="13" t="s">
        <v>5292</v>
      </c>
      <c r="S3069" s="13" t="s">
        <v>5293</v>
      </c>
      <c r="T3069" s="13" t="s">
        <v>5</v>
      </c>
      <c r="U3069" s="13" t="s">
        <v>43</v>
      </c>
      <c r="V3069" s="13" t="n">
        <f aca="false">IF(COUNTIF($B$2:B3069,B3069)=1,1,0)</f>
        <v>0</v>
      </c>
      <c r="W3069" s="13" t="n">
        <f aca="false">IF(COUNTIFS($B$2:B3069,B3069,$T$2:T3069,T3069)=1,1,0)</f>
        <v>0</v>
      </c>
    </row>
    <row r="3070" customFormat="false" ht="15" hidden="false" customHeight="false" outlineLevel="0" collapsed="false">
      <c r="A3070" s="13" t="s">
        <v>172</v>
      </c>
      <c r="B3070" s="13" t="s">
        <v>50</v>
      </c>
      <c r="C3070" s="13" t="n">
        <v>770</v>
      </c>
      <c r="D3070" s="13" t="n">
        <v>1</v>
      </c>
      <c r="E3070" s="13" t="n">
        <v>768.85</v>
      </c>
      <c r="F3070" s="13" t="s">
        <v>5325</v>
      </c>
      <c r="G3070" s="13" t="s">
        <v>5289</v>
      </c>
      <c r="H3070" s="13" t="s">
        <v>5289</v>
      </c>
      <c r="I3070" s="13" t="s">
        <v>5289</v>
      </c>
      <c r="J3070" s="13" t="s">
        <v>5289</v>
      </c>
      <c r="K3070" s="13" t="s">
        <v>5292</v>
      </c>
      <c r="L3070" s="13" t="n">
        <v>3349668515660</v>
      </c>
      <c r="M3070" s="13"/>
      <c r="N3070" s="13" t="n">
        <v>3349668515660</v>
      </c>
      <c r="O3070" s="13"/>
      <c r="P3070" s="13" t="s">
        <v>5291</v>
      </c>
      <c r="Q3070" s="13" t="s">
        <v>5289</v>
      </c>
      <c r="R3070" s="13" t="s">
        <v>5292</v>
      </c>
      <c r="S3070" s="13" t="s">
        <v>5293</v>
      </c>
      <c r="T3070" s="13" t="s">
        <v>5</v>
      </c>
      <c r="U3070" s="13" t="s">
        <v>43</v>
      </c>
      <c r="V3070" s="13" t="n">
        <f aca="false">IF(COUNTIF($B$2:B3070,B3070)=1,1,0)</f>
        <v>0</v>
      </c>
      <c r="W3070" s="13" t="n">
        <f aca="false">IF(COUNTIFS($B$2:B3070,B3070,$T$2:T3070,T3070)=1,1,0)</f>
        <v>0</v>
      </c>
    </row>
    <row r="3071" customFormat="false" ht="15" hidden="false" customHeight="false" outlineLevel="0" collapsed="false">
      <c r="A3071" s="13" t="s">
        <v>1407</v>
      </c>
      <c r="B3071" s="13" t="s">
        <v>54</v>
      </c>
      <c r="C3071" s="13" t="n">
        <v>770</v>
      </c>
      <c r="D3071" s="13" t="n">
        <v>1</v>
      </c>
      <c r="E3071" s="13" t="n">
        <v>766.85</v>
      </c>
      <c r="F3071" s="13" t="s">
        <v>5325</v>
      </c>
      <c r="G3071" s="13" t="s">
        <v>5289</v>
      </c>
      <c r="H3071" s="13" t="s">
        <v>5289</v>
      </c>
      <c r="I3071" s="13" t="s">
        <v>5289</v>
      </c>
      <c r="J3071" s="13" t="s">
        <v>5289</v>
      </c>
      <c r="K3071" s="13" t="s">
        <v>5292</v>
      </c>
      <c r="L3071" s="13" t="n">
        <v>729238191129</v>
      </c>
      <c r="M3071" s="13"/>
      <c r="N3071" s="13" t="n">
        <v>729238191129</v>
      </c>
      <c r="O3071" s="13"/>
      <c r="P3071" s="13" t="s">
        <v>5291</v>
      </c>
      <c r="Q3071" s="13" t="s">
        <v>5289</v>
      </c>
      <c r="R3071" s="13" t="s">
        <v>5292</v>
      </c>
      <c r="S3071" s="13" t="s">
        <v>5293</v>
      </c>
      <c r="T3071" s="13" t="s">
        <v>5</v>
      </c>
      <c r="U3071" s="13" t="s">
        <v>43</v>
      </c>
      <c r="V3071" s="13" t="n">
        <f aca="false">IF(COUNTIF($B$2:B3071,B3071)=1,1,0)</f>
        <v>0</v>
      </c>
      <c r="W3071" s="13" t="n">
        <f aca="false">IF(COUNTIFS($B$2:B3071,B3071,$T$2:T3071,T3071)=1,1,0)</f>
        <v>0</v>
      </c>
    </row>
    <row r="3072" customFormat="false" ht="15" hidden="false" customHeight="false" outlineLevel="0" collapsed="false">
      <c r="A3072" s="13" t="s">
        <v>1410</v>
      </c>
      <c r="B3072" s="13" t="s">
        <v>153</v>
      </c>
      <c r="C3072" s="13" t="n">
        <v>760</v>
      </c>
      <c r="D3072" s="13" t="n">
        <v>1</v>
      </c>
      <c r="E3072" s="13" t="n">
        <v>764.02</v>
      </c>
      <c r="F3072" s="13" t="s">
        <v>5325</v>
      </c>
      <c r="G3072" s="13" t="s">
        <v>5289</v>
      </c>
      <c r="H3072" s="13" t="s">
        <v>5289</v>
      </c>
      <c r="I3072" s="13" t="s">
        <v>5289</v>
      </c>
      <c r="J3072" s="13" t="s">
        <v>5289</v>
      </c>
      <c r="K3072" s="13" t="s">
        <v>5289</v>
      </c>
      <c r="L3072" s="13" t="n">
        <v>8018365070462</v>
      </c>
      <c r="M3072" s="13"/>
      <c r="N3072" s="13" t="n">
        <v>8018365070462</v>
      </c>
      <c r="O3072" s="13"/>
      <c r="P3072" s="13" t="s">
        <v>5291</v>
      </c>
      <c r="Q3072" s="13" t="s">
        <v>5289</v>
      </c>
      <c r="R3072" s="13" t="s">
        <v>5292</v>
      </c>
      <c r="S3072" s="13" t="s">
        <v>5293</v>
      </c>
      <c r="T3072" s="13" t="s">
        <v>5</v>
      </c>
      <c r="U3072" s="13" t="s">
        <v>43</v>
      </c>
      <c r="V3072" s="13" t="n">
        <f aca="false">IF(COUNTIF($B$2:B3072,B3072)=1,1,0)</f>
        <v>0</v>
      </c>
      <c r="W3072" s="13" t="n">
        <f aca="false">IF(COUNTIFS($B$2:B3072,B3072,$T$2:T3072,T3072)=1,1,0)</f>
        <v>0</v>
      </c>
    </row>
    <row r="3073" customFormat="false" ht="15" hidden="false" customHeight="false" outlineLevel="0" collapsed="false">
      <c r="A3073" s="13" t="s">
        <v>1412</v>
      </c>
      <c r="B3073" s="13" t="s">
        <v>92</v>
      </c>
      <c r="C3073" s="13" t="n">
        <v>760</v>
      </c>
      <c r="D3073" s="13" t="n">
        <v>2</v>
      </c>
      <c r="E3073" s="13" t="n">
        <v>253.023333333333</v>
      </c>
      <c r="F3073" s="13" t="s">
        <v>5325</v>
      </c>
      <c r="G3073" s="13" t="s">
        <v>5289</v>
      </c>
      <c r="H3073" s="13" t="s">
        <v>5289</v>
      </c>
      <c r="I3073" s="13" t="s">
        <v>5289</v>
      </c>
      <c r="J3073" s="13" t="s">
        <v>5289</v>
      </c>
      <c r="K3073" s="13" t="s">
        <v>5289</v>
      </c>
      <c r="L3073" s="13" t="n">
        <v>3616303475468</v>
      </c>
      <c r="M3073" s="13"/>
      <c r="N3073" s="13" t="n">
        <v>3616303475468</v>
      </c>
      <c r="O3073" s="13"/>
      <c r="P3073" s="13" t="s">
        <v>5291</v>
      </c>
      <c r="Q3073" s="13" t="s">
        <v>5289</v>
      </c>
      <c r="R3073" s="13" t="s">
        <v>5292</v>
      </c>
      <c r="S3073" s="13" t="s">
        <v>5293</v>
      </c>
      <c r="T3073" s="13" t="s">
        <v>5</v>
      </c>
      <c r="U3073" s="13" t="s">
        <v>43</v>
      </c>
      <c r="V3073" s="13" t="n">
        <f aca="false">IF(COUNTIF($B$2:B3073,B3073)=1,1,0)</f>
        <v>0</v>
      </c>
      <c r="W3073" s="13" t="n">
        <f aca="false">IF(COUNTIFS($B$2:B3073,B3073,$T$2:T3073,T3073)=1,1,0)</f>
        <v>0</v>
      </c>
    </row>
    <row r="3074" customFormat="false" ht="15" hidden="false" customHeight="false" outlineLevel="0" collapsed="false">
      <c r="A3074" s="13" t="s">
        <v>1413</v>
      </c>
      <c r="B3074" s="13" t="s">
        <v>153</v>
      </c>
      <c r="C3074" s="13" t="n">
        <v>760</v>
      </c>
      <c r="D3074" s="13" t="n">
        <v>2</v>
      </c>
      <c r="E3074" s="13" t="n">
        <v>379.095</v>
      </c>
      <c r="F3074" s="13" t="s">
        <v>5325</v>
      </c>
      <c r="G3074" s="13" t="s">
        <v>5289</v>
      </c>
      <c r="H3074" s="13" t="s">
        <v>5289</v>
      </c>
      <c r="I3074" s="13" t="s">
        <v>5289</v>
      </c>
      <c r="J3074" s="13" t="s">
        <v>5289</v>
      </c>
      <c r="K3074" s="13" t="s">
        <v>5289</v>
      </c>
      <c r="L3074" s="13" t="n">
        <v>8018365500020</v>
      </c>
      <c r="M3074" s="13"/>
      <c r="N3074" s="13" t="n">
        <v>8018365500020</v>
      </c>
      <c r="O3074" s="13"/>
      <c r="P3074" s="13" t="s">
        <v>5291</v>
      </c>
      <c r="Q3074" s="13" t="s">
        <v>5289</v>
      </c>
      <c r="R3074" s="13" t="s">
        <v>5292</v>
      </c>
      <c r="S3074" s="13" t="s">
        <v>5293</v>
      </c>
      <c r="T3074" s="13" t="s">
        <v>5</v>
      </c>
      <c r="U3074" s="13" t="s">
        <v>43</v>
      </c>
      <c r="V3074" s="13" t="n">
        <f aca="false">IF(COUNTIF($B$2:B3074,B3074)=1,1,0)</f>
        <v>0</v>
      </c>
      <c r="W3074" s="13" t="n">
        <f aca="false">IF(COUNTIFS($B$2:B3074,B3074,$T$2:T3074,T3074)=1,1,0)</f>
        <v>0</v>
      </c>
    </row>
    <row r="3075" customFormat="false" ht="15" hidden="false" customHeight="false" outlineLevel="0" collapsed="false">
      <c r="A3075" s="13" t="s">
        <v>1411</v>
      </c>
      <c r="B3075" s="13" t="s">
        <v>79</v>
      </c>
      <c r="C3075" s="13" t="n">
        <v>760</v>
      </c>
      <c r="D3075" s="13" t="n">
        <v>2</v>
      </c>
      <c r="E3075" s="13" t="n">
        <v>378.905</v>
      </c>
      <c r="F3075" s="13" t="s">
        <v>5325</v>
      </c>
      <c r="G3075" s="13" t="s">
        <v>5289</v>
      </c>
      <c r="H3075" s="13" t="s">
        <v>5289</v>
      </c>
      <c r="I3075" s="13" t="s">
        <v>5289</v>
      </c>
      <c r="J3075" s="13" t="s">
        <v>5289</v>
      </c>
      <c r="K3075" s="13" t="s">
        <v>5289</v>
      </c>
      <c r="L3075" s="13" t="n">
        <v>8057971188345</v>
      </c>
      <c r="M3075" s="13"/>
      <c r="N3075" s="13" t="n">
        <v>8057971188345</v>
      </c>
      <c r="O3075" s="13"/>
      <c r="P3075" s="13" t="s">
        <v>5291</v>
      </c>
      <c r="Q3075" s="13" t="s">
        <v>5289</v>
      </c>
      <c r="R3075" s="13" t="s">
        <v>5292</v>
      </c>
      <c r="S3075" s="13" t="s">
        <v>5293</v>
      </c>
      <c r="T3075" s="13" t="s">
        <v>5</v>
      </c>
      <c r="U3075" s="13" t="s">
        <v>43</v>
      </c>
      <c r="V3075" s="13" t="n">
        <f aca="false">IF(COUNTIF($B$2:B3075,B3075)=1,1,0)</f>
        <v>0</v>
      </c>
      <c r="W3075" s="13" t="n">
        <f aca="false">IF(COUNTIFS($B$2:B3075,B3075,$T$2:T3075,T3075)=1,1,0)</f>
        <v>0</v>
      </c>
    </row>
    <row r="3076" customFormat="false" ht="15" hidden="false" customHeight="false" outlineLevel="0" collapsed="false">
      <c r="A3076" s="13" t="s">
        <v>166</v>
      </c>
      <c r="B3076" s="13" t="s">
        <v>165</v>
      </c>
      <c r="C3076" s="13" t="n">
        <v>760</v>
      </c>
      <c r="D3076" s="13" t="n">
        <v>1</v>
      </c>
      <c r="E3076" s="13" t="n">
        <v>756.76</v>
      </c>
      <c r="F3076" s="13" t="s">
        <v>5325</v>
      </c>
      <c r="G3076" s="13" t="s">
        <v>5289</v>
      </c>
      <c r="H3076" s="13" t="s">
        <v>5289</v>
      </c>
      <c r="I3076" s="13" t="s">
        <v>5289</v>
      </c>
      <c r="J3076" s="13" t="s">
        <v>5289</v>
      </c>
      <c r="K3076" s="13" t="s">
        <v>5289</v>
      </c>
      <c r="L3076" s="13" t="n">
        <v>3351500011469</v>
      </c>
      <c r="M3076" s="13"/>
      <c r="N3076" s="13" t="n">
        <v>3351500011469</v>
      </c>
      <c r="O3076" s="13"/>
      <c r="P3076" s="13" t="s">
        <v>5291</v>
      </c>
      <c r="Q3076" s="13" t="s">
        <v>5289</v>
      </c>
      <c r="R3076" s="13" t="s">
        <v>5292</v>
      </c>
      <c r="S3076" s="13" t="s">
        <v>5293</v>
      </c>
      <c r="T3076" s="13" t="s">
        <v>5</v>
      </c>
      <c r="U3076" s="13" t="s">
        <v>43</v>
      </c>
      <c r="V3076" s="13" t="n">
        <f aca="false">IF(COUNTIF($B$2:B3076,B3076)=1,1,0)</f>
        <v>0</v>
      </c>
      <c r="W3076" s="13" t="n">
        <f aca="false">IF(COUNTIFS($B$2:B3076,B3076,$T$2:T3076,T3076)=1,1,0)</f>
        <v>0</v>
      </c>
    </row>
    <row r="3077" customFormat="false" ht="15" hidden="false" customHeight="false" outlineLevel="0" collapsed="false">
      <c r="A3077" s="13" t="s">
        <v>1090</v>
      </c>
      <c r="B3077" s="13" t="s">
        <v>45</v>
      </c>
      <c r="C3077" s="13" t="n">
        <v>760</v>
      </c>
      <c r="D3077" s="13" t="n">
        <v>2</v>
      </c>
      <c r="E3077" s="13" t="n">
        <v>378</v>
      </c>
      <c r="F3077" s="13" t="s">
        <v>5325</v>
      </c>
      <c r="G3077" s="13" t="s">
        <v>5289</v>
      </c>
      <c r="H3077" s="13" t="s">
        <v>5292</v>
      </c>
      <c r="I3077" s="13" t="s">
        <v>5289</v>
      </c>
      <c r="J3077" s="13" t="s">
        <v>5289</v>
      </c>
      <c r="K3077" s="13" t="s">
        <v>5289</v>
      </c>
      <c r="L3077" s="13" t="n">
        <v>8435415059084</v>
      </c>
      <c r="M3077" s="13"/>
      <c r="N3077" s="13" t="n">
        <v>8.43541505908484E+025</v>
      </c>
      <c r="O3077" s="13"/>
      <c r="P3077" s="13" t="s">
        <v>5291</v>
      </c>
      <c r="Q3077" s="13" t="s">
        <v>5289</v>
      </c>
      <c r="R3077" s="13" t="s">
        <v>5292</v>
      </c>
      <c r="S3077" s="13" t="s">
        <v>5293</v>
      </c>
      <c r="T3077" s="13" t="s">
        <v>5</v>
      </c>
      <c r="U3077" s="13" t="s">
        <v>43</v>
      </c>
      <c r="V3077" s="13" t="n">
        <f aca="false">IF(COUNTIF($B$2:B3077,B3077)=1,1,0)</f>
        <v>0</v>
      </c>
      <c r="W3077" s="13" t="n">
        <f aca="false">IF(COUNTIFS($B$2:B3077,B3077,$T$2:T3077,T3077)=1,1,0)</f>
        <v>0</v>
      </c>
    </row>
    <row r="3078" customFormat="false" ht="15" hidden="false" customHeight="false" outlineLevel="0" collapsed="false">
      <c r="A3078" s="13" t="s">
        <v>1414</v>
      </c>
      <c r="B3078" s="13" t="s">
        <v>50</v>
      </c>
      <c r="C3078" s="13" t="n">
        <v>760</v>
      </c>
      <c r="D3078" s="13" t="n">
        <v>1</v>
      </c>
      <c r="E3078" s="13" t="n">
        <v>755.89</v>
      </c>
      <c r="F3078" s="13" t="s">
        <v>5325</v>
      </c>
      <c r="G3078" s="13" t="s">
        <v>5289</v>
      </c>
      <c r="H3078" s="13" t="s">
        <v>5292</v>
      </c>
      <c r="I3078" s="13" t="s">
        <v>5289</v>
      </c>
      <c r="J3078" s="13" t="s">
        <v>5289</v>
      </c>
      <c r="K3078" s="13" t="s">
        <v>5289</v>
      </c>
      <c r="L3078" s="13" t="n">
        <v>3349668579839</v>
      </c>
      <c r="M3078" s="13"/>
      <c r="N3078" s="13" t="n">
        <v>3349668579839</v>
      </c>
      <c r="O3078" s="13"/>
      <c r="P3078" s="13" t="s">
        <v>5291</v>
      </c>
      <c r="Q3078" s="13" t="s">
        <v>5289</v>
      </c>
      <c r="R3078" s="13" t="s">
        <v>5292</v>
      </c>
      <c r="S3078" s="13" t="s">
        <v>5293</v>
      </c>
      <c r="T3078" s="13" t="s">
        <v>5</v>
      </c>
      <c r="U3078" s="13" t="s">
        <v>43</v>
      </c>
      <c r="V3078" s="13" t="n">
        <f aca="false">IF(COUNTIF($B$2:B3078,B3078)=1,1,0)</f>
        <v>0</v>
      </c>
      <c r="W3078" s="13" t="n">
        <f aca="false">IF(COUNTIFS($B$2:B3078,B3078,$T$2:T3078,T3078)=1,1,0)</f>
        <v>0</v>
      </c>
    </row>
    <row r="3079" customFormat="false" ht="15" hidden="false" customHeight="false" outlineLevel="0" collapsed="false">
      <c r="A3079" s="13" t="s">
        <v>1419</v>
      </c>
      <c r="B3079" s="13" t="s">
        <v>92</v>
      </c>
      <c r="C3079" s="13" t="n">
        <v>760</v>
      </c>
      <c r="D3079" s="13" t="n">
        <v>1</v>
      </c>
      <c r="E3079" s="13" t="n">
        <v>755.7</v>
      </c>
      <c r="F3079" s="13" t="s">
        <v>5325</v>
      </c>
      <c r="G3079" s="13" t="s">
        <v>5289</v>
      </c>
      <c r="H3079" s="13" t="s">
        <v>5292</v>
      </c>
      <c r="I3079" s="13" t="s">
        <v>5289</v>
      </c>
      <c r="J3079" s="13" t="s">
        <v>5289</v>
      </c>
      <c r="K3079" s="13" t="s">
        <v>5289</v>
      </c>
      <c r="L3079" s="13" t="n">
        <v>3614223113347</v>
      </c>
      <c r="M3079" s="13"/>
      <c r="N3079" s="13" t="n">
        <v>3614223113347</v>
      </c>
      <c r="O3079" s="13"/>
      <c r="P3079" s="13" t="s">
        <v>5291</v>
      </c>
      <c r="Q3079" s="13" t="s">
        <v>5289</v>
      </c>
      <c r="R3079" s="13" t="s">
        <v>5292</v>
      </c>
      <c r="S3079" s="13" t="s">
        <v>5293</v>
      </c>
      <c r="T3079" s="13" t="s">
        <v>5</v>
      </c>
      <c r="U3079" s="13" t="s">
        <v>43</v>
      </c>
      <c r="V3079" s="13" t="n">
        <f aca="false">IF(COUNTIF($B$2:B3079,B3079)=1,1,0)</f>
        <v>0</v>
      </c>
      <c r="W3079" s="13" t="n">
        <f aca="false">IF(COUNTIFS($B$2:B3079,B3079,$T$2:T3079,T3079)=1,1,0)</f>
        <v>0</v>
      </c>
    </row>
    <row r="3080" customFormat="false" ht="15" hidden="false" customHeight="false" outlineLevel="0" collapsed="false">
      <c r="A3080" s="13" t="s">
        <v>4258</v>
      </c>
      <c r="B3080" s="13" t="s">
        <v>2130</v>
      </c>
      <c r="C3080" s="13" t="n">
        <v>760</v>
      </c>
      <c r="D3080" s="13" t="n">
        <v>1</v>
      </c>
      <c r="E3080" s="13" t="n">
        <v>755.7</v>
      </c>
      <c r="F3080" s="13" t="s">
        <v>5325</v>
      </c>
      <c r="G3080" s="13" t="s">
        <v>5289</v>
      </c>
      <c r="H3080" s="13" t="s">
        <v>5289</v>
      </c>
      <c r="I3080" s="13" t="s">
        <v>5289</v>
      </c>
      <c r="J3080" s="13" t="s">
        <v>5289</v>
      </c>
      <c r="K3080" s="13" t="s">
        <v>5289</v>
      </c>
      <c r="L3080" s="13" t="n">
        <v>3439600056181</v>
      </c>
      <c r="M3080" s="13"/>
      <c r="N3080" s="13" t="n">
        <v>3439600056181</v>
      </c>
      <c r="O3080" s="13"/>
      <c r="P3080" s="13" t="s">
        <v>5291</v>
      </c>
      <c r="Q3080" s="13" t="s">
        <v>5289</v>
      </c>
      <c r="R3080" s="13" t="s">
        <v>5292</v>
      </c>
      <c r="S3080" s="13" t="s">
        <v>5293</v>
      </c>
      <c r="T3080" s="13" t="s">
        <v>5</v>
      </c>
      <c r="U3080" s="13" t="s">
        <v>43</v>
      </c>
      <c r="V3080" s="13" t="n">
        <f aca="false">IF(COUNTIF($B$2:B3080,B3080)=1,1,0)</f>
        <v>0</v>
      </c>
      <c r="W3080" s="13" t="n">
        <f aca="false">IF(COUNTIFS($B$2:B3080,B3080,$T$2:T3080,T3080)=1,1,0)</f>
        <v>0</v>
      </c>
    </row>
    <row r="3081" customFormat="false" ht="15" hidden="false" customHeight="false" outlineLevel="0" collapsed="false">
      <c r="A3081" s="13" t="s">
        <v>1418</v>
      </c>
      <c r="B3081" s="13" t="s">
        <v>54</v>
      </c>
      <c r="C3081" s="13" t="n">
        <v>760</v>
      </c>
      <c r="D3081" s="13" t="n">
        <v>5</v>
      </c>
      <c r="E3081" s="13" t="n">
        <v>125.85</v>
      </c>
      <c r="F3081" s="13" t="s">
        <v>5325</v>
      </c>
      <c r="G3081" s="13" t="s">
        <v>5289</v>
      </c>
      <c r="H3081" s="13" t="s">
        <v>5292</v>
      </c>
      <c r="I3081" s="13" t="s">
        <v>5289</v>
      </c>
      <c r="J3081" s="13" t="s">
        <v>5289</v>
      </c>
      <c r="K3081" s="13" t="s">
        <v>5292</v>
      </c>
      <c r="L3081" s="13" t="n">
        <v>730852144569</v>
      </c>
      <c r="M3081" s="13"/>
      <c r="N3081" s="13" t="n">
        <v>730852144569</v>
      </c>
      <c r="O3081" s="13"/>
      <c r="P3081" s="13" t="s">
        <v>5291</v>
      </c>
      <c r="Q3081" s="13" t="s">
        <v>5289</v>
      </c>
      <c r="R3081" s="13" t="s">
        <v>5292</v>
      </c>
      <c r="S3081" s="13" t="s">
        <v>5293</v>
      </c>
      <c r="T3081" s="13" t="s">
        <v>5</v>
      </c>
      <c r="U3081" s="13" t="s">
        <v>43</v>
      </c>
      <c r="V3081" s="13" t="n">
        <f aca="false">IF(COUNTIF($B$2:B3081,B3081)=1,1,0)</f>
        <v>0</v>
      </c>
      <c r="W3081" s="13" t="n">
        <f aca="false">IF(COUNTIFS($B$2:B3081,B3081,$T$2:T3081,T3081)=1,1,0)</f>
        <v>0</v>
      </c>
    </row>
    <row r="3082" customFormat="false" ht="15" hidden="false" customHeight="false" outlineLevel="0" collapsed="false">
      <c r="A3082" s="13" t="s">
        <v>1201</v>
      </c>
      <c r="B3082" s="13" t="s">
        <v>69</v>
      </c>
      <c r="C3082" s="13" t="n">
        <v>760</v>
      </c>
      <c r="D3082" s="13" t="n">
        <v>1</v>
      </c>
      <c r="E3082" s="13" t="n">
        <v>755</v>
      </c>
      <c r="F3082" s="13" t="s">
        <v>5325</v>
      </c>
      <c r="G3082" s="13" t="s">
        <v>5289</v>
      </c>
      <c r="H3082" s="13" t="s">
        <v>5292</v>
      </c>
      <c r="I3082" s="13" t="s">
        <v>5289</v>
      </c>
      <c r="J3082" s="13" t="s">
        <v>5289</v>
      </c>
      <c r="K3082" s="13" t="s">
        <v>5289</v>
      </c>
      <c r="L3082" s="13" t="n">
        <v>3614273069540</v>
      </c>
      <c r="M3082" s="13"/>
      <c r="N3082" s="13" t="n">
        <v>3614273069540</v>
      </c>
      <c r="O3082" s="13"/>
      <c r="P3082" s="13" t="s">
        <v>5291</v>
      </c>
      <c r="Q3082" s="13" t="s">
        <v>5289</v>
      </c>
      <c r="R3082" s="13" t="s">
        <v>5292</v>
      </c>
      <c r="S3082" s="13" t="s">
        <v>5293</v>
      </c>
      <c r="T3082" s="13" t="s">
        <v>5</v>
      </c>
      <c r="U3082" s="13" t="s">
        <v>43</v>
      </c>
      <c r="V3082" s="13" t="n">
        <f aca="false">IF(COUNTIF($B$2:B3082,B3082)=1,1,0)</f>
        <v>0</v>
      </c>
      <c r="W3082" s="13" t="n">
        <f aca="false">IF(COUNTIFS($B$2:B3082,B3082,$T$2:T3082,T3082)=1,1,0)</f>
        <v>0</v>
      </c>
    </row>
    <row r="3083" customFormat="false" ht="15" hidden="false" customHeight="false" outlineLevel="0" collapsed="false">
      <c r="A3083" s="13" t="s">
        <v>460</v>
      </c>
      <c r="B3083" s="13" t="s">
        <v>42</v>
      </c>
      <c r="C3083" s="13" t="n">
        <v>750</v>
      </c>
      <c r="D3083" s="13" t="n">
        <v>1</v>
      </c>
      <c r="E3083" s="13" t="n">
        <v>753.39</v>
      </c>
      <c r="F3083" s="13" t="s">
        <v>5325</v>
      </c>
      <c r="G3083" s="13" t="s">
        <v>5289</v>
      </c>
      <c r="H3083" s="13" t="s">
        <v>5289</v>
      </c>
      <c r="I3083" s="13" t="s">
        <v>5289</v>
      </c>
      <c r="J3083" s="13" t="s">
        <v>5289</v>
      </c>
      <c r="K3083" s="13" t="s">
        <v>5289</v>
      </c>
      <c r="L3083" s="13" t="n">
        <v>8411061057056</v>
      </c>
      <c r="M3083" s="13"/>
      <c r="N3083" s="13" t="n">
        <v>8411061057056</v>
      </c>
      <c r="O3083" s="13"/>
      <c r="P3083" s="13" t="s">
        <v>5291</v>
      </c>
      <c r="Q3083" s="13" t="s">
        <v>5289</v>
      </c>
      <c r="R3083" s="13" t="s">
        <v>5292</v>
      </c>
      <c r="S3083" s="13" t="s">
        <v>5293</v>
      </c>
      <c r="T3083" s="13" t="s">
        <v>5</v>
      </c>
      <c r="U3083" s="13" t="s">
        <v>43</v>
      </c>
      <c r="V3083" s="13" t="n">
        <f aca="false">IF(COUNTIF($B$2:B3083,B3083)=1,1,0)</f>
        <v>0</v>
      </c>
      <c r="W3083" s="13" t="n">
        <f aca="false">IF(COUNTIFS($B$2:B3083,B3083,$T$2:T3083,T3083)=1,1,0)</f>
        <v>0</v>
      </c>
    </row>
    <row r="3084" customFormat="false" ht="15" hidden="false" customHeight="false" outlineLevel="0" collapsed="false">
      <c r="A3084" s="13" t="s">
        <v>519</v>
      </c>
      <c r="B3084" s="13" t="s">
        <v>124</v>
      </c>
      <c r="C3084" s="13" t="n">
        <v>750</v>
      </c>
      <c r="D3084" s="13" t="n">
        <v>1</v>
      </c>
      <c r="E3084" s="13" t="n">
        <v>750.85</v>
      </c>
      <c r="F3084" s="13" t="s">
        <v>5325</v>
      </c>
      <c r="G3084" s="13" t="s">
        <v>5289</v>
      </c>
      <c r="H3084" s="13" t="s">
        <v>5292</v>
      </c>
      <c r="I3084" s="13" t="s">
        <v>5289</v>
      </c>
      <c r="J3084" s="13" t="s">
        <v>5289</v>
      </c>
      <c r="K3084" s="13" t="s">
        <v>5292</v>
      </c>
      <c r="L3084" s="13"/>
      <c r="M3084" s="13"/>
      <c r="N3084" s="13" t="n">
        <v>3614273636445</v>
      </c>
      <c r="O3084" s="13"/>
      <c r="P3084" s="13" t="s">
        <v>5291</v>
      </c>
      <c r="Q3084" s="13" t="s">
        <v>5289</v>
      </c>
      <c r="R3084" s="13" t="s">
        <v>5292</v>
      </c>
      <c r="S3084" s="13" t="s">
        <v>5293</v>
      </c>
      <c r="T3084" s="13" t="s">
        <v>5</v>
      </c>
      <c r="U3084" s="13" t="s">
        <v>43</v>
      </c>
      <c r="V3084" s="13" t="n">
        <f aca="false">IF(COUNTIF($B$2:B3084,B3084)=1,1,0)</f>
        <v>0</v>
      </c>
      <c r="W3084" s="13" t="n">
        <f aca="false">IF(COUNTIFS($B$2:B3084,B3084,$T$2:T3084,T3084)=1,1,0)</f>
        <v>0</v>
      </c>
    </row>
    <row r="3085" customFormat="false" ht="15" hidden="false" customHeight="false" outlineLevel="0" collapsed="false">
      <c r="A3085" s="13" t="s">
        <v>1425</v>
      </c>
      <c r="B3085" s="13" t="s">
        <v>61</v>
      </c>
      <c r="C3085" s="13" t="n">
        <v>750</v>
      </c>
      <c r="D3085" s="13" t="n">
        <v>1</v>
      </c>
      <c r="E3085" s="13" t="n">
        <v>750.76</v>
      </c>
      <c r="F3085" s="13" t="s">
        <v>5288</v>
      </c>
      <c r="G3085" s="13" t="s">
        <v>5289</v>
      </c>
      <c r="H3085" s="13" t="s">
        <v>5292</v>
      </c>
      <c r="I3085" s="13" t="s">
        <v>5289</v>
      </c>
      <c r="J3085" s="13" t="s">
        <v>5289</v>
      </c>
      <c r="K3085" s="13" t="s">
        <v>5289</v>
      </c>
      <c r="L3085" s="13" t="n">
        <v>3614274142358</v>
      </c>
      <c r="M3085" s="13"/>
      <c r="N3085" s="13" t="n">
        <v>3614274142358</v>
      </c>
      <c r="O3085" s="13"/>
      <c r="P3085" s="13" t="s">
        <v>5291</v>
      </c>
      <c r="Q3085" s="13" t="s">
        <v>5289</v>
      </c>
      <c r="R3085" s="13" t="s">
        <v>5292</v>
      </c>
      <c r="S3085" s="13" t="s">
        <v>5293</v>
      </c>
      <c r="T3085" s="13" t="s">
        <v>5</v>
      </c>
      <c r="U3085" s="13" t="s">
        <v>43</v>
      </c>
      <c r="V3085" s="13" t="n">
        <f aca="false">IF(COUNTIF($B$2:B3085,B3085)=1,1,0)</f>
        <v>0</v>
      </c>
      <c r="W3085" s="13" t="n">
        <f aca="false">IF(COUNTIFS($B$2:B3085,B3085,$T$2:T3085,T3085)=1,1,0)</f>
        <v>0</v>
      </c>
    </row>
    <row r="3086" customFormat="false" ht="15" hidden="false" customHeight="false" outlineLevel="0" collapsed="false">
      <c r="A3086" s="13" t="s">
        <v>1428</v>
      </c>
      <c r="B3086" s="13" t="s">
        <v>121</v>
      </c>
      <c r="C3086" s="13" t="n">
        <v>750</v>
      </c>
      <c r="D3086" s="13" t="n">
        <v>5</v>
      </c>
      <c r="E3086" s="13" t="n">
        <v>83.36</v>
      </c>
      <c r="F3086" s="13" t="s">
        <v>5325</v>
      </c>
      <c r="G3086" s="13" t="s">
        <v>5289</v>
      </c>
      <c r="H3086" s="13" t="s">
        <v>5289</v>
      </c>
      <c r="I3086" s="13" t="s">
        <v>5289</v>
      </c>
      <c r="J3086" s="13" t="s">
        <v>5289</v>
      </c>
      <c r="K3086" s="13" t="s">
        <v>5289</v>
      </c>
      <c r="L3086" s="13" t="n">
        <v>7896086994943</v>
      </c>
      <c r="M3086" s="13"/>
      <c r="N3086" s="13" t="n">
        <v>7896086994943</v>
      </c>
      <c r="O3086" s="13"/>
      <c r="P3086" s="13" t="s">
        <v>5291</v>
      </c>
      <c r="Q3086" s="13" t="s">
        <v>5289</v>
      </c>
      <c r="R3086" s="13" t="s">
        <v>5292</v>
      </c>
      <c r="S3086" s="13" t="s">
        <v>5293</v>
      </c>
      <c r="T3086" s="13" t="s">
        <v>5</v>
      </c>
      <c r="U3086" s="13" t="s">
        <v>183</v>
      </c>
      <c r="V3086" s="13" t="n">
        <f aca="false">IF(COUNTIF($B$2:B3086,B3086)=1,1,0)</f>
        <v>0</v>
      </c>
      <c r="W3086" s="13" t="n">
        <f aca="false">IF(COUNTIFS($B$2:B3086,B3086,$T$2:T3086,T3086)=1,1,0)</f>
        <v>0</v>
      </c>
    </row>
    <row r="3087" customFormat="false" ht="15" hidden="false" customHeight="false" outlineLevel="0" collapsed="false">
      <c r="A3087" s="13" t="s">
        <v>64</v>
      </c>
      <c r="B3087" s="13" t="s">
        <v>50</v>
      </c>
      <c r="C3087" s="13" t="n">
        <v>750</v>
      </c>
      <c r="D3087" s="13" t="n">
        <v>1</v>
      </c>
      <c r="E3087" s="13" t="n">
        <v>750</v>
      </c>
      <c r="F3087" s="13" t="s">
        <v>5288</v>
      </c>
      <c r="G3087" s="13" t="s">
        <v>5289</v>
      </c>
      <c r="H3087" s="13" t="s">
        <v>5289</v>
      </c>
      <c r="I3087" s="13" t="s">
        <v>5289</v>
      </c>
      <c r="J3087" s="13" t="s">
        <v>5289</v>
      </c>
      <c r="K3087" s="13" t="s">
        <v>5289</v>
      </c>
      <c r="L3087" s="13"/>
      <c r="M3087" s="13"/>
      <c r="N3087" s="13" t="n">
        <v>3349668614530</v>
      </c>
      <c r="O3087" s="13"/>
      <c r="P3087" s="13" t="s">
        <v>5291</v>
      </c>
      <c r="Q3087" s="13" t="s">
        <v>5289</v>
      </c>
      <c r="R3087" s="13" t="s">
        <v>5292</v>
      </c>
      <c r="S3087" s="13" t="s">
        <v>5293</v>
      </c>
      <c r="T3087" s="13" t="s">
        <v>5</v>
      </c>
      <c r="U3087" s="13" t="s">
        <v>43</v>
      </c>
      <c r="V3087" s="13" t="n">
        <f aca="false">IF(COUNTIF($B$2:B3087,B3087)=1,1,0)</f>
        <v>0</v>
      </c>
      <c r="W3087" s="13" t="n">
        <f aca="false">IF(COUNTIFS($B$2:B3087,B3087,$T$2:T3087,T3087)=1,1,0)</f>
        <v>0</v>
      </c>
    </row>
    <row r="3088" customFormat="false" ht="15" hidden="false" customHeight="false" outlineLevel="0" collapsed="false">
      <c r="A3088" s="13" t="s">
        <v>555</v>
      </c>
      <c r="B3088" s="13" t="s">
        <v>195</v>
      </c>
      <c r="C3088" s="13" t="n">
        <v>750</v>
      </c>
      <c r="D3088" s="13" t="n">
        <v>1</v>
      </c>
      <c r="E3088" s="13" t="n">
        <v>749.85</v>
      </c>
      <c r="F3088" s="13" t="s">
        <v>5325</v>
      </c>
      <c r="G3088" s="13" t="s">
        <v>5289</v>
      </c>
      <c r="H3088" s="13" t="s">
        <v>5289</v>
      </c>
      <c r="I3088" s="13" t="s">
        <v>5289</v>
      </c>
      <c r="J3088" s="13" t="s">
        <v>5289</v>
      </c>
      <c r="K3088" s="13" t="s">
        <v>5292</v>
      </c>
      <c r="L3088" s="13"/>
      <c r="M3088" s="13"/>
      <c r="N3088" s="13" t="n">
        <v>3614228837996</v>
      </c>
      <c r="O3088" s="13"/>
      <c r="P3088" s="13" t="s">
        <v>5291</v>
      </c>
      <c r="Q3088" s="13" t="s">
        <v>5289</v>
      </c>
      <c r="R3088" s="13" t="s">
        <v>5292</v>
      </c>
      <c r="S3088" s="13" t="s">
        <v>5293</v>
      </c>
      <c r="T3088" s="13" t="s">
        <v>5</v>
      </c>
      <c r="U3088" s="13" t="s">
        <v>43</v>
      </c>
      <c r="V3088" s="13" t="n">
        <f aca="false">IF(COUNTIF($B$2:B3088,B3088)=1,1,0)</f>
        <v>0</v>
      </c>
      <c r="W3088" s="13" t="n">
        <f aca="false">IF(COUNTIFS($B$2:B3088,B3088,$T$2:T3088,T3088)=1,1,0)</f>
        <v>0</v>
      </c>
    </row>
    <row r="3089" customFormat="false" ht="15" hidden="false" customHeight="false" outlineLevel="0" collapsed="false">
      <c r="A3089" s="13" t="s">
        <v>1191</v>
      </c>
      <c r="B3089" s="13" t="s">
        <v>45</v>
      </c>
      <c r="C3089" s="13" t="n">
        <v>750</v>
      </c>
      <c r="D3089" s="13" t="n">
        <v>1</v>
      </c>
      <c r="E3089" s="13" t="n">
        <v>747</v>
      </c>
      <c r="F3089" s="13" t="s">
        <v>5325</v>
      </c>
      <c r="G3089" s="13" t="s">
        <v>5289</v>
      </c>
      <c r="H3089" s="13" t="s">
        <v>5292</v>
      </c>
      <c r="I3089" s="13" t="s">
        <v>5289</v>
      </c>
      <c r="J3089" s="13" t="s">
        <v>5289</v>
      </c>
      <c r="K3089" s="13" t="s">
        <v>5289</v>
      </c>
      <c r="L3089" s="13"/>
      <c r="M3089" s="13"/>
      <c r="N3089" s="13" t="n">
        <v>8435415091275</v>
      </c>
      <c r="O3089" s="13"/>
      <c r="P3089" s="13" t="s">
        <v>5291</v>
      </c>
      <c r="Q3089" s="13" t="s">
        <v>5289</v>
      </c>
      <c r="R3089" s="13" t="s">
        <v>5292</v>
      </c>
      <c r="S3089" s="13" t="s">
        <v>5293</v>
      </c>
      <c r="T3089" s="13" t="s">
        <v>5</v>
      </c>
      <c r="U3089" s="13" t="s">
        <v>43</v>
      </c>
      <c r="V3089" s="13" t="n">
        <f aca="false">IF(COUNTIF($B$2:B3089,B3089)=1,1,0)</f>
        <v>0</v>
      </c>
      <c r="W3089" s="13" t="n">
        <f aca="false">IF(COUNTIFS($B$2:B3089,B3089,$T$2:T3089,T3089)=1,1,0)</f>
        <v>0</v>
      </c>
    </row>
    <row r="3090" customFormat="false" ht="15" hidden="false" customHeight="false" outlineLevel="0" collapsed="false">
      <c r="A3090" s="13" t="s">
        <v>283</v>
      </c>
      <c r="B3090" s="13" t="s">
        <v>79</v>
      </c>
      <c r="C3090" s="13" t="n">
        <v>740</v>
      </c>
      <c r="D3090" s="13" t="n">
        <v>1</v>
      </c>
      <c r="E3090" s="13" t="n">
        <v>744</v>
      </c>
      <c r="F3090" s="13" t="s">
        <v>5288</v>
      </c>
      <c r="G3090" s="13" t="s">
        <v>5289</v>
      </c>
      <c r="H3090" s="13" t="s">
        <v>5292</v>
      </c>
      <c r="I3090" s="13" t="s">
        <v>5289</v>
      </c>
      <c r="J3090" s="13" t="s">
        <v>5289</v>
      </c>
      <c r="K3090" s="13" t="s">
        <v>5289</v>
      </c>
      <c r="L3090" s="13" t="n">
        <v>8056669925798</v>
      </c>
      <c r="M3090" s="13"/>
      <c r="N3090" s="13" t="n">
        <v>8056669925798</v>
      </c>
      <c r="O3090" s="13"/>
      <c r="P3090" s="13" t="s">
        <v>5291</v>
      </c>
      <c r="Q3090" s="13" t="s">
        <v>5289</v>
      </c>
      <c r="R3090" s="13" t="s">
        <v>5292</v>
      </c>
      <c r="S3090" s="13" t="s">
        <v>5293</v>
      </c>
      <c r="T3090" s="13" t="s">
        <v>5</v>
      </c>
      <c r="U3090" s="13" t="s">
        <v>43</v>
      </c>
      <c r="V3090" s="13" t="n">
        <f aca="false">IF(COUNTIF($B$2:B3090,B3090)=1,1,0)</f>
        <v>0</v>
      </c>
      <c r="W3090" s="13" t="n">
        <f aca="false">IF(COUNTIFS($B$2:B3090,B3090,$T$2:T3090,T3090)=1,1,0)</f>
        <v>0</v>
      </c>
    </row>
    <row r="3091" customFormat="false" ht="15" hidden="false" customHeight="false" outlineLevel="0" collapsed="false">
      <c r="A3091" s="13" t="s">
        <v>942</v>
      </c>
      <c r="B3091" s="13" t="s">
        <v>124</v>
      </c>
      <c r="C3091" s="13" t="n">
        <v>740</v>
      </c>
      <c r="D3091" s="13" t="n">
        <v>1</v>
      </c>
      <c r="E3091" s="13" t="n">
        <v>740.92</v>
      </c>
      <c r="F3091" s="13" t="s">
        <v>5325</v>
      </c>
      <c r="G3091" s="13" t="s">
        <v>5289</v>
      </c>
      <c r="H3091" s="13" t="s">
        <v>5292</v>
      </c>
      <c r="I3091" s="13" t="s">
        <v>5289</v>
      </c>
      <c r="J3091" s="13" t="s">
        <v>5289</v>
      </c>
      <c r="K3091" s="13" t="s">
        <v>5289</v>
      </c>
      <c r="L3091" s="13" t="n">
        <v>3614273953849</v>
      </c>
      <c r="M3091" s="13"/>
      <c r="N3091" s="13" t="n">
        <v>3614273953849</v>
      </c>
      <c r="O3091" s="13"/>
      <c r="P3091" s="13" t="s">
        <v>5291</v>
      </c>
      <c r="Q3091" s="13" t="s">
        <v>5289</v>
      </c>
      <c r="R3091" s="13" t="s">
        <v>5292</v>
      </c>
      <c r="S3091" s="13" t="s">
        <v>5293</v>
      </c>
      <c r="T3091" s="13" t="s">
        <v>5</v>
      </c>
      <c r="U3091" s="13" t="s">
        <v>43</v>
      </c>
      <c r="V3091" s="13" t="n">
        <f aca="false">IF(COUNTIF($B$2:B3091,B3091)=1,1,0)</f>
        <v>0</v>
      </c>
      <c r="W3091" s="13" t="n">
        <f aca="false">IF(COUNTIFS($B$2:B3091,B3091,$T$2:T3091,T3091)=1,1,0)</f>
        <v>0</v>
      </c>
    </row>
    <row r="3092" customFormat="false" ht="15" hidden="false" customHeight="false" outlineLevel="0" collapsed="false">
      <c r="A3092" s="13" t="s">
        <v>799</v>
      </c>
      <c r="B3092" s="13" t="s">
        <v>153</v>
      </c>
      <c r="C3092" s="13" t="n">
        <v>740</v>
      </c>
      <c r="D3092" s="13" t="n">
        <v>1</v>
      </c>
      <c r="E3092" s="13" t="n">
        <v>740.13</v>
      </c>
      <c r="F3092" s="13" t="s">
        <v>5325</v>
      </c>
      <c r="G3092" s="13" t="s">
        <v>5289</v>
      </c>
      <c r="H3092" s="13" t="s">
        <v>5289</v>
      </c>
      <c r="I3092" s="13" t="s">
        <v>5289</v>
      </c>
      <c r="J3092" s="13" t="s">
        <v>5289</v>
      </c>
      <c r="K3092" s="13" t="s">
        <v>5289</v>
      </c>
      <c r="L3092" s="13"/>
      <c r="M3092" s="13"/>
      <c r="N3092" s="13" t="n">
        <v>8011003895755</v>
      </c>
      <c r="O3092" s="13"/>
      <c r="P3092" s="13" t="s">
        <v>5291</v>
      </c>
      <c r="Q3092" s="13" t="s">
        <v>5289</v>
      </c>
      <c r="R3092" s="13" t="s">
        <v>5292</v>
      </c>
      <c r="S3092" s="13" t="s">
        <v>5293</v>
      </c>
      <c r="T3092" s="13" t="s">
        <v>5</v>
      </c>
      <c r="U3092" s="13" t="s">
        <v>43</v>
      </c>
      <c r="V3092" s="13" t="n">
        <f aca="false">IF(COUNTIF($B$2:B3092,B3092)=1,1,0)</f>
        <v>0</v>
      </c>
      <c r="W3092" s="13" t="n">
        <f aca="false">IF(COUNTIFS($B$2:B3092,B3092,$T$2:T3092,T3092)=1,1,0)</f>
        <v>0</v>
      </c>
    </row>
    <row r="3093" customFormat="false" ht="15" hidden="false" customHeight="false" outlineLevel="0" collapsed="false">
      <c r="A3093" s="13" t="s">
        <v>1432</v>
      </c>
      <c r="B3093" s="13" t="s">
        <v>45</v>
      </c>
      <c r="C3093" s="13" t="n">
        <v>740</v>
      </c>
      <c r="D3093" s="13" t="n">
        <v>1</v>
      </c>
      <c r="E3093" s="13" t="n">
        <v>738.49</v>
      </c>
      <c r="F3093" s="13" t="s">
        <v>5325</v>
      </c>
      <c r="G3093" s="13" t="s">
        <v>5289</v>
      </c>
      <c r="H3093" s="13" t="s">
        <v>5292</v>
      </c>
      <c r="I3093" s="13" t="s">
        <v>5289</v>
      </c>
      <c r="J3093" s="13" t="s">
        <v>5289</v>
      </c>
      <c r="K3093" s="13" t="s">
        <v>5289</v>
      </c>
      <c r="L3093" s="13" t="n">
        <v>8435415049405</v>
      </c>
      <c r="M3093" s="13"/>
      <c r="N3093" s="13" t="n">
        <v>8435415049405</v>
      </c>
      <c r="O3093" s="13"/>
      <c r="P3093" s="13" t="s">
        <v>5291</v>
      </c>
      <c r="Q3093" s="13" t="s">
        <v>5289</v>
      </c>
      <c r="R3093" s="13" t="s">
        <v>5292</v>
      </c>
      <c r="S3093" s="13" t="s">
        <v>5293</v>
      </c>
      <c r="T3093" s="13" t="s">
        <v>5</v>
      </c>
      <c r="U3093" s="13" t="s">
        <v>43</v>
      </c>
      <c r="V3093" s="13" t="n">
        <f aca="false">IF(COUNTIF($B$2:B3093,B3093)=1,1,0)</f>
        <v>0</v>
      </c>
      <c r="W3093" s="13" t="n">
        <f aca="false">IF(COUNTIFS($B$2:B3093,B3093,$T$2:T3093,T3093)=1,1,0)</f>
        <v>0</v>
      </c>
    </row>
    <row r="3094" customFormat="false" ht="15" hidden="false" customHeight="false" outlineLevel="0" collapsed="false">
      <c r="A3094" s="13" t="s">
        <v>964</v>
      </c>
      <c r="B3094" s="13" t="s">
        <v>72</v>
      </c>
      <c r="C3094" s="13" t="n">
        <v>740</v>
      </c>
      <c r="D3094" s="13" t="n">
        <v>1</v>
      </c>
      <c r="E3094" s="13" t="n">
        <v>737.77</v>
      </c>
      <c r="F3094" s="13" t="s">
        <v>5288</v>
      </c>
      <c r="G3094" s="13" t="s">
        <v>5289</v>
      </c>
      <c r="H3094" s="13" t="s">
        <v>5292</v>
      </c>
      <c r="I3094" s="13" t="s">
        <v>5289</v>
      </c>
      <c r="J3094" s="13" t="s">
        <v>5289</v>
      </c>
      <c r="K3094" s="13" t="s">
        <v>5289</v>
      </c>
      <c r="L3094" s="13" t="n">
        <v>3614274172997</v>
      </c>
      <c r="M3094" s="13"/>
      <c r="N3094" s="13" t="n">
        <v>3614274172997</v>
      </c>
      <c r="O3094" s="13"/>
      <c r="P3094" s="13" t="s">
        <v>5291</v>
      </c>
      <c r="Q3094" s="13" t="s">
        <v>5289</v>
      </c>
      <c r="R3094" s="13" t="s">
        <v>5292</v>
      </c>
      <c r="S3094" s="13" t="s">
        <v>5293</v>
      </c>
      <c r="T3094" s="13" t="s">
        <v>5</v>
      </c>
      <c r="U3094" s="13" t="s">
        <v>43</v>
      </c>
      <c r="V3094" s="13" t="n">
        <f aca="false">IF(COUNTIF($B$2:B3094,B3094)=1,1,0)</f>
        <v>0</v>
      </c>
      <c r="W3094" s="13" t="n">
        <f aca="false">IF(COUNTIFS($B$2:B3094,B3094,$T$2:T3094,T3094)=1,1,0)</f>
        <v>0</v>
      </c>
    </row>
    <row r="3095" customFormat="false" ht="15" hidden="false" customHeight="false" outlineLevel="0" collapsed="false">
      <c r="A3095" s="13" t="s">
        <v>301</v>
      </c>
      <c r="B3095" s="13" t="s">
        <v>45</v>
      </c>
      <c r="C3095" s="13" t="n">
        <v>740</v>
      </c>
      <c r="D3095" s="13" t="n">
        <v>2</v>
      </c>
      <c r="E3095" s="13" t="n">
        <v>368.6</v>
      </c>
      <c r="F3095" s="13" t="s">
        <v>5325</v>
      </c>
      <c r="G3095" s="13" t="s">
        <v>5289</v>
      </c>
      <c r="H3095" s="13" t="s">
        <v>5289</v>
      </c>
      <c r="I3095" s="13" t="s">
        <v>5289</v>
      </c>
      <c r="J3095" s="13" t="s">
        <v>5289</v>
      </c>
      <c r="K3095" s="13" t="s">
        <v>5289</v>
      </c>
      <c r="L3095" s="13"/>
      <c r="M3095" s="13"/>
      <c r="N3095" s="13" t="n">
        <v>8435415076814</v>
      </c>
      <c r="O3095" s="13"/>
      <c r="P3095" s="13" t="s">
        <v>5291</v>
      </c>
      <c r="Q3095" s="13" t="s">
        <v>5289</v>
      </c>
      <c r="R3095" s="13" t="s">
        <v>5292</v>
      </c>
      <c r="S3095" s="13" t="s">
        <v>5293</v>
      </c>
      <c r="T3095" s="13" t="s">
        <v>5</v>
      </c>
      <c r="U3095" s="13" t="s">
        <v>43</v>
      </c>
      <c r="V3095" s="13" t="n">
        <f aca="false">IF(COUNTIF($B$2:B3095,B3095)=1,1,0)</f>
        <v>0</v>
      </c>
      <c r="W3095" s="13" t="n">
        <f aca="false">IF(COUNTIFS($B$2:B3095,B3095,$T$2:T3095,T3095)=1,1,0)</f>
        <v>0</v>
      </c>
    </row>
    <row r="3096" customFormat="false" ht="15" hidden="false" customHeight="false" outlineLevel="0" collapsed="false">
      <c r="A3096" s="13" t="s">
        <v>1437</v>
      </c>
      <c r="B3096" s="13" t="s">
        <v>45</v>
      </c>
      <c r="C3096" s="13" t="n">
        <v>740</v>
      </c>
      <c r="D3096" s="13" t="n">
        <v>1</v>
      </c>
      <c r="E3096" s="13" t="n">
        <v>737</v>
      </c>
      <c r="F3096" s="13" t="s">
        <v>5325</v>
      </c>
      <c r="G3096" s="13" t="s">
        <v>5289</v>
      </c>
      <c r="H3096" s="13" t="s">
        <v>5292</v>
      </c>
      <c r="I3096" s="13" t="s">
        <v>5289</v>
      </c>
      <c r="J3096" s="13" t="s">
        <v>5289</v>
      </c>
      <c r="K3096" s="13" t="s">
        <v>5289</v>
      </c>
      <c r="L3096" s="13" t="n">
        <v>8435415076944</v>
      </c>
      <c r="M3096" s="13"/>
      <c r="N3096" s="13" t="n">
        <v>8435415076944</v>
      </c>
      <c r="O3096" s="13"/>
      <c r="P3096" s="13" t="s">
        <v>5291</v>
      </c>
      <c r="Q3096" s="13" t="s">
        <v>5289</v>
      </c>
      <c r="R3096" s="13" t="s">
        <v>5292</v>
      </c>
      <c r="S3096" s="13" t="s">
        <v>5293</v>
      </c>
      <c r="T3096" s="13" t="s">
        <v>5</v>
      </c>
      <c r="U3096" s="13" t="s">
        <v>43</v>
      </c>
      <c r="V3096" s="13" t="n">
        <f aca="false">IF(COUNTIF($B$2:B3096,B3096)=1,1,0)</f>
        <v>0</v>
      </c>
      <c r="W3096" s="13" t="n">
        <f aca="false">IF(COUNTIFS($B$2:B3096,B3096,$T$2:T3096,T3096)=1,1,0)</f>
        <v>0</v>
      </c>
    </row>
    <row r="3097" customFormat="false" ht="15" hidden="false" customHeight="false" outlineLevel="0" collapsed="false">
      <c r="A3097" s="13" t="s">
        <v>1431</v>
      </c>
      <c r="B3097" s="13" t="s">
        <v>107</v>
      </c>
      <c r="C3097" s="13" t="n">
        <v>740</v>
      </c>
      <c r="D3097" s="13" t="n">
        <v>2</v>
      </c>
      <c r="E3097" s="13" t="n">
        <v>245.633333333333</v>
      </c>
      <c r="F3097" s="13" t="s">
        <v>5325</v>
      </c>
      <c r="G3097" s="13" t="s">
        <v>5292</v>
      </c>
      <c r="H3097" s="13" t="s">
        <v>5289</v>
      </c>
      <c r="I3097" s="13" t="s">
        <v>5289</v>
      </c>
      <c r="J3097" s="13" t="s">
        <v>5289</v>
      </c>
      <c r="K3097" s="13" t="s">
        <v>5289</v>
      </c>
      <c r="L3097" s="13" t="n">
        <v>9000250227029</v>
      </c>
      <c r="M3097" s="13"/>
      <c r="N3097" s="13" t="n">
        <v>9000250227029</v>
      </c>
      <c r="O3097" s="13"/>
      <c r="P3097" s="13" t="s">
        <v>5297</v>
      </c>
      <c r="Q3097" s="13" t="s">
        <v>5289</v>
      </c>
      <c r="R3097" s="13" t="s">
        <v>5292</v>
      </c>
      <c r="S3097" s="13" t="s">
        <v>5293</v>
      </c>
      <c r="T3097" s="13" t="s">
        <v>5</v>
      </c>
      <c r="U3097" s="13" t="s">
        <v>183</v>
      </c>
      <c r="V3097" s="13" t="n">
        <f aca="false">IF(COUNTIF($B$2:B3097,B3097)=1,1,0)</f>
        <v>0</v>
      </c>
      <c r="W3097" s="13" t="n">
        <f aca="false">IF(COUNTIFS($B$2:B3097,B3097,$T$2:T3097,T3097)=1,1,0)</f>
        <v>0</v>
      </c>
    </row>
    <row r="3098" customFormat="false" ht="15" hidden="false" customHeight="false" outlineLevel="0" collapsed="false">
      <c r="A3098" s="13" t="s">
        <v>1434</v>
      </c>
      <c r="B3098" s="13" t="s">
        <v>45</v>
      </c>
      <c r="C3098" s="13" t="n">
        <v>740</v>
      </c>
      <c r="D3098" s="13" t="n">
        <v>1</v>
      </c>
      <c r="E3098" s="13" t="n">
        <v>736.63</v>
      </c>
      <c r="F3098" s="13" t="s">
        <v>5325</v>
      </c>
      <c r="G3098" s="13" t="s">
        <v>5289</v>
      </c>
      <c r="H3098" s="13" t="s">
        <v>5292</v>
      </c>
      <c r="I3098" s="13" t="s">
        <v>5289</v>
      </c>
      <c r="J3098" s="13" t="s">
        <v>5289</v>
      </c>
      <c r="K3098" s="13" t="s">
        <v>5289</v>
      </c>
      <c r="L3098" s="13"/>
      <c r="M3098" s="13"/>
      <c r="N3098" s="13" t="n">
        <v>8435415102728</v>
      </c>
      <c r="O3098" s="13"/>
      <c r="P3098" s="13" t="s">
        <v>5291</v>
      </c>
      <c r="Q3098" s="13" t="s">
        <v>5289</v>
      </c>
      <c r="R3098" s="13" t="s">
        <v>5292</v>
      </c>
      <c r="S3098" s="13" t="s">
        <v>5293</v>
      </c>
      <c r="T3098" s="13" t="s">
        <v>5</v>
      </c>
      <c r="U3098" s="13" t="s">
        <v>43</v>
      </c>
      <c r="V3098" s="13" t="n">
        <f aca="false">IF(COUNTIF($B$2:B3098,B3098)=1,1,0)</f>
        <v>0</v>
      </c>
      <c r="W3098" s="13" t="n">
        <f aca="false">IF(COUNTIFS($B$2:B3098,B3098,$T$2:T3098,T3098)=1,1,0)</f>
        <v>0</v>
      </c>
    </row>
    <row r="3099" customFormat="false" ht="15" hidden="false" customHeight="false" outlineLevel="0" collapsed="false">
      <c r="A3099" s="13" t="s">
        <v>939</v>
      </c>
      <c r="B3099" s="13" t="s">
        <v>61</v>
      </c>
      <c r="C3099" s="13" t="n">
        <v>740</v>
      </c>
      <c r="D3099" s="13" t="n">
        <v>2</v>
      </c>
      <c r="E3099" s="13" t="n">
        <v>368.265</v>
      </c>
      <c r="F3099" s="13" t="s">
        <v>5288</v>
      </c>
      <c r="G3099" s="13" t="s">
        <v>5289</v>
      </c>
      <c r="H3099" s="13" t="s">
        <v>5289</v>
      </c>
      <c r="I3099" s="13" t="s">
        <v>5289</v>
      </c>
      <c r="J3099" s="13" t="s">
        <v>5289</v>
      </c>
      <c r="K3099" s="13" t="s">
        <v>5289</v>
      </c>
      <c r="L3099" s="13"/>
      <c r="M3099" s="13"/>
      <c r="N3099" s="13" t="n">
        <v>3614274376623</v>
      </c>
      <c r="O3099" s="13"/>
      <c r="P3099" s="13" t="s">
        <v>5297</v>
      </c>
      <c r="Q3099" s="13" t="s">
        <v>5289</v>
      </c>
      <c r="R3099" s="13" t="s">
        <v>5292</v>
      </c>
      <c r="S3099" s="13" t="s">
        <v>5293</v>
      </c>
      <c r="T3099" s="13" t="s">
        <v>5</v>
      </c>
      <c r="U3099" s="13" t="s">
        <v>43</v>
      </c>
      <c r="V3099" s="13" t="n">
        <f aca="false">IF(COUNTIF($B$2:B3099,B3099)=1,1,0)</f>
        <v>0</v>
      </c>
      <c r="W3099" s="13" t="n">
        <f aca="false">IF(COUNTIFS($B$2:B3099,B3099,$T$2:T3099,T3099)=1,1,0)</f>
        <v>0</v>
      </c>
    </row>
    <row r="3100" customFormat="false" ht="15" hidden="false" customHeight="false" outlineLevel="0" collapsed="false">
      <c r="A3100" s="13" t="s">
        <v>1433</v>
      </c>
      <c r="B3100" s="13" t="s">
        <v>195</v>
      </c>
      <c r="C3100" s="13" t="n">
        <v>740</v>
      </c>
      <c r="D3100" s="13" t="n">
        <v>1</v>
      </c>
      <c r="E3100" s="13" t="n">
        <v>736.31</v>
      </c>
      <c r="F3100" s="13" t="s">
        <v>5325</v>
      </c>
      <c r="G3100" s="13" t="s">
        <v>5289</v>
      </c>
      <c r="H3100" s="13" t="s">
        <v>5289</v>
      </c>
      <c r="I3100" s="13" t="s">
        <v>5289</v>
      </c>
      <c r="J3100" s="13" t="s">
        <v>5289</v>
      </c>
      <c r="K3100" s="13" t="s">
        <v>5289</v>
      </c>
      <c r="L3100" s="13" t="n">
        <v>3614229829044</v>
      </c>
      <c r="M3100" s="13"/>
      <c r="N3100" s="13" t="n">
        <v>3614229829044</v>
      </c>
      <c r="O3100" s="13"/>
      <c r="P3100" s="13" t="s">
        <v>5291</v>
      </c>
      <c r="Q3100" s="13" t="s">
        <v>5289</v>
      </c>
      <c r="R3100" s="13" t="s">
        <v>5292</v>
      </c>
      <c r="S3100" s="13" t="s">
        <v>5293</v>
      </c>
      <c r="T3100" s="13" t="s">
        <v>5</v>
      </c>
      <c r="U3100" s="13" t="s">
        <v>43</v>
      </c>
      <c r="V3100" s="13" t="n">
        <f aca="false">IF(COUNTIF($B$2:B3100,B3100)=1,1,0)</f>
        <v>0</v>
      </c>
      <c r="W3100" s="13" t="n">
        <f aca="false">IF(COUNTIFS($B$2:B3100,B3100,$T$2:T3100,T3100)=1,1,0)</f>
        <v>0</v>
      </c>
    </row>
    <row r="3101" customFormat="false" ht="15" hidden="false" customHeight="false" outlineLevel="0" collapsed="false">
      <c r="A3101" s="13" t="s">
        <v>1429</v>
      </c>
      <c r="B3101" s="13" t="s">
        <v>50</v>
      </c>
      <c r="C3101" s="13" t="n">
        <v>740</v>
      </c>
      <c r="D3101" s="13" t="n">
        <v>2</v>
      </c>
      <c r="E3101" s="13" t="n">
        <v>368.15</v>
      </c>
      <c r="F3101" s="13" t="s">
        <v>5325</v>
      </c>
      <c r="G3101" s="13" t="s">
        <v>5289</v>
      </c>
      <c r="H3101" s="13" t="s">
        <v>5292</v>
      </c>
      <c r="I3101" s="13" t="s">
        <v>5289</v>
      </c>
      <c r="J3101" s="13" t="s">
        <v>5289</v>
      </c>
      <c r="K3101" s="13" t="s">
        <v>5289</v>
      </c>
      <c r="L3101" s="13" t="n">
        <v>3349668613427</v>
      </c>
      <c r="M3101" s="13"/>
      <c r="N3101" s="13" t="n">
        <v>3.34966861342734E+025</v>
      </c>
      <c r="O3101" s="13"/>
      <c r="P3101" s="13" t="s">
        <v>5291</v>
      </c>
      <c r="Q3101" s="13" t="s">
        <v>5289</v>
      </c>
      <c r="R3101" s="13" t="s">
        <v>5292</v>
      </c>
      <c r="S3101" s="13" t="s">
        <v>5293</v>
      </c>
      <c r="T3101" s="13" t="s">
        <v>5</v>
      </c>
      <c r="U3101" s="13" t="s">
        <v>43</v>
      </c>
      <c r="V3101" s="13" t="n">
        <f aca="false">IF(COUNTIF($B$2:B3101,B3101)=1,1,0)</f>
        <v>0</v>
      </c>
      <c r="W3101" s="13" t="n">
        <f aca="false">IF(COUNTIFS($B$2:B3101,B3101,$T$2:T3101,T3101)=1,1,0)</f>
        <v>0</v>
      </c>
    </row>
    <row r="3102" customFormat="false" ht="15" hidden="false" customHeight="false" outlineLevel="0" collapsed="false">
      <c r="A3102" s="13" t="s">
        <v>1435</v>
      </c>
      <c r="B3102" s="13" t="s">
        <v>195</v>
      </c>
      <c r="C3102" s="13" t="n">
        <v>740</v>
      </c>
      <c r="D3102" s="13" t="n">
        <v>1</v>
      </c>
      <c r="E3102" s="13" t="n">
        <v>735</v>
      </c>
      <c r="F3102" s="13" t="s">
        <v>5325</v>
      </c>
      <c r="G3102" s="13" t="s">
        <v>5289</v>
      </c>
      <c r="H3102" s="13" t="s">
        <v>5292</v>
      </c>
      <c r="I3102" s="13" t="s">
        <v>5289</v>
      </c>
      <c r="J3102" s="13" t="s">
        <v>5289</v>
      </c>
      <c r="K3102" s="13" t="s">
        <v>5289</v>
      </c>
      <c r="L3102" s="13" t="n">
        <v>3616304679445</v>
      </c>
      <c r="M3102" s="13"/>
      <c r="N3102" s="13" t="n">
        <v>3616304679445</v>
      </c>
      <c r="O3102" s="13"/>
      <c r="P3102" s="13" t="s">
        <v>5291</v>
      </c>
      <c r="Q3102" s="13" t="s">
        <v>5289</v>
      </c>
      <c r="R3102" s="13" t="s">
        <v>5292</v>
      </c>
      <c r="S3102" s="13" t="s">
        <v>5293</v>
      </c>
      <c r="T3102" s="13" t="s">
        <v>5</v>
      </c>
      <c r="U3102" s="13" t="s">
        <v>43</v>
      </c>
      <c r="V3102" s="13" t="n">
        <f aca="false">IF(COUNTIF($B$2:B3102,B3102)=1,1,0)</f>
        <v>0</v>
      </c>
      <c r="W3102" s="13" t="n">
        <f aca="false">IF(COUNTIFS($B$2:B3102,B3102,$T$2:T3102,T3102)=1,1,0)</f>
        <v>0</v>
      </c>
    </row>
    <row r="3103" customFormat="false" ht="15" hidden="false" customHeight="false" outlineLevel="0" collapsed="false">
      <c r="A3103" s="13" t="s">
        <v>1430</v>
      </c>
      <c r="B3103" s="13" t="s">
        <v>195</v>
      </c>
      <c r="C3103" s="13" t="n">
        <v>740</v>
      </c>
      <c r="D3103" s="13" t="n">
        <v>1</v>
      </c>
      <c r="E3103" s="13" t="n">
        <v>735</v>
      </c>
      <c r="F3103" s="13" t="s">
        <v>5325</v>
      </c>
      <c r="G3103" s="13" t="s">
        <v>5289</v>
      </c>
      <c r="H3103" s="13" t="s">
        <v>5289</v>
      </c>
      <c r="I3103" s="13" t="s">
        <v>5289</v>
      </c>
      <c r="J3103" s="13" t="s">
        <v>5289</v>
      </c>
      <c r="K3103" s="13" t="s">
        <v>5289</v>
      </c>
      <c r="L3103" s="13" t="n">
        <v>3616304679445</v>
      </c>
      <c r="M3103" s="13"/>
      <c r="N3103" s="13" t="n">
        <v>3616304679445</v>
      </c>
      <c r="O3103" s="13"/>
      <c r="P3103" s="13" t="s">
        <v>5291</v>
      </c>
      <c r="Q3103" s="13" t="s">
        <v>5289</v>
      </c>
      <c r="R3103" s="13" t="s">
        <v>5292</v>
      </c>
      <c r="S3103" s="13" t="s">
        <v>5293</v>
      </c>
      <c r="T3103" s="13" t="s">
        <v>5</v>
      </c>
      <c r="U3103" s="13" t="s">
        <v>43</v>
      </c>
      <c r="V3103" s="13" t="n">
        <f aca="false">IF(COUNTIF($B$2:B3103,B3103)=1,1,0)</f>
        <v>0</v>
      </c>
      <c r="W3103" s="13" t="n">
        <f aca="false">IF(COUNTIFS($B$2:B3103,B3103,$T$2:T3103,T3103)=1,1,0)</f>
        <v>0</v>
      </c>
    </row>
    <row r="3104" customFormat="false" ht="15" hidden="false" customHeight="false" outlineLevel="0" collapsed="false">
      <c r="A3104" s="13" t="s">
        <v>816</v>
      </c>
      <c r="B3104" s="13" t="s">
        <v>42</v>
      </c>
      <c r="C3104" s="13" t="n">
        <v>730</v>
      </c>
      <c r="D3104" s="13" t="n">
        <v>2</v>
      </c>
      <c r="E3104" s="13" t="n">
        <v>244.963333333333</v>
      </c>
      <c r="F3104" s="13" t="s">
        <v>5288</v>
      </c>
      <c r="G3104" s="13" t="s">
        <v>5292</v>
      </c>
      <c r="H3104" s="13" t="s">
        <v>5289</v>
      </c>
      <c r="I3104" s="13" t="s">
        <v>5289</v>
      </c>
      <c r="J3104" s="13" t="s">
        <v>5289</v>
      </c>
      <c r="K3104" s="13" t="s">
        <v>5289</v>
      </c>
      <c r="L3104" s="13"/>
      <c r="M3104" s="13"/>
      <c r="N3104" s="13" t="n">
        <v>8411061023167</v>
      </c>
      <c r="O3104" s="13"/>
      <c r="P3104" s="13" t="s">
        <v>5291</v>
      </c>
      <c r="Q3104" s="13" t="s">
        <v>5289</v>
      </c>
      <c r="R3104" s="13" t="s">
        <v>5292</v>
      </c>
      <c r="S3104" s="13" t="s">
        <v>5293</v>
      </c>
      <c r="T3104" s="13" t="s">
        <v>5</v>
      </c>
      <c r="U3104" s="13" t="s">
        <v>43</v>
      </c>
      <c r="V3104" s="13" t="n">
        <f aca="false">IF(COUNTIF($B$2:B3104,B3104)=1,1,0)</f>
        <v>0</v>
      </c>
      <c r="W3104" s="13" t="n">
        <f aca="false">IF(COUNTIFS($B$2:B3104,B3104,$T$2:T3104,T3104)=1,1,0)</f>
        <v>0</v>
      </c>
    </row>
    <row r="3105" customFormat="false" ht="15" hidden="false" customHeight="false" outlineLevel="0" collapsed="false">
      <c r="A3105" s="13" t="s">
        <v>1086</v>
      </c>
      <c r="B3105" s="13" t="s">
        <v>54</v>
      </c>
      <c r="C3105" s="13" t="n">
        <v>730</v>
      </c>
      <c r="D3105" s="13" t="n">
        <v>1</v>
      </c>
      <c r="E3105" s="13" t="n">
        <v>733.85</v>
      </c>
      <c r="F3105" s="13" t="s">
        <v>5325</v>
      </c>
      <c r="G3105" s="13" t="s">
        <v>5289</v>
      </c>
      <c r="H3105" s="13" t="s">
        <v>5292</v>
      </c>
      <c r="I3105" s="13" t="s">
        <v>5289</v>
      </c>
      <c r="J3105" s="13" t="s">
        <v>5289</v>
      </c>
      <c r="K3105" s="13" t="s">
        <v>5292</v>
      </c>
      <c r="L3105" s="13" t="n">
        <v>729238139350</v>
      </c>
      <c r="M3105" s="13"/>
      <c r="N3105" s="13" t="n">
        <v>729238139350</v>
      </c>
      <c r="O3105" s="13"/>
      <c r="P3105" s="13" t="s">
        <v>5291</v>
      </c>
      <c r="Q3105" s="13" t="s">
        <v>5289</v>
      </c>
      <c r="R3105" s="13" t="s">
        <v>5292</v>
      </c>
      <c r="S3105" s="13" t="s">
        <v>5293</v>
      </c>
      <c r="T3105" s="13" t="s">
        <v>5</v>
      </c>
      <c r="U3105" s="13" t="s">
        <v>43</v>
      </c>
      <c r="V3105" s="13" t="n">
        <f aca="false">IF(COUNTIF($B$2:B3105,B3105)=1,1,0)</f>
        <v>0</v>
      </c>
      <c r="W3105" s="13" t="n">
        <f aca="false">IF(COUNTIFS($B$2:B3105,B3105,$T$2:T3105,T3105)=1,1,0)</f>
        <v>0</v>
      </c>
    </row>
    <row r="3106" customFormat="false" ht="15" hidden="false" customHeight="false" outlineLevel="0" collapsed="false">
      <c r="A3106" s="13" t="s">
        <v>1446</v>
      </c>
      <c r="B3106" s="13" t="s">
        <v>365</v>
      </c>
      <c r="C3106" s="13" t="n">
        <v>730</v>
      </c>
      <c r="D3106" s="13" t="n">
        <v>2</v>
      </c>
      <c r="E3106" s="13" t="n">
        <v>366.49</v>
      </c>
      <c r="F3106" s="13" t="s">
        <v>5325</v>
      </c>
      <c r="G3106" s="13" t="s">
        <v>5289</v>
      </c>
      <c r="H3106" s="13" t="s">
        <v>5289</v>
      </c>
      <c r="I3106" s="13" t="s">
        <v>5289</v>
      </c>
      <c r="J3106" s="13" t="s">
        <v>5289</v>
      </c>
      <c r="K3106" s="13" t="s">
        <v>5289</v>
      </c>
      <c r="L3106" s="13" t="n">
        <v>6290360593166</v>
      </c>
      <c r="M3106" s="13"/>
      <c r="N3106" s="13" t="n">
        <v>6290360593166</v>
      </c>
      <c r="O3106" s="13"/>
      <c r="P3106" s="13" t="s">
        <v>5291</v>
      </c>
      <c r="Q3106" s="13" t="s">
        <v>5289</v>
      </c>
      <c r="R3106" s="13" t="s">
        <v>5292</v>
      </c>
      <c r="S3106" s="13" t="s">
        <v>5293</v>
      </c>
      <c r="T3106" s="13" t="s">
        <v>5</v>
      </c>
      <c r="U3106" s="13" t="s">
        <v>43</v>
      </c>
      <c r="V3106" s="13" t="n">
        <f aca="false">IF(COUNTIF($B$2:B3106,B3106)=1,1,0)</f>
        <v>0</v>
      </c>
      <c r="W3106" s="13" t="n">
        <f aca="false">IF(COUNTIFS($B$2:B3106,B3106,$T$2:T3106,T3106)=1,1,0)</f>
        <v>1</v>
      </c>
    </row>
    <row r="3107" customFormat="false" ht="15" hidden="false" customHeight="false" outlineLevel="0" collapsed="false">
      <c r="A3107" s="13" t="s">
        <v>1443</v>
      </c>
      <c r="B3107" s="13" t="s">
        <v>124</v>
      </c>
      <c r="C3107" s="13" t="n">
        <v>730</v>
      </c>
      <c r="D3107" s="13" t="n">
        <v>1</v>
      </c>
      <c r="E3107" s="13" t="n">
        <v>731.21</v>
      </c>
      <c r="F3107" s="13" t="s">
        <v>5325</v>
      </c>
      <c r="G3107" s="13" t="s">
        <v>5289</v>
      </c>
      <c r="H3107" s="13" t="s">
        <v>5292</v>
      </c>
      <c r="I3107" s="13" t="s">
        <v>5289</v>
      </c>
      <c r="J3107" s="13" t="s">
        <v>5289</v>
      </c>
      <c r="K3107" s="13" t="s">
        <v>5289</v>
      </c>
      <c r="L3107" s="13" t="n">
        <v>3614273734790</v>
      </c>
      <c r="M3107" s="13"/>
      <c r="N3107" s="13" t="n">
        <v>3614273734790</v>
      </c>
      <c r="O3107" s="13"/>
      <c r="P3107" s="13" t="s">
        <v>5291</v>
      </c>
      <c r="Q3107" s="13" t="s">
        <v>5289</v>
      </c>
      <c r="R3107" s="13" t="s">
        <v>5292</v>
      </c>
      <c r="S3107" s="13" t="s">
        <v>5293</v>
      </c>
      <c r="T3107" s="13" t="s">
        <v>5</v>
      </c>
      <c r="U3107" s="13" t="s">
        <v>43</v>
      </c>
      <c r="V3107" s="13" t="n">
        <f aca="false">IF(COUNTIF($B$2:B3107,B3107)=1,1,0)</f>
        <v>0</v>
      </c>
      <c r="W3107" s="13" t="n">
        <f aca="false">IF(COUNTIFS($B$2:B3107,B3107,$T$2:T3107,T3107)=1,1,0)</f>
        <v>0</v>
      </c>
    </row>
    <row r="3108" customFormat="false" ht="15" hidden="false" customHeight="false" outlineLevel="0" collapsed="false">
      <c r="A3108" s="13" t="s">
        <v>4295</v>
      </c>
      <c r="B3108" s="13" t="s">
        <v>2256</v>
      </c>
      <c r="C3108" s="13" t="n">
        <v>730</v>
      </c>
      <c r="D3108" s="13" t="n">
        <v>1</v>
      </c>
      <c r="E3108" s="13" t="n">
        <v>730.02</v>
      </c>
      <c r="F3108" s="13" t="s">
        <v>5288</v>
      </c>
      <c r="G3108" s="13" t="s">
        <v>5289</v>
      </c>
      <c r="H3108" s="13" t="s">
        <v>5289</v>
      </c>
      <c r="I3108" s="13" t="s">
        <v>5289</v>
      </c>
      <c r="J3108" s="13" t="s">
        <v>5289</v>
      </c>
      <c r="K3108" s="13" t="s">
        <v>5289</v>
      </c>
      <c r="L3108" s="13" t="n">
        <v>3614274425796</v>
      </c>
      <c r="M3108" s="13"/>
      <c r="N3108" s="13" t="n">
        <v>3614274425796</v>
      </c>
      <c r="O3108" s="13"/>
      <c r="P3108" s="13" t="s">
        <v>5291</v>
      </c>
      <c r="Q3108" s="13" t="s">
        <v>5289</v>
      </c>
      <c r="R3108" s="13" t="s">
        <v>5292</v>
      </c>
      <c r="S3108" s="13" t="s">
        <v>5293</v>
      </c>
      <c r="T3108" s="13" t="s">
        <v>5</v>
      </c>
      <c r="U3108" s="13" t="s">
        <v>85</v>
      </c>
      <c r="V3108" s="13" t="n">
        <f aca="false">IF(COUNTIF($B$2:B3108,B3108)=1,1,0)</f>
        <v>1</v>
      </c>
      <c r="W3108" s="13" t="n">
        <f aca="false">IF(COUNTIFS($B$2:B3108,B3108,$T$2:T3108,T3108)=1,1,0)</f>
        <v>1</v>
      </c>
    </row>
    <row r="3109" customFormat="false" ht="15" hidden="false" customHeight="false" outlineLevel="0" collapsed="false">
      <c r="A3109" s="13" t="s">
        <v>1441</v>
      </c>
      <c r="B3109" s="13" t="s">
        <v>61</v>
      </c>
      <c r="C3109" s="13" t="n">
        <v>730</v>
      </c>
      <c r="D3109" s="13" t="n">
        <v>2</v>
      </c>
      <c r="E3109" s="13" t="n">
        <v>365</v>
      </c>
      <c r="F3109" s="13" t="s">
        <v>5325</v>
      </c>
      <c r="G3109" s="13" t="s">
        <v>5289</v>
      </c>
      <c r="H3109" s="13" t="s">
        <v>5292</v>
      </c>
      <c r="I3109" s="13" t="s">
        <v>5289</v>
      </c>
      <c r="J3109" s="13" t="s">
        <v>5289</v>
      </c>
      <c r="K3109" s="13" t="s">
        <v>5289</v>
      </c>
      <c r="L3109" s="13" t="n">
        <v>3614274169720</v>
      </c>
      <c r="M3109" s="13"/>
      <c r="N3109" s="13" t="n">
        <v>3614274169720</v>
      </c>
      <c r="O3109" s="13"/>
      <c r="P3109" s="13" t="s">
        <v>5291</v>
      </c>
      <c r="Q3109" s="13" t="s">
        <v>5289</v>
      </c>
      <c r="R3109" s="13" t="s">
        <v>5292</v>
      </c>
      <c r="S3109" s="13" t="s">
        <v>5293</v>
      </c>
      <c r="T3109" s="13" t="s">
        <v>5</v>
      </c>
      <c r="U3109" s="13" t="s">
        <v>43</v>
      </c>
      <c r="V3109" s="13" t="n">
        <f aca="false">IF(COUNTIF($B$2:B3109,B3109)=1,1,0)</f>
        <v>0</v>
      </c>
      <c r="W3109" s="13" t="n">
        <f aca="false">IF(COUNTIFS($B$2:B3109,B3109,$T$2:T3109,T3109)=1,1,0)</f>
        <v>0</v>
      </c>
    </row>
    <row r="3110" customFormat="false" ht="15" hidden="false" customHeight="false" outlineLevel="0" collapsed="false">
      <c r="A3110" s="13" t="s">
        <v>1403</v>
      </c>
      <c r="B3110" s="13" t="s">
        <v>61</v>
      </c>
      <c r="C3110" s="13" t="n">
        <v>730</v>
      </c>
      <c r="D3110" s="13" t="n">
        <v>2</v>
      </c>
      <c r="E3110" s="13" t="n">
        <v>243</v>
      </c>
      <c r="F3110" s="13" t="s">
        <v>5288</v>
      </c>
      <c r="G3110" s="13" t="s">
        <v>5289</v>
      </c>
      <c r="H3110" s="13" t="s">
        <v>5292</v>
      </c>
      <c r="I3110" s="13" t="s">
        <v>5289</v>
      </c>
      <c r="J3110" s="13" t="s">
        <v>5289</v>
      </c>
      <c r="K3110" s="13" t="s">
        <v>5289</v>
      </c>
      <c r="L3110" s="13" t="n">
        <v>3614274347968</v>
      </c>
      <c r="M3110" s="13"/>
      <c r="N3110" s="13" t="n">
        <v>3614274347968</v>
      </c>
      <c r="O3110" s="13"/>
      <c r="P3110" s="13" t="s">
        <v>5291</v>
      </c>
      <c r="Q3110" s="13" t="s">
        <v>5289</v>
      </c>
      <c r="R3110" s="13" t="s">
        <v>5292</v>
      </c>
      <c r="S3110" s="13" t="s">
        <v>5293</v>
      </c>
      <c r="T3110" s="13" t="s">
        <v>5</v>
      </c>
      <c r="U3110" s="13" t="s">
        <v>43</v>
      </c>
      <c r="V3110" s="13" t="n">
        <f aca="false">IF(COUNTIF($B$2:B3110,B3110)=1,1,0)</f>
        <v>0</v>
      </c>
      <c r="W3110" s="13" t="n">
        <f aca="false">IF(COUNTIFS($B$2:B3110,B3110,$T$2:T3110,T3110)=1,1,0)</f>
        <v>0</v>
      </c>
    </row>
    <row r="3111" customFormat="false" ht="15" hidden="false" customHeight="false" outlineLevel="0" collapsed="false">
      <c r="A3111" s="13" t="s">
        <v>870</v>
      </c>
      <c r="B3111" s="13" t="s">
        <v>45</v>
      </c>
      <c r="C3111" s="13" t="n">
        <v>730</v>
      </c>
      <c r="D3111" s="13" t="n">
        <v>1</v>
      </c>
      <c r="E3111" s="13" t="n">
        <v>727.03</v>
      </c>
      <c r="F3111" s="13" t="s">
        <v>5325</v>
      </c>
      <c r="G3111" s="13" t="s">
        <v>5289</v>
      </c>
      <c r="H3111" s="13" t="s">
        <v>5289</v>
      </c>
      <c r="I3111" s="13" t="s">
        <v>5289</v>
      </c>
      <c r="J3111" s="13" t="s">
        <v>5289</v>
      </c>
      <c r="K3111" s="13" t="s">
        <v>5289</v>
      </c>
      <c r="L3111" s="13" t="n">
        <v>8435415049405</v>
      </c>
      <c r="M3111" s="13"/>
      <c r="N3111" s="13" t="n">
        <v>8435415049405</v>
      </c>
      <c r="O3111" s="13"/>
      <c r="P3111" s="13" t="s">
        <v>5291</v>
      </c>
      <c r="Q3111" s="13" t="s">
        <v>5289</v>
      </c>
      <c r="R3111" s="13" t="s">
        <v>5292</v>
      </c>
      <c r="S3111" s="13" t="s">
        <v>5293</v>
      </c>
      <c r="T3111" s="13" t="s">
        <v>5</v>
      </c>
      <c r="U3111" s="13" t="s">
        <v>43</v>
      </c>
      <c r="V3111" s="13" t="n">
        <f aca="false">IF(COUNTIF($B$2:B3111,B3111)=1,1,0)</f>
        <v>0</v>
      </c>
      <c r="W3111" s="13" t="n">
        <f aca="false">IF(COUNTIFS($B$2:B3111,B3111,$T$2:T3111,T3111)=1,1,0)</f>
        <v>0</v>
      </c>
    </row>
    <row r="3112" customFormat="false" ht="15" hidden="false" customHeight="false" outlineLevel="0" collapsed="false">
      <c r="A3112" s="13" t="s">
        <v>1445</v>
      </c>
      <c r="B3112" s="13" t="s">
        <v>79</v>
      </c>
      <c r="C3112" s="13" t="n">
        <v>730</v>
      </c>
      <c r="D3112" s="13" t="n">
        <v>1</v>
      </c>
      <c r="E3112" s="13" t="n">
        <v>726.51</v>
      </c>
      <c r="F3112" s="13" t="s">
        <v>5325</v>
      </c>
      <c r="G3112" s="13" t="s">
        <v>5289</v>
      </c>
      <c r="H3112" s="13" t="s">
        <v>5289</v>
      </c>
      <c r="I3112" s="13" t="s">
        <v>5289</v>
      </c>
      <c r="J3112" s="13" t="s">
        <v>5289</v>
      </c>
      <c r="K3112" s="13" t="s">
        <v>5289</v>
      </c>
      <c r="L3112" s="13"/>
      <c r="M3112" s="13"/>
      <c r="N3112" s="13" t="n">
        <v>8057971183739</v>
      </c>
      <c r="O3112" s="13"/>
      <c r="P3112" s="13" t="s">
        <v>5291</v>
      </c>
      <c r="Q3112" s="13" t="s">
        <v>5289</v>
      </c>
      <c r="R3112" s="13" t="s">
        <v>5292</v>
      </c>
      <c r="S3112" s="13" t="s">
        <v>5293</v>
      </c>
      <c r="T3112" s="13" t="s">
        <v>5</v>
      </c>
      <c r="U3112" s="13" t="s">
        <v>43</v>
      </c>
      <c r="V3112" s="13" t="n">
        <f aca="false">IF(COUNTIF($B$2:B3112,B3112)=1,1,0)</f>
        <v>0</v>
      </c>
      <c r="W3112" s="13" t="n">
        <f aca="false">IF(COUNTIFS($B$2:B3112,B3112,$T$2:T3112,T3112)=1,1,0)</f>
        <v>0</v>
      </c>
    </row>
    <row r="3113" customFormat="false" ht="15" hidden="false" customHeight="false" outlineLevel="0" collapsed="false">
      <c r="A3113" s="13" t="s">
        <v>1447</v>
      </c>
      <c r="B3113" s="13" t="s">
        <v>286</v>
      </c>
      <c r="C3113" s="13" t="n">
        <v>730</v>
      </c>
      <c r="D3113" s="13" t="n">
        <v>2</v>
      </c>
      <c r="E3113" s="13" t="n">
        <v>362.975</v>
      </c>
      <c r="F3113" s="13" t="s">
        <v>5325</v>
      </c>
      <c r="G3113" s="13" t="s">
        <v>5292</v>
      </c>
      <c r="H3113" s="13" t="s">
        <v>5292</v>
      </c>
      <c r="I3113" s="13" t="s">
        <v>5289</v>
      </c>
      <c r="J3113" s="13" t="s">
        <v>5289</v>
      </c>
      <c r="K3113" s="13" t="s">
        <v>5292</v>
      </c>
      <c r="L3113" s="13" t="n">
        <v>6294015164152</v>
      </c>
      <c r="M3113" s="13"/>
      <c r="N3113" s="13" t="n">
        <v>6294015164152</v>
      </c>
      <c r="O3113" s="13"/>
      <c r="P3113" s="13" t="s">
        <v>5291</v>
      </c>
      <c r="Q3113" s="13" t="s">
        <v>5289</v>
      </c>
      <c r="R3113" s="13" t="s">
        <v>5292</v>
      </c>
      <c r="S3113" s="13" t="s">
        <v>5293</v>
      </c>
      <c r="T3113" s="13" t="s">
        <v>5</v>
      </c>
      <c r="U3113" s="13" t="s">
        <v>43</v>
      </c>
      <c r="V3113" s="13" t="n">
        <f aca="false">IF(COUNTIF($B$2:B3113,B3113)=1,1,0)</f>
        <v>0</v>
      </c>
      <c r="W3113" s="13" t="n">
        <f aca="false">IF(COUNTIFS($B$2:B3113,B3113,$T$2:T3113,T3113)=1,1,0)</f>
        <v>0</v>
      </c>
    </row>
    <row r="3114" customFormat="false" ht="15" hidden="false" customHeight="false" outlineLevel="0" collapsed="false">
      <c r="A3114" s="13" t="s">
        <v>866</v>
      </c>
      <c r="B3114" s="13" t="s">
        <v>79</v>
      </c>
      <c r="C3114" s="13" t="n">
        <v>720</v>
      </c>
      <c r="D3114" s="13" t="n">
        <v>1</v>
      </c>
      <c r="E3114" s="13" t="n">
        <v>723</v>
      </c>
      <c r="F3114" s="13" t="s">
        <v>5325</v>
      </c>
      <c r="G3114" s="13" t="s">
        <v>5289</v>
      </c>
      <c r="H3114" s="13" t="s">
        <v>5289</v>
      </c>
      <c r="I3114" s="13" t="s">
        <v>5289</v>
      </c>
      <c r="J3114" s="13" t="s">
        <v>5289</v>
      </c>
      <c r="K3114" s="13" t="s">
        <v>5289</v>
      </c>
      <c r="L3114" s="13" t="n">
        <v>8057971180462</v>
      </c>
      <c r="M3114" s="13"/>
      <c r="N3114" s="13" t="n">
        <v>8057971180462</v>
      </c>
      <c r="O3114" s="13"/>
      <c r="P3114" s="13" t="s">
        <v>5291</v>
      </c>
      <c r="Q3114" s="13" t="s">
        <v>5289</v>
      </c>
      <c r="R3114" s="13" t="s">
        <v>5292</v>
      </c>
      <c r="S3114" s="13" t="s">
        <v>5293</v>
      </c>
      <c r="T3114" s="13" t="s">
        <v>5</v>
      </c>
      <c r="U3114" s="13" t="s">
        <v>43</v>
      </c>
      <c r="V3114" s="13" t="n">
        <f aca="false">IF(COUNTIF($B$2:B3114,B3114)=1,1,0)</f>
        <v>0</v>
      </c>
      <c r="W3114" s="13" t="n">
        <f aca="false">IF(COUNTIFS($B$2:B3114,B3114,$T$2:T3114,T3114)=1,1,0)</f>
        <v>0</v>
      </c>
    </row>
    <row r="3115" customFormat="false" ht="15" hidden="false" customHeight="false" outlineLevel="0" collapsed="false">
      <c r="A3115" s="13" t="s">
        <v>1454</v>
      </c>
      <c r="B3115" s="13" t="s">
        <v>124</v>
      </c>
      <c r="C3115" s="13" t="n">
        <v>720</v>
      </c>
      <c r="D3115" s="13" t="n">
        <v>1</v>
      </c>
      <c r="E3115" s="13" t="n">
        <v>722.87</v>
      </c>
      <c r="F3115" s="13" t="s">
        <v>5325</v>
      </c>
      <c r="G3115" s="13" t="s">
        <v>5289</v>
      </c>
      <c r="H3115" s="13" t="s">
        <v>5292</v>
      </c>
      <c r="I3115" s="13" t="s">
        <v>5289</v>
      </c>
      <c r="J3115" s="13" t="s">
        <v>5289</v>
      </c>
      <c r="K3115" s="13" t="s">
        <v>5289</v>
      </c>
      <c r="L3115" s="13"/>
      <c r="M3115" s="13"/>
      <c r="N3115" s="13" t="n">
        <v>3614274091885</v>
      </c>
      <c r="O3115" s="13"/>
      <c r="P3115" s="13" t="s">
        <v>5291</v>
      </c>
      <c r="Q3115" s="13" t="s">
        <v>5289</v>
      </c>
      <c r="R3115" s="13" t="s">
        <v>5292</v>
      </c>
      <c r="S3115" s="13" t="s">
        <v>5293</v>
      </c>
      <c r="T3115" s="13" t="s">
        <v>5</v>
      </c>
      <c r="U3115" s="13" t="s">
        <v>43</v>
      </c>
      <c r="V3115" s="13" t="n">
        <f aca="false">IF(COUNTIF($B$2:B3115,B3115)=1,1,0)</f>
        <v>0</v>
      </c>
      <c r="W3115" s="13" t="n">
        <f aca="false">IF(COUNTIFS($B$2:B3115,B3115,$T$2:T3115,T3115)=1,1,0)</f>
        <v>0</v>
      </c>
    </row>
    <row r="3116" customFormat="false" ht="15" hidden="false" customHeight="false" outlineLevel="0" collapsed="false">
      <c r="A3116" s="13" t="s">
        <v>1455</v>
      </c>
      <c r="B3116" s="13" t="s">
        <v>42</v>
      </c>
      <c r="C3116" s="13" t="n">
        <v>720</v>
      </c>
      <c r="D3116" s="13" t="n">
        <v>1</v>
      </c>
      <c r="E3116" s="13" t="n">
        <v>721.52</v>
      </c>
      <c r="F3116" s="13" t="s">
        <v>5325</v>
      </c>
      <c r="G3116" s="13" t="s">
        <v>5289</v>
      </c>
      <c r="H3116" s="13" t="s">
        <v>5292</v>
      </c>
      <c r="I3116" s="13" t="s">
        <v>5289</v>
      </c>
      <c r="J3116" s="13" t="s">
        <v>5289</v>
      </c>
      <c r="K3116" s="13" t="s">
        <v>5289</v>
      </c>
      <c r="L3116" s="13" t="n">
        <v>8411061106211</v>
      </c>
      <c r="M3116" s="13"/>
      <c r="N3116" s="13" t="n">
        <v>8411061106211</v>
      </c>
      <c r="O3116" s="13"/>
      <c r="P3116" s="13" t="s">
        <v>5291</v>
      </c>
      <c r="Q3116" s="13" t="s">
        <v>5289</v>
      </c>
      <c r="R3116" s="13" t="s">
        <v>5292</v>
      </c>
      <c r="S3116" s="13" t="s">
        <v>5293</v>
      </c>
      <c r="T3116" s="13" t="s">
        <v>5</v>
      </c>
      <c r="U3116" s="13" t="s">
        <v>43</v>
      </c>
      <c r="V3116" s="13" t="n">
        <f aca="false">IF(COUNTIF($B$2:B3116,B3116)=1,1,0)</f>
        <v>0</v>
      </c>
      <c r="W3116" s="13" t="n">
        <f aca="false">IF(COUNTIFS($B$2:B3116,B3116,$T$2:T3116,T3116)=1,1,0)</f>
        <v>0</v>
      </c>
    </row>
    <row r="3117" customFormat="false" ht="15" hidden="false" customHeight="false" outlineLevel="0" collapsed="false">
      <c r="A3117" s="13" t="s">
        <v>4309</v>
      </c>
      <c r="B3117" s="13" t="s">
        <v>2134</v>
      </c>
      <c r="C3117" s="13" t="n">
        <v>720</v>
      </c>
      <c r="D3117" s="13" t="n">
        <v>1</v>
      </c>
      <c r="E3117" s="13" t="n">
        <v>719.08</v>
      </c>
      <c r="F3117" s="13" t="s">
        <v>5288</v>
      </c>
      <c r="G3117" s="13" t="s">
        <v>5289</v>
      </c>
      <c r="H3117" s="13" t="s">
        <v>5292</v>
      </c>
      <c r="I3117" s="13" t="s">
        <v>5289</v>
      </c>
      <c r="J3117" s="13" t="s">
        <v>5289</v>
      </c>
      <c r="K3117" s="13" t="s">
        <v>5289</v>
      </c>
      <c r="L3117" s="13" t="n">
        <v>3386460171083</v>
      </c>
      <c r="M3117" s="13"/>
      <c r="N3117" s="13" t="n">
        <v>3386460171083</v>
      </c>
      <c r="O3117" s="13"/>
      <c r="P3117" s="13" t="s">
        <v>5291</v>
      </c>
      <c r="Q3117" s="13" t="s">
        <v>5289</v>
      </c>
      <c r="R3117" s="13" t="s">
        <v>5292</v>
      </c>
      <c r="S3117" s="13" t="s">
        <v>5293</v>
      </c>
      <c r="T3117" s="13" t="s">
        <v>5</v>
      </c>
      <c r="U3117" s="13" t="s">
        <v>43</v>
      </c>
      <c r="V3117" s="13" t="n">
        <f aca="false">IF(COUNTIF($B$2:B3117,B3117)=1,1,0)</f>
        <v>0</v>
      </c>
      <c r="W3117" s="13" t="n">
        <f aca="false">IF(COUNTIFS($B$2:B3117,B3117,$T$2:T3117,T3117)=1,1,0)</f>
        <v>1</v>
      </c>
    </row>
    <row r="3118" customFormat="false" ht="15" hidden="false" customHeight="false" outlineLevel="0" collapsed="false">
      <c r="A3118" s="13" t="s">
        <v>1456</v>
      </c>
      <c r="B3118" s="13" t="s">
        <v>177</v>
      </c>
      <c r="C3118" s="13" t="n">
        <v>720</v>
      </c>
      <c r="D3118" s="13" t="n">
        <v>1</v>
      </c>
      <c r="E3118" s="13" t="n">
        <v>716</v>
      </c>
      <c r="F3118" s="13" t="s">
        <v>5325</v>
      </c>
      <c r="G3118" s="13" t="s">
        <v>5289</v>
      </c>
      <c r="H3118" s="13" t="s">
        <v>5289</v>
      </c>
      <c r="I3118" s="13" t="s">
        <v>5289</v>
      </c>
      <c r="J3118" s="13" t="s">
        <v>5289</v>
      </c>
      <c r="K3118" s="13" t="s">
        <v>5289</v>
      </c>
      <c r="L3118" s="13" t="n">
        <v>8005610481005</v>
      </c>
      <c r="M3118" s="13"/>
      <c r="N3118" s="13" t="n">
        <v>8005610481005</v>
      </c>
      <c r="O3118" s="13"/>
      <c r="P3118" s="13" t="s">
        <v>5291</v>
      </c>
      <c r="Q3118" s="13" t="s">
        <v>5289</v>
      </c>
      <c r="R3118" s="13" t="s">
        <v>5292</v>
      </c>
      <c r="S3118" s="13" t="s">
        <v>5293</v>
      </c>
      <c r="T3118" s="13" t="s">
        <v>5</v>
      </c>
      <c r="U3118" s="13" t="s">
        <v>43</v>
      </c>
      <c r="V3118" s="13" t="n">
        <f aca="false">IF(COUNTIF($B$2:B3118,B3118)=1,1,0)</f>
        <v>0</v>
      </c>
      <c r="W3118" s="13" t="n">
        <f aca="false">IF(COUNTIFS($B$2:B3118,B3118,$T$2:T3118,T3118)=1,1,0)</f>
        <v>0</v>
      </c>
    </row>
    <row r="3119" customFormat="false" ht="15" hidden="false" customHeight="false" outlineLevel="0" collapsed="false">
      <c r="A3119" s="13" t="s">
        <v>1466</v>
      </c>
      <c r="B3119" s="13" t="s">
        <v>195</v>
      </c>
      <c r="C3119" s="13" t="n">
        <v>710</v>
      </c>
      <c r="D3119" s="13" t="n">
        <v>2</v>
      </c>
      <c r="E3119" s="13" t="n">
        <v>356.3</v>
      </c>
      <c r="F3119" s="13" t="s">
        <v>5325</v>
      </c>
      <c r="G3119" s="13" t="s">
        <v>5289</v>
      </c>
      <c r="H3119" s="13" t="s">
        <v>5292</v>
      </c>
      <c r="I3119" s="13" t="s">
        <v>5289</v>
      </c>
      <c r="J3119" s="13" t="s">
        <v>5289</v>
      </c>
      <c r="K3119" s="13" t="s">
        <v>5289</v>
      </c>
      <c r="L3119" s="13"/>
      <c r="M3119" s="13"/>
      <c r="N3119" s="13" t="n">
        <v>3614226905154</v>
      </c>
      <c r="O3119" s="13"/>
      <c r="P3119" s="13" t="s">
        <v>5297</v>
      </c>
      <c r="Q3119" s="13" t="s">
        <v>5289</v>
      </c>
      <c r="R3119" s="13" t="s">
        <v>5292</v>
      </c>
      <c r="S3119" s="13" t="s">
        <v>5293</v>
      </c>
      <c r="T3119" s="13" t="s">
        <v>5</v>
      </c>
      <c r="U3119" s="13" t="s">
        <v>43</v>
      </c>
      <c r="V3119" s="13" t="n">
        <f aca="false">IF(COUNTIF($B$2:B3119,B3119)=1,1,0)</f>
        <v>0</v>
      </c>
      <c r="W3119" s="13" t="n">
        <f aca="false">IF(COUNTIFS($B$2:B3119,B3119,$T$2:T3119,T3119)=1,1,0)</f>
        <v>0</v>
      </c>
    </row>
    <row r="3120" customFormat="false" ht="15" hidden="false" customHeight="false" outlineLevel="0" collapsed="false">
      <c r="A3120" s="13" t="s">
        <v>1465</v>
      </c>
      <c r="B3120" s="13" t="s">
        <v>124</v>
      </c>
      <c r="C3120" s="13" t="n">
        <v>710</v>
      </c>
      <c r="D3120" s="13" t="n">
        <v>1</v>
      </c>
      <c r="E3120" s="13" t="n">
        <v>712</v>
      </c>
      <c r="F3120" s="13" t="s">
        <v>5325</v>
      </c>
      <c r="G3120" s="13" t="s">
        <v>5292</v>
      </c>
      <c r="H3120" s="13" t="s">
        <v>5292</v>
      </c>
      <c r="I3120" s="13" t="s">
        <v>5289</v>
      </c>
      <c r="J3120" s="13" t="s">
        <v>5289</v>
      </c>
      <c r="K3120" s="13" t="s">
        <v>5289</v>
      </c>
      <c r="L3120" s="13" t="n">
        <v>3614273953696</v>
      </c>
      <c r="M3120" s="13"/>
      <c r="N3120" s="13" t="n">
        <v>3614273953696</v>
      </c>
      <c r="O3120" s="13"/>
      <c r="P3120" s="13" t="s">
        <v>5291</v>
      </c>
      <c r="Q3120" s="13" t="s">
        <v>5289</v>
      </c>
      <c r="R3120" s="13" t="s">
        <v>5292</v>
      </c>
      <c r="S3120" s="13" t="s">
        <v>5293</v>
      </c>
      <c r="T3120" s="13" t="s">
        <v>5</v>
      </c>
      <c r="U3120" s="13" t="s">
        <v>43</v>
      </c>
      <c r="V3120" s="13" t="n">
        <f aca="false">IF(COUNTIF($B$2:B3120,B3120)=1,1,0)</f>
        <v>0</v>
      </c>
      <c r="W3120" s="13" t="n">
        <f aca="false">IF(COUNTIFS($B$2:B3120,B3120,$T$2:T3120,T3120)=1,1,0)</f>
        <v>0</v>
      </c>
    </row>
    <row r="3121" customFormat="false" ht="15" hidden="false" customHeight="false" outlineLevel="0" collapsed="false">
      <c r="A3121" s="13" t="s">
        <v>1162</v>
      </c>
      <c r="B3121" s="13" t="s">
        <v>490</v>
      </c>
      <c r="C3121" s="13" t="n">
        <v>710</v>
      </c>
      <c r="D3121" s="13" t="n">
        <v>2</v>
      </c>
      <c r="E3121" s="13" t="n">
        <v>356</v>
      </c>
      <c r="F3121" s="13" t="s">
        <v>5325</v>
      </c>
      <c r="G3121" s="13" t="s">
        <v>5289</v>
      </c>
      <c r="H3121" s="13" t="s">
        <v>5289</v>
      </c>
      <c r="I3121" s="13" t="s">
        <v>5289</v>
      </c>
      <c r="J3121" s="13" t="s">
        <v>5289</v>
      </c>
      <c r="K3121" s="13" t="s">
        <v>5289</v>
      </c>
      <c r="L3121" s="13" t="n">
        <v>8011003878604</v>
      </c>
      <c r="M3121" s="13"/>
      <c r="N3121" s="13" t="n">
        <v>8011003878604</v>
      </c>
      <c r="O3121" s="13"/>
      <c r="P3121" s="13" t="s">
        <v>5291</v>
      </c>
      <c r="Q3121" s="13" t="s">
        <v>5289</v>
      </c>
      <c r="R3121" s="13" t="s">
        <v>5292</v>
      </c>
      <c r="S3121" s="13" t="s">
        <v>5293</v>
      </c>
      <c r="T3121" s="13" t="s">
        <v>5</v>
      </c>
      <c r="U3121" s="13" t="s">
        <v>43</v>
      </c>
      <c r="V3121" s="13" t="n">
        <f aca="false">IF(COUNTIF($B$2:B3121,B3121)=1,1,0)</f>
        <v>0</v>
      </c>
      <c r="W3121" s="13" t="n">
        <f aca="false">IF(COUNTIFS($B$2:B3121,B3121,$T$2:T3121,T3121)=1,1,0)</f>
        <v>0</v>
      </c>
    </row>
    <row r="3122" customFormat="false" ht="15" hidden="false" customHeight="false" outlineLevel="0" collapsed="false">
      <c r="A3122" s="13" t="s">
        <v>702</v>
      </c>
      <c r="B3122" s="13" t="s">
        <v>45</v>
      </c>
      <c r="C3122" s="13" t="n">
        <v>710</v>
      </c>
      <c r="D3122" s="13" t="n">
        <v>1</v>
      </c>
      <c r="E3122" s="13" t="n">
        <v>711.15</v>
      </c>
      <c r="F3122" s="13" t="s">
        <v>5325</v>
      </c>
      <c r="G3122" s="13" t="s">
        <v>5289</v>
      </c>
      <c r="H3122" s="13" t="s">
        <v>5292</v>
      </c>
      <c r="I3122" s="13" t="s">
        <v>5289</v>
      </c>
      <c r="J3122" s="13" t="s">
        <v>5289</v>
      </c>
      <c r="K3122" s="13" t="s">
        <v>5289</v>
      </c>
      <c r="L3122" s="13" t="n">
        <v>8435415080415</v>
      </c>
      <c r="M3122" s="13"/>
      <c r="N3122" s="13" t="n">
        <v>8435415080415</v>
      </c>
      <c r="O3122" s="13"/>
      <c r="P3122" s="13" t="s">
        <v>5291</v>
      </c>
      <c r="Q3122" s="13" t="s">
        <v>5289</v>
      </c>
      <c r="R3122" s="13" t="s">
        <v>5292</v>
      </c>
      <c r="S3122" s="13" t="s">
        <v>5293</v>
      </c>
      <c r="T3122" s="13" t="s">
        <v>5</v>
      </c>
      <c r="U3122" s="13" t="s">
        <v>43</v>
      </c>
      <c r="V3122" s="13" t="n">
        <f aca="false">IF(COUNTIF($B$2:B3122,B3122)=1,1,0)</f>
        <v>0</v>
      </c>
      <c r="W3122" s="13" t="n">
        <f aca="false">IF(COUNTIFS($B$2:B3122,B3122,$T$2:T3122,T3122)=1,1,0)</f>
        <v>0</v>
      </c>
    </row>
    <row r="3123" customFormat="false" ht="15" hidden="false" customHeight="false" outlineLevel="0" collapsed="false">
      <c r="A3123" s="13" t="s">
        <v>748</v>
      </c>
      <c r="B3123" s="13" t="s">
        <v>105</v>
      </c>
      <c r="C3123" s="13" t="n">
        <v>710</v>
      </c>
      <c r="D3123" s="13" t="n">
        <v>1</v>
      </c>
      <c r="E3123" s="13" t="n">
        <v>711.01</v>
      </c>
      <c r="F3123" s="13" t="s">
        <v>5325</v>
      </c>
      <c r="G3123" s="13" t="s">
        <v>5289</v>
      </c>
      <c r="H3123" s="13" t="s">
        <v>5289</v>
      </c>
      <c r="I3123" s="13" t="s">
        <v>5289</v>
      </c>
      <c r="J3123" s="13" t="s">
        <v>5289</v>
      </c>
      <c r="K3123" s="13" t="s">
        <v>5289</v>
      </c>
      <c r="L3123" s="13" t="n">
        <v>3616306096219</v>
      </c>
      <c r="M3123" s="13"/>
      <c r="N3123" s="13" t="n">
        <v>3616306096219</v>
      </c>
      <c r="O3123" s="13"/>
      <c r="P3123" s="13" t="s">
        <v>5291</v>
      </c>
      <c r="Q3123" s="13" t="s">
        <v>5289</v>
      </c>
      <c r="R3123" s="13" t="s">
        <v>5292</v>
      </c>
      <c r="S3123" s="13" t="s">
        <v>5293</v>
      </c>
      <c r="T3123" s="13" t="s">
        <v>5</v>
      </c>
      <c r="U3123" s="13" t="s">
        <v>43</v>
      </c>
      <c r="V3123" s="13" t="n">
        <f aca="false">IF(COUNTIF($B$2:B3123,B3123)=1,1,0)</f>
        <v>0</v>
      </c>
      <c r="W3123" s="13" t="n">
        <f aca="false">IF(COUNTIFS($B$2:B3123,B3123,$T$2:T3123,T3123)=1,1,0)</f>
        <v>0</v>
      </c>
    </row>
    <row r="3124" customFormat="false" ht="15" hidden="false" customHeight="false" outlineLevel="0" collapsed="false">
      <c r="A3124" s="13" t="s">
        <v>1463</v>
      </c>
      <c r="B3124" s="13" t="s">
        <v>59</v>
      </c>
      <c r="C3124" s="13" t="n">
        <v>710</v>
      </c>
      <c r="D3124" s="13" t="n">
        <v>2</v>
      </c>
      <c r="E3124" s="13" t="n">
        <v>237</v>
      </c>
      <c r="F3124" s="13" t="s">
        <v>5325</v>
      </c>
      <c r="G3124" s="13" t="s">
        <v>5289</v>
      </c>
      <c r="H3124" s="13" t="s">
        <v>5289</v>
      </c>
      <c r="I3124" s="13" t="s">
        <v>5289</v>
      </c>
      <c r="J3124" s="13" t="s">
        <v>5289</v>
      </c>
      <c r="K3124" s="13" t="s">
        <v>5289</v>
      </c>
      <c r="L3124" s="13"/>
      <c r="M3124" s="13"/>
      <c r="N3124" s="13" t="n">
        <v>3614228834032</v>
      </c>
      <c r="O3124" s="13"/>
      <c r="P3124" s="13" t="s">
        <v>5291</v>
      </c>
      <c r="Q3124" s="13" t="s">
        <v>5289</v>
      </c>
      <c r="R3124" s="13" t="s">
        <v>5292</v>
      </c>
      <c r="S3124" s="13" t="s">
        <v>5293</v>
      </c>
      <c r="T3124" s="13" t="s">
        <v>5</v>
      </c>
      <c r="U3124" s="13" t="s">
        <v>43</v>
      </c>
      <c r="V3124" s="13" t="n">
        <f aca="false">IF(COUNTIF($B$2:B3124,B3124)=1,1,0)</f>
        <v>0</v>
      </c>
      <c r="W3124" s="13" t="n">
        <f aca="false">IF(COUNTIFS($B$2:B3124,B3124,$T$2:T3124,T3124)=1,1,0)</f>
        <v>0</v>
      </c>
    </row>
    <row r="3125" customFormat="false" ht="15" hidden="false" customHeight="false" outlineLevel="0" collapsed="false">
      <c r="A3125" s="13" t="s">
        <v>424</v>
      </c>
      <c r="B3125" s="13" t="s">
        <v>45</v>
      </c>
      <c r="C3125" s="13" t="n">
        <v>710</v>
      </c>
      <c r="D3125" s="13" t="n">
        <v>1</v>
      </c>
      <c r="E3125" s="13" t="n">
        <v>710.97</v>
      </c>
      <c r="F3125" s="13" t="s">
        <v>5325</v>
      </c>
      <c r="G3125" s="13" t="s">
        <v>5289</v>
      </c>
      <c r="H3125" s="13" t="s">
        <v>5289</v>
      </c>
      <c r="I3125" s="13" t="s">
        <v>5289</v>
      </c>
      <c r="J3125" s="13" t="s">
        <v>5289</v>
      </c>
      <c r="K3125" s="13" t="s">
        <v>5289</v>
      </c>
      <c r="L3125" s="13" t="n">
        <v>8435415017206</v>
      </c>
      <c r="M3125" s="13"/>
      <c r="N3125" s="13" t="n">
        <v>8.43541501720634E+025</v>
      </c>
      <c r="O3125" s="13"/>
      <c r="P3125" s="13" t="s">
        <v>5291</v>
      </c>
      <c r="Q3125" s="13" t="s">
        <v>5289</v>
      </c>
      <c r="R3125" s="13" t="s">
        <v>5292</v>
      </c>
      <c r="S3125" s="13" t="s">
        <v>5293</v>
      </c>
      <c r="T3125" s="13" t="s">
        <v>5</v>
      </c>
      <c r="U3125" s="13" t="s">
        <v>43</v>
      </c>
      <c r="V3125" s="13" t="n">
        <f aca="false">IF(COUNTIF($B$2:B3125,B3125)=1,1,0)</f>
        <v>0</v>
      </c>
      <c r="W3125" s="13" t="n">
        <f aca="false">IF(COUNTIFS($B$2:B3125,B3125,$T$2:T3125,T3125)=1,1,0)</f>
        <v>0</v>
      </c>
    </row>
    <row r="3126" customFormat="false" ht="15" hidden="false" customHeight="false" outlineLevel="0" collapsed="false">
      <c r="A3126" s="13" t="s">
        <v>238</v>
      </c>
      <c r="B3126" s="13" t="s">
        <v>124</v>
      </c>
      <c r="C3126" s="13" t="n">
        <v>710</v>
      </c>
      <c r="D3126" s="13" t="n">
        <v>1</v>
      </c>
      <c r="E3126" s="13" t="n">
        <v>710.19</v>
      </c>
      <c r="F3126" s="13" t="s">
        <v>5288</v>
      </c>
      <c r="G3126" s="13" t="s">
        <v>5289</v>
      </c>
      <c r="H3126" s="13" t="s">
        <v>5289</v>
      </c>
      <c r="I3126" s="13" t="s">
        <v>5289</v>
      </c>
      <c r="J3126" s="13" t="s">
        <v>5289</v>
      </c>
      <c r="K3126" s="13" t="s">
        <v>5289</v>
      </c>
      <c r="L3126" s="13" t="n">
        <v>3614274219579</v>
      </c>
      <c r="M3126" s="13"/>
      <c r="N3126" s="13" t="n">
        <v>3614274219579</v>
      </c>
      <c r="O3126" s="13"/>
      <c r="P3126" s="13" t="s">
        <v>5297</v>
      </c>
      <c r="Q3126" s="13" t="s">
        <v>5289</v>
      </c>
      <c r="R3126" s="13" t="s">
        <v>5292</v>
      </c>
      <c r="S3126" s="13" t="s">
        <v>5293</v>
      </c>
      <c r="T3126" s="13" t="s">
        <v>5</v>
      </c>
      <c r="U3126" s="13" t="s">
        <v>43</v>
      </c>
      <c r="V3126" s="13" t="n">
        <f aca="false">IF(COUNTIF($B$2:B3126,B3126)=1,1,0)</f>
        <v>0</v>
      </c>
      <c r="W3126" s="13" t="n">
        <f aca="false">IF(COUNTIFS($B$2:B3126,B3126,$T$2:T3126,T3126)=1,1,0)</f>
        <v>0</v>
      </c>
    </row>
    <row r="3127" customFormat="false" ht="15" hidden="false" customHeight="false" outlineLevel="0" collapsed="false">
      <c r="A3127" s="13" t="s">
        <v>494</v>
      </c>
      <c r="B3127" s="13" t="s">
        <v>124</v>
      </c>
      <c r="C3127" s="13" t="n">
        <v>710</v>
      </c>
      <c r="D3127" s="13" t="n">
        <v>1</v>
      </c>
      <c r="E3127" s="13" t="n">
        <v>706.93</v>
      </c>
      <c r="F3127" s="13" t="s">
        <v>5288</v>
      </c>
      <c r="G3127" s="13" t="s">
        <v>5292</v>
      </c>
      <c r="H3127" s="13" t="s">
        <v>5289</v>
      </c>
      <c r="I3127" s="13" t="s">
        <v>5289</v>
      </c>
      <c r="J3127" s="13" t="s">
        <v>5289</v>
      </c>
      <c r="K3127" s="13" t="s">
        <v>5289</v>
      </c>
      <c r="L3127" s="13"/>
      <c r="M3127" s="13"/>
      <c r="N3127" s="13" t="n">
        <v>3614273636513</v>
      </c>
      <c r="O3127" s="13"/>
      <c r="P3127" s="13" t="s">
        <v>5291</v>
      </c>
      <c r="Q3127" s="13" t="s">
        <v>5289</v>
      </c>
      <c r="R3127" s="13" t="s">
        <v>5292</v>
      </c>
      <c r="S3127" s="13" t="s">
        <v>5293</v>
      </c>
      <c r="T3127" s="13" t="s">
        <v>5</v>
      </c>
      <c r="U3127" s="13" t="s">
        <v>43</v>
      </c>
      <c r="V3127" s="13" t="n">
        <f aca="false">IF(COUNTIF($B$2:B3127,B3127)=1,1,0)</f>
        <v>0</v>
      </c>
      <c r="W3127" s="13" t="n">
        <f aca="false">IF(COUNTIFS($B$2:B3127,B3127,$T$2:T3127,T3127)=1,1,0)</f>
        <v>0</v>
      </c>
    </row>
    <row r="3128" customFormat="false" ht="15" hidden="false" customHeight="false" outlineLevel="0" collapsed="false">
      <c r="A3128" s="13" t="s">
        <v>4331</v>
      </c>
      <c r="B3128" s="13" t="s">
        <v>2139</v>
      </c>
      <c r="C3128" s="13" t="n">
        <v>700</v>
      </c>
      <c r="D3128" s="13" t="n">
        <v>2</v>
      </c>
      <c r="E3128" s="13" t="n">
        <v>176.175</v>
      </c>
      <c r="F3128" s="13" t="s">
        <v>5288</v>
      </c>
      <c r="G3128" s="13" t="s">
        <v>5289</v>
      </c>
      <c r="H3128" s="13" t="s">
        <v>5289</v>
      </c>
      <c r="I3128" s="13" t="s">
        <v>5289</v>
      </c>
      <c r="J3128" s="13" t="s">
        <v>5289</v>
      </c>
      <c r="K3128" s="13" t="s">
        <v>5289</v>
      </c>
      <c r="L3128" s="13" t="n">
        <v>8411061114223</v>
      </c>
      <c r="M3128" s="13"/>
      <c r="N3128" s="13" t="n">
        <v>8411061114223</v>
      </c>
      <c r="O3128" s="13"/>
      <c r="P3128" s="13" t="s">
        <v>5291</v>
      </c>
      <c r="Q3128" s="13" t="s">
        <v>5289</v>
      </c>
      <c r="R3128" s="13" t="s">
        <v>5292</v>
      </c>
      <c r="S3128" s="13" t="s">
        <v>5293</v>
      </c>
      <c r="T3128" s="13" t="s">
        <v>5</v>
      </c>
      <c r="U3128" s="13" t="s">
        <v>43</v>
      </c>
      <c r="V3128" s="13" t="n">
        <f aca="false">IF(COUNTIF($B$2:B3128,B3128)=1,1,0)</f>
        <v>0</v>
      </c>
      <c r="W3128" s="13" t="n">
        <f aca="false">IF(COUNTIFS($B$2:B3128,B3128,$T$2:T3128,T3128)=1,1,0)</f>
        <v>0</v>
      </c>
    </row>
    <row r="3129" customFormat="false" ht="15" hidden="false" customHeight="false" outlineLevel="0" collapsed="false">
      <c r="A3129" s="13" t="s">
        <v>1470</v>
      </c>
      <c r="B3129" s="13" t="s">
        <v>124</v>
      </c>
      <c r="C3129" s="13" t="n">
        <v>700</v>
      </c>
      <c r="D3129" s="13" t="n">
        <v>1</v>
      </c>
      <c r="E3129" s="13" t="n">
        <v>703.65</v>
      </c>
      <c r="F3129" s="13" t="s">
        <v>5325</v>
      </c>
      <c r="G3129" s="13" t="s">
        <v>5289</v>
      </c>
      <c r="H3129" s="13" t="s">
        <v>5292</v>
      </c>
      <c r="I3129" s="13" t="s">
        <v>5289</v>
      </c>
      <c r="J3129" s="13" t="s">
        <v>5289</v>
      </c>
      <c r="K3129" s="13" t="s">
        <v>5289</v>
      </c>
      <c r="L3129" s="13" t="n">
        <v>3614273347846</v>
      </c>
      <c r="M3129" s="13"/>
      <c r="N3129" s="13" t="n">
        <v>3614273347846</v>
      </c>
      <c r="O3129" s="13"/>
      <c r="P3129" s="13" t="s">
        <v>5291</v>
      </c>
      <c r="Q3129" s="13" t="s">
        <v>5289</v>
      </c>
      <c r="R3129" s="13" t="s">
        <v>5292</v>
      </c>
      <c r="S3129" s="13" t="s">
        <v>5293</v>
      </c>
      <c r="T3129" s="13" t="s">
        <v>5</v>
      </c>
      <c r="U3129" s="13" t="s">
        <v>43</v>
      </c>
      <c r="V3129" s="13" t="n">
        <f aca="false">IF(COUNTIF($B$2:B3129,B3129)=1,1,0)</f>
        <v>0</v>
      </c>
      <c r="W3129" s="13" t="n">
        <f aca="false">IF(COUNTIFS($B$2:B3129,B3129,$T$2:T3129,T3129)=1,1,0)</f>
        <v>0</v>
      </c>
    </row>
    <row r="3130" customFormat="false" ht="15" hidden="false" customHeight="false" outlineLevel="0" collapsed="false">
      <c r="A3130" s="13" t="s">
        <v>1163</v>
      </c>
      <c r="B3130" s="13" t="s">
        <v>103</v>
      </c>
      <c r="C3130" s="13" t="n">
        <v>700</v>
      </c>
      <c r="D3130" s="13" t="n">
        <v>2</v>
      </c>
      <c r="E3130" s="13" t="n">
        <v>175.6375</v>
      </c>
      <c r="F3130" s="13" t="s">
        <v>5288</v>
      </c>
      <c r="G3130" s="13" t="s">
        <v>5289</v>
      </c>
      <c r="H3130" s="13" t="s">
        <v>5289</v>
      </c>
      <c r="I3130" s="13" t="s">
        <v>5289</v>
      </c>
      <c r="J3130" s="13" t="s">
        <v>5289</v>
      </c>
      <c r="K3130" s="13" t="s">
        <v>5292</v>
      </c>
      <c r="L3130" s="13" t="n">
        <v>8411061982105</v>
      </c>
      <c r="M3130" s="13"/>
      <c r="N3130" s="13" t="n">
        <v>8.41106198210584E+025</v>
      </c>
      <c r="O3130" s="13"/>
      <c r="P3130" s="13" t="s">
        <v>5291</v>
      </c>
      <c r="Q3130" s="13" t="s">
        <v>5289</v>
      </c>
      <c r="R3130" s="13" t="s">
        <v>5292</v>
      </c>
      <c r="S3130" s="13" t="s">
        <v>5293</v>
      </c>
      <c r="T3130" s="13" t="s">
        <v>5</v>
      </c>
      <c r="U3130" s="13" t="s">
        <v>43</v>
      </c>
      <c r="V3130" s="13" t="n">
        <f aca="false">IF(COUNTIF($B$2:B3130,B3130)=1,1,0)</f>
        <v>0</v>
      </c>
      <c r="W3130" s="13" t="n">
        <f aca="false">IF(COUNTIFS($B$2:B3130,B3130,$T$2:T3130,T3130)=1,1,0)</f>
        <v>0</v>
      </c>
    </row>
    <row r="3131" customFormat="false" ht="15" hidden="false" customHeight="false" outlineLevel="0" collapsed="false">
      <c r="A3131" s="13" t="s">
        <v>6391</v>
      </c>
      <c r="B3131" s="13" t="s">
        <v>2103</v>
      </c>
      <c r="C3131" s="13" t="n">
        <v>700</v>
      </c>
      <c r="D3131" s="13" t="n">
        <v>5</v>
      </c>
      <c r="E3131" s="13" t="n">
        <v>116.82</v>
      </c>
      <c r="F3131" s="13" t="s">
        <v>5288</v>
      </c>
      <c r="G3131" s="13" t="s">
        <v>5292</v>
      </c>
      <c r="H3131" s="13" t="s">
        <v>5289</v>
      </c>
      <c r="I3131" s="13" t="s">
        <v>5289</v>
      </c>
      <c r="J3131" s="13" t="s">
        <v>5289</v>
      </c>
      <c r="K3131" s="13" t="s">
        <v>5289</v>
      </c>
      <c r="L3131" s="13" t="n">
        <v>309974700030</v>
      </c>
      <c r="M3131" s="13"/>
      <c r="N3131" s="13" t="n">
        <v>309974700030</v>
      </c>
      <c r="O3131" s="13"/>
      <c r="P3131" s="13" t="s">
        <v>5297</v>
      </c>
      <c r="Q3131" s="13" t="s">
        <v>5289</v>
      </c>
      <c r="R3131" s="13" t="s">
        <v>5292</v>
      </c>
      <c r="S3131" s="13" t="s">
        <v>5293</v>
      </c>
      <c r="T3131" s="13" t="s">
        <v>5</v>
      </c>
      <c r="U3131" s="13" t="s">
        <v>85</v>
      </c>
      <c r="V3131" s="13" t="n">
        <f aca="false">IF(COUNTIF($B$2:B3131,B3131)=1,1,0)</f>
        <v>0</v>
      </c>
      <c r="W3131" s="13" t="n">
        <f aca="false">IF(COUNTIFS($B$2:B3131,B3131,$T$2:T3131,T3131)=1,1,0)</f>
        <v>0</v>
      </c>
    </row>
    <row r="3132" customFormat="false" ht="15" hidden="false" customHeight="false" outlineLevel="0" collapsed="false">
      <c r="A3132" s="13" t="s">
        <v>1471</v>
      </c>
      <c r="B3132" s="13" t="s">
        <v>124</v>
      </c>
      <c r="C3132" s="13" t="n">
        <v>700</v>
      </c>
      <c r="D3132" s="13" t="n">
        <v>1</v>
      </c>
      <c r="E3132" s="13" t="n">
        <v>700.85</v>
      </c>
      <c r="F3132" s="13" t="s">
        <v>5325</v>
      </c>
      <c r="G3132" s="13" t="s">
        <v>5292</v>
      </c>
      <c r="H3132" s="13" t="s">
        <v>5292</v>
      </c>
      <c r="I3132" s="13" t="s">
        <v>5289</v>
      </c>
      <c r="J3132" s="13" t="s">
        <v>5289</v>
      </c>
      <c r="K3132" s="13" t="s">
        <v>5292</v>
      </c>
      <c r="L3132" s="13" t="n">
        <v>3614273955416</v>
      </c>
      <c r="M3132" s="13"/>
      <c r="N3132" s="13" t="n">
        <v>3614273955416</v>
      </c>
      <c r="O3132" s="13"/>
      <c r="P3132" s="13" t="s">
        <v>5291</v>
      </c>
      <c r="Q3132" s="13" t="s">
        <v>5289</v>
      </c>
      <c r="R3132" s="13" t="s">
        <v>5292</v>
      </c>
      <c r="S3132" s="13" t="s">
        <v>5293</v>
      </c>
      <c r="T3132" s="13" t="s">
        <v>5</v>
      </c>
      <c r="U3132" s="13" t="s">
        <v>43</v>
      </c>
      <c r="V3132" s="13" t="n">
        <f aca="false">IF(COUNTIF($B$2:B3132,B3132)=1,1,0)</f>
        <v>0</v>
      </c>
      <c r="W3132" s="13" t="n">
        <f aca="false">IF(COUNTIFS($B$2:B3132,B3132,$T$2:T3132,T3132)=1,1,0)</f>
        <v>0</v>
      </c>
    </row>
    <row r="3133" customFormat="false" ht="15" hidden="false" customHeight="false" outlineLevel="0" collapsed="false">
      <c r="A3133" s="13" t="s">
        <v>1478</v>
      </c>
      <c r="B3133" s="13" t="s">
        <v>54</v>
      </c>
      <c r="C3133" s="13" t="n">
        <v>700</v>
      </c>
      <c r="D3133" s="13" t="n">
        <v>1</v>
      </c>
      <c r="E3133" s="13" t="n">
        <v>700.85</v>
      </c>
      <c r="F3133" s="13" t="s">
        <v>5325</v>
      </c>
      <c r="G3133" s="13" t="s">
        <v>5289</v>
      </c>
      <c r="H3133" s="13" t="s">
        <v>5289</v>
      </c>
      <c r="I3133" s="13" t="s">
        <v>5289</v>
      </c>
      <c r="J3133" s="13" t="s">
        <v>5289</v>
      </c>
      <c r="K3133" s="13" t="s">
        <v>5292</v>
      </c>
      <c r="L3133" s="13" t="n">
        <v>729238222588</v>
      </c>
      <c r="M3133" s="13"/>
      <c r="N3133" s="13" t="n">
        <v>729238222588</v>
      </c>
      <c r="O3133" s="13"/>
      <c r="P3133" s="13" t="s">
        <v>5291</v>
      </c>
      <c r="Q3133" s="13" t="s">
        <v>5289</v>
      </c>
      <c r="R3133" s="13" t="s">
        <v>5292</v>
      </c>
      <c r="S3133" s="13" t="s">
        <v>5293</v>
      </c>
      <c r="T3133" s="13" t="s">
        <v>5</v>
      </c>
      <c r="U3133" s="13" t="s">
        <v>43</v>
      </c>
      <c r="V3133" s="13" t="n">
        <f aca="false">IF(COUNTIF($B$2:B3133,B3133)=1,1,0)</f>
        <v>0</v>
      </c>
      <c r="W3133" s="13" t="n">
        <f aca="false">IF(COUNTIFS($B$2:B3133,B3133,$T$2:T3133,T3133)=1,1,0)</f>
        <v>0</v>
      </c>
    </row>
    <row r="3134" customFormat="false" ht="15" hidden="false" customHeight="false" outlineLevel="0" collapsed="false">
      <c r="A3134" s="13" t="s">
        <v>4336</v>
      </c>
      <c r="B3134" s="13" t="s">
        <v>2131</v>
      </c>
      <c r="C3134" s="13" t="n">
        <v>700</v>
      </c>
      <c r="D3134" s="13" t="n">
        <v>1</v>
      </c>
      <c r="E3134" s="13" t="n">
        <v>700.34</v>
      </c>
      <c r="F3134" s="13" t="s">
        <v>5288</v>
      </c>
      <c r="G3134" s="13" t="s">
        <v>5292</v>
      </c>
      <c r="H3134" s="13" t="s">
        <v>5289</v>
      </c>
      <c r="I3134" s="13" t="s">
        <v>5289</v>
      </c>
      <c r="J3134" s="13" t="s">
        <v>5289</v>
      </c>
      <c r="K3134" s="13" t="s">
        <v>5289</v>
      </c>
      <c r="L3134" s="13"/>
      <c r="M3134" s="13"/>
      <c r="N3134" s="13" t="n">
        <v>3423222055615</v>
      </c>
      <c r="O3134" s="13"/>
      <c r="P3134" s="13" t="s">
        <v>5297</v>
      </c>
      <c r="Q3134" s="13" t="s">
        <v>5289</v>
      </c>
      <c r="R3134" s="13" t="s">
        <v>5292</v>
      </c>
      <c r="S3134" s="13" t="s">
        <v>5293</v>
      </c>
      <c r="T3134" s="13" t="s">
        <v>5</v>
      </c>
      <c r="U3134" s="13" t="s">
        <v>43</v>
      </c>
      <c r="V3134" s="13" t="n">
        <f aca="false">IF(COUNTIF($B$2:B3134,B3134)=1,1,0)</f>
        <v>0</v>
      </c>
      <c r="W3134" s="13" t="n">
        <f aca="false">IF(COUNTIFS($B$2:B3134,B3134,$T$2:T3134,T3134)=1,1,0)</f>
        <v>0</v>
      </c>
    </row>
    <row r="3135" customFormat="false" ht="15" hidden="false" customHeight="false" outlineLevel="0" collapsed="false">
      <c r="A3135" s="13" t="s">
        <v>409</v>
      </c>
      <c r="B3135" s="13" t="s">
        <v>45</v>
      </c>
      <c r="C3135" s="13" t="n">
        <v>700</v>
      </c>
      <c r="D3135" s="13" t="n">
        <v>1</v>
      </c>
      <c r="E3135" s="13" t="n">
        <v>699.9</v>
      </c>
      <c r="F3135" s="13" t="s">
        <v>5325</v>
      </c>
      <c r="G3135" s="13" t="s">
        <v>5289</v>
      </c>
      <c r="H3135" s="13" t="s">
        <v>5289</v>
      </c>
      <c r="I3135" s="13" t="s">
        <v>5289</v>
      </c>
      <c r="J3135" s="13" t="s">
        <v>5289</v>
      </c>
      <c r="K3135" s="13" t="s">
        <v>5289</v>
      </c>
      <c r="L3135" s="13" t="n">
        <v>8435415091251</v>
      </c>
      <c r="M3135" s="13"/>
      <c r="N3135" s="13" t="n">
        <v>8435415091251</v>
      </c>
      <c r="O3135" s="13"/>
      <c r="P3135" s="13" t="s">
        <v>5291</v>
      </c>
      <c r="Q3135" s="13" t="s">
        <v>5289</v>
      </c>
      <c r="R3135" s="13" t="s">
        <v>5292</v>
      </c>
      <c r="S3135" s="13" t="s">
        <v>5293</v>
      </c>
      <c r="T3135" s="13" t="s">
        <v>5</v>
      </c>
      <c r="U3135" s="13" t="s">
        <v>43</v>
      </c>
      <c r="V3135" s="13" t="n">
        <f aca="false">IF(COUNTIF($B$2:B3135,B3135)=1,1,0)</f>
        <v>0</v>
      </c>
      <c r="W3135" s="13" t="n">
        <f aca="false">IF(COUNTIFS($B$2:B3135,B3135,$T$2:T3135,T3135)=1,1,0)</f>
        <v>0</v>
      </c>
    </row>
    <row r="3136" customFormat="false" ht="15" hidden="false" customHeight="false" outlineLevel="0" collapsed="false">
      <c r="A3136" s="13" t="s">
        <v>253</v>
      </c>
      <c r="B3136" s="13" t="s">
        <v>61</v>
      </c>
      <c r="C3136" s="13" t="n">
        <v>700</v>
      </c>
      <c r="D3136" s="13" t="n">
        <v>1</v>
      </c>
      <c r="E3136" s="13" t="n">
        <v>699.85</v>
      </c>
      <c r="F3136" s="13" t="s">
        <v>5325</v>
      </c>
      <c r="G3136" s="13" t="s">
        <v>5289</v>
      </c>
      <c r="H3136" s="13" t="s">
        <v>5289</v>
      </c>
      <c r="I3136" s="13" t="s">
        <v>5289</v>
      </c>
      <c r="J3136" s="13" t="s">
        <v>5289</v>
      </c>
      <c r="K3136" s="13" t="s">
        <v>5292</v>
      </c>
      <c r="L3136" s="13" t="n">
        <v>3614274397246</v>
      </c>
      <c r="M3136" s="13"/>
      <c r="N3136" s="13" t="n">
        <v>3614274397246</v>
      </c>
      <c r="O3136" s="13"/>
      <c r="P3136" s="13" t="s">
        <v>5291</v>
      </c>
      <c r="Q3136" s="13" t="s">
        <v>5289</v>
      </c>
      <c r="R3136" s="13" t="s">
        <v>5292</v>
      </c>
      <c r="S3136" s="13" t="s">
        <v>5293</v>
      </c>
      <c r="T3136" s="13" t="s">
        <v>5</v>
      </c>
      <c r="U3136" s="13" t="s">
        <v>43</v>
      </c>
      <c r="V3136" s="13" t="n">
        <f aca="false">IF(COUNTIF($B$2:B3136,B3136)=1,1,0)</f>
        <v>0</v>
      </c>
      <c r="W3136" s="13" t="n">
        <f aca="false">IF(COUNTIFS($B$2:B3136,B3136,$T$2:T3136,T3136)=1,1,0)</f>
        <v>0</v>
      </c>
    </row>
    <row r="3137" customFormat="false" ht="15" hidden="false" customHeight="false" outlineLevel="0" collapsed="false">
      <c r="A3137" s="13" t="s">
        <v>1477</v>
      </c>
      <c r="B3137" s="13" t="s">
        <v>72</v>
      </c>
      <c r="C3137" s="13" t="n">
        <v>700</v>
      </c>
      <c r="D3137" s="13" t="n">
        <v>1</v>
      </c>
      <c r="E3137" s="13" t="n">
        <v>699</v>
      </c>
      <c r="F3137" s="13" t="s">
        <v>5325</v>
      </c>
      <c r="G3137" s="13" t="s">
        <v>5289</v>
      </c>
      <c r="H3137" s="13" t="s">
        <v>5289</v>
      </c>
      <c r="I3137" s="13" t="s">
        <v>5289</v>
      </c>
      <c r="J3137" s="13" t="s">
        <v>5289</v>
      </c>
      <c r="K3137" s="13" t="s">
        <v>5289</v>
      </c>
      <c r="L3137" s="13" t="n">
        <v>3614273556620</v>
      </c>
      <c r="M3137" s="13"/>
      <c r="N3137" s="13" t="n">
        <v>3614273556620</v>
      </c>
      <c r="O3137" s="13"/>
      <c r="P3137" s="13" t="s">
        <v>5297</v>
      </c>
      <c r="Q3137" s="13" t="s">
        <v>5289</v>
      </c>
      <c r="R3137" s="13" t="s">
        <v>5292</v>
      </c>
      <c r="S3137" s="13" t="s">
        <v>5293</v>
      </c>
      <c r="T3137" s="13" t="s">
        <v>5</v>
      </c>
      <c r="U3137" s="13" t="s">
        <v>43</v>
      </c>
      <c r="V3137" s="13" t="n">
        <f aca="false">IF(COUNTIF($B$2:B3137,B3137)=1,1,0)</f>
        <v>0</v>
      </c>
      <c r="W3137" s="13" t="n">
        <f aca="false">IF(COUNTIFS($B$2:B3137,B3137,$T$2:T3137,T3137)=1,1,0)</f>
        <v>0</v>
      </c>
    </row>
    <row r="3138" customFormat="false" ht="15" hidden="false" customHeight="false" outlineLevel="0" collapsed="false">
      <c r="A3138" s="13" t="s">
        <v>1468</v>
      </c>
      <c r="B3138" s="13" t="s">
        <v>329</v>
      </c>
      <c r="C3138" s="13" t="n">
        <v>700</v>
      </c>
      <c r="D3138" s="13" t="n">
        <v>1</v>
      </c>
      <c r="E3138" s="13" t="n">
        <v>698.85</v>
      </c>
      <c r="F3138" s="13" t="s">
        <v>5325</v>
      </c>
      <c r="G3138" s="13" t="s">
        <v>5289</v>
      </c>
      <c r="H3138" s="13" t="s">
        <v>5289</v>
      </c>
      <c r="I3138" s="13" t="s">
        <v>5289</v>
      </c>
      <c r="J3138" s="13" t="s">
        <v>5289</v>
      </c>
      <c r="K3138" s="13" t="s">
        <v>5292</v>
      </c>
      <c r="L3138" s="13"/>
      <c r="M3138" s="13"/>
      <c r="N3138" s="13" t="n">
        <v>3137370363156</v>
      </c>
      <c r="O3138" s="13"/>
      <c r="P3138" s="13" t="s">
        <v>5291</v>
      </c>
      <c r="Q3138" s="13" t="s">
        <v>5289</v>
      </c>
      <c r="R3138" s="13" t="s">
        <v>5292</v>
      </c>
      <c r="S3138" s="13" t="s">
        <v>5293</v>
      </c>
      <c r="T3138" s="13" t="s">
        <v>5</v>
      </c>
      <c r="U3138" s="13" t="s">
        <v>43</v>
      </c>
      <c r="V3138" s="13" t="n">
        <f aca="false">IF(COUNTIF($B$2:B3138,B3138)=1,1,0)</f>
        <v>0</v>
      </c>
      <c r="W3138" s="13" t="n">
        <f aca="false">IF(COUNTIFS($B$2:B3138,B3138,$T$2:T3138,T3138)=1,1,0)</f>
        <v>0</v>
      </c>
    </row>
    <row r="3139" customFormat="false" ht="15" hidden="false" customHeight="false" outlineLevel="0" collapsed="false">
      <c r="A3139" s="13" t="s">
        <v>1162</v>
      </c>
      <c r="B3139" s="13" t="s">
        <v>490</v>
      </c>
      <c r="C3139" s="13" t="n">
        <v>700</v>
      </c>
      <c r="D3139" s="13" t="n">
        <v>1</v>
      </c>
      <c r="E3139" s="13" t="n">
        <v>698.85</v>
      </c>
      <c r="F3139" s="13" t="s">
        <v>5288</v>
      </c>
      <c r="G3139" s="13" t="s">
        <v>5292</v>
      </c>
      <c r="H3139" s="13" t="s">
        <v>5292</v>
      </c>
      <c r="I3139" s="13" t="s">
        <v>5289</v>
      </c>
      <c r="J3139" s="13" t="s">
        <v>5289</v>
      </c>
      <c r="K3139" s="13" t="s">
        <v>5292</v>
      </c>
      <c r="L3139" s="13" t="n">
        <v>8011003878611</v>
      </c>
      <c r="M3139" s="13"/>
      <c r="N3139" s="13" t="n">
        <v>8011003878611</v>
      </c>
      <c r="O3139" s="13"/>
      <c r="P3139" s="13" t="s">
        <v>5291</v>
      </c>
      <c r="Q3139" s="13" t="s">
        <v>5289</v>
      </c>
      <c r="R3139" s="13" t="s">
        <v>5292</v>
      </c>
      <c r="S3139" s="13" t="s">
        <v>5293</v>
      </c>
      <c r="T3139" s="13" t="s">
        <v>5</v>
      </c>
      <c r="U3139" s="13" t="s">
        <v>43</v>
      </c>
      <c r="V3139" s="13" t="n">
        <f aca="false">IF(COUNTIF($B$2:B3139,B3139)=1,1,0)</f>
        <v>0</v>
      </c>
      <c r="W3139" s="13" t="n">
        <f aca="false">IF(COUNTIFS($B$2:B3139,B3139,$T$2:T3139,T3139)=1,1,0)</f>
        <v>0</v>
      </c>
    </row>
    <row r="3140" customFormat="false" ht="15" hidden="false" customHeight="false" outlineLevel="0" collapsed="false">
      <c r="A3140" s="13" t="s">
        <v>1469</v>
      </c>
      <c r="B3140" s="13" t="s">
        <v>50</v>
      </c>
      <c r="C3140" s="13" t="n">
        <v>700</v>
      </c>
      <c r="D3140" s="13" t="n">
        <v>1</v>
      </c>
      <c r="E3140" s="13" t="n">
        <v>698.85</v>
      </c>
      <c r="F3140" s="13" t="s">
        <v>5325</v>
      </c>
      <c r="G3140" s="13" t="s">
        <v>5289</v>
      </c>
      <c r="H3140" s="13" t="s">
        <v>5289</v>
      </c>
      <c r="I3140" s="13" t="s">
        <v>5289</v>
      </c>
      <c r="J3140" s="13" t="s">
        <v>5289</v>
      </c>
      <c r="K3140" s="13" t="s">
        <v>5292</v>
      </c>
      <c r="L3140" s="13"/>
      <c r="M3140" s="13"/>
      <c r="N3140" s="13" t="n">
        <v>3349668617043</v>
      </c>
      <c r="O3140" s="13"/>
      <c r="P3140" s="13" t="s">
        <v>5291</v>
      </c>
      <c r="Q3140" s="13" t="s">
        <v>5289</v>
      </c>
      <c r="R3140" s="13" t="s">
        <v>5292</v>
      </c>
      <c r="S3140" s="13" t="s">
        <v>5293</v>
      </c>
      <c r="T3140" s="13" t="s">
        <v>5</v>
      </c>
      <c r="U3140" s="13" t="s">
        <v>43</v>
      </c>
      <c r="V3140" s="13" t="n">
        <f aca="false">IF(COUNTIF($B$2:B3140,B3140)=1,1,0)</f>
        <v>0</v>
      </c>
      <c r="W3140" s="13" t="n">
        <f aca="false">IF(COUNTIFS($B$2:B3140,B3140,$T$2:T3140,T3140)=1,1,0)</f>
        <v>0</v>
      </c>
    </row>
    <row r="3141" customFormat="false" ht="15" hidden="false" customHeight="false" outlineLevel="0" collapsed="false">
      <c r="A3141" s="13" t="s">
        <v>1440</v>
      </c>
      <c r="B3141" s="13" t="s">
        <v>42</v>
      </c>
      <c r="C3141" s="13" t="n">
        <v>700</v>
      </c>
      <c r="D3141" s="13" t="n">
        <v>1</v>
      </c>
      <c r="E3141" s="13" t="n">
        <v>698.85</v>
      </c>
      <c r="F3141" s="13" t="s">
        <v>5325</v>
      </c>
      <c r="G3141" s="13" t="s">
        <v>5289</v>
      </c>
      <c r="H3141" s="13" t="s">
        <v>5292</v>
      </c>
      <c r="I3141" s="13" t="s">
        <v>5289</v>
      </c>
      <c r="J3141" s="13" t="s">
        <v>5289</v>
      </c>
      <c r="K3141" s="13" t="s">
        <v>5292</v>
      </c>
      <c r="L3141" s="13" t="n">
        <v>8411061994702</v>
      </c>
      <c r="M3141" s="13"/>
      <c r="N3141" s="13" t="n">
        <v>8411061994702</v>
      </c>
      <c r="O3141" s="13"/>
      <c r="P3141" s="13" t="s">
        <v>5291</v>
      </c>
      <c r="Q3141" s="13" t="s">
        <v>5289</v>
      </c>
      <c r="R3141" s="13" t="s">
        <v>5292</v>
      </c>
      <c r="S3141" s="13" t="s">
        <v>5293</v>
      </c>
      <c r="T3141" s="13" t="s">
        <v>5</v>
      </c>
      <c r="U3141" s="13" t="s">
        <v>43</v>
      </c>
      <c r="V3141" s="13" t="n">
        <f aca="false">IF(COUNTIF($B$2:B3141,B3141)=1,1,0)</f>
        <v>0</v>
      </c>
      <c r="W3141" s="13" t="n">
        <f aca="false">IF(COUNTIFS($B$2:B3141,B3141,$T$2:T3141,T3141)=1,1,0)</f>
        <v>0</v>
      </c>
    </row>
    <row r="3142" customFormat="false" ht="15" hidden="false" customHeight="false" outlineLevel="0" collapsed="false">
      <c r="A3142" s="13" t="s">
        <v>1472</v>
      </c>
      <c r="B3142" s="13" t="s">
        <v>50</v>
      </c>
      <c r="C3142" s="13" t="n">
        <v>700</v>
      </c>
      <c r="D3142" s="13" t="n">
        <v>1</v>
      </c>
      <c r="E3142" s="13" t="n">
        <v>698.85</v>
      </c>
      <c r="F3142" s="13" t="s">
        <v>5288</v>
      </c>
      <c r="G3142" s="13" t="s">
        <v>5292</v>
      </c>
      <c r="H3142" s="13" t="s">
        <v>5289</v>
      </c>
      <c r="I3142" s="13" t="s">
        <v>5289</v>
      </c>
      <c r="J3142" s="13" t="s">
        <v>5289</v>
      </c>
      <c r="K3142" s="13" t="s">
        <v>5292</v>
      </c>
      <c r="L3142" s="13" t="n">
        <v>3349668588749</v>
      </c>
      <c r="M3142" s="13"/>
      <c r="N3142" s="13" t="n">
        <v>3349668588749</v>
      </c>
      <c r="O3142" s="13"/>
      <c r="P3142" s="13" t="s">
        <v>5291</v>
      </c>
      <c r="Q3142" s="13" t="s">
        <v>5289</v>
      </c>
      <c r="R3142" s="13" t="s">
        <v>5292</v>
      </c>
      <c r="S3142" s="13" t="s">
        <v>5293</v>
      </c>
      <c r="T3142" s="13" t="s">
        <v>5</v>
      </c>
      <c r="U3142" s="13" t="s">
        <v>43</v>
      </c>
      <c r="V3142" s="13" t="n">
        <f aca="false">IF(COUNTIF($B$2:B3142,B3142)=1,1,0)</f>
        <v>0</v>
      </c>
      <c r="W3142" s="13" t="n">
        <f aca="false">IF(COUNTIFS($B$2:B3142,B3142,$T$2:T3142,T3142)=1,1,0)</f>
        <v>0</v>
      </c>
    </row>
    <row r="3143" customFormat="false" ht="15" hidden="false" customHeight="false" outlineLevel="0" collapsed="false">
      <c r="A3143" s="13" t="s">
        <v>1467</v>
      </c>
      <c r="B3143" s="13" t="s">
        <v>153</v>
      </c>
      <c r="C3143" s="13" t="n">
        <v>700</v>
      </c>
      <c r="D3143" s="13" t="n">
        <v>2</v>
      </c>
      <c r="E3143" s="13" t="n">
        <v>349.37</v>
      </c>
      <c r="F3143" s="13" t="s">
        <v>5288</v>
      </c>
      <c r="G3143" s="13" t="s">
        <v>5289</v>
      </c>
      <c r="H3143" s="13" t="s">
        <v>5292</v>
      </c>
      <c r="I3143" s="13" t="s">
        <v>5289</v>
      </c>
      <c r="J3143" s="13" t="s">
        <v>5289</v>
      </c>
      <c r="K3143" s="13" t="s">
        <v>5289</v>
      </c>
      <c r="L3143" s="13" t="n">
        <v>8011003876266</v>
      </c>
      <c r="M3143" s="13"/>
      <c r="N3143" s="13" t="n">
        <v>8011003876266</v>
      </c>
      <c r="O3143" s="13"/>
      <c r="P3143" s="13" t="s">
        <v>5291</v>
      </c>
      <c r="Q3143" s="13" t="s">
        <v>5289</v>
      </c>
      <c r="R3143" s="13" t="s">
        <v>5292</v>
      </c>
      <c r="S3143" s="13" t="s">
        <v>5293</v>
      </c>
      <c r="T3143" s="13" t="s">
        <v>5</v>
      </c>
      <c r="U3143" s="13" t="s">
        <v>43</v>
      </c>
      <c r="V3143" s="13" t="n">
        <f aca="false">IF(COUNTIF($B$2:B3143,B3143)=1,1,0)</f>
        <v>0</v>
      </c>
      <c r="W3143" s="13" t="n">
        <f aca="false">IF(COUNTIFS($B$2:B3143,B3143,$T$2:T3143,T3143)=1,1,0)</f>
        <v>0</v>
      </c>
    </row>
    <row r="3144" customFormat="false" ht="15" hidden="false" customHeight="false" outlineLevel="0" collapsed="false">
      <c r="A3144" s="13" t="s">
        <v>4187</v>
      </c>
      <c r="B3144" s="13" t="s">
        <v>2164</v>
      </c>
      <c r="C3144" s="13" t="n">
        <v>700</v>
      </c>
      <c r="D3144" s="13" t="n">
        <v>5</v>
      </c>
      <c r="E3144" s="13" t="n">
        <v>139.728</v>
      </c>
      <c r="F3144" s="13" t="s">
        <v>5325</v>
      </c>
      <c r="G3144" s="13" t="s">
        <v>5289</v>
      </c>
      <c r="H3144" s="13" t="s">
        <v>5292</v>
      </c>
      <c r="I3144" s="13" t="s">
        <v>5289</v>
      </c>
      <c r="J3144" s="13" t="s">
        <v>5289</v>
      </c>
      <c r="K3144" s="13" t="s">
        <v>5289</v>
      </c>
      <c r="L3144" s="13"/>
      <c r="M3144" s="13"/>
      <c r="N3144" s="13" t="n">
        <v>3616305447159</v>
      </c>
      <c r="O3144" s="13"/>
      <c r="P3144" s="13" t="s">
        <v>5291</v>
      </c>
      <c r="Q3144" s="13" t="s">
        <v>5289</v>
      </c>
      <c r="R3144" s="13" t="s">
        <v>5292</v>
      </c>
      <c r="S3144" s="13" t="s">
        <v>5293</v>
      </c>
      <c r="T3144" s="13" t="s">
        <v>5</v>
      </c>
      <c r="U3144" s="13" t="s">
        <v>43</v>
      </c>
      <c r="V3144" s="13" t="n">
        <f aca="false">IF(COUNTIF($B$2:B3144,B3144)=1,1,0)</f>
        <v>0</v>
      </c>
      <c r="W3144" s="13" t="n">
        <f aca="false">IF(COUNTIFS($B$2:B3144,B3144,$T$2:T3144,T3144)=1,1,0)</f>
        <v>0</v>
      </c>
    </row>
    <row r="3145" customFormat="false" ht="15" hidden="false" customHeight="false" outlineLevel="0" collapsed="false">
      <c r="A3145" s="13" t="s">
        <v>151</v>
      </c>
      <c r="B3145" s="13" t="s">
        <v>42</v>
      </c>
      <c r="C3145" s="13" t="n">
        <v>700</v>
      </c>
      <c r="D3145" s="13" t="n">
        <v>1</v>
      </c>
      <c r="E3145" s="13" t="n">
        <v>698.58</v>
      </c>
      <c r="F3145" s="13" t="s">
        <v>5288</v>
      </c>
      <c r="G3145" s="13" t="s">
        <v>5292</v>
      </c>
      <c r="H3145" s="13" t="s">
        <v>5289</v>
      </c>
      <c r="I3145" s="13" t="s">
        <v>5289</v>
      </c>
      <c r="J3145" s="13" t="s">
        <v>5289</v>
      </c>
      <c r="K3145" s="13" t="s">
        <v>5289</v>
      </c>
      <c r="L3145" s="13"/>
      <c r="M3145" s="13"/>
      <c r="N3145" s="13" t="n">
        <v>8411061782347</v>
      </c>
      <c r="O3145" s="13"/>
      <c r="P3145" s="13" t="s">
        <v>5291</v>
      </c>
      <c r="Q3145" s="13" t="s">
        <v>5289</v>
      </c>
      <c r="R3145" s="13" t="s">
        <v>5292</v>
      </c>
      <c r="S3145" s="13" t="s">
        <v>5293</v>
      </c>
      <c r="T3145" s="13" t="s">
        <v>5</v>
      </c>
      <c r="U3145" s="13" t="s">
        <v>43</v>
      </c>
      <c r="V3145" s="13" t="n">
        <f aca="false">IF(COUNTIF($B$2:B3145,B3145)=1,1,0)</f>
        <v>0</v>
      </c>
      <c r="W3145" s="13" t="n">
        <f aca="false">IF(COUNTIFS($B$2:B3145,B3145,$T$2:T3145,T3145)=1,1,0)</f>
        <v>0</v>
      </c>
    </row>
    <row r="3146" customFormat="false" ht="15" hidden="false" customHeight="false" outlineLevel="0" collapsed="false">
      <c r="A3146" s="13" t="s">
        <v>631</v>
      </c>
      <c r="B3146" s="13" t="s">
        <v>630</v>
      </c>
      <c r="C3146" s="13" t="n">
        <v>700</v>
      </c>
      <c r="D3146" s="13" t="n">
        <v>2</v>
      </c>
      <c r="E3146" s="13" t="n">
        <v>174.0925</v>
      </c>
      <c r="F3146" s="13" t="s">
        <v>5325</v>
      </c>
      <c r="G3146" s="13" t="s">
        <v>5289</v>
      </c>
      <c r="H3146" s="13" t="s">
        <v>5289</v>
      </c>
      <c r="I3146" s="13" t="s">
        <v>5289</v>
      </c>
      <c r="J3146" s="13" t="s">
        <v>5289</v>
      </c>
      <c r="K3146" s="13" t="s">
        <v>5289</v>
      </c>
      <c r="L3146" s="13" t="n">
        <v>8433982002243</v>
      </c>
      <c r="M3146" s="13"/>
      <c r="N3146" s="13" t="n">
        <v>8433982002243</v>
      </c>
      <c r="O3146" s="13"/>
      <c r="P3146" s="13" t="s">
        <v>5291</v>
      </c>
      <c r="Q3146" s="13" t="s">
        <v>5289</v>
      </c>
      <c r="R3146" s="13" t="s">
        <v>5292</v>
      </c>
      <c r="S3146" s="13" t="s">
        <v>5293</v>
      </c>
      <c r="T3146" s="13" t="s">
        <v>5</v>
      </c>
      <c r="U3146" s="13" t="s">
        <v>43</v>
      </c>
      <c r="V3146" s="13" t="n">
        <f aca="false">IF(COUNTIF($B$2:B3146,B3146)=1,1,0)</f>
        <v>0</v>
      </c>
      <c r="W3146" s="13" t="n">
        <f aca="false">IF(COUNTIFS($B$2:B3146,B3146,$T$2:T3146,T3146)=1,1,0)</f>
        <v>0</v>
      </c>
    </row>
    <row r="3147" customFormat="false" ht="15" hidden="false" customHeight="false" outlineLevel="0" collapsed="false">
      <c r="A3147" s="13" t="s">
        <v>597</v>
      </c>
      <c r="B3147" s="13" t="s">
        <v>50</v>
      </c>
      <c r="C3147" s="13" t="n">
        <v>690</v>
      </c>
      <c r="D3147" s="13" t="n">
        <v>1</v>
      </c>
      <c r="E3147" s="13" t="n">
        <v>694.5</v>
      </c>
      <c r="F3147" s="13" t="s">
        <v>5288</v>
      </c>
      <c r="G3147" s="13" t="s">
        <v>5292</v>
      </c>
      <c r="H3147" s="13" t="s">
        <v>5289</v>
      </c>
      <c r="I3147" s="13" t="s">
        <v>5289</v>
      </c>
      <c r="J3147" s="13" t="s">
        <v>5289</v>
      </c>
      <c r="K3147" s="13" t="s">
        <v>5289</v>
      </c>
      <c r="L3147" s="13" t="n">
        <v>3349668579839</v>
      </c>
      <c r="M3147" s="13"/>
      <c r="N3147" s="13" t="n">
        <v>3349668579839</v>
      </c>
      <c r="O3147" s="13"/>
      <c r="P3147" s="13" t="s">
        <v>5291</v>
      </c>
      <c r="Q3147" s="13" t="s">
        <v>5289</v>
      </c>
      <c r="R3147" s="13" t="s">
        <v>5292</v>
      </c>
      <c r="S3147" s="13" t="s">
        <v>5293</v>
      </c>
      <c r="T3147" s="13" t="s">
        <v>5</v>
      </c>
      <c r="U3147" s="13" t="s">
        <v>43</v>
      </c>
      <c r="V3147" s="13" t="n">
        <f aca="false">IF(COUNTIF($B$2:B3147,B3147)=1,1,0)</f>
        <v>0</v>
      </c>
      <c r="W3147" s="13" t="n">
        <f aca="false">IF(COUNTIFS($B$2:B3147,B3147,$T$2:T3147,T3147)=1,1,0)</f>
        <v>0</v>
      </c>
    </row>
    <row r="3148" customFormat="false" ht="15" hidden="false" customHeight="false" outlineLevel="0" collapsed="false">
      <c r="A3148" s="13" t="s">
        <v>1481</v>
      </c>
      <c r="B3148" s="13" t="s">
        <v>153</v>
      </c>
      <c r="C3148" s="13" t="n">
        <v>690</v>
      </c>
      <c r="D3148" s="13" t="n">
        <v>1</v>
      </c>
      <c r="E3148" s="13" t="n">
        <v>692</v>
      </c>
      <c r="F3148" s="13" t="s">
        <v>5288</v>
      </c>
      <c r="G3148" s="13" t="s">
        <v>5289</v>
      </c>
      <c r="H3148" s="13" t="s">
        <v>5292</v>
      </c>
      <c r="I3148" s="13" t="s">
        <v>5289</v>
      </c>
      <c r="J3148" s="13" t="s">
        <v>5289</v>
      </c>
      <c r="K3148" s="13" t="s">
        <v>5289</v>
      </c>
      <c r="L3148" s="13" t="n">
        <v>8011003861910</v>
      </c>
      <c r="M3148" s="13"/>
      <c r="N3148" s="13" t="n">
        <v>8011003861910</v>
      </c>
      <c r="O3148" s="13"/>
      <c r="P3148" s="13" t="s">
        <v>5291</v>
      </c>
      <c r="Q3148" s="13" t="s">
        <v>5289</v>
      </c>
      <c r="R3148" s="13" t="s">
        <v>5292</v>
      </c>
      <c r="S3148" s="13" t="s">
        <v>5293</v>
      </c>
      <c r="T3148" s="13" t="s">
        <v>5</v>
      </c>
      <c r="U3148" s="13" t="s">
        <v>43</v>
      </c>
      <c r="V3148" s="13" t="n">
        <f aca="false">IF(COUNTIF($B$2:B3148,B3148)=1,1,0)</f>
        <v>0</v>
      </c>
      <c r="W3148" s="13" t="n">
        <f aca="false">IF(COUNTIFS($B$2:B3148,B3148,$T$2:T3148,T3148)=1,1,0)</f>
        <v>0</v>
      </c>
    </row>
    <row r="3149" customFormat="false" ht="15" hidden="false" customHeight="false" outlineLevel="0" collapsed="false">
      <c r="A3149" s="13" t="s">
        <v>978</v>
      </c>
      <c r="B3149" s="13" t="s">
        <v>45</v>
      </c>
      <c r="C3149" s="13" t="n">
        <v>690</v>
      </c>
      <c r="D3149" s="13" t="n">
        <v>1</v>
      </c>
      <c r="E3149" s="13" t="n">
        <v>690.46</v>
      </c>
      <c r="F3149" s="13" t="s">
        <v>5325</v>
      </c>
      <c r="G3149" s="13" t="s">
        <v>5289</v>
      </c>
      <c r="H3149" s="13" t="s">
        <v>5292</v>
      </c>
      <c r="I3149" s="13" t="s">
        <v>5289</v>
      </c>
      <c r="J3149" s="13" t="s">
        <v>5289</v>
      </c>
      <c r="K3149" s="13" t="s">
        <v>5289</v>
      </c>
      <c r="L3149" s="13"/>
      <c r="M3149" s="13"/>
      <c r="N3149" s="13" t="n">
        <v>8435415012690</v>
      </c>
      <c r="O3149" s="13"/>
      <c r="P3149" s="13" t="s">
        <v>5291</v>
      </c>
      <c r="Q3149" s="13" t="s">
        <v>5289</v>
      </c>
      <c r="R3149" s="13" t="s">
        <v>5292</v>
      </c>
      <c r="S3149" s="13" t="s">
        <v>5293</v>
      </c>
      <c r="T3149" s="13" t="s">
        <v>5</v>
      </c>
      <c r="U3149" s="13" t="s">
        <v>43</v>
      </c>
      <c r="V3149" s="13" t="n">
        <f aca="false">IF(COUNTIF($B$2:B3149,B3149)=1,1,0)</f>
        <v>0</v>
      </c>
      <c r="W3149" s="13" t="n">
        <f aca="false">IF(COUNTIFS($B$2:B3149,B3149,$T$2:T3149,T3149)=1,1,0)</f>
        <v>0</v>
      </c>
    </row>
    <row r="3150" customFormat="false" ht="15" hidden="false" customHeight="false" outlineLevel="0" collapsed="false">
      <c r="A3150" s="13" t="s">
        <v>555</v>
      </c>
      <c r="B3150" s="13" t="s">
        <v>195</v>
      </c>
      <c r="C3150" s="13" t="n">
        <v>690</v>
      </c>
      <c r="D3150" s="13" t="n">
        <v>1</v>
      </c>
      <c r="E3150" s="13" t="n">
        <v>690</v>
      </c>
      <c r="F3150" s="13" t="s">
        <v>5325</v>
      </c>
      <c r="G3150" s="13" t="s">
        <v>5289</v>
      </c>
      <c r="H3150" s="13" t="s">
        <v>5292</v>
      </c>
      <c r="I3150" s="13" t="s">
        <v>5289</v>
      </c>
      <c r="J3150" s="13" t="s">
        <v>5289</v>
      </c>
      <c r="K3150" s="13" t="s">
        <v>5289</v>
      </c>
      <c r="L3150" s="13"/>
      <c r="M3150" s="13"/>
      <c r="N3150" s="13" t="n">
        <v>3614228837996</v>
      </c>
      <c r="O3150" s="13"/>
      <c r="P3150" s="13" t="s">
        <v>5291</v>
      </c>
      <c r="Q3150" s="13" t="s">
        <v>5289</v>
      </c>
      <c r="R3150" s="13" t="s">
        <v>5292</v>
      </c>
      <c r="S3150" s="13" t="s">
        <v>5293</v>
      </c>
      <c r="T3150" s="13" t="s">
        <v>5</v>
      </c>
      <c r="U3150" s="13" t="s">
        <v>43</v>
      </c>
      <c r="V3150" s="13" t="n">
        <f aca="false">IF(COUNTIF($B$2:B3150,B3150)=1,1,0)</f>
        <v>0</v>
      </c>
      <c r="W3150" s="13" t="n">
        <f aca="false">IF(COUNTIFS($B$2:B3150,B3150,$T$2:T3150,T3150)=1,1,0)</f>
        <v>0</v>
      </c>
    </row>
    <row r="3151" customFormat="false" ht="15" hidden="false" customHeight="false" outlineLevel="0" collapsed="false">
      <c r="A3151" s="13" t="s">
        <v>741</v>
      </c>
      <c r="B3151" s="13" t="s">
        <v>195</v>
      </c>
      <c r="C3151" s="13" t="n">
        <v>690</v>
      </c>
      <c r="D3151" s="13" t="n">
        <v>1</v>
      </c>
      <c r="E3151" s="13" t="n">
        <v>688.25</v>
      </c>
      <c r="F3151" s="13" t="s">
        <v>5288</v>
      </c>
      <c r="G3151" s="13" t="s">
        <v>5289</v>
      </c>
      <c r="H3151" s="13" t="s">
        <v>5289</v>
      </c>
      <c r="I3151" s="13" t="s">
        <v>5289</v>
      </c>
      <c r="J3151" s="13" t="s">
        <v>5289</v>
      </c>
      <c r="K3151" s="13" t="s">
        <v>5289</v>
      </c>
      <c r="L3151" s="13" t="n">
        <v>3616305181060</v>
      </c>
      <c r="M3151" s="13"/>
      <c r="N3151" s="13" t="n">
        <v>3616305181060</v>
      </c>
      <c r="O3151" s="13"/>
      <c r="P3151" s="13" t="s">
        <v>5291</v>
      </c>
      <c r="Q3151" s="13" t="s">
        <v>5289</v>
      </c>
      <c r="R3151" s="13" t="s">
        <v>5292</v>
      </c>
      <c r="S3151" s="13" t="s">
        <v>5293</v>
      </c>
      <c r="T3151" s="13" t="s">
        <v>5</v>
      </c>
      <c r="U3151" s="13" t="s">
        <v>43</v>
      </c>
      <c r="V3151" s="13" t="n">
        <f aca="false">IF(COUNTIF($B$2:B3151,B3151)=1,1,0)</f>
        <v>0</v>
      </c>
      <c r="W3151" s="13" t="n">
        <f aca="false">IF(COUNTIFS($B$2:B3151,B3151,$T$2:T3151,T3151)=1,1,0)</f>
        <v>0</v>
      </c>
    </row>
    <row r="3152" customFormat="false" ht="15" hidden="false" customHeight="false" outlineLevel="0" collapsed="false">
      <c r="A3152" s="13" t="s">
        <v>1491</v>
      </c>
      <c r="B3152" s="13" t="s">
        <v>195</v>
      </c>
      <c r="C3152" s="13" t="n">
        <v>690</v>
      </c>
      <c r="D3152" s="13" t="n">
        <v>1</v>
      </c>
      <c r="E3152" s="13" t="n">
        <v>687.08</v>
      </c>
      <c r="F3152" s="13" t="s">
        <v>5325</v>
      </c>
      <c r="G3152" s="13" t="s">
        <v>5289</v>
      </c>
      <c r="H3152" s="13" t="s">
        <v>5289</v>
      </c>
      <c r="I3152" s="13" t="s">
        <v>5289</v>
      </c>
      <c r="J3152" s="13" t="s">
        <v>5289</v>
      </c>
      <c r="K3152" s="13" t="s">
        <v>5289</v>
      </c>
      <c r="L3152" s="13"/>
      <c r="M3152" s="13"/>
      <c r="N3152" s="13" t="n">
        <v>3616304061936</v>
      </c>
      <c r="O3152" s="13"/>
      <c r="P3152" s="13" t="s">
        <v>5291</v>
      </c>
      <c r="Q3152" s="13" t="s">
        <v>5289</v>
      </c>
      <c r="R3152" s="13" t="s">
        <v>5292</v>
      </c>
      <c r="S3152" s="13" t="s">
        <v>5293</v>
      </c>
      <c r="T3152" s="13" t="s">
        <v>5</v>
      </c>
      <c r="U3152" s="13" t="s">
        <v>43</v>
      </c>
      <c r="V3152" s="13" t="n">
        <f aca="false">IF(COUNTIF($B$2:B3152,B3152)=1,1,0)</f>
        <v>0</v>
      </c>
      <c r="W3152" s="13" t="n">
        <f aca="false">IF(COUNTIFS($B$2:B3152,B3152,$T$2:T3152,T3152)=1,1,0)</f>
        <v>0</v>
      </c>
    </row>
    <row r="3153" customFormat="false" ht="15" hidden="false" customHeight="false" outlineLevel="0" collapsed="false">
      <c r="A3153" s="13" t="s">
        <v>1482</v>
      </c>
      <c r="B3153" s="13" t="s">
        <v>61</v>
      </c>
      <c r="C3153" s="13" t="n">
        <v>690</v>
      </c>
      <c r="D3153" s="13" t="n">
        <v>1</v>
      </c>
      <c r="E3153" s="13" t="n">
        <v>687.01</v>
      </c>
      <c r="F3153" s="13" t="s">
        <v>5288</v>
      </c>
      <c r="G3153" s="13" t="s">
        <v>5292</v>
      </c>
      <c r="H3153" s="13" t="s">
        <v>5292</v>
      </c>
      <c r="I3153" s="13" t="s">
        <v>5289</v>
      </c>
      <c r="J3153" s="13" t="s">
        <v>5289</v>
      </c>
      <c r="K3153" s="13" t="s">
        <v>5289</v>
      </c>
      <c r="L3153" s="13" t="n">
        <v>3147758034905</v>
      </c>
      <c r="M3153" s="13"/>
      <c r="N3153" s="13" t="n">
        <v>3147758034905</v>
      </c>
      <c r="O3153" s="13"/>
      <c r="P3153" s="13" t="s">
        <v>5297</v>
      </c>
      <c r="Q3153" s="13" t="s">
        <v>5289</v>
      </c>
      <c r="R3153" s="13" t="s">
        <v>5292</v>
      </c>
      <c r="S3153" s="13" t="s">
        <v>5293</v>
      </c>
      <c r="T3153" s="13" t="s">
        <v>5</v>
      </c>
      <c r="U3153" s="13" t="s">
        <v>43</v>
      </c>
      <c r="V3153" s="13" t="n">
        <f aca="false">IF(COUNTIF($B$2:B3153,B3153)=1,1,0)</f>
        <v>0</v>
      </c>
      <c r="W3153" s="13" t="n">
        <f aca="false">IF(COUNTIFS($B$2:B3153,B3153,$T$2:T3153,T3153)=1,1,0)</f>
        <v>0</v>
      </c>
    </row>
    <row r="3154" customFormat="false" ht="15" hidden="false" customHeight="false" outlineLevel="0" collapsed="false">
      <c r="A3154" s="13" t="s">
        <v>1170</v>
      </c>
      <c r="B3154" s="13" t="s">
        <v>61</v>
      </c>
      <c r="C3154" s="13" t="n">
        <v>690</v>
      </c>
      <c r="D3154" s="13" t="n">
        <v>1</v>
      </c>
      <c r="E3154" s="13" t="n">
        <v>687.01</v>
      </c>
      <c r="F3154" s="13" t="s">
        <v>5325</v>
      </c>
      <c r="G3154" s="13" t="s">
        <v>5292</v>
      </c>
      <c r="H3154" s="13" t="s">
        <v>5289</v>
      </c>
      <c r="I3154" s="13" t="s">
        <v>5289</v>
      </c>
      <c r="J3154" s="13" t="s">
        <v>5289</v>
      </c>
      <c r="K3154" s="13" t="s">
        <v>5289</v>
      </c>
      <c r="L3154" s="13" t="n">
        <v>3147758034905</v>
      </c>
      <c r="M3154" s="13"/>
      <c r="N3154" s="13" t="n">
        <v>3147758034905</v>
      </c>
      <c r="O3154" s="13"/>
      <c r="P3154" s="13" t="s">
        <v>5291</v>
      </c>
      <c r="Q3154" s="13" t="s">
        <v>5289</v>
      </c>
      <c r="R3154" s="13" t="s">
        <v>5292</v>
      </c>
      <c r="S3154" s="13" t="s">
        <v>5293</v>
      </c>
      <c r="T3154" s="13" t="s">
        <v>5</v>
      </c>
      <c r="U3154" s="13" t="s">
        <v>43</v>
      </c>
      <c r="V3154" s="13" t="n">
        <f aca="false">IF(COUNTIF($B$2:B3154,B3154)=1,1,0)</f>
        <v>0</v>
      </c>
      <c r="W3154" s="13" t="n">
        <f aca="false">IF(COUNTIFS($B$2:B3154,B3154,$T$2:T3154,T3154)=1,1,0)</f>
        <v>0</v>
      </c>
    </row>
    <row r="3155" customFormat="false" ht="15" hidden="false" customHeight="false" outlineLevel="0" collapsed="false">
      <c r="A3155" s="13" t="s">
        <v>1480</v>
      </c>
      <c r="B3155" s="13" t="s">
        <v>124</v>
      </c>
      <c r="C3155" s="13" t="n">
        <v>690</v>
      </c>
      <c r="D3155" s="13" t="n">
        <v>1</v>
      </c>
      <c r="E3155" s="13" t="n">
        <v>685.94</v>
      </c>
      <c r="F3155" s="13" t="s">
        <v>5325</v>
      </c>
      <c r="G3155" s="13" t="s">
        <v>5289</v>
      </c>
      <c r="H3155" s="13" t="s">
        <v>5292</v>
      </c>
      <c r="I3155" s="13" t="s">
        <v>5289</v>
      </c>
      <c r="J3155" s="13" t="s">
        <v>5289</v>
      </c>
      <c r="K3155" s="13" t="s">
        <v>5289</v>
      </c>
      <c r="L3155" s="13" t="n">
        <v>3360375004056</v>
      </c>
      <c r="M3155" s="13"/>
      <c r="N3155" s="13" t="n">
        <v>3360375004056</v>
      </c>
      <c r="O3155" s="13"/>
      <c r="P3155" s="13" t="s">
        <v>5291</v>
      </c>
      <c r="Q3155" s="13" t="s">
        <v>5289</v>
      </c>
      <c r="R3155" s="13" t="s">
        <v>5292</v>
      </c>
      <c r="S3155" s="13" t="s">
        <v>5293</v>
      </c>
      <c r="T3155" s="13" t="s">
        <v>5</v>
      </c>
      <c r="U3155" s="13" t="s">
        <v>43</v>
      </c>
      <c r="V3155" s="13" t="n">
        <f aca="false">IF(COUNTIF($B$2:B3155,B3155)=1,1,0)</f>
        <v>0</v>
      </c>
      <c r="W3155" s="13" t="n">
        <f aca="false">IF(COUNTIFS($B$2:B3155,B3155,$T$2:T3155,T3155)=1,1,0)</f>
        <v>0</v>
      </c>
    </row>
    <row r="3156" customFormat="false" ht="15" hidden="false" customHeight="false" outlineLevel="0" collapsed="false">
      <c r="A3156" s="13" t="s">
        <v>3550</v>
      </c>
      <c r="B3156" s="13" t="s">
        <v>2150</v>
      </c>
      <c r="C3156" s="13" t="n">
        <v>680</v>
      </c>
      <c r="D3156" s="13" t="n">
        <v>5</v>
      </c>
      <c r="E3156" s="13" t="n">
        <v>114</v>
      </c>
      <c r="F3156" s="13" t="s">
        <v>5325</v>
      </c>
      <c r="G3156" s="13" t="s">
        <v>5292</v>
      </c>
      <c r="H3156" s="13" t="s">
        <v>5289</v>
      </c>
      <c r="I3156" s="13" t="s">
        <v>5289</v>
      </c>
      <c r="J3156" s="13" t="s">
        <v>5289</v>
      </c>
      <c r="K3156" s="13" t="s">
        <v>5289</v>
      </c>
      <c r="L3156" s="13"/>
      <c r="M3156" s="13"/>
      <c r="N3156" s="13" t="n">
        <v>8411061823026</v>
      </c>
      <c r="O3156" s="13"/>
      <c r="P3156" s="13" t="s">
        <v>5297</v>
      </c>
      <c r="Q3156" s="13" t="s">
        <v>5289</v>
      </c>
      <c r="R3156" s="13" t="s">
        <v>5292</v>
      </c>
      <c r="S3156" s="13" t="s">
        <v>5293</v>
      </c>
      <c r="T3156" s="13" t="s">
        <v>5</v>
      </c>
      <c r="U3156" s="13" t="s">
        <v>43</v>
      </c>
      <c r="V3156" s="13" t="n">
        <f aca="false">IF(COUNTIF($B$2:B3156,B3156)=1,1,0)</f>
        <v>0</v>
      </c>
      <c r="W3156" s="13" t="n">
        <f aca="false">IF(COUNTIFS($B$2:B3156,B3156,$T$2:T3156,T3156)=1,1,0)</f>
        <v>0</v>
      </c>
    </row>
    <row r="3157" customFormat="false" ht="15" hidden="false" customHeight="false" outlineLevel="0" collapsed="false">
      <c r="A3157" s="13" t="s">
        <v>291</v>
      </c>
      <c r="B3157" s="13" t="s">
        <v>153</v>
      </c>
      <c r="C3157" s="13" t="n">
        <v>680</v>
      </c>
      <c r="D3157" s="13" t="n">
        <v>1</v>
      </c>
      <c r="E3157" s="13" t="n">
        <v>683.85</v>
      </c>
      <c r="F3157" s="13" t="s">
        <v>5325</v>
      </c>
      <c r="G3157" s="13" t="s">
        <v>5289</v>
      </c>
      <c r="H3157" s="13" t="s">
        <v>5292</v>
      </c>
      <c r="I3157" s="13" t="s">
        <v>5289</v>
      </c>
      <c r="J3157" s="13" t="s">
        <v>5289</v>
      </c>
      <c r="K3157" s="13" t="s">
        <v>5289</v>
      </c>
      <c r="L3157" s="13" t="n">
        <v>8011003901647</v>
      </c>
      <c r="M3157" s="13"/>
      <c r="N3157" s="13" t="n">
        <v>8011003901647</v>
      </c>
      <c r="O3157" s="13"/>
      <c r="P3157" s="13" t="s">
        <v>5291</v>
      </c>
      <c r="Q3157" s="13" t="s">
        <v>5289</v>
      </c>
      <c r="R3157" s="13" t="s">
        <v>5292</v>
      </c>
      <c r="S3157" s="13" t="s">
        <v>5293</v>
      </c>
      <c r="T3157" s="13" t="s">
        <v>5</v>
      </c>
      <c r="U3157" s="13" t="s">
        <v>43</v>
      </c>
      <c r="V3157" s="13" t="n">
        <f aca="false">IF(COUNTIF($B$2:B3157,B3157)=1,1,0)</f>
        <v>0</v>
      </c>
      <c r="W3157" s="13" t="n">
        <f aca="false">IF(COUNTIFS($B$2:B3157,B3157,$T$2:T3157,T3157)=1,1,0)</f>
        <v>0</v>
      </c>
    </row>
    <row r="3158" customFormat="false" ht="15" hidden="false" customHeight="false" outlineLevel="0" collapsed="false">
      <c r="A3158" s="13" t="s">
        <v>748</v>
      </c>
      <c r="B3158" s="13" t="s">
        <v>105</v>
      </c>
      <c r="C3158" s="13" t="n">
        <v>680</v>
      </c>
      <c r="D3158" s="13" t="n">
        <v>1</v>
      </c>
      <c r="E3158" s="13" t="n">
        <v>682.88</v>
      </c>
      <c r="F3158" s="13" t="s">
        <v>5288</v>
      </c>
      <c r="G3158" s="13" t="s">
        <v>5289</v>
      </c>
      <c r="H3158" s="13" t="s">
        <v>5292</v>
      </c>
      <c r="I3158" s="13" t="s">
        <v>5289</v>
      </c>
      <c r="J3158" s="13" t="s">
        <v>5289</v>
      </c>
      <c r="K3158" s="13" t="s">
        <v>5289</v>
      </c>
      <c r="L3158" s="13" t="n">
        <v>3616306096219</v>
      </c>
      <c r="M3158" s="13"/>
      <c r="N3158" s="13" t="n">
        <v>3616306096219</v>
      </c>
      <c r="O3158" s="13"/>
      <c r="P3158" s="13" t="s">
        <v>5291</v>
      </c>
      <c r="Q3158" s="13" t="s">
        <v>5289</v>
      </c>
      <c r="R3158" s="13" t="s">
        <v>5292</v>
      </c>
      <c r="S3158" s="13" t="s">
        <v>5293</v>
      </c>
      <c r="T3158" s="13" t="s">
        <v>5</v>
      </c>
      <c r="U3158" s="13" t="s">
        <v>43</v>
      </c>
      <c r="V3158" s="13" t="n">
        <f aca="false">IF(COUNTIF($B$2:B3158,B3158)=1,1,0)</f>
        <v>0</v>
      </c>
      <c r="W3158" s="13" t="n">
        <f aca="false">IF(COUNTIFS($B$2:B3158,B3158,$T$2:T3158,T3158)=1,1,0)</f>
        <v>0</v>
      </c>
    </row>
    <row r="3159" customFormat="false" ht="15" hidden="false" customHeight="false" outlineLevel="0" collapsed="false">
      <c r="A3159" s="13" t="s">
        <v>1500</v>
      </c>
      <c r="B3159" s="13" t="s">
        <v>165</v>
      </c>
      <c r="C3159" s="13" t="n">
        <v>680</v>
      </c>
      <c r="D3159" s="13" t="n">
        <v>1</v>
      </c>
      <c r="E3159" s="13" t="n">
        <v>678.85</v>
      </c>
      <c r="F3159" s="13" t="s">
        <v>5325</v>
      </c>
      <c r="G3159" s="13" t="s">
        <v>5289</v>
      </c>
      <c r="H3159" s="13" t="s">
        <v>5292</v>
      </c>
      <c r="I3159" s="13" t="s">
        <v>5289</v>
      </c>
      <c r="J3159" s="13" t="s">
        <v>5289</v>
      </c>
      <c r="K3159" s="13" t="s">
        <v>5292</v>
      </c>
      <c r="L3159" s="13"/>
      <c r="M3159" s="13"/>
      <c r="N3159" s="13" t="n">
        <v>3614273521345</v>
      </c>
      <c r="O3159" s="13"/>
      <c r="P3159" s="13" t="s">
        <v>5291</v>
      </c>
      <c r="Q3159" s="13" t="s">
        <v>5289</v>
      </c>
      <c r="R3159" s="13" t="s">
        <v>5292</v>
      </c>
      <c r="S3159" s="13" t="s">
        <v>5293</v>
      </c>
      <c r="T3159" s="13" t="s">
        <v>5</v>
      </c>
      <c r="U3159" s="13" t="s">
        <v>43</v>
      </c>
      <c r="V3159" s="13" t="n">
        <f aca="false">IF(COUNTIF($B$2:B3159,B3159)=1,1,0)</f>
        <v>0</v>
      </c>
      <c r="W3159" s="13" t="n">
        <f aca="false">IF(COUNTIFS($B$2:B3159,B3159,$T$2:T3159,T3159)=1,1,0)</f>
        <v>0</v>
      </c>
    </row>
    <row r="3160" customFormat="false" ht="15" hidden="false" customHeight="false" outlineLevel="0" collapsed="false">
      <c r="A3160" s="13" t="s">
        <v>1501</v>
      </c>
      <c r="B3160" s="13" t="s">
        <v>50</v>
      </c>
      <c r="C3160" s="13" t="n">
        <v>680</v>
      </c>
      <c r="D3160" s="13" t="n">
        <v>1</v>
      </c>
      <c r="E3160" s="13" t="n">
        <v>677.83</v>
      </c>
      <c r="F3160" s="13" t="s">
        <v>5325</v>
      </c>
      <c r="G3160" s="13" t="s">
        <v>5289</v>
      </c>
      <c r="H3160" s="13" t="s">
        <v>5292</v>
      </c>
      <c r="I3160" s="13" t="s">
        <v>5289</v>
      </c>
      <c r="J3160" s="13" t="s">
        <v>5289</v>
      </c>
      <c r="K3160" s="13" t="s">
        <v>5289</v>
      </c>
      <c r="L3160" s="13" t="n">
        <v>3349668555062</v>
      </c>
      <c r="M3160" s="13"/>
      <c r="N3160" s="13" t="n">
        <v>3349668555062</v>
      </c>
      <c r="O3160" s="13"/>
      <c r="P3160" s="13" t="s">
        <v>5291</v>
      </c>
      <c r="Q3160" s="13" t="s">
        <v>5289</v>
      </c>
      <c r="R3160" s="13" t="s">
        <v>5292</v>
      </c>
      <c r="S3160" s="13" t="s">
        <v>5293</v>
      </c>
      <c r="T3160" s="13" t="s">
        <v>5</v>
      </c>
      <c r="U3160" s="13" t="s">
        <v>43</v>
      </c>
      <c r="V3160" s="13" t="n">
        <f aca="false">IF(COUNTIF($B$2:B3160,B3160)=1,1,0)</f>
        <v>0</v>
      </c>
      <c r="W3160" s="13" t="n">
        <f aca="false">IF(COUNTIFS($B$2:B3160,B3160,$T$2:T3160,T3160)=1,1,0)</f>
        <v>0</v>
      </c>
    </row>
    <row r="3161" customFormat="false" ht="15" hidden="false" customHeight="false" outlineLevel="0" collapsed="false">
      <c r="A3161" s="13" t="s">
        <v>1498</v>
      </c>
      <c r="B3161" s="13" t="s">
        <v>54</v>
      </c>
      <c r="C3161" s="13" t="n">
        <v>680</v>
      </c>
      <c r="D3161" s="13" t="n">
        <v>2</v>
      </c>
      <c r="E3161" s="13" t="n">
        <v>338.85</v>
      </c>
      <c r="F3161" s="13" t="s">
        <v>5325</v>
      </c>
      <c r="G3161" s="13" t="s">
        <v>5289</v>
      </c>
      <c r="H3161" s="13" t="s">
        <v>5289</v>
      </c>
      <c r="I3161" s="13" t="s">
        <v>5289</v>
      </c>
      <c r="J3161" s="13" t="s">
        <v>5289</v>
      </c>
      <c r="K3161" s="13" t="s">
        <v>5292</v>
      </c>
      <c r="L3161" s="13" t="n">
        <v>768614171522</v>
      </c>
      <c r="M3161" s="13"/>
      <c r="N3161" s="13" t="n">
        <v>768614171522</v>
      </c>
      <c r="O3161" s="13"/>
      <c r="P3161" s="13" t="s">
        <v>5297</v>
      </c>
      <c r="Q3161" s="13" t="s">
        <v>5289</v>
      </c>
      <c r="R3161" s="13" t="s">
        <v>5292</v>
      </c>
      <c r="S3161" s="13" t="s">
        <v>5293</v>
      </c>
      <c r="T3161" s="13" t="s">
        <v>5</v>
      </c>
      <c r="U3161" s="13" t="s">
        <v>43</v>
      </c>
      <c r="V3161" s="13" t="n">
        <f aca="false">IF(COUNTIF($B$2:B3161,B3161)=1,1,0)</f>
        <v>0</v>
      </c>
      <c r="W3161" s="13" t="n">
        <f aca="false">IF(COUNTIFS($B$2:B3161,B3161,$T$2:T3161,T3161)=1,1,0)</f>
        <v>0</v>
      </c>
    </row>
    <row r="3162" customFormat="false" ht="15" hidden="false" customHeight="false" outlineLevel="0" collapsed="false">
      <c r="A3162" s="13" t="s">
        <v>1510</v>
      </c>
      <c r="B3162" s="13" t="s">
        <v>124</v>
      </c>
      <c r="C3162" s="13" t="n">
        <v>670</v>
      </c>
      <c r="D3162" s="13" t="n">
        <v>1</v>
      </c>
      <c r="E3162" s="13" t="n">
        <v>674.34</v>
      </c>
      <c r="F3162" s="13" t="s">
        <v>5325</v>
      </c>
      <c r="G3162" s="13" t="s">
        <v>5292</v>
      </c>
      <c r="H3162" s="13" t="s">
        <v>5289</v>
      </c>
      <c r="I3162" s="13" t="s">
        <v>5289</v>
      </c>
      <c r="J3162" s="13" t="s">
        <v>5289</v>
      </c>
      <c r="K3162" s="13" t="s">
        <v>5289</v>
      </c>
      <c r="L3162" s="13" t="n">
        <v>3614272225664</v>
      </c>
      <c r="M3162" s="13"/>
      <c r="N3162" s="13" t="n">
        <v>3614272225664</v>
      </c>
      <c r="O3162" s="13"/>
      <c r="P3162" s="13" t="s">
        <v>5297</v>
      </c>
      <c r="Q3162" s="13" t="s">
        <v>5289</v>
      </c>
      <c r="R3162" s="13" t="s">
        <v>5292</v>
      </c>
      <c r="S3162" s="13" t="s">
        <v>5293</v>
      </c>
      <c r="T3162" s="13" t="s">
        <v>5</v>
      </c>
      <c r="U3162" s="13" t="s">
        <v>43</v>
      </c>
      <c r="V3162" s="13" t="n">
        <f aca="false">IF(COUNTIF($B$2:B3162,B3162)=1,1,0)</f>
        <v>0</v>
      </c>
      <c r="W3162" s="13" t="n">
        <f aca="false">IF(COUNTIFS($B$2:B3162,B3162,$T$2:T3162,T3162)=1,1,0)</f>
        <v>0</v>
      </c>
    </row>
    <row r="3163" customFormat="false" ht="15" hidden="false" customHeight="false" outlineLevel="0" collapsed="false">
      <c r="A3163" s="13" t="s">
        <v>1104</v>
      </c>
      <c r="B3163" s="13" t="s">
        <v>121</v>
      </c>
      <c r="C3163" s="13" t="n">
        <v>670</v>
      </c>
      <c r="D3163" s="13" t="n">
        <v>2</v>
      </c>
      <c r="E3163" s="13" t="n">
        <v>168.08</v>
      </c>
      <c r="F3163" s="13" t="s">
        <v>5325</v>
      </c>
      <c r="G3163" s="13" t="s">
        <v>5292</v>
      </c>
      <c r="H3163" s="13" t="s">
        <v>5289</v>
      </c>
      <c r="I3163" s="13" t="s">
        <v>5289</v>
      </c>
      <c r="J3163" s="13" t="s">
        <v>5289</v>
      </c>
      <c r="K3163" s="13" t="s">
        <v>5289</v>
      </c>
      <c r="L3163" s="13" t="n">
        <v>7896086912909</v>
      </c>
      <c r="M3163" s="13"/>
      <c r="N3163" s="13" t="n">
        <v>7896086912909</v>
      </c>
      <c r="O3163" s="13"/>
      <c r="P3163" s="13" t="s">
        <v>5291</v>
      </c>
      <c r="Q3163" s="13" t="s">
        <v>5289</v>
      </c>
      <c r="R3163" s="13" t="s">
        <v>5292</v>
      </c>
      <c r="S3163" s="13" t="s">
        <v>5293</v>
      </c>
      <c r="T3163" s="13" t="s">
        <v>5</v>
      </c>
      <c r="U3163" s="13" t="s">
        <v>43</v>
      </c>
      <c r="V3163" s="13" t="n">
        <f aca="false">IF(COUNTIF($B$2:B3163,B3163)=1,1,0)</f>
        <v>0</v>
      </c>
      <c r="W3163" s="13" t="n">
        <f aca="false">IF(COUNTIFS($B$2:B3163,B3163,$T$2:T3163,T3163)=1,1,0)</f>
        <v>0</v>
      </c>
    </row>
    <row r="3164" customFormat="false" ht="15" hidden="false" customHeight="false" outlineLevel="0" collapsed="false">
      <c r="A3164" s="13" t="s">
        <v>1504</v>
      </c>
      <c r="B3164" s="13" t="s">
        <v>107</v>
      </c>
      <c r="C3164" s="13" t="n">
        <v>670</v>
      </c>
      <c r="D3164" s="13" t="n">
        <v>2</v>
      </c>
      <c r="E3164" s="13" t="n">
        <v>336.12</v>
      </c>
      <c r="F3164" s="13" t="s">
        <v>5288</v>
      </c>
      <c r="G3164" s="13" t="s">
        <v>5289</v>
      </c>
      <c r="H3164" s="13" t="s">
        <v>5292</v>
      </c>
      <c r="I3164" s="13" t="s">
        <v>5289</v>
      </c>
      <c r="J3164" s="13" t="s">
        <v>5289</v>
      </c>
      <c r="K3164" s="13" t="s">
        <v>5289</v>
      </c>
      <c r="L3164" s="13" t="n">
        <v>4064666578798</v>
      </c>
      <c r="M3164" s="13"/>
      <c r="N3164" s="13" t="n">
        <v>4064666578798</v>
      </c>
      <c r="O3164" s="13"/>
      <c r="P3164" s="13" t="s">
        <v>5297</v>
      </c>
      <c r="Q3164" s="13" t="s">
        <v>5289</v>
      </c>
      <c r="R3164" s="13" t="s">
        <v>5292</v>
      </c>
      <c r="S3164" s="13" t="s">
        <v>5293</v>
      </c>
      <c r="T3164" s="13" t="s">
        <v>5</v>
      </c>
      <c r="U3164" s="13" t="s">
        <v>43</v>
      </c>
      <c r="V3164" s="13" t="n">
        <f aca="false">IF(COUNTIF($B$2:B3164,B3164)=1,1,0)</f>
        <v>0</v>
      </c>
      <c r="W3164" s="13" t="n">
        <f aca="false">IF(COUNTIFS($B$2:B3164,B3164,$T$2:T3164,T3164)=1,1,0)</f>
        <v>0</v>
      </c>
    </row>
    <row r="3165" customFormat="false" ht="15" hidden="false" customHeight="false" outlineLevel="0" collapsed="false">
      <c r="A3165" s="13" t="s">
        <v>1239</v>
      </c>
      <c r="B3165" s="13" t="s">
        <v>121</v>
      </c>
      <c r="C3165" s="13" t="n">
        <v>670</v>
      </c>
      <c r="D3165" s="13" t="n">
        <v>2</v>
      </c>
      <c r="E3165" s="13" t="n">
        <v>168</v>
      </c>
      <c r="F3165" s="13" t="s">
        <v>5325</v>
      </c>
      <c r="G3165" s="13" t="s">
        <v>5292</v>
      </c>
      <c r="H3165" s="13" t="s">
        <v>5289</v>
      </c>
      <c r="I3165" s="13" t="s">
        <v>5289</v>
      </c>
      <c r="J3165" s="13" t="s">
        <v>5289</v>
      </c>
      <c r="K3165" s="13" t="s">
        <v>5289</v>
      </c>
      <c r="L3165" s="13" t="n">
        <v>7896086905680</v>
      </c>
      <c r="M3165" s="13"/>
      <c r="N3165" s="13" t="n">
        <v>7896086905680</v>
      </c>
      <c r="O3165" s="13"/>
      <c r="P3165" s="13" t="s">
        <v>5297</v>
      </c>
      <c r="Q3165" s="13" t="s">
        <v>5289</v>
      </c>
      <c r="R3165" s="13" t="s">
        <v>5292</v>
      </c>
      <c r="S3165" s="13" t="s">
        <v>5293</v>
      </c>
      <c r="T3165" s="13" t="s">
        <v>5</v>
      </c>
      <c r="U3165" s="13" t="s">
        <v>43</v>
      </c>
      <c r="V3165" s="13" t="n">
        <f aca="false">IF(COUNTIF($B$2:B3165,B3165)=1,1,0)</f>
        <v>0</v>
      </c>
      <c r="W3165" s="13" t="n">
        <f aca="false">IF(COUNTIFS($B$2:B3165,B3165,$T$2:T3165,T3165)=1,1,0)</f>
        <v>0</v>
      </c>
    </row>
    <row r="3166" customFormat="false" ht="15" hidden="false" customHeight="false" outlineLevel="0" collapsed="false">
      <c r="A3166" s="13" t="s">
        <v>1506</v>
      </c>
      <c r="B3166" s="13" t="s">
        <v>50</v>
      </c>
      <c r="C3166" s="13" t="n">
        <v>670</v>
      </c>
      <c r="D3166" s="13" t="n">
        <v>1</v>
      </c>
      <c r="E3166" s="13" t="n">
        <v>669.2</v>
      </c>
      <c r="F3166" s="13" t="s">
        <v>5325</v>
      </c>
      <c r="G3166" s="13" t="s">
        <v>5289</v>
      </c>
      <c r="H3166" s="13" t="s">
        <v>5292</v>
      </c>
      <c r="I3166" s="13" t="s">
        <v>5289</v>
      </c>
      <c r="J3166" s="13" t="s">
        <v>5289</v>
      </c>
      <c r="K3166" s="13" t="s">
        <v>5289</v>
      </c>
      <c r="L3166" s="13" t="n">
        <v>3349668601073</v>
      </c>
      <c r="M3166" s="13"/>
      <c r="N3166" s="13" t="n">
        <v>3349668601073</v>
      </c>
      <c r="O3166" s="13"/>
      <c r="P3166" s="13" t="s">
        <v>5291</v>
      </c>
      <c r="Q3166" s="13" t="s">
        <v>5289</v>
      </c>
      <c r="R3166" s="13" t="s">
        <v>5292</v>
      </c>
      <c r="S3166" s="13" t="s">
        <v>5293</v>
      </c>
      <c r="T3166" s="13" t="s">
        <v>5</v>
      </c>
      <c r="U3166" s="13" t="s">
        <v>43</v>
      </c>
      <c r="V3166" s="13" t="n">
        <f aca="false">IF(COUNTIF($B$2:B3166,B3166)=1,1,0)</f>
        <v>0</v>
      </c>
      <c r="W3166" s="13" t="n">
        <f aca="false">IF(COUNTIFS($B$2:B3166,B3166,$T$2:T3166,T3166)=1,1,0)</f>
        <v>0</v>
      </c>
    </row>
    <row r="3167" customFormat="false" ht="15" hidden="false" customHeight="false" outlineLevel="0" collapsed="false">
      <c r="A3167" s="13" t="s">
        <v>189</v>
      </c>
      <c r="B3167" s="13" t="s">
        <v>50</v>
      </c>
      <c r="C3167" s="13" t="n">
        <v>670</v>
      </c>
      <c r="D3167" s="13" t="n">
        <v>1</v>
      </c>
      <c r="E3167" s="13" t="n">
        <v>668.89</v>
      </c>
      <c r="F3167" s="13" t="s">
        <v>5288</v>
      </c>
      <c r="G3167" s="13" t="s">
        <v>5289</v>
      </c>
      <c r="H3167" s="13" t="s">
        <v>5289</v>
      </c>
      <c r="I3167" s="13" t="s">
        <v>5289</v>
      </c>
      <c r="J3167" s="13" t="s">
        <v>5289</v>
      </c>
      <c r="K3167" s="13" t="s">
        <v>5289</v>
      </c>
      <c r="L3167" s="13" t="n">
        <v>3349668582297</v>
      </c>
      <c r="M3167" s="13"/>
      <c r="N3167" s="13" t="n">
        <v>3349668582297</v>
      </c>
      <c r="O3167" s="13"/>
      <c r="P3167" s="13" t="s">
        <v>5291</v>
      </c>
      <c r="Q3167" s="13" t="s">
        <v>5289</v>
      </c>
      <c r="R3167" s="13" t="s">
        <v>5292</v>
      </c>
      <c r="S3167" s="13" t="s">
        <v>5293</v>
      </c>
      <c r="T3167" s="13" t="s">
        <v>5</v>
      </c>
      <c r="U3167" s="13" t="s">
        <v>43</v>
      </c>
      <c r="V3167" s="13" t="n">
        <f aca="false">IF(COUNTIF($B$2:B3167,B3167)=1,1,0)</f>
        <v>0</v>
      </c>
      <c r="W3167" s="13" t="n">
        <f aca="false">IF(COUNTIFS($B$2:B3167,B3167,$T$2:T3167,T3167)=1,1,0)</f>
        <v>0</v>
      </c>
    </row>
    <row r="3168" customFormat="false" ht="15" hidden="false" customHeight="false" outlineLevel="0" collapsed="false">
      <c r="A3168" s="13" t="s">
        <v>1321</v>
      </c>
      <c r="B3168" s="13" t="s">
        <v>45</v>
      </c>
      <c r="C3168" s="13" t="n">
        <v>660</v>
      </c>
      <c r="D3168" s="13" t="n">
        <v>1</v>
      </c>
      <c r="E3168" s="13" t="n">
        <v>663.08</v>
      </c>
      <c r="F3168" s="13" t="s">
        <v>5325</v>
      </c>
      <c r="G3168" s="13" t="s">
        <v>5289</v>
      </c>
      <c r="H3168" s="13" t="s">
        <v>5292</v>
      </c>
      <c r="I3168" s="13" t="s">
        <v>5289</v>
      </c>
      <c r="J3168" s="13" t="s">
        <v>5289</v>
      </c>
      <c r="K3168" s="13" t="s">
        <v>5289</v>
      </c>
      <c r="L3168" s="13" t="n">
        <v>8435415030885</v>
      </c>
      <c r="M3168" s="13"/>
      <c r="N3168" s="13" t="n">
        <v>8435415030885</v>
      </c>
      <c r="O3168" s="13"/>
      <c r="P3168" s="13" t="s">
        <v>5291</v>
      </c>
      <c r="Q3168" s="13" t="s">
        <v>5289</v>
      </c>
      <c r="R3168" s="13" t="s">
        <v>5292</v>
      </c>
      <c r="S3168" s="13" t="s">
        <v>5293</v>
      </c>
      <c r="T3168" s="13" t="s">
        <v>5</v>
      </c>
      <c r="U3168" s="13" t="s">
        <v>43</v>
      </c>
      <c r="V3168" s="13" t="n">
        <f aca="false">IF(COUNTIF($B$2:B3168,B3168)=1,1,0)</f>
        <v>0</v>
      </c>
      <c r="W3168" s="13" t="n">
        <f aca="false">IF(COUNTIFS($B$2:B3168,B3168,$T$2:T3168,T3168)=1,1,0)</f>
        <v>0</v>
      </c>
    </row>
    <row r="3169" customFormat="false" ht="15" hidden="false" customHeight="false" outlineLevel="0" collapsed="false">
      <c r="A3169" s="13" t="s">
        <v>4366</v>
      </c>
      <c r="B3169" s="13" t="s">
        <v>2103</v>
      </c>
      <c r="C3169" s="13" t="n">
        <v>660</v>
      </c>
      <c r="D3169" s="13" t="n">
        <v>5</v>
      </c>
      <c r="E3169" s="13" t="n">
        <v>94.6071428571429</v>
      </c>
      <c r="F3169" s="13" t="s">
        <v>5325</v>
      </c>
      <c r="G3169" s="13" t="s">
        <v>5289</v>
      </c>
      <c r="H3169" s="13" t="s">
        <v>5289</v>
      </c>
      <c r="I3169" s="13" t="s">
        <v>5289</v>
      </c>
      <c r="J3169" s="13" t="s">
        <v>5289</v>
      </c>
      <c r="K3169" s="13" t="s">
        <v>5289</v>
      </c>
      <c r="L3169" s="13" t="n">
        <v>309974784061</v>
      </c>
      <c r="M3169" s="13"/>
      <c r="N3169" s="13" t="n">
        <v>309974784061</v>
      </c>
      <c r="O3169" s="13"/>
      <c r="P3169" s="13" t="s">
        <v>5291</v>
      </c>
      <c r="Q3169" s="13" t="s">
        <v>5289</v>
      </c>
      <c r="R3169" s="13" t="s">
        <v>5292</v>
      </c>
      <c r="S3169" s="13" t="s">
        <v>5293</v>
      </c>
      <c r="T3169" s="13" t="s">
        <v>5</v>
      </c>
      <c r="U3169" s="13" t="s">
        <v>85</v>
      </c>
      <c r="V3169" s="13" t="n">
        <f aca="false">IF(COUNTIF($B$2:B3169,B3169)=1,1,0)</f>
        <v>0</v>
      </c>
      <c r="W3169" s="13" t="n">
        <f aca="false">IF(COUNTIFS($B$2:B3169,B3169,$T$2:T3169,T3169)=1,1,0)</f>
        <v>0</v>
      </c>
    </row>
    <row r="3170" customFormat="false" ht="15" hidden="false" customHeight="false" outlineLevel="0" collapsed="false">
      <c r="A3170" s="13" t="s">
        <v>1516</v>
      </c>
      <c r="B3170" s="13" t="s">
        <v>61</v>
      </c>
      <c r="C3170" s="13" t="n">
        <v>660</v>
      </c>
      <c r="D3170" s="13" t="n">
        <v>1</v>
      </c>
      <c r="E3170" s="13" t="n">
        <v>660.42</v>
      </c>
      <c r="F3170" s="13" t="s">
        <v>5325</v>
      </c>
      <c r="G3170" s="13" t="s">
        <v>5292</v>
      </c>
      <c r="H3170" s="13" t="s">
        <v>5289</v>
      </c>
      <c r="I3170" s="13" t="s">
        <v>5289</v>
      </c>
      <c r="J3170" s="13" t="s">
        <v>5289</v>
      </c>
      <c r="K3170" s="13" t="s">
        <v>5289</v>
      </c>
      <c r="L3170" s="13" t="n">
        <v>3614273660440</v>
      </c>
      <c r="M3170" s="13"/>
      <c r="N3170" s="13" t="n">
        <v>3614273660440</v>
      </c>
      <c r="O3170" s="13"/>
      <c r="P3170" s="13" t="s">
        <v>5297</v>
      </c>
      <c r="Q3170" s="13" t="s">
        <v>5289</v>
      </c>
      <c r="R3170" s="13" t="s">
        <v>5292</v>
      </c>
      <c r="S3170" s="13" t="s">
        <v>5293</v>
      </c>
      <c r="T3170" s="13" t="s">
        <v>5</v>
      </c>
      <c r="U3170" s="13" t="s">
        <v>43</v>
      </c>
      <c r="V3170" s="13" t="n">
        <f aca="false">IF(COUNTIF($B$2:B3170,B3170)=1,1,0)</f>
        <v>0</v>
      </c>
      <c r="W3170" s="13" t="n">
        <f aca="false">IF(COUNTIFS($B$2:B3170,B3170,$T$2:T3170,T3170)=1,1,0)</f>
        <v>0</v>
      </c>
    </row>
    <row r="3171" customFormat="false" ht="15" hidden="false" customHeight="false" outlineLevel="0" collapsed="false">
      <c r="A3171" s="13" t="s">
        <v>1517</v>
      </c>
      <c r="B3171" s="13" t="s">
        <v>50</v>
      </c>
      <c r="C3171" s="13" t="n">
        <v>660</v>
      </c>
      <c r="D3171" s="13" t="n">
        <v>1</v>
      </c>
      <c r="E3171" s="13" t="n">
        <v>658.04</v>
      </c>
      <c r="F3171" s="13" t="s">
        <v>5325</v>
      </c>
      <c r="G3171" s="13" t="s">
        <v>5289</v>
      </c>
      <c r="H3171" s="13" t="s">
        <v>5292</v>
      </c>
      <c r="I3171" s="13" t="s">
        <v>5289</v>
      </c>
      <c r="J3171" s="13" t="s">
        <v>5289</v>
      </c>
      <c r="K3171" s="13" t="s">
        <v>5289</v>
      </c>
      <c r="L3171" s="13" t="n">
        <v>3349668588732</v>
      </c>
      <c r="M3171" s="13"/>
      <c r="N3171" s="13" t="n">
        <v>3.34966858873234E+025</v>
      </c>
      <c r="O3171" s="13"/>
      <c r="P3171" s="13" t="s">
        <v>5291</v>
      </c>
      <c r="Q3171" s="13" t="s">
        <v>5289</v>
      </c>
      <c r="R3171" s="13" t="s">
        <v>5292</v>
      </c>
      <c r="S3171" s="13" t="s">
        <v>5293</v>
      </c>
      <c r="T3171" s="13" t="s">
        <v>5</v>
      </c>
      <c r="U3171" s="13" t="s">
        <v>43</v>
      </c>
      <c r="V3171" s="13" t="n">
        <f aca="false">IF(COUNTIF($B$2:B3171,B3171)=1,1,0)</f>
        <v>0</v>
      </c>
      <c r="W3171" s="13" t="n">
        <f aca="false">IF(COUNTIFS($B$2:B3171,B3171,$T$2:T3171,T3171)=1,1,0)</f>
        <v>0</v>
      </c>
    </row>
    <row r="3172" customFormat="false" ht="15" hidden="false" customHeight="false" outlineLevel="0" collapsed="false">
      <c r="A3172" s="13" t="s">
        <v>1520</v>
      </c>
      <c r="B3172" s="13" t="s">
        <v>50</v>
      </c>
      <c r="C3172" s="13" t="n">
        <v>660</v>
      </c>
      <c r="D3172" s="13" t="n">
        <v>1</v>
      </c>
      <c r="E3172" s="13" t="n">
        <v>658.03</v>
      </c>
      <c r="F3172" s="13" t="s">
        <v>5325</v>
      </c>
      <c r="G3172" s="13" t="s">
        <v>5289</v>
      </c>
      <c r="H3172" s="13" t="s">
        <v>5292</v>
      </c>
      <c r="I3172" s="13" t="s">
        <v>5289</v>
      </c>
      <c r="J3172" s="13" t="s">
        <v>5289</v>
      </c>
      <c r="K3172" s="13" t="s">
        <v>5289</v>
      </c>
      <c r="L3172" s="13"/>
      <c r="M3172" s="13"/>
      <c r="N3172" s="13" t="n">
        <v>3349668641833</v>
      </c>
      <c r="O3172" s="13"/>
      <c r="P3172" s="13" t="s">
        <v>5291</v>
      </c>
      <c r="Q3172" s="13" t="s">
        <v>5289</v>
      </c>
      <c r="R3172" s="13" t="s">
        <v>5292</v>
      </c>
      <c r="S3172" s="13" t="s">
        <v>5293</v>
      </c>
      <c r="T3172" s="13" t="s">
        <v>5</v>
      </c>
      <c r="U3172" s="13" t="s">
        <v>43</v>
      </c>
      <c r="V3172" s="13" t="n">
        <f aca="false">IF(COUNTIF($B$2:B3172,B3172)=1,1,0)</f>
        <v>0</v>
      </c>
      <c r="W3172" s="13" t="n">
        <f aca="false">IF(COUNTIFS($B$2:B3172,B3172,$T$2:T3172,T3172)=1,1,0)</f>
        <v>0</v>
      </c>
    </row>
    <row r="3173" customFormat="false" ht="15" hidden="false" customHeight="false" outlineLevel="0" collapsed="false">
      <c r="A3173" s="13" t="s">
        <v>1518</v>
      </c>
      <c r="B3173" s="13" t="s">
        <v>362</v>
      </c>
      <c r="C3173" s="13" t="n">
        <v>660</v>
      </c>
      <c r="D3173" s="13" t="n">
        <v>2</v>
      </c>
      <c r="E3173" s="13" t="n">
        <v>329</v>
      </c>
      <c r="F3173" s="13" t="s">
        <v>5325</v>
      </c>
      <c r="G3173" s="13" t="s">
        <v>5292</v>
      </c>
      <c r="H3173" s="13" t="s">
        <v>5289</v>
      </c>
      <c r="I3173" s="13" t="s">
        <v>5289</v>
      </c>
      <c r="J3173" s="13" t="s">
        <v>5289</v>
      </c>
      <c r="K3173" s="13" t="s">
        <v>5289</v>
      </c>
      <c r="L3173" s="13"/>
      <c r="M3173" s="13"/>
      <c r="N3173" s="13" t="n">
        <v>3386460028462</v>
      </c>
      <c r="O3173" s="13"/>
      <c r="P3173" s="13" t="s">
        <v>5291</v>
      </c>
      <c r="Q3173" s="13" t="s">
        <v>5289</v>
      </c>
      <c r="R3173" s="13" t="s">
        <v>5292</v>
      </c>
      <c r="S3173" s="13" t="s">
        <v>5293</v>
      </c>
      <c r="T3173" s="13" t="s">
        <v>5</v>
      </c>
      <c r="U3173" s="13" t="s">
        <v>43</v>
      </c>
      <c r="V3173" s="13" t="n">
        <f aca="false">IF(COUNTIF($B$2:B3173,B3173)=1,1,0)</f>
        <v>0</v>
      </c>
      <c r="W3173" s="13" t="n">
        <f aca="false">IF(COUNTIFS($B$2:B3173,B3173,$T$2:T3173,T3173)=1,1,0)</f>
        <v>0</v>
      </c>
    </row>
    <row r="3174" customFormat="false" ht="15" hidden="false" customHeight="false" outlineLevel="0" collapsed="false">
      <c r="A3174" s="13" t="s">
        <v>1109</v>
      </c>
      <c r="B3174" s="13" t="s">
        <v>2118</v>
      </c>
      <c r="C3174" s="13" t="n">
        <v>660</v>
      </c>
      <c r="D3174" s="13" t="n">
        <v>1</v>
      </c>
      <c r="E3174" s="13" t="n">
        <v>657.86</v>
      </c>
      <c r="F3174" s="13" t="s">
        <v>5325</v>
      </c>
      <c r="G3174" s="13" t="s">
        <v>5289</v>
      </c>
      <c r="H3174" s="13" t="s">
        <v>5292</v>
      </c>
      <c r="I3174" s="13" t="s">
        <v>5289</v>
      </c>
      <c r="J3174" s="13" t="s">
        <v>5289</v>
      </c>
      <c r="K3174" s="13" t="s">
        <v>5289</v>
      </c>
      <c r="L3174" s="13" t="n">
        <v>3614274293845</v>
      </c>
      <c r="M3174" s="13"/>
      <c r="N3174" s="13" t="n">
        <v>3614274293845</v>
      </c>
      <c r="O3174" s="13"/>
      <c r="P3174" s="13" t="s">
        <v>5291</v>
      </c>
      <c r="Q3174" s="13" t="s">
        <v>5289</v>
      </c>
      <c r="R3174" s="13" t="s">
        <v>5292</v>
      </c>
      <c r="S3174" s="13" t="s">
        <v>5293</v>
      </c>
      <c r="T3174" s="13" t="s">
        <v>5</v>
      </c>
      <c r="U3174" s="13" t="s">
        <v>85</v>
      </c>
      <c r="V3174" s="13" t="n">
        <f aca="false">IF(COUNTIF($B$2:B3174,B3174)=1,1,0)</f>
        <v>0</v>
      </c>
      <c r="W3174" s="13" t="n">
        <f aca="false">IF(COUNTIFS($B$2:B3174,B3174,$T$2:T3174,T3174)=1,1,0)</f>
        <v>0</v>
      </c>
    </row>
    <row r="3175" customFormat="false" ht="15" hidden="false" customHeight="false" outlineLevel="0" collapsed="false">
      <c r="A3175" s="13" t="s">
        <v>1519</v>
      </c>
      <c r="B3175" s="13" t="s">
        <v>315</v>
      </c>
      <c r="C3175" s="13" t="n">
        <v>660</v>
      </c>
      <c r="D3175" s="13" t="n">
        <v>1</v>
      </c>
      <c r="E3175" s="13" t="n">
        <v>656.16</v>
      </c>
      <c r="F3175" s="13" t="s">
        <v>5325</v>
      </c>
      <c r="G3175" s="13" t="s">
        <v>5289</v>
      </c>
      <c r="H3175" s="13" t="s">
        <v>5292</v>
      </c>
      <c r="I3175" s="13" t="s">
        <v>5289</v>
      </c>
      <c r="J3175" s="13" t="s">
        <v>5289</v>
      </c>
      <c r="K3175" s="13" t="s">
        <v>5289</v>
      </c>
      <c r="L3175" s="13"/>
      <c r="M3175" s="13"/>
      <c r="N3175" s="13" t="n">
        <v>3605972975850</v>
      </c>
      <c r="O3175" s="13"/>
      <c r="P3175" s="13" t="s">
        <v>5291</v>
      </c>
      <c r="Q3175" s="13" t="s">
        <v>5289</v>
      </c>
      <c r="R3175" s="13" t="s">
        <v>5292</v>
      </c>
      <c r="S3175" s="13" t="s">
        <v>5293</v>
      </c>
      <c r="T3175" s="13" t="s">
        <v>5</v>
      </c>
      <c r="U3175" s="13" t="s">
        <v>43</v>
      </c>
      <c r="V3175" s="13" t="n">
        <f aca="false">IF(COUNTIF($B$2:B3175,B3175)=1,1,0)</f>
        <v>0</v>
      </c>
      <c r="W3175" s="13" t="n">
        <f aca="false">IF(COUNTIFS($B$2:B3175,B3175,$T$2:T3175,T3175)=1,1,0)</f>
        <v>0</v>
      </c>
    </row>
    <row r="3176" customFormat="false" ht="15" hidden="false" customHeight="false" outlineLevel="0" collapsed="false">
      <c r="A3176" s="13" t="s">
        <v>370</v>
      </c>
      <c r="B3176" s="13" t="s">
        <v>124</v>
      </c>
      <c r="C3176" s="13" t="n">
        <v>660</v>
      </c>
      <c r="D3176" s="13" t="n">
        <v>1</v>
      </c>
      <c r="E3176" s="13" t="n">
        <v>655.08</v>
      </c>
      <c r="F3176" s="13" t="s">
        <v>5288</v>
      </c>
      <c r="G3176" s="13" t="s">
        <v>5292</v>
      </c>
      <c r="H3176" s="13" t="s">
        <v>5289</v>
      </c>
      <c r="I3176" s="13" t="s">
        <v>5289</v>
      </c>
      <c r="J3176" s="13" t="s">
        <v>5289</v>
      </c>
      <c r="K3176" s="13" t="s">
        <v>5289</v>
      </c>
      <c r="L3176" s="13" t="n">
        <v>3614274361322</v>
      </c>
      <c r="M3176" s="13"/>
      <c r="N3176" s="13" t="n">
        <v>3614274361322</v>
      </c>
      <c r="O3176" s="13"/>
      <c r="P3176" s="13" t="s">
        <v>5297</v>
      </c>
      <c r="Q3176" s="13" t="s">
        <v>5289</v>
      </c>
      <c r="R3176" s="13" t="s">
        <v>5292</v>
      </c>
      <c r="S3176" s="13" t="s">
        <v>5293</v>
      </c>
      <c r="T3176" s="13" t="s">
        <v>5</v>
      </c>
      <c r="U3176" s="13" t="s">
        <v>43</v>
      </c>
      <c r="V3176" s="13" t="n">
        <f aca="false">IF(COUNTIF($B$2:B3176,B3176)=1,1,0)</f>
        <v>0</v>
      </c>
      <c r="W3176" s="13" t="n">
        <f aca="false">IF(COUNTIFS($B$2:B3176,B3176,$T$2:T3176,T3176)=1,1,0)</f>
        <v>0</v>
      </c>
    </row>
    <row r="3177" customFormat="false" ht="15" hidden="false" customHeight="false" outlineLevel="0" collapsed="false">
      <c r="A3177" s="13" t="s">
        <v>1012</v>
      </c>
      <c r="B3177" s="13" t="s">
        <v>72</v>
      </c>
      <c r="C3177" s="13" t="n">
        <v>650</v>
      </c>
      <c r="D3177" s="13" t="n">
        <v>1</v>
      </c>
      <c r="E3177" s="13" t="n">
        <v>653.52</v>
      </c>
      <c r="F3177" s="13" t="s">
        <v>5325</v>
      </c>
      <c r="G3177" s="13" t="s">
        <v>5289</v>
      </c>
      <c r="H3177" s="13" t="s">
        <v>5292</v>
      </c>
      <c r="I3177" s="13" t="s">
        <v>5289</v>
      </c>
      <c r="J3177" s="13" t="s">
        <v>5289</v>
      </c>
      <c r="K3177" s="13" t="s">
        <v>5289</v>
      </c>
      <c r="L3177" s="13" t="n">
        <v>3614273961738</v>
      </c>
      <c r="M3177" s="13"/>
      <c r="N3177" s="13" t="n">
        <v>3614273961738</v>
      </c>
      <c r="O3177" s="13"/>
      <c r="P3177" s="13" t="s">
        <v>5291</v>
      </c>
      <c r="Q3177" s="13" t="s">
        <v>5289</v>
      </c>
      <c r="R3177" s="13" t="s">
        <v>5292</v>
      </c>
      <c r="S3177" s="13" t="s">
        <v>5293</v>
      </c>
      <c r="T3177" s="13" t="s">
        <v>5</v>
      </c>
      <c r="U3177" s="13" t="s">
        <v>43</v>
      </c>
      <c r="V3177" s="13" t="n">
        <f aca="false">IF(COUNTIF($B$2:B3177,B3177)=1,1,0)</f>
        <v>0</v>
      </c>
      <c r="W3177" s="13" t="n">
        <f aca="false">IF(COUNTIFS($B$2:B3177,B3177,$T$2:T3177,T3177)=1,1,0)</f>
        <v>0</v>
      </c>
    </row>
    <row r="3178" customFormat="false" ht="15" hidden="false" customHeight="false" outlineLevel="0" collapsed="false">
      <c r="A3178" s="13" t="s">
        <v>1534</v>
      </c>
      <c r="B3178" s="13" t="s">
        <v>61</v>
      </c>
      <c r="C3178" s="13" t="n">
        <v>650</v>
      </c>
      <c r="D3178" s="13" t="n">
        <v>1</v>
      </c>
      <c r="E3178" s="13" t="n">
        <v>650.85</v>
      </c>
      <c r="F3178" s="13" t="s">
        <v>5325</v>
      </c>
      <c r="G3178" s="13" t="s">
        <v>5289</v>
      </c>
      <c r="H3178" s="13" t="s">
        <v>5289</v>
      </c>
      <c r="I3178" s="13" t="s">
        <v>5289</v>
      </c>
      <c r="J3178" s="13" t="s">
        <v>5289</v>
      </c>
      <c r="K3178" s="13" t="s">
        <v>5292</v>
      </c>
      <c r="L3178" s="13" t="n">
        <v>3605530314176</v>
      </c>
      <c r="M3178" s="13"/>
      <c r="N3178" s="13" t="n">
        <v>3605530314176</v>
      </c>
      <c r="O3178" s="13"/>
      <c r="P3178" s="13" t="s">
        <v>5291</v>
      </c>
      <c r="Q3178" s="13" t="s">
        <v>5289</v>
      </c>
      <c r="R3178" s="13" t="s">
        <v>5292</v>
      </c>
      <c r="S3178" s="13" t="s">
        <v>5293</v>
      </c>
      <c r="T3178" s="13" t="s">
        <v>5</v>
      </c>
      <c r="U3178" s="13" t="s">
        <v>183</v>
      </c>
      <c r="V3178" s="13" t="n">
        <f aca="false">IF(COUNTIF($B$2:B3178,B3178)=1,1,0)</f>
        <v>0</v>
      </c>
      <c r="W3178" s="13" t="n">
        <f aca="false">IF(COUNTIFS($B$2:B3178,B3178,$T$2:T3178,T3178)=1,1,0)</f>
        <v>0</v>
      </c>
    </row>
    <row r="3179" customFormat="false" ht="15" hidden="false" customHeight="false" outlineLevel="0" collapsed="false">
      <c r="A3179" s="13" t="s">
        <v>1526</v>
      </c>
      <c r="B3179" s="13" t="s">
        <v>42</v>
      </c>
      <c r="C3179" s="13" t="n">
        <v>650</v>
      </c>
      <c r="D3179" s="13" t="n">
        <v>2</v>
      </c>
      <c r="E3179" s="13" t="n">
        <v>324.825</v>
      </c>
      <c r="F3179" s="13" t="s">
        <v>5325</v>
      </c>
      <c r="G3179" s="13" t="s">
        <v>5289</v>
      </c>
      <c r="H3179" s="13" t="s">
        <v>5292</v>
      </c>
      <c r="I3179" s="13" t="s">
        <v>5289</v>
      </c>
      <c r="J3179" s="13" t="s">
        <v>5289</v>
      </c>
      <c r="K3179" s="13" t="s">
        <v>5289</v>
      </c>
      <c r="L3179" s="13" t="n">
        <v>8411061841655</v>
      </c>
      <c r="M3179" s="13"/>
      <c r="N3179" s="13" t="n">
        <v>8411061841655</v>
      </c>
      <c r="O3179" s="13"/>
      <c r="P3179" s="13" t="s">
        <v>5291</v>
      </c>
      <c r="Q3179" s="13" t="s">
        <v>5289</v>
      </c>
      <c r="R3179" s="13" t="s">
        <v>5292</v>
      </c>
      <c r="S3179" s="13" t="s">
        <v>5293</v>
      </c>
      <c r="T3179" s="13" t="s">
        <v>5</v>
      </c>
      <c r="U3179" s="13" t="s">
        <v>43</v>
      </c>
      <c r="V3179" s="13" t="n">
        <f aca="false">IF(COUNTIF($B$2:B3179,B3179)=1,1,0)</f>
        <v>0</v>
      </c>
      <c r="W3179" s="13" t="n">
        <f aca="false">IF(COUNTIFS($B$2:B3179,B3179,$T$2:T3179,T3179)=1,1,0)</f>
        <v>0</v>
      </c>
    </row>
    <row r="3180" customFormat="false" ht="15" hidden="false" customHeight="false" outlineLevel="0" collapsed="false">
      <c r="A3180" s="13" t="s">
        <v>238</v>
      </c>
      <c r="B3180" s="13" t="s">
        <v>193</v>
      </c>
      <c r="C3180" s="13" t="n">
        <v>650</v>
      </c>
      <c r="D3180" s="13" t="n">
        <v>1</v>
      </c>
      <c r="E3180" s="13" t="n">
        <v>648.85</v>
      </c>
      <c r="F3180" s="13" t="s">
        <v>5325</v>
      </c>
      <c r="G3180" s="13" t="s">
        <v>5292</v>
      </c>
      <c r="H3180" s="13" t="s">
        <v>5289</v>
      </c>
      <c r="I3180" s="13" t="s">
        <v>5289</v>
      </c>
      <c r="J3180" s="13" t="s">
        <v>5289</v>
      </c>
      <c r="K3180" s="13" t="s">
        <v>5292</v>
      </c>
      <c r="L3180" s="13" t="n">
        <v>3614272225701</v>
      </c>
      <c r="M3180" s="13"/>
      <c r="N3180" s="13" t="n">
        <v>3614272225701</v>
      </c>
      <c r="O3180" s="13"/>
      <c r="P3180" s="13" t="s">
        <v>5297</v>
      </c>
      <c r="Q3180" s="13" t="s">
        <v>5289</v>
      </c>
      <c r="R3180" s="13" t="s">
        <v>5292</v>
      </c>
      <c r="S3180" s="13" t="s">
        <v>5293</v>
      </c>
      <c r="T3180" s="13" t="s">
        <v>5</v>
      </c>
      <c r="U3180" s="13" t="s">
        <v>43</v>
      </c>
      <c r="V3180" s="13" t="n">
        <f aca="false">IF(COUNTIF($B$2:B3180,B3180)=1,1,0)</f>
        <v>0</v>
      </c>
      <c r="W3180" s="13" t="n">
        <f aca="false">IF(COUNTIFS($B$2:B3180,B3180,$T$2:T3180,T3180)=1,1,0)</f>
        <v>0</v>
      </c>
    </row>
    <row r="3181" customFormat="false" ht="15" hidden="false" customHeight="false" outlineLevel="0" collapsed="false">
      <c r="A3181" s="13" t="s">
        <v>358</v>
      </c>
      <c r="B3181" s="13" t="s">
        <v>42</v>
      </c>
      <c r="C3181" s="13" t="n">
        <v>650</v>
      </c>
      <c r="D3181" s="13" t="n">
        <v>1</v>
      </c>
      <c r="E3181" s="13" t="n">
        <v>648.85</v>
      </c>
      <c r="F3181" s="13" t="s">
        <v>5288</v>
      </c>
      <c r="G3181" s="13" t="s">
        <v>5292</v>
      </c>
      <c r="H3181" s="13" t="s">
        <v>5289</v>
      </c>
      <c r="I3181" s="13" t="s">
        <v>5289</v>
      </c>
      <c r="J3181" s="13" t="s">
        <v>5289</v>
      </c>
      <c r="K3181" s="13" t="s">
        <v>5292</v>
      </c>
      <c r="L3181" s="13" t="n">
        <v>8411061865460</v>
      </c>
      <c r="M3181" s="13"/>
      <c r="N3181" s="13" t="n">
        <v>8.41106186546084E+025</v>
      </c>
      <c r="O3181" s="13"/>
      <c r="P3181" s="13" t="s">
        <v>5297</v>
      </c>
      <c r="Q3181" s="13" t="s">
        <v>5289</v>
      </c>
      <c r="R3181" s="13" t="s">
        <v>5292</v>
      </c>
      <c r="S3181" s="13" t="s">
        <v>5293</v>
      </c>
      <c r="T3181" s="13" t="s">
        <v>5</v>
      </c>
      <c r="U3181" s="13" t="s">
        <v>43</v>
      </c>
      <c r="V3181" s="13" t="n">
        <f aca="false">IF(COUNTIF($B$2:B3181,B3181)=1,1,0)</f>
        <v>0</v>
      </c>
      <c r="W3181" s="13" t="n">
        <f aca="false">IF(COUNTIFS($B$2:B3181,B3181,$T$2:T3181,T3181)=1,1,0)</f>
        <v>0</v>
      </c>
    </row>
    <row r="3182" customFormat="false" ht="15" hidden="false" customHeight="false" outlineLevel="0" collapsed="false">
      <c r="A3182" s="13" t="s">
        <v>4391</v>
      </c>
      <c r="B3182" s="13" t="s">
        <v>2208</v>
      </c>
      <c r="C3182" s="13" t="n">
        <v>650</v>
      </c>
      <c r="D3182" s="13" t="n">
        <v>5</v>
      </c>
      <c r="E3182" s="13" t="n">
        <v>81</v>
      </c>
      <c r="F3182" s="13" t="s">
        <v>5325</v>
      </c>
      <c r="G3182" s="13" t="s">
        <v>5289</v>
      </c>
      <c r="H3182" s="13" t="s">
        <v>5289</v>
      </c>
      <c r="I3182" s="13" t="s">
        <v>5289</v>
      </c>
      <c r="J3182" s="13" t="s">
        <v>5289</v>
      </c>
      <c r="K3182" s="13" t="s">
        <v>5289</v>
      </c>
      <c r="L3182" s="13" t="n">
        <v>3616303461966</v>
      </c>
      <c r="M3182" s="13"/>
      <c r="N3182" s="13" t="n">
        <v>3616303461966</v>
      </c>
      <c r="O3182" s="13"/>
      <c r="P3182" s="13" t="s">
        <v>5297</v>
      </c>
      <c r="Q3182" s="13" t="s">
        <v>5289</v>
      </c>
      <c r="R3182" s="13" t="s">
        <v>5292</v>
      </c>
      <c r="S3182" s="13" t="s">
        <v>5293</v>
      </c>
      <c r="T3182" s="13" t="s">
        <v>5</v>
      </c>
      <c r="U3182" s="13" t="s">
        <v>43</v>
      </c>
      <c r="V3182" s="13" t="n">
        <f aca="false">IF(COUNTIF($B$2:B3182,B3182)=1,1,0)</f>
        <v>0</v>
      </c>
      <c r="W3182" s="13" t="n">
        <f aca="false">IF(COUNTIFS($B$2:B3182,B3182,$T$2:T3182,T3182)=1,1,0)</f>
        <v>0</v>
      </c>
    </row>
    <row r="3183" customFormat="false" ht="15" hidden="false" customHeight="false" outlineLevel="0" collapsed="false">
      <c r="A3183" s="13" t="s">
        <v>1529</v>
      </c>
      <c r="B3183" s="13" t="s">
        <v>165</v>
      </c>
      <c r="C3183" s="13" t="n">
        <v>650</v>
      </c>
      <c r="D3183" s="13" t="n">
        <v>1</v>
      </c>
      <c r="E3183" s="13" t="n">
        <v>647.08</v>
      </c>
      <c r="F3183" s="13" t="s">
        <v>5288</v>
      </c>
      <c r="G3183" s="13" t="s">
        <v>5289</v>
      </c>
      <c r="H3183" s="13" t="s">
        <v>5292</v>
      </c>
      <c r="I3183" s="13" t="s">
        <v>5289</v>
      </c>
      <c r="J3183" s="13" t="s">
        <v>5289</v>
      </c>
      <c r="K3183" s="13" t="s">
        <v>5289</v>
      </c>
      <c r="L3183" s="13"/>
      <c r="M3183" s="13"/>
      <c r="N3183" s="13" t="n">
        <v>3351500016617</v>
      </c>
      <c r="O3183" s="13"/>
      <c r="P3183" s="13" t="s">
        <v>5291</v>
      </c>
      <c r="Q3183" s="13" t="s">
        <v>5289</v>
      </c>
      <c r="R3183" s="13" t="s">
        <v>5292</v>
      </c>
      <c r="S3183" s="13" t="s">
        <v>5293</v>
      </c>
      <c r="T3183" s="13" t="s">
        <v>5</v>
      </c>
      <c r="U3183" s="13" t="s">
        <v>43</v>
      </c>
      <c r="V3183" s="13" t="n">
        <f aca="false">IF(COUNTIF($B$2:B3183,B3183)=1,1,0)</f>
        <v>0</v>
      </c>
      <c r="W3183" s="13" t="n">
        <f aca="false">IF(COUNTIFS($B$2:B3183,B3183,$T$2:T3183,T3183)=1,1,0)</f>
        <v>0</v>
      </c>
    </row>
    <row r="3184" customFormat="false" ht="15" hidden="false" customHeight="false" outlineLevel="0" collapsed="false">
      <c r="A3184" s="13" t="s">
        <v>1535</v>
      </c>
      <c r="B3184" s="13" t="s">
        <v>195</v>
      </c>
      <c r="C3184" s="13" t="n">
        <v>640</v>
      </c>
      <c r="D3184" s="13" t="n">
        <v>2</v>
      </c>
      <c r="E3184" s="13" t="n">
        <v>321.99</v>
      </c>
      <c r="F3184" s="13" t="s">
        <v>5288</v>
      </c>
      <c r="G3184" s="13" t="s">
        <v>5289</v>
      </c>
      <c r="H3184" s="13" t="s">
        <v>5292</v>
      </c>
      <c r="I3184" s="13" t="s">
        <v>5289</v>
      </c>
      <c r="J3184" s="13" t="s">
        <v>5289</v>
      </c>
      <c r="K3184" s="13" t="s">
        <v>5289</v>
      </c>
      <c r="L3184" s="13" t="n">
        <v>3614226904980</v>
      </c>
      <c r="M3184" s="13"/>
      <c r="N3184" s="13" t="n">
        <v>3614226904980</v>
      </c>
      <c r="O3184" s="13"/>
      <c r="P3184" s="13" t="s">
        <v>5291</v>
      </c>
      <c r="Q3184" s="13" t="s">
        <v>5289</v>
      </c>
      <c r="R3184" s="13" t="s">
        <v>5292</v>
      </c>
      <c r="S3184" s="13" t="s">
        <v>5293</v>
      </c>
      <c r="T3184" s="13" t="s">
        <v>5</v>
      </c>
      <c r="U3184" s="13" t="s">
        <v>43</v>
      </c>
      <c r="V3184" s="13" t="n">
        <f aca="false">IF(COUNTIF($B$2:B3184,B3184)=1,1,0)</f>
        <v>0</v>
      </c>
      <c r="W3184" s="13" t="n">
        <f aca="false">IF(COUNTIFS($B$2:B3184,B3184,$T$2:T3184,T3184)=1,1,0)</f>
        <v>0</v>
      </c>
    </row>
    <row r="3185" customFormat="false" ht="15" hidden="false" customHeight="false" outlineLevel="0" collapsed="false">
      <c r="A3185" s="13" t="s">
        <v>1542</v>
      </c>
      <c r="B3185" s="13" t="s">
        <v>121</v>
      </c>
      <c r="C3185" s="13" t="n">
        <v>640</v>
      </c>
      <c r="D3185" s="13" t="n">
        <v>10</v>
      </c>
      <c r="E3185" s="13" t="n">
        <v>58.4672727272727</v>
      </c>
      <c r="F3185" s="13" t="s">
        <v>5325</v>
      </c>
      <c r="G3185" s="13" t="s">
        <v>5289</v>
      </c>
      <c r="H3185" s="13" t="s">
        <v>5289</v>
      </c>
      <c r="I3185" s="13" t="s">
        <v>5292</v>
      </c>
      <c r="J3185" s="13" t="s">
        <v>5289</v>
      </c>
      <c r="K3185" s="13" t="s">
        <v>5289</v>
      </c>
      <c r="L3185" s="13" t="n">
        <v>7896086943378</v>
      </c>
      <c r="M3185" s="13"/>
      <c r="N3185" s="13" t="n">
        <v>7896086943378</v>
      </c>
      <c r="O3185" s="13"/>
      <c r="P3185" s="13" t="s">
        <v>5291</v>
      </c>
      <c r="Q3185" s="13" t="s">
        <v>5289</v>
      </c>
      <c r="R3185" s="13" t="s">
        <v>5292</v>
      </c>
      <c r="S3185" s="13" t="s">
        <v>5293</v>
      </c>
      <c r="T3185" s="13" t="s">
        <v>5</v>
      </c>
      <c r="U3185" s="13" t="s">
        <v>43</v>
      </c>
      <c r="V3185" s="13" t="n">
        <f aca="false">IF(COUNTIF($B$2:B3185,B3185)=1,1,0)</f>
        <v>0</v>
      </c>
      <c r="W3185" s="13" t="n">
        <f aca="false">IF(COUNTIFS($B$2:B3185,B3185,$T$2:T3185,T3185)=1,1,0)</f>
        <v>0</v>
      </c>
    </row>
    <row r="3186" customFormat="false" ht="15" hidden="false" customHeight="false" outlineLevel="0" collapsed="false">
      <c r="A3186" s="13" t="s">
        <v>1543</v>
      </c>
      <c r="B3186" s="13" t="s">
        <v>315</v>
      </c>
      <c r="C3186" s="13" t="n">
        <v>640</v>
      </c>
      <c r="D3186" s="13" t="n">
        <v>1</v>
      </c>
      <c r="E3186" s="13" t="n">
        <v>642.99</v>
      </c>
      <c r="F3186" s="13" t="s">
        <v>5325</v>
      </c>
      <c r="G3186" s="13" t="s">
        <v>5289</v>
      </c>
      <c r="H3186" s="13" t="s">
        <v>5292</v>
      </c>
      <c r="I3186" s="13" t="s">
        <v>5289</v>
      </c>
      <c r="J3186" s="13" t="s">
        <v>5289</v>
      </c>
      <c r="K3186" s="13" t="s">
        <v>5289</v>
      </c>
      <c r="L3186" s="13" t="n">
        <v>3605973038189</v>
      </c>
      <c r="M3186" s="13"/>
      <c r="N3186" s="13" t="n">
        <v>3605973038189</v>
      </c>
      <c r="O3186" s="13"/>
      <c r="P3186" s="13" t="s">
        <v>5291</v>
      </c>
      <c r="Q3186" s="13" t="s">
        <v>5289</v>
      </c>
      <c r="R3186" s="13" t="s">
        <v>5292</v>
      </c>
      <c r="S3186" s="13" t="s">
        <v>5293</v>
      </c>
      <c r="T3186" s="13" t="s">
        <v>5</v>
      </c>
      <c r="U3186" s="13" t="s">
        <v>85</v>
      </c>
      <c r="V3186" s="13" t="n">
        <f aca="false">IF(COUNTIF($B$2:B3186,B3186)=1,1,0)</f>
        <v>0</v>
      </c>
      <c r="W3186" s="13" t="n">
        <f aca="false">IF(COUNTIFS($B$2:B3186,B3186,$T$2:T3186,T3186)=1,1,0)</f>
        <v>0</v>
      </c>
    </row>
    <row r="3187" customFormat="false" ht="15" hidden="false" customHeight="false" outlineLevel="0" collapsed="false">
      <c r="A3187" s="13" t="s">
        <v>1540</v>
      </c>
      <c r="B3187" s="13" t="s">
        <v>302</v>
      </c>
      <c r="C3187" s="13" t="n">
        <v>640</v>
      </c>
      <c r="D3187" s="13" t="n">
        <v>1</v>
      </c>
      <c r="E3187" s="13" t="n">
        <v>639</v>
      </c>
      <c r="F3187" s="13" t="s">
        <v>5325</v>
      </c>
      <c r="G3187" s="13" t="s">
        <v>5292</v>
      </c>
      <c r="H3187" s="13" t="s">
        <v>5289</v>
      </c>
      <c r="I3187" s="13" t="s">
        <v>5289</v>
      </c>
      <c r="J3187" s="13" t="s">
        <v>5289</v>
      </c>
      <c r="K3187" s="13" t="s">
        <v>5289</v>
      </c>
      <c r="L3187" s="13"/>
      <c r="M3187" s="13"/>
      <c r="N3187" s="13" t="n">
        <v>3274872372146</v>
      </c>
      <c r="O3187" s="13"/>
      <c r="P3187" s="13" t="s">
        <v>5291</v>
      </c>
      <c r="Q3187" s="13" t="s">
        <v>5289</v>
      </c>
      <c r="R3187" s="13" t="s">
        <v>5292</v>
      </c>
      <c r="S3187" s="13" t="s">
        <v>5293</v>
      </c>
      <c r="T3187" s="13" t="s">
        <v>5</v>
      </c>
      <c r="U3187" s="13" t="s">
        <v>43</v>
      </c>
      <c r="V3187" s="13" t="n">
        <f aca="false">IF(COUNTIF($B$2:B3187,B3187)=1,1,0)</f>
        <v>0</v>
      </c>
      <c r="W3187" s="13" t="n">
        <f aca="false">IF(COUNTIFS($B$2:B3187,B3187,$T$2:T3187,T3187)=1,1,0)</f>
        <v>0</v>
      </c>
    </row>
    <row r="3188" customFormat="false" ht="15" hidden="false" customHeight="false" outlineLevel="0" collapsed="false">
      <c r="A3188" s="13" t="s">
        <v>1544</v>
      </c>
      <c r="B3188" s="13" t="s">
        <v>177</v>
      </c>
      <c r="C3188" s="13" t="n">
        <v>640</v>
      </c>
      <c r="D3188" s="13" t="n">
        <v>1</v>
      </c>
      <c r="E3188" s="13" t="n">
        <v>638.63</v>
      </c>
      <c r="F3188" s="13" t="s">
        <v>5288</v>
      </c>
      <c r="G3188" s="13" t="s">
        <v>5289</v>
      </c>
      <c r="H3188" s="13" t="s">
        <v>5292</v>
      </c>
      <c r="I3188" s="13" t="s">
        <v>5289</v>
      </c>
      <c r="J3188" s="13" t="s">
        <v>5289</v>
      </c>
      <c r="K3188" s="13" t="s">
        <v>5289</v>
      </c>
      <c r="L3188" s="13" t="n">
        <v>3616301794646</v>
      </c>
      <c r="M3188" s="13"/>
      <c r="N3188" s="13" t="n">
        <v>3616301794646</v>
      </c>
      <c r="O3188" s="13"/>
      <c r="P3188" s="13" t="s">
        <v>5291</v>
      </c>
      <c r="Q3188" s="13" t="s">
        <v>5289</v>
      </c>
      <c r="R3188" s="13" t="s">
        <v>5292</v>
      </c>
      <c r="S3188" s="13" t="s">
        <v>5293</v>
      </c>
      <c r="T3188" s="13" t="s">
        <v>5</v>
      </c>
      <c r="U3188" s="13" t="s">
        <v>43</v>
      </c>
      <c r="V3188" s="13" t="n">
        <f aca="false">IF(COUNTIF($B$2:B3188,B3188)=1,1,0)</f>
        <v>0</v>
      </c>
      <c r="W3188" s="13" t="n">
        <f aca="false">IF(COUNTIFS($B$2:B3188,B3188,$T$2:T3188,T3188)=1,1,0)</f>
        <v>0</v>
      </c>
    </row>
    <row r="3189" customFormat="false" ht="15" hidden="false" customHeight="false" outlineLevel="0" collapsed="false">
      <c r="A3189" s="13" t="s">
        <v>1541</v>
      </c>
      <c r="B3189" s="13" t="s">
        <v>177</v>
      </c>
      <c r="C3189" s="13" t="n">
        <v>640</v>
      </c>
      <c r="D3189" s="13" t="n">
        <v>1</v>
      </c>
      <c r="E3189" s="13" t="n">
        <v>637.52</v>
      </c>
      <c r="F3189" s="13" t="s">
        <v>5325</v>
      </c>
      <c r="G3189" s="13" t="s">
        <v>5289</v>
      </c>
      <c r="H3189" s="13" t="s">
        <v>5292</v>
      </c>
      <c r="I3189" s="13" t="s">
        <v>5289</v>
      </c>
      <c r="J3189" s="13" t="s">
        <v>5289</v>
      </c>
      <c r="K3189" s="13" t="s">
        <v>5289</v>
      </c>
      <c r="L3189" s="13" t="n">
        <v>8005610481043</v>
      </c>
      <c r="M3189" s="13"/>
      <c r="N3189" s="13" t="n">
        <v>8005610481043</v>
      </c>
      <c r="O3189" s="13"/>
      <c r="P3189" s="13" t="s">
        <v>5291</v>
      </c>
      <c r="Q3189" s="13" t="s">
        <v>5289</v>
      </c>
      <c r="R3189" s="13" t="s">
        <v>5292</v>
      </c>
      <c r="S3189" s="13" t="s">
        <v>5293</v>
      </c>
      <c r="T3189" s="13" t="s">
        <v>5</v>
      </c>
      <c r="U3189" s="13" t="s">
        <v>43</v>
      </c>
      <c r="V3189" s="13" t="n">
        <f aca="false">IF(COUNTIF($B$2:B3189,B3189)=1,1,0)</f>
        <v>0</v>
      </c>
      <c r="W3189" s="13" t="n">
        <f aca="false">IF(COUNTIFS($B$2:B3189,B3189,$T$2:T3189,T3189)=1,1,0)</f>
        <v>0</v>
      </c>
    </row>
    <row r="3190" customFormat="false" ht="15" hidden="false" customHeight="false" outlineLevel="0" collapsed="false">
      <c r="A3190" s="13" t="s">
        <v>3917</v>
      </c>
      <c r="B3190" s="13" t="s">
        <v>2181</v>
      </c>
      <c r="C3190" s="13" t="n">
        <v>640</v>
      </c>
      <c r="D3190" s="13" t="n">
        <v>1</v>
      </c>
      <c r="E3190" s="13" t="n">
        <v>636.63</v>
      </c>
      <c r="F3190" s="13" t="s">
        <v>5325</v>
      </c>
      <c r="G3190" s="13" t="s">
        <v>5292</v>
      </c>
      <c r="H3190" s="13" t="s">
        <v>5292</v>
      </c>
      <c r="I3190" s="13" t="s">
        <v>5289</v>
      </c>
      <c r="J3190" s="13" t="s">
        <v>5289</v>
      </c>
      <c r="K3190" s="13" t="s">
        <v>5289</v>
      </c>
      <c r="L3190" s="13"/>
      <c r="M3190" s="13"/>
      <c r="N3190" s="13" t="n">
        <v>3386460153867</v>
      </c>
      <c r="O3190" s="13"/>
      <c r="P3190" s="13" t="s">
        <v>5291</v>
      </c>
      <c r="Q3190" s="13" t="s">
        <v>5289</v>
      </c>
      <c r="R3190" s="13" t="s">
        <v>5292</v>
      </c>
      <c r="S3190" s="13" t="s">
        <v>5293</v>
      </c>
      <c r="T3190" s="13" t="s">
        <v>5</v>
      </c>
      <c r="U3190" s="13" t="s">
        <v>43</v>
      </c>
      <c r="V3190" s="13" t="n">
        <f aca="false">IF(COUNTIF($B$2:B3190,B3190)=1,1,0)</f>
        <v>0</v>
      </c>
      <c r="W3190" s="13" t="n">
        <f aca="false">IF(COUNTIFS($B$2:B3190,B3190,$T$2:T3190,T3190)=1,1,0)</f>
        <v>1</v>
      </c>
    </row>
    <row r="3191" customFormat="false" ht="15" hidden="false" customHeight="false" outlineLevel="0" collapsed="false">
      <c r="A3191" s="13" t="s">
        <v>1309</v>
      </c>
      <c r="B3191" s="13" t="s">
        <v>121</v>
      </c>
      <c r="C3191" s="13" t="n">
        <v>640</v>
      </c>
      <c r="D3191" s="13" t="n">
        <v>5</v>
      </c>
      <c r="E3191" s="13" t="n">
        <v>127.07</v>
      </c>
      <c r="F3191" s="13" t="s">
        <v>5325</v>
      </c>
      <c r="G3191" s="13" t="s">
        <v>5289</v>
      </c>
      <c r="H3191" s="13" t="s">
        <v>5289</v>
      </c>
      <c r="I3191" s="13" t="s">
        <v>5289</v>
      </c>
      <c r="J3191" s="13" t="s">
        <v>5289</v>
      </c>
      <c r="K3191" s="13" t="s">
        <v>5289</v>
      </c>
      <c r="L3191" s="13" t="n">
        <v>7896086998958</v>
      </c>
      <c r="M3191" s="13"/>
      <c r="N3191" s="13" t="n">
        <v>7896086998958</v>
      </c>
      <c r="O3191" s="13"/>
      <c r="P3191" s="13" t="s">
        <v>5291</v>
      </c>
      <c r="Q3191" s="13" t="s">
        <v>5289</v>
      </c>
      <c r="R3191" s="13" t="s">
        <v>5292</v>
      </c>
      <c r="S3191" s="13" t="s">
        <v>5293</v>
      </c>
      <c r="T3191" s="13" t="s">
        <v>5</v>
      </c>
      <c r="U3191" s="13" t="s">
        <v>43</v>
      </c>
      <c r="V3191" s="13" t="n">
        <f aca="false">IF(COUNTIF($B$2:B3191,B3191)=1,1,0)</f>
        <v>0</v>
      </c>
      <c r="W3191" s="13" t="n">
        <f aca="false">IF(COUNTIFS($B$2:B3191,B3191,$T$2:T3191,T3191)=1,1,0)</f>
        <v>0</v>
      </c>
    </row>
    <row r="3192" customFormat="false" ht="15" hidden="false" customHeight="false" outlineLevel="0" collapsed="false">
      <c r="A3192" s="13" t="s">
        <v>295</v>
      </c>
      <c r="B3192" s="13" t="s">
        <v>193</v>
      </c>
      <c r="C3192" s="13" t="n">
        <v>630</v>
      </c>
      <c r="D3192" s="13" t="n">
        <v>1</v>
      </c>
      <c r="E3192" s="13" t="n">
        <v>633.91</v>
      </c>
      <c r="F3192" s="13" t="s">
        <v>5288</v>
      </c>
      <c r="G3192" s="13" t="s">
        <v>5289</v>
      </c>
      <c r="H3192" s="13" t="s">
        <v>5292</v>
      </c>
      <c r="I3192" s="13" t="s">
        <v>5289</v>
      </c>
      <c r="J3192" s="13" t="s">
        <v>5289</v>
      </c>
      <c r="K3192" s="13" t="s">
        <v>5289</v>
      </c>
      <c r="L3192" s="13" t="n">
        <v>3614274752106</v>
      </c>
      <c r="M3192" s="13"/>
      <c r="N3192" s="13" t="n">
        <v>3614274752106</v>
      </c>
      <c r="O3192" s="13"/>
      <c r="P3192" s="13" t="s">
        <v>5291</v>
      </c>
      <c r="Q3192" s="13" t="s">
        <v>5289</v>
      </c>
      <c r="R3192" s="13" t="s">
        <v>5292</v>
      </c>
      <c r="S3192" s="13" t="s">
        <v>5293</v>
      </c>
      <c r="T3192" s="13" t="s">
        <v>5</v>
      </c>
      <c r="U3192" s="13" t="s">
        <v>43</v>
      </c>
      <c r="V3192" s="13" t="n">
        <f aca="false">IF(COUNTIF($B$2:B3192,B3192)=1,1,0)</f>
        <v>0</v>
      </c>
      <c r="W3192" s="13" t="n">
        <f aca="false">IF(COUNTIFS($B$2:B3192,B3192,$T$2:T3192,T3192)=1,1,0)</f>
        <v>0</v>
      </c>
    </row>
    <row r="3193" customFormat="false" ht="15" hidden="false" customHeight="false" outlineLevel="0" collapsed="false">
      <c r="A3193" s="13" t="s">
        <v>2912</v>
      </c>
      <c r="B3193" s="13" t="s">
        <v>2130</v>
      </c>
      <c r="C3193" s="13" t="n">
        <v>630</v>
      </c>
      <c r="D3193" s="13" t="n">
        <v>1</v>
      </c>
      <c r="E3193" s="13" t="n">
        <v>630.76</v>
      </c>
      <c r="F3193" s="13" t="s">
        <v>5325</v>
      </c>
      <c r="G3193" s="13" t="s">
        <v>5289</v>
      </c>
      <c r="H3193" s="13" t="s">
        <v>5292</v>
      </c>
      <c r="I3193" s="13" t="s">
        <v>5289</v>
      </c>
      <c r="J3193" s="13" t="s">
        <v>5289</v>
      </c>
      <c r="K3193" s="13" t="s">
        <v>5289</v>
      </c>
      <c r="L3193" s="13" t="n">
        <v>3439600056525</v>
      </c>
      <c r="M3193" s="13"/>
      <c r="N3193" s="13" t="n">
        <v>3.43960005652534E+025</v>
      </c>
      <c r="O3193" s="13"/>
      <c r="P3193" s="13" t="s">
        <v>5291</v>
      </c>
      <c r="Q3193" s="13" t="s">
        <v>5289</v>
      </c>
      <c r="R3193" s="13" t="s">
        <v>5292</v>
      </c>
      <c r="S3193" s="13" t="s">
        <v>5293</v>
      </c>
      <c r="T3193" s="13" t="s">
        <v>5</v>
      </c>
      <c r="U3193" s="13" t="s">
        <v>43</v>
      </c>
      <c r="V3193" s="13" t="n">
        <f aca="false">IF(COUNTIF($B$2:B3193,B3193)=1,1,0)</f>
        <v>0</v>
      </c>
      <c r="W3193" s="13" t="n">
        <f aca="false">IF(COUNTIFS($B$2:B3193,B3193,$T$2:T3193,T3193)=1,1,0)</f>
        <v>0</v>
      </c>
    </row>
    <row r="3194" customFormat="false" ht="15" hidden="false" customHeight="false" outlineLevel="0" collapsed="false">
      <c r="A3194" s="13" t="s">
        <v>1556</v>
      </c>
      <c r="B3194" s="13" t="s">
        <v>50</v>
      </c>
      <c r="C3194" s="13" t="n">
        <v>630</v>
      </c>
      <c r="D3194" s="13" t="n">
        <v>1</v>
      </c>
      <c r="E3194" s="13" t="n">
        <v>628.85</v>
      </c>
      <c r="F3194" s="13" t="s">
        <v>5325</v>
      </c>
      <c r="G3194" s="13" t="s">
        <v>5289</v>
      </c>
      <c r="H3194" s="13" t="s">
        <v>5292</v>
      </c>
      <c r="I3194" s="13" t="s">
        <v>5289</v>
      </c>
      <c r="J3194" s="13" t="s">
        <v>5289</v>
      </c>
      <c r="K3194" s="13" t="s">
        <v>5292</v>
      </c>
      <c r="L3194" s="13" t="n">
        <v>3349668555093</v>
      </c>
      <c r="M3194" s="13"/>
      <c r="N3194" s="13" t="n">
        <v>3349668555093</v>
      </c>
      <c r="O3194" s="13"/>
      <c r="P3194" s="13" t="s">
        <v>5291</v>
      </c>
      <c r="Q3194" s="13" t="s">
        <v>5289</v>
      </c>
      <c r="R3194" s="13" t="s">
        <v>5292</v>
      </c>
      <c r="S3194" s="13" t="s">
        <v>5293</v>
      </c>
      <c r="T3194" s="13" t="s">
        <v>5</v>
      </c>
      <c r="U3194" s="13" t="s">
        <v>43</v>
      </c>
      <c r="V3194" s="13" t="n">
        <f aca="false">IF(COUNTIF($B$2:B3194,B3194)=1,1,0)</f>
        <v>0</v>
      </c>
      <c r="W3194" s="13" t="n">
        <f aca="false">IF(COUNTIFS($B$2:B3194,B3194,$T$2:T3194,T3194)=1,1,0)</f>
        <v>0</v>
      </c>
    </row>
    <row r="3195" customFormat="false" ht="15" hidden="false" customHeight="false" outlineLevel="0" collapsed="false">
      <c r="A3195" s="13" t="s">
        <v>1130</v>
      </c>
      <c r="B3195" s="13" t="s">
        <v>45</v>
      </c>
      <c r="C3195" s="13" t="n">
        <v>630</v>
      </c>
      <c r="D3195" s="13" t="n">
        <v>1</v>
      </c>
      <c r="E3195" s="13" t="n">
        <v>627.85</v>
      </c>
      <c r="F3195" s="13" t="s">
        <v>5325</v>
      </c>
      <c r="G3195" s="13" t="s">
        <v>5289</v>
      </c>
      <c r="H3195" s="13" t="s">
        <v>5292</v>
      </c>
      <c r="I3195" s="13" t="s">
        <v>5289</v>
      </c>
      <c r="J3195" s="13" t="s">
        <v>5289</v>
      </c>
      <c r="K3195" s="13" t="s">
        <v>5289</v>
      </c>
      <c r="L3195" s="13" t="n">
        <v>8435415017213</v>
      </c>
      <c r="M3195" s="13"/>
      <c r="N3195" s="13" t="n">
        <v>8435415017213</v>
      </c>
      <c r="O3195" s="13"/>
      <c r="P3195" s="13" t="s">
        <v>5291</v>
      </c>
      <c r="Q3195" s="13" t="s">
        <v>5289</v>
      </c>
      <c r="R3195" s="13" t="s">
        <v>5292</v>
      </c>
      <c r="S3195" s="13" t="s">
        <v>5293</v>
      </c>
      <c r="T3195" s="13" t="s">
        <v>5</v>
      </c>
      <c r="U3195" s="13" t="s">
        <v>43</v>
      </c>
      <c r="V3195" s="13" t="n">
        <f aca="false">IF(COUNTIF($B$2:B3195,B3195)=1,1,0)</f>
        <v>0</v>
      </c>
      <c r="W3195" s="13" t="n">
        <f aca="false">IF(COUNTIFS($B$2:B3195,B3195,$T$2:T3195,T3195)=1,1,0)</f>
        <v>0</v>
      </c>
    </row>
    <row r="3196" customFormat="false" ht="15" hidden="false" customHeight="false" outlineLevel="0" collapsed="false">
      <c r="A3196" s="13" t="s">
        <v>797</v>
      </c>
      <c r="B3196" s="13" t="s">
        <v>315</v>
      </c>
      <c r="C3196" s="13" t="n">
        <v>630</v>
      </c>
      <c r="D3196" s="13" t="n">
        <v>2</v>
      </c>
      <c r="E3196" s="13" t="n">
        <v>313.36</v>
      </c>
      <c r="F3196" s="13" t="s">
        <v>5288</v>
      </c>
      <c r="G3196" s="13" t="s">
        <v>5289</v>
      </c>
      <c r="H3196" s="13" t="s">
        <v>5292</v>
      </c>
      <c r="I3196" s="13" t="s">
        <v>5289</v>
      </c>
      <c r="J3196" s="13" t="s">
        <v>5289</v>
      </c>
      <c r="K3196" s="13" t="s">
        <v>5289</v>
      </c>
      <c r="L3196" s="13" t="n">
        <v>3605973048416</v>
      </c>
      <c r="M3196" s="13"/>
      <c r="N3196" s="13" t="n">
        <v>3605973048416</v>
      </c>
      <c r="O3196" s="13"/>
      <c r="P3196" s="13" t="s">
        <v>5291</v>
      </c>
      <c r="Q3196" s="13" t="s">
        <v>5289</v>
      </c>
      <c r="R3196" s="13" t="s">
        <v>5292</v>
      </c>
      <c r="S3196" s="13" t="s">
        <v>5293</v>
      </c>
      <c r="T3196" s="13" t="s">
        <v>5</v>
      </c>
      <c r="U3196" s="13" t="s">
        <v>43</v>
      </c>
      <c r="V3196" s="13" t="n">
        <f aca="false">IF(COUNTIF($B$2:B3196,B3196)=1,1,0)</f>
        <v>0</v>
      </c>
      <c r="W3196" s="13" t="n">
        <f aca="false">IF(COUNTIFS($B$2:B3196,B3196,$T$2:T3196,T3196)=1,1,0)</f>
        <v>0</v>
      </c>
    </row>
    <row r="3197" customFormat="false" ht="15" hidden="false" customHeight="false" outlineLevel="0" collapsed="false">
      <c r="A3197" s="13" t="s">
        <v>491</v>
      </c>
      <c r="B3197" s="13" t="s">
        <v>490</v>
      </c>
      <c r="C3197" s="13" t="n">
        <v>620</v>
      </c>
      <c r="D3197" s="13" t="n">
        <v>1</v>
      </c>
      <c r="E3197" s="13" t="n">
        <v>624.62</v>
      </c>
      <c r="F3197" s="13" t="s">
        <v>5325</v>
      </c>
      <c r="G3197" s="13" t="s">
        <v>5289</v>
      </c>
      <c r="H3197" s="13" t="s">
        <v>5292</v>
      </c>
      <c r="I3197" s="13" t="s">
        <v>5289</v>
      </c>
      <c r="J3197" s="13" t="s">
        <v>5289</v>
      </c>
      <c r="K3197" s="13" t="s">
        <v>5289</v>
      </c>
      <c r="L3197" s="13" t="n">
        <v>8011003845132</v>
      </c>
      <c r="M3197" s="13"/>
      <c r="N3197" s="13" t="n">
        <v>8011003845132</v>
      </c>
      <c r="O3197" s="13"/>
      <c r="P3197" s="13" t="s">
        <v>5291</v>
      </c>
      <c r="Q3197" s="13" t="s">
        <v>5289</v>
      </c>
      <c r="R3197" s="13" t="s">
        <v>5292</v>
      </c>
      <c r="S3197" s="13" t="s">
        <v>5293</v>
      </c>
      <c r="T3197" s="13" t="s">
        <v>5</v>
      </c>
      <c r="U3197" s="13" t="s">
        <v>43</v>
      </c>
      <c r="V3197" s="13" t="n">
        <f aca="false">IF(COUNTIF($B$2:B3197,B3197)=1,1,0)</f>
        <v>0</v>
      </c>
      <c r="W3197" s="13" t="n">
        <f aca="false">IF(COUNTIFS($B$2:B3197,B3197,$T$2:T3197,T3197)=1,1,0)</f>
        <v>0</v>
      </c>
    </row>
    <row r="3198" customFormat="false" ht="15" hidden="false" customHeight="false" outlineLevel="0" collapsed="false">
      <c r="A3198" s="13" t="s">
        <v>1562</v>
      </c>
      <c r="B3198" s="13" t="s">
        <v>630</v>
      </c>
      <c r="C3198" s="13" t="n">
        <v>620</v>
      </c>
      <c r="D3198" s="13" t="n">
        <v>2</v>
      </c>
      <c r="E3198" s="13" t="n">
        <v>208.08</v>
      </c>
      <c r="F3198" s="13" t="s">
        <v>5288</v>
      </c>
      <c r="G3198" s="13" t="s">
        <v>5289</v>
      </c>
      <c r="H3198" s="13" t="s">
        <v>5289</v>
      </c>
      <c r="I3198" s="13" t="s">
        <v>5289</v>
      </c>
      <c r="J3198" s="13" t="s">
        <v>5289</v>
      </c>
      <c r="K3198" s="13" t="s">
        <v>5289</v>
      </c>
      <c r="L3198" s="13" t="n">
        <v>8433982026218</v>
      </c>
      <c r="M3198" s="13"/>
      <c r="N3198" s="13" t="n">
        <v>8433982026218</v>
      </c>
      <c r="O3198" s="13"/>
      <c r="P3198" s="13" t="s">
        <v>5291</v>
      </c>
      <c r="Q3198" s="13" t="s">
        <v>5289</v>
      </c>
      <c r="R3198" s="13" t="s">
        <v>5292</v>
      </c>
      <c r="S3198" s="13" t="s">
        <v>5293</v>
      </c>
      <c r="T3198" s="13" t="s">
        <v>5</v>
      </c>
      <c r="U3198" s="13" t="s">
        <v>43</v>
      </c>
      <c r="V3198" s="13" t="n">
        <f aca="false">IF(COUNTIF($B$2:B3198,B3198)=1,1,0)</f>
        <v>0</v>
      </c>
      <c r="W3198" s="13" t="n">
        <f aca="false">IF(COUNTIFS($B$2:B3198,B3198,$T$2:T3198,T3198)=1,1,0)</f>
        <v>0</v>
      </c>
    </row>
    <row r="3199" customFormat="false" ht="15" hidden="false" customHeight="false" outlineLevel="0" collapsed="false">
      <c r="A3199" s="13" t="s">
        <v>1289</v>
      </c>
      <c r="B3199" s="13" t="s">
        <v>121</v>
      </c>
      <c r="C3199" s="13" t="n">
        <v>620</v>
      </c>
      <c r="D3199" s="13" t="n">
        <v>2</v>
      </c>
      <c r="E3199" s="13" t="n">
        <v>207.82</v>
      </c>
      <c r="F3199" s="13" t="s">
        <v>5325</v>
      </c>
      <c r="G3199" s="13" t="s">
        <v>5292</v>
      </c>
      <c r="H3199" s="13" t="s">
        <v>5289</v>
      </c>
      <c r="I3199" s="13" t="s">
        <v>5289</v>
      </c>
      <c r="J3199" s="13" t="s">
        <v>5289</v>
      </c>
      <c r="K3199" s="13" t="s">
        <v>5289</v>
      </c>
      <c r="L3199" s="13" t="n">
        <v>7896086955890</v>
      </c>
      <c r="M3199" s="13"/>
      <c r="N3199" s="13" t="n">
        <v>7896086955890</v>
      </c>
      <c r="O3199" s="13"/>
      <c r="P3199" s="13" t="s">
        <v>5297</v>
      </c>
      <c r="Q3199" s="13" t="s">
        <v>5289</v>
      </c>
      <c r="R3199" s="13" t="s">
        <v>5292</v>
      </c>
      <c r="S3199" s="13" t="s">
        <v>5293</v>
      </c>
      <c r="T3199" s="13" t="s">
        <v>5</v>
      </c>
      <c r="U3199" s="13" t="s">
        <v>43</v>
      </c>
      <c r="V3199" s="13" t="n">
        <f aca="false">IF(COUNTIF($B$2:B3199,B3199)=1,1,0)</f>
        <v>0</v>
      </c>
      <c r="W3199" s="13" t="n">
        <f aca="false">IF(COUNTIFS($B$2:B3199,B3199,$T$2:T3199,T3199)=1,1,0)</f>
        <v>0</v>
      </c>
    </row>
    <row r="3200" customFormat="false" ht="15" hidden="false" customHeight="false" outlineLevel="0" collapsed="false">
      <c r="A3200" s="13" t="s">
        <v>1561</v>
      </c>
      <c r="B3200" s="13" t="s">
        <v>177</v>
      </c>
      <c r="C3200" s="13" t="n">
        <v>620</v>
      </c>
      <c r="D3200" s="13" t="n">
        <v>1</v>
      </c>
      <c r="E3200" s="13" t="n">
        <v>623</v>
      </c>
      <c r="F3200" s="13" t="s">
        <v>5325</v>
      </c>
      <c r="G3200" s="13" t="s">
        <v>5292</v>
      </c>
      <c r="H3200" s="13" t="s">
        <v>5289</v>
      </c>
      <c r="I3200" s="13" t="s">
        <v>5289</v>
      </c>
      <c r="J3200" s="13" t="s">
        <v>5289</v>
      </c>
      <c r="K3200" s="13" t="s">
        <v>5289</v>
      </c>
      <c r="L3200" s="13"/>
      <c r="M3200" s="13"/>
      <c r="N3200" s="13" t="n">
        <v>3616305259462</v>
      </c>
      <c r="O3200" s="13"/>
      <c r="P3200" s="13" t="s">
        <v>5297</v>
      </c>
      <c r="Q3200" s="13" t="s">
        <v>5289</v>
      </c>
      <c r="R3200" s="13" t="s">
        <v>5292</v>
      </c>
      <c r="S3200" s="13" t="s">
        <v>5293</v>
      </c>
      <c r="T3200" s="13" t="s">
        <v>5</v>
      </c>
      <c r="U3200" s="13" t="s">
        <v>43</v>
      </c>
      <c r="V3200" s="13" t="n">
        <f aca="false">IF(COUNTIF($B$2:B3200,B3200)=1,1,0)</f>
        <v>0</v>
      </c>
      <c r="W3200" s="13" t="n">
        <f aca="false">IF(COUNTIFS($B$2:B3200,B3200,$T$2:T3200,T3200)=1,1,0)</f>
        <v>0</v>
      </c>
    </row>
    <row r="3201" customFormat="false" ht="15" hidden="false" customHeight="false" outlineLevel="0" collapsed="false">
      <c r="A3201" s="13" t="s">
        <v>1560</v>
      </c>
      <c r="B3201" s="13" t="s">
        <v>69</v>
      </c>
      <c r="C3201" s="13" t="n">
        <v>620</v>
      </c>
      <c r="D3201" s="13" t="n">
        <v>1</v>
      </c>
      <c r="E3201" s="13" t="n">
        <v>622.81</v>
      </c>
      <c r="F3201" s="13" t="s">
        <v>5325</v>
      </c>
      <c r="G3201" s="13" t="s">
        <v>5292</v>
      </c>
      <c r="H3201" s="13" t="s">
        <v>5289</v>
      </c>
      <c r="I3201" s="13" t="s">
        <v>5289</v>
      </c>
      <c r="J3201" s="13" t="s">
        <v>5289</v>
      </c>
      <c r="K3201" s="13" t="s">
        <v>5289</v>
      </c>
      <c r="L3201" s="13" t="n">
        <v>3614273776134</v>
      </c>
      <c r="M3201" s="13"/>
      <c r="N3201" s="13" t="n">
        <v>3614273776134</v>
      </c>
      <c r="O3201" s="13"/>
      <c r="P3201" s="13" t="s">
        <v>5291</v>
      </c>
      <c r="Q3201" s="13" t="s">
        <v>5289</v>
      </c>
      <c r="R3201" s="13" t="s">
        <v>5292</v>
      </c>
      <c r="S3201" s="13" t="s">
        <v>5293</v>
      </c>
      <c r="T3201" s="13" t="s">
        <v>5</v>
      </c>
      <c r="U3201" s="13" t="s">
        <v>43</v>
      </c>
      <c r="V3201" s="13" t="n">
        <f aca="false">IF(COUNTIF($B$2:B3201,B3201)=1,1,0)</f>
        <v>0</v>
      </c>
      <c r="W3201" s="13" t="n">
        <f aca="false">IF(COUNTIFS($B$2:B3201,B3201,$T$2:T3201,T3201)=1,1,0)</f>
        <v>0</v>
      </c>
    </row>
    <row r="3202" customFormat="false" ht="15" hidden="false" customHeight="false" outlineLevel="0" collapsed="false">
      <c r="A3202" s="13" t="s">
        <v>935</v>
      </c>
      <c r="B3202" s="13" t="s">
        <v>50</v>
      </c>
      <c r="C3202" s="13" t="n">
        <v>620</v>
      </c>
      <c r="D3202" s="13" t="n">
        <v>1</v>
      </c>
      <c r="E3202" s="13" t="n">
        <v>622.76</v>
      </c>
      <c r="F3202" s="13" t="s">
        <v>5288</v>
      </c>
      <c r="G3202" s="13" t="s">
        <v>5289</v>
      </c>
      <c r="H3202" s="13" t="s">
        <v>5292</v>
      </c>
      <c r="I3202" s="13" t="s">
        <v>5289</v>
      </c>
      <c r="J3202" s="13" t="s">
        <v>5289</v>
      </c>
      <c r="K3202" s="13" t="s">
        <v>5289</v>
      </c>
      <c r="L3202" s="13" t="n">
        <v>3349668582297</v>
      </c>
      <c r="M3202" s="13"/>
      <c r="N3202" s="13" t="n">
        <v>3349668582297</v>
      </c>
      <c r="O3202" s="13"/>
      <c r="P3202" s="13" t="s">
        <v>5291</v>
      </c>
      <c r="Q3202" s="13" t="s">
        <v>5289</v>
      </c>
      <c r="R3202" s="13" t="s">
        <v>5292</v>
      </c>
      <c r="S3202" s="13" t="s">
        <v>5293</v>
      </c>
      <c r="T3202" s="13" t="s">
        <v>5</v>
      </c>
      <c r="U3202" s="13" t="s">
        <v>43</v>
      </c>
      <c r="V3202" s="13" t="n">
        <f aca="false">IF(COUNTIF($B$2:B3202,B3202)=1,1,0)</f>
        <v>0</v>
      </c>
      <c r="W3202" s="13" t="n">
        <f aca="false">IF(COUNTIFS($B$2:B3202,B3202,$T$2:T3202,T3202)=1,1,0)</f>
        <v>0</v>
      </c>
    </row>
    <row r="3203" customFormat="false" ht="15" hidden="false" customHeight="false" outlineLevel="0" collapsed="false">
      <c r="A3203" s="13" t="s">
        <v>1559</v>
      </c>
      <c r="B3203" s="13" t="s">
        <v>50</v>
      </c>
      <c r="C3203" s="13" t="n">
        <v>620</v>
      </c>
      <c r="D3203" s="13" t="n">
        <v>1</v>
      </c>
      <c r="E3203" s="13" t="n">
        <v>621.97</v>
      </c>
      <c r="F3203" s="13" t="s">
        <v>5325</v>
      </c>
      <c r="G3203" s="13" t="s">
        <v>5289</v>
      </c>
      <c r="H3203" s="13" t="s">
        <v>5289</v>
      </c>
      <c r="I3203" s="13" t="s">
        <v>5289</v>
      </c>
      <c r="J3203" s="13" t="s">
        <v>5289</v>
      </c>
      <c r="K3203" s="13" t="s">
        <v>5289</v>
      </c>
      <c r="L3203" s="13" t="n">
        <v>3349668612604</v>
      </c>
      <c r="M3203" s="13"/>
      <c r="N3203" s="13" t="n">
        <v>3349668612604</v>
      </c>
      <c r="O3203" s="13"/>
      <c r="P3203" s="13" t="s">
        <v>5291</v>
      </c>
      <c r="Q3203" s="13" t="s">
        <v>5289</v>
      </c>
      <c r="R3203" s="13" t="s">
        <v>5292</v>
      </c>
      <c r="S3203" s="13" t="s">
        <v>5293</v>
      </c>
      <c r="T3203" s="13" t="s">
        <v>5</v>
      </c>
      <c r="U3203" s="13" t="s">
        <v>43</v>
      </c>
      <c r="V3203" s="13" t="n">
        <f aca="false">IF(COUNTIF($B$2:B3203,B3203)=1,1,0)</f>
        <v>0</v>
      </c>
      <c r="W3203" s="13" t="n">
        <f aca="false">IF(COUNTIFS($B$2:B3203,B3203,$T$2:T3203,T3203)=1,1,0)</f>
        <v>0</v>
      </c>
    </row>
    <row r="3204" customFormat="false" ht="15" hidden="false" customHeight="false" outlineLevel="0" collapsed="false">
      <c r="A3204" s="13" t="s">
        <v>1482</v>
      </c>
      <c r="B3204" s="13" t="s">
        <v>61</v>
      </c>
      <c r="C3204" s="13" t="n">
        <v>620</v>
      </c>
      <c r="D3204" s="13" t="n">
        <v>1</v>
      </c>
      <c r="E3204" s="13" t="n">
        <v>621.45</v>
      </c>
      <c r="F3204" s="13" t="s">
        <v>5325</v>
      </c>
      <c r="G3204" s="13" t="s">
        <v>5289</v>
      </c>
      <c r="H3204" s="13" t="s">
        <v>5292</v>
      </c>
      <c r="I3204" s="13" t="s">
        <v>5289</v>
      </c>
      <c r="J3204" s="13" t="s">
        <v>5289</v>
      </c>
      <c r="K3204" s="13" t="s">
        <v>5289</v>
      </c>
      <c r="L3204" s="13" t="n">
        <v>3147758034905</v>
      </c>
      <c r="M3204" s="13"/>
      <c r="N3204" s="13" t="n">
        <v>3147758034905</v>
      </c>
      <c r="O3204" s="13"/>
      <c r="P3204" s="13" t="s">
        <v>5297</v>
      </c>
      <c r="Q3204" s="13" t="s">
        <v>5289</v>
      </c>
      <c r="R3204" s="13" t="s">
        <v>5292</v>
      </c>
      <c r="S3204" s="13" t="s">
        <v>5293</v>
      </c>
      <c r="T3204" s="13" t="s">
        <v>5</v>
      </c>
      <c r="U3204" s="13" t="s">
        <v>43</v>
      </c>
      <c r="V3204" s="13" t="n">
        <f aca="false">IF(COUNTIF($B$2:B3204,B3204)=1,1,0)</f>
        <v>0</v>
      </c>
      <c r="W3204" s="13" t="n">
        <f aca="false">IF(COUNTIFS($B$2:B3204,B3204,$T$2:T3204,T3204)=1,1,0)</f>
        <v>0</v>
      </c>
    </row>
    <row r="3205" customFormat="false" ht="15" hidden="false" customHeight="false" outlineLevel="0" collapsed="false">
      <c r="A3205" s="13" t="s">
        <v>1558</v>
      </c>
      <c r="B3205" s="13" t="s">
        <v>195</v>
      </c>
      <c r="C3205" s="13" t="n">
        <v>620</v>
      </c>
      <c r="D3205" s="13" t="n">
        <v>1</v>
      </c>
      <c r="E3205" s="13" t="n">
        <v>618.68</v>
      </c>
      <c r="F3205" s="13" t="s">
        <v>5325</v>
      </c>
      <c r="G3205" s="13" t="s">
        <v>5289</v>
      </c>
      <c r="H3205" s="13" t="s">
        <v>5289</v>
      </c>
      <c r="I3205" s="13" t="s">
        <v>5289</v>
      </c>
      <c r="J3205" s="13" t="s">
        <v>5289</v>
      </c>
      <c r="K3205" s="13" t="s">
        <v>5289</v>
      </c>
      <c r="L3205" s="13" t="n">
        <v>3616301975755</v>
      </c>
      <c r="M3205" s="13"/>
      <c r="N3205" s="13" t="n">
        <v>3616301975755</v>
      </c>
      <c r="O3205" s="13"/>
      <c r="P3205" s="13" t="s">
        <v>5291</v>
      </c>
      <c r="Q3205" s="13" t="s">
        <v>5289</v>
      </c>
      <c r="R3205" s="13" t="s">
        <v>5292</v>
      </c>
      <c r="S3205" s="13" t="s">
        <v>5293</v>
      </c>
      <c r="T3205" s="13" t="s">
        <v>5</v>
      </c>
      <c r="U3205" s="13" t="s">
        <v>43</v>
      </c>
      <c r="V3205" s="13" t="n">
        <f aca="false">IF(COUNTIF($B$2:B3205,B3205)=1,1,0)</f>
        <v>0</v>
      </c>
      <c r="W3205" s="13" t="n">
        <f aca="false">IF(COUNTIFS($B$2:B3205,B3205,$T$2:T3205,T3205)=1,1,0)</f>
        <v>0</v>
      </c>
    </row>
    <row r="3206" customFormat="false" ht="15" hidden="false" customHeight="false" outlineLevel="0" collapsed="false">
      <c r="A3206" s="13" t="s">
        <v>4426</v>
      </c>
      <c r="B3206" s="13" t="s">
        <v>2246</v>
      </c>
      <c r="C3206" s="13" t="n">
        <v>620</v>
      </c>
      <c r="D3206" s="13" t="n">
        <v>2</v>
      </c>
      <c r="E3206" s="13" t="n">
        <v>308.85</v>
      </c>
      <c r="F3206" s="13" t="s">
        <v>5288</v>
      </c>
      <c r="G3206" s="13" t="s">
        <v>5292</v>
      </c>
      <c r="H3206" s="13" t="s">
        <v>5289</v>
      </c>
      <c r="I3206" s="13" t="s">
        <v>5289</v>
      </c>
      <c r="J3206" s="13" t="s">
        <v>5289</v>
      </c>
      <c r="K3206" s="13" t="s">
        <v>5292</v>
      </c>
      <c r="L3206" s="13" t="n">
        <v>6294015190618</v>
      </c>
      <c r="M3206" s="13"/>
      <c r="N3206" s="13" t="n">
        <v>6294015190618</v>
      </c>
      <c r="O3206" s="13"/>
      <c r="P3206" s="13" t="s">
        <v>5291</v>
      </c>
      <c r="Q3206" s="13" t="s">
        <v>5289</v>
      </c>
      <c r="R3206" s="13" t="s">
        <v>5292</v>
      </c>
      <c r="S3206" s="13" t="s">
        <v>5293</v>
      </c>
      <c r="T3206" s="13" t="s">
        <v>5</v>
      </c>
      <c r="U3206" s="13" t="s">
        <v>43</v>
      </c>
      <c r="V3206" s="13" t="n">
        <f aca="false">IF(COUNTIF($B$2:B3206,B3206)=1,1,0)</f>
        <v>1</v>
      </c>
      <c r="W3206" s="13" t="n">
        <f aca="false">IF(COUNTIFS($B$2:B3206,B3206,$T$2:T3206,T3206)=1,1,0)</f>
        <v>1</v>
      </c>
    </row>
    <row r="3207" customFormat="false" ht="15" hidden="false" customHeight="false" outlineLevel="0" collapsed="false">
      <c r="A3207" s="13" t="s">
        <v>1372</v>
      </c>
      <c r="B3207" s="13" t="s">
        <v>124</v>
      </c>
      <c r="C3207" s="13" t="n">
        <v>620</v>
      </c>
      <c r="D3207" s="13" t="n">
        <v>1</v>
      </c>
      <c r="E3207" s="13" t="n">
        <v>615.46</v>
      </c>
      <c r="F3207" s="13" t="s">
        <v>5325</v>
      </c>
      <c r="G3207" s="13" t="s">
        <v>5289</v>
      </c>
      <c r="H3207" s="13" t="s">
        <v>5289</v>
      </c>
      <c r="I3207" s="13" t="s">
        <v>5289</v>
      </c>
      <c r="J3207" s="13" t="s">
        <v>5289</v>
      </c>
      <c r="K3207" s="13" t="s">
        <v>5289</v>
      </c>
      <c r="L3207" s="13"/>
      <c r="M3207" s="13"/>
      <c r="N3207" s="13" t="n">
        <v>3614273636568</v>
      </c>
      <c r="O3207" s="13"/>
      <c r="P3207" s="13" t="s">
        <v>5291</v>
      </c>
      <c r="Q3207" s="13" t="s">
        <v>5289</v>
      </c>
      <c r="R3207" s="13" t="s">
        <v>5292</v>
      </c>
      <c r="S3207" s="13" t="s">
        <v>5293</v>
      </c>
      <c r="T3207" s="13" t="s">
        <v>5</v>
      </c>
      <c r="U3207" s="13" t="s">
        <v>43</v>
      </c>
      <c r="V3207" s="13" t="n">
        <f aca="false">IF(COUNTIF($B$2:B3207,B3207)=1,1,0)</f>
        <v>0</v>
      </c>
      <c r="W3207" s="13" t="n">
        <f aca="false">IF(COUNTIFS($B$2:B3207,B3207,$T$2:T3207,T3207)=1,1,0)</f>
        <v>0</v>
      </c>
    </row>
    <row r="3208" customFormat="false" ht="15" hidden="false" customHeight="false" outlineLevel="0" collapsed="false">
      <c r="A3208" s="13" t="s">
        <v>1557</v>
      </c>
      <c r="B3208" s="13" t="s">
        <v>45</v>
      </c>
      <c r="C3208" s="13" t="n">
        <v>620</v>
      </c>
      <c r="D3208" s="13" t="n">
        <v>1</v>
      </c>
      <c r="E3208" s="13" t="n">
        <v>615.19</v>
      </c>
      <c r="F3208" s="13" t="s">
        <v>5325</v>
      </c>
      <c r="G3208" s="13" t="s">
        <v>5289</v>
      </c>
      <c r="H3208" s="13" t="s">
        <v>5289</v>
      </c>
      <c r="I3208" s="13" t="s">
        <v>5289</v>
      </c>
      <c r="J3208" s="13" t="s">
        <v>5289</v>
      </c>
      <c r="K3208" s="13" t="s">
        <v>5289</v>
      </c>
      <c r="L3208" s="13" t="n">
        <v>8435415091152</v>
      </c>
      <c r="M3208" s="13"/>
      <c r="N3208" s="13" t="n">
        <v>8435415091152</v>
      </c>
      <c r="O3208" s="13"/>
      <c r="P3208" s="13" t="s">
        <v>5291</v>
      </c>
      <c r="Q3208" s="13" t="s">
        <v>5289</v>
      </c>
      <c r="R3208" s="13" t="s">
        <v>5292</v>
      </c>
      <c r="S3208" s="13" t="s">
        <v>5293</v>
      </c>
      <c r="T3208" s="13" t="s">
        <v>5</v>
      </c>
      <c r="U3208" s="13" t="s">
        <v>43</v>
      </c>
      <c r="V3208" s="13" t="n">
        <f aca="false">IF(COUNTIF($B$2:B3208,B3208)=1,1,0)</f>
        <v>0</v>
      </c>
      <c r="W3208" s="13" t="n">
        <f aca="false">IF(COUNTIFS($B$2:B3208,B3208,$T$2:T3208,T3208)=1,1,0)</f>
        <v>0</v>
      </c>
    </row>
    <row r="3209" customFormat="false" ht="15" hidden="false" customHeight="false" outlineLevel="0" collapsed="false">
      <c r="A3209" s="13" t="s">
        <v>1563</v>
      </c>
      <c r="B3209" s="13" t="s">
        <v>61</v>
      </c>
      <c r="C3209" s="13" t="n">
        <v>620</v>
      </c>
      <c r="D3209" s="13" t="n">
        <v>1</v>
      </c>
      <c r="E3209" s="13" t="n">
        <v>615.08</v>
      </c>
      <c r="F3209" s="13" t="s">
        <v>5288</v>
      </c>
      <c r="G3209" s="13" t="s">
        <v>5289</v>
      </c>
      <c r="H3209" s="13" t="s">
        <v>5292</v>
      </c>
      <c r="I3209" s="13" t="s">
        <v>5289</v>
      </c>
      <c r="J3209" s="13" t="s">
        <v>5289</v>
      </c>
      <c r="K3209" s="13" t="s">
        <v>5289</v>
      </c>
      <c r="L3209" s="13" t="n">
        <v>3614274772029</v>
      </c>
      <c r="M3209" s="13"/>
      <c r="N3209" s="13" t="n">
        <v>3614274772029</v>
      </c>
      <c r="O3209" s="13"/>
      <c r="P3209" s="13" t="s">
        <v>5291</v>
      </c>
      <c r="Q3209" s="13" t="s">
        <v>5289</v>
      </c>
      <c r="R3209" s="13" t="s">
        <v>5292</v>
      </c>
      <c r="S3209" s="13" t="s">
        <v>5293</v>
      </c>
      <c r="T3209" s="13" t="s">
        <v>5</v>
      </c>
      <c r="U3209" s="13" t="s">
        <v>43</v>
      </c>
      <c r="V3209" s="13" t="n">
        <f aca="false">IF(COUNTIF($B$2:B3209,B3209)=1,1,0)</f>
        <v>0</v>
      </c>
      <c r="W3209" s="13" t="n">
        <f aca="false">IF(COUNTIFS($B$2:B3209,B3209,$T$2:T3209,T3209)=1,1,0)</f>
        <v>0</v>
      </c>
    </row>
    <row r="3210" customFormat="false" ht="15" hidden="false" customHeight="false" outlineLevel="0" collapsed="false">
      <c r="A3210" s="13" t="s">
        <v>2938</v>
      </c>
      <c r="B3210" s="13" t="s">
        <v>2111</v>
      </c>
      <c r="C3210" s="13" t="n">
        <v>620</v>
      </c>
      <c r="D3210" s="13" t="n">
        <v>1</v>
      </c>
      <c r="E3210" s="13" t="n">
        <v>615</v>
      </c>
      <c r="F3210" s="13" t="s">
        <v>5325</v>
      </c>
      <c r="G3210" s="13" t="s">
        <v>5289</v>
      </c>
      <c r="H3210" s="13" t="s">
        <v>5289</v>
      </c>
      <c r="I3210" s="13" t="s">
        <v>5289</v>
      </c>
      <c r="J3210" s="13" t="s">
        <v>5289</v>
      </c>
      <c r="K3210" s="13" t="s">
        <v>5289</v>
      </c>
      <c r="L3210" s="13" t="n">
        <v>3386460129879</v>
      </c>
      <c r="M3210" s="13"/>
      <c r="N3210" s="13" t="n">
        <v>3386460129879</v>
      </c>
      <c r="O3210" s="13"/>
      <c r="P3210" s="13" t="s">
        <v>5291</v>
      </c>
      <c r="Q3210" s="13" t="s">
        <v>5289</v>
      </c>
      <c r="R3210" s="13" t="s">
        <v>5292</v>
      </c>
      <c r="S3210" s="13" t="s">
        <v>5293</v>
      </c>
      <c r="T3210" s="13" t="s">
        <v>5</v>
      </c>
      <c r="U3210" s="13" t="s">
        <v>43</v>
      </c>
      <c r="V3210" s="13" t="n">
        <f aca="false">IF(COUNTIF($B$2:B3210,B3210)=1,1,0)</f>
        <v>0</v>
      </c>
      <c r="W3210" s="13" t="n">
        <f aca="false">IF(COUNTIFS($B$2:B3210,B3210,$T$2:T3210,T3210)=1,1,0)</f>
        <v>0</v>
      </c>
    </row>
    <row r="3211" customFormat="false" ht="15" hidden="false" customHeight="false" outlineLevel="0" collapsed="false">
      <c r="A3211" s="13" t="s">
        <v>1581</v>
      </c>
      <c r="B3211" s="13" t="s">
        <v>107</v>
      </c>
      <c r="C3211" s="13" t="n">
        <v>610</v>
      </c>
      <c r="D3211" s="13" t="n">
        <v>2</v>
      </c>
      <c r="E3211" s="13" t="n">
        <v>153.685</v>
      </c>
      <c r="F3211" s="13" t="s">
        <v>5288</v>
      </c>
      <c r="G3211" s="13" t="s">
        <v>5289</v>
      </c>
      <c r="H3211" s="13" t="s">
        <v>5292</v>
      </c>
      <c r="I3211" s="13" t="s">
        <v>5289</v>
      </c>
      <c r="J3211" s="13" t="s">
        <v>5289</v>
      </c>
      <c r="K3211" s="13" t="s">
        <v>5292</v>
      </c>
      <c r="L3211" s="13" t="n">
        <v>7891182019774</v>
      </c>
      <c r="M3211" s="13"/>
      <c r="N3211" s="13" t="n">
        <v>7891182019774</v>
      </c>
      <c r="O3211" s="13"/>
      <c r="P3211" s="13" t="s">
        <v>5291</v>
      </c>
      <c r="Q3211" s="13" t="s">
        <v>5289</v>
      </c>
      <c r="R3211" s="13" t="s">
        <v>5292</v>
      </c>
      <c r="S3211" s="13" t="s">
        <v>5293</v>
      </c>
      <c r="T3211" s="13" t="s">
        <v>5</v>
      </c>
      <c r="U3211" s="13" t="s">
        <v>43</v>
      </c>
      <c r="V3211" s="13" t="n">
        <f aca="false">IF(COUNTIF($B$2:B3211,B3211)=1,1,0)</f>
        <v>0</v>
      </c>
      <c r="W3211" s="13" t="n">
        <f aca="false">IF(COUNTIFS($B$2:B3211,B3211,$T$2:T3211,T3211)=1,1,0)</f>
        <v>0</v>
      </c>
    </row>
    <row r="3212" customFormat="false" ht="15" hidden="false" customHeight="false" outlineLevel="0" collapsed="false">
      <c r="A3212" s="13" t="s">
        <v>483</v>
      </c>
      <c r="B3212" s="13" t="s">
        <v>153</v>
      </c>
      <c r="C3212" s="13" t="n">
        <v>610</v>
      </c>
      <c r="D3212" s="13" t="n">
        <v>2</v>
      </c>
      <c r="E3212" s="13" t="n">
        <v>306</v>
      </c>
      <c r="F3212" s="13" t="s">
        <v>5325</v>
      </c>
      <c r="G3212" s="13" t="s">
        <v>5289</v>
      </c>
      <c r="H3212" s="13" t="s">
        <v>5289</v>
      </c>
      <c r="I3212" s="13" t="s">
        <v>5289</v>
      </c>
      <c r="J3212" s="13" t="s">
        <v>5289</v>
      </c>
      <c r="K3212" s="13" t="s">
        <v>5289</v>
      </c>
      <c r="L3212" s="13"/>
      <c r="M3212" s="13"/>
      <c r="N3212" s="13" t="n">
        <v>8011003819423</v>
      </c>
      <c r="O3212" s="13"/>
      <c r="P3212" s="13" t="s">
        <v>5291</v>
      </c>
      <c r="Q3212" s="13" t="s">
        <v>5289</v>
      </c>
      <c r="R3212" s="13" t="s">
        <v>5292</v>
      </c>
      <c r="S3212" s="13" t="s">
        <v>5293</v>
      </c>
      <c r="T3212" s="13" t="s">
        <v>5</v>
      </c>
      <c r="U3212" s="13" t="s">
        <v>43</v>
      </c>
      <c r="V3212" s="13" t="n">
        <f aca="false">IF(COUNTIF($B$2:B3212,B3212)=1,1,0)</f>
        <v>0</v>
      </c>
      <c r="W3212" s="13" t="n">
        <f aca="false">IF(COUNTIFS($B$2:B3212,B3212,$T$2:T3212,T3212)=1,1,0)</f>
        <v>0</v>
      </c>
    </row>
    <row r="3213" customFormat="false" ht="15" hidden="false" customHeight="false" outlineLevel="0" collapsed="false">
      <c r="A3213" s="13" t="s">
        <v>1572</v>
      </c>
      <c r="B3213" s="13" t="s">
        <v>61</v>
      </c>
      <c r="C3213" s="13" t="n">
        <v>610</v>
      </c>
      <c r="D3213" s="13" t="n">
        <v>1</v>
      </c>
      <c r="E3213" s="13" t="n">
        <v>611.61</v>
      </c>
      <c r="F3213" s="13" t="s">
        <v>5325</v>
      </c>
      <c r="G3213" s="13" t="s">
        <v>5292</v>
      </c>
      <c r="H3213" s="13" t="s">
        <v>5292</v>
      </c>
      <c r="I3213" s="13" t="s">
        <v>5289</v>
      </c>
      <c r="J3213" s="13" t="s">
        <v>5289</v>
      </c>
      <c r="K3213" s="13" t="s">
        <v>5289</v>
      </c>
      <c r="L3213" s="13" t="n">
        <v>3147758029390</v>
      </c>
      <c r="M3213" s="13"/>
      <c r="N3213" s="13" t="n">
        <v>3147758029390</v>
      </c>
      <c r="O3213" s="13"/>
      <c r="P3213" s="13" t="s">
        <v>5291</v>
      </c>
      <c r="Q3213" s="13" t="s">
        <v>5289</v>
      </c>
      <c r="R3213" s="13" t="s">
        <v>5292</v>
      </c>
      <c r="S3213" s="13" t="s">
        <v>5293</v>
      </c>
      <c r="T3213" s="13" t="s">
        <v>5</v>
      </c>
      <c r="U3213" s="13" t="s">
        <v>43</v>
      </c>
      <c r="V3213" s="13" t="n">
        <f aca="false">IF(COUNTIF($B$2:B3213,B3213)=1,1,0)</f>
        <v>0</v>
      </c>
      <c r="W3213" s="13" t="n">
        <f aca="false">IF(COUNTIFS($B$2:B3213,B3213,$T$2:T3213,T3213)=1,1,0)</f>
        <v>0</v>
      </c>
    </row>
    <row r="3214" customFormat="false" ht="15" hidden="false" customHeight="false" outlineLevel="0" collapsed="false">
      <c r="A3214" s="13" t="s">
        <v>840</v>
      </c>
      <c r="B3214" s="13" t="s">
        <v>61</v>
      </c>
      <c r="C3214" s="13" t="n">
        <v>610</v>
      </c>
      <c r="D3214" s="13" t="n">
        <v>1</v>
      </c>
      <c r="E3214" s="13" t="n">
        <v>611.61</v>
      </c>
      <c r="F3214" s="13" t="s">
        <v>5325</v>
      </c>
      <c r="G3214" s="13" t="s">
        <v>5292</v>
      </c>
      <c r="H3214" s="13" t="s">
        <v>5289</v>
      </c>
      <c r="I3214" s="13" t="s">
        <v>5289</v>
      </c>
      <c r="J3214" s="13" t="s">
        <v>5289</v>
      </c>
      <c r="K3214" s="13" t="s">
        <v>5289</v>
      </c>
      <c r="L3214" s="13" t="n">
        <v>3147758029390</v>
      </c>
      <c r="M3214" s="13"/>
      <c r="N3214" s="13" t="n">
        <v>3147758029390</v>
      </c>
      <c r="O3214" s="13"/>
      <c r="P3214" s="13" t="s">
        <v>5291</v>
      </c>
      <c r="Q3214" s="13" t="s">
        <v>5289</v>
      </c>
      <c r="R3214" s="13" t="s">
        <v>5292</v>
      </c>
      <c r="S3214" s="13" t="s">
        <v>5293</v>
      </c>
      <c r="T3214" s="13" t="s">
        <v>5</v>
      </c>
      <c r="U3214" s="13" t="s">
        <v>43</v>
      </c>
      <c r="V3214" s="13" t="n">
        <f aca="false">IF(COUNTIF($B$2:B3214,B3214)=1,1,0)</f>
        <v>0</v>
      </c>
      <c r="W3214" s="13" t="n">
        <f aca="false">IF(COUNTIFS($B$2:B3214,B3214,$T$2:T3214,T3214)=1,1,0)</f>
        <v>0</v>
      </c>
    </row>
    <row r="3215" customFormat="false" ht="15" hidden="false" customHeight="false" outlineLevel="0" collapsed="false">
      <c r="A3215" s="13" t="s">
        <v>505</v>
      </c>
      <c r="B3215" s="13" t="s">
        <v>61</v>
      </c>
      <c r="C3215" s="13" t="n">
        <v>610</v>
      </c>
      <c r="D3215" s="13" t="n">
        <v>1</v>
      </c>
      <c r="E3215" s="13" t="n">
        <v>611</v>
      </c>
      <c r="F3215" s="13" t="s">
        <v>5325</v>
      </c>
      <c r="G3215" s="13" t="s">
        <v>5289</v>
      </c>
      <c r="H3215" s="13" t="s">
        <v>5292</v>
      </c>
      <c r="I3215" s="13" t="s">
        <v>5289</v>
      </c>
      <c r="J3215" s="13" t="s">
        <v>5289</v>
      </c>
      <c r="K3215" s="13" t="s">
        <v>5289</v>
      </c>
      <c r="L3215" s="13"/>
      <c r="M3215" s="13"/>
      <c r="N3215" s="13" t="n">
        <v>3614273749381</v>
      </c>
      <c r="O3215" s="13"/>
      <c r="P3215" s="13" t="s">
        <v>5291</v>
      </c>
      <c r="Q3215" s="13" t="s">
        <v>5289</v>
      </c>
      <c r="R3215" s="13" t="s">
        <v>5292</v>
      </c>
      <c r="S3215" s="13" t="s">
        <v>5293</v>
      </c>
      <c r="T3215" s="13" t="s">
        <v>5</v>
      </c>
      <c r="U3215" s="13" t="s">
        <v>43</v>
      </c>
      <c r="V3215" s="13" t="n">
        <f aca="false">IF(COUNTIF($B$2:B3215,B3215)=1,1,0)</f>
        <v>0</v>
      </c>
      <c r="W3215" s="13" t="n">
        <f aca="false">IF(COUNTIFS($B$2:B3215,B3215,$T$2:T3215,T3215)=1,1,0)</f>
        <v>0</v>
      </c>
    </row>
    <row r="3216" customFormat="false" ht="15" hidden="false" customHeight="false" outlineLevel="0" collapsed="false">
      <c r="A3216" s="13" t="s">
        <v>840</v>
      </c>
      <c r="B3216" s="13" t="s">
        <v>61</v>
      </c>
      <c r="C3216" s="13" t="n">
        <v>610</v>
      </c>
      <c r="D3216" s="13" t="n">
        <v>1</v>
      </c>
      <c r="E3216" s="13" t="n">
        <v>609.29</v>
      </c>
      <c r="F3216" s="13" t="s">
        <v>5288</v>
      </c>
      <c r="G3216" s="13" t="s">
        <v>5292</v>
      </c>
      <c r="H3216" s="13" t="s">
        <v>5289</v>
      </c>
      <c r="I3216" s="13" t="s">
        <v>5289</v>
      </c>
      <c r="J3216" s="13" t="s">
        <v>5289</v>
      </c>
      <c r="K3216" s="13" t="s">
        <v>5289</v>
      </c>
      <c r="L3216" s="13" t="n">
        <v>3147758029390</v>
      </c>
      <c r="M3216" s="13"/>
      <c r="N3216" s="13" t="n">
        <v>3147758029390</v>
      </c>
      <c r="O3216" s="13"/>
      <c r="P3216" s="13" t="s">
        <v>5291</v>
      </c>
      <c r="Q3216" s="13" t="s">
        <v>5289</v>
      </c>
      <c r="R3216" s="13" t="s">
        <v>5292</v>
      </c>
      <c r="S3216" s="13" t="s">
        <v>5293</v>
      </c>
      <c r="T3216" s="13" t="s">
        <v>5</v>
      </c>
      <c r="U3216" s="13" t="s">
        <v>43</v>
      </c>
      <c r="V3216" s="13" t="n">
        <f aca="false">IF(COUNTIF($B$2:B3216,B3216)=1,1,0)</f>
        <v>0</v>
      </c>
      <c r="W3216" s="13" t="n">
        <f aca="false">IF(COUNTIFS($B$2:B3216,B3216,$T$2:T3216,T3216)=1,1,0)</f>
        <v>0</v>
      </c>
    </row>
    <row r="3217" customFormat="false" ht="15" hidden="false" customHeight="false" outlineLevel="0" collapsed="false">
      <c r="A3217" s="13" t="s">
        <v>4438</v>
      </c>
      <c r="B3217" s="13" t="s">
        <v>2139</v>
      </c>
      <c r="C3217" s="13" t="n">
        <v>610</v>
      </c>
      <c r="D3217" s="13" t="n">
        <v>2</v>
      </c>
      <c r="E3217" s="13" t="n">
        <v>152.0175</v>
      </c>
      <c r="F3217" s="13" t="s">
        <v>5325</v>
      </c>
      <c r="G3217" s="13" t="s">
        <v>5289</v>
      </c>
      <c r="H3217" s="13" t="s">
        <v>5289</v>
      </c>
      <c r="I3217" s="13" t="s">
        <v>5289</v>
      </c>
      <c r="J3217" s="13" t="s">
        <v>5289</v>
      </c>
      <c r="K3217" s="13" t="s">
        <v>5289</v>
      </c>
      <c r="L3217" s="13" t="n">
        <v>8411061988152</v>
      </c>
      <c r="M3217" s="13"/>
      <c r="N3217" s="13" t="n">
        <v>8411061988152</v>
      </c>
      <c r="O3217" s="13"/>
      <c r="P3217" s="13" t="s">
        <v>5291</v>
      </c>
      <c r="Q3217" s="13" t="s">
        <v>5289</v>
      </c>
      <c r="R3217" s="13" t="s">
        <v>5292</v>
      </c>
      <c r="S3217" s="13" t="s">
        <v>5293</v>
      </c>
      <c r="T3217" s="13" t="s">
        <v>5</v>
      </c>
      <c r="U3217" s="13" t="s">
        <v>43</v>
      </c>
      <c r="V3217" s="13" t="n">
        <f aca="false">IF(COUNTIF($B$2:B3217,B3217)=1,1,0)</f>
        <v>0</v>
      </c>
      <c r="W3217" s="13" t="n">
        <f aca="false">IF(COUNTIFS($B$2:B3217,B3217,$T$2:T3217,T3217)=1,1,0)</f>
        <v>0</v>
      </c>
    </row>
    <row r="3218" customFormat="false" ht="15" hidden="false" customHeight="false" outlineLevel="0" collapsed="false">
      <c r="A3218" s="13" t="s">
        <v>1577</v>
      </c>
      <c r="B3218" s="13" t="s">
        <v>50</v>
      </c>
      <c r="C3218" s="13" t="n">
        <v>610</v>
      </c>
      <c r="D3218" s="13" t="n">
        <v>2</v>
      </c>
      <c r="E3218" s="13" t="n">
        <v>304</v>
      </c>
      <c r="F3218" s="13" t="s">
        <v>5325</v>
      </c>
      <c r="G3218" s="13" t="s">
        <v>5289</v>
      </c>
      <c r="H3218" s="13" t="s">
        <v>5289</v>
      </c>
      <c r="I3218" s="13" t="s">
        <v>5289</v>
      </c>
      <c r="J3218" s="13" t="s">
        <v>5289</v>
      </c>
      <c r="K3218" s="13" t="s">
        <v>5289</v>
      </c>
      <c r="L3218" s="13" t="n">
        <v>3349668637669</v>
      </c>
      <c r="M3218" s="13"/>
      <c r="N3218" s="13" t="n">
        <v>3349668637669</v>
      </c>
      <c r="O3218" s="13"/>
      <c r="P3218" s="13" t="s">
        <v>5291</v>
      </c>
      <c r="Q3218" s="13" t="s">
        <v>5289</v>
      </c>
      <c r="R3218" s="13" t="s">
        <v>5292</v>
      </c>
      <c r="S3218" s="13" t="s">
        <v>5293</v>
      </c>
      <c r="T3218" s="13" t="s">
        <v>5</v>
      </c>
      <c r="U3218" s="13" t="s">
        <v>43</v>
      </c>
      <c r="V3218" s="13" t="n">
        <f aca="false">IF(COUNTIF($B$2:B3218,B3218)=1,1,0)</f>
        <v>0</v>
      </c>
      <c r="W3218" s="13" t="n">
        <f aca="false">IF(COUNTIFS($B$2:B3218,B3218,$T$2:T3218,T3218)=1,1,0)</f>
        <v>0</v>
      </c>
    </row>
    <row r="3219" customFormat="false" ht="15" hidden="false" customHeight="false" outlineLevel="0" collapsed="false">
      <c r="A3219" s="13" t="s">
        <v>330</v>
      </c>
      <c r="B3219" s="13" t="s">
        <v>329</v>
      </c>
      <c r="C3219" s="13" t="n">
        <v>610</v>
      </c>
      <c r="D3219" s="13" t="n">
        <v>1</v>
      </c>
      <c r="E3219" s="13" t="n">
        <v>607.99</v>
      </c>
      <c r="F3219" s="13" t="s">
        <v>5288</v>
      </c>
      <c r="G3219" s="13" t="s">
        <v>5292</v>
      </c>
      <c r="H3219" s="13" t="s">
        <v>5289</v>
      </c>
      <c r="I3219" s="13" t="s">
        <v>5289</v>
      </c>
      <c r="J3219" s="13" t="s">
        <v>5289</v>
      </c>
      <c r="K3219" s="13" t="s">
        <v>5289</v>
      </c>
      <c r="L3219" s="13" t="n">
        <v>3137370361336</v>
      </c>
      <c r="M3219" s="13"/>
      <c r="N3219" s="13" t="n">
        <v>3137370361336</v>
      </c>
      <c r="O3219" s="13"/>
      <c r="P3219" s="13" t="s">
        <v>5297</v>
      </c>
      <c r="Q3219" s="13" t="s">
        <v>5289</v>
      </c>
      <c r="R3219" s="13" t="s">
        <v>5292</v>
      </c>
      <c r="S3219" s="13" t="s">
        <v>5293</v>
      </c>
      <c r="T3219" s="13" t="s">
        <v>5</v>
      </c>
      <c r="U3219" s="13" t="s">
        <v>43</v>
      </c>
      <c r="V3219" s="13" t="n">
        <f aca="false">IF(COUNTIF($B$2:B3219,B3219)=1,1,0)</f>
        <v>0</v>
      </c>
      <c r="W3219" s="13" t="n">
        <f aca="false">IF(COUNTIFS($B$2:B3219,B3219,$T$2:T3219,T3219)=1,1,0)</f>
        <v>0</v>
      </c>
    </row>
    <row r="3220" customFormat="false" ht="15" hidden="false" customHeight="false" outlineLevel="0" collapsed="false">
      <c r="A3220" s="13" t="s">
        <v>1571</v>
      </c>
      <c r="B3220" s="13" t="s">
        <v>42</v>
      </c>
      <c r="C3220" s="13" t="n">
        <v>610</v>
      </c>
      <c r="D3220" s="13" t="n">
        <v>1</v>
      </c>
      <c r="E3220" s="13" t="n">
        <v>607.74</v>
      </c>
      <c r="F3220" s="13" t="s">
        <v>5325</v>
      </c>
      <c r="G3220" s="13" t="s">
        <v>5289</v>
      </c>
      <c r="H3220" s="13" t="s">
        <v>5292</v>
      </c>
      <c r="I3220" s="13" t="s">
        <v>5289</v>
      </c>
      <c r="J3220" s="13" t="s">
        <v>5289</v>
      </c>
      <c r="K3220" s="13" t="s">
        <v>5289</v>
      </c>
      <c r="L3220" s="13"/>
      <c r="M3220" s="13"/>
      <c r="N3220" s="13" t="n">
        <v>8411061043844</v>
      </c>
      <c r="O3220" s="13"/>
      <c r="P3220" s="13" t="s">
        <v>5291</v>
      </c>
      <c r="Q3220" s="13" t="s">
        <v>5289</v>
      </c>
      <c r="R3220" s="13" t="s">
        <v>5292</v>
      </c>
      <c r="S3220" s="13" t="s">
        <v>5293</v>
      </c>
      <c r="T3220" s="13" t="s">
        <v>5</v>
      </c>
      <c r="U3220" s="13" t="s">
        <v>43</v>
      </c>
      <c r="V3220" s="13" t="n">
        <f aca="false">IF(COUNTIF($B$2:B3220,B3220)=1,1,0)</f>
        <v>0</v>
      </c>
      <c r="W3220" s="13" t="n">
        <f aca="false">IF(COUNTIFS($B$2:B3220,B3220,$T$2:T3220,T3220)=1,1,0)</f>
        <v>0</v>
      </c>
    </row>
    <row r="3221" customFormat="false" ht="15" hidden="false" customHeight="false" outlineLevel="0" collapsed="false">
      <c r="A3221" s="13" t="s">
        <v>1570</v>
      </c>
      <c r="B3221" s="13" t="s">
        <v>186</v>
      </c>
      <c r="C3221" s="13" t="n">
        <v>610</v>
      </c>
      <c r="D3221" s="13" t="n">
        <v>1</v>
      </c>
      <c r="E3221" s="13" t="n">
        <v>607.73</v>
      </c>
      <c r="F3221" s="13" t="s">
        <v>5325</v>
      </c>
      <c r="G3221" s="13" t="s">
        <v>5289</v>
      </c>
      <c r="H3221" s="13" t="s">
        <v>5289</v>
      </c>
      <c r="I3221" s="13" t="s">
        <v>5289</v>
      </c>
      <c r="J3221" s="13" t="s">
        <v>5289</v>
      </c>
      <c r="K3221" s="13" t="s">
        <v>5289</v>
      </c>
      <c r="L3221" s="13" t="n">
        <v>88300605514</v>
      </c>
      <c r="M3221" s="13"/>
      <c r="N3221" s="13" t="n">
        <v>8.83001055190883E+022</v>
      </c>
      <c r="O3221" s="13"/>
      <c r="P3221" s="13" t="s">
        <v>5291</v>
      </c>
      <c r="Q3221" s="13" t="s">
        <v>5289</v>
      </c>
      <c r="R3221" s="13" t="s">
        <v>5292</v>
      </c>
      <c r="S3221" s="13" t="s">
        <v>5293</v>
      </c>
      <c r="T3221" s="13" t="s">
        <v>5</v>
      </c>
      <c r="U3221" s="13" t="s">
        <v>43</v>
      </c>
      <c r="V3221" s="13" t="n">
        <f aca="false">IF(COUNTIF($B$2:B3221,B3221)=1,1,0)</f>
        <v>0</v>
      </c>
      <c r="W3221" s="13" t="n">
        <f aca="false">IF(COUNTIFS($B$2:B3221,B3221,$T$2:T3221,T3221)=1,1,0)</f>
        <v>0</v>
      </c>
    </row>
    <row r="3222" customFormat="false" ht="15" hidden="false" customHeight="false" outlineLevel="0" collapsed="false">
      <c r="A3222" s="13" t="s">
        <v>3917</v>
      </c>
      <c r="B3222" s="13" t="s">
        <v>2181</v>
      </c>
      <c r="C3222" s="13" t="n">
        <v>610</v>
      </c>
      <c r="D3222" s="13" t="n">
        <v>1</v>
      </c>
      <c r="E3222" s="13" t="n">
        <v>607.5</v>
      </c>
      <c r="F3222" s="13" t="s">
        <v>5288</v>
      </c>
      <c r="G3222" s="13" t="s">
        <v>5292</v>
      </c>
      <c r="H3222" s="13" t="s">
        <v>5292</v>
      </c>
      <c r="I3222" s="13" t="s">
        <v>5289</v>
      </c>
      <c r="J3222" s="13" t="s">
        <v>5289</v>
      </c>
      <c r="K3222" s="13" t="s">
        <v>5289</v>
      </c>
      <c r="L3222" s="13"/>
      <c r="M3222" s="13"/>
      <c r="N3222" s="13" t="n">
        <v>3386460153867</v>
      </c>
      <c r="O3222" s="13"/>
      <c r="P3222" s="13" t="s">
        <v>5291</v>
      </c>
      <c r="Q3222" s="13" t="s">
        <v>5289</v>
      </c>
      <c r="R3222" s="13" t="s">
        <v>5292</v>
      </c>
      <c r="S3222" s="13" t="s">
        <v>5293</v>
      </c>
      <c r="T3222" s="13" t="s">
        <v>5</v>
      </c>
      <c r="U3222" s="13" t="s">
        <v>43</v>
      </c>
      <c r="V3222" s="13" t="n">
        <f aca="false">IF(COUNTIF($B$2:B3222,B3222)=1,1,0)</f>
        <v>0</v>
      </c>
      <c r="W3222" s="13" t="n">
        <f aca="false">IF(COUNTIFS($B$2:B3222,B3222,$T$2:T3222,T3222)=1,1,0)</f>
        <v>0</v>
      </c>
    </row>
    <row r="3223" customFormat="false" ht="15" hidden="false" customHeight="false" outlineLevel="0" collapsed="false">
      <c r="A3223" s="13" t="s">
        <v>1569</v>
      </c>
      <c r="B3223" s="13" t="s">
        <v>79</v>
      </c>
      <c r="C3223" s="13" t="n">
        <v>610</v>
      </c>
      <c r="D3223" s="13" t="n">
        <v>1</v>
      </c>
      <c r="E3223" s="13" t="n">
        <v>607.13</v>
      </c>
      <c r="F3223" s="13" t="s">
        <v>5325</v>
      </c>
      <c r="G3223" s="13" t="s">
        <v>5289</v>
      </c>
      <c r="H3223" s="13" t="s">
        <v>5289</v>
      </c>
      <c r="I3223" s="13" t="s">
        <v>5289</v>
      </c>
      <c r="J3223" s="13" t="s">
        <v>5289</v>
      </c>
      <c r="K3223" s="13" t="s">
        <v>5289</v>
      </c>
      <c r="L3223" s="13"/>
      <c r="M3223" s="13"/>
      <c r="N3223" s="13" t="n">
        <v>8057971183654</v>
      </c>
      <c r="O3223" s="13"/>
      <c r="P3223" s="13" t="s">
        <v>5291</v>
      </c>
      <c r="Q3223" s="13" t="s">
        <v>5289</v>
      </c>
      <c r="R3223" s="13" t="s">
        <v>5292</v>
      </c>
      <c r="S3223" s="13" t="s">
        <v>5293</v>
      </c>
      <c r="T3223" s="13" t="s">
        <v>5</v>
      </c>
      <c r="U3223" s="13" t="s">
        <v>43</v>
      </c>
      <c r="V3223" s="13" t="n">
        <f aca="false">IF(COUNTIF($B$2:B3223,B3223)=1,1,0)</f>
        <v>0</v>
      </c>
      <c r="W3223" s="13" t="n">
        <f aca="false">IF(COUNTIFS($B$2:B3223,B3223,$T$2:T3223,T3223)=1,1,0)</f>
        <v>0</v>
      </c>
    </row>
    <row r="3224" customFormat="false" ht="15" hidden="false" customHeight="false" outlineLevel="0" collapsed="false">
      <c r="A3224" s="13" t="s">
        <v>1112</v>
      </c>
      <c r="B3224" s="13" t="s">
        <v>42</v>
      </c>
      <c r="C3224" s="13" t="n">
        <v>610</v>
      </c>
      <c r="D3224" s="13" t="n">
        <v>1</v>
      </c>
      <c r="E3224" s="13" t="n">
        <v>606.9</v>
      </c>
      <c r="F3224" s="13" t="s">
        <v>5325</v>
      </c>
      <c r="G3224" s="13" t="s">
        <v>5292</v>
      </c>
      <c r="H3224" s="13" t="s">
        <v>5292</v>
      </c>
      <c r="I3224" s="13" t="s">
        <v>5289</v>
      </c>
      <c r="J3224" s="13" t="s">
        <v>5289</v>
      </c>
      <c r="K3224" s="13" t="s">
        <v>5289</v>
      </c>
      <c r="L3224" s="13"/>
      <c r="M3224" s="13"/>
      <c r="N3224" s="13" t="n">
        <v>8411061043844</v>
      </c>
      <c r="O3224" s="13"/>
      <c r="P3224" s="13" t="s">
        <v>5291</v>
      </c>
      <c r="Q3224" s="13" t="s">
        <v>5289</v>
      </c>
      <c r="R3224" s="13" t="s">
        <v>5292</v>
      </c>
      <c r="S3224" s="13" t="s">
        <v>5293</v>
      </c>
      <c r="T3224" s="13" t="s">
        <v>5</v>
      </c>
      <c r="U3224" s="13" t="s">
        <v>43</v>
      </c>
      <c r="V3224" s="13" t="n">
        <f aca="false">IF(COUNTIF($B$2:B3224,B3224)=1,1,0)</f>
        <v>0</v>
      </c>
      <c r="W3224" s="13" t="n">
        <f aca="false">IF(COUNTIFS($B$2:B3224,B3224,$T$2:T3224,T3224)=1,1,0)</f>
        <v>0</v>
      </c>
    </row>
    <row r="3225" customFormat="false" ht="15" hidden="false" customHeight="false" outlineLevel="0" collapsed="false">
      <c r="A3225" s="13" t="s">
        <v>1579</v>
      </c>
      <c r="B3225" s="13" t="s">
        <v>124</v>
      </c>
      <c r="C3225" s="13" t="n">
        <v>610</v>
      </c>
      <c r="D3225" s="13" t="n">
        <v>1</v>
      </c>
      <c r="E3225" s="13" t="n">
        <v>606.39</v>
      </c>
      <c r="F3225" s="13" t="s">
        <v>5288</v>
      </c>
      <c r="G3225" s="13" t="s">
        <v>5289</v>
      </c>
      <c r="H3225" s="13" t="s">
        <v>5292</v>
      </c>
      <c r="I3225" s="13" t="s">
        <v>5289</v>
      </c>
      <c r="J3225" s="13" t="s">
        <v>5289</v>
      </c>
      <c r="K3225" s="13" t="s">
        <v>5289</v>
      </c>
      <c r="L3225" s="13" t="n">
        <v>3614274143751</v>
      </c>
      <c r="M3225" s="13"/>
      <c r="N3225" s="13" t="n">
        <v>3614274143751</v>
      </c>
      <c r="O3225" s="13"/>
      <c r="P3225" s="13" t="s">
        <v>5291</v>
      </c>
      <c r="Q3225" s="13" t="s">
        <v>5289</v>
      </c>
      <c r="R3225" s="13" t="s">
        <v>5292</v>
      </c>
      <c r="S3225" s="13" t="s">
        <v>5293</v>
      </c>
      <c r="T3225" s="13" t="s">
        <v>5</v>
      </c>
      <c r="U3225" s="13" t="s">
        <v>43</v>
      </c>
      <c r="V3225" s="13" t="n">
        <f aca="false">IF(COUNTIF($B$2:B3225,B3225)=1,1,0)</f>
        <v>0</v>
      </c>
      <c r="W3225" s="13" t="n">
        <f aca="false">IF(COUNTIFS($B$2:B3225,B3225,$T$2:T3225,T3225)=1,1,0)</f>
        <v>0</v>
      </c>
    </row>
    <row r="3226" customFormat="false" ht="15" hidden="false" customHeight="false" outlineLevel="0" collapsed="false">
      <c r="A3226" s="13" t="s">
        <v>1166</v>
      </c>
      <c r="B3226" s="13" t="s">
        <v>92</v>
      </c>
      <c r="C3226" s="13" t="n">
        <v>610</v>
      </c>
      <c r="D3226" s="13" t="n">
        <v>1</v>
      </c>
      <c r="E3226" s="13" t="n">
        <v>606</v>
      </c>
      <c r="F3226" s="13" t="s">
        <v>5288</v>
      </c>
      <c r="G3226" s="13" t="s">
        <v>5289</v>
      </c>
      <c r="H3226" s="13" t="s">
        <v>5289</v>
      </c>
      <c r="I3226" s="13" t="s">
        <v>5289</v>
      </c>
      <c r="J3226" s="13" t="s">
        <v>5289</v>
      </c>
      <c r="K3226" s="13" t="s">
        <v>5289</v>
      </c>
      <c r="L3226" s="13" t="n">
        <v>3616306128996</v>
      </c>
      <c r="M3226" s="13"/>
      <c r="N3226" s="13" t="n">
        <v>3616306128996</v>
      </c>
      <c r="O3226" s="13"/>
      <c r="P3226" s="13" t="s">
        <v>5291</v>
      </c>
      <c r="Q3226" s="13" t="s">
        <v>5289</v>
      </c>
      <c r="R3226" s="13" t="s">
        <v>5292</v>
      </c>
      <c r="S3226" s="13" t="s">
        <v>5293</v>
      </c>
      <c r="T3226" s="13" t="s">
        <v>5</v>
      </c>
      <c r="U3226" s="13" t="s">
        <v>43</v>
      </c>
      <c r="V3226" s="13" t="n">
        <f aca="false">IF(COUNTIF($B$2:B3226,B3226)=1,1,0)</f>
        <v>0</v>
      </c>
      <c r="W3226" s="13" t="n">
        <f aca="false">IF(COUNTIFS($B$2:B3226,B3226,$T$2:T3226,T3226)=1,1,0)</f>
        <v>0</v>
      </c>
    </row>
    <row r="3227" customFormat="false" ht="15" hidden="false" customHeight="false" outlineLevel="0" collapsed="false">
      <c r="A3227" s="13" t="s">
        <v>456</v>
      </c>
      <c r="B3227" s="13" t="s">
        <v>103</v>
      </c>
      <c r="C3227" s="13" t="n">
        <v>610</v>
      </c>
      <c r="D3227" s="13" t="n">
        <v>2</v>
      </c>
      <c r="E3227" s="13" t="n">
        <v>201.946666666667</v>
      </c>
      <c r="F3227" s="13" t="s">
        <v>5325</v>
      </c>
      <c r="G3227" s="13" t="s">
        <v>5292</v>
      </c>
      <c r="H3227" s="13" t="s">
        <v>5289</v>
      </c>
      <c r="I3227" s="13" t="s">
        <v>5289</v>
      </c>
      <c r="J3227" s="13" t="s">
        <v>5289</v>
      </c>
      <c r="K3227" s="13" t="s">
        <v>5289</v>
      </c>
      <c r="L3227" s="13"/>
      <c r="M3227" s="13"/>
      <c r="N3227" s="13" t="n">
        <v>8411061104897</v>
      </c>
      <c r="O3227" s="13"/>
      <c r="P3227" s="13" t="s">
        <v>5297</v>
      </c>
      <c r="Q3227" s="13" t="s">
        <v>5289</v>
      </c>
      <c r="R3227" s="13" t="s">
        <v>5292</v>
      </c>
      <c r="S3227" s="13" t="s">
        <v>5293</v>
      </c>
      <c r="T3227" s="13" t="s">
        <v>5</v>
      </c>
      <c r="U3227" s="13" t="s">
        <v>43</v>
      </c>
      <c r="V3227" s="13" t="n">
        <f aca="false">IF(COUNTIF($B$2:B3227,B3227)=1,1,0)</f>
        <v>0</v>
      </c>
      <c r="W3227" s="13" t="n">
        <f aca="false">IF(COUNTIFS($B$2:B3227,B3227,$T$2:T3227,T3227)=1,1,0)</f>
        <v>0</v>
      </c>
    </row>
    <row r="3228" customFormat="false" ht="15" hidden="false" customHeight="false" outlineLevel="0" collapsed="false">
      <c r="A3228" s="13" t="s">
        <v>676</v>
      </c>
      <c r="B3228" s="13" t="s">
        <v>153</v>
      </c>
      <c r="C3228" s="13" t="n">
        <v>600</v>
      </c>
      <c r="D3228" s="13" t="n">
        <v>1</v>
      </c>
      <c r="E3228" s="13" t="n">
        <v>602.9</v>
      </c>
      <c r="F3228" s="13" t="s">
        <v>5288</v>
      </c>
      <c r="G3228" s="13" t="s">
        <v>5292</v>
      </c>
      <c r="H3228" s="13" t="s">
        <v>5289</v>
      </c>
      <c r="I3228" s="13" t="s">
        <v>5289</v>
      </c>
      <c r="J3228" s="13" t="s">
        <v>5289</v>
      </c>
      <c r="K3228" s="13" t="s">
        <v>5289</v>
      </c>
      <c r="L3228" s="13" t="n">
        <v>8011003891092</v>
      </c>
      <c r="M3228" s="13"/>
      <c r="N3228" s="13" t="n">
        <v>8011003891092</v>
      </c>
      <c r="O3228" s="13"/>
      <c r="P3228" s="13" t="s">
        <v>5297</v>
      </c>
      <c r="Q3228" s="13" t="s">
        <v>5289</v>
      </c>
      <c r="R3228" s="13" t="s">
        <v>5292</v>
      </c>
      <c r="S3228" s="13" t="s">
        <v>5293</v>
      </c>
      <c r="T3228" s="13" t="s">
        <v>5</v>
      </c>
      <c r="U3228" s="13" t="s">
        <v>43</v>
      </c>
      <c r="V3228" s="13" t="n">
        <f aca="false">IF(COUNTIF($B$2:B3228,B3228)=1,1,0)</f>
        <v>0</v>
      </c>
      <c r="W3228" s="13" t="n">
        <f aca="false">IF(COUNTIFS($B$2:B3228,B3228,$T$2:T3228,T3228)=1,1,0)</f>
        <v>0</v>
      </c>
    </row>
    <row r="3229" customFormat="false" ht="15" hidden="false" customHeight="false" outlineLevel="0" collapsed="false">
      <c r="A3229" s="13" t="s">
        <v>1587</v>
      </c>
      <c r="B3229" s="13" t="s">
        <v>121</v>
      </c>
      <c r="C3229" s="13" t="n">
        <v>600</v>
      </c>
      <c r="D3229" s="13" t="n">
        <v>2</v>
      </c>
      <c r="E3229" s="13" t="n">
        <v>150.4025</v>
      </c>
      <c r="F3229" s="13" t="s">
        <v>5325</v>
      </c>
      <c r="G3229" s="13" t="s">
        <v>5289</v>
      </c>
      <c r="H3229" s="13" t="s">
        <v>5289</v>
      </c>
      <c r="I3229" s="13" t="s">
        <v>5289</v>
      </c>
      <c r="J3229" s="13" t="s">
        <v>5289</v>
      </c>
      <c r="K3229" s="13" t="s">
        <v>5289</v>
      </c>
      <c r="L3229" s="13" t="n">
        <v>7896086932433</v>
      </c>
      <c r="M3229" s="13"/>
      <c r="N3229" s="13" t="n">
        <v>7896086932433</v>
      </c>
      <c r="O3229" s="13"/>
      <c r="P3229" s="13" t="s">
        <v>5297</v>
      </c>
      <c r="Q3229" s="13" t="s">
        <v>5289</v>
      </c>
      <c r="R3229" s="13" t="s">
        <v>5292</v>
      </c>
      <c r="S3229" s="13" t="s">
        <v>5293</v>
      </c>
      <c r="T3229" s="13" t="s">
        <v>5</v>
      </c>
      <c r="U3229" s="13" t="s">
        <v>43</v>
      </c>
      <c r="V3229" s="13" t="n">
        <f aca="false">IF(COUNTIF($B$2:B3229,B3229)=1,1,0)</f>
        <v>0</v>
      </c>
      <c r="W3229" s="13" t="n">
        <f aca="false">IF(COUNTIFS($B$2:B3229,B3229,$T$2:T3229,T3229)=1,1,0)</f>
        <v>0</v>
      </c>
    </row>
    <row r="3230" customFormat="false" ht="15" hidden="false" customHeight="false" outlineLevel="0" collapsed="false">
      <c r="A3230" s="13" t="s">
        <v>1588</v>
      </c>
      <c r="B3230" s="13" t="s">
        <v>124</v>
      </c>
      <c r="C3230" s="13" t="n">
        <v>600</v>
      </c>
      <c r="D3230" s="13" t="n">
        <v>1</v>
      </c>
      <c r="E3230" s="13" t="n">
        <v>599.99</v>
      </c>
      <c r="F3230" s="13" t="s">
        <v>5325</v>
      </c>
      <c r="G3230" s="13" t="s">
        <v>5289</v>
      </c>
      <c r="H3230" s="13" t="s">
        <v>5292</v>
      </c>
      <c r="I3230" s="13" t="s">
        <v>5289</v>
      </c>
      <c r="J3230" s="13" t="s">
        <v>5289</v>
      </c>
      <c r="K3230" s="13" t="s">
        <v>5289</v>
      </c>
      <c r="L3230" s="13"/>
      <c r="M3230" s="13"/>
      <c r="N3230" s="13" t="n">
        <v>3614273636513</v>
      </c>
      <c r="O3230" s="13"/>
      <c r="P3230" s="13" t="s">
        <v>5291</v>
      </c>
      <c r="Q3230" s="13" t="s">
        <v>5289</v>
      </c>
      <c r="R3230" s="13" t="s">
        <v>5292</v>
      </c>
      <c r="S3230" s="13" t="s">
        <v>5293</v>
      </c>
      <c r="T3230" s="13" t="s">
        <v>5</v>
      </c>
      <c r="U3230" s="13" t="s">
        <v>43</v>
      </c>
      <c r="V3230" s="13" t="n">
        <f aca="false">IF(COUNTIF($B$2:B3230,B3230)=1,1,0)</f>
        <v>0</v>
      </c>
      <c r="W3230" s="13" t="n">
        <f aca="false">IF(COUNTIFS($B$2:B3230,B3230,$T$2:T3230,T3230)=1,1,0)</f>
        <v>0</v>
      </c>
    </row>
    <row r="3231" customFormat="false" ht="15" hidden="false" customHeight="false" outlineLevel="0" collapsed="false">
      <c r="A3231" s="13" t="s">
        <v>959</v>
      </c>
      <c r="B3231" s="13" t="s">
        <v>315</v>
      </c>
      <c r="C3231" s="13" t="n">
        <v>600</v>
      </c>
      <c r="D3231" s="13" t="n">
        <v>1</v>
      </c>
      <c r="E3231" s="13" t="n">
        <v>599.85</v>
      </c>
      <c r="F3231" s="13" t="s">
        <v>5325</v>
      </c>
      <c r="G3231" s="13" t="s">
        <v>5289</v>
      </c>
      <c r="H3231" s="13" t="s">
        <v>5292</v>
      </c>
      <c r="I3231" s="13" t="s">
        <v>5289</v>
      </c>
      <c r="J3231" s="13" t="s">
        <v>5289</v>
      </c>
      <c r="K3231" s="13" t="s">
        <v>5289</v>
      </c>
      <c r="L3231" s="13" t="n">
        <v>3360377032767</v>
      </c>
      <c r="M3231" s="13"/>
      <c r="N3231" s="13" t="n">
        <v>3360377032767</v>
      </c>
      <c r="O3231" s="13"/>
      <c r="P3231" s="13" t="s">
        <v>5291</v>
      </c>
      <c r="Q3231" s="13" t="s">
        <v>5289</v>
      </c>
      <c r="R3231" s="13" t="s">
        <v>5292</v>
      </c>
      <c r="S3231" s="13" t="s">
        <v>5293</v>
      </c>
      <c r="T3231" s="13" t="s">
        <v>5</v>
      </c>
      <c r="U3231" s="13" t="s">
        <v>43</v>
      </c>
      <c r="V3231" s="13" t="n">
        <f aca="false">IF(COUNTIF($B$2:B3231,B3231)=1,1,0)</f>
        <v>0</v>
      </c>
      <c r="W3231" s="13" t="n">
        <f aca="false">IF(COUNTIFS($B$2:B3231,B3231,$T$2:T3231,T3231)=1,1,0)</f>
        <v>0</v>
      </c>
    </row>
    <row r="3232" customFormat="false" ht="15" hidden="false" customHeight="false" outlineLevel="0" collapsed="false">
      <c r="A3232" s="13" t="s">
        <v>860</v>
      </c>
      <c r="B3232" s="13" t="s">
        <v>61</v>
      </c>
      <c r="C3232" s="13" t="n">
        <v>600</v>
      </c>
      <c r="D3232" s="13" t="n">
        <v>1</v>
      </c>
      <c r="E3232" s="13" t="n">
        <v>599.82</v>
      </c>
      <c r="F3232" s="13" t="s">
        <v>5325</v>
      </c>
      <c r="G3232" s="13" t="s">
        <v>5289</v>
      </c>
      <c r="H3232" s="13" t="s">
        <v>5292</v>
      </c>
      <c r="I3232" s="13" t="s">
        <v>5289</v>
      </c>
      <c r="J3232" s="13" t="s">
        <v>5289</v>
      </c>
      <c r="K3232" s="13" t="s">
        <v>5289</v>
      </c>
      <c r="L3232" s="13"/>
      <c r="M3232" s="13"/>
      <c r="N3232" s="13" t="n">
        <v>3614274299212</v>
      </c>
      <c r="O3232" s="13"/>
      <c r="P3232" s="13" t="s">
        <v>5291</v>
      </c>
      <c r="Q3232" s="13" t="s">
        <v>5289</v>
      </c>
      <c r="R3232" s="13" t="s">
        <v>5292</v>
      </c>
      <c r="S3232" s="13" t="s">
        <v>5293</v>
      </c>
      <c r="T3232" s="13" t="s">
        <v>5</v>
      </c>
      <c r="U3232" s="13" t="s">
        <v>43</v>
      </c>
      <c r="V3232" s="13" t="n">
        <f aca="false">IF(COUNTIF($B$2:B3232,B3232)=1,1,0)</f>
        <v>0</v>
      </c>
      <c r="W3232" s="13" t="n">
        <f aca="false">IF(COUNTIFS($B$2:B3232,B3232,$T$2:T3232,T3232)=1,1,0)</f>
        <v>0</v>
      </c>
    </row>
    <row r="3233" customFormat="false" ht="15" hidden="false" customHeight="false" outlineLevel="0" collapsed="false">
      <c r="A3233" s="13" t="s">
        <v>1585</v>
      </c>
      <c r="B3233" s="13" t="s">
        <v>61</v>
      </c>
      <c r="C3233" s="13" t="n">
        <v>600</v>
      </c>
      <c r="D3233" s="13" t="n">
        <v>1</v>
      </c>
      <c r="E3233" s="13" t="n">
        <v>599.14</v>
      </c>
      <c r="F3233" s="13" t="s">
        <v>5325</v>
      </c>
      <c r="G3233" s="13" t="s">
        <v>5289</v>
      </c>
      <c r="H3233" s="13" t="s">
        <v>5292</v>
      </c>
      <c r="I3233" s="13" t="s">
        <v>5289</v>
      </c>
      <c r="J3233" s="13" t="s">
        <v>5289</v>
      </c>
      <c r="K3233" s="13" t="s">
        <v>5289</v>
      </c>
      <c r="L3233" s="13" t="n">
        <v>3614273660440</v>
      </c>
      <c r="M3233" s="13"/>
      <c r="N3233" s="13" t="n">
        <v>3614273660440</v>
      </c>
      <c r="O3233" s="13"/>
      <c r="P3233" s="13" t="s">
        <v>5291</v>
      </c>
      <c r="Q3233" s="13" t="s">
        <v>5289</v>
      </c>
      <c r="R3233" s="13" t="s">
        <v>5292</v>
      </c>
      <c r="S3233" s="13" t="s">
        <v>5293</v>
      </c>
      <c r="T3233" s="13" t="s">
        <v>5</v>
      </c>
      <c r="U3233" s="13" t="s">
        <v>43</v>
      </c>
      <c r="V3233" s="13" t="n">
        <f aca="false">IF(COUNTIF($B$2:B3233,B3233)=1,1,0)</f>
        <v>0</v>
      </c>
      <c r="W3233" s="13" t="n">
        <f aca="false">IF(COUNTIFS($B$2:B3233,B3233,$T$2:T3233,T3233)=1,1,0)</f>
        <v>0</v>
      </c>
    </row>
    <row r="3234" customFormat="false" ht="15" hidden="false" customHeight="false" outlineLevel="0" collapsed="false">
      <c r="A3234" s="13" t="s">
        <v>1586</v>
      </c>
      <c r="B3234" s="13" t="s">
        <v>329</v>
      </c>
      <c r="C3234" s="13" t="n">
        <v>600</v>
      </c>
      <c r="D3234" s="13" t="n">
        <v>1</v>
      </c>
      <c r="E3234" s="13" t="n">
        <v>598.85</v>
      </c>
      <c r="F3234" s="13" t="s">
        <v>5288</v>
      </c>
      <c r="G3234" s="13" t="s">
        <v>5292</v>
      </c>
      <c r="H3234" s="13" t="s">
        <v>5292</v>
      </c>
      <c r="I3234" s="13" t="s">
        <v>5289</v>
      </c>
      <c r="J3234" s="13" t="s">
        <v>5289</v>
      </c>
      <c r="K3234" s="13" t="s">
        <v>5292</v>
      </c>
      <c r="L3234" s="13"/>
      <c r="M3234" s="13"/>
      <c r="N3234" s="13" t="n">
        <v>3137370359487</v>
      </c>
      <c r="O3234" s="13"/>
      <c r="P3234" s="13" t="s">
        <v>5297</v>
      </c>
      <c r="Q3234" s="13" t="s">
        <v>5289</v>
      </c>
      <c r="R3234" s="13" t="s">
        <v>5292</v>
      </c>
      <c r="S3234" s="13" t="s">
        <v>5293</v>
      </c>
      <c r="T3234" s="13" t="s">
        <v>5</v>
      </c>
      <c r="U3234" s="13" t="s">
        <v>43</v>
      </c>
      <c r="V3234" s="13" t="n">
        <f aca="false">IF(COUNTIF($B$2:B3234,B3234)=1,1,0)</f>
        <v>0</v>
      </c>
      <c r="W3234" s="13" t="n">
        <f aca="false">IF(COUNTIFS($B$2:B3234,B3234,$T$2:T3234,T3234)=1,1,0)</f>
        <v>0</v>
      </c>
    </row>
    <row r="3235" customFormat="false" ht="15" hidden="false" customHeight="false" outlineLevel="0" collapsed="false">
      <c r="A3235" s="13" t="s">
        <v>189</v>
      </c>
      <c r="B3235" s="13" t="s">
        <v>50</v>
      </c>
      <c r="C3235" s="13" t="n">
        <v>600</v>
      </c>
      <c r="D3235" s="13" t="n">
        <v>1</v>
      </c>
      <c r="E3235" s="13" t="n">
        <v>598.85</v>
      </c>
      <c r="F3235" s="13" t="s">
        <v>5325</v>
      </c>
      <c r="G3235" s="13" t="s">
        <v>5289</v>
      </c>
      <c r="H3235" s="13" t="s">
        <v>5289</v>
      </c>
      <c r="I3235" s="13" t="s">
        <v>5289</v>
      </c>
      <c r="J3235" s="13" t="s">
        <v>5289</v>
      </c>
      <c r="K3235" s="13" t="s">
        <v>5292</v>
      </c>
      <c r="L3235" s="13" t="n">
        <v>3349668582365</v>
      </c>
      <c r="M3235" s="13"/>
      <c r="N3235" s="13" t="n">
        <v>3349668582365</v>
      </c>
      <c r="O3235" s="13"/>
      <c r="P3235" s="13" t="s">
        <v>5297</v>
      </c>
      <c r="Q3235" s="13" t="s">
        <v>5289</v>
      </c>
      <c r="R3235" s="13" t="s">
        <v>5292</v>
      </c>
      <c r="S3235" s="13" t="s">
        <v>5293</v>
      </c>
      <c r="T3235" s="13" t="s">
        <v>5</v>
      </c>
      <c r="U3235" s="13" t="s">
        <v>43</v>
      </c>
      <c r="V3235" s="13" t="n">
        <f aca="false">IF(COUNTIF($B$2:B3235,B3235)=1,1,0)</f>
        <v>0</v>
      </c>
      <c r="W3235" s="13" t="n">
        <f aca="false">IF(COUNTIFS($B$2:B3235,B3235,$T$2:T3235,T3235)=1,1,0)</f>
        <v>0</v>
      </c>
    </row>
    <row r="3236" customFormat="false" ht="15" hidden="false" customHeight="false" outlineLevel="0" collapsed="false">
      <c r="A3236" s="13" t="s">
        <v>1217</v>
      </c>
      <c r="B3236" s="13" t="s">
        <v>50</v>
      </c>
      <c r="C3236" s="13" t="n">
        <v>600</v>
      </c>
      <c r="D3236" s="13" t="n">
        <v>1</v>
      </c>
      <c r="E3236" s="13" t="n">
        <v>598.85</v>
      </c>
      <c r="F3236" s="13" t="s">
        <v>5288</v>
      </c>
      <c r="G3236" s="13" t="s">
        <v>5292</v>
      </c>
      <c r="H3236" s="13" t="s">
        <v>5289</v>
      </c>
      <c r="I3236" s="13" t="s">
        <v>5289</v>
      </c>
      <c r="J3236" s="13" t="s">
        <v>5289</v>
      </c>
      <c r="K3236" s="13" t="s">
        <v>5292</v>
      </c>
      <c r="L3236" s="13" t="n">
        <v>3349668612598</v>
      </c>
      <c r="M3236" s="13"/>
      <c r="N3236" s="13" t="n">
        <v>3349666007891</v>
      </c>
      <c r="O3236" s="13"/>
      <c r="P3236" s="13" t="s">
        <v>5291</v>
      </c>
      <c r="Q3236" s="13" t="s">
        <v>5289</v>
      </c>
      <c r="R3236" s="13" t="s">
        <v>5292</v>
      </c>
      <c r="S3236" s="13" t="s">
        <v>5293</v>
      </c>
      <c r="T3236" s="13" t="s">
        <v>5</v>
      </c>
      <c r="U3236" s="13" t="s">
        <v>43</v>
      </c>
      <c r="V3236" s="13" t="n">
        <f aca="false">IF(COUNTIF($B$2:B3236,B3236)=1,1,0)</f>
        <v>0</v>
      </c>
      <c r="W3236" s="13" t="n">
        <f aca="false">IF(COUNTIFS($B$2:B3236,B3236,$T$2:T3236,T3236)=1,1,0)</f>
        <v>0</v>
      </c>
    </row>
    <row r="3237" customFormat="false" ht="15" hidden="false" customHeight="false" outlineLevel="0" collapsed="false">
      <c r="A3237" s="13" t="s">
        <v>6390</v>
      </c>
      <c r="B3237" s="13" t="s">
        <v>2127</v>
      </c>
      <c r="C3237" s="13" t="n">
        <v>600</v>
      </c>
      <c r="D3237" s="13" t="n">
        <v>10</v>
      </c>
      <c r="E3237" s="13" t="n">
        <v>49.9</v>
      </c>
      <c r="F3237" s="13" t="s">
        <v>5325</v>
      </c>
      <c r="G3237" s="13" t="s">
        <v>5289</v>
      </c>
      <c r="H3237" s="13" t="s">
        <v>5289</v>
      </c>
      <c r="I3237" s="13" t="s">
        <v>5292</v>
      </c>
      <c r="J3237" s="13" t="s">
        <v>5289</v>
      </c>
      <c r="K3237" s="13" t="s">
        <v>5289</v>
      </c>
      <c r="L3237" s="13" t="n">
        <v>19045010288</v>
      </c>
      <c r="M3237" s="13"/>
      <c r="N3237" s="13" t="n">
        <v>19045010288</v>
      </c>
      <c r="O3237" s="13"/>
      <c r="P3237" s="13" t="s">
        <v>5291</v>
      </c>
      <c r="Q3237" s="13" t="s">
        <v>5289</v>
      </c>
      <c r="R3237" s="13" t="s">
        <v>5292</v>
      </c>
      <c r="S3237" s="13" t="s">
        <v>5293</v>
      </c>
      <c r="T3237" s="13" t="s">
        <v>5</v>
      </c>
      <c r="U3237" s="13" t="s">
        <v>85</v>
      </c>
      <c r="V3237" s="13" t="n">
        <f aca="false">IF(COUNTIF($B$2:B3237,B3237)=1,1,0)</f>
        <v>0</v>
      </c>
      <c r="W3237" s="13" t="n">
        <f aca="false">IF(COUNTIFS($B$2:B3237,B3237,$T$2:T3237,T3237)=1,1,0)</f>
        <v>0</v>
      </c>
    </row>
    <row r="3238" customFormat="false" ht="15" hidden="false" customHeight="false" outlineLevel="0" collapsed="false">
      <c r="A3238" s="13" t="s">
        <v>870</v>
      </c>
      <c r="B3238" s="13" t="s">
        <v>45</v>
      </c>
      <c r="C3238" s="13" t="n">
        <v>600</v>
      </c>
      <c r="D3238" s="13" t="n">
        <v>1</v>
      </c>
      <c r="E3238" s="13" t="n">
        <v>598</v>
      </c>
      <c r="F3238" s="13" t="s">
        <v>5288</v>
      </c>
      <c r="G3238" s="13" t="s">
        <v>5292</v>
      </c>
      <c r="H3238" s="13" t="s">
        <v>5289</v>
      </c>
      <c r="I3238" s="13" t="s">
        <v>5289</v>
      </c>
      <c r="J3238" s="13" t="s">
        <v>5289</v>
      </c>
      <c r="K3238" s="13" t="s">
        <v>5289</v>
      </c>
      <c r="L3238" s="13" t="n">
        <v>8435415049405</v>
      </c>
      <c r="M3238" s="13"/>
      <c r="N3238" s="13" t="n">
        <v>8435415049405</v>
      </c>
      <c r="O3238" s="13"/>
      <c r="P3238" s="13" t="s">
        <v>5291</v>
      </c>
      <c r="Q3238" s="13" t="s">
        <v>5289</v>
      </c>
      <c r="R3238" s="13" t="s">
        <v>5292</v>
      </c>
      <c r="S3238" s="13" t="s">
        <v>5293</v>
      </c>
      <c r="T3238" s="13" t="s">
        <v>5</v>
      </c>
      <c r="U3238" s="13" t="s">
        <v>43</v>
      </c>
      <c r="V3238" s="13" t="n">
        <f aca="false">IF(COUNTIF($B$2:B3238,B3238)=1,1,0)</f>
        <v>0</v>
      </c>
      <c r="W3238" s="13" t="n">
        <f aca="false">IF(COUNTIFS($B$2:B3238,B3238,$T$2:T3238,T3238)=1,1,0)</f>
        <v>0</v>
      </c>
    </row>
    <row r="3239" customFormat="false" ht="15" hidden="false" customHeight="false" outlineLevel="0" collapsed="false">
      <c r="A3239" s="13" t="s">
        <v>1591</v>
      </c>
      <c r="B3239" s="13" t="s">
        <v>61</v>
      </c>
      <c r="C3239" s="13" t="n">
        <v>600</v>
      </c>
      <c r="D3239" s="13" t="n">
        <v>2</v>
      </c>
      <c r="E3239" s="13" t="n">
        <v>298.93</v>
      </c>
      <c r="F3239" s="13" t="s">
        <v>5325</v>
      </c>
      <c r="G3239" s="13" t="s">
        <v>5292</v>
      </c>
      <c r="H3239" s="13" t="s">
        <v>5292</v>
      </c>
      <c r="I3239" s="13" t="s">
        <v>5289</v>
      </c>
      <c r="J3239" s="13" t="s">
        <v>5289</v>
      </c>
      <c r="K3239" s="13" t="s">
        <v>5292</v>
      </c>
      <c r="L3239" s="13" t="n">
        <v>3614273436366</v>
      </c>
      <c r="M3239" s="13"/>
      <c r="N3239" s="13" t="n">
        <v>3614273436366</v>
      </c>
      <c r="O3239" s="13"/>
      <c r="P3239" s="13" t="s">
        <v>5291</v>
      </c>
      <c r="Q3239" s="13" t="s">
        <v>5289</v>
      </c>
      <c r="R3239" s="13" t="s">
        <v>5292</v>
      </c>
      <c r="S3239" s="13" t="s">
        <v>5293</v>
      </c>
      <c r="T3239" s="13" t="s">
        <v>5</v>
      </c>
      <c r="U3239" s="13" t="s">
        <v>43</v>
      </c>
      <c r="V3239" s="13" t="n">
        <f aca="false">IF(COUNTIF($B$2:B3239,B3239)=1,1,0)</f>
        <v>0</v>
      </c>
      <c r="W3239" s="13" t="n">
        <f aca="false">IF(COUNTIFS($B$2:B3239,B3239,$T$2:T3239,T3239)=1,1,0)</f>
        <v>0</v>
      </c>
    </row>
    <row r="3240" customFormat="false" ht="15" hidden="false" customHeight="false" outlineLevel="0" collapsed="false">
      <c r="A3240" s="13" t="s">
        <v>791</v>
      </c>
      <c r="B3240" s="13" t="s">
        <v>107</v>
      </c>
      <c r="C3240" s="13" t="n">
        <v>600</v>
      </c>
      <c r="D3240" s="13" t="n">
        <v>2</v>
      </c>
      <c r="E3240" s="13" t="n">
        <v>199.11</v>
      </c>
      <c r="F3240" s="13" t="s">
        <v>5325</v>
      </c>
      <c r="G3240" s="13" t="s">
        <v>5289</v>
      </c>
      <c r="H3240" s="13" t="s">
        <v>5289</v>
      </c>
      <c r="I3240" s="13" t="s">
        <v>5289</v>
      </c>
      <c r="J3240" s="13" t="s">
        <v>5289</v>
      </c>
      <c r="K3240" s="13" t="s">
        <v>5289</v>
      </c>
      <c r="L3240" s="13" t="n">
        <v>7896235353652</v>
      </c>
      <c r="M3240" s="13"/>
      <c r="N3240" s="13" t="n">
        <v>7896235353652</v>
      </c>
      <c r="O3240" s="13"/>
      <c r="P3240" s="13" t="s">
        <v>5291</v>
      </c>
      <c r="Q3240" s="13" t="s">
        <v>5289</v>
      </c>
      <c r="R3240" s="13" t="s">
        <v>5292</v>
      </c>
      <c r="S3240" s="13" t="s">
        <v>5293</v>
      </c>
      <c r="T3240" s="13" t="s">
        <v>5</v>
      </c>
      <c r="U3240" s="13" t="s">
        <v>43</v>
      </c>
      <c r="V3240" s="13" t="n">
        <f aca="false">IF(COUNTIF($B$2:B3240,B3240)=1,1,0)</f>
        <v>0</v>
      </c>
      <c r="W3240" s="13" t="n">
        <f aca="false">IF(COUNTIFS($B$2:B3240,B3240,$T$2:T3240,T3240)=1,1,0)</f>
        <v>0</v>
      </c>
    </row>
    <row r="3241" customFormat="false" ht="15" hidden="false" customHeight="false" outlineLevel="0" collapsed="false">
      <c r="A3241" s="13" t="s">
        <v>4454</v>
      </c>
      <c r="B3241" s="13" t="s">
        <v>2150</v>
      </c>
      <c r="C3241" s="13" t="n">
        <v>600</v>
      </c>
      <c r="D3241" s="13" t="n">
        <v>2</v>
      </c>
      <c r="E3241" s="13" t="n">
        <v>149.31</v>
      </c>
      <c r="F3241" s="13" t="s">
        <v>5325</v>
      </c>
      <c r="G3241" s="13" t="s">
        <v>5289</v>
      </c>
      <c r="H3241" s="13" t="s">
        <v>5289</v>
      </c>
      <c r="I3241" s="13" t="s">
        <v>5289</v>
      </c>
      <c r="J3241" s="13" t="s">
        <v>5289</v>
      </c>
      <c r="K3241" s="13" t="s">
        <v>5289</v>
      </c>
      <c r="L3241" s="13" t="n">
        <v>8411061105344</v>
      </c>
      <c r="M3241" s="13"/>
      <c r="N3241" s="13" t="n">
        <v>8411061105344</v>
      </c>
      <c r="O3241" s="13"/>
      <c r="P3241" s="13" t="s">
        <v>5291</v>
      </c>
      <c r="Q3241" s="13" t="s">
        <v>5289</v>
      </c>
      <c r="R3241" s="13" t="s">
        <v>5292</v>
      </c>
      <c r="S3241" s="13" t="s">
        <v>5293</v>
      </c>
      <c r="T3241" s="13" t="s">
        <v>5</v>
      </c>
      <c r="U3241" s="13" t="s">
        <v>43</v>
      </c>
      <c r="V3241" s="13" t="n">
        <f aca="false">IF(COUNTIF($B$2:B3241,B3241)=1,1,0)</f>
        <v>0</v>
      </c>
      <c r="W3241" s="13" t="n">
        <f aca="false">IF(COUNTIFS($B$2:B3241,B3241,$T$2:T3241,T3241)=1,1,0)</f>
        <v>0</v>
      </c>
    </row>
    <row r="3242" customFormat="false" ht="15" hidden="false" customHeight="false" outlineLevel="0" collapsed="false">
      <c r="A3242" s="13" t="s">
        <v>4272</v>
      </c>
      <c r="B3242" s="13" t="s">
        <v>2150</v>
      </c>
      <c r="C3242" s="13" t="n">
        <v>600</v>
      </c>
      <c r="D3242" s="13" t="n">
        <v>2</v>
      </c>
      <c r="E3242" s="13" t="n">
        <v>148.99</v>
      </c>
      <c r="F3242" s="13" t="s">
        <v>5325</v>
      </c>
      <c r="G3242" s="13" t="s">
        <v>5289</v>
      </c>
      <c r="H3242" s="13" t="s">
        <v>5289</v>
      </c>
      <c r="I3242" s="13" t="s">
        <v>5289</v>
      </c>
      <c r="J3242" s="13" t="s">
        <v>5289</v>
      </c>
      <c r="K3242" s="13" t="s">
        <v>5289</v>
      </c>
      <c r="L3242" s="13" t="n">
        <v>8411061029619</v>
      </c>
      <c r="M3242" s="13"/>
      <c r="N3242" s="13" t="n">
        <v>8411061029619</v>
      </c>
      <c r="O3242" s="13"/>
      <c r="P3242" s="13" t="s">
        <v>5291</v>
      </c>
      <c r="Q3242" s="13" t="s">
        <v>5289</v>
      </c>
      <c r="R3242" s="13" t="s">
        <v>5292</v>
      </c>
      <c r="S3242" s="13" t="s">
        <v>5293</v>
      </c>
      <c r="T3242" s="13" t="s">
        <v>5</v>
      </c>
      <c r="U3242" s="13" t="s">
        <v>43</v>
      </c>
      <c r="V3242" s="13" t="n">
        <f aca="false">IF(COUNTIF($B$2:B3242,B3242)=1,1,0)</f>
        <v>0</v>
      </c>
      <c r="W3242" s="13" t="n">
        <f aca="false">IF(COUNTIFS($B$2:B3242,B3242,$T$2:T3242,T3242)=1,1,0)</f>
        <v>0</v>
      </c>
    </row>
    <row r="3243" customFormat="false" ht="15" hidden="false" customHeight="false" outlineLevel="0" collapsed="false">
      <c r="A3243" s="13" t="s">
        <v>196</v>
      </c>
      <c r="B3243" s="13" t="s">
        <v>195</v>
      </c>
      <c r="C3243" s="13" t="n">
        <v>600</v>
      </c>
      <c r="D3243" s="13" t="n">
        <v>1</v>
      </c>
      <c r="E3243" s="13" t="n">
        <v>595.96</v>
      </c>
      <c r="F3243" s="13" t="s">
        <v>5325</v>
      </c>
      <c r="G3243" s="13" t="s">
        <v>5289</v>
      </c>
      <c r="H3243" s="13" t="s">
        <v>5292</v>
      </c>
      <c r="I3243" s="13" t="s">
        <v>5289</v>
      </c>
      <c r="J3243" s="13" t="s">
        <v>5289</v>
      </c>
      <c r="K3243" s="13" t="s">
        <v>5289</v>
      </c>
      <c r="L3243" s="13"/>
      <c r="M3243" s="13"/>
      <c r="N3243" s="13" t="n">
        <v>3616302020652</v>
      </c>
      <c r="O3243" s="13"/>
      <c r="P3243" s="13" t="s">
        <v>5291</v>
      </c>
      <c r="Q3243" s="13" t="s">
        <v>5289</v>
      </c>
      <c r="R3243" s="13" t="s">
        <v>5292</v>
      </c>
      <c r="S3243" s="13" t="s">
        <v>5293</v>
      </c>
      <c r="T3243" s="13" t="s">
        <v>5</v>
      </c>
      <c r="U3243" s="13" t="s">
        <v>43</v>
      </c>
      <c r="V3243" s="13" t="n">
        <f aca="false">IF(COUNTIF($B$2:B3243,B3243)=1,1,0)</f>
        <v>0</v>
      </c>
      <c r="W3243" s="13" t="n">
        <f aca="false">IF(COUNTIFS($B$2:B3243,B3243,$T$2:T3243,T3243)=1,1,0)</f>
        <v>0</v>
      </c>
    </row>
    <row r="3244" customFormat="false" ht="15" hidden="false" customHeight="false" outlineLevel="0" collapsed="false">
      <c r="A3244" s="13" t="s">
        <v>47</v>
      </c>
      <c r="B3244" s="13" t="s">
        <v>42</v>
      </c>
      <c r="C3244" s="13" t="n">
        <v>590</v>
      </c>
      <c r="D3244" s="13" t="n">
        <v>1</v>
      </c>
      <c r="E3244" s="13" t="n">
        <v>592.99</v>
      </c>
      <c r="F3244" s="13" t="s">
        <v>5288</v>
      </c>
      <c r="G3244" s="13" t="s">
        <v>5292</v>
      </c>
      <c r="H3244" s="13" t="s">
        <v>5289</v>
      </c>
      <c r="I3244" s="13" t="s">
        <v>5289</v>
      </c>
      <c r="J3244" s="13" t="s">
        <v>5289</v>
      </c>
      <c r="K3244" s="13" t="s">
        <v>5289</v>
      </c>
      <c r="L3244" s="13"/>
      <c r="M3244" s="13"/>
      <c r="N3244" s="13" t="n">
        <v>8411061870518</v>
      </c>
      <c r="O3244" s="13"/>
      <c r="P3244" s="13" t="s">
        <v>5291</v>
      </c>
      <c r="Q3244" s="13" t="s">
        <v>5289</v>
      </c>
      <c r="R3244" s="13" t="s">
        <v>5292</v>
      </c>
      <c r="S3244" s="13" t="s">
        <v>5293</v>
      </c>
      <c r="T3244" s="13" t="s">
        <v>5</v>
      </c>
      <c r="U3244" s="13" t="s">
        <v>43</v>
      </c>
      <c r="V3244" s="13" t="n">
        <f aca="false">IF(COUNTIF($B$2:B3244,B3244)=1,1,0)</f>
        <v>0</v>
      </c>
      <c r="W3244" s="13" t="n">
        <f aca="false">IF(COUNTIFS($B$2:B3244,B3244,$T$2:T3244,T3244)=1,1,0)</f>
        <v>0</v>
      </c>
    </row>
    <row r="3245" customFormat="false" ht="15" hidden="false" customHeight="false" outlineLevel="0" collapsed="false">
      <c r="A3245" s="13" t="s">
        <v>613</v>
      </c>
      <c r="B3245" s="13" t="s">
        <v>153</v>
      </c>
      <c r="C3245" s="13" t="n">
        <v>590</v>
      </c>
      <c r="D3245" s="13" t="n">
        <v>1</v>
      </c>
      <c r="E3245" s="13" t="n">
        <v>591.94</v>
      </c>
      <c r="F3245" s="13" t="s">
        <v>5325</v>
      </c>
      <c r="G3245" s="13" t="s">
        <v>5292</v>
      </c>
      <c r="H3245" s="13" t="s">
        <v>5289</v>
      </c>
      <c r="I3245" s="13" t="s">
        <v>5289</v>
      </c>
      <c r="J3245" s="13" t="s">
        <v>5289</v>
      </c>
      <c r="K3245" s="13" t="s">
        <v>5289</v>
      </c>
      <c r="L3245" s="13" t="n">
        <v>8011003839117</v>
      </c>
      <c r="M3245" s="13"/>
      <c r="N3245" s="13" t="n">
        <v>8011003839117</v>
      </c>
      <c r="O3245" s="13"/>
      <c r="P3245" s="13" t="s">
        <v>5291</v>
      </c>
      <c r="Q3245" s="13" t="s">
        <v>5289</v>
      </c>
      <c r="R3245" s="13" t="s">
        <v>5292</v>
      </c>
      <c r="S3245" s="13" t="s">
        <v>5293</v>
      </c>
      <c r="T3245" s="13" t="s">
        <v>5</v>
      </c>
      <c r="U3245" s="13" t="s">
        <v>43</v>
      </c>
      <c r="V3245" s="13" t="n">
        <f aca="false">IF(COUNTIF($B$2:B3245,B3245)=1,1,0)</f>
        <v>0</v>
      </c>
      <c r="W3245" s="13" t="n">
        <f aca="false">IF(COUNTIFS($B$2:B3245,B3245,$T$2:T3245,T3245)=1,1,0)</f>
        <v>0</v>
      </c>
    </row>
    <row r="3246" customFormat="false" ht="15" hidden="false" customHeight="false" outlineLevel="0" collapsed="false">
      <c r="A3246" s="13" t="s">
        <v>993</v>
      </c>
      <c r="B3246" s="13" t="s">
        <v>153</v>
      </c>
      <c r="C3246" s="13" t="n">
        <v>590</v>
      </c>
      <c r="D3246" s="13" t="n">
        <v>1</v>
      </c>
      <c r="E3246" s="13" t="n">
        <v>591.14</v>
      </c>
      <c r="F3246" s="13" t="s">
        <v>5288</v>
      </c>
      <c r="G3246" s="13" t="s">
        <v>5292</v>
      </c>
      <c r="H3246" s="13" t="s">
        <v>5289</v>
      </c>
      <c r="I3246" s="13" t="s">
        <v>5289</v>
      </c>
      <c r="J3246" s="13" t="s">
        <v>5289</v>
      </c>
      <c r="K3246" s="13" t="s">
        <v>5289</v>
      </c>
      <c r="L3246" s="13" t="n">
        <v>8011003861224</v>
      </c>
      <c r="M3246" s="13"/>
      <c r="N3246" s="13" t="n">
        <v>8011003861224</v>
      </c>
      <c r="O3246" s="13"/>
      <c r="P3246" s="13" t="s">
        <v>5297</v>
      </c>
      <c r="Q3246" s="13" t="s">
        <v>5289</v>
      </c>
      <c r="R3246" s="13" t="s">
        <v>5292</v>
      </c>
      <c r="S3246" s="13" t="s">
        <v>5293</v>
      </c>
      <c r="T3246" s="13" t="s">
        <v>5</v>
      </c>
      <c r="U3246" s="13" t="s">
        <v>43</v>
      </c>
      <c r="V3246" s="13" t="n">
        <f aca="false">IF(COUNTIF($B$2:B3246,B3246)=1,1,0)</f>
        <v>0</v>
      </c>
      <c r="W3246" s="13" t="n">
        <f aca="false">IF(COUNTIFS($B$2:B3246,B3246,$T$2:T3246,T3246)=1,1,0)</f>
        <v>0</v>
      </c>
    </row>
    <row r="3247" customFormat="false" ht="15" hidden="false" customHeight="false" outlineLevel="0" collapsed="false">
      <c r="A3247" s="13" t="s">
        <v>1600</v>
      </c>
      <c r="B3247" s="13" t="s">
        <v>92</v>
      </c>
      <c r="C3247" s="13" t="n">
        <v>590</v>
      </c>
      <c r="D3247" s="13" t="n">
        <v>1</v>
      </c>
      <c r="E3247" s="13" t="n">
        <v>590.99</v>
      </c>
      <c r="F3247" s="13" t="s">
        <v>5288</v>
      </c>
      <c r="G3247" s="13" t="s">
        <v>5292</v>
      </c>
      <c r="H3247" s="13" t="s">
        <v>5292</v>
      </c>
      <c r="I3247" s="13" t="s">
        <v>5289</v>
      </c>
      <c r="J3247" s="13" t="s">
        <v>5289</v>
      </c>
      <c r="K3247" s="13" t="s">
        <v>5289</v>
      </c>
      <c r="L3247" s="13" t="n">
        <v>3607346232385</v>
      </c>
      <c r="M3247" s="13"/>
      <c r="N3247" s="13" t="n">
        <v>3607346232385</v>
      </c>
      <c r="O3247" s="13"/>
      <c r="P3247" s="13" t="s">
        <v>5291</v>
      </c>
      <c r="Q3247" s="13" t="s">
        <v>5289</v>
      </c>
      <c r="R3247" s="13" t="s">
        <v>5292</v>
      </c>
      <c r="S3247" s="13" t="s">
        <v>5293</v>
      </c>
      <c r="T3247" s="13" t="s">
        <v>5</v>
      </c>
      <c r="U3247" s="13" t="s">
        <v>43</v>
      </c>
      <c r="V3247" s="13" t="n">
        <f aca="false">IF(COUNTIF($B$2:B3247,B3247)=1,1,0)</f>
        <v>0</v>
      </c>
      <c r="W3247" s="13" t="n">
        <f aca="false">IF(COUNTIFS($B$2:B3247,B3247,$T$2:T3247,T3247)=1,1,0)</f>
        <v>0</v>
      </c>
    </row>
    <row r="3248" customFormat="false" ht="15" hidden="false" customHeight="false" outlineLevel="0" collapsed="false">
      <c r="A3248" s="13" t="s">
        <v>90</v>
      </c>
      <c r="B3248" s="13" t="s">
        <v>54</v>
      </c>
      <c r="C3248" s="13" t="n">
        <v>590</v>
      </c>
      <c r="D3248" s="13" t="n">
        <v>2</v>
      </c>
      <c r="E3248" s="13" t="n">
        <v>295.35</v>
      </c>
      <c r="F3248" s="13" t="s">
        <v>5288</v>
      </c>
      <c r="G3248" s="13" t="s">
        <v>5292</v>
      </c>
      <c r="H3248" s="13" t="s">
        <v>5289</v>
      </c>
      <c r="I3248" s="13" t="s">
        <v>5289</v>
      </c>
      <c r="J3248" s="13" t="s">
        <v>5289</v>
      </c>
      <c r="K3248" s="13" t="s">
        <v>5289</v>
      </c>
      <c r="L3248" s="13" t="n">
        <v>729238146570</v>
      </c>
      <c r="M3248" s="13"/>
      <c r="N3248" s="13" t="n">
        <v>729238146570</v>
      </c>
      <c r="O3248" s="13"/>
      <c r="P3248" s="13" t="s">
        <v>5297</v>
      </c>
      <c r="Q3248" s="13" t="s">
        <v>5289</v>
      </c>
      <c r="R3248" s="13" t="s">
        <v>5292</v>
      </c>
      <c r="S3248" s="13" t="s">
        <v>5293</v>
      </c>
      <c r="T3248" s="13" t="s">
        <v>5</v>
      </c>
      <c r="U3248" s="13" t="s">
        <v>43</v>
      </c>
      <c r="V3248" s="13" t="n">
        <f aca="false">IF(COUNTIF($B$2:B3248,B3248)=1,1,0)</f>
        <v>0</v>
      </c>
      <c r="W3248" s="13" t="n">
        <f aca="false">IF(COUNTIFS($B$2:B3248,B3248,$T$2:T3248,T3248)=1,1,0)</f>
        <v>0</v>
      </c>
    </row>
    <row r="3249" customFormat="false" ht="15" hidden="false" customHeight="false" outlineLevel="0" collapsed="false">
      <c r="A3249" s="13" t="s">
        <v>1601</v>
      </c>
      <c r="B3249" s="13" t="s">
        <v>42</v>
      </c>
      <c r="C3249" s="13" t="n">
        <v>590</v>
      </c>
      <c r="D3249" s="13" t="n">
        <v>1</v>
      </c>
      <c r="E3249" s="13" t="n">
        <v>590.59</v>
      </c>
      <c r="F3249" s="13" t="s">
        <v>5325</v>
      </c>
      <c r="G3249" s="13" t="s">
        <v>5289</v>
      </c>
      <c r="H3249" s="13" t="s">
        <v>5292</v>
      </c>
      <c r="I3249" s="13" t="s">
        <v>5289</v>
      </c>
      <c r="J3249" s="13" t="s">
        <v>5289</v>
      </c>
      <c r="K3249" s="13" t="s">
        <v>5289</v>
      </c>
      <c r="L3249" s="13" t="n">
        <v>8411061841631</v>
      </c>
      <c r="M3249" s="13"/>
      <c r="N3249" s="13" t="n">
        <v>8.41106104180284E+025</v>
      </c>
      <c r="O3249" s="13"/>
      <c r="P3249" s="13" t="s">
        <v>5291</v>
      </c>
      <c r="Q3249" s="13" t="s">
        <v>5289</v>
      </c>
      <c r="R3249" s="13" t="s">
        <v>5292</v>
      </c>
      <c r="S3249" s="13" t="s">
        <v>5293</v>
      </c>
      <c r="T3249" s="13" t="s">
        <v>5</v>
      </c>
      <c r="U3249" s="13" t="s">
        <v>43</v>
      </c>
      <c r="V3249" s="13" t="n">
        <f aca="false">IF(COUNTIF($B$2:B3249,B3249)=1,1,0)</f>
        <v>0</v>
      </c>
      <c r="W3249" s="13" t="n">
        <f aca="false">IF(COUNTIFS($B$2:B3249,B3249,$T$2:T3249,T3249)=1,1,0)</f>
        <v>0</v>
      </c>
    </row>
    <row r="3250" customFormat="false" ht="15" hidden="false" customHeight="false" outlineLevel="0" collapsed="false">
      <c r="A3250" s="13" t="s">
        <v>1602</v>
      </c>
      <c r="B3250" s="13" t="s">
        <v>54</v>
      </c>
      <c r="C3250" s="13" t="n">
        <v>590</v>
      </c>
      <c r="D3250" s="13" t="n">
        <v>2</v>
      </c>
      <c r="E3250" s="13" t="n">
        <v>294.74</v>
      </c>
      <c r="F3250" s="13" t="s">
        <v>5325</v>
      </c>
      <c r="G3250" s="13" t="s">
        <v>5289</v>
      </c>
      <c r="H3250" s="13" t="s">
        <v>5292</v>
      </c>
      <c r="I3250" s="13" t="s">
        <v>5289</v>
      </c>
      <c r="J3250" s="13" t="s">
        <v>5289</v>
      </c>
      <c r="K3250" s="13" t="s">
        <v>5289</v>
      </c>
      <c r="L3250" s="13" t="n">
        <v>729238154933</v>
      </c>
      <c r="M3250" s="13"/>
      <c r="N3250" s="13" t="n">
        <v>729238154933</v>
      </c>
      <c r="O3250" s="13"/>
      <c r="P3250" s="13" t="s">
        <v>5291</v>
      </c>
      <c r="Q3250" s="13" t="s">
        <v>5289</v>
      </c>
      <c r="R3250" s="13" t="s">
        <v>5292</v>
      </c>
      <c r="S3250" s="13" t="s">
        <v>5293</v>
      </c>
      <c r="T3250" s="13" t="s">
        <v>5</v>
      </c>
      <c r="U3250" s="13" t="s">
        <v>43</v>
      </c>
      <c r="V3250" s="13" t="n">
        <f aca="false">IF(COUNTIF($B$2:B3250,B3250)=1,1,0)</f>
        <v>0</v>
      </c>
      <c r="W3250" s="13" t="n">
        <f aca="false">IF(COUNTIFS($B$2:B3250,B3250,$T$2:T3250,T3250)=1,1,0)</f>
        <v>0</v>
      </c>
    </row>
    <row r="3251" customFormat="false" ht="15" hidden="false" customHeight="false" outlineLevel="0" collapsed="false">
      <c r="A3251" s="13" t="s">
        <v>1599</v>
      </c>
      <c r="B3251" s="13" t="s">
        <v>50</v>
      </c>
      <c r="C3251" s="13" t="n">
        <v>590</v>
      </c>
      <c r="D3251" s="13" t="n">
        <v>1</v>
      </c>
      <c r="E3251" s="13" t="n">
        <v>589</v>
      </c>
      <c r="F3251" s="13" t="s">
        <v>5288</v>
      </c>
      <c r="G3251" s="13" t="s">
        <v>5292</v>
      </c>
      <c r="H3251" s="13" t="s">
        <v>5292</v>
      </c>
      <c r="I3251" s="13" t="s">
        <v>5289</v>
      </c>
      <c r="J3251" s="13" t="s">
        <v>5289</v>
      </c>
      <c r="K3251" s="13" t="s">
        <v>5289</v>
      </c>
      <c r="L3251" s="13" t="n">
        <v>3349668566372</v>
      </c>
      <c r="M3251" s="13"/>
      <c r="N3251" s="13" t="n">
        <v>3349668566372</v>
      </c>
      <c r="O3251" s="13"/>
      <c r="P3251" s="13" t="s">
        <v>5291</v>
      </c>
      <c r="Q3251" s="13" t="s">
        <v>5289</v>
      </c>
      <c r="R3251" s="13" t="s">
        <v>5292</v>
      </c>
      <c r="S3251" s="13" t="s">
        <v>5293</v>
      </c>
      <c r="T3251" s="13" t="s">
        <v>5</v>
      </c>
      <c r="U3251" s="13" t="s">
        <v>43</v>
      </c>
      <c r="V3251" s="13" t="n">
        <f aca="false">IF(COUNTIF($B$2:B3251,B3251)=1,1,0)</f>
        <v>0</v>
      </c>
      <c r="W3251" s="13" t="n">
        <f aca="false">IF(COUNTIFS($B$2:B3251,B3251,$T$2:T3251,T3251)=1,1,0)</f>
        <v>0</v>
      </c>
    </row>
    <row r="3252" customFormat="false" ht="15" hidden="false" customHeight="false" outlineLevel="0" collapsed="false">
      <c r="A3252" s="13" t="s">
        <v>1603</v>
      </c>
      <c r="B3252" s="13" t="s">
        <v>45</v>
      </c>
      <c r="C3252" s="13" t="n">
        <v>590</v>
      </c>
      <c r="D3252" s="13" t="n">
        <v>1</v>
      </c>
      <c r="E3252" s="13" t="n">
        <v>589</v>
      </c>
      <c r="F3252" s="13" t="s">
        <v>5325</v>
      </c>
      <c r="G3252" s="13" t="s">
        <v>5289</v>
      </c>
      <c r="H3252" s="13" t="s">
        <v>5292</v>
      </c>
      <c r="I3252" s="13" t="s">
        <v>5289</v>
      </c>
      <c r="J3252" s="13" t="s">
        <v>5289</v>
      </c>
      <c r="K3252" s="13" t="s">
        <v>5289</v>
      </c>
      <c r="L3252" s="13" t="n">
        <v>8435415059077</v>
      </c>
      <c r="M3252" s="13"/>
      <c r="N3252" s="13" t="n">
        <v>8.43541500637884E+025</v>
      </c>
      <c r="O3252" s="13"/>
      <c r="P3252" s="13" t="s">
        <v>5291</v>
      </c>
      <c r="Q3252" s="13" t="s">
        <v>5289</v>
      </c>
      <c r="R3252" s="13" t="s">
        <v>5292</v>
      </c>
      <c r="S3252" s="13" t="s">
        <v>5293</v>
      </c>
      <c r="T3252" s="13" t="s">
        <v>5</v>
      </c>
      <c r="U3252" s="13" t="s">
        <v>43</v>
      </c>
      <c r="V3252" s="13" t="n">
        <f aca="false">IF(COUNTIF($B$2:B3252,B3252)=1,1,0)</f>
        <v>0</v>
      </c>
      <c r="W3252" s="13" t="n">
        <f aca="false">IF(COUNTIFS($B$2:B3252,B3252,$T$2:T3252,T3252)=1,1,0)</f>
        <v>0</v>
      </c>
    </row>
    <row r="3253" customFormat="false" ht="15" hidden="false" customHeight="false" outlineLevel="0" collapsed="false">
      <c r="A3253" s="13" t="s">
        <v>1611</v>
      </c>
      <c r="B3253" s="13" t="s">
        <v>153</v>
      </c>
      <c r="C3253" s="13" t="n">
        <v>580</v>
      </c>
      <c r="D3253" s="13" t="n">
        <v>1</v>
      </c>
      <c r="E3253" s="13" t="n">
        <v>585</v>
      </c>
      <c r="F3253" s="13" t="s">
        <v>5288</v>
      </c>
      <c r="G3253" s="13" t="s">
        <v>5292</v>
      </c>
      <c r="H3253" s="13" t="s">
        <v>5289</v>
      </c>
      <c r="I3253" s="13" t="s">
        <v>5289</v>
      </c>
      <c r="J3253" s="13" t="s">
        <v>5289</v>
      </c>
      <c r="K3253" s="13" t="s">
        <v>5289</v>
      </c>
      <c r="L3253" s="13" t="n">
        <v>8011003903146</v>
      </c>
      <c r="M3253" s="13"/>
      <c r="N3253" s="13" t="n">
        <v>8011003903146</v>
      </c>
      <c r="O3253" s="13"/>
      <c r="P3253" s="13" t="s">
        <v>5297</v>
      </c>
      <c r="Q3253" s="13" t="s">
        <v>5289</v>
      </c>
      <c r="R3253" s="13" t="s">
        <v>5292</v>
      </c>
      <c r="S3253" s="13" t="s">
        <v>5293</v>
      </c>
      <c r="T3253" s="13" t="s">
        <v>5</v>
      </c>
      <c r="U3253" s="13" t="s">
        <v>43</v>
      </c>
      <c r="V3253" s="13" t="n">
        <f aca="false">IF(COUNTIF($B$2:B3253,B3253)=1,1,0)</f>
        <v>0</v>
      </c>
      <c r="W3253" s="13" t="n">
        <f aca="false">IF(COUNTIFS($B$2:B3253,B3253,$T$2:T3253,T3253)=1,1,0)</f>
        <v>0</v>
      </c>
    </row>
    <row r="3254" customFormat="false" ht="15" hidden="false" customHeight="false" outlineLevel="0" collapsed="false">
      <c r="A3254" s="13" t="s">
        <v>1447</v>
      </c>
      <c r="B3254" s="13" t="s">
        <v>286</v>
      </c>
      <c r="C3254" s="13" t="n">
        <v>580</v>
      </c>
      <c r="D3254" s="13" t="n">
        <v>2</v>
      </c>
      <c r="E3254" s="13" t="n">
        <v>291.84</v>
      </c>
      <c r="F3254" s="13" t="s">
        <v>5288</v>
      </c>
      <c r="G3254" s="13" t="s">
        <v>5289</v>
      </c>
      <c r="H3254" s="13" t="s">
        <v>5292</v>
      </c>
      <c r="I3254" s="13" t="s">
        <v>5289</v>
      </c>
      <c r="J3254" s="13" t="s">
        <v>5289</v>
      </c>
      <c r="K3254" s="13" t="s">
        <v>5289</v>
      </c>
      <c r="L3254" s="13" t="n">
        <v>6294015164152</v>
      </c>
      <c r="M3254" s="13"/>
      <c r="N3254" s="13" t="n">
        <v>6294015164152</v>
      </c>
      <c r="O3254" s="13"/>
      <c r="P3254" s="13" t="s">
        <v>5291</v>
      </c>
      <c r="Q3254" s="13" t="s">
        <v>5289</v>
      </c>
      <c r="R3254" s="13" t="s">
        <v>5292</v>
      </c>
      <c r="S3254" s="13" t="s">
        <v>5293</v>
      </c>
      <c r="T3254" s="13" t="s">
        <v>5</v>
      </c>
      <c r="U3254" s="13" t="s">
        <v>43</v>
      </c>
      <c r="V3254" s="13" t="n">
        <f aca="false">IF(COUNTIF($B$2:B3254,B3254)=1,1,0)</f>
        <v>0</v>
      </c>
      <c r="W3254" s="13" t="n">
        <f aca="false">IF(COUNTIFS($B$2:B3254,B3254,$T$2:T3254,T3254)=1,1,0)</f>
        <v>0</v>
      </c>
    </row>
    <row r="3255" customFormat="false" ht="15" hidden="false" customHeight="false" outlineLevel="0" collapsed="false">
      <c r="A3255" s="13" t="s">
        <v>3742</v>
      </c>
      <c r="B3255" s="13" t="s">
        <v>2103</v>
      </c>
      <c r="C3255" s="13" t="n">
        <v>580</v>
      </c>
      <c r="D3255" s="13" t="n">
        <v>5</v>
      </c>
      <c r="E3255" s="13" t="n">
        <v>72.78</v>
      </c>
      <c r="F3255" s="13" t="s">
        <v>5325</v>
      </c>
      <c r="G3255" s="13" t="s">
        <v>5289</v>
      </c>
      <c r="H3255" s="13" t="s">
        <v>5289</v>
      </c>
      <c r="I3255" s="13" t="s">
        <v>5292</v>
      </c>
      <c r="J3255" s="13" t="s">
        <v>5289</v>
      </c>
      <c r="K3255" s="13" t="s">
        <v>5289</v>
      </c>
      <c r="L3255" s="13" t="n">
        <v>309973212022</v>
      </c>
      <c r="M3255" s="13"/>
      <c r="N3255" s="13" t="n">
        <v>309973212022</v>
      </c>
      <c r="O3255" s="13"/>
      <c r="P3255" s="13" t="s">
        <v>5291</v>
      </c>
      <c r="Q3255" s="13" t="s">
        <v>5289</v>
      </c>
      <c r="R3255" s="13" t="s">
        <v>5292</v>
      </c>
      <c r="S3255" s="13" t="s">
        <v>5293</v>
      </c>
      <c r="T3255" s="13" t="s">
        <v>5</v>
      </c>
      <c r="U3255" s="13" t="s">
        <v>85</v>
      </c>
      <c r="V3255" s="13" t="n">
        <f aca="false">IF(COUNTIF($B$2:B3255,B3255)=1,1,0)</f>
        <v>0</v>
      </c>
      <c r="W3255" s="13" t="n">
        <f aca="false">IF(COUNTIFS($B$2:B3255,B3255,$T$2:T3255,T3255)=1,1,0)</f>
        <v>0</v>
      </c>
    </row>
    <row r="3256" customFormat="false" ht="15" hidden="false" customHeight="false" outlineLevel="0" collapsed="false">
      <c r="A3256" s="13" t="s">
        <v>1612</v>
      </c>
      <c r="B3256" s="13" t="s">
        <v>195</v>
      </c>
      <c r="C3256" s="13" t="n">
        <v>580</v>
      </c>
      <c r="D3256" s="13" t="n">
        <v>1</v>
      </c>
      <c r="E3256" s="13" t="n">
        <v>581.85</v>
      </c>
      <c r="F3256" s="13" t="s">
        <v>5288</v>
      </c>
      <c r="G3256" s="13" t="s">
        <v>5289</v>
      </c>
      <c r="H3256" s="13" t="s">
        <v>5289</v>
      </c>
      <c r="I3256" s="13" t="s">
        <v>5289</v>
      </c>
      <c r="J3256" s="13" t="s">
        <v>5289</v>
      </c>
      <c r="K3256" s="13" t="s">
        <v>5289</v>
      </c>
      <c r="L3256" s="13"/>
      <c r="M3256" s="13"/>
      <c r="N3256" s="13" t="n">
        <v>3614229829037</v>
      </c>
      <c r="O3256" s="13"/>
      <c r="P3256" s="13" t="s">
        <v>5291</v>
      </c>
      <c r="Q3256" s="13" t="s">
        <v>5289</v>
      </c>
      <c r="R3256" s="13" t="s">
        <v>5292</v>
      </c>
      <c r="S3256" s="13" t="s">
        <v>5293</v>
      </c>
      <c r="T3256" s="13" t="s">
        <v>5</v>
      </c>
      <c r="U3256" s="13" t="s">
        <v>43</v>
      </c>
      <c r="V3256" s="13" t="n">
        <f aca="false">IF(COUNTIF($B$2:B3256,B3256)=1,1,0)</f>
        <v>0</v>
      </c>
      <c r="W3256" s="13" t="n">
        <f aca="false">IF(COUNTIFS($B$2:B3256,B3256,$T$2:T3256,T3256)=1,1,0)</f>
        <v>0</v>
      </c>
    </row>
    <row r="3257" customFormat="false" ht="15" hidden="false" customHeight="false" outlineLevel="0" collapsed="false">
      <c r="A3257" s="13" t="s">
        <v>3383</v>
      </c>
      <c r="B3257" s="13" t="s">
        <v>2199</v>
      </c>
      <c r="C3257" s="13" t="n">
        <v>580</v>
      </c>
      <c r="D3257" s="13" t="n">
        <v>1</v>
      </c>
      <c r="E3257" s="13" t="n">
        <v>581.04</v>
      </c>
      <c r="F3257" s="13" t="s">
        <v>5325</v>
      </c>
      <c r="G3257" s="13" t="s">
        <v>5289</v>
      </c>
      <c r="H3257" s="13" t="s">
        <v>5292</v>
      </c>
      <c r="I3257" s="13" t="s">
        <v>5289</v>
      </c>
      <c r="J3257" s="13" t="s">
        <v>5289</v>
      </c>
      <c r="K3257" s="13" t="s">
        <v>5289</v>
      </c>
      <c r="L3257" s="13" t="n">
        <v>850049716321</v>
      </c>
      <c r="M3257" s="13"/>
      <c r="N3257" s="13" t="n">
        <v>850049716321</v>
      </c>
      <c r="O3257" s="13"/>
      <c r="P3257" s="13" t="s">
        <v>5291</v>
      </c>
      <c r="Q3257" s="13" t="s">
        <v>5289</v>
      </c>
      <c r="R3257" s="13" t="s">
        <v>5292</v>
      </c>
      <c r="S3257" s="13" t="s">
        <v>5293</v>
      </c>
      <c r="T3257" s="13" t="s">
        <v>5</v>
      </c>
      <c r="U3257" s="13" t="s">
        <v>43</v>
      </c>
      <c r="V3257" s="13" t="n">
        <f aca="false">IF(COUNTIF($B$2:B3257,B3257)=1,1,0)</f>
        <v>0</v>
      </c>
      <c r="W3257" s="13" t="n">
        <f aca="false">IF(COUNTIFS($B$2:B3257,B3257,$T$2:T3257,T3257)=1,1,0)</f>
        <v>0</v>
      </c>
    </row>
    <row r="3258" customFormat="false" ht="15" hidden="false" customHeight="false" outlineLevel="0" collapsed="false">
      <c r="A3258" s="13" t="s">
        <v>732</v>
      </c>
      <c r="B3258" s="13" t="s">
        <v>195</v>
      </c>
      <c r="C3258" s="13" t="n">
        <v>580</v>
      </c>
      <c r="D3258" s="13" t="n">
        <v>1</v>
      </c>
      <c r="E3258" s="13" t="n">
        <v>580</v>
      </c>
      <c r="F3258" s="13" t="s">
        <v>5325</v>
      </c>
      <c r="G3258" s="13" t="s">
        <v>5289</v>
      </c>
      <c r="H3258" s="13" t="s">
        <v>5289</v>
      </c>
      <c r="I3258" s="13" t="s">
        <v>5289</v>
      </c>
      <c r="J3258" s="13" t="s">
        <v>5289</v>
      </c>
      <c r="K3258" s="13" t="s">
        <v>5289</v>
      </c>
      <c r="L3258" s="13" t="n">
        <v>3616305271556</v>
      </c>
      <c r="M3258" s="13"/>
      <c r="N3258" s="13" t="n">
        <v>3616305271556</v>
      </c>
      <c r="O3258" s="13"/>
      <c r="P3258" s="13" t="s">
        <v>5291</v>
      </c>
      <c r="Q3258" s="13" t="s">
        <v>5289</v>
      </c>
      <c r="R3258" s="13" t="s">
        <v>5292</v>
      </c>
      <c r="S3258" s="13" t="s">
        <v>5293</v>
      </c>
      <c r="T3258" s="13" t="s">
        <v>5</v>
      </c>
      <c r="U3258" s="13" t="s">
        <v>43</v>
      </c>
      <c r="V3258" s="13" t="n">
        <f aca="false">IF(COUNTIF($B$2:B3258,B3258)=1,1,0)</f>
        <v>0</v>
      </c>
      <c r="W3258" s="13" t="n">
        <f aca="false">IF(COUNTIFS($B$2:B3258,B3258,$T$2:T3258,T3258)=1,1,0)</f>
        <v>0</v>
      </c>
    </row>
    <row r="3259" customFormat="false" ht="15" hidden="false" customHeight="false" outlineLevel="0" collapsed="false">
      <c r="A3259" s="13" t="s">
        <v>196</v>
      </c>
      <c r="B3259" s="13" t="s">
        <v>195</v>
      </c>
      <c r="C3259" s="13" t="n">
        <v>580</v>
      </c>
      <c r="D3259" s="13" t="n">
        <v>1</v>
      </c>
      <c r="E3259" s="13" t="n">
        <v>580</v>
      </c>
      <c r="F3259" s="13" t="s">
        <v>5288</v>
      </c>
      <c r="G3259" s="13" t="s">
        <v>5289</v>
      </c>
      <c r="H3259" s="13" t="s">
        <v>5292</v>
      </c>
      <c r="I3259" s="13" t="s">
        <v>5289</v>
      </c>
      <c r="J3259" s="13" t="s">
        <v>5289</v>
      </c>
      <c r="K3259" s="13" t="s">
        <v>5289</v>
      </c>
      <c r="L3259" s="13"/>
      <c r="M3259" s="13"/>
      <c r="N3259" s="13" t="n">
        <v>3616302020652</v>
      </c>
      <c r="O3259" s="13"/>
      <c r="P3259" s="13" t="s">
        <v>5291</v>
      </c>
      <c r="Q3259" s="13" t="s">
        <v>5289</v>
      </c>
      <c r="R3259" s="13" t="s">
        <v>5292</v>
      </c>
      <c r="S3259" s="13" t="s">
        <v>5293</v>
      </c>
      <c r="T3259" s="13" t="s">
        <v>5</v>
      </c>
      <c r="U3259" s="13" t="s">
        <v>43</v>
      </c>
      <c r="V3259" s="13" t="n">
        <f aca="false">IF(COUNTIF($B$2:B3259,B3259)=1,1,0)</f>
        <v>0</v>
      </c>
      <c r="W3259" s="13" t="n">
        <f aca="false">IF(COUNTIFS($B$2:B3259,B3259,$T$2:T3259,T3259)=1,1,0)</f>
        <v>0</v>
      </c>
    </row>
    <row r="3260" customFormat="false" ht="15" hidden="false" customHeight="false" outlineLevel="0" collapsed="false">
      <c r="A3260" s="13" t="s">
        <v>847</v>
      </c>
      <c r="B3260" s="13" t="s">
        <v>42</v>
      </c>
      <c r="C3260" s="13" t="n">
        <v>580</v>
      </c>
      <c r="D3260" s="13" t="n">
        <v>1</v>
      </c>
      <c r="E3260" s="13" t="n">
        <v>578.85</v>
      </c>
      <c r="F3260" s="13" t="s">
        <v>5325</v>
      </c>
      <c r="G3260" s="13" t="s">
        <v>5289</v>
      </c>
      <c r="H3260" s="13" t="s">
        <v>5292</v>
      </c>
      <c r="I3260" s="13" t="s">
        <v>5289</v>
      </c>
      <c r="J3260" s="13" t="s">
        <v>5289</v>
      </c>
      <c r="K3260" s="13" t="s">
        <v>5292</v>
      </c>
      <c r="L3260" s="13" t="n">
        <v>8411061083673</v>
      </c>
      <c r="M3260" s="13"/>
      <c r="N3260" s="13" t="n">
        <v>8411061083673</v>
      </c>
      <c r="O3260" s="13"/>
      <c r="P3260" s="13" t="s">
        <v>5291</v>
      </c>
      <c r="Q3260" s="13" t="s">
        <v>5289</v>
      </c>
      <c r="R3260" s="13" t="s">
        <v>5292</v>
      </c>
      <c r="S3260" s="13" t="s">
        <v>5293</v>
      </c>
      <c r="T3260" s="13" t="s">
        <v>5</v>
      </c>
      <c r="U3260" s="13" t="s">
        <v>43</v>
      </c>
      <c r="V3260" s="13" t="n">
        <f aca="false">IF(COUNTIF($B$2:B3260,B3260)=1,1,0)</f>
        <v>0</v>
      </c>
      <c r="W3260" s="13" t="n">
        <f aca="false">IF(COUNTIFS($B$2:B3260,B3260,$T$2:T3260,T3260)=1,1,0)</f>
        <v>0</v>
      </c>
    </row>
    <row r="3261" customFormat="false" ht="15" hidden="false" customHeight="false" outlineLevel="0" collapsed="false">
      <c r="A3261" s="13" t="s">
        <v>1614</v>
      </c>
      <c r="B3261" s="13" t="s">
        <v>42</v>
      </c>
      <c r="C3261" s="13" t="n">
        <v>580</v>
      </c>
      <c r="D3261" s="13" t="n">
        <v>1</v>
      </c>
      <c r="E3261" s="13" t="n">
        <v>578.85</v>
      </c>
      <c r="F3261" s="13" t="s">
        <v>5325</v>
      </c>
      <c r="G3261" s="13" t="s">
        <v>5289</v>
      </c>
      <c r="H3261" s="13" t="s">
        <v>5289</v>
      </c>
      <c r="I3261" s="13" t="s">
        <v>5289</v>
      </c>
      <c r="J3261" s="13" t="s">
        <v>5289</v>
      </c>
      <c r="K3261" s="13" t="s">
        <v>5292</v>
      </c>
      <c r="L3261" s="13" t="n">
        <v>8411061106204</v>
      </c>
      <c r="M3261" s="13"/>
      <c r="N3261" s="13" t="n">
        <v>8411061106204</v>
      </c>
      <c r="O3261" s="13"/>
      <c r="P3261" s="13" t="s">
        <v>5291</v>
      </c>
      <c r="Q3261" s="13" t="s">
        <v>5289</v>
      </c>
      <c r="R3261" s="13" t="s">
        <v>5292</v>
      </c>
      <c r="S3261" s="13" t="s">
        <v>5293</v>
      </c>
      <c r="T3261" s="13" t="s">
        <v>5</v>
      </c>
      <c r="U3261" s="13" t="s">
        <v>43</v>
      </c>
      <c r="V3261" s="13" t="n">
        <f aca="false">IF(COUNTIF($B$2:B3261,B3261)=1,1,0)</f>
        <v>0</v>
      </c>
      <c r="W3261" s="13" t="n">
        <f aca="false">IF(COUNTIFS($B$2:B3261,B3261,$T$2:T3261,T3261)=1,1,0)</f>
        <v>0</v>
      </c>
    </row>
    <row r="3262" customFormat="false" ht="15" hidden="false" customHeight="false" outlineLevel="0" collapsed="false">
      <c r="A3262" s="13" t="s">
        <v>1613</v>
      </c>
      <c r="B3262" s="13" t="s">
        <v>42</v>
      </c>
      <c r="C3262" s="13" t="n">
        <v>580</v>
      </c>
      <c r="D3262" s="13" t="n">
        <v>2</v>
      </c>
      <c r="E3262" s="13" t="n">
        <v>288.85</v>
      </c>
      <c r="F3262" s="13" t="s">
        <v>5325</v>
      </c>
      <c r="G3262" s="13" t="s">
        <v>5292</v>
      </c>
      <c r="H3262" s="13" t="s">
        <v>5292</v>
      </c>
      <c r="I3262" s="13" t="s">
        <v>5289</v>
      </c>
      <c r="J3262" s="13" t="s">
        <v>5289</v>
      </c>
      <c r="K3262" s="13" t="s">
        <v>5292</v>
      </c>
      <c r="L3262" s="13" t="n">
        <v>8411061805879</v>
      </c>
      <c r="M3262" s="13"/>
      <c r="N3262" s="13" t="n">
        <v>8411061805879</v>
      </c>
      <c r="O3262" s="13"/>
      <c r="P3262" s="13" t="s">
        <v>5291</v>
      </c>
      <c r="Q3262" s="13" t="s">
        <v>5289</v>
      </c>
      <c r="R3262" s="13" t="s">
        <v>5292</v>
      </c>
      <c r="S3262" s="13" t="s">
        <v>5293</v>
      </c>
      <c r="T3262" s="13" t="s">
        <v>5</v>
      </c>
      <c r="U3262" s="13" t="s">
        <v>43</v>
      </c>
      <c r="V3262" s="13" t="n">
        <f aca="false">IF(COUNTIF($B$2:B3262,B3262)=1,1,0)</f>
        <v>0</v>
      </c>
      <c r="W3262" s="13" t="n">
        <f aca="false">IF(COUNTIFS($B$2:B3262,B3262,$T$2:T3262,T3262)=1,1,0)</f>
        <v>0</v>
      </c>
    </row>
    <row r="3263" customFormat="false" ht="15" hidden="false" customHeight="false" outlineLevel="0" collapsed="false">
      <c r="A3263" s="13" t="s">
        <v>4474</v>
      </c>
      <c r="B3263" s="13" t="s">
        <v>2145</v>
      </c>
      <c r="C3263" s="13" t="n">
        <v>580</v>
      </c>
      <c r="D3263" s="13" t="n">
        <v>2</v>
      </c>
      <c r="E3263" s="13" t="n">
        <v>288</v>
      </c>
      <c r="F3263" s="13" t="s">
        <v>5288</v>
      </c>
      <c r="G3263" s="13" t="s">
        <v>5289</v>
      </c>
      <c r="H3263" s="13" t="s">
        <v>5289</v>
      </c>
      <c r="I3263" s="13" t="s">
        <v>5289</v>
      </c>
      <c r="J3263" s="13" t="s">
        <v>5289</v>
      </c>
      <c r="K3263" s="13" t="s">
        <v>5289</v>
      </c>
      <c r="L3263" s="13" t="n">
        <v>4064941120209</v>
      </c>
      <c r="M3263" s="13"/>
      <c r="N3263" s="13" t="n">
        <v>4064941120209</v>
      </c>
      <c r="O3263" s="13"/>
      <c r="P3263" s="13" t="s">
        <v>5297</v>
      </c>
      <c r="Q3263" s="13" t="s">
        <v>5289</v>
      </c>
      <c r="R3263" s="13" t="s">
        <v>5292</v>
      </c>
      <c r="S3263" s="13" t="s">
        <v>5293</v>
      </c>
      <c r="T3263" s="13" t="s">
        <v>5</v>
      </c>
      <c r="U3263" s="13" t="s">
        <v>43</v>
      </c>
      <c r="V3263" s="13" t="n">
        <f aca="false">IF(COUNTIF($B$2:B3263,B3263)=1,1,0)</f>
        <v>0</v>
      </c>
      <c r="W3263" s="13" t="n">
        <f aca="false">IF(COUNTIFS($B$2:B3263,B3263,$T$2:T3263,T3263)=1,1,0)</f>
        <v>0</v>
      </c>
    </row>
    <row r="3264" customFormat="false" ht="15" hidden="false" customHeight="false" outlineLevel="0" collapsed="false">
      <c r="A3264" s="13" t="s">
        <v>663</v>
      </c>
      <c r="B3264" s="13" t="s">
        <v>165</v>
      </c>
      <c r="C3264" s="13" t="n">
        <v>570</v>
      </c>
      <c r="D3264" s="13" t="n">
        <v>1</v>
      </c>
      <c r="E3264" s="13" t="n">
        <v>572.3</v>
      </c>
      <c r="F3264" s="13" t="s">
        <v>5288</v>
      </c>
      <c r="G3264" s="13" t="s">
        <v>5289</v>
      </c>
      <c r="H3264" s="13" t="s">
        <v>5289</v>
      </c>
      <c r="I3264" s="13" t="s">
        <v>5289</v>
      </c>
      <c r="J3264" s="13" t="s">
        <v>5289</v>
      </c>
      <c r="K3264" s="13" t="s">
        <v>5289</v>
      </c>
      <c r="L3264" s="13" t="n">
        <v>3614273638869</v>
      </c>
      <c r="M3264" s="13"/>
      <c r="N3264" s="13" t="n">
        <v>3614273638869</v>
      </c>
      <c r="O3264" s="13"/>
      <c r="P3264" s="13" t="s">
        <v>5291</v>
      </c>
      <c r="Q3264" s="13" t="s">
        <v>5289</v>
      </c>
      <c r="R3264" s="13" t="s">
        <v>5292</v>
      </c>
      <c r="S3264" s="13" t="s">
        <v>5293</v>
      </c>
      <c r="T3264" s="13" t="s">
        <v>5</v>
      </c>
      <c r="U3264" s="13" t="s">
        <v>43</v>
      </c>
      <c r="V3264" s="13" t="n">
        <f aca="false">IF(COUNTIF($B$2:B3264,B3264)=1,1,0)</f>
        <v>0</v>
      </c>
      <c r="W3264" s="13" t="n">
        <f aca="false">IF(COUNTIFS($B$2:B3264,B3264,$T$2:T3264,T3264)=1,1,0)</f>
        <v>0</v>
      </c>
    </row>
    <row r="3265" customFormat="false" ht="15" hidden="false" customHeight="false" outlineLevel="0" collapsed="false">
      <c r="A3265" s="13" t="s">
        <v>1175</v>
      </c>
      <c r="B3265" s="13" t="s">
        <v>54</v>
      </c>
      <c r="C3265" s="13" t="n">
        <v>570</v>
      </c>
      <c r="D3265" s="13" t="n">
        <v>1</v>
      </c>
      <c r="E3265" s="13" t="n">
        <v>570.9</v>
      </c>
      <c r="F3265" s="13" t="s">
        <v>5325</v>
      </c>
      <c r="G3265" s="13" t="s">
        <v>5289</v>
      </c>
      <c r="H3265" s="13" t="s">
        <v>5289</v>
      </c>
      <c r="I3265" s="13" t="s">
        <v>5289</v>
      </c>
      <c r="J3265" s="13" t="s">
        <v>5289</v>
      </c>
      <c r="K3265" s="13" t="s">
        <v>5289</v>
      </c>
      <c r="L3265" s="13" t="n">
        <v>729238196476</v>
      </c>
      <c r="M3265" s="13"/>
      <c r="N3265" s="13" t="n">
        <v>729238196476</v>
      </c>
      <c r="O3265" s="13"/>
      <c r="P3265" s="13" t="s">
        <v>5291</v>
      </c>
      <c r="Q3265" s="13" t="s">
        <v>5289</v>
      </c>
      <c r="R3265" s="13" t="s">
        <v>5292</v>
      </c>
      <c r="S3265" s="13" t="s">
        <v>5293</v>
      </c>
      <c r="T3265" s="13" t="s">
        <v>5</v>
      </c>
      <c r="U3265" s="13" t="s">
        <v>43</v>
      </c>
      <c r="V3265" s="13" t="n">
        <f aca="false">IF(COUNTIF($B$2:B3265,B3265)=1,1,0)</f>
        <v>0</v>
      </c>
      <c r="W3265" s="13" t="n">
        <f aca="false">IF(COUNTIFS($B$2:B3265,B3265,$T$2:T3265,T3265)=1,1,0)</f>
        <v>0</v>
      </c>
    </row>
    <row r="3266" customFormat="false" ht="15" hidden="false" customHeight="false" outlineLevel="0" collapsed="false">
      <c r="A3266" s="13" t="s">
        <v>101</v>
      </c>
      <c r="B3266" s="13" t="s">
        <v>45</v>
      </c>
      <c r="C3266" s="13" t="n">
        <v>570</v>
      </c>
      <c r="D3266" s="13" t="n">
        <v>1</v>
      </c>
      <c r="E3266" s="13" t="n">
        <v>570</v>
      </c>
      <c r="F3266" s="13" t="s">
        <v>5288</v>
      </c>
      <c r="G3266" s="13" t="s">
        <v>5292</v>
      </c>
      <c r="H3266" s="13" t="s">
        <v>5289</v>
      </c>
      <c r="I3266" s="13" t="s">
        <v>5289</v>
      </c>
      <c r="J3266" s="13" t="s">
        <v>5289</v>
      </c>
      <c r="K3266" s="13" t="s">
        <v>5289</v>
      </c>
      <c r="L3266" s="13" t="n">
        <v>8435415012669</v>
      </c>
      <c r="M3266" s="13"/>
      <c r="N3266" s="13" t="n">
        <v>8435415012669</v>
      </c>
      <c r="O3266" s="13"/>
      <c r="P3266" s="13" t="s">
        <v>5297</v>
      </c>
      <c r="Q3266" s="13" t="s">
        <v>5289</v>
      </c>
      <c r="R3266" s="13" t="s">
        <v>5292</v>
      </c>
      <c r="S3266" s="13" t="s">
        <v>5293</v>
      </c>
      <c r="T3266" s="13" t="s">
        <v>5</v>
      </c>
      <c r="U3266" s="13" t="s">
        <v>43</v>
      </c>
      <c r="V3266" s="13" t="n">
        <f aca="false">IF(COUNTIF($B$2:B3266,B3266)=1,1,0)</f>
        <v>0</v>
      </c>
      <c r="W3266" s="13" t="n">
        <f aca="false">IF(COUNTIFS($B$2:B3266,B3266,$T$2:T3266,T3266)=1,1,0)</f>
        <v>0</v>
      </c>
    </row>
    <row r="3267" customFormat="false" ht="15" hidden="false" customHeight="false" outlineLevel="0" collapsed="false">
      <c r="A3267" s="13" t="s">
        <v>668</v>
      </c>
      <c r="B3267" s="13" t="s">
        <v>74</v>
      </c>
      <c r="C3267" s="13" t="n">
        <v>570</v>
      </c>
      <c r="D3267" s="13" t="n">
        <v>2</v>
      </c>
      <c r="E3267" s="13" t="n">
        <v>190</v>
      </c>
      <c r="F3267" s="13" t="s">
        <v>5325</v>
      </c>
      <c r="G3267" s="13" t="s">
        <v>5289</v>
      </c>
      <c r="H3267" s="13" t="s">
        <v>5289</v>
      </c>
      <c r="I3267" s="13" t="s">
        <v>5289</v>
      </c>
      <c r="J3267" s="13" t="s">
        <v>5289</v>
      </c>
      <c r="K3267" s="13" t="s">
        <v>5289</v>
      </c>
      <c r="L3267" s="13" t="n">
        <v>7640372090129</v>
      </c>
      <c r="M3267" s="13"/>
      <c r="N3267" s="13" t="n">
        <v>719346094665</v>
      </c>
      <c r="O3267" s="13"/>
      <c r="P3267" s="13" t="s">
        <v>5297</v>
      </c>
      <c r="Q3267" s="13" t="s">
        <v>5289</v>
      </c>
      <c r="R3267" s="13" t="s">
        <v>5292</v>
      </c>
      <c r="S3267" s="13" t="s">
        <v>5293</v>
      </c>
      <c r="T3267" s="13" t="s">
        <v>5</v>
      </c>
      <c r="U3267" s="13" t="s">
        <v>43</v>
      </c>
      <c r="V3267" s="13" t="n">
        <f aca="false">IF(COUNTIF($B$2:B3267,B3267)=1,1,0)</f>
        <v>0</v>
      </c>
      <c r="W3267" s="13" t="n">
        <f aca="false">IF(COUNTIFS($B$2:B3267,B3267,$T$2:T3267,T3267)=1,1,0)</f>
        <v>1</v>
      </c>
    </row>
    <row r="3268" customFormat="false" ht="15" hidden="false" customHeight="false" outlineLevel="0" collapsed="false">
      <c r="A3268" s="13" t="s">
        <v>1606</v>
      </c>
      <c r="B3268" s="13" t="s">
        <v>50</v>
      </c>
      <c r="C3268" s="13" t="n">
        <v>570</v>
      </c>
      <c r="D3268" s="13" t="n">
        <v>1</v>
      </c>
      <c r="E3268" s="13" t="n">
        <v>569.99</v>
      </c>
      <c r="F3268" s="13" t="s">
        <v>5325</v>
      </c>
      <c r="G3268" s="13" t="s">
        <v>5289</v>
      </c>
      <c r="H3268" s="13" t="s">
        <v>5289</v>
      </c>
      <c r="I3268" s="13" t="s">
        <v>5289</v>
      </c>
      <c r="J3268" s="13" t="s">
        <v>5289</v>
      </c>
      <c r="K3268" s="13" t="s">
        <v>5289</v>
      </c>
      <c r="L3268" s="13" t="n">
        <v>3349668579822</v>
      </c>
      <c r="M3268" s="13"/>
      <c r="N3268" s="13" t="n">
        <v>3349668579822</v>
      </c>
      <c r="O3268" s="13"/>
      <c r="P3268" s="13" t="s">
        <v>5297</v>
      </c>
      <c r="Q3268" s="13" t="s">
        <v>5289</v>
      </c>
      <c r="R3268" s="13" t="s">
        <v>5292</v>
      </c>
      <c r="S3268" s="13" t="s">
        <v>5293</v>
      </c>
      <c r="T3268" s="13" t="s">
        <v>5</v>
      </c>
      <c r="U3268" s="13" t="s">
        <v>43</v>
      </c>
      <c r="V3268" s="13" t="n">
        <f aca="false">IF(COUNTIF($B$2:B3268,B3268)=1,1,0)</f>
        <v>0</v>
      </c>
      <c r="W3268" s="13" t="n">
        <f aca="false">IF(COUNTIFS($B$2:B3268,B3268,$T$2:T3268,T3268)=1,1,0)</f>
        <v>0</v>
      </c>
    </row>
    <row r="3269" customFormat="false" ht="15" hidden="false" customHeight="false" outlineLevel="0" collapsed="false">
      <c r="A3269" s="13" t="s">
        <v>1471</v>
      </c>
      <c r="B3269" s="13" t="s">
        <v>124</v>
      </c>
      <c r="C3269" s="13" t="n">
        <v>570</v>
      </c>
      <c r="D3269" s="13" t="n">
        <v>1</v>
      </c>
      <c r="E3269" s="13" t="n">
        <v>569.86</v>
      </c>
      <c r="F3269" s="13" t="s">
        <v>5325</v>
      </c>
      <c r="G3269" s="13" t="s">
        <v>5289</v>
      </c>
      <c r="H3269" s="13" t="s">
        <v>5292</v>
      </c>
      <c r="I3269" s="13" t="s">
        <v>5289</v>
      </c>
      <c r="J3269" s="13" t="s">
        <v>5289</v>
      </c>
      <c r="K3269" s="13" t="s">
        <v>5289</v>
      </c>
      <c r="L3269" s="13" t="n">
        <v>3614273955416</v>
      </c>
      <c r="M3269" s="13"/>
      <c r="N3269" s="13" t="n">
        <v>3614273955416</v>
      </c>
      <c r="O3269" s="13"/>
      <c r="P3269" s="13" t="s">
        <v>5291</v>
      </c>
      <c r="Q3269" s="13" t="s">
        <v>5289</v>
      </c>
      <c r="R3269" s="13" t="s">
        <v>5292</v>
      </c>
      <c r="S3269" s="13" t="s">
        <v>5293</v>
      </c>
      <c r="T3269" s="13" t="s">
        <v>5</v>
      </c>
      <c r="U3269" s="13" t="s">
        <v>43</v>
      </c>
      <c r="V3269" s="13" t="n">
        <f aca="false">IF(COUNTIF($B$2:B3269,B3269)=1,1,0)</f>
        <v>0</v>
      </c>
      <c r="W3269" s="13" t="n">
        <f aca="false">IF(COUNTIFS($B$2:B3269,B3269,$T$2:T3269,T3269)=1,1,0)</f>
        <v>0</v>
      </c>
    </row>
    <row r="3270" customFormat="false" ht="15" hidden="false" customHeight="false" outlineLevel="0" collapsed="false">
      <c r="A3270" s="13" t="s">
        <v>1491</v>
      </c>
      <c r="B3270" s="13" t="s">
        <v>195</v>
      </c>
      <c r="C3270" s="13" t="n">
        <v>570</v>
      </c>
      <c r="D3270" s="13" t="n">
        <v>1</v>
      </c>
      <c r="E3270" s="13" t="n">
        <v>569</v>
      </c>
      <c r="F3270" s="13" t="s">
        <v>5288</v>
      </c>
      <c r="G3270" s="13" t="s">
        <v>5292</v>
      </c>
      <c r="H3270" s="13" t="s">
        <v>5292</v>
      </c>
      <c r="I3270" s="13" t="s">
        <v>5289</v>
      </c>
      <c r="J3270" s="13" t="s">
        <v>5289</v>
      </c>
      <c r="K3270" s="13" t="s">
        <v>5289</v>
      </c>
      <c r="L3270" s="13" t="n">
        <v>3616304061936</v>
      </c>
      <c r="M3270" s="13"/>
      <c r="N3270" s="13" t="n">
        <v>3616304061936</v>
      </c>
      <c r="O3270" s="13"/>
      <c r="P3270" s="13" t="s">
        <v>5297</v>
      </c>
      <c r="Q3270" s="13" t="s">
        <v>5289</v>
      </c>
      <c r="R3270" s="13" t="s">
        <v>5292</v>
      </c>
      <c r="S3270" s="13" t="s">
        <v>5293</v>
      </c>
      <c r="T3270" s="13" t="s">
        <v>5</v>
      </c>
      <c r="U3270" s="13" t="s">
        <v>43</v>
      </c>
      <c r="V3270" s="13" t="n">
        <f aca="false">IF(COUNTIF($B$2:B3270,B3270)=1,1,0)</f>
        <v>0</v>
      </c>
      <c r="W3270" s="13" t="n">
        <f aca="false">IF(COUNTIFS($B$2:B3270,B3270,$T$2:T3270,T3270)=1,1,0)</f>
        <v>0</v>
      </c>
    </row>
    <row r="3271" customFormat="false" ht="15" hidden="false" customHeight="false" outlineLevel="0" collapsed="false">
      <c r="A3271" s="13" t="s">
        <v>1617</v>
      </c>
      <c r="B3271" s="13" t="s">
        <v>186</v>
      </c>
      <c r="C3271" s="13" t="n">
        <v>570</v>
      </c>
      <c r="D3271" s="13" t="n">
        <v>2</v>
      </c>
      <c r="E3271" s="13" t="n">
        <v>284.24</v>
      </c>
      <c r="F3271" s="13" t="s">
        <v>5325</v>
      </c>
      <c r="G3271" s="13" t="s">
        <v>5289</v>
      </c>
      <c r="H3271" s="13" t="s">
        <v>5289</v>
      </c>
      <c r="I3271" s="13" t="s">
        <v>5289</v>
      </c>
      <c r="J3271" s="13" t="s">
        <v>5289</v>
      </c>
      <c r="K3271" s="13" t="s">
        <v>5289</v>
      </c>
      <c r="L3271" s="13" t="n">
        <v>3616303473402</v>
      </c>
      <c r="M3271" s="13"/>
      <c r="N3271" s="13" t="n">
        <v>3616303473402</v>
      </c>
      <c r="O3271" s="13"/>
      <c r="P3271" s="13" t="s">
        <v>5297</v>
      </c>
      <c r="Q3271" s="13" t="s">
        <v>5289</v>
      </c>
      <c r="R3271" s="13" t="s">
        <v>5292</v>
      </c>
      <c r="S3271" s="13" t="s">
        <v>5293</v>
      </c>
      <c r="T3271" s="13" t="s">
        <v>5</v>
      </c>
      <c r="U3271" s="13" t="s">
        <v>43</v>
      </c>
      <c r="V3271" s="13" t="n">
        <f aca="false">IF(COUNTIF($B$2:B3271,B3271)=1,1,0)</f>
        <v>0</v>
      </c>
      <c r="W3271" s="13" t="n">
        <f aca="false">IF(COUNTIFS($B$2:B3271,B3271,$T$2:T3271,T3271)=1,1,0)</f>
        <v>0</v>
      </c>
    </row>
    <row r="3272" customFormat="false" ht="15" hidden="false" customHeight="false" outlineLevel="0" collapsed="false">
      <c r="A3272" s="13" t="s">
        <v>1616</v>
      </c>
      <c r="B3272" s="13" t="s">
        <v>54</v>
      </c>
      <c r="C3272" s="13" t="n">
        <v>570</v>
      </c>
      <c r="D3272" s="13" t="n">
        <v>2</v>
      </c>
      <c r="E3272" s="13" t="n">
        <v>284.11</v>
      </c>
      <c r="F3272" s="13" t="s">
        <v>5325</v>
      </c>
      <c r="G3272" s="13" t="s">
        <v>5289</v>
      </c>
      <c r="H3272" s="13" t="s">
        <v>5289</v>
      </c>
      <c r="I3272" s="13" t="s">
        <v>5289</v>
      </c>
      <c r="J3272" s="13" t="s">
        <v>5289</v>
      </c>
      <c r="K3272" s="13" t="s">
        <v>5289</v>
      </c>
      <c r="L3272" s="13" t="n">
        <v>729238154964</v>
      </c>
      <c r="M3272" s="13"/>
      <c r="N3272" s="13" t="n">
        <v>729238154964</v>
      </c>
      <c r="O3272" s="13"/>
      <c r="P3272" s="13" t="s">
        <v>5297</v>
      </c>
      <c r="Q3272" s="13" t="s">
        <v>5289</v>
      </c>
      <c r="R3272" s="13" t="s">
        <v>5292</v>
      </c>
      <c r="S3272" s="13" t="s">
        <v>5293</v>
      </c>
      <c r="T3272" s="13" t="s">
        <v>5</v>
      </c>
      <c r="U3272" s="13" t="s">
        <v>43</v>
      </c>
      <c r="V3272" s="13" t="n">
        <f aca="false">IF(COUNTIF($B$2:B3272,B3272)=1,1,0)</f>
        <v>0</v>
      </c>
      <c r="W3272" s="13" t="n">
        <f aca="false">IF(COUNTIFS($B$2:B3272,B3272,$T$2:T3272,T3272)=1,1,0)</f>
        <v>0</v>
      </c>
    </row>
    <row r="3273" customFormat="false" ht="15" hidden="false" customHeight="false" outlineLevel="0" collapsed="false">
      <c r="A3273" s="13" t="s">
        <v>1615</v>
      </c>
      <c r="B3273" s="13" t="s">
        <v>153</v>
      </c>
      <c r="C3273" s="13" t="n">
        <v>570</v>
      </c>
      <c r="D3273" s="13" t="n">
        <v>2</v>
      </c>
      <c r="E3273" s="13" t="n">
        <v>284</v>
      </c>
      <c r="F3273" s="13" t="s">
        <v>5325</v>
      </c>
      <c r="G3273" s="13" t="s">
        <v>5289</v>
      </c>
      <c r="H3273" s="13" t="s">
        <v>5289</v>
      </c>
      <c r="I3273" s="13" t="s">
        <v>5289</v>
      </c>
      <c r="J3273" s="13" t="s">
        <v>5289</v>
      </c>
      <c r="K3273" s="13" t="s">
        <v>5289</v>
      </c>
      <c r="L3273" s="13"/>
      <c r="M3273" s="13"/>
      <c r="N3273" s="13" t="n">
        <v>8011003858538</v>
      </c>
      <c r="O3273" s="13"/>
      <c r="P3273" s="13" t="s">
        <v>5297</v>
      </c>
      <c r="Q3273" s="13" t="s">
        <v>5289</v>
      </c>
      <c r="R3273" s="13" t="s">
        <v>5292</v>
      </c>
      <c r="S3273" s="13" t="s">
        <v>5293</v>
      </c>
      <c r="T3273" s="13" t="s">
        <v>5</v>
      </c>
      <c r="U3273" s="13" t="s">
        <v>43</v>
      </c>
      <c r="V3273" s="13" t="n">
        <f aca="false">IF(COUNTIF($B$2:B3273,B3273)=1,1,0)</f>
        <v>0</v>
      </c>
      <c r="W3273" s="13" t="n">
        <f aca="false">IF(COUNTIFS($B$2:B3273,B3273,$T$2:T3273,T3273)=1,1,0)</f>
        <v>0</v>
      </c>
    </row>
    <row r="3274" customFormat="false" ht="15" hidden="false" customHeight="false" outlineLevel="0" collapsed="false">
      <c r="A3274" s="13" t="s">
        <v>4096</v>
      </c>
      <c r="B3274" s="13" t="s">
        <v>2164</v>
      </c>
      <c r="C3274" s="13" t="n">
        <v>570</v>
      </c>
      <c r="D3274" s="13" t="n">
        <v>5</v>
      </c>
      <c r="E3274" s="13" t="n">
        <v>113.4</v>
      </c>
      <c r="F3274" s="13" t="s">
        <v>5288</v>
      </c>
      <c r="G3274" s="13" t="s">
        <v>5292</v>
      </c>
      <c r="H3274" s="13" t="s">
        <v>5289</v>
      </c>
      <c r="I3274" s="13" t="s">
        <v>5289</v>
      </c>
      <c r="J3274" s="13" t="s">
        <v>5289</v>
      </c>
      <c r="K3274" s="13" t="s">
        <v>5289</v>
      </c>
      <c r="L3274" s="13"/>
      <c r="M3274" s="13"/>
      <c r="N3274" s="13" t="n">
        <v>3616305447166</v>
      </c>
      <c r="O3274" s="13"/>
      <c r="P3274" s="13" t="s">
        <v>5291</v>
      </c>
      <c r="Q3274" s="13" t="s">
        <v>5289</v>
      </c>
      <c r="R3274" s="13" t="s">
        <v>5292</v>
      </c>
      <c r="S3274" s="13" t="s">
        <v>5293</v>
      </c>
      <c r="T3274" s="13" t="s">
        <v>5</v>
      </c>
      <c r="U3274" s="13" t="s">
        <v>43</v>
      </c>
      <c r="V3274" s="13" t="n">
        <f aca="false">IF(COUNTIF($B$2:B3274,B3274)=1,1,0)</f>
        <v>0</v>
      </c>
      <c r="W3274" s="13" t="n">
        <f aca="false">IF(COUNTIFS($B$2:B3274,B3274,$T$2:T3274,T3274)=1,1,0)</f>
        <v>0</v>
      </c>
    </row>
    <row r="3275" customFormat="false" ht="15" hidden="false" customHeight="false" outlineLevel="0" collapsed="false">
      <c r="A3275" s="13" t="s">
        <v>1059</v>
      </c>
      <c r="B3275" s="13" t="s">
        <v>124</v>
      </c>
      <c r="C3275" s="13" t="n">
        <v>570</v>
      </c>
      <c r="D3275" s="13" t="n">
        <v>1</v>
      </c>
      <c r="E3275" s="13" t="n">
        <v>566.61</v>
      </c>
      <c r="F3275" s="13" t="s">
        <v>5325</v>
      </c>
      <c r="G3275" s="13" t="s">
        <v>5289</v>
      </c>
      <c r="H3275" s="13" t="s">
        <v>5292</v>
      </c>
      <c r="I3275" s="13" t="s">
        <v>5289</v>
      </c>
      <c r="J3275" s="13" t="s">
        <v>5289</v>
      </c>
      <c r="K3275" s="13" t="s">
        <v>5289</v>
      </c>
      <c r="L3275" s="13"/>
      <c r="M3275" s="13"/>
      <c r="N3275" s="13" t="n">
        <v>3614274219548</v>
      </c>
      <c r="O3275" s="13"/>
      <c r="P3275" s="13" t="s">
        <v>5291</v>
      </c>
      <c r="Q3275" s="13" t="s">
        <v>5289</v>
      </c>
      <c r="R3275" s="13" t="s">
        <v>5292</v>
      </c>
      <c r="S3275" s="13" t="s">
        <v>5293</v>
      </c>
      <c r="T3275" s="13" t="s">
        <v>5</v>
      </c>
      <c r="U3275" s="13" t="s">
        <v>43</v>
      </c>
      <c r="V3275" s="13" t="n">
        <f aca="false">IF(COUNTIF($B$2:B3275,B3275)=1,1,0)</f>
        <v>0</v>
      </c>
      <c r="W3275" s="13" t="n">
        <f aca="false">IF(COUNTIFS($B$2:B3275,B3275,$T$2:T3275,T3275)=1,1,0)</f>
        <v>0</v>
      </c>
    </row>
    <row r="3276" customFormat="false" ht="15" hidden="false" customHeight="false" outlineLevel="0" collapsed="false">
      <c r="A3276" s="13" t="s">
        <v>505</v>
      </c>
      <c r="B3276" s="13" t="s">
        <v>61</v>
      </c>
      <c r="C3276" s="13" t="n">
        <v>570</v>
      </c>
      <c r="D3276" s="13" t="n">
        <v>1</v>
      </c>
      <c r="E3276" s="13" t="n">
        <v>566.2</v>
      </c>
      <c r="F3276" s="13" t="s">
        <v>5288</v>
      </c>
      <c r="G3276" s="13" t="s">
        <v>5289</v>
      </c>
      <c r="H3276" s="13" t="s">
        <v>5292</v>
      </c>
      <c r="I3276" s="13" t="s">
        <v>5289</v>
      </c>
      <c r="J3276" s="13" t="s">
        <v>5289</v>
      </c>
      <c r="K3276" s="13" t="s">
        <v>5289</v>
      </c>
      <c r="L3276" s="13" t="n">
        <v>3605532612768</v>
      </c>
      <c r="M3276" s="13"/>
      <c r="N3276" s="13" t="n">
        <v>3605532612768</v>
      </c>
      <c r="O3276" s="13"/>
      <c r="P3276" s="13" t="s">
        <v>5291</v>
      </c>
      <c r="Q3276" s="13" t="s">
        <v>5289</v>
      </c>
      <c r="R3276" s="13" t="s">
        <v>5292</v>
      </c>
      <c r="S3276" s="13" t="s">
        <v>5293</v>
      </c>
      <c r="T3276" s="13" t="s">
        <v>5</v>
      </c>
      <c r="U3276" s="13" t="s">
        <v>43</v>
      </c>
      <c r="V3276" s="13" t="n">
        <f aca="false">IF(COUNTIF($B$2:B3276,B3276)=1,1,0)</f>
        <v>0</v>
      </c>
      <c r="W3276" s="13" t="n">
        <f aca="false">IF(COUNTIFS($B$2:B3276,B3276,$T$2:T3276,T3276)=1,1,0)</f>
        <v>0</v>
      </c>
    </row>
    <row r="3277" customFormat="false" ht="15" hidden="false" customHeight="false" outlineLevel="0" collapsed="false">
      <c r="A3277" s="13" t="s">
        <v>1623</v>
      </c>
      <c r="B3277" s="13" t="s">
        <v>177</v>
      </c>
      <c r="C3277" s="13" t="n">
        <v>560</v>
      </c>
      <c r="D3277" s="13" t="n">
        <v>1</v>
      </c>
      <c r="E3277" s="13" t="n">
        <v>565</v>
      </c>
      <c r="F3277" s="13" t="s">
        <v>5325</v>
      </c>
      <c r="G3277" s="13" t="s">
        <v>5289</v>
      </c>
      <c r="H3277" s="13" t="s">
        <v>5289</v>
      </c>
      <c r="I3277" s="13" t="s">
        <v>5289</v>
      </c>
      <c r="J3277" s="13" t="s">
        <v>5289</v>
      </c>
      <c r="K3277" s="13" t="s">
        <v>5289</v>
      </c>
      <c r="L3277" s="13" t="n">
        <v>8005610481043</v>
      </c>
      <c r="M3277" s="13"/>
      <c r="N3277" s="13" t="n">
        <v>8005610481043</v>
      </c>
      <c r="O3277" s="13"/>
      <c r="P3277" s="13" t="s">
        <v>5291</v>
      </c>
      <c r="Q3277" s="13" t="s">
        <v>5289</v>
      </c>
      <c r="R3277" s="13" t="s">
        <v>5292</v>
      </c>
      <c r="S3277" s="13" t="s">
        <v>5293</v>
      </c>
      <c r="T3277" s="13" t="s">
        <v>5</v>
      </c>
      <c r="U3277" s="13" t="s">
        <v>43</v>
      </c>
      <c r="V3277" s="13" t="n">
        <f aca="false">IF(COUNTIF($B$2:B3277,B3277)=1,1,0)</f>
        <v>0</v>
      </c>
      <c r="W3277" s="13" t="n">
        <f aca="false">IF(COUNTIFS($B$2:B3277,B3277,$T$2:T3277,T3277)=1,1,0)</f>
        <v>0</v>
      </c>
    </row>
    <row r="3278" customFormat="false" ht="15" hidden="false" customHeight="false" outlineLevel="0" collapsed="false">
      <c r="A3278" s="13" t="s">
        <v>4501</v>
      </c>
      <c r="B3278" s="13" t="s">
        <v>2192</v>
      </c>
      <c r="C3278" s="13" t="n">
        <v>560</v>
      </c>
      <c r="D3278" s="13" t="n">
        <v>2</v>
      </c>
      <c r="E3278" s="13" t="n">
        <v>188</v>
      </c>
      <c r="F3278" s="13" t="s">
        <v>5325</v>
      </c>
      <c r="G3278" s="13" t="s">
        <v>5292</v>
      </c>
      <c r="H3278" s="13" t="s">
        <v>5289</v>
      </c>
      <c r="I3278" s="13" t="s">
        <v>5289</v>
      </c>
      <c r="J3278" s="13" t="s">
        <v>5289</v>
      </c>
      <c r="K3278" s="13" t="s">
        <v>5289</v>
      </c>
      <c r="L3278" s="13" t="n">
        <v>7290011521103</v>
      </c>
      <c r="M3278" s="13"/>
      <c r="N3278" s="13" t="n">
        <v>7290011521103</v>
      </c>
      <c r="O3278" s="13"/>
      <c r="P3278" s="13" t="s">
        <v>5291</v>
      </c>
      <c r="Q3278" s="13" t="s">
        <v>5289</v>
      </c>
      <c r="R3278" s="13" t="s">
        <v>5292</v>
      </c>
      <c r="S3278" s="13" t="s">
        <v>5293</v>
      </c>
      <c r="T3278" s="13" t="s">
        <v>5</v>
      </c>
      <c r="U3278" s="13" t="s">
        <v>85</v>
      </c>
      <c r="V3278" s="13" t="n">
        <f aca="false">IF(COUNTIF($B$2:B3278,B3278)=1,1,0)</f>
        <v>0</v>
      </c>
      <c r="W3278" s="13" t="n">
        <f aca="false">IF(COUNTIFS($B$2:B3278,B3278,$T$2:T3278,T3278)=1,1,0)</f>
        <v>0</v>
      </c>
    </row>
    <row r="3279" customFormat="false" ht="15" hidden="false" customHeight="false" outlineLevel="0" collapsed="false">
      <c r="A3279" s="13" t="s">
        <v>4211</v>
      </c>
      <c r="B3279" s="13" t="s">
        <v>2103</v>
      </c>
      <c r="C3279" s="13" t="n">
        <v>560</v>
      </c>
      <c r="D3279" s="13" t="n">
        <v>5</v>
      </c>
      <c r="E3279" s="13" t="n">
        <v>62.64</v>
      </c>
      <c r="F3279" s="13" t="s">
        <v>5325</v>
      </c>
      <c r="G3279" s="13" t="s">
        <v>5289</v>
      </c>
      <c r="H3279" s="13" t="s">
        <v>5292</v>
      </c>
      <c r="I3279" s="13" t="s">
        <v>5292</v>
      </c>
      <c r="J3279" s="13" t="s">
        <v>5289</v>
      </c>
      <c r="K3279" s="13" t="s">
        <v>5292</v>
      </c>
      <c r="L3279" s="13" t="n">
        <v>309973978010</v>
      </c>
      <c r="M3279" s="13"/>
      <c r="N3279" s="13" t="n">
        <v>309973978010</v>
      </c>
      <c r="O3279" s="13"/>
      <c r="P3279" s="13" t="s">
        <v>5291</v>
      </c>
      <c r="Q3279" s="13" t="s">
        <v>5289</v>
      </c>
      <c r="R3279" s="13" t="s">
        <v>5292</v>
      </c>
      <c r="S3279" s="13" t="s">
        <v>5293</v>
      </c>
      <c r="T3279" s="13" t="s">
        <v>5</v>
      </c>
      <c r="U3279" s="13" t="s">
        <v>85</v>
      </c>
      <c r="V3279" s="13" t="n">
        <f aca="false">IF(COUNTIF($B$2:B3279,B3279)=1,1,0)</f>
        <v>0</v>
      </c>
      <c r="W3279" s="13" t="n">
        <f aca="false">IF(COUNTIFS($B$2:B3279,B3279,$T$2:T3279,T3279)=1,1,0)</f>
        <v>0</v>
      </c>
    </row>
    <row r="3280" customFormat="false" ht="15" hidden="false" customHeight="false" outlineLevel="0" collapsed="false">
      <c r="A3280" s="13" t="s">
        <v>1625</v>
      </c>
      <c r="B3280" s="13" t="s">
        <v>50</v>
      </c>
      <c r="C3280" s="13" t="n">
        <v>560</v>
      </c>
      <c r="D3280" s="13" t="n">
        <v>1</v>
      </c>
      <c r="E3280" s="13" t="n">
        <v>563</v>
      </c>
      <c r="F3280" s="13" t="s">
        <v>5325</v>
      </c>
      <c r="G3280" s="13" t="s">
        <v>5289</v>
      </c>
      <c r="H3280" s="13" t="s">
        <v>5289</v>
      </c>
      <c r="I3280" s="13" t="s">
        <v>5289</v>
      </c>
      <c r="J3280" s="13" t="s">
        <v>5289</v>
      </c>
      <c r="K3280" s="13" t="s">
        <v>5289</v>
      </c>
      <c r="L3280" s="13"/>
      <c r="M3280" s="13"/>
      <c r="N3280" s="13" t="n">
        <v>3349668614653</v>
      </c>
      <c r="O3280" s="13"/>
      <c r="P3280" s="13" t="s">
        <v>5291</v>
      </c>
      <c r="Q3280" s="13" t="s">
        <v>5289</v>
      </c>
      <c r="R3280" s="13" t="s">
        <v>5292</v>
      </c>
      <c r="S3280" s="13" t="s">
        <v>5293</v>
      </c>
      <c r="T3280" s="13" t="s">
        <v>5</v>
      </c>
      <c r="U3280" s="13" t="s">
        <v>43</v>
      </c>
      <c r="V3280" s="13" t="n">
        <f aca="false">IF(COUNTIF($B$2:B3280,B3280)=1,1,0)</f>
        <v>0</v>
      </c>
      <c r="W3280" s="13" t="n">
        <f aca="false">IF(COUNTIFS($B$2:B3280,B3280,$T$2:T3280,T3280)=1,1,0)</f>
        <v>0</v>
      </c>
    </row>
    <row r="3281" customFormat="false" ht="15" hidden="false" customHeight="false" outlineLevel="0" collapsed="false">
      <c r="A3281" s="13" t="s">
        <v>1624</v>
      </c>
      <c r="B3281" s="13" t="s">
        <v>302</v>
      </c>
      <c r="C3281" s="13" t="n">
        <v>560</v>
      </c>
      <c r="D3281" s="13" t="n">
        <v>1</v>
      </c>
      <c r="E3281" s="13" t="n">
        <v>560.66</v>
      </c>
      <c r="F3281" s="13" t="s">
        <v>5288</v>
      </c>
      <c r="G3281" s="13" t="s">
        <v>5292</v>
      </c>
      <c r="H3281" s="13" t="s">
        <v>5289</v>
      </c>
      <c r="I3281" s="13" t="s">
        <v>5289</v>
      </c>
      <c r="J3281" s="13" t="s">
        <v>5289</v>
      </c>
      <c r="K3281" s="13" t="s">
        <v>5289</v>
      </c>
      <c r="L3281" s="13"/>
      <c r="M3281" s="13"/>
      <c r="N3281" s="13" t="n">
        <v>3274872424982</v>
      </c>
      <c r="O3281" s="13"/>
      <c r="P3281" s="13" t="s">
        <v>5291</v>
      </c>
      <c r="Q3281" s="13" t="s">
        <v>5289</v>
      </c>
      <c r="R3281" s="13" t="s">
        <v>5292</v>
      </c>
      <c r="S3281" s="13" t="s">
        <v>5293</v>
      </c>
      <c r="T3281" s="13" t="s">
        <v>5</v>
      </c>
      <c r="U3281" s="13" t="s">
        <v>43</v>
      </c>
      <c r="V3281" s="13" t="n">
        <f aca="false">IF(COUNTIF($B$2:B3281,B3281)=1,1,0)</f>
        <v>0</v>
      </c>
      <c r="W3281" s="13" t="n">
        <f aca="false">IF(COUNTIFS($B$2:B3281,B3281,$T$2:T3281,T3281)=1,1,0)</f>
        <v>0</v>
      </c>
    </row>
    <row r="3282" customFormat="false" ht="15" hidden="false" customHeight="false" outlineLevel="0" collapsed="false">
      <c r="A3282" s="13" t="s">
        <v>212</v>
      </c>
      <c r="B3282" s="13" t="s">
        <v>61</v>
      </c>
      <c r="C3282" s="13" t="n">
        <v>560</v>
      </c>
      <c r="D3282" s="13" t="n">
        <v>1</v>
      </c>
      <c r="E3282" s="13" t="n">
        <v>559.08</v>
      </c>
      <c r="F3282" s="13" t="s">
        <v>5325</v>
      </c>
      <c r="G3282" s="13" t="s">
        <v>5289</v>
      </c>
      <c r="H3282" s="13" t="s">
        <v>5289</v>
      </c>
      <c r="I3282" s="13" t="s">
        <v>5289</v>
      </c>
      <c r="J3282" s="13" t="s">
        <v>5289</v>
      </c>
      <c r="K3282" s="13" t="s">
        <v>5289</v>
      </c>
      <c r="L3282" s="13" t="n">
        <v>3605533315163</v>
      </c>
      <c r="M3282" s="13"/>
      <c r="N3282" s="13" t="n">
        <v>3605533315163</v>
      </c>
      <c r="O3282" s="13"/>
      <c r="P3282" s="13" t="s">
        <v>5291</v>
      </c>
      <c r="Q3282" s="13" t="s">
        <v>5289</v>
      </c>
      <c r="R3282" s="13" t="s">
        <v>5292</v>
      </c>
      <c r="S3282" s="13" t="s">
        <v>5293</v>
      </c>
      <c r="T3282" s="13" t="s">
        <v>5</v>
      </c>
      <c r="U3282" s="13" t="s">
        <v>43</v>
      </c>
      <c r="V3282" s="13" t="n">
        <f aca="false">IF(COUNTIF($B$2:B3282,B3282)=1,1,0)</f>
        <v>0</v>
      </c>
      <c r="W3282" s="13" t="n">
        <f aca="false">IF(COUNTIFS($B$2:B3282,B3282,$T$2:T3282,T3282)=1,1,0)</f>
        <v>0</v>
      </c>
    </row>
    <row r="3283" customFormat="false" ht="15" hidden="false" customHeight="false" outlineLevel="0" collapsed="false">
      <c r="A3283" s="13" t="s">
        <v>1621</v>
      </c>
      <c r="B3283" s="13" t="s">
        <v>490</v>
      </c>
      <c r="C3283" s="13" t="n">
        <v>560</v>
      </c>
      <c r="D3283" s="13" t="n">
        <v>1</v>
      </c>
      <c r="E3283" s="13" t="n">
        <v>559</v>
      </c>
      <c r="F3283" s="13" t="s">
        <v>5325</v>
      </c>
      <c r="G3283" s="13" t="s">
        <v>5289</v>
      </c>
      <c r="H3283" s="13" t="s">
        <v>5292</v>
      </c>
      <c r="I3283" s="13" t="s">
        <v>5289</v>
      </c>
      <c r="J3283" s="13" t="s">
        <v>5289</v>
      </c>
      <c r="K3283" s="13" t="s">
        <v>5289</v>
      </c>
      <c r="L3283" s="13" t="n">
        <v>8011003839308</v>
      </c>
      <c r="M3283" s="13"/>
      <c r="N3283" s="13" t="n">
        <v>8011003839308</v>
      </c>
      <c r="O3283" s="13"/>
      <c r="P3283" s="13" t="s">
        <v>5291</v>
      </c>
      <c r="Q3283" s="13" t="s">
        <v>5289</v>
      </c>
      <c r="R3283" s="13" t="s">
        <v>5292</v>
      </c>
      <c r="S3283" s="13" t="s">
        <v>5293</v>
      </c>
      <c r="T3283" s="13" t="s">
        <v>5</v>
      </c>
      <c r="U3283" s="13" t="s">
        <v>43</v>
      </c>
      <c r="V3283" s="13" t="n">
        <f aca="false">IF(COUNTIF($B$2:B3283,B3283)=1,1,0)</f>
        <v>0</v>
      </c>
      <c r="W3283" s="13" t="n">
        <f aca="false">IF(COUNTIFS($B$2:B3283,B3283,$T$2:T3283,T3283)=1,1,0)</f>
        <v>0</v>
      </c>
    </row>
    <row r="3284" customFormat="false" ht="15" hidden="false" customHeight="false" outlineLevel="0" collapsed="false">
      <c r="A3284" s="13" t="s">
        <v>1622</v>
      </c>
      <c r="B3284" s="13" t="s">
        <v>195</v>
      </c>
      <c r="C3284" s="13" t="n">
        <v>560</v>
      </c>
      <c r="D3284" s="13" t="n">
        <v>1</v>
      </c>
      <c r="E3284" s="13" t="n">
        <v>557.86</v>
      </c>
      <c r="F3284" s="13" t="s">
        <v>5325</v>
      </c>
      <c r="G3284" s="13" t="s">
        <v>5289</v>
      </c>
      <c r="H3284" s="13" t="s">
        <v>5289</v>
      </c>
      <c r="I3284" s="13" t="s">
        <v>5289</v>
      </c>
      <c r="J3284" s="13" t="s">
        <v>5289</v>
      </c>
      <c r="K3284" s="13" t="s">
        <v>5289</v>
      </c>
      <c r="L3284" s="13" t="n">
        <v>3616305947277</v>
      </c>
      <c r="M3284" s="13"/>
      <c r="N3284" s="13" t="n">
        <v>3616305947277</v>
      </c>
      <c r="O3284" s="13"/>
      <c r="P3284" s="13" t="s">
        <v>5291</v>
      </c>
      <c r="Q3284" s="13" t="s">
        <v>5289</v>
      </c>
      <c r="R3284" s="13" t="s">
        <v>5292</v>
      </c>
      <c r="S3284" s="13" t="s">
        <v>5293</v>
      </c>
      <c r="T3284" s="13" t="s">
        <v>5</v>
      </c>
      <c r="U3284" s="13" t="s">
        <v>43</v>
      </c>
      <c r="V3284" s="13" t="n">
        <f aca="false">IF(COUNTIF($B$2:B3284,B3284)=1,1,0)</f>
        <v>0</v>
      </c>
      <c r="W3284" s="13" t="n">
        <f aca="false">IF(COUNTIFS($B$2:B3284,B3284,$T$2:T3284,T3284)=1,1,0)</f>
        <v>0</v>
      </c>
    </row>
    <row r="3285" customFormat="false" ht="15" hidden="false" customHeight="false" outlineLevel="0" collapsed="false">
      <c r="A3285" s="13" t="s">
        <v>2938</v>
      </c>
      <c r="B3285" s="13" t="s">
        <v>2111</v>
      </c>
      <c r="C3285" s="13" t="n">
        <v>560</v>
      </c>
      <c r="D3285" s="13" t="n">
        <v>1</v>
      </c>
      <c r="E3285" s="13" t="n">
        <v>557.75</v>
      </c>
      <c r="F3285" s="13" t="s">
        <v>5288</v>
      </c>
      <c r="G3285" s="13" t="s">
        <v>5292</v>
      </c>
      <c r="H3285" s="13" t="s">
        <v>5289</v>
      </c>
      <c r="I3285" s="13" t="s">
        <v>5289</v>
      </c>
      <c r="J3285" s="13" t="s">
        <v>5289</v>
      </c>
      <c r="K3285" s="13" t="s">
        <v>5289</v>
      </c>
      <c r="L3285" s="13"/>
      <c r="M3285" s="13"/>
      <c r="N3285" s="13" t="n">
        <v>3386460129879</v>
      </c>
      <c r="O3285" s="13"/>
      <c r="P3285" s="13" t="s">
        <v>5297</v>
      </c>
      <c r="Q3285" s="13" t="s">
        <v>5289</v>
      </c>
      <c r="R3285" s="13" t="s">
        <v>5292</v>
      </c>
      <c r="S3285" s="13" t="s">
        <v>5293</v>
      </c>
      <c r="T3285" s="13" t="s">
        <v>5</v>
      </c>
      <c r="U3285" s="13" t="s">
        <v>43</v>
      </c>
      <c r="V3285" s="13" t="n">
        <f aca="false">IF(COUNTIF($B$2:B3285,B3285)=1,1,0)</f>
        <v>0</v>
      </c>
      <c r="W3285" s="13" t="n">
        <f aca="false">IF(COUNTIFS($B$2:B3285,B3285,$T$2:T3285,T3285)=1,1,0)</f>
        <v>0</v>
      </c>
    </row>
    <row r="3286" customFormat="false" ht="15" hidden="false" customHeight="false" outlineLevel="0" collapsed="false">
      <c r="A3286" s="13" t="s">
        <v>1626</v>
      </c>
      <c r="B3286" s="13" t="s">
        <v>107</v>
      </c>
      <c r="C3286" s="13" t="n">
        <v>560</v>
      </c>
      <c r="D3286" s="13" t="n">
        <v>2</v>
      </c>
      <c r="E3286" s="13" t="n">
        <v>278.85</v>
      </c>
      <c r="F3286" s="13" t="s">
        <v>5288</v>
      </c>
      <c r="G3286" s="13" t="s">
        <v>5289</v>
      </c>
      <c r="H3286" s="13" t="s">
        <v>5289</v>
      </c>
      <c r="I3286" s="13" t="s">
        <v>5289</v>
      </c>
      <c r="J3286" s="13" t="s">
        <v>5289</v>
      </c>
      <c r="K3286" s="13" t="s">
        <v>5292</v>
      </c>
      <c r="L3286" s="13" t="n">
        <v>8005610531632</v>
      </c>
      <c r="M3286" s="13"/>
      <c r="N3286" s="13" t="n">
        <v>7.8962353537518E+025</v>
      </c>
      <c r="O3286" s="13"/>
      <c r="P3286" s="13" t="s">
        <v>5291</v>
      </c>
      <c r="Q3286" s="13" t="s">
        <v>5289</v>
      </c>
      <c r="R3286" s="13" t="s">
        <v>5292</v>
      </c>
      <c r="S3286" s="13" t="s">
        <v>5293</v>
      </c>
      <c r="T3286" s="13" t="s">
        <v>5</v>
      </c>
      <c r="U3286" s="13" t="s">
        <v>183</v>
      </c>
      <c r="V3286" s="13" t="n">
        <f aca="false">IF(COUNTIF($B$2:B3286,B3286)=1,1,0)</f>
        <v>0</v>
      </c>
      <c r="W3286" s="13" t="n">
        <f aca="false">IF(COUNTIFS($B$2:B3286,B3286,$T$2:T3286,T3286)=1,1,0)</f>
        <v>0</v>
      </c>
    </row>
    <row r="3287" customFormat="false" ht="15" hidden="false" customHeight="false" outlineLevel="0" collapsed="false">
      <c r="A3287" s="13" t="s">
        <v>1382</v>
      </c>
      <c r="B3287" s="13" t="s">
        <v>61</v>
      </c>
      <c r="C3287" s="13" t="n">
        <v>560</v>
      </c>
      <c r="D3287" s="13" t="n">
        <v>2</v>
      </c>
      <c r="E3287" s="13" t="n">
        <v>278</v>
      </c>
      <c r="F3287" s="13" t="s">
        <v>5325</v>
      </c>
      <c r="G3287" s="13" t="s">
        <v>5289</v>
      </c>
      <c r="H3287" s="13" t="s">
        <v>5289</v>
      </c>
      <c r="I3287" s="13" t="s">
        <v>5289</v>
      </c>
      <c r="J3287" s="13" t="s">
        <v>5289</v>
      </c>
      <c r="K3287" s="13" t="s">
        <v>5289</v>
      </c>
      <c r="L3287" s="13" t="n">
        <v>3614273436366</v>
      </c>
      <c r="M3287" s="13"/>
      <c r="N3287" s="13" t="n">
        <v>3614273436366</v>
      </c>
      <c r="O3287" s="13"/>
      <c r="P3287" s="13" t="s">
        <v>5291</v>
      </c>
      <c r="Q3287" s="13" t="s">
        <v>5289</v>
      </c>
      <c r="R3287" s="13" t="s">
        <v>5292</v>
      </c>
      <c r="S3287" s="13" t="s">
        <v>5293</v>
      </c>
      <c r="T3287" s="13" t="s">
        <v>5</v>
      </c>
      <c r="U3287" s="13" t="s">
        <v>43</v>
      </c>
      <c r="V3287" s="13" t="n">
        <f aca="false">IF(COUNTIF($B$2:B3287,B3287)=1,1,0)</f>
        <v>0</v>
      </c>
      <c r="W3287" s="13" t="n">
        <f aca="false">IF(COUNTIFS($B$2:B3287,B3287,$T$2:T3287,T3287)=1,1,0)</f>
        <v>0</v>
      </c>
    </row>
    <row r="3288" customFormat="false" ht="15" hidden="false" customHeight="false" outlineLevel="0" collapsed="false">
      <c r="A3288" s="13" t="s">
        <v>6374</v>
      </c>
      <c r="B3288" s="13" t="s">
        <v>2127</v>
      </c>
      <c r="C3288" s="13" t="n">
        <v>560</v>
      </c>
      <c r="D3288" s="13" t="n">
        <v>5</v>
      </c>
      <c r="E3288" s="13" t="n">
        <v>69.5</v>
      </c>
      <c r="F3288" s="13" t="s">
        <v>5325</v>
      </c>
      <c r="G3288" s="13" t="s">
        <v>5289</v>
      </c>
      <c r="H3288" s="13" t="s">
        <v>5289</v>
      </c>
      <c r="I3288" s="13" t="s">
        <v>5292</v>
      </c>
      <c r="J3288" s="13" t="s">
        <v>5289</v>
      </c>
      <c r="K3288" s="13" t="s">
        <v>5289</v>
      </c>
      <c r="L3288" s="13" t="n">
        <v>19045108084</v>
      </c>
      <c r="M3288" s="13"/>
      <c r="N3288" s="13" t="n">
        <v>19045108084</v>
      </c>
      <c r="O3288" s="13"/>
      <c r="P3288" s="13" t="s">
        <v>5291</v>
      </c>
      <c r="Q3288" s="13" t="s">
        <v>5289</v>
      </c>
      <c r="R3288" s="13" t="s">
        <v>5292</v>
      </c>
      <c r="S3288" s="13" t="s">
        <v>5293</v>
      </c>
      <c r="T3288" s="13" t="s">
        <v>5</v>
      </c>
      <c r="U3288" s="13" t="s">
        <v>85</v>
      </c>
      <c r="V3288" s="13" t="n">
        <f aca="false">IF(COUNTIF($B$2:B3288,B3288)=1,1,0)</f>
        <v>0</v>
      </c>
      <c r="W3288" s="13" t="n">
        <f aca="false">IF(COUNTIFS($B$2:B3288,B3288,$T$2:T3288,T3288)=1,1,0)</f>
        <v>0</v>
      </c>
    </row>
    <row r="3289" customFormat="false" ht="15" hidden="false" customHeight="false" outlineLevel="0" collapsed="false">
      <c r="A3289" s="13" t="s">
        <v>4506</v>
      </c>
      <c r="B3289" s="13" t="s">
        <v>2110</v>
      </c>
      <c r="C3289" s="13" t="n">
        <v>550</v>
      </c>
      <c r="D3289" s="13" t="n">
        <v>1</v>
      </c>
      <c r="E3289" s="13" t="n">
        <v>553.64</v>
      </c>
      <c r="F3289" s="13" t="s">
        <v>5325</v>
      </c>
      <c r="G3289" s="13" t="s">
        <v>5289</v>
      </c>
      <c r="H3289" s="13" t="s">
        <v>5289</v>
      </c>
      <c r="I3289" s="13" t="s">
        <v>5289</v>
      </c>
      <c r="J3289" s="13" t="s">
        <v>5289</v>
      </c>
      <c r="K3289" s="13" t="s">
        <v>5289</v>
      </c>
      <c r="L3289" s="13" t="n">
        <v>3386460149112</v>
      </c>
      <c r="M3289" s="13"/>
      <c r="N3289" s="13" t="n">
        <v>3386460149112</v>
      </c>
      <c r="O3289" s="13"/>
      <c r="P3289" s="13" t="s">
        <v>5297</v>
      </c>
      <c r="Q3289" s="13" t="s">
        <v>5289</v>
      </c>
      <c r="R3289" s="13" t="s">
        <v>5292</v>
      </c>
      <c r="S3289" s="13" t="s">
        <v>5293</v>
      </c>
      <c r="T3289" s="13" t="s">
        <v>5</v>
      </c>
      <c r="U3289" s="13" t="s">
        <v>43</v>
      </c>
      <c r="V3289" s="13" t="n">
        <f aca="false">IF(COUNTIF($B$2:B3289,B3289)=1,1,0)</f>
        <v>0</v>
      </c>
      <c r="W3289" s="13" t="n">
        <f aca="false">IF(COUNTIFS($B$2:B3289,B3289,$T$2:T3289,T3289)=1,1,0)</f>
        <v>0</v>
      </c>
    </row>
    <row r="3290" customFormat="false" ht="15" hidden="false" customHeight="false" outlineLevel="0" collapsed="false">
      <c r="A3290" s="13" t="s">
        <v>4508</v>
      </c>
      <c r="B3290" s="13" t="s">
        <v>2110</v>
      </c>
      <c r="C3290" s="13" t="n">
        <v>550</v>
      </c>
      <c r="D3290" s="13" t="n">
        <v>1</v>
      </c>
      <c r="E3290" s="13" t="n">
        <v>553.43</v>
      </c>
      <c r="F3290" s="13" t="s">
        <v>5325</v>
      </c>
      <c r="G3290" s="13" t="s">
        <v>5289</v>
      </c>
      <c r="H3290" s="13" t="s">
        <v>5289</v>
      </c>
      <c r="I3290" s="13" t="s">
        <v>5289</v>
      </c>
      <c r="J3290" s="13" t="s">
        <v>5289</v>
      </c>
      <c r="K3290" s="13" t="s">
        <v>5289</v>
      </c>
      <c r="L3290" s="13" t="n">
        <v>3386460149129</v>
      </c>
      <c r="M3290" s="13"/>
      <c r="N3290" s="13" t="n">
        <v>3386460149129</v>
      </c>
      <c r="O3290" s="13"/>
      <c r="P3290" s="13" t="s">
        <v>5291</v>
      </c>
      <c r="Q3290" s="13" t="s">
        <v>5289</v>
      </c>
      <c r="R3290" s="13" t="s">
        <v>5292</v>
      </c>
      <c r="S3290" s="13" t="s">
        <v>5293</v>
      </c>
      <c r="T3290" s="13" t="s">
        <v>5</v>
      </c>
      <c r="U3290" s="13" t="s">
        <v>43</v>
      </c>
      <c r="V3290" s="13" t="n">
        <f aca="false">IF(COUNTIF($B$2:B3290,B3290)=1,1,0)</f>
        <v>0</v>
      </c>
      <c r="W3290" s="13" t="n">
        <f aca="false">IF(COUNTIFS($B$2:B3290,B3290,$T$2:T3290,T3290)=1,1,0)</f>
        <v>0</v>
      </c>
    </row>
    <row r="3291" customFormat="false" ht="15" hidden="false" customHeight="false" outlineLevel="0" collapsed="false">
      <c r="A3291" s="13" t="s">
        <v>1633</v>
      </c>
      <c r="B3291" s="13" t="s">
        <v>54</v>
      </c>
      <c r="C3291" s="13" t="n">
        <v>550</v>
      </c>
      <c r="D3291" s="13" t="n">
        <v>2</v>
      </c>
      <c r="E3291" s="13" t="n">
        <v>138.135</v>
      </c>
      <c r="F3291" s="13" t="s">
        <v>5325</v>
      </c>
      <c r="G3291" s="13" t="s">
        <v>5289</v>
      </c>
      <c r="H3291" s="13" t="s">
        <v>5292</v>
      </c>
      <c r="I3291" s="13" t="s">
        <v>5289</v>
      </c>
      <c r="J3291" s="13" t="s">
        <v>5289</v>
      </c>
      <c r="K3291" s="13" t="s">
        <v>5292</v>
      </c>
      <c r="L3291" s="13" t="n">
        <v>729238154988</v>
      </c>
      <c r="M3291" s="13"/>
      <c r="N3291" s="13" t="n">
        <v>729238154988</v>
      </c>
      <c r="O3291" s="13"/>
      <c r="P3291" s="13" t="s">
        <v>5291</v>
      </c>
      <c r="Q3291" s="13" t="s">
        <v>5289</v>
      </c>
      <c r="R3291" s="13" t="s">
        <v>5292</v>
      </c>
      <c r="S3291" s="13" t="s">
        <v>5293</v>
      </c>
      <c r="T3291" s="13" t="s">
        <v>5</v>
      </c>
      <c r="U3291" s="13" t="s">
        <v>43</v>
      </c>
      <c r="V3291" s="13" t="n">
        <f aca="false">IF(COUNTIF($B$2:B3291,B3291)=1,1,0)</f>
        <v>0</v>
      </c>
      <c r="W3291" s="13" t="n">
        <f aca="false">IF(COUNTIFS($B$2:B3291,B3291,$T$2:T3291,T3291)=1,1,0)</f>
        <v>0</v>
      </c>
    </row>
    <row r="3292" customFormat="false" ht="15" hidden="false" customHeight="false" outlineLevel="0" collapsed="false">
      <c r="A3292" s="13" t="s">
        <v>888</v>
      </c>
      <c r="B3292" s="13" t="s">
        <v>45</v>
      </c>
      <c r="C3292" s="13" t="n">
        <v>550</v>
      </c>
      <c r="D3292" s="13" t="n">
        <v>1</v>
      </c>
      <c r="E3292" s="13" t="n">
        <v>551.08</v>
      </c>
      <c r="F3292" s="13" t="s">
        <v>5325</v>
      </c>
      <c r="G3292" s="13" t="s">
        <v>5289</v>
      </c>
      <c r="H3292" s="13" t="s">
        <v>5292</v>
      </c>
      <c r="I3292" s="13" t="s">
        <v>5289</v>
      </c>
      <c r="J3292" s="13" t="s">
        <v>5289</v>
      </c>
      <c r="K3292" s="13" t="s">
        <v>5289</v>
      </c>
      <c r="L3292" s="13" t="n">
        <v>8435415017190</v>
      </c>
      <c r="M3292" s="13"/>
      <c r="N3292" s="13" t="n">
        <v>8435415017190</v>
      </c>
      <c r="O3292" s="13"/>
      <c r="P3292" s="13" t="s">
        <v>5291</v>
      </c>
      <c r="Q3292" s="13" t="s">
        <v>5289</v>
      </c>
      <c r="R3292" s="13" t="s">
        <v>5292</v>
      </c>
      <c r="S3292" s="13" t="s">
        <v>5293</v>
      </c>
      <c r="T3292" s="13" t="s">
        <v>5</v>
      </c>
      <c r="U3292" s="13" t="s">
        <v>43</v>
      </c>
      <c r="V3292" s="13" t="n">
        <f aca="false">IF(COUNTIF($B$2:B3292,B3292)=1,1,0)</f>
        <v>0</v>
      </c>
      <c r="W3292" s="13" t="n">
        <f aca="false">IF(COUNTIFS($B$2:B3292,B3292,$T$2:T3292,T3292)=1,1,0)</f>
        <v>0</v>
      </c>
    </row>
    <row r="3293" customFormat="false" ht="15" hidden="false" customHeight="false" outlineLevel="0" collapsed="false">
      <c r="A3293" s="13" t="s">
        <v>1597</v>
      </c>
      <c r="B3293" s="13" t="s">
        <v>45</v>
      </c>
      <c r="C3293" s="13" t="n">
        <v>550</v>
      </c>
      <c r="D3293" s="13" t="n">
        <v>1</v>
      </c>
      <c r="E3293" s="13" t="n">
        <v>551.08</v>
      </c>
      <c r="F3293" s="13" t="s">
        <v>5325</v>
      </c>
      <c r="G3293" s="13" t="s">
        <v>5289</v>
      </c>
      <c r="H3293" s="13" t="s">
        <v>5289</v>
      </c>
      <c r="I3293" s="13" t="s">
        <v>5289</v>
      </c>
      <c r="J3293" s="13" t="s">
        <v>5289</v>
      </c>
      <c r="K3293" s="13" t="s">
        <v>5289</v>
      </c>
      <c r="L3293" s="13" t="n">
        <v>8435415017190</v>
      </c>
      <c r="M3293" s="13"/>
      <c r="N3293" s="13" t="n">
        <v>8435415017190</v>
      </c>
      <c r="O3293" s="13"/>
      <c r="P3293" s="13" t="s">
        <v>5291</v>
      </c>
      <c r="Q3293" s="13" t="s">
        <v>5289</v>
      </c>
      <c r="R3293" s="13" t="s">
        <v>5292</v>
      </c>
      <c r="S3293" s="13" t="s">
        <v>5293</v>
      </c>
      <c r="T3293" s="13" t="s">
        <v>5</v>
      </c>
      <c r="U3293" s="13" t="s">
        <v>43</v>
      </c>
      <c r="V3293" s="13" t="n">
        <f aca="false">IF(COUNTIF($B$2:B3293,B3293)=1,1,0)</f>
        <v>0</v>
      </c>
      <c r="W3293" s="13" t="n">
        <f aca="false">IF(COUNTIFS($B$2:B3293,B3293,$T$2:T3293,T3293)=1,1,0)</f>
        <v>0</v>
      </c>
    </row>
    <row r="3294" customFormat="false" ht="15" hidden="false" customHeight="false" outlineLevel="0" collapsed="false">
      <c r="A3294" s="13" t="s">
        <v>538</v>
      </c>
      <c r="B3294" s="13" t="s">
        <v>362</v>
      </c>
      <c r="C3294" s="13" t="n">
        <v>550</v>
      </c>
      <c r="D3294" s="13" t="n">
        <v>2</v>
      </c>
      <c r="E3294" s="13" t="n">
        <v>275</v>
      </c>
      <c r="F3294" s="13" t="s">
        <v>5288</v>
      </c>
      <c r="G3294" s="13" t="s">
        <v>5292</v>
      </c>
      <c r="H3294" s="13" t="s">
        <v>5289</v>
      </c>
      <c r="I3294" s="13" t="s">
        <v>5289</v>
      </c>
      <c r="J3294" s="13" t="s">
        <v>5289</v>
      </c>
      <c r="K3294" s="13" t="s">
        <v>5289</v>
      </c>
      <c r="L3294" s="13" t="n">
        <v>3386460113601</v>
      </c>
      <c r="M3294" s="13"/>
      <c r="N3294" s="13" t="n">
        <v>3386460113601</v>
      </c>
      <c r="O3294" s="13"/>
      <c r="P3294" s="13" t="s">
        <v>5297</v>
      </c>
      <c r="Q3294" s="13" t="s">
        <v>5289</v>
      </c>
      <c r="R3294" s="13" t="s">
        <v>5292</v>
      </c>
      <c r="S3294" s="13" t="s">
        <v>5293</v>
      </c>
      <c r="T3294" s="13" t="s">
        <v>5</v>
      </c>
      <c r="U3294" s="13" t="s">
        <v>43</v>
      </c>
      <c r="V3294" s="13" t="n">
        <f aca="false">IF(COUNTIF($B$2:B3294,B3294)=1,1,0)</f>
        <v>0</v>
      </c>
      <c r="W3294" s="13" t="n">
        <f aca="false">IF(COUNTIFS($B$2:B3294,B3294,$T$2:T3294,T3294)=1,1,0)</f>
        <v>0</v>
      </c>
    </row>
    <row r="3295" customFormat="false" ht="15" hidden="false" customHeight="false" outlineLevel="0" collapsed="false">
      <c r="A3295" s="13" t="s">
        <v>1163</v>
      </c>
      <c r="B3295" s="13" t="s">
        <v>103</v>
      </c>
      <c r="C3295" s="13" t="n">
        <v>550</v>
      </c>
      <c r="D3295" s="13" t="n">
        <v>2</v>
      </c>
      <c r="E3295" s="13" t="n">
        <v>183</v>
      </c>
      <c r="F3295" s="13" t="s">
        <v>5288</v>
      </c>
      <c r="G3295" s="13" t="s">
        <v>5292</v>
      </c>
      <c r="H3295" s="13" t="s">
        <v>5289</v>
      </c>
      <c r="I3295" s="13" t="s">
        <v>5289</v>
      </c>
      <c r="J3295" s="13" t="s">
        <v>5289</v>
      </c>
      <c r="K3295" s="13" t="s">
        <v>5289</v>
      </c>
      <c r="L3295" s="13"/>
      <c r="M3295" s="13"/>
      <c r="N3295" s="13" t="n">
        <v>8411061982105</v>
      </c>
      <c r="O3295" s="13"/>
      <c r="P3295" s="13" t="s">
        <v>5297</v>
      </c>
      <c r="Q3295" s="13" t="s">
        <v>5289</v>
      </c>
      <c r="R3295" s="13" t="s">
        <v>5292</v>
      </c>
      <c r="S3295" s="13" t="s">
        <v>5293</v>
      </c>
      <c r="T3295" s="13" t="s">
        <v>5</v>
      </c>
      <c r="U3295" s="13" t="s">
        <v>43</v>
      </c>
      <c r="V3295" s="13" t="n">
        <f aca="false">IF(COUNTIF($B$2:B3295,B3295)=1,1,0)</f>
        <v>0</v>
      </c>
      <c r="W3295" s="13" t="n">
        <f aca="false">IF(COUNTIFS($B$2:B3295,B3295,$T$2:T3295,T3295)=1,1,0)</f>
        <v>0</v>
      </c>
    </row>
    <row r="3296" customFormat="false" ht="15" hidden="false" customHeight="false" outlineLevel="0" collapsed="false">
      <c r="A3296" s="13" t="s">
        <v>370</v>
      </c>
      <c r="B3296" s="13" t="s">
        <v>124</v>
      </c>
      <c r="C3296" s="13" t="n">
        <v>550</v>
      </c>
      <c r="D3296" s="13" t="n">
        <v>1</v>
      </c>
      <c r="E3296" s="13" t="n">
        <v>549</v>
      </c>
      <c r="F3296" s="13" t="s">
        <v>5325</v>
      </c>
      <c r="G3296" s="13" t="s">
        <v>5289</v>
      </c>
      <c r="H3296" s="13" t="s">
        <v>5289</v>
      </c>
      <c r="I3296" s="13" t="s">
        <v>5289</v>
      </c>
      <c r="J3296" s="13" t="s">
        <v>5289</v>
      </c>
      <c r="K3296" s="13" t="s">
        <v>5289</v>
      </c>
      <c r="L3296" s="13" t="n">
        <v>3360372058861</v>
      </c>
      <c r="M3296" s="13"/>
      <c r="N3296" s="13" t="n">
        <v>3.36037205886136E+025</v>
      </c>
      <c r="O3296" s="13"/>
      <c r="P3296" s="13" t="s">
        <v>5291</v>
      </c>
      <c r="Q3296" s="13" t="s">
        <v>5289</v>
      </c>
      <c r="R3296" s="13" t="s">
        <v>5292</v>
      </c>
      <c r="S3296" s="13" t="s">
        <v>5293</v>
      </c>
      <c r="T3296" s="13" t="s">
        <v>5</v>
      </c>
      <c r="U3296" s="13" t="s">
        <v>43</v>
      </c>
      <c r="V3296" s="13" t="n">
        <f aca="false">IF(COUNTIF($B$2:B3296,B3296)=1,1,0)</f>
        <v>0</v>
      </c>
      <c r="W3296" s="13" t="n">
        <f aca="false">IF(COUNTIFS($B$2:B3296,B3296,$T$2:T3296,T3296)=1,1,0)</f>
        <v>0</v>
      </c>
    </row>
    <row r="3297" customFormat="false" ht="15" hidden="false" customHeight="false" outlineLevel="0" collapsed="false">
      <c r="A3297" s="13" t="s">
        <v>420</v>
      </c>
      <c r="B3297" s="13" t="s">
        <v>103</v>
      </c>
      <c r="C3297" s="13" t="n">
        <v>550</v>
      </c>
      <c r="D3297" s="13" t="n">
        <v>2</v>
      </c>
      <c r="E3297" s="13" t="n">
        <v>182.85</v>
      </c>
      <c r="F3297" s="13" t="s">
        <v>5288</v>
      </c>
      <c r="G3297" s="13" t="s">
        <v>5289</v>
      </c>
      <c r="H3297" s="13" t="s">
        <v>5289</v>
      </c>
      <c r="I3297" s="13" t="s">
        <v>5289</v>
      </c>
      <c r="J3297" s="13" t="s">
        <v>5289</v>
      </c>
      <c r="K3297" s="13" t="s">
        <v>5292</v>
      </c>
      <c r="L3297" s="13"/>
      <c r="M3297" s="13"/>
      <c r="N3297" s="13" t="n">
        <v>8.41106172793584E+025</v>
      </c>
      <c r="O3297" s="13"/>
      <c r="P3297" s="13" t="s">
        <v>5297</v>
      </c>
      <c r="Q3297" s="13" t="s">
        <v>5289</v>
      </c>
      <c r="R3297" s="13" t="s">
        <v>5292</v>
      </c>
      <c r="S3297" s="13" t="s">
        <v>5293</v>
      </c>
      <c r="T3297" s="13" t="s">
        <v>5</v>
      </c>
      <c r="U3297" s="13" t="s">
        <v>43</v>
      </c>
      <c r="V3297" s="13" t="n">
        <f aca="false">IF(COUNTIF($B$2:B3297,B3297)=1,1,0)</f>
        <v>0</v>
      </c>
      <c r="W3297" s="13" t="n">
        <f aca="false">IF(COUNTIFS($B$2:B3297,B3297,$T$2:T3297,T3297)=1,1,0)</f>
        <v>0</v>
      </c>
    </row>
    <row r="3298" customFormat="false" ht="15" hidden="false" customHeight="false" outlineLevel="0" collapsed="false">
      <c r="A3298" s="13" t="s">
        <v>347</v>
      </c>
      <c r="B3298" s="13" t="s">
        <v>69</v>
      </c>
      <c r="C3298" s="13" t="n">
        <v>550</v>
      </c>
      <c r="D3298" s="13" t="n">
        <v>1</v>
      </c>
      <c r="E3298" s="13" t="n">
        <v>545.1</v>
      </c>
      <c r="F3298" s="13" t="s">
        <v>5288</v>
      </c>
      <c r="G3298" s="13" t="s">
        <v>5292</v>
      </c>
      <c r="H3298" s="13" t="s">
        <v>5292</v>
      </c>
      <c r="I3298" s="13" t="s">
        <v>5289</v>
      </c>
      <c r="J3298" s="13" t="s">
        <v>5289</v>
      </c>
      <c r="K3298" s="13" t="s">
        <v>5289</v>
      </c>
      <c r="L3298" s="13"/>
      <c r="M3298" s="13"/>
      <c r="N3298" s="13" t="n">
        <v>3614272648401</v>
      </c>
      <c r="O3298" s="13"/>
      <c r="P3298" s="13" t="s">
        <v>5291</v>
      </c>
      <c r="Q3298" s="13" t="s">
        <v>5289</v>
      </c>
      <c r="R3298" s="13" t="s">
        <v>5292</v>
      </c>
      <c r="S3298" s="13" t="s">
        <v>5293</v>
      </c>
      <c r="T3298" s="13" t="s">
        <v>5</v>
      </c>
      <c r="U3298" s="13" t="s">
        <v>43</v>
      </c>
      <c r="V3298" s="13" t="n">
        <f aca="false">IF(COUNTIF($B$2:B3298,B3298)=1,1,0)</f>
        <v>0</v>
      </c>
      <c r="W3298" s="13" t="n">
        <f aca="false">IF(COUNTIFS($B$2:B3298,B3298,$T$2:T3298,T3298)=1,1,0)</f>
        <v>0</v>
      </c>
    </row>
    <row r="3299" customFormat="false" ht="15" hidden="false" customHeight="false" outlineLevel="0" collapsed="false">
      <c r="A3299" s="13" t="s">
        <v>794</v>
      </c>
      <c r="B3299" s="13" t="s">
        <v>124</v>
      </c>
      <c r="C3299" s="13" t="n">
        <v>540</v>
      </c>
      <c r="D3299" s="13" t="n">
        <v>1</v>
      </c>
      <c r="E3299" s="13" t="n">
        <v>543</v>
      </c>
      <c r="F3299" s="13" t="s">
        <v>5288</v>
      </c>
      <c r="G3299" s="13" t="s">
        <v>5289</v>
      </c>
      <c r="H3299" s="13" t="s">
        <v>5292</v>
      </c>
      <c r="I3299" s="13" t="s">
        <v>5289</v>
      </c>
      <c r="J3299" s="13" t="s">
        <v>5289</v>
      </c>
      <c r="K3299" s="13" t="s">
        <v>5289</v>
      </c>
      <c r="L3299" s="13" t="n">
        <v>3614274361322</v>
      </c>
      <c r="M3299" s="13"/>
      <c r="N3299" s="13" t="n">
        <v>3614274361322</v>
      </c>
      <c r="O3299" s="13"/>
      <c r="P3299" s="13" t="s">
        <v>5291</v>
      </c>
      <c r="Q3299" s="13" t="s">
        <v>5289</v>
      </c>
      <c r="R3299" s="13" t="s">
        <v>5292</v>
      </c>
      <c r="S3299" s="13" t="s">
        <v>5293</v>
      </c>
      <c r="T3299" s="13" t="s">
        <v>5</v>
      </c>
      <c r="U3299" s="13" t="s">
        <v>43</v>
      </c>
      <c r="V3299" s="13" t="n">
        <f aca="false">IF(COUNTIF($B$2:B3299,B3299)=1,1,0)</f>
        <v>0</v>
      </c>
      <c r="W3299" s="13" t="n">
        <f aca="false">IF(COUNTIFS($B$2:B3299,B3299,$T$2:T3299,T3299)=1,1,0)</f>
        <v>0</v>
      </c>
    </row>
    <row r="3300" customFormat="false" ht="15" hidden="false" customHeight="false" outlineLevel="0" collapsed="false">
      <c r="A3300" s="13" t="s">
        <v>1640</v>
      </c>
      <c r="B3300" s="13" t="s">
        <v>103</v>
      </c>
      <c r="C3300" s="13" t="n">
        <v>540</v>
      </c>
      <c r="D3300" s="13" t="n">
        <v>2</v>
      </c>
      <c r="E3300" s="13" t="n">
        <v>271.31</v>
      </c>
      <c r="F3300" s="13" t="s">
        <v>5325</v>
      </c>
      <c r="G3300" s="13" t="s">
        <v>5292</v>
      </c>
      <c r="H3300" s="13" t="s">
        <v>5289</v>
      </c>
      <c r="I3300" s="13" t="s">
        <v>5289</v>
      </c>
      <c r="J3300" s="13" t="s">
        <v>5289</v>
      </c>
      <c r="K3300" s="13" t="s">
        <v>5289</v>
      </c>
      <c r="L3300" s="13"/>
      <c r="M3300" s="13"/>
      <c r="N3300" s="13" t="n">
        <v>8411061083970</v>
      </c>
      <c r="O3300" s="13"/>
      <c r="P3300" s="13" t="s">
        <v>5291</v>
      </c>
      <c r="Q3300" s="13" t="s">
        <v>5289</v>
      </c>
      <c r="R3300" s="13" t="s">
        <v>5292</v>
      </c>
      <c r="S3300" s="13" t="s">
        <v>5293</v>
      </c>
      <c r="T3300" s="13" t="s">
        <v>5</v>
      </c>
      <c r="U3300" s="13" t="s">
        <v>43</v>
      </c>
      <c r="V3300" s="13" t="n">
        <f aca="false">IF(COUNTIF($B$2:B3300,B3300)=1,1,0)</f>
        <v>0</v>
      </c>
      <c r="W3300" s="13" t="n">
        <f aca="false">IF(COUNTIFS($B$2:B3300,B3300,$T$2:T3300,T3300)=1,1,0)</f>
        <v>0</v>
      </c>
    </row>
    <row r="3301" customFormat="false" ht="15" hidden="false" customHeight="false" outlineLevel="0" collapsed="false">
      <c r="A3301" s="13" t="s">
        <v>1641</v>
      </c>
      <c r="B3301" s="13" t="s">
        <v>61</v>
      </c>
      <c r="C3301" s="13" t="n">
        <v>540</v>
      </c>
      <c r="D3301" s="13" t="n">
        <v>2</v>
      </c>
      <c r="E3301" s="13" t="n">
        <v>271.02</v>
      </c>
      <c r="F3301" s="13" t="s">
        <v>5325</v>
      </c>
      <c r="G3301" s="13" t="s">
        <v>5289</v>
      </c>
      <c r="H3301" s="13" t="s">
        <v>5289</v>
      </c>
      <c r="I3301" s="13" t="s">
        <v>5289</v>
      </c>
      <c r="J3301" s="13" t="s">
        <v>5289</v>
      </c>
      <c r="K3301" s="13" t="s">
        <v>5289</v>
      </c>
      <c r="L3301" s="13" t="n">
        <v>3614272161788</v>
      </c>
      <c r="M3301" s="13"/>
      <c r="N3301" s="13" t="n">
        <v>3614272161788</v>
      </c>
      <c r="O3301" s="13"/>
      <c r="P3301" s="13" t="s">
        <v>5297</v>
      </c>
      <c r="Q3301" s="13" t="s">
        <v>5289</v>
      </c>
      <c r="R3301" s="13" t="s">
        <v>5292</v>
      </c>
      <c r="S3301" s="13" t="s">
        <v>5293</v>
      </c>
      <c r="T3301" s="13" t="s">
        <v>5</v>
      </c>
      <c r="U3301" s="13" t="s">
        <v>43</v>
      </c>
      <c r="V3301" s="13" t="n">
        <f aca="false">IF(COUNTIF($B$2:B3301,B3301)=1,1,0)</f>
        <v>0</v>
      </c>
      <c r="W3301" s="13" t="n">
        <f aca="false">IF(COUNTIFS($B$2:B3301,B3301,$T$2:T3301,T3301)=1,1,0)</f>
        <v>0</v>
      </c>
    </row>
    <row r="3302" customFormat="false" ht="15" hidden="false" customHeight="false" outlineLevel="0" collapsed="false">
      <c r="A3302" s="13" t="s">
        <v>1079</v>
      </c>
      <c r="B3302" s="13" t="s">
        <v>50</v>
      </c>
      <c r="C3302" s="13" t="n">
        <v>540</v>
      </c>
      <c r="D3302" s="13" t="n">
        <v>2</v>
      </c>
      <c r="E3302" s="13" t="n">
        <v>271</v>
      </c>
      <c r="F3302" s="13" t="s">
        <v>5325</v>
      </c>
      <c r="G3302" s="13" t="s">
        <v>5292</v>
      </c>
      <c r="H3302" s="13" t="s">
        <v>5289</v>
      </c>
      <c r="I3302" s="13" t="s">
        <v>5289</v>
      </c>
      <c r="J3302" s="13" t="s">
        <v>5289</v>
      </c>
      <c r="K3302" s="13" t="s">
        <v>5289</v>
      </c>
      <c r="L3302" s="13"/>
      <c r="M3302" s="13"/>
      <c r="N3302" s="13" t="n">
        <v>3349668614455</v>
      </c>
      <c r="O3302" s="13"/>
      <c r="P3302" s="13" t="s">
        <v>5291</v>
      </c>
      <c r="Q3302" s="13" t="s">
        <v>5289</v>
      </c>
      <c r="R3302" s="13" t="s">
        <v>5292</v>
      </c>
      <c r="S3302" s="13" t="s">
        <v>5293</v>
      </c>
      <c r="T3302" s="13" t="s">
        <v>5</v>
      </c>
      <c r="U3302" s="13" t="s">
        <v>43</v>
      </c>
      <c r="V3302" s="13" t="n">
        <f aca="false">IF(COUNTIF($B$2:B3302,B3302)=1,1,0)</f>
        <v>0</v>
      </c>
      <c r="W3302" s="13" t="n">
        <f aca="false">IF(COUNTIFS($B$2:B3302,B3302,$T$2:T3302,T3302)=1,1,0)</f>
        <v>0</v>
      </c>
    </row>
    <row r="3303" customFormat="false" ht="15" hidden="false" customHeight="false" outlineLevel="0" collapsed="false">
      <c r="A3303" s="13" t="s">
        <v>1004</v>
      </c>
      <c r="B3303" s="13" t="s">
        <v>50</v>
      </c>
      <c r="C3303" s="13" t="n">
        <v>540</v>
      </c>
      <c r="D3303" s="13" t="n">
        <v>1</v>
      </c>
      <c r="E3303" s="13" t="n">
        <v>542</v>
      </c>
      <c r="F3303" s="13" t="s">
        <v>5325</v>
      </c>
      <c r="G3303" s="13" t="s">
        <v>5289</v>
      </c>
      <c r="H3303" s="13" t="s">
        <v>5292</v>
      </c>
      <c r="I3303" s="13" t="s">
        <v>5289</v>
      </c>
      <c r="J3303" s="13" t="s">
        <v>5289</v>
      </c>
      <c r="K3303" s="13" t="s">
        <v>5289</v>
      </c>
      <c r="L3303" s="13"/>
      <c r="M3303" s="13"/>
      <c r="N3303" s="13" t="n">
        <v>3349668627462</v>
      </c>
      <c r="O3303" s="13"/>
      <c r="P3303" s="13" t="s">
        <v>5291</v>
      </c>
      <c r="Q3303" s="13" t="s">
        <v>5289</v>
      </c>
      <c r="R3303" s="13" t="s">
        <v>5292</v>
      </c>
      <c r="S3303" s="13" t="s">
        <v>5293</v>
      </c>
      <c r="T3303" s="13" t="s">
        <v>5</v>
      </c>
      <c r="U3303" s="13" t="s">
        <v>43</v>
      </c>
      <c r="V3303" s="13" t="n">
        <f aca="false">IF(COUNTIF($B$2:B3303,B3303)=1,1,0)</f>
        <v>0</v>
      </c>
      <c r="W3303" s="13" t="n">
        <f aca="false">IF(COUNTIFS($B$2:B3303,B3303,$T$2:T3303,T3303)=1,1,0)</f>
        <v>0</v>
      </c>
    </row>
    <row r="3304" customFormat="false" ht="15" hidden="false" customHeight="false" outlineLevel="0" collapsed="false">
      <c r="A3304" s="13" t="s">
        <v>1635</v>
      </c>
      <c r="B3304" s="13" t="s">
        <v>121</v>
      </c>
      <c r="C3304" s="13" t="n">
        <v>540</v>
      </c>
      <c r="D3304" s="13" t="n">
        <v>5</v>
      </c>
      <c r="E3304" s="13" t="n">
        <v>90.2366666666667</v>
      </c>
      <c r="F3304" s="13" t="s">
        <v>5288</v>
      </c>
      <c r="G3304" s="13" t="s">
        <v>5289</v>
      </c>
      <c r="H3304" s="13" t="s">
        <v>5292</v>
      </c>
      <c r="I3304" s="13" t="s">
        <v>5289</v>
      </c>
      <c r="J3304" s="13" t="s">
        <v>5289</v>
      </c>
      <c r="K3304" s="13" t="s">
        <v>5289</v>
      </c>
      <c r="L3304" s="13"/>
      <c r="M3304" s="13"/>
      <c r="N3304" s="13" t="n">
        <v>7896086934253</v>
      </c>
      <c r="O3304" s="13"/>
      <c r="P3304" s="13" t="s">
        <v>5291</v>
      </c>
      <c r="Q3304" s="13" t="s">
        <v>5289</v>
      </c>
      <c r="R3304" s="13" t="s">
        <v>5292</v>
      </c>
      <c r="S3304" s="13" t="s">
        <v>5293</v>
      </c>
      <c r="T3304" s="13" t="s">
        <v>5</v>
      </c>
      <c r="U3304" s="13" t="s">
        <v>183</v>
      </c>
      <c r="V3304" s="13" t="n">
        <f aca="false">IF(COUNTIF($B$2:B3304,B3304)=1,1,0)</f>
        <v>0</v>
      </c>
      <c r="W3304" s="13" t="n">
        <f aca="false">IF(COUNTIFS($B$2:B3304,B3304,$T$2:T3304,T3304)=1,1,0)</f>
        <v>0</v>
      </c>
    </row>
    <row r="3305" customFormat="false" ht="15" hidden="false" customHeight="false" outlineLevel="0" collapsed="false">
      <c r="A3305" s="13" t="s">
        <v>294</v>
      </c>
      <c r="B3305" s="13" t="s">
        <v>50</v>
      </c>
      <c r="C3305" s="13" t="n">
        <v>540</v>
      </c>
      <c r="D3305" s="13" t="n">
        <v>1</v>
      </c>
      <c r="E3305" s="13" t="n">
        <v>541</v>
      </c>
      <c r="F3305" s="13" t="s">
        <v>5288</v>
      </c>
      <c r="G3305" s="13" t="s">
        <v>5289</v>
      </c>
      <c r="H3305" s="13" t="s">
        <v>5289</v>
      </c>
      <c r="I3305" s="13" t="s">
        <v>5289</v>
      </c>
      <c r="J3305" s="13" t="s">
        <v>5289</v>
      </c>
      <c r="K3305" s="13" t="s">
        <v>5289</v>
      </c>
      <c r="L3305" s="13"/>
      <c r="M3305" s="13"/>
      <c r="N3305" s="13" t="n">
        <v>3349668641826</v>
      </c>
      <c r="O3305" s="13"/>
      <c r="P3305" s="13" t="s">
        <v>5291</v>
      </c>
      <c r="Q3305" s="13" t="s">
        <v>5289</v>
      </c>
      <c r="R3305" s="13" t="s">
        <v>5292</v>
      </c>
      <c r="S3305" s="13" t="s">
        <v>5293</v>
      </c>
      <c r="T3305" s="13" t="s">
        <v>5</v>
      </c>
      <c r="U3305" s="13" t="s">
        <v>43</v>
      </c>
      <c r="V3305" s="13" t="n">
        <f aca="false">IF(COUNTIF($B$2:B3305,B3305)=1,1,0)</f>
        <v>0</v>
      </c>
      <c r="W3305" s="13" t="n">
        <f aca="false">IF(COUNTIFS($B$2:B3305,B3305,$T$2:T3305,T3305)=1,1,0)</f>
        <v>0</v>
      </c>
    </row>
    <row r="3306" customFormat="false" ht="15" hidden="false" customHeight="false" outlineLevel="0" collapsed="false">
      <c r="A3306" s="13" t="s">
        <v>238</v>
      </c>
      <c r="B3306" s="13" t="s">
        <v>193</v>
      </c>
      <c r="C3306" s="13" t="n">
        <v>540</v>
      </c>
      <c r="D3306" s="13" t="n">
        <v>1</v>
      </c>
      <c r="E3306" s="13" t="n">
        <v>538.96</v>
      </c>
      <c r="F3306" s="13" t="s">
        <v>5325</v>
      </c>
      <c r="G3306" s="13" t="s">
        <v>5292</v>
      </c>
      <c r="H3306" s="13" t="s">
        <v>5289</v>
      </c>
      <c r="I3306" s="13" t="s">
        <v>5289</v>
      </c>
      <c r="J3306" s="13" t="s">
        <v>5289</v>
      </c>
      <c r="K3306" s="13" t="s">
        <v>5289</v>
      </c>
      <c r="L3306" s="13"/>
      <c r="M3306" s="13"/>
      <c r="N3306" s="13" t="n">
        <v>3605522040281</v>
      </c>
      <c r="O3306" s="13"/>
      <c r="P3306" s="13" t="s">
        <v>5291</v>
      </c>
      <c r="Q3306" s="13" t="s">
        <v>5289</v>
      </c>
      <c r="R3306" s="13" t="s">
        <v>5292</v>
      </c>
      <c r="S3306" s="13" t="s">
        <v>5293</v>
      </c>
      <c r="T3306" s="13" t="s">
        <v>5</v>
      </c>
      <c r="U3306" s="13" t="s">
        <v>43</v>
      </c>
      <c r="V3306" s="13" t="n">
        <f aca="false">IF(COUNTIF($B$2:B3306,B3306)=1,1,0)</f>
        <v>0</v>
      </c>
      <c r="W3306" s="13" t="n">
        <f aca="false">IF(COUNTIFS($B$2:B3306,B3306,$T$2:T3306,T3306)=1,1,0)</f>
        <v>0</v>
      </c>
    </row>
    <row r="3307" customFormat="false" ht="15" hidden="false" customHeight="false" outlineLevel="0" collapsed="false">
      <c r="A3307" s="13" t="s">
        <v>1636</v>
      </c>
      <c r="B3307" s="13" t="s">
        <v>107</v>
      </c>
      <c r="C3307" s="13" t="n">
        <v>540</v>
      </c>
      <c r="D3307" s="13" t="n">
        <v>2</v>
      </c>
      <c r="E3307" s="13" t="n">
        <v>179.516666666667</v>
      </c>
      <c r="F3307" s="13" t="s">
        <v>5288</v>
      </c>
      <c r="G3307" s="13" t="s">
        <v>5289</v>
      </c>
      <c r="H3307" s="13" t="s">
        <v>5289</v>
      </c>
      <c r="I3307" s="13" t="s">
        <v>5289</v>
      </c>
      <c r="J3307" s="13" t="s">
        <v>5289</v>
      </c>
      <c r="K3307" s="13" t="s">
        <v>5292</v>
      </c>
      <c r="L3307" s="13" t="n">
        <v>8005610578712</v>
      </c>
      <c r="M3307" s="13"/>
      <c r="N3307" s="13" t="n">
        <v>3614226404084</v>
      </c>
      <c r="O3307" s="13"/>
      <c r="P3307" s="13" t="s">
        <v>5291</v>
      </c>
      <c r="Q3307" s="13" t="s">
        <v>5289</v>
      </c>
      <c r="R3307" s="13" t="s">
        <v>5292</v>
      </c>
      <c r="S3307" s="13" t="s">
        <v>5293</v>
      </c>
      <c r="T3307" s="13" t="s">
        <v>5</v>
      </c>
      <c r="U3307" s="13" t="s">
        <v>43</v>
      </c>
      <c r="V3307" s="13" t="n">
        <f aca="false">IF(COUNTIF($B$2:B3307,B3307)=1,1,0)</f>
        <v>0</v>
      </c>
      <c r="W3307" s="13" t="n">
        <f aca="false">IF(COUNTIFS($B$2:B3307,B3307,$T$2:T3307,T3307)=1,1,0)</f>
        <v>0</v>
      </c>
    </row>
    <row r="3308" customFormat="false" ht="15" hidden="false" customHeight="false" outlineLevel="0" collapsed="false">
      <c r="A3308" s="13" t="s">
        <v>4515</v>
      </c>
      <c r="B3308" s="13" t="s">
        <v>2192</v>
      </c>
      <c r="C3308" s="13" t="n">
        <v>540</v>
      </c>
      <c r="D3308" s="13" t="n">
        <v>2</v>
      </c>
      <c r="E3308" s="13" t="n">
        <v>268.85</v>
      </c>
      <c r="F3308" s="13" t="s">
        <v>5325</v>
      </c>
      <c r="G3308" s="13" t="s">
        <v>5292</v>
      </c>
      <c r="H3308" s="13" t="s">
        <v>5292</v>
      </c>
      <c r="I3308" s="13" t="s">
        <v>5289</v>
      </c>
      <c r="J3308" s="13" t="s">
        <v>5289</v>
      </c>
      <c r="K3308" s="13" t="s">
        <v>5292</v>
      </c>
      <c r="L3308" s="13" t="n">
        <v>7290011521028</v>
      </c>
      <c r="M3308" s="13"/>
      <c r="N3308" s="13" t="n">
        <v>7290011521028</v>
      </c>
      <c r="O3308" s="13"/>
      <c r="P3308" s="13" t="s">
        <v>5297</v>
      </c>
      <c r="Q3308" s="13" t="s">
        <v>5289</v>
      </c>
      <c r="R3308" s="13" t="s">
        <v>5292</v>
      </c>
      <c r="S3308" s="13" t="s">
        <v>5293</v>
      </c>
      <c r="T3308" s="13" t="s">
        <v>5</v>
      </c>
      <c r="U3308" s="13" t="s">
        <v>183</v>
      </c>
      <c r="V3308" s="13" t="n">
        <f aca="false">IF(COUNTIF($B$2:B3308,B3308)=1,1,0)</f>
        <v>0</v>
      </c>
      <c r="W3308" s="13" t="n">
        <f aca="false">IF(COUNTIFS($B$2:B3308,B3308,$T$2:T3308,T3308)=1,1,0)</f>
        <v>0</v>
      </c>
    </row>
    <row r="3309" customFormat="false" ht="15" hidden="false" customHeight="false" outlineLevel="0" collapsed="false">
      <c r="A3309" s="13" t="s">
        <v>1637</v>
      </c>
      <c r="B3309" s="13" t="s">
        <v>61</v>
      </c>
      <c r="C3309" s="13" t="n">
        <v>540</v>
      </c>
      <c r="D3309" s="13" t="n">
        <v>1</v>
      </c>
      <c r="E3309" s="13" t="n">
        <v>537.25</v>
      </c>
      <c r="F3309" s="13" t="s">
        <v>5325</v>
      </c>
      <c r="G3309" s="13" t="s">
        <v>5289</v>
      </c>
      <c r="H3309" s="13" t="s">
        <v>5292</v>
      </c>
      <c r="I3309" s="13" t="s">
        <v>5289</v>
      </c>
      <c r="J3309" s="13" t="s">
        <v>5289</v>
      </c>
      <c r="K3309" s="13" t="s">
        <v>5289</v>
      </c>
      <c r="L3309" s="13" t="n">
        <v>3147758029406</v>
      </c>
      <c r="M3309" s="13"/>
      <c r="N3309" s="13" t="n">
        <v>3147758029406</v>
      </c>
      <c r="O3309" s="13"/>
      <c r="P3309" s="13" t="s">
        <v>5291</v>
      </c>
      <c r="Q3309" s="13" t="s">
        <v>5289</v>
      </c>
      <c r="R3309" s="13" t="s">
        <v>5292</v>
      </c>
      <c r="S3309" s="13" t="s">
        <v>5293</v>
      </c>
      <c r="T3309" s="13" t="s">
        <v>5</v>
      </c>
      <c r="U3309" s="13" t="s">
        <v>43</v>
      </c>
      <c r="V3309" s="13" t="n">
        <f aca="false">IF(COUNTIF($B$2:B3309,B3309)=1,1,0)</f>
        <v>0</v>
      </c>
      <c r="W3309" s="13" t="n">
        <f aca="false">IF(COUNTIFS($B$2:B3309,B3309,$T$2:T3309,T3309)=1,1,0)</f>
        <v>0</v>
      </c>
    </row>
    <row r="3310" customFormat="false" ht="15" hidden="false" customHeight="false" outlineLevel="0" collapsed="false">
      <c r="A3310" s="13" t="s">
        <v>528</v>
      </c>
      <c r="B3310" s="13" t="s">
        <v>195</v>
      </c>
      <c r="C3310" s="13" t="n">
        <v>540</v>
      </c>
      <c r="D3310" s="13" t="n">
        <v>1</v>
      </c>
      <c r="E3310" s="13" t="n">
        <v>537</v>
      </c>
      <c r="F3310" s="13" t="s">
        <v>5288</v>
      </c>
      <c r="G3310" s="13" t="s">
        <v>5289</v>
      </c>
      <c r="H3310" s="13" t="s">
        <v>5289</v>
      </c>
      <c r="I3310" s="13" t="s">
        <v>5289</v>
      </c>
      <c r="J3310" s="13" t="s">
        <v>5289</v>
      </c>
      <c r="K3310" s="13" t="s">
        <v>5289</v>
      </c>
      <c r="L3310" s="13" t="n">
        <v>3616305181053</v>
      </c>
      <c r="M3310" s="13"/>
      <c r="N3310" s="13" t="n">
        <v>3616305181053</v>
      </c>
      <c r="O3310" s="13"/>
      <c r="P3310" s="13" t="s">
        <v>5291</v>
      </c>
      <c r="Q3310" s="13" t="s">
        <v>5289</v>
      </c>
      <c r="R3310" s="13" t="s">
        <v>5292</v>
      </c>
      <c r="S3310" s="13" t="s">
        <v>5293</v>
      </c>
      <c r="T3310" s="13" t="s">
        <v>5</v>
      </c>
      <c r="U3310" s="13" t="s">
        <v>43</v>
      </c>
      <c r="V3310" s="13" t="n">
        <f aca="false">IF(COUNTIF($B$2:B3310,B3310)=1,1,0)</f>
        <v>0</v>
      </c>
      <c r="W3310" s="13" t="n">
        <f aca="false">IF(COUNTIFS($B$2:B3310,B3310,$T$2:T3310,T3310)=1,1,0)</f>
        <v>0</v>
      </c>
    </row>
    <row r="3311" customFormat="false" ht="15" hidden="false" customHeight="false" outlineLevel="0" collapsed="false">
      <c r="A3311" s="13" t="s">
        <v>1642</v>
      </c>
      <c r="B3311" s="13" t="s">
        <v>79</v>
      </c>
      <c r="C3311" s="13" t="n">
        <v>530</v>
      </c>
      <c r="D3311" s="13" t="n">
        <v>1</v>
      </c>
      <c r="E3311" s="13" t="n">
        <v>534</v>
      </c>
      <c r="F3311" s="13" t="s">
        <v>5325</v>
      </c>
      <c r="G3311" s="13" t="s">
        <v>5289</v>
      </c>
      <c r="H3311" s="13" t="s">
        <v>5289</v>
      </c>
      <c r="I3311" s="13" t="s">
        <v>5289</v>
      </c>
      <c r="J3311" s="13" t="s">
        <v>5289</v>
      </c>
      <c r="K3311" s="13" t="s">
        <v>5289</v>
      </c>
      <c r="L3311" s="13" t="n">
        <v>8057971181544</v>
      </c>
      <c r="M3311" s="13"/>
      <c r="N3311" s="13" t="n">
        <v>3.42347304945681E+025</v>
      </c>
      <c r="O3311" s="13"/>
      <c r="P3311" s="13" t="s">
        <v>5291</v>
      </c>
      <c r="Q3311" s="13" t="s">
        <v>5289</v>
      </c>
      <c r="R3311" s="13" t="s">
        <v>5292</v>
      </c>
      <c r="S3311" s="13" t="s">
        <v>5293</v>
      </c>
      <c r="T3311" s="13" t="s">
        <v>5</v>
      </c>
      <c r="U3311" s="13" t="s">
        <v>43</v>
      </c>
      <c r="V3311" s="13" t="n">
        <f aca="false">IF(COUNTIF($B$2:B3311,B3311)=1,1,0)</f>
        <v>0</v>
      </c>
      <c r="W3311" s="13" t="n">
        <f aca="false">IF(COUNTIFS($B$2:B3311,B3311,$T$2:T3311,T3311)=1,1,0)</f>
        <v>0</v>
      </c>
    </row>
    <row r="3312" customFormat="false" ht="15" hidden="false" customHeight="false" outlineLevel="0" collapsed="false">
      <c r="A3312" s="13" t="s">
        <v>4532</v>
      </c>
      <c r="B3312" s="13" t="s">
        <v>2192</v>
      </c>
      <c r="C3312" s="13" t="n">
        <v>530</v>
      </c>
      <c r="D3312" s="13" t="n">
        <v>2</v>
      </c>
      <c r="E3312" s="13" t="n">
        <v>266.77</v>
      </c>
      <c r="F3312" s="13" t="s">
        <v>5288</v>
      </c>
      <c r="G3312" s="13" t="s">
        <v>5292</v>
      </c>
      <c r="H3312" s="13" t="s">
        <v>5289</v>
      </c>
      <c r="I3312" s="13" t="s">
        <v>5289</v>
      </c>
      <c r="J3312" s="13" t="s">
        <v>5289</v>
      </c>
      <c r="K3312" s="13" t="s">
        <v>5292</v>
      </c>
      <c r="L3312" s="13" t="n">
        <v>7290013627216</v>
      </c>
      <c r="M3312" s="13"/>
      <c r="N3312" s="13" t="n">
        <v>7290013627216</v>
      </c>
      <c r="O3312" s="13"/>
      <c r="P3312" s="13" t="s">
        <v>5297</v>
      </c>
      <c r="Q3312" s="13" t="s">
        <v>5289</v>
      </c>
      <c r="R3312" s="13" t="s">
        <v>5292</v>
      </c>
      <c r="S3312" s="13" t="s">
        <v>5293</v>
      </c>
      <c r="T3312" s="13" t="s">
        <v>5</v>
      </c>
      <c r="U3312" s="13" t="s">
        <v>85</v>
      </c>
      <c r="V3312" s="13" t="n">
        <f aca="false">IF(COUNTIF($B$2:B3312,B3312)=1,1,0)</f>
        <v>0</v>
      </c>
      <c r="W3312" s="13" t="n">
        <f aca="false">IF(COUNTIFS($B$2:B3312,B3312,$T$2:T3312,T3312)=1,1,0)</f>
        <v>0</v>
      </c>
    </row>
    <row r="3313" customFormat="false" ht="15" hidden="false" customHeight="false" outlineLevel="0" collapsed="false">
      <c r="A3313" s="13" t="s">
        <v>6392</v>
      </c>
      <c r="B3313" s="13" t="s">
        <v>2110</v>
      </c>
      <c r="C3313" s="13" t="n">
        <v>530</v>
      </c>
      <c r="D3313" s="13" t="n">
        <v>1</v>
      </c>
      <c r="E3313" s="13" t="n">
        <v>533</v>
      </c>
      <c r="F3313" s="13" t="s">
        <v>5288</v>
      </c>
      <c r="G3313" s="13" t="s">
        <v>5289</v>
      </c>
      <c r="H3313" s="13" t="s">
        <v>5292</v>
      </c>
      <c r="I3313" s="13" t="s">
        <v>5289</v>
      </c>
      <c r="J3313" s="13" t="s">
        <v>5289</v>
      </c>
      <c r="K3313" s="13" t="s">
        <v>5289</v>
      </c>
      <c r="L3313" s="13" t="n">
        <v>3386460156875</v>
      </c>
      <c r="M3313" s="13"/>
      <c r="N3313" s="13" t="n">
        <v>3386460156875</v>
      </c>
      <c r="O3313" s="13"/>
      <c r="P3313" s="13" t="s">
        <v>5291</v>
      </c>
      <c r="Q3313" s="13" t="s">
        <v>5289</v>
      </c>
      <c r="R3313" s="13" t="s">
        <v>5292</v>
      </c>
      <c r="S3313" s="13" t="s">
        <v>5293</v>
      </c>
      <c r="T3313" s="13" t="s">
        <v>5</v>
      </c>
      <c r="U3313" s="13" t="s">
        <v>43</v>
      </c>
      <c r="V3313" s="13" t="n">
        <f aca="false">IF(COUNTIF($B$2:B3313,B3313)=1,1,0)</f>
        <v>0</v>
      </c>
      <c r="W3313" s="13" t="n">
        <f aca="false">IF(COUNTIFS($B$2:B3313,B3313,$T$2:T3313,T3313)=1,1,0)</f>
        <v>0</v>
      </c>
    </row>
    <row r="3314" customFormat="false" ht="15" hidden="false" customHeight="false" outlineLevel="0" collapsed="false">
      <c r="A3314" s="13" t="s">
        <v>1628</v>
      </c>
      <c r="B3314" s="13" t="s">
        <v>50</v>
      </c>
      <c r="C3314" s="13" t="n">
        <v>530</v>
      </c>
      <c r="D3314" s="13" t="n">
        <v>1</v>
      </c>
      <c r="E3314" s="13" t="n">
        <v>532.97</v>
      </c>
      <c r="F3314" s="13" t="s">
        <v>5325</v>
      </c>
      <c r="G3314" s="13" t="s">
        <v>5289</v>
      </c>
      <c r="H3314" s="13" t="s">
        <v>5289</v>
      </c>
      <c r="I3314" s="13" t="s">
        <v>5289</v>
      </c>
      <c r="J3314" s="13" t="s">
        <v>5289</v>
      </c>
      <c r="K3314" s="13" t="s">
        <v>5289</v>
      </c>
      <c r="L3314" s="13"/>
      <c r="M3314" s="13"/>
      <c r="N3314" s="13" t="n">
        <v>3349668641758</v>
      </c>
      <c r="O3314" s="13"/>
      <c r="P3314" s="13" t="s">
        <v>5291</v>
      </c>
      <c r="Q3314" s="13" t="s">
        <v>5289</v>
      </c>
      <c r="R3314" s="13" t="s">
        <v>5292</v>
      </c>
      <c r="S3314" s="13" t="s">
        <v>5293</v>
      </c>
      <c r="T3314" s="13" t="s">
        <v>5</v>
      </c>
      <c r="U3314" s="13" t="s">
        <v>43</v>
      </c>
      <c r="V3314" s="13" t="n">
        <f aca="false">IF(COUNTIF($B$2:B3314,B3314)=1,1,0)</f>
        <v>0</v>
      </c>
      <c r="W3314" s="13" t="n">
        <f aca="false">IF(COUNTIFS($B$2:B3314,B3314,$T$2:T3314,T3314)=1,1,0)</f>
        <v>0</v>
      </c>
    </row>
    <row r="3315" customFormat="false" ht="15" hidden="false" customHeight="false" outlineLevel="0" collapsed="false">
      <c r="A3315" s="13" t="s">
        <v>1017</v>
      </c>
      <c r="B3315" s="13" t="s">
        <v>50</v>
      </c>
      <c r="C3315" s="13" t="n">
        <v>530</v>
      </c>
      <c r="D3315" s="13" t="n">
        <v>1</v>
      </c>
      <c r="E3315" s="13" t="n">
        <v>532.97</v>
      </c>
      <c r="F3315" s="13" t="s">
        <v>5325</v>
      </c>
      <c r="G3315" s="13" t="s">
        <v>5289</v>
      </c>
      <c r="H3315" s="13" t="s">
        <v>5289</v>
      </c>
      <c r="I3315" s="13" t="s">
        <v>5289</v>
      </c>
      <c r="J3315" s="13" t="s">
        <v>5289</v>
      </c>
      <c r="K3315" s="13" t="s">
        <v>5289</v>
      </c>
      <c r="L3315" s="13" t="n">
        <v>3349668645220</v>
      </c>
      <c r="M3315" s="13"/>
      <c r="N3315" s="13" t="n">
        <v>3349668645220</v>
      </c>
      <c r="O3315" s="13"/>
      <c r="P3315" s="13" t="s">
        <v>5291</v>
      </c>
      <c r="Q3315" s="13" t="s">
        <v>5289</v>
      </c>
      <c r="R3315" s="13" t="s">
        <v>5292</v>
      </c>
      <c r="S3315" s="13" t="s">
        <v>5293</v>
      </c>
      <c r="T3315" s="13" t="s">
        <v>5</v>
      </c>
      <c r="U3315" s="13" t="s">
        <v>43</v>
      </c>
      <c r="V3315" s="13" t="n">
        <f aca="false">IF(COUNTIF($B$2:B3315,B3315)=1,1,0)</f>
        <v>0</v>
      </c>
      <c r="W3315" s="13" t="n">
        <f aca="false">IF(COUNTIFS($B$2:B3315,B3315,$T$2:T3315,T3315)=1,1,0)</f>
        <v>0</v>
      </c>
    </row>
    <row r="3316" customFormat="false" ht="15" hidden="false" customHeight="false" outlineLevel="0" collapsed="false">
      <c r="A3316" s="13" t="s">
        <v>1650</v>
      </c>
      <c r="B3316" s="13" t="s">
        <v>54</v>
      </c>
      <c r="C3316" s="13" t="n">
        <v>530</v>
      </c>
      <c r="D3316" s="13" t="n">
        <v>1</v>
      </c>
      <c r="E3316" s="13" t="n">
        <v>530.9</v>
      </c>
      <c r="F3316" s="13" t="s">
        <v>5288</v>
      </c>
      <c r="G3316" s="13" t="s">
        <v>5289</v>
      </c>
      <c r="H3316" s="13" t="s">
        <v>5289</v>
      </c>
      <c r="I3316" s="13" t="s">
        <v>5289</v>
      </c>
      <c r="J3316" s="13" t="s">
        <v>5289</v>
      </c>
      <c r="K3316" s="13" t="s">
        <v>5289</v>
      </c>
      <c r="L3316" s="13" t="n">
        <v>768614212324</v>
      </c>
      <c r="M3316" s="13"/>
      <c r="N3316" s="13" t="n">
        <v>768614212324</v>
      </c>
      <c r="O3316" s="13"/>
      <c r="P3316" s="13" t="s">
        <v>5297</v>
      </c>
      <c r="Q3316" s="13" t="s">
        <v>5289</v>
      </c>
      <c r="R3316" s="13" t="s">
        <v>5292</v>
      </c>
      <c r="S3316" s="13" t="s">
        <v>5293</v>
      </c>
      <c r="T3316" s="13" t="s">
        <v>5</v>
      </c>
      <c r="U3316" s="13" t="s">
        <v>43</v>
      </c>
      <c r="V3316" s="13" t="n">
        <f aca="false">IF(COUNTIF($B$2:B3316,B3316)=1,1,0)</f>
        <v>0</v>
      </c>
      <c r="W3316" s="13" t="n">
        <f aca="false">IF(COUNTIFS($B$2:B3316,B3316,$T$2:T3316,T3316)=1,1,0)</f>
        <v>0</v>
      </c>
    </row>
    <row r="3317" customFormat="false" ht="15" hidden="false" customHeight="false" outlineLevel="0" collapsed="false">
      <c r="A3317" s="13" t="s">
        <v>1649</v>
      </c>
      <c r="B3317" s="13" t="s">
        <v>54</v>
      </c>
      <c r="C3317" s="13" t="n">
        <v>530</v>
      </c>
      <c r="D3317" s="13" t="n">
        <v>1</v>
      </c>
      <c r="E3317" s="13" t="n">
        <v>528.85</v>
      </c>
      <c r="F3317" s="13" t="s">
        <v>5325</v>
      </c>
      <c r="G3317" s="13" t="s">
        <v>5292</v>
      </c>
      <c r="H3317" s="13" t="s">
        <v>5292</v>
      </c>
      <c r="I3317" s="13" t="s">
        <v>5289</v>
      </c>
      <c r="J3317" s="13" t="s">
        <v>5289</v>
      </c>
      <c r="K3317" s="13" t="s">
        <v>5292</v>
      </c>
      <c r="L3317" s="13" t="n">
        <v>729238181205</v>
      </c>
      <c r="M3317" s="13"/>
      <c r="N3317" s="13" t="n">
        <v>729238181205</v>
      </c>
      <c r="O3317" s="13"/>
      <c r="P3317" s="13" t="s">
        <v>5297</v>
      </c>
      <c r="Q3317" s="13" t="s">
        <v>5289</v>
      </c>
      <c r="R3317" s="13" t="s">
        <v>5292</v>
      </c>
      <c r="S3317" s="13" t="s">
        <v>5293</v>
      </c>
      <c r="T3317" s="13" t="s">
        <v>5</v>
      </c>
      <c r="U3317" s="13" t="s">
        <v>43</v>
      </c>
      <c r="V3317" s="13" t="n">
        <f aca="false">IF(COUNTIF($B$2:B3317,B3317)=1,1,0)</f>
        <v>0</v>
      </c>
      <c r="W3317" s="13" t="n">
        <f aca="false">IF(COUNTIFS($B$2:B3317,B3317,$T$2:T3317,T3317)=1,1,0)</f>
        <v>0</v>
      </c>
    </row>
    <row r="3318" customFormat="false" ht="15" hidden="false" customHeight="false" outlineLevel="0" collapsed="false">
      <c r="A3318" s="13" t="s">
        <v>1647</v>
      </c>
      <c r="B3318" s="13" t="s">
        <v>105</v>
      </c>
      <c r="C3318" s="13" t="n">
        <v>530</v>
      </c>
      <c r="D3318" s="13" t="n">
        <v>1</v>
      </c>
      <c r="E3318" s="13" t="n">
        <v>528.52</v>
      </c>
      <c r="F3318" s="13" t="s">
        <v>5325</v>
      </c>
      <c r="G3318" s="13" t="s">
        <v>5289</v>
      </c>
      <c r="H3318" s="13" t="s">
        <v>5292</v>
      </c>
      <c r="I3318" s="13" t="s">
        <v>5289</v>
      </c>
      <c r="J3318" s="13" t="s">
        <v>5289</v>
      </c>
      <c r="K3318" s="13" t="s">
        <v>5289</v>
      </c>
      <c r="L3318" s="13" t="n">
        <v>3614229828535</v>
      </c>
      <c r="M3318" s="13"/>
      <c r="N3318" s="13" t="n">
        <v>3614229828535</v>
      </c>
      <c r="O3318" s="13"/>
      <c r="P3318" s="13" t="s">
        <v>5291</v>
      </c>
      <c r="Q3318" s="13" t="s">
        <v>5289</v>
      </c>
      <c r="R3318" s="13" t="s">
        <v>5292</v>
      </c>
      <c r="S3318" s="13" t="s">
        <v>5293</v>
      </c>
      <c r="T3318" s="13" t="s">
        <v>5</v>
      </c>
      <c r="U3318" s="13" t="s">
        <v>43</v>
      </c>
      <c r="V3318" s="13" t="n">
        <f aca="false">IF(COUNTIF($B$2:B3318,B3318)=1,1,0)</f>
        <v>0</v>
      </c>
      <c r="W3318" s="13" t="n">
        <f aca="false">IF(COUNTIFS($B$2:B3318,B3318,$T$2:T3318,T3318)=1,1,0)</f>
        <v>0</v>
      </c>
    </row>
    <row r="3319" customFormat="false" ht="15" hidden="false" customHeight="false" outlineLevel="0" collapsed="false">
      <c r="A3319" s="13" t="s">
        <v>1007</v>
      </c>
      <c r="B3319" s="13" t="s">
        <v>153</v>
      </c>
      <c r="C3319" s="13" t="n">
        <v>530</v>
      </c>
      <c r="D3319" s="13" t="n">
        <v>1</v>
      </c>
      <c r="E3319" s="13" t="n">
        <v>528</v>
      </c>
      <c r="F3319" s="13" t="s">
        <v>5325</v>
      </c>
      <c r="G3319" s="13" t="s">
        <v>5289</v>
      </c>
      <c r="H3319" s="13" t="s">
        <v>5292</v>
      </c>
      <c r="I3319" s="13" t="s">
        <v>5289</v>
      </c>
      <c r="J3319" s="13" t="s">
        <v>5289</v>
      </c>
      <c r="K3319" s="13" t="s">
        <v>5289</v>
      </c>
      <c r="L3319" s="13" t="n">
        <v>8011003901630</v>
      </c>
      <c r="M3319" s="13"/>
      <c r="N3319" s="13" t="n">
        <v>8011003901630</v>
      </c>
      <c r="O3319" s="13"/>
      <c r="P3319" s="13" t="s">
        <v>5291</v>
      </c>
      <c r="Q3319" s="13" t="s">
        <v>5289</v>
      </c>
      <c r="R3319" s="13" t="s">
        <v>5292</v>
      </c>
      <c r="S3319" s="13" t="s">
        <v>5293</v>
      </c>
      <c r="T3319" s="13" t="s">
        <v>5</v>
      </c>
      <c r="U3319" s="13" t="s">
        <v>43</v>
      </c>
      <c r="V3319" s="13" t="n">
        <f aca="false">IF(COUNTIF($B$2:B3319,B3319)=1,1,0)</f>
        <v>0</v>
      </c>
      <c r="W3319" s="13" t="n">
        <f aca="false">IF(COUNTIFS($B$2:B3319,B3319,$T$2:T3319,T3319)=1,1,0)</f>
        <v>0</v>
      </c>
    </row>
    <row r="3320" customFormat="false" ht="15" hidden="false" customHeight="false" outlineLevel="0" collapsed="false">
      <c r="A3320" s="13" t="s">
        <v>807</v>
      </c>
      <c r="B3320" s="13" t="s">
        <v>72</v>
      </c>
      <c r="C3320" s="13" t="n">
        <v>530</v>
      </c>
      <c r="D3320" s="13" t="n">
        <v>1</v>
      </c>
      <c r="E3320" s="13" t="n">
        <v>526.03</v>
      </c>
      <c r="F3320" s="13" t="s">
        <v>5325</v>
      </c>
      <c r="G3320" s="13" t="s">
        <v>5292</v>
      </c>
      <c r="H3320" s="13" t="s">
        <v>5289</v>
      </c>
      <c r="I3320" s="13" t="s">
        <v>5289</v>
      </c>
      <c r="J3320" s="13" t="s">
        <v>5289</v>
      </c>
      <c r="K3320" s="13" t="s">
        <v>5289</v>
      </c>
      <c r="L3320" s="13"/>
      <c r="M3320" s="13"/>
      <c r="N3320" s="13" t="n">
        <v>3614273961738</v>
      </c>
      <c r="O3320" s="13"/>
      <c r="P3320" s="13" t="s">
        <v>5297</v>
      </c>
      <c r="Q3320" s="13" t="s">
        <v>5289</v>
      </c>
      <c r="R3320" s="13" t="s">
        <v>5292</v>
      </c>
      <c r="S3320" s="13" t="s">
        <v>5293</v>
      </c>
      <c r="T3320" s="13" t="s">
        <v>5</v>
      </c>
      <c r="U3320" s="13" t="s">
        <v>43</v>
      </c>
      <c r="V3320" s="13" t="n">
        <f aca="false">IF(COUNTIF($B$2:B3320,B3320)=1,1,0)</f>
        <v>0</v>
      </c>
      <c r="W3320" s="13" t="n">
        <f aca="false">IF(COUNTIFS($B$2:B3320,B3320,$T$2:T3320,T3320)=1,1,0)</f>
        <v>0</v>
      </c>
    </row>
    <row r="3321" customFormat="false" ht="15" hidden="false" customHeight="false" outlineLevel="0" collapsed="false">
      <c r="A3321" s="13" t="s">
        <v>4525</v>
      </c>
      <c r="B3321" s="13" t="s">
        <v>2110</v>
      </c>
      <c r="C3321" s="13" t="n">
        <v>530</v>
      </c>
      <c r="D3321" s="13" t="n">
        <v>1</v>
      </c>
      <c r="E3321" s="13" t="n">
        <v>525.73</v>
      </c>
      <c r="F3321" s="13" t="s">
        <v>5325</v>
      </c>
      <c r="G3321" s="13" t="s">
        <v>5292</v>
      </c>
      <c r="H3321" s="13" t="s">
        <v>5289</v>
      </c>
      <c r="I3321" s="13" t="s">
        <v>5289</v>
      </c>
      <c r="J3321" s="13" t="s">
        <v>5289</v>
      </c>
      <c r="K3321" s="13" t="s">
        <v>5289</v>
      </c>
      <c r="L3321" s="13" t="n">
        <v>737052662664</v>
      </c>
      <c r="M3321" s="13"/>
      <c r="N3321" s="13" t="n">
        <v>737052662664</v>
      </c>
      <c r="O3321" s="13"/>
      <c r="P3321" s="13" t="s">
        <v>5291</v>
      </c>
      <c r="Q3321" s="13" t="s">
        <v>5289</v>
      </c>
      <c r="R3321" s="13" t="s">
        <v>5292</v>
      </c>
      <c r="S3321" s="13" t="s">
        <v>5293</v>
      </c>
      <c r="T3321" s="13" t="s">
        <v>5</v>
      </c>
      <c r="U3321" s="13" t="s">
        <v>43</v>
      </c>
      <c r="V3321" s="13" t="n">
        <f aca="false">IF(COUNTIF($B$2:B3321,B3321)=1,1,0)</f>
        <v>0</v>
      </c>
      <c r="W3321" s="13" t="n">
        <f aca="false">IF(COUNTIFS($B$2:B3321,B3321,$T$2:T3321,T3321)=1,1,0)</f>
        <v>0</v>
      </c>
    </row>
    <row r="3322" customFormat="false" ht="15" hidden="false" customHeight="false" outlineLevel="0" collapsed="false">
      <c r="A3322" s="13" t="s">
        <v>1648</v>
      </c>
      <c r="B3322" s="13" t="s">
        <v>105</v>
      </c>
      <c r="C3322" s="13" t="n">
        <v>530</v>
      </c>
      <c r="D3322" s="13" t="n">
        <v>1</v>
      </c>
      <c r="E3322" s="13" t="n">
        <v>525.59</v>
      </c>
      <c r="F3322" s="13" t="s">
        <v>5325</v>
      </c>
      <c r="G3322" s="13" t="s">
        <v>5289</v>
      </c>
      <c r="H3322" s="13" t="s">
        <v>5289</v>
      </c>
      <c r="I3322" s="13" t="s">
        <v>5289</v>
      </c>
      <c r="J3322" s="13" t="s">
        <v>5289</v>
      </c>
      <c r="K3322" s="13" t="s">
        <v>5289</v>
      </c>
      <c r="L3322" s="13"/>
      <c r="M3322" s="13"/>
      <c r="N3322" s="13" t="n">
        <v>3616305041005</v>
      </c>
      <c r="O3322" s="13"/>
      <c r="P3322" s="13" t="s">
        <v>5291</v>
      </c>
      <c r="Q3322" s="13" t="s">
        <v>5289</v>
      </c>
      <c r="R3322" s="13" t="s">
        <v>5292</v>
      </c>
      <c r="S3322" s="13" t="s">
        <v>5293</v>
      </c>
      <c r="T3322" s="13" t="s">
        <v>5</v>
      </c>
      <c r="U3322" s="13" t="s">
        <v>43</v>
      </c>
      <c r="V3322" s="13" t="n">
        <f aca="false">IF(COUNTIF($B$2:B3322,B3322)=1,1,0)</f>
        <v>0</v>
      </c>
      <c r="W3322" s="13" t="n">
        <f aca="false">IF(COUNTIFS($B$2:B3322,B3322,$T$2:T3322,T3322)=1,1,0)</f>
        <v>0</v>
      </c>
    </row>
    <row r="3323" customFormat="false" ht="15" hidden="false" customHeight="false" outlineLevel="0" collapsed="false">
      <c r="A3323" s="13" t="s">
        <v>1644</v>
      </c>
      <c r="B3323" s="13" t="s">
        <v>105</v>
      </c>
      <c r="C3323" s="13" t="n">
        <v>530</v>
      </c>
      <c r="D3323" s="13" t="n">
        <v>1</v>
      </c>
      <c r="E3323" s="13" t="n">
        <v>525.59</v>
      </c>
      <c r="F3323" s="13" t="s">
        <v>5325</v>
      </c>
      <c r="G3323" s="13" t="s">
        <v>5289</v>
      </c>
      <c r="H3323" s="13" t="s">
        <v>5292</v>
      </c>
      <c r="I3323" s="13" t="s">
        <v>5289</v>
      </c>
      <c r="J3323" s="13" t="s">
        <v>5289</v>
      </c>
      <c r="K3323" s="13" t="s">
        <v>5289</v>
      </c>
      <c r="L3323" s="13"/>
      <c r="M3323" s="13"/>
      <c r="N3323" s="13" t="n">
        <v>3616305041005</v>
      </c>
      <c r="O3323" s="13"/>
      <c r="P3323" s="13" t="s">
        <v>5291</v>
      </c>
      <c r="Q3323" s="13" t="s">
        <v>5289</v>
      </c>
      <c r="R3323" s="13" t="s">
        <v>5292</v>
      </c>
      <c r="S3323" s="13" t="s">
        <v>5293</v>
      </c>
      <c r="T3323" s="13" t="s">
        <v>5</v>
      </c>
      <c r="U3323" s="13" t="s">
        <v>43</v>
      </c>
      <c r="V3323" s="13" t="n">
        <f aca="false">IF(COUNTIF($B$2:B3323,B3323)=1,1,0)</f>
        <v>0</v>
      </c>
      <c r="W3323" s="13" t="n">
        <f aca="false">IF(COUNTIFS($B$2:B3323,B3323,$T$2:T3323,T3323)=1,1,0)</f>
        <v>0</v>
      </c>
    </row>
    <row r="3324" customFormat="false" ht="15" hidden="false" customHeight="false" outlineLevel="0" collapsed="false">
      <c r="A3324" s="13" t="s">
        <v>1467</v>
      </c>
      <c r="B3324" s="13" t="s">
        <v>153</v>
      </c>
      <c r="C3324" s="13" t="n">
        <v>520</v>
      </c>
      <c r="D3324" s="13" t="n">
        <v>1</v>
      </c>
      <c r="E3324" s="13" t="n">
        <v>525</v>
      </c>
      <c r="F3324" s="13" t="s">
        <v>5325</v>
      </c>
      <c r="G3324" s="13" t="s">
        <v>5289</v>
      </c>
      <c r="H3324" s="13" t="s">
        <v>5289</v>
      </c>
      <c r="I3324" s="13" t="s">
        <v>5289</v>
      </c>
      <c r="J3324" s="13" t="s">
        <v>5289</v>
      </c>
      <c r="K3324" s="13" t="s">
        <v>5289</v>
      </c>
      <c r="L3324" s="13" t="n">
        <v>8011003876280</v>
      </c>
      <c r="M3324" s="13"/>
      <c r="N3324" s="13" t="n">
        <v>8011003876280</v>
      </c>
      <c r="O3324" s="13"/>
      <c r="P3324" s="13" t="s">
        <v>5291</v>
      </c>
      <c r="Q3324" s="13" t="s">
        <v>5289</v>
      </c>
      <c r="R3324" s="13" t="s">
        <v>5292</v>
      </c>
      <c r="S3324" s="13" t="s">
        <v>5293</v>
      </c>
      <c r="T3324" s="13" t="s">
        <v>5</v>
      </c>
      <c r="U3324" s="13" t="s">
        <v>43</v>
      </c>
      <c r="V3324" s="13" t="n">
        <f aca="false">IF(COUNTIF($B$2:B3324,B3324)=1,1,0)</f>
        <v>0</v>
      </c>
      <c r="W3324" s="13" t="n">
        <f aca="false">IF(COUNTIFS($B$2:B3324,B3324,$T$2:T3324,T3324)=1,1,0)</f>
        <v>0</v>
      </c>
    </row>
    <row r="3325" customFormat="false" ht="15" hidden="false" customHeight="false" outlineLevel="0" collapsed="false">
      <c r="A3325" s="13" t="s">
        <v>1655</v>
      </c>
      <c r="B3325" s="13" t="s">
        <v>79</v>
      </c>
      <c r="C3325" s="13" t="n">
        <v>520</v>
      </c>
      <c r="D3325" s="13" t="n">
        <v>1</v>
      </c>
      <c r="E3325" s="13" t="n">
        <v>524.55</v>
      </c>
      <c r="F3325" s="13" t="s">
        <v>5325</v>
      </c>
      <c r="G3325" s="13" t="s">
        <v>5292</v>
      </c>
      <c r="H3325" s="13" t="s">
        <v>5292</v>
      </c>
      <c r="I3325" s="13" t="s">
        <v>5289</v>
      </c>
      <c r="J3325" s="13" t="s">
        <v>5289</v>
      </c>
      <c r="K3325" s="13" t="s">
        <v>5289</v>
      </c>
      <c r="L3325" s="13" t="n">
        <v>8057971183722</v>
      </c>
      <c r="M3325" s="13"/>
      <c r="N3325" s="13" t="n">
        <v>8057971183722</v>
      </c>
      <c r="O3325" s="13"/>
      <c r="P3325" s="13" t="s">
        <v>5297</v>
      </c>
      <c r="Q3325" s="13" t="s">
        <v>5289</v>
      </c>
      <c r="R3325" s="13" t="s">
        <v>5292</v>
      </c>
      <c r="S3325" s="13" t="s">
        <v>5293</v>
      </c>
      <c r="T3325" s="13" t="s">
        <v>5</v>
      </c>
      <c r="U3325" s="13" t="s">
        <v>43</v>
      </c>
      <c r="V3325" s="13" t="n">
        <f aca="false">IF(COUNTIF($B$2:B3325,B3325)=1,1,0)</f>
        <v>0</v>
      </c>
      <c r="W3325" s="13" t="n">
        <f aca="false">IF(COUNTIFS($B$2:B3325,B3325,$T$2:T3325,T3325)=1,1,0)</f>
        <v>0</v>
      </c>
    </row>
    <row r="3326" customFormat="false" ht="15" hidden="false" customHeight="false" outlineLevel="0" collapsed="false">
      <c r="A3326" s="13" t="s">
        <v>1656</v>
      </c>
      <c r="B3326" s="13" t="s">
        <v>107</v>
      </c>
      <c r="C3326" s="13" t="n">
        <v>520</v>
      </c>
      <c r="D3326" s="13" t="n">
        <v>2</v>
      </c>
      <c r="E3326" s="13" t="n">
        <v>174.36</v>
      </c>
      <c r="F3326" s="13" t="s">
        <v>5325</v>
      </c>
      <c r="G3326" s="13" t="s">
        <v>5289</v>
      </c>
      <c r="H3326" s="13" t="s">
        <v>5292</v>
      </c>
      <c r="I3326" s="13" t="s">
        <v>5289</v>
      </c>
      <c r="J3326" s="13" t="s">
        <v>5289</v>
      </c>
      <c r="K3326" s="13" t="s">
        <v>5289</v>
      </c>
      <c r="L3326" s="13" t="n">
        <v>7896235353690</v>
      </c>
      <c r="M3326" s="13"/>
      <c r="N3326" s="13" t="n">
        <v>7896235353690</v>
      </c>
      <c r="O3326" s="13"/>
      <c r="P3326" s="13" t="s">
        <v>5291</v>
      </c>
      <c r="Q3326" s="13" t="s">
        <v>5289</v>
      </c>
      <c r="R3326" s="13" t="s">
        <v>5292</v>
      </c>
      <c r="S3326" s="13" t="s">
        <v>5293</v>
      </c>
      <c r="T3326" s="13" t="s">
        <v>5</v>
      </c>
      <c r="U3326" s="13" t="s">
        <v>43</v>
      </c>
      <c r="V3326" s="13" t="n">
        <f aca="false">IF(COUNTIF($B$2:B3326,B3326)=1,1,0)</f>
        <v>0</v>
      </c>
      <c r="W3326" s="13" t="n">
        <f aca="false">IF(COUNTIFS($B$2:B3326,B3326,$T$2:T3326,T3326)=1,1,0)</f>
        <v>0</v>
      </c>
    </row>
    <row r="3327" customFormat="false" ht="15" hidden="false" customHeight="false" outlineLevel="0" collapsed="false">
      <c r="A3327" s="13" t="s">
        <v>1657</v>
      </c>
      <c r="B3327" s="13" t="s">
        <v>42</v>
      </c>
      <c r="C3327" s="13" t="n">
        <v>520</v>
      </c>
      <c r="D3327" s="13" t="n">
        <v>1</v>
      </c>
      <c r="E3327" s="13" t="n">
        <v>522</v>
      </c>
      <c r="F3327" s="13" t="s">
        <v>5288</v>
      </c>
      <c r="G3327" s="13" t="s">
        <v>5289</v>
      </c>
      <c r="H3327" s="13" t="s">
        <v>5292</v>
      </c>
      <c r="I3327" s="13" t="s">
        <v>5289</v>
      </c>
      <c r="J3327" s="13" t="s">
        <v>5289</v>
      </c>
      <c r="K3327" s="13" t="s">
        <v>5289</v>
      </c>
      <c r="L3327" s="13"/>
      <c r="M3327" s="13"/>
      <c r="N3327" s="13" t="n">
        <v>8411061055199</v>
      </c>
      <c r="O3327" s="13"/>
      <c r="P3327" s="13" t="s">
        <v>5291</v>
      </c>
      <c r="Q3327" s="13" t="s">
        <v>5289</v>
      </c>
      <c r="R3327" s="13" t="s">
        <v>5292</v>
      </c>
      <c r="S3327" s="13" t="s">
        <v>5293</v>
      </c>
      <c r="T3327" s="13" t="s">
        <v>5</v>
      </c>
      <c r="U3327" s="13" t="s">
        <v>43</v>
      </c>
      <c r="V3327" s="13" t="n">
        <f aca="false">IF(COUNTIF($B$2:B3327,B3327)=1,1,0)</f>
        <v>0</v>
      </c>
      <c r="W3327" s="13" t="n">
        <f aca="false">IF(COUNTIFS($B$2:B3327,B3327,$T$2:T3327,T3327)=1,1,0)</f>
        <v>0</v>
      </c>
    </row>
    <row r="3328" customFormat="false" ht="15" hidden="false" customHeight="false" outlineLevel="0" collapsed="false">
      <c r="A3328" s="13" t="s">
        <v>873</v>
      </c>
      <c r="B3328" s="13" t="s">
        <v>42</v>
      </c>
      <c r="C3328" s="13" t="n">
        <v>520</v>
      </c>
      <c r="D3328" s="13" t="n">
        <v>2</v>
      </c>
      <c r="E3328" s="13" t="n">
        <v>260.72</v>
      </c>
      <c r="F3328" s="13" t="s">
        <v>5325</v>
      </c>
      <c r="G3328" s="13" t="s">
        <v>5292</v>
      </c>
      <c r="H3328" s="13" t="s">
        <v>5292</v>
      </c>
      <c r="I3328" s="13" t="s">
        <v>5289</v>
      </c>
      <c r="J3328" s="13" t="s">
        <v>5289</v>
      </c>
      <c r="K3328" s="13" t="s">
        <v>5289</v>
      </c>
      <c r="L3328" s="13" t="n">
        <v>8411061945858</v>
      </c>
      <c r="M3328" s="13"/>
      <c r="N3328" s="13" t="n">
        <v>8411061945858</v>
      </c>
      <c r="O3328" s="13"/>
      <c r="P3328" s="13" t="s">
        <v>5297</v>
      </c>
      <c r="Q3328" s="13" t="s">
        <v>5289</v>
      </c>
      <c r="R3328" s="13" t="s">
        <v>5292</v>
      </c>
      <c r="S3328" s="13" t="s">
        <v>5293</v>
      </c>
      <c r="T3328" s="13" t="s">
        <v>5</v>
      </c>
      <c r="U3328" s="13" t="s">
        <v>43</v>
      </c>
      <c r="V3328" s="13" t="n">
        <f aca="false">IF(COUNTIF($B$2:B3328,B3328)=1,1,0)</f>
        <v>0</v>
      </c>
      <c r="W3328" s="13" t="n">
        <f aca="false">IF(COUNTIFS($B$2:B3328,B3328,$T$2:T3328,T3328)=1,1,0)</f>
        <v>0</v>
      </c>
    </row>
    <row r="3329" customFormat="false" ht="15" hidden="false" customHeight="false" outlineLevel="0" collapsed="false">
      <c r="A3329" s="13" t="s">
        <v>6393</v>
      </c>
      <c r="B3329" s="13" t="s">
        <v>2127</v>
      </c>
      <c r="C3329" s="13" t="n">
        <v>520</v>
      </c>
      <c r="D3329" s="13" t="n">
        <v>5</v>
      </c>
      <c r="E3329" s="13" t="n">
        <v>52.13</v>
      </c>
      <c r="F3329" s="13" t="s">
        <v>5325</v>
      </c>
      <c r="G3329" s="13" t="s">
        <v>5289</v>
      </c>
      <c r="H3329" s="13" t="s">
        <v>5292</v>
      </c>
      <c r="I3329" s="13" t="s">
        <v>5292</v>
      </c>
      <c r="J3329" s="13" t="s">
        <v>5289</v>
      </c>
      <c r="K3329" s="13" t="s">
        <v>5289</v>
      </c>
      <c r="L3329" s="13" t="n">
        <v>19045108039</v>
      </c>
      <c r="M3329" s="13"/>
      <c r="N3329" s="13" t="n">
        <v>19045108039</v>
      </c>
      <c r="O3329" s="13"/>
      <c r="P3329" s="13" t="s">
        <v>5291</v>
      </c>
      <c r="Q3329" s="13" t="s">
        <v>5289</v>
      </c>
      <c r="R3329" s="13" t="s">
        <v>5292</v>
      </c>
      <c r="S3329" s="13" t="s">
        <v>5293</v>
      </c>
      <c r="T3329" s="13" t="s">
        <v>5</v>
      </c>
      <c r="U3329" s="13" t="s">
        <v>85</v>
      </c>
      <c r="V3329" s="13" t="n">
        <f aca="false">IF(COUNTIF($B$2:B3329,B3329)=1,1,0)</f>
        <v>0</v>
      </c>
      <c r="W3329" s="13" t="n">
        <f aca="false">IF(COUNTIFS($B$2:B3329,B3329,$T$2:T3329,T3329)=1,1,0)</f>
        <v>0</v>
      </c>
    </row>
    <row r="3330" customFormat="false" ht="15" hidden="false" customHeight="false" outlineLevel="0" collapsed="false">
      <c r="A3330" s="13" t="s">
        <v>4547</v>
      </c>
      <c r="B3330" s="13" t="s">
        <v>2103</v>
      </c>
      <c r="C3330" s="13" t="n">
        <v>520</v>
      </c>
      <c r="D3330" s="13" t="n">
        <v>2</v>
      </c>
      <c r="E3330" s="13" t="n">
        <v>130.2825</v>
      </c>
      <c r="F3330" s="13" t="s">
        <v>5288</v>
      </c>
      <c r="G3330" s="13" t="s">
        <v>5289</v>
      </c>
      <c r="H3330" s="13" t="s">
        <v>5289</v>
      </c>
      <c r="I3330" s="13" t="s">
        <v>5289</v>
      </c>
      <c r="J3330" s="13" t="s">
        <v>5289</v>
      </c>
      <c r="K3330" s="13" t="s">
        <v>5292</v>
      </c>
      <c r="L3330" s="13"/>
      <c r="M3330" s="13"/>
      <c r="N3330" s="13" t="n">
        <v>309970213466</v>
      </c>
      <c r="O3330" s="13"/>
      <c r="P3330" s="13" t="s">
        <v>5291</v>
      </c>
      <c r="Q3330" s="13" t="s">
        <v>5289</v>
      </c>
      <c r="R3330" s="13" t="s">
        <v>5292</v>
      </c>
      <c r="S3330" s="13" t="s">
        <v>5293</v>
      </c>
      <c r="T3330" s="13" t="s">
        <v>5</v>
      </c>
      <c r="U3330" s="13" t="s">
        <v>85</v>
      </c>
      <c r="V3330" s="13" t="n">
        <f aca="false">IF(COUNTIF($B$2:B3330,B3330)=1,1,0)</f>
        <v>0</v>
      </c>
      <c r="W3330" s="13" t="n">
        <f aca="false">IF(COUNTIFS($B$2:B3330,B3330,$T$2:T3330,T3330)=1,1,0)</f>
        <v>0</v>
      </c>
    </row>
    <row r="3331" customFormat="false" ht="15" hidden="false" customHeight="false" outlineLevel="0" collapsed="false">
      <c r="A3331" s="13" t="s">
        <v>1653</v>
      </c>
      <c r="B3331" s="13" t="s">
        <v>42</v>
      </c>
      <c r="C3331" s="13" t="n">
        <v>520</v>
      </c>
      <c r="D3331" s="13" t="n">
        <v>1</v>
      </c>
      <c r="E3331" s="13" t="n">
        <v>520.97</v>
      </c>
      <c r="F3331" s="13" t="s">
        <v>5325</v>
      </c>
      <c r="G3331" s="13" t="s">
        <v>5289</v>
      </c>
      <c r="H3331" s="13" t="s">
        <v>5292</v>
      </c>
      <c r="I3331" s="13" t="s">
        <v>5289</v>
      </c>
      <c r="J3331" s="13" t="s">
        <v>5289</v>
      </c>
      <c r="K3331" s="13" t="s">
        <v>5289</v>
      </c>
      <c r="L3331" s="13" t="n">
        <v>8411061896259</v>
      </c>
      <c r="M3331" s="13"/>
      <c r="N3331" s="13" t="n">
        <v>8411061896259</v>
      </c>
      <c r="O3331" s="13"/>
      <c r="P3331" s="13" t="s">
        <v>5291</v>
      </c>
      <c r="Q3331" s="13" t="s">
        <v>5289</v>
      </c>
      <c r="R3331" s="13" t="s">
        <v>5292</v>
      </c>
      <c r="S3331" s="13" t="s">
        <v>5293</v>
      </c>
      <c r="T3331" s="13" t="s">
        <v>5</v>
      </c>
      <c r="U3331" s="13" t="s">
        <v>43</v>
      </c>
      <c r="V3331" s="13" t="n">
        <f aca="false">IF(COUNTIF($B$2:B3331,B3331)=1,1,0)</f>
        <v>0</v>
      </c>
      <c r="W3331" s="13" t="n">
        <f aca="false">IF(COUNTIFS($B$2:B3331,B3331,$T$2:T3331,T3331)=1,1,0)</f>
        <v>0</v>
      </c>
    </row>
    <row r="3332" customFormat="false" ht="15" hidden="false" customHeight="false" outlineLevel="0" collapsed="false">
      <c r="A3332" s="13" t="s">
        <v>3653</v>
      </c>
      <c r="B3332" s="13" t="s">
        <v>2131</v>
      </c>
      <c r="C3332" s="13" t="n">
        <v>520</v>
      </c>
      <c r="D3332" s="13" t="n">
        <v>1</v>
      </c>
      <c r="E3332" s="13" t="n">
        <v>519.99</v>
      </c>
      <c r="F3332" s="13" t="s">
        <v>5325</v>
      </c>
      <c r="G3332" s="13" t="s">
        <v>5292</v>
      </c>
      <c r="H3332" s="13" t="s">
        <v>5289</v>
      </c>
      <c r="I3332" s="13" t="s">
        <v>5289</v>
      </c>
      <c r="J3332" s="13" t="s">
        <v>5289</v>
      </c>
      <c r="K3332" s="13" t="s">
        <v>5289</v>
      </c>
      <c r="L3332" s="13" t="n">
        <v>3423478806054</v>
      </c>
      <c r="M3332" s="13"/>
      <c r="N3332" s="13" t="n">
        <v>3423478806054</v>
      </c>
      <c r="O3332" s="13"/>
      <c r="P3332" s="13" t="s">
        <v>5297</v>
      </c>
      <c r="Q3332" s="13" t="s">
        <v>5289</v>
      </c>
      <c r="R3332" s="13" t="s">
        <v>5292</v>
      </c>
      <c r="S3332" s="13" t="s">
        <v>5293</v>
      </c>
      <c r="T3332" s="13" t="s">
        <v>5</v>
      </c>
      <c r="U3332" s="13" t="s">
        <v>43</v>
      </c>
      <c r="V3332" s="13" t="n">
        <f aca="false">IF(COUNTIF($B$2:B3332,B3332)=1,1,0)</f>
        <v>0</v>
      </c>
      <c r="W3332" s="13" t="n">
        <f aca="false">IF(COUNTIFS($B$2:B3332,B3332,$T$2:T3332,T3332)=1,1,0)</f>
        <v>0</v>
      </c>
    </row>
    <row r="3333" customFormat="false" ht="15" hidden="false" customHeight="false" outlineLevel="0" collapsed="false">
      <c r="A3333" s="13" t="s">
        <v>3893</v>
      </c>
      <c r="B3333" s="13" t="s">
        <v>2130</v>
      </c>
      <c r="C3333" s="13" t="n">
        <v>520</v>
      </c>
      <c r="D3333" s="13" t="n">
        <v>1</v>
      </c>
      <c r="E3333" s="13" t="n">
        <v>518.99</v>
      </c>
      <c r="F3333" s="13" t="s">
        <v>5325</v>
      </c>
      <c r="G3333" s="13" t="s">
        <v>5292</v>
      </c>
      <c r="H3333" s="13" t="s">
        <v>5292</v>
      </c>
      <c r="I3333" s="13" t="s">
        <v>5289</v>
      </c>
      <c r="J3333" s="13" t="s">
        <v>5289</v>
      </c>
      <c r="K3333" s="13" t="s">
        <v>5289</v>
      </c>
      <c r="L3333" s="13" t="n">
        <v>3439600056815</v>
      </c>
      <c r="M3333" s="13"/>
      <c r="N3333" s="13" t="n">
        <v>3439600056815</v>
      </c>
      <c r="O3333" s="13"/>
      <c r="P3333" s="13" t="s">
        <v>5291</v>
      </c>
      <c r="Q3333" s="13" t="s">
        <v>5289</v>
      </c>
      <c r="R3333" s="13" t="s">
        <v>5292</v>
      </c>
      <c r="S3333" s="13" t="s">
        <v>5293</v>
      </c>
      <c r="T3333" s="13" t="s">
        <v>5</v>
      </c>
      <c r="U3333" s="13" t="s">
        <v>183</v>
      </c>
      <c r="V3333" s="13" t="n">
        <f aca="false">IF(COUNTIF($B$2:B3333,B3333)=1,1,0)</f>
        <v>0</v>
      </c>
      <c r="W3333" s="13" t="n">
        <f aca="false">IF(COUNTIFS($B$2:B3333,B3333,$T$2:T3333,T3333)=1,1,0)</f>
        <v>0</v>
      </c>
    </row>
    <row r="3334" customFormat="false" ht="15" hidden="false" customHeight="false" outlineLevel="0" collapsed="false">
      <c r="A3334" s="13" t="s">
        <v>95</v>
      </c>
      <c r="B3334" s="13" t="s">
        <v>50</v>
      </c>
      <c r="C3334" s="13" t="n">
        <v>520</v>
      </c>
      <c r="D3334" s="13" t="n">
        <v>1</v>
      </c>
      <c r="E3334" s="13" t="n">
        <v>517.99</v>
      </c>
      <c r="F3334" s="13" t="s">
        <v>5325</v>
      </c>
      <c r="G3334" s="13" t="s">
        <v>5289</v>
      </c>
      <c r="H3334" s="13" t="s">
        <v>5289</v>
      </c>
      <c r="I3334" s="13" t="s">
        <v>5289</v>
      </c>
      <c r="J3334" s="13" t="s">
        <v>5289</v>
      </c>
      <c r="K3334" s="13" t="s">
        <v>5289</v>
      </c>
      <c r="L3334" s="13" t="n">
        <v>3349668612635</v>
      </c>
      <c r="M3334" s="13"/>
      <c r="N3334" s="13" t="n">
        <v>3.34966852867734E+025</v>
      </c>
      <c r="O3334" s="13"/>
      <c r="P3334" s="13" t="s">
        <v>5297</v>
      </c>
      <c r="Q3334" s="13" t="s">
        <v>5289</v>
      </c>
      <c r="R3334" s="13" t="s">
        <v>5292</v>
      </c>
      <c r="S3334" s="13" t="s">
        <v>5293</v>
      </c>
      <c r="T3334" s="13" t="s">
        <v>5</v>
      </c>
      <c r="U3334" s="13" t="s">
        <v>43</v>
      </c>
      <c r="V3334" s="13" t="n">
        <f aca="false">IF(COUNTIF($B$2:B3334,B3334)=1,1,0)</f>
        <v>0</v>
      </c>
      <c r="W3334" s="13" t="n">
        <f aca="false">IF(COUNTIFS($B$2:B3334,B3334,$T$2:T3334,T3334)=1,1,0)</f>
        <v>0</v>
      </c>
    </row>
    <row r="3335" customFormat="false" ht="15" hidden="false" customHeight="false" outlineLevel="0" collapsed="false">
      <c r="A3335" s="13" t="s">
        <v>1191</v>
      </c>
      <c r="B3335" s="13" t="s">
        <v>45</v>
      </c>
      <c r="C3335" s="13" t="n">
        <v>520</v>
      </c>
      <c r="D3335" s="13" t="n">
        <v>1</v>
      </c>
      <c r="E3335" s="13" t="n">
        <v>516.5</v>
      </c>
      <c r="F3335" s="13" t="s">
        <v>5288</v>
      </c>
      <c r="G3335" s="13" t="s">
        <v>5289</v>
      </c>
      <c r="H3335" s="13" t="s">
        <v>5292</v>
      </c>
      <c r="I3335" s="13" t="s">
        <v>5289</v>
      </c>
      <c r="J3335" s="13" t="s">
        <v>5289</v>
      </c>
      <c r="K3335" s="13" t="s">
        <v>5289</v>
      </c>
      <c r="L3335" s="13"/>
      <c r="M3335" s="13"/>
      <c r="N3335" s="13" t="n">
        <v>8435415091244</v>
      </c>
      <c r="O3335" s="13"/>
      <c r="P3335" s="13" t="s">
        <v>5291</v>
      </c>
      <c r="Q3335" s="13" t="s">
        <v>5289</v>
      </c>
      <c r="R3335" s="13" t="s">
        <v>5292</v>
      </c>
      <c r="S3335" s="13" t="s">
        <v>5293</v>
      </c>
      <c r="T3335" s="13" t="s">
        <v>5</v>
      </c>
      <c r="U3335" s="13" t="s">
        <v>43</v>
      </c>
      <c r="V3335" s="13" t="n">
        <f aca="false">IF(COUNTIF($B$2:B3335,B3335)=1,1,0)</f>
        <v>0</v>
      </c>
      <c r="W3335" s="13" t="n">
        <f aca="false">IF(COUNTIFS($B$2:B3335,B3335,$T$2:T3335,T3335)=1,1,0)</f>
        <v>0</v>
      </c>
    </row>
    <row r="3336" customFormat="false" ht="15" hidden="false" customHeight="false" outlineLevel="0" collapsed="false">
      <c r="A3336" s="13" t="s">
        <v>4541</v>
      </c>
      <c r="B3336" s="13" t="s">
        <v>2155</v>
      </c>
      <c r="C3336" s="13" t="n">
        <v>520</v>
      </c>
      <c r="D3336" s="13" t="n">
        <v>2</v>
      </c>
      <c r="E3336" s="13" t="n">
        <v>129</v>
      </c>
      <c r="F3336" s="13" t="s">
        <v>5325</v>
      </c>
      <c r="G3336" s="13" t="s">
        <v>5289</v>
      </c>
      <c r="H3336" s="13" t="s">
        <v>5289</v>
      </c>
      <c r="I3336" s="13" t="s">
        <v>5289</v>
      </c>
      <c r="J3336" s="13" t="s">
        <v>5289</v>
      </c>
      <c r="K3336" s="13" t="s">
        <v>5289</v>
      </c>
      <c r="L3336" s="13" t="n">
        <v>5060630048013</v>
      </c>
      <c r="M3336" s="13"/>
      <c r="N3336" s="13" t="n">
        <v>5060630048013</v>
      </c>
      <c r="O3336" s="13"/>
      <c r="P3336" s="13" t="s">
        <v>5291</v>
      </c>
      <c r="Q3336" s="13" t="s">
        <v>5289</v>
      </c>
      <c r="R3336" s="13" t="s">
        <v>5292</v>
      </c>
      <c r="S3336" s="13" t="s">
        <v>5293</v>
      </c>
      <c r="T3336" s="13" t="s">
        <v>5</v>
      </c>
      <c r="U3336" s="13" t="s">
        <v>85</v>
      </c>
      <c r="V3336" s="13" t="n">
        <f aca="false">IF(COUNTIF($B$2:B3336,B3336)=1,1,0)</f>
        <v>0</v>
      </c>
      <c r="W3336" s="13" t="n">
        <f aca="false">IF(COUNTIFS($B$2:B3336,B3336,$T$2:T3336,T3336)=1,1,0)</f>
        <v>0</v>
      </c>
    </row>
    <row r="3337" customFormat="false" ht="15" hidden="false" customHeight="false" outlineLevel="0" collapsed="false">
      <c r="A3337" s="13" t="s">
        <v>1651</v>
      </c>
      <c r="B3337" s="13" t="s">
        <v>124</v>
      </c>
      <c r="C3337" s="13" t="n">
        <v>520</v>
      </c>
      <c r="D3337" s="13" t="n">
        <v>1</v>
      </c>
      <c r="E3337" s="13" t="n">
        <v>515.51</v>
      </c>
      <c r="F3337" s="13" t="s">
        <v>5325</v>
      </c>
      <c r="G3337" s="13" t="s">
        <v>5289</v>
      </c>
      <c r="H3337" s="13" t="s">
        <v>5292</v>
      </c>
      <c r="I3337" s="13" t="s">
        <v>5289</v>
      </c>
      <c r="J3337" s="13" t="s">
        <v>5289</v>
      </c>
      <c r="K3337" s="13" t="s">
        <v>5289</v>
      </c>
      <c r="L3337" s="13"/>
      <c r="M3337" s="13"/>
      <c r="N3337" s="13" t="n">
        <v>3614273636582</v>
      </c>
      <c r="O3337" s="13"/>
      <c r="P3337" s="13" t="s">
        <v>5291</v>
      </c>
      <c r="Q3337" s="13" t="s">
        <v>5289</v>
      </c>
      <c r="R3337" s="13" t="s">
        <v>5292</v>
      </c>
      <c r="S3337" s="13" t="s">
        <v>5293</v>
      </c>
      <c r="T3337" s="13" t="s">
        <v>5</v>
      </c>
      <c r="U3337" s="13" t="s">
        <v>43</v>
      </c>
      <c r="V3337" s="13" t="n">
        <f aca="false">IF(COUNTIF($B$2:B3337,B3337)=1,1,0)</f>
        <v>0</v>
      </c>
      <c r="W3337" s="13" t="n">
        <f aca="false">IF(COUNTIFS($B$2:B3337,B3337,$T$2:T3337,T3337)=1,1,0)</f>
        <v>0</v>
      </c>
    </row>
    <row r="3338" customFormat="false" ht="15" hidden="false" customHeight="false" outlineLevel="0" collapsed="false">
      <c r="A3338" s="13" t="s">
        <v>1654</v>
      </c>
      <c r="B3338" s="13" t="s">
        <v>42</v>
      </c>
      <c r="C3338" s="13" t="n">
        <v>520</v>
      </c>
      <c r="D3338" s="13" t="n">
        <v>1</v>
      </c>
      <c r="E3338" s="13" t="n">
        <v>515.17</v>
      </c>
      <c r="F3338" s="13" t="s">
        <v>5325</v>
      </c>
      <c r="G3338" s="13" t="s">
        <v>5289</v>
      </c>
      <c r="H3338" s="13" t="s">
        <v>5292</v>
      </c>
      <c r="I3338" s="13" t="s">
        <v>5289</v>
      </c>
      <c r="J3338" s="13" t="s">
        <v>5289</v>
      </c>
      <c r="K3338" s="13" t="s">
        <v>5289</v>
      </c>
      <c r="L3338" s="13" t="n">
        <v>8411061106204</v>
      </c>
      <c r="M3338" s="13"/>
      <c r="N3338" s="13" t="n">
        <v>8411061106204</v>
      </c>
      <c r="O3338" s="13"/>
      <c r="P3338" s="13" t="s">
        <v>5291</v>
      </c>
      <c r="Q3338" s="13" t="s">
        <v>5289</v>
      </c>
      <c r="R3338" s="13" t="s">
        <v>5292</v>
      </c>
      <c r="S3338" s="13" t="s">
        <v>5293</v>
      </c>
      <c r="T3338" s="13" t="s">
        <v>5</v>
      </c>
      <c r="U3338" s="13" t="s">
        <v>43</v>
      </c>
      <c r="V3338" s="13" t="n">
        <f aca="false">IF(COUNTIF($B$2:B3338,B3338)=1,1,0)</f>
        <v>0</v>
      </c>
      <c r="W3338" s="13" t="n">
        <f aca="false">IF(COUNTIFS($B$2:B3338,B3338,$T$2:T3338,T3338)=1,1,0)</f>
        <v>0</v>
      </c>
    </row>
    <row r="3339" customFormat="false" ht="15" hidden="false" customHeight="false" outlineLevel="0" collapsed="false">
      <c r="A3339" s="13" t="s">
        <v>1621</v>
      </c>
      <c r="B3339" s="13" t="s">
        <v>490</v>
      </c>
      <c r="C3339" s="13" t="n">
        <v>510</v>
      </c>
      <c r="D3339" s="13" t="n">
        <v>1</v>
      </c>
      <c r="E3339" s="13" t="n">
        <v>512</v>
      </c>
      <c r="F3339" s="13" t="s">
        <v>5325</v>
      </c>
      <c r="G3339" s="13" t="s">
        <v>5289</v>
      </c>
      <c r="H3339" s="13" t="s">
        <v>5292</v>
      </c>
      <c r="I3339" s="13" t="s">
        <v>5289</v>
      </c>
      <c r="J3339" s="13" t="s">
        <v>5289</v>
      </c>
      <c r="K3339" s="13" t="s">
        <v>5289</v>
      </c>
      <c r="L3339" s="13" t="n">
        <v>8011003839308</v>
      </c>
      <c r="M3339" s="13"/>
      <c r="N3339" s="13" t="n">
        <v>8011003839308</v>
      </c>
      <c r="O3339" s="13"/>
      <c r="P3339" s="13" t="s">
        <v>5291</v>
      </c>
      <c r="Q3339" s="13" t="s">
        <v>5289</v>
      </c>
      <c r="R3339" s="13" t="s">
        <v>5292</v>
      </c>
      <c r="S3339" s="13" t="s">
        <v>5293</v>
      </c>
      <c r="T3339" s="13" t="s">
        <v>5</v>
      </c>
      <c r="U3339" s="13" t="s">
        <v>43</v>
      </c>
      <c r="V3339" s="13" t="n">
        <f aca="false">IF(COUNTIF($B$2:B3339,B3339)=1,1,0)</f>
        <v>0</v>
      </c>
      <c r="W3339" s="13" t="n">
        <f aca="false">IF(COUNTIFS($B$2:B3339,B3339,$T$2:T3339,T3339)=1,1,0)</f>
        <v>0</v>
      </c>
    </row>
    <row r="3340" customFormat="false" ht="15" hidden="false" customHeight="false" outlineLevel="0" collapsed="false">
      <c r="A3340" s="13" t="s">
        <v>1660</v>
      </c>
      <c r="B3340" s="13" t="s">
        <v>153</v>
      </c>
      <c r="C3340" s="13" t="n">
        <v>510</v>
      </c>
      <c r="D3340" s="13" t="n">
        <v>1</v>
      </c>
      <c r="E3340" s="13" t="n">
        <v>507.66</v>
      </c>
      <c r="F3340" s="13" t="s">
        <v>5325</v>
      </c>
      <c r="G3340" s="13" t="s">
        <v>5289</v>
      </c>
      <c r="H3340" s="13" t="s">
        <v>5289</v>
      </c>
      <c r="I3340" s="13" t="s">
        <v>5289</v>
      </c>
      <c r="J3340" s="13" t="s">
        <v>5289</v>
      </c>
      <c r="K3340" s="13" t="s">
        <v>5289</v>
      </c>
      <c r="L3340" s="13" t="n">
        <v>8011003994427</v>
      </c>
      <c r="M3340" s="13"/>
      <c r="N3340" s="13" t="n">
        <v>8011003994427</v>
      </c>
      <c r="O3340" s="13"/>
      <c r="P3340" s="13" t="s">
        <v>5291</v>
      </c>
      <c r="Q3340" s="13" t="s">
        <v>5289</v>
      </c>
      <c r="R3340" s="13" t="s">
        <v>5292</v>
      </c>
      <c r="S3340" s="13" t="s">
        <v>5293</v>
      </c>
      <c r="T3340" s="13" t="s">
        <v>5</v>
      </c>
      <c r="U3340" s="13" t="s">
        <v>43</v>
      </c>
      <c r="V3340" s="13" t="n">
        <f aca="false">IF(COUNTIF($B$2:B3340,B3340)=1,1,0)</f>
        <v>0</v>
      </c>
      <c r="W3340" s="13" t="n">
        <f aca="false">IF(COUNTIFS($B$2:B3340,B3340,$T$2:T3340,T3340)=1,1,0)</f>
        <v>0</v>
      </c>
    </row>
    <row r="3341" customFormat="false" ht="15" hidden="false" customHeight="false" outlineLevel="0" collapsed="false">
      <c r="A3341" s="13" t="s">
        <v>221</v>
      </c>
      <c r="B3341" s="13" t="s">
        <v>72</v>
      </c>
      <c r="C3341" s="13" t="n">
        <v>510</v>
      </c>
      <c r="D3341" s="13" t="n">
        <v>1</v>
      </c>
      <c r="E3341" s="13" t="n">
        <v>507.02</v>
      </c>
      <c r="F3341" s="13" t="s">
        <v>5325</v>
      </c>
      <c r="G3341" s="13" t="s">
        <v>5289</v>
      </c>
      <c r="H3341" s="13" t="s">
        <v>5289</v>
      </c>
      <c r="I3341" s="13" t="s">
        <v>5289</v>
      </c>
      <c r="J3341" s="13" t="s">
        <v>5289</v>
      </c>
      <c r="K3341" s="13" t="s">
        <v>5289</v>
      </c>
      <c r="L3341" s="13"/>
      <c r="M3341" s="13"/>
      <c r="N3341" s="13" t="n">
        <v>3614274000610</v>
      </c>
      <c r="O3341" s="13"/>
      <c r="P3341" s="13" t="s">
        <v>5291</v>
      </c>
      <c r="Q3341" s="13" t="s">
        <v>5289</v>
      </c>
      <c r="R3341" s="13" t="s">
        <v>5292</v>
      </c>
      <c r="S3341" s="13" t="s">
        <v>5293</v>
      </c>
      <c r="T3341" s="13" t="s">
        <v>5</v>
      </c>
      <c r="U3341" s="13" t="s">
        <v>43</v>
      </c>
      <c r="V3341" s="13" t="n">
        <f aca="false">IF(COUNTIF($B$2:B3341,B3341)=1,1,0)</f>
        <v>0</v>
      </c>
      <c r="W3341" s="13" t="n">
        <f aca="false">IF(COUNTIFS($B$2:B3341,B3341,$T$2:T3341,T3341)=1,1,0)</f>
        <v>0</v>
      </c>
    </row>
    <row r="3342" customFormat="false" ht="15" hidden="false" customHeight="false" outlineLevel="0" collapsed="false">
      <c r="A3342" s="13" t="s">
        <v>1202</v>
      </c>
      <c r="B3342" s="13" t="s">
        <v>329</v>
      </c>
      <c r="C3342" s="13" t="n">
        <v>500</v>
      </c>
      <c r="D3342" s="13" t="n">
        <v>1</v>
      </c>
      <c r="E3342" s="13" t="n">
        <v>504</v>
      </c>
      <c r="F3342" s="13" t="s">
        <v>5325</v>
      </c>
      <c r="G3342" s="13" t="s">
        <v>5289</v>
      </c>
      <c r="H3342" s="13" t="s">
        <v>5289</v>
      </c>
      <c r="I3342" s="13" t="s">
        <v>5289</v>
      </c>
      <c r="J3342" s="13" t="s">
        <v>5289</v>
      </c>
      <c r="K3342" s="13" t="s">
        <v>5289</v>
      </c>
      <c r="L3342" s="13" t="n">
        <v>3137370359494</v>
      </c>
      <c r="M3342" s="13"/>
      <c r="N3342" s="13" t="n">
        <v>3137370359494</v>
      </c>
      <c r="O3342" s="13"/>
      <c r="P3342" s="13" t="s">
        <v>5291</v>
      </c>
      <c r="Q3342" s="13" t="s">
        <v>5289</v>
      </c>
      <c r="R3342" s="13" t="s">
        <v>5292</v>
      </c>
      <c r="S3342" s="13" t="s">
        <v>5293</v>
      </c>
      <c r="T3342" s="13" t="s">
        <v>5</v>
      </c>
      <c r="U3342" s="13" t="s">
        <v>43</v>
      </c>
      <c r="V3342" s="13" t="n">
        <f aca="false">IF(COUNTIF($B$2:B3342,B3342)=1,1,0)</f>
        <v>0</v>
      </c>
      <c r="W3342" s="13" t="n">
        <f aca="false">IF(COUNTIFS($B$2:B3342,B3342,$T$2:T3342,T3342)=1,1,0)</f>
        <v>0</v>
      </c>
    </row>
    <row r="3343" customFormat="false" ht="15" hidden="false" customHeight="false" outlineLevel="0" collapsed="false">
      <c r="A3343" s="13" t="s">
        <v>906</v>
      </c>
      <c r="B3343" s="13" t="s">
        <v>315</v>
      </c>
      <c r="C3343" s="13" t="n">
        <v>500</v>
      </c>
      <c r="D3343" s="13" t="n">
        <v>1</v>
      </c>
      <c r="E3343" s="13" t="n">
        <v>500.85</v>
      </c>
      <c r="F3343" s="13" t="s">
        <v>5325</v>
      </c>
      <c r="G3343" s="13" t="s">
        <v>5292</v>
      </c>
      <c r="H3343" s="13" t="s">
        <v>5289</v>
      </c>
      <c r="I3343" s="13" t="s">
        <v>5289</v>
      </c>
      <c r="J3343" s="13" t="s">
        <v>5289</v>
      </c>
      <c r="K3343" s="13" t="s">
        <v>5292</v>
      </c>
      <c r="L3343" s="13"/>
      <c r="M3343" s="13"/>
      <c r="N3343" s="13" t="n">
        <v>3360377009356</v>
      </c>
      <c r="O3343" s="13"/>
      <c r="P3343" s="13" t="s">
        <v>5297</v>
      </c>
      <c r="Q3343" s="13" t="s">
        <v>5289</v>
      </c>
      <c r="R3343" s="13" t="s">
        <v>5292</v>
      </c>
      <c r="S3343" s="13" t="s">
        <v>5293</v>
      </c>
      <c r="T3343" s="13" t="s">
        <v>5</v>
      </c>
      <c r="U3343" s="13" t="s">
        <v>43</v>
      </c>
      <c r="V3343" s="13" t="n">
        <f aca="false">IF(COUNTIF($B$2:B3343,B3343)=1,1,0)</f>
        <v>0</v>
      </c>
      <c r="W3343" s="13" t="n">
        <f aca="false">IF(COUNTIFS($B$2:B3343,B3343,$T$2:T3343,T3343)=1,1,0)</f>
        <v>0</v>
      </c>
    </row>
    <row r="3344" customFormat="false" ht="15" hidden="false" customHeight="false" outlineLevel="0" collapsed="false">
      <c r="A3344" s="13" t="s">
        <v>272</v>
      </c>
      <c r="B3344" s="13" t="s">
        <v>50</v>
      </c>
      <c r="C3344" s="13" t="n">
        <v>500</v>
      </c>
      <c r="D3344" s="13" t="n">
        <v>1</v>
      </c>
      <c r="E3344" s="13" t="n">
        <v>500</v>
      </c>
      <c r="F3344" s="13" t="s">
        <v>5288</v>
      </c>
      <c r="G3344" s="13" t="s">
        <v>5292</v>
      </c>
      <c r="H3344" s="13" t="s">
        <v>5292</v>
      </c>
      <c r="I3344" s="13" t="s">
        <v>5289</v>
      </c>
      <c r="J3344" s="13" t="s">
        <v>5289</v>
      </c>
      <c r="K3344" s="13" t="s">
        <v>5289</v>
      </c>
      <c r="L3344" s="13"/>
      <c r="M3344" s="13"/>
      <c r="N3344" s="13" t="n">
        <v>3349668614479</v>
      </c>
      <c r="O3344" s="13"/>
      <c r="P3344" s="13" t="s">
        <v>5291</v>
      </c>
      <c r="Q3344" s="13" t="s">
        <v>5289</v>
      </c>
      <c r="R3344" s="13" t="s">
        <v>5292</v>
      </c>
      <c r="S3344" s="13" t="s">
        <v>5293</v>
      </c>
      <c r="T3344" s="13" t="s">
        <v>5</v>
      </c>
      <c r="U3344" s="13" t="s">
        <v>43</v>
      </c>
      <c r="V3344" s="13" t="n">
        <f aca="false">IF(COUNTIF($B$2:B3344,B3344)=1,1,0)</f>
        <v>0</v>
      </c>
      <c r="W3344" s="13" t="n">
        <f aca="false">IF(COUNTIFS($B$2:B3344,B3344,$T$2:T3344,T3344)=1,1,0)</f>
        <v>0</v>
      </c>
    </row>
    <row r="3345" customFormat="false" ht="15" hidden="false" customHeight="false" outlineLevel="0" collapsed="false">
      <c r="A3345" s="13" t="s">
        <v>4446</v>
      </c>
      <c r="B3345" s="13" t="s">
        <v>2103</v>
      </c>
      <c r="C3345" s="13" t="n">
        <v>500</v>
      </c>
      <c r="D3345" s="13" t="n">
        <v>5</v>
      </c>
      <c r="E3345" s="13" t="n">
        <v>99.9</v>
      </c>
      <c r="F3345" s="13" t="s">
        <v>5325</v>
      </c>
      <c r="G3345" s="13" t="s">
        <v>5292</v>
      </c>
      <c r="H3345" s="13" t="s">
        <v>5289</v>
      </c>
      <c r="I3345" s="13" t="s">
        <v>5289</v>
      </c>
      <c r="J3345" s="13" t="s">
        <v>5289</v>
      </c>
      <c r="K3345" s="13" t="s">
        <v>5289</v>
      </c>
      <c r="L3345" s="13" t="n">
        <v>309975424034</v>
      </c>
      <c r="M3345" s="13"/>
      <c r="N3345" s="13" t="n">
        <v>309975424034</v>
      </c>
      <c r="O3345" s="13"/>
      <c r="P3345" s="13" t="s">
        <v>5297</v>
      </c>
      <c r="Q3345" s="13" t="s">
        <v>5289</v>
      </c>
      <c r="R3345" s="13" t="s">
        <v>5292</v>
      </c>
      <c r="S3345" s="13" t="s">
        <v>5293</v>
      </c>
      <c r="T3345" s="13" t="s">
        <v>5</v>
      </c>
      <c r="U3345" s="13" t="s">
        <v>85</v>
      </c>
      <c r="V3345" s="13" t="n">
        <f aca="false">IF(COUNTIF($B$2:B3345,B3345)=1,1,0)</f>
        <v>0</v>
      </c>
      <c r="W3345" s="13" t="n">
        <f aca="false">IF(COUNTIFS($B$2:B3345,B3345,$T$2:T3345,T3345)=1,1,0)</f>
        <v>0</v>
      </c>
    </row>
    <row r="3346" customFormat="false" ht="15" hidden="false" customHeight="false" outlineLevel="0" collapsed="false">
      <c r="A3346" s="13" t="s">
        <v>3893</v>
      </c>
      <c r="B3346" s="13" t="s">
        <v>2130</v>
      </c>
      <c r="C3346" s="13" t="n">
        <v>500</v>
      </c>
      <c r="D3346" s="13" t="n">
        <v>1</v>
      </c>
      <c r="E3346" s="13" t="n">
        <v>499</v>
      </c>
      <c r="F3346" s="13" t="s">
        <v>5288</v>
      </c>
      <c r="G3346" s="13" t="s">
        <v>5292</v>
      </c>
      <c r="H3346" s="13" t="s">
        <v>5292</v>
      </c>
      <c r="I3346" s="13" t="s">
        <v>5289</v>
      </c>
      <c r="J3346" s="13" t="s">
        <v>5289</v>
      </c>
      <c r="K3346" s="13" t="s">
        <v>5289</v>
      </c>
      <c r="L3346" s="13" t="n">
        <v>3439600056815</v>
      </c>
      <c r="M3346" s="13"/>
      <c r="N3346" s="13" t="n">
        <v>3439600056815</v>
      </c>
      <c r="O3346" s="13"/>
      <c r="P3346" s="13" t="s">
        <v>5291</v>
      </c>
      <c r="Q3346" s="13" t="s">
        <v>5289</v>
      </c>
      <c r="R3346" s="13" t="s">
        <v>5292</v>
      </c>
      <c r="S3346" s="13" t="s">
        <v>5293</v>
      </c>
      <c r="T3346" s="13" t="s">
        <v>5</v>
      </c>
      <c r="U3346" s="13" t="s">
        <v>183</v>
      </c>
      <c r="V3346" s="13" t="n">
        <f aca="false">IF(COUNTIF($B$2:B3346,B3346)=1,1,0)</f>
        <v>0</v>
      </c>
      <c r="W3346" s="13" t="n">
        <f aca="false">IF(COUNTIFS($B$2:B3346,B3346,$T$2:T3346,T3346)=1,1,0)</f>
        <v>0</v>
      </c>
    </row>
    <row r="3347" customFormat="false" ht="15" hidden="false" customHeight="false" outlineLevel="0" collapsed="false">
      <c r="A3347" s="13" t="s">
        <v>1130</v>
      </c>
      <c r="B3347" s="13" t="s">
        <v>2269</v>
      </c>
      <c r="C3347" s="13" t="n">
        <v>500</v>
      </c>
      <c r="D3347" s="13" t="n">
        <v>1</v>
      </c>
      <c r="E3347" s="13" t="n">
        <v>498.85</v>
      </c>
      <c r="F3347" s="13" t="s">
        <v>5325</v>
      </c>
      <c r="G3347" s="13" t="s">
        <v>5292</v>
      </c>
      <c r="H3347" s="13" t="s">
        <v>5292</v>
      </c>
      <c r="I3347" s="13" t="s">
        <v>5289</v>
      </c>
      <c r="J3347" s="13" t="s">
        <v>5289</v>
      </c>
      <c r="K3347" s="13" t="s">
        <v>5292</v>
      </c>
      <c r="L3347" s="13" t="n">
        <v>8435415017237</v>
      </c>
      <c r="M3347" s="13"/>
      <c r="N3347" s="13" t="n">
        <v>8435415017237</v>
      </c>
      <c r="O3347" s="13"/>
      <c r="P3347" s="13" t="s">
        <v>5297</v>
      </c>
      <c r="Q3347" s="13" t="s">
        <v>5289</v>
      </c>
      <c r="R3347" s="13" t="s">
        <v>5292</v>
      </c>
      <c r="S3347" s="13" t="s">
        <v>5293</v>
      </c>
      <c r="T3347" s="13" t="s">
        <v>5</v>
      </c>
      <c r="U3347" s="13" t="s">
        <v>43</v>
      </c>
      <c r="V3347" s="13" t="n">
        <f aca="false">IF(COUNTIF($B$2:B3347,B3347)=1,1,0)</f>
        <v>1</v>
      </c>
      <c r="W3347" s="13" t="n">
        <f aca="false">IF(COUNTIFS($B$2:B3347,B3347,$T$2:T3347,T3347)=1,1,0)</f>
        <v>1</v>
      </c>
    </row>
    <row r="3348" customFormat="false" ht="15" hidden="false" customHeight="false" outlineLevel="0" collapsed="false">
      <c r="A3348" s="13" t="s">
        <v>848</v>
      </c>
      <c r="B3348" s="13" t="s">
        <v>630</v>
      </c>
      <c r="C3348" s="13" t="n">
        <v>500</v>
      </c>
      <c r="D3348" s="13" t="n">
        <v>2</v>
      </c>
      <c r="E3348" s="13" t="n">
        <v>124.45</v>
      </c>
      <c r="F3348" s="13" t="s">
        <v>5325</v>
      </c>
      <c r="G3348" s="13" t="s">
        <v>5292</v>
      </c>
      <c r="H3348" s="13" t="s">
        <v>5289</v>
      </c>
      <c r="I3348" s="13" t="s">
        <v>5289</v>
      </c>
      <c r="J3348" s="13" t="s">
        <v>5289</v>
      </c>
      <c r="K3348" s="13" t="s">
        <v>5289</v>
      </c>
      <c r="L3348" s="13" t="n">
        <v>8433982017100</v>
      </c>
      <c r="M3348" s="13"/>
      <c r="N3348" s="13" t="n">
        <v>8433982017100</v>
      </c>
      <c r="O3348" s="13"/>
      <c r="P3348" s="13" t="s">
        <v>5297</v>
      </c>
      <c r="Q3348" s="13" t="s">
        <v>5289</v>
      </c>
      <c r="R3348" s="13" t="s">
        <v>5292</v>
      </c>
      <c r="S3348" s="13" t="s">
        <v>5293</v>
      </c>
      <c r="T3348" s="13" t="s">
        <v>5</v>
      </c>
      <c r="U3348" s="13" t="s">
        <v>43</v>
      </c>
      <c r="V3348" s="13" t="n">
        <f aca="false">IF(COUNTIF($B$2:B3348,B3348)=1,1,0)</f>
        <v>0</v>
      </c>
      <c r="W3348" s="13" t="n">
        <f aca="false">IF(COUNTIFS($B$2:B3348,B3348,$T$2:T3348,T3348)=1,1,0)</f>
        <v>0</v>
      </c>
    </row>
    <row r="3349" customFormat="false" ht="15" hidden="false" customHeight="false" outlineLevel="0" collapsed="false">
      <c r="A3349" s="13" t="s">
        <v>575</v>
      </c>
      <c r="B3349" s="13" t="s">
        <v>329</v>
      </c>
      <c r="C3349" s="13" t="n">
        <v>500</v>
      </c>
      <c r="D3349" s="13" t="n">
        <v>1</v>
      </c>
      <c r="E3349" s="13" t="n">
        <v>497.11</v>
      </c>
      <c r="F3349" s="13" t="s">
        <v>5325</v>
      </c>
      <c r="G3349" s="13" t="s">
        <v>5289</v>
      </c>
      <c r="H3349" s="13" t="s">
        <v>5289</v>
      </c>
      <c r="I3349" s="13" t="s">
        <v>5289</v>
      </c>
      <c r="J3349" s="13" t="s">
        <v>5289</v>
      </c>
      <c r="K3349" s="13" t="s">
        <v>5289</v>
      </c>
      <c r="L3349" s="13"/>
      <c r="M3349" s="13"/>
      <c r="N3349" s="13" t="n">
        <v>3137370360940</v>
      </c>
      <c r="O3349" s="13"/>
      <c r="P3349" s="13" t="s">
        <v>5291</v>
      </c>
      <c r="Q3349" s="13" t="s">
        <v>5289</v>
      </c>
      <c r="R3349" s="13" t="s">
        <v>5292</v>
      </c>
      <c r="S3349" s="13" t="s">
        <v>5293</v>
      </c>
      <c r="T3349" s="13" t="s">
        <v>5</v>
      </c>
      <c r="U3349" s="13" t="s">
        <v>43</v>
      </c>
      <c r="V3349" s="13" t="n">
        <f aca="false">IF(COUNTIF($B$2:B3349,B3349)=1,1,0)</f>
        <v>0</v>
      </c>
      <c r="W3349" s="13" t="n">
        <f aca="false">IF(COUNTIFS($B$2:B3349,B3349,$T$2:T3349,T3349)=1,1,0)</f>
        <v>0</v>
      </c>
    </row>
    <row r="3350" customFormat="false" ht="15" hidden="false" customHeight="false" outlineLevel="0" collapsed="false">
      <c r="A3350" s="13" t="s">
        <v>1086</v>
      </c>
      <c r="B3350" s="13" t="s">
        <v>54</v>
      </c>
      <c r="C3350" s="13" t="n">
        <v>500</v>
      </c>
      <c r="D3350" s="13" t="n">
        <v>1</v>
      </c>
      <c r="E3350" s="13" t="n">
        <v>495.85</v>
      </c>
      <c r="F3350" s="13" t="s">
        <v>5325</v>
      </c>
      <c r="G3350" s="13" t="s">
        <v>5289</v>
      </c>
      <c r="H3350" s="13" t="s">
        <v>5292</v>
      </c>
      <c r="I3350" s="13" t="s">
        <v>5289</v>
      </c>
      <c r="J3350" s="13" t="s">
        <v>5289</v>
      </c>
      <c r="K3350" s="13" t="s">
        <v>5292</v>
      </c>
      <c r="L3350" s="13" t="n">
        <v>729238212473</v>
      </c>
      <c r="M3350" s="13"/>
      <c r="N3350" s="13" t="n">
        <v>729238212473</v>
      </c>
      <c r="O3350" s="13"/>
      <c r="P3350" s="13" t="s">
        <v>5297</v>
      </c>
      <c r="Q3350" s="13" t="s">
        <v>5289</v>
      </c>
      <c r="R3350" s="13" t="s">
        <v>5292</v>
      </c>
      <c r="S3350" s="13" t="s">
        <v>5293</v>
      </c>
      <c r="T3350" s="13" t="s">
        <v>5</v>
      </c>
      <c r="U3350" s="13" t="s">
        <v>43</v>
      </c>
      <c r="V3350" s="13" t="n">
        <f aca="false">IF(COUNTIF($B$2:B3350,B3350)=1,1,0)</f>
        <v>0</v>
      </c>
      <c r="W3350" s="13" t="n">
        <f aca="false">IF(COUNTIFS($B$2:B3350,B3350,$T$2:T3350,T3350)=1,1,0)</f>
        <v>0</v>
      </c>
    </row>
    <row r="3351" customFormat="false" ht="15" hidden="false" customHeight="false" outlineLevel="0" collapsed="false">
      <c r="A3351" s="13" t="s">
        <v>1664</v>
      </c>
      <c r="B3351" s="13" t="s">
        <v>69</v>
      </c>
      <c r="C3351" s="13" t="n">
        <v>500</v>
      </c>
      <c r="D3351" s="13" t="n">
        <v>1</v>
      </c>
      <c r="E3351" s="13" t="n">
        <v>495.49</v>
      </c>
      <c r="F3351" s="13" t="s">
        <v>5325</v>
      </c>
      <c r="G3351" s="13" t="s">
        <v>5289</v>
      </c>
      <c r="H3351" s="13" t="s">
        <v>5292</v>
      </c>
      <c r="I3351" s="13" t="s">
        <v>5289</v>
      </c>
      <c r="J3351" s="13" t="s">
        <v>5289</v>
      </c>
      <c r="K3351" s="13" t="s">
        <v>5289</v>
      </c>
      <c r="L3351" s="13" t="n">
        <v>3365440003866</v>
      </c>
      <c r="M3351" s="13"/>
      <c r="N3351" s="13" t="n">
        <v>3365440003866</v>
      </c>
      <c r="O3351" s="13"/>
      <c r="P3351" s="13" t="s">
        <v>5291</v>
      </c>
      <c r="Q3351" s="13" t="s">
        <v>5289</v>
      </c>
      <c r="R3351" s="13" t="s">
        <v>5292</v>
      </c>
      <c r="S3351" s="13" t="s">
        <v>5293</v>
      </c>
      <c r="T3351" s="13" t="s">
        <v>5</v>
      </c>
      <c r="U3351" s="13" t="s">
        <v>43</v>
      </c>
      <c r="V3351" s="13" t="n">
        <f aca="false">IF(COUNTIF($B$2:B3351,B3351)=1,1,0)</f>
        <v>0</v>
      </c>
      <c r="W3351" s="13" t="n">
        <f aca="false">IF(COUNTIFS($B$2:B3351,B3351,$T$2:T3351,T3351)=1,1,0)</f>
        <v>0</v>
      </c>
    </row>
    <row r="3352" customFormat="false" ht="15" hidden="false" customHeight="false" outlineLevel="0" collapsed="false">
      <c r="A3352" s="13" t="s">
        <v>4578</v>
      </c>
      <c r="B3352" s="13" t="s">
        <v>2134</v>
      </c>
      <c r="C3352" s="13" t="n">
        <v>490</v>
      </c>
      <c r="D3352" s="13" t="n">
        <v>1</v>
      </c>
      <c r="E3352" s="13" t="n">
        <v>494.85</v>
      </c>
      <c r="F3352" s="13" t="s">
        <v>5325</v>
      </c>
      <c r="G3352" s="13" t="s">
        <v>5292</v>
      </c>
      <c r="H3352" s="13" t="s">
        <v>5292</v>
      </c>
      <c r="I3352" s="13" t="s">
        <v>5289</v>
      </c>
      <c r="J3352" s="13" t="s">
        <v>5289</v>
      </c>
      <c r="K3352" s="13" t="s">
        <v>5292</v>
      </c>
      <c r="L3352" s="13" t="n">
        <v>3386460154291</v>
      </c>
      <c r="M3352" s="13"/>
      <c r="N3352" s="13" t="n">
        <v>3386460154291</v>
      </c>
      <c r="O3352" s="13"/>
      <c r="P3352" s="13" t="s">
        <v>5297</v>
      </c>
      <c r="Q3352" s="13" t="s">
        <v>5289</v>
      </c>
      <c r="R3352" s="13" t="s">
        <v>5292</v>
      </c>
      <c r="S3352" s="13" t="s">
        <v>5293</v>
      </c>
      <c r="T3352" s="13" t="s">
        <v>5</v>
      </c>
      <c r="U3352" s="13" t="s">
        <v>43</v>
      </c>
      <c r="V3352" s="13" t="n">
        <f aca="false">IF(COUNTIF($B$2:B3352,B3352)=1,1,0)</f>
        <v>0</v>
      </c>
      <c r="W3352" s="13" t="n">
        <f aca="false">IF(COUNTIFS($B$2:B3352,B3352,$T$2:T3352,T3352)=1,1,0)</f>
        <v>0</v>
      </c>
    </row>
    <row r="3353" customFormat="false" ht="15" hidden="false" customHeight="false" outlineLevel="0" collapsed="false">
      <c r="A3353" s="13" t="s">
        <v>1670</v>
      </c>
      <c r="B3353" s="13" t="s">
        <v>50</v>
      </c>
      <c r="C3353" s="13" t="n">
        <v>490</v>
      </c>
      <c r="D3353" s="13" t="n">
        <v>1</v>
      </c>
      <c r="E3353" s="13" t="n">
        <v>494</v>
      </c>
      <c r="F3353" s="13" t="s">
        <v>5288</v>
      </c>
      <c r="G3353" s="13" t="s">
        <v>5292</v>
      </c>
      <c r="H3353" s="13" t="s">
        <v>5292</v>
      </c>
      <c r="I3353" s="13" t="s">
        <v>5289</v>
      </c>
      <c r="J3353" s="13" t="s">
        <v>5289</v>
      </c>
      <c r="K3353" s="13" t="s">
        <v>5289</v>
      </c>
      <c r="L3353" s="13"/>
      <c r="M3353" s="13"/>
      <c r="N3353" s="13" t="n">
        <v>3349668627523</v>
      </c>
      <c r="O3353" s="13"/>
      <c r="P3353" s="13" t="s">
        <v>5291</v>
      </c>
      <c r="Q3353" s="13" t="s">
        <v>5289</v>
      </c>
      <c r="R3353" s="13" t="s">
        <v>5292</v>
      </c>
      <c r="S3353" s="13" t="s">
        <v>5293</v>
      </c>
      <c r="T3353" s="13" t="s">
        <v>5</v>
      </c>
      <c r="U3353" s="13" t="s">
        <v>43</v>
      </c>
      <c r="V3353" s="13" t="n">
        <f aca="false">IF(COUNTIF($B$2:B3353,B3353)=1,1,0)</f>
        <v>0</v>
      </c>
      <c r="W3353" s="13" t="n">
        <f aca="false">IF(COUNTIFS($B$2:B3353,B3353,$T$2:T3353,T3353)=1,1,0)</f>
        <v>0</v>
      </c>
    </row>
    <row r="3354" customFormat="false" ht="15" hidden="false" customHeight="false" outlineLevel="0" collapsed="false">
      <c r="A3354" s="13" t="s">
        <v>793</v>
      </c>
      <c r="B3354" s="13" t="s">
        <v>50</v>
      </c>
      <c r="C3354" s="13" t="n">
        <v>490</v>
      </c>
      <c r="D3354" s="13" t="n">
        <v>1</v>
      </c>
      <c r="E3354" s="13" t="n">
        <v>494</v>
      </c>
      <c r="F3354" s="13" t="s">
        <v>5288</v>
      </c>
      <c r="G3354" s="13" t="s">
        <v>5292</v>
      </c>
      <c r="H3354" s="13" t="s">
        <v>5289</v>
      </c>
      <c r="I3354" s="13" t="s">
        <v>5289</v>
      </c>
      <c r="J3354" s="13" t="s">
        <v>5289</v>
      </c>
      <c r="K3354" s="13" t="s">
        <v>5289</v>
      </c>
      <c r="L3354" s="13"/>
      <c r="M3354" s="13"/>
      <c r="N3354" s="13" t="n">
        <v>3349668627523</v>
      </c>
      <c r="O3354" s="13"/>
      <c r="P3354" s="13" t="s">
        <v>5291</v>
      </c>
      <c r="Q3354" s="13" t="s">
        <v>5289</v>
      </c>
      <c r="R3354" s="13" t="s">
        <v>5292</v>
      </c>
      <c r="S3354" s="13" t="s">
        <v>5293</v>
      </c>
      <c r="T3354" s="13" t="s">
        <v>5</v>
      </c>
      <c r="U3354" s="13" t="s">
        <v>43</v>
      </c>
      <c r="V3354" s="13" t="n">
        <f aca="false">IF(COUNTIF($B$2:B3354,B3354)=1,1,0)</f>
        <v>0</v>
      </c>
      <c r="W3354" s="13" t="n">
        <f aca="false">IF(COUNTIFS($B$2:B3354,B3354,$T$2:T3354,T3354)=1,1,0)</f>
        <v>0</v>
      </c>
    </row>
    <row r="3355" customFormat="false" ht="15" hidden="false" customHeight="false" outlineLevel="0" collapsed="false">
      <c r="A3355" s="13" t="s">
        <v>1677</v>
      </c>
      <c r="B3355" s="13" t="s">
        <v>153</v>
      </c>
      <c r="C3355" s="13" t="n">
        <v>490</v>
      </c>
      <c r="D3355" s="13" t="n">
        <v>1</v>
      </c>
      <c r="E3355" s="13" t="n">
        <v>493.04</v>
      </c>
      <c r="F3355" s="13" t="s">
        <v>5325</v>
      </c>
      <c r="G3355" s="13" t="s">
        <v>5292</v>
      </c>
      <c r="H3355" s="13" t="s">
        <v>5289</v>
      </c>
      <c r="I3355" s="13" t="s">
        <v>5289</v>
      </c>
      <c r="J3355" s="13" t="s">
        <v>5289</v>
      </c>
      <c r="K3355" s="13" t="s">
        <v>5289</v>
      </c>
      <c r="L3355" s="13" t="n">
        <v>8011003809219</v>
      </c>
      <c r="M3355" s="13"/>
      <c r="N3355" s="13" t="n">
        <v>8011003809219</v>
      </c>
      <c r="O3355" s="13"/>
      <c r="P3355" s="13" t="s">
        <v>5297</v>
      </c>
      <c r="Q3355" s="13" t="s">
        <v>5289</v>
      </c>
      <c r="R3355" s="13" t="s">
        <v>5292</v>
      </c>
      <c r="S3355" s="13" t="s">
        <v>5293</v>
      </c>
      <c r="T3355" s="13" t="s">
        <v>5</v>
      </c>
      <c r="U3355" s="13" t="s">
        <v>43</v>
      </c>
      <c r="V3355" s="13" t="n">
        <f aca="false">IF(COUNTIF($B$2:B3355,B3355)=1,1,0)</f>
        <v>0</v>
      </c>
      <c r="W3355" s="13" t="n">
        <f aca="false">IF(COUNTIFS($B$2:B3355,B3355,$T$2:T3355,T3355)=1,1,0)</f>
        <v>0</v>
      </c>
    </row>
    <row r="3356" customFormat="false" ht="15" hidden="false" customHeight="false" outlineLevel="0" collapsed="false">
      <c r="A3356" s="13" t="s">
        <v>1676</v>
      </c>
      <c r="B3356" s="13" t="s">
        <v>45</v>
      </c>
      <c r="C3356" s="13" t="n">
        <v>490</v>
      </c>
      <c r="D3356" s="13" t="n">
        <v>1</v>
      </c>
      <c r="E3356" s="13" t="n">
        <v>491</v>
      </c>
      <c r="F3356" s="13" t="s">
        <v>5325</v>
      </c>
      <c r="G3356" s="13" t="s">
        <v>5289</v>
      </c>
      <c r="H3356" s="13" t="s">
        <v>5292</v>
      </c>
      <c r="I3356" s="13" t="s">
        <v>5289</v>
      </c>
      <c r="J3356" s="13" t="s">
        <v>5289</v>
      </c>
      <c r="K3356" s="13" t="s">
        <v>5289</v>
      </c>
      <c r="L3356" s="13" t="n">
        <v>8435415091268</v>
      </c>
      <c r="M3356" s="13"/>
      <c r="N3356" s="13" t="n">
        <v>8435415091268</v>
      </c>
      <c r="O3356" s="13"/>
      <c r="P3356" s="13" t="s">
        <v>5291</v>
      </c>
      <c r="Q3356" s="13" t="s">
        <v>5289</v>
      </c>
      <c r="R3356" s="13" t="s">
        <v>5292</v>
      </c>
      <c r="S3356" s="13" t="s">
        <v>5293</v>
      </c>
      <c r="T3356" s="13" t="s">
        <v>5</v>
      </c>
      <c r="U3356" s="13" t="s">
        <v>43</v>
      </c>
      <c r="V3356" s="13" t="n">
        <f aca="false">IF(COUNTIF($B$2:B3356,B3356)=1,1,0)</f>
        <v>0</v>
      </c>
      <c r="W3356" s="13" t="n">
        <f aca="false">IF(COUNTIFS($B$2:B3356,B3356,$T$2:T3356,T3356)=1,1,0)</f>
        <v>0</v>
      </c>
    </row>
    <row r="3357" customFormat="false" ht="15" hidden="false" customHeight="false" outlineLevel="0" collapsed="false">
      <c r="A3357" s="13" t="s">
        <v>1246</v>
      </c>
      <c r="B3357" s="13" t="s">
        <v>69</v>
      </c>
      <c r="C3357" s="13" t="n">
        <v>490</v>
      </c>
      <c r="D3357" s="13" t="n">
        <v>1</v>
      </c>
      <c r="E3357" s="13" t="n">
        <v>489.69</v>
      </c>
      <c r="F3357" s="13" t="s">
        <v>5325</v>
      </c>
      <c r="G3357" s="13" t="s">
        <v>5292</v>
      </c>
      <c r="H3357" s="13" t="s">
        <v>5289</v>
      </c>
      <c r="I3357" s="13" t="s">
        <v>5289</v>
      </c>
      <c r="J3357" s="13" t="s">
        <v>5289</v>
      </c>
      <c r="K3357" s="13" t="s">
        <v>5289</v>
      </c>
      <c r="L3357" s="13" t="n">
        <v>3365440003866</v>
      </c>
      <c r="M3357" s="13"/>
      <c r="N3357" s="13" t="n">
        <v>3365440003866</v>
      </c>
      <c r="O3357" s="13"/>
      <c r="P3357" s="13" t="s">
        <v>5291</v>
      </c>
      <c r="Q3357" s="13" t="s">
        <v>5289</v>
      </c>
      <c r="R3357" s="13" t="s">
        <v>5292</v>
      </c>
      <c r="S3357" s="13" t="s">
        <v>5293</v>
      </c>
      <c r="T3357" s="13" t="s">
        <v>5</v>
      </c>
      <c r="U3357" s="13" t="s">
        <v>43</v>
      </c>
      <c r="V3357" s="13" t="n">
        <f aca="false">IF(COUNTIF($B$2:B3357,B3357)=1,1,0)</f>
        <v>0</v>
      </c>
      <c r="W3357" s="13" t="n">
        <f aca="false">IF(COUNTIFS($B$2:B3357,B3357,$T$2:T3357,T3357)=1,1,0)</f>
        <v>0</v>
      </c>
    </row>
    <row r="3358" customFormat="false" ht="15" hidden="false" customHeight="false" outlineLevel="0" collapsed="false">
      <c r="A3358" s="13" t="s">
        <v>426</v>
      </c>
      <c r="B3358" s="13" t="s">
        <v>79</v>
      </c>
      <c r="C3358" s="13" t="n">
        <v>490</v>
      </c>
      <c r="D3358" s="13" t="n">
        <v>1</v>
      </c>
      <c r="E3358" s="13" t="n">
        <v>489</v>
      </c>
      <c r="F3358" s="13" t="s">
        <v>5325</v>
      </c>
      <c r="G3358" s="13" t="s">
        <v>5289</v>
      </c>
      <c r="H3358" s="13" t="s">
        <v>5289</v>
      </c>
      <c r="I3358" s="13" t="s">
        <v>5289</v>
      </c>
      <c r="J3358" s="13" t="s">
        <v>5289</v>
      </c>
      <c r="K3358" s="13" t="s">
        <v>5289</v>
      </c>
      <c r="L3358" s="13" t="n">
        <v>8056669925699</v>
      </c>
      <c r="M3358" s="13"/>
      <c r="N3358" s="13" t="n">
        <v>8056669925699</v>
      </c>
      <c r="O3358" s="13"/>
      <c r="P3358" s="13" t="s">
        <v>5291</v>
      </c>
      <c r="Q3358" s="13" t="s">
        <v>5289</v>
      </c>
      <c r="R3358" s="13" t="s">
        <v>5292</v>
      </c>
      <c r="S3358" s="13" t="s">
        <v>5293</v>
      </c>
      <c r="T3358" s="13" t="s">
        <v>5</v>
      </c>
      <c r="U3358" s="13" t="s">
        <v>43</v>
      </c>
      <c r="V3358" s="13" t="n">
        <f aca="false">IF(COUNTIF($B$2:B3358,B3358)=1,1,0)</f>
        <v>0</v>
      </c>
      <c r="W3358" s="13" t="n">
        <f aca="false">IF(COUNTIFS($B$2:B3358,B3358,$T$2:T3358,T3358)=1,1,0)</f>
        <v>0</v>
      </c>
    </row>
    <row r="3359" customFormat="false" ht="15" hidden="false" customHeight="false" outlineLevel="0" collapsed="false">
      <c r="A3359" s="13" t="s">
        <v>1672</v>
      </c>
      <c r="B3359" s="13" t="s">
        <v>107</v>
      </c>
      <c r="C3359" s="13" t="n">
        <v>490</v>
      </c>
      <c r="D3359" s="13" t="n">
        <v>2</v>
      </c>
      <c r="E3359" s="13" t="n">
        <v>163</v>
      </c>
      <c r="F3359" s="13" t="s">
        <v>5288</v>
      </c>
      <c r="G3359" s="13" t="s">
        <v>5289</v>
      </c>
      <c r="H3359" s="13" t="s">
        <v>5292</v>
      </c>
      <c r="I3359" s="13" t="s">
        <v>5289</v>
      </c>
      <c r="J3359" s="13" t="s">
        <v>5289</v>
      </c>
      <c r="K3359" s="13" t="s">
        <v>5289</v>
      </c>
      <c r="L3359" s="13" t="n">
        <v>4064666435459</v>
      </c>
      <c r="M3359" s="13"/>
      <c r="N3359" s="13" t="n">
        <v>4064666435459</v>
      </c>
      <c r="O3359" s="13"/>
      <c r="P3359" s="13" t="s">
        <v>5291</v>
      </c>
      <c r="Q3359" s="13" t="s">
        <v>5289</v>
      </c>
      <c r="R3359" s="13" t="s">
        <v>5292</v>
      </c>
      <c r="S3359" s="13" t="s">
        <v>5293</v>
      </c>
      <c r="T3359" s="13" t="s">
        <v>5</v>
      </c>
      <c r="U3359" s="13" t="s">
        <v>183</v>
      </c>
      <c r="V3359" s="13" t="n">
        <f aca="false">IF(COUNTIF($B$2:B3359,B3359)=1,1,0)</f>
        <v>0</v>
      </c>
      <c r="W3359" s="13" t="n">
        <f aca="false">IF(COUNTIFS($B$2:B3359,B3359,$T$2:T3359,T3359)=1,1,0)</f>
        <v>0</v>
      </c>
    </row>
    <row r="3360" customFormat="false" ht="15" hidden="false" customHeight="false" outlineLevel="0" collapsed="false">
      <c r="A3360" s="13" t="s">
        <v>402</v>
      </c>
      <c r="B3360" s="13" t="s">
        <v>105</v>
      </c>
      <c r="C3360" s="13" t="n">
        <v>490</v>
      </c>
      <c r="D3360" s="13" t="n">
        <v>1</v>
      </c>
      <c r="E3360" s="13" t="n">
        <v>488.82</v>
      </c>
      <c r="F3360" s="13" t="s">
        <v>5325</v>
      </c>
      <c r="G3360" s="13" t="s">
        <v>5289</v>
      </c>
      <c r="H3360" s="13" t="s">
        <v>5289</v>
      </c>
      <c r="I3360" s="13" t="s">
        <v>5289</v>
      </c>
      <c r="J3360" s="13" t="s">
        <v>5289</v>
      </c>
      <c r="K3360" s="13" t="s">
        <v>5289</v>
      </c>
      <c r="L3360" s="13" t="n">
        <v>737052352060</v>
      </c>
      <c r="M3360" s="13"/>
      <c r="N3360" s="13" t="n">
        <v>737052352060</v>
      </c>
      <c r="O3360" s="13"/>
      <c r="P3360" s="13" t="s">
        <v>5291</v>
      </c>
      <c r="Q3360" s="13" t="s">
        <v>5289</v>
      </c>
      <c r="R3360" s="13" t="s">
        <v>5292</v>
      </c>
      <c r="S3360" s="13" t="s">
        <v>5293</v>
      </c>
      <c r="T3360" s="13" t="s">
        <v>5</v>
      </c>
      <c r="U3360" s="13" t="s">
        <v>43</v>
      </c>
      <c r="V3360" s="13" t="n">
        <f aca="false">IF(COUNTIF($B$2:B3360,B3360)=1,1,0)</f>
        <v>0</v>
      </c>
      <c r="W3360" s="13" t="n">
        <f aca="false">IF(COUNTIFS($B$2:B3360,B3360,$T$2:T3360,T3360)=1,1,0)</f>
        <v>0</v>
      </c>
    </row>
    <row r="3361" customFormat="false" ht="15" hidden="false" customHeight="false" outlineLevel="0" collapsed="false">
      <c r="A3361" s="13" t="s">
        <v>1675</v>
      </c>
      <c r="B3361" s="13" t="s">
        <v>42</v>
      </c>
      <c r="C3361" s="13" t="n">
        <v>490</v>
      </c>
      <c r="D3361" s="13" t="n">
        <v>1</v>
      </c>
      <c r="E3361" s="13" t="n">
        <v>488.47</v>
      </c>
      <c r="F3361" s="13" t="s">
        <v>5325</v>
      </c>
      <c r="G3361" s="13" t="s">
        <v>5289</v>
      </c>
      <c r="H3361" s="13" t="s">
        <v>5292</v>
      </c>
      <c r="I3361" s="13" t="s">
        <v>5289</v>
      </c>
      <c r="J3361" s="13" t="s">
        <v>5289</v>
      </c>
      <c r="K3361" s="13" t="s">
        <v>5289</v>
      </c>
      <c r="L3361" s="13" t="n">
        <v>8411061081600</v>
      </c>
      <c r="M3361" s="13"/>
      <c r="N3361" s="13" t="n">
        <v>8411061081600</v>
      </c>
      <c r="O3361" s="13"/>
      <c r="P3361" s="13" t="s">
        <v>5291</v>
      </c>
      <c r="Q3361" s="13" t="s">
        <v>5289</v>
      </c>
      <c r="R3361" s="13" t="s">
        <v>5292</v>
      </c>
      <c r="S3361" s="13" t="s">
        <v>5293</v>
      </c>
      <c r="T3361" s="13" t="s">
        <v>5</v>
      </c>
      <c r="U3361" s="13" t="s">
        <v>43</v>
      </c>
      <c r="V3361" s="13" t="n">
        <f aca="false">IF(COUNTIF($B$2:B3361,B3361)=1,1,0)</f>
        <v>0</v>
      </c>
      <c r="W3361" s="13" t="n">
        <f aca="false">IF(COUNTIFS($B$2:B3361,B3361,$T$2:T3361,T3361)=1,1,0)</f>
        <v>0</v>
      </c>
    </row>
    <row r="3362" customFormat="false" ht="15" hidden="false" customHeight="false" outlineLevel="0" collapsed="false">
      <c r="A3362" s="13" t="s">
        <v>1678</v>
      </c>
      <c r="B3362" s="13" t="s">
        <v>105</v>
      </c>
      <c r="C3362" s="13" t="n">
        <v>490</v>
      </c>
      <c r="D3362" s="13" t="n">
        <v>1</v>
      </c>
      <c r="E3362" s="13" t="n">
        <v>487.28</v>
      </c>
      <c r="F3362" s="13" t="s">
        <v>5325</v>
      </c>
      <c r="G3362" s="13" t="s">
        <v>5289</v>
      </c>
      <c r="H3362" s="13" t="s">
        <v>5292</v>
      </c>
      <c r="I3362" s="13" t="s">
        <v>5289</v>
      </c>
      <c r="J3362" s="13" t="s">
        <v>5289</v>
      </c>
      <c r="K3362" s="13" t="s">
        <v>5289</v>
      </c>
      <c r="L3362" s="13" t="n">
        <v>737052351100</v>
      </c>
      <c r="M3362" s="13"/>
      <c r="N3362" s="13" t="n">
        <v>737052351100</v>
      </c>
      <c r="O3362" s="13"/>
      <c r="P3362" s="13" t="s">
        <v>5291</v>
      </c>
      <c r="Q3362" s="13" t="s">
        <v>5289</v>
      </c>
      <c r="R3362" s="13" t="s">
        <v>5292</v>
      </c>
      <c r="S3362" s="13" t="s">
        <v>5293</v>
      </c>
      <c r="T3362" s="13" t="s">
        <v>5</v>
      </c>
      <c r="U3362" s="13" t="s">
        <v>43</v>
      </c>
      <c r="V3362" s="13" t="n">
        <f aca="false">IF(COUNTIF($B$2:B3362,B3362)=1,1,0)</f>
        <v>0</v>
      </c>
      <c r="W3362" s="13" t="n">
        <f aca="false">IF(COUNTIFS($B$2:B3362,B3362,$T$2:T3362,T3362)=1,1,0)</f>
        <v>0</v>
      </c>
    </row>
    <row r="3363" customFormat="false" ht="15" hidden="false" customHeight="false" outlineLevel="0" collapsed="false">
      <c r="A3363" s="13" t="s">
        <v>222</v>
      </c>
      <c r="B3363" s="13" t="s">
        <v>107</v>
      </c>
      <c r="C3363" s="13" t="n">
        <v>490</v>
      </c>
      <c r="D3363" s="13" t="n">
        <v>2</v>
      </c>
      <c r="E3363" s="13" t="n">
        <v>243.61</v>
      </c>
      <c r="F3363" s="13" t="s">
        <v>5288</v>
      </c>
      <c r="G3363" s="13" t="s">
        <v>5289</v>
      </c>
      <c r="H3363" s="13" t="s">
        <v>5289</v>
      </c>
      <c r="I3363" s="13" t="s">
        <v>5289</v>
      </c>
      <c r="J3363" s="13" t="s">
        <v>5289</v>
      </c>
      <c r="K3363" s="13" t="s">
        <v>5289</v>
      </c>
      <c r="L3363" s="13"/>
      <c r="M3363" s="13"/>
      <c r="N3363" s="13" t="n">
        <v>7896235353706</v>
      </c>
      <c r="O3363" s="13"/>
      <c r="P3363" s="13" t="s">
        <v>5291</v>
      </c>
      <c r="Q3363" s="13" t="s">
        <v>5289</v>
      </c>
      <c r="R3363" s="13" t="s">
        <v>5292</v>
      </c>
      <c r="S3363" s="13" t="s">
        <v>5293</v>
      </c>
      <c r="T3363" s="13" t="s">
        <v>5</v>
      </c>
      <c r="U3363" s="13" t="s">
        <v>43</v>
      </c>
      <c r="V3363" s="13" t="n">
        <f aca="false">IF(COUNTIF($B$2:B3363,B3363)=1,1,0)</f>
        <v>0</v>
      </c>
      <c r="W3363" s="13" t="n">
        <f aca="false">IF(COUNTIFS($B$2:B3363,B3363,$T$2:T3363,T3363)=1,1,0)</f>
        <v>0</v>
      </c>
    </row>
    <row r="3364" customFormat="false" ht="15" hidden="false" customHeight="false" outlineLevel="0" collapsed="false">
      <c r="A3364" s="13" t="s">
        <v>6394</v>
      </c>
      <c r="B3364" s="13" t="s">
        <v>2111</v>
      </c>
      <c r="C3364" s="13" t="n">
        <v>490</v>
      </c>
      <c r="D3364" s="13" t="n">
        <v>1</v>
      </c>
      <c r="E3364" s="13" t="n">
        <v>487</v>
      </c>
      <c r="F3364" s="13" t="s">
        <v>5325</v>
      </c>
      <c r="G3364" s="13" t="s">
        <v>5289</v>
      </c>
      <c r="H3364" s="13" t="s">
        <v>5292</v>
      </c>
      <c r="I3364" s="13" t="s">
        <v>5289</v>
      </c>
      <c r="J3364" s="13" t="s">
        <v>5289</v>
      </c>
      <c r="K3364" s="13" t="s">
        <v>5289</v>
      </c>
      <c r="L3364" s="13" t="n">
        <v>3386460142021</v>
      </c>
      <c r="M3364" s="13"/>
      <c r="N3364" s="13" t="n">
        <v>3386460142021</v>
      </c>
      <c r="O3364" s="13"/>
      <c r="P3364" s="13" t="s">
        <v>5291</v>
      </c>
      <c r="Q3364" s="13" t="s">
        <v>5289</v>
      </c>
      <c r="R3364" s="13" t="s">
        <v>5292</v>
      </c>
      <c r="S3364" s="13" t="s">
        <v>5293</v>
      </c>
      <c r="T3364" s="13" t="s">
        <v>5</v>
      </c>
      <c r="U3364" s="13" t="s">
        <v>43</v>
      </c>
      <c r="V3364" s="13" t="n">
        <f aca="false">IF(COUNTIF($B$2:B3364,B3364)=1,1,0)</f>
        <v>0</v>
      </c>
      <c r="W3364" s="13" t="n">
        <f aca="false">IF(COUNTIFS($B$2:B3364,B3364,$T$2:T3364,T3364)=1,1,0)</f>
        <v>0</v>
      </c>
    </row>
    <row r="3365" customFormat="false" ht="15" hidden="false" customHeight="false" outlineLevel="0" collapsed="false">
      <c r="A3365" s="13" t="s">
        <v>1680</v>
      </c>
      <c r="B3365" s="13" t="s">
        <v>195</v>
      </c>
      <c r="C3365" s="13" t="n">
        <v>490</v>
      </c>
      <c r="D3365" s="13" t="n">
        <v>2</v>
      </c>
      <c r="E3365" s="13" t="n">
        <v>243.385</v>
      </c>
      <c r="F3365" s="13" t="s">
        <v>5325</v>
      </c>
      <c r="G3365" s="13" t="s">
        <v>5289</v>
      </c>
      <c r="H3365" s="13" t="s">
        <v>5289</v>
      </c>
      <c r="I3365" s="13" t="s">
        <v>5289</v>
      </c>
      <c r="J3365" s="13" t="s">
        <v>5289</v>
      </c>
      <c r="K3365" s="13" t="s">
        <v>5289</v>
      </c>
      <c r="L3365" s="13" t="n">
        <v>3616304967153</v>
      </c>
      <c r="M3365" s="13"/>
      <c r="N3365" s="13" t="n">
        <v>3616304967153</v>
      </c>
      <c r="O3365" s="13"/>
      <c r="P3365" s="13" t="s">
        <v>5291</v>
      </c>
      <c r="Q3365" s="13" t="s">
        <v>5289</v>
      </c>
      <c r="R3365" s="13" t="s">
        <v>5292</v>
      </c>
      <c r="S3365" s="13" t="s">
        <v>5293</v>
      </c>
      <c r="T3365" s="13" t="s">
        <v>5</v>
      </c>
      <c r="U3365" s="13" t="s">
        <v>43</v>
      </c>
      <c r="V3365" s="13" t="n">
        <f aca="false">IF(COUNTIF($B$2:B3365,B3365)=1,1,0)</f>
        <v>0</v>
      </c>
      <c r="W3365" s="13" t="n">
        <f aca="false">IF(COUNTIFS($B$2:B3365,B3365,$T$2:T3365,T3365)=1,1,0)</f>
        <v>0</v>
      </c>
    </row>
    <row r="3366" customFormat="false" ht="15" hidden="false" customHeight="false" outlineLevel="0" collapsed="false">
      <c r="A3366" s="13" t="s">
        <v>1681</v>
      </c>
      <c r="B3366" s="13" t="s">
        <v>61</v>
      </c>
      <c r="C3366" s="13" t="n">
        <v>490</v>
      </c>
      <c r="D3366" s="13" t="n">
        <v>2</v>
      </c>
      <c r="E3366" s="13" t="n">
        <v>243.36</v>
      </c>
      <c r="F3366" s="13" t="s">
        <v>5325</v>
      </c>
      <c r="G3366" s="13" t="s">
        <v>5289</v>
      </c>
      <c r="H3366" s="13" t="s">
        <v>5292</v>
      </c>
      <c r="I3366" s="13" t="s">
        <v>5289</v>
      </c>
      <c r="J3366" s="13" t="s">
        <v>5289</v>
      </c>
      <c r="K3366" s="13" t="s">
        <v>5289</v>
      </c>
      <c r="L3366" s="13" t="n">
        <v>3614271682369</v>
      </c>
      <c r="M3366" s="13"/>
      <c r="N3366" s="13" t="n">
        <v>3614271682369</v>
      </c>
      <c r="O3366" s="13"/>
      <c r="P3366" s="13" t="s">
        <v>5291</v>
      </c>
      <c r="Q3366" s="13" t="s">
        <v>5289</v>
      </c>
      <c r="R3366" s="13" t="s">
        <v>5292</v>
      </c>
      <c r="S3366" s="13" t="s">
        <v>5293</v>
      </c>
      <c r="T3366" s="13" t="s">
        <v>5</v>
      </c>
      <c r="U3366" s="13" t="s">
        <v>43</v>
      </c>
      <c r="V3366" s="13" t="n">
        <f aca="false">IF(COUNTIF($B$2:B3366,B3366)=1,1,0)</f>
        <v>0</v>
      </c>
      <c r="W3366" s="13" t="n">
        <f aca="false">IF(COUNTIFS($B$2:B3366,B3366,$T$2:T3366,T3366)=1,1,0)</f>
        <v>0</v>
      </c>
    </row>
    <row r="3367" customFormat="false" ht="15" hidden="false" customHeight="false" outlineLevel="0" collapsed="false">
      <c r="A3367" s="13" t="s">
        <v>1679</v>
      </c>
      <c r="B3367" s="13" t="s">
        <v>50</v>
      </c>
      <c r="C3367" s="13" t="n">
        <v>490</v>
      </c>
      <c r="D3367" s="13" t="n">
        <v>1</v>
      </c>
      <c r="E3367" s="13" t="n">
        <v>486.1</v>
      </c>
      <c r="F3367" s="13" t="s">
        <v>5325</v>
      </c>
      <c r="G3367" s="13" t="s">
        <v>5289</v>
      </c>
      <c r="H3367" s="13" t="s">
        <v>5289</v>
      </c>
      <c r="I3367" s="13" t="s">
        <v>5289</v>
      </c>
      <c r="J3367" s="13" t="s">
        <v>5289</v>
      </c>
      <c r="K3367" s="13" t="s">
        <v>5289</v>
      </c>
      <c r="L3367" s="13" t="n">
        <v>3349668642496</v>
      </c>
      <c r="M3367" s="13"/>
      <c r="N3367" s="13" t="n">
        <v>3349668642496</v>
      </c>
      <c r="O3367" s="13"/>
      <c r="P3367" s="13" t="s">
        <v>5291</v>
      </c>
      <c r="Q3367" s="13" t="s">
        <v>5289</v>
      </c>
      <c r="R3367" s="13" t="s">
        <v>5292</v>
      </c>
      <c r="S3367" s="13" t="s">
        <v>5293</v>
      </c>
      <c r="T3367" s="13" t="s">
        <v>5</v>
      </c>
      <c r="U3367" s="13" t="s">
        <v>43</v>
      </c>
      <c r="V3367" s="13" t="n">
        <f aca="false">IF(COUNTIF($B$2:B3367,B3367)=1,1,0)</f>
        <v>0</v>
      </c>
      <c r="W3367" s="13" t="n">
        <f aca="false">IF(COUNTIFS($B$2:B3367,B3367,$T$2:T3367,T3367)=1,1,0)</f>
        <v>0</v>
      </c>
    </row>
    <row r="3368" customFormat="false" ht="15" hidden="false" customHeight="false" outlineLevel="0" collapsed="false">
      <c r="A3368" s="13" t="s">
        <v>1684</v>
      </c>
      <c r="B3368" s="13" t="s">
        <v>165</v>
      </c>
      <c r="C3368" s="13" t="n">
        <v>480</v>
      </c>
      <c r="D3368" s="13" t="n">
        <v>1</v>
      </c>
      <c r="E3368" s="13" t="n">
        <v>485</v>
      </c>
      <c r="F3368" s="13" t="s">
        <v>5325</v>
      </c>
      <c r="G3368" s="13" t="s">
        <v>5289</v>
      </c>
      <c r="H3368" s="13" t="s">
        <v>5292</v>
      </c>
      <c r="I3368" s="13" t="s">
        <v>5289</v>
      </c>
      <c r="J3368" s="13" t="s">
        <v>5289</v>
      </c>
      <c r="K3368" s="13" t="s">
        <v>5289</v>
      </c>
      <c r="L3368" s="13" t="n">
        <v>3614273638869</v>
      </c>
      <c r="M3368" s="13"/>
      <c r="N3368" s="13" t="n">
        <v>3614273638869</v>
      </c>
      <c r="O3368" s="13"/>
      <c r="P3368" s="13" t="s">
        <v>5291</v>
      </c>
      <c r="Q3368" s="13" t="s">
        <v>5289</v>
      </c>
      <c r="R3368" s="13" t="s">
        <v>5292</v>
      </c>
      <c r="S3368" s="13" t="s">
        <v>5293</v>
      </c>
      <c r="T3368" s="13" t="s">
        <v>5</v>
      </c>
      <c r="U3368" s="13" t="s">
        <v>43</v>
      </c>
      <c r="V3368" s="13" t="n">
        <f aca="false">IF(COUNTIF($B$2:B3368,B3368)=1,1,0)</f>
        <v>0</v>
      </c>
      <c r="W3368" s="13" t="n">
        <f aca="false">IF(COUNTIFS($B$2:B3368,B3368,$T$2:T3368,T3368)=1,1,0)</f>
        <v>0</v>
      </c>
    </row>
    <row r="3369" customFormat="false" ht="15" hidden="false" customHeight="false" outlineLevel="0" collapsed="false">
      <c r="A3369" s="13" t="s">
        <v>1241</v>
      </c>
      <c r="B3369" s="13" t="s">
        <v>153</v>
      </c>
      <c r="C3369" s="13" t="n">
        <v>480</v>
      </c>
      <c r="D3369" s="13" t="n">
        <v>1</v>
      </c>
      <c r="E3369" s="13" t="n">
        <v>484.85</v>
      </c>
      <c r="F3369" s="13" t="s">
        <v>5288</v>
      </c>
      <c r="G3369" s="13" t="s">
        <v>5289</v>
      </c>
      <c r="H3369" s="13" t="s">
        <v>5289</v>
      </c>
      <c r="I3369" s="13" t="s">
        <v>5289</v>
      </c>
      <c r="J3369" s="13" t="s">
        <v>5289</v>
      </c>
      <c r="K3369" s="13" t="s">
        <v>5289</v>
      </c>
      <c r="L3369" s="13" t="n">
        <v>8011003891467</v>
      </c>
      <c r="M3369" s="13"/>
      <c r="N3369" s="13" t="n">
        <v>8011003891467</v>
      </c>
      <c r="O3369" s="13"/>
      <c r="P3369" s="13" t="s">
        <v>5291</v>
      </c>
      <c r="Q3369" s="13" t="s">
        <v>5289</v>
      </c>
      <c r="R3369" s="13" t="s">
        <v>5292</v>
      </c>
      <c r="S3369" s="13" t="s">
        <v>5293</v>
      </c>
      <c r="T3369" s="13" t="s">
        <v>5</v>
      </c>
      <c r="U3369" s="13" t="s">
        <v>43</v>
      </c>
      <c r="V3369" s="13" t="n">
        <f aca="false">IF(COUNTIF($B$2:B3369,B3369)=1,1,0)</f>
        <v>0</v>
      </c>
      <c r="W3369" s="13" t="n">
        <f aca="false">IF(COUNTIFS($B$2:B3369,B3369,$T$2:T3369,T3369)=1,1,0)</f>
        <v>0</v>
      </c>
    </row>
    <row r="3370" customFormat="false" ht="15" hidden="false" customHeight="false" outlineLevel="0" collapsed="false">
      <c r="A3370" s="13" t="s">
        <v>3587</v>
      </c>
      <c r="B3370" s="13" t="s">
        <v>2155</v>
      </c>
      <c r="C3370" s="13" t="n">
        <v>480</v>
      </c>
      <c r="D3370" s="13" t="n">
        <v>2</v>
      </c>
      <c r="E3370" s="13" t="n">
        <v>121</v>
      </c>
      <c r="F3370" s="13" t="s">
        <v>5288</v>
      </c>
      <c r="G3370" s="13" t="s">
        <v>5289</v>
      </c>
      <c r="H3370" s="13" t="s">
        <v>5289</v>
      </c>
      <c r="I3370" s="13" t="s">
        <v>5289</v>
      </c>
      <c r="J3370" s="13" t="s">
        <v>5289</v>
      </c>
      <c r="K3370" s="13" t="s">
        <v>5289</v>
      </c>
      <c r="L3370" s="13" t="n">
        <v>5060926686714</v>
      </c>
      <c r="M3370" s="13"/>
      <c r="N3370" s="13" t="n">
        <v>5060926686714</v>
      </c>
      <c r="O3370" s="13"/>
      <c r="P3370" s="13" t="s">
        <v>5297</v>
      </c>
      <c r="Q3370" s="13" t="s">
        <v>5289</v>
      </c>
      <c r="R3370" s="13" t="s">
        <v>5292</v>
      </c>
      <c r="S3370" s="13" t="s">
        <v>5293</v>
      </c>
      <c r="T3370" s="13" t="s">
        <v>5</v>
      </c>
      <c r="U3370" s="13" t="s">
        <v>85</v>
      </c>
      <c r="V3370" s="13" t="n">
        <f aca="false">IF(COUNTIF($B$2:B3370,B3370)=1,1,0)</f>
        <v>0</v>
      </c>
      <c r="W3370" s="13" t="n">
        <f aca="false">IF(COUNTIFS($B$2:B3370,B3370,$T$2:T3370,T3370)=1,1,0)</f>
        <v>0</v>
      </c>
    </row>
    <row r="3371" customFormat="false" ht="15" hidden="false" customHeight="false" outlineLevel="0" collapsed="false">
      <c r="A3371" s="13" t="s">
        <v>1689</v>
      </c>
      <c r="B3371" s="13" t="s">
        <v>72</v>
      </c>
      <c r="C3371" s="13" t="n">
        <v>480</v>
      </c>
      <c r="D3371" s="13" t="n">
        <v>1</v>
      </c>
      <c r="E3371" s="13" t="n">
        <v>483.59</v>
      </c>
      <c r="F3371" s="13" t="s">
        <v>5325</v>
      </c>
      <c r="G3371" s="13" t="s">
        <v>5292</v>
      </c>
      <c r="H3371" s="13" t="s">
        <v>5292</v>
      </c>
      <c r="I3371" s="13" t="s">
        <v>5289</v>
      </c>
      <c r="J3371" s="13" t="s">
        <v>5289</v>
      </c>
      <c r="K3371" s="13" t="s">
        <v>5289</v>
      </c>
      <c r="L3371" s="13"/>
      <c r="M3371" s="13"/>
      <c r="N3371" s="13" t="n">
        <v>3614273760713</v>
      </c>
      <c r="O3371" s="13"/>
      <c r="P3371" s="13" t="s">
        <v>5291</v>
      </c>
      <c r="Q3371" s="13" t="s">
        <v>5289</v>
      </c>
      <c r="R3371" s="13" t="s">
        <v>5292</v>
      </c>
      <c r="S3371" s="13" t="s">
        <v>5293</v>
      </c>
      <c r="T3371" s="13" t="s">
        <v>5</v>
      </c>
      <c r="U3371" s="13" t="s">
        <v>43</v>
      </c>
      <c r="V3371" s="13" t="n">
        <f aca="false">IF(COUNTIF($B$2:B3371,B3371)=1,1,0)</f>
        <v>0</v>
      </c>
      <c r="W3371" s="13" t="n">
        <f aca="false">IF(COUNTIFS($B$2:B3371,B3371,$T$2:T3371,T3371)=1,1,0)</f>
        <v>0</v>
      </c>
    </row>
    <row r="3372" customFormat="false" ht="15" hidden="false" customHeight="false" outlineLevel="0" collapsed="false">
      <c r="A3372" s="13" t="s">
        <v>1082</v>
      </c>
      <c r="B3372" s="13" t="s">
        <v>79</v>
      </c>
      <c r="C3372" s="13" t="n">
        <v>480</v>
      </c>
      <c r="D3372" s="13" t="n">
        <v>1</v>
      </c>
      <c r="E3372" s="13" t="n">
        <v>482</v>
      </c>
      <c r="F3372" s="13" t="s">
        <v>5288</v>
      </c>
      <c r="G3372" s="13" t="s">
        <v>5289</v>
      </c>
      <c r="H3372" s="13" t="s">
        <v>5292</v>
      </c>
      <c r="I3372" s="13" t="s">
        <v>5289</v>
      </c>
      <c r="J3372" s="13" t="s">
        <v>5289</v>
      </c>
      <c r="K3372" s="13" t="s">
        <v>5289</v>
      </c>
      <c r="L3372" s="13"/>
      <c r="M3372" s="13"/>
      <c r="N3372" s="13" t="n">
        <v>8057971188284</v>
      </c>
      <c r="O3372" s="13"/>
      <c r="P3372" s="13" t="s">
        <v>5291</v>
      </c>
      <c r="Q3372" s="13" t="s">
        <v>5289</v>
      </c>
      <c r="R3372" s="13" t="s">
        <v>5292</v>
      </c>
      <c r="S3372" s="13" t="s">
        <v>5293</v>
      </c>
      <c r="T3372" s="13" t="s">
        <v>5</v>
      </c>
      <c r="U3372" s="13" t="s">
        <v>43</v>
      </c>
      <c r="V3372" s="13" t="n">
        <f aca="false">IF(COUNTIF($B$2:B3372,B3372)=1,1,0)</f>
        <v>0</v>
      </c>
      <c r="W3372" s="13" t="n">
        <f aca="false">IF(COUNTIFS($B$2:B3372,B3372,$T$2:T3372,T3372)=1,1,0)</f>
        <v>0</v>
      </c>
    </row>
    <row r="3373" customFormat="false" ht="15" hidden="false" customHeight="false" outlineLevel="0" collapsed="false">
      <c r="A3373" s="13" t="s">
        <v>1691</v>
      </c>
      <c r="B3373" s="13" t="s">
        <v>42</v>
      </c>
      <c r="C3373" s="13" t="n">
        <v>480</v>
      </c>
      <c r="D3373" s="13" t="n">
        <v>1</v>
      </c>
      <c r="E3373" s="13" t="n">
        <v>481</v>
      </c>
      <c r="F3373" s="13" t="s">
        <v>5325</v>
      </c>
      <c r="G3373" s="13" t="s">
        <v>5289</v>
      </c>
      <c r="H3373" s="13" t="s">
        <v>5289</v>
      </c>
      <c r="I3373" s="13" t="s">
        <v>5289</v>
      </c>
      <c r="J3373" s="13" t="s">
        <v>5289</v>
      </c>
      <c r="K3373" s="13" t="s">
        <v>5289</v>
      </c>
      <c r="L3373" s="13" t="n">
        <v>8411061926093</v>
      </c>
      <c r="M3373" s="13"/>
      <c r="N3373" s="13" t="n">
        <v>8411061926093</v>
      </c>
      <c r="O3373" s="13"/>
      <c r="P3373" s="13" t="s">
        <v>5291</v>
      </c>
      <c r="Q3373" s="13" t="s">
        <v>5289</v>
      </c>
      <c r="R3373" s="13" t="s">
        <v>5292</v>
      </c>
      <c r="S3373" s="13" t="s">
        <v>5293</v>
      </c>
      <c r="T3373" s="13" t="s">
        <v>5</v>
      </c>
      <c r="U3373" s="13" t="s">
        <v>43</v>
      </c>
      <c r="V3373" s="13" t="n">
        <f aca="false">IF(COUNTIF($B$2:B3373,B3373)=1,1,0)</f>
        <v>0</v>
      </c>
      <c r="W3373" s="13" t="n">
        <f aca="false">IF(COUNTIFS($B$2:B3373,B3373,$T$2:T3373,T3373)=1,1,0)</f>
        <v>0</v>
      </c>
    </row>
    <row r="3374" customFormat="false" ht="15" hidden="false" customHeight="false" outlineLevel="0" collapsed="false">
      <c r="A3374" s="13" t="s">
        <v>1690</v>
      </c>
      <c r="B3374" s="13" t="s">
        <v>107</v>
      </c>
      <c r="C3374" s="13" t="n">
        <v>480</v>
      </c>
      <c r="D3374" s="13" t="n">
        <v>2</v>
      </c>
      <c r="E3374" s="13" t="n">
        <v>239.9</v>
      </c>
      <c r="F3374" s="13" t="s">
        <v>5325</v>
      </c>
      <c r="G3374" s="13" t="s">
        <v>5292</v>
      </c>
      <c r="H3374" s="13" t="s">
        <v>5289</v>
      </c>
      <c r="I3374" s="13" t="s">
        <v>5289</v>
      </c>
      <c r="J3374" s="13" t="s">
        <v>5289</v>
      </c>
      <c r="K3374" s="13" t="s">
        <v>5289</v>
      </c>
      <c r="L3374" s="13"/>
      <c r="M3374" s="13"/>
      <c r="N3374" s="13" t="n">
        <v>7896235353744</v>
      </c>
      <c r="O3374" s="13"/>
      <c r="P3374" s="13" t="s">
        <v>5291</v>
      </c>
      <c r="Q3374" s="13" t="s">
        <v>5289</v>
      </c>
      <c r="R3374" s="13" t="s">
        <v>5292</v>
      </c>
      <c r="S3374" s="13" t="s">
        <v>5293</v>
      </c>
      <c r="T3374" s="13" t="s">
        <v>5</v>
      </c>
      <c r="U3374" s="13" t="s">
        <v>43</v>
      </c>
      <c r="V3374" s="13" t="n">
        <f aca="false">IF(COUNTIF($B$2:B3374,B3374)=1,1,0)</f>
        <v>0</v>
      </c>
      <c r="W3374" s="13" t="n">
        <f aca="false">IF(COUNTIFS($B$2:B3374,B3374,$T$2:T3374,T3374)=1,1,0)</f>
        <v>0</v>
      </c>
    </row>
    <row r="3375" customFormat="false" ht="15" hidden="false" customHeight="false" outlineLevel="0" collapsed="false">
      <c r="A3375" s="13" t="s">
        <v>1685</v>
      </c>
      <c r="B3375" s="13" t="s">
        <v>107</v>
      </c>
      <c r="C3375" s="13" t="n">
        <v>480</v>
      </c>
      <c r="D3375" s="13" t="n">
        <v>2</v>
      </c>
      <c r="E3375" s="13" t="n">
        <v>238.85</v>
      </c>
      <c r="F3375" s="13" t="s">
        <v>5325</v>
      </c>
      <c r="G3375" s="13" t="s">
        <v>5289</v>
      </c>
      <c r="H3375" s="13" t="s">
        <v>5292</v>
      </c>
      <c r="I3375" s="13" t="s">
        <v>5289</v>
      </c>
      <c r="J3375" s="13" t="s">
        <v>5289</v>
      </c>
      <c r="K3375" s="13" t="s">
        <v>5292</v>
      </c>
      <c r="L3375" s="13" t="n">
        <v>4064666306186</v>
      </c>
      <c r="M3375" s="13"/>
      <c r="N3375" s="13" t="n">
        <v>3.61422640305641E+025</v>
      </c>
      <c r="O3375" s="13"/>
      <c r="P3375" s="13" t="s">
        <v>5291</v>
      </c>
      <c r="Q3375" s="13" t="s">
        <v>5289</v>
      </c>
      <c r="R3375" s="13" t="s">
        <v>5292</v>
      </c>
      <c r="S3375" s="13" t="s">
        <v>5293</v>
      </c>
      <c r="T3375" s="13" t="s">
        <v>5</v>
      </c>
      <c r="U3375" s="13" t="s">
        <v>43</v>
      </c>
      <c r="V3375" s="13" t="n">
        <f aca="false">IF(COUNTIF($B$2:B3375,B3375)=1,1,0)</f>
        <v>0</v>
      </c>
      <c r="W3375" s="13" t="n">
        <f aca="false">IF(COUNTIFS($B$2:B3375,B3375,$T$2:T3375,T3375)=1,1,0)</f>
        <v>0</v>
      </c>
    </row>
    <row r="3376" customFormat="false" ht="15" hidden="false" customHeight="false" outlineLevel="0" collapsed="false">
      <c r="A3376" s="13" t="s">
        <v>6395</v>
      </c>
      <c r="B3376" s="13" t="s">
        <v>2110</v>
      </c>
      <c r="C3376" s="13" t="n">
        <v>480</v>
      </c>
      <c r="D3376" s="13" t="n">
        <v>1</v>
      </c>
      <c r="E3376" s="13" t="n">
        <v>477.61</v>
      </c>
      <c r="F3376" s="13" t="s">
        <v>5325</v>
      </c>
      <c r="G3376" s="13" t="s">
        <v>5289</v>
      </c>
      <c r="H3376" s="13" t="s">
        <v>5292</v>
      </c>
      <c r="I3376" s="13" t="s">
        <v>5289</v>
      </c>
      <c r="J3376" s="13" t="s">
        <v>5289</v>
      </c>
      <c r="K3376" s="13" t="s">
        <v>5289</v>
      </c>
      <c r="L3376" s="13"/>
      <c r="M3376" s="13"/>
      <c r="N3376" s="13" t="n">
        <v>3386460149280</v>
      </c>
      <c r="O3376" s="13"/>
      <c r="P3376" s="13" t="s">
        <v>5291</v>
      </c>
      <c r="Q3376" s="13" t="s">
        <v>5289</v>
      </c>
      <c r="R3376" s="13" t="s">
        <v>5292</v>
      </c>
      <c r="S3376" s="13" t="s">
        <v>5293</v>
      </c>
      <c r="T3376" s="13" t="s">
        <v>5</v>
      </c>
      <c r="U3376" s="13" t="s">
        <v>43</v>
      </c>
      <c r="V3376" s="13" t="n">
        <f aca="false">IF(COUNTIF($B$2:B3376,B3376)=1,1,0)</f>
        <v>0</v>
      </c>
      <c r="W3376" s="13" t="n">
        <f aca="false">IF(COUNTIFS($B$2:B3376,B3376,$T$2:T3376,T3376)=1,1,0)</f>
        <v>0</v>
      </c>
    </row>
    <row r="3377" customFormat="false" ht="15" hidden="false" customHeight="false" outlineLevel="0" collapsed="false">
      <c r="A3377" s="13" t="s">
        <v>841</v>
      </c>
      <c r="B3377" s="13" t="s">
        <v>153</v>
      </c>
      <c r="C3377" s="13" t="n">
        <v>470</v>
      </c>
      <c r="D3377" s="13" t="n">
        <v>1</v>
      </c>
      <c r="E3377" s="13" t="n">
        <v>473.27</v>
      </c>
      <c r="F3377" s="13" t="s">
        <v>5288</v>
      </c>
      <c r="G3377" s="13" t="s">
        <v>5289</v>
      </c>
      <c r="H3377" s="13" t="s">
        <v>5292</v>
      </c>
      <c r="I3377" s="13" t="s">
        <v>5289</v>
      </c>
      <c r="J3377" s="13" t="s">
        <v>5289</v>
      </c>
      <c r="K3377" s="13" t="s">
        <v>5289</v>
      </c>
      <c r="L3377" s="13"/>
      <c r="M3377" s="13"/>
      <c r="N3377" s="13" t="n">
        <v>8018365071261</v>
      </c>
      <c r="O3377" s="13"/>
      <c r="P3377" s="13" t="s">
        <v>5291</v>
      </c>
      <c r="Q3377" s="13" t="s">
        <v>5289</v>
      </c>
      <c r="R3377" s="13" t="s">
        <v>5292</v>
      </c>
      <c r="S3377" s="13" t="s">
        <v>5293</v>
      </c>
      <c r="T3377" s="13" t="s">
        <v>5</v>
      </c>
      <c r="U3377" s="13" t="s">
        <v>43</v>
      </c>
      <c r="V3377" s="13" t="n">
        <f aca="false">IF(COUNTIF($B$2:B3377,B3377)=1,1,0)</f>
        <v>0</v>
      </c>
      <c r="W3377" s="13" t="n">
        <f aca="false">IF(COUNTIFS($B$2:B3377,B3377,$T$2:T3377,T3377)=1,1,0)</f>
        <v>0</v>
      </c>
    </row>
    <row r="3378" customFormat="false" ht="15" hidden="false" customHeight="false" outlineLevel="0" collapsed="false">
      <c r="A3378" s="13" t="s">
        <v>397</v>
      </c>
      <c r="B3378" s="13" t="s">
        <v>69</v>
      </c>
      <c r="C3378" s="13" t="n">
        <v>470</v>
      </c>
      <c r="D3378" s="13" t="n">
        <v>1</v>
      </c>
      <c r="E3378" s="13" t="n">
        <v>472</v>
      </c>
      <c r="F3378" s="13" t="s">
        <v>5325</v>
      </c>
      <c r="G3378" s="13" t="s">
        <v>5289</v>
      </c>
      <c r="H3378" s="13" t="s">
        <v>5289</v>
      </c>
      <c r="I3378" s="13" t="s">
        <v>5289</v>
      </c>
      <c r="J3378" s="13" t="s">
        <v>5289</v>
      </c>
      <c r="K3378" s="13" t="s">
        <v>5289</v>
      </c>
      <c r="L3378" s="13" t="n">
        <v>3614270561665</v>
      </c>
      <c r="M3378" s="13"/>
      <c r="N3378" s="13" t="n">
        <v>3614270561665</v>
      </c>
      <c r="O3378" s="13"/>
      <c r="P3378" s="13" t="s">
        <v>5291</v>
      </c>
      <c r="Q3378" s="13" t="s">
        <v>5289</v>
      </c>
      <c r="R3378" s="13" t="s">
        <v>5292</v>
      </c>
      <c r="S3378" s="13" t="s">
        <v>5293</v>
      </c>
      <c r="T3378" s="13" t="s">
        <v>5</v>
      </c>
      <c r="U3378" s="13" t="s">
        <v>43</v>
      </c>
      <c r="V3378" s="13" t="n">
        <f aca="false">IF(COUNTIF($B$2:B3378,B3378)=1,1,0)</f>
        <v>0</v>
      </c>
      <c r="W3378" s="13" t="n">
        <f aca="false">IF(COUNTIFS($B$2:B3378,B3378,$T$2:T3378,T3378)=1,1,0)</f>
        <v>0</v>
      </c>
    </row>
    <row r="3379" customFormat="false" ht="15" hidden="false" customHeight="false" outlineLevel="0" collapsed="false">
      <c r="A3379" s="13" t="s">
        <v>1698</v>
      </c>
      <c r="B3379" s="13" t="s">
        <v>69</v>
      </c>
      <c r="C3379" s="13" t="n">
        <v>470</v>
      </c>
      <c r="D3379" s="13" t="n">
        <v>1</v>
      </c>
      <c r="E3379" s="13" t="n">
        <v>472</v>
      </c>
      <c r="F3379" s="13" t="s">
        <v>5325</v>
      </c>
      <c r="G3379" s="13" t="s">
        <v>5289</v>
      </c>
      <c r="H3379" s="13" t="s">
        <v>5292</v>
      </c>
      <c r="I3379" s="13" t="s">
        <v>5289</v>
      </c>
      <c r="J3379" s="13" t="s">
        <v>5289</v>
      </c>
      <c r="K3379" s="13" t="s">
        <v>5289</v>
      </c>
      <c r="L3379" s="13" t="n">
        <v>3614270561665</v>
      </c>
      <c r="M3379" s="13"/>
      <c r="N3379" s="13" t="n">
        <v>3614270561665</v>
      </c>
      <c r="O3379" s="13"/>
      <c r="P3379" s="13" t="s">
        <v>5291</v>
      </c>
      <c r="Q3379" s="13" t="s">
        <v>5289</v>
      </c>
      <c r="R3379" s="13" t="s">
        <v>5292</v>
      </c>
      <c r="S3379" s="13" t="s">
        <v>5293</v>
      </c>
      <c r="T3379" s="13" t="s">
        <v>5</v>
      </c>
      <c r="U3379" s="13" t="s">
        <v>43</v>
      </c>
      <c r="V3379" s="13" t="n">
        <f aca="false">IF(COUNTIF($B$2:B3379,B3379)=1,1,0)</f>
        <v>0</v>
      </c>
      <c r="W3379" s="13" t="n">
        <f aca="false">IF(COUNTIFS($B$2:B3379,B3379,$T$2:T3379,T3379)=1,1,0)</f>
        <v>0</v>
      </c>
    </row>
    <row r="3380" customFormat="false" ht="15" hidden="false" customHeight="false" outlineLevel="0" collapsed="false">
      <c r="A3380" s="13" t="s">
        <v>1696</v>
      </c>
      <c r="B3380" s="13" t="s">
        <v>61</v>
      </c>
      <c r="C3380" s="13" t="n">
        <v>470</v>
      </c>
      <c r="D3380" s="13" t="n">
        <v>1</v>
      </c>
      <c r="E3380" s="13" t="n">
        <v>471.39</v>
      </c>
      <c r="F3380" s="13" t="s">
        <v>5288</v>
      </c>
      <c r="G3380" s="13" t="s">
        <v>5289</v>
      </c>
      <c r="H3380" s="13" t="s">
        <v>5289</v>
      </c>
      <c r="I3380" s="13" t="s">
        <v>5289</v>
      </c>
      <c r="J3380" s="13" t="s">
        <v>5289</v>
      </c>
      <c r="K3380" s="13" t="s">
        <v>5289</v>
      </c>
      <c r="L3380" s="13" t="n">
        <v>3614274684001</v>
      </c>
      <c r="M3380" s="13"/>
      <c r="N3380" s="13" t="n">
        <v>3614274684001</v>
      </c>
      <c r="O3380" s="13"/>
      <c r="P3380" s="13" t="s">
        <v>5291</v>
      </c>
      <c r="Q3380" s="13" t="s">
        <v>5289</v>
      </c>
      <c r="R3380" s="13" t="s">
        <v>5292</v>
      </c>
      <c r="S3380" s="13" t="s">
        <v>5293</v>
      </c>
      <c r="T3380" s="13" t="s">
        <v>5</v>
      </c>
      <c r="U3380" s="13" t="s">
        <v>43</v>
      </c>
      <c r="V3380" s="13" t="n">
        <f aca="false">IF(COUNTIF($B$2:B3380,B3380)=1,1,0)</f>
        <v>0</v>
      </c>
      <c r="W3380" s="13" t="n">
        <f aca="false">IF(COUNTIFS($B$2:B3380,B3380,$T$2:T3380,T3380)=1,1,0)</f>
        <v>0</v>
      </c>
    </row>
    <row r="3381" customFormat="false" ht="15" hidden="false" customHeight="false" outlineLevel="0" collapsed="false">
      <c r="A3381" s="13" t="s">
        <v>558</v>
      </c>
      <c r="B3381" s="13" t="s">
        <v>153</v>
      </c>
      <c r="C3381" s="13" t="n">
        <v>470</v>
      </c>
      <c r="D3381" s="13" t="n">
        <v>1</v>
      </c>
      <c r="E3381" s="13" t="n">
        <v>469</v>
      </c>
      <c r="F3381" s="13" t="s">
        <v>5288</v>
      </c>
      <c r="G3381" s="13" t="s">
        <v>5292</v>
      </c>
      <c r="H3381" s="13" t="s">
        <v>5289</v>
      </c>
      <c r="I3381" s="13" t="s">
        <v>5289</v>
      </c>
      <c r="J3381" s="13" t="s">
        <v>5289</v>
      </c>
      <c r="K3381" s="13" t="s">
        <v>5289</v>
      </c>
      <c r="L3381" s="13" t="n">
        <v>8018365070264</v>
      </c>
      <c r="M3381" s="13"/>
      <c r="N3381" s="13" t="n">
        <v>8018365070264</v>
      </c>
      <c r="O3381" s="13"/>
      <c r="P3381" s="13" t="s">
        <v>5297</v>
      </c>
      <c r="Q3381" s="13" t="s">
        <v>5289</v>
      </c>
      <c r="R3381" s="13" t="s">
        <v>5292</v>
      </c>
      <c r="S3381" s="13" t="s">
        <v>5293</v>
      </c>
      <c r="T3381" s="13" t="s">
        <v>5</v>
      </c>
      <c r="U3381" s="13" t="s">
        <v>43</v>
      </c>
      <c r="V3381" s="13" t="n">
        <f aca="false">IF(COUNTIF($B$2:B3381,B3381)=1,1,0)</f>
        <v>0</v>
      </c>
      <c r="W3381" s="13" t="n">
        <f aca="false">IF(COUNTIFS($B$2:B3381,B3381,$T$2:T3381,T3381)=1,1,0)</f>
        <v>0</v>
      </c>
    </row>
    <row r="3382" customFormat="false" ht="15" hidden="false" customHeight="false" outlineLevel="0" collapsed="false">
      <c r="A3382" s="13" t="s">
        <v>1695</v>
      </c>
      <c r="B3382" s="13" t="s">
        <v>61</v>
      </c>
      <c r="C3382" s="13" t="n">
        <v>470</v>
      </c>
      <c r="D3382" s="13" t="n">
        <v>1</v>
      </c>
      <c r="E3382" s="13" t="n">
        <v>468.89</v>
      </c>
      <c r="F3382" s="13" t="s">
        <v>5325</v>
      </c>
      <c r="G3382" s="13" t="s">
        <v>5289</v>
      </c>
      <c r="H3382" s="13" t="s">
        <v>5292</v>
      </c>
      <c r="I3382" s="13" t="s">
        <v>5289</v>
      </c>
      <c r="J3382" s="13" t="s">
        <v>5289</v>
      </c>
      <c r="K3382" s="13" t="s">
        <v>5289</v>
      </c>
      <c r="L3382" s="13" t="n">
        <v>3605533315163</v>
      </c>
      <c r="M3382" s="13"/>
      <c r="N3382" s="13" t="n">
        <v>3605533315163</v>
      </c>
      <c r="O3382" s="13"/>
      <c r="P3382" s="13" t="s">
        <v>5291</v>
      </c>
      <c r="Q3382" s="13" t="s">
        <v>5289</v>
      </c>
      <c r="R3382" s="13" t="s">
        <v>5292</v>
      </c>
      <c r="S3382" s="13" t="s">
        <v>5293</v>
      </c>
      <c r="T3382" s="13" t="s">
        <v>5</v>
      </c>
      <c r="U3382" s="13" t="s">
        <v>43</v>
      </c>
      <c r="V3382" s="13" t="n">
        <f aca="false">IF(COUNTIF($B$2:B3382,B3382)=1,1,0)</f>
        <v>0</v>
      </c>
      <c r="W3382" s="13" t="n">
        <f aca="false">IF(COUNTIFS($B$2:B3382,B3382,$T$2:T3382,T3382)=1,1,0)</f>
        <v>0</v>
      </c>
    </row>
    <row r="3383" customFormat="false" ht="15" hidden="false" customHeight="false" outlineLevel="0" collapsed="false">
      <c r="A3383" s="13" t="s">
        <v>4599</v>
      </c>
      <c r="B3383" s="13" t="s">
        <v>2192</v>
      </c>
      <c r="C3383" s="13" t="n">
        <v>470</v>
      </c>
      <c r="D3383" s="13" t="n">
        <v>1</v>
      </c>
      <c r="E3383" s="13" t="n">
        <v>468.85</v>
      </c>
      <c r="F3383" s="13" t="s">
        <v>5325</v>
      </c>
      <c r="G3383" s="13" t="s">
        <v>5292</v>
      </c>
      <c r="H3383" s="13" t="s">
        <v>5289</v>
      </c>
      <c r="I3383" s="13" t="s">
        <v>5289</v>
      </c>
      <c r="J3383" s="13" t="s">
        <v>5289</v>
      </c>
      <c r="K3383" s="13" t="s">
        <v>5292</v>
      </c>
      <c r="L3383" s="13" t="n">
        <v>7290015485357</v>
      </c>
      <c r="M3383" s="13"/>
      <c r="N3383" s="13" t="n">
        <v>7290015485357</v>
      </c>
      <c r="O3383" s="13"/>
      <c r="P3383" s="13" t="s">
        <v>5291</v>
      </c>
      <c r="Q3383" s="13" t="s">
        <v>5289</v>
      </c>
      <c r="R3383" s="13" t="s">
        <v>5292</v>
      </c>
      <c r="S3383" s="13" t="s">
        <v>5293</v>
      </c>
      <c r="T3383" s="13" t="s">
        <v>5</v>
      </c>
      <c r="U3383" s="13" t="s">
        <v>183</v>
      </c>
      <c r="V3383" s="13" t="n">
        <f aca="false">IF(COUNTIF($B$2:B3383,B3383)=1,1,0)</f>
        <v>0</v>
      </c>
      <c r="W3383" s="13" t="n">
        <f aca="false">IF(COUNTIFS($B$2:B3383,B3383,$T$2:T3383,T3383)=1,1,0)</f>
        <v>0</v>
      </c>
    </row>
    <row r="3384" customFormat="false" ht="15" hidden="false" customHeight="false" outlineLevel="0" collapsed="false">
      <c r="A3384" s="13" t="s">
        <v>1694</v>
      </c>
      <c r="B3384" s="13" t="s">
        <v>45</v>
      </c>
      <c r="C3384" s="13" t="n">
        <v>470</v>
      </c>
      <c r="D3384" s="13" t="n">
        <v>1</v>
      </c>
      <c r="E3384" s="13" t="n">
        <v>468.85</v>
      </c>
      <c r="F3384" s="13" t="s">
        <v>5288</v>
      </c>
      <c r="G3384" s="13" t="s">
        <v>5292</v>
      </c>
      <c r="H3384" s="13" t="s">
        <v>5292</v>
      </c>
      <c r="I3384" s="13" t="s">
        <v>5289</v>
      </c>
      <c r="J3384" s="13" t="s">
        <v>5289</v>
      </c>
      <c r="K3384" s="13" t="s">
        <v>5292</v>
      </c>
      <c r="L3384" s="13" t="n">
        <v>8435415011280</v>
      </c>
      <c r="M3384" s="13"/>
      <c r="N3384" s="13" t="n">
        <v>8435415011280</v>
      </c>
      <c r="O3384" s="13"/>
      <c r="P3384" s="13" t="s">
        <v>5291</v>
      </c>
      <c r="Q3384" s="13" t="s">
        <v>5289</v>
      </c>
      <c r="R3384" s="13" t="s">
        <v>5292</v>
      </c>
      <c r="S3384" s="13" t="s">
        <v>5293</v>
      </c>
      <c r="T3384" s="13" t="s">
        <v>5</v>
      </c>
      <c r="U3384" s="13" t="s">
        <v>43</v>
      </c>
      <c r="V3384" s="13" t="n">
        <f aca="false">IF(COUNTIF($B$2:B3384,B3384)=1,1,0)</f>
        <v>0</v>
      </c>
      <c r="W3384" s="13" t="n">
        <f aca="false">IF(COUNTIFS($B$2:B3384,B3384,$T$2:T3384,T3384)=1,1,0)</f>
        <v>0</v>
      </c>
    </row>
    <row r="3385" customFormat="false" ht="15" hidden="false" customHeight="false" outlineLevel="0" collapsed="false">
      <c r="A3385" s="13" t="s">
        <v>684</v>
      </c>
      <c r="B3385" s="13" t="s">
        <v>124</v>
      </c>
      <c r="C3385" s="13" t="n">
        <v>470</v>
      </c>
      <c r="D3385" s="13" t="n">
        <v>1</v>
      </c>
      <c r="E3385" s="13" t="n">
        <v>467</v>
      </c>
      <c r="F3385" s="13" t="s">
        <v>5325</v>
      </c>
      <c r="G3385" s="13" t="s">
        <v>5289</v>
      </c>
      <c r="H3385" s="13" t="s">
        <v>5289</v>
      </c>
      <c r="I3385" s="13" t="s">
        <v>5289</v>
      </c>
      <c r="J3385" s="13" t="s">
        <v>5289</v>
      </c>
      <c r="K3385" s="13" t="s">
        <v>5289</v>
      </c>
      <c r="L3385" s="13"/>
      <c r="M3385" s="13"/>
      <c r="N3385" s="13" t="n">
        <v>3614274151008</v>
      </c>
      <c r="O3385" s="13"/>
      <c r="P3385" s="13" t="s">
        <v>5291</v>
      </c>
      <c r="Q3385" s="13" t="s">
        <v>5289</v>
      </c>
      <c r="R3385" s="13" t="s">
        <v>5292</v>
      </c>
      <c r="S3385" s="13" t="s">
        <v>5293</v>
      </c>
      <c r="T3385" s="13" t="s">
        <v>5</v>
      </c>
      <c r="U3385" s="13" t="s">
        <v>43</v>
      </c>
      <c r="V3385" s="13" t="n">
        <f aca="false">IF(COUNTIF($B$2:B3385,B3385)=1,1,0)</f>
        <v>0</v>
      </c>
      <c r="W3385" s="13" t="n">
        <f aca="false">IF(COUNTIFS($B$2:B3385,B3385,$T$2:T3385,T3385)=1,1,0)</f>
        <v>0</v>
      </c>
    </row>
    <row r="3386" customFormat="false" ht="15" hidden="false" customHeight="false" outlineLevel="0" collapsed="false">
      <c r="A3386" s="13" t="s">
        <v>4394</v>
      </c>
      <c r="B3386" s="13" t="s">
        <v>2208</v>
      </c>
      <c r="C3386" s="13" t="n">
        <v>470</v>
      </c>
      <c r="D3386" s="13" t="n">
        <v>2</v>
      </c>
      <c r="E3386" s="13" t="n">
        <v>155.026666666667</v>
      </c>
      <c r="F3386" s="13" t="s">
        <v>5325</v>
      </c>
      <c r="G3386" s="13" t="s">
        <v>5289</v>
      </c>
      <c r="H3386" s="13" t="s">
        <v>5289</v>
      </c>
      <c r="I3386" s="13" t="s">
        <v>5289</v>
      </c>
      <c r="J3386" s="13" t="s">
        <v>5289</v>
      </c>
      <c r="K3386" s="13" t="s">
        <v>5289</v>
      </c>
      <c r="L3386" s="13" t="n">
        <v>3616303461980</v>
      </c>
      <c r="M3386" s="13"/>
      <c r="N3386" s="13" t="n">
        <v>3616303461980</v>
      </c>
      <c r="O3386" s="13"/>
      <c r="P3386" s="13" t="s">
        <v>5291</v>
      </c>
      <c r="Q3386" s="13" t="s">
        <v>5289</v>
      </c>
      <c r="R3386" s="13" t="s">
        <v>5292</v>
      </c>
      <c r="S3386" s="13" t="s">
        <v>5293</v>
      </c>
      <c r="T3386" s="13" t="s">
        <v>5</v>
      </c>
      <c r="U3386" s="13" t="s">
        <v>43</v>
      </c>
      <c r="V3386" s="13" t="n">
        <f aca="false">IF(COUNTIF($B$2:B3386,B3386)=1,1,0)</f>
        <v>0</v>
      </c>
      <c r="W3386" s="13" t="n">
        <f aca="false">IF(COUNTIFS($B$2:B3386,B3386,$T$2:T3386,T3386)=1,1,0)</f>
        <v>0</v>
      </c>
    </row>
    <row r="3387" customFormat="false" ht="15" hidden="false" customHeight="false" outlineLevel="0" collapsed="false">
      <c r="A3387" s="13" t="s">
        <v>480</v>
      </c>
      <c r="B3387" s="13" t="s">
        <v>50</v>
      </c>
      <c r="C3387" s="13" t="n">
        <v>460</v>
      </c>
      <c r="D3387" s="13" t="n">
        <v>1</v>
      </c>
      <c r="E3387" s="13" t="n">
        <v>465</v>
      </c>
      <c r="F3387" s="13" t="s">
        <v>5288</v>
      </c>
      <c r="G3387" s="13" t="s">
        <v>5292</v>
      </c>
      <c r="H3387" s="13" t="s">
        <v>5289</v>
      </c>
      <c r="I3387" s="13" t="s">
        <v>5289</v>
      </c>
      <c r="J3387" s="13" t="s">
        <v>5289</v>
      </c>
      <c r="K3387" s="13" t="s">
        <v>5289</v>
      </c>
      <c r="L3387" s="13" t="n">
        <v>3349668630028</v>
      </c>
      <c r="M3387" s="13"/>
      <c r="N3387" s="13" t="n">
        <v>3349668630028</v>
      </c>
      <c r="O3387" s="13"/>
      <c r="P3387" s="13" t="s">
        <v>5291</v>
      </c>
      <c r="Q3387" s="13" t="s">
        <v>5289</v>
      </c>
      <c r="R3387" s="13" t="s">
        <v>5292</v>
      </c>
      <c r="S3387" s="13" t="s">
        <v>5293</v>
      </c>
      <c r="T3387" s="13" t="s">
        <v>5</v>
      </c>
      <c r="U3387" s="13" t="s">
        <v>43</v>
      </c>
      <c r="V3387" s="13" t="n">
        <f aca="false">IF(COUNTIF($B$2:B3387,B3387)=1,1,0)</f>
        <v>0</v>
      </c>
      <c r="W3387" s="13" t="n">
        <f aca="false">IF(COUNTIFS($B$2:B3387,B3387,$T$2:T3387,T3387)=1,1,0)</f>
        <v>0</v>
      </c>
    </row>
    <row r="3388" customFormat="false" ht="15" hidden="false" customHeight="false" outlineLevel="0" collapsed="false">
      <c r="A3388" s="13" t="s">
        <v>1704</v>
      </c>
      <c r="B3388" s="13" t="s">
        <v>54</v>
      </c>
      <c r="C3388" s="13" t="n">
        <v>460</v>
      </c>
      <c r="D3388" s="13" t="n">
        <v>1</v>
      </c>
      <c r="E3388" s="13" t="n">
        <v>464.85</v>
      </c>
      <c r="F3388" s="13" t="s">
        <v>5288</v>
      </c>
      <c r="G3388" s="13" t="s">
        <v>5289</v>
      </c>
      <c r="H3388" s="13" t="s">
        <v>5289</v>
      </c>
      <c r="I3388" s="13" t="s">
        <v>5289</v>
      </c>
      <c r="J3388" s="13" t="s">
        <v>5289</v>
      </c>
      <c r="K3388" s="13" t="s">
        <v>5292</v>
      </c>
      <c r="L3388" s="13" t="n">
        <v>768614155225</v>
      </c>
      <c r="M3388" s="13"/>
      <c r="N3388" s="13" t="n">
        <v>768614155225</v>
      </c>
      <c r="O3388" s="13"/>
      <c r="P3388" s="13" t="s">
        <v>5297</v>
      </c>
      <c r="Q3388" s="13" t="s">
        <v>5289</v>
      </c>
      <c r="R3388" s="13" t="s">
        <v>5292</v>
      </c>
      <c r="S3388" s="13" t="s">
        <v>5293</v>
      </c>
      <c r="T3388" s="13" t="s">
        <v>5</v>
      </c>
      <c r="U3388" s="13" t="s">
        <v>43</v>
      </c>
      <c r="V3388" s="13" t="n">
        <f aca="false">IF(COUNTIF($B$2:B3388,B3388)=1,1,0)</f>
        <v>0</v>
      </c>
      <c r="W3388" s="13" t="n">
        <f aca="false">IF(COUNTIFS($B$2:B3388,B3388,$T$2:T3388,T3388)=1,1,0)</f>
        <v>0</v>
      </c>
    </row>
    <row r="3389" customFormat="false" ht="15" hidden="false" customHeight="false" outlineLevel="0" collapsed="false">
      <c r="A3389" s="13" t="s">
        <v>1468</v>
      </c>
      <c r="B3389" s="13" t="s">
        <v>329</v>
      </c>
      <c r="C3389" s="13" t="n">
        <v>460</v>
      </c>
      <c r="D3389" s="13" t="n">
        <v>1</v>
      </c>
      <c r="E3389" s="13" t="n">
        <v>464</v>
      </c>
      <c r="F3389" s="13" t="s">
        <v>5288</v>
      </c>
      <c r="G3389" s="13" t="s">
        <v>5289</v>
      </c>
      <c r="H3389" s="13" t="s">
        <v>5289</v>
      </c>
      <c r="I3389" s="13" t="s">
        <v>5289</v>
      </c>
      <c r="J3389" s="13" t="s">
        <v>5289</v>
      </c>
      <c r="K3389" s="13" t="s">
        <v>5289</v>
      </c>
      <c r="L3389" s="13"/>
      <c r="M3389" s="13"/>
      <c r="N3389" s="13" t="n">
        <v>3137370363149</v>
      </c>
      <c r="O3389" s="13"/>
      <c r="P3389" s="13" t="s">
        <v>5297</v>
      </c>
      <c r="Q3389" s="13" t="s">
        <v>5289</v>
      </c>
      <c r="R3389" s="13" t="s">
        <v>5292</v>
      </c>
      <c r="S3389" s="13" t="s">
        <v>5293</v>
      </c>
      <c r="T3389" s="13" t="s">
        <v>5</v>
      </c>
      <c r="U3389" s="13" t="s">
        <v>43</v>
      </c>
      <c r="V3389" s="13" t="n">
        <f aca="false">IF(COUNTIF($B$2:B3389,B3389)=1,1,0)</f>
        <v>0</v>
      </c>
      <c r="W3389" s="13" t="n">
        <f aca="false">IF(COUNTIFS($B$2:B3389,B3389,$T$2:T3389,T3389)=1,1,0)</f>
        <v>0</v>
      </c>
    </row>
    <row r="3390" customFormat="false" ht="15" hidden="false" customHeight="false" outlineLevel="0" collapsed="false">
      <c r="A3390" s="13" t="s">
        <v>1707</v>
      </c>
      <c r="B3390" s="13" t="s">
        <v>124</v>
      </c>
      <c r="C3390" s="13" t="n">
        <v>460</v>
      </c>
      <c r="D3390" s="13" t="n">
        <v>1</v>
      </c>
      <c r="E3390" s="13" t="n">
        <v>462.6</v>
      </c>
      <c r="F3390" s="13" t="s">
        <v>5325</v>
      </c>
      <c r="G3390" s="13" t="s">
        <v>5292</v>
      </c>
      <c r="H3390" s="13" t="s">
        <v>5292</v>
      </c>
      <c r="I3390" s="13" t="s">
        <v>5289</v>
      </c>
      <c r="J3390" s="13" t="s">
        <v>5289</v>
      </c>
      <c r="K3390" s="13" t="s">
        <v>5289</v>
      </c>
      <c r="L3390" s="13"/>
      <c r="M3390" s="13"/>
      <c r="N3390" s="13" t="n">
        <v>3614273734882</v>
      </c>
      <c r="O3390" s="13"/>
      <c r="P3390" s="13" t="s">
        <v>5291</v>
      </c>
      <c r="Q3390" s="13" t="s">
        <v>5289</v>
      </c>
      <c r="R3390" s="13" t="s">
        <v>5292</v>
      </c>
      <c r="S3390" s="13" t="s">
        <v>5293</v>
      </c>
      <c r="T3390" s="13" t="s">
        <v>5</v>
      </c>
      <c r="U3390" s="13" t="s">
        <v>43</v>
      </c>
      <c r="V3390" s="13" t="n">
        <f aca="false">IF(COUNTIF($B$2:B3390,B3390)=1,1,0)</f>
        <v>0</v>
      </c>
      <c r="W3390" s="13" t="n">
        <f aca="false">IF(COUNTIFS($B$2:B3390,B3390,$T$2:T3390,T3390)=1,1,0)</f>
        <v>0</v>
      </c>
    </row>
    <row r="3391" customFormat="false" ht="15" hidden="false" customHeight="false" outlineLevel="0" collapsed="false">
      <c r="A3391" s="13" t="s">
        <v>1706</v>
      </c>
      <c r="B3391" s="13" t="s">
        <v>490</v>
      </c>
      <c r="C3391" s="13" t="n">
        <v>460</v>
      </c>
      <c r="D3391" s="13" t="n">
        <v>1</v>
      </c>
      <c r="E3391" s="13" t="n">
        <v>461.48</v>
      </c>
      <c r="F3391" s="13" t="s">
        <v>5325</v>
      </c>
      <c r="G3391" s="13" t="s">
        <v>5292</v>
      </c>
      <c r="H3391" s="13" t="s">
        <v>5289</v>
      </c>
      <c r="I3391" s="13" t="s">
        <v>5289</v>
      </c>
      <c r="J3391" s="13" t="s">
        <v>5289</v>
      </c>
      <c r="K3391" s="13" t="s">
        <v>5289</v>
      </c>
      <c r="L3391" s="13" t="n">
        <v>8011003061327</v>
      </c>
      <c r="M3391" s="13"/>
      <c r="N3391" s="13" t="n">
        <v>8011003061327</v>
      </c>
      <c r="O3391" s="13"/>
      <c r="P3391" s="13" t="s">
        <v>5291</v>
      </c>
      <c r="Q3391" s="13" t="s">
        <v>5289</v>
      </c>
      <c r="R3391" s="13" t="s">
        <v>5292</v>
      </c>
      <c r="S3391" s="13" t="s">
        <v>5293</v>
      </c>
      <c r="T3391" s="13" t="s">
        <v>5</v>
      </c>
      <c r="U3391" s="13" t="s">
        <v>43</v>
      </c>
      <c r="V3391" s="13" t="n">
        <f aca="false">IF(COUNTIF($B$2:B3391,B3391)=1,1,0)</f>
        <v>0</v>
      </c>
      <c r="W3391" s="13" t="n">
        <f aca="false">IF(COUNTIFS($B$2:B3391,B3391,$T$2:T3391,T3391)=1,1,0)</f>
        <v>0</v>
      </c>
    </row>
    <row r="3392" customFormat="false" ht="15" hidden="false" customHeight="false" outlineLevel="0" collapsed="false">
      <c r="A3392" s="13" t="s">
        <v>1701</v>
      </c>
      <c r="B3392" s="13" t="s">
        <v>177</v>
      </c>
      <c r="C3392" s="13" t="n">
        <v>460</v>
      </c>
      <c r="D3392" s="13" t="n">
        <v>2</v>
      </c>
      <c r="E3392" s="13" t="n">
        <v>153.416666666667</v>
      </c>
      <c r="F3392" s="13" t="s">
        <v>5325</v>
      </c>
      <c r="G3392" s="13" t="s">
        <v>5289</v>
      </c>
      <c r="H3392" s="13" t="s">
        <v>5292</v>
      </c>
      <c r="I3392" s="13" t="s">
        <v>5289</v>
      </c>
      <c r="J3392" s="13" t="s">
        <v>5289</v>
      </c>
      <c r="K3392" s="13" t="s">
        <v>5289</v>
      </c>
      <c r="L3392" s="13"/>
      <c r="M3392" s="13"/>
      <c r="N3392" s="13" t="n">
        <v>3616305169297</v>
      </c>
      <c r="O3392" s="13"/>
      <c r="P3392" s="13" t="s">
        <v>5291</v>
      </c>
      <c r="Q3392" s="13" t="s">
        <v>5289</v>
      </c>
      <c r="R3392" s="13" t="s">
        <v>5292</v>
      </c>
      <c r="S3392" s="13" t="s">
        <v>5293</v>
      </c>
      <c r="T3392" s="13" t="s">
        <v>5</v>
      </c>
      <c r="U3392" s="13" t="s">
        <v>43</v>
      </c>
      <c r="V3392" s="13" t="n">
        <f aca="false">IF(COUNTIF($B$2:B3392,B3392)=1,1,0)</f>
        <v>0</v>
      </c>
      <c r="W3392" s="13" t="n">
        <f aca="false">IF(COUNTIFS($B$2:B3392,B3392,$T$2:T3392,T3392)=1,1,0)</f>
        <v>0</v>
      </c>
    </row>
    <row r="3393" customFormat="false" ht="15" hidden="false" customHeight="false" outlineLevel="0" collapsed="false">
      <c r="A3393" s="13" t="s">
        <v>1703</v>
      </c>
      <c r="B3393" s="13" t="s">
        <v>153</v>
      </c>
      <c r="C3393" s="13" t="n">
        <v>460</v>
      </c>
      <c r="D3393" s="13" t="n">
        <v>1</v>
      </c>
      <c r="E3393" s="13" t="n">
        <v>460</v>
      </c>
      <c r="F3393" s="13" t="s">
        <v>5288</v>
      </c>
      <c r="G3393" s="13" t="s">
        <v>5292</v>
      </c>
      <c r="H3393" s="13" t="s">
        <v>5292</v>
      </c>
      <c r="I3393" s="13" t="s">
        <v>5289</v>
      </c>
      <c r="J3393" s="13" t="s">
        <v>5289</v>
      </c>
      <c r="K3393" s="13" t="s">
        <v>5289</v>
      </c>
      <c r="L3393" s="13" t="n">
        <v>8011003809219</v>
      </c>
      <c r="M3393" s="13"/>
      <c r="N3393" s="13" t="n">
        <v>8011003809219</v>
      </c>
      <c r="O3393" s="13"/>
      <c r="P3393" s="13" t="s">
        <v>5291</v>
      </c>
      <c r="Q3393" s="13" t="s">
        <v>5289</v>
      </c>
      <c r="R3393" s="13" t="s">
        <v>5292</v>
      </c>
      <c r="S3393" s="13" t="s">
        <v>5293</v>
      </c>
      <c r="T3393" s="13" t="s">
        <v>5</v>
      </c>
      <c r="U3393" s="13" t="s">
        <v>43</v>
      </c>
      <c r="V3393" s="13" t="n">
        <f aca="false">IF(COUNTIF($B$2:B3393,B3393)=1,1,0)</f>
        <v>0</v>
      </c>
      <c r="W3393" s="13" t="n">
        <f aca="false">IF(COUNTIFS($B$2:B3393,B3393,$T$2:T3393,T3393)=1,1,0)</f>
        <v>0</v>
      </c>
    </row>
    <row r="3394" customFormat="false" ht="15" hidden="false" customHeight="false" outlineLevel="0" collapsed="false">
      <c r="A3394" s="13" t="s">
        <v>789</v>
      </c>
      <c r="B3394" s="13" t="s">
        <v>124</v>
      </c>
      <c r="C3394" s="13" t="n">
        <v>460</v>
      </c>
      <c r="D3394" s="13" t="n">
        <v>1</v>
      </c>
      <c r="E3394" s="13" t="n">
        <v>459.16</v>
      </c>
      <c r="F3394" s="13" t="s">
        <v>5288</v>
      </c>
      <c r="G3394" s="13" t="s">
        <v>5289</v>
      </c>
      <c r="H3394" s="13" t="s">
        <v>5292</v>
      </c>
      <c r="I3394" s="13" t="s">
        <v>5289</v>
      </c>
      <c r="J3394" s="13" t="s">
        <v>5289</v>
      </c>
      <c r="K3394" s="13" t="s">
        <v>5289</v>
      </c>
      <c r="L3394" s="13" t="n">
        <v>3360372058861</v>
      </c>
      <c r="M3394" s="13"/>
      <c r="N3394" s="13" t="n">
        <v>3.36037205886136E+025</v>
      </c>
      <c r="O3394" s="13"/>
      <c r="P3394" s="13" t="s">
        <v>5291</v>
      </c>
      <c r="Q3394" s="13" t="s">
        <v>5289</v>
      </c>
      <c r="R3394" s="13" t="s">
        <v>5292</v>
      </c>
      <c r="S3394" s="13" t="s">
        <v>5293</v>
      </c>
      <c r="T3394" s="13" t="s">
        <v>5</v>
      </c>
      <c r="U3394" s="13" t="s">
        <v>43</v>
      </c>
      <c r="V3394" s="13" t="n">
        <f aca="false">IF(COUNTIF($B$2:B3394,B3394)=1,1,0)</f>
        <v>0</v>
      </c>
      <c r="W3394" s="13" t="n">
        <f aca="false">IF(COUNTIFS($B$2:B3394,B3394,$T$2:T3394,T3394)=1,1,0)</f>
        <v>0</v>
      </c>
    </row>
    <row r="3395" customFormat="false" ht="15" hidden="false" customHeight="false" outlineLevel="0" collapsed="false">
      <c r="A3395" s="13" t="s">
        <v>1702</v>
      </c>
      <c r="B3395" s="13" t="s">
        <v>177</v>
      </c>
      <c r="C3395" s="13" t="n">
        <v>460</v>
      </c>
      <c r="D3395" s="13" t="n">
        <v>1</v>
      </c>
      <c r="E3395" s="13" t="n">
        <v>458.07</v>
      </c>
      <c r="F3395" s="13" t="s">
        <v>5325</v>
      </c>
      <c r="G3395" s="13" t="s">
        <v>5289</v>
      </c>
      <c r="H3395" s="13" t="s">
        <v>5289</v>
      </c>
      <c r="I3395" s="13" t="s">
        <v>5289</v>
      </c>
      <c r="J3395" s="13" t="s">
        <v>5289</v>
      </c>
      <c r="K3395" s="13" t="s">
        <v>5289</v>
      </c>
      <c r="L3395" s="13" t="n">
        <v>8005610481081</v>
      </c>
      <c r="M3395" s="13"/>
      <c r="N3395" s="13" t="n">
        <v>8005610481081</v>
      </c>
      <c r="O3395" s="13"/>
      <c r="P3395" s="13" t="s">
        <v>5291</v>
      </c>
      <c r="Q3395" s="13" t="s">
        <v>5289</v>
      </c>
      <c r="R3395" s="13" t="s">
        <v>5292</v>
      </c>
      <c r="S3395" s="13" t="s">
        <v>5293</v>
      </c>
      <c r="T3395" s="13" t="s">
        <v>5</v>
      </c>
      <c r="U3395" s="13" t="s">
        <v>43</v>
      </c>
      <c r="V3395" s="13" t="n">
        <f aca="false">IF(COUNTIF($B$2:B3395,B3395)=1,1,0)</f>
        <v>0</v>
      </c>
      <c r="W3395" s="13" t="n">
        <f aca="false">IF(COUNTIFS($B$2:B3395,B3395,$T$2:T3395,T3395)=1,1,0)</f>
        <v>0</v>
      </c>
    </row>
    <row r="3396" customFormat="false" ht="15" hidden="false" customHeight="false" outlineLevel="0" collapsed="false">
      <c r="A3396" s="13" t="s">
        <v>1176</v>
      </c>
      <c r="B3396" s="13" t="s">
        <v>153</v>
      </c>
      <c r="C3396" s="13" t="n">
        <v>460</v>
      </c>
      <c r="D3396" s="13" t="n">
        <v>1</v>
      </c>
      <c r="E3396" s="13" t="n">
        <v>458.06</v>
      </c>
      <c r="F3396" s="13" t="s">
        <v>5325</v>
      </c>
      <c r="G3396" s="13" t="s">
        <v>5289</v>
      </c>
      <c r="H3396" s="13" t="s">
        <v>5289</v>
      </c>
      <c r="I3396" s="13" t="s">
        <v>5289</v>
      </c>
      <c r="J3396" s="13" t="s">
        <v>5289</v>
      </c>
      <c r="K3396" s="13" t="s">
        <v>5289</v>
      </c>
      <c r="L3396" s="13" t="n">
        <v>8011003993819</v>
      </c>
      <c r="M3396" s="13"/>
      <c r="N3396" s="13" t="n">
        <v>8011003993819</v>
      </c>
      <c r="O3396" s="13"/>
      <c r="P3396" s="13" t="s">
        <v>5291</v>
      </c>
      <c r="Q3396" s="13" t="s">
        <v>5289</v>
      </c>
      <c r="R3396" s="13" t="s">
        <v>5292</v>
      </c>
      <c r="S3396" s="13" t="s">
        <v>5293</v>
      </c>
      <c r="T3396" s="13" t="s">
        <v>5</v>
      </c>
      <c r="U3396" s="13" t="s">
        <v>43</v>
      </c>
      <c r="V3396" s="13" t="n">
        <f aca="false">IF(COUNTIF($B$2:B3396,B3396)=1,1,0)</f>
        <v>0</v>
      </c>
      <c r="W3396" s="13" t="n">
        <f aca="false">IF(COUNTIFS($B$2:B3396,B3396,$T$2:T3396,T3396)=1,1,0)</f>
        <v>0</v>
      </c>
    </row>
    <row r="3397" customFormat="false" ht="15" hidden="false" customHeight="false" outlineLevel="0" collapsed="false">
      <c r="A3397" s="13" t="s">
        <v>1708</v>
      </c>
      <c r="B3397" s="13" t="s">
        <v>61</v>
      </c>
      <c r="C3397" s="13" t="n">
        <v>460</v>
      </c>
      <c r="D3397" s="13" t="n">
        <v>1</v>
      </c>
      <c r="E3397" s="13" t="n">
        <v>458</v>
      </c>
      <c r="F3397" s="13" t="s">
        <v>5325</v>
      </c>
      <c r="G3397" s="13" t="s">
        <v>5289</v>
      </c>
      <c r="H3397" s="13" t="s">
        <v>5292</v>
      </c>
      <c r="I3397" s="13" t="s">
        <v>5289</v>
      </c>
      <c r="J3397" s="13" t="s">
        <v>5289</v>
      </c>
      <c r="K3397" s="13" t="s">
        <v>5289</v>
      </c>
      <c r="L3397" s="13" t="n">
        <v>3614271579423</v>
      </c>
      <c r="M3397" s="13"/>
      <c r="N3397" s="13" t="n">
        <v>3614271579423</v>
      </c>
      <c r="O3397" s="13"/>
      <c r="P3397" s="13" t="s">
        <v>5291</v>
      </c>
      <c r="Q3397" s="13" t="s">
        <v>5289</v>
      </c>
      <c r="R3397" s="13" t="s">
        <v>5292</v>
      </c>
      <c r="S3397" s="13" t="s">
        <v>5293</v>
      </c>
      <c r="T3397" s="13" t="s">
        <v>5</v>
      </c>
      <c r="U3397" s="13" t="s">
        <v>43</v>
      </c>
      <c r="V3397" s="13" t="n">
        <f aca="false">IF(COUNTIF($B$2:B3397,B3397)=1,1,0)</f>
        <v>0</v>
      </c>
      <c r="W3397" s="13" t="n">
        <f aca="false">IF(COUNTIFS($B$2:B3397,B3397,$T$2:T3397,T3397)=1,1,0)</f>
        <v>0</v>
      </c>
    </row>
    <row r="3398" customFormat="false" ht="15" hidden="false" customHeight="false" outlineLevel="0" collapsed="false">
      <c r="A3398" s="13" t="s">
        <v>1711</v>
      </c>
      <c r="B3398" s="13" t="s">
        <v>153</v>
      </c>
      <c r="C3398" s="13" t="n">
        <v>460</v>
      </c>
      <c r="D3398" s="13" t="n">
        <v>1</v>
      </c>
      <c r="E3398" s="13" t="n">
        <v>455.59</v>
      </c>
      <c r="F3398" s="13" t="s">
        <v>5325</v>
      </c>
      <c r="G3398" s="13" t="s">
        <v>5289</v>
      </c>
      <c r="H3398" s="13" t="s">
        <v>5292</v>
      </c>
      <c r="I3398" s="13" t="s">
        <v>5289</v>
      </c>
      <c r="J3398" s="13" t="s">
        <v>5289</v>
      </c>
      <c r="K3398" s="13" t="s">
        <v>5289</v>
      </c>
      <c r="L3398" s="13" t="n">
        <v>8011003809202</v>
      </c>
      <c r="M3398" s="13"/>
      <c r="N3398" s="13" t="n">
        <v>8011003809202</v>
      </c>
      <c r="O3398" s="13"/>
      <c r="P3398" s="13" t="s">
        <v>5291</v>
      </c>
      <c r="Q3398" s="13" t="s">
        <v>5289</v>
      </c>
      <c r="R3398" s="13" t="s">
        <v>5292</v>
      </c>
      <c r="S3398" s="13" t="s">
        <v>5293</v>
      </c>
      <c r="T3398" s="13" t="s">
        <v>5</v>
      </c>
      <c r="U3398" s="13" t="s">
        <v>43</v>
      </c>
      <c r="V3398" s="13" t="n">
        <f aca="false">IF(COUNTIF($B$2:B3398,B3398)=1,1,0)</f>
        <v>0</v>
      </c>
      <c r="W3398" s="13" t="n">
        <f aca="false">IF(COUNTIFS($B$2:B3398,B3398,$T$2:T3398,T3398)=1,1,0)</f>
        <v>0</v>
      </c>
    </row>
    <row r="3399" customFormat="false" ht="15" hidden="false" customHeight="false" outlineLevel="0" collapsed="false">
      <c r="A3399" s="13" t="s">
        <v>780</v>
      </c>
      <c r="B3399" s="13" t="s">
        <v>45</v>
      </c>
      <c r="C3399" s="13" t="n">
        <v>460</v>
      </c>
      <c r="D3399" s="13" t="n">
        <v>1</v>
      </c>
      <c r="E3399" s="13" t="n">
        <v>455</v>
      </c>
      <c r="F3399" s="13" t="s">
        <v>5325</v>
      </c>
      <c r="G3399" s="13" t="s">
        <v>5292</v>
      </c>
      <c r="H3399" s="13" t="s">
        <v>5292</v>
      </c>
      <c r="I3399" s="13" t="s">
        <v>5289</v>
      </c>
      <c r="J3399" s="13" t="s">
        <v>5289</v>
      </c>
      <c r="K3399" s="13" t="s">
        <v>5289</v>
      </c>
      <c r="L3399" s="13"/>
      <c r="M3399" s="13"/>
      <c r="N3399" s="13" t="n">
        <v>8435415076937</v>
      </c>
      <c r="O3399" s="13"/>
      <c r="P3399" s="13" t="s">
        <v>5291</v>
      </c>
      <c r="Q3399" s="13" t="s">
        <v>5289</v>
      </c>
      <c r="R3399" s="13" t="s">
        <v>5292</v>
      </c>
      <c r="S3399" s="13" t="s">
        <v>5293</v>
      </c>
      <c r="T3399" s="13" t="s">
        <v>5</v>
      </c>
      <c r="U3399" s="13" t="s">
        <v>43</v>
      </c>
      <c r="V3399" s="13" t="n">
        <f aca="false">IF(COUNTIF($B$2:B3399,B3399)=1,1,0)</f>
        <v>0</v>
      </c>
      <c r="W3399" s="13" t="n">
        <f aca="false">IF(COUNTIFS($B$2:B3399,B3399,$T$2:T3399,T3399)=1,1,0)</f>
        <v>0</v>
      </c>
    </row>
    <row r="3400" customFormat="false" ht="15" hidden="false" customHeight="false" outlineLevel="0" collapsed="false">
      <c r="A3400" s="13" t="s">
        <v>1700</v>
      </c>
      <c r="B3400" s="13" t="s">
        <v>153</v>
      </c>
      <c r="C3400" s="13" t="n">
        <v>460</v>
      </c>
      <c r="D3400" s="13" t="n">
        <v>1</v>
      </c>
      <c r="E3400" s="13" t="n">
        <v>455</v>
      </c>
      <c r="F3400" s="13" t="s">
        <v>5325</v>
      </c>
      <c r="G3400" s="13" t="s">
        <v>5289</v>
      </c>
      <c r="H3400" s="13" t="s">
        <v>5289</v>
      </c>
      <c r="I3400" s="13" t="s">
        <v>5289</v>
      </c>
      <c r="J3400" s="13" t="s">
        <v>5289</v>
      </c>
      <c r="K3400" s="13" t="s">
        <v>5289</v>
      </c>
      <c r="L3400" s="13" t="n">
        <v>8011003818174</v>
      </c>
      <c r="M3400" s="13"/>
      <c r="N3400" s="13" t="n">
        <v>8011003818174</v>
      </c>
      <c r="O3400" s="13"/>
      <c r="P3400" s="13" t="s">
        <v>5291</v>
      </c>
      <c r="Q3400" s="13" t="s">
        <v>5289</v>
      </c>
      <c r="R3400" s="13" t="s">
        <v>5292</v>
      </c>
      <c r="S3400" s="13" t="s">
        <v>5293</v>
      </c>
      <c r="T3400" s="13" t="s">
        <v>5</v>
      </c>
      <c r="U3400" s="13" t="s">
        <v>43</v>
      </c>
      <c r="V3400" s="13" t="n">
        <f aca="false">IF(COUNTIF($B$2:B3400,B3400)=1,1,0)</f>
        <v>0</v>
      </c>
      <c r="W3400" s="13" t="n">
        <f aca="false">IF(COUNTIFS($B$2:B3400,B3400,$T$2:T3400,T3400)=1,1,0)</f>
        <v>0</v>
      </c>
    </row>
    <row r="3401" customFormat="false" ht="15" hidden="false" customHeight="false" outlineLevel="0" collapsed="false">
      <c r="A3401" s="13" t="s">
        <v>1715</v>
      </c>
      <c r="B3401" s="13" t="s">
        <v>61</v>
      </c>
      <c r="C3401" s="13" t="n">
        <v>450</v>
      </c>
      <c r="D3401" s="13" t="n">
        <v>2</v>
      </c>
      <c r="E3401" s="13" t="n">
        <v>227.3</v>
      </c>
      <c r="F3401" s="13" t="s">
        <v>5325</v>
      </c>
      <c r="G3401" s="13" t="s">
        <v>5289</v>
      </c>
      <c r="H3401" s="13" t="s">
        <v>5289</v>
      </c>
      <c r="I3401" s="13" t="s">
        <v>5289</v>
      </c>
      <c r="J3401" s="13" t="s">
        <v>5289</v>
      </c>
      <c r="K3401" s="13" t="s">
        <v>5289</v>
      </c>
      <c r="L3401" s="13" t="n">
        <v>3614271774712</v>
      </c>
      <c r="M3401" s="13"/>
      <c r="N3401" s="13" t="n">
        <v>3614271774712</v>
      </c>
      <c r="O3401" s="13"/>
      <c r="P3401" s="13" t="s">
        <v>5291</v>
      </c>
      <c r="Q3401" s="13" t="s">
        <v>5289</v>
      </c>
      <c r="R3401" s="13" t="s">
        <v>5292</v>
      </c>
      <c r="S3401" s="13" t="s">
        <v>5293</v>
      </c>
      <c r="T3401" s="13" t="s">
        <v>5</v>
      </c>
      <c r="U3401" s="13" t="s">
        <v>43</v>
      </c>
      <c r="V3401" s="13" t="n">
        <f aca="false">IF(COUNTIF($B$2:B3401,B3401)=1,1,0)</f>
        <v>0</v>
      </c>
      <c r="W3401" s="13" t="n">
        <f aca="false">IF(COUNTIFS($B$2:B3401,B3401,$T$2:T3401,T3401)=1,1,0)</f>
        <v>0</v>
      </c>
    </row>
    <row r="3402" customFormat="false" ht="15" hidden="false" customHeight="false" outlineLevel="0" collapsed="false">
      <c r="A3402" s="13" t="s">
        <v>1718</v>
      </c>
      <c r="B3402" s="13" t="s">
        <v>61</v>
      </c>
      <c r="C3402" s="13" t="n">
        <v>450</v>
      </c>
      <c r="D3402" s="13" t="n">
        <v>2</v>
      </c>
      <c r="E3402" s="13" t="n">
        <v>226.635</v>
      </c>
      <c r="F3402" s="13" t="s">
        <v>5325</v>
      </c>
      <c r="G3402" s="13" t="s">
        <v>5289</v>
      </c>
      <c r="H3402" s="13" t="s">
        <v>5289</v>
      </c>
      <c r="I3402" s="13" t="s">
        <v>5289</v>
      </c>
      <c r="J3402" s="13" t="s">
        <v>5289</v>
      </c>
      <c r="K3402" s="13" t="s">
        <v>5289</v>
      </c>
      <c r="L3402" s="13" t="n">
        <v>3614273436656</v>
      </c>
      <c r="M3402" s="13"/>
      <c r="N3402" s="13" t="n">
        <v>3614273436656</v>
      </c>
      <c r="O3402" s="13"/>
      <c r="P3402" s="13" t="s">
        <v>5291</v>
      </c>
      <c r="Q3402" s="13" t="s">
        <v>5289</v>
      </c>
      <c r="R3402" s="13" t="s">
        <v>5292</v>
      </c>
      <c r="S3402" s="13" t="s">
        <v>5293</v>
      </c>
      <c r="T3402" s="13" t="s">
        <v>5</v>
      </c>
      <c r="U3402" s="13" t="s">
        <v>43</v>
      </c>
      <c r="V3402" s="13" t="n">
        <f aca="false">IF(COUNTIF($B$2:B3402,B3402)=1,1,0)</f>
        <v>0</v>
      </c>
      <c r="W3402" s="13" t="n">
        <f aca="false">IF(COUNTIFS($B$2:B3402,B3402,$T$2:T3402,T3402)=1,1,0)</f>
        <v>0</v>
      </c>
    </row>
    <row r="3403" customFormat="false" ht="15" hidden="false" customHeight="false" outlineLevel="0" collapsed="false">
      <c r="A3403" s="13" t="s">
        <v>1714</v>
      </c>
      <c r="B3403" s="13" t="s">
        <v>121</v>
      </c>
      <c r="C3403" s="13" t="n">
        <v>450</v>
      </c>
      <c r="D3403" s="13" t="n">
        <v>2</v>
      </c>
      <c r="E3403" s="13" t="n">
        <v>151</v>
      </c>
      <c r="F3403" s="13" t="s">
        <v>5325</v>
      </c>
      <c r="G3403" s="13" t="s">
        <v>5289</v>
      </c>
      <c r="H3403" s="13" t="s">
        <v>5289</v>
      </c>
      <c r="I3403" s="13" t="s">
        <v>5289</v>
      </c>
      <c r="J3403" s="13" t="s">
        <v>5289</v>
      </c>
      <c r="K3403" s="13" t="s">
        <v>5289</v>
      </c>
      <c r="L3403" s="13" t="n">
        <v>7896086999689</v>
      </c>
      <c r="M3403" s="13"/>
      <c r="N3403" s="13" t="n">
        <v>7896086999689</v>
      </c>
      <c r="O3403" s="13"/>
      <c r="P3403" s="13" t="s">
        <v>5297</v>
      </c>
      <c r="Q3403" s="13" t="s">
        <v>5289</v>
      </c>
      <c r="R3403" s="13" t="s">
        <v>5292</v>
      </c>
      <c r="S3403" s="13" t="s">
        <v>5293</v>
      </c>
      <c r="T3403" s="13" t="s">
        <v>5</v>
      </c>
      <c r="U3403" s="13" t="s">
        <v>43</v>
      </c>
      <c r="V3403" s="13" t="n">
        <f aca="false">IF(COUNTIF($B$2:B3403,B3403)=1,1,0)</f>
        <v>0</v>
      </c>
      <c r="W3403" s="13" t="n">
        <f aca="false">IF(COUNTIFS($B$2:B3403,B3403,$T$2:T3403,T3403)=1,1,0)</f>
        <v>0</v>
      </c>
    </row>
    <row r="3404" customFormat="false" ht="15" hidden="false" customHeight="false" outlineLevel="0" collapsed="false">
      <c r="A3404" s="13" t="s">
        <v>6396</v>
      </c>
      <c r="B3404" s="13" t="s">
        <v>2111</v>
      </c>
      <c r="C3404" s="13" t="n">
        <v>450</v>
      </c>
      <c r="D3404" s="13" t="n">
        <v>1</v>
      </c>
      <c r="E3404" s="13" t="n">
        <v>450.05</v>
      </c>
      <c r="F3404" s="13" t="s">
        <v>5325</v>
      </c>
      <c r="G3404" s="13" t="s">
        <v>5289</v>
      </c>
      <c r="H3404" s="13" t="s">
        <v>5289</v>
      </c>
      <c r="I3404" s="13" t="s">
        <v>5289</v>
      </c>
      <c r="J3404" s="13" t="s">
        <v>5289</v>
      </c>
      <c r="K3404" s="13" t="s">
        <v>5289</v>
      </c>
      <c r="L3404" s="13" t="n">
        <v>3386460119276</v>
      </c>
      <c r="M3404" s="13"/>
      <c r="N3404" s="13" t="n">
        <v>3386460119276</v>
      </c>
      <c r="O3404" s="13"/>
      <c r="P3404" s="13" t="s">
        <v>5291</v>
      </c>
      <c r="Q3404" s="13" t="s">
        <v>5289</v>
      </c>
      <c r="R3404" s="13" t="s">
        <v>5292</v>
      </c>
      <c r="S3404" s="13" t="s">
        <v>5293</v>
      </c>
      <c r="T3404" s="13" t="s">
        <v>5</v>
      </c>
      <c r="U3404" s="13" t="s">
        <v>43</v>
      </c>
      <c r="V3404" s="13" t="n">
        <f aca="false">IF(COUNTIF($B$2:B3404,B3404)=1,1,0)</f>
        <v>0</v>
      </c>
      <c r="W3404" s="13" t="n">
        <f aca="false">IF(COUNTIFS($B$2:B3404,B3404,$T$2:T3404,T3404)=1,1,0)</f>
        <v>0</v>
      </c>
    </row>
    <row r="3405" customFormat="false" ht="15" hidden="false" customHeight="false" outlineLevel="0" collapsed="false">
      <c r="A3405" s="13" t="s">
        <v>1716</v>
      </c>
      <c r="B3405" s="13" t="s">
        <v>61</v>
      </c>
      <c r="C3405" s="13" t="n">
        <v>450</v>
      </c>
      <c r="D3405" s="13" t="n">
        <v>1</v>
      </c>
      <c r="E3405" s="13" t="n">
        <v>448.85</v>
      </c>
      <c r="F3405" s="13" t="s">
        <v>5288</v>
      </c>
      <c r="G3405" s="13" t="s">
        <v>5292</v>
      </c>
      <c r="H3405" s="13" t="s">
        <v>5289</v>
      </c>
      <c r="I3405" s="13" t="s">
        <v>5289</v>
      </c>
      <c r="J3405" s="13" t="s">
        <v>5289</v>
      </c>
      <c r="K3405" s="13" t="s">
        <v>5292</v>
      </c>
      <c r="L3405" s="13" t="n">
        <v>3605530931663</v>
      </c>
      <c r="M3405" s="13"/>
      <c r="N3405" s="13" t="n">
        <v>3605530931663</v>
      </c>
      <c r="O3405" s="13"/>
      <c r="P3405" s="13" t="s">
        <v>5297</v>
      </c>
      <c r="Q3405" s="13" t="s">
        <v>5289</v>
      </c>
      <c r="R3405" s="13" t="s">
        <v>5292</v>
      </c>
      <c r="S3405" s="13" t="s">
        <v>5293</v>
      </c>
      <c r="T3405" s="13" t="s">
        <v>5</v>
      </c>
      <c r="U3405" s="13" t="s">
        <v>43</v>
      </c>
      <c r="V3405" s="13" t="n">
        <f aca="false">IF(COUNTIF($B$2:B3405,B3405)=1,1,0)</f>
        <v>0</v>
      </c>
      <c r="W3405" s="13" t="n">
        <f aca="false">IF(COUNTIFS($B$2:B3405,B3405,$T$2:T3405,T3405)=1,1,0)</f>
        <v>0</v>
      </c>
    </row>
    <row r="3406" customFormat="false" ht="15" hidden="false" customHeight="false" outlineLevel="0" collapsed="false">
      <c r="A3406" s="13" t="s">
        <v>1717</v>
      </c>
      <c r="B3406" s="13" t="s">
        <v>61</v>
      </c>
      <c r="C3406" s="13" t="n">
        <v>450</v>
      </c>
      <c r="D3406" s="13" t="n">
        <v>1</v>
      </c>
      <c r="E3406" s="13" t="n">
        <v>448.85</v>
      </c>
      <c r="F3406" s="13" t="s">
        <v>5288</v>
      </c>
      <c r="G3406" s="13" t="s">
        <v>5292</v>
      </c>
      <c r="H3406" s="13" t="s">
        <v>5289</v>
      </c>
      <c r="I3406" s="13" t="s">
        <v>5289</v>
      </c>
      <c r="J3406" s="13" t="s">
        <v>5289</v>
      </c>
      <c r="K3406" s="13" t="s">
        <v>5292</v>
      </c>
      <c r="L3406" s="13" t="n">
        <v>3147758051216</v>
      </c>
      <c r="M3406" s="13"/>
      <c r="N3406" s="13" t="n">
        <v>3147758051216</v>
      </c>
      <c r="O3406" s="13"/>
      <c r="P3406" s="13" t="s">
        <v>5291</v>
      </c>
      <c r="Q3406" s="13" t="s">
        <v>5289</v>
      </c>
      <c r="R3406" s="13" t="s">
        <v>5292</v>
      </c>
      <c r="S3406" s="13" t="s">
        <v>5293</v>
      </c>
      <c r="T3406" s="13" t="s">
        <v>5</v>
      </c>
      <c r="U3406" s="13" t="s">
        <v>43</v>
      </c>
      <c r="V3406" s="13" t="n">
        <f aca="false">IF(COUNTIF($B$2:B3406,B3406)=1,1,0)</f>
        <v>0</v>
      </c>
      <c r="W3406" s="13" t="n">
        <f aca="false">IF(COUNTIFS($B$2:B3406,B3406,$T$2:T3406,T3406)=1,1,0)</f>
        <v>0</v>
      </c>
    </row>
    <row r="3407" customFormat="false" ht="15" hidden="false" customHeight="false" outlineLevel="0" collapsed="false">
      <c r="A3407" s="13" t="s">
        <v>4197</v>
      </c>
      <c r="B3407" s="13" t="s">
        <v>2150</v>
      </c>
      <c r="C3407" s="13" t="n">
        <v>450</v>
      </c>
      <c r="D3407" s="13" t="n">
        <v>2</v>
      </c>
      <c r="E3407" s="13" t="n">
        <v>112.02</v>
      </c>
      <c r="F3407" s="13" t="s">
        <v>5325</v>
      </c>
      <c r="G3407" s="13" t="s">
        <v>5289</v>
      </c>
      <c r="H3407" s="13" t="s">
        <v>5289</v>
      </c>
      <c r="I3407" s="13" t="s">
        <v>5289</v>
      </c>
      <c r="J3407" s="13" t="s">
        <v>5289</v>
      </c>
      <c r="K3407" s="13" t="s">
        <v>5289</v>
      </c>
      <c r="L3407" s="13" t="n">
        <v>8411061972229</v>
      </c>
      <c r="M3407" s="13"/>
      <c r="N3407" s="13" t="n">
        <v>8411061972229</v>
      </c>
      <c r="O3407" s="13"/>
      <c r="P3407" s="13" t="s">
        <v>5291</v>
      </c>
      <c r="Q3407" s="13" t="s">
        <v>5289</v>
      </c>
      <c r="R3407" s="13" t="s">
        <v>5292</v>
      </c>
      <c r="S3407" s="13" t="s">
        <v>5293</v>
      </c>
      <c r="T3407" s="13" t="s">
        <v>5</v>
      </c>
      <c r="U3407" s="13" t="s">
        <v>43</v>
      </c>
      <c r="V3407" s="13" t="n">
        <f aca="false">IF(COUNTIF($B$2:B3407,B3407)=1,1,0)</f>
        <v>0</v>
      </c>
      <c r="W3407" s="13" t="n">
        <f aca="false">IF(COUNTIFS($B$2:B3407,B3407,$T$2:T3407,T3407)=1,1,0)</f>
        <v>0</v>
      </c>
    </row>
    <row r="3408" customFormat="false" ht="15" hidden="false" customHeight="false" outlineLevel="0" collapsed="false">
      <c r="A3408" s="13" t="s">
        <v>1712</v>
      </c>
      <c r="B3408" s="13" t="s">
        <v>153</v>
      </c>
      <c r="C3408" s="13" t="n">
        <v>450</v>
      </c>
      <c r="D3408" s="13" t="n">
        <v>1</v>
      </c>
      <c r="E3408" s="13" t="n">
        <v>447.25</v>
      </c>
      <c r="F3408" s="13" t="s">
        <v>5325</v>
      </c>
      <c r="G3408" s="13" t="s">
        <v>5289</v>
      </c>
      <c r="H3408" s="13" t="s">
        <v>5289</v>
      </c>
      <c r="I3408" s="13" t="s">
        <v>5289</v>
      </c>
      <c r="J3408" s="13" t="s">
        <v>5289</v>
      </c>
      <c r="K3408" s="13" t="s">
        <v>5289</v>
      </c>
      <c r="L3408" s="13" t="n">
        <v>8011003995950</v>
      </c>
      <c r="M3408" s="13"/>
      <c r="N3408" s="13" t="n">
        <v>8011003995950</v>
      </c>
      <c r="O3408" s="13"/>
      <c r="P3408" s="13" t="s">
        <v>5291</v>
      </c>
      <c r="Q3408" s="13" t="s">
        <v>5289</v>
      </c>
      <c r="R3408" s="13" t="s">
        <v>5292</v>
      </c>
      <c r="S3408" s="13" t="s">
        <v>5293</v>
      </c>
      <c r="T3408" s="13" t="s">
        <v>5</v>
      </c>
      <c r="U3408" s="13" t="s">
        <v>43</v>
      </c>
      <c r="V3408" s="13" t="n">
        <f aca="false">IF(COUNTIF($B$2:B3408,B3408)=1,1,0)</f>
        <v>0</v>
      </c>
      <c r="W3408" s="13" t="n">
        <f aca="false">IF(COUNTIFS($B$2:B3408,B3408,$T$2:T3408,T3408)=1,1,0)</f>
        <v>0</v>
      </c>
    </row>
    <row r="3409" customFormat="false" ht="15" hidden="false" customHeight="false" outlineLevel="0" collapsed="false">
      <c r="A3409" s="13" t="s">
        <v>1712</v>
      </c>
      <c r="B3409" s="13" t="s">
        <v>153</v>
      </c>
      <c r="C3409" s="13" t="n">
        <v>450</v>
      </c>
      <c r="D3409" s="13" t="n">
        <v>1</v>
      </c>
      <c r="E3409" s="13" t="n">
        <v>447.25</v>
      </c>
      <c r="F3409" s="13" t="s">
        <v>5325</v>
      </c>
      <c r="G3409" s="13" t="s">
        <v>5289</v>
      </c>
      <c r="H3409" s="13" t="s">
        <v>5292</v>
      </c>
      <c r="I3409" s="13" t="s">
        <v>5289</v>
      </c>
      <c r="J3409" s="13" t="s">
        <v>5289</v>
      </c>
      <c r="K3409" s="13" t="s">
        <v>5289</v>
      </c>
      <c r="L3409" s="13" t="n">
        <v>8011003995950</v>
      </c>
      <c r="M3409" s="13"/>
      <c r="N3409" s="13" t="n">
        <v>8011003995950</v>
      </c>
      <c r="O3409" s="13"/>
      <c r="P3409" s="13" t="s">
        <v>5291</v>
      </c>
      <c r="Q3409" s="13" t="s">
        <v>5289</v>
      </c>
      <c r="R3409" s="13" t="s">
        <v>5292</v>
      </c>
      <c r="S3409" s="13" t="s">
        <v>5293</v>
      </c>
      <c r="T3409" s="13" t="s">
        <v>5</v>
      </c>
      <c r="U3409" s="13" t="s">
        <v>43</v>
      </c>
      <c r="V3409" s="13" t="n">
        <f aca="false">IF(COUNTIF($B$2:B3409,B3409)=1,1,0)</f>
        <v>0</v>
      </c>
      <c r="W3409" s="13" t="n">
        <f aca="false">IF(COUNTIFS($B$2:B3409,B3409,$T$2:T3409,T3409)=1,1,0)</f>
        <v>0</v>
      </c>
    </row>
    <row r="3410" customFormat="false" ht="15" hidden="false" customHeight="false" outlineLevel="0" collapsed="false">
      <c r="A3410" s="13" t="s">
        <v>1713</v>
      </c>
      <c r="B3410" s="13" t="s">
        <v>50</v>
      </c>
      <c r="C3410" s="13" t="n">
        <v>450</v>
      </c>
      <c r="D3410" s="13" t="n">
        <v>1</v>
      </c>
      <c r="E3410" s="13" t="n">
        <v>446.21</v>
      </c>
      <c r="F3410" s="13" t="s">
        <v>5325</v>
      </c>
      <c r="G3410" s="13" t="s">
        <v>5289</v>
      </c>
      <c r="H3410" s="13" t="s">
        <v>5289</v>
      </c>
      <c r="I3410" s="13" t="s">
        <v>5289</v>
      </c>
      <c r="J3410" s="13" t="s">
        <v>5289</v>
      </c>
      <c r="K3410" s="13" t="s">
        <v>5289</v>
      </c>
      <c r="L3410" s="13" t="n">
        <v>3349668594603</v>
      </c>
      <c r="M3410" s="13"/>
      <c r="N3410" s="13" t="n">
        <v>3349668594603</v>
      </c>
      <c r="O3410" s="13"/>
      <c r="P3410" s="13" t="s">
        <v>5291</v>
      </c>
      <c r="Q3410" s="13" t="s">
        <v>5289</v>
      </c>
      <c r="R3410" s="13" t="s">
        <v>5292</v>
      </c>
      <c r="S3410" s="13" t="s">
        <v>5293</v>
      </c>
      <c r="T3410" s="13" t="s">
        <v>5</v>
      </c>
      <c r="U3410" s="13" t="s">
        <v>43</v>
      </c>
      <c r="V3410" s="13" t="n">
        <f aca="false">IF(COUNTIF($B$2:B3410,B3410)=1,1,0)</f>
        <v>0</v>
      </c>
      <c r="W3410" s="13" t="n">
        <f aca="false">IF(COUNTIFS($B$2:B3410,B3410,$T$2:T3410,T3410)=1,1,0)</f>
        <v>0</v>
      </c>
    </row>
    <row r="3411" customFormat="false" ht="15" hidden="false" customHeight="false" outlineLevel="0" collapsed="false">
      <c r="A3411" s="13" t="s">
        <v>1730</v>
      </c>
      <c r="B3411" s="13" t="s">
        <v>195</v>
      </c>
      <c r="C3411" s="13" t="n">
        <v>440</v>
      </c>
      <c r="D3411" s="13" t="n">
        <v>1</v>
      </c>
      <c r="E3411" s="13" t="n">
        <v>445</v>
      </c>
      <c r="F3411" s="13" t="s">
        <v>5325</v>
      </c>
      <c r="G3411" s="13" t="s">
        <v>5289</v>
      </c>
      <c r="H3411" s="13" t="s">
        <v>5289</v>
      </c>
      <c r="I3411" s="13" t="s">
        <v>5289</v>
      </c>
      <c r="J3411" s="13" t="s">
        <v>5289</v>
      </c>
      <c r="K3411" s="13" t="s">
        <v>5289</v>
      </c>
      <c r="L3411" s="13" t="n">
        <v>3616305271549</v>
      </c>
      <c r="M3411" s="13"/>
      <c r="N3411" s="13" t="n">
        <v>3616305271549</v>
      </c>
      <c r="O3411" s="13"/>
      <c r="P3411" s="13" t="s">
        <v>5291</v>
      </c>
      <c r="Q3411" s="13" t="s">
        <v>5289</v>
      </c>
      <c r="R3411" s="13" t="s">
        <v>5292</v>
      </c>
      <c r="S3411" s="13" t="s">
        <v>5293</v>
      </c>
      <c r="T3411" s="13" t="s">
        <v>5</v>
      </c>
      <c r="U3411" s="13" t="s">
        <v>43</v>
      </c>
      <c r="V3411" s="13" t="n">
        <f aca="false">IF(COUNTIF($B$2:B3411,B3411)=1,1,0)</f>
        <v>0</v>
      </c>
      <c r="W3411" s="13" t="n">
        <f aca="false">IF(COUNTIFS($B$2:B3411,B3411,$T$2:T3411,T3411)=1,1,0)</f>
        <v>0</v>
      </c>
    </row>
    <row r="3412" customFormat="false" ht="15" hidden="false" customHeight="false" outlineLevel="0" collapsed="false">
      <c r="A3412" s="13" t="s">
        <v>3462</v>
      </c>
      <c r="B3412" s="13" t="s">
        <v>2150</v>
      </c>
      <c r="C3412" s="13" t="n">
        <v>440</v>
      </c>
      <c r="D3412" s="13" t="n">
        <v>2</v>
      </c>
      <c r="E3412" s="13" t="n">
        <v>147.97</v>
      </c>
      <c r="F3412" s="13" t="s">
        <v>5288</v>
      </c>
      <c r="G3412" s="13" t="s">
        <v>5292</v>
      </c>
      <c r="H3412" s="13" t="s">
        <v>5289</v>
      </c>
      <c r="I3412" s="13" t="s">
        <v>5289</v>
      </c>
      <c r="J3412" s="13" t="s">
        <v>5289</v>
      </c>
      <c r="K3412" s="13" t="s">
        <v>5289</v>
      </c>
      <c r="L3412" s="13"/>
      <c r="M3412" s="13"/>
      <c r="N3412" s="13" t="n">
        <v>8411061876008</v>
      </c>
      <c r="O3412" s="13"/>
      <c r="P3412" s="13" t="s">
        <v>5297</v>
      </c>
      <c r="Q3412" s="13" t="s">
        <v>5289</v>
      </c>
      <c r="R3412" s="13" t="s">
        <v>5292</v>
      </c>
      <c r="S3412" s="13" t="s">
        <v>5293</v>
      </c>
      <c r="T3412" s="13" t="s">
        <v>5</v>
      </c>
      <c r="U3412" s="13" t="s">
        <v>43</v>
      </c>
      <c r="V3412" s="13" t="n">
        <f aca="false">IF(COUNTIF($B$2:B3412,B3412)=1,1,0)</f>
        <v>0</v>
      </c>
      <c r="W3412" s="13" t="n">
        <f aca="false">IF(COUNTIFS($B$2:B3412,B3412,$T$2:T3412,T3412)=1,1,0)</f>
        <v>0</v>
      </c>
    </row>
    <row r="3413" customFormat="false" ht="15" hidden="false" customHeight="false" outlineLevel="0" collapsed="false">
      <c r="A3413" s="13" t="s">
        <v>1729</v>
      </c>
      <c r="B3413" s="13" t="s">
        <v>124</v>
      </c>
      <c r="C3413" s="13" t="n">
        <v>440</v>
      </c>
      <c r="D3413" s="13" t="n">
        <v>1</v>
      </c>
      <c r="E3413" s="13" t="n">
        <v>443</v>
      </c>
      <c r="F3413" s="13" t="s">
        <v>5325</v>
      </c>
      <c r="G3413" s="13" t="s">
        <v>5289</v>
      </c>
      <c r="H3413" s="13" t="s">
        <v>5292</v>
      </c>
      <c r="I3413" s="13" t="s">
        <v>5289</v>
      </c>
      <c r="J3413" s="13" t="s">
        <v>5289</v>
      </c>
      <c r="K3413" s="13" t="s">
        <v>5289</v>
      </c>
      <c r="L3413" s="13" t="n">
        <v>3605521172648</v>
      </c>
      <c r="M3413" s="13"/>
      <c r="N3413" s="13" t="n">
        <v>3605521172648</v>
      </c>
      <c r="O3413" s="13"/>
      <c r="P3413" s="13" t="s">
        <v>5291</v>
      </c>
      <c r="Q3413" s="13" t="s">
        <v>5289</v>
      </c>
      <c r="R3413" s="13" t="s">
        <v>5292</v>
      </c>
      <c r="S3413" s="13" t="s">
        <v>5293</v>
      </c>
      <c r="T3413" s="13" t="s">
        <v>5</v>
      </c>
      <c r="U3413" s="13" t="s">
        <v>43</v>
      </c>
      <c r="V3413" s="13" t="n">
        <f aca="false">IF(COUNTIF($B$2:B3413,B3413)=1,1,0)</f>
        <v>0</v>
      </c>
      <c r="W3413" s="13" t="n">
        <f aca="false">IF(COUNTIFS($B$2:B3413,B3413,$T$2:T3413,T3413)=1,1,0)</f>
        <v>0</v>
      </c>
    </row>
    <row r="3414" customFormat="false" ht="15" hidden="false" customHeight="false" outlineLevel="0" collapsed="false">
      <c r="A3414" s="13" t="s">
        <v>724</v>
      </c>
      <c r="B3414" s="13" t="s">
        <v>490</v>
      </c>
      <c r="C3414" s="13" t="n">
        <v>440</v>
      </c>
      <c r="D3414" s="13" t="n">
        <v>1</v>
      </c>
      <c r="E3414" s="13" t="n">
        <v>442</v>
      </c>
      <c r="F3414" s="13" t="s">
        <v>5325</v>
      </c>
      <c r="G3414" s="13" t="s">
        <v>5289</v>
      </c>
      <c r="H3414" s="13" t="s">
        <v>5289</v>
      </c>
      <c r="I3414" s="13" t="s">
        <v>5289</v>
      </c>
      <c r="J3414" s="13" t="s">
        <v>5289</v>
      </c>
      <c r="K3414" s="13" t="s">
        <v>5289</v>
      </c>
      <c r="L3414" s="13" t="n">
        <v>8011003839308</v>
      </c>
      <c r="M3414" s="13"/>
      <c r="N3414" s="13" t="n">
        <v>8011003839308</v>
      </c>
      <c r="O3414" s="13"/>
      <c r="P3414" s="13" t="s">
        <v>5291</v>
      </c>
      <c r="Q3414" s="13" t="s">
        <v>5289</v>
      </c>
      <c r="R3414" s="13" t="s">
        <v>5292</v>
      </c>
      <c r="S3414" s="13" t="s">
        <v>5293</v>
      </c>
      <c r="T3414" s="13" t="s">
        <v>5</v>
      </c>
      <c r="U3414" s="13" t="s">
        <v>43</v>
      </c>
      <c r="V3414" s="13" t="n">
        <f aca="false">IF(COUNTIF($B$2:B3414,B3414)=1,1,0)</f>
        <v>0</v>
      </c>
      <c r="W3414" s="13" t="n">
        <f aca="false">IF(COUNTIFS($B$2:B3414,B3414,$T$2:T3414,T3414)=1,1,0)</f>
        <v>0</v>
      </c>
    </row>
    <row r="3415" customFormat="false" ht="15" hidden="false" customHeight="false" outlineLevel="0" collapsed="false">
      <c r="A3415" s="13" t="s">
        <v>4638</v>
      </c>
      <c r="B3415" s="13" t="s">
        <v>2254</v>
      </c>
      <c r="C3415" s="13" t="n">
        <v>440</v>
      </c>
      <c r="D3415" s="13" t="n">
        <v>1</v>
      </c>
      <c r="E3415" s="13" t="n">
        <v>441.85</v>
      </c>
      <c r="F3415" s="13" t="s">
        <v>5288</v>
      </c>
      <c r="G3415" s="13" t="s">
        <v>5292</v>
      </c>
      <c r="H3415" s="13" t="s">
        <v>5289</v>
      </c>
      <c r="I3415" s="13" t="s">
        <v>5289</v>
      </c>
      <c r="J3415" s="13" t="s">
        <v>5289</v>
      </c>
      <c r="K3415" s="13" t="s">
        <v>5292</v>
      </c>
      <c r="L3415" s="13" t="n">
        <v>729238193444</v>
      </c>
      <c r="M3415" s="13"/>
      <c r="N3415" s="13" t="n">
        <v>729238193444</v>
      </c>
      <c r="O3415" s="13"/>
      <c r="P3415" s="13" t="s">
        <v>5297</v>
      </c>
      <c r="Q3415" s="13" t="s">
        <v>5289</v>
      </c>
      <c r="R3415" s="13" t="s">
        <v>5292</v>
      </c>
      <c r="S3415" s="13" t="s">
        <v>5293</v>
      </c>
      <c r="T3415" s="13" t="s">
        <v>5</v>
      </c>
      <c r="U3415" s="13" t="s">
        <v>183</v>
      </c>
      <c r="V3415" s="13" t="n">
        <f aca="false">IF(COUNTIF($B$2:B3415,B3415)=1,1,0)</f>
        <v>1</v>
      </c>
      <c r="W3415" s="13" t="n">
        <f aca="false">IF(COUNTIFS($B$2:B3415,B3415,$T$2:T3415,T3415)=1,1,0)</f>
        <v>1</v>
      </c>
    </row>
    <row r="3416" customFormat="false" ht="15" hidden="false" customHeight="false" outlineLevel="0" collapsed="false">
      <c r="A3416" s="13" t="s">
        <v>1725</v>
      </c>
      <c r="B3416" s="13" t="s">
        <v>630</v>
      </c>
      <c r="C3416" s="13" t="n">
        <v>440</v>
      </c>
      <c r="D3416" s="13" t="n">
        <v>2</v>
      </c>
      <c r="E3416" s="13" t="n">
        <v>220.215</v>
      </c>
      <c r="F3416" s="13" t="s">
        <v>5288</v>
      </c>
      <c r="G3416" s="13" t="s">
        <v>5289</v>
      </c>
      <c r="H3416" s="13" t="s">
        <v>5289</v>
      </c>
      <c r="I3416" s="13" t="s">
        <v>5289</v>
      </c>
      <c r="J3416" s="13" t="s">
        <v>5289</v>
      </c>
      <c r="K3416" s="13" t="s">
        <v>5289</v>
      </c>
      <c r="L3416" s="13" t="n">
        <v>8433982026331</v>
      </c>
      <c r="M3416" s="13"/>
      <c r="N3416" s="13" t="n">
        <v>8433982026331</v>
      </c>
      <c r="O3416" s="13"/>
      <c r="P3416" s="13" t="s">
        <v>5291</v>
      </c>
      <c r="Q3416" s="13" t="s">
        <v>5289</v>
      </c>
      <c r="R3416" s="13" t="s">
        <v>5292</v>
      </c>
      <c r="S3416" s="13" t="s">
        <v>5293</v>
      </c>
      <c r="T3416" s="13" t="s">
        <v>5</v>
      </c>
      <c r="U3416" s="13" t="s">
        <v>43</v>
      </c>
      <c r="V3416" s="13" t="n">
        <f aca="false">IF(COUNTIF($B$2:B3416,B3416)=1,1,0)</f>
        <v>0</v>
      </c>
      <c r="W3416" s="13" t="n">
        <f aca="false">IF(COUNTIFS($B$2:B3416,B3416,$T$2:T3416,T3416)=1,1,0)</f>
        <v>0</v>
      </c>
    </row>
    <row r="3417" customFormat="false" ht="15" hidden="false" customHeight="false" outlineLevel="0" collapsed="false">
      <c r="A3417" s="13" t="s">
        <v>464</v>
      </c>
      <c r="B3417" s="13" t="s">
        <v>107</v>
      </c>
      <c r="C3417" s="13" t="n">
        <v>440</v>
      </c>
      <c r="D3417" s="13" t="n">
        <v>2</v>
      </c>
      <c r="E3417" s="13" t="n">
        <v>220</v>
      </c>
      <c r="F3417" s="13" t="s">
        <v>5325</v>
      </c>
      <c r="G3417" s="13" t="s">
        <v>5292</v>
      </c>
      <c r="H3417" s="13" t="s">
        <v>5292</v>
      </c>
      <c r="I3417" s="13" t="s">
        <v>5289</v>
      </c>
      <c r="J3417" s="13" t="s">
        <v>5289</v>
      </c>
      <c r="K3417" s="13" t="s">
        <v>5289</v>
      </c>
      <c r="L3417" s="13" t="n">
        <v>9000250236397</v>
      </c>
      <c r="M3417" s="13"/>
      <c r="N3417" s="13" t="n">
        <v>9000250236397</v>
      </c>
      <c r="O3417" s="13"/>
      <c r="P3417" s="13" t="s">
        <v>5297</v>
      </c>
      <c r="Q3417" s="13" t="s">
        <v>5289</v>
      </c>
      <c r="R3417" s="13" t="s">
        <v>5292</v>
      </c>
      <c r="S3417" s="13" t="s">
        <v>5293</v>
      </c>
      <c r="T3417" s="13" t="s">
        <v>5</v>
      </c>
      <c r="U3417" s="13" t="s">
        <v>43</v>
      </c>
      <c r="V3417" s="13" t="n">
        <f aca="false">IF(COUNTIF($B$2:B3417,B3417)=1,1,0)</f>
        <v>0</v>
      </c>
      <c r="W3417" s="13" t="n">
        <f aca="false">IF(COUNTIFS($B$2:B3417,B3417,$T$2:T3417,T3417)=1,1,0)</f>
        <v>0</v>
      </c>
    </row>
    <row r="3418" customFormat="false" ht="15" hidden="false" customHeight="false" outlineLevel="0" collapsed="false">
      <c r="A3418" s="13" t="s">
        <v>3744</v>
      </c>
      <c r="B3418" s="13" t="s">
        <v>2145</v>
      </c>
      <c r="C3418" s="13" t="n">
        <v>440</v>
      </c>
      <c r="D3418" s="13" t="n">
        <v>1</v>
      </c>
      <c r="E3418" s="13" t="n">
        <v>439.59</v>
      </c>
      <c r="F3418" s="13" t="s">
        <v>5325</v>
      </c>
      <c r="G3418" s="13" t="s">
        <v>5289</v>
      </c>
      <c r="H3418" s="13" t="s">
        <v>5292</v>
      </c>
      <c r="I3418" s="13" t="s">
        <v>5289</v>
      </c>
      <c r="J3418" s="13" t="s">
        <v>5289</v>
      </c>
      <c r="K3418" s="13" t="s">
        <v>5289</v>
      </c>
      <c r="L3418" s="13" t="n">
        <v>4064941111719</v>
      </c>
      <c r="M3418" s="13"/>
      <c r="N3418" s="13" t="n">
        <v>4064941111719</v>
      </c>
      <c r="O3418" s="13"/>
      <c r="P3418" s="13" t="s">
        <v>5297</v>
      </c>
      <c r="Q3418" s="13" t="s">
        <v>5289</v>
      </c>
      <c r="R3418" s="13" t="s">
        <v>5292</v>
      </c>
      <c r="S3418" s="13" t="s">
        <v>5293</v>
      </c>
      <c r="T3418" s="13" t="s">
        <v>5</v>
      </c>
      <c r="U3418" s="13" t="s">
        <v>43</v>
      </c>
      <c r="V3418" s="13" t="n">
        <f aca="false">IF(COUNTIF($B$2:B3418,B3418)=1,1,0)</f>
        <v>0</v>
      </c>
      <c r="W3418" s="13" t="n">
        <f aca="false">IF(COUNTIFS($B$2:B3418,B3418,$T$2:T3418,T3418)=1,1,0)</f>
        <v>0</v>
      </c>
    </row>
    <row r="3419" customFormat="false" ht="15" hidden="false" customHeight="false" outlineLevel="0" collapsed="false">
      <c r="A3419" s="13" t="s">
        <v>1727</v>
      </c>
      <c r="B3419" s="13" t="s">
        <v>329</v>
      </c>
      <c r="C3419" s="13" t="n">
        <v>440</v>
      </c>
      <c r="D3419" s="13" t="n">
        <v>1</v>
      </c>
      <c r="E3419" s="13" t="n">
        <v>438.85</v>
      </c>
      <c r="F3419" s="13" t="s">
        <v>5325</v>
      </c>
      <c r="G3419" s="13" t="s">
        <v>5289</v>
      </c>
      <c r="H3419" s="13" t="s">
        <v>5292</v>
      </c>
      <c r="I3419" s="13" t="s">
        <v>5289</v>
      </c>
      <c r="J3419" s="13" t="s">
        <v>5289</v>
      </c>
      <c r="K3419" s="13" t="s">
        <v>5292</v>
      </c>
      <c r="L3419" s="13" t="n">
        <v>3137370365181</v>
      </c>
      <c r="M3419" s="13"/>
      <c r="N3419" s="13" t="n">
        <v>3137370365181</v>
      </c>
      <c r="O3419" s="13"/>
      <c r="P3419" s="13" t="s">
        <v>5291</v>
      </c>
      <c r="Q3419" s="13" t="s">
        <v>5289</v>
      </c>
      <c r="R3419" s="13" t="s">
        <v>5292</v>
      </c>
      <c r="S3419" s="13" t="s">
        <v>5293</v>
      </c>
      <c r="T3419" s="13" t="s">
        <v>5</v>
      </c>
      <c r="U3419" s="13" t="s">
        <v>43</v>
      </c>
      <c r="V3419" s="13" t="n">
        <f aca="false">IF(COUNTIF($B$2:B3419,B3419)=1,1,0)</f>
        <v>0</v>
      </c>
      <c r="W3419" s="13" t="n">
        <f aca="false">IF(COUNTIFS($B$2:B3419,B3419,$T$2:T3419,T3419)=1,1,0)</f>
        <v>0</v>
      </c>
    </row>
    <row r="3420" customFormat="false" ht="15" hidden="false" customHeight="false" outlineLevel="0" collapsed="false">
      <c r="A3420" s="13" t="s">
        <v>1726</v>
      </c>
      <c r="B3420" s="13" t="s">
        <v>42</v>
      </c>
      <c r="C3420" s="13" t="n">
        <v>440</v>
      </c>
      <c r="D3420" s="13" t="n">
        <v>1</v>
      </c>
      <c r="E3420" s="13" t="n">
        <v>438.85</v>
      </c>
      <c r="F3420" s="13" t="s">
        <v>5288</v>
      </c>
      <c r="G3420" s="13" t="s">
        <v>5292</v>
      </c>
      <c r="H3420" s="13" t="s">
        <v>5292</v>
      </c>
      <c r="I3420" s="13" t="s">
        <v>5289</v>
      </c>
      <c r="J3420" s="13" t="s">
        <v>5289</v>
      </c>
      <c r="K3420" s="13" t="s">
        <v>5292</v>
      </c>
      <c r="L3420" s="13" t="n">
        <v>8411061956113</v>
      </c>
      <c r="M3420" s="13"/>
      <c r="N3420" s="13" t="n">
        <v>8.41106113016284E+025</v>
      </c>
      <c r="O3420" s="13"/>
      <c r="P3420" s="13" t="s">
        <v>5291</v>
      </c>
      <c r="Q3420" s="13" t="s">
        <v>5289</v>
      </c>
      <c r="R3420" s="13" t="s">
        <v>5292</v>
      </c>
      <c r="S3420" s="13" t="s">
        <v>5293</v>
      </c>
      <c r="T3420" s="13" t="s">
        <v>5</v>
      </c>
      <c r="U3420" s="13" t="s">
        <v>43</v>
      </c>
      <c r="V3420" s="13" t="n">
        <f aca="false">IF(COUNTIF($B$2:B3420,B3420)=1,1,0)</f>
        <v>0</v>
      </c>
      <c r="W3420" s="13" t="n">
        <f aca="false">IF(COUNTIFS($B$2:B3420,B3420,$T$2:T3420,T3420)=1,1,0)</f>
        <v>0</v>
      </c>
    </row>
    <row r="3421" customFormat="false" ht="15" hidden="false" customHeight="false" outlineLevel="0" collapsed="false">
      <c r="A3421" s="13" t="s">
        <v>1728</v>
      </c>
      <c r="B3421" s="13" t="s">
        <v>107</v>
      </c>
      <c r="C3421" s="13" t="n">
        <v>440</v>
      </c>
      <c r="D3421" s="13" t="n">
        <v>2</v>
      </c>
      <c r="E3421" s="13" t="n">
        <v>145.076666666667</v>
      </c>
      <c r="F3421" s="13" t="s">
        <v>5288</v>
      </c>
      <c r="G3421" s="13" t="s">
        <v>5289</v>
      </c>
      <c r="H3421" s="13" t="s">
        <v>5289</v>
      </c>
      <c r="I3421" s="13" t="s">
        <v>5289</v>
      </c>
      <c r="J3421" s="13" t="s">
        <v>5289</v>
      </c>
      <c r="K3421" s="13" t="s">
        <v>5289</v>
      </c>
      <c r="L3421" s="13" t="n">
        <v>7891182019774</v>
      </c>
      <c r="M3421" s="13"/>
      <c r="N3421" s="13" t="n">
        <v>7891182019774</v>
      </c>
      <c r="O3421" s="13"/>
      <c r="P3421" s="13" t="s">
        <v>5291</v>
      </c>
      <c r="Q3421" s="13" t="s">
        <v>5289</v>
      </c>
      <c r="R3421" s="13" t="s">
        <v>5292</v>
      </c>
      <c r="S3421" s="13" t="s">
        <v>5293</v>
      </c>
      <c r="T3421" s="13" t="s">
        <v>5</v>
      </c>
      <c r="U3421" s="13" t="s">
        <v>43</v>
      </c>
      <c r="V3421" s="13" t="n">
        <f aca="false">IF(COUNTIF($B$2:B3421,B3421)=1,1,0)</f>
        <v>0</v>
      </c>
      <c r="W3421" s="13" t="n">
        <f aca="false">IF(COUNTIFS($B$2:B3421,B3421,$T$2:T3421,T3421)=1,1,0)</f>
        <v>0</v>
      </c>
    </row>
    <row r="3422" customFormat="false" ht="15" hidden="false" customHeight="false" outlineLevel="0" collapsed="false">
      <c r="A3422" s="13" t="s">
        <v>925</v>
      </c>
      <c r="B3422" s="13" t="s">
        <v>42</v>
      </c>
      <c r="C3422" s="13" t="n">
        <v>440</v>
      </c>
      <c r="D3422" s="13" t="n">
        <v>1</v>
      </c>
      <c r="E3422" s="13" t="n">
        <v>435.07</v>
      </c>
      <c r="F3422" s="13" t="s">
        <v>5288</v>
      </c>
      <c r="G3422" s="13" t="s">
        <v>5289</v>
      </c>
      <c r="H3422" s="13" t="s">
        <v>5292</v>
      </c>
      <c r="I3422" s="13" t="s">
        <v>5289</v>
      </c>
      <c r="J3422" s="13" t="s">
        <v>5289</v>
      </c>
      <c r="K3422" s="13" t="s">
        <v>5289</v>
      </c>
      <c r="L3422" s="13" t="n">
        <v>8411061781197</v>
      </c>
      <c r="M3422" s="13"/>
      <c r="N3422" s="13" t="n">
        <v>8411061781197</v>
      </c>
      <c r="O3422" s="13"/>
      <c r="P3422" s="13" t="s">
        <v>5291</v>
      </c>
      <c r="Q3422" s="13" t="s">
        <v>5289</v>
      </c>
      <c r="R3422" s="13" t="s">
        <v>5292</v>
      </c>
      <c r="S3422" s="13" t="s">
        <v>5293</v>
      </c>
      <c r="T3422" s="13" t="s">
        <v>5</v>
      </c>
      <c r="U3422" s="13" t="s">
        <v>43</v>
      </c>
      <c r="V3422" s="13" t="n">
        <f aca="false">IF(COUNTIF($B$2:B3422,B3422)=1,1,0)</f>
        <v>0</v>
      </c>
      <c r="W3422" s="13" t="n">
        <f aca="false">IF(COUNTIFS($B$2:B3422,B3422,$T$2:T3422,T3422)=1,1,0)</f>
        <v>0</v>
      </c>
    </row>
    <row r="3423" customFormat="false" ht="15" hidden="false" customHeight="false" outlineLevel="0" collapsed="false">
      <c r="A3423" s="13" t="s">
        <v>1737</v>
      </c>
      <c r="B3423" s="13" t="s">
        <v>103</v>
      </c>
      <c r="C3423" s="13" t="n">
        <v>430</v>
      </c>
      <c r="D3423" s="13" t="n">
        <v>2</v>
      </c>
      <c r="E3423" s="13" t="n">
        <v>144</v>
      </c>
      <c r="F3423" s="13" t="s">
        <v>5288</v>
      </c>
      <c r="G3423" s="13" t="s">
        <v>5292</v>
      </c>
      <c r="H3423" s="13" t="s">
        <v>5289</v>
      </c>
      <c r="I3423" s="13" t="s">
        <v>5289</v>
      </c>
      <c r="J3423" s="13" t="s">
        <v>5289</v>
      </c>
      <c r="K3423" s="13" t="s">
        <v>5289</v>
      </c>
      <c r="L3423" s="13"/>
      <c r="M3423" s="13"/>
      <c r="N3423" s="13" t="n">
        <v>8411061011195</v>
      </c>
      <c r="O3423" s="13"/>
      <c r="P3423" s="13" t="s">
        <v>5297</v>
      </c>
      <c r="Q3423" s="13" t="s">
        <v>5289</v>
      </c>
      <c r="R3423" s="13" t="s">
        <v>5292</v>
      </c>
      <c r="S3423" s="13" t="s">
        <v>5293</v>
      </c>
      <c r="T3423" s="13" t="s">
        <v>5</v>
      </c>
      <c r="U3423" s="13" t="s">
        <v>43</v>
      </c>
      <c r="V3423" s="13" t="n">
        <f aca="false">IF(COUNTIF($B$2:B3423,B3423)=1,1,0)</f>
        <v>0</v>
      </c>
      <c r="W3423" s="13" t="n">
        <f aca="false">IF(COUNTIFS($B$2:B3423,B3423,$T$2:T3423,T3423)=1,1,0)</f>
        <v>0</v>
      </c>
    </row>
    <row r="3424" customFormat="false" ht="15" hidden="false" customHeight="false" outlineLevel="0" collapsed="false">
      <c r="A3424" s="13" t="s">
        <v>1310</v>
      </c>
      <c r="B3424" s="13" t="s">
        <v>61</v>
      </c>
      <c r="C3424" s="13" t="n">
        <v>430</v>
      </c>
      <c r="D3424" s="13" t="n">
        <v>1</v>
      </c>
      <c r="E3424" s="13" t="n">
        <v>429.98</v>
      </c>
      <c r="F3424" s="13" t="s">
        <v>5325</v>
      </c>
      <c r="G3424" s="13" t="s">
        <v>5289</v>
      </c>
      <c r="H3424" s="13" t="s">
        <v>5292</v>
      </c>
      <c r="I3424" s="13" t="s">
        <v>5289</v>
      </c>
      <c r="J3424" s="13" t="s">
        <v>5289</v>
      </c>
      <c r="K3424" s="13" t="s">
        <v>5289</v>
      </c>
      <c r="L3424" s="13" t="n">
        <v>3614274397239</v>
      </c>
      <c r="M3424" s="13"/>
      <c r="N3424" s="13" t="n">
        <v>3614274397239</v>
      </c>
      <c r="O3424" s="13"/>
      <c r="P3424" s="13" t="s">
        <v>5291</v>
      </c>
      <c r="Q3424" s="13" t="s">
        <v>5289</v>
      </c>
      <c r="R3424" s="13" t="s">
        <v>5292</v>
      </c>
      <c r="S3424" s="13" t="s">
        <v>5293</v>
      </c>
      <c r="T3424" s="13" t="s">
        <v>5</v>
      </c>
      <c r="U3424" s="13" t="s">
        <v>43</v>
      </c>
      <c r="V3424" s="13" t="n">
        <f aca="false">IF(COUNTIF($B$2:B3424,B3424)=1,1,0)</f>
        <v>0</v>
      </c>
      <c r="W3424" s="13" t="n">
        <f aca="false">IF(COUNTIFS($B$2:B3424,B3424,$T$2:T3424,T3424)=1,1,0)</f>
        <v>0</v>
      </c>
    </row>
    <row r="3425" customFormat="false" ht="15" hidden="false" customHeight="false" outlineLevel="0" collapsed="false">
      <c r="A3425" s="13" t="s">
        <v>1736</v>
      </c>
      <c r="B3425" s="13" t="s">
        <v>92</v>
      </c>
      <c r="C3425" s="13" t="n">
        <v>430</v>
      </c>
      <c r="D3425" s="13" t="n">
        <v>1</v>
      </c>
      <c r="E3425" s="13" t="n">
        <v>429.87</v>
      </c>
      <c r="F3425" s="13" t="s">
        <v>5325</v>
      </c>
      <c r="G3425" s="13" t="s">
        <v>5289</v>
      </c>
      <c r="H3425" s="13" t="s">
        <v>5289</v>
      </c>
      <c r="I3425" s="13" t="s">
        <v>5289</v>
      </c>
      <c r="J3425" s="13" t="s">
        <v>5289</v>
      </c>
      <c r="K3425" s="13" t="s">
        <v>5289</v>
      </c>
      <c r="L3425" s="13"/>
      <c r="M3425" s="13"/>
      <c r="N3425" s="13" t="n">
        <v>3616303477936</v>
      </c>
      <c r="O3425" s="13"/>
      <c r="P3425" s="13" t="s">
        <v>5297</v>
      </c>
      <c r="Q3425" s="13" t="s">
        <v>5289</v>
      </c>
      <c r="R3425" s="13" t="s">
        <v>5292</v>
      </c>
      <c r="S3425" s="13" t="s">
        <v>5293</v>
      </c>
      <c r="T3425" s="13" t="s">
        <v>5</v>
      </c>
      <c r="U3425" s="13" t="s">
        <v>43</v>
      </c>
      <c r="V3425" s="13" t="n">
        <f aca="false">IF(COUNTIF($B$2:B3425,B3425)=1,1,0)</f>
        <v>0</v>
      </c>
      <c r="W3425" s="13" t="n">
        <f aca="false">IF(COUNTIFS($B$2:B3425,B3425,$T$2:T3425,T3425)=1,1,0)</f>
        <v>0</v>
      </c>
    </row>
    <row r="3426" customFormat="false" ht="15" hidden="false" customHeight="false" outlineLevel="0" collapsed="false">
      <c r="A3426" s="13" t="s">
        <v>4645</v>
      </c>
      <c r="B3426" s="13" t="s">
        <v>2155</v>
      </c>
      <c r="C3426" s="13" t="n">
        <v>430</v>
      </c>
      <c r="D3426" s="13" t="n">
        <v>2</v>
      </c>
      <c r="E3426" s="13" t="n">
        <v>142.99</v>
      </c>
      <c r="F3426" s="13" t="s">
        <v>5325</v>
      </c>
      <c r="G3426" s="13" t="s">
        <v>5289</v>
      </c>
      <c r="H3426" s="13" t="s">
        <v>5289</v>
      </c>
      <c r="I3426" s="13" t="s">
        <v>5289</v>
      </c>
      <c r="J3426" s="13" t="s">
        <v>5289</v>
      </c>
      <c r="K3426" s="13" t="s">
        <v>5289</v>
      </c>
      <c r="L3426" s="13" t="n">
        <v>5060630047801</v>
      </c>
      <c r="M3426" s="13"/>
      <c r="N3426" s="13" t="n">
        <v>5060630047801</v>
      </c>
      <c r="O3426" s="13"/>
      <c r="P3426" s="13" t="s">
        <v>5291</v>
      </c>
      <c r="Q3426" s="13" t="s">
        <v>5289</v>
      </c>
      <c r="R3426" s="13" t="s">
        <v>5292</v>
      </c>
      <c r="S3426" s="13" t="s">
        <v>5293</v>
      </c>
      <c r="T3426" s="13" t="s">
        <v>5</v>
      </c>
      <c r="U3426" s="13" t="s">
        <v>85</v>
      </c>
      <c r="V3426" s="13" t="n">
        <f aca="false">IF(COUNTIF($B$2:B3426,B3426)=1,1,0)</f>
        <v>0</v>
      </c>
      <c r="W3426" s="13" t="n">
        <f aca="false">IF(COUNTIFS($B$2:B3426,B3426,$T$2:T3426,T3426)=1,1,0)</f>
        <v>0</v>
      </c>
    </row>
    <row r="3427" customFormat="false" ht="15" hidden="false" customHeight="false" outlineLevel="0" collapsed="false">
      <c r="A3427" s="13" t="s">
        <v>1734</v>
      </c>
      <c r="B3427" s="13" t="s">
        <v>121</v>
      </c>
      <c r="C3427" s="13" t="n">
        <v>430</v>
      </c>
      <c r="D3427" s="13" t="n">
        <v>5</v>
      </c>
      <c r="E3427" s="13" t="n">
        <v>61.27</v>
      </c>
      <c r="F3427" s="13" t="s">
        <v>5325</v>
      </c>
      <c r="G3427" s="13" t="s">
        <v>5289</v>
      </c>
      <c r="H3427" s="13" t="s">
        <v>5289</v>
      </c>
      <c r="I3427" s="13" t="s">
        <v>5292</v>
      </c>
      <c r="J3427" s="13" t="s">
        <v>5289</v>
      </c>
      <c r="K3427" s="13" t="s">
        <v>5289</v>
      </c>
      <c r="L3427" s="13" t="n">
        <v>7896086960382</v>
      </c>
      <c r="M3427" s="13"/>
      <c r="N3427" s="13" t="n">
        <v>7896086960382</v>
      </c>
      <c r="O3427" s="13"/>
      <c r="P3427" s="13" t="s">
        <v>5291</v>
      </c>
      <c r="Q3427" s="13" t="s">
        <v>5289</v>
      </c>
      <c r="R3427" s="13" t="s">
        <v>5292</v>
      </c>
      <c r="S3427" s="13" t="s">
        <v>5293</v>
      </c>
      <c r="T3427" s="13" t="s">
        <v>5</v>
      </c>
      <c r="U3427" s="13" t="s">
        <v>183</v>
      </c>
      <c r="V3427" s="13" t="n">
        <f aca="false">IF(COUNTIF($B$2:B3427,B3427)=1,1,0)</f>
        <v>0</v>
      </c>
      <c r="W3427" s="13" t="n">
        <f aca="false">IF(COUNTIFS($B$2:B3427,B3427,$T$2:T3427,T3427)=1,1,0)</f>
        <v>0</v>
      </c>
    </row>
    <row r="3428" customFormat="false" ht="15" hidden="false" customHeight="false" outlineLevel="0" collapsed="false">
      <c r="A3428" s="13" t="s">
        <v>1735</v>
      </c>
      <c r="B3428" s="13" t="s">
        <v>121</v>
      </c>
      <c r="C3428" s="13" t="n">
        <v>430</v>
      </c>
      <c r="D3428" s="13" t="n">
        <v>5</v>
      </c>
      <c r="E3428" s="13" t="n">
        <v>53.35</v>
      </c>
      <c r="F3428" s="13" t="s">
        <v>5288</v>
      </c>
      <c r="G3428" s="13" t="s">
        <v>5289</v>
      </c>
      <c r="H3428" s="13" t="s">
        <v>5289</v>
      </c>
      <c r="I3428" s="13" t="s">
        <v>5292</v>
      </c>
      <c r="J3428" s="13" t="s">
        <v>5289</v>
      </c>
      <c r="K3428" s="13" t="s">
        <v>5289</v>
      </c>
      <c r="L3428" s="13" t="n">
        <v>7896086987969</v>
      </c>
      <c r="M3428" s="13"/>
      <c r="N3428" s="13" t="n">
        <v>7896086987969</v>
      </c>
      <c r="O3428" s="13"/>
      <c r="P3428" s="13" t="s">
        <v>5291</v>
      </c>
      <c r="Q3428" s="13" t="s">
        <v>5289</v>
      </c>
      <c r="R3428" s="13" t="s">
        <v>5292</v>
      </c>
      <c r="S3428" s="13" t="s">
        <v>5293</v>
      </c>
      <c r="T3428" s="13" t="s">
        <v>5</v>
      </c>
      <c r="U3428" s="13" t="s">
        <v>43</v>
      </c>
      <c r="V3428" s="13" t="n">
        <f aca="false">IF(COUNTIF($B$2:B3428,B3428)=1,1,0)</f>
        <v>0</v>
      </c>
      <c r="W3428" s="13" t="n">
        <f aca="false">IF(COUNTIFS($B$2:B3428,B3428,$T$2:T3428,T3428)=1,1,0)</f>
        <v>0</v>
      </c>
    </row>
    <row r="3429" customFormat="false" ht="15" hidden="false" customHeight="false" outlineLevel="0" collapsed="false">
      <c r="A3429" s="13" t="s">
        <v>1738</v>
      </c>
      <c r="B3429" s="13" t="s">
        <v>177</v>
      </c>
      <c r="C3429" s="13" t="n">
        <v>430</v>
      </c>
      <c r="D3429" s="13" t="n">
        <v>1</v>
      </c>
      <c r="E3429" s="13" t="n">
        <v>426.75</v>
      </c>
      <c r="F3429" s="13" t="s">
        <v>5325</v>
      </c>
      <c r="G3429" s="13" t="s">
        <v>5289</v>
      </c>
      <c r="H3429" s="13" t="s">
        <v>5292</v>
      </c>
      <c r="I3429" s="13" t="s">
        <v>5289</v>
      </c>
      <c r="J3429" s="13" t="s">
        <v>5289</v>
      </c>
      <c r="K3429" s="13" t="s">
        <v>5289</v>
      </c>
      <c r="L3429" s="13" t="n">
        <v>3614227758063</v>
      </c>
      <c r="M3429" s="13"/>
      <c r="N3429" s="13" t="n">
        <v>3614227758063</v>
      </c>
      <c r="O3429" s="13"/>
      <c r="P3429" s="13" t="s">
        <v>5291</v>
      </c>
      <c r="Q3429" s="13" t="s">
        <v>5289</v>
      </c>
      <c r="R3429" s="13" t="s">
        <v>5292</v>
      </c>
      <c r="S3429" s="13" t="s">
        <v>5293</v>
      </c>
      <c r="T3429" s="13" t="s">
        <v>5</v>
      </c>
      <c r="U3429" s="13" t="s">
        <v>43</v>
      </c>
      <c r="V3429" s="13" t="n">
        <f aca="false">IF(COUNTIF($B$2:B3429,B3429)=1,1,0)</f>
        <v>0</v>
      </c>
      <c r="W3429" s="13" t="n">
        <f aca="false">IF(COUNTIFS($B$2:B3429,B3429,$T$2:T3429,T3429)=1,1,0)</f>
        <v>0</v>
      </c>
    </row>
    <row r="3430" customFormat="false" ht="15" hidden="false" customHeight="false" outlineLevel="0" collapsed="false">
      <c r="A3430" s="13" t="s">
        <v>1733</v>
      </c>
      <c r="B3430" s="13" t="s">
        <v>121</v>
      </c>
      <c r="C3430" s="13" t="n">
        <v>430</v>
      </c>
      <c r="D3430" s="13" t="n">
        <v>5</v>
      </c>
      <c r="E3430" s="13" t="n">
        <v>71.1</v>
      </c>
      <c r="F3430" s="13" t="s">
        <v>5288</v>
      </c>
      <c r="G3430" s="13" t="s">
        <v>5289</v>
      </c>
      <c r="H3430" s="13" t="s">
        <v>5289</v>
      </c>
      <c r="I3430" s="13" t="s">
        <v>5292</v>
      </c>
      <c r="J3430" s="13" t="s">
        <v>5289</v>
      </c>
      <c r="K3430" s="13" t="s">
        <v>5289</v>
      </c>
      <c r="L3430" s="13" t="n">
        <v>7896086945143</v>
      </c>
      <c r="M3430" s="13"/>
      <c r="N3430" s="13" t="n">
        <v>7896086945143</v>
      </c>
      <c r="O3430" s="13"/>
      <c r="P3430" s="13" t="s">
        <v>5291</v>
      </c>
      <c r="Q3430" s="13" t="s">
        <v>5289</v>
      </c>
      <c r="R3430" s="13" t="s">
        <v>5292</v>
      </c>
      <c r="S3430" s="13" t="s">
        <v>5293</v>
      </c>
      <c r="T3430" s="13" t="s">
        <v>5</v>
      </c>
      <c r="U3430" s="13" t="s">
        <v>183</v>
      </c>
      <c r="V3430" s="13" t="n">
        <f aca="false">IF(COUNTIF($B$2:B3430,B3430)=1,1,0)</f>
        <v>0</v>
      </c>
      <c r="W3430" s="13" t="n">
        <f aca="false">IF(COUNTIFS($B$2:B3430,B3430,$T$2:T3430,T3430)=1,1,0)</f>
        <v>0</v>
      </c>
    </row>
    <row r="3431" customFormat="false" ht="15" hidden="false" customHeight="false" outlineLevel="0" collapsed="false">
      <c r="A3431" s="13" t="s">
        <v>1748</v>
      </c>
      <c r="B3431" s="13" t="s">
        <v>315</v>
      </c>
      <c r="C3431" s="13" t="n">
        <v>420</v>
      </c>
      <c r="D3431" s="13" t="n">
        <v>1</v>
      </c>
      <c r="E3431" s="13" t="n">
        <v>425</v>
      </c>
      <c r="F3431" s="13" t="s">
        <v>5325</v>
      </c>
      <c r="G3431" s="13" t="s">
        <v>5292</v>
      </c>
      <c r="H3431" s="13" t="s">
        <v>5292</v>
      </c>
      <c r="I3431" s="13" t="s">
        <v>5289</v>
      </c>
      <c r="J3431" s="13" t="s">
        <v>5289</v>
      </c>
      <c r="K3431" s="13" t="s">
        <v>5289</v>
      </c>
      <c r="L3431" s="13"/>
      <c r="M3431" s="13"/>
      <c r="N3431" s="13" t="n">
        <v>3605972975874</v>
      </c>
      <c r="O3431" s="13"/>
      <c r="P3431" s="13" t="s">
        <v>5291</v>
      </c>
      <c r="Q3431" s="13" t="s">
        <v>5289</v>
      </c>
      <c r="R3431" s="13" t="s">
        <v>5292</v>
      </c>
      <c r="S3431" s="13" t="s">
        <v>5293</v>
      </c>
      <c r="T3431" s="13" t="s">
        <v>5</v>
      </c>
      <c r="U3431" s="13" t="s">
        <v>43</v>
      </c>
      <c r="V3431" s="13" t="n">
        <f aca="false">IF(COUNTIF($B$2:B3431,B3431)=1,1,0)</f>
        <v>0</v>
      </c>
      <c r="W3431" s="13" t="n">
        <f aca="false">IF(COUNTIFS($B$2:B3431,B3431,$T$2:T3431,T3431)=1,1,0)</f>
        <v>0</v>
      </c>
    </row>
    <row r="3432" customFormat="false" ht="15" hidden="false" customHeight="false" outlineLevel="0" collapsed="false">
      <c r="A3432" s="13" t="s">
        <v>4659</v>
      </c>
      <c r="B3432" s="13" t="s">
        <v>2103</v>
      </c>
      <c r="C3432" s="13" t="n">
        <v>420</v>
      </c>
      <c r="D3432" s="13" t="n">
        <v>2</v>
      </c>
      <c r="E3432" s="13" t="n">
        <v>106.2</v>
      </c>
      <c r="F3432" s="13" t="s">
        <v>5325</v>
      </c>
      <c r="G3432" s="13" t="s">
        <v>5292</v>
      </c>
      <c r="H3432" s="13" t="s">
        <v>5289</v>
      </c>
      <c r="I3432" s="13" t="s">
        <v>5289</v>
      </c>
      <c r="J3432" s="13" t="s">
        <v>5289</v>
      </c>
      <c r="K3432" s="13" t="s">
        <v>5289</v>
      </c>
      <c r="L3432" s="13"/>
      <c r="M3432" s="13"/>
      <c r="N3432" s="13" t="n">
        <v>309970215750</v>
      </c>
      <c r="O3432" s="13"/>
      <c r="P3432" s="13" t="s">
        <v>5291</v>
      </c>
      <c r="Q3432" s="13" t="s">
        <v>5289</v>
      </c>
      <c r="R3432" s="13" t="s">
        <v>5292</v>
      </c>
      <c r="S3432" s="13" t="s">
        <v>5293</v>
      </c>
      <c r="T3432" s="13" t="s">
        <v>5</v>
      </c>
      <c r="U3432" s="13" t="s">
        <v>183</v>
      </c>
      <c r="V3432" s="13" t="n">
        <f aca="false">IF(COUNTIF($B$2:B3432,B3432)=1,1,0)</f>
        <v>0</v>
      </c>
      <c r="W3432" s="13" t="n">
        <f aca="false">IF(COUNTIFS($B$2:B3432,B3432,$T$2:T3432,T3432)=1,1,0)</f>
        <v>0</v>
      </c>
    </row>
    <row r="3433" customFormat="false" ht="15" hidden="false" customHeight="false" outlineLevel="0" collapsed="false">
      <c r="A3433" s="13" t="s">
        <v>6397</v>
      </c>
      <c r="B3433" s="13" t="s">
        <v>2127</v>
      </c>
      <c r="C3433" s="13" t="n">
        <v>420</v>
      </c>
      <c r="D3433" s="13" t="n">
        <v>5</v>
      </c>
      <c r="E3433" s="13" t="n">
        <v>84.666</v>
      </c>
      <c r="F3433" s="13" t="s">
        <v>5325</v>
      </c>
      <c r="G3433" s="13" t="s">
        <v>5289</v>
      </c>
      <c r="H3433" s="13" t="s">
        <v>5289</v>
      </c>
      <c r="I3433" s="13" t="s">
        <v>5292</v>
      </c>
      <c r="J3433" s="13" t="s">
        <v>5289</v>
      </c>
      <c r="K3433" s="13" t="s">
        <v>5289</v>
      </c>
      <c r="L3433" s="13" t="n">
        <v>19045108077</v>
      </c>
      <c r="M3433" s="13"/>
      <c r="N3433" s="13" t="n">
        <v>19045108077</v>
      </c>
      <c r="O3433" s="13"/>
      <c r="P3433" s="13" t="s">
        <v>5291</v>
      </c>
      <c r="Q3433" s="13" t="s">
        <v>5289</v>
      </c>
      <c r="R3433" s="13" t="s">
        <v>5292</v>
      </c>
      <c r="S3433" s="13" t="s">
        <v>5293</v>
      </c>
      <c r="T3433" s="13" t="s">
        <v>5</v>
      </c>
      <c r="U3433" s="13" t="s">
        <v>85</v>
      </c>
      <c r="V3433" s="13" t="n">
        <f aca="false">IF(COUNTIF($B$2:B3433,B3433)=1,1,0)</f>
        <v>0</v>
      </c>
      <c r="W3433" s="13" t="n">
        <f aca="false">IF(COUNTIFS($B$2:B3433,B3433,$T$2:T3433,T3433)=1,1,0)</f>
        <v>0</v>
      </c>
    </row>
    <row r="3434" customFormat="false" ht="15" hidden="false" customHeight="false" outlineLevel="0" collapsed="false">
      <c r="A3434" s="13" t="s">
        <v>921</v>
      </c>
      <c r="B3434" s="13" t="s">
        <v>153</v>
      </c>
      <c r="C3434" s="13" t="n">
        <v>420</v>
      </c>
      <c r="D3434" s="13" t="n">
        <v>1</v>
      </c>
      <c r="E3434" s="13" t="n">
        <v>422</v>
      </c>
      <c r="F3434" s="13" t="s">
        <v>5325</v>
      </c>
      <c r="G3434" s="13" t="s">
        <v>5289</v>
      </c>
      <c r="H3434" s="13" t="s">
        <v>5289</v>
      </c>
      <c r="I3434" s="13" t="s">
        <v>5289</v>
      </c>
      <c r="J3434" s="13" t="s">
        <v>5289</v>
      </c>
      <c r="K3434" s="13" t="s">
        <v>5289</v>
      </c>
      <c r="L3434" s="13" t="n">
        <v>8011003845347</v>
      </c>
      <c r="M3434" s="13"/>
      <c r="N3434" s="13" t="n">
        <v>8011003845347</v>
      </c>
      <c r="O3434" s="13"/>
      <c r="P3434" s="13" t="s">
        <v>5291</v>
      </c>
      <c r="Q3434" s="13" t="s">
        <v>5289</v>
      </c>
      <c r="R3434" s="13" t="s">
        <v>5292</v>
      </c>
      <c r="S3434" s="13" t="s">
        <v>5293</v>
      </c>
      <c r="T3434" s="13" t="s">
        <v>5</v>
      </c>
      <c r="U3434" s="13" t="s">
        <v>43</v>
      </c>
      <c r="V3434" s="13" t="n">
        <f aca="false">IF(COUNTIF($B$2:B3434,B3434)=1,1,0)</f>
        <v>0</v>
      </c>
      <c r="W3434" s="13" t="n">
        <f aca="false">IF(COUNTIFS($B$2:B3434,B3434,$T$2:T3434,T3434)=1,1,0)</f>
        <v>0</v>
      </c>
    </row>
    <row r="3435" customFormat="false" ht="15" hidden="false" customHeight="false" outlineLevel="0" collapsed="false">
      <c r="A3435" s="13" t="s">
        <v>343</v>
      </c>
      <c r="B3435" s="13" t="s">
        <v>79</v>
      </c>
      <c r="C3435" s="13" t="n">
        <v>420</v>
      </c>
      <c r="D3435" s="13" t="n">
        <v>1</v>
      </c>
      <c r="E3435" s="13" t="n">
        <v>422</v>
      </c>
      <c r="F3435" s="13" t="s">
        <v>5325</v>
      </c>
      <c r="G3435" s="13" t="s">
        <v>5289</v>
      </c>
      <c r="H3435" s="13" t="s">
        <v>5292</v>
      </c>
      <c r="I3435" s="13" t="s">
        <v>5289</v>
      </c>
      <c r="J3435" s="13" t="s">
        <v>5289</v>
      </c>
      <c r="K3435" s="13" t="s">
        <v>5289</v>
      </c>
      <c r="L3435" s="13" t="n">
        <v>8056669925774</v>
      </c>
      <c r="M3435" s="13"/>
      <c r="N3435" s="13" t="n">
        <v>8056669925774</v>
      </c>
      <c r="O3435" s="13"/>
      <c r="P3435" s="13" t="s">
        <v>5291</v>
      </c>
      <c r="Q3435" s="13" t="s">
        <v>5289</v>
      </c>
      <c r="R3435" s="13" t="s">
        <v>5292</v>
      </c>
      <c r="S3435" s="13" t="s">
        <v>5293</v>
      </c>
      <c r="T3435" s="13" t="s">
        <v>5</v>
      </c>
      <c r="U3435" s="13" t="s">
        <v>43</v>
      </c>
      <c r="V3435" s="13" t="n">
        <f aca="false">IF(COUNTIF($B$2:B3435,B3435)=1,1,0)</f>
        <v>0</v>
      </c>
      <c r="W3435" s="13" t="n">
        <f aca="false">IF(COUNTIFS($B$2:B3435,B3435,$T$2:T3435,T3435)=1,1,0)</f>
        <v>0</v>
      </c>
    </row>
    <row r="3436" customFormat="false" ht="15" hidden="false" customHeight="false" outlineLevel="0" collapsed="false">
      <c r="A3436" s="13" t="s">
        <v>1743</v>
      </c>
      <c r="B3436" s="13" t="s">
        <v>121</v>
      </c>
      <c r="C3436" s="13" t="n">
        <v>420</v>
      </c>
      <c r="D3436" s="13" t="n">
        <v>2</v>
      </c>
      <c r="E3436" s="13" t="n">
        <v>139.9</v>
      </c>
      <c r="F3436" s="13" t="s">
        <v>5288</v>
      </c>
      <c r="G3436" s="13" t="s">
        <v>5289</v>
      </c>
      <c r="H3436" s="13" t="s">
        <v>5289</v>
      </c>
      <c r="I3436" s="13" t="s">
        <v>5289</v>
      </c>
      <c r="J3436" s="13" t="s">
        <v>5289</v>
      </c>
      <c r="K3436" s="13" t="s">
        <v>5289</v>
      </c>
      <c r="L3436" s="13" t="n">
        <v>7896086912053</v>
      </c>
      <c r="M3436" s="13"/>
      <c r="N3436" s="13" t="n">
        <v>7896086912053</v>
      </c>
      <c r="O3436" s="13"/>
      <c r="P3436" s="13" t="s">
        <v>5297</v>
      </c>
      <c r="Q3436" s="13" t="s">
        <v>5289</v>
      </c>
      <c r="R3436" s="13" t="s">
        <v>5292</v>
      </c>
      <c r="S3436" s="13" t="s">
        <v>5293</v>
      </c>
      <c r="T3436" s="13" t="s">
        <v>5</v>
      </c>
      <c r="U3436" s="13" t="s">
        <v>43</v>
      </c>
      <c r="V3436" s="13" t="n">
        <f aca="false">IF(COUNTIF($B$2:B3436,B3436)=1,1,0)</f>
        <v>0</v>
      </c>
      <c r="W3436" s="13" t="n">
        <f aca="false">IF(COUNTIFS($B$2:B3436,B3436,$T$2:T3436,T3436)=1,1,0)</f>
        <v>0</v>
      </c>
    </row>
    <row r="3437" customFormat="false" ht="15" hidden="false" customHeight="false" outlineLevel="0" collapsed="false">
      <c r="A3437" s="13" t="s">
        <v>702</v>
      </c>
      <c r="B3437" s="13" t="s">
        <v>45</v>
      </c>
      <c r="C3437" s="13" t="n">
        <v>420</v>
      </c>
      <c r="D3437" s="13" t="n">
        <v>1</v>
      </c>
      <c r="E3437" s="13" t="n">
        <v>419.2</v>
      </c>
      <c r="F3437" s="13" t="s">
        <v>5325</v>
      </c>
      <c r="G3437" s="13" t="s">
        <v>5289</v>
      </c>
      <c r="H3437" s="13" t="s">
        <v>5289</v>
      </c>
      <c r="I3437" s="13" t="s">
        <v>5289</v>
      </c>
      <c r="J3437" s="13" t="s">
        <v>5289</v>
      </c>
      <c r="K3437" s="13" t="s">
        <v>5289</v>
      </c>
      <c r="L3437" s="13" t="n">
        <v>8435415080408</v>
      </c>
      <c r="M3437" s="13"/>
      <c r="N3437" s="13" t="n">
        <v>8435415080408</v>
      </c>
      <c r="O3437" s="13"/>
      <c r="P3437" s="13" t="s">
        <v>5291</v>
      </c>
      <c r="Q3437" s="13" t="s">
        <v>5289</v>
      </c>
      <c r="R3437" s="13" t="s">
        <v>5292</v>
      </c>
      <c r="S3437" s="13" t="s">
        <v>5293</v>
      </c>
      <c r="T3437" s="13" t="s">
        <v>5</v>
      </c>
      <c r="U3437" s="13" t="s">
        <v>43</v>
      </c>
      <c r="V3437" s="13" t="n">
        <f aca="false">IF(COUNTIF($B$2:B3437,B3437)=1,1,0)</f>
        <v>0</v>
      </c>
      <c r="W3437" s="13" t="n">
        <f aca="false">IF(COUNTIFS($B$2:B3437,B3437,$T$2:T3437,T3437)=1,1,0)</f>
        <v>0</v>
      </c>
    </row>
    <row r="3438" customFormat="false" ht="15" hidden="false" customHeight="false" outlineLevel="0" collapsed="false">
      <c r="A3438" s="13" t="s">
        <v>1744</v>
      </c>
      <c r="B3438" s="13" t="s">
        <v>195</v>
      </c>
      <c r="C3438" s="13" t="n">
        <v>420</v>
      </c>
      <c r="D3438" s="13" t="n">
        <v>1</v>
      </c>
      <c r="E3438" s="13" t="n">
        <v>419</v>
      </c>
      <c r="F3438" s="13" t="s">
        <v>5325</v>
      </c>
      <c r="G3438" s="13" t="s">
        <v>5289</v>
      </c>
      <c r="H3438" s="13" t="s">
        <v>5289</v>
      </c>
      <c r="I3438" s="13" t="s">
        <v>5289</v>
      </c>
      <c r="J3438" s="13" t="s">
        <v>5289</v>
      </c>
      <c r="K3438" s="13" t="s">
        <v>5292</v>
      </c>
      <c r="L3438" s="13" t="n">
        <v>3614226905031</v>
      </c>
      <c r="M3438" s="13"/>
      <c r="N3438" s="13" t="n">
        <v>3614226905031</v>
      </c>
      <c r="O3438" s="13"/>
      <c r="P3438" s="13" t="s">
        <v>5297</v>
      </c>
      <c r="Q3438" s="13" t="s">
        <v>5289</v>
      </c>
      <c r="R3438" s="13" t="s">
        <v>5292</v>
      </c>
      <c r="S3438" s="13" t="s">
        <v>5293</v>
      </c>
      <c r="T3438" s="13" t="s">
        <v>5</v>
      </c>
      <c r="U3438" s="13" t="s">
        <v>43</v>
      </c>
      <c r="V3438" s="13" t="n">
        <f aca="false">IF(COUNTIF($B$2:B3438,B3438)=1,1,0)</f>
        <v>0</v>
      </c>
      <c r="W3438" s="13" t="n">
        <f aca="false">IF(COUNTIFS($B$2:B3438,B3438,$T$2:T3438,T3438)=1,1,0)</f>
        <v>0</v>
      </c>
    </row>
    <row r="3439" customFormat="false" ht="15" hidden="false" customHeight="false" outlineLevel="0" collapsed="false">
      <c r="A3439" s="13" t="s">
        <v>1749</v>
      </c>
      <c r="B3439" s="13" t="s">
        <v>61</v>
      </c>
      <c r="C3439" s="13" t="n">
        <v>420</v>
      </c>
      <c r="D3439" s="13" t="n">
        <v>1</v>
      </c>
      <c r="E3439" s="13" t="n">
        <v>418.85</v>
      </c>
      <c r="F3439" s="13" t="s">
        <v>5288</v>
      </c>
      <c r="G3439" s="13" t="s">
        <v>5292</v>
      </c>
      <c r="H3439" s="13" t="s">
        <v>5289</v>
      </c>
      <c r="I3439" s="13" t="s">
        <v>5289</v>
      </c>
      <c r="J3439" s="13" t="s">
        <v>5289</v>
      </c>
      <c r="K3439" s="13" t="s">
        <v>5292</v>
      </c>
      <c r="L3439" s="13"/>
      <c r="M3439" s="13"/>
      <c r="N3439" s="13" t="n">
        <v>3614272827868</v>
      </c>
      <c r="O3439" s="13"/>
      <c r="P3439" s="13" t="s">
        <v>5297</v>
      </c>
      <c r="Q3439" s="13" t="s">
        <v>5289</v>
      </c>
      <c r="R3439" s="13" t="s">
        <v>5292</v>
      </c>
      <c r="S3439" s="13" t="s">
        <v>5293</v>
      </c>
      <c r="T3439" s="13" t="s">
        <v>5</v>
      </c>
      <c r="U3439" s="13" t="s">
        <v>43</v>
      </c>
      <c r="V3439" s="13" t="n">
        <f aca="false">IF(COUNTIF($B$2:B3439,B3439)=1,1,0)</f>
        <v>0</v>
      </c>
      <c r="W3439" s="13" t="n">
        <f aca="false">IF(COUNTIFS($B$2:B3439,B3439,$T$2:T3439,T3439)=1,1,0)</f>
        <v>0</v>
      </c>
    </row>
    <row r="3440" customFormat="false" ht="15" hidden="false" customHeight="false" outlineLevel="0" collapsed="false">
      <c r="A3440" s="13" t="s">
        <v>1745</v>
      </c>
      <c r="B3440" s="13" t="s">
        <v>61</v>
      </c>
      <c r="C3440" s="13" t="n">
        <v>420</v>
      </c>
      <c r="D3440" s="13" t="n">
        <v>1</v>
      </c>
      <c r="E3440" s="13" t="n">
        <v>418.85</v>
      </c>
      <c r="F3440" s="13" t="s">
        <v>5288</v>
      </c>
      <c r="G3440" s="13" t="s">
        <v>5289</v>
      </c>
      <c r="H3440" s="13" t="s">
        <v>5292</v>
      </c>
      <c r="I3440" s="13" t="s">
        <v>5289</v>
      </c>
      <c r="J3440" s="13" t="s">
        <v>5289</v>
      </c>
      <c r="K3440" s="13" t="s">
        <v>5292</v>
      </c>
      <c r="L3440" s="13" t="n">
        <v>3614274297003</v>
      </c>
      <c r="M3440" s="13"/>
      <c r="N3440" s="13" t="n">
        <v>3614274297003</v>
      </c>
      <c r="O3440" s="13"/>
      <c r="P3440" s="13" t="s">
        <v>5291</v>
      </c>
      <c r="Q3440" s="13" t="s">
        <v>5289</v>
      </c>
      <c r="R3440" s="13" t="s">
        <v>5292</v>
      </c>
      <c r="S3440" s="13" t="s">
        <v>5293</v>
      </c>
      <c r="T3440" s="13" t="s">
        <v>5</v>
      </c>
      <c r="U3440" s="13" t="s">
        <v>43</v>
      </c>
      <c r="V3440" s="13" t="n">
        <f aca="false">IF(COUNTIF($B$2:B3440,B3440)=1,1,0)</f>
        <v>0</v>
      </c>
      <c r="W3440" s="13" t="n">
        <f aca="false">IF(COUNTIFS($B$2:B3440,B3440,$T$2:T3440,T3440)=1,1,0)</f>
        <v>0</v>
      </c>
    </row>
    <row r="3441" customFormat="false" ht="15" hidden="false" customHeight="false" outlineLevel="0" collapsed="false">
      <c r="A3441" s="13" t="s">
        <v>1746</v>
      </c>
      <c r="B3441" s="13" t="s">
        <v>45</v>
      </c>
      <c r="C3441" s="13" t="n">
        <v>420</v>
      </c>
      <c r="D3441" s="13" t="n">
        <v>2</v>
      </c>
      <c r="E3441" s="13" t="n">
        <v>209.14</v>
      </c>
      <c r="F3441" s="13" t="s">
        <v>5325</v>
      </c>
      <c r="G3441" s="13" t="s">
        <v>5289</v>
      </c>
      <c r="H3441" s="13" t="s">
        <v>5289</v>
      </c>
      <c r="I3441" s="13" t="s">
        <v>5289</v>
      </c>
      <c r="J3441" s="13" t="s">
        <v>5289</v>
      </c>
      <c r="K3441" s="13" t="s">
        <v>5289</v>
      </c>
      <c r="L3441" s="13" t="n">
        <v>8435415105361</v>
      </c>
      <c r="M3441" s="13"/>
      <c r="N3441" s="13" t="n">
        <v>8435415105361</v>
      </c>
      <c r="O3441" s="13"/>
      <c r="P3441" s="13" t="s">
        <v>5291</v>
      </c>
      <c r="Q3441" s="13" t="s">
        <v>5289</v>
      </c>
      <c r="R3441" s="13" t="s">
        <v>5292</v>
      </c>
      <c r="S3441" s="13" t="s">
        <v>5293</v>
      </c>
      <c r="T3441" s="13" t="s">
        <v>5</v>
      </c>
      <c r="U3441" s="13" t="s">
        <v>43</v>
      </c>
      <c r="V3441" s="13" t="n">
        <f aca="false">IF(COUNTIF($B$2:B3441,B3441)=1,1,0)</f>
        <v>0</v>
      </c>
      <c r="W3441" s="13" t="n">
        <f aca="false">IF(COUNTIFS($B$2:B3441,B3441,$T$2:T3441,T3441)=1,1,0)</f>
        <v>0</v>
      </c>
    </row>
    <row r="3442" customFormat="false" ht="15" hidden="false" customHeight="false" outlineLevel="0" collapsed="false">
      <c r="A3442" s="13" t="s">
        <v>1747</v>
      </c>
      <c r="B3442" s="13" t="s">
        <v>121</v>
      </c>
      <c r="C3442" s="13" t="n">
        <v>420</v>
      </c>
      <c r="D3442" s="13" t="n">
        <v>2</v>
      </c>
      <c r="E3442" s="13" t="n">
        <v>104.145</v>
      </c>
      <c r="F3442" s="13" t="s">
        <v>5325</v>
      </c>
      <c r="G3442" s="13" t="s">
        <v>5289</v>
      </c>
      <c r="H3442" s="13" t="s">
        <v>5292</v>
      </c>
      <c r="I3442" s="13" t="s">
        <v>5289</v>
      </c>
      <c r="J3442" s="13" t="s">
        <v>5289</v>
      </c>
      <c r="K3442" s="13" t="s">
        <v>5289</v>
      </c>
      <c r="L3442" s="13" t="n">
        <v>7896086901460</v>
      </c>
      <c r="M3442" s="13"/>
      <c r="N3442" s="13" t="n">
        <v>7896086901460</v>
      </c>
      <c r="O3442" s="13"/>
      <c r="P3442" s="13" t="s">
        <v>5291</v>
      </c>
      <c r="Q3442" s="13" t="s">
        <v>5289</v>
      </c>
      <c r="R3442" s="13" t="s">
        <v>5292</v>
      </c>
      <c r="S3442" s="13" t="s">
        <v>5293</v>
      </c>
      <c r="T3442" s="13" t="s">
        <v>5</v>
      </c>
      <c r="U3442" s="13" t="s">
        <v>43</v>
      </c>
      <c r="V3442" s="13" t="n">
        <f aca="false">IF(COUNTIF($B$2:B3442,B3442)=1,1,0)</f>
        <v>0</v>
      </c>
      <c r="W3442" s="13" t="n">
        <f aca="false">IF(COUNTIFS($B$2:B3442,B3442,$T$2:T3442,T3442)=1,1,0)</f>
        <v>0</v>
      </c>
    </row>
    <row r="3443" customFormat="false" ht="15" hidden="false" customHeight="false" outlineLevel="0" collapsed="false">
      <c r="A3443" s="13" t="s">
        <v>359</v>
      </c>
      <c r="B3443" s="13" t="s">
        <v>92</v>
      </c>
      <c r="C3443" s="13" t="n">
        <v>420</v>
      </c>
      <c r="D3443" s="13" t="n">
        <v>1</v>
      </c>
      <c r="E3443" s="13" t="n">
        <v>416.13</v>
      </c>
      <c r="F3443" s="13" t="s">
        <v>5288</v>
      </c>
      <c r="G3443" s="13" t="s">
        <v>5292</v>
      </c>
      <c r="H3443" s="13" t="s">
        <v>5289</v>
      </c>
      <c r="I3443" s="13" t="s">
        <v>5289</v>
      </c>
      <c r="J3443" s="13" t="s">
        <v>5289</v>
      </c>
      <c r="K3443" s="13" t="s">
        <v>5289</v>
      </c>
      <c r="L3443" s="13" t="n">
        <v>688575201901</v>
      </c>
      <c r="M3443" s="13"/>
      <c r="N3443" s="13" t="n">
        <v>688575201901</v>
      </c>
      <c r="O3443" s="13"/>
      <c r="P3443" s="13" t="s">
        <v>5297</v>
      </c>
      <c r="Q3443" s="13" t="s">
        <v>5289</v>
      </c>
      <c r="R3443" s="13" t="s">
        <v>5292</v>
      </c>
      <c r="S3443" s="13" t="s">
        <v>5293</v>
      </c>
      <c r="T3443" s="13" t="s">
        <v>5</v>
      </c>
      <c r="U3443" s="13" t="s">
        <v>43</v>
      </c>
      <c r="V3443" s="13" t="n">
        <f aca="false">IF(COUNTIF($B$2:B3443,B3443)=1,1,0)</f>
        <v>0</v>
      </c>
      <c r="W3443" s="13" t="n">
        <f aca="false">IF(COUNTIFS($B$2:B3443,B3443,$T$2:T3443,T3443)=1,1,0)</f>
        <v>0</v>
      </c>
    </row>
    <row r="3444" customFormat="false" ht="15" hidden="false" customHeight="false" outlineLevel="0" collapsed="false">
      <c r="A3444" s="13" t="s">
        <v>695</v>
      </c>
      <c r="B3444" s="13" t="s">
        <v>630</v>
      </c>
      <c r="C3444" s="13" t="n">
        <v>420</v>
      </c>
      <c r="D3444" s="13" t="n">
        <v>2</v>
      </c>
      <c r="E3444" s="13" t="n">
        <v>138.52</v>
      </c>
      <c r="F3444" s="13" t="s">
        <v>5288</v>
      </c>
      <c r="G3444" s="13" t="s">
        <v>5292</v>
      </c>
      <c r="H3444" s="13" t="s">
        <v>5289</v>
      </c>
      <c r="I3444" s="13" t="s">
        <v>5289</v>
      </c>
      <c r="J3444" s="13" t="s">
        <v>5289</v>
      </c>
      <c r="K3444" s="13" t="s">
        <v>5289</v>
      </c>
      <c r="L3444" s="13" t="n">
        <v>8433982013201</v>
      </c>
      <c r="M3444" s="13"/>
      <c r="N3444" s="13" t="n">
        <v>8433982013201</v>
      </c>
      <c r="O3444" s="13"/>
      <c r="P3444" s="13" t="s">
        <v>5291</v>
      </c>
      <c r="Q3444" s="13" t="s">
        <v>5289</v>
      </c>
      <c r="R3444" s="13" t="s">
        <v>5292</v>
      </c>
      <c r="S3444" s="13" t="s">
        <v>5293</v>
      </c>
      <c r="T3444" s="13" t="s">
        <v>5</v>
      </c>
      <c r="U3444" s="13" t="s">
        <v>43</v>
      </c>
      <c r="V3444" s="13" t="n">
        <f aca="false">IF(COUNTIF($B$2:B3444,B3444)=1,1,0)</f>
        <v>0</v>
      </c>
      <c r="W3444" s="13" t="n">
        <f aca="false">IF(COUNTIFS($B$2:B3444,B3444,$T$2:T3444,T3444)=1,1,0)</f>
        <v>0</v>
      </c>
    </row>
    <row r="3445" customFormat="false" ht="15" hidden="false" customHeight="false" outlineLevel="0" collapsed="false">
      <c r="A3445" s="13" t="s">
        <v>730</v>
      </c>
      <c r="B3445" s="13" t="s">
        <v>54</v>
      </c>
      <c r="C3445" s="13" t="n">
        <v>420</v>
      </c>
      <c r="D3445" s="13" t="n">
        <v>1</v>
      </c>
      <c r="E3445" s="13" t="n">
        <v>415.16</v>
      </c>
      <c r="F3445" s="13" t="s">
        <v>5325</v>
      </c>
      <c r="G3445" s="13" t="s">
        <v>5292</v>
      </c>
      <c r="H3445" s="13" t="s">
        <v>5292</v>
      </c>
      <c r="I3445" s="13" t="s">
        <v>5289</v>
      </c>
      <c r="J3445" s="13" t="s">
        <v>5289</v>
      </c>
      <c r="K3445" s="13" t="s">
        <v>5289</v>
      </c>
      <c r="L3445" s="13" t="n">
        <v>729238182851</v>
      </c>
      <c r="M3445" s="13"/>
      <c r="N3445" s="13" t="n">
        <v>729238182851</v>
      </c>
      <c r="O3445" s="13"/>
      <c r="P3445" s="13" t="s">
        <v>5291</v>
      </c>
      <c r="Q3445" s="13" t="s">
        <v>5289</v>
      </c>
      <c r="R3445" s="13" t="s">
        <v>5292</v>
      </c>
      <c r="S3445" s="13" t="s">
        <v>5293</v>
      </c>
      <c r="T3445" s="13" t="s">
        <v>5</v>
      </c>
      <c r="U3445" s="13" t="s">
        <v>43</v>
      </c>
      <c r="V3445" s="13" t="n">
        <f aca="false">IF(COUNTIF($B$2:B3445,B3445)=1,1,0)</f>
        <v>0</v>
      </c>
      <c r="W3445" s="13" t="n">
        <f aca="false">IF(COUNTIFS($B$2:B3445,B3445,$T$2:T3445,T3445)=1,1,0)</f>
        <v>0</v>
      </c>
    </row>
    <row r="3446" customFormat="false" ht="15" hidden="false" customHeight="false" outlineLevel="0" collapsed="false">
      <c r="A3446" s="13" t="s">
        <v>1756</v>
      </c>
      <c r="B3446" s="13" t="s">
        <v>153</v>
      </c>
      <c r="C3446" s="13" t="n">
        <v>410</v>
      </c>
      <c r="D3446" s="13" t="n">
        <v>2</v>
      </c>
      <c r="E3446" s="13" t="n">
        <v>207</v>
      </c>
      <c r="F3446" s="13" t="s">
        <v>5288</v>
      </c>
      <c r="G3446" s="13" t="s">
        <v>5289</v>
      </c>
      <c r="H3446" s="13" t="s">
        <v>5289</v>
      </c>
      <c r="I3446" s="13" t="s">
        <v>5289</v>
      </c>
      <c r="J3446" s="13" t="s">
        <v>5289</v>
      </c>
      <c r="K3446" s="13" t="s">
        <v>5289</v>
      </c>
      <c r="L3446" s="13" t="n">
        <v>8018365260757</v>
      </c>
      <c r="M3446" s="13"/>
      <c r="N3446" s="13" t="n">
        <v>8018365260757</v>
      </c>
      <c r="O3446" s="13"/>
      <c r="P3446" s="13" t="s">
        <v>5297</v>
      </c>
      <c r="Q3446" s="13" t="s">
        <v>5289</v>
      </c>
      <c r="R3446" s="13" t="s">
        <v>5292</v>
      </c>
      <c r="S3446" s="13" t="s">
        <v>5293</v>
      </c>
      <c r="T3446" s="13" t="s">
        <v>5</v>
      </c>
      <c r="U3446" s="13" t="s">
        <v>43</v>
      </c>
      <c r="V3446" s="13" t="n">
        <f aca="false">IF(COUNTIF($B$2:B3446,B3446)=1,1,0)</f>
        <v>0</v>
      </c>
      <c r="W3446" s="13" t="n">
        <f aca="false">IF(COUNTIFS($B$2:B3446,B3446,$T$2:T3446,T3446)=1,1,0)</f>
        <v>0</v>
      </c>
    </row>
    <row r="3447" customFormat="false" ht="15" hidden="false" customHeight="false" outlineLevel="0" collapsed="false">
      <c r="A3447" s="13" t="s">
        <v>6388</v>
      </c>
      <c r="B3447" s="13" t="s">
        <v>2127</v>
      </c>
      <c r="C3447" s="13" t="n">
        <v>410</v>
      </c>
      <c r="D3447" s="13" t="n">
        <v>5</v>
      </c>
      <c r="E3447" s="13" t="n">
        <v>69</v>
      </c>
      <c r="F3447" s="13" t="s">
        <v>5325</v>
      </c>
      <c r="G3447" s="13" t="s">
        <v>5289</v>
      </c>
      <c r="H3447" s="13" t="s">
        <v>5292</v>
      </c>
      <c r="I3447" s="13" t="s">
        <v>5292</v>
      </c>
      <c r="J3447" s="13" t="s">
        <v>5289</v>
      </c>
      <c r="K3447" s="13" t="s">
        <v>5289</v>
      </c>
      <c r="L3447" s="13" t="n">
        <v>19045108084</v>
      </c>
      <c r="M3447" s="13"/>
      <c r="N3447" s="13" t="n">
        <v>19045108084</v>
      </c>
      <c r="O3447" s="13"/>
      <c r="P3447" s="13" t="s">
        <v>5291</v>
      </c>
      <c r="Q3447" s="13" t="s">
        <v>5289</v>
      </c>
      <c r="R3447" s="13" t="s">
        <v>5292</v>
      </c>
      <c r="S3447" s="13" t="s">
        <v>5293</v>
      </c>
      <c r="T3447" s="13" t="s">
        <v>5</v>
      </c>
      <c r="U3447" s="13" t="s">
        <v>85</v>
      </c>
      <c r="V3447" s="13" t="n">
        <f aca="false">IF(COUNTIF($B$2:B3447,B3447)=1,1,0)</f>
        <v>0</v>
      </c>
      <c r="W3447" s="13" t="n">
        <f aca="false">IF(COUNTIFS($B$2:B3447,B3447,$T$2:T3447,T3447)=1,1,0)</f>
        <v>0</v>
      </c>
    </row>
    <row r="3448" customFormat="false" ht="15" hidden="false" customHeight="false" outlineLevel="0" collapsed="false">
      <c r="A3448" s="13" t="s">
        <v>528</v>
      </c>
      <c r="B3448" s="13" t="s">
        <v>195</v>
      </c>
      <c r="C3448" s="13" t="n">
        <v>410</v>
      </c>
      <c r="D3448" s="13" t="n">
        <v>1</v>
      </c>
      <c r="E3448" s="13" t="n">
        <v>412.51</v>
      </c>
      <c r="F3448" s="13" t="s">
        <v>5325</v>
      </c>
      <c r="G3448" s="13" t="s">
        <v>5289</v>
      </c>
      <c r="H3448" s="13" t="s">
        <v>5289</v>
      </c>
      <c r="I3448" s="13" t="s">
        <v>5289</v>
      </c>
      <c r="J3448" s="13" t="s">
        <v>5289</v>
      </c>
      <c r="K3448" s="13" t="s">
        <v>5289</v>
      </c>
      <c r="L3448" s="13"/>
      <c r="M3448" s="13"/>
      <c r="N3448" s="13" t="n">
        <v>3616305181046</v>
      </c>
      <c r="O3448" s="13"/>
      <c r="P3448" s="13" t="s">
        <v>5291</v>
      </c>
      <c r="Q3448" s="13" t="s">
        <v>5289</v>
      </c>
      <c r="R3448" s="13" t="s">
        <v>5292</v>
      </c>
      <c r="S3448" s="13" t="s">
        <v>5293</v>
      </c>
      <c r="T3448" s="13" t="s">
        <v>5</v>
      </c>
      <c r="U3448" s="13" t="s">
        <v>43</v>
      </c>
      <c r="V3448" s="13" t="n">
        <f aca="false">IF(COUNTIF($B$2:B3448,B3448)=1,1,0)</f>
        <v>0</v>
      </c>
      <c r="W3448" s="13" t="n">
        <f aca="false">IF(COUNTIFS($B$2:B3448,B3448,$T$2:T3448,T3448)=1,1,0)</f>
        <v>0</v>
      </c>
    </row>
    <row r="3449" customFormat="false" ht="15" hidden="false" customHeight="false" outlineLevel="0" collapsed="false">
      <c r="A3449" s="13" t="s">
        <v>1755</v>
      </c>
      <c r="B3449" s="13" t="s">
        <v>54</v>
      </c>
      <c r="C3449" s="13" t="n">
        <v>410</v>
      </c>
      <c r="D3449" s="13" t="n">
        <v>1</v>
      </c>
      <c r="E3449" s="13" t="n">
        <v>409.85</v>
      </c>
      <c r="F3449" s="13" t="s">
        <v>5288</v>
      </c>
      <c r="G3449" s="13" t="s">
        <v>5292</v>
      </c>
      <c r="H3449" s="13" t="s">
        <v>5289</v>
      </c>
      <c r="I3449" s="13" t="s">
        <v>5289</v>
      </c>
      <c r="J3449" s="13" t="s">
        <v>5289</v>
      </c>
      <c r="K3449" s="13" t="s">
        <v>5292</v>
      </c>
      <c r="L3449" s="13" t="n">
        <v>729238216426</v>
      </c>
      <c r="M3449" s="13"/>
      <c r="N3449" s="13" t="n">
        <v>729238216426</v>
      </c>
      <c r="O3449" s="13"/>
      <c r="P3449" s="13" t="s">
        <v>5297</v>
      </c>
      <c r="Q3449" s="13" t="s">
        <v>5289</v>
      </c>
      <c r="R3449" s="13" t="s">
        <v>5292</v>
      </c>
      <c r="S3449" s="13" t="s">
        <v>5293</v>
      </c>
      <c r="T3449" s="13" t="s">
        <v>5</v>
      </c>
      <c r="U3449" s="13" t="s">
        <v>43</v>
      </c>
      <c r="V3449" s="13" t="n">
        <f aca="false">IF(COUNTIF($B$2:B3449,B3449)=1,1,0)</f>
        <v>0</v>
      </c>
      <c r="W3449" s="13" t="n">
        <f aca="false">IF(COUNTIFS($B$2:B3449,B3449,$T$2:T3449,T3449)=1,1,0)</f>
        <v>0</v>
      </c>
    </row>
    <row r="3450" customFormat="false" ht="15" hidden="false" customHeight="false" outlineLevel="0" collapsed="false">
      <c r="A3450" s="13" t="s">
        <v>1762</v>
      </c>
      <c r="B3450" s="13" t="s">
        <v>54</v>
      </c>
      <c r="C3450" s="13" t="n">
        <v>410</v>
      </c>
      <c r="D3450" s="13" t="n">
        <v>1</v>
      </c>
      <c r="E3450" s="13" t="n">
        <v>409.85</v>
      </c>
      <c r="F3450" s="13" t="s">
        <v>5325</v>
      </c>
      <c r="G3450" s="13" t="s">
        <v>5292</v>
      </c>
      <c r="H3450" s="13" t="s">
        <v>5289</v>
      </c>
      <c r="I3450" s="13" t="s">
        <v>5289</v>
      </c>
      <c r="J3450" s="13" t="s">
        <v>5289</v>
      </c>
      <c r="K3450" s="13" t="s">
        <v>5292</v>
      </c>
      <c r="L3450" s="13"/>
      <c r="M3450" s="13"/>
      <c r="N3450" s="13" t="n">
        <v>729238217614</v>
      </c>
      <c r="O3450" s="13"/>
      <c r="P3450" s="13" t="s">
        <v>5291</v>
      </c>
      <c r="Q3450" s="13" t="s">
        <v>5289</v>
      </c>
      <c r="R3450" s="13" t="s">
        <v>5292</v>
      </c>
      <c r="S3450" s="13" t="s">
        <v>5293</v>
      </c>
      <c r="T3450" s="13" t="s">
        <v>5</v>
      </c>
      <c r="U3450" s="13" t="s">
        <v>43</v>
      </c>
      <c r="V3450" s="13" t="n">
        <f aca="false">IF(COUNTIF($B$2:B3450,B3450)=1,1,0)</f>
        <v>0</v>
      </c>
      <c r="W3450" s="13" t="n">
        <f aca="false">IF(COUNTIFS($B$2:B3450,B3450,$T$2:T3450,T3450)=1,1,0)</f>
        <v>0</v>
      </c>
    </row>
    <row r="3451" customFormat="false" ht="15" hidden="false" customHeight="false" outlineLevel="0" collapsed="false">
      <c r="A3451" s="13" t="s">
        <v>1755</v>
      </c>
      <c r="B3451" s="13" t="s">
        <v>54</v>
      </c>
      <c r="C3451" s="13" t="n">
        <v>410</v>
      </c>
      <c r="D3451" s="13" t="n">
        <v>1</v>
      </c>
      <c r="E3451" s="13" t="n">
        <v>409.85</v>
      </c>
      <c r="F3451" s="13" t="s">
        <v>5325</v>
      </c>
      <c r="G3451" s="13" t="s">
        <v>5292</v>
      </c>
      <c r="H3451" s="13" t="s">
        <v>5289</v>
      </c>
      <c r="I3451" s="13" t="s">
        <v>5289</v>
      </c>
      <c r="J3451" s="13" t="s">
        <v>5289</v>
      </c>
      <c r="K3451" s="13" t="s">
        <v>5292</v>
      </c>
      <c r="L3451" s="13"/>
      <c r="M3451" s="13"/>
      <c r="N3451" s="13" t="n">
        <v>729238215993</v>
      </c>
      <c r="O3451" s="13"/>
      <c r="P3451" s="13" t="s">
        <v>5291</v>
      </c>
      <c r="Q3451" s="13" t="s">
        <v>5289</v>
      </c>
      <c r="R3451" s="13" t="s">
        <v>5292</v>
      </c>
      <c r="S3451" s="13" t="s">
        <v>5293</v>
      </c>
      <c r="T3451" s="13" t="s">
        <v>5</v>
      </c>
      <c r="U3451" s="13" t="s">
        <v>43</v>
      </c>
      <c r="V3451" s="13" t="n">
        <f aca="false">IF(COUNTIF($B$2:B3451,B3451)=1,1,0)</f>
        <v>0</v>
      </c>
      <c r="W3451" s="13" t="n">
        <f aca="false">IF(COUNTIFS($B$2:B3451,B3451,$T$2:T3451,T3451)=1,1,0)</f>
        <v>0</v>
      </c>
    </row>
    <row r="3452" customFormat="false" ht="15" hidden="false" customHeight="false" outlineLevel="0" collapsed="false">
      <c r="A3452" s="13" t="s">
        <v>244</v>
      </c>
      <c r="B3452" s="13" t="s">
        <v>42</v>
      </c>
      <c r="C3452" s="13" t="n">
        <v>410</v>
      </c>
      <c r="D3452" s="13" t="n">
        <v>1</v>
      </c>
      <c r="E3452" s="13" t="n">
        <v>409.41</v>
      </c>
      <c r="F3452" s="13" t="s">
        <v>5325</v>
      </c>
      <c r="G3452" s="13" t="s">
        <v>5289</v>
      </c>
      <c r="H3452" s="13" t="s">
        <v>5289</v>
      </c>
      <c r="I3452" s="13" t="s">
        <v>5289</v>
      </c>
      <c r="J3452" s="13" t="s">
        <v>5289</v>
      </c>
      <c r="K3452" s="13" t="s">
        <v>5289</v>
      </c>
      <c r="L3452" s="13"/>
      <c r="M3452" s="13"/>
      <c r="N3452" s="13" t="n">
        <v>8411061077146</v>
      </c>
      <c r="O3452" s="13"/>
      <c r="P3452" s="13" t="s">
        <v>5297</v>
      </c>
      <c r="Q3452" s="13" t="s">
        <v>5289</v>
      </c>
      <c r="R3452" s="13" t="s">
        <v>5292</v>
      </c>
      <c r="S3452" s="13" t="s">
        <v>5293</v>
      </c>
      <c r="T3452" s="13" t="s">
        <v>5</v>
      </c>
      <c r="U3452" s="13" t="s">
        <v>43</v>
      </c>
      <c r="V3452" s="13" t="n">
        <f aca="false">IF(COUNTIF($B$2:B3452,B3452)=1,1,0)</f>
        <v>0</v>
      </c>
      <c r="W3452" s="13" t="n">
        <f aca="false">IF(COUNTIFS($B$2:B3452,B3452,$T$2:T3452,T3452)=1,1,0)</f>
        <v>0</v>
      </c>
    </row>
    <row r="3453" customFormat="false" ht="15" hidden="false" customHeight="false" outlineLevel="0" collapsed="false">
      <c r="A3453" s="13" t="s">
        <v>591</v>
      </c>
      <c r="B3453" s="13" t="s">
        <v>42</v>
      </c>
      <c r="C3453" s="13" t="n">
        <v>410</v>
      </c>
      <c r="D3453" s="13" t="n">
        <v>1</v>
      </c>
      <c r="E3453" s="13" t="n">
        <v>409.41</v>
      </c>
      <c r="F3453" s="13" t="s">
        <v>5325</v>
      </c>
      <c r="G3453" s="13" t="s">
        <v>5289</v>
      </c>
      <c r="H3453" s="13" t="s">
        <v>5292</v>
      </c>
      <c r="I3453" s="13" t="s">
        <v>5289</v>
      </c>
      <c r="J3453" s="13" t="s">
        <v>5289</v>
      </c>
      <c r="K3453" s="13" t="s">
        <v>5289</v>
      </c>
      <c r="L3453" s="13"/>
      <c r="M3453" s="13"/>
      <c r="N3453" s="13" t="n">
        <v>8411061077146</v>
      </c>
      <c r="O3453" s="13"/>
      <c r="P3453" s="13" t="s">
        <v>5291</v>
      </c>
      <c r="Q3453" s="13" t="s">
        <v>5289</v>
      </c>
      <c r="R3453" s="13" t="s">
        <v>5292</v>
      </c>
      <c r="S3453" s="13" t="s">
        <v>5293</v>
      </c>
      <c r="T3453" s="13" t="s">
        <v>5</v>
      </c>
      <c r="U3453" s="13" t="s">
        <v>43</v>
      </c>
      <c r="V3453" s="13" t="n">
        <f aca="false">IF(COUNTIF($B$2:B3453,B3453)=1,1,0)</f>
        <v>0</v>
      </c>
      <c r="W3453" s="13" t="n">
        <f aca="false">IF(COUNTIFS($B$2:B3453,B3453,$T$2:T3453,T3453)=1,1,0)</f>
        <v>0</v>
      </c>
    </row>
    <row r="3454" customFormat="false" ht="15" hidden="false" customHeight="false" outlineLevel="0" collapsed="false">
      <c r="A3454" s="13" t="s">
        <v>4688</v>
      </c>
      <c r="B3454" s="13" t="s">
        <v>2103</v>
      </c>
      <c r="C3454" s="13" t="n">
        <v>400</v>
      </c>
      <c r="D3454" s="13" t="n">
        <v>5</v>
      </c>
      <c r="E3454" s="13" t="n">
        <v>57.85</v>
      </c>
      <c r="F3454" s="13" t="s">
        <v>5325</v>
      </c>
      <c r="G3454" s="13" t="s">
        <v>5289</v>
      </c>
      <c r="H3454" s="13" t="s">
        <v>5289</v>
      </c>
      <c r="I3454" s="13" t="s">
        <v>5292</v>
      </c>
      <c r="J3454" s="13" t="s">
        <v>5289</v>
      </c>
      <c r="K3454" s="13" t="s">
        <v>5292</v>
      </c>
      <c r="L3454" s="13" t="n">
        <v>309973978027</v>
      </c>
      <c r="M3454" s="13"/>
      <c r="N3454" s="13" t="n">
        <v>309973978027</v>
      </c>
      <c r="O3454" s="13"/>
      <c r="P3454" s="13" t="s">
        <v>5291</v>
      </c>
      <c r="Q3454" s="13" t="s">
        <v>5289</v>
      </c>
      <c r="R3454" s="13" t="s">
        <v>5292</v>
      </c>
      <c r="S3454" s="13" t="s">
        <v>5293</v>
      </c>
      <c r="T3454" s="13" t="s">
        <v>5</v>
      </c>
      <c r="U3454" s="13" t="s">
        <v>85</v>
      </c>
      <c r="V3454" s="13" t="n">
        <f aca="false">IF(COUNTIF($B$2:B3454,B3454)=1,1,0)</f>
        <v>0</v>
      </c>
      <c r="W3454" s="13" t="n">
        <f aca="false">IF(COUNTIFS($B$2:B3454,B3454,$T$2:T3454,T3454)=1,1,0)</f>
        <v>0</v>
      </c>
    </row>
    <row r="3455" customFormat="false" ht="15" hidden="false" customHeight="false" outlineLevel="0" collapsed="false">
      <c r="A3455" s="13" t="s">
        <v>1779</v>
      </c>
      <c r="B3455" s="13" t="s">
        <v>59</v>
      </c>
      <c r="C3455" s="13" t="n">
        <v>400</v>
      </c>
      <c r="D3455" s="13" t="n">
        <v>2</v>
      </c>
      <c r="E3455" s="13" t="n">
        <v>134</v>
      </c>
      <c r="F3455" s="13" t="s">
        <v>5325</v>
      </c>
      <c r="G3455" s="13" t="s">
        <v>5289</v>
      </c>
      <c r="H3455" s="13" t="s">
        <v>5289</v>
      </c>
      <c r="I3455" s="13" t="s">
        <v>5289</v>
      </c>
      <c r="J3455" s="13" t="s">
        <v>5289</v>
      </c>
      <c r="K3455" s="13" t="s">
        <v>5289</v>
      </c>
      <c r="L3455" s="13"/>
      <c r="M3455" s="13"/>
      <c r="N3455" s="13" t="n">
        <v>3614224686833</v>
      </c>
      <c r="O3455" s="13"/>
      <c r="P3455" s="13" t="s">
        <v>5291</v>
      </c>
      <c r="Q3455" s="13" t="s">
        <v>5289</v>
      </c>
      <c r="R3455" s="13" t="s">
        <v>5292</v>
      </c>
      <c r="S3455" s="13" t="s">
        <v>5293</v>
      </c>
      <c r="T3455" s="13" t="s">
        <v>5</v>
      </c>
      <c r="U3455" s="13" t="s">
        <v>43</v>
      </c>
      <c r="V3455" s="13" t="n">
        <f aca="false">IF(COUNTIF($B$2:B3455,B3455)=1,1,0)</f>
        <v>0</v>
      </c>
      <c r="W3455" s="13" t="n">
        <f aca="false">IF(COUNTIFS($B$2:B3455,B3455,$T$2:T3455,T3455)=1,1,0)</f>
        <v>0</v>
      </c>
    </row>
    <row r="3456" customFormat="false" ht="15" hidden="false" customHeight="false" outlineLevel="0" collapsed="false">
      <c r="A3456" s="13" t="s">
        <v>4680</v>
      </c>
      <c r="B3456" s="13" t="s">
        <v>2179</v>
      </c>
      <c r="C3456" s="13" t="n">
        <v>400</v>
      </c>
      <c r="D3456" s="13" t="n">
        <v>1</v>
      </c>
      <c r="E3456" s="13" t="n">
        <v>400.85</v>
      </c>
      <c r="F3456" s="13" t="s">
        <v>5288</v>
      </c>
      <c r="G3456" s="13" t="s">
        <v>5292</v>
      </c>
      <c r="H3456" s="13" t="s">
        <v>5289</v>
      </c>
      <c r="I3456" s="13" t="s">
        <v>5289</v>
      </c>
      <c r="J3456" s="13" t="s">
        <v>5289</v>
      </c>
      <c r="K3456" s="13" t="s">
        <v>5292</v>
      </c>
      <c r="L3456" s="13" t="n">
        <v>8410190632172</v>
      </c>
      <c r="M3456" s="13"/>
      <c r="N3456" s="13" t="n">
        <v>8410190632172</v>
      </c>
      <c r="O3456" s="13"/>
      <c r="P3456" s="13" t="s">
        <v>5297</v>
      </c>
      <c r="Q3456" s="13" t="s">
        <v>5289</v>
      </c>
      <c r="R3456" s="13" t="s">
        <v>5292</v>
      </c>
      <c r="S3456" s="13" t="s">
        <v>5293</v>
      </c>
      <c r="T3456" s="13" t="s">
        <v>5</v>
      </c>
      <c r="U3456" s="13" t="s">
        <v>43</v>
      </c>
      <c r="V3456" s="13" t="n">
        <f aca="false">IF(COUNTIF($B$2:B3456,B3456)=1,1,0)</f>
        <v>0</v>
      </c>
      <c r="W3456" s="13" t="n">
        <f aca="false">IF(COUNTIFS($B$2:B3456,B3456,$T$2:T3456,T3456)=1,1,0)</f>
        <v>1</v>
      </c>
    </row>
    <row r="3457" customFormat="false" ht="15" hidden="false" customHeight="false" outlineLevel="0" collapsed="false">
      <c r="A3457" s="13" t="s">
        <v>1013</v>
      </c>
      <c r="B3457" s="13" t="s">
        <v>490</v>
      </c>
      <c r="C3457" s="13" t="n">
        <v>400</v>
      </c>
      <c r="D3457" s="13" t="n">
        <v>1</v>
      </c>
      <c r="E3457" s="13" t="n">
        <v>399.99</v>
      </c>
      <c r="F3457" s="13" t="s">
        <v>5325</v>
      </c>
      <c r="G3457" s="13" t="s">
        <v>5289</v>
      </c>
      <c r="H3457" s="13" t="s">
        <v>5289</v>
      </c>
      <c r="I3457" s="13" t="s">
        <v>5289</v>
      </c>
      <c r="J3457" s="13" t="s">
        <v>5289</v>
      </c>
      <c r="K3457" s="13" t="s">
        <v>5289</v>
      </c>
      <c r="L3457" s="13" t="n">
        <v>8011003845125</v>
      </c>
      <c r="M3457" s="13"/>
      <c r="N3457" s="13" t="n">
        <v>8011003845125</v>
      </c>
      <c r="O3457" s="13"/>
      <c r="P3457" s="13" t="s">
        <v>5291</v>
      </c>
      <c r="Q3457" s="13" t="s">
        <v>5289</v>
      </c>
      <c r="R3457" s="13" t="s">
        <v>5292</v>
      </c>
      <c r="S3457" s="13" t="s">
        <v>5293</v>
      </c>
      <c r="T3457" s="13" t="s">
        <v>5</v>
      </c>
      <c r="U3457" s="13" t="s">
        <v>43</v>
      </c>
      <c r="V3457" s="13" t="n">
        <f aca="false">IF(COUNTIF($B$2:B3457,B3457)=1,1,0)</f>
        <v>0</v>
      </c>
      <c r="W3457" s="13" t="n">
        <f aca="false">IF(COUNTIFS($B$2:B3457,B3457,$T$2:T3457,T3457)=1,1,0)</f>
        <v>0</v>
      </c>
    </row>
    <row r="3458" customFormat="false" ht="15" hidden="false" customHeight="false" outlineLevel="0" collapsed="false">
      <c r="A3458" s="13" t="s">
        <v>1775</v>
      </c>
      <c r="B3458" s="13" t="s">
        <v>490</v>
      </c>
      <c r="C3458" s="13" t="n">
        <v>400</v>
      </c>
      <c r="D3458" s="13" t="n">
        <v>1</v>
      </c>
      <c r="E3458" s="13" t="n">
        <v>399.99</v>
      </c>
      <c r="F3458" s="13" t="s">
        <v>5325</v>
      </c>
      <c r="G3458" s="13" t="s">
        <v>5289</v>
      </c>
      <c r="H3458" s="13" t="s">
        <v>5292</v>
      </c>
      <c r="I3458" s="13" t="s">
        <v>5289</v>
      </c>
      <c r="J3458" s="13" t="s">
        <v>5289</v>
      </c>
      <c r="K3458" s="13" t="s">
        <v>5289</v>
      </c>
      <c r="L3458" s="13" t="n">
        <v>8011003845125</v>
      </c>
      <c r="M3458" s="13"/>
      <c r="N3458" s="13" t="n">
        <v>8011003845125</v>
      </c>
      <c r="O3458" s="13"/>
      <c r="P3458" s="13" t="s">
        <v>5291</v>
      </c>
      <c r="Q3458" s="13" t="s">
        <v>5289</v>
      </c>
      <c r="R3458" s="13" t="s">
        <v>5292</v>
      </c>
      <c r="S3458" s="13" t="s">
        <v>5293</v>
      </c>
      <c r="T3458" s="13" t="s">
        <v>5</v>
      </c>
      <c r="U3458" s="13" t="s">
        <v>43</v>
      </c>
      <c r="V3458" s="13" t="n">
        <f aca="false">IF(COUNTIF($B$2:B3458,B3458)=1,1,0)</f>
        <v>0</v>
      </c>
      <c r="W3458" s="13" t="n">
        <f aca="false">IF(COUNTIFS($B$2:B3458,B3458,$T$2:T3458,T3458)=1,1,0)</f>
        <v>0</v>
      </c>
    </row>
    <row r="3459" customFormat="false" ht="15" hidden="false" customHeight="false" outlineLevel="0" collapsed="false">
      <c r="A3459" s="13" t="s">
        <v>1280</v>
      </c>
      <c r="B3459" s="13" t="s">
        <v>153</v>
      </c>
      <c r="C3459" s="13" t="n">
        <v>400</v>
      </c>
      <c r="D3459" s="13" t="n">
        <v>1</v>
      </c>
      <c r="E3459" s="13" t="n">
        <v>399</v>
      </c>
      <c r="F3459" s="13" t="s">
        <v>5288</v>
      </c>
      <c r="G3459" s="13" t="s">
        <v>5292</v>
      </c>
      <c r="H3459" s="13" t="s">
        <v>5289</v>
      </c>
      <c r="I3459" s="13" t="s">
        <v>5289</v>
      </c>
      <c r="J3459" s="13" t="s">
        <v>5289</v>
      </c>
      <c r="K3459" s="13" t="s">
        <v>5289</v>
      </c>
      <c r="L3459" s="13" t="n">
        <v>8011003997015</v>
      </c>
      <c r="M3459" s="13"/>
      <c r="N3459" s="13" t="n">
        <v>8011003997015</v>
      </c>
      <c r="O3459" s="13"/>
      <c r="P3459" s="13" t="s">
        <v>5297</v>
      </c>
      <c r="Q3459" s="13" t="s">
        <v>5289</v>
      </c>
      <c r="R3459" s="13" t="s">
        <v>5292</v>
      </c>
      <c r="S3459" s="13" t="s">
        <v>5293</v>
      </c>
      <c r="T3459" s="13" t="s">
        <v>5</v>
      </c>
      <c r="U3459" s="13" t="s">
        <v>43</v>
      </c>
      <c r="V3459" s="13" t="n">
        <f aca="false">IF(COUNTIF($B$2:B3459,B3459)=1,1,0)</f>
        <v>0</v>
      </c>
      <c r="W3459" s="13" t="n">
        <f aca="false">IF(COUNTIFS($B$2:B3459,B3459,$T$2:T3459,T3459)=1,1,0)</f>
        <v>0</v>
      </c>
    </row>
    <row r="3460" customFormat="false" ht="15" hidden="false" customHeight="false" outlineLevel="0" collapsed="false">
      <c r="A3460" s="13" t="s">
        <v>334</v>
      </c>
      <c r="B3460" s="13" t="s">
        <v>42</v>
      </c>
      <c r="C3460" s="13" t="n">
        <v>400</v>
      </c>
      <c r="D3460" s="13" t="n">
        <v>1</v>
      </c>
      <c r="E3460" s="13" t="n">
        <v>399</v>
      </c>
      <c r="F3460" s="13" t="s">
        <v>5288</v>
      </c>
      <c r="G3460" s="13" t="s">
        <v>5292</v>
      </c>
      <c r="H3460" s="13" t="s">
        <v>5292</v>
      </c>
      <c r="I3460" s="13" t="s">
        <v>5289</v>
      </c>
      <c r="J3460" s="13" t="s">
        <v>5289</v>
      </c>
      <c r="K3460" s="13" t="s">
        <v>5289</v>
      </c>
      <c r="L3460" s="13" t="n">
        <v>8411061041673</v>
      </c>
      <c r="M3460" s="13"/>
      <c r="N3460" s="13" t="n">
        <v>8.41106104167384E+025</v>
      </c>
      <c r="O3460" s="13"/>
      <c r="P3460" s="13" t="s">
        <v>5291</v>
      </c>
      <c r="Q3460" s="13" t="s">
        <v>5289</v>
      </c>
      <c r="R3460" s="13" t="s">
        <v>5292</v>
      </c>
      <c r="S3460" s="13" t="s">
        <v>5293</v>
      </c>
      <c r="T3460" s="13" t="s">
        <v>5</v>
      </c>
      <c r="U3460" s="13" t="s">
        <v>43</v>
      </c>
      <c r="V3460" s="13" t="n">
        <f aca="false">IF(COUNTIF($B$2:B3460,B3460)=1,1,0)</f>
        <v>0</v>
      </c>
      <c r="W3460" s="13" t="n">
        <f aca="false">IF(COUNTIFS($B$2:B3460,B3460,$T$2:T3460,T3460)=1,1,0)</f>
        <v>0</v>
      </c>
    </row>
    <row r="3461" customFormat="false" ht="15" hidden="false" customHeight="false" outlineLevel="0" collapsed="false">
      <c r="A3461" s="13" t="s">
        <v>279</v>
      </c>
      <c r="B3461" s="13" t="s">
        <v>45</v>
      </c>
      <c r="C3461" s="13" t="n">
        <v>400</v>
      </c>
      <c r="D3461" s="13" t="n">
        <v>1</v>
      </c>
      <c r="E3461" s="13" t="n">
        <v>399</v>
      </c>
      <c r="F3461" s="13" t="s">
        <v>5325</v>
      </c>
      <c r="G3461" s="13" t="s">
        <v>5292</v>
      </c>
      <c r="H3461" s="13" t="s">
        <v>5289</v>
      </c>
      <c r="I3461" s="13" t="s">
        <v>5289</v>
      </c>
      <c r="J3461" s="13" t="s">
        <v>5289</v>
      </c>
      <c r="K3461" s="13" t="s">
        <v>5289</v>
      </c>
      <c r="L3461" s="13"/>
      <c r="M3461" s="13"/>
      <c r="N3461" s="13" t="n">
        <v>8435415102681</v>
      </c>
      <c r="O3461" s="13"/>
      <c r="P3461" s="13" t="s">
        <v>5297</v>
      </c>
      <c r="Q3461" s="13" t="s">
        <v>5289</v>
      </c>
      <c r="R3461" s="13" t="s">
        <v>5292</v>
      </c>
      <c r="S3461" s="13" t="s">
        <v>5293</v>
      </c>
      <c r="T3461" s="13" t="s">
        <v>5</v>
      </c>
      <c r="U3461" s="13" t="s">
        <v>43</v>
      </c>
      <c r="V3461" s="13" t="n">
        <f aca="false">IF(COUNTIF($B$2:B3461,B3461)=1,1,0)</f>
        <v>0</v>
      </c>
      <c r="W3461" s="13" t="n">
        <f aca="false">IF(COUNTIFS($B$2:B3461,B3461,$T$2:T3461,T3461)=1,1,0)</f>
        <v>0</v>
      </c>
    </row>
    <row r="3462" customFormat="false" ht="15" hidden="false" customHeight="false" outlineLevel="0" collapsed="false">
      <c r="A3462" s="13" t="s">
        <v>659</v>
      </c>
      <c r="B3462" s="13" t="s">
        <v>42</v>
      </c>
      <c r="C3462" s="13" t="n">
        <v>400</v>
      </c>
      <c r="D3462" s="13" t="n">
        <v>1</v>
      </c>
      <c r="E3462" s="13" t="n">
        <v>398.85</v>
      </c>
      <c r="F3462" s="13" t="s">
        <v>5288</v>
      </c>
      <c r="G3462" s="13" t="s">
        <v>5292</v>
      </c>
      <c r="H3462" s="13" t="s">
        <v>5292</v>
      </c>
      <c r="I3462" s="13" t="s">
        <v>5289</v>
      </c>
      <c r="J3462" s="13" t="s">
        <v>5289</v>
      </c>
      <c r="K3462" s="13" t="s">
        <v>5292</v>
      </c>
      <c r="L3462" s="13" t="n">
        <v>8411061853115</v>
      </c>
      <c r="M3462" s="13"/>
      <c r="N3462" s="13" t="n">
        <v>8411061853115</v>
      </c>
      <c r="O3462" s="13"/>
      <c r="P3462" s="13" t="s">
        <v>5291</v>
      </c>
      <c r="Q3462" s="13" t="s">
        <v>5289</v>
      </c>
      <c r="R3462" s="13" t="s">
        <v>5292</v>
      </c>
      <c r="S3462" s="13" t="s">
        <v>5293</v>
      </c>
      <c r="T3462" s="13" t="s">
        <v>5</v>
      </c>
      <c r="U3462" s="13" t="s">
        <v>43</v>
      </c>
      <c r="V3462" s="13" t="n">
        <f aca="false">IF(COUNTIF($B$2:B3462,B3462)=1,1,0)</f>
        <v>0</v>
      </c>
      <c r="W3462" s="13" t="n">
        <f aca="false">IF(COUNTIFS($B$2:B3462,B3462,$T$2:T3462,T3462)=1,1,0)</f>
        <v>0</v>
      </c>
    </row>
    <row r="3463" customFormat="false" ht="15" hidden="false" customHeight="false" outlineLevel="0" collapsed="false">
      <c r="A3463" s="13" t="s">
        <v>4683</v>
      </c>
      <c r="B3463" s="13" t="s">
        <v>2246</v>
      </c>
      <c r="C3463" s="13" t="n">
        <v>400</v>
      </c>
      <c r="D3463" s="13" t="n">
        <v>1</v>
      </c>
      <c r="E3463" s="13" t="n">
        <v>398.85</v>
      </c>
      <c r="F3463" s="13" t="s">
        <v>5288</v>
      </c>
      <c r="G3463" s="13" t="s">
        <v>5292</v>
      </c>
      <c r="H3463" s="13" t="s">
        <v>5292</v>
      </c>
      <c r="I3463" s="13" t="s">
        <v>5289</v>
      </c>
      <c r="J3463" s="13" t="s">
        <v>5289</v>
      </c>
      <c r="K3463" s="13" t="s">
        <v>5292</v>
      </c>
      <c r="L3463" s="13"/>
      <c r="M3463" s="13"/>
      <c r="N3463" s="13" t="n">
        <v>6294015185058</v>
      </c>
      <c r="O3463" s="13"/>
      <c r="P3463" s="13" t="s">
        <v>5291</v>
      </c>
      <c r="Q3463" s="13" t="s">
        <v>5289</v>
      </c>
      <c r="R3463" s="13" t="s">
        <v>5292</v>
      </c>
      <c r="S3463" s="13" t="s">
        <v>5293</v>
      </c>
      <c r="T3463" s="13" t="s">
        <v>5</v>
      </c>
      <c r="U3463" s="13" t="s">
        <v>43</v>
      </c>
      <c r="V3463" s="13" t="n">
        <f aca="false">IF(COUNTIF($B$2:B3463,B3463)=1,1,0)</f>
        <v>0</v>
      </c>
      <c r="W3463" s="13" t="n">
        <f aca="false">IF(COUNTIFS($B$2:B3463,B3463,$T$2:T3463,T3463)=1,1,0)</f>
        <v>0</v>
      </c>
    </row>
    <row r="3464" customFormat="false" ht="15" hidden="false" customHeight="false" outlineLevel="0" collapsed="false">
      <c r="A3464" s="13" t="s">
        <v>4291</v>
      </c>
      <c r="B3464" s="13" t="s">
        <v>2179</v>
      </c>
      <c r="C3464" s="13" t="n">
        <v>400</v>
      </c>
      <c r="D3464" s="13" t="n">
        <v>1</v>
      </c>
      <c r="E3464" s="13" t="n">
        <v>398.85</v>
      </c>
      <c r="F3464" s="13" t="s">
        <v>5325</v>
      </c>
      <c r="G3464" s="13" t="s">
        <v>5292</v>
      </c>
      <c r="H3464" s="13" t="s">
        <v>5289</v>
      </c>
      <c r="I3464" s="13" t="s">
        <v>5289</v>
      </c>
      <c r="J3464" s="13" t="s">
        <v>5289</v>
      </c>
      <c r="K3464" s="13" t="s">
        <v>5292</v>
      </c>
      <c r="L3464" s="13" t="n">
        <v>8410190637627</v>
      </c>
      <c r="M3464" s="13"/>
      <c r="N3464" s="13" t="n">
        <v>8410190637627</v>
      </c>
      <c r="O3464" s="13"/>
      <c r="P3464" s="13" t="s">
        <v>5291</v>
      </c>
      <c r="Q3464" s="13" t="s">
        <v>5289</v>
      </c>
      <c r="R3464" s="13" t="s">
        <v>5292</v>
      </c>
      <c r="S3464" s="13" t="s">
        <v>5293</v>
      </c>
      <c r="T3464" s="13" t="s">
        <v>5</v>
      </c>
      <c r="U3464" s="13" t="s">
        <v>43</v>
      </c>
      <c r="V3464" s="13" t="n">
        <f aca="false">IF(COUNTIF($B$2:B3464,B3464)=1,1,0)</f>
        <v>0</v>
      </c>
      <c r="W3464" s="13" t="n">
        <f aca="false">IF(COUNTIFS($B$2:B3464,B3464,$T$2:T3464,T3464)=1,1,0)</f>
        <v>0</v>
      </c>
    </row>
    <row r="3465" customFormat="false" ht="15" hidden="false" customHeight="false" outlineLevel="0" collapsed="false">
      <c r="A3465" s="13" t="s">
        <v>1768</v>
      </c>
      <c r="B3465" s="13" t="s">
        <v>286</v>
      </c>
      <c r="C3465" s="13" t="n">
        <v>400</v>
      </c>
      <c r="D3465" s="13" t="n">
        <v>1</v>
      </c>
      <c r="E3465" s="13" t="n">
        <v>398.85</v>
      </c>
      <c r="F3465" s="13" t="s">
        <v>5288</v>
      </c>
      <c r="G3465" s="13" t="s">
        <v>5289</v>
      </c>
      <c r="H3465" s="13" t="s">
        <v>5289</v>
      </c>
      <c r="I3465" s="13" t="s">
        <v>5289</v>
      </c>
      <c r="J3465" s="13" t="s">
        <v>5289</v>
      </c>
      <c r="K3465" s="13" t="s">
        <v>5292</v>
      </c>
      <c r="L3465" s="13" t="n">
        <v>6085010094151</v>
      </c>
      <c r="M3465" s="13"/>
      <c r="N3465" s="13" t="n">
        <v>6085010094151</v>
      </c>
      <c r="O3465" s="13"/>
      <c r="P3465" s="13" t="s">
        <v>5291</v>
      </c>
      <c r="Q3465" s="13" t="s">
        <v>5289</v>
      </c>
      <c r="R3465" s="13" t="s">
        <v>5292</v>
      </c>
      <c r="S3465" s="13" t="s">
        <v>5293</v>
      </c>
      <c r="T3465" s="13" t="s">
        <v>5</v>
      </c>
      <c r="U3465" s="13" t="s">
        <v>43</v>
      </c>
      <c r="V3465" s="13" t="n">
        <f aca="false">IF(COUNTIF($B$2:B3465,B3465)=1,1,0)</f>
        <v>0</v>
      </c>
      <c r="W3465" s="13" t="n">
        <f aca="false">IF(COUNTIFS($B$2:B3465,B3465,$T$2:T3465,T3465)=1,1,0)</f>
        <v>0</v>
      </c>
    </row>
    <row r="3466" customFormat="false" ht="15" hidden="false" customHeight="false" outlineLevel="0" collapsed="false">
      <c r="A3466" s="13" t="s">
        <v>1771</v>
      </c>
      <c r="B3466" s="13" t="s">
        <v>105</v>
      </c>
      <c r="C3466" s="13" t="n">
        <v>400</v>
      </c>
      <c r="D3466" s="13" t="n">
        <v>1</v>
      </c>
      <c r="E3466" s="13" t="n">
        <v>398.81</v>
      </c>
      <c r="F3466" s="13" t="s">
        <v>5325</v>
      </c>
      <c r="G3466" s="13" t="s">
        <v>5289</v>
      </c>
      <c r="H3466" s="13" t="s">
        <v>5289</v>
      </c>
      <c r="I3466" s="13" t="s">
        <v>5289</v>
      </c>
      <c r="J3466" s="13" t="s">
        <v>5289</v>
      </c>
      <c r="K3466" s="13" t="s">
        <v>5289</v>
      </c>
      <c r="L3466" s="13" t="n">
        <v>3616305040992</v>
      </c>
      <c r="M3466" s="13"/>
      <c r="N3466" s="13" t="n">
        <v>3616305040992</v>
      </c>
      <c r="O3466" s="13"/>
      <c r="P3466" s="13" t="s">
        <v>5291</v>
      </c>
      <c r="Q3466" s="13" t="s">
        <v>5289</v>
      </c>
      <c r="R3466" s="13" t="s">
        <v>5292</v>
      </c>
      <c r="S3466" s="13" t="s">
        <v>5293</v>
      </c>
      <c r="T3466" s="13" t="s">
        <v>5</v>
      </c>
      <c r="U3466" s="13" t="s">
        <v>43</v>
      </c>
      <c r="V3466" s="13" t="n">
        <f aca="false">IF(COUNTIF($B$2:B3466,B3466)=1,1,0)</f>
        <v>0</v>
      </c>
      <c r="W3466" s="13" t="n">
        <f aca="false">IF(COUNTIFS($B$2:B3466,B3466,$T$2:T3466,T3466)=1,1,0)</f>
        <v>0</v>
      </c>
    </row>
    <row r="3467" customFormat="false" ht="15" hidden="false" customHeight="false" outlineLevel="0" collapsed="false">
      <c r="A3467" s="13" t="s">
        <v>1770</v>
      </c>
      <c r="B3467" s="13" t="s">
        <v>107</v>
      </c>
      <c r="C3467" s="13" t="n">
        <v>400</v>
      </c>
      <c r="D3467" s="13" t="n">
        <v>2</v>
      </c>
      <c r="E3467" s="13" t="n">
        <v>199</v>
      </c>
      <c r="F3467" s="13" t="s">
        <v>5325</v>
      </c>
      <c r="G3467" s="13" t="s">
        <v>5292</v>
      </c>
      <c r="H3467" s="13" t="s">
        <v>5292</v>
      </c>
      <c r="I3467" s="13" t="s">
        <v>5289</v>
      </c>
      <c r="J3467" s="13" t="s">
        <v>5289</v>
      </c>
      <c r="K3467" s="13" t="s">
        <v>5289</v>
      </c>
      <c r="L3467" s="13" t="n">
        <v>4064666593609</v>
      </c>
      <c r="M3467" s="13"/>
      <c r="N3467" s="13" t="n">
        <v>4064666593609</v>
      </c>
      <c r="O3467" s="13"/>
      <c r="P3467" s="13" t="s">
        <v>5291</v>
      </c>
      <c r="Q3467" s="13" t="s">
        <v>5289</v>
      </c>
      <c r="R3467" s="13" t="s">
        <v>5292</v>
      </c>
      <c r="S3467" s="13" t="s">
        <v>5293</v>
      </c>
      <c r="T3467" s="13" t="s">
        <v>5</v>
      </c>
      <c r="U3467" s="13" t="s">
        <v>43</v>
      </c>
      <c r="V3467" s="13" t="n">
        <f aca="false">IF(COUNTIF($B$2:B3467,B3467)=1,1,0)</f>
        <v>0</v>
      </c>
      <c r="W3467" s="13" t="n">
        <f aca="false">IF(COUNTIFS($B$2:B3467,B3467,$T$2:T3467,T3467)=1,1,0)</f>
        <v>0</v>
      </c>
    </row>
    <row r="3468" customFormat="false" ht="15" hidden="false" customHeight="false" outlineLevel="0" collapsed="false">
      <c r="A3468" s="13" t="s">
        <v>1769</v>
      </c>
      <c r="B3468" s="13" t="s">
        <v>365</v>
      </c>
      <c r="C3468" s="13" t="n">
        <v>400</v>
      </c>
      <c r="D3468" s="13" t="n">
        <v>1</v>
      </c>
      <c r="E3468" s="13" t="n">
        <v>397.9</v>
      </c>
      <c r="F3468" s="13" t="s">
        <v>5325</v>
      </c>
      <c r="G3468" s="13" t="s">
        <v>5289</v>
      </c>
      <c r="H3468" s="13" t="s">
        <v>5289</v>
      </c>
      <c r="I3468" s="13" t="s">
        <v>5289</v>
      </c>
      <c r="J3468" s="13" t="s">
        <v>5289</v>
      </c>
      <c r="K3468" s="13" t="s">
        <v>5289</v>
      </c>
      <c r="L3468" s="13" t="n">
        <v>6290360599168</v>
      </c>
      <c r="M3468" s="13"/>
      <c r="N3468" s="13" t="n">
        <v>6290360599168</v>
      </c>
      <c r="O3468" s="13"/>
      <c r="P3468" s="13" t="s">
        <v>5291</v>
      </c>
      <c r="Q3468" s="13" t="s">
        <v>5289</v>
      </c>
      <c r="R3468" s="13" t="s">
        <v>5292</v>
      </c>
      <c r="S3468" s="13" t="s">
        <v>5293</v>
      </c>
      <c r="T3468" s="13" t="s">
        <v>5</v>
      </c>
      <c r="U3468" s="13" t="s">
        <v>43</v>
      </c>
      <c r="V3468" s="13" t="n">
        <f aca="false">IF(COUNTIF($B$2:B3468,B3468)=1,1,0)</f>
        <v>0</v>
      </c>
      <c r="W3468" s="13" t="n">
        <f aca="false">IF(COUNTIFS($B$2:B3468,B3468,$T$2:T3468,T3468)=1,1,0)</f>
        <v>0</v>
      </c>
    </row>
    <row r="3469" customFormat="false" ht="15" hidden="false" customHeight="false" outlineLevel="0" collapsed="false">
      <c r="A3469" s="13" t="s">
        <v>1636</v>
      </c>
      <c r="B3469" s="13" t="s">
        <v>107</v>
      </c>
      <c r="C3469" s="13" t="n">
        <v>400</v>
      </c>
      <c r="D3469" s="13" t="n">
        <v>2</v>
      </c>
      <c r="E3469" s="13" t="n">
        <v>198.85</v>
      </c>
      <c r="F3469" s="13" t="s">
        <v>5325</v>
      </c>
      <c r="G3469" s="13" t="s">
        <v>5289</v>
      </c>
      <c r="H3469" s="13" t="s">
        <v>5289</v>
      </c>
      <c r="I3469" s="13" t="s">
        <v>5289</v>
      </c>
      <c r="J3469" s="13" t="s">
        <v>5289</v>
      </c>
      <c r="K3469" s="13" t="s">
        <v>5292</v>
      </c>
      <c r="L3469" s="13" t="n">
        <v>4064666306179</v>
      </c>
      <c r="M3469" s="13"/>
      <c r="N3469" s="13" t="n">
        <v>3614226404084</v>
      </c>
      <c r="O3469" s="13"/>
      <c r="P3469" s="13" t="s">
        <v>5291</v>
      </c>
      <c r="Q3469" s="13" t="s">
        <v>5289</v>
      </c>
      <c r="R3469" s="13" t="s">
        <v>5292</v>
      </c>
      <c r="S3469" s="13" t="s">
        <v>5293</v>
      </c>
      <c r="T3469" s="13" t="s">
        <v>5</v>
      </c>
      <c r="U3469" s="13" t="s">
        <v>43</v>
      </c>
      <c r="V3469" s="13" t="n">
        <f aca="false">IF(COUNTIF($B$2:B3469,B3469)=1,1,0)</f>
        <v>0</v>
      </c>
      <c r="W3469" s="13" t="n">
        <f aca="false">IF(COUNTIFS($B$2:B3469,B3469,$T$2:T3469,T3469)=1,1,0)</f>
        <v>0</v>
      </c>
    </row>
    <row r="3470" customFormat="false" ht="15" hidden="false" customHeight="false" outlineLevel="0" collapsed="false">
      <c r="A3470" s="13" t="s">
        <v>1767</v>
      </c>
      <c r="B3470" s="13" t="s">
        <v>107</v>
      </c>
      <c r="C3470" s="13" t="n">
        <v>400</v>
      </c>
      <c r="D3470" s="13" t="n">
        <v>2</v>
      </c>
      <c r="E3470" s="13" t="n">
        <v>198.85</v>
      </c>
      <c r="F3470" s="13" t="s">
        <v>5325</v>
      </c>
      <c r="G3470" s="13" t="s">
        <v>5289</v>
      </c>
      <c r="H3470" s="13" t="s">
        <v>5292</v>
      </c>
      <c r="I3470" s="13" t="s">
        <v>5289</v>
      </c>
      <c r="J3470" s="13" t="s">
        <v>5289</v>
      </c>
      <c r="K3470" s="13" t="s">
        <v>5292</v>
      </c>
      <c r="L3470" s="13" t="n">
        <v>4064666306179</v>
      </c>
      <c r="M3470" s="13"/>
      <c r="N3470" s="13" t="n">
        <v>3.61422640408479E+025</v>
      </c>
      <c r="O3470" s="13"/>
      <c r="P3470" s="13" t="s">
        <v>5291</v>
      </c>
      <c r="Q3470" s="13" t="s">
        <v>5289</v>
      </c>
      <c r="R3470" s="13" t="s">
        <v>5292</v>
      </c>
      <c r="S3470" s="13" t="s">
        <v>5293</v>
      </c>
      <c r="T3470" s="13" t="s">
        <v>5</v>
      </c>
      <c r="U3470" s="13" t="s">
        <v>43</v>
      </c>
      <c r="V3470" s="13" t="n">
        <f aca="false">IF(COUNTIF($B$2:B3470,B3470)=1,1,0)</f>
        <v>0</v>
      </c>
      <c r="W3470" s="13" t="n">
        <f aca="false">IF(COUNTIFS($B$2:B3470,B3470,$T$2:T3470,T3470)=1,1,0)</f>
        <v>0</v>
      </c>
    </row>
    <row r="3471" customFormat="false" ht="15" hidden="false" customHeight="false" outlineLevel="0" collapsed="false">
      <c r="A3471" s="13" t="s">
        <v>1357</v>
      </c>
      <c r="B3471" s="13" t="s">
        <v>490</v>
      </c>
      <c r="C3471" s="13" t="n">
        <v>400</v>
      </c>
      <c r="D3471" s="13" t="n">
        <v>2</v>
      </c>
      <c r="E3471" s="13" t="n">
        <v>198.35</v>
      </c>
      <c r="F3471" s="13" t="s">
        <v>5325</v>
      </c>
      <c r="G3471" s="13" t="s">
        <v>5292</v>
      </c>
      <c r="H3471" s="13" t="s">
        <v>5289</v>
      </c>
      <c r="I3471" s="13" t="s">
        <v>5289</v>
      </c>
      <c r="J3471" s="13" t="s">
        <v>5289</v>
      </c>
      <c r="K3471" s="13" t="s">
        <v>5289</v>
      </c>
      <c r="L3471" s="13"/>
      <c r="M3471" s="13"/>
      <c r="N3471" s="13" t="n">
        <v>8011003612802</v>
      </c>
      <c r="O3471" s="13"/>
      <c r="P3471" s="13" t="s">
        <v>5291</v>
      </c>
      <c r="Q3471" s="13" t="s">
        <v>5289</v>
      </c>
      <c r="R3471" s="13" t="s">
        <v>5292</v>
      </c>
      <c r="S3471" s="13" t="s">
        <v>5293</v>
      </c>
      <c r="T3471" s="13" t="s">
        <v>5</v>
      </c>
      <c r="U3471" s="13" t="s">
        <v>43</v>
      </c>
      <c r="V3471" s="13" t="n">
        <f aca="false">IF(COUNTIF($B$2:B3471,B3471)=1,1,0)</f>
        <v>0</v>
      </c>
      <c r="W3471" s="13" t="n">
        <f aca="false">IF(COUNTIFS($B$2:B3471,B3471,$T$2:T3471,T3471)=1,1,0)</f>
        <v>0</v>
      </c>
    </row>
    <row r="3472" customFormat="false" ht="15" hidden="false" customHeight="false" outlineLevel="0" collapsed="false">
      <c r="A3472" s="13" t="s">
        <v>1780</v>
      </c>
      <c r="B3472" s="13" t="s">
        <v>92</v>
      </c>
      <c r="C3472" s="13" t="n">
        <v>400</v>
      </c>
      <c r="D3472" s="13" t="n">
        <v>1</v>
      </c>
      <c r="E3472" s="13" t="n">
        <v>395</v>
      </c>
      <c r="F3472" s="13" t="s">
        <v>5288</v>
      </c>
      <c r="G3472" s="13" t="s">
        <v>5292</v>
      </c>
      <c r="H3472" s="13" t="s">
        <v>5289</v>
      </c>
      <c r="I3472" s="13" t="s">
        <v>5289</v>
      </c>
      <c r="J3472" s="13" t="s">
        <v>5289</v>
      </c>
      <c r="K3472" s="13" t="s">
        <v>5289</v>
      </c>
      <c r="L3472" s="13" t="n">
        <v>3614223111404</v>
      </c>
      <c r="M3472" s="13"/>
      <c r="N3472" s="13" t="n">
        <v>3614223111404</v>
      </c>
      <c r="O3472" s="13"/>
      <c r="P3472" s="13" t="s">
        <v>5291</v>
      </c>
      <c r="Q3472" s="13" t="s">
        <v>5289</v>
      </c>
      <c r="R3472" s="13" t="s">
        <v>5292</v>
      </c>
      <c r="S3472" s="13" t="s">
        <v>5293</v>
      </c>
      <c r="T3472" s="13" t="s">
        <v>5</v>
      </c>
      <c r="U3472" s="13" t="s">
        <v>43</v>
      </c>
      <c r="V3472" s="13" t="n">
        <f aca="false">IF(COUNTIF($B$2:B3472,B3472)=1,1,0)</f>
        <v>0</v>
      </c>
      <c r="W3472" s="13" t="n">
        <f aca="false">IF(COUNTIFS($B$2:B3472,B3472,$T$2:T3472,T3472)=1,1,0)</f>
        <v>0</v>
      </c>
    </row>
    <row r="3473" customFormat="false" ht="15" hidden="false" customHeight="false" outlineLevel="0" collapsed="false">
      <c r="A3473" s="13" t="s">
        <v>1774</v>
      </c>
      <c r="B3473" s="13" t="s">
        <v>92</v>
      </c>
      <c r="C3473" s="13" t="n">
        <v>400</v>
      </c>
      <c r="D3473" s="13" t="n">
        <v>1</v>
      </c>
      <c r="E3473" s="13" t="n">
        <v>395</v>
      </c>
      <c r="F3473" s="13" t="s">
        <v>5325</v>
      </c>
      <c r="G3473" s="13" t="s">
        <v>5289</v>
      </c>
      <c r="H3473" s="13" t="s">
        <v>5292</v>
      </c>
      <c r="I3473" s="13" t="s">
        <v>5289</v>
      </c>
      <c r="J3473" s="13" t="s">
        <v>5289</v>
      </c>
      <c r="K3473" s="13" t="s">
        <v>5289</v>
      </c>
      <c r="L3473" s="13"/>
      <c r="M3473" s="13"/>
      <c r="N3473" s="13" t="n">
        <v>3616305186096</v>
      </c>
      <c r="O3473" s="13"/>
      <c r="P3473" s="13" t="s">
        <v>5297</v>
      </c>
      <c r="Q3473" s="13" t="s">
        <v>5289</v>
      </c>
      <c r="R3473" s="13" t="s">
        <v>5292</v>
      </c>
      <c r="S3473" s="13" t="s">
        <v>5293</v>
      </c>
      <c r="T3473" s="13" t="s">
        <v>5</v>
      </c>
      <c r="U3473" s="13" t="s">
        <v>43</v>
      </c>
      <c r="V3473" s="13" t="n">
        <f aca="false">IF(COUNTIF($B$2:B3473,B3473)=1,1,0)</f>
        <v>0</v>
      </c>
      <c r="W3473" s="13" t="n">
        <f aca="false">IF(COUNTIFS($B$2:B3473,B3473,$T$2:T3473,T3473)=1,1,0)</f>
        <v>0</v>
      </c>
    </row>
    <row r="3474" customFormat="false" ht="15" hidden="false" customHeight="false" outlineLevel="0" collapsed="false">
      <c r="A3474" s="13" t="s">
        <v>1778</v>
      </c>
      <c r="B3474" s="13" t="s">
        <v>92</v>
      </c>
      <c r="C3474" s="13" t="n">
        <v>400</v>
      </c>
      <c r="D3474" s="13" t="n">
        <v>1</v>
      </c>
      <c r="E3474" s="13" t="n">
        <v>395</v>
      </c>
      <c r="F3474" s="13" t="s">
        <v>5325</v>
      </c>
      <c r="G3474" s="13" t="s">
        <v>5289</v>
      </c>
      <c r="H3474" s="13" t="s">
        <v>5289</v>
      </c>
      <c r="I3474" s="13" t="s">
        <v>5289</v>
      </c>
      <c r="J3474" s="13" t="s">
        <v>5289</v>
      </c>
      <c r="K3474" s="13" t="s">
        <v>5289</v>
      </c>
      <c r="L3474" s="13"/>
      <c r="M3474" s="13"/>
      <c r="N3474" s="13" t="n">
        <v>3616305186096</v>
      </c>
      <c r="O3474" s="13"/>
      <c r="P3474" s="13" t="s">
        <v>5291</v>
      </c>
      <c r="Q3474" s="13" t="s">
        <v>5289</v>
      </c>
      <c r="R3474" s="13" t="s">
        <v>5292</v>
      </c>
      <c r="S3474" s="13" t="s">
        <v>5293</v>
      </c>
      <c r="T3474" s="13" t="s">
        <v>5</v>
      </c>
      <c r="U3474" s="13" t="s">
        <v>43</v>
      </c>
      <c r="V3474" s="13" t="n">
        <f aca="false">IF(COUNTIF($B$2:B3474,B3474)=1,1,0)</f>
        <v>0</v>
      </c>
      <c r="W3474" s="13" t="n">
        <f aca="false">IF(COUNTIFS($B$2:B3474,B3474,$T$2:T3474,T3474)=1,1,0)</f>
        <v>0</v>
      </c>
    </row>
    <row r="3475" customFormat="false" ht="15" hidden="false" customHeight="false" outlineLevel="0" collapsed="false">
      <c r="A3475" s="13" t="s">
        <v>4278</v>
      </c>
      <c r="B3475" s="13" t="s">
        <v>2209</v>
      </c>
      <c r="C3475" s="13" t="n">
        <v>390</v>
      </c>
      <c r="D3475" s="13" t="n">
        <v>2</v>
      </c>
      <c r="E3475" s="13" t="n">
        <v>197.36</v>
      </c>
      <c r="F3475" s="13" t="s">
        <v>5325</v>
      </c>
      <c r="G3475" s="13" t="s">
        <v>5289</v>
      </c>
      <c r="H3475" s="13" t="s">
        <v>5292</v>
      </c>
      <c r="I3475" s="13" t="s">
        <v>5289</v>
      </c>
      <c r="J3475" s="13" t="s">
        <v>5289</v>
      </c>
      <c r="K3475" s="13" t="s">
        <v>5292</v>
      </c>
      <c r="L3475" s="13"/>
      <c r="M3475" s="13"/>
      <c r="N3475" s="13" t="n">
        <v>8411061124079</v>
      </c>
      <c r="O3475" s="13"/>
      <c r="P3475" s="13" t="s">
        <v>5291</v>
      </c>
      <c r="Q3475" s="13" t="s">
        <v>5289</v>
      </c>
      <c r="R3475" s="13" t="s">
        <v>5292</v>
      </c>
      <c r="S3475" s="13" t="s">
        <v>5293</v>
      </c>
      <c r="T3475" s="13" t="s">
        <v>5</v>
      </c>
      <c r="U3475" s="13" t="s">
        <v>43</v>
      </c>
      <c r="V3475" s="13" t="n">
        <f aca="false">IF(COUNTIF($B$2:B3475,B3475)=1,1,0)</f>
        <v>0</v>
      </c>
      <c r="W3475" s="13" t="n">
        <f aca="false">IF(COUNTIFS($B$2:B3475,B3475,$T$2:T3475,T3475)=1,1,0)</f>
        <v>0</v>
      </c>
    </row>
    <row r="3476" customFormat="false" ht="15" hidden="false" customHeight="false" outlineLevel="0" collapsed="false">
      <c r="A3476" s="13" t="s">
        <v>4697</v>
      </c>
      <c r="B3476" s="13" t="s">
        <v>2164</v>
      </c>
      <c r="C3476" s="13" t="n">
        <v>390</v>
      </c>
      <c r="D3476" s="13" t="n">
        <v>2</v>
      </c>
      <c r="E3476" s="13" t="n">
        <v>131.556666666667</v>
      </c>
      <c r="F3476" s="13" t="s">
        <v>5325</v>
      </c>
      <c r="G3476" s="13" t="s">
        <v>5289</v>
      </c>
      <c r="H3476" s="13" t="s">
        <v>5289</v>
      </c>
      <c r="I3476" s="13" t="s">
        <v>5289</v>
      </c>
      <c r="J3476" s="13" t="s">
        <v>5289</v>
      </c>
      <c r="K3476" s="13" t="s">
        <v>5289</v>
      </c>
      <c r="L3476" s="13" t="n">
        <v>3616305447067</v>
      </c>
      <c r="M3476" s="13"/>
      <c r="N3476" s="13" t="n">
        <v>3616305447067</v>
      </c>
      <c r="O3476" s="13"/>
      <c r="P3476" s="13" t="s">
        <v>5297</v>
      </c>
      <c r="Q3476" s="13" t="s">
        <v>5289</v>
      </c>
      <c r="R3476" s="13" t="s">
        <v>5292</v>
      </c>
      <c r="S3476" s="13" t="s">
        <v>5293</v>
      </c>
      <c r="T3476" s="13" t="s">
        <v>5</v>
      </c>
      <c r="U3476" s="13" t="s">
        <v>43</v>
      </c>
      <c r="V3476" s="13" t="n">
        <f aca="false">IF(COUNTIF($B$2:B3476,B3476)=1,1,0)</f>
        <v>0</v>
      </c>
      <c r="W3476" s="13" t="n">
        <f aca="false">IF(COUNTIFS($B$2:B3476,B3476,$T$2:T3476,T3476)=1,1,0)</f>
        <v>0</v>
      </c>
    </row>
    <row r="3477" customFormat="false" ht="15" hidden="false" customHeight="false" outlineLevel="0" collapsed="false">
      <c r="A3477" s="13" t="s">
        <v>576</v>
      </c>
      <c r="B3477" s="13" t="s">
        <v>103</v>
      </c>
      <c r="C3477" s="13" t="n">
        <v>390</v>
      </c>
      <c r="D3477" s="13" t="n">
        <v>2</v>
      </c>
      <c r="E3477" s="13" t="n">
        <v>197.01</v>
      </c>
      <c r="F3477" s="13" t="s">
        <v>5288</v>
      </c>
      <c r="G3477" s="13" t="s">
        <v>5292</v>
      </c>
      <c r="H3477" s="13" t="s">
        <v>5289</v>
      </c>
      <c r="I3477" s="13" t="s">
        <v>5289</v>
      </c>
      <c r="J3477" s="13" t="s">
        <v>5289</v>
      </c>
      <c r="K3477" s="13" t="s">
        <v>5289</v>
      </c>
      <c r="L3477" s="13" t="n">
        <v>8411061930878</v>
      </c>
      <c r="M3477" s="13"/>
      <c r="N3477" s="13" t="n">
        <v>8411061930878</v>
      </c>
      <c r="O3477" s="13"/>
      <c r="P3477" s="13" t="s">
        <v>5291</v>
      </c>
      <c r="Q3477" s="13" t="s">
        <v>5289</v>
      </c>
      <c r="R3477" s="13" t="s">
        <v>5292</v>
      </c>
      <c r="S3477" s="13" t="s">
        <v>5293</v>
      </c>
      <c r="T3477" s="13" t="s">
        <v>5</v>
      </c>
      <c r="U3477" s="13" t="s">
        <v>43</v>
      </c>
      <c r="V3477" s="13" t="n">
        <f aca="false">IF(COUNTIF($B$2:B3477,B3477)=1,1,0)</f>
        <v>0</v>
      </c>
      <c r="W3477" s="13" t="n">
        <f aca="false">IF(COUNTIFS($B$2:B3477,B3477,$T$2:T3477,T3477)=1,1,0)</f>
        <v>0</v>
      </c>
    </row>
    <row r="3478" customFormat="false" ht="15" hidden="false" customHeight="false" outlineLevel="0" collapsed="false">
      <c r="A3478" s="13" t="s">
        <v>1781</v>
      </c>
      <c r="B3478" s="13" t="s">
        <v>153</v>
      </c>
      <c r="C3478" s="13" t="n">
        <v>390</v>
      </c>
      <c r="D3478" s="13" t="n">
        <v>1</v>
      </c>
      <c r="E3478" s="13" t="n">
        <v>391.72</v>
      </c>
      <c r="F3478" s="13" t="s">
        <v>5325</v>
      </c>
      <c r="G3478" s="13" t="s">
        <v>5289</v>
      </c>
      <c r="H3478" s="13" t="s">
        <v>5292</v>
      </c>
      <c r="I3478" s="13" t="s">
        <v>5289</v>
      </c>
      <c r="J3478" s="13" t="s">
        <v>5289</v>
      </c>
      <c r="K3478" s="13" t="s">
        <v>5289</v>
      </c>
      <c r="L3478" s="13" t="n">
        <v>8011003825721</v>
      </c>
      <c r="M3478" s="13"/>
      <c r="N3478" s="13" t="n">
        <v>8011003825721</v>
      </c>
      <c r="O3478" s="13"/>
      <c r="P3478" s="13" t="s">
        <v>5291</v>
      </c>
      <c r="Q3478" s="13" t="s">
        <v>5289</v>
      </c>
      <c r="R3478" s="13" t="s">
        <v>5292</v>
      </c>
      <c r="S3478" s="13" t="s">
        <v>5293</v>
      </c>
      <c r="T3478" s="13" t="s">
        <v>5</v>
      </c>
      <c r="U3478" s="13" t="s">
        <v>43</v>
      </c>
      <c r="V3478" s="13" t="n">
        <f aca="false">IF(COUNTIF($B$2:B3478,B3478)=1,1,0)</f>
        <v>0</v>
      </c>
      <c r="W3478" s="13" t="n">
        <f aca="false">IF(COUNTIFS($B$2:B3478,B3478,$T$2:T3478,T3478)=1,1,0)</f>
        <v>0</v>
      </c>
    </row>
    <row r="3479" customFormat="false" ht="15" hidden="false" customHeight="false" outlineLevel="0" collapsed="false">
      <c r="A3479" s="13" t="s">
        <v>1782</v>
      </c>
      <c r="B3479" s="13" t="s">
        <v>153</v>
      </c>
      <c r="C3479" s="13" t="n">
        <v>390</v>
      </c>
      <c r="D3479" s="13" t="n">
        <v>1</v>
      </c>
      <c r="E3479" s="13" t="n">
        <v>391.72</v>
      </c>
      <c r="F3479" s="13" t="s">
        <v>5325</v>
      </c>
      <c r="G3479" s="13" t="s">
        <v>5289</v>
      </c>
      <c r="H3479" s="13" t="s">
        <v>5289</v>
      </c>
      <c r="I3479" s="13" t="s">
        <v>5289</v>
      </c>
      <c r="J3479" s="13" t="s">
        <v>5289</v>
      </c>
      <c r="K3479" s="13" t="s">
        <v>5289</v>
      </c>
      <c r="L3479" s="13" t="n">
        <v>8011003825721</v>
      </c>
      <c r="M3479" s="13"/>
      <c r="N3479" s="13" t="n">
        <v>8011003825721</v>
      </c>
      <c r="O3479" s="13"/>
      <c r="P3479" s="13" t="s">
        <v>5291</v>
      </c>
      <c r="Q3479" s="13" t="s">
        <v>5289</v>
      </c>
      <c r="R3479" s="13" t="s">
        <v>5292</v>
      </c>
      <c r="S3479" s="13" t="s">
        <v>5293</v>
      </c>
      <c r="T3479" s="13" t="s">
        <v>5</v>
      </c>
      <c r="U3479" s="13" t="s">
        <v>43</v>
      </c>
      <c r="V3479" s="13" t="n">
        <f aca="false">IF(COUNTIF($B$2:B3479,B3479)=1,1,0)</f>
        <v>0</v>
      </c>
      <c r="W3479" s="13" t="n">
        <f aca="false">IF(COUNTIFS($B$2:B3479,B3479,$T$2:T3479,T3479)=1,1,0)</f>
        <v>0</v>
      </c>
    </row>
    <row r="3480" customFormat="false" ht="15" hidden="false" customHeight="false" outlineLevel="0" collapsed="false">
      <c r="A3480" s="13" t="s">
        <v>1788</v>
      </c>
      <c r="B3480" s="13" t="s">
        <v>103</v>
      </c>
      <c r="C3480" s="13" t="n">
        <v>390</v>
      </c>
      <c r="D3480" s="13" t="n">
        <v>2</v>
      </c>
      <c r="E3480" s="13" t="n">
        <v>195.715</v>
      </c>
      <c r="F3480" s="13" t="s">
        <v>5325</v>
      </c>
      <c r="G3480" s="13" t="s">
        <v>5289</v>
      </c>
      <c r="H3480" s="13" t="s">
        <v>5292</v>
      </c>
      <c r="I3480" s="13" t="s">
        <v>5289</v>
      </c>
      <c r="J3480" s="13" t="s">
        <v>5289</v>
      </c>
      <c r="K3480" s="13" t="s">
        <v>5289</v>
      </c>
      <c r="L3480" s="13" t="n">
        <v>8411061088562</v>
      </c>
      <c r="M3480" s="13"/>
      <c r="N3480" s="13" t="n">
        <v>8411061088562</v>
      </c>
      <c r="O3480" s="13"/>
      <c r="P3480" s="13" t="s">
        <v>5291</v>
      </c>
      <c r="Q3480" s="13" t="s">
        <v>5289</v>
      </c>
      <c r="R3480" s="13" t="s">
        <v>5292</v>
      </c>
      <c r="S3480" s="13" t="s">
        <v>5293</v>
      </c>
      <c r="T3480" s="13" t="s">
        <v>5</v>
      </c>
      <c r="U3480" s="13" t="s">
        <v>43</v>
      </c>
      <c r="V3480" s="13" t="n">
        <f aca="false">IF(COUNTIF($B$2:B3480,B3480)=1,1,0)</f>
        <v>0</v>
      </c>
      <c r="W3480" s="13" t="n">
        <f aca="false">IF(COUNTIFS($B$2:B3480,B3480,$T$2:T3480,T3480)=1,1,0)</f>
        <v>0</v>
      </c>
    </row>
    <row r="3481" customFormat="false" ht="15" hidden="false" customHeight="false" outlineLevel="0" collapsed="false">
      <c r="A3481" s="13" t="s">
        <v>1791</v>
      </c>
      <c r="B3481" s="13" t="s">
        <v>79</v>
      </c>
      <c r="C3481" s="13" t="n">
        <v>390</v>
      </c>
      <c r="D3481" s="13" t="n">
        <v>1</v>
      </c>
      <c r="E3481" s="13" t="n">
        <v>391</v>
      </c>
      <c r="F3481" s="13" t="s">
        <v>5325</v>
      </c>
      <c r="G3481" s="13" t="s">
        <v>5289</v>
      </c>
      <c r="H3481" s="13" t="s">
        <v>5292</v>
      </c>
      <c r="I3481" s="13" t="s">
        <v>5289</v>
      </c>
      <c r="J3481" s="13" t="s">
        <v>5289</v>
      </c>
      <c r="K3481" s="13" t="s">
        <v>5289</v>
      </c>
      <c r="L3481" s="13" t="n">
        <v>8057971188178</v>
      </c>
      <c r="M3481" s="13"/>
      <c r="N3481" s="13" t="n">
        <v>8057971188178</v>
      </c>
      <c r="O3481" s="13"/>
      <c r="P3481" s="13" t="s">
        <v>5291</v>
      </c>
      <c r="Q3481" s="13" t="s">
        <v>5289</v>
      </c>
      <c r="R3481" s="13" t="s">
        <v>5292</v>
      </c>
      <c r="S3481" s="13" t="s">
        <v>5293</v>
      </c>
      <c r="T3481" s="13" t="s">
        <v>5</v>
      </c>
      <c r="U3481" s="13" t="s">
        <v>43</v>
      </c>
      <c r="V3481" s="13" t="n">
        <f aca="false">IF(COUNTIF($B$2:B3481,B3481)=1,1,0)</f>
        <v>0</v>
      </c>
      <c r="W3481" s="13" t="n">
        <f aca="false">IF(COUNTIFS($B$2:B3481,B3481,$T$2:T3481,T3481)=1,1,0)</f>
        <v>0</v>
      </c>
    </row>
    <row r="3482" customFormat="false" ht="15" hidden="false" customHeight="false" outlineLevel="0" collapsed="false">
      <c r="A3482" s="13" t="s">
        <v>1789</v>
      </c>
      <c r="B3482" s="13" t="s">
        <v>105</v>
      </c>
      <c r="C3482" s="13" t="n">
        <v>390</v>
      </c>
      <c r="D3482" s="13" t="n">
        <v>1</v>
      </c>
      <c r="E3482" s="13" t="n">
        <v>390</v>
      </c>
      <c r="F3482" s="13" t="s">
        <v>5325</v>
      </c>
      <c r="G3482" s="13" t="s">
        <v>5289</v>
      </c>
      <c r="H3482" s="13" t="s">
        <v>5289</v>
      </c>
      <c r="I3482" s="13" t="s">
        <v>5289</v>
      </c>
      <c r="J3482" s="13" t="s">
        <v>5289</v>
      </c>
      <c r="K3482" s="13" t="s">
        <v>5289</v>
      </c>
      <c r="L3482" s="13" t="n">
        <v>3614229823806</v>
      </c>
      <c r="M3482" s="13"/>
      <c r="N3482" s="13" t="n">
        <v>3614229823806</v>
      </c>
      <c r="O3482" s="13"/>
      <c r="P3482" s="13" t="s">
        <v>5291</v>
      </c>
      <c r="Q3482" s="13" t="s">
        <v>5289</v>
      </c>
      <c r="R3482" s="13" t="s">
        <v>5292</v>
      </c>
      <c r="S3482" s="13" t="s">
        <v>5293</v>
      </c>
      <c r="T3482" s="13" t="s">
        <v>5</v>
      </c>
      <c r="U3482" s="13" t="s">
        <v>43</v>
      </c>
      <c r="V3482" s="13" t="n">
        <f aca="false">IF(COUNTIF($B$2:B3482,B3482)=1,1,0)</f>
        <v>0</v>
      </c>
      <c r="W3482" s="13" t="n">
        <f aca="false">IF(COUNTIFS($B$2:B3482,B3482,$T$2:T3482,T3482)=1,1,0)</f>
        <v>0</v>
      </c>
    </row>
    <row r="3483" customFormat="false" ht="15" hidden="false" customHeight="false" outlineLevel="0" collapsed="false">
      <c r="A3483" s="13" t="s">
        <v>330</v>
      </c>
      <c r="B3483" s="13" t="s">
        <v>329</v>
      </c>
      <c r="C3483" s="13" t="n">
        <v>390</v>
      </c>
      <c r="D3483" s="13" t="n">
        <v>1</v>
      </c>
      <c r="E3483" s="13" t="n">
        <v>389.85</v>
      </c>
      <c r="F3483" s="13" t="s">
        <v>5288</v>
      </c>
      <c r="G3483" s="13" t="s">
        <v>5289</v>
      </c>
      <c r="H3483" s="13" t="s">
        <v>5289</v>
      </c>
      <c r="I3483" s="13" t="s">
        <v>5289</v>
      </c>
      <c r="J3483" s="13" t="s">
        <v>5289</v>
      </c>
      <c r="K3483" s="13" t="s">
        <v>5292</v>
      </c>
      <c r="L3483" s="13" t="n">
        <v>3137370361121</v>
      </c>
      <c r="M3483" s="13"/>
      <c r="N3483" s="13" t="n">
        <v>3137370361121</v>
      </c>
      <c r="O3483" s="13"/>
      <c r="P3483" s="13" t="s">
        <v>5291</v>
      </c>
      <c r="Q3483" s="13" t="s">
        <v>5289</v>
      </c>
      <c r="R3483" s="13" t="s">
        <v>5292</v>
      </c>
      <c r="S3483" s="13" t="s">
        <v>5293</v>
      </c>
      <c r="T3483" s="13" t="s">
        <v>5</v>
      </c>
      <c r="U3483" s="13" t="s">
        <v>43</v>
      </c>
      <c r="V3483" s="13" t="n">
        <f aca="false">IF(COUNTIF($B$2:B3483,B3483)=1,1,0)</f>
        <v>0</v>
      </c>
      <c r="W3483" s="13" t="n">
        <f aca="false">IF(COUNTIFS($B$2:B3483,B3483,$T$2:T3483,T3483)=1,1,0)</f>
        <v>0</v>
      </c>
    </row>
    <row r="3484" customFormat="false" ht="15" hidden="false" customHeight="false" outlineLevel="0" collapsed="false">
      <c r="A3484" s="13" t="s">
        <v>1787</v>
      </c>
      <c r="B3484" s="13" t="s">
        <v>121</v>
      </c>
      <c r="C3484" s="13" t="n">
        <v>390</v>
      </c>
      <c r="D3484" s="13" t="n">
        <v>2</v>
      </c>
      <c r="E3484" s="13" t="n">
        <v>194.57</v>
      </c>
      <c r="F3484" s="13" t="s">
        <v>5325</v>
      </c>
      <c r="G3484" s="13" t="s">
        <v>5289</v>
      </c>
      <c r="H3484" s="13" t="s">
        <v>5292</v>
      </c>
      <c r="I3484" s="13" t="s">
        <v>5289</v>
      </c>
      <c r="J3484" s="13" t="s">
        <v>5289</v>
      </c>
      <c r="K3484" s="13" t="s">
        <v>5292</v>
      </c>
      <c r="L3484" s="13" t="n">
        <v>7896086904492</v>
      </c>
      <c r="M3484" s="13"/>
      <c r="N3484" s="13" t="n">
        <v>7896086904492</v>
      </c>
      <c r="O3484" s="13"/>
      <c r="P3484" s="13" t="s">
        <v>5291</v>
      </c>
      <c r="Q3484" s="13" t="s">
        <v>5289</v>
      </c>
      <c r="R3484" s="13" t="s">
        <v>5292</v>
      </c>
      <c r="S3484" s="13" t="s">
        <v>5293</v>
      </c>
      <c r="T3484" s="13" t="s">
        <v>5</v>
      </c>
      <c r="U3484" s="13" t="s">
        <v>43</v>
      </c>
      <c r="V3484" s="13" t="n">
        <f aca="false">IF(COUNTIF($B$2:B3484,B3484)=1,1,0)</f>
        <v>0</v>
      </c>
      <c r="W3484" s="13" t="n">
        <f aca="false">IF(COUNTIFS($B$2:B3484,B3484,$T$2:T3484,T3484)=1,1,0)</f>
        <v>0</v>
      </c>
    </row>
    <row r="3485" customFormat="false" ht="15" hidden="false" customHeight="false" outlineLevel="0" collapsed="false">
      <c r="A3485" s="13" t="s">
        <v>601</v>
      </c>
      <c r="B3485" s="13" t="s">
        <v>42</v>
      </c>
      <c r="C3485" s="13" t="n">
        <v>390</v>
      </c>
      <c r="D3485" s="13" t="n">
        <v>2</v>
      </c>
      <c r="E3485" s="13" t="n">
        <v>194.47</v>
      </c>
      <c r="F3485" s="13" t="s">
        <v>5325</v>
      </c>
      <c r="G3485" s="13" t="s">
        <v>5292</v>
      </c>
      <c r="H3485" s="13" t="s">
        <v>5289</v>
      </c>
      <c r="I3485" s="13" t="s">
        <v>5289</v>
      </c>
      <c r="J3485" s="13" t="s">
        <v>5289</v>
      </c>
      <c r="K3485" s="13" t="s">
        <v>5289</v>
      </c>
      <c r="L3485" s="13" t="n">
        <v>8411061959367</v>
      </c>
      <c r="M3485" s="13"/>
      <c r="N3485" s="13" t="n">
        <v>8411061959367</v>
      </c>
      <c r="O3485" s="13"/>
      <c r="P3485" s="13" t="s">
        <v>5297</v>
      </c>
      <c r="Q3485" s="13" t="s">
        <v>5289</v>
      </c>
      <c r="R3485" s="13" t="s">
        <v>5292</v>
      </c>
      <c r="S3485" s="13" t="s">
        <v>5293</v>
      </c>
      <c r="T3485" s="13" t="s">
        <v>5</v>
      </c>
      <c r="U3485" s="13" t="s">
        <v>43</v>
      </c>
      <c r="V3485" s="13" t="n">
        <f aca="false">IF(COUNTIF($B$2:B3485,B3485)=1,1,0)</f>
        <v>0</v>
      </c>
      <c r="W3485" s="13" t="n">
        <f aca="false">IF(COUNTIFS($B$2:B3485,B3485,$T$2:T3485,T3485)=1,1,0)</f>
        <v>0</v>
      </c>
    </row>
    <row r="3486" customFormat="false" ht="15" hidden="false" customHeight="false" outlineLevel="0" collapsed="false">
      <c r="A3486" s="13" t="s">
        <v>512</v>
      </c>
      <c r="B3486" s="13" t="s">
        <v>195</v>
      </c>
      <c r="C3486" s="13" t="n">
        <v>390</v>
      </c>
      <c r="D3486" s="13" t="n">
        <v>1</v>
      </c>
      <c r="E3486" s="13" t="n">
        <v>388.64</v>
      </c>
      <c r="F3486" s="13" t="s">
        <v>5288</v>
      </c>
      <c r="G3486" s="13" t="s">
        <v>5292</v>
      </c>
      <c r="H3486" s="13" t="s">
        <v>5289</v>
      </c>
      <c r="I3486" s="13" t="s">
        <v>5289</v>
      </c>
      <c r="J3486" s="13" t="s">
        <v>5289</v>
      </c>
      <c r="K3486" s="13" t="s">
        <v>5289</v>
      </c>
      <c r="L3486" s="13" t="n">
        <v>3614227693241</v>
      </c>
      <c r="M3486" s="13"/>
      <c r="N3486" s="13" t="n">
        <v>3614227693241</v>
      </c>
      <c r="O3486" s="13"/>
      <c r="P3486" s="13" t="s">
        <v>5291</v>
      </c>
      <c r="Q3486" s="13" t="s">
        <v>5289</v>
      </c>
      <c r="R3486" s="13" t="s">
        <v>5292</v>
      </c>
      <c r="S3486" s="13" t="s">
        <v>5293</v>
      </c>
      <c r="T3486" s="13" t="s">
        <v>5</v>
      </c>
      <c r="U3486" s="13" t="s">
        <v>43</v>
      </c>
      <c r="V3486" s="13" t="n">
        <f aca="false">IF(COUNTIF($B$2:B3486,B3486)=1,1,0)</f>
        <v>0</v>
      </c>
      <c r="W3486" s="13" t="n">
        <f aca="false">IF(COUNTIFS($B$2:B3486,B3486,$T$2:T3486,T3486)=1,1,0)</f>
        <v>0</v>
      </c>
    </row>
    <row r="3487" customFormat="false" ht="15" hidden="false" customHeight="false" outlineLevel="0" collapsed="false">
      <c r="A3487" s="13" t="s">
        <v>1786</v>
      </c>
      <c r="B3487" s="13" t="s">
        <v>121</v>
      </c>
      <c r="C3487" s="13" t="n">
        <v>390</v>
      </c>
      <c r="D3487" s="13" t="n">
        <v>2</v>
      </c>
      <c r="E3487" s="13" t="n">
        <v>97.1375</v>
      </c>
      <c r="F3487" s="13" t="s">
        <v>5288</v>
      </c>
      <c r="G3487" s="13" t="s">
        <v>5289</v>
      </c>
      <c r="H3487" s="13" t="s">
        <v>5289</v>
      </c>
      <c r="I3487" s="13" t="s">
        <v>5289</v>
      </c>
      <c r="J3487" s="13" t="s">
        <v>5289</v>
      </c>
      <c r="K3487" s="13" t="s">
        <v>5289</v>
      </c>
      <c r="L3487" s="13" t="n">
        <v>7896086997517</v>
      </c>
      <c r="M3487" s="13"/>
      <c r="N3487" s="13" t="n">
        <v>7.89608699751784E+025</v>
      </c>
      <c r="O3487" s="13"/>
      <c r="P3487" s="13" t="s">
        <v>5291</v>
      </c>
      <c r="Q3487" s="13" t="s">
        <v>5289</v>
      </c>
      <c r="R3487" s="13" t="s">
        <v>5292</v>
      </c>
      <c r="S3487" s="13" t="s">
        <v>5293</v>
      </c>
      <c r="T3487" s="13" t="s">
        <v>5</v>
      </c>
      <c r="U3487" s="13" t="s">
        <v>43</v>
      </c>
      <c r="V3487" s="13" t="n">
        <f aca="false">IF(COUNTIF($B$2:B3487,B3487)=1,1,0)</f>
        <v>0</v>
      </c>
      <c r="W3487" s="13" t="n">
        <f aca="false">IF(COUNTIFS($B$2:B3487,B3487,$T$2:T3487,T3487)=1,1,0)</f>
        <v>0</v>
      </c>
    </row>
    <row r="3488" customFormat="false" ht="15" hidden="false" customHeight="false" outlineLevel="0" collapsed="false">
      <c r="A3488" s="13" t="s">
        <v>1785</v>
      </c>
      <c r="B3488" s="13" t="s">
        <v>54</v>
      </c>
      <c r="C3488" s="13" t="n">
        <v>390</v>
      </c>
      <c r="D3488" s="13" t="n">
        <v>1</v>
      </c>
      <c r="E3488" s="13" t="n">
        <v>388.4</v>
      </c>
      <c r="F3488" s="13" t="s">
        <v>5288</v>
      </c>
      <c r="G3488" s="13" t="s">
        <v>5292</v>
      </c>
      <c r="H3488" s="13" t="s">
        <v>5289</v>
      </c>
      <c r="I3488" s="13" t="s">
        <v>5289</v>
      </c>
      <c r="J3488" s="13" t="s">
        <v>5289</v>
      </c>
      <c r="K3488" s="13" t="s">
        <v>5289</v>
      </c>
      <c r="L3488" s="13"/>
      <c r="M3488" s="13"/>
      <c r="N3488" s="13" t="n">
        <v>729238193550</v>
      </c>
      <c r="O3488" s="13"/>
      <c r="P3488" s="13" t="s">
        <v>5297</v>
      </c>
      <c r="Q3488" s="13" t="s">
        <v>5289</v>
      </c>
      <c r="R3488" s="13" t="s">
        <v>5292</v>
      </c>
      <c r="S3488" s="13" t="s">
        <v>5293</v>
      </c>
      <c r="T3488" s="13" t="s">
        <v>5</v>
      </c>
      <c r="U3488" s="13" t="s">
        <v>43</v>
      </c>
      <c r="V3488" s="13" t="n">
        <f aca="false">IF(COUNTIF($B$2:B3488,B3488)=1,1,0)</f>
        <v>0</v>
      </c>
      <c r="W3488" s="13" t="n">
        <f aca="false">IF(COUNTIFS($B$2:B3488,B3488,$T$2:T3488,T3488)=1,1,0)</f>
        <v>0</v>
      </c>
    </row>
    <row r="3489" customFormat="false" ht="15" hidden="false" customHeight="false" outlineLevel="0" collapsed="false">
      <c r="A3489" s="13" t="s">
        <v>1784</v>
      </c>
      <c r="B3489" s="13" t="s">
        <v>121</v>
      </c>
      <c r="C3489" s="13" t="n">
        <v>390</v>
      </c>
      <c r="D3489" s="13" t="n">
        <v>5</v>
      </c>
      <c r="E3489" s="13" t="n">
        <v>64.37</v>
      </c>
      <c r="F3489" s="13" t="s">
        <v>5288</v>
      </c>
      <c r="G3489" s="13" t="s">
        <v>5289</v>
      </c>
      <c r="H3489" s="13" t="s">
        <v>5289</v>
      </c>
      <c r="I3489" s="13" t="s">
        <v>5292</v>
      </c>
      <c r="J3489" s="13" t="s">
        <v>5289</v>
      </c>
      <c r="K3489" s="13" t="s">
        <v>5289</v>
      </c>
      <c r="L3489" s="13" t="n">
        <v>7896086968807</v>
      </c>
      <c r="M3489" s="13"/>
      <c r="N3489" s="13" t="n">
        <v>7.89608696880779E+025</v>
      </c>
      <c r="O3489" s="13"/>
      <c r="P3489" s="13" t="s">
        <v>5291</v>
      </c>
      <c r="Q3489" s="13" t="s">
        <v>5289</v>
      </c>
      <c r="R3489" s="13" t="s">
        <v>5292</v>
      </c>
      <c r="S3489" s="13" t="s">
        <v>5293</v>
      </c>
      <c r="T3489" s="13" t="s">
        <v>5</v>
      </c>
      <c r="U3489" s="13" t="s">
        <v>183</v>
      </c>
      <c r="V3489" s="13" t="n">
        <f aca="false">IF(COUNTIF($B$2:B3489,B3489)=1,1,0)</f>
        <v>0</v>
      </c>
      <c r="W3489" s="13" t="n">
        <f aca="false">IF(COUNTIFS($B$2:B3489,B3489,$T$2:T3489,T3489)=1,1,0)</f>
        <v>0</v>
      </c>
    </row>
    <row r="3490" customFormat="false" ht="15" hidden="false" customHeight="false" outlineLevel="0" collapsed="false">
      <c r="A3490" s="13" t="s">
        <v>219</v>
      </c>
      <c r="B3490" s="13" t="s">
        <v>42</v>
      </c>
      <c r="C3490" s="13" t="n">
        <v>390</v>
      </c>
      <c r="D3490" s="13" t="n">
        <v>1</v>
      </c>
      <c r="E3490" s="13" t="n">
        <v>386.08</v>
      </c>
      <c r="F3490" s="13" t="s">
        <v>5325</v>
      </c>
      <c r="G3490" s="13" t="s">
        <v>5292</v>
      </c>
      <c r="H3490" s="13" t="s">
        <v>5289</v>
      </c>
      <c r="I3490" s="13" t="s">
        <v>5289</v>
      </c>
      <c r="J3490" s="13" t="s">
        <v>5289</v>
      </c>
      <c r="K3490" s="13" t="s">
        <v>5289</v>
      </c>
      <c r="L3490" s="13"/>
      <c r="M3490" s="13"/>
      <c r="N3490" s="13" t="n">
        <v>8411061083505</v>
      </c>
      <c r="O3490" s="13"/>
      <c r="P3490" s="13" t="s">
        <v>5291</v>
      </c>
      <c r="Q3490" s="13" t="s">
        <v>5289</v>
      </c>
      <c r="R3490" s="13" t="s">
        <v>5292</v>
      </c>
      <c r="S3490" s="13" t="s">
        <v>5293</v>
      </c>
      <c r="T3490" s="13" t="s">
        <v>5</v>
      </c>
      <c r="U3490" s="13" t="s">
        <v>43</v>
      </c>
      <c r="V3490" s="13" t="n">
        <f aca="false">IF(COUNTIF($B$2:B3490,B3490)=1,1,0)</f>
        <v>0</v>
      </c>
      <c r="W3490" s="13" t="n">
        <f aca="false">IF(COUNTIFS($B$2:B3490,B3490,$T$2:T3490,T3490)=1,1,0)</f>
        <v>0</v>
      </c>
    </row>
    <row r="3491" customFormat="false" ht="15" hidden="false" customHeight="false" outlineLevel="0" collapsed="false">
      <c r="A3491" s="13" t="s">
        <v>1783</v>
      </c>
      <c r="B3491" s="13" t="s">
        <v>45</v>
      </c>
      <c r="C3491" s="13" t="n">
        <v>390</v>
      </c>
      <c r="D3491" s="13" t="n">
        <v>1</v>
      </c>
      <c r="E3491" s="13" t="n">
        <v>385.96</v>
      </c>
      <c r="F3491" s="13" t="s">
        <v>5325</v>
      </c>
      <c r="G3491" s="13" t="s">
        <v>5289</v>
      </c>
      <c r="H3491" s="13" t="s">
        <v>5292</v>
      </c>
      <c r="I3491" s="13" t="s">
        <v>5289</v>
      </c>
      <c r="J3491" s="13" t="s">
        <v>5289</v>
      </c>
      <c r="K3491" s="13" t="s">
        <v>5289</v>
      </c>
      <c r="L3491" s="13" t="n">
        <v>8435415012607</v>
      </c>
      <c r="M3491" s="13"/>
      <c r="N3491" s="13" t="n">
        <v>8435415012607</v>
      </c>
      <c r="O3491" s="13"/>
      <c r="P3491" s="13" t="s">
        <v>5291</v>
      </c>
      <c r="Q3491" s="13" t="s">
        <v>5289</v>
      </c>
      <c r="R3491" s="13" t="s">
        <v>5292</v>
      </c>
      <c r="S3491" s="13" t="s">
        <v>5293</v>
      </c>
      <c r="T3491" s="13" t="s">
        <v>5</v>
      </c>
      <c r="U3491" s="13" t="s">
        <v>43</v>
      </c>
      <c r="V3491" s="13" t="n">
        <f aca="false">IF(COUNTIF($B$2:B3491,B3491)=1,1,0)</f>
        <v>0</v>
      </c>
      <c r="W3491" s="13" t="n">
        <f aca="false">IF(COUNTIFS($B$2:B3491,B3491,$T$2:T3491,T3491)=1,1,0)</f>
        <v>0</v>
      </c>
    </row>
    <row r="3492" customFormat="false" ht="15" hidden="false" customHeight="false" outlineLevel="0" collapsed="false">
      <c r="A3492" s="13" t="s">
        <v>4457</v>
      </c>
      <c r="B3492" s="13" t="s">
        <v>2139</v>
      </c>
      <c r="C3492" s="13" t="n">
        <v>380</v>
      </c>
      <c r="D3492" s="13" t="n">
        <v>2</v>
      </c>
      <c r="E3492" s="13" t="n">
        <v>192.45</v>
      </c>
      <c r="F3492" s="13" t="s">
        <v>5325</v>
      </c>
      <c r="G3492" s="13" t="s">
        <v>5289</v>
      </c>
      <c r="H3492" s="13" t="s">
        <v>5289</v>
      </c>
      <c r="I3492" s="13" t="s">
        <v>5289</v>
      </c>
      <c r="J3492" s="13" t="s">
        <v>5289</v>
      </c>
      <c r="K3492" s="13" t="s">
        <v>5289</v>
      </c>
      <c r="L3492" s="13" t="n">
        <v>8411061020388</v>
      </c>
      <c r="M3492" s="13"/>
      <c r="N3492" s="13" t="n">
        <v>8.41106102038884E+025</v>
      </c>
      <c r="O3492" s="13"/>
      <c r="P3492" s="13" t="s">
        <v>5297</v>
      </c>
      <c r="Q3492" s="13" t="s">
        <v>5289</v>
      </c>
      <c r="R3492" s="13" t="s">
        <v>5292</v>
      </c>
      <c r="S3492" s="13" t="s">
        <v>5293</v>
      </c>
      <c r="T3492" s="13" t="s">
        <v>5</v>
      </c>
      <c r="U3492" s="13" t="s">
        <v>85</v>
      </c>
      <c r="V3492" s="13" t="n">
        <f aca="false">IF(COUNTIF($B$2:B3492,B3492)=1,1,0)</f>
        <v>0</v>
      </c>
      <c r="W3492" s="13" t="n">
        <f aca="false">IF(COUNTIFS($B$2:B3492,B3492,$T$2:T3492,T3492)=1,1,0)</f>
        <v>0</v>
      </c>
    </row>
    <row r="3493" customFormat="false" ht="15" hidden="false" customHeight="false" outlineLevel="0" collapsed="false">
      <c r="A3493" s="13" t="s">
        <v>1762</v>
      </c>
      <c r="B3493" s="13" t="s">
        <v>54</v>
      </c>
      <c r="C3493" s="13" t="n">
        <v>380</v>
      </c>
      <c r="D3493" s="13" t="n">
        <v>1</v>
      </c>
      <c r="E3493" s="13" t="n">
        <v>384.75</v>
      </c>
      <c r="F3493" s="13" t="s">
        <v>5288</v>
      </c>
      <c r="G3493" s="13" t="s">
        <v>5292</v>
      </c>
      <c r="H3493" s="13" t="s">
        <v>5289</v>
      </c>
      <c r="I3493" s="13" t="s">
        <v>5289</v>
      </c>
      <c r="J3493" s="13" t="s">
        <v>5289</v>
      </c>
      <c r="K3493" s="13" t="s">
        <v>5289</v>
      </c>
      <c r="L3493" s="13" t="n">
        <v>729238217591</v>
      </c>
      <c r="M3493" s="13"/>
      <c r="N3493" s="13" t="n">
        <v>729238217591</v>
      </c>
      <c r="O3493" s="13"/>
      <c r="P3493" s="13" t="s">
        <v>5297</v>
      </c>
      <c r="Q3493" s="13" t="s">
        <v>5289</v>
      </c>
      <c r="R3493" s="13" t="s">
        <v>5292</v>
      </c>
      <c r="S3493" s="13" t="s">
        <v>5293</v>
      </c>
      <c r="T3493" s="13" t="s">
        <v>5</v>
      </c>
      <c r="U3493" s="13" t="s">
        <v>43</v>
      </c>
      <c r="V3493" s="13" t="n">
        <f aca="false">IF(COUNTIF($B$2:B3493,B3493)=1,1,0)</f>
        <v>0</v>
      </c>
      <c r="W3493" s="13" t="n">
        <f aca="false">IF(COUNTIFS($B$2:B3493,B3493,$T$2:T3493,T3493)=1,1,0)</f>
        <v>0</v>
      </c>
    </row>
    <row r="3494" customFormat="false" ht="15" hidden="false" customHeight="false" outlineLevel="0" collapsed="false">
      <c r="A3494" s="13" t="s">
        <v>1802</v>
      </c>
      <c r="B3494" s="13" t="s">
        <v>61</v>
      </c>
      <c r="C3494" s="13" t="n">
        <v>380</v>
      </c>
      <c r="D3494" s="13" t="n">
        <v>1</v>
      </c>
      <c r="E3494" s="13" t="n">
        <v>383.13</v>
      </c>
      <c r="F3494" s="13" t="s">
        <v>5288</v>
      </c>
      <c r="G3494" s="13" t="s">
        <v>5289</v>
      </c>
      <c r="H3494" s="13" t="s">
        <v>5292</v>
      </c>
      <c r="I3494" s="13" t="s">
        <v>5289</v>
      </c>
      <c r="J3494" s="13" t="s">
        <v>5289</v>
      </c>
      <c r="K3494" s="13" t="s">
        <v>5289</v>
      </c>
      <c r="L3494" s="13" t="n">
        <v>3614274103007</v>
      </c>
      <c r="M3494" s="13"/>
      <c r="N3494" s="13" t="n">
        <v>3614274103007</v>
      </c>
      <c r="O3494" s="13"/>
      <c r="P3494" s="13" t="s">
        <v>5297</v>
      </c>
      <c r="Q3494" s="13" t="s">
        <v>5289</v>
      </c>
      <c r="R3494" s="13" t="s">
        <v>5292</v>
      </c>
      <c r="S3494" s="13" t="s">
        <v>5293</v>
      </c>
      <c r="T3494" s="13" t="s">
        <v>5</v>
      </c>
      <c r="U3494" s="13" t="s">
        <v>43</v>
      </c>
      <c r="V3494" s="13" t="n">
        <f aca="false">IF(COUNTIF($B$2:B3494,B3494)=1,1,0)</f>
        <v>0</v>
      </c>
      <c r="W3494" s="13" t="n">
        <f aca="false">IF(COUNTIFS($B$2:B3494,B3494,$T$2:T3494,T3494)=1,1,0)</f>
        <v>0</v>
      </c>
    </row>
    <row r="3495" customFormat="false" ht="15" hidden="false" customHeight="false" outlineLevel="0" collapsed="false">
      <c r="A3495" s="13" t="s">
        <v>4712</v>
      </c>
      <c r="B3495" s="13" t="s">
        <v>2103</v>
      </c>
      <c r="C3495" s="13" t="n">
        <v>380</v>
      </c>
      <c r="D3495" s="13" t="n">
        <v>5</v>
      </c>
      <c r="E3495" s="13" t="n">
        <v>76.48</v>
      </c>
      <c r="F3495" s="13" t="s">
        <v>5325</v>
      </c>
      <c r="G3495" s="13" t="s">
        <v>5289</v>
      </c>
      <c r="H3495" s="13" t="s">
        <v>5289</v>
      </c>
      <c r="I3495" s="13" t="s">
        <v>5289</v>
      </c>
      <c r="J3495" s="13" t="s">
        <v>5289</v>
      </c>
      <c r="K3495" s="13" t="s">
        <v>5289</v>
      </c>
      <c r="L3495" s="13" t="n">
        <v>309974784030</v>
      </c>
      <c r="M3495" s="13"/>
      <c r="N3495" s="13" t="n">
        <v>309974784030</v>
      </c>
      <c r="O3495" s="13"/>
      <c r="P3495" s="13" t="s">
        <v>5291</v>
      </c>
      <c r="Q3495" s="13" t="s">
        <v>5289</v>
      </c>
      <c r="R3495" s="13" t="s">
        <v>5292</v>
      </c>
      <c r="S3495" s="13" t="s">
        <v>5293</v>
      </c>
      <c r="T3495" s="13" t="s">
        <v>5</v>
      </c>
      <c r="U3495" s="13" t="s">
        <v>85</v>
      </c>
      <c r="V3495" s="13" t="n">
        <f aca="false">IF(COUNTIF($B$2:B3495,B3495)=1,1,0)</f>
        <v>0</v>
      </c>
      <c r="W3495" s="13" t="n">
        <f aca="false">IF(COUNTIFS($B$2:B3495,B3495,$T$2:T3495,T3495)=1,1,0)</f>
        <v>0</v>
      </c>
    </row>
    <row r="3496" customFormat="false" ht="15" hidden="false" customHeight="false" outlineLevel="0" collapsed="false">
      <c r="A3496" s="13" t="s">
        <v>1801</v>
      </c>
      <c r="B3496" s="13" t="s">
        <v>103</v>
      </c>
      <c r="C3496" s="13" t="n">
        <v>380</v>
      </c>
      <c r="D3496" s="13" t="n">
        <v>2</v>
      </c>
      <c r="E3496" s="13" t="n">
        <v>191.08</v>
      </c>
      <c r="F3496" s="13" t="s">
        <v>5325</v>
      </c>
      <c r="G3496" s="13" t="s">
        <v>5289</v>
      </c>
      <c r="H3496" s="13" t="s">
        <v>5292</v>
      </c>
      <c r="I3496" s="13" t="s">
        <v>5289</v>
      </c>
      <c r="J3496" s="13" t="s">
        <v>5289</v>
      </c>
      <c r="K3496" s="13" t="s">
        <v>5289</v>
      </c>
      <c r="L3496" s="13" t="n">
        <v>8411061011195</v>
      </c>
      <c r="M3496" s="13"/>
      <c r="N3496" s="13" t="n">
        <v>8411061011195</v>
      </c>
      <c r="O3496" s="13"/>
      <c r="P3496" s="13" t="s">
        <v>5291</v>
      </c>
      <c r="Q3496" s="13" t="s">
        <v>5289</v>
      </c>
      <c r="R3496" s="13" t="s">
        <v>5292</v>
      </c>
      <c r="S3496" s="13" t="s">
        <v>5293</v>
      </c>
      <c r="T3496" s="13" t="s">
        <v>5</v>
      </c>
      <c r="U3496" s="13" t="s">
        <v>43</v>
      </c>
      <c r="V3496" s="13" t="n">
        <f aca="false">IF(COUNTIF($B$2:B3496,B3496)=1,1,0)</f>
        <v>0</v>
      </c>
      <c r="W3496" s="13" t="n">
        <f aca="false">IF(COUNTIFS($B$2:B3496,B3496,$T$2:T3496,T3496)=1,1,0)</f>
        <v>0</v>
      </c>
    </row>
    <row r="3497" customFormat="false" ht="15" hidden="false" customHeight="false" outlineLevel="0" collapsed="false">
      <c r="A3497" s="13" t="s">
        <v>6398</v>
      </c>
      <c r="B3497" s="13" t="s">
        <v>2103</v>
      </c>
      <c r="C3497" s="13" t="n">
        <v>380</v>
      </c>
      <c r="D3497" s="13" t="n">
        <v>2</v>
      </c>
      <c r="E3497" s="13" t="n">
        <v>127.303333333333</v>
      </c>
      <c r="F3497" s="13" t="s">
        <v>5325</v>
      </c>
      <c r="G3497" s="13" t="s">
        <v>5292</v>
      </c>
      <c r="H3497" s="13" t="s">
        <v>5292</v>
      </c>
      <c r="I3497" s="13" t="s">
        <v>5289</v>
      </c>
      <c r="J3497" s="13" t="s">
        <v>5289</v>
      </c>
      <c r="K3497" s="13" t="s">
        <v>5289</v>
      </c>
      <c r="L3497" s="13" t="n">
        <v>309974700054</v>
      </c>
      <c r="M3497" s="13"/>
      <c r="N3497" s="13" t="n">
        <v>309974700054</v>
      </c>
      <c r="O3497" s="13"/>
      <c r="P3497" s="13" t="s">
        <v>5291</v>
      </c>
      <c r="Q3497" s="13" t="s">
        <v>5289</v>
      </c>
      <c r="R3497" s="13" t="s">
        <v>5292</v>
      </c>
      <c r="S3497" s="13" t="s">
        <v>5293</v>
      </c>
      <c r="T3497" s="13" t="s">
        <v>5</v>
      </c>
      <c r="U3497" s="13" t="s">
        <v>85</v>
      </c>
      <c r="V3497" s="13" t="n">
        <f aca="false">IF(COUNTIF($B$2:B3497,B3497)=1,1,0)</f>
        <v>0</v>
      </c>
      <c r="W3497" s="13" t="n">
        <f aca="false">IF(COUNTIFS($B$2:B3497,B3497,$T$2:T3497,T3497)=1,1,0)</f>
        <v>0</v>
      </c>
    </row>
    <row r="3498" customFormat="false" ht="15" hidden="false" customHeight="false" outlineLevel="0" collapsed="false">
      <c r="A3498" s="13" t="s">
        <v>1795</v>
      </c>
      <c r="B3498" s="13" t="s">
        <v>103</v>
      </c>
      <c r="C3498" s="13" t="n">
        <v>380</v>
      </c>
      <c r="D3498" s="13" t="n">
        <v>2</v>
      </c>
      <c r="E3498" s="13" t="n">
        <v>190.71</v>
      </c>
      <c r="F3498" s="13" t="s">
        <v>5325</v>
      </c>
      <c r="G3498" s="13" t="s">
        <v>5289</v>
      </c>
      <c r="H3498" s="13" t="s">
        <v>5292</v>
      </c>
      <c r="I3498" s="13" t="s">
        <v>5289</v>
      </c>
      <c r="J3498" s="13" t="s">
        <v>5289</v>
      </c>
      <c r="K3498" s="13" t="s">
        <v>5289</v>
      </c>
      <c r="L3498" s="13" t="n">
        <v>8411061930878</v>
      </c>
      <c r="M3498" s="13"/>
      <c r="N3498" s="13" t="n">
        <v>8411061930878</v>
      </c>
      <c r="O3498" s="13"/>
      <c r="P3498" s="13" t="s">
        <v>5291</v>
      </c>
      <c r="Q3498" s="13" t="s">
        <v>5289</v>
      </c>
      <c r="R3498" s="13" t="s">
        <v>5292</v>
      </c>
      <c r="S3498" s="13" t="s">
        <v>5293</v>
      </c>
      <c r="T3498" s="13" t="s">
        <v>5</v>
      </c>
      <c r="U3498" s="13" t="s">
        <v>43</v>
      </c>
      <c r="V3498" s="13" t="n">
        <f aca="false">IF(COUNTIF($B$2:B3498,B3498)=1,1,0)</f>
        <v>0</v>
      </c>
      <c r="W3498" s="13" t="n">
        <f aca="false">IF(COUNTIFS($B$2:B3498,B3498,$T$2:T3498,T3498)=1,1,0)</f>
        <v>0</v>
      </c>
    </row>
    <row r="3499" customFormat="false" ht="15" hidden="false" customHeight="false" outlineLevel="0" collapsed="false">
      <c r="A3499" s="13" t="s">
        <v>6399</v>
      </c>
      <c r="B3499" s="13" t="s">
        <v>2164</v>
      </c>
      <c r="C3499" s="13" t="n">
        <v>380</v>
      </c>
      <c r="D3499" s="13" t="n">
        <v>2</v>
      </c>
      <c r="E3499" s="13" t="n">
        <v>95</v>
      </c>
      <c r="F3499" s="13" t="s">
        <v>5325</v>
      </c>
      <c r="G3499" s="13" t="s">
        <v>5289</v>
      </c>
      <c r="H3499" s="13" t="s">
        <v>5292</v>
      </c>
      <c r="I3499" s="13" t="s">
        <v>5289</v>
      </c>
      <c r="J3499" s="13" t="s">
        <v>5289</v>
      </c>
      <c r="K3499" s="13" t="s">
        <v>5289</v>
      </c>
      <c r="L3499" s="13"/>
      <c r="M3499" s="13"/>
      <c r="N3499" s="13" t="n">
        <v>3616305265784</v>
      </c>
      <c r="O3499" s="13"/>
      <c r="P3499" s="13" t="s">
        <v>5291</v>
      </c>
      <c r="Q3499" s="13" t="s">
        <v>5289</v>
      </c>
      <c r="R3499" s="13" t="s">
        <v>5292</v>
      </c>
      <c r="S3499" s="13" t="s">
        <v>5293</v>
      </c>
      <c r="T3499" s="13" t="s">
        <v>5</v>
      </c>
      <c r="U3499" s="13" t="s">
        <v>43</v>
      </c>
      <c r="V3499" s="13" t="n">
        <f aca="false">IF(COUNTIF($B$2:B3499,B3499)=1,1,0)</f>
        <v>0</v>
      </c>
      <c r="W3499" s="13" t="n">
        <f aca="false">IF(COUNTIFS($B$2:B3499,B3499,$T$2:T3499,T3499)=1,1,0)</f>
        <v>0</v>
      </c>
    </row>
    <row r="3500" customFormat="false" ht="15" hidden="false" customHeight="false" outlineLevel="0" collapsed="false">
      <c r="A3500" s="13" t="s">
        <v>4717</v>
      </c>
      <c r="B3500" s="13" t="s">
        <v>2253</v>
      </c>
      <c r="C3500" s="13" t="n">
        <v>380</v>
      </c>
      <c r="D3500" s="13" t="n">
        <v>2</v>
      </c>
      <c r="E3500" s="13" t="n">
        <v>189.85</v>
      </c>
      <c r="F3500" s="13" t="s">
        <v>5325</v>
      </c>
      <c r="G3500" s="13" t="s">
        <v>5292</v>
      </c>
      <c r="H3500" s="13" t="s">
        <v>5289</v>
      </c>
      <c r="I3500" s="13" t="s">
        <v>5289</v>
      </c>
      <c r="J3500" s="13" t="s">
        <v>5289</v>
      </c>
      <c r="K3500" s="13" t="s">
        <v>5289</v>
      </c>
      <c r="L3500" s="13" t="n">
        <v>8809925167490</v>
      </c>
      <c r="M3500" s="13"/>
      <c r="N3500" s="13" t="n">
        <v>8809925167490</v>
      </c>
      <c r="O3500" s="13"/>
      <c r="P3500" s="13" t="s">
        <v>5291</v>
      </c>
      <c r="Q3500" s="13" t="s">
        <v>5289</v>
      </c>
      <c r="R3500" s="13" t="s">
        <v>5292</v>
      </c>
      <c r="S3500" s="13" t="s">
        <v>5293</v>
      </c>
      <c r="T3500" s="13" t="s">
        <v>5</v>
      </c>
      <c r="U3500" s="13" t="s">
        <v>85</v>
      </c>
      <c r="V3500" s="13" t="n">
        <f aca="false">IF(COUNTIF($B$2:B3500,B3500)=1,1,0)</f>
        <v>1</v>
      </c>
      <c r="W3500" s="13" t="n">
        <f aca="false">IF(COUNTIFS($B$2:B3500,B3500,$T$2:T3500,T3500)=1,1,0)</f>
        <v>1</v>
      </c>
    </row>
    <row r="3501" customFormat="false" ht="15" hidden="false" customHeight="false" outlineLevel="0" collapsed="false">
      <c r="A3501" s="13" t="s">
        <v>1082</v>
      </c>
      <c r="B3501" s="13" t="s">
        <v>79</v>
      </c>
      <c r="C3501" s="13" t="n">
        <v>380</v>
      </c>
      <c r="D3501" s="13" t="n">
        <v>1</v>
      </c>
      <c r="E3501" s="13" t="n">
        <v>379.28</v>
      </c>
      <c r="F3501" s="13" t="s">
        <v>5288</v>
      </c>
      <c r="G3501" s="13" t="s">
        <v>5289</v>
      </c>
      <c r="H3501" s="13" t="s">
        <v>5289</v>
      </c>
      <c r="I3501" s="13" t="s">
        <v>5289</v>
      </c>
      <c r="J3501" s="13" t="s">
        <v>5289</v>
      </c>
      <c r="K3501" s="13" t="s">
        <v>5289</v>
      </c>
      <c r="L3501" s="13"/>
      <c r="M3501" s="13"/>
      <c r="N3501" s="13" t="n">
        <v>8057971188277</v>
      </c>
      <c r="O3501" s="13"/>
      <c r="P3501" s="13" t="s">
        <v>5291</v>
      </c>
      <c r="Q3501" s="13" t="s">
        <v>5289</v>
      </c>
      <c r="R3501" s="13" t="s">
        <v>5292</v>
      </c>
      <c r="S3501" s="13" t="s">
        <v>5293</v>
      </c>
      <c r="T3501" s="13" t="s">
        <v>5</v>
      </c>
      <c r="U3501" s="13" t="s">
        <v>43</v>
      </c>
      <c r="V3501" s="13" t="n">
        <f aca="false">IF(COUNTIF($B$2:B3501,B3501)=1,1,0)</f>
        <v>0</v>
      </c>
      <c r="W3501" s="13" t="n">
        <f aca="false">IF(COUNTIFS($B$2:B3501,B3501,$T$2:T3501,T3501)=1,1,0)</f>
        <v>0</v>
      </c>
    </row>
    <row r="3502" customFormat="false" ht="15" hidden="false" customHeight="false" outlineLevel="0" collapsed="false">
      <c r="A3502" s="13" t="s">
        <v>1797</v>
      </c>
      <c r="B3502" s="13" t="s">
        <v>50</v>
      </c>
      <c r="C3502" s="13" t="n">
        <v>380</v>
      </c>
      <c r="D3502" s="13" t="n">
        <v>1</v>
      </c>
      <c r="E3502" s="13" t="n">
        <v>379</v>
      </c>
      <c r="F3502" s="13" t="s">
        <v>5325</v>
      </c>
      <c r="G3502" s="13" t="s">
        <v>5292</v>
      </c>
      <c r="H3502" s="13" t="s">
        <v>5292</v>
      </c>
      <c r="I3502" s="13" t="s">
        <v>5289</v>
      </c>
      <c r="J3502" s="13" t="s">
        <v>5289</v>
      </c>
      <c r="K3502" s="13" t="s">
        <v>5289</v>
      </c>
      <c r="L3502" s="13" t="n">
        <v>3349668566730</v>
      </c>
      <c r="M3502" s="13"/>
      <c r="N3502" s="13" t="n">
        <v>3349668566730</v>
      </c>
      <c r="O3502" s="13"/>
      <c r="P3502" s="13" t="s">
        <v>5291</v>
      </c>
      <c r="Q3502" s="13" t="s">
        <v>5289</v>
      </c>
      <c r="R3502" s="13" t="s">
        <v>5292</v>
      </c>
      <c r="S3502" s="13" t="s">
        <v>5293</v>
      </c>
      <c r="T3502" s="13" t="s">
        <v>5</v>
      </c>
      <c r="U3502" s="13" t="s">
        <v>43</v>
      </c>
      <c r="V3502" s="13" t="n">
        <f aca="false">IF(COUNTIF($B$2:B3502,B3502)=1,1,0)</f>
        <v>0</v>
      </c>
      <c r="W3502" s="13" t="n">
        <f aca="false">IF(COUNTIFS($B$2:B3502,B3502,$T$2:T3502,T3502)=1,1,0)</f>
        <v>0</v>
      </c>
    </row>
    <row r="3503" customFormat="false" ht="15" hidden="false" customHeight="false" outlineLevel="0" collapsed="false">
      <c r="A3503" s="13" t="s">
        <v>6400</v>
      </c>
      <c r="B3503" s="13" t="s">
        <v>2150</v>
      </c>
      <c r="C3503" s="13" t="n">
        <v>380</v>
      </c>
      <c r="D3503" s="13" t="n">
        <v>2</v>
      </c>
      <c r="E3503" s="13" t="n">
        <v>126.326666666667</v>
      </c>
      <c r="F3503" s="13" t="s">
        <v>5325</v>
      </c>
      <c r="G3503" s="13" t="s">
        <v>5289</v>
      </c>
      <c r="H3503" s="13" t="s">
        <v>5292</v>
      </c>
      <c r="I3503" s="13" t="s">
        <v>5289</v>
      </c>
      <c r="J3503" s="13" t="s">
        <v>5289</v>
      </c>
      <c r="K3503" s="13" t="s">
        <v>5289</v>
      </c>
      <c r="L3503" s="13" t="n">
        <v>8411061972229</v>
      </c>
      <c r="M3503" s="13"/>
      <c r="N3503" s="13" t="n">
        <v>8411061972229</v>
      </c>
      <c r="O3503" s="13"/>
      <c r="P3503" s="13" t="s">
        <v>5291</v>
      </c>
      <c r="Q3503" s="13" t="s">
        <v>5289</v>
      </c>
      <c r="R3503" s="13" t="s">
        <v>5292</v>
      </c>
      <c r="S3503" s="13" t="s">
        <v>5293</v>
      </c>
      <c r="T3503" s="13" t="s">
        <v>5</v>
      </c>
      <c r="U3503" s="13" t="s">
        <v>43</v>
      </c>
      <c r="V3503" s="13" t="n">
        <f aca="false">IF(COUNTIF($B$2:B3503,B3503)=1,1,0)</f>
        <v>0</v>
      </c>
      <c r="W3503" s="13" t="n">
        <f aca="false">IF(COUNTIFS($B$2:B3503,B3503,$T$2:T3503,T3503)=1,1,0)</f>
        <v>0</v>
      </c>
    </row>
    <row r="3504" customFormat="false" ht="15" hidden="false" customHeight="false" outlineLevel="0" collapsed="false">
      <c r="A3504" s="13" t="s">
        <v>1798</v>
      </c>
      <c r="B3504" s="13" t="s">
        <v>165</v>
      </c>
      <c r="C3504" s="13" t="n">
        <v>380</v>
      </c>
      <c r="D3504" s="13" t="n">
        <v>1</v>
      </c>
      <c r="E3504" s="13" t="n">
        <v>378.89</v>
      </c>
      <c r="F3504" s="13" t="s">
        <v>5288</v>
      </c>
      <c r="G3504" s="13" t="s">
        <v>5289</v>
      </c>
      <c r="H3504" s="13" t="s">
        <v>5292</v>
      </c>
      <c r="I3504" s="13" t="s">
        <v>5289</v>
      </c>
      <c r="J3504" s="13" t="s">
        <v>5289</v>
      </c>
      <c r="K3504" s="13" t="s">
        <v>5289</v>
      </c>
      <c r="L3504" s="13" t="n">
        <v>3614274412796</v>
      </c>
      <c r="M3504" s="13"/>
      <c r="N3504" s="13" t="n">
        <v>3614274412796</v>
      </c>
      <c r="O3504" s="13"/>
      <c r="P3504" s="13" t="s">
        <v>5291</v>
      </c>
      <c r="Q3504" s="13" t="s">
        <v>5289</v>
      </c>
      <c r="R3504" s="13" t="s">
        <v>5292</v>
      </c>
      <c r="S3504" s="13" t="s">
        <v>5293</v>
      </c>
      <c r="T3504" s="13" t="s">
        <v>5</v>
      </c>
      <c r="U3504" s="13" t="s">
        <v>43</v>
      </c>
      <c r="V3504" s="13" t="n">
        <f aca="false">IF(COUNTIF($B$2:B3504,B3504)=1,1,0)</f>
        <v>0</v>
      </c>
      <c r="W3504" s="13" t="n">
        <f aca="false">IF(COUNTIFS($B$2:B3504,B3504,$T$2:T3504,T3504)=1,1,0)</f>
        <v>0</v>
      </c>
    </row>
    <row r="3505" customFormat="false" ht="15" hidden="false" customHeight="false" outlineLevel="0" collapsed="false">
      <c r="A3505" s="13" t="s">
        <v>4316</v>
      </c>
      <c r="B3505" s="13" t="s">
        <v>2179</v>
      </c>
      <c r="C3505" s="13" t="n">
        <v>380</v>
      </c>
      <c r="D3505" s="13" t="n">
        <v>1</v>
      </c>
      <c r="E3505" s="13" t="n">
        <v>378.85</v>
      </c>
      <c r="F3505" s="13" t="s">
        <v>5325</v>
      </c>
      <c r="G3505" s="13" t="s">
        <v>5292</v>
      </c>
      <c r="H3505" s="13" t="s">
        <v>5289</v>
      </c>
      <c r="I3505" s="13" t="s">
        <v>5289</v>
      </c>
      <c r="J3505" s="13" t="s">
        <v>5289</v>
      </c>
      <c r="K3505" s="13" t="s">
        <v>5292</v>
      </c>
      <c r="L3505" s="13" t="n">
        <v>8410190612525</v>
      </c>
      <c r="M3505" s="13"/>
      <c r="N3505" s="13" t="n">
        <v>8410190612525</v>
      </c>
      <c r="O3505" s="13"/>
      <c r="P3505" s="13" t="s">
        <v>5291</v>
      </c>
      <c r="Q3505" s="13" t="s">
        <v>5289</v>
      </c>
      <c r="R3505" s="13" t="s">
        <v>5292</v>
      </c>
      <c r="S3505" s="13" t="s">
        <v>5293</v>
      </c>
      <c r="T3505" s="13" t="s">
        <v>5</v>
      </c>
      <c r="U3505" s="13" t="s">
        <v>85</v>
      </c>
      <c r="V3505" s="13" t="n">
        <f aca="false">IF(COUNTIF($B$2:B3505,B3505)=1,1,0)</f>
        <v>0</v>
      </c>
      <c r="W3505" s="13" t="n">
        <f aca="false">IF(COUNTIFS($B$2:B3505,B3505,$T$2:T3505,T3505)=1,1,0)</f>
        <v>0</v>
      </c>
    </row>
    <row r="3506" customFormat="false" ht="15" hidden="false" customHeight="false" outlineLevel="0" collapsed="false">
      <c r="A3506" s="13" t="s">
        <v>1796</v>
      </c>
      <c r="B3506" s="13" t="s">
        <v>61</v>
      </c>
      <c r="C3506" s="13" t="n">
        <v>380</v>
      </c>
      <c r="D3506" s="13" t="n">
        <v>1</v>
      </c>
      <c r="E3506" s="13" t="n">
        <v>378.85</v>
      </c>
      <c r="F3506" s="13" t="s">
        <v>5288</v>
      </c>
      <c r="G3506" s="13" t="s">
        <v>5289</v>
      </c>
      <c r="H3506" s="13" t="s">
        <v>5292</v>
      </c>
      <c r="I3506" s="13" t="s">
        <v>5289</v>
      </c>
      <c r="J3506" s="13" t="s">
        <v>5289</v>
      </c>
      <c r="K3506" s="13" t="s">
        <v>5292</v>
      </c>
      <c r="L3506" s="13" t="n">
        <v>3605530398381</v>
      </c>
      <c r="M3506" s="13"/>
      <c r="N3506" s="13" t="n">
        <v>3605530398381</v>
      </c>
      <c r="O3506" s="13"/>
      <c r="P3506" s="13" t="s">
        <v>5297</v>
      </c>
      <c r="Q3506" s="13" t="s">
        <v>5289</v>
      </c>
      <c r="R3506" s="13" t="s">
        <v>5292</v>
      </c>
      <c r="S3506" s="13" t="s">
        <v>5293</v>
      </c>
      <c r="T3506" s="13" t="s">
        <v>5</v>
      </c>
      <c r="U3506" s="13" t="s">
        <v>43</v>
      </c>
      <c r="V3506" s="13" t="n">
        <f aca="false">IF(COUNTIF($B$2:B3506,B3506)=1,1,0)</f>
        <v>0</v>
      </c>
      <c r="W3506" s="13" t="n">
        <f aca="false">IF(COUNTIFS($B$2:B3506,B3506,$T$2:T3506,T3506)=1,1,0)</f>
        <v>0</v>
      </c>
    </row>
    <row r="3507" customFormat="false" ht="15" hidden="false" customHeight="false" outlineLevel="0" collapsed="false">
      <c r="A3507" s="13" t="s">
        <v>989</v>
      </c>
      <c r="B3507" s="13" t="s">
        <v>54</v>
      </c>
      <c r="C3507" s="13" t="n">
        <v>380</v>
      </c>
      <c r="D3507" s="13" t="n">
        <v>1</v>
      </c>
      <c r="E3507" s="13" t="n">
        <v>376.85</v>
      </c>
      <c r="F3507" s="13" t="s">
        <v>5325</v>
      </c>
      <c r="G3507" s="13" t="s">
        <v>5292</v>
      </c>
      <c r="H3507" s="13" t="s">
        <v>5292</v>
      </c>
      <c r="I3507" s="13" t="s">
        <v>5289</v>
      </c>
      <c r="J3507" s="13" t="s">
        <v>5289</v>
      </c>
      <c r="K3507" s="13" t="s">
        <v>5292</v>
      </c>
      <c r="L3507" s="13" t="n">
        <v>729238157972</v>
      </c>
      <c r="M3507" s="13"/>
      <c r="N3507" s="13" t="n">
        <v>729238157972</v>
      </c>
      <c r="O3507" s="13"/>
      <c r="P3507" s="13" t="s">
        <v>5297</v>
      </c>
      <c r="Q3507" s="13" t="s">
        <v>5289</v>
      </c>
      <c r="R3507" s="13" t="s">
        <v>5292</v>
      </c>
      <c r="S3507" s="13" t="s">
        <v>5293</v>
      </c>
      <c r="T3507" s="13" t="s">
        <v>5</v>
      </c>
      <c r="U3507" s="13" t="s">
        <v>43</v>
      </c>
      <c r="V3507" s="13" t="n">
        <f aca="false">IF(COUNTIF($B$2:B3507,B3507)=1,1,0)</f>
        <v>0</v>
      </c>
      <c r="W3507" s="13" t="n">
        <f aca="false">IF(COUNTIFS($B$2:B3507,B3507,$T$2:T3507,T3507)=1,1,0)</f>
        <v>0</v>
      </c>
    </row>
    <row r="3508" customFormat="false" ht="15" hidden="false" customHeight="false" outlineLevel="0" collapsed="false">
      <c r="A3508" s="13" t="s">
        <v>1800</v>
      </c>
      <c r="B3508" s="13" t="s">
        <v>59</v>
      </c>
      <c r="C3508" s="13" t="n">
        <v>380</v>
      </c>
      <c r="D3508" s="13" t="n">
        <v>2</v>
      </c>
      <c r="E3508" s="13" t="n">
        <v>187.65</v>
      </c>
      <c r="F3508" s="13" t="s">
        <v>5325</v>
      </c>
      <c r="G3508" s="13" t="s">
        <v>5289</v>
      </c>
      <c r="H3508" s="13" t="s">
        <v>5289</v>
      </c>
      <c r="I3508" s="13" t="s">
        <v>5289</v>
      </c>
      <c r="J3508" s="13" t="s">
        <v>5289</v>
      </c>
      <c r="K3508" s="13" t="s">
        <v>5289</v>
      </c>
      <c r="L3508" s="13" t="n">
        <v>3412242508027</v>
      </c>
      <c r="M3508" s="13"/>
      <c r="N3508" s="13" t="n">
        <v>3412242508027</v>
      </c>
      <c r="O3508" s="13"/>
      <c r="P3508" s="13" t="s">
        <v>5291</v>
      </c>
      <c r="Q3508" s="13" t="s">
        <v>5289</v>
      </c>
      <c r="R3508" s="13" t="s">
        <v>5292</v>
      </c>
      <c r="S3508" s="13" t="s">
        <v>5293</v>
      </c>
      <c r="T3508" s="13" t="s">
        <v>5</v>
      </c>
      <c r="U3508" s="13" t="s">
        <v>43</v>
      </c>
      <c r="V3508" s="13" t="n">
        <f aca="false">IF(COUNTIF($B$2:B3508,B3508)=1,1,0)</f>
        <v>0</v>
      </c>
      <c r="W3508" s="13" t="n">
        <f aca="false">IF(COUNTIFS($B$2:B3508,B3508,$T$2:T3508,T3508)=1,1,0)</f>
        <v>0</v>
      </c>
    </row>
    <row r="3509" customFormat="false" ht="15" hidden="false" customHeight="false" outlineLevel="0" collapsed="false">
      <c r="A3509" s="13" t="s">
        <v>580</v>
      </c>
      <c r="B3509" s="13" t="s">
        <v>79</v>
      </c>
      <c r="C3509" s="13" t="n">
        <v>380</v>
      </c>
      <c r="D3509" s="13" t="n">
        <v>1</v>
      </c>
      <c r="E3509" s="13" t="n">
        <v>375</v>
      </c>
      <c r="F3509" s="13" t="s">
        <v>5325</v>
      </c>
      <c r="G3509" s="13" t="s">
        <v>5289</v>
      </c>
      <c r="H3509" s="13" t="s">
        <v>5292</v>
      </c>
      <c r="I3509" s="13" t="s">
        <v>5289</v>
      </c>
      <c r="J3509" s="13" t="s">
        <v>5289</v>
      </c>
      <c r="K3509" s="13" t="s">
        <v>5289</v>
      </c>
      <c r="L3509" s="13"/>
      <c r="M3509" s="13"/>
      <c r="N3509" s="13" t="n">
        <v>8057971183715</v>
      </c>
      <c r="O3509" s="13"/>
      <c r="P3509" s="13" t="s">
        <v>5291</v>
      </c>
      <c r="Q3509" s="13" t="s">
        <v>5289</v>
      </c>
      <c r="R3509" s="13" t="s">
        <v>5292</v>
      </c>
      <c r="S3509" s="13" t="s">
        <v>5293</v>
      </c>
      <c r="T3509" s="13" t="s">
        <v>5</v>
      </c>
      <c r="U3509" s="13" t="s">
        <v>43</v>
      </c>
      <c r="V3509" s="13" t="n">
        <f aca="false">IF(COUNTIF($B$2:B3509,B3509)=1,1,0)</f>
        <v>0</v>
      </c>
      <c r="W3509" s="13" t="n">
        <f aca="false">IF(COUNTIFS($B$2:B3509,B3509,$T$2:T3509,T3509)=1,1,0)</f>
        <v>0</v>
      </c>
    </row>
    <row r="3510" customFormat="false" ht="15" hidden="false" customHeight="false" outlineLevel="0" collapsed="false">
      <c r="A3510" s="13" t="s">
        <v>1818</v>
      </c>
      <c r="B3510" s="13" t="s">
        <v>59</v>
      </c>
      <c r="C3510" s="13" t="n">
        <v>370</v>
      </c>
      <c r="D3510" s="13" t="n">
        <v>2</v>
      </c>
      <c r="E3510" s="13" t="n">
        <v>187.44</v>
      </c>
      <c r="F3510" s="13" t="s">
        <v>5325</v>
      </c>
      <c r="G3510" s="13" t="s">
        <v>5289</v>
      </c>
      <c r="H3510" s="13" t="s">
        <v>5292</v>
      </c>
      <c r="I3510" s="13" t="s">
        <v>5289</v>
      </c>
      <c r="J3510" s="13" t="s">
        <v>5289</v>
      </c>
      <c r="K3510" s="13" t="s">
        <v>5289</v>
      </c>
      <c r="L3510" s="13" t="n">
        <v>3616305488879</v>
      </c>
      <c r="M3510" s="13"/>
      <c r="N3510" s="13" t="n">
        <v>3616305488879</v>
      </c>
      <c r="O3510" s="13"/>
      <c r="P3510" s="13" t="s">
        <v>5291</v>
      </c>
      <c r="Q3510" s="13" t="s">
        <v>5289</v>
      </c>
      <c r="R3510" s="13" t="s">
        <v>5292</v>
      </c>
      <c r="S3510" s="13" t="s">
        <v>5293</v>
      </c>
      <c r="T3510" s="13" t="s">
        <v>5</v>
      </c>
      <c r="U3510" s="13" t="s">
        <v>43</v>
      </c>
      <c r="V3510" s="13" t="n">
        <f aca="false">IF(COUNTIF($B$2:B3510,B3510)=1,1,0)</f>
        <v>0</v>
      </c>
      <c r="W3510" s="13" t="n">
        <f aca="false">IF(COUNTIFS($B$2:B3510,B3510,$T$2:T3510,T3510)=1,1,0)</f>
        <v>0</v>
      </c>
    </row>
    <row r="3511" customFormat="false" ht="15" hidden="false" customHeight="false" outlineLevel="0" collapsed="false">
      <c r="A3511" s="13" t="s">
        <v>339</v>
      </c>
      <c r="B3511" s="13" t="s">
        <v>79</v>
      </c>
      <c r="C3511" s="13" t="n">
        <v>370</v>
      </c>
      <c r="D3511" s="13" t="n">
        <v>1</v>
      </c>
      <c r="E3511" s="13" t="n">
        <v>374</v>
      </c>
      <c r="F3511" s="13" t="s">
        <v>5288</v>
      </c>
      <c r="G3511" s="13" t="s">
        <v>5289</v>
      </c>
      <c r="H3511" s="13" t="s">
        <v>5292</v>
      </c>
      <c r="I3511" s="13" t="s">
        <v>5289</v>
      </c>
      <c r="J3511" s="13" t="s">
        <v>5289</v>
      </c>
      <c r="K3511" s="13" t="s">
        <v>5289</v>
      </c>
      <c r="L3511" s="13" t="n">
        <v>8056669925767</v>
      </c>
      <c r="M3511" s="13"/>
      <c r="N3511" s="13" t="n">
        <v>8056669925767</v>
      </c>
      <c r="O3511" s="13"/>
      <c r="P3511" s="13" t="s">
        <v>5291</v>
      </c>
      <c r="Q3511" s="13" t="s">
        <v>5289</v>
      </c>
      <c r="R3511" s="13" t="s">
        <v>5292</v>
      </c>
      <c r="S3511" s="13" t="s">
        <v>5293</v>
      </c>
      <c r="T3511" s="13" t="s">
        <v>5</v>
      </c>
      <c r="U3511" s="13" t="s">
        <v>43</v>
      </c>
      <c r="V3511" s="13" t="n">
        <f aca="false">IF(COUNTIF($B$2:B3511,B3511)=1,1,0)</f>
        <v>0</v>
      </c>
      <c r="W3511" s="13" t="n">
        <f aca="false">IF(COUNTIFS($B$2:B3511,B3511,$T$2:T3511,T3511)=1,1,0)</f>
        <v>0</v>
      </c>
    </row>
    <row r="3512" customFormat="false" ht="15" hidden="false" customHeight="false" outlineLevel="0" collapsed="false">
      <c r="A3512" s="13" t="s">
        <v>3823</v>
      </c>
      <c r="B3512" s="13" t="s">
        <v>2139</v>
      </c>
      <c r="C3512" s="13" t="n">
        <v>370</v>
      </c>
      <c r="D3512" s="13" t="n">
        <v>2</v>
      </c>
      <c r="E3512" s="13" t="n">
        <v>185.525</v>
      </c>
      <c r="F3512" s="13" t="s">
        <v>5325</v>
      </c>
      <c r="G3512" s="13" t="s">
        <v>5289</v>
      </c>
      <c r="H3512" s="13" t="s">
        <v>5289</v>
      </c>
      <c r="I3512" s="13" t="s">
        <v>5289</v>
      </c>
      <c r="J3512" s="13" t="s">
        <v>5289</v>
      </c>
      <c r="K3512" s="13" t="s">
        <v>5289</v>
      </c>
      <c r="L3512" s="13" t="n">
        <v>8411061114209</v>
      </c>
      <c r="M3512" s="13"/>
      <c r="N3512" s="13" t="n">
        <v>8411061114209</v>
      </c>
      <c r="O3512" s="13"/>
      <c r="P3512" s="13" t="s">
        <v>5291</v>
      </c>
      <c r="Q3512" s="13" t="s">
        <v>5289</v>
      </c>
      <c r="R3512" s="13" t="s">
        <v>5292</v>
      </c>
      <c r="S3512" s="13" t="s">
        <v>5293</v>
      </c>
      <c r="T3512" s="13" t="s">
        <v>5</v>
      </c>
      <c r="U3512" s="13" t="s">
        <v>85</v>
      </c>
      <c r="V3512" s="13" t="n">
        <f aca="false">IF(COUNTIF($B$2:B3512,B3512)=1,1,0)</f>
        <v>0</v>
      </c>
      <c r="W3512" s="13" t="n">
        <f aca="false">IF(COUNTIFS($B$2:B3512,B3512,$T$2:T3512,T3512)=1,1,0)</f>
        <v>0</v>
      </c>
    </row>
    <row r="3513" customFormat="false" ht="15" hidden="false" customHeight="false" outlineLevel="0" collapsed="false">
      <c r="A3513" s="13" t="s">
        <v>4305</v>
      </c>
      <c r="B3513" s="13" t="s">
        <v>2139</v>
      </c>
      <c r="C3513" s="13" t="n">
        <v>370</v>
      </c>
      <c r="D3513" s="13" t="n">
        <v>2</v>
      </c>
      <c r="E3513" s="13" t="n">
        <v>184.625</v>
      </c>
      <c r="F3513" s="13" t="s">
        <v>5325</v>
      </c>
      <c r="G3513" s="13" t="s">
        <v>5289</v>
      </c>
      <c r="H3513" s="13" t="s">
        <v>5289</v>
      </c>
      <c r="I3513" s="13" t="s">
        <v>5289</v>
      </c>
      <c r="J3513" s="13" t="s">
        <v>5289</v>
      </c>
      <c r="K3513" s="13" t="s">
        <v>5289</v>
      </c>
      <c r="L3513" s="13" t="n">
        <v>8411061112151</v>
      </c>
      <c r="M3513" s="13"/>
      <c r="N3513" s="13" t="n">
        <v>8411061112151</v>
      </c>
      <c r="O3513" s="13"/>
      <c r="P3513" s="13" t="s">
        <v>5291</v>
      </c>
      <c r="Q3513" s="13" t="s">
        <v>5289</v>
      </c>
      <c r="R3513" s="13" t="s">
        <v>5292</v>
      </c>
      <c r="S3513" s="13" t="s">
        <v>5293</v>
      </c>
      <c r="T3513" s="13" t="s">
        <v>5</v>
      </c>
      <c r="U3513" s="13" t="s">
        <v>43</v>
      </c>
      <c r="V3513" s="13" t="n">
        <f aca="false">IF(COUNTIF($B$2:B3513,B3513)=1,1,0)</f>
        <v>0</v>
      </c>
      <c r="W3513" s="13" t="n">
        <f aca="false">IF(COUNTIFS($B$2:B3513,B3513,$T$2:T3513,T3513)=1,1,0)</f>
        <v>0</v>
      </c>
    </row>
    <row r="3514" customFormat="false" ht="15" hidden="false" customHeight="false" outlineLevel="0" collapsed="false">
      <c r="A3514" s="13" t="s">
        <v>1811</v>
      </c>
      <c r="B3514" s="13" t="s">
        <v>54</v>
      </c>
      <c r="C3514" s="13" t="n">
        <v>370</v>
      </c>
      <c r="D3514" s="13" t="n">
        <v>1</v>
      </c>
      <c r="E3514" s="13" t="n">
        <v>368.85</v>
      </c>
      <c r="F3514" s="13" t="s">
        <v>5288</v>
      </c>
      <c r="G3514" s="13" t="s">
        <v>5289</v>
      </c>
      <c r="H3514" s="13" t="s">
        <v>5289</v>
      </c>
      <c r="I3514" s="13" t="s">
        <v>5289</v>
      </c>
      <c r="J3514" s="13" t="s">
        <v>5289</v>
      </c>
      <c r="K3514" s="13" t="s">
        <v>5292</v>
      </c>
      <c r="L3514" s="13" t="n">
        <v>729238212824</v>
      </c>
      <c r="M3514" s="13"/>
      <c r="N3514" s="13" t="n">
        <v>729238212824</v>
      </c>
      <c r="O3514" s="13"/>
      <c r="P3514" s="13" t="s">
        <v>5291</v>
      </c>
      <c r="Q3514" s="13" t="s">
        <v>5289</v>
      </c>
      <c r="R3514" s="13" t="s">
        <v>5292</v>
      </c>
      <c r="S3514" s="13" t="s">
        <v>5293</v>
      </c>
      <c r="T3514" s="13" t="s">
        <v>5</v>
      </c>
      <c r="U3514" s="13" t="s">
        <v>43</v>
      </c>
      <c r="V3514" s="13" t="n">
        <f aca="false">IF(COUNTIF($B$2:B3514,B3514)=1,1,0)</f>
        <v>0</v>
      </c>
      <c r="W3514" s="13" t="n">
        <f aca="false">IF(COUNTIFS($B$2:B3514,B3514,$T$2:T3514,T3514)=1,1,0)</f>
        <v>0</v>
      </c>
    </row>
    <row r="3515" customFormat="false" ht="15" hidden="false" customHeight="false" outlineLevel="0" collapsed="false">
      <c r="A3515" s="13" t="s">
        <v>1810</v>
      </c>
      <c r="B3515" s="13" t="s">
        <v>42</v>
      </c>
      <c r="C3515" s="13" t="n">
        <v>370</v>
      </c>
      <c r="D3515" s="13" t="n">
        <v>1</v>
      </c>
      <c r="E3515" s="13" t="n">
        <v>368.85</v>
      </c>
      <c r="F3515" s="13" t="s">
        <v>5288</v>
      </c>
      <c r="G3515" s="13" t="s">
        <v>5289</v>
      </c>
      <c r="H3515" s="13" t="s">
        <v>5289</v>
      </c>
      <c r="I3515" s="13" t="s">
        <v>5289</v>
      </c>
      <c r="J3515" s="13" t="s">
        <v>5289</v>
      </c>
      <c r="K3515" s="13" t="s">
        <v>5292</v>
      </c>
      <c r="L3515" s="13" t="n">
        <v>8411061043530</v>
      </c>
      <c r="M3515" s="13"/>
      <c r="N3515" s="13" t="n">
        <v>8411061043530</v>
      </c>
      <c r="O3515" s="13"/>
      <c r="P3515" s="13" t="s">
        <v>5291</v>
      </c>
      <c r="Q3515" s="13" t="s">
        <v>5289</v>
      </c>
      <c r="R3515" s="13" t="s">
        <v>5292</v>
      </c>
      <c r="S3515" s="13" t="s">
        <v>5293</v>
      </c>
      <c r="T3515" s="13" t="s">
        <v>5</v>
      </c>
      <c r="U3515" s="13" t="s">
        <v>43</v>
      </c>
      <c r="V3515" s="13" t="n">
        <f aca="false">IF(COUNTIF($B$2:B3515,B3515)=1,1,0)</f>
        <v>0</v>
      </c>
      <c r="W3515" s="13" t="n">
        <f aca="false">IF(COUNTIFS($B$2:B3515,B3515,$T$2:T3515,T3515)=1,1,0)</f>
        <v>0</v>
      </c>
    </row>
    <row r="3516" customFormat="false" ht="15" hidden="false" customHeight="false" outlineLevel="0" collapsed="false">
      <c r="A3516" s="13" t="s">
        <v>1816</v>
      </c>
      <c r="B3516" s="13" t="s">
        <v>121</v>
      </c>
      <c r="C3516" s="13" t="n">
        <v>370</v>
      </c>
      <c r="D3516" s="13" t="n">
        <v>5</v>
      </c>
      <c r="E3516" s="13" t="n">
        <v>61.4366666666667</v>
      </c>
      <c r="F3516" s="13" t="s">
        <v>5325</v>
      </c>
      <c r="G3516" s="13" t="s">
        <v>5289</v>
      </c>
      <c r="H3516" s="13" t="s">
        <v>5289</v>
      </c>
      <c r="I3516" s="13" t="s">
        <v>5292</v>
      </c>
      <c r="J3516" s="13" t="s">
        <v>5289</v>
      </c>
      <c r="K3516" s="13" t="s">
        <v>5289</v>
      </c>
      <c r="L3516" s="13"/>
      <c r="M3516" s="13"/>
      <c r="N3516" s="13" t="n">
        <v>7896086931986</v>
      </c>
      <c r="O3516" s="13"/>
      <c r="P3516" s="13" t="s">
        <v>5291</v>
      </c>
      <c r="Q3516" s="13" t="s">
        <v>5289</v>
      </c>
      <c r="R3516" s="13" t="s">
        <v>5292</v>
      </c>
      <c r="S3516" s="13" t="s">
        <v>5293</v>
      </c>
      <c r="T3516" s="13" t="s">
        <v>5</v>
      </c>
      <c r="U3516" s="13" t="s">
        <v>183</v>
      </c>
      <c r="V3516" s="13" t="n">
        <f aca="false">IF(COUNTIF($B$2:B3516,B3516)=1,1,0)</f>
        <v>0</v>
      </c>
      <c r="W3516" s="13" t="n">
        <f aca="false">IF(COUNTIFS($B$2:B3516,B3516,$T$2:T3516,T3516)=1,1,0)</f>
        <v>0</v>
      </c>
    </row>
    <row r="3517" customFormat="false" ht="15" hidden="false" customHeight="false" outlineLevel="0" collapsed="false">
      <c r="A3517" s="13" t="s">
        <v>368</v>
      </c>
      <c r="B3517" s="13" t="s">
        <v>45</v>
      </c>
      <c r="C3517" s="13" t="n">
        <v>370</v>
      </c>
      <c r="D3517" s="13" t="n">
        <v>1</v>
      </c>
      <c r="E3517" s="13" t="n">
        <v>368.6</v>
      </c>
      <c r="F3517" s="13" t="s">
        <v>5325</v>
      </c>
      <c r="G3517" s="13" t="s">
        <v>5292</v>
      </c>
      <c r="H3517" s="13" t="s">
        <v>5292</v>
      </c>
      <c r="I3517" s="13" t="s">
        <v>5289</v>
      </c>
      <c r="J3517" s="13" t="s">
        <v>5289</v>
      </c>
      <c r="K3517" s="13" t="s">
        <v>5289</v>
      </c>
      <c r="L3517" s="13" t="n">
        <v>8435415076814</v>
      </c>
      <c r="M3517" s="13"/>
      <c r="N3517" s="13" t="n">
        <v>8435415076814</v>
      </c>
      <c r="O3517" s="13"/>
      <c r="P3517" s="13" t="s">
        <v>5291</v>
      </c>
      <c r="Q3517" s="13" t="s">
        <v>5289</v>
      </c>
      <c r="R3517" s="13" t="s">
        <v>5292</v>
      </c>
      <c r="S3517" s="13" t="s">
        <v>5293</v>
      </c>
      <c r="T3517" s="13" t="s">
        <v>5</v>
      </c>
      <c r="U3517" s="13" t="s">
        <v>43</v>
      </c>
      <c r="V3517" s="13" t="n">
        <f aca="false">IF(COUNTIF($B$2:B3517,B3517)=1,1,0)</f>
        <v>0</v>
      </c>
      <c r="W3517" s="13" t="n">
        <f aca="false">IF(COUNTIFS($B$2:B3517,B3517,$T$2:T3517,T3517)=1,1,0)</f>
        <v>0</v>
      </c>
    </row>
    <row r="3518" customFormat="false" ht="15" hidden="false" customHeight="false" outlineLevel="0" collapsed="false">
      <c r="A3518" s="13" t="s">
        <v>1812</v>
      </c>
      <c r="B3518" s="13" t="s">
        <v>103</v>
      </c>
      <c r="C3518" s="13" t="n">
        <v>370</v>
      </c>
      <c r="D3518" s="13" t="n">
        <v>2</v>
      </c>
      <c r="E3518" s="13" t="n">
        <v>184</v>
      </c>
      <c r="F3518" s="13" t="s">
        <v>5325</v>
      </c>
      <c r="G3518" s="13" t="s">
        <v>5289</v>
      </c>
      <c r="H3518" s="13" t="s">
        <v>5292</v>
      </c>
      <c r="I3518" s="13" t="s">
        <v>5289</v>
      </c>
      <c r="J3518" s="13" t="s">
        <v>5289</v>
      </c>
      <c r="K3518" s="13" t="s">
        <v>5289</v>
      </c>
      <c r="L3518" s="13" t="n">
        <v>8411061737835</v>
      </c>
      <c r="M3518" s="13"/>
      <c r="N3518" s="13" t="n">
        <v>8.41106108156384E+025</v>
      </c>
      <c r="O3518" s="13"/>
      <c r="P3518" s="13" t="s">
        <v>5291</v>
      </c>
      <c r="Q3518" s="13" t="s">
        <v>5289</v>
      </c>
      <c r="R3518" s="13" t="s">
        <v>5292</v>
      </c>
      <c r="S3518" s="13" t="s">
        <v>5293</v>
      </c>
      <c r="T3518" s="13" t="s">
        <v>5</v>
      </c>
      <c r="U3518" s="13" t="s">
        <v>43</v>
      </c>
      <c r="V3518" s="13" t="n">
        <f aca="false">IF(COUNTIF($B$2:B3518,B3518)=1,1,0)</f>
        <v>0</v>
      </c>
      <c r="W3518" s="13" t="n">
        <f aca="false">IF(COUNTIFS($B$2:B3518,B3518,$T$2:T3518,T3518)=1,1,0)</f>
        <v>0</v>
      </c>
    </row>
    <row r="3519" customFormat="false" ht="15" hidden="false" customHeight="false" outlineLevel="0" collapsed="false">
      <c r="A3519" s="13" t="s">
        <v>1814</v>
      </c>
      <c r="B3519" s="13" t="s">
        <v>153</v>
      </c>
      <c r="C3519" s="13" t="n">
        <v>370</v>
      </c>
      <c r="D3519" s="13" t="n">
        <v>1</v>
      </c>
      <c r="E3519" s="13" t="n">
        <v>367.21</v>
      </c>
      <c r="F3519" s="13" t="s">
        <v>5325</v>
      </c>
      <c r="G3519" s="13" t="s">
        <v>5289</v>
      </c>
      <c r="H3519" s="13" t="s">
        <v>5292</v>
      </c>
      <c r="I3519" s="13" t="s">
        <v>5289</v>
      </c>
      <c r="J3519" s="13" t="s">
        <v>5289</v>
      </c>
      <c r="K3519" s="13" t="s">
        <v>5289</v>
      </c>
      <c r="L3519" s="13"/>
      <c r="M3519" s="13"/>
      <c r="N3519" s="13" t="n">
        <v>8011003877904</v>
      </c>
      <c r="O3519" s="13"/>
      <c r="P3519" s="13" t="s">
        <v>5291</v>
      </c>
      <c r="Q3519" s="13" t="s">
        <v>5289</v>
      </c>
      <c r="R3519" s="13" t="s">
        <v>5292</v>
      </c>
      <c r="S3519" s="13" t="s">
        <v>5293</v>
      </c>
      <c r="T3519" s="13" t="s">
        <v>5</v>
      </c>
      <c r="U3519" s="13" t="s">
        <v>43</v>
      </c>
      <c r="V3519" s="13" t="n">
        <f aca="false">IF(COUNTIF($B$2:B3519,B3519)=1,1,0)</f>
        <v>0</v>
      </c>
      <c r="W3519" s="13" t="n">
        <f aca="false">IF(COUNTIFS($B$2:B3519,B3519,$T$2:T3519,T3519)=1,1,0)</f>
        <v>0</v>
      </c>
    </row>
    <row r="3520" customFormat="false" ht="15" hidden="false" customHeight="false" outlineLevel="0" collapsed="false">
      <c r="A3520" s="13" t="s">
        <v>1813</v>
      </c>
      <c r="B3520" s="13" t="s">
        <v>59</v>
      </c>
      <c r="C3520" s="13" t="n">
        <v>370</v>
      </c>
      <c r="D3520" s="13" t="n">
        <v>2</v>
      </c>
      <c r="E3520" s="13" t="n">
        <v>183.5</v>
      </c>
      <c r="F3520" s="13" t="s">
        <v>5325</v>
      </c>
      <c r="G3520" s="13" t="s">
        <v>5289</v>
      </c>
      <c r="H3520" s="13" t="s">
        <v>5289</v>
      </c>
      <c r="I3520" s="13" t="s">
        <v>5289</v>
      </c>
      <c r="J3520" s="13" t="s">
        <v>5289</v>
      </c>
      <c r="K3520" s="13" t="s">
        <v>5289</v>
      </c>
      <c r="L3520" s="13" t="n">
        <v>3616305488879</v>
      </c>
      <c r="M3520" s="13"/>
      <c r="N3520" s="13" t="n">
        <v>3616305488879</v>
      </c>
      <c r="O3520" s="13"/>
      <c r="P3520" s="13" t="s">
        <v>5291</v>
      </c>
      <c r="Q3520" s="13" t="s">
        <v>5289</v>
      </c>
      <c r="R3520" s="13" t="s">
        <v>5292</v>
      </c>
      <c r="S3520" s="13" t="s">
        <v>5293</v>
      </c>
      <c r="T3520" s="13" t="s">
        <v>5</v>
      </c>
      <c r="U3520" s="13" t="s">
        <v>43</v>
      </c>
      <c r="V3520" s="13" t="n">
        <f aca="false">IF(COUNTIF($B$2:B3520,B3520)=1,1,0)</f>
        <v>0</v>
      </c>
      <c r="W3520" s="13" t="n">
        <f aca="false">IF(COUNTIFS($B$2:B3520,B3520,$T$2:T3520,T3520)=1,1,0)</f>
        <v>0</v>
      </c>
    </row>
    <row r="3521" customFormat="false" ht="15" hidden="false" customHeight="false" outlineLevel="0" collapsed="false">
      <c r="A3521" s="13" t="s">
        <v>1808</v>
      </c>
      <c r="B3521" s="13" t="s">
        <v>54</v>
      </c>
      <c r="C3521" s="13" t="n">
        <v>370</v>
      </c>
      <c r="D3521" s="13" t="n">
        <v>1</v>
      </c>
      <c r="E3521" s="13" t="n">
        <v>366.85</v>
      </c>
      <c r="F3521" s="13" t="s">
        <v>5325</v>
      </c>
      <c r="G3521" s="13" t="s">
        <v>5289</v>
      </c>
      <c r="H3521" s="13" t="s">
        <v>5292</v>
      </c>
      <c r="I3521" s="13" t="s">
        <v>5289</v>
      </c>
      <c r="J3521" s="13" t="s">
        <v>5289</v>
      </c>
      <c r="K3521" s="13" t="s">
        <v>5292</v>
      </c>
      <c r="L3521" s="13" t="n">
        <v>730852145290</v>
      </c>
      <c r="M3521" s="13"/>
      <c r="N3521" s="13" t="n">
        <v>730852145290</v>
      </c>
      <c r="O3521" s="13"/>
      <c r="P3521" s="13" t="s">
        <v>5291</v>
      </c>
      <c r="Q3521" s="13" t="s">
        <v>5289</v>
      </c>
      <c r="R3521" s="13" t="s">
        <v>5292</v>
      </c>
      <c r="S3521" s="13" t="s">
        <v>5293</v>
      </c>
      <c r="T3521" s="13" t="s">
        <v>5</v>
      </c>
      <c r="U3521" s="13" t="s">
        <v>43</v>
      </c>
      <c r="V3521" s="13" t="n">
        <f aca="false">IF(COUNTIF($B$2:B3521,B3521)=1,1,0)</f>
        <v>0</v>
      </c>
      <c r="W3521" s="13" t="n">
        <f aca="false">IF(COUNTIFS($B$2:B3521,B3521,$T$2:T3521,T3521)=1,1,0)</f>
        <v>0</v>
      </c>
    </row>
    <row r="3522" customFormat="false" ht="15" hidden="false" customHeight="false" outlineLevel="0" collapsed="false">
      <c r="A3522" s="13" t="s">
        <v>1809</v>
      </c>
      <c r="B3522" s="13" t="s">
        <v>54</v>
      </c>
      <c r="C3522" s="13" t="n">
        <v>370</v>
      </c>
      <c r="D3522" s="13" t="n">
        <v>1</v>
      </c>
      <c r="E3522" s="13" t="n">
        <v>366.85</v>
      </c>
      <c r="F3522" s="13" t="s">
        <v>5288</v>
      </c>
      <c r="G3522" s="13" t="s">
        <v>5292</v>
      </c>
      <c r="H3522" s="13" t="s">
        <v>5289</v>
      </c>
      <c r="I3522" s="13" t="s">
        <v>5289</v>
      </c>
      <c r="J3522" s="13" t="s">
        <v>5289</v>
      </c>
      <c r="K3522" s="13" t="s">
        <v>5292</v>
      </c>
      <c r="L3522" s="13" t="n">
        <v>730852145283</v>
      </c>
      <c r="M3522" s="13"/>
      <c r="N3522" s="13" t="n">
        <v>730852145283</v>
      </c>
      <c r="O3522" s="13"/>
      <c r="P3522" s="13" t="s">
        <v>5297</v>
      </c>
      <c r="Q3522" s="13" t="s">
        <v>5289</v>
      </c>
      <c r="R3522" s="13" t="s">
        <v>5292</v>
      </c>
      <c r="S3522" s="13" t="s">
        <v>5293</v>
      </c>
      <c r="T3522" s="13" t="s">
        <v>5</v>
      </c>
      <c r="U3522" s="13" t="s">
        <v>43</v>
      </c>
      <c r="V3522" s="13" t="n">
        <f aca="false">IF(COUNTIF($B$2:B3522,B3522)=1,1,0)</f>
        <v>0</v>
      </c>
      <c r="W3522" s="13" t="n">
        <f aca="false">IF(COUNTIFS($B$2:B3522,B3522,$T$2:T3522,T3522)=1,1,0)</f>
        <v>0</v>
      </c>
    </row>
    <row r="3523" customFormat="false" ht="15" hidden="false" customHeight="false" outlineLevel="0" collapsed="false">
      <c r="A3523" s="13" t="s">
        <v>1817</v>
      </c>
      <c r="B3523" s="13" t="s">
        <v>54</v>
      </c>
      <c r="C3523" s="13" t="n">
        <v>370</v>
      </c>
      <c r="D3523" s="13" t="n">
        <v>1</v>
      </c>
      <c r="E3523" s="13" t="n">
        <v>366.85</v>
      </c>
      <c r="F3523" s="13" t="s">
        <v>5325</v>
      </c>
      <c r="G3523" s="13" t="s">
        <v>5289</v>
      </c>
      <c r="H3523" s="13" t="s">
        <v>5289</v>
      </c>
      <c r="I3523" s="13" t="s">
        <v>5289</v>
      </c>
      <c r="J3523" s="13" t="s">
        <v>5289</v>
      </c>
      <c r="K3523" s="13" t="s">
        <v>5292</v>
      </c>
      <c r="L3523" s="13" t="n">
        <v>730852145290</v>
      </c>
      <c r="M3523" s="13"/>
      <c r="N3523" s="13" t="n">
        <v>730852145290</v>
      </c>
      <c r="O3523" s="13"/>
      <c r="P3523" s="13" t="s">
        <v>5291</v>
      </c>
      <c r="Q3523" s="13" t="s">
        <v>5289</v>
      </c>
      <c r="R3523" s="13" t="s">
        <v>5292</v>
      </c>
      <c r="S3523" s="13" t="s">
        <v>5293</v>
      </c>
      <c r="T3523" s="13" t="s">
        <v>5</v>
      </c>
      <c r="U3523" s="13" t="s">
        <v>43</v>
      </c>
      <c r="V3523" s="13" t="n">
        <f aca="false">IF(COUNTIF($B$2:B3523,B3523)=1,1,0)</f>
        <v>0</v>
      </c>
      <c r="W3523" s="13" t="n">
        <f aca="false">IF(COUNTIFS($B$2:B3523,B3523,$T$2:T3523,T3523)=1,1,0)</f>
        <v>0</v>
      </c>
    </row>
    <row r="3524" customFormat="false" ht="15" hidden="false" customHeight="false" outlineLevel="0" collapsed="false">
      <c r="A3524" s="13" t="s">
        <v>1218</v>
      </c>
      <c r="B3524" s="13" t="s">
        <v>54</v>
      </c>
      <c r="C3524" s="13" t="n">
        <v>370</v>
      </c>
      <c r="D3524" s="13" t="n">
        <v>1</v>
      </c>
      <c r="E3524" s="13" t="n">
        <v>366.85</v>
      </c>
      <c r="F3524" s="13" t="s">
        <v>5325</v>
      </c>
      <c r="G3524" s="13" t="s">
        <v>5289</v>
      </c>
      <c r="H3524" s="13" t="s">
        <v>5289</v>
      </c>
      <c r="I3524" s="13" t="s">
        <v>5289</v>
      </c>
      <c r="J3524" s="13" t="s">
        <v>5289</v>
      </c>
      <c r="K3524" s="13" t="s">
        <v>5292</v>
      </c>
      <c r="L3524" s="13" t="n">
        <v>730852167629</v>
      </c>
      <c r="M3524" s="13"/>
      <c r="N3524" s="13" t="n">
        <v>730852167629</v>
      </c>
      <c r="O3524" s="13"/>
      <c r="P3524" s="13" t="s">
        <v>5291</v>
      </c>
      <c r="Q3524" s="13" t="s">
        <v>5289</v>
      </c>
      <c r="R3524" s="13" t="s">
        <v>5292</v>
      </c>
      <c r="S3524" s="13" t="s">
        <v>5293</v>
      </c>
      <c r="T3524" s="13" t="s">
        <v>5</v>
      </c>
      <c r="U3524" s="13" t="s">
        <v>43</v>
      </c>
      <c r="V3524" s="13" t="n">
        <f aca="false">IF(COUNTIF($B$2:B3524,B3524)=1,1,0)</f>
        <v>0</v>
      </c>
      <c r="W3524" s="13" t="n">
        <f aca="false">IF(COUNTIFS($B$2:B3524,B3524,$T$2:T3524,T3524)=1,1,0)</f>
        <v>0</v>
      </c>
    </row>
    <row r="3525" customFormat="false" ht="15" hidden="false" customHeight="false" outlineLevel="0" collapsed="false">
      <c r="A3525" s="13" t="s">
        <v>3653</v>
      </c>
      <c r="B3525" s="13" t="s">
        <v>2131</v>
      </c>
      <c r="C3525" s="13" t="n">
        <v>370</v>
      </c>
      <c r="D3525" s="13" t="n">
        <v>1</v>
      </c>
      <c r="E3525" s="13" t="n">
        <v>366</v>
      </c>
      <c r="F3525" s="13" t="s">
        <v>5325</v>
      </c>
      <c r="G3525" s="13" t="s">
        <v>5292</v>
      </c>
      <c r="H3525" s="13" t="s">
        <v>5292</v>
      </c>
      <c r="I3525" s="13" t="s">
        <v>5289</v>
      </c>
      <c r="J3525" s="13" t="s">
        <v>5289</v>
      </c>
      <c r="K3525" s="13" t="s">
        <v>5289</v>
      </c>
      <c r="L3525" s="13"/>
      <c r="M3525" s="13"/>
      <c r="N3525" s="13" t="n">
        <v>3423478805958</v>
      </c>
      <c r="O3525" s="13"/>
      <c r="P3525" s="13" t="s">
        <v>5297</v>
      </c>
      <c r="Q3525" s="13" t="s">
        <v>5289</v>
      </c>
      <c r="R3525" s="13" t="s">
        <v>5292</v>
      </c>
      <c r="S3525" s="13" t="s">
        <v>5293</v>
      </c>
      <c r="T3525" s="13" t="s">
        <v>5</v>
      </c>
      <c r="U3525" s="13" t="s">
        <v>43</v>
      </c>
      <c r="V3525" s="13" t="n">
        <f aca="false">IF(COUNTIF($B$2:B3525,B3525)=1,1,0)</f>
        <v>0</v>
      </c>
      <c r="W3525" s="13" t="n">
        <f aca="false">IF(COUNTIFS($B$2:B3525,B3525,$T$2:T3525,T3525)=1,1,0)</f>
        <v>0</v>
      </c>
    </row>
    <row r="3526" customFormat="false" ht="15" hidden="false" customHeight="false" outlineLevel="0" collapsed="false">
      <c r="A3526" s="13" t="s">
        <v>1832</v>
      </c>
      <c r="B3526" s="13" t="s">
        <v>61</v>
      </c>
      <c r="C3526" s="13" t="n">
        <v>360</v>
      </c>
      <c r="D3526" s="13" t="n">
        <v>1</v>
      </c>
      <c r="E3526" s="13" t="n">
        <v>362.55</v>
      </c>
      <c r="F3526" s="13" t="s">
        <v>5288</v>
      </c>
      <c r="G3526" s="13" t="s">
        <v>5292</v>
      </c>
      <c r="H3526" s="13" t="s">
        <v>5292</v>
      </c>
      <c r="I3526" s="13" t="s">
        <v>5289</v>
      </c>
      <c r="J3526" s="13" t="s">
        <v>5289</v>
      </c>
      <c r="K3526" s="13" t="s">
        <v>5289</v>
      </c>
      <c r="L3526" s="13" t="n">
        <v>3147758030334</v>
      </c>
      <c r="M3526" s="13"/>
      <c r="N3526" s="13" t="n">
        <v>3147758030334</v>
      </c>
      <c r="O3526" s="13"/>
      <c r="P3526" s="13" t="s">
        <v>5291</v>
      </c>
      <c r="Q3526" s="13" t="s">
        <v>5289</v>
      </c>
      <c r="R3526" s="13" t="s">
        <v>5292</v>
      </c>
      <c r="S3526" s="13" t="s">
        <v>5293</v>
      </c>
      <c r="T3526" s="13" t="s">
        <v>5</v>
      </c>
      <c r="U3526" s="13" t="s">
        <v>183</v>
      </c>
      <c r="V3526" s="13" t="n">
        <f aca="false">IF(COUNTIF($B$2:B3526,B3526)=1,1,0)</f>
        <v>0</v>
      </c>
      <c r="W3526" s="13" t="n">
        <f aca="false">IF(COUNTIFS($B$2:B3526,B3526,$T$2:T3526,T3526)=1,1,0)</f>
        <v>0</v>
      </c>
    </row>
    <row r="3527" customFormat="false" ht="15" hidden="false" customHeight="false" outlineLevel="0" collapsed="false">
      <c r="A3527" s="13" t="s">
        <v>4730</v>
      </c>
      <c r="B3527" s="13" t="s">
        <v>2103</v>
      </c>
      <c r="C3527" s="13" t="n">
        <v>360</v>
      </c>
      <c r="D3527" s="13" t="n">
        <v>2</v>
      </c>
      <c r="E3527" s="13" t="n">
        <v>120.85</v>
      </c>
      <c r="F3527" s="13" t="s">
        <v>5325</v>
      </c>
      <c r="G3527" s="13" t="s">
        <v>5289</v>
      </c>
      <c r="H3527" s="13" t="s">
        <v>5289</v>
      </c>
      <c r="I3527" s="13" t="s">
        <v>5289</v>
      </c>
      <c r="J3527" s="13" t="s">
        <v>5289</v>
      </c>
      <c r="K3527" s="13" t="s">
        <v>5292</v>
      </c>
      <c r="L3527" s="13" t="n">
        <v>309974700078</v>
      </c>
      <c r="M3527" s="13"/>
      <c r="N3527" s="13" t="n">
        <v>309974700078</v>
      </c>
      <c r="O3527" s="13"/>
      <c r="P3527" s="13" t="s">
        <v>5291</v>
      </c>
      <c r="Q3527" s="13" t="s">
        <v>5289</v>
      </c>
      <c r="R3527" s="13" t="s">
        <v>5292</v>
      </c>
      <c r="S3527" s="13" t="s">
        <v>5293</v>
      </c>
      <c r="T3527" s="13" t="s">
        <v>5</v>
      </c>
      <c r="U3527" s="13" t="s">
        <v>85</v>
      </c>
      <c r="V3527" s="13" t="n">
        <f aca="false">IF(COUNTIF($B$2:B3527,B3527)=1,1,0)</f>
        <v>0</v>
      </c>
      <c r="W3527" s="13" t="n">
        <f aca="false">IF(COUNTIFS($B$2:B3527,B3527,$T$2:T3527,T3527)=1,1,0)</f>
        <v>0</v>
      </c>
    </row>
    <row r="3528" customFormat="false" ht="15" hidden="false" customHeight="false" outlineLevel="0" collapsed="false">
      <c r="A3528" s="13" t="s">
        <v>860</v>
      </c>
      <c r="B3528" s="13" t="s">
        <v>61</v>
      </c>
      <c r="C3528" s="13" t="n">
        <v>360</v>
      </c>
      <c r="D3528" s="13" t="n">
        <v>1</v>
      </c>
      <c r="E3528" s="13" t="n">
        <v>362.24</v>
      </c>
      <c r="F3528" s="13" t="s">
        <v>5325</v>
      </c>
      <c r="G3528" s="13" t="s">
        <v>5289</v>
      </c>
      <c r="H3528" s="13" t="s">
        <v>5292</v>
      </c>
      <c r="I3528" s="13" t="s">
        <v>5289</v>
      </c>
      <c r="J3528" s="13" t="s">
        <v>5289</v>
      </c>
      <c r="K3528" s="13" t="s">
        <v>5289</v>
      </c>
      <c r="L3528" s="13"/>
      <c r="M3528" s="13"/>
      <c r="N3528" s="13" t="n">
        <v>3614274299205</v>
      </c>
      <c r="O3528" s="13"/>
      <c r="P3528" s="13" t="s">
        <v>5291</v>
      </c>
      <c r="Q3528" s="13" t="s">
        <v>5289</v>
      </c>
      <c r="R3528" s="13" t="s">
        <v>5292</v>
      </c>
      <c r="S3528" s="13" t="s">
        <v>5293</v>
      </c>
      <c r="T3528" s="13" t="s">
        <v>5</v>
      </c>
      <c r="U3528" s="13" t="s">
        <v>43</v>
      </c>
      <c r="V3528" s="13" t="n">
        <f aca="false">IF(COUNTIF($B$2:B3528,B3528)=1,1,0)</f>
        <v>0</v>
      </c>
      <c r="W3528" s="13" t="n">
        <f aca="false">IF(COUNTIFS($B$2:B3528,B3528,$T$2:T3528,T3528)=1,1,0)</f>
        <v>0</v>
      </c>
    </row>
    <row r="3529" customFormat="false" ht="15" hidden="false" customHeight="false" outlineLevel="0" collapsed="false">
      <c r="A3529" s="13" t="s">
        <v>1831</v>
      </c>
      <c r="B3529" s="13" t="s">
        <v>195</v>
      </c>
      <c r="C3529" s="13" t="n">
        <v>360</v>
      </c>
      <c r="D3529" s="13" t="n">
        <v>1</v>
      </c>
      <c r="E3529" s="13" t="n">
        <v>362</v>
      </c>
      <c r="F3529" s="13" t="s">
        <v>5288</v>
      </c>
      <c r="G3529" s="13" t="s">
        <v>5289</v>
      </c>
      <c r="H3529" s="13" t="s">
        <v>5289</v>
      </c>
      <c r="I3529" s="13" t="s">
        <v>5289</v>
      </c>
      <c r="J3529" s="13" t="s">
        <v>5289</v>
      </c>
      <c r="K3529" s="13" t="s">
        <v>5289</v>
      </c>
      <c r="L3529" s="13"/>
      <c r="M3529" s="13"/>
      <c r="N3529" s="13" t="n">
        <v>3614226905154</v>
      </c>
      <c r="O3529" s="13"/>
      <c r="P3529" s="13" t="s">
        <v>5297</v>
      </c>
      <c r="Q3529" s="13" t="s">
        <v>5289</v>
      </c>
      <c r="R3529" s="13" t="s">
        <v>5292</v>
      </c>
      <c r="S3529" s="13" t="s">
        <v>5293</v>
      </c>
      <c r="T3529" s="13" t="s">
        <v>5</v>
      </c>
      <c r="U3529" s="13" t="s">
        <v>43</v>
      </c>
      <c r="V3529" s="13" t="n">
        <f aca="false">IF(COUNTIF($B$2:B3529,B3529)=1,1,0)</f>
        <v>0</v>
      </c>
      <c r="W3529" s="13" t="n">
        <f aca="false">IF(COUNTIFS($B$2:B3529,B3529,$T$2:T3529,T3529)=1,1,0)</f>
        <v>0</v>
      </c>
    </row>
    <row r="3530" customFormat="false" ht="15" hidden="false" customHeight="false" outlineLevel="0" collapsed="false">
      <c r="A3530" s="13" t="s">
        <v>1106</v>
      </c>
      <c r="B3530" s="13" t="s">
        <v>54</v>
      </c>
      <c r="C3530" s="13" t="n">
        <v>360</v>
      </c>
      <c r="D3530" s="13" t="n">
        <v>1</v>
      </c>
      <c r="E3530" s="13" t="n">
        <v>361.85</v>
      </c>
      <c r="F3530" s="13" t="s">
        <v>5325</v>
      </c>
      <c r="G3530" s="13" t="s">
        <v>5292</v>
      </c>
      <c r="H3530" s="13" t="s">
        <v>5292</v>
      </c>
      <c r="I3530" s="13" t="s">
        <v>5289</v>
      </c>
      <c r="J3530" s="13" t="s">
        <v>5289</v>
      </c>
      <c r="K3530" s="13" t="s">
        <v>5292</v>
      </c>
      <c r="L3530" s="13"/>
      <c r="M3530" s="13"/>
      <c r="N3530" s="13" t="n">
        <v>768614212348</v>
      </c>
      <c r="O3530" s="13"/>
      <c r="P3530" s="13" t="s">
        <v>5291</v>
      </c>
      <c r="Q3530" s="13" t="s">
        <v>5289</v>
      </c>
      <c r="R3530" s="13" t="s">
        <v>5292</v>
      </c>
      <c r="S3530" s="13" t="s">
        <v>5293</v>
      </c>
      <c r="T3530" s="13" t="s">
        <v>5</v>
      </c>
      <c r="U3530" s="13" t="s">
        <v>43</v>
      </c>
      <c r="V3530" s="13" t="n">
        <f aca="false">IF(COUNTIF($B$2:B3530,B3530)=1,1,0)</f>
        <v>0</v>
      </c>
      <c r="W3530" s="13" t="n">
        <f aca="false">IF(COUNTIFS($B$2:B3530,B3530,$T$2:T3530,T3530)=1,1,0)</f>
        <v>0</v>
      </c>
    </row>
    <row r="3531" customFormat="false" ht="15" hidden="false" customHeight="false" outlineLevel="0" collapsed="false">
      <c r="A3531" s="13" t="s">
        <v>1821</v>
      </c>
      <c r="B3531" s="13" t="s">
        <v>103</v>
      </c>
      <c r="C3531" s="13" t="n">
        <v>360</v>
      </c>
      <c r="D3531" s="13" t="n">
        <v>2</v>
      </c>
      <c r="E3531" s="13" t="n">
        <v>180.85</v>
      </c>
      <c r="F3531" s="13" t="s">
        <v>5288</v>
      </c>
      <c r="G3531" s="13" t="s">
        <v>5292</v>
      </c>
      <c r="H3531" s="13" t="s">
        <v>5289</v>
      </c>
      <c r="I3531" s="13" t="s">
        <v>5289</v>
      </c>
      <c r="J3531" s="13" t="s">
        <v>5289</v>
      </c>
      <c r="K3531" s="13" t="s">
        <v>5292</v>
      </c>
      <c r="L3531" s="13"/>
      <c r="M3531" s="13"/>
      <c r="N3531" s="13" t="n">
        <v>8.41106172793584E+025</v>
      </c>
      <c r="O3531" s="13"/>
      <c r="P3531" s="13" t="s">
        <v>5297</v>
      </c>
      <c r="Q3531" s="13" t="s">
        <v>5289</v>
      </c>
      <c r="R3531" s="13" t="s">
        <v>5292</v>
      </c>
      <c r="S3531" s="13" t="s">
        <v>5293</v>
      </c>
      <c r="T3531" s="13" t="s">
        <v>5</v>
      </c>
      <c r="U3531" s="13" t="s">
        <v>43</v>
      </c>
      <c r="V3531" s="13" t="n">
        <f aca="false">IF(COUNTIF($B$2:B3531,B3531)=1,1,0)</f>
        <v>0</v>
      </c>
      <c r="W3531" s="13" t="n">
        <f aca="false">IF(COUNTIFS($B$2:B3531,B3531,$T$2:T3531,T3531)=1,1,0)</f>
        <v>0</v>
      </c>
    </row>
    <row r="3532" customFormat="false" ht="15" hidden="false" customHeight="false" outlineLevel="0" collapsed="false">
      <c r="A3532" s="13" t="s">
        <v>756</v>
      </c>
      <c r="B3532" s="13" t="s">
        <v>50</v>
      </c>
      <c r="C3532" s="13" t="n">
        <v>360</v>
      </c>
      <c r="D3532" s="13" t="n">
        <v>1</v>
      </c>
      <c r="E3532" s="13" t="n">
        <v>360</v>
      </c>
      <c r="F3532" s="13" t="s">
        <v>5325</v>
      </c>
      <c r="G3532" s="13" t="s">
        <v>5289</v>
      </c>
      <c r="H3532" s="13" t="s">
        <v>5289</v>
      </c>
      <c r="I3532" s="13" t="s">
        <v>5289</v>
      </c>
      <c r="J3532" s="13" t="s">
        <v>5289</v>
      </c>
      <c r="K3532" s="13" t="s">
        <v>5289</v>
      </c>
      <c r="L3532" s="13" t="n">
        <v>3349668630127</v>
      </c>
      <c r="M3532" s="13"/>
      <c r="N3532" s="13" t="n">
        <v>3349668630127</v>
      </c>
      <c r="O3532" s="13"/>
      <c r="P3532" s="13" t="s">
        <v>5291</v>
      </c>
      <c r="Q3532" s="13" t="s">
        <v>5289</v>
      </c>
      <c r="R3532" s="13" t="s">
        <v>5292</v>
      </c>
      <c r="S3532" s="13" t="s">
        <v>5293</v>
      </c>
      <c r="T3532" s="13" t="s">
        <v>5</v>
      </c>
      <c r="U3532" s="13" t="s">
        <v>43</v>
      </c>
      <c r="V3532" s="13" t="n">
        <f aca="false">IF(COUNTIF($B$2:B3532,B3532)=1,1,0)</f>
        <v>0</v>
      </c>
      <c r="W3532" s="13" t="n">
        <f aca="false">IF(COUNTIFS($B$2:B3532,B3532,$T$2:T3532,T3532)=1,1,0)</f>
        <v>0</v>
      </c>
    </row>
    <row r="3533" customFormat="false" ht="15" hidden="false" customHeight="false" outlineLevel="0" collapsed="false">
      <c r="A3533" s="13" t="s">
        <v>1408</v>
      </c>
      <c r="B3533" s="13" t="s">
        <v>42</v>
      </c>
      <c r="C3533" s="13" t="n">
        <v>360</v>
      </c>
      <c r="D3533" s="13" t="n">
        <v>1</v>
      </c>
      <c r="E3533" s="13" t="n">
        <v>359.87</v>
      </c>
      <c r="F3533" s="13" t="s">
        <v>5325</v>
      </c>
      <c r="G3533" s="13" t="s">
        <v>5289</v>
      </c>
      <c r="H3533" s="13" t="s">
        <v>5292</v>
      </c>
      <c r="I3533" s="13" t="s">
        <v>5289</v>
      </c>
      <c r="J3533" s="13" t="s">
        <v>5289</v>
      </c>
      <c r="K3533" s="13" t="s">
        <v>5289</v>
      </c>
      <c r="L3533" s="13" t="n">
        <v>8411061056776</v>
      </c>
      <c r="M3533" s="13"/>
      <c r="N3533" s="13" t="n">
        <v>8411061056776</v>
      </c>
      <c r="O3533" s="13"/>
      <c r="P3533" s="13" t="s">
        <v>5291</v>
      </c>
      <c r="Q3533" s="13" t="s">
        <v>5289</v>
      </c>
      <c r="R3533" s="13" t="s">
        <v>5292</v>
      </c>
      <c r="S3533" s="13" t="s">
        <v>5293</v>
      </c>
      <c r="T3533" s="13" t="s">
        <v>5</v>
      </c>
      <c r="U3533" s="13" t="s">
        <v>43</v>
      </c>
      <c r="V3533" s="13" t="n">
        <f aca="false">IF(COUNTIF($B$2:B3533,B3533)=1,1,0)</f>
        <v>0</v>
      </c>
      <c r="W3533" s="13" t="n">
        <f aca="false">IF(COUNTIFS($B$2:B3533,B3533,$T$2:T3533,T3533)=1,1,0)</f>
        <v>0</v>
      </c>
    </row>
    <row r="3534" customFormat="false" ht="15" hidden="false" customHeight="false" outlineLevel="0" collapsed="false">
      <c r="A3534" s="13" t="s">
        <v>1822</v>
      </c>
      <c r="B3534" s="13" t="s">
        <v>121</v>
      </c>
      <c r="C3534" s="13" t="n">
        <v>360</v>
      </c>
      <c r="D3534" s="13" t="n">
        <v>2</v>
      </c>
      <c r="E3534" s="13" t="n">
        <v>179.4</v>
      </c>
      <c r="F3534" s="13" t="s">
        <v>5288</v>
      </c>
      <c r="G3534" s="13" t="s">
        <v>5289</v>
      </c>
      <c r="H3534" s="13" t="s">
        <v>5289</v>
      </c>
      <c r="I3534" s="13" t="s">
        <v>5289</v>
      </c>
      <c r="J3534" s="13" t="s">
        <v>5289</v>
      </c>
      <c r="K3534" s="13" t="s">
        <v>5289</v>
      </c>
      <c r="L3534" s="13" t="n">
        <v>7896086930842</v>
      </c>
      <c r="M3534" s="13"/>
      <c r="N3534" s="13" t="n">
        <v>7896086930842</v>
      </c>
      <c r="O3534" s="13"/>
      <c r="P3534" s="13" t="s">
        <v>5291</v>
      </c>
      <c r="Q3534" s="13" t="s">
        <v>5289</v>
      </c>
      <c r="R3534" s="13" t="s">
        <v>5292</v>
      </c>
      <c r="S3534" s="13" t="s">
        <v>5293</v>
      </c>
      <c r="T3534" s="13" t="s">
        <v>5</v>
      </c>
      <c r="U3534" s="13" t="s">
        <v>43</v>
      </c>
      <c r="V3534" s="13" t="n">
        <f aca="false">IF(COUNTIF($B$2:B3534,B3534)=1,1,0)</f>
        <v>0</v>
      </c>
      <c r="W3534" s="13" t="n">
        <f aca="false">IF(COUNTIFS($B$2:B3534,B3534,$T$2:T3534,T3534)=1,1,0)</f>
        <v>0</v>
      </c>
    </row>
    <row r="3535" customFormat="false" ht="15" hidden="false" customHeight="false" outlineLevel="0" collapsed="false">
      <c r="A3535" s="13" t="s">
        <v>1823</v>
      </c>
      <c r="B3535" s="13" t="s">
        <v>107</v>
      </c>
      <c r="C3535" s="13" t="n">
        <v>360</v>
      </c>
      <c r="D3535" s="13" t="n">
        <v>2</v>
      </c>
      <c r="E3535" s="13" t="n">
        <v>179.105</v>
      </c>
      <c r="F3535" s="13" t="s">
        <v>5325</v>
      </c>
      <c r="G3535" s="13" t="s">
        <v>5289</v>
      </c>
      <c r="H3535" s="13" t="s">
        <v>5292</v>
      </c>
      <c r="I3535" s="13" t="s">
        <v>5289</v>
      </c>
      <c r="J3535" s="13" t="s">
        <v>5289</v>
      </c>
      <c r="K3535" s="13" t="s">
        <v>5289</v>
      </c>
      <c r="L3535" s="13" t="n">
        <v>4064666944111</v>
      </c>
      <c r="M3535" s="13"/>
      <c r="N3535" s="13" t="n">
        <v>4064666944111</v>
      </c>
      <c r="O3535" s="13"/>
      <c r="P3535" s="13" t="s">
        <v>5291</v>
      </c>
      <c r="Q3535" s="13" t="s">
        <v>5289</v>
      </c>
      <c r="R3535" s="13" t="s">
        <v>5292</v>
      </c>
      <c r="S3535" s="13" t="s">
        <v>5293</v>
      </c>
      <c r="T3535" s="13" t="s">
        <v>5</v>
      </c>
      <c r="U3535" s="13" t="s">
        <v>43</v>
      </c>
      <c r="V3535" s="13" t="n">
        <f aca="false">IF(COUNTIF($B$2:B3535,B3535)=1,1,0)</f>
        <v>0</v>
      </c>
      <c r="W3535" s="13" t="n">
        <f aca="false">IF(COUNTIFS($B$2:B3535,B3535,$T$2:T3535,T3535)=1,1,0)</f>
        <v>0</v>
      </c>
    </row>
    <row r="3536" customFormat="false" ht="15" hidden="false" customHeight="false" outlineLevel="0" collapsed="false">
      <c r="A3536" s="13" t="s">
        <v>1824</v>
      </c>
      <c r="B3536" s="13" t="s">
        <v>103</v>
      </c>
      <c r="C3536" s="13" t="n">
        <v>360</v>
      </c>
      <c r="D3536" s="13" t="n">
        <v>2</v>
      </c>
      <c r="E3536" s="13" t="n">
        <v>179.1</v>
      </c>
      <c r="F3536" s="13" t="s">
        <v>5325</v>
      </c>
      <c r="G3536" s="13" t="s">
        <v>5289</v>
      </c>
      <c r="H3536" s="13" t="s">
        <v>5289</v>
      </c>
      <c r="I3536" s="13" t="s">
        <v>5289</v>
      </c>
      <c r="J3536" s="13" t="s">
        <v>5289</v>
      </c>
      <c r="K3536" s="13" t="s">
        <v>5289</v>
      </c>
      <c r="L3536" s="13"/>
      <c r="M3536" s="13"/>
      <c r="N3536" s="13" t="n">
        <v>8411061124079</v>
      </c>
      <c r="O3536" s="13"/>
      <c r="P3536" s="13" t="s">
        <v>5291</v>
      </c>
      <c r="Q3536" s="13" t="s">
        <v>5289</v>
      </c>
      <c r="R3536" s="13" t="s">
        <v>5292</v>
      </c>
      <c r="S3536" s="13" t="s">
        <v>5293</v>
      </c>
      <c r="T3536" s="13" t="s">
        <v>5</v>
      </c>
      <c r="U3536" s="13" t="s">
        <v>43</v>
      </c>
      <c r="V3536" s="13" t="n">
        <f aca="false">IF(COUNTIF($B$2:B3536,B3536)=1,1,0)</f>
        <v>0</v>
      </c>
      <c r="W3536" s="13" t="n">
        <f aca="false">IF(COUNTIFS($B$2:B3536,B3536,$T$2:T3536,T3536)=1,1,0)</f>
        <v>0</v>
      </c>
    </row>
    <row r="3537" customFormat="false" ht="15" hidden="false" customHeight="false" outlineLevel="0" collapsed="false">
      <c r="A3537" s="13" t="s">
        <v>1833</v>
      </c>
      <c r="B3537" s="13" t="s">
        <v>61</v>
      </c>
      <c r="C3537" s="13" t="n">
        <v>360</v>
      </c>
      <c r="D3537" s="13" t="n">
        <v>1</v>
      </c>
      <c r="E3537" s="13" t="n">
        <v>357.44</v>
      </c>
      <c r="F3537" s="13" t="s">
        <v>5325</v>
      </c>
      <c r="G3537" s="13" t="s">
        <v>5289</v>
      </c>
      <c r="H3537" s="13" t="s">
        <v>5289</v>
      </c>
      <c r="I3537" s="13" t="s">
        <v>5289</v>
      </c>
      <c r="J3537" s="13" t="s">
        <v>5289</v>
      </c>
      <c r="K3537" s="13" t="s">
        <v>5289</v>
      </c>
      <c r="L3537" s="13" t="n">
        <v>3614273749428</v>
      </c>
      <c r="M3537" s="13"/>
      <c r="N3537" s="13" t="n">
        <v>3614273749428</v>
      </c>
      <c r="O3537" s="13"/>
      <c r="P3537" s="13" t="s">
        <v>5297</v>
      </c>
      <c r="Q3537" s="13" t="s">
        <v>5289</v>
      </c>
      <c r="R3537" s="13" t="s">
        <v>5292</v>
      </c>
      <c r="S3537" s="13" t="s">
        <v>5293</v>
      </c>
      <c r="T3537" s="13" t="s">
        <v>5</v>
      </c>
      <c r="U3537" s="13" t="s">
        <v>43</v>
      </c>
      <c r="V3537" s="13" t="n">
        <f aca="false">IF(COUNTIF($B$2:B3537,B3537)=1,1,0)</f>
        <v>0</v>
      </c>
      <c r="W3537" s="13" t="n">
        <f aca="false">IF(COUNTIFS($B$2:B3537,B3537,$T$2:T3537,T3537)=1,1,0)</f>
        <v>0</v>
      </c>
    </row>
    <row r="3538" customFormat="false" ht="15" hidden="false" customHeight="false" outlineLevel="0" collapsed="false">
      <c r="A3538" s="13" t="s">
        <v>6401</v>
      </c>
      <c r="B3538" s="13" t="s">
        <v>2145</v>
      </c>
      <c r="C3538" s="13" t="n">
        <v>360</v>
      </c>
      <c r="D3538" s="13" t="n">
        <v>1</v>
      </c>
      <c r="E3538" s="13" t="n">
        <v>357.06</v>
      </c>
      <c r="F3538" s="13" t="s">
        <v>5325</v>
      </c>
      <c r="G3538" s="13" t="s">
        <v>5289</v>
      </c>
      <c r="H3538" s="13" t="s">
        <v>5289</v>
      </c>
      <c r="I3538" s="13" t="s">
        <v>5289</v>
      </c>
      <c r="J3538" s="13" t="s">
        <v>5289</v>
      </c>
      <c r="K3538" s="13" t="s">
        <v>5289</v>
      </c>
      <c r="L3538" s="13"/>
      <c r="M3538" s="13"/>
      <c r="N3538" s="13" t="n">
        <v>4064941111504</v>
      </c>
      <c r="O3538" s="13"/>
      <c r="P3538" s="13" t="s">
        <v>5291</v>
      </c>
      <c r="Q3538" s="13" t="s">
        <v>5289</v>
      </c>
      <c r="R3538" s="13" t="s">
        <v>5292</v>
      </c>
      <c r="S3538" s="13" t="s">
        <v>5293</v>
      </c>
      <c r="T3538" s="13" t="s">
        <v>5</v>
      </c>
      <c r="U3538" s="13" t="s">
        <v>43</v>
      </c>
      <c r="V3538" s="13" t="n">
        <f aca="false">IF(COUNTIF($B$2:B3538,B3538)=1,1,0)</f>
        <v>0</v>
      </c>
      <c r="W3538" s="13" t="n">
        <f aca="false">IF(COUNTIFS($B$2:B3538,B3538,$T$2:T3538,T3538)=1,1,0)</f>
        <v>0</v>
      </c>
    </row>
    <row r="3539" customFormat="false" ht="15" hidden="false" customHeight="false" outlineLevel="0" collapsed="false">
      <c r="A3539" s="13" t="s">
        <v>4553</v>
      </c>
      <c r="B3539" s="13" t="s">
        <v>2155</v>
      </c>
      <c r="C3539" s="13" t="n">
        <v>360</v>
      </c>
      <c r="D3539" s="13" t="n">
        <v>2</v>
      </c>
      <c r="E3539" s="13" t="n">
        <v>119</v>
      </c>
      <c r="F3539" s="13" t="s">
        <v>5325</v>
      </c>
      <c r="G3539" s="13" t="s">
        <v>5289</v>
      </c>
      <c r="H3539" s="13" t="s">
        <v>5289</v>
      </c>
      <c r="I3539" s="13" t="s">
        <v>5289</v>
      </c>
      <c r="J3539" s="13" t="s">
        <v>5289</v>
      </c>
      <c r="K3539" s="13" t="s">
        <v>5289</v>
      </c>
      <c r="L3539" s="13" t="n">
        <v>5060926687568</v>
      </c>
      <c r="M3539" s="13"/>
      <c r="N3539" s="13" t="n">
        <v>5060926687568</v>
      </c>
      <c r="O3539" s="13"/>
      <c r="P3539" s="13" t="s">
        <v>5291</v>
      </c>
      <c r="Q3539" s="13" t="s">
        <v>5289</v>
      </c>
      <c r="R3539" s="13" t="s">
        <v>5292</v>
      </c>
      <c r="S3539" s="13" t="s">
        <v>5293</v>
      </c>
      <c r="T3539" s="13" t="s">
        <v>5</v>
      </c>
      <c r="U3539" s="13" t="s">
        <v>85</v>
      </c>
      <c r="V3539" s="13" t="n">
        <f aca="false">IF(COUNTIF($B$2:B3539,B3539)=1,1,0)</f>
        <v>0</v>
      </c>
      <c r="W3539" s="13" t="n">
        <f aca="false">IF(COUNTIFS($B$2:B3539,B3539,$T$2:T3539,T3539)=1,1,0)</f>
        <v>0</v>
      </c>
    </row>
    <row r="3540" customFormat="false" ht="15" hidden="false" customHeight="false" outlineLevel="0" collapsed="false">
      <c r="A3540" s="13" t="s">
        <v>1819</v>
      </c>
      <c r="B3540" s="13" t="s">
        <v>61</v>
      </c>
      <c r="C3540" s="13" t="n">
        <v>360</v>
      </c>
      <c r="D3540" s="13" t="n">
        <v>1</v>
      </c>
      <c r="E3540" s="13" t="n">
        <v>355.9</v>
      </c>
      <c r="F3540" s="13" t="s">
        <v>5325</v>
      </c>
      <c r="G3540" s="13" t="s">
        <v>5292</v>
      </c>
      <c r="H3540" s="13" t="s">
        <v>5289</v>
      </c>
      <c r="I3540" s="13" t="s">
        <v>5289</v>
      </c>
      <c r="J3540" s="13" t="s">
        <v>5289</v>
      </c>
      <c r="K3540" s="13" t="s">
        <v>5289</v>
      </c>
      <c r="L3540" s="13" t="n">
        <v>3614274337891</v>
      </c>
      <c r="M3540" s="13"/>
      <c r="N3540" s="13" t="n">
        <v>3614274337891</v>
      </c>
      <c r="O3540" s="13"/>
      <c r="P3540" s="13" t="s">
        <v>5297</v>
      </c>
      <c r="Q3540" s="13" t="s">
        <v>5289</v>
      </c>
      <c r="R3540" s="13" t="s">
        <v>5292</v>
      </c>
      <c r="S3540" s="13" t="s">
        <v>5293</v>
      </c>
      <c r="T3540" s="13" t="s">
        <v>5</v>
      </c>
      <c r="U3540" s="13" t="s">
        <v>43</v>
      </c>
      <c r="V3540" s="13" t="n">
        <f aca="false">IF(COUNTIF($B$2:B3540,B3540)=1,1,0)</f>
        <v>0</v>
      </c>
      <c r="W3540" s="13" t="n">
        <f aca="false">IF(COUNTIFS($B$2:B3540,B3540,$T$2:T3540,T3540)=1,1,0)</f>
        <v>0</v>
      </c>
    </row>
    <row r="3541" customFormat="false" ht="15" hidden="false" customHeight="false" outlineLevel="0" collapsed="false">
      <c r="A3541" s="13" t="s">
        <v>1820</v>
      </c>
      <c r="B3541" s="13" t="s">
        <v>54</v>
      </c>
      <c r="C3541" s="13" t="n">
        <v>360</v>
      </c>
      <c r="D3541" s="13" t="n">
        <v>1</v>
      </c>
      <c r="E3541" s="13" t="n">
        <v>355.85</v>
      </c>
      <c r="F3541" s="13" t="s">
        <v>5325</v>
      </c>
      <c r="G3541" s="13" t="s">
        <v>5292</v>
      </c>
      <c r="H3541" s="13" t="s">
        <v>5289</v>
      </c>
      <c r="I3541" s="13" t="s">
        <v>5289</v>
      </c>
      <c r="J3541" s="13" t="s">
        <v>5289</v>
      </c>
      <c r="K3541" s="13" t="s">
        <v>5292</v>
      </c>
      <c r="L3541" s="13" t="n">
        <v>730852144422</v>
      </c>
      <c r="M3541" s="13"/>
      <c r="N3541" s="13" t="n">
        <v>730852144422</v>
      </c>
      <c r="O3541" s="13"/>
      <c r="P3541" s="13" t="s">
        <v>5297</v>
      </c>
      <c r="Q3541" s="13" t="s">
        <v>5289</v>
      </c>
      <c r="R3541" s="13" t="s">
        <v>5292</v>
      </c>
      <c r="S3541" s="13" t="s">
        <v>5293</v>
      </c>
      <c r="T3541" s="13" t="s">
        <v>5</v>
      </c>
      <c r="U3541" s="13" t="s">
        <v>43</v>
      </c>
      <c r="V3541" s="13" t="n">
        <f aca="false">IF(COUNTIF($B$2:B3541,B3541)=1,1,0)</f>
        <v>0</v>
      </c>
      <c r="W3541" s="13" t="n">
        <f aca="false">IF(COUNTIFS($B$2:B3541,B3541,$T$2:T3541,T3541)=1,1,0)</f>
        <v>0</v>
      </c>
    </row>
    <row r="3542" customFormat="false" ht="15" hidden="false" customHeight="false" outlineLevel="0" collapsed="false">
      <c r="A3542" s="13" t="s">
        <v>1825</v>
      </c>
      <c r="B3542" s="13" t="s">
        <v>195</v>
      </c>
      <c r="C3542" s="13" t="n">
        <v>360</v>
      </c>
      <c r="D3542" s="13" t="n">
        <v>1</v>
      </c>
      <c r="E3542" s="13" t="n">
        <v>355</v>
      </c>
      <c r="F3542" s="13" t="s">
        <v>5325</v>
      </c>
      <c r="G3542" s="13" t="s">
        <v>5289</v>
      </c>
      <c r="H3542" s="13" t="s">
        <v>5292</v>
      </c>
      <c r="I3542" s="13" t="s">
        <v>5289</v>
      </c>
      <c r="J3542" s="13" t="s">
        <v>5289</v>
      </c>
      <c r="K3542" s="13" t="s">
        <v>5289</v>
      </c>
      <c r="L3542" s="13" t="n">
        <v>3614227693241</v>
      </c>
      <c r="M3542" s="13"/>
      <c r="N3542" s="13" t="n">
        <v>3614227693241</v>
      </c>
      <c r="O3542" s="13"/>
      <c r="P3542" s="13" t="s">
        <v>5291</v>
      </c>
      <c r="Q3542" s="13" t="s">
        <v>5289</v>
      </c>
      <c r="R3542" s="13" t="s">
        <v>5292</v>
      </c>
      <c r="S3542" s="13" t="s">
        <v>5293</v>
      </c>
      <c r="T3542" s="13" t="s">
        <v>5</v>
      </c>
      <c r="U3542" s="13" t="s">
        <v>43</v>
      </c>
      <c r="V3542" s="13" t="n">
        <f aca="false">IF(COUNTIF($B$2:B3542,B3542)=1,1,0)</f>
        <v>0</v>
      </c>
      <c r="W3542" s="13" t="n">
        <f aca="false">IF(COUNTIFS($B$2:B3542,B3542,$T$2:T3542,T3542)=1,1,0)</f>
        <v>0</v>
      </c>
    </row>
    <row r="3543" customFormat="false" ht="15" hidden="false" customHeight="false" outlineLevel="0" collapsed="false">
      <c r="A3543" s="13" t="s">
        <v>6379</v>
      </c>
      <c r="B3543" s="13" t="s">
        <v>2110</v>
      </c>
      <c r="C3543" s="13" t="n">
        <v>350</v>
      </c>
      <c r="D3543" s="13" t="n">
        <v>1</v>
      </c>
      <c r="E3543" s="13" t="n">
        <v>351.9</v>
      </c>
      <c r="F3543" s="13" t="s">
        <v>5288</v>
      </c>
      <c r="G3543" s="13" t="s">
        <v>5289</v>
      </c>
      <c r="H3543" s="13" t="s">
        <v>5289</v>
      </c>
      <c r="I3543" s="13" t="s">
        <v>5289</v>
      </c>
      <c r="J3543" s="13" t="s">
        <v>5289</v>
      </c>
      <c r="K3543" s="13" t="s">
        <v>5289</v>
      </c>
      <c r="L3543" s="13" t="n">
        <v>3386460149297</v>
      </c>
      <c r="M3543" s="13"/>
      <c r="N3543" s="13" t="n">
        <v>3386460149297</v>
      </c>
      <c r="O3543" s="13"/>
      <c r="P3543" s="13" t="s">
        <v>5297</v>
      </c>
      <c r="Q3543" s="13" t="s">
        <v>5289</v>
      </c>
      <c r="R3543" s="13" t="s">
        <v>5292</v>
      </c>
      <c r="S3543" s="13" t="s">
        <v>5293</v>
      </c>
      <c r="T3543" s="13" t="s">
        <v>5</v>
      </c>
      <c r="U3543" s="13" t="s">
        <v>43</v>
      </c>
      <c r="V3543" s="13" t="n">
        <f aca="false">IF(COUNTIF($B$2:B3543,B3543)=1,1,0)</f>
        <v>0</v>
      </c>
      <c r="W3543" s="13" t="n">
        <f aca="false">IF(COUNTIFS($B$2:B3543,B3543,$T$2:T3543,T3543)=1,1,0)</f>
        <v>0</v>
      </c>
    </row>
    <row r="3544" customFormat="false" ht="15" hidden="false" customHeight="false" outlineLevel="0" collapsed="false">
      <c r="A3544" s="13" t="s">
        <v>703</v>
      </c>
      <c r="B3544" s="13" t="s">
        <v>177</v>
      </c>
      <c r="C3544" s="13" t="n">
        <v>350</v>
      </c>
      <c r="D3544" s="13" t="n">
        <v>1</v>
      </c>
      <c r="E3544" s="13" t="n">
        <v>351</v>
      </c>
      <c r="F3544" s="13" t="s">
        <v>5325</v>
      </c>
      <c r="G3544" s="13" t="s">
        <v>5292</v>
      </c>
      <c r="H3544" s="13" t="s">
        <v>5289</v>
      </c>
      <c r="I3544" s="13" t="s">
        <v>5289</v>
      </c>
      <c r="J3544" s="13" t="s">
        <v>5289</v>
      </c>
      <c r="K3544" s="13" t="s">
        <v>5289</v>
      </c>
      <c r="L3544" s="13" t="n">
        <v>3614227758063</v>
      </c>
      <c r="M3544" s="13"/>
      <c r="N3544" s="13" t="n">
        <v>3614227758063</v>
      </c>
      <c r="O3544" s="13"/>
      <c r="P3544" s="13" t="s">
        <v>5297</v>
      </c>
      <c r="Q3544" s="13" t="s">
        <v>5289</v>
      </c>
      <c r="R3544" s="13" t="s">
        <v>5292</v>
      </c>
      <c r="S3544" s="13" t="s">
        <v>5293</v>
      </c>
      <c r="T3544" s="13" t="s">
        <v>5</v>
      </c>
      <c r="U3544" s="13" t="s">
        <v>43</v>
      </c>
      <c r="V3544" s="13" t="n">
        <f aca="false">IF(COUNTIF($B$2:B3544,B3544)=1,1,0)</f>
        <v>0</v>
      </c>
      <c r="W3544" s="13" t="n">
        <f aca="false">IF(COUNTIFS($B$2:B3544,B3544,$T$2:T3544,T3544)=1,1,0)</f>
        <v>0</v>
      </c>
    </row>
    <row r="3545" customFormat="false" ht="15" hidden="false" customHeight="false" outlineLevel="0" collapsed="false">
      <c r="A3545" s="13" t="s">
        <v>4305</v>
      </c>
      <c r="B3545" s="13" t="s">
        <v>2139</v>
      </c>
      <c r="C3545" s="13" t="n">
        <v>350</v>
      </c>
      <c r="D3545" s="13" t="n">
        <v>2</v>
      </c>
      <c r="E3545" s="13" t="n">
        <v>174.94</v>
      </c>
      <c r="F3545" s="13" t="s">
        <v>5288</v>
      </c>
      <c r="G3545" s="13" t="s">
        <v>5289</v>
      </c>
      <c r="H3545" s="13" t="s">
        <v>5289</v>
      </c>
      <c r="I3545" s="13" t="s">
        <v>5289</v>
      </c>
      <c r="J3545" s="13" t="s">
        <v>5289</v>
      </c>
      <c r="K3545" s="13" t="s">
        <v>5289</v>
      </c>
      <c r="L3545" s="13" t="n">
        <v>8411061112151</v>
      </c>
      <c r="M3545" s="13"/>
      <c r="N3545" s="13" t="n">
        <v>8411061112151</v>
      </c>
      <c r="O3545" s="13"/>
      <c r="P3545" s="13" t="s">
        <v>5291</v>
      </c>
      <c r="Q3545" s="13" t="s">
        <v>5289</v>
      </c>
      <c r="R3545" s="13" t="s">
        <v>5292</v>
      </c>
      <c r="S3545" s="13" t="s">
        <v>5293</v>
      </c>
      <c r="T3545" s="13" t="s">
        <v>5</v>
      </c>
      <c r="U3545" s="13" t="s">
        <v>43</v>
      </c>
      <c r="V3545" s="13" t="n">
        <f aca="false">IF(COUNTIF($B$2:B3545,B3545)=1,1,0)</f>
        <v>0</v>
      </c>
      <c r="W3545" s="13" t="n">
        <f aca="false">IF(COUNTIFS($B$2:B3545,B3545,$T$2:T3545,T3545)=1,1,0)</f>
        <v>0</v>
      </c>
    </row>
    <row r="3546" customFormat="false" ht="15" hidden="false" customHeight="false" outlineLevel="0" collapsed="false">
      <c r="A3546" s="13" t="s">
        <v>4669</v>
      </c>
      <c r="B3546" s="13" t="s">
        <v>2155</v>
      </c>
      <c r="C3546" s="13" t="n">
        <v>340</v>
      </c>
      <c r="D3546" s="13" t="n">
        <v>5</v>
      </c>
      <c r="E3546" s="13" t="n">
        <v>68.89</v>
      </c>
      <c r="F3546" s="13" t="s">
        <v>5325</v>
      </c>
      <c r="G3546" s="13" t="s">
        <v>5292</v>
      </c>
      <c r="H3546" s="13" t="s">
        <v>5289</v>
      </c>
      <c r="I3546" s="13" t="s">
        <v>5292</v>
      </c>
      <c r="J3546" s="13" t="s">
        <v>5289</v>
      </c>
      <c r="K3546" s="13" t="s">
        <v>5289</v>
      </c>
      <c r="L3546" s="13"/>
      <c r="M3546" s="13"/>
      <c r="N3546" s="13" t="n">
        <v>5060630040185</v>
      </c>
      <c r="O3546" s="13"/>
      <c r="P3546" s="13" t="s">
        <v>5291</v>
      </c>
      <c r="Q3546" s="13" t="s">
        <v>5289</v>
      </c>
      <c r="R3546" s="13" t="s">
        <v>5292</v>
      </c>
      <c r="S3546" s="13" t="s">
        <v>5293</v>
      </c>
      <c r="T3546" s="13" t="s">
        <v>5</v>
      </c>
      <c r="U3546" s="13" t="s">
        <v>85</v>
      </c>
      <c r="V3546" s="13" t="n">
        <f aca="false">IF(COUNTIF($B$2:B3546,B3546)=1,1,0)</f>
        <v>0</v>
      </c>
      <c r="W3546" s="13" t="n">
        <f aca="false">IF(COUNTIFS($B$2:B3546,B3546,$T$2:T3546,T3546)=1,1,0)</f>
        <v>0</v>
      </c>
    </row>
    <row r="3547" customFormat="false" ht="15" hidden="false" customHeight="false" outlineLevel="0" collapsed="false">
      <c r="A3547" s="13" t="s">
        <v>3550</v>
      </c>
      <c r="B3547" s="13" t="s">
        <v>2150</v>
      </c>
      <c r="C3547" s="13" t="n">
        <v>340</v>
      </c>
      <c r="D3547" s="13" t="n">
        <v>2</v>
      </c>
      <c r="E3547" s="13" t="n">
        <v>114</v>
      </c>
      <c r="F3547" s="13" t="s">
        <v>5288</v>
      </c>
      <c r="G3547" s="13" t="s">
        <v>5292</v>
      </c>
      <c r="H3547" s="13" t="s">
        <v>5289</v>
      </c>
      <c r="I3547" s="13" t="s">
        <v>5289</v>
      </c>
      <c r="J3547" s="13" t="s">
        <v>5289</v>
      </c>
      <c r="K3547" s="13" t="s">
        <v>5289</v>
      </c>
      <c r="L3547" s="13"/>
      <c r="M3547" s="13"/>
      <c r="N3547" s="13" t="n">
        <v>8411061823026</v>
      </c>
      <c r="O3547" s="13"/>
      <c r="P3547" s="13" t="s">
        <v>5291</v>
      </c>
      <c r="Q3547" s="13" t="s">
        <v>5289</v>
      </c>
      <c r="R3547" s="13" t="s">
        <v>5292</v>
      </c>
      <c r="S3547" s="13" t="s">
        <v>5293</v>
      </c>
      <c r="T3547" s="13" t="s">
        <v>5</v>
      </c>
      <c r="U3547" s="13" t="s">
        <v>43</v>
      </c>
      <c r="V3547" s="13" t="n">
        <f aca="false">IF(COUNTIF($B$2:B3547,B3547)=1,1,0)</f>
        <v>0</v>
      </c>
      <c r="W3547" s="13" t="n">
        <f aca="false">IF(COUNTIFS($B$2:B3547,B3547,$T$2:T3547,T3547)=1,1,0)</f>
        <v>0</v>
      </c>
    </row>
    <row r="3548" customFormat="false" ht="15" hidden="false" customHeight="false" outlineLevel="0" collapsed="false">
      <c r="A3548" s="13" t="s">
        <v>3817</v>
      </c>
      <c r="B3548" s="13" t="s">
        <v>2208</v>
      </c>
      <c r="C3548" s="13" t="n">
        <v>340</v>
      </c>
      <c r="D3548" s="13" t="n">
        <v>2</v>
      </c>
      <c r="E3548" s="13" t="n">
        <v>114</v>
      </c>
      <c r="F3548" s="13" t="s">
        <v>5325</v>
      </c>
      <c r="G3548" s="13" t="s">
        <v>5289</v>
      </c>
      <c r="H3548" s="13" t="s">
        <v>5289</v>
      </c>
      <c r="I3548" s="13" t="s">
        <v>5289</v>
      </c>
      <c r="J3548" s="13" t="s">
        <v>5289</v>
      </c>
      <c r="K3548" s="13" t="s">
        <v>5289</v>
      </c>
      <c r="L3548" s="13" t="n">
        <v>3616303462062</v>
      </c>
      <c r="M3548" s="13"/>
      <c r="N3548" s="13" t="n">
        <v>3616303462062</v>
      </c>
      <c r="O3548" s="13"/>
      <c r="P3548" s="13" t="s">
        <v>5291</v>
      </c>
      <c r="Q3548" s="13" t="s">
        <v>5289</v>
      </c>
      <c r="R3548" s="13" t="s">
        <v>5292</v>
      </c>
      <c r="S3548" s="13" t="s">
        <v>5293</v>
      </c>
      <c r="T3548" s="13" t="s">
        <v>5</v>
      </c>
      <c r="U3548" s="13" t="s">
        <v>43</v>
      </c>
      <c r="V3548" s="13" t="n">
        <f aca="false">IF(COUNTIF($B$2:B3548,B3548)=1,1,0)</f>
        <v>0</v>
      </c>
      <c r="W3548" s="13" t="n">
        <f aca="false">IF(COUNTIFS($B$2:B3548,B3548,$T$2:T3548,T3548)=1,1,0)</f>
        <v>0</v>
      </c>
    </row>
    <row r="3549" customFormat="false" ht="15" hidden="false" customHeight="false" outlineLevel="0" collapsed="false">
      <c r="A3549" s="13" t="s">
        <v>1840</v>
      </c>
      <c r="B3549" s="13" t="s">
        <v>362</v>
      </c>
      <c r="C3549" s="13" t="n">
        <v>340</v>
      </c>
      <c r="D3549" s="13" t="n">
        <v>1</v>
      </c>
      <c r="E3549" s="13" t="n">
        <v>341.9</v>
      </c>
      <c r="F3549" s="13" t="s">
        <v>5325</v>
      </c>
      <c r="G3549" s="13" t="s">
        <v>5289</v>
      </c>
      <c r="H3549" s="13" t="s">
        <v>5289</v>
      </c>
      <c r="I3549" s="13" t="s">
        <v>5289</v>
      </c>
      <c r="J3549" s="13" t="s">
        <v>5289</v>
      </c>
      <c r="K3549" s="13" t="s">
        <v>5289</v>
      </c>
      <c r="L3549" s="13" t="n">
        <v>3386460132787</v>
      </c>
      <c r="M3549" s="13"/>
      <c r="N3549" s="13" t="n">
        <v>3386460132787</v>
      </c>
      <c r="O3549" s="13"/>
      <c r="P3549" s="13" t="s">
        <v>5291</v>
      </c>
      <c r="Q3549" s="13" t="s">
        <v>5289</v>
      </c>
      <c r="R3549" s="13" t="s">
        <v>5292</v>
      </c>
      <c r="S3549" s="13" t="s">
        <v>5293</v>
      </c>
      <c r="T3549" s="13" t="s">
        <v>5</v>
      </c>
      <c r="U3549" s="13" t="s">
        <v>43</v>
      </c>
      <c r="V3549" s="13" t="n">
        <f aca="false">IF(COUNTIF($B$2:B3549,B3549)=1,1,0)</f>
        <v>0</v>
      </c>
      <c r="W3549" s="13" t="n">
        <f aca="false">IF(COUNTIFS($B$2:B3549,B3549,$T$2:T3549,T3549)=1,1,0)</f>
        <v>0</v>
      </c>
    </row>
    <row r="3550" customFormat="false" ht="15" hidden="false" customHeight="false" outlineLevel="0" collapsed="false">
      <c r="A3550" s="13" t="s">
        <v>1839</v>
      </c>
      <c r="B3550" s="13" t="s">
        <v>286</v>
      </c>
      <c r="C3550" s="13" t="n">
        <v>340</v>
      </c>
      <c r="D3550" s="13" t="n">
        <v>2</v>
      </c>
      <c r="E3550" s="13" t="n">
        <v>170.33</v>
      </c>
      <c r="F3550" s="13" t="s">
        <v>5325</v>
      </c>
      <c r="G3550" s="13" t="s">
        <v>5289</v>
      </c>
      <c r="H3550" s="13" t="s">
        <v>5289</v>
      </c>
      <c r="I3550" s="13" t="s">
        <v>5289</v>
      </c>
      <c r="J3550" s="13" t="s">
        <v>5289</v>
      </c>
      <c r="K3550" s="13" t="s">
        <v>5289</v>
      </c>
      <c r="L3550" s="13"/>
      <c r="M3550" s="13"/>
      <c r="N3550" s="13" t="n">
        <v>8433982024122</v>
      </c>
      <c r="O3550" s="13"/>
      <c r="P3550" s="13" t="s">
        <v>5291</v>
      </c>
      <c r="Q3550" s="13" t="s">
        <v>5289</v>
      </c>
      <c r="R3550" s="13" t="s">
        <v>5292</v>
      </c>
      <c r="S3550" s="13" t="s">
        <v>5293</v>
      </c>
      <c r="T3550" s="13" t="s">
        <v>5</v>
      </c>
      <c r="U3550" s="13" t="s">
        <v>43</v>
      </c>
      <c r="V3550" s="13" t="n">
        <f aca="false">IF(COUNTIF($B$2:B3550,B3550)=1,1,0)</f>
        <v>0</v>
      </c>
      <c r="W3550" s="13" t="n">
        <f aca="false">IF(COUNTIFS($B$2:B3550,B3550,$T$2:T3550,T3550)=1,1,0)</f>
        <v>0</v>
      </c>
    </row>
    <row r="3551" customFormat="false" ht="15" hidden="false" customHeight="false" outlineLevel="0" collapsed="false">
      <c r="A3551" s="13" t="s">
        <v>1767</v>
      </c>
      <c r="B3551" s="13" t="s">
        <v>107</v>
      </c>
      <c r="C3551" s="13" t="n">
        <v>340</v>
      </c>
      <c r="D3551" s="13" t="n">
        <v>2</v>
      </c>
      <c r="E3551" s="13" t="n">
        <v>169.85</v>
      </c>
      <c r="F3551" s="13" t="s">
        <v>5288</v>
      </c>
      <c r="G3551" s="13" t="s">
        <v>5289</v>
      </c>
      <c r="H3551" s="13" t="s">
        <v>5292</v>
      </c>
      <c r="I3551" s="13" t="s">
        <v>5289</v>
      </c>
      <c r="J3551" s="13" t="s">
        <v>5289</v>
      </c>
      <c r="K3551" s="13" t="s">
        <v>5292</v>
      </c>
      <c r="L3551" s="13" t="n">
        <v>4064666306179</v>
      </c>
      <c r="M3551" s="13"/>
      <c r="N3551" s="13" t="n">
        <v>3.61422640408479E+025</v>
      </c>
      <c r="O3551" s="13"/>
      <c r="P3551" s="13" t="s">
        <v>5291</v>
      </c>
      <c r="Q3551" s="13" t="s">
        <v>5289</v>
      </c>
      <c r="R3551" s="13" t="s">
        <v>5292</v>
      </c>
      <c r="S3551" s="13" t="s">
        <v>5293</v>
      </c>
      <c r="T3551" s="13" t="s">
        <v>5</v>
      </c>
      <c r="U3551" s="13" t="s">
        <v>43</v>
      </c>
      <c r="V3551" s="13" t="n">
        <f aca="false">IF(COUNTIF($B$2:B3551,B3551)=1,1,0)</f>
        <v>0</v>
      </c>
      <c r="W3551" s="13" t="n">
        <f aca="false">IF(COUNTIFS($B$2:B3551,B3551,$T$2:T3551,T3551)=1,1,0)</f>
        <v>0</v>
      </c>
    </row>
    <row r="3552" customFormat="false" ht="15" hidden="false" customHeight="false" outlineLevel="0" collapsed="false">
      <c r="A3552" s="13" t="s">
        <v>1842</v>
      </c>
      <c r="B3552" s="13" t="s">
        <v>54</v>
      </c>
      <c r="C3552" s="13" t="n">
        <v>340</v>
      </c>
      <c r="D3552" s="13" t="n">
        <v>1</v>
      </c>
      <c r="E3552" s="13" t="n">
        <v>338.85</v>
      </c>
      <c r="F3552" s="13" t="s">
        <v>5288</v>
      </c>
      <c r="G3552" s="13" t="s">
        <v>5292</v>
      </c>
      <c r="H3552" s="13" t="s">
        <v>5289</v>
      </c>
      <c r="I3552" s="13" t="s">
        <v>5289</v>
      </c>
      <c r="J3552" s="13" t="s">
        <v>5289</v>
      </c>
      <c r="K3552" s="13" t="s">
        <v>5292</v>
      </c>
      <c r="L3552" s="13"/>
      <c r="M3552" s="13"/>
      <c r="N3552" s="13" t="n">
        <v>729238187078</v>
      </c>
      <c r="O3552" s="13"/>
      <c r="P3552" s="13" t="s">
        <v>5291</v>
      </c>
      <c r="Q3552" s="13" t="s">
        <v>5289</v>
      </c>
      <c r="R3552" s="13" t="s">
        <v>5292</v>
      </c>
      <c r="S3552" s="13" t="s">
        <v>5293</v>
      </c>
      <c r="T3552" s="13" t="s">
        <v>5</v>
      </c>
      <c r="U3552" s="13" t="s">
        <v>43</v>
      </c>
      <c r="V3552" s="13" t="n">
        <f aca="false">IF(COUNTIF($B$2:B3552,B3552)=1,1,0)</f>
        <v>0</v>
      </c>
      <c r="W3552" s="13" t="n">
        <f aca="false">IF(COUNTIFS($B$2:B3552,B3552,$T$2:T3552,T3552)=1,1,0)</f>
        <v>0</v>
      </c>
    </row>
    <row r="3553" customFormat="false" ht="15" hidden="false" customHeight="false" outlineLevel="0" collapsed="false">
      <c r="A3553" s="13" t="s">
        <v>1823</v>
      </c>
      <c r="B3553" s="13" t="s">
        <v>107</v>
      </c>
      <c r="C3553" s="13" t="n">
        <v>340</v>
      </c>
      <c r="D3553" s="13" t="n">
        <v>2</v>
      </c>
      <c r="E3553" s="13" t="n">
        <v>169.02</v>
      </c>
      <c r="F3553" s="13" t="s">
        <v>5288</v>
      </c>
      <c r="G3553" s="13" t="s">
        <v>5289</v>
      </c>
      <c r="H3553" s="13" t="s">
        <v>5292</v>
      </c>
      <c r="I3553" s="13" t="s">
        <v>5289</v>
      </c>
      <c r="J3553" s="13" t="s">
        <v>5289</v>
      </c>
      <c r="K3553" s="13" t="s">
        <v>5289</v>
      </c>
      <c r="L3553" s="13" t="n">
        <v>4064666944111</v>
      </c>
      <c r="M3553" s="13"/>
      <c r="N3553" s="13" t="n">
        <v>4064666944111</v>
      </c>
      <c r="O3553" s="13"/>
      <c r="P3553" s="13" t="s">
        <v>5291</v>
      </c>
      <c r="Q3553" s="13" t="s">
        <v>5289</v>
      </c>
      <c r="R3553" s="13" t="s">
        <v>5292</v>
      </c>
      <c r="S3553" s="13" t="s">
        <v>5293</v>
      </c>
      <c r="T3553" s="13" t="s">
        <v>5</v>
      </c>
      <c r="U3553" s="13" t="s">
        <v>43</v>
      </c>
      <c r="V3553" s="13" t="n">
        <f aca="false">IF(COUNTIF($B$2:B3553,B3553)=1,1,0)</f>
        <v>0</v>
      </c>
      <c r="W3553" s="13" t="n">
        <f aca="false">IF(COUNTIFS($B$2:B3553,B3553,$T$2:T3553,T3553)=1,1,0)</f>
        <v>0</v>
      </c>
    </row>
    <row r="3554" customFormat="false" ht="15" hidden="false" customHeight="false" outlineLevel="0" collapsed="false">
      <c r="A3554" s="13" t="s">
        <v>1823</v>
      </c>
      <c r="B3554" s="13" t="s">
        <v>107</v>
      </c>
      <c r="C3554" s="13" t="n">
        <v>340</v>
      </c>
      <c r="D3554" s="13" t="n">
        <v>2</v>
      </c>
      <c r="E3554" s="13" t="n">
        <v>168.235</v>
      </c>
      <c r="F3554" s="13" t="s">
        <v>5325</v>
      </c>
      <c r="G3554" s="13" t="s">
        <v>5289</v>
      </c>
      <c r="H3554" s="13" t="s">
        <v>5289</v>
      </c>
      <c r="I3554" s="13" t="s">
        <v>5289</v>
      </c>
      <c r="J3554" s="13" t="s">
        <v>5289</v>
      </c>
      <c r="K3554" s="13" t="s">
        <v>5289</v>
      </c>
      <c r="L3554" s="13" t="n">
        <v>4064666944111</v>
      </c>
      <c r="M3554" s="13"/>
      <c r="N3554" s="13" t="n">
        <v>4064666944111</v>
      </c>
      <c r="O3554" s="13"/>
      <c r="P3554" s="13" t="s">
        <v>5291</v>
      </c>
      <c r="Q3554" s="13" t="s">
        <v>5289</v>
      </c>
      <c r="R3554" s="13" t="s">
        <v>5292</v>
      </c>
      <c r="S3554" s="13" t="s">
        <v>5293</v>
      </c>
      <c r="T3554" s="13" t="s">
        <v>5</v>
      </c>
      <c r="U3554" s="13" t="s">
        <v>43</v>
      </c>
      <c r="V3554" s="13" t="n">
        <f aca="false">IF(COUNTIF($B$2:B3554,B3554)=1,1,0)</f>
        <v>0</v>
      </c>
      <c r="W3554" s="13" t="n">
        <f aca="false">IF(COUNTIFS($B$2:B3554,B3554,$T$2:T3554,T3554)=1,1,0)</f>
        <v>0</v>
      </c>
    </row>
    <row r="3555" customFormat="false" ht="15" hidden="false" customHeight="false" outlineLevel="0" collapsed="false">
      <c r="A3555" s="13" t="s">
        <v>1838</v>
      </c>
      <c r="B3555" s="13" t="s">
        <v>126</v>
      </c>
      <c r="C3555" s="13" t="n">
        <v>340</v>
      </c>
      <c r="D3555" s="13" t="n">
        <v>1</v>
      </c>
      <c r="E3555" s="13" t="n">
        <v>335.5</v>
      </c>
      <c r="F3555" s="13" t="s">
        <v>5325</v>
      </c>
      <c r="G3555" s="13" t="s">
        <v>5289</v>
      </c>
      <c r="H3555" s="13" t="s">
        <v>5292</v>
      </c>
      <c r="I3555" s="13" t="s">
        <v>5289</v>
      </c>
      <c r="J3555" s="13" t="s">
        <v>5289</v>
      </c>
      <c r="K3555" s="13" t="s">
        <v>5289</v>
      </c>
      <c r="L3555" s="13"/>
      <c r="M3555" s="13"/>
      <c r="N3555" s="13" t="n">
        <v>3607345809915</v>
      </c>
      <c r="O3555" s="13"/>
      <c r="P3555" s="13" t="s">
        <v>5297</v>
      </c>
      <c r="Q3555" s="13" t="s">
        <v>5289</v>
      </c>
      <c r="R3555" s="13" t="s">
        <v>5292</v>
      </c>
      <c r="S3555" s="13" t="s">
        <v>5293</v>
      </c>
      <c r="T3555" s="13" t="s">
        <v>5</v>
      </c>
      <c r="U3555" s="13" t="s">
        <v>43</v>
      </c>
      <c r="V3555" s="13" t="n">
        <f aca="false">IF(COUNTIF($B$2:B3555,B3555)=1,1,0)</f>
        <v>0</v>
      </c>
      <c r="W3555" s="13" t="n">
        <f aca="false">IF(COUNTIFS($B$2:B3555,B3555,$T$2:T3555,T3555)=1,1,0)</f>
        <v>1</v>
      </c>
    </row>
    <row r="3556" customFormat="false" ht="15" hidden="false" customHeight="false" outlineLevel="0" collapsed="false">
      <c r="A3556" s="13" t="s">
        <v>1837</v>
      </c>
      <c r="B3556" s="13" t="s">
        <v>365</v>
      </c>
      <c r="C3556" s="13" t="n">
        <v>340</v>
      </c>
      <c r="D3556" s="13" t="n">
        <v>1</v>
      </c>
      <c r="E3556" s="13" t="n">
        <v>335.08</v>
      </c>
      <c r="F3556" s="13" t="s">
        <v>5325</v>
      </c>
      <c r="G3556" s="13" t="s">
        <v>5289</v>
      </c>
      <c r="H3556" s="13" t="s">
        <v>5289</v>
      </c>
      <c r="I3556" s="13" t="s">
        <v>5289</v>
      </c>
      <c r="J3556" s="13" t="s">
        <v>5289</v>
      </c>
      <c r="K3556" s="13" t="s">
        <v>5289</v>
      </c>
      <c r="L3556" s="13" t="n">
        <v>6291108735411</v>
      </c>
      <c r="M3556" s="13"/>
      <c r="N3556" s="13" t="n">
        <v>6291108735411</v>
      </c>
      <c r="O3556" s="13"/>
      <c r="P3556" s="13" t="s">
        <v>5291</v>
      </c>
      <c r="Q3556" s="13" t="s">
        <v>5289</v>
      </c>
      <c r="R3556" s="13" t="s">
        <v>5292</v>
      </c>
      <c r="S3556" s="13" t="s">
        <v>5293</v>
      </c>
      <c r="T3556" s="13" t="s">
        <v>5</v>
      </c>
      <c r="U3556" s="13" t="s">
        <v>43</v>
      </c>
      <c r="V3556" s="13" t="n">
        <f aca="false">IF(COUNTIF($B$2:B3556,B3556)=1,1,0)</f>
        <v>0</v>
      </c>
      <c r="W3556" s="13" t="n">
        <f aca="false">IF(COUNTIFS($B$2:B3556,B3556,$T$2:T3556,T3556)=1,1,0)</f>
        <v>0</v>
      </c>
    </row>
    <row r="3557" customFormat="false" ht="15" hidden="false" customHeight="false" outlineLevel="0" collapsed="false">
      <c r="A3557" s="13" t="s">
        <v>384</v>
      </c>
      <c r="B3557" s="13" t="s">
        <v>329</v>
      </c>
      <c r="C3557" s="13" t="n">
        <v>340</v>
      </c>
      <c r="D3557" s="13" t="n">
        <v>1</v>
      </c>
      <c r="E3557" s="13" t="n">
        <v>335</v>
      </c>
      <c r="F3557" s="13" t="s">
        <v>5288</v>
      </c>
      <c r="G3557" s="13" t="s">
        <v>5292</v>
      </c>
      <c r="H3557" s="13" t="s">
        <v>5289</v>
      </c>
      <c r="I3557" s="13" t="s">
        <v>5289</v>
      </c>
      <c r="J3557" s="13" t="s">
        <v>5289</v>
      </c>
      <c r="K3557" s="13" t="s">
        <v>5289</v>
      </c>
      <c r="L3557" s="13" t="n">
        <v>3137370205029</v>
      </c>
      <c r="M3557" s="13"/>
      <c r="N3557" s="13" t="n">
        <v>3137370205029</v>
      </c>
      <c r="O3557" s="13"/>
      <c r="P3557" s="13" t="s">
        <v>5297</v>
      </c>
      <c r="Q3557" s="13" t="s">
        <v>5289</v>
      </c>
      <c r="R3557" s="13" t="s">
        <v>5292</v>
      </c>
      <c r="S3557" s="13" t="s">
        <v>5293</v>
      </c>
      <c r="T3557" s="13" t="s">
        <v>5</v>
      </c>
      <c r="U3557" s="13" t="s">
        <v>43</v>
      </c>
      <c r="V3557" s="13" t="n">
        <f aca="false">IF(COUNTIF($B$2:B3557,B3557)=1,1,0)</f>
        <v>0</v>
      </c>
      <c r="W3557" s="13" t="n">
        <f aca="false">IF(COUNTIFS($B$2:B3557,B3557,$T$2:T3557,T3557)=1,1,0)</f>
        <v>0</v>
      </c>
    </row>
    <row r="3558" customFormat="false" ht="15" hidden="false" customHeight="false" outlineLevel="0" collapsed="false">
      <c r="A3558" s="13" t="s">
        <v>4291</v>
      </c>
      <c r="B3558" s="13" t="s">
        <v>2179</v>
      </c>
      <c r="C3558" s="13" t="n">
        <v>330</v>
      </c>
      <c r="D3558" s="13" t="n">
        <v>1</v>
      </c>
      <c r="E3558" s="13" t="n">
        <v>333.73</v>
      </c>
      <c r="F3558" s="13" t="s">
        <v>5288</v>
      </c>
      <c r="G3558" s="13" t="s">
        <v>5292</v>
      </c>
      <c r="H3558" s="13" t="s">
        <v>5289</v>
      </c>
      <c r="I3558" s="13" t="s">
        <v>5289</v>
      </c>
      <c r="J3558" s="13" t="s">
        <v>5289</v>
      </c>
      <c r="K3558" s="13" t="s">
        <v>5289</v>
      </c>
      <c r="L3558" s="13" t="n">
        <v>8410190637627</v>
      </c>
      <c r="M3558" s="13"/>
      <c r="N3558" s="13" t="n">
        <v>8410190637627</v>
      </c>
      <c r="O3558" s="13"/>
      <c r="P3558" s="13" t="s">
        <v>5291</v>
      </c>
      <c r="Q3558" s="13" t="s">
        <v>5289</v>
      </c>
      <c r="R3558" s="13" t="s">
        <v>5292</v>
      </c>
      <c r="S3558" s="13" t="s">
        <v>5293</v>
      </c>
      <c r="T3558" s="13" t="s">
        <v>5</v>
      </c>
      <c r="U3558" s="13" t="s">
        <v>43</v>
      </c>
      <c r="V3558" s="13" t="n">
        <f aca="false">IF(COUNTIF($B$2:B3558,B3558)=1,1,0)</f>
        <v>0</v>
      </c>
      <c r="W3558" s="13" t="n">
        <f aca="false">IF(COUNTIFS($B$2:B3558,B3558,$T$2:T3558,T3558)=1,1,0)</f>
        <v>0</v>
      </c>
    </row>
    <row r="3559" customFormat="false" ht="15" hidden="false" customHeight="false" outlineLevel="0" collapsed="false">
      <c r="A3559" s="13" t="s">
        <v>1401</v>
      </c>
      <c r="B3559" s="13" t="s">
        <v>121</v>
      </c>
      <c r="C3559" s="13" t="n">
        <v>330</v>
      </c>
      <c r="D3559" s="13" t="n">
        <v>2</v>
      </c>
      <c r="E3559" s="13" t="n">
        <v>111</v>
      </c>
      <c r="F3559" s="13" t="s">
        <v>5325</v>
      </c>
      <c r="G3559" s="13" t="s">
        <v>5289</v>
      </c>
      <c r="H3559" s="13" t="s">
        <v>5289</v>
      </c>
      <c r="I3559" s="13" t="s">
        <v>5289</v>
      </c>
      <c r="J3559" s="13" t="s">
        <v>5289</v>
      </c>
      <c r="K3559" s="13" t="s">
        <v>5289</v>
      </c>
      <c r="L3559" s="13"/>
      <c r="M3559" s="13"/>
      <c r="N3559" s="13" t="n">
        <v>7896086909640</v>
      </c>
      <c r="O3559" s="13"/>
      <c r="P3559" s="13" t="s">
        <v>5291</v>
      </c>
      <c r="Q3559" s="13" t="s">
        <v>5289</v>
      </c>
      <c r="R3559" s="13" t="s">
        <v>5292</v>
      </c>
      <c r="S3559" s="13" t="s">
        <v>5293</v>
      </c>
      <c r="T3559" s="13" t="s">
        <v>5</v>
      </c>
      <c r="U3559" s="13" t="s">
        <v>43</v>
      </c>
      <c r="V3559" s="13" t="n">
        <f aca="false">IF(COUNTIF($B$2:B3559,B3559)=1,1,0)</f>
        <v>0</v>
      </c>
      <c r="W3559" s="13" t="n">
        <f aca="false">IF(COUNTIFS($B$2:B3559,B3559,$T$2:T3559,T3559)=1,1,0)</f>
        <v>0</v>
      </c>
    </row>
    <row r="3560" customFormat="false" ht="15" hidden="false" customHeight="false" outlineLevel="0" collapsed="false">
      <c r="A3560" s="13" t="s">
        <v>1847</v>
      </c>
      <c r="B3560" s="13" t="s">
        <v>54</v>
      </c>
      <c r="C3560" s="13" t="n">
        <v>330</v>
      </c>
      <c r="D3560" s="13" t="n">
        <v>1</v>
      </c>
      <c r="E3560" s="13" t="n">
        <v>331.55</v>
      </c>
      <c r="F3560" s="13" t="s">
        <v>5325</v>
      </c>
      <c r="G3560" s="13" t="s">
        <v>5289</v>
      </c>
      <c r="H3560" s="13" t="s">
        <v>5289</v>
      </c>
      <c r="I3560" s="13" t="s">
        <v>5289</v>
      </c>
      <c r="J3560" s="13" t="s">
        <v>5289</v>
      </c>
      <c r="K3560" s="13" t="s">
        <v>5289</v>
      </c>
      <c r="L3560" s="13" t="n">
        <v>729238157989</v>
      </c>
      <c r="M3560" s="13"/>
      <c r="N3560" s="13" t="n">
        <v>729238157989</v>
      </c>
      <c r="O3560" s="13"/>
      <c r="P3560" s="13" t="s">
        <v>5291</v>
      </c>
      <c r="Q3560" s="13" t="s">
        <v>5289</v>
      </c>
      <c r="R3560" s="13" t="s">
        <v>5292</v>
      </c>
      <c r="S3560" s="13" t="s">
        <v>5293</v>
      </c>
      <c r="T3560" s="13" t="s">
        <v>5</v>
      </c>
      <c r="U3560" s="13" t="s">
        <v>183</v>
      </c>
      <c r="V3560" s="13" t="n">
        <f aca="false">IF(COUNTIF($B$2:B3560,B3560)=1,1,0)</f>
        <v>0</v>
      </c>
      <c r="W3560" s="13" t="n">
        <f aca="false">IF(COUNTIFS($B$2:B3560,B3560,$T$2:T3560,T3560)=1,1,0)</f>
        <v>0</v>
      </c>
    </row>
    <row r="3561" customFormat="false" ht="15" hidden="false" customHeight="false" outlineLevel="0" collapsed="false">
      <c r="A3561" s="13" t="s">
        <v>989</v>
      </c>
      <c r="B3561" s="13" t="s">
        <v>54</v>
      </c>
      <c r="C3561" s="13" t="n">
        <v>330</v>
      </c>
      <c r="D3561" s="13" t="n">
        <v>1</v>
      </c>
      <c r="E3561" s="13" t="n">
        <v>331.4</v>
      </c>
      <c r="F3561" s="13" t="s">
        <v>5288</v>
      </c>
      <c r="G3561" s="13" t="s">
        <v>5292</v>
      </c>
      <c r="H3561" s="13" t="s">
        <v>5289</v>
      </c>
      <c r="I3561" s="13" t="s">
        <v>5289</v>
      </c>
      <c r="J3561" s="13" t="s">
        <v>5289</v>
      </c>
      <c r="K3561" s="13" t="s">
        <v>5289</v>
      </c>
      <c r="L3561" s="13" t="n">
        <v>729238157989</v>
      </c>
      <c r="M3561" s="13"/>
      <c r="N3561" s="13" t="n">
        <v>729238157989</v>
      </c>
      <c r="O3561" s="13"/>
      <c r="P3561" s="13" t="s">
        <v>5291</v>
      </c>
      <c r="Q3561" s="13" t="s">
        <v>5289</v>
      </c>
      <c r="R3561" s="13" t="s">
        <v>5292</v>
      </c>
      <c r="S3561" s="13" t="s">
        <v>5293</v>
      </c>
      <c r="T3561" s="13" t="s">
        <v>5</v>
      </c>
      <c r="U3561" s="13" t="s">
        <v>43</v>
      </c>
      <c r="V3561" s="13" t="n">
        <f aca="false">IF(COUNTIF($B$2:B3561,B3561)=1,1,0)</f>
        <v>0</v>
      </c>
      <c r="W3561" s="13" t="n">
        <f aca="false">IF(COUNTIFS($B$2:B3561,B3561,$T$2:T3561,T3561)=1,1,0)</f>
        <v>0</v>
      </c>
    </row>
    <row r="3562" customFormat="false" ht="15" hidden="false" customHeight="false" outlineLevel="0" collapsed="false">
      <c r="A3562" s="13" t="s">
        <v>1848</v>
      </c>
      <c r="B3562" s="13" t="s">
        <v>61</v>
      </c>
      <c r="C3562" s="13" t="n">
        <v>330</v>
      </c>
      <c r="D3562" s="13" t="n">
        <v>1</v>
      </c>
      <c r="E3562" s="13" t="n">
        <v>330.85</v>
      </c>
      <c r="F3562" s="13" t="s">
        <v>5325</v>
      </c>
      <c r="G3562" s="13" t="s">
        <v>5289</v>
      </c>
      <c r="H3562" s="13" t="s">
        <v>5292</v>
      </c>
      <c r="I3562" s="13" t="s">
        <v>5289</v>
      </c>
      <c r="J3562" s="13" t="s">
        <v>5289</v>
      </c>
      <c r="K3562" s="13" t="s">
        <v>5292</v>
      </c>
      <c r="L3562" s="13" t="n">
        <v>3614274376630</v>
      </c>
      <c r="M3562" s="13"/>
      <c r="N3562" s="13" t="n">
        <v>3614274376630</v>
      </c>
      <c r="O3562" s="13"/>
      <c r="P3562" s="13" t="s">
        <v>5291</v>
      </c>
      <c r="Q3562" s="13" t="s">
        <v>5289</v>
      </c>
      <c r="R3562" s="13" t="s">
        <v>5292</v>
      </c>
      <c r="S3562" s="13" t="s">
        <v>5293</v>
      </c>
      <c r="T3562" s="13" t="s">
        <v>5</v>
      </c>
      <c r="U3562" s="13" t="s">
        <v>43</v>
      </c>
      <c r="V3562" s="13" t="n">
        <f aca="false">IF(COUNTIF($B$2:B3562,B3562)=1,1,0)</f>
        <v>0</v>
      </c>
      <c r="W3562" s="13" t="n">
        <f aca="false">IF(COUNTIFS($B$2:B3562,B3562,$T$2:T3562,T3562)=1,1,0)</f>
        <v>0</v>
      </c>
    </row>
    <row r="3563" customFormat="false" ht="15" hidden="false" customHeight="false" outlineLevel="0" collapsed="false">
      <c r="A3563" s="13" t="s">
        <v>232</v>
      </c>
      <c r="B3563" s="13" t="s">
        <v>61</v>
      </c>
      <c r="C3563" s="13" t="n">
        <v>330</v>
      </c>
      <c r="D3563" s="13" t="n">
        <v>1</v>
      </c>
      <c r="E3563" s="13" t="n">
        <v>329.99</v>
      </c>
      <c r="F3563" s="13" t="s">
        <v>5288</v>
      </c>
      <c r="G3563" s="13" t="s">
        <v>5292</v>
      </c>
      <c r="H3563" s="13" t="s">
        <v>5289</v>
      </c>
      <c r="I3563" s="13" t="s">
        <v>5289</v>
      </c>
      <c r="J3563" s="13" t="s">
        <v>5289</v>
      </c>
      <c r="K3563" s="13" t="s">
        <v>5289</v>
      </c>
      <c r="L3563" s="13"/>
      <c r="M3563" s="13"/>
      <c r="N3563" s="13" t="n">
        <v>3605532612690</v>
      </c>
      <c r="O3563" s="13"/>
      <c r="P3563" s="13" t="s">
        <v>5291</v>
      </c>
      <c r="Q3563" s="13" t="s">
        <v>5289</v>
      </c>
      <c r="R3563" s="13" t="s">
        <v>5292</v>
      </c>
      <c r="S3563" s="13" t="s">
        <v>5293</v>
      </c>
      <c r="T3563" s="13" t="s">
        <v>5</v>
      </c>
      <c r="U3563" s="13" t="s">
        <v>43</v>
      </c>
      <c r="V3563" s="13" t="n">
        <f aca="false">IF(COUNTIF($B$2:B3563,B3563)=1,1,0)</f>
        <v>0</v>
      </c>
      <c r="W3563" s="13" t="n">
        <f aca="false">IF(COUNTIFS($B$2:B3563,B3563,$T$2:T3563,T3563)=1,1,0)</f>
        <v>0</v>
      </c>
    </row>
    <row r="3564" customFormat="false" ht="15" hidden="false" customHeight="false" outlineLevel="0" collapsed="false">
      <c r="A3564" s="13" t="s">
        <v>1849</v>
      </c>
      <c r="B3564" s="13" t="s">
        <v>153</v>
      </c>
      <c r="C3564" s="13" t="n">
        <v>330</v>
      </c>
      <c r="D3564" s="13" t="n">
        <v>1</v>
      </c>
      <c r="E3564" s="13" t="n">
        <v>329</v>
      </c>
      <c r="F3564" s="13" t="s">
        <v>5288</v>
      </c>
      <c r="G3564" s="13" t="s">
        <v>5292</v>
      </c>
      <c r="H3564" s="13" t="s">
        <v>5289</v>
      </c>
      <c r="I3564" s="13" t="s">
        <v>5289</v>
      </c>
      <c r="J3564" s="13" t="s">
        <v>5289</v>
      </c>
      <c r="K3564" s="13" t="s">
        <v>5289</v>
      </c>
      <c r="L3564" s="13" t="n">
        <v>8011003995943</v>
      </c>
      <c r="M3564" s="13"/>
      <c r="N3564" s="13" t="n">
        <v>8011003995943</v>
      </c>
      <c r="O3564" s="13"/>
      <c r="P3564" s="13" t="s">
        <v>5291</v>
      </c>
      <c r="Q3564" s="13" t="s">
        <v>5289</v>
      </c>
      <c r="R3564" s="13" t="s">
        <v>5292</v>
      </c>
      <c r="S3564" s="13" t="s">
        <v>5293</v>
      </c>
      <c r="T3564" s="13" t="s">
        <v>5</v>
      </c>
      <c r="U3564" s="13" t="s">
        <v>43</v>
      </c>
      <c r="V3564" s="13" t="n">
        <f aca="false">IF(COUNTIF($B$2:B3564,B3564)=1,1,0)</f>
        <v>0</v>
      </c>
      <c r="W3564" s="13" t="n">
        <f aca="false">IF(COUNTIFS($B$2:B3564,B3564,$T$2:T3564,T3564)=1,1,0)</f>
        <v>0</v>
      </c>
    </row>
    <row r="3565" customFormat="false" ht="15" hidden="false" customHeight="false" outlineLevel="0" collapsed="false">
      <c r="A3565" s="13" t="s">
        <v>4767</v>
      </c>
      <c r="B3565" s="13" t="s">
        <v>2215</v>
      </c>
      <c r="C3565" s="13" t="n">
        <v>330</v>
      </c>
      <c r="D3565" s="13" t="n">
        <v>1</v>
      </c>
      <c r="E3565" s="13" t="n">
        <v>328.85</v>
      </c>
      <c r="F3565" s="13" t="s">
        <v>5325</v>
      </c>
      <c r="G3565" s="13" t="s">
        <v>5292</v>
      </c>
      <c r="H3565" s="13" t="s">
        <v>5292</v>
      </c>
      <c r="I3565" s="13" t="s">
        <v>5289</v>
      </c>
      <c r="J3565" s="13" t="s">
        <v>5289</v>
      </c>
      <c r="K3565" s="13" t="s">
        <v>5292</v>
      </c>
      <c r="L3565" s="13" t="n">
        <v>3474637335687</v>
      </c>
      <c r="M3565" s="13"/>
      <c r="N3565" s="13" t="n">
        <v>3474637335687</v>
      </c>
      <c r="O3565" s="13"/>
      <c r="P3565" s="13" t="s">
        <v>5291</v>
      </c>
      <c r="Q3565" s="13" t="s">
        <v>5289</v>
      </c>
      <c r="R3565" s="13" t="s">
        <v>5292</v>
      </c>
      <c r="S3565" s="13" t="s">
        <v>5293</v>
      </c>
      <c r="T3565" s="13" t="s">
        <v>5</v>
      </c>
      <c r="U3565" s="13" t="s">
        <v>85</v>
      </c>
      <c r="V3565" s="13" t="n">
        <f aca="false">IF(COUNTIF($B$2:B3565,B3565)=1,1,0)</f>
        <v>1</v>
      </c>
      <c r="W3565" s="13" t="n">
        <f aca="false">IF(COUNTIFS($B$2:B3565,B3565,$T$2:T3565,T3565)=1,1,0)</f>
        <v>1</v>
      </c>
    </row>
    <row r="3566" customFormat="false" ht="15" hidden="false" customHeight="false" outlineLevel="0" collapsed="false">
      <c r="A3566" s="13" t="s">
        <v>656</v>
      </c>
      <c r="B3566" s="13" t="s">
        <v>54</v>
      </c>
      <c r="C3566" s="13" t="n">
        <v>330</v>
      </c>
      <c r="D3566" s="13" t="n">
        <v>1</v>
      </c>
      <c r="E3566" s="13" t="n">
        <v>328.85</v>
      </c>
      <c r="F3566" s="13" t="s">
        <v>5325</v>
      </c>
      <c r="G3566" s="13" t="s">
        <v>5292</v>
      </c>
      <c r="H3566" s="13" t="s">
        <v>5292</v>
      </c>
      <c r="I3566" s="13" t="s">
        <v>5289</v>
      </c>
      <c r="J3566" s="13" t="s">
        <v>5289</v>
      </c>
      <c r="K3566" s="13" t="s">
        <v>5292</v>
      </c>
      <c r="L3566" s="13" t="n">
        <v>7898965700980</v>
      </c>
      <c r="M3566" s="13"/>
      <c r="N3566" s="13" t="n">
        <v>2.88096570098079E+025</v>
      </c>
      <c r="O3566" s="13"/>
      <c r="P3566" s="13" t="s">
        <v>5297</v>
      </c>
      <c r="Q3566" s="13" t="s">
        <v>5289</v>
      </c>
      <c r="R3566" s="13" t="s">
        <v>5292</v>
      </c>
      <c r="S3566" s="13" t="s">
        <v>5293</v>
      </c>
      <c r="T3566" s="13" t="s">
        <v>5</v>
      </c>
      <c r="U3566" s="13" t="s">
        <v>43</v>
      </c>
      <c r="V3566" s="13" t="n">
        <f aca="false">IF(COUNTIF($B$2:B3566,B3566)=1,1,0)</f>
        <v>0</v>
      </c>
      <c r="W3566" s="13" t="n">
        <f aca="false">IF(COUNTIFS($B$2:B3566,B3566,$T$2:T3566,T3566)=1,1,0)</f>
        <v>0</v>
      </c>
    </row>
    <row r="3567" customFormat="false" ht="15" hidden="false" customHeight="false" outlineLevel="0" collapsed="false">
      <c r="A3567" s="13" t="s">
        <v>1843</v>
      </c>
      <c r="B3567" s="13" t="s">
        <v>121</v>
      </c>
      <c r="C3567" s="13" t="n">
        <v>330</v>
      </c>
      <c r="D3567" s="13" t="n">
        <v>2</v>
      </c>
      <c r="E3567" s="13" t="n">
        <v>82</v>
      </c>
      <c r="F3567" s="13" t="s">
        <v>5325</v>
      </c>
      <c r="G3567" s="13" t="s">
        <v>5292</v>
      </c>
      <c r="H3567" s="13" t="s">
        <v>5289</v>
      </c>
      <c r="I3567" s="13" t="s">
        <v>5289</v>
      </c>
      <c r="J3567" s="13" t="s">
        <v>5289</v>
      </c>
      <c r="K3567" s="13" t="s">
        <v>5289</v>
      </c>
      <c r="L3567" s="13"/>
      <c r="M3567" s="13"/>
      <c r="N3567" s="13" t="n">
        <v>7896086917881</v>
      </c>
      <c r="O3567" s="13"/>
      <c r="P3567" s="13" t="s">
        <v>5297</v>
      </c>
      <c r="Q3567" s="13" t="s">
        <v>5289</v>
      </c>
      <c r="R3567" s="13" t="s">
        <v>5292</v>
      </c>
      <c r="S3567" s="13" t="s">
        <v>5293</v>
      </c>
      <c r="T3567" s="13" t="s">
        <v>5</v>
      </c>
      <c r="U3567" s="13" t="s">
        <v>43</v>
      </c>
      <c r="V3567" s="13" t="n">
        <f aca="false">IF(COUNTIF($B$2:B3567,B3567)=1,1,0)</f>
        <v>0</v>
      </c>
      <c r="W3567" s="13" t="n">
        <f aca="false">IF(COUNTIFS($B$2:B3567,B3567,$T$2:T3567,T3567)=1,1,0)</f>
        <v>0</v>
      </c>
    </row>
    <row r="3568" customFormat="false" ht="15" hidden="false" customHeight="false" outlineLevel="0" collapsed="false">
      <c r="A3568" s="13" t="s">
        <v>3525</v>
      </c>
      <c r="B3568" s="13" t="s">
        <v>2145</v>
      </c>
      <c r="C3568" s="13" t="n">
        <v>330</v>
      </c>
      <c r="D3568" s="13" t="n">
        <v>1</v>
      </c>
      <c r="E3568" s="13" t="n">
        <v>325.77</v>
      </c>
      <c r="F3568" s="13" t="s">
        <v>5325</v>
      </c>
      <c r="G3568" s="13" t="s">
        <v>5289</v>
      </c>
      <c r="H3568" s="13" t="s">
        <v>5292</v>
      </c>
      <c r="I3568" s="13" t="s">
        <v>5289</v>
      </c>
      <c r="J3568" s="13" t="s">
        <v>5289</v>
      </c>
      <c r="K3568" s="13" t="s">
        <v>5289</v>
      </c>
      <c r="L3568" s="13" t="n">
        <v>4064941178613</v>
      </c>
      <c r="M3568" s="13"/>
      <c r="N3568" s="13" t="n">
        <v>4064941178613</v>
      </c>
      <c r="O3568" s="13"/>
      <c r="P3568" s="13" t="s">
        <v>5291</v>
      </c>
      <c r="Q3568" s="13" t="s">
        <v>5289</v>
      </c>
      <c r="R3568" s="13" t="s">
        <v>5292</v>
      </c>
      <c r="S3568" s="13" t="s">
        <v>5293</v>
      </c>
      <c r="T3568" s="13" t="s">
        <v>5</v>
      </c>
      <c r="U3568" s="13" t="s">
        <v>43</v>
      </c>
      <c r="V3568" s="13" t="n">
        <f aca="false">IF(COUNTIF($B$2:B3568,B3568)=1,1,0)</f>
        <v>0</v>
      </c>
      <c r="W3568" s="13" t="n">
        <f aca="false">IF(COUNTIFS($B$2:B3568,B3568,$T$2:T3568,T3568)=1,1,0)</f>
        <v>0</v>
      </c>
    </row>
    <row r="3569" customFormat="false" ht="15" hidden="false" customHeight="false" outlineLevel="0" collapsed="false">
      <c r="A3569" s="13" t="s">
        <v>1108</v>
      </c>
      <c r="B3569" s="13" t="s">
        <v>107</v>
      </c>
      <c r="C3569" s="13" t="n">
        <v>320</v>
      </c>
      <c r="D3569" s="13" t="n">
        <v>1</v>
      </c>
      <c r="E3569" s="13" t="n">
        <v>324.9</v>
      </c>
      <c r="F3569" s="13" t="s">
        <v>5325</v>
      </c>
      <c r="G3569" s="13" t="s">
        <v>5289</v>
      </c>
      <c r="H3569" s="13" t="s">
        <v>5289</v>
      </c>
      <c r="I3569" s="13" t="s">
        <v>5289</v>
      </c>
      <c r="J3569" s="13" t="s">
        <v>5289</v>
      </c>
      <c r="K3569" s="13" t="s">
        <v>5289</v>
      </c>
      <c r="L3569" s="13"/>
      <c r="M3569" s="13"/>
      <c r="N3569" s="13" t="n">
        <v>9000250226404</v>
      </c>
      <c r="O3569" s="13"/>
      <c r="P3569" s="13" t="s">
        <v>5297</v>
      </c>
      <c r="Q3569" s="13" t="s">
        <v>5289</v>
      </c>
      <c r="R3569" s="13" t="s">
        <v>5292</v>
      </c>
      <c r="S3569" s="13" t="s">
        <v>5293</v>
      </c>
      <c r="T3569" s="13" t="s">
        <v>5</v>
      </c>
      <c r="U3569" s="13" t="s">
        <v>183</v>
      </c>
      <c r="V3569" s="13" t="n">
        <f aca="false">IF(COUNTIF($B$2:B3569,B3569)=1,1,0)</f>
        <v>0</v>
      </c>
      <c r="W3569" s="13" t="n">
        <f aca="false">IF(COUNTIFS($B$2:B3569,B3569,$T$2:T3569,T3569)=1,1,0)</f>
        <v>0</v>
      </c>
    </row>
    <row r="3570" customFormat="false" ht="15" hidden="false" customHeight="false" outlineLevel="0" collapsed="false">
      <c r="A3570" s="13" t="s">
        <v>3751</v>
      </c>
      <c r="B3570" s="13" t="s">
        <v>2145</v>
      </c>
      <c r="C3570" s="13" t="n">
        <v>320</v>
      </c>
      <c r="D3570" s="13" t="n">
        <v>1</v>
      </c>
      <c r="E3570" s="13" t="n">
        <v>323.5</v>
      </c>
      <c r="F3570" s="13" t="s">
        <v>5288</v>
      </c>
      <c r="G3570" s="13" t="s">
        <v>5289</v>
      </c>
      <c r="H3570" s="13" t="s">
        <v>5289</v>
      </c>
      <c r="I3570" s="13" t="s">
        <v>5289</v>
      </c>
      <c r="J3570" s="13" t="s">
        <v>5289</v>
      </c>
      <c r="K3570" s="13" t="s">
        <v>5289</v>
      </c>
      <c r="L3570" s="13"/>
      <c r="M3570" s="13"/>
      <c r="N3570" s="13" t="n">
        <v>4064941156833</v>
      </c>
      <c r="O3570" s="13"/>
      <c r="P3570" s="13" t="s">
        <v>5291</v>
      </c>
      <c r="Q3570" s="13" t="s">
        <v>5289</v>
      </c>
      <c r="R3570" s="13" t="s">
        <v>5292</v>
      </c>
      <c r="S3570" s="13" t="s">
        <v>5293</v>
      </c>
      <c r="T3570" s="13" t="s">
        <v>5</v>
      </c>
      <c r="U3570" s="13" t="s">
        <v>43</v>
      </c>
      <c r="V3570" s="13" t="n">
        <f aca="false">IF(COUNTIF($B$2:B3570,B3570)=1,1,0)</f>
        <v>0</v>
      </c>
      <c r="W3570" s="13" t="n">
        <f aca="false">IF(COUNTIFS($B$2:B3570,B3570,$T$2:T3570,T3570)=1,1,0)</f>
        <v>0</v>
      </c>
    </row>
    <row r="3571" customFormat="false" ht="15" hidden="false" customHeight="false" outlineLevel="0" collapsed="false">
      <c r="A3571" s="13" t="s">
        <v>4777</v>
      </c>
      <c r="B3571" s="13" t="s">
        <v>2254</v>
      </c>
      <c r="C3571" s="13" t="n">
        <v>320</v>
      </c>
      <c r="D3571" s="13" t="n">
        <v>1</v>
      </c>
      <c r="E3571" s="13" t="n">
        <v>322.85</v>
      </c>
      <c r="F3571" s="13" t="s">
        <v>5325</v>
      </c>
      <c r="G3571" s="13" t="s">
        <v>5292</v>
      </c>
      <c r="H3571" s="13" t="s">
        <v>5289</v>
      </c>
      <c r="I3571" s="13" t="s">
        <v>5289</v>
      </c>
      <c r="J3571" s="13" t="s">
        <v>5289</v>
      </c>
      <c r="K3571" s="13" t="s">
        <v>5292</v>
      </c>
      <c r="L3571" s="13" t="n">
        <v>729238187061</v>
      </c>
      <c r="M3571" s="13"/>
      <c r="N3571" s="13" t="n">
        <v>729238187061</v>
      </c>
      <c r="O3571" s="13"/>
      <c r="P3571" s="13" t="s">
        <v>5297</v>
      </c>
      <c r="Q3571" s="13" t="s">
        <v>5289</v>
      </c>
      <c r="R3571" s="13" t="s">
        <v>5292</v>
      </c>
      <c r="S3571" s="13" t="s">
        <v>5293</v>
      </c>
      <c r="T3571" s="13" t="s">
        <v>5</v>
      </c>
      <c r="U3571" s="13" t="s">
        <v>85</v>
      </c>
      <c r="V3571" s="13" t="n">
        <f aca="false">IF(COUNTIF($B$2:B3571,B3571)=1,1,0)</f>
        <v>0</v>
      </c>
      <c r="W3571" s="13" t="n">
        <f aca="false">IF(COUNTIFS($B$2:B3571,B3571,$T$2:T3571,T3571)=1,1,0)</f>
        <v>0</v>
      </c>
    </row>
    <row r="3572" customFormat="false" ht="15" hidden="false" customHeight="false" outlineLevel="0" collapsed="false">
      <c r="A3572" s="13" t="s">
        <v>1809</v>
      </c>
      <c r="B3572" s="13" t="s">
        <v>54</v>
      </c>
      <c r="C3572" s="13" t="n">
        <v>320</v>
      </c>
      <c r="D3572" s="13" t="n">
        <v>1</v>
      </c>
      <c r="E3572" s="13" t="n">
        <v>321.99</v>
      </c>
      <c r="F3572" s="13" t="s">
        <v>5325</v>
      </c>
      <c r="G3572" s="13" t="s">
        <v>5289</v>
      </c>
      <c r="H3572" s="13" t="s">
        <v>5289</v>
      </c>
      <c r="I3572" s="13" t="s">
        <v>5289</v>
      </c>
      <c r="J3572" s="13" t="s">
        <v>5289</v>
      </c>
      <c r="K3572" s="13" t="s">
        <v>5289</v>
      </c>
      <c r="L3572" s="13" t="n">
        <v>730852145283</v>
      </c>
      <c r="M3572" s="13"/>
      <c r="N3572" s="13" t="n">
        <v>730852145283</v>
      </c>
      <c r="O3572" s="13"/>
      <c r="P3572" s="13" t="s">
        <v>5291</v>
      </c>
      <c r="Q3572" s="13" t="s">
        <v>5289</v>
      </c>
      <c r="R3572" s="13" t="s">
        <v>5292</v>
      </c>
      <c r="S3572" s="13" t="s">
        <v>5293</v>
      </c>
      <c r="T3572" s="13" t="s">
        <v>5</v>
      </c>
      <c r="U3572" s="13" t="s">
        <v>43</v>
      </c>
      <c r="V3572" s="13" t="n">
        <f aca="false">IF(COUNTIF($B$2:B3572,B3572)=1,1,0)</f>
        <v>0</v>
      </c>
      <c r="W3572" s="13" t="n">
        <f aca="false">IF(COUNTIFS($B$2:B3572,B3572,$T$2:T3572,T3572)=1,1,0)</f>
        <v>0</v>
      </c>
    </row>
    <row r="3573" customFormat="false" ht="15" hidden="false" customHeight="false" outlineLevel="0" collapsed="false">
      <c r="A3573" s="13" t="s">
        <v>989</v>
      </c>
      <c r="B3573" s="13" t="s">
        <v>54</v>
      </c>
      <c r="C3573" s="13" t="n">
        <v>320</v>
      </c>
      <c r="D3573" s="13" t="n">
        <v>1</v>
      </c>
      <c r="E3573" s="13" t="n">
        <v>321.46</v>
      </c>
      <c r="F3573" s="13" t="s">
        <v>5288</v>
      </c>
      <c r="G3573" s="13" t="s">
        <v>5292</v>
      </c>
      <c r="H3573" s="13" t="s">
        <v>5292</v>
      </c>
      <c r="I3573" s="13" t="s">
        <v>5289</v>
      </c>
      <c r="J3573" s="13" t="s">
        <v>5289</v>
      </c>
      <c r="K3573" s="13" t="s">
        <v>5289</v>
      </c>
      <c r="L3573" s="13" t="n">
        <v>729238157989</v>
      </c>
      <c r="M3573" s="13"/>
      <c r="N3573" s="13" t="n">
        <v>729238157989</v>
      </c>
      <c r="O3573" s="13"/>
      <c r="P3573" s="13" t="s">
        <v>5297</v>
      </c>
      <c r="Q3573" s="13" t="s">
        <v>5289</v>
      </c>
      <c r="R3573" s="13" t="s">
        <v>5292</v>
      </c>
      <c r="S3573" s="13" t="s">
        <v>5293</v>
      </c>
      <c r="T3573" s="13" t="s">
        <v>5</v>
      </c>
      <c r="U3573" s="13" t="s">
        <v>43</v>
      </c>
      <c r="V3573" s="13" t="n">
        <f aca="false">IF(COUNTIF($B$2:B3573,B3573)=1,1,0)</f>
        <v>0</v>
      </c>
      <c r="W3573" s="13" t="n">
        <f aca="false">IF(COUNTIFS($B$2:B3573,B3573,$T$2:T3573,T3573)=1,1,0)</f>
        <v>0</v>
      </c>
    </row>
    <row r="3574" customFormat="false" ht="15" hidden="false" customHeight="false" outlineLevel="0" collapsed="false">
      <c r="A3574" s="13" t="s">
        <v>4654</v>
      </c>
      <c r="B3574" s="13" t="s">
        <v>2267</v>
      </c>
      <c r="C3574" s="13" t="n">
        <v>320</v>
      </c>
      <c r="D3574" s="13" t="n">
        <v>2</v>
      </c>
      <c r="E3574" s="13" t="n">
        <v>106.71</v>
      </c>
      <c r="F3574" s="13" t="s">
        <v>5288</v>
      </c>
      <c r="G3574" s="13" t="s">
        <v>5289</v>
      </c>
      <c r="H3574" s="13" t="s">
        <v>5289</v>
      </c>
      <c r="I3574" s="13" t="s">
        <v>5289</v>
      </c>
      <c r="J3574" s="13" t="s">
        <v>5289</v>
      </c>
      <c r="K3574" s="13" t="s">
        <v>5289</v>
      </c>
      <c r="L3574" s="13" t="n">
        <v>3616305629357</v>
      </c>
      <c r="M3574" s="13"/>
      <c r="N3574" s="13" t="n">
        <v>3616305629357</v>
      </c>
      <c r="O3574" s="13"/>
      <c r="P3574" s="13" t="s">
        <v>5291</v>
      </c>
      <c r="Q3574" s="13" t="s">
        <v>5289</v>
      </c>
      <c r="R3574" s="13" t="s">
        <v>5292</v>
      </c>
      <c r="S3574" s="13" t="s">
        <v>5293</v>
      </c>
      <c r="T3574" s="13" t="s">
        <v>5</v>
      </c>
      <c r="U3574" s="13" t="s">
        <v>43</v>
      </c>
      <c r="V3574" s="13" t="n">
        <f aca="false">IF(COUNTIF($B$2:B3574,B3574)=1,1,0)</f>
        <v>1</v>
      </c>
      <c r="W3574" s="13" t="n">
        <f aca="false">IF(COUNTIFS($B$2:B3574,B3574,$T$2:T3574,T3574)=1,1,0)</f>
        <v>1</v>
      </c>
    </row>
    <row r="3575" customFormat="false" ht="15" hidden="false" customHeight="false" outlineLevel="0" collapsed="false">
      <c r="A3575" s="13" t="s">
        <v>1851</v>
      </c>
      <c r="B3575" s="13" t="s">
        <v>121</v>
      </c>
      <c r="C3575" s="13" t="n">
        <v>320</v>
      </c>
      <c r="D3575" s="13" t="n">
        <v>2</v>
      </c>
      <c r="E3575" s="13" t="n">
        <v>158.76</v>
      </c>
      <c r="F3575" s="13" t="s">
        <v>5288</v>
      </c>
      <c r="G3575" s="13" t="s">
        <v>5292</v>
      </c>
      <c r="H3575" s="13" t="s">
        <v>5289</v>
      </c>
      <c r="I3575" s="13" t="s">
        <v>5289</v>
      </c>
      <c r="J3575" s="13" t="s">
        <v>5289</v>
      </c>
      <c r="K3575" s="13" t="s">
        <v>5289</v>
      </c>
      <c r="L3575" s="13" t="n">
        <v>7896086946423</v>
      </c>
      <c r="M3575" s="13"/>
      <c r="N3575" s="13" t="n">
        <v>7896086946423</v>
      </c>
      <c r="O3575" s="13"/>
      <c r="P3575" s="13" t="s">
        <v>5297</v>
      </c>
      <c r="Q3575" s="13" t="s">
        <v>5289</v>
      </c>
      <c r="R3575" s="13" t="s">
        <v>5292</v>
      </c>
      <c r="S3575" s="13" t="s">
        <v>5293</v>
      </c>
      <c r="T3575" s="13" t="s">
        <v>5</v>
      </c>
      <c r="U3575" s="13" t="s">
        <v>43</v>
      </c>
      <c r="V3575" s="13" t="n">
        <f aca="false">IF(COUNTIF($B$2:B3575,B3575)=1,1,0)</f>
        <v>0</v>
      </c>
      <c r="W3575" s="13" t="n">
        <f aca="false">IF(COUNTIFS($B$2:B3575,B3575,$T$2:T3575,T3575)=1,1,0)</f>
        <v>0</v>
      </c>
    </row>
    <row r="3576" customFormat="false" ht="15" hidden="false" customHeight="false" outlineLevel="0" collapsed="false">
      <c r="A3576" s="13" t="s">
        <v>1850</v>
      </c>
      <c r="B3576" s="13" t="s">
        <v>630</v>
      </c>
      <c r="C3576" s="13" t="n">
        <v>320</v>
      </c>
      <c r="D3576" s="13" t="n">
        <v>2</v>
      </c>
      <c r="E3576" s="13" t="n">
        <v>158.73</v>
      </c>
      <c r="F3576" s="13" t="s">
        <v>5288</v>
      </c>
      <c r="G3576" s="13" t="s">
        <v>5289</v>
      </c>
      <c r="H3576" s="13" t="s">
        <v>5289</v>
      </c>
      <c r="I3576" s="13" t="s">
        <v>5289</v>
      </c>
      <c r="J3576" s="13" t="s">
        <v>5289</v>
      </c>
      <c r="K3576" s="13" t="s">
        <v>5289</v>
      </c>
      <c r="L3576" s="13" t="n">
        <v>8433982017094</v>
      </c>
      <c r="M3576" s="13"/>
      <c r="N3576" s="13" t="n">
        <v>8433982017094</v>
      </c>
      <c r="O3576" s="13"/>
      <c r="P3576" s="13" t="s">
        <v>5291</v>
      </c>
      <c r="Q3576" s="13" t="s">
        <v>5289</v>
      </c>
      <c r="R3576" s="13" t="s">
        <v>5292</v>
      </c>
      <c r="S3576" s="13" t="s">
        <v>5293</v>
      </c>
      <c r="T3576" s="13" t="s">
        <v>5</v>
      </c>
      <c r="U3576" s="13" t="s">
        <v>43</v>
      </c>
      <c r="V3576" s="13" t="n">
        <f aca="false">IF(COUNTIF($B$2:B3576,B3576)=1,1,0)</f>
        <v>0</v>
      </c>
      <c r="W3576" s="13" t="n">
        <f aca="false">IF(COUNTIFS($B$2:B3576,B3576,$T$2:T3576,T3576)=1,1,0)</f>
        <v>0</v>
      </c>
    </row>
    <row r="3577" customFormat="false" ht="15" hidden="false" customHeight="false" outlineLevel="0" collapsed="false">
      <c r="A3577" s="13" t="s">
        <v>1857</v>
      </c>
      <c r="B3577" s="13" t="s">
        <v>490</v>
      </c>
      <c r="C3577" s="13" t="n">
        <v>310</v>
      </c>
      <c r="D3577" s="13" t="n">
        <v>1</v>
      </c>
      <c r="E3577" s="13" t="n">
        <v>313.52</v>
      </c>
      <c r="F3577" s="13" t="s">
        <v>5325</v>
      </c>
      <c r="G3577" s="13" t="s">
        <v>5289</v>
      </c>
      <c r="H3577" s="13" t="s">
        <v>5289</v>
      </c>
      <c r="I3577" s="13" t="s">
        <v>5289</v>
      </c>
      <c r="J3577" s="13" t="s">
        <v>5289</v>
      </c>
      <c r="K3577" s="13" t="s">
        <v>5289</v>
      </c>
      <c r="L3577" s="13" t="n">
        <v>8011003864065</v>
      </c>
      <c r="M3577" s="13"/>
      <c r="N3577" s="13" t="n">
        <v>8011003864065</v>
      </c>
      <c r="O3577" s="13"/>
      <c r="P3577" s="13" t="s">
        <v>5291</v>
      </c>
      <c r="Q3577" s="13" t="s">
        <v>5289</v>
      </c>
      <c r="R3577" s="13" t="s">
        <v>5292</v>
      </c>
      <c r="S3577" s="13" t="s">
        <v>5293</v>
      </c>
      <c r="T3577" s="13" t="s">
        <v>5</v>
      </c>
      <c r="U3577" s="13" t="s">
        <v>43</v>
      </c>
      <c r="V3577" s="13" t="n">
        <f aca="false">IF(COUNTIF($B$2:B3577,B3577)=1,1,0)</f>
        <v>0</v>
      </c>
      <c r="W3577" s="13" t="n">
        <f aca="false">IF(COUNTIFS($B$2:B3577,B3577,$T$2:T3577,T3577)=1,1,0)</f>
        <v>0</v>
      </c>
    </row>
    <row r="3578" customFormat="false" ht="15" hidden="false" customHeight="false" outlineLevel="0" collapsed="false">
      <c r="A3578" s="13" t="s">
        <v>3383</v>
      </c>
      <c r="B3578" s="13" t="s">
        <v>2199</v>
      </c>
      <c r="C3578" s="13" t="n">
        <v>310</v>
      </c>
      <c r="D3578" s="13" t="n">
        <v>1</v>
      </c>
      <c r="E3578" s="13" t="n">
        <v>313.31</v>
      </c>
      <c r="F3578" s="13" t="s">
        <v>5325</v>
      </c>
      <c r="G3578" s="13" t="s">
        <v>5289</v>
      </c>
      <c r="H3578" s="13" t="s">
        <v>5292</v>
      </c>
      <c r="I3578" s="13" t="s">
        <v>5289</v>
      </c>
      <c r="J3578" s="13" t="s">
        <v>5289</v>
      </c>
      <c r="K3578" s="13" t="s">
        <v>5289</v>
      </c>
      <c r="L3578" s="13"/>
      <c r="M3578" s="13"/>
      <c r="N3578" s="13" t="n">
        <v>850049716307</v>
      </c>
      <c r="O3578" s="13"/>
      <c r="P3578" s="13" t="s">
        <v>5291</v>
      </c>
      <c r="Q3578" s="13" t="s">
        <v>5289</v>
      </c>
      <c r="R3578" s="13" t="s">
        <v>5292</v>
      </c>
      <c r="S3578" s="13" t="s">
        <v>5293</v>
      </c>
      <c r="T3578" s="13" t="s">
        <v>5</v>
      </c>
      <c r="U3578" s="13" t="s">
        <v>43</v>
      </c>
      <c r="V3578" s="13" t="n">
        <f aca="false">IF(COUNTIF($B$2:B3578,B3578)=1,1,0)</f>
        <v>0</v>
      </c>
      <c r="W3578" s="13" t="n">
        <f aca="false">IF(COUNTIFS($B$2:B3578,B3578,$T$2:T3578,T3578)=1,1,0)</f>
        <v>0</v>
      </c>
    </row>
    <row r="3579" customFormat="false" ht="15" hidden="false" customHeight="false" outlineLevel="0" collapsed="false">
      <c r="A3579" s="13" t="s">
        <v>1856</v>
      </c>
      <c r="B3579" s="13" t="s">
        <v>105</v>
      </c>
      <c r="C3579" s="13" t="n">
        <v>310</v>
      </c>
      <c r="D3579" s="13" t="n">
        <v>1</v>
      </c>
      <c r="E3579" s="13" t="n">
        <v>312</v>
      </c>
      <c r="F3579" s="13" t="s">
        <v>5288</v>
      </c>
      <c r="G3579" s="13" t="s">
        <v>5289</v>
      </c>
      <c r="H3579" s="13" t="s">
        <v>5289</v>
      </c>
      <c r="I3579" s="13" t="s">
        <v>5289</v>
      </c>
      <c r="J3579" s="13" t="s">
        <v>5289</v>
      </c>
      <c r="K3579" s="13" t="s">
        <v>5289</v>
      </c>
      <c r="L3579" s="13"/>
      <c r="M3579" s="13"/>
      <c r="N3579" s="13" t="n">
        <v>3616305040589</v>
      </c>
      <c r="O3579" s="13"/>
      <c r="P3579" s="13" t="s">
        <v>5291</v>
      </c>
      <c r="Q3579" s="13" t="s">
        <v>5289</v>
      </c>
      <c r="R3579" s="13" t="s">
        <v>5292</v>
      </c>
      <c r="S3579" s="13" t="s">
        <v>5293</v>
      </c>
      <c r="T3579" s="13" t="s">
        <v>5</v>
      </c>
      <c r="U3579" s="13" t="s">
        <v>43</v>
      </c>
      <c r="V3579" s="13" t="n">
        <f aca="false">IF(COUNTIF($B$2:B3579,B3579)=1,1,0)</f>
        <v>0</v>
      </c>
      <c r="W3579" s="13" t="n">
        <f aca="false">IF(COUNTIFS($B$2:B3579,B3579,$T$2:T3579,T3579)=1,1,0)</f>
        <v>0</v>
      </c>
    </row>
    <row r="3580" customFormat="false" ht="15" hidden="false" customHeight="false" outlineLevel="0" collapsed="false">
      <c r="A3580" s="13" t="s">
        <v>4788</v>
      </c>
      <c r="B3580" s="13" t="s">
        <v>2273</v>
      </c>
      <c r="C3580" s="13" t="n">
        <v>310</v>
      </c>
      <c r="D3580" s="13" t="n">
        <v>2</v>
      </c>
      <c r="E3580" s="13" t="n">
        <v>155.17</v>
      </c>
      <c r="F3580" s="13" t="s">
        <v>5288</v>
      </c>
      <c r="G3580" s="13" t="s">
        <v>5292</v>
      </c>
      <c r="H3580" s="13" t="s">
        <v>5289</v>
      </c>
      <c r="I3580" s="13" t="s">
        <v>5289</v>
      </c>
      <c r="J3580" s="13" t="s">
        <v>5289</v>
      </c>
      <c r="K3580" s="13" t="s">
        <v>5289</v>
      </c>
      <c r="L3580" s="13" t="n">
        <v>4550516485250</v>
      </c>
      <c r="M3580" s="13"/>
      <c r="N3580" s="13" t="n">
        <v>4550516485250</v>
      </c>
      <c r="O3580" s="13"/>
      <c r="P3580" s="13" t="s">
        <v>5297</v>
      </c>
      <c r="Q3580" s="13" t="s">
        <v>5289</v>
      </c>
      <c r="R3580" s="13" t="s">
        <v>5292</v>
      </c>
      <c r="S3580" s="13" t="s">
        <v>5293</v>
      </c>
      <c r="T3580" s="13" t="s">
        <v>5</v>
      </c>
      <c r="U3580" s="13" t="s">
        <v>85</v>
      </c>
      <c r="V3580" s="13" t="n">
        <f aca="false">IF(COUNTIF($B$2:B3580,B3580)=1,1,0)</f>
        <v>1</v>
      </c>
      <c r="W3580" s="13" t="n">
        <f aca="false">IF(COUNTIFS($B$2:B3580,B3580,$T$2:T3580,T3580)=1,1,0)</f>
        <v>1</v>
      </c>
    </row>
    <row r="3581" customFormat="false" ht="15" hidden="false" customHeight="false" outlineLevel="0" collapsed="false">
      <c r="A3581" s="13" t="s">
        <v>4786</v>
      </c>
      <c r="B3581" s="13" t="s">
        <v>2150</v>
      </c>
      <c r="C3581" s="13" t="n">
        <v>310</v>
      </c>
      <c r="D3581" s="13" t="n">
        <v>2</v>
      </c>
      <c r="E3581" s="13" t="n">
        <v>155</v>
      </c>
      <c r="F3581" s="13" t="s">
        <v>5325</v>
      </c>
      <c r="G3581" s="13" t="s">
        <v>5289</v>
      </c>
      <c r="H3581" s="13" t="s">
        <v>5289</v>
      </c>
      <c r="I3581" s="13" t="s">
        <v>5289</v>
      </c>
      <c r="J3581" s="13" t="s">
        <v>5289</v>
      </c>
      <c r="K3581" s="13" t="s">
        <v>5289</v>
      </c>
      <c r="L3581" s="13"/>
      <c r="M3581" s="13"/>
      <c r="N3581" s="13" t="n">
        <v>8411061105238</v>
      </c>
      <c r="O3581" s="13"/>
      <c r="P3581" s="13" t="s">
        <v>5291</v>
      </c>
      <c r="Q3581" s="13" t="s">
        <v>5289</v>
      </c>
      <c r="R3581" s="13" t="s">
        <v>5292</v>
      </c>
      <c r="S3581" s="13" t="s">
        <v>5293</v>
      </c>
      <c r="T3581" s="13" t="s">
        <v>5</v>
      </c>
      <c r="U3581" s="13" t="s">
        <v>43</v>
      </c>
      <c r="V3581" s="13" t="n">
        <f aca="false">IF(COUNTIF($B$2:B3581,B3581)=1,1,0)</f>
        <v>0</v>
      </c>
      <c r="W3581" s="13" t="n">
        <f aca="false">IF(COUNTIFS($B$2:B3581,B3581,$T$2:T3581,T3581)=1,1,0)</f>
        <v>0</v>
      </c>
    </row>
    <row r="3582" customFormat="false" ht="15" hidden="false" customHeight="false" outlineLevel="0" collapsed="false">
      <c r="A3582" s="13" t="s">
        <v>1858</v>
      </c>
      <c r="B3582" s="13" t="s">
        <v>54</v>
      </c>
      <c r="C3582" s="13" t="n">
        <v>310</v>
      </c>
      <c r="D3582" s="13" t="n">
        <v>1</v>
      </c>
      <c r="E3582" s="13" t="n">
        <v>309.12</v>
      </c>
      <c r="F3582" s="13" t="s">
        <v>5325</v>
      </c>
      <c r="G3582" s="13" t="s">
        <v>5292</v>
      </c>
      <c r="H3582" s="13" t="s">
        <v>5292</v>
      </c>
      <c r="I3582" s="13" t="s">
        <v>5289</v>
      </c>
      <c r="J3582" s="13" t="s">
        <v>5289</v>
      </c>
      <c r="K3582" s="13" t="s">
        <v>5289</v>
      </c>
      <c r="L3582" s="13" t="n">
        <v>7898965700973</v>
      </c>
      <c r="M3582" s="13"/>
      <c r="N3582" s="13" t="n">
        <v>7898965700973</v>
      </c>
      <c r="O3582" s="13"/>
      <c r="P3582" s="13" t="s">
        <v>5297</v>
      </c>
      <c r="Q3582" s="13" t="s">
        <v>5289</v>
      </c>
      <c r="R3582" s="13" t="s">
        <v>5292</v>
      </c>
      <c r="S3582" s="13" t="s">
        <v>5293</v>
      </c>
      <c r="T3582" s="13" t="s">
        <v>5</v>
      </c>
      <c r="U3582" s="13" t="s">
        <v>43</v>
      </c>
      <c r="V3582" s="13" t="n">
        <f aca="false">IF(COUNTIF($B$2:B3582,B3582)=1,1,0)</f>
        <v>0</v>
      </c>
      <c r="W3582" s="13" t="n">
        <f aca="false">IF(COUNTIFS($B$2:B3582,B3582,$T$2:T3582,T3582)=1,1,0)</f>
        <v>0</v>
      </c>
    </row>
    <row r="3583" customFormat="false" ht="15" hidden="false" customHeight="false" outlineLevel="0" collapsed="false">
      <c r="A3583" s="13" t="s">
        <v>1162</v>
      </c>
      <c r="B3583" s="13" t="s">
        <v>490</v>
      </c>
      <c r="C3583" s="13" t="n">
        <v>310</v>
      </c>
      <c r="D3583" s="13" t="n">
        <v>1</v>
      </c>
      <c r="E3583" s="13" t="n">
        <v>308.32</v>
      </c>
      <c r="F3583" s="13" t="s">
        <v>5325</v>
      </c>
      <c r="G3583" s="13" t="s">
        <v>5289</v>
      </c>
      <c r="H3583" s="13" t="s">
        <v>5289</v>
      </c>
      <c r="I3583" s="13" t="s">
        <v>5289</v>
      </c>
      <c r="J3583" s="13" t="s">
        <v>5289</v>
      </c>
      <c r="K3583" s="13" t="s">
        <v>5289</v>
      </c>
      <c r="L3583" s="13" t="n">
        <v>8011003878598</v>
      </c>
      <c r="M3583" s="13"/>
      <c r="N3583" s="13" t="n">
        <v>8011003878598</v>
      </c>
      <c r="O3583" s="13"/>
      <c r="P3583" s="13" t="s">
        <v>5291</v>
      </c>
      <c r="Q3583" s="13" t="s">
        <v>5289</v>
      </c>
      <c r="R3583" s="13" t="s">
        <v>5292</v>
      </c>
      <c r="S3583" s="13" t="s">
        <v>5293</v>
      </c>
      <c r="T3583" s="13" t="s">
        <v>5</v>
      </c>
      <c r="U3583" s="13" t="s">
        <v>43</v>
      </c>
      <c r="V3583" s="13" t="n">
        <f aca="false">IF(COUNTIF($B$2:B3583,B3583)=1,1,0)</f>
        <v>0</v>
      </c>
      <c r="W3583" s="13" t="n">
        <f aca="false">IF(COUNTIFS($B$2:B3583,B3583,$T$2:T3583,T3583)=1,1,0)</f>
        <v>0</v>
      </c>
    </row>
    <row r="3584" customFormat="false" ht="15" hidden="false" customHeight="false" outlineLevel="0" collapsed="false">
      <c r="A3584" s="13" t="s">
        <v>1192</v>
      </c>
      <c r="B3584" s="13" t="s">
        <v>121</v>
      </c>
      <c r="C3584" s="13" t="n">
        <v>310</v>
      </c>
      <c r="D3584" s="13" t="n">
        <v>2</v>
      </c>
      <c r="E3584" s="13" t="n">
        <v>154.13</v>
      </c>
      <c r="F3584" s="13" t="s">
        <v>5325</v>
      </c>
      <c r="G3584" s="13" t="s">
        <v>5289</v>
      </c>
      <c r="H3584" s="13" t="s">
        <v>5289</v>
      </c>
      <c r="I3584" s="13" t="s">
        <v>5289</v>
      </c>
      <c r="J3584" s="13" t="s">
        <v>5289</v>
      </c>
      <c r="K3584" s="13" t="s">
        <v>5289</v>
      </c>
      <c r="L3584" s="13" t="n">
        <v>7896086988010</v>
      </c>
      <c r="M3584" s="13"/>
      <c r="N3584" s="13" t="n">
        <v>7896086988010</v>
      </c>
      <c r="O3584" s="13"/>
      <c r="P3584" s="13" t="s">
        <v>5291</v>
      </c>
      <c r="Q3584" s="13" t="s">
        <v>5289</v>
      </c>
      <c r="R3584" s="13" t="s">
        <v>5292</v>
      </c>
      <c r="S3584" s="13" t="s">
        <v>5293</v>
      </c>
      <c r="T3584" s="13" t="s">
        <v>5</v>
      </c>
      <c r="U3584" s="13" t="s">
        <v>43</v>
      </c>
      <c r="V3584" s="13" t="n">
        <f aca="false">IF(COUNTIF($B$2:B3584,B3584)=1,1,0)</f>
        <v>0</v>
      </c>
      <c r="W3584" s="13" t="n">
        <f aca="false">IF(COUNTIFS($B$2:B3584,B3584,$T$2:T3584,T3584)=1,1,0)</f>
        <v>0</v>
      </c>
    </row>
    <row r="3585" customFormat="false" ht="15" hidden="false" customHeight="false" outlineLevel="0" collapsed="false">
      <c r="A3585" s="13" t="s">
        <v>1245</v>
      </c>
      <c r="B3585" s="13" t="s">
        <v>107</v>
      </c>
      <c r="C3585" s="13" t="n">
        <v>300</v>
      </c>
      <c r="D3585" s="13" t="n">
        <v>1</v>
      </c>
      <c r="E3585" s="13" t="n">
        <v>304.1</v>
      </c>
      <c r="F3585" s="13" t="s">
        <v>5288</v>
      </c>
      <c r="G3585" s="13" t="s">
        <v>5292</v>
      </c>
      <c r="H3585" s="13" t="s">
        <v>5289</v>
      </c>
      <c r="I3585" s="13" t="s">
        <v>5289</v>
      </c>
      <c r="J3585" s="13" t="s">
        <v>5289</v>
      </c>
      <c r="K3585" s="13" t="s">
        <v>5289</v>
      </c>
      <c r="L3585" s="13"/>
      <c r="M3585" s="13"/>
      <c r="N3585" s="13" t="n">
        <v>9000250226299</v>
      </c>
      <c r="O3585" s="13"/>
      <c r="P3585" s="13" t="s">
        <v>5297</v>
      </c>
      <c r="Q3585" s="13" t="s">
        <v>5289</v>
      </c>
      <c r="R3585" s="13" t="s">
        <v>5292</v>
      </c>
      <c r="S3585" s="13" t="s">
        <v>5293</v>
      </c>
      <c r="T3585" s="13" t="s">
        <v>5</v>
      </c>
      <c r="U3585" s="13" t="s">
        <v>183</v>
      </c>
      <c r="V3585" s="13" t="n">
        <f aca="false">IF(COUNTIF($B$2:B3585,B3585)=1,1,0)</f>
        <v>0</v>
      </c>
      <c r="W3585" s="13" t="n">
        <f aca="false">IF(COUNTIFS($B$2:B3585,B3585,$T$2:T3585,T3585)=1,1,0)</f>
        <v>0</v>
      </c>
    </row>
    <row r="3586" customFormat="false" ht="15" hidden="false" customHeight="false" outlineLevel="0" collapsed="false">
      <c r="A3586" s="13" t="s">
        <v>6402</v>
      </c>
      <c r="B3586" s="13" t="s">
        <v>2215</v>
      </c>
      <c r="C3586" s="13" t="n">
        <v>300</v>
      </c>
      <c r="D3586" s="13" t="n">
        <v>1</v>
      </c>
      <c r="E3586" s="13" t="n">
        <v>303.08</v>
      </c>
      <c r="F3586" s="13" t="s">
        <v>5325</v>
      </c>
      <c r="G3586" s="13" t="s">
        <v>5289</v>
      </c>
      <c r="H3586" s="13" t="s">
        <v>5292</v>
      </c>
      <c r="I3586" s="13" t="s">
        <v>5289</v>
      </c>
      <c r="J3586" s="13" t="s">
        <v>5289</v>
      </c>
      <c r="K3586" s="13" t="s">
        <v>5289</v>
      </c>
      <c r="L3586" s="13"/>
      <c r="M3586" s="13"/>
      <c r="N3586" s="13" t="n">
        <v>3474636975181</v>
      </c>
      <c r="O3586" s="13"/>
      <c r="P3586" s="13" t="s">
        <v>5291</v>
      </c>
      <c r="Q3586" s="13" t="s">
        <v>5289</v>
      </c>
      <c r="R3586" s="13" t="s">
        <v>5292</v>
      </c>
      <c r="S3586" s="13" t="s">
        <v>5293</v>
      </c>
      <c r="T3586" s="13" t="s">
        <v>5</v>
      </c>
      <c r="U3586" s="13" t="s">
        <v>85</v>
      </c>
      <c r="V3586" s="13" t="n">
        <f aca="false">IF(COUNTIF($B$2:B3586,B3586)=1,1,0)</f>
        <v>0</v>
      </c>
      <c r="W3586" s="13" t="n">
        <f aca="false">IF(COUNTIFS($B$2:B3586,B3586,$T$2:T3586,T3586)=1,1,0)</f>
        <v>0</v>
      </c>
    </row>
    <row r="3587" customFormat="false" ht="15" hidden="false" customHeight="false" outlineLevel="0" collapsed="false">
      <c r="A3587" s="13" t="s">
        <v>1877</v>
      </c>
      <c r="B3587" s="13" t="s">
        <v>362</v>
      </c>
      <c r="C3587" s="13" t="n">
        <v>300</v>
      </c>
      <c r="D3587" s="13" t="n">
        <v>1</v>
      </c>
      <c r="E3587" s="13" t="n">
        <v>302.3</v>
      </c>
      <c r="F3587" s="13" t="s">
        <v>5325</v>
      </c>
      <c r="G3587" s="13" t="s">
        <v>5289</v>
      </c>
      <c r="H3587" s="13" t="s">
        <v>5292</v>
      </c>
      <c r="I3587" s="13" t="s">
        <v>5289</v>
      </c>
      <c r="J3587" s="13" t="s">
        <v>5289</v>
      </c>
      <c r="K3587" s="13" t="s">
        <v>5289</v>
      </c>
      <c r="L3587" s="13" t="n">
        <v>3386460113601</v>
      </c>
      <c r="M3587" s="13"/>
      <c r="N3587" s="13" t="n">
        <v>3386460113601</v>
      </c>
      <c r="O3587" s="13"/>
      <c r="P3587" s="13" t="s">
        <v>5291</v>
      </c>
      <c r="Q3587" s="13" t="s">
        <v>5289</v>
      </c>
      <c r="R3587" s="13" t="s">
        <v>5292</v>
      </c>
      <c r="S3587" s="13" t="s">
        <v>5293</v>
      </c>
      <c r="T3587" s="13" t="s">
        <v>5</v>
      </c>
      <c r="U3587" s="13" t="s">
        <v>43</v>
      </c>
      <c r="V3587" s="13" t="n">
        <f aca="false">IF(COUNTIF($B$2:B3587,B3587)=1,1,0)</f>
        <v>0</v>
      </c>
      <c r="W3587" s="13" t="n">
        <f aca="false">IF(COUNTIFS($B$2:B3587,B3587,$T$2:T3587,T3587)=1,1,0)</f>
        <v>0</v>
      </c>
    </row>
    <row r="3588" customFormat="false" ht="15" hidden="false" customHeight="false" outlineLevel="0" collapsed="false">
      <c r="A3588" s="13" t="s">
        <v>1878</v>
      </c>
      <c r="B3588" s="13" t="s">
        <v>54</v>
      </c>
      <c r="C3588" s="13" t="n">
        <v>300</v>
      </c>
      <c r="D3588" s="13" t="n">
        <v>1</v>
      </c>
      <c r="E3588" s="13" t="n">
        <v>301.85</v>
      </c>
      <c r="F3588" s="13" t="s">
        <v>5288</v>
      </c>
      <c r="G3588" s="13" t="s">
        <v>5289</v>
      </c>
      <c r="H3588" s="13" t="s">
        <v>5289</v>
      </c>
      <c r="I3588" s="13" t="s">
        <v>5289</v>
      </c>
      <c r="J3588" s="13" t="s">
        <v>5289</v>
      </c>
      <c r="K3588" s="13" t="s">
        <v>5292</v>
      </c>
      <c r="L3588" s="13" t="n">
        <v>729238118881</v>
      </c>
      <c r="M3588" s="13"/>
      <c r="N3588" s="13" t="n">
        <v>729238118881</v>
      </c>
      <c r="O3588" s="13"/>
      <c r="P3588" s="13" t="s">
        <v>5291</v>
      </c>
      <c r="Q3588" s="13" t="s">
        <v>5289</v>
      </c>
      <c r="R3588" s="13" t="s">
        <v>5292</v>
      </c>
      <c r="S3588" s="13" t="s">
        <v>5293</v>
      </c>
      <c r="T3588" s="13" t="s">
        <v>5</v>
      </c>
      <c r="U3588" s="13" t="s">
        <v>43</v>
      </c>
      <c r="V3588" s="13" t="n">
        <f aca="false">IF(COUNTIF($B$2:B3588,B3588)=1,1,0)</f>
        <v>0</v>
      </c>
      <c r="W3588" s="13" t="n">
        <f aca="false">IF(COUNTIFS($B$2:B3588,B3588,$T$2:T3588,T3588)=1,1,0)</f>
        <v>0</v>
      </c>
    </row>
    <row r="3589" customFormat="false" ht="15" hidden="false" customHeight="false" outlineLevel="0" collapsed="false">
      <c r="A3589" s="13" t="s">
        <v>1873</v>
      </c>
      <c r="B3589" s="13" t="s">
        <v>54</v>
      </c>
      <c r="C3589" s="13" t="n">
        <v>300</v>
      </c>
      <c r="D3589" s="13" t="n">
        <v>1</v>
      </c>
      <c r="E3589" s="13" t="n">
        <v>301.85</v>
      </c>
      <c r="F3589" s="13" t="s">
        <v>5325</v>
      </c>
      <c r="G3589" s="13" t="s">
        <v>5289</v>
      </c>
      <c r="H3589" s="13" t="s">
        <v>5289</v>
      </c>
      <c r="I3589" s="13" t="s">
        <v>5289</v>
      </c>
      <c r="J3589" s="13" t="s">
        <v>5289</v>
      </c>
      <c r="K3589" s="13" t="s">
        <v>5292</v>
      </c>
      <c r="L3589" s="13" t="n">
        <v>730852143449</v>
      </c>
      <c r="M3589" s="13"/>
      <c r="N3589" s="13" t="n">
        <v>730852143449</v>
      </c>
      <c r="O3589" s="13"/>
      <c r="P3589" s="13" t="s">
        <v>5291</v>
      </c>
      <c r="Q3589" s="13" t="s">
        <v>5289</v>
      </c>
      <c r="R3589" s="13" t="s">
        <v>5292</v>
      </c>
      <c r="S3589" s="13" t="s">
        <v>5293</v>
      </c>
      <c r="T3589" s="13" t="s">
        <v>5</v>
      </c>
      <c r="U3589" s="13" t="s">
        <v>183</v>
      </c>
      <c r="V3589" s="13" t="n">
        <f aca="false">IF(COUNTIF($B$2:B3589,B3589)=1,1,0)</f>
        <v>0</v>
      </c>
      <c r="W3589" s="13" t="n">
        <f aca="false">IF(COUNTIFS($B$2:B3589,B3589,$T$2:T3589,T3589)=1,1,0)</f>
        <v>0</v>
      </c>
    </row>
    <row r="3590" customFormat="false" ht="15" hidden="false" customHeight="false" outlineLevel="0" collapsed="false">
      <c r="A3590" s="13" t="s">
        <v>1872</v>
      </c>
      <c r="B3590" s="13" t="s">
        <v>54</v>
      </c>
      <c r="C3590" s="13" t="n">
        <v>300</v>
      </c>
      <c r="D3590" s="13" t="n">
        <v>1</v>
      </c>
      <c r="E3590" s="13" t="n">
        <v>301.85</v>
      </c>
      <c r="F3590" s="13" t="s">
        <v>5288</v>
      </c>
      <c r="G3590" s="13" t="s">
        <v>5289</v>
      </c>
      <c r="H3590" s="13" t="s">
        <v>5289</v>
      </c>
      <c r="I3590" s="13" t="s">
        <v>5289</v>
      </c>
      <c r="J3590" s="13" t="s">
        <v>5289</v>
      </c>
      <c r="K3590" s="13" t="s">
        <v>5292</v>
      </c>
      <c r="L3590" s="13"/>
      <c r="M3590" s="13"/>
      <c r="N3590" s="13" t="n">
        <v>729238141681</v>
      </c>
      <c r="O3590" s="13"/>
      <c r="P3590" s="13" t="s">
        <v>5297</v>
      </c>
      <c r="Q3590" s="13" t="s">
        <v>5289</v>
      </c>
      <c r="R3590" s="13" t="s">
        <v>5292</v>
      </c>
      <c r="S3590" s="13" t="s">
        <v>5293</v>
      </c>
      <c r="T3590" s="13" t="s">
        <v>5</v>
      </c>
      <c r="U3590" s="13" t="s">
        <v>183</v>
      </c>
      <c r="V3590" s="13" t="n">
        <f aca="false">IF(COUNTIF($B$2:B3590,B3590)=1,1,0)</f>
        <v>0</v>
      </c>
      <c r="W3590" s="13" t="n">
        <f aca="false">IF(COUNTIFS($B$2:B3590,B3590,$T$2:T3590,T3590)=1,1,0)</f>
        <v>0</v>
      </c>
    </row>
    <row r="3591" customFormat="false" ht="15" hidden="false" customHeight="false" outlineLevel="0" collapsed="false">
      <c r="A3591" s="13" t="s">
        <v>1870</v>
      </c>
      <c r="B3591" s="13" t="s">
        <v>490</v>
      </c>
      <c r="C3591" s="13" t="n">
        <v>300</v>
      </c>
      <c r="D3591" s="13" t="n">
        <v>1</v>
      </c>
      <c r="E3591" s="13" t="n">
        <v>301.77</v>
      </c>
      <c r="F3591" s="13" t="s">
        <v>5325</v>
      </c>
      <c r="G3591" s="13" t="s">
        <v>5289</v>
      </c>
      <c r="H3591" s="13" t="s">
        <v>5292</v>
      </c>
      <c r="I3591" s="13" t="s">
        <v>5289</v>
      </c>
      <c r="J3591" s="13" t="s">
        <v>5289</v>
      </c>
      <c r="K3591" s="13" t="s">
        <v>5289</v>
      </c>
      <c r="L3591" s="13" t="n">
        <v>8011003839285</v>
      </c>
      <c r="M3591" s="13"/>
      <c r="N3591" s="13" t="n">
        <v>8011003839285</v>
      </c>
      <c r="O3591" s="13"/>
      <c r="P3591" s="13" t="s">
        <v>5291</v>
      </c>
      <c r="Q3591" s="13" t="s">
        <v>5289</v>
      </c>
      <c r="R3591" s="13" t="s">
        <v>5292</v>
      </c>
      <c r="S3591" s="13" t="s">
        <v>5293</v>
      </c>
      <c r="T3591" s="13" t="s">
        <v>5</v>
      </c>
      <c r="U3591" s="13" t="s">
        <v>43</v>
      </c>
      <c r="V3591" s="13" t="n">
        <f aca="false">IF(COUNTIF($B$2:B3591,B3591)=1,1,0)</f>
        <v>0</v>
      </c>
      <c r="W3591" s="13" t="n">
        <f aca="false">IF(COUNTIFS($B$2:B3591,B3591,$T$2:T3591,T3591)=1,1,0)</f>
        <v>0</v>
      </c>
    </row>
    <row r="3592" customFormat="false" ht="15" hidden="false" customHeight="false" outlineLevel="0" collapsed="false">
      <c r="A3592" s="13" t="s">
        <v>4793</v>
      </c>
      <c r="B3592" s="13" t="s">
        <v>2200</v>
      </c>
      <c r="C3592" s="13" t="n">
        <v>300</v>
      </c>
      <c r="D3592" s="13" t="n">
        <v>2</v>
      </c>
      <c r="E3592" s="13" t="n">
        <v>149.85</v>
      </c>
      <c r="F3592" s="13" t="s">
        <v>5288</v>
      </c>
      <c r="G3592" s="13" t="s">
        <v>5292</v>
      </c>
      <c r="H3592" s="13" t="s">
        <v>5292</v>
      </c>
      <c r="I3592" s="13" t="s">
        <v>5289</v>
      </c>
      <c r="J3592" s="13" t="s">
        <v>5289</v>
      </c>
      <c r="K3592" s="13" t="s">
        <v>5292</v>
      </c>
      <c r="L3592" s="13"/>
      <c r="M3592" s="13"/>
      <c r="N3592" s="13" t="n">
        <v>7899706189729</v>
      </c>
      <c r="O3592" s="13"/>
      <c r="P3592" s="13" t="s">
        <v>5291</v>
      </c>
      <c r="Q3592" s="13" t="s">
        <v>5289</v>
      </c>
      <c r="R3592" s="13" t="s">
        <v>5292</v>
      </c>
      <c r="S3592" s="13" t="s">
        <v>5293</v>
      </c>
      <c r="T3592" s="13" t="s">
        <v>5</v>
      </c>
      <c r="U3592" s="13" t="s">
        <v>85</v>
      </c>
      <c r="V3592" s="13" t="n">
        <f aca="false">IF(COUNTIF($B$2:B3592,B3592)=1,1,0)</f>
        <v>0</v>
      </c>
      <c r="W3592" s="13" t="n">
        <f aca="false">IF(COUNTIFS($B$2:B3592,B3592,$T$2:T3592,T3592)=1,1,0)</f>
        <v>0</v>
      </c>
    </row>
    <row r="3593" customFormat="false" ht="15" hidden="false" customHeight="false" outlineLevel="0" collapsed="false">
      <c r="A3593" s="13" t="s">
        <v>4807</v>
      </c>
      <c r="B3593" s="13" t="s">
        <v>2192</v>
      </c>
      <c r="C3593" s="13" t="n">
        <v>300</v>
      </c>
      <c r="D3593" s="13" t="n">
        <v>1</v>
      </c>
      <c r="E3593" s="13" t="n">
        <v>298.85</v>
      </c>
      <c r="F3593" s="13" t="s">
        <v>5288</v>
      </c>
      <c r="G3593" s="13" t="s">
        <v>5292</v>
      </c>
      <c r="H3593" s="13" t="s">
        <v>5289</v>
      </c>
      <c r="I3593" s="13" t="s">
        <v>5289</v>
      </c>
      <c r="J3593" s="13" t="s">
        <v>5289</v>
      </c>
      <c r="K3593" s="13" t="s">
        <v>5292</v>
      </c>
      <c r="L3593" s="13" t="n">
        <v>7290011521141</v>
      </c>
      <c r="M3593" s="13"/>
      <c r="N3593" s="13" t="n">
        <v>7290011521141</v>
      </c>
      <c r="O3593" s="13"/>
      <c r="P3593" s="13" t="s">
        <v>5297</v>
      </c>
      <c r="Q3593" s="13" t="s">
        <v>5289</v>
      </c>
      <c r="R3593" s="13" t="s">
        <v>5292</v>
      </c>
      <c r="S3593" s="13" t="s">
        <v>5293</v>
      </c>
      <c r="T3593" s="13" t="s">
        <v>5</v>
      </c>
      <c r="U3593" s="13" t="s">
        <v>85</v>
      </c>
      <c r="V3593" s="13" t="n">
        <f aca="false">IF(COUNTIF($B$2:B3593,B3593)=1,1,0)</f>
        <v>0</v>
      </c>
      <c r="W3593" s="13" t="n">
        <f aca="false">IF(COUNTIFS($B$2:B3593,B3593,$T$2:T3593,T3593)=1,1,0)</f>
        <v>0</v>
      </c>
    </row>
    <row r="3594" customFormat="false" ht="15" hidden="false" customHeight="false" outlineLevel="0" collapsed="false">
      <c r="A3594" s="13" t="s">
        <v>1871</v>
      </c>
      <c r="B3594" s="13" t="s">
        <v>61</v>
      </c>
      <c r="C3594" s="13" t="n">
        <v>300</v>
      </c>
      <c r="D3594" s="13" t="n">
        <v>1</v>
      </c>
      <c r="E3594" s="13" t="n">
        <v>297</v>
      </c>
      <c r="F3594" s="13" t="s">
        <v>5288</v>
      </c>
      <c r="G3594" s="13" t="s">
        <v>5292</v>
      </c>
      <c r="H3594" s="13" t="s">
        <v>5292</v>
      </c>
      <c r="I3594" s="13" t="s">
        <v>5289</v>
      </c>
      <c r="J3594" s="13" t="s">
        <v>5289</v>
      </c>
      <c r="K3594" s="13" t="s">
        <v>5289</v>
      </c>
      <c r="L3594" s="13" t="n">
        <v>3614272639638</v>
      </c>
      <c r="M3594" s="13"/>
      <c r="N3594" s="13" t="n">
        <v>3614272639638</v>
      </c>
      <c r="O3594" s="13"/>
      <c r="P3594" s="13" t="s">
        <v>5291</v>
      </c>
      <c r="Q3594" s="13" t="s">
        <v>5289</v>
      </c>
      <c r="R3594" s="13" t="s">
        <v>5292</v>
      </c>
      <c r="S3594" s="13" t="s">
        <v>5293</v>
      </c>
      <c r="T3594" s="13" t="s">
        <v>5</v>
      </c>
      <c r="U3594" s="13" t="s">
        <v>43</v>
      </c>
      <c r="V3594" s="13" t="n">
        <f aca="false">IF(COUNTIF($B$2:B3594,B3594)=1,1,0)</f>
        <v>0</v>
      </c>
      <c r="W3594" s="13" t="n">
        <f aca="false">IF(COUNTIFS($B$2:B3594,B3594,$T$2:T3594,T3594)=1,1,0)</f>
        <v>0</v>
      </c>
    </row>
    <row r="3595" customFormat="false" ht="15" hidden="false" customHeight="false" outlineLevel="0" collapsed="false">
      <c r="A3595" s="13" t="s">
        <v>918</v>
      </c>
      <c r="B3595" s="13" t="s">
        <v>312</v>
      </c>
      <c r="C3595" s="13" t="n">
        <v>300</v>
      </c>
      <c r="D3595" s="13" t="n">
        <v>2</v>
      </c>
      <c r="E3595" s="13" t="n">
        <v>148</v>
      </c>
      <c r="F3595" s="13" t="s">
        <v>5288</v>
      </c>
      <c r="G3595" s="13" t="s">
        <v>5292</v>
      </c>
      <c r="H3595" s="13" t="s">
        <v>5289</v>
      </c>
      <c r="I3595" s="13" t="s">
        <v>5289</v>
      </c>
      <c r="J3595" s="13" t="s">
        <v>5289</v>
      </c>
      <c r="K3595" s="13" t="s">
        <v>5289</v>
      </c>
      <c r="L3595" s="13" t="n">
        <v>3700608320230</v>
      </c>
      <c r="M3595" s="13"/>
      <c r="N3595" s="13" t="n">
        <v>3700608320230</v>
      </c>
      <c r="O3595" s="13"/>
      <c r="P3595" s="13" t="s">
        <v>5291</v>
      </c>
      <c r="Q3595" s="13" t="s">
        <v>5289</v>
      </c>
      <c r="R3595" s="13" t="s">
        <v>5292</v>
      </c>
      <c r="S3595" s="13" t="s">
        <v>5293</v>
      </c>
      <c r="T3595" s="13" t="s">
        <v>5</v>
      </c>
      <c r="U3595" s="13" t="s">
        <v>43</v>
      </c>
      <c r="V3595" s="13" t="n">
        <f aca="false">IF(COUNTIF($B$2:B3595,B3595)=1,1,0)</f>
        <v>0</v>
      </c>
      <c r="W3595" s="13" t="n">
        <f aca="false">IF(COUNTIFS($B$2:B3595,B3595,$T$2:T3595,T3595)=1,1,0)</f>
        <v>1</v>
      </c>
    </row>
    <row r="3596" customFormat="false" ht="15" hidden="false" customHeight="false" outlineLevel="0" collapsed="false">
      <c r="A3596" s="13" t="s">
        <v>1257</v>
      </c>
      <c r="B3596" s="13" t="s">
        <v>54</v>
      </c>
      <c r="C3596" s="13" t="n">
        <v>300</v>
      </c>
      <c r="D3596" s="13" t="n">
        <v>1</v>
      </c>
      <c r="E3596" s="13" t="n">
        <v>295.96</v>
      </c>
      <c r="F3596" s="13" t="s">
        <v>5288</v>
      </c>
      <c r="G3596" s="13" t="s">
        <v>5292</v>
      </c>
      <c r="H3596" s="13" t="s">
        <v>5292</v>
      </c>
      <c r="I3596" s="13" t="s">
        <v>5289</v>
      </c>
      <c r="J3596" s="13" t="s">
        <v>5289</v>
      </c>
      <c r="K3596" s="13" t="s">
        <v>5289</v>
      </c>
      <c r="L3596" s="13" t="n">
        <v>7898965700959</v>
      </c>
      <c r="M3596" s="13"/>
      <c r="N3596" s="13" t="n">
        <v>730852212855</v>
      </c>
      <c r="O3596" s="13"/>
      <c r="P3596" s="13" t="s">
        <v>5291</v>
      </c>
      <c r="Q3596" s="13" t="s">
        <v>5289</v>
      </c>
      <c r="R3596" s="13" t="s">
        <v>5292</v>
      </c>
      <c r="S3596" s="13" t="s">
        <v>5293</v>
      </c>
      <c r="T3596" s="13" t="s">
        <v>5</v>
      </c>
      <c r="U3596" s="13" t="s">
        <v>43</v>
      </c>
      <c r="V3596" s="13" t="n">
        <f aca="false">IF(COUNTIF($B$2:B3596,B3596)=1,1,0)</f>
        <v>0</v>
      </c>
      <c r="W3596" s="13" t="n">
        <f aca="false">IF(COUNTIFS($B$2:B3596,B3596,$T$2:T3596,T3596)=1,1,0)</f>
        <v>0</v>
      </c>
    </row>
    <row r="3597" customFormat="false" ht="15" hidden="false" customHeight="false" outlineLevel="0" collapsed="false">
      <c r="A3597" s="13" t="s">
        <v>4605</v>
      </c>
      <c r="B3597" s="13" t="s">
        <v>2139</v>
      </c>
      <c r="C3597" s="13" t="n">
        <v>290</v>
      </c>
      <c r="D3597" s="13" t="n">
        <v>2</v>
      </c>
      <c r="E3597" s="13" t="n">
        <v>147</v>
      </c>
      <c r="F3597" s="13" t="s">
        <v>5325</v>
      </c>
      <c r="G3597" s="13" t="s">
        <v>5289</v>
      </c>
      <c r="H3597" s="13" t="s">
        <v>5289</v>
      </c>
      <c r="I3597" s="13" t="s">
        <v>5289</v>
      </c>
      <c r="J3597" s="13" t="s">
        <v>5289</v>
      </c>
      <c r="K3597" s="13" t="s">
        <v>5289</v>
      </c>
      <c r="L3597" s="13" t="n">
        <v>8411061832578</v>
      </c>
      <c r="M3597" s="13"/>
      <c r="N3597" s="13" t="n">
        <v>8411061832578</v>
      </c>
      <c r="O3597" s="13"/>
      <c r="P3597" s="13" t="s">
        <v>5297</v>
      </c>
      <c r="Q3597" s="13" t="s">
        <v>5289</v>
      </c>
      <c r="R3597" s="13" t="s">
        <v>5292</v>
      </c>
      <c r="S3597" s="13" t="s">
        <v>5293</v>
      </c>
      <c r="T3597" s="13" t="s">
        <v>5</v>
      </c>
      <c r="U3597" s="13" t="s">
        <v>85</v>
      </c>
      <c r="V3597" s="13" t="n">
        <f aca="false">IF(COUNTIF($B$2:B3597,B3597)=1,1,0)</f>
        <v>0</v>
      </c>
      <c r="W3597" s="13" t="n">
        <f aca="false">IF(COUNTIFS($B$2:B3597,B3597,$T$2:T3597,T3597)=1,1,0)</f>
        <v>0</v>
      </c>
    </row>
    <row r="3598" customFormat="false" ht="15" hidden="false" customHeight="false" outlineLevel="0" collapsed="false">
      <c r="A3598" s="13" t="s">
        <v>1879</v>
      </c>
      <c r="B3598" s="13" t="s">
        <v>153</v>
      </c>
      <c r="C3598" s="13" t="n">
        <v>290</v>
      </c>
      <c r="D3598" s="13" t="n">
        <v>1</v>
      </c>
      <c r="E3598" s="13" t="n">
        <v>294</v>
      </c>
      <c r="F3598" s="13" t="s">
        <v>5325</v>
      </c>
      <c r="G3598" s="13" t="s">
        <v>5292</v>
      </c>
      <c r="H3598" s="13" t="s">
        <v>5292</v>
      </c>
      <c r="I3598" s="13" t="s">
        <v>5289</v>
      </c>
      <c r="J3598" s="13" t="s">
        <v>5289</v>
      </c>
      <c r="K3598" s="13" t="s">
        <v>5289</v>
      </c>
      <c r="L3598" s="13" t="n">
        <v>8011003845330</v>
      </c>
      <c r="M3598" s="13"/>
      <c r="N3598" s="13" t="n">
        <v>8011003845330</v>
      </c>
      <c r="O3598" s="13"/>
      <c r="P3598" s="13" t="s">
        <v>5297</v>
      </c>
      <c r="Q3598" s="13" t="s">
        <v>5289</v>
      </c>
      <c r="R3598" s="13" t="s">
        <v>5292</v>
      </c>
      <c r="S3598" s="13" t="s">
        <v>5293</v>
      </c>
      <c r="T3598" s="13" t="s">
        <v>5</v>
      </c>
      <c r="U3598" s="13" t="s">
        <v>43</v>
      </c>
      <c r="V3598" s="13" t="n">
        <f aca="false">IF(COUNTIF($B$2:B3598,B3598)=1,1,0)</f>
        <v>0</v>
      </c>
      <c r="W3598" s="13" t="n">
        <f aca="false">IF(COUNTIFS($B$2:B3598,B3598,$T$2:T3598,T3598)=1,1,0)</f>
        <v>0</v>
      </c>
    </row>
    <row r="3599" customFormat="false" ht="15" hidden="false" customHeight="false" outlineLevel="0" collapsed="false">
      <c r="A3599" s="13" t="s">
        <v>1885</v>
      </c>
      <c r="B3599" s="13" t="s">
        <v>153</v>
      </c>
      <c r="C3599" s="13" t="n">
        <v>290</v>
      </c>
      <c r="D3599" s="13" t="n">
        <v>1</v>
      </c>
      <c r="E3599" s="13" t="n">
        <v>294</v>
      </c>
      <c r="F3599" s="13" t="s">
        <v>5325</v>
      </c>
      <c r="G3599" s="13" t="s">
        <v>5292</v>
      </c>
      <c r="H3599" s="13" t="s">
        <v>5289</v>
      </c>
      <c r="I3599" s="13" t="s">
        <v>5289</v>
      </c>
      <c r="J3599" s="13" t="s">
        <v>5289</v>
      </c>
      <c r="K3599" s="13" t="s">
        <v>5289</v>
      </c>
      <c r="L3599" s="13" t="n">
        <v>8011003845330</v>
      </c>
      <c r="M3599" s="13"/>
      <c r="N3599" s="13" t="n">
        <v>8011003845330</v>
      </c>
      <c r="O3599" s="13"/>
      <c r="P3599" s="13" t="s">
        <v>5291</v>
      </c>
      <c r="Q3599" s="13" t="s">
        <v>5289</v>
      </c>
      <c r="R3599" s="13" t="s">
        <v>5292</v>
      </c>
      <c r="S3599" s="13" t="s">
        <v>5293</v>
      </c>
      <c r="T3599" s="13" t="s">
        <v>5</v>
      </c>
      <c r="U3599" s="13" t="s">
        <v>43</v>
      </c>
      <c r="V3599" s="13" t="n">
        <f aca="false">IF(COUNTIF($B$2:B3599,B3599)=1,1,0)</f>
        <v>0</v>
      </c>
      <c r="W3599" s="13" t="n">
        <f aca="false">IF(COUNTIFS($B$2:B3599,B3599,$T$2:T3599,T3599)=1,1,0)</f>
        <v>0</v>
      </c>
    </row>
    <row r="3600" customFormat="false" ht="15" hidden="false" customHeight="false" outlineLevel="0" collapsed="false">
      <c r="A3600" s="13" t="s">
        <v>4019</v>
      </c>
      <c r="B3600" s="13" t="s">
        <v>2150</v>
      </c>
      <c r="C3600" s="13" t="n">
        <v>290</v>
      </c>
      <c r="D3600" s="13" t="n">
        <v>2</v>
      </c>
      <c r="E3600" s="13" t="n">
        <v>97.91</v>
      </c>
      <c r="F3600" s="13" t="s">
        <v>5325</v>
      </c>
      <c r="G3600" s="13" t="s">
        <v>5289</v>
      </c>
      <c r="H3600" s="13" t="s">
        <v>5289</v>
      </c>
      <c r="I3600" s="13" t="s">
        <v>5289</v>
      </c>
      <c r="J3600" s="13" t="s">
        <v>5289</v>
      </c>
      <c r="K3600" s="13" t="s">
        <v>5289</v>
      </c>
      <c r="L3600" s="13" t="n">
        <v>8411061697290</v>
      </c>
      <c r="M3600" s="13"/>
      <c r="N3600" s="13" t="n">
        <v>8411061697290</v>
      </c>
      <c r="O3600" s="13"/>
      <c r="P3600" s="13" t="s">
        <v>5291</v>
      </c>
      <c r="Q3600" s="13" t="s">
        <v>5289</v>
      </c>
      <c r="R3600" s="13" t="s">
        <v>5292</v>
      </c>
      <c r="S3600" s="13" t="s">
        <v>5293</v>
      </c>
      <c r="T3600" s="13" t="s">
        <v>5</v>
      </c>
      <c r="U3600" s="13" t="s">
        <v>43</v>
      </c>
      <c r="V3600" s="13" t="n">
        <f aca="false">IF(COUNTIF($B$2:B3600,B3600)=1,1,0)</f>
        <v>0</v>
      </c>
      <c r="W3600" s="13" t="n">
        <f aca="false">IF(COUNTIFS($B$2:B3600,B3600,$T$2:T3600,T3600)=1,1,0)</f>
        <v>0</v>
      </c>
    </row>
    <row r="3601" customFormat="false" ht="15" hidden="false" customHeight="false" outlineLevel="0" collapsed="false">
      <c r="A3601" s="13" t="s">
        <v>4749</v>
      </c>
      <c r="B3601" s="13" t="s">
        <v>2103</v>
      </c>
      <c r="C3601" s="13" t="n">
        <v>290</v>
      </c>
      <c r="D3601" s="13" t="n">
        <v>2</v>
      </c>
      <c r="E3601" s="13" t="n">
        <v>73.11</v>
      </c>
      <c r="F3601" s="13" t="s">
        <v>5325</v>
      </c>
      <c r="G3601" s="13" t="s">
        <v>5289</v>
      </c>
      <c r="H3601" s="13" t="s">
        <v>5289</v>
      </c>
      <c r="I3601" s="13" t="s">
        <v>5289</v>
      </c>
      <c r="J3601" s="13" t="s">
        <v>5289</v>
      </c>
      <c r="K3601" s="13" t="s">
        <v>5292</v>
      </c>
      <c r="L3601" s="13" t="n">
        <v>309970166076</v>
      </c>
      <c r="M3601" s="13"/>
      <c r="N3601" s="13" t="n">
        <v>309970166076</v>
      </c>
      <c r="O3601" s="13"/>
      <c r="P3601" s="13" t="s">
        <v>5291</v>
      </c>
      <c r="Q3601" s="13" t="s">
        <v>5289</v>
      </c>
      <c r="R3601" s="13" t="s">
        <v>5292</v>
      </c>
      <c r="S3601" s="13" t="s">
        <v>5293</v>
      </c>
      <c r="T3601" s="13" t="s">
        <v>5</v>
      </c>
      <c r="U3601" s="13" t="s">
        <v>85</v>
      </c>
      <c r="V3601" s="13" t="n">
        <f aca="false">IF(COUNTIF($B$2:B3601,B3601)=1,1,0)</f>
        <v>0</v>
      </c>
      <c r="W3601" s="13" t="n">
        <f aca="false">IF(COUNTIFS($B$2:B3601,B3601,$T$2:T3601,T3601)=1,1,0)</f>
        <v>0</v>
      </c>
    </row>
    <row r="3602" customFormat="false" ht="15" hidden="false" customHeight="false" outlineLevel="0" collapsed="false">
      <c r="A3602" s="13" t="s">
        <v>1884</v>
      </c>
      <c r="B3602" s="13" t="s">
        <v>103</v>
      </c>
      <c r="C3602" s="13" t="n">
        <v>290</v>
      </c>
      <c r="D3602" s="13" t="n">
        <v>2</v>
      </c>
      <c r="E3602" s="13" t="n">
        <v>145.47</v>
      </c>
      <c r="F3602" s="13" t="s">
        <v>5288</v>
      </c>
      <c r="G3602" s="13" t="s">
        <v>5292</v>
      </c>
      <c r="H3602" s="13" t="s">
        <v>5292</v>
      </c>
      <c r="I3602" s="13" t="s">
        <v>5289</v>
      </c>
      <c r="J3602" s="13" t="s">
        <v>5289</v>
      </c>
      <c r="K3602" s="13" t="s">
        <v>5289</v>
      </c>
      <c r="L3602" s="13" t="n">
        <v>8411061948903</v>
      </c>
      <c r="M3602" s="13"/>
      <c r="N3602" s="13" t="n">
        <v>8.41106108085684E+025</v>
      </c>
      <c r="O3602" s="13"/>
      <c r="P3602" s="13" t="s">
        <v>5291</v>
      </c>
      <c r="Q3602" s="13" t="s">
        <v>5289</v>
      </c>
      <c r="R3602" s="13" t="s">
        <v>5292</v>
      </c>
      <c r="S3602" s="13" t="s">
        <v>5293</v>
      </c>
      <c r="T3602" s="13" t="s">
        <v>5</v>
      </c>
      <c r="U3602" s="13" t="s">
        <v>43</v>
      </c>
      <c r="V3602" s="13" t="n">
        <f aca="false">IF(COUNTIF($B$2:B3602,B3602)=1,1,0)</f>
        <v>0</v>
      </c>
      <c r="W3602" s="13" t="n">
        <f aca="false">IF(COUNTIFS($B$2:B3602,B3602,$T$2:T3602,T3602)=1,1,0)</f>
        <v>0</v>
      </c>
    </row>
    <row r="3603" customFormat="false" ht="15" hidden="false" customHeight="false" outlineLevel="0" collapsed="false">
      <c r="A3603" s="13" t="s">
        <v>1889</v>
      </c>
      <c r="B3603" s="13" t="s">
        <v>107</v>
      </c>
      <c r="C3603" s="13" t="n">
        <v>290</v>
      </c>
      <c r="D3603" s="13" t="n">
        <v>1</v>
      </c>
      <c r="E3603" s="13" t="n">
        <v>289</v>
      </c>
      <c r="F3603" s="13" t="s">
        <v>5325</v>
      </c>
      <c r="G3603" s="13" t="s">
        <v>5292</v>
      </c>
      <c r="H3603" s="13" t="s">
        <v>5292</v>
      </c>
      <c r="I3603" s="13" t="s">
        <v>5289</v>
      </c>
      <c r="J3603" s="13" t="s">
        <v>5289</v>
      </c>
      <c r="K3603" s="13" t="s">
        <v>5289</v>
      </c>
      <c r="L3603" s="13" t="n">
        <v>4064666337128</v>
      </c>
      <c r="M3603" s="13"/>
      <c r="N3603" s="13" t="n">
        <v>4064666337128</v>
      </c>
      <c r="O3603" s="13"/>
      <c r="P3603" s="13" t="s">
        <v>5291</v>
      </c>
      <c r="Q3603" s="13" t="s">
        <v>5289</v>
      </c>
      <c r="R3603" s="13" t="s">
        <v>5292</v>
      </c>
      <c r="S3603" s="13" t="s">
        <v>5293</v>
      </c>
      <c r="T3603" s="13" t="s">
        <v>5</v>
      </c>
      <c r="U3603" s="13" t="s">
        <v>43</v>
      </c>
      <c r="V3603" s="13" t="n">
        <f aca="false">IF(COUNTIF($B$2:B3603,B3603)=1,1,0)</f>
        <v>0</v>
      </c>
      <c r="W3603" s="13" t="n">
        <f aca="false">IF(COUNTIFS($B$2:B3603,B3603,$T$2:T3603,T3603)=1,1,0)</f>
        <v>0</v>
      </c>
    </row>
    <row r="3604" customFormat="false" ht="15" hidden="false" customHeight="false" outlineLevel="0" collapsed="false">
      <c r="A3604" s="13" t="s">
        <v>1882</v>
      </c>
      <c r="B3604" s="13" t="s">
        <v>630</v>
      </c>
      <c r="C3604" s="13" t="n">
        <v>290</v>
      </c>
      <c r="D3604" s="13" t="n">
        <v>1</v>
      </c>
      <c r="E3604" s="13" t="n">
        <v>288.85</v>
      </c>
      <c r="F3604" s="13" t="s">
        <v>5288</v>
      </c>
      <c r="G3604" s="13" t="s">
        <v>5289</v>
      </c>
      <c r="H3604" s="13" t="s">
        <v>5289</v>
      </c>
      <c r="I3604" s="13" t="s">
        <v>5289</v>
      </c>
      <c r="J3604" s="13" t="s">
        <v>5289</v>
      </c>
      <c r="K3604" s="13" t="s">
        <v>5292</v>
      </c>
      <c r="L3604" s="13" t="n">
        <v>8433982028519</v>
      </c>
      <c r="M3604" s="13"/>
      <c r="N3604" s="13" t="n">
        <v>8433982028519</v>
      </c>
      <c r="O3604" s="13"/>
      <c r="P3604" s="13" t="s">
        <v>5291</v>
      </c>
      <c r="Q3604" s="13" t="s">
        <v>5289</v>
      </c>
      <c r="R3604" s="13" t="s">
        <v>5292</v>
      </c>
      <c r="S3604" s="13" t="s">
        <v>5293</v>
      </c>
      <c r="T3604" s="13" t="s">
        <v>5</v>
      </c>
      <c r="U3604" s="13" t="s">
        <v>43</v>
      </c>
      <c r="V3604" s="13" t="n">
        <f aca="false">IF(COUNTIF($B$2:B3604,B3604)=1,1,0)</f>
        <v>0</v>
      </c>
      <c r="W3604" s="13" t="n">
        <f aca="false">IF(COUNTIFS($B$2:B3604,B3604,$T$2:T3604,T3604)=1,1,0)</f>
        <v>0</v>
      </c>
    </row>
    <row r="3605" customFormat="false" ht="15" hidden="false" customHeight="false" outlineLevel="0" collapsed="false">
      <c r="A3605" s="13" t="s">
        <v>1880</v>
      </c>
      <c r="B3605" s="13" t="s">
        <v>42</v>
      </c>
      <c r="C3605" s="13" t="n">
        <v>290</v>
      </c>
      <c r="D3605" s="13" t="n">
        <v>1</v>
      </c>
      <c r="E3605" s="13" t="n">
        <v>288.85</v>
      </c>
      <c r="F3605" s="13" t="s">
        <v>5325</v>
      </c>
      <c r="G3605" s="13" t="s">
        <v>5292</v>
      </c>
      <c r="H3605" s="13" t="s">
        <v>5289</v>
      </c>
      <c r="I3605" s="13" t="s">
        <v>5289</v>
      </c>
      <c r="J3605" s="13" t="s">
        <v>5289</v>
      </c>
      <c r="K3605" s="13" t="s">
        <v>5292</v>
      </c>
      <c r="L3605" s="13" t="n">
        <v>8411061805893</v>
      </c>
      <c r="M3605" s="13"/>
      <c r="N3605" s="13" t="n">
        <v>8411061805893</v>
      </c>
      <c r="O3605" s="13"/>
      <c r="P3605" s="13" t="s">
        <v>5297</v>
      </c>
      <c r="Q3605" s="13" t="s">
        <v>5289</v>
      </c>
      <c r="R3605" s="13" t="s">
        <v>5292</v>
      </c>
      <c r="S3605" s="13" t="s">
        <v>5293</v>
      </c>
      <c r="T3605" s="13" t="s">
        <v>5</v>
      </c>
      <c r="U3605" s="13" t="s">
        <v>43</v>
      </c>
      <c r="V3605" s="13" t="n">
        <f aca="false">IF(COUNTIF($B$2:B3605,B3605)=1,1,0)</f>
        <v>0</v>
      </c>
      <c r="W3605" s="13" t="n">
        <f aca="false">IF(COUNTIFS($B$2:B3605,B3605,$T$2:T3605,T3605)=1,1,0)</f>
        <v>0</v>
      </c>
    </row>
    <row r="3606" customFormat="false" ht="15" hidden="false" customHeight="false" outlineLevel="0" collapsed="false">
      <c r="A3606" s="13" t="s">
        <v>4810</v>
      </c>
      <c r="B3606" s="13" t="s">
        <v>2134</v>
      </c>
      <c r="C3606" s="13" t="n">
        <v>290</v>
      </c>
      <c r="D3606" s="13" t="n">
        <v>1</v>
      </c>
      <c r="E3606" s="13" t="n">
        <v>288</v>
      </c>
      <c r="F3606" s="13" t="s">
        <v>5325</v>
      </c>
      <c r="G3606" s="13" t="s">
        <v>5292</v>
      </c>
      <c r="H3606" s="13" t="s">
        <v>5289</v>
      </c>
      <c r="I3606" s="13" t="s">
        <v>5289</v>
      </c>
      <c r="J3606" s="13" t="s">
        <v>5289</v>
      </c>
      <c r="K3606" s="13" t="s">
        <v>5289</v>
      </c>
      <c r="L3606" s="13"/>
      <c r="M3606" s="13"/>
      <c r="N3606" s="13" t="n">
        <v>3386460142182</v>
      </c>
      <c r="O3606" s="13"/>
      <c r="P3606" s="13" t="s">
        <v>5297</v>
      </c>
      <c r="Q3606" s="13" t="s">
        <v>5289</v>
      </c>
      <c r="R3606" s="13" t="s">
        <v>5292</v>
      </c>
      <c r="S3606" s="13" t="s">
        <v>5293</v>
      </c>
      <c r="T3606" s="13" t="s">
        <v>5</v>
      </c>
      <c r="U3606" s="13" t="s">
        <v>43</v>
      </c>
      <c r="V3606" s="13" t="n">
        <f aca="false">IF(COUNTIF($B$2:B3606,B3606)=1,1,0)</f>
        <v>0</v>
      </c>
      <c r="W3606" s="13" t="n">
        <f aca="false">IF(COUNTIFS($B$2:B3606,B3606,$T$2:T3606,T3606)=1,1,0)</f>
        <v>0</v>
      </c>
    </row>
    <row r="3607" customFormat="false" ht="15" hidden="false" customHeight="false" outlineLevel="0" collapsed="false">
      <c r="A3607" s="13" t="s">
        <v>1887</v>
      </c>
      <c r="B3607" s="13" t="s">
        <v>59</v>
      </c>
      <c r="C3607" s="13" t="n">
        <v>290</v>
      </c>
      <c r="D3607" s="13" t="n">
        <v>2</v>
      </c>
      <c r="E3607" s="13" t="n">
        <v>144</v>
      </c>
      <c r="F3607" s="13" t="s">
        <v>5325</v>
      </c>
      <c r="G3607" s="13" t="s">
        <v>5289</v>
      </c>
      <c r="H3607" s="13" t="s">
        <v>5292</v>
      </c>
      <c r="I3607" s="13" t="s">
        <v>5289</v>
      </c>
      <c r="J3607" s="13" t="s">
        <v>5289</v>
      </c>
      <c r="K3607" s="13" t="s">
        <v>5289</v>
      </c>
      <c r="L3607" s="13" t="n">
        <v>3616307110136</v>
      </c>
      <c r="M3607" s="13"/>
      <c r="N3607" s="13" t="n">
        <v>3616307110136</v>
      </c>
      <c r="O3607" s="13"/>
      <c r="P3607" s="13" t="s">
        <v>5291</v>
      </c>
      <c r="Q3607" s="13" t="s">
        <v>5289</v>
      </c>
      <c r="R3607" s="13" t="s">
        <v>5292</v>
      </c>
      <c r="S3607" s="13" t="s">
        <v>5293</v>
      </c>
      <c r="T3607" s="13" t="s">
        <v>5</v>
      </c>
      <c r="U3607" s="13" t="s">
        <v>43</v>
      </c>
      <c r="V3607" s="13" t="n">
        <f aca="false">IF(COUNTIF($B$2:B3607,B3607)=1,1,0)</f>
        <v>0</v>
      </c>
      <c r="W3607" s="13" t="n">
        <f aca="false">IF(COUNTIFS($B$2:B3607,B3607,$T$2:T3607,T3607)=1,1,0)</f>
        <v>0</v>
      </c>
    </row>
    <row r="3608" customFormat="false" ht="15" hidden="false" customHeight="false" outlineLevel="0" collapsed="false">
      <c r="A3608" s="13" t="s">
        <v>1886</v>
      </c>
      <c r="B3608" s="13" t="s">
        <v>153</v>
      </c>
      <c r="C3608" s="13" t="n">
        <v>290</v>
      </c>
      <c r="D3608" s="13" t="n">
        <v>1</v>
      </c>
      <c r="E3608" s="13" t="n">
        <v>287.88</v>
      </c>
      <c r="F3608" s="13" t="s">
        <v>5325</v>
      </c>
      <c r="G3608" s="13" t="s">
        <v>5289</v>
      </c>
      <c r="H3608" s="13" t="s">
        <v>5289</v>
      </c>
      <c r="I3608" s="13" t="s">
        <v>5289</v>
      </c>
      <c r="J3608" s="13" t="s">
        <v>5289</v>
      </c>
      <c r="K3608" s="13" t="s">
        <v>5289</v>
      </c>
      <c r="L3608" s="13" t="n">
        <v>8018365270756</v>
      </c>
      <c r="M3608" s="13"/>
      <c r="N3608" s="13" t="n">
        <v>8018365270756</v>
      </c>
      <c r="O3608" s="13"/>
      <c r="P3608" s="13" t="s">
        <v>5291</v>
      </c>
      <c r="Q3608" s="13" t="s">
        <v>5289</v>
      </c>
      <c r="R3608" s="13" t="s">
        <v>5292</v>
      </c>
      <c r="S3608" s="13" t="s">
        <v>5293</v>
      </c>
      <c r="T3608" s="13" t="s">
        <v>5</v>
      </c>
      <c r="U3608" s="13" t="s">
        <v>43</v>
      </c>
      <c r="V3608" s="13" t="n">
        <f aca="false">IF(COUNTIF($B$2:B3608,B3608)=1,1,0)</f>
        <v>0</v>
      </c>
      <c r="W3608" s="13" t="n">
        <f aca="false">IF(COUNTIFS($B$2:B3608,B3608,$T$2:T3608,T3608)=1,1,0)</f>
        <v>0</v>
      </c>
    </row>
    <row r="3609" customFormat="false" ht="15" hidden="false" customHeight="false" outlineLevel="0" collapsed="false">
      <c r="A3609" s="13" t="s">
        <v>4815</v>
      </c>
      <c r="B3609" s="13" t="s">
        <v>2194</v>
      </c>
      <c r="C3609" s="13" t="n">
        <v>290</v>
      </c>
      <c r="D3609" s="13" t="n">
        <v>5</v>
      </c>
      <c r="E3609" s="13" t="n">
        <v>35.8875</v>
      </c>
      <c r="F3609" s="13" t="s">
        <v>5288</v>
      </c>
      <c r="G3609" s="13" t="s">
        <v>5292</v>
      </c>
      <c r="H3609" s="13" t="s">
        <v>5289</v>
      </c>
      <c r="I3609" s="13" t="s">
        <v>5292</v>
      </c>
      <c r="J3609" s="13" t="s">
        <v>5289</v>
      </c>
      <c r="K3609" s="13" t="s">
        <v>5289</v>
      </c>
      <c r="L3609" s="13"/>
      <c r="M3609" s="13"/>
      <c r="N3609" s="13" t="n">
        <v>7898930772752</v>
      </c>
      <c r="O3609" s="13"/>
      <c r="P3609" s="13" t="s">
        <v>5297</v>
      </c>
      <c r="Q3609" s="13" t="s">
        <v>5289</v>
      </c>
      <c r="R3609" s="13" t="s">
        <v>5292</v>
      </c>
      <c r="S3609" s="13" t="s">
        <v>5293</v>
      </c>
      <c r="T3609" s="13" t="s">
        <v>5</v>
      </c>
      <c r="U3609" s="13" t="s">
        <v>85</v>
      </c>
      <c r="V3609" s="13" t="n">
        <f aca="false">IF(COUNTIF($B$2:B3609,B3609)=1,1,0)</f>
        <v>0</v>
      </c>
      <c r="W3609" s="13" t="n">
        <f aca="false">IF(COUNTIFS($B$2:B3609,B3609,$T$2:T3609,T3609)=1,1,0)</f>
        <v>0</v>
      </c>
    </row>
    <row r="3610" customFormat="false" ht="15" hidden="false" customHeight="false" outlineLevel="0" collapsed="false">
      <c r="A3610" s="13" t="s">
        <v>1888</v>
      </c>
      <c r="B3610" s="13" t="s">
        <v>315</v>
      </c>
      <c r="C3610" s="13" t="n">
        <v>290</v>
      </c>
      <c r="D3610" s="13" t="n">
        <v>1</v>
      </c>
      <c r="E3610" s="13" t="n">
        <v>287</v>
      </c>
      <c r="F3610" s="13" t="s">
        <v>5325</v>
      </c>
      <c r="G3610" s="13" t="s">
        <v>5289</v>
      </c>
      <c r="H3610" s="13" t="s">
        <v>5292</v>
      </c>
      <c r="I3610" s="13" t="s">
        <v>5289</v>
      </c>
      <c r="J3610" s="13" t="s">
        <v>5289</v>
      </c>
      <c r="K3610" s="13" t="s">
        <v>5289</v>
      </c>
      <c r="L3610" s="13" t="n">
        <v>3605972910288</v>
      </c>
      <c r="M3610" s="13"/>
      <c r="N3610" s="13" t="n">
        <v>3605972910288</v>
      </c>
      <c r="O3610" s="13"/>
      <c r="P3610" s="13" t="s">
        <v>5291</v>
      </c>
      <c r="Q3610" s="13" t="s">
        <v>5289</v>
      </c>
      <c r="R3610" s="13" t="s">
        <v>5292</v>
      </c>
      <c r="S3610" s="13" t="s">
        <v>5293</v>
      </c>
      <c r="T3610" s="13" t="s">
        <v>5</v>
      </c>
      <c r="U3610" s="13" t="s">
        <v>43</v>
      </c>
      <c r="V3610" s="13" t="n">
        <f aca="false">IF(COUNTIF($B$2:B3610,B3610)=1,1,0)</f>
        <v>0</v>
      </c>
      <c r="W3610" s="13" t="n">
        <f aca="false">IF(COUNTIFS($B$2:B3610,B3610,$T$2:T3610,T3610)=1,1,0)</f>
        <v>0</v>
      </c>
    </row>
    <row r="3611" customFormat="false" ht="15" hidden="false" customHeight="false" outlineLevel="0" collapsed="false">
      <c r="A3611" s="13" t="s">
        <v>1883</v>
      </c>
      <c r="B3611" s="13" t="s">
        <v>107</v>
      </c>
      <c r="C3611" s="13" t="n">
        <v>290</v>
      </c>
      <c r="D3611" s="13" t="n">
        <v>1</v>
      </c>
      <c r="E3611" s="13" t="n">
        <v>286.96</v>
      </c>
      <c r="F3611" s="13" t="s">
        <v>5325</v>
      </c>
      <c r="G3611" s="13" t="s">
        <v>5289</v>
      </c>
      <c r="H3611" s="13" t="s">
        <v>5289</v>
      </c>
      <c r="I3611" s="13" t="s">
        <v>5289</v>
      </c>
      <c r="J3611" s="13" t="s">
        <v>5289</v>
      </c>
      <c r="K3611" s="13" t="s">
        <v>5289</v>
      </c>
      <c r="L3611" s="13" t="n">
        <v>7891182019767</v>
      </c>
      <c r="M3611" s="13"/>
      <c r="N3611" s="13" t="n">
        <v>7891182019767</v>
      </c>
      <c r="O3611" s="13"/>
      <c r="P3611" s="13" t="s">
        <v>5291</v>
      </c>
      <c r="Q3611" s="13" t="s">
        <v>5289</v>
      </c>
      <c r="R3611" s="13" t="s">
        <v>5292</v>
      </c>
      <c r="S3611" s="13" t="s">
        <v>5293</v>
      </c>
      <c r="T3611" s="13" t="s">
        <v>5</v>
      </c>
      <c r="U3611" s="13" t="s">
        <v>43</v>
      </c>
      <c r="V3611" s="13" t="n">
        <f aca="false">IF(COUNTIF($B$2:B3611,B3611)=1,1,0)</f>
        <v>0</v>
      </c>
      <c r="W3611" s="13" t="n">
        <f aca="false">IF(COUNTIFS($B$2:B3611,B3611,$T$2:T3611,T3611)=1,1,0)</f>
        <v>0</v>
      </c>
    </row>
    <row r="3612" customFormat="false" ht="15" hidden="false" customHeight="false" outlineLevel="0" collapsed="false">
      <c r="A3612" s="13" t="s">
        <v>1881</v>
      </c>
      <c r="B3612" s="13" t="s">
        <v>153</v>
      </c>
      <c r="C3612" s="13" t="n">
        <v>290</v>
      </c>
      <c r="D3612" s="13" t="n">
        <v>1</v>
      </c>
      <c r="E3612" s="13" t="n">
        <v>285.84</v>
      </c>
      <c r="F3612" s="13" t="s">
        <v>5325</v>
      </c>
      <c r="G3612" s="13" t="s">
        <v>5289</v>
      </c>
      <c r="H3612" s="13" t="s">
        <v>5292</v>
      </c>
      <c r="I3612" s="13" t="s">
        <v>5289</v>
      </c>
      <c r="J3612" s="13" t="s">
        <v>5289</v>
      </c>
      <c r="K3612" s="13" t="s">
        <v>5289</v>
      </c>
      <c r="L3612" s="13" t="n">
        <v>8018365500013</v>
      </c>
      <c r="M3612" s="13"/>
      <c r="N3612" s="13" t="n">
        <v>8018365500013</v>
      </c>
      <c r="O3612" s="13"/>
      <c r="P3612" s="13" t="s">
        <v>5291</v>
      </c>
      <c r="Q3612" s="13" t="s">
        <v>5289</v>
      </c>
      <c r="R3612" s="13" t="s">
        <v>5292</v>
      </c>
      <c r="S3612" s="13" t="s">
        <v>5293</v>
      </c>
      <c r="T3612" s="13" t="s">
        <v>5</v>
      </c>
      <c r="U3612" s="13" t="s">
        <v>43</v>
      </c>
      <c r="V3612" s="13" t="n">
        <f aca="false">IF(COUNTIF($B$2:B3612,B3612)=1,1,0)</f>
        <v>0</v>
      </c>
      <c r="W3612" s="13" t="n">
        <f aca="false">IF(COUNTIFS($B$2:B3612,B3612,$T$2:T3612,T3612)=1,1,0)</f>
        <v>0</v>
      </c>
    </row>
    <row r="3613" customFormat="false" ht="15" hidden="false" customHeight="false" outlineLevel="0" collapsed="false">
      <c r="A3613" s="13" t="s">
        <v>1903</v>
      </c>
      <c r="B3613" s="13" t="s">
        <v>362</v>
      </c>
      <c r="C3613" s="13" t="n">
        <v>280</v>
      </c>
      <c r="D3613" s="13" t="n">
        <v>1</v>
      </c>
      <c r="E3613" s="13" t="n">
        <v>285</v>
      </c>
      <c r="F3613" s="13" t="s">
        <v>5288</v>
      </c>
      <c r="G3613" s="13" t="s">
        <v>5289</v>
      </c>
      <c r="H3613" s="13" t="s">
        <v>5289</v>
      </c>
      <c r="I3613" s="13" t="s">
        <v>5289</v>
      </c>
      <c r="J3613" s="13" t="s">
        <v>5289</v>
      </c>
      <c r="K3613" s="13" t="s">
        <v>5289</v>
      </c>
      <c r="L3613" s="13" t="n">
        <v>3386460032704</v>
      </c>
      <c r="M3613" s="13"/>
      <c r="N3613" s="13" t="n">
        <v>3386460032704</v>
      </c>
      <c r="O3613" s="13"/>
      <c r="P3613" s="13" t="s">
        <v>5291</v>
      </c>
      <c r="Q3613" s="13" t="s">
        <v>5289</v>
      </c>
      <c r="R3613" s="13" t="s">
        <v>5292</v>
      </c>
      <c r="S3613" s="13" t="s">
        <v>5293</v>
      </c>
      <c r="T3613" s="13" t="s">
        <v>5</v>
      </c>
      <c r="U3613" s="13" t="s">
        <v>43</v>
      </c>
      <c r="V3613" s="13" t="n">
        <f aca="false">IF(COUNTIF($B$2:B3613,B3613)=1,1,0)</f>
        <v>0</v>
      </c>
      <c r="W3613" s="13" t="n">
        <f aca="false">IF(COUNTIFS($B$2:B3613,B3613,$T$2:T3613,T3613)=1,1,0)</f>
        <v>0</v>
      </c>
    </row>
    <row r="3614" customFormat="false" ht="15" hidden="false" customHeight="false" outlineLevel="0" collapsed="false">
      <c r="A3614" s="13" t="s">
        <v>1902</v>
      </c>
      <c r="B3614" s="13" t="s">
        <v>329</v>
      </c>
      <c r="C3614" s="13" t="n">
        <v>280</v>
      </c>
      <c r="D3614" s="13" t="n">
        <v>1</v>
      </c>
      <c r="E3614" s="13" t="n">
        <v>285</v>
      </c>
      <c r="F3614" s="13" t="s">
        <v>5325</v>
      </c>
      <c r="G3614" s="13" t="s">
        <v>5292</v>
      </c>
      <c r="H3614" s="13" t="s">
        <v>5289</v>
      </c>
      <c r="I3614" s="13" t="s">
        <v>5289</v>
      </c>
      <c r="J3614" s="13" t="s">
        <v>5289</v>
      </c>
      <c r="K3614" s="13" t="s">
        <v>5289</v>
      </c>
      <c r="L3614" s="13" t="n">
        <v>3137370359500</v>
      </c>
      <c r="M3614" s="13"/>
      <c r="N3614" s="13" t="n">
        <v>3137370359500</v>
      </c>
      <c r="O3614" s="13"/>
      <c r="P3614" s="13" t="s">
        <v>5297</v>
      </c>
      <c r="Q3614" s="13" t="s">
        <v>5289</v>
      </c>
      <c r="R3614" s="13" t="s">
        <v>5292</v>
      </c>
      <c r="S3614" s="13" t="s">
        <v>5293</v>
      </c>
      <c r="T3614" s="13" t="s">
        <v>5</v>
      </c>
      <c r="U3614" s="13" t="s">
        <v>43</v>
      </c>
      <c r="V3614" s="13" t="n">
        <f aca="false">IF(COUNTIF($B$2:B3614,B3614)=1,1,0)</f>
        <v>0</v>
      </c>
      <c r="W3614" s="13" t="n">
        <f aca="false">IF(COUNTIFS($B$2:B3614,B3614,$T$2:T3614,T3614)=1,1,0)</f>
        <v>0</v>
      </c>
    </row>
    <row r="3615" customFormat="false" ht="15" hidden="false" customHeight="false" outlineLevel="0" collapsed="false">
      <c r="A3615" s="13" t="s">
        <v>1907</v>
      </c>
      <c r="B3615" s="13" t="s">
        <v>54</v>
      </c>
      <c r="C3615" s="13" t="n">
        <v>280</v>
      </c>
      <c r="D3615" s="13" t="n">
        <v>1</v>
      </c>
      <c r="E3615" s="13" t="n">
        <v>284.86</v>
      </c>
      <c r="F3615" s="13" t="s">
        <v>5325</v>
      </c>
      <c r="G3615" s="13" t="s">
        <v>5289</v>
      </c>
      <c r="H3615" s="13" t="s">
        <v>5292</v>
      </c>
      <c r="I3615" s="13" t="s">
        <v>5289</v>
      </c>
      <c r="J3615" s="13" t="s">
        <v>5289</v>
      </c>
      <c r="K3615" s="13" t="s">
        <v>5289</v>
      </c>
      <c r="L3615" s="13" t="n">
        <v>7898965700027</v>
      </c>
      <c r="M3615" s="13"/>
      <c r="N3615" s="13" t="n">
        <v>7.89896570002773E+036</v>
      </c>
      <c r="O3615" s="13"/>
      <c r="P3615" s="13" t="s">
        <v>5291</v>
      </c>
      <c r="Q3615" s="13" t="s">
        <v>5289</v>
      </c>
      <c r="R3615" s="13" t="s">
        <v>5292</v>
      </c>
      <c r="S3615" s="13" t="s">
        <v>5293</v>
      </c>
      <c r="T3615" s="13" t="s">
        <v>5</v>
      </c>
      <c r="U3615" s="13" t="s">
        <v>43</v>
      </c>
      <c r="V3615" s="13" t="n">
        <f aca="false">IF(COUNTIF($B$2:B3615,B3615)=1,1,0)</f>
        <v>0</v>
      </c>
      <c r="W3615" s="13" t="n">
        <f aca="false">IF(COUNTIFS($B$2:B3615,B3615,$T$2:T3615,T3615)=1,1,0)</f>
        <v>0</v>
      </c>
    </row>
    <row r="3616" customFormat="false" ht="15" hidden="false" customHeight="false" outlineLevel="0" collapsed="false">
      <c r="A3616" s="13" t="s">
        <v>1906</v>
      </c>
      <c r="B3616" s="13" t="s">
        <v>286</v>
      </c>
      <c r="C3616" s="13" t="n">
        <v>280</v>
      </c>
      <c r="D3616" s="13" t="n">
        <v>1</v>
      </c>
      <c r="E3616" s="13" t="n">
        <v>284</v>
      </c>
      <c r="F3616" s="13" t="s">
        <v>5288</v>
      </c>
      <c r="G3616" s="13" t="s">
        <v>5289</v>
      </c>
      <c r="H3616" s="13" t="s">
        <v>5289</v>
      </c>
      <c r="I3616" s="13" t="s">
        <v>5289</v>
      </c>
      <c r="J3616" s="13" t="s">
        <v>5289</v>
      </c>
      <c r="K3616" s="13" t="s">
        <v>5289</v>
      </c>
      <c r="L3616" s="13" t="n">
        <v>6295199800942</v>
      </c>
      <c r="M3616" s="13"/>
      <c r="N3616" s="13" t="n">
        <v>6295199800942</v>
      </c>
      <c r="O3616" s="13"/>
      <c r="P3616" s="13" t="s">
        <v>5291</v>
      </c>
      <c r="Q3616" s="13" t="s">
        <v>5289</v>
      </c>
      <c r="R3616" s="13" t="s">
        <v>5292</v>
      </c>
      <c r="S3616" s="13" t="s">
        <v>5293</v>
      </c>
      <c r="T3616" s="13" t="s">
        <v>5</v>
      </c>
      <c r="U3616" s="13" t="s">
        <v>43</v>
      </c>
      <c r="V3616" s="13" t="n">
        <f aca="false">IF(COUNTIF($B$2:B3616,B3616)=1,1,0)</f>
        <v>0</v>
      </c>
      <c r="W3616" s="13" t="n">
        <f aca="false">IF(COUNTIFS($B$2:B3616,B3616,$T$2:T3616,T3616)=1,1,0)</f>
        <v>0</v>
      </c>
    </row>
    <row r="3617" customFormat="false" ht="15" hidden="false" customHeight="false" outlineLevel="0" collapsed="false">
      <c r="A3617" s="13" t="s">
        <v>1905</v>
      </c>
      <c r="B3617" s="13" t="s">
        <v>61</v>
      </c>
      <c r="C3617" s="13" t="n">
        <v>280</v>
      </c>
      <c r="D3617" s="13" t="n">
        <v>1</v>
      </c>
      <c r="E3617" s="13" t="n">
        <v>283.9</v>
      </c>
      <c r="F3617" s="13" t="s">
        <v>5288</v>
      </c>
      <c r="G3617" s="13" t="s">
        <v>5289</v>
      </c>
      <c r="H3617" s="13" t="s">
        <v>5289</v>
      </c>
      <c r="I3617" s="13" t="s">
        <v>5289</v>
      </c>
      <c r="J3617" s="13" t="s">
        <v>5289</v>
      </c>
      <c r="K3617" s="13" t="s">
        <v>5289</v>
      </c>
      <c r="L3617" s="13" t="n">
        <v>3614273436700</v>
      </c>
      <c r="M3617" s="13"/>
      <c r="N3617" s="13" t="n">
        <v>3614273436700</v>
      </c>
      <c r="O3617" s="13"/>
      <c r="P3617" s="13" t="s">
        <v>5291</v>
      </c>
      <c r="Q3617" s="13" t="s">
        <v>5289</v>
      </c>
      <c r="R3617" s="13" t="s">
        <v>5292</v>
      </c>
      <c r="S3617" s="13" t="s">
        <v>5293</v>
      </c>
      <c r="T3617" s="13" t="s">
        <v>5</v>
      </c>
      <c r="U3617" s="13" t="s">
        <v>43</v>
      </c>
      <c r="V3617" s="13" t="n">
        <f aca="false">IF(COUNTIF($B$2:B3617,B3617)=1,1,0)</f>
        <v>0</v>
      </c>
      <c r="W3617" s="13" t="n">
        <f aca="false">IF(COUNTIFS($B$2:B3617,B3617,$T$2:T3617,T3617)=1,1,0)</f>
        <v>0</v>
      </c>
    </row>
    <row r="3618" customFormat="false" ht="15" hidden="false" customHeight="false" outlineLevel="0" collapsed="false">
      <c r="A3618" s="13" t="s">
        <v>6403</v>
      </c>
      <c r="B3618" s="13" t="s">
        <v>2139</v>
      </c>
      <c r="C3618" s="13" t="n">
        <v>280</v>
      </c>
      <c r="D3618" s="13" t="n">
        <v>2</v>
      </c>
      <c r="E3618" s="13" t="n">
        <v>141.76</v>
      </c>
      <c r="F3618" s="13" t="s">
        <v>5325</v>
      </c>
      <c r="G3618" s="13" t="s">
        <v>5289</v>
      </c>
      <c r="H3618" s="13" t="s">
        <v>5292</v>
      </c>
      <c r="I3618" s="13" t="s">
        <v>5289</v>
      </c>
      <c r="J3618" s="13" t="s">
        <v>5289</v>
      </c>
      <c r="K3618" s="13" t="s">
        <v>5289</v>
      </c>
      <c r="L3618" s="13"/>
      <c r="M3618" s="13"/>
      <c r="N3618" s="13" t="n">
        <v>8.41106106729184E+025</v>
      </c>
      <c r="O3618" s="13"/>
      <c r="P3618" s="13" t="s">
        <v>5291</v>
      </c>
      <c r="Q3618" s="13" t="s">
        <v>5289</v>
      </c>
      <c r="R3618" s="13" t="s">
        <v>5292</v>
      </c>
      <c r="S3618" s="13" t="s">
        <v>5293</v>
      </c>
      <c r="T3618" s="13" t="s">
        <v>5</v>
      </c>
      <c r="U3618" s="13" t="s">
        <v>140</v>
      </c>
      <c r="V3618" s="13" t="n">
        <f aca="false">IF(COUNTIF($B$2:B3618,B3618)=1,1,0)</f>
        <v>0</v>
      </c>
      <c r="W3618" s="13" t="n">
        <f aca="false">IF(COUNTIFS($B$2:B3618,B3618,$T$2:T3618,T3618)=1,1,0)</f>
        <v>0</v>
      </c>
    </row>
    <row r="3619" customFormat="false" ht="15" hidden="false" customHeight="false" outlineLevel="0" collapsed="false">
      <c r="A3619" s="13" t="s">
        <v>6404</v>
      </c>
      <c r="B3619" s="13" t="s">
        <v>2127</v>
      </c>
      <c r="C3619" s="13" t="n">
        <v>280</v>
      </c>
      <c r="D3619" s="13" t="n">
        <v>2</v>
      </c>
      <c r="E3619" s="13" t="n">
        <v>70.7875</v>
      </c>
      <c r="F3619" s="13" t="s">
        <v>5325</v>
      </c>
      <c r="G3619" s="13" t="s">
        <v>5289</v>
      </c>
      <c r="H3619" s="13" t="s">
        <v>5292</v>
      </c>
      <c r="I3619" s="13" t="s">
        <v>5292</v>
      </c>
      <c r="J3619" s="13" t="s">
        <v>5289</v>
      </c>
      <c r="K3619" s="13" t="s">
        <v>5289</v>
      </c>
      <c r="L3619" s="13" t="n">
        <v>19045108138</v>
      </c>
      <c r="M3619" s="13"/>
      <c r="N3619" s="13" t="n">
        <v>19045108138</v>
      </c>
      <c r="O3619" s="13"/>
      <c r="P3619" s="13" t="s">
        <v>5291</v>
      </c>
      <c r="Q3619" s="13" t="s">
        <v>5289</v>
      </c>
      <c r="R3619" s="13" t="s">
        <v>5292</v>
      </c>
      <c r="S3619" s="13" t="s">
        <v>5293</v>
      </c>
      <c r="T3619" s="13" t="s">
        <v>5</v>
      </c>
      <c r="U3619" s="13" t="s">
        <v>85</v>
      </c>
      <c r="V3619" s="13" t="n">
        <f aca="false">IF(COUNTIF($B$2:B3619,B3619)=1,1,0)</f>
        <v>0</v>
      </c>
      <c r="W3619" s="13" t="n">
        <f aca="false">IF(COUNTIFS($B$2:B3619,B3619,$T$2:T3619,T3619)=1,1,0)</f>
        <v>0</v>
      </c>
    </row>
    <row r="3620" customFormat="false" ht="15" hidden="false" customHeight="false" outlineLevel="0" collapsed="false">
      <c r="A3620" s="13" t="s">
        <v>4820</v>
      </c>
      <c r="B3620" s="13" t="s">
        <v>2139</v>
      </c>
      <c r="C3620" s="13" t="n">
        <v>280</v>
      </c>
      <c r="D3620" s="13" t="n">
        <v>2</v>
      </c>
      <c r="E3620" s="13" t="n">
        <v>141.54</v>
      </c>
      <c r="F3620" s="13" t="s">
        <v>5325</v>
      </c>
      <c r="G3620" s="13" t="s">
        <v>5289</v>
      </c>
      <c r="H3620" s="13" t="s">
        <v>5289</v>
      </c>
      <c r="I3620" s="13" t="s">
        <v>5289</v>
      </c>
      <c r="J3620" s="13" t="s">
        <v>5289</v>
      </c>
      <c r="K3620" s="13" t="s">
        <v>5289</v>
      </c>
      <c r="L3620" s="13" t="n">
        <v>8411061875766</v>
      </c>
      <c r="M3620" s="13"/>
      <c r="N3620" s="13" t="n">
        <v>8411061875766</v>
      </c>
      <c r="O3620" s="13"/>
      <c r="P3620" s="13" t="s">
        <v>5291</v>
      </c>
      <c r="Q3620" s="13" t="s">
        <v>5289</v>
      </c>
      <c r="R3620" s="13" t="s">
        <v>5292</v>
      </c>
      <c r="S3620" s="13" t="s">
        <v>5293</v>
      </c>
      <c r="T3620" s="13" t="s">
        <v>5</v>
      </c>
      <c r="U3620" s="13" t="s">
        <v>85</v>
      </c>
      <c r="V3620" s="13" t="n">
        <f aca="false">IF(COUNTIF($B$2:B3620,B3620)=1,1,0)</f>
        <v>0</v>
      </c>
      <c r="W3620" s="13" t="n">
        <f aca="false">IF(COUNTIFS($B$2:B3620,B3620,$T$2:T3620,T3620)=1,1,0)</f>
        <v>0</v>
      </c>
    </row>
    <row r="3621" customFormat="false" ht="15" hidden="false" customHeight="false" outlineLevel="0" collapsed="false">
      <c r="A3621" s="13" t="s">
        <v>6405</v>
      </c>
      <c r="B3621" s="13" t="s">
        <v>2261</v>
      </c>
      <c r="C3621" s="13" t="n">
        <v>280</v>
      </c>
      <c r="D3621" s="13" t="n">
        <v>2</v>
      </c>
      <c r="E3621" s="13" t="n">
        <v>141.54</v>
      </c>
      <c r="F3621" s="13" t="s">
        <v>5325</v>
      </c>
      <c r="G3621" s="13" t="s">
        <v>5289</v>
      </c>
      <c r="H3621" s="13" t="s">
        <v>5292</v>
      </c>
      <c r="I3621" s="13" t="s">
        <v>5289</v>
      </c>
      <c r="J3621" s="13" t="s">
        <v>5289</v>
      </c>
      <c r="K3621" s="13" t="s">
        <v>5289</v>
      </c>
      <c r="L3621" s="13" t="n">
        <v>8411061875766</v>
      </c>
      <c r="M3621" s="13"/>
      <c r="N3621" s="13" t="n">
        <v>8.41106187576684E+025</v>
      </c>
      <c r="O3621" s="13"/>
      <c r="P3621" s="13" t="s">
        <v>5291</v>
      </c>
      <c r="Q3621" s="13" t="s">
        <v>5289</v>
      </c>
      <c r="R3621" s="13" t="s">
        <v>5292</v>
      </c>
      <c r="S3621" s="13" t="s">
        <v>5293</v>
      </c>
      <c r="T3621" s="13" t="s">
        <v>5</v>
      </c>
      <c r="U3621" s="13" t="s">
        <v>85</v>
      </c>
      <c r="V3621" s="13" t="n">
        <f aca="false">IF(COUNTIF($B$2:B3621,B3621)=1,1,0)</f>
        <v>1</v>
      </c>
      <c r="W3621" s="13" t="n">
        <f aca="false">IF(COUNTIFS($B$2:B3621,B3621,$T$2:T3621,T3621)=1,1,0)</f>
        <v>1</v>
      </c>
    </row>
    <row r="3622" customFormat="false" ht="15" hidden="false" customHeight="false" outlineLevel="0" collapsed="false">
      <c r="A3622" s="13" t="s">
        <v>1904</v>
      </c>
      <c r="B3622" s="13" t="s">
        <v>54</v>
      </c>
      <c r="C3622" s="13" t="n">
        <v>280</v>
      </c>
      <c r="D3622" s="13" t="n">
        <v>1</v>
      </c>
      <c r="E3622" s="13" t="n">
        <v>283</v>
      </c>
      <c r="F3622" s="13" t="s">
        <v>5325</v>
      </c>
      <c r="G3622" s="13" t="s">
        <v>5289</v>
      </c>
      <c r="H3622" s="13" t="s">
        <v>5292</v>
      </c>
      <c r="I3622" s="13" t="s">
        <v>5289</v>
      </c>
      <c r="J3622" s="13" t="s">
        <v>5289</v>
      </c>
      <c r="K3622" s="13" t="s">
        <v>5289</v>
      </c>
      <c r="L3622" s="13" t="n">
        <v>7898965700942</v>
      </c>
      <c r="M3622" s="13"/>
      <c r="N3622" s="13" t="n">
        <v>730852212848</v>
      </c>
      <c r="O3622" s="13"/>
      <c r="P3622" s="13" t="s">
        <v>5291</v>
      </c>
      <c r="Q3622" s="13" t="s">
        <v>5289</v>
      </c>
      <c r="R3622" s="13" t="s">
        <v>5292</v>
      </c>
      <c r="S3622" s="13" t="s">
        <v>5293</v>
      </c>
      <c r="T3622" s="13" t="s">
        <v>5</v>
      </c>
      <c r="U3622" s="13" t="s">
        <v>43</v>
      </c>
      <c r="V3622" s="13" t="n">
        <f aca="false">IF(COUNTIF($B$2:B3622,B3622)=1,1,0)</f>
        <v>0</v>
      </c>
      <c r="W3622" s="13" t="n">
        <f aca="false">IF(COUNTIFS($B$2:B3622,B3622,$T$2:T3622,T3622)=1,1,0)</f>
        <v>0</v>
      </c>
    </row>
    <row r="3623" customFormat="false" ht="15" hidden="false" customHeight="false" outlineLevel="0" collapsed="false">
      <c r="A3623" s="13" t="s">
        <v>1890</v>
      </c>
      <c r="B3623" s="13" t="s">
        <v>229</v>
      </c>
      <c r="C3623" s="13" t="n">
        <v>280</v>
      </c>
      <c r="D3623" s="13" t="n">
        <v>1</v>
      </c>
      <c r="E3623" s="13" t="n">
        <v>283</v>
      </c>
      <c r="F3623" s="13" t="s">
        <v>5325</v>
      </c>
      <c r="G3623" s="13" t="s">
        <v>5289</v>
      </c>
      <c r="H3623" s="13" t="s">
        <v>5292</v>
      </c>
      <c r="I3623" s="13" t="s">
        <v>5289</v>
      </c>
      <c r="J3623" s="13" t="s">
        <v>5289</v>
      </c>
      <c r="K3623" s="13" t="s">
        <v>5289</v>
      </c>
      <c r="L3623" s="13"/>
      <c r="M3623" s="13"/>
      <c r="N3623" s="13" t="n">
        <v>3607342359789</v>
      </c>
      <c r="O3623" s="13"/>
      <c r="P3623" s="13" t="s">
        <v>5291</v>
      </c>
      <c r="Q3623" s="13" t="s">
        <v>5289</v>
      </c>
      <c r="R3623" s="13" t="s">
        <v>5292</v>
      </c>
      <c r="S3623" s="13" t="s">
        <v>5293</v>
      </c>
      <c r="T3623" s="13" t="s">
        <v>5</v>
      </c>
      <c r="U3623" s="13" t="s">
        <v>43</v>
      </c>
      <c r="V3623" s="13" t="n">
        <f aca="false">IF(COUNTIF($B$2:B3623,B3623)=1,1,0)</f>
        <v>0</v>
      </c>
      <c r="W3623" s="13" t="n">
        <f aca="false">IF(COUNTIFS($B$2:B3623,B3623,$T$2:T3623,T3623)=1,1,0)</f>
        <v>0</v>
      </c>
    </row>
    <row r="3624" customFormat="false" ht="15" hidden="false" customHeight="false" outlineLevel="0" collapsed="false">
      <c r="A3624" s="13" t="s">
        <v>1899</v>
      </c>
      <c r="B3624" s="13" t="s">
        <v>105</v>
      </c>
      <c r="C3624" s="13" t="n">
        <v>280</v>
      </c>
      <c r="D3624" s="13" t="n">
        <v>1</v>
      </c>
      <c r="E3624" s="13" t="n">
        <v>282.6</v>
      </c>
      <c r="F3624" s="13" t="s">
        <v>5325</v>
      </c>
      <c r="G3624" s="13" t="s">
        <v>5289</v>
      </c>
      <c r="H3624" s="13" t="s">
        <v>5292</v>
      </c>
      <c r="I3624" s="13" t="s">
        <v>5289</v>
      </c>
      <c r="J3624" s="13" t="s">
        <v>5289</v>
      </c>
      <c r="K3624" s="13" t="s">
        <v>5289</v>
      </c>
      <c r="L3624" s="13"/>
      <c r="M3624" s="13"/>
      <c r="N3624" s="13" t="n">
        <v>3614229823783</v>
      </c>
      <c r="O3624" s="13"/>
      <c r="P3624" s="13" t="s">
        <v>5291</v>
      </c>
      <c r="Q3624" s="13" t="s">
        <v>5289</v>
      </c>
      <c r="R3624" s="13" t="s">
        <v>5292</v>
      </c>
      <c r="S3624" s="13" t="s">
        <v>5293</v>
      </c>
      <c r="T3624" s="13" t="s">
        <v>5</v>
      </c>
      <c r="U3624" s="13" t="s">
        <v>43</v>
      </c>
      <c r="V3624" s="13" t="n">
        <f aca="false">IF(COUNTIF($B$2:B3624,B3624)=1,1,0)</f>
        <v>0</v>
      </c>
      <c r="W3624" s="13" t="n">
        <f aca="false">IF(COUNTIFS($B$2:B3624,B3624,$T$2:T3624,T3624)=1,1,0)</f>
        <v>0</v>
      </c>
    </row>
    <row r="3625" customFormat="false" ht="15" hidden="false" customHeight="false" outlineLevel="0" collapsed="false">
      <c r="A3625" s="13" t="s">
        <v>882</v>
      </c>
      <c r="B3625" s="13" t="s">
        <v>107</v>
      </c>
      <c r="C3625" s="13" t="n">
        <v>280</v>
      </c>
      <c r="D3625" s="13" t="n">
        <v>1</v>
      </c>
      <c r="E3625" s="13" t="n">
        <v>281</v>
      </c>
      <c r="F3625" s="13" t="s">
        <v>5325</v>
      </c>
      <c r="G3625" s="13" t="s">
        <v>5289</v>
      </c>
      <c r="H3625" s="13" t="s">
        <v>5289</v>
      </c>
      <c r="I3625" s="13" t="s">
        <v>5289</v>
      </c>
      <c r="J3625" s="13" t="s">
        <v>5289</v>
      </c>
      <c r="K3625" s="13" t="s">
        <v>5289</v>
      </c>
      <c r="L3625" s="13" t="n">
        <v>9000250313838</v>
      </c>
      <c r="M3625" s="13"/>
      <c r="N3625" s="13" t="n">
        <v>9000250313838</v>
      </c>
      <c r="O3625" s="13"/>
      <c r="P3625" s="13" t="s">
        <v>5297</v>
      </c>
      <c r="Q3625" s="13" t="s">
        <v>5289</v>
      </c>
      <c r="R3625" s="13" t="s">
        <v>5292</v>
      </c>
      <c r="S3625" s="13" t="s">
        <v>5293</v>
      </c>
      <c r="T3625" s="13" t="s">
        <v>5</v>
      </c>
      <c r="U3625" s="13" t="s">
        <v>183</v>
      </c>
      <c r="V3625" s="13" t="n">
        <f aca="false">IF(COUNTIF($B$2:B3625,B3625)=1,1,0)</f>
        <v>0</v>
      </c>
      <c r="W3625" s="13" t="n">
        <f aca="false">IF(COUNTIFS($B$2:B3625,B3625,$T$2:T3625,T3625)=1,1,0)</f>
        <v>0</v>
      </c>
    </row>
    <row r="3626" customFormat="false" ht="15" hidden="false" customHeight="false" outlineLevel="0" collapsed="false">
      <c r="A3626" s="13" t="s">
        <v>1895</v>
      </c>
      <c r="B3626" s="13" t="s">
        <v>121</v>
      </c>
      <c r="C3626" s="13" t="n">
        <v>280</v>
      </c>
      <c r="D3626" s="13" t="n">
        <v>2</v>
      </c>
      <c r="E3626" s="13" t="n">
        <v>70.0275</v>
      </c>
      <c r="F3626" s="13" t="s">
        <v>5325</v>
      </c>
      <c r="G3626" s="13" t="s">
        <v>5289</v>
      </c>
      <c r="H3626" s="13" t="s">
        <v>5289</v>
      </c>
      <c r="I3626" s="13" t="s">
        <v>5292</v>
      </c>
      <c r="J3626" s="13" t="s">
        <v>5289</v>
      </c>
      <c r="K3626" s="13" t="s">
        <v>5289</v>
      </c>
      <c r="L3626" s="13"/>
      <c r="M3626" s="13"/>
      <c r="N3626" s="13" t="n">
        <v>7896086992710</v>
      </c>
      <c r="O3626" s="13"/>
      <c r="P3626" s="13" t="s">
        <v>5291</v>
      </c>
      <c r="Q3626" s="13" t="s">
        <v>5289</v>
      </c>
      <c r="R3626" s="13" t="s">
        <v>5292</v>
      </c>
      <c r="S3626" s="13" t="s">
        <v>5293</v>
      </c>
      <c r="T3626" s="13" t="s">
        <v>5</v>
      </c>
      <c r="U3626" s="13" t="s">
        <v>183</v>
      </c>
      <c r="V3626" s="13" t="n">
        <f aca="false">IF(COUNTIF($B$2:B3626,B3626)=1,1,0)</f>
        <v>0</v>
      </c>
      <c r="W3626" s="13" t="n">
        <f aca="false">IF(COUNTIFS($B$2:B3626,B3626,$T$2:T3626,T3626)=1,1,0)</f>
        <v>0</v>
      </c>
    </row>
    <row r="3627" customFormat="false" ht="15" hidden="false" customHeight="false" outlineLevel="0" collapsed="false">
      <c r="A3627" s="13" t="s">
        <v>1894</v>
      </c>
      <c r="B3627" s="13" t="s">
        <v>121</v>
      </c>
      <c r="C3627" s="13" t="n">
        <v>280</v>
      </c>
      <c r="D3627" s="13" t="n">
        <v>2</v>
      </c>
      <c r="E3627" s="13" t="n">
        <v>139.9</v>
      </c>
      <c r="F3627" s="13" t="s">
        <v>5288</v>
      </c>
      <c r="G3627" s="13" t="s">
        <v>5289</v>
      </c>
      <c r="H3627" s="13" t="s">
        <v>5292</v>
      </c>
      <c r="I3627" s="13" t="s">
        <v>5289</v>
      </c>
      <c r="J3627" s="13" t="s">
        <v>5289</v>
      </c>
      <c r="K3627" s="13" t="s">
        <v>5289</v>
      </c>
      <c r="L3627" s="13" t="n">
        <v>7896086996404</v>
      </c>
      <c r="M3627" s="13"/>
      <c r="N3627" s="13" t="n">
        <v>8.41106107080279E+025</v>
      </c>
      <c r="O3627" s="13"/>
      <c r="P3627" s="13" t="s">
        <v>5291</v>
      </c>
      <c r="Q3627" s="13" t="s">
        <v>5289</v>
      </c>
      <c r="R3627" s="13" t="s">
        <v>5292</v>
      </c>
      <c r="S3627" s="13" t="s">
        <v>5293</v>
      </c>
      <c r="T3627" s="13" t="s">
        <v>5</v>
      </c>
      <c r="U3627" s="13" t="s">
        <v>43</v>
      </c>
      <c r="V3627" s="13" t="n">
        <f aca="false">IF(COUNTIF($B$2:B3627,B3627)=1,1,0)</f>
        <v>0</v>
      </c>
      <c r="W3627" s="13" t="n">
        <f aca="false">IF(COUNTIFS($B$2:B3627,B3627,$T$2:T3627,T3627)=1,1,0)</f>
        <v>0</v>
      </c>
    </row>
    <row r="3628" customFormat="false" ht="15" hidden="false" customHeight="false" outlineLevel="0" collapsed="false">
      <c r="A3628" s="13" t="s">
        <v>6380</v>
      </c>
      <c r="B3628" s="13" t="s">
        <v>2139</v>
      </c>
      <c r="C3628" s="13" t="n">
        <v>280</v>
      </c>
      <c r="D3628" s="13" t="n">
        <v>2</v>
      </c>
      <c r="E3628" s="13" t="n">
        <v>139.9</v>
      </c>
      <c r="F3628" s="13" t="s">
        <v>5325</v>
      </c>
      <c r="G3628" s="13" t="s">
        <v>5292</v>
      </c>
      <c r="H3628" s="13" t="s">
        <v>5289</v>
      </c>
      <c r="I3628" s="13" t="s">
        <v>5289</v>
      </c>
      <c r="J3628" s="13" t="s">
        <v>5289</v>
      </c>
      <c r="K3628" s="13" t="s">
        <v>5289</v>
      </c>
      <c r="L3628" s="13"/>
      <c r="M3628" s="13"/>
      <c r="N3628" s="13" t="n">
        <v>8.41106182292084E+025</v>
      </c>
      <c r="O3628" s="13"/>
      <c r="P3628" s="13" t="s">
        <v>5291</v>
      </c>
      <c r="Q3628" s="13" t="s">
        <v>5289</v>
      </c>
      <c r="R3628" s="13" t="s">
        <v>5292</v>
      </c>
      <c r="S3628" s="13" t="s">
        <v>5293</v>
      </c>
      <c r="T3628" s="13" t="s">
        <v>5</v>
      </c>
      <c r="U3628" s="13" t="s">
        <v>85</v>
      </c>
      <c r="V3628" s="13" t="n">
        <f aca="false">IF(COUNTIF($B$2:B3628,B3628)=1,1,0)</f>
        <v>0</v>
      </c>
      <c r="W3628" s="13" t="n">
        <f aca="false">IF(COUNTIFS($B$2:B3628,B3628,$T$2:T3628,T3628)=1,1,0)</f>
        <v>0</v>
      </c>
    </row>
    <row r="3629" customFormat="false" ht="15" hidden="false" customHeight="false" outlineLevel="0" collapsed="false">
      <c r="A3629" s="13" t="s">
        <v>1893</v>
      </c>
      <c r="B3629" s="13" t="s">
        <v>121</v>
      </c>
      <c r="C3629" s="13" t="n">
        <v>280</v>
      </c>
      <c r="D3629" s="13" t="n">
        <v>2</v>
      </c>
      <c r="E3629" s="13" t="n">
        <v>69.8275</v>
      </c>
      <c r="F3629" s="13" t="s">
        <v>5288</v>
      </c>
      <c r="G3629" s="13" t="s">
        <v>5289</v>
      </c>
      <c r="H3629" s="13" t="s">
        <v>5289</v>
      </c>
      <c r="I3629" s="13" t="s">
        <v>5292</v>
      </c>
      <c r="J3629" s="13" t="s">
        <v>5289</v>
      </c>
      <c r="K3629" s="13" t="s">
        <v>5289</v>
      </c>
      <c r="L3629" s="13"/>
      <c r="M3629" s="13"/>
      <c r="N3629" s="13" t="n">
        <v>7896086956286</v>
      </c>
      <c r="O3629" s="13"/>
      <c r="P3629" s="13" t="s">
        <v>5291</v>
      </c>
      <c r="Q3629" s="13" t="s">
        <v>5289</v>
      </c>
      <c r="R3629" s="13" t="s">
        <v>5292</v>
      </c>
      <c r="S3629" s="13" t="s">
        <v>5293</v>
      </c>
      <c r="T3629" s="13" t="s">
        <v>5</v>
      </c>
      <c r="U3629" s="13" t="s">
        <v>183</v>
      </c>
      <c r="V3629" s="13" t="n">
        <f aca="false">IF(COUNTIF($B$2:B3629,B3629)=1,1,0)</f>
        <v>0</v>
      </c>
      <c r="W3629" s="13" t="n">
        <f aca="false">IF(COUNTIFS($B$2:B3629,B3629,$T$2:T3629,T3629)=1,1,0)</f>
        <v>0</v>
      </c>
    </row>
    <row r="3630" customFormat="false" ht="15" hidden="false" customHeight="false" outlineLevel="0" collapsed="false">
      <c r="A3630" s="13" t="s">
        <v>4522</v>
      </c>
      <c r="B3630" s="13" t="s">
        <v>2215</v>
      </c>
      <c r="C3630" s="13" t="n">
        <v>280</v>
      </c>
      <c r="D3630" s="13" t="n">
        <v>1</v>
      </c>
      <c r="E3630" s="13" t="n">
        <v>278.85</v>
      </c>
      <c r="F3630" s="13" t="s">
        <v>5325</v>
      </c>
      <c r="G3630" s="13" t="s">
        <v>5292</v>
      </c>
      <c r="H3630" s="13" t="s">
        <v>5292</v>
      </c>
      <c r="I3630" s="13" t="s">
        <v>5289</v>
      </c>
      <c r="J3630" s="13" t="s">
        <v>5289</v>
      </c>
      <c r="K3630" s="13" t="s">
        <v>5292</v>
      </c>
      <c r="L3630" s="13"/>
      <c r="M3630" s="13"/>
      <c r="N3630" s="13" t="n">
        <v>7908615060859</v>
      </c>
      <c r="O3630" s="13"/>
      <c r="P3630" s="13" t="s">
        <v>5291</v>
      </c>
      <c r="Q3630" s="13" t="s">
        <v>5289</v>
      </c>
      <c r="R3630" s="13" t="s">
        <v>5292</v>
      </c>
      <c r="S3630" s="13" t="s">
        <v>5293</v>
      </c>
      <c r="T3630" s="13" t="s">
        <v>5</v>
      </c>
      <c r="U3630" s="13" t="s">
        <v>85</v>
      </c>
      <c r="V3630" s="13" t="n">
        <f aca="false">IF(COUNTIF($B$2:B3630,B3630)=1,1,0)</f>
        <v>0</v>
      </c>
      <c r="W3630" s="13" t="n">
        <f aca="false">IF(COUNTIFS($B$2:B3630,B3630,$T$2:T3630,T3630)=1,1,0)</f>
        <v>0</v>
      </c>
    </row>
    <row r="3631" customFormat="false" ht="15" hidden="false" customHeight="false" outlineLevel="0" collapsed="false">
      <c r="A3631" s="13" t="s">
        <v>1892</v>
      </c>
      <c r="B3631" s="13" t="s">
        <v>107</v>
      </c>
      <c r="C3631" s="13" t="n">
        <v>280</v>
      </c>
      <c r="D3631" s="13" t="n">
        <v>1</v>
      </c>
      <c r="E3631" s="13" t="n">
        <v>278.85</v>
      </c>
      <c r="F3631" s="13" t="s">
        <v>5288</v>
      </c>
      <c r="G3631" s="13" t="s">
        <v>5289</v>
      </c>
      <c r="H3631" s="13" t="s">
        <v>5292</v>
      </c>
      <c r="I3631" s="13" t="s">
        <v>5289</v>
      </c>
      <c r="J3631" s="13" t="s">
        <v>5289</v>
      </c>
      <c r="K3631" s="13" t="s">
        <v>5292</v>
      </c>
      <c r="L3631" s="13" t="n">
        <v>8005610531632</v>
      </c>
      <c r="M3631" s="13"/>
      <c r="N3631" s="13" t="n">
        <v>7.8962353537518E+025</v>
      </c>
      <c r="O3631" s="13"/>
      <c r="P3631" s="13" t="s">
        <v>5291</v>
      </c>
      <c r="Q3631" s="13" t="s">
        <v>5289</v>
      </c>
      <c r="R3631" s="13" t="s">
        <v>5292</v>
      </c>
      <c r="S3631" s="13" t="s">
        <v>5293</v>
      </c>
      <c r="T3631" s="13" t="s">
        <v>5</v>
      </c>
      <c r="U3631" s="13" t="s">
        <v>183</v>
      </c>
      <c r="V3631" s="13" t="n">
        <f aca="false">IF(COUNTIF($B$2:B3631,B3631)=1,1,0)</f>
        <v>0</v>
      </c>
      <c r="W3631" s="13" t="n">
        <f aca="false">IF(COUNTIFS($B$2:B3631,B3631,$T$2:T3631,T3631)=1,1,0)</f>
        <v>0</v>
      </c>
    </row>
    <row r="3632" customFormat="false" ht="15" hidden="false" customHeight="false" outlineLevel="0" collapsed="false">
      <c r="A3632" s="13" t="s">
        <v>4830</v>
      </c>
      <c r="B3632" s="13" t="s">
        <v>2111</v>
      </c>
      <c r="C3632" s="13" t="n">
        <v>280</v>
      </c>
      <c r="D3632" s="13" t="n">
        <v>1</v>
      </c>
      <c r="E3632" s="13" t="n">
        <v>278.75</v>
      </c>
      <c r="F3632" s="13" t="s">
        <v>5288</v>
      </c>
      <c r="G3632" s="13" t="s">
        <v>5292</v>
      </c>
      <c r="H3632" s="13" t="s">
        <v>5289</v>
      </c>
      <c r="I3632" s="13" t="s">
        <v>5289</v>
      </c>
      <c r="J3632" s="13" t="s">
        <v>5289</v>
      </c>
      <c r="K3632" s="13" t="s">
        <v>5289</v>
      </c>
      <c r="L3632" s="13" t="n">
        <v>3386460064132</v>
      </c>
      <c r="M3632" s="13"/>
      <c r="N3632" s="13" t="n">
        <v>3386460064132</v>
      </c>
      <c r="O3632" s="13"/>
      <c r="P3632" s="13" t="s">
        <v>5291</v>
      </c>
      <c r="Q3632" s="13" t="s">
        <v>5289</v>
      </c>
      <c r="R3632" s="13" t="s">
        <v>5292</v>
      </c>
      <c r="S3632" s="13" t="s">
        <v>5293</v>
      </c>
      <c r="T3632" s="13" t="s">
        <v>5</v>
      </c>
      <c r="U3632" s="13" t="s">
        <v>43</v>
      </c>
      <c r="V3632" s="13" t="n">
        <f aca="false">IF(COUNTIF($B$2:B3632,B3632)=1,1,0)</f>
        <v>0</v>
      </c>
      <c r="W3632" s="13" t="n">
        <f aca="false">IF(COUNTIFS($B$2:B3632,B3632,$T$2:T3632,T3632)=1,1,0)</f>
        <v>0</v>
      </c>
    </row>
    <row r="3633" customFormat="false" ht="15" hidden="false" customHeight="false" outlineLevel="0" collapsed="false">
      <c r="A3633" s="13" t="s">
        <v>1898</v>
      </c>
      <c r="B3633" s="13" t="s">
        <v>61</v>
      </c>
      <c r="C3633" s="13" t="n">
        <v>280</v>
      </c>
      <c r="D3633" s="13" t="n">
        <v>1</v>
      </c>
      <c r="E3633" s="13" t="n">
        <v>278.35</v>
      </c>
      <c r="F3633" s="13" t="s">
        <v>5325</v>
      </c>
      <c r="G3633" s="13" t="s">
        <v>5289</v>
      </c>
      <c r="H3633" s="13" t="s">
        <v>5292</v>
      </c>
      <c r="I3633" s="13" t="s">
        <v>5289</v>
      </c>
      <c r="J3633" s="13" t="s">
        <v>5289</v>
      </c>
      <c r="K3633" s="13" t="s">
        <v>5289</v>
      </c>
      <c r="L3633" s="13" t="n">
        <v>3614273492874</v>
      </c>
      <c r="M3633" s="13"/>
      <c r="N3633" s="13" t="n">
        <v>3614273492874</v>
      </c>
      <c r="O3633" s="13"/>
      <c r="P3633" s="13" t="s">
        <v>5297</v>
      </c>
      <c r="Q3633" s="13" t="s">
        <v>5289</v>
      </c>
      <c r="R3633" s="13" t="s">
        <v>5292</v>
      </c>
      <c r="S3633" s="13" t="s">
        <v>5293</v>
      </c>
      <c r="T3633" s="13" t="s">
        <v>5</v>
      </c>
      <c r="U3633" s="13" t="s">
        <v>43</v>
      </c>
      <c r="V3633" s="13" t="n">
        <f aca="false">IF(COUNTIF($B$2:B3633,B3633)=1,1,0)</f>
        <v>0</v>
      </c>
      <c r="W3633" s="13" t="n">
        <f aca="false">IF(COUNTIFS($B$2:B3633,B3633,$T$2:T3633,T3633)=1,1,0)</f>
        <v>0</v>
      </c>
    </row>
    <row r="3634" customFormat="false" ht="15" hidden="false" customHeight="false" outlineLevel="0" collapsed="false">
      <c r="A3634" s="13" t="s">
        <v>1910</v>
      </c>
      <c r="B3634" s="13" t="s">
        <v>490</v>
      </c>
      <c r="C3634" s="13" t="n">
        <v>280</v>
      </c>
      <c r="D3634" s="13" t="n">
        <v>1</v>
      </c>
      <c r="E3634" s="13" t="n">
        <v>277.83</v>
      </c>
      <c r="F3634" s="13" t="s">
        <v>5325</v>
      </c>
      <c r="G3634" s="13" t="s">
        <v>5289</v>
      </c>
      <c r="H3634" s="13" t="s">
        <v>5292</v>
      </c>
      <c r="I3634" s="13" t="s">
        <v>5289</v>
      </c>
      <c r="J3634" s="13" t="s">
        <v>5289</v>
      </c>
      <c r="K3634" s="13" t="s">
        <v>5289</v>
      </c>
      <c r="L3634" s="13" t="n">
        <v>8011003991143</v>
      </c>
      <c r="M3634" s="13"/>
      <c r="N3634" s="13" t="n">
        <v>8011003991143</v>
      </c>
      <c r="O3634" s="13"/>
      <c r="P3634" s="13" t="s">
        <v>5291</v>
      </c>
      <c r="Q3634" s="13" t="s">
        <v>5289</v>
      </c>
      <c r="R3634" s="13" t="s">
        <v>5292</v>
      </c>
      <c r="S3634" s="13" t="s">
        <v>5293</v>
      </c>
      <c r="T3634" s="13" t="s">
        <v>5</v>
      </c>
      <c r="U3634" s="13" t="s">
        <v>43</v>
      </c>
      <c r="V3634" s="13" t="n">
        <f aca="false">IF(COUNTIF($B$2:B3634,B3634)=1,1,0)</f>
        <v>0</v>
      </c>
      <c r="W3634" s="13" t="n">
        <f aca="false">IF(COUNTIFS($B$2:B3634,B3634,$T$2:T3634,T3634)=1,1,0)</f>
        <v>0</v>
      </c>
    </row>
    <row r="3635" customFormat="false" ht="15" hidden="false" customHeight="false" outlineLevel="0" collapsed="false">
      <c r="A3635" s="13" t="s">
        <v>1909</v>
      </c>
      <c r="B3635" s="13" t="s">
        <v>107</v>
      </c>
      <c r="C3635" s="13" t="n">
        <v>280</v>
      </c>
      <c r="D3635" s="13" t="n">
        <v>1</v>
      </c>
      <c r="E3635" s="13" t="n">
        <v>276.6</v>
      </c>
      <c r="F3635" s="13" t="s">
        <v>5288</v>
      </c>
      <c r="G3635" s="13" t="s">
        <v>5289</v>
      </c>
      <c r="H3635" s="13" t="s">
        <v>5289</v>
      </c>
      <c r="I3635" s="13" t="s">
        <v>5289</v>
      </c>
      <c r="J3635" s="13" t="s">
        <v>5289</v>
      </c>
      <c r="K3635" s="13" t="s">
        <v>5289</v>
      </c>
      <c r="L3635" s="13" t="n">
        <v>9000250252380</v>
      </c>
      <c r="M3635" s="13"/>
      <c r="N3635" s="13" t="n">
        <v>4.0646660416509E+025</v>
      </c>
      <c r="O3635" s="13"/>
      <c r="P3635" s="13" t="s">
        <v>5291</v>
      </c>
      <c r="Q3635" s="13" t="s">
        <v>5289</v>
      </c>
      <c r="R3635" s="13" t="s">
        <v>5292</v>
      </c>
      <c r="S3635" s="13" t="s">
        <v>5293</v>
      </c>
      <c r="T3635" s="13" t="s">
        <v>5</v>
      </c>
      <c r="U3635" s="13" t="s">
        <v>43</v>
      </c>
      <c r="V3635" s="13" t="n">
        <f aca="false">IF(COUNTIF($B$2:B3635,B3635)=1,1,0)</f>
        <v>0</v>
      </c>
      <c r="W3635" s="13" t="n">
        <f aca="false">IF(COUNTIFS($B$2:B3635,B3635,$T$2:T3635,T3635)=1,1,0)</f>
        <v>0</v>
      </c>
    </row>
    <row r="3636" customFormat="false" ht="15" hidden="false" customHeight="false" outlineLevel="0" collapsed="false">
      <c r="A3636" s="13" t="s">
        <v>845</v>
      </c>
      <c r="B3636" s="13" t="s">
        <v>153</v>
      </c>
      <c r="C3636" s="13" t="n">
        <v>280</v>
      </c>
      <c r="D3636" s="13" t="n">
        <v>1</v>
      </c>
      <c r="E3636" s="13" t="n">
        <v>276</v>
      </c>
      <c r="F3636" s="13" t="s">
        <v>5288</v>
      </c>
      <c r="G3636" s="13" t="s">
        <v>5289</v>
      </c>
      <c r="H3636" s="13" t="s">
        <v>5289</v>
      </c>
      <c r="I3636" s="13" t="s">
        <v>5289</v>
      </c>
      <c r="J3636" s="13" t="s">
        <v>5289</v>
      </c>
      <c r="K3636" s="13" t="s">
        <v>5289</v>
      </c>
      <c r="L3636" s="13" t="n">
        <v>8018365500013</v>
      </c>
      <c r="M3636" s="13"/>
      <c r="N3636" s="13" t="n">
        <v>8018365500013</v>
      </c>
      <c r="O3636" s="13"/>
      <c r="P3636" s="13" t="s">
        <v>5291</v>
      </c>
      <c r="Q3636" s="13" t="s">
        <v>5289</v>
      </c>
      <c r="R3636" s="13" t="s">
        <v>5292</v>
      </c>
      <c r="S3636" s="13" t="s">
        <v>5293</v>
      </c>
      <c r="T3636" s="13" t="s">
        <v>5</v>
      </c>
      <c r="U3636" s="13" t="s">
        <v>43</v>
      </c>
      <c r="V3636" s="13" t="n">
        <f aca="false">IF(COUNTIF($B$2:B3636,B3636)=1,1,0)</f>
        <v>0</v>
      </c>
      <c r="W3636" s="13" t="n">
        <f aca="false">IF(COUNTIFS($B$2:B3636,B3636,$T$2:T3636,T3636)=1,1,0)</f>
        <v>0</v>
      </c>
    </row>
    <row r="3637" customFormat="false" ht="15" hidden="false" customHeight="false" outlineLevel="0" collapsed="false">
      <c r="A3637" s="13" t="s">
        <v>1900</v>
      </c>
      <c r="B3637" s="13" t="s">
        <v>121</v>
      </c>
      <c r="C3637" s="13" t="n">
        <v>280</v>
      </c>
      <c r="D3637" s="13" t="n">
        <v>2</v>
      </c>
      <c r="E3637" s="13" t="n">
        <v>91.9</v>
      </c>
      <c r="F3637" s="13" t="s">
        <v>5288</v>
      </c>
      <c r="G3637" s="13" t="s">
        <v>5292</v>
      </c>
      <c r="H3637" s="13" t="s">
        <v>5289</v>
      </c>
      <c r="I3637" s="13" t="s">
        <v>5289</v>
      </c>
      <c r="J3637" s="13" t="s">
        <v>5289</v>
      </c>
      <c r="K3637" s="13" t="s">
        <v>5289</v>
      </c>
      <c r="L3637" s="13"/>
      <c r="M3637" s="13"/>
      <c r="N3637" s="13" t="n">
        <v>7896086944290</v>
      </c>
      <c r="O3637" s="13"/>
      <c r="P3637" s="13" t="s">
        <v>5291</v>
      </c>
      <c r="Q3637" s="13" t="s">
        <v>5289</v>
      </c>
      <c r="R3637" s="13" t="s">
        <v>5292</v>
      </c>
      <c r="S3637" s="13" t="s">
        <v>5293</v>
      </c>
      <c r="T3637" s="13" t="s">
        <v>5</v>
      </c>
      <c r="U3637" s="13" t="s">
        <v>43</v>
      </c>
      <c r="V3637" s="13" t="n">
        <f aca="false">IF(COUNTIF($B$2:B3637,B3637)=1,1,0)</f>
        <v>0</v>
      </c>
      <c r="W3637" s="13" t="n">
        <f aca="false">IF(COUNTIFS($B$2:B3637,B3637,$T$2:T3637,T3637)=1,1,0)</f>
        <v>0</v>
      </c>
    </row>
    <row r="3638" customFormat="false" ht="15" hidden="false" customHeight="false" outlineLevel="0" collapsed="false">
      <c r="A3638" s="13" t="s">
        <v>1858</v>
      </c>
      <c r="B3638" s="13" t="s">
        <v>54</v>
      </c>
      <c r="C3638" s="13" t="n">
        <v>280</v>
      </c>
      <c r="D3638" s="13" t="n">
        <v>1</v>
      </c>
      <c r="E3638" s="13" t="n">
        <v>275.06</v>
      </c>
      <c r="F3638" s="13" t="s">
        <v>5325</v>
      </c>
      <c r="G3638" s="13" t="s">
        <v>5289</v>
      </c>
      <c r="H3638" s="13" t="s">
        <v>5292</v>
      </c>
      <c r="I3638" s="13" t="s">
        <v>5289</v>
      </c>
      <c r="J3638" s="13" t="s">
        <v>5289</v>
      </c>
      <c r="K3638" s="13" t="s">
        <v>5289</v>
      </c>
      <c r="L3638" s="13" t="n">
        <v>7898965700973</v>
      </c>
      <c r="M3638" s="13"/>
      <c r="N3638" s="13" t="n">
        <v>7.89896570097373E+024</v>
      </c>
      <c r="O3638" s="13"/>
      <c r="P3638" s="13" t="s">
        <v>5291</v>
      </c>
      <c r="Q3638" s="13" t="s">
        <v>5289</v>
      </c>
      <c r="R3638" s="13" t="s">
        <v>5292</v>
      </c>
      <c r="S3638" s="13" t="s">
        <v>5293</v>
      </c>
      <c r="T3638" s="13" t="s">
        <v>5</v>
      </c>
      <c r="U3638" s="13" t="s">
        <v>43</v>
      </c>
      <c r="V3638" s="13" t="n">
        <f aca="false">IF(COUNTIF($B$2:B3638,B3638)=1,1,0)</f>
        <v>0</v>
      </c>
      <c r="W3638" s="13" t="n">
        <f aca="false">IF(COUNTIFS($B$2:B3638,B3638,$T$2:T3638,T3638)=1,1,0)</f>
        <v>0</v>
      </c>
    </row>
    <row r="3639" customFormat="false" ht="15" hidden="false" customHeight="false" outlineLevel="0" collapsed="false">
      <c r="A3639" s="13" t="s">
        <v>4454</v>
      </c>
      <c r="B3639" s="13" t="s">
        <v>2150</v>
      </c>
      <c r="C3639" s="13" t="n">
        <v>270</v>
      </c>
      <c r="D3639" s="13" t="n">
        <v>2</v>
      </c>
      <c r="E3639" s="13" t="n">
        <v>135.99</v>
      </c>
      <c r="F3639" s="13" t="s">
        <v>5325</v>
      </c>
      <c r="G3639" s="13" t="s">
        <v>5292</v>
      </c>
      <c r="H3639" s="13" t="s">
        <v>5289</v>
      </c>
      <c r="I3639" s="13" t="s">
        <v>5289</v>
      </c>
      <c r="J3639" s="13" t="s">
        <v>5289</v>
      </c>
      <c r="K3639" s="13" t="s">
        <v>5289</v>
      </c>
      <c r="L3639" s="13"/>
      <c r="M3639" s="13"/>
      <c r="N3639" s="13" t="n">
        <v>8411061105337</v>
      </c>
      <c r="O3639" s="13"/>
      <c r="P3639" s="13" t="s">
        <v>5291</v>
      </c>
      <c r="Q3639" s="13" t="s">
        <v>5289</v>
      </c>
      <c r="R3639" s="13" t="s">
        <v>5292</v>
      </c>
      <c r="S3639" s="13" t="s">
        <v>5293</v>
      </c>
      <c r="T3639" s="13" t="s">
        <v>5</v>
      </c>
      <c r="U3639" s="13" t="s">
        <v>43</v>
      </c>
      <c r="V3639" s="13" t="n">
        <f aca="false">IF(COUNTIF($B$2:B3639,B3639)=1,1,0)</f>
        <v>0</v>
      </c>
      <c r="W3639" s="13" t="n">
        <f aca="false">IF(COUNTIFS($B$2:B3639,B3639,$T$2:T3639,T3639)=1,1,0)</f>
        <v>0</v>
      </c>
    </row>
    <row r="3640" customFormat="false" ht="15" hidden="false" customHeight="false" outlineLevel="0" collapsed="false">
      <c r="A3640" s="13" t="s">
        <v>166</v>
      </c>
      <c r="B3640" s="13" t="s">
        <v>165</v>
      </c>
      <c r="C3640" s="13" t="n">
        <v>270</v>
      </c>
      <c r="D3640" s="13" t="n">
        <v>1</v>
      </c>
      <c r="E3640" s="13" t="n">
        <v>270.76</v>
      </c>
      <c r="F3640" s="13" t="s">
        <v>5325</v>
      </c>
      <c r="G3640" s="13" t="s">
        <v>5289</v>
      </c>
      <c r="H3640" s="13" t="s">
        <v>5292</v>
      </c>
      <c r="I3640" s="13" t="s">
        <v>5289</v>
      </c>
      <c r="J3640" s="13" t="s">
        <v>5289</v>
      </c>
      <c r="K3640" s="13" t="s">
        <v>5289</v>
      </c>
      <c r="L3640" s="13" t="n">
        <v>3351500011483</v>
      </c>
      <c r="M3640" s="13"/>
      <c r="N3640" s="13" t="n">
        <v>3351500011483</v>
      </c>
      <c r="O3640" s="13"/>
      <c r="P3640" s="13" t="s">
        <v>5291</v>
      </c>
      <c r="Q3640" s="13" t="s">
        <v>5289</v>
      </c>
      <c r="R3640" s="13" t="s">
        <v>5292</v>
      </c>
      <c r="S3640" s="13" t="s">
        <v>5293</v>
      </c>
      <c r="T3640" s="13" t="s">
        <v>5</v>
      </c>
      <c r="U3640" s="13" t="s">
        <v>43</v>
      </c>
      <c r="V3640" s="13" t="n">
        <f aca="false">IF(COUNTIF($B$2:B3640,B3640)=1,1,0)</f>
        <v>0</v>
      </c>
      <c r="W3640" s="13" t="n">
        <f aca="false">IF(COUNTIFS($B$2:B3640,B3640,$T$2:T3640,T3640)=1,1,0)</f>
        <v>0</v>
      </c>
    </row>
    <row r="3641" customFormat="false" ht="15" hidden="false" customHeight="false" outlineLevel="0" collapsed="false">
      <c r="A3641" s="13" t="s">
        <v>1912</v>
      </c>
      <c r="B3641" s="13" t="s">
        <v>54</v>
      </c>
      <c r="C3641" s="13" t="n">
        <v>270</v>
      </c>
      <c r="D3641" s="13" t="n">
        <v>1</v>
      </c>
      <c r="E3641" s="13" t="n">
        <v>268.85</v>
      </c>
      <c r="F3641" s="13" t="s">
        <v>5325</v>
      </c>
      <c r="G3641" s="13" t="s">
        <v>5289</v>
      </c>
      <c r="H3641" s="13" t="s">
        <v>5289</v>
      </c>
      <c r="I3641" s="13" t="s">
        <v>5289</v>
      </c>
      <c r="J3641" s="13" t="s">
        <v>5289</v>
      </c>
      <c r="K3641" s="13" t="s">
        <v>5292</v>
      </c>
      <c r="L3641" s="13" t="n">
        <v>730852147669</v>
      </c>
      <c r="M3641" s="13"/>
      <c r="N3641" s="13" t="n">
        <v>730852147669</v>
      </c>
      <c r="O3641" s="13"/>
      <c r="P3641" s="13" t="s">
        <v>5291</v>
      </c>
      <c r="Q3641" s="13" t="s">
        <v>5289</v>
      </c>
      <c r="R3641" s="13" t="s">
        <v>5292</v>
      </c>
      <c r="S3641" s="13" t="s">
        <v>5293</v>
      </c>
      <c r="T3641" s="13" t="s">
        <v>5</v>
      </c>
      <c r="U3641" s="13" t="s">
        <v>43</v>
      </c>
      <c r="V3641" s="13" t="n">
        <f aca="false">IF(COUNTIF($B$2:B3641,B3641)=1,1,0)</f>
        <v>0</v>
      </c>
      <c r="W3641" s="13" t="n">
        <f aca="false">IF(COUNTIFS($B$2:B3641,B3641,$T$2:T3641,T3641)=1,1,0)</f>
        <v>0</v>
      </c>
    </row>
    <row r="3642" customFormat="false" ht="15" hidden="false" customHeight="false" outlineLevel="0" collapsed="false">
      <c r="A3642" s="13" t="s">
        <v>4844</v>
      </c>
      <c r="B3642" s="13" t="s">
        <v>2215</v>
      </c>
      <c r="C3642" s="13" t="n">
        <v>270</v>
      </c>
      <c r="D3642" s="13" t="n">
        <v>1</v>
      </c>
      <c r="E3642" s="13" t="n">
        <v>268.85</v>
      </c>
      <c r="F3642" s="13" t="s">
        <v>5288</v>
      </c>
      <c r="G3642" s="13" t="s">
        <v>5292</v>
      </c>
      <c r="H3642" s="13" t="s">
        <v>5292</v>
      </c>
      <c r="I3642" s="13" t="s">
        <v>5292</v>
      </c>
      <c r="J3642" s="13" t="s">
        <v>5292</v>
      </c>
      <c r="K3642" s="13" t="s">
        <v>5292</v>
      </c>
      <c r="L3642" s="13" t="n">
        <v>3474637277765</v>
      </c>
      <c r="M3642" s="13"/>
      <c r="N3642" s="13" t="n">
        <v>3474637277765</v>
      </c>
      <c r="O3642" s="13"/>
      <c r="P3642" s="13" t="s">
        <v>5291</v>
      </c>
      <c r="Q3642" s="13" t="s">
        <v>5289</v>
      </c>
      <c r="R3642" s="13" t="s">
        <v>5292</v>
      </c>
      <c r="S3642" s="13" t="s">
        <v>5293</v>
      </c>
      <c r="T3642" s="13" t="s">
        <v>5</v>
      </c>
      <c r="U3642" s="13" t="s">
        <v>85</v>
      </c>
      <c r="V3642" s="13" t="n">
        <f aca="false">IF(COUNTIF($B$2:B3642,B3642)=1,1,0)</f>
        <v>0</v>
      </c>
      <c r="W3642" s="13" t="n">
        <f aca="false">IF(COUNTIFS($B$2:B3642,B3642,$T$2:T3642,T3642)=1,1,0)</f>
        <v>0</v>
      </c>
    </row>
    <row r="3643" customFormat="false" ht="15" hidden="false" customHeight="false" outlineLevel="0" collapsed="false">
      <c r="A3643" s="13" t="s">
        <v>1911</v>
      </c>
      <c r="B3643" s="13" t="s">
        <v>42</v>
      </c>
      <c r="C3643" s="13" t="n">
        <v>270</v>
      </c>
      <c r="D3643" s="13" t="n">
        <v>1</v>
      </c>
      <c r="E3643" s="13" t="n">
        <v>268.85</v>
      </c>
      <c r="F3643" s="13" t="s">
        <v>5288</v>
      </c>
      <c r="G3643" s="13" t="s">
        <v>5292</v>
      </c>
      <c r="H3643" s="13" t="s">
        <v>5292</v>
      </c>
      <c r="I3643" s="13" t="s">
        <v>5289</v>
      </c>
      <c r="J3643" s="13" t="s">
        <v>5289</v>
      </c>
      <c r="K3643" s="13" t="s">
        <v>5292</v>
      </c>
      <c r="L3643" s="13" t="n">
        <v>8411061945308</v>
      </c>
      <c r="M3643" s="13"/>
      <c r="N3643" s="13" t="n">
        <v>8.41106112059084E+025</v>
      </c>
      <c r="O3643" s="13"/>
      <c r="P3643" s="13" t="s">
        <v>5297</v>
      </c>
      <c r="Q3643" s="13" t="s">
        <v>5289</v>
      </c>
      <c r="R3643" s="13" t="s">
        <v>5292</v>
      </c>
      <c r="S3643" s="13" t="s">
        <v>5293</v>
      </c>
      <c r="T3643" s="13" t="s">
        <v>5</v>
      </c>
      <c r="U3643" s="13" t="s">
        <v>43</v>
      </c>
      <c r="V3643" s="13" t="n">
        <f aca="false">IF(COUNTIF($B$2:B3643,B3643)=1,1,0)</f>
        <v>0</v>
      </c>
      <c r="W3643" s="13" t="n">
        <f aca="false">IF(COUNTIFS($B$2:B3643,B3643,$T$2:T3643,T3643)=1,1,0)</f>
        <v>0</v>
      </c>
    </row>
    <row r="3644" customFormat="false" ht="15" hidden="false" customHeight="false" outlineLevel="0" collapsed="false">
      <c r="A3644" s="13" t="s">
        <v>1911</v>
      </c>
      <c r="B3644" s="13" t="s">
        <v>42</v>
      </c>
      <c r="C3644" s="13" t="n">
        <v>270</v>
      </c>
      <c r="D3644" s="13" t="n">
        <v>1</v>
      </c>
      <c r="E3644" s="13" t="n">
        <v>268.85</v>
      </c>
      <c r="F3644" s="13" t="s">
        <v>5325</v>
      </c>
      <c r="G3644" s="13" t="s">
        <v>5292</v>
      </c>
      <c r="H3644" s="13" t="s">
        <v>5292</v>
      </c>
      <c r="I3644" s="13" t="s">
        <v>5289</v>
      </c>
      <c r="J3644" s="13" t="s">
        <v>5289</v>
      </c>
      <c r="K3644" s="13" t="s">
        <v>5292</v>
      </c>
      <c r="L3644" s="13" t="n">
        <v>8411061945308</v>
      </c>
      <c r="M3644" s="13"/>
      <c r="N3644" s="13" t="n">
        <v>8.41106112059084E+025</v>
      </c>
      <c r="O3644" s="13"/>
      <c r="P3644" s="13" t="s">
        <v>5291</v>
      </c>
      <c r="Q3644" s="13" t="s">
        <v>5289</v>
      </c>
      <c r="R3644" s="13" t="s">
        <v>5292</v>
      </c>
      <c r="S3644" s="13" t="s">
        <v>5293</v>
      </c>
      <c r="T3644" s="13" t="s">
        <v>5</v>
      </c>
      <c r="U3644" s="13" t="s">
        <v>43</v>
      </c>
      <c r="V3644" s="13" t="n">
        <f aca="false">IF(COUNTIF($B$2:B3644,B3644)=1,1,0)</f>
        <v>0</v>
      </c>
      <c r="W3644" s="13" t="n">
        <f aca="false">IF(COUNTIFS($B$2:B3644,B3644,$T$2:T3644,T3644)=1,1,0)</f>
        <v>0</v>
      </c>
    </row>
    <row r="3645" customFormat="false" ht="15" hidden="false" customHeight="false" outlineLevel="0" collapsed="false">
      <c r="A3645" s="13" t="s">
        <v>983</v>
      </c>
      <c r="B3645" s="13" t="s">
        <v>630</v>
      </c>
      <c r="C3645" s="13" t="n">
        <v>270</v>
      </c>
      <c r="D3645" s="13" t="n">
        <v>2</v>
      </c>
      <c r="E3645" s="13" t="n">
        <v>134</v>
      </c>
      <c r="F3645" s="13" t="s">
        <v>5288</v>
      </c>
      <c r="G3645" s="13" t="s">
        <v>5292</v>
      </c>
      <c r="H3645" s="13" t="s">
        <v>5289</v>
      </c>
      <c r="I3645" s="13" t="s">
        <v>5289</v>
      </c>
      <c r="J3645" s="13" t="s">
        <v>5289</v>
      </c>
      <c r="K3645" s="13" t="s">
        <v>5289</v>
      </c>
      <c r="L3645" s="13"/>
      <c r="M3645" s="13"/>
      <c r="N3645" s="13" t="n">
        <v>8433982018701</v>
      </c>
      <c r="O3645" s="13"/>
      <c r="P3645" s="13" t="s">
        <v>5297</v>
      </c>
      <c r="Q3645" s="13" t="s">
        <v>5289</v>
      </c>
      <c r="R3645" s="13" t="s">
        <v>5292</v>
      </c>
      <c r="S3645" s="13" t="s">
        <v>5293</v>
      </c>
      <c r="T3645" s="13" t="s">
        <v>5</v>
      </c>
      <c r="U3645" s="13" t="s">
        <v>43</v>
      </c>
      <c r="V3645" s="13" t="n">
        <f aca="false">IF(COUNTIF($B$2:B3645,B3645)=1,1,0)</f>
        <v>0</v>
      </c>
      <c r="W3645" s="13" t="n">
        <f aca="false">IF(COUNTIFS($B$2:B3645,B3645,$T$2:T3645,T3645)=1,1,0)</f>
        <v>0</v>
      </c>
    </row>
    <row r="3646" customFormat="false" ht="15" hidden="false" customHeight="false" outlineLevel="0" collapsed="false">
      <c r="A3646" s="13" t="s">
        <v>2694</v>
      </c>
      <c r="B3646" s="13" t="s">
        <v>2103</v>
      </c>
      <c r="C3646" s="13" t="n">
        <v>270</v>
      </c>
      <c r="D3646" s="13" t="n">
        <v>2</v>
      </c>
      <c r="E3646" s="13" t="n">
        <v>133.395</v>
      </c>
      <c r="F3646" s="13" t="s">
        <v>5325</v>
      </c>
      <c r="G3646" s="13" t="s">
        <v>5292</v>
      </c>
      <c r="H3646" s="13" t="s">
        <v>5292</v>
      </c>
      <c r="I3646" s="13" t="s">
        <v>5289</v>
      </c>
      <c r="J3646" s="13" t="s">
        <v>5289</v>
      </c>
      <c r="K3646" s="13" t="s">
        <v>5289</v>
      </c>
      <c r="L3646" s="13" t="n">
        <v>309974700030</v>
      </c>
      <c r="M3646" s="13"/>
      <c r="N3646" s="13" t="n">
        <v>309974700030</v>
      </c>
      <c r="O3646" s="13"/>
      <c r="P3646" s="13" t="s">
        <v>5297</v>
      </c>
      <c r="Q3646" s="13" t="s">
        <v>5289</v>
      </c>
      <c r="R3646" s="13" t="s">
        <v>5292</v>
      </c>
      <c r="S3646" s="13" t="s">
        <v>5293</v>
      </c>
      <c r="T3646" s="13" t="s">
        <v>5</v>
      </c>
      <c r="U3646" s="13" t="s">
        <v>85</v>
      </c>
      <c r="V3646" s="13" t="n">
        <f aca="false">IF(COUNTIF($B$2:B3646,B3646)=1,1,0)</f>
        <v>0</v>
      </c>
      <c r="W3646" s="13" t="n">
        <f aca="false">IF(COUNTIFS($B$2:B3646,B3646,$T$2:T3646,T3646)=1,1,0)</f>
        <v>0</v>
      </c>
    </row>
    <row r="3647" customFormat="false" ht="15" hidden="false" customHeight="false" outlineLevel="0" collapsed="false">
      <c r="A3647" s="13" t="s">
        <v>1775</v>
      </c>
      <c r="B3647" s="13" t="s">
        <v>490</v>
      </c>
      <c r="C3647" s="13" t="n">
        <v>270</v>
      </c>
      <c r="D3647" s="13" t="n">
        <v>1</v>
      </c>
      <c r="E3647" s="13" t="n">
        <v>266</v>
      </c>
      <c r="F3647" s="13" t="s">
        <v>5325</v>
      </c>
      <c r="G3647" s="13" t="s">
        <v>5289</v>
      </c>
      <c r="H3647" s="13" t="s">
        <v>5292</v>
      </c>
      <c r="I3647" s="13" t="s">
        <v>5289</v>
      </c>
      <c r="J3647" s="13" t="s">
        <v>5289</v>
      </c>
      <c r="K3647" s="13" t="s">
        <v>5289</v>
      </c>
      <c r="L3647" s="13" t="n">
        <v>8011003845118</v>
      </c>
      <c r="M3647" s="13"/>
      <c r="N3647" s="13" t="n">
        <v>8011003845118</v>
      </c>
      <c r="O3647" s="13"/>
      <c r="P3647" s="13" t="s">
        <v>5291</v>
      </c>
      <c r="Q3647" s="13" t="s">
        <v>5289</v>
      </c>
      <c r="R3647" s="13" t="s">
        <v>5292</v>
      </c>
      <c r="S3647" s="13" t="s">
        <v>5293</v>
      </c>
      <c r="T3647" s="13" t="s">
        <v>5</v>
      </c>
      <c r="U3647" s="13" t="s">
        <v>43</v>
      </c>
      <c r="V3647" s="13" t="n">
        <f aca="false">IF(COUNTIF($B$2:B3647,B3647)=1,1,0)</f>
        <v>0</v>
      </c>
      <c r="W3647" s="13" t="n">
        <f aca="false">IF(COUNTIFS($B$2:B3647,B3647,$T$2:T3647,T3647)=1,1,0)</f>
        <v>0</v>
      </c>
    </row>
    <row r="3648" customFormat="false" ht="15" hidden="false" customHeight="false" outlineLevel="0" collapsed="false">
      <c r="A3648" s="13" t="s">
        <v>3739</v>
      </c>
      <c r="B3648" s="13" t="s">
        <v>2200</v>
      </c>
      <c r="C3648" s="13" t="n">
        <v>270</v>
      </c>
      <c r="D3648" s="13" t="n">
        <v>1</v>
      </c>
      <c r="E3648" s="13" t="n">
        <v>265.19</v>
      </c>
      <c r="F3648" s="13" t="s">
        <v>5325</v>
      </c>
      <c r="G3648" s="13" t="s">
        <v>5289</v>
      </c>
      <c r="H3648" s="13" t="s">
        <v>5289</v>
      </c>
      <c r="I3648" s="13" t="s">
        <v>5289</v>
      </c>
      <c r="J3648" s="13" t="s">
        <v>5289</v>
      </c>
      <c r="K3648" s="13" t="s">
        <v>5289</v>
      </c>
      <c r="L3648" s="13"/>
      <c r="M3648" s="13"/>
      <c r="N3648" s="13" t="n">
        <v>3474636975181</v>
      </c>
      <c r="O3648" s="13"/>
      <c r="P3648" s="13" t="s">
        <v>5291</v>
      </c>
      <c r="Q3648" s="13" t="s">
        <v>5289</v>
      </c>
      <c r="R3648" s="13" t="s">
        <v>5292</v>
      </c>
      <c r="S3648" s="13" t="s">
        <v>5293</v>
      </c>
      <c r="T3648" s="13" t="s">
        <v>5</v>
      </c>
      <c r="U3648" s="13" t="s">
        <v>85</v>
      </c>
      <c r="V3648" s="13" t="n">
        <f aca="false">IF(COUNTIF($B$2:B3648,B3648)=1,1,0)</f>
        <v>0</v>
      </c>
      <c r="W3648" s="13" t="n">
        <f aca="false">IF(COUNTIFS($B$2:B3648,B3648,$T$2:T3648,T3648)=1,1,0)</f>
        <v>0</v>
      </c>
    </row>
    <row r="3649" customFormat="false" ht="15" hidden="false" customHeight="false" outlineLevel="0" collapsed="false">
      <c r="A3649" s="13" t="s">
        <v>1919</v>
      </c>
      <c r="B3649" s="13" t="s">
        <v>107</v>
      </c>
      <c r="C3649" s="13" t="n">
        <v>260</v>
      </c>
      <c r="D3649" s="13" t="n">
        <v>2</v>
      </c>
      <c r="E3649" s="13" t="n">
        <v>132.475</v>
      </c>
      <c r="F3649" s="13" t="s">
        <v>5325</v>
      </c>
      <c r="G3649" s="13" t="s">
        <v>5292</v>
      </c>
      <c r="H3649" s="13" t="s">
        <v>5292</v>
      </c>
      <c r="I3649" s="13" t="s">
        <v>5289</v>
      </c>
      <c r="J3649" s="13" t="s">
        <v>5289</v>
      </c>
      <c r="K3649" s="13" t="s">
        <v>5289</v>
      </c>
      <c r="L3649" s="13" t="n">
        <v>4064666939766</v>
      </c>
      <c r="M3649" s="13"/>
      <c r="N3649" s="13" t="n">
        <v>4064666939766</v>
      </c>
      <c r="O3649" s="13"/>
      <c r="P3649" s="13" t="s">
        <v>5297</v>
      </c>
      <c r="Q3649" s="13" t="s">
        <v>5289</v>
      </c>
      <c r="R3649" s="13" t="s">
        <v>5292</v>
      </c>
      <c r="S3649" s="13" t="s">
        <v>5293</v>
      </c>
      <c r="T3649" s="13" t="s">
        <v>5</v>
      </c>
      <c r="U3649" s="13" t="s">
        <v>43</v>
      </c>
      <c r="V3649" s="13" t="n">
        <f aca="false">IF(COUNTIF($B$2:B3649,B3649)=1,1,0)</f>
        <v>0</v>
      </c>
      <c r="W3649" s="13" t="n">
        <f aca="false">IF(COUNTIFS($B$2:B3649,B3649,$T$2:T3649,T3649)=1,1,0)</f>
        <v>0</v>
      </c>
    </row>
    <row r="3650" customFormat="false" ht="15" hidden="false" customHeight="false" outlineLevel="0" collapsed="false">
      <c r="A3650" s="13" t="s">
        <v>4872</v>
      </c>
      <c r="B3650" s="13" t="s">
        <v>2139</v>
      </c>
      <c r="C3650" s="13" t="n">
        <v>260</v>
      </c>
      <c r="D3650" s="13" t="n">
        <v>2</v>
      </c>
      <c r="E3650" s="13" t="n">
        <v>132.46</v>
      </c>
      <c r="F3650" s="13" t="s">
        <v>5288</v>
      </c>
      <c r="G3650" s="13" t="s">
        <v>5289</v>
      </c>
      <c r="H3650" s="13" t="s">
        <v>5289</v>
      </c>
      <c r="I3650" s="13" t="s">
        <v>5289</v>
      </c>
      <c r="J3650" s="13" t="s">
        <v>5289</v>
      </c>
      <c r="K3650" s="13" t="s">
        <v>5289</v>
      </c>
      <c r="L3650" s="13"/>
      <c r="M3650" s="13"/>
      <c r="N3650" s="13" t="n">
        <v>8411061067192</v>
      </c>
      <c r="O3650" s="13"/>
      <c r="P3650" s="13" t="s">
        <v>5291</v>
      </c>
      <c r="Q3650" s="13" t="s">
        <v>5289</v>
      </c>
      <c r="R3650" s="13" t="s">
        <v>5292</v>
      </c>
      <c r="S3650" s="13" t="s">
        <v>5293</v>
      </c>
      <c r="T3650" s="13" t="s">
        <v>5</v>
      </c>
      <c r="U3650" s="13" t="s">
        <v>43</v>
      </c>
      <c r="V3650" s="13" t="n">
        <f aca="false">IF(COUNTIF($B$2:B3650,B3650)=1,1,0)</f>
        <v>0</v>
      </c>
      <c r="W3650" s="13" t="n">
        <f aca="false">IF(COUNTIFS($B$2:B3650,B3650,$T$2:T3650,T3650)=1,1,0)</f>
        <v>0</v>
      </c>
    </row>
    <row r="3651" customFormat="false" ht="15" hidden="false" customHeight="false" outlineLevel="0" collapsed="false">
      <c r="A3651" s="13" t="s">
        <v>1923</v>
      </c>
      <c r="B3651" s="13" t="s">
        <v>92</v>
      </c>
      <c r="C3651" s="13" t="n">
        <v>260</v>
      </c>
      <c r="D3651" s="13" t="n">
        <v>1</v>
      </c>
      <c r="E3651" s="13" t="n">
        <v>264.9</v>
      </c>
      <c r="F3651" s="13" t="s">
        <v>5288</v>
      </c>
      <c r="G3651" s="13" t="s">
        <v>5289</v>
      </c>
      <c r="H3651" s="13" t="s">
        <v>5292</v>
      </c>
      <c r="I3651" s="13" t="s">
        <v>5289</v>
      </c>
      <c r="J3651" s="13" t="s">
        <v>5289</v>
      </c>
      <c r="K3651" s="13" t="s">
        <v>5289</v>
      </c>
      <c r="L3651" s="13" t="n">
        <v>3616303445553</v>
      </c>
      <c r="M3651" s="13"/>
      <c r="N3651" s="13" t="n">
        <v>3616303445553</v>
      </c>
      <c r="O3651" s="13"/>
      <c r="P3651" s="13" t="s">
        <v>5291</v>
      </c>
      <c r="Q3651" s="13" t="s">
        <v>5289</v>
      </c>
      <c r="R3651" s="13" t="s">
        <v>5292</v>
      </c>
      <c r="S3651" s="13" t="s">
        <v>5293</v>
      </c>
      <c r="T3651" s="13" t="s">
        <v>5</v>
      </c>
      <c r="U3651" s="13" t="s">
        <v>43</v>
      </c>
      <c r="V3651" s="13" t="n">
        <f aca="false">IF(COUNTIF($B$2:B3651,B3651)=1,1,0)</f>
        <v>0</v>
      </c>
      <c r="W3651" s="13" t="n">
        <f aca="false">IF(COUNTIFS($B$2:B3651,B3651,$T$2:T3651,T3651)=1,1,0)</f>
        <v>0</v>
      </c>
    </row>
    <row r="3652" customFormat="false" ht="15" hidden="false" customHeight="false" outlineLevel="0" collapsed="false">
      <c r="A3652" s="13" t="s">
        <v>1924</v>
      </c>
      <c r="B3652" s="13" t="s">
        <v>195</v>
      </c>
      <c r="C3652" s="13" t="n">
        <v>260</v>
      </c>
      <c r="D3652" s="13" t="n">
        <v>1</v>
      </c>
      <c r="E3652" s="13" t="n">
        <v>264.9</v>
      </c>
      <c r="F3652" s="13" t="s">
        <v>5288</v>
      </c>
      <c r="G3652" s="13" t="s">
        <v>5289</v>
      </c>
      <c r="H3652" s="13" t="s">
        <v>5292</v>
      </c>
      <c r="I3652" s="13" t="s">
        <v>5289</v>
      </c>
      <c r="J3652" s="13" t="s">
        <v>5289</v>
      </c>
      <c r="K3652" s="13" t="s">
        <v>5289</v>
      </c>
      <c r="L3652" s="13" t="n">
        <v>3616305271587</v>
      </c>
      <c r="M3652" s="13"/>
      <c r="N3652" s="13" t="n">
        <v>3616305271587</v>
      </c>
      <c r="O3652" s="13"/>
      <c r="P3652" s="13" t="s">
        <v>5291</v>
      </c>
      <c r="Q3652" s="13" t="s">
        <v>5289</v>
      </c>
      <c r="R3652" s="13" t="s">
        <v>5292</v>
      </c>
      <c r="S3652" s="13" t="s">
        <v>5293</v>
      </c>
      <c r="T3652" s="13" t="s">
        <v>5</v>
      </c>
      <c r="U3652" s="13" t="s">
        <v>43</v>
      </c>
      <c r="V3652" s="13" t="n">
        <f aca="false">IF(COUNTIF($B$2:B3652,B3652)=1,1,0)</f>
        <v>0</v>
      </c>
      <c r="W3652" s="13" t="n">
        <f aca="false">IF(COUNTIFS($B$2:B3652,B3652,$T$2:T3652,T3652)=1,1,0)</f>
        <v>0</v>
      </c>
    </row>
    <row r="3653" customFormat="false" ht="15" hidden="false" customHeight="false" outlineLevel="0" collapsed="false">
      <c r="A3653" s="13" t="s">
        <v>1922</v>
      </c>
      <c r="B3653" s="13" t="s">
        <v>103</v>
      </c>
      <c r="C3653" s="13" t="n">
        <v>260</v>
      </c>
      <c r="D3653" s="13" t="n">
        <v>1</v>
      </c>
      <c r="E3653" s="13" t="n">
        <v>264.41</v>
      </c>
      <c r="F3653" s="13" t="s">
        <v>5325</v>
      </c>
      <c r="G3653" s="13" t="s">
        <v>5289</v>
      </c>
      <c r="H3653" s="13" t="s">
        <v>5292</v>
      </c>
      <c r="I3653" s="13" t="s">
        <v>5289</v>
      </c>
      <c r="J3653" s="13" t="s">
        <v>5289</v>
      </c>
      <c r="K3653" s="13" t="s">
        <v>5289</v>
      </c>
      <c r="L3653" s="13" t="n">
        <v>8411061084076</v>
      </c>
      <c r="M3653" s="13"/>
      <c r="N3653" s="13" t="n">
        <v>8411061084076</v>
      </c>
      <c r="O3653" s="13"/>
      <c r="P3653" s="13" t="s">
        <v>5291</v>
      </c>
      <c r="Q3653" s="13" t="s">
        <v>5289</v>
      </c>
      <c r="R3653" s="13" t="s">
        <v>5292</v>
      </c>
      <c r="S3653" s="13" t="s">
        <v>5293</v>
      </c>
      <c r="T3653" s="13" t="s">
        <v>5</v>
      </c>
      <c r="U3653" s="13" t="s">
        <v>43</v>
      </c>
      <c r="V3653" s="13" t="n">
        <f aca="false">IF(COUNTIF($B$2:B3653,B3653)=1,1,0)</f>
        <v>0</v>
      </c>
      <c r="W3653" s="13" t="n">
        <f aca="false">IF(COUNTIFS($B$2:B3653,B3653,$T$2:T3653,T3653)=1,1,0)</f>
        <v>0</v>
      </c>
    </row>
    <row r="3654" customFormat="false" ht="15" hidden="false" customHeight="false" outlineLevel="0" collapsed="false">
      <c r="A3654" s="13" t="s">
        <v>1921</v>
      </c>
      <c r="B3654" s="13" t="s">
        <v>229</v>
      </c>
      <c r="C3654" s="13" t="n">
        <v>260</v>
      </c>
      <c r="D3654" s="13" t="n">
        <v>1</v>
      </c>
      <c r="E3654" s="13" t="n">
        <v>263.53</v>
      </c>
      <c r="F3654" s="13" t="s">
        <v>5325</v>
      </c>
      <c r="G3654" s="13" t="s">
        <v>5289</v>
      </c>
      <c r="H3654" s="13" t="s">
        <v>5292</v>
      </c>
      <c r="I3654" s="13" t="s">
        <v>5289</v>
      </c>
      <c r="J3654" s="13" t="s">
        <v>5289</v>
      </c>
      <c r="K3654" s="13" t="s">
        <v>5289</v>
      </c>
      <c r="L3654" s="13"/>
      <c r="M3654" s="13"/>
      <c r="N3654" s="13" t="n">
        <v>3414202011752</v>
      </c>
      <c r="O3654" s="13"/>
      <c r="P3654" s="13" t="s">
        <v>5291</v>
      </c>
      <c r="Q3654" s="13" t="s">
        <v>5289</v>
      </c>
      <c r="R3654" s="13" t="s">
        <v>5292</v>
      </c>
      <c r="S3654" s="13" t="s">
        <v>5293</v>
      </c>
      <c r="T3654" s="13" t="s">
        <v>5</v>
      </c>
      <c r="U3654" s="13" t="s">
        <v>43</v>
      </c>
      <c r="V3654" s="13" t="n">
        <f aca="false">IF(COUNTIF($B$2:B3654,B3654)=1,1,0)</f>
        <v>0</v>
      </c>
      <c r="W3654" s="13" t="n">
        <f aca="false">IF(COUNTIFS($B$2:B3654,B3654,$T$2:T3654,T3654)=1,1,0)</f>
        <v>0</v>
      </c>
    </row>
    <row r="3655" customFormat="false" ht="15" hidden="false" customHeight="false" outlineLevel="0" collapsed="false">
      <c r="A3655" s="13" t="s">
        <v>1746</v>
      </c>
      <c r="B3655" s="13" t="s">
        <v>45</v>
      </c>
      <c r="C3655" s="13" t="n">
        <v>260</v>
      </c>
      <c r="D3655" s="13" t="n">
        <v>1</v>
      </c>
      <c r="E3655" s="13" t="n">
        <v>263.17</v>
      </c>
      <c r="F3655" s="13" t="s">
        <v>5288</v>
      </c>
      <c r="G3655" s="13" t="s">
        <v>5289</v>
      </c>
      <c r="H3655" s="13" t="s">
        <v>5289</v>
      </c>
      <c r="I3655" s="13" t="s">
        <v>5289</v>
      </c>
      <c r="J3655" s="13" t="s">
        <v>5289</v>
      </c>
      <c r="K3655" s="13" t="s">
        <v>5289</v>
      </c>
      <c r="L3655" s="13" t="n">
        <v>8435415105361</v>
      </c>
      <c r="M3655" s="13"/>
      <c r="N3655" s="13" t="n">
        <v>8435415105361</v>
      </c>
      <c r="O3655" s="13"/>
      <c r="P3655" s="13" t="s">
        <v>5291</v>
      </c>
      <c r="Q3655" s="13" t="s">
        <v>5289</v>
      </c>
      <c r="R3655" s="13" t="s">
        <v>5292</v>
      </c>
      <c r="S3655" s="13" t="s">
        <v>5293</v>
      </c>
      <c r="T3655" s="13" t="s">
        <v>5</v>
      </c>
      <c r="U3655" s="13" t="s">
        <v>43</v>
      </c>
      <c r="V3655" s="13" t="n">
        <f aca="false">IF(COUNTIF($B$2:B3655,B3655)=1,1,0)</f>
        <v>0</v>
      </c>
      <c r="W3655" s="13" t="n">
        <f aca="false">IF(COUNTIFS($B$2:B3655,B3655,$T$2:T3655,T3655)=1,1,0)</f>
        <v>0</v>
      </c>
    </row>
    <row r="3656" customFormat="false" ht="15" hidden="false" customHeight="false" outlineLevel="0" collapsed="false">
      <c r="A3656" s="13" t="s">
        <v>1920</v>
      </c>
      <c r="B3656" s="13" t="s">
        <v>121</v>
      </c>
      <c r="C3656" s="13" t="n">
        <v>260</v>
      </c>
      <c r="D3656" s="13" t="n">
        <v>2</v>
      </c>
      <c r="E3656" s="13" t="n">
        <v>130.85</v>
      </c>
      <c r="F3656" s="13" t="s">
        <v>5325</v>
      </c>
      <c r="G3656" s="13" t="s">
        <v>5289</v>
      </c>
      <c r="H3656" s="13" t="s">
        <v>5292</v>
      </c>
      <c r="I3656" s="13" t="s">
        <v>5289</v>
      </c>
      <c r="J3656" s="13" t="s">
        <v>5289</v>
      </c>
      <c r="K3656" s="13" t="s">
        <v>5292</v>
      </c>
      <c r="L3656" s="13" t="n">
        <v>7896086944337</v>
      </c>
      <c r="M3656" s="13"/>
      <c r="N3656" s="13" t="n">
        <v>7896086944337</v>
      </c>
      <c r="O3656" s="13"/>
      <c r="P3656" s="13" t="s">
        <v>5291</v>
      </c>
      <c r="Q3656" s="13" t="s">
        <v>5289</v>
      </c>
      <c r="R3656" s="13" t="s">
        <v>5292</v>
      </c>
      <c r="S3656" s="13" t="s">
        <v>5293</v>
      </c>
      <c r="T3656" s="13" t="s">
        <v>5</v>
      </c>
      <c r="U3656" s="13" t="s">
        <v>43</v>
      </c>
      <c r="V3656" s="13" t="n">
        <f aca="false">IF(COUNTIF($B$2:B3656,B3656)=1,1,0)</f>
        <v>0</v>
      </c>
      <c r="W3656" s="13" t="n">
        <f aca="false">IF(COUNTIFS($B$2:B3656,B3656,$T$2:T3656,T3656)=1,1,0)</f>
        <v>0</v>
      </c>
    </row>
    <row r="3657" customFormat="false" ht="15" hidden="false" customHeight="false" outlineLevel="0" collapsed="false">
      <c r="A3657" s="13" t="s">
        <v>4875</v>
      </c>
      <c r="B3657" s="13" t="s">
        <v>2282</v>
      </c>
      <c r="C3657" s="13" t="n">
        <v>260</v>
      </c>
      <c r="D3657" s="13" t="n">
        <v>1</v>
      </c>
      <c r="E3657" s="13" t="n">
        <v>261.38</v>
      </c>
      <c r="F3657" s="13" t="s">
        <v>5288</v>
      </c>
      <c r="G3657" s="13" t="s">
        <v>5292</v>
      </c>
      <c r="H3657" s="13" t="s">
        <v>5292</v>
      </c>
      <c r="I3657" s="13" t="s">
        <v>5289</v>
      </c>
      <c r="J3657" s="13" t="s">
        <v>5289</v>
      </c>
      <c r="K3657" s="13" t="s">
        <v>5289</v>
      </c>
      <c r="L3657" s="13"/>
      <c r="M3657" s="13"/>
      <c r="N3657" s="13" t="n">
        <v>3474636919963</v>
      </c>
      <c r="O3657" s="13"/>
      <c r="P3657" s="13" t="s">
        <v>5297</v>
      </c>
      <c r="Q3657" s="13" t="s">
        <v>5289</v>
      </c>
      <c r="R3657" s="13" t="s">
        <v>5292</v>
      </c>
      <c r="S3657" s="13" t="s">
        <v>5293</v>
      </c>
      <c r="T3657" s="13" t="s">
        <v>5</v>
      </c>
      <c r="U3657" s="13" t="s">
        <v>183</v>
      </c>
      <c r="V3657" s="13" t="n">
        <f aca="false">IF(COUNTIF($B$2:B3657,B3657)=1,1,0)</f>
        <v>1</v>
      </c>
      <c r="W3657" s="13" t="n">
        <f aca="false">IF(COUNTIFS($B$2:B3657,B3657,$T$2:T3657,T3657)=1,1,0)</f>
        <v>1</v>
      </c>
    </row>
    <row r="3658" customFormat="false" ht="15" hidden="false" customHeight="false" outlineLevel="0" collapsed="false">
      <c r="A3658" s="13" t="s">
        <v>1371</v>
      </c>
      <c r="B3658" s="13" t="s">
        <v>103</v>
      </c>
      <c r="C3658" s="13" t="n">
        <v>260</v>
      </c>
      <c r="D3658" s="13" t="n">
        <v>2</v>
      </c>
      <c r="E3658" s="13" t="n">
        <v>129.99</v>
      </c>
      <c r="F3658" s="13" t="s">
        <v>5288</v>
      </c>
      <c r="G3658" s="13" t="s">
        <v>5292</v>
      </c>
      <c r="H3658" s="13" t="s">
        <v>5289</v>
      </c>
      <c r="I3658" s="13" t="s">
        <v>5289</v>
      </c>
      <c r="J3658" s="13" t="s">
        <v>5289</v>
      </c>
      <c r="K3658" s="13" t="s">
        <v>5289</v>
      </c>
      <c r="L3658" s="13" t="n">
        <v>8411061948903</v>
      </c>
      <c r="M3658" s="13"/>
      <c r="N3658" s="13" t="n">
        <v>8.41106194890384E+025</v>
      </c>
      <c r="O3658" s="13"/>
      <c r="P3658" s="13" t="s">
        <v>5291</v>
      </c>
      <c r="Q3658" s="13" t="s">
        <v>5289</v>
      </c>
      <c r="R3658" s="13" t="s">
        <v>5292</v>
      </c>
      <c r="S3658" s="13" t="s">
        <v>5293</v>
      </c>
      <c r="T3658" s="13" t="s">
        <v>5</v>
      </c>
      <c r="U3658" s="13" t="s">
        <v>43</v>
      </c>
      <c r="V3658" s="13" t="n">
        <f aca="false">IF(COUNTIF($B$2:B3658,B3658)=1,1,0)</f>
        <v>0</v>
      </c>
      <c r="W3658" s="13" t="n">
        <f aca="false">IF(COUNTIFS($B$2:B3658,B3658,$T$2:T3658,T3658)=1,1,0)</f>
        <v>0</v>
      </c>
    </row>
    <row r="3659" customFormat="false" ht="15" hidden="false" customHeight="false" outlineLevel="0" collapsed="false">
      <c r="A3659" s="13" t="s">
        <v>1927</v>
      </c>
      <c r="B3659" s="13" t="s">
        <v>121</v>
      </c>
      <c r="C3659" s="13" t="n">
        <v>260</v>
      </c>
      <c r="D3659" s="13" t="n">
        <v>5</v>
      </c>
      <c r="E3659" s="13" t="n">
        <v>28.85</v>
      </c>
      <c r="F3659" s="13" t="s">
        <v>5288</v>
      </c>
      <c r="G3659" s="13" t="s">
        <v>5292</v>
      </c>
      <c r="H3659" s="13" t="s">
        <v>5292</v>
      </c>
      <c r="I3659" s="13" t="s">
        <v>5289</v>
      </c>
      <c r="J3659" s="13" t="s">
        <v>5289</v>
      </c>
      <c r="K3659" s="13" t="s">
        <v>5292</v>
      </c>
      <c r="L3659" s="13" t="n">
        <v>7896086930712</v>
      </c>
      <c r="M3659" s="13"/>
      <c r="N3659" s="13" t="n">
        <v>7896086930712</v>
      </c>
      <c r="O3659" s="13"/>
      <c r="P3659" s="13" t="s">
        <v>5291</v>
      </c>
      <c r="Q3659" s="13" t="s">
        <v>5289</v>
      </c>
      <c r="R3659" s="13" t="s">
        <v>5292</v>
      </c>
      <c r="S3659" s="13" t="s">
        <v>5293</v>
      </c>
      <c r="T3659" s="13" t="s">
        <v>5</v>
      </c>
      <c r="U3659" s="13" t="s">
        <v>43</v>
      </c>
      <c r="V3659" s="13" t="n">
        <f aca="false">IF(COUNTIF($B$2:B3659,B3659)=1,1,0)</f>
        <v>0</v>
      </c>
      <c r="W3659" s="13" t="n">
        <f aca="false">IF(COUNTIFS($B$2:B3659,B3659,$T$2:T3659,T3659)=1,1,0)</f>
        <v>0</v>
      </c>
    </row>
    <row r="3660" customFormat="false" ht="15" hidden="false" customHeight="false" outlineLevel="0" collapsed="false">
      <c r="A3660" s="13" t="s">
        <v>1928</v>
      </c>
      <c r="B3660" s="13" t="s">
        <v>365</v>
      </c>
      <c r="C3660" s="13" t="n">
        <v>260</v>
      </c>
      <c r="D3660" s="13" t="n">
        <v>1</v>
      </c>
      <c r="E3660" s="13" t="n">
        <v>259</v>
      </c>
      <c r="F3660" s="13" t="s">
        <v>5288</v>
      </c>
      <c r="G3660" s="13" t="s">
        <v>5289</v>
      </c>
      <c r="H3660" s="13" t="s">
        <v>5289</v>
      </c>
      <c r="I3660" s="13" t="s">
        <v>5289</v>
      </c>
      <c r="J3660" s="13" t="s">
        <v>5289</v>
      </c>
      <c r="K3660" s="13" t="s">
        <v>5289</v>
      </c>
      <c r="L3660" s="13" t="n">
        <v>6290360594552</v>
      </c>
      <c r="M3660" s="13"/>
      <c r="N3660" s="13" t="n">
        <v>6290360594552</v>
      </c>
      <c r="O3660" s="13"/>
      <c r="P3660" s="13" t="s">
        <v>5291</v>
      </c>
      <c r="Q3660" s="13" t="s">
        <v>5289</v>
      </c>
      <c r="R3660" s="13" t="s">
        <v>5292</v>
      </c>
      <c r="S3660" s="13" t="s">
        <v>5293</v>
      </c>
      <c r="T3660" s="13" t="s">
        <v>5</v>
      </c>
      <c r="U3660" s="13" t="s">
        <v>43</v>
      </c>
      <c r="V3660" s="13" t="n">
        <f aca="false">IF(COUNTIF($B$2:B3660,B3660)=1,1,0)</f>
        <v>0</v>
      </c>
      <c r="W3660" s="13" t="n">
        <f aca="false">IF(COUNTIFS($B$2:B3660,B3660,$T$2:T3660,T3660)=1,1,0)</f>
        <v>0</v>
      </c>
    </row>
    <row r="3661" customFormat="false" ht="15" hidden="false" customHeight="false" outlineLevel="0" collapsed="false">
      <c r="A3661" s="13" t="s">
        <v>1929</v>
      </c>
      <c r="B3661" s="13" t="s">
        <v>121</v>
      </c>
      <c r="C3661" s="13" t="n">
        <v>260</v>
      </c>
      <c r="D3661" s="13" t="n">
        <v>2</v>
      </c>
      <c r="E3661" s="13" t="n">
        <v>86.2533333333333</v>
      </c>
      <c r="F3661" s="13" t="s">
        <v>5288</v>
      </c>
      <c r="G3661" s="13" t="s">
        <v>5289</v>
      </c>
      <c r="H3661" s="13" t="s">
        <v>5289</v>
      </c>
      <c r="I3661" s="13" t="s">
        <v>5289</v>
      </c>
      <c r="J3661" s="13" t="s">
        <v>5289</v>
      </c>
      <c r="K3661" s="13" t="s">
        <v>5289</v>
      </c>
      <c r="L3661" s="13"/>
      <c r="M3661" s="13"/>
      <c r="N3661" s="13" t="n">
        <v>7896086934253</v>
      </c>
      <c r="O3661" s="13"/>
      <c r="P3661" s="13" t="s">
        <v>5291</v>
      </c>
      <c r="Q3661" s="13" t="s">
        <v>5289</v>
      </c>
      <c r="R3661" s="13" t="s">
        <v>5292</v>
      </c>
      <c r="S3661" s="13" t="s">
        <v>5293</v>
      </c>
      <c r="T3661" s="13" t="s">
        <v>5</v>
      </c>
      <c r="U3661" s="13" t="s">
        <v>183</v>
      </c>
      <c r="V3661" s="13" t="n">
        <f aca="false">IF(COUNTIF($B$2:B3661,B3661)=1,1,0)</f>
        <v>0</v>
      </c>
      <c r="W3661" s="13" t="n">
        <f aca="false">IF(COUNTIFS($B$2:B3661,B3661,$T$2:T3661,T3661)=1,1,0)</f>
        <v>0</v>
      </c>
    </row>
    <row r="3662" customFormat="false" ht="15" hidden="false" customHeight="false" outlineLevel="0" collapsed="false">
      <c r="A3662" s="13" t="s">
        <v>4867</v>
      </c>
      <c r="B3662" s="13" t="s">
        <v>2194</v>
      </c>
      <c r="C3662" s="13" t="n">
        <v>260</v>
      </c>
      <c r="D3662" s="13" t="n">
        <v>5</v>
      </c>
      <c r="E3662" s="13" t="n">
        <v>51.74</v>
      </c>
      <c r="F3662" s="13" t="s">
        <v>5325</v>
      </c>
      <c r="G3662" s="13" t="s">
        <v>5292</v>
      </c>
      <c r="H3662" s="13" t="s">
        <v>5289</v>
      </c>
      <c r="I3662" s="13" t="s">
        <v>5289</v>
      </c>
      <c r="J3662" s="13" t="s">
        <v>5289</v>
      </c>
      <c r="K3662" s="13" t="s">
        <v>5289</v>
      </c>
      <c r="L3662" s="13" t="n">
        <v>7908725504021</v>
      </c>
      <c r="M3662" s="13"/>
      <c r="N3662" s="13" t="n">
        <v>7908725504021</v>
      </c>
      <c r="O3662" s="13"/>
      <c r="P3662" s="13" t="s">
        <v>5297</v>
      </c>
      <c r="Q3662" s="13" t="s">
        <v>5289</v>
      </c>
      <c r="R3662" s="13" t="s">
        <v>5292</v>
      </c>
      <c r="S3662" s="13" t="s">
        <v>5293</v>
      </c>
      <c r="T3662" s="13" t="s">
        <v>5</v>
      </c>
      <c r="U3662" s="13" t="s">
        <v>85</v>
      </c>
      <c r="V3662" s="13" t="n">
        <f aca="false">IF(COUNTIF($B$2:B3662,B3662)=1,1,0)</f>
        <v>0</v>
      </c>
      <c r="W3662" s="13" t="n">
        <f aca="false">IF(COUNTIFS($B$2:B3662,B3662,$T$2:T3662,T3662)=1,1,0)</f>
        <v>0</v>
      </c>
    </row>
    <row r="3663" customFormat="false" ht="15" hidden="false" customHeight="false" outlineLevel="0" collapsed="false">
      <c r="A3663" s="13" t="s">
        <v>1934</v>
      </c>
      <c r="B3663" s="13" t="s">
        <v>54</v>
      </c>
      <c r="C3663" s="13" t="n">
        <v>260</v>
      </c>
      <c r="D3663" s="13" t="n">
        <v>1</v>
      </c>
      <c r="E3663" s="13" t="n">
        <v>258.03</v>
      </c>
      <c r="F3663" s="13" t="s">
        <v>5325</v>
      </c>
      <c r="G3663" s="13" t="s">
        <v>5289</v>
      </c>
      <c r="H3663" s="13" t="s">
        <v>5289</v>
      </c>
      <c r="I3663" s="13" t="s">
        <v>5289</v>
      </c>
      <c r="J3663" s="13" t="s">
        <v>5289</v>
      </c>
      <c r="K3663" s="13" t="s">
        <v>5289</v>
      </c>
      <c r="L3663" s="13" t="n">
        <v>729238147027</v>
      </c>
      <c r="M3663" s="13"/>
      <c r="N3663" s="13" t="n">
        <v>729238147027</v>
      </c>
      <c r="O3663" s="13"/>
      <c r="P3663" s="13" t="s">
        <v>5297</v>
      </c>
      <c r="Q3663" s="13" t="s">
        <v>5289</v>
      </c>
      <c r="R3663" s="13" t="s">
        <v>5292</v>
      </c>
      <c r="S3663" s="13" t="s">
        <v>5293</v>
      </c>
      <c r="T3663" s="13" t="s">
        <v>5</v>
      </c>
      <c r="U3663" s="13" t="s">
        <v>43</v>
      </c>
      <c r="V3663" s="13" t="n">
        <f aca="false">IF(COUNTIF($B$2:B3663,B3663)=1,1,0)</f>
        <v>0</v>
      </c>
      <c r="W3663" s="13" t="n">
        <f aca="false">IF(COUNTIFS($B$2:B3663,B3663,$T$2:T3663,T3663)=1,1,0)</f>
        <v>0</v>
      </c>
    </row>
    <row r="3664" customFormat="false" ht="15" hidden="false" customHeight="false" outlineLevel="0" collapsed="false">
      <c r="A3664" s="13" t="s">
        <v>4869</v>
      </c>
      <c r="B3664" s="13" t="s">
        <v>2194</v>
      </c>
      <c r="C3664" s="13" t="n">
        <v>260</v>
      </c>
      <c r="D3664" s="13" t="n">
        <v>5</v>
      </c>
      <c r="E3664" s="13" t="n">
        <v>36.85</v>
      </c>
      <c r="F3664" s="13" t="s">
        <v>5288</v>
      </c>
      <c r="G3664" s="13" t="s">
        <v>5292</v>
      </c>
      <c r="H3664" s="13" t="s">
        <v>5289</v>
      </c>
      <c r="I3664" s="13" t="s">
        <v>5292</v>
      </c>
      <c r="J3664" s="13" t="s">
        <v>5289</v>
      </c>
      <c r="K3664" s="13" t="s">
        <v>5292</v>
      </c>
      <c r="L3664" s="13"/>
      <c r="M3664" s="13"/>
      <c r="N3664" s="13" t="n">
        <v>7908725502676</v>
      </c>
      <c r="O3664" s="13"/>
      <c r="P3664" s="13" t="s">
        <v>5297</v>
      </c>
      <c r="Q3664" s="13" t="s">
        <v>5289</v>
      </c>
      <c r="R3664" s="13" t="s">
        <v>5292</v>
      </c>
      <c r="S3664" s="13" t="s">
        <v>5293</v>
      </c>
      <c r="T3664" s="13" t="s">
        <v>5</v>
      </c>
      <c r="U3664" s="13" t="s">
        <v>85</v>
      </c>
      <c r="V3664" s="13" t="n">
        <f aca="false">IF(COUNTIF($B$2:B3664,B3664)=1,1,0)</f>
        <v>0</v>
      </c>
      <c r="W3664" s="13" t="n">
        <f aca="false">IF(COUNTIFS($B$2:B3664,B3664,$T$2:T3664,T3664)=1,1,0)</f>
        <v>0</v>
      </c>
    </row>
    <row r="3665" customFormat="false" ht="15" hidden="false" customHeight="false" outlineLevel="0" collapsed="false">
      <c r="A3665" s="13" t="s">
        <v>1933</v>
      </c>
      <c r="B3665" s="13" t="s">
        <v>42</v>
      </c>
      <c r="C3665" s="13" t="n">
        <v>260</v>
      </c>
      <c r="D3665" s="13" t="n">
        <v>1</v>
      </c>
      <c r="E3665" s="13" t="n">
        <v>257.07</v>
      </c>
      <c r="F3665" s="13" t="s">
        <v>5288</v>
      </c>
      <c r="G3665" s="13" t="s">
        <v>5289</v>
      </c>
      <c r="H3665" s="13" t="s">
        <v>5292</v>
      </c>
      <c r="I3665" s="13" t="s">
        <v>5289</v>
      </c>
      <c r="J3665" s="13" t="s">
        <v>5289</v>
      </c>
      <c r="K3665" s="13" t="s">
        <v>5289</v>
      </c>
      <c r="L3665" s="13" t="n">
        <v>8411061043820</v>
      </c>
      <c r="M3665" s="13"/>
      <c r="N3665" s="13" t="n">
        <v>8.41106198349284E+038</v>
      </c>
      <c r="O3665" s="13"/>
      <c r="P3665" s="13" t="s">
        <v>5291</v>
      </c>
      <c r="Q3665" s="13" t="s">
        <v>5289</v>
      </c>
      <c r="R3665" s="13" t="s">
        <v>5292</v>
      </c>
      <c r="S3665" s="13" t="s">
        <v>5293</v>
      </c>
      <c r="T3665" s="13" t="s">
        <v>5</v>
      </c>
      <c r="U3665" s="13" t="s">
        <v>43</v>
      </c>
      <c r="V3665" s="13" t="n">
        <f aca="false">IF(COUNTIF($B$2:B3665,B3665)=1,1,0)</f>
        <v>0</v>
      </c>
      <c r="W3665" s="13" t="n">
        <f aca="false">IF(COUNTIFS($B$2:B3665,B3665,$T$2:T3665,T3665)=1,1,0)</f>
        <v>0</v>
      </c>
    </row>
    <row r="3666" customFormat="false" ht="15" hidden="false" customHeight="false" outlineLevel="0" collapsed="false">
      <c r="A3666" s="13" t="s">
        <v>1925</v>
      </c>
      <c r="B3666" s="13" t="s">
        <v>59</v>
      </c>
      <c r="C3666" s="13" t="n">
        <v>260</v>
      </c>
      <c r="D3666" s="13" t="n">
        <v>1</v>
      </c>
      <c r="E3666" s="13" t="n">
        <v>255.72</v>
      </c>
      <c r="F3666" s="13" t="s">
        <v>5325</v>
      </c>
      <c r="G3666" s="13" t="s">
        <v>5289</v>
      </c>
      <c r="H3666" s="13" t="s">
        <v>5292</v>
      </c>
      <c r="I3666" s="13" t="s">
        <v>5289</v>
      </c>
      <c r="J3666" s="13" t="s">
        <v>5289</v>
      </c>
      <c r="K3666" s="13" t="s">
        <v>5289</v>
      </c>
      <c r="L3666" s="13"/>
      <c r="M3666" s="13"/>
      <c r="N3666" s="13" t="n">
        <v>3614228834032</v>
      </c>
      <c r="O3666" s="13"/>
      <c r="P3666" s="13" t="s">
        <v>5291</v>
      </c>
      <c r="Q3666" s="13" t="s">
        <v>5289</v>
      </c>
      <c r="R3666" s="13" t="s">
        <v>5292</v>
      </c>
      <c r="S3666" s="13" t="s">
        <v>5293</v>
      </c>
      <c r="T3666" s="13" t="s">
        <v>5</v>
      </c>
      <c r="U3666" s="13" t="s">
        <v>43</v>
      </c>
      <c r="V3666" s="13" t="n">
        <f aca="false">IF(COUNTIF($B$2:B3666,B3666)=1,1,0)</f>
        <v>0</v>
      </c>
      <c r="W3666" s="13" t="n">
        <f aca="false">IF(COUNTIFS($B$2:B3666,B3666,$T$2:T3666,T3666)=1,1,0)</f>
        <v>0</v>
      </c>
    </row>
    <row r="3667" customFormat="false" ht="15" hidden="false" customHeight="false" outlineLevel="0" collapsed="false">
      <c r="A3667" s="13" t="s">
        <v>1428</v>
      </c>
      <c r="B3667" s="13" t="s">
        <v>121</v>
      </c>
      <c r="C3667" s="13" t="n">
        <v>260</v>
      </c>
      <c r="D3667" s="13" t="n">
        <v>2</v>
      </c>
      <c r="E3667" s="13" t="n">
        <v>85.2166666666667</v>
      </c>
      <c r="F3667" s="13" t="s">
        <v>5325</v>
      </c>
      <c r="G3667" s="13" t="s">
        <v>5292</v>
      </c>
      <c r="H3667" s="13" t="s">
        <v>5289</v>
      </c>
      <c r="I3667" s="13" t="s">
        <v>5292</v>
      </c>
      <c r="J3667" s="13" t="s">
        <v>5289</v>
      </c>
      <c r="K3667" s="13" t="s">
        <v>5289</v>
      </c>
      <c r="L3667" s="13" t="n">
        <v>7896086994943</v>
      </c>
      <c r="M3667" s="13"/>
      <c r="N3667" s="13" t="n">
        <v>7896086994943</v>
      </c>
      <c r="O3667" s="13"/>
      <c r="P3667" s="13" t="s">
        <v>5291</v>
      </c>
      <c r="Q3667" s="13" t="s">
        <v>5289</v>
      </c>
      <c r="R3667" s="13" t="s">
        <v>5292</v>
      </c>
      <c r="S3667" s="13" t="s">
        <v>5293</v>
      </c>
      <c r="T3667" s="13" t="s">
        <v>5</v>
      </c>
      <c r="U3667" s="13" t="s">
        <v>183</v>
      </c>
      <c r="V3667" s="13" t="n">
        <f aca="false">IF(COUNTIF($B$2:B3667,B3667)=1,1,0)</f>
        <v>0</v>
      </c>
      <c r="W3667" s="13" t="n">
        <f aca="false">IF(COUNTIFS($B$2:B3667,B3667,$T$2:T3667,T3667)=1,1,0)</f>
        <v>0</v>
      </c>
    </row>
    <row r="3668" customFormat="false" ht="15" hidden="false" customHeight="false" outlineLevel="0" collapsed="false">
      <c r="A3668" s="13" t="s">
        <v>1431</v>
      </c>
      <c r="B3668" s="13" t="s">
        <v>107</v>
      </c>
      <c r="C3668" s="13" t="n">
        <v>250</v>
      </c>
      <c r="D3668" s="13" t="n">
        <v>1</v>
      </c>
      <c r="E3668" s="13" t="n">
        <v>254.9</v>
      </c>
      <c r="F3668" s="13" t="s">
        <v>5288</v>
      </c>
      <c r="G3668" s="13" t="s">
        <v>5292</v>
      </c>
      <c r="H3668" s="13" t="s">
        <v>5289</v>
      </c>
      <c r="I3668" s="13" t="s">
        <v>5289</v>
      </c>
      <c r="J3668" s="13" t="s">
        <v>5289</v>
      </c>
      <c r="K3668" s="13" t="s">
        <v>5289</v>
      </c>
      <c r="L3668" s="13" t="n">
        <v>9000250227029</v>
      </c>
      <c r="M3668" s="13"/>
      <c r="N3668" s="13" t="n">
        <v>9000250227029</v>
      </c>
      <c r="O3668" s="13"/>
      <c r="P3668" s="13" t="s">
        <v>5297</v>
      </c>
      <c r="Q3668" s="13" t="s">
        <v>5289</v>
      </c>
      <c r="R3668" s="13" t="s">
        <v>5292</v>
      </c>
      <c r="S3668" s="13" t="s">
        <v>5293</v>
      </c>
      <c r="T3668" s="13" t="s">
        <v>5</v>
      </c>
      <c r="U3668" s="13" t="s">
        <v>183</v>
      </c>
      <c r="V3668" s="13" t="n">
        <f aca="false">IF(COUNTIF($B$2:B3668,B3668)=1,1,0)</f>
        <v>0</v>
      </c>
      <c r="W3668" s="13" t="n">
        <f aca="false">IF(COUNTIFS($B$2:B3668,B3668,$T$2:T3668,T3668)=1,1,0)</f>
        <v>0</v>
      </c>
    </row>
    <row r="3669" customFormat="false" ht="15" hidden="false" customHeight="false" outlineLevel="0" collapsed="false">
      <c r="A3669" s="13" t="s">
        <v>1937</v>
      </c>
      <c r="B3669" s="13" t="s">
        <v>121</v>
      </c>
      <c r="C3669" s="13" t="n">
        <v>250</v>
      </c>
      <c r="D3669" s="13" t="n">
        <v>2</v>
      </c>
      <c r="E3669" s="13" t="n">
        <v>84.8833333333333</v>
      </c>
      <c r="F3669" s="13" t="s">
        <v>5288</v>
      </c>
      <c r="G3669" s="13" t="s">
        <v>5289</v>
      </c>
      <c r="H3669" s="13" t="s">
        <v>5289</v>
      </c>
      <c r="I3669" s="13" t="s">
        <v>5289</v>
      </c>
      <c r="J3669" s="13" t="s">
        <v>5289</v>
      </c>
      <c r="K3669" s="13" t="s">
        <v>5292</v>
      </c>
      <c r="L3669" s="13" t="n">
        <v>7896086921024</v>
      </c>
      <c r="M3669" s="13"/>
      <c r="N3669" s="13" t="n">
        <v>7896086921024</v>
      </c>
      <c r="O3669" s="13"/>
      <c r="P3669" s="13" t="s">
        <v>5291</v>
      </c>
      <c r="Q3669" s="13" t="s">
        <v>5289</v>
      </c>
      <c r="R3669" s="13" t="s">
        <v>5292</v>
      </c>
      <c r="S3669" s="13" t="s">
        <v>5293</v>
      </c>
      <c r="T3669" s="13" t="s">
        <v>5</v>
      </c>
      <c r="U3669" s="13" t="s">
        <v>43</v>
      </c>
      <c r="V3669" s="13" t="n">
        <f aca="false">IF(COUNTIF($B$2:B3669,B3669)=1,1,0)</f>
        <v>0</v>
      </c>
      <c r="W3669" s="13" t="n">
        <f aca="false">IF(COUNTIFS($B$2:B3669,B3669,$T$2:T3669,T3669)=1,1,0)</f>
        <v>0</v>
      </c>
    </row>
    <row r="3670" customFormat="false" ht="15" hidden="false" customHeight="false" outlineLevel="0" collapsed="false">
      <c r="A3670" s="13" t="s">
        <v>1923</v>
      </c>
      <c r="B3670" s="13" t="s">
        <v>92</v>
      </c>
      <c r="C3670" s="13" t="n">
        <v>250</v>
      </c>
      <c r="D3670" s="13" t="n">
        <v>1</v>
      </c>
      <c r="E3670" s="13" t="n">
        <v>253.41</v>
      </c>
      <c r="F3670" s="13" t="s">
        <v>5288</v>
      </c>
      <c r="G3670" s="13" t="s">
        <v>5289</v>
      </c>
      <c r="H3670" s="13" t="s">
        <v>5289</v>
      </c>
      <c r="I3670" s="13" t="s">
        <v>5289</v>
      </c>
      <c r="J3670" s="13" t="s">
        <v>5289</v>
      </c>
      <c r="K3670" s="13" t="s">
        <v>5289</v>
      </c>
      <c r="L3670" s="13" t="n">
        <v>3616303445553</v>
      </c>
      <c r="M3670" s="13"/>
      <c r="N3670" s="13" t="n">
        <v>3616303445553</v>
      </c>
      <c r="O3670" s="13"/>
      <c r="P3670" s="13" t="s">
        <v>5291</v>
      </c>
      <c r="Q3670" s="13" t="s">
        <v>5289</v>
      </c>
      <c r="R3670" s="13" t="s">
        <v>5292</v>
      </c>
      <c r="S3670" s="13" t="s">
        <v>5293</v>
      </c>
      <c r="T3670" s="13" t="s">
        <v>5</v>
      </c>
      <c r="U3670" s="13" t="s">
        <v>43</v>
      </c>
      <c r="V3670" s="13" t="n">
        <f aca="false">IF(COUNTIF($B$2:B3670,B3670)=1,1,0)</f>
        <v>0</v>
      </c>
      <c r="W3670" s="13" t="n">
        <f aca="false">IF(COUNTIFS($B$2:B3670,B3670,$T$2:T3670,T3670)=1,1,0)</f>
        <v>0</v>
      </c>
    </row>
    <row r="3671" customFormat="false" ht="15" hidden="false" customHeight="false" outlineLevel="0" collapsed="false">
      <c r="A3671" s="13" t="s">
        <v>4703</v>
      </c>
      <c r="B3671" s="13" t="s">
        <v>2208</v>
      </c>
      <c r="C3671" s="13" t="n">
        <v>250</v>
      </c>
      <c r="D3671" s="13" t="n">
        <v>2</v>
      </c>
      <c r="E3671" s="13" t="n">
        <v>126.255</v>
      </c>
      <c r="F3671" s="13" t="s">
        <v>5325</v>
      </c>
      <c r="G3671" s="13" t="s">
        <v>5289</v>
      </c>
      <c r="H3671" s="13" t="s">
        <v>5289</v>
      </c>
      <c r="I3671" s="13" t="s">
        <v>5289</v>
      </c>
      <c r="J3671" s="13" t="s">
        <v>5289</v>
      </c>
      <c r="K3671" s="13" t="s">
        <v>5289</v>
      </c>
      <c r="L3671" s="13" t="n">
        <v>3616304892783</v>
      </c>
      <c r="M3671" s="13"/>
      <c r="N3671" s="13" t="n">
        <v>3616304892783</v>
      </c>
      <c r="O3671" s="13"/>
      <c r="P3671" s="13" t="s">
        <v>5291</v>
      </c>
      <c r="Q3671" s="13" t="s">
        <v>5289</v>
      </c>
      <c r="R3671" s="13" t="s">
        <v>5292</v>
      </c>
      <c r="S3671" s="13" t="s">
        <v>5293</v>
      </c>
      <c r="T3671" s="13" t="s">
        <v>5</v>
      </c>
      <c r="U3671" s="13" t="s">
        <v>43</v>
      </c>
      <c r="V3671" s="13" t="n">
        <f aca="false">IF(COUNTIF($B$2:B3671,B3671)=1,1,0)</f>
        <v>0</v>
      </c>
      <c r="W3671" s="13" t="n">
        <f aca="false">IF(COUNTIFS($B$2:B3671,B3671,$T$2:T3671,T3671)=1,1,0)</f>
        <v>0</v>
      </c>
    </row>
    <row r="3672" customFormat="false" ht="15" hidden="false" customHeight="false" outlineLevel="0" collapsed="false">
      <c r="A3672" s="13" t="s">
        <v>4706</v>
      </c>
      <c r="B3672" s="13" t="s">
        <v>2155</v>
      </c>
      <c r="C3672" s="13" t="n">
        <v>250</v>
      </c>
      <c r="D3672" s="13" t="n">
        <v>2</v>
      </c>
      <c r="E3672" s="13" t="n">
        <v>125.85</v>
      </c>
      <c r="F3672" s="13" t="s">
        <v>5325</v>
      </c>
      <c r="G3672" s="13" t="s">
        <v>5292</v>
      </c>
      <c r="H3672" s="13" t="s">
        <v>5289</v>
      </c>
      <c r="I3672" s="13" t="s">
        <v>5289</v>
      </c>
      <c r="J3672" s="13" t="s">
        <v>5289</v>
      </c>
      <c r="K3672" s="13" t="s">
        <v>5292</v>
      </c>
      <c r="L3672" s="13" t="n">
        <v>5060173370008</v>
      </c>
      <c r="M3672" s="13"/>
      <c r="N3672" s="13" t="n">
        <v>5060173370008</v>
      </c>
      <c r="O3672" s="13"/>
      <c r="P3672" s="13" t="s">
        <v>5291</v>
      </c>
      <c r="Q3672" s="13" t="s">
        <v>5289</v>
      </c>
      <c r="R3672" s="13" t="s">
        <v>5292</v>
      </c>
      <c r="S3672" s="13" t="s">
        <v>5293</v>
      </c>
      <c r="T3672" s="13" t="s">
        <v>5</v>
      </c>
      <c r="U3672" s="13" t="s">
        <v>85</v>
      </c>
      <c r="V3672" s="13" t="n">
        <f aca="false">IF(COUNTIF($B$2:B3672,B3672)=1,1,0)</f>
        <v>0</v>
      </c>
      <c r="W3672" s="13" t="n">
        <f aca="false">IF(COUNTIFS($B$2:B3672,B3672,$T$2:T3672,T3672)=1,1,0)</f>
        <v>0</v>
      </c>
    </row>
    <row r="3673" customFormat="false" ht="15" hidden="false" customHeight="false" outlineLevel="0" collapsed="false">
      <c r="A3673" s="13" t="s">
        <v>1935</v>
      </c>
      <c r="B3673" s="13" t="s">
        <v>121</v>
      </c>
      <c r="C3673" s="13" t="n">
        <v>250</v>
      </c>
      <c r="D3673" s="13" t="n">
        <v>2</v>
      </c>
      <c r="E3673" s="13" t="n">
        <v>83.8933333333333</v>
      </c>
      <c r="F3673" s="13" t="s">
        <v>5325</v>
      </c>
      <c r="G3673" s="13" t="s">
        <v>5289</v>
      </c>
      <c r="H3673" s="13" t="s">
        <v>5292</v>
      </c>
      <c r="I3673" s="13" t="s">
        <v>5289</v>
      </c>
      <c r="J3673" s="13" t="s">
        <v>5289</v>
      </c>
      <c r="K3673" s="13" t="s">
        <v>5289</v>
      </c>
      <c r="L3673" s="13" t="n">
        <v>7896086992178</v>
      </c>
      <c r="M3673" s="13"/>
      <c r="N3673" s="13" t="n">
        <v>7896086992178</v>
      </c>
      <c r="O3673" s="13"/>
      <c r="P3673" s="13" t="s">
        <v>5291</v>
      </c>
      <c r="Q3673" s="13" t="s">
        <v>5289</v>
      </c>
      <c r="R3673" s="13" t="s">
        <v>5292</v>
      </c>
      <c r="S3673" s="13" t="s">
        <v>5293</v>
      </c>
      <c r="T3673" s="13" t="s">
        <v>5</v>
      </c>
      <c r="U3673" s="13" t="s">
        <v>183</v>
      </c>
      <c r="V3673" s="13" t="n">
        <f aca="false">IF(COUNTIF($B$2:B3673,B3673)=1,1,0)</f>
        <v>0</v>
      </c>
      <c r="W3673" s="13" t="n">
        <f aca="false">IF(COUNTIFS($B$2:B3673,B3673,$T$2:T3673,T3673)=1,1,0)</f>
        <v>0</v>
      </c>
    </row>
    <row r="3674" customFormat="false" ht="15" hidden="false" customHeight="false" outlineLevel="0" collapsed="false">
      <c r="A3674" s="13" t="s">
        <v>4688</v>
      </c>
      <c r="B3674" s="13" t="s">
        <v>2103</v>
      </c>
      <c r="C3674" s="13" t="n">
        <v>250</v>
      </c>
      <c r="D3674" s="13" t="n">
        <v>2</v>
      </c>
      <c r="E3674" s="13" t="n">
        <v>62.85</v>
      </c>
      <c r="F3674" s="13" t="s">
        <v>5325</v>
      </c>
      <c r="G3674" s="13" t="s">
        <v>5289</v>
      </c>
      <c r="H3674" s="13" t="s">
        <v>5289</v>
      </c>
      <c r="I3674" s="13" t="s">
        <v>5292</v>
      </c>
      <c r="J3674" s="13" t="s">
        <v>5289</v>
      </c>
      <c r="K3674" s="13" t="s">
        <v>5292</v>
      </c>
      <c r="L3674" s="13" t="n">
        <v>309973978010</v>
      </c>
      <c r="M3674" s="13"/>
      <c r="N3674" s="13" t="n">
        <v>309973978010</v>
      </c>
      <c r="O3674" s="13"/>
      <c r="P3674" s="13" t="s">
        <v>5291</v>
      </c>
      <c r="Q3674" s="13" t="s">
        <v>5289</v>
      </c>
      <c r="R3674" s="13" t="s">
        <v>5292</v>
      </c>
      <c r="S3674" s="13" t="s">
        <v>5293</v>
      </c>
      <c r="T3674" s="13" t="s">
        <v>5</v>
      </c>
      <c r="U3674" s="13" t="s">
        <v>85</v>
      </c>
      <c r="V3674" s="13" t="n">
        <f aca="false">IF(COUNTIF($B$2:B3674,B3674)=1,1,0)</f>
        <v>0</v>
      </c>
      <c r="W3674" s="13" t="n">
        <f aca="false">IF(COUNTIFS($B$2:B3674,B3674,$T$2:T3674,T3674)=1,1,0)</f>
        <v>0</v>
      </c>
    </row>
    <row r="3675" customFormat="false" ht="15" hidden="false" customHeight="false" outlineLevel="0" collapsed="false">
      <c r="A3675" s="13" t="s">
        <v>4822</v>
      </c>
      <c r="B3675" s="13" t="s">
        <v>2283</v>
      </c>
      <c r="C3675" s="13" t="n">
        <v>250</v>
      </c>
      <c r="D3675" s="13" t="n">
        <v>5</v>
      </c>
      <c r="E3675" s="13" t="n">
        <v>35.8242857142857</v>
      </c>
      <c r="F3675" s="13" t="s">
        <v>5325</v>
      </c>
      <c r="G3675" s="13" t="s">
        <v>5292</v>
      </c>
      <c r="H3675" s="13" t="s">
        <v>5289</v>
      </c>
      <c r="I3675" s="13" t="s">
        <v>5292</v>
      </c>
      <c r="J3675" s="13" t="s">
        <v>5289</v>
      </c>
      <c r="K3675" s="13" t="s">
        <v>5292</v>
      </c>
      <c r="L3675" s="13" t="n">
        <v>4064666946610</v>
      </c>
      <c r="M3675" s="13"/>
      <c r="N3675" s="13" t="n">
        <v>4064666946610</v>
      </c>
      <c r="O3675" s="13"/>
      <c r="P3675" s="13" t="s">
        <v>5291</v>
      </c>
      <c r="Q3675" s="13" t="s">
        <v>5289</v>
      </c>
      <c r="R3675" s="13" t="s">
        <v>5292</v>
      </c>
      <c r="S3675" s="13" t="s">
        <v>5293</v>
      </c>
      <c r="T3675" s="13" t="s">
        <v>5</v>
      </c>
      <c r="U3675" s="13" t="s">
        <v>183</v>
      </c>
      <c r="V3675" s="13" t="n">
        <f aca="false">IF(COUNTIF($B$2:B3675,B3675)=1,1,0)</f>
        <v>1</v>
      </c>
      <c r="W3675" s="13" t="n">
        <f aca="false">IF(COUNTIFS($B$2:B3675,B3675,$T$2:T3675,T3675)=1,1,0)</f>
        <v>1</v>
      </c>
    </row>
    <row r="3676" customFormat="false" ht="15" hidden="false" customHeight="false" outlineLevel="0" collapsed="false">
      <c r="A3676" s="13" t="s">
        <v>6406</v>
      </c>
      <c r="B3676" s="13" t="s">
        <v>2215</v>
      </c>
      <c r="C3676" s="13" t="n">
        <v>250</v>
      </c>
      <c r="D3676" s="13" t="n">
        <v>1</v>
      </c>
      <c r="E3676" s="13" t="n">
        <v>249.85</v>
      </c>
      <c r="F3676" s="13" t="s">
        <v>5325</v>
      </c>
      <c r="G3676" s="13" t="s">
        <v>5292</v>
      </c>
      <c r="H3676" s="13" t="s">
        <v>5289</v>
      </c>
      <c r="I3676" s="13" t="s">
        <v>5289</v>
      </c>
      <c r="J3676" s="13" t="s">
        <v>5289</v>
      </c>
      <c r="K3676" s="13" t="s">
        <v>5292</v>
      </c>
      <c r="L3676" s="13"/>
      <c r="M3676" s="13"/>
      <c r="N3676" s="13" t="n">
        <v>7908615060859</v>
      </c>
      <c r="O3676" s="13"/>
      <c r="P3676" s="13" t="s">
        <v>5297</v>
      </c>
      <c r="Q3676" s="13" t="s">
        <v>5289</v>
      </c>
      <c r="R3676" s="13" t="s">
        <v>5292</v>
      </c>
      <c r="S3676" s="13" t="s">
        <v>5293</v>
      </c>
      <c r="T3676" s="13" t="s">
        <v>5</v>
      </c>
      <c r="U3676" s="13" t="s">
        <v>85</v>
      </c>
      <c r="V3676" s="13" t="n">
        <f aca="false">IF(COUNTIF($B$2:B3676,B3676)=1,1,0)</f>
        <v>0</v>
      </c>
      <c r="W3676" s="13" t="n">
        <f aca="false">IF(COUNTIFS($B$2:B3676,B3676,$T$2:T3676,T3676)=1,1,0)</f>
        <v>0</v>
      </c>
    </row>
    <row r="3677" customFormat="false" ht="15" hidden="false" customHeight="false" outlineLevel="0" collapsed="false">
      <c r="A3677" s="13" t="s">
        <v>1944</v>
      </c>
      <c r="B3677" s="13" t="s">
        <v>121</v>
      </c>
      <c r="C3677" s="13" t="n">
        <v>250</v>
      </c>
      <c r="D3677" s="13" t="n">
        <v>2</v>
      </c>
      <c r="E3677" s="13" t="n">
        <v>124.78</v>
      </c>
      <c r="F3677" s="13" t="s">
        <v>5325</v>
      </c>
      <c r="G3677" s="13" t="s">
        <v>5292</v>
      </c>
      <c r="H3677" s="13" t="s">
        <v>5292</v>
      </c>
      <c r="I3677" s="13" t="s">
        <v>5289</v>
      </c>
      <c r="J3677" s="13" t="s">
        <v>5289</v>
      </c>
      <c r="K3677" s="13" t="s">
        <v>5292</v>
      </c>
      <c r="L3677" s="13"/>
      <c r="M3677" s="13"/>
      <c r="N3677" s="13" t="n">
        <v>7896086999658</v>
      </c>
      <c r="O3677" s="13"/>
      <c r="P3677" s="13" t="s">
        <v>5291</v>
      </c>
      <c r="Q3677" s="13" t="s">
        <v>5289</v>
      </c>
      <c r="R3677" s="13" t="s">
        <v>5292</v>
      </c>
      <c r="S3677" s="13" t="s">
        <v>5293</v>
      </c>
      <c r="T3677" s="13" t="s">
        <v>5</v>
      </c>
      <c r="U3677" s="13" t="s">
        <v>43</v>
      </c>
      <c r="V3677" s="13" t="n">
        <f aca="false">IF(COUNTIF($B$2:B3677,B3677)=1,1,0)</f>
        <v>0</v>
      </c>
      <c r="W3677" s="13" t="n">
        <f aca="false">IF(COUNTIFS($B$2:B3677,B3677,$T$2:T3677,T3677)=1,1,0)</f>
        <v>0</v>
      </c>
    </row>
    <row r="3678" customFormat="false" ht="15" hidden="false" customHeight="false" outlineLevel="0" collapsed="false">
      <c r="A3678" s="13" t="s">
        <v>1939</v>
      </c>
      <c r="B3678" s="13" t="s">
        <v>54</v>
      </c>
      <c r="C3678" s="13" t="n">
        <v>250</v>
      </c>
      <c r="D3678" s="13" t="n">
        <v>2</v>
      </c>
      <c r="E3678" s="13" t="n">
        <v>123.85</v>
      </c>
      <c r="F3678" s="13" t="s">
        <v>5325</v>
      </c>
      <c r="G3678" s="13" t="s">
        <v>5289</v>
      </c>
      <c r="H3678" s="13" t="s">
        <v>5292</v>
      </c>
      <c r="I3678" s="13" t="s">
        <v>5289</v>
      </c>
      <c r="J3678" s="13" t="s">
        <v>5289</v>
      </c>
      <c r="K3678" s="13" t="s">
        <v>5292</v>
      </c>
      <c r="L3678" s="13" t="n">
        <v>729238722026</v>
      </c>
      <c r="M3678" s="13"/>
      <c r="N3678" s="13" t="n">
        <v>729238722026</v>
      </c>
      <c r="O3678" s="13"/>
      <c r="P3678" s="13" t="s">
        <v>5291</v>
      </c>
      <c r="Q3678" s="13" t="s">
        <v>5289</v>
      </c>
      <c r="R3678" s="13" t="s">
        <v>5292</v>
      </c>
      <c r="S3678" s="13" t="s">
        <v>5293</v>
      </c>
      <c r="T3678" s="13" t="s">
        <v>5</v>
      </c>
      <c r="U3678" s="13" t="s">
        <v>43</v>
      </c>
      <c r="V3678" s="13" t="n">
        <f aca="false">IF(COUNTIF($B$2:B3678,B3678)=1,1,0)</f>
        <v>0</v>
      </c>
      <c r="W3678" s="13" t="n">
        <f aca="false">IF(COUNTIFS($B$2:B3678,B3678,$T$2:T3678,T3678)=1,1,0)</f>
        <v>0</v>
      </c>
    </row>
    <row r="3679" customFormat="false" ht="15" hidden="false" customHeight="false" outlineLevel="0" collapsed="false">
      <c r="A3679" s="13" t="s">
        <v>1938</v>
      </c>
      <c r="B3679" s="13" t="s">
        <v>153</v>
      </c>
      <c r="C3679" s="13" t="n">
        <v>250</v>
      </c>
      <c r="D3679" s="13" t="n">
        <v>1</v>
      </c>
      <c r="E3679" s="13" t="n">
        <v>246.86</v>
      </c>
      <c r="F3679" s="13" t="s">
        <v>5288</v>
      </c>
      <c r="G3679" s="13" t="s">
        <v>5289</v>
      </c>
      <c r="H3679" s="13" t="s">
        <v>5292</v>
      </c>
      <c r="I3679" s="13" t="s">
        <v>5289</v>
      </c>
      <c r="J3679" s="13" t="s">
        <v>5289</v>
      </c>
      <c r="K3679" s="13" t="s">
        <v>5289</v>
      </c>
      <c r="L3679" s="13" t="n">
        <v>8018365260757</v>
      </c>
      <c r="M3679" s="13"/>
      <c r="N3679" s="13" t="n">
        <v>8018365260757</v>
      </c>
      <c r="O3679" s="13"/>
      <c r="P3679" s="13" t="s">
        <v>5291</v>
      </c>
      <c r="Q3679" s="13" t="s">
        <v>5289</v>
      </c>
      <c r="R3679" s="13" t="s">
        <v>5292</v>
      </c>
      <c r="S3679" s="13" t="s">
        <v>5293</v>
      </c>
      <c r="T3679" s="13" t="s">
        <v>5</v>
      </c>
      <c r="U3679" s="13" t="s">
        <v>43</v>
      </c>
      <c r="V3679" s="13" t="n">
        <f aca="false">IF(COUNTIF($B$2:B3679,B3679)=1,1,0)</f>
        <v>0</v>
      </c>
      <c r="W3679" s="13" t="n">
        <f aca="false">IF(COUNTIFS($B$2:B3679,B3679,$T$2:T3679,T3679)=1,1,0)</f>
        <v>0</v>
      </c>
    </row>
    <row r="3680" customFormat="false" ht="15" hidden="false" customHeight="false" outlineLevel="0" collapsed="false">
      <c r="A3680" s="13" t="s">
        <v>4882</v>
      </c>
      <c r="B3680" s="13" t="s">
        <v>2209</v>
      </c>
      <c r="C3680" s="13" t="n">
        <v>250</v>
      </c>
      <c r="D3680" s="13" t="n">
        <v>1</v>
      </c>
      <c r="E3680" s="13" t="n">
        <v>245.52</v>
      </c>
      <c r="F3680" s="13" t="s">
        <v>5325</v>
      </c>
      <c r="G3680" s="13" t="s">
        <v>5289</v>
      </c>
      <c r="H3680" s="13" t="s">
        <v>5292</v>
      </c>
      <c r="I3680" s="13" t="s">
        <v>5289</v>
      </c>
      <c r="J3680" s="13" t="s">
        <v>5289</v>
      </c>
      <c r="K3680" s="13" t="s">
        <v>5289</v>
      </c>
      <c r="L3680" s="13" t="n">
        <v>8411061129821</v>
      </c>
      <c r="M3680" s="13"/>
      <c r="N3680" s="13" t="n">
        <v>8411061129821</v>
      </c>
      <c r="O3680" s="13"/>
      <c r="P3680" s="13" t="s">
        <v>5291</v>
      </c>
      <c r="Q3680" s="13" t="s">
        <v>5289</v>
      </c>
      <c r="R3680" s="13" t="s">
        <v>5292</v>
      </c>
      <c r="S3680" s="13" t="s">
        <v>5293</v>
      </c>
      <c r="T3680" s="13" t="s">
        <v>5</v>
      </c>
      <c r="U3680" s="13" t="s">
        <v>43</v>
      </c>
      <c r="V3680" s="13" t="n">
        <f aca="false">IF(COUNTIF($B$2:B3680,B3680)=1,1,0)</f>
        <v>0</v>
      </c>
      <c r="W3680" s="13" t="n">
        <f aca="false">IF(COUNTIFS($B$2:B3680,B3680,$T$2:T3680,T3680)=1,1,0)</f>
        <v>0</v>
      </c>
    </row>
    <row r="3681" customFormat="false" ht="15" hidden="false" customHeight="false" outlineLevel="0" collapsed="false">
      <c r="A3681" s="13" t="s">
        <v>1102</v>
      </c>
      <c r="B3681" s="13" t="s">
        <v>103</v>
      </c>
      <c r="C3681" s="13" t="n">
        <v>240</v>
      </c>
      <c r="D3681" s="13" t="n">
        <v>1</v>
      </c>
      <c r="E3681" s="13" t="n">
        <v>244.32</v>
      </c>
      <c r="F3681" s="13" t="s">
        <v>5325</v>
      </c>
      <c r="G3681" s="13" t="s">
        <v>5289</v>
      </c>
      <c r="H3681" s="13" t="s">
        <v>5289</v>
      </c>
      <c r="I3681" s="13" t="s">
        <v>5289</v>
      </c>
      <c r="J3681" s="13" t="s">
        <v>5289</v>
      </c>
      <c r="K3681" s="13" t="s">
        <v>5289</v>
      </c>
      <c r="L3681" s="13"/>
      <c r="M3681" s="13"/>
      <c r="N3681" s="13" t="n">
        <v>8411061109687</v>
      </c>
      <c r="O3681" s="13"/>
      <c r="P3681" s="13" t="s">
        <v>5291</v>
      </c>
      <c r="Q3681" s="13" t="s">
        <v>5289</v>
      </c>
      <c r="R3681" s="13" t="s">
        <v>5292</v>
      </c>
      <c r="S3681" s="13" t="s">
        <v>5293</v>
      </c>
      <c r="T3681" s="13" t="s">
        <v>5</v>
      </c>
      <c r="U3681" s="13" t="s">
        <v>43</v>
      </c>
      <c r="V3681" s="13" t="n">
        <f aca="false">IF(COUNTIF($B$2:B3681,B3681)=1,1,0)</f>
        <v>0</v>
      </c>
      <c r="W3681" s="13" t="n">
        <f aca="false">IF(COUNTIFS($B$2:B3681,B3681,$T$2:T3681,T3681)=1,1,0)</f>
        <v>0</v>
      </c>
    </row>
    <row r="3682" customFormat="false" ht="15" hidden="false" customHeight="false" outlineLevel="0" collapsed="false">
      <c r="A3682" s="13" t="s">
        <v>1947</v>
      </c>
      <c r="B3682" s="13" t="s">
        <v>286</v>
      </c>
      <c r="C3682" s="13" t="n">
        <v>240</v>
      </c>
      <c r="D3682" s="13" t="n">
        <v>1</v>
      </c>
      <c r="E3682" s="13" t="n">
        <v>243.19</v>
      </c>
      <c r="F3682" s="13" t="s">
        <v>5325</v>
      </c>
      <c r="G3682" s="13" t="s">
        <v>5292</v>
      </c>
      <c r="H3682" s="13" t="s">
        <v>5289</v>
      </c>
      <c r="I3682" s="13" t="s">
        <v>5289</v>
      </c>
      <c r="J3682" s="13" t="s">
        <v>5289</v>
      </c>
      <c r="K3682" s="13" t="s">
        <v>5289</v>
      </c>
      <c r="L3682" s="13" t="n">
        <v>6085010090030</v>
      </c>
      <c r="M3682" s="13"/>
      <c r="N3682" s="13" t="n">
        <v>6085010090030</v>
      </c>
      <c r="O3682" s="13"/>
      <c r="P3682" s="13" t="s">
        <v>5297</v>
      </c>
      <c r="Q3682" s="13" t="s">
        <v>5289</v>
      </c>
      <c r="R3682" s="13" t="s">
        <v>5292</v>
      </c>
      <c r="S3682" s="13" t="s">
        <v>5293</v>
      </c>
      <c r="T3682" s="13" t="s">
        <v>5</v>
      </c>
      <c r="U3682" s="13" t="s">
        <v>43</v>
      </c>
      <c r="V3682" s="13" t="n">
        <f aca="false">IF(COUNTIF($B$2:B3682,B3682)=1,1,0)</f>
        <v>0</v>
      </c>
      <c r="W3682" s="13" t="n">
        <f aca="false">IF(COUNTIFS($B$2:B3682,B3682,$T$2:T3682,T3682)=1,1,0)</f>
        <v>0</v>
      </c>
    </row>
    <row r="3683" customFormat="false" ht="15" hidden="false" customHeight="false" outlineLevel="0" collapsed="false">
      <c r="A3683" s="13" t="s">
        <v>1950</v>
      </c>
      <c r="B3683" s="13" t="s">
        <v>105</v>
      </c>
      <c r="C3683" s="13" t="n">
        <v>240</v>
      </c>
      <c r="D3683" s="13" t="n">
        <v>1</v>
      </c>
      <c r="E3683" s="13" t="n">
        <v>243</v>
      </c>
      <c r="F3683" s="13" t="s">
        <v>5288</v>
      </c>
      <c r="G3683" s="13" t="s">
        <v>5292</v>
      </c>
      <c r="H3683" s="13" t="s">
        <v>5289</v>
      </c>
      <c r="I3683" s="13" t="s">
        <v>5289</v>
      </c>
      <c r="J3683" s="13" t="s">
        <v>5289</v>
      </c>
      <c r="K3683" s="13" t="s">
        <v>5289</v>
      </c>
      <c r="L3683" s="13"/>
      <c r="M3683" s="13"/>
      <c r="N3683" s="13" t="n">
        <v>3616304247743</v>
      </c>
      <c r="O3683" s="13"/>
      <c r="P3683" s="13" t="s">
        <v>5297</v>
      </c>
      <c r="Q3683" s="13" t="s">
        <v>5289</v>
      </c>
      <c r="R3683" s="13" t="s">
        <v>5292</v>
      </c>
      <c r="S3683" s="13" t="s">
        <v>5293</v>
      </c>
      <c r="T3683" s="13" t="s">
        <v>5</v>
      </c>
      <c r="U3683" s="13" t="s">
        <v>43</v>
      </c>
      <c r="V3683" s="13" t="n">
        <f aca="false">IF(COUNTIF($B$2:B3683,B3683)=1,1,0)</f>
        <v>0</v>
      </c>
      <c r="W3683" s="13" t="n">
        <f aca="false">IF(COUNTIFS($B$2:B3683,B3683,$T$2:T3683,T3683)=1,1,0)</f>
        <v>0</v>
      </c>
    </row>
    <row r="3684" customFormat="false" ht="15" hidden="false" customHeight="false" outlineLevel="0" collapsed="false">
      <c r="A3684" s="13" t="s">
        <v>6398</v>
      </c>
      <c r="B3684" s="13" t="s">
        <v>2103</v>
      </c>
      <c r="C3684" s="13" t="n">
        <v>240</v>
      </c>
      <c r="D3684" s="13" t="n">
        <v>2</v>
      </c>
      <c r="E3684" s="13" t="n">
        <v>120.85</v>
      </c>
      <c r="F3684" s="13" t="s">
        <v>5325</v>
      </c>
      <c r="G3684" s="13" t="s">
        <v>5289</v>
      </c>
      <c r="H3684" s="13" t="s">
        <v>5292</v>
      </c>
      <c r="I3684" s="13" t="s">
        <v>5289</v>
      </c>
      <c r="J3684" s="13" t="s">
        <v>5289</v>
      </c>
      <c r="K3684" s="13" t="s">
        <v>5292</v>
      </c>
      <c r="L3684" s="13" t="n">
        <v>309974700054</v>
      </c>
      <c r="M3684" s="13"/>
      <c r="N3684" s="13" t="n">
        <v>309974700054</v>
      </c>
      <c r="O3684" s="13"/>
      <c r="P3684" s="13" t="s">
        <v>5291</v>
      </c>
      <c r="Q3684" s="13" t="s">
        <v>5289</v>
      </c>
      <c r="R3684" s="13" t="s">
        <v>5292</v>
      </c>
      <c r="S3684" s="13" t="s">
        <v>5293</v>
      </c>
      <c r="T3684" s="13" t="s">
        <v>5</v>
      </c>
      <c r="U3684" s="13" t="s">
        <v>85</v>
      </c>
      <c r="V3684" s="13" t="n">
        <f aca="false">IF(COUNTIF($B$2:B3684,B3684)=1,1,0)</f>
        <v>0</v>
      </c>
      <c r="W3684" s="13" t="n">
        <f aca="false">IF(COUNTIFS($B$2:B3684,B3684,$T$2:T3684,T3684)=1,1,0)</f>
        <v>0</v>
      </c>
    </row>
    <row r="3685" customFormat="false" ht="15" hidden="false" customHeight="false" outlineLevel="0" collapsed="false">
      <c r="A3685" s="13" t="s">
        <v>4885</v>
      </c>
      <c r="B3685" s="13" t="s">
        <v>2215</v>
      </c>
      <c r="C3685" s="13" t="n">
        <v>240</v>
      </c>
      <c r="D3685" s="13" t="n">
        <v>1</v>
      </c>
      <c r="E3685" s="13" t="n">
        <v>241.11</v>
      </c>
      <c r="F3685" s="13" t="s">
        <v>5325</v>
      </c>
      <c r="G3685" s="13" t="s">
        <v>5292</v>
      </c>
      <c r="H3685" s="13" t="s">
        <v>5292</v>
      </c>
      <c r="I3685" s="13" t="s">
        <v>5289</v>
      </c>
      <c r="J3685" s="13" t="s">
        <v>5289</v>
      </c>
      <c r="K3685" s="13" t="s">
        <v>5289</v>
      </c>
      <c r="L3685" s="13"/>
      <c r="M3685" s="13"/>
      <c r="N3685" s="13" t="n">
        <v>7899706203579</v>
      </c>
      <c r="O3685" s="13"/>
      <c r="P3685" s="13" t="s">
        <v>5297</v>
      </c>
      <c r="Q3685" s="13" t="s">
        <v>5289</v>
      </c>
      <c r="R3685" s="13" t="s">
        <v>5292</v>
      </c>
      <c r="S3685" s="13" t="s">
        <v>5293</v>
      </c>
      <c r="T3685" s="13" t="s">
        <v>5</v>
      </c>
      <c r="U3685" s="13" t="s">
        <v>85</v>
      </c>
      <c r="V3685" s="13" t="n">
        <f aca="false">IF(COUNTIF($B$2:B3685,B3685)=1,1,0)</f>
        <v>0</v>
      </c>
      <c r="W3685" s="13" t="n">
        <f aca="false">IF(COUNTIFS($B$2:B3685,B3685,$T$2:T3685,T3685)=1,1,0)</f>
        <v>0</v>
      </c>
    </row>
    <row r="3686" customFormat="false" ht="15" hidden="false" customHeight="false" outlineLevel="0" collapsed="false">
      <c r="A3686" s="13" t="s">
        <v>4887</v>
      </c>
      <c r="B3686" s="13" t="s">
        <v>2215</v>
      </c>
      <c r="C3686" s="13" t="n">
        <v>240</v>
      </c>
      <c r="D3686" s="13" t="n">
        <v>1</v>
      </c>
      <c r="E3686" s="13" t="n">
        <v>240.73</v>
      </c>
      <c r="F3686" s="13" t="s">
        <v>5325</v>
      </c>
      <c r="G3686" s="13" t="s">
        <v>5292</v>
      </c>
      <c r="H3686" s="13" t="s">
        <v>5289</v>
      </c>
      <c r="I3686" s="13" t="s">
        <v>5289</v>
      </c>
      <c r="J3686" s="13" t="s">
        <v>5289</v>
      </c>
      <c r="K3686" s="13" t="s">
        <v>5289</v>
      </c>
      <c r="L3686" s="13" t="n">
        <v>3474637217884</v>
      </c>
      <c r="M3686" s="13"/>
      <c r="N3686" s="13" t="n">
        <v>3474637217884</v>
      </c>
      <c r="O3686" s="13"/>
      <c r="P3686" s="13" t="s">
        <v>5291</v>
      </c>
      <c r="Q3686" s="13" t="s">
        <v>5289</v>
      </c>
      <c r="R3686" s="13" t="s">
        <v>5292</v>
      </c>
      <c r="S3686" s="13" t="s">
        <v>5293</v>
      </c>
      <c r="T3686" s="13" t="s">
        <v>5</v>
      </c>
      <c r="U3686" s="13" t="s">
        <v>85</v>
      </c>
      <c r="V3686" s="13" t="n">
        <f aca="false">IF(COUNTIF($B$2:B3686,B3686)=1,1,0)</f>
        <v>0</v>
      </c>
      <c r="W3686" s="13" t="n">
        <f aca="false">IF(COUNTIFS($B$2:B3686,B3686,$T$2:T3686,T3686)=1,1,0)</f>
        <v>0</v>
      </c>
    </row>
    <row r="3687" customFormat="false" ht="15" hidden="false" customHeight="false" outlineLevel="0" collapsed="false">
      <c r="A3687" s="13" t="s">
        <v>1948</v>
      </c>
      <c r="B3687" s="13" t="s">
        <v>490</v>
      </c>
      <c r="C3687" s="13" t="n">
        <v>240</v>
      </c>
      <c r="D3687" s="13" t="n">
        <v>1</v>
      </c>
      <c r="E3687" s="13" t="n">
        <v>239.9</v>
      </c>
      <c r="F3687" s="13" t="s">
        <v>5325</v>
      </c>
      <c r="G3687" s="13" t="s">
        <v>5289</v>
      </c>
      <c r="H3687" s="13" t="s">
        <v>5289</v>
      </c>
      <c r="I3687" s="13" t="s">
        <v>5289</v>
      </c>
      <c r="J3687" s="13" t="s">
        <v>5289</v>
      </c>
      <c r="K3687" s="13" t="s">
        <v>5289</v>
      </c>
      <c r="L3687" s="13" t="n">
        <v>8011003991594</v>
      </c>
      <c r="M3687" s="13"/>
      <c r="N3687" s="13" t="n">
        <v>8011003991594</v>
      </c>
      <c r="O3687" s="13"/>
      <c r="P3687" s="13" t="s">
        <v>5291</v>
      </c>
      <c r="Q3687" s="13" t="s">
        <v>5289</v>
      </c>
      <c r="R3687" s="13" t="s">
        <v>5292</v>
      </c>
      <c r="S3687" s="13" t="s">
        <v>5293</v>
      </c>
      <c r="T3687" s="13" t="s">
        <v>5</v>
      </c>
      <c r="U3687" s="13" t="s">
        <v>43</v>
      </c>
      <c r="V3687" s="13" t="n">
        <f aca="false">IF(COUNTIF($B$2:B3687,B3687)=1,1,0)</f>
        <v>0</v>
      </c>
      <c r="W3687" s="13" t="n">
        <f aca="false">IF(COUNTIFS($B$2:B3687,B3687,$T$2:T3687,T3687)=1,1,0)</f>
        <v>0</v>
      </c>
    </row>
    <row r="3688" customFormat="false" ht="15" hidden="false" customHeight="false" outlineLevel="0" collapsed="false">
      <c r="A3688" s="13" t="s">
        <v>4897</v>
      </c>
      <c r="B3688" s="13" t="s">
        <v>2286</v>
      </c>
      <c r="C3688" s="13" t="n">
        <v>240</v>
      </c>
      <c r="D3688" s="13" t="n">
        <v>1</v>
      </c>
      <c r="E3688" s="13" t="n">
        <v>239</v>
      </c>
      <c r="F3688" s="13" t="s">
        <v>5325</v>
      </c>
      <c r="G3688" s="13" t="s">
        <v>5292</v>
      </c>
      <c r="H3688" s="13" t="s">
        <v>5292</v>
      </c>
      <c r="I3688" s="13" t="s">
        <v>5289</v>
      </c>
      <c r="J3688" s="13" t="s">
        <v>5289</v>
      </c>
      <c r="K3688" s="13" t="s">
        <v>5289</v>
      </c>
      <c r="L3688" s="13" t="n">
        <v>8800248701095</v>
      </c>
      <c r="M3688" s="13"/>
      <c r="N3688" s="13" t="n">
        <v>8800248701095</v>
      </c>
      <c r="O3688" s="13"/>
      <c r="P3688" s="13" t="s">
        <v>5291</v>
      </c>
      <c r="Q3688" s="13" t="s">
        <v>5289</v>
      </c>
      <c r="R3688" s="13" t="s">
        <v>5292</v>
      </c>
      <c r="S3688" s="13" t="s">
        <v>5293</v>
      </c>
      <c r="T3688" s="13" t="s">
        <v>5</v>
      </c>
      <c r="U3688" s="13" t="s">
        <v>85</v>
      </c>
      <c r="V3688" s="13" t="n">
        <f aca="false">IF(COUNTIF($B$2:B3688,B3688)=1,1,0)</f>
        <v>1</v>
      </c>
      <c r="W3688" s="13" t="n">
        <f aca="false">IF(COUNTIFS($B$2:B3688,B3688,$T$2:T3688,T3688)=1,1,0)</f>
        <v>1</v>
      </c>
    </row>
    <row r="3689" customFormat="false" ht="15" hidden="false" customHeight="false" outlineLevel="0" collapsed="false">
      <c r="A3689" s="13" t="s">
        <v>777</v>
      </c>
      <c r="B3689" s="13" t="s">
        <v>50</v>
      </c>
      <c r="C3689" s="13" t="n">
        <v>240</v>
      </c>
      <c r="D3689" s="13" t="n">
        <v>1</v>
      </c>
      <c r="E3689" s="13" t="n">
        <v>238.85</v>
      </c>
      <c r="F3689" s="13" t="s">
        <v>5288</v>
      </c>
      <c r="G3689" s="13" t="s">
        <v>5292</v>
      </c>
      <c r="H3689" s="13" t="s">
        <v>5289</v>
      </c>
      <c r="I3689" s="13" t="s">
        <v>5289</v>
      </c>
      <c r="J3689" s="13" t="s">
        <v>5289</v>
      </c>
      <c r="K3689" s="13" t="s">
        <v>5292</v>
      </c>
      <c r="L3689" s="13" t="n">
        <v>3349668530502</v>
      </c>
      <c r="M3689" s="13"/>
      <c r="N3689" s="13" t="n">
        <v>3349668530502</v>
      </c>
      <c r="O3689" s="13"/>
      <c r="P3689" s="13" t="s">
        <v>5297</v>
      </c>
      <c r="Q3689" s="13" t="s">
        <v>5289</v>
      </c>
      <c r="R3689" s="13" t="s">
        <v>5292</v>
      </c>
      <c r="S3689" s="13" t="s">
        <v>5293</v>
      </c>
      <c r="T3689" s="13" t="s">
        <v>5</v>
      </c>
      <c r="U3689" s="13" t="s">
        <v>43</v>
      </c>
      <c r="V3689" s="13" t="n">
        <f aca="false">IF(COUNTIF($B$2:B3689,B3689)=1,1,0)</f>
        <v>0</v>
      </c>
      <c r="W3689" s="13" t="n">
        <f aca="false">IF(COUNTIFS($B$2:B3689,B3689,$T$2:T3689,T3689)=1,1,0)</f>
        <v>0</v>
      </c>
    </row>
    <row r="3690" customFormat="false" ht="15" hidden="false" customHeight="false" outlineLevel="0" collapsed="false">
      <c r="A3690" s="13" t="s">
        <v>1267</v>
      </c>
      <c r="B3690" s="13" t="s">
        <v>50</v>
      </c>
      <c r="C3690" s="13" t="n">
        <v>240</v>
      </c>
      <c r="D3690" s="13" t="n">
        <v>1</v>
      </c>
      <c r="E3690" s="13" t="n">
        <v>238.85</v>
      </c>
      <c r="F3690" s="13" t="s">
        <v>5288</v>
      </c>
      <c r="G3690" s="13" t="s">
        <v>5292</v>
      </c>
      <c r="H3690" s="13" t="s">
        <v>5292</v>
      </c>
      <c r="I3690" s="13" t="s">
        <v>5289</v>
      </c>
      <c r="J3690" s="13" t="s">
        <v>5289</v>
      </c>
      <c r="K3690" s="13" t="s">
        <v>5292</v>
      </c>
      <c r="L3690" s="13" t="n">
        <v>3349668530564</v>
      </c>
      <c r="M3690" s="13"/>
      <c r="N3690" s="13" t="n">
        <v>3349668530564</v>
      </c>
      <c r="O3690" s="13"/>
      <c r="P3690" s="13" t="s">
        <v>5291</v>
      </c>
      <c r="Q3690" s="13" t="s">
        <v>5289</v>
      </c>
      <c r="R3690" s="13" t="s">
        <v>5292</v>
      </c>
      <c r="S3690" s="13" t="s">
        <v>5293</v>
      </c>
      <c r="T3690" s="13" t="s">
        <v>5</v>
      </c>
      <c r="U3690" s="13" t="s">
        <v>43</v>
      </c>
      <c r="V3690" s="13" t="n">
        <f aca="false">IF(COUNTIF($B$2:B3690,B3690)=1,1,0)</f>
        <v>0</v>
      </c>
      <c r="W3690" s="13" t="n">
        <f aca="false">IF(COUNTIFS($B$2:B3690,B3690,$T$2:T3690,T3690)=1,1,0)</f>
        <v>0</v>
      </c>
    </row>
    <row r="3691" customFormat="false" ht="15" hidden="false" customHeight="false" outlineLevel="0" collapsed="false">
      <c r="A3691" s="13" t="s">
        <v>6407</v>
      </c>
      <c r="B3691" s="13" t="s">
        <v>2154</v>
      </c>
      <c r="C3691" s="13" t="n">
        <v>240</v>
      </c>
      <c r="D3691" s="13" t="n">
        <v>1</v>
      </c>
      <c r="E3691" s="13" t="n">
        <v>238.3</v>
      </c>
      <c r="F3691" s="13" t="s">
        <v>5325</v>
      </c>
      <c r="G3691" s="13" t="s">
        <v>5289</v>
      </c>
      <c r="H3691" s="13" t="s">
        <v>5289</v>
      </c>
      <c r="I3691" s="13" t="s">
        <v>5289</v>
      </c>
      <c r="J3691" s="13" t="s">
        <v>5289</v>
      </c>
      <c r="K3691" s="13" t="s">
        <v>5289</v>
      </c>
      <c r="L3691" s="13" t="n">
        <v>3360370512044</v>
      </c>
      <c r="M3691" s="13"/>
      <c r="N3691" s="13" t="n">
        <v>3.36037051204484E+025</v>
      </c>
      <c r="O3691" s="13"/>
      <c r="P3691" s="13" t="s">
        <v>5291</v>
      </c>
      <c r="Q3691" s="13" t="s">
        <v>5289</v>
      </c>
      <c r="R3691" s="13" t="s">
        <v>5292</v>
      </c>
      <c r="S3691" s="13" t="s">
        <v>5293</v>
      </c>
      <c r="T3691" s="13" t="s">
        <v>5</v>
      </c>
      <c r="U3691" s="13" t="s">
        <v>43</v>
      </c>
      <c r="V3691" s="13" t="n">
        <f aca="false">IF(COUNTIF($B$2:B3691,B3691)=1,1,0)</f>
        <v>0</v>
      </c>
      <c r="W3691" s="13" t="n">
        <f aca="false">IF(COUNTIFS($B$2:B3691,B3691,$T$2:T3691,T3691)=1,1,0)</f>
        <v>0</v>
      </c>
    </row>
    <row r="3692" customFormat="false" ht="15" hidden="false" customHeight="false" outlineLevel="0" collapsed="false">
      <c r="A3692" s="13" t="s">
        <v>1945</v>
      </c>
      <c r="B3692" s="13" t="s">
        <v>107</v>
      </c>
      <c r="C3692" s="13" t="n">
        <v>240</v>
      </c>
      <c r="D3692" s="13" t="n">
        <v>2</v>
      </c>
      <c r="E3692" s="13" t="n">
        <v>119</v>
      </c>
      <c r="F3692" s="13" t="s">
        <v>5325</v>
      </c>
      <c r="G3692" s="13" t="s">
        <v>5289</v>
      </c>
      <c r="H3692" s="13" t="s">
        <v>5289</v>
      </c>
      <c r="I3692" s="13" t="s">
        <v>5289</v>
      </c>
      <c r="J3692" s="13" t="s">
        <v>5289</v>
      </c>
      <c r="K3692" s="13" t="s">
        <v>5289</v>
      </c>
      <c r="L3692" s="13" t="n">
        <v>8005610644394</v>
      </c>
      <c r="M3692" s="13"/>
      <c r="N3692" s="13" t="n">
        <v>8005610644394</v>
      </c>
      <c r="O3692" s="13"/>
      <c r="P3692" s="13" t="s">
        <v>5291</v>
      </c>
      <c r="Q3692" s="13" t="s">
        <v>5289</v>
      </c>
      <c r="R3692" s="13" t="s">
        <v>5292</v>
      </c>
      <c r="S3692" s="13" t="s">
        <v>5293</v>
      </c>
      <c r="T3692" s="13" t="s">
        <v>5</v>
      </c>
      <c r="U3692" s="13" t="s">
        <v>43</v>
      </c>
      <c r="V3692" s="13" t="n">
        <f aca="false">IF(COUNTIF($B$2:B3692,B3692)=1,1,0)</f>
        <v>0</v>
      </c>
      <c r="W3692" s="13" t="n">
        <f aca="false">IF(COUNTIFS($B$2:B3692,B3692,$T$2:T3692,T3692)=1,1,0)</f>
        <v>0</v>
      </c>
    </row>
    <row r="3693" customFormat="false" ht="15" hidden="false" customHeight="false" outlineLevel="0" collapsed="false">
      <c r="A3693" s="13" t="s">
        <v>1946</v>
      </c>
      <c r="B3693" s="13" t="s">
        <v>121</v>
      </c>
      <c r="C3693" s="13" t="n">
        <v>240</v>
      </c>
      <c r="D3693" s="13" t="n">
        <v>2</v>
      </c>
      <c r="E3693" s="13" t="n">
        <v>78.85</v>
      </c>
      <c r="F3693" s="13" t="s">
        <v>5325</v>
      </c>
      <c r="G3693" s="13" t="s">
        <v>5292</v>
      </c>
      <c r="H3693" s="13" t="s">
        <v>5289</v>
      </c>
      <c r="I3693" s="13" t="s">
        <v>5289</v>
      </c>
      <c r="J3693" s="13" t="s">
        <v>5289</v>
      </c>
      <c r="K3693" s="13" t="s">
        <v>5292</v>
      </c>
      <c r="L3693" s="13" t="n">
        <v>7896086916495</v>
      </c>
      <c r="M3693" s="13"/>
      <c r="N3693" s="13" t="n">
        <v>7896086916495</v>
      </c>
      <c r="O3693" s="13"/>
      <c r="P3693" s="13" t="s">
        <v>5297</v>
      </c>
      <c r="Q3693" s="13" t="s">
        <v>5289</v>
      </c>
      <c r="R3693" s="13" t="s">
        <v>5292</v>
      </c>
      <c r="S3693" s="13" t="s">
        <v>5293</v>
      </c>
      <c r="T3693" s="13" t="s">
        <v>5</v>
      </c>
      <c r="U3693" s="13" t="s">
        <v>183</v>
      </c>
      <c r="V3693" s="13" t="n">
        <f aca="false">IF(COUNTIF($B$2:B3693,B3693)=1,1,0)</f>
        <v>0</v>
      </c>
      <c r="W3693" s="13" t="n">
        <f aca="false">IF(COUNTIFS($B$2:B3693,B3693,$T$2:T3693,T3693)=1,1,0)</f>
        <v>0</v>
      </c>
    </row>
    <row r="3694" customFormat="false" ht="15" hidden="false" customHeight="false" outlineLevel="0" collapsed="false">
      <c r="A3694" s="13" t="s">
        <v>1949</v>
      </c>
      <c r="B3694" s="13" t="s">
        <v>61</v>
      </c>
      <c r="C3694" s="13" t="n">
        <v>240</v>
      </c>
      <c r="D3694" s="13" t="n">
        <v>1</v>
      </c>
      <c r="E3694" s="13" t="n">
        <v>235.24</v>
      </c>
      <c r="F3694" s="13" t="s">
        <v>5288</v>
      </c>
      <c r="G3694" s="13" t="s">
        <v>5292</v>
      </c>
      <c r="H3694" s="13" t="s">
        <v>5289</v>
      </c>
      <c r="I3694" s="13" t="s">
        <v>5289</v>
      </c>
      <c r="J3694" s="13" t="s">
        <v>5289</v>
      </c>
      <c r="K3694" s="13" t="s">
        <v>5289</v>
      </c>
      <c r="L3694" s="13"/>
      <c r="M3694" s="13"/>
      <c r="N3694" s="13" t="n">
        <v>3614274196184</v>
      </c>
      <c r="O3694" s="13"/>
      <c r="P3694" s="13" t="s">
        <v>5291</v>
      </c>
      <c r="Q3694" s="13" t="s">
        <v>5289</v>
      </c>
      <c r="R3694" s="13" t="s">
        <v>5292</v>
      </c>
      <c r="S3694" s="13" t="s">
        <v>5293</v>
      </c>
      <c r="T3694" s="13" t="s">
        <v>5</v>
      </c>
      <c r="U3694" s="13" t="s">
        <v>183</v>
      </c>
      <c r="V3694" s="13" t="n">
        <f aca="false">IF(COUNTIF($B$2:B3694,B3694)=1,1,0)</f>
        <v>0</v>
      </c>
      <c r="W3694" s="13" t="n">
        <f aca="false">IF(COUNTIFS($B$2:B3694,B3694,$T$2:T3694,T3694)=1,1,0)</f>
        <v>0</v>
      </c>
    </row>
    <row r="3695" customFormat="false" ht="15" hidden="false" customHeight="false" outlineLevel="0" collapsed="false">
      <c r="A3695" s="13" t="s">
        <v>1955</v>
      </c>
      <c r="B3695" s="13" t="s">
        <v>103</v>
      </c>
      <c r="C3695" s="13" t="n">
        <v>230</v>
      </c>
      <c r="D3695" s="13" t="n">
        <v>1</v>
      </c>
      <c r="E3695" s="13" t="n">
        <v>234.66</v>
      </c>
      <c r="F3695" s="13" t="s">
        <v>5325</v>
      </c>
      <c r="G3695" s="13" t="s">
        <v>5289</v>
      </c>
      <c r="H3695" s="13" t="s">
        <v>5292</v>
      </c>
      <c r="I3695" s="13" t="s">
        <v>5289</v>
      </c>
      <c r="J3695" s="13" t="s">
        <v>5289</v>
      </c>
      <c r="K3695" s="13" t="s">
        <v>5289</v>
      </c>
      <c r="L3695" s="13" t="n">
        <v>8411061057643</v>
      </c>
      <c r="M3695" s="13"/>
      <c r="N3695" s="13" t="n">
        <v>8.41106105764384E+025</v>
      </c>
      <c r="O3695" s="13"/>
      <c r="P3695" s="13" t="s">
        <v>5291</v>
      </c>
      <c r="Q3695" s="13" t="s">
        <v>5289</v>
      </c>
      <c r="R3695" s="13" t="s">
        <v>5292</v>
      </c>
      <c r="S3695" s="13" t="s">
        <v>5293</v>
      </c>
      <c r="T3695" s="13" t="s">
        <v>5</v>
      </c>
      <c r="U3695" s="13" t="s">
        <v>43</v>
      </c>
      <c r="V3695" s="13" t="n">
        <f aca="false">IF(COUNTIF($B$2:B3695,B3695)=1,1,0)</f>
        <v>0</v>
      </c>
      <c r="W3695" s="13" t="n">
        <f aca="false">IF(COUNTIFS($B$2:B3695,B3695,$T$2:T3695,T3695)=1,1,0)</f>
        <v>0</v>
      </c>
    </row>
    <row r="3696" customFormat="false" ht="15" hidden="false" customHeight="false" outlineLevel="0" collapsed="false">
      <c r="A3696" s="13" t="s">
        <v>1963</v>
      </c>
      <c r="B3696" s="13" t="s">
        <v>155</v>
      </c>
      <c r="C3696" s="13" t="n">
        <v>230</v>
      </c>
      <c r="D3696" s="13" t="n">
        <v>2</v>
      </c>
      <c r="E3696" s="13" t="n">
        <v>116.9</v>
      </c>
      <c r="F3696" s="13" t="s">
        <v>5325</v>
      </c>
      <c r="G3696" s="13" t="s">
        <v>5289</v>
      </c>
      <c r="H3696" s="13" t="s">
        <v>5289</v>
      </c>
      <c r="I3696" s="13" t="s">
        <v>5289</v>
      </c>
      <c r="J3696" s="13" t="s">
        <v>5289</v>
      </c>
      <c r="K3696" s="13" t="s">
        <v>5289</v>
      </c>
      <c r="L3696" s="13" t="n">
        <v>7891350047240</v>
      </c>
      <c r="M3696" s="13"/>
      <c r="N3696" s="13" t="n">
        <v>7891350047240</v>
      </c>
      <c r="O3696" s="13"/>
      <c r="P3696" s="13" t="s">
        <v>5291</v>
      </c>
      <c r="Q3696" s="13" t="s">
        <v>5289</v>
      </c>
      <c r="R3696" s="13" t="s">
        <v>5292</v>
      </c>
      <c r="S3696" s="13" t="s">
        <v>5293</v>
      </c>
      <c r="T3696" s="13" t="s">
        <v>5</v>
      </c>
      <c r="U3696" s="13" t="s">
        <v>43</v>
      </c>
      <c r="V3696" s="13" t="n">
        <f aca="false">IF(COUNTIF($B$2:B3696,B3696)=1,1,0)</f>
        <v>0</v>
      </c>
      <c r="W3696" s="13" t="n">
        <f aca="false">IF(COUNTIFS($B$2:B3696,B3696,$T$2:T3696,T3696)=1,1,0)</f>
        <v>1</v>
      </c>
    </row>
    <row r="3697" customFormat="false" ht="15" hidden="false" customHeight="false" outlineLevel="0" collapsed="false">
      <c r="A3697" s="13" t="s">
        <v>1106</v>
      </c>
      <c r="B3697" s="13" t="s">
        <v>54</v>
      </c>
      <c r="C3697" s="13" t="n">
        <v>230</v>
      </c>
      <c r="D3697" s="13" t="n">
        <v>1</v>
      </c>
      <c r="E3697" s="13" t="n">
        <v>232.65</v>
      </c>
      <c r="F3697" s="13" t="s">
        <v>5325</v>
      </c>
      <c r="G3697" s="13" t="s">
        <v>5292</v>
      </c>
      <c r="H3697" s="13" t="s">
        <v>5289</v>
      </c>
      <c r="I3697" s="13" t="s">
        <v>5289</v>
      </c>
      <c r="J3697" s="13" t="s">
        <v>5289</v>
      </c>
      <c r="K3697" s="13" t="s">
        <v>5289</v>
      </c>
      <c r="L3697" s="13"/>
      <c r="M3697" s="13"/>
      <c r="N3697" s="13" t="n">
        <v>768614212348</v>
      </c>
      <c r="O3697" s="13"/>
      <c r="P3697" s="13" t="s">
        <v>5291</v>
      </c>
      <c r="Q3697" s="13" t="s">
        <v>5289</v>
      </c>
      <c r="R3697" s="13" t="s">
        <v>5292</v>
      </c>
      <c r="S3697" s="13" t="s">
        <v>5293</v>
      </c>
      <c r="T3697" s="13" t="s">
        <v>5</v>
      </c>
      <c r="U3697" s="13" t="s">
        <v>43</v>
      </c>
      <c r="V3697" s="13" t="n">
        <f aca="false">IF(COUNTIF($B$2:B3697,B3697)=1,1,0)</f>
        <v>0</v>
      </c>
      <c r="W3697" s="13" t="n">
        <f aca="false">IF(COUNTIFS($B$2:B3697,B3697,$T$2:T3697,T3697)=1,1,0)</f>
        <v>0</v>
      </c>
    </row>
    <row r="3698" customFormat="false" ht="15" hidden="false" customHeight="false" outlineLevel="0" collapsed="false">
      <c r="A3698" s="13" t="s">
        <v>1961</v>
      </c>
      <c r="B3698" s="13" t="s">
        <v>61</v>
      </c>
      <c r="C3698" s="13" t="n">
        <v>230</v>
      </c>
      <c r="D3698" s="13" t="n">
        <v>1</v>
      </c>
      <c r="E3698" s="13" t="n">
        <v>232.22</v>
      </c>
      <c r="F3698" s="13" t="s">
        <v>5325</v>
      </c>
      <c r="G3698" s="13" t="s">
        <v>5292</v>
      </c>
      <c r="H3698" s="13" t="s">
        <v>5289</v>
      </c>
      <c r="I3698" s="13" t="s">
        <v>5289</v>
      </c>
      <c r="J3698" s="13" t="s">
        <v>5289</v>
      </c>
      <c r="K3698" s="13" t="s">
        <v>5289</v>
      </c>
      <c r="L3698" s="13" t="n">
        <v>3614274334937</v>
      </c>
      <c r="M3698" s="13"/>
      <c r="N3698" s="13" t="n">
        <v>3614274334937</v>
      </c>
      <c r="O3698" s="13"/>
      <c r="P3698" s="13" t="s">
        <v>5291</v>
      </c>
      <c r="Q3698" s="13" t="s">
        <v>5289</v>
      </c>
      <c r="R3698" s="13" t="s">
        <v>5292</v>
      </c>
      <c r="S3698" s="13" t="s">
        <v>5293</v>
      </c>
      <c r="T3698" s="13" t="s">
        <v>5</v>
      </c>
      <c r="U3698" s="13" t="s">
        <v>183</v>
      </c>
      <c r="V3698" s="13" t="n">
        <f aca="false">IF(COUNTIF($B$2:B3698,B3698)=1,1,0)</f>
        <v>0</v>
      </c>
      <c r="W3698" s="13" t="n">
        <f aca="false">IF(COUNTIFS($B$2:B3698,B3698,$T$2:T3698,T3698)=1,1,0)</f>
        <v>0</v>
      </c>
    </row>
    <row r="3699" customFormat="false" ht="15" hidden="false" customHeight="false" outlineLevel="0" collapsed="false">
      <c r="A3699" s="13" t="s">
        <v>1965</v>
      </c>
      <c r="B3699" s="13" t="s">
        <v>107</v>
      </c>
      <c r="C3699" s="13" t="n">
        <v>230</v>
      </c>
      <c r="D3699" s="13" t="n">
        <v>2</v>
      </c>
      <c r="E3699" s="13" t="n">
        <v>116.1</v>
      </c>
      <c r="F3699" s="13" t="s">
        <v>5325</v>
      </c>
      <c r="G3699" s="13" t="s">
        <v>5292</v>
      </c>
      <c r="H3699" s="13" t="s">
        <v>5289</v>
      </c>
      <c r="I3699" s="13" t="s">
        <v>5289</v>
      </c>
      <c r="J3699" s="13" t="s">
        <v>5289</v>
      </c>
      <c r="K3699" s="13" t="s">
        <v>5289</v>
      </c>
      <c r="L3699" s="13" t="n">
        <v>4064666939766</v>
      </c>
      <c r="M3699" s="13"/>
      <c r="N3699" s="13" t="n">
        <v>4064666939766</v>
      </c>
      <c r="O3699" s="13"/>
      <c r="P3699" s="13" t="s">
        <v>5297</v>
      </c>
      <c r="Q3699" s="13" t="s">
        <v>5289</v>
      </c>
      <c r="R3699" s="13" t="s">
        <v>5292</v>
      </c>
      <c r="S3699" s="13" t="s">
        <v>5293</v>
      </c>
      <c r="T3699" s="13" t="s">
        <v>5</v>
      </c>
      <c r="U3699" s="13" t="s">
        <v>43</v>
      </c>
      <c r="V3699" s="13" t="n">
        <f aca="false">IF(COUNTIF($B$2:B3699,B3699)=1,1,0)</f>
        <v>0</v>
      </c>
      <c r="W3699" s="13" t="n">
        <f aca="false">IF(COUNTIFS($B$2:B3699,B3699,$T$2:T3699,T3699)=1,1,0)</f>
        <v>0</v>
      </c>
    </row>
    <row r="3700" customFormat="false" ht="15" hidden="false" customHeight="false" outlineLevel="0" collapsed="false">
      <c r="A3700" s="13" t="s">
        <v>1132</v>
      </c>
      <c r="B3700" s="13" t="s">
        <v>121</v>
      </c>
      <c r="C3700" s="13" t="n">
        <v>230</v>
      </c>
      <c r="D3700" s="13" t="n">
        <v>2</v>
      </c>
      <c r="E3700" s="13" t="n">
        <v>115.925</v>
      </c>
      <c r="F3700" s="13" t="s">
        <v>5325</v>
      </c>
      <c r="G3700" s="13" t="s">
        <v>5292</v>
      </c>
      <c r="H3700" s="13" t="s">
        <v>5292</v>
      </c>
      <c r="I3700" s="13" t="s">
        <v>5289</v>
      </c>
      <c r="J3700" s="13" t="s">
        <v>5289</v>
      </c>
      <c r="K3700" s="13" t="s">
        <v>5289</v>
      </c>
      <c r="L3700" s="13" t="n">
        <v>7896086909633</v>
      </c>
      <c r="M3700" s="13"/>
      <c r="N3700" s="13" t="n">
        <v>7896086909633</v>
      </c>
      <c r="O3700" s="13"/>
      <c r="P3700" s="13" t="s">
        <v>5291</v>
      </c>
      <c r="Q3700" s="13" t="s">
        <v>5289</v>
      </c>
      <c r="R3700" s="13" t="s">
        <v>5292</v>
      </c>
      <c r="S3700" s="13" t="s">
        <v>5293</v>
      </c>
      <c r="T3700" s="13" t="s">
        <v>5</v>
      </c>
      <c r="U3700" s="13" t="s">
        <v>43</v>
      </c>
      <c r="V3700" s="13" t="n">
        <f aca="false">IF(COUNTIF($B$2:B3700,B3700)=1,1,0)</f>
        <v>0</v>
      </c>
      <c r="W3700" s="13" t="n">
        <f aca="false">IF(COUNTIFS($B$2:B3700,B3700,$T$2:T3700,T3700)=1,1,0)</f>
        <v>0</v>
      </c>
    </row>
    <row r="3701" customFormat="false" ht="15" hidden="false" customHeight="false" outlineLevel="0" collapsed="false">
      <c r="A3701" s="13" t="s">
        <v>4905</v>
      </c>
      <c r="B3701" s="13" t="s">
        <v>2103</v>
      </c>
      <c r="C3701" s="13" t="n">
        <v>230</v>
      </c>
      <c r="D3701" s="13" t="n">
        <v>2</v>
      </c>
      <c r="E3701" s="13" t="n">
        <v>77.0266666666667</v>
      </c>
      <c r="F3701" s="13" t="s">
        <v>5325</v>
      </c>
      <c r="G3701" s="13" t="s">
        <v>5289</v>
      </c>
      <c r="H3701" s="13" t="s">
        <v>5289</v>
      </c>
      <c r="I3701" s="13" t="s">
        <v>5292</v>
      </c>
      <c r="J3701" s="13" t="s">
        <v>5289</v>
      </c>
      <c r="K3701" s="13" t="s">
        <v>5289</v>
      </c>
      <c r="L3701" s="13" t="n">
        <v>309970166052</v>
      </c>
      <c r="M3701" s="13"/>
      <c r="N3701" s="13" t="n">
        <v>309970166052</v>
      </c>
      <c r="O3701" s="13"/>
      <c r="P3701" s="13" t="s">
        <v>5291</v>
      </c>
      <c r="Q3701" s="13" t="s">
        <v>5289</v>
      </c>
      <c r="R3701" s="13" t="s">
        <v>5292</v>
      </c>
      <c r="S3701" s="13" t="s">
        <v>5293</v>
      </c>
      <c r="T3701" s="13" t="s">
        <v>5</v>
      </c>
      <c r="U3701" s="13" t="s">
        <v>85</v>
      </c>
      <c r="V3701" s="13" t="n">
        <f aca="false">IF(COUNTIF($B$2:B3701,B3701)=1,1,0)</f>
        <v>0</v>
      </c>
      <c r="W3701" s="13" t="n">
        <f aca="false">IF(COUNTIFS($B$2:B3701,B3701,$T$2:T3701,T3701)=1,1,0)</f>
        <v>0</v>
      </c>
    </row>
    <row r="3702" customFormat="false" ht="15" hidden="false" customHeight="false" outlineLevel="0" collapsed="false">
      <c r="A3702" s="13" t="s">
        <v>3550</v>
      </c>
      <c r="B3702" s="13" t="s">
        <v>2150</v>
      </c>
      <c r="C3702" s="13" t="n">
        <v>230</v>
      </c>
      <c r="D3702" s="13" t="n">
        <v>2</v>
      </c>
      <c r="E3702" s="13" t="n">
        <v>115.495</v>
      </c>
      <c r="F3702" s="13" t="s">
        <v>5288</v>
      </c>
      <c r="G3702" s="13" t="s">
        <v>5289</v>
      </c>
      <c r="H3702" s="13" t="s">
        <v>5289</v>
      </c>
      <c r="I3702" s="13" t="s">
        <v>5289</v>
      </c>
      <c r="J3702" s="13" t="s">
        <v>5289</v>
      </c>
      <c r="K3702" s="13" t="s">
        <v>5289</v>
      </c>
      <c r="L3702" s="13"/>
      <c r="M3702" s="13"/>
      <c r="N3702" s="13" t="n">
        <v>8411061823033</v>
      </c>
      <c r="O3702" s="13"/>
      <c r="P3702" s="13" t="s">
        <v>5291</v>
      </c>
      <c r="Q3702" s="13" t="s">
        <v>5289</v>
      </c>
      <c r="R3702" s="13" t="s">
        <v>5292</v>
      </c>
      <c r="S3702" s="13" t="s">
        <v>5293</v>
      </c>
      <c r="T3702" s="13" t="s">
        <v>5</v>
      </c>
      <c r="U3702" s="13" t="s">
        <v>43</v>
      </c>
      <c r="V3702" s="13" t="n">
        <f aca="false">IF(COUNTIF($B$2:B3702,B3702)=1,1,0)</f>
        <v>0</v>
      </c>
      <c r="W3702" s="13" t="n">
        <f aca="false">IF(COUNTIFS($B$2:B3702,B3702,$T$2:T3702,T3702)=1,1,0)</f>
        <v>0</v>
      </c>
    </row>
    <row r="3703" customFormat="false" ht="15" hidden="false" customHeight="false" outlineLevel="0" collapsed="false">
      <c r="A3703" s="13" t="s">
        <v>4912</v>
      </c>
      <c r="B3703" s="13" t="s">
        <v>2154</v>
      </c>
      <c r="C3703" s="13" t="n">
        <v>230</v>
      </c>
      <c r="D3703" s="13" t="n">
        <v>1</v>
      </c>
      <c r="E3703" s="13" t="n">
        <v>230.85</v>
      </c>
      <c r="F3703" s="13" t="s">
        <v>5325</v>
      </c>
      <c r="G3703" s="13" t="s">
        <v>5289</v>
      </c>
      <c r="H3703" s="13" t="s">
        <v>5292</v>
      </c>
      <c r="I3703" s="13" t="s">
        <v>5289</v>
      </c>
      <c r="J3703" s="13" t="s">
        <v>5289</v>
      </c>
      <c r="K3703" s="13" t="s">
        <v>5292</v>
      </c>
      <c r="L3703" s="13" t="n">
        <v>3360373063697</v>
      </c>
      <c r="M3703" s="13"/>
      <c r="N3703" s="13" t="n">
        <v>3.36037306369784E+025</v>
      </c>
      <c r="O3703" s="13"/>
      <c r="P3703" s="13" t="s">
        <v>5291</v>
      </c>
      <c r="Q3703" s="13" t="s">
        <v>5289</v>
      </c>
      <c r="R3703" s="13" t="s">
        <v>5292</v>
      </c>
      <c r="S3703" s="13" t="s">
        <v>5293</v>
      </c>
      <c r="T3703" s="13" t="s">
        <v>5</v>
      </c>
      <c r="U3703" s="13" t="s">
        <v>43</v>
      </c>
      <c r="V3703" s="13" t="n">
        <f aca="false">IF(COUNTIF($B$2:B3703,B3703)=1,1,0)</f>
        <v>0</v>
      </c>
      <c r="W3703" s="13" t="n">
        <f aca="false">IF(COUNTIFS($B$2:B3703,B3703,$T$2:T3703,T3703)=1,1,0)</f>
        <v>0</v>
      </c>
    </row>
    <row r="3704" customFormat="false" ht="15" hidden="false" customHeight="false" outlineLevel="0" collapsed="false">
      <c r="A3704" s="13" t="s">
        <v>3923</v>
      </c>
      <c r="B3704" s="13" t="s">
        <v>2201</v>
      </c>
      <c r="C3704" s="13" t="n">
        <v>230</v>
      </c>
      <c r="D3704" s="13" t="n">
        <v>1</v>
      </c>
      <c r="E3704" s="13" t="n">
        <v>228.85</v>
      </c>
      <c r="F3704" s="13" t="s">
        <v>5325</v>
      </c>
      <c r="G3704" s="13" t="s">
        <v>5292</v>
      </c>
      <c r="H3704" s="13" t="s">
        <v>5289</v>
      </c>
      <c r="I3704" s="13" t="s">
        <v>5289</v>
      </c>
      <c r="J3704" s="13" t="s">
        <v>5289</v>
      </c>
      <c r="K3704" s="13" t="s">
        <v>5292</v>
      </c>
      <c r="L3704" s="13"/>
      <c r="M3704" s="13"/>
      <c r="N3704" s="13" t="n">
        <v>3253581756454</v>
      </c>
      <c r="O3704" s="13"/>
      <c r="P3704" s="13" t="s">
        <v>5291</v>
      </c>
      <c r="Q3704" s="13" t="s">
        <v>5289</v>
      </c>
      <c r="R3704" s="13" t="s">
        <v>5292</v>
      </c>
      <c r="S3704" s="13" t="s">
        <v>5293</v>
      </c>
      <c r="T3704" s="13" t="s">
        <v>5</v>
      </c>
      <c r="U3704" s="13" t="s">
        <v>43</v>
      </c>
      <c r="V3704" s="13" t="n">
        <f aca="false">IF(COUNTIF($B$2:B3704,B3704)=1,1,0)</f>
        <v>0</v>
      </c>
      <c r="W3704" s="13" t="n">
        <f aca="false">IF(COUNTIFS($B$2:B3704,B3704,$T$2:T3704,T3704)=1,1,0)</f>
        <v>0</v>
      </c>
    </row>
    <row r="3705" customFormat="false" ht="15" hidden="false" customHeight="false" outlineLevel="0" collapsed="false">
      <c r="A3705" s="13" t="s">
        <v>4021</v>
      </c>
      <c r="B3705" s="13" t="s">
        <v>2201</v>
      </c>
      <c r="C3705" s="13" t="n">
        <v>230</v>
      </c>
      <c r="D3705" s="13" t="n">
        <v>1</v>
      </c>
      <c r="E3705" s="13" t="n">
        <v>228.85</v>
      </c>
      <c r="F3705" s="13" t="s">
        <v>5325</v>
      </c>
      <c r="G3705" s="13" t="s">
        <v>5292</v>
      </c>
      <c r="H3705" s="13" t="s">
        <v>5289</v>
      </c>
      <c r="I3705" s="13" t="s">
        <v>5289</v>
      </c>
      <c r="J3705" s="13" t="s">
        <v>5289</v>
      </c>
      <c r="K3705" s="13" t="s">
        <v>5292</v>
      </c>
      <c r="L3705" s="13"/>
      <c r="M3705" s="13"/>
      <c r="N3705" s="13" t="n">
        <v>3253581756478</v>
      </c>
      <c r="O3705" s="13"/>
      <c r="P3705" s="13" t="s">
        <v>5291</v>
      </c>
      <c r="Q3705" s="13" t="s">
        <v>5289</v>
      </c>
      <c r="R3705" s="13" t="s">
        <v>5292</v>
      </c>
      <c r="S3705" s="13" t="s">
        <v>5293</v>
      </c>
      <c r="T3705" s="13" t="s">
        <v>5</v>
      </c>
      <c r="U3705" s="13" t="s">
        <v>43</v>
      </c>
      <c r="V3705" s="13" t="n">
        <f aca="false">IF(COUNTIF($B$2:B3705,B3705)=1,1,0)</f>
        <v>0</v>
      </c>
      <c r="W3705" s="13" t="n">
        <f aca="false">IF(COUNTIFS($B$2:B3705,B3705,$T$2:T3705,T3705)=1,1,0)</f>
        <v>0</v>
      </c>
    </row>
    <row r="3706" customFormat="false" ht="15" hidden="false" customHeight="false" outlineLevel="0" collapsed="false">
      <c r="A3706" s="13" t="s">
        <v>4912</v>
      </c>
      <c r="B3706" s="13" t="s">
        <v>2154</v>
      </c>
      <c r="C3706" s="13" t="n">
        <v>230</v>
      </c>
      <c r="D3706" s="13" t="n">
        <v>1</v>
      </c>
      <c r="E3706" s="13" t="n">
        <v>228.85</v>
      </c>
      <c r="F3706" s="13" t="s">
        <v>5288</v>
      </c>
      <c r="G3706" s="13" t="s">
        <v>5292</v>
      </c>
      <c r="H3706" s="13" t="s">
        <v>5292</v>
      </c>
      <c r="I3706" s="13" t="s">
        <v>5289</v>
      </c>
      <c r="J3706" s="13" t="s">
        <v>5289</v>
      </c>
      <c r="K3706" s="13" t="s">
        <v>5292</v>
      </c>
      <c r="L3706" s="13" t="n">
        <v>3360373063697</v>
      </c>
      <c r="M3706" s="13"/>
      <c r="N3706" s="13" t="n">
        <v>3360373063697</v>
      </c>
      <c r="O3706" s="13"/>
      <c r="P3706" s="13" t="s">
        <v>5291</v>
      </c>
      <c r="Q3706" s="13" t="s">
        <v>5289</v>
      </c>
      <c r="R3706" s="13" t="s">
        <v>5292</v>
      </c>
      <c r="S3706" s="13" t="s">
        <v>5293</v>
      </c>
      <c r="T3706" s="13" t="s">
        <v>5</v>
      </c>
      <c r="U3706" s="13" t="s">
        <v>43</v>
      </c>
      <c r="V3706" s="13" t="n">
        <f aca="false">IF(COUNTIF($B$2:B3706,B3706)=1,1,0)</f>
        <v>0</v>
      </c>
      <c r="W3706" s="13" t="n">
        <f aca="false">IF(COUNTIFS($B$2:B3706,B3706,$T$2:T3706,T3706)=1,1,0)</f>
        <v>0</v>
      </c>
    </row>
    <row r="3707" customFormat="false" ht="15" hidden="false" customHeight="false" outlineLevel="0" collapsed="false">
      <c r="A3707" s="13" t="s">
        <v>1957</v>
      </c>
      <c r="B3707" s="13" t="s">
        <v>42</v>
      </c>
      <c r="C3707" s="13" t="n">
        <v>230</v>
      </c>
      <c r="D3707" s="13" t="n">
        <v>1</v>
      </c>
      <c r="E3707" s="13" t="n">
        <v>228.85</v>
      </c>
      <c r="F3707" s="13" t="s">
        <v>5325</v>
      </c>
      <c r="G3707" s="13" t="s">
        <v>5289</v>
      </c>
      <c r="H3707" s="13" t="s">
        <v>5292</v>
      </c>
      <c r="I3707" s="13" t="s">
        <v>5289</v>
      </c>
      <c r="J3707" s="13" t="s">
        <v>5289</v>
      </c>
      <c r="K3707" s="13" t="s">
        <v>5292</v>
      </c>
      <c r="L3707" s="13" t="n">
        <v>8411061102879</v>
      </c>
      <c r="M3707" s="13"/>
      <c r="N3707" s="13" t="n">
        <v>8411061102879</v>
      </c>
      <c r="O3707" s="13"/>
      <c r="P3707" s="13" t="s">
        <v>5291</v>
      </c>
      <c r="Q3707" s="13" t="s">
        <v>5289</v>
      </c>
      <c r="R3707" s="13" t="s">
        <v>5292</v>
      </c>
      <c r="S3707" s="13" t="s">
        <v>5293</v>
      </c>
      <c r="T3707" s="13" t="s">
        <v>5</v>
      </c>
      <c r="U3707" s="13" t="s">
        <v>43</v>
      </c>
      <c r="V3707" s="13" t="n">
        <f aca="false">IF(COUNTIF($B$2:B3707,B3707)=1,1,0)</f>
        <v>0</v>
      </c>
      <c r="W3707" s="13" t="n">
        <f aca="false">IF(COUNTIFS($B$2:B3707,B3707,$T$2:T3707,T3707)=1,1,0)</f>
        <v>0</v>
      </c>
    </row>
    <row r="3708" customFormat="false" ht="15" hidden="false" customHeight="false" outlineLevel="0" collapsed="false">
      <c r="A3708" s="13" t="s">
        <v>1958</v>
      </c>
      <c r="B3708" s="13" t="s">
        <v>103</v>
      </c>
      <c r="C3708" s="13" t="n">
        <v>230</v>
      </c>
      <c r="D3708" s="13" t="n">
        <v>1</v>
      </c>
      <c r="E3708" s="13" t="n">
        <v>228.64</v>
      </c>
      <c r="F3708" s="13" t="s">
        <v>5325</v>
      </c>
      <c r="G3708" s="13" t="s">
        <v>5289</v>
      </c>
      <c r="H3708" s="13" t="s">
        <v>5292</v>
      </c>
      <c r="I3708" s="13" t="s">
        <v>5289</v>
      </c>
      <c r="J3708" s="13" t="s">
        <v>5289</v>
      </c>
      <c r="K3708" s="13" t="s">
        <v>5289</v>
      </c>
      <c r="L3708" s="13" t="n">
        <v>8411061083970</v>
      </c>
      <c r="M3708" s="13"/>
      <c r="N3708" s="13" t="n">
        <v>8411061083970</v>
      </c>
      <c r="O3708" s="13"/>
      <c r="P3708" s="13" t="s">
        <v>5291</v>
      </c>
      <c r="Q3708" s="13" t="s">
        <v>5289</v>
      </c>
      <c r="R3708" s="13" t="s">
        <v>5292</v>
      </c>
      <c r="S3708" s="13" t="s">
        <v>5293</v>
      </c>
      <c r="T3708" s="13" t="s">
        <v>5</v>
      </c>
      <c r="U3708" s="13" t="s">
        <v>43</v>
      </c>
      <c r="V3708" s="13" t="n">
        <f aca="false">IF(COUNTIF($B$2:B3708,B3708)=1,1,0)</f>
        <v>0</v>
      </c>
      <c r="W3708" s="13" t="n">
        <f aca="false">IF(COUNTIFS($B$2:B3708,B3708,$T$2:T3708,T3708)=1,1,0)</f>
        <v>0</v>
      </c>
    </row>
    <row r="3709" customFormat="false" ht="15" hidden="false" customHeight="false" outlineLevel="0" collapsed="false">
      <c r="A3709" s="13" t="s">
        <v>6408</v>
      </c>
      <c r="B3709" s="13" t="s">
        <v>2155</v>
      </c>
      <c r="C3709" s="13" t="n">
        <v>230</v>
      </c>
      <c r="D3709" s="13" t="n">
        <v>2</v>
      </c>
      <c r="E3709" s="13" t="n">
        <v>114</v>
      </c>
      <c r="F3709" s="13" t="s">
        <v>5325</v>
      </c>
      <c r="G3709" s="13" t="s">
        <v>5292</v>
      </c>
      <c r="H3709" s="13" t="s">
        <v>5292</v>
      </c>
      <c r="I3709" s="13" t="s">
        <v>5289</v>
      </c>
      <c r="J3709" s="13" t="s">
        <v>5289</v>
      </c>
      <c r="K3709" s="13" t="s">
        <v>5289</v>
      </c>
      <c r="L3709" s="13" t="n">
        <v>5060926686714</v>
      </c>
      <c r="M3709" s="13"/>
      <c r="N3709" s="13" t="n">
        <v>5060926686714</v>
      </c>
      <c r="O3709" s="13"/>
      <c r="P3709" s="13" t="s">
        <v>5297</v>
      </c>
      <c r="Q3709" s="13" t="s">
        <v>5289</v>
      </c>
      <c r="R3709" s="13" t="s">
        <v>5292</v>
      </c>
      <c r="S3709" s="13" t="s">
        <v>5293</v>
      </c>
      <c r="T3709" s="13" t="s">
        <v>5</v>
      </c>
      <c r="U3709" s="13" t="s">
        <v>85</v>
      </c>
      <c r="V3709" s="13" t="n">
        <f aca="false">IF(COUNTIF($B$2:B3709,B3709)=1,1,0)</f>
        <v>0</v>
      </c>
      <c r="W3709" s="13" t="n">
        <f aca="false">IF(COUNTIFS($B$2:B3709,B3709,$T$2:T3709,T3709)=1,1,0)</f>
        <v>0</v>
      </c>
    </row>
    <row r="3710" customFormat="false" ht="15" hidden="false" customHeight="false" outlineLevel="0" collapsed="false">
      <c r="A3710" s="13" t="s">
        <v>4096</v>
      </c>
      <c r="B3710" s="13" t="s">
        <v>2164</v>
      </c>
      <c r="C3710" s="13" t="n">
        <v>230</v>
      </c>
      <c r="D3710" s="13" t="n">
        <v>2</v>
      </c>
      <c r="E3710" s="13" t="n">
        <v>113.4</v>
      </c>
      <c r="F3710" s="13" t="s">
        <v>5288</v>
      </c>
      <c r="G3710" s="13" t="s">
        <v>5292</v>
      </c>
      <c r="H3710" s="13" t="s">
        <v>5292</v>
      </c>
      <c r="I3710" s="13" t="s">
        <v>5289</v>
      </c>
      <c r="J3710" s="13" t="s">
        <v>5289</v>
      </c>
      <c r="K3710" s="13" t="s">
        <v>5289</v>
      </c>
      <c r="L3710" s="13"/>
      <c r="M3710" s="13"/>
      <c r="N3710" s="13" t="n">
        <v>3616305447166</v>
      </c>
      <c r="O3710" s="13"/>
      <c r="P3710" s="13" t="s">
        <v>5291</v>
      </c>
      <c r="Q3710" s="13" t="s">
        <v>5289</v>
      </c>
      <c r="R3710" s="13" t="s">
        <v>5292</v>
      </c>
      <c r="S3710" s="13" t="s">
        <v>5293</v>
      </c>
      <c r="T3710" s="13" t="s">
        <v>5</v>
      </c>
      <c r="U3710" s="13" t="s">
        <v>43</v>
      </c>
      <c r="V3710" s="13" t="n">
        <f aca="false">IF(COUNTIF($B$2:B3710,B3710)=1,1,0)</f>
        <v>0</v>
      </c>
      <c r="W3710" s="13" t="n">
        <f aca="false">IF(COUNTIFS($B$2:B3710,B3710,$T$2:T3710,T3710)=1,1,0)</f>
        <v>0</v>
      </c>
    </row>
    <row r="3711" customFormat="false" ht="15" hidden="false" customHeight="false" outlineLevel="0" collapsed="false">
      <c r="A3711" s="13" t="s">
        <v>1959</v>
      </c>
      <c r="B3711" s="13" t="s">
        <v>121</v>
      </c>
      <c r="C3711" s="13" t="n">
        <v>230</v>
      </c>
      <c r="D3711" s="13" t="n">
        <v>2</v>
      </c>
      <c r="E3711" s="13" t="n">
        <v>75.51</v>
      </c>
      <c r="F3711" s="13" t="s">
        <v>5288</v>
      </c>
      <c r="G3711" s="13" t="s">
        <v>5289</v>
      </c>
      <c r="H3711" s="13" t="s">
        <v>5289</v>
      </c>
      <c r="I3711" s="13" t="s">
        <v>5289</v>
      </c>
      <c r="J3711" s="13" t="s">
        <v>5289</v>
      </c>
      <c r="K3711" s="13" t="s">
        <v>5289</v>
      </c>
      <c r="L3711" s="13" t="n">
        <v>7896086916303</v>
      </c>
      <c r="M3711" s="13"/>
      <c r="N3711" s="13" t="n">
        <v>7896086916303</v>
      </c>
      <c r="O3711" s="13"/>
      <c r="P3711" s="13" t="s">
        <v>5291</v>
      </c>
      <c r="Q3711" s="13" t="s">
        <v>5289</v>
      </c>
      <c r="R3711" s="13" t="s">
        <v>5292</v>
      </c>
      <c r="S3711" s="13" t="s">
        <v>5293</v>
      </c>
      <c r="T3711" s="13" t="s">
        <v>5</v>
      </c>
      <c r="U3711" s="13" t="s">
        <v>183</v>
      </c>
      <c r="V3711" s="13" t="n">
        <f aca="false">IF(COUNTIF($B$2:B3711,B3711)=1,1,0)</f>
        <v>0</v>
      </c>
      <c r="W3711" s="13" t="n">
        <f aca="false">IF(COUNTIFS($B$2:B3711,B3711,$T$2:T3711,T3711)=1,1,0)</f>
        <v>0</v>
      </c>
    </row>
    <row r="3712" customFormat="false" ht="15" hidden="false" customHeight="false" outlineLevel="0" collapsed="false">
      <c r="A3712" s="13" t="s">
        <v>1960</v>
      </c>
      <c r="B3712" s="13" t="s">
        <v>121</v>
      </c>
      <c r="C3712" s="13" t="n">
        <v>230</v>
      </c>
      <c r="D3712" s="13" t="n">
        <v>2</v>
      </c>
      <c r="E3712" s="13" t="n">
        <v>112.9</v>
      </c>
      <c r="F3712" s="13" t="s">
        <v>5325</v>
      </c>
      <c r="G3712" s="13" t="s">
        <v>5289</v>
      </c>
      <c r="H3712" s="13" t="s">
        <v>5289</v>
      </c>
      <c r="I3712" s="13" t="s">
        <v>5289</v>
      </c>
      <c r="J3712" s="13" t="s">
        <v>5289</v>
      </c>
      <c r="K3712" s="13" t="s">
        <v>5289</v>
      </c>
      <c r="L3712" s="13" t="n">
        <v>7896086927064</v>
      </c>
      <c r="M3712" s="13"/>
      <c r="N3712" s="13" t="n">
        <v>7896086927064</v>
      </c>
      <c r="O3712" s="13"/>
      <c r="P3712" s="13" t="s">
        <v>5291</v>
      </c>
      <c r="Q3712" s="13" t="s">
        <v>5289</v>
      </c>
      <c r="R3712" s="13" t="s">
        <v>5292</v>
      </c>
      <c r="S3712" s="13" t="s">
        <v>5293</v>
      </c>
      <c r="T3712" s="13" t="s">
        <v>5</v>
      </c>
      <c r="U3712" s="13" t="s">
        <v>43</v>
      </c>
      <c r="V3712" s="13" t="n">
        <f aca="false">IF(COUNTIF($B$2:B3712,B3712)=1,1,0)</f>
        <v>0</v>
      </c>
      <c r="W3712" s="13" t="n">
        <f aca="false">IF(COUNTIFS($B$2:B3712,B3712,$T$2:T3712,T3712)=1,1,0)</f>
        <v>0</v>
      </c>
    </row>
    <row r="3713" customFormat="false" ht="15" hidden="false" customHeight="false" outlineLevel="0" collapsed="false">
      <c r="A3713" s="13" t="s">
        <v>1956</v>
      </c>
      <c r="B3713" s="13" t="s">
        <v>630</v>
      </c>
      <c r="C3713" s="13" t="n">
        <v>230</v>
      </c>
      <c r="D3713" s="13" t="n">
        <v>1</v>
      </c>
      <c r="E3713" s="13" t="n">
        <v>225.67</v>
      </c>
      <c r="F3713" s="13" t="s">
        <v>5325</v>
      </c>
      <c r="G3713" s="13" t="s">
        <v>5292</v>
      </c>
      <c r="H3713" s="13" t="s">
        <v>5292</v>
      </c>
      <c r="I3713" s="13" t="s">
        <v>5289</v>
      </c>
      <c r="J3713" s="13" t="s">
        <v>5289</v>
      </c>
      <c r="K3713" s="13" t="s">
        <v>5289</v>
      </c>
      <c r="L3713" s="13"/>
      <c r="M3713" s="13"/>
      <c r="N3713" s="13" t="n">
        <v>8433982025891</v>
      </c>
      <c r="O3713" s="13"/>
      <c r="P3713" s="13" t="s">
        <v>5291</v>
      </c>
      <c r="Q3713" s="13" t="s">
        <v>5289</v>
      </c>
      <c r="R3713" s="13" t="s">
        <v>5292</v>
      </c>
      <c r="S3713" s="13" t="s">
        <v>5293</v>
      </c>
      <c r="T3713" s="13" t="s">
        <v>5</v>
      </c>
      <c r="U3713" s="13" t="s">
        <v>43</v>
      </c>
      <c r="V3713" s="13" t="n">
        <f aca="false">IF(COUNTIF($B$2:B3713,B3713)=1,1,0)</f>
        <v>0</v>
      </c>
      <c r="W3713" s="13" t="n">
        <f aca="false">IF(COUNTIFS($B$2:B3713,B3713,$T$2:T3713,T3713)=1,1,0)</f>
        <v>0</v>
      </c>
    </row>
    <row r="3714" customFormat="false" ht="15" hidden="false" customHeight="false" outlineLevel="0" collapsed="false">
      <c r="A3714" s="13" t="s">
        <v>1966</v>
      </c>
      <c r="B3714" s="13" t="s">
        <v>229</v>
      </c>
      <c r="C3714" s="13" t="n">
        <v>220</v>
      </c>
      <c r="D3714" s="13" t="n">
        <v>1</v>
      </c>
      <c r="E3714" s="13" t="n">
        <v>224</v>
      </c>
      <c r="F3714" s="13" t="s">
        <v>5325</v>
      </c>
      <c r="G3714" s="13" t="s">
        <v>5289</v>
      </c>
      <c r="H3714" s="13" t="s">
        <v>5289</v>
      </c>
      <c r="I3714" s="13" t="s">
        <v>5289</v>
      </c>
      <c r="J3714" s="13" t="s">
        <v>5289</v>
      </c>
      <c r="K3714" s="13" t="s">
        <v>5289</v>
      </c>
      <c r="L3714" s="13"/>
      <c r="M3714" s="13"/>
      <c r="N3714" s="13" t="n">
        <v>3414202011752</v>
      </c>
      <c r="O3714" s="13"/>
      <c r="P3714" s="13" t="s">
        <v>5291</v>
      </c>
      <c r="Q3714" s="13" t="s">
        <v>5289</v>
      </c>
      <c r="R3714" s="13" t="s">
        <v>5292</v>
      </c>
      <c r="S3714" s="13" t="s">
        <v>5293</v>
      </c>
      <c r="T3714" s="13" t="s">
        <v>5</v>
      </c>
      <c r="U3714" s="13" t="s">
        <v>43</v>
      </c>
      <c r="V3714" s="13" t="n">
        <f aca="false">IF(COUNTIF($B$2:B3714,B3714)=1,1,0)</f>
        <v>0</v>
      </c>
      <c r="W3714" s="13" t="n">
        <f aca="false">IF(COUNTIFS($B$2:B3714,B3714,$T$2:T3714,T3714)=1,1,0)</f>
        <v>0</v>
      </c>
    </row>
    <row r="3715" customFormat="false" ht="15" hidden="false" customHeight="false" outlineLevel="0" collapsed="false">
      <c r="A3715" s="13" t="s">
        <v>1967</v>
      </c>
      <c r="B3715" s="13" t="s">
        <v>103</v>
      </c>
      <c r="C3715" s="13" t="n">
        <v>220</v>
      </c>
      <c r="D3715" s="13" t="n">
        <v>1</v>
      </c>
      <c r="E3715" s="13" t="n">
        <v>223.92</v>
      </c>
      <c r="F3715" s="13" t="s">
        <v>5325</v>
      </c>
      <c r="G3715" s="13" t="s">
        <v>5292</v>
      </c>
      <c r="H3715" s="13" t="s">
        <v>5292</v>
      </c>
      <c r="I3715" s="13" t="s">
        <v>5289</v>
      </c>
      <c r="J3715" s="13" t="s">
        <v>5289</v>
      </c>
      <c r="K3715" s="13" t="s">
        <v>5289</v>
      </c>
      <c r="L3715" s="13" t="n">
        <v>8411061636268</v>
      </c>
      <c r="M3715" s="13"/>
      <c r="N3715" s="13" t="n">
        <v>8411061636268</v>
      </c>
      <c r="O3715" s="13"/>
      <c r="P3715" s="13" t="s">
        <v>5291</v>
      </c>
      <c r="Q3715" s="13" t="s">
        <v>5289</v>
      </c>
      <c r="R3715" s="13" t="s">
        <v>5292</v>
      </c>
      <c r="S3715" s="13" t="s">
        <v>5293</v>
      </c>
      <c r="T3715" s="13" t="s">
        <v>5</v>
      </c>
      <c r="U3715" s="13" t="s">
        <v>43</v>
      </c>
      <c r="V3715" s="13" t="n">
        <f aca="false">IF(COUNTIF($B$2:B3715,B3715)=1,1,0)</f>
        <v>0</v>
      </c>
      <c r="W3715" s="13" t="n">
        <f aca="false">IF(COUNTIFS($B$2:B3715,B3715,$T$2:T3715,T3715)=1,1,0)</f>
        <v>0</v>
      </c>
    </row>
    <row r="3716" customFormat="false" ht="15" hidden="false" customHeight="false" outlineLevel="0" collapsed="false">
      <c r="A3716" s="13" t="s">
        <v>4918</v>
      </c>
      <c r="B3716" s="13" t="s">
        <v>2200</v>
      </c>
      <c r="C3716" s="13" t="n">
        <v>220</v>
      </c>
      <c r="D3716" s="13" t="n">
        <v>2</v>
      </c>
      <c r="E3716" s="13" t="n">
        <v>111.63</v>
      </c>
      <c r="F3716" s="13" t="s">
        <v>5288</v>
      </c>
      <c r="G3716" s="13" t="s">
        <v>5292</v>
      </c>
      <c r="H3716" s="13" t="s">
        <v>5289</v>
      </c>
      <c r="I3716" s="13" t="s">
        <v>5289</v>
      </c>
      <c r="J3716" s="13" t="s">
        <v>5289</v>
      </c>
      <c r="K3716" s="13" t="s">
        <v>5289</v>
      </c>
      <c r="L3716" s="13" t="n">
        <v>7899706189606</v>
      </c>
      <c r="M3716" s="13"/>
      <c r="N3716" s="13" t="n">
        <v>7899706189606</v>
      </c>
      <c r="O3716" s="13"/>
      <c r="P3716" s="13" t="s">
        <v>5297</v>
      </c>
      <c r="Q3716" s="13" t="s">
        <v>5289</v>
      </c>
      <c r="R3716" s="13" t="s">
        <v>5292</v>
      </c>
      <c r="S3716" s="13" t="s">
        <v>5293</v>
      </c>
      <c r="T3716" s="13" t="s">
        <v>5</v>
      </c>
      <c r="U3716" s="13" t="s">
        <v>183</v>
      </c>
      <c r="V3716" s="13" t="n">
        <f aca="false">IF(COUNTIF($B$2:B3716,B3716)=1,1,0)</f>
        <v>0</v>
      </c>
      <c r="W3716" s="13" t="n">
        <f aca="false">IF(COUNTIFS($B$2:B3716,B3716,$T$2:T3716,T3716)=1,1,0)</f>
        <v>0</v>
      </c>
    </row>
    <row r="3717" customFormat="false" ht="15" hidden="false" customHeight="false" outlineLevel="0" collapsed="false">
      <c r="A3717" s="13" t="s">
        <v>4657</v>
      </c>
      <c r="B3717" s="13" t="s">
        <v>2288</v>
      </c>
      <c r="C3717" s="13" t="n">
        <v>220</v>
      </c>
      <c r="D3717" s="13" t="n">
        <v>1</v>
      </c>
      <c r="E3717" s="13" t="n">
        <v>218.85</v>
      </c>
      <c r="F3717" s="13" t="s">
        <v>5288</v>
      </c>
      <c r="G3717" s="13" t="s">
        <v>5292</v>
      </c>
      <c r="H3717" s="13" t="s">
        <v>5289</v>
      </c>
      <c r="I3717" s="13" t="s">
        <v>5289</v>
      </c>
      <c r="J3717" s="13" t="s">
        <v>5289</v>
      </c>
      <c r="K3717" s="13" t="s">
        <v>5292</v>
      </c>
      <c r="L3717" s="13" t="n">
        <v>3474637292423</v>
      </c>
      <c r="M3717" s="13"/>
      <c r="N3717" s="13" t="n">
        <v>3474637292423</v>
      </c>
      <c r="O3717" s="13"/>
      <c r="P3717" s="13" t="s">
        <v>5291</v>
      </c>
      <c r="Q3717" s="13" t="s">
        <v>5289</v>
      </c>
      <c r="R3717" s="13" t="s">
        <v>5292</v>
      </c>
      <c r="S3717" s="13" t="s">
        <v>5293</v>
      </c>
      <c r="T3717" s="13" t="s">
        <v>5</v>
      </c>
      <c r="U3717" s="13" t="s">
        <v>85</v>
      </c>
      <c r="V3717" s="13" t="n">
        <f aca="false">IF(COUNTIF($B$2:B3717,B3717)=1,1,0)</f>
        <v>1</v>
      </c>
      <c r="W3717" s="13" t="n">
        <f aca="false">IF(COUNTIFS($B$2:B3717,B3717,$T$2:T3717,T3717)=1,1,0)</f>
        <v>1</v>
      </c>
    </row>
    <row r="3718" customFormat="false" ht="15" hidden="false" customHeight="false" outlineLevel="0" collapsed="false">
      <c r="A3718" s="13" t="s">
        <v>958</v>
      </c>
      <c r="B3718" s="13" t="s">
        <v>103</v>
      </c>
      <c r="C3718" s="13" t="n">
        <v>220</v>
      </c>
      <c r="D3718" s="13" t="n">
        <v>1</v>
      </c>
      <c r="E3718" s="13" t="n">
        <v>218.36</v>
      </c>
      <c r="F3718" s="13" t="s">
        <v>5325</v>
      </c>
      <c r="G3718" s="13" t="s">
        <v>5289</v>
      </c>
      <c r="H3718" s="13" t="s">
        <v>5289</v>
      </c>
      <c r="I3718" s="13" t="s">
        <v>5289</v>
      </c>
      <c r="J3718" s="13" t="s">
        <v>5289</v>
      </c>
      <c r="K3718" s="13" t="s">
        <v>5289</v>
      </c>
      <c r="L3718" s="13"/>
      <c r="M3718" s="13"/>
      <c r="N3718" s="13" t="n">
        <v>8411061034972</v>
      </c>
      <c r="O3718" s="13"/>
      <c r="P3718" s="13" t="s">
        <v>5291</v>
      </c>
      <c r="Q3718" s="13" t="s">
        <v>5289</v>
      </c>
      <c r="R3718" s="13" t="s">
        <v>5292</v>
      </c>
      <c r="S3718" s="13" t="s">
        <v>5293</v>
      </c>
      <c r="T3718" s="13" t="s">
        <v>5</v>
      </c>
      <c r="U3718" s="13" t="s">
        <v>43</v>
      </c>
      <c r="V3718" s="13" t="n">
        <f aca="false">IF(COUNTIF($B$2:B3718,B3718)=1,1,0)</f>
        <v>0</v>
      </c>
      <c r="W3718" s="13" t="n">
        <f aca="false">IF(COUNTIFS($B$2:B3718,B3718,$T$2:T3718,T3718)=1,1,0)</f>
        <v>0</v>
      </c>
    </row>
    <row r="3719" customFormat="false" ht="15" hidden="false" customHeight="false" outlineLevel="0" collapsed="false">
      <c r="A3719" s="13" t="s">
        <v>786</v>
      </c>
      <c r="B3719" s="13" t="s">
        <v>103</v>
      </c>
      <c r="C3719" s="13" t="n">
        <v>220</v>
      </c>
      <c r="D3719" s="13" t="n">
        <v>1</v>
      </c>
      <c r="E3719" s="13" t="n">
        <v>217.99</v>
      </c>
      <c r="F3719" s="13" t="s">
        <v>5325</v>
      </c>
      <c r="G3719" s="13" t="s">
        <v>5292</v>
      </c>
      <c r="H3719" s="13" t="s">
        <v>5289</v>
      </c>
      <c r="I3719" s="13" t="s">
        <v>5289</v>
      </c>
      <c r="J3719" s="13" t="s">
        <v>5289</v>
      </c>
      <c r="K3719" s="13" t="s">
        <v>5289</v>
      </c>
      <c r="L3719" s="13"/>
      <c r="M3719" s="13"/>
      <c r="N3719" s="13" t="n">
        <v>8.41106181968584E+025</v>
      </c>
      <c r="O3719" s="13"/>
      <c r="P3719" s="13" t="s">
        <v>5291</v>
      </c>
      <c r="Q3719" s="13" t="s">
        <v>5289</v>
      </c>
      <c r="R3719" s="13" t="s">
        <v>5292</v>
      </c>
      <c r="S3719" s="13" t="s">
        <v>5293</v>
      </c>
      <c r="T3719" s="13" t="s">
        <v>5</v>
      </c>
      <c r="U3719" s="13" t="s">
        <v>43</v>
      </c>
      <c r="V3719" s="13" t="n">
        <f aca="false">IF(COUNTIF($B$2:B3719,B3719)=1,1,0)</f>
        <v>0</v>
      </c>
      <c r="W3719" s="13" t="n">
        <f aca="false">IF(COUNTIFS($B$2:B3719,B3719,$T$2:T3719,T3719)=1,1,0)</f>
        <v>0</v>
      </c>
    </row>
    <row r="3720" customFormat="false" ht="15" hidden="false" customHeight="false" outlineLevel="0" collapsed="false">
      <c r="A3720" s="13" t="s">
        <v>4928</v>
      </c>
      <c r="B3720" s="13" t="s">
        <v>2103</v>
      </c>
      <c r="C3720" s="13" t="n">
        <v>210</v>
      </c>
      <c r="D3720" s="13" t="n">
        <v>2</v>
      </c>
      <c r="E3720" s="13" t="n">
        <v>106.85</v>
      </c>
      <c r="F3720" s="13" t="s">
        <v>5325</v>
      </c>
      <c r="G3720" s="13" t="s">
        <v>5292</v>
      </c>
      <c r="H3720" s="13" t="s">
        <v>5292</v>
      </c>
      <c r="I3720" s="13" t="s">
        <v>5289</v>
      </c>
      <c r="J3720" s="13" t="s">
        <v>5289</v>
      </c>
      <c r="K3720" s="13" t="s">
        <v>5292</v>
      </c>
      <c r="L3720" s="13" t="n">
        <v>309970107987</v>
      </c>
      <c r="M3720" s="13"/>
      <c r="N3720" s="13" t="n">
        <v>309970107987</v>
      </c>
      <c r="O3720" s="13"/>
      <c r="P3720" s="13" t="s">
        <v>5291</v>
      </c>
      <c r="Q3720" s="13" t="s">
        <v>5289</v>
      </c>
      <c r="R3720" s="13" t="s">
        <v>5292</v>
      </c>
      <c r="S3720" s="13" t="s">
        <v>5293</v>
      </c>
      <c r="T3720" s="13" t="s">
        <v>5</v>
      </c>
      <c r="U3720" s="13" t="s">
        <v>85</v>
      </c>
      <c r="V3720" s="13" t="n">
        <f aca="false">IF(COUNTIF($B$2:B3720,B3720)=1,1,0)</f>
        <v>0</v>
      </c>
      <c r="W3720" s="13" t="n">
        <f aca="false">IF(COUNTIFS($B$2:B3720,B3720,$T$2:T3720,T3720)=1,1,0)</f>
        <v>0</v>
      </c>
    </row>
    <row r="3721" customFormat="false" ht="15" hidden="false" customHeight="false" outlineLevel="0" collapsed="false">
      <c r="A3721" s="13" t="s">
        <v>1102</v>
      </c>
      <c r="B3721" s="13" t="s">
        <v>103</v>
      </c>
      <c r="C3721" s="13" t="n">
        <v>210</v>
      </c>
      <c r="D3721" s="13" t="n">
        <v>1</v>
      </c>
      <c r="E3721" s="13" t="n">
        <v>212.16</v>
      </c>
      <c r="F3721" s="13" t="s">
        <v>5325</v>
      </c>
      <c r="G3721" s="13" t="s">
        <v>5289</v>
      </c>
      <c r="H3721" s="13" t="s">
        <v>5289</v>
      </c>
      <c r="I3721" s="13" t="s">
        <v>5289</v>
      </c>
      <c r="J3721" s="13" t="s">
        <v>5289</v>
      </c>
      <c r="K3721" s="13" t="s">
        <v>5289</v>
      </c>
      <c r="L3721" s="13"/>
      <c r="M3721" s="13"/>
      <c r="N3721" s="13" t="n">
        <v>8411061124277</v>
      </c>
      <c r="O3721" s="13"/>
      <c r="P3721" s="13" t="s">
        <v>5291</v>
      </c>
      <c r="Q3721" s="13" t="s">
        <v>5289</v>
      </c>
      <c r="R3721" s="13" t="s">
        <v>5292</v>
      </c>
      <c r="S3721" s="13" t="s">
        <v>5293</v>
      </c>
      <c r="T3721" s="13" t="s">
        <v>5</v>
      </c>
      <c r="U3721" s="13" t="s">
        <v>43</v>
      </c>
      <c r="V3721" s="13" t="n">
        <f aca="false">IF(COUNTIF($B$2:B3721,B3721)=1,1,0)</f>
        <v>0</v>
      </c>
      <c r="W3721" s="13" t="n">
        <f aca="false">IF(COUNTIFS($B$2:B3721,B3721,$T$2:T3721,T3721)=1,1,0)</f>
        <v>0</v>
      </c>
    </row>
    <row r="3722" customFormat="false" ht="15" hidden="false" customHeight="false" outlineLevel="0" collapsed="false">
      <c r="A3722" s="13" t="s">
        <v>1981</v>
      </c>
      <c r="B3722" s="13" t="s">
        <v>630</v>
      </c>
      <c r="C3722" s="13" t="n">
        <v>210</v>
      </c>
      <c r="D3722" s="13" t="n">
        <v>1</v>
      </c>
      <c r="E3722" s="13" t="n">
        <v>211.52</v>
      </c>
      <c r="F3722" s="13" t="s">
        <v>5288</v>
      </c>
      <c r="G3722" s="13" t="s">
        <v>5289</v>
      </c>
      <c r="H3722" s="13" t="s">
        <v>5289</v>
      </c>
      <c r="I3722" s="13" t="s">
        <v>5289</v>
      </c>
      <c r="J3722" s="13" t="s">
        <v>5289</v>
      </c>
      <c r="K3722" s="13" t="s">
        <v>5289</v>
      </c>
      <c r="L3722" s="13" t="n">
        <v>8433982020575</v>
      </c>
      <c r="M3722" s="13"/>
      <c r="N3722" s="13" t="n">
        <v>8433982020575</v>
      </c>
      <c r="O3722" s="13"/>
      <c r="P3722" s="13" t="s">
        <v>5291</v>
      </c>
      <c r="Q3722" s="13" t="s">
        <v>5289</v>
      </c>
      <c r="R3722" s="13" t="s">
        <v>5292</v>
      </c>
      <c r="S3722" s="13" t="s">
        <v>5293</v>
      </c>
      <c r="T3722" s="13" t="s">
        <v>5</v>
      </c>
      <c r="U3722" s="13" t="s">
        <v>43</v>
      </c>
      <c r="V3722" s="13" t="n">
        <f aca="false">IF(COUNTIF($B$2:B3722,B3722)=1,1,0)</f>
        <v>0</v>
      </c>
      <c r="W3722" s="13" t="n">
        <f aca="false">IF(COUNTIFS($B$2:B3722,B3722,$T$2:T3722,T3722)=1,1,0)</f>
        <v>0</v>
      </c>
    </row>
    <row r="3723" customFormat="false" ht="15" hidden="false" customHeight="false" outlineLevel="0" collapsed="false">
      <c r="A3723" s="13" t="s">
        <v>1887</v>
      </c>
      <c r="B3723" s="13" t="s">
        <v>59</v>
      </c>
      <c r="C3723" s="13" t="n">
        <v>210</v>
      </c>
      <c r="D3723" s="13" t="n">
        <v>1</v>
      </c>
      <c r="E3723" s="13" t="n">
        <v>210.85</v>
      </c>
      <c r="F3723" s="13" t="s">
        <v>5288</v>
      </c>
      <c r="G3723" s="13" t="s">
        <v>5289</v>
      </c>
      <c r="H3723" s="13" t="s">
        <v>5292</v>
      </c>
      <c r="I3723" s="13" t="s">
        <v>5289</v>
      </c>
      <c r="J3723" s="13" t="s">
        <v>5289</v>
      </c>
      <c r="K3723" s="13" t="s">
        <v>5292</v>
      </c>
      <c r="L3723" s="13" t="n">
        <v>3616307110136</v>
      </c>
      <c r="M3723" s="13"/>
      <c r="N3723" s="13" t="n">
        <v>3616307110136</v>
      </c>
      <c r="O3723" s="13"/>
      <c r="P3723" s="13" t="s">
        <v>5291</v>
      </c>
      <c r="Q3723" s="13" t="s">
        <v>5289</v>
      </c>
      <c r="R3723" s="13" t="s">
        <v>5292</v>
      </c>
      <c r="S3723" s="13" t="s">
        <v>5293</v>
      </c>
      <c r="T3723" s="13" t="s">
        <v>5</v>
      </c>
      <c r="U3723" s="13" t="s">
        <v>43</v>
      </c>
      <c r="V3723" s="13" t="n">
        <f aca="false">IF(COUNTIF($B$2:B3723,B3723)=1,1,0)</f>
        <v>0</v>
      </c>
      <c r="W3723" s="13" t="n">
        <f aca="false">IF(COUNTIFS($B$2:B3723,B3723,$T$2:T3723,T3723)=1,1,0)</f>
        <v>0</v>
      </c>
    </row>
    <row r="3724" customFormat="false" ht="15" hidden="false" customHeight="false" outlineLevel="0" collapsed="false">
      <c r="A3724" s="13" t="s">
        <v>1980</v>
      </c>
      <c r="B3724" s="13" t="s">
        <v>107</v>
      </c>
      <c r="C3724" s="13" t="n">
        <v>210</v>
      </c>
      <c r="D3724" s="13" t="n">
        <v>1</v>
      </c>
      <c r="E3724" s="13" t="n">
        <v>208.85</v>
      </c>
      <c r="F3724" s="13" t="s">
        <v>5288</v>
      </c>
      <c r="G3724" s="13" t="s">
        <v>5292</v>
      </c>
      <c r="H3724" s="13" t="s">
        <v>5292</v>
      </c>
      <c r="I3724" s="13" t="s">
        <v>5289</v>
      </c>
      <c r="J3724" s="13" t="s">
        <v>5289</v>
      </c>
      <c r="K3724" s="13" t="s">
        <v>5292</v>
      </c>
      <c r="L3724" s="13" t="n">
        <v>4064666594231</v>
      </c>
      <c r="M3724" s="13"/>
      <c r="N3724" s="13" t="n">
        <v>4064666594231</v>
      </c>
      <c r="O3724" s="13"/>
      <c r="P3724" s="13" t="s">
        <v>5297</v>
      </c>
      <c r="Q3724" s="13" t="s">
        <v>5289</v>
      </c>
      <c r="R3724" s="13" t="s">
        <v>5292</v>
      </c>
      <c r="S3724" s="13" t="s">
        <v>5293</v>
      </c>
      <c r="T3724" s="13" t="s">
        <v>5</v>
      </c>
      <c r="U3724" s="13" t="s">
        <v>43</v>
      </c>
      <c r="V3724" s="13" t="n">
        <f aca="false">IF(COUNTIF($B$2:B3724,B3724)=1,1,0)</f>
        <v>0</v>
      </c>
      <c r="W3724" s="13" t="n">
        <f aca="false">IF(COUNTIFS($B$2:B3724,B3724,$T$2:T3724,T3724)=1,1,0)</f>
        <v>0</v>
      </c>
    </row>
    <row r="3725" customFormat="false" ht="15" hidden="false" customHeight="false" outlineLevel="0" collapsed="false">
      <c r="A3725" s="13" t="s">
        <v>4936</v>
      </c>
      <c r="B3725" s="13" t="s">
        <v>2192</v>
      </c>
      <c r="C3725" s="13" t="n">
        <v>210</v>
      </c>
      <c r="D3725" s="13" t="n">
        <v>1</v>
      </c>
      <c r="E3725" s="13" t="n">
        <v>208.85</v>
      </c>
      <c r="F3725" s="13" t="s">
        <v>5288</v>
      </c>
      <c r="G3725" s="13" t="s">
        <v>5292</v>
      </c>
      <c r="H3725" s="13" t="s">
        <v>5289</v>
      </c>
      <c r="I3725" s="13" t="s">
        <v>5289</v>
      </c>
      <c r="J3725" s="13" t="s">
        <v>5289</v>
      </c>
      <c r="K3725" s="13" t="s">
        <v>5292</v>
      </c>
      <c r="L3725" s="13" t="n">
        <v>7290116974163</v>
      </c>
      <c r="M3725" s="13"/>
      <c r="N3725" s="13" t="n">
        <v>7290116974163</v>
      </c>
      <c r="O3725" s="13"/>
      <c r="P3725" s="13" t="s">
        <v>5291</v>
      </c>
      <c r="Q3725" s="13" t="s">
        <v>5289</v>
      </c>
      <c r="R3725" s="13" t="s">
        <v>5292</v>
      </c>
      <c r="S3725" s="13" t="s">
        <v>5293</v>
      </c>
      <c r="T3725" s="13" t="s">
        <v>5</v>
      </c>
      <c r="U3725" s="13" t="s">
        <v>183</v>
      </c>
      <c r="V3725" s="13" t="n">
        <f aca="false">IF(COUNTIF($B$2:B3725,B3725)=1,1,0)</f>
        <v>0</v>
      </c>
      <c r="W3725" s="13" t="n">
        <f aca="false">IF(COUNTIFS($B$2:B3725,B3725,$T$2:T3725,T3725)=1,1,0)</f>
        <v>0</v>
      </c>
    </row>
    <row r="3726" customFormat="false" ht="15" hidden="false" customHeight="false" outlineLevel="0" collapsed="false">
      <c r="A3726" s="13" t="s">
        <v>1979</v>
      </c>
      <c r="B3726" s="13" t="s">
        <v>103</v>
      </c>
      <c r="C3726" s="13" t="n">
        <v>210</v>
      </c>
      <c r="D3726" s="13" t="n">
        <v>1</v>
      </c>
      <c r="E3726" s="13" t="n">
        <v>207.76</v>
      </c>
      <c r="F3726" s="13" t="s">
        <v>5325</v>
      </c>
      <c r="G3726" s="13" t="s">
        <v>5289</v>
      </c>
      <c r="H3726" s="13" t="s">
        <v>5292</v>
      </c>
      <c r="I3726" s="13" t="s">
        <v>5289</v>
      </c>
      <c r="J3726" s="13" t="s">
        <v>5289</v>
      </c>
      <c r="K3726" s="13" t="s">
        <v>5289</v>
      </c>
      <c r="L3726" s="13" t="n">
        <v>8411061695951</v>
      </c>
      <c r="M3726" s="13"/>
      <c r="N3726" s="13" t="n">
        <v>8.41106169595184E+025</v>
      </c>
      <c r="O3726" s="13"/>
      <c r="P3726" s="13" t="s">
        <v>5291</v>
      </c>
      <c r="Q3726" s="13" t="s">
        <v>5289</v>
      </c>
      <c r="R3726" s="13" t="s">
        <v>5292</v>
      </c>
      <c r="S3726" s="13" t="s">
        <v>5293</v>
      </c>
      <c r="T3726" s="13" t="s">
        <v>5</v>
      </c>
      <c r="U3726" s="13" t="s">
        <v>43</v>
      </c>
      <c r="V3726" s="13" t="n">
        <f aca="false">IF(COUNTIF($B$2:B3726,B3726)=1,1,0)</f>
        <v>0</v>
      </c>
      <c r="W3726" s="13" t="n">
        <f aca="false">IF(COUNTIFS($B$2:B3726,B3726,$T$2:T3726,T3726)=1,1,0)</f>
        <v>0</v>
      </c>
    </row>
    <row r="3727" customFormat="false" ht="15" hidden="false" customHeight="false" outlineLevel="0" collapsed="false">
      <c r="A3727" s="13" t="s">
        <v>873</v>
      </c>
      <c r="B3727" s="13" t="s">
        <v>42</v>
      </c>
      <c r="C3727" s="13" t="n">
        <v>210</v>
      </c>
      <c r="D3727" s="13" t="n">
        <v>1</v>
      </c>
      <c r="E3727" s="13" t="n">
        <v>207.65</v>
      </c>
      <c r="F3727" s="13" t="s">
        <v>5288</v>
      </c>
      <c r="G3727" s="13" t="s">
        <v>5292</v>
      </c>
      <c r="H3727" s="13" t="s">
        <v>5292</v>
      </c>
      <c r="I3727" s="13" t="s">
        <v>5289</v>
      </c>
      <c r="J3727" s="13" t="s">
        <v>5289</v>
      </c>
      <c r="K3727" s="13" t="s">
        <v>5289</v>
      </c>
      <c r="L3727" s="13" t="n">
        <v>8411061945858</v>
      </c>
      <c r="M3727" s="13"/>
      <c r="N3727" s="13" t="n">
        <v>8411061945858</v>
      </c>
      <c r="O3727" s="13"/>
      <c r="P3727" s="13" t="s">
        <v>5291</v>
      </c>
      <c r="Q3727" s="13" t="s">
        <v>5289</v>
      </c>
      <c r="R3727" s="13" t="s">
        <v>5292</v>
      </c>
      <c r="S3727" s="13" t="s">
        <v>5293</v>
      </c>
      <c r="T3727" s="13" t="s">
        <v>5</v>
      </c>
      <c r="U3727" s="13" t="s">
        <v>43</v>
      </c>
      <c r="V3727" s="13" t="n">
        <f aca="false">IF(COUNTIF($B$2:B3727,B3727)=1,1,0)</f>
        <v>0</v>
      </c>
      <c r="W3727" s="13" t="n">
        <f aca="false">IF(COUNTIFS($B$2:B3727,B3727,$T$2:T3727,T3727)=1,1,0)</f>
        <v>0</v>
      </c>
    </row>
    <row r="3728" customFormat="false" ht="15" hidden="false" customHeight="false" outlineLevel="0" collapsed="false">
      <c r="A3728" s="13" t="s">
        <v>6409</v>
      </c>
      <c r="B3728" s="13" t="s">
        <v>2127</v>
      </c>
      <c r="C3728" s="13" t="n">
        <v>210</v>
      </c>
      <c r="D3728" s="13" t="n">
        <v>2</v>
      </c>
      <c r="E3728" s="13" t="n">
        <v>69.1466666666667</v>
      </c>
      <c r="F3728" s="13" t="s">
        <v>5325</v>
      </c>
      <c r="G3728" s="13" t="s">
        <v>5289</v>
      </c>
      <c r="H3728" s="13" t="s">
        <v>5292</v>
      </c>
      <c r="I3728" s="13" t="s">
        <v>5292</v>
      </c>
      <c r="J3728" s="13" t="s">
        <v>5289</v>
      </c>
      <c r="K3728" s="13" t="s">
        <v>5289</v>
      </c>
      <c r="L3728" s="13" t="n">
        <v>19045108091</v>
      </c>
      <c r="M3728" s="13"/>
      <c r="N3728" s="13" t="n">
        <v>19045108091</v>
      </c>
      <c r="O3728" s="13"/>
      <c r="P3728" s="13" t="s">
        <v>5291</v>
      </c>
      <c r="Q3728" s="13" t="s">
        <v>5289</v>
      </c>
      <c r="R3728" s="13" t="s">
        <v>5292</v>
      </c>
      <c r="S3728" s="13" t="s">
        <v>5293</v>
      </c>
      <c r="T3728" s="13" t="s">
        <v>5</v>
      </c>
      <c r="U3728" s="13" t="s">
        <v>85</v>
      </c>
      <c r="V3728" s="13" t="n">
        <f aca="false">IF(COUNTIF($B$2:B3728,B3728)=1,1,0)</f>
        <v>0</v>
      </c>
      <c r="W3728" s="13" t="n">
        <f aca="false">IF(COUNTIFS($B$2:B3728,B3728,$T$2:T3728,T3728)=1,1,0)</f>
        <v>0</v>
      </c>
    </row>
    <row r="3729" customFormat="false" ht="15" hidden="false" customHeight="false" outlineLevel="0" collapsed="false">
      <c r="A3729" s="13" t="s">
        <v>1992</v>
      </c>
      <c r="B3729" s="13" t="s">
        <v>630</v>
      </c>
      <c r="C3729" s="13" t="n">
        <v>200</v>
      </c>
      <c r="D3729" s="13" t="n">
        <v>1</v>
      </c>
      <c r="E3729" s="13" t="n">
        <v>204.88</v>
      </c>
      <c r="F3729" s="13" t="s">
        <v>5325</v>
      </c>
      <c r="G3729" s="13" t="s">
        <v>5289</v>
      </c>
      <c r="H3729" s="13" t="s">
        <v>5289</v>
      </c>
      <c r="I3729" s="13" t="s">
        <v>5289</v>
      </c>
      <c r="J3729" s="13" t="s">
        <v>5289</v>
      </c>
      <c r="K3729" s="13" t="s">
        <v>5289</v>
      </c>
      <c r="L3729" s="13" t="n">
        <v>8433982017070</v>
      </c>
      <c r="M3729" s="13"/>
      <c r="N3729" s="13" t="n">
        <v>8433982017070</v>
      </c>
      <c r="O3729" s="13"/>
      <c r="P3729" s="13" t="s">
        <v>5291</v>
      </c>
      <c r="Q3729" s="13" t="s">
        <v>5289</v>
      </c>
      <c r="R3729" s="13" t="s">
        <v>5292</v>
      </c>
      <c r="S3729" s="13" t="s">
        <v>5293</v>
      </c>
      <c r="T3729" s="13" t="s">
        <v>5</v>
      </c>
      <c r="U3729" s="13" t="s">
        <v>43</v>
      </c>
      <c r="V3729" s="13" t="n">
        <f aca="false">IF(COUNTIF($B$2:B3729,B3729)=1,1,0)</f>
        <v>0</v>
      </c>
      <c r="W3729" s="13" t="n">
        <f aca="false">IF(COUNTIFS($B$2:B3729,B3729,$T$2:T3729,T3729)=1,1,0)</f>
        <v>0</v>
      </c>
    </row>
    <row r="3730" customFormat="false" ht="15" hidden="false" customHeight="false" outlineLevel="0" collapsed="false">
      <c r="A3730" s="13" t="s">
        <v>1988</v>
      </c>
      <c r="B3730" s="13" t="s">
        <v>121</v>
      </c>
      <c r="C3730" s="13" t="n">
        <v>200</v>
      </c>
      <c r="D3730" s="13" t="n">
        <v>1</v>
      </c>
      <c r="E3730" s="13" t="n">
        <v>204.85</v>
      </c>
      <c r="F3730" s="13" t="s">
        <v>5325</v>
      </c>
      <c r="G3730" s="13" t="s">
        <v>5292</v>
      </c>
      <c r="H3730" s="13" t="s">
        <v>5292</v>
      </c>
      <c r="I3730" s="13" t="s">
        <v>5289</v>
      </c>
      <c r="J3730" s="13" t="s">
        <v>5289</v>
      </c>
      <c r="K3730" s="13" t="s">
        <v>5289</v>
      </c>
      <c r="L3730" s="13" t="n">
        <v>7896086960788</v>
      </c>
      <c r="M3730" s="13"/>
      <c r="N3730" s="13" t="n">
        <v>7896086960788</v>
      </c>
      <c r="O3730" s="13"/>
      <c r="P3730" s="13" t="s">
        <v>5297</v>
      </c>
      <c r="Q3730" s="13" t="s">
        <v>5289</v>
      </c>
      <c r="R3730" s="13" t="s">
        <v>5292</v>
      </c>
      <c r="S3730" s="13" t="s">
        <v>5293</v>
      </c>
      <c r="T3730" s="13" t="s">
        <v>5</v>
      </c>
      <c r="U3730" s="13" t="s">
        <v>43</v>
      </c>
      <c r="V3730" s="13" t="n">
        <f aca="false">IF(COUNTIF($B$2:B3730,B3730)=1,1,0)</f>
        <v>0</v>
      </c>
      <c r="W3730" s="13" t="n">
        <f aca="false">IF(COUNTIFS($B$2:B3730,B3730,$T$2:T3730,T3730)=1,1,0)</f>
        <v>0</v>
      </c>
    </row>
    <row r="3731" customFormat="false" ht="15" hidden="false" customHeight="false" outlineLevel="0" collapsed="false">
      <c r="A3731" s="13" t="s">
        <v>1991</v>
      </c>
      <c r="B3731" s="13" t="s">
        <v>121</v>
      </c>
      <c r="C3731" s="13" t="n">
        <v>200</v>
      </c>
      <c r="D3731" s="13" t="n">
        <v>1</v>
      </c>
      <c r="E3731" s="13" t="n">
        <v>204.85</v>
      </c>
      <c r="F3731" s="13" t="s">
        <v>5325</v>
      </c>
      <c r="G3731" s="13" t="s">
        <v>5292</v>
      </c>
      <c r="H3731" s="13" t="s">
        <v>5289</v>
      </c>
      <c r="I3731" s="13" t="s">
        <v>5289</v>
      </c>
      <c r="J3731" s="13" t="s">
        <v>5289</v>
      </c>
      <c r="K3731" s="13" t="s">
        <v>5289</v>
      </c>
      <c r="L3731" s="13" t="n">
        <v>7896086960788</v>
      </c>
      <c r="M3731" s="13"/>
      <c r="N3731" s="13" t="n">
        <v>7896086960788</v>
      </c>
      <c r="O3731" s="13"/>
      <c r="P3731" s="13" t="s">
        <v>5291</v>
      </c>
      <c r="Q3731" s="13" t="s">
        <v>5289</v>
      </c>
      <c r="R3731" s="13" t="s">
        <v>5292</v>
      </c>
      <c r="S3731" s="13" t="s">
        <v>5293</v>
      </c>
      <c r="T3731" s="13" t="s">
        <v>5</v>
      </c>
      <c r="U3731" s="13" t="s">
        <v>43</v>
      </c>
      <c r="V3731" s="13" t="n">
        <f aca="false">IF(COUNTIF($B$2:B3731,B3731)=1,1,0)</f>
        <v>0</v>
      </c>
      <c r="W3731" s="13" t="n">
        <f aca="false">IF(COUNTIFS($B$2:B3731,B3731,$T$2:T3731,T3731)=1,1,0)</f>
        <v>0</v>
      </c>
    </row>
    <row r="3732" customFormat="false" ht="15" hidden="false" customHeight="false" outlineLevel="0" collapsed="false">
      <c r="A3732" s="13" t="s">
        <v>1986</v>
      </c>
      <c r="B3732" s="13" t="s">
        <v>103</v>
      </c>
      <c r="C3732" s="13" t="n">
        <v>200</v>
      </c>
      <c r="D3732" s="13" t="n">
        <v>1</v>
      </c>
      <c r="E3732" s="13" t="n">
        <v>204.56</v>
      </c>
      <c r="F3732" s="13" t="s">
        <v>5325</v>
      </c>
      <c r="G3732" s="13" t="s">
        <v>5289</v>
      </c>
      <c r="H3732" s="13" t="s">
        <v>5292</v>
      </c>
      <c r="I3732" s="13" t="s">
        <v>5289</v>
      </c>
      <c r="J3732" s="13" t="s">
        <v>5289</v>
      </c>
      <c r="K3732" s="13" t="s">
        <v>5289</v>
      </c>
      <c r="L3732" s="13" t="n">
        <v>8411061081006</v>
      </c>
      <c r="M3732" s="13"/>
      <c r="N3732" s="13" t="n">
        <v>8411061081006</v>
      </c>
      <c r="O3732" s="13"/>
      <c r="P3732" s="13" t="s">
        <v>5291</v>
      </c>
      <c r="Q3732" s="13" t="s">
        <v>5289</v>
      </c>
      <c r="R3732" s="13" t="s">
        <v>5292</v>
      </c>
      <c r="S3732" s="13" t="s">
        <v>5293</v>
      </c>
      <c r="T3732" s="13" t="s">
        <v>5</v>
      </c>
      <c r="U3732" s="13" t="s">
        <v>43</v>
      </c>
      <c r="V3732" s="13" t="n">
        <f aca="false">IF(COUNTIF($B$2:B3732,B3732)=1,1,0)</f>
        <v>0</v>
      </c>
      <c r="W3732" s="13" t="n">
        <f aca="false">IF(COUNTIFS($B$2:B3732,B3732,$T$2:T3732,T3732)=1,1,0)</f>
        <v>0</v>
      </c>
    </row>
    <row r="3733" customFormat="false" ht="15" hidden="false" customHeight="false" outlineLevel="0" collapsed="false">
      <c r="A3733" s="13" t="s">
        <v>1984</v>
      </c>
      <c r="B3733" s="13" t="s">
        <v>103</v>
      </c>
      <c r="C3733" s="13" t="n">
        <v>200</v>
      </c>
      <c r="D3733" s="13" t="n">
        <v>1</v>
      </c>
      <c r="E3733" s="13" t="n">
        <v>204.47</v>
      </c>
      <c r="F3733" s="13" t="s">
        <v>5325</v>
      </c>
      <c r="G3733" s="13" t="s">
        <v>5292</v>
      </c>
      <c r="H3733" s="13" t="s">
        <v>5292</v>
      </c>
      <c r="I3733" s="13" t="s">
        <v>5289</v>
      </c>
      <c r="J3733" s="13" t="s">
        <v>5289</v>
      </c>
      <c r="K3733" s="13" t="s">
        <v>5289</v>
      </c>
      <c r="L3733" s="13" t="n">
        <v>8411061779521</v>
      </c>
      <c r="M3733" s="13"/>
      <c r="N3733" s="13" t="n">
        <v>8.41106177952184E+025</v>
      </c>
      <c r="O3733" s="13"/>
      <c r="P3733" s="13" t="s">
        <v>5291</v>
      </c>
      <c r="Q3733" s="13" t="s">
        <v>5289</v>
      </c>
      <c r="R3733" s="13" t="s">
        <v>5292</v>
      </c>
      <c r="S3733" s="13" t="s">
        <v>5293</v>
      </c>
      <c r="T3733" s="13" t="s">
        <v>5</v>
      </c>
      <c r="U3733" s="13" t="s">
        <v>43</v>
      </c>
      <c r="V3733" s="13" t="n">
        <f aca="false">IF(COUNTIF($B$2:B3733,B3733)=1,1,0)</f>
        <v>0</v>
      </c>
      <c r="W3733" s="13" t="n">
        <f aca="false">IF(COUNTIFS($B$2:B3733,B3733,$T$2:T3733,T3733)=1,1,0)</f>
        <v>0</v>
      </c>
    </row>
    <row r="3734" customFormat="false" ht="15" hidden="false" customHeight="false" outlineLevel="0" collapsed="false">
      <c r="A3734" s="13" t="s">
        <v>1983</v>
      </c>
      <c r="B3734" s="13" t="s">
        <v>103</v>
      </c>
      <c r="C3734" s="13" t="n">
        <v>200</v>
      </c>
      <c r="D3734" s="13" t="n">
        <v>1</v>
      </c>
      <c r="E3734" s="13" t="n">
        <v>203.14</v>
      </c>
      <c r="F3734" s="13" t="s">
        <v>5325</v>
      </c>
      <c r="G3734" s="13" t="s">
        <v>5289</v>
      </c>
      <c r="H3734" s="13" t="s">
        <v>5289</v>
      </c>
      <c r="I3734" s="13" t="s">
        <v>5289</v>
      </c>
      <c r="J3734" s="13" t="s">
        <v>5289</v>
      </c>
      <c r="K3734" s="13" t="s">
        <v>5289</v>
      </c>
      <c r="L3734" s="13" t="n">
        <v>8411061695951</v>
      </c>
      <c r="M3734" s="13"/>
      <c r="N3734" s="13" t="n">
        <v>8.41106169595184E+025</v>
      </c>
      <c r="O3734" s="13"/>
      <c r="P3734" s="13" t="s">
        <v>5291</v>
      </c>
      <c r="Q3734" s="13" t="s">
        <v>5289</v>
      </c>
      <c r="R3734" s="13" t="s">
        <v>5292</v>
      </c>
      <c r="S3734" s="13" t="s">
        <v>5293</v>
      </c>
      <c r="T3734" s="13" t="s">
        <v>5</v>
      </c>
      <c r="U3734" s="13" t="s">
        <v>43</v>
      </c>
      <c r="V3734" s="13" t="n">
        <f aca="false">IF(COUNTIF($B$2:B3734,B3734)=1,1,0)</f>
        <v>0</v>
      </c>
      <c r="W3734" s="13" t="n">
        <f aca="false">IF(COUNTIFS($B$2:B3734,B3734,$T$2:T3734,T3734)=1,1,0)</f>
        <v>0</v>
      </c>
    </row>
    <row r="3735" customFormat="false" ht="15" hidden="false" customHeight="false" outlineLevel="0" collapsed="false">
      <c r="A3735" s="13" t="s">
        <v>6410</v>
      </c>
      <c r="B3735" s="13" t="s">
        <v>2215</v>
      </c>
      <c r="C3735" s="13" t="n">
        <v>200</v>
      </c>
      <c r="D3735" s="13" t="n">
        <v>1</v>
      </c>
      <c r="E3735" s="13" t="n">
        <v>199.15</v>
      </c>
      <c r="F3735" s="13" t="s">
        <v>5288</v>
      </c>
      <c r="G3735" s="13" t="s">
        <v>5292</v>
      </c>
      <c r="H3735" s="13" t="s">
        <v>5292</v>
      </c>
      <c r="I3735" s="13" t="s">
        <v>5289</v>
      </c>
      <c r="J3735" s="13" t="s">
        <v>5289</v>
      </c>
      <c r="K3735" s="13" t="s">
        <v>5289</v>
      </c>
      <c r="L3735" s="13" t="n">
        <v>3474637292423</v>
      </c>
      <c r="M3735" s="13"/>
      <c r="N3735" s="13" t="n">
        <v>3474637292423</v>
      </c>
      <c r="O3735" s="13"/>
      <c r="P3735" s="13" t="s">
        <v>5297</v>
      </c>
      <c r="Q3735" s="13" t="s">
        <v>5289</v>
      </c>
      <c r="R3735" s="13" t="s">
        <v>5292</v>
      </c>
      <c r="S3735" s="13" t="s">
        <v>5293</v>
      </c>
      <c r="T3735" s="13" t="s">
        <v>5</v>
      </c>
      <c r="U3735" s="13" t="s">
        <v>85</v>
      </c>
      <c r="V3735" s="13" t="n">
        <f aca="false">IF(COUNTIF($B$2:B3735,B3735)=1,1,0)</f>
        <v>0</v>
      </c>
      <c r="W3735" s="13" t="n">
        <f aca="false">IF(COUNTIFS($B$2:B3735,B3735,$T$2:T3735,T3735)=1,1,0)</f>
        <v>0</v>
      </c>
    </row>
    <row r="3736" customFormat="false" ht="15" hidden="false" customHeight="false" outlineLevel="0" collapsed="false">
      <c r="A3736" s="13" t="s">
        <v>1982</v>
      </c>
      <c r="B3736" s="13" t="s">
        <v>107</v>
      </c>
      <c r="C3736" s="13" t="n">
        <v>200</v>
      </c>
      <c r="D3736" s="13" t="n">
        <v>1</v>
      </c>
      <c r="E3736" s="13" t="n">
        <v>199.11</v>
      </c>
      <c r="F3736" s="13" t="s">
        <v>5325</v>
      </c>
      <c r="G3736" s="13" t="s">
        <v>5289</v>
      </c>
      <c r="H3736" s="13" t="s">
        <v>5292</v>
      </c>
      <c r="I3736" s="13" t="s">
        <v>5289</v>
      </c>
      <c r="J3736" s="13" t="s">
        <v>5289</v>
      </c>
      <c r="K3736" s="13" t="s">
        <v>5289</v>
      </c>
      <c r="L3736" s="13" t="n">
        <v>7896235353652</v>
      </c>
      <c r="M3736" s="13"/>
      <c r="N3736" s="13" t="n">
        <v>7896235353652</v>
      </c>
      <c r="O3736" s="13"/>
      <c r="P3736" s="13" t="s">
        <v>5291</v>
      </c>
      <c r="Q3736" s="13" t="s">
        <v>5289</v>
      </c>
      <c r="R3736" s="13" t="s">
        <v>5292</v>
      </c>
      <c r="S3736" s="13" t="s">
        <v>5293</v>
      </c>
      <c r="T3736" s="13" t="s">
        <v>5</v>
      </c>
      <c r="U3736" s="13" t="s">
        <v>43</v>
      </c>
      <c r="V3736" s="13" t="n">
        <f aca="false">IF(COUNTIF($B$2:B3736,B3736)=1,1,0)</f>
        <v>0</v>
      </c>
      <c r="W3736" s="13" t="n">
        <f aca="false">IF(COUNTIFS($B$2:B3736,B3736,$T$2:T3736,T3736)=1,1,0)</f>
        <v>0</v>
      </c>
    </row>
    <row r="3737" customFormat="false" ht="15" hidden="false" customHeight="false" outlineLevel="0" collapsed="false">
      <c r="A3737" s="13" t="s">
        <v>4954</v>
      </c>
      <c r="B3737" s="13" t="s">
        <v>2200</v>
      </c>
      <c r="C3737" s="13" t="n">
        <v>200</v>
      </c>
      <c r="D3737" s="13" t="n">
        <v>1</v>
      </c>
      <c r="E3737" s="13" t="n">
        <v>198.85</v>
      </c>
      <c r="F3737" s="13" t="s">
        <v>5325</v>
      </c>
      <c r="G3737" s="13" t="s">
        <v>5292</v>
      </c>
      <c r="H3737" s="13" t="s">
        <v>5289</v>
      </c>
      <c r="I3737" s="13" t="s">
        <v>5289</v>
      </c>
      <c r="J3737" s="13" t="s">
        <v>5289</v>
      </c>
      <c r="K3737" s="13" t="s">
        <v>5292</v>
      </c>
      <c r="L3737" s="13"/>
      <c r="M3737" s="13"/>
      <c r="N3737" s="13" t="n">
        <v>7899706205252</v>
      </c>
      <c r="O3737" s="13"/>
      <c r="P3737" s="13" t="s">
        <v>5297</v>
      </c>
      <c r="Q3737" s="13" t="s">
        <v>5289</v>
      </c>
      <c r="R3737" s="13" t="s">
        <v>5292</v>
      </c>
      <c r="S3737" s="13" t="s">
        <v>5293</v>
      </c>
      <c r="T3737" s="13" t="s">
        <v>5</v>
      </c>
      <c r="U3737" s="13" t="s">
        <v>85</v>
      </c>
      <c r="V3737" s="13" t="n">
        <f aca="false">IF(COUNTIF($B$2:B3737,B3737)=1,1,0)</f>
        <v>0</v>
      </c>
      <c r="W3737" s="13" t="n">
        <f aca="false">IF(COUNTIFS($B$2:B3737,B3737,$T$2:T3737,T3737)=1,1,0)</f>
        <v>0</v>
      </c>
    </row>
    <row r="3738" customFormat="false" ht="15" hidden="false" customHeight="false" outlineLevel="0" collapsed="false">
      <c r="A3738" s="13" t="s">
        <v>1985</v>
      </c>
      <c r="B3738" s="13" t="s">
        <v>103</v>
      </c>
      <c r="C3738" s="13" t="n">
        <v>200</v>
      </c>
      <c r="D3738" s="13" t="n">
        <v>1</v>
      </c>
      <c r="E3738" s="13" t="n">
        <v>198.53</v>
      </c>
      <c r="F3738" s="13" t="s">
        <v>5325</v>
      </c>
      <c r="G3738" s="13" t="s">
        <v>5289</v>
      </c>
      <c r="H3738" s="13" t="s">
        <v>5292</v>
      </c>
      <c r="I3738" s="13" t="s">
        <v>5289</v>
      </c>
      <c r="J3738" s="13" t="s">
        <v>5289</v>
      </c>
      <c r="K3738" s="13" t="s">
        <v>5289</v>
      </c>
      <c r="L3738" s="13" t="n">
        <v>8411061779521</v>
      </c>
      <c r="M3738" s="13"/>
      <c r="N3738" s="13" t="n">
        <v>8.41106108106834E+038</v>
      </c>
      <c r="O3738" s="13"/>
      <c r="P3738" s="13" t="s">
        <v>5291</v>
      </c>
      <c r="Q3738" s="13" t="s">
        <v>5289</v>
      </c>
      <c r="R3738" s="13" t="s">
        <v>5292</v>
      </c>
      <c r="S3738" s="13" t="s">
        <v>5293</v>
      </c>
      <c r="T3738" s="13" t="s">
        <v>5</v>
      </c>
      <c r="U3738" s="13" t="s">
        <v>43</v>
      </c>
      <c r="V3738" s="13" t="n">
        <f aca="false">IF(COUNTIF($B$2:B3738,B3738)=1,1,0)</f>
        <v>0</v>
      </c>
      <c r="W3738" s="13" t="n">
        <f aca="false">IF(COUNTIFS($B$2:B3738,B3738,$T$2:T3738,T3738)=1,1,0)</f>
        <v>0</v>
      </c>
    </row>
    <row r="3739" customFormat="false" ht="15" hidden="false" customHeight="false" outlineLevel="0" collapsed="false">
      <c r="A3739" s="13" t="s">
        <v>6378</v>
      </c>
      <c r="B3739" s="13" t="s">
        <v>2127</v>
      </c>
      <c r="C3739" s="13" t="n">
        <v>200</v>
      </c>
      <c r="D3739" s="13" t="n">
        <v>2</v>
      </c>
      <c r="E3739" s="13" t="n">
        <v>49.46</v>
      </c>
      <c r="F3739" s="13" t="s">
        <v>5288</v>
      </c>
      <c r="G3739" s="13" t="s">
        <v>5289</v>
      </c>
      <c r="H3739" s="13" t="s">
        <v>5292</v>
      </c>
      <c r="I3739" s="13" t="s">
        <v>5292</v>
      </c>
      <c r="J3739" s="13" t="s">
        <v>5289</v>
      </c>
      <c r="K3739" s="13" t="s">
        <v>5289</v>
      </c>
      <c r="L3739" s="13" t="n">
        <v>19045108022</v>
      </c>
      <c r="M3739" s="13"/>
      <c r="N3739" s="13" t="n">
        <v>19045108022</v>
      </c>
      <c r="O3739" s="13"/>
      <c r="P3739" s="13" t="s">
        <v>5291</v>
      </c>
      <c r="Q3739" s="13" t="s">
        <v>5289</v>
      </c>
      <c r="R3739" s="13" t="s">
        <v>5292</v>
      </c>
      <c r="S3739" s="13" t="s">
        <v>5293</v>
      </c>
      <c r="T3739" s="13" t="s">
        <v>5</v>
      </c>
      <c r="U3739" s="13" t="s">
        <v>85</v>
      </c>
      <c r="V3739" s="13" t="n">
        <f aca="false">IF(COUNTIF($B$2:B3739,B3739)=1,1,0)</f>
        <v>0</v>
      </c>
      <c r="W3739" s="13" t="n">
        <f aca="false">IF(COUNTIFS($B$2:B3739,B3739,$T$2:T3739,T3739)=1,1,0)</f>
        <v>0</v>
      </c>
    </row>
    <row r="3740" customFormat="false" ht="15" hidden="false" customHeight="false" outlineLevel="0" collapsed="false">
      <c r="A3740" s="13" t="s">
        <v>1988</v>
      </c>
      <c r="B3740" s="13" t="s">
        <v>121</v>
      </c>
      <c r="C3740" s="13" t="n">
        <v>200</v>
      </c>
      <c r="D3740" s="13" t="n">
        <v>1</v>
      </c>
      <c r="E3740" s="13" t="n">
        <v>195.65</v>
      </c>
      <c r="F3740" s="13" t="s">
        <v>5288</v>
      </c>
      <c r="G3740" s="13" t="s">
        <v>5292</v>
      </c>
      <c r="H3740" s="13" t="s">
        <v>5292</v>
      </c>
      <c r="I3740" s="13" t="s">
        <v>5289</v>
      </c>
      <c r="J3740" s="13" t="s">
        <v>5289</v>
      </c>
      <c r="K3740" s="13" t="s">
        <v>5289</v>
      </c>
      <c r="L3740" s="13" t="n">
        <v>7896086960788</v>
      </c>
      <c r="M3740" s="13"/>
      <c r="N3740" s="13" t="n">
        <v>7896086960788</v>
      </c>
      <c r="O3740" s="13"/>
      <c r="P3740" s="13" t="s">
        <v>5291</v>
      </c>
      <c r="Q3740" s="13" t="s">
        <v>5289</v>
      </c>
      <c r="R3740" s="13" t="s">
        <v>5292</v>
      </c>
      <c r="S3740" s="13" t="s">
        <v>5293</v>
      </c>
      <c r="T3740" s="13" t="s">
        <v>5</v>
      </c>
      <c r="U3740" s="13" t="s">
        <v>43</v>
      </c>
      <c r="V3740" s="13" t="n">
        <f aca="false">IF(COUNTIF($B$2:B3740,B3740)=1,1,0)</f>
        <v>0</v>
      </c>
      <c r="W3740" s="13" t="n">
        <f aca="false">IF(COUNTIFS($B$2:B3740,B3740,$T$2:T3740,T3740)=1,1,0)</f>
        <v>0</v>
      </c>
    </row>
    <row r="3741" customFormat="false" ht="15" hidden="false" customHeight="false" outlineLevel="0" collapsed="false">
      <c r="A3741" s="13" t="s">
        <v>4971</v>
      </c>
      <c r="B3741" s="13" t="s">
        <v>2270</v>
      </c>
      <c r="C3741" s="13" t="n">
        <v>190</v>
      </c>
      <c r="D3741" s="13" t="n">
        <v>2</v>
      </c>
      <c r="E3741" s="13" t="n">
        <v>64.85</v>
      </c>
      <c r="F3741" s="13" t="s">
        <v>5288</v>
      </c>
      <c r="G3741" s="13" t="s">
        <v>5292</v>
      </c>
      <c r="H3741" s="13" t="s">
        <v>5289</v>
      </c>
      <c r="I3741" s="13" t="s">
        <v>5289</v>
      </c>
      <c r="J3741" s="13" t="s">
        <v>5289</v>
      </c>
      <c r="K3741" s="13" t="s">
        <v>5292</v>
      </c>
      <c r="L3741" s="13" t="n">
        <v>4901301259660</v>
      </c>
      <c r="M3741" s="13"/>
      <c r="N3741" s="13" t="n">
        <v>4901301259660</v>
      </c>
      <c r="O3741" s="13"/>
      <c r="P3741" s="13" t="s">
        <v>5297</v>
      </c>
      <c r="Q3741" s="13" t="s">
        <v>5289</v>
      </c>
      <c r="R3741" s="13" t="s">
        <v>5292</v>
      </c>
      <c r="S3741" s="13" t="s">
        <v>5293</v>
      </c>
      <c r="T3741" s="13" t="s">
        <v>5</v>
      </c>
      <c r="U3741" s="13" t="s">
        <v>183</v>
      </c>
      <c r="V3741" s="13" t="n">
        <f aca="false">IF(COUNTIF($B$2:B3741,B3741)=1,1,0)</f>
        <v>1</v>
      </c>
      <c r="W3741" s="13" t="n">
        <f aca="false">IF(COUNTIFS($B$2:B3741,B3741,$T$2:T3741,T3741)=1,1,0)</f>
        <v>1</v>
      </c>
    </row>
    <row r="3742" customFormat="false" ht="15" hidden="false" customHeight="false" outlineLevel="0" collapsed="false">
      <c r="A3742" s="13" t="s">
        <v>1999</v>
      </c>
      <c r="B3742" s="13" t="s">
        <v>103</v>
      </c>
      <c r="C3742" s="13" t="n">
        <v>190</v>
      </c>
      <c r="D3742" s="13" t="n">
        <v>1</v>
      </c>
      <c r="E3742" s="13" t="n">
        <v>194.48</v>
      </c>
      <c r="F3742" s="13" t="s">
        <v>5325</v>
      </c>
      <c r="G3742" s="13" t="s">
        <v>5292</v>
      </c>
      <c r="H3742" s="13" t="s">
        <v>5289</v>
      </c>
      <c r="I3742" s="13" t="s">
        <v>5289</v>
      </c>
      <c r="J3742" s="13" t="s">
        <v>5289</v>
      </c>
      <c r="K3742" s="13" t="s">
        <v>5289</v>
      </c>
      <c r="L3742" s="13" t="n">
        <v>8411061982020</v>
      </c>
      <c r="M3742" s="13"/>
      <c r="N3742" s="13" t="n">
        <v>8.41106198202084E+025</v>
      </c>
      <c r="O3742" s="13"/>
      <c r="P3742" s="13" t="s">
        <v>5297</v>
      </c>
      <c r="Q3742" s="13" t="s">
        <v>5289</v>
      </c>
      <c r="R3742" s="13" t="s">
        <v>5292</v>
      </c>
      <c r="S3742" s="13" t="s">
        <v>5293</v>
      </c>
      <c r="T3742" s="13" t="s">
        <v>5</v>
      </c>
      <c r="U3742" s="13" t="s">
        <v>43</v>
      </c>
      <c r="V3742" s="13" t="n">
        <f aca="false">IF(COUNTIF($B$2:B3742,B3742)=1,1,0)</f>
        <v>0</v>
      </c>
      <c r="W3742" s="13" t="n">
        <f aca="false">IF(COUNTIFS($B$2:B3742,B3742,$T$2:T3742,T3742)=1,1,0)</f>
        <v>0</v>
      </c>
    </row>
    <row r="3743" customFormat="false" ht="15" hidden="false" customHeight="false" outlineLevel="0" collapsed="false">
      <c r="A3743" s="13" t="s">
        <v>1996</v>
      </c>
      <c r="B3743" s="13" t="s">
        <v>107</v>
      </c>
      <c r="C3743" s="13" t="n">
        <v>190</v>
      </c>
      <c r="D3743" s="13" t="n">
        <v>2</v>
      </c>
      <c r="E3743" s="13" t="n">
        <v>97.16</v>
      </c>
      <c r="F3743" s="13" t="s">
        <v>5325</v>
      </c>
      <c r="G3743" s="13" t="s">
        <v>5289</v>
      </c>
      <c r="H3743" s="13" t="s">
        <v>5292</v>
      </c>
      <c r="I3743" s="13" t="s">
        <v>5289</v>
      </c>
      <c r="J3743" s="13" t="s">
        <v>5289</v>
      </c>
      <c r="K3743" s="13" t="s">
        <v>5289</v>
      </c>
      <c r="L3743" s="13" t="n">
        <v>8005610643885</v>
      </c>
      <c r="M3743" s="13"/>
      <c r="N3743" s="13" t="n">
        <v>8005610643885</v>
      </c>
      <c r="O3743" s="13"/>
      <c r="P3743" s="13" t="s">
        <v>5291</v>
      </c>
      <c r="Q3743" s="13" t="s">
        <v>5289</v>
      </c>
      <c r="R3743" s="13" t="s">
        <v>5292</v>
      </c>
      <c r="S3743" s="13" t="s">
        <v>5293</v>
      </c>
      <c r="T3743" s="13" t="s">
        <v>5</v>
      </c>
      <c r="U3743" s="13" t="s">
        <v>43</v>
      </c>
      <c r="V3743" s="13" t="n">
        <f aca="false">IF(COUNTIF($B$2:B3743,B3743)=1,1,0)</f>
        <v>0</v>
      </c>
      <c r="W3743" s="13" t="n">
        <f aca="false">IF(COUNTIFS($B$2:B3743,B3743,$T$2:T3743,T3743)=1,1,0)</f>
        <v>0</v>
      </c>
    </row>
    <row r="3744" customFormat="false" ht="15" hidden="false" customHeight="false" outlineLevel="0" collapsed="false">
      <c r="A3744" s="13" t="s">
        <v>1993</v>
      </c>
      <c r="B3744" s="13" t="s">
        <v>121</v>
      </c>
      <c r="C3744" s="13" t="n">
        <v>190</v>
      </c>
      <c r="D3744" s="13" t="n">
        <v>1</v>
      </c>
      <c r="E3744" s="13" t="n">
        <v>194</v>
      </c>
      <c r="F3744" s="13" t="s">
        <v>5325</v>
      </c>
      <c r="G3744" s="13" t="s">
        <v>5289</v>
      </c>
      <c r="H3744" s="13" t="s">
        <v>5292</v>
      </c>
      <c r="I3744" s="13" t="s">
        <v>5289</v>
      </c>
      <c r="J3744" s="13" t="s">
        <v>5289</v>
      </c>
      <c r="K3744" s="13" t="s">
        <v>5289</v>
      </c>
      <c r="L3744" s="13" t="n">
        <v>7896086989819</v>
      </c>
      <c r="M3744" s="13"/>
      <c r="N3744" s="13" t="n">
        <v>7896086989819</v>
      </c>
      <c r="O3744" s="13"/>
      <c r="P3744" s="13" t="s">
        <v>5291</v>
      </c>
      <c r="Q3744" s="13" t="s">
        <v>5289</v>
      </c>
      <c r="R3744" s="13" t="s">
        <v>5292</v>
      </c>
      <c r="S3744" s="13" t="s">
        <v>5293</v>
      </c>
      <c r="T3744" s="13" t="s">
        <v>5</v>
      </c>
      <c r="U3744" s="13" t="s">
        <v>43</v>
      </c>
      <c r="V3744" s="13" t="n">
        <f aca="false">IF(COUNTIF($B$2:B3744,B3744)=1,1,0)</f>
        <v>0</v>
      </c>
      <c r="W3744" s="13" t="n">
        <f aca="false">IF(COUNTIFS($B$2:B3744,B3744,$T$2:T3744,T3744)=1,1,0)</f>
        <v>0</v>
      </c>
    </row>
    <row r="3745" customFormat="false" ht="15" hidden="false" customHeight="false" outlineLevel="0" collapsed="false">
      <c r="A3745" s="13" t="s">
        <v>1994</v>
      </c>
      <c r="B3745" s="13" t="s">
        <v>630</v>
      </c>
      <c r="C3745" s="13" t="n">
        <v>190</v>
      </c>
      <c r="D3745" s="13" t="n">
        <v>1</v>
      </c>
      <c r="E3745" s="13" t="n">
        <v>190.98</v>
      </c>
      <c r="F3745" s="13" t="s">
        <v>5325</v>
      </c>
      <c r="G3745" s="13" t="s">
        <v>5289</v>
      </c>
      <c r="H3745" s="13" t="s">
        <v>5292</v>
      </c>
      <c r="I3745" s="13" t="s">
        <v>5289</v>
      </c>
      <c r="J3745" s="13" t="s">
        <v>5289</v>
      </c>
      <c r="K3745" s="13" t="s">
        <v>5289</v>
      </c>
      <c r="L3745" s="13"/>
      <c r="M3745" s="13"/>
      <c r="N3745" s="13" t="n">
        <v>8433982027383</v>
      </c>
      <c r="O3745" s="13"/>
      <c r="P3745" s="13" t="s">
        <v>5291</v>
      </c>
      <c r="Q3745" s="13" t="s">
        <v>5289</v>
      </c>
      <c r="R3745" s="13" t="s">
        <v>5292</v>
      </c>
      <c r="S3745" s="13" t="s">
        <v>5293</v>
      </c>
      <c r="T3745" s="13" t="s">
        <v>5</v>
      </c>
      <c r="U3745" s="13" t="s">
        <v>43</v>
      </c>
      <c r="V3745" s="13" t="n">
        <f aca="false">IF(COUNTIF($B$2:B3745,B3745)=1,1,0)</f>
        <v>0</v>
      </c>
      <c r="W3745" s="13" t="n">
        <f aca="false">IF(COUNTIFS($B$2:B3745,B3745,$T$2:T3745,T3745)=1,1,0)</f>
        <v>0</v>
      </c>
    </row>
    <row r="3746" customFormat="false" ht="15" hidden="false" customHeight="false" outlineLevel="0" collapsed="false">
      <c r="A3746" s="13" t="s">
        <v>1995</v>
      </c>
      <c r="B3746" s="13" t="s">
        <v>155</v>
      </c>
      <c r="C3746" s="13" t="n">
        <v>190</v>
      </c>
      <c r="D3746" s="13" t="n">
        <v>2</v>
      </c>
      <c r="E3746" s="13" t="n">
        <v>95.29</v>
      </c>
      <c r="F3746" s="13" t="s">
        <v>5288</v>
      </c>
      <c r="G3746" s="13" t="s">
        <v>5289</v>
      </c>
      <c r="H3746" s="13" t="s">
        <v>5292</v>
      </c>
      <c r="I3746" s="13" t="s">
        <v>5289</v>
      </c>
      <c r="J3746" s="13" t="s">
        <v>5289</v>
      </c>
      <c r="K3746" s="13" t="s">
        <v>5289</v>
      </c>
      <c r="L3746" s="13" t="n">
        <v>8005610325538</v>
      </c>
      <c r="M3746" s="13"/>
      <c r="N3746" s="13" t="n">
        <v>8005610325538</v>
      </c>
      <c r="O3746" s="13"/>
      <c r="P3746" s="13" t="s">
        <v>5291</v>
      </c>
      <c r="Q3746" s="13" t="s">
        <v>5289</v>
      </c>
      <c r="R3746" s="13" t="s">
        <v>5292</v>
      </c>
      <c r="S3746" s="13" t="s">
        <v>5293</v>
      </c>
      <c r="T3746" s="13" t="s">
        <v>5</v>
      </c>
      <c r="U3746" s="13" t="s">
        <v>43</v>
      </c>
      <c r="V3746" s="13" t="n">
        <f aca="false">IF(COUNTIF($B$2:B3746,B3746)=1,1,0)</f>
        <v>0</v>
      </c>
      <c r="W3746" s="13" t="n">
        <f aca="false">IF(COUNTIFS($B$2:B3746,B3746,$T$2:T3746,T3746)=1,1,0)</f>
        <v>0</v>
      </c>
    </row>
    <row r="3747" customFormat="false" ht="15" hidden="false" customHeight="false" outlineLevel="0" collapsed="false">
      <c r="A3747" s="13" t="s">
        <v>1997</v>
      </c>
      <c r="B3747" s="13" t="s">
        <v>107</v>
      </c>
      <c r="C3747" s="13" t="n">
        <v>190</v>
      </c>
      <c r="D3747" s="13" t="n">
        <v>1</v>
      </c>
      <c r="E3747" s="13" t="n">
        <v>190.01</v>
      </c>
      <c r="F3747" s="13" t="s">
        <v>5325</v>
      </c>
      <c r="G3747" s="13" t="s">
        <v>5289</v>
      </c>
      <c r="H3747" s="13" t="s">
        <v>5292</v>
      </c>
      <c r="I3747" s="13" t="s">
        <v>5289</v>
      </c>
      <c r="J3747" s="13" t="s">
        <v>5289</v>
      </c>
      <c r="K3747" s="13" t="s">
        <v>5289</v>
      </c>
      <c r="L3747" s="13" t="n">
        <v>7896235353775</v>
      </c>
      <c r="M3747" s="13"/>
      <c r="N3747" s="13" t="n">
        <v>7896235353775</v>
      </c>
      <c r="O3747" s="13"/>
      <c r="P3747" s="13" t="s">
        <v>5291</v>
      </c>
      <c r="Q3747" s="13" t="s">
        <v>5289</v>
      </c>
      <c r="R3747" s="13" t="s">
        <v>5292</v>
      </c>
      <c r="S3747" s="13" t="s">
        <v>5293</v>
      </c>
      <c r="T3747" s="13" t="s">
        <v>5</v>
      </c>
      <c r="U3747" s="13" t="s">
        <v>43</v>
      </c>
      <c r="V3747" s="13" t="n">
        <f aca="false">IF(COUNTIF($B$2:B3747,B3747)=1,1,0)</f>
        <v>0</v>
      </c>
      <c r="W3747" s="13" t="n">
        <f aca="false">IF(COUNTIFS($B$2:B3747,B3747,$T$2:T3747,T3747)=1,1,0)</f>
        <v>0</v>
      </c>
    </row>
    <row r="3748" customFormat="false" ht="15" hidden="false" customHeight="false" outlineLevel="0" collapsed="false">
      <c r="A3748" s="13" t="s">
        <v>511</v>
      </c>
      <c r="B3748" s="13" t="s">
        <v>103</v>
      </c>
      <c r="C3748" s="13" t="n">
        <v>190</v>
      </c>
      <c r="D3748" s="13" t="n">
        <v>1</v>
      </c>
      <c r="E3748" s="13" t="n">
        <v>190</v>
      </c>
      <c r="F3748" s="13" t="s">
        <v>5325</v>
      </c>
      <c r="G3748" s="13" t="s">
        <v>5292</v>
      </c>
      <c r="H3748" s="13" t="s">
        <v>5289</v>
      </c>
      <c r="I3748" s="13" t="s">
        <v>5289</v>
      </c>
      <c r="J3748" s="13" t="s">
        <v>5289</v>
      </c>
      <c r="K3748" s="13" t="s">
        <v>5289</v>
      </c>
      <c r="L3748" s="13" t="n">
        <v>8411061081341</v>
      </c>
      <c r="M3748" s="13"/>
      <c r="N3748" s="13" t="n">
        <v>8411061813973</v>
      </c>
      <c r="O3748" s="13"/>
      <c r="P3748" s="13" t="s">
        <v>5297</v>
      </c>
      <c r="Q3748" s="13" t="s">
        <v>5289</v>
      </c>
      <c r="R3748" s="13" t="s">
        <v>5292</v>
      </c>
      <c r="S3748" s="13" t="s">
        <v>5293</v>
      </c>
      <c r="T3748" s="13" t="s">
        <v>5</v>
      </c>
      <c r="U3748" s="13" t="s">
        <v>43</v>
      </c>
      <c r="V3748" s="13" t="n">
        <f aca="false">IF(COUNTIF($B$2:B3748,B3748)=1,1,0)</f>
        <v>0</v>
      </c>
      <c r="W3748" s="13" t="n">
        <f aca="false">IF(COUNTIFS($B$2:B3748,B3748,$T$2:T3748,T3748)=1,1,0)</f>
        <v>0</v>
      </c>
    </row>
    <row r="3749" customFormat="false" ht="15" hidden="false" customHeight="false" outlineLevel="0" collapsed="false">
      <c r="A3749" s="13" t="s">
        <v>2001</v>
      </c>
      <c r="B3749" s="13" t="s">
        <v>103</v>
      </c>
      <c r="C3749" s="13" t="n">
        <v>190</v>
      </c>
      <c r="D3749" s="13" t="n">
        <v>1</v>
      </c>
      <c r="E3749" s="13" t="n">
        <v>190</v>
      </c>
      <c r="F3749" s="13" t="s">
        <v>5288</v>
      </c>
      <c r="G3749" s="13" t="s">
        <v>5289</v>
      </c>
      <c r="H3749" s="13" t="s">
        <v>5292</v>
      </c>
      <c r="I3749" s="13" t="s">
        <v>5289</v>
      </c>
      <c r="J3749" s="13" t="s">
        <v>5289</v>
      </c>
      <c r="K3749" s="13" t="s">
        <v>5289</v>
      </c>
      <c r="L3749" s="13" t="n">
        <v>8411061081341</v>
      </c>
      <c r="M3749" s="13"/>
      <c r="N3749" s="13" t="n">
        <v>8411061813973</v>
      </c>
      <c r="O3749" s="13"/>
      <c r="P3749" s="13" t="s">
        <v>5291</v>
      </c>
      <c r="Q3749" s="13" t="s">
        <v>5289</v>
      </c>
      <c r="R3749" s="13" t="s">
        <v>5292</v>
      </c>
      <c r="S3749" s="13" t="s">
        <v>5293</v>
      </c>
      <c r="T3749" s="13" t="s">
        <v>5</v>
      </c>
      <c r="U3749" s="13" t="s">
        <v>43</v>
      </c>
      <c r="V3749" s="13" t="n">
        <f aca="false">IF(COUNTIF($B$2:B3749,B3749)=1,1,0)</f>
        <v>0</v>
      </c>
      <c r="W3749" s="13" t="n">
        <f aca="false">IF(COUNTIFS($B$2:B3749,B3749,$T$2:T3749,T3749)=1,1,0)</f>
        <v>0</v>
      </c>
    </row>
    <row r="3750" customFormat="false" ht="15" hidden="false" customHeight="false" outlineLevel="0" collapsed="false">
      <c r="A3750" s="13" t="s">
        <v>4960</v>
      </c>
      <c r="B3750" s="13" t="s">
        <v>2290</v>
      </c>
      <c r="C3750" s="13" t="n">
        <v>190</v>
      </c>
      <c r="D3750" s="13" t="n">
        <v>1</v>
      </c>
      <c r="E3750" s="13" t="n">
        <v>189.85</v>
      </c>
      <c r="F3750" s="13" t="s">
        <v>5288</v>
      </c>
      <c r="G3750" s="13" t="s">
        <v>5292</v>
      </c>
      <c r="H3750" s="13" t="s">
        <v>5289</v>
      </c>
      <c r="I3750" s="13" t="s">
        <v>5289</v>
      </c>
      <c r="J3750" s="13" t="s">
        <v>5289</v>
      </c>
      <c r="K3750" s="13" t="s">
        <v>5292</v>
      </c>
      <c r="L3750" s="13"/>
      <c r="M3750" s="13"/>
      <c r="N3750" s="13" t="n">
        <v>7898947943756</v>
      </c>
      <c r="O3750" s="13"/>
      <c r="P3750" s="13" t="s">
        <v>5297</v>
      </c>
      <c r="Q3750" s="13" t="s">
        <v>5289</v>
      </c>
      <c r="R3750" s="13" t="s">
        <v>5292</v>
      </c>
      <c r="S3750" s="13" t="s">
        <v>5293</v>
      </c>
      <c r="T3750" s="13" t="s">
        <v>5</v>
      </c>
      <c r="U3750" s="13" t="s">
        <v>85</v>
      </c>
      <c r="V3750" s="13" t="n">
        <f aca="false">IF(COUNTIF($B$2:B3750,B3750)=1,1,0)</f>
        <v>1</v>
      </c>
      <c r="W3750" s="13" t="n">
        <f aca="false">IF(COUNTIFS($B$2:B3750,B3750,$T$2:T3750,T3750)=1,1,0)</f>
        <v>1</v>
      </c>
    </row>
    <row r="3751" customFormat="false" ht="15" hidden="false" customHeight="false" outlineLevel="0" collapsed="false">
      <c r="A3751" s="13" t="s">
        <v>1998</v>
      </c>
      <c r="B3751" s="13" t="s">
        <v>121</v>
      </c>
      <c r="C3751" s="13" t="n">
        <v>190</v>
      </c>
      <c r="D3751" s="13" t="n">
        <v>1</v>
      </c>
      <c r="E3751" s="13" t="n">
        <v>189.06</v>
      </c>
      <c r="F3751" s="13" t="s">
        <v>5325</v>
      </c>
      <c r="G3751" s="13" t="s">
        <v>5289</v>
      </c>
      <c r="H3751" s="13" t="s">
        <v>5292</v>
      </c>
      <c r="I3751" s="13" t="s">
        <v>5289</v>
      </c>
      <c r="J3751" s="13" t="s">
        <v>5289</v>
      </c>
      <c r="K3751" s="13" t="s">
        <v>5289</v>
      </c>
      <c r="L3751" s="13" t="n">
        <v>7896086997401</v>
      </c>
      <c r="M3751" s="13"/>
      <c r="N3751" s="13" t="n">
        <v>7896086997401</v>
      </c>
      <c r="O3751" s="13"/>
      <c r="P3751" s="13" t="s">
        <v>5291</v>
      </c>
      <c r="Q3751" s="13" t="s">
        <v>5289</v>
      </c>
      <c r="R3751" s="13" t="s">
        <v>5292</v>
      </c>
      <c r="S3751" s="13" t="s">
        <v>5293</v>
      </c>
      <c r="T3751" s="13" t="s">
        <v>5</v>
      </c>
      <c r="U3751" s="13" t="s">
        <v>43</v>
      </c>
      <c r="V3751" s="13" t="n">
        <f aca="false">IF(COUNTIF($B$2:B3751,B3751)=1,1,0)</f>
        <v>0</v>
      </c>
      <c r="W3751" s="13" t="n">
        <f aca="false">IF(COUNTIFS($B$2:B3751,B3751,$T$2:T3751,T3751)=1,1,0)</f>
        <v>0</v>
      </c>
    </row>
    <row r="3752" customFormat="false" ht="15" hidden="false" customHeight="false" outlineLevel="0" collapsed="false">
      <c r="A3752" s="13" t="s">
        <v>3823</v>
      </c>
      <c r="B3752" s="13" t="s">
        <v>2139</v>
      </c>
      <c r="C3752" s="13" t="n">
        <v>190</v>
      </c>
      <c r="D3752" s="13" t="n">
        <v>1</v>
      </c>
      <c r="E3752" s="13" t="n">
        <v>189.05</v>
      </c>
      <c r="F3752" s="13" t="s">
        <v>5325</v>
      </c>
      <c r="G3752" s="13" t="s">
        <v>5289</v>
      </c>
      <c r="H3752" s="13" t="s">
        <v>5292</v>
      </c>
      <c r="I3752" s="13" t="s">
        <v>5289</v>
      </c>
      <c r="J3752" s="13" t="s">
        <v>5289</v>
      </c>
      <c r="K3752" s="13" t="s">
        <v>5289</v>
      </c>
      <c r="L3752" s="13" t="n">
        <v>8411061114209</v>
      </c>
      <c r="M3752" s="13"/>
      <c r="N3752" s="13" t="n">
        <v>8411061114209</v>
      </c>
      <c r="O3752" s="13"/>
      <c r="P3752" s="13" t="s">
        <v>5291</v>
      </c>
      <c r="Q3752" s="13" t="s">
        <v>5289</v>
      </c>
      <c r="R3752" s="13" t="s">
        <v>5292</v>
      </c>
      <c r="S3752" s="13" t="s">
        <v>5293</v>
      </c>
      <c r="T3752" s="13" t="s">
        <v>5</v>
      </c>
      <c r="U3752" s="13" t="s">
        <v>85</v>
      </c>
      <c r="V3752" s="13" t="n">
        <f aca="false">IF(COUNTIF($B$2:B3752,B3752)=1,1,0)</f>
        <v>0</v>
      </c>
      <c r="W3752" s="13" t="n">
        <f aca="false">IF(COUNTIFS($B$2:B3752,B3752,$T$2:T3752,T3752)=1,1,0)</f>
        <v>0</v>
      </c>
    </row>
    <row r="3753" customFormat="false" ht="15" hidden="false" customHeight="false" outlineLevel="0" collapsed="false">
      <c r="A3753" s="13" t="s">
        <v>1851</v>
      </c>
      <c r="B3753" s="13" t="s">
        <v>121</v>
      </c>
      <c r="C3753" s="13" t="n">
        <v>190</v>
      </c>
      <c r="D3753" s="13" t="n">
        <v>1</v>
      </c>
      <c r="E3753" s="13" t="n">
        <v>187.96</v>
      </c>
      <c r="F3753" s="13" t="s">
        <v>5288</v>
      </c>
      <c r="G3753" s="13" t="s">
        <v>5289</v>
      </c>
      <c r="H3753" s="13" t="s">
        <v>5289</v>
      </c>
      <c r="I3753" s="13" t="s">
        <v>5289</v>
      </c>
      <c r="J3753" s="13" t="s">
        <v>5289</v>
      </c>
      <c r="K3753" s="13" t="s">
        <v>5289</v>
      </c>
      <c r="L3753" s="13" t="n">
        <v>7896086946423</v>
      </c>
      <c r="M3753" s="13"/>
      <c r="N3753" s="13" t="n">
        <v>7896086946423</v>
      </c>
      <c r="O3753" s="13"/>
      <c r="P3753" s="13" t="s">
        <v>5291</v>
      </c>
      <c r="Q3753" s="13" t="s">
        <v>5289</v>
      </c>
      <c r="R3753" s="13" t="s">
        <v>5292</v>
      </c>
      <c r="S3753" s="13" t="s">
        <v>5293</v>
      </c>
      <c r="T3753" s="13" t="s">
        <v>5</v>
      </c>
      <c r="U3753" s="13" t="s">
        <v>43</v>
      </c>
      <c r="V3753" s="13" t="n">
        <f aca="false">IF(COUNTIF($B$2:B3753,B3753)=1,1,0)</f>
        <v>0</v>
      </c>
      <c r="W3753" s="13" t="n">
        <f aca="false">IF(COUNTIFS($B$2:B3753,B3753,$T$2:T3753,T3753)=1,1,0)</f>
        <v>0</v>
      </c>
    </row>
    <row r="3754" customFormat="false" ht="15" hidden="false" customHeight="false" outlineLevel="0" collapsed="false">
      <c r="A3754" s="13" t="s">
        <v>1813</v>
      </c>
      <c r="B3754" s="13" t="s">
        <v>59</v>
      </c>
      <c r="C3754" s="13" t="n">
        <v>190</v>
      </c>
      <c r="D3754" s="13" t="n">
        <v>1</v>
      </c>
      <c r="E3754" s="13" t="n">
        <v>187.44</v>
      </c>
      <c r="F3754" s="13" t="s">
        <v>5325</v>
      </c>
      <c r="G3754" s="13" t="s">
        <v>5289</v>
      </c>
      <c r="H3754" s="13" t="s">
        <v>5289</v>
      </c>
      <c r="I3754" s="13" t="s">
        <v>5289</v>
      </c>
      <c r="J3754" s="13" t="s">
        <v>5289</v>
      </c>
      <c r="K3754" s="13" t="s">
        <v>5289</v>
      </c>
      <c r="L3754" s="13" t="n">
        <v>3616305488879</v>
      </c>
      <c r="M3754" s="13"/>
      <c r="N3754" s="13" t="n">
        <v>3616305488879</v>
      </c>
      <c r="O3754" s="13"/>
      <c r="P3754" s="13" t="s">
        <v>5291</v>
      </c>
      <c r="Q3754" s="13" t="s">
        <v>5289</v>
      </c>
      <c r="R3754" s="13" t="s">
        <v>5292</v>
      </c>
      <c r="S3754" s="13" t="s">
        <v>5293</v>
      </c>
      <c r="T3754" s="13" t="s">
        <v>5</v>
      </c>
      <c r="U3754" s="13" t="s">
        <v>43</v>
      </c>
      <c r="V3754" s="13" t="n">
        <f aca="false">IF(COUNTIF($B$2:B3754,B3754)=1,1,0)</f>
        <v>0</v>
      </c>
      <c r="W3754" s="13" t="n">
        <f aca="false">IF(COUNTIFS($B$2:B3754,B3754,$T$2:T3754,T3754)=1,1,0)</f>
        <v>0</v>
      </c>
    </row>
    <row r="3755" customFormat="false" ht="15" hidden="false" customHeight="false" outlineLevel="0" collapsed="false">
      <c r="A3755" s="13" t="s">
        <v>2002</v>
      </c>
      <c r="B3755" s="13" t="s">
        <v>107</v>
      </c>
      <c r="C3755" s="13" t="n">
        <v>190</v>
      </c>
      <c r="D3755" s="13" t="n">
        <v>1</v>
      </c>
      <c r="E3755" s="13" t="n">
        <v>185.85</v>
      </c>
      <c r="F3755" s="13" t="s">
        <v>5325</v>
      </c>
      <c r="G3755" s="13" t="s">
        <v>5292</v>
      </c>
      <c r="H3755" s="13" t="s">
        <v>5292</v>
      </c>
      <c r="I3755" s="13" t="s">
        <v>5289</v>
      </c>
      <c r="J3755" s="13" t="s">
        <v>5289</v>
      </c>
      <c r="K3755" s="13" t="s">
        <v>5292</v>
      </c>
      <c r="L3755" s="13"/>
      <c r="M3755" s="13"/>
      <c r="N3755" s="13" t="n">
        <v>7896235353782</v>
      </c>
      <c r="O3755" s="13"/>
      <c r="P3755" s="13" t="s">
        <v>5291</v>
      </c>
      <c r="Q3755" s="13" t="s">
        <v>5289</v>
      </c>
      <c r="R3755" s="13" t="s">
        <v>5292</v>
      </c>
      <c r="S3755" s="13" t="s">
        <v>5293</v>
      </c>
      <c r="T3755" s="13" t="s">
        <v>5</v>
      </c>
      <c r="U3755" s="13" t="s">
        <v>43</v>
      </c>
      <c r="V3755" s="13" t="n">
        <f aca="false">IF(COUNTIF($B$2:B3755,B3755)=1,1,0)</f>
        <v>0</v>
      </c>
      <c r="W3755" s="13" t="n">
        <f aca="false">IF(COUNTIFS($B$2:B3755,B3755,$T$2:T3755,T3755)=1,1,0)</f>
        <v>0</v>
      </c>
    </row>
    <row r="3756" customFormat="false" ht="15" hidden="false" customHeight="false" outlineLevel="0" collapsed="false">
      <c r="A3756" s="13" t="s">
        <v>1284</v>
      </c>
      <c r="B3756" s="13" t="s">
        <v>630</v>
      </c>
      <c r="C3756" s="13" t="n">
        <v>190</v>
      </c>
      <c r="D3756" s="13" t="n">
        <v>1</v>
      </c>
      <c r="E3756" s="13" t="n">
        <v>185.54</v>
      </c>
      <c r="F3756" s="13" t="s">
        <v>5325</v>
      </c>
      <c r="G3756" s="13" t="s">
        <v>5289</v>
      </c>
      <c r="H3756" s="13" t="s">
        <v>5292</v>
      </c>
      <c r="I3756" s="13" t="s">
        <v>5289</v>
      </c>
      <c r="J3756" s="13" t="s">
        <v>5289</v>
      </c>
      <c r="K3756" s="13" t="s">
        <v>5289</v>
      </c>
      <c r="L3756" s="13"/>
      <c r="M3756" s="13"/>
      <c r="N3756" s="13" t="n">
        <v>8433982019562</v>
      </c>
      <c r="O3756" s="13"/>
      <c r="P3756" s="13" t="s">
        <v>5291</v>
      </c>
      <c r="Q3756" s="13" t="s">
        <v>5289</v>
      </c>
      <c r="R3756" s="13" t="s">
        <v>5292</v>
      </c>
      <c r="S3756" s="13" t="s">
        <v>5293</v>
      </c>
      <c r="T3756" s="13" t="s">
        <v>5</v>
      </c>
      <c r="U3756" s="13" t="s">
        <v>43</v>
      </c>
      <c r="V3756" s="13" t="n">
        <f aca="false">IF(COUNTIF($B$2:B3756,B3756)=1,1,0)</f>
        <v>0</v>
      </c>
      <c r="W3756" s="13" t="n">
        <f aca="false">IF(COUNTIFS($B$2:B3756,B3756,$T$2:T3756,T3756)=1,1,0)</f>
        <v>0</v>
      </c>
    </row>
    <row r="3757" customFormat="false" ht="15" hidden="false" customHeight="false" outlineLevel="0" collapsed="false">
      <c r="A3757" s="13" t="s">
        <v>2009</v>
      </c>
      <c r="B3757" s="13" t="s">
        <v>121</v>
      </c>
      <c r="C3757" s="13" t="n">
        <v>180</v>
      </c>
      <c r="D3757" s="13" t="n">
        <v>1</v>
      </c>
      <c r="E3757" s="13" t="n">
        <v>183.18</v>
      </c>
      <c r="F3757" s="13" t="s">
        <v>5288</v>
      </c>
      <c r="G3757" s="13" t="s">
        <v>5289</v>
      </c>
      <c r="H3757" s="13" t="s">
        <v>5292</v>
      </c>
      <c r="I3757" s="13" t="s">
        <v>5289</v>
      </c>
      <c r="J3757" s="13" t="s">
        <v>5289</v>
      </c>
      <c r="K3757" s="13" t="s">
        <v>5289</v>
      </c>
      <c r="L3757" s="13" t="n">
        <v>7896086930842</v>
      </c>
      <c r="M3757" s="13"/>
      <c r="N3757" s="13" t="n">
        <v>7896086930842</v>
      </c>
      <c r="O3757" s="13"/>
      <c r="P3757" s="13" t="s">
        <v>5291</v>
      </c>
      <c r="Q3757" s="13" t="s">
        <v>5289</v>
      </c>
      <c r="R3757" s="13" t="s">
        <v>5292</v>
      </c>
      <c r="S3757" s="13" t="s">
        <v>5293</v>
      </c>
      <c r="T3757" s="13" t="s">
        <v>5</v>
      </c>
      <c r="U3757" s="13" t="s">
        <v>43</v>
      </c>
      <c r="V3757" s="13" t="n">
        <f aca="false">IF(COUNTIF($B$2:B3757,B3757)=1,1,0)</f>
        <v>0</v>
      </c>
      <c r="W3757" s="13" t="n">
        <f aca="false">IF(COUNTIFS($B$2:B3757,B3757,$T$2:T3757,T3757)=1,1,0)</f>
        <v>0</v>
      </c>
    </row>
    <row r="3758" customFormat="false" ht="15" hidden="false" customHeight="false" outlineLevel="0" collapsed="false">
      <c r="A3758" s="13" t="s">
        <v>1818</v>
      </c>
      <c r="B3758" s="13" t="s">
        <v>59</v>
      </c>
      <c r="C3758" s="13" t="n">
        <v>180</v>
      </c>
      <c r="D3758" s="13" t="n">
        <v>1</v>
      </c>
      <c r="E3758" s="13" t="n">
        <v>182</v>
      </c>
      <c r="F3758" s="13" t="s">
        <v>5325</v>
      </c>
      <c r="G3758" s="13" t="s">
        <v>5289</v>
      </c>
      <c r="H3758" s="13" t="s">
        <v>5292</v>
      </c>
      <c r="I3758" s="13" t="s">
        <v>5289</v>
      </c>
      <c r="J3758" s="13" t="s">
        <v>5289</v>
      </c>
      <c r="K3758" s="13" t="s">
        <v>5289</v>
      </c>
      <c r="L3758" s="13" t="n">
        <v>3616305488879</v>
      </c>
      <c r="M3758" s="13"/>
      <c r="N3758" s="13" t="n">
        <v>3616305488879</v>
      </c>
      <c r="O3758" s="13"/>
      <c r="P3758" s="13" t="s">
        <v>5291</v>
      </c>
      <c r="Q3758" s="13" t="s">
        <v>5289</v>
      </c>
      <c r="R3758" s="13" t="s">
        <v>5292</v>
      </c>
      <c r="S3758" s="13" t="s">
        <v>5293</v>
      </c>
      <c r="T3758" s="13" t="s">
        <v>5</v>
      </c>
      <c r="U3758" s="13" t="s">
        <v>43</v>
      </c>
      <c r="V3758" s="13" t="n">
        <f aca="false">IF(COUNTIF($B$2:B3758,B3758)=1,1,0)</f>
        <v>0</v>
      </c>
      <c r="W3758" s="13" t="n">
        <f aca="false">IF(COUNTIFS($B$2:B3758,B3758,$T$2:T3758,T3758)=1,1,0)</f>
        <v>0</v>
      </c>
    </row>
    <row r="3759" customFormat="false" ht="15" hidden="false" customHeight="false" outlineLevel="0" collapsed="false">
      <c r="A3759" s="13" t="s">
        <v>6411</v>
      </c>
      <c r="B3759" s="13" t="s">
        <v>2261</v>
      </c>
      <c r="C3759" s="13" t="n">
        <v>180</v>
      </c>
      <c r="D3759" s="13" t="n">
        <v>1</v>
      </c>
      <c r="E3759" s="13" t="n">
        <v>180.85</v>
      </c>
      <c r="F3759" s="13" t="s">
        <v>5288</v>
      </c>
      <c r="G3759" s="13" t="s">
        <v>5292</v>
      </c>
      <c r="H3759" s="13" t="s">
        <v>5292</v>
      </c>
      <c r="I3759" s="13" t="s">
        <v>5289</v>
      </c>
      <c r="J3759" s="13" t="s">
        <v>5289</v>
      </c>
      <c r="K3759" s="13" t="s">
        <v>5292</v>
      </c>
      <c r="L3759" s="13"/>
      <c r="M3759" s="13"/>
      <c r="N3759" s="13" t="n">
        <v>8411061067291</v>
      </c>
      <c r="O3759" s="13"/>
      <c r="P3759" s="13" t="s">
        <v>5291</v>
      </c>
      <c r="Q3759" s="13" t="s">
        <v>5289</v>
      </c>
      <c r="R3759" s="13" t="s">
        <v>5292</v>
      </c>
      <c r="S3759" s="13" t="s">
        <v>5293</v>
      </c>
      <c r="T3759" s="13" t="s">
        <v>5</v>
      </c>
      <c r="U3759" s="13" t="s">
        <v>85</v>
      </c>
      <c r="V3759" s="13" t="n">
        <f aca="false">IF(COUNTIF($B$2:B3759,B3759)=1,1,0)</f>
        <v>0</v>
      </c>
      <c r="W3759" s="13" t="n">
        <f aca="false">IF(COUNTIFS($B$2:B3759,B3759,$T$2:T3759,T3759)=1,1,0)</f>
        <v>0</v>
      </c>
    </row>
    <row r="3760" customFormat="false" ht="15" hidden="false" customHeight="false" outlineLevel="0" collapsed="false">
      <c r="A3760" s="13" t="s">
        <v>5440</v>
      </c>
      <c r="B3760" s="13" t="s">
        <v>2154</v>
      </c>
      <c r="C3760" s="13" t="n">
        <v>180</v>
      </c>
      <c r="D3760" s="13" t="n">
        <v>1</v>
      </c>
      <c r="E3760" s="13" t="n">
        <v>180.06</v>
      </c>
      <c r="F3760" s="13" t="s">
        <v>5325</v>
      </c>
      <c r="G3760" s="13" t="s">
        <v>5289</v>
      </c>
      <c r="H3760" s="13" t="s">
        <v>5289</v>
      </c>
      <c r="I3760" s="13" t="s">
        <v>5289</v>
      </c>
      <c r="J3760" s="13" t="s">
        <v>5289</v>
      </c>
      <c r="K3760" s="13" t="s">
        <v>5289</v>
      </c>
      <c r="L3760" s="13" t="n">
        <v>3360373063697</v>
      </c>
      <c r="M3760" s="13"/>
      <c r="N3760" s="13" t="n">
        <v>3.36037306369784E+025</v>
      </c>
      <c r="O3760" s="13"/>
      <c r="P3760" s="13" t="s">
        <v>5291</v>
      </c>
      <c r="Q3760" s="13" t="s">
        <v>5289</v>
      </c>
      <c r="R3760" s="13" t="s">
        <v>5292</v>
      </c>
      <c r="S3760" s="13" t="s">
        <v>5293</v>
      </c>
      <c r="T3760" s="13" t="s">
        <v>5</v>
      </c>
      <c r="U3760" s="13" t="s">
        <v>43</v>
      </c>
      <c r="V3760" s="13" t="n">
        <f aca="false">IF(COUNTIF($B$2:B3760,B3760)=1,1,0)</f>
        <v>0</v>
      </c>
      <c r="W3760" s="13" t="n">
        <f aca="false">IF(COUNTIFS($B$2:B3760,B3760,$T$2:T3760,T3760)=1,1,0)</f>
        <v>0</v>
      </c>
    </row>
    <row r="3761" customFormat="false" ht="15" hidden="false" customHeight="false" outlineLevel="0" collapsed="false">
      <c r="A3761" s="13" t="s">
        <v>2008</v>
      </c>
      <c r="B3761" s="13" t="s">
        <v>121</v>
      </c>
      <c r="C3761" s="13" t="n">
        <v>180</v>
      </c>
      <c r="D3761" s="13" t="n">
        <v>2</v>
      </c>
      <c r="E3761" s="13" t="n">
        <v>89.685</v>
      </c>
      <c r="F3761" s="13" t="s">
        <v>5325</v>
      </c>
      <c r="G3761" s="13" t="s">
        <v>5289</v>
      </c>
      <c r="H3761" s="13" t="s">
        <v>5292</v>
      </c>
      <c r="I3761" s="13" t="s">
        <v>5289</v>
      </c>
      <c r="J3761" s="13" t="s">
        <v>5289</v>
      </c>
      <c r="K3761" s="13" t="s">
        <v>5289</v>
      </c>
      <c r="L3761" s="13" t="n">
        <v>7896086920423</v>
      </c>
      <c r="M3761" s="13"/>
      <c r="N3761" s="13" t="n">
        <v>7896086920423</v>
      </c>
      <c r="O3761" s="13"/>
      <c r="P3761" s="13" t="s">
        <v>5291</v>
      </c>
      <c r="Q3761" s="13" t="s">
        <v>5289</v>
      </c>
      <c r="R3761" s="13" t="s">
        <v>5292</v>
      </c>
      <c r="S3761" s="13" t="s">
        <v>5293</v>
      </c>
      <c r="T3761" s="13" t="s">
        <v>5</v>
      </c>
      <c r="U3761" s="13" t="s">
        <v>183</v>
      </c>
      <c r="V3761" s="13" t="n">
        <f aca="false">IF(COUNTIF($B$2:B3761,B3761)=1,1,0)</f>
        <v>0</v>
      </c>
      <c r="W3761" s="13" t="n">
        <f aca="false">IF(COUNTIFS($B$2:B3761,B3761,$T$2:T3761,T3761)=1,1,0)</f>
        <v>0</v>
      </c>
    </row>
    <row r="3762" customFormat="false" ht="15" hidden="false" customHeight="false" outlineLevel="0" collapsed="false">
      <c r="A3762" s="13" t="s">
        <v>2007</v>
      </c>
      <c r="B3762" s="13" t="s">
        <v>121</v>
      </c>
      <c r="C3762" s="13" t="n">
        <v>180</v>
      </c>
      <c r="D3762" s="13" t="n">
        <v>1</v>
      </c>
      <c r="E3762" s="13" t="n">
        <v>179.14</v>
      </c>
      <c r="F3762" s="13" t="s">
        <v>5288</v>
      </c>
      <c r="G3762" s="13" t="s">
        <v>5289</v>
      </c>
      <c r="H3762" s="13" t="s">
        <v>5292</v>
      </c>
      <c r="I3762" s="13" t="s">
        <v>5289</v>
      </c>
      <c r="J3762" s="13" t="s">
        <v>5289</v>
      </c>
      <c r="K3762" s="13" t="s">
        <v>5289</v>
      </c>
      <c r="L3762" s="13" t="n">
        <v>7896086955890</v>
      </c>
      <c r="M3762" s="13"/>
      <c r="N3762" s="13" t="n">
        <v>7896086955890</v>
      </c>
      <c r="O3762" s="13"/>
      <c r="P3762" s="13" t="s">
        <v>5291</v>
      </c>
      <c r="Q3762" s="13" t="s">
        <v>5289</v>
      </c>
      <c r="R3762" s="13" t="s">
        <v>5292</v>
      </c>
      <c r="S3762" s="13" t="s">
        <v>5293</v>
      </c>
      <c r="T3762" s="13" t="s">
        <v>5</v>
      </c>
      <c r="U3762" s="13" t="s">
        <v>43</v>
      </c>
      <c r="V3762" s="13" t="n">
        <f aca="false">IF(COUNTIF($B$2:B3762,B3762)=1,1,0)</f>
        <v>0</v>
      </c>
      <c r="W3762" s="13" t="n">
        <f aca="false">IF(COUNTIFS($B$2:B3762,B3762,$T$2:T3762,T3762)=1,1,0)</f>
        <v>0</v>
      </c>
    </row>
    <row r="3763" customFormat="false" ht="15" hidden="false" customHeight="false" outlineLevel="0" collapsed="false">
      <c r="A3763" s="13" t="s">
        <v>4982</v>
      </c>
      <c r="B3763" s="13" t="s">
        <v>2164</v>
      </c>
      <c r="C3763" s="13" t="n">
        <v>180</v>
      </c>
      <c r="D3763" s="13" t="n">
        <v>1</v>
      </c>
      <c r="E3763" s="13" t="n">
        <v>178.96</v>
      </c>
      <c r="F3763" s="13" t="s">
        <v>5325</v>
      </c>
      <c r="G3763" s="13" t="s">
        <v>5289</v>
      </c>
      <c r="H3763" s="13" t="s">
        <v>5289</v>
      </c>
      <c r="I3763" s="13" t="s">
        <v>5289</v>
      </c>
      <c r="J3763" s="13" t="s">
        <v>5289</v>
      </c>
      <c r="K3763" s="13" t="s">
        <v>5289</v>
      </c>
      <c r="L3763" s="13" t="n">
        <v>3616305279538</v>
      </c>
      <c r="M3763" s="13"/>
      <c r="N3763" s="13" t="n">
        <v>3616305279538</v>
      </c>
      <c r="O3763" s="13"/>
      <c r="P3763" s="13" t="s">
        <v>5291</v>
      </c>
      <c r="Q3763" s="13" t="s">
        <v>5289</v>
      </c>
      <c r="R3763" s="13" t="s">
        <v>5292</v>
      </c>
      <c r="S3763" s="13" t="s">
        <v>5293</v>
      </c>
      <c r="T3763" s="13" t="s">
        <v>5</v>
      </c>
      <c r="U3763" s="13" t="s">
        <v>85</v>
      </c>
      <c r="V3763" s="13" t="n">
        <f aca="false">IF(COUNTIF($B$2:B3763,B3763)=1,1,0)</f>
        <v>0</v>
      </c>
      <c r="W3763" s="13" t="n">
        <f aca="false">IF(COUNTIFS($B$2:B3763,B3763,$T$2:T3763,T3763)=1,1,0)</f>
        <v>0</v>
      </c>
    </row>
    <row r="3764" customFormat="false" ht="15" hidden="false" customHeight="false" outlineLevel="0" collapsed="false">
      <c r="A3764" s="13" t="s">
        <v>4992</v>
      </c>
      <c r="B3764" s="13" t="s">
        <v>2155</v>
      </c>
      <c r="C3764" s="13" t="n">
        <v>180</v>
      </c>
      <c r="D3764" s="13" t="n">
        <v>1</v>
      </c>
      <c r="E3764" s="13" t="n">
        <v>178.85</v>
      </c>
      <c r="F3764" s="13" t="s">
        <v>5325</v>
      </c>
      <c r="G3764" s="13" t="s">
        <v>5292</v>
      </c>
      <c r="H3764" s="13" t="s">
        <v>5292</v>
      </c>
      <c r="I3764" s="13" t="s">
        <v>5289</v>
      </c>
      <c r="J3764" s="13" t="s">
        <v>5289</v>
      </c>
      <c r="K3764" s="13" t="s">
        <v>5292</v>
      </c>
      <c r="L3764" s="13" t="n">
        <v>5060630048761</v>
      </c>
      <c r="M3764" s="13"/>
      <c r="N3764" s="13" t="n">
        <v>5060630048761</v>
      </c>
      <c r="O3764" s="13"/>
      <c r="P3764" s="13" t="s">
        <v>5291</v>
      </c>
      <c r="Q3764" s="13" t="s">
        <v>5289</v>
      </c>
      <c r="R3764" s="13" t="s">
        <v>5292</v>
      </c>
      <c r="S3764" s="13" t="s">
        <v>5293</v>
      </c>
      <c r="T3764" s="13" t="s">
        <v>5</v>
      </c>
      <c r="U3764" s="13" t="s">
        <v>85</v>
      </c>
      <c r="V3764" s="13" t="n">
        <f aca="false">IF(COUNTIF($B$2:B3764,B3764)=1,1,0)</f>
        <v>0</v>
      </c>
      <c r="W3764" s="13" t="n">
        <f aca="false">IF(COUNTIFS($B$2:B3764,B3764,$T$2:T3764,T3764)=1,1,0)</f>
        <v>0</v>
      </c>
    </row>
    <row r="3765" customFormat="false" ht="15" hidden="false" customHeight="false" outlineLevel="0" collapsed="false">
      <c r="A3765" s="13" t="s">
        <v>2006</v>
      </c>
      <c r="B3765" s="13" t="s">
        <v>490</v>
      </c>
      <c r="C3765" s="13" t="n">
        <v>180</v>
      </c>
      <c r="D3765" s="13" t="n">
        <v>1</v>
      </c>
      <c r="E3765" s="13" t="n">
        <v>178.85</v>
      </c>
      <c r="F3765" s="13" t="s">
        <v>5325</v>
      </c>
      <c r="G3765" s="13" t="s">
        <v>5292</v>
      </c>
      <c r="H3765" s="13" t="s">
        <v>5292</v>
      </c>
      <c r="I3765" s="13" t="s">
        <v>5289</v>
      </c>
      <c r="J3765" s="13" t="s">
        <v>5289</v>
      </c>
      <c r="K3765" s="13" t="s">
        <v>5292</v>
      </c>
      <c r="L3765" s="13" t="n">
        <v>8011003838387</v>
      </c>
      <c r="M3765" s="13"/>
      <c r="N3765" s="13" t="n">
        <v>8011003838387</v>
      </c>
      <c r="O3765" s="13"/>
      <c r="P3765" s="13" t="s">
        <v>5291</v>
      </c>
      <c r="Q3765" s="13" t="s">
        <v>5289</v>
      </c>
      <c r="R3765" s="13" t="s">
        <v>5292</v>
      </c>
      <c r="S3765" s="13" t="s">
        <v>5293</v>
      </c>
      <c r="T3765" s="13" t="s">
        <v>5</v>
      </c>
      <c r="U3765" s="13" t="s">
        <v>43</v>
      </c>
      <c r="V3765" s="13" t="n">
        <f aca="false">IF(COUNTIF($B$2:B3765,B3765)=1,1,0)</f>
        <v>0</v>
      </c>
      <c r="W3765" s="13" t="n">
        <f aca="false">IF(COUNTIFS($B$2:B3765,B3765,$T$2:T3765,T3765)=1,1,0)</f>
        <v>0</v>
      </c>
    </row>
    <row r="3766" customFormat="false" ht="15" hidden="false" customHeight="false" outlineLevel="0" collapsed="false">
      <c r="A3766" s="13" t="s">
        <v>2010</v>
      </c>
      <c r="B3766" s="13" t="s">
        <v>121</v>
      </c>
      <c r="C3766" s="13" t="n">
        <v>180</v>
      </c>
      <c r="D3766" s="13" t="n">
        <v>1</v>
      </c>
      <c r="E3766" s="13" t="n">
        <v>178.46</v>
      </c>
      <c r="F3766" s="13" t="s">
        <v>5325</v>
      </c>
      <c r="G3766" s="13" t="s">
        <v>5292</v>
      </c>
      <c r="H3766" s="13" t="s">
        <v>5289</v>
      </c>
      <c r="I3766" s="13" t="s">
        <v>5289</v>
      </c>
      <c r="J3766" s="13" t="s">
        <v>5289</v>
      </c>
      <c r="K3766" s="13" t="s">
        <v>5289</v>
      </c>
      <c r="L3766" s="13"/>
      <c r="M3766" s="13"/>
      <c r="N3766" s="13" t="n">
        <v>7896086992659</v>
      </c>
      <c r="O3766" s="13"/>
      <c r="P3766" s="13" t="s">
        <v>5297</v>
      </c>
      <c r="Q3766" s="13" t="s">
        <v>5289</v>
      </c>
      <c r="R3766" s="13" t="s">
        <v>5292</v>
      </c>
      <c r="S3766" s="13" t="s">
        <v>5293</v>
      </c>
      <c r="T3766" s="13" t="s">
        <v>5</v>
      </c>
      <c r="U3766" s="13" t="s">
        <v>43</v>
      </c>
      <c r="V3766" s="13" t="n">
        <f aca="false">IF(COUNTIF($B$2:B3766,B3766)=1,1,0)</f>
        <v>0</v>
      </c>
      <c r="W3766" s="13" t="n">
        <f aca="false">IF(COUNTIFS($B$2:B3766,B3766,$T$2:T3766,T3766)=1,1,0)</f>
        <v>0</v>
      </c>
    </row>
    <row r="3767" customFormat="false" ht="15" hidden="false" customHeight="false" outlineLevel="0" collapsed="false">
      <c r="A3767" s="13" t="s">
        <v>2004</v>
      </c>
      <c r="B3767" s="13" t="s">
        <v>121</v>
      </c>
      <c r="C3767" s="13" t="n">
        <v>180</v>
      </c>
      <c r="D3767" s="13" t="n">
        <v>2</v>
      </c>
      <c r="E3767" s="13" t="n">
        <v>59.4133333333333</v>
      </c>
      <c r="F3767" s="13" t="s">
        <v>5288</v>
      </c>
      <c r="G3767" s="13" t="s">
        <v>5289</v>
      </c>
      <c r="H3767" s="13" t="s">
        <v>5289</v>
      </c>
      <c r="I3767" s="13" t="s">
        <v>5292</v>
      </c>
      <c r="J3767" s="13" t="s">
        <v>5289</v>
      </c>
      <c r="K3767" s="13" t="s">
        <v>5289</v>
      </c>
      <c r="L3767" s="13"/>
      <c r="M3767" s="13"/>
      <c r="N3767" s="13" t="n">
        <v>7896086996459</v>
      </c>
      <c r="O3767" s="13"/>
      <c r="P3767" s="13" t="s">
        <v>5291</v>
      </c>
      <c r="Q3767" s="13" t="s">
        <v>5289</v>
      </c>
      <c r="R3767" s="13" t="s">
        <v>5292</v>
      </c>
      <c r="S3767" s="13" t="s">
        <v>5293</v>
      </c>
      <c r="T3767" s="13" t="s">
        <v>5</v>
      </c>
      <c r="U3767" s="13" t="s">
        <v>183</v>
      </c>
      <c r="V3767" s="13" t="n">
        <f aca="false">IF(COUNTIF($B$2:B3767,B3767)=1,1,0)</f>
        <v>0</v>
      </c>
      <c r="W3767" s="13" t="n">
        <f aca="false">IF(COUNTIFS($B$2:B3767,B3767,$T$2:T3767,T3767)=1,1,0)</f>
        <v>0</v>
      </c>
    </row>
    <row r="3768" customFormat="false" ht="15" hidden="false" customHeight="false" outlineLevel="0" collapsed="false">
      <c r="A3768" s="13" t="s">
        <v>707</v>
      </c>
      <c r="B3768" s="13" t="s">
        <v>103</v>
      </c>
      <c r="C3768" s="13" t="n">
        <v>180</v>
      </c>
      <c r="D3768" s="13" t="n">
        <v>1</v>
      </c>
      <c r="E3768" s="13" t="n">
        <v>177</v>
      </c>
      <c r="F3768" s="13" t="s">
        <v>5288</v>
      </c>
      <c r="G3768" s="13" t="s">
        <v>5292</v>
      </c>
      <c r="H3768" s="13" t="s">
        <v>5289</v>
      </c>
      <c r="I3768" s="13" t="s">
        <v>5289</v>
      </c>
      <c r="J3768" s="13" t="s">
        <v>5289</v>
      </c>
      <c r="K3768" s="13" t="s">
        <v>5289</v>
      </c>
      <c r="L3768" s="13"/>
      <c r="M3768" s="13"/>
      <c r="N3768" s="13" t="n">
        <v>8.41106177952184E+025</v>
      </c>
      <c r="O3768" s="13"/>
      <c r="P3768" s="13" t="s">
        <v>5291</v>
      </c>
      <c r="Q3768" s="13" t="s">
        <v>5289</v>
      </c>
      <c r="R3768" s="13" t="s">
        <v>5292</v>
      </c>
      <c r="S3768" s="13" t="s">
        <v>5293</v>
      </c>
      <c r="T3768" s="13" t="s">
        <v>5</v>
      </c>
      <c r="U3768" s="13" t="s">
        <v>43</v>
      </c>
      <c r="V3768" s="13" t="n">
        <f aca="false">IF(COUNTIF($B$2:B3768,B3768)=1,1,0)</f>
        <v>0</v>
      </c>
      <c r="W3768" s="13" t="n">
        <f aca="false">IF(COUNTIFS($B$2:B3768,B3768,$T$2:T3768,T3768)=1,1,0)</f>
        <v>0</v>
      </c>
    </row>
    <row r="3769" customFormat="false" ht="15" hidden="false" customHeight="false" outlineLevel="0" collapsed="false">
      <c r="A3769" s="13" t="s">
        <v>4394</v>
      </c>
      <c r="B3769" s="13" t="s">
        <v>2208</v>
      </c>
      <c r="C3769" s="13" t="n">
        <v>180</v>
      </c>
      <c r="D3769" s="13" t="n">
        <v>1</v>
      </c>
      <c r="E3769" s="13" t="n">
        <v>177</v>
      </c>
      <c r="F3769" s="13" t="s">
        <v>5325</v>
      </c>
      <c r="G3769" s="13" t="s">
        <v>5292</v>
      </c>
      <c r="H3769" s="13" t="s">
        <v>5289</v>
      </c>
      <c r="I3769" s="13" t="s">
        <v>5289</v>
      </c>
      <c r="J3769" s="13" t="s">
        <v>5289</v>
      </c>
      <c r="K3769" s="13" t="s">
        <v>5289</v>
      </c>
      <c r="L3769" s="13" t="n">
        <v>3616303461980</v>
      </c>
      <c r="M3769" s="13"/>
      <c r="N3769" s="13" t="n">
        <v>3616303461980</v>
      </c>
      <c r="O3769" s="13"/>
      <c r="P3769" s="13" t="s">
        <v>5291</v>
      </c>
      <c r="Q3769" s="13" t="s">
        <v>5289</v>
      </c>
      <c r="R3769" s="13" t="s">
        <v>5292</v>
      </c>
      <c r="S3769" s="13" t="s">
        <v>5293</v>
      </c>
      <c r="T3769" s="13" t="s">
        <v>5</v>
      </c>
      <c r="U3769" s="13" t="s">
        <v>43</v>
      </c>
      <c r="V3769" s="13" t="n">
        <f aca="false">IF(COUNTIF($B$2:B3769,B3769)=1,1,0)</f>
        <v>0</v>
      </c>
      <c r="W3769" s="13" t="n">
        <f aca="false">IF(COUNTIFS($B$2:B3769,B3769,$T$2:T3769,T3769)=1,1,0)</f>
        <v>0</v>
      </c>
    </row>
    <row r="3770" customFormat="false" ht="15" hidden="false" customHeight="false" outlineLevel="0" collapsed="false">
      <c r="A3770" s="13" t="s">
        <v>2005</v>
      </c>
      <c r="B3770" s="13" t="s">
        <v>630</v>
      </c>
      <c r="C3770" s="13" t="n">
        <v>180</v>
      </c>
      <c r="D3770" s="13" t="n">
        <v>1</v>
      </c>
      <c r="E3770" s="13" t="n">
        <v>176</v>
      </c>
      <c r="F3770" s="13" t="s">
        <v>5325</v>
      </c>
      <c r="G3770" s="13" t="s">
        <v>5289</v>
      </c>
      <c r="H3770" s="13" t="s">
        <v>5289</v>
      </c>
      <c r="I3770" s="13" t="s">
        <v>5289</v>
      </c>
      <c r="J3770" s="13" t="s">
        <v>5289</v>
      </c>
      <c r="K3770" s="13" t="s">
        <v>5289</v>
      </c>
      <c r="L3770" s="13" t="n">
        <v>8433982018749</v>
      </c>
      <c r="M3770" s="13"/>
      <c r="N3770" s="13" t="n">
        <v>8433982018749</v>
      </c>
      <c r="O3770" s="13"/>
      <c r="P3770" s="13" t="s">
        <v>5291</v>
      </c>
      <c r="Q3770" s="13" t="s">
        <v>5289</v>
      </c>
      <c r="R3770" s="13" t="s">
        <v>5292</v>
      </c>
      <c r="S3770" s="13" t="s">
        <v>5293</v>
      </c>
      <c r="T3770" s="13" t="s">
        <v>5</v>
      </c>
      <c r="U3770" s="13" t="s">
        <v>43</v>
      </c>
      <c r="V3770" s="13" t="n">
        <f aca="false">IF(COUNTIF($B$2:B3770,B3770)=1,1,0)</f>
        <v>0</v>
      </c>
      <c r="W3770" s="13" t="n">
        <f aca="false">IF(COUNTIFS($B$2:B3770,B3770,$T$2:T3770,T3770)=1,1,0)</f>
        <v>0</v>
      </c>
    </row>
    <row r="3771" customFormat="false" ht="15" hidden="false" customHeight="false" outlineLevel="0" collapsed="false">
      <c r="A3771" s="13" t="s">
        <v>1822</v>
      </c>
      <c r="B3771" s="13" t="s">
        <v>121</v>
      </c>
      <c r="C3771" s="13" t="n">
        <v>180</v>
      </c>
      <c r="D3771" s="13" t="n">
        <v>1</v>
      </c>
      <c r="E3771" s="13" t="n">
        <v>175.86</v>
      </c>
      <c r="F3771" s="13" t="s">
        <v>5325</v>
      </c>
      <c r="G3771" s="13" t="s">
        <v>5289</v>
      </c>
      <c r="H3771" s="13" t="s">
        <v>5289</v>
      </c>
      <c r="I3771" s="13" t="s">
        <v>5289</v>
      </c>
      <c r="J3771" s="13" t="s">
        <v>5289</v>
      </c>
      <c r="K3771" s="13" t="s">
        <v>5289</v>
      </c>
      <c r="L3771" s="13" t="n">
        <v>7896086930842</v>
      </c>
      <c r="M3771" s="13"/>
      <c r="N3771" s="13" t="n">
        <v>7896086930842</v>
      </c>
      <c r="O3771" s="13"/>
      <c r="P3771" s="13" t="s">
        <v>5291</v>
      </c>
      <c r="Q3771" s="13" t="s">
        <v>5289</v>
      </c>
      <c r="R3771" s="13" t="s">
        <v>5292</v>
      </c>
      <c r="S3771" s="13" t="s">
        <v>5293</v>
      </c>
      <c r="T3771" s="13" t="s">
        <v>5</v>
      </c>
      <c r="U3771" s="13" t="s">
        <v>43</v>
      </c>
      <c r="V3771" s="13" t="n">
        <f aca="false">IF(COUNTIF($B$2:B3771,B3771)=1,1,0)</f>
        <v>0</v>
      </c>
      <c r="W3771" s="13" t="n">
        <f aca="false">IF(COUNTIFS($B$2:B3771,B3771,$T$2:T3771,T3771)=1,1,0)</f>
        <v>0</v>
      </c>
    </row>
    <row r="3772" customFormat="false" ht="15" hidden="false" customHeight="false" outlineLevel="0" collapsed="false">
      <c r="A3772" s="13" t="s">
        <v>511</v>
      </c>
      <c r="B3772" s="13" t="s">
        <v>103</v>
      </c>
      <c r="C3772" s="13" t="n">
        <v>180</v>
      </c>
      <c r="D3772" s="13" t="n">
        <v>1</v>
      </c>
      <c r="E3772" s="13" t="n">
        <v>175.64</v>
      </c>
      <c r="F3772" s="13" t="s">
        <v>5288</v>
      </c>
      <c r="G3772" s="13" t="s">
        <v>5292</v>
      </c>
      <c r="H3772" s="13" t="s">
        <v>5289</v>
      </c>
      <c r="I3772" s="13" t="s">
        <v>5289</v>
      </c>
      <c r="J3772" s="13" t="s">
        <v>5289</v>
      </c>
      <c r="K3772" s="13" t="s">
        <v>5289</v>
      </c>
      <c r="L3772" s="13" t="n">
        <v>8411061081358</v>
      </c>
      <c r="M3772" s="13"/>
      <c r="N3772" s="13" t="n">
        <v>8411061829530</v>
      </c>
      <c r="O3772" s="13"/>
      <c r="P3772" s="13" t="s">
        <v>5297</v>
      </c>
      <c r="Q3772" s="13" t="s">
        <v>5289</v>
      </c>
      <c r="R3772" s="13" t="s">
        <v>5292</v>
      </c>
      <c r="S3772" s="13" t="s">
        <v>5293</v>
      </c>
      <c r="T3772" s="13" t="s">
        <v>5</v>
      </c>
      <c r="U3772" s="13" t="s">
        <v>43</v>
      </c>
      <c r="V3772" s="13" t="n">
        <f aca="false">IF(COUNTIF($B$2:B3772,B3772)=1,1,0)</f>
        <v>0</v>
      </c>
      <c r="W3772" s="13" t="n">
        <f aca="false">IF(COUNTIFS($B$2:B3772,B3772,$T$2:T3772,T3772)=1,1,0)</f>
        <v>0</v>
      </c>
    </row>
    <row r="3773" customFormat="false" ht="15" hidden="false" customHeight="false" outlineLevel="0" collapsed="false">
      <c r="A3773" s="13" t="s">
        <v>576</v>
      </c>
      <c r="B3773" s="13" t="s">
        <v>103</v>
      </c>
      <c r="C3773" s="13" t="n">
        <v>180</v>
      </c>
      <c r="D3773" s="13" t="n">
        <v>1</v>
      </c>
      <c r="E3773" s="13" t="n">
        <v>175</v>
      </c>
      <c r="F3773" s="13" t="s">
        <v>5325</v>
      </c>
      <c r="G3773" s="13" t="s">
        <v>5292</v>
      </c>
      <c r="H3773" s="13" t="s">
        <v>5289</v>
      </c>
      <c r="I3773" s="13" t="s">
        <v>5289</v>
      </c>
      <c r="J3773" s="13" t="s">
        <v>5289</v>
      </c>
      <c r="K3773" s="13" t="s">
        <v>5289</v>
      </c>
      <c r="L3773" s="13"/>
      <c r="M3773" s="13"/>
      <c r="N3773" s="13" t="n">
        <v>8411061930878</v>
      </c>
      <c r="O3773" s="13"/>
      <c r="P3773" s="13" t="s">
        <v>5291</v>
      </c>
      <c r="Q3773" s="13" t="s">
        <v>5289</v>
      </c>
      <c r="R3773" s="13" t="s">
        <v>5292</v>
      </c>
      <c r="S3773" s="13" t="s">
        <v>5293</v>
      </c>
      <c r="T3773" s="13" t="s">
        <v>5</v>
      </c>
      <c r="U3773" s="13" t="s">
        <v>43</v>
      </c>
      <c r="V3773" s="13" t="n">
        <f aca="false">IF(COUNTIF($B$2:B3773,B3773)=1,1,0)</f>
        <v>0</v>
      </c>
      <c r="W3773" s="13" t="n">
        <f aca="false">IF(COUNTIFS($B$2:B3773,B3773,$T$2:T3773,T3773)=1,1,0)</f>
        <v>0</v>
      </c>
    </row>
    <row r="3774" customFormat="false" ht="15" hidden="false" customHeight="false" outlineLevel="0" collapsed="false">
      <c r="A3774" s="13" t="s">
        <v>2011</v>
      </c>
      <c r="B3774" s="13" t="s">
        <v>103</v>
      </c>
      <c r="C3774" s="13" t="n">
        <v>180</v>
      </c>
      <c r="D3774" s="13" t="n">
        <v>1</v>
      </c>
      <c r="E3774" s="13" t="n">
        <v>175</v>
      </c>
      <c r="F3774" s="13" t="s">
        <v>5325</v>
      </c>
      <c r="G3774" s="13" t="s">
        <v>5292</v>
      </c>
      <c r="H3774" s="13" t="s">
        <v>5292</v>
      </c>
      <c r="I3774" s="13" t="s">
        <v>5289</v>
      </c>
      <c r="J3774" s="13" t="s">
        <v>5289</v>
      </c>
      <c r="K3774" s="13" t="s">
        <v>5289</v>
      </c>
      <c r="L3774" s="13" t="n">
        <v>8411061930878</v>
      </c>
      <c r="M3774" s="13"/>
      <c r="N3774" s="13" t="n">
        <v>8411061930878</v>
      </c>
      <c r="O3774" s="13"/>
      <c r="P3774" s="13" t="s">
        <v>5291</v>
      </c>
      <c r="Q3774" s="13" t="s">
        <v>5289</v>
      </c>
      <c r="R3774" s="13" t="s">
        <v>5292</v>
      </c>
      <c r="S3774" s="13" t="s">
        <v>5293</v>
      </c>
      <c r="T3774" s="13" t="s">
        <v>5</v>
      </c>
      <c r="U3774" s="13" t="s">
        <v>43</v>
      </c>
      <c r="V3774" s="13" t="n">
        <f aca="false">IF(COUNTIF($B$2:B3774,B3774)=1,1,0)</f>
        <v>0</v>
      </c>
      <c r="W3774" s="13" t="n">
        <f aca="false">IF(COUNTIFS($B$2:B3774,B3774,$T$2:T3774,T3774)=1,1,0)</f>
        <v>0</v>
      </c>
    </row>
    <row r="3775" customFormat="false" ht="15" hidden="false" customHeight="false" outlineLevel="0" collapsed="false">
      <c r="A3775" s="13" t="s">
        <v>2019</v>
      </c>
      <c r="B3775" s="13" t="s">
        <v>121</v>
      </c>
      <c r="C3775" s="13" t="n">
        <v>170</v>
      </c>
      <c r="D3775" s="13" t="n">
        <v>1</v>
      </c>
      <c r="E3775" s="13" t="n">
        <v>174.85</v>
      </c>
      <c r="F3775" s="13" t="s">
        <v>5288</v>
      </c>
      <c r="G3775" s="13" t="s">
        <v>5292</v>
      </c>
      <c r="H3775" s="13" t="s">
        <v>5289</v>
      </c>
      <c r="I3775" s="13" t="s">
        <v>5289</v>
      </c>
      <c r="J3775" s="13" t="s">
        <v>5289</v>
      </c>
      <c r="K3775" s="13" t="s">
        <v>5292</v>
      </c>
      <c r="L3775" s="13" t="n">
        <v>7896086928825</v>
      </c>
      <c r="M3775" s="13"/>
      <c r="N3775" s="13" t="n">
        <v>7896086928825</v>
      </c>
      <c r="O3775" s="13"/>
      <c r="P3775" s="13" t="s">
        <v>5297</v>
      </c>
      <c r="Q3775" s="13" t="s">
        <v>5289</v>
      </c>
      <c r="R3775" s="13" t="s">
        <v>5292</v>
      </c>
      <c r="S3775" s="13" t="s">
        <v>5293</v>
      </c>
      <c r="T3775" s="13" t="s">
        <v>5</v>
      </c>
      <c r="U3775" s="13" t="s">
        <v>43</v>
      </c>
      <c r="V3775" s="13" t="n">
        <f aca="false">IF(COUNTIF($B$2:B3775,B3775)=1,1,0)</f>
        <v>0</v>
      </c>
      <c r="W3775" s="13" t="n">
        <f aca="false">IF(COUNTIFS($B$2:B3775,B3775,$T$2:T3775,T3775)=1,1,0)</f>
        <v>0</v>
      </c>
    </row>
    <row r="3776" customFormat="false" ht="15" hidden="false" customHeight="false" outlineLevel="0" collapsed="false">
      <c r="A3776" s="13" t="s">
        <v>2015</v>
      </c>
      <c r="B3776" s="13" t="s">
        <v>121</v>
      </c>
      <c r="C3776" s="13" t="n">
        <v>170</v>
      </c>
      <c r="D3776" s="13" t="n">
        <v>2</v>
      </c>
      <c r="E3776" s="13" t="n">
        <v>58.2833333333333</v>
      </c>
      <c r="F3776" s="13" t="s">
        <v>5325</v>
      </c>
      <c r="G3776" s="13" t="s">
        <v>5289</v>
      </c>
      <c r="H3776" s="13" t="s">
        <v>5289</v>
      </c>
      <c r="I3776" s="13" t="s">
        <v>5292</v>
      </c>
      <c r="J3776" s="13" t="s">
        <v>5289</v>
      </c>
      <c r="K3776" s="13" t="s">
        <v>5289</v>
      </c>
      <c r="L3776" s="13"/>
      <c r="M3776" s="13"/>
      <c r="N3776" s="13" t="n">
        <v>7896086955838</v>
      </c>
      <c r="O3776" s="13"/>
      <c r="P3776" s="13" t="s">
        <v>5291</v>
      </c>
      <c r="Q3776" s="13" t="s">
        <v>5289</v>
      </c>
      <c r="R3776" s="13" t="s">
        <v>5292</v>
      </c>
      <c r="S3776" s="13" t="s">
        <v>5293</v>
      </c>
      <c r="T3776" s="13" t="s">
        <v>5</v>
      </c>
      <c r="U3776" s="13" t="s">
        <v>183</v>
      </c>
      <c r="V3776" s="13" t="n">
        <f aca="false">IF(COUNTIF($B$2:B3776,B3776)=1,1,0)</f>
        <v>0</v>
      </c>
      <c r="W3776" s="13" t="n">
        <f aca="false">IF(COUNTIFS($B$2:B3776,B3776,$T$2:T3776,T3776)=1,1,0)</f>
        <v>0</v>
      </c>
    </row>
    <row r="3777" customFormat="false" ht="15" hidden="false" customHeight="false" outlineLevel="0" collapsed="false">
      <c r="A3777" s="13" t="s">
        <v>1656</v>
      </c>
      <c r="B3777" s="13" t="s">
        <v>107</v>
      </c>
      <c r="C3777" s="13" t="n">
        <v>170</v>
      </c>
      <c r="D3777" s="13" t="n">
        <v>1</v>
      </c>
      <c r="E3777" s="13" t="n">
        <v>174.36</v>
      </c>
      <c r="F3777" s="13" t="s">
        <v>5288</v>
      </c>
      <c r="G3777" s="13" t="s">
        <v>5289</v>
      </c>
      <c r="H3777" s="13" t="s">
        <v>5292</v>
      </c>
      <c r="I3777" s="13" t="s">
        <v>5289</v>
      </c>
      <c r="J3777" s="13" t="s">
        <v>5289</v>
      </c>
      <c r="K3777" s="13" t="s">
        <v>5289</v>
      </c>
      <c r="L3777" s="13" t="n">
        <v>7896235353690</v>
      </c>
      <c r="M3777" s="13"/>
      <c r="N3777" s="13" t="n">
        <v>7896235353690</v>
      </c>
      <c r="O3777" s="13"/>
      <c r="P3777" s="13" t="s">
        <v>5291</v>
      </c>
      <c r="Q3777" s="13" t="s">
        <v>5289</v>
      </c>
      <c r="R3777" s="13" t="s">
        <v>5292</v>
      </c>
      <c r="S3777" s="13" t="s">
        <v>5293</v>
      </c>
      <c r="T3777" s="13" t="s">
        <v>5</v>
      </c>
      <c r="U3777" s="13" t="s">
        <v>43</v>
      </c>
      <c r="V3777" s="13" t="n">
        <f aca="false">IF(COUNTIF($B$2:B3777,B3777)=1,1,0)</f>
        <v>0</v>
      </c>
      <c r="W3777" s="13" t="n">
        <f aca="false">IF(COUNTIFS($B$2:B3777,B3777,$T$2:T3777,T3777)=1,1,0)</f>
        <v>0</v>
      </c>
    </row>
    <row r="3778" customFormat="false" ht="15" hidden="false" customHeight="false" outlineLevel="0" collapsed="false">
      <c r="A3778" s="13" t="s">
        <v>2016</v>
      </c>
      <c r="B3778" s="13" t="s">
        <v>121</v>
      </c>
      <c r="C3778" s="13" t="n">
        <v>170</v>
      </c>
      <c r="D3778" s="13" t="n">
        <v>1</v>
      </c>
      <c r="E3778" s="13" t="n">
        <v>174.12</v>
      </c>
      <c r="F3778" s="13" t="s">
        <v>5325</v>
      </c>
      <c r="G3778" s="13" t="s">
        <v>5289</v>
      </c>
      <c r="H3778" s="13" t="s">
        <v>5292</v>
      </c>
      <c r="I3778" s="13" t="s">
        <v>5289</v>
      </c>
      <c r="J3778" s="13" t="s">
        <v>5289</v>
      </c>
      <c r="K3778" s="13" t="s">
        <v>5289</v>
      </c>
      <c r="L3778" s="13" t="n">
        <v>7896086996176</v>
      </c>
      <c r="M3778" s="13"/>
      <c r="N3778" s="13" t="n">
        <v>7896086996176</v>
      </c>
      <c r="O3778" s="13"/>
      <c r="P3778" s="13" t="s">
        <v>5291</v>
      </c>
      <c r="Q3778" s="13" t="s">
        <v>5289</v>
      </c>
      <c r="R3778" s="13" t="s">
        <v>5292</v>
      </c>
      <c r="S3778" s="13" t="s">
        <v>5293</v>
      </c>
      <c r="T3778" s="13" t="s">
        <v>5</v>
      </c>
      <c r="U3778" s="13" t="s">
        <v>43</v>
      </c>
      <c r="V3778" s="13" t="n">
        <f aca="false">IF(COUNTIF($B$2:B3778,B3778)=1,1,0)</f>
        <v>0</v>
      </c>
      <c r="W3778" s="13" t="n">
        <f aca="false">IF(COUNTIFS($B$2:B3778,B3778,$T$2:T3778,T3778)=1,1,0)</f>
        <v>0</v>
      </c>
    </row>
    <row r="3779" customFormat="false" ht="15" hidden="false" customHeight="false" outlineLevel="0" collapsed="false">
      <c r="A3779" s="13" t="s">
        <v>5012</v>
      </c>
      <c r="B3779" s="13" t="s">
        <v>2139</v>
      </c>
      <c r="C3779" s="13" t="n">
        <v>170</v>
      </c>
      <c r="D3779" s="13" t="n">
        <v>1</v>
      </c>
      <c r="E3779" s="13" t="n">
        <v>171.25</v>
      </c>
      <c r="F3779" s="13" t="s">
        <v>5288</v>
      </c>
      <c r="G3779" s="13" t="s">
        <v>5289</v>
      </c>
      <c r="H3779" s="13" t="s">
        <v>5289</v>
      </c>
      <c r="I3779" s="13" t="s">
        <v>5289</v>
      </c>
      <c r="J3779" s="13" t="s">
        <v>5289</v>
      </c>
      <c r="K3779" s="13" t="s">
        <v>5289</v>
      </c>
      <c r="L3779" s="13" t="n">
        <v>8411061105986</v>
      </c>
      <c r="M3779" s="13"/>
      <c r="N3779" s="13" t="n">
        <v>8411061105986</v>
      </c>
      <c r="O3779" s="13"/>
      <c r="P3779" s="13" t="s">
        <v>5291</v>
      </c>
      <c r="Q3779" s="13" t="s">
        <v>5289</v>
      </c>
      <c r="R3779" s="13" t="s">
        <v>5292</v>
      </c>
      <c r="S3779" s="13" t="s">
        <v>5293</v>
      </c>
      <c r="T3779" s="13" t="s">
        <v>5</v>
      </c>
      <c r="U3779" s="13" t="s">
        <v>85</v>
      </c>
      <c r="V3779" s="13" t="n">
        <f aca="false">IF(COUNTIF($B$2:B3779,B3779)=1,1,0)</f>
        <v>0</v>
      </c>
      <c r="W3779" s="13" t="n">
        <f aca="false">IF(COUNTIFS($B$2:B3779,B3779,$T$2:T3779,T3779)=1,1,0)</f>
        <v>0</v>
      </c>
    </row>
    <row r="3780" customFormat="false" ht="15" hidden="false" customHeight="false" outlineLevel="0" collapsed="false">
      <c r="A3780" s="13" t="s">
        <v>6412</v>
      </c>
      <c r="B3780" s="13" t="s">
        <v>2139</v>
      </c>
      <c r="C3780" s="13" t="n">
        <v>170</v>
      </c>
      <c r="D3780" s="13" t="n">
        <v>1</v>
      </c>
      <c r="E3780" s="13" t="n">
        <v>171.12</v>
      </c>
      <c r="F3780" s="13" t="s">
        <v>5325</v>
      </c>
      <c r="G3780" s="13" t="s">
        <v>5289</v>
      </c>
      <c r="H3780" s="13" t="s">
        <v>5289</v>
      </c>
      <c r="I3780" s="13" t="s">
        <v>5289</v>
      </c>
      <c r="J3780" s="13" t="s">
        <v>5289</v>
      </c>
      <c r="K3780" s="13" t="s">
        <v>5289</v>
      </c>
      <c r="L3780" s="13"/>
      <c r="M3780" s="13"/>
      <c r="N3780" s="13" t="n">
        <v>8.41106110304384E+025</v>
      </c>
      <c r="O3780" s="13"/>
      <c r="P3780" s="13" t="s">
        <v>5291</v>
      </c>
      <c r="Q3780" s="13" t="s">
        <v>5289</v>
      </c>
      <c r="R3780" s="13" t="s">
        <v>5292</v>
      </c>
      <c r="S3780" s="13" t="s">
        <v>5293</v>
      </c>
      <c r="T3780" s="13" t="s">
        <v>5</v>
      </c>
      <c r="U3780" s="13" t="s">
        <v>85</v>
      </c>
      <c r="V3780" s="13" t="n">
        <f aca="false">IF(COUNTIF($B$2:B3780,B3780)=1,1,0)</f>
        <v>0</v>
      </c>
      <c r="W3780" s="13" t="n">
        <f aca="false">IF(COUNTIFS($B$2:B3780,B3780,$T$2:T3780,T3780)=1,1,0)</f>
        <v>0</v>
      </c>
    </row>
    <row r="3781" customFormat="false" ht="15" hidden="false" customHeight="false" outlineLevel="0" collapsed="false">
      <c r="A3781" s="13" t="s">
        <v>2020</v>
      </c>
      <c r="B3781" s="13" t="s">
        <v>103</v>
      </c>
      <c r="C3781" s="13" t="n">
        <v>170</v>
      </c>
      <c r="D3781" s="13" t="n">
        <v>1</v>
      </c>
      <c r="E3781" s="13" t="n">
        <v>169.99</v>
      </c>
      <c r="F3781" s="13" t="s">
        <v>5325</v>
      </c>
      <c r="G3781" s="13" t="s">
        <v>5289</v>
      </c>
      <c r="H3781" s="13" t="s">
        <v>5289</v>
      </c>
      <c r="I3781" s="13" t="s">
        <v>5289</v>
      </c>
      <c r="J3781" s="13" t="s">
        <v>5289</v>
      </c>
      <c r="K3781" s="13" t="s">
        <v>5289</v>
      </c>
      <c r="L3781" s="13" t="n">
        <v>8411061088562</v>
      </c>
      <c r="M3781" s="13"/>
      <c r="N3781" s="13" t="n">
        <v>8411061088562</v>
      </c>
      <c r="O3781" s="13"/>
      <c r="P3781" s="13" t="s">
        <v>5291</v>
      </c>
      <c r="Q3781" s="13" t="s">
        <v>5289</v>
      </c>
      <c r="R3781" s="13" t="s">
        <v>5292</v>
      </c>
      <c r="S3781" s="13" t="s">
        <v>5293</v>
      </c>
      <c r="T3781" s="13" t="s">
        <v>5</v>
      </c>
      <c r="U3781" s="13" t="s">
        <v>43</v>
      </c>
      <c r="V3781" s="13" t="n">
        <f aca="false">IF(COUNTIF($B$2:B3781,B3781)=1,1,0)</f>
        <v>0</v>
      </c>
      <c r="W3781" s="13" t="n">
        <f aca="false">IF(COUNTIFS($B$2:B3781,B3781,$T$2:T3781,T3781)=1,1,0)</f>
        <v>0</v>
      </c>
    </row>
    <row r="3782" customFormat="false" ht="15" hidden="false" customHeight="false" outlineLevel="0" collapsed="false">
      <c r="A3782" s="13" t="s">
        <v>2017</v>
      </c>
      <c r="B3782" s="13" t="s">
        <v>121</v>
      </c>
      <c r="C3782" s="13" t="n">
        <v>170</v>
      </c>
      <c r="D3782" s="13" t="n">
        <v>1</v>
      </c>
      <c r="E3782" s="13" t="n">
        <v>169.85</v>
      </c>
      <c r="F3782" s="13" t="s">
        <v>5288</v>
      </c>
      <c r="G3782" s="13" t="s">
        <v>5289</v>
      </c>
      <c r="H3782" s="13" t="s">
        <v>5292</v>
      </c>
      <c r="I3782" s="13" t="s">
        <v>5289</v>
      </c>
      <c r="J3782" s="13" t="s">
        <v>5289</v>
      </c>
      <c r="K3782" s="13" t="s">
        <v>5292</v>
      </c>
      <c r="L3782" s="13" t="n">
        <v>7896086936073</v>
      </c>
      <c r="M3782" s="13"/>
      <c r="N3782" s="13" t="n">
        <v>7896086936073</v>
      </c>
      <c r="O3782" s="13"/>
      <c r="P3782" s="13" t="s">
        <v>5291</v>
      </c>
      <c r="Q3782" s="13" t="s">
        <v>5289</v>
      </c>
      <c r="R3782" s="13" t="s">
        <v>5292</v>
      </c>
      <c r="S3782" s="13" t="s">
        <v>5293</v>
      </c>
      <c r="T3782" s="13" t="s">
        <v>5</v>
      </c>
      <c r="U3782" s="13" t="s">
        <v>43</v>
      </c>
      <c r="V3782" s="13" t="n">
        <f aca="false">IF(COUNTIF($B$2:B3782,B3782)=1,1,0)</f>
        <v>0</v>
      </c>
      <c r="W3782" s="13" t="n">
        <f aca="false">IF(COUNTIFS($B$2:B3782,B3782,$T$2:T3782,T3782)=1,1,0)</f>
        <v>0</v>
      </c>
    </row>
    <row r="3783" customFormat="false" ht="15" hidden="false" customHeight="false" outlineLevel="0" collapsed="false">
      <c r="A3783" s="13" t="s">
        <v>5010</v>
      </c>
      <c r="B3783" s="13" t="s">
        <v>2139</v>
      </c>
      <c r="C3783" s="13" t="n">
        <v>170</v>
      </c>
      <c r="D3783" s="13" t="n">
        <v>1</v>
      </c>
      <c r="E3783" s="13" t="n">
        <v>169.06</v>
      </c>
      <c r="F3783" s="13" t="s">
        <v>5288</v>
      </c>
      <c r="G3783" s="13" t="s">
        <v>5289</v>
      </c>
      <c r="H3783" s="13" t="s">
        <v>5289</v>
      </c>
      <c r="I3783" s="13" t="s">
        <v>5289</v>
      </c>
      <c r="J3783" s="13" t="s">
        <v>5289</v>
      </c>
      <c r="K3783" s="13" t="s">
        <v>5289</v>
      </c>
      <c r="L3783" s="13" t="n">
        <v>8411061105771</v>
      </c>
      <c r="M3783" s="13"/>
      <c r="N3783" s="13" t="n">
        <v>8411061105771</v>
      </c>
      <c r="O3783" s="13"/>
      <c r="P3783" s="13" t="s">
        <v>5297</v>
      </c>
      <c r="Q3783" s="13" t="s">
        <v>5289</v>
      </c>
      <c r="R3783" s="13" t="s">
        <v>5292</v>
      </c>
      <c r="S3783" s="13" t="s">
        <v>5293</v>
      </c>
      <c r="T3783" s="13" t="s">
        <v>5</v>
      </c>
      <c r="U3783" s="13" t="s">
        <v>85</v>
      </c>
      <c r="V3783" s="13" t="n">
        <f aca="false">IF(COUNTIF($B$2:B3783,B3783)=1,1,0)</f>
        <v>0</v>
      </c>
      <c r="W3783" s="13" t="n">
        <f aca="false">IF(COUNTIFS($B$2:B3783,B3783,$T$2:T3783,T3783)=1,1,0)</f>
        <v>0</v>
      </c>
    </row>
    <row r="3784" customFormat="false" ht="15" hidden="false" customHeight="false" outlineLevel="0" collapsed="false">
      <c r="A3784" s="13" t="s">
        <v>5004</v>
      </c>
      <c r="B3784" s="13" t="s">
        <v>2271</v>
      </c>
      <c r="C3784" s="13" t="n">
        <v>170</v>
      </c>
      <c r="D3784" s="13" t="n">
        <v>1</v>
      </c>
      <c r="E3784" s="13" t="n">
        <v>169.02</v>
      </c>
      <c r="F3784" s="13" t="s">
        <v>5325</v>
      </c>
      <c r="G3784" s="13" t="s">
        <v>5289</v>
      </c>
      <c r="H3784" s="13" t="s">
        <v>5292</v>
      </c>
      <c r="I3784" s="13" t="s">
        <v>5289</v>
      </c>
      <c r="J3784" s="13" t="s">
        <v>5289</v>
      </c>
      <c r="K3784" s="13" t="s">
        <v>5289</v>
      </c>
      <c r="L3784" s="13"/>
      <c r="M3784" s="13"/>
      <c r="N3784" s="13" t="n">
        <v>3616304895685</v>
      </c>
      <c r="O3784" s="13"/>
      <c r="P3784" s="13" t="s">
        <v>5291</v>
      </c>
      <c r="Q3784" s="13" t="s">
        <v>5289</v>
      </c>
      <c r="R3784" s="13" t="s">
        <v>5292</v>
      </c>
      <c r="S3784" s="13" t="s">
        <v>5293</v>
      </c>
      <c r="T3784" s="13" t="s">
        <v>5</v>
      </c>
      <c r="U3784" s="13" t="s">
        <v>43</v>
      </c>
      <c r="V3784" s="13" t="n">
        <f aca="false">IF(COUNTIF($B$2:B3784,B3784)=1,1,0)</f>
        <v>1</v>
      </c>
      <c r="W3784" s="13" t="n">
        <f aca="false">IF(COUNTIFS($B$2:B3784,B3784,$T$2:T3784,T3784)=1,1,0)</f>
        <v>1</v>
      </c>
    </row>
    <row r="3785" customFormat="false" ht="15" hidden="false" customHeight="false" outlineLevel="0" collapsed="false">
      <c r="A3785" s="13" t="s">
        <v>485</v>
      </c>
      <c r="B3785" s="13" t="s">
        <v>126</v>
      </c>
      <c r="C3785" s="13" t="n">
        <v>170</v>
      </c>
      <c r="D3785" s="13" t="n">
        <v>1</v>
      </c>
      <c r="E3785" s="13" t="n">
        <v>169</v>
      </c>
      <c r="F3785" s="13" t="s">
        <v>5288</v>
      </c>
      <c r="G3785" s="13" t="s">
        <v>5292</v>
      </c>
      <c r="H3785" s="13" t="s">
        <v>5289</v>
      </c>
      <c r="I3785" s="13" t="s">
        <v>5289</v>
      </c>
      <c r="J3785" s="13" t="s">
        <v>5289</v>
      </c>
      <c r="K3785" s="13" t="s">
        <v>5289</v>
      </c>
      <c r="L3785" s="13" t="n">
        <v>3414206000608</v>
      </c>
      <c r="M3785" s="13"/>
      <c r="N3785" s="13" t="n">
        <v>3414206000608</v>
      </c>
      <c r="O3785" s="13"/>
      <c r="P3785" s="13" t="s">
        <v>5297</v>
      </c>
      <c r="Q3785" s="13" t="s">
        <v>5289</v>
      </c>
      <c r="R3785" s="13" t="s">
        <v>5292</v>
      </c>
      <c r="S3785" s="13" t="s">
        <v>5293</v>
      </c>
      <c r="T3785" s="13" t="s">
        <v>5</v>
      </c>
      <c r="U3785" s="13" t="s">
        <v>43</v>
      </c>
      <c r="V3785" s="13" t="n">
        <f aca="false">IF(COUNTIF($B$2:B3785,B3785)=1,1,0)</f>
        <v>0</v>
      </c>
      <c r="W3785" s="13" t="n">
        <f aca="false">IF(COUNTIFS($B$2:B3785,B3785,$T$2:T3785,T3785)=1,1,0)</f>
        <v>0</v>
      </c>
    </row>
    <row r="3786" customFormat="false" ht="15" hidden="false" customHeight="false" outlineLevel="0" collapsed="false">
      <c r="A3786" s="13" t="s">
        <v>5016</v>
      </c>
      <c r="B3786" s="13" t="s">
        <v>2155</v>
      </c>
      <c r="C3786" s="13" t="n">
        <v>170</v>
      </c>
      <c r="D3786" s="13" t="n">
        <v>1</v>
      </c>
      <c r="E3786" s="13" t="n">
        <v>168.85</v>
      </c>
      <c r="F3786" s="13" t="s">
        <v>5288</v>
      </c>
      <c r="G3786" s="13" t="s">
        <v>5292</v>
      </c>
      <c r="H3786" s="13" t="s">
        <v>5292</v>
      </c>
      <c r="I3786" s="13" t="s">
        <v>5289</v>
      </c>
      <c r="J3786" s="13" t="s">
        <v>5289</v>
      </c>
      <c r="K3786" s="13" t="s">
        <v>5292</v>
      </c>
      <c r="L3786" s="13"/>
      <c r="M3786" s="13"/>
      <c r="N3786" s="13" t="n">
        <v>5060926680545</v>
      </c>
      <c r="O3786" s="13"/>
      <c r="P3786" s="13" t="s">
        <v>5291</v>
      </c>
      <c r="Q3786" s="13" t="s">
        <v>5289</v>
      </c>
      <c r="R3786" s="13" t="s">
        <v>5292</v>
      </c>
      <c r="S3786" s="13" t="s">
        <v>5293</v>
      </c>
      <c r="T3786" s="13" t="s">
        <v>5</v>
      </c>
      <c r="U3786" s="13" t="s">
        <v>85</v>
      </c>
      <c r="V3786" s="13" t="n">
        <f aca="false">IF(COUNTIF($B$2:B3786,B3786)=1,1,0)</f>
        <v>0</v>
      </c>
      <c r="W3786" s="13" t="n">
        <f aca="false">IF(COUNTIFS($B$2:B3786,B3786,$T$2:T3786,T3786)=1,1,0)</f>
        <v>0</v>
      </c>
    </row>
    <row r="3787" customFormat="false" ht="15" hidden="false" customHeight="false" outlineLevel="0" collapsed="false">
      <c r="A3787" s="13" t="s">
        <v>5014</v>
      </c>
      <c r="B3787" s="13" t="s">
        <v>2155</v>
      </c>
      <c r="C3787" s="13" t="n">
        <v>170</v>
      </c>
      <c r="D3787" s="13" t="n">
        <v>1</v>
      </c>
      <c r="E3787" s="13" t="n">
        <v>168.85</v>
      </c>
      <c r="F3787" s="13" t="s">
        <v>5325</v>
      </c>
      <c r="G3787" s="13" t="s">
        <v>5292</v>
      </c>
      <c r="H3787" s="13" t="s">
        <v>5292</v>
      </c>
      <c r="I3787" s="13" t="s">
        <v>5289</v>
      </c>
      <c r="J3787" s="13" t="s">
        <v>5289</v>
      </c>
      <c r="K3787" s="13" t="s">
        <v>5292</v>
      </c>
      <c r="L3787" s="13"/>
      <c r="M3787" s="13"/>
      <c r="N3787" s="13" t="n">
        <v>5060630040635</v>
      </c>
      <c r="O3787" s="13"/>
      <c r="P3787" s="13" t="s">
        <v>5291</v>
      </c>
      <c r="Q3787" s="13" t="s">
        <v>5289</v>
      </c>
      <c r="R3787" s="13" t="s">
        <v>5292</v>
      </c>
      <c r="S3787" s="13" t="s">
        <v>5293</v>
      </c>
      <c r="T3787" s="13" t="s">
        <v>5</v>
      </c>
      <c r="U3787" s="13" t="s">
        <v>85</v>
      </c>
      <c r="V3787" s="13" t="n">
        <f aca="false">IF(COUNTIF($B$2:B3787,B3787)=1,1,0)</f>
        <v>0</v>
      </c>
      <c r="W3787" s="13" t="n">
        <f aca="false">IF(COUNTIFS($B$2:B3787,B3787,$T$2:T3787,T3787)=1,1,0)</f>
        <v>0</v>
      </c>
    </row>
    <row r="3788" customFormat="false" ht="15" hidden="false" customHeight="false" outlineLevel="0" collapsed="false">
      <c r="A3788" s="13" t="s">
        <v>5000</v>
      </c>
      <c r="B3788" s="13" t="s">
        <v>2253</v>
      </c>
      <c r="C3788" s="13" t="n">
        <v>170</v>
      </c>
      <c r="D3788" s="13" t="n">
        <v>1</v>
      </c>
      <c r="E3788" s="13" t="n">
        <v>168.85</v>
      </c>
      <c r="F3788" s="13" t="s">
        <v>5288</v>
      </c>
      <c r="G3788" s="13" t="s">
        <v>5292</v>
      </c>
      <c r="H3788" s="13" t="s">
        <v>5292</v>
      </c>
      <c r="I3788" s="13" t="s">
        <v>5289</v>
      </c>
      <c r="J3788" s="13" t="s">
        <v>5289</v>
      </c>
      <c r="K3788" s="13" t="s">
        <v>5292</v>
      </c>
      <c r="L3788" s="13" t="n">
        <v>8800283640359</v>
      </c>
      <c r="M3788" s="13"/>
      <c r="N3788" s="13" t="n">
        <v>8800283640359</v>
      </c>
      <c r="O3788" s="13"/>
      <c r="P3788" s="13" t="s">
        <v>5291</v>
      </c>
      <c r="Q3788" s="13" t="s">
        <v>5289</v>
      </c>
      <c r="R3788" s="13" t="s">
        <v>5292</v>
      </c>
      <c r="S3788" s="13" t="s">
        <v>5293</v>
      </c>
      <c r="T3788" s="13" t="s">
        <v>5</v>
      </c>
      <c r="U3788" s="13" t="s">
        <v>85</v>
      </c>
      <c r="V3788" s="13" t="n">
        <f aca="false">IF(COUNTIF($B$2:B3788,B3788)=1,1,0)</f>
        <v>0</v>
      </c>
      <c r="W3788" s="13" t="n">
        <f aca="false">IF(COUNTIFS($B$2:B3788,B3788,$T$2:T3788,T3788)=1,1,0)</f>
        <v>0</v>
      </c>
    </row>
    <row r="3789" customFormat="false" ht="15" hidden="false" customHeight="false" outlineLevel="0" collapsed="false">
      <c r="A3789" s="13" t="s">
        <v>2018</v>
      </c>
      <c r="B3789" s="13" t="s">
        <v>121</v>
      </c>
      <c r="C3789" s="13" t="n">
        <v>170</v>
      </c>
      <c r="D3789" s="13" t="n">
        <v>1</v>
      </c>
      <c r="E3789" s="13" t="n">
        <v>168.85</v>
      </c>
      <c r="F3789" s="13" t="s">
        <v>5288</v>
      </c>
      <c r="G3789" s="13" t="s">
        <v>5292</v>
      </c>
      <c r="H3789" s="13" t="s">
        <v>5289</v>
      </c>
      <c r="I3789" s="13" t="s">
        <v>5289</v>
      </c>
      <c r="J3789" s="13" t="s">
        <v>5289</v>
      </c>
      <c r="K3789" s="13" t="s">
        <v>5292</v>
      </c>
      <c r="L3789" s="13" t="n">
        <v>7896086929365</v>
      </c>
      <c r="M3789" s="13"/>
      <c r="N3789" s="13" t="n">
        <v>7896086929365</v>
      </c>
      <c r="O3789" s="13"/>
      <c r="P3789" s="13" t="s">
        <v>5291</v>
      </c>
      <c r="Q3789" s="13" t="s">
        <v>5289</v>
      </c>
      <c r="R3789" s="13" t="s">
        <v>5292</v>
      </c>
      <c r="S3789" s="13" t="s">
        <v>5293</v>
      </c>
      <c r="T3789" s="13" t="s">
        <v>5</v>
      </c>
      <c r="U3789" s="13" t="s">
        <v>43</v>
      </c>
      <c r="V3789" s="13" t="n">
        <f aca="false">IF(COUNTIF($B$2:B3789,B3789)=1,1,0)</f>
        <v>0</v>
      </c>
      <c r="W3789" s="13" t="n">
        <f aca="false">IF(COUNTIFS($B$2:B3789,B3789,$T$2:T3789,T3789)=1,1,0)</f>
        <v>0</v>
      </c>
    </row>
    <row r="3790" customFormat="false" ht="15" hidden="false" customHeight="false" outlineLevel="0" collapsed="false">
      <c r="A3790" s="13" t="s">
        <v>2012</v>
      </c>
      <c r="B3790" s="13" t="s">
        <v>121</v>
      </c>
      <c r="C3790" s="13" t="n">
        <v>170</v>
      </c>
      <c r="D3790" s="13" t="n">
        <v>1</v>
      </c>
      <c r="E3790" s="13" t="n">
        <v>168</v>
      </c>
      <c r="F3790" s="13" t="s">
        <v>5325</v>
      </c>
      <c r="G3790" s="13" t="s">
        <v>5292</v>
      </c>
      <c r="H3790" s="13" t="s">
        <v>5292</v>
      </c>
      <c r="I3790" s="13" t="s">
        <v>5289</v>
      </c>
      <c r="J3790" s="13" t="s">
        <v>5289</v>
      </c>
      <c r="K3790" s="13" t="s">
        <v>5289</v>
      </c>
      <c r="L3790" s="13" t="n">
        <v>7896086905680</v>
      </c>
      <c r="M3790" s="13"/>
      <c r="N3790" s="13" t="n">
        <v>7896086905680</v>
      </c>
      <c r="O3790" s="13"/>
      <c r="P3790" s="13" t="s">
        <v>5291</v>
      </c>
      <c r="Q3790" s="13" t="s">
        <v>5289</v>
      </c>
      <c r="R3790" s="13" t="s">
        <v>5292</v>
      </c>
      <c r="S3790" s="13" t="s">
        <v>5293</v>
      </c>
      <c r="T3790" s="13" t="s">
        <v>5</v>
      </c>
      <c r="U3790" s="13" t="s">
        <v>43</v>
      </c>
      <c r="V3790" s="13" t="n">
        <f aca="false">IF(COUNTIF($B$2:B3790,B3790)=1,1,0)</f>
        <v>0</v>
      </c>
      <c r="W3790" s="13" t="n">
        <f aca="false">IF(COUNTIFS($B$2:B3790,B3790,$T$2:T3790,T3790)=1,1,0)</f>
        <v>0</v>
      </c>
    </row>
    <row r="3791" customFormat="false" ht="15" hidden="false" customHeight="false" outlineLevel="0" collapsed="false">
      <c r="A3791" s="13" t="s">
        <v>2014</v>
      </c>
      <c r="B3791" s="13" t="s">
        <v>121</v>
      </c>
      <c r="C3791" s="13" t="n">
        <v>170</v>
      </c>
      <c r="D3791" s="13" t="n">
        <v>2</v>
      </c>
      <c r="E3791" s="13" t="n">
        <v>83.39</v>
      </c>
      <c r="F3791" s="13" t="s">
        <v>5325</v>
      </c>
      <c r="G3791" s="13" t="s">
        <v>5289</v>
      </c>
      <c r="H3791" s="13" t="s">
        <v>5289</v>
      </c>
      <c r="I3791" s="13" t="s">
        <v>5289</v>
      </c>
      <c r="J3791" s="13" t="s">
        <v>5289</v>
      </c>
      <c r="K3791" s="13" t="s">
        <v>5289</v>
      </c>
      <c r="L3791" s="13" t="n">
        <v>7896086992178</v>
      </c>
      <c r="M3791" s="13"/>
      <c r="N3791" s="13" t="n">
        <v>7896086992178</v>
      </c>
      <c r="O3791" s="13"/>
      <c r="P3791" s="13" t="s">
        <v>5291</v>
      </c>
      <c r="Q3791" s="13" t="s">
        <v>5289</v>
      </c>
      <c r="R3791" s="13" t="s">
        <v>5292</v>
      </c>
      <c r="S3791" s="13" t="s">
        <v>5293</v>
      </c>
      <c r="T3791" s="13" t="s">
        <v>5</v>
      </c>
      <c r="U3791" s="13" t="s">
        <v>183</v>
      </c>
      <c r="V3791" s="13" t="n">
        <f aca="false">IF(COUNTIF($B$2:B3791,B3791)=1,1,0)</f>
        <v>0</v>
      </c>
      <c r="W3791" s="13" t="n">
        <f aca="false">IF(COUNTIFS($B$2:B3791,B3791,$T$2:T3791,T3791)=1,1,0)</f>
        <v>0</v>
      </c>
    </row>
    <row r="3792" customFormat="false" ht="15" hidden="false" customHeight="false" outlineLevel="0" collapsed="false">
      <c r="A3792" s="13" t="s">
        <v>4019</v>
      </c>
      <c r="B3792" s="13" t="s">
        <v>2150</v>
      </c>
      <c r="C3792" s="13" t="n">
        <v>170</v>
      </c>
      <c r="D3792" s="13" t="n">
        <v>1</v>
      </c>
      <c r="E3792" s="13" t="n">
        <v>166.11</v>
      </c>
      <c r="F3792" s="13" t="s">
        <v>5288</v>
      </c>
      <c r="G3792" s="13" t="s">
        <v>5289</v>
      </c>
      <c r="H3792" s="13" t="s">
        <v>5289</v>
      </c>
      <c r="I3792" s="13" t="s">
        <v>5289</v>
      </c>
      <c r="J3792" s="13" t="s">
        <v>5289</v>
      </c>
      <c r="K3792" s="13" t="s">
        <v>5289</v>
      </c>
      <c r="L3792" s="13" t="n">
        <v>8411061697283</v>
      </c>
      <c r="M3792" s="13"/>
      <c r="N3792" s="13" t="n">
        <v>8411061697283</v>
      </c>
      <c r="O3792" s="13"/>
      <c r="P3792" s="13" t="s">
        <v>5291</v>
      </c>
      <c r="Q3792" s="13" t="s">
        <v>5289</v>
      </c>
      <c r="R3792" s="13" t="s">
        <v>5292</v>
      </c>
      <c r="S3792" s="13" t="s">
        <v>5293</v>
      </c>
      <c r="T3792" s="13" t="s">
        <v>5</v>
      </c>
      <c r="U3792" s="13" t="s">
        <v>43</v>
      </c>
      <c r="V3792" s="13" t="n">
        <f aca="false">IF(COUNTIF($B$2:B3792,B3792)=1,1,0)</f>
        <v>0</v>
      </c>
      <c r="W3792" s="13" t="n">
        <f aca="false">IF(COUNTIFS($B$2:B3792,B3792,$T$2:T3792,T3792)=1,1,0)</f>
        <v>0</v>
      </c>
    </row>
    <row r="3793" customFormat="false" ht="15" hidden="false" customHeight="false" outlineLevel="0" collapsed="false">
      <c r="A3793" s="13" t="s">
        <v>2013</v>
      </c>
      <c r="B3793" s="13" t="s">
        <v>59</v>
      </c>
      <c r="C3793" s="13" t="n">
        <v>170</v>
      </c>
      <c r="D3793" s="13" t="n">
        <v>1</v>
      </c>
      <c r="E3793" s="13" t="n">
        <v>166</v>
      </c>
      <c r="F3793" s="13" t="s">
        <v>5325</v>
      </c>
      <c r="G3793" s="13" t="s">
        <v>5289</v>
      </c>
      <c r="H3793" s="13" t="s">
        <v>5289</v>
      </c>
      <c r="I3793" s="13" t="s">
        <v>5289</v>
      </c>
      <c r="J3793" s="13" t="s">
        <v>5289</v>
      </c>
      <c r="K3793" s="13" t="s">
        <v>5289</v>
      </c>
      <c r="L3793" s="13" t="n">
        <v>3616305259042</v>
      </c>
      <c r="M3793" s="13"/>
      <c r="N3793" s="13" t="n">
        <v>3616305259042</v>
      </c>
      <c r="O3793" s="13"/>
      <c r="P3793" s="13" t="s">
        <v>5291</v>
      </c>
      <c r="Q3793" s="13" t="s">
        <v>5289</v>
      </c>
      <c r="R3793" s="13" t="s">
        <v>5292</v>
      </c>
      <c r="S3793" s="13" t="s">
        <v>5293</v>
      </c>
      <c r="T3793" s="13" t="s">
        <v>5</v>
      </c>
      <c r="U3793" s="13" t="s">
        <v>43</v>
      </c>
      <c r="V3793" s="13" t="n">
        <f aca="false">IF(COUNTIF($B$2:B3793,B3793)=1,1,0)</f>
        <v>0</v>
      </c>
      <c r="W3793" s="13" t="n">
        <f aca="false">IF(COUNTIFS($B$2:B3793,B3793,$T$2:T3793,T3793)=1,1,0)</f>
        <v>0</v>
      </c>
    </row>
    <row r="3794" customFormat="false" ht="15" hidden="false" customHeight="false" outlineLevel="0" collapsed="false">
      <c r="A3794" s="13" t="s">
        <v>2023</v>
      </c>
      <c r="B3794" s="13" t="s">
        <v>121</v>
      </c>
      <c r="C3794" s="13" t="n">
        <v>160</v>
      </c>
      <c r="D3794" s="13" t="n">
        <v>1</v>
      </c>
      <c r="E3794" s="13" t="n">
        <v>164.9</v>
      </c>
      <c r="F3794" s="13" t="s">
        <v>5325</v>
      </c>
      <c r="G3794" s="13" t="s">
        <v>5289</v>
      </c>
      <c r="H3794" s="13" t="s">
        <v>5292</v>
      </c>
      <c r="I3794" s="13" t="s">
        <v>5289</v>
      </c>
      <c r="J3794" s="13" t="s">
        <v>5289</v>
      </c>
      <c r="K3794" s="13" t="s">
        <v>5289</v>
      </c>
      <c r="L3794" s="13" t="n">
        <v>7896086957986</v>
      </c>
      <c r="M3794" s="13"/>
      <c r="N3794" s="13" t="n">
        <v>7896086957986</v>
      </c>
      <c r="O3794" s="13"/>
      <c r="P3794" s="13" t="s">
        <v>5291</v>
      </c>
      <c r="Q3794" s="13" t="s">
        <v>5289</v>
      </c>
      <c r="R3794" s="13" t="s">
        <v>5292</v>
      </c>
      <c r="S3794" s="13" t="s">
        <v>5293</v>
      </c>
      <c r="T3794" s="13" t="s">
        <v>5</v>
      </c>
      <c r="U3794" s="13" t="s">
        <v>43</v>
      </c>
      <c r="V3794" s="13" t="n">
        <f aca="false">IF(COUNTIF($B$2:B3794,B3794)=1,1,0)</f>
        <v>0</v>
      </c>
      <c r="W3794" s="13" t="n">
        <f aca="false">IF(COUNTIFS($B$2:B3794,B3794,$T$2:T3794,T3794)=1,1,0)</f>
        <v>0</v>
      </c>
    </row>
    <row r="3795" customFormat="false" ht="15" hidden="false" customHeight="false" outlineLevel="0" collapsed="false">
      <c r="A3795" s="13" t="s">
        <v>2021</v>
      </c>
      <c r="B3795" s="13" t="s">
        <v>121</v>
      </c>
      <c r="C3795" s="13" t="n">
        <v>160</v>
      </c>
      <c r="D3795" s="13" t="n">
        <v>1</v>
      </c>
      <c r="E3795" s="13" t="n">
        <v>164.9</v>
      </c>
      <c r="F3795" s="13" t="s">
        <v>5325</v>
      </c>
      <c r="G3795" s="13" t="s">
        <v>5289</v>
      </c>
      <c r="H3795" s="13" t="s">
        <v>5289</v>
      </c>
      <c r="I3795" s="13" t="s">
        <v>5289</v>
      </c>
      <c r="J3795" s="13" t="s">
        <v>5289</v>
      </c>
      <c r="K3795" s="13" t="s">
        <v>5289</v>
      </c>
      <c r="L3795" s="13" t="n">
        <v>7896086957986</v>
      </c>
      <c r="M3795" s="13"/>
      <c r="N3795" s="13" t="n">
        <v>7896086957986</v>
      </c>
      <c r="O3795" s="13"/>
      <c r="P3795" s="13" t="s">
        <v>5291</v>
      </c>
      <c r="Q3795" s="13" t="s">
        <v>5289</v>
      </c>
      <c r="R3795" s="13" t="s">
        <v>5292</v>
      </c>
      <c r="S3795" s="13" t="s">
        <v>5293</v>
      </c>
      <c r="T3795" s="13" t="s">
        <v>5</v>
      </c>
      <c r="U3795" s="13" t="s">
        <v>43</v>
      </c>
      <c r="V3795" s="13" t="n">
        <f aca="false">IF(COUNTIF($B$2:B3795,B3795)=1,1,0)</f>
        <v>0</v>
      </c>
      <c r="W3795" s="13" t="n">
        <f aca="false">IF(COUNTIFS($B$2:B3795,B3795,$T$2:T3795,T3795)=1,1,0)</f>
        <v>0</v>
      </c>
    </row>
    <row r="3796" customFormat="false" ht="15" hidden="false" customHeight="false" outlineLevel="0" collapsed="false">
      <c r="A3796" s="13" t="s">
        <v>1102</v>
      </c>
      <c r="B3796" s="13" t="s">
        <v>103</v>
      </c>
      <c r="C3796" s="13" t="n">
        <v>160</v>
      </c>
      <c r="D3796" s="13" t="n">
        <v>1</v>
      </c>
      <c r="E3796" s="13" t="n">
        <v>163.9</v>
      </c>
      <c r="F3796" s="13" t="s">
        <v>5325</v>
      </c>
      <c r="G3796" s="13" t="s">
        <v>5292</v>
      </c>
      <c r="H3796" s="13" t="s">
        <v>5289</v>
      </c>
      <c r="I3796" s="13" t="s">
        <v>5289</v>
      </c>
      <c r="J3796" s="13" t="s">
        <v>5289</v>
      </c>
      <c r="K3796" s="13" t="s">
        <v>5289</v>
      </c>
      <c r="L3796" s="13"/>
      <c r="M3796" s="13"/>
      <c r="N3796" s="13" t="n">
        <v>8411061124239</v>
      </c>
      <c r="O3796" s="13"/>
      <c r="P3796" s="13" t="s">
        <v>5291</v>
      </c>
      <c r="Q3796" s="13" t="s">
        <v>5289</v>
      </c>
      <c r="R3796" s="13" t="s">
        <v>5292</v>
      </c>
      <c r="S3796" s="13" t="s">
        <v>5293</v>
      </c>
      <c r="T3796" s="13" t="s">
        <v>5</v>
      </c>
      <c r="U3796" s="13" t="s">
        <v>43</v>
      </c>
      <c r="V3796" s="13" t="n">
        <f aca="false">IF(COUNTIF($B$2:B3796,B3796)=1,1,0)</f>
        <v>0</v>
      </c>
      <c r="W3796" s="13" t="n">
        <f aca="false">IF(COUNTIFS($B$2:B3796,B3796,$T$2:T3796,T3796)=1,1,0)</f>
        <v>0</v>
      </c>
    </row>
    <row r="3797" customFormat="false" ht="15" hidden="false" customHeight="false" outlineLevel="0" collapsed="false">
      <c r="A3797" s="13" t="s">
        <v>695</v>
      </c>
      <c r="B3797" s="13" t="s">
        <v>630</v>
      </c>
      <c r="C3797" s="13" t="n">
        <v>160</v>
      </c>
      <c r="D3797" s="13" t="n">
        <v>1</v>
      </c>
      <c r="E3797" s="13" t="n">
        <v>160.21</v>
      </c>
      <c r="F3797" s="13" t="s">
        <v>5325</v>
      </c>
      <c r="G3797" s="13" t="s">
        <v>5292</v>
      </c>
      <c r="H3797" s="13" t="s">
        <v>5289</v>
      </c>
      <c r="I3797" s="13" t="s">
        <v>5289</v>
      </c>
      <c r="J3797" s="13" t="s">
        <v>5289</v>
      </c>
      <c r="K3797" s="13" t="s">
        <v>5289</v>
      </c>
      <c r="L3797" s="13"/>
      <c r="M3797" s="13"/>
      <c r="N3797" s="13" t="n">
        <v>8433982013164</v>
      </c>
      <c r="O3797" s="13"/>
      <c r="P3797" s="13" t="s">
        <v>5297</v>
      </c>
      <c r="Q3797" s="13" t="s">
        <v>5289</v>
      </c>
      <c r="R3797" s="13" t="s">
        <v>5292</v>
      </c>
      <c r="S3797" s="13" t="s">
        <v>5293</v>
      </c>
      <c r="T3797" s="13" t="s">
        <v>5</v>
      </c>
      <c r="U3797" s="13" t="s">
        <v>43</v>
      </c>
      <c r="V3797" s="13" t="n">
        <f aca="false">IF(COUNTIF($B$2:B3797,B3797)=1,1,0)</f>
        <v>0</v>
      </c>
      <c r="W3797" s="13" t="n">
        <f aca="false">IF(COUNTIFS($B$2:B3797,B3797,$T$2:T3797,T3797)=1,1,0)</f>
        <v>0</v>
      </c>
    </row>
    <row r="3798" customFormat="false" ht="15" hidden="false" customHeight="false" outlineLevel="0" collapsed="false">
      <c r="A3798" s="13" t="s">
        <v>5031</v>
      </c>
      <c r="B3798" s="13" t="s">
        <v>2236</v>
      </c>
      <c r="C3798" s="13" t="n">
        <v>160</v>
      </c>
      <c r="D3798" s="13" t="n">
        <v>1</v>
      </c>
      <c r="E3798" s="13" t="n">
        <v>160.19</v>
      </c>
      <c r="F3798" s="13" t="s">
        <v>5325</v>
      </c>
      <c r="G3798" s="13" t="s">
        <v>5292</v>
      </c>
      <c r="H3798" s="13" t="s">
        <v>5289</v>
      </c>
      <c r="I3798" s="13" t="s">
        <v>5289</v>
      </c>
      <c r="J3798" s="13" t="s">
        <v>5289</v>
      </c>
      <c r="K3798" s="13" t="s">
        <v>5289</v>
      </c>
      <c r="L3798" s="13"/>
      <c r="M3798" s="13"/>
      <c r="N3798" s="13" t="n">
        <v>892456000150</v>
      </c>
      <c r="O3798" s="13"/>
      <c r="P3798" s="13" t="s">
        <v>5291</v>
      </c>
      <c r="Q3798" s="13" t="s">
        <v>5289</v>
      </c>
      <c r="R3798" s="13" t="s">
        <v>5292</v>
      </c>
      <c r="S3798" s="13" t="s">
        <v>5293</v>
      </c>
      <c r="T3798" s="13" t="s">
        <v>5</v>
      </c>
      <c r="U3798" s="13" t="s">
        <v>43</v>
      </c>
      <c r="V3798" s="13" t="n">
        <f aca="false">IF(COUNTIF($B$2:B3798,B3798)=1,1,0)</f>
        <v>0</v>
      </c>
      <c r="W3798" s="13" t="n">
        <f aca="false">IF(COUNTIFS($B$2:B3798,B3798,$T$2:T3798,T3798)=1,1,0)</f>
        <v>1</v>
      </c>
    </row>
    <row r="3799" customFormat="false" ht="15" hidden="false" customHeight="false" outlineLevel="0" collapsed="false">
      <c r="A3799" s="13" t="s">
        <v>5022</v>
      </c>
      <c r="B3799" s="13" t="s">
        <v>2155</v>
      </c>
      <c r="C3799" s="13" t="n">
        <v>160</v>
      </c>
      <c r="D3799" s="13" t="n">
        <v>1</v>
      </c>
      <c r="E3799" s="13" t="n">
        <v>159.85</v>
      </c>
      <c r="F3799" s="13" t="s">
        <v>5325</v>
      </c>
      <c r="G3799" s="13" t="s">
        <v>5292</v>
      </c>
      <c r="H3799" s="13" t="s">
        <v>5292</v>
      </c>
      <c r="I3799" s="13" t="s">
        <v>5289</v>
      </c>
      <c r="J3799" s="13" t="s">
        <v>5289</v>
      </c>
      <c r="K3799" s="13" t="s">
        <v>5292</v>
      </c>
      <c r="L3799" s="13" t="n">
        <v>5060926687582</v>
      </c>
      <c r="M3799" s="13"/>
      <c r="N3799" s="13" t="n">
        <v>5060926687582</v>
      </c>
      <c r="O3799" s="13"/>
      <c r="P3799" s="13" t="s">
        <v>5291</v>
      </c>
      <c r="Q3799" s="13" t="s">
        <v>5289</v>
      </c>
      <c r="R3799" s="13" t="s">
        <v>5292</v>
      </c>
      <c r="S3799" s="13" t="s">
        <v>5293</v>
      </c>
      <c r="T3799" s="13" t="s">
        <v>5</v>
      </c>
      <c r="U3799" s="13" t="s">
        <v>85</v>
      </c>
      <c r="V3799" s="13" t="n">
        <f aca="false">IF(COUNTIF($B$2:B3799,B3799)=1,1,0)</f>
        <v>0</v>
      </c>
      <c r="W3799" s="13" t="n">
        <f aca="false">IF(COUNTIFS($B$2:B3799,B3799,$T$2:T3799,T3799)=1,1,0)</f>
        <v>0</v>
      </c>
    </row>
    <row r="3800" customFormat="false" ht="15" hidden="false" customHeight="false" outlineLevel="0" collapsed="false">
      <c r="A3800" s="13" t="s">
        <v>3817</v>
      </c>
      <c r="B3800" s="13" t="s">
        <v>2271</v>
      </c>
      <c r="C3800" s="13" t="n">
        <v>160</v>
      </c>
      <c r="D3800" s="13" t="n">
        <v>1</v>
      </c>
      <c r="E3800" s="13" t="n">
        <v>159.08</v>
      </c>
      <c r="F3800" s="13" t="s">
        <v>5325</v>
      </c>
      <c r="G3800" s="13" t="s">
        <v>5289</v>
      </c>
      <c r="H3800" s="13" t="s">
        <v>5292</v>
      </c>
      <c r="I3800" s="13" t="s">
        <v>5289</v>
      </c>
      <c r="J3800" s="13" t="s">
        <v>5289</v>
      </c>
      <c r="K3800" s="13" t="s">
        <v>5289</v>
      </c>
      <c r="L3800" s="13" t="n">
        <v>3616303462062</v>
      </c>
      <c r="M3800" s="13"/>
      <c r="N3800" s="13" t="n">
        <v>3616303462062</v>
      </c>
      <c r="O3800" s="13"/>
      <c r="P3800" s="13" t="s">
        <v>5291</v>
      </c>
      <c r="Q3800" s="13" t="s">
        <v>5289</v>
      </c>
      <c r="R3800" s="13" t="s">
        <v>5292</v>
      </c>
      <c r="S3800" s="13" t="s">
        <v>5293</v>
      </c>
      <c r="T3800" s="13" t="s">
        <v>5</v>
      </c>
      <c r="U3800" s="13" t="s">
        <v>43</v>
      </c>
      <c r="V3800" s="13" t="n">
        <f aca="false">IF(COUNTIF($B$2:B3800,B3800)=1,1,0)</f>
        <v>0</v>
      </c>
      <c r="W3800" s="13" t="n">
        <f aca="false">IF(COUNTIFS($B$2:B3800,B3800,$T$2:T3800,T3800)=1,1,0)</f>
        <v>0</v>
      </c>
    </row>
    <row r="3801" customFormat="false" ht="15" hidden="false" customHeight="false" outlineLevel="0" collapsed="false">
      <c r="A3801" s="13" t="s">
        <v>5025</v>
      </c>
      <c r="B3801" s="13" t="s">
        <v>2192</v>
      </c>
      <c r="C3801" s="13" t="n">
        <v>160</v>
      </c>
      <c r="D3801" s="13" t="n">
        <v>1</v>
      </c>
      <c r="E3801" s="13" t="n">
        <v>158.85</v>
      </c>
      <c r="F3801" s="13" t="s">
        <v>5325</v>
      </c>
      <c r="G3801" s="13" t="s">
        <v>5292</v>
      </c>
      <c r="H3801" s="13" t="s">
        <v>5289</v>
      </c>
      <c r="I3801" s="13" t="s">
        <v>5289</v>
      </c>
      <c r="J3801" s="13" t="s">
        <v>5289</v>
      </c>
      <c r="K3801" s="13" t="s">
        <v>5292</v>
      </c>
      <c r="L3801" s="13" t="n">
        <v>7290113142947</v>
      </c>
      <c r="M3801" s="13"/>
      <c r="N3801" s="13" t="n">
        <v>7290113142947</v>
      </c>
      <c r="O3801" s="13"/>
      <c r="P3801" s="13" t="s">
        <v>5297</v>
      </c>
      <c r="Q3801" s="13" t="s">
        <v>5289</v>
      </c>
      <c r="R3801" s="13" t="s">
        <v>5292</v>
      </c>
      <c r="S3801" s="13" t="s">
        <v>5293</v>
      </c>
      <c r="T3801" s="13" t="s">
        <v>5</v>
      </c>
      <c r="U3801" s="13" t="s">
        <v>85</v>
      </c>
      <c r="V3801" s="13" t="n">
        <f aca="false">IF(COUNTIF($B$2:B3801,B3801)=1,1,0)</f>
        <v>0</v>
      </c>
      <c r="W3801" s="13" t="n">
        <f aca="false">IF(COUNTIFS($B$2:B3801,B3801,$T$2:T3801,T3801)=1,1,0)</f>
        <v>0</v>
      </c>
    </row>
    <row r="3802" customFormat="false" ht="15" hidden="false" customHeight="false" outlineLevel="0" collapsed="false">
      <c r="A3802" s="13" t="s">
        <v>5035</v>
      </c>
      <c r="B3802" s="13" t="s">
        <v>2215</v>
      </c>
      <c r="C3802" s="13" t="n">
        <v>160</v>
      </c>
      <c r="D3802" s="13" t="n">
        <v>1</v>
      </c>
      <c r="E3802" s="13" t="n">
        <v>158.85</v>
      </c>
      <c r="F3802" s="13" t="s">
        <v>5288</v>
      </c>
      <c r="G3802" s="13" t="s">
        <v>5292</v>
      </c>
      <c r="H3802" s="13" t="s">
        <v>5292</v>
      </c>
      <c r="I3802" s="13" t="s">
        <v>5289</v>
      </c>
      <c r="J3802" s="13" t="s">
        <v>5289</v>
      </c>
      <c r="K3802" s="13" t="s">
        <v>5292</v>
      </c>
      <c r="L3802" s="13" t="n">
        <v>3474637328900</v>
      </c>
      <c r="M3802" s="13"/>
      <c r="N3802" s="13" t="n">
        <v>3474637328900</v>
      </c>
      <c r="O3802" s="13"/>
      <c r="P3802" s="13" t="s">
        <v>5297</v>
      </c>
      <c r="Q3802" s="13" t="s">
        <v>5289</v>
      </c>
      <c r="R3802" s="13" t="s">
        <v>5292</v>
      </c>
      <c r="S3802" s="13" t="s">
        <v>5293</v>
      </c>
      <c r="T3802" s="13" t="s">
        <v>5</v>
      </c>
      <c r="U3802" s="13" t="s">
        <v>183</v>
      </c>
      <c r="V3802" s="13" t="n">
        <f aca="false">IF(COUNTIF($B$2:B3802,B3802)=1,1,0)</f>
        <v>0</v>
      </c>
      <c r="W3802" s="13" t="n">
        <f aca="false">IF(COUNTIFS($B$2:B3802,B3802,$T$2:T3802,T3802)=1,1,0)</f>
        <v>0</v>
      </c>
    </row>
    <row r="3803" customFormat="false" ht="15" hidden="false" customHeight="false" outlineLevel="0" collapsed="false">
      <c r="A3803" s="13" t="s">
        <v>2022</v>
      </c>
      <c r="B3803" s="13" t="s">
        <v>59</v>
      </c>
      <c r="C3803" s="13" t="n">
        <v>160</v>
      </c>
      <c r="D3803" s="13" t="n">
        <v>1</v>
      </c>
      <c r="E3803" s="13" t="n">
        <v>158.72</v>
      </c>
      <c r="F3803" s="13" t="s">
        <v>5325</v>
      </c>
      <c r="G3803" s="13" t="s">
        <v>5289</v>
      </c>
      <c r="H3803" s="13" t="s">
        <v>5292</v>
      </c>
      <c r="I3803" s="13" t="s">
        <v>5289</v>
      </c>
      <c r="J3803" s="13" t="s">
        <v>5289</v>
      </c>
      <c r="K3803" s="13" t="s">
        <v>5289</v>
      </c>
      <c r="L3803" s="13" t="n">
        <v>31655531908</v>
      </c>
      <c r="M3803" s="13"/>
      <c r="N3803" s="13" t="n">
        <v>31655531908</v>
      </c>
      <c r="O3803" s="13"/>
      <c r="P3803" s="13" t="s">
        <v>5291</v>
      </c>
      <c r="Q3803" s="13" t="s">
        <v>5289</v>
      </c>
      <c r="R3803" s="13" t="s">
        <v>5292</v>
      </c>
      <c r="S3803" s="13" t="s">
        <v>5293</v>
      </c>
      <c r="T3803" s="13" t="s">
        <v>5</v>
      </c>
      <c r="U3803" s="13" t="s">
        <v>43</v>
      </c>
      <c r="V3803" s="13" t="n">
        <f aca="false">IF(COUNTIF($B$2:B3803,B3803)=1,1,0)</f>
        <v>0</v>
      </c>
      <c r="W3803" s="13" t="n">
        <f aca="false">IF(COUNTIFS($B$2:B3803,B3803,$T$2:T3803,T3803)=1,1,0)</f>
        <v>0</v>
      </c>
    </row>
    <row r="3804" customFormat="false" ht="15" hidden="false" customHeight="false" outlineLevel="0" collapsed="false">
      <c r="A3804" s="13" t="s">
        <v>4096</v>
      </c>
      <c r="B3804" s="13" t="s">
        <v>2164</v>
      </c>
      <c r="C3804" s="13" t="n">
        <v>160</v>
      </c>
      <c r="D3804" s="13" t="n">
        <v>1</v>
      </c>
      <c r="E3804" s="13" t="n">
        <v>158.63</v>
      </c>
      <c r="F3804" s="13" t="s">
        <v>5325</v>
      </c>
      <c r="G3804" s="13" t="s">
        <v>5289</v>
      </c>
      <c r="H3804" s="13" t="s">
        <v>5292</v>
      </c>
      <c r="I3804" s="13" t="s">
        <v>5289</v>
      </c>
      <c r="J3804" s="13" t="s">
        <v>5289</v>
      </c>
      <c r="K3804" s="13" t="s">
        <v>5289</v>
      </c>
      <c r="L3804" s="13" t="n">
        <v>3616305447166</v>
      </c>
      <c r="M3804" s="13"/>
      <c r="N3804" s="13" t="n">
        <v>3616305447166</v>
      </c>
      <c r="O3804" s="13"/>
      <c r="P3804" s="13" t="s">
        <v>5291</v>
      </c>
      <c r="Q3804" s="13" t="s">
        <v>5289</v>
      </c>
      <c r="R3804" s="13" t="s">
        <v>5292</v>
      </c>
      <c r="S3804" s="13" t="s">
        <v>5293</v>
      </c>
      <c r="T3804" s="13" t="s">
        <v>5</v>
      </c>
      <c r="U3804" s="13" t="s">
        <v>43</v>
      </c>
      <c r="V3804" s="13" t="n">
        <f aca="false">IF(COUNTIF($B$2:B3804,B3804)=1,1,0)</f>
        <v>0</v>
      </c>
      <c r="W3804" s="13" t="n">
        <f aca="false">IF(COUNTIFS($B$2:B3804,B3804,$T$2:T3804,T3804)=1,1,0)</f>
        <v>0</v>
      </c>
    </row>
    <row r="3805" customFormat="false" ht="15" hidden="false" customHeight="false" outlineLevel="0" collapsed="false">
      <c r="A3805" s="13" t="s">
        <v>2024</v>
      </c>
      <c r="B3805" s="13" t="s">
        <v>630</v>
      </c>
      <c r="C3805" s="13" t="n">
        <v>160</v>
      </c>
      <c r="D3805" s="13" t="n">
        <v>1</v>
      </c>
      <c r="E3805" s="13" t="n">
        <v>158</v>
      </c>
      <c r="F3805" s="13" t="s">
        <v>5288</v>
      </c>
      <c r="G3805" s="13" t="s">
        <v>5292</v>
      </c>
      <c r="H3805" s="13" t="s">
        <v>5289</v>
      </c>
      <c r="I3805" s="13" t="s">
        <v>5289</v>
      </c>
      <c r="J3805" s="13" t="s">
        <v>5289</v>
      </c>
      <c r="K3805" s="13" t="s">
        <v>5289</v>
      </c>
      <c r="L3805" s="13"/>
      <c r="M3805" s="13"/>
      <c r="N3805" s="13" t="n">
        <v>8433982024283</v>
      </c>
      <c r="O3805" s="13"/>
      <c r="P3805" s="13" t="s">
        <v>5297</v>
      </c>
      <c r="Q3805" s="13" t="s">
        <v>5289</v>
      </c>
      <c r="R3805" s="13" t="s">
        <v>5292</v>
      </c>
      <c r="S3805" s="13" t="s">
        <v>5293</v>
      </c>
      <c r="T3805" s="13" t="s">
        <v>5</v>
      </c>
      <c r="U3805" s="13" t="s">
        <v>43</v>
      </c>
      <c r="V3805" s="13" t="n">
        <f aca="false">IF(COUNTIF($B$2:B3805,B3805)=1,1,0)</f>
        <v>0</v>
      </c>
      <c r="W3805" s="13" t="n">
        <f aca="false">IF(COUNTIFS($B$2:B3805,B3805,$T$2:T3805,T3805)=1,1,0)</f>
        <v>0</v>
      </c>
    </row>
    <row r="3806" customFormat="false" ht="15" hidden="false" customHeight="false" outlineLevel="0" collapsed="false">
      <c r="A3806" s="13" t="s">
        <v>2025</v>
      </c>
      <c r="B3806" s="13" t="s">
        <v>103</v>
      </c>
      <c r="C3806" s="13" t="n">
        <v>160</v>
      </c>
      <c r="D3806" s="13" t="n">
        <v>1</v>
      </c>
      <c r="E3806" s="13" t="n">
        <v>157.9</v>
      </c>
      <c r="F3806" s="13" t="s">
        <v>5288</v>
      </c>
      <c r="G3806" s="13" t="s">
        <v>5289</v>
      </c>
      <c r="H3806" s="13" t="s">
        <v>5292</v>
      </c>
      <c r="I3806" s="13" t="s">
        <v>5289</v>
      </c>
      <c r="J3806" s="13" t="s">
        <v>5289</v>
      </c>
      <c r="K3806" s="13" t="s">
        <v>5289</v>
      </c>
      <c r="L3806" s="13" t="n">
        <v>8411061982105</v>
      </c>
      <c r="M3806" s="13"/>
      <c r="N3806" s="13" t="n">
        <v>8.41106108131084E+025</v>
      </c>
      <c r="O3806" s="13"/>
      <c r="P3806" s="13" t="s">
        <v>5291</v>
      </c>
      <c r="Q3806" s="13" t="s">
        <v>5289</v>
      </c>
      <c r="R3806" s="13" t="s">
        <v>5292</v>
      </c>
      <c r="S3806" s="13" t="s">
        <v>5293</v>
      </c>
      <c r="T3806" s="13" t="s">
        <v>5</v>
      </c>
      <c r="U3806" s="13" t="s">
        <v>43</v>
      </c>
      <c r="V3806" s="13" t="n">
        <f aca="false">IF(COUNTIF($B$2:B3806,B3806)=1,1,0)</f>
        <v>0</v>
      </c>
      <c r="W3806" s="13" t="n">
        <f aca="false">IF(COUNTIFS($B$2:B3806,B3806,$T$2:T3806,T3806)=1,1,0)</f>
        <v>0</v>
      </c>
    </row>
    <row r="3807" customFormat="false" ht="15" hidden="false" customHeight="false" outlineLevel="0" collapsed="false">
      <c r="A3807" s="13" t="s">
        <v>3742</v>
      </c>
      <c r="B3807" s="13" t="s">
        <v>2103</v>
      </c>
      <c r="C3807" s="13" t="n">
        <v>160</v>
      </c>
      <c r="D3807" s="13" t="n">
        <v>2</v>
      </c>
      <c r="E3807" s="13" t="n">
        <v>78.34</v>
      </c>
      <c r="F3807" s="13" t="s">
        <v>5325</v>
      </c>
      <c r="G3807" s="13" t="s">
        <v>5289</v>
      </c>
      <c r="H3807" s="13" t="s">
        <v>5292</v>
      </c>
      <c r="I3807" s="13" t="s">
        <v>5292</v>
      </c>
      <c r="J3807" s="13" t="s">
        <v>5289</v>
      </c>
      <c r="K3807" s="13" t="s">
        <v>5289</v>
      </c>
      <c r="L3807" s="13" t="n">
        <v>309973212039</v>
      </c>
      <c r="M3807" s="13"/>
      <c r="N3807" s="13" t="n">
        <v>309973212039</v>
      </c>
      <c r="O3807" s="13"/>
      <c r="P3807" s="13" t="s">
        <v>5291</v>
      </c>
      <c r="Q3807" s="13" t="s">
        <v>5289</v>
      </c>
      <c r="R3807" s="13" t="s">
        <v>5292</v>
      </c>
      <c r="S3807" s="13" t="s">
        <v>5293</v>
      </c>
      <c r="T3807" s="13" t="s">
        <v>5</v>
      </c>
      <c r="U3807" s="13" t="s">
        <v>85</v>
      </c>
      <c r="V3807" s="13" t="n">
        <f aca="false">IF(COUNTIF($B$2:B3807,B3807)=1,1,0)</f>
        <v>0</v>
      </c>
      <c r="W3807" s="13" t="n">
        <f aca="false">IF(COUNTIFS($B$2:B3807,B3807,$T$2:T3807,T3807)=1,1,0)</f>
        <v>0</v>
      </c>
    </row>
    <row r="3808" customFormat="false" ht="15" hidden="false" customHeight="false" outlineLevel="0" collapsed="false">
      <c r="A3808" s="13" t="s">
        <v>2024</v>
      </c>
      <c r="B3808" s="13" t="s">
        <v>630</v>
      </c>
      <c r="C3808" s="13" t="n">
        <v>160</v>
      </c>
      <c r="D3808" s="13" t="n">
        <v>1</v>
      </c>
      <c r="E3808" s="13" t="n">
        <v>155.25</v>
      </c>
      <c r="F3808" s="13" t="s">
        <v>5288</v>
      </c>
      <c r="G3808" s="13" t="s">
        <v>5289</v>
      </c>
      <c r="H3808" s="13" t="s">
        <v>5289</v>
      </c>
      <c r="I3808" s="13" t="s">
        <v>5289</v>
      </c>
      <c r="J3808" s="13" t="s">
        <v>5289</v>
      </c>
      <c r="K3808" s="13" t="s">
        <v>5289</v>
      </c>
      <c r="L3808" s="13"/>
      <c r="M3808" s="13"/>
      <c r="N3808" s="13" t="n">
        <v>8433982027383</v>
      </c>
      <c r="O3808" s="13"/>
      <c r="P3808" s="13" t="s">
        <v>5291</v>
      </c>
      <c r="Q3808" s="13" t="s">
        <v>5289</v>
      </c>
      <c r="R3808" s="13" t="s">
        <v>5292</v>
      </c>
      <c r="S3808" s="13" t="s">
        <v>5293</v>
      </c>
      <c r="T3808" s="13" t="s">
        <v>5</v>
      </c>
      <c r="U3808" s="13" t="s">
        <v>43</v>
      </c>
      <c r="V3808" s="13" t="n">
        <f aca="false">IF(COUNTIF($B$2:B3808,B3808)=1,1,0)</f>
        <v>0</v>
      </c>
      <c r="W3808" s="13" t="n">
        <f aca="false">IF(COUNTIFS($B$2:B3808,B3808,$T$2:T3808,T3808)=1,1,0)</f>
        <v>0</v>
      </c>
    </row>
    <row r="3809" customFormat="false" ht="15" hidden="false" customHeight="false" outlineLevel="0" collapsed="false">
      <c r="A3809" s="13" t="s">
        <v>5029</v>
      </c>
      <c r="B3809" s="13" t="s">
        <v>2171</v>
      </c>
      <c r="C3809" s="13" t="n">
        <v>160</v>
      </c>
      <c r="D3809" s="13" t="n">
        <v>1</v>
      </c>
      <c r="E3809" s="13" t="n">
        <v>155</v>
      </c>
      <c r="F3809" s="13" t="s">
        <v>5325</v>
      </c>
      <c r="G3809" s="13" t="s">
        <v>5292</v>
      </c>
      <c r="H3809" s="13" t="s">
        <v>5292</v>
      </c>
      <c r="I3809" s="13" t="s">
        <v>5289</v>
      </c>
      <c r="J3809" s="13" t="s">
        <v>5289</v>
      </c>
      <c r="K3809" s="13" t="s">
        <v>5289</v>
      </c>
      <c r="L3809" s="13" t="n">
        <v>8801046316696</v>
      </c>
      <c r="M3809" s="13"/>
      <c r="N3809" s="13" t="n">
        <v>8801046316696</v>
      </c>
      <c r="O3809" s="13"/>
      <c r="P3809" s="13" t="s">
        <v>5291</v>
      </c>
      <c r="Q3809" s="13" t="s">
        <v>5289</v>
      </c>
      <c r="R3809" s="13" t="s">
        <v>5292</v>
      </c>
      <c r="S3809" s="13" t="s">
        <v>5293</v>
      </c>
      <c r="T3809" s="13" t="s">
        <v>5</v>
      </c>
      <c r="U3809" s="13" t="s">
        <v>85</v>
      </c>
      <c r="V3809" s="13" t="n">
        <f aca="false">IF(COUNTIF($B$2:B3809,B3809)=1,1,0)</f>
        <v>0</v>
      </c>
      <c r="W3809" s="13" t="n">
        <f aca="false">IF(COUNTIFS($B$2:B3809,B3809,$T$2:T3809,T3809)=1,1,0)</f>
        <v>1</v>
      </c>
    </row>
    <row r="3810" customFormat="false" ht="15" hidden="false" customHeight="false" outlineLevel="0" collapsed="false">
      <c r="A3810" s="13" t="s">
        <v>5054</v>
      </c>
      <c r="B3810" s="13" t="s">
        <v>2103</v>
      </c>
      <c r="C3810" s="13" t="n">
        <v>150</v>
      </c>
      <c r="D3810" s="13" t="n">
        <v>2</v>
      </c>
      <c r="E3810" s="13" t="n">
        <v>77.31</v>
      </c>
      <c r="F3810" s="13" t="s">
        <v>5325</v>
      </c>
      <c r="G3810" s="13" t="s">
        <v>5289</v>
      </c>
      <c r="H3810" s="13" t="s">
        <v>5292</v>
      </c>
      <c r="I3810" s="13" t="s">
        <v>5289</v>
      </c>
      <c r="J3810" s="13" t="s">
        <v>5289</v>
      </c>
      <c r="K3810" s="13" t="s">
        <v>5289</v>
      </c>
      <c r="L3810" s="13" t="n">
        <v>309970050382</v>
      </c>
      <c r="M3810" s="13"/>
      <c r="N3810" s="13" t="n">
        <v>309970050382</v>
      </c>
      <c r="O3810" s="13"/>
      <c r="P3810" s="13" t="s">
        <v>5291</v>
      </c>
      <c r="Q3810" s="13" t="s">
        <v>5289</v>
      </c>
      <c r="R3810" s="13" t="s">
        <v>5292</v>
      </c>
      <c r="S3810" s="13" t="s">
        <v>5293</v>
      </c>
      <c r="T3810" s="13" t="s">
        <v>5</v>
      </c>
      <c r="U3810" s="13" t="s">
        <v>85</v>
      </c>
      <c r="V3810" s="13" t="n">
        <f aca="false">IF(COUNTIF($B$2:B3810,B3810)=1,1,0)</f>
        <v>0</v>
      </c>
      <c r="W3810" s="13" t="n">
        <f aca="false">IF(COUNTIFS($B$2:B3810,B3810,$T$2:T3810,T3810)=1,1,0)</f>
        <v>0</v>
      </c>
    </row>
    <row r="3811" customFormat="false" ht="15" hidden="false" customHeight="false" outlineLevel="0" collapsed="false">
      <c r="A3811" s="13" t="s">
        <v>6413</v>
      </c>
      <c r="B3811" s="13" t="s">
        <v>2127</v>
      </c>
      <c r="C3811" s="13" t="n">
        <v>150</v>
      </c>
      <c r="D3811" s="13" t="n">
        <v>2</v>
      </c>
      <c r="E3811" s="13" t="n">
        <v>51.49</v>
      </c>
      <c r="F3811" s="13" t="s">
        <v>5325</v>
      </c>
      <c r="G3811" s="13" t="s">
        <v>5289</v>
      </c>
      <c r="H3811" s="13" t="s">
        <v>5292</v>
      </c>
      <c r="I3811" s="13" t="s">
        <v>5292</v>
      </c>
      <c r="J3811" s="13" t="s">
        <v>5289</v>
      </c>
      <c r="K3811" s="13" t="s">
        <v>5289</v>
      </c>
      <c r="L3811" s="13" t="n">
        <v>19045108015</v>
      </c>
      <c r="M3811" s="13"/>
      <c r="N3811" s="13" t="n">
        <v>19045108015</v>
      </c>
      <c r="O3811" s="13"/>
      <c r="P3811" s="13" t="s">
        <v>5291</v>
      </c>
      <c r="Q3811" s="13" t="s">
        <v>5289</v>
      </c>
      <c r="R3811" s="13" t="s">
        <v>5292</v>
      </c>
      <c r="S3811" s="13" t="s">
        <v>5293</v>
      </c>
      <c r="T3811" s="13" t="s">
        <v>5</v>
      </c>
      <c r="U3811" s="13" t="s">
        <v>85</v>
      </c>
      <c r="V3811" s="13" t="n">
        <f aca="false">IF(COUNTIF($B$2:B3811,B3811)=1,1,0)</f>
        <v>0</v>
      </c>
      <c r="W3811" s="13" t="n">
        <f aca="false">IF(COUNTIFS($B$2:B3811,B3811,$T$2:T3811,T3811)=1,1,0)</f>
        <v>0</v>
      </c>
    </row>
    <row r="3812" customFormat="false" ht="15" hidden="false" customHeight="false" outlineLevel="0" collapsed="false">
      <c r="A3812" s="13" t="s">
        <v>1743</v>
      </c>
      <c r="B3812" s="13" t="s">
        <v>121</v>
      </c>
      <c r="C3812" s="13" t="n">
        <v>150</v>
      </c>
      <c r="D3812" s="13" t="n">
        <v>1</v>
      </c>
      <c r="E3812" s="13" t="n">
        <v>153</v>
      </c>
      <c r="F3812" s="13" t="s">
        <v>5325</v>
      </c>
      <c r="G3812" s="13" t="s">
        <v>5292</v>
      </c>
      <c r="H3812" s="13" t="s">
        <v>5289</v>
      </c>
      <c r="I3812" s="13" t="s">
        <v>5289</v>
      </c>
      <c r="J3812" s="13" t="s">
        <v>5289</v>
      </c>
      <c r="K3812" s="13" t="s">
        <v>5289</v>
      </c>
      <c r="L3812" s="13" t="n">
        <v>7896086912053</v>
      </c>
      <c r="M3812" s="13"/>
      <c r="N3812" s="13" t="n">
        <v>7896086912053</v>
      </c>
      <c r="O3812" s="13"/>
      <c r="P3812" s="13" t="s">
        <v>5291</v>
      </c>
      <c r="Q3812" s="13" t="s">
        <v>5289</v>
      </c>
      <c r="R3812" s="13" t="s">
        <v>5292</v>
      </c>
      <c r="S3812" s="13" t="s">
        <v>5293</v>
      </c>
      <c r="T3812" s="13" t="s">
        <v>5</v>
      </c>
      <c r="U3812" s="13" t="s">
        <v>43</v>
      </c>
      <c r="V3812" s="13" t="n">
        <f aca="false">IF(COUNTIF($B$2:B3812,B3812)=1,1,0)</f>
        <v>0</v>
      </c>
      <c r="W3812" s="13" t="n">
        <f aca="false">IF(COUNTIFS($B$2:B3812,B3812,$T$2:T3812,T3812)=1,1,0)</f>
        <v>0</v>
      </c>
    </row>
    <row r="3813" customFormat="false" ht="15" hidden="false" customHeight="false" outlineLevel="0" collapsed="false">
      <c r="A3813" s="13" t="s">
        <v>5022</v>
      </c>
      <c r="B3813" s="13" t="s">
        <v>2155</v>
      </c>
      <c r="C3813" s="13" t="n">
        <v>150</v>
      </c>
      <c r="D3813" s="13" t="n">
        <v>1</v>
      </c>
      <c r="E3813" s="13" t="n">
        <v>152.29</v>
      </c>
      <c r="F3813" s="13" t="s">
        <v>5325</v>
      </c>
      <c r="G3813" s="13" t="s">
        <v>5292</v>
      </c>
      <c r="H3813" s="13" t="s">
        <v>5292</v>
      </c>
      <c r="I3813" s="13" t="s">
        <v>5289</v>
      </c>
      <c r="J3813" s="13" t="s">
        <v>5289</v>
      </c>
      <c r="K3813" s="13" t="s">
        <v>5289</v>
      </c>
      <c r="L3813" s="13" t="n">
        <v>5060926687568</v>
      </c>
      <c r="M3813" s="13"/>
      <c r="N3813" s="13" t="n">
        <v>5060926687568</v>
      </c>
      <c r="O3813" s="13"/>
      <c r="P3813" s="13" t="s">
        <v>5297</v>
      </c>
      <c r="Q3813" s="13" t="s">
        <v>5289</v>
      </c>
      <c r="R3813" s="13" t="s">
        <v>5292</v>
      </c>
      <c r="S3813" s="13" t="s">
        <v>5293</v>
      </c>
      <c r="T3813" s="13" t="s">
        <v>5</v>
      </c>
      <c r="U3813" s="13" t="s">
        <v>85</v>
      </c>
      <c r="V3813" s="13" t="n">
        <f aca="false">IF(COUNTIF($B$2:B3813,B3813)=1,1,0)</f>
        <v>0</v>
      </c>
      <c r="W3813" s="13" t="n">
        <f aca="false">IF(COUNTIFS($B$2:B3813,B3813,$T$2:T3813,T3813)=1,1,0)</f>
        <v>0</v>
      </c>
    </row>
    <row r="3814" customFormat="false" ht="15" hidden="false" customHeight="false" outlineLevel="0" collapsed="false">
      <c r="A3814" s="13" t="s">
        <v>2029</v>
      </c>
      <c r="B3814" s="13" t="s">
        <v>103</v>
      </c>
      <c r="C3814" s="13" t="n">
        <v>150</v>
      </c>
      <c r="D3814" s="13" t="n">
        <v>1</v>
      </c>
      <c r="E3814" s="13" t="n">
        <v>152.19</v>
      </c>
      <c r="F3814" s="13" t="s">
        <v>5325</v>
      </c>
      <c r="G3814" s="13" t="s">
        <v>5292</v>
      </c>
      <c r="H3814" s="13" t="s">
        <v>5289</v>
      </c>
      <c r="I3814" s="13" t="s">
        <v>5289</v>
      </c>
      <c r="J3814" s="13" t="s">
        <v>5289</v>
      </c>
      <c r="K3814" s="13" t="s">
        <v>5289</v>
      </c>
      <c r="L3814" s="13" t="n">
        <v>8411061082928</v>
      </c>
      <c r="M3814" s="13"/>
      <c r="N3814" s="13" t="n">
        <v>8411061082928</v>
      </c>
      <c r="O3814" s="13"/>
      <c r="P3814" s="13" t="s">
        <v>5291</v>
      </c>
      <c r="Q3814" s="13" t="s">
        <v>5289</v>
      </c>
      <c r="R3814" s="13" t="s">
        <v>5292</v>
      </c>
      <c r="S3814" s="13" t="s">
        <v>5293</v>
      </c>
      <c r="T3814" s="13" t="s">
        <v>5</v>
      </c>
      <c r="U3814" s="13" t="s">
        <v>43</v>
      </c>
      <c r="V3814" s="13" t="n">
        <f aca="false">IF(COUNTIF($B$2:B3814,B3814)=1,1,0)</f>
        <v>0</v>
      </c>
      <c r="W3814" s="13" t="n">
        <f aca="false">IF(COUNTIFS($B$2:B3814,B3814,$T$2:T3814,T3814)=1,1,0)</f>
        <v>0</v>
      </c>
    </row>
    <row r="3815" customFormat="false" ht="15" hidden="false" customHeight="false" outlineLevel="0" collapsed="false">
      <c r="A3815" s="13" t="s">
        <v>1787</v>
      </c>
      <c r="B3815" s="13" t="s">
        <v>121</v>
      </c>
      <c r="C3815" s="13" t="n">
        <v>150</v>
      </c>
      <c r="D3815" s="13" t="n">
        <v>1</v>
      </c>
      <c r="E3815" s="13" t="n">
        <v>152</v>
      </c>
      <c r="F3815" s="13" t="s">
        <v>5325</v>
      </c>
      <c r="G3815" s="13" t="s">
        <v>5289</v>
      </c>
      <c r="H3815" s="13" t="s">
        <v>5292</v>
      </c>
      <c r="I3815" s="13" t="s">
        <v>5289</v>
      </c>
      <c r="J3815" s="13" t="s">
        <v>5289</v>
      </c>
      <c r="K3815" s="13" t="s">
        <v>5289</v>
      </c>
      <c r="L3815" s="13" t="n">
        <v>7896086904492</v>
      </c>
      <c r="M3815" s="13"/>
      <c r="N3815" s="13" t="n">
        <v>7896086904492</v>
      </c>
      <c r="O3815" s="13"/>
      <c r="P3815" s="13" t="s">
        <v>5291</v>
      </c>
      <c r="Q3815" s="13" t="s">
        <v>5289</v>
      </c>
      <c r="R3815" s="13" t="s">
        <v>5292</v>
      </c>
      <c r="S3815" s="13" t="s">
        <v>5293</v>
      </c>
      <c r="T3815" s="13" t="s">
        <v>5</v>
      </c>
      <c r="U3815" s="13" t="s">
        <v>43</v>
      </c>
      <c r="V3815" s="13" t="n">
        <f aca="false">IF(COUNTIF($B$2:B3815,B3815)=1,1,0)</f>
        <v>0</v>
      </c>
      <c r="W3815" s="13" t="n">
        <f aca="false">IF(COUNTIFS($B$2:B3815,B3815,$T$2:T3815,T3815)=1,1,0)</f>
        <v>0</v>
      </c>
    </row>
    <row r="3816" customFormat="false" ht="15" hidden="false" customHeight="false" outlineLevel="0" collapsed="false">
      <c r="A3816" s="13" t="s">
        <v>5056</v>
      </c>
      <c r="B3816" s="13" t="s">
        <v>2100</v>
      </c>
      <c r="C3816" s="13" t="n">
        <v>150</v>
      </c>
      <c r="D3816" s="13" t="n">
        <v>2</v>
      </c>
      <c r="E3816" s="13" t="n">
        <v>75.66</v>
      </c>
      <c r="F3816" s="13" t="s">
        <v>5325</v>
      </c>
      <c r="G3816" s="13" t="s">
        <v>5292</v>
      </c>
      <c r="H3816" s="13" t="s">
        <v>5292</v>
      </c>
      <c r="I3816" s="13" t="s">
        <v>5292</v>
      </c>
      <c r="J3816" s="13" t="s">
        <v>5289</v>
      </c>
      <c r="K3816" s="13" t="s">
        <v>5289</v>
      </c>
      <c r="L3816" s="13" t="n">
        <v>7898410319644</v>
      </c>
      <c r="M3816" s="13"/>
      <c r="N3816" s="13" t="n">
        <v>7898410319644</v>
      </c>
      <c r="O3816" s="13"/>
      <c r="P3816" s="13" t="s">
        <v>5297</v>
      </c>
      <c r="Q3816" s="13" t="s">
        <v>5289</v>
      </c>
      <c r="R3816" s="13" t="s">
        <v>5292</v>
      </c>
      <c r="S3816" s="13" t="s">
        <v>5293</v>
      </c>
      <c r="T3816" s="13" t="s">
        <v>5</v>
      </c>
      <c r="U3816" s="13" t="s">
        <v>43</v>
      </c>
      <c r="V3816" s="13" t="n">
        <f aca="false">IF(COUNTIF($B$2:B3816,B3816)=1,1,0)</f>
        <v>0</v>
      </c>
      <c r="W3816" s="13" t="n">
        <f aca="false">IF(COUNTIFS($B$2:B3816,B3816,$T$2:T3816,T3816)=1,1,0)</f>
        <v>1</v>
      </c>
    </row>
    <row r="3817" customFormat="false" ht="15" hidden="false" customHeight="false" outlineLevel="0" collapsed="false">
      <c r="A3817" s="13" t="s">
        <v>2030</v>
      </c>
      <c r="B3817" s="13" t="s">
        <v>121</v>
      </c>
      <c r="C3817" s="13" t="n">
        <v>150</v>
      </c>
      <c r="D3817" s="13" t="n">
        <v>1</v>
      </c>
      <c r="E3817" s="13" t="n">
        <v>150.42</v>
      </c>
      <c r="F3817" s="13" t="s">
        <v>5325</v>
      </c>
      <c r="G3817" s="13" t="s">
        <v>5289</v>
      </c>
      <c r="H3817" s="13" t="s">
        <v>5292</v>
      </c>
      <c r="I3817" s="13" t="s">
        <v>5289</v>
      </c>
      <c r="J3817" s="13" t="s">
        <v>5289</v>
      </c>
      <c r="K3817" s="13" t="s">
        <v>5289</v>
      </c>
      <c r="L3817" s="13" t="n">
        <v>7896086932433</v>
      </c>
      <c r="M3817" s="13"/>
      <c r="N3817" s="13" t="n">
        <v>7896086932433</v>
      </c>
      <c r="O3817" s="13"/>
      <c r="P3817" s="13" t="s">
        <v>5291</v>
      </c>
      <c r="Q3817" s="13" t="s">
        <v>5289</v>
      </c>
      <c r="R3817" s="13" t="s">
        <v>5292</v>
      </c>
      <c r="S3817" s="13" t="s">
        <v>5293</v>
      </c>
      <c r="T3817" s="13" t="s">
        <v>5</v>
      </c>
      <c r="U3817" s="13" t="s">
        <v>43</v>
      </c>
      <c r="V3817" s="13" t="n">
        <f aca="false">IF(COUNTIF($B$2:B3817,B3817)=1,1,0)</f>
        <v>0</v>
      </c>
      <c r="W3817" s="13" t="n">
        <f aca="false">IF(COUNTIFS($B$2:B3817,B3817,$T$2:T3817,T3817)=1,1,0)</f>
        <v>0</v>
      </c>
    </row>
    <row r="3818" customFormat="false" ht="15" hidden="false" customHeight="false" outlineLevel="0" collapsed="false">
      <c r="A3818" s="13" t="s">
        <v>6414</v>
      </c>
      <c r="B3818" s="13" t="s">
        <v>2139</v>
      </c>
      <c r="C3818" s="13" t="n">
        <v>150</v>
      </c>
      <c r="D3818" s="13" t="n">
        <v>1</v>
      </c>
      <c r="E3818" s="13" t="n">
        <v>150.23</v>
      </c>
      <c r="F3818" s="13" t="s">
        <v>5325</v>
      </c>
      <c r="G3818" s="13" t="s">
        <v>5289</v>
      </c>
      <c r="H3818" s="13" t="s">
        <v>5292</v>
      </c>
      <c r="I3818" s="13" t="s">
        <v>5289</v>
      </c>
      <c r="J3818" s="13" t="s">
        <v>5289</v>
      </c>
      <c r="K3818" s="13" t="s">
        <v>5289</v>
      </c>
      <c r="L3818" s="13"/>
      <c r="M3818" s="13"/>
      <c r="N3818" s="13" t="n">
        <v>8.41106110307484E+025</v>
      </c>
      <c r="O3818" s="13"/>
      <c r="P3818" s="13" t="s">
        <v>5297</v>
      </c>
      <c r="Q3818" s="13" t="s">
        <v>5289</v>
      </c>
      <c r="R3818" s="13" t="s">
        <v>5292</v>
      </c>
      <c r="S3818" s="13" t="s">
        <v>5293</v>
      </c>
      <c r="T3818" s="13" t="s">
        <v>5</v>
      </c>
      <c r="U3818" s="13" t="s">
        <v>85</v>
      </c>
      <c r="V3818" s="13" t="n">
        <f aca="false">IF(COUNTIF($B$2:B3818,B3818)=1,1,0)</f>
        <v>0</v>
      </c>
      <c r="W3818" s="13" t="n">
        <f aca="false">IF(COUNTIFS($B$2:B3818,B3818,$T$2:T3818,T3818)=1,1,0)</f>
        <v>0</v>
      </c>
    </row>
    <row r="3819" customFormat="false" ht="15" hidden="false" customHeight="false" outlineLevel="0" collapsed="false">
      <c r="A3819" s="13" t="s">
        <v>1743</v>
      </c>
      <c r="B3819" s="13" t="s">
        <v>121</v>
      </c>
      <c r="C3819" s="13" t="n">
        <v>150</v>
      </c>
      <c r="D3819" s="13" t="n">
        <v>1</v>
      </c>
      <c r="E3819" s="13" t="n">
        <v>149.9</v>
      </c>
      <c r="F3819" s="13" t="s">
        <v>5288</v>
      </c>
      <c r="G3819" s="13" t="s">
        <v>5289</v>
      </c>
      <c r="H3819" s="13" t="s">
        <v>5292</v>
      </c>
      <c r="I3819" s="13" t="s">
        <v>5289</v>
      </c>
      <c r="J3819" s="13" t="s">
        <v>5289</v>
      </c>
      <c r="K3819" s="13" t="s">
        <v>5289</v>
      </c>
      <c r="L3819" s="13" t="n">
        <v>7896086912053</v>
      </c>
      <c r="M3819" s="13"/>
      <c r="N3819" s="13" t="n">
        <v>7896086912053</v>
      </c>
      <c r="O3819" s="13"/>
      <c r="P3819" s="13" t="s">
        <v>5291</v>
      </c>
      <c r="Q3819" s="13" t="s">
        <v>5289</v>
      </c>
      <c r="R3819" s="13" t="s">
        <v>5292</v>
      </c>
      <c r="S3819" s="13" t="s">
        <v>5293</v>
      </c>
      <c r="T3819" s="13" t="s">
        <v>5</v>
      </c>
      <c r="U3819" s="13" t="s">
        <v>43</v>
      </c>
      <c r="V3819" s="13" t="n">
        <f aca="false">IF(COUNTIF($B$2:B3819,B3819)=1,1,0)</f>
        <v>0</v>
      </c>
      <c r="W3819" s="13" t="n">
        <f aca="false">IF(COUNTIFS($B$2:B3819,B3819,$T$2:T3819,T3819)=1,1,0)</f>
        <v>0</v>
      </c>
    </row>
    <row r="3820" customFormat="false" ht="15" hidden="false" customHeight="false" outlineLevel="0" collapsed="false">
      <c r="A3820" s="13" t="s">
        <v>5044</v>
      </c>
      <c r="B3820" s="13" t="s">
        <v>2103</v>
      </c>
      <c r="C3820" s="13" t="n">
        <v>150</v>
      </c>
      <c r="D3820" s="13" t="n">
        <v>2</v>
      </c>
      <c r="E3820" s="13" t="n">
        <v>74.925</v>
      </c>
      <c r="F3820" s="13" t="s">
        <v>5325</v>
      </c>
      <c r="G3820" s="13" t="s">
        <v>5289</v>
      </c>
      <c r="H3820" s="13" t="s">
        <v>5292</v>
      </c>
      <c r="I3820" s="13" t="s">
        <v>5292</v>
      </c>
      <c r="J3820" s="13" t="s">
        <v>5289</v>
      </c>
      <c r="K3820" s="13" t="s">
        <v>5289</v>
      </c>
      <c r="L3820" s="13" t="n">
        <v>309974209014</v>
      </c>
      <c r="M3820" s="13"/>
      <c r="N3820" s="13" t="n">
        <v>309974209014</v>
      </c>
      <c r="O3820" s="13"/>
      <c r="P3820" s="13" t="s">
        <v>5291</v>
      </c>
      <c r="Q3820" s="13" t="s">
        <v>5289</v>
      </c>
      <c r="R3820" s="13" t="s">
        <v>5292</v>
      </c>
      <c r="S3820" s="13" t="s">
        <v>5293</v>
      </c>
      <c r="T3820" s="13" t="s">
        <v>5</v>
      </c>
      <c r="U3820" s="13" t="s">
        <v>85</v>
      </c>
      <c r="V3820" s="13" t="n">
        <f aca="false">IF(COUNTIF($B$2:B3820,B3820)=1,1,0)</f>
        <v>0</v>
      </c>
      <c r="W3820" s="13" t="n">
        <f aca="false">IF(COUNTIFS($B$2:B3820,B3820,$T$2:T3820,T3820)=1,1,0)</f>
        <v>0</v>
      </c>
    </row>
    <row r="3821" customFormat="false" ht="15" hidden="false" customHeight="false" outlineLevel="0" collapsed="false">
      <c r="A3821" s="13" t="s">
        <v>2031</v>
      </c>
      <c r="B3821" s="13" t="s">
        <v>121</v>
      </c>
      <c r="C3821" s="13" t="n">
        <v>150</v>
      </c>
      <c r="D3821" s="13" t="n">
        <v>2</v>
      </c>
      <c r="E3821" s="13" t="n">
        <v>74.85</v>
      </c>
      <c r="F3821" s="13" t="s">
        <v>5325</v>
      </c>
      <c r="G3821" s="13" t="s">
        <v>5289</v>
      </c>
      <c r="H3821" s="13" t="s">
        <v>5289</v>
      </c>
      <c r="I3821" s="13" t="s">
        <v>5292</v>
      </c>
      <c r="J3821" s="13" t="s">
        <v>5289</v>
      </c>
      <c r="K3821" s="13" t="s">
        <v>5292</v>
      </c>
      <c r="L3821" s="13" t="n">
        <v>7896086901170</v>
      </c>
      <c r="M3821" s="13"/>
      <c r="N3821" s="13" t="n">
        <v>7896086901170</v>
      </c>
      <c r="O3821" s="13"/>
      <c r="P3821" s="13" t="s">
        <v>5291</v>
      </c>
      <c r="Q3821" s="13" t="s">
        <v>5289</v>
      </c>
      <c r="R3821" s="13" t="s">
        <v>5292</v>
      </c>
      <c r="S3821" s="13" t="s">
        <v>5293</v>
      </c>
      <c r="T3821" s="13" t="s">
        <v>5</v>
      </c>
      <c r="U3821" s="13" t="s">
        <v>183</v>
      </c>
      <c r="V3821" s="13" t="n">
        <f aca="false">IF(COUNTIF($B$2:B3821,B3821)=1,1,0)</f>
        <v>0</v>
      </c>
      <c r="W3821" s="13" t="n">
        <f aca="false">IF(COUNTIFS($B$2:B3821,B3821,$T$2:T3821,T3821)=1,1,0)</f>
        <v>0</v>
      </c>
    </row>
    <row r="3822" customFormat="false" ht="15" hidden="false" customHeight="false" outlineLevel="0" collapsed="false">
      <c r="A3822" s="13" t="s">
        <v>2032</v>
      </c>
      <c r="B3822" s="13" t="s">
        <v>121</v>
      </c>
      <c r="C3822" s="13" t="n">
        <v>150</v>
      </c>
      <c r="D3822" s="13" t="n">
        <v>1</v>
      </c>
      <c r="E3822" s="13" t="n">
        <v>149.31</v>
      </c>
      <c r="F3822" s="13" t="s">
        <v>5288</v>
      </c>
      <c r="G3822" s="13" t="s">
        <v>5289</v>
      </c>
      <c r="H3822" s="13" t="s">
        <v>5292</v>
      </c>
      <c r="I3822" s="13" t="s">
        <v>5289</v>
      </c>
      <c r="J3822" s="13" t="s">
        <v>5289</v>
      </c>
      <c r="K3822" s="13" t="s">
        <v>5289</v>
      </c>
      <c r="L3822" s="13" t="n">
        <v>7896086993816</v>
      </c>
      <c r="M3822" s="13"/>
      <c r="N3822" s="13" t="n">
        <v>7896086993816</v>
      </c>
      <c r="O3822" s="13"/>
      <c r="P3822" s="13" t="s">
        <v>5291</v>
      </c>
      <c r="Q3822" s="13" t="s">
        <v>5289</v>
      </c>
      <c r="R3822" s="13" t="s">
        <v>5292</v>
      </c>
      <c r="S3822" s="13" t="s">
        <v>5293</v>
      </c>
      <c r="T3822" s="13" t="s">
        <v>5</v>
      </c>
      <c r="U3822" s="13" t="s">
        <v>43</v>
      </c>
      <c r="V3822" s="13" t="n">
        <f aca="false">IF(COUNTIF($B$2:B3822,B3822)=1,1,0)</f>
        <v>0</v>
      </c>
      <c r="W3822" s="13" t="n">
        <f aca="false">IF(COUNTIFS($B$2:B3822,B3822,$T$2:T3822,T3822)=1,1,0)</f>
        <v>0</v>
      </c>
    </row>
    <row r="3823" customFormat="false" ht="15" hidden="false" customHeight="false" outlineLevel="0" collapsed="false">
      <c r="A3823" s="13" t="s">
        <v>6415</v>
      </c>
      <c r="B3823" s="13" t="s">
        <v>2139</v>
      </c>
      <c r="C3823" s="13" t="n">
        <v>150</v>
      </c>
      <c r="D3823" s="13" t="n">
        <v>1</v>
      </c>
      <c r="E3823" s="13" t="n">
        <v>149.27</v>
      </c>
      <c r="F3823" s="13" t="s">
        <v>5325</v>
      </c>
      <c r="G3823" s="13" t="s">
        <v>5289</v>
      </c>
      <c r="H3823" s="13" t="s">
        <v>5292</v>
      </c>
      <c r="I3823" s="13" t="s">
        <v>5289</v>
      </c>
      <c r="J3823" s="13" t="s">
        <v>5289</v>
      </c>
      <c r="K3823" s="13" t="s">
        <v>5289</v>
      </c>
      <c r="L3823" s="13"/>
      <c r="M3823" s="13"/>
      <c r="N3823" s="13" t="n">
        <v>8.41106106737684E+025</v>
      </c>
      <c r="O3823" s="13"/>
      <c r="P3823" s="13" t="s">
        <v>5291</v>
      </c>
      <c r="Q3823" s="13" t="s">
        <v>5289</v>
      </c>
      <c r="R3823" s="13" t="s">
        <v>5292</v>
      </c>
      <c r="S3823" s="13" t="s">
        <v>5293</v>
      </c>
      <c r="T3823" s="13" t="s">
        <v>5</v>
      </c>
      <c r="U3823" s="13" t="s">
        <v>140</v>
      </c>
      <c r="V3823" s="13" t="n">
        <f aca="false">IF(COUNTIF($B$2:B3823,B3823)=1,1,0)</f>
        <v>0</v>
      </c>
      <c r="W3823" s="13" t="n">
        <f aca="false">IF(COUNTIFS($B$2:B3823,B3823,$T$2:T3823,T3823)=1,1,0)</f>
        <v>0</v>
      </c>
    </row>
    <row r="3824" customFormat="false" ht="15" hidden="false" customHeight="false" outlineLevel="0" collapsed="false">
      <c r="A3824" s="13" t="s">
        <v>3548</v>
      </c>
      <c r="B3824" s="13" t="s">
        <v>2139</v>
      </c>
      <c r="C3824" s="13" t="n">
        <v>150</v>
      </c>
      <c r="D3824" s="13" t="n">
        <v>1</v>
      </c>
      <c r="E3824" s="13" t="n">
        <v>149.23</v>
      </c>
      <c r="F3824" s="13" t="s">
        <v>5325</v>
      </c>
      <c r="G3824" s="13" t="s">
        <v>5292</v>
      </c>
      <c r="H3824" s="13" t="s">
        <v>5289</v>
      </c>
      <c r="I3824" s="13" t="s">
        <v>5289</v>
      </c>
      <c r="J3824" s="13" t="s">
        <v>5289</v>
      </c>
      <c r="K3824" s="13" t="s">
        <v>5289</v>
      </c>
      <c r="L3824" s="13"/>
      <c r="M3824" s="13"/>
      <c r="N3824" s="13" t="n">
        <v>8411061067291</v>
      </c>
      <c r="O3824" s="13"/>
      <c r="P3824" s="13" t="s">
        <v>5297</v>
      </c>
      <c r="Q3824" s="13" t="s">
        <v>5289</v>
      </c>
      <c r="R3824" s="13" t="s">
        <v>5292</v>
      </c>
      <c r="S3824" s="13" t="s">
        <v>5293</v>
      </c>
      <c r="T3824" s="13" t="s">
        <v>5</v>
      </c>
      <c r="U3824" s="13" t="s">
        <v>43</v>
      </c>
      <c r="V3824" s="13" t="n">
        <f aca="false">IF(COUNTIF($B$2:B3824,B3824)=1,1,0)</f>
        <v>0</v>
      </c>
      <c r="W3824" s="13" t="n">
        <f aca="false">IF(COUNTIFS($B$2:B3824,B3824,$T$2:T3824,T3824)=1,1,0)</f>
        <v>0</v>
      </c>
    </row>
    <row r="3825" customFormat="false" ht="15" hidden="false" customHeight="false" outlineLevel="0" collapsed="false">
      <c r="A3825" s="13" t="s">
        <v>5050</v>
      </c>
      <c r="B3825" s="13" t="s">
        <v>2103</v>
      </c>
      <c r="C3825" s="13" t="n">
        <v>150</v>
      </c>
      <c r="D3825" s="13" t="n">
        <v>2</v>
      </c>
      <c r="E3825" s="13" t="n">
        <v>74.51</v>
      </c>
      <c r="F3825" s="13" t="s">
        <v>5288</v>
      </c>
      <c r="G3825" s="13" t="s">
        <v>5292</v>
      </c>
      <c r="H3825" s="13" t="s">
        <v>5289</v>
      </c>
      <c r="I3825" s="13" t="s">
        <v>5292</v>
      </c>
      <c r="J3825" s="13" t="s">
        <v>5289</v>
      </c>
      <c r="K3825" s="13" t="s">
        <v>5289</v>
      </c>
      <c r="L3825" s="13" t="n">
        <v>309970187095</v>
      </c>
      <c r="M3825" s="13"/>
      <c r="N3825" s="13" t="n">
        <v>309970187095</v>
      </c>
      <c r="O3825" s="13"/>
      <c r="P3825" s="13" t="s">
        <v>5291</v>
      </c>
      <c r="Q3825" s="13" t="s">
        <v>5289</v>
      </c>
      <c r="R3825" s="13" t="s">
        <v>5292</v>
      </c>
      <c r="S3825" s="13" t="s">
        <v>5293</v>
      </c>
      <c r="T3825" s="13" t="s">
        <v>5</v>
      </c>
      <c r="U3825" s="13" t="s">
        <v>183</v>
      </c>
      <c r="V3825" s="13" t="n">
        <f aca="false">IF(COUNTIF($B$2:B3825,B3825)=1,1,0)</f>
        <v>0</v>
      </c>
      <c r="W3825" s="13" t="n">
        <f aca="false">IF(COUNTIFS($B$2:B3825,B3825,$T$2:T3825,T3825)=1,1,0)</f>
        <v>0</v>
      </c>
    </row>
    <row r="3826" customFormat="false" ht="15" hidden="false" customHeight="false" outlineLevel="0" collapsed="false">
      <c r="A3826" s="13" t="s">
        <v>5048</v>
      </c>
      <c r="B3826" s="13" t="s">
        <v>2192</v>
      </c>
      <c r="C3826" s="13" t="n">
        <v>150</v>
      </c>
      <c r="D3826" s="13" t="n">
        <v>1</v>
      </c>
      <c r="E3826" s="13" t="n">
        <v>148.85</v>
      </c>
      <c r="F3826" s="13" t="s">
        <v>5288</v>
      </c>
      <c r="G3826" s="13" t="s">
        <v>5292</v>
      </c>
      <c r="H3826" s="13" t="s">
        <v>5292</v>
      </c>
      <c r="I3826" s="13" t="s">
        <v>5289</v>
      </c>
      <c r="J3826" s="13" t="s">
        <v>5289</v>
      </c>
      <c r="K3826" s="13" t="s">
        <v>5292</v>
      </c>
      <c r="L3826" s="13" t="n">
        <v>7290011521653</v>
      </c>
      <c r="M3826" s="13"/>
      <c r="N3826" s="13" t="n">
        <v>7290011521653</v>
      </c>
      <c r="O3826" s="13"/>
      <c r="P3826" s="13" t="s">
        <v>5297</v>
      </c>
      <c r="Q3826" s="13" t="s">
        <v>5289</v>
      </c>
      <c r="R3826" s="13" t="s">
        <v>5292</v>
      </c>
      <c r="S3826" s="13" t="s">
        <v>5293</v>
      </c>
      <c r="T3826" s="13" t="s">
        <v>5</v>
      </c>
      <c r="U3826" s="13" t="s">
        <v>85</v>
      </c>
      <c r="V3826" s="13" t="n">
        <f aca="false">IF(COUNTIF($B$2:B3826,B3826)=1,1,0)</f>
        <v>0</v>
      </c>
      <c r="W3826" s="13" t="n">
        <f aca="false">IF(COUNTIFS($B$2:B3826,B3826,$T$2:T3826,T3826)=1,1,0)</f>
        <v>0</v>
      </c>
    </row>
    <row r="3827" customFormat="false" ht="15" hidden="false" customHeight="false" outlineLevel="0" collapsed="false">
      <c r="A3827" s="13" t="s">
        <v>5046</v>
      </c>
      <c r="B3827" s="13" t="s">
        <v>2139</v>
      </c>
      <c r="C3827" s="13" t="n">
        <v>150</v>
      </c>
      <c r="D3827" s="13" t="n">
        <v>1</v>
      </c>
      <c r="E3827" s="13" t="n">
        <v>148.5</v>
      </c>
      <c r="F3827" s="13" t="s">
        <v>5325</v>
      </c>
      <c r="G3827" s="13" t="s">
        <v>5289</v>
      </c>
      <c r="H3827" s="13" t="s">
        <v>5289</v>
      </c>
      <c r="I3827" s="13" t="s">
        <v>5289</v>
      </c>
      <c r="J3827" s="13" t="s">
        <v>5289</v>
      </c>
      <c r="K3827" s="13" t="s">
        <v>5289</v>
      </c>
      <c r="L3827" s="13"/>
      <c r="M3827" s="13"/>
      <c r="N3827" s="13" t="n">
        <v>8411061103036</v>
      </c>
      <c r="O3827" s="13"/>
      <c r="P3827" s="13" t="s">
        <v>5291</v>
      </c>
      <c r="Q3827" s="13" t="s">
        <v>5289</v>
      </c>
      <c r="R3827" s="13" t="s">
        <v>5292</v>
      </c>
      <c r="S3827" s="13" t="s">
        <v>5293</v>
      </c>
      <c r="T3827" s="13" t="s">
        <v>5</v>
      </c>
      <c r="U3827" s="13" t="s">
        <v>43</v>
      </c>
      <c r="V3827" s="13" t="n">
        <f aca="false">IF(COUNTIF($B$2:B3827,B3827)=1,1,0)</f>
        <v>0</v>
      </c>
      <c r="W3827" s="13" t="n">
        <f aca="false">IF(COUNTIFS($B$2:B3827,B3827,$T$2:T3827,T3827)=1,1,0)</f>
        <v>0</v>
      </c>
    </row>
    <row r="3828" customFormat="false" ht="15" hidden="false" customHeight="false" outlineLevel="0" collapsed="false">
      <c r="A3828" s="13" t="s">
        <v>3448</v>
      </c>
      <c r="B3828" s="13" t="s">
        <v>2164</v>
      </c>
      <c r="C3828" s="13" t="n">
        <v>150</v>
      </c>
      <c r="D3828" s="13" t="n">
        <v>1</v>
      </c>
      <c r="E3828" s="13" t="n">
        <v>148.1</v>
      </c>
      <c r="F3828" s="13" t="s">
        <v>5325</v>
      </c>
      <c r="G3828" s="13" t="s">
        <v>5289</v>
      </c>
      <c r="H3828" s="13" t="s">
        <v>5289</v>
      </c>
      <c r="I3828" s="13" t="s">
        <v>5289</v>
      </c>
      <c r="J3828" s="13" t="s">
        <v>5289</v>
      </c>
      <c r="K3828" s="13" t="s">
        <v>5289</v>
      </c>
      <c r="L3828" s="13" t="n">
        <v>3616305447197</v>
      </c>
      <c r="M3828" s="13"/>
      <c r="N3828" s="13" t="n">
        <v>3616305447197</v>
      </c>
      <c r="O3828" s="13"/>
      <c r="P3828" s="13" t="s">
        <v>5291</v>
      </c>
      <c r="Q3828" s="13" t="s">
        <v>5289</v>
      </c>
      <c r="R3828" s="13" t="s">
        <v>5292</v>
      </c>
      <c r="S3828" s="13" t="s">
        <v>5293</v>
      </c>
      <c r="T3828" s="13" t="s">
        <v>5</v>
      </c>
      <c r="U3828" s="13" t="s">
        <v>43</v>
      </c>
      <c r="V3828" s="13" t="n">
        <f aca="false">IF(COUNTIF($B$2:B3828,B3828)=1,1,0)</f>
        <v>0</v>
      </c>
      <c r="W3828" s="13" t="n">
        <f aca="false">IF(COUNTIFS($B$2:B3828,B3828,$T$2:T3828,T3828)=1,1,0)</f>
        <v>0</v>
      </c>
    </row>
    <row r="3829" customFormat="false" ht="15" hidden="false" customHeight="false" outlineLevel="0" collapsed="false">
      <c r="A3829" s="13" t="s">
        <v>6416</v>
      </c>
      <c r="B3829" s="13" t="s">
        <v>2150</v>
      </c>
      <c r="C3829" s="13" t="n">
        <v>150</v>
      </c>
      <c r="D3829" s="13" t="n">
        <v>1</v>
      </c>
      <c r="E3829" s="13" t="n">
        <v>147.97</v>
      </c>
      <c r="F3829" s="13" t="s">
        <v>5288</v>
      </c>
      <c r="G3829" s="13" t="s">
        <v>5292</v>
      </c>
      <c r="H3829" s="13" t="s">
        <v>5292</v>
      </c>
      <c r="I3829" s="13" t="s">
        <v>5289</v>
      </c>
      <c r="J3829" s="13" t="s">
        <v>5289</v>
      </c>
      <c r="K3829" s="13" t="s">
        <v>5289</v>
      </c>
      <c r="L3829" s="13"/>
      <c r="M3829" s="13"/>
      <c r="N3829" s="13" t="n">
        <v>8411061876008</v>
      </c>
      <c r="O3829" s="13"/>
      <c r="P3829" s="13" t="s">
        <v>5291</v>
      </c>
      <c r="Q3829" s="13" t="s">
        <v>5289</v>
      </c>
      <c r="R3829" s="13" t="s">
        <v>5292</v>
      </c>
      <c r="S3829" s="13" t="s">
        <v>5293</v>
      </c>
      <c r="T3829" s="13" t="s">
        <v>5</v>
      </c>
      <c r="U3829" s="13" t="s">
        <v>43</v>
      </c>
      <c r="V3829" s="13" t="n">
        <f aca="false">IF(COUNTIF($B$2:B3829,B3829)=1,1,0)</f>
        <v>0</v>
      </c>
      <c r="W3829" s="13" t="n">
        <f aca="false">IF(COUNTIFS($B$2:B3829,B3829,$T$2:T3829,T3829)=1,1,0)</f>
        <v>0</v>
      </c>
    </row>
    <row r="3830" customFormat="false" ht="15" hidden="false" customHeight="false" outlineLevel="0" collapsed="false">
      <c r="A3830" s="13" t="s">
        <v>6417</v>
      </c>
      <c r="B3830" s="13" t="s">
        <v>2150</v>
      </c>
      <c r="C3830" s="13" t="n">
        <v>150</v>
      </c>
      <c r="D3830" s="13" t="n">
        <v>1</v>
      </c>
      <c r="E3830" s="13" t="n">
        <v>147.74</v>
      </c>
      <c r="F3830" s="13" t="s">
        <v>5325</v>
      </c>
      <c r="G3830" s="13" t="s">
        <v>5292</v>
      </c>
      <c r="H3830" s="13" t="s">
        <v>5292</v>
      </c>
      <c r="I3830" s="13" t="s">
        <v>5289</v>
      </c>
      <c r="J3830" s="13" t="s">
        <v>5289</v>
      </c>
      <c r="K3830" s="13" t="s">
        <v>5289</v>
      </c>
      <c r="L3830" s="13"/>
      <c r="M3830" s="13"/>
      <c r="N3830" s="13" t="n">
        <v>8411061029619</v>
      </c>
      <c r="O3830" s="13"/>
      <c r="P3830" s="13" t="s">
        <v>5291</v>
      </c>
      <c r="Q3830" s="13" t="s">
        <v>5289</v>
      </c>
      <c r="R3830" s="13" t="s">
        <v>5292</v>
      </c>
      <c r="S3830" s="13" t="s">
        <v>5293</v>
      </c>
      <c r="T3830" s="13" t="s">
        <v>5</v>
      </c>
      <c r="U3830" s="13" t="s">
        <v>43</v>
      </c>
      <c r="V3830" s="13" t="n">
        <f aca="false">IF(COUNTIF($B$2:B3830,B3830)=1,1,0)</f>
        <v>0</v>
      </c>
      <c r="W3830" s="13" t="n">
        <f aca="false">IF(COUNTIFS($B$2:B3830,B3830,$T$2:T3830,T3830)=1,1,0)</f>
        <v>0</v>
      </c>
    </row>
    <row r="3831" customFormat="false" ht="15" hidden="false" customHeight="false" outlineLevel="0" collapsed="false">
      <c r="A3831" s="13" t="s">
        <v>2032</v>
      </c>
      <c r="B3831" s="13" t="s">
        <v>121</v>
      </c>
      <c r="C3831" s="13" t="n">
        <v>150</v>
      </c>
      <c r="D3831" s="13" t="n">
        <v>1</v>
      </c>
      <c r="E3831" s="13" t="n">
        <v>147.07</v>
      </c>
      <c r="F3831" s="13" t="s">
        <v>5325</v>
      </c>
      <c r="G3831" s="13" t="s">
        <v>5289</v>
      </c>
      <c r="H3831" s="13" t="s">
        <v>5292</v>
      </c>
      <c r="I3831" s="13" t="s">
        <v>5289</v>
      </c>
      <c r="J3831" s="13" t="s">
        <v>5289</v>
      </c>
      <c r="K3831" s="13" t="s">
        <v>5289</v>
      </c>
      <c r="L3831" s="13" t="n">
        <v>7896086912909</v>
      </c>
      <c r="M3831" s="13"/>
      <c r="N3831" s="13" t="n">
        <v>7896086912909</v>
      </c>
      <c r="O3831" s="13"/>
      <c r="P3831" s="13" t="s">
        <v>5291</v>
      </c>
      <c r="Q3831" s="13" t="s">
        <v>5289</v>
      </c>
      <c r="R3831" s="13" t="s">
        <v>5292</v>
      </c>
      <c r="S3831" s="13" t="s">
        <v>5293</v>
      </c>
      <c r="T3831" s="13" t="s">
        <v>5</v>
      </c>
      <c r="U3831" s="13" t="s">
        <v>43</v>
      </c>
      <c r="V3831" s="13" t="n">
        <f aca="false">IF(COUNTIF($B$2:B3831,B3831)=1,1,0)</f>
        <v>0</v>
      </c>
      <c r="W3831" s="13" t="n">
        <f aca="false">IF(COUNTIFS($B$2:B3831,B3831,$T$2:T3831,T3831)=1,1,0)</f>
        <v>0</v>
      </c>
    </row>
    <row r="3832" customFormat="false" ht="15" hidden="false" customHeight="false" outlineLevel="0" collapsed="false">
      <c r="A3832" s="13" t="s">
        <v>5041</v>
      </c>
      <c r="B3832" s="13" t="s">
        <v>2194</v>
      </c>
      <c r="C3832" s="13" t="n">
        <v>150</v>
      </c>
      <c r="D3832" s="13" t="n">
        <v>2</v>
      </c>
      <c r="E3832" s="13" t="n">
        <v>72.85</v>
      </c>
      <c r="F3832" s="13" t="s">
        <v>5288</v>
      </c>
      <c r="G3832" s="13" t="s">
        <v>5292</v>
      </c>
      <c r="H3832" s="13" t="s">
        <v>5292</v>
      </c>
      <c r="I3832" s="13" t="s">
        <v>5289</v>
      </c>
      <c r="J3832" s="13" t="s">
        <v>5289</v>
      </c>
      <c r="K3832" s="13" t="s">
        <v>5292</v>
      </c>
      <c r="L3832" s="13" t="n">
        <v>7908725500542</v>
      </c>
      <c r="M3832" s="13"/>
      <c r="N3832" s="13" t="n">
        <v>7908725500542</v>
      </c>
      <c r="O3832" s="13"/>
      <c r="P3832" s="13" t="s">
        <v>5291</v>
      </c>
      <c r="Q3832" s="13" t="s">
        <v>5289</v>
      </c>
      <c r="R3832" s="13" t="s">
        <v>5292</v>
      </c>
      <c r="S3832" s="13" t="s">
        <v>5293</v>
      </c>
      <c r="T3832" s="13" t="s">
        <v>5</v>
      </c>
      <c r="U3832" s="13" t="s">
        <v>85</v>
      </c>
      <c r="V3832" s="13" t="n">
        <f aca="false">IF(COUNTIF($B$2:B3832,B3832)=1,1,0)</f>
        <v>0</v>
      </c>
      <c r="W3832" s="13" t="n">
        <f aca="false">IF(COUNTIFS($B$2:B3832,B3832,$T$2:T3832,T3832)=1,1,0)</f>
        <v>0</v>
      </c>
    </row>
    <row r="3833" customFormat="false" ht="15" hidden="false" customHeight="false" outlineLevel="0" collapsed="false">
      <c r="A3833" s="13" t="s">
        <v>5046</v>
      </c>
      <c r="B3833" s="13" t="s">
        <v>2139</v>
      </c>
      <c r="C3833" s="13" t="n">
        <v>140</v>
      </c>
      <c r="D3833" s="13" t="n">
        <v>1</v>
      </c>
      <c r="E3833" s="13" t="n">
        <v>144</v>
      </c>
      <c r="F3833" s="13" t="s">
        <v>5288</v>
      </c>
      <c r="G3833" s="13" t="s">
        <v>5292</v>
      </c>
      <c r="H3833" s="13" t="s">
        <v>5289</v>
      </c>
      <c r="I3833" s="13" t="s">
        <v>5289</v>
      </c>
      <c r="J3833" s="13" t="s">
        <v>5289</v>
      </c>
      <c r="K3833" s="13" t="s">
        <v>5289</v>
      </c>
      <c r="L3833" s="13"/>
      <c r="M3833" s="13"/>
      <c r="N3833" s="13" t="n">
        <v>8411061103043</v>
      </c>
      <c r="O3833" s="13"/>
      <c r="P3833" s="13" t="s">
        <v>5291</v>
      </c>
      <c r="Q3833" s="13" t="s">
        <v>5289</v>
      </c>
      <c r="R3833" s="13" t="s">
        <v>5292</v>
      </c>
      <c r="S3833" s="13" t="s">
        <v>5293</v>
      </c>
      <c r="T3833" s="13" t="s">
        <v>5</v>
      </c>
      <c r="U3833" s="13" t="s">
        <v>43</v>
      </c>
      <c r="V3833" s="13" t="n">
        <f aca="false">IF(COUNTIF($B$2:B3833,B3833)=1,1,0)</f>
        <v>0</v>
      </c>
      <c r="W3833" s="13" t="n">
        <f aca="false">IF(COUNTIFS($B$2:B3833,B3833,$T$2:T3833,T3833)=1,1,0)</f>
        <v>0</v>
      </c>
    </row>
    <row r="3834" customFormat="false" ht="15" hidden="false" customHeight="false" outlineLevel="0" collapsed="false">
      <c r="A3834" s="13" t="s">
        <v>848</v>
      </c>
      <c r="B3834" s="13" t="s">
        <v>630</v>
      </c>
      <c r="C3834" s="13" t="n">
        <v>140</v>
      </c>
      <c r="D3834" s="13" t="n">
        <v>1</v>
      </c>
      <c r="E3834" s="13" t="n">
        <v>143.93</v>
      </c>
      <c r="F3834" s="13" t="s">
        <v>5288</v>
      </c>
      <c r="G3834" s="13" t="s">
        <v>5289</v>
      </c>
      <c r="H3834" s="13" t="s">
        <v>5292</v>
      </c>
      <c r="I3834" s="13" t="s">
        <v>5289</v>
      </c>
      <c r="J3834" s="13" t="s">
        <v>5289</v>
      </c>
      <c r="K3834" s="13" t="s">
        <v>5289</v>
      </c>
      <c r="L3834" s="13" t="n">
        <v>8433982017100</v>
      </c>
      <c r="M3834" s="13"/>
      <c r="N3834" s="13" t="n">
        <v>8433982017100</v>
      </c>
      <c r="O3834" s="13"/>
      <c r="P3834" s="13" t="s">
        <v>5291</v>
      </c>
      <c r="Q3834" s="13" t="s">
        <v>5289</v>
      </c>
      <c r="R3834" s="13" t="s">
        <v>5292</v>
      </c>
      <c r="S3834" s="13" t="s">
        <v>5293</v>
      </c>
      <c r="T3834" s="13" t="s">
        <v>5</v>
      </c>
      <c r="U3834" s="13" t="s">
        <v>43</v>
      </c>
      <c r="V3834" s="13" t="n">
        <f aca="false">IF(COUNTIF($B$2:B3834,B3834)=1,1,0)</f>
        <v>0</v>
      </c>
      <c r="W3834" s="13" t="n">
        <f aca="false">IF(COUNTIFS($B$2:B3834,B3834,$T$2:T3834,T3834)=1,1,0)</f>
        <v>0</v>
      </c>
    </row>
    <row r="3835" customFormat="false" ht="15" hidden="false" customHeight="false" outlineLevel="0" collapsed="false">
      <c r="A3835" s="13" t="s">
        <v>5088</v>
      </c>
      <c r="B3835" s="13" t="s">
        <v>2139</v>
      </c>
      <c r="C3835" s="13" t="n">
        <v>140</v>
      </c>
      <c r="D3835" s="13" t="n">
        <v>1</v>
      </c>
      <c r="E3835" s="13" t="n">
        <v>143.52</v>
      </c>
      <c r="F3835" s="13" t="s">
        <v>5325</v>
      </c>
      <c r="G3835" s="13" t="s">
        <v>5292</v>
      </c>
      <c r="H3835" s="13" t="s">
        <v>5289</v>
      </c>
      <c r="I3835" s="13" t="s">
        <v>5289</v>
      </c>
      <c r="J3835" s="13" t="s">
        <v>5289</v>
      </c>
      <c r="K3835" s="13" t="s">
        <v>5289</v>
      </c>
      <c r="L3835" s="13" t="n">
        <v>8411061822906</v>
      </c>
      <c r="M3835" s="13"/>
      <c r="N3835" s="13" t="n">
        <v>8411061822906</v>
      </c>
      <c r="O3835" s="13"/>
      <c r="P3835" s="13" t="s">
        <v>5291</v>
      </c>
      <c r="Q3835" s="13" t="s">
        <v>5289</v>
      </c>
      <c r="R3835" s="13" t="s">
        <v>5292</v>
      </c>
      <c r="S3835" s="13" t="s">
        <v>5293</v>
      </c>
      <c r="T3835" s="13" t="s">
        <v>5</v>
      </c>
      <c r="U3835" s="13" t="s">
        <v>43</v>
      </c>
      <c r="V3835" s="13" t="n">
        <f aca="false">IF(COUNTIF($B$2:B3835,B3835)=1,1,0)</f>
        <v>0</v>
      </c>
      <c r="W3835" s="13" t="n">
        <f aca="false">IF(COUNTIFS($B$2:B3835,B3835,$T$2:T3835,T3835)=1,1,0)</f>
        <v>0</v>
      </c>
    </row>
    <row r="3836" customFormat="false" ht="15" hidden="false" customHeight="false" outlineLevel="0" collapsed="false">
      <c r="A3836" s="13" t="s">
        <v>5072</v>
      </c>
      <c r="B3836" s="13" t="s">
        <v>2272</v>
      </c>
      <c r="C3836" s="13" t="n">
        <v>140</v>
      </c>
      <c r="D3836" s="13" t="n">
        <v>1</v>
      </c>
      <c r="E3836" s="13" t="n">
        <v>142.85</v>
      </c>
      <c r="F3836" s="13" t="s">
        <v>5288</v>
      </c>
      <c r="G3836" s="13" t="s">
        <v>5292</v>
      </c>
      <c r="H3836" s="13" t="s">
        <v>5292</v>
      </c>
      <c r="I3836" s="13" t="s">
        <v>5289</v>
      </c>
      <c r="J3836" s="13" t="s">
        <v>5289</v>
      </c>
      <c r="K3836" s="13" t="s">
        <v>5292</v>
      </c>
      <c r="L3836" s="13" t="n">
        <v>7898593735798</v>
      </c>
      <c r="M3836" s="13"/>
      <c r="N3836" s="13" t="n">
        <v>7898593735798</v>
      </c>
      <c r="O3836" s="13"/>
      <c r="P3836" s="13" t="s">
        <v>5291</v>
      </c>
      <c r="Q3836" s="13" t="s">
        <v>5289</v>
      </c>
      <c r="R3836" s="13" t="s">
        <v>5292</v>
      </c>
      <c r="S3836" s="13" t="s">
        <v>5293</v>
      </c>
      <c r="T3836" s="13" t="s">
        <v>5</v>
      </c>
      <c r="U3836" s="13" t="s">
        <v>85</v>
      </c>
      <c r="V3836" s="13" t="n">
        <f aca="false">IF(COUNTIF($B$2:B3836,B3836)=1,1,0)</f>
        <v>1</v>
      </c>
      <c r="W3836" s="13" t="n">
        <f aca="false">IF(COUNTIFS($B$2:B3836,B3836,$T$2:T3836,T3836)=1,1,0)</f>
        <v>1</v>
      </c>
    </row>
    <row r="3837" customFormat="false" ht="15" hidden="false" customHeight="false" outlineLevel="0" collapsed="false">
      <c r="A3837" s="13" t="s">
        <v>5065</v>
      </c>
      <c r="B3837" s="13" t="s">
        <v>2272</v>
      </c>
      <c r="C3837" s="13" t="n">
        <v>140</v>
      </c>
      <c r="D3837" s="13" t="n">
        <v>1</v>
      </c>
      <c r="E3837" s="13" t="n">
        <v>142.85</v>
      </c>
      <c r="F3837" s="13" t="s">
        <v>5288</v>
      </c>
      <c r="G3837" s="13" t="s">
        <v>5292</v>
      </c>
      <c r="H3837" s="13" t="s">
        <v>5292</v>
      </c>
      <c r="I3837" s="13" t="s">
        <v>5289</v>
      </c>
      <c r="J3837" s="13" t="s">
        <v>5289</v>
      </c>
      <c r="K3837" s="13" t="s">
        <v>5292</v>
      </c>
      <c r="L3837" s="13" t="n">
        <v>7898952466257</v>
      </c>
      <c r="M3837" s="13"/>
      <c r="N3837" s="13" t="n">
        <v>7898952466257</v>
      </c>
      <c r="O3837" s="13"/>
      <c r="P3837" s="13" t="s">
        <v>5291</v>
      </c>
      <c r="Q3837" s="13" t="s">
        <v>5289</v>
      </c>
      <c r="R3837" s="13" t="s">
        <v>5292</v>
      </c>
      <c r="S3837" s="13" t="s">
        <v>5293</v>
      </c>
      <c r="T3837" s="13" t="s">
        <v>5</v>
      </c>
      <c r="U3837" s="13" t="s">
        <v>183</v>
      </c>
      <c r="V3837" s="13" t="n">
        <f aca="false">IF(COUNTIF($B$2:B3837,B3837)=1,1,0)</f>
        <v>0</v>
      </c>
      <c r="W3837" s="13" t="n">
        <f aca="false">IF(COUNTIFS($B$2:B3837,B3837,$T$2:T3837,T3837)=1,1,0)</f>
        <v>0</v>
      </c>
    </row>
    <row r="3838" customFormat="false" ht="15" hidden="false" customHeight="false" outlineLevel="0" collapsed="false">
      <c r="A3838" s="13" t="s">
        <v>2033</v>
      </c>
      <c r="B3838" s="13" t="s">
        <v>103</v>
      </c>
      <c r="C3838" s="13" t="n">
        <v>140</v>
      </c>
      <c r="D3838" s="13" t="n">
        <v>1</v>
      </c>
      <c r="E3838" s="13" t="n">
        <v>142.58</v>
      </c>
      <c r="F3838" s="13" t="s">
        <v>5288</v>
      </c>
      <c r="G3838" s="13" t="s">
        <v>5292</v>
      </c>
      <c r="H3838" s="13" t="s">
        <v>5289</v>
      </c>
      <c r="I3838" s="13" t="s">
        <v>5289</v>
      </c>
      <c r="J3838" s="13" t="s">
        <v>5289</v>
      </c>
      <c r="K3838" s="13" t="s">
        <v>5289</v>
      </c>
      <c r="L3838" s="13"/>
      <c r="M3838" s="13"/>
      <c r="N3838" s="13" t="n">
        <v>8411061999264</v>
      </c>
      <c r="O3838" s="13"/>
      <c r="P3838" s="13" t="s">
        <v>5291</v>
      </c>
      <c r="Q3838" s="13" t="s">
        <v>5289</v>
      </c>
      <c r="R3838" s="13" t="s">
        <v>5292</v>
      </c>
      <c r="S3838" s="13" t="s">
        <v>5293</v>
      </c>
      <c r="T3838" s="13" t="s">
        <v>5</v>
      </c>
      <c r="U3838" s="13" t="s">
        <v>43</v>
      </c>
      <c r="V3838" s="13" t="n">
        <f aca="false">IF(COUNTIF($B$2:B3838,B3838)=1,1,0)</f>
        <v>0</v>
      </c>
      <c r="W3838" s="13" t="n">
        <f aca="false">IF(COUNTIFS($B$2:B3838,B3838,$T$2:T3838,T3838)=1,1,0)</f>
        <v>0</v>
      </c>
    </row>
    <row r="3839" customFormat="false" ht="15" hidden="false" customHeight="false" outlineLevel="0" collapsed="false">
      <c r="A3839" s="13" t="s">
        <v>2034</v>
      </c>
      <c r="B3839" s="13" t="s">
        <v>121</v>
      </c>
      <c r="C3839" s="13" t="n">
        <v>140</v>
      </c>
      <c r="D3839" s="13" t="n">
        <v>1</v>
      </c>
      <c r="E3839" s="13" t="n">
        <v>142</v>
      </c>
      <c r="F3839" s="13" t="s">
        <v>5325</v>
      </c>
      <c r="G3839" s="13" t="s">
        <v>5289</v>
      </c>
      <c r="H3839" s="13" t="s">
        <v>5292</v>
      </c>
      <c r="I3839" s="13" t="s">
        <v>5289</v>
      </c>
      <c r="J3839" s="13" t="s">
        <v>5289</v>
      </c>
      <c r="K3839" s="13" t="s">
        <v>5289</v>
      </c>
      <c r="L3839" s="13"/>
      <c r="M3839" s="13"/>
      <c r="N3839" s="13" t="n">
        <v>7896086994356</v>
      </c>
      <c r="O3839" s="13"/>
      <c r="P3839" s="13" t="s">
        <v>5291</v>
      </c>
      <c r="Q3839" s="13" t="s">
        <v>5289</v>
      </c>
      <c r="R3839" s="13" t="s">
        <v>5292</v>
      </c>
      <c r="S3839" s="13" t="s">
        <v>5293</v>
      </c>
      <c r="T3839" s="13" t="s">
        <v>5</v>
      </c>
      <c r="U3839" s="13" t="s">
        <v>43</v>
      </c>
      <c r="V3839" s="13" t="n">
        <f aca="false">IF(COUNTIF($B$2:B3839,B3839)=1,1,0)</f>
        <v>0</v>
      </c>
      <c r="W3839" s="13" t="n">
        <f aca="false">IF(COUNTIFS($B$2:B3839,B3839,$T$2:T3839,T3839)=1,1,0)</f>
        <v>0</v>
      </c>
    </row>
    <row r="3840" customFormat="false" ht="15" hidden="false" customHeight="false" outlineLevel="0" collapsed="false">
      <c r="A3840" s="13" t="s">
        <v>1714</v>
      </c>
      <c r="B3840" s="13" t="s">
        <v>121</v>
      </c>
      <c r="C3840" s="13" t="n">
        <v>140</v>
      </c>
      <c r="D3840" s="13" t="n">
        <v>1</v>
      </c>
      <c r="E3840" s="13" t="n">
        <v>141.88</v>
      </c>
      <c r="F3840" s="13" t="s">
        <v>5325</v>
      </c>
      <c r="G3840" s="13" t="s">
        <v>5292</v>
      </c>
      <c r="H3840" s="13" t="s">
        <v>5289</v>
      </c>
      <c r="I3840" s="13" t="s">
        <v>5289</v>
      </c>
      <c r="J3840" s="13" t="s">
        <v>5289</v>
      </c>
      <c r="K3840" s="13" t="s">
        <v>5289</v>
      </c>
      <c r="L3840" s="13" t="n">
        <v>7896086999689</v>
      </c>
      <c r="M3840" s="13"/>
      <c r="N3840" s="13" t="n">
        <v>7896086999689</v>
      </c>
      <c r="O3840" s="13"/>
      <c r="P3840" s="13" t="s">
        <v>5291</v>
      </c>
      <c r="Q3840" s="13" t="s">
        <v>5289</v>
      </c>
      <c r="R3840" s="13" t="s">
        <v>5292</v>
      </c>
      <c r="S3840" s="13" t="s">
        <v>5293</v>
      </c>
      <c r="T3840" s="13" t="s">
        <v>5</v>
      </c>
      <c r="U3840" s="13" t="s">
        <v>43</v>
      </c>
      <c r="V3840" s="13" t="n">
        <f aca="false">IF(COUNTIF($B$2:B3840,B3840)=1,1,0)</f>
        <v>0</v>
      </c>
      <c r="W3840" s="13" t="n">
        <f aca="false">IF(COUNTIFS($B$2:B3840,B3840,$T$2:T3840,T3840)=1,1,0)</f>
        <v>0</v>
      </c>
    </row>
    <row r="3841" customFormat="false" ht="15" hidden="false" customHeight="false" outlineLevel="0" collapsed="false">
      <c r="A3841" s="13" t="s">
        <v>2038</v>
      </c>
      <c r="B3841" s="13" t="s">
        <v>121</v>
      </c>
      <c r="C3841" s="13" t="n">
        <v>140</v>
      </c>
      <c r="D3841" s="13" t="n">
        <v>1</v>
      </c>
      <c r="E3841" s="13" t="n">
        <v>141.88</v>
      </c>
      <c r="F3841" s="13" t="s">
        <v>5325</v>
      </c>
      <c r="G3841" s="13" t="s">
        <v>5292</v>
      </c>
      <c r="H3841" s="13" t="s">
        <v>5292</v>
      </c>
      <c r="I3841" s="13" t="s">
        <v>5289</v>
      </c>
      <c r="J3841" s="13" t="s">
        <v>5289</v>
      </c>
      <c r="K3841" s="13" t="s">
        <v>5289</v>
      </c>
      <c r="L3841" s="13" t="n">
        <v>7896086999689</v>
      </c>
      <c r="M3841" s="13"/>
      <c r="N3841" s="13" t="n">
        <v>7896086999689</v>
      </c>
      <c r="O3841" s="13"/>
      <c r="P3841" s="13" t="s">
        <v>5291</v>
      </c>
      <c r="Q3841" s="13" t="s">
        <v>5289</v>
      </c>
      <c r="R3841" s="13" t="s">
        <v>5292</v>
      </c>
      <c r="S3841" s="13" t="s">
        <v>5293</v>
      </c>
      <c r="T3841" s="13" t="s">
        <v>5</v>
      </c>
      <c r="U3841" s="13" t="s">
        <v>43</v>
      </c>
      <c r="V3841" s="13" t="n">
        <f aca="false">IF(COUNTIF($B$2:B3841,B3841)=1,1,0)</f>
        <v>0</v>
      </c>
      <c r="W3841" s="13" t="n">
        <f aca="false">IF(COUNTIFS($B$2:B3841,B3841,$T$2:T3841,T3841)=1,1,0)</f>
        <v>0</v>
      </c>
    </row>
    <row r="3842" customFormat="false" ht="15" hidden="false" customHeight="false" outlineLevel="0" collapsed="false">
      <c r="A3842" s="13" t="s">
        <v>2735</v>
      </c>
      <c r="B3842" s="13" t="s">
        <v>2100</v>
      </c>
      <c r="C3842" s="13" t="n">
        <v>140</v>
      </c>
      <c r="D3842" s="13" t="n">
        <v>5</v>
      </c>
      <c r="E3842" s="13" t="n">
        <v>28.37</v>
      </c>
      <c r="F3842" s="13" t="s">
        <v>5288</v>
      </c>
      <c r="G3842" s="13" t="s">
        <v>5292</v>
      </c>
      <c r="H3842" s="13" t="s">
        <v>5289</v>
      </c>
      <c r="I3842" s="13" t="s">
        <v>5292</v>
      </c>
      <c r="J3842" s="13" t="s">
        <v>5289</v>
      </c>
      <c r="K3842" s="13" t="s">
        <v>5289</v>
      </c>
      <c r="L3842" s="13"/>
      <c r="M3842" s="13"/>
      <c r="N3842" s="13" t="n">
        <v>7898410319675</v>
      </c>
      <c r="O3842" s="13"/>
      <c r="P3842" s="13" t="s">
        <v>5297</v>
      </c>
      <c r="Q3842" s="13" t="s">
        <v>5289</v>
      </c>
      <c r="R3842" s="13" t="s">
        <v>5292</v>
      </c>
      <c r="S3842" s="13" t="s">
        <v>5293</v>
      </c>
      <c r="T3842" s="13" t="s">
        <v>5</v>
      </c>
      <c r="U3842" s="13" t="s">
        <v>43</v>
      </c>
      <c r="V3842" s="13" t="n">
        <f aca="false">IF(COUNTIF($B$2:B3842,B3842)=1,1,0)</f>
        <v>0</v>
      </c>
      <c r="W3842" s="13" t="n">
        <f aca="false">IF(COUNTIFS($B$2:B3842,B3842,$T$2:T3842,T3842)=1,1,0)</f>
        <v>0</v>
      </c>
    </row>
    <row r="3843" customFormat="false" ht="15" hidden="false" customHeight="false" outlineLevel="0" collapsed="false">
      <c r="A3843" s="13" t="s">
        <v>5075</v>
      </c>
      <c r="B3843" s="13" t="s">
        <v>2155</v>
      </c>
      <c r="C3843" s="13" t="n">
        <v>140</v>
      </c>
      <c r="D3843" s="13" t="n">
        <v>1</v>
      </c>
      <c r="E3843" s="13" t="n">
        <v>141.37</v>
      </c>
      <c r="F3843" s="13" t="s">
        <v>5288</v>
      </c>
      <c r="G3843" s="13" t="s">
        <v>5292</v>
      </c>
      <c r="H3843" s="13" t="s">
        <v>5289</v>
      </c>
      <c r="I3843" s="13" t="s">
        <v>5289</v>
      </c>
      <c r="J3843" s="13" t="s">
        <v>5289</v>
      </c>
      <c r="K3843" s="13" t="s">
        <v>5289</v>
      </c>
      <c r="L3843" s="13" t="n">
        <v>5060630049874</v>
      </c>
      <c r="M3843" s="13"/>
      <c r="N3843" s="13" t="n">
        <v>5060630049874</v>
      </c>
      <c r="O3843" s="13"/>
      <c r="P3843" s="13" t="s">
        <v>5291</v>
      </c>
      <c r="Q3843" s="13" t="s">
        <v>5289</v>
      </c>
      <c r="R3843" s="13" t="s">
        <v>5292</v>
      </c>
      <c r="S3843" s="13" t="s">
        <v>5293</v>
      </c>
      <c r="T3843" s="13" t="s">
        <v>5</v>
      </c>
      <c r="U3843" s="13" t="s">
        <v>85</v>
      </c>
      <c r="V3843" s="13" t="n">
        <f aca="false">IF(COUNTIF($B$2:B3843,B3843)=1,1,0)</f>
        <v>0</v>
      </c>
      <c r="W3843" s="13" t="n">
        <f aca="false">IF(COUNTIFS($B$2:B3843,B3843,$T$2:T3843,T3843)=1,1,0)</f>
        <v>0</v>
      </c>
    </row>
    <row r="3844" customFormat="false" ht="15" hidden="false" customHeight="false" outlineLevel="0" collapsed="false">
      <c r="A3844" s="13" t="s">
        <v>1714</v>
      </c>
      <c r="B3844" s="13" t="s">
        <v>121</v>
      </c>
      <c r="C3844" s="13" t="n">
        <v>140</v>
      </c>
      <c r="D3844" s="13" t="n">
        <v>1</v>
      </c>
      <c r="E3844" s="13" t="n">
        <v>141.18</v>
      </c>
      <c r="F3844" s="13" t="s">
        <v>5288</v>
      </c>
      <c r="G3844" s="13" t="s">
        <v>5292</v>
      </c>
      <c r="H3844" s="13" t="s">
        <v>5289</v>
      </c>
      <c r="I3844" s="13" t="s">
        <v>5289</v>
      </c>
      <c r="J3844" s="13" t="s">
        <v>5289</v>
      </c>
      <c r="K3844" s="13" t="s">
        <v>5289</v>
      </c>
      <c r="L3844" s="13" t="n">
        <v>7896086999689</v>
      </c>
      <c r="M3844" s="13"/>
      <c r="N3844" s="13" t="n">
        <v>7896086999689</v>
      </c>
      <c r="O3844" s="13"/>
      <c r="P3844" s="13" t="s">
        <v>5291</v>
      </c>
      <c r="Q3844" s="13" t="s">
        <v>5289</v>
      </c>
      <c r="R3844" s="13" t="s">
        <v>5292</v>
      </c>
      <c r="S3844" s="13" t="s">
        <v>5293</v>
      </c>
      <c r="T3844" s="13" t="s">
        <v>5</v>
      </c>
      <c r="U3844" s="13" t="s">
        <v>43</v>
      </c>
      <c r="V3844" s="13" t="n">
        <f aca="false">IF(COUNTIF($B$2:B3844,B3844)=1,1,0)</f>
        <v>0</v>
      </c>
      <c r="W3844" s="13" t="n">
        <f aca="false">IF(COUNTIFS($B$2:B3844,B3844,$T$2:T3844,T3844)=1,1,0)</f>
        <v>0</v>
      </c>
    </row>
    <row r="3845" customFormat="false" ht="15" hidden="false" customHeight="false" outlineLevel="0" collapsed="false">
      <c r="A3845" s="13" t="s">
        <v>2040</v>
      </c>
      <c r="B3845" s="13" t="s">
        <v>59</v>
      </c>
      <c r="C3845" s="13" t="n">
        <v>140</v>
      </c>
      <c r="D3845" s="13" t="n">
        <v>1</v>
      </c>
      <c r="E3845" s="13" t="n">
        <v>139.95</v>
      </c>
      <c r="F3845" s="13" t="s">
        <v>5325</v>
      </c>
      <c r="G3845" s="13" t="s">
        <v>5289</v>
      </c>
      <c r="H3845" s="13" t="s">
        <v>5292</v>
      </c>
      <c r="I3845" s="13" t="s">
        <v>5289</v>
      </c>
      <c r="J3845" s="13" t="s">
        <v>5289</v>
      </c>
      <c r="K3845" s="13" t="s">
        <v>5289</v>
      </c>
      <c r="L3845" s="13" t="n">
        <v>3607348938230</v>
      </c>
      <c r="M3845" s="13"/>
      <c r="N3845" s="13" t="n">
        <v>3607348938230</v>
      </c>
      <c r="O3845" s="13"/>
      <c r="P3845" s="13" t="s">
        <v>5297</v>
      </c>
      <c r="Q3845" s="13" t="s">
        <v>5289</v>
      </c>
      <c r="R3845" s="13" t="s">
        <v>5292</v>
      </c>
      <c r="S3845" s="13" t="s">
        <v>5293</v>
      </c>
      <c r="T3845" s="13" t="s">
        <v>5</v>
      </c>
      <c r="U3845" s="13" t="s">
        <v>43</v>
      </c>
      <c r="V3845" s="13" t="n">
        <f aca="false">IF(COUNTIF($B$2:B3845,B3845)=1,1,0)</f>
        <v>0</v>
      </c>
      <c r="W3845" s="13" t="n">
        <f aca="false">IF(COUNTIFS($B$2:B3845,B3845,$T$2:T3845,T3845)=1,1,0)</f>
        <v>0</v>
      </c>
    </row>
    <row r="3846" customFormat="false" ht="15" hidden="false" customHeight="false" outlineLevel="0" collapsed="false">
      <c r="A3846" s="13" t="s">
        <v>6380</v>
      </c>
      <c r="B3846" s="13" t="s">
        <v>2261</v>
      </c>
      <c r="C3846" s="13" t="n">
        <v>140</v>
      </c>
      <c r="D3846" s="13" t="n">
        <v>1</v>
      </c>
      <c r="E3846" s="13" t="n">
        <v>139.9</v>
      </c>
      <c r="F3846" s="13" t="s">
        <v>5325</v>
      </c>
      <c r="G3846" s="13" t="s">
        <v>5292</v>
      </c>
      <c r="H3846" s="13" t="s">
        <v>5292</v>
      </c>
      <c r="I3846" s="13" t="s">
        <v>5289</v>
      </c>
      <c r="J3846" s="13" t="s">
        <v>5289</v>
      </c>
      <c r="K3846" s="13" t="s">
        <v>5289</v>
      </c>
      <c r="L3846" s="13"/>
      <c r="M3846" s="13"/>
      <c r="N3846" s="13" t="n">
        <v>8.41106182292084E+025</v>
      </c>
      <c r="O3846" s="13"/>
      <c r="P3846" s="13" t="s">
        <v>5291</v>
      </c>
      <c r="Q3846" s="13" t="s">
        <v>5289</v>
      </c>
      <c r="R3846" s="13" t="s">
        <v>5292</v>
      </c>
      <c r="S3846" s="13" t="s">
        <v>5293</v>
      </c>
      <c r="T3846" s="13" t="s">
        <v>5</v>
      </c>
      <c r="U3846" s="13" t="s">
        <v>85</v>
      </c>
      <c r="V3846" s="13" t="n">
        <f aca="false">IF(COUNTIF($B$2:B3846,B3846)=1,1,0)</f>
        <v>0</v>
      </c>
      <c r="W3846" s="13" t="n">
        <f aca="false">IF(COUNTIFS($B$2:B3846,B3846,$T$2:T3846,T3846)=1,1,0)</f>
        <v>0</v>
      </c>
    </row>
    <row r="3847" customFormat="false" ht="15" hidden="false" customHeight="false" outlineLevel="0" collapsed="false">
      <c r="A3847" s="13" t="s">
        <v>5086</v>
      </c>
      <c r="B3847" s="13" t="s">
        <v>2268</v>
      </c>
      <c r="C3847" s="13" t="n">
        <v>140</v>
      </c>
      <c r="D3847" s="13" t="n">
        <v>5</v>
      </c>
      <c r="E3847" s="13" t="n">
        <v>23.15</v>
      </c>
      <c r="F3847" s="13" t="s">
        <v>5288</v>
      </c>
      <c r="G3847" s="13" t="s">
        <v>5289</v>
      </c>
      <c r="H3847" s="13" t="s">
        <v>5289</v>
      </c>
      <c r="I3847" s="13" t="s">
        <v>5292</v>
      </c>
      <c r="J3847" s="13" t="s">
        <v>5289</v>
      </c>
      <c r="K3847" s="13" t="s">
        <v>5289</v>
      </c>
      <c r="L3847" s="13" t="n">
        <v>7896014070725</v>
      </c>
      <c r="M3847" s="13"/>
      <c r="N3847" s="13" t="n">
        <v>7896014070725</v>
      </c>
      <c r="O3847" s="13"/>
      <c r="P3847" s="13" t="s">
        <v>5291</v>
      </c>
      <c r="Q3847" s="13" t="s">
        <v>5289</v>
      </c>
      <c r="R3847" s="13" t="s">
        <v>5292</v>
      </c>
      <c r="S3847" s="13" t="s">
        <v>5293</v>
      </c>
      <c r="T3847" s="13" t="s">
        <v>5</v>
      </c>
      <c r="U3847" s="13" t="s">
        <v>85</v>
      </c>
      <c r="V3847" s="13" t="n">
        <f aca="false">IF(COUNTIF($B$2:B3847,B3847)=1,1,0)</f>
        <v>1</v>
      </c>
      <c r="W3847" s="13" t="n">
        <f aca="false">IF(COUNTIFS($B$2:B3847,B3847,$T$2:T3847,T3847)=1,1,0)</f>
        <v>1</v>
      </c>
    </row>
    <row r="3848" customFormat="false" ht="15" hidden="false" customHeight="false" outlineLevel="0" collapsed="false">
      <c r="A3848" s="13" t="s">
        <v>4657</v>
      </c>
      <c r="B3848" s="13" t="s">
        <v>2200</v>
      </c>
      <c r="C3848" s="13" t="n">
        <v>140</v>
      </c>
      <c r="D3848" s="13" t="n">
        <v>1</v>
      </c>
      <c r="E3848" s="13" t="n">
        <v>138.85</v>
      </c>
      <c r="F3848" s="13" t="s">
        <v>5288</v>
      </c>
      <c r="G3848" s="13" t="s">
        <v>5292</v>
      </c>
      <c r="H3848" s="13" t="s">
        <v>5289</v>
      </c>
      <c r="I3848" s="13" t="s">
        <v>5289</v>
      </c>
      <c r="J3848" s="13" t="s">
        <v>5289</v>
      </c>
      <c r="K3848" s="13" t="s">
        <v>5292</v>
      </c>
      <c r="L3848" s="13"/>
      <c r="M3848" s="13"/>
      <c r="N3848" s="13" t="n">
        <v>3474637052263</v>
      </c>
      <c r="O3848" s="13"/>
      <c r="P3848" s="13" t="s">
        <v>5291</v>
      </c>
      <c r="Q3848" s="13" t="s">
        <v>5289</v>
      </c>
      <c r="R3848" s="13" t="s">
        <v>5292</v>
      </c>
      <c r="S3848" s="13" t="s">
        <v>5293</v>
      </c>
      <c r="T3848" s="13" t="s">
        <v>5</v>
      </c>
      <c r="U3848" s="13" t="s">
        <v>85</v>
      </c>
      <c r="V3848" s="13" t="n">
        <f aca="false">IF(COUNTIF($B$2:B3848,B3848)=1,1,0)</f>
        <v>0</v>
      </c>
      <c r="W3848" s="13" t="n">
        <f aca="false">IF(COUNTIFS($B$2:B3848,B3848,$T$2:T3848,T3848)=1,1,0)</f>
        <v>0</v>
      </c>
    </row>
    <row r="3849" customFormat="false" ht="15" hidden="false" customHeight="false" outlineLevel="0" collapsed="false">
      <c r="A3849" s="13" t="s">
        <v>1965</v>
      </c>
      <c r="B3849" s="13" t="s">
        <v>107</v>
      </c>
      <c r="C3849" s="13" t="n">
        <v>140</v>
      </c>
      <c r="D3849" s="13" t="n">
        <v>1</v>
      </c>
      <c r="E3849" s="13" t="n">
        <v>138.85</v>
      </c>
      <c r="F3849" s="13" t="s">
        <v>5288</v>
      </c>
      <c r="G3849" s="13" t="s">
        <v>5292</v>
      </c>
      <c r="H3849" s="13" t="s">
        <v>5289</v>
      </c>
      <c r="I3849" s="13" t="s">
        <v>5289</v>
      </c>
      <c r="J3849" s="13" t="s">
        <v>5289</v>
      </c>
      <c r="K3849" s="13" t="s">
        <v>5292</v>
      </c>
      <c r="L3849" s="13" t="n">
        <v>4064666939766</v>
      </c>
      <c r="M3849" s="13"/>
      <c r="N3849" s="13" t="n">
        <v>4064666939766</v>
      </c>
      <c r="O3849" s="13"/>
      <c r="P3849" s="13" t="s">
        <v>5291</v>
      </c>
      <c r="Q3849" s="13" t="s">
        <v>5289</v>
      </c>
      <c r="R3849" s="13" t="s">
        <v>5292</v>
      </c>
      <c r="S3849" s="13" t="s">
        <v>5293</v>
      </c>
      <c r="T3849" s="13" t="s">
        <v>5</v>
      </c>
      <c r="U3849" s="13" t="s">
        <v>43</v>
      </c>
      <c r="V3849" s="13" t="n">
        <f aca="false">IF(COUNTIF($B$2:B3849,B3849)=1,1,0)</f>
        <v>0</v>
      </c>
      <c r="W3849" s="13" t="n">
        <f aca="false">IF(COUNTIFS($B$2:B3849,B3849,$T$2:T3849,T3849)=1,1,0)</f>
        <v>0</v>
      </c>
    </row>
    <row r="3850" customFormat="false" ht="15" hidden="false" customHeight="false" outlineLevel="0" collapsed="false">
      <c r="A3850" s="13" t="s">
        <v>4187</v>
      </c>
      <c r="B3850" s="13" t="s">
        <v>2164</v>
      </c>
      <c r="C3850" s="13" t="n">
        <v>140</v>
      </c>
      <c r="D3850" s="13" t="n">
        <v>1</v>
      </c>
      <c r="E3850" s="13" t="n">
        <v>138</v>
      </c>
      <c r="F3850" s="13" t="s">
        <v>5325</v>
      </c>
      <c r="G3850" s="13" t="s">
        <v>5289</v>
      </c>
      <c r="H3850" s="13" t="s">
        <v>5292</v>
      </c>
      <c r="I3850" s="13" t="s">
        <v>5289</v>
      </c>
      <c r="J3850" s="13" t="s">
        <v>5289</v>
      </c>
      <c r="K3850" s="13" t="s">
        <v>5289</v>
      </c>
      <c r="L3850" s="13"/>
      <c r="M3850" s="13"/>
      <c r="N3850" s="13" t="n">
        <v>3616305447159</v>
      </c>
      <c r="O3850" s="13"/>
      <c r="P3850" s="13" t="s">
        <v>5291</v>
      </c>
      <c r="Q3850" s="13" t="s">
        <v>5289</v>
      </c>
      <c r="R3850" s="13" t="s">
        <v>5292</v>
      </c>
      <c r="S3850" s="13" t="s">
        <v>5293</v>
      </c>
      <c r="T3850" s="13" t="s">
        <v>5</v>
      </c>
      <c r="U3850" s="13" t="s">
        <v>43</v>
      </c>
      <c r="V3850" s="13" t="n">
        <f aca="false">IF(COUNTIF($B$2:B3850,B3850)=1,1,0)</f>
        <v>0</v>
      </c>
      <c r="W3850" s="13" t="n">
        <f aca="false">IF(COUNTIFS($B$2:B3850,B3850,$T$2:T3850,T3850)=1,1,0)</f>
        <v>0</v>
      </c>
    </row>
    <row r="3851" customFormat="false" ht="15" hidden="false" customHeight="false" outlineLevel="0" collapsed="false">
      <c r="A3851" s="13" t="s">
        <v>2034</v>
      </c>
      <c r="B3851" s="13" t="s">
        <v>121</v>
      </c>
      <c r="C3851" s="13" t="n">
        <v>140</v>
      </c>
      <c r="D3851" s="13" t="n">
        <v>1</v>
      </c>
      <c r="E3851" s="13" t="n">
        <v>137.74</v>
      </c>
      <c r="F3851" s="13" t="s">
        <v>5325</v>
      </c>
      <c r="G3851" s="13" t="s">
        <v>5289</v>
      </c>
      <c r="H3851" s="13" t="s">
        <v>5292</v>
      </c>
      <c r="I3851" s="13" t="s">
        <v>5289</v>
      </c>
      <c r="J3851" s="13" t="s">
        <v>5289</v>
      </c>
      <c r="K3851" s="13" t="s">
        <v>5289</v>
      </c>
      <c r="L3851" s="13"/>
      <c r="M3851" s="13"/>
      <c r="N3851" s="13" t="n">
        <v>7896086994356</v>
      </c>
      <c r="O3851" s="13"/>
      <c r="P3851" s="13" t="s">
        <v>5291</v>
      </c>
      <c r="Q3851" s="13" t="s">
        <v>5289</v>
      </c>
      <c r="R3851" s="13" t="s">
        <v>5292</v>
      </c>
      <c r="S3851" s="13" t="s">
        <v>5293</v>
      </c>
      <c r="T3851" s="13" t="s">
        <v>5</v>
      </c>
      <c r="U3851" s="13" t="s">
        <v>43</v>
      </c>
      <c r="V3851" s="13" t="n">
        <f aca="false">IF(COUNTIF($B$2:B3851,B3851)=1,1,0)</f>
        <v>0</v>
      </c>
      <c r="W3851" s="13" t="n">
        <f aca="false">IF(COUNTIFS($B$2:B3851,B3851,$T$2:T3851,T3851)=1,1,0)</f>
        <v>0</v>
      </c>
    </row>
    <row r="3852" customFormat="false" ht="15" hidden="false" customHeight="false" outlineLevel="0" collapsed="false">
      <c r="A3852" s="13" t="s">
        <v>5082</v>
      </c>
      <c r="B3852" s="13" t="s">
        <v>2194</v>
      </c>
      <c r="C3852" s="13" t="n">
        <v>140</v>
      </c>
      <c r="D3852" s="13" t="n">
        <v>2</v>
      </c>
      <c r="E3852" s="13" t="n">
        <v>68.85</v>
      </c>
      <c r="F3852" s="13" t="s">
        <v>5325</v>
      </c>
      <c r="G3852" s="13" t="s">
        <v>5292</v>
      </c>
      <c r="H3852" s="13" t="s">
        <v>5289</v>
      </c>
      <c r="I3852" s="13" t="s">
        <v>5292</v>
      </c>
      <c r="J3852" s="13" t="s">
        <v>5289</v>
      </c>
      <c r="K3852" s="13" t="s">
        <v>5292</v>
      </c>
      <c r="L3852" s="13" t="n">
        <v>7908725500689</v>
      </c>
      <c r="M3852" s="13"/>
      <c r="N3852" s="13" t="n">
        <v>7908725500689</v>
      </c>
      <c r="O3852" s="13"/>
      <c r="P3852" s="13" t="s">
        <v>5291</v>
      </c>
      <c r="Q3852" s="13" t="s">
        <v>5289</v>
      </c>
      <c r="R3852" s="13" t="s">
        <v>5292</v>
      </c>
      <c r="S3852" s="13" t="s">
        <v>5293</v>
      </c>
      <c r="T3852" s="13" t="s">
        <v>5</v>
      </c>
      <c r="U3852" s="13" t="s">
        <v>85</v>
      </c>
      <c r="V3852" s="13" t="n">
        <f aca="false">IF(COUNTIF($B$2:B3852,B3852)=1,1,0)</f>
        <v>0</v>
      </c>
      <c r="W3852" s="13" t="n">
        <f aca="false">IF(COUNTIFS($B$2:B3852,B3852,$T$2:T3852,T3852)=1,1,0)</f>
        <v>0</v>
      </c>
    </row>
    <row r="3853" customFormat="false" ht="15" hidden="false" customHeight="false" outlineLevel="0" collapsed="false">
      <c r="A3853" s="13" t="s">
        <v>2039</v>
      </c>
      <c r="B3853" s="13" t="s">
        <v>121</v>
      </c>
      <c r="C3853" s="13" t="n">
        <v>140</v>
      </c>
      <c r="D3853" s="13" t="n">
        <v>1</v>
      </c>
      <c r="E3853" s="13" t="n">
        <v>135.88</v>
      </c>
      <c r="F3853" s="13" t="s">
        <v>5325</v>
      </c>
      <c r="G3853" s="13" t="s">
        <v>5289</v>
      </c>
      <c r="H3853" s="13" t="s">
        <v>5292</v>
      </c>
      <c r="I3853" s="13" t="s">
        <v>5289</v>
      </c>
      <c r="J3853" s="13" t="s">
        <v>5289</v>
      </c>
      <c r="K3853" s="13" t="s">
        <v>5289</v>
      </c>
      <c r="L3853" s="13" t="n">
        <v>7896086927002</v>
      </c>
      <c r="M3853" s="13"/>
      <c r="N3853" s="13" t="n">
        <v>7896086927002</v>
      </c>
      <c r="O3853" s="13"/>
      <c r="P3853" s="13" t="s">
        <v>5291</v>
      </c>
      <c r="Q3853" s="13" t="s">
        <v>5289</v>
      </c>
      <c r="R3853" s="13" t="s">
        <v>5292</v>
      </c>
      <c r="S3853" s="13" t="s">
        <v>5293</v>
      </c>
      <c r="T3853" s="13" t="s">
        <v>5</v>
      </c>
      <c r="U3853" s="13" t="s">
        <v>43</v>
      </c>
      <c r="V3853" s="13" t="n">
        <f aca="false">IF(COUNTIF($B$2:B3853,B3853)=1,1,0)</f>
        <v>0</v>
      </c>
      <c r="W3853" s="13" t="n">
        <f aca="false">IF(COUNTIFS($B$2:B3853,B3853,$T$2:T3853,T3853)=1,1,0)</f>
        <v>0</v>
      </c>
    </row>
    <row r="3854" customFormat="false" ht="15" hidden="false" customHeight="false" outlineLevel="0" collapsed="false">
      <c r="A3854" s="13" t="s">
        <v>5084</v>
      </c>
      <c r="B3854" s="13" t="s">
        <v>2293</v>
      </c>
      <c r="C3854" s="13" t="n">
        <v>140</v>
      </c>
      <c r="D3854" s="13" t="n">
        <v>1</v>
      </c>
      <c r="E3854" s="13" t="n">
        <v>135.02</v>
      </c>
      <c r="F3854" s="13" t="s">
        <v>5325</v>
      </c>
      <c r="G3854" s="13" t="s">
        <v>5292</v>
      </c>
      <c r="H3854" s="13" t="s">
        <v>5289</v>
      </c>
      <c r="I3854" s="13" t="s">
        <v>5289</v>
      </c>
      <c r="J3854" s="13" t="s">
        <v>5289</v>
      </c>
      <c r="K3854" s="13" t="s">
        <v>5289</v>
      </c>
      <c r="L3854" s="13" t="n">
        <v>7908625100200</v>
      </c>
      <c r="M3854" s="13"/>
      <c r="N3854" s="13" t="n">
        <v>7908625100200</v>
      </c>
      <c r="O3854" s="13"/>
      <c r="P3854" s="13" t="s">
        <v>5291</v>
      </c>
      <c r="Q3854" s="13" t="s">
        <v>5289</v>
      </c>
      <c r="R3854" s="13" t="s">
        <v>5292</v>
      </c>
      <c r="S3854" s="13" t="s">
        <v>5293</v>
      </c>
      <c r="T3854" s="13" t="s">
        <v>5</v>
      </c>
      <c r="U3854" s="13" t="s">
        <v>43</v>
      </c>
      <c r="V3854" s="13" t="n">
        <f aca="false">IF(COUNTIF($B$2:B3854,B3854)=1,1,0)</f>
        <v>1</v>
      </c>
      <c r="W3854" s="13" t="n">
        <f aca="false">IF(COUNTIFS($B$2:B3854,B3854,$T$2:T3854,T3854)=1,1,0)</f>
        <v>1</v>
      </c>
    </row>
    <row r="3855" customFormat="false" ht="15" hidden="false" customHeight="false" outlineLevel="0" collapsed="false">
      <c r="A3855" s="13" t="s">
        <v>1779</v>
      </c>
      <c r="B3855" s="13" t="s">
        <v>59</v>
      </c>
      <c r="C3855" s="13" t="n">
        <v>130</v>
      </c>
      <c r="D3855" s="13" t="n">
        <v>1</v>
      </c>
      <c r="E3855" s="13" t="n">
        <v>134.83</v>
      </c>
      <c r="F3855" s="13" t="s">
        <v>5325</v>
      </c>
      <c r="G3855" s="13" t="s">
        <v>5289</v>
      </c>
      <c r="H3855" s="13" t="s">
        <v>5289</v>
      </c>
      <c r="I3855" s="13" t="s">
        <v>5289</v>
      </c>
      <c r="J3855" s="13" t="s">
        <v>5289</v>
      </c>
      <c r="K3855" s="13" t="s">
        <v>5289</v>
      </c>
      <c r="L3855" s="13"/>
      <c r="M3855" s="13"/>
      <c r="N3855" s="13" t="n">
        <v>3614224686833</v>
      </c>
      <c r="O3855" s="13"/>
      <c r="P3855" s="13" t="s">
        <v>5297</v>
      </c>
      <c r="Q3855" s="13" t="s">
        <v>5289</v>
      </c>
      <c r="R3855" s="13" t="s">
        <v>5292</v>
      </c>
      <c r="S3855" s="13" t="s">
        <v>5293</v>
      </c>
      <c r="T3855" s="13" t="s">
        <v>5</v>
      </c>
      <c r="U3855" s="13" t="s">
        <v>43</v>
      </c>
      <c r="V3855" s="13" t="n">
        <f aca="false">IF(COUNTIF($B$2:B3855,B3855)=1,1,0)</f>
        <v>0</v>
      </c>
      <c r="W3855" s="13" t="n">
        <f aca="false">IF(COUNTIFS($B$2:B3855,B3855,$T$2:T3855,T3855)=1,1,0)</f>
        <v>0</v>
      </c>
    </row>
    <row r="3856" customFormat="false" ht="15" hidden="false" customHeight="false" outlineLevel="0" collapsed="false">
      <c r="A3856" s="13" t="s">
        <v>2041</v>
      </c>
      <c r="B3856" s="13" t="s">
        <v>107</v>
      </c>
      <c r="C3856" s="13" t="n">
        <v>130</v>
      </c>
      <c r="D3856" s="13" t="n">
        <v>2</v>
      </c>
      <c r="E3856" s="13" t="n">
        <v>67.02</v>
      </c>
      <c r="F3856" s="13" t="s">
        <v>5288</v>
      </c>
      <c r="G3856" s="13" t="s">
        <v>5292</v>
      </c>
      <c r="H3856" s="13" t="s">
        <v>5292</v>
      </c>
      <c r="I3856" s="13" t="s">
        <v>5292</v>
      </c>
      <c r="J3856" s="13" t="s">
        <v>5289</v>
      </c>
      <c r="K3856" s="13" t="s">
        <v>5289</v>
      </c>
      <c r="L3856" s="13" t="n">
        <v>4064666306155</v>
      </c>
      <c r="M3856" s="13"/>
      <c r="N3856" s="13" t="n">
        <v>4064666306155</v>
      </c>
      <c r="O3856" s="13"/>
      <c r="P3856" s="13" t="s">
        <v>5297</v>
      </c>
      <c r="Q3856" s="13" t="s">
        <v>5289</v>
      </c>
      <c r="R3856" s="13" t="s">
        <v>5292</v>
      </c>
      <c r="S3856" s="13" t="s">
        <v>5293</v>
      </c>
      <c r="T3856" s="13" t="s">
        <v>5</v>
      </c>
      <c r="U3856" s="13" t="s">
        <v>43</v>
      </c>
      <c r="V3856" s="13" t="n">
        <f aca="false">IF(COUNTIF($B$2:B3856,B3856)=1,1,0)</f>
        <v>0</v>
      </c>
      <c r="W3856" s="13" t="n">
        <f aca="false">IF(COUNTIFS($B$2:B3856,B3856,$T$2:T3856,T3856)=1,1,0)</f>
        <v>0</v>
      </c>
    </row>
    <row r="3857" customFormat="false" ht="15" hidden="false" customHeight="false" outlineLevel="0" collapsed="false">
      <c r="A3857" s="13" t="s">
        <v>2017</v>
      </c>
      <c r="B3857" s="13" t="s">
        <v>121</v>
      </c>
      <c r="C3857" s="13" t="n">
        <v>130</v>
      </c>
      <c r="D3857" s="13" t="n">
        <v>1</v>
      </c>
      <c r="E3857" s="13" t="n">
        <v>133.86</v>
      </c>
      <c r="F3857" s="13" t="s">
        <v>5288</v>
      </c>
      <c r="G3857" s="13" t="s">
        <v>5292</v>
      </c>
      <c r="H3857" s="13" t="s">
        <v>5289</v>
      </c>
      <c r="I3857" s="13" t="s">
        <v>5289</v>
      </c>
      <c r="J3857" s="13" t="s">
        <v>5289</v>
      </c>
      <c r="K3857" s="13" t="s">
        <v>5289</v>
      </c>
      <c r="L3857" s="13" t="n">
        <v>7896086936073</v>
      </c>
      <c r="M3857" s="13"/>
      <c r="N3857" s="13" t="n">
        <v>7896086936073</v>
      </c>
      <c r="O3857" s="13"/>
      <c r="P3857" s="13" t="s">
        <v>5297</v>
      </c>
      <c r="Q3857" s="13" t="s">
        <v>5289</v>
      </c>
      <c r="R3857" s="13" t="s">
        <v>5292</v>
      </c>
      <c r="S3857" s="13" t="s">
        <v>5293</v>
      </c>
      <c r="T3857" s="13" t="s">
        <v>5</v>
      </c>
      <c r="U3857" s="13" t="s">
        <v>43</v>
      </c>
      <c r="V3857" s="13" t="n">
        <f aca="false">IF(COUNTIF($B$2:B3857,B3857)=1,1,0)</f>
        <v>0</v>
      </c>
      <c r="W3857" s="13" t="n">
        <f aca="false">IF(COUNTIFS($B$2:B3857,B3857,$T$2:T3857,T3857)=1,1,0)</f>
        <v>0</v>
      </c>
    </row>
    <row r="3858" customFormat="false" ht="15" hidden="false" customHeight="false" outlineLevel="0" collapsed="false">
      <c r="A3858" s="13" t="s">
        <v>1542</v>
      </c>
      <c r="B3858" s="13" t="s">
        <v>121</v>
      </c>
      <c r="C3858" s="13" t="n">
        <v>130</v>
      </c>
      <c r="D3858" s="13" t="n">
        <v>2</v>
      </c>
      <c r="E3858" s="13" t="n">
        <v>66.85</v>
      </c>
      <c r="F3858" s="13" t="s">
        <v>5325</v>
      </c>
      <c r="G3858" s="13" t="s">
        <v>5289</v>
      </c>
      <c r="H3858" s="13" t="s">
        <v>5289</v>
      </c>
      <c r="I3858" s="13" t="s">
        <v>5292</v>
      </c>
      <c r="J3858" s="13" t="s">
        <v>5289</v>
      </c>
      <c r="K3858" s="13" t="s">
        <v>5292</v>
      </c>
      <c r="L3858" s="13" t="n">
        <v>7896086943378</v>
      </c>
      <c r="M3858" s="13"/>
      <c r="N3858" s="13" t="n">
        <v>7896086943378</v>
      </c>
      <c r="O3858" s="13"/>
      <c r="P3858" s="13" t="s">
        <v>5291</v>
      </c>
      <c r="Q3858" s="13" t="s">
        <v>5289</v>
      </c>
      <c r="R3858" s="13" t="s">
        <v>5292</v>
      </c>
      <c r="S3858" s="13" t="s">
        <v>5293</v>
      </c>
      <c r="T3858" s="13" t="s">
        <v>5</v>
      </c>
      <c r="U3858" s="13" t="s">
        <v>43</v>
      </c>
      <c r="V3858" s="13" t="n">
        <f aca="false">IF(COUNTIF($B$2:B3858,B3858)=1,1,0)</f>
        <v>0</v>
      </c>
      <c r="W3858" s="13" t="n">
        <f aca="false">IF(COUNTIFS($B$2:B3858,B3858,$T$2:T3858,T3858)=1,1,0)</f>
        <v>0</v>
      </c>
    </row>
    <row r="3859" customFormat="false" ht="15" hidden="false" customHeight="false" outlineLevel="0" collapsed="false">
      <c r="A3859" s="13" t="s">
        <v>6418</v>
      </c>
      <c r="B3859" s="13" t="s">
        <v>2271</v>
      </c>
      <c r="C3859" s="13" t="n">
        <v>130</v>
      </c>
      <c r="D3859" s="13" t="n">
        <v>1</v>
      </c>
      <c r="E3859" s="13" t="n">
        <v>132.51</v>
      </c>
      <c r="F3859" s="13" t="s">
        <v>5325</v>
      </c>
      <c r="G3859" s="13" t="s">
        <v>5289</v>
      </c>
      <c r="H3859" s="13" t="s">
        <v>5292</v>
      </c>
      <c r="I3859" s="13" t="s">
        <v>5289</v>
      </c>
      <c r="J3859" s="13" t="s">
        <v>5289</v>
      </c>
      <c r="K3859" s="13" t="s">
        <v>5289</v>
      </c>
      <c r="L3859" s="13"/>
      <c r="M3859" s="13"/>
      <c r="N3859" s="13" t="n">
        <v>3616304892783</v>
      </c>
      <c r="O3859" s="13"/>
      <c r="P3859" s="13" t="s">
        <v>5297</v>
      </c>
      <c r="Q3859" s="13" t="s">
        <v>5289</v>
      </c>
      <c r="R3859" s="13" t="s">
        <v>5292</v>
      </c>
      <c r="S3859" s="13" t="s">
        <v>5293</v>
      </c>
      <c r="T3859" s="13" t="s">
        <v>5</v>
      </c>
      <c r="U3859" s="13" t="s">
        <v>43</v>
      </c>
      <c r="V3859" s="13" t="n">
        <f aca="false">IF(COUNTIF($B$2:B3859,B3859)=1,1,0)</f>
        <v>0</v>
      </c>
      <c r="W3859" s="13" t="n">
        <f aca="false">IF(COUNTIFS($B$2:B3859,B3859,$T$2:T3859,T3859)=1,1,0)</f>
        <v>0</v>
      </c>
    </row>
    <row r="3860" customFormat="false" ht="15" hidden="false" customHeight="false" outlineLevel="0" collapsed="false">
      <c r="A3860" s="13" t="s">
        <v>2044</v>
      </c>
      <c r="B3860" s="13" t="s">
        <v>121</v>
      </c>
      <c r="C3860" s="13" t="n">
        <v>130</v>
      </c>
      <c r="D3860" s="13" t="n">
        <v>2</v>
      </c>
      <c r="E3860" s="13" t="n">
        <v>43.75</v>
      </c>
      <c r="F3860" s="13" t="s">
        <v>5325</v>
      </c>
      <c r="G3860" s="13" t="s">
        <v>5289</v>
      </c>
      <c r="H3860" s="13" t="s">
        <v>5289</v>
      </c>
      <c r="I3860" s="13" t="s">
        <v>5292</v>
      </c>
      <c r="J3860" s="13" t="s">
        <v>5289</v>
      </c>
      <c r="K3860" s="13" t="s">
        <v>5289</v>
      </c>
      <c r="L3860" s="13" t="n">
        <v>7896086911711</v>
      </c>
      <c r="M3860" s="13"/>
      <c r="N3860" s="13" t="n">
        <v>7896086911711</v>
      </c>
      <c r="O3860" s="13"/>
      <c r="P3860" s="13" t="s">
        <v>5291</v>
      </c>
      <c r="Q3860" s="13" t="s">
        <v>5289</v>
      </c>
      <c r="R3860" s="13" t="s">
        <v>5292</v>
      </c>
      <c r="S3860" s="13" t="s">
        <v>5293</v>
      </c>
      <c r="T3860" s="13" t="s">
        <v>5</v>
      </c>
      <c r="U3860" s="13" t="s">
        <v>43</v>
      </c>
      <c r="V3860" s="13" t="n">
        <f aca="false">IF(COUNTIF($B$2:B3860,B3860)=1,1,0)</f>
        <v>0</v>
      </c>
      <c r="W3860" s="13" t="n">
        <f aca="false">IF(COUNTIFS($B$2:B3860,B3860,$T$2:T3860,T3860)=1,1,0)</f>
        <v>0</v>
      </c>
    </row>
    <row r="3861" customFormat="false" ht="15" hidden="false" customHeight="false" outlineLevel="0" collapsed="false">
      <c r="A3861" s="13" t="s">
        <v>2043</v>
      </c>
      <c r="B3861" s="13" t="s">
        <v>121</v>
      </c>
      <c r="C3861" s="13" t="n">
        <v>130</v>
      </c>
      <c r="D3861" s="13" t="n">
        <v>1</v>
      </c>
      <c r="E3861" s="13" t="n">
        <v>129.93</v>
      </c>
      <c r="F3861" s="13" t="s">
        <v>5325</v>
      </c>
      <c r="G3861" s="13" t="s">
        <v>5292</v>
      </c>
      <c r="H3861" s="13" t="s">
        <v>5289</v>
      </c>
      <c r="I3861" s="13" t="s">
        <v>5289</v>
      </c>
      <c r="J3861" s="13" t="s">
        <v>5289</v>
      </c>
      <c r="K3861" s="13" t="s">
        <v>5289</v>
      </c>
      <c r="L3861" s="13"/>
      <c r="M3861" s="13"/>
      <c r="N3861" s="13" t="n">
        <v>7896086909657</v>
      </c>
      <c r="O3861" s="13"/>
      <c r="P3861" s="13" t="s">
        <v>5291</v>
      </c>
      <c r="Q3861" s="13" t="s">
        <v>5289</v>
      </c>
      <c r="R3861" s="13" t="s">
        <v>5292</v>
      </c>
      <c r="S3861" s="13" t="s">
        <v>5293</v>
      </c>
      <c r="T3861" s="13" t="s">
        <v>5</v>
      </c>
      <c r="U3861" s="13" t="s">
        <v>43</v>
      </c>
      <c r="V3861" s="13" t="n">
        <f aca="false">IF(COUNTIF($B$2:B3861,B3861)=1,1,0)</f>
        <v>0</v>
      </c>
      <c r="W3861" s="13" t="n">
        <f aca="false">IF(COUNTIFS($B$2:B3861,B3861,$T$2:T3861,T3861)=1,1,0)</f>
        <v>0</v>
      </c>
    </row>
    <row r="3862" customFormat="false" ht="15" hidden="false" customHeight="false" outlineLevel="0" collapsed="false">
      <c r="A3862" s="13" t="s">
        <v>5096</v>
      </c>
      <c r="B3862" s="13" t="s">
        <v>2164</v>
      </c>
      <c r="C3862" s="13" t="n">
        <v>130</v>
      </c>
      <c r="D3862" s="13" t="n">
        <v>1</v>
      </c>
      <c r="E3862" s="13" t="n">
        <v>129.25</v>
      </c>
      <c r="F3862" s="13" t="s">
        <v>5325</v>
      </c>
      <c r="G3862" s="13" t="s">
        <v>5289</v>
      </c>
      <c r="H3862" s="13" t="s">
        <v>5289</v>
      </c>
      <c r="I3862" s="13" t="s">
        <v>5289</v>
      </c>
      <c r="J3862" s="13" t="s">
        <v>5289</v>
      </c>
      <c r="K3862" s="13" t="s">
        <v>5289</v>
      </c>
      <c r="L3862" s="13" t="n">
        <v>3616305279415</v>
      </c>
      <c r="M3862" s="13"/>
      <c r="N3862" s="13" t="n">
        <v>3616305279415</v>
      </c>
      <c r="O3862" s="13"/>
      <c r="P3862" s="13" t="s">
        <v>5291</v>
      </c>
      <c r="Q3862" s="13" t="s">
        <v>5289</v>
      </c>
      <c r="R3862" s="13" t="s">
        <v>5292</v>
      </c>
      <c r="S3862" s="13" t="s">
        <v>5293</v>
      </c>
      <c r="T3862" s="13" t="s">
        <v>5</v>
      </c>
      <c r="U3862" s="13" t="s">
        <v>43</v>
      </c>
      <c r="V3862" s="13" t="n">
        <f aca="false">IF(COUNTIF($B$2:B3862,B3862)=1,1,0)</f>
        <v>0</v>
      </c>
      <c r="W3862" s="13" t="n">
        <f aca="false">IF(COUNTIFS($B$2:B3862,B3862,$T$2:T3862,T3862)=1,1,0)</f>
        <v>0</v>
      </c>
    </row>
    <row r="3863" customFormat="false" ht="15" hidden="false" customHeight="false" outlineLevel="0" collapsed="false">
      <c r="A3863" s="13" t="s">
        <v>6381</v>
      </c>
      <c r="B3863" s="13" t="s">
        <v>2150</v>
      </c>
      <c r="C3863" s="13" t="n">
        <v>130</v>
      </c>
      <c r="D3863" s="13" t="n">
        <v>1</v>
      </c>
      <c r="E3863" s="13" t="n">
        <v>129</v>
      </c>
      <c r="F3863" s="13" t="s">
        <v>5325</v>
      </c>
      <c r="G3863" s="13" t="s">
        <v>5289</v>
      </c>
      <c r="H3863" s="13" t="s">
        <v>5289</v>
      </c>
      <c r="I3863" s="13" t="s">
        <v>5289</v>
      </c>
      <c r="J3863" s="13" t="s">
        <v>5289</v>
      </c>
      <c r="K3863" s="13" t="s">
        <v>5289</v>
      </c>
      <c r="L3863" s="13"/>
      <c r="M3863" s="13"/>
      <c r="N3863" s="13" t="n">
        <v>8411061000915</v>
      </c>
      <c r="O3863" s="13"/>
      <c r="P3863" s="13" t="s">
        <v>5291</v>
      </c>
      <c r="Q3863" s="13" t="s">
        <v>5289</v>
      </c>
      <c r="R3863" s="13" t="s">
        <v>5292</v>
      </c>
      <c r="S3863" s="13" t="s">
        <v>5293</v>
      </c>
      <c r="T3863" s="13" t="s">
        <v>5</v>
      </c>
      <c r="U3863" s="13" t="s">
        <v>85</v>
      </c>
      <c r="V3863" s="13" t="n">
        <f aca="false">IF(COUNTIF($B$2:B3863,B3863)=1,1,0)</f>
        <v>0</v>
      </c>
      <c r="W3863" s="13" t="n">
        <f aca="false">IF(COUNTIFS($B$2:B3863,B3863,$T$2:T3863,T3863)=1,1,0)</f>
        <v>0</v>
      </c>
    </row>
    <row r="3864" customFormat="false" ht="15" hidden="false" customHeight="false" outlineLevel="0" collapsed="false">
      <c r="A3864" s="13" t="s">
        <v>6419</v>
      </c>
      <c r="B3864" s="13" t="s">
        <v>2150</v>
      </c>
      <c r="C3864" s="13" t="n">
        <v>130</v>
      </c>
      <c r="D3864" s="13" t="n">
        <v>1</v>
      </c>
      <c r="E3864" s="13" t="n">
        <v>129</v>
      </c>
      <c r="F3864" s="13" t="s">
        <v>5325</v>
      </c>
      <c r="G3864" s="13" t="s">
        <v>5289</v>
      </c>
      <c r="H3864" s="13" t="s">
        <v>5292</v>
      </c>
      <c r="I3864" s="13" t="s">
        <v>5289</v>
      </c>
      <c r="J3864" s="13" t="s">
        <v>5289</v>
      </c>
      <c r="K3864" s="13" t="s">
        <v>5289</v>
      </c>
      <c r="L3864" s="13"/>
      <c r="M3864" s="13"/>
      <c r="N3864" s="13" t="n">
        <v>8411061000915</v>
      </c>
      <c r="O3864" s="13"/>
      <c r="P3864" s="13" t="s">
        <v>5291</v>
      </c>
      <c r="Q3864" s="13" t="s">
        <v>5289</v>
      </c>
      <c r="R3864" s="13" t="s">
        <v>5292</v>
      </c>
      <c r="S3864" s="13" t="s">
        <v>5293</v>
      </c>
      <c r="T3864" s="13" t="s">
        <v>5</v>
      </c>
      <c r="U3864" s="13" t="s">
        <v>43</v>
      </c>
      <c r="V3864" s="13" t="n">
        <f aca="false">IF(COUNTIF($B$2:B3864,B3864)=1,1,0)</f>
        <v>0</v>
      </c>
      <c r="W3864" s="13" t="n">
        <f aca="false">IF(COUNTIFS($B$2:B3864,B3864,$T$2:T3864,T3864)=1,1,0)</f>
        <v>0</v>
      </c>
    </row>
    <row r="3865" customFormat="false" ht="15" hidden="false" customHeight="false" outlineLevel="0" collapsed="false">
      <c r="A3865" s="13" t="s">
        <v>5101</v>
      </c>
      <c r="B3865" s="13" t="s">
        <v>2103</v>
      </c>
      <c r="C3865" s="13" t="n">
        <v>130</v>
      </c>
      <c r="D3865" s="13" t="n">
        <v>1</v>
      </c>
      <c r="E3865" s="13" t="n">
        <v>128.85</v>
      </c>
      <c r="F3865" s="13" t="s">
        <v>5288</v>
      </c>
      <c r="G3865" s="13" t="s">
        <v>5292</v>
      </c>
      <c r="H3865" s="13" t="s">
        <v>5289</v>
      </c>
      <c r="I3865" s="13" t="s">
        <v>5289</v>
      </c>
      <c r="J3865" s="13" t="s">
        <v>5289</v>
      </c>
      <c r="K3865" s="13" t="s">
        <v>5292</v>
      </c>
      <c r="L3865" s="13"/>
      <c r="M3865" s="13"/>
      <c r="N3865" s="13" t="n">
        <v>309970117115</v>
      </c>
      <c r="O3865" s="13"/>
      <c r="P3865" s="13" t="s">
        <v>5297</v>
      </c>
      <c r="Q3865" s="13" t="s">
        <v>5289</v>
      </c>
      <c r="R3865" s="13" t="s">
        <v>5292</v>
      </c>
      <c r="S3865" s="13" t="s">
        <v>5293</v>
      </c>
      <c r="T3865" s="13" t="s">
        <v>5</v>
      </c>
      <c r="U3865" s="13" t="s">
        <v>183</v>
      </c>
      <c r="V3865" s="13" t="n">
        <f aca="false">IF(COUNTIF($B$2:B3865,B3865)=1,1,0)</f>
        <v>0</v>
      </c>
      <c r="W3865" s="13" t="n">
        <f aca="false">IF(COUNTIFS($B$2:B3865,B3865,$T$2:T3865,T3865)=1,1,0)</f>
        <v>0</v>
      </c>
    </row>
    <row r="3866" customFormat="false" ht="15" hidden="false" customHeight="false" outlineLevel="0" collapsed="false">
      <c r="A3866" s="13" t="s">
        <v>5103</v>
      </c>
      <c r="B3866" s="13" t="s">
        <v>2139</v>
      </c>
      <c r="C3866" s="13" t="n">
        <v>130</v>
      </c>
      <c r="D3866" s="13" t="n">
        <v>1</v>
      </c>
      <c r="E3866" s="13" t="n">
        <v>127</v>
      </c>
      <c r="F3866" s="13" t="s">
        <v>5325</v>
      </c>
      <c r="G3866" s="13" t="s">
        <v>5292</v>
      </c>
      <c r="H3866" s="13" t="s">
        <v>5289</v>
      </c>
      <c r="I3866" s="13" t="s">
        <v>5289</v>
      </c>
      <c r="J3866" s="13" t="s">
        <v>5289</v>
      </c>
      <c r="K3866" s="13" t="s">
        <v>5289</v>
      </c>
      <c r="L3866" s="13" t="n">
        <v>8411061832585</v>
      </c>
      <c r="M3866" s="13"/>
      <c r="N3866" s="13" t="n">
        <v>8411061832585</v>
      </c>
      <c r="O3866" s="13"/>
      <c r="P3866" s="13" t="s">
        <v>5291</v>
      </c>
      <c r="Q3866" s="13" t="s">
        <v>5289</v>
      </c>
      <c r="R3866" s="13" t="s">
        <v>5292</v>
      </c>
      <c r="S3866" s="13" t="s">
        <v>5293</v>
      </c>
      <c r="T3866" s="13" t="s">
        <v>5</v>
      </c>
      <c r="U3866" s="13" t="s">
        <v>43</v>
      </c>
      <c r="V3866" s="13" t="n">
        <f aca="false">IF(COUNTIF($B$2:B3866,B3866)=1,1,0)</f>
        <v>0</v>
      </c>
      <c r="W3866" s="13" t="n">
        <f aca="false">IF(COUNTIFS($B$2:B3866,B3866,$T$2:T3866,T3866)=1,1,0)</f>
        <v>0</v>
      </c>
    </row>
    <row r="3867" customFormat="false" ht="15" hidden="false" customHeight="false" outlineLevel="0" collapsed="false">
      <c r="A3867" s="13" t="s">
        <v>2042</v>
      </c>
      <c r="B3867" s="13" t="s">
        <v>121</v>
      </c>
      <c r="C3867" s="13" t="n">
        <v>130</v>
      </c>
      <c r="D3867" s="13" t="n">
        <v>1</v>
      </c>
      <c r="E3867" s="13" t="n">
        <v>126.1</v>
      </c>
      <c r="F3867" s="13" t="s">
        <v>5288</v>
      </c>
      <c r="G3867" s="13" t="s">
        <v>5289</v>
      </c>
      <c r="H3867" s="13" t="s">
        <v>5289</v>
      </c>
      <c r="I3867" s="13" t="s">
        <v>5289</v>
      </c>
      <c r="J3867" s="13" t="s">
        <v>5289</v>
      </c>
      <c r="K3867" s="13" t="s">
        <v>5289</v>
      </c>
      <c r="L3867" s="13" t="n">
        <v>7896086928542</v>
      </c>
      <c r="M3867" s="13"/>
      <c r="N3867" s="13" t="n">
        <v>7896086928542</v>
      </c>
      <c r="O3867" s="13"/>
      <c r="P3867" s="13" t="s">
        <v>5291</v>
      </c>
      <c r="Q3867" s="13" t="s">
        <v>5289</v>
      </c>
      <c r="R3867" s="13" t="s">
        <v>5292</v>
      </c>
      <c r="S3867" s="13" t="s">
        <v>5293</v>
      </c>
      <c r="T3867" s="13" t="s">
        <v>5</v>
      </c>
      <c r="U3867" s="13" t="s">
        <v>43</v>
      </c>
      <c r="V3867" s="13" t="n">
        <f aca="false">IF(COUNTIF($B$2:B3867,B3867)=1,1,0)</f>
        <v>0</v>
      </c>
      <c r="W3867" s="13" t="n">
        <f aca="false">IF(COUNTIFS($B$2:B3867,B3867,$T$2:T3867,T3867)=1,1,0)</f>
        <v>0</v>
      </c>
    </row>
    <row r="3868" customFormat="false" ht="15" hidden="false" customHeight="false" outlineLevel="0" collapsed="false">
      <c r="A3868" s="13" t="s">
        <v>6420</v>
      </c>
      <c r="B3868" s="13" t="s">
        <v>2155</v>
      </c>
      <c r="C3868" s="13" t="n">
        <v>130</v>
      </c>
      <c r="D3868" s="13" t="n">
        <v>1</v>
      </c>
      <c r="E3868" s="13" t="n">
        <v>125.85</v>
      </c>
      <c r="F3868" s="13" t="s">
        <v>5325</v>
      </c>
      <c r="G3868" s="13" t="s">
        <v>5292</v>
      </c>
      <c r="H3868" s="13" t="s">
        <v>5292</v>
      </c>
      <c r="I3868" s="13" t="s">
        <v>5289</v>
      </c>
      <c r="J3868" s="13" t="s">
        <v>5289</v>
      </c>
      <c r="K3868" s="13" t="s">
        <v>5292</v>
      </c>
      <c r="L3868" s="13" t="n">
        <v>5060173370008</v>
      </c>
      <c r="M3868" s="13"/>
      <c r="N3868" s="13" t="n">
        <v>5060173370008</v>
      </c>
      <c r="O3868" s="13"/>
      <c r="P3868" s="13" t="s">
        <v>5291</v>
      </c>
      <c r="Q3868" s="13" t="s">
        <v>5289</v>
      </c>
      <c r="R3868" s="13" t="s">
        <v>5292</v>
      </c>
      <c r="S3868" s="13" t="s">
        <v>5293</v>
      </c>
      <c r="T3868" s="13" t="s">
        <v>5</v>
      </c>
      <c r="U3868" s="13" t="s">
        <v>85</v>
      </c>
      <c r="V3868" s="13" t="n">
        <f aca="false">IF(COUNTIF($B$2:B3868,B3868)=1,1,0)</f>
        <v>0</v>
      </c>
      <c r="W3868" s="13" t="n">
        <f aca="false">IF(COUNTIFS($B$2:B3868,B3868,$T$2:T3868,T3868)=1,1,0)</f>
        <v>0</v>
      </c>
    </row>
    <row r="3869" customFormat="false" ht="15" hidden="false" customHeight="false" outlineLevel="0" collapsed="false">
      <c r="A3869" s="13" t="s">
        <v>1939</v>
      </c>
      <c r="B3869" s="13" t="s">
        <v>54</v>
      </c>
      <c r="C3869" s="13" t="n">
        <v>120</v>
      </c>
      <c r="D3869" s="13" t="n">
        <v>1</v>
      </c>
      <c r="E3869" s="13" t="n">
        <v>123.85</v>
      </c>
      <c r="F3869" s="13" t="s">
        <v>5325</v>
      </c>
      <c r="G3869" s="13" t="s">
        <v>5289</v>
      </c>
      <c r="H3869" s="13" t="s">
        <v>5292</v>
      </c>
      <c r="I3869" s="13" t="s">
        <v>5289</v>
      </c>
      <c r="J3869" s="13" t="s">
        <v>5289</v>
      </c>
      <c r="K3869" s="13" t="s">
        <v>5292</v>
      </c>
      <c r="L3869" s="13" t="n">
        <v>729238722026</v>
      </c>
      <c r="M3869" s="13"/>
      <c r="N3869" s="13" t="n">
        <v>729238722026</v>
      </c>
      <c r="O3869" s="13"/>
      <c r="P3869" s="13" t="s">
        <v>5291</v>
      </c>
      <c r="Q3869" s="13" t="s">
        <v>5289</v>
      </c>
      <c r="R3869" s="13" t="s">
        <v>5292</v>
      </c>
      <c r="S3869" s="13" t="s">
        <v>5293</v>
      </c>
      <c r="T3869" s="13" t="s">
        <v>5</v>
      </c>
      <c r="U3869" s="13" t="s">
        <v>43</v>
      </c>
      <c r="V3869" s="13" t="n">
        <f aca="false">IF(COUNTIF($B$2:B3869,B3869)=1,1,0)</f>
        <v>0</v>
      </c>
      <c r="W3869" s="13" t="n">
        <f aca="false">IF(COUNTIFS($B$2:B3869,B3869,$T$2:T3869,T3869)=1,1,0)</f>
        <v>0</v>
      </c>
    </row>
    <row r="3870" customFormat="false" ht="15" hidden="false" customHeight="false" outlineLevel="0" collapsed="false">
      <c r="A3870" s="13" t="s">
        <v>5119</v>
      </c>
      <c r="B3870" s="13" t="s">
        <v>2103</v>
      </c>
      <c r="C3870" s="13" t="n">
        <v>120</v>
      </c>
      <c r="D3870" s="13" t="n">
        <v>1</v>
      </c>
      <c r="E3870" s="13" t="n">
        <v>123.23</v>
      </c>
      <c r="F3870" s="13" t="s">
        <v>5325</v>
      </c>
      <c r="G3870" s="13" t="s">
        <v>5292</v>
      </c>
      <c r="H3870" s="13" t="s">
        <v>5292</v>
      </c>
      <c r="I3870" s="13" t="s">
        <v>5289</v>
      </c>
      <c r="J3870" s="13" t="s">
        <v>5289</v>
      </c>
      <c r="K3870" s="13" t="s">
        <v>5289</v>
      </c>
      <c r="L3870" s="13" t="n">
        <v>309974700108</v>
      </c>
      <c r="M3870" s="13"/>
      <c r="N3870" s="13" t="n">
        <v>309974700108</v>
      </c>
      <c r="O3870" s="13"/>
      <c r="P3870" s="13" t="s">
        <v>5291</v>
      </c>
      <c r="Q3870" s="13" t="s">
        <v>5289</v>
      </c>
      <c r="R3870" s="13" t="s">
        <v>5292</v>
      </c>
      <c r="S3870" s="13" t="s">
        <v>5293</v>
      </c>
      <c r="T3870" s="13" t="s">
        <v>5</v>
      </c>
      <c r="U3870" s="13" t="s">
        <v>85</v>
      </c>
      <c r="V3870" s="13" t="n">
        <f aca="false">IF(COUNTIF($B$2:B3870,B3870)=1,1,0)</f>
        <v>0</v>
      </c>
      <c r="W3870" s="13" t="n">
        <f aca="false">IF(COUNTIFS($B$2:B3870,B3870,$T$2:T3870,T3870)=1,1,0)</f>
        <v>0</v>
      </c>
    </row>
    <row r="3871" customFormat="false" ht="15" hidden="false" customHeight="false" outlineLevel="0" collapsed="false">
      <c r="A3871" s="13" t="s">
        <v>5107</v>
      </c>
      <c r="B3871" s="13" t="s">
        <v>2171</v>
      </c>
      <c r="C3871" s="13" t="n">
        <v>120</v>
      </c>
      <c r="D3871" s="13" t="n">
        <v>1</v>
      </c>
      <c r="E3871" s="13" t="n">
        <v>123.11</v>
      </c>
      <c r="F3871" s="13" t="s">
        <v>5325</v>
      </c>
      <c r="G3871" s="13" t="s">
        <v>5292</v>
      </c>
      <c r="H3871" s="13" t="s">
        <v>5289</v>
      </c>
      <c r="I3871" s="13" t="s">
        <v>5289</v>
      </c>
      <c r="J3871" s="13" t="s">
        <v>5289</v>
      </c>
      <c r="K3871" s="13" t="s">
        <v>5289</v>
      </c>
      <c r="L3871" s="13" t="n">
        <v>8801046413685</v>
      </c>
      <c r="M3871" s="13"/>
      <c r="N3871" s="13" t="n">
        <v>8801046413685</v>
      </c>
      <c r="O3871" s="13"/>
      <c r="P3871" s="13" t="s">
        <v>5297</v>
      </c>
      <c r="Q3871" s="13" t="s">
        <v>5289</v>
      </c>
      <c r="R3871" s="13" t="s">
        <v>5292</v>
      </c>
      <c r="S3871" s="13" t="s">
        <v>5293</v>
      </c>
      <c r="T3871" s="13" t="s">
        <v>5</v>
      </c>
      <c r="U3871" s="13" t="s">
        <v>183</v>
      </c>
      <c r="V3871" s="13" t="n">
        <f aca="false">IF(COUNTIF($B$2:B3871,B3871)=1,1,0)</f>
        <v>0</v>
      </c>
      <c r="W3871" s="13" t="n">
        <f aca="false">IF(COUNTIFS($B$2:B3871,B3871,$T$2:T3871,T3871)=1,1,0)</f>
        <v>0</v>
      </c>
    </row>
    <row r="3872" customFormat="false" ht="15" hidden="false" customHeight="false" outlineLevel="0" collapsed="false">
      <c r="A3872" s="13" t="s">
        <v>5111</v>
      </c>
      <c r="B3872" s="13" t="s">
        <v>2164</v>
      </c>
      <c r="C3872" s="13" t="n">
        <v>120</v>
      </c>
      <c r="D3872" s="13" t="n">
        <v>1</v>
      </c>
      <c r="E3872" s="13" t="n">
        <v>122.75</v>
      </c>
      <c r="F3872" s="13" t="s">
        <v>5288</v>
      </c>
      <c r="G3872" s="13" t="s">
        <v>5289</v>
      </c>
      <c r="H3872" s="13" t="s">
        <v>5292</v>
      </c>
      <c r="I3872" s="13" t="s">
        <v>5289</v>
      </c>
      <c r="J3872" s="13" t="s">
        <v>5289</v>
      </c>
      <c r="K3872" s="13" t="s">
        <v>5289</v>
      </c>
      <c r="L3872" s="13" t="n">
        <v>3616305279446</v>
      </c>
      <c r="M3872" s="13"/>
      <c r="N3872" s="13" t="n">
        <v>3616305279446</v>
      </c>
      <c r="O3872" s="13"/>
      <c r="P3872" s="13" t="s">
        <v>5291</v>
      </c>
      <c r="Q3872" s="13" t="s">
        <v>5289</v>
      </c>
      <c r="R3872" s="13" t="s">
        <v>5292</v>
      </c>
      <c r="S3872" s="13" t="s">
        <v>5293</v>
      </c>
      <c r="T3872" s="13" t="s">
        <v>5</v>
      </c>
      <c r="U3872" s="13" t="s">
        <v>43</v>
      </c>
      <c r="V3872" s="13" t="n">
        <f aca="false">IF(COUNTIF($B$2:B3872,B3872)=1,1,0)</f>
        <v>0</v>
      </c>
      <c r="W3872" s="13" t="n">
        <f aca="false">IF(COUNTIFS($B$2:B3872,B3872,$T$2:T3872,T3872)=1,1,0)</f>
        <v>0</v>
      </c>
    </row>
    <row r="3873" customFormat="false" ht="15" hidden="false" customHeight="false" outlineLevel="0" collapsed="false">
      <c r="A3873" s="13" t="s">
        <v>1850</v>
      </c>
      <c r="B3873" s="13" t="s">
        <v>630</v>
      </c>
      <c r="C3873" s="13" t="n">
        <v>120</v>
      </c>
      <c r="D3873" s="13" t="n">
        <v>1</v>
      </c>
      <c r="E3873" s="13" t="n">
        <v>121</v>
      </c>
      <c r="F3873" s="13" t="s">
        <v>5325</v>
      </c>
      <c r="G3873" s="13" t="s">
        <v>5292</v>
      </c>
      <c r="H3873" s="13" t="s">
        <v>5289</v>
      </c>
      <c r="I3873" s="13" t="s">
        <v>5289</v>
      </c>
      <c r="J3873" s="13" t="s">
        <v>5289</v>
      </c>
      <c r="K3873" s="13" t="s">
        <v>5289</v>
      </c>
      <c r="L3873" s="13"/>
      <c r="M3873" s="13"/>
      <c r="N3873" s="13" t="n">
        <v>8433982017094</v>
      </c>
      <c r="O3873" s="13"/>
      <c r="P3873" s="13" t="s">
        <v>5297</v>
      </c>
      <c r="Q3873" s="13" t="s">
        <v>5289</v>
      </c>
      <c r="R3873" s="13" t="s">
        <v>5292</v>
      </c>
      <c r="S3873" s="13" t="s">
        <v>5293</v>
      </c>
      <c r="T3873" s="13" t="s">
        <v>5</v>
      </c>
      <c r="U3873" s="13" t="s">
        <v>43</v>
      </c>
      <c r="V3873" s="13" t="n">
        <f aca="false">IF(COUNTIF($B$2:B3873,B3873)=1,1,0)</f>
        <v>0</v>
      </c>
      <c r="W3873" s="13" t="n">
        <f aca="false">IF(COUNTIFS($B$2:B3873,B3873,$T$2:T3873,T3873)=1,1,0)</f>
        <v>0</v>
      </c>
    </row>
    <row r="3874" customFormat="false" ht="15" hidden="false" customHeight="false" outlineLevel="0" collapsed="false">
      <c r="A3874" s="13" t="s">
        <v>6421</v>
      </c>
      <c r="B3874" s="13" t="s">
        <v>2150</v>
      </c>
      <c r="C3874" s="13" t="n">
        <v>120</v>
      </c>
      <c r="D3874" s="13" t="n">
        <v>1</v>
      </c>
      <c r="E3874" s="13" t="n">
        <v>120.84</v>
      </c>
      <c r="F3874" s="13" t="s">
        <v>5325</v>
      </c>
      <c r="G3874" s="13" t="s">
        <v>5292</v>
      </c>
      <c r="H3874" s="13" t="s">
        <v>5292</v>
      </c>
      <c r="I3874" s="13" t="s">
        <v>5289</v>
      </c>
      <c r="J3874" s="13" t="s">
        <v>5289</v>
      </c>
      <c r="K3874" s="13" t="s">
        <v>5289</v>
      </c>
      <c r="L3874" s="13"/>
      <c r="M3874" s="13"/>
      <c r="N3874" s="13" t="n">
        <v>8411061823033</v>
      </c>
      <c r="O3874" s="13"/>
      <c r="P3874" s="13" t="s">
        <v>5291</v>
      </c>
      <c r="Q3874" s="13" t="s">
        <v>5289</v>
      </c>
      <c r="R3874" s="13" t="s">
        <v>5292</v>
      </c>
      <c r="S3874" s="13" t="s">
        <v>5293</v>
      </c>
      <c r="T3874" s="13" t="s">
        <v>5</v>
      </c>
      <c r="U3874" s="13" t="s">
        <v>43</v>
      </c>
      <c r="V3874" s="13" t="n">
        <f aca="false">IF(COUNTIF($B$2:B3874,B3874)=1,1,0)</f>
        <v>0</v>
      </c>
      <c r="W3874" s="13" t="n">
        <f aca="false">IF(COUNTIFS($B$2:B3874,B3874,$T$2:T3874,T3874)=1,1,0)</f>
        <v>0</v>
      </c>
    </row>
    <row r="3875" customFormat="false" ht="15" hidden="false" customHeight="false" outlineLevel="0" collapsed="false">
      <c r="A3875" s="13" t="s">
        <v>5115</v>
      </c>
      <c r="B3875" s="13" t="s">
        <v>2155</v>
      </c>
      <c r="C3875" s="13" t="n">
        <v>120</v>
      </c>
      <c r="D3875" s="13" t="n">
        <v>1</v>
      </c>
      <c r="E3875" s="13" t="n">
        <v>119.85</v>
      </c>
      <c r="F3875" s="13" t="s">
        <v>5325</v>
      </c>
      <c r="G3875" s="13" t="s">
        <v>5292</v>
      </c>
      <c r="H3875" s="13" t="s">
        <v>5289</v>
      </c>
      <c r="I3875" s="13" t="s">
        <v>5289</v>
      </c>
      <c r="J3875" s="13" t="s">
        <v>5289</v>
      </c>
      <c r="K3875" s="13" t="s">
        <v>5292</v>
      </c>
      <c r="L3875" s="13" t="n">
        <v>5060926682549</v>
      </c>
      <c r="M3875" s="13"/>
      <c r="N3875" s="13" t="n">
        <v>5060926682549</v>
      </c>
      <c r="O3875" s="13"/>
      <c r="P3875" s="13" t="s">
        <v>5291</v>
      </c>
      <c r="Q3875" s="13" t="s">
        <v>5289</v>
      </c>
      <c r="R3875" s="13" t="s">
        <v>5292</v>
      </c>
      <c r="S3875" s="13" t="s">
        <v>5293</v>
      </c>
      <c r="T3875" s="13" t="s">
        <v>5</v>
      </c>
      <c r="U3875" s="13" t="s">
        <v>85</v>
      </c>
      <c r="V3875" s="13" t="n">
        <f aca="false">IF(COUNTIF($B$2:B3875,B3875)=1,1,0)</f>
        <v>0</v>
      </c>
      <c r="W3875" s="13" t="n">
        <f aca="false">IF(COUNTIFS($B$2:B3875,B3875,$T$2:T3875,T3875)=1,1,0)</f>
        <v>0</v>
      </c>
    </row>
    <row r="3876" customFormat="false" ht="15" hidden="false" customHeight="false" outlineLevel="0" collapsed="false">
      <c r="A3876" s="13" t="s">
        <v>731</v>
      </c>
      <c r="B3876" s="13" t="s">
        <v>121</v>
      </c>
      <c r="C3876" s="13" t="n">
        <v>120</v>
      </c>
      <c r="D3876" s="13" t="n">
        <v>1</v>
      </c>
      <c r="E3876" s="13" t="n">
        <v>119.85</v>
      </c>
      <c r="F3876" s="13" t="s">
        <v>5325</v>
      </c>
      <c r="G3876" s="13" t="s">
        <v>5292</v>
      </c>
      <c r="H3876" s="13" t="s">
        <v>5289</v>
      </c>
      <c r="I3876" s="13" t="s">
        <v>5289</v>
      </c>
      <c r="J3876" s="13" t="s">
        <v>5289</v>
      </c>
      <c r="K3876" s="13" t="s">
        <v>5292</v>
      </c>
      <c r="L3876" s="13" t="n">
        <v>7896086997500</v>
      </c>
      <c r="M3876" s="13"/>
      <c r="N3876" s="13" t="n">
        <v>7896086997500</v>
      </c>
      <c r="O3876" s="13"/>
      <c r="P3876" s="13" t="s">
        <v>5291</v>
      </c>
      <c r="Q3876" s="13" t="s">
        <v>5289</v>
      </c>
      <c r="R3876" s="13" t="s">
        <v>5292</v>
      </c>
      <c r="S3876" s="13" t="s">
        <v>5293</v>
      </c>
      <c r="T3876" s="13" t="s">
        <v>5</v>
      </c>
      <c r="U3876" s="13" t="s">
        <v>43</v>
      </c>
      <c r="V3876" s="13" t="n">
        <f aca="false">IF(COUNTIF($B$2:B3876,B3876)=1,1,0)</f>
        <v>0</v>
      </c>
      <c r="W3876" s="13" t="n">
        <f aca="false">IF(COUNTIFS($B$2:B3876,B3876,$T$2:T3876,T3876)=1,1,0)</f>
        <v>0</v>
      </c>
    </row>
    <row r="3877" customFormat="false" ht="15" hidden="false" customHeight="false" outlineLevel="0" collapsed="false">
      <c r="A3877" s="13" t="s">
        <v>1635</v>
      </c>
      <c r="B3877" s="13" t="s">
        <v>121</v>
      </c>
      <c r="C3877" s="13" t="n">
        <v>120</v>
      </c>
      <c r="D3877" s="13" t="n">
        <v>1</v>
      </c>
      <c r="E3877" s="13" t="n">
        <v>119.85</v>
      </c>
      <c r="F3877" s="13" t="s">
        <v>5325</v>
      </c>
      <c r="G3877" s="13" t="s">
        <v>5292</v>
      </c>
      <c r="H3877" s="13" t="s">
        <v>5292</v>
      </c>
      <c r="I3877" s="13" t="s">
        <v>5289</v>
      </c>
      <c r="J3877" s="13" t="s">
        <v>5289</v>
      </c>
      <c r="K3877" s="13" t="s">
        <v>5292</v>
      </c>
      <c r="L3877" s="13"/>
      <c r="M3877" s="13"/>
      <c r="N3877" s="13" t="n">
        <v>7896086934253</v>
      </c>
      <c r="O3877" s="13"/>
      <c r="P3877" s="13" t="s">
        <v>5291</v>
      </c>
      <c r="Q3877" s="13" t="s">
        <v>5289</v>
      </c>
      <c r="R3877" s="13" t="s">
        <v>5292</v>
      </c>
      <c r="S3877" s="13" t="s">
        <v>5293</v>
      </c>
      <c r="T3877" s="13" t="s">
        <v>5</v>
      </c>
      <c r="U3877" s="13" t="s">
        <v>183</v>
      </c>
      <c r="V3877" s="13" t="n">
        <f aca="false">IF(COUNTIF($B$2:B3877,B3877)=1,1,0)</f>
        <v>0</v>
      </c>
      <c r="W3877" s="13" t="n">
        <f aca="false">IF(COUNTIFS($B$2:B3877,B3877,$T$2:T3877,T3877)=1,1,0)</f>
        <v>0</v>
      </c>
    </row>
    <row r="3878" customFormat="false" ht="15" hidden="false" customHeight="false" outlineLevel="0" collapsed="false">
      <c r="A3878" s="13" t="s">
        <v>5121</v>
      </c>
      <c r="B3878" s="13" t="s">
        <v>2179</v>
      </c>
      <c r="C3878" s="13" t="n">
        <v>120</v>
      </c>
      <c r="D3878" s="13" t="n">
        <v>1</v>
      </c>
      <c r="E3878" s="13" t="n">
        <v>119.66</v>
      </c>
      <c r="F3878" s="13" t="s">
        <v>5325</v>
      </c>
      <c r="G3878" s="13" t="s">
        <v>5289</v>
      </c>
      <c r="H3878" s="13" t="s">
        <v>5289</v>
      </c>
      <c r="I3878" s="13" t="s">
        <v>5289</v>
      </c>
      <c r="J3878" s="13" t="s">
        <v>5289</v>
      </c>
      <c r="K3878" s="13" t="s">
        <v>5289</v>
      </c>
      <c r="L3878" s="13" t="n">
        <v>8410190635821</v>
      </c>
      <c r="M3878" s="13"/>
      <c r="N3878" s="13" t="n">
        <v>8410190635821</v>
      </c>
      <c r="O3878" s="13"/>
      <c r="P3878" s="13" t="s">
        <v>5297</v>
      </c>
      <c r="Q3878" s="13" t="s">
        <v>5289</v>
      </c>
      <c r="R3878" s="13" t="s">
        <v>5292</v>
      </c>
      <c r="S3878" s="13" t="s">
        <v>5293</v>
      </c>
      <c r="T3878" s="13" t="s">
        <v>5</v>
      </c>
      <c r="U3878" s="13" t="s">
        <v>43</v>
      </c>
      <c r="V3878" s="13" t="n">
        <f aca="false">IF(COUNTIF($B$2:B3878,B3878)=1,1,0)</f>
        <v>0</v>
      </c>
      <c r="W3878" s="13" t="n">
        <f aca="false">IF(COUNTIFS($B$2:B3878,B3878,$T$2:T3878,T3878)=1,1,0)</f>
        <v>0</v>
      </c>
    </row>
    <row r="3879" customFormat="false" ht="15" hidden="false" customHeight="false" outlineLevel="0" collapsed="false">
      <c r="A3879" s="13" t="s">
        <v>2047</v>
      </c>
      <c r="B3879" s="13" t="s">
        <v>107</v>
      </c>
      <c r="C3879" s="13" t="n">
        <v>120</v>
      </c>
      <c r="D3879" s="13" t="n">
        <v>1</v>
      </c>
      <c r="E3879" s="13" t="n">
        <v>118.85</v>
      </c>
      <c r="F3879" s="13" t="s">
        <v>5288</v>
      </c>
      <c r="G3879" s="13" t="s">
        <v>5289</v>
      </c>
      <c r="H3879" s="13" t="s">
        <v>5292</v>
      </c>
      <c r="I3879" s="13" t="s">
        <v>5289</v>
      </c>
      <c r="J3879" s="13" t="s">
        <v>5289</v>
      </c>
      <c r="K3879" s="13" t="s">
        <v>5292</v>
      </c>
      <c r="L3879" s="13" t="n">
        <v>7896235353843</v>
      </c>
      <c r="M3879" s="13"/>
      <c r="N3879" s="13" t="n">
        <v>7896235353843</v>
      </c>
      <c r="O3879" s="13"/>
      <c r="P3879" s="13" t="s">
        <v>5291</v>
      </c>
      <c r="Q3879" s="13" t="s">
        <v>5289</v>
      </c>
      <c r="R3879" s="13" t="s">
        <v>5292</v>
      </c>
      <c r="S3879" s="13" t="s">
        <v>5293</v>
      </c>
      <c r="T3879" s="13" t="s">
        <v>5</v>
      </c>
      <c r="U3879" s="13" t="s">
        <v>43</v>
      </c>
      <c r="V3879" s="13" t="n">
        <f aca="false">IF(COUNTIF($B$2:B3879,B3879)=1,1,0)</f>
        <v>0</v>
      </c>
      <c r="W3879" s="13" t="n">
        <f aca="false">IF(COUNTIFS($B$2:B3879,B3879,$T$2:T3879,T3879)=1,1,0)</f>
        <v>0</v>
      </c>
    </row>
    <row r="3880" customFormat="false" ht="15" hidden="false" customHeight="false" outlineLevel="0" collapsed="false">
      <c r="A3880" s="13" t="s">
        <v>5105</v>
      </c>
      <c r="B3880" s="13" t="s">
        <v>2253</v>
      </c>
      <c r="C3880" s="13" t="n">
        <v>120</v>
      </c>
      <c r="D3880" s="13" t="n">
        <v>1</v>
      </c>
      <c r="E3880" s="13" t="n">
        <v>118.73</v>
      </c>
      <c r="F3880" s="13" t="s">
        <v>5288</v>
      </c>
      <c r="G3880" s="13" t="s">
        <v>5292</v>
      </c>
      <c r="H3880" s="13" t="s">
        <v>5292</v>
      </c>
      <c r="I3880" s="13" t="s">
        <v>5289</v>
      </c>
      <c r="J3880" s="13" t="s">
        <v>5289</v>
      </c>
      <c r="K3880" s="13" t="s">
        <v>5289</v>
      </c>
      <c r="L3880" s="13" t="n">
        <v>8800283662733</v>
      </c>
      <c r="M3880" s="13"/>
      <c r="N3880" s="13" t="n">
        <v>8800283662733</v>
      </c>
      <c r="O3880" s="13"/>
      <c r="P3880" s="13" t="s">
        <v>5297</v>
      </c>
      <c r="Q3880" s="13" t="s">
        <v>5289</v>
      </c>
      <c r="R3880" s="13" t="s">
        <v>5292</v>
      </c>
      <c r="S3880" s="13" t="s">
        <v>5293</v>
      </c>
      <c r="T3880" s="13" t="s">
        <v>5</v>
      </c>
      <c r="U3880" s="13" t="s">
        <v>85</v>
      </c>
      <c r="V3880" s="13" t="n">
        <f aca="false">IF(COUNTIF($B$2:B3880,B3880)=1,1,0)</f>
        <v>0</v>
      </c>
      <c r="W3880" s="13" t="n">
        <f aca="false">IF(COUNTIFS($B$2:B3880,B3880,$T$2:T3880,T3880)=1,1,0)</f>
        <v>0</v>
      </c>
    </row>
    <row r="3881" customFormat="false" ht="15" hidden="false" customHeight="false" outlineLevel="0" collapsed="false">
      <c r="A3881" s="13" t="s">
        <v>2046</v>
      </c>
      <c r="B3881" s="13" t="s">
        <v>155</v>
      </c>
      <c r="C3881" s="13" t="n">
        <v>120</v>
      </c>
      <c r="D3881" s="13" t="n">
        <v>1</v>
      </c>
      <c r="E3881" s="13" t="n">
        <v>116.9</v>
      </c>
      <c r="F3881" s="13" t="s">
        <v>5325</v>
      </c>
      <c r="G3881" s="13" t="s">
        <v>5289</v>
      </c>
      <c r="H3881" s="13" t="s">
        <v>5292</v>
      </c>
      <c r="I3881" s="13" t="s">
        <v>5289</v>
      </c>
      <c r="J3881" s="13" t="s">
        <v>5289</v>
      </c>
      <c r="K3881" s="13" t="s">
        <v>5289</v>
      </c>
      <c r="L3881" s="13" t="n">
        <v>7891350047240</v>
      </c>
      <c r="M3881" s="13"/>
      <c r="N3881" s="13" t="n">
        <v>7891350047240</v>
      </c>
      <c r="O3881" s="13"/>
      <c r="P3881" s="13" t="s">
        <v>5291</v>
      </c>
      <c r="Q3881" s="13" t="s">
        <v>5289</v>
      </c>
      <c r="R3881" s="13" t="s">
        <v>5292</v>
      </c>
      <c r="S3881" s="13" t="s">
        <v>5293</v>
      </c>
      <c r="T3881" s="13" t="s">
        <v>5</v>
      </c>
      <c r="U3881" s="13" t="s">
        <v>43</v>
      </c>
      <c r="V3881" s="13" t="n">
        <f aca="false">IF(COUNTIF($B$2:B3881,B3881)=1,1,0)</f>
        <v>0</v>
      </c>
      <c r="W3881" s="13" t="n">
        <f aca="false">IF(COUNTIFS($B$2:B3881,B3881,$T$2:T3881,T3881)=1,1,0)</f>
        <v>0</v>
      </c>
    </row>
    <row r="3882" customFormat="false" ht="15" hidden="false" customHeight="false" outlineLevel="0" collapsed="false">
      <c r="A3882" s="13" t="s">
        <v>5113</v>
      </c>
      <c r="B3882" s="13" t="s">
        <v>2273</v>
      </c>
      <c r="C3882" s="13" t="n">
        <v>120</v>
      </c>
      <c r="D3882" s="13" t="n">
        <v>1</v>
      </c>
      <c r="E3882" s="13" t="n">
        <v>115.9</v>
      </c>
      <c r="F3882" s="13" t="s">
        <v>5288</v>
      </c>
      <c r="G3882" s="13" t="s">
        <v>5292</v>
      </c>
      <c r="H3882" s="13" t="s">
        <v>5289</v>
      </c>
      <c r="I3882" s="13" t="s">
        <v>5289</v>
      </c>
      <c r="J3882" s="13" t="s">
        <v>5289</v>
      </c>
      <c r="K3882" s="13" t="s">
        <v>5289</v>
      </c>
      <c r="L3882" s="13" t="n">
        <v>4550516485632</v>
      </c>
      <c r="M3882" s="13"/>
      <c r="N3882" s="13" t="n">
        <v>4550516485632</v>
      </c>
      <c r="O3882" s="13"/>
      <c r="P3882" s="13" t="s">
        <v>5297</v>
      </c>
      <c r="Q3882" s="13" t="s">
        <v>5289</v>
      </c>
      <c r="R3882" s="13" t="s">
        <v>5292</v>
      </c>
      <c r="S3882" s="13" t="s">
        <v>5293</v>
      </c>
      <c r="T3882" s="13" t="s">
        <v>5</v>
      </c>
      <c r="U3882" s="13" t="s">
        <v>85</v>
      </c>
      <c r="V3882" s="13" t="n">
        <f aca="false">IF(COUNTIF($B$2:B3882,B3882)=1,1,0)</f>
        <v>0</v>
      </c>
      <c r="W3882" s="13" t="n">
        <f aca="false">IF(COUNTIFS($B$2:B3882,B3882,$T$2:T3882,T3882)=1,1,0)</f>
        <v>0</v>
      </c>
    </row>
    <row r="3883" customFormat="false" ht="15" hidden="false" customHeight="false" outlineLevel="0" collapsed="false">
      <c r="A3883" s="13" t="s">
        <v>5117</v>
      </c>
      <c r="B3883" s="13" t="s">
        <v>2270</v>
      </c>
      <c r="C3883" s="13" t="n">
        <v>120</v>
      </c>
      <c r="D3883" s="13" t="n">
        <v>1</v>
      </c>
      <c r="E3883" s="13" t="n">
        <v>115</v>
      </c>
      <c r="F3883" s="13" t="s">
        <v>5325</v>
      </c>
      <c r="G3883" s="13" t="s">
        <v>5292</v>
      </c>
      <c r="H3883" s="13" t="s">
        <v>5289</v>
      </c>
      <c r="I3883" s="13" t="s">
        <v>5289</v>
      </c>
      <c r="J3883" s="13" t="s">
        <v>5289</v>
      </c>
      <c r="K3883" s="13" t="s">
        <v>5289</v>
      </c>
      <c r="L3883" s="13" t="n">
        <v>4901301303844</v>
      </c>
      <c r="M3883" s="13"/>
      <c r="N3883" s="13" t="n">
        <v>4901301303844</v>
      </c>
      <c r="O3883" s="13"/>
      <c r="P3883" s="13" t="s">
        <v>5297</v>
      </c>
      <c r="Q3883" s="13" t="s">
        <v>5289</v>
      </c>
      <c r="R3883" s="13" t="s">
        <v>5292</v>
      </c>
      <c r="S3883" s="13" t="s">
        <v>5293</v>
      </c>
      <c r="T3883" s="13" t="s">
        <v>5</v>
      </c>
      <c r="U3883" s="13" t="s">
        <v>183</v>
      </c>
      <c r="V3883" s="13" t="n">
        <f aca="false">IF(COUNTIF($B$2:B3883,B3883)=1,1,0)</f>
        <v>0</v>
      </c>
      <c r="W3883" s="13" t="n">
        <f aca="false">IF(COUNTIFS($B$2:B3883,B3883,$T$2:T3883,T3883)=1,1,0)</f>
        <v>0</v>
      </c>
    </row>
    <row r="3884" customFormat="false" ht="15" hidden="false" customHeight="false" outlineLevel="0" collapsed="false">
      <c r="A3884" s="13" t="s">
        <v>6421</v>
      </c>
      <c r="B3884" s="13" t="s">
        <v>2150</v>
      </c>
      <c r="C3884" s="13" t="n">
        <v>120</v>
      </c>
      <c r="D3884" s="13" t="n">
        <v>1</v>
      </c>
      <c r="E3884" s="13" t="n">
        <v>115</v>
      </c>
      <c r="F3884" s="13" t="s">
        <v>5288</v>
      </c>
      <c r="G3884" s="13" t="s">
        <v>5292</v>
      </c>
      <c r="H3884" s="13" t="s">
        <v>5292</v>
      </c>
      <c r="I3884" s="13" t="s">
        <v>5289</v>
      </c>
      <c r="J3884" s="13" t="s">
        <v>5289</v>
      </c>
      <c r="K3884" s="13" t="s">
        <v>5289</v>
      </c>
      <c r="L3884" s="13"/>
      <c r="M3884" s="13"/>
      <c r="N3884" s="13" t="n">
        <v>8411061823033</v>
      </c>
      <c r="O3884" s="13"/>
      <c r="P3884" s="13" t="s">
        <v>5291</v>
      </c>
      <c r="Q3884" s="13" t="s">
        <v>5289</v>
      </c>
      <c r="R3884" s="13" t="s">
        <v>5292</v>
      </c>
      <c r="S3884" s="13" t="s">
        <v>5293</v>
      </c>
      <c r="T3884" s="13" t="s">
        <v>5</v>
      </c>
      <c r="U3884" s="13" t="s">
        <v>43</v>
      </c>
      <c r="V3884" s="13" t="n">
        <f aca="false">IF(COUNTIF($B$2:B3884,B3884)=1,1,0)</f>
        <v>0</v>
      </c>
      <c r="W3884" s="13" t="n">
        <f aca="false">IF(COUNTIFS($B$2:B3884,B3884,$T$2:T3884,T3884)=1,1,0)</f>
        <v>0</v>
      </c>
    </row>
    <row r="3885" customFormat="false" ht="15" hidden="false" customHeight="false" outlineLevel="0" collapsed="false">
      <c r="A3885" s="13" t="s">
        <v>5140</v>
      </c>
      <c r="B3885" s="13" t="s">
        <v>2164</v>
      </c>
      <c r="C3885" s="13" t="n">
        <v>110</v>
      </c>
      <c r="D3885" s="13" t="n">
        <v>1</v>
      </c>
      <c r="E3885" s="13" t="n">
        <v>113.31</v>
      </c>
      <c r="F3885" s="13" t="s">
        <v>5288</v>
      </c>
      <c r="G3885" s="13" t="s">
        <v>5289</v>
      </c>
      <c r="H3885" s="13" t="s">
        <v>5289</v>
      </c>
      <c r="I3885" s="13" t="s">
        <v>5289</v>
      </c>
      <c r="J3885" s="13" t="s">
        <v>5289</v>
      </c>
      <c r="K3885" s="13" t="s">
        <v>5289</v>
      </c>
      <c r="L3885" s="13" t="n">
        <v>3616305279477</v>
      </c>
      <c r="M3885" s="13"/>
      <c r="N3885" s="13" t="n">
        <v>3616305279477</v>
      </c>
      <c r="O3885" s="13"/>
      <c r="P3885" s="13" t="s">
        <v>5291</v>
      </c>
      <c r="Q3885" s="13" t="s">
        <v>5289</v>
      </c>
      <c r="R3885" s="13" t="s">
        <v>5292</v>
      </c>
      <c r="S3885" s="13" t="s">
        <v>5293</v>
      </c>
      <c r="T3885" s="13" t="s">
        <v>5</v>
      </c>
      <c r="U3885" s="13" t="s">
        <v>43</v>
      </c>
      <c r="V3885" s="13" t="n">
        <f aca="false">IF(COUNTIF($B$2:B3885,B3885)=1,1,0)</f>
        <v>0</v>
      </c>
      <c r="W3885" s="13" t="n">
        <f aca="false">IF(COUNTIFS($B$2:B3885,B3885,$T$2:T3885,T3885)=1,1,0)</f>
        <v>0</v>
      </c>
    </row>
    <row r="3886" customFormat="false" ht="15" hidden="false" customHeight="false" outlineLevel="0" collapsed="false">
      <c r="A3886" s="13" t="s">
        <v>3585</v>
      </c>
      <c r="B3886" s="13" t="s">
        <v>2150</v>
      </c>
      <c r="C3886" s="13" t="n">
        <v>110</v>
      </c>
      <c r="D3886" s="13" t="n">
        <v>1</v>
      </c>
      <c r="E3886" s="13" t="n">
        <v>113.06</v>
      </c>
      <c r="F3886" s="13" t="s">
        <v>5325</v>
      </c>
      <c r="G3886" s="13" t="s">
        <v>5289</v>
      </c>
      <c r="H3886" s="13" t="s">
        <v>5289</v>
      </c>
      <c r="I3886" s="13" t="s">
        <v>5289</v>
      </c>
      <c r="J3886" s="13" t="s">
        <v>5289</v>
      </c>
      <c r="K3886" s="13" t="s">
        <v>5289</v>
      </c>
      <c r="L3886" s="13"/>
      <c r="M3886" s="13"/>
      <c r="N3886" s="13" t="n">
        <v>8411061876039</v>
      </c>
      <c r="O3886" s="13"/>
      <c r="P3886" s="13" t="s">
        <v>5291</v>
      </c>
      <c r="Q3886" s="13" t="s">
        <v>5289</v>
      </c>
      <c r="R3886" s="13" t="s">
        <v>5292</v>
      </c>
      <c r="S3886" s="13" t="s">
        <v>5293</v>
      </c>
      <c r="T3886" s="13" t="s">
        <v>5</v>
      </c>
      <c r="U3886" s="13" t="s">
        <v>43</v>
      </c>
      <c r="V3886" s="13" t="n">
        <f aca="false">IF(COUNTIF($B$2:B3886,B3886)=1,1,0)</f>
        <v>0</v>
      </c>
      <c r="W3886" s="13" t="n">
        <f aca="false">IF(COUNTIFS($B$2:B3886,B3886,$T$2:T3886,T3886)=1,1,0)</f>
        <v>0</v>
      </c>
    </row>
    <row r="3887" customFormat="false" ht="15" hidden="false" customHeight="false" outlineLevel="0" collapsed="false">
      <c r="A3887" s="13" t="s">
        <v>5132</v>
      </c>
      <c r="B3887" s="13" t="s">
        <v>2253</v>
      </c>
      <c r="C3887" s="13" t="n">
        <v>110</v>
      </c>
      <c r="D3887" s="13" t="n">
        <v>1</v>
      </c>
      <c r="E3887" s="13" t="n">
        <v>112.95</v>
      </c>
      <c r="F3887" s="13" t="s">
        <v>5288</v>
      </c>
      <c r="G3887" s="13" t="s">
        <v>5292</v>
      </c>
      <c r="H3887" s="13" t="s">
        <v>5289</v>
      </c>
      <c r="I3887" s="13" t="s">
        <v>5289</v>
      </c>
      <c r="J3887" s="13" t="s">
        <v>5289</v>
      </c>
      <c r="K3887" s="13" t="s">
        <v>5292</v>
      </c>
      <c r="L3887" s="13" t="n">
        <v>8809925173835</v>
      </c>
      <c r="M3887" s="13"/>
      <c r="N3887" s="13" t="n">
        <v>8809925173835</v>
      </c>
      <c r="O3887" s="13"/>
      <c r="P3887" s="13" t="s">
        <v>5297</v>
      </c>
      <c r="Q3887" s="13" t="s">
        <v>5289</v>
      </c>
      <c r="R3887" s="13" t="s">
        <v>5292</v>
      </c>
      <c r="S3887" s="13" t="s">
        <v>5293</v>
      </c>
      <c r="T3887" s="13" t="s">
        <v>5</v>
      </c>
      <c r="U3887" s="13" t="s">
        <v>85</v>
      </c>
      <c r="V3887" s="13" t="n">
        <f aca="false">IF(COUNTIF($B$2:B3887,B3887)=1,1,0)</f>
        <v>0</v>
      </c>
      <c r="W3887" s="13" t="n">
        <f aca="false">IF(COUNTIFS($B$2:B3887,B3887,$T$2:T3887,T3887)=1,1,0)</f>
        <v>0</v>
      </c>
    </row>
    <row r="3888" customFormat="false" ht="15" hidden="false" customHeight="false" outlineLevel="0" collapsed="false">
      <c r="A3888" s="13" t="s">
        <v>2049</v>
      </c>
      <c r="B3888" s="13" t="s">
        <v>121</v>
      </c>
      <c r="C3888" s="13" t="n">
        <v>110</v>
      </c>
      <c r="D3888" s="13" t="n">
        <v>1</v>
      </c>
      <c r="E3888" s="13" t="n">
        <v>112.9</v>
      </c>
      <c r="F3888" s="13" t="s">
        <v>5288</v>
      </c>
      <c r="G3888" s="13" t="s">
        <v>5289</v>
      </c>
      <c r="H3888" s="13" t="s">
        <v>5292</v>
      </c>
      <c r="I3888" s="13" t="s">
        <v>5289</v>
      </c>
      <c r="J3888" s="13" t="s">
        <v>5289</v>
      </c>
      <c r="K3888" s="13" t="s">
        <v>5289</v>
      </c>
      <c r="L3888" s="13" t="n">
        <v>7896086921024</v>
      </c>
      <c r="M3888" s="13"/>
      <c r="N3888" s="13" t="n">
        <v>7896086921024</v>
      </c>
      <c r="O3888" s="13"/>
      <c r="P3888" s="13" t="s">
        <v>5291</v>
      </c>
      <c r="Q3888" s="13" t="s">
        <v>5289</v>
      </c>
      <c r="R3888" s="13" t="s">
        <v>5292</v>
      </c>
      <c r="S3888" s="13" t="s">
        <v>5293</v>
      </c>
      <c r="T3888" s="13" t="s">
        <v>5</v>
      </c>
      <c r="U3888" s="13" t="s">
        <v>43</v>
      </c>
      <c r="V3888" s="13" t="n">
        <f aca="false">IF(COUNTIF($B$2:B3888,B3888)=1,1,0)</f>
        <v>0</v>
      </c>
      <c r="W3888" s="13" t="n">
        <f aca="false">IF(COUNTIFS($B$2:B3888,B3888,$T$2:T3888,T3888)=1,1,0)</f>
        <v>0</v>
      </c>
    </row>
    <row r="3889" customFormat="false" ht="15" hidden="false" customHeight="false" outlineLevel="0" collapsed="false">
      <c r="A3889" s="13" t="s">
        <v>2048</v>
      </c>
      <c r="B3889" s="13" t="s">
        <v>121</v>
      </c>
      <c r="C3889" s="13" t="n">
        <v>110</v>
      </c>
      <c r="D3889" s="13" t="n">
        <v>1</v>
      </c>
      <c r="E3889" s="13" t="n">
        <v>112.9</v>
      </c>
      <c r="F3889" s="13" t="s">
        <v>5325</v>
      </c>
      <c r="G3889" s="13" t="s">
        <v>5289</v>
      </c>
      <c r="H3889" s="13" t="s">
        <v>5292</v>
      </c>
      <c r="I3889" s="13" t="s">
        <v>5289</v>
      </c>
      <c r="J3889" s="13" t="s">
        <v>5289</v>
      </c>
      <c r="K3889" s="13" t="s">
        <v>5289</v>
      </c>
      <c r="L3889" s="13" t="n">
        <v>7896086927064</v>
      </c>
      <c r="M3889" s="13"/>
      <c r="N3889" s="13" t="n">
        <v>7896086927064</v>
      </c>
      <c r="O3889" s="13"/>
      <c r="P3889" s="13" t="s">
        <v>5291</v>
      </c>
      <c r="Q3889" s="13" t="s">
        <v>5289</v>
      </c>
      <c r="R3889" s="13" t="s">
        <v>5292</v>
      </c>
      <c r="S3889" s="13" t="s">
        <v>5293</v>
      </c>
      <c r="T3889" s="13" t="s">
        <v>5</v>
      </c>
      <c r="U3889" s="13" t="s">
        <v>43</v>
      </c>
      <c r="V3889" s="13" t="n">
        <f aca="false">IF(COUNTIF($B$2:B3889,B3889)=1,1,0)</f>
        <v>0</v>
      </c>
      <c r="W3889" s="13" t="n">
        <f aca="false">IF(COUNTIFS($B$2:B3889,B3889,$T$2:T3889,T3889)=1,1,0)</f>
        <v>0</v>
      </c>
    </row>
    <row r="3890" customFormat="false" ht="15" hidden="false" customHeight="false" outlineLevel="0" collapsed="false">
      <c r="A3890" s="13" t="s">
        <v>5126</v>
      </c>
      <c r="B3890" s="13" t="s">
        <v>2194</v>
      </c>
      <c r="C3890" s="13" t="n">
        <v>110</v>
      </c>
      <c r="D3890" s="13" t="n">
        <v>2</v>
      </c>
      <c r="E3890" s="13" t="n">
        <v>55.98</v>
      </c>
      <c r="F3890" s="13" t="s">
        <v>5325</v>
      </c>
      <c r="G3890" s="13" t="s">
        <v>5292</v>
      </c>
      <c r="H3890" s="13" t="s">
        <v>5289</v>
      </c>
      <c r="I3890" s="13" t="s">
        <v>5289</v>
      </c>
      <c r="J3890" s="13" t="s">
        <v>5289</v>
      </c>
      <c r="K3890" s="13" t="s">
        <v>5289</v>
      </c>
      <c r="L3890" s="13" t="n">
        <v>7908725504236</v>
      </c>
      <c r="M3890" s="13"/>
      <c r="N3890" s="13" t="n">
        <v>7908725504236</v>
      </c>
      <c r="O3890" s="13"/>
      <c r="P3890" s="13" t="s">
        <v>5297</v>
      </c>
      <c r="Q3890" s="13" t="s">
        <v>5289</v>
      </c>
      <c r="R3890" s="13" t="s">
        <v>5292</v>
      </c>
      <c r="S3890" s="13" t="s">
        <v>5293</v>
      </c>
      <c r="T3890" s="13" t="s">
        <v>5</v>
      </c>
      <c r="U3890" s="13" t="s">
        <v>85</v>
      </c>
      <c r="V3890" s="13" t="n">
        <f aca="false">IF(COUNTIF($B$2:B3890,B3890)=1,1,0)</f>
        <v>0</v>
      </c>
      <c r="W3890" s="13" t="n">
        <f aca="false">IF(COUNTIFS($B$2:B3890,B3890,$T$2:T3890,T3890)=1,1,0)</f>
        <v>0</v>
      </c>
    </row>
    <row r="3891" customFormat="false" ht="15" hidden="false" customHeight="false" outlineLevel="0" collapsed="false">
      <c r="A3891" s="13" t="s">
        <v>5137</v>
      </c>
      <c r="B3891" s="13" t="s">
        <v>2194</v>
      </c>
      <c r="C3891" s="13" t="n">
        <v>110</v>
      </c>
      <c r="D3891" s="13" t="n">
        <v>1</v>
      </c>
      <c r="E3891" s="13" t="n">
        <v>110.85</v>
      </c>
      <c r="F3891" s="13" t="s">
        <v>5288</v>
      </c>
      <c r="G3891" s="13" t="s">
        <v>5292</v>
      </c>
      <c r="H3891" s="13" t="s">
        <v>5292</v>
      </c>
      <c r="I3891" s="13" t="s">
        <v>5289</v>
      </c>
      <c r="J3891" s="13" t="s">
        <v>5289</v>
      </c>
      <c r="K3891" s="13" t="s">
        <v>5292</v>
      </c>
      <c r="L3891" s="13" t="n">
        <v>7898576398163</v>
      </c>
      <c r="M3891" s="13"/>
      <c r="N3891" s="13" t="n">
        <v>7898576398163</v>
      </c>
      <c r="O3891" s="13"/>
      <c r="P3891" s="13" t="s">
        <v>5291</v>
      </c>
      <c r="Q3891" s="13" t="s">
        <v>5289</v>
      </c>
      <c r="R3891" s="13" t="s">
        <v>5292</v>
      </c>
      <c r="S3891" s="13" t="s">
        <v>5293</v>
      </c>
      <c r="T3891" s="13" t="s">
        <v>5</v>
      </c>
      <c r="U3891" s="13" t="s">
        <v>85</v>
      </c>
      <c r="V3891" s="13" t="n">
        <f aca="false">IF(COUNTIF($B$2:B3891,B3891)=1,1,0)</f>
        <v>0</v>
      </c>
      <c r="W3891" s="13" t="n">
        <f aca="false">IF(COUNTIFS($B$2:B3891,B3891,$T$2:T3891,T3891)=1,1,0)</f>
        <v>0</v>
      </c>
    </row>
    <row r="3892" customFormat="false" ht="15" hidden="false" customHeight="false" outlineLevel="0" collapsed="false">
      <c r="A3892" s="13" t="s">
        <v>2052</v>
      </c>
      <c r="B3892" s="13" t="s">
        <v>121</v>
      </c>
      <c r="C3892" s="13" t="n">
        <v>110</v>
      </c>
      <c r="D3892" s="13" t="n">
        <v>2</v>
      </c>
      <c r="E3892" s="13" t="n">
        <v>54.85</v>
      </c>
      <c r="F3892" s="13" t="s">
        <v>5288</v>
      </c>
      <c r="G3892" s="13" t="s">
        <v>5292</v>
      </c>
      <c r="H3892" s="13" t="s">
        <v>5292</v>
      </c>
      <c r="I3892" s="13" t="s">
        <v>5292</v>
      </c>
      <c r="J3892" s="13" t="s">
        <v>5289</v>
      </c>
      <c r="K3892" s="13" t="s">
        <v>5292</v>
      </c>
      <c r="L3892" s="13"/>
      <c r="M3892" s="13"/>
      <c r="N3892" s="13" t="n">
        <v>7896086997661</v>
      </c>
      <c r="O3892" s="13"/>
      <c r="P3892" s="13" t="s">
        <v>5291</v>
      </c>
      <c r="Q3892" s="13" t="s">
        <v>5289</v>
      </c>
      <c r="R3892" s="13" t="s">
        <v>5292</v>
      </c>
      <c r="S3892" s="13" t="s">
        <v>5293</v>
      </c>
      <c r="T3892" s="13" t="s">
        <v>5</v>
      </c>
      <c r="U3892" s="13" t="s">
        <v>43</v>
      </c>
      <c r="V3892" s="13" t="n">
        <f aca="false">IF(COUNTIF($B$2:B3892,B3892)=1,1,0)</f>
        <v>0</v>
      </c>
      <c r="W3892" s="13" t="n">
        <f aca="false">IF(COUNTIFS($B$2:B3892,B3892,$T$2:T3892,T3892)=1,1,0)</f>
        <v>0</v>
      </c>
    </row>
    <row r="3893" customFormat="false" ht="15" hidden="false" customHeight="false" outlineLevel="0" collapsed="false">
      <c r="A3893" s="13" t="s">
        <v>4916</v>
      </c>
      <c r="B3893" s="13" t="s">
        <v>2103</v>
      </c>
      <c r="C3893" s="13" t="n">
        <v>110</v>
      </c>
      <c r="D3893" s="13" t="n">
        <v>1</v>
      </c>
      <c r="E3893" s="13" t="n">
        <v>109.46</v>
      </c>
      <c r="F3893" s="13" t="s">
        <v>5325</v>
      </c>
      <c r="G3893" s="13" t="s">
        <v>5292</v>
      </c>
      <c r="H3893" s="13" t="s">
        <v>5292</v>
      </c>
      <c r="I3893" s="13" t="s">
        <v>5289</v>
      </c>
      <c r="J3893" s="13" t="s">
        <v>5289</v>
      </c>
      <c r="K3893" s="13" t="s">
        <v>5289</v>
      </c>
      <c r="L3893" s="13"/>
      <c r="M3893" s="13"/>
      <c r="N3893" s="13" t="n">
        <v>309970107932</v>
      </c>
      <c r="O3893" s="13"/>
      <c r="P3893" s="13" t="s">
        <v>5291</v>
      </c>
      <c r="Q3893" s="13" t="s">
        <v>5289</v>
      </c>
      <c r="R3893" s="13" t="s">
        <v>5292</v>
      </c>
      <c r="S3893" s="13" t="s">
        <v>5293</v>
      </c>
      <c r="T3893" s="13" t="s">
        <v>5</v>
      </c>
      <c r="U3893" s="13" t="s">
        <v>85</v>
      </c>
      <c r="V3893" s="13" t="n">
        <f aca="false">IF(COUNTIF($B$2:B3893,B3893)=1,1,0)</f>
        <v>0</v>
      </c>
      <c r="W3893" s="13" t="n">
        <f aca="false">IF(COUNTIFS($B$2:B3893,B3893,$T$2:T3893,T3893)=1,1,0)</f>
        <v>0</v>
      </c>
    </row>
    <row r="3894" customFormat="false" ht="15" hidden="false" customHeight="false" outlineLevel="0" collapsed="false">
      <c r="A3894" s="13" t="s">
        <v>6422</v>
      </c>
      <c r="B3894" s="13" t="s">
        <v>2150</v>
      </c>
      <c r="C3894" s="13" t="n">
        <v>110</v>
      </c>
      <c r="D3894" s="13" t="n">
        <v>1</v>
      </c>
      <c r="E3894" s="13" t="n">
        <v>109.42</v>
      </c>
      <c r="F3894" s="13" t="s">
        <v>5325</v>
      </c>
      <c r="G3894" s="13" t="s">
        <v>5292</v>
      </c>
      <c r="H3894" s="13" t="s">
        <v>5292</v>
      </c>
      <c r="I3894" s="13" t="s">
        <v>5289</v>
      </c>
      <c r="J3894" s="13" t="s">
        <v>5289</v>
      </c>
      <c r="K3894" s="13" t="s">
        <v>5289</v>
      </c>
      <c r="L3894" s="13" t="n">
        <v>8411061085301</v>
      </c>
      <c r="M3894" s="13"/>
      <c r="N3894" s="13" t="n">
        <v>8411061085301</v>
      </c>
      <c r="O3894" s="13"/>
      <c r="P3894" s="13" t="s">
        <v>5291</v>
      </c>
      <c r="Q3894" s="13" t="s">
        <v>5289</v>
      </c>
      <c r="R3894" s="13" t="s">
        <v>5292</v>
      </c>
      <c r="S3894" s="13" t="s">
        <v>5293</v>
      </c>
      <c r="T3894" s="13" t="s">
        <v>5</v>
      </c>
      <c r="U3894" s="13" t="s">
        <v>43</v>
      </c>
      <c r="V3894" s="13" t="n">
        <f aca="false">IF(COUNTIF($B$2:B3894,B3894)=1,1,0)</f>
        <v>0</v>
      </c>
      <c r="W3894" s="13" t="n">
        <f aca="false">IF(COUNTIFS($B$2:B3894,B3894,$T$2:T3894,T3894)=1,1,0)</f>
        <v>0</v>
      </c>
    </row>
    <row r="3895" customFormat="false" ht="15" hidden="false" customHeight="false" outlineLevel="0" collapsed="false">
      <c r="A3895" s="13" t="s">
        <v>5146</v>
      </c>
      <c r="B3895" s="13" t="s">
        <v>2270</v>
      </c>
      <c r="C3895" s="13" t="n">
        <v>110</v>
      </c>
      <c r="D3895" s="13" t="n">
        <v>1</v>
      </c>
      <c r="E3895" s="13" t="n">
        <v>108.85</v>
      </c>
      <c r="F3895" s="13" t="s">
        <v>5288</v>
      </c>
      <c r="G3895" s="13" t="s">
        <v>5292</v>
      </c>
      <c r="H3895" s="13" t="s">
        <v>5289</v>
      </c>
      <c r="I3895" s="13" t="s">
        <v>5289</v>
      </c>
      <c r="J3895" s="13" t="s">
        <v>5289</v>
      </c>
      <c r="K3895" s="13" t="s">
        <v>5292</v>
      </c>
      <c r="L3895" s="13" t="n">
        <v>7898954042640</v>
      </c>
      <c r="M3895" s="13"/>
      <c r="N3895" s="13" t="n">
        <v>7898954042640</v>
      </c>
      <c r="O3895" s="13"/>
      <c r="P3895" s="13" t="s">
        <v>5291</v>
      </c>
      <c r="Q3895" s="13" t="s">
        <v>5289</v>
      </c>
      <c r="R3895" s="13" t="s">
        <v>5292</v>
      </c>
      <c r="S3895" s="13" t="s">
        <v>5293</v>
      </c>
      <c r="T3895" s="13" t="s">
        <v>5</v>
      </c>
      <c r="U3895" s="13" t="s">
        <v>183</v>
      </c>
      <c r="V3895" s="13" t="n">
        <f aca="false">IF(COUNTIF($B$2:B3895,B3895)=1,1,0)</f>
        <v>0</v>
      </c>
      <c r="W3895" s="13" t="n">
        <f aca="false">IF(COUNTIFS($B$2:B3895,B3895,$T$2:T3895,T3895)=1,1,0)</f>
        <v>0</v>
      </c>
    </row>
    <row r="3896" customFormat="false" ht="15" hidden="false" customHeight="false" outlineLevel="0" collapsed="false">
      <c r="A3896" s="13" t="s">
        <v>2051</v>
      </c>
      <c r="B3896" s="13" t="s">
        <v>121</v>
      </c>
      <c r="C3896" s="13" t="n">
        <v>110</v>
      </c>
      <c r="D3896" s="13" t="n">
        <v>1</v>
      </c>
      <c r="E3896" s="13" t="n">
        <v>108.85</v>
      </c>
      <c r="F3896" s="13" t="s">
        <v>5288</v>
      </c>
      <c r="G3896" s="13" t="s">
        <v>5292</v>
      </c>
      <c r="H3896" s="13" t="s">
        <v>5292</v>
      </c>
      <c r="I3896" s="13" t="s">
        <v>5289</v>
      </c>
      <c r="J3896" s="13" t="s">
        <v>5289</v>
      </c>
      <c r="K3896" s="13" t="s">
        <v>5292</v>
      </c>
      <c r="L3896" s="13" t="n">
        <v>7896086978776</v>
      </c>
      <c r="M3896" s="13"/>
      <c r="N3896" s="13" t="n">
        <v>7896086978776</v>
      </c>
      <c r="O3896" s="13"/>
      <c r="P3896" s="13" t="s">
        <v>5291</v>
      </c>
      <c r="Q3896" s="13" t="s">
        <v>5289</v>
      </c>
      <c r="R3896" s="13" t="s">
        <v>5292</v>
      </c>
      <c r="S3896" s="13" t="s">
        <v>5293</v>
      </c>
      <c r="T3896" s="13" t="s">
        <v>5</v>
      </c>
      <c r="U3896" s="13" t="s">
        <v>43</v>
      </c>
      <c r="V3896" s="13" t="n">
        <f aca="false">IF(COUNTIF($B$2:B3896,B3896)=1,1,0)</f>
        <v>0</v>
      </c>
      <c r="W3896" s="13" t="n">
        <f aca="false">IF(COUNTIFS($B$2:B3896,B3896,$T$2:T3896,T3896)=1,1,0)</f>
        <v>0</v>
      </c>
    </row>
    <row r="3897" customFormat="false" ht="15" hidden="false" customHeight="false" outlineLevel="0" collapsed="false">
      <c r="A3897" s="13" t="s">
        <v>5144</v>
      </c>
      <c r="B3897" s="13" t="s">
        <v>2272</v>
      </c>
      <c r="C3897" s="13" t="n">
        <v>110</v>
      </c>
      <c r="D3897" s="13" t="n">
        <v>1</v>
      </c>
      <c r="E3897" s="13" t="n">
        <v>108.85</v>
      </c>
      <c r="F3897" s="13" t="s">
        <v>5288</v>
      </c>
      <c r="G3897" s="13" t="s">
        <v>5292</v>
      </c>
      <c r="H3897" s="13" t="s">
        <v>5292</v>
      </c>
      <c r="I3897" s="13" t="s">
        <v>5289</v>
      </c>
      <c r="J3897" s="13" t="s">
        <v>5289</v>
      </c>
      <c r="K3897" s="13" t="s">
        <v>5292</v>
      </c>
      <c r="L3897" s="13" t="n">
        <v>7898593730267</v>
      </c>
      <c r="M3897" s="13"/>
      <c r="N3897" s="13" t="n">
        <v>7898593730267</v>
      </c>
      <c r="O3897" s="13"/>
      <c r="P3897" s="13" t="s">
        <v>5291</v>
      </c>
      <c r="Q3897" s="13" t="s">
        <v>5289</v>
      </c>
      <c r="R3897" s="13" t="s">
        <v>5292</v>
      </c>
      <c r="S3897" s="13" t="s">
        <v>5293</v>
      </c>
      <c r="T3897" s="13" t="s">
        <v>5</v>
      </c>
      <c r="U3897" s="13" t="s">
        <v>85</v>
      </c>
      <c r="V3897" s="13" t="n">
        <f aca="false">IF(COUNTIF($B$2:B3897,B3897)=1,1,0)</f>
        <v>0</v>
      </c>
      <c r="W3897" s="13" t="n">
        <f aca="false">IF(COUNTIFS($B$2:B3897,B3897,$T$2:T3897,T3897)=1,1,0)</f>
        <v>0</v>
      </c>
    </row>
    <row r="3898" customFormat="false" ht="15" hidden="false" customHeight="false" outlineLevel="0" collapsed="false">
      <c r="A3898" s="13" t="s">
        <v>5134</v>
      </c>
      <c r="B3898" s="13" t="s">
        <v>2103</v>
      </c>
      <c r="C3898" s="13" t="n">
        <v>110</v>
      </c>
      <c r="D3898" s="13" t="n">
        <v>1</v>
      </c>
      <c r="E3898" s="13" t="n">
        <v>108.61</v>
      </c>
      <c r="F3898" s="13" t="s">
        <v>5325</v>
      </c>
      <c r="G3898" s="13" t="s">
        <v>5292</v>
      </c>
      <c r="H3898" s="13" t="s">
        <v>5289</v>
      </c>
      <c r="I3898" s="13" t="s">
        <v>5289</v>
      </c>
      <c r="J3898" s="13" t="s">
        <v>5289</v>
      </c>
      <c r="K3898" s="13" t="s">
        <v>5289</v>
      </c>
      <c r="L3898" s="13" t="n">
        <v>309970126490</v>
      </c>
      <c r="M3898" s="13"/>
      <c r="N3898" s="13" t="n">
        <v>309970126490</v>
      </c>
      <c r="O3898" s="13"/>
      <c r="P3898" s="13" t="s">
        <v>5291</v>
      </c>
      <c r="Q3898" s="13" t="s">
        <v>5289</v>
      </c>
      <c r="R3898" s="13" t="s">
        <v>5292</v>
      </c>
      <c r="S3898" s="13" t="s">
        <v>5293</v>
      </c>
      <c r="T3898" s="13" t="s">
        <v>5</v>
      </c>
      <c r="U3898" s="13" t="s">
        <v>85</v>
      </c>
      <c r="V3898" s="13" t="n">
        <f aca="false">IF(COUNTIF($B$2:B3898,B3898)=1,1,0)</f>
        <v>0</v>
      </c>
      <c r="W3898" s="13" t="n">
        <f aca="false">IF(COUNTIFS($B$2:B3898,B3898,$T$2:T3898,T3898)=1,1,0)</f>
        <v>0</v>
      </c>
    </row>
    <row r="3899" customFormat="false" ht="15" hidden="false" customHeight="false" outlineLevel="0" collapsed="false">
      <c r="A3899" s="13" t="s">
        <v>4654</v>
      </c>
      <c r="B3899" s="13" t="s">
        <v>2267</v>
      </c>
      <c r="C3899" s="13" t="n">
        <v>110</v>
      </c>
      <c r="D3899" s="13" t="n">
        <v>1</v>
      </c>
      <c r="E3899" s="13" t="n">
        <v>108</v>
      </c>
      <c r="F3899" s="13" t="s">
        <v>5325</v>
      </c>
      <c r="G3899" s="13" t="s">
        <v>5289</v>
      </c>
      <c r="H3899" s="13" t="s">
        <v>5292</v>
      </c>
      <c r="I3899" s="13" t="s">
        <v>5289</v>
      </c>
      <c r="J3899" s="13" t="s">
        <v>5289</v>
      </c>
      <c r="K3899" s="13" t="s">
        <v>5289</v>
      </c>
      <c r="L3899" s="13" t="n">
        <v>3616305629357</v>
      </c>
      <c r="M3899" s="13"/>
      <c r="N3899" s="13" t="n">
        <v>3616305629357</v>
      </c>
      <c r="O3899" s="13"/>
      <c r="P3899" s="13" t="s">
        <v>5291</v>
      </c>
      <c r="Q3899" s="13" t="s">
        <v>5289</v>
      </c>
      <c r="R3899" s="13" t="s">
        <v>5292</v>
      </c>
      <c r="S3899" s="13" t="s">
        <v>5293</v>
      </c>
      <c r="T3899" s="13" t="s">
        <v>5</v>
      </c>
      <c r="U3899" s="13" t="s">
        <v>43</v>
      </c>
      <c r="V3899" s="13" t="n">
        <f aca="false">IF(COUNTIF($B$2:B3899,B3899)=1,1,0)</f>
        <v>0</v>
      </c>
      <c r="W3899" s="13" t="n">
        <f aca="false">IF(COUNTIFS($B$2:B3899,B3899,$T$2:T3899,T3899)=1,1,0)</f>
        <v>0</v>
      </c>
    </row>
    <row r="3900" customFormat="false" ht="15" hidden="false" customHeight="false" outlineLevel="0" collapsed="false">
      <c r="A3900" s="13" t="s">
        <v>2050</v>
      </c>
      <c r="B3900" s="13" t="s">
        <v>121</v>
      </c>
      <c r="C3900" s="13" t="n">
        <v>110</v>
      </c>
      <c r="D3900" s="13" t="n">
        <v>1</v>
      </c>
      <c r="E3900" s="13" t="n">
        <v>107.52</v>
      </c>
      <c r="F3900" s="13" t="s">
        <v>5325</v>
      </c>
      <c r="G3900" s="13" t="s">
        <v>5289</v>
      </c>
      <c r="H3900" s="13" t="s">
        <v>5292</v>
      </c>
      <c r="I3900" s="13" t="s">
        <v>5289</v>
      </c>
      <c r="J3900" s="13" t="s">
        <v>5289</v>
      </c>
      <c r="K3900" s="13" t="s">
        <v>5289</v>
      </c>
      <c r="L3900" s="13" t="n">
        <v>7896086910882</v>
      </c>
      <c r="M3900" s="13"/>
      <c r="N3900" s="13" t="n">
        <v>7896086910882</v>
      </c>
      <c r="O3900" s="13"/>
      <c r="P3900" s="13" t="s">
        <v>5291</v>
      </c>
      <c r="Q3900" s="13" t="s">
        <v>5289</v>
      </c>
      <c r="R3900" s="13" t="s">
        <v>5292</v>
      </c>
      <c r="S3900" s="13" t="s">
        <v>5293</v>
      </c>
      <c r="T3900" s="13" t="s">
        <v>5</v>
      </c>
      <c r="U3900" s="13" t="s">
        <v>183</v>
      </c>
      <c r="V3900" s="13" t="n">
        <f aca="false">IF(COUNTIF($B$2:B3900,B3900)=1,1,0)</f>
        <v>0</v>
      </c>
      <c r="W3900" s="13" t="n">
        <f aca="false">IF(COUNTIFS($B$2:B3900,B3900,$T$2:T3900,T3900)=1,1,0)</f>
        <v>0</v>
      </c>
    </row>
    <row r="3901" customFormat="false" ht="15" hidden="false" customHeight="false" outlineLevel="0" collapsed="false">
      <c r="A3901" s="13" t="s">
        <v>6416</v>
      </c>
      <c r="B3901" s="13" t="s">
        <v>2150</v>
      </c>
      <c r="C3901" s="13" t="n">
        <v>110</v>
      </c>
      <c r="D3901" s="13" t="n">
        <v>1</v>
      </c>
      <c r="E3901" s="13" t="n">
        <v>107</v>
      </c>
      <c r="F3901" s="13" t="s">
        <v>5288</v>
      </c>
      <c r="G3901" s="13" t="s">
        <v>5289</v>
      </c>
      <c r="H3901" s="13" t="s">
        <v>5292</v>
      </c>
      <c r="I3901" s="13" t="s">
        <v>5289</v>
      </c>
      <c r="J3901" s="13" t="s">
        <v>5289</v>
      </c>
      <c r="K3901" s="13" t="s">
        <v>5289</v>
      </c>
      <c r="L3901" s="13"/>
      <c r="M3901" s="13"/>
      <c r="N3901" s="13" t="n">
        <v>8411061876039</v>
      </c>
      <c r="O3901" s="13"/>
      <c r="P3901" s="13" t="s">
        <v>5291</v>
      </c>
      <c r="Q3901" s="13" t="s">
        <v>5289</v>
      </c>
      <c r="R3901" s="13" t="s">
        <v>5292</v>
      </c>
      <c r="S3901" s="13" t="s">
        <v>5293</v>
      </c>
      <c r="T3901" s="13" t="s">
        <v>5</v>
      </c>
      <c r="U3901" s="13" t="s">
        <v>43</v>
      </c>
      <c r="V3901" s="13" t="n">
        <f aca="false">IF(COUNTIF($B$2:B3901,B3901)=1,1,0)</f>
        <v>0</v>
      </c>
      <c r="W3901" s="13" t="n">
        <f aca="false">IF(COUNTIFS($B$2:B3901,B3901,$T$2:T3901,T3901)=1,1,0)</f>
        <v>0</v>
      </c>
    </row>
    <row r="3902" customFormat="false" ht="15" hidden="false" customHeight="false" outlineLevel="0" collapsed="false">
      <c r="A3902" s="13" t="s">
        <v>4916</v>
      </c>
      <c r="B3902" s="13" t="s">
        <v>2103</v>
      </c>
      <c r="C3902" s="13" t="n">
        <v>110</v>
      </c>
      <c r="D3902" s="13" t="n">
        <v>1</v>
      </c>
      <c r="E3902" s="13" t="n">
        <v>106.85</v>
      </c>
      <c r="F3902" s="13" t="s">
        <v>5288</v>
      </c>
      <c r="G3902" s="13" t="s">
        <v>5292</v>
      </c>
      <c r="H3902" s="13" t="s">
        <v>5292</v>
      </c>
      <c r="I3902" s="13" t="s">
        <v>5289</v>
      </c>
      <c r="J3902" s="13" t="s">
        <v>5289</v>
      </c>
      <c r="K3902" s="13" t="s">
        <v>5292</v>
      </c>
      <c r="L3902" s="13" t="n">
        <v>309970107932</v>
      </c>
      <c r="M3902" s="13"/>
      <c r="N3902" s="13" t="n">
        <v>309970107932</v>
      </c>
      <c r="O3902" s="13"/>
      <c r="P3902" s="13" t="s">
        <v>5291</v>
      </c>
      <c r="Q3902" s="13" t="s">
        <v>5289</v>
      </c>
      <c r="R3902" s="13" t="s">
        <v>5292</v>
      </c>
      <c r="S3902" s="13" t="s">
        <v>5293</v>
      </c>
      <c r="T3902" s="13" t="s">
        <v>5</v>
      </c>
      <c r="U3902" s="13" t="s">
        <v>85</v>
      </c>
      <c r="V3902" s="13" t="n">
        <f aca="false">IF(COUNTIF($B$2:B3902,B3902)=1,1,0)</f>
        <v>0</v>
      </c>
      <c r="W3902" s="13" t="n">
        <f aca="false">IF(COUNTIFS($B$2:B3902,B3902,$T$2:T3902,T3902)=1,1,0)</f>
        <v>0</v>
      </c>
    </row>
    <row r="3903" customFormat="false" ht="15" hidden="false" customHeight="false" outlineLevel="0" collapsed="false">
      <c r="A3903" s="13" t="s">
        <v>2053</v>
      </c>
      <c r="B3903" s="13" t="s">
        <v>107</v>
      </c>
      <c r="C3903" s="13" t="n">
        <v>110</v>
      </c>
      <c r="D3903" s="13" t="n">
        <v>2</v>
      </c>
      <c r="E3903" s="13" t="n">
        <v>35.3766666666667</v>
      </c>
      <c r="F3903" s="13" t="s">
        <v>5288</v>
      </c>
      <c r="G3903" s="13" t="s">
        <v>5292</v>
      </c>
      <c r="H3903" s="13" t="s">
        <v>5289</v>
      </c>
      <c r="I3903" s="13" t="s">
        <v>5292</v>
      </c>
      <c r="J3903" s="13" t="s">
        <v>5289</v>
      </c>
      <c r="K3903" s="13" t="s">
        <v>5289</v>
      </c>
      <c r="L3903" s="13" t="n">
        <v>7891182018845</v>
      </c>
      <c r="M3903" s="13"/>
      <c r="N3903" s="13" t="n">
        <v>7891182018845</v>
      </c>
      <c r="O3903" s="13"/>
      <c r="P3903" s="13" t="s">
        <v>5291</v>
      </c>
      <c r="Q3903" s="13" t="s">
        <v>5289</v>
      </c>
      <c r="R3903" s="13" t="s">
        <v>5292</v>
      </c>
      <c r="S3903" s="13" t="s">
        <v>5293</v>
      </c>
      <c r="T3903" s="13" t="s">
        <v>5</v>
      </c>
      <c r="U3903" s="13" t="s">
        <v>43</v>
      </c>
      <c r="V3903" s="13" t="n">
        <f aca="false">IF(COUNTIF($B$2:B3903,B3903)=1,1,0)</f>
        <v>0</v>
      </c>
      <c r="W3903" s="13" t="n">
        <f aca="false">IF(COUNTIFS($B$2:B3903,B3903,$T$2:T3903,T3903)=1,1,0)</f>
        <v>0</v>
      </c>
    </row>
    <row r="3904" customFormat="false" ht="15" hidden="false" customHeight="false" outlineLevel="0" collapsed="false">
      <c r="A3904" s="13" t="s">
        <v>5148</v>
      </c>
      <c r="B3904" s="13" t="s">
        <v>2103</v>
      </c>
      <c r="C3904" s="13" t="n">
        <v>110</v>
      </c>
      <c r="D3904" s="13" t="n">
        <v>1</v>
      </c>
      <c r="E3904" s="13" t="n">
        <v>105.5</v>
      </c>
      <c r="F3904" s="13" t="s">
        <v>5325</v>
      </c>
      <c r="G3904" s="13" t="s">
        <v>5292</v>
      </c>
      <c r="H3904" s="13" t="s">
        <v>5289</v>
      </c>
      <c r="I3904" s="13" t="s">
        <v>5289</v>
      </c>
      <c r="J3904" s="13" t="s">
        <v>5289</v>
      </c>
      <c r="K3904" s="13" t="s">
        <v>5289</v>
      </c>
      <c r="L3904" s="13"/>
      <c r="M3904" s="13"/>
      <c r="N3904" s="13" t="n">
        <v>309975424058</v>
      </c>
      <c r="O3904" s="13"/>
      <c r="P3904" s="13" t="s">
        <v>5297</v>
      </c>
      <c r="Q3904" s="13" t="s">
        <v>5289</v>
      </c>
      <c r="R3904" s="13" t="s">
        <v>5292</v>
      </c>
      <c r="S3904" s="13" t="s">
        <v>5293</v>
      </c>
      <c r="T3904" s="13" t="s">
        <v>5</v>
      </c>
      <c r="U3904" s="13" t="s">
        <v>85</v>
      </c>
      <c r="V3904" s="13" t="n">
        <f aca="false">IF(COUNTIF($B$2:B3904,B3904)=1,1,0)</f>
        <v>0</v>
      </c>
      <c r="W3904" s="13" t="n">
        <f aca="false">IF(COUNTIFS($B$2:B3904,B3904,$T$2:T3904,T3904)=1,1,0)</f>
        <v>0</v>
      </c>
    </row>
    <row r="3905" customFormat="false" ht="15" hidden="false" customHeight="false" outlineLevel="0" collapsed="false">
      <c r="A3905" s="13" t="s">
        <v>5162</v>
      </c>
      <c r="B3905" s="13" t="s">
        <v>2194</v>
      </c>
      <c r="C3905" s="13" t="n">
        <v>100</v>
      </c>
      <c r="D3905" s="13" t="n">
        <v>2</v>
      </c>
      <c r="E3905" s="13" t="n">
        <v>52</v>
      </c>
      <c r="F3905" s="13" t="s">
        <v>5288</v>
      </c>
      <c r="G3905" s="13" t="s">
        <v>5292</v>
      </c>
      <c r="H3905" s="13" t="s">
        <v>5289</v>
      </c>
      <c r="I3905" s="13" t="s">
        <v>5292</v>
      </c>
      <c r="J3905" s="13" t="s">
        <v>5289</v>
      </c>
      <c r="K3905" s="13" t="s">
        <v>5289</v>
      </c>
      <c r="L3905" s="13" t="n">
        <v>736532216106</v>
      </c>
      <c r="M3905" s="13"/>
      <c r="N3905" s="13" t="n">
        <v>736532216106</v>
      </c>
      <c r="O3905" s="13"/>
      <c r="P3905" s="13" t="s">
        <v>5297</v>
      </c>
      <c r="Q3905" s="13" t="s">
        <v>5289</v>
      </c>
      <c r="R3905" s="13" t="s">
        <v>5292</v>
      </c>
      <c r="S3905" s="13" t="s">
        <v>5293</v>
      </c>
      <c r="T3905" s="13" t="s">
        <v>5</v>
      </c>
      <c r="U3905" s="13" t="s">
        <v>85</v>
      </c>
      <c r="V3905" s="13" t="n">
        <f aca="false">IF(COUNTIF($B$2:B3905,B3905)=1,1,0)</f>
        <v>0</v>
      </c>
      <c r="W3905" s="13" t="n">
        <f aca="false">IF(COUNTIFS($B$2:B3905,B3905,$T$2:T3905,T3905)=1,1,0)</f>
        <v>0</v>
      </c>
    </row>
    <row r="3906" customFormat="false" ht="15" hidden="false" customHeight="false" outlineLevel="0" collapsed="false">
      <c r="A3906" s="13" t="s">
        <v>5160</v>
      </c>
      <c r="B3906" s="13" t="s">
        <v>2268</v>
      </c>
      <c r="C3906" s="13" t="n">
        <v>100</v>
      </c>
      <c r="D3906" s="13" t="n">
        <v>2</v>
      </c>
      <c r="E3906" s="13" t="n">
        <v>26</v>
      </c>
      <c r="F3906" s="13" t="s">
        <v>5325</v>
      </c>
      <c r="G3906" s="13" t="s">
        <v>5289</v>
      </c>
      <c r="H3906" s="13" t="s">
        <v>5292</v>
      </c>
      <c r="I3906" s="13" t="s">
        <v>5292</v>
      </c>
      <c r="J3906" s="13" t="s">
        <v>5289</v>
      </c>
      <c r="K3906" s="13" t="s">
        <v>5289</v>
      </c>
      <c r="L3906" s="13" t="n">
        <v>7896014072804</v>
      </c>
      <c r="M3906" s="13"/>
      <c r="N3906" s="13" t="n">
        <v>7896014072804</v>
      </c>
      <c r="O3906" s="13"/>
      <c r="P3906" s="13" t="s">
        <v>5297</v>
      </c>
      <c r="Q3906" s="13" t="s">
        <v>5289</v>
      </c>
      <c r="R3906" s="13" t="s">
        <v>5292</v>
      </c>
      <c r="S3906" s="13" t="s">
        <v>5293</v>
      </c>
      <c r="T3906" s="13" t="s">
        <v>5</v>
      </c>
      <c r="U3906" s="13" t="s">
        <v>85</v>
      </c>
      <c r="V3906" s="13" t="n">
        <f aca="false">IF(COUNTIF($B$2:B3906,B3906)=1,1,0)</f>
        <v>0</v>
      </c>
      <c r="W3906" s="13" t="n">
        <f aca="false">IF(COUNTIFS($B$2:B3906,B3906,$T$2:T3906,T3906)=1,1,0)</f>
        <v>0</v>
      </c>
    </row>
    <row r="3907" customFormat="false" ht="15" hidden="false" customHeight="false" outlineLevel="0" collapsed="false">
      <c r="A3907" s="13" t="s">
        <v>5153</v>
      </c>
      <c r="B3907" s="13" t="s">
        <v>2103</v>
      </c>
      <c r="C3907" s="13" t="n">
        <v>100</v>
      </c>
      <c r="D3907" s="13" t="n">
        <v>1</v>
      </c>
      <c r="E3907" s="13" t="n">
        <v>100.85</v>
      </c>
      <c r="F3907" s="13" t="s">
        <v>5288</v>
      </c>
      <c r="G3907" s="13" t="s">
        <v>5292</v>
      </c>
      <c r="H3907" s="13" t="s">
        <v>5289</v>
      </c>
      <c r="I3907" s="13" t="s">
        <v>5289</v>
      </c>
      <c r="J3907" s="13" t="s">
        <v>5289</v>
      </c>
      <c r="K3907" s="13" t="s">
        <v>5292</v>
      </c>
      <c r="L3907" s="13" t="n">
        <v>309970215866</v>
      </c>
      <c r="M3907" s="13"/>
      <c r="N3907" s="13" t="n">
        <v>309970215866</v>
      </c>
      <c r="O3907" s="13"/>
      <c r="P3907" s="13" t="s">
        <v>5291</v>
      </c>
      <c r="Q3907" s="13" t="s">
        <v>5289</v>
      </c>
      <c r="R3907" s="13" t="s">
        <v>5292</v>
      </c>
      <c r="S3907" s="13" t="s">
        <v>5293</v>
      </c>
      <c r="T3907" s="13" t="s">
        <v>5</v>
      </c>
      <c r="U3907" s="13" t="s">
        <v>183</v>
      </c>
      <c r="V3907" s="13" t="n">
        <f aca="false">IF(COUNTIF($B$2:B3907,B3907)=1,1,0)</f>
        <v>0</v>
      </c>
      <c r="W3907" s="13" t="n">
        <f aca="false">IF(COUNTIFS($B$2:B3907,B3907,$T$2:T3907,T3907)=1,1,0)</f>
        <v>0</v>
      </c>
    </row>
    <row r="3908" customFormat="false" ht="15" hidden="false" customHeight="false" outlineLevel="0" collapsed="false">
      <c r="A3908" s="13" t="s">
        <v>5167</v>
      </c>
      <c r="B3908" s="13" t="s">
        <v>2103</v>
      </c>
      <c r="C3908" s="13" t="n">
        <v>100</v>
      </c>
      <c r="D3908" s="13" t="n">
        <v>1</v>
      </c>
      <c r="E3908" s="13" t="n">
        <v>100.68</v>
      </c>
      <c r="F3908" s="13" t="s">
        <v>5325</v>
      </c>
      <c r="G3908" s="13" t="s">
        <v>5292</v>
      </c>
      <c r="H3908" s="13" t="s">
        <v>5292</v>
      </c>
      <c r="I3908" s="13" t="s">
        <v>5289</v>
      </c>
      <c r="J3908" s="13" t="s">
        <v>5289</v>
      </c>
      <c r="K3908" s="13" t="s">
        <v>5289</v>
      </c>
      <c r="L3908" s="13"/>
      <c r="M3908" s="13"/>
      <c r="N3908" s="13" t="n">
        <v>309970215774</v>
      </c>
      <c r="O3908" s="13"/>
      <c r="P3908" s="13" t="s">
        <v>5291</v>
      </c>
      <c r="Q3908" s="13" t="s">
        <v>5289</v>
      </c>
      <c r="R3908" s="13" t="s">
        <v>5292</v>
      </c>
      <c r="S3908" s="13" t="s">
        <v>5293</v>
      </c>
      <c r="T3908" s="13" t="s">
        <v>5</v>
      </c>
      <c r="U3908" s="13" t="s">
        <v>183</v>
      </c>
      <c r="V3908" s="13" t="n">
        <f aca="false">IF(COUNTIF($B$2:B3908,B3908)=1,1,0)</f>
        <v>0</v>
      </c>
      <c r="W3908" s="13" t="n">
        <f aca="false">IF(COUNTIFS($B$2:B3908,B3908,$T$2:T3908,T3908)=1,1,0)</f>
        <v>0</v>
      </c>
    </row>
    <row r="3909" customFormat="false" ht="15" hidden="false" customHeight="false" outlineLevel="0" collapsed="false">
      <c r="A3909" s="13" t="s">
        <v>5165</v>
      </c>
      <c r="B3909" s="13" t="s">
        <v>2194</v>
      </c>
      <c r="C3909" s="13" t="n">
        <v>100</v>
      </c>
      <c r="D3909" s="13" t="n">
        <v>2</v>
      </c>
      <c r="E3909" s="13" t="n">
        <v>50.2</v>
      </c>
      <c r="F3909" s="13" t="s">
        <v>5288</v>
      </c>
      <c r="G3909" s="13" t="s">
        <v>5292</v>
      </c>
      <c r="H3909" s="13" t="s">
        <v>5289</v>
      </c>
      <c r="I3909" s="13" t="s">
        <v>5292</v>
      </c>
      <c r="J3909" s="13" t="s">
        <v>5289</v>
      </c>
      <c r="K3909" s="13" t="s">
        <v>5289</v>
      </c>
      <c r="L3909" s="13" t="n">
        <v>736532217356</v>
      </c>
      <c r="M3909" s="13"/>
      <c r="N3909" s="13" t="n">
        <v>736532217356</v>
      </c>
      <c r="O3909" s="13"/>
      <c r="P3909" s="13" t="s">
        <v>5297</v>
      </c>
      <c r="Q3909" s="13" t="s">
        <v>5289</v>
      </c>
      <c r="R3909" s="13" t="s">
        <v>5292</v>
      </c>
      <c r="S3909" s="13" t="s">
        <v>5293</v>
      </c>
      <c r="T3909" s="13" t="s">
        <v>5</v>
      </c>
      <c r="U3909" s="13" t="s">
        <v>183</v>
      </c>
      <c r="V3909" s="13" t="n">
        <f aca="false">IF(COUNTIF($B$2:B3909,B3909)=1,1,0)</f>
        <v>0</v>
      </c>
      <c r="W3909" s="13" t="n">
        <f aca="false">IF(COUNTIFS($B$2:B3909,B3909,$T$2:T3909,T3909)=1,1,0)</f>
        <v>0</v>
      </c>
    </row>
    <row r="3910" customFormat="false" ht="15" hidden="false" customHeight="false" outlineLevel="0" collapsed="false">
      <c r="A3910" s="13" t="s">
        <v>6423</v>
      </c>
      <c r="B3910" s="13" t="s">
        <v>2103</v>
      </c>
      <c r="C3910" s="13" t="n">
        <v>100</v>
      </c>
      <c r="D3910" s="13" t="n">
        <v>1</v>
      </c>
      <c r="E3910" s="13" t="n">
        <v>99.9</v>
      </c>
      <c r="F3910" s="13" t="s">
        <v>5325</v>
      </c>
      <c r="G3910" s="13" t="s">
        <v>5292</v>
      </c>
      <c r="H3910" s="13" t="s">
        <v>5292</v>
      </c>
      <c r="I3910" s="13" t="s">
        <v>5289</v>
      </c>
      <c r="J3910" s="13" t="s">
        <v>5289</v>
      </c>
      <c r="K3910" s="13" t="s">
        <v>5289</v>
      </c>
      <c r="L3910" s="13" t="n">
        <v>309975424034</v>
      </c>
      <c r="M3910" s="13"/>
      <c r="N3910" s="13" t="n">
        <v>309975424034</v>
      </c>
      <c r="O3910" s="13"/>
      <c r="P3910" s="13" t="s">
        <v>5291</v>
      </c>
      <c r="Q3910" s="13" t="s">
        <v>5289</v>
      </c>
      <c r="R3910" s="13" t="s">
        <v>5292</v>
      </c>
      <c r="S3910" s="13" t="s">
        <v>5293</v>
      </c>
      <c r="T3910" s="13" t="s">
        <v>5</v>
      </c>
      <c r="U3910" s="13" t="s">
        <v>85</v>
      </c>
      <c r="V3910" s="13" t="n">
        <f aca="false">IF(COUNTIF($B$2:B3910,B3910)=1,1,0)</f>
        <v>0</v>
      </c>
      <c r="W3910" s="13" t="n">
        <f aca="false">IF(COUNTIFS($B$2:B3910,B3910,$T$2:T3910,T3910)=1,1,0)</f>
        <v>0</v>
      </c>
    </row>
    <row r="3911" customFormat="false" ht="15" hidden="false" customHeight="false" outlineLevel="0" collapsed="false">
      <c r="A3911" s="13" t="s">
        <v>2059</v>
      </c>
      <c r="B3911" s="13" t="s">
        <v>121</v>
      </c>
      <c r="C3911" s="13" t="n">
        <v>100</v>
      </c>
      <c r="D3911" s="13" t="n">
        <v>1</v>
      </c>
      <c r="E3911" s="13" t="n">
        <v>99.9</v>
      </c>
      <c r="F3911" s="13" t="s">
        <v>5288</v>
      </c>
      <c r="G3911" s="13" t="s">
        <v>5289</v>
      </c>
      <c r="H3911" s="13" t="s">
        <v>5292</v>
      </c>
      <c r="I3911" s="13" t="s">
        <v>5289</v>
      </c>
      <c r="J3911" s="13" t="s">
        <v>5289</v>
      </c>
      <c r="K3911" s="13" t="s">
        <v>5289</v>
      </c>
      <c r="L3911" s="13" t="n">
        <v>7896086927019</v>
      </c>
      <c r="M3911" s="13"/>
      <c r="N3911" s="13" t="n">
        <v>7896086927019</v>
      </c>
      <c r="O3911" s="13"/>
      <c r="P3911" s="13" t="s">
        <v>5291</v>
      </c>
      <c r="Q3911" s="13" t="s">
        <v>5289</v>
      </c>
      <c r="R3911" s="13" t="s">
        <v>5292</v>
      </c>
      <c r="S3911" s="13" t="s">
        <v>5293</v>
      </c>
      <c r="T3911" s="13" t="s">
        <v>5</v>
      </c>
      <c r="U3911" s="13" t="s">
        <v>43</v>
      </c>
      <c r="V3911" s="13" t="n">
        <f aca="false">IF(COUNTIF($B$2:B3911,B3911)=1,1,0)</f>
        <v>0</v>
      </c>
      <c r="W3911" s="13" t="n">
        <f aca="false">IF(COUNTIFS($B$2:B3911,B3911,$T$2:T3911,T3911)=1,1,0)</f>
        <v>0</v>
      </c>
    </row>
    <row r="3912" customFormat="false" ht="15" hidden="false" customHeight="false" outlineLevel="0" collapsed="false">
      <c r="A3912" s="13" t="s">
        <v>5129</v>
      </c>
      <c r="B3912" s="13" t="s">
        <v>2268</v>
      </c>
      <c r="C3912" s="13" t="n">
        <v>100</v>
      </c>
      <c r="D3912" s="13" t="n">
        <v>5</v>
      </c>
      <c r="E3912" s="13" t="n">
        <v>19.88</v>
      </c>
      <c r="F3912" s="13" t="s">
        <v>5288</v>
      </c>
      <c r="G3912" s="13" t="s">
        <v>5289</v>
      </c>
      <c r="H3912" s="13" t="s">
        <v>5292</v>
      </c>
      <c r="I3912" s="13" t="s">
        <v>5292</v>
      </c>
      <c r="J3912" s="13" t="s">
        <v>5289</v>
      </c>
      <c r="K3912" s="13" t="s">
        <v>5289</v>
      </c>
      <c r="L3912" s="13" t="n">
        <v>7896014080403</v>
      </c>
      <c r="M3912" s="13"/>
      <c r="N3912" s="13" t="n">
        <v>7896014080403</v>
      </c>
      <c r="O3912" s="13"/>
      <c r="P3912" s="13" t="s">
        <v>5291</v>
      </c>
      <c r="Q3912" s="13" t="s">
        <v>5289</v>
      </c>
      <c r="R3912" s="13" t="s">
        <v>5292</v>
      </c>
      <c r="S3912" s="13" t="s">
        <v>5293</v>
      </c>
      <c r="T3912" s="13" t="s">
        <v>5</v>
      </c>
      <c r="U3912" s="13" t="s">
        <v>85</v>
      </c>
      <c r="V3912" s="13" t="n">
        <f aca="false">IF(COUNTIF($B$2:B3912,B3912)=1,1,0)</f>
        <v>0</v>
      </c>
      <c r="W3912" s="13" t="n">
        <f aca="false">IF(COUNTIFS($B$2:B3912,B3912,$T$2:T3912,T3912)=1,1,0)</f>
        <v>0</v>
      </c>
    </row>
    <row r="3913" customFormat="false" ht="15" hidden="false" customHeight="false" outlineLevel="0" collapsed="false">
      <c r="A3913" s="13" t="s">
        <v>5155</v>
      </c>
      <c r="B3913" s="13" t="s">
        <v>2194</v>
      </c>
      <c r="C3913" s="13" t="n">
        <v>100</v>
      </c>
      <c r="D3913" s="13" t="n">
        <v>1</v>
      </c>
      <c r="E3913" s="13" t="n">
        <v>98.85</v>
      </c>
      <c r="F3913" s="13" t="s">
        <v>5325</v>
      </c>
      <c r="G3913" s="13" t="s">
        <v>5292</v>
      </c>
      <c r="H3913" s="13" t="s">
        <v>5292</v>
      </c>
      <c r="I3913" s="13" t="s">
        <v>5289</v>
      </c>
      <c r="J3913" s="13" t="s">
        <v>5289</v>
      </c>
      <c r="K3913" s="13" t="s">
        <v>5292</v>
      </c>
      <c r="L3913" s="13" t="n">
        <v>7908725503383</v>
      </c>
      <c r="M3913" s="13"/>
      <c r="N3913" s="13" t="n">
        <v>7908725503383</v>
      </c>
      <c r="O3913" s="13"/>
      <c r="P3913" s="13" t="s">
        <v>5291</v>
      </c>
      <c r="Q3913" s="13" t="s">
        <v>5289</v>
      </c>
      <c r="R3913" s="13" t="s">
        <v>5292</v>
      </c>
      <c r="S3913" s="13" t="s">
        <v>5293</v>
      </c>
      <c r="T3913" s="13" t="s">
        <v>5</v>
      </c>
      <c r="U3913" s="13" t="s">
        <v>85</v>
      </c>
      <c r="V3913" s="13" t="n">
        <f aca="false">IF(COUNTIF($B$2:B3913,B3913)=1,1,0)</f>
        <v>0</v>
      </c>
      <c r="W3913" s="13" t="n">
        <f aca="false">IF(COUNTIFS($B$2:B3913,B3913,$T$2:T3913,T3913)=1,1,0)</f>
        <v>0</v>
      </c>
    </row>
    <row r="3914" customFormat="false" ht="15" hidden="false" customHeight="false" outlineLevel="0" collapsed="false">
      <c r="A3914" s="13" t="s">
        <v>2060</v>
      </c>
      <c r="B3914" s="13" t="s">
        <v>107</v>
      </c>
      <c r="C3914" s="13" t="n">
        <v>100</v>
      </c>
      <c r="D3914" s="13" t="n">
        <v>2</v>
      </c>
      <c r="E3914" s="13" t="n">
        <v>32.85</v>
      </c>
      <c r="F3914" s="13" t="s">
        <v>5288</v>
      </c>
      <c r="G3914" s="13" t="s">
        <v>5292</v>
      </c>
      <c r="H3914" s="13" t="s">
        <v>5292</v>
      </c>
      <c r="I3914" s="13" t="s">
        <v>5292</v>
      </c>
      <c r="J3914" s="13" t="s">
        <v>5289</v>
      </c>
      <c r="K3914" s="13" t="s">
        <v>5292</v>
      </c>
      <c r="L3914" s="13" t="n">
        <v>7891182019842</v>
      </c>
      <c r="M3914" s="13"/>
      <c r="N3914" s="13" t="n">
        <v>7891182019842</v>
      </c>
      <c r="O3914" s="13"/>
      <c r="P3914" s="13" t="s">
        <v>5291</v>
      </c>
      <c r="Q3914" s="13" t="s">
        <v>5289</v>
      </c>
      <c r="R3914" s="13" t="s">
        <v>5292</v>
      </c>
      <c r="S3914" s="13" t="s">
        <v>5293</v>
      </c>
      <c r="T3914" s="13" t="s">
        <v>5</v>
      </c>
      <c r="U3914" s="13" t="s">
        <v>43</v>
      </c>
      <c r="V3914" s="13" t="n">
        <f aca="false">IF(COUNTIF($B$2:B3914,B3914)=1,1,0)</f>
        <v>0</v>
      </c>
      <c r="W3914" s="13" t="n">
        <f aca="false">IF(COUNTIFS($B$2:B3914,B3914,$T$2:T3914,T3914)=1,1,0)</f>
        <v>0</v>
      </c>
    </row>
    <row r="3915" customFormat="false" ht="15" hidden="false" customHeight="false" outlineLevel="0" collapsed="false">
      <c r="A3915" s="13" t="s">
        <v>3014</v>
      </c>
      <c r="B3915" s="13" t="s">
        <v>2103</v>
      </c>
      <c r="C3915" s="13" t="n">
        <v>100</v>
      </c>
      <c r="D3915" s="13" t="n">
        <v>1</v>
      </c>
      <c r="E3915" s="13" t="n">
        <v>97.9</v>
      </c>
      <c r="F3915" s="13" t="s">
        <v>5325</v>
      </c>
      <c r="G3915" s="13" t="s">
        <v>5292</v>
      </c>
      <c r="H3915" s="13" t="s">
        <v>5289</v>
      </c>
      <c r="I3915" s="13" t="s">
        <v>5289</v>
      </c>
      <c r="J3915" s="13" t="s">
        <v>5289</v>
      </c>
      <c r="K3915" s="13" t="s">
        <v>5289</v>
      </c>
      <c r="L3915" s="13" t="n">
        <v>309974700085</v>
      </c>
      <c r="M3915" s="13"/>
      <c r="N3915" s="13" t="n">
        <v>309974700085</v>
      </c>
      <c r="O3915" s="13"/>
      <c r="P3915" s="13" t="s">
        <v>5291</v>
      </c>
      <c r="Q3915" s="13" t="s">
        <v>5289</v>
      </c>
      <c r="R3915" s="13" t="s">
        <v>5292</v>
      </c>
      <c r="S3915" s="13" t="s">
        <v>5293</v>
      </c>
      <c r="T3915" s="13" t="s">
        <v>5</v>
      </c>
      <c r="U3915" s="13" t="s">
        <v>85</v>
      </c>
      <c r="V3915" s="13" t="n">
        <f aca="false">IF(COUNTIF($B$2:B3915,B3915)=1,1,0)</f>
        <v>0</v>
      </c>
      <c r="W3915" s="13" t="n">
        <f aca="false">IF(COUNTIFS($B$2:B3915,B3915,$T$2:T3915,T3915)=1,1,0)</f>
        <v>0</v>
      </c>
    </row>
    <row r="3916" customFormat="false" ht="15" hidden="false" customHeight="false" outlineLevel="0" collapsed="false">
      <c r="A3916" s="13" t="s">
        <v>5170</v>
      </c>
      <c r="B3916" s="13" t="s">
        <v>2194</v>
      </c>
      <c r="C3916" s="13" t="n">
        <v>100</v>
      </c>
      <c r="D3916" s="13" t="n">
        <v>2</v>
      </c>
      <c r="E3916" s="13" t="n">
        <v>48.49</v>
      </c>
      <c r="F3916" s="13" t="s">
        <v>5288</v>
      </c>
      <c r="G3916" s="13" t="s">
        <v>5292</v>
      </c>
      <c r="H3916" s="13" t="s">
        <v>5289</v>
      </c>
      <c r="I3916" s="13" t="s">
        <v>5292</v>
      </c>
      <c r="J3916" s="13" t="s">
        <v>5289</v>
      </c>
      <c r="K3916" s="13" t="s">
        <v>5289</v>
      </c>
      <c r="L3916" s="13" t="n">
        <v>7898576397869</v>
      </c>
      <c r="M3916" s="13"/>
      <c r="N3916" s="13" t="n">
        <v>7898576397869</v>
      </c>
      <c r="O3916" s="13"/>
      <c r="P3916" s="13" t="s">
        <v>5297</v>
      </c>
      <c r="Q3916" s="13" t="s">
        <v>5289</v>
      </c>
      <c r="R3916" s="13" t="s">
        <v>5292</v>
      </c>
      <c r="S3916" s="13" t="s">
        <v>5293</v>
      </c>
      <c r="T3916" s="13" t="s">
        <v>5</v>
      </c>
      <c r="U3916" s="13" t="s">
        <v>85</v>
      </c>
      <c r="V3916" s="13" t="n">
        <f aca="false">IF(COUNTIF($B$2:B3916,B3916)=1,1,0)</f>
        <v>0</v>
      </c>
      <c r="W3916" s="13" t="n">
        <f aca="false">IF(COUNTIFS($B$2:B3916,B3916,$T$2:T3916,T3916)=1,1,0)</f>
        <v>0</v>
      </c>
    </row>
    <row r="3917" customFormat="false" ht="15" hidden="false" customHeight="false" outlineLevel="0" collapsed="false">
      <c r="A3917" s="13" t="s">
        <v>5157</v>
      </c>
      <c r="B3917" s="13" t="s">
        <v>2164</v>
      </c>
      <c r="C3917" s="13" t="n">
        <v>100</v>
      </c>
      <c r="D3917" s="13" t="n">
        <v>1</v>
      </c>
      <c r="E3917" s="13" t="n">
        <v>96.85</v>
      </c>
      <c r="F3917" s="13" t="s">
        <v>5288</v>
      </c>
      <c r="G3917" s="13" t="s">
        <v>5289</v>
      </c>
      <c r="H3917" s="13" t="s">
        <v>5292</v>
      </c>
      <c r="I3917" s="13" t="s">
        <v>5289</v>
      </c>
      <c r="J3917" s="13" t="s">
        <v>5289</v>
      </c>
      <c r="K3917" s="13" t="s">
        <v>5289</v>
      </c>
      <c r="L3917" s="13" t="n">
        <v>3616306128170</v>
      </c>
      <c r="M3917" s="13"/>
      <c r="N3917" s="13" t="n">
        <v>3616306128170</v>
      </c>
      <c r="O3917" s="13"/>
      <c r="P3917" s="13" t="s">
        <v>5297</v>
      </c>
      <c r="Q3917" s="13" t="s">
        <v>5289</v>
      </c>
      <c r="R3917" s="13" t="s">
        <v>5292</v>
      </c>
      <c r="S3917" s="13" t="s">
        <v>5293</v>
      </c>
      <c r="T3917" s="13" t="s">
        <v>5</v>
      </c>
      <c r="U3917" s="13" t="s">
        <v>85</v>
      </c>
      <c r="V3917" s="13" t="n">
        <f aca="false">IF(COUNTIF($B$2:B3917,B3917)=1,1,0)</f>
        <v>0</v>
      </c>
      <c r="W3917" s="13" t="n">
        <f aca="false">IF(COUNTIFS($B$2:B3917,B3917,$T$2:T3917,T3917)=1,1,0)</f>
        <v>0</v>
      </c>
    </row>
    <row r="3918" customFormat="false" ht="15" hidden="false" customHeight="false" outlineLevel="0" collapsed="false">
      <c r="A3918" s="13" t="s">
        <v>3861</v>
      </c>
      <c r="B3918" s="13" t="s">
        <v>2267</v>
      </c>
      <c r="C3918" s="13" t="n">
        <v>100</v>
      </c>
      <c r="D3918" s="13" t="n">
        <v>1</v>
      </c>
      <c r="E3918" s="13" t="n">
        <v>96.75</v>
      </c>
      <c r="F3918" s="13" t="s">
        <v>5325</v>
      </c>
      <c r="G3918" s="13" t="s">
        <v>5289</v>
      </c>
      <c r="H3918" s="13" t="s">
        <v>5292</v>
      </c>
      <c r="I3918" s="13" t="s">
        <v>5289</v>
      </c>
      <c r="J3918" s="13" t="s">
        <v>5289</v>
      </c>
      <c r="K3918" s="13" t="s">
        <v>5289</v>
      </c>
      <c r="L3918" s="13" t="n">
        <v>3616305629418</v>
      </c>
      <c r="M3918" s="13"/>
      <c r="N3918" s="13" t="n">
        <v>3616305629418</v>
      </c>
      <c r="O3918" s="13"/>
      <c r="P3918" s="13" t="s">
        <v>5291</v>
      </c>
      <c r="Q3918" s="13" t="s">
        <v>5289</v>
      </c>
      <c r="R3918" s="13" t="s">
        <v>5292</v>
      </c>
      <c r="S3918" s="13" t="s">
        <v>5293</v>
      </c>
      <c r="T3918" s="13" t="s">
        <v>5</v>
      </c>
      <c r="U3918" s="13" t="s">
        <v>43</v>
      </c>
      <c r="V3918" s="13" t="n">
        <f aca="false">IF(COUNTIF($B$2:B3918,B3918)=1,1,0)</f>
        <v>0</v>
      </c>
      <c r="W3918" s="13" t="n">
        <f aca="false">IF(COUNTIFS($B$2:B3918,B3918,$T$2:T3918,T3918)=1,1,0)</f>
        <v>0</v>
      </c>
    </row>
    <row r="3919" customFormat="false" ht="15" hidden="false" customHeight="false" outlineLevel="0" collapsed="false">
      <c r="A3919" s="13" t="s">
        <v>5173</v>
      </c>
      <c r="B3919" s="13" t="s">
        <v>2103</v>
      </c>
      <c r="C3919" s="13" t="n">
        <v>100</v>
      </c>
      <c r="D3919" s="13" t="n">
        <v>1</v>
      </c>
      <c r="E3919" s="13" t="n">
        <v>95.88</v>
      </c>
      <c r="F3919" s="13" t="s">
        <v>5325</v>
      </c>
      <c r="G3919" s="13" t="s">
        <v>5289</v>
      </c>
      <c r="H3919" s="13" t="s">
        <v>5292</v>
      </c>
      <c r="I3919" s="13" t="s">
        <v>5289</v>
      </c>
      <c r="J3919" s="13" t="s">
        <v>5289</v>
      </c>
      <c r="K3919" s="13" t="s">
        <v>5289</v>
      </c>
      <c r="L3919" s="13" t="n">
        <v>309970050375</v>
      </c>
      <c r="M3919" s="13"/>
      <c r="N3919" s="13" t="n">
        <v>309970050375</v>
      </c>
      <c r="O3919" s="13"/>
      <c r="P3919" s="13" t="s">
        <v>5297</v>
      </c>
      <c r="Q3919" s="13" t="s">
        <v>5289</v>
      </c>
      <c r="R3919" s="13" t="s">
        <v>5292</v>
      </c>
      <c r="S3919" s="13" t="s">
        <v>5293</v>
      </c>
      <c r="T3919" s="13" t="s">
        <v>5</v>
      </c>
      <c r="U3919" s="13" t="s">
        <v>85</v>
      </c>
      <c r="V3919" s="13" t="n">
        <f aca="false">IF(COUNTIF($B$2:B3919,B3919)=1,1,0)</f>
        <v>0</v>
      </c>
      <c r="W3919" s="13" t="n">
        <f aca="false">IF(COUNTIFS($B$2:B3919,B3919,$T$2:T3919,T3919)=1,1,0)</f>
        <v>0</v>
      </c>
    </row>
    <row r="3920" customFormat="false" ht="15" hidden="false" customHeight="false" outlineLevel="0" collapsed="false">
      <c r="A3920" s="13" t="s">
        <v>2057</v>
      </c>
      <c r="B3920" s="13" t="s">
        <v>155</v>
      </c>
      <c r="C3920" s="13" t="n">
        <v>100</v>
      </c>
      <c r="D3920" s="13" t="n">
        <v>1</v>
      </c>
      <c r="E3920" s="13" t="n">
        <v>95.29</v>
      </c>
      <c r="F3920" s="13" t="s">
        <v>5288</v>
      </c>
      <c r="G3920" s="13" t="s">
        <v>5289</v>
      </c>
      <c r="H3920" s="13" t="s">
        <v>5289</v>
      </c>
      <c r="I3920" s="13" t="s">
        <v>5289</v>
      </c>
      <c r="J3920" s="13" t="s">
        <v>5289</v>
      </c>
      <c r="K3920" s="13" t="s">
        <v>5289</v>
      </c>
      <c r="L3920" s="13" t="n">
        <v>8005610325538</v>
      </c>
      <c r="M3920" s="13"/>
      <c r="N3920" s="13" t="n">
        <v>8005610325538</v>
      </c>
      <c r="O3920" s="13"/>
      <c r="P3920" s="13" t="s">
        <v>5291</v>
      </c>
      <c r="Q3920" s="13" t="s">
        <v>5289</v>
      </c>
      <c r="R3920" s="13" t="s">
        <v>5292</v>
      </c>
      <c r="S3920" s="13" t="s">
        <v>5293</v>
      </c>
      <c r="T3920" s="13" t="s">
        <v>5</v>
      </c>
      <c r="U3920" s="13" t="s">
        <v>43</v>
      </c>
      <c r="V3920" s="13" t="n">
        <f aca="false">IF(COUNTIF($B$2:B3920,B3920)=1,1,0)</f>
        <v>0</v>
      </c>
      <c r="W3920" s="13" t="n">
        <f aca="false">IF(COUNTIFS($B$2:B3920,B3920,$T$2:T3920,T3920)=1,1,0)</f>
        <v>0</v>
      </c>
    </row>
    <row r="3921" customFormat="false" ht="15" hidden="false" customHeight="false" outlineLevel="0" collapsed="false">
      <c r="A3921" s="13" t="s">
        <v>2058</v>
      </c>
      <c r="B3921" s="13" t="s">
        <v>121</v>
      </c>
      <c r="C3921" s="13" t="n">
        <v>100</v>
      </c>
      <c r="D3921" s="13" t="n">
        <v>1</v>
      </c>
      <c r="E3921" s="13" t="n">
        <v>95</v>
      </c>
      <c r="F3921" s="13" t="s">
        <v>5325</v>
      </c>
      <c r="G3921" s="13" t="s">
        <v>5292</v>
      </c>
      <c r="H3921" s="13" t="s">
        <v>5289</v>
      </c>
      <c r="I3921" s="13" t="s">
        <v>5289</v>
      </c>
      <c r="J3921" s="13" t="s">
        <v>5289</v>
      </c>
      <c r="K3921" s="13" t="s">
        <v>5289</v>
      </c>
      <c r="L3921" s="13"/>
      <c r="M3921" s="13"/>
      <c r="N3921" s="13" t="n">
        <v>7896086992642</v>
      </c>
      <c r="O3921" s="13"/>
      <c r="P3921" s="13" t="s">
        <v>5291</v>
      </c>
      <c r="Q3921" s="13" t="s">
        <v>5289</v>
      </c>
      <c r="R3921" s="13" t="s">
        <v>5292</v>
      </c>
      <c r="S3921" s="13" t="s">
        <v>5293</v>
      </c>
      <c r="T3921" s="13" t="s">
        <v>5</v>
      </c>
      <c r="U3921" s="13" t="s">
        <v>183</v>
      </c>
      <c r="V3921" s="13" t="n">
        <f aca="false">IF(COUNTIF($B$2:B3921,B3921)=1,1,0)</f>
        <v>0</v>
      </c>
      <c r="W3921" s="13" t="n">
        <f aca="false">IF(COUNTIFS($B$2:B3921,B3921,$T$2:T3921,T3921)=1,1,0)</f>
        <v>0</v>
      </c>
    </row>
    <row r="3922" customFormat="false" ht="15" hidden="false" customHeight="false" outlineLevel="0" collapsed="false">
      <c r="A3922" s="13" t="s">
        <v>2062</v>
      </c>
      <c r="B3922" s="13" t="s">
        <v>121</v>
      </c>
      <c r="C3922" s="13" t="n">
        <v>90</v>
      </c>
      <c r="D3922" s="13" t="n">
        <v>1</v>
      </c>
      <c r="E3922" s="13" t="n">
        <v>94.99</v>
      </c>
      <c r="F3922" s="13" t="s">
        <v>5325</v>
      </c>
      <c r="G3922" s="13" t="s">
        <v>5289</v>
      </c>
      <c r="H3922" s="13" t="s">
        <v>5292</v>
      </c>
      <c r="I3922" s="13" t="s">
        <v>5289</v>
      </c>
      <c r="J3922" s="13" t="s">
        <v>5289</v>
      </c>
      <c r="K3922" s="13" t="s">
        <v>5292</v>
      </c>
      <c r="L3922" s="13" t="n">
        <v>7896086939517</v>
      </c>
      <c r="M3922" s="13"/>
      <c r="N3922" s="13" t="n">
        <v>7896086939517</v>
      </c>
      <c r="O3922" s="13"/>
      <c r="P3922" s="13" t="s">
        <v>5291</v>
      </c>
      <c r="Q3922" s="13" t="s">
        <v>5289</v>
      </c>
      <c r="R3922" s="13" t="s">
        <v>5292</v>
      </c>
      <c r="S3922" s="13" t="s">
        <v>5293</v>
      </c>
      <c r="T3922" s="13" t="s">
        <v>5</v>
      </c>
      <c r="U3922" s="13" t="s">
        <v>43</v>
      </c>
      <c r="V3922" s="13" t="n">
        <f aca="false">IF(COUNTIF($B$2:B3922,B3922)=1,1,0)</f>
        <v>0</v>
      </c>
      <c r="W3922" s="13" t="n">
        <f aca="false">IF(COUNTIFS($B$2:B3922,B3922,$T$2:T3922,T3922)=1,1,0)</f>
        <v>0</v>
      </c>
    </row>
    <row r="3923" customFormat="false" ht="15" hidden="false" customHeight="false" outlineLevel="0" collapsed="false">
      <c r="A3923" s="13" t="s">
        <v>5185</v>
      </c>
      <c r="B3923" s="13" t="s">
        <v>2155</v>
      </c>
      <c r="C3923" s="13" t="n">
        <v>90</v>
      </c>
      <c r="D3923" s="13" t="n">
        <v>1</v>
      </c>
      <c r="E3923" s="13" t="n">
        <v>93.96</v>
      </c>
      <c r="F3923" s="13" t="s">
        <v>5325</v>
      </c>
      <c r="G3923" s="13" t="s">
        <v>5292</v>
      </c>
      <c r="H3923" s="13" t="s">
        <v>5289</v>
      </c>
      <c r="I3923" s="13" t="s">
        <v>5289</v>
      </c>
      <c r="J3923" s="13" t="s">
        <v>5289</v>
      </c>
      <c r="K3923" s="13" t="s">
        <v>5289</v>
      </c>
      <c r="L3923" s="13"/>
      <c r="M3923" s="13"/>
      <c r="N3923" s="13" t="n">
        <v>5060926685472</v>
      </c>
      <c r="O3923" s="13"/>
      <c r="P3923" s="13" t="s">
        <v>5291</v>
      </c>
      <c r="Q3923" s="13" t="s">
        <v>5289</v>
      </c>
      <c r="R3923" s="13" t="s">
        <v>5292</v>
      </c>
      <c r="S3923" s="13" t="s">
        <v>5293</v>
      </c>
      <c r="T3923" s="13" t="s">
        <v>5</v>
      </c>
      <c r="U3923" s="13" t="s">
        <v>85</v>
      </c>
      <c r="V3923" s="13" t="n">
        <f aca="false">IF(COUNTIF($B$2:B3923,B3923)=1,1,0)</f>
        <v>0</v>
      </c>
      <c r="W3923" s="13" t="n">
        <f aca="false">IF(COUNTIFS($B$2:B3923,B3923,$T$2:T3923,T3923)=1,1,0)</f>
        <v>0</v>
      </c>
    </row>
    <row r="3924" customFormat="false" ht="15" hidden="false" customHeight="false" outlineLevel="0" collapsed="false">
      <c r="A3924" s="13" t="s">
        <v>5181</v>
      </c>
      <c r="B3924" s="13" t="s">
        <v>2194</v>
      </c>
      <c r="C3924" s="13" t="n">
        <v>90</v>
      </c>
      <c r="D3924" s="13" t="n">
        <v>1</v>
      </c>
      <c r="E3924" s="13" t="n">
        <v>93.9</v>
      </c>
      <c r="F3924" s="13" t="s">
        <v>5288</v>
      </c>
      <c r="G3924" s="13" t="s">
        <v>5292</v>
      </c>
      <c r="H3924" s="13" t="s">
        <v>5289</v>
      </c>
      <c r="I3924" s="13" t="s">
        <v>5289</v>
      </c>
      <c r="J3924" s="13" t="s">
        <v>5289</v>
      </c>
      <c r="K3924" s="13" t="s">
        <v>5289</v>
      </c>
      <c r="L3924" s="13"/>
      <c r="M3924" s="13"/>
      <c r="N3924" s="13" t="n">
        <v>7908725500443</v>
      </c>
      <c r="O3924" s="13"/>
      <c r="P3924" s="13" t="s">
        <v>5291</v>
      </c>
      <c r="Q3924" s="13" t="s">
        <v>5289</v>
      </c>
      <c r="R3924" s="13" t="s">
        <v>5292</v>
      </c>
      <c r="S3924" s="13" t="s">
        <v>5293</v>
      </c>
      <c r="T3924" s="13" t="s">
        <v>5</v>
      </c>
      <c r="U3924" s="13" t="s">
        <v>85</v>
      </c>
      <c r="V3924" s="13" t="n">
        <f aca="false">IF(COUNTIF($B$2:B3924,B3924)=1,1,0)</f>
        <v>0</v>
      </c>
      <c r="W3924" s="13" t="n">
        <f aca="false">IF(COUNTIFS($B$2:B3924,B3924,$T$2:T3924,T3924)=1,1,0)</f>
        <v>0</v>
      </c>
    </row>
    <row r="3925" customFormat="false" ht="15" hidden="false" customHeight="false" outlineLevel="0" collapsed="false">
      <c r="A3925" s="13" t="s">
        <v>5098</v>
      </c>
      <c r="B3925" s="13" t="s">
        <v>2268</v>
      </c>
      <c r="C3925" s="13" t="n">
        <v>90</v>
      </c>
      <c r="D3925" s="13" t="n">
        <v>2</v>
      </c>
      <c r="E3925" s="13" t="n">
        <v>29.7</v>
      </c>
      <c r="F3925" s="13" t="s">
        <v>5288</v>
      </c>
      <c r="G3925" s="13" t="s">
        <v>5289</v>
      </c>
      <c r="H3925" s="13" t="s">
        <v>5289</v>
      </c>
      <c r="I3925" s="13" t="s">
        <v>5292</v>
      </c>
      <c r="J3925" s="13" t="s">
        <v>5289</v>
      </c>
      <c r="K3925" s="13" t="s">
        <v>5289</v>
      </c>
      <c r="L3925" s="13" t="n">
        <v>7896014073009</v>
      </c>
      <c r="M3925" s="13"/>
      <c r="N3925" s="13" t="n">
        <v>7896014073009</v>
      </c>
      <c r="O3925" s="13"/>
      <c r="P3925" s="13" t="s">
        <v>5291</v>
      </c>
      <c r="Q3925" s="13" t="s">
        <v>5289</v>
      </c>
      <c r="R3925" s="13" t="s">
        <v>5292</v>
      </c>
      <c r="S3925" s="13" t="s">
        <v>5293</v>
      </c>
      <c r="T3925" s="13" t="s">
        <v>5</v>
      </c>
      <c r="U3925" s="13" t="s">
        <v>183</v>
      </c>
      <c r="V3925" s="13" t="n">
        <f aca="false">IF(COUNTIF($B$2:B3925,B3925)=1,1,0)</f>
        <v>0</v>
      </c>
      <c r="W3925" s="13" t="n">
        <f aca="false">IF(COUNTIFS($B$2:B3925,B3925,$T$2:T3925,T3925)=1,1,0)</f>
        <v>0</v>
      </c>
    </row>
    <row r="3926" customFormat="false" ht="15" hidden="false" customHeight="false" outlineLevel="0" collapsed="false">
      <c r="A3926" s="13" t="s">
        <v>6424</v>
      </c>
      <c r="B3926" s="13" t="s">
        <v>2127</v>
      </c>
      <c r="C3926" s="13" t="n">
        <v>80</v>
      </c>
      <c r="D3926" s="13" t="n">
        <v>1</v>
      </c>
      <c r="E3926" s="13" t="n">
        <v>84.9</v>
      </c>
      <c r="F3926" s="13" t="s">
        <v>5325</v>
      </c>
      <c r="G3926" s="13" t="s">
        <v>5289</v>
      </c>
      <c r="H3926" s="13" t="s">
        <v>5292</v>
      </c>
      <c r="I3926" s="13" t="s">
        <v>5292</v>
      </c>
      <c r="J3926" s="13" t="s">
        <v>5289</v>
      </c>
      <c r="K3926" s="13" t="s">
        <v>5289</v>
      </c>
      <c r="L3926" s="13" t="n">
        <v>19045108077</v>
      </c>
      <c r="M3926" s="13"/>
      <c r="N3926" s="13" t="n">
        <v>19045108077</v>
      </c>
      <c r="O3926" s="13"/>
      <c r="P3926" s="13" t="s">
        <v>5291</v>
      </c>
      <c r="Q3926" s="13" t="s">
        <v>5289</v>
      </c>
      <c r="R3926" s="13" t="s">
        <v>5292</v>
      </c>
      <c r="S3926" s="13" t="s">
        <v>5293</v>
      </c>
      <c r="T3926" s="13" t="s">
        <v>5</v>
      </c>
      <c r="U3926" s="13" t="s">
        <v>85</v>
      </c>
      <c r="V3926" s="13" t="n">
        <f aca="false">IF(COUNTIF($B$2:B3926,B3926)=1,1,0)</f>
        <v>0</v>
      </c>
      <c r="W3926" s="13" t="n">
        <f aca="false">IF(COUNTIFS($B$2:B3926,B3926,$T$2:T3926,T3926)=1,1,0)</f>
        <v>0</v>
      </c>
    </row>
    <row r="3927" customFormat="false" ht="15" hidden="false" customHeight="false" outlineLevel="0" collapsed="false">
      <c r="A3927" s="13" t="s">
        <v>2062</v>
      </c>
      <c r="B3927" s="13" t="s">
        <v>121</v>
      </c>
      <c r="C3927" s="13" t="n">
        <v>80</v>
      </c>
      <c r="D3927" s="13" t="n">
        <v>1</v>
      </c>
      <c r="E3927" s="13" t="n">
        <v>81.69</v>
      </c>
      <c r="F3927" s="13" t="s">
        <v>5325</v>
      </c>
      <c r="G3927" s="13" t="s">
        <v>5289</v>
      </c>
      <c r="H3927" s="13" t="s">
        <v>5292</v>
      </c>
      <c r="I3927" s="13" t="s">
        <v>5289</v>
      </c>
      <c r="J3927" s="13" t="s">
        <v>5289</v>
      </c>
      <c r="K3927" s="13" t="s">
        <v>5289</v>
      </c>
      <c r="L3927" s="13" t="n">
        <v>7896086939517</v>
      </c>
      <c r="M3927" s="13"/>
      <c r="N3927" s="13" t="n">
        <v>7896086939517</v>
      </c>
      <c r="O3927" s="13"/>
      <c r="P3927" s="13" t="s">
        <v>5291</v>
      </c>
      <c r="Q3927" s="13" t="s">
        <v>5289</v>
      </c>
      <c r="R3927" s="13" t="s">
        <v>5292</v>
      </c>
      <c r="S3927" s="13" t="s">
        <v>5293</v>
      </c>
      <c r="T3927" s="13" t="s">
        <v>5</v>
      </c>
      <c r="U3927" s="13" t="s">
        <v>43</v>
      </c>
      <c r="V3927" s="13" t="n">
        <f aca="false">IF(COUNTIF($B$2:B3927,B3927)=1,1,0)</f>
        <v>0</v>
      </c>
      <c r="W3927" s="13" t="n">
        <f aca="false">IF(COUNTIFS($B$2:B3927,B3927,$T$2:T3927,T3927)=1,1,0)</f>
        <v>0</v>
      </c>
    </row>
    <row r="3928" customFormat="false" ht="15" hidden="false" customHeight="false" outlineLevel="0" collapsed="false">
      <c r="A3928" s="13" t="s">
        <v>2063</v>
      </c>
      <c r="B3928" s="13" t="s">
        <v>121</v>
      </c>
      <c r="C3928" s="13" t="n">
        <v>80</v>
      </c>
      <c r="D3928" s="13" t="n">
        <v>1</v>
      </c>
      <c r="E3928" s="13" t="n">
        <v>79.09</v>
      </c>
      <c r="F3928" s="13" t="s">
        <v>5325</v>
      </c>
      <c r="G3928" s="13" t="s">
        <v>5292</v>
      </c>
      <c r="H3928" s="13" t="s">
        <v>5289</v>
      </c>
      <c r="I3928" s="13" t="s">
        <v>5289</v>
      </c>
      <c r="J3928" s="13" t="s">
        <v>5289</v>
      </c>
      <c r="K3928" s="13" t="s">
        <v>5289</v>
      </c>
      <c r="L3928" s="13"/>
      <c r="M3928" s="13"/>
      <c r="N3928" s="13" t="n">
        <v>7896086956156</v>
      </c>
      <c r="O3928" s="13"/>
      <c r="P3928" s="13" t="s">
        <v>5291</v>
      </c>
      <c r="Q3928" s="13" t="s">
        <v>5289</v>
      </c>
      <c r="R3928" s="13" t="s">
        <v>5292</v>
      </c>
      <c r="S3928" s="13" t="s">
        <v>5293</v>
      </c>
      <c r="T3928" s="13" t="s">
        <v>5</v>
      </c>
      <c r="U3928" s="13" t="s">
        <v>183</v>
      </c>
      <c r="V3928" s="13" t="n">
        <f aca="false">IF(COUNTIF($B$2:B3928,B3928)=1,1,0)</f>
        <v>0</v>
      </c>
      <c r="W3928" s="13" t="n">
        <f aca="false">IF(COUNTIFS($B$2:B3928,B3928,$T$2:T3928,T3928)=1,1,0)</f>
        <v>0</v>
      </c>
    </row>
    <row r="3929" customFormat="false" ht="15" hidden="false" customHeight="false" outlineLevel="0" collapsed="false">
      <c r="A3929" s="13" t="s">
        <v>2063</v>
      </c>
      <c r="B3929" s="13" t="s">
        <v>121</v>
      </c>
      <c r="C3929" s="13" t="n">
        <v>80</v>
      </c>
      <c r="D3929" s="13" t="n">
        <v>1</v>
      </c>
      <c r="E3929" s="13" t="n">
        <v>77.99</v>
      </c>
      <c r="F3929" s="13" t="s">
        <v>5288</v>
      </c>
      <c r="G3929" s="13" t="s">
        <v>5292</v>
      </c>
      <c r="H3929" s="13" t="s">
        <v>5289</v>
      </c>
      <c r="I3929" s="13" t="s">
        <v>5292</v>
      </c>
      <c r="J3929" s="13" t="s">
        <v>5289</v>
      </c>
      <c r="K3929" s="13" t="s">
        <v>5289</v>
      </c>
      <c r="L3929" s="13"/>
      <c r="M3929" s="13"/>
      <c r="N3929" s="13" t="n">
        <v>7896086956156</v>
      </c>
      <c r="O3929" s="13"/>
      <c r="P3929" s="13" t="s">
        <v>5291</v>
      </c>
      <c r="Q3929" s="13" t="s">
        <v>5289</v>
      </c>
      <c r="R3929" s="13" t="s">
        <v>5292</v>
      </c>
      <c r="S3929" s="13" t="s">
        <v>5293</v>
      </c>
      <c r="T3929" s="13" t="s">
        <v>5</v>
      </c>
      <c r="U3929" s="13" t="s">
        <v>183</v>
      </c>
      <c r="V3929" s="13" t="n">
        <f aca="false">IF(COUNTIF($B$2:B3929,B3929)=1,1,0)</f>
        <v>0</v>
      </c>
      <c r="W3929" s="13" t="n">
        <f aca="false">IF(COUNTIFS($B$2:B3929,B3929,$T$2:T3929,T3929)=1,1,0)</f>
        <v>0</v>
      </c>
    </row>
    <row r="3930" customFormat="false" ht="15" hidden="false" customHeight="false" outlineLevel="0" collapsed="false">
      <c r="A3930" s="13" t="s">
        <v>1959</v>
      </c>
      <c r="B3930" s="13" t="s">
        <v>121</v>
      </c>
      <c r="C3930" s="13" t="n">
        <v>80</v>
      </c>
      <c r="D3930" s="13" t="n">
        <v>1</v>
      </c>
      <c r="E3930" s="13" t="n">
        <v>77.85</v>
      </c>
      <c r="F3930" s="13" t="s">
        <v>5325</v>
      </c>
      <c r="G3930" s="13" t="s">
        <v>5289</v>
      </c>
      <c r="H3930" s="13" t="s">
        <v>5289</v>
      </c>
      <c r="I3930" s="13" t="s">
        <v>5292</v>
      </c>
      <c r="J3930" s="13" t="s">
        <v>5289</v>
      </c>
      <c r="K3930" s="13" t="s">
        <v>5292</v>
      </c>
      <c r="L3930" s="13" t="n">
        <v>7896086916303</v>
      </c>
      <c r="M3930" s="13"/>
      <c r="N3930" s="13" t="n">
        <v>7896086916303</v>
      </c>
      <c r="O3930" s="13"/>
      <c r="P3930" s="13" t="s">
        <v>5291</v>
      </c>
      <c r="Q3930" s="13" t="s">
        <v>5289</v>
      </c>
      <c r="R3930" s="13" t="s">
        <v>5292</v>
      </c>
      <c r="S3930" s="13" t="s">
        <v>5293</v>
      </c>
      <c r="T3930" s="13" t="s">
        <v>5</v>
      </c>
      <c r="U3930" s="13" t="s">
        <v>183</v>
      </c>
      <c r="V3930" s="13" t="n">
        <f aca="false">IF(COUNTIF($B$2:B3930,B3930)=1,1,0)</f>
        <v>0</v>
      </c>
      <c r="W3930" s="13" t="n">
        <f aca="false">IF(COUNTIFS($B$2:B3930,B3930,$T$2:T3930,T3930)=1,1,0)</f>
        <v>0</v>
      </c>
    </row>
    <row r="3931" customFormat="false" ht="15" hidden="false" customHeight="false" outlineLevel="0" collapsed="false">
      <c r="A3931" s="13" t="s">
        <v>4659</v>
      </c>
      <c r="B3931" s="13" t="s">
        <v>2103</v>
      </c>
      <c r="C3931" s="13" t="n">
        <v>80</v>
      </c>
      <c r="D3931" s="13" t="n">
        <v>1</v>
      </c>
      <c r="E3931" s="13" t="n">
        <v>77.85</v>
      </c>
      <c r="F3931" s="13" t="s">
        <v>5325</v>
      </c>
      <c r="G3931" s="13" t="s">
        <v>5292</v>
      </c>
      <c r="H3931" s="13" t="s">
        <v>5289</v>
      </c>
      <c r="I3931" s="13" t="s">
        <v>5292</v>
      </c>
      <c r="J3931" s="13" t="s">
        <v>5289</v>
      </c>
      <c r="K3931" s="13" t="s">
        <v>5292</v>
      </c>
      <c r="L3931" s="13"/>
      <c r="M3931" s="13"/>
      <c r="N3931" s="13" t="n">
        <v>309970215828</v>
      </c>
      <c r="O3931" s="13"/>
      <c r="P3931" s="13" t="s">
        <v>5291</v>
      </c>
      <c r="Q3931" s="13" t="s">
        <v>5289</v>
      </c>
      <c r="R3931" s="13" t="s">
        <v>5292</v>
      </c>
      <c r="S3931" s="13" t="s">
        <v>5293</v>
      </c>
      <c r="T3931" s="13" t="s">
        <v>5</v>
      </c>
      <c r="U3931" s="13" t="s">
        <v>183</v>
      </c>
      <c r="V3931" s="13" t="n">
        <f aca="false">IF(COUNTIF($B$2:B3931,B3931)=1,1,0)</f>
        <v>0</v>
      </c>
      <c r="W3931" s="13" t="n">
        <f aca="false">IF(COUNTIFS($B$2:B3931,B3931,$T$2:T3931,T3931)=1,1,0)</f>
        <v>0</v>
      </c>
    </row>
    <row r="3932" customFormat="false" ht="15" hidden="false" customHeight="false" outlineLevel="0" collapsed="false">
      <c r="A3932" s="13" t="s">
        <v>2065</v>
      </c>
      <c r="B3932" s="13" t="s">
        <v>121</v>
      </c>
      <c r="C3932" s="13" t="n">
        <v>80</v>
      </c>
      <c r="D3932" s="13" t="n">
        <v>1</v>
      </c>
      <c r="E3932" s="13" t="n">
        <v>77.5</v>
      </c>
      <c r="F3932" s="13" t="s">
        <v>5288</v>
      </c>
      <c r="G3932" s="13" t="s">
        <v>5292</v>
      </c>
      <c r="H3932" s="13" t="s">
        <v>5292</v>
      </c>
      <c r="I3932" s="13" t="s">
        <v>5289</v>
      </c>
      <c r="J3932" s="13" t="s">
        <v>5289</v>
      </c>
      <c r="K3932" s="13" t="s">
        <v>5289</v>
      </c>
      <c r="L3932" s="13" t="n">
        <v>7896086992178</v>
      </c>
      <c r="M3932" s="13"/>
      <c r="N3932" s="13" t="n">
        <v>7896086992178</v>
      </c>
      <c r="O3932" s="13"/>
      <c r="P3932" s="13" t="s">
        <v>5291</v>
      </c>
      <c r="Q3932" s="13" t="s">
        <v>5289</v>
      </c>
      <c r="R3932" s="13" t="s">
        <v>5292</v>
      </c>
      <c r="S3932" s="13" t="s">
        <v>5293</v>
      </c>
      <c r="T3932" s="13" t="s">
        <v>5</v>
      </c>
      <c r="U3932" s="13" t="s">
        <v>183</v>
      </c>
      <c r="V3932" s="13" t="n">
        <f aca="false">IF(COUNTIF($B$2:B3932,B3932)=1,1,0)</f>
        <v>0</v>
      </c>
      <c r="W3932" s="13" t="n">
        <f aca="false">IF(COUNTIFS($B$2:B3932,B3932,$T$2:T3932,T3932)=1,1,0)</f>
        <v>0</v>
      </c>
    </row>
    <row r="3933" customFormat="false" ht="15" hidden="false" customHeight="false" outlineLevel="0" collapsed="false">
      <c r="A3933" s="13" t="s">
        <v>5196</v>
      </c>
      <c r="B3933" s="13" t="s">
        <v>2100</v>
      </c>
      <c r="C3933" s="13" t="n">
        <v>80</v>
      </c>
      <c r="D3933" s="13" t="n">
        <v>1</v>
      </c>
      <c r="E3933" s="13" t="n">
        <v>76.85</v>
      </c>
      <c r="F3933" s="13" t="s">
        <v>5288</v>
      </c>
      <c r="G3933" s="13" t="s">
        <v>5292</v>
      </c>
      <c r="H3933" s="13" t="s">
        <v>5292</v>
      </c>
      <c r="I3933" s="13" t="s">
        <v>5292</v>
      </c>
      <c r="J3933" s="13" t="s">
        <v>5289</v>
      </c>
      <c r="K3933" s="13" t="s">
        <v>5292</v>
      </c>
      <c r="L3933" s="13" t="n">
        <v>7898410319620</v>
      </c>
      <c r="M3933" s="13"/>
      <c r="N3933" s="13" t="n">
        <v>7898410319620</v>
      </c>
      <c r="O3933" s="13"/>
      <c r="P3933" s="13" t="s">
        <v>5297</v>
      </c>
      <c r="Q3933" s="13" t="s">
        <v>5289</v>
      </c>
      <c r="R3933" s="13" t="s">
        <v>5292</v>
      </c>
      <c r="S3933" s="13" t="s">
        <v>5293</v>
      </c>
      <c r="T3933" s="13" t="s">
        <v>5</v>
      </c>
      <c r="U3933" s="13" t="s">
        <v>85</v>
      </c>
      <c r="V3933" s="13" t="n">
        <f aca="false">IF(COUNTIF($B$2:B3933,B3933)=1,1,0)</f>
        <v>0</v>
      </c>
      <c r="W3933" s="13" t="n">
        <f aca="false">IF(COUNTIFS($B$2:B3933,B3933,$T$2:T3933,T3933)=1,1,0)</f>
        <v>0</v>
      </c>
    </row>
    <row r="3934" customFormat="false" ht="15" hidden="false" customHeight="false" outlineLevel="0" collapsed="false">
      <c r="A3934" s="13" t="s">
        <v>2066</v>
      </c>
      <c r="B3934" s="13" t="s">
        <v>121</v>
      </c>
      <c r="C3934" s="13" t="n">
        <v>80</v>
      </c>
      <c r="D3934" s="13" t="n">
        <v>1</v>
      </c>
      <c r="E3934" s="13" t="n">
        <v>75.92</v>
      </c>
      <c r="F3934" s="13" t="s">
        <v>5325</v>
      </c>
      <c r="G3934" s="13" t="s">
        <v>5289</v>
      </c>
      <c r="H3934" s="13" t="s">
        <v>5292</v>
      </c>
      <c r="I3934" s="13" t="s">
        <v>5289</v>
      </c>
      <c r="J3934" s="13" t="s">
        <v>5289</v>
      </c>
      <c r="K3934" s="13" t="s">
        <v>5289</v>
      </c>
      <c r="L3934" s="13" t="n">
        <v>7896086994943</v>
      </c>
      <c r="M3934" s="13"/>
      <c r="N3934" s="13" t="n">
        <v>7896086994943</v>
      </c>
      <c r="O3934" s="13"/>
      <c r="P3934" s="13" t="s">
        <v>5291</v>
      </c>
      <c r="Q3934" s="13" t="s">
        <v>5289</v>
      </c>
      <c r="R3934" s="13" t="s">
        <v>5292</v>
      </c>
      <c r="S3934" s="13" t="s">
        <v>5293</v>
      </c>
      <c r="T3934" s="13" t="s">
        <v>5</v>
      </c>
      <c r="U3934" s="13" t="s">
        <v>183</v>
      </c>
      <c r="V3934" s="13" t="n">
        <f aca="false">IF(COUNTIF($B$2:B3934,B3934)=1,1,0)</f>
        <v>0</v>
      </c>
      <c r="W3934" s="13" t="n">
        <f aca="false">IF(COUNTIFS($B$2:B3934,B3934,$T$2:T3934,T3934)=1,1,0)</f>
        <v>0</v>
      </c>
    </row>
    <row r="3935" customFormat="false" ht="15" hidden="false" customHeight="false" outlineLevel="0" collapsed="false">
      <c r="A3935" s="13" t="s">
        <v>5094</v>
      </c>
      <c r="B3935" s="13" t="s">
        <v>2200</v>
      </c>
      <c r="C3935" s="13" t="n">
        <v>80</v>
      </c>
      <c r="D3935" s="13" t="n">
        <v>1</v>
      </c>
      <c r="E3935" s="13" t="n">
        <v>75.85</v>
      </c>
      <c r="F3935" s="13" t="s">
        <v>5325</v>
      </c>
      <c r="G3935" s="13" t="s">
        <v>5292</v>
      </c>
      <c r="H3935" s="13" t="s">
        <v>5289</v>
      </c>
      <c r="I3935" s="13" t="s">
        <v>5292</v>
      </c>
      <c r="J3935" s="13" t="s">
        <v>5289</v>
      </c>
      <c r="K3935" s="13" t="s">
        <v>5292</v>
      </c>
      <c r="L3935" s="13"/>
      <c r="M3935" s="13"/>
      <c r="N3935" s="13" t="n">
        <v>7908785404996</v>
      </c>
      <c r="O3935" s="13"/>
      <c r="P3935" s="13" t="s">
        <v>5297</v>
      </c>
      <c r="Q3935" s="13" t="s">
        <v>5289</v>
      </c>
      <c r="R3935" s="13" t="s">
        <v>5292</v>
      </c>
      <c r="S3935" s="13" t="s">
        <v>5293</v>
      </c>
      <c r="T3935" s="13" t="s">
        <v>5</v>
      </c>
      <c r="U3935" s="13" t="s">
        <v>140</v>
      </c>
      <c r="V3935" s="13" t="n">
        <f aca="false">IF(COUNTIF($B$2:B3935,B3935)=1,1,0)</f>
        <v>0</v>
      </c>
      <c r="W3935" s="13" t="n">
        <f aca="false">IF(COUNTIFS($B$2:B3935,B3935,$T$2:T3935,T3935)=1,1,0)</f>
        <v>0</v>
      </c>
    </row>
    <row r="3936" customFormat="false" ht="15" hidden="false" customHeight="false" outlineLevel="0" collapsed="false">
      <c r="A3936" s="13" t="s">
        <v>2070</v>
      </c>
      <c r="B3936" s="13" t="s">
        <v>121</v>
      </c>
      <c r="C3936" s="13" t="n">
        <v>70</v>
      </c>
      <c r="D3936" s="13" t="n">
        <v>1</v>
      </c>
      <c r="E3936" s="13" t="n">
        <v>74.9</v>
      </c>
      <c r="F3936" s="13" t="s">
        <v>5325</v>
      </c>
      <c r="G3936" s="13" t="s">
        <v>5289</v>
      </c>
      <c r="H3936" s="13" t="s">
        <v>5289</v>
      </c>
      <c r="I3936" s="13" t="s">
        <v>5292</v>
      </c>
      <c r="J3936" s="13" t="s">
        <v>5289</v>
      </c>
      <c r="K3936" s="13" t="s">
        <v>5289</v>
      </c>
      <c r="L3936" s="13"/>
      <c r="M3936" s="13"/>
      <c r="N3936" s="13" t="n">
        <v>7896086932174</v>
      </c>
      <c r="O3936" s="13"/>
      <c r="P3936" s="13" t="s">
        <v>5291</v>
      </c>
      <c r="Q3936" s="13" t="s">
        <v>5289</v>
      </c>
      <c r="R3936" s="13" t="s">
        <v>5292</v>
      </c>
      <c r="S3936" s="13" t="s">
        <v>5293</v>
      </c>
      <c r="T3936" s="13" t="s">
        <v>5</v>
      </c>
      <c r="U3936" s="13" t="s">
        <v>183</v>
      </c>
      <c r="V3936" s="13" t="n">
        <f aca="false">IF(COUNTIF($B$2:B3936,B3936)=1,1,0)</f>
        <v>0</v>
      </c>
      <c r="W3936" s="13" t="n">
        <f aca="false">IF(COUNTIFS($B$2:B3936,B3936,$T$2:T3936,T3936)=1,1,0)</f>
        <v>0</v>
      </c>
    </row>
    <row r="3937" customFormat="false" ht="15" hidden="false" customHeight="false" outlineLevel="0" collapsed="false">
      <c r="A3937" s="13" t="s">
        <v>2068</v>
      </c>
      <c r="B3937" s="13" t="s">
        <v>121</v>
      </c>
      <c r="C3937" s="13" t="n">
        <v>70</v>
      </c>
      <c r="D3937" s="13" t="n">
        <v>1</v>
      </c>
      <c r="E3937" s="13" t="n">
        <v>74.85</v>
      </c>
      <c r="F3937" s="13" t="s">
        <v>5288</v>
      </c>
      <c r="G3937" s="13" t="s">
        <v>5289</v>
      </c>
      <c r="H3937" s="13" t="s">
        <v>5292</v>
      </c>
      <c r="I3937" s="13" t="s">
        <v>5292</v>
      </c>
      <c r="J3937" s="13" t="s">
        <v>5289</v>
      </c>
      <c r="K3937" s="13" t="s">
        <v>5292</v>
      </c>
      <c r="L3937" s="13" t="n">
        <v>7896086968807</v>
      </c>
      <c r="M3937" s="13"/>
      <c r="N3937" s="13" t="n">
        <v>7896086996718</v>
      </c>
      <c r="O3937" s="13"/>
      <c r="P3937" s="13" t="s">
        <v>5291</v>
      </c>
      <c r="Q3937" s="13" t="s">
        <v>5289</v>
      </c>
      <c r="R3937" s="13" t="s">
        <v>5292</v>
      </c>
      <c r="S3937" s="13" t="s">
        <v>5293</v>
      </c>
      <c r="T3937" s="13" t="s">
        <v>5</v>
      </c>
      <c r="U3937" s="13" t="s">
        <v>183</v>
      </c>
      <c r="V3937" s="13" t="n">
        <f aca="false">IF(COUNTIF($B$2:B3937,B3937)=1,1,0)</f>
        <v>0</v>
      </c>
      <c r="W3937" s="13" t="n">
        <f aca="false">IF(COUNTIFS($B$2:B3937,B3937,$T$2:T3937,T3937)=1,1,0)</f>
        <v>0</v>
      </c>
    </row>
    <row r="3938" customFormat="false" ht="15" hidden="false" customHeight="false" outlineLevel="0" collapsed="false">
      <c r="A3938" s="13" t="s">
        <v>6425</v>
      </c>
      <c r="B3938" s="13" t="s">
        <v>2103</v>
      </c>
      <c r="C3938" s="13" t="n">
        <v>70</v>
      </c>
      <c r="D3938" s="13" t="n">
        <v>1</v>
      </c>
      <c r="E3938" s="13" t="n">
        <v>73.33</v>
      </c>
      <c r="F3938" s="13" t="s">
        <v>5325</v>
      </c>
      <c r="G3938" s="13" t="s">
        <v>5289</v>
      </c>
      <c r="H3938" s="13" t="s">
        <v>5292</v>
      </c>
      <c r="I3938" s="13" t="s">
        <v>5292</v>
      </c>
      <c r="J3938" s="13" t="s">
        <v>5289</v>
      </c>
      <c r="K3938" s="13" t="s">
        <v>5289</v>
      </c>
      <c r="L3938" s="13" t="n">
        <v>309973212022</v>
      </c>
      <c r="M3938" s="13"/>
      <c r="N3938" s="13" t="n">
        <v>309973212022</v>
      </c>
      <c r="O3938" s="13"/>
      <c r="P3938" s="13" t="s">
        <v>5291</v>
      </c>
      <c r="Q3938" s="13" t="s">
        <v>5289</v>
      </c>
      <c r="R3938" s="13" t="s">
        <v>5292</v>
      </c>
      <c r="S3938" s="13" t="s">
        <v>5293</v>
      </c>
      <c r="T3938" s="13" t="s">
        <v>5</v>
      </c>
      <c r="U3938" s="13" t="s">
        <v>85</v>
      </c>
      <c r="V3938" s="13" t="n">
        <f aca="false">IF(COUNTIF($B$2:B3938,B3938)=1,1,0)</f>
        <v>0</v>
      </c>
      <c r="W3938" s="13" t="n">
        <f aca="false">IF(COUNTIFS($B$2:B3938,B3938,$T$2:T3938,T3938)=1,1,0)</f>
        <v>0</v>
      </c>
    </row>
    <row r="3939" customFormat="false" ht="15" hidden="false" customHeight="false" outlineLevel="0" collapsed="false">
      <c r="A3939" s="13" t="s">
        <v>2067</v>
      </c>
      <c r="B3939" s="13" t="s">
        <v>121</v>
      </c>
      <c r="C3939" s="13" t="n">
        <v>70</v>
      </c>
      <c r="D3939" s="13" t="n">
        <v>1</v>
      </c>
      <c r="E3939" s="13" t="n">
        <v>73</v>
      </c>
      <c r="F3939" s="13" t="s">
        <v>5325</v>
      </c>
      <c r="G3939" s="13" t="s">
        <v>5289</v>
      </c>
      <c r="H3939" s="13" t="s">
        <v>5292</v>
      </c>
      <c r="I3939" s="13" t="s">
        <v>5292</v>
      </c>
      <c r="J3939" s="13" t="s">
        <v>5289</v>
      </c>
      <c r="K3939" s="13" t="s">
        <v>5289</v>
      </c>
      <c r="L3939" s="13"/>
      <c r="M3939" s="13"/>
      <c r="N3939" s="13" t="n">
        <v>7896086931962</v>
      </c>
      <c r="O3939" s="13"/>
      <c r="P3939" s="13" t="s">
        <v>5291</v>
      </c>
      <c r="Q3939" s="13" t="s">
        <v>5289</v>
      </c>
      <c r="R3939" s="13" t="s">
        <v>5292</v>
      </c>
      <c r="S3939" s="13" t="s">
        <v>5293</v>
      </c>
      <c r="T3939" s="13" t="s">
        <v>5</v>
      </c>
      <c r="U3939" s="13" t="s">
        <v>43</v>
      </c>
      <c r="V3939" s="13" t="n">
        <f aca="false">IF(COUNTIF($B$2:B3939,B3939)=1,1,0)</f>
        <v>0</v>
      </c>
      <c r="W3939" s="13" t="n">
        <f aca="false">IF(COUNTIFS($B$2:B3939,B3939,$T$2:T3939,T3939)=1,1,0)</f>
        <v>0</v>
      </c>
    </row>
    <row r="3940" customFormat="false" ht="15" hidden="false" customHeight="false" outlineLevel="0" collapsed="false">
      <c r="A3940" s="13" t="s">
        <v>2053</v>
      </c>
      <c r="B3940" s="13" t="s">
        <v>107</v>
      </c>
      <c r="C3940" s="13" t="n">
        <v>70</v>
      </c>
      <c r="D3940" s="13" t="n">
        <v>2</v>
      </c>
      <c r="E3940" s="13" t="n">
        <v>36.24</v>
      </c>
      <c r="F3940" s="13" t="s">
        <v>5325</v>
      </c>
      <c r="G3940" s="13" t="s">
        <v>5292</v>
      </c>
      <c r="H3940" s="13" t="s">
        <v>5289</v>
      </c>
      <c r="I3940" s="13" t="s">
        <v>5292</v>
      </c>
      <c r="J3940" s="13" t="s">
        <v>5289</v>
      </c>
      <c r="K3940" s="13" t="s">
        <v>5289</v>
      </c>
      <c r="L3940" s="13" t="n">
        <v>7891182018845</v>
      </c>
      <c r="M3940" s="13"/>
      <c r="N3940" s="13" t="n">
        <v>7891182018845</v>
      </c>
      <c r="O3940" s="13"/>
      <c r="P3940" s="13" t="s">
        <v>5291</v>
      </c>
      <c r="Q3940" s="13" t="s">
        <v>5289</v>
      </c>
      <c r="R3940" s="13" t="s">
        <v>5292</v>
      </c>
      <c r="S3940" s="13" t="s">
        <v>5293</v>
      </c>
      <c r="T3940" s="13" t="s">
        <v>5</v>
      </c>
      <c r="U3940" s="13" t="s">
        <v>43</v>
      </c>
      <c r="V3940" s="13" t="n">
        <f aca="false">IF(COUNTIF($B$2:B3940,B3940)=1,1,0)</f>
        <v>0</v>
      </c>
      <c r="W3940" s="13" t="n">
        <f aca="false">IF(COUNTIFS($B$2:B3940,B3940,$T$2:T3940,T3940)=1,1,0)</f>
        <v>0</v>
      </c>
    </row>
    <row r="3941" customFormat="false" ht="15" hidden="false" customHeight="false" outlineLevel="0" collapsed="false">
      <c r="A3941" s="13" t="s">
        <v>2069</v>
      </c>
      <c r="B3941" s="13" t="s">
        <v>107</v>
      </c>
      <c r="C3941" s="13" t="n">
        <v>70</v>
      </c>
      <c r="D3941" s="13" t="n">
        <v>2</v>
      </c>
      <c r="E3941" s="13" t="n">
        <v>35.13</v>
      </c>
      <c r="F3941" s="13" t="s">
        <v>5325</v>
      </c>
      <c r="G3941" s="13" t="s">
        <v>5292</v>
      </c>
      <c r="H3941" s="13" t="s">
        <v>5289</v>
      </c>
      <c r="I3941" s="13" t="s">
        <v>5292</v>
      </c>
      <c r="J3941" s="13" t="s">
        <v>5289</v>
      </c>
      <c r="K3941" s="13" t="s">
        <v>5289</v>
      </c>
      <c r="L3941" s="13" t="n">
        <v>7891182019064</v>
      </c>
      <c r="M3941" s="13"/>
      <c r="N3941" s="13" t="n">
        <v>7891182019064</v>
      </c>
      <c r="O3941" s="13"/>
      <c r="P3941" s="13" t="s">
        <v>5291</v>
      </c>
      <c r="Q3941" s="13" t="s">
        <v>5289</v>
      </c>
      <c r="R3941" s="13" t="s">
        <v>5292</v>
      </c>
      <c r="S3941" s="13" t="s">
        <v>5293</v>
      </c>
      <c r="T3941" s="13" t="s">
        <v>5</v>
      </c>
      <c r="U3941" s="13" t="s">
        <v>43</v>
      </c>
      <c r="V3941" s="13" t="n">
        <f aca="false">IF(COUNTIF($B$2:B3941,B3941)=1,1,0)</f>
        <v>0</v>
      </c>
      <c r="W3941" s="13" t="n">
        <f aca="false">IF(COUNTIFS($B$2:B3941,B3941,$T$2:T3941,T3941)=1,1,0)</f>
        <v>0</v>
      </c>
    </row>
    <row r="3942" customFormat="false" ht="15" hidden="false" customHeight="false" outlineLevel="0" collapsed="false">
      <c r="A3942" s="13" t="s">
        <v>2072</v>
      </c>
      <c r="B3942" s="13" t="s">
        <v>107</v>
      </c>
      <c r="C3942" s="13" t="n">
        <v>70</v>
      </c>
      <c r="D3942" s="13" t="n">
        <v>2</v>
      </c>
      <c r="E3942" s="13" t="n">
        <v>34.89</v>
      </c>
      <c r="F3942" s="13" t="s">
        <v>5325</v>
      </c>
      <c r="G3942" s="13" t="s">
        <v>5292</v>
      </c>
      <c r="H3942" s="13" t="s">
        <v>5289</v>
      </c>
      <c r="I3942" s="13" t="s">
        <v>5289</v>
      </c>
      <c r="J3942" s="13" t="s">
        <v>5289</v>
      </c>
      <c r="K3942" s="13" t="s">
        <v>5289</v>
      </c>
      <c r="L3942" s="13"/>
      <c r="M3942" s="13"/>
      <c r="N3942" s="13" t="n">
        <v>7891182017398</v>
      </c>
      <c r="O3942" s="13"/>
      <c r="P3942" s="13" t="s">
        <v>5297</v>
      </c>
      <c r="Q3942" s="13" t="s">
        <v>5289</v>
      </c>
      <c r="R3942" s="13" t="s">
        <v>5292</v>
      </c>
      <c r="S3942" s="13" t="s">
        <v>5293</v>
      </c>
      <c r="T3942" s="13" t="s">
        <v>5</v>
      </c>
      <c r="U3942" s="13" t="s">
        <v>43</v>
      </c>
      <c r="V3942" s="13" t="n">
        <f aca="false">IF(COUNTIF($B$2:B3942,B3942)=1,1,0)</f>
        <v>0</v>
      </c>
      <c r="W3942" s="13" t="n">
        <f aca="false">IF(COUNTIFS($B$2:B3942,B3942,$T$2:T3942,T3942)=1,1,0)</f>
        <v>0</v>
      </c>
    </row>
    <row r="3943" customFormat="false" ht="15" hidden="false" customHeight="false" outlineLevel="0" collapsed="false">
      <c r="A3943" s="13" t="s">
        <v>5199</v>
      </c>
      <c r="B3943" s="13" t="s">
        <v>2194</v>
      </c>
      <c r="C3943" s="13" t="n">
        <v>70</v>
      </c>
      <c r="D3943" s="13" t="n">
        <v>2</v>
      </c>
      <c r="E3943" s="13" t="n">
        <v>34.85</v>
      </c>
      <c r="F3943" s="13" t="s">
        <v>5325</v>
      </c>
      <c r="G3943" s="13" t="s">
        <v>5292</v>
      </c>
      <c r="H3943" s="13" t="s">
        <v>5289</v>
      </c>
      <c r="I3943" s="13" t="s">
        <v>5289</v>
      </c>
      <c r="J3943" s="13" t="s">
        <v>5289</v>
      </c>
      <c r="K3943" s="13" t="s">
        <v>5292</v>
      </c>
      <c r="L3943" s="13" t="n">
        <v>7908725504526</v>
      </c>
      <c r="M3943" s="13"/>
      <c r="N3943" s="13" t="n">
        <v>7908725504526</v>
      </c>
      <c r="O3943" s="13"/>
      <c r="P3943" s="13" t="s">
        <v>5291</v>
      </c>
      <c r="Q3943" s="13" t="s">
        <v>5289</v>
      </c>
      <c r="R3943" s="13" t="s">
        <v>5292</v>
      </c>
      <c r="S3943" s="13" t="s">
        <v>5293</v>
      </c>
      <c r="T3943" s="13" t="s">
        <v>5</v>
      </c>
      <c r="U3943" s="13" t="s">
        <v>183</v>
      </c>
      <c r="V3943" s="13" t="n">
        <f aca="false">IF(COUNTIF($B$2:B3943,B3943)=1,1,0)</f>
        <v>0</v>
      </c>
      <c r="W3943" s="13" t="n">
        <f aca="false">IF(COUNTIFS($B$2:B3943,B3943,$T$2:T3943,T3943)=1,1,0)</f>
        <v>0</v>
      </c>
    </row>
    <row r="3944" customFormat="false" ht="15" hidden="false" customHeight="false" outlineLevel="0" collapsed="false">
      <c r="A3944" s="13" t="s">
        <v>5067</v>
      </c>
      <c r="B3944" s="13" t="s">
        <v>2194</v>
      </c>
      <c r="C3944" s="13" t="n">
        <v>70</v>
      </c>
      <c r="D3944" s="13" t="n">
        <v>1</v>
      </c>
      <c r="E3944" s="13" t="n">
        <v>69</v>
      </c>
      <c r="F3944" s="13" t="s">
        <v>5325</v>
      </c>
      <c r="G3944" s="13" t="s">
        <v>5292</v>
      </c>
      <c r="H3944" s="13" t="s">
        <v>5289</v>
      </c>
      <c r="I3944" s="13" t="s">
        <v>5292</v>
      </c>
      <c r="J3944" s="13" t="s">
        <v>5289</v>
      </c>
      <c r="K3944" s="13" t="s">
        <v>5289</v>
      </c>
      <c r="L3944" s="13" t="n">
        <v>7898576398941</v>
      </c>
      <c r="M3944" s="13"/>
      <c r="N3944" s="13" t="n">
        <v>7898576398941</v>
      </c>
      <c r="O3944" s="13"/>
      <c r="P3944" s="13" t="s">
        <v>5297</v>
      </c>
      <c r="Q3944" s="13" t="s">
        <v>5289</v>
      </c>
      <c r="R3944" s="13" t="s">
        <v>5292</v>
      </c>
      <c r="S3944" s="13" t="s">
        <v>5293</v>
      </c>
      <c r="T3944" s="13" t="s">
        <v>5</v>
      </c>
      <c r="U3944" s="13" t="s">
        <v>85</v>
      </c>
      <c r="V3944" s="13" t="n">
        <f aca="false">IF(COUNTIF($B$2:B3944,B3944)=1,1,0)</f>
        <v>0</v>
      </c>
      <c r="W3944" s="13" t="n">
        <f aca="false">IF(COUNTIFS($B$2:B3944,B3944,$T$2:T3944,T3944)=1,1,0)</f>
        <v>0</v>
      </c>
    </row>
    <row r="3945" customFormat="false" ht="15" hidden="false" customHeight="false" outlineLevel="0" collapsed="false">
      <c r="A3945" s="13" t="s">
        <v>6426</v>
      </c>
      <c r="B3945" s="13" t="s">
        <v>2155</v>
      </c>
      <c r="C3945" s="13" t="n">
        <v>70</v>
      </c>
      <c r="D3945" s="13" t="n">
        <v>1</v>
      </c>
      <c r="E3945" s="13" t="n">
        <v>68.89</v>
      </c>
      <c r="F3945" s="13" t="s">
        <v>5325</v>
      </c>
      <c r="G3945" s="13" t="s">
        <v>5292</v>
      </c>
      <c r="H3945" s="13" t="s">
        <v>5292</v>
      </c>
      <c r="I3945" s="13" t="s">
        <v>5292</v>
      </c>
      <c r="J3945" s="13" t="s">
        <v>5289</v>
      </c>
      <c r="K3945" s="13" t="s">
        <v>5289</v>
      </c>
      <c r="L3945" s="13"/>
      <c r="M3945" s="13"/>
      <c r="N3945" s="13" t="n">
        <v>5060630040185</v>
      </c>
      <c r="O3945" s="13"/>
      <c r="P3945" s="13" t="s">
        <v>5291</v>
      </c>
      <c r="Q3945" s="13" t="s">
        <v>5289</v>
      </c>
      <c r="R3945" s="13" t="s">
        <v>5292</v>
      </c>
      <c r="S3945" s="13" t="s">
        <v>5293</v>
      </c>
      <c r="T3945" s="13" t="s">
        <v>5</v>
      </c>
      <c r="U3945" s="13" t="s">
        <v>85</v>
      </c>
      <c r="V3945" s="13" t="n">
        <f aca="false">IF(COUNTIF($B$2:B3945,B3945)=1,1,0)</f>
        <v>0</v>
      </c>
      <c r="W3945" s="13" t="n">
        <f aca="false">IF(COUNTIFS($B$2:B3945,B3945,$T$2:T3945,T3945)=1,1,0)</f>
        <v>0</v>
      </c>
    </row>
    <row r="3946" customFormat="false" ht="15" hidden="false" customHeight="false" outlineLevel="0" collapsed="false">
      <c r="A3946" s="13" t="s">
        <v>5205</v>
      </c>
      <c r="B3946" s="13" t="s">
        <v>2194</v>
      </c>
      <c r="C3946" s="13" t="n">
        <v>70</v>
      </c>
      <c r="D3946" s="13" t="n">
        <v>1</v>
      </c>
      <c r="E3946" s="13" t="n">
        <v>68.85</v>
      </c>
      <c r="F3946" s="13" t="s">
        <v>5325</v>
      </c>
      <c r="G3946" s="13" t="s">
        <v>5292</v>
      </c>
      <c r="H3946" s="13" t="s">
        <v>5292</v>
      </c>
      <c r="I3946" s="13" t="s">
        <v>5289</v>
      </c>
      <c r="J3946" s="13" t="s">
        <v>5289</v>
      </c>
      <c r="K3946" s="13" t="s">
        <v>5292</v>
      </c>
      <c r="L3946" s="13" t="n">
        <v>7908725500696</v>
      </c>
      <c r="M3946" s="13"/>
      <c r="N3946" s="13" t="n">
        <v>7908725500696</v>
      </c>
      <c r="O3946" s="13"/>
      <c r="P3946" s="13" t="s">
        <v>5291</v>
      </c>
      <c r="Q3946" s="13" t="s">
        <v>5289</v>
      </c>
      <c r="R3946" s="13" t="s">
        <v>5292</v>
      </c>
      <c r="S3946" s="13" t="s">
        <v>5293</v>
      </c>
      <c r="T3946" s="13" t="s">
        <v>5</v>
      </c>
      <c r="U3946" s="13" t="s">
        <v>85</v>
      </c>
      <c r="V3946" s="13" t="n">
        <f aca="false">IF(COUNTIF($B$2:B3946,B3946)=1,1,0)</f>
        <v>0</v>
      </c>
      <c r="W3946" s="13" t="n">
        <f aca="false">IF(COUNTIFS($B$2:B3946,B3946,$T$2:T3946,T3946)=1,1,0)</f>
        <v>0</v>
      </c>
    </row>
    <row r="3947" customFormat="false" ht="15" hidden="false" customHeight="false" outlineLevel="0" collapsed="false">
      <c r="A3947" s="13" t="s">
        <v>5201</v>
      </c>
      <c r="B3947" s="13" t="s">
        <v>2194</v>
      </c>
      <c r="C3947" s="13" t="n">
        <v>70</v>
      </c>
      <c r="D3947" s="13" t="n">
        <v>2</v>
      </c>
      <c r="E3947" s="13" t="n">
        <v>34.35</v>
      </c>
      <c r="F3947" s="13" t="s">
        <v>5325</v>
      </c>
      <c r="G3947" s="13" t="s">
        <v>5292</v>
      </c>
      <c r="H3947" s="13" t="s">
        <v>5289</v>
      </c>
      <c r="I3947" s="13" t="s">
        <v>5292</v>
      </c>
      <c r="J3947" s="13" t="s">
        <v>5289</v>
      </c>
      <c r="K3947" s="13" t="s">
        <v>5292</v>
      </c>
      <c r="L3947" s="13"/>
      <c r="M3947" s="13"/>
      <c r="N3947" s="13" t="n">
        <v>7898930769189</v>
      </c>
      <c r="O3947" s="13"/>
      <c r="P3947" s="13" t="s">
        <v>5291</v>
      </c>
      <c r="Q3947" s="13" t="s">
        <v>5289</v>
      </c>
      <c r="R3947" s="13" t="s">
        <v>5292</v>
      </c>
      <c r="S3947" s="13" t="s">
        <v>5293</v>
      </c>
      <c r="T3947" s="13" t="s">
        <v>5</v>
      </c>
      <c r="U3947" s="13" t="s">
        <v>183</v>
      </c>
      <c r="V3947" s="13" t="n">
        <f aca="false">IF(COUNTIF($B$2:B3947,B3947)=1,1,0)</f>
        <v>0</v>
      </c>
      <c r="W3947" s="13" t="n">
        <f aca="false">IF(COUNTIFS($B$2:B3947,B3947,$T$2:T3947,T3947)=1,1,0)</f>
        <v>0</v>
      </c>
    </row>
    <row r="3948" customFormat="false" ht="15" hidden="false" customHeight="false" outlineLevel="0" collapsed="false">
      <c r="A3948" s="13" t="s">
        <v>5211</v>
      </c>
      <c r="B3948" s="13" t="s">
        <v>2296</v>
      </c>
      <c r="C3948" s="13" t="n">
        <v>70</v>
      </c>
      <c r="D3948" s="13" t="n">
        <v>1</v>
      </c>
      <c r="E3948" s="13" t="n">
        <v>68.6</v>
      </c>
      <c r="F3948" s="13" t="s">
        <v>5325</v>
      </c>
      <c r="G3948" s="13" t="s">
        <v>5292</v>
      </c>
      <c r="H3948" s="13" t="s">
        <v>5289</v>
      </c>
      <c r="I3948" s="13" t="s">
        <v>5292</v>
      </c>
      <c r="J3948" s="13" t="s">
        <v>5289</v>
      </c>
      <c r="K3948" s="13" t="s">
        <v>5289</v>
      </c>
      <c r="L3948" s="13" t="n">
        <v>5903719647045</v>
      </c>
      <c r="M3948" s="13"/>
      <c r="N3948" s="13" t="n">
        <v>5903719647045</v>
      </c>
      <c r="O3948" s="13"/>
      <c r="P3948" s="13" t="s">
        <v>5291</v>
      </c>
      <c r="Q3948" s="13" t="s">
        <v>5289</v>
      </c>
      <c r="R3948" s="13" t="s">
        <v>5292</v>
      </c>
      <c r="S3948" s="13" t="s">
        <v>5293</v>
      </c>
      <c r="T3948" s="13" t="s">
        <v>5</v>
      </c>
      <c r="U3948" s="13" t="s">
        <v>43</v>
      </c>
      <c r="V3948" s="13" t="n">
        <f aca="false">IF(COUNTIF($B$2:B3948,B3948)=1,1,0)</f>
        <v>1</v>
      </c>
      <c r="W3948" s="13" t="n">
        <f aca="false">IF(COUNTIFS($B$2:B3948,B3948,$T$2:T3948,T3948)=1,1,0)</f>
        <v>1</v>
      </c>
    </row>
    <row r="3949" customFormat="false" ht="15" hidden="false" customHeight="false" outlineLevel="0" collapsed="false">
      <c r="A3949" s="13" t="s">
        <v>2073</v>
      </c>
      <c r="B3949" s="13" t="s">
        <v>107</v>
      </c>
      <c r="C3949" s="13" t="n">
        <v>70</v>
      </c>
      <c r="D3949" s="13" t="n">
        <v>2</v>
      </c>
      <c r="E3949" s="13" t="n">
        <v>34.28</v>
      </c>
      <c r="F3949" s="13" t="s">
        <v>5325</v>
      </c>
      <c r="G3949" s="13" t="s">
        <v>5292</v>
      </c>
      <c r="H3949" s="13" t="s">
        <v>5289</v>
      </c>
      <c r="I3949" s="13" t="s">
        <v>5292</v>
      </c>
      <c r="J3949" s="13" t="s">
        <v>5289</v>
      </c>
      <c r="K3949" s="13" t="s">
        <v>5289</v>
      </c>
      <c r="L3949" s="13"/>
      <c r="M3949" s="13"/>
      <c r="N3949" s="13" t="n">
        <v>7891182019279</v>
      </c>
      <c r="O3949" s="13"/>
      <c r="P3949" s="13" t="s">
        <v>5297</v>
      </c>
      <c r="Q3949" s="13" t="s">
        <v>5289</v>
      </c>
      <c r="R3949" s="13" t="s">
        <v>5292</v>
      </c>
      <c r="S3949" s="13" t="s">
        <v>5293</v>
      </c>
      <c r="T3949" s="13" t="s">
        <v>5</v>
      </c>
      <c r="U3949" s="13" t="s">
        <v>43</v>
      </c>
      <c r="V3949" s="13" t="n">
        <f aca="false">IF(COUNTIF($B$2:B3949,B3949)=1,1,0)</f>
        <v>0</v>
      </c>
      <c r="W3949" s="13" t="n">
        <f aca="false">IF(COUNTIFS($B$2:B3949,B3949,$T$2:T3949,T3949)=1,1,0)</f>
        <v>0</v>
      </c>
    </row>
    <row r="3950" customFormat="false" ht="15" hidden="false" customHeight="false" outlineLevel="0" collapsed="false">
      <c r="A3950" s="13" t="s">
        <v>2071</v>
      </c>
      <c r="B3950" s="13" t="s">
        <v>121</v>
      </c>
      <c r="C3950" s="13" t="n">
        <v>70</v>
      </c>
      <c r="D3950" s="13" t="n">
        <v>1</v>
      </c>
      <c r="E3950" s="13" t="n">
        <v>66.09</v>
      </c>
      <c r="F3950" s="13" t="s">
        <v>5325</v>
      </c>
      <c r="G3950" s="13" t="s">
        <v>5289</v>
      </c>
      <c r="H3950" s="13" t="s">
        <v>5289</v>
      </c>
      <c r="I3950" s="13" t="s">
        <v>5292</v>
      </c>
      <c r="J3950" s="13" t="s">
        <v>5289</v>
      </c>
      <c r="K3950" s="13" t="s">
        <v>5289</v>
      </c>
      <c r="L3950" s="13" t="n">
        <v>7896086917775</v>
      </c>
      <c r="M3950" s="13"/>
      <c r="N3950" s="13" t="n">
        <v>7896086917775</v>
      </c>
      <c r="O3950" s="13"/>
      <c r="P3950" s="13" t="s">
        <v>5291</v>
      </c>
      <c r="Q3950" s="13" t="s">
        <v>5289</v>
      </c>
      <c r="R3950" s="13" t="s">
        <v>5292</v>
      </c>
      <c r="S3950" s="13" t="s">
        <v>5293</v>
      </c>
      <c r="T3950" s="13" t="s">
        <v>5</v>
      </c>
      <c r="U3950" s="13" t="s">
        <v>43</v>
      </c>
      <c r="V3950" s="13" t="n">
        <f aca="false">IF(COUNTIF($B$2:B3950,B3950)=1,1,0)</f>
        <v>0</v>
      </c>
      <c r="W3950" s="13" t="n">
        <f aca="false">IF(COUNTIFS($B$2:B3950,B3950,$T$2:T3950,T3950)=1,1,0)</f>
        <v>0</v>
      </c>
    </row>
    <row r="3951" customFormat="false" ht="15" hidden="false" customHeight="false" outlineLevel="0" collapsed="false">
      <c r="A3951" s="13" t="s">
        <v>5203</v>
      </c>
      <c r="B3951" s="13" t="s">
        <v>2194</v>
      </c>
      <c r="C3951" s="13" t="n">
        <v>70</v>
      </c>
      <c r="D3951" s="13" t="n">
        <v>1</v>
      </c>
      <c r="E3951" s="13" t="n">
        <v>65.85</v>
      </c>
      <c r="F3951" s="13" t="s">
        <v>5288</v>
      </c>
      <c r="G3951" s="13" t="s">
        <v>5292</v>
      </c>
      <c r="H3951" s="13" t="s">
        <v>5289</v>
      </c>
      <c r="I3951" s="13" t="s">
        <v>5292</v>
      </c>
      <c r="J3951" s="13" t="s">
        <v>5289</v>
      </c>
      <c r="K3951" s="13" t="s">
        <v>5292</v>
      </c>
      <c r="L3951" s="13" t="n">
        <v>7908725500719</v>
      </c>
      <c r="M3951" s="13"/>
      <c r="N3951" s="13" t="n">
        <v>7908725500719</v>
      </c>
      <c r="O3951" s="13"/>
      <c r="P3951" s="13" t="s">
        <v>5291</v>
      </c>
      <c r="Q3951" s="13" t="s">
        <v>5289</v>
      </c>
      <c r="R3951" s="13" t="s">
        <v>5292</v>
      </c>
      <c r="S3951" s="13" t="s">
        <v>5293</v>
      </c>
      <c r="T3951" s="13" t="s">
        <v>5</v>
      </c>
      <c r="U3951" s="13" t="s">
        <v>85</v>
      </c>
      <c r="V3951" s="13" t="n">
        <f aca="false">IF(COUNTIF($B$2:B3951,B3951)=1,1,0)</f>
        <v>0</v>
      </c>
      <c r="W3951" s="13" t="n">
        <f aca="false">IF(COUNTIFS($B$2:B3951,B3951,$T$2:T3951,T3951)=1,1,0)</f>
        <v>0</v>
      </c>
    </row>
    <row r="3952" customFormat="false" ht="15" hidden="false" customHeight="false" outlineLevel="0" collapsed="false">
      <c r="A3952" s="13" t="s">
        <v>5067</v>
      </c>
      <c r="B3952" s="13" t="s">
        <v>2194</v>
      </c>
      <c r="C3952" s="13" t="n">
        <v>70</v>
      </c>
      <c r="D3952" s="13" t="n">
        <v>1</v>
      </c>
      <c r="E3952" s="13" t="n">
        <v>65.4</v>
      </c>
      <c r="F3952" s="13" t="s">
        <v>5288</v>
      </c>
      <c r="G3952" s="13" t="s">
        <v>5292</v>
      </c>
      <c r="H3952" s="13" t="s">
        <v>5289</v>
      </c>
      <c r="I3952" s="13" t="s">
        <v>5292</v>
      </c>
      <c r="J3952" s="13" t="s">
        <v>5289</v>
      </c>
      <c r="K3952" s="13" t="s">
        <v>5289</v>
      </c>
      <c r="L3952" s="13" t="n">
        <v>7898576398941</v>
      </c>
      <c r="M3952" s="13"/>
      <c r="N3952" s="13" t="n">
        <v>7898576398941</v>
      </c>
      <c r="O3952" s="13"/>
      <c r="P3952" s="13" t="s">
        <v>5291</v>
      </c>
      <c r="Q3952" s="13" t="s">
        <v>5289</v>
      </c>
      <c r="R3952" s="13" t="s">
        <v>5292</v>
      </c>
      <c r="S3952" s="13" t="s">
        <v>5293</v>
      </c>
      <c r="T3952" s="13" t="s">
        <v>5</v>
      </c>
      <c r="U3952" s="13" t="s">
        <v>85</v>
      </c>
      <c r="V3952" s="13" t="n">
        <f aca="false">IF(COUNTIF($B$2:B3952,B3952)=1,1,0)</f>
        <v>0</v>
      </c>
      <c r="W3952" s="13" t="n">
        <f aca="false">IF(COUNTIFS($B$2:B3952,B3952,$T$2:T3952,T3952)=1,1,0)</f>
        <v>0</v>
      </c>
    </row>
    <row r="3953" customFormat="false" ht="15" hidden="false" customHeight="false" outlineLevel="0" collapsed="false">
      <c r="A3953" s="13" t="s">
        <v>5223</v>
      </c>
      <c r="B3953" s="13" t="s">
        <v>2270</v>
      </c>
      <c r="C3953" s="13" t="n">
        <v>60</v>
      </c>
      <c r="D3953" s="13" t="n">
        <v>1</v>
      </c>
      <c r="E3953" s="13" t="n">
        <v>64.85</v>
      </c>
      <c r="F3953" s="13" t="s">
        <v>5288</v>
      </c>
      <c r="G3953" s="13" t="s">
        <v>5292</v>
      </c>
      <c r="H3953" s="13" t="s">
        <v>5289</v>
      </c>
      <c r="I3953" s="13" t="s">
        <v>5292</v>
      </c>
      <c r="J3953" s="13" t="s">
        <v>5289</v>
      </c>
      <c r="K3953" s="13" t="s">
        <v>5292</v>
      </c>
      <c r="L3953" s="13" t="n">
        <v>4901301265678</v>
      </c>
      <c r="M3953" s="13"/>
      <c r="N3953" s="13" t="n">
        <v>4901301265678</v>
      </c>
      <c r="O3953" s="13"/>
      <c r="P3953" s="13" t="s">
        <v>5297</v>
      </c>
      <c r="Q3953" s="13" t="s">
        <v>5289</v>
      </c>
      <c r="R3953" s="13" t="s">
        <v>5292</v>
      </c>
      <c r="S3953" s="13" t="s">
        <v>5293</v>
      </c>
      <c r="T3953" s="13" t="s">
        <v>5</v>
      </c>
      <c r="U3953" s="13" t="s">
        <v>183</v>
      </c>
      <c r="V3953" s="13" t="n">
        <f aca="false">IF(COUNTIF($B$2:B3953,B3953)=1,1,0)</f>
        <v>0</v>
      </c>
      <c r="W3953" s="13" t="n">
        <f aca="false">IF(COUNTIFS($B$2:B3953,B3953,$T$2:T3953,T3953)=1,1,0)</f>
        <v>0</v>
      </c>
    </row>
    <row r="3954" customFormat="false" ht="15" hidden="false" customHeight="false" outlineLevel="0" collapsed="false">
      <c r="A3954" s="13" t="s">
        <v>2080</v>
      </c>
      <c r="B3954" s="13" t="s">
        <v>107</v>
      </c>
      <c r="C3954" s="13" t="n">
        <v>60</v>
      </c>
      <c r="D3954" s="13" t="n">
        <v>2</v>
      </c>
      <c r="E3954" s="13" t="n">
        <v>32.35</v>
      </c>
      <c r="F3954" s="13" t="s">
        <v>5325</v>
      </c>
      <c r="G3954" s="13" t="s">
        <v>5292</v>
      </c>
      <c r="H3954" s="13" t="s">
        <v>5289</v>
      </c>
      <c r="I3954" s="13" t="s">
        <v>5289</v>
      </c>
      <c r="J3954" s="13" t="s">
        <v>5289</v>
      </c>
      <c r="K3954" s="13" t="s">
        <v>5289</v>
      </c>
      <c r="L3954" s="13" t="n">
        <v>7891182017411</v>
      </c>
      <c r="M3954" s="13"/>
      <c r="N3954" s="13" t="n">
        <v>7891182017411</v>
      </c>
      <c r="O3954" s="13"/>
      <c r="P3954" s="13" t="s">
        <v>5297</v>
      </c>
      <c r="Q3954" s="13" t="s">
        <v>5289</v>
      </c>
      <c r="R3954" s="13" t="s">
        <v>5292</v>
      </c>
      <c r="S3954" s="13" t="s">
        <v>5293</v>
      </c>
      <c r="T3954" s="13" t="s">
        <v>5</v>
      </c>
      <c r="U3954" s="13" t="s">
        <v>43</v>
      </c>
      <c r="V3954" s="13" t="n">
        <f aca="false">IF(COUNTIF($B$2:B3954,B3954)=1,1,0)</f>
        <v>0</v>
      </c>
      <c r="W3954" s="13" t="n">
        <f aca="false">IF(COUNTIFS($B$2:B3954,B3954,$T$2:T3954,T3954)=1,1,0)</f>
        <v>0</v>
      </c>
    </row>
    <row r="3955" customFormat="false" ht="15" hidden="false" customHeight="false" outlineLevel="0" collapsed="false">
      <c r="A3955" s="13" t="s">
        <v>6427</v>
      </c>
      <c r="B3955" s="13" t="s">
        <v>2103</v>
      </c>
      <c r="C3955" s="13" t="n">
        <v>60</v>
      </c>
      <c r="D3955" s="13" t="n">
        <v>1</v>
      </c>
      <c r="E3955" s="13" t="n">
        <v>64.53</v>
      </c>
      <c r="F3955" s="13" t="s">
        <v>5325</v>
      </c>
      <c r="G3955" s="13" t="s">
        <v>5289</v>
      </c>
      <c r="H3955" s="13" t="s">
        <v>5292</v>
      </c>
      <c r="I3955" s="13" t="s">
        <v>5292</v>
      </c>
      <c r="J3955" s="13" t="s">
        <v>5289</v>
      </c>
      <c r="K3955" s="13" t="s">
        <v>5289</v>
      </c>
      <c r="L3955" s="13" t="n">
        <v>309970166076</v>
      </c>
      <c r="M3955" s="13"/>
      <c r="N3955" s="13" t="n">
        <v>309970166076</v>
      </c>
      <c r="O3955" s="13"/>
      <c r="P3955" s="13" t="s">
        <v>5291</v>
      </c>
      <c r="Q3955" s="13" t="s">
        <v>5289</v>
      </c>
      <c r="R3955" s="13" t="s">
        <v>5292</v>
      </c>
      <c r="S3955" s="13" t="s">
        <v>5293</v>
      </c>
      <c r="T3955" s="13" t="s">
        <v>5</v>
      </c>
      <c r="U3955" s="13" t="s">
        <v>85</v>
      </c>
      <c r="V3955" s="13" t="n">
        <f aca="false">IF(COUNTIF($B$2:B3955,B3955)=1,1,0)</f>
        <v>0</v>
      </c>
      <c r="W3955" s="13" t="n">
        <f aca="false">IF(COUNTIFS($B$2:B3955,B3955,$T$2:T3955,T3955)=1,1,0)</f>
        <v>0</v>
      </c>
    </row>
    <row r="3956" customFormat="false" ht="15" hidden="false" customHeight="false" outlineLevel="0" collapsed="false">
      <c r="A3956" s="13" t="s">
        <v>2078</v>
      </c>
      <c r="B3956" s="13" t="s">
        <v>121</v>
      </c>
      <c r="C3956" s="13" t="n">
        <v>60</v>
      </c>
      <c r="D3956" s="13" t="n">
        <v>1</v>
      </c>
      <c r="E3956" s="13" t="n">
        <v>62.85</v>
      </c>
      <c r="F3956" s="13" t="s">
        <v>5325</v>
      </c>
      <c r="G3956" s="13" t="s">
        <v>5292</v>
      </c>
      <c r="H3956" s="13" t="s">
        <v>5289</v>
      </c>
      <c r="I3956" s="13" t="s">
        <v>5289</v>
      </c>
      <c r="J3956" s="13" t="s">
        <v>5289</v>
      </c>
      <c r="K3956" s="13" t="s">
        <v>5292</v>
      </c>
      <c r="L3956" s="13" t="n">
        <v>7896086934826</v>
      </c>
      <c r="M3956" s="13"/>
      <c r="N3956" s="13" t="n">
        <v>7896086934826</v>
      </c>
      <c r="O3956" s="13"/>
      <c r="P3956" s="13" t="s">
        <v>5297</v>
      </c>
      <c r="Q3956" s="13" t="s">
        <v>5289</v>
      </c>
      <c r="R3956" s="13" t="s">
        <v>5292</v>
      </c>
      <c r="S3956" s="13" t="s">
        <v>5293</v>
      </c>
      <c r="T3956" s="13" t="s">
        <v>5</v>
      </c>
      <c r="U3956" s="13" t="s">
        <v>183</v>
      </c>
      <c r="V3956" s="13" t="n">
        <f aca="false">IF(COUNTIF($B$2:B3956,B3956)=1,1,0)</f>
        <v>0</v>
      </c>
      <c r="W3956" s="13" t="n">
        <f aca="false">IF(COUNTIFS($B$2:B3956,B3956,$T$2:T3956,T3956)=1,1,0)</f>
        <v>0</v>
      </c>
    </row>
    <row r="3957" customFormat="false" ht="15" hidden="false" customHeight="false" outlineLevel="0" collapsed="false">
      <c r="A3957" s="13" t="s">
        <v>5230</v>
      </c>
      <c r="B3957" s="13" t="s">
        <v>2272</v>
      </c>
      <c r="C3957" s="13" t="n">
        <v>60</v>
      </c>
      <c r="D3957" s="13" t="n">
        <v>1</v>
      </c>
      <c r="E3957" s="13" t="n">
        <v>62.85</v>
      </c>
      <c r="F3957" s="13" t="s">
        <v>5288</v>
      </c>
      <c r="G3957" s="13" t="s">
        <v>5292</v>
      </c>
      <c r="H3957" s="13" t="s">
        <v>5292</v>
      </c>
      <c r="I3957" s="13" t="s">
        <v>5289</v>
      </c>
      <c r="J3957" s="13" t="s">
        <v>5289</v>
      </c>
      <c r="K3957" s="13" t="s">
        <v>5292</v>
      </c>
      <c r="L3957" s="13" t="n">
        <v>7898684530080</v>
      </c>
      <c r="M3957" s="13"/>
      <c r="N3957" s="13" t="n">
        <v>7898684530080</v>
      </c>
      <c r="O3957" s="13"/>
      <c r="P3957" s="13" t="s">
        <v>5291</v>
      </c>
      <c r="Q3957" s="13" t="s">
        <v>5289</v>
      </c>
      <c r="R3957" s="13" t="s">
        <v>5292</v>
      </c>
      <c r="S3957" s="13" t="s">
        <v>5293</v>
      </c>
      <c r="T3957" s="13" t="s">
        <v>5</v>
      </c>
      <c r="U3957" s="13" t="s">
        <v>85</v>
      </c>
      <c r="V3957" s="13" t="n">
        <f aca="false">IF(COUNTIF($B$2:B3957,B3957)=1,1,0)</f>
        <v>0</v>
      </c>
      <c r="W3957" s="13" t="n">
        <f aca="false">IF(COUNTIFS($B$2:B3957,B3957,$T$2:T3957,T3957)=1,1,0)</f>
        <v>0</v>
      </c>
    </row>
    <row r="3958" customFormat="false" ht="15" hidden="false" customHeight="false" outlineLevel="0" collapsed="false">
      <c r="A3958" s="13" t="s">
        <v>2079</v>
      </c>
      <c r="B3958" s="13" t="s">
        <v>121</v>
      </c>
      <c r="C3958" s="13" t="n">
        <v>60</v>
      </c>
      <c r="D3958" s="13" t="n">
        <v>1</v>
      </c>
      <c r="E3958" s="13" t="n">
        <v>62.85</v>
      </c>
      <c r="F3958" s="13" t="s">
        <v>5325</v>
      </c>
      <c r="G3958" s="13" t="s">
        <v>5289</v>
      </c>
      <c r="H3958" s="13" t="s">
        <v>5289</v>
      </c>
      <c r="I3958" s="13" t="s">
        <v>5292</v>
      </c>
      <c r="J3958" s="13" t="s">
        <v>5289</v>
      </c>
      <c r="K3958" s="13" t="s">
        <v>5292</v>
      </c>
      <c r="L3958" s="13" t="n">
        <v>7896086960696</v>
      </c>
      <c r="M3958" s="13"/>
      <c r="N3958" s="13" t="n">
        <v>7896086960696</v>
      </c>
      <c r="O3958" s="13"/>
      <c r="P3958" s="13" t="s">
        <v>5297</v>
      </c>
      <c r="Q3958" s="13" t="s">
        <v>5289</v>
      </c>
      <c r="R3958" s="13" t="s">
        <v>5292</v>
      </c>
      <c r="S3958" s="13" t="s">
        <v>5293</v>
      </c>
      <c r="T3958" s="13" t="s">
        <v>5</v>
      </c>
      <c r="U3958" s="13" t="s">
        <v>183</v>
      </c>
      <c r="V3958" s="13" t="n">
        <f aca="false">IF(COUNTIF($B$2:B3958,B3958)=1,1,0)</f>
        <v>0</v>
      </c>
      <c r="W3958" s="13" t="n">
        <f aca="false">IF(COUNTIFS($B$2:B3958,B3958,$T$2:T3958,T3958)=1,1,0)</f>
        <v>0</v>
      </c>
    </row>
    <row r="3959" customFormat="false" ht="15" hidden="false" customHeight="false" outlineLevel="0" collapsed="false">
      <c r="A3959" s="13" t="s">
        <v>6428</v>
      </c>
      <c r="B3959" s="13" t="s">
        <v>2215</v>
      </c>
      <c r="C3959" s="13" t="n">
        <v>60</v>
      </c>
      <c r="D3959" s="13" t="n">
        <v>1</v>
      </c>
      <c r="E3959" s="13" t="n">
        <v>61.99</v>
      </c>
      <c r="F3959" s="13" t="s">
        <v>5325</v>
      </c>
      <c r="G3959" s="13" t="s">
        <v>5292</v>
      </c>
      <c r="H3959" s="13" t="s">
        <v>5292</v>
      </c>
      <c r="I3959" s="13" t="s">
        <v>5292</v>
      </c>
      <c r="J3959" s="13" t="s">
        <v>5289</v>
      </c>
      <c r="K3959" s="13" t="s">
        <v>5289</v>
      </c>
      <c r="L3959" s="13"/>
      <c r="M3959" s="13"/>
      <c r="N3959" s="13" t="n">
        <v>7908785404996</v>
      </c>
      <c r="O3959" s="13"/>
      <c r="P3959" s="13" t="s">
        <v>5291</v>
      </c>
      <c r="Q3959" s="13" t="s">
        <v>5289</v>
      </c>
      <c r="R3959" s="13" t="s">
        <v>5292</v>
      </c>
      <c r="S3959" s="13" t="s">
        <v>5293</v>
      </c>
      <c r="T3959" s="13" t="s">
        <v>5</v>
      </c>
      <c r="U3959" s="13" t="s">
        <v>140</v>
      </c>
      <c r="V3959" s="13" t="n">
        <f aca="false">IF(COUNTIF($B$2:B3959,B3959)=1,1,0)</f>
        <v>0</v>
      </c>
      <c r="W3959" s="13" t="n">
        <f aca="false">IF(COUNTIFS($B$2:B3959,B3959,$T$2:T3959,T3959)=1,1,0)</f>
        <v>0</v>
      </c>
    </row>
    <row r="3960" customFormat="false" ht="15" hidden="false" customHeight="false" outlineLevel="0" collapsed="false">
      <c r="A3960" s="13" t="s">
        <v>2076</v>
      </c>
      <c r="B3960" s="13" t="s">
        <v>121</v>
      </c>
      <c r="C3960" s="13" t="n">
        <v>60</v>
      </c>
      <c r="D3960" s="13" t="n">
        <v>1</v>
      </c>
      <c r="E3960" s="13" t="n">
        <v>59.85</v>
      </c>
      <c r="F3960" s="13" t="s">
        <v>5288</v>
      </c>
      <c r="G3960" s="13" t="s">
        <v>5292</v>
      </c>
      <c r="H3960" s="13" t="s">
        <v>5289</v>
      </c>
      <c r="I3960" s="13" t="s">
        <v>5292</v>
      </c>
      <c r="J3960" s="13" t="s">
        <v>5289</v>
      </c>
      <c r="K3960" s="13" t="s">
        <v>5292</v>
      </c>
      <c r="L3960" s="13" t="n">
        <v>7896086920355</v>
      </c>
      <c r="M3960" s="13"/>
      <c r="N3960" s="13" t="n">
        <v>7896086920355</v>
      </c>
      <c r="O3960" s="13"/>
      <c r="P3960" s="13" t="s">
        <v>5291</v>
      </c>
      <c r="Q3960" s="13" t="s">
        <v>5289</v>
      </c>
      <c r="R3960" s="13" t="s">
        <v>5292</v>
      </c>
      <c r="S3960" s="13" t="s">
        <v>5293</v>
      </c>
      <c r="T3960" s="13" t="s">
        <v>5</v>
      </c>
      <c r="U3960" s="13" t="s">
        <v>183</v>
      </c>
      <c r="V3960" s="13" t="n">
        <f aca="false">IF(COUNTIF($B$2:B3960,B3960)=1,1,0)</f>
        <v>0</v>
      </c>
      <c r="W3960" s="13" t="n">
        <f aca="false">IF(COUNTIFS($B$2:B3960,B3960,$T$2:T3960,T3960)=1,1,0)</f>
        <v>0</v>
      </c>
    </row>
    <row r="3961" customFormat="false" ht="15" hidden="false" customHeight="false" outlineLevel="0" collapsed="false">
      <c r="A3961" s="13" t="s">
        <v>5225</v>
      </c>
      <c r="B3961" s="13" t="s">
        <v>2194</v>
      </c>
      <c r="C3961" s="13" t="n">
        <v>60</v>
      </c>
      <c r="D3961" s="13" t="n">
        <v>1</v>
      </c>
      <c r="E3961" s="13" t="n">
        <v>59.85</v>
      </c>
      <c r="F3961" s="13" t="s">
        <v>5288</v>
      </c>
      <c r="G3961" s="13" t="s">
        <v>5292</v>
      </c>
      <c r="H3961" s="13" t="s">
        <v>5289</v>
      </c>
      <c r="I3961" s="13" t="s">
        <v>5292</v>
      </c>
      <c r="J3961" s="13" t="s">
        <v>5289</v>
      </c>
      <c r="K3961" s="13" t="s">
        <v>5292</v>
      </c>
      <c r="L3961" s="13" t="n">
        <v>7908725500870</v>
      </c>
      <c r="M3961" s="13"/>
      <c r="N3961" s="13" t="n">
        <v>7908725500870</v>
      </c>
      <c r="O3961" s="13"/>
      <c r="P3961" s="13" t="s">
        <v>5297</v>
      </c>
      <c r="Q3961" s="13" t="s">
        <v>5289</v>
      </c>
      <c r="R3961" s="13" t="s">
        <v>5292</v>
      </c>
      <c r="S3961" s="13" t="s">
        <v>5293</v>
      </c>
      <c r="T3961" s="13" t="s">
        <v>5</v>
      </c>
      <c r="U3961" s="13" t="s">
        <v>85</v>
      </c>
      <c r="V3961" s="13" t="n">
        <f aca="false">IF(COUNTIF($B$2:B3961,B3961)=1,1,0)</f>
        <v>0</v>
      </c>
      <c r="W3961" s="13" t="n">
        <f aca="false">IF(COUNTIFS($B$2:B3961,B3961,$T$2:T3961,T3961)=1,1,0)</f>
        <v>0</v>
      </c>
    </row>
    <row r="3962" customFormat="false" ht="15" hidden="false" customHeight="false" outlineLevel="0" collapsed="false">
      <c r="A3962" s="13" t="s">
        <v>5235</v>
      </c>
      <c r="B3962" s="13" t="s">
        <v>2296</v>
      </c>
      <c r="C3962" s="13" t="n">
        <v>60</v>
      </c>
      <c r="D3962" s="13" t="n">
        <v>1</v>
      </c>
      <c r="E3962" s="13" t="n">
        <v>59.74</v>
      </c>
      <c r="F3962" s="13" t="s">
        <v>5325</v>
      </c>
      <c r="G3962" s="13" t="s">
        <v>5292</v>
      </c>
      <c r="H3962" s="13" t="s">
        <v>5289</v>
      </c>
      <c r="I3962" s="13" t="s">
        <v>5292</v>
      </c>
      <c r="J3962" s="13" t="s">
        <v>5289</v>
      </c>
      <c r="K3962" s="13" t="s">
        <v>5289</v>
      </c>
      <c r="L3962" s="13" t="n">
        <v>5903719647397</v>
      </c>
      <c r="M3962" s="13"/>
      <c r="N3962" s="13" t="n">
        <v>5903719647397</v>
      </c>
      <c r="O3962" s="13"/>
      <c r="P3962" s="13" t="s">
        <v>5297</v>
      </c>
      <c r="Q3962" s="13" t="s">
        <v>5289</v>
      </c>
      <c r="R3962" s="13" t="s">
        <v>5292</v>
      </c>
      <c r="S3962" s="13" t="s">
        <v>5293</v>
      </c>
      <c r="T3962" s="13" t="s">
        <v>5</v>
      </c>
      <c r="U3962" s="13" t="s">
        <v>43</v>
      </c>
      <c r="V3962" s="13" t="n">
        <f aca="false">IF(COUNTIF($B$2:B3962,B3962)=1,1,0)</f>
        <v>0</v>
      </c>
      <c r="W3962" s="13" t="n">
        <f aca="false">IF(COUNTIFS($B$2:B3962,B3962,$T$2:T3962,T3962)=1,1,0)</f>
        <v>0</v>
      </c>
    </row>
    <row r="3963" customFormat="false" ht="15" hidden="false" customHeight="false" outlineLevel="0" collapsed="false">
      <c r="A3963" s="13" t="s">
        <v>2077</v>
      </c>
      <c r="B3963" s="13" t="s">
        <v>121</v>
      </c>
      <c r="C3963" s="13" t="n">
        <v>60</v>
      </c>
      <c r="D3963" s="13" t="n">
        <v>1</v>
      </c>
      <c r="E3963" s="13" t="n">
        <v>58.85</v>
      </c>
      <c r="F3963" s="13" t="s">
        <v>5325</v>
      </c>
      <c r="G3963" s="13" t="s">
        <v>5289</v>
      </c>
      <c r="H3963" s="13" t="s">
        <v>5289</v>
      </c>
      <c r="I3963" s="13" t="s">
        <v>5292</v>
      </c>
      <c r="J3963" s="13" t="s">
        <v>5289</v>
      </c>
      <c r="K3963" s="13" t="s">
        <v>5292</v>
      </c>
      <c r="L3963" s="13" t="n">
        <v>7896086995926</v>
      </c>
      <c r="M3963" s="13"/>
      <c r="N3963" s="13" t="n">
        <v>7.89608699592679E+025</v>
      </c>
      <c r="O3963" s="13"/>
      <c r="P3963" s="13" t="s">
        <v>5291</v>
      </c>
      <c r="Q3963" s="13" t="s">
        <v>5289</v>
      </c>
      <c r="R3963" s="13" t="s">
        <v>5292</v>
      </c>
      <c r="S3963" s="13" t="s">
        <v>5293</v>
      </c>
      <c r="T3963" s="13" t="s">
        <v>5</v>
      </c>
      <c r="U3963" s="13" t="s">
        <v>43</v>
      </c>
      <c r="V3963" s="13" t="n">
        <f aca="false">IF(COUNTIF($B$2:B3963,B3963)=1,1,0)</f>
        <v>0</v>
      </c>
      <c r="W3963" s="13" t="n">
        <f aca="false">IF(COUNTIFS($B$2:B3963,B3963,$T$2:T3963,T3963)=1,1,0)</f>
        <v>0</v>
      </c>
    </row>
    <row r="3964" customFormat="false" ht="15" hidden="false" customHeight="false" outlineLevel="0" collapsed="false">
      <c r="A3964" s="13" t="s">
        <v>2015</v>
      </c>
      <c r="B3964" s="13" t="s">
        <v>121</v>
      </c>
      <c r="C3964" s="13" t="n">
        <v>60</v>
      </c>
      <c r="D3964" s="13" t="n">
        <v>1</v>
      </c>
      <c r="E3964" s="13" t="n">
        <v>57.54</v>
      </c>
      <c r="F3964" s="13" t="s">
        <v>5325</v>
      </c>
      <c r="G3964" s="13" t="s">
        <v>5289</v>
      </c>
      <c r="H3964" s="13" t="s">
        <v>5289</v>
      </c>
      <c r="I3964" s="13" t="s">
        <v>5292</v>
      </c>
      <c r="J3964" s="13" t="s">
        <v>5289</v>
      </c>
      <c r="K3964" s="13" t="s">
        <v>5289</v>
      </c>
      <c r="L3964" s="13"/>
      <c r="M3964" s="13"/>
      <c r="N3964" s="13" t="n">
        <v>7896086955838</v>
      </c>
      <c r="O3964" s="13"/>
      <c r="P3964" s="13" t="s">
        <v>5291</v>
      </c>
      <c r="Q3964" s="13" t="s">
        <v>5289</v>
      </c>
      <c r="R3964" s="13" t="s">
        <v>5292</v>
      </c>
      <c r="S3964" s="13" t="s">
        <v>5293</v>
      </c>
      <c r="T3964" s="13" t="s">
        <v>5</v>
      </c>
      <c r="U3964" s="13" t="s">
        <v>183</v>
      </c>
      <c r="V3964" s="13" t="n">
        <f aca="false">IF(COUNTIF($B$2:B3964,B3964)=1,1,0)</f>
        <v>0</v>
      </c>
      <c r="W3964" s="13" t="n">
        <f aca="false">IF(COUNTIFS($B$2:B3964,B3964,$T$2:T3964,T3964)=1,1,0)</f>
        <v>0</v>
      </c>
    </row>
    <row r="3965" customFormat="false" ht="15" hidden="false" customHeight="false" outlineLevel="0" collapsed="false">
      <c r="A3965" s="13" t="s">
        <v>5227</v>
      </c>
      <c r="B3965" s="13" t="s">
        <v>2194</v>
      </c>
      <c r="C3965" s="13" t="n">
        <v>60</v>
      </c>
      <c r="D3965" s="13" t="n">
        <v>1</v>
      </c>
      <c r="E3965" s="13" t="n">
        <v>56.9</v>
      </c>
      <c r="F3965" s="13" t="s">
        <v>5325</v>
      </c>
      <c r="G3965" s="13" t="s">
        <v>5292</v>
      </c>
      <c r="H3965" s="13" t="s">
        <v>5289</v>
      </c>
      <c r="I3965" s="13" t="s">
        <v>5289</v>
      </c>
      <c r="J3965" s="13" t="s">
        <v>5289</v>
      </c>
      <c r="K3965" s="13" t="s">
        <v>5289</v>
      </c>
      <c r="L3965" s="13" t="n">
        <v>7908725504229</v>
      </c>
      <c r="M3965" s="13"/>
      <c r="N3965" s="13" t="n">
        <v>7908725504229</v>
      </c>
      <c r="O3965" s="13"/>
      <c r="P3965" s="13" t="s">
        <v>5291</v>
      </c>
      <c r="Q3965" s="13" t="s">
        <v>5289</v>
      </c>
      <c r="R3965" s="13" t="s">
        <v>5292</v>
      </c>
      <c r="S3965" s="13" t="s">
        <v>5293</v>
      </c>
      <c r="T3965" s="13" t="s">
        <v>5</v>
      </c>
      <c r="U3965" s="13" t="s">
        <v>85</v>
      </c>
      <c r="V3965" s="13" t="n">
        <f aca="false">IF(COUNTIF($B$2:B3965,B3965)=1,1,0)</f>
        <v>0</v>
      </c>
      <c r="W3965" s="13" t="n">
        <f aca="false">IF(COUNTIFS($B$2:B3965,B3965,$T$2:T3965,T3965)=1,1,0)</f>
        <v>0</v>
      </c>
    </row>
    <row r="3966" customFormat="false" ht="15" hidden="false" customHeight="false" outlineLevel="0" collapsed="false">
      <c r="A3966" s="13" t="s">
        <v>2074</v>
      </c>
      <c r="B3966" s="13" t="s">
        <v>121</v>
      </c>
      <c r="C3966" s="13" t="n">
        <v>60</v>
      </c>
      <c r="D3966" s="13" t="n">
        <v>1</v>
      </c>
      <c r="E3966" s="13" t="n">
        <v>56</v>
      </c>
      <c r="F3966" s="13" t="s">
        <v>5325</v>
      </c>
      <c r="G3966" s="13" t="s">
        <v>5289</v>
      </c>
      <c r="H3966" s="13" t="s">
        <v>5292</v>
      </c>
      <c r="I3966" s="13" t="s">
        <v>5292</v>
      </c>
      <c r="J3966" s="13" t="s">
        <v>5289</v>
      </c>
      <c r="K3966" s="13" t="s">
        <v>5292</v>
      </c>
      <c r="L3966" s="13" t="n">
        <v>7896086911711</v>
      </c>
      <c r="M3966" s="13"/>
      <c r="N3966" s="13" t="n">
        <v>7896086911711</v>
      </c>
      <c r="O3966" s="13"/>
      <c r="P3966" s="13" t="s">
        <v>5291</v>
      </c>
      <c r="Q3966" s="13" t="s">
        <v>5289</v>
      </c>
      <c r="R3966" s="13" t="s">
        <v>5292</v>
      </c>
      <c r="S3966" s="13" t="s">
        <v>5293</v>
      </c>
      <c r="T3966" s="13" t="s">
        <v>5</v>
      </c>
      <c r="U3966" s="13" t="s">
        <v>43</v>
      </c>
      <c r="V3966" s="13" t="n">
        <f aca="false">IF(COUNTIF($B$2:B3966,B3966)=1,1,0)</f>
        <v>0</v>
      </c>
      <c r="W3966" s="13" t="n">
        <f aca="false">IF(COUNTIFS($B$2:B3966,B3966,$T$2:T3966,T3966)=1,1,0)</f>
        <v>0</v>
      </c>
    </row>
    <row r="3967" customFormat="false" ht="15" hidden="false" customHeight="false" outlineLevel="0" collapsed="false">
      <c r="A3967" s="13" t="s">
        <v>5232</v>
      </c>
      <c r="B3967" s="13" t="s">
        <v>2194</v>
      </c>
      <c r="C3967" s="13" t="n">
        <v>60</v>
      </c>
      <c r="D3967" s="13" t="n">
        <v>2</v>
      </c>
      <c r="E3967" s="13" t="n">
        <v>27.99</v>
      </c>
      <c r="F3967" s="13" t="s">
        <v>5325</v>
      </c>
      <c r="G3967" s="13" t="s">
        <v>5292</v>
      </c>
      <c r="H3967" s="13" t="s">
        <v>5289</v>
      </c>
      <c r="I3967" s="13" t="s">
        <v>5292</v>
      </c>
      <c r="J3967" s="13" t="s">
        <v>5289</v>
      </c>
      <c r="K3967" s="13" t="s">
        <v>5292</v>
      </c>
      <c r="L3967" s="13"/>
      <c r="M3967" s="13"/>
      <c r="N3967" s="13" t="n">
        <v>7898576398781</v>
      </c>
      <c r="O3967" s="13"/>
      <c r="P3967" s="13" t="s">
        <v>5291</v>
      </c>
      <c r="Q3967" s="13" t="s">
        <v>5289</v>
      </c>
      <c r="R3967" s="13" t="s">
        <v>5292</v>
      </c>
      <c r="S3967" s="13" t="s">
        <v>5293</v>
      </c>
      <c r="T3967" s="13" t="s">
        <v>5</v>
      </c>
      <c r="U3967" s="13" t="s">
        <v>85</v>
      </c>
      <c r="V3967" s="13" t="n">
        <f aca="false">IF(COUNTIF($B$2:B3967,B3967)=1,1,0)</f>
        <v>0</v>
      </c>
      <c r="W3967" s="13" t="n">
        <f aca="false">IF(COUNTIFS($B$2:B3967,B3967,$T$2:T3967,T3967)=1,1,0)</f>
        <v>0</v>
      </c>
    </row>
    <row r="3968" customFormat="false" ht="15" hidden="false" customHeight="false" outlineLevel="0" collapsed="false">
      <c r="A3968" s="13" t="s">
        <v>5238</v>
      </c>
      <c r="B3968" s="13" t="s">
        <v>2194</v>
      </c>
      <c r="C3968" s="13" t="n">
        <v>50</v>
      </c>
      <c r="D3968" s="13" t="n">
        <v>1</v>
      </c>
      <c r="E3968" s="13" t="n">
        <v>51.42</v>
      </c>
      <c r="F3968" s="13" t="s">
        <v>5325</v>
      </c>
      <c r="G3968" s="13" t="s">
        <v>5292</v>
      </c>
      <c r="H3968" s="13" t="s">
        <v>5292</v>
      </c>
      <c r="I3968" s="13" t="s">
        <v>5289</v>
      </c>
      <c r="J3968" s="13" t="s">
        <v>5289</v>
      </c>
      <c r="K3968" s="13" t="s">
        <v>5289</v>
      </c>
      <c r="L3968" s="13" t="n">
        <v>7908725500764</v>
      </c>
      <c r="M3968" s="13"/>
      <c r="N3968" s="13" t="n">
        <v>7908725500764</v>
      </c>
      <c r="O3968" s="13"/>
      <c r="P3968" s="13" t="s">
        <v>5291</v>
      </c>
      <c r="Q3968" s="13" t="s">
        <v>5289</v>
      </c>
      <c r="R3968" s="13" t="s">
        <v>5292</v>
      </c>
      <c r="S3968" s="13" t="s">
        <v>5293</v>
      </c>
      <c r="T3968" s="13" t="s">
        <v>5</v>
      </c>
      <c r="U3968" s="13" t="s">
        <v>85</v>
      </c>
      <c r="V3968" s="13" t="n">
        <f aca="false">IF(COUNTIF($B$2:B3968,B3968)=1,1,0)</f>
        <v>0</v>
      </c>
      <c r="W3968" s="13" t="n">
        <f aca="false">IF(COUNTIFS($B$2:B3968,B3968,$T$2:T3968,T3968)=1,1,0)</f>
        <v>0</v>
      </c>
    </row>
    <row r="3969" customFormat="false" ht="15" hidden="false" customHeight="false" outlineLevel="0" collapsed="false">
      <c r="A3969" s="13" t="s">
        <v>2082</v>
      </c>
      <c r="B3969" s="13" t="s">
        <v>121</v>
      </c>
      <c r="C3969" s="13" t="n">
        <v>50</v>
      </c>
      <c r="D3969" s="13" t="n">
        <v>1</v>
      </c>
      <c r="E3969" s="13" t="n">
        <v>51.26</v>
      </c>
      <c r="F3969" s="13" t="s">
        <v>5325</v>
      </c>
      <c r="G3969" s="13" t="s">
        <v>5289</v>
      </c>
      <c r="H3969" s="13" t="s">
        <v>5289</v>
      </c>
      <c r="I3969" s="13" t="s">
        <v>5292</v>
      </c>
      <c r="J3969" s="13" t="s">
        <v>5289</v>
      </c>
      <c r="K3969" s="13" t="s">
        <v>5289</v>
      </c>
      <c r="L3969" s="13" t="n">
        <v>7896086999115</v>
      </c>
      <c r="M3969" s="13"/>
      <c r="N3969" s="13" t="n">
        <v>7896086999115</v>
      </c>
      <c r="O3969" s="13"/>
      <c r="P3969" s="13" t="s">
        <v>5291</v>
      </c>
      <c r="Q3969" s="13" t="s">
        <v>5289</v>
      </c>
      <c r="R3969" s="13" t="s">
        <v>5292</v>
      </c>
      <c r="S3969" s="13" t="s">
        <v>5293</v>
      </c>
      <c r="T3969" s="13" t="s">
        <v>5</v>
      </c>
      <c r="U3969" s="13" t="s">
        <v>43</v>
      </c>
      <c r="V3969" s="13" t="n">
        <f aca="false">IF(COUNTIF($B$2:B3969,B3969)=1,1,0)</f>
        <v>0</v>
      </c>
      <c r="W3969" s="13" t="n">
        <f aca="false">IF(COUNTIFS($B$2:B3969,B3969,$T$2:T3969,T3969)=1,1,0)</f>
        <v>0</v>
      </c>
    </row>
    <row r="3970" customFormat="false" ht="15" hidden="false" customHeight="false" outlineLevel="0" collapsed="false">
      <c r="A3970" s="13" t="s">
        <v>5243</v>
      </c>
      <c r="B3970" s="13" t="s">
        <v>2194</v>
      </c>
      <c r="C3970" s="13" t="n">
        <v>50</v>
      </c>
      <c r="D3970" s="13" t="n">
        <v>1</v>
      </c>
      <c r="E3970" s="13" t="n">
        <v>49.9</v>
      </c>
      <c r="F3970" s="13" t="s">
        <v>5325</v>
      </c>
      <c r="G3970" s="13" t="s">
        <v>5292</v>
      </c>
      <c r="H3970" s="13" t="s">
        <v>5289</v>
      </c>
      <c r="I3970" s="13" t="s">
        <v>5292</v>
      </c>
      <c r="J3970" s="13" t="s">
        <v>5289</v>
      </c>
      <c r="K3970" s="13" t="s">
        <v>5289</v>
      </c>
      <c r="L3970" s="13" t="n">
        <v>7908725501037</v>
      </c>
      <c r="M3970" s="13"/>
      <c r="N3970" s="13" t="n">
        <v>7908725501037</v>
      </c>
      <c r="O3970" s="13"/>
      <c r="P3970" s="13" t="s">
        <v>5297</v>
      </c>
      <c r="Q3970" s="13" t="s">
        <v>5289</v>
      </c>
      <c r="R3970" s="13" t="s">
        <v>5292</v>
      </c>
      <c r="S3970" s="13" t="s">
        <v>5293</v>
      </c>
      <c r="T3970" s="13" t="s">
        <v>5</v>
      </c>
      <c r="U3970" s="13" t="s">
        <v>85</v>
      </c>
      <c r="V3970" s="13" t="n">
        <f aca="false">IF(COUNTIF($B$2:B3970,B3970)=1,1,0)</f>
        <v>0</v>
      </c>
      <c r="W3970" s="13" t="n">
        <f aca="false">IF(COUNTIFS($B$2:B3970,B3970,$T$2:T3970,T3970)=1,1,0)</f>
        <v>0</v>
      </c>
    </row>
    <row r="3971" customFormat="false" ht="15" hidden="false" customHeight="false" outlineLevel="0" collapsed="false">
      <c r="A3971" s="13" t="s">
        <v>2078</v>
      </c>
      <c r="B3971" s="13" t="s">
        <v>121</v>
      </c>
      <c r="C3971" s="13" t="n">
        <v>50</v>
      </c>
      <c r="D3971" s="13" t="n">
        <v>1</v>
      </c>
      <c r="E3971" s="13" t="n">
        <v>48.89</v>
      </c>
      <c r="F3971" s="13" t="s">
        <v>5288</v>
      </c>
      <c r="G3971" s="13" t="s">
        <v>5292</v>
      </c>
      <c r="H3971" s="13" t="s">
        <v>5292</v>
      </c>
      <c r="I3971" s="13" t="s">
        <v>5289</v>
      </c>
      <c r="J3971" s="13" t="s">
        <v>5289</v>
      </c>
      <c r="K3971" s="13" t="s">
        <v>5289</v>
      </c>
      <c r="L3971" s="13" t="n">
        <v>7896086934826</v>
      </c>
      <c r="M3971" s="13"/>
      <c r="N3971" s="13" t="n">
        <v>7896086934826</v>
      </c>
      <c r="O3971" s="13"/>
      <c r="P3971" s="13" t="s">
        <v>5297</v>
      </c>
      <c r="Q3971" s="13" t="s">
        <v>5289</v>
      </c>
      <c r="R3971" s="13" t="s">
        <v>5292</v>
      </c>
      <c r="S3971" s="13" t="s">
        <v>5293</v>
      </c>
      <c r="T3971" s="13" t="s">
        <v>5</v>
      </c>
      <c r="U3971" s="13" t="s">
        <v>183</v>
      </c>
      <c r="V3971" s="13" t="n">
        <f aca="false">IF(COUNTIF($B$2:B3971,B3971)=1,1,0)</f>
        <v>0</v>
      </c>
      <c r="W3971" s="13" t="n">
        <f aca="false">IF(COUNTIFS($B$2:B3971,B3971,$T$2:T3971,T3971)=1,1,0)</f>
        <v>0</v>
      </c>
    </row>
    <row r="3972" customFormat="false" ht="15" hidden="false" customHeight="false" outlineLevel="0" collapsed="false">
      <c r="A3972" s="13" t="s">
        <v>2083</v>
      </c>
      <c r="B3972" s="13" t="s">
        <v>121</v>
      </c>
      <c r="C3972" s="13" t="n">
        <v>50</v>
      </c>
      <c r="D3972" s="13" t="n">
        <v>1</v>
      </c>
      <c r="E3972" s="13" t="n">
        <v>45.9</v>
      </c>
      <c r="F3972" s="13" t="s">
        <v>5325</v>
      </c>
      <c r="G3972" s="13" t="s">
        <v>5289</v>
      </c>
      <c r="H3972" s="13" t="s">
        <v>5292</v>
      </c>
      <c r="I3972" s="13" t="s">
        <v>5292</v>
      </c>
      <c r="J3972" s="13" t="s">
        <v>5289</v>
      </c>
      <c r="K3972" s="13" t="s">
        <v>5289</v>
      </c>
      <c r="L3972" s="13" t="n">
        <v>7896086930293</v>
      </c>
      <c r="M3972" s="13"/>
      <c r="N3972" s="13" t="n">
        <v>7896086930293</v>
      </c>
      <c r="O3972" s="13"/>
      <c r="P3972" s="13" t="s">
        <v>5291</v>
      </c>
      <c r="Q3972" s="13" t="s">
        <v>5289</v>
      </c>
      <c r="R3972" s="13" t="s">
        <v>5292</v>
      </c>
      <c r="S3972" s="13" t="s">
        <v>5293</v>
      </c>
      <c r="T3972" s="13" t="s">
        <v>5</v>
      </c>
      <c r="U3972" s="13" t="s">
        <v>43</v>
      </c>
      <c r="V3972" s="13" t="n">
        <f aca="false">IF(COUNTIF($B$2:B3972,B3972)=1,1,0)</f>
        <v>0</v>
      </c>
      <c r="W3972" s="13" t="n">
        <f aca="false">IF(COUNTIFS($B$2:B3972,B3972,$T$2:T3972,T3972)=1,1,0)</f>
        <v>0</v>
      </c>
    </row>
    <row r="3973" customFormat="false" ht="15" hidden="false" customHeight="false" outlineLevel="0" collapsed="false">
      <c r="A3973" s="13" t="s">
        <v>5251</v>
      </c>
      <c r="B3973" s="13" t="s">
        <v>2194</v>
      </c>
      <c r="C3973" s="13" t="n">
        <v>40</v>
      </c>
      <c r="D3973" s="13" t="n">
        <v>1</v>
      </c>
      <c r="E3973" s="13" t="n">
        <v>44.85</v>
      </c>
      <c r="F3973" s="13" t="s">
        <v>5288</v>
      </c>
      <c r="G3973" s="13" t="s">
        <v>5292</v>
      </c>
      <c r="H3973" s="13" t="s">
        <v>5289</v>
      </c>
      <c r="I3973" s="13" t="s">
        <v>5292</v>
      </c>
      <c r="J3973" s="13" t="s">
        <v>5289</v>
      </c>
      <c r="K3973" s="13" t="s">
        <v>5292</v>
      </c>
      <c r="L3973" s="13" t="n">
        <v>7908725501020</v>
      </c>
      <c r="M3973" s="13"/>
      <c r="N3973" s="13" t="n">
        <v>7908725501020</v>
      </c>
      <c r="O3973" s="13"/>
      <c r="P3973" s="13" t="s">
        <v>5291</v>
      </c>
      <c r="Q3973" s="13" t="s">
        <v>5289</v>
      </c>
      <c r="R3973" s="13" t="s">
        <v>5292</v>
      </c>
      <c r="S3973" s="13" t="s">
        <v>5293</v>
      </c>
      <c r="T3973" s="13" t="s">
        <v>5</v>
      </c>
      <c r="U3973" s="13" t="s">
        <v>85</v>
      </c>
      <c r="V3973" s="13" t="n">
        <f aca="false">IF(COUNTIF($B$2:B3973,B3973)=1,1,0)</f>
        <v>0</v>
      </c>
      <c r="W3973" s="13" t="n">
        <f aca="false">IF(COUNTIFS($B$2:B3973,B3973,$T$2:T3973,T3973)=1,1,0)</f>
        <v>0</v>
      </c>
    </row>
    <row r="3974" customFormat="false" ht="15" hidden="false" customHeight="false" outlineLevel="0" collapsed="false">
      <c r="A3974" s="13" t="s">
        <v>2084</v>
      </c>
      <c r="B3974" s="13" t="s">
        <v>155</v>
      </c>
      <c r="C3974" s="13" t="n">
        <v>40</v>
      </c>
      <c r="D3974" s="13" t="n">
        <v>1</v>
      </c>
      <c r="E3974" s="13" t="n">
        <v>43.21</v>
      </c>
      <c r="F3974" s="13" t="s">
        <v>5288</v>
      </c>
      <c r="G3974" s="13" t="s">
        <v>5289</v>
      </c>
      <c r="H3974" s="13" t="s">
        <v>5292</v>
      </c>
      <c r="I3974" s="13" t="s">
        <v>5292</v>
      </c>
      <c r="J3974" s="13" t="s">
        <v>5289</v>
      </c>
      <c r="K3974" s="13" t="s">
        <v>5289</v>
      </c>
      <c r="L3974" s="13"/>
      <c r="M3974" s="13"/>
      <c r="N3974" s="13" t="n">
        <v>8005610325309</v>
      </c>
      <c r="O3974" s="13"/>
      <c r="P3974" s="13" t="s">
        <v>5291</v>
      </c>
      <c r="Q3974" s="13" t="s">
        <v>5289</v>
      </c>
      <c r="R3974" s="13" t="s">
        <v>5292</v>
      </c>
      <c r="S3974" s="13" t="s">
        <v>5293</v>
      </c>
      <c r="T3974" s="13" t="s">
        <v>5</v>
      </c>
      <c r="U3974" s="13" t="s">
        <v>43</v>
      </c>
      <c r="V3974" s="13" t="n">
        <f aca="false">IF(COUNTIF($B$2:B3974,B3974)=1,1,0)</f>
        <v>0</v>
      </c>
      <c r="W3974" s="13" t="n">
        <f aca="false">IF(COUNTIFS($B$2:B3974,B3974,$T$2:T3974,T3974)=1,1,0)</f>
        <v>0</v>
      </c>
    </row>
    <row r="3975" customFormat="false" ht="15" hidden="false" customHeight="false" outlineLevel="0" collapsed="false">
      <c r="A3975" s="13" t="s">
        <v>5249</v>
      </c>
      <c r="B3975" s="13" t="s">
        <v>2194</v>
      </c>
      <c r="C3975" s="13" t="n">
        <v>40</v>
      </c>
      <c r="D3975" s="13" t="n">
        <v>1</v>
      </c>
      <c r="E3975" s="13" t="n">
        <v>42.85</v>
      </c>
      <c r="F3975" s="13" t="s">
        <v>5288</v>
      </c>
      <c r="G3975" s="13" t="s">
        <v>5292</v>
      </c>
      <c r="H3975" s="13" t="s">
        <v>5292</v>
      </c>
      <c r="I3975" s="13" t="s">
        <v>5292</v>
      </c>
      <c r="J3975" s="13" t="s">
        <v>5289</v>
      </c>
      <c r="K3975" s="13" t="s">
        <v>5292</v>
      </c>
      <c r="L3975" s="13" t="n">
        <v>7908725501686</v>
      </c>
      <c r="M3975" s="13"/>
      <c r="N3975" s="13" t="n">
        <v>7908725501686</v>
      </c>
      <c r="O3975" s="13"/>
      <c r="P3975" s="13" t="s">
        <v>5291</v>
      </c>
      <c r="Q3975" s="13" t="s">
        <v>5289</v>
      </c>
      <c r="R3975" s="13" t="s">
        <v>5292</v>
      </c>
      <c r="S3975" s="13" t="s">
        <v>5293</v>
      </c>
      <c r="T3975" s="13" t="s">
        <v>5</v>
      </c>
      <c r="U3975" s="13" t="s">
        <v>183</v>
      </c>
      <c r="V3975" s="13" t="n">
        <f aca="false">IF(COUNTIF($B$2:B3975,B3975)=1,1,0)</f>
        <v>0</v>
      </c>
      <c r="W3975" s="13" t="n">
        <f aca="false">IF(COUNTIFS($B$2:B3975,B3975,$T$2:T3975,T3975)=1,1,0)</f>
        <v>0</v>
      </c>
    </row>
    <row r="3976" customFormat="false" ht="15" hidden="false" customHeight="false" outlineLevel="0" collapsed="false">
      <c r="A3976" s="13" t="s">
        <v>5265</v>
      </c>
      <c r="B3976" s="13" t="s">
        <v>2215</v>
      </c>
      <c r="C3976" s="13" t="n">
        <v>40</v>
      </c>
      <c r="D3976" s="13" t="n">
        <v>1</v>
      </c>
      <c r="E3976" s="13" t="n">
        <v>42.01</v>
      </c>
      <c r="F3976" s="13" t="s">
        <v>5288</v>
      </c>
      <c r="G3976" s="13" t="s">
        <v>5292</v>
      </c>
      <c r="H3976" s="13" t="s">
        <v>5292</v>
      </c>
      <c r="I3976" s="13" t="s">
        <v>5292</v>
      </c>
      <c r="J3976" s="13" t="s">
        <v>5289</v>
      </c>
      <c r="K3976" s="13" t="s">
        <v>5289</v>
      </c>
      <c r="L3976" s="13"/>
      <c r="M3976" s="13"/>
      <c r="N3976" s="13" t="n">
        <v>7899706169707</v>
      </c>
      <c r="O3976" s="13"/>
      <c r="P3976" s="13" t="s">
        <v>5297</v>
      </c>
      <c r="Q3976" s="13" t="s">
        <v>5289</v>
      </c>
      <c r="R3976" s="13" t="s">
        <v>5292</v>
      </c>
      <c r="S3976" s="13" t="s">
        <v>5293</v>
      </c>
      <c r="T3976" s="13" t="s">
        <v>5</v>
      </c>
      <c r="U3976" s="13" t="s">
        <v>85</v>
      </c>
      <c r="V3976" s="13" t="n">
        <f aca="false">IF(COUNTIF($B$2:B3976,B3976)=1,1,0)</f>
        <v>0</v>
      </c>
      <c r="W3976" s="13" t="n">
        <f aca="false">IF(COUNTIFS($B$2:B3976,B3976,$T$2:T3976,T3976)=1,1,0)</f>
        <v>0</v>
      </c>
    </row>
    <row r="3977" customFormat="false" ht="15" hidden="false" customHeight="false" outlineLevel="0" collapsed="false">
      <c r="A3977" s="13" t="s">
        <v>2072</v>
      </c>
      <c r="B3977" s="13" t="s">
        <v>107</v>
      </c>
      <c r="C3977" s="13" t="n">
        <v>40</v>
      </c>
      <c r="D3977" s="13" t="n">
        <v>1</v>
      </c>
      <c r="E3977" s="13" t="n">
        <v>39.9</v>
      </c>
      <c r="F3977" s="13" t="s">
        <v>5288</v>
      </c>
      <c r="G3977" s="13" t="s">
        <v>5292</v>
      </c>
      <c r="H3977" s="13" t="s">
        <v>5289</v>
      </c>
      <c r="I3977" s="13" t="s">
        <v>5289</v>
      </c>
      <c r="J3977" s="13" t="s">
        <v>5289</v>
      </c>
      <c r="K3977" s="13" t="s">
        <v>5289</v>
      </c>
      <c r="L3977" s="13" t="n">
        <v>7891182017442</v>
      </c>
      <c r="M3977" s="13"/>
      <c r="N3977" s="13" t="n">
        <v>7891182017442</v>
      </c>
      <c r="O3977" s="13"/>
      <c r="P3977" s="13" t="s">
        <v>5291</v>
      </c>
      <c r="Q3977" s="13" t="s">
        <v>5289</v>
      </c>
      <c r="R3977" s="13" t="s">
        <v>5292</v>
      </c>
      <c r="S3977" s="13" t="s">
        <v>5293</v>
      </c>
      <c r="T3977" s="13" t="s">
        <v>5</v>
      </c>
      <c r="U3977" s="13" t="s">
        <v>43</v>
      </c>
      <c r="V3977" s="13" t="n">
        <f aca="false">IF(COUNTIF($B$2:B3977,B3977)=1,1,0)</f>
        <v>0</v>
      </c>
      <c r="W3977" s="13" t="n">
        <f aca="false">IF(COUNTIFS($B$2:B3977,B3977,$T$2:T3977,T3977)=1,1,0)</f>
        <v>0</v>
      </c>
    </row>
    <row r="3978" customFormat="false" ht="15" hidden="false" customHeight="false" outlineLevel="0" collapsed="false">
      <c r="A3978" s="13" t="s">
        <v>2085</v>
      </c>
      <c r="B3978" s="13" t="s">
        <v>107</v>
      </c>
      <c r="C3978" s="13" t="n">
        <v>40</v>
      </c>
      <c r="D3978" s="13" t="n">
        <v>1</v>
      </c>
      <c r="E3978" s="13" t="n">
        <v>39.51</v>
      </c>
      <c r="F3978" s="13" t="s">
        <v>5288</v>
      </c>
      <c r="G3978" s="13" t="s">
        <v>5292</v>
      </c>
      <c r="H3978" s="13" t="s">
        <v>5289</v>
      </c>
      <c r="I3978" s="13" t="s">
        <v>5289</v>
      </c>
      <c r="J3978" s="13" t="s">
        <v>5289</v>
      </c>
      <c r="K3978" s="13" t="s">
        <v>5289</v>
      </c>
      <c r="L3978" s="13" t="n">
        <v>7891182017275</v>
      </c>
      <c r="M3978" s="13"/>
      <c r="N3978" s="13" t="n">
        <v>7891182017275</v>
      </c>
      <c r="O3978" s="13"/>
      <c r="P3978" s="13" t="s">
        <v>5297</v>
      </c>
      <c r="Q3978" s="13" t="s">
        <v>5289</v>
      </c>
      <c r="R3978" s="13" t="s">
        <v>5292</v>
      </c>
      <c r="S3978" s="13" t="s">
        <v>5293</v>
      </c>
      <c r="T3978" s="13" t="s">
        <v>5</v>
      </c>
      <c r="U3978" s="13" t="s">
        <v>43</v>
      </c>
      <c r="V3978" s="13" t="n">
        <f aca="false">IF(COUNTIF($B$2:B3978,B3978)=1,1,0)</f>
        <v>0</v>
      </c>
      <c r="W3978" s="13" t="n">
        <f aca="false">IF(COUNTIFS($B$2:B3978,B3978,$T$2:T3978,T3978)=1,1,0)</f>
        <v>0</v>
      </c>
    </row>
    <row r="3979" customFormat="false" ht="15" hidden="false" customHeight="false" outlineLevel="0" collapsed="false">
      <c r="A3979" s="13" t="s">
        <v>5255</v>
      </c>
      <c r="B3979" s="13" t="s">
        <v>2268</v>
      </c>
      <c r="C3979" s="13" t="n">
        <v>40</v>
      </c>
      <c r="D3979" s="13" t="n">
        <v>2</v>
      </c>
      <c r="E3979" s="13" t="n">
        <v>19.75</v>
      </c>
      <c r="F3979" s="13" t="s">
        <v>5325</v>
      </c>
      <c r="G3979" s="13" t="s">
        <v>5289</v>
      </c>
      <c r="H3979" s="13" t="s">
        <v>5292</v>
      </c>
      <c r="I3979" s="13" t="s">
        <v>5292</v>
      </c>
      <c r="J3979" s="13" t="s">
        <v>5289</v>
      </c>
      <c r="K3979" s="13" t="s">
        <v>5289</v>
      </c>
      <c r="L3979" s="13" t="n">
        <v>7896014000296</v>
      </c>
      <c r="M3979" s="13"/>
      <c r="N3979" s="13" t="n">
        <v>7896014000296</v>
      </c>
      <c r="O3979" s="13"/>
      <c r="P3979" s="13" t="s">
        <v>5291</v>
      </c>
      <c r="Q3979" s="13" t="s">
        <v>5289</v>
      </c>
      <c r="R3979" s="13" t="s">
        <v>5292</v>
      </c>
      <c r="S3979" s="13" t="s">
        <v>5293</v>
      </c>
      <c r="T3979" s="13" t="s">
        <v>5</v>
      </c>
      <c r="U3979" s="13" t="s">
        <v>183</v>
      </c>
      <c r="V3979" s="13" t="n">
        <f aca="false">IF(COUNTIF($B$2:B3979,B3979)=1,1,0)</f>
        <v>0</v>
      </c>
      <c r="W3979" s="13" t="n">
        <f aca="false">IF(COUNTIFS($B$2:B3979,B3979,$T$2:T3979,T3979)=1,1,0)</f>
        <v>0</v>
      </c>
    </row>
    <row r="3980" customFormat="false" ht="15" hidden="false" customHeight="false" outlineLevel="0" collapsed="false">
      <c r="A3980" s="13" t="s">
        <v>2072</v>
      </c>
      <c r="B3980" s="13" t="s">
        <v>107</v>
      </c>
      <c r="C3980" s="13" t="n">
        <v>40</v>
      </c>
      <c r="D3980" s="13" t="n">
        <v>1</v>
      </c>
      <c r="E3980" s="13" t="n">
        <v>38.9</v>
      </c>
      <c r="F3980" s="13" t="s">
        <v>5288</v>
      </c>
      <c r="G3980" s="13" t="s">
        <v>5292</v>
      </c>
      <c r="H3980" s="13" t="s">
        <v>5289</v>
      </c>
      <c r="I3980" s="13" t="s">
        <v>5289</v>
      </c>
      <c r="J3980" s="13" t="s">
        <v>5289</v>
      </c>
      <c r="K3980" s="13" t="s">
        <v>5289</v>
      </c>
      <c r="L3980" s="13" t="n">
        <v>7891182018098</v>
      </c>
      <c r="M3980" s="13"/>
      <c r="N3980" s="13" t="n">
        <v>7891182018098</v>
      </c>
      <c r="O3980" s="13"/>
      <c r="P3980" s="13" t="s">
        <v>5297</v>
      </c>
      <c r="Q3980" s="13" t="s">
        <v>5289</v>
      </c>
      <c r="R3980" s="13" t="s">
        <v>5292</v>
      </c>
      <c r="S3980" s="13" t="s">
        <v>5293</v>
      </c>
      <c r="T3980" s="13" t="s">
        <v>5</v>
      </c>
      <c r="U3980" s="13" t="s">
        <v>43</v>
      </c>
      <c r="V3980" s="13" t="n">
        <f aca="false">IF(COUNTIF($B$2:B3980,B3980)=1,1,0)</f>
        <v>0</v>
      </c>
      <c r="W3980" s="13" t="n">
        <f aca="false">IF(COUNTIFS($B$2:B3980,B3980,$T$2:T3980,T3980)=1,1,0)</f>
        <v>0</v>
      </c>
    </row>
    <row r="3981" customFormat="false" ht="15" hidden="false" customHeight="false" outlineLevel="0" collapsed="false">
      <c r="A3981" s="13" t="s">
        <v>5253</v>
      </c>
      <c r="B3981" s="13" t="s">
        <v>2303</v>
      </c>
      <c r="C3981" s="13" t="n">
        <v>40</v>
      </c>
      <c r="D3981" s="13" t="n">
        <v>1</v>
      </c>
      <c r="E3981" s="13" t="n">
        <v>37.7</v>
      </c>
      <c r="F3981" s="13" t="s">
        <v>5325</v>
      </c>
      <c r="G3981" s="13" t="s">
        <v>5292</v>
      </c>
      <c r="H3981" s="13" t="s">
        <v>5289</v>
      </c>
      <c r="I3981" s="13" t="s">
        <v>5289</v>
      </c>
      <c r="J3981" s="13" t="s">
        <v>5289</v>
      </c>
      <c r="K3981" s="13" t="s">
        <v>5289</v>
      </c>
      <c r="L3981" s="13" t="n">
        <v>8004120083341</v>
      </c>
      <c r="M3981" s="13"/>
      <c r="N3981" s="13" t="n">
        <v>8004120083341</v>
      </c>
      <c r="O3981" s="13"/>
      <c r="P3981" s="13" t="s">
        <v>5291</v>
      </c>
      <c r="Q3981" s="13" t="s">
        <v>5289</v>
      </c>
      <c r="R3981" s="13" t="s">
        <v>5292</v>
      </c>
      <c r="S3981" s="13" t="s">
        <v>5293</v>
      </c>
      <c r="T3981" s="13" t="s">
        <v>5</v>
      </c>
      <c r="U3981" s="13" t="s">
        <v>85</v>
      </c>
      <c r="V3981" s="13" t="n">
        <f aca="false">IF(COUNTIF($B$2:B3981,B3981)=1,1,0)</f>
        <v>1</v>
      </c>
      <c r="W3981" s="13" t="n">
        <f aca="false">IF(COUNTIFS($B$2:B3981,B3981,$T$2:T3981,T3981)=1,1,0)</f>
        <v>1</v>
      </c>
    </row>
    <row r="3982" customFormat="false" ht="15" hidden="false" customHeight="false" outlineLevel="0" collapsed="false">
      <c r="A3982" s="13" t="s">
        <v>5258</v>
      </c>
      <c r="B3982" s="13" t="s">
        <v>2219</v>
      </c>
      <c r="C3982" s="13" t="n">
        <v>40</v>
      </c>
      <c r="D3982" s="13" t="n">
        <v>1</v>
      </c>
      <c r="E3982" s="13" t="n">
        <v>37</v>
      </c>
      <c r="F3982" s="13" t="s">
        <v>5288</v>
      </c>
      <c r="G3982" s="13" t="s">
        <v>5289</v>
      </c>
      <c r="H3982" s="13" t="s">
        <v>5289</v>
      </c>
      <c r="I3982" s="13" t="s">
        <v>5292</v>
      </c>
      <c r="J3982" s="13" t="s">
        <v>5289</v>
      </c>
      <c r="K3982" s="13" t="s">
        <v>5289</v>
      </c>
      <c r="L3982" s="13" t="n">
        <v>3616306727595</v>
      </c>
      <c r="M3982" s="13"/>
      <c r="N3982" s="13" t="n">
        <v>3616306727595</v>
      </c>
      <c r="O3982" s="13"/>
      <c r="P3982" s="13" t="s">
        <v>5297</v>
      </c>
      <c r="Q3982" s="13" t="s">
        <v>5289</v>
      </c>
      <c r="R3982" s="13" t="s">
        <v>5292</v>
      </c>
      <c r="S3982" s="13" t="s">
        <v>5293</v>
      </c>
      <c r="T3982" s="13" t="s">
        <v>5</v>
      </c>
      <c r="U3982" s="13" t="s">
        <v>43</v>
      </c>
      <c r="V3982" s="13" t="n">
        <f aca="false">IF(COUNTIF($B$2:B3982,B3982)=1,1,0)</f>
        <v>0</v>
      </c>
      <c r="W3982" s="13" t="n">
        <f aca="false">IF(COUNTIFS($B$2:B3982,B3982,$T$2:T3982,T3982)=1,1,0)</f>
        <v>0</v>
      </c>
    </row>
    <row r="3983" customFormat="false" ht="15" hidden="false" customHeight="false" outlineLevel="0" collapsed="false">
      <c r="A3983" s="13" t="s">
        <v>2069</v>
      </c>
      <c r="B3983" s="13" t="s">
        <v>107</v>
      </c>
      <c r="C3983" s="13" t="n">
        <v>40</v>
      </c>
      <c r="D3983" s="13" t="n">
        <v>1</v>
      </c>
      <c r="E3983" s="13" t="n">
        <v>36.7</v>
      </c>
      <c r="F3983" s="13" t="s">
        <v>5288</v>
      </c>
      <c r="G3983" s="13" t="s">
        <v>5292</v>
      </c>
      <c r="H3983" s="13" t="s">
        <v>5289</v>
      </c>
      <c r="I3983" s="13" t="s">
        <v>5292</v>
      </c>
      <c r="J3983" s="13" t="s">
        <v>5289</v>
      </c>
      <c r="K3983" s="13" t="s">
        <v>5289</v>
      </c>
      <c r="L3983" s="13" t="n">
        <v>7891182019064</v>
      </c>
      <c r="M3983" s="13"/>
      <c r="N3983" s="13" t="n">
        <v>7891182019064</v>
      </c>
      <c r="O3983" s="13"/>
      <c r="P3983" s="13" t="s">
        <v>5291</v>
      </c>
      <c r="Q3983" s="13" t="s">
        <v>5289</v>
      </c>
      <c r="R3983" s="13" t="s">
        <v>5292</v>
      </c>
      <c r="S3983" s="13" t="s">
        <v>5293</v>
      </c>
      <c r="T3983" s="13" t="s">
        <v>5</v>
      </c>
      <c r="U3983" s="13" t="s">
        <v>43</v>
      </c>
      <c r="V3983" s="13" t="n">
        <f aca="false">IF(COUNTIF($B$2:B3983,B3983)=1,1,0)</f>
        <v>0</v>
      </c>
      <c r="W3983" s="13" t="n">
        <f aca="false">IF(COUNTIFS($B$2:B3983,B3983,$T$2:T3983,T3983)=1,1,0)</f>
        <v>0</v>
      </c>
    </row>
    <row r="3984" customFormat="false" ht="15" hidden="false" customHeight="false" outlineLevel="0" collapsed="false">
      <c r="A3984" s="13" t="s">
        <v>6377</v>
      </c>
      <c r="B3984" s="13" t="s">
        <v>2127</v>
      </c>
      <c r="C3984" s="13" t="n">
        <v>40</v>
      </c>
      <c r="D3984" s="13" t="n">
        <v>1</v>
      </c>
      <c r="E3984" s="13" t="n">
        <v>36</v>
      </c>
      <c r="F3984" s="13" t="s">
        <v>5288</v>
      </c>
      <c r="G3984" s="13" t="s">
        <v>5292</v>
      </c>
      <c r="H3984" s="13" t="s">
        <v>5289</v>
      </c>
      <c r="I3984" s="13" t="s">
        <v>5292</v>
      </c>
      <c r="J3984" s="13" t="s">
        <v>5289</v>
      </c>
      <c r="K3984" s="13" t="s">
        <v>5289</v>
      </c>
      <c r="L3984" s="13" t="n">
        <v>19045108015</v>
      </c>
      <c r="M3984" s="13"/>
      <c r="N3984" s="13" t="n">
        <v>19045108015</v>
      </c>
      <c r="O3984" s="13"/>
      <c r="P3984" s="13" t="s">
        <v>5297</v>
      </c>
      <c r="Q3984" s="13" t="s">
        <v>5289</v>
      </c>
      <c r="R3984" s="13" t="s">
        <v>5292</v>
      </c>
      <c r="S3984" s="13" t="s">
        <v>5293</v>
      </c>
      <c r="T3984" s="13" t="s">
        <v>5</v>
      </c>
      <c r="U3984" s="13" t="s">
        <v>85</v>
      </c>
      <c r="V3984" s="13" t="n">
        <f aca="false">IF(COUNTIF($B$2:B3984,B3984)=1,1,0)</f>
        <v>0</v>
      </c>
      <c r="W3984" s="13" t="n">
        <f aca="false">IF(COUNTIFS($B$2:B3984,B3984,$T$2:T3984,T3984)=1,1,0)</f>
        <v>0</v>
      </c>
    </row>
    <row r="3985" customFormat="false" ht="15" hidden="false" customHeight="false" outlineLevel="0" collapsed="false">
      <c r="A3985" s="13" t="s">
        <v>5098</v>
      </c>
      <c r="B3985" s="13" t="s">
        <v>2268</v>
      </c>
      <c r="C3985" s="13" t="n">
        <v>40</v>
      </c>
      <c r="D3985" s="13" t="n">
        <v>1</v>
      </c>
      <c r="E3985" s="13" t="n">
        <v>35.13</v>
      </c>
      <c r="F3985" s="13" t="s">
        <v>5325</v>
      </c>
      <c r="G3985" s="13" t="s">
        <v>5289</v>
      </c>
      <c r="H3985" s="13" t="s">
        <v>5289</v>
      </c>
      <c r="I3985" s="13" t="s">
        <v>5292</v>
      </c>
      <c r="J3985" s="13" t="s">
        <v>5289</v>
      </c>
      <c r="K3985" s="13" t="s">
        <v>5289</v>
      </c>
      <c r="L3985" s="13" t="n">
        <v>7896014073009</v>
      </c>
      <c r="M3985" s="13"/>
      <c r="N3985" s="13" t="n">
        <v>7896014073009</v>
      </c>
      <c r="O3985" s="13"/>
      <c r="P3985" s="13" t="s">
        <v>5291</v>
      </c>
      <c r="Q3985" s="13" t="s">
        <v>5289</v>
      </c>
      <c r="R3985" s="13" t="s">
        <v>5292</v>
      </c>
      <c r="S3985" s="13" t="s">
        <v>5293</v>
      </c>
      <c r="T3985" s="13" t="s">
        <v>5</v>
      </c>
      <c r="U3985" s="13" t="s">
        <v>183</v>
      </c>
      <c r="V3985" s="13" t="n">
        <f aca="false">IF(COUNTIF($B$2:B3985,B3985)=1,1,0)</f>
        <v>0</v>
      </c>
      <c r="W3985" s="13" t="n">
        <f aca="false">IF(COUNTIFS($B$2:B3985,B3985,$T$2:T3985,T3985)=1,1,0)</f>
        <v>0</v>
      </c>
    </row>
    <row r="3986" customFormat="false" ht="15" hidden="false" customHeight="false" outlineLevel="0" collapsed="false">
      <c r="A3986" s="13" t="s">
        <v>5267</v>
      </c>
      <c r="B3986" s="13" t="s">
        <v>2194</v>
      </c>
      <c r="C3986" s="13" t="n">
        <v>30</v>
      </c>
      <c r="D3986" s="13" t="n">
        <v>1</v>
      </c>
      <c r="E3986" s="13" t="n">
        <v>34.85</v>
      </c>
      <c r="F3986" s="13" t="s">
        <v>5288</v>
      </c>
      <c r="G3986" s="13" t="s">
        <v>5292</v>
      </c>
      <c r="H3986" s="13" t="s">
        <v>5289</v>
      </c>
      <c r="I3986" s="13" t="s">
        <v>5292</v>
      </c>
      <c r="J3986" s="13" t="s">
        <v>5289</v>
      </c>
      <c r="K3986" s="13" t="s">
        <v>5292</v>
      </c>
      <c r="L3986" s="13" t="n">
        <v>7908725501570</v>
      </c>
      <c r="M3986" s="13"/>
      <c r="N3986" s="13" t="n">
        <v>7908725501570</v>
      </c>
      <c r="O3986" s="13"/>
      <c r="P3986" s="13" t="s">
        <v>5291</v>
      </c>
      <c r="Q3986" s="13" t="s">
        <v>5289</v>
      </c>
      <c r="R3986" s="13" t="s">
        <v>5292</v>
      </c>
      <c r="S3986" s="13" t="s">
        <v>5293</v>
      </c>
      <c r="T3986" s="13" t="s">
        <v>5</v>
      </c>
      <c r="U3986" s="13" t="s">
        <v>85</v>
      </c>
      <c r="V3986" s="13" t="n">
        <f aca="false">IF(COUNTIF($B$2:B3986,B3986)=1,1,0)</f>
        <v>0</v>
      </c>
      <c r="W3986" s="13" t="n">
        <f aca="false">IF(COUNTIFS($B$2:B3986,B3986,$T$2:T3986,T3986)=1,1,0)</f>
        <v>0</v>
      </c>
    </row>
    <row r="3987" customFormat="false" ht="15" hidden="false" customHeight="false" outlineLevel="0" collapsed="false">
      <c r="A3987" s="13" t="s">
        <v>2086</v>
      </c>
      <c r="B3987" s="13" t="s">
        <v>107</v>
      </c>
      <c r="C3987" s="13" t="n">
        <v>30</v>
      </c>
      <c r="D3987" s="13" t="n">
        <v>1</v>
      </c>
      <c r="E3987" s="13" t="n">
        <v>32.21</v>
      </c>
      <c r="F3987" s="13" t="s">
        <v>5288</v>
      </c>
      <c r="G3987" s="13" t="s">
        <v>5292</v>
      </c>
      <c r="H3987" s="13" t="s">
        <v>5292</v>
      </c>
      <c r="I3987" s="13" t="s">
        <v>5289</v>
      </c>
      <c r="J3987" s="13" t="s">
        <v>5289</v>
      </c>
      <c r="K3987" s="13" t="s">
        <v>5289</v>
      </c>
      <c r="L3987" s="13" t="n">
        <v>7891182017442</v>
      </c>
      <c r="M3987" s="13"/>
      <c r="N3987" s="13" t="n">
        <v>7891182017442</v>
      </c>
      <c r="O3987" s="13"/>
      <c r="P3987" s="13" t="s">
        <v>5291</v>
      </c>
      <c r="Q3987" s="13" t="s">
        <v>5289</v>
      </c>
      <c r="R3987" s="13" t="s">
        <v>5292</v>
      </c>
      <c r="S3987" s="13" t="s">
        <v>5293</v>
      </c>
      <c r="T3987" s="13" t="s">
        <v>5</v>
      </c>
      <c r="U3987" s="13" t="s">
        <v>43</v>
      </c>
      <c r="V3987" s="13" t="n">
        <f aca="false">IF(COUNTIF($B$2:B3987,B3987)=1,1,0)</f>
        <v>0</v>
      </c>
      <c r="W3987" s="13" t="n">
        <f aca="false">IF(COUNTIFS($B$2:B3987,B3987,$T$2:T3987,T3987)=1,1,0)</f>
        <v>0</v>
      </c>
    </row>
    <row r="3988" customFormat="false" ht="15" hidden="false" customHeight="false" outlineLevel="0" collapsed="false">
      <c r="A3988" s="13" t="s">
        <v>2087</v>
      </c>
      <c r="B3988" s="13" t="s">
        <v>107</v>
      </c>
      <c r="C3988" s="13" t="n">
        <v>30</v>
      </c>
      <c r="D3988" s="13" t="n">
        <v>1</v>
      </c>
      <c r="E3988" s="13" t="n">
        <v>28.26</v>
      </c>
      <c r="F3988" s="13" t="s">
        <v>5325</v>
      </c>
      <c r="G3988" s="13" t="s">
        <v>5292</v>
      </c>
      <c r="H3988" s="13" t="s">
        <v>5292</v>
      </c>
      <c r="I3988" s="13" t="s">
        <v>5292</v>
      </c>
      <c r="J3988" s="13" t="s">
        <v>5289</v>
      </c>
      <c r="K3988" s="13" t="s">
        <v>5289</v>
      </c>
      <c r="L3988" s="13" t="n">
        <v>4064666946610</v>
      </c>
      <c r="M3988" s="13"/>
      <c r="N3988" s="13" t="n">
        <v>4064666946610</v>
      </c>
      <c r="O3988" s="13"/>
      <c r="P3988" s="13" t="s">
        <v>5291</v>
      </c>
      <c r="Q3988" s="13" t="s">
        <v>5289</v>
      </c>
      <c r="R3988" s="13" t="s">
        <v>5292</v>
      </c>
      <c r="S3988" s="13" t="s">
        <v>5293</v>
      </c>
      <c r="T3988" s="13" t="s">
        <v>5</v>
      </c>
      <c r="U3988" s="13" t="s">
        <v>43</v>
      </c>
      <c r="V3988" s="13" t="n">
        <f aca="false">IF(COUNTIF($B$2:B3988,B3988)=1,1,0)</f>
        <v>0</v>
      </c>
      <c r="W3988" s="13" t="n">
        <f aca="false">IF(COUNTIFS($B$2:B3988,B3988,$T$2:T3988,T3988)=1,1,0)</f>
        <v>0</v>
      </c>
    </row>
    <row r="3989" customFormat="false" ht="15" hidden="false" customHeight="false" outlineLevel="0" collapsed="false">
      <c r="A3989" s="13" t="s">
        <v>6429</v>
      </c>
      <c r="B3989" s="13" t="s">
        <v>2268</v>
      </c>
      <c r="C3989" s="13" t="n">
        <v>10</v>
      </c>
      <c r="D3989" s="13" t="n">
        <v>1</v>
      </c>
      <c r="E3989" s="13" t="n">
        <v>12.21</v>
      </c>
      <c r="F3989" s="13" t="s">
        <v>5288</v>
      </c>
      <c r="G3989" s="13" t="s">
        <v>5289</v>
      </c>
      <c r="H3989" s="13" t="s">
        <v>5289</v>
      </c>
      <c r="I3989" s="13" t="s">
        <v>5292</v>
      </c>
      <c r="J3989" s="13" t="s">
        <v>5289</v>
      </c>
      <c r="K3989" s="13" t="s">
        <v>5289</v>
      </c>
      <c r="L3989" s="13" t="n">
        <v>7896014080403</v>
      </c>
      <c r="M3989" s="13"/>
      <c r="N3989" s="13" t="n">
        <v>7896014080403</v>
      </c>
      <c r="O3989" s="13"/>
      <c r="P3989" s="13" t="s">
        <v>5291</v>
      </c>
      <c r="Q3989" s="13" t="s">
        <v>5289</v>
      </c>
      <c r="R3989" s="13" t="s">
        <v>5292</v>
      </c>
      <c r="S3989" s="13" t="s">
        <v>5293</v>
      </c>
      <c r="T3989" s="13" t="s">
        <v>5</v>
      </c>
      <c r="U3989" s="13" t="s">
        <v>183</v>
      </c>
      <c r="V3989" s="13" t="n">
        <f aca="false">IF(COUNTIF($B$2:B3989,B3989)=1,1,0)</f>
        <v>0</v>
      </c>
      <c r="W3989" s="13" t="n">
        <f aca="false">IF(COUNTIFS($B$2:B3989,B3989,$T$2:T3989,T3989)=1,1,0)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2026-09-12T03:55:10Z</dcterms:created>
  <dc:creator>openpyxl</dc:creator>
  <dc:description/>
  <dc:language>en-US</dc:language>
  <cp:lastModifiedBy/>
  <dcterms:modified xsi:type="dcterms:W3CDTF">2026-09-12T03:55:12Z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